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Elimination" sheetId="1" r:id="rId4"/>
    <sheet state="visible" name="Round Robin" sheetId="2" r:id="rId5"/>
    <sheet state="visible" name="Hidden Sheet" sheetId="3" r:id="rId6"/>
    <sheet state="hidden" name="Sheet6" sheetId="4" r:id="rId7"/>
    <sheet state="hidden" name="Schedule" sheetId="5" r:id="rId8"/>
    <sheet state="hidden" name="Testing Data" sheetId="6" r:id="rId9"/>
  </sheets>
  <definedNames/>
  <calcPr/>
</workbook>
</file>

<file path=xl/sharedStrings.xml><?xml version="1.0" encoding="utf-8"?>
<sst xmlns="http://schemas.openxmlformats.org/spreadsheetml/2006/main" count="327" uniqueCount="137">
  <si>
    <t>Group A</t>
  </si>
  <si>
    <t>Example Group</t>
  </si>
  <si>
    <t>Room 1</t>
  </si>
  <si>
    <t>PPG</t>
  </si>
  <si>
    <t>Points</t>
  </si>
  <si>
    <t>Order of Matchups:</t>
  </si>
  <si>
    <t>Team 1</t>
  </si>
  <si>
    <t>Group B</t>
  </si>
  <si>
    <t>Room 2</t>
  </si>
  <si>
    <t>Team 2</t>
  </si>
  <si>
    <t>Branch</t>
  </si>
  <si>
    <t>RR1</t>
  </si>
  <si>
    <t>Campbell</t>
  </si>
  <si>
    <t>Team 1 vs Team 2</t>
  </si>
  <si>
    <t>Team 3 vs Team 4</t>
  </si>
  <si>
    <t>Goff</t>
  </si>
  <si>
    <t>Hutchinson</t>
  </si>
  <si>
    <t>10:30 EST</t>
  </si>
  <si>
    <t>Brooklyn Tech A</t>
  </si>
  <si>
    <t>Team 3</t>
  </si>
  <si>
    <t>Amador Valley A</t>
  </si>
  <si>
    <t>American A</t>
  </si>
  <si>
    <t>Cupertino</t>
  </si>
  <si>
    <t>Canyon Crest Academy</t>
  </si>
  <si>
    <t>RR2</t>
  </si>
  <si>
    <t>Team 1 vs Team 3</t>
  </si>
  <si>
    <t>Team 2 vs Team 4</t>
  </si>
  <si>
    <t>11:20 EST</t>
  </si>
  <si>
    <t>North Hollywood</t>
  </si>
  <si>
    <t>East Brunswick A</t>
  </si>
  <si>
    <t>Enloe</t>
  </si>
  <si>
    <t>Team 4</t>
  </si>
  <si>
    <t>Dulles</t>
  </si>
  <si>
    <t>St. Mark's</t>
  </si>
  <si>
    <t>WWPN</t>
  </si>
  <si>
    <t>Iolani</t>
  </si>
  <si>
    <t>Jordan</t>
  </si>
  <si>
    <t>University A</t>
  </si>
  <si>
    <t>University B</t>
  </si>
  <si>
    <t>RR3</t>
  </si>
  <si>
    <t>TJHSST B</t>
  </si>
  <si>
    <t>Team 1 vs Team 4</t>
  </si>
  <si>
    <t>Team 2 vs Team 3</t>
  </si>
  <si>
    <t>1v2</t>
  </si>
  <si>
    <t>12:10 EST</t>
  </si>
  <si>
    <t>Jacobs</t>
  </si>
  <si>
    <t>LaPorta</t>
  </si>
  <si>
    <t>Reynolds</t>
  </si>
  <si>
    <t>St. Brown</t>
  </si>
  <si>
    <t>Amador Valley B</t>
  </si>
  <si>
    <t>American B</t>
  </si>
  <si>
    <t>Buchholz A</t>
  </si>
  <si>
    <t>Lynbrook A</t>
  </si>
  <si>
    <t>Clovis North</t>
  </si>
  <si>
    <t>BASIS McLean</t>
  </si>
  <si>
    <t>Clements</t>
  </si>
  <si>
    <t>McLean A</t>
  </si>
  <si>
    <t>Green Hope</t>
  </si>
  <si>
    <t>Interlake A</t>
  </si>
  <si>
    <t>Foothill B</t>
  </si>
  <si>
    <t>Stuyvesant</t>
  </si>
  <si>
    <t>Montgomery Blair A</t>
  </si>
  <si>
    <t>Poolesville</t>
  </si>
  <si>
    <t>TJHSST A</t>
  </si>
  <si>
    <t>Foothill A</t>
  </si>
  <si>
    <t>Stage 1</t>
  </si>
  <si>
    <t>Room 3</t>
  </si>
  <si>
    <t>Del Norte</t>
  </si>
  <si>
    <t>Room 4</t>
  </si>
  <si>
    <t>Room 5</t>
  </si>
  <si>
    <t>1v3</t>
  </si>
  <si>
    <t>Room 6</t>
  </si>
  <si>
    <t>Stage 2</t>
  </si>
  <si>
    <t>Room 7</t>
  </si>
  <si>
    <t xml:space="preserve">Room 8 </t>
  </si>
  <si>
    <t>1v4</t>
  </si>
  <si>
    <t>2v3</t>
  </si>
  <si>
    <t>2v4</t>
  </si>
  <si>
    <t>HST</t>
  </si>
  <si>
    <t>PDT</t>
  </si>
  <si>
    <t>MDT</t>
  </si>
  <si>
    <t>CDT</t>
  </si>
  <si>
    <t>EDT</t>
  </si>
  <si>
    <t>Opening Ceremony</t>
  </si>
  <si>
    <t>Round Robin 1</t>
  </si>
  <si>
    <t>Round Robin 2</t>
  </si>
  <si>
    <t>Round Robin 3</t>
  </si>
  <si>
    <t>Round of 16</t>
  </si>
  <si>
    <t>Quarterfinals</t>
  </si>
  <si>
    <t>Semifinals</t>
  </si>
  <si>
    <t>Finals</t>
  </si>
  <si>
    <t>Awards Ceremony</t>
  </si>
  <si>
    <t>3v4</t>
  </si>
  <si>
    <t>Functioning Group</t>
  </si>
  <si>
    <t>Team 5</t>
  </si>
  <si>
    <t>Team 6</t>
  </si>
  <si>
    <t>Team 7</t>
  </si>
  <si>
    <t>Team 8</t>
  </si>
  <si>
    <t>Test data 3-way tie 1st</t>
  </si>
  <si>
    <t>Group C</t>
  </si>
  <si>
    <t>Group D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</si>
  <si>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</si>
  <si>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</si>
  <si>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</si>
  <si>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</si>
  <si>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</si>
  <si>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</si>
  <si>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</si>
  <si>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</si>
  <si>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Test data no ties</t>
  </si>
  <si>
    <t>Test data 3-way tie 2nd</t>
  </si>
  <si>
    <t>Group E</t>
  </si>
  <si>
    <t>Group F</t>
  </si>
  <si>
    <t>Team 17</t>
  </si>
  <si>
    <t>Team 18</t>
  </si>
  <si>
    <t>Team 19</t>
  </si>
  <si>
    <t>Team 20</t>
  </si>
  <si>
    <t>Team 21</t>
  </si>
  <si>
    <t>Team 22</t>
  </si>
  <si>
    <t>Team 23</t>
  </si>
  <si>
    <t>Team 24</t>
  </si>
  <si>
    <t>Test data 3-way tie 1st transposed</t>
  </si>
  <si>
    <t>Test data 3-way tie 2nd transposed</t>
  </si>
  <si>
    <t>1st Place:</t>
  </si>
  <si>
    <t>2nd Place:</t>
  </si>
  <si>
    <t>3rd Place:</t>
  </si>
  <si>
    <t>3rd place list</t>
  </si>
  <si>
    <t>PPG 1</t>
  </si>
  <si>
    <t>PPG 2</t>
  </si>
  <si>
    <t>PPG 3</t>
  </si>
  <si>
    <t>PPG 4</t>
  </si>
  <si>
    <t>Group G</t>
  </si>
  <si>
    <t>peoples</t>
  </si>
  <si>
    <t>ppgs</t>
  </si>
  <si>
    <t>peoples again</t>
  </si>
  <si>
    <t>worse peoples</t>
  </si>
  <si>
    <t>sorted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</si>
</sst>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0">
    <font>
      <sz val="10.0"/>
      <color rgb="FF000000"/>
      <name val="Arial"/>
    </font>
    <font>
      <name val="Arial"/>
    </font>
    <font>
      <color rgb="FFFFFFFF"/>
    </font>
    <font>
      <color rgb="FFFFFFFF"/>
      <name val="Arial"/>
    </font>
    <font>
      <sz val="33.0"/>
      <name val="Arial"/>
    </font>
    <font>
      <sz val="16.0"/>
      <name val="Arial"/>
    </font>
    <font/>
    <font>
      <sz val="24.0"/>
      <color rgb="FFFFFFFF"/>
    </font>
    <font>
      <sz val="24.0"/>
      <color rgb="FFFFFFFF"/>
      <name val="Barlow"/>
    </font>
    <font>
      <sz val="18.0"/>
    </font>
  </fonts>
  <fills count="9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38B6FF"/>
        <bgColor rgb="FF38B6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2" fontId="2" numFmtId="0" xfId="0" applyAlignment="1" applyFill="1" applyFont="1">
      <alignment shrinkToFit="0" wrapText="1"/>
    </xf>
    <xf borderId="1" fillId="3" fontId="3" numFmtId="0" xfId="0" applyAlignment="1" applyBorder="1" applyFill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2" fillId="4" fontId="1" numFmtId="0" xfId="0" applyAlignment="1" applyBorder="1" applyFill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3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shrinkToFit="0" textRotation="90" vertical="bottom" wrapText="1"/>
    </xf>
    <xf borderId="4" fillId="4" fontId="1" numFmtId="0" xfId="0" applyAlignment="1" applyBorder="1" applyFill="1" applyFont="1">
      <alignment shrinkToFit="0" vertical="bottom" wrapText="1"/>
    </xf>
    <xf borderId="0" fillId="5" fontId="1" numFmtId="0" xfId="0" applyAlignment="1" applyFill="1" applyFont="1">
      <alignment horizontal="right" shrinkToFit="0" vertical="bottom" wrapText="1"/>
    </xf>
    <xf borderId="5" fillId="2" fontId="2" numFmtId="0" xfId="0" applyAlignment="1" applyBorder="1" applyFill="1" applyFont="1">
      <alignment shrinkToFit="0" wrapText="1"/>
    </xf>
    <xf borderId="0" fillId="0" fontId="5" numFmtId="0" xfId="0" applyAlignment="1" applyFont="1">
      <alignment shrinkToFit="0" vertical="bottom" wrapText="1"/>
    </xf>
    <xf borderId="4" fillId="4" fontId="1" numFmtId="0" xfId="0" applyAlignment="1" applyBorder="1" applyFill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6" fontId="1" numFmtId="0" xfId="0" applyAlignment="1" applyFill="1" applyFont="1">
      <alignment shrinkToFit="0" vertical="bottom" wrapText="1"/>
    </xf>
    <xf borderId="6" fillId="2" fontId="2" numFmtId="0" xfId="0" applyAlignment="1" applyBorder="1" applyFill="1" applyFont="1">
      <alignment shrinkToFit="0" wrapText="1"/>
    </xf>
    <xf borderId="0" fillId="5" fontId="1" numFmtId="0" xfId="0" applyAlignment="1" applyFill="1" applyFont="1">
      <alignment shrinkToFit="0" vertical="bottom" wrapText="1"/>
    </xf>
    <xf borderId="0" fillId="7" fontId="1" numFmtId="0" xfId="0" applyAlignment="1" applyFill="1" applyFont="1">
      <alignment shrinkToFit="0" vertical="bottom" wrapText="1"/>
    </xf>
    <xf borderId="5" fillId="0" fontId="6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  <xf borderId="4" fillId="0" fontId="1" numFmtId="0" xfId="0" applyAlignment="1" applyBorder="1" applyFont="1">
      <alignment shrinkToFit="0" vertical="bottom" wrapText="1"/>
    </xf>
    <xf borderId="0" fillId="2" fontId="7" numFmtId="0" xfId="0" applyAlignment="1" applyFill="1" applyFont="1">
      <alignment shrinkToFit="0" wrapText="1"/>
    </xf>
    <xf borderId="0" fillId="2" fontId="8" numFmtId="0" xfId="0" applyAlignment="1" applyFill="1" applyFont="1">
      <alignment horizontal="center" readingOrder="0" shrinkToFit="0" wrapText="1"/>
    </xf>
    <xf borderId="0" fillId="2" fontId="7" numFmtId="0" xfId="0" applyAlignment="1" applyFill="1" applyFont="1">
      <alignment horizontal="center" shrinkToFit="0" wrapText="1"/>
    </xf>
    <xf borderId="0" fillId="0" fontId="1" numFmtId="0" xfId="0" applyAlignment="1" applyFont="1">
      <alignment horizontal="right" shrinkToFit="0" vertical="bottom" wrapText="1"/>
    </xf>
    <xf borderId="0" fillId="2" fontId="7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shrinkToFit="0" vertical="bottom" wrapText="1"/>
    </xf>
    <xf borderId="6" fillId="2" fontId="7" numFmtId="0" xfId="0" applyAlignment="1" applyBorder="1" applyFill="1" applyFont="1">
      <alignment shrinkToFit="0" wrapText="1"/>
    </xf>
    <xf borderId="0" fillId="0" fontId="1" numFmtId="0" xfId="0" applyAlignment="1" applyFont="1">
      <alignment readingOrder="0" shrinkToFit="0" vertical="bottom" wrapText="1"/>
    </xf>
    <xf borderId="7" fillId="2" fontId="2" numFmtId="0" xfId="0" applyAlignment="1" applyBorder="1" applyFill="1" applyFont="1">
      <alignment readingOrder="0" shrinkToFit="0" wrapText="1"/>
    </xf>
    <xf borderId="1" fillId="3" fontId="3" numFmtId="0" xfId="0" applyAlignment="1" applyBorder="1" applyFill="1" applyFont="1">
      <alignment shrinkToFit="0" vertical="bottom" wrapText="1"/>
    </xf>
    <xf borderId="8" fillId="2" fontId="2" numFmtId="0" xfId="0" applyAlignment="1" applyBorder="1" applyFill="1" applyFont="1">
      <alignment readingOrder="0" shrinkToFit="0" wrapText="1"/>
    </xf>
    <xf borderId="9" fillId="2" fontId="2" numFmtId="0" xfId="0" applyAlignment="1" applyBorder="1" applyFill="1" applyFont="1">
      <alignment readingOrder="0" shrinkToFit="0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2" fontId="8" numFmtId="0" xfId="0" applyAlignment="1" applyFill="1" applyFont="1">
      <alignment horizontal="center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shrinkToFit="0" textRotation="90" vertical="bottom" wrapText="1"/>
    </xf>
    <xf borderId="1" fillId="4" fontId="1" numFmtId="0" xfId="0" applyAlignment="1" applyBorder="1" applyFill="1" applyFont="1">
      <alignment shrinkToFit="0" vertical="bottom" wrapText="1"/>
    </xf>
    <xf borderId="10" fillId="4" fontId="1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6" fontId="6" numFmtId="0" xfId="0" applyAlignment="1" applyFill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2" fontId="6" numFmtId="0" xfId="0" applyAlignment="1" applyFill="1" applyFont="1">
      <alignment shrinkToFit="0" wrapText="1"/>
    </xf>
    <xf borderId="6" fillId="2" fontId="6" numFmtId="0" xfId="0" applyAlignment="1" applyBorder="1" applyFill="1" applyFont="1">
      <alignment shrinkToFit="0" wrapText="1"/>
    </xf>
    <xf borderId="0" fillId="0" fontId="1" numFmtId="0" xfId="0" applyAlignment="1" applyFont="1">
      <alignment horizontal="right" shrinkToFit="0" vertical="bottom" wrapText="1"/>
    </xf>
    <xf borderId="6" fillId="0" fontId="6" numFmtId="0" xfId="0" applyAlignment="1" applyBorder="1" applyFont="1">
      <alignment shrinkToFit="0" wrapText="1"/>
    </xf>
    <xf borderId="0" fillId="5" fontId="1" numFmtId="0" xfId="0" applyAlignment="1" applyFill="1" applyFont="1">
      <alignment shrinkToFit="0" vertical="bottom" wrapText="0"/>
    </xf>
    <xf borderId="0" fillId="6" fontId="1" numFmtId="0" xfId="0" applyAlignment="1" applyFill="1" applyFont="1">
      <alignment shrinkToFit="0" vertical="bottom" wrapText="1"/>
    </xf>
    <xf borderId="0" fillId="3" fontId="3" numFmtId="0" xfId="0" applyAlignment="1" applyFill="1" applyFont="1">
      <alignment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164" xfId="0" applyAlignment="1" applyFont="1" applyNumberFormat="1">
      <alignment readingOrder="0" shrinkToFit="0" wrapText="1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textRotation="90" wrapText="1"/>
    </xf>
    <xf borderId="0" fillId="8" fontId="1" numFmtId="0" xfId="0" applyAlignment="1" applyFill="1" applyFont="1">
      <alignment horizontal="center" shrinkToFit="0" vertical="bottom" wrapText="1"/>
    </xf>
    <xf borderId="0" fillId="8" fontId="1" numFmtId="0" xfId="0" applyAlignment="1" applyFill="1" applyFont="1">
      <alignment shrinkToFit="0" vertical="bottom" wrapText="1"/>
    </xf>
    <xf borderId="0" fillId="8" fontId="1" numFmtId="0" xfId="0" applyAlignment="1" applyFill="1" applyFont="1">
      <alignment shrinkToFit="0" vertical="bottom" wrapText="1"/>
    </xf>
    <xf borderId="0" fillId="8" fontId="1" numFmtId="0" xfId="0" applyAlignment="1" applyFill="1" applyFont="1">
      <alignment shrinkToFit="0" vertical="bottom" wrapText="0"/>
    </xf>
    <xf borderId="0" fillId="5" fontId="1" numFmtId="0" xfId="0" applyAlignment="1" applyFill="1" applyFont="1">
      <alignment readingOrder="0" shrinkToFit="0" vertical="bottom" wrapText="1"/>
    </xf>
    <xf borderId="0" fillId="5" fontId="1" numFmtId="0" xfId="0" applyAlignment="1" applyFill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7" fontId="1" numFmtId="0" xfId="0" applyAlignment="1" applyFill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7" fontId="1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1.13"/>
    <col customWidth="1" min="2" max="2" width="3.75"/>
    <col customWidth="1" min="3" max="3" width="21.13"/>
    <col customWidth="1" min="4" max="4" width="3.75"/>
    <col customWidth="1" min="5" max="5" width="21.13"/>
    <col customWidth="1" min="6" max="6" width="3.75"/>
    <col customWidth="1" min="7" max="7" width="21.13"/>
    <col customWidth="1" min="8" max="8" width="3.75"/>
    <col customWidth="1" min="9" max="9" width="21.13"/>
  </cols>
  <sheetData>
    <row r="1">
      <c r="A1" s="3" t="str">
        <f>IFERROR('Hidden Sheet'!B87,"Seed 1")</f>
        <v>North Hollywood</v>
      </c>
      <c r="B1" s="5">
        <v>136.0</v>
      </c>
      <c r="C1" s="7"/>
      <c r="D1" s="10"/>
      <c r="E1" s="7"/>
      <c r="F1" s="7"/>
      <c r="G1" s="7"/>
      <c r="H1" s="7"/>
      <c r="I1" s="7"/>
    </row>
    <row r="2">
      <c r="A2" s="11" t="s">
        <v>2</v>
      </c>
      <c r="B2" s="13"/>
      <c r="C2" s="3" t="str">
        <f>IFS(B1&gt;B3,A1,B3&gt;B1,A3,B3=B1,)</f>
        <v>North Hollywood</v>
      </c>
      <c r="D2" s="17">
        <v>126.0</v>
      </c>
      <c r="E2" s="7"/>
      <c r="F2" s="7"/>
      <c r="G2" s="19"/>
      <c r="H2" s="7"/>
      <c r="I2" s="19"/>
    </row>
    <row r="3">
      <c r="A3" s="3" t="str">
        <f>IFERROR('Hidden Sheet'!E94,"Seed 16")</f>
        <v>University B</v>
      </c>
      <c r="B3" s="17">
        <v>12.0</v>
      </c>
      <c r="C3" s="25"/>
      <c r="D3" s="13"/>
      <c r="E3" s="7"/>
      <c r="F3" s="10"/>
      <c r="G3" s="19"/>
      <c r="H3" s="7"/>
      <c r="I3" s="19"/>
    </row>
    <row r="4">
      <c r="A4" s="25"/>
      <c r="B4" s="27"/>
      <c r="C4" s="11" t="s">
        <v>2</v>
      </c>
      <c r="D4" s="13"/>
      <c r="E4" s="37" t="str">
        <f>IFS(D2&gt;D6,C2,D2&lt;D6,C6,D2=D6,)</f>
        <v>North Hollywood</v>
      </c>
      <c r="F4" s="17">
        <v>106.0</v>
      </c>
      <c r="G4" s="19"/>
      <c r="H4" s="7"/>
      <c r="I4" s="19"/>
    </row>
    <row r="5">
      <c r="A5" s="3" t="str">
        <f>IFERROR('Hidden Sheet'!B94,"Seed 8")</f>
        <v>Clovis North</v>
      </c>
      <c r="B5" s="17">
        <v>82.0</v>
      </c>
      <c r="C5" s="25"/>
      <c r="D5" s="13"/>
      <c r="E5" s="25"/>
      <c r="F5" s="13"/>
      <c r="G5" s="19"/>
      <c r="H5" s="7"/>
      <c r="I5" s="19"/>
    </row>
    <row r="6">
      <c r="A6" s="11" t="s">
        <v>8</v>
      </c>
      <c r="B6" s="13"/>
      <c r="C6" s="3" t="str">
        <f>IFS(B5&gt;B7,A5,B7&gt;B5,A7,B7=B5,)</f>
        <v>Clovis North</v>
      </c>
      <c r="D6" s="17">
        <v>18.0</v>
      </c>
      <c r="E6" s="25"/>
      <c r="F6" s="45"/>
      <c r="G6" s="7"/>
      <c r="H6" s="7"/>
      <c r="I6" s="7"/>
    </row>
    <row r="7">
      <c r="A7" s="3" t="str">
        <f>IFERROR('Hidden Sheet'!E87,"Seed 9")</f>
        <v>Green Hope</v>
      </c>
      <c r="B7" s="17">
        <v>68.0</v>
      </c>
      <c r="C7" s="25"/>
      <c r="D7" s="10"/>
      <c r="F7" s="46"/>
      <c r="G7" s="7"/>
      <c r="H7" s="10"/>
      <c r="I7" s="7"/>
    </row>
    <row r="8">
      <c r="A8" s="25"/>
      <c r="B8" s="27"/>
      <c r="C8" s="25"/>
      <c r="D8" s="27"/>
      <c r="E8" s="47" t="s">
        <v>65</v>
      </c>
      <c r="F8" s="13"/>
      <c r="G8" s="37" t="str">
        <f>IFS(F4&gt;F12,E4,F4&lt;F12,E12,F4=F12,)</f>
        <v>North Hollywood</v>
      </c>
      <c r="H8" s="17">
        <v>72.0</v>
      </c>
      <c r="I8" s="7"/>
    </row>
    <row r="9">
      <c r="A9" s="3" t="str">
        <f>IFERROR('Hidden Sheet'!B90,"Seed 4")</f>
        <v>Lynbrook A</v>
      </c>
      <c r="B9" s="17">
        <v>100.0</v>
      </c>
      <c r="C9" s="25"/>
      <c r="D9" s="27"/>
      <c r="E9" s="25"/>
      <c r="F9" s="13"/>
      <c r="G9" s="25"/>
      <c r="H9" s="13"/>
      <c r="I9" s="7"/>
    </row>
    <row r="10">
      <c r="A10" s="11" t="s">
        <v>66</v>
      </c>
      <c r="B10" s="13"/>
      <c r="C10" s="37" t="str">
        <f>IFS(B9&gt;B11,A9,B11&gt;B9,A11,B11=B9,)</f>
        <v>Lynbrook A</v>
      </c>
      <c r="D10" s="17">
        <v>120.0</v>
      </c>
      <c r="E10" s="25"/>
      <c r="F10" s="13"/>
      <c r="G10" s="25"/>
      <c r="H10" s="13"/>
      <c r="I10" s="7"/>
    </row>
    <row r="11">
      <c r="A11" s="3" t="str">
        <f>IFERROR('Hidden Sheet'!E91, "Seed 13")</f>
        <v>TJHSST B</v>
      </c>
      <c r="B11" s="17">
        <v>38.0</v>
      </c>
      <c r="C11" s="25"/>
      <c r="D11" s="13"/>
      <c r="E11" s="25"/>
      <c r="F11" s="13"/>
      <c r="G11" s="25"/>
      <c r="H11" s="13"/>
      <c r="I11" s="7"/>
    </row>
    <row r="12">
      <c r="A12" s="25"/>
      <c r="B12" s="27"/>
      <c r="C12" s="11" t="s">
        <v>8</v>
      </c>
      <c r="D12" s="13"/>
      <c r="E12" s="37" t="str">
        <f>IFS(D10&gt;D14,C10,D10&lt;D14,C14,D10=D14,)</f>
        <v>Lynbrook A</v>
      </c>
      <c r="F12" s="17">
        <v>-8.0</v>
      </c>
      <c r="G12" s="25"/>
      <c r="H12" s="13"/>
      <c r="I12" s="7"/>
    </row>
    <row r="13">
      <c r="A13" s="3" t="str">
        <f>IFERROR('Hidden Sheet'!B91,"Seed 5")</f>
        <v>Iolani</v>
      </c>
      <c r="B13" s="17">
        <v>78.0</v>
      </c>
      <c r="C13" s="25"/>
      <c r="D13" s="13"/>
      <c r="E13" s="25"/>
      <c r="F13" s="27"/>
      <c r="G13" s="25"/>
      <c r="H13" s="13"/>
      <c r="I13" s="7"/>
    </row>
    <row r="14">
      <c r="A14" s="11" t="s">
        <v>68</v>
      </c>
      <c r="B14" s="13"/>
      <c r="C14" s="37" t="str">
        <f>IFS(B13&gt;B15,A13,B15&gt;B13,A15,B15=B13,)</f>
        <v>Iolani</v>
      </c>
      <c r="D14" s="17">
        <v>-8.0</v>
      </c>
      <c r="E14" s="25"/>
      <c r="F14" s="27"/>
      <c r="G14" s="25"/>
      <c r="H14" s="13"/>
      <c r="I14" s="7"/>
    </row>
    <row r="15">
      <c r="A15" s="3" t="str">
        <f>IFERROR('Hidden Sheet'!E90,"Seed 12")</f>
        <v>Jordan</v>
      </c>
      <c r="B15" s="17">
        <v>54.0</v>
      </c>
      <c r="C15" s="25"/>
      <c r="D15" s="27"/>
      <c r="E15" s="25"/>
      <c r="F15" s="27"/>
      <c r="G15" s="25"/>
      <c r="H15" s="13"/>
      <c r="I15" s="7"/>
    </row>
    <row r="16">
      <c r="A16" s="25"/>
      <c r="B16" s="27"/>
      <c r="C16" s="25"/>
      <c r="D16" s="27"/>
      <c r="E16" s="25"/>
      <c r="F16" s="27"/>
      <c r="G16" s="11" t="s">
        <v>65</v>
      </c>
      <c r="H16" s="13"/>
      <c r="I16" s="56" t="str">
        <f>IFS(H8&gt;H24,G8,H8&lt;H24,G24,H8=H24,)</f>
        <v>North Hollywood</v>
      </c>
    </row>
    <row r="17">
      <c r="A17" s="3" t="str">
        <f>IFERROR('Hidden Sheet'!B88,"Seed 2")</f>
        <v>Canyon Crest Academy</v>
      </c>
      <c r="B17" s="17">
        <v>82.0</v>
      </c>
      <c r="C17" s="25"/>
      <c r="D17" s="27"/>
      <c r="E17" s="25"/>
      <c r="F17" s="27"/>
      <c r="G17" s="25"/>
      <c r="H17" s="13"/>
      <c r="I17" s="7"/>
    </row>
    <row r="18">
      <c r="A18" s="11" t="s">
        <v>69</v>
      </c>
      <c r="B18" s="13"/>
      <c r="C18" s="37" t="str">
        <f>IFS(B17&gt;B19,A17,B19&gt;B17,A19,B19=B17,)</f>
        <v>Canyon Crest Academy</v>
      </c>
      <c r="D18" s="17">
        <v>78.0</v>
      </c>
      <c r="E18" s="25"/>
      <c r="F18" s="27"/>
      <c r="G18" s="25"/>
      <c r="H18" s="13"/>
      <c r="I18" s="7"/>
    </row>
    <row r="19">
      <c r="A19" s="3" t="str">
        <f>IFERROR('Hidden Sheet'!E93,"Seed 15")</f>
        <v>McLean A</v>
      </c>
      <c r="B19" s="17">
        <v>34.0</v>
      </c>
      <c r="C19" s="25"/>
      <c r="D19" s="13"/>
      <c r="E19" s="25"/>
      <c r="F19" s="27"/>
      <c r="G19" s="25"/>
      <c r="H19" s="13"/>
      <c r="I19" s="7"/>
    </row>
    <row r="20">
      <c r="A20" s="25"/>
      <c r="B20" s="27"/>
      <c r="C20" s="11" t="s">
        <v>66</v>
      </c>
      <c r="D20" s="13"/>
      <c r="E20" s="37" t="str">
        <f>IFS(D18&gt;D22,C18,D18&lt;D22,C22,D18=D22,)</f>
        <v>Interlake A</v>
      </c>
      <c r="F20" s="17">
        <v>20.0</v>
      </c>
      <c r="G20" s="25"/>
      <c r="H20" s="13"/>
      <c r="I20" s="7"/>
    </row>
    <row r="21">
      <c r="A21" s="3" t="str">
        <f>IFERROR('Hidden Sheet'!B93,"Seed 7")</f>
        <v>Amador Valley A</v>
      </c>
      <c r="B21" s="17">
        <v>58.0</v>
      </c>
      <c r="C21" s="25"/>
      <c r="D21" s="13"/>
      <c r="E21" s="25"/>
      <c r="F21" s="13"/>
      <c r="G21" s="25"/>
      <c r="H21" s="13"/>
      <c r="I21" s="7"/>
    </row>
    <row r="22">
      <c r="A22" s="11" t="s">
        <v>71</v>
      </c>
      <c r="B22" s="13"/>
      <c r="C22" s="37" t="str">
        <f>IFS(B21&gt;B23,A21,B23&gt;B21,A23,B23=B21,)</f>
        <v>Interlake A</v>
      </c>
      <c r="D22" s="17">
        <v>82.0</v>
      </c>
      <c r="E22" s="25"/>
      <c r="F22" s="13"/>
      <c r="G22" s="25"/>
      <c r="H22" s="13"/>
      <c r="I22" s="7"/>
    </row>
    <row r="23">
      <c r="A23" s="3" t="str">
        <f>IFERROR('Hidden Sheet'!E88,"Seed 10")</f>
        <v>Interlake A</v>
      </c>
      <c r="B23" s="17">
        <v>90.0</v>
      </c>
      <c r="C23" s="25"/>
      <c r="D23" s="27"/>
      <c r="E23" s="25"/>
      <c r="F23" s="13"/>
      <c r="G23" s="25"/>
      <c r="H23" s="13"/>
      <c r="I23" s="7"/>
    </row>
    <row r="24">
      <c r="A24" s="25"/>
      <c r="B24" s="27"/>
      <c r="C24" s="25"/>
      <c r="D24" s="27"/>
      <c r="E24" s="11" t="s">
        <v>72</v>
      </c>
      <c r="F24" s="13"/>
      <c r="G24" s="37" t="str">
        <f>IFS(F20&gt;F28,E20,F20&lt;F28,E28,F20=F28,)</f>
        <v>Clements</v>
      </c>
      <c r="H24" s="17">
        <v>70.0</v>
      </c>
      <c r="I24" s="7"/>
    </row>
    <row r="25">
      <c r="A25" s="3" t="str">
        <f>IFERROR('Hidden Sheet'!B89,"Seed 3")</f>
        <v>WWPN</v>
      </c>
      <c r="B25" s="17">
        <v>86.0</v>
      </c>
      <c r="C25" s="25"/>
      <c r="D25" s="27"/>
      <c r="E25" s="25"/>
      <c r="F25" s="13"/>
      <c r="G25" s="7"/>
      <c r="H25" s="7"/>
      <c r="I25" s="7"/>
    </row>
    <row r="26">
      <c r="A26" s="11" t="s">
        <v>73</v>
      </c>
      <c r="B26" s="13"/>
      <c r="C26" s="37" t="str">
        <f>IFS(B25&gt;B27,A25,B27&gt;B25,A27,B27=B25,)</f>
        <v>WWPN</v>
      </c>
      <c r="D26" s="17">
        <v>28.0</v>
      </c>
      <c r="E26" s="25"/>
      <c r="F26" s="13"/>
      <c r="G26" s="7"/>
      <c r="H26" s="7"/>
      <c r="I26" s="7"/>
    </row>
    <row r="27">
      <c r="A27" s="3" t="str">
        <f>IFERROR('Hidden Sheet'!E92,"Seed 14")</f>
        <v>TJHSST A</v>
      </c>
      <c r="B27" s="17">
        <v>78.0</v>
      </c>
      <c r="C27" s="25"/>
      <c r="D27" s="13"/>
      <c r="E27" s="25"/>
      <c r="F27" s="13"/>
      <c r="G27" s="7"/>
      <c r="H27" s="7"/>
      <c r="I27" s="7"/>
      <c r="J27" s="7"/>
    </row>
    <row r="28">
      <c r="A28" s="25"/>
      <c r="B28" s="27"/>
      <c r="C28" s="11" t="s">
        <v>68</v>
      </c>
      <c r="D28" s="13"/>
      <c r="E28" s="37" t="str">
        <f>IFS(D26&gt;D30,C26,D26&lt;D30,C30,D26=D30,)</f>
        <v>Clements</v>
      </c>
      <c r="F28" s="17">
        <v>54.0</v>
      </c>
      <c r="G28" s="7"/>
      <c r="H28" s="7"/>
      <c r="I28" s="7"/>
    </row>
    <row r="29">
      <c r="A29" s="3" t="str">
        <f>IFERROR('Hidden Sheet'!B92,"Seed 6")</f>
        <v>Clements</v>
      </c>
      <c r="B29" s="17">
        <v>84.0</v>
      </c>
      <c r="C29" s="25"/>
      <c r="D29" s="13"/>
      <c r="E29" s="7"/>
      <c r="F29" s="7"/>
      <c r="G29" s="7"/>
      <c r="H29" s="7"/>
      <c r="I29" s="7"/>
    </row>
    <row r="30">
      <c r="A30" s="11" t="s">
        <v>74</v>
      </c>
      <c r="B30" s="13"/>
      <c r="C30" s="37" t="str">
        <f>IFS(B29&gt;B31,A29,B31&gt;B29,A31,B31=B29,)</f>
        <v>Clements</v>
      </c>
      <c r="D30" s="17">
        <v>118.0</v>
      </c>
      <c r="E30" s="7"/>
      <c r="F30" s="7"/>
      <c r="G30" s="7"/>
      <c r="H30" s="7"/>
      <c r="I30" s="7"/>
    </row>
    <row r="31">
      <c r="A31" s="3" t="str">
        <f>IFERROR('Hidden Sheet'!E89,"Seed 11")</f>
        <v>University A</v>
      </c>
      <c r="B31" s="17">
        <v>76.0</v>
      </c>
      <c r="C31" s="7"/>
      <c r="D31" s="7"/>
      <c r="E31" s="7"/>
      <c r="F31" s="7"/>
      <c r="G31" s="7"/>
      <c r="H31" s="7"/>
      <c r="I3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2" max="2" width="21.13"/>
    <col customWidth="1" min="3" max="6" width="3.88"/>
    <col customWidth="1" min="7" max="7" width="6.38"/>
    <col customWidth="1" min="8" max="8" width="3.88"/>
    <col customWidth="1" min="10" max="10" width="21.13"/>
    <col customWidth="1" min="11" max="14" width="3.88"/>
    <col customWidth="1" min="15" max="15" width="6.38"/>
    <col customWidth="1" min="16" max="16" width="3.88"/>
    <col customWidth="1" min="18" max="18" width="6.38"/>
    <col customWidth="1" min="19" max="19" width="15.13"/>
    <col customWidth="1" min="20" max="23" width="3.88"/>
    <col customWidth="1" min="24" max="24" width="6.38"/>
    <col customWidth="1" min="25" max="25" width="3.88"/>
    <col customWidth="1" min="26" max="26" width="6.38"/>
  </cols>
  <sheetData>
    <row r="1">
      <c r="A1" s="4"/>
      <c r="B1" s="6" t="s">
        <v>1</v>
      </c>
      <c r="I1" s="8"/>
      <c r="J1" s="8"/>
      <c r="K1" s="8"/>
      <c r="L1" s="8"/>
      <c r="M1" s="8"/>
      <c r="N1" s="8"/>
      <c r="O1" s="8"/>
      <c r="P1" s="8"/>
      <c r="Q1" s="8"/>
      <c r="R1" s="6"/>
    </row>
    <row r="2">
      <c r="I2" s="8"/>
      <c r="J2" s="8"/>
      <c r="K2" s="8"/>
      <c r="L2" s="8"/>
      <c r="M2" s="8"/>
      <c r="N2" s="8"/>
      <c r="O2" s="8"/>
      <c r="P2" s="8"/>
      <c r="Q2" s="8"/>
    </row>
    <row r="3">
      <c r="I3" s="8"/>
      <c r="J3" s="8"/>
      <c r="K3" s="8"/>
      <c r="L3" s="8"/>
      <c r="M3" s="8"/>
      <c r="N3" s="8"/>
      <c r="O3" s="8"/>
      <c r="P3" s="8"/>
      <c r="Q3" s="8"/>
    </row>
    <row r="4">
      <c r="B4" s="8"/>
      <c r="C4" s="12" t="str">
        <f>B7</f>
        <v>Team 1</v>
      </c>
      <c r="D4" s="12" t="str">
        <f>B8</f>
        <v>Team 2</v>
      </c>
      <c r="E4" s="12" t="str">
        <f>B9</f>
        <v>Team 3</v>
      </c>
      <c r="F4" s="12" t="str">
        <f>B10</f>
        <v>Team 4</v>
      </c>
      <c r="G4" s="9" t="s">
        <v>3</v>
      </c>
      <c r="H4" s="12" t="s">
        <v>4</v>
      </c>
      <c r="I4" s="8"/>
      <c r="J4" s="8"/>
      <c r="K4" s="8"/>
      <c r="L4" s="8"/>
      <c r="M4" s="8"/>
      <c r="N4" s="8"/>
      <c r="O4" s="8"/>
      <c r="P4" s="8"/>
      <c r="Q4" s="8"/>
    </row>
    <row r="5">
      <c r="B5" s="8"/>
      <c r="I5" s="8"/>
      <c r="J5" s="8"/>
      <c r="K5" s="8"/>
      <c r="L5" s="8"/>
      <c r="M5" s="8"/>
      <c r="N5" s="8"/>
      <c r="O5" s="8"/>
      <c r="P5" s="8"/>
      <c r="Q5" s="8"/>
    </row>
    <row r="6">
      <c r="B6" s="8"/>
      <c r="I6" s="8"/>
      <c r="J6" s="16" t="s">
        <v>5</v>
      </c>
      <c r="L6" s="18"/>
      <c r="M6" s="18"/>
      <c r="N6" s="18"/>
      <c r="O6" s="18"/>
      <c r="P6" s="18"/>
      <c r="Q6" s="4"/>
    </row>
    <row r="7" ht="15.75" customHeight="1">
      <c r="B7" s="9" t="s">
        <v>6</v>
      </c>
      <c r="C7" s="20"/>
      <c r="D7" s="8"/>
      <c r="E7" s="8"/>
      <c r="F7" s="8"/>
      <c r="G7" s="8" t="str">
        <f t="shared" ref="G7:G10" si="1">IFERROR(ROUND(AVERAGE(C7:F7),2),)</f>
        <v/>
      </c>
      <c r="H7" s="8" t="str">
        <f>'Hidden Sheet'!Y5</f>
        <v/>
      </c>
      <c r="I7" s="8"/>
      <c r="J7" s="26" t="s">
        <v>2</v>
      </c>
      <c r="K7" s="26" t="s">
        <v>8</v>
      </c>
      <c r="P7" s="18"/>
      <c r="Q7" s="4"/>
    </row>
    <row r="8" ht="15.75" customHeight="1">
      <c r="B8" s="9" t="s">
        <v>9</v>
      </c>
      <c r="C8" s="8"/>
      <c r="D8" s="20"/>
      <c r="E8" s="8"/>
      <c r="F8" s="8"/>
      <c r="G8" s="8" t="str">
        <f t="shared" si="1"/>
        <v/>
      </c>
      <c r="H8" s="8" t="str">
        <f>'Hidden Sheet'!Z5</f>
        <v/>
      </c>
      <c r="I8" s="31" t="s">
        <v>11</v>
      </c>
      <c r="J8" s="26" t="s">
        <v>13</v>
      </c>
      <c r="K8" s="33" t="s">
        <v>14</v>
      </c>
      <c r="P8" s="18"/>
      <c r="Q8" s="35" t="s">
        <v>17</v>
      </c>
    </row>
    <row r="9" ht="15.75" customHeight="1">
      <c r="B9" s="9" t="s">
        <v>19</v>
      </c>
      <c r="C9" s="8"/>
      <c r="D9" s="8"/>
      <c r="E9" s="20"/>
      <c r="F9" s="8"/>
      <c r="G9" s="8" t="str">
        <f t="shared" si="1"/>
        <v/>
      </c>
      <c r="H9" s="8" t="str">
        <f>'Hidden Sheet'!AA5</f>
        <v/>
      </c>
      <c r="I9" s="31" t="s">
        <v>24</v>
      </c>
      <c r="J9" s="26" t="s">
        <v>25</v>
      </c>
      <c r="K9" s="33" t="s">
        <v>26</v>
      </c>
      <c r="P9" s="18"/>
      <c r="Q9" s="35" t="s">
        <v>27</v>
      </c>
    </row>
    <row r="10" ht="15.75" customHeight="1">
      <c r="B10" s="9" t="s">
        <v>31</v>
      </c>
      <c r="C10" s="8"/>
      <c r="D10" s="8"/>
      <c r="E10" s="8"/>
      <c r="F10" s="20"/>
      <c r="G10" s="8" t="str">
        <f t="shared" si="1"/>
        <v/>
      </c>
      <c r="H10" s="8" t="str">
        <f>'Hidden Sheet'!AB5</f>
        <v/>
      </c>
      <c r="I10" s="31" t="s">
        <v>39</v>
      </c>
      <c r="J10" s="40" t="s">
        <v>41</v>
      </c>
      <c r="K10" s="41" t="s">
        <v>42</v>
      </c>
      <c r="P10" s="18"/>
      <c r="Q10" s="35" t="s">
        <v>44</v>
      </c>
    </row>
    <row r="11">
      <c r="B11" s="18"/>
    </row>
    <row r="12">
      <c r="B12" s="43" t="s">
        <v>10</v>
      </c>
      <c r="I12" s="4"/>
      <c r="J12" s="43" t="s">
        <v>12</v>
      </c>
      <c r="Q12" s="4"/>
    </row>
    <row r="13">
      <c r="I13" s="4"/>
      <c r="Q13" s="4"/>
    </row>
    <row r="14">
      <c r="I14" s="4"/>
      <c r="Q14" s="4"/>
    </row>
    <row r="15" ht="34.5" customHeight="1">
      <c r="B15" s="4"/>
      <c r="C15" s="44" t="str">
        <f>B18</f>
        <v>Brooklyn Tech A</v>
      </c>
      <c r="D15" s="44" t="str">
        <f>B19</f>
        <v>Canyon Crest Academy</v>
      </c>
      <c r="E15" s="44" t="str">
        <f>B20</f>
        <v>Dulles</v>
      </c>
      <c r="F15" s="44" t="str">
        <f>B21</f>
        <v>Jordan</v>
      </c>
      <c r="G15" s="44" t="s">
        <v>3</v>
      </c>
      <c r="H15" s="44" t="s">
        <v>4</v>
      </c>
      <c r="I15" s="4"/>
      <c r="J15" s="4"/>
      <c r="K15" s="44" t="str">
        <f>J18</f>
        <v>Del Norte</v>
      </c>
      <c r="L15" s="44" t="str">
        <f>J19</f>
        <v>North Hollywood</v>
      </c>
      <c r="M15" s="44" t="str">
        <f>J20</f>
        <v>St. Mark's</v>
      </c>
      <c r="N15" s="44" t="str">
        <f>J21</f>
        <v>University A</v>
      </c>
      <c r="O15" s="44" t="s">
        <v>3</v>
      </c>
      <c r="P15" s="44" t="s">
        <v>4</v>
      </c>
      <c r="Q15" s="4"/>
    </row>
    <row r="16" ht="34.5" customHeight="1">
      <c r="B16" s="4"/>
      <c r="I16" s="4"/>
      <c r="J16" s="4"/>
      <c r="Q16" s="4"/>
    </row>
    <row r="17" ht="34.5" customHeight="1">
      <c r="B17" s="4"/>
      <c r="I17" s="4"/>
      <c r="J17" s="4"/>
      <c r="Q17" s="4"/>
    </row>
    <row r="18">
      <c r="B18" s="35" t="s">
        <v>18</v>
      </c>
      <c r="C18" s="48"/>
      <c r="D18" s="49">
        <v>-8.0</v>
      </c>
      <c r="E18" s="49">
        <v>50.0</v>
      </c>
      <c r="F18" s="49">
        <v>4.0</v>
      </c>
      <c r="G18" s="4">
        <f t="shared" ref="G18:G21" si="2">IFERROR(ROUND(AVERAGE(C18:F18),2),)</f>
        <v>15.33</v>
      </c>
      <c r="H18" s="52">
        <f>'Hidden Sheet'!D5</f>
        <v>2</v>
      </c>
      <c r="I18" s="4" t="str">
        <f>CONCATENATE(CONCAT("W: ",COUNTIF('Hidden Sheet'!D2:D4, 2)), (CONCAT(" T: ", COUNTIF('Hidden Sheet'!D2:D4, 1))), CONCAT(" L: ",COUNTIF('Hidden Sheet'!D2:D4, 0)))</f>
        <v>W: 1 T: 0 L: 2</v>
      </c>
      <c r="J18" s="35" t="s">
        <v>67</v>
      </c>
      <c r="K18" s="55"/>
      <c r="L18" s="35">
        <v>10.0</v>
      </c>
      <c r="M18" s="35">
        <v>60.0</v>
      </c>
      <c r="N18" s="35">
        <v>0.0</v>
      </c>
      <c r="O18" s="4">
        <f t="shared" ref="O18:O21" si="3">IFERROR(ROUND(AVERAGE(K18:N18),2),)</f>
        <v>23.33</v>
      </c>
      <c r="P18" s="52">
        <f>'Hidden Sheet'!P5</f>
        <v>0</v>
      </c>
      <c r="Q18" s="4" t="str">
        <f>CONCATENATE(CONCAT("W: ",COUNTIF('Hidden Sheet'!P2:P4, 2)), (CONCAT(" T: ", COUNTIF('Hidden Sheet'!P2:P4, 1))), CONCAT(" L: ",COUNTIF('Hidden Sheet'!P2:P4, 0)))</f>
        <v>W: 0 T: 0 L: 3</v>
      </c>
    </row>
    <row r="19">
      <c r="B19" s="35" t="s">
        <v>23</v>
      </c>
      <c r="C19" s="49">
        <v>164.0</v>
      </c>
      <c r="D19" s="48"/>
      <c r="E19" s="49">
        <v>176.0</v>
      </c>
      <c r="F19" s="49">
        <v>98.0</v>
      </c>
      <c r="G19" s="4">
        <f t="shared" si="2"/>
        <v>146</v>
      </c>
      <c r="H19" s="52">
        <f>'Hidden Sheet'!E5</f>
        <v>4</v>
      </c>
      <c r="I19" s="4" t="str">
        <f>CONCATENATE(CONCAT("W: ",COUNTIF('Hidden Sheet'!E2:E4, 2)), (CONCAT(" T: ", COUNTIF('Hidden Sheet'!E2:E4, 1))), CONCAT(" L: ",COUNTIF('Hidden Sheet'!E2:E4, 0)))</f>
        <v>W: 2 T: 0 L: 1</v>
      </c>
      <c r="J19" s="35" t="s">
        <v>28</v>
      </c>
      <c r="K19" s="35">
        <v>126.0</v>
      </c>
      <c r="L19" s="55"/>
      <c r="M19" s="35">
        <v>150.0</v>
      </c>
      <c r="N19" s="35">
        <v>180.0</v>
      </c>
      <c r="O19" s="4">
        <f t="shared" si="3"/>
        <v>152</v>
      </c>
      <c r="P19" s="52">
        <f>'Hidden Sheet'!Q5</f>
        <v>6</v>
      </c>
      <c r="Q19" s="4" t="str">
        <f>CONCATENATE(CONCAT("W: ",COUNTIF('Hidden Sheet'!Q2:Q4, 2)), (CONCAT(" T: ", COUNTIF('Hidden Sheet'!Q2:Q4, 1))), CONCAT(" L: ",COUNTIF('Hidden Sheet'!Q2:Q4, 0)))</f>
        <v>W: 3 T: 0 L: 0</v>
      </c>
    </row>
    <row r="20">
      <c r="B20" s="35" t="s">
        <v>32</v>
      </c>
      <c r="C20" s="49">
        <v>44.0</v>
      </c>
      <c r="D20" s="49">
        <v>32.0</v>
      </c>
      <c r="E20" s="48"/>
      <c r="F20" s="49">
        <v>82.0</v>
      </c>
      <c r="G20" s="4">
        <f t="shared" si="2"/>
        <v>52.67</v>
      </c>
      <c r="H20" s="52">
        <f>'Hidden Sheet'!F5</f>
        <v>2</v>
      </c>
      <c r="I20" s="4" t="str">
        <f>CONCATENATE(CONCAT("W: ",COUNTIF('Hidden Sheet'!F2:F4, 2)), (CONCAT(" T: ", COUNTIF('Hidden Sheet'!F2:F4, 1))), CONCAT(" L: ",COUNTIF('Hidden Sheet'!F2:F4, 0)))</f>
        <v>W: 1 T: 0 L: 2</v>
      </c>
      <c r="J20" s="35" t="s">
        <v>33</v>
      </c>
      <c r="K20" s="35">
        <v>82.0</v>
      </c>
      <c r="L20" s="35">
        <v>18.0</v>
      </c>
      <c r="M20" s="55"/>
      <c r="N20" s="35">
        <v>28.0</v>
      </c>
      <c r="O20" s="4">
        <f t="shared" si="3"/>
        <v>42.67</v>
      </c>
      <c r="P20" s="52">
        <f>'Hidden Sheet'!R5</f>
        <v>2</v>
      </c>
      <c r="Q20" s="4" t="str">
        <f>CONCATENATE(CONCAT("W: ",COUNTIF('Hidden Sheet'!R2:R4, 2)), (CONCAT(" T: ", COUNTIF('Hidden Sheet'!R2:R4, 1))), CONCAT(" L: ",COUNTIF('Hidden Sheet'!R2:R4, 0)))</f>
        <v>W: 1 T: 0 L: 2</v>
      </c>
    </row>
    <row r="21">
      <c r="B21" s="35" t="s">
        <v>36</v>
      </c>
      <c r="C21" s="49">
        <v>118.0</v>
      </c>
      <c r="D21" s="49">
        <v>114.0</v>
      </c>
      <c r="E21" s="49">
        <v>54.0</v>
      </c>
      <c r="F21" s="48"/>
      <c r="G21" s="4">
        <f t="shared" si="2"/>
        <v>95.33</v>
      </c>
      <c r="H21" s="52">
        <f>'Hidden Sheet'!G5</f>
        <v>4</v>
      </c>
      <c r="I21" s="4" t="str">
        <f>CONCATENATE(CONCAT("W: ",COUNTIF('Hidden Sheet'!G2:G4, 2)), (CONCAT(" T: ", COUNTIF('Hidden Sheet'!G2:G4, 1))), CONCAT(" L: ",COUNTIF('Hidden Sheet'!G2:G4, 0)))</f>
        <v>W: 2 T: 0 L: 1</v>
      </c>
      <c r="J21" s="35" t="s">
        <v>37</v>
      </c>
      <c r="K21" s="35">
        <v>138.0</v>
      </c>
      <c r="L21" s="35">
        <v>32.0</v>
      </c>
      <c r="M21" s="35">
        <v>124.0</v>
      </c>
      <c r="N21" s="55"/>
      <c r="O21" s="4">
        <f t="shared" si="3"/>
        <v>98</v>
      </c>
      <c r="P21" s="52">
        <f>'Hidden Sheet'!S5</f>
        <v>4</v>
      </c>
      <c r="Q21" s="4" t="str">
        <f>CONCATENATE(CONCAT("W: ",COUNTIF('Hidden Sheet'!S2:S4, 2)), (CONCAT(" T: ", COUNTIF('Hidden Sheet'!S2:S4, 1))), CONCAT(" L: ",COUNTIF('Hidden Sheet'!S2:S4, 0)))</f>
        <v>W: 2 T: 0 L: 1</v>
      </c>
    </row>
    <row r="2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B23" s="57" t="s">
        <v>15</v>
      </c>
      <c r="I23" s="4"/>
      <c r="J23" s="43" t="s">
        <v>16</v>
      </c>
      <c r="Q23" s="4"/>
    </row>
    <row r="24">
      <c r="I24" s="4"/>
      <c r="Q24" s="4"/>
    </row>
    <row r="25">
      <c r="I25" s="4"/>
      <c r="Q25" s="4"/>
    </row>
    <row r="26" ht="34.5" customHeight="1">
      <c r="B26" s="4"/>
      <c r="C26" s="44" t="str">
        <f>B29</f>
        <v>American A</v>
      </c>
      <c r="D26" s="44" t="str">
        <f>B30</f>
        <v>East Brunswick A</v>
      </c>
      <c r="E26" s="44" t="str">
        <f>B31</f>
        <v>WWPN</v>
      </c>
      <c r="F26" s="44" t="str">
        <f>B32</f>
        <v>University B</v>
      </c>
      <c r="G26" s="44" t="s">
        <v>3</v>
      </c>
      <c r="H26" s="44" t="s">
        <v>4</v>
      </c>
      <c r="I26" s="4"/>
      <c r="J26" s="4"/>
      <c r="K26" s="44" t="str">
        <f>J29</f>
        <v>Cupertino</v>
      </c>
      <c r="L26" s="44" t="str">
        <f>J30</f>
        <v>Enloe</v>
      </c>
      <c r="M26" s="44" t="str">
        <f>J31</f>
        <v>Iolani</v>
      </c>
      <c r="N26" s="44" t="str">
        <f>J32</f>
        <v>TJHSST B</v>
      </c>
      <c r="O26" s="44" t="s">
        <v>3</v>
      </c>
      <c r="P26" s="44" t="s">
        <v>4</v>
      </c>
      <c r="Q26" s="4"/>
    </row>
    <row r="27" ht="34.5" customHeight="1">
      <c r="B27" s="4"/>
      <c r="I27" s="4"/>
      <c r="J27" s="4"/>
      <c r="Q27" s="4"/>
    </row>
    <row r="28" ht="34.5" customHeight="1">
      <c r="B28" s="4"/>
      <c r="I28" s="4"/>
      <c r="J28" s="4"/>
      <c r="Q28" s="4"/>
    </row>
    <row r="29">
      <c r="B29" s="35" t="s">
        <v>21</v>
      </c>
      <c r="C29" s="55"/>
      <c r="D29" s="35">
        <v>-2.0</v>
      </c>
      <c r="E29" s="35">
        <v>36.0</v>
      </c>
      <c r="F29" s="35">
        <v>42.0</v>
      </c>
      <c r="G29" s="4">
        <f t="shared" ref="G29:G32" si="4">IFERROR(ROUND(AVERAGE(C29:F29),2),)</f>
        <v>25.33</v>
      </c>
      <c r="H29" s="52">
        <f>'Hidden Sheet'!D22</f>
        <v>2</v>
      </c>
      <c r="I29" s="4" t="str">
        <f>CONCATENATE(CONCAT("W: ",COUNTIF('Hidden Sheet'!D$19:D$21, 2)), (CONCAT(" T: ", COUNTIF('Hidden Sheet'!D$19:D$21, 1))), CONCAT(" L: ",COUNTIF('Hidden Sheet'!D$19:D$21, 0)))</f>
        <v>W: 1 T: 0 L: 2</v>
      </c>
      <c r="J29" s="35" t="s">
        <v>22</v>
      </c>
      <c r="K29" s="55"/>
      <c r="L29" s="35">
        <v>20.0</v>
      </c>
      <c r="M29" s="35">
        <v>4.0</v>
      </c>
      <c r="N29" s="35">
        <v>4.0</v>
      </c>
      <c r="O29" s="4">
        <f t="shared" ref="O29:O32" si="5">IFERROR(ROUND(AVERAGE(K29:N29),2),)</f>
        <v>9.33</v>
      </c>
      <c r="P29" s="52">
        <f>'Hidden Sheet'!P22</f>
        <v>0</v>
      </c>
      <c r="Q29" s="4" t="str">
        <f>CONCATENATE(CONCAT("W: ",COUNTIF('Hidden Sheet'!P19:P21, 2)), (CONCAT(" T: ", COUNTIF('Hidden Sheet'!P19:P21, 1))), CONCAT(" L: ",COUNTIF('Hidden Sheet'!P19:P21, 0)))</f>
        <v>W: 0 T: 0 L: 3</v>
      </c>
    </row>
    <row r="30">
      <c r="B30" s="35" t="s">
        <v>29</v>
      </c>
      <c r="C30" s="35">
        <v>62.0</v>
      </c>
      <c r="D30" s="55"/>
      <c r="E30" s="35">
        <v>10.0</v>
      </c>
      <c r="F30" s="35">
        <v>40.0</v>
      </c>
      <c r="G30" s="4">
        <f t="shared" si="4"/>
        <v>37.33</v>
      </c>
      <c r="H30" s="52">
        <f>'Hidden Sheet'!E22</f>
        <v>2</v>
      </c>
      <c r="I30" s="4" t="str">
        <f>CONCATENATE(CONCAT("W: ",COUNTIF('Hidden Sheet'!E$19:E$21, 2)), (CONCAT(" T: ", COUNTIF('Hidden Sheet'!E$19:E$21, 1))), CONCAT(" L: ",COUNTIF('Hidden Sheet'!E$19:E$21, 0)))</f>
        <v>W: 1 T: 0 L: 2</v>
      </c>
      <c r="J30" s="35" t="s">
        <v>30</v>
      </c>
      <c r="K30" s="35">
        <v>40.0</v>
      </c>
      <c r="L30" s="55"/>
      <c r="M30" s="35">
        <v>14.0</v>
      </c>
      <c r="N30" s="35">
        <v>8.0</v>
      </c>
      <c r="O30" s="4">
        <f t="shared" si="5"/>
        <v>20.67</v>
      </c>
      <c r="P30" s="52">
        <f>'Hidden Sheet'!Q22</f>
        <v>2</v>
      </c>
      <c r="Q30" s="4" t="str">
        <f>CONCATENATE(CONCAT("W: ",COUNTIF('Hidden Sheet'!Q19:Q21, 2)), (CONCAT(" T: ", COUNTIF('Hidden Sheet'!Q19:Q21, 1))), CONCAT(" L: ",COUNTIF('Hidden Sheet'!Q19:Q21, 0)))</f>
        <v>W: 1 T: 0 L: 2</v>
      </c>
    </row>
    <row r="31">
      <c r="B31" s="35" t="s">
        <v>34</v>
      </c>
      <c r="C31" s="35">
        <v>166.0</v>
      </c>
      <c r="D31" s="35">
        <v>108.0</v>
      </c>
      <c r="E31" s="55"/>
      <c r="F31" s="35">
        <v>156.0</v>
      </c>
      <c r="G31" s="4">
        <f t="shared" si="4"/>
        <v>143.33</v>
      </c>
      <c r="H31" s="52">
        <f>'Hidden Sheet'!F22</f>
        <v>6</v>
      </c>
      <c r="I31" s="4" t="str">
        <f>CONCATENATE(CONCAT("W: ",COUNTIF('Hidden Sheet'!F$19:F$21, 2)), (CONCAT(" T: ", COUNTIF('Hidden Sheet'!F$19:F$21, 1))), CONCAT(" L: ",COUNTIF('Hidden Sheet'!F$19:F$21, 0)))</f>
        <v>W: 3 T: 0 L: 0</v>
      </c>
      <c r="J31" s="35" t="s">
        <v>35</v>
      </c>
      <c r="K31" s="35">
        <v>128.0</v>
      </c>
      <c r="L31" s="35">
        <v>154.0</v>
      </c>
      <c r="M31" s="55"/>
      <c r="N31" s="35">
        <v>88.0</v>
      </c>
      <c r="O31" s="4">
        <f t="shared" si="5"/>
        <v>123.33</v>
      </c>
      <c r="P31" s="52">
        <f>'Hidden Sheet'!R22</f>
        <v>6</v>
      </c>
      <c r="Q31" s="4" t="str">
        <f>CONCATENATE(CONCAT("W: ",COUNTIF('Hidden Sheet'!R19:R21, 2)), (CONCAT(" T: ", COUNTIF('Hidden Sheet'!R19:R21, 1))), CONCAT(" L: ",COUNTIF('Hidden Sheet'!R19:R21, 0)))</f>
        <v>W: 3 T: 0 L: 0</v>
      </c>
    </row>
    <row r="32">
      <c r="B32" s="35" t="s">
        <v>38</v>
      </c>
      <c r="C32" s="35">
        <v>30.0</v>
      </c>
      <c r="D32" s="35">
        <v>70.0</v>
      </c>
      <c r="E32" s="35">
        <v>18.0</v>
      </c>
      <c r="F32" s="55"/>
      <c r="G32" s="4">
        <f t="shared" si="4"/>
        <v>39.33</v>
      </c>
      <c r="H32" s="52">
        <f>'Hidden Sheet'!G22</f>
        <v>2</v>
      </c>
      <c r="I32" s="4" t="str">
        <f>CONCATENATE(CONCAT("W: ",COUNTIF('Hidden Sheet'!G$19:G$21, 2)), (CONCAT(" T: ", COUNTIF('Hidden Sheet'!G$19:G$21, 1))), CONCAT(" L: ",COUNTIF('Hidden Sheet'!G$19:G$21, 0)))</f>
        <v>W: 1 T: 0 L: 2</v>
      </c>
      <c r="J32" s="35" t="s">
        <v>40</v>
      </c>
      <c r="K32" s="35">
        <v>68.0</v>
      </c>
      <c r="L32" s="35">
        <v>142.0</v>
      </c>
      <c r="M32" s="35">
        <v>64.0</v>
      </c>
      <c r="N32" s="55"/>
      <c r="O32" s="4">
        <f t="shared" si="5"/>
        <v>91.33</v>
      </c>
      <c r="P32" s="52">
        <f>'Hidden Sheet'!S22</f>
        <v>4</v>
      </c>
      <c r="Q32" s="4" t="str">
        <f>CONCATENATE(CONCAT("W: ",COUNTIF('Hidden Sheet'!S19:S21, 2)), (CONCAT(" T: ", COUNTIF('Hidden Sheet'!S19:S21, 1))), CONCAT(" L: ",COUNTIF('Hidden Sheet'!S19:S21, 0)))</f>
        <v>W: 2 T: 0 L: 1</v>
      </c>
    </row>
    <row r="3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B34" s="43" t="s">
        <v>45</v>
      </c>
      <c r="I34" s="4"/>
      <c r="J34" s="43" t="s">
        <v>46</v>
      </c>
      <c r="Q34" s="4"/>
    </row>
    <row r="35">
      <c r="I35" s="4"/>
      <c r="Q35" s="4"/>
    </row>
    <row r="36">
      <c r="I36" s="4"/>
      <c r="Q36" s="4"/>
    </row>
    <row r="37" ht="34.5" customHeight="1">
      <c r="B37" s="4"/>
      <c r="C37" s="44" t="str">
        <f>B40</f>
        <v>Amador Valley B</v>
      </c>
      <c r="D37" s="44" t="str">
        <f>B41</f>
        <v>Clovis North</v>
      </c>
      <c r="E37" s="44" t="str">
        <f>B42</f>
        <v>Green Hope</v>
      </c>
      <c r="F37" s="44" t="str">
        <f>B43</f>
        <v>Montgomery Blair A</v>
      </c>
      <c r="G37" s="44" t="s">
        <v>3</v>
      </c>
      <c r="H37" s="44" t="s">
        <v>4</v>
      </c>
      <c r="I37" s="4"/>
      <c r="J37" s="4"/>
      <c r="K37" s="44" t="str">
        <f>J40</f>
        <v>American B</v>
      </c>
      <c r="L37" s="44" t="str">
        <f>J41</f>
        <v>BASIS McLean</v>
      </c>
      <c r="M37" s="44" t="str">
        <f>J42</f>
        <v>Interlake A</v>
      </c>
      <c r="N37" s="44" t="str">
        <f>J43</f>
        <v>Amador Valley A</v>
      </c>
      <c r="O37" s="44" t="s">
        <v>3</v>
      </c>
      <c r="P37" s="44" t="s">
        <v>4</v>
      </c>
      <c r="Q37" s="4"/>
    </row>
    <row r="38" ht="34.5" customHeight="1">
      <c r="B38" s="4"/>
      <c r="I38" s="4"/>
      <c r="J38" s="4"/>
      <c r="Q38" s="4"/>
    </row>
    <row r="39" ht="34.5" customHeight="1">
      <c r="B39" s="4"/>
      <c r="I39" s="4"/>
      <c r="J39" s="4"/>
      <c r="Q39" s="4"/>
    </row>
    <row r="40">
      <c r="B40" s="35" t="s">
        <v>49</v>
      </c>
      <c r="C40" s="55"/>
      <c r="D40" s="35">
        <v>44.0</v>
      </c>
      <c r="E40" s="35">
        <v>16.0</v>
      </c>
      <c r="F40" s="35">
        <v>22.0</v>
      </c>
      <c r="G40" s="4">
        <f t="shared" ref="G40:G43" si="6">IFERROR(ROUND(AVERAGE(C40:F40),2),)</f>
        <v>27.33</v>
      </c>
      <c r="H40" s="52">
        <f>'Hidden Sheet'!D39</f>
        <v>0</v>
      </c>
      <c r="I40" s="4" t="str">
        <f>CONCATENATE(CONCAT("W: ",COUNTIF('Hidden Sheet'!D36:D38, 2)), (CONCAT(" T: ", COUNTIF('Hidden Sheet'!D36:D38, 1))), CONCAT(" L: ",COUNTIF('Hidden Sheet'!D36:D38, 0)))</f>
        <v>W: 0 T: 0 L: 3</v>
      </c>
      <c r="J40" s="35" t="s">
        <v>50</v>
      </c>
      <c r="K40" s="55"/>
      <c r="L40" s="35">
        <v>32.0</v>
      </c>
      <c r="M40" s="35">
        <v>0.0</v>
      </c>
      <c r="N40" s="35">
        <v>4.0</v>
      </c>
      <c r="O40" s="4">
        <f t="shared" ref="O40:O43" si="7">IFERROR(ROUND(AVERAGE(K40:N40),2),)</f>
        <v>12</v>
      </c>
      <c r="P40" s="52">
        <f>'Hidden Sheet'!P39</f>
        <v>0</v>
      </c>
      <c r="Q40" s="4" t="str">
        <f>CONCATENATE(CONCAT("W: ",COUNTIF('Hidden Sheet'!P36:P38, 2)), (CONCAT(" T: ", COUNTIF('Hidden Sheet'!P36:P38, 1))), CONCAT(" L: ",COUNTIF('Hidden Sheet'!P36:P38, 0)))</f>
        <v>W: 0 T: 0 L: 3</v>
      </c>
    </row>
    <row r="41">
      <c r="B41" s="35" t="s">
        <v>53</v>
      </c>
      <c r="C41" s="35">
        <v>88.0</v>
      </c>
      <c r="D41" s="55"/>
      <c r="E41" s="35">
        <v>82.0</v>
      </c>
      <c r="F41" s="35">
        <v>92.0</v>
      </c>
      <c r="G41" s="4">
        <f t="shared" si="6"/>
        <v>87.33</v>
      </c>
      <c r="H41" s="52">
        <f>'Hidden Sheet'!E39</f>
        <v>6</v>
      </c>
      <c r="I41" s="4" t="str">
        <f>CONCATENATE(CONCAT("W: ",COUNTIF('Hidden Sheet'!E36:E38, 2)), (CONCAT(" T: ", COUNTIF('Hidden Sheet'!E36:E38, 1))), CONCAT(" L: ",COUNTIF('Hidden Sheet'!E36:E38, 0)))</f>
        <v>W: 3 T: 0 L: 0</v>
      </c>
      <c r="J41" s="35" t="s">
        <v>54</v>
      </c>
      <c r="K41" s="35">
        <v>36.0</v>
      </c>
      <c r="L41" s="55"/>
      <c r="M41" s="35">
        <v>60.0</v>
      </c>
      <c r="N41" s="35">
        <v>26.0</v>
      </c>
      <c r="O41" s="4">
        <f t="shared" si="7"/>
        <v>40.67</v>
      </c>
      <c r="P41" s="52">
        <f>'Hidden Sheet'!Q39</f>
        <v>2</v>
      </c>
      <c r="Q41" s="4" t="str">
        <f>CONCATENATE(CONCAT("W: ",COUNTIF('Hidden Sheet'!Q36:Q38, 2)), (CONCAT(" T: ", COUNTIF('Hidden Sheet'!Q36:Q38, 1))), CONCAT(" L: ",COUNTIF('Hidden Sheet'!Q36:Q38, 0)))</f>
        <v>W: 1 T: 0 L: 2</v>
      </c>
    </row>
    <row r="42">
      <c r="B42" s="35" t="s">
        <v>57</v>
      </c>
      <c r="C42" s="35">
        <v>138.0</v>
      </c>
      <c r="D42" s="35">
        <v>58.0</v>
      </c>
      <c r="E42" s="55"/>
      <c r="F42" s="35">
        <v>120.0</v>
      </c>
      <c r="G42" s="4">
        <f t="shared" si="6"/>
        <v>105.33</v>
      </c>
      <c r="H42" s="52">
        <f>'Hidden Sheet'!F39</f>
        <v>4</v>
      </c>
      <c r="I42" s="4" t="str">
        <f>CONCATENATE(CONCAT("W: ",COUNTIF('Hidden Sheet'!F36:F38, 2)), (CONCAT(" T: ", COUNTIF('Hidden Sheet'!F36:F38, 1))), CONCAT(" L: ",COUNTIF('Hidden Sheet'!F36:F38, 0)))</f>
        <v>W: 2 T: 0 L: 1</v>
      </c>
      <c r="J42" s="35" t="s">
        <v>58</v>
      </c>
      <c r="K42" s="35">
        <v>138.0</v>
      </c>
      <c r="L42" s="35">
        <v>102.0</v>
      </c>
      <c r="M42" s="55"/>
      <c r="N42" s="35">
        <v>74.0</v>
      </c>
      <c r="O42" s="4">
        <f t="shared" si="7"/>
        <v>104.67</v>
      </c>
      <c r="P42" s="52">
        <f>'Hidden Sheet'!R39</f>
        <v>4</v>
      </c>
      <c r="Q42" s="4" t="str">
        <f>CONCATENATE(CONCAT("W: ",COUNTIF('Hidden Sheet'!R36:R38, 2)), (CONCAT(" T: ", COUNTIF('Hidden Sheet'!R36:R38, 1))), CONCAT(" L: ",COUNTIF('Hidden Sheet'!R36:R38, 0)))</f>
        <v>W: 2 T: 0 L: 1</v>
      </c>
    </row>
    <row r="43">
      <c r="B43" s="35" t="s">
        <v>61</v>
      </c>
      <c r="C43" s="35">
        <v>56.0</v>
      </c>
      <c r="D43" s="35">
        <v>68.0</v>
      </c>
      <c r="E43" s="35">
        <v>18.0</v>
      </c>
      <c r="F43" s="55"/>
      <c r="G43" s="4">
        <f t="shared" si="6"/>
        <v>47.33</v>
      </c>
      <c r="H43" s="52">
        <f>'Hidden Sheet'!G39</f>
        <v>2</v>
      </c>
      <c r="I43" s="4" t="str">
        <f>CONCATENATE(CONCAT("W: ",COUNTIF('Hidden Sheet'!G36:G38, 2)), (CONCAT(" T: ", COUNTIF('Hidden Sheet'!G36:G38, 1))), CONCAT(" L: ",COUNTIF('Hidden Sheet'!G36:G38, 0)))</f>
        <v>W: 1 T: 0 L: 2</v>
      </c>
      <c r="J43" s="35" t="s">
        <v>20</v>
      </c>
      <c r="K43" s="35">
        <v>96.0</v>
      </c>
      <c r="L43" s="35">
        <v>132.0</v>
      </c>
      <c r="M43" s="35">
        <v>78.0</v>
      </c>
      <c r="N43" s="55"/>
      <c r="O43" s="4">
        <f t="shared" si="7"/>
        <v>102</v>
      </c>
      <c r="P43" s="52">
        <f>'Hidden Sheet'!S39</f>
        <v>6</v>
      </c>
      <c r="Q43" s="4" t="str">
        <f>CONCATENATE(CONCAT("W: ",COUNTIF('Hidden Sheet'!S36:S38, 2)), (CONCAT(" T: ", COUNTIF('Hidden Sheet'!S36:S38, 1))), CONCAT(" L: ",COUNTIF('Hidden Sheet'!S36:S38, 0)))</f>
        <v>W: 3 T: 0 L: 0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B45" s="43" t="s">
        <v>47</v>
      </c>
      <c r="I45" s="4"/>
      <c r="J45" s="43" t="s">
        <v>48</v>
      </c>
      <c r="Q45" s="4"/>
    </row>
    <row r="46">
      <c r="I46" s="4"/>
      <c r="Q46" s="4"/>
    </row>
    <row r="47">
      <c r="I47" s="4"/>
      <c r="Q47" s="4"/>
    </row>
    <row r="48">
      <c r="B48" s="4"/>
      <c r="C48" s="44" t="str">
        <f>B51</f>
        <v>Buchholz A</v>
      </c>
      <c r="D48" s="44" t="str">
        <f>B52</f>
        <v>Clements</v>
      </c>
      <c r="E48" s="44" t="str">
        <f>B53</f>
        <v>Foothill B</v>
      </c>
      <c r="F48" s="44" t="str">
        <f>B54</f>
        <v>TJHSST A</v>
      </c>
      <c r="G48" s="44" t="s">
        <v>3</v>
      </c>
      <c r="H48" s="44" t="s">
        <v>4</v>
      </c>
      <c r="I48" s="4"/>
      <c r="J48" s="4"/>
      <c r="K48" s="44" t="str">
        <f>J51</f>
        <v>Lynbrook A</v>
      </c>
      <c r="L48" s="44" t="str">
        <f>J52</f>
        <v>McLean A</v>
      </c>
      <c r="M48" s="44" t="str">
        <f>J53</f>
        <v>Stuyvesant</v>
      </c>
      <c r="N48" s="44" t="str">
        <f>J54</f>
        <v>Foothill A</v>
      </c>
      <c r="O48" s="44" t="s">
        <v>3</v>
      </c>
      <c r="P48" s="44" t="s">
        <v>4</v>
      </c>
      <c r="Q48" s="4"/>
    </row>
    <row r="49">
      <c r="B49" s="4"/>
      <c r="I49" s="4"/>
      <c r="J49" s="4"/>
      <c r="Q49" s="4"/>
    </row>
    <row r="50">
      <c r="B50" s="4"/>
      <c r="I50" s="4"/>
      <c r="J50" s="4"/>
      <c r="Q50" s="4"/>
    </row>
    <row r="51">
      <c r="B51" s="35" t="s">
        <v>51</v>
      </c>
      <c r="C51" s="55"/>
      <c r="D51" s="35">
        <v>70.0</v>
      </c>
      <c r="E51" s="35">
        <v>110.0</v>
      </c>
      <c r="F51" s="35">
        <v>54.0</v>
      </c>
      <c r="G51" s="4">
        <f t="shared" ref="G51:G54" si="8">IFERROR(ROUND(AVERAGE(C51:F51),2),)</f>
        <v>78</v>
      </c>
      <c r="H51" s="52">
        <f>'Hidden Sheet'!D65</f>
        <v>2</v>
      </c>
      <c r="I51" s="4" t="str">
        <f>CONCATENATE(CONCAT("W: ",COUNTIF('Hidden Sheet'!D62:D64, 2)), (CONCAT(" T: ", COUNTIF('Hidden Sheet'!D62:D64, 1))), CONCAT(" L: ",COUNTIF('Hidden Sheet'!D62:D64, 0)))</f>
        <v>W: 1 T: 0 L: 2</v>
      </c>
      <c r="J51" s="35" t="s">
        <v>52</v>
      </c>
      <c r="K51" s="55"/>
      <c r="L51" s="35">
        <v>142.0</v>
      </c>
      <c r="M51" s="35">
        <v>126.0</v>
      </c>
      <c r="N51" s="35">
        <v>118.0</v>
      </c>
      <c r="O51" s="4">
        <f t="shared" ref="O51:O54" si="9">IFERROR(ROUND(AVERAGE(K51:N51),2),)</f>
        <v>128.67</v>
      </c>
      <c r="P51" s="52">
        <f>'Hidden Sheet'!P65</f>
        <v>6</v>
      </c>
      <c r="Q51" s="4" t="str">
        <f>CONCATENATE(CONCAT("W: ",COUNTIF('Hidden Sheet'!P62:P64, 2)), (CONCAT(" T: ", COUNTIF('Hidden Sheet'!P62:P64, 1))), CONCAT(" L: ",COUNTIF('Hidden Sheet'!P62:P64, 0)))</f>
        <v>W: 3 T: 0 L: 0</v>
      </c>
    </row>
    <row r="52">
      <c r="B52" s="35" t="s">
        <v>55</v>
      </c>
      <c r="C52" s="35">
        <v>72.0</v>
      </c>
      <c r="D52" s="55"/>
      <c r="E52" s="35">
        <v>134.0</v>
      </c>
      <c r="F52" s="35">
        <v>148.0</v>
      </c>
      <c r="G52" s="4">
        <f t="shared" si="8"/>
        <v>118</v>
      </c>
      <c r="H52" s="52">
        <f>'Hidden Sheet'!E65</f>
        <v>6</v>
      </c>
      <c r="I52" s="4" t="str">
        <f>CONCATENATE(CONCAT("W: ",COUNTIF('Hidden Sheet'!E62:E64, 2)), (CONCAT(" T: ", COUNTIF('Hidden Sheet'!E62:E64, 1))), CONCAT(" L: ",COUNTIF('Hidden Sheet'!E62:E64, 0)))</f>
        <v>W: 3 T: 0 L: 0</v>
      </c>
      <c r="J52" s="35" t="s">
        <v>56</v>
      </c>
      <c r="K52" s="35">
        <v>10.0</v>
      </c>
      <c r="L52" s="55"/>
      <c r="M52" s="35">
        <v>36.0</v>
      </c>
      <c r="N52" s="35">
        <v>96.0</v>
      </c>
      <c r="O52" s="4">
        <f t="shared" si="9"/>
        <v>47.33</v>
      </c>
      <c r="P52" s="52">
        <f>'Hidden Sheet'!Q65</f>
        <v>4</v>
      </c>
      <c r="Q52" s="4" t="str">
        <f>CONCATENATE(CONCAT("W: ",COUNTIF('Hidden Sheet'!Q62:Q64, 2)), (CONCAT(" T: ", COUNTIF('Hidden Sheet'!Q62:Q64, 1))), CONCAT(" L: ",COUNTIF('Hidden Sheet'!Q62:Q64, 0)))</f>
        <v>W: 2 T: 0 L: 1</v>
      </c>
    </row>
    <row r="53">
      <c r="B53" s="35" t="s">
        <v>59</v>
      </c>
      <c r="C53" s="35">
        <v>4.0</v>
      </c>
      <c r="D53" s="35">
        <v>8.0</v>
      </c>
      <c r="E53" s="55"/>
      <c r="F53" s="35">
        <v>22.0</v>
      </c>
      <c r="G53" s="4">
        <f t="shared" si="8"/>
        <v>11.33</v>
      </c>
      <c r="H53" s="52">
        <f>'Hidden Sheet'!F65</f>
        <v>0</v>
      </c>
      <c r="I53" s="4" t="str">
        <f>CONCATENATE(CONCAT("W: ",COUNTIF('Hidden Sheet'!F62:F64, 2)), (CONCAT(" T: ", COUNTIF('Hidden Sheet'!F62:F64, 1))), CONCAT(" L: ",COUNTIF('Hidden Sheet'!F62:F64, 0)))</f>
        <v>W: 0 T: 0 L: 3</v>
      </c>
      <c r="J53" s="35" t="s">
        <v>60</v>
      </c>
      <c r="K53" s="35">
        <v>26.0</v>
      </c>
      <c r="L53" s="35">
        <v>30.0</v>
      </c>
      <c r="M53" s="55"/>
      <c r="N53" s="35">
        <v>42.0</v>
      </c>
      <c r="O53" s="4">
        <f t="shared" si="9"/>
        <v>32.67</v>
      </c>
      <c r="P53" s="52">
        <f>'Hidden Sheet'!R65</f>
        <v>0</v>
      </c>
      <c r="Q53" s="4" t="str">
        <f>CONCATENATE(CONCAT("W: ",COUNTIF('Hidden Sheet'!R62:R64, 2)), (CONCAT(" T: ", COUNTIF('Hidden Sheet'!R62:R64, 1))), CONCAT(" L: ",COUNTIF('Hidden Sheet'!R62:R64, 0)))</f>
        <v>W: 0 T: 0 L: 3</v>
      </c>
    </row>
    <row r="54">
      <c r="B54" s="35" t="s">
        <v>63</v>
      </c>
      <c r="C54" s="35">
        <v>64.0</v>
      </c>
      <c r="D54" s="35">
        <v>42.0</v>
      </c>
      <c r="E54" s="35">
        <v>162.0</v>
      </c>
      <c r="F54" s="55"/>
      <c r="G54" s="4">
        <f t="shared" si="8"/>
        <v>89.33</v>
      </c>
      <c r="H54" s="52">
        <f>'Hidden Sheet'!G65</f>
        <v>4</v>
      </c>
      <c r="I54" s="4" t="str">
        <f>CONCATENATE(CONCAT("W: ",COUNTIF('Hidden Sheet'!G62:G64, 2)), (CONCAT(" T: ", COUNTIF('Hidden Sheet'!G62:G64, 1))), CONCAT(" L: ",COUNTIF('Hidden Sheet'!G62:G64, 0)))</f>
        <v>W: 2 T: 0 L: 1</v>
      </c>
      <c r="J54" s="35" t="s">
        <v>64</v>
      </c>
      <c r="K54" s="35">
        <v>8.0</v>
      </c>
      <c r="L54" s="35">
        <v>32.0</v>
      </c>
      <c r="M54" s="35">
        <v>52.0</v>
      </c>
      <c r="N54" s="55"/>
      <c r="O54" s="4">
        <f t="shared" si="9"/>
        <v>30.67</v>
      </c>
      <c r="P54" s="52">
        <f>'Hidden Sheet'!S65</f>
        <v>2</v>
      </c>
      <c r="Q54" s="4" t="str">
        <f>CONCATENATE(CONCAT("W: ",COUNTIF('Hidden Sheet'!S62:S64, 2)), (CONCAT(" T: ", COUNTIF('Hidden Sheet'!S62:S64, 1))), CONCAT(" L: ",COUNTIF('Hidden Sheet'!S62:S64, 0)))</f>
        <v>W: 1 T: 0 L: 2</v>
      </c>
    </row>
  </sheetData>
  <mergeCells count="71">
    <mergeCell ref="G4:G6"/>
    <mergeCell ref="H4:H6"/>
    <mergeCell ref="J6:K6"/>
    <mergeCell ref="K7:O7"/>
    <mergeCell ref="K8:O8"/>
    <mergeCell ref="K9:O9"/>
    <mergeCell ref="K10:O10"/>
    <mergeCell ref="B11:Q11"/>
    <mergeCell ref="C15:C17"/>
    <mergeCell ref="D15:D17"/>
    <mergeCell ref="E15:E17"/>
    <mergeCell ref="F15:F17"/>
    <mergeCell ref="G15:G17"/>
    <mergeCell ref="H15:H17"/>
    <mergeCell ref="B12:H14"/>
    <mergeCell ref="J12:P14"/>
    <mergeCell ref="K15:K17"/>
    <mergeCell ref="L15:L17"/>
    <mergeCell ref="M15:M17"/>
    <mergeCell ref="N15:N17"/>
    <mergeCell ref="O15:O17"/>
    <mergeCell ref="P15:P17"/>
    <mergeCell ref="C26:C28"/>
    <mergeCell ref="D26:D28"/>
    <mergeCell ref="E26:E28"/>
    <mergeCell ref="F26:F28"/>
    <mergeCell ref="G26:G28"/>
    <mergeCell ref="H26:H28"/>
    <mergeCell ref="B23:H25"/>
    <mergeCell ref="J23:P25"/>
    <mergeCell ref="K26:K28"/>
    <mergeCell ref="L26:L28"/>
    <mergeCell ref="M26:M28"/>
    <mergeCell ref="N26:N28"/>
    <mergeCell ref="O26:O28"/>
    <mergeCell ref="P26:P28"/>
    <mergeCell ref="C37:C39"/>
    <mergeCell ref="D37:D39"/>
    <mergeCell ref="E37:E39"/>
    <mergeCell ref="F37:F39"/>
    <mergeCell ref="G37:G39"/>
    <mergeCell ref="H37:H39"/>
    <mergeCell ref="B45:H47"/>
    <mergeCell ref="J45:P47"/>
    <mergeCell ref="K48:K50"/>
    <mergeCell ref="L48:L50"/>
    <mergeCell ref="M48:M50"/>
    <mergeCell ref="N48:N50"/>
    <mergeCell ref="O48:O50"/>
    <mergeCell ref="P48:P50"/>
    <mergeCell ref="A1:A54"/>
    <mergeCell ref="B1:H3"/>
    <mergeCell ref="R1:AB54"/>
    <mergeCell ref="C4:C6"/>
    <mergeCell ref="D4:D6"/>
    <mergeCell ref="E4:E6"/>
    <mergeCell ref="F4:F6"/>
    <mergeCell ref="B34:H36"/>
    <mergeCell ref="J34:P36"/>
    <mergeCell ref="K37:K39"/>
    <mergeCell ref="L37:L39"/>
    <mergeCell ref="M37:M39"/>
    <mergeCell ref="N37:N39"/>
    <mergeCell ref="O37:O39"/>
    <mergeCell ref="P37:P39"/>
    <mergeCell ref="C48:C50"/>
    <mergeCell ref="D48:D50"/>
    <mergeCell ref="E48:E50"/>
    <mergeCell ref="F48:F50"/>
    <mergeCell ref="G48:G50"/>
    <mergeCell ref="H48:H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8" max="9" width="15.13"/>
    <col customWidth="1" min="10" max="10" width="2.63"/>
    <col customWidth="1" min="11" max="12" width="15.13"/>
  </cols>
  <sheetData>
    <row r="1">
      <c r="A1" s="1" t="s">
        <v>0</v>
      </c>
      <c r="B1" s="9"/>
      <c r="C1" s="9"/>
      <c r="D1" s="1" t="str">
        <f>'Round Robin'!B18</f>
        <v>Brooklyn Tech A</v>
      </c>
      <c r="E1" s="1" t="str">
        <f>'Round Robin'!B19</f>
        <v>Canyon Crest Academy</v>
      </c>
      <c r="F1" s="1" t="str">
        <f>'Round Robin'!B20</f>
        <v>Dulles</v>
      </c>
      <c r="G1" s="1" t="str">
        <f>'Round Robin'!B21</f>
        <v>Jordan</v>
      </c>
      <c r="H1" s="14">
        <f>LARGE(D5:G5,3)</f>
        <v>2</v>
      </c>
      <c r="I1" s="22" t="str">
        <f>IFS(AND(H1=D5,D1&lt;&gt;B10,D1&lt;&gt;B13),D1,AND(H1=E5,E1&lt;&gt;B10,E1&lt;&gt;B13),E1,AND(H1=F5,F1&lt;&gt;B10,F1&lt;&gt;B13),F1,AND(H1=G5,G1&lt;&gt;B10,G1&lt;&gt;B13),G1)</f>
        <v>Brooklyn Tech A</v>
      </c>
      <c r="J1" s="23"/>
      <c r="K1" s="9"/>
      <c r="L1" s="9"/>
      <c r="M1" s="1" t="s">
        <v>7</v>
      </c>
      <c r="N1" s="9"/>
      <c r="O1" s="9"/>
      <c r="P1" s="1" t="str">
        <f>'Round Robin'!J18</f>
        <v>Del Norte</v>
      </c>
      <c r="Q1" s="1" t="str">
        <f>'Round Robin'!J19</f>
        <v>North Hollywood</v>
      </c>
      <c r="R1" s="1" t="str">
        <f>'Round Robin'!J20</f>
        <v>St. Mark's</v>
      </c>
      <c r="S1" s="1" t="str">
        <f>'Round Robin'!J21</f>
        <v>University A</v>
      </c>
      <c r="T1" s="14">
        <f>LARGE(P5:S5,3)</f>
        <v>2</v>
      </c>
      <c r="U1" s="22" t="str">
        <f>IFS(AND(T1=P5,P1&lt;&gt;N10,P1&lt;&gt;N13),P1,AND(T1=Q5,Q1&lt;&gt;N10,Q1&lt;&gt;N13),Q1,AND(T1=R5,R1&lt;&gt;N10,R1&lt;&gt;N13),R1,AND(T1=S5,S1&lt;&gt;N10,S1&lt;&gt;N13),S1)</f>
        <v>St. Mark's</v>
      </c>
      <c r="V1" s="9"/>
      <c r="W1" s="9"/>
      <c r="X1" s="9"/>
      <c r="Y1" s="9"/>
      <c r="Z1" s="9"/>
      <c r="AA1" s="9"/>
      <c r="AB1" s="9"/>
      <c r="AC1" s="9"/>
      <c r="AD1" s="9"/>
    </row>
    <row r="2">
      <c r="A2" s="9">
        <f>'Round Robin'!D18</f>
        <v>-8</v>
      </c>
      <c r="B2" s="9">
        <f>'Round Robin'!C19</f>
        <v>164</v>
      </c>
      <c r="C2" s="1" t="s">
        <v>43</v>
      </c>
      <c r="D2" s="9">
        <f t="shared" ref="D2:D4" si="1">IF(ISBLANK(A2),,IFS(A2&gt;B2,2,A2=B2,1,A2&lt;B2,0))</f>
        <v>0</v>
      </c>
      <c r="E2" s="9">
        <f>IF(ISBLANK(A2),,IFS(A2&gt;B2,0,A2=B2,1,A2&lt;B2,2))</f>
        <v>2</v>
      </c>
      <c r="F2" s="9">
        <f>IF(ISBLANK(A3),,IFS(A3&gt;B3,0,A3=B3,1,A3&lt;B3,2))</f>
        <v>0</v>
      </c>
      <c r="G2" s="9">
        <f>IF(ISBLANK(A4),,IFS(A4&gt;B4,0,A4=B4,1,A4&lt;B4,2))</f>
        <v>2</v>
      </c>
      <c r="H2" s="14">
        <f>LARGE(D5:G5,4)</f>
        <v>2</v>
      </c>
      <c r="I2" s="54" t="str">
        <f>IF(H2=H1,IFS(AND(H2=D5,D1&lt;&gt;B10,D1&lt;&gt;B13,D1&lt;&gt;I1),D1,AND(H2=E5,E1&lt;&gt;B10,E1&lt;&gt;B13,E1&lt;&gt;I1),E1,AND(H2=F5,F1&lt;&gt;B10,F1&lt;&gt;B13,F1&lt;&gt;I1),F1,AND(H2=G5,G1&lt;&gt;B10,G1&lt;&gt;B13,G1&lt;&gt;I1),G1),)</f>
        <v>Dulles</v>
      </c>
      <c r="J2" s="23"/>
      <c r="K2" s="9"/>
      <c r="L2" s="9"/>
      <c r="M2" s="9">
        <f>'Round Robin'!L18</f>
        <v>10</v>
      </c>
      <c r="N2" s="9">
        <f>'Round Robin'!K19</f>
        <v>126</v>
      </c>
      <c r="O2" s="1" t="s">
        <v>43</v>
      </c>
      <c r="P2" s="9">
        <f t="shared" ref="P2:P4" si="2">IF(ISBLANK(M2),,IFS(M2&gt;N2,2,M2=N2,1,M2&lt;N2,0))</f>
        <v>0</v>
      </c>
      <c r="Q2" s="9">
        <f>IF(ISBLANK(M2),,IFS(M2&gt;N2,0,M2=N2,1,M2&lt;N2,2))</f>
        <v>2</v>
      </c>
      <c r="R2" s="9">
        <f>IF(ISBLANK(M3),,IFS(M3&gt;N3,0,M3=N3,1,M3&lt;N3,2))</f>
        <v>2</v>
      </c>
      <c r="S2" s="9">
        <f>IF(ISBLANK(M4),,IFS(M4&gt;N4,0,M4=N4,1,M4&lt;N4,2))</f>
        <v>2</v>
      </c>
      <c r="T2" s="14">
        <f>LARGE(P5:S5,4)</f>
        <v>0</v>
      </c>
      <c r="U2" s="22" t="str">
        <f>IF(T2=T1,IFS(AND(T2=P5,P1&lt;&gt;N10,P1&lt;&gt;N13,P1&lt;&gt;U1),P1,AND(T2=Q5,Q1&lt;&gt;N10,Q1&lt;&gt;N13,Q1&lt;&gt;U1),Q1,AND(T2=R5,R1&lt;&gt;N10,R1&lt;&gt;N13,R1&lt;&gt;U1),R1,AND(T2=S5,S1&lt;&gt;N10,S1&lt;&gt;N13,S1&lt;&gt;U1),S1),)</f>
        <v/>
      </c>
      <c r="V2" s="9"/>
      <c r="W2" s="9"/>
      <c r="X2" s="9"/>
      <c r="Y2" s="9"/>
      <c r="Z2" s="9"/>
      <c r="AA2" s="9"/>
      <c r="AB2" s="9"/>
      <c r="AC2" s="9"/>
      <c r="AD2" s="9"/>
    </row>
    <row r="3">
      <c r="A3" s="9">
        <f>'Round Robin'!E18</f>
        <v>50</v>
      </c>
      <c r="B3" s="9">
        <f>'Round Robin'!C20</f>
        <v>44</v>
      </c>
      <c r="C3" s="1" t="s">
        <v>70</v>
      </c>
      <c r="D3" s="9">
        <f t="shared" si="1"/>
        <v>2</v>
      </c>
      <c r="E3" s="9">
        <f t="shared" ref="E3:E4" si="3">IF(ISBLANK(A5),,IFS(A5&gt;B5,2,A5=B5,1,A5&lt;B5,0))</f>
        <v>2</v>
      </c>
      <c r="F3" s="9">
        <f>IF(ISBLANK(A5),,IFS(A5&gt;B5,0,A5=B5,1,A5&lt;B5,2))</f>
        <v>0</v>
      </c>
      <c r="G3" s="9">
        <f t="shared" ref="G3:G4" si="4">IF(ISBLANK(A6),,IFS(A6&gt;B6,0,A6=B6,1,A6&lt;B6,2))</f>
        <v>2</v>
      </c>
      <c r="H3" s="22">
        <f>IF(H2=H1,HLOOKUP(I1,D8:G9,2,FALSE))</f>
        <v>15.33</v>
      </c>
      <c r="I3" s="22" t="str">
        <f t="shared" ref="I3:I4" si="5">I1</f>
        <v>Brooklyn Tech A</v>
      </c>
      <c r="J3" s="23"/>
      <c r="K3" s="9"/>
      <c r="L3" s="9"/>
      <c r="M3" s="9">
        <f>'Round Robin'!M18</f>
        <v>60</v>
      </c>
      <c r="N3" s="9">
        <f>'Round Robin'!K20</f>
        <v>82</v>
      </c>
      <c r="O3" s="1" t="s">
        <v>70</v>
      </c>
      <c r="P3" s="9">
        <f t="shared" si="2"/>
        <v>0</v>
      </c>
      <c r="Q3" s="9">
        <f t="shared" ref="Q3:Q4" si="6">IF(ISBLANK(M5),,IFS(M5&gt;N5,2,M5=N5,1,M5&lt;N5,0))</f>
        <v>2</v>
      </c>
      <c r="R3" s="9">
        <f>IF(ISBLANK(M5),,IFS(M5&gt;N5,0,M5=N5,1,M5&lt;N5,2))</f>
        <v>0</v>
      </c>
      <c r="S3" s="9">
        <f t="shared" ref="S3:S4" si="7">IF(ISBLANK(M6),,IFS(M6&gt;N6,0,M6=N6,1,M6&lt;N6,2))</f>
        <v>0</v>
      </c>
      <c r="T3" s="22" t="b">
        <f>IF(T2=T1,HLOOKUP(U1,P8:S9,2,FALSE))</f>
        <v>0</v>
      </c>
      <c r="U3" s="22" t="str">
        <f t="shared" ref="U3:U4" si="8">U1</f>
        <v>St. Mark's</v>
      </c>
      <c r="V3" s="9"/>
      <c r="W3" s="9"/>
      <c r="X3" s="9"/>
      <c r="Y3" s="9"/>
      <c r="Z3" s="9"/>
      <c r="AA3" s="9"/>
      <c r="AB3" s="9"/>
      <c r="AC3" s="9"/>
      <c r="AD3" s="9"/>
    </row>
    <row r="4">
      <c r="A4" s="9">
        <f>'Round Robin'!F18</f>
        <v>4</v>
      </c>
      <c r="B4" s="9">
        <f>'Round Robin'!C21</f>
        <v>118</v>
      </c>
      <c r="C4" s="1" t="s">
        <v>75</v>
      </c>
      <c r="D4" s="9">
        <f t="shared" si="1"/>
        <v>0</v>
      </c>
      <c r="E4" s="9">
        <f t="shared" si="3"/>
        <v>0</v>
      </c>
      <c r="F4" s="9">
        <f>IF(ISBLANK(A7),,IFS(A7&gt;B7,2,A7=B7,1,A7&lt;B7,0))</f>
        <v>2</v>
      </c>
      <c r="G4" s="9">
        <f t="shared" si="4"/>
        <v>0</v>
      </c>
      <c r="H4" s="22">
        <f>IF(H2=H1,HLOOKUP(I2,D8:G9,2,FALSE))</f>
        <v>52.67</v>
      </c>
      <c r="I4" s="54" t="str">
        <f t="shared" si="5"/>
        <v>Dulles</v>
      </c>
      <c r="J4" s="23"/>
      <c r="K4" s="9"/>
      <c r="L4" s="9"/>
      <c r="M4" s="9">
        <f>'Round Robin'!N18</f>
        <v>0</v>
      </c>
      <c r="N4" s="9">
        <f>'Round Robin'!K21</f>
        <v>138</v>
      </c>
      <c r="O4" s="1" t="s">
        <v>75</v>
      </c>
      <c r="P4" s="9">
        <f t="shared" si="2"/>
        <v>0</v>
      </c>
      <c r="Q4" s="9">
        <f t="shared" si="6"/>
        <v>2</v>
      </c>
      <c r="R4" s="9">
        <f>IF(ISBLANK(M7),,IFS(M7&gt;N7,2,M7=N7,1,M7&lt;N7,0))</f>
        <v>0</v>
      </c>
      <c r="S4" s="9">
        <f t="shared" si="7"/>
        <v>2</v>
      </c>
      <c r="T4" s="22" t="b">
        <f>IF(T2=T1,HLOOKUP(U2,P8:S9,2,FALSE))</f>
        <v>0</v>
      </c>
      <c r="U4" s="22" t="str">
        <f t="shared" si="8"/>
        <v/>
      </c>
      <c r="V4" s="9"/>
      <c r="W4" s="9"/>
      <c r="X4" s="9"/>
      <c r="Y4" s="9"/>
      <c r="Z4" s="9"/>
      <c r="AA4" s="9"/>
      <c r="AB4" s="9"/>
      <c r="AC4" s="9"/>
      <c r="AD4" s="9"/>
    </row>
    <row r="5">
      <c r="A5" s="9">
        <f>'Round Robin'!E19</f>
        <v>176</v>
      </c>
      <c r="B5" s="9">
        <f>'Round Robin'!D20</f>
        <v>32</v>
      </c>
      <c r="C5" s="1" t="s">
        <v>76</v>
      </c>
      <c r="D5" s="58">
        <f t="shared" ref="D5:G5" si="9">SUM(D2:D4)</f>
        <v>2</v>
      </c>
      <c r="E5" s="58">
        <f t="shared" si="9"/>
        <v>4</v>
      </c>
      <c r="F5" s="58">
        <f t="shared" si="9"/>
        <v>2</v>
      </c>
      <c r="G5" s="58">
        <f t="shared" si="9"/>
        <v>4</v>
      </c>
      <c r="H5" s="22" t="str">
        <f>IFS(H3=FALSE,I1,H3&gt;H4,I3,H3&lt;H4,I4,H3=H4,CONCATENATE("Tie", I3, I4))</f>
        <v>Dulles</v>
      </c>
      <c r="I5" s="22">
        <f>IFS(H3&gt;H4,H3,H4&gt;H3,H4,H3=H4,H4)</f>
        <v>52.67</v>
      </c>
      <c r="J5" s="23"/>
      <c r="K5" s="9"/>
      <c r="L5" s="9"/>
      <c r="M5" s="9">
        <f>'Round Robin'!M19</f>
        <v>150</v>
      </c>
      <c r="N5" s="9">
        <f>'Round Robin'!L20</f>
        <v>18</v>
      </c>
      <c r="O5" s="1" t="s">
        <v>76</v>
      </c>
      <c r="P5" s="58">
        <f t="shared" ref="P5:S5" si="10">SUM(P2:P4)</f>
        <v>0</v>
      </c>
      <c r="Q5" s="58">
        <f t="shared" si="10"/>
        <v>6</v>
      </c>
      <c r="R5" s="58">
        <f t="shared" si="10"/>
        <v>2</v>
      </c>
      <c r="S5" s="58">
        <f t="shared" si="10"/>
        <v>4</v>
      </c>
      <c r="T5" s="22" t="str">
        <f>IFS(T3=FALSE,U1,T3&gt;T4,U3,T3&lt;T4,U4,T3=T4,CONCATENATE("Tie", U3, U4))</f>
        <v>St. Mark's</v>
      </c>
      <c r="U5" s="22" t="b">
        <f>IFS(T3&gt;T4,T3,T4&gt;T3,T4,T3=T4,T4)</f>
        <v>0</v>
      </c>
      <c r="V5" s="9"/>
      <c r="W5" s="9"/>
      <c r="X5" s="9"/>
      <c r="Y5" s="9"/>
      <c r="Z5" s="9"/>
      <c r="AA5" s="9"/>
      <c r="AB5" s="9"/>
      <c r="AC5" s="9"/>
      <c r="AD5" s="9"/>
    </row>
    <row r="6">
      <c r="A6" s="9">
        <f>'Round Robin'!F19</f>
        <v>98</v>
      </c>
      <c r="B6" s="9">
        <f>'Round Robin'!D21</f>
        <v>114</v>
      </c>
      <c r="C6" s="1" t="s">
        <v>77</v>
      </c>
      <c r="D6" s="9"/>
      <c r="E6" s="9"/>
      <c r="F6" s="9" t="str">
        <f>IF(OR(D5="",E5="",F5="",G5="",G4="",F4="",E4="",D4="",D3="",D2="",E3="",E2="",F3="",F2="",G3="",G2=""),"",IFNA(IFS(AND(D7=E5,E1&lt;&gt;E7),'Round Robin'!D15,AND(D7=F5,F1&lt;&gt;E7),'Round Robin'!E15,AND(D7=G5,G1&lt;&gt;E7),'Round Robin'!F15),""))</f>
        <v>Jordan</v>
      </c>
      <c r="G6" s="9" t="str">
        <f>IF(OR(D5="",E5="",F5="",G5="",G4="",F4="",E4="",D4="",D3="",D2="",E3="",E2="",F3="",F2="",G3="",G2=""),"",IFNA(IFS(AND(D7=F5,F1&lt;&gt;E7,F1&lt;&gt;F7),'Round Robin'!E15,AND(D7=G5,G1&lt;&gt;E7,G1&lt;&gt;F7),'Round Robin'!F15),""))</f>
        <v/>
      </c>
      <c r="H6" s="9"/>
      <c r="I6" s="9"/>
      <c r="J6" s="23"/>
      <c r="K6" s="9"/>
      <c r="L6" s="9"/>
      <c r="M6" s="9">
        <f>'Round Robin'!N19</f>
        <v>180</v>
      </c>
      <c r="N6" s="9">
        <f>'Round Robin'!L21</f>
        <v>32</v>
      </c>
      <c r="O6" s="1" t="s">
        <v>77</v>
      </c>
      <c r="P6" s="9"/>
      <c r="Q6" s="9"/>
      <c r="R6" s="22" t="str">
        <f>IF(OR(P5="",Q5="",R5="",S5="",S4="",R4="",Q4="",P4="",P3="",P2="",Q3="",Q2="",R3="",R2="",S3="",S2=""),"",IFNA(IFS(AND(P7=Q5,Q1&lt;&gt;Q7),Q1,AND(P7=R5,R1&lt;&gt;Q7),R1,AND(P7=S5,S1&lt;&gt;Q7),S1),""))</f>
        <v/>
      </c>
      <c r="S6" s="22" t="str">
        <f>IF(OR(P5="",Q5="",R5="",S5="",S4="",R4="",Q4="",P4="",P3="",P2="",Q3="",Q2="",R3="",R2="",S3="",S2=""),"",IFNA(IFS(AND(P7=R5,R1&lt;&gt;Q7,R1&lt;&gt;R7),R1,AND(P7=S5,S1&lt;&gt;Q7,S1&lt;&gt;R7),S1),""))</f>
        <v/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9">
        <f>'Round Robin'!F20</f>
        <v>82</v>
      </c>
      <c r="B7" s="9">
        <f>'Round Robin'!E21</f>
        <v>54</v>
      </c>
      <c r="C7" s="1" t="s">
        <v>92</v>
      </c>
      <c r="D7" s="58">
        <f>MAX(D5:G5)</f>
        <v>4</v>
      </c>
      <c r="E7" s="9" t="str">
        <f>IF(OR(D5="",E5="",F5="",G5="",G4="",F4="",E4="",D4="",D3="",D2="",E3="",E2="",F3="",F2="",G3="",G2=""),"",IFS(D7=D5,'Round Robin'!C15,D7=E5,'Round Robin'!D15,D7=F5,'Round Robin'!E15,D7=G5,'Round Robin'!F15))</f>
        <v>Canyon Crest Academy</v>
      </c>
      <c r="F7" s="9" t="str">
        <f>IF(AND(F6&lt;&gt;E7),F6,"")</f>
        <v>Jordan</v>
      </c>
      <c r="G7" s="9" t="str">
        <f>IF(AND(G6&lt;&gt;E7,G6&lt;&gt;F7),G6,"")</f>
        <v/>
      </c>
      <c r="H7" s="9"/>
      <c r="I7" s="9"/>
      <c r="J7" s="23"/>
      <c r="K7" s="9"/>
      <c r="L7" s="9"/>
      <c r="M7" s="9">
        <f>'Round Robin'!N20</f>
        <v>28</v>
      </c>
      <c r="N7" s="9">
        <f>'Round Robin'!M21</f>
        <v>124</v>
      </c>
      <c r="O7" s="1" t="s">
        <v>92</v>
      </c>
      <c r="P7" s="58">
        <f>MAX(P5:S5)</f>
        <v>6</v>
      </c>
      <c r="Q7" s="9" t="str">
        <f>IF(OR(P5="",Q5="",R5="",S5="",S4="",R4="",Q4="",P4="",P3="",P2="",Q3="",Q2="",R3="",R2="",S3="",S2=""),"",IFS(P7=P5,'Round Robin'!K15,P7=Q5,'Round Robin'!L15,P7=R5,'Round Robin'!M15,P7=S5,'Round Robin'!N15))</f>
        <v>North Hollywood</v>
      </c>
      <c r="R7" s="9" t="str">
        <f>IF(R6&lt;&gt;Q7,R6,"")</f>
        <v/>
      </c>
      <c r="S7" s="9" t="str">
        <f>IF(AND(S6&lt;&gt;Q7,S6&lt;&gt;R7),S6,"")</f>
        <v/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9"/>
      <c r="B8" s="9"/>
      <c r="C8" s="9"/>
      <c r="D8" s="9" t="str">
        <f t="shared" ref="D8:G8" si="11">D1</f>
        <v>Brooklyn Tech A</v>
      </c>
      <c r="E8" s="9" t="str">
        <f t="shared" si="11"/>
        <v>Canyon Crest Academy</v>
      </c>
      <c r="F8" s="9" t="str">
        <f t="shared" si="11"/>
        <v>Dulles</v>
      </c>
      <c r="G8" s="61" t="str">
        <f t="shared" si="11"/>
        <v>Jordan</v>
      </c>
      <c r="H8" s="9"/>
      <c r="I8" s="9"/>
      <c r="J8" s="23"/>
      <c r="K8" s="9"/>
      <c r="L8" s="9"/>
      <c r="M8" s="9"/>
      <c r="N8" s="9"/>
      <c r="O8" s="9"/>
      <c r="P8" s="9" t="str">
        <f t="shared" ref="P8:S8" si="12">P1</f>
        <v>Del Norte</v>
      </c>
      <c r="Q8" s="9" t="str">
        <f t="shared" si="12"/>
        <v>North Hollywood</v>
      </c>
      <c r="R8" s="9" t="str">
        <f t="shared" si="12"/>
        <v>St. Mark's</v>
      </c>
      <c r="S8" s="61" t="str">
        <f t="shared" si="12"/>
        <v>University A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63">
        <f>HLOOKUP(E7,D8:G9,2,FALSE)</f>
        <v>146</v>
      </c>
      <c r="B9" s="64">
        <f>IFERROR(HLOOKUP(F7,D8:G9,2,FALSE),"")</f>
        <v>95.33</v>
      </c>
      <c r="C9" s="64" t="str">
        <f>IFERROR(HLOOKUP(G7,E8:L9,2,FALSE),"")</f>
        <v/>
      </c>
      <c r="D9" s="65">
        <f>'Round Robin'!G18</f>
        <v>15.33</v>
      </c>
      <c r="E9" s="64">
        <f>'Round Robin'!G19</f>
        <v>146</v>
      </c>
      <c r="F9" s="64">
        <f>'Round Robin'!G20</f>
        <v>52.67</v>
      </c>
      <c r="G9" s="64">
        <f>'Round Robin'!G21</f>
        <v>95.33</v>
      </c>
      <c r="H9" s="9"/>
      <c r="I9" s="9"/>
      <c r="J9" s="23"/>
      <c r="K9" s="9"/>
      <c r="L9" s="9"/>
      <c r="M9" s="63">
        <f>HLOOKUP(Q7,P8:S9,2,FALSE)</f>
        <v>152</v>
      </c>
      <c r="N9" s="64" t="str">
        <f t="shared" ref="N9:O9" si="13">IFERROR(HLOOKUP(R7,P8:S9,2,FALSE),"")</f>
        <v/>
      </c>
      <c r="O9" s="64" t="str">
        <f t="shared" si="13"/>
        <v/>
      </c>
      <c r="P9" s="65">
        <f>'Round Robin'!O18</f>
        <v>23.33</v>
      </c>
      <c r="Q9" s="64">
        <f>'Round Robin'!O19</f>
        <v>152</v>
      </c>
      <c r="R9" s="64">
        <f>'Round Robin'!O20</f>
        <v>42.67</v>
      </c>
      <c r="S9" s="64">
        <f>'Round Robin'!O21</f>
        <v>98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63">
        <f>MAX(A9:C9)</f>
        <v>146</v>
      </c>
      <c r="B10" s="64" t="str">
        <f>IFNA(HLOOKUP(A10,D9:G10,2,FALSE),"Branch #1")</f>
        <v>Canyon Crest Academy</v>
      </c>
      <c r="C10" s="64"/>
      <c r="D10" s="64" t="str">
        <f t="shared" ref="D10:G10" si="14">D1</f>
        <v>Brooklyn Tech A</v>
      </c>
      <c r="E10" s="64" t="str">
        <f t="shared" si="14"/>
        <v>Canyon Crest Academy</v>
      </c>
      <c r="F10" s="64" t="str">
        <f t="shared" si="14"/>
        <v>Dulles</v>
      </c>
      <c r="G10" s="66" t="str">
        <f t="shared" si="14"/>
        <v>Jordan</v>
      </c>
      <c r="H10" s="9"/>
      <c r="I10" s="9"/>
      <c r="J10" s="23"/>
      <c r="K10" s="9"/>
      <c r="L10" s="9"/>
      <c r="M10" s="63">
        <f>MAX(M9:O9)</f>
        <v>152</v>
      </c>
      <c r="N10" s="64" t="str">
        <f>IFNA(HLOOKUP(M10,P9:S10,2,FALSE),"Campbell #1")</f>
        <v>North Hollywood</v>
      </c>
      <c r="O10" s="64"/>
      <c r="P10" s="64" t="str">
        <f t="shared" ref="P10:S10" si="15">P1</f>
        <v>Del Norte</v>
      </c>
      <c r="Q10" s="64" t="str">
        <f t="shared" si="15"/>
        <v>North Hollywood</v>
      </c>
      <c r="R10" s="64" t="str">
        <f t="shared" si="15"/>
        <v>St. Mark's</v>
      </c>
      <c r="S10" s="66" t="str">
        <f t="shared" si="15"/>
        <v>University A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22"/>
      <c r="B11" s="22"/>
      <c r="C11" s="22"/>
      <c r="D11" s="22"/>
      <c r="E11" s="22"/>
      <c r="F11" s="22" t="str">
        <f>IF(OR(D2="",E2="",F2="",G2="",G3="",F3="",E3="",D3="",D4="",D5="",E4="",E5="",F4="",F5="",G4="",G5=""),"",IFNA(IFS(AND(D12=E5,E1&lt;&gt;E12),E1,AND(D12=F5,F1&lt;&gt;E12),F1,AND(D12=G5,G1&lt;&gt;E12),G1),""))</f>
        <v>Canyon Crest Academy</v>
      </c>
      <c r="G11" s="22" t="str">
        <f>IF(OR(D2="",E2="",F2="",G2="",G3="",F3="",E3="",D3="",D4="",D5="",E4="",E5="",F4="",F5="",G4="",G5=""),"",IFNA(IFS(AND(D12=E5,E1&lt;&gt;E12,E1&lt;&gt;F12),E1,AND(D12=F5,F1&lt;&gt;E12,F1&lt;&gt;F12),F1,AND(D12=G5,G1&lt;&gt;E12,G1&lt;&gt;F12),G1),""))</f>
        <v>Canyon Crest Academy</v>
      </c>
      <c r="H11" s="64" t="str">
        <f>IF(OR(E5="",F5="",G5="",H5="",H4="",G4="",F4="",E4="",E3="",E2="",F3="",F2="",G3="",G2="",H3="",H2=""),"",IFNA(IFS(E7=F5,'Round Robin'!A15,E7=G5,'Round Robin'!B15,E7=H5,'Round Robin'!C15),""))</f>
        <v/>
      </c>
      <c r="I11" s="9"/>
      <c r="J11" s="23"/>
      <c r="K11" s="9"/>
      <c r="L11" s="9"/>
      <c r="M11" s="22"/>
      <c r="N11" s="22"/>
      <c r="O11" s="22"/>
      <c r="P11" s="22"/>
      <c r="Q11" s="22"/>
      <c r="R11" s="22" t="str">
        <f>IF(OR(P2="",Q2="",R2="",S2="",S3="",R3="",Q3="",P3="",P4="",P5="",Q4="",Q5="",R4="",R5="",S4="",S5=""),"",IFNA(IFS(AND(P12=Q5,Q1&lt;&gt;Q12),Q1,AND(P12=R5,R1&lt;&gt;Q12),R1,AND(P12=S5,S1&lt;&gt;Q12),S1),""))</f>
        <v/>
      </c>
      <c r="S11" s="22" t="str">
        <f>IF(OR(P2="",Q2="",R2="",S2="",S3="",R3="",Q3="",P3="",P4="",P5="",Q4="",Q5="",R4="",R5="",S4="",S5=""),"",IFNA(IFS(AND(P12=Q5,Q1&lt;&gt;Q12,Q1&lt;&gt;R12),Q1,AND(P12=R5,R1&lt;&gt;Q12,R1&lt;&gt;R12),R1,AND(P12=S5,S1&lt;&gt;Q12,S1&lt;&gt;R12),S1),""))</f>
        <v/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22"/>
      <c r="B12" s="22"/>
      <c r="C12" s="22"/>
      <c r="D12" s="14">
        <f>LARGE(D5:G5,2)</f>
        <v>4</v>
      </c>
      <c r="E12" s="22" t="str">
        <f>IF(OR(D5="",E5="",F5="",G5="",G4="",F4="",E4="",D4="",D3="",D2="",E3="",E2="",F3="",F2="",G3="",G2=""),"",IFS(AND(D12=D5,D1&lt;&gt;B10),D1,AND(D12=E5,E1&lt;&gt;B10),E1,AND(D12=F5,F1&lt;&gt;B10),F1,AND(D12=G5,G1&lt;&gt;B10),G1))</f>
        <v>Jordan</v>
      </c>
      <c r="F12" s="22" t="str">
        <f>IF(AND(F11&lt;&gt;E12,F11&lt;&gt;B10),F11,"")</f>
        <v/>
      </c>
      <c r="G12" s="22" t="str">
        <f>IF(AND(G11&lt;&gt;E12,G11&lt;&gt;F12,G11&lt;&gt;B10),G11,"")</f>
        <v/>
      </c>
      <c r="H12" s="9"/>
      <c r="I12" s="9"/>
      <c r="J12" s="23"/>
      <c r="K12" s="9"/>
      <c r="L12" s="9"/>
      <c r="M12" s="22"/>
      <c r="N12" s="22"/>
      <c r="O12" s="22"/>
      <c r="P12" s="14">
        <f>LARGE(P5:S5,2)</f>
        <v>4</v>
      </c>
      <c r="Q12" s="22" t="str">
        <f>IF(OR(P5="",Q5="",R5="",S5="",S4="",R4="",Q4="",P4="",P3="",P2="",Q3="",Q2="",R3="",R2="",S3="",S2=""),"",IFS(AND(P12=P5,P1&lt;&gt;N10),P1,AND(P12=Q5,Q1&lt;&gt;N10),Q1,AND(P12=R5,R1&lt;&gt;N10),R1,AND(P12=S5,S1&lt;&gt;N10),S1))</f>
        <v>University A</v>
      </c>
      <c r="R12" s="22" t="str">
        <f>IF(AND(R11&lt;&gt;Q12,R11&lt;&gt;N10),R11,"")</f>
        <v/>
      </c>
      <c r="S12" s="22" t="str">
        <f>IF(AND(S11&lt;&gt;Q12,S11&lt;&gt;R12,S11&lt;&gt;N10),S11,"")</f>
        <v/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14">
        <f>MAX(E13:G13)</f>
        <v>95.33</v>
      </c>
      <c r="B13" s="22" t="str">
        <f>IFNA(HLOOKUP(A13,D9:G10,2,FALSE),"Branch #2")</f>
        <v>Jordan</v>
      </c>
      <c r="C13" s="22"/>
      <c r="D13" s="22"/>
      <c r="E13" s="22">
        <f>IFNA(HLOOKUP(E12,D8:G9,2,FALSE),)</f>
        <v>95.33</v>
      </c>
      <c r="F13" s="22" t="str">
        <f>IFNA(HLOOKUP(F12,D8:G9,2,FALSE),)</f>
        <v/>
      </c>
      <c r="G13" s="22" t="str">
        <f>IFNA(HLOOKUP(G12,D8:G9,2,FALSE),)</f>
        <v/>
      </c>
      <c r="H13" s="9"/>
      <c r="I13" s="9"/>
      <c r="J13" s="23"/>
      <c r="K13" s="9"/>
      <c r="L13" s="9"/>
      <c r="M13" s="14">
        <f>MAX(Q13:S13)</f>
        <v>98</v>
      </c>
      <c r="N13" s="22" t="str">
        <f>IFNA(HLOOKUP(M13,P9:S10,2,FALSE),"Campbell #2")</f>
        <v>University A</v>
      </c>
      <c r="O13" s="22"/>
      <c r="P13" s="22"/>
      <c r="Q13" s="22">
        <f>IFNA(HLOOKUP(Q12,P8:S9,2,FALSE),)</f>
        <v>98</v>
      </c>
      <c r="R13" s="22" t="str">
        <f>IFNA(HLOOKUP(R12,P8:S9,2,FALSE),)</f>
        <v/>
      </c>
      <c r="S13" s="22" t="str">
        <f>IFNA(HLOOKUP(S12,P8:S9,2,FALSE),)</f>
        <v/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67" t="s">
        <v>3</v>
      </c>
      <c r="B14" s="22">
        <f>IF(B15&lt;&gt;"Branch #1",HLOOKUP(B15,D8:G9,2,FALSE),)</f>
        <v>146</v>
      </c>
      <c r="C14" s="67" t="s">
        <v>3</v>
      </c>
      <c r="D14" s="22">
        <f>IF(D15&lt;&gt;"Branch #2",HLOOKUP(D15,D8:G9,2,FALSE),)</f>
        <v>95.33</v>
      </c>
      <c r="E14" s="22" t="str">
        <f t="shared" ref="E14:G14" si="16">E12</f>
        <v>Jordan</v>
      </c>
      <c r="F14" s="22" t="str">
        <f t="shared" si="16"/>
        <v/>
      </c>
      <c r="G14" s="22" t="str">
        <f t="shared" si="16"/>
        <v/>
      </c>
      <c r="H14" s="9"/>
      <c r="I14" s="9"/>
      <c r="J14" s="23"/>
      <c r="K14" s="9"/>
      <c r="L14" s="9"/>
      <c r="M14" s="67" t="s">
        <v>3</v>
      </c>
      <c r="N14" s="22">
        <f>IF(N15&lt;&gt;"Campbell #1",HLOOKUP(N15,P8:S9,2,FALSE),)</f>
        <v>152</v>
      </c>
      <c r="O14" s="67" t="s">
        <v>3</v>
      </c>
      <c r="P14" s="22">
        <f>IF(P15&lt;&gt;"Campbell #2",HLOOKUP(P15,P8:S9,2,FALSE),)</f>
        <v>98</v>
      </c>
      <c r="Q14" s="22" t="str">
        <f t="shared" ref="Q14:S14" si="17">Q12</f>
        <v>University A</v>
      </c>
      <c r="R14" s="22" t="str">
        <f t="shared" si="17"/>
        <v/>
      </c>
      <c r="S14" s="22" t="str">
        <f t="shared" si="17"/>
        <v/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68" t="s">
        <v>123</v>
      </c>
      <c r="B15" s="22" t="str">
        <f>B10</f>
        <v>Canyon Crest Academy</v>
      </c>
      <c r="C15" s="68" t="s">
        <v>124</v>
      </c>
      <c r="D15" s="22" t="str">
        <f>B13</f>
        <v>Jordan</v>
      </c>
      <c r="E15" s="68" t="s">
        <v>125</v>
      </c>
      <c r="F15" s="22" t="str">
        <f>IF(D15="Cayuga #2","Cayuga #3",H5)</f>
        <v>Dulles</v>
      </c>
      <c r="G15" s="22"/>
      <c r="H15" s="9"/>
      <c r="I15" s="9"/>
      <c r="J15" s="23"/>
      <c r="K15" s="9"/>
      <c r="L15" s="9"/>
      <c r="M15" s="68" t="s">
        <v>123</v>
      </c>
      <c r="N15" s="22" t="str">
        <f>N10</f>
        <v>North Hollywood</v>
      </c>
      <c r="O15" s="68" t="s">
        <v>124</v>
      </c>
      <c r="P15" s="22" t="str">
        <f>N13</f>
        <v>University A</v>
      </c>
      <c r="Q15" s="68" t="s">
        <v>125</v>
      </c>
      <c r="R15" s="22" t="str">
        <f>IF(P15="Seneca #2","Seneca #3",T5)</f>
        <v>St. Mark's</v>
      </c>
      <c r="S15" s="2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9"/>
      <c r="B16" s="9"/>
      <c r="C16" s="9"/>
      <c r="D16" s="9"/>
      <c r="E16" s="9"/>
      <c r="F16" s="69">
        <f>HLOOKUP(F15,D8:G9,2,FALSE)</f>
        <v>52.67</v>
      </c>
      <c r="G16" s="9"/>
      <c r="H16" s="9"/>
      <c r="I16" s="9"/>
      <c r="J16" s="23"/>
      <c r="K16" s="9"/>
      <c r="L16" s="9"/>
      <c r="M16" s="9"/>
      <c r="N16" s="9"/>
      <c r="O16" s="9"/>
      <c r="P16" s="9"/>
      <c r="Q16" s="9"/>
      <c r="R16" s="69">
        <f>HLOOKUP(R15,P8:S9,2,FALSE)</f>
        <v>42.67</v>
      </c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1" t="s">
        <v>99</v>
      </c>
      <c r="B18" s="9"/>
      <c r="C18" s="9"/>
      <c r="D18" s="1" t="str">
        <f>'Round Robin'!B29</f>
        <v>American A</v>
      </c>
      <c r="E18" s="1" t="str">
        <f>'Round Robin'!B30</f>
        <v>East Brunswick A</v>
      </c>
      <c r="F18" s="1" t="str">
        <f>'Round Robin'!B31</f>
        <v>WWPN</v>
      </c>
      <c r="G18" s="1" t="str">
        <f>'Round Robin'!B32</f>
        <v>University B</v>
      </c>
      <c r="H18" s="14">
        <f>LARGE(D22:G22,3)</f>
        <v>2</v>
      </c>
      <c r="I18" s="22" t="str">
        <f>IFS(AND(H18=D22,D18&lt;&gt;B27,D18&lt;&gt;B30),D18,AND(H18=E22,E18&lt;&gt;B27,E18&lt;&gt;B30),E18,AND(H18=F22,F18&lt;&gt;B27,F18&lt;&gt;B30),F18,AND(H18=G22,G18&lt;&gt;B27,G18&lt;&gt;B30),G18)</f>
        <v>American A</v>
      </c>
      <c r="J18" s="23"/>
      <c r="K18" s="9"/>
      <c r="L18" s="9"/>
      <c r="M18" s="1" t="s">
        <v>100</v>
      </c>
      <c r="N18" s="9"/>
      <c r="O18" s="9"/>
      <c r="P18" s="1" t="str">
        <f>'Round Robin'!J29</f>
        <v>Cupertino</v>
      </c>
      <c r="Q18" s="1" t="str">
        <f>'Round Robin'!J30</f>
        <v>Enloe</v>
      </c>
      <c r="R18" s="1" t="str">
        <f>'Round Robin'!J31</f>
        <v>Iolani</v>
      </c>
      <c r="S18" s="1" t="str">
        <f>'Round Robin'!J32</f>
        <v>TJHSST B</v>
      </c>
      <c r="T18" s="14">
        <f>LARGE(P22:S22,3)</f>
        <v>2</v>
      </c>
      <c r="U18" s="22" t="str">
        <f>IFS(AND(T18=P22,P18&lt;&gt;N27,P18&lt;&gt;N30),P18,AND(T18=Q22,Q18&lt;&gt;N27,Q18&lt;&gt;N30),Q18,AND(T18=R22,R18&lt;&gt;N27,R18&lt;&gt;N30),R18,AND(T18=S22,S18&lt;&gt;N27,S18&lt;&gt;N30),S18)</f>
        <v>Enloe</v>
      </c>
      <c r="V18" s="9"/>
      <c r="W18" s="9"/>
      <c r="X18" s="9"/>
      <c r="Y18" s="9"/>
      <c r="Z18" s="9"/>
      <c r="AA18" s="9"/>
      <c r="AB18" s="9"/>
      <c r="AC18" s="9"/>
      <c r="AD18" s="9"/>
    </row>
    <row r="19">
      <c r="A19" s="9">
        <f>'Round Robin'!D29</f>
        <v>-2</v>
      </c>
      <c r="B19" s="9">
        <f>'Round Robin'!C30</f>
        <v>62</v>
      </c>
      <c r="C19" s="1" t="s">
        <v>43</v>
      </c>
      <c r="D19" s="9">
        <f t="shared" ref="D19:D21" si="18">IF(ISBLANK(A19),,IFS(A19&gt;B19,2,A19=B19,1,A19&lt;B19,0))</f>
        <v>0</v>
      </c>
      <c r="E19" s="9">
        <f>IF(ISBLANK(A19),,IFS(A19&gt;B19,0,A19=B19,1,A19&lt;B19,2))</f>
        <v>2</v>
      </c>
      <c r="F19" s="9">
        <f>IF(ISBLANK(A20),,IFS(A20&gt;B20,0,A20=B20,1,A20&lt;B20,2))</f>
        <v>2</v>
      </c>
      <c r="G19" s="9">
        <f>IF(ISBLANK(A21),,IFS(A21&gt;B21,0,A21=B21,1,A21&lt;B21,2))</f>
        <v>0</v>
      </c>
      <c r="H19" s="14">
        <f>LARGE(D22:G22,4)</f>
        <v>2</v>
      </c>
      <c r="I19" s="54" t="str">
        <f>IF(H19=H18,IFS(AND(H19=D22,D18&lt;&gt;B27,D18&lt;&gt;B30,D18&lt;&gt;I18),D18,AND(H19=E22,E18&lt;&gt;B27,E18&lt;&gt;B30,E18&lt;&gt;I18),E18,AND(H19=F22,F18&lt;&gt;B27,F18&lt;&gt;B30,F18&lt;&gt;I18),F18,AND(H19=G22,G18&lt;&gt;B27,G18&lt;&gt;B30,G18&lt;&gt;I18),G18),)</f>
        <v>East Brunswick A</v>
      </c>
      <c r="J19" s="23"/>
      <c r="K19" s="9"/>
      <c r="L19" s="9"/>
      <c r="M19" s="9">
        <f>'Round Robin'!L29</f>
        <v>20</v>
      </c>
      <c r="N19" s="9">
        <f>'Round Robin'!K30</f>
        <v>40</v>
      </c>
      <c r="O19" s="1" t="s">
        <v>43</v>
      </c>
      <c r="P19" s="9">
        <f t="shared" ref="P19:P21" si="19">IF(ISBLANK(M19),,IFS(M19&gt;N19,2,M19=N19,1,M19&lt;N19,0))</f>
        <v>0</v>
      </c>
      <c r="Q19" s="9">
        <f>IF(ISBLANK(M19),,IFS(M19&gt;N19,0,M19=N19,1,M19&lt;N19,2))</f>
        <v>2</v>
      </c>
      <c r="R19" s="9">
        <f>IF(ISBLANK(M20),,IFS(M20&gt;N20,0,M20=N20,1,M20&lt;N20,2))</f>
        <v>2</v>
      </c>
      <c r="S19" s="9">
        <f>IF(ISBLANK(M21),,IFS(M21&gt;N21,0,M21=N21,1,M21&lt;N21,2))</f>
        <v>2</v>
      </c>
      <c r="T19" s="14">
        <f>LARGE(P22:S22,4)</f>
        <v>0</v>
      </c>
      <c r="U19" s="22" t="str">
        <f>IF(T19=T18,IFS(AND(T19=P22,P18&lt;&gt;N27,P18&lt;&gt;N30,P18&lt;&gt;U18),P18,AND(T19=Q22,Q18&lt;&gt;N27,Q18&lt;&gt;N30,Q18&lt;&gt;U18),Q18,AND(T19=R22,R18&lt;&gt;N27,R18&lt;&gt;N30,R18&lt;&gt;U18),R18,AND(T19=S22,S18&lt;&gt;N27,S18&lt;&gt;N30,S18&lt;&gt;U18),S18),)</f>
        <v/>
      </c>
      <c r="V19" s="9"/>
      <c r="W19" s="9"/>
      <c r="X19" s="9"/>
      <c r="Y19" s="9"/>
      <c r="Z19" s="9"/>
      <c r="AA19" s="9"/>
      <c r="AB19" s="9"/>
      <c r="AC19" s="9"/>
      <c r="AD19" s="9"/>
    </row>
    <row r="20">
      <c r="A20" s="9">
        <f>'Round Robin'!E29</f>
        <v>36</v>
      </c>
      <c r="B20" s="9">
        <f>'Round Robin'!C31</f>
        <v>166</v>
      </c>
      <c r="C20" s="1" t="s">
        <v>70</v>
      </c>
      <c r="D20" s="9">
        <f t="shared" si="18"/>
        <v>0</v>
      </c>
      <c r="E20" s="9">
        <f t="shared" ref="E20:E21" si="20">IF(ISBLANK(A22),,IFS(A22&gt;B22,2,A22=B22,1,A22&lt;B22,0))</f>
        <v>0</v>
      </c>
      <c r="F20" s="9">
        <f>IF(ISBLANK(A22),,IFS(A22&gt;B22,0,A22=B22,1,A22&lt;B22,2))</f>
        <v>2</v>
      </c>
      <c r="G20" s="9">
        <f t="shared" ref="G20:G21" si="21">IF(ISBLANK(A23),,IFS(A23&gt;B23,0,A23=B23,1,A23&lt;B23,2))</f>
        <v>2</v>
      </c>
      <c r="H20" s="22">
        <f>IF(H19=H18,HLOOKUP(I18,D25:G26,2,FALSE))</f>
        <v>25.33</v>
      </c>
      <c r="I20" s="22" t="str">
        <f t="shared" ref="I20:I21" si="22">I18</f>
        <v>American A</v>
      </c>
      <c r="J20" s="23"/>
      <c r="K20" s="9"/>
      <c r="L20" s="9"/>
      <c r="M20" s="9">
        <f>'Round Robin'!M29</f>
        <v>4</v>
      </c>
      <c r="N20" s="9">
        <f>'Round Robin'!K31</f>
        <v>128</v>
      </c>
      <c r="O20" s="1" t="s">
        <v>70</v>
      </c>
      <c r="P20" s="9">
        <f t="shared" si="19"/>
        <v>0</v>
      </c>
      <c r="Q20" s="9">
        <f t="shared" ref="Q20:Q21" si="23">IF(ISBLANK(M22),,IFS(M22&gt;N22,2,M22=N22,1,M22&lt;N22,0))</f>
        <v>0</v>
      </c>
      <c r="R20" s="9">
        <f>IF(ISBLANK(M22),,IFS(M22&gt;N22,0,M22=N22,1,M22&lt;N22,2))</f>
        <v>2</v>
      </c>
      <c r="S20" s="9">
        <f t="shared" ref="S20:S21" si="24">IF(ISBLANK(M23),,IFS(M23&gt;N23,0,M23=N23,1,M23&lt;N23,2))</f>
        <v>2</v>
      </c>
      <c r="T20" s="22" t="b">
        <f>IF(T19=T18,HLOOKUP(U18,P25:S26,2,FALSE))</f>
        <v>0</v>
      </c>
      <c r="U20" s="22" t="str">
        <f t="shared" ref="U20:U21" si="25">U18</f>
        <v>Enloe</v>
      </c>
      <c r="V20" s="9"/>
      <c r="W20" s="9"/>
      <c r="X20" s="9"/>
      <c r="Y20" s="9"/>
      <c r="Z20" s="9"/>
      <c r="AA20" s="9"/>
      <c r="AB20" s="9"/>
      <c r="AC20" s="9"/>
      <c r="AD20" s="9"/>
    </row>
    <row r="21">
      <c r="A21" s="9">
        <f>'Round Robin'!F29</f>
        <v>42</v>
      </c>
      <c r="B21" s="9">
        <f>'Round Robin'!C32</f>
        <v>30</v>
      </c>
      <c r="C21" s="1" t="s">
        <v>75</v>
      </c>
      <c r="D21" s="9">
        <f t="shared" si="18"/>
        <v>2</v>
      </c>
      <c r="E21" s="9">
        <f t="shared" si="20"/>
        <v>0</v>
      </c>
      <c r="F21" s="9">
        <f>IF(ISBLANK(A24),,IFS(A24&gt;B24,2,A24=B24,1,A24&lt;B24,0))</f>
        <v>2</v>
      </c>
      <c r="G21" s="9">
        <f t="shared" si="21"/>
        <v>0</v>
      </c>
      <c r="H21" s="22">
        <f>IF(H19=H18,HLOOKUP(I19,D25:G26,2,FALSE))</f>
        <v>37.33</v>
      </c>
      <c r="I21" s="54" t="str">
        <f t="shared" si="22"/>
        <v>East Brunswick A</v>
      </c>
      <c r="J21" s="23"/>
      <c r="K21" s="9"/>
      <c r="L21" s="9"/>
      <c r="M21" s="9">
        <f>'Round Robin'!N29</f>
        <v>4</v>
      </c>
      <c r="N21" s="9">
        <f>'Round Robin'!K32</f>
        <v>68</v>
      </c>
      <c r="O21" s="1" t="s">
        <v>75</v>
      </c>
      <c r="P21" s="9">
        <f t="shared" si="19"/>
        <v>0</v>
      </c>
      <c r="Q21" s="9">
        <f t="shared" si="23"/>
        <v>0</v>
      </c>
      <c r="R21" s="9">
        <f>IF(ISBLANK(M24),,IFS(M24&gt;N24,2,M24=N24,1,M24&lt;N24,0))</f>
        <v>2</v>
      </c>
      <c r="S21" s="9">
        <f t="shared" si="24"/>
        <v>0</v>
      </c>
      <c r="T21" s="22" t="b">
        <f>IF(T19=T18,HLOOKUP(U19,P25:S26,2,FALSE))</f>
        <v>0</v>
      </c>
      <c r="U21" s="22" t="str">
        <f t="shared" si="25"/>
        <v/>
      </c>
      <c r="V21" s="9"/>
      <c r="W21" s="9"/>
      <c r="X21" s="9"/>
      <c r="Y21" s="9"/>
      <c r="Z21" s="9"/>
      <c r="AA21" s="9"/>
      <c r="AB21" s="9"/>
      <c r="AC21" s="9"/>
      <c r="AD21" s="9"/>
    </row>
    <row r="22">
      <c r="A22" s="9">
        <f>'Round Robin'!E30</f>
        <v>10</v>
      </c>
      <c r="B22" s="9">
        <f>'Round Robin'!D31</f>
        <v>108</v>
      </c>
      <c r="C22" s="1" t="s">
        <v>76</v>
      </c>
      <c r="D22" s="58">
        <f t="shared" ref="D22:G22" si="26">SUM(D19:D21)</f>
        <v>2</v>
      </c>
      <c r="E22" s="58">
        <f t="shared" si="26"/>
        <v>2</v>
      </c>
      <c r="F22" s="58">
        <f t="shared" si="26"/>
        <v>6</v>
      </c>
      <c r="G22" s="58">
        <f t="shared" si="26"/>
        <v>2</v>
      </c>
      <c r="H22" s="22" t="str">
        <f>IFS(H20=FALSE,I18,H20&gt;H21,I20,H20&lt;H21,I21,H20=H21,CONCATENATE("Tie", I20, I21))</f>
        <v>East Brunswick A</v>
      </c>
      <c r="I22" s="22">
        <f>IFS(H20&gt;H21,H20,H21&gt;H20,H21,H20=H21,H21)</f>
        <v>37.33</v>
      </c>
      <c r="J22" s="23"/>
      <c r="K22" s="9"/>
      <c r="L22" s="9"/>
      <c r="M22" s="9">
        <f>'Round Robin'!M30</f>
        <v>14</v>
      </c>
      <c r="N22" s="9">
        <f>'Round Robin'!L31</f>
        <v>154</v>
      </c>
      <c r="O22" s="1" t="s">
        <v>76</v>
      </c>
      <c r="P22" s="58">
        <f t="shared" ref="P22:S22" si="27">SUM(P19:P21)</f>
        <v>0</v>
      </c>
      <c r="Q22" s="58">
        <f t="shared" si="27"/>
        <v>2</v>
      </c>
      <c r="R22" s="58">
        <f t="shared" si="27"/>
        <v>6</v>
      </c>
      <c r="S22" s="58">
        <f t="shared" si="27"/>
        <v>4</v>
      </c>
      <c r="T22" s="22" t="str">
        <f>IFS(T20=FALSE,U18,T20&gt;T21,U20,T20&lt;T21,U21,T20=T21,CONCATENATE("Tie", U20, U21))</f>
        <v>Enloe</v>
      </c>
      <c r="U22" s="22" t="b">
        <f>IFS(T20&gt;T21,T20,T21&gt;T20,T21,T20=T21,T21)</f>
        <v>0</v>
      </c>
      <c r="V22" s="9"/>
      <c r="W22" s="9"/>
      <c r="X22" s="9"/>
      <c r="Y22" s="9"/>
      <c r="Z22" s="9"/>
      <c r="AA22" s="9"/>
      <c r="AB22" s="9"/>
      <c r="AC22" s="9"/>
      <c r="AD22" s="9"/>
    </row>
    <row r="23">
      <c r="A23" s="9">
        <f>'Round Robin'!F30</f>
        <v>40</v>
      </c>
      <c r="B23" s="9">
        <f>'Round Robin'!D32</f>
        <v>70</v>
      </c>
      <c r="C23" s="1" t="s">
        <v>77</v>
      </c>
      <c r="D23" s="9"/>
      <c r="E23" s="9"/>
      <c r="F23" s="9" t="str">
        <f>IF(OR(D22="",E22="",F22="",G22="",G21="",F21="",E21="",D21="",D20="",D19="",E20="",E19="",F20="",F19="",G20="",G19=""),"",IFNA(IFS(AND(D24=E22,E18&lt;&gt;E24),E18,AND(D24=F22,F18&lt;&gt;E24),F18,AND(D24=G22,G18&lt;&gt;E24),G18),""))</f>
        <v/>
      </c>
      <c r="G23" s="9" t="str">
        <f>IF(OR(D22="",E22="",F22="",G22="",G21="",F21="",E21="",D21="",D20="",D19="",E20="",E19="",F20="",F19="",G20="",G19=""),"",IFNA(IFS(AND(D24=F22,F18&lt;&gt;E24,F18&lt;&gt;F24),F18,AND(D24=G22,G18&lt;&gt;E24,G18&lt;&gt;F24),G18),""))</f>
        <v/>
      </c>
      <c r="H23" s="9"/>
      <c r="I23" s="9"/>
      <c r="J23" s="23"/>
      <c r="K23" s="9"/>
      <c r="L23" s="9"/>
      <c r="M23" s="9">
        <f>'Round Robin'!N30</f>
        <v>8</v>
      </c>
      <c r="N23" s="9">
        <f>'Round Robin'!L32</f>
        <v>142</v>
      </c>
      <c r="O23" s="1" t="s">
        <v>77</v>
      </c>
      <c r="P23" s="9"/>
      <c r="Q23" s="9"/>
      <c r="R23" s="22" t="str">
        <f>IF(OR(P22="",Q22="",R22="",S22="",S21="",R21="",Q21="",P21="",P20="",P19="",Q20="",Q19="",R20="",R19="",S20="",S19=""),"",IFNA(IFS(AND(P24=Q22,Q18&lt;&gt;Q24),Q18,AND(P24=R22,R18&lt;&gt;Q24),R18,AND(P24=S22,S18&lt;&gt;Q24),S18),""))</f>
        <v/>
      </c>
      <c r="S23" s="22" t="str">
        <f>IF(OR(P22="",Q22="",R22="",S22="",S21="",R21="",Q21="",P21="",P20="",P19="",Q20="",Q19="",R20="",R19="",S20="",S19=""),"",IFNA(IFS(AND(P24=R22,R18&lt;&gt;Q24,R18&lt;&gt;R24),R18,AND(P24=S22,S18&lt;&gt;Q24,S18&lt;&gt;R24),S18),""))</f>
        <v/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9">
        <f>'Round Robin'!F31</f>
        <v>156</v>
      </c>
      <c r="B24" s="9">
        <f>'Round Robin'!E32</f>
        <v>18</v>
      </c>
      <c r="C24" s="1" t="s">
        <v>92</v>
      </c>
      <c r="D24" s="58">
        <f>MAX(D22:G22)</f>
        <v>6</v>
      </c>
      <c r="E24" s="9" t="str">
        <f>IF(OR(D22="",E22="",F22="",G22="",G21="",F21="",E21="",D21="",D20="",D19="",E20="",E19="",F20="",F19="",G20="",G19=""),"",IFS(D24=D22,'Round Robin'!C26,D24=E22,'Round Robin'!D26,D24=F22,'Round Robin'!E26,D24=G22,'Round Robin'!F26))</f>
        <v>WWPN</v>
      </c>
      <c r="F24" s="9" t="str">
        <f>IF(F23&lt;&gt;E24,F23,"")</f>
        <v/>
      </c>
      <c r="G24" s="9" t="str">
        <f>IF(AND(G23&lt;&gt;E24,G23&lt;&gt;F24),G23,"")</f>
        <v/>
      </c>
      <c r="H24" s="9"/>
      <c r="I24" s="9"/>
      <c r="J24" s="23"/>
      <c r="K24" s="9"/>
      <c r="L24" s="9"/>
      <c r="M24" s="9">
        <f>'Round Robin'!N31</f>
        <v>88</v>
      </c>
      <c r="N24" s="9">
        <f>'Round Robin'!M32</f>
        <v>64</v>
      </c>
      <c r="O24" s="1" t="s">
        <v>92</v>
      </c>
      <c r="P24" s="58">
        <f>MAX(P22:S22)</f>
        <v>6</v>
      </c>
      <c r="Q24" s="9" t="str">
        <f>IF(OR(P22="",Q22="",R22="",S22="",S21="",R21="",Q21="",P21="",P20="",P19="",Q20="",Q19="",R20="",R19="",S20="",S19=""),"",IFS(P24=P22,'Round Robin'!K26,P24=Q22,'Round Robin'!L26,P24=R22,'Round Robin'!M26,P24=S22,'Round Robin'!N26))</f>
        <v>Iolani</v>
      </c>
      <c r="R24" s="9" t="str">
        <f>IF(R23&lt;&gt;Q24,R23,"")</f>
        <v/>
      </c>
      <c r="S24" s="9" t="str">
        <f>IF(AND(S23&lt;&gt;Q24,S23&lt;&gt;R24),S23,"")</f>
        <v/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9"/>
      <c r="B25" s="9"/>
      <c r="C25" s="9"/>
      <c r="D25" s="9" t="str">
        <f t="shared" ref="D25:G25" si="28">D18</f>
        <v>American A</v>
      </c>
      <c r="E25" s="9" t="str">
        <f t="shared" si="28"/>
        <v>East Brunswick A</v>
      </c>
      <c r="F25" s="9" t="str">
        <f t="shared" si="28"/>
        <v>WWPN</v>
      </c>
      <c r="G25" s="9" t="str">
        <f t="shared" si="28"/>
        <v>University B</v>
      </c>
      <c r="H25" s="9"/>
      <c r="I25" s="9"/>
      <c r="J25" s="23"/>
      <c r="K25" s="9"/>
      <c r="L25" s="9"/>
      <c r="M25" s="9"/>
      <c r="N25" s="9"/>
      <c r="O25" s="9"/>
      <c r="P25" s="9" t="str">
        <f t="shared" ref="P25:S25" si="29">P18</f>
        <v>Cupertino</v>
      </c>
      <c r="Q25" s="9" t="str">
        <f t="shared" si="29"/>
        <v>Enloe</v>
      </c>
      <c r="R25" s="9" t="str">
        <f t="shared" si="29"/>
        <v>Iolani</v>
      </c>
      <c r="S25" s="9" t="str">
        <f t="shared" si="29"/>
        <v>TJHSST B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63">
        <f>HLOOKUP(E24,D25:G26,2,FALSE)</f>
        <v>143.33</v>
      </c>
      <c r="B26" s="64" t="str">
        <f>IFERROR(HLOOKUP(F24,D25:G26,2,FALSE),"")</f>
        <v/>
      </c>
      <c r="C26" s="64" t="str">
        <f>IFERROR(HLOOKUP(G24,E25:L26,2,FALSE),"")</f>
        <v/>
      </c>
      <c r="D26" s="65">
        <f>'Round Robin'!G29</f>
        <v>25.33</v>
      </c>
      <c r="E26" s="64">
        <f>'Round Robin'!G30</f>
        <v>37.33</v>
      </c>
      <c r="F26" s="64">
        <f>'Round Robin'!G31</f>
        <v>143.33</v>
      </c>
      <c r="G26" s="64">
        <f>'Round Robin'!G32</f>
        <v>39.33</v>
      </c>
      <c r="H26" s="9"/>
      <c r="I26" s="9"/>
      <c r="J26" s="23"/>
      <c r="K26" s="9"/>
      <c r="L26" s="9"/>
      <c r="M26" s="63">
        <f>HLOOKUP(Q24,P25:S26,2,FALSE)</f>
        <v>123.33</v>
      </c>
      <c r="N26" s="64" t="str">
        <f t="shared" ref="N26:O26" si="30">IFERROR(HLOOKUP(R24,P25:S26,2,FALSE),"")</f>
        <v/>
      </c>
      <c r="O26" s="64" t="str">
        <f t="shared" si="30"/>
        <v/>
      </c>
      <c r="P26" s="65">
        <f>'Round Robin'!O29</f>
        <v>9.33</v>
      </c>
      <c r="Q26" s="64">
        <f>'Round Robin'!O30</f>
        <v>20.67</v>
      </c>
      <c r="R26" s="64">
        <f>'Round Robin'!O31</f>
        <v>123.33</v>
      </c>
      <c r="S26" s="64">
        <f>'Round Robin'!O32</f>
        <v>91.33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63">
        <f>MAX(A26:C26)</f>
        <v>143.33</v>
      </c>
      <c r="B27" s="64" t="str">
        <f>IFNA(HLOOKUP(A27,D26:G27,2,FALSE),"Goff #1")</f>
        <v>WWPN</v>
      </c>
      <c r="C27" s="64"/>
      <c r="D27" s="64" t="str">
        <f t="shared" ref="D27:G27" si="31">D18</f>
        <v>American A</v>
      </c>
      <c r="E27" s="64" t="str">
        <f t="shared" si="31"/>
        <v>East Brunswick A</v>
      </c>
      <c r="F27" s="64" t="str">
        <f t="shared" si="31"/>
        <v>WWPN</v>
      </c>
      <c r="G27" s="64" t="str">
        <f t="shared" si="31"/>
        <v>University B</v>
      </c>
      <c r="H27" s="9"/>
      <c r="I27" s="9"/>
      <c r="J27" s="23"/>
      <c r="K27" s="9"/>
      <c r="L27" s="9"/>
      <c r="M27" s="63">
        <f>MAX(M26:O26)</f>
        <v>123.33</v>
      </c>
      <c r="N27" s="64" t="str">
        <f>IFNA(HLOOKUP(M27,P26:S27,2,FALSE),"Hutchinson #1")</f>
        <v>Iolani</v>
      </c>
      <c r="O27" s="64"/>
      <c r="P27" s="64" t="str">
        <f t="shared" ref="P27:S27" si="32">P18</f>
        <v>Cupertino</v>
      </c>
      <c r="Q27" s="64" t="str">
        <f t="shared" si="32"/>
        <v>Enloe</v>
      </c>
      <c r="R27" s="64" t="str">
        <f t="shared" si="32"/>
        <v>Iolani</v>
      </c>
      <c r="S27" s="64" t="str">
        <f t="shared" si="32"/>
        <v>TJHSST B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22"/>
      <c r="B28" s="22"/>
      <c r="C28" s="22"/>
      <c r="D28" s="22"/>
      <c r="E28" s="22"/>
      <c r="F28" s="22" t="str">
        <f>IF(OR(D19="",E19="",F19="",G19="",G20="",F20="",E20="",D20="",D21="",D22="",E21="",E22="",F21="",F22="",G21="",G22=""),"",IFNA(IFS(AND(D29=E22,E18&lt;&gt;E29),E18,AND(D29=F22,F18&lt;&gt;E29),F18,AND(D29=G22,G18&lt;&gt;E29),G18),""))</f>
        <v>East Brunswick A</v>
      </c>
      <c r="G28" s="22" t="str">
        <f>IF(OR(D19="",E19="",F19="",G19="",G20="",F20="",E20="",D20="",D21="",D22="",E21="",E22="",F21="",F22="",G21="",G22=""),"",IFNA(IFS(AND(D29=E22,E18&lt;&gt;E29,E18&lt;&gt;F29),E18,AND(D29=F22,F18&lt;&gt;E29,F18&lt;&gt;F29),F18,AND(D29=G22,G18&lt;&gt;E29,G18&lt;&gt;F29),G18),""))</f>
        <v>University B</v>
      </c>
      <c r="H28" s="9"/>
      <c r="I28" s="9"/>
      <c r="J28" s="23"/>
      <c r="K28" s="9"/>
      <c r="L28" s="9"/>
      <c r="M28" s="22"/>
      <c r="N28" s="22"/>
      <c r="O28" s="22"/>
      <c r="P28" s="22"/>
      <c r="Q28" s="22"/>
      <c r="R28" s="22" t="str">
        <f>IF(OR(P19="",Q19="",R19="",S19="",S20="",R20="",Q20="",P20="",P21="",P22="",Q21="",Q22="",R21="",R22="",S21="",S22=""),"",IFNA(IFS(AND(P29=Q22,Q18&lt;&gt;Q29),Q18,AND(P29=R22,R18&lt;&gt;Q29),R18,AND(P29=S22,S18&lt;&gt;Q29),S18),""))</f>
        <v/>
      </c>
      <c r="S28" s="22" t="str">
        <f>IF(OR(P19="",Q19="",R19="",S19="",S20="",R20="",Q20="",P20="",P21="",P22="",Q21="",Q22="",R21="",R22="",S21="",S22=""),"",IFNA(IFS(AND(P29=Q22,Q18&lt;&gt;Q29,Q18&lt;&gt;R29),Q18,AND(P29=R22,R18&lt;&gt;Q29,R18&lt;&gt;R29),R18,AND(P29=S22,S18&lt;&gt;Q29,S18&lt;&gt;R29),S18),""))</f>
        <v/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22"/>
      <c r="B29" s="22"/>
      <c r="C29" s="22"/>
      <c r="D29" s="14">
        <f>LARGE(D22:G22,2)</f>
        <v>2</v>
      </c>
      <c r="E29" s="22" t="str">
        <f>IF(OR(D22="",E22="",F22="",G22="",G21="",F21="",E21="",D21="",D20="",D19="",E20="",E19="",F20="",F19="",G20="",G19=""),"",IFS(AND(D29=D22,D18&lt;&gt;B27),D18,AND(D29=E22,E18&lt;&gt;B27),E18,AND(D29=F22,F18&lt;&gt;B27),F18,AND(D29=G22,G18&lt;&gt;B27),G18))</f>
        <v>American A</v>
      </c>
      <c r="F29" s="22" t="str">
        <f>IF(AND(F28&lt;&gt;E29,F28&lt;&gt;B27),F28,"")</f>
        <v>East Brunswick A</v>
      </c>
      <c r="G29" s="22" t="str">
        <f>IF(AND(G28&lt;&gt;E29,G28&lt;&gt;F29,G28&lt;&gt;B27),G28,"")</f>
        <v>University B</v>
      </c>
      <c r="H29" s="9"/>
      <c r="I29" s="9"/>
      <c r="J29" s="23"/>
      <c r="K29" s="9"/>
      <c r="L29" s="9"/>
      <c r="M29" s="22"/>
      <c r="N29" s="22"/>
      <c r="O29" s="22"/>
      <c r="P29" s="14">
        <f>LARGE(P22:S22,2)</f>
        <v>4</v>
      </c>
      <c r="Q29" s="22" t="str">
        <f>IF(OR(P22="",Q22="",R22="",S22="",S21="",R21="",Q21="",P21="",P20="",P19="",Q20="",Q19="",R20="",R19="",S20="",S19=""),"",IFS(AND(P29=P22,P18&lt;&gt;N27),P18,AND(P29=Q22,Q18&lt;&gt;N27),Q18,AND(P29=R22,R18&lt;&gt;N27),R18,AND(P29=S22,S18&lt;&gt;N27),S18))</f>
        <v>TJHSST B</v>
      </c>
      <c r="R29" s="22" t="str">
        <f>IF(AND(R28&lt;&gt;Q29,R28&lt;&gt;N27),R28,"")</f>
        <v/>
      </c>
      <c r="S29" s="22" t="str">
        <f>IF(AND(S28&lt;&gt;Q29,S28&lt;&gt;R29,S28&lt;&gt;N27),S28,"")</f>
        <v/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14">
        <f>MAX(E30:G30)</f>
        <v>39.33</v>
      </c>
      <c r="B30" s="22" t="str">
        <f>IFNA(HLOOKUP(A30,D30:G31,2,FALSE),"Goff #2")</f>
        <v>University B</v>
      </c>
      <c r="C30" s="22"/>
      <c r="D30" s="22"/>
      <c r="E30" s="22">
        <f>IFNA(HLOOKUP(E29,D25:G26,2,FALSE),)</f>
        <v>25.33</v>
      </c>
      <c r="F30" s="22">
        <f>IFNA(HLOOKUP(F29,D25:G26,2,FALSE),)</f>
        <v>37.33</v>
      </c>
      <c r="G30" s="22">
        <f>IFNA(HLOOKUP(G29,D25:G26,2,FALSE),)</f>
        <v>39.33</v>
      </c>
      <c r="H30" s="9"/>
      <c r="I30" s="9"/>
      <c r="J30" s="23"/>
      <c r="K30" s="9"/>
      <c r="L30" s="9"/>
      <c r="M30" s="14">
        <f>MAX(Q30:S30)</f>
        <v>91.33</v>
      </c>
      <c r="N30" s="22" t="str">
        <f>IFNA(HLOOKUP(M30,P30:S31,2,FALSE),"Hutchinson #2")</f>
        <v>TJHSST B</v>
      </c>
      <c r="O30" s="22"/>
      <c r="P30" s="22"/>
      <c r="Q30" s="22">
        <f>IFNA(HLOOKUP(Q29,P25:S26,2,FALSE),)</f>
        <v>91.33</v>
      </c>
      <c r="R30" s="22" t="str">
        <f>IFNA(HLOOKUP(R29,P25:S26,2,FALSE),)</f>
        <v/>
      </c>
      <c r="S30" s="22" t="str">
        <f>IFNA(HLOOKUP(S29,P25:S26,2,FALSE),)</f>
        <v/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67" t="s">
        <v>3</v>
      </c>
      <c r="B31" s="22">
        <f>IF(B32&lt;&gt;"Goff #1",HLOOKUP(B32,D25:G26,2,FALSE),)</f>
        <v>143.33</v>
      </c>
      <c r="C31" s="67" t="s">
        <v>3</v>
      </c>
      <c r="D31" s="22">
        <f>IF(D32&lt;&gt;"Goff #2",HLOOKUP(D32,D25:G26,2,FALSE),)</f>
        <v>39.33</v>
      </c>
      <c r="E31" s="22" t="str">
        <f t="shared" ref="E31:G31" si="33">E29</f>
        <v>American A</v>
      </c>
      <c r="F31" s="22" t="str">
        <f t="shared" si="33"/>
        <v>East Brunswick A</v>
      </c>
      <c r="G31" s="22" t="str">
        <f t="shared" si="33"/>
        <v>University B</v>
      </c>
      <c r="H31" s="9"/>
      <c r="I31" s="9"/>
      <c r="J31" s="23"/>
      <c r="K31" s="9"/>
      <c r="L31" s="9"/>
      <c r="M31" s="67" t="s">
        <v>3</v>
      </c>
      <c r="N31" s="22">
        <f>IF(N32&lt;&gt;"Hutchinson #1",HLOOKUP(N32,P25:S26,2,FALSE),)</f>
        <v>123.33</v>
      </c>
      <c r="O31" s="67" t="s">
        <v>3</v>
      </c>
      <c r="P31" s="22">
        <f>IF(P32&lt;&gt;"Hutchinson #2",HLOOKUP(P32,P25:S26,2,FALSE),)</f>
        <v>91.33</v>
      </c>
      <c r="Q31" s="22" t="str">
        <f t="shared" ref="Q31:S31" si="34">Q29</f>
        <v>TJHSST B</v>
      </c>
      <c r="R31" s="22" t="str">
        <f t="shared" si="34"/>
        <v/>
      </c>
      <c r="S31" s="22" t="str">
        <f t="shared" si="34"/>
        <v/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68" t="s">
        <v>123</v>
      </c>
      <c r="B32" s="22" t="str">
        <f>B27</f>
        <v>WWPN</v>
      </c>
      <c r="C32" s="68" t="s">
        <v>124</v>
      </c>
      <c r="D32" s="22" t="str">
        <f>B30</f>
        <v>University B</v>
      </c>
      <c r="E32" s="68" t="s">
        <v>125</v>
      </c>
      <c r="F32" s="22" t="str">
        <f>IF(D32="Onondaga #2","Onondaga #3",H22)</f>
        <v>East Brunswick A</v>
      </c>
      <c r="G32" s="22"/>
      <c r="H32" s="9"/>
      <c r="I32" s="9"/>
      <c r="J32" s="23"/>
      <c r="K32" s="9"/>
      <c r="L32" s="9"/>
      <c r="M32" s="68" t="s">
        <v>123</v>
      </c>
      <c r="N32" s="22" t="str">
        <f>N27</f>
        <v>Iolani</v>
      </c>
      <c r="O32" s="68" t="s">
        <v>124</v>
      </c>
      <c r="P32" s="22" t="str">
        <f>N30</f>
        <v>TJHSST B</v>
      </c>
      <c r="Q32" s="68" t="s">
        <v>125</v>
      </c>
      <c r="R32" s="22" t="str">
        <f>IF(P32="Oneida #2","Oneida #3",T22)</f>
        <v>Enloe</v>
      </c>
      <c r="S32" s="2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9"/>
      <c r="B33" s="9"/>
      <c r="C33" s="9"/>
      <c r="D33" s="9"/>
      <c r="E33" s="9"/>
      <c r="F33" s="69">
        <f>HLOOKUP(F32,D25:G26,2,FALSE)</f>
        <v>37.33</v>
      </c>
      <c r="G33" s="9"/>
      <c r="H33" s="9"/>
      <c r="I33" s="9"/>
      <c r="J33" s="23"/>
      <c r="K33" s="9"/>
      <c r="L33" s="9"/>
      <c r="M33" s="9"/>
      <c r="N33" s="9"/>
      <c r="O33" s="9"/>
      <c r="P33" s="9"/>
      <c r="Q33" s="9"/>
      <c r="R33" s="69">
        <f>HLOOKUP(R32,P25:S26,2,FALSE)</f>
        <v>20.67</v>
      </c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1" t="s">
        <v>111</v>
      </c>
      <c r="B35" s="9"/>
      <c r="C35" s="9"/>
      <c r="D35" s="1" t="str">
        <f>'Round Robin'!B40</f>
        <v>Amador Valley B</v>
      </c>
      <c r="E35" s="1" t="str">
        <f>'Round Robin'!B41</f>
        <v>Clovis North</v>
      </c>
      <c r="F35" s="1" t="str">
        <f>'Round Robin'!B42</f>
        <v>Green Hope</v>
      </c>
      <c r="G35" s="1" t="str">
        <f>'Round Robin'!B43</f>
        <v>Montgomery Blair A</v>
      </c>
      <c r="H35" s="14">
        <f>LARGE(D39:G39,3)</f>
        <v>2</v>
      </c>
      <c r="I35" s="22" t="str">
        <f>IFS(AND(H35=D39,D35&lt;&gt;B44,D35&lt;&gt;B47),D35,AND(H35=E39,E35&lt;&gt;B44,E35&lt;&gt;B47),E35,AND(H35=F39,F35&lt;&gt;B44,F35&lt;&gt;B47),F35,AND(H35=G39,G35&lt;&gt;B44,G35&lt;&gt;B47),G35)</f>
        <v>Montgomery Blair A</v>
      </c>
      <c r="J35" s="23"/>
      <c r="K35" s="9"/>
      <c r="L35" s="9"/>
      <c r="M35" s="1" t="s">
        <v>112</v>
      </c>
      <c r="N35" s="9"/>
      <c r="O35" s="9"/>
      <c r="P35" s="1" t="str">
        <f>'Round Robin'!J40</f>
        <v>American B</v>
      </c>
      <c r="Q35" s="1" t="str">
        <f>'Round Robin'!J41</f>
        <v>BASIS McLean</v>
      </c>
      <c r="R35" s="1" t="str">
        <f>'Round Robin'!J42</f>
        <v>Interlake A</v>
      </c>
      <c r="S35" s="1" t="str">
        <f>'Round Robin'!J43</f>
        <v>Amador Valley A</v>
      </c>
      <c r="T35" s="14">
        <f>LARGE(P39:S39,3)</f>
        <v>2</v>
      </c>
      <c r="U35" s="22" t="str">
        <f>IFS(AND(T35=P39,P35&lt;&gt;N44,P35&lt;&gt;N47),P35,AND(T35=Q39,Q35&lt;&gt;N44,Q35&lt;&gt;N47),Q35,AND(T35=R39,R35&lt;&gt;N44,R35&lt;&gt;N47),R35,AND(T35=S39,S35&lt;&gt;N44,S35&lt;&gt;N47),S35)</f>
        <v>BASIS McLean</v>
      </c>
      <c r="V35" s="9"/>
      <c r="W35" s="9"/>
      <c r="X35" s="9"/>
      <c r="Y35" s="9"/>
      <c r="Z35" s="9"/>
      <c r="AA35" s="9"/>
      <c r="AB35" s="9"/>
      <c r="AC35" s="9"/>
      <c r="AD35" s="9"/>
    </row>
    <row r="36">
      <c r="A36" s="9">
        <f>'Round Robin'!D40</f>
        <v>44</v>
      </c>
      <c r="B36" s="9">
        <f>'Round Robin'!C41</f>
        <v>88</v>
      </c>
      <c r="C36" s="1" t="s">
        <v>43</v>
      </c>
      <c r="D36" s="9">
        <f t="shared" ref="D36:D38" si="35">IF(ISBLANK(A36),,IFS(A36&gt;B36,2,A36=B36,1,A36&lt;B36,0))</f>
        <v>0</v>
      </c>
      <c r="E36" s="9">
        <f>IF(ISBLANK(A36),,IFS(A36&gt;B36,0,A36=B36,1,A36&lt;B36,2))</f>
        <v>2</v>
      </c>
      <c r="F36" s="9">
        <f>IF(ISBLANK(A37),,IFS(A37&gt;B37,0,A37=B37,1,A37&lt;B37,2))</f>
        <v>2</v>
      </c>
      <c r="G36" s="9">
        <f>IF(ISBLANK(A38),,IFS(A38&gt;B38,0,A38=B38,1,A38&lt;B38,2))</f>
        <v>2</v>
      </c>
      <c r="H36" s="14">
        <f>LARGE(D39:G39,4)</f>
        <v>0</v>
      </c>
      <c r="I36" s="22" t="str">
        <f>IF(H36=H35,IFS(AND(H36=D39,D35&lt;&gt;B44,D35&lt;&gt;B47,D35&lt;&gt;I35),D35,AND(H36=E39,E35&lt;&gt;B44,E35&lt;&gt;B47,E35&lt;&gt;I35),E35,AND(H36=F39,F35&lt;&gt;B44,F35&lt;&gt;B47,F35&lt;&gt;I35),F35,AND(H36=G39,G35&lt;&gt;B44,G35&lt;&gt;B47,G35&lt;&gt;I35),G35),)</f>
        <v/>
      </c>
      <c r="J36" s="23"/>
      <c r="K36" s="9"/>
      <c r="L36" s="9"/>
      <c r="M36" s="9">
        <f>'Round Robin'!L40</f>
        <v>32</v>
      </c>
      <c r="N36" s="9">
        <f>'Round Robin'!K41</f>
        <v>36</v>
      </c>
      <c r="O36" s="1" t="s">
        <v>43</v>
      </c>
      <c r="P36" s="9">
        <f t="shared" ref="P36:P38" si="36">IF(ISBLANK(M36),,IFS(M36&gt;N36,2,M36=N36,1,M36&lt;N36,0))</f>
        <v>0</v>
      </c>
      <c r="Q36" s="9">
        <f>IF(ISBLANK(M36),,IFS(M36&gt;N36,0,M36=N36,1,M36&lt;N36,2))</f>
        <v>2</v>
      </c>
      <c r="R36" s="9">
        <f>IF(ISBLANK(M37),,IFS(M37&gt;N37,0,M37=N37,1,M37&lt;N37,2))</f>
        <v>2</v>
      </c>
      <c r="S36" s="9">
        <f>IF(ISBLANK(M38),,IFS(M38&gt;N38,0,M38=N38,1,M38&lt;N38,2))</f>
        <v>2</v>
      </c>
      <c r="T36" s="14">
        <f>LARGE(P39:S39,4)</f>
        <v>0</v>
      </c>
      <c r="U36" s="22" t="str">
        <f>IF(T36=T35,IFS(AND(T36=P39,P35&lt;&gt;N44,P35&lt;&gt;N47,P35&lt;&gt;U35),P35,AND(T36=Q39,Q35&lt;&gt;N44,Q35&lt;&gt;N47,Q35&lt;&gt;U35),Q35,AND(T36=R39,R35&lt;&gt;N44,R35&lt;&gt;N47,R35&lt;&gt;U35),R35,AND(T36=S39,S35&lt;&gt;N44,S35&lt;&gt;N47,S35&lt;&gt;U35),S35),)</f>
        <v/>
      </c>
      <c r="V36" s="9"/>
      <c r="W36" s="9"/>
      <c r="X36" s="9"/>
      <c r="Y36" s="9"/>
      <c r="Z36" s="9"/>
      <c r="AA36" s="9"/>
      <c r="AB36" s="9"/>
      <c r="AC36" s="9"/>
      <c r="AD36" s="9"/>
    </row>
    <row r="37">
      <c r="A37" s="9">
        <f>'Round Robin'!E40</f>
        <v>16</v>
      </c>
      <c r="B37" s="9">
        <f>'Round Robin'!C42</f>
        <v>138</v>
      </c>
      <c r="C37" s="1" t="s">
        <v>70</v>
      </c>
      <c r="D37" s="9">
        <f t="shared" si="35"/>
        <v>0</v>
      </c>
      <c r="E37" s="9">
        <f t="shared" ref="E37:E38" si="37">IF(ISBLANK(A39),,IFS(A39&gt;B39,2,A39=B39,1,A39&lt;B39,0))</f>
        <v>2</v>
      </c>
      <c r="F37" s="9">
        <f>IF(ISBLANK(A39),,IFS(A39&gt;B39,0,A39=B39,1,A39&lt;B39,2))</f>
        <v>0</v>
      </c>
      <c r="G37" s="9">
        <f t="shared" ref="G37:G38" si="38">IF(ISBLANK(A40),,IFS(A40&gt;B40,0,A40=B40,1,A40&lt;B40,2))</f>
        <v>0</v>
      </c>
      <c r="H37" s="22" t="b">
        <f>IF(H36=H35,HLOOKUP(I35,D42:G43,2,FALSE))</f>
        <v>0</v>
      </c>
      <c r="I37" s="22" t="str">
        <f t="shared" ref="I37:I38" si="39">I35</f>
        <v>Montgomery Blair A</v>
      </c>
      <c r="J37" s="23"/>
      <c r="K37" s="9"/>
      <c r="L37" s="9"/>
      <c r="M37" s="9">
        <f>'Round Robin'!M40</f>
        <v>0</v>
      </c>
      <c r="N37" s="9">
        <f>'Round Robin'!K42</f>
        <v>138</v>
      </c>
      <c r="O37" s="1" t="s">
        <v>70</v>
      </c>
      <c r="P37" s="9">
        <f t="shared" si="36"/>
        <v>0</v>
      </c>
      <c r="Q37" s="9">
        <f t="shared" ref="Q37:Q38" si="40">IF(ISBLANK(M39),,IFS(M39&gt;N39,2,M39=N39,1,M39&lt;N39,0))</f>
        <v>0</v>
      </c>
      <c r="R37" s="9">
        <f>IF(ISBLANK(M39),,IFS(M39&gt;N39,0,M39=N39,1,M39&lt;N39,2))</f>
        <v>2</v>
      </c>
      <c r="S37" s="9">
        <f t="shared" ref="S37:S38" si="41">IF(ISBLANK(M40),,IFS(M40&gt;N40,0,M40=N40,1,M40&lt;N40,2))</f>
        <v>2</v>
      </c>
      <c r="T37" s="22" t="b">
        <f>IF(T36=T35,HLOOKUP(U35,P42:S43,2,FALSE))</f>
        <v>0</v>
      </c>
      <c r="U37" s="22" t="str">
        <f t="shared" ref="U37:U38" si="42">U35</f>
        <v>BASIS McLean</v>
      </c>
      <c r="V37" s="9"/>
      <c r="W37" s="9"/>
      <c r="X37" s="9"/>
      <c r="Y37" s="9"/>
      <c r="Z37" s="9"/>
      <c r="AA37" s="9"/>
      <c r="AB37" s="9"/>
      <c r="AC37" s="9"/>
      <c r="AD37" s="9"/>
    </row>
    <row r="38">
      <c r="A38" s="9">
        <f>'Round Robin'!F40</f>
        <v>22</v>
      </c>
      <c r="B38" s="9">
        <f>'Round Robin'!C43</f>
        <v>56</v>
      </c>
      <c r="C38" s="1" t="s">
        <v>75</v>
      </c>
      <c r="D38" s="9">
        <f t="shared" si="35"/>
        <v>0</v>
      </c>
      <c r="E38" s="9">
        <f t="shared" si="37"/>
        <v>2</v>
      </c>
      <c r="F38" s="9">
        <f>IF(ISBLANK(A41),,IFS(A41&gt;B41,2,A41=B41,1,A41&lt;B41,0))</f>
        <v>2</v>
      </c>
      <c r="G38" s="9">
        <f t="shared" si="38"/>
        <v>0</v>
      </c>
      <c r="H38" s="22" t="b">
        <f>IF(H36=H35,HLOOKUP(I36,D42:G43,2,FALSE))</f>
        <v>0</v>
      </c>
      <c r="I38" s="22" t="str">
        <f t="shared" si="39"/>
        <v/>
      </c>
      <c r="J38" s="23"/>
      <c r="K38" s="9"/>
      <c r="L38" s="9"/>
      <c r="M38" s="9">
        <f>'Round Robin'!N40</f>
        <v>4</v>
      </c>
      <c r="N38" s="9">
        <f>'Round Robin'!K43</f>
        <v>96</v>
      </c>
      <c r="O38" s="1" t="s">
        <v>75</v>
      </c>
      <c r="P38" s="9">
        <f t="shared" si="36"/>
        <v>0</v>
      </c>
      <c r="Q38" s="9">
        <f t="shared" si="40"/>
        <v>0</v>
      </c>
      <c r="R38" s="9">
        <f>IF(ISBLANK(M41),,IFS(M41&gt;N41,2,M41=N41,1,M41&lt;N41,0))</f>
        <v>0</v>
      </c>
      <c r="S38" s="9">
        <f t="shared" si="41"/>
        <v>2</v>
      </c>
      <c r="T38" s="22" t="b">
        <f>IF(T36=T35,HLOOKUP(U36,P42:S43,2,FALSE))</f>
        <v>0</v>
      </c>
      <c r="U38" s="22" t="str">
        <f t="shared" si="42"/>
        <v/>
      </c>
      <c r="V38" s="9"/>
      <c r="W38" s="9"/>
      <c r="X38" s="9"/>
      <c r="Y38" s="9"/>
      <c r="Z38" s="9"/>
      <c r="AA38" s="9"/>
      <c r="AB38" s="9"/>
      <c r="AC38" s="9"/>
      <c r="AD38" s="9"/>
    </row>
    <row r="39">
      <c r="A39" s="9">
        <f>'Round Robin'!E41</f>
        <v>82</v>
      </c>
      <c r="B39" s="9">
        <f>'Round Robin'!D42</f>
        <v>58</v>
      </c>
      <c r="C39" s="1" t="s">
        <v>76</v>
      </c>
      <c r="D39" s="58">
        <f t="shared" ref="D39:G39" si="43">SUM(D36:D38)</f>
        <v>0</v>
      </c>
      <c r="E39" s="58">
        <f t="shared" si="43"/>
        <v>6</v>
      </c>
      <c r="F39" s="58">
        <f t="shared" si="43"/>
        <v>4</v>
      </c>
      <c r="G39" s="58">
        <f t="shared" si="43"/>
        <v>2</v>
      </c>
      <c r="H39" s="22" t="str">
        <f>IFS(H37=FALSE,I35,H37&gt;H38,I37,H37&lt;H38,I38,H37=H38,CONCATENATE("Tie", I37, I38))</f>
        <v>Montgomery Blair A</v>
      </c>
      <c r="I39" s="22" t="b">
        <f>IFS(H37&gt;H38,H37,H38&gt;H37,H38,H37=H38,H38)</f>
        <v>0</v>
      </c>
      <c r="J39" s="23"/>
      <c r="K39" s="9"/>
      <c r="L39" s="9"/>
      <c r="M39" s="9">
        <f>'Round Robin'!M41</f>
        <v>60</v>
      </c>
      <c r="N39" s="9">
        <f>'Round Robin'!L42</f>
        <v>102</v>
      </c>
      <c r="O39" s="1" t="s">
        <v>76</v>
      </c>
      <c r="P39" s="58">
        <f t="shared" ref="P39:S39" si="44">SUM(P36:P38)</f>
        <v>0</v>
      </c>
      <c r="Q39" s="58">
        <f t="shared" si="44"/>
        <v>2</v>
      </c>
      <c r="R39" s="58">
        <f t="shared" si="44"/>
        <v>4</v>
      </c>
      <c r="S39" s="58">
        <f t="shared" si="44"/>
        <v>6</v>
      </c>
      <c r="T39" s="22" t="str">
        <f>IFS(T37=FALSE,U35,T37&gt;T38,U37,T37&lt;T38,U38,T37=T38,CONCATENATE("Tie", U37, U38))</f>
        <v>BASIS McLean</v>
      </c>
      <c r="U39" s="22" t="b">
        <f>IFS(T37&gt;T38,T37,T38&gt;T37,T38,T37=T38,T38)</f>
        <v>0</v>
      </c>
      <c r="V39" s="9"/>
      <c r="W39" s="9"/>
      <c r="X39" s="9"/>
      <c r="Y39" s="9"/>
      <c r="Z39" s="9"/>
      <c r="AA39" s="9"/>
      <c r="AB39" s="9"/>
      <c r="AC39" s="9"/>
      <c r="AD39" s="9"/>
    </row>
    <row r="40">
      <c r="A40" s="9">
        <f>'Round Robin'!F41</f>
        <v>92</v>
      </c>
      <c r="B40" s="9">
        <f>'Round Robin'!D43</f>
        <v>68</v>
      </c>
      <c r="C40" s="1" t="s">
        <v>77</v>
      </c>
      <c r="D40" s="9"/>
      <c r="E40" s="9"/>
      <c r="F40" s="9" t="str">
        <f>IF(OR(D39="",E39="",F39="",G39="",G38="",F38="",E38="",D38="",D37="",D36="",E37="",E36="",F37="",F36="",G37="",G36=""),"",IFNA(IFS(AND(D41=E39,E35&lt;&gt;E41),E35,AND(D41=F39,F35&lt;&gt;E41),F35,AND(D41=G39,G35&lt;&gt;E41),G35),""))</f>
        <v/>
      </c>
      <c r="G40" s="9" t="str">
        <f>IF(OR(D39="",E39="",F39="",G39="",G38="",F38="",E38="",D38="",D37="",D36="",E37="",E36="",F37="",F36="",G37="",G36=""),"",IFNA(IFS(AND(D41=F39,F35&lt;&gt;E41,F35&lt;&gt;F41),F35,AND(D41=G39,G35&lt;&gt;E41,G35&lt;&gt;F41),G35),""))</f>
        <v/>
      </c>
      <c r="H40" s="9"/>
      <c r="I40" s="9"/>
      <c r="J40" s="23"/>
      <c r="K40" s="9"/>
      <c r="L40" s="9"/>
      <c r="M40" s="9">
        <f>'Round Robin'!N41</f>
        <v>26</v>
      </c>
      <c r="N40" s="9">
        <f>'Round Robin'!L43</f>
        <v>132</v>
      </c>
      <c r="O40" s="1" t="s">
        <v>77</v>
      </c>
      <c r="P40" s="9"/>
      <c r="Q40" s="9"/>
      <c r="R40" s="22" t="str">
        <f>IF(OR(P39="",Q39="",R39="",S39="",S38="",R38="",Q38="",P38="",P37="",P36="",Q37="",Q36="",R37="",R36="",S37="",S36=""),"",IFNA(IFS(AND(P41=Q39,Q35&lt;&gt;Q41),Q35,AND(P41=R39,R35&lt;&gt;Q41),R35,AND(P41=S39,S35&lt;&gt;Q41),S35),""))</f>
        <v/>
      </c>
      <c r="S40" s="22" t="str">
        <f>IF(OR(P39="",Q39="",R39="",S39="",S38="",R38="",Q38="",P38="",P37="",P36="",Q37="",Q36="",R37="",R36="",S37="",S36=""),"",IFNA(IFS(AND(P41=R39,R35&lt;&gt;Q41,R35&lt;&gt;R41),R35,AND(P41=S39,S35&lt;&gt;Q41,S35&lt;&gt;R41),S35),""))</f>
        <v/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9">
        <f>'Round Robin'!F42</f>
        <v>120</v>
      </c>
      <c r="B41" s="9">
        <f>'Round Robin'!E43</f>
        <v>18</v>
      </c>
      <c r="C41" s="1" t="s">
        <v>92</v>
      </c>
      <c r="D41" s="58">
        <f>MAX(D39:G39)</f>
        <v>6</v>
      </c>
      <c r="E41" s="9" t="str">
        <f>IF(OR(D39="",E39="",F39="",G39="",G38="",F38="",E38="",D38="",D37="",D36="",E37="",E36="",F37="",F36="",G37="",G36=""),"",IFS(D41=D39,'Round Robin'!C37,D41=E39,'Round Robin'!D37,D41=F39,'Round Robin'!E37,D41=G39,'Round Robin'!F37))</f>
        <v>Clovis North</v>
      </c>
      <c r="F41" s="9" t="str">
        <f>IF(F40&lt;&gt;E41,F40,"")</f>
        <v/>
      </c>
      <c r="G41" s="9" t="str">
        <f>IF(AND(G40&lt;&gt;E41,G40&lt;&gt;F41),G40,"")</f>
        <v/>
      </c>
      <c r="H41" s="9"/>
      <c r="I41" s="9"/>
      <c r="J41" s="23"/>
      <c r="K41" s="9"/>
      <c r="L41" s="9"/>
      <c r="M41" s="9">
        <f>'Round Robin'!N42</f>
        <v>74</v>
      </c>
      <c r="N41" s="9">
        <f>'Round Robin'!M43</f>
        <v>78</v>
      </c>
      <c r="O41" s="1" t="s">
        <v>92</v>
      </c>
      <c r="P41" s="58">
        <f>MAX(P39:S39)</f>
        <v>6</v>
      </c>
      <c r="Q41" s="9" t="str">
        <f>IF(OR(P39="",Q39="",R39="",S39="",S38="",R38="",Q38="",P38="",P37="",P36="",Q37="",Q36="",R37="",R36="",S37="",S36=""),"",IFS(P41=P39,'Round Robin'!K37,P41=Q39,'Round Robin'!L37,P41=R39,'Round Robin'!M37,P41=S39,'Round Robin'!N37))</f>
        <v>Amador Valley A</v>
      </c>
      <c r="R41" s="9" t="str">
        <f>IF(R40&lt;&gt;Q41,R40,"")</f>
        <v/>
      </c>
      <c r="S41" s="9" t="str">
        <f>IF(AND(S40&lt;&gt;Q41,S40&lt;&gt;R41),S40,"")</f>
        <v/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9"/>
      <c r="B42" s="9"/>
      <c r="C42" s="9"/>
      <c r="D42" s="9" t="str">
        <f t="shared" ref="D42:G42" si="45">D35</f>
        <v>Amador Valley B</v>
      </c>
      <c r="E42" s="9" t="str">
        <f t="shared" si="45"/>
        <v>Clovis North</v>
      </c>
      <c r="F42" s="9" t="str">
        <f t="shared" si="45"/>
        <v>Green Hope</v>
      </c>
      <c r="G42" s="9" t="str">
        <f t="shared" si="45"/>
        <v>Montgomery Blair A</v>
      </c>
      <c r="H42" s="9"/>
      <c r="I42" s="9"/>
      <c r="J42" s="23"/>
      <c r="K42" s="9"/>
      <c r="L42" s="9"/>
      <c r="M42" s="9"/>
      <c r="N42" s="9"/>
      <c r="O42" s="9"/>
      <c r="P42" s="9" t="str">
        <f t="shared" ref="P42:S42" si="46">P35</f>
        <v>American B</v>
      </c>
      <c r="Q42" s="9" t="str">
        <f t="shared" si="46"/>
        <v>BASIS McLean</v>
      </c>
      <c r="R42" s="9" t="str">
        <f t="shared" si="46"/>
        <v>Interlake A</v>
      </c>
      <c r="S42" s="9" t="str">
        <f t="shared" si="46"/>
        <v>Amador Valley A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63">
        <f>HLOOKUP(E41,D42:G43,2,FALSE)</f>
        <v>87.33</v>
      </c>
      <c r="B43" s="64" t="str">
        <f>IFERROR(HLOOKUP(F41,D42:G43,2,FALSE),"")</f>
        <v/>
      </c>
      <c r="C43" s="64" t="str">
        <f>IFERROR(HLOOKUP(G41,E42:L43,2,FALSE),"")</f>
        <v/>
      </c>
      <c r="D43" s="65">
        <f>'Round Robin'!G40</f>
        <v>27.33</v>
      </c>
      <c r="E43" s="64">
        <f>'Round Robin'!G41</f>
        <v>87.33</v>
      </c>
      <c r="F43" s="64">
        <f>'Round Robin'!G42</f>
        <v>105.33</v>
      </c>
      <c r="G43" s="64">
        <f>'Round Robin'!G43</f>
        <v>47.33</v>
      </c>
      <c r="H43" s="9"/>
      <c r="I43" s="9"/>
      <c r="J43" s="23"/>
      <c r="K43" s="9"/>
      <c r="L43" s="9"/>
      <c r="M43" s="63">
        <f>HLOOKUP(Q41,P42:S43,2,FALSE)</f>
        <v>102</v>
      </c>
      <c r="N43" s="64" t="str">
        <f t="shared" ref="N43:O43" si="47">IFERROR(HLOOKUP(R41,P42:S43,2,FALSE),"")</f>
        <v/>
      </c>
      <c r="O43" s="64" t="str">
        <f t="shared" si="47"/>
        <v/>
      </c>
      <c r="P43" s="65">
        <f>'Round Robin'!O40</f>
        <v>12</v>
      </c>
      <c r="Q43" s="64">
        <f>'Round Robin'!O41</f>
        <v>40.67</v>
      </c>
      <c r="R43" s="64">
        <f>'Round Robin'!O42</f>
        <v>104.67</v>
      </c>
      <c r="S43" s="64">
        <f>'Round Robin'!O43</f>
        <v>102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63">
        <f>MAX(A43:C43)</f>
        <v>87.33</v>
      </c>
      <c r="B44" s="64" t="str">
        <f>IFNA(HLOOKUP(A44,D43:G44,2,FALSE),"Jacobs #1")</f>
        <v>Clovis North</v>
      </c>
      <c r="C44" s="64"/>
      <c r="D44" s="64" t="str">
        <f t="shared" ref="D44:G44" si="48">D35</f>
        <v>Amador Valley B</v>
      </c>
      <c r="E44" s="64" t="str">
        <f t="shared" si="48"/>
        <v>Clovis North</v>
      </c>
      <c r="F44" s="64" t="str">
        <f t="shared" si="48"/>
        <v>Green Hope</v>
      </c>
      <c r="G44" s="64" t="str">
        <f t="shared" si="48"/>
        <v>Montgomery Blair A</v>
      </c>
      <c r="H44" s="9"/>
      <c r="I44" s="9"/>
      <c r="J44" s="23"/>
      <c r="K44" s="9"/>
      <c r="L44" s="9"/>
      <c r="M44" s="63">
        <f>MAX(M43:O43)</f>
        <v>102</v>
      </c>
      <c r="N44" s="64" t="str">
        <f>IFNA(HLOOKUP(M44,P43:S44,2,FALSE),"LaPorta #1")</f>
        <v>Amador Valley A</v>
      </c>
      <c r="O44" s="64"/>
      <c r="P44" s="64" t="str">
        <f t="shared" ref="P44:S44" si="49">P35</f>
        <v>American B</v>
      </c>
      <c r="Q44" s="64" t="str">
        <f t="shared" si="49"/>
        <v>BASIS McLean</v>
      </c>
      <c r="R44" s="64" t="str">
        <f t="shared" si="49"/>
        <v>Interlake A</v>
      </c>
      <c r="S44" s="64" t="str">
        <f t="shared" si="49"/>
        <v>Amador Valley A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22"/>
      <c r="B45" s="22"/>
      <c r="C45" s="22"/>
      <c r="D45" s="22"/>
      <c r="E45" s="22"/>
      <c r="F45" s="22" t="str">
        <f>IF(OR(D36="",E36="",F36="",G36="",G37="",F37="",E37="",D37="",D38="",D39="",E38="",E39="",F38="",F39="",G38="",G39=""),"",IFNA(IFS(AND(D46=E39,E35&lt;&gt;E46),E35,AND(D46=F39,F35&lt;&gt;E46),F35,AND(D46=G39,G35&lt;&gt;E46),G35),""))</f>
        <v/>
      </c>
      <c r="G45" s="22" t="str">
        <f>IF(OR(D36="",E36="",F36="",G36="",G37="",F37="",E37="",D37="",D38="",D39="",E38="",E39="",F38="",F39="",G38="",G39=""),"",IFNA(IFS(AND(D46=E39,E35&lt;&gt;E46,E35&lt;&gt;F46),E35,AND(D46=F39,F35&lt;&gt;E46,F35&lt;&gt;F46),F35,AND(D46=G39,G35&lt;&gt;E46,G35&lt;&gt;F46),G35),""))</f>
        <v/>
      </c>
      <c r="H45" s="9"/>
      <c r="I45" s="9"/>
      <c r="J45" s="23"/>
      <c r="K45" s="9"/>
      <c r="L45" s="9"/>
      <c r="M45" s="22"/>
      <c r="N45" s="22"/>
      <c r="O45" s="22"/>
      <c r="P45" s="22"/>
      <c r="Q45" s="22"/>
      <c r="R45" s="22" t="str">
        <f>IF(OR(P36="",Q36="",R36="",S36="",S37="",R37="",Q37="",P37="",P38="",P39="",Q38="",Q39="",R38="",R39="",S38="",S39=""),"",IFNA(IFS(AND(P46=Q39,Q35&lt;&gt;Q46),Q35,AND(P46=R39,R35&lt;&gt;Q46),R35,AND(P46=S39,S35&lt;&gt;Q46),S35),""))</f>
        <v/>
      </c>
      <c r="S45" s="22" t="str">
        <f>IF(OR(P36="",Q36="",R36="",S36="",S37="",R37="",Q37="",P37="",P38="",P39="",Q38="",Q39="",R38="",R39="",S38="",S39=""),"",IFNA(IFS(AND(P46=Q39,Q35&lt;&gt;Q46,Q35&lt;&gt;R46),Q35,AND(P46=R39,R35&lt;&gt;Q46,R35&lt;&gt;R46),R35,AND(P46=S39,S35&lt;&gt;Q46,S35&lt;&gt;R46),S35),""))</f>
        <v/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22"/>
      <c r="B46" s="22"/>
      <c r="C46" s="22"/>
      <c r="D46" s="14">
        <f>LARGE(D39:G39,2)</f>
        <v>4</v>
      </c>
      <c r="E46" s="22" t="str">
        <f>IF(OR(D39="",E39="",F39="",G39="",G38="",F38="",E38="",D38="",D37="",D36="",E37="",E36="",F37="",F36="",G37="",G36=""),"",IFS(AND(D46=D39,D35&lt;&gt;B44),D35,AND(D46=E39,E35&lt;&gt;B44),E35,AND(D46=F39,F35&lt;&gt;B44),F35,AND(D46=G39,G35&lt;&gt;B44),G35))</f>
        <v>Green Hope</v>
      </c>
      <c r="F46" s="22" t="str">
        <f>IF(AND(F45&lt;&gt;E46,F45&lt;&gt;B44),F45,"")</f>
        <v/>
      </c>
      <c r="G46" s="22" t="str">
        <f>IF(AND(G45&lt;&gt;E46,G45&lt;&gt;F46,G45&lt;&gt;B44),G45,"")</f>
        <v/>
      </c>
      <c r="H46" s="9"/>
      <c r="I46" s="9"/>
      <c r="J46" s="23"/>
      <c r="K46" s="9"/>
      <c r="L46" s="9"/>
      <c r="M46" s="22"/>
      <c r="N46" s="22"/>
      <c r="O46" s="22"/>
      <c r="P46" s="14">
        <f>LARGE(P39:S39,2)</f>
        <v>4</v>
      </c>
      <c r="Q46" s="22" t="str">
        <f>IF(OR(P39="",Q39="",R39="",S39="",S38="",R38="",Q38="",P38="",P37="",P36="",Q37="",Q36="",R37="",R36="",S37="",S36=""),"",IFS(AND(P46=P39,P35&lt;&gt;N44),P35,AND(P46=Q39,Q35&lt;&gt;N44),Q35,AND(P46=R39,R35&lt;&gt;N44),R35,AND(P46=S39,S35&lt;&gt;N44),S35))</f>
        <v>Interlake A</v>
      </c>
      <c r="R46" s="22" t="str">
        <f>IF(AND(R45&lt;&gt;Q46,R45&lt;&gt;N44),R45,"")</f>
        <v/>
      </c>
      <c r="S46" s="22" t="str">
        <f>IF(AND(S45&lt;&gt;Q46,S45&lt;&gt;R46,S45&lt;&gt;N44),S45,"")</f>
        <v/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14">
        <f>MAX(E47:G47)</f>
        <v>105.33</v>
      </c>
      <c r="B47" s="22" t="str">
        <f>IFNA(HLOOKUP(A47,D47:G48,2,FALSE),"Jacobs #2")</f>
        <v>Green Hope</v>
      </c>
      <c r="C47" s="22"/>
      <c r="D47" s="22"/>
      <c r="E47" s="22">
        <f>IFNA(HLOOKUP(E46,D42:G43,2,FALSE),)</f>
        <v>105.33</v>
      </c>
      <c r="F47" s="22" t="str">
        <f>IFNA(HLOOKUP(F46,D42:G43,2,FALSE),)</f>
        <v/>
      </c>
      <c r="G47" s="22" t="str">
        <f>IFNA(HLOOKUP(G46,D42:G43,2,FALSE),)</f>
        <v/>
      </c>
      <c r="H47" s="9"/>
      <c r="I47" s="9"/>
      <c r="J47" s="23"/>
      <c r="K47" s="9"/>
      <c r="L47" s="9"/>
      <c r="M47" s="14">
        <f>MAX(Q47:S47)</f>
        <v>104.67</v>
      </c>
      <c r="N47" s="22" t="str">
        <f>IFNA(HLOOKUP(M47,P47:S48,2,FALSE),"LaPorta #2")</f>
        <v>Interlake A</v>
      </c>
      <c r="O47" s="22"/>
      <c r="P47" s="22"/>
      <c r="Q47" s="22">
        <f>IFNA(HLOOKUP(Q46,P42:S43,2,FALSE),)</f>
        <v>104.67</v>
      </c>
      <c r="R47" s="22" t="str">
        <f>IFNA(HLOOKUP(R46,P42:S43,2,FALSE),)</f>
        <v/>
      </c>
      <c r="S47" s="22" t="str">
        <f>IFNA(HLOOKUP(S46,P42:S43,2,FALSE),)</f>
        <v/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67" t="s">
        <v>3</v>
      </c>
      <c r="B48" s="22">
        <f>IF(B49&lt;&gt;"Jacobs #1",HLOOKUP(B49,D42:G43,2,FALSE),)</f>
        <v>87.33</v>
      </c>
      <c r="C48" s="67" t="s">
        <v>3</v>
      </c>
      <c r="D48" s="22">
        <f>IF(D49&lt;&gt;"Jacobs #2",HLOOKUP(D49,D42:G43,2,FALSE),)</f>
        <v>105.33</v>
      </c>
      <c r="E48" s="22" t="str">
        <f t="shared" ref="E48:G48" si="50">E46</f>
        <v>Green Hope</v>
      </c>
      <c r="F48" s="22" t="str">
        <f t="shared" si="50"/>
        <v/>
      </c>
      <c r="G48" s="22" t="str">
        <f t="shared" si="50"/>
        <v/>
      </c>
      <c r="H48" s="9"/>
      <c r="I48" s="9"/>
      <c r="J48" s="23"/>
      <c r="K48" s="9"/>
      <c r="L48" s="9"/>
      <c r="M48" s="67" t="s">
        <v>3</v>
      </c>
      <c r="N48" s="22">
        <f>IF(N49&lt;&gt;"LaPorta #1",HLOOKUP(N49,P42:S43,2,FALSE),)</f>
        <v>102</v>
      </c>
      <c r="O48" s="67" t="s">
        <v>3</v>
      </c>
      <c r="P48" s="22">
        <f>IF(P49&lt;&gt;"LaPorta #2",HLOOKUP(P49,P42:S43,2,FALSE),)</f>
        <v>104.67</v>
      </c>
      <c r="Q48" s="22" t="str">
        <f t="shared" ref="Q48:S48" si="51">Q46</f>
        <v>Interlake A</v>
      </c>
      <c r="R48" s="22" t="str">
        <f t="shared" si="51"/>
        <v/>
      </c>
      <c r="S48" s="22" t="str">
        <f t="shared" si="51"/>
        <v/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68" t="s">
        <v>123</v>
      </c>
      <c r="B49" s="22" t="str">
        <f>B44</f>
        <v>Clovis North</v>
      </c>
      <c r="C49" s="68" t="s">
        <v>124</v>
      </c>
      <c r="D49" s="22" t="str">
        <f>B47</f>
        <v>Green Hope</v>
      </c>
      <c r="E49" s="68" t="s">
        <v>125</v>
      </c>
      <c r="F49" s="22" t="str">
        <f>IF(D49="Mohawk #2","Mohawk #3",H39)</f>
        <v>Montgomery Blair A</v>
      </c>
      <c r="G49" s="22"/>
      <c r="H49" s="9"/>
      <c r="I49" s="9"/>
      <c r="J49" s="23"/>
      <c r="K49" s="9"/>
      <c r="L49" s="9"/>
      <c r="M49" s="68" t="s">
        <v>123</v>
      </c>
      <c r="N49" s="22" t="str">
        <f>N44</f>
        <v>Amador Valley A</v>
      </c>
      <c r="O49" s="68" t="s">
        <v>124</v>
      </c>
      <c r="P49" s="22" t="str">
        <f>N47</f>
        <v>Interlake A</v>
      </c>
      <c r="Q49" s="68" t="s">
        <v>125</v>
      </c>
      <c r="R49" s="22" t="str">
        <f>IF(P49="Tuscarora #2","Tuscarora #3",T39)</f>
        <v>BASIS McLean</v>
      </c>
      <c r="S49" s="22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9"/>
      <c r="B50" s="9"/>
      <c r="C50" s="9"/>
      <c r="D50" s="9"/>
      <c r="E50" s="9"/>
      <c r="F50" s="69">
        <f>HLOOKUP(F49,D42:G43,2,FALSE)</f>
        <v>47.33</v>
      </c>
      <c r="G50" s="9"/>
      <c r="H50" s="9"/>
      <c r="I50" s="9"/>
      <c r="J50" s="23"/>
      <c r="K50" s="9"/>
      <c r="L50" s="9"/>
      <c r="M50" s="9"/>
      <c r="N50" s="9"/>
      <c r="O50" s="9"/>
      <c r="P50" s="9"/>
      <c r="Q50" s="9"/>
      <c r="R50" s="69">
        <f>HLOOKUP(R49,P42:S43,2,FALSE)</f>
        <v>40.67</v>
      </c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1" t="s">
        <v>126</v>
      </c>
      <c r="B52" s="9" t="str">
        <f>F15</f>
        <v>Dulles</v>
      </c>
      <c r="C52" s="69">
        <f>F16</f>
        <v>52.67</v>
      </c>
      <c r="D52" s="9"/>
      <c r="E52" s="9"/>
      <c r="F52" s="9"/>
      <c r="G52" s="9"/>
      <c r="H52" s="9"/>
      <c r="I52" s="9"/>
      <c r="J52" s="70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9"/>
      <c r="B53" s="9" t="str">
        <f>R15</f>
        <v>St. Mark's</v>
      </c>
      <c r="C53" s="69">
        <f>R16</f>
        <v>42.67</v>
      </c>
      <c r="D53" s="9"/>
      <c r="E53" s="9"/>
      <c r="F53" s="9"/>
      <c r="G53" s="9"/>
      <c r="H53" s="9"/>
      <c r="I53" s="9"/>
      <c r="J53" s="70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9"/>
      <c r="B54" s="9" t="str">
        <f>F32</f>
        <v>East Brunswick A</v>
      </c>
      <c r="C54" s="69">
        <f>F33</f>
        <v>37.33</v>
      </c>
      <c r="D54" s="9"/>
      <c r="E54" s="9"/>
      <c r="F54" s="9"/>
      <c r="G54" s="9"/>
      <c r="H54" s="9"/>
      <c r="I54" s="9"/>
      <c r="J54" s="70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9"/>
      <c r="B55" s="9" t="str">
        <f>R32</f>
        <v>Enloe</v>
      </c>
      <c r="C55" s="69">
        <f>R33</f>
        <v>20.67</v>
      </c>
      <c r="D55" s="9"/>
      <c r="E55" s="9"/>
      <c r="F55" s="9"/>
      <c r="G55" s="9"/>
      <c r="H55" s="9"/>
      <c r="I55" s="9"/>
      <c r="J55" s="70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9"/>
      <c r="B56" s="9" t="str">
        <f>F49</f>
        <v>Montgomery Blair A</v>
      </c>
      <c r="C56" s="69">
        <f>F50</f>
        <v>47.33</v>
      </c>
      <c r="D56" s="9"/>
      <c r="E56" s="9"/>
      <c r="F56" s="9"/>
      <c r="G56" s="9"/>
      <c r="H56" s="9"/>
      <c r="I56" s="9"/>
      <c r="J56" s="70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9"/>
      <c r="B57" s="9" t="str">
        <f>R49</f>
        <v>BASIS McLean</v>
      </c>
      <c r="C57" s="69">
        <f>R50</f>
        <v>40.67</v>
      </c>
      <c r="D57" s="9"/>
      <c r="E57" s="9"/>
      <c r="F57" s="9"/>
      <c r="G57" s="9"/>
      <c r="H57" s="9"/>
      <c r="I57" s="9"/>
      <c r="J57" s="70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1" t="s">
        <v>127</v>
      </c>
      <c r="B58" s="69">
        <f>LARGE(C52:C57,1)</f>
        <v>52.67</v>
      </c>
      <c r="C58" s="1" t="s">
        <v>128</v>
      </c>
      <c r="D58" s="69">
        <f>LARGE(C52:C57,2)</f>
        <v>47.33</v>
      </c>
      <c r="E58" s="1" t="s">
        <v>129</v>
      </c>
      <c r="F58" s="69">
        <f>LARGE(C52:C57,3)</f>
        <v>42.67</v>
      </c>
      <c r="G58" s="1" t="s">
        <v>130</v>
      </c>
      <c r="H58" s="69">
        <f>LARGE(C52:C57,4)</f>
        <v>40.67</v>
      </c>
      <c r="I58" s="9"/>
      <c r="J58" s="70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9"/>
      <c r="B59" s="9" t="str">
        <f>IFERROR(IFS(B58=C52,B52,B58=C53,B53,B58=C54,B54,B58=C55,B55,B58=C56,B56,B58=C57,B57),"PPG #1")</f>
        <v>Dulles</v>
      </c>
      <c r="C59" s="9"/>
      <c r="D59" s="9" t="str">
        <f>IFERROR(IFS(AND(D58=C52,B52&lt;&gt;B59),B52,AND(D58=C53,B53&lt;&gt;B59),B53,AND(D58=C54,B54&lt;&gt;B59),B54,AND(D58=C55,B55&lt;&gt;B59),B55,AND(D58=C56,B56&lt;&gt;B59),B56,AND(D58=C57,B57&lt;&gt;B59),B57),"PPG #2")</f>
        <v>Montgomery Blair A</v>
      </c>
      <c r="E59" s="9"/>
      <c r="F59" s="9" t="str">
        <f>IFERROR(IFS(AND(F58=C52,B52&lt;&gt;B59,B52&lt;&gt;D59),B52,AND(F58=C53,B53&lt;&gt;B59,B53&lt;&gt;D59),B53,AND(F58=C54,B54&lt;&gt;B59,B54&lt;&gt;D59),B54,AND(F58=C55,B55&lt;&gt;B59,B55&lt;&gt;D59),B55,AND(F58=C56,B56&lt;&gt;B59,B56&lt;&gt;D59),B56,AND(F58=C57,B57&lt;&gt;B59,B57&lt;&gt;D59),B57),"PPG #3")</f>
        <v>St. Mark's</v>
      </c>
      <c r="G59" s="9"/>
      <c r="H59" s="9" t="str">
        <f>IFERROR(IFS(AND(H58=C52,B52&lt;&gt;B59,B52&lt;&gt;D59,B52&lt;&gt;F59),B52,AND(H58=C53,B53&lt;&gt;B59,B53&lt;&gt;D59,B53&lt;&gt;F59),B53,AND(H58=C54,B54&lt;&gt;B59,B54&lt;&gt;D59,B54&lt;&gt;F59),B54,AND(H58=C55,B55&lt;&gt;B59,B55&lt;&gt;D59,B55&lt;&gt;F59),B55,AND(H58=C56,B56&lt;&gt;B59,B56&lt;&gt;D59,B56&lt;&gt;F59),B56,AND(H58=C57,B57&lt;&gt;B59,B57&lt;&gt;D59,B57&lt;&gt;F59),B57),"PPG #4")</f>
        <v>BASIS McLean</v>
      </c>
      <c r="I59" s="9"/>
      <c r="J59" s="70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71" t="s">
        <v>131</v>
      </c>
      <c r="B61" s="9"/>
      <c r="C61" s="9"/>
      <c r="D61" s="1" t="str">
        <f>'Round Robin'!B51</f>
        <v>Buchholz A</v>
      </c>
      <c r="E61" s="1" t="str">
        <f>'Round Robin'!B52</f>
        <v>Clements</v>
      </c>
      <c r="F61" s="1" t="str">
        <f>'Round Robin'!B53</f>
        <v>Foothill B</v>
      </c>
      <c r="G61" s="1" t="str">
        <f>'Round Robin'!B54</f>
        <v>TJHSST A</v>
      </c>
      <c r="H61" s="14">
        <f>LARGE(D65:G65,3)</f>
        <v>2</v>
      </c>
      <c r="I61" s="22" t="str">
        <f>IFS(AND(H61=D65,D61&lt;&gt;B70,D61&lt;&gt;B73),D61,AND(H61=E65,E61&lt;&gt;B70,E61&lt;&gt;B73),E61,AND(H61=F65,F61&lt;&gt;B70,F61&lt;&gt;B73),F61,AND(H61=G65,G61&lt;&gt;B70,G61&lt;&gt;B73),G61)</f>
        <v>Buchholz A</v>
      </c>
      <c r="J61" s="70"/>
      <c r="K61" s="9"/>
      <c r="L61" s="9"/>
      <c r="M61" s="71" t="s">
        <v>131</v>
      </c>
      <c r="N61" s="9"/>
      <c r="O61" s="9"/>
      <c r="P61" s="1" t="str">
        <f>'Round Robin'!J51</f>
        <v>Lynbrook A</v>
      </c>
      <c r="Q61" s="1" t="str">
        <f>'Round Robin'!J52</f>
        <v>McLean A</v>
      </c>
      <c r="R61" s="1" t="str">
        <f>'Round Robin'!J53</f>
        <v>Stuyvesant</v>
      </c>
      <c r="S61" s="1" t="str">
        <f>'Round Robin'!J54</f>
        <v>Foothill A</v>
      </c>
      <c r="T61" s="14">
        <f>LARGE(P65:S65,3)</f>
        <v>2</v>
      </c>
      <c r="U61" s="22" t="str">
        <f>IFS(AND(T61=P65,P61&lt;&gt;N70,P61&lt;&gt;N73),P61,AND(T61=Q65,Q61&lt;&gt;N70,Q61&lt;&gt;N73),Q61,AND(T61=R65,R61&lt;&gt;N70,R61&lt;&gt;N73),R61,AND(T61=S65,S61&lt;&gt;N70,S61&lt;&gt;N73),S61)</f>
        <v>Foothill A</v>
      </c>
      <c r="V61" s="9"/>
      <c r="W61" s="9"/>
      <c r="X61" s="9"/>
      <c r="Y61" s="9"/>
      <c r="Z61" s="9"/>
      <c r="AA61" s="9"/>
      <c r="AB61" s="9"/>
      <c r="AC61" s="9"/>
      <c r="AD61" s="9"/>
    </row>
    <row r="62">
      <c r="A62" s="9">
        <f>'Round Robin'!D51</f>
        <v>70</v>
      </c>
      <c r="B62" s="9">
        <f>'Round Robin'!C52</f>
        <v>72</v>
      </c>
      <c r="C62" s="1" t="s">
        <v>43</v>
      </c>
      <c r="D62" s="9">
        <f t="shared" ref="D62:D64" si="52">IF(ISBLANK(A62),,IFS(A62&gt;B62,2,A62=B62,1,A62&lt;B62,0))</f>
        <v>0</v>
      </c>
      <c r="E62" s="9">
        <f>IF(ISBLANK(A62),,IFS(A62&gt;B62,0,A62=B62,1,A62&lt;B62,2))</f>
        <v>2</v>
      </c>
      <c r="F62" s="9">
        <f>IF(ISBLANK(A63),,IFS(A63&gt;B63,0,A63=B63,1,A63&lt;B63,2))</f>
        <v>0</v>
      </c>
      <c r="G62" s="9">
        <f>IF(ISBLANK(A64),,IFS(A64&gt;B64,0,A64=B64,1,A64&lt;B64,2))</f>
        <v>2</v>
      </c>
      <c r="H62" s="14">
        <f>LARGE(D65:G65,4)</f>
        <v>0</v>
      </c>
      <c r="I62" s="22" t="str">
        <f>IF(H62=H61,IFS(AND(H62=D65,D61&lt;&gt;B70,D61&lt;&gt;B73,D61&lt;&gt;I61),D61,AND(H62=E65,E61&lt;&gt;B70,E61&lt;&gt;B73,E61&lt;&gt;I61),E61,AND(H62=F65,F61&lt;&gt;B70,F61&lt;&gt;B73,F61&lt;&gt;I61),F61,AND(H62=G65,G61&lt;&gt;B70,G61&lt;&gt;B73,G61&lt;&gt;I61),G61),)</f>
        <v/>
      </c>
      <c r="J62" s="70"/>
      <c r="K62" s="9"/>
      <c r="L62" s="9"/>
      <c r="M62" s="9">
        <f>'Round Robin'!L51</f>
        <v>142</v>
      </c>
      <c r="N62" s="9">
        <f>'Round Robin'!K52</f>
        <v>10</v>
      </c>
      <c r="O62" s="1" t="s">
        <v>43</v>
      </c>
      <c r="P62" s="9">
        <f t="shared" ref="P62:P64" si="53">IF(ISBLANK(M62),,IFS(M62&gt;N62,2,M62=N62,1,M62&lt;N62,0))</f>
        <v>2</v>
      </c>
      <c r="Q62" s="9">
        <f>IF(ISBLANK(M62),,IFS(M62&gt;N62,0,M62=N62,1,M62&lt;N62,2))</f>
        <v>0</v>
      </c>
      <c r="R62" s="9">
        <f>IF(ISBLANK(M63),,IFS(M63&gt;N63,0,M63=N63,1,M63&lt;N63,2))</f>
        <v>0</v>
      </c>
      <c r="S62" s="9">
        <f>IF(ISBLANK(M64),,IFS(M64&gt;N64,0,M64=N64,1,M64&lt;N64,2))</f>
        <v>0</v>
      </c>
      <c r="T62" s="14">
        <f>LARGE(P65:S65,4)</f>
        <v>0</v>
      </c>
      <c r="U62" s="22" t="str">
        <f>IF(T62=T61,IFS(AND(T62=P65,P61&lt;&gt;N70,P61&lt;&gt;N73,P61&lt;&gt;U61),P61,AND(T62=Q65,Q61&lt;&gt;N70,Q61&lt;&gt;N73,Q61&lt;&gt;U61),Q61,AND(T62=R65,R61&lt;&gt;N70,R61&lt;&gt;N73,R61&lt;&gt;U61),R61,AND(T62=S65,S61&lt;&gt;N70,S61&lt;&gt;N73,S61&lt;&gt;U61),S61),)</f>
        <v/>
      </c>
      <c r="V62" s="9"/>
      <c r="W62" s="9"/>
      <c r="X62" s="9"/>
      <c r="Y62" s="9"/>
      <c r="Z62" s="9"/>
      <c r="AA62" s="9"/>
      <c r="AB62" s="9"/>
      <c r="AC62" s="9"/>
      <c r="AD62" s="9"/>
    </row>
    <row r="63">
      <c r="A63" s="9">
        <f>'Round Robin'!E51</f>
        <v>110</v>
      </c>
      <c r="B63" s="9">
        <f>'Round Robin'!C53</f>
        <v>4</v>
      </c>
      <c r="C63" s="1" t="s">
        <v>70</v>
      </c>
      <c r="D63" s="9">
        <f t="shared" si="52"/>
        <v>2</v>
      </c>
      <c r="E63" s="9">
        <f t="shared" ref="E63:E64" si="54">IF(ISBLANK(A65),,IFS(A65&gt;B65,2,A65=B65,1,A65&lt;B65,0))</f>
        <v>2</v>
      </c>
      <c r="F63" s="9">
        <f>IF(ISBLANK(A65),,IFS(A65&gt;B65,0,A65=B65,1,A65&lt;B65,2))</f>
        <v>0</v>
      </c>
      <c r="G63" s="9">
        <f t="shared" ref="G63:G64" si="55">IF(ISBLANK(A66),,IFS(A66&gt;B66,0,A66=B66,1,A66&lt;B66,2))</f>
        <v>0</v>
      </c>
      <c r="H63" s="22" t="b">
        <f>IF(H62=H61,HLOOKUP(I61,D68:G69,2,FALSE))</f>
        <v>0</v>
      </c>
      <c r="I63" s="22" t="str">
        <f t="shared" ref="I63:I64" si="56">I61</f>
        <v>Buchholz A</v>
      </c>
      <c r="J63" s="70"/>
      <c r="K63" s="9"/>
      <c r="L63" s="9"/>
      <c r="M63" s="9">
        <f>'Round Robin'!M51</f>
        <v>126</v>
      </c>
      <c r="N63" s="9">
        <f>'Round Robin'!K53</f>
        <v>26</v>
      </c>
      <c r="O63" s="1" t="s">
        <v>70</v>
      </c>
      <c r="P63" s="9">
        <f t="shared" si="53"/>
        <v>2</v>
      </c>
      <c r="Q63" s="9">
        <f t="shared" ref="Q63:Q64" si="57">IF(ISBLANK(M65),,IFS(M65&gt;N65,2,M65=N65,1,M65&lt;N65,0))</f>
        <v>2</v>
      </c>
      <c r="R63" s="9">
        <f>IF(ISBLANK(M65),,IFS(M65&gt;N65,0,M65=N65,1,M65&lt;N65,2))</f>
        <v>0</v>
      </c>
      <c r="S63" s="9">
        <f t="shared" ref="S63:S64" si="58">IF(ISBLANK(M66),,IFS(M66&gt;N66,0,M66=N66,1,M66&lt;N66,2))</f>
        <v>0</v>
      </c>
      <c r="T63" s="22" t="b">
        <f>IF(T62=T61,HLOOKUP(U61,P68:S69,2,FALSE))</f>
        <v>0</v>
      </c>
      <c r="U63" s="22" t="str">
        <f t="shared" ref="U63:U64" si="59">U61</f>
        <v>Foothill A</v>
      </c>
      <c r="V63" s="9"/>
      <c r="W63" s="9"/>
      <c r="X63" s="9"/>
      <c r="Y63" s="9"/>
      <c r="Z63" s="9"/>
      <c r="AA63" s="9"/>
      <c r="AB63" s="9"/>
      <c r="AC63" s="9"/>
      <c r="AD63" s="9"/>
    </row>
    <row r="64">
      <c r="A64" s="9">
        <f>'Round Robin'!F51</f>
        <v>54</v>
      </c>
      <c r="B64" s="9">
        <f>'Round Robin'!C54</f>
        <v>64</v>
      </c>
      <c r="C64" s="1" t="s">
        <v>75</v>
      </c>
      <c r="D64" s="9">
        <f t="shared" si="52"/>
        <v>0</v>
      </c>
      <c r="E64" s="9">
        <f t="shared" si="54"/>
        <v>2</v>
      </c>
      <c r="F64" s="9">
        <f>IF(ISBLANK(A67),,IFS(A67&gt;B67,2,A67=B67,1,A67&lt;B67,0))</f>
        <v>0</v>
      </c>
      <c r="G64" s="9">
        <f t="shared" si="55"/>
        <v>2</v>
      </c>
      <c r="H64" s="22" t="b">
        <f>IF(H62=H61,HLOOKUP(I62,D68:G69,2,FALSE))</f>
        <v>0</v>
      </c>
      <c r="I64" s="22" t="str">
        <f t="shared" si="56"/>
        <v/>
      </c>
      <c r="J64" s="70"/>
      <c r="K64" s="9"/>
      <c r="L64" s="9"/>
      <c r="M64" s="9">
        <f>'Round Robin'!N51</f>
        <v>118</v>
      </c>
      <c r="N64" s="9">
        <f>'Round Robin'!K54</f>
        <v>8</v>
      </c>
      <c r="O64" s="1" t="s">
        <v>75</v>
      </c>
      <c r="P64" s="9">
        <f t="shared" si="53"/>
        <v>2</v>
      </c>
      <c r="Q64" s="9">
        <f t="shared" si="57"/>
        <v>2</v>
      </c>
      <c r="R64" s="9">
        <f>IF(ISBLANK(M67),,IFS(M67&gt;N67,2,M67=N67,1,M67&lt;N67,0))</f>
        <v>0</v>
      </c>
      <c r="S64" s="9">
        <f t="shared" si="58"/>
        <v>2</v>
      </c>
      <c r="T64" s="22" t="b">
        <f>IF(T62=T61,HLOOKUP(U62,P68:S69,2,FALSE))</f>
        <v>0</v>
      </c>
      <c r="U64" s="22" t="str">
        <f t="shared" si="59"/>
        <v/>
      </c>
      <c r="V64" s="9"/>
      <c r="W64" s="9"/>
      <c r="X64" s="9"/>
      <c r="Y64" s="9"/>
      <c r="Z64" s="9"/>
      <c r="AA64" s="9"/>
      <c r="AB64" s="9"/>
      <c r="AC64" s="9"/>
      <c r="AD64" s="9"/>
    </row>
    <row r="65">
      <c r="A65" s="9">
        <f>'Round Robin'!E52</f>
        <v>134</v>
      </c>
      <c r="B65" s="9">
        <f>'Round Robin'!D53</f>
        <v>8</v>
      </c>
      <c r="C65" s="1" t="s">
        <v>76</v>
      </c>
      <c r="D65" s="58">
        <f t="shared" ref="D65:G65" si="60">SUM(D62:D64)</f>
        <v>2</v>
      </c>
      <c r="E65" s="58">
        <f t="shared" si="60"/>
        <v>6</v>
      </c>
      <c r="F65" s="58">
        <f t="shared" si="60"/>
        <v>0</v>
      </c>
      <c r="G65" s="58">
        <f t="shared" si="60"/>
        <v>4</v>
      </c>
      <c r="H65" s="22" t="str">
        <f>IFS(H63=FALSE,I61,H63&gt;H64,I63,H63&lt;H64,I64,H63=H64,CONCATENATE("Tie", I63, I64))</f>
        <v>Buchholz A</v>
      </c>
      <c r="I65" s="22" t="b">
        <f>IFS(H63&gt;H64,H63,H64&gt;H63,H64,H63=H64,H64)</f>
        <v>0</v>
      </c>
      <c r="J65" s="70"/>
      <c r="K65" s="9"/>
      <c r="L65" s="9"/>
      <c r="M65" s="9">
        <f>'Round Robin'!M52</f>
        <v>36</v>
      </c>
      <c r="N65" s="9">
        <f>'Round Robin'!L53</f>
        <v>30</v>
      </c>
      <c r="O65" s="1" t="s">
        <v>76</v>
      </c>
      <c r="P65" s="58">
        <f t="shared" ref="P65:S65" si="61">SUM(P62:P64)</f>
        <v>6</v>
      </c>
      <c r="Q65" s="58">
        <f t="shared" si="61"/>
        <v>4</v>
      </c>
      <c r="R65" s="58">
        <f t="shared" si="61"/>
        <v>0</v>
      </c>
      <c r="S65" s="58">
        <f t="shared" si="61"/>
        <v>2</v>
      </c>
      <c r="T65" s="22" t="str">
        <f>IFS(T63=FALSE,U61,T63&gt;T64,U63,T63&lt;T64,U64,T63=T64,CONCATENATE("Tie", U63, U64))</f>
        <v>Foothill A</v>
      </c>
      <c r="U65" s="22" t="b">
        <f>IFS(T63&gt;T64,T63,T64&gt;T63,T64,T63=T64,T64)</f>
        <v>0</v>
      </c>
      <c r="V65" s="9"/>
      <c r="W65" s="9"/>
      <c r="X65" s="9"/>
      <c r="Y65" s="9"/>
      <c r="Z65" s="9"/>
      <c r="AA65" s="9"/>
      <c r="AB65" s="9"/>
      <c r="AC65" s="9"/>
      <c r="AD65" s="9"/>
    </row>
    <row r="66">
      <c r="A66" s="9">
        <f>'Round Robin'!F52</f>
        <v>148</v>
      </c>
      <c r="B66" s="9">
        <f>'Round Robin'!D54</f>
        <v>42</v>
      </c>
      <c r="C66" s="1" t="s">
        <v>77</v>
      </c>
      <c r="D66" s="9"/>
      <c r="E66" s="9"/>
      <c r="F66" s="9" t="str">
        <f>IF(OR(D65="",E65="",F65="",G65="",G64="",F64="",E64="",D64="",D63="",D62="",E63="",E62="",F63="",F62="",G63="",G62=""),"",IFNA(IFS(AND(D67=E65,E61&lt;&gt;E67),E61,AND(D67=F65,F61&lt;&gt;E67),F61,AND(D67=G65,G61&lt;&gt;E67),G61),""))</f>
        <v/>
      </c>
      <c r="G66" s="9" t="str">
        <f>IF(OR(D65="",E65="",F65="",G65="",G64="",F64="",E64="",D64="",D63="",D62="",E63="",E62="",F63="",F62="",G63="",G62=""),"",IFNA(IFS(AND(D67=F65,F61&lt;&gt;E67,F61&lt;&gt;F67),F61,AND(D67=G65,G61&lt;&gt;E67,G61&lt;&gt;F67),G61),""))</f>
        <v/>
      </c>
      <c r="H66" s="9"/>
      <c r="I66" s="9"/>
      <c r="J66" s="70"/>
      <c r="K66" s="9"/>
      <c r="L66" s="9"/>
      <c r="M66" s="9">
        <f>'Round Robin'!N52</f>
        <v>96</v>
      </c>
      <c r="N66" s="9">
        <f>'Round Robin'!L54</f>
        <v>32</v>
      </c>
      <c r="O66" s="1" t="s">
        <v>77</v>
      </c>
      <c r="P66" s="9"/>
      <c r="Q66" s="9"/>
      <c r="R66" s="9" t="str">
        <f>IF(OR(P65="",Q65="",R65="",S65="",S64="",R64="",Q64="",P64="",P63="",P62="",Q63="",Q62="",R63="",R62="",S63="",S62=""),"",IFNA(IFS(AND(P67=Q65,Q61&lt;&gt;Q67),Q61,AND(P67=R65,R61&lt;&gt;Q67),R61,AND(P67=S65,S61&lt;&gt;Q67),S61),""))</f>
        <v/>
      </c>
      <c r="S66" s="9" t="str">
        <f>IF(OR(P65="",Q65="",R65="",S65="",S64="",R64="",Q64="",P64="",P63="",P62="",Q63="",Q62="",R63="",R62="",S63="",S62=""),"",IFNA(IFS(AND(P67=R65,R61&lt;&gt;Q67,R61&lt;&gt;R67),R61,AND(P67=S65,S61&lt;&gt;Q67,S61&lt;&gt;R67),S61),""))</f>
        <v/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9">
        <f>'Round Robin'!F53</f>
        <v>22</v>
      </c>
      <c r="B67" s="9">
        <f>'Round Robin'!E54</f>
        <v>162</v>
      </c>
      <c r="C67" s="1" t="s">
        <v>92</v>
      </c>
      <c r="D67" s="58">
        <f>MAX(D65:G65)</f>
        <v>6</v>
      </c>
      <c r="E67" s="9" t="str">
        <f>IF(OR(D65="",E65="",F65="",G65="",G64="",F64="",E64="",D64="",D63="",D62="",E63="",E62="",F63="",F62="",G63="",G62=""),"",IFS(D67=D65,'Round Robin'!C48,D67=E65,'Round Robin'!D48,D67=F65,'Round Robin'!E48,D67=G65,'Round Robin'!F48))</f>
        <v>Clements</v>
      </c>
      <c r="F67" s="9" t="str">
        <f>IF(F66&lt;&gt;E67,F66,"")</f>
        <v/>
      </c>
      <c r="G67" s="9" t="str">
        <f>IF(AND(G66&lt;&gt;E67,G66&lt;&gt;F67),G66,"")</f>
        <v/>
      </c>
      <c r="H67" s="9"/>
      <c r="I67" s="9"/>
      <c r="J67" s="70"/>
      <c r="K67" s="9"/>
      <c r="L67" s="9"/>
      <c r="M67" s="9">
        <f>'Round Robin'!N53</f>
        <v>42</v>
      </c>
      <c r="N67" s="9">
        <f>'Round Robin'!M54</f>
        <v>52</v>
      </c>
      <c r="O67" s="1" t="s">
        <v>92</v>
      </c>
      <c r="P67" s="58">
        <f>MAX(P65:S65)</f>
        <v>6</v>
      </c>
      <c r="Q67" s="9" t="str">
        <f>IF(OR(P65="",Q65="",R65="",S65="",S64="",R64="",Q64="",P64="",P63="",P62="",Q63="",Q62="",R63="",R62="",S63="",S62=""),"",IFS(P67=P65,'Round Robin'!K48,P67=Q65,'Round Robin'!L48,P67=R65,'Round Robin'!M48,P67=S65,'Round Robin'!N48))</f>
        <v>Lynbrook A</v>
      </c>
      <c r="R67" s="9" t="str">
        <f>IF(R66&lt;&gt;Q67,R66,"")</f>
        <v/>
      </c>
      <c r="S67" s="9" t="str">
        <f>IF(AND(S66&lt;&gt;Q67,S66&lt;&gt;R67),S66,"")</f>
        <v/>
      </c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9"/>
      <c r="B68" s="9"/>
      <c r="C68" s="9"/>
      <c r="D68" s="9" t="str">
        <f t="shared" ref="D68:G68" si="62">D61</f>
        <v>Buchholz A</v>
      </c>
      <c r="E68" s="9" t="str">
        <f t="shared" si="62"/>
        <v>Clements</v>
      </c>
      <c r="F68" s="9" t="str">
        <f t="shared" si="62"/>
        <v>Foothill B</v>
      </c>
      <c r="G68" s="9" t="str">
        <f t="shared" si="62"/>
        <v>TJHSST A</v>
      </c>
      <c r="H68" s="9"/>
      <c r="I68" s="9"/>
      <c r="J68" s="70"/>
      <c r="K68" s="9"/>
      <c r="L68" s="9"/>
      <c r="M68" s="9"/>
      <c r="N68" s="9"/>
      <c r="O68" s="9"/>
      <c r="P68" s="9" t="str">
        <f t="shared" ref="P68:S68" si="63">P61</f>
        <v>Lynbrook A</v>
      </c>
      <c r="Q68" s="9" t="str">
        <f t="shared" si="63"/>
        <v>McLean A</v>
      </c>
      <c r="R68" s="9" t="str">
        <f t="shared" si="63"/>
        <v>Stuyvesant</v>
      </c>
      <c r="S68" s="9" t="str">
        <f t="shared" si="63"/>
        <v>Foothill A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63">
        <f>HLOOKUP(E67,D68:G69,2,FALSE)</f>
        <v>118</v>
      </c>
      <c r="B69" s="64" t="str">
        <f>IFERROR(HLOOKUP(F67,D68:G69,2,FALSE),"")</f>
        <v/>
      </c>
      <c r="C69" s="64" t="str">
        <f>IFERROR(HLOOKUP(G67,E68:L69,2,FALSE),"")</f>
        <v/>
      </c>
      <c r="D69" s="65">
        <f>'Round Robin'!G51</f>
        <v>78</v>
      </c>
      <c r="E69" s="64">
        <f>'Round Robin'!G52</f>
        <v>118</v>
      </c>
      <c r="F69" s="64">
        <f>'Round Robin'!G53</f>
        <v>11.33</v>
      </c>
      <c r="G69" s="64">
        <f>'Round Robin'!G54</f>
        <v>89.33</v>
      </c>
      <c r="H69" s="9"/>
      <c r="I69" s="9"/>
      <c r="J69" s="70"/>
      <c r="K69" s="9"/>
      <c r="L69" s="9"/>
      <c r="M69" s="63">
        <f>HLOOKUP(Q67,P68:S69,2,FALSE)</f>
        <v>128.67</v>
      </c>
      <c r="N69" s="64" t="str">
        <f>IFERROR(HLOOKUP(R67,P68:S69,2,FALSE),"")</f>
        <v/>
      </c>
      <c r="O69" s="64" t="str">
        <f>IFERROR(HLOOKUP(S67,Q68:X69,2,FALSE),"")</f>
        <v/>
      </c>
      <c r="P69" s="65">
        <f>'Round Robin'!O51</f>
        <v>128.67</v>
      </c>
      <c r="Q69" s="64">
        <f>'Round Robin'!O52</f>
        <v>47.33</v>
      </c>
      <c r="R69" s="64">
        <f>'Round Robin'!O53</f>
        <v>32.67</v>
      </c>
      <c r="S69" s="64">
        <f>'Round Robin'!O54</f>
        <v>30.67</v>
      </c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63">
        <f>MAX(A69:C69)</f>
        <v>118</v>
      </c>
      <c r="B70" s="64" t="str">
        <f>IFNA(HLOOKUP(A70,D69:G70,2,FALSE),"Reynolds #1")</f>
        <v>Clements</v>
      </c>
      <c r="C70" s="64"/>
      <c r="D70" s="64" t="str">
        <f t="shared" ref="D70:G70" si="64">D61</f>
        <v>Buchholz A</v>
      </c>
      <c r="E70" s="64" t="str">
        <f t="shared" si="64"/>
        <v>Clements</v>
      </c>
      <c r="F70" s="64" t="str">
        <f t="shared" si="64"/>
        <v>Foothill B</v>
      </c>
      <c r="G70" s="64" t="str">
        <f t="shared" si="64"/>
        <v>TJHSST A</v>
      </c>
      <c r="H70" s="9"/>
      <c r="I70" s="9"/>
      <c r="J70" s="70"/>
      <c r="K70" s="9"/>
      <c r="L70" s="9"/>
      <c r="M70" s="63">
        <f>MAX(M69:O69)</f>
        <v>128.67</v>
      </c>
      <c r="N70" s="64" t="str">
        <f>IFNA(HLOOKUP(M70,P69:S70,2,FALSE),"St. Brown #1")</f>
        <v>Lynbrook A</v>
      </c>
      <c r="O70" s="64"/>
      <c r="P70" s="64" t="str">
        <f t="shared" ref="P70:S70" si="65">P61</f>
        <v>Lynbrook A</v>
      </c>
      <c r="Q70" s="64" t="str">
        <f t="shared" si="65"/>
        <v>McLean A</v>
      </c>
      <c r="R70" s="64" t="str">
        <f t="shared" si="65"/>
        <v>Stuyvesant</v>
      </c>
      <c r="S70" s="64" t="str">
        <f t="shared" si="65"/>
        <v>Foothill A</v>
      </c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22"/>
      <c r="B71" s="22"/>
      <c r="C71" s="22"/>
      <c r="D71" s="22"/>
      <c r="E71" s="22"/>
      <c r="F71" s="22" t="str">
        <f>IF(OR(D62="",E62="",F62="",G62="",G63="",F63="",E63="",D63="",D64="",D65="",E64="",E65="",F64="",F65="",G64="",G65=""),"",IFNA(IFS(AND(D72=E65,E61&lt;&gt;E72),E61,AND(D72=F65,F61&lt;&gt;E72),F61,AND(D72=G65,G61&lt;&gt;E72),G61),""))</f>
        <v/>
      </c>
      <c r="G71" s="22" t="str">
        <f>IF(OR(D62="",E62="",F62="",G62="",G63="",F63="",E63="",D63="",D64="",D65="",E64="",E65="",F64="",F65="",G64="",G65=""),"",IFNA(IFS(AND(D72=E65,E61&lt;&gt;E72,E61&lt;&gt;F72),E61,AND(D72=F65,F61&lt;&gt;E72,F61&lt;&gt;F72),F61,AND(D72=G65,G61&lt;&gt;E72,G61&lt;&gt;F72),G61),""))</f>
        <v/>
      </c>
      <c r="H71" s="9"/>
      <c r="I71" s="9"/>
      <c r="J71" s="70"/>
      <c r="K71" s="9"/>
      <c r="L71" s="9"/>
      <c r="M71" s="22"/>
      <c r="N71" s="22"/>
      <c r="O71" s="22"/>
      <c r="P71" s="22"/>
      <c r="Q71" s="22"/>
      <c r="R71" s="22" t="str">
        <f>IF(OR(P62="",Q62="",R62="",S62="",S63="",R63="",Q63="",P63="",P64="",P65="",Q64="",Q65="",R64="",R65="",S64="",S65=""),"",IFNA(IFS(AND(P72=Q65,Q61&lt;&gt;Q72),Q61,AND(P72=R65,R61&lt;&gt;Q72),R61,AND(P72=S65,S61&lt;&gt;Q72),S61),""))</f>
        <v/>
      </c>
      <c r="S71" s="22" t="str">
        <f>IF(OR(P62="",Q62="",R62="",S62="",S63="",R63="",Q63="",P63="",P64="",P65="",Q64="",Q65="",R64="",R65="",S64="",S65=""),"",IFNA(IFS(AND(P72=Q65,Q61&lt;&gt;Q72,Q61&lt;&gt;R72),Q61,AND(P72=R65,R61&lt;&gt;Q72,R61&lt;&gt;R72),R61,AND(P72=S65,S61&lt;&gt;Q72,S61&lt;&gt;R72),S61),""))</f>
        <v/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22"/>
      <c r="B72" s="22"/>
      <c r="C72" s="22"/>
      <c r="D72" s="14">
        <f>LARGE(D65:G65,2)</f>
        <v>4</v>
      </c>
      <c r="E72" s="22" t="str">
        <f>IF(OR(D65="",E65="",F65="",G65="",G64="",F64="",E64="",D64="",D63="",D62="",E63="",E62="",F63="",F62="",G63="",G62=""),"",IFS(AND(D72=D65,D61&lt;&gt;B70),D61,AND(D72=E65,E61&lt;&gt;B70),E61,AND(D72=F65,F61&lt;&gt;B70),F61,AND(D72=G65,G61&lt;&gt;B70),G61))</f>
        <v>TJHSST A</v>
      </c>
      <c r="F72" s="22" t="str">
        <f>IF(AND(F71&lt;&gt;E72,F71&lt;&gt;B70),F71,"")</f>
        <v/>
      </c>
      <c r="G72" s="22" t="str">
        <f>IF(AND(G71&lt;&gt;E72,G71&lt;&gt;F72,G71&lt;&gt;B70),G71,"")</f>
        <v/>
      </c>
      <c r="H72" s="9"/>
      <c r="I72" s="9"/>
      <c r="J72" s="70"/>
      <c r="K72" s="9"/>
      <c r="L72" s="9"/>
      <c r="M72" s="22"/>
      <c r="N72" s="22"/>
      <c r="O72" s="22"/>
      <c r="P72" s="14">
        <f>LARGE(P65:S65,2)</f>
        <v>4</v>
      </c>
      <c r="Q72" s="22" t="str">
        <f>IF(OR(P65="",Q65="",R65="",S65="",S64="",R64="",Q64="",P64="",P63="",P62="",Q63="",Q62="",R63="",R62="",S63="",S62=""),"",IFS(AND(P72=P65,P61&lt;&gt;N70),P61,AND(P72=Q65,Q61&lt;&gt;N70),Q61,AND(P72=R65,R61&lt;&gt;N70),R61,AND(P72=S65,S61&lt;&gt;N70),S61))</f>
        <v>McLean A</v>
      </c>
      <c r="R72" s="22" t="str">
        <f>IF(AND(R71&lt;&gt;Q72,R71&lt;&gt;N70),R71,"")</f>
        <v/>
      </c>
      <c r="S72" s="22" t="str">
        <f>IF(AND(S71&lt;&gt;Q72,S71&lt;&gt;R72,S71&lt;&gt;N70),S71,"")</f>
        <v/>
      </c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14">
        <f>MAX(E73:G73)</f>
        <v>89.33</v>
      </c>
      <c r="B73" s="22" t="str">
        <f>IFNA(HLOOKUP(A73,D73:G74,2,FALSE),"Reynolds #2")</f>
        <v>TJHSST A</v>
      </c>
      <c r="C73" s="22"/>
      <c r="D73" s="22"/>
      <c r="E73" s="22">
        <f>IFNA(HLOOKUP(E72,D68:G69,2,FALSE),)</f>
        <v>89.33</v>
      </c>
      <c r="F73" s="22" t="str">
        <f>IFNA(HLOOKUP(F72,D68:G69,2,FALSE),)</f>
        <v/>
      </c>
      <c r="G73" s="22" t="str">
        <f>IFNA(HLOOKUP(G72,D68:G69,2,FALSE),)</f>
        <v/>
      </c>
      <c r="H73" s="9"/>
      <c r="I73" s="9"/>
      <c r="J73" s="70"/>
      <c r="K73" s="9"/>
      <c r="L73" s="9"/>
      <c r="M73" s="14">
        <f>MAX(Q73:S73)</f>
        <v>47.33</v>
      </c>
      <c r="N73" s="22" t="str">
        <f>IFNA(HLOOKUP(M73,P73:S74,2,FALSE),"St. Brown #2")</f>
        <v>McLean A</v>
      </c>
      <c r="O73" s="22"/>
      <c r="P73" s="22"/>
      <c r="Q73" s="22">
        <f>IFNA(HLOOKUP(Q72,P68:S69,2,FALSE),)</f>
        <v>47.33</v>
      </c>
      <c r="R73" s="22" t="str">
        <f>IFNA(HLOOKUP(R72,P68:S69,2,FALSE),)</f>
        <v/>
      </c>
      <c r="S73" s="22" t="str">
        <f>IFNA(HLOOKUP(S72,P68:S69,2,FALSE),)</f>
        <v/>
      </c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67" t="s">
        <v>3</v>
      </c>
      <c r="B74" s="22">
        <f>IF(B75&lt;&gt;"Reynolds #1",HLOOKUP(B75,D68:G69,2,FALSE),)</f>
        <v>118</v>
      </c>
      <c r="C74" s="67" t="s">
        <v>3</v>
      </c>
      <c r="D74" s="22">
        <f>IF(D75&lt;&gt;"Reynolds #2",HLOOKUP(D75,D68:G69,2,FALSE),)</f>
        <v>89.33</v>
      </c>
      <c r="E74" s="22" t="str">
        <f t="shared" ref="E74:G74" si="66">E72</f>
        <v>TJHSST A</v>
      </c>
      <c r="F74" s="22" t="str">
        <f t="shared" si="66"/>
        <v/>
      </c>
      <c r="G74" s="22" t="str">
        <f t="shared" si="66"/>
        <v/>
      </c>
      <c r="H74" s="9"/>
      <c r="I74" s="9"/>
      <c r="J74" s="70"/>
      <c r="K74" s="9"/>
      <c r="L74" s="9"/>
      <c r="M74" s="67" t="s">
        <v>3</v>
      </c>
      <c r="N74" s="22">
        <f>IF(N75&lt;&gt;"St. Brown #1",HLOOKUP(N75,P68:S69,2,FALSE),)</f>
        <v>128.67</v>
      </c>
      <c r="O74" s="67" t="s">
        <v>3</v>
      </c>
      <c r="P74" s="22">
        <f>IF(P75&lt;&gt;"St. Brown #2",HLOOKUP(P75,P68:S69,2,FALSE),)</f>
        <v>47.33</v>
      </c>
      <c r="Q74" s="22" t="str">
        <f t="shared" ref="Q74:S74" si="67">Q72</f>
        <v>McLean A</v>
      </c>
      <c r="R74" s="22" t="str">
        <f t="shared" si="67"/>
        <v/>
      </c>
      <c r="S74" s="22" t="str">
        <f t="shared" si="67"/>
        <v/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68" t="s">
        <v>123</v>
      </c>
      <c r="B75" s="22" t="str">
        <f>B70</f>
        <v>Clements</v>
      </c>
      <c r="C75" s="68" t="s">
        <v>124</v>
      </c>
      <c r="D75" s="22" t="str">
        <f>B73</f>
        <v>TJHSST A</v>
      </c>
      <c r="E75" s="68" t="s">
        <v>125</v>
      </c>
      <c r="F75" s="22" t="str">
        <f>IF(D75="Mohawk #2","Mohawk #3",H65)</f>
        <v>Buchholz A</v>
      </c>
      <c r="G75" s="22"/>
      <c r="H75" s="9"/>
      <c r="I75" s="9"/>
      <c r="J75" s="70"/>
      <c r="K75" s="9"/>
      <c r="L75" s="9"/>
      <c r="M75" s="68" t="s">
        <v>123</v>
      </c>
      <c r="N75" s="22" t="str">
        <f>N70</f>
        <v>Lynbrook A</v>
      </c>
      <c r="O75" s="68" t="s">
        <v>124</v>
      </c>
      <c r="P75" s="22" t="str">
        <f>N73</f>
        <v>McLean A</v>
      </c>
      <c r="Q75" s="68" t="s">
        <v>125</v>
      </c>
      <c r="R75" s="22" t="str">
        <f>IF(P75="Mohawk #2","Mohawk #3",T65)</f>
        <v>Foothill A</v>
      </c>
      <c r="S75" s="22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70"/>
      <c r="B76" s="70"/>
      <c r="C76" s="70"/>
      <c r="D76" s="70"/>
      <c r="E76" s="70"/>
      <c r="F76" s="72">
        <f>HLOOKUP(F75,D68:G69,2,FALSE)</f>
        <v>78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2">
        <f>HLOOKUP(R75,P68:S69,2,FALSE)</f>
        <v>30.67</v>
      </c>
      <c r="S76" s="70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71" t="s">
        <v>132</v>
      </c>
      <c r="B77" s="71" t="s">
        <v>133</v>
      </c>
      <c r="C77" s="71" t="s">
        <v>134</v>
      </c>
      <c r="D77" s="71" t="s">
        <v>135</v>
      </c>
      <c r="E77" s="71" t="s">
        <v>133</v>
      </c>
      <c r="F77" s="71" t="s">
        <v>135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9" t="str">
        <f>$B15</f>
        <v>Canyon Crest Academy</v>
      </c>
      <c r="B78" s="9">
        <f>B14</f>
        <v>146</v>
      </c>
      <c r="C78" s="9" t="str">
        <f>$B15</f>
        <v>Canyon Crest Academy</v>
      </c>
      <c r="D78" s="9" t="str">
        <f>$D15</f>
        <v>Jordan</v>
      </c>
      <c r="E78" s="9">
        <f>$D14</f>
        <v>95.33</v>
      </c>
      <c r="F78" s="9" t="str">
        <f>$D15</f>
        <v>Jordan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9" t="str">
        <f>$B32</f>
        <v>WWPN</v>
      </c>
      <c r="B79" s="9">
        <f>B31</f>
        <v>143.33</v>
      </c>
      <c r="C79" s="9" t="str">
        <f>$B32</f>
        <v>WWPN</v>
      </c>
      <c r="D79" s="9" t="str">
        <f>$D32</f>
        <v>University B</v>
      </c>
      <c r="E79" s="9">
        <f>$D31</f>
        <v>39.33</v>
      </c>
      <c r="F79" s="9" t="str">
        <f>$D32</f>
        <v>University B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9" t="str">
        <f>$B49</f>
        <v>Clovis North</v>
      </c>
      <c r="B80" s="9">
        <f>B48</f>
        <v>87.33</v>
      </c>
      <c r="C80" s="9" t="str">
        <f>$B49</f>
        <v>Clovis North</v>
      </c>
      <c r="D80" s="9" t="str">
        <f>$D49</f>
        <v>Green Hope</v>
      </c>
      <c r="E80" s="9">
        <f>$D48</f>
        <v>105.33</v>
      </c>
      <c r="F80" s="9" t="str">
        <f>$D49</f>
        <v>Green Hope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9" t="str">
        <f>$B75</f>
        <v>Clements</v>
      </c>
      <c r="B81" s="9">
        <f>B74</f>
        <v>118</v>
      </c>
      <c r="C81" s="9" t="str">
        <f>$B75</f>
        <v>Clements</v>
      </c>
      <c r="D81" s="9" t="str">
        <f>$D75</f>
        <v>TJHSST A</v>
      </c>
      <c r="E81" s="9">
        <f>$D74</f>
        <v>89.33</v>
      </c>
      <c r="F81" s="9" t="str">
        <f>$D75</f>
        <v>TJHSST A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9" t="str">
        <f>$N15</f>
        <v>North Hollywood</v>
      </c>
      <c r="B82" s="9">
        <f>N14</f>
        <v>152</v>
      </c>
      <c r="C82" s="9" t="str">
        <f>$N15</f>
        <v>North Hollywood</v>
      </c>
      <c r="D82" s="9" t="str">
        <f>$P15</f>
        <v>University A</v>
      </c>
      <c r="E82" s="9">
        <f>$P14</f>
        <v>98</v>
      </c>
      <c r="F82" s="9" t="str">
        <f>$P15</f>
        <v>University A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9" t="str">
        <f>$N32</f>
        <v>Iolani</v>
      </c>
      <c r="B83" s="9">
        <f>N31</f>
        <v>123.33</v>
      </c>
      <c r="C83" s="9" t="str">
        <f>$N32</f>
        <v>Iolani</v>
      </c>
      <c r="D83" s="9" t="str">
        <f>$P32</f>
        <v>TJHSST B</v>
      </c>
      <c r="E83" s="9">
        <f>$P31</f>
        <v>91.33</v>
      </c>
      <c r="F83" s="9" t="str">
        <f>$P32</f>
        <v>TJHSST B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9" t="str">
        <f>$N49</f>
        <v>Amador Valley A</v>
      </c>
      <c r="B84" s="71">
        <f>N48</f>
        <v>102</v>
      </c>
      <c r="C84" s="9" t="str">
        <f>$N49</f>
        <v>Amador Valley A</v>
      </c>
      <c r="D84" s="9" t="str">
        <f>$P49</f>
        <v>Interlake A</v>
      </c>
      <c r="E84" s="9">
        <f>$P48</f>
        <v>104.67</v>
      </c>
      <c r="F84" s="9" t="str">
        <f>$P49</f>
        <v>Interlake A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9" t="str">
        <f>$N75</f>
        <v>Lynbrook A</v>
      </c>
      <c r="B85" s="9">
        <f>N74</f>
        <v>128.67</v>
      </c>
      <c r="C85" s="9" t="str">
        <f>$N75</f>
        <v>Lynbrook A</v>
      </c>
      <c r="D85" s="9" t="str">
        <f>$P75</f>
        <v>McLean A</v>
      </c>
      <c r="E85" s="9">
        <f>$P74</f>
        <v>47.33</v>
      </c>
      <c r="F85" s="9" t="str">
        <f>$P75</f>
        <v>McLean A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71" t="s">
        <v>136</v>
      </c>
      <c r="B86" s="9"/>
      <c r="C86" s="71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9">
        <f t="array" ref="A87:A95">sort(B78:B86,1,0)</f>
        <v>152</v>
      </c>
      <c r="B87" s="9" t="str">
        <f t="shared" ref="B87:B94" si="68">VLOOKUP(A87, $B$78:$C$85, 2, FALSE)</f>
        <v>North Hollywood</v>
      </c>
      <c r="C87" s="9"/>
      <c r="D87" s="9">
        <f t="array" ref="D87:D95">sort(E78:E86,1,0)</f>
        <v>105.33</v>
      </c>
      <c r="E87" s="9" t="str">
        <f t="shared" ref="E87:E94" si="69">VLOOKUP(D87,$E$78:$F$85,2,FALSE)</f>
        <v>Green Hope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9">
        <v>146.0</v>
      </c>
      <c r="B88" s="9" t="str">
        <f t="shared" si="68"/>
        <v>Canyon Crest Academy</v>
      </c>
      <c r="C88" s="9"/>
      <c r="D88" s="9">
        <v>104.67</v>
      </c>
      <c r="E88" s="9" t="str">
        <f t="shared" si="69"/>
        <v>Interlake A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>
        <v>143.33</v>
      </c>
      <c r="B89" s="9" t="str">
        <f t="shared" si="68"/>
        <v>WWPN</v>
      </c>
      <c r="C89" s="9"/>
      <c r="D89" s="9">
        <v>98.0</v>
      </c>
      <c r="E89" s="9" t="str">
        <f t="shared" si="69"/>
        <v>University A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9">
        <v>128.67</v>
      </c>
      <c r="B90" s="9" t="str">
        <f t="shared" si="68"/>
        <v>Lynbrook A</v>
      </c>
      <c r="C90" s="9"/>
      <c r="D90" s="9">
        <v>95.33</v>
      </c>
      <c r="E90" s="9" t="str">
        <f t="shared" si="69"/>
        <v>Jordan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9">
        <v>123.33</v>
      </c>
      <c r="B91" s="9" t="str">
        <f t="shared" si="68"/>
        <v>Iolani</v>
      </c>
      <c r="C91" s="9"/>
      <c r="D91" s="9">
        <v>91.33</v>
      </c>
      <c r="E91" s="9" t="str">
        <f t="shared" si="69"/>
        <v>TJHSST B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9">
        <v>118.0</v>
      </c>
      <c r="B92" s="9" t="str">
        <f t="shared" si="68"/>
        <v>Clements</v>
      </c>
      <c r="C92" s="9"/>
      <c r="D92" s="9">
        <v>89.33</v>
      </c>
      <c r="E92" s="9" t="str">
        <f t="shared" si="69"/>
        <v>TJHSST A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9">
        <v>102.0</v>
      </c>
      <c r="B93" s="9" t="str">
        <f t="shared" si="68"/>
        <v>Amador Valley A</v>
      </c>
      <c r="C93" s="9"/>
      <c r="D93" s="9">
        <v>47.33</v>
      </c>
      <c r="E93" s="9" t="str">
        <f t="shared" si="69"/>
        <v>McLean A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9">
        <v>87.33</v>
      </c>
      <c r="B94" s="9" t="str">
        <f t="shared" si="68"/>
        <v>Clovis North</v>
      </c>
      <c r="C94" s="9"/>
      <c r="D94" s="9">
        <v>39.33</v>
      </c>
      <c r="E94" s="9" t="str">
        <f t="shared" si="69"/>
        <v>University B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75"/>
  <cols>
    <col customWidth="1" min="1" max="1" width="27.0"/>
    <col customWidth="1" min="2" max="2" width="3.25"/>
    <col customWidth="1" min="3" max="3" width="22.0"/>
    <col customWidth="1" min="5" max="5" width="22.0"/>
    <col customWidth="1" min="7" max="7" width="22.0"/>
    <col customWidth="1" min="9" max="9" width="22.0"/>
    <col customWidth="1" min="10" max="10" width="3.25"/>
  </cols>
  <sheetData>
    <row r="1">
      <c r="A1" s="2"/>
      <c r="B1" s="15"/>
      <c r="C1" s="2"/>
      <c r="D1" s="2"/>
      <c r="E1" s="2"/>
      <c r="F1" s="2"/>
      <c r="G1" s="2"/>
      <c r="H1" s="2"/>
      <c r="I1" s="2"/>
      <c r="J1" s="21"/>
      <c r="K1" s="2"/>
      <c r="L1" s="2"/>
      <c r="M1" s="2"/>
      <c r="N1" s="2"/>
      <c r="O1" s="2"/>
      <c r="P1" s="2"/>
      <c r="Q1" s="2"/>
    </row>
    <row r="2">
      <c r="A2" s="2"/>
      <c r="B2" s="24"/>
      <c r="C2" s="2"/>
      <c r="D2" s="2"/>
      <c r="E2" s="2"/>
      <c r="F2" s="2"/>
      <c r="G2" s="2"/>
      <c r="H2" s="2"/>
      <c r="I2" s="2"/>
      <c r="J2" s="21"/>
      <c r="K2" s="2"/>
      <c r="L2" s="2"/>
      <c r="M2" s="2"/>
      <c r="N2" s="2"/>
      <c r="O2" s="2"/>
      <c r="P2" s="2"/>
      <c r="Q2" s="2"/>
    </row>
    <row r="3">
      <c r="A3" s="2"/>
      <c r="B3" s="24"/>
      <c r="C3" s="2"/>
      <c r="D3" s="2"/>
      <c r="E3" s="2"/>
      <c r="F3" s="2"/>
      <c r="G3" s="2"/>
      <c r="H3" s="2"/>
      <c r="I3" s="2"/>
      <c r="J3" s="21"/>
      <c r="K3" s="2"/>
      <c r="L3" s="2"/>
      <c r="M3" s="2"/>
      <c r="N3" s="2"/>
      <c r="O3" s="2"/>
      <c r="P3" s="2"/>
      <c r="Q3" s="2"/>
    </row>
    <row r="4">
      <c r="A4" s="2"/>
      <c r="B4" s="24"/>
      <c r="C4" s="2"/>
      <c r="D4" s="2"/>
      <c r="E4" s="2"/>
      <c r="F4" s="2"/>
      <c r="G4" s="2"/>
      <c r="H4" s="2"/>
      <c r="I4" s="2"/>
      <c r="J4" s="21"/>
      <c r="K4" s="2"/>
      <c r="L4" s="2"/>
      <c r="M4" s="2"/>
      <c r="N4" s="2"/>
      <c r="O4" s="2"/>
      <c r="P4" s="2"/>
      <c r="Q4" s="2"/>
    </row>
    <row r="5">
      <c r="A5" s="28"/>
      <c r="B5" s="24"/>
      <c r="C5" s="29" t="s">
        <v>10</v>
      </c>
      <c r="D5" s="30"/>
      <c r="E5" s="32" t="s">
        <v>12</v>
      </c>
      <c r="F5" s="30"/>
      <c r="G5" s="32" t="s">
        <v>15</v>
      </c>
      <c r="H5" s="30"/>
      <c r="I5" s="32" t="s">
        <v>16</v>
      </c>
      <c r="J5" s="34"/>
      <c r="K5" s="28"/>
      <c r="L5" s="28"/>
      <c r="M5" s="28"/>
      <c r="N5" s="2"/>
      <c r="O5" s="2"/>
      <c r="P5" s="2"/>
      <c r="Q5" s="2"/>
    </row>
    <row r="6">
      <c r="A6" s="2"/>
      <c r="B6" s="24"/>
      <c r="C6" s="36" t="s">
        <v>18</v>
      </c>
      <c r="D6" s="2"/>
      <c r="E6" s="36" t="s">
        <v>20</v>
      </c>
      <c r="F6" s="2"/>
      <c r="G6" s="36" t="s">
        <v>21</v>
      </c>
      <c r="H6" s="2"/>
      <c r="I6" s="36" t="s">
        <v>22</v>
      </c>
      <c r="J6" s="21"/>
      <c r="K6" s="2"/>
      <c r="L6" s="2"/>
      <c r="M6" s="2"/>
      <c r="N6" s="2"/>
      <c r="O6" s="2"/>
      <c r="P6" s="2"/>
      <c r="Q6" s="2"/>
    </row>
    <row r="7">
      <c r="A7" s="2"/>
      <c r="B7" s="24"/>
      <c r="C7" s="38" t="s">
        <v>23</v>
      </c>
      <c r="D7" s="2"/>
      <c r="E7" s="38" t="s">
        <v>28</v>
      </c>
      <c r="F7" s="2"/>
      <c r="G7" s="38" t="s">
        <v>29</v>
      </c>
      <c r="H7" s="2"/>
      <c r="I7" s="38" t="s">
        <v>30</v>
      </c>
      <c r="J7" s="21"/>
      <c r="K7" s="2"/>
      <c r="L7" s="2"/>
      <c r="M7" s="2"/>
      <c r="N7" s="2"/>
      <c r="O7" s="2"/>
      <c r="P7" s="2"/>
      <c r="Q7" s="2"/>
    </row>
    <row r="8">
      <c r="A8" s="2"/>
      <c r="B8" s="24"/>
      <c r="C8" s="38" t="s">
        <v>32</v>
      </c>
      <c r="D8" s="2"/>
      <c r="E8" s="38" t="s">
        <v>33</v>
      </c>
      <c r="F8" s="2"/>
      <c r="G8" s="38" t="s">
        <v>34</v>
      </c>
      <c r="H8" s="2"/>
      <c r="I8" s="38" t="s">
        <v>35</v>
      </c>
      <c r="J8" s="21"/>
      <c r="K8" s="2"/>
      <c r="L8" s="2"/>
      <c r="M8" s="2"/>
      <c r="N8" s="2"/>
      <c r="O8" s="2"/>
      <c r="P8" s="2"/>
      <c r="Q8" s="2"/>
    </row>
    <row r="9">
      <c r="A9" s="2"/>
      <c r="B9" s="24"/>
      <c r="C9" s="39" t="s">
        <v>36</v>
      </c>
      <c r="D9" s="2"/>
      <c r="E9" s="39" t="s">
        <v>37</v>
      </c>
      <c r="F9" s="2"/>
      <c r="G9" s="39" t="s">
        <v>38</v>
      </c>
      <c r="H9" s="2"/>
      <c r="I9" s="39" t="s">
        <v>40</v>
      </c>
      <c r="J9" s="21"/>
      <c r="K9" s="2"/>
      <c r="L9" s="2"/>
      <c r="M9" s="2"/>
      <c r="N9" s="2"/>
      <c r="O9" s="2"/>
      <c r="P9" s="2"/>
      <c r="Q9" s="2"/>
    </row>
    <row r="10">
      <c r="A10" s="2"/>
      <c r="B10" s="24"/>
      <c r="C10" s="2"/>
      <c r="D10" s="2"/>
      <c r="E10" s="2"/>
      <c r="F10" s="2"/>
      <c r="G10" s="2"/>
      <c r="H10" s="2"/>
      <c r="I10" s="2"/>
      <c r="J10" s="21"/>
      <c r="K10" s="2"/>
      <c r="L10" s="2"/>
      <c r="M10" s="2"/>
      <c r="N10" s="2"/>
      <c r="O10" s="2"/>
      <c r="P10" s="2"/>
      <c r="Q10" s="2"/>
    </row>
    <row r="11">
      <c r="A11" s="2"/>
      <c r="B11" s="24"/>
      <c r="C11" s="2"/>
      <c r="D11" s="2"/>
      <c r="E11" s="2"/>
      <c r="F11" s="2"/>
      <c r="G11" s="2"/>
      <c r="H11" s="2"/>
      <c r="I11" s="2"/>
      <c r="J11" s="21"/>
      <c r="K11" s="2"/>
      <c r="L11" s="2"/>
      <c r="M11" s="2"/>
      <c r="N11" s="2"/>
      <c r="O11" s="2"/>
      <c r="P11" s="2"/>
      <c r="Q11" s="2"/>
    </row>
    <row r="12">
      <c r="A12" s="2"/>
      <c r="B12" s="24"/>
      <c r="C12" s="29" t="s">
        <v>45</v>
      </c>
      <c r="D12" s="42"/>
      <c r="E12" s="29" t="s">
        <v>46</v>
      </c>
      <c r="F12" s="42"/>
      <c r="G12" s="29" t="s">
        <v>47</v>
      </c>
      <c r="H12" s="42"/>
      <c r="I12" s="29" t="s">
        <v>48</v>
      </c>
      <c r="J12" s="21"/>
      <c r="K12" s="2"/>
      <c r="L12" s="2"/>
      <c r="M12" s="2"/>
      <c r="N12" s="2"/>
      <c r="O12" s="2"/>
      <c r="P12" s="2"/>
      <c r="Q12" s="2"/>
    </row>
    <row r="13">
      <c r="A13" s="2"/>
      <c r="B13" s="24"/>
      <c r="C13" s="36" t="s">
        <v>49</v>
      </c>
      <c r="D13" s="2"/>
      <c r="E13" s="36" t="s">
        <v>50</v>
      </c>
      <c r="F13" s="2"/>
      <c r="G13" s="36" t="s">
        <v>51</v>
      </c>
      <c r="H13" s="2"/>
      <c r="I13" s="36" t="s">
        <v>52</v>
      </c>
      <c r="J13" s="21"/>
      <c r="K13" s="2"/>
      <c r="L13" s="2"/>
      <c r="M13" s="2"/>
      <c r="N13" s="2"/>
      <c r="O13" s="2"/>
      <c r="P13" s="2"/>
      <c r="Q13" s="2"/>
    </row>
    <row r="14">
      <c r="A14" s="2"/>
      <c r="B14" s="24"/>
      <c r="C14" s="38" t="s">
        <v>53</v>
      </c>
      <c r="D14" s="2"/>
      <c r="E14" s="38" t="s">
        <v>54</v>
      </c>
      <c r="F14" s="2"/>
      <c r="G14" s="38" t="s">
        <v>55</v>
      </c>
      <c r="H14" s="2"/>
      <c r="I14" s="38" t="s">
        <v>56</v>
      </c>
      <c r="J14" s="21"/>
      <c r="K14" s="2"/>
      <c r="L14" s="2"/>
      <c r="M14" s="2"/>
      <c r="N14" s="2"/>
      <c r="O14" s="2"/>
      <c r="P14" s="2"/>
      <c r="Q14" s="2"/>
    </row>
    <row r="15">
      <c r="A15" s="2"/>
      <c r="B15" s="24"/>
      <c r="C15" s="38" t="s">
        <v>57</v>
      </c>
      <c r="D15" s="2"/>
      <c r="E15" s="38" t="s">
        <v>58</v>
      </c>
      <c r="F15" s="2"/>
      <c r="G15" s="38" t="s">
        <v>59</v>
      </c>
      <c r="H15" s="2"/>
      <c r="I15" s="38" t="s">
        <v>60</v>
      </c>
      <c r="J15" s="21"/>
      <c r="K15" s="2"/>
      <c r="L15" s="2"/>
      <c r="M15" s="2"/>
      <c r="N15" s="2"/>
      <c r="O15" s="2"/>
      <c r="P15" s="2"/>
      <c r="Q15" s="2"/>
    </row>
    <row r="16">
      <c r="A16" s="2"/>
      <c r="B16" s="24"/>
      <c r="C16" s="39" t="s">
        <v>61</v>
      </c>
      <c r="D16" s="2"/>
      <c r="E16" s="39" t="s">
        <v>62</v>
      </c>
      <c r="F16" s="2"/>
      <c r="G16" s="39" t="s">
        <v>63</v>
      </c>
      <c r="H16" s="2"/>
      <c r="I16" s="39" t="s">
        <v>64</v>
      </c>
      <c r="J16" s="21"/>
      <c r="K16" s="2"/>
      <c r="L16" s="2"/>
      <c r="M16" s="2"/>
      <c r="N16" s="2"/>
      <c r="O16" s="2"/>
      <c r="P16" s="2"/>
      <c r="Q16" s="2"/>
    </row>
    <row r="17">
      <c r="A17" s="2"/>
      <c r="B17" s="24"/>
      <c r="C17" s="2"/>
      <c r="D17" s="2"/>
      <c r="E17" s="2"/>
      <c r="F17" s="2"/>
      <c r="G17" s="2"/>
      <c r="H17" s="2"/>
      <c r="I17" s="2"/>
      <c r="J17" s="21"/>
      <c r="K17" s="2"/>
      <c r="L17" s="2"/>
      <c r="M17" s="2"/>
      <c r="N17" s="2"/>
      <c r="O17" s="2"/>
      <c r="P17" s="2"/>
      <c r="Q17" s="2"/>
    </row>
    <row r="18">
      <c r="A18" s="2"/>
      <c r="B18" s="24"/>
      <c r="C18" s="2"/>
      <c r="D18" s="2"/>
      <c r="E18" s="2"/>
      <c r="F18" s="2"/>
      <c r="G18" s="2"/>
      <c r="H18" s="2"/>
      <c r="I18" s="2"/>
      <c r="J18" s="21"/>
      <c r="K18" s="2"/>
      <c r="L18" s="2"/>
      <c r="M18" s="2"/>
      <c r="N18" s="2"/>
      <c r="O18" s="2"/>
      <c r="P18" s="2"/>
      <c r="Q18" s="2"/>
    </row>
    <row r="19">
      <c r="A19" s="2"/>
      <c r="B19" s="24"/>
      <c r="C19" s="2"/>
      <c r="D19" s="2"/>
      <c r="E19" s="2"/>
      <c r="F19" s="2"/>
      <c r="G19" s="2"/>
      <c r="H19" s="2"/>
      <c r="I19" s="2"/>
      <c r="J19" s="21"/>
      <c r="K19" s="2"/>
      <c r="L19" s="2"/>
      <c r="M19" s="2"/>
      <c r="N19" s="2"/>
      <c r="O19" s="2"/>
      <c r="P19" s="2"/>
      <c r="Q19" s="2"/>
    </row>
    <row r="20">
      <c r="A20" s="2"/>
      <c r="B20" s="24"/>
      <c r="C20" s="2"/>
      <c r="D20" s="2"/>
      <c r="E20" s="2"/>
      <c r="F20" s="2"/>
      <c r="G20" s="2"/>
      <c r="H20" s="2"/>
      <c r="I20" s="2"/>
      <c r="J20" s="21"/>
      <c r="K20" s="2"/>
      <c r="L20" s="2"/>
      <c r="M20" s="2"/>
      <c r="N20" s="2"/>
      <c r="O20" s="2"/>
      <c r="P20" s="2"/>
      <c r="Q20" s="2"/>
    </row>
    <row r="21">
      <c r="A21" s="2"/>
      <c r="B21" s="24"/>
      <c r="C21" s="2"/>
      <c r="D21" s="2"/>
      <c r="E21" s="2"/>
      <c r="F21" s="2"/>
      <c r="G21" s="2"/>
      <c r="H21" s="2"/>
      <c r="I21" s="2"/>
      <c r="J21" s="21"/>
      <c r="K21" s="2"/>
      <c r="L21" s="2"/>
      <c r="M21" s="2"/>
      <c r="N21" s="2"/>
      <c r="O21" s="2"/>
      <c r="P21" s="2"/>
      <c r="Q21" s="2"/>
    </row>
    <row r="22">
      <c r="A22" s="2"/>
      <c r="B22" s="24"/>
      <c r="C22" s="2"/>
      <c r="D22" s="2"/>
      <c r="E22" s="2"/>
      <c r="F22" s="2"/>
      <c r="G22" s="2"/>
      <c r="H22" s="2"/>
      <c r="I22" s="2"/>
      <c r="J22" s="21"/>
      <c r="K22" s="2"/>
      <c r="L22" s="2"/>
      <c r="M22" s="2"/>
      <c r="N22" s="2"/>
      <c r="O22" s="2"/>
      <c r="P22" s="2"/>
      <c r="Q22" s="2"/>
    </row>
    <row r="23">
      <c r="A23" s="2"/>
      <c r="B23" s="24"/>
      <c r="C23" s="2"/>
      <c r="D23" s="2"/>
      <c r="E23" s="2"/>
      <c r="F23" s="2"/>
      <c r="G23" s="2"/>
      <c r="H23" s="2"/>
      <c r="I23" s="2"/>
      <c r="J23" s="21"/>
      <c r="K23" s="2"/>
      <c r="L23" s="2"/>
      <c r="M23" s="2"/>
      <c r="N23" s="2"/>
      <c r="O23" s="2"/>
      <c r="P23" s="2"/>
      <c r="Q23" s="2"/>
    </row>
    <row r="24">
      <c r="A24" s="2"/>
      <c r="B24" s="24"/>
      <c r="C24" s="2"/>
      <c r="D24" s="2"/>
      <c r="E24" s="2"/>
      <c r="F24" s="2"/>
      <c r="G24" s="2"/>
      <c r="H24" s="2"/>
      <c r="I24" s="2"/>
      <c r="J24" s="21"/>
      <c r="K24" s="2"/>
      <c r="L24" s="2"/>
      <c r="M24" s="2"/>
      <c r="N24" s="2"/>
      <c r="O24" s="2"/>
      <c r="P24" s="2"/>
      <c r="Q24" s="2"/>
    </row>
    <row r="25">
      <c r="A25" s="2"/>
      <c r="B25" s="24"/>
      <c r="C25" s="2"/>
      <c r="D25" s="2"/>
      <c r="E25" s="2"/>
      <c r="F25" s="2"/>
      <c r="G25" s="2"/>
      <c r="H25" s="2"/>
      <c r="I25" s="2"/>
      <c r="J25" s="21"/>
      <c r="K25" s="2"/>
      <c r="L25" s="2"/>
      <c r="M25" s="2"/>
      <c r="N25" s="2"/>
      <c r="O25" s="2"/>
      <c r="P25" s="2"/>
      <c r="Q25" s="2"/>
    </row>
    <row r="26">
      <c r="A26" s="2"/>
      <c r="B26" s="24"/>
      <c r="C26" s="2"/>
      <c r="D26" s="2"/>
      <c r="E26" s="2"/>
      <c r="F26" s="2"/>
      <c r="G26" s="2"/>
      <c r="H26" s="2"/>
      <c r="I26" s="2"/>
      <c r="J26" s="21"/>
      <c r="K26" s="2"/>
      <c r="L26" s="2"/>
      <c r="M26" s="2"/>
      <c r="N26" s="2"/>
      <c r="O26" s="2"/>
      <c r="P26" s="2"/>
      <c r="Q26" s="2"/>
    </row>
    <row r="27">
      <c r="A27" s="2"/>
      <c r="B27" s="24"/>
      <c r="C27" s="2"/>
      <c r="D27" s="2"/>
      <c r="E27" s="2"/>
      <c r="F27" s="2"/>
      <c r="G27" s="2"/>
      <c r="H27" s="2"/>
      <c r="I27" s="2"/>
      <c r="J27" s="21"/>
      <c r="K27" s="2"/>
      <c r="L27" s="2"/>
      <c r="M27" s="2"/>
      <c r="N27" s="2"/>
      <c r="O27" s="2"/>
      <c r="P27" s="2"/>
      <c r="Q27" s="2"/>
    </row>
    <row r="28">
      <c r="A28" s="2"/>
      <c r="B28" s="24"/>
      <c r="C28" s="2"/>
      <c r="D28" s="2"/>
      <c r="E28" s="2"/>
      <c r="F28" s="2"/>
      <c r="G28" s="2"/>
      <c r="H28" s="2"/>
      <c r="I28" s="2"/>
      <c r="J28" s="21"/>
      <c r="K28" s="2"/>
      <c r="L28" s="2"/>
      <c r="M28" s="2"/>
      <c r="N28" s="2"/>
      <c r="O28" s="2"/>
      <c r="P28" s="2"/>
      <c r="Q28" s="2"/>
    </row>
    <row r="29">
      <c r="A29" s="2"/>
      <c r="B29" s="24"/>
      <c r="C29" s="2"/>
      <c r="D29" s="2"/>
      <c r="E29" s="2"/>
      <c r="F29" s="2"/>
      <c r="G29" s="2"/>
      <c r="H29" s="2"/>
      <c r="I29" s="2"/>
      <c r="J29" s="21"/>
      <c r="K29" s="2"/>
      <c r="L29" s="2"/>
      <c r="M29" s="2"/>
      <c r="N29" s="2"/>
      <c r="O29" s="2"/>
      <c r="P29" s="2"/>
      <c r="Q29" s="2"/>
    </row>
    <row r="30">
      <c r="A30" s="2"/>
      <c r="B30" s="24"/>
      <c r="C30" s="2"/>
      <c r="D30" s="2"/>
      <c r="E30" s="2"/>
      <c r="F30" s="2"/>
      <c r="G30" s="2"/>
      <c r="H30" s="2"/>
      <c r="I30" s="2"/>
      <c r="J30" s="21"/>
      <c r="K30" s="2"/>
      <c r="L30" s="2"/>
      <c r="M30" s="2"/>
      <c r="N30" s="2"/>
      <c r="O30" s="2"/>
      <c r="P30" s="2"/>
      <c r="Q30" s="2"/>
    </row>
    <row r="31">
      <c r="A31" s="2"/>
      <c r="B31" s="24"/>
      <c r="C31" s="2"/>
      <c r="D31" s="2"/>
      <c r="E31" s="2"/>
      <c r="F31" s="2"/>
      <c r="G31" s="2"/>
      <c r="H31" s="2"/>
      <c r="I31" s="2"/>
      <c r="J31" s="21"/>
      <c r="K31" s="2"/>
      <c r="L31" s="2"/>
      <c r="M31" s="2"/>
      <c r="N31" s="2"/>
      <c r="O31" s="2"/>
      <c r="P31" s="2"/>
      <c r="Q31" s="2"/>
    </row>
    <row r="32">
      <c r="A32" s="2"/>
      <c r="B32" s="24"/>
      <c r="C32" s="2"/>
      <c r="D32" s="2"/>
      <c r="E32" s="2"/>
      <c r="F32" s="2"/>
      <c r="G32" s="2"/>
      <c r="H32" s="2"/>
      <c r="I32" s="2"/>
      <c r="J32" s="21"/>
      <c r="K32" s="2"/>
      <c r="L32" s="2"/>
      <c r="M32" s="2"/>
      <c r="N32" s="2"/>
      <c r="O32" s="2"/>
      <c r="P32" s="2"/>
      <c r="Q32" s="2"/>
    </row>
    <row r="33">
      <c r="A33" s="2"/>
      <c r="B33" s="24"/>
      <c r="C33" s="2"/>
      <c r="D33" s="2"/>
      <c r="E33" s="2"/>
      <c r="F33" s="2"/>
      <c r="G33" s="2"/>
      <c r="H33" s="2"/>
      <c r="I33" s="2"/>
      <c r="J33" s="21"/>
      <c r="K33" s="2"/>
      <c r="L33" s="2"/>
      <c r="M33" s="2"/>
      <c r="N33" s="2"/>
      <c r="O33" s="2"/>
      <c r="P33" s="2"/>
      <c r="Q33" s="2"/>
    </row>
    <row r="34">
      <c r="A34" s="2"/>
      <c r="B34" s="24"/>
      <c r="C34" s="2"/>
      <c r="D34" s="2"/>
      <c r="E34" s="2"/>
      <c r="F34" s="2"/>
      <c r="G34" s="2"/>
      <c r="H34" s="2"/>
      <c r="I34" s="2"/>
      <c r="J34" s="21"/>
      <c r="K34" s="2"/>
      <c r="L34" s="2"/>
      <c r="M34" s="2"/>
      <c r="N34" s="2"/>
      <c r="O34" s="2"/>
      <c r="P34" s="2"/>
      <c r="Q34" s="2"/>
    </row>
    <row r="35">
      <c r="A35" s="2"/>
      <c r="B35" s="24"/>
      <c r="C35" s="2"/>
      <c r="D35" s="2"/>
      <c r="E35" s="2"/>
      <c r="F35" s="2"/>
      <c r="G35" s="2"/>
      <c r="H35" s="2"/>
      <c r="I35" s="2"/>
      <c r="J35" s="21"/>
      <c r="K35" s="2"/>
      <c r="L35" s="2"/>
      <c r="M35" s="2"/>
      <c r="N35" s="2"/>
      <c r="O35" s="2"/>
      <c r="P35" s="2"/>
      <c r="Q35" s="2"/>
    </row>
    <row r="36">
      <c r="A36" s="2"/>
      <c r="B36" s="24"/>
      <c r="C36" s="2"/>
      <c r="D36" s="2"/>
      <c r="E36" s="2"/>
      <c r="F36" s="2"/>
      <c r="G36" s="2"/>
      <c r="H36" s="2"/>
      <c r="I36" s="2"/>
      <c r="J36" s="21"/>
      <c r="K36" s="2"/>
      <c r="L36" s="2"/>
      <c r="M36" s="2"/>
      <c r="N36" s="2"/>
      <c r="O36" s="2"/>
      <c r="P36" s="2"/>
      <c r="Q36" s="2"/>
    </row>
    <row r="37">
      <c r="A37" s="2"/>
      <c r="B37" s="24"/>
      <c r="C37" s="2"/>
      <c r="D37" s="2"/>
      <c r="E37" s="2"/>
      <c r="F37" s="2"/>
      <c r="G37" s="2"/>
      <c r="H37" s="2"/>
      <c r="I37" s="2"/>
      <c r="J37" s="21"/>
      <c r="K37" s="2"/>
      <c r="L37" s="2"/>
      <c r="M37" s="2"/>
      <c r="N37" s="2"/>
      <c r="O37" s="2"/>
      <c r="P37" s="2"/>
      <c r="Q37" s="2"/>
    </row>
    <row r="38">
      <c r="A38" s="2"/>
      <c r="B38" s="24"/>
      <c r="C38" s="2"/>
      <c r="D38" s="2"/>
      <c r="E38" s="2"/>
      <c r="F38" s="2"/>
      <c r="G38" s="2"/>
      <c r="H38" s="2"/>
      <c r="I38" s="2"/>
      <c r="J38" s="21"/>
      <c r="K38" s="2"/>
      <c r="L38" s="2"/>
      <c r="M38" s="2"/>
      <c r="N38" s="2"/>
      <c r="O38" s="2"/>
      <c r="P38" s="2"/>
      <c r="Q38" s="2"/>
    </row>
    <row r="39">
      <c r="A39" s="50"/>
      <c r="B39" s="24"/>
      <c r="C39" s="50"/>
      <c r="D39" s="50"/>
      <c r="E39" s="50"/>
      <c r="F39" s="50"/>
      <c r="G39" s="50"/>
      <c r="H39" s="50"/>
      <c r="I39" s="50"/>
      <c r="J39" s="51"/>
      <c r="K39" s="50"/>
      <c r="L39" s="50"/>
      <c r="M39" s="50"/>
      <c r="N39" s="50"/>
      <c r="O39" s="50"/>
      <c r="P39" s="50"/>
      <c r="Q39" s="50"/>
    </row>
    <row r="40">
      <c r="B40" s="24"/>
      <c r="J40" s="53"/>
    </row>
    <row r="41">
      <c r="B41" s="24"/>
      <c r="J41" s="53"/>
    </row>
    <row r="42">
      <c r="B42" s="24"/>
      <c r="J42" s="53"/>
    </row>
    <row r="43">
      <c r="B43" s="24"/>
      <c r="J43" s="53"/>
    </row>
    <row r="44">
      <c r="B44" s="24"/>
      <c r="J44" s="53"/>
    </row>
    <row r="45">
      <c r="B45" s="24"/>
      <c r="J45" s="53"/>
    </row>
    <row r="46">
      <c r="B46" s="24"/>
      <c r="J46" s="53"/>
    </row>
    <row r="47">
      <c r="B47" s="24"/>
      <c r="J47" s="53"/>
    </row>
    <row r="48">
      <c r="B48" s="24"/>
      <c r="J48" s="53"/>
    </row>
    <row r="49">
      <c r="B49" s="24"/>
      <c r="J49" s="53"/>
    </row>
    <row r="50">
      <c r="B50" s="24"/>
      <c r="J50" s="53"/>
    </row>
    <row r="51">
      <c r="B51" s="24"/>
      <c r="J51" s="53"/>
    </row>
    <row r="52">
      <c r="B52" s="24"/>
      <c r="J52" s="53"/>
    </row>
    <row r="53">
      <c r="B53" s="24"/>
      <c r="J53" s="53"/>
    </row>
    <row r="54">
      <c r="B54" s="24"/>
      <c r="J54" s="53"/>
    </row>
    <row r="55">
      <c r="B55" s="24"/>
      <c r="J55" s="53"/>
    </row>
    <row r="56">
      <c r="B56" s="24"/>
      <c r="J56" s="53"/>
    </row>
    <row r="57">
      <c r="B57" s="24"/>
      <c r="J57" s="53"/>
    </row>
    <row r="58">
      <c r="B58" s="24"/>
      <c r="J58" s="53"/>
    </row>
    <row r="59">
      <c r="B59" s="24"/>
      <c r="J59" s="53"/>
    </row>
    <row r="60">
      <c r="B60" s="24"/>
      <c r="J60" s="53"/>
    </row>
    <row r="61">
      <c r="B61" s="24"/>
      <c r="J61" s="53"/>
    </row>
    <row r="62">
      <c r="B62" s="24"/>
      <c r="J62" s="53"/>
    </row>
    <row r="63">
      <c r="B63" s="24"/>
      <c r="J63" s="53"/>
    </row>
    <row r="64">
      <c r="B64" s="24"/>
      <c r="J64" s="53"/>
    </row>
    <row r="65">
      <c r="B65" s="24"/>
      <c r="J65" s="53"/>
    </row>
    <row r="66">
      <c r="B66" s="24"/>
      <c r="J66" s="53"/>
    </row>
    <row r="67">
      <c r="B67" s="24"/>
      <c r="J67" s="53"/>
    </row>
    <row r="68">
      <c r="B68" s="24"/>
      <c r="J68" s="53"/>
    </row>
    <row r="69">
      <c r="B69" s="24"/>
      <c r="J69" s="53"/>
    </row>
    <row r="70">
      <c r="B70" s="24"/>
      <c r="J70" s="53"/>
    </row>
    <row r="71">
      <c r="B71" s="24"/>
      <c r="J71" s="53"/>
    </row>
    <row r="72">
      <c r="B72" s="24"/>
      <c r="J72" s="53"/>
    </row>
    <row r="73">
      <c r="B73" s="24"/>
      <c r="J73" s="53"/>
    </row>
    <row r="74">
      <c r="B74" s="24"/>
      <c r="J74" s="53"/>
    </row>
    <row r="75">
      <c r="B75" s="24"/>
      <c r="J75" s="53"/>
    </row>
    <row r="76">
      <c r="B76" s="24"/>
      <c r="J76" s="53"/>
    </row>
    <row r="77">
      <c r="B77" s="24"/>
      <c r="J77" s="53"/>
    </row>
    <row r="78">
      <c r="B78" s="24"/>
      <c r="J78" s="53"/>
    </row>
    <row r="79">
      <c r="B79" s="24"/>
      <c r="J79" s="53"/>
    </row>
    <row r="80">
      <c r="B80" s="24"/>
      <c r="J80" s="53"/>
    </row>
    <row r="81">
      <c r="B81" s="24"/>
      <c r="J81" s="53"/>
    </row>
    <row r="82">
      <c r="B82" s="24"/>
      <c r="J82" s="53"/>
    </row>
    <row r="83">
      <c r="B83" s="24"/>
      <c r="J83" s="53"/>
    </row>
    <row r="84">
      <c r="B84" s="24"/>
      <c r="J84" s="53"/>
    </row>
    <row r="85">
      <c r="B85" s="24"/>
      <c r="J85" s="53"/>
    </row>
    <row r="86">
      <c r="B86" s="24"/>
      <c r="J86" s="53"/>
    </row>
    <row r="87">
      <c r="B87" s="24"/>
      <c r="J87" s="53"/>
    </row>
    <row r="88">
      <c r="B88" s="24"/>
      <c r="J88" s="53"/>
    </row>
    <row r="89">
      <c r="B89" s="24"/>
      <c r="J89" s="53"/>
    </row>
    <row r="90">
      <c r="B90" s="24"/>
      <c r="J90" s="53"/>
    </row>
    <row r="91">
      <c r="B91" s="24"/>
      <c r="J91" s="53"/>
    </row>
    <row r="92">
      <c r="B92" s="24"/>
      <c r="J92" s="53"/>
    </row>
    <row r="93">
      <c r="B93" s="24"/>
      <c r="J93" s="53"/>
    </row>
    <row r="94">
      <c r="B94" s="24"/>
      <c r="J94" s="53"/>
    </row>
    <row r="95">
      <c r="B95" s="24"/>
      <c r="J95" s="53"/>
    </row>
    <row r="96">
      <c r="B96" s="24"/>
      <c r="J96" s="53"/>
    </row>
    <row r="97">
      <c r="B97" s="24"/>
      <c r="J97" s="53"/>
    </row>
    <row r="98">
      <c r="B98" s="24"/>
      <c r="J98" s="53"/>
    </row>
    <row r="99">
      <c r="B99" s="24"/>
      <c r="J99" s="53"/>
    </row>
    <row r="100">
      <c r="B100" s="24"/>
      <c r="J100" s="53"/>
    </row>
    <row r="101">
      <c r="B101" s="24"/>
      <c r="J101" s="53"/>
    </row>
    <row r="102">
      <c r="B102" s="24"/>
      <c r="J102" s="53"/>
    </row>
    <row r="103">
      <c r="B103" s="24"/>
      <c r="J103" s="53"/>
    </row>
    <row r="104">
      <c r="B104" s="24"/>
      <c r="J104" s="53"/>
    </row>
    <row r="105">
      <c r="B105" s="24"/>
      <c r="J105" s="53"/>
    </row>
    <row r="106">
      <c r="B106" s="24"/>
      <c r="J106" s="53"/>
    </row>
    <row r="107">
      <c r="B107" s="24"/>
      <c r="J107" s="53"/>
    </row>
    <row r="108">
      <c r="B108" s="24"/>
      <c r="J108" s="53"/>
    </row>
    <row r="109">
      <c r="B109" s="24"/>
      <c r="J109" s="53"/>
    </row>
    <row r="110">
      <c r="B110" s="24"/>
      <c r="J110" s="53"/>
    </row>
    <row r="111">
      <c r="B111" s="24"/>
      <c r="J111" s="53"/>
    </row>
    <row r="112">
      <c r="B112" s="24"/>
      <c r="J112" s="53"/>
    </row>
    <row r="113">
      <c r="B113" s="24"/>
      <c r="J113" s="53"/>
    </row>
    <row r="114">
      <c r="B114" s="24"/>
      <c r="J114" s="53"/>
    </row>
    <row r="115">
      <c r="B115" s="24"/>
      <c r="J115" s="53"/>
    </row>
    <row r="116">
      <c r="B116" s="24"/>
      <c r="J116" s="53"/>
    </row>
    <row r="117">
      <c r="B117" s="24"/>
      <c r="J117" s="53"/>
    </row>
    <row r="118">
      <c r="B118" s="24"/>
      <c r="J118" s="53"/>
    </row>
    <row r="119">
      <c r="B119" s="24"/>
      <c r="J119" s="53"/>
    </row>
    <row r="120">
      <c r="B120" s="24"/>
      <c r="J120" s="53"/>
    </row>
    <row r="121">
      <c r="B121" s="24"/>
      <c r="J121" s="53"/>
    </row>
    <row r="122">
      <c r="B122" s="24"/>
      <c r="J122" s="53"/>
    </row>
    <row r="123">
      <c r="B123" s="24"/>
      <c r="J123" s="53"/>
    </row>
    <row r="124">
      <c r="B124" s="24"/>
      <c r="J124" s="53"/>
    </row>
    <row r="125">
      <c r="B125" s="24"/>
      <c r="J125" s="53"/>
    </row>
    <row r="126">
      <c r="B126" s="24"/>
      <c r="J126" s="53"/>
    </row>
    <row r="127">
      <c r="B127" s="24"/>
      <c r="J127" s="53"/>
    </row>
    <row r="128">
      <c r="B128" s="24"/>
      <c r="J128" s="53"/>
    </row>
    <row r="129">
      <c r="B129" s="24"/>
      <c r="J129" s="53"/>
    </row>
    <row r="130">
      <c r="B130" s="24"/>
      <c r="J130" s="53"/>
    </row>
    <row r="131">
      <c r="B131" s="24"/>
      <c r="J131" s="53"/>
    </row>
    <row r="132">
      <c r="B132" s="24"/>
      <c r="J132" s="53"/>
    </row>
    <row r="133">
      <c r="B133" s="24"/>
      <c r="J133" s="53"/>
    </row>
    <row r="134">
      <c r="B134" s="24"/>
      <c r="J134" s="53"/>
    </row>
    <row r="135">
      <c r="B135" s="24"/>
      <c r="J135" s="53"/>
    </row>
    <row r="136">
      <c r="B136" s="24"/>
      <c r="J136" s="53"/>
    </row>
    <row r="137">
      <c r="B137" s="24"/>
      <c r="J137" s="53"/>
    </row>
    <row r="138">
      <c r="B138" s="24"/>
      <c r="J138" s="53"/>
    </row>
    <row r="139">
      <c r="B139" s="24"/>
      <c r="J139" s="53"/>
    </row>
    <row r="140">
      <c r="B140" s="24"/>
      <c r="J140" s="53"/>
    </row>
    <row r="141">
      <c r="B141" s="24"/>
      <c r="J141" s="53"/>
    </row>
    <row r="142">
      <c r="B142" s="24"/>
      <c r="J142" s="53"/>
    </row>
    <row r="143">
      <c r="B143" s="24"/>
      <c r="J143" s="53"/>
    </row>
    <row r="144">
      <c r="B144" s="24"/>
      <c r="J144" s="53"/>
    </row>
    <row r="145">
      <c r="B145" s="24"/>
      <c r="J145" s="53"/>
    </row>
    <row r="146">
      <c r="B146" s="24"/>
      <c r="J146" s="53"/>
    </row>
    <row r="147">
      <c r="B147" s="24"/>
      <c r="J147" s="53"/>
    </row>
    <row r="148">
      <c r="B148" s="24"/>
      <c r="J148" s="53"/>
    </row>
    <row r="149">
      <c r="B149" s="24"/>
      <c r="J149" s="53"/>
    </row>
    <row r="150">
      <c r="B150" s="24"/>
      <c r="J150" s="53"/>
    </row>
    <row r="151">
      <c r="B151" s="24"/>
      <c r="J151" s="53"/>
    </row>
    <row r="152">
      <c r="B152" s="24"/>
      <c r="J152" s="53"/>
    </row>
    <row r="153">
      <c r="B153" s="24"/>
      <c r="J153" s="53"/>
    </row>
    <row r="154">
      <c r="B154" s="24"/>
      <c r="J154" s="53"/>
    </row>
    <row r="155">
      <c r="B155" s="24"/>
      <c r="J155" s="53"/>
    </row>
    <row r="156">
      <c r="B156" s="24"/>
      <c r="J156" s="53"/>
    </row>
    <row r="157">
      <c r="B157" s="24"/>
      <c r="J157" s="53"/>
    </row>
    <row r="158">
      <c r="B158" s="24"/>
      <c r="J158" s="53"/>
    </row>
    <row r="159">
      <c r="B159" s="24"/>
      <c r="J159" s="53"/>
    </row>
    <row r="160">
      <c r="B160" s="24"/>
      <c r="J160" s="53"/>
    </row>
    <row r="161">
      <c r="B161" s="24"/>
      <c r="J161" s="53"/>
    </row>
    <row r="162">
      <c r="B162" s="24"/>
      <c r="J162" s="53"/>
    </row>
    <row r="163">
      <c r="B163" s="24"/>
      <c r="J163" s="53"/>
    </row>
    <row r="164">
      <c r="B164" s="24"/>
      <c r="J164" s="53"/>
    </row>
    <row r="165">
      <c r="B165" s="24"/>
      <c r="J165" s="53"/>
    </row>
    <row r="166">
      <c r="B166" s="24"/>
      <c r="J166" s="53"/>
    </row>
    <row r="167">
      <c r="B167" s="24"/>
      <c r="J167" s="53"/>
    </row>
    <row r="168">
      <c r="B168" s="24"/>
      <c r="J168" s="53"/>
    </row>
    <row r="169">
      <c r="B169" s="24"/>
      <c r="J169" s="53"/>
    </row>
    <row r="170">
      <c r="B170" s="24"/>
      <c r="J170" s="53"/>
    </row>
    <row r="171">
      <c r="B171" s="24"/>
      <c r="J171" s="53"/>
    </row>
    <row r="172">
      <c r="B172" s="24"/>
      <c r="J172" s="53"/>
    </row>
    <row r="173">
      <c r="B173" s="24"/>
      <c r="J173" s="53"/>
    </row>
    <row r="174">
      <c r="B174" s="24"/>
      <c r="J174" s="53"/>
    </row>
    <row r="175">
      <c r="B175" s="24"/>
      <c r="J175" s="53"/>
    </row>
    <row r="176">
      <c r="B176" s="24"/>
      <c r="J176" s="53"/>
    </row>
    <row r="177">
      <c r="B177" s="24"/>
      <c r="J177" s="53"/>
    </row>
    <row r="178">
      <c r="B178" s="24"/>
      <c r="J178" s="53"/>
    </row>
    <row r="179">
      <c r="B179" s="24"/>
      <c r="J179" s="53"/>
    </row>
    <row r="180">
      <c r="B180" s="24"/>
      <c r="J180" s="53"/>
    </row>
    <row r="181">
      <c r="B181" s="24"/>
      <c r="J181" s="53"/>
    </row>
    <row r="182">
      <c r="B182" s="24"/>
      <c r="J182" s="53"/>
    </row>
    <row r="183">
      <c r="B183" s="24"/>
      <c r="J183" s="53"/>
    </row>
    <row r="184">
      <c r="B184" s="24"/>
      <c r="J184" s="53"/>
    </row>
    <row r="185">
      <c r="B185" s="24"/>
      <c r="J185" s="53"/>
    </row>
    <row r="186">
      <c r="B186" s="24"/>
      <c r="J186" s="53"/>
    </row>
    <row r="187">
      <c r="B187" s="24"/>
      <c r="J187" s="53"/>
    </row>
    <row r="188">
      <c r="B188" s="24"/>
      <c r="J188" s="53"/>
    </row>
    <row r="189">
      <c r="B189" s="24"/>
      <c r="J189" s="53"/>
    </row>
    <row r="190">
      <c r="B190" s="24"/>
      <c r="J190" s="53"/>
    </row>
    <row r="191">
      <c r="B191" s="24"/>
      <c r="J191" s="53"/>
    </row>
    <row r="192">
      <c r="B192" s="24"/>
      <c r="J192" s="53"/>
    </row>
    <row r="193">
      <c r="B193" s="24"/>
      <c r="J193" s="53"/>
    </row>
    <row r="194">
      <c r="B194" s="24"/>
      <c r="J194" s="53"/>
    </row>
    <row r="195">
      <c r="B195" s="24"/>
      <c r="J195" s="53"/>
    </row>
    <row r="196">
      <c r="B196" s="24"/>
      <c r="J196" s="53"/>
    </row>
    <row r="197">
      <c r="B197" s="24"/>
      <c r="J197" s="53"/>
    </row>
    <row r="198">
      <c r="B198" s="24"/>
      <c r="J198" s="53"/>
    </row>
    <row r="199">
      <c r="B199" s="24"/>
      <c r="J199" s="53"/>
    </row>
    <row r="200">
      <c r="B200" s="24"/>
      <c r="J200" s="53"/>
    </row>
    <row r="201">
      <c r="B201" s="24"/>
      <c r="J201" s="53"/>
    </row>
    <row r="202">
      <c r="B202" s="24"/>
      <c r="J202" s="53"/>
    </row>
    <row r="203">
      <c r="B203" s="24"/>
      <c r="J203" s="53"/>
    </row>
    <row r="204">
      <c r="B204" s="24"/>
      <c r="J204" s="53"/>
    </row>
    <row r="205">
      <c r="B205" s="24"/>
      <c r="J205" s="53"/>
    </row>
    <row r="206">
      <c r="B206" s="24"/>
      <c r="J206" s="53"/>
    </row>
    <row r="207">
      <c r="B207" s="24"/>
      <c r="J207" s="53"/>
    </row>
    <row r="208">
      <c r="B208" s="24"/>
      <c r="J208" s="53"/>
    </row>
    <row r="209">
      <c r="B209" s="24"/>
      <c r="J209" s="53"/>
    </row>
    <row r="210">
      <c r="B210" s="24"/>
      <c r="J210" s="53"/>
    </row>
    <row r="211">
      <c r="B211" s="24"/>
      <c r="J211" s="53"/>
    </row>
    <row r="212">
      <c r="B212" s="24"/>
      <c r="J212" s="53"/>
    </row>
    <row r="213">
      <c r="B213" s="24"/>
      <c r="J213" s="53"/>
    </row>
    <row r="214">
      <c r="B214" s="24"/>
      <c r="J214" s="53"/>
    </row>
    <row r="215">
      <c r="B215" s="24"/>
      <c r="J215" s="53"/>
    </row>
    <row r="216">
      <c r="B216" s="24"/>
      <c r="J216" s="53"/>
    </row>
    <row r="217">
      <c r="B217" s="24"/>
      <c r="J217" s="53"/>
    </row>
    <row r="218">
      <c r="B218" s="24"/>
      <c r="J218" s="53"/>
    </row>
    <row r="219">
      <c r="B219" s="24"/>
      <c r="J219" s="53"/>
    </row>
    <row r="220">
      <c r="B220" s="24"/>
      <c r="J220" s="53"/>
    </row>
    <row r="221">
      <c r="B221" s="24"/>
      <c r="J221" s="53"/>
    </row>
    <row r="222">
      <c r="B222" s="24"/>
      <c r="J222" s="53"/>
    </row>
    <row r="223">
      <c r="B223" s="24"/>
      <c r="J223" s="53"/>
    </row>
    <row r="224">
      <c r="B224" s="24"/>
      <c r="J224" s="53"/>
    </row>
    <row r="225">
      <c r="B225" s="24"/>
      <c r="J225" s="53"/>
    </row>
    <row r="226">
      <c r="B226" s="24"/>
      <c r="J226" s="53"/>
    </row>
    <row r="227">
      <c r="B227" s="24"/>
      <c r="J227" s="53"/>
    </row>
    <row r="228">
      <c r="B228" s="24"/>
      <c r="J228" s="53"/>
    </row>
    <row r="229">
      <c r="B229" s="24"/>
      <c r="J229" s="53"/>
    </row>
    <row r="230">
      <c r="B230" s="24"/>
      <c r="J230" s="53"/>
    </row>
    <row r="231">
      <c r="B231" s="24"/>
      <c r="J231" s="53"/>
    </row>
    <row r="232">
      <c r="B232" s="24"/>
      <c r="J232" s="53"/>
    </row>
    <row r="233">
      <c r="B233" s="24"/>
      <c r="J233" s="53"/>
    </row>
    <row r="234">
      <c r="B234" s="24"/>
      <c r="J234" s="53"/>
    </row>
    <row r="235">
      <c r="B235" s="24"/>
      <c r="J235" s="53"/>
    </row>
    <row r="236">
      <c r="B236" s="24"/>
      <c r="J236" s="53"/>
    </row>
    <row r="237">
      <c r="B237" s="24"/>
      <c r="J237" s="53"/>
    </row>
    <row r="238">
      <c r="B238" s="24"/>
      <c r="J238" s="53"/>
    </row>
    <row r="239">
      <c r="B239" s="24"/>
      <c r="J239" s="53"/>
    </row>
    <row r="240">
      <c r="B240" s="24"/>
      <c r="J240" s="53"/>
    </row>
    <row r="241">
      <c r="B241" s="24"/>
      <c r="J241" s="53"/>
    </row>
    <row r="242">
      <c r="B242" s="24"/>
      <c r="J242" s="53"/>
    </row>
    <row r="243">
      <c r="B243" s="24"/>
      <c r="J243" s="53"/>
    </row>
    <row r="244">
      <c r="B244" s="24"/>
      <c r="J244" s="53"/>
    </row>
    <row r="245">
      <c r="B245" s="24"/>
      <c r="J245" s="53"/>
    </row>
    <row r="246">
      <c r="B246" s="24"/>
      <c r="J246" s="53"/>
    </row>
    <row r="247">
      <c r="B247" s="24"/>
      <c r="J247" s="53"/>
    </row>
    <row r="248">
      <c r="B248" s="24"/>
      <c r="J248" s="53"/>
    </row>
    <row r="249">
      <c r="B249" s="24"/>
      <c r="J249" s="53"/>
    </row>
    <row r="250">
      <c r="B250" s="24"/>
      <c r="J250" s="53"/>
    </row>
    <row r="251">
      <c r="B251" s="24"/>
      <c r="J251" s="53"/>
    </row>
    <row r="252">
      <c r="B252" s="24"/>
      <c r="J252" s="53"/>
    </row>
    <row r="253">
      <c r="B253" s="24"/>
      <c r="J253" s="53"/>
    </row>
    <row r="254">
      <c r="B254" s="24"/>
      <c r="J254" s="53"/>
    </row>
    <row r="255">
      <c r="B255" s="24"/>
      <c r="J255" s="53"/>
    </row>
    <row r="256">
      <c r="B256" s="24"/>
      <c r="J256" s="53"/>
    </row>
    <row r="257">
      <c r="B257" s="24"/>
      <c r="J257" s="53"/>
    </row>
    <row r="258">
      <c r="B258" s="24"/>
      <c r="J258" s="53"/>
    </row>
    <row r="259">
      <c r="B259" s="24"/>
      <c r="J259" s="53"/>
    </row>
    <row r="260">
      <c r="B260" s="24"/>
      <c r="J260" s="53"/>
    </row>
    <row r="261">
      <c r="B261" s="24"/>
      <c r="J261" s="53"/>
    </row>
    <row r="262">
      <c r="B262" s="24"/>
      <c r="J262" s="53"/>
    </row>
    <row r="263">
      <c r="B263" s="24"/>
      <c r="J263" s="53"/>
    </row>
    <row r="264">
      <c r="B264" s="24"/>
      <c r="J264" s="53"/>
    </row>
    <row r="265">
      <c r="B265" s="24"/>
      <c r="J265" s="53"/>
    </row>
    <row r="266">
      <c r="B266" s="24"/>
      <c r="J266" s="53"/>
    </row>
    <row r="267">
      <c r="B267" s="24"/>
      <c r="J267" s="53"/>
    </row>
    <row r="268">
      <c r="B268" s="24"/>
      <c r="J268" s="53"/>
    </row>
    <row r="269">
      <c r="B269" s="24"/>
      <c r="J269" s="53"/>
    </row>
    <row r="270">
      <c r="B270" s="24"/>
      <c r="J270" s="53"/>
    </row>
    <row r="271">
      <c r="B271" s="24"/>
      <c r="J271" s="53"/>
    </row>
    <row r="272">
      <c r="B272" s="24"/>
      <c r="J272" s="53"/>
    </row>
    <row r="273">
      <c r="B273" s="24"/>
      <c r="J273" s="53"/>
    </row>
    <row r="274">
      <c r="B274" s="24"/>
      <c r="J274" s="53"/>
    </row>
    <row r="275">
      <c r="B275" s="24"/>
      <c r="J275" s="53"/>
    </row>
    <row r="276">
      <c r="B276" s="24"/>
      <c r="J276" s="53"/>
    </row>
    <row r="277">
      <c r="B277" s="24"/>
      <c r="J277" s="53"/>
    </row>
    <row r="278">
      <c r="B278" s="24"/>
      <c r="J278" s="53"/>
    </row>
    <row r="279">
      <c r="B279" s="24"/>
      <c r="J279" s="53"/>
    </row>
    <row r="280">
      <c r="B280" s="24"/>
      <c r="J280" s="53"/>
    </row>
    <row r="281">
      <c r="B281" s="24"/>
      <c r="J281" s="53"/>
    </row>
    <row r="282">
      <c r="B282" s="24"/>
      <c r="J282" s="53"/>
    </row>
    <row r="283">
      <c r="B283" s="24"/>
      <c r="J283" s="53"/>
    </row>
    <row r="284">
      <c r="B284" s="24"/>
      <c r="J284" s="53"/>
    </row>
    <row r="285">
      <c r="B285" s="24"/>
      <c r="J285" s="53"/>
    </row>
    <row r="286">
      <c r="B286" s="24"/>
      <c r="J286" s="53"/>
    </row>
    <row r="287">
      <c r="B287" s="24"/>
      <c r="J287" s="53"/>
    </row>
    <row r="288">
      <c r="B288" s="24"/>
      <c r="J288" s="53"/>
    </row>
    <row r="289">
      <c r="B289" s="24"/>
      <c r="J289" s="53"/>
    </row>
    <row r="290">
      <c r="B290" s="24"/>
      <c r="J290" s="53"/>
    </row>
    <row r="291">
      <c r="B291" s="24"/>
      <c r="J291" s="53"/>
    </row>
    <row r="292">
      <c r="B292" s="24"/>
      <c r="J292" s="53"/>
    </row>
    <row r="293">
      <c r="B293" s="24"/>
      <c r="J293" s="53"/>
    </row>
    <row r="294">
      <c r="B294" s="24"/>
      <c r="J294" s="53"/>
    </row>
    <row r="295">
      <c r="B295" s="24"/>
      <c r="J295" s="53"/>
    </row>
    <row r="296">
      <c r="B296" s="24"/>
      <c r="J296" s="53"/>
    </row>
    <row r="297">
      <c r="B297" s="24"/>
      <c r="J297" s="53"/>
    </row>
    <row r="298">
      <c r="B298" s="24"/>
      <c r="J298" s="53"/>
    </row>
    <row r="299">
      <c r="B299" s="24"/>
      <c r="J299" s="53"/>
    </row>
    <row r="300">
      <c r="B300" s="24"/>
      <c r="J300" s="53"/>
    </row>
    <row r="301">
      <c r="B301" s="24"/>
      <c r="J301" s="53"/>
    </row>
    <row r="302">
      <c r="B302" s="24"/>
      <c r="J302" s="53"/>
    </row>
    <row r="303">
      <c r="B303" s="24"/>
      <c r="J303" s="53"/>
    </row>
    <row r="304">
      <c r="B304" s="24"/>
      <c r="J304" s="53"/>
    </row>
    <row r="305">
      <c r="B305" s="24"/>
      <c r="J305" s="53"/>
    </row>
    <row r="306">
      <c r="B306" s="24"/>
      <c r="J306" s="53"/>
    </row>
    <row r="307">
      <c r="B307" s="24"/>
      <c r="J307" s="53"/>
    </row>
    <row r="308">
      <c r="B308" s="24"/>
      <c r="J308" s="53"/>
    </row>
    <row r="309">
      <c r="B309" s="24"/>
      <c r="J309" s="53"/>
    </row>
    <row r="310">
      <c r="B310" s="24"/>
      <c r="J310" s="53"/>
    </row>
    <row r="311">
      <c r="B311" s="24"/>
      <c r="J311" s="53"/>
    </row>
    <row r="312">
      <c r="B312" s="24"/>
      <c r="J312" s="53"/>
    </row>
    <row r="313">
      <c r="B313" s="24"/>
      <c r="J313" s="53"/>
    </row>
    <row r="314">
      <c r="B314" s="24"/>
      <c r="J314" s="53"/>
    </row>
    <row r="315">
      <c r="B315" s="24"/>
      <c r="J315" s="53"/>
    </row>
    <row r="316">
      <c r="B316" s="24"/>
      <c r="J316" s="53"/>
    </row>
    <row r="317">
      <c r="B317" s="24"/>
      <c r="J317" s="53"/>
    </row>
    <row r="318">
      <c r="B318" s="24"/>
      <c r="J318" s="53"/>
    </row>
    <row r="319">
      <c r="B319" s="24"/>
      <c r="J319" s="53"/>
    </row>
    <row r="320">
      <c r="B320" s="24"/>
      <c r="J320" s="53"/>
    </row>
    <row r="321">
      <c r="B321" s="24"/>
      <c r="J321" s="53"/>
    </row>
    <row r="322">
      <c r="B322" s="24"/>
      <c r="J322" s="53"/>
    </row>
    <row r="323">
      <c r="B323" s="24"/>
      <c r="J323" s="53"/>
    </row>
    <row r="324">
      <c r="B324" s="24"/>
      <c r="J324" s="53"/>
    </row>
    <row r="325">
      <c r="B325" s="24"/>
      <c r="J325" s="53"/>
    </row>
    <row r="326">
      <c r="B326" s="24"/>
      <c r="J326" s="53"/>
    </row>
    <row r="327">
      <c r="B327" s="24"/>
      <c r="J327" s="53"/>
    </row>
    <row r="328">
      <c r="B328" s="24"/>
      <c r="J328" s="53"/>
    </row>
    <row r="329">
      <c r="B329" s="24"/>
      <c r="J329" s="53"/>
    </row>
    <row r="330">
      <c r="B330" s="24"/>
      <c r="J330" s="53"/>
    </row>
    <row r="331">
      <c r="B331" s="24"/>
      <c r="J331" s="53"/>
    </row>
    <row r="332">
      <c r="B332" s="24"/>
      <c r="J332" s="53"/>
    </row>
    <row r="333">
      <c r="B333" s="24"/>
      <c r="J333" s="53"/>
    </row>
    <row r="334">
      <c r="B334" s="24"/>
      <c r="J334" s="53"/>
    </row>
    <row r="335">
      <c r="B335" s="24"/>
      <c r="J335" s="53"/>
    </row>
    <row r="336">
      <c r="B336" s="24"/>
      <c r="J336" s="53"/>
    </row>
    <row r="337">
      <c r="B337" s="24"/>
      <c r="J337" s="53"/>
    </row>
    <row r="338">
      <c r="B338" s="24"/>
      <c r="J338" s="53"/>
    </row>
    <row r="339">
      <c r="B339" s="24"/>
      <c r="J339" s="53"/>
    </row>
    <row r="340">
      <c r="B340" s="24"/>
      <c r="J340" s="53"/>
    </row>
    <row r="341">
      <c r="B341" s="24"/>
      <c r="J341" s="53"/>
    </row>
    <row r="342">
      <c r="B342" s="24"/>
      <c r="J342" s="53"/>
    </row>
    <row r="343">
      <c r="B343" s="24"/>
      <c r="J343" s="53"/>
    </row>
    <row r="344">
      <c r="B344" s="24"/>
      <c r="J344" s="53"/>
    </row>
    <row r="345">
      <c r="B345" s="24"/>
      <c r="J345" s="53"/>
    </row>
    <row r="346">
      <c r="B346" s="24"/>
      <c r="J346" s="53"/>
    </row>
    <row r="347">
      <c r="B347" s="24"/>
      <c r="J347" s="53"/>
    </row>
    <row r="348">
      <c r="B348" s="24"/>
      <c r="J348" s="53"/>
    </row>
    <row r="349">
      <c r="B349" s="24"/>
      <c r="J349" s="53"/>
    </row>
    <row r="350">
      <c r="B350" s="24"/>
      <c r="J350" s="53"/>
    </row>
    <row r="351">
      <c r="B351" s="24"/>
      <c r="J351" s="53"/>
    </row>
    <row r="352">
      <c r="B352" s="24"/>
      <c r="J352" s="53"/>
    </row>
    <row r="353">
      <c r="B353" s="24"/>
      <c r="J353" s="53"/>
    </row>
    <row r="354">
      <c r="B354" s="24"/>
      <c r="J354" s="53"/>
    </row>
    <row r="355">
      <c r="B355" s="24"/>
      <c r="J355" s="53"/>
    </row>
    <row r="356">
      <c r="B356" s="24"/>
      <c r="J356" s="53"/>
    </row>
    <row r="357">
      <c r="B357" s="24"/>
      <c r="J357" s="53"/>
    </row>
    <row r="358">
      <c r="B358" s="24"/>
      <c r="J358" s="53"/>
    </row>
    <row r="359">
      <c r="B359" s="24"/>
      <c r="J359" s="53"/>
    </row>
    <row r="360">
      <c r="B360" s="24"/>
      <c r="J360" s="53"/>
    </row>
    <row r="361">
      <c r="B361" s="24"/>
      <c r="J361" s="53"/>
    </row>
    <row r="362">
      <c r="B362" s="24"/>
      <c r="J362" s="53"/>
    </row>
    <row r="363">
      <c r="B363" s="24"/>
      <c r="J363" s="53"/>
    </row>
    <row r="364">
      <c r="B364" s="24"/>
      <c r="J364" s="53"/>
    </row>
    <row r="365">
      <c r="B365" s="24"/>
      <c r="J365" s="53"/>
    </row>
    <row r="366">
      <c r="B366" s="24"/>
      <c r="J366" s="53"/>
    </row>
    <row r="367">
      <c r="B367" s="24"/>
      <c r="J367" s="53"/>
    </row>
    <row r="368">
      <c r="B368" s="24"/>
      <c r="J368" s="53"/>
    </row>
    <row r="369">
      <c r="B369" s="24"/>
      <c r="J369" s="53"/>
    </row>
    <row r="370">
      <c r="B370" s="24"/>
      <c r="J370" s="53"/>
    </row>
    <row r="371">
      <c r="B371" s="24"/>
      <c r="J371" s="53"/>
    </row>
    <row r="372">
      <c r="B372" s="24"/>
      <c r="J372" s="53"/>
    </row>
    <row r="373">
      <c r="B373" s="24"/>
      <c r="J373" s="53"/>
    </row>
    <row r="374">
      <c r="B374" s="24"/>
      <c r="J374" s="53"/>
    </row>
    <row r="375">
      <c r="B375" s="24"/>
      <c r="J375" s="53"/>
    </row>
    <row r="376">
      <c r="B376" s="24"/>
      <c r="J376" s="53"/>
    </row>
    <row r="377">
      <c r="B377" s="24"/>
      <c r="J377" s="53"/>
    </row>
    <row r="378">
      <c r="B378" s="24"/>
      <c r="J378" s="53"/>
    </row>
    <row r="379">
      <c r="B379" s="24"/>
      <c r="J379" s="53"/>
    </row>
    <row r="380">
      <c r="B380" s="24"/>
      <c r="J380" s="53"/>
    </row>
    <row r="381">
      <c r="B381" s="24"/>
      <c r="J381" s="53"/>
    </row>
    <row r="382">
      <c r="B382" s="24"/>
      <c r="J382" s="53"/>
    </row>
    <row r="383">
      <c r="B383" s="24"/>
      <c r="J383" s="53"/>
    </row>
    <row r="384">
      <c r="B384" s="24"/>
      <c r="J384" s="53"/>
    </row>
    <row r="385">
      <c r="B385" s="24"/>
      <c r="J385" s="53"/>
    </row>
    <row r="386">
      <c r="B386" s="24"/>
      <c r="J386" s="53"/>
    </row>
    <row r="387">
      <c r="B387" s="24"/>
      <c r="J387" s="53"/>
    </row>
    <row r="388">
      <c r="B388" s="24"/>
      <c r="J388" s="53"/>
    </row>
    <row r="389">
      <c r="B389" s="24"/>
      <c r="J389" s="53"/>
    </row>
    <row r="390">
      <c r="B390" s="24"/>
      <c r="J390" s="53"/>
    </row>
    <row r="391">
      <c r="B391" s="24"/>
      <c r="J391" s="53"/>
    </row>
    <row r="392">
      <c r="B392" s="24"/>
      <c r="J392" s="53"/>
    </row>
    <row r="393">
      <c r="B393" s="24"/>
      <c r="J393" s="53"/>
    </row>
    <row r="394">
      <c r="B394" s="24"/>
      <c r="J394" s="53"/>
    </row>
    <row r="395">
      <c r="B395" s="24"/>
      <c r="J395" s="53"/>
    </row>
    <row r="396">
      <c r="B396" s="24"/>
      <c r="J396" s="53"/>
    </row>
    <row r="397">
      <c r="B397" s="24"/>
      <c r="J397" s="53"/>
    </row>
    <row r="398">
      <c r="B398" s="24"/>
      <c r="J398" s="53"/>
    </row>
    <row r="399">
      <c r="B399" s="24"/>
      <c r="J399" s="53"/>
    </row>
    <row r="400">
      <c r="B400" s="24"/>
      <c r="J400" s="53"/>
    </row>
    <row r="401">
      <c r="B401" s="24"/>
      <c r="J401" s="53"/>
    </row>
    <row r="402">
      <c r="B402" s="24"/>
      <c r="J402" s="53"/>
    </row>
    <row r="403">
      <c r="B403" s="24"/>
      <c r="J403" s="53"/>
    </row>
    <row r="404">
      <c r="B404" s="24"/>
      <c r="J404" s="53"/>
    </row>
    <row r="405">
      <c r="B405" s="24"/>
      <c r="J405" s="53"/>
    </row>
    <row r="406">
      <c r="B406" s="24"/>
      <c r="J406" s="53"/>
    </row>
    <row r="407">
      <c r="B407" s="24"/>
      <c r="J407" s="53"/>
    </row>
    <row r="408">
      <c r="B408" s="24"/>
      <c r="J408" s="53"/>
    </row>
    <row r="409">
      <c r="B409" s="24"/>
      <c r="J409" s="53"/>
    </row>
    <row r="410">
      <c r="B410" s="24"/>
      <c r="J410" s="53"/>
    </row>
    <row r="411">
      <c r="B411" s="24"/>
      <c r="J411" s="53"/>
    </row>
    <row r="412">
      <c r="B412" s="24"/>
      <c r="J412" s="53"/>
    </row>
    <row r="413">
      <c r="B413" s="24"/>
      <c r="J413" s="53"/>
    </row>
    <row r="414">
      <c r="B414" s="24"/>
      <c r="J414" s="53"/>
    </row>
    <row r="415">
      <c r="B415" s="24"/>
      <c r="J415" s="53"/>
    </row>
    <row r="416">
      <c r="B416" s="24"/>
      <c r="J416" s="53"/>
    </row>
    <row r="417">
      <c r="B417" s="24"/>
      <c r="J417" s="53"/>
    </row>
    <row r="418">
      <c r="B418" s="24"/>
      <c r="J418" s="53"/>
    </row>
    <row r="419">
      <c r="B419" s="24"/>
      <c r="J419" s="53"/>
    </row>
    <row r="420">
      <c r="B420" s="24"/>
      <c r="J420" s="53"/>
    </row>
    <row r="421">
      <c r="B421" s="24"/>
      <c r="J421" s="53"/>
    </row>
    <row r="422">
      <c r="B422" s="24"/>
      <c r="J422" s="53"/>
    </row>
    <row r="423">
      <c r="B423" s="24"/>
      <c r="J423" s="53"/>
    </row>
    <row r="424">
      <c r="B424" s="24"/>
      <c r="J424" s="53"/>
    </row>
    <row r="425">
      <c r="B425" s="24"/>
      <c r="J425" s="53"/>
    </row>
    <row r="426">
      <c r="B426" s="24"/>
      <c r="J426" s="53"/>
    </row>
    <row r="427">
      <c r="B427" s="24"/>
      <c r="J427" s="53"/>
    </row>
    <row r="428">
      <c r="B428" s="24"/>
      <c r="J428" s="53"/>
    </row>
    <row r="429">
      <c r="B429" s="24"/>
      <c r="J429" s="53"/>
    </row>
    <row r="430">
      <c r="B430" s="24"/>
      <c r="J430" s="53"/>
    </row>
    <row r="431">
      <c r="B431" s="24"/>
      <c r="J431" s="53"/>
    </row>
    <row r="432">
      <c r="B432" s="24"/>
      <c r="J432" s="53"/>
    </row>
    <row r="433">
      <c r="B433" s="24"/>
      <c r="J433" s="53"/>
    </row>
    <row r="434">
      <c r="B434" s="24"/>
      <c r="J434" s="53"/>
    </row>
    <row r="435">
      <c r="B435" s="24"/>
      <c r="J435" s="53"/>
    </row>
    <row r="436">
      <c r="B436" s="24"/>
      <c r="J436" s="53"/>
    </row>
    <row r="437">
      <c r="B437" s="24"/>
      <c r="J437" s="53"/>
    </row>
    <row r="438">
      <c r="B438" s="24"/>
      <c r="J438" s="53"/>
    </row>
    <row r="439">
      <c r="B439" s="24"/>
      <c r="J439" s="53"/>
    </row>
    <row r="440">
      <c r="B440" s="24"/>
      <c r="J440" s="53"/>
    </row>
    <row r="441">
      <c r="B441" s="24"/>
      <c r="J441" s="53"/>
    </row>
    <row r="442">
      <c r="B442" s="24"/>
      <c r="J442" s="53"/>
    </row>
    <row r="443">
      <c r="B443" s="24"/>
      <c r="J443" s="53"/>
    </row>
    <row r="444">
      <c r="B444" s="24"/>
      <c r="J444" s="53"/>
    </row>
    <row r="445">
      <c r="B445" s="24"/>
      <c r="J445" s="53"/>
    </row>
    <row r="446">
      <c r="B446" s="24"/>
      <c r="J446" s="53"/>
    </row>
    <row r="447">
      <c r="B447" s="24"/>
      <c r="J447" s="53"/>
    </row>
    <row r="448">
      <c r="B448" s="24"/>
      <c r="J448" s="53"/>
    </row>
    <row r="449">
      <c r="B449" s="24"/>
      <c r="J449" s="53"/>
    </row>
    <row r="450">
      <c r="B450" s="24"/>
      <c r="J450" s="53"/>
    </row>
    <row r="451">
      <c r="B451" s="24"/>
      <c r="J451" s="53"/>
    </row>
    <row r="452">
      <c r="B452" s="24"/>
      <c r="J452" s="53"/>
    </row>
    <row r="453">
      <c r="B453" s="24"/>
      <c r="J453" s="53"/>
    </row>
    <row r="454">
      <c r="B454" s="24"/>
      <c r="J454" s="53"/>
    </row>
    <row r="455">
      <c r="B455" s="24"/>
      <c r="J455" s="53"/>
    </row>
    <row r="456">
      <c r="B456" s="24"/>
      <c r="J456" s="53"/>
    </row>
    <row r="457">
      <c r="B457" s="24"/>
      <c r="J457" s="53"/>
    </row>
    <row r="458">
      <c r="B458" s="24"/>
      <c r="J458" s="53"/>
    </row>
    <row r="459">
      <c r="B459" s="24"/>
      <c r="J459" s="53"/>
    </row>
    <row r="460">
      <c r="B460" s="24"/>
      <c r="J460" s="53"/>
    </row>
    <row r="461">
      <c r="B461" s="24"/>
      <c r="J461" s="53"/>
    </row>
    <row r="462">
      <c r="B462" s="24"/>
      <c r="J462" s="53"/>
    </row>
    <row r="463">
      <c r="B463" s="24"/>
      <c r="J463" s="53"/>
    </row>
    <row r="464">
      <c r="B464" s="24"/>
      <c r="J464" s="53"/>
    </row>
    <row r="465">
      <c r="B465" s="24"/>
      <c r="J465" s="53"/>
    </row>
    <row r="466">
      <c r="B466" s="24"/>
      <c r="J466" s="53"/>
    </row>
    <row r="467">
      <c r="B467" s="24"/>
      <c r="J467" s="53"/>
    </row>
    <row r="468">
      <c r="B468" s="24"/>
      <c r="J468" s="53"/>
    </row>
    <row r="469">
      <c r="B469" s="24"/>
      <c r="J469" s="53"/>
    </row>
    <row r="470">
      <c r="B470" s="24"/>
      <c r="J470" s="53"/>
    </row>
    <row r="471">
      <c r="B471" s="24"/>
      <c r="J471" s="53"/>
    </row>
    <row r="472">
      <c r="B472" s="24"/>
      <c r="J472" s="53"/>
    </row>
    <row r="473">
      <c r="B473" s="24"/>
      <c r="J473" s="53"/>
    </row>
    <row r="474">
      <c r="B474" s="24"/>
      <c r="J474" s="53"/>
    </row>
    <row r="475">
      <c r="B475" s="24"/>
      <c r="J475" s="53"/>
    </row>
    <row r="476">
      <c r="B476" s="24"/>
      <c r="J476" s="53"/>
    </row>
    <row r="477">
      <c r="B477" s="24"/>
      <c r="J477" s="53"/>
    </row>
    <row r="478">
      <c r="B478" s="24"/>
      <c r="J478" s="53"/>
    </row>
    <row r="479">
      <c r="B479" s="24"/>
      <c r="J479" s="53"/>
    </row>
    <row r="480">
      <c r="B480" s="24"/>
      <c r="J480" s="53"/>
    </row>
    <row r="481">
      <c r="B481" s="24"/>
      <c r="J481" s="53"/>
    </row>
    <row r="482">
      <c r="B482" s="24"/>
      <c r="J482" s="53"/>
    </row>
    <row r="483">
      <c r="B483" s="24"/>
      <c r="J483" s="53"/>
    </row>
    <row r="484">
      <c r="B484" s="24"/>
      <c r="J484" s="53"/>
    </row>
    <row r="485">
      <c r="B485" s="24"/>
      <c r="J485" s="53"/>
    </row>
    <row r="486">
      <c r="B486" s="24"/>
      <c r="J486" s="53"/>
    </row>
    <row r="487">
      <c r="B487" s="24"/>
      <c r="J487" s="53"/>
    </row>
    <row r="488">
      <c r="B488" s="24"/>
      <c r="J488" s="53"/>
    </row>
    <row r="489">
      <c r="B489" s="24"/>
      <c r="J489" s="53"/>
    </row>
    <row r="490">
      <c r="B490" s="24"/>
      <c r="J490" s="53"/>
    </row>
    <row r="491">
      <c r="B491" s="24"/>
      <c r="J491" s="53"/>
    </row>
    <row r="492">
      <c r="B492" s="24"/>
      <c r="J492" s="53"/>
    </row>
    <row r="493">
      <c r="B493" s="24"/>
      <c r="J493" s="53"/>
    </row>
    <row r="494">
      <c r="B494" s="24"/>
      <c r="J494" s="53"/>
    </row>
    <row r="495">
      <c r="B495" s="24"/>
      <c r="J495" s="53"/>
    </row>
    <row r="496">
      <c r="B496" s="24"/>
      <c r="J496" s="53"/>
    </row>
    <row r="497">
      <c r="B497" s="24"/>
      <c r="J497" s="53"/>
    </row>
    <row r="498">
      <c r="B498" s="24"/>
      <c r="J498" s="53"/>
    </row>
    <row r="499">
      <c r="B499" s="24"/>
      <c r="J499" s="53"/>
    </row>
    <row r="500">
      <c r="B500" s="24"/>
      <c r="J500" s="53"/>
    </row>
    <row r="501">
      <c r="B501" s="24"/>
      <c r="J501" s="53"/>
    </row>
    <row r="502">
      <c r="B502" s="24"/>
      <c r="J502" s="53"/>
    </row>
    <row r="503">
      <c r="B503" s="24"/>
      <c r="J503" s="53"/>
    </row>
    <row r="504">
      <c r="B504" s="24"/>
      <c r="J504" s="53"/>
    </row>
    <row r="505">
      <c r="B505" s="24"/>
      <c r="J505" s="53"/>
    </row>
    <row r="506">
      <c r="B506" s="24"/>
      <c r="J506" s="53"/>
    </row>
    <row r="507">
      <c r="B507" s="24"/>
      <c r="J507" s="53"/>
    </row>
    <row r="508">
      <c r="B508" s="24"/>
      <c r="J508" s="53"/>
    </row>
    <row r="509">
      <c r="B509" s="24"/>
      <c r="J509" s="53"/>
    </row>
    <row r="510">
      <c r="B510" s="24"/>
      <c r="J510" s="53"/>
    </row>
    <row r="511">
      <c r="B511" s="24"/>
      <c r="J511" s="53"/>
    </row>
    <row r="512">
      <c r="B512" s="24"/>
      <c r="J512" s="53"/>
    </row>
    <row r="513">
      <c r="B513" s="24"/>
      <c r="J513" s="53"/>
    </row>
    <row r="514">
      <c r="B514" s="24"/>
      <c r="J514" s="53"/>
    </row>
    <row r="515">
      <c r="B515" s="24"/>
      <c r="J515" s="53"/>
    </row>
    <row r="516">
      <c r="B516" s="24"/>
      <c r="J516" s="53"/>
    </row>
    <row r="517">
      <c r="B517" s="24"/>
      <c r="J517" s="53"/>
    </row>
    <row r="518">
      <c r="B518" s="24"/>
      <c r="J518" s="53"/>
    </row>
    <row r="519">
      <c r="B519" s="24"/>
      <c r="J519" s="53"/>
    </row>
    <row r="520">
      <c r="B520" s="24"/>
      <c r="J520" s="53"/>
    </row>
    <row r="521">
      <c r="B521" s="24"/>
      <c r="J521" s="53"/>
    </row>
    <row r="522">
      <c r="B522" s="24"/>
      <c r="J522" s="53"/>
    </row>
    <row r="523">
      <c r="B523" s="24"/>
      <c r="J523" s="53"/>
    </row>
    <row r="524">
      <c r="B524" s="24"/>
      <c r="J524" s="53"/>
    </row>
    <row r="525">
      <c r="B525" s="24"/>
      <c r="J525" s="53"/>
    </row>
    <row r="526">
      <c r="B526" s="24"/>
      <c r="J526" s="53"/>
    </row>
    <row r="527">
      <c r="B527" s="24"/>
      <c r="J527" s="53"/>
    </row>
    <row r="528">
      <c r="B528" s="24"/>
      <c r="J528" s="53"/>
    </row>
    <row r="529">
      <c r="B529" s="24"/>
      <c r="J529" s="53"/>
    </row>
    <row r="530">
      <c r="B530" s="24"/>
      <c r="J530" s="53"/>
    </row>
    <row r="531">
      <c r="B531" s="24"/>
      <c r="J531" s="53"/>
    </row>
    <row r="532">
      <c r="B532" s="24"/>
      <c r="J532" s="53"/>
    </row>
    <row r="533">
      <c r="B533" s="24"/>
      <c r="J533" s="53"/>
    </row>
    <row r="534">
      <c r="B534" s="24"/>
      <c r="J534" s="53"/>
    </row>
    <row r="535">
      <c r="B535" s="24"/>
      <c r="J535" s="53"/>
    </row>
    <row r="536">
      <c r="B536" s="24"/>
      <c r="J536" s="53"/>
    </row>
    <row r="537">
      <c r="B537" s="24"/>
      <c r="J537" s="53"/>
    </row>
    <row r="538">
      <c r="B538" s="24"/>
      <c r="J538" s="53"/>
    </row>
    <row r="539">
      <c r="B539" s="24"/>
      <c r="J539" s="53"/>
    </row>
    <row r="540">
      <c r="B540" s="24"/>
      <c r="J540" s="53"/>
    </row>
    <row r="541">
      <c r="B541" s="24"/>
      <c r="J541" s="53"/>
    </row>
    <row r="542">
      <c r="B542" s="24"/>
      <c r="J542" s="53"/>
    </row>
    <row r="543">
      <c r="B543" s="24"/>
      <c r="J543" s="53"/>
    </row>
    <row r="544">
      <c r="B544" s="24"/>
      <c r="J544" s="53"/>
    </row>
    <row r="545">
      <c r="B545" s="24"/>
      <c r="J545" s="53"/>
    </row>
    <row r="546">
      <c r="B546" s="24"/>
      <c r="J546" s="53"/>
    </row>
    <row r="547">
      <c r="B547" s="24"/>
      <c r="J547" s="53"/>
    </row>
    <row r="548">
      <c r="B548" s="24"/>
      <c r="J548" s="53"/>
    </row>
    <row r="549">
      <c r="B549" s="24"/>
      <c r="J549" s="53"/>
    </row>
    <row r="550">
      <c r="B550" s="24"/>
      <c r="J550" s="53"/>
    </row>
    <row r="551">
      <c r="B551" s="24"/>
      <c r="J551" s="53"/>
    </row>
    <row r="552">
      <c r="B552" s="24"/>
      <c r="J552" s="53"/>
    </row>
    <row r="553">
      <c r="B553" s="24"/>
      <c r="J553" s="53"/>
    </row>
    <row r="554">
      <c r="B554" s="24"/>
      <c r="J554" s="53"/>
    </row>
    <row r="555">
      <c r="B555" s="24"/>
      <c r="J555" s="53"/>
    </row>
    <row r="556">
      <c r="B556" s="24"/>
      <c r="J556" s="53"/>
    </row>
    <row r="557">
      <c r="B557" s="24"/>
      <c r="J557" s="53"/>
    </row>
    <row r="558">
      <c r="B558" s="24"/>
      <c r="J558" s="53"/>
    </row>
    <row r="559">
      <c r="B559" s="24"/>
      <c r="J559" s="53"/>
    </row>
    <row r="560">
      <c r="B560" s="24"/>
      <c r="J560" s="53"/>
    </row>
    <row r="561">
      <c r="B561" s="24"/>
      <c r="J561" s="53"/>
    </row>
    <row r="562">
      <c r="B562" s="24"/>
      <c r="J562" s="53"/>
    </row>
    <row r="563">
      <c r="B563" s="24"/>
      <c r="J563" s="53"/>
    </row>
    <row r="564">
      <c r="B564" s="24"/>
      <c r="J564" s="53"/>
    </row>
    <row r="565">
      <c r="B565" s="24"/>
      <c r="J565" s="53"/>
    </row>
    <row r="566">
      <c r="B566" s="24"/>
      <c r="J566" s="53"/>
    </row>
    <row r="567">
      <c r="B567" s="24"/>
      <c r="J567" s="53"/>
    </row>
    <row r="568">
      <c r="B568" s="24"/>
      <c r="J568" s="53"/>
    </row>
    <row r="569">
      <c r="B569" s="24"/>
      <c r="J569" s="53"/>
    </row>
    <row r="570">
      <c r="B570" s="24"/>
      <c r="J570" s="53"/>
    </row>
    <row r="571">
      <c r="B571" s="24"/>
      <c r="J571" s="53"/>
    </row>
    <row r="572">
      <c r="B572" s="24"/>
      <c r="J572" s="53"/>
    </row>
    <row r="573">
      <c r="B573" s="24"/>
      <c r="J573" s="53"/>
    </row>
    <row r="574">
      <c r="B574" s="24"/>
      <c r="J574" s="53"/>
    </row>
    <row r="575">
      <c r="B575" s="24"/>
      <c r="J575" s="53"/>
    </row>
    <row r="576">
      <c r="B576" s="24"/>
      <c r="J576" s="53"/>
    </row>
    <row r="577">
      <c r="B577" s="24"/>
      <c r="J577" s="53"/>
    </row>
    <row r="578">
      <c r="B578" s="24"/>
      <c r="J578" s="53"/>
    </row>
    <row r="579">
      <c r="B579" s="24"/>
      <c r="J579" s="53"/>
    </row>
    <row r="580">
      <c r="B580" s="24"/>
      <c r="J580" s="53"/>
    </row>
    <row r="581">
      <c r="B581" s="24"/>
      <c r="J581" s="53"/>
    </row>
    <row r="582">
      <c r="B582" s="24"/>
      <c r="J582" s="53"/>
    </row>
    <row r="583">
      <c r="B583" s="24"/>
      <c r="J583" s="53"/>
    </row>
    <row r="584">
      <c r="B584" s="24"/>
      <c r="J584" s="53"/>
    </row>
    <row r="585">
      <c r="B585" s="24"/>
      <c r="J585" s="53"/>
    </row>
    <row r="586">
      <c r="B586" s="24"/>
      <c r="J586" s="53"/>
    </row>
    <row r="587">
      <c r="B587" s="24"/>
      <c r="J587" s="53"/>
    </row>
    <row r="588">
      <c r="B588" s="24"/>
      <c r="J588" s="53"/>
    </row>
    <row r="589">
      <c r="B589" s="24"/>
      <c r="J589" s="53"/>
    </row>
    <row r="590">
      <c r="B590" s="24"/>
      <c r="J590" s="53"/>
    </row>
    <row r="591">
      <c r="B591" s="24"/>
      <c r="J591" s="53"/>
    </row>
    <row r="592">
      <c r="B592" s="24"/>
      <c r="J592" s="53"/>
    </row>
    <row r="593">
      <c r="B593" s="24"/>
      <c r="J593" s="53"/>
    </row>
    <row r="594">
      <c r="B594" s="24"/>
      <c r="J594" s="53"/>
    </row>
    <row r="595">
      <c r="B595" s="24"/>
      <c r="J595" s="53"/>
    </row>
    <row r="596">
      <c r="B596" s="24"/>
      <c r="J596" s="53"/>
    </row>
    <row r="597">
      <c r="B597" s="24"/>
      <c r="J597" s="53"/>
    </row>
    <row r="598">
      <c r="B598" s="24"/>
      <c r="J598" s="53"/>
    </row>
    <row r="599">
      <c r="B599" s="24"/>
      <c r="J599" s="53"/>
    </row>
    <row r="600">
      <c r="B600" s="24"/>
      <c r="J600" s="53"/>
    </row>
    <row r="601">
      <c r="B601" s="24"/>
      <c r="J601" s="53"/>
    </row>
    <row r="602">
      <c r="B602" s="24"/>
      <c r="J602" s="53"/>
    </row>
    <row r="603">
      <c r="B603" s="24"/>
      <c r="J603" s="53"/>
    </row>
    <row r="604">
      <c r="B604" s="24"/>
      <c r="J604" s="53"/>
    </row>
    <row r="605">
      <c r="B605" s="24"/>
      <c r="J605" s="53"/>
    </row>
    <row r="606">
      <c r="B606" s="24"/>
      <c r="J606" s="53"/>
    </row>
    <row r="607">
      <c r="B607" s="24"/>
      <c r="J607" s="53"/>
    </row>
    <row r="608">
      <c r="B608" s="24"/>
      <c r="J608" s="53"/>
    </row>
    <row r="609">
      <c r="B609" s="24"/>
      <c r="J609" s="53"/>
    </row>
    <row r="610">
      <c r="B610" s="24"/>
      <c r="J610" s="53"/>
    </row>
    <row r="611">
      <c r="B611" s="24"/>
      <c r="J611" s="53"/>
    </row>
    <row r="612">
      <c r="B612" s="24"/>
      <c r="J612" s="53"/>
    </row>
    <row r="613">
      <c r="B613" s="24"/>
      <c r="J613" s="53"/>
    </row>
    <row r="614">
      <c r="B614" s="24"/>
      <c r="J614" s="53"/>
    </row>
    <row r="615">
      <c r="B615" s="24"/>
      <c r="J615" s="53"/>
    </row>
    <row r="616">
      <c r="B616" s="24"/>
      <c r="J616" s="53"/>
    </row>
    <row r="617">
      <c r="B617" s="24"/>
      <c r="J617" s="53"/>
    </row>
    <row r="618">
      <c r="B618" s="24"/>
      <c r="J618" s="53"/>
    </row>
    <row r="619">
      <c r="B619" s="24"/>
      <c r="J619" s="53"/>
    </row>
    <row r="620">
      <c r="B620" s="24"/>
      <c r="J620" s="53"/>
    </row>
    <row r="621">
      <c r="B621" s="24"/>
      <c r="J621" s="53"/>
    </row>
    <row r="622">
      <c r="B622" s="24"/>
      <c r="J622" s="53"/>
    </row>
    <row r="623">
      <c r="B623" s="24"/>
      <c r="J623" s="53"/>
    </row>
    <row r="624">
      <c r="B624" s="24"/>
      <c r="J624" s="53"/>
    </row>
    <row r="625">
      <c r="B625" s="24"/>
      <c r="J625" s="53"/>
    </row>
    <row r="626">
      <c r="B626" s="24"/>
      <c r="J626" s="53"/>
    </row>
    <row r="627">
      <c r="B627" s="24"/>
      <c r="J627" s="53"/>
    </row>
    <row r="628">
      <c r="B628" s="24"/>
      <c r="J628" s="53"/>
    </row>
    <row r="629">
      <c r="B629" s="24"/>
      <c r="J629" s="53"/>
    </row>
    <row r="630">
      <c r="B630" s="24"/>
      <c r="J630" s="53"/>
    </row>
    <row r="631">
      <c r="B631" s="24"/>
      <c r="J631" s="53"/>
    </row>
    <row r="632">
      <c r="B632" s="24"/>
      <c r="J632" s="53"/>
    </row>
    <row r="633">
      <c r="B633" s="24"/>
      <c r="J633" s="53"/>
    </row>
    <row r="634">
      <c r="B634" s="24"/>
      <c r="J634" s="53"/>
    </row>
    <row r="635">
      <c r="B635" s="24"/>
      <c r="J635" s="53"/>
    </row>
    <row r="636">
      <c r="B636" s="24"/>
      <c r="J636" s="53"/>
    </row>
    <row r="637">
      <c r="B637" s="24"/>
      <c r="J637" s="53"/>
    </row>
    <row r="638">
      <c r="B638" s="24"/>
      <c r="J638" s="53"/>
    </row>
    <row r="639">
      <c r="B639" s="24"/>
      <c r="J639" s="53"/>
    </row>
    <row r="640">
      <c r="B640" s="24"/>
      <c r="J640" s="53"/>
    </row>
    <row r="641">
      <c r="B641" s="24"/>
      <c r="J641" s="53"/>
    </row>
    <row r="642">
      <c r="B642" s="24"/>
      <c r="J642" s="53"/>
    </row>
    <row r="643">
      <c r="B643" s="24"/>
      <c r="J643" s="53"/>
    </row>
    <row r="644">
      <c r="B644" s="24"/>
      <c r="J644" s="53"/>
    </row>
    <row r="645">
      <c r="B645" s="24"/>
      <c r="J645" s="53"/>
    </row>
    <row r="646">
      <c r="B646" s="24"/>
      <c r="J646" s="53"/>
    </row>
    <row r="647">
      <c r="B647" s="24"/>
      <c r="J647" s="53"/>
    </row>
    <row r="648">
      <c r="B648" s="24"/>
      <c r="J648" s="53"/>
    </row>
    <row r="649">
      <c r="B649" s="24"/>
      <c r="J649" s="53"/>
    </row>
    <row r="650">
      <c r="B650" s="24"/>
      <c r="J650" s="53"/>
    </row>
    <row r="651">
      <c r="B651" s="24"/>
      <c r="J651" s="53"/>
    </row>
    <row r="652">
      <c r="B652" s="24"/>
      <c r="J652" s="53"/>
    </row>
    <row r="653">
      <c r="B653" s="24"/>
      <c r="J653" s="53"/>
    </row>
    <row r="654">
      <c r="B654" s="24"/>
      <c r="J654" s="53"/>
    </row>
    <row r="655">
      <c r="B655" s="24"/>
      <c r="J655" s="53"/>
    </row>
    <row r="656">
      <c r="B656" s="24"/>
      <c r="J656" s="53"/>
    </row>
    <row r="657">
      <c r="B657" s="24"/>
      <c r="J657" s="53"/>
    </row>
    <row r="658">
      <c r="B658" s="24"/>
      <c r="J658" s="53"/>
    </row>
    <row r="659">
      <c r="B659" s="24"/>
      <c r="J659" s="53"/>
    </row>
    <row r="660">
      <c r="B660" s="24"/>
      <c r="J660" s="53"/>
    </row>
    <row r="661">
      <c r="B661" s="24"/>
      <c r="J661" s="53"/>
    </row>
    <row r="662">
      <c r="B662" s="24"/>
      <c r="J662" s="53"/>
    </row>
    <row r="663">
      <c r="B663" s="24"/>
      <c r="J663" s="53"/>
    </row>
    <row r="664">
      <c r="B664" s="24"/>
      <c r="J664" s="53"/>
    </row>
    <row r="665">
      <c r="B665" s="24"/>
      <c r="J665" s="53"/>
    </row>
    <row r="666">
      <c r="B666" s="24"/>
      <c r="J666" s="53"/>
    </row>
    <row r="667">
      <c r="B667" s="24"/>
      <c r="J667" s="53"/>
    </row>
    <row r="668">
      <c r="B668" s="24"/>
      <c r="J668" s="53"/>
    </row>
    <row r="669">
      <c r="B669" s="24"/>
      <c r="J669" s="53"/>
    </row>
    <row r="670">
      <c r="B670" s="24"/>
      <c r="J670" s="53"/>
    </row>
    <row r="671">
      <c r="B671" s="24"/>
      <c r="J671" s="53"/>
    </row>
    <row r="672">
      <c r="B672" s="24"/>
      <c r="J672" s="53"/>
    </row>
    <row r="673">
      <c r="B673" s="24"/>
      <c r="J673" s="53"/>
    </row>
    <row r="674">
      <c r="B674" s="24"/>
      <c r="J674" s="53"/>
    </row>
    <row r="675">
      <c r="B675" s="24"/>
      <c r="J675" s="53"/>
    </row>
    <row r="676">
      <c r="B676" s="24"/>
      <c r="J676" s="53"/>
    </row>
    <row r="677">
      <c r="B677" s="24"/>
      <c r="J677" s="53"/>
    </row>
    <row r="678">
      <c r="B678" s="24"/>
      <c r="J678" s="53"/>
    </row>
    <row r="679">
      <c r="B679" s="24"/>
      <c r="J679" s="53"/>
    </row>
    <row r="680">
      <c r="B680" s="24"/>
      <c r="J680" s="53"/>
    </row>
    <row r="681">
      <c r="B681" s="24"/>
      <c r="J681" s="53"/>
    </row>
    <row r="682">
      <c r="B682" s="24"/>
      <c r="J682" s="53"/>
    </row>
    <row r="683">
      <c r="B683" s="24"/>
      <c r="J683" s="53"/>
    </row>
    <row r="684">
      <c r="B684" s="24"/>
      <c r="J684" s="53"/>
    </row>
    <row r="685">
      <c r="B685" s="24"/>
      <c r="J685" s="53"/>
    </row>
    <row r="686">
      <c r="B686" s="24"/>
      <c r="J686" s="53"/>
    </row>
    <row r="687">
      <c r="B687" s="24"/>
      <c r="J687" s="53"/>
    </row>
    <row r="688">
      <c r="B688" s="24"/>
      <c r="J688" s="53"/>
    </row>
    <row r="689">
      <c r="B689" s="24"/>
      <c r="J689" s="53"/>
    </row>
    <row r="690">
      <c r="B690" s="24"/>
      <c r="J690" s="53"/>
    </row>
    <row r="691">
      <c r="B691" s="24"/>
      <c r="J691" s="53"/>
    </row>
    <row r="692">
      <c r="B692" s="24"/>
      <c r="J692" s="53"/>
    </row>
    <row r="693">
      <c r="B693" s="24"/>
      <c r="J693" s="53"/>
    </row>
    <row r="694">
      <c r="B694" s="24"/>
      <c r="J694" s="53"/>
    </row>
    <row r="695">
      <c r="B695" s="24"/>
      <c r="J695" s="53"/>
    </row>
    <row r="696">
      <c r="B696" s="24"/>
      <c r="J696" s="53"/>
    </row>
    <row r="697">
      <c r="B697" s="24"/>
      <c r="J697" s="53"/>
    </row>
    <row r="698">
      <c r="B698" s="24"/>
      <c r="J698" s="53"/>
    </row>
    <row r="699">
      <c r="B699" s="24"/>
      <c r="J699" s="53"/>
    </row>
    <row r="700">
      <c r="B700" s="24"/>
      <c r="J700" s="53"/>
    </row>
    <row r="701">
      <c r="B701" s="24"/>
      <c r="J701" s="53"/>
    </row>
    <row r="702">
      <c r="B702" s="24"/>
      <c r="J702" s="53"/>
    </row>
    <row r="703">
      <c r="B703" s="24"/>
      <c r="J703" s="53"/>
    </row>
    <row r="704">
      <c r="B704" s="24"/>
      <c r="J704" s="53"/>
    </row>
    <row r="705">
      <c r="B705" s="24"/>
      <c r="J705" s="53"/>
    </row>
    <row r="706">
      <c r="B706" s="24"/>
      <c r="J706" s="53"/>
    </row>
    <row r="707">
      <c r="B707" s="24"/>
      <c r="J707" s="53"/>
    </row>
    <row r="708">
      <c r="B708" s="24"/>
      <c r="J708" s="53"/>
    </row>
    <row r="709">
      <c r="B709" s="24"/>
      <c r="J709" s="53"/>
    </row>
    <row r="710">
      <c r="B710" s="24"/>
      <c r="J710" s="53"/>
    </row>
    <row r="711">
      <c r="B711" s="24"/>
      <c r="J711" s="53"/>
    </row>
    <row r="712">
      <c r="B712" s="24"/>
      <c r="J712" s="53"/>
    </row>
    <row r="713">
      <c r="B713" s="24"/>
      <c r="J713" s="53"/>
    </row>
    <row r="714">
      <c r="B714" s="24"/>
      <c r="J714" s="53"/>
    </row>
    <row r="715">
      <c r="B715" s="24"/>
      <c r="J715" s="53"/>
    </row>
    <row r="716">
      <c r="B716" s="24"/>
      <c r="J716" s="53"/>
    </row>
    <row r="717">
      <c r="B717" s="24"/>
      <c r="J717" s="53"/>
    </row>
    <row r="718">
      <c r="B718" s="24"/>
      <c r="J718" s="53"/>
    </row>
    <row r="719">
      <c r="B719" s="24"/>
      <c r="J719" s="53"/>
    </row>
    <row r="720">
      <c r="B720" s="24"/>
      <c r="J720" s="53"/>
    </row>
    <row r="721">
      <c r="B721" s="24"/>
      <c r="J721" s="53"/>
    </row>
    <row r="722">
      <c r="B722" s="24"/>
      <c r="J722" s="53"/>
    </row>
    <row r="723">
      <c r="B723" s="24"/>
      <c r="J723" s="53"/>
    </row>
    <row r="724">
      <c r="B724" s="24"/>
      <c r="J724" s="53"/>
    </row>
    <row r="725">
      <c r="B725" s="24"/>
      <c r="J725" s="53"/>
    </row>
    <row r="726">
      <c r="B726" s="24"/>
      <c r="J726" s="53"/>
    </row>
    <row r="727">
      <c r="B727" s="24"/>
      <c r="J727" s="53"/>
    </row>
    <row r="728">
      <c r="B728" s="24"/>
      <c r="J728" s="53"/>
    </row>
    <row r="729">
      <c r="B729" s="24"/>
      <c r="J729" s="53"/>
    </row>
    <row r="730">
      <c r="B730" s="24"/>
      <c r="J730" s="53"/>
    </row>
    <row r="731">
      <c r="B731" s="24"/>
      <c r="J731" s="53"/>
    </row>
    <row r="732">
      <c r="B732" s="24"/>
      <c r="J732" s="53"/>
    </row>
    <row r="733">
      <c r="B733" s="24"/>
      <c r="J733" s="53"/>
    </row>
    <row r="734">
      <c r="B734" s="24"/>
      <c r="J734" s="53"/>
    </row>
    <row r="735">
      <c r="B735" s="24"/>
      <c r="J735" s="53"/>
    </row>
    <row r="736">
      <c r="B736" s="24"/>
      <c r="J736" s="53"/>
    </row>
    <row r="737">
      <c r="B737" s="24"/>
      <c r="J737" s="53"/>
    </row>
    <row r="738">
      <c r="B738" s="24"/>
      <c r="J738" s="53"/>
    </row>
    <row r="739">
      <c r="B739" s="24"/>
      <c r="J739" s="53"/>
    </row>
    <row r="740">
      <c r="B740" s="24"/>
      <c r="J740" s="53"/>
    </row>
    <row r="741">
      <c r="B741" s="24"/>
      <c r="J741" s="53"/>
    </row>
    <row r="742">
      <c r="B742" s="24"/>
      <c r="J742" s="53"/>
    </row>
    <row r="743">
      <c r="B743" s="24"/>
      <c r="J743" s="53"/>
    </row>
    <row r="744">
      <c r="B744" s="24"/>
      <c r="J744" s="53"/>
    </row>
    <row r="745">
      <c r="B745" s="24"/>
      <c r="J745" s="53"/>
    </row>
    <row r="746">
      <c r="B746" s="24"/>
      <c r="J746" s="53"/>
    </row>
    <row r="747">
      <c r="B747" s="24"/>
      <c r="J747" s="53"/>
    </row>
    <row r="748">
      <c r="B748" s="24"/>
      <c r="J748" s="53"/>
    </row>
    <row r="749">
      <c r="B749" s="24"/>
      <c r="J749" s="53"/>
    </row>
    <row r="750">
      <c r="B750" s="24"/>
      <c r="J750" s="53"/>
    </row>
    <row r="751">
      <c r="B751" s="24"/>
      <c r="J751" s="53"/>
    </row>
    <row r="752">
      <c r="B752" s="24"/>
      <c r="J752" s="53"/>
    </row>
    <row r="753">
      <c r="B753" s="24"/>
      <c r="J753" s="53"/>
    </row>
    <row r="754">
      <c r="B754" s="24"/>
      <c r="J754" s="53"/>
    </row>
    <row r="755">
      <c r="B755" s="24"/>
      <c r="J755" s="53"/>
    </row>
    <row r="756">
      <c r="B756" s="24"/>
      <c r="J756" s="53"/>
    </row>
    <row r="757">
      <c r="B757" s="24"/>
      <c r="J757" s="53"/>
    </row>
    <row r="758">
      <c r="B758" s="24"/>
      <c r="J758" s="53"/>
    </row>
    <row r="759">
      <c r="B759" s="24"/>
      <c r="J759" s="53"/>
    </row>
    <row r="760">
      <c r="B760" s="24"/>
      <c r="J760" s="53"/>
    </row>
    <row r="761">
      <c r="B761" s="24"/>
      <c r="J761" s="53"/>
    </row>
    <row r="762">
      <c r="B762" s="24"/>
      <c r="J762" s="53"/>
    </row>
    <row r="763">
      <c r="B763" s="24"/>
      <c r="J763" s="53"/>
    </row>
    <row r="764">
      <c r="B764" s="24"/>
      <c r="J764" s="53"/>
    </row>
    <row r="765">
      <c r="B765" s="24"/>
      <c r="J765" s="53"/>
    </row>
    <row r="766">
      <c r="B766" s="24"/>
      <c r="J766" s="53"/>
    </row>
    <row r="767">
      <c r="B767" s="24"/>
      <c r="J767" s="53"/>
    </row>
    <row r="768">
      <c r="B768" s="24"/>
      <c r="J768" s="53"/>
    </row>
    <row r="769">
      <c r="B769" s="24"/>
      <c r="J769" s="53"/>
    </row>
    <row r="770">
      <c r="B770" s="24"/>
      <c r="J770" s="53"/>
    </row>
    <row r="771">
      <c r="B771" s="24"/>
      <c r="J771" s="53"/>
    </row>
    <row r="772">
      <c r="B772" s="24"/>
      <c r="J772" s="53"/>
    </row>
    <row r="773">
      <c r="B773" s="24"/>
      <c r="J773" s="53"/>
    </row>
    <row r="774">
      <c r="B774" s="24"/>
      <c r="J774" s="53"/>
    </row>
    <row r="775">
      <c r="B775" s="24"/>
      <c r="J775" s="53"/>
    </row>
    <row r="776">
      <c r="B776" s="24"/>
      <c r="J776" s="53"/>
    </row>
    <row r="777">
      <c r="B777" s="24"/>
      <c r="J777" s="53"/>
    </row>
    <row r="778">
      <c r="B778" s="24"/>
      <c r="J778" s="53"/>
    </row>
    <row r="779">
      <c r="B779" s="24"/>
      <c r="J779" s="53"/>
    </row>
    <row r="780">
      <c r="B780" s="24"/>
      <c r="J780" s="53"/>
    </row>
    <row r="781">
      <c r="B781" s="24"/>
      <c r="J781" s="53"/>
    </row>
    <row r="782">
      <c r="B782" s="24"/>
      <c r="J782" s="53"/>
    </row>
    <row r="783">
      <c r="B783" s="24"/>
      <c r="J783" s="53"/>
    </row>
    <row r="784">
      <c r="B784" s="24"/>
      <c r="J784" s="53"/>
    </row>
    <row r="785">
      <c r="B785" s="24"/>
      <c r="J785" s="53"/>
    </row>
    <row r="786">
      <c r="B786" s="24"/>
      <c r="J786" s="53"/>
    </row>
    <row r="787">
      <c r="B787" s="24"/>
      <c r="J787" s="53"/>
    </row>
    <row r="788">
      <c r="B788" s="24"/>
      <c r="J788" s="53"/>
    </row>
    <row r="789">
      <c r="B789" s="24"/>
      <c r="J789" s="53"/>
    </row>
    <row r="790">
      <c r="B790" s="24"/>
      <c r="J790" s="53"/>
    </row>
    <row r="791">
      <c r="B791" s="24"/>
      <c r="J791" s="53"/>
    </row>
    <row r="792">
      <c r="B792" s="24"/>
      <c r="J792" s="53"/>
    </row>
    <row r="793">
      <c r="B793" s="24"/>
      <c r="J793" s="53"/>
    </row>
    <row r="794">
      <c r="B794" s="24"/>
      <c r="J794" s="53"/>
    </row>
    <row r="795">
      <c r="B795" s="24"/>
      <c r="J795" s="53"/>
    </row>
    <row r="796">
      <c r="B796" s="24"/>
      <c r="J796" s="53"/>
    </row>
    <row r="797">
      <c r="B797" s="24"/>
      <c r="J797" s="53"/>
    </row>
    <row r="798">
      <c r="B798" s="24"/>
      <c r="J798" s="53"/>
    </row>
    <row r="799">
      <c r="B799" s="24"/>
      <c r="J799" s="53"/>
    </row>
    <row r="800">
      <c r="B800" s="24"/>
      <c r="J800" s="53"/>
    </row>
    <row r="801">
      <c r="B801" s="24"/>
      <c r="J801" s="53"/>
    </row>
    <row r="802">
      <c r="B802" s="24"/>
      <c r="J802" s="53"/>
    </row>
    <row r="803">
      <c r="B803" s="24"/>
      <c r="J803" s="53"/>
    </row>
    <row r="804">
      <c r="B804" s="24"/>
      <c r="J804" s="53"/>
    </row>
    <row r="805">
      <c r="B805" s="24"/>
      <c r="J805" s="53"/>
    </row>
    <row r="806">
      <c r="B806" s="24"/>
      <c r="J806" s="53"/>
    </row>
    <row r="807">
      <c r="B807" s="24"/>
      <c r="J807" s="53"/>
    </row>
    <row r="808">
      <c r="B808" s="24"/>
      <c r="J808" s="53"/>
    </row>
    <row r="809">
      <c r="B809" s="24"/>
      <c r="J809" s="53"/>
    </row>
    <row r="810">
      <c r="B810" s="24"/>
      <c r="J810" s="53"/>
    </row>
    <row r="811">
      <c r="B811" s="24"/>
      <c r="J811" s="53"/>
    </row>
    <row r="812">
      <c r="B812" s="24"/>
      <c r="J812" s="53"/>
    </row>
    <row r="813">
      <c r="B813" s="24"/>
      <c r="J813" s="53"/>
    </row>
    <row r="814">
      <c r="B814" s="24"/>
      <c r="J814" s="53"/>
    </row>
    <row r="815">
      <c r="B815" s="24"/>
      <c r="J815" s="53"/>
    </row>
    <row r="816">
      <c r="B816" s="24"/>
      <c r="J816" s="53"/>
    </row>
    <row r="817">
      <c r="B817" s="24"/>
      <c r="J817" s="53"/>
    </row>
    <row r="818">
      <c r="B818" s="24"/>
      <c r="J818" s="53"/>
    </row>
    <row r="819">
      <c r="B819" s="24"/>
      <c r="J819" s="53"/>
    </row>
    <row r="820">
      <c r="B820" s="24"/>
      <c r="J820" s="53"/>
    </row>
    <row r="821">
      <c r="B821" s="24"/>
      <c r="J821" s="53"/>
    </row>
    <row r="822">
      <c r="B822" s="24"/>
      <c r="J822" s="53"/>
    </row>
    <row r="823">
      <c r="B823" s="24"/>
      <c r="J823" s="53"/>
    </row>
    <row r="824">
      <c r="B824" s="24"/>
      <c r="J824" s="53"/>
    </row>
    <row r="825">
      <c r="B825" s="24"/>
      <c r="J825" s="53"/>
    </row>
    <row r="826">
      <c r="B826" s="24"/>
      <c r="J826" s="53"/>
    </row>
    <row r="827">
      <c r="B827" s="24"/>
      <c r="J827" s="53"/>
    </row>
    <row r="828">
      <c r="B828" s="24"/>
      <c r="J828" s="53"/>
    </row>
    <row r="829">
      <c r="B829" s="24"/>
      <c r="J829" s="53"/>
    </row>
    <row r="830">
      <c r="B830" s="24"/>
      <c r="J830" s="53"/>
    </row>
    <row r="831">
      <c r="B831" s="24"/>
      <c r="J831" s="53"/>
    </row>
    <row r="832">
      <c r="B832" s="24"/>
      <c r="J832" s="53"/>
    </row>
    <row r="833">
      <c r="B833" s="24"/>
      <c r="J833" s="53"/>
    </row>
    <row r="834">
      <c r="B834" s="24"/>
      <c r="J834" s="53"/>
    </row>
    <row r="835">
      <c r="B835" s="24"/>
      <c r="J835" s="53"/>
    </row>
    <row r="836">
      <c r="B836" s="24"/>
      <c r="J836" s="53"/>
    </row>
    <row r="837">
      <c r="B837" s="24"/>
      <c r="J837" s="53"/>
    </row>
    <row r="838">
      <c r="B838" s="24"/>
      <c r="J838" s="53"/>
    </row>
    <row r="839">
      <c r="B839" s="24"/>
      <c r="J839" s="53"/>
    </row>
    <row r="840">
      <c r="B840" s="24"/>
      <c r="J840" s="53"/>
    </row>
    <row r="841">
      <c r="B841" s="24"/>
      <c r="J841" s="53"/>
    </row>
    <row r="842">
      <c r="B842" s="24"/>
      <c r="J842" s="53"/>
    </row>
    <row r="843">
      <c r="B843" s="24"/>
      <c r="J843" s="53"/>
    </row>
    <row r="844">
      <c r="B844" s="24"/>
      <c r="J844" s="53"/>
    </row>
    <row r="845">
      <c r="B845" s="24"/>
      <c r="J845" s="53"/>
    </row>
    <row r="846">
      <c r="B846" s="24"/>
      <c r="J846" s="53"/>
    </row>
    <row r="847">
      <c r="B847" s="24"/>
      <c r="J847" s="53"/>
    </row>
    <row r="848">
      <c r="B848" s="24"/>
      <c r="J848" s="53"/>
    </row>
    <row r="849">
      <c r="B849" s="24"/>
      <c r="J849" s="53"/>
    </row>
    <row r="850">
      <c r="B850" s="24"/>
      <c r="J850" s="53"/>
    </row>
    <row r="851">
      <c r="B851" s="24"/>
      <c r="J851" s="53"/>
    </row>
    <row r="852">
      <c r="B852" s="24"/>
      <c r="J852" s="53"/>
    </row>
    <row r="853">
      <c r="B853" s="24"/>
      <c r="J853" s="53"/>
    </row>
    <row r="854">
      <c r="B854" s="24"/>
      <c r="J854" s="53"/>
    </row>
    <row r="855">
      <c r="B855" s="24"/>
      <c r="J855" s="53"/>
    </row>
    <row r="856">
      <c r="B856" s="24"/>
      <c r="J856" s="53"/>
    </row>
    <row r="857">
      <c r="B857" s="24"/>
      <c r="J857" s="53"/>
    </row>
    <row r="858">
      <c r="B858" s="24"/>
      <c r="J858" s="53"/>
    </row>
    <row r="859">
      <c r="B859" s="24"/>
      <c r="J859" s="53"/>
    </row>
    <row r="860">
      <c r="B860" s="24"/>
      <c r="J860" s="53"/>
    </row>
    <row r="861">
      <c r="B861" s="24"/>
      <c r="J861" s="53"/>
    </row>
    <row r="862">
      <c r="B862" s="24"/>
      <c r="J862" s="53"/>
    </row>
    <row r="863">
      <c r="B863" s="24"/>
      <c r="J863" s="53"/>
    </row>
    <row r="864">
      <c r="B864" s="24"/>
      <c r="J864" s="53"/>
    </row>
    <row r="865">
      <c r="B865" s="24"/>
      <c r="J865" s="53"/>
    </row>
    <row r="866">
      <c r="B866" s="24"/>
      <c r="J866" s="53"/>
    </row>
    <row r="867">
      <c r="B867" s="24"/>
      <c r="J867" s="53"/>
    </row>
    <row r="868">
      <c r="B868" s="24"/>
      <c r="J868" s="53"/>
    </row>
    <row r="869">
      <c r="B869" s="24"/>
      <c r="J869" s="53"/>
    </row>
    <row r="870">
      <c r="B870" s="24"/>
      <c r="J870" s="53"/>
    </row>
    <row r="871">
      <c r="B871" s="24"/>
      <c r="J871" s="53"/>
    </row>
    <row r="872">
      <c r="B872" s="24"/>
      <c r="J872" s="53"/>
    </row>
    <row r="873">
      <c r="B873" s="24"/>
      <c r="J873" s="53"/>
    </row>
    <row r="874">
      <c r="B874" s="24"/>
      <c r="J874" s="53"/>
    </row>
    <row r="875">
      <c r="B875" s="24"/>
      <c r="J875" s="53"/>
    </row>
    <row r="876">
      <c r="B876" s="24"/>
      <c r="J876" s="53"/>
    </row>
    <row r="877">
      <c r="B877" s="24"/>
      <c r="J877" s="53"/>
    </row>
    <row r="878">
      <c r="B878" s="24"/>
      <c r="J878" s="53"/>
    </row>
    <row r="879">
      <c r="B879" s="24"/>
      <c r="J879" s="53"/>
    </row>
    <row r="880">
      <c r="B880" s="24"/>
      <c r="J880" s="53"/>
    </row>
    <row r="881">
      <c r="B881" s="24"/>
      <c r="J881" s="53"/>
    </row>
    <row r="882">
      <c r="B882" s="24"/>
      <c r="J882" s="53"/>
    </row>
    <row r="883">
      <c r="B883" s="24"/>
      <c r="J883" s="53"/>
    </row>
    <row r="884">
      <c r="B884" s="24"/>
      <c r="J884" s="53"/>
    </row>
    <row r="885">
      <c r="B885" s="24"/>
      <c r="J885" s="53"/>
    </row>
    <row r="886">
      <c r="B886" s="24"/>
      <c r="J886" s="53"/>
    </row>
    <row r="887">
      <c r="B887" s="24"/>
      <c r="J887" s="53"/>
    </row>
    <row r="888">
      <c r="B888" s="24"/>
      <c r="J888" s="53"/>
    </row>
    <row r="889">
      <c r="B889" s="24"/>
      <c r="J889" s="53"/>
    </row>
    <row r="890">
      <c r="B890" s="24"/>
      <c r="J890" s="53"/>
    </row>
    <row r="891">
      <c r="B891" s="24"/>
      <c r="J891" s="53"/>
    </row>
    <row r="892">
      <c r="B892" s="24"/>
      <c r="J892" s="53"/>
    </row>
    <row r="893">
      <c r="B893" s="24"/>
      <c r="J893" s="53"/>
    </row>
    <row r="894">
      <c r="B894" s="24"/>
      <c r="J894" s="53"/>
    </row>
    <row r="895">
      <c r="B895" s="24"/>
      <c r="J895" s="53"/>
    </row>
    <row r="896">
      <c r="B896" s="24"/>
      <c r="J896" s="53"/>
    </row>
    <row r="897">
      <c r="B897" s="24"/>
      <c r="J897" s="53"/>
    </row>
    <row r="898">
      <c r="B898" s="24"/>
      <c r="J898" s="53"/>
    </row>
    <row r="899">
      <c r="B899" s="24"/>
      <c r="J899" s="53"/>
    </row>
    <row r="900">
      <c r="B900" s="24"/>
      <c r="J900" s="53"/>
    </row>
    <row r="901">
      <c r="B901" s="24"/>
      <c r="J901" s="53"/>
    </row>
    <row r="902">
      <c r="B902" s="24"/>
      <c r="J902" s="53"/>
    </row>
    <row r="903">
      <c r="B903" s="24"/>
      <c r="J903" s="53"/>
    </row>
    <row r="904">
      <c r="B904" s="24"/>
      <c r="J904" s="53"/>
    </row>
    <row r="905">
      <c r="B905" s="24"/>
      <c r="J905" s="53"/>
    </row>
    <row r="906">
      <c r="B906" s="24"/>
      <c r="J906" s="53"/>
    </row>
    <row r="907">
      <c r="B907" s="24"/>
      <c r="J907" s="53"/>
    </row>
    <row r="908">
      <c r="B908" s="24"/>
      <c r="J908" s="53"/>
    </row>
    <row r="909">
      <c r="B909" s="24"/>
      <c r="J909" s="53"/>
    </row>
    <row r="910">
      <c r="B910" s="24"/>
      <c r="J910" s="53"/>
    </row>
    <row r="911">
      <c r="B911" s="24"/>
      <c r="J911" s="53"/>
    </row>
    <row r="912">
      <c r="B912" s="24"/>
      <c r="J912" s="53"/>
    </row>
    <row r="913">
      <c r="B913" s="24"/>
      <c r="J913" s="53"/>
    </row>
    <row r="914">
      <c r="B914" s="24"/>
      <c r="J914" s="53"/>
    </row>
    <row r="915">
      <c r="B915" s="24"/>
      <c r="J915" s="53"/>
    </row>
    <row r="916">
      <c r="B916" s="24"/>
      <c r="J916" s="53"/>
    </row>
    <row r="917">
      <c r="B917" s="24"/>
      <c r="J917" s="53"/>
    </row>
    <row r="918">
      <c r="B918" s="24"/>
      <c r="J918" s="53"/>
    </row>
    <row r="919">
      <c r="B919" s="24"/>
      <c r="J919" s="53"/>
    </row>
    <row r="920">
      <c r="B920" s="24"/>
      <c r="J920" s="53"/>
    </row>
    <row r="921">
      <c r="B921" s="24"/>
      <c r="J921" s="53"/>
    </row>
    <row r="922">
      <c r="B922" s="24"/>
      <c r="J922" s="53"/>
    </row>
    <row r="923">
      <c r="B923" s="24"/>
      <c r="J923" s="53"/>
    </row>
    <row r="924">
      <c r="B924" s="24"/>
      <c r="J924" s="53"/>
    </row>
    <row r="925">
      <c r="B925" s="24"/>
      <c r="J925" s="53"/>
    </row>
    <row r="926">
      <c r="B926" s="24"/>
      <c r="J926" s="53"/>
    </row>
    <row r="927">
      <c r="B927" s="24"/>
      <c r="J927" s="53"/>
    </row>
    <row r="928">
      <c r="B928" s="24"/>
      <c r="J928" s="53"/>
    </row>
    <row r="929">
      <c r="B929" s="24"/>
      <c r="J929" s="53"/>
    </row>
    <row r="930">
      <c r="B930" s="24"/>
      <c r="J930" s="53"/>
    </row>
    <row r="931">
      <c r="B931" s="24"/>
      <c r="J931" s="53"/>
    </row>
    <row r="932">
      <c r="B932" s="24"/>
      <c r="J932" s="53"/>
    </row>
    <row r="933">
      <c r="B933" s="24"/>
      <c r="J933" s="53"/>
    </row>
    <row r="934">
      <c r="B934" s="24"/>
      <c r="J934" s="53"/>
    </row>
    <row r="935">
      <c r="B935" s="24"/>
      <c r="J935" s="53"/>
    </row>
    <row r="936">
      <c r="B936" s="24"/>
      <c r="J936" s="53"/>
    </row>
    <row r="937">
      <c r="B937" s="24"/>
      <c r="J937" s="53"/>
    </row>
    <row r="938">
      <c r="B938" s="24"/>
      <c r="J938" s="53"/>
    </row>
    <row r="939">
      <c r="B939" s="24"/>
      <c r="J939" s="53"/>
    </row>
    <row r="940">
      <c r="B940" s="24"/>
      <c r="J940" s="53"/>
    </row>
    <row r="941">
      <c r="B941" s="24"/>
      <c r="J941" s="53"/>
    </row>
    <row r="942">
      <c r="B942" s="24"/>
      <c r="J942" s="53"/>
    </row>
    <row r="943">
      <c r="B943" s="24"/>
      <c r="J943" s="53"/>
    </row>
    <row r="944">
      <c r="B944" s="24"/>
      <c r="J944" s="53"/>
    </row>
    <row r="945">
      <c r="B945" s="24"/>
      <c r="J945" s="53"/>
    </row>
    <row r="946">
      <c r="B946" s="24"/>
      <c r="J946" s="53"/>
    </row>
    <row r="947">
      <c r="B947" s="24"/>
      <c r="J947" s="53"/>
    </row>
    <row r="948">
      <c r="B948" s="24"/>
      <c r="J948" s="53"/>
    </row>
    <row r="949">
      <c r="B949" s="24"/>
      <c r="J949" s="53"/>
    </row>
    <row r="950">
      <c r="B950" s="24"/>
      <c r="J950" s="53"/>
    </row>
    <row r="951">
      <c r="B951" s="24"/>
      <c r="J951" s="53"/>
    </row>
    <row r="952">
      <c r="B952" s="24"/>
      <c r="J952" s="53"/>
    </row>
    <row r="953">
      <c r="B953" s="24"/>
      <c r="J953" s="53"/>
    </row>
    <row r="954">
      <c r="B954" s="24"/>
      <c r="J954" s="53"/>
    </row>
    <row r="955">
      <c r="B955" s="24"/>
      <c r="J955" s="53"/>
    </row>
    <row r="956">
      <c r="B956" s="24"/>
      <c r="J956" s="53"/>
    </row>
    <row r="957">
      <c r="B957" s="24"/>
      <c r="J957" s="53"/>
    </row>
    <row r="958">
      <c r="B958" s="24"/>
      <c r="J958" s="53"/>
    </row>
    <row r="959">
      <c r="B959" s="24"/>
      <c r="J959" s="53"/>
    </row>
    <row r="960">
      <c r="B960" s="24"/>
      <c r="J960" s="53"/>
    </row>
    <row r="961">
      <c r="B961" s="24"/>
      <c r="J961" s="53"/>
    </row>
    <row r="962">
      <c r="B962" s="24"/>
      <c r="J962" s="53"/>
    </row>
    <row r="963">
      <c r="B963" s="24"/>
      <c r="J963" s="53"/>
    </row>
    <row r="964">
      <c r="B964" s="24"/>
      <c r="J964" s="53"/>
    </row>
    <row r="965">
      <c r="B965" s="24"/>
      <c r="J965" s="53"/>
    </row>
    <row r="966">
      <c r="B966" s="24"/>
      <c r="J966" s="53"/>
    </row>
    <row r="967">
      <c r="B967" s="24"/>
      <c r="J967" s="53"/>
    </row>
    <row r="968">
      <c r="B968" s="24"/>
      <c r="J968" s="53"/>
    </row>
    <row r="969">
      <c r="B969" s="24"/>
      <c r="J969" s="53"/>
    </row>
    <row r="970">
      <c r="B970" s="24"/>
      <c r="J970" s="53"/>
    </row>
    <row r="971">
      <c r="B971" s="24"/>
      <c r="J971" s="53"/>
    </row>
    <row r="972">
      <c r="B972" s="24"/>
      <c r="J972" s="53"/>
    </row>
    <row r="973">
      <c r="B973" s="24"/>
      <c r="J973" s="53"/>
    </row>
    <row r="974">
      <c r="B974" s="24"/>
      <c r="J974" s="53"/>
    </row>
    <row r="975">
      <c r="B975" s="24"/>
      <c r="J975" s="53"/>
    </row>
    <row r="976">
      <c r="B976" s="24"/>
      <c r="J976" s="53"/>
    </row>
    <row r="977">
      <c r="B977" s="24"/>
      <c r="J977" s="53"/>
    </row>
    <row r="978">
      <c r="B978" s="24"/>
      <c r="J978" s="53"/>
    </row>
    <row r="979">
      <c r="B979" s="24"/>
      <c r="J979" s="53"/>
    </row>
    <row r="980">
      <c r="B980" s="24"/>
      <c r="J980" s="53"/>
    </row>
    <row r="981">
      <c r="B981" s="24"/>
      <c r="J981" s="53"/>
    </row>
    <row r="982">
      <c r="B982" s="24"/>
      <c r="J982" s="53"/>
    </row>
    <row r="983">
      <c r="B983" s="24"/>
      <c r="J983" s="53"/>
    </row>
    <row r="984">
      <c r="B984" s="24"/>
      <c r="J984" s="53"/>
    </row>
    <row r="985">
      <c r="B985" s="24"/>
      <c r="J985" s="53"/>
    </row>
    <row r="986">
      <c r="B986" s="24"/>
      <c r="J986" s="53"/>
    </row>
    <row r="987">
      <c r="B987" s="24"/>
      <c r="J987" s="53"/>
    </row>
    <row r="988">
      <c r="B988" s="24"/>
      <c r="J988" s="53"/>
    </row>
    <row r="989">
      <c r="B989" s="24"/>
      <c r="J989" s="53"/>
    </row>
    <row r="990">
      <c r="B990" s="24"/>
      <c r="J990" s="53"/>
    </row>
    <row r="991">
      <c r="B991" s="24"/>
      <c r="J991" s="53"/>
    </row>
    <row r="992">
      <c r="B992" s="24"/>
      <c r="J992" s="53"/>
    </row>
    <row r="993">
      <c r="B993" s="24"/>
      <c r="J993" s="53"/>
    </row>
    <row r="994">
      <c r="B994" s="24"/>
      <c r="J994" s="53"/>
    </row>
    <row r="995">
      <c r="B995" s="24"/>
      <c r="J995" s="53"/>
    </row>
    <row r="996">
      <c r="B996" s="24"/>
      <c r="J996" s="53"/>
    </row>
    <row r="997">
      <c r="B997" s="24"/>
      <c r="J997" s="53"/>
    </row>
    <row r="998">
      <c r="B998" s="24"/>
      <c r="J998" s="53"/>
    </row>
    <row r="999">
      <c r="B999" s="24"/>
      <c r="J999" s="53"/>
    </row>
    <row r="1000">
      <c r="B1000" s="24"/>
      <c r="J1000" s="53"/>
    </row>
  </sheetData>
  <mergeCells count="1">
    <mergeCell ref="B1:B100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C1" s="59" t="s">
        <v>78</v>
      </c>
      <c r="D1" s="59" t="s">
        <v>79</v>
      </c>
      <c r="E1" s="59" t="s">
        <v>80</v>
      </c>
      <c r="F1" s="59" t="s">
        <v>81</v>
      </c>
      <c r="G1" s="59" t="s">
        <v>82</v>
      </c>
    </row>
    <row r="2">
      <c r="A2" s="59" t="s">
        <v>83</v>
      </c>
      <c r="C2" s="60">
        <v>0.19444444444444445</v>
      </c>
      <c r="D2" s="60">
        <v>0.3194444444444444</v>
      </c>
      <c r="E2" s="60">
        <v>0.3611111111111111</v>
      </c>
      <c r="F2" s="60">
        <v>0.4027777777777778</v>
      </c>
      <c r="G2" s="60">
        <v>0.4444444444444444</v>
      </c>
    </row>
    <row r="3">
      <c r="A3" s="59" t="s">
        <v>84</v>
      </c>
      <c r="C3" s="60">
        <v>0.20833333333333334</v>
      </c>
      <c r="D3" s="60">
        <v>0.3333333333333333</v>
      </c>
      <c r="E3" s="60">
        <v>0.375</v>
      </c>
      <c r="F3" s="60">
        <v>0.4166666666666667</v>
      </c>
      <c r="G3" s="60">
        <v>0.4583333333333333</v>
      </c>
    </row>
    <row r="4">
      <c r="A4" s="59" t="s">
        <v>85</v>
      </c>
      <c r="C4" s="60">
        <v>0.25</v>
      </c>
      <c r="D4" s="60">
        <v>0.375</v>
      </c>
      <c r="E4" s="60">
        <v>0.4166666666666667</v>
      </c>
      <c r="F4" s="60">
        <v>0.4583333333333333</v>
      </c>
      <c r="G4" s="60">
        <v>0.5</v>
      </c>
    </row>
    <row r="5">
      <c r="A5" s="59" t="s">
        <v>86</v>
      </c>
      <c r="C5" s="60">
        <v>0.2916666666666667</v>
      </c>
      <c r="D5" s="60">
        <v>0.4166666666666667</v>
      </c>
      <c r="E5" s="60">
        <v>0.4583333333333333</v>
      </c>
      <c r="F5" s="60">
        <v>0.5</v>
      </c>
      <c r="G5" s="60">
        <v>0.5416666666666666</v>
      </c>
    </row>
    <row r="6">
      <c r="A6" s="59" t="s">
        <v>87</v>
      </c>
      <c r="C6" s="60">
        <v>0.3333333333333333</v>
      </c>
      <c r="D6" s="60">
        <v>0.4583333333333333</v>
      </c>
      <c r="E6" s="60">
        <v>0.5</v>
      </c>
      <c r="F6" s="60">
        <v>0.5416666666666666</v>
      </c>
      <c r="G6" s="60">
        <v>0.5833333333333334</v>
      </c>
    </row>
    <row r="7">
      <c r="A7" s="59" t="s">
        <v>88</v>
      </c>
      <c r="C7" s="60">
        <v>0.375</v>
      </c>
      <c r="D7" s="60">
        <v>0.5</v>
      </c>
      <c r="E7" s="60">
        <v>0.5416666666666666</v>
      </c>
      <c r="F7" s="60">
        <v>0.5833333333333334</v>
      </c>
      <c r="G7" s="60">
        <v>0.625</v>
      </c>
    </row>
    <row r="8">
      <c r="A8" s="59" t="s">
        <v>89</v>
      </c>
      <c r="C8" s="60">
        <v>0.4166666666666667</v>
      </c>
      <c r="D8" s="60">
        <v>0.5416666666666666</v>
      </c>
      <c r="E8" s="60">
        <v>0.5833333333333334</v>
      </c>
      <c r="F8" s="60">
        <v>0.625</v>
      </c>
      <c r="G8" s="60">
        <v>0.6666666666666666</v>
      </c>
    </row>
    <row r="9">
      <c r="A9" s="59" t="s">
        <v>90</v>
      </c>
      <c r="C9" s="60">
        <v>0.4583333333333333</v>
      </c>
      <c r="D9" s="60">
        <v>0.5833333333333334</v>
      </c>
      <c r="E9" s="60">
        <v>0.625</v>
      </c>
      <c r="F9" s="60">
        <v>0.6666666666666666</v>
      </c>
      <c r="G9" s="60">
        <v>0.7083333333333334</v>
      </c>
    </row>
    <row r="10">
      <c r="A10" s="59" t="s">
        <v>91</v>
      </c>
      <c r="C10" s="60">
        <v>0.5</v>
      </c>
      <c r="D10" s="60">
        <v>0.625</v>
      </c>
      <c r="E10" s="60">
        <v>0.6666666666666666</v>
      </c>
      <c r="F10" s="60">
        <v>0.7083333333333334</v>
      </c>
      <c r="G10" s="60">
        <v>0.75</v>
      </c>
    </row>
  </sheetData>
  <mergeCells count="9">
    <mergeCell ref="A9:B9"/>
    <mergeCell ref="A10:B10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3" max="6" width="3.88"/>
    <col customWidth="1" min="7" max="7" width="6.38"/>
    <col customWidth="1" min="8" max="8" width="3.88"/>
    <col customWidth="1" min="11" max="14" width="3.88"/>
    <col customWidth="1" min="15" max="15" width="6.38"/>
    <col customWidth="1" min="16" max="16" width="3.88"/>
  </cols>
  <sheetData>
    <row r="1">
      <c r="B1" s="49" t="s">
        <v>0</v>
      </c>
      <c r="J1" s="49" t="s">
        <v>7</v>
      </c>
    </row>
    <row r="4">
      <c r="C4" s="62" t="s">
        <v>6</v>
      </c>
      <c r="D4" s="62" t="s">
        <v>9</v>
      </c>
      <c r="E4" s="62" t="s">
        <v>19</v>
      </c>
      <c r="F4" s="62" t="s">
        <v>31</v>
      </c>
      <c r="G4" s="62" t="s">
        <v>3</v>
      </c>
      <c r="H4" s="62" t="s">
        <v>4</v>
      </c>
      <c r="I4" s="49" t="s">
        <v>93</v>
      </c>
      <c r="K4" s="62" t="s">
        <v>94</v>
      </c>
      <c r="L4" s="62" t="s">
        <v>95</v>
      </c>
      <c r="M4" s="62" t="s">
        <v>96</v>
      </c>
      <c r="N4" s="62" t="s">
        <v>97</v>
      </c>
      <c r="O4" s="62" t="s">
        <v>3</v>
      </c>
      <c r="P4" s="62" t="s">
        <v>4</v>
      </c>
      <c r="Q4" s="49" t="s">
        <v>98</v>
      </c>
    </row>
    <row r="7">
      <c r="B7" s="49" t="s">
        <v>6</v>
      </c>
      <c r="C7" s="48"/>
      <c r="D7" s="49">
        <v>46.0</v>
      </c>
      <c r="E7" s="49">
        <v>96.0</v>
      </c>
      <c r="F7" s="49">
        <v>12.0</v>
      </c>
      <c r="G7">
        <v>96.0</v>
      </c>
      <c r="H7">
        <v>0.0</v>
      </c>
      <c r="J7" s="49" t="s">
        <v>94</v>
      </c>
      <c r="K7" s="48"/>
      <c r="L7" s="49">
        <v>28.0</v>
      </c>
      <c r="M7" s="49">
        <v>17.0</v>
      </c>
      <c r="N7" s="49">
        <v>100.0</v>
      </c>
      <c r="O7">
        <v>102.67</v>
      </c>
      <c r="P7">
        <v>4.0</v>
      </c>
    </row>
    <row r="8">
      <c r="B8" s="49" t="s">
        <v>9</v>
      </c>
      <c r="C8" s="49">
        <v>162.0</v>
      </c>
      <c r="D8" s="48"/>
      <c r="E8" s="49">
        <v>24.0</v>
      </c>
      <c r="F8" s="49">
        <v>64.0</v>
      </c>
      <c r="G8">
        <v>101.33</v>
      </c>
      <c r="H8">
        <v>4.0</v>
      </c>
      <c r="J8" s="49" t="s">
        <v>95</v>
      </c>
      <c r="K8" s="49">
        <v>153.0</v>
      </c>
      <c r="L8" s="48"/>
      <c r="M8" s="49">
        <v>161.0</v>
      </c>
      <c r="N8" s="49">
        <v>104.0</v>
      </c>
      <c r="O8">
        <v>101.33</v>
      </c>
      <c r="P8">
        <v>4.0</v>
      </c>
    </row>
    <row r="9">
      <c r="B9" s="49" t="s">
        <v>19</v>
      </c>
      <c r="C9" s="49">
        <v>4.0</v>
      </c>
      <c r="D9" s="49">
        <v>96.0</v>
      </c>
      <c r="E9" s="48"/>
      <c r="F9" s="49">
        <v>23.0</v>
      </c>
      <c r="G9">
        <v>100.0</v>
      </c>
      <c r="H9">
        <v>4.0</v>
      </c>
      <c r="J9" s="49" t="s">
        <v>96</v>
      </c>
      <c r="K9" s="49">
        <v>123.0</v>
      </c>
      <c r="L9" s="49">
        <v>143.0</v>
      </c>
      <c r="M9" s="48"/>
      <c r="N9" s="49">
        <v>123.0</v>
      </c>
      <c r="O9">
        <v>97.33</v>
      </c>
      <c r="P9">
        <v>0.0</v>
      </c>
    </row>
    <row r="10">
      <c r="B10" s="49" t="s">
        <v>31</v>
      </c>
      <c r="C10" s="49">
        <v>4.0</v>
      </c>
      <c r="D10" s="49">
        <v>8.0</v>
      </c>
      <c r="E10" s="49">
        <v>8.0</v>
      </c>
      <c r="F10" s="48"/>
      <c r="G10">
        <v>102.67</v>
      </c>
      <c r="H10">
        <v>4.0</v>
      </c>
      <c r="J10" s="49" t="s">
        <v>97</v>
      </c>
      <c r="K10" s="49">
        <v>164.0</v>
      </c>
      <c r="L10" s="49">
        <v>153.0</v>
      </c>
      <c r="M10" s="49">
        <v>125.0</v>
      </c>
      <c r="N10" s="48"/>
      <c r="O10">
        <v>100.0</v>
      </c>
      <c r="P10">
        <v>4.0</v>
      </c>
    </row>
    <row r="12">
      <c r="B12" s="49" t="s">
        <v>99</v>
      </c>
      <c r="J12" s="49" t="s">
        <v>100</v>
      </c>
    </row>
    <row r="15">
      <c r="C15" s="62" t="s">
        <v>101</v>
      </c>
      <c r="D15" s="62" t="s">
        <v>102</v>
      </c>
      <c r="E15" s="62" t="s">
        <v>103</v>
      </c>
      <c r="F15" s="62" t="s">
        <v>104</v>
      </c>
      <c r="G15" s="62" t="s">
        <v>3</v>
      </c>
      <c r="H15" s="62" t="s">
        <v>4</v>
      </c>
      <c r="K15" s="62" t="s">
        <v>105</v>
      </c>
      <c r="L15" s="62" t="s">
        <v>106</v>
      </c>
      <c r="M15" s="62" t="s">
        <v>107</v>
      </c>
      <c r="N15" s="62" t="s">
        <v>108</v>
      </c>
      <c r="O15" s="62" t="s">
        <v>3</v>
      </c>
      <c r="P15" s="62" t="s">
        <v>4</v>
      </c>
    </row>
    <row r="18">
      <c r="B18" s="49" t="s">
        <v>101</v>
      </c>
      <c r="C18" s="48"/>
      <c r="D18" s="49">
        <v>146.0</v>
      </c>
      <c r="E18" s="49">
        <v>101.0</v>
      </c>
      <c r="F18" s="49">
        <v>164.0</v>
      </c>
      <c r="G18">
        <v>100.67</v>
      </c>
      <c r="H18">
        <v>6.0</v>
      </c>
      <c r="I18" s="49" t="s">
        <v>109</v>
      </c>
      <c r="J18" s="49" t="s">
        <v>105</v>
      </c>
      <c r="K18" s="48"/>
      <c r="L18" s="49">
        <v>104.0</v>
      </c>
      <c r="M18" s="49">
        <v>199.0</v>
      </c>
      <c r="N18" s="49">
        <v>104.0</v>
      </c>
      <c r="O18">
        <v>104.0</v>
      </c>
      <c r="P18">
        <v>6.0</v>
      </c>
      <c r="Q18" s="49" t="s">
        <v>110</v>
      </c>
    </row>
    <row r="19">
      <c r="B19" s="49" t="s">
        <v>102</v>
      </c>
      <c r="C19" s="49">
        <v>0.0</v>
      </c>
      <c r="D19" s="48"/>
      <c r="E19" s="49">
        <v>132.0</v>
      </c>
      <c r="F19" s="49">
        <v>185.0</v>
      </c>
      <c r="G19">
        <v>78.33</v>
      </c>
      <c r="H19">
        <v>4.0</v>
      </c>
      <c r="J19" s="49" t="s">
        <v>106</v>
      </c>
      <c r="K19" s="49">
        <v>92.0</v>
      </c>
      <c r="L19" s="48"/>
      <c r="M19" s="49">
        <v>97.0</v>
      </c>
      <c r="N19" s="49">
        <v>200.0</v>
      </c>
      <c r="O19">
        <v>98.67</v>
      </c>
      <c r="P19">
        <v>2.0</v>
      </c>
    </row>
    <row r="20">
      <c r="B20" s="49" t="s">
        <v>103</v>
      </c>
      <c r="C20" s="49">
        <v>0.0</v>
      </c>
      <c r="D20" s="49">
        <v>0.0</v>
      </c>
      <c r="E20" s="48"/>
      <c r="F20" s="49">
        <v>15.0</v>
      </c>
      <c r="G20">
        <v>88.0</v>
      </c>
      <c r="H20">
        <v>0.0</v>
      </c>
      <c r="J20" s="49" t="s">
        <v>107</v>
      </c>
      <c r="K20" s="49">
        <v>88.0</v>
      </c>
      <c r="L20" s="49">
        <v>42.0</v>
      </c>
      <c r="M20" s="48"/>
      <c r="N20" s="49">
        <v>104.0</v>
      </c>
      <c r="O20">
        <v>100.0</v>
      </c>
      <c r="P20">
        <v>2.0</v>
      </c>
    </row>
    <row r="21">
      <c r="B21" s="49" t="s">
        <v>104</v>
      </c>
      <c r="C21" s="49">
        <v>0.0</v>
      </c>
      <c r="D21" s="49">
        <v>0.0</v>
      </c>
      <c r="E21" s="49">
        <v>2.0</v>
      </c>
      <c r="F21" s="48"/>
      <c r="G21">
        <v>61.67</v>
      </c>
      <c r="H21">
        <v>2.0</v>
      </c>
      <c r="J21" s="49" t="s">
        <v>108</v>
      </c>
      <c r="K21" s="49">
        <v>68.0</v>
      </c>
      <c r="L21" s="49">
        <v>104.0</v>
      </c>
      <c r="M21" s="49">
        <v>200.0</v>
      </c>
      <c r="N21" s="48"/>
      <c r="O21">
        <v>101.33</v>
      </c>
      <c r="P21">
        <v>2.0</v>
      </c>
    </row>
    <row r="23">
      <c r="B23" s="49" t="s">
        <v>111</v>
      </c>
      <c r="J23" s="49" t="s">
        <v>112</v>
      </c>
    </row>
    <row r="26">
      <c r="C26" s="62" t="s">
        <v>113</v>
      </c>
      <c r="D26" s="62" t="s">
        <v>114</v>
      </c>
      <c r="E26" s="62" t="s">
        <v>115</v>
      </c>
      <c r="F26" s="62" t="s">
        <v>116</v>
      </c>
      <c r="G26" s="62" t="s">
        <v>3</v>
      </c>
      <c r="H26" s="62" t="s">
        <v>4</v>
      </c>
      <c r="K26" s="62" t="s">
        <v>117</v>
      </c>
      <c r="L26" s="62" t="s">
        <v>118</v>
      </c>
      <c r="M26" s="62" t="s">
        <v>119</v>
      </c>
      <c r="N26" s="62" t="s">
        <v>120</v>
      </c>
      <c r="O26" s="62" t="s">
        <v>3</v>
      </c>
      <c r="P26" s="62" t="s">
        <v>4</v>
      </c>
    </row>
    <row r="29">
      <c r="B29" s="49" t="s">
        <v>113</v>
      </c>
      <c r="C29" s="48"/>
      <c r="D29" s="49">
        <v>0.0</v>
      </c>
      <c r="E29" s="49">
        <v>0.0</v>
      </c>
      <c r="F29" s="49">
        <v>0.0</v>
      </c>
      <c r="G29">
        <v>92.0</v>
      </c>
      <c r="H29">
        <v>0.0</v>
      </c>
      <c r="I29" s="49" t="s">
        <v>121</v>
      </c>
      <c r="J29" s="49" t="s">
        <v>117</v>
      </c>
      <c r="K29" s="48"/>
      <c r="L29" s="49">
        <v>200.0</v>
      </c>
      <c r="M29" s="49">
        <v>92.0</v>
      </c>
      <c r="N29" s="49">
        <v>84.0</v>
      </c>
      <c r="O29">
        <v>90.67</v>
      </c>
      <c r="P29">
        <v>2.0</v>
      </c>
      <c r="Q29" s="49" t="s">
        <v>122</v>
      </c>
    </row>
    <row r="30">
      <c r="B30" s="49" t="s">
        <v>114</v>
      </c>
      <c r="C30" s="49">
        <v>87.0</v>
      </c>
      <c r="D30" s="48"/>
      <c r="E30" s="49">
        <v>0.0</v>
      </c>
      <c r="F30" s="49">
        <v>0.0</v>
      </c>
      <c r="G30">
        <v>97.33</v>
      </c>
      <c r="H30">
        <v>4.0</v>
      </c>
      <c r="J30" s="49" t="s">
        <v>118</v>
      </c>
      <c r="K30" s="49">
        <v>28.0</v>
      </c>
      <c r="L30" s="48"/>
      <c r="M30" s="49">
        <v>44.0</v>
      </c>
      <c r="N30" s="49">
        <v>200.0</v>
      </c>
      <c r="O30">
        <v>92.0</v>
      </c>
      <c r="P30">
        <v>2.0</v>
      </c>
    </row>
    <row r="31">
      <c r="B31" s="49" t="s">
        <v>115</v>
      </c>
      <c r="C31" s="49">
        <v>86.0</v>
      </c>
      <c r="D31" s="49">
        <v>84.0</v>
      </c>
      <c r="E31" s="48"/>
      <c r="F31" s="49">
        <v>0.0</v>
      </c>
      <c r="G31">
        <v>96.0</v>
      </c>
      <c r="H31">
        <v>4.0</v>
      </c>
      <c r="J31" s="49" t="s">
        <v>119</v>
      </c>
      <c r="K31" s="49">
        <v>42.0</v>
      </c>
      <c r="L31" s="49">
        <v>48.0</v>
      </c>
      <c r="M31" s="48"/>
      <c r="N31" s="49">
        <v>18.0</v>
      </c>
      <c r="O31">
        <v>93.33</v>
      </c>
      <c r="P31">
        <v>2.0</v>
      </c>
    </row>
    <row r="32">
      <c r="B32" s="49" t="s">
        <v>116</v>
      </c>
      <c r="C32" s="49">
        <v>85.0</v>
      </c>
      <c r="D32" s="49">
        <v>83.0</v>
      </c>
      <c r="E32" s="49">
        <v>81.0</v>
      </c>
      <c r="F32" s="48"/>
      <c r="G32">
        <v>98.67</v>
      </c>
      <c r="H32">
        <v>4.0</v>
      </c>
      <c r="J32" s="49" t="s">
        <v>120</v>
      </c>
      <c r="K32" s="49">
        <v>78.0</v>
      </c>
      <c r="L32" s="49">
        <v>56.0</v>
      </c>
      <c r="M32" s="49">
        <v>91.0</v>
      </c>
      <c r="N32" s="48"/>
      <c r="O32">
        <v>96.0</v>
      </c>
      <c r="P32">
        <v>6.0</v>
      </c>
    </row>
  </sheetData>
  <mergeCells count="36">
    <mergeCell ref="L4:L6"/>
    <mergeCell ref="M4:M6"/>
    <mergeCell ref="N4:N6"/>
    <mergeCell ref="O4:O6"/>
    <mergeCell ref="P4:P6"/>
    <mergeCell ref="C4:C6"/>
    <mergeCell ref="D4:D6"/>
    <mergeCell ref="E4:E6"/>
    <mergeCell ref="F4:F6"/>
    <mergeCell ref="G4:G6"/>
    <mergeCell ref="H4:H6"/>
    <mergeCell ref="K4:K6"/>
    <mergeCell ref="L15:L17"/>
    <mergeCell ref="M15:M17"/>
    <mergeCell ref="N15:N17"/>
    <mergeCell ref="O15:O17"/>
    <mergeCell ref="P15:P17"/>
    <mergeCell ref="C15:C17"/>
    <mergeCell ref="D15:D17"/>
    <mergeCell ref="E15:E17"/>
    <mergeCell ref="F15:F17"/>
    <mergeCell ref="G15:G17"/>
    <mergeCell ref="H15:H17"/>
    <mergeCell ref="K15:K17"/>
    <mergeCell ref="L26:L28"/>
    <mergeCell ref="M26:M28"/>
    <mergeCell ref="N26:N28"/>
    <mergeCell ref="O26:O28"/>
    <mergeCell ref="P26:P28"/>
    <mergeCell ref="C26:C28"/>
    <mergeCell ref="D26:D28"/>
    <mergeCell ref="E26:E28"/>
    <mergeCell ref="F26:F28"/>
    <mergeCell ref="G26:G28"/>
    <mergeCell ref="H26:H28"/>
    <mergeCell ref="K26:K28"/>
  </mergeCells>
  <drawing r:id="rId1"/>
</worksheet>
</file>