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Double Elimination" sheetId="2" r:id="rId6"/>
    <sheet state="visible" name="Round Robin Room Assignments" sheetId="3" r:id="rId7"/>
  </sheets>
  <definedNames/>
  <calcPr/>
</workbook>
</file>

<file path=xl/sharedStrings.xml><?xml version="1.0" encoding="utf-8"?>
<sst xmlns="http://schemas.openxmlformats.org/spreadsheetml/2006/main" count="457" uniqueCount="303">
  <si>
    <t>Round 1</t>
  </si>
  <si>
    <t>DE 1 (TOP 16)</t>
  </si>
  <si>
    <t>Note: 2 points will be awarded for a win, one point for a tie, and zero points for a loss. The RR Ranking will be determined by the total number of points awarded. In the case of a two-way tie the team that won the match between the two tied teams gains a higher ranking. Three or more way ties will be broken by PPG. The top two teams from each RR group advances to the double elimination bracket.</t>
  </si>
  <si>
    <t>Round 2</t>
  </si>
  <si>
    <t>Round 3</t>
  </si>
  <si>
    <t>Round 4</t>
  </si>
  <si>
    <t>Round 5</t>
  </si>
  <si>
    <t>Room</t>
  </si>
  <si>
    <t>DE 2 (TOP 16)</t>
  </si>
  <si>
    <t>DE 3 (TOP 12)</t>
  </si>
  <si>
    <t>DE 4 (TOP 8)</t>
  </si>
  <si>
    <t>DE 5 (TOP 6)</t>
  </si>
  <si>
    <t>DE 6 (TOP 4)</t>
  </si>
  <si>
    <t>DE 7 (TOP 3)</t>
  </si>
  <si>
    <t>FINALS (TOP 2)</t>
  </si>
  <si>
    <t>Hydrogen</t>
  </si>
  <si>
    <t>Hydrogen-1</t>
  </si>
  <si>
    <t>H1 – H2</t>
  </si>
  <si>
    <t>H3 – H4</t>
  </si>
  <si>
    <t>H1 – H5</t>
  </si>
  <si>
    <t>H1 – H4</t>
  </si>
  <si>
    <t>H2 – H4</t>
  </si>
  <si>
    <t>Hydrogen-2</t>
  </si>
  <si>
    <t>H4 – H5</t>
  </si>
  <si>
    <t>H2 – H5</t>
  </si>
  <si>
    <t>H2 – H3</t>
  </si>
  <si>
    <t>H3 – H5</t>
  </si>
  <si>
    <t>H1 – H3</t>
  </si>
  <si>
    <t>Hydrogen-3</t>
  </si>
  <si>
    <t>H3 – BYE</t>
  </si>
  <si>
    <t>H1 – BYE</t>
  </si>
  <si>
    <t>H4 – BYE</t>
  </si>
  <si>
    <t>H2 – BYE</t>
  </si>
  <si>
    <t>H5 – BYE</t>
  </si>
  <si>
    <t>Bye rooms will not exist in the Zoom meeting, just sit back and rest for those blocks. Competitors will not have any place they need to be during byes.</t>
  </si>
  <si>
    <t>Boron-10</t>
  </si>
  <si>
    <t>B1 – B2</t>
  </si>
  <si>
    <t>B3 – B4</t>
  </si>
  <si>
    <t>B4 – B6</t>
  </si>
  <si>
    <t>B1 – B4</t>
  </si>
  <si>
    <t>B5 – B6</t>
  </si>
  <si>
    <t>Boron-11</t>
  </si>
  <si>
    <t>B3 – B6</t>
  </si>
  <si>
    <t>B1 – B6</t>
  </si>
  <si>
    <t>B2 – B3</t>
  </si>
  <si>
    <t>B3 – B5</t>
  </si>
  <si>
    <t>B1 – B3</t>
  </si>
  <si>
    <t>Boron-12</t>
  </si>
  <si>
    <t>B4 – B5</t>
  </si>
  <si>
    <t>B2 – B5</t>
  </si>
  <si>
    <t>B1 – B5</t>
  </si>
  <si>
    <t>B2 – B6</t>
  </si>
  <si>
    <t>B2 – B4</t>
  </si>
  <si>
    <t>Carbon-12</t>
  </si>
  <si>
    <t>C1 – C2</t>
  </si>
  <si>
    <t>C3 – C4</t>
  </si>
  <si>
    <t>C4 – C6</t>
  </si>
  <si>
    <t>C1 – C4</t>
  </si>
  <si>
    <t>C5 – C6</t>
  </si>
  <si>
    <t>Carbon-13</t>
  </si>
  <si>
    <t>C3 – C6</t>
  </si>
  <si>
    <t>C1 – C6</t>
  </si>
  <si>
    <t>C2 – C3</t>
  </si>
  <si>
    <t>C3 – C5</t>
  </si>
  <si>
    <t>C1 – C3</t>
  </si>
  <si>
    <t>Carbon-14</t>
  </si>
  <si>
    <t>C4 – C5</t>
  </si>
  <si>
    <t>C2 – C5</t>
  </si>
  <si>
    <t>C1 – C5</t>
  </si>
  <si>
    <t>C2 – C6</t>
  </si>
  <si>
    <t>C2 – C4</t>
  </si>
  <si>
    <t>Nitrogen-13</t>
  </si>
  <si>
    <t>N1 – N2</t>
  </si>
  <si>
    <t>N3 – N4</t>
  </si>
  <si>
    <t>N1 – N5</t>
  </si>
  <si>
    <t>N1 – N4</t>
  </si>
  <si>
    <t>N2 – N4</t>
  </si>
  <si>
    <t>Nitrogen-14</t>
  </si>
  <si>
    <t>N4 – N5</t>
  </si>
  <si>
    <t>N2 – N5</t>
  </si>
  <si>
    <t>N2 – N3</t>
  </si>
  <si>
    <t>N3 – N5</t>
  </si>
  <si>
    <t>N1 – N3</t>
  </si>
  <si>
    <t>Nitrogen-15</t>
  </si>
  <si>
    <t>N3 – BYE</t>
  </si>
  <si>
    <t>N1 – BYE</t>
  </si>
  <si>
    <t>N4 – BYE</t>
  </si>
  <si>
    <t>N2 – BYE</t>
  </si>
  <si>
    <t>N5 – BYE</t>
  </si>
  <si>
    <t>Oxygen-16</t>
  </si>
  <si>
    <t>O1 – O2</t>
  </si>
  <si>
    <t>O3 – O4</t>
  </si>
  <si>
    <t>O1 – O5</t>
  </si>
  <si>
    <t>O1 – O4</t>
  </si>
  <si>
    <t>O2 – O4</t>
  </si>
  <si>
    <t>Oxygen-17</t>
  </si>
  <si>
    <t>O4 – O5</t>
  </si>
  <si>
    <t>O2 – O5</t>
  </si>
  <si>
    <t>O2 – O3</t>
  </si>
  <si>
    <t>O3 – O5</t>
  </si>
  <si>
    <t>O1 – O3</t>
  </si>
  <si>
    <t>Oxygen-18</t>
  </si>
  <si>
    <t>O3 – BYE</t>
  </si>
  <si>
    <t>O1 – BYE</t>
  </si>
  <si>
    <t>O4 – BYE</t>
  </si>
  <si>
    <t>O2 – BYE</t>
  </si>
  <si>
    <t>O5 – BYE</t>
  </si>
  <si>
    <t>Fluorine-17</t>
  </si>
  <si>
    <t>F1 – F2</t>
  </si>
  <si>
    <t>F3 – F4</t>
  </si>
  <si>
    <t>F1 – F5</t>
  </si>
  <si>
    <t>F1 – F4</t>
  </si>
  <si>
    <t>F2 – F4</t>
  </si>
  <si>
    <t>Fluorine-18</t>
  </si>
  <si>
    <t>F4 – F5</t>
  </si>
  <si>
    <t>F2 – F5</t>
  </si>
  <si>
    <t>F2 – F3</t>
  </si>
  <si>
    <t>F3 – F5</t>
  </si>
  <si>
    <t>F1 – F3</t>
  </si>
  <si>
    <t>Fluorine-19</t>
  </si>
  <si>
    <t>F3 – BYE</t>
  </si>
  <si>
    <t>F1 – BYE</t>
  </si>
  <si>
    <t>F4 – BYE</t>
  </si>
  <si>
    <t>F2 – BYE</t>
  </si>
  <si>
    <t>F5 – F6</t>
  </si>
  <si>
    <t>Phosphorus-31</t>
  </si>
  <si>
    <t>P1 – P2</t>
  </si>
  <si>
    <t>P3 – P4</t>
  </si>
  <si>
    <t>P1 – P5</t>
  </si>
  <si>
    <t>P1 – P4</t>
  </si>
  <si>
    <t>P2 – P4</t>
  </si>
  <si>
    <t>Phosphorus-32</t>
  </si>
  <si>
    <t>P4 – P5</t>
  </si>
  <si>
    <t>P2 – P5</t>
  </si>
  <si>
    <t>P2 – P3</t>
  </si>
  <si>
    <t>P3 – P5</t>
  </si>
  <si>
    <t>P1 – P3</t>
  </si>
  <si>
    <t>Phosphorus-33</t>
  </si>
  <si>
    <t>P3 – BYE</t>
  </si>
  <si>
    <t>P1 – BYE</t>
  </si>
  <si>
    <t>P4 – BYE</t>
  </si>
  <si>
    <t>P2 – BYE</t>
  </si>
  <si>
    <t>P5 – BYE</t>
  </si>
  <si>
    <t>Sulfur-32</t>
  </si>
  <si>
    <t>S1 – S2</t>
  </si>
  <si>
    <t>S3 – S4</t>
  </si>
  <si>
    <t>S1 – S5</t>
  </si>
  <si>
    <t>S1 -–S4</t>
  </si>
  <si>
    <t>S2 – S4</t>
  </si>
  <si>
    <t>Sulfur-33</t>
  </si>
  <si>
    <t>S4 – S5</t>
  </si>
  <si>
    <t>S2 – S5</t>
  </si>
  <si>
    <t>S2 – S3</t>
  </si>
  <si>
    <t>S3 – S5</t>
  </si>
  <si>
    <t>S1 – S3</t>
  </si>
  <si>
    <t xml:space="preserve"> </t>
  </si>
  <si>
    <t>Sulfur-34</t>
  </si>
  <si>
    <t>S3 – BYE</t>
  </si>
  <si>
    <t>S1 – BYE</t>
  </si>
  <si>
    <t>S4 – BYE</t>
  </si>
  <si>
    <t>S2 - BYE</t>
  </si>
  <si>
    <t>S5 – BYE</t>
  </si>
  <si>
    <t>Opponent</t>
  </si>
  <si>
    <t>Team Name</t>
  </si>
  <si>
    <t>H1</t>
  </si>
  <si>
    <t>H2</t>
  </si>
  <si>
    <t>H3</t>
  </si>
  <si>
    <t>H4</t>
  </si>
  <si>
    <t>H5</t>
  </si>
  <si>
    <t>H6</t>
  </si>
  <si>
    <t>PPG</t>
  </si>
  <si>
    <t>Ranking Points</t>
  </si>
  <si>
    <t>RR Ranking</t>
  </si>
  <si>
    <t>Noho 1</t>
  </si>
  <si>
    <t>Palo Alto 2</t>
  </si>
  <si>
    <t>Key: W1-5 indicates Winner's bracket, DE1, Match 5</t>
  </si>
  <si>
    <t>Hydrogen-1 (W1-1)</t>
  </si>
  <si>
    <t>Interlake 1</t>
  </si>
  <si>
    <t>Canyon Crest</t>
  </si>
  <si>
    <t>Hydrogen-1 (W2-1)</t>
  </si>
  <si>
    <t>BYE</t>
  </si>
  <si>
    <t>Lynbrook</t>
  </si>
  <si>
    <t>Lynbrook 1</t>
  </si>
  <si>
    <t>Seven Lakes 2</t>
  </si>
  <si>
    <t>Boron-10 (W1-2)</t>
  </si>
  <si>
    <t>East Lyme</t>
  </si>
  <si>
    <t>WWPS 1</t>
  </si>
  <si>
    <t>Hydrogen-1 (W4-1)</t>
  </si>
  <si>
    <t>TJHSST</t>
  </si>
  <si>
    <t>Carbon-12 (W1-3)</t>
  </si>
  <si>
    <t>Foothill</t>
  </si>
  <si>
    <t>Boron-10 (W2-2)</t>
  </si>
  <si>
    <t>Amador</t>
  </si>
  <si>
    <t>Boron</t>
  </si>
  <si>
    <t>Palo Alto 1</t>
  </si>
  <si>
    <t>Nitrogen-13 (W1-4)</t>
  </si>
  <si>
    <t>Amador 1</t>
  </si>
  <si>
    <t>Hydrogen-1 (W6-1)</t>
  </si>
  <si>
    <t>B1</t>
  </si>
  <si>
    <t>B2</t>
  </si>
  <si>
    <t>B3</t>
  </si>
  <si>
    <t>B4</t>
  </si>
  <si>
    <t>B5</t>
  </si>
  <si>
    <t>B6</t>
  </si>
  <si>
    <t>MSJ</t>
  </si>
  <si>
    <t>Clements</t>
  </si>
  <si>
    <t>Oxygen-16 (W1-5)</t>
  </si>
  <si>
    <t>Carbon-12 (W2-3)</t>
  </si>
  <si>
    <t>Lakeside</t>
  </si>
  <si>
    <t>Arcadia</t>
  </si>
  <si>
    <t>Fluorine-17 (W1-6)</t>
  </si>
  <si>
    <t>Green Hope</t>
  </si>
  <si>
    <t>Interlake 2</t>
  </si>
  <si>
    <t>Boron-10 (W4-2)</t>
  </si>
  <si>
    <t>WWPN</t>
  </si>
  <si>
    <t>East Brunswick</t>
  </si>
  <si>
    <t>ASFA 1</t>
  </si>
  <si>
    <t>CHAMPIONS!!</t>
  </si>
  <si>
    <t>Phosphorus-31 (W1-7)</t>
  </si>
  <si>
    <t>Niskayuna</t>
  </si>
  <si>
    <t>Nitrogen-13 (W2-4)</t>
  </si>
  <si>
    <t>Sulfur-32 (W1-8)</t>
  </si>
  <si>
    <t>Princeton</t>
  </si>
  <si>
    <t>Carbon</t>
  </si>
  <si>
    <t>Hydrogen-1 (L3-1)</t>
  </si>
  <si>
    <t xml:space="preserve">Interlake </t>
  </si>
  <si>
    <t>Hydrogen-1 (L5-1)</t>
  </si>
  <si>
    <t>Hydrogen-1 (L7-1)</t>
  </si>
  <si>
    <t>C1</t>
  </si>
  <si>
    <t>C2</t>
  </si>
  <si>
    <t>C3</t>
  </si>
  <si>
    <t>C4</t>
  </si>
  <si>
    <t>C5</t>
  </si>
  <si>
    <t>C6</t>
  </si>
  <si>
    <t>University</t>
  </si>
  <si>
    <t>Oxygen-16 (L2-1)</t>
  </si>
  <si>
    <t>Carbon-12 (L4-1)</t>
  </si>
  <si>
    <t>Boron-10 (L3-2)</t>
  </si>
  <si>
    <t>Boron-10 (L6-1)</t>
  </si>
  <si>
    <t>IMSA 1</t>
  </si>
  <si>
    <t>Fluorine-17 (L2-2)</t>
  </si>
  <si>
    <t>WWPS 2</t>
  </si>
  <si>
    <t>Lubbock</t>
  </si>
  <si>
    <t>Carbon-12 (L3-3)</t>
  </si>
  <si>
    <t>FRFT</t>
  </si>
  <si>
    <t>Boron-10 (L5-2)</t>
  </si>
  <si>
    <t>Phosphorus-31 (L2-3)</t>
  </si>
  <si>
    <t>Nitrogen-13 (L4-2)</t>
  </si>
  <si>
    <t>Nitrogen</t>
  </si>
  <si>
    <t>Nitrogen-13 (L3-4)</t>
  </si>
  <si>
    <t>N/A</t>
  </si>
  <si>
    <t>Sulfur-32 (L2-4)</t>
  </si>
  <si>
    <t>N1</t>
  </si>
  <si>
    <t>N2</t>
  </si>
  <si>
    <t>N3</t>
  </si>
  <si>
    <t>N4</t>
  </si>
  <si>
    <t>N5</t>
  </si>
  <si>
    <t>N6</t>
  </si>
  <si>
    <t>Churchill</t>
  </si>
  <si>
    <t>Amador 2</t>
  </si>
  <si>
    <t>McLean</t>
  </si>
  <si>
    <t>Oxygen</t>
  </si>
  <si>
    <t>O1</t>
  </si>
  <si>
    <t>O2</t>
  </si>
  <si>
    <t>O3</t>
  </si>
  <si>
    <t>O4</t>
  </si>
  <si>
    <t>O5</t>
  </si>
  <si>
    <t>O6</t>
  </si>
  <si>
    <t>Stuyvesant</t>
  </si>
  <si>
    <t>IMSA 2</t>
  </si>
  <si>
    <t>Lynbrook 2</t>
  </si>
  <si>
    <t>Fluorine</t>
  </si>
  <si>
    <t>F1</t>
  </si>
  <si>
    <t>F2</t>
  </si>
  <si>
    <t>F3</t>
  </si>
  <si>
    <t>F4</t>
  </si>
  <si>
    <t>F5</t>
  </si>
  <si>
    <t>F6</t>
  </si>
  <si>
    <t>Seven Lakes 1</t>
  </si>
  <si>
    <t>CCP</t>
  </si>
  <si>
    <t>Davidson Magnet</t>
  </si>
  <si>
    <t>TJ ADVANCES, PPG</t>
  </si>
  <si>
    <t>Phosphorus</t>
  </si>
  <si>
    <t>P1</t>
  </si>
  <si>
    <t>P2</t>
  </si>
  <si>
    <t>P3</t>
  </si>
  <si>
    <t>P4</t>
  </si>
  <si>
    <t>P5</t>
  </si>
  <si>
    <t>P6</t>
  </si>
  <si>
    <t>Noho 2</t>
  </si>
  <si>
    <t>Iolani</t>
  </si>
  <si>
    <t>PA1 ADVANCES, H2H</t>
  </si>
  <si>
    <t>Francisco Bravo</t>
  </si>
  <si>
    <t>Sulfur</t>
  </si>
  <si>
    <t>S1</t>
  </si>
  <si>
    <t>S2</t>
  </si>
  <si>
    <t>S3</t>
  </si>
  <si>
    <t>S4</t>
  </si>
  <si>
    <t>S5</t>
  </si>
  <si>
    <t>S6</t>
  </si>
  <si>
    <t>ASFA 2</t>
  </si>
  <si>
    <t>PRISMS</t>
  </si>
  <si>
    <t>Frost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</si>
</sst>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/>
    <font>
      <b/>
      <color theme="1"/>
      <name val="Arial"/>
    </font>
    <font>
      <color theme="1"/>
      <name val="Arial"/>
    </font>
    <font>
      <color rgb="FF000000"/>
      <name val="Arial"/>
    </font>
    <font>
      <b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76A5AF"/>
        <bgColor rgb="FF76A5A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33">
    <border/>
    <border>
      <left style="thin">
        <color rgb="FFFFD966"/>
      </left>
      <top style="thin">
        <color rgb="FFFFD966"/>
      </top>
      <bottom style="thin">
        <color rgb="FFFFD966"/>
      </bottom>
    </border>
    <border>
      <top style="thin">
        <color rgb="FFFFD966"/>
      </top>
      <bottom style="thin">
        <color rgb="FFFFD966"/>
      </bottom>
    </border>
    <border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E06666"/>
      </left>
      <top style="thin">
        <color rgb="FFE06666"/>
      </top>
      <bottom style="thin">
        <color rgb="FFE06666"/>
      </bottom>
    </border>
    <border>
      <top style="thin">
        <color rgb="FFE06666"/>
      </top>
      <bottom style="thin">
        <color rgb="FFE06666"/>
      </bottom>
    </border>
    <border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6D9EEB"/>
      </left>
      <top style="thin">
        <color rgb="FF6D9EEB"/>
      </top>
      <bottom style="thin">
        <color rgb="FF6D9EEB"/>
      </bottom>
    </border>
    <border>
      <top style="thin">
        <color rgb="FF6D9EEB"/>
      </top>
      <bottom style="thin">
        <color rgb="FF6D9EEB"/>
      </bottom>
    </border>
    <border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D5A6BD"/>
      </left>
      <top style="thin">
        <color rgb="FFD5A6BD"/>
      </top>
      <bottom style="thin">
        <color rgb="FFD5A6BD"/>
      </bottom>
    </border>
    <border>
      <top style="thin">
        <color rgb="FFD5A6BD"/>
      </top>
      <bottom style="thin">
        <color rgb="FFD5A6BD"/>
      </bottom>
    </border>
    <border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B6D7A8"/>
      </left>
      <top style="thin">
        <color rgb="FFB6D7A8"/>
      </top>
      <bottom style="thin">
        <color rgb="FFB6D7A8"/>
      </bottom>
    </border>
    <border>
      <top style="thin">
        <color rgb="FFB6D7A8"/>
      </top>
      <bottom style="thin">
        <color rgb="FFB6D7A8"/>
      </bottom>
    </border>
    <border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4A7D6"/>
      </left>
      <top style="thin">
        <color rgb="FFB4A7D6"/>
      </top>
      <bottom style="thin">
        <color rgb="FFB4A7D6"/>
      </bottom>
    </border>
    <border>
      <top style="thin">
        <color rgb="FFB4A7D6"/>
      </top>
      <bottom style="thin">
        <color rgb="FFB4A7D6"/>
      </bottom>
    </border>
    <border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DD7E6B"/>
      </left>
      <top style="thin">
        <color rgb="FFDD7E6B"/>
      </top>
      <bottom style="thin">
        <color rgb="FFDD7E6B"/>
      </bottom>
    </border>
    <border>
      <top style="thin">
        <color rgb="FFDD7E6B"/>
      </top>
      <bottom style="thin">
        <color rgb="FFDD7E6B"/>
      </bottom>
    </border>
    <border>
      <right style="thin">
        <color rgb="FFDD7E6B"/>
      </right>
      <top style="thin">
        <color rgb="FFDD7E6B"/>
      </top>
      <bottom style="thin">
        <color rgb="FFDD7E6B"/>
      </bottom>
    </border>
    <border>
      <left style="thin">
        <color rgb="FFDD7E6B"/>
      </left>
      <right style="thin">
        <color rgb="FFDD7E6B"/>
      </right>
      <top style="thin">
        <color rgb="FFDD7E6B"/>
      </top>
      <bottom style="thin">
        <color rgb="FFDD7E6B"/>
      </bottom>
    </border>
    <border>
      <left style="thin">
        <color rgb="FF76A5AF"/>
      </left>
      <top style="thin">
        <color rgb="FF76A5AF"/>
      </top>
      <bottom style="thin">
        <color rgb="FF76A5AF"/>
      </bottom>
    </border>
    <border>
      <top style="thin">
        <color rgb="FF76A5AF"/>
      </top>
      <bottom style="thin">
        <color rgb="FF76A5AF"/>
      </bottom>
    </border>
    <border>
      <right style="thin">
        <color rgb="FF76A5AF"/>
      </right>
      <top style="thin">
        <color rgb="FF76A5AF"/>
      </top>
      <bottom style="thin">
        <color rgb="FF76A5AF"/>
      </bottom>
    </border>
    <border>
      <left style="thin">
        <color rgb="FF76A5AF"/>
      </left>
      <right style="thin">
        <color rgb="FF76A5AF"/>
      </right>
      <top style="thin">
        <color rgb="FF76A5AF"/>
      </top>
      <bottom style="thin">
        <color rgb="FF76A5AF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 shrinkToFit="0" vertical="bottom" wrapText="1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  <xf borderId="4" fillId="10" fontId="2" numFmtId="0" xfId="0" applyAlignment="1" applyBorder="1" applyFill="1" applyFont="1">
      <alignment readingOrder="0"/>
    </xf>
    <xf borderId="4" fillId="2" fontId="2" numFmtId="0" xfId="0" applyBorder="1" applyFill="1" applyFont="1"/>
    <xf borderId="4" fillId="2" fontId="2" numFmtId="0" xfId="0" applyAlignment="1" applyBorder="1" applyFill="1" applyFont="1">
      <alignment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4" fillId="13" fontId="2" numFmtId="0" xfId="0" applyAlignment="1" applyBorder="1" applyFill="1" applyFont="1">
      <alignment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/>
    </xf>
    <xf borderId="0" fillId="0" fontId="5" numFmtId="0" xfId="0" applyAlignment="1" applyFont="1">
      <alignment readingOrder="0" shrinkToFit="0" vertical="bottom" wrapText="1"/>
    </xf>
    <xf borderId="5" fillId="3" fontId="1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8" fillId="0" fontId="2" numFmtId="0" xfId="0" applyBorder="1" applyFont="1"/>
    <xf borderId="5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bottom"/>
    </xf>
    <xf borderId="8" fillId="0" fontId="2" numFmtId="0" xfId="0" applyAlignment="1" applyBorder="1" applyFont="1">
      <alignment readingOrder="0"/>
    </xf>
    <xf borderId="0" fillId="14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/>
    </xf>
    <xf borderId="8" fillId="0" fontId="1" numFmtId="0" xfId="0" applyAlignment="1" applyBorder="1" applyFont="1">
      <alignment readingOrder="0"/>
    </xf>
    <xf borderId="0" fillId="12" fontId="6" numFmtId="0" xfId="0" applyAlignment="1" applyFill="1" applyFont="1">
      <alignment horizontal="center" vertical="bottom"/>
    </xf>
    <xf borderId="8" fillId="10" fontId="2" numFmtId="0" xfId="0" applyAlignment="1" applyBorder="1" applyFill="1" applyFont="1">
      <alignment readingOrder="0"/>
    </xf>
    <xf borderId="8" fillId="3" fontId="2" numFmtId="0" xfId="0" applyBorder="1" applyFill="1" applyFont="1"/>
    <xf borderId="0" fillId="11" fontId="7" numFmtId="0" xfId="0" applyAlignment="1" applyFill="1" applyFont="1">
      <alignment horizontal="center" readingOrder="0"/>
    </xf>
    <xf borderId="8" fillId="13" fontId="2" numFmtId="0" xfId="0" applyAlignment="1" applyBorder="1" applyFill="1" applyFont="1">
      <alignment readingOrder="0"/>
    </xf>
    <xf borderId="0" fillId="0" fontId="5" numFmtId="0" xfId="0" applyAlignment="1" applyFont="1">
      <alignment horizontal="center" readingOrder="0" vertical="bottom"/>
    </xf>
    <xf borderId="0" fillId="15" fontId="2" numFmtId="0" xfId="0" applyAlignment="1" applyFill="1" applyFont="1">
      <alignment horizontal="center"/>
    </xf>
    <xf borderId="0" fillId="15" fontId="1" numFmtId="0" xfId="0" applyAlignment="1" applyFill="1" applyFont="1">
      <alignment horizontal="center" readingOrder="0"/>
    </xf>
    <xf borderId="0" fillId="14" fontId="8" numFmtId="0" xfId="0" applyAlignment="1" applyFill="1" applyFont="1">
      <alignment horizontal="left" readingOrder="0"/>
    </xf>
    <xf borderId="9" fillId="4" fontId="1" numFmtId="0" xfId="0" applyAlignment="1" applyBorder="1" applyFill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12" fillId="0" fontId="2" numFmtId="0" xfId="0" applyBorder="1" applyFont="1"/>
    <xf borderId="9" fillId="0" fontId="1" numFmtId="0" xfId="0" applyAlignment="1" applyBorder="1" applyFont="1">
      <alignment horizontal="center" readingOrder="0"/>
    </xf>
    <xf borderId="12" fillId="0" fontId="2" numFmtId="0" xfId="0" applyAlignment="1" applyBorder="1" applyFont="1">
      <alignment readingOrder="0"/>
    </xf>
    <xf borderId="0" fillId="12" fontId="6" numFmtId="0" xfId="0" applyAlignment="1" applyFill="1" applyFont="1">
      <alignment horizontal="center" readingOrder="0" vertical="bottom"/>
    </xf>
    <xf borderId="12" fillId="0" fontId="1" numFmtId="0" xfId="0" applyAlignment="1" applyBorder="1" applyFont="1">
      <alignment readingOrder="0"/>
    </xf>
    <xf borderId="0" fillId="14" fontId="6" numFmtId="0" xfId="0" applyAlignment="1" applyFill="1" applyFont="1">
      <alignment horizontal="center" vertical="bottom"/>
    </xf>
    <xf borderId="12" fillId="4" fontId="2" numFmtId="0" xfId="0" applyBorder="1" applyFill="1" applyFont="1"/>
    <xf borderId="12" fillId="13" fontId="2" numFmtId="0" xfId="0" applyAlignment="1" applyBorder="1" applyFill="1" applyFont="1">
      <alignment readingOrder="0"/>
    </xf>
    <xf borderId="12" fillId="10" fontId="2" numFmtId="0" xfId="0" applyAlignment="1" applyBorder="1" applyFill="1" applyFont="1">
      <alignment readingOrder="0"/>
    </xf>
    <xf borderId="0" fillId="0" fontId="6" numFmtId="0" xfId="0" applyAlignment="1" applyFont="1">
      <alignment horizontal="center" vertical="bottom"/>
    </xf>
    <xf borderId="0" fillId="11" fontId="6" numFmtId="0" xfId="0" applyAlignment="1" applyFill="1" applyFont="1">
      <alignment horizontal="center" readingOrder="0" vertical="bottom"/>
    </xf>
    <xf borderId="13" fillId="5" fontId="1" numFmtId="0" xfId="0" applyAlignment="1" applyBorder="1" applyFill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16" fillId="0" fontId="2" numFmtId="0" xfId="0" applyBorder="1" applyFont="1"/>
    <xf borderId="13" fillId="0" fontId="1" numFmtId="0" xfId="0" applyAlignment="1" applyBorder="1" applyFont="1">
      <alignment horizontal="center" readingOrder="0"/>
    </xf>
    <xf borderId="16" fillId="0" fontId="2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6" fillId="10" fontId="2" numFmtId="0" xfId="0" applyAlignment="1" applyBorder="1" applyFill="1" applyFont="1">
      <alignment readingOrder="0"/>
    </xf>
    <xf borderId="16" fillId="5" fontId="2" numFmtId="0" xfId="0" applyBorder="1" applyFill="1" applyFont="1"/>
    <xf borderId="16" fillId="13" fontId="2" numFmtId="0" xfId="0" applyAlignment="1" applyBorder="1" applyFill="1" applyFont="1">
      <alignment readingOrder="0"/>
    </xf>
    <xf borderId="16" fillId="5" fontId="2" numFmtId="0" xfId="0" applyAlignment="1" applyBorder="1" applyFill="1" applyFont="1">
      <alignment readingOrder="0"/>
    </xf>
    <xf borderId="17" fillId="6" fontId="1" numFmtId="0" xfId="0" applyAlignment="1" applyBorder="1" applyFill="1" applyFont="1">
      <alignment horizontal="center" readingOrder="0"/>
    </xf>
    <xf borderId="18" fillId="0" fontId="4" numFmtId="0" xfId="0" applyBorder="1" applyFont="1"/>
    <xf borderId="19" fillId="0" fontId="4" numFmtId="0" xfId="0" applyBorder="1" applyFont="1"/>
    <xf borderId="20" fillId="0" fontId="2" numFmtId="0" xfId="0" applyBorder="1" applyFont="1"/>
    <xf borderId="17" fillId="0" fontId="1" numFmtId="0" xfId="0" applyAlignment="1" applyBorder="1" applyFont="1">
      <alignment horizontal="center" readingOrder="0"/>
    </xf>
    <xf borderId="20" fillId="0" fontId="2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20" fillId="6" fontId="2" numFmtId="0" xfId="0" applyBorder="1" applyFill="1" applyFont="1"/>
    <xf borderId="20" fillId="13" fontId="2" numFmtId="0" xfId="0" applyAlignment="1" applyBorder="1" applyFill="1" applyFont="1">
      <alignment readingOrder="0"/>
    </xf>
    <xf borderId="20" fillId="10" fontId="2" numFmtId="0" xfId="0" applyAlignment="1" applyBorder="1" applyFill="1" applyFont="1">
      <alignment readingOrder="0"/>
    </xf>
    <xf borderId="20" fillId="16" fontId="2" numFmtId="0" xfId="0" applyAlignment="1" applyBorder="1" applyFill="1" applyFont="1">
      <alignment readingOrder="0"/>
    </xf>
    <xf borderId="20" fillId="6" fontId="2" numFmtId="0" xfId="0" applyAlignment="1" applyBorder="1" applyFill="1" applyFont="1">
      <alignment readingOrder="0"/>
    </xf>
    <xf borderId="21" fillId="7" fontId="1" numFmtId="0" xfId="0" applyAlignment="1" applyBorder="1" applyFill="1" applyFont="1">
      <alignment horizontal="center" readingOrder="0"/>
    </xf>
    <xf borderId="22" fillId="0" fontId="4" numFmtId="0" xfId="0" applyBorder="1" applyFont="1"/>
    <xf borderId="23" fillId="0" fontId="4" numFmtId="0" xfId="0" applyBorder="1" applyFont="1"/>
    <xf borderId="24" fillId="0" fontId="2" numFmtId="0" xfId="0" applyBorder="1" applyFont="1"/>
    <xf borderId="21" fillId="0" fontId="1" numFmtId="0" xfId="0" applyAlignment="1" applyBorder="1" applyFont="1">
      <alignment horizontal="center" readingOrder="0"/>
    </xf>
    <xf borderId="24" fillId="0" fontId="2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24" fillId="10" fontId="2" numFmtId="0" xfId="0" applyAlignment="1" applyBorder="1" applyFill="1" applyFont="1">
      <alignment readingOrder="0"/>
    </xf>
    <xf borderId="24" fillId="7" fontId="2" numFmtId="0" xfId="0" applyBorder="1" applyFill="1" applyFont="1"/>
    <xf borderId="24" fillId="13" fontId="2" numFmtId="0" xfId="0" applyAlignment="1" applyBorder="1" applyFill="1" applyFont="1">
      <alignment readingOrder="0"/>
    </xf>
    <xf borderId="24" fillId="7" fontId="2" numFmtId="0" xfId="0" applyAlignment="1" applyBorder="1" applyFill="1" applyFont="1">
      <alignment readingOrder="0"/>
    </xf>
    <xf borderId="25" fillId="8" fontId="1" numFmtId="0" xfId="0" applyAlignment="1" applyBorder="1" applyFill="1" applyFont="1">
      <alignment horizontal="center" readingOrder="0"/>
    </xf>
    <xf borderId="26" fillId="0" fontId="4" numFmtId="0" xfId="0" applyBorder="1" applyFont="1"/>
    <xf borderId="27" fillId="0" fontId="4" numFmtId="0" xfId="0" applyBorder="1" applyFont="1"/>
    <xf borderId="28" fillId="0" fontId="2" numFmtId="0" xfId="0" applyBorder="1" applyFont="1"/>
    <xf borderId="25" fillId="0" fontId="1" numFmtId="0" xfId="0" applyAlignment="1" applyBorder="1" applyFont="1">
      <alignment horizontal="center" readingOrder="0"/>
    </xf>
    <xf borderId="28" fillId="0" fontId="2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28" fillId="10" fontId="2" numFmtId="0" xfId="0" applyAlignment="1" applyBorder="1" applyFill="1" applyFont="1">
      <alignment readingOrder="0"/>
    </xf>
    <xf borderId="28" fillId="8" fontId="2" numFmtId="0" xfId="0" applyBorder="1" applyFill="1" applyFont="1"/>
    <xf borderId="28" fillId="13" fontId="2" numFmtId="0" xfId="0" applyAlignment="1" applyBorder="1" applyFill="1" applyFont="1">
      <alignment readingOrder="0"/>
    </xf>
    <xf borderId="28" fillId="8" fontId="2" numFmtId="0" xfId="0" applyAlignment="1" applyBorder="1" applyFill="1" applyFont="1">
      <alignment readingOrder="0"/>
    </xf>
    <xf borderId="29" fillId="9" fontId="1" numFmtId="0" xfId="0" applyAlignment="1" applyBorder="1" applyFill="1" applyFont="1">
      <alignment horizontal="center" readingOrder="0"/>
    </xf>
    <xf borderId="30" fillId="0" fontId="4" numFmtId="0" xfId="0" applyBorder="1" applyFont="1"/>
    <xf borderId="31" fillId="0" fontId="4" numFmtId="0" xfId="0" applyBorder="1" applyFont="1"/>
    <xf borderId="32" fillId="0" fontId="2" numFmtId="0" xfId="0" applyBorder="1" applyFont="1"/>
    <xf borderId="29" fillId="0" fontId="1" numFmtId="0" xfId="0" applyAlignment="1" applyBorder="1" applyFont="1">
      <alignment horizontal="center" readingOrder="0"/>
    </xf>
    <xf borderId="32" fillId="0" fontId="2" numFmtId="0" xfId="0" applyAlignment="1" applyBorder="1" applyFont="1">
      <alignment readingOrder="0"/>
    </xf>
    <xf borderId="32" fillId="0" fontId="1" numFmtId="0" xfId="0" applyAlignment="1" applyBorder="1" applyFont="1">
      <alignment readingOrder="0"/>
    </xf>
    <xf borderId="32" fillId="10" fontId="2" numFmtId="0" xfId="0" applyAlignment="1" applyBorder="1" applyFill="1" applyFont="1">
      <alignment readingOrder="0"/>
    </xf>
    <xf borderId="32" fillId="9" fontId="2" numFmtId="0" xfId="0" applyBorder="1" applyFill="1" applyFont="1"/>
    <xf borderId="32" fillId="13" fontId="2" numFmtId="0" xfId="0" applyAlignment="1" applyBorder="1" applyFill="1" applyFont="1">
      <alignment readingOrder="0"/>
    </xf>
    <xf borderId="32" fillId="9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L1" s="4" t="s">
        <v>2</v>
      </c>
    </row>
    <row r="2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>
      <c r="A3" s="21"/>
      <c r="B3" s="21"/>
      <c r="C3" s="22" t="s">
        <v>162</v>
      </c>
      <c r="D3" s="19"/>
      <c r="E3" s="19"/>
      <c r="F3" s="19"/>
      <c r="G3" s="19"/>
      <c r="H3" s="20"/>
      <c r="I3" s="21"/>
      <c r="J3" s="21"/>
      <c r="K3" s="21"/>
    </row>
    <row r="4">
      <c r="A4" s="21"/>
      <c r="B4" s="23" t="s">
        <v>163</v>
      </c>
      <c r="C4" s="23" t="s">
        <v>164</v>
      </c>
      <c r="D4" s="23" t="s">
        <v>165</v>
      </c>
      <c r="E4" s="23" t="s">
        <v>166</v>
      </c>
      <c r="F4" s="23" t="s">
        <v>167</v>
      </c>
      <c r="G4" s="23" t="s">
        <v>168</v>
      </c>
      <c r="H4" s="23" t="s">
        <v>169</v>
      </c>
      <c r="I4" s="24" t="s">
        <v>170</v>
      </c>
      <c r="J4" s="25" t="s">
        <v>171</v>
      </c>
      <c r="K4" s="24" t="s">
        <v>172</v>
      </c>
    </row>
    <row r="5">
      <c r="A5" s="23" t="s">
        <v>164</v>
      </c>
      <c r="B5" s="26" t="s">
        <v>173</v>
      </c>
      <c r="C5" s="27"/>
      <c r="D5" s="26">
        <v>160.0</v>
      </c>
      <c r="E5" s="26">
        <v>118.0</v>
      </c>
      <c r="F5" s="26">
        <v>208.0</v>
      </c>
      <c r="G5" s="26">
        <v>194.0</v>
      </c>
      <c r="H5" s="28"/>
      <c r="I5" s="21">
        <f>AVERAGE(D5:H5)</f>
        <v>170</v>
      </c>
      <c r="J5" s="23">
        <v>8.0</v>
      </c>
      <c r="K5" s="21">
        <f t="shared" ref="K5:K9" si="1">RANK(J5,J$5:J$10,0)</f>
        <v>1</v>
      </c>
      <c r="L5" s="1"/>
      <c r="M5" s="1"/>
    </row>
    <row r="6">
      <c r="A6" s="23" t="s">
        <v>165</v>
      </c>
      <c r="B6" s="23" t="s">
        <v>174</v>
      </c>
      <c r="C6" s="31">
        <v>46.0</v>
      </c>
      <c r="D6" s="27"/>
      <c r="E6" s="31">
        <v>8.0</v>
      </c>
      <c r="F6" s="31">
        <v>18.0</v>
      </c>
      <c r="G6" s="31">
        <v>18.0</v>
      </c>
      <c r="H6" s="27"/>
      <c r="I6" s="21">
        <f>AVERAGE(C6, E6:H6)</f>
        <v>22.5</v>
      </c>
      <c r="J6" s="23">
        <v>0.0</v>
      </c>
      <c r="K6" s="21">
        <f t="shared" si="1"/>
        <v>5</v>
      </c>
      <c r="L6" s="1"/>
      <c r="M6" s="1"/>
    </row>
    <row r="7">
      <c r="A7" s="23" t="s">
        <v>166</v>
      </c>
      <c r="B7" s="26" t="s">
        <v>178</v>
      </c>
      <c r="C7" s="31">
        <v>32.0</v>
      </c>
      <c r="D7" s="26">
        <v>94.0</v>
      </c>
      <c r="E7" s="27"/>
      <c r="F7" s="26">
        <v>156.0</v>
      </c>
      <c r="G7" s="26">
        <v>78.0</v>
      </c>
      <c r="H7" s="27"/>
      <c r="I7" s="21">
        <f>AVERAGE(C7, D7, F7, G7, H7)</f>
        <v>90</v>
      </c>
      <c r="J7" s="23">
        <v>6.0</v>
      </c>
      <c r="K7" s="21">
        <f t="shared" si="1"/>
        <v>2</v>
      </c>
      <c r="L7" s="1"/>
      <c r="M7" s="1"/>
    </row>
    <row r="8">
      <c r="A8" s="23" t="s">
        <v>167</v>
      </c>
      <c r="B8" s="23" t="s">
        <v>183</v>
      </c>
      <c r="C8" s="31">
        <v>10.0</v>
      </c>
      <c r="D8" s="26">
        <v>64.0</v>
      </c>
      <c r="E8" s="31">
        <v>18.0</v>
      </c>
      <c r="F8" s="27"/>
      <c r="G8" s="31">
        <v>14.0</v>
      </c>
      <c r="H8" s="27"/>
      <c r="I8" s="21">
        <f>AVERAGE(C8:E8, G8, H8)</f>
        <v>26.5</v>
      </c>
      <c r="J8" s="23">
        <v>2.0</v>
      </c>
      <c r="K8" s="21">
        <f t="shared" si="1"/>
        <v>4</v>
      </c>
      <c r="L8" s="1"/>
      <c r="M8" s="1"/>
    </row>
    <row r="9">
      <c r="A9" s="23" t="s">
        <v>168</v>
      </c>
      <c r="B9" s="23" t="s">
        <v>186</v>
      </c>
      <c r="C9" s="31">
        <v>38.0</v>
      </c>
      <c r="D9" s="26">
        <v>166.0</v>
      </c>
      <c r="E9" s="31">
        <v>64.0</v>
      </c>
      <c r="F9" s="26">
        <v>158.0</v>
      </c>
      <c r="G9" s="27"/>
      <c r="H9" s="27"/>
      <c r="I9" s="21">
        <f>AVERAGE(C9:F9, H9)</f>
        <v>106.5</v>
      </c>
      <c r="J9" s="23">
        <v>4.0</v>
      </c>
      <c r="K9" s="21">
        <f t="shared" si="1"/>
        <v>3</v>
      </c>
      <c r="L9" s="35"/>
      <c r="M9" s="35"/>
      <c r="N9" s="35"/>
      <c r="O9" s="35"/>
      <c r="P9" s="35"/>
      <c r="Q9" s="35"/>
      <c r="R9" s="35"/>
    </row>
    <row r="10">
      <c r="A10" s="23" t="s">
        <v>169</v>
      </c>
      <c r="B10" s="23" t="s">
        <v>180</v>
      </c>
      <c r="C10" s="27"/>
      <c r="D10" s="28"/>
      <c r="E10" s="27"/>
      <c r="F10" s="27"/>
      <c r="G10" s="27"/>
      <c r="H10" s="27"/>
      <c r="I10" s="27"/>
      <c r="J10" s="28"/>
      <c r="K10" s="27"/>
      <c r="L10" s="35"/>
      <c r="M10" s="35"/>
      <c r="N10" s="35"/>
      <c r="O10" s="35"/>
      <c r="P10" s="35"/>
      <c r="Q10" s="35"/>
      <c r="R10" s="35"/>
    </row>
    <row r="11">
      <c r="B11" s="17"/>
    </row>
    <row r="13">
      <c r="A13" s="36" t="s">
        <v>193</v>
      </c>
      <c r="B13" s="37"/>
      <c r="C13" s="37"/>
      <c r="D13" s="37"/>
      <c r="E13" s="37"/>
      <c r="F13" s="37"/>
      <c r="G13" s="37"/>
      <c r="H13" s="37"/>
      <c r="I13" s="37"/>
      <c r="J13" s="37"/>
      <c r="K13" s="38"/>
    </row>
    <row r="14">
      <c r="A14" s="39"/>
      <c r="B14" s="39"/>
      <c r="C14" s="40" t="s">
        <v>162</v>
      </c>
      <c r="D14" s="37"/>
      <c r="E14" s="37"/>
      <c r="F14" s="37"/>
      <c r="G14" s="37"/>
      <c r="H14" s="38"/>
      <c r="I14" s="39"/>
      <c r="J14" s="39"/>
      <c r="K14" s="39"/>
    </row>
    <row r="15">
      <c r="A15" s="39"/>
      <c r="B15" s="42" t="s">
        <v>163</v>
      </c>
      <c r="C15" s="42" t="s">
        <v>198</v>
      </c>
      <c r="D15" s="42" t="s">
        <v>199</v>
      </c>
      <c r="E15" s="42" t="s">
        <v>200</v>
      </c>
      <c r="F15" s="42" t="s">
        <v>201</v>
      </c>
      <c r="G15" s="42" t="s">
        <v>202</v>
      </c>
      <c r="H15" s="42" t="s">
        <v>203</v>
      </c>
      <c r="I15" s="45" t="s">
        <v>170</v>
      </c>
      <c r="J15" s="45" t="s">
        <v>171</v>
      </c>
      <c r="K15" s="45" t="s">
        <v>172</v>
      </c>
    </row>
    <row r="16">
      <c r="A16" s="42" t="s">
        <v>198</v>
      </c>
      <c r="B16" s="47" t="s">
        <v>205</v>
      </c>
      <c r="C16" s="48"/>
      <c r="D16" s="47">
        <v>66.0</v>
      </c>
      <c r="E16" s="47">
        <v>42.0</v>
      </c>
      <c r="F16" s="47">
        <v>116.0</v>
      </c>
      <c r="G16" s="50">
        <v>74.0</v>
      </c>
      <c r="H16" s="47">
        <v>104.0</v>
      </c>
      <c r="I16" s="39">
        <f>AVERAGE(D16:H16)</f>
        <v>80.4</v>
      </c>
      <c r="J16" s="42">
        <v>8.0</v>
      </c>
      <c r="K16" s="39">
        <f t="shared" ref="K16:K17" si="2">RANK(J16,J$16:J$21,0)</f>
        <v>2</v>
      </c>
    </row>
    <row r="17">
      <c r="A17" s="42" t="s">
        <v>199</v>
      </c>
      <c r="B17" s="42" t="s">
        <v>209</v>
      </c>
      <c r="C17" s="50">
        <v>56.0</v>
      </c>
      <c r="D17" s="48"/>
      <c r="E17" s="50">
        <v>58.0</v>
      </c>
      <c r="F17" s="47">
        <v>28.0</v>
      </c>
      <c r="G17" s="50">
        <v>24.0</v>
      </c>
      <c r="H17" s="47">
        <v>90.0</v>
      </c>
      <c r="I17" s="39">
        <f>AVERAGE(C17, E17:H17)</f>
        <v>51.2</v>
      </c>
      <c r="J17" s="42">
        <v>4.0</v>
      </c>
      <c r="K17" s="39">
        <f t="shared" si="2"/>
        <v>3</v>
      </c>
    </row>
    <row r="18">
      <c r="A18" s="42" t="s">
        <v>200</v>
      </c>
      <c r="B18" s="42" t="s">
        <v>212</v>
      </c>
      <c r="C18" s="50">
        <v>26.0</v>
      </c>
      <c r="D18" s="47">
        <v>106.0</v>
      </c>
      <c r="E18" s="48"/>
      <c r="F18" s="50">
        <v>26.0</v>
      </c>
      <c r="G18" s="50">
        <v>54.0</v>
      </c>
      <c r="H18" s="50">
        <v>44.0</v>
      </c>
      <c r="I18" s="39">
        <f>AVERAGE(C18, D18, F18, G18, H18)</f>
        <v>51.2</v>
      </c>
      <c r="J18" s="42">
        <v>2.0</v>
      </c>
      <c r="K18" s="42">
        <v>6.0</v>
      </c>
    </row>
    <row r="19">
      <c r="A19" s="42" t="s">
        <v>201</v>
      </c>
      <c r="B19" s="42" t="s">
        <v>215</v>
      </c>
      <c r="C19" s="50">
        <v>26.0</v>
      </c>
      <c r="D19" s="50">
        <v>16.0</v>
      </c>
      <c r="E19" s="47">
        <v>70.0</v>
      </c>
      <c r="F19" s="48"/>
      <c r="G19" s="50">
        <v>22.0</v>
      </c>
      <c r="H19" s="47">
        <v>64.0</v>
      </c>
      <c r="I19" s="39">
        <f>AVERAGE(C19:E19, G19, H19)</f>
        <v>39.6</v>
      </c>
      <c r="J19" s="42">
        <v>4.0</v>
      </c>
      <c r="K19" s="42">
        <v>4.0</v>
      </c>
      <c r="L19" s="54"/>
    </row>
    <row r="20">
      <c r="A20" s="42" t="s">
        <v>202</v>
      </c>
      <c r="B20" s="47" t="s">
        <v>196</v>
      </c>
      <c r="C20" s="47">
        <v>102.0</v>
      </c>
      <c r="D20" s="47">
        <v>176.0</v>
      </c>
      <c r="E20" s="47">
        <v>126.0</v>
      </c>
      <c r="F20" s="47">
        <v>170.0</v>
      </c>
      <c r="G20" s="48"/>
      <c r="H20" s="47">
        <v>112.0</v>
      </c>
      <c r="I20" s="39">
        <f>AVERAGE(C20:F20, H20)</f>
        <v>137.2</v>
      </c>
      <c r="J20" s="42">
        <v>10.0</v>
      </c>
      <c r="K20" s="39">
        <f>RANK(J20,J$16:J$21,0)</f>
        <v>1</v>
      </c>
    </row>
    <row r="21">
      <c r="A21" s="42" t="s">
        <v>203</v>
      </c>
      <c r="B21" s="42" t="s">
        <v>222</v>
      </c>
      <c r="C21" s="50">
        <v>32.0</v>
      </c>
      <c r="D21" s="50">
        <v>30.0</v>
      </c>
      <c r="E21" s="47">
        <v>54.0</v>
      </c>
      <c r="F21" s="50">
        <v>28.0</v>
      </c>
      <c r="G21" s="50">
        <v>34.0</v>
      </c>
      <c r="H21" s="48"/>
      <c r="I21" s="39">
        <f>AVERAGE(C21:H21)</f>
        <v>35.6</v>
      </c>
      <c r="J21" s="42">
        <v>2.0</v>
      </c>
      <c r="K21" s="42">
        <v>5.0</v>
      </c>
    </row>
    <row r="24">
      <c r="A24" s="55" t="s">
        <v>223</v>
      </c>
      <c r="B24" s="56"/>
      <c r="C24" s="56"/>
      <c r="D24" s="56"/>
      <c r="E24" s="56"/>
      <c r="F24" s="56"/>
      <c r="G24" s="56"/>
      <c r="H24" s="56"/>
      <c r="I24" s="56"/>
      <c r="J24" s="56"/>
      <c r="K24" s="57"/>
    </row>
    <row r="25">
      <c r="A25" s="58"/>
      <c r="B25" s="58"/>
      <c r="C25" s="59" t="s">
        <v>162</v>
      </c>
      <c r="D25" s="56"/>
      <c r="E25" s="56"/>
      <c r="F25" s="56"/>
      <c r="G25" s="56"/>
      <c r="H25" s="57"/>
      <c r="I25" s="58"/>
      <c r="J25" s="58"/>
      <c r="K25" s="58"/>
    </row>
    <row r="26">
      <c r="A26" s="58"/>
      <c r="B26" s="60" t="s">
        <v>163</v>
      </c>
      <c r="C26" s="60" t="s">
        <v>228</v>
      </c>
      <c r="D26" s="60" t="s">
        <v>229</v>
      </c>
      <c r="E26" s="60" t="s">
        <v>230</v>
      </c>
      <c r="F26" s="60" t="s">
        <v>231</v>
      </c>
      <c r="G26" s="60" t="s">
        <v>232</v>
      </c>
      <c r="H26" s="60" t="s">
        <v>233</v>
      </c>
      <c r="I26" s="62" t="s">
        <v>170</v>
      </c>
      <c r="J26" s="62" t="s">
        <v>171</v>
      </c>
      <c r="K26" s="62" t="s">
        <v>172</v>
      </c>
    </row>
    <row r="27">
      <c r="A27" s="60" t="s">
        <v>228</v>
      </c>
      <c r="B27" s="60" t="s">
        <v>234</v>
      </c>
      <c r="C27" s="64"/>
      <c r="D27" s="65">
        <v>38.0</v>
      </c>
      <c r="E27" s="66">
        <v>44.0</v>
      </c>
      <c r="F27" s="65">
        <v>62.0</v>
      </c>
      <c r="G27" s="65">
        <v>54.0</v>
      </c>
      <c r="H27" s="65">
        <v>50.0</v>
      </c>
      <c r="I27" s="58">
        <f>AVERAGE(D27:H27)</f>
        <v>49.6</v>
      </c>
      <c r="J27" s="60">
        <v>2.0</v>
      </c>
      <c r="K27" s="58">
        <f t="shared" ref="K27:K32" si="3">RANK(J27,J$27:J$32,0)</f>
        <v>5</v>
      </c>
    </row>
    <row r="28">
      <c r="A28" s="60" t="s">
        <v>229</v>
      </c>
      <c r="B28" s="66" t="s">
        <v>211</v>
      </c>
      <c r="C28" s="66">
        <v>98.0</v>
      </c>
      <c r="D28" s="64"/>
      <c r="E28" s="66">
        <v>80.0</v>
      </c>
      <c r="F28" s="66">
        <v>114.0</v>
      </c>
      <c r="G28" s="66">
        <v>116.0</v>
      </c>
      <c r="H28" s="65">
        <v>64.0</v>
      </c>
      <c r="I28" s="58">
        <f>AVERAGE(C28, E28:H28)</f>
        <v>94.4</v>
      </c>
      <c r="J28" s="60">
        <v>8.0</v>
      </c>
      <c r="K28" s="58">
        <f t="shared" si="3"/>
        <v>2</v>
      </c>
    </row>
    <row r="29">
      <c r="A29" s="60" t="s">
        <v>230</v>
      </c>
      <c r="B29" s="60" t="s">
        <v>239</v>
      </c>
      <c r="C29" s="65">
        <v>18.0</v>
      </c>
      <c r="D29" s="65">
        <v>22.0</v>
      </c>
      <c r="E29" s="64"/>
      <c r="F29" s="65">
        <v>14.0</v>
      </c>
      <c r="G29" s="65">
        <v>78.0</v>
      </c>
      <c r="H29" s="65">
        <v>24.0</v>
      </c>
      <c r="I29" s="58">
        <f>AVERAGE(C29, D29, F29, G29, H29)</f>
        <v>31.2</v>
      </c>
      <c r="J29" s="60">
        <v>0.0</v>
      </c>
      <c r="K29" s="58">
        <f t="shared" si="3"/>
        <v>6</v>
      </c>
    </row>
    <row r="30">
      <c r="A30" s="60" t="s">
        <v>231</v>
      </c>
      <c r="B30" s="60" t="s">
        <v>241</v>
      </c>
      <c r="C30" s="66">
        <v>130.0</v>
      </c>
      <c r="D30" s="65">
        <v>78.0</v>
      </c>
      <c r="E30" s="66">
        <v>176.0</v>
      </c>
      <c r="F30" s="64"/>
      <c r="G30" s="65">
        <v>74.0</v>
      </c>
      <c r="H30" s="65">
        <v>98.0</v>
      </c>
      <c r="I30" s="58">
        <f>AVERAGE(C30:E30, G30, H30)</f>
        <v>111.2</v>
      </c>
      <c r="J30" s="60">
        <v>4.0</v>
      </c>
      <c r="K30" s="58">
        <f t="shared" si="3"/>
        <v>4</v>
      </c>
    </row>
    <row r="31">
      <c r="A31" s="60" t="s">
        <v>232</v>
      </c>
      <c r="B31" s="60" t="s">
        <v>242</v>
      </c>
      <c r="C31" s="66">
        <v>76.0</v>
      </c>
      <c r="D31" s="65">
        <v>74.0</v>
      </c>
      <c r="E31" s="66">
        <v>84.0</v>
      </c>
      <c r="F31" s="66">
        <v>80.0</v>
      </c>
      <c r="G31" s="64"/>
      <c r="H31" s="65">
        <v>24.0</v>
      </c>
      <c r="I31" s="58">
        <f>AVERAGE(C31:F31, H31)</f>
        <v>67.6</v>
      </c>
      <c r="J31" s="60">
        <v>6.0</v>
      </c>
      <c r="K31" s="58">
        <f t="shared" si="3"/>
        <v>3</v>
      </c>
    </row>
    <row r="32">
      <c r="A32" s="60" t="s">
        <v>233</v>
      </c>
      <c r="B32" s="66" t="s">
        <v>190</v>
      </c>
      <c r="C32" s="66">
        <v>128.0</v>
      </c>
      <c r="D32" s="66">
        <v>82.0</v>
      </c>
      <c r="E32" s="66">
        <v>148.0</v>
      </c>
      <c r="F32" s="66">
        <v>100.0</v>
      </c>
      <c r="G32" s="66">
        <v>130.0</v>
      </c>
      <c r="H32" s="64"/>
      <c r="I32" s="58">
        <f>AVERAGE(C32:H32)</f>
        <v>117.6</v>
      </c>
      <c r="J32" s="60">
        <v>10.0</v>
      </c>
      <c r="K32" s="58">
        <f t="shared" si="3"/>
        <v>1</v>
      </c>
    </row>
    <row r="35">
      <c r="A35" s="69" t="s">
        <v>248</v>
      </c>
      <c r="B35" s="70"/>
      <c r="C35" s="70"/>
      <c r="D35" s="70"/>
      <c r="E35" s="70"/>
      <c r="F35" s="70"/>
      <c r="G35" s="70"/>
      <c r="H35" s="70"/>
      <c r="I35" s="70"/>
      <c r="J35" s="70"/>
      <c r="K35" s="71"/>
    </row>
    <row r="36">
      <c r="A36" s="72"/>
      <c r="B36" s="72"/>
      <c r="C36" s="73" t="s">
        <v>162</v>
      </c>
      <c r="D36" s="70"/>
      <c r="E36" s="70"/>
      <c r="F36" s="70"/>
      <c r="G36" s="70"/>
      <c r="H36" s="71"/>
      <c r="I36" s="72"/>
      <c r="J36" s="72"/>
      <c r="K36" s="72"/>
    </row>
    <row r="37">
      <c r="A37" s="72"/>
      <c r="B37" s="74" t="s">
        <v>163</v>
      </c>
      <c r="C37" s="74" t="s">
        <v>252</v>
      </c>
      <c r="D37" s="74" t="s">
        <v>253</v>
      </c>
      <c r="E37" s="74" t="s">
        <v>254</v>
      </c>
      <c r="F37" s="74" t="s">
        <v>255</v>
      </c>
      <c r="G37" s="74" t="s">
        <v>256</v>
      </c>
      <c r="H37" s="74" t="s">
        <v>257</v>
      </c>
      <c r="I37" s="75" t="s">
        <v>170</v>
      </c>
      <c r="J37" s="75" t="s">
        <v>171</v>
      </c>
      <c r="K37" s="75" t="s">
        <v>172</v>
      </c>
    </row>
    <row r="38">
      <c r="A38" s="74" t="s">
        <v>252</v>
      </c>
      <c r="B38" s="76" t="s">
        <v>182</v>
      </c>
      <c r="C38" s="77"/>
      <c r="D38" s="76">
        <v>114.0</v>
      </c>
      <c r="E38" s="76">
        <v>158.0</v>
      </c>
      <c r="F38" s="76">
        <v>136.0</v>
      </c>
      <c r="G38" s="76">
        <v>194.0</v>
      </c>
      <c r="H38" s="77"/>
      <c r="I38" s="72">
        <f>AVERAGE(D38:H38)</f>
        <v>150.5</v>
      </c>
      <c r="J38" s="74">
        <v>8.0</v>
      </c>
      <c r="K38" s="72">
        <f t="shared" ref="K38:K42" si="4">RANK(J38,J$38:J$43,0)</f>
        <v>1</v>
      </c>
    </row>
    <row r="39">
      <c r="A39" s="74" t="s">
        <v>253</v>
      </c>
      <c r="B39" s="74" t="s">
        <v>258</v>
      </c>
      <c r="C39" s="78">
        <v>88.0</v>
      </c>
      <c r="D39" s="77"/>
      <c r="E39" s="78">
        <v>32.0</v>
      </c>
      <c r="F39" s="78">
        <v>8.0</v>
      </c>
      <c r="G39" s="76">
        <v>70.0</v>
      </c>
      <c r="H39" s="77"/>
      <c r="I39" s="72">
        <f>AVERAGE(C39, E39:H39)</f>
        <v>49.5</v>
      </c>
      <c r="J39" s="74">
        <v>2.0</v>
      </c>
      <c r="K39" s="72">
        <f t="shared" si="4"/>
        <v>4</v>
      </c>
    </row>
    <row r="40">
      <c r="A40" s="74" t="s">
        <v>254</v>
      </c>
      <c r="B40" s="74" t="s">
        <v>259</v>
      </c>
      <c r="C40" s="78">
        <v>8.0</v>
      </c>
      <c r="D40" s="76">
        <v>58.0</v>
      </c>
      <c r="E40" s="77"/>
      <c r="F40" s="78">
        <v>42.0</v>
      </c>
      <c r="G40" s="76">
        <v>86.0</v>
      </c>
      <c r="H40" s="77"/>
      <c r="I40" s="72">
        <f>AVERAGE(C40, D40, F40, G40, H40)</f>
        <v>48.5</v>
      </c>
      <c r="J40" s="74">
        <v>4.0</v>
      </c>
      <c r="K40" s="72">
        <f t="shared" si="4"/>
        <v>3</v>
      </c>
    </row>
    <row r="41">
      <c r="A41" s="74" t="s">
        <v>255</v>
      </c>
      <c r="B41" s="76" t="s">
        <v>216</v>
      </c>
      <c r="C41" s="78">
        <v>66.0</v>
      </c>
      <c r="D41" s="76">
        <v>120.0</v>
      </c>
      <c r="E41" s="76">
        <v>152.0</v>
      </c>
      <c r="F41" s="77"/>
      <c r="G41" s="76">
        <v>136.0</v>
      </c>
      <c r="H41" s="77"/>
      <c r="I41" s="72">
        <f>AVERAGE(C41:E41, G41, H41)</f>
        <v>118.5</v>
      </c>
      <c r="J41" s="74">
        <v>6.0</v>
      </c>
      <c r="K41" s="72">
        <f t="shared" si="4"/>
        <v>2</v>
      </c>
    </row>
    <row r="42">
      <c r="A42" s="74" t="s">
        <v>256</v>
      </c>
      <c r="B42" s="74" t="s">
        <v>260</v>
      </c>
      <c r="C42" s="78">
        <v>26.0</v>
      </c>
      <c r="D42" s="78">
        <v>44.0</v>
      </c>
      <c r="E42" s="78">
        <v>30.0</v>
      </c>
      <c r="F42" s="78">
        <v>52.0</v>
      </c>
      <c r="G42" s="77"/>
      <c r="H42" s="77"/>
      <c r="I42" s="72">
        <f>AVERAGE(C42:F42, H42)</f>
        <v>38</v>
      </c>
      <c r="J42" s="74">
        <v>0.0</v>
      </c>
      <c r="K42" s="72">
        <f t="shared" si="4"/>
        <v>5</v>
      </c>
    </row>
    <row r="43">
      <c r="A43" s="74" t="s">
        <v>257</v>
      </c>
      <c r="B43" s="74" t="s">
        <v>180</v>
      </c>
      <c r="C43" s="77"/>
      <c r="D43" s="77"/>
      <c r="E43" s="77"/>
      <c r="F43" s="77"/>
      <c r="G43" s="77"/>
      <c r="H43" s="77"/>
      <c r="I43" s="77"/>
      <c r="J43" s="79"/>
      <c r="K43" s="77"/>
    </row>
    <row r="46">
      <c r="A46" s="80" t="s">
        <v>261</v>
      </c>
      <c r="B46" s="81"/>
      <c r="C46" s="81"/>
      <c r="D46" s="81"/>
      <c r="E46" s="81"/>
      <c r="F46" s="81"/>
      <c r="G46" s="81"/>
      <c r="H46" s="81"/>
      <c r="I46" s="81"/>
      <c r="J46" s="81"/>
      <c r="K46" s="82"/>
    </row>
    <row r="47">
      <c r="A47" s="83"/>
      <c r="B47" s="83"/>
      <c r="C47" s="84" t="s">
        <v>162</v>
      </c>
      <c r="D47" s="81"/>
      <c r="E47" s="81"/>
      <c r="F47" s="81"/>
      <c r="G47" s="81"/>
      <c r="H47" s="82"/>
      <c r="I47" s="83"/>
      <c r="J47" s="83"/>
      <c r="K47" s="83"/>
    </row>
    <row r="48">
      <c r="A48" s="83"/>
      <c r="B48" s="85" t="s">
        <v>163</v>
      </c>
      <c r="C48" s="85" t="s">
        <v>262</v>
      </c>
      <c r="D48" s="85" t="s">
        <v>263</v>
      </c>
      <c r="E48" s="85" t="s">
        <v>264</v>
      </c>
      <c r="F48" s="85" t="s">
        <v>265</v>
      </c>
      <c r="G48" s="85" t="s">
        <v>266</v>
      </c>
      <c r="H48" s="85" t="s">
        <v>267</v>
      </c>
      <c r="I48" s="86" t="s">
        <v>170</v>
      </c>
      <c r="J48" s="86" t="s">
        <v>171</v>
      </c>
      <c r="K48" s="86" t="s">
        <v>172</v>
      </c>
    </row>
    <row r="49">
      <c r="A49" s="85" t="s">
        <v>262</v>
      </c>
      <c r="B49" s="85" t="s">
        <v>268</v>
      </c>
      <c r="C49" s="87"/>
      <c r="D49" s="88">
        <v>60.0</v>
      </c>
      <c r="E49" s="88">
        <v>26.0</v>
      </c>
      <c r="F49" s="89">
        <v>72.0</v>
      </c>
      <c r="G49" s="88">
        <v>30.0</v>
      </c>
      <c r="H49" s="87"/>
      <c r="I49" s="83">
        <f>AVERAGE(D49:H49)</f>
        <v>47</v>
      </c>
      <c r="J49" s="85">
        <v>2.0</v>
      </c>
      <c r="K49" s="83">
        <f t="shared" ref="K49:K53" si="5">RANK(J49,J$49:J$54,0)</f>
        <v>4</v>
      </c>
    </row>
    <row r="50">
      <c r="A50" s="85" t="s">
        <v>263</v>
      </c>
      <c r="B50" s="85" t="s">
        <v>269</v>
      </c>
      <c r="C50" s="89">
        <v>64.0</v>
      </c>
      <c r="D50" s="87"/>
      <c r="E50" s="88">
        <v>48.0</v>
      </c>
      <c r="F50" s="88">
        <v>28.0</v>
      </c>
      <c r="G50" s="88">
        <v>40.0</v>
      </c>
      <c r="H50" s="87"/>
      <c r="I50" s="83">
        <f>AVERAGE(C50, E50:H50)</f>
        <v>45</v>
      </c>
      <c r="J50" s="85">
        <v>2.0</v>
      </c>
      <c r="K50" s="83">
        <f t="shared" si="5"/>
        <v>4</v>
      </c>
    </row>
    <row r="51">
      <c r="A51" s="85" t="s">
        <v>264</v>
      </c>
      <c r="B51" s="89" t="s">
        <v>185</v>
      </c>
      <c r="C51" s="89">
        <v>108.0</v>
      </c>
      <c r="D51" s="89">
        <v>158.0</v>
      </c>
      <c r="E51" s="87"/>
      <c r="F51" s="89">
        <v>158.0</v>
      </c>
      <c r="G51" s="88">
        <v>70.0</v>
      </c>
      <c r="H51" s="87"/>
      <c r="I51" s="83">
        <f>AVERAGE(C51, D51, F51, G51, H51)</f>
        <v>123.5</v>
      </c>
      <c r="J51" s="85">
        <v>6.0</v>
      </c>
      <c r="K51" s="83">
        <f t="shared" si="5"/>
        <v>2</v>
      </c>
    </row>
    <row r="52">
      <c r="A52" s="85" t="s">
        <v>265</v>
      </c>
      <c r="B52" s="85" t="s">
        <v>270</v>
      </c>
      <c r="C52" s="88">
        <v>70.0</v>
      </c>
      <c r="D52" s="89">
        <v>52.0</v>
      </c>
      <c r="E52" s="88">
        <v>66.0</v>
      </c>
      <c r="F52" s="87"/>
      <c r="G52" s="90">
        <v>84.0</v>
      </c>
      <c r="H52" s="87"/>
      <c r="I52" s="83">
        <f>AVERAGE(C52:E52, G52, H52)</f>
        <v>68</v>
      </c>
      <c r="J52" s="85">
        <v>3.0</v>
      </c>
      <c r="K52" s="83">
        <f t="shared" si="5"/>
        <v>3</v>
      </c>
    </row>
    <row r="53">
      <c r="A53" s="85" t="s">
        <v>266</v>
      </c>
      <c r="B53" s="89" t="s">
        <v>219</v>
      </c>
      <c r="C53" s="89">
        <v>94.0</v>
      </c>
      <c r="D53" s="89">
        <v>98.0</v>
      </c>
      <c r="E53" s="89">
        <v>124.0</v>
      </c>
      <c r="F53" s="90">
        <v>84.0</v>
      </c>
      <c r="G53" s="87"/>
      <c r="H53" s="87"/>
      <c r="I53" s="83">
        <f>AVERAGE(C53:F53, H53)</f>
        <v>100</v>
      </c>
      <c r="J53" s="85">
        <v>7.0</v>
      </c>
      <c r="K53" s="83">
        <f t="shared" si="5"/>
        <v>1</v>
      </c>
    </row>
    <row r="54">
      <c r="A54" s="85" t="s">
        <v>267</v>
      </c>
      <c r="B54" s="85" t="s">
        <v>180</v>
      </c>
      <c r="C54" s="87"/>
      <c r="D54" s="87"/>
      <c r="E54" s="87"/>
      <c r="F54" s="87"/>
      <c r="G54" s="87"/>
      <c r="H54" s="87"/>
      <c r="I54" s="91"/>
      <c r="J54" s="87"/>
      <c r="K54" s="87"/>
    </row>
    <row r="57">
      <c r="A57" s="92" t="s">
        <v>271</v>
      </c>
      <c r="B57" s="93"/>
      <c r="C57" s="93"/>
      <c r="D57" s="93"/>
      <c r="E57" s="93"/>
      <c r="F57" s="93"/>
      <c r="G57" s="93"/>
      <c r="H57" s="93"/>
      <c r="I57" s="93"/>
      <c r="J57" s="93"/>
      <c r="K57" s="94"/>
    </row>
    <row r="58">
      <c r="A58" s="95"/>
      <c r="B58" s="95"/>
      <c r="C58" s="96" t="s">
        <v>162</v>
      </c>
      <c r="D58" s="93"/>
      <c r="E58" s="93"/>
      <c r="F58" s="93"/>
      <c r="G58" s="93"/>
      <c r="H58" s="94"/>
      <c r="I58" s="95"/>
      <c r="J58" s="95"/>
      <c r="K58" s="95"/>
    </row>
    <row r="59">
      <c r="A59" s="95"/>
      <c r="B59" s="97" t="s">
        <v>163</v>
      </c>
      <c r="C59" s="97" t="s">
        <v>272</v>
      </c>
      <c r="D59" s="97" t="s">
        <v>273</v>
      </c>
      <c r="E59" s="97" t="s">
        <v>274</v>
      </c>
      <c r="F59" s="97" t="s">
        <v>275</v>
      </c>
      <c r="G59" s="97" t="s">
        <v>276</v>
      </c>
      <c r="H59" s="97" t="s">
        <v>277</v>
      </c>
      <c r="I59" s="98" t="s">
        <v>170</v>
      </c>
      <c r="J59" s="98" t="s">
        <v>171</v>
      </c>
      <c r="K59" s="98" t="s">
        <v>172</v>
      </c>
    </row>
    <row r="60">
      <c r="A60" s="97" t="s">
        <v>272</v>
      </c>
      <c r="B60" s="99" t="s">
        <v>208</v>
      </c>
      <c r="C60" s="100"/>
      <c r="D60" s="99">
        <v>138.0</v>
      </c>
      <c r="E60" s="99">
        <v>58.0</v>
      </c>
      <c r="F60" s="99">
        <v>224.0</v>
      </c>
      <c r="G60" s="99">
        <v>122.0</v>
      </c>
      <c r="H60" s="100"/>
      <c r="I60" s="95">
        <f>AVERAGE(D60:H60)</f>
        <v>135.5</v>
      </c>
      <c r="J60" s="97">
        <v>8.0</v>
      </c>
      <c r="K60" s="95">
        <f t="shared" ref="K60:K64" si="6">RANK(J60,J$60:J$65,0)</f>
        <v>1</v>
      </c>
    </row>
    <row r="61">
      <c r="A61" s="97" t="s">
        <v>273</v>
      </c>
      <c r="B61" s="97" t="s">
        <v>278</v>
      </c>
      <c r="C61" s="101">
        <v>82.0</v>
      </c>
      <c r="D61" s="100"/>
      <c r="E61" s="99">
        <v>96.0</v>
      </c>
      <c r="F61" s="99">
        <v>34.0</v>
      </c>
      <c r="G61" s="101">
        <v>46.0</v>
      </c>
      <c r="H61" s="100"/>
      <c r="I61" s="95">
        <f>AVERAGE(C61, E61:H61)</f>
        <v>64.5</v>
      </c>
      <c r="J61" s="97">
        <v>4.0</v>
      </c>
      <c r="K61" s="95">
        <f t="shared" si="6"/>
        <v>2</v>
      </c>
    </row>
    <row r="62">
      <c r="A62" s="97" t="s">
        <v>274</v>
      </c>
      <c r="B62" s="97" t="s">
        <v>279</v>
      </c>
      <c r="C62" s="101">
        <v>42.0</v>
      </c>
      <c r="D62" s="101">
        <v>58.0</v>
      </c>
      <c r="E62" s="100"/>
      <c r="F62" s="99">
        <v>82.0</v>
      </c>
      <c r="G62" s="99">
        <v>106.0</v>
      </c>
      <c r="H62" s="100"/>
      <c r="I62" s="95">
        <f>AVERAGE(C62, D62, F62, G62, H62)</f>
        <v>72</v>
      </c>
      <c r="J62" s="97">
        <v>4.0</v>
      </c>
      <c r="K62" s="95">
        <f t="shared" si="6"/>
        <v>2</v>
      </c>
    </row>
    <row r="63">
      <c r="A63" s="97" t="s">
        <v>275</v>
      </c>
      <c r="B63" s="97" t="s">
        <v>280</v>
      </c>
      <c r="C63" s="101">
        <v>4.0</v>
      </c>
      <c r="D63" s="101">
        <v>24.0</v>
      </c>
      <c r="E63" s="101">
        <v>18.0</v>
      </c>
      <c r="F63" s="100"/>
      <c r="G63" s="101">
        <v>28.0</v>
      </c>
      <c r="H63" s="100"/>
      <c r="I63" s="95">
        <f>AVERAGE(C63:E63, G63, H63)</f>
        <v>18.5</v>
      </c>
      <c r="J63" s="97">
        <v>0.0</v>
      </c>
      <c r="K63" s="95">
        <f t="shared" si="6"/>
        <v>5</v>
      </c>
    </row>
    <row r="64">
      <c r="A64" s="97" t="s">
        <v>276</v>
      </c>
      <c r="B64" s="99" t="s">
        <v>188</v>
      </c>
      <c r="C64" s="101">
        <v>84.0</v>
      </c>
      <c r="D64" s="99">
        <v>120.0</v>
      </c>
      <c r="E64" s="101">
        <v>50.0</v>
      </c>
      <c r="F64" s="99">
        <v>144.0</v>
      </c>
      <c r="G64" s="100"/>
      <c r="H64" s="100"/>
      <c r="I64" s="95">
        <f>AVERAGE(C64:F64, H64)</f>
        <v>99.5</v>
      </c>
      <c r="J64" s="97">
        <v>4.0</v>
      </c>
      <c r="K64" s="95">
        <f t="shared" si="6"/>
        <v>2</v>
      </c>
      <c r="L64" s="17" t="s">
        <v>281</v>
      </c>
    </row>
    <row r="65">
      <c r="A65" s="97" t="s">
        <v>277</v>
      </c>
      <c r="B65" s="97" t="s">
        <v>180</v>
      </c>
      <c r="C65" s="100"/>
      <c r="D65" s="100"/>
      <c r="E65" s="100"/>
      <c r="F65" s="100"/>
      <c r="G65" s="100"/>
      <c r="H65" s="100"/>
      <c r="I65" s="100"/>
      <c r="J65" s="102"/>
      <c r="K65" s="100"/>
    </row>
    <row r="68">
      <c r="A68" s="103" t="s">
        <v>282</v>
      </c>
      <c r="B68" s="104"/>
      <c r="C68" s="104"/>
      <c r="D68" s="104"/>
      <c r="E68" s="104"/>
      <c r="F68" s="104"/>
      <c r="G68" s="104"/>
      <c r="H68" s="104"/>
      <c r="I68" s="104"/>
      <c r="J68" s="104"/>
      <c r="K68" s="105"/>
    </row>
    <row r="69">
      <c r="A69" s="106"/>
      <c r="B69" s="106"/>
      <c r="C69" s="107" t="s">
        <v>162</v>
      </c>
      <c r="D69" s="104"/>
      <c r="E69" s="104"/>
      <c r="F69" s="104"/>
      <c r="G69" s="104"/>
      <c r="H69" s="105"/>
      <c r="I69" s="106"/>
      <c r="J69" s="106"/>
      <c r="K69" s="106"/>
    </row>
    <row r="70">
      <c r="A70" s="106"/>
      <c r="B70" s="108" t="s">
        <v>163</v>
      </c>
      <c r="C70" s="108" t="s">
        <v>283</v>
      </c>
      <c r="D70" s="108" t="s">
        <v>284</v>
      </c>
      <c r="E70" s="108" t="s">
        <v>285</v>
      </c>
      <c r="F70" s="108" t="s">
        <v>286</v>
      </c>
      <c r="G70" s="108" t="s">
        <v>287</v>
      </c>
      <c r="H70" s="108" t="s">
        <v>288</v>
      </c>
      <c r="I70" s="109" t="s">
        <v>170</v>
      </c>
      <c r="J70" s="109" t="s">
        <v>171</v>
      </c>
      <c r="K70" s="109" t="s">
        <v>172</v>
      </c>
    </row>
    <row r="71">
      <c r="A71" s="108" t="s">
        <v>283</v>
      </c>
      <c r="B71" s="110" t="s">
        <v>204</v>
      </c>
      <c r="C71" s="111"/>
      <c r="D71" s="110">
        <v>182.0</v>
      </c>
      <c r="E71" s="110">
        <v>120.0</v>
      </c>
      <c r="F71" s="110">
        <v>144.0</v>
      </c>
      <c r="G71" s="110">
        <v>174.0</v>
      </c>
      <c r="H71" s="111"/>
      <c r="I71" s="106">
        <f>AVERAGE(D71:H71)</f>
        <v>155</v>
      </c>
      <c r="J71" s="108">
        <v>8.0</v>
      </c>
      <c r="K71" s="106">
        <f t="shared" ref="K71:K75" si="7">RANK(J71,J$71:J$76,0)</f>
        <v>1</v>
      </c>
    </row>
    <row r="72">
      <c r="A72" s="108" t="s">
        <v>284</v>
      </c>
      <c r="B72" s="108" t="s">
        <v>289</v>
      </c>
      <c r="C72" s="112">
        <v>22.0</v>
      </c>
      <c r="D72" s="111"/>
      <c r="E72" s="112">
        <v>36.0</v>
      </c>
      <c r="F72" s="110">
        <v>50.0</v>
      </c>
      <c r="G72" s="112">
        <v>26.0</v>
      </c>
      <c r="H72" s="111"/>
      <c r="I72" s="106">
        <f>AVERAGE(C72, E72:H72)</f>
        <v>33.5</v>
      </c>
      <c r="J72" s="108">
        <v>2.0</v>
      </c>
      <c r="K72" s="106">
        <f t="shared" si="7"/>
        <v>4</v>
      </c>
    </row>
    <row r="73">
      <c r="A73" s="108" t="s">
        <v>285</v>
      </c>
      <c r="B73" s="108" t="s">
        <v>290</v>
      </c>
      <c r="C73" s="112">
        <v>56.0</v>
      </c>
      <c r="D73" s="110">
        <v>124.0</v>
      </c>
      <c r="E73" s="111"/>
      <c r="F73" s="112">
        <v>78.0</v>
      </c>
      <c r="G73" s="110">
        <v>124.0</v>
      </c>
      <c r="H73" s="111"/>
      <c r="I73" s="106">
        <f>AVERAGE(C73, D73, F73, G73, H73)</f>
        <v>95.5</v>
      </c>
      <c r="J73" s="108">
        <v>4.0</v>
      </c>
      <c r="K73" s="106">
        <f t="shared" si="7"/>
        <v>2</v>
      </c>
    </row>
    <row r="74">
      <c r="A74" s="108" t="s">
        <v>286</v>
      </c>
      <c r="B74" s="110" t="s">
        <v>194</v>
      </c>
      <c r="C74" s="112">
        <v>46.0</v>
      </c>
      <c r="D74" s="112">
        <v>44.0</v>
      </c>
      <c r="E74" s="110">
        <v>84.0</v>
      </c>
      <c r="F74" s="111"/>
      <c r="G74" s="110">
        <v>90.0</v>
      </c>
      <c r="H74" s="111"/>
      <c r="I74" s="106">
        <f>AVERAGE(C74:E74, G74, H74)</f>
        <v>66</v>
      </c>
      <c r="J74" s="108">
        <v>4.0</v>
      </c>
      <c r="K74" s="106">
        <f t="shared" si="7"/>
        <v>2</v>
      </c>
      <c r="L74" s="17" t="s">
        <v>291</v>
      </c>
    </row>
    <row r="75">
      <c r="A75" s="108" t="s">
        <v>287</v>
      </c>
      <c r="B75" s="108" t="s">
        <v>292</v>
      </c>
      <c r="C75" s="112">
        <v>14.0</v>
      </c>
      <c r="D75" s="110">
        <v>30.0</v>
      </c>
      <c r="E75" s="112">
        <v>10.0</v>
      </c>
      <c r="F75" s="112">
        <v>68.0</v>
      </c>
      <c r="G75" s="111"/>
      <c r="H75" s="111"/>
      <c r="I75" s="106">
        <f>AVERAGE(C75:F75, H75)</f>
        <v>30.5</v>
      </c>
      <c r="J75" s="108">
        <v>2.0</v>
      </c>
      <c r="K75" s="106">
        <f t="shared" si="7"/>
        <v>4</v>
      </c>
    </row>
    <row r="76">
      <c r="A76" s="108" t="s">
        <v>288</v>
      </c>
      <c r="B76" s="108" t="s">
        <v>180</v>
      </c>
      <c r="C76" s="111"/>
      <c r="D76" s="111"/>
      <c r="E76" s="111"/>
      <c r="F76" s="111"/>
      <c r="G76" s="111"/>
      <c r="H76" s="111"/>
      <c r="I76" s="111"/>
      <c r="J76" s="113"/>
      <c r="K76" s="111"/>
    </row>
    <row r="79">
      <c r="A79" s="114" t="s">
        <v>293</v>
      </c>
      <c r="B79" s="115"/>
      <c r="C79" s="115"/>
      <c r="D79" s="115"/>
      <c r="E79" s="115"/>
      <c r="F79" s="115"/>
      <c r="G79" s="115"/>
      <c r="H79" s="115"/>
      <c r="I79" s="115"/>
      <c r="J79" s="115"/>
      <c r="K79" s="116"/>
    </row>
    <row r="80">
      <c r="A80" s="117"/>
      <c r="B80" s="117"/>
      <c r="C80" s="118" t="s">
        <v>162</v>
      </c>
      <c r="D80" s="115"/>
      <c r="E80" s="115"/>
      <c r="F80" s="115"/>
      <c r="G80" s="115"/>
      <c r="H80" s="116"/>
      <c r="I80" s="117"/>
      <c r="J80" s="117"/>
      <c r="K80" s="117"/>
    </row>
    <row r="81">
      <c r="A81" s="117"/>
      <c r="B81" s="119" t="s">
        <v>163</v>
      </c>
      <c r="C81" s="119" t="s">
        <v>294</v>
      </c>
      <c r="D81" s="119" t="s">
        <v>295</v>
      </c>
      <c r="E81" s="119" t="s">
        <v>296</v>
      </c>
      <c r="F81" s="119" t="s">
        <v>297</v>
      </c>
      <c r="G81" s="119" t="s">
        <v>298</v>
      </c>
      <c r="H81" s="119" t="s">
        <v>299</v>
      </c>
      <c r="I81" s="120" t="s">
        <v>170</v>
      </c>
      <c r="J81" s="120" t="s">
        <v>171</v>
      </c>
      <c r="K81" s="120" t="s">
        <v>172</v>
      </c>
    </row>
    <row r="82">
      <c r="A82" s="119" t="s">
        <v>294</v>
      </c>
      <c r="B82" s="121" t="s">
        <v>214</v>
      </c>
      <c r="C82" s="122"/>
      <c r="D82" s="121">
        <v>140.0</v>
      </c>
      <c r="E82" s="121">
        <v>88.0</v>
      </c>
      <c r="F82" s="121">
        <v>220.0</v>
      </c>
      <c r="G82" s="121">
        <v>144.0</v>
      </c>
      <c r="H82" s="122"/>
      <c r="I82" s="117">
        <f>AVERAGE(D82:H82)</f>
        <v>148</v>
      </c>
      <c r="J82" s="119">
        <v>8.0</v>
      </c>
      <c r="K82" s="117">
        <f t="shared" ref="K82:K86" si="8">RANK(J82,J$82:J$87,0)</f>
        <v>1</v>
      </c>
    </row>
    <row r="83">
      <c r="A83" s="119" t="s">
        <v>295</v>
      </c>
      <c r="B83" s="119" t="s">
        <v>300</v>
      </c>
      <c r="C83" s="123">
        <v>18.0</v>
      </c>
      <c r="D83" s="122"/>
      <c r="E83" s="121">
        <v>66.0</v>
      </c>
      <c r="F83" s="123">
        <v>42.0</v>
      </c>
      <c r="G83" s="123">
        <v>30.0</v>
      </c>
      <c r="H83" s="122"/>
      <c r="I83" s="117">
        <f>AVERAGE(C83, E83:H83)</f>
        <v>39</v>
      </c>
      <c r="J83" s="119">
        <v>2.0</v>
      </c>
      <c r="K83" s="117">
        <f t="shared" si="8"/>
        <v>3</v>
      </c>
    </row>
    <row r="84">
      <c r="A84" s="119" t="s">
        <v>296</v>
      </c>
      <c r="B84" s="17" t="s">
        <v>301</v>
      </c>
      <c r="C84" s="123">
        <v>82.0</v>
      </c>
      <c r="D84" s="123">
        <v>60.0</v>
      </c>
      <c r="E84" s="122"/>
      <c r="F84" s="121">
        <v>86.0</v>
      </c>
      <c r="G84" s="123">
        <v>24.0</v>
      </c>
      <c r="H84" s="122"/>
      <c r="I84" s="117">
        <f>AVERAGE(C84, D84, F84, G84, H84)</f>
        <v>63</v>
      </c>
      <c r="J84" s="119">
        <v>2.0</v>
      </c>
      <c r="K84" s="117">
        <f t="shared" si="8"/>
        <v>3</v>
      </c>
    </row>
    <row r="85">
      <c r="A85" s="119" t="s">
        <v>297</v>
      </c>
      <c r="B85" s="119" t="s">
        <v>302</v>
      </c>
      <c r="C85" s="123">
        <v>4.0</v>
      </c>
      <c r="D85" s="121">
        <v>46.0</v>
      </c>
      <c r="E85" s="123">
        <v>34.0</v>
      </c>
      <c r="F85" s="122"/>
      <c r="G85" s="123">
        <v>28.0</v>
      </c>
      <c r="H85" s="122"/>
      <c r="I85" s="117">
        <f>AVERAGE(C85:E85, G85, H85)</f>
        <v>28</v>
      </c>
      <c r="J85" s="119">
        <v>2.0</v>
      </c>
      <c r="K85" s="117">
        <f t="shared" si="8"/>
        <v>3</v>
      </c>
    </row>
    <row r="86">
      <c r="A86" s="119" t="s">
        <v>298</v>
      </c>
      <c r="B86" s="121" t="s">
        <v>177</v>
      </c>
      <c r="C86" s="123">
        <v>82.0</v>
      </c>
      <c r="D86" s="121">
        <v>158.0</v>
      </c>
      <c r="E86" s="121">
        <v>152.0</v>
      </c>
      <c r="F86" s="121">
        <v>158.0</v>
      </c>
      <c r="G86" s="122"/>
      <c r="H86" s="122"/>
      <c r="I86" s="117">
        <f>AVERAGE(C86:F86, H86)</f>
        <v>137.5</v>
      </c>
      <c r="J86" s="119">
        <v>6.0</v>
      </c>
      <c r="K86" s="117">
        <f t="shared" si="8"/>
        <v>2</v>
      </c>
    </row>
    <row r="87">
      <c r="A87" s="119" t="s">
        <v>299</v>
      </c>
      <c r="B87" s="119" t="s">
        <v>180</v>
      </c>
      <c r="C87" s="122"/>
      <c r="D87" s="122"/>
      <c r="E87" s="122"/>
      <c r="F87" s="122"/>
      <c r="G87" s="122"/>
      <c r="H87" s="122"/>
      <c r="I87" s="122"/>
      <c r="J87" s="124"/>
      <c r="K87" s="122"/>
    </row>
  </sheetData>
  <mergeCells count="17">
    <mergeCell ref="L1:R4"/>
    <mergeCell ref="A2:K2"/>
    <mergeCell ref="C3:H3"/>
    <mergeCell ref="A13:K13"/>
    <mergeCell ref="C14:H14"/>
    <mergeCell ref="A24:K24"/>
    <mergeCell ref="C25:H25"/>
    <mergeCell ref="C69:H69"/>
    <mergeCell ref="A79:K79"/>
    <mergeCell ref="C80:H80"/>
    <mergeCell ref="A35:K35"/>
    <mergeCell ref="C36:H36"/>
    <mergeCell ref="A46:K46"/>
    <mergeCell ref="C47:H47"/>
    <mergeCell ref="A57:K57"/>
    <mergeCell ref="C58:H58"/>
    <mergeCell ref="A68:K6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.88"/>
    <col customWidth="1" min="3" max="3" width="17.38"/>
    <col customWidth="1" min="4" max="4" width="4.88"/>
    <col customWidth="1" min="5" max="5" width="17.38"/>
    <col customWidth="1" min="6" max="6" width="5.0"/>
    <col customWidth="1" min="7" max="7" width="17.5"/>
    <col customWidth="1" min="8" max="8" width="5.25"/>
    <col customWidth="1" min="9" max="9" width="17.38"/>
    <col customWidth="1" min="10" max="10" width="5.13"/>
    <col customWidth="1" min="11" max="11" width="17.38"/>
    <col customWidth="1" min="12" max="12" width="5.0"/>
    <col customWidth="1" min="13" max="13" width="17.5"/>
    <col customWidth="1" min="14" max="14" width="4.88"/>
    <col customWidth="1" min="15" max="15" width="17.5"/>
    <col customWidth="1" min="16" max="16" width="5.0"/>
    <col customWidth="1" min="17" max="17" width="4.88"/>
    <col customWidth="1" min="18" max="18" width="12.25"/>
    <col customWidth="1" min="19" max="20" width="12.63"/>
  </cols>
  <sheetData>
    <row r="1">
      <c r="A1" s="2" t="s">
        <v>1</v>
      </c>
      <c r="B1" s="3"/>
      <c r="C1" s="2" t="s">
        <v>8</v>
      </c>
      <c r="D1" s="3"/>
      <c r="E1" s="2" t="s">
        <v>9</v>
      </c>
      <c r="F1" s="3"/>
      <c r="G1" s="2" t="s">
        <v>10</v>
      </c>
      <c r="H1" s="3"/>
      <c r="I1" s="2" t="s">
        <v>11</v>
      </c>
      <c r="J1" s="3"/>
      <c r="K1" s="2" t="s">
        <v>12</v>
      </c>
      <c r="L1" s="3"/>
      <c r="M1" s="2" t="s">
        <v>13</v>
      </c>
      <c r="N1" s="3"/>
      <c r="O1" s="2" t="s">
        <v>14</v>
      </c>
      <c r="P1" s="3"/>
      <c r="Q1" s="3"/>
      <c r="R1" s="6"/>
      <c r="S1" s="3"/>
      <c r="T1" s="3"/>
      <c r="U1" s="3"/>
      <c r="V1" s="3"/>
      <c r="W1" s="3"/>
      <c r="X1" s="3"/>
      <c r="Y1" s="3"/>
      <c r="Z1" s="3"/>
    </row>
    <row r="2">
      <c r="A2" s="29" t="s">
        <v>173</v>
      </c>
      <c r="B2" s="30">
        <v>144.0</v>
      </c>
      <c r="C2" s="2"/>
      <c r="D2" s="3"/>
      <c r="E2" s="2"/>
      <c r="F2" s="3"/>
      <c r="G2" s="2"/>
      <c r="H2" s="3"/>
      <c r="I2" s="2"/>
      <c r="J2" s="3"/>
      <c r="K2" s="2"/>
      <c r="L2" s="3"/>
      <c r="M2" s="2"/>
      <c r="N2" s="3"/>
      <c r="O2" s="2"/>
      <c r="P2" s="3"/>
      <c r="Q2" s="3"/>
      <c r="R2" s="6"/>
      <c r="S2" s="32" t="s">
        <v>175</v>
      </c>
      <c r="W2" s="3"/>
      <c r="X2" s="3"/>
      <c r="Y2" s="3"/>
      <c r="Z2" s="3"/>
    </row>
    <row r="3">
      <c r="A3" s="2" t="s">
        <v>176</v>
      </c>
      <c r="B3" s="30"/>
      <c r="C3" s="33" t="s">
        <v>173</v>
      </c>
      <c r="D3" s="30">
        <v>40.0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W3" s="3"/>
      <c r="X3" s="3"/>
      <c r="Y3" s="3"/>
      <c r="Z3" s="3"/>
    </row>
    <row r="4">
      <c r="A4" s="29" t="s">
        <v>177</v>
      </c>
      <c r="B4" s="30">
        <v>92.0</v>
      </c>
      <c r="C4" s="6"/>
      <c r="D4" s="3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2" t="s">
        <v>179</v>
      </c>
      <c r="D5" s="34"/>
      <c r="E5" s="33" t="s">
        <v>180</v>
      </c>
      <c r="G5" s="33" t="s">
        <v>181</v>
      </c>
      <c r="H5" s="30">
        <v>46.0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3" t="s">
        <v>182</v>
      </c>
      <c r="B6" s="30">
        <v>188.0</v>
      </c>
      <c r="C6" s="3"/>
      <c r="D6" s="34"/>
      <c r="E6" s="3"/>
      <c r="F6" s="3"/>
      <c r="G6" s="3"/>
      <c r="H6" s="3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184</v>
      </c>
      <c r="B7" s="34"/>
      <c r="C7" s="33" t="s">
        <v>181</v>
      </c>
      <c r="D7" s="30">
        <v>134.0</v>
      </c>
      <c r="F7" s="3"/>
      <c r="G7" s="3"/>
      <c r="H7" s="3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3" t="s">
        <v>185</v>
      </c>
      <c r="B8" s="30">
        <v>30.0</v>
      </c>
      <c r="C8" s="3"/>
      <c r="D8" s="3"/>
      <c r="E8" s="3"/>
      <c r="F8" s="3"/>
      <c r="G8" s="3"/>
      <c r="H8" s="3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D9" s="3"/>
      <c r="E9" s="2"/>
      <c r="F9" s="2"/>
      <c r="G9" s="2" t="s">
        <v>187</v>
      </c>
      <c r="H9" s="30"/>
      <c r="I9" s="33" t="s">
        <v>180</v>
      </c>
      <c r="K9" s="33" t="s">
        <v>181</v>
      </c>
      <c r="L9" s="30">
        <v>86.0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3" t="s">
        <v>188</v>
      </c>
      <c r="B10" s="30">
        <v>68.0</v>
      </c>
      <c r="C10" s="3"/>
      <c r="D10" s="3"/>
      <c r="E10" s="3"/>
      <c r="F10" s="3"/>
      <c r="G10" s="3"/>
      <c r="H10" s="30"/>
      <c r="I10" s="3"/>
      <c r="J10" s="3"/>
      <c r="K10" s="3"/>
      <c r="L10" s="3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189</v>
      </c>
      <c r="B11" s="34"/>
      <c r="C11" s="33" t="s">
        <v>190</v>
      </c>
      <c r="D11" s="30">
        <v>28.0</v>
      </c>
      <c r="E11" s="3"/>
      <c r="F11" s="3"/>
      <c r="G11" s="3"/>
      <c r="H11" s="30"/>
      <c r="I11" s="3"/>
      <c r="J11" s="3"/>
      <c r="K11" s="3"/>
      <c r="L11" s="3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3" t="s">
        <v>190</v>
      </c>
      <c r="B12" s="30">
        <v>90.0</v>
      </c>
      <c r="C12" s="3"/>
      <c r="D12" s="34"/>
      <c r="E12" s="3"/>
      <c r="F12" s="3"/>
      <c r="G12" s="3"/>
      <c r="H12" s="30"/>
      <c r="I12" s="3"/>
      <c r="J12" s="3"/>
      <c r="K12" s="3"/>
      <c r="L12" s="3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2" t="s">
        <v>191</v>
      </c>
      <c r="D13" s="34"/>
      <c r="E13" s="33" t="s">
        <v>180</v>
      </c>
      <c r="G13" s="33" t="s">
        <v>192</v>
      </c>
      <c r="H13" s="30">
        <v>44.0</v>
      </c>
      <c r="I13" s="3"/>
      <c r="J13" s="3"/>
      <c r="K13" s="3"/>
      <c r="L13" s="3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 t="s">
        <v>194</v>
      </c>
      <c r="B14" s="30">
        <v>28.0</v>
      </c>
      <c r="C14" s="3"/>
      <c r="D14" s="34"/>
      <c r="E14" s="3"/>
      <c r="F14" s="3"/>
      <c r="G14" s="3"/>
      <c r="H14" s="3"/>
      <c r="I14" s="3"/>
      <c r="J14" s="3"/>
      <c r="K14" s="3"/>
      <c r="L14" s="3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195</v>
      </c>
      <c r="B15" s="34"/>
      <c r="C15" s="33" t="s">
        <v>196</v>
      </c>
      <c r="D15" s="30">
        <v>144.0</v>
      </c>
      <c r="E15" s="3"/>
      <c r="F15" s="3"/>
      <c r="G15" s="3"/>
      <c r="H15" s="3"/>
      <c r="I15" s="3"/>
      <c r="J15" s="3"/>
      <c r="K15" s="3"/>
      <c r="L15" s="3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3" t="s">
        <v>196</v>
      </c>
      <c r="B16" s="30">
        <v>164.0</v>
      </c>
      <c r="C16" s="3"/>
      <c r="D16" s="3"/>
      <c r="E16" s="3"/>
      <c r="F16" s="3"/>
      <c r="G16" s="3"/>
      <c r="H16" s="3"/>
      <c r="I16" s="3"/>
      <c r="J16" s="3"/>
      <c r="K16" s="3"/>
      <c r="L16" s="3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2" t="s">
        <v>197</v>
      </c>
      <c r="L17" s="30"/>
      <c r="M17" s="33" t="s">
        <v>180</v>
      </c>
      <c r="O17" s="33" t="s">
        <v>181</v>
      </c>
      <c r="P17" s="30">
        <v>4.0</v>
      </c>
      <c r="Q17" s="30">
        <v>68.0</v>
      </c>
      <c r="R17" s="41"/>
      <c r="S17" s="43"/>
      <c r="T17" s="44"/>
      <c r="U17" s="3"/>
      <c r="V17" s="3"/>
      <c r="W17" s="3"/>
      <c r="X17" s="3"/>
      <c r="Y17" s="3"/>
      <c r="Z17" s="3"/>
    </row>
    <row r="18">
      <c r="A18" s="33" t="s">
        <v>204</v>
      </c>
      <c r="B18" s="30">
        <v>172.0</v>
      </c>
      <c r="C18" s="3"/>
      <c r="D18" s="3"/>
      <c r="E18" s="3"/>
      <c r="F18" s="3"/>
      <c r="G18" s="3"/>
      <c r="H18" s="3"/>
      <c r="I18" s="3"/>
      <c r="J18" s="3"/>
      <c r="K18" s="3"/>
      <c r="L18" s="30"/>
      <c r="M18" s="3"/>
      <c r="N18" s="3"/>
      <c r="O18" s="3"/>
      <c r="P18" s="46"/>
      <c r="Q18" s="46"/>
      <c r="R18" s="41"/>
      <c r="S18" s="43"/>
      <c r="T18" s="44"/>
      <c r="U18" s="3"/>
      <c r="V18" s="3"/>
      <c r="W18" s="3"/>
      <c r="X18" s="3"/>
      <c r="Y18" s="3"/>
      <c r="Z18" s="3"/>
    </row>
    <row r="19">
      <c r="A19" s="2" t="s">
        <v>206</v>
      </c>
      <c r="B19" s="34"/>
      <c r="C19" s="49" t="s">
        <v>204</v>
      </c>
      <c r="D19" s="30">
        <v>92.0</v>
      </c>
      <c r="E19" s="3"/>
      <c r="F19" s="3"/>
      <c r="G19" s="3"/>
      <c r="H19" s="3"/>
      <c r="I19" s="3"/>
      <c r="J19" s="3"/>
      <c r="K19" s="3"/>
      <c r="L19" s="30"/>
      <c r="M19" s="3"/>
      <c r="N19" s="3"/>
      <c r="O19" s="3"/>
      <c r="P19" s="46"/>
      <c r="Q19" s="46"/>
      <c r="R19" s="41"/>
      <c r="S19" s="43"/>
      <c r="T19" s="44"/>
      <c r="U19" s="3"/>
      <c r="V19" s="3"/>
      <c r="W19" s="3"/>
      <c r="X19" s="3"/>
      <c r="Y19" s="3"/>
      <c r="Z19" s="3"/>
    </row>
    <row r="20">
      <c r="A20" s="33" t="s">
        <v>205</v>
      </c>
      <c r="B20" s="30">
        <v>42.0</v>
      </c>
      <c r="C20" s="3"/>
      <c r="D20" s="34"/>
      <c r="E20" s="3"/>
      <c r="F20" s="3"/>
      <c r="G20" s="3"/>
      <c r="H20" s="3"/>
      <c r="I20" s="3"/>
      <c r="J20" s="3"/>
      <c r="K20" s="3"/>
      <c r="L20" s="30"/>
      <c r="M20" s="3"/>
      <c r="N20" s="3"/>
      <c r="O20" s="3"/>
      <c r="P20" s="46"/>
      <c r="Q20" s="46"/>
      <c r="R20" s="41"/>
      <c r="S20" s="43"/>
      <c r="T20" s="44"/>
      <c r="U20" s="3"/>
      <c r="V20" s="3"/>
      <c r="W20" s="3"/>
      <c r="X20" s="3"/>
      <c r="Y20" s="3"/>
      <c r="Z20" s="3"/>
    </row>
    <row r="21">
      <c r="A21" s="3"/>
      <c r="B21" s="3"/>
      <c r="C21" s="2" t="s">
        <v>207</v>
      </c>
      <c r="D21" s="34"/>
      <c r="E21" s="33" t="s">
        <v>180</v>
      </c>
      <c r="G21" s="33" t="s">
        <v>208</v>
      </c>
      <c r="H21" s="30">
        <v>10.0</v>
      </c>
      <c r="I21" s="3"/>
      <c r="J21" s="3"/>
      <c r="K21" s="3"/>
      <c r="L21" s="30"/>
      <c r="M21" s="3"/>
      <c r="N21" s="3"/>
      <c r="O21" s="3"/>
      <c r="P21" s="46"/>
      <c r="Q21" s="46"/>
      <c r="R21" s="41"/>
      <c r="S21" s="43"/>
      <c r="T21" s="44"/>
      <c r="U21" s="3"/>
      <c r="V21" s="3"/>
      <c r="W21" s="3"/>
      <c r="X21" s="3"/>
      <c r="Y21" s="3"/>
      <c r="Z21" s="3"/>
    </row>
    <row r="22">
      <c r="A22" s="33" t="s">
        <v>208</v>
      </c>
      <c r="B22" s="30">
        <v>146.0</v>
      </c>
      <c r="C22" s="3"/>
      <c r="D22" s="34"/>
      <c r="E22" s="3"/>
      <c r="F22" s="3"/>
      <c r="G22" s="3"/>
      <c r="H22" s="30"/>
      <c r="I22" s="3"/>
      <c r="J22" s="3"/>
      <c r="K22" s="3"/>
      <c r="L22" s="30"/>
      <c r="M22" s="3"/>
      <c r="N22" s="3"/>
      <c r="O22" s="3"/>
      <c r="P22" s="46"/>
      <c r="Q22" s="46"/>
      <c r="R22" s="41"/>
      <c r="S22" s="43"/>
      <c r="T22" s="44"/>
      <c r="U22" s="3"/>
      <c r="V22" s="3"/>
      <c r="W22" s="3"/>
      <c r="X22" s="3"/>
      <c r="Y22" s="3"/>
      <c r="Z22" s="3"/>
    </row>
    <row r="23">
      <c r="A23" s="2" t="s">
        <v>210</v>
      </c>
      <c r="B23" s="34"/>
      <c r="C23" s="33" t="s">
        <v>208</v>
      </c>
      <c r="D23" s="30">
        <v>96.0</v>
      </c>
      <c r="E23" s="3"/>
      <c r="F23" s="3"/>
      <c r="G23" s="3"/>
      <c r="H23" s="30"/>
      <c r="I23" s="3"/>
      <c r="J23" s="3"/>
      <c r="K23" s="3"/>
      <c r="L23" s="30"/>
      <c r="M23" s="3"/>
      <c r="N23" s="3"/>
      <c r="O23" s="3"/>
      <c r="P23" s="46"/>
      <c r="Q23" s="46"/>
      <c r="R23" s="41"/>
      <c r="S23" s="43"/>
      <c r="T23" s="44"/>
      <c r="U23" s="3"/>
      <c r="V23" s="3"/>
      <c r="W23" s="3"/>
      <c r="X23" s="3"/>
      <c r="Y23" s="3"/>
      <c r="Z23" s="3"/>
    </row>
    <row r="24">
      <c r="A24" s="33" t="s">
        <v>211</v>
      </c>
      <c r="B24" s="30">
        <v>36.0</v>
      </c>
      <c r="C24" s="3"/>
      <c r="D24" s="3"/>
      <c r="E24" s="3"/>
      <c r="F24" s="3"/>
      <c r="G24" s="3"/>
      <c r="H24" s="30"/>
      <c r="I24" s="3"/>
      <c r="J24" s="3"/>
      <c r="K24" s="3"/>
      <c r="L24" s="30"/>
      <c r="M24" s="3"/>
      <c r="N24" s="3"/>
      <c r="O24" s="3"/>
      <c r="P24" s="46"/>
      <c r="Q24" s="46"/>
      <c r="R24" s="41"/>
      <c r="S24" s="43"/>
      <c r="T24" s="44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2"/>
      <c r="F25" s="2"/>
      <c r="G25" s="51" t="s">
        <v>213</v>
      </c>
      <c r="H25" s="30"/>
      <c r="I25" s="33" t="s">
        <v>180</v>
      </c>
      <c r="K25" s="33" t="s">
        <v>214</v>
      </c>
      <c r="L25" s="30">
        <v>68.0</v>
      </c>
      <c r="M25" s="3"/>
      <c r="N25" s="3"/>
      <c r="O25" s="3"/>
      <c r="P25" s="46"/>
      <c r="Q25" s="46"/>
      <c r="R25" s="41"/>
      <c r="S25" s="43"/>
      <c r="T25" s="44"/>
      <c r="U25" s="3"/>
      <c r="V25" s="3"/>
      <c r="W25" s="3"/>
      <c r="X25" s="3"/>
      <c r="Y25" s="3"/>
      <c r="Z25" s="3"/>
    </row>
    <row r="26">
      <c r="A26" s="33" t="s">
        <v>216</v>
      </c>
      <c r="B26" s="30">
        <v>136.0</v>
      </c>
      <c r="C26" s="3"/>
      <c r="D26" s="3"/>
      <c r="E26" s="3"/>
      <c r="F26" s="3"/>
      <c r="G26" s="3"/>
      <c r="H26" s="30"/>
      <c r="I26" s="3"/>
      <c r="J26" s="3"/>
      <c r="K26" s="3"/>
      <c r="L26" s="3"/>
      <c r="M26" s="3"/>
      <c r="N26" s="3"/>
      <c r="O26" s="3"/>
      <c r="P26" s="46"/>
      <c r="Q26" s="46"/>
      <c r="R26" s="52"/>
      <c r="S26" s="53" t="s">
        <v>217</v>
      </c>
      <c r="T26" s="52"/>
      <c r="U26" s="3"/>
      <c r="V26" s="3"/>
      <c r="W26" s="3"/>
      <c r="X26" s="3"/>
      <c r="Y26" s="3"/>
      <c r="Z26" s="3"/>
    </row>
    <row r="27">
      <c r="A27" s="2" t="s">
        <v>218</v>
      </c>
      <c r="B27" s="34"/>
      <c r="C27" s="33" t="s">
        <v>216</v>
      </c>
      <c r="D27" s="30">
        <v>-12.0</v>
      </c>
      <c r="E27" s="3"/>
      <c r="F27" s="3"/>
      <c r="G27" s="3"/>
      <c r="H27" s="30"/>
      <c r="I27" s="3"/>
      <c r="J27" s="3"/>
      <c r="K27" s="3"/>
      <c r="L27" s="3"/>
      <c r="M27" s="3"/>
      <c r="N27" s="3"/>
      <c r="O27" s="2" t="s">
        <v>16</v>
      </c>
      <c r="P27" s="46"/>
      <c r="Q27" s="46"/>
      <c r="R27" s="52"/>
      <c r="S27" s="6" t="s">
        <v>181</v>
      </c>
      <c r="T27" s="52"/>
      <c r="U27" s="3"/>
      <c r="V27" s="3"/>
      <c r="W27" s="3"/>
      <c r="X27" s="3"/>
      <c r="Y27" s="3"/>
      <c r="Z27" s="3"/>
    </row>
    <row r="28">
      <c r="A28" s="33" t="s">
        <v>219</v>
      </c>
      <c r="B28" s="30">
        <v>10.0</v>
      </c>
      <c r="C28" s="3"/>
      <c r="D28" s="34"/>
      <c r="E28" s="3"/>
      <c r="F28" s="3"/>
      <c r="G28" s="3"/>
      <c r="H28" s="30"/>
      <c r="I28" s="3"/>
      <c r="J28" s="3"/>
      <c r="K28" s="3"/>
      <c r="L28" s="3"/>
      <c r="M28" s="3"/>
      <c r="N28" s="3"/>
      <c r="O28" s="3"/>
      <c r="P28" s="46"/>
      <c r="Q28" s="46"/>
      <c r="R28" s="52"/>
      <c r="S28" s="52"/>
      <c r="T28" s="52"/>
      <c r="U28" s="3"/>
      <c r="V28" s="3"/>
      <c r="W28" s="3"/>
      <c r="X28" s="3"/>
      <c r="Y28" s="3"/>
      <c r="Z28" s="3"/>
    </row>
    <row r="29">
      <c r="A29" s="3"/>
      <c r="B29" s="3"/>
      <c r="C29" s="2" t="s">
        <v>220</v>
      </c>
      <c r="D29" s="34"/>
      <c r="E29" s="33" t="s">
        <v>180</v>
      </c>
      <c r="G29" s="33" t="s">
        <v>214</v>
      </c>
      <c r="H29" s="30">
        <v>96.0</v>
      </c>
      <c r="I29" s="3"/>
      <c r="J29" s="3"/>
      <c r="K29" s="3"/>
      <c r="L29" s="3"/>
      <c r="M29" s="33" t="s">
        <v>214</v>
      </c>
      <c r="N29" s="30">
        <v>62.0</v>
      </c>
      <c r="O29" s="3"/>
      <c r="P29" s="46"/>
      <c r="Q29" s="46"/>
      <c r="R29" s="3"/>
      <c r="S29" s="3"/>
      <c r="T29" s="3"/>
      <c r="U29" s="3"/>
      <c r="V29" s="3"/>
      <c r="W29" s="3"/>
      <c r="X29" s="3"/>
      <c r="Y29" s="3"/>
      <c r="Z29" s="3"/>
    </row>
    <row r="30">
      <c r="A30" s="33" t="s">
        <v>178</v>
      </c>
      <c r="B30" s="30">
        <v>38.0</v>
      </c>
      <c r="C30" s="3"/>
      <c r="D30" s="34"/>
      <c r="E30" s="3"/>
      <c r="F30" s="3"/>
      <c r="G30" s="3"/>
      <c r="H30" s="3"/>
      <c r="I30" s="3"/>
      <c r="J30" s="3"/>
      <c r="K30" s="3"/>
      <c r="L30" s="3"/>
      <c r="M30" s="3"/>
      <c r="N30" s="30"/>
      <c r="O30" s="3"/>
      <c r="P30" s="46"/>
      <c r="Q30" s="46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221</v>
      </c>
      <c r="B31" s="34"/>
      <c r="C31" s="33" t="s">
        <v>214</v>
      </c>
      <c r="D31" s="30">
        <v>144.0</v>
      </c>
      <c r="E31" s="3"/>
      <c r="F31" s="3"/>
      <c r="G31" s="3"/>
      <c r="H31" s="3"/>
      <c r="I31" s="3"/>
      <c r="J31" s="3"/>
      <c r="K31" s="3"/>
      <c r="L31" s="3"/>
      <c r="M31" s="3"/>
      <c r="N31" s="30"/>
      <c r="O31" s="3"/>
      <c r="P31" s="46"/>
      <c r="Q31" s="46"/>
      <c r="R31" s="3"/>
      <c r="S31" s="3"/>
      <c r="T31" s="3"/>
      <c r="U31" s="3"/>
      <c r="V31" s="3"/>
      <c r="W31" s="3"/>
      <c r="X31" s="3"/>
      <c r="Y31" s="3"/>
      <c r="Z31" s="3"/>
    </row>
    <row r="32">
      <c r="A32" s="29" t="s">
        <v>214</v>
      </c>
      <c r="B32" s="30">
        <v>178.0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0"/>
      <c r="O32" s="3"/>
      <c r="P32" s="46"/>
      <c r="Q32" s="46"/>
      <c r="R32" s="3"/>
      <c r="S32" s="3"/>
      <c r="T32" s="3"/>
      <c r="U32" s="3"/>
      <c r="V32" s="3"/>
      <c r="W32" s="3"/>
      <c r="X32" s="3"/>
      <c r="Y32" s="3"/>
      <c r="Z32" s="3"/>
    </row>
    <row r="33">
      <c r="A33" s="6"/>
      <c r="B33" s="3"/>
      <c r="C33" s="3"/>
      <c r="D33" s="3"/>
      <c r="E33" s="3"/>
      <c r="F33" s="3"/>
      <c r="G33" s="3"/>
      <c r="H33" s="3"/>
      <c r="I33" s="33" t="s">
        <v>192</v>
      </c>
      <c r="J33" s="30">
        <v>40.0</v>
      </c>
      <c r="K33" s="3"/>
      <c r="L33" s="3"/>
      <c r="M33" s="3"/>
      <c r="N33" s="30"/>
      <c r="O33" s="3"/>
      <c r="P33" s="46"/>
      <c r="Q33" s="46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0"/>
      <c r="K34" s="3"/>
      <c r="L34" s="3"/>
      <c r="M34" s="3"/>
      <c r="N34" s="30"/>
      <c r="O34" s="3"/>
      <c r="P34" s="46"/>
      <c r="Q34" s="46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3" t="s">
        <v>216</v>
      </c>
      <c r="F35" s="30">
        <v>54.0</v>
      </c>
      <c r="G35" s="3"/>
      <c r="H35" s="3"/>
      <c r="I35" s="3"/>
      <c r="J35" s="30"/>
      <c r="K35" s="3"/>
      <c r="L35" s="3"/>
      <c r="M35" s="3"/>
      <c r="N35" s="30"/>
      <c r="O35" s="3"/>
      <c r="P35" s="46"/>
      <c r="Q35" s="46"/>
      <c r="R35" s="3"/>
      <c r="S35" s="3"/>
      <c r="T35" s="3"/>
      <c r="Y35" s="3"/>
      <c r="Z35" s="3"/>
    </row>
    <row r="36">
      <c r="A36" s="3"/>
      <c r="B36" s="3"/>
      <c r="C36" s="3"/>
      <c r="D36" s="3"/>
      <c r="E36" s="6"/>
      <c r="F36" s="34"/>
      <c r="G36" s="3"/>
      <c r="H36" s="3"/>
      <c r="I36" s="3"/>
      <c r="J36" s="30"/>
      <c r="K36" s="3"/>
      <c r="L36" s="3"/>
      <c r="M36" s="3"/>
      <c r="N36" s="30"/>
      <c r="O36" s="3"/>
      <c r="P36" s="46"/>
      <c r="Q36" s="46"/>
      <c r="R36" s="3"/>
      <c r="S36" s="3"/>
      <c r="T36" s="3"/>
      <c r="Y36" s="3"/>
      <c r="Z36" s="3"/>
    </row>
    <row r="37">
      <c r="A37" s="3"/>
      <c r="B37" s="3"/>
      <c r="C37" s="3"/>
      <c r="D37" s="3"/>
      <c r="E37" s="2" t="s">
        <v>224</v>
      </c>
      <c r="F37" s="34"/>
      <c r="G37" s="33" t="s">
        <v>225</v>
      </c>
      <c r="H37" s="30">
        <v>18.0</v>
      </c>
      <c r="I37" s="2" t="s">
        <v>226</v>
      </c>
      <c r="J37" s="30"/>
      <c r="K37" s="33" t="s">
        <v>204</v>
      </c>
      <c r="L37" s="30">
        <v>62.0</v>
      </c>
      <c r="M37" s="2" t="s">
        <v>227</v>
      </c>
      <c r="N37" s="30"/>
      <c r="O37" s="33" t="s">
        <v>214</v>
      </c>
      <c r="P37" s="61">
        <v>58.0</v>
      </c>
      <c r="Q37" s="61">
        <v>66.0</v>
      </c>
      <c r="R37" s="3"/>
      <c r="S37" s="3"/>
      <c r="T37" s="3"/>
      <c r="Y37" s="3"/>
      <c r="Z37" s="3"/>
    </row>
    <row r="38">
      <c r="A38" s="3"/>
      <c r="B38" s="3"/>
      <c r="C38" s="33" t="s">
        <v>177</v>
      </c>
      <c r="D38" s="30">
        <v>84.0</v>
      </c>
      <c r="E38" s="3"/>
      <c r="F38" s="34"/>
      <c r="G38" s="3"/>
      <c r="H38" s="30"/>
      <c r="I38" s="3"/>
      <c r="J38" s="30"/>
      <c r="K38" s="3"/>
      <c r="L38" s="30"/>
      <c r="M38" s="3"/>
      <c r="N38" s="30"/>
      <c r="O38" s="3"/>
      <c r="P38" s="63"/>
      <c r="Q38" s="63"/>
      <c r="R38" s="3"/>
      <c r="S38" s="3"/>
      <c r="T38" s="3"/>
      <c r="X38" s="3"/>
      <c r="Y38" s="3"/>
      <c r="Z38" s="3"/>
    </row>
    <row r="39">
      <c r="A39" s="3"/>
      <c r="B39" s="3"/>
      <c r="C39" s="2" t="s">
        <v>235</v>
      </c>
      <c r="D39" s="34"/>
      <c r="E39" s="33" t="s">
        <v>177</v>
      </c>
      <c r="F39" s="30">
        <v>114.0</v>
      </c>
      <c r="G39" s="3"/>
      <c r="H39" s="30"/>
      <c r="I39" s="3"/>
      <c r="J39" s="30"/>
      <c r="K39" s="3"/>
      <c r="L39" s="30"/>
      <c r="M39" s="3"/>
      <c r="N39" s="30"/>
      <c r="O39" s="3"/>
      <c r="P39" s="63"/>
      <c r="Q39" s="6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3" t="s">
        <v>185</v>
      </c>
      <c r="D40" s="30">
        <v>82.0</v>
      </c>
      <c r="E40" s="3"/>
      <c r="F40" s="3"/>
      <c r="G40" s="3"/>
      <c r="H40" s="30"/>
      <c r="I40" s="3"/>
      <c r="J40" s="30"/>
      <c r="K40" s="3"/>
      <c r="L40" s="30"/>
      <c r="M40" s="3"/>
      <c r="N40" s="30"/>
      <c r="O40" s="3"/>
      <c r="P40" s="63"/>
      <c r="Q40" s="6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2" t="s">
        <v>236</v>
      </c>
      <c r="H41" s="30"/>
      <c r="I41" s="33" t="s">
        <v>204</v>
      </c>
      <c r="J41" s="30">
        <v>78.0</v>
      </c>
      <c r="K41" s="3"/>
      <c r="L41" s="30"/>
      <c r="M41" s="3"/>
      <c r="N41" s="30"/>
      <c r="O41" s="3"/>
      <c r="P41" s="63"/>
      <c r="Q41" s="6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0"/>
      <c r="I42" s="3"/>
      <c r="J42" s="3"/>
      <c r="K42" s="3"/>
      <c r="L42" s="30"/>
      <c r="M42" s="3"/>
      <c r="N42" s="30"/>
      <c r="O42" s="3"/>
      <c r="P42" s="63"/>
      <c r="Q42" s="6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3" t="s">
        <v>204</v>
      </c>
      <c r="F43" s="30">
        <v>78.0</v>
      </c>
      <c r="G43" s="3"/>
      <c r="H43" s="30"/>
      <c r="I43" s="3"/>
      <c r="J43" s="3"/>
      <c r="K43" s="3"/>
      <c r="L43" s="30"/>
      <c r="M43" s="3"/>
      <c r="N43" s="30"/>
      <c r="O43" s="3"/>
      <c r="P43" s="63"/>
      <c r="Q43" s="6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4"/>
      <c r="G44" s="3"/>
      <c r="H44" s="30"/>
      <c r="I44" s="3"/>
      <c r="J44" s="3"/>
      <c r="K44" s="3"/>
      <c r="L44" s="30"/>
      <c r="M44" s="3"/>
      <c r="N44" s="30"/>
      <c r="O44" s="3"/>
      <c r="P44" s="63"/>
      <c r="Q44" s="6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2" t="s">
        <v>237</v>
      </c>
      <c r="F45" s="34"/>
      <c r="G45" s="33" t="s">
        <v>204</v>
      </c>
      <c r="H45" s="30">
        <v>52.0</v>
      </c>
      <c r="I45" s="3"/>
      <c r="J45" s="3"/>
      <c r="K45" s="2" t="s">
        <v>238</v>
      </c>
      <c r="L45" s="30"/>
      <c r="M45" s="33" t="s">
        <v>204</v>
      </c>
      <c r="N45" s="30">
        <v>18.0</v>
      </c>
      <c r="O45" s="3"/>
      <c r="P45" s="63"/>
      <c r="Q45" s="6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3" t="s">
        <v>188</v>
      </c>
      <c r="D46" s="30">
        <v>94.0</v>
      </c>
      <c r="E46" s="3"/>
      <c r="F46" s="34"/>
      <c r="G46" s="3"/>
      <c r="H46" s="3"/>
      <c r="I46" s="3"/>
      <c r="J46" s="3"/>
      <c r="K46" s="3"/>
      <c r="L46" s="30"/>
      <c r="M46" s="3"/>
      <c r="N46" s="3"/>
      <c r="O46" s="3"/>
      <c r="P46" s="67"/>
      <c r="Q46" s="67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2" t="s">
        <v>240</v>
      </c>
      <c r="D47" s="34"/>
      <c r="E47" s="33" t="s">
        <v>188</v>
      </c>
      <c r="F47" s="30">
        <v>60.0</v>
      </c>
      <c r="G47" s="3"/>
      <c r="H47" s="3"/>
      <c r="I47" s="3"/>
      <c r="J47" s="3"/>
      <c r="K47" s="3"/>
      <c r="L47" s="30"/>
      <c r="M47" s="3"/>
      <c r="N47" s="3"/>
      <c r="O47" s="3"/>
      <c r="P47" s="67"/>
      <c r="Q47" s="67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3" t="s">
        <v>194</v>
      </c>
      <c r="D48" s="30">
        <v>62.0</v>
      </c>
      <c r="E48" s="3"/>
      <c r="F48" s="3"/>
      <c r="G48" s="3"/>
      <c r="H48" s="3"/>
      <c r="I48" s="3"/>
      <c r="J48" s="3"/>
      <c r="K48" s="3"/>
      <c r="L48" s="3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3" t="s">
        <v>208</v>
      </c>
      <c r="J49" s="30">
        <v>22.0</v>
      </c>
      <c r="K49" s="3"/>
      <c r="L49" s="3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0"/>
      <c r="K50" s="3"/>
      <c r="L50" s="3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3" t="s">
        <v>190</v>
      </c>
      <c r="F51" s="30">
        <v>54.0</v>
      </c>
      <c r="G51" s="3"/>
      <c r="H51" s="3"/>
      <c r="I51" s="3"/>
      <c r="J51" s="30"/>
      <c r="K51" s="3"/>
      <c r="L51" s="3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4"/>
      <c r="G52" s="3"/>
      <c r="H52" s="3"/>
      <c r="I52" s="3"/>
      <c r="J52" s="30"/>
      <c r="K52" s="3"/>
      <c r="L52" s="3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2" t="s">
        <v>243</v>
      </c>
      <c r="F53" s="34"/>
      <c r="G53" s="33" t="s">
        <v>190</v>
      </c>
      <c r="H53" s="30" t="s">
        <v>244</v>
      </c>
      <c r="I53" s="2" t="s">
        <v>245</v>
      </c>
      <c r="J53" s="30"/>
      <c r="K53" s="33" t="s">
        <v>178</v>
      </c>
      <c r="L53" s="30">
        <v>22.0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68" t="s">
        <v>205</v>
      </c>
      <c r="D54" s="61">
        <v>16.0</v>
      </c>
      <c r="E54" s="3"/>
      <c r="F54" s="34"/>
      <c r="G54" s="3"/>
      <c r="H54" s="30"/>
      <c r="I54" s="3"/>
      <c r="J54" s="30"/>
      <c r="K54" s="3"/>
      <c r="L54" s="3"/>
      <c r="M54" s="3"/>
      <c r="N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51" t="s">
        <v>246</v>
      </c>
      <c r="D55" s="46"/>
      <c r="E55" s="33" t="s">
        <v>211</v>
      </c>
      <c r="F55" s="30">
        <v>32.0</v>
      </c>
      <c r="G55" s="3"/>
      <c r="H55" s="30"/>
      <c r="I55" s="3"/>
      <c r="J55" s="30"/>
      <c r="K55" s="3"/>
      <c r="L55" s="3"/>
      <c r="M55" s="3"/>
      <c r="N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68" t="s">
        <v>211</v>
      </c>
      <c r="D56" s="61">
        <v>80.0</v>
      </c>
      <c r="E56" s="3"/>
      <c r="F56" s="3"/>
      <c r="G56" s="3"/>
      <c r="H56" s="30"/>
      <c r="I56" s="3"/>
      <c r="J56" s="30"/>
      <c r="K56" s="3"/>
      <c r="L56" s="3"/>
      <c r="M56" s="3"/>
      <c r="N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2" t="s">
        <v>247</v>
      </c>
      <c r="H57" s="30"/>
      <c r="I57" s="33" t="s">
        <v>178</v>
      </c>
      <c r="J57" s="30">
        <v>94.0</v>
      </c>
      <c r="K57" s="3"/>
      <c r="L57" s="3"/>
      <c r="M57" s="3"/>
      <c r="N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0"/>
      <c r="I58" s="3"/>
      <c r="J58" s="3"/>
      <c r="K58" s="3"/>
      <c r="L58" s="3"/>
      <c r="M58" s="3"/>
      <c r="N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3" t="s">
        <v>173</v>
      </c>
      <c r="F59" s="30">
        <v>64.0</v>
      </c>
      <c r="G59" s="3"/>
      <c r="H59" s="30"/>
      <c r="I59" s="3"/>
      <c r="J59" s="3"/>
      <c r="K59" s="3"/>
      <c r="L59" s="3"/>
      <c r="M59" s="3"/>
      <c r="N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4"/>
      <c r="G60" s="3"/>
      <c r="H60" s="30"/>
      <c r="I60" s="3"/>
      <c r="J60" s="3"/>
      <c r="K60" s="3"/>
      <c r="L60" s="3"/>
      <c r="M60" s="3"/>
      <c r="N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2" t="s">
        <v>249</v>
      </c>
      <c r="F61" s="34"/>
      <c r="G61" s="33" t="s">
        <v>178</v>
      </c>
      <c r="H61" s="30" t="s">
        <v>250</v>
      </c>
      <c r="I61" s="3"/>
      <c r="J61" s="3"/>
      <c r="K61" s="3"/>
      <c r="L61" s="3"/>
      <c r="M61" s="3"/>
      <c r="N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3" t="s">
        <v>219</v>
      </c>
      <c r="D62" s="30">
        <v>-4.0</v>
      </c>
      <c r="E62" s="3"/>
      <c r="F62" s="34"/>
      <c r="G62" s="3"/>
      <c r="H62" s="3"/>
      <c r="I62" s="3"/>
      <c r="J62" s="3"/>
      <c r="K62" s="3"/>
      <c r="L62" s="3"/>
      <c r="M62" s="3"/>
      <c r="N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2" t="s">
        <v>251</v>
      </c>
      <c r="D63" s="34"/>
      <c r="E63" s="33" t="s">
        <v>178</v>
      </c>
      <c r="F63" s="30">
        <v>86.0</v>
      </c>
      <c r="G63" s="3"/>
      <c r="H63" s="3"/>
      <c r="I63" s="3"/>
      <c r="J63" s="3"/>
      <c r="K63" s="3"/>
      <c r="L63" s="3"/>
      <c r="M63" s="3"/>
      <c r="N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3" t="s">
        <v>178</v>
      </c>
      <c r="D64" s="30">
        <v>112.0</v>
      </c>
      <c r="E64" s="3"/>
      <c r="F64" s="3"/>
      <c r="G64" s="3"/>
      <c r="H64" s="3"/>
      <c r="I64" s="3"/>
      <c r="J64" s="3"/>
      <c r="K64" s="3"/>
      <c r="L64" s="3"/>
      <c r="M64" s="3"/>
      <c r="N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8">
    <mergeCell ref="S2:V3"/>
    <mergeCell ref="E5:F5"/>
    <mergeCell ref="I9:J9"/>
    <mergeCell ref="E13:F13"/>
    <mergeCell ref="M17:N17"/>
    <mergeCell ref="E21:F21"/>
    <mergeCell ref="I25:J25"/>
    <mergeCell ref="E29:F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7</v>
      </c>
      <c r="B2" s="5">
        <v>0.4097222222222222</v>
      </c>
      <c r="C2" s="5">
        <v>0.4375</v>
      </c>
      <c r="D2" s="5">
        <v>0.4652777777777778</v>
      </c>
      <c r="E2" s="5">
        <v>0.4930555555555556</v>
      </c>
      <c r="F2" s="5">
        <v>0.5208333333333334</v>
      </c>
    </row>
    <row r="3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H3" s="8"/>
    </row>
    <row r="4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H4" s="8"/>
    </row>
    <row r="5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H5" s="9" t="s">
        <v>34</v>
      </c>
    </row>
    <row r="6">
      <c r="A6" s="10" t="s">
        <v>35</v>
      </c>
      <c r="B6" s="10" t="s">
        <v>36</v>
      </c>
      <c r="C6" s="10" t="s">
        <v>37</v>
      </c>
      <c r="D6" s="10" t="s">
        <v>38</v>
      </c>
      <c r="E6" s="10" t="s">
        <v>39</v>
      </c>
      <c r="F6" s="10" t="s">
        <v>40</v>
      </c>
    </row>
    <row r="7">
      <c r="A7" s="10" t="s">
        <v>41</v>
      </c>
      <c r="B7" s="10" t="s">
        <v>42</v>
      </c>
      <c r="C7" s="10" t="s">
        <v>43</v>
      </c>
      <c r="D7" s="10" t="s">
        <v>44</v>
      </c>
      <c r="E7" s="10" t="s">
        <v>45</v>
      </c>
      <c r="F7" s="10" t="s">
        <v>46</v>
      </c>
    </row>
    <row r="8">
      <c r="A8" s="10" t="s">
        <v>47</v>
      </c>
      <c r="B8" s="10" t="s">
        <v>48</v>
      </c>
      <c r="C8" s="10" t="s">
        <v>49</v>
      </c>
      <c r="D8" s="10" t="s">
        <v>50</v>
      </c>
      <c r="E8" s="10" t="s">
        <v>51</v>
      </c>
      <c r="F8" s="10" t="s">
        <v>52</v>
      </c>
    </row>
    <row r="9">
      <c r="A9" s="11" t="s">
        <v>53</v>
      </c>
      <c r="B9" s="11" t="s">
        <v>54</v>
      </c>
      <c r="C9" s="11" t="s">
        <v>55</v>
      </c>
      <c r="D9" s="11" t="s">
        <v>56</v>
      </c>
      <c r="E9" s="11" t="s">
        <v>57</v>
      </c>
      <c r="F9" s="11" t="s">
        <v>58</v>
      </c>
    </row>
    <row r="10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63</v>
      </c>
      <c r="F10" s="11" t="s">
        <v>64</v>
      </c>
    </row>
    <row r="11">
      <c r="A11" s="11" t="s">
        <v>65</v>
      </c>
      <c r="B11" s="11" t="s">
        <v>66</v>
      </c>
      <c r="C11" s="11" t="s">
        <v>67</v>
      </c>
      <c r="D11" s="11" t="s">
        <v>68</v>
      </c>
      <c r="E11" s="11" t="s">
        <v>69</v>
      </c>
      <c r="F11" s="11" t="s">
        <v>70</v>
      </c>
    </row>
    <row r="12">
      <c r="A12" s="12" t="s">
        <v>71</v>
      </c>
      <c r="B12" s="12" t="s">
        <v>72</v>
      </c>
      <c r="C12" s="12" t="s">
        <v>73</v>
      </c>
      <c r="D12" s="12" t="s">
        <v>74</v>
      </c>
      <c r="E12" s="12" t="s">
        <v>75</v>
      </c>
      <c r="F12" s="12" t="s">
        <v>76</v>
      </c>
    </row>
    <row r="13">
      <c r="A13" s="12" t="s">
        <v>77</v>
      </c>
      <c r="B13" s="12" t="s">
        <v>78</v>
      </c>
      <c r="C13" s="12" t="s">
        <v>79</v>
      </c>
      <c r="D13" s="12" t="s">
        <v>80</v>
      </c>
      <c r="E13" s="12" t="s">
        <v>81</v>
      </c>
      <c r="F13" s="12" t="s">
        <v>82</v>
      </c>
    </row>
    <row r="14">
      <c r="A14" s="12" t="s">
        <v>83</v>
      </c>
      <c r="B14" s="12" t="s">
        <v>84</v>
      </c>
      <c r="C14" s="12" t="s">
        <v>85</v>
      </c>
      <c r="D14" s="12" t="s">
        <v>86</v>
      </c>
      <c r="E14" s="12" t="s">
        <v>87</v>
      </c>
      <c r="F14" s="12" t="s">
        <v>88</v>
      </c>
    </row>
    <row r="15">
      <c r="A15" s="13" t="s">
        <v>89</v>
      </c>
      <c r="B15" s="13" t="s">
        <v>90</v>
      </c>
      <c r="C15" s="13" t="s">
        <v>91</v>
      </c>
      <c r="D15" s="13" t="s">
        <v>92</v>
      </c>
      <c r="E15" s="13" t="s">
        <v>93</v>
      </c>
      <c r="F15" s="13" t="s">
        <v>94</v>
      </c>
    </row>
    <row r="16">
      <c r="A16" s="13" t="s">
        <v>95</v>
      </c>
      <c r="B16" s="13" t="s">
        <v>96</v>
      </c>
      <c r="C16" s="13" t="s">
        <v>97</v>
      </c>
      <c r="D16" s="13" t="s">
        <v>98</v>
      </c>
      <c r="E16" s="13" t="s">
        <v>99</v>
      </c>
      <c r="F16" s="13" t="s">
        <v>100</v>
      </c>
    </row>
    <row r="17">
      <c r="A17" s="13" t="s">
        <v>101</v>
      </c>
      <c r="B17" s="13" t="s">
        <v>102</v>
      </c>
      <c r="C17" s="13" t="s">
        <v>103</v>
      </c>
      <c r="D17" s="13" t="s">
        <v>104</v>
      </c>
      <c r="E17" s="13" t="s">
        <v>105</v>
      </c>
      <c r="F17" s="13" t="s">
        <v>106</v>
      </c>
    </row>
    <row r="18">
      <c r="A18" s="14" t="s">
        <v>107</v>
      </c>
      <c r="B18" s="14" t="s">
        <v>108</v>
      </c>
      <c r="C18" s="14" t="s">
        <v>109</v>
      </c>
      <c r="D18" s="14" t="s">
        <v>110</v>
      </c>
      <c r="E18" s="14" t="s">
        <v>111</v>
      </c>
      <c r="F18" s="14" t="s">
        <v>112</v>
      </c>
    </row>
    <row r="19">
      <c r="A19" s="14" t="s">
        <v>113</v>
      </c>
      <c r="B19" s="14" t="s">
        <v>114</v>
      </c>
      <c r="C19" s="14" t="s">
        <v>115</v>
      </c>
      <c r="D19" s="14" t="s">
        <v>116</v>
      </c>
      <c r="E19" s="14" t="s">
        <v>117</v>
      </c>
      <c r="F19" s="14" t="s">
        <v>118</v>
      </c>
    </row>
    <row r="20">
      <c r="A20" s="14" t="s">
        <v>119</v>
      </c>
      <c r="B20" s="14" t="s">
        <v>120</v>
      </c>
      <c r="C20" s="14" t="s">
        <v>121</v>
      </c>
      <c r="D20" s="14" t="s">
        <v>122</v>
      </c>
      <c r="E20" s="14" t="s">
        <v>123</v>
      </c>
      <c r="F20" s="14" t="s">
        <v>124</v>
      </c>
    </row>
    <row r="21">
      <c r="A21" s="15" t="s">
        <v>125</v>
      </c>
      <c r="B21" s="15" t="s">
        <v>126</v>
      </c>
      <c r="C21" s="15" t="s">
        <v>127</v>
      </c>
      <c r="D21" s="15" t="s">
        <v>128</v>
      </c>
      <c r="E21" s="15" t="s">
        <v>129</v>
      </c>
      <c r="F21" s="15" t="s">
        <v>130</v>
      </c>
    </row>
    <row r="22">
      <c r="A22" s="15" t="s">
        <v>131</v>
      </c>
      <c r="B22" s="15" t="s">
        <v>132</v>
      </c>
      <c r="C22" s="15" t="s">
        <v>133</v>
      </c>
      <c r="D22" s="15" t="s">
        <v>134</v>
      </c>
      <c r="E22" s="15" t="s">
        <v>135</v>
      </c>
      <c r="F22" s="15" t="s">
        <v>136</v>
      </c>
    </row>
    <row r="23">
      <c r="A23" s="15" t="s">
        <v>137</v>
      </c>
      <c r="B23" s="15" t="s">
        <v>138</v>
      </c>
      <c r="C23" s="15" t="s">
        <v>139</v>
      </c>
      <c r="D23" s="15" t="s">
        <v>140</v>
      </c>
      <c r="E23" s="15" t="s">
        <v>141</v>
      </c>
      <c r="F23" s="15" t="s">
        <v>142</v>
      </c>
    </row>
    <row r="24">
      <c r="A24" s="16" t="s">
        <v>143</v>
      </c>
      <c r="B24" s="16" t="s">
        <v>144</v>
      </c>
      <c r="C24" s="16" t="s">
        <v>145</v>
      </c>
      <c r="D24" s="16" t="s">
        <v>146</v>
      </c>
      <c r="E24" s="16" t="s">
        <v>147</v>
      </c>
      <c r="F24" s="16" t="s">
        <v>148</v>
      </c>
    </row>
    <row r="25">
      <c r="A25" s="16" t="s">
        <v>149</v>
      </c>
      <c r="B25" s="16" t="s">
        <v>150</v>
      </c>
      <c r="C25" s="16" t="s">
        <v>151</v>
      </c>
      <c r="D25" s="16" t="s">
        <v>152</v>
      </c>
      <c r="E25" s="16" t="s">
        <v>153</v>
      </c>
      <c r="F25" s="16" t="s">
        <v>154</v>
      </c>
      <c r="G25" s="17" t="s">
        <v>155</v>
      </c>
    </row>
    <row r="26">
      <c r="A26" s="16" t="s">
        <v>156</v>
      </c>
      <c r="B26" s="16" t="s">
        <v>157</v>
      </c>
      <c r="C26" s="16" t="s">
        <v>158</v>
      </c>
      <c r="D26" s="16" t="s">
        <v>159</v>
      </c>
      <c r="E26" s="16" t="s">
        <v>160</v>
      </c>
      <c r="F26" s="16" t="s">
        <v>161</v>
      </c>
    </row>
  </sheetData>
  <mergeCells count="1">
    <mergeCell ref="H5:J8"/>
  </mergeCells>
  <drawing r:id="rId1"/>
</worksheet>
</file>