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eld" sheetId="1" r:id="rId5"/>
    <sheet state="visible" name="RR Pairings and Schedule" sheetId="2" r:id="rId6"/>
    <sheet state="visible" name="RR Scoresheet" sheetId="3" r:id="rId7"/>
    <sheet state="visible" name="Team Scores" sheetId="4" r:id="rId8"/>
    <sheet state="visible" name="DE Bracket" sheetId="5" r:id="rId9"/>
  </sheets>
  <definedNames>
    <definedName name="Group2">'RR Scoresheet'!$J$6:$O$11</definedName>
  </definedNames>
  <calcPr/>
</workbook>
</file>

<file path=xl/sharedStrings.xml><?xml version="1.0" encoding="utf-8"?>
<sst xmlns="http://schemas.openxmlformats.org/spreadsheetml/2006/main" count="411" uniqueCount="264">
  <si>
    <t>Field</t>
  </si>
  <si>
    <t>Code</t>
  </si>
  <si>
    <t>Team</t>
  </si>
  <si>
    <t>RR Pairings and Schedule</t>
  </si>
  <si>
    <t>A1</t>
  </si>
  <si>
    <t>RR Scoresheet</t>
  </si>
  <si>
    <t>Team Scores</t>
  </si>
  <si>
    <t>Plainsboro Knights</t>
  </si>
  <si>
    <t>A2</t>
  </si>
  <si>
    <t>West Windsor-Plainsboro HS South B</t>
  </si>
  <si>
    <t>School</t>
  </si>
  <si>
    <t>A3</t>
  </si>
  <si>
    <t>Total Points</t>
  </si>
  <si>
    <t>The Wilberforce School A</t>
  </si>
  <si>
    <t>A4</t>
  </si>
  <si>
    <t>BASIS Independent McLean</t>
  </si>
  <si>
    <t>A5</t>
  </si>
  <si>
    <t>Thomas S Wootton High School A</t>
  </si>
  <si>
    <t>A6</t>
  </si>
  <si>
    <t>Wheaton High School B</t>
  </si>
  <si>
    <t>B1</t>
  </si>
  <si>
    <t>Centennial High School A</t>
  </si>
  <si>
    <t>B2</t>
  </si>
  <si>
    <t>Alexandria City High School</t>
  </si>
  <si>
    <t>B3</t>
  </si>
  <si>
    <t xml:space="preserve">Thomas Jefferson HS for Science and Technology B </t>
  </si>
  <si>
    <t>B4</t>
  </si>
  <si>
    <t xml:space="preserve">Beltway Blazers B </t>
  </si>
  <si>
    <t>B5</t>
  </si>
  <si>
    <r>
      <rPr>
        <rFont val="Source Sans Pro"/>
        <b/>
        <color theme="1"/>
        <sz val="15.0"/>
      </rPr>
      <t>RR 1</t>
    </r>
    <r>
      <rPr>
        <rFont val="Source Sans Pro"/>
        <b val="0"/>
        <color theme="1"/>
        <sz val="15.0"/>
      </rPr>
      <t xml:space="preserve">: 8:50-9:25 AM                             </t>
    </r>
    <r>
      <rPr>
        <rFont val="Source Sans Pro"/>
        <b/>
        <color theme="1"/>
        <sz val="15.0"/>
      </rPr>
      <t>RR 2</t>
    </r>
    <r>
      <rPr>
        <rFont val="Source Sans Pro"/>
        <b val="0"/>
        <color theme="1"/>
        <sz val="15.0"/>
      </rPr>
      <t>: 9:25-10:00 AM</t>
    </r>
    <r>
      <rPr>
        <rFont val="Source Sans Pro"/>
        <b/>
        <color theme="1"/>
        <sz val="15.0"/>
      </rPr>
      <t xml:space="preserve">                             RR 3: </t>
    </r>
    <r>
      <rPr>
        <rFont val="Source Sans Pro"/>
        <b val="0"/>
        <color theme="1"/>
        <sz val="15.0"/>
      </rPr>
      <t>10:00-10:35 AM</t>
    </r>
    <r>
      <rPr>
        <rFont val="Source Sans Pro"/>
        <b/>
        <color theme="1"/>
        <sz val="15.0"/>
      </rPr>
      <t xml:space="preserve">                             RR 4: </t>
    </r>
    <r>
      <rPr>
        <rFont val="Source Sans Pro"/>
        <b val="0"/>
        <color theme="1"/>
        <sz val="15.0"/>
      </rPr>
      <t xml:space="preserve">10:35-11:10 AM     </t>
    </r>
    <r>
      <rPr>
        <rFont val="Source Sans Pro"/>
        <b/>
        <color theme="1"/>
        <sz val="15.0"/>
      </rPr>
      <t xml:space="preserve">                        RR 5: </t>
    </r>
    <r>
      <rPr>
        <rFont val="Source Sans Pro"/>
        <b val="0"/>
        <color theme="1"/>
        <sz val="15.0"/>
      </rPr>
      <t>11:10-11:45 AM</t>
    </r>
  </si>
  <si>
    <t>West Windsor-Plainsboro HS South A</t>
  </si>
  <si>
    <t>B6</t>
  </si>
  <si>
    <t>RR Pairings</t>
  </si>
  <si>
    <t>Wheaton High School A</t>
  </si>
  <si>
    <t>C1</t>
  </si>
  <si>
    <t xml:space="preserve">Deep Run High School </t>
  </si>
  <si>
    <t>C2</t>
  </si>
  <si>
    <t>Richard Montgomery</t>
  </si>
  <si>
    <t>C3</t>
  </si>
  <si>
    <t xml:space="preserve">John R. Lewis High School </t>
  </si>
  <si>
    <t>C4</t>
  </si>
  <si>
    <t>Westtown School A</t>
  </si>
  <si>
    <t>C5</t>
  </si>
  <si>
    <t>The Wilberforce School B</t>
  </si>
  <si>
    <t>C6</t>
  </si>
  <si>
    <t>Thomas Jefferson HS for Science and Technology A</t>
  </si>
  <si>
    <t>D1</t>
  </si>
  <si>
    <t>Centennial High School B</t>
  </si>
  <si>
    <t>D2</t>
  </si>
  <si>
    <t xml:space="preserve">Beltway Blazers A </t>
  </si>
  <si>
    <t>D3</t>
  </si>
  <si>
    <t xml:space="preserve">Winston Churchill High School </t>
  </si>
  <si>
    <t>D4</t>
  </si>
  <si>
    <t>Westtown School B</t>
  </si>
  <si>
    <t>D5</t>
  </si>
  <si>
    <t xml:space="preserve">Centreville High School A </t>
  </si>
  <si>
    <t>D6</t>
  </si>
  <si>
    <t>Schedule (Times in EST)</t>
  </si>
  <si>
    <t>Poolesville High School</t>
  </si>
  <si>
    <t>Azure</t>
  </si>
  <si>
    <t>TIME</t>
  </si>
  <si>
    <t>ROUND</t>
  </si>
  <si>
    <t>Blueberry</t>
  </si>
  <si>
    <t>DE 1: 1:15 - 1:50 p.m. EST</t>
  </si>
  <si>
    <t>DE 2: 1:50 - 2:25 p.m. EST</t>
  </si>
  <si>
    <t>DE 3: 2:25 - 3:00 p.m. EST</t>
  </si>
  <si>
    <t>DE 4: 3:00 - 3:35 p.m. EST</t>
  </si>
  <si>
    <t>DE 5: 3:35 - 4:10 p.m. EST</t>
  </si>
  <si>
    <t>DE 6: 4:10 - 4:40 p.m. EST</t>
  </si>
  <si>
    <t>DE 7: 4:50 - 5:25 p.m. EST</t>
  </si>
  <si>
    <t>FINALS: 5:25 - 6:25 p.m. EST</t>
  </si>
  <si>
    <t>ROOM</t>
  </si>
  <si>
    <t>RR1</t>
  </si>
  <si>
    <t>RR2</t>
  </si>
  <si>
    <t>RR3</t>
  </si>
  <si>
    <t>RR4</t>
  </si>
  <si>
    <t>RR5</t>
  </si>
  <si>
    <t>Hodson 210 (W1-1)</t>
  </si>
  <si>
    <t>7:30 - 8:30 a.m. EST</t>
  </si>
  <si>
    <t>Westtown A</t>
  </si>
  <si>
    <t>Volunteer Check-In</t>
  </si>
  <si>
    <t>Hodson 203</t>
  </si>
  <si>
    <t>A1 — A2</t>
  </si>
  <si>
    <t>A4— A5</t>
  </si>
  <si>
    <t>A2 — A3</t>
  </si>
  <si>
    <t>A1 — A5</t>
  </si>
  <si>
    <t>A3 — A4</t>
  </si>
  <si>
    <t>Hodson 210 (W2-1)</t>
  </si>
  <si>
    <t>BYE</t>
  </si>
  <si>
    <t>A1      Plainsboro Knights</t>
  </si>
  <si>
    <t>Hodson 210</t>
  </si>
  <si>
    <t>A3 — A5</t>
  </si>
  <si>
    <t>A1 — A3</t>
  </si>
  <si>
    <t>A5 — A6</t>
  </si>
  <si>
    <t>A2 — A4</t>
  </si>
  <si>
    <t>A1 — A6</t>
  </si>
  <si>
    <t>8:00 - 8:30 a.m. EST</t>
  </si>
  <si>
    <t>Team Check-In (Hodson 110)</t>
  </si>
  <si>
    <t>Centennial A</t>
  </si>
  <si>
    <t>Hodson 211</t>
  </si>
  <si>
    <t>A4 — A6</t>
  </si>
  <si>
    <t>A2 — A6</t>
  </si>
  <si>
    <t>A1 — A4</t>
  </si>
  <si>
    <t>Hodson 211 (W1-2)</t>
  </si>
  <si>
    <t>A3 — A6</t>
  </si>
  <si>
    <t>Beltway Blazers B</t>
  </si>
  <si>
    <t>A2 — A5</t>
  </si>
  <si>
    <t>8:30 - 8:50 a.m. EST</t>
  </si>
  <si>
    <t>B1      Centennial A</t>
  </si>
  <si>
    <r>
      <rPr>
        <rFont val="Source Sans Pro"/>
        <b/>
        <color rgb="FF000000"/>
        <sz val="14.0"/>
      </rPr>
      <t xml:space="preserve">OPENING CEREMONY </t>
    </r>
    <r>
      <rPr>
        <rFont val="Source Sans Pro"/>
        <b val="0"/>
        <color rgb="FF000000"/>
        <sz val="14.0"/>
      </rPr>
      <t>(Hodson 110)</t>
    </r>
  </si>
  <si>
    <t>Hodson 210 (W4-1)</t>
  </si>
  <si>
    <t>8:50 - 9:25 a.m. EST</t>
  </si>
  <si>
    <t>Round Robin 1</t>
  </si>
  <si>
    <t>Hodson 213</t>
  </si>
  <si>
    <t>B1 — B2</t>
  </si>
  <si>
    <t>B4— B5</t>
  </si>
  <si>
    <t>B2 — B3</t>
  </si>
  <si>
    <t>B1 — B5</t>
  </si>
  <si>
    <t>B3 — B4</t>
  </si>
  <si>
    <t>Hodson 213 (W1-3)</t>
  </si>
  <si>
    <t>A2      WWPS B</t>
  </si>
  <si>
    <t>Hodson 216</t>
  </si>
  <si>
    <t>B3 — B5</t>
  </si>
  <si>
    <t>B1 — B3</t>
  </si>
  <si>
    <t>B5 — B6</t>
  </si>
  <si>
    <t>B2 — B4</t>
  </si>
  <si>
    <t>B1 — B6</t>
  </si>
  <si>
    <t>9:25 - 10:00 a.m. EST</t>
  </si>
  <si>
    <t>Round Robin 2</t>
  </si>
  <si>
    <t>Wheaton A</t>
  </si>
  <si>
    <t>Hodson 301</t>
  </si>
  <si>
    <t>B4 — B6</t>
  </si>
  <si>
    <t>B2 — B6</t>
  </si>
  <si>
    <t>B1 — B4</t>
  </si>
  <si>
    <t>B3 — B6</t>
  </si>
  <si>
    <t>B2 — B5</t>
  </si>
  <si>
    <t>Hodson 211 (W2-2)</t>
  </si>
  <si>
    <t>10:00 - 10:35 a.m. EST</t>
  </si>
  <si>
    <t>Round Robin 3</t>
  </si>
  <si>
    <t>WWPS A</t>
  </si>
  <si>
    <t>Cerulean</t>
  </si>
  <si>
    <t>B2      Alexandria City</t>
  </si>
  <si>
    <t>10:35 - 11:10 a.m. EST</t>
  </si>
  <si>
    <t>Round Robin 4</t>
  </si>
  <si>
    <t>Hodson 303</t>
  </si>
  <si>
    <t>C1 — C2</t>
  </si>
  <si>
    <t>C4— C5</t>
  </si>
  <si>
    <t>Hodson 216 (W1-4)</t>
  </si>
  <si>
    <t>C2 — C3</t>
  </si>
  <si>
    <t>C1 — C5</t>
  </si>
  <si>
    <t>C3 — C4</t>
  </si>
  <si>
    <t>Hodson 305</t>
  </si>
  <si>
    <t>C3 — C5</t>
  </si>
  <si>
    <t>C1 — C3</t>
  </si>
  <si>
    <t>C5 — C6</t>
  </si>
  <si>
    <t>C2 — C4</t>
  </si>
  <si>
    <t>C1 — C6</t>
  </si>
  <si>
    <t>11:10 - 11:45 a.m. EST</t>
  </si>
  <si>
    <t>A3      Wilberforce A</t>
  </si>
  <si>
    <t>Deep Run</t>
  </si>
  <si>
    <t>Round Robin 5</t>
  </si>
  <si>
    <t>Hodson 313</t>
  </si>
  <si>
    <t>C4 — C6</t>
  </si>
  <si>
    <t>C2 — C6</t>
  </si>
  <si>
    <t>C1 — C4</t>
  </si>
  <si>
    <t>C3 — C6</t>
  </si>
  <si>
    <t>C2 — C5</t>
  </si>
  <si>
    <t>11:45 - 1:00 p.m. EST</t>
  </si>
  <si>
    <t>Hodson 210 (W6-1)</t>
  </si>
  <si>
    <t>LUNCH BREAK</t>
  </si>
  <si>
    <t>Denim</t>
  </si>
  <si>
    <t>B3      TJHSST B</t>
  </si>
  <si>
    <t>TJHSST A</t>
  </si>
  <si>
    <t>1:00  - 1:15 p.m. EST</t>
  </si>
  <si>
    <r>
      <rPr>
        <rFont val="Source Sans Pro"/>
        <b/>
        <color rgb="FF000000"/>
        <sz val="14.0"/>
      </rPr>
      <t>SEEDING AND AWARDS CEREMONY</t>
    </r>
    <r>
      <rPr>
        <rFont val="Source Sans Pro"/>
        <color rgb="FF000000"/>
        <sz val="14.0"/>
      </rPr>
      <t xml:space="preserve"> (Hodson 110)</t>
    </r>
  </si>
  <si>
    <t>Hodson 311</t>
  </si>
  <si>
    <t>D1 — D2</t>
  </si>
  <si>
    <t>D4— D5</t>
  </si>
  <si>
    <t>D2 — D3</t>
  </si>
  <si>
    <t>D1 — D5</t>
  </si>
  <si>
    <t>D3 — D4</t>
  </si>
  <si>
    <t>Hodson 315</t>
  </si>
  <si>
    <t>D3 — D5</t>
  </si>
  <si>
    <t>Hodson 301 (W1-5)</t>
  </si>
  <si>
    <t>D1 — D3</t>
  </si>
  <si>
    <t>D5 — D6</t>
  </si>
  <si>
    <t>D2 — D4</t>
  </si>
  <si>
    <t>D1 — D6</t>
  </si>
  <si>
    <t>1:15 - 1:50 p.m. EST</t>
  </si>
  <si>
    <t>Double Elimination 1 (top 16)</t>
  </si>
  <si>
    <t>Hodson 316</t>
  </si>
  <si>
    <t>D4 — D6</t>
  </si>
  <si>
    <t>A4      BASIS McLean</t>
  </si>
  <si>
    <t>Thomas S Wootton A</t>
  </si>
  <si>
    <t>D2 — D6</t>
  </si>
  <si>
    <t>D1 — D4</t>
  </si>
  <si>
    <t>D3 — D6</t>
  </si>
  <si>
    <t>D2 — D5</t>
  </si>
  <si>
    <t>1:50 - 2:25 p.m. EST</t>
  </si>
  <si>
    <t>Double Elimination 2 (top 16)</t>
  </si>
  <si>
    <t>Hodson 213 (W2-3)</t>
  </si>
  <si>
    <t>Poolesville</t>
  </si>
  <si>
    <t>2:25 - 3:00 p.m. EST</t>
  </si>
  <si>
    <t>Double Elimination 3 (top 12)</t>
  </si>
  <si>
    <t xml:space="preserve">B4      Beltway Blazers B </t>
  </si>
  <si>
    <t>Hodson 303 (W1-6)</t>
  </si>
  <si>
    <t>3:00 - 3:35 p.m. EST</t>
  </si>
  <si>
    <t>Double Elimination 4 (top 8)</t>
  </si>
  <si>
    <t>Wilberforce A</t>
  </si>
  <si>
    <t>3:35 - 4:10 p.m. EST</t>
  </si>
  <si>
    <t>Double Elimination 5 (top 6)</t>
  </si>
  <si>
    <t>A5      Thomas S Wootton A</t>
  </si>
  <si>
    <t>Hodson 213 (W4-2)</t>
  </si>
  <si>
    <t>WWPS B</t>
  </si>
  <si>
    <t>4:10 - 4:40 p.m. EST</t>
  </si>
  <si>
    <t>Double Elimination 6 (top 4)</t>
  </si>
  <si>
    <t>CHAMPION:</t>
  </si>
  <si>
    <t>4:40 - 4:50 p.m. EST</t>
  </si>
  <si>
    <t>B5      WWPS A</t>
  </si>
  <si>
    <t>Hodson 305 (W1-7)</t>
  </si>
  <si>
    <r>
      <rPr>
        <rFont val="Source Sans Pro"/>
        <b/>
        <color rgb="FF000000"/>
        <sz val="14.0"/>
      </rPr>
      <t xml:space="preserve">BREAK </t>
    </r>
    <r>
      <rPr>
        <rFont val="Source Sans Pro"/>
        <b val="0"/>
        <color rgb="FF000000"/>
        <sz val="14.0"/>
      </rPr>
      <t>(move to Hodson 110)</t>
    </r>
  </si>
  <si>
    <t>Hodson 210 (W8-1)</t>
  </si>
  <si>
    <t>Beltway Blazers A 🏆</t>
  </si>
  <si>
    <t>4:50 - 5:25 p.m. EST</t>
  </si>
  <si>
    <t>Winston Churchill</t>
  </si>
  <si>
    <t>Hodson 216 (W2-4)</t>
  </si>
  <si>
    <t>A6      Wheaton B</t>
  </si>
  <si>
    <t>Double Elimination 7 (Hodson 110)</t>
  </si>
  <si>
    <t>Hodson 311 (W1-8)</t>
  </si>
  <si>
    <t>5:25 - 5:55 p.m. EST</t>
  </si>
  <si>
    <t>Finals 1 (Hodson 110)</t>
  </si>
  <si>
    <t>Centreville A</t>
  </si>
  <si>
    <t>B6      Wheaton A</t>
  </si>
  <si>
    <t>5:55 - 6:25 p.m. EST</t>
  </si>
  <si>
    <t>Finals 2 (Hodson 110) if necessary</t>
  </si>
  <si>
    <t>6:25 - 6:40 p.m. EST</t>
  </si>
  <si>
    <t>CLOSING CEREMONY</t>
  </si>
  <si>
    <t xml:space="preserve">Richard Montgomery </t>
  </si>
  <si>
    <t>Hodson 210 (L3-1)</t>
  </si>
  <si>
    <t>Hodson 210 (L5-1)</t>
  </si>
  <si>
    <t>Hodson 210 (L7-1)</t>
  </si>
  <si>
    <t>Hodson 301 (L2-1)</t>
  </si>
  <si>
    <t>Hodson 211 (L4-1)</t>
  </si>
  <si>
    <t>C1      Deep Run</t>
  </si>
  <si>
    <t>D1      Centennial B</t>
  </si>
  <si>
    <t>Hodson 211 (L3-2)</t>
  </si>
  <si>
    <t>Hodson 213 (L6-1)</t>
  </si>
  <si>
    <t>C2      Richard Montgomery</t>
  </si>
  <si>
    <t>Hodson 303 (L2-2)</t>
  </si>
  <si>
    <t xml:space="preserve">D2      Beltway Blazers A </t>
  </si>
  <si>
    <t>C3      John R. Lewis</t>
  </si>
  <si>
    <t>Hodson 213 (L3-3)</t>
  </si>
  <si>
    <t>Hodson 213 (L5-2)</t>
  </si>
  <si>
    <t>D3      Winston Churchill</t>
  </si>
  <si>
    <t>Hodson 305 (L2-3)</t>
  </si>
  <si>
    <t>C4      Westtown A</t>
  </si>
  <si>
    <t>Hodson 216 (L4-2)</t>
  </si>
  <si>
    <t>D4      Westtown B</t>
  </si>
  <si>
    <t>Hodson 216 (L3-4)</t>
  </si>
  <si>
    <t>C5      Wilberforce B</t>
  </si>
  <si>
    <t>Hodson 311 (L2-4)</t>
  </si>
  <si>
    <t xml:space="preserve">D5      Centreville A </t>
  </si>
  <si>
    <t>C6      TJHSST A</t>
  </si>
  <si>
    <t xml:space="preserve">D6      Poolesville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</si>
</sst>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b/>
      <sz val="64.0"/>
      <color rgb="FF000000"/>
      <name val="Source Sans Pro"/>
    </font>
    <font>
      <b/>
      <sz val="15.0"/>
      <color theme="1"/>
      <name val="Source Sans Pro"/>
    </font>
    <font>
      <sz val="11.0"/>
      <color theme="1"/>
      <name val="Source Sans Pro"/>
    </font>
    <font>
      <b/>
      <sz val="36.0"/>
      <color rgb="FF000000"/>
      <name val="Source Sans Pro"/>
    </font>
    <font/>
    <font>
      <color theme="1"/>
      <name val="Source Sans Pro"/>
    </font>
    <font>
      <b/>
      <sz val="25.0"/>
      <color rgb="FF000000"/>
      <name val="Source Sans Pro"/>
    </font>
    <font>
      <b/>
      <sz val="13.0"/>
      <color rgb="FFFFD142"/>
      <name val="Source Sans Pro"/>
    </font>
    <font>
      <sz val="11.0"/>
      <color theme="1"/>
      <name val="Arial"/>
      <scheme val="minor"/>
    </font>
    <font>
      <b/>
      <sz val="26.0"/>
      <color rgb="FF000000"/>
      <name val="Source Sans Pro"/>
    </font>
    <font>
      <b/>
      <sz val="13.0"/>
      <color rgb="FF000000"/>
      <name val="Source Sans Pro"/>
    </font>
    <font>
      <b/>
      <sz val="18.0"/>
      <color theme="1"/>
      <name val="Source Sans Pro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Source Sans Pro"/>
    </font>
    <font>
      <sz val="14.0"/>
      <color theme="1"/>
      <name val="Source Sans Pro"/>
    </font>
    <font>
      <sz val="14.0"/>
      <color rgb="FF000000"/>
      <name val="Source Sans Pro"/>
    </font>
    <font>
      <color rgb="FF7A00CB"/>
      <name val="Source Sans Pro"/>
    </font>
    <font>
      <b/>
      <sz val="14.0"/>
      <color rgb="FF000000"/>
      <name val="Source Sans Pro"/>
    </font>
    <font>
      <color theme="1"/>
      <name val="Arial"/>
    </font>
    <font>
      <b/>
      <color theme="1"/>
      <name val="Arial"/>
    </font>
    <font>
      <b/>
      <sz val="12.0"/>
      <color rgb="FFEFEFEF"/>
      <name val="Source Sans Pro"/>
    </font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28">
    <border/>
    <border>
      <left style="medium">
        <color rgb="FF000000"/>
      </lef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dotted">
        <color rgb="FF000000"/>
      </bottom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Alignment="1" applyBorder="1" applyFont="1">
      <alignment horizontal="center" readingOrder="0" vertical="bottom"/>
    </xf>
    <xf borderId="3" fillId="0" fontId="2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readingOrder="0" shrinkToFit="0" vertical="bottom" wrapText="0"/>
    </xf>
    <xf borderId="4" fillId="2" fontId="4" numFmtId="0" xfId="0" applyAlignment="1" applyBorder="1" applyFill="1" applyFont="1">
      <alignment horizontal="center" readingOrder="0"/>
    </xf>
    <xf borderId="0" fillId="0" fontId="3" numFmtId="0" xfId="0" applyAlignment="1" applyFont="1">
      <alignment readingOrder="0" shrinkToFit="0" vertical="bottom" wrapText="0"/>
    </xf>
    <xf borderId="4" fillId="0" fontId="5" numFmtId="0" xfId="0" applyBorder="1" applyFont="1"/>
    <xf borderId="0" fillId="2" fontId="4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0" fontId="6" numFmtId="0" xfId="0" applyAlignment="1" applyFont="1">
      <alignment vertical="bottom"/>
    </xf>
    <xf borderId="1" fillId="3" fontId="3" numFmtId="0" xfId="0" applyAlignment="1" applyBorder="1" applyFill="1" applyFont="1">
      <alignment readingOrder="0" shrinkToFit="0" vertical="bottom" wrapText="0"/>
    </xf>
    <xf borderId="0" fillId="0" fontId="6" numFmtId="0" xfId="0" applyAlignment="1" applyFont="1">
      <alignment vertical="bottom"/>
    </xf>
    <xf borderId="0" fillId="3" fontId="3" numFmtId="0" xfId="0" applyAlignment="1" applyFill="1" applyFont="1">
      <alignment readingOrder="0" shrinkToFit="0" vertical="bottom" wrapText="0"/>
    </xf>
    <xf borderId="5" fillId="2" fontId="7" numFmtId="0" xfId="0" applyAlignment="1" applyBorder="1" applyFill="1" applyFont="1">
      <alignment horizontal="center" readingOrder="0" vertical="bottom"/>
    </xf>
    <xf borderId="3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0" fillId="0" fontId="8" numFmtId="0" xfId="0" applyAlignment="1" applyFont="1">
      <alignment horizontal="center" readingOrder="0" vertical="bottom"/>
    </xf>
    <xf borderId="0" fillId="0" fontId="9" numFmtId="0" xfId="0" applyAlignment="1" applyFont="1">
      <alignment readingOrder="0"/>
    </xf>
    <xf borderId="0" fillId="0" fontId="2" numFmtId="0" xfId="0" applyAlignment="1" applyFont="1">
      <alignment horizontal="center" readingOrder="0" vertical="bottom"/>
    </xf>
    <xf borderId="5" fillId="2" fontId="10" numFmtId="0" xfId="0" applyAlignment="1" applyBorder="1" applyFill="1" applyFont="1">
      <alignment horizontal="center" readingOrder="0" vertical="bottom"/>
    </xf>
    <xf borderId="8" fillId="0" fontId="5" numFmtId="0" xfId="0" applyBorder="1" applyFont="1"/>
    <xf borderId="9" fillId="0" fontId="5" numFmtId="0" xfId="0" applyBorder="1" applyFont="1"/>
    <xf borderId="0" fillId="0" fontId="3" numFmtId="0" xfId="0" applyAlignment="1" applyFont="1">
      <alignment horizontal="center" vertical="bottom"/>
    </xf>
    <xf borderId="0" fillId="0" fontId="9" numFmtId="0" xfId="0" applyFont="1"/>
    <xf borderId="0" fillId="0" fontId="3" numFmtId="0" xfId="0" applyAlignment="1" applyFont="1">
      <alignment horizontal="center" readingOrder="0" vertical="bottom"/>
    </xf>
    <xf borderId="2" fillId="0" fontId="11" numFmtId="0" xfId="0" applyAlignment="1" applyBorder="1" applyFont="1">
      <alignment horizontal="center" readingOrder="0" vertical="bottom"/>
    </xf>
    <xf borderId="5" fillId="0" fontId="12" numFmtId="0" xfId="0" applyAlignment="1" applyBorder="1" applyFont="1">
      <alignment horizontal="center" readingOrder="0" vertical="bottom"/>
    </xf>
    <xf borderId="10" fillId="0" fontId="5" numFmtId="0" xfId="0" applyBorder="1" applyFont="1"/>
    <xf borderId="11" fillId="0" fontId="5" numFmtId="0" xfId="0" applyBorder="1" applyFont="1"/>
    <xf borderId="0" fillId="0" fontId="13" numFmtId="0" xfId="0" applyAlignment="1" applyFont="1">
      <alignment horizontal="center" readingOrder="0"/>
    </xf>
    <xf borderId="12" fillId="0" fontId="12" numFmtId="0" xfId="0" applyAlignment="1" applyBorder="1" applyFont="1">
      <alignment horizontal="center" readingOrder="0" vertical="bottom"/>
    </xf>
    <xf borderId="0" fillId="0" fontId="14" numFmtId="0" xfId="0" applyAlignment="1" applyFont="1">
      <alignment horizontal="center"/>
    </xf>
    <xf borderId="0" fillId="0" fontId="11" numFmtId="0" xfId="0" applyAlignment="1" applyFont="1">
      <alignment horizontal="center" readingOrder="0" vertical="bottom"/>
    </xf>
    <xf borderId="13" fillId="0" fontId="5" numFmtId="0" xfId="0" applyBorder="1" applyFont="1"/>
    <xf borderId="14" fillId="0" fontId="5" numFmtId="0" xfId="0" applyBorder="1" applyFont="1"/>
    <xf borderId="15" fillId="0" fontId="5" numFmtId="0" xfId="0" applyBorder="1" applyFont="1"/>
    <xf borderId="16" fillId="0" fontId="5" numFmtId="0" xfId="0" applyBorder="1" applyFont="1"/>
    <xf borderId="0" fillId="0" fontId="14" numFmtId="0" xfId="0" applyAlignment="1" applyFont="1">
      <alignment horizontal="center" readingOrder="0"/>
    </xf>
    <xf borderId="17" fillId="0" fontId="5" numFmtId="0" xfId="0" applyBorder="1" applyFont="1"/>
    <xf borderId="14" fillId="0" fontId="15" numFmtId="0" xfId="0" applyAlignment="1" applyBorder="1" applyFont="1">
      <alignment horizontal="center" readingOrder="0" vertical="bottom"/>
    </xf>
    <xf borderId="4" fillId="2" fontId="14" numFmtId="0" xfId="0" applyAlignment="1" applyBorder="1" applyFill="1" applyFont="1">
      <alignment horizontal="center" readingOrder="0"/>
    </xf>
    <xf borderId="16" fillId="0" fontId="15" numFmtId="0" xfId="0" applyAlignment="1" applyBorder="1" applyFont="1">
      <alignment horizontal="center" readingOrder="0" vertical="bottom"/>
    </xf>
    <xf borderId="4" fillId="0" fontId="14" numFmtId="0" xfId="0" applyAlignment="1" applyBorder="1" applyFont="1">
      <alignment horizontal="center" readingOrder="0"/>
    </xf>
    <xf borderId="18" fillId="0" fontId="3" numFmtId="0" xfId="0" applyAlignment="1" applyBorder="1" applyFont="1">
      <alignment vertical="bottom"/>
    </xf>
    <xf borderId="0" fillId="3" fontId="9" numFmtId="0" xfId="0" applyFill="1" applyFont="1"/>
    <xf borderId="16" fillId="0" fontId="3" numFmtId="0" xfId="0" applyAlignment="1" applyBorder="1" applyFont="1">
      <alignment horizontal="center" readingOrder="0" vertical="bottom"/>
    </xf>
    <xf borderId="19" fillId="0" fontId="14" numFmtId="0" xfId="0" applyAlignment="1" applyBorder="1" applyFont="1">
      <alignment horizontal="center" readingOrder="0"/>
    </xf>
    <xf borderId="0" fillId="3" fontId="9" numFmtId="0" xfId="0" applyAlignment="1" applyFill="1" applyFont="1">
      <alignment horizontal="right"/>
    </xf>
    <xf borderId="17" fillId="0" fontId="3" numFmtId="0" xfId="0" applyAlignment="1" applyBorder="1" applyFont="1">
      <alignment horizontal="center" readingOrder="0" vertical="bottom"/>
    </xf>
    <xf borderId="4" fillId="2" fontId="14" numFmtId="0" xfId="0" applyAlignment="1" applyBorder="1" applyFill="1" applyFont="1">
      <alignment horizontal="center" readingOrder="0"/>
    </xf>
    <xf borderId="17" fillId="0" fontId="15" numFmtId="0" xfId="0" applyAlignment="1" applyBorder="1" applyFont="1">
      <alignment horizontal="center" readingOrder="0" vertical="bottom"/>
    </xf>
    <xf borderId="1" fillId="0" fontId="16" numFmtId="0" xfId="0" applyAlignment="1" applyBorder="1" applyFont="1">
      <alignment horizontal="center" readingOrder="0" vertical="bottom"/>
    </xf>
    <xf borderId="20" fillId="0" fontId="5" numFmtId="0" xfId="0" applyBorder="1" applyFont="1"/>
    <xf borderId="9" fillId="0" fontId="14" numFmtId="0" xfId="0" applyAlignment="1" applyBorder="1" applyFont="1">
      <alignment horizontal="center" readingOrder="0"/>
    </xf>
    <xf borderId="21" fillId="0" fontId="3" numFmtId="0" xfId="0" applyAlignment="1" applyBorder="1" applyFont="1">
      <alignment vertical="bottom"/>
    </xf>
    <xf borderId="0" fillId="0" fontId="16" numFmtId="0" xfId="0" applyAlignment="1" applyFont="1">
      <alignment horizontal="left" readingOrder="0" vertical="bottom"/>
    </xf>
    <xf borderId="19" fillId="0" fontId="14" numFmtId="0" xfId="0" applyAlignment="1" applyBorder="1" applyFont="1">
      <alignment horizontal="center"/>
    </xf>
    <xf borderId="19" fillId="0" fontId="5" numFmtId="0" xfId="0" applyBorder="1" applyFont="1"/>
    <xf borderId="20" fillId="0" fontId="3" numFmtId="0" xfId="0" applyAlignment="1" applyBorder="1" applyFont="1">
      <alignment horizontal="center" readingOrder="0" vertical="bottom"/>
    </xf>
    <xf borderId="19" fillId="0" fontId="3" numFmtId="0" xfId="0" applyAlignment="1" applyBorder="1" applyFont="1">
      <alignment horizontal="center" readingOrder="0" vertical="bottom"/>
    </xf>
    <xf borderId="1" fillId="0" fontId="5" numFmtId="0" xfId="0" applyBorder="1" applyFont="1"/>
    <xf borderId="22" fillId="0" fontId="3" numFmtId="0" xfId="0" applyAlignment="1" applyBorder="1" applyFont="1">
      <alignment horizontal="left" readingOrder="0" vertical="bottom"/>
    </xf>
    <xf borderId="23" fillId="3" fontId="13" numFmtId="0" xfId="0" applyAlignment="1" applyBorder="1" applyFill="1" applyFont="1">
      <alignment horizontal="center" readingOrder="0"/>
    </xf>
    <xf borderId="24" fillId="0" fontId="3" numFmtId="0" xfId="0" applyAlignment="1" applyBorder="1" applyFont="1">
      <alignment horizontal="center" readingOrder="0" vertical="bottom"/>
    </xf>
    <xf borderId="0" fillId="4" fontId="6" numFmtId="0" xfId="0" applyAlignment="1" applyFill="1" applyFont="1">
      <alignment vertical="bottom"/>
    </xf>
    <xf borderId="23" fillId="0" fontId="5" numFmtId="0" xfId="0" applyBorder="1" applyFont="1"/>
    <xf borderId="1" fillId="0" fontId="16" numFmtId="0" xfId="0" applyAlignment="1" applyBorder="1" applyFont="1">
      <alignment horizontal="center" readingOrder="0" vertical="bottom"/>
    </xf>
    <xf borderId="0" fillId="0" fontId="17" numFmtId="0" xfId="0" applyAlignment="1" applyFont="1">
      <alignment horizontal="left" readingOrder="0" vertical="bottom"/>
    </xf>
    <xf borderId="25" fillId="0" fontId="3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center" readingOrder="0" vertical="bottom"/>
    </xf>
    <xf borderId="9" fillId="0" fontId="3" numFmtId="0" xfId="0" applyAlignment="1" applyBorder="1" applyFont="1">
      <alignment horizontal="center" readingOrder="0" vertical="bottom"/>
    </xf>
    <xf borderId="0" fillId="0" fontId="18" numFmtId="0" xfId="0" applyAlignment="1" applyFont="1">
      <alignment vertical="bottom"/>
    </xf>
    <xf borderId="24" fillId="0" fontId="3" numFmtId="0" xfId="0" applyAlignment="1" applyBorder="1" applyFont="1">
      <alignment horizontal="left" readingOrder="0" vertical="bottom"/>
    </xf>
    <xf borderId="0" fillId="0" fontId="19" numFmtId="0" xfId="0" applyAlignment="1" applyFont="1">
      <alignment horizontal="left" readingOrder="0" vertical="bottom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20" numFmtId="0" xfId="0" applyAlignment="1" applyFont="1">
      <alignment horizontal="center" vertical="bottom"/>
    </xf>
    <xf borderId="0" fillId="5" fontId="14" numFmtId="0" xfId="0" applyAlignment="1" applyFill="1" applyFont="1">
      <alignment horizontal="center" readingOrder="0"/>
    </xf>
    <xf borderId="0" fillId="5" fontId="14" numFmtId="0" xfId="0" applyAlignment="1" applyFill="1" applyFont="1">
      <alignment horizontal="center"/>
    </xf>
    <xf borderId="0" fillId="0" fontId="20" numFmtId="0" xfId="0" applyAlignment="1" applyFont="1">
      <alignment horizontal="center" vertical="bottom"/>
    </xf>
    <xf borderId="19" fillId="0" fontId="20" numFmtId="0" xfId="0" applyAlignment="1" applyBorder="1" applyFont="1">
      <alignment horizontal="center" vertical="bottom"/>
    </xf>
    <xf borderId="0" fillId="0" fontId="15" numFmtId="0" xfId="0" applyAlignment="1" applyFont="1">
      <alignment horizontal="center" readingOrder="0" vertical="bottom"/>
    </xf>
    <xf borderId="0" fillId="0" fontId="8" numFmtId="0" xfId="0" applyAlignment="1" applyFont="1">
      <alignment horizontal="center" vertical="bottom"/>
    </xf>
    <xf borderId="0" fillId="0" fontId="21" numFmtId="0" xfId="0" applyAlignment="1" applyFont="1">
      <alignment horizontal="center" readingOrder="0" vertical="bottom"/>
    </xf>
    <xf borderId="26" fillId="0" fontId="3" numFmtId="0" xfId="0" applyAlignment="1" applyBorder="1" applyFont="1">
      <alignment horizontal="left" readingOrder="0" vertical="bottom"/>
    </xf>
    <xf borderId="9" fillId="4" fontId="6" numFmtId="0" xfId="0" applyAlignment="1" applyBorder="1" applyFill="1" applyFont="1">
      <alignment vertical="bottom"/>
    </xf>
    <xf borderId="27" fillId="0" fontId="3" numFmtId="0" xfId="0" applyAlignment="1" applyBorder="1" applyFont="1">
      <alignment horizontal="left" readingOrder="0" vertical="bottom"/>
    </xf>
    <xf borderId="25" fillId="0" fontId="5" numFmtId="0" xfId="0" applyBorder="1" applyFont="1"/>
    <xf borderId="0" fillId="0" fontId="16" numFmtId="0" xfId="0" applyAlignment="1" applyFont="1">
      <alignment horizontal="center" readingOrder="0" vertical="bottom"/>
    </xf>
    <xf borderId="9" fillId="0" fontId="20" numFmtId="0" xfId="0" applyAlignment="1" applyBorder="1" applyFont="1">
      <alignment horizontal="center" readingOrder="0" vertical="bottom"/>
    </xf>
    <xf borderId="0" fillId="5" fontId="20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0" fillId="0" fontId="15" numFmtId="0" xfId="0" applyAlignment="1" applyFont="1">
      <alignment horizontal="center" vertical="bottom"/>
    </xf>
    <xf borderId="0" fillId="0" fontId="22" numFmtId="0" xfId="0" applyAlignment="1" applyFont="1">
      <alignment horizontal="center" vertical="bottom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>
        <color rgb="FF000000"/>
      </font>
      <fill>
        <patternFill patternType="solid">
          <fgColor rgb="FFFCE8B2"/>
          <bgColor rgb="FFFCE8B2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51.13"/>
  </cols>
  <sheetData>
    <row r="1" ht="76.5" customHeight="1">
      <c r="A1" s="1" t="s">
        <v>0</v>
      </c>
    </row>
    <row r="2">
      <c r="A2" s="2" t="s">
        <v>1</v>
      </c>
      <c r="B2" s="3" t="s">
        <v>2</v>
      </c>
    </row>
    <row r="3">
      <c r="A3" s="4" t="s">
        <v>4</v>
      </c>
      <c r="B3" s="6" t="s">
        <v>7</v>
      </c>
    </row>
    <row r="4">
      <c r="A4" s="4" t="s">
        <v>8</v>
      </c>
      <c r="B4" s="6" t="s">
        <v>9</v>
      </c>
    </row>
    <row r="5">
      <c r="A5" s="4" t="s">
        <v>11</v>
      </c>
      <c r="B5" s="6" t="s">
        <v>13</v>
      </c>
    </row>
    <row r="6">
      <c r="A6" s="4" t="s">
        <v>14</v>
      </c>
      <c r="B6" s="6" t="s">
        <v>15</v>
      </c>
    </row>
    <row r="7">
      <c r="A7" s="4" t="s">
        <v>16</v>
      </c>
      <c r="B7" s="9" t="s">
        <v>17</v>
      </c>
    </row>
    <row r="8">
      <c r="A8" s="4" t="s">
        <v>18</v>
      </c>
      <c r="B8" s="6" t="s">
        <v>19</v>
      </c>
    </row>
    <row r="9">
      <c r="A9" s="11" t="s">
        <v>20</v>
      </c>
      <c r="B9" s="13" t="s">
        <v>21</v>
      </c>
    </row>
    <row r="10">
      <c r="A10" s="11" t="s">
        <v>22</v>
      </c>
      <c r="B10" s="13" t="s">
        <v>23</v>
      </c>
    </row>
    <row r="11">
      <c r="A11" s="11" t="s">
        <v>24</v>
      </c>
      <c r="B11" s="13" t="s">
        <v>25</v>
      </c>
    </row>
    <row r="12">
      <c r="A12" s="11" t="s">
        <v>26</v>
      </c>
      <c r="B12" s="13" t="s">
        <v>27</v>
      </c>
    </row>
    <row r="13">
      <c r="A13" s="11" t="s">
        <v>28</v>
      </c>
      <c r="B13" s="13" t="s">
        <v>30</v>
      </c>
    </row>
    <row r="14">
      <c r="A14" s="11" t="s">
        <v>31</v>
      </c>
      <c r="B14" s="13" t="s">
        <v>33</v>
      </c>
    </row>
    <row r="15">
      <c r="A15" s="4" t="s">
        <v>34</v>
      </c>
      <c r="B15" s="6" t="s">
        <v>35</v>
      </c>
    </row>
    <row r="16">
      <c r="A16" s="4" t="s">
        <v>36</v>
      </c>
      <c r="B16" s="6" t="s">
        <v>37</v>
      </c>
    </row>
    <row r="17">
      <c r="A17" s="4" t="s">
        <v>38</v>
      </c>
      <c r="B17" s="6" t="s">
        <v>39</v>
      </c>
    </row>
    <row r="18">
      <c r="A18" s="4" t="s">
        <v>40</v>
      </c>
      <c r="B18" s="6" t="s">
        <v>41</v>
      </c>
    </row>
    <row r="19">
      <c r="A19" s="4" t="s">
        <v>42</v>
      </c>
      <c r="B19" s="6" t="s">
        <v>43</v>
      </c>
    </row>
    <row r="20">
      <c r="A20" s="4" t="s">
        <v>44</v>
      </c>
      <c r="B20" s="6" t="s">
        <v>45</v>
      </c>
    </row>
    <row r="21">
      <c r="A21" s="11" t="s">
        <v>46</v>
      </c>
      <c r="B21" s="13" t="s">
        <v>47</v>
      </c>
    </row>
    <row r="22">
      <c r="A22" s="11" t="s">
        <v>48</v>
      </c>
      <c r="B22" s="13" t="s">
        <v>49</v>
      </c>
    </row>
    <row r="23">
      <c r="A23" s="11" t="s">
        <v>50</v>
      </c>
      <c r="B23" s="13" t="s">
        <v>51</v>
      </c>
    </row>
    <row r="24">
      <c r="A24" s="11" t="s">
        <v>52</v>
      </c>
      <c r="B24" s="13" t="s">
        <v>53</v>
      </c>
    </row>
    <row r="25">
      <c r="A25" s="11" t="s">
        <v>54</v>
      </c>
      <c r="B25" s="13" t="s">
        <v>55</v>
      </c>
    </row>
    <row r="26">
      <c r="A26" s="11" t="s">
        <v>56</v>
      </c>
      <c r="B26" s="13" t="s">
        <v>58</v>
      </c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8B2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3.63"/>
  </cols>
  <sheetData>
    <row r="1" ht="66.75" customHeight="1">
      <c r="A1" s="5" t="s">
        <v>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>
      <c r="A2" s="10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>
      <c r="A3" s="14" t="s">
        <v>32</v>
      </c>
      <c r="B3" s="16"/>
      <c r="C3" s="16"/>
      <c r="D3" s="16"/>
      <c r="E3" s="16"/>
      <c r="F3" s="17"/>
      <c r="G3" s="18"/>
      <c r="H3" s="21" t="s">
        <v>57</v>
      </c>
      <c r="I3" s="16"/>
      <c r="J3" s="16"/>
      <c r="K3" s="16"/>
      <c r="L3" s="16"/>
      <c r="M3" s="16"/>
      <c r="N3" s="16"/>
      <c r="O3" s="17"/>
    </row>
    <row r="4">
      <c r="A4" s="22"/>
      <c r="B4" s="7"/>
      <c r="C4" s="7"/>
      <c r="D4" s="7"/>
      <c r="E4" s="7"/>
      <c r="F4" s="23"/>
      <c r="G4" s="24"/>
      <c r="H4" s="22"/>
      <c r="I4" s="7"/>
      <c r="J4" s="7"/>
      <c r="K4" s="7"/>
      <c r="L4" s="7"/>
      <c r="M4" s="7"/>
      <c r="N4" s="7"/>
      <c r="O4" s="23"/>
    </row>
    <row r="5">
      <c r="A5" s="18"/>
      <c r="B5" s="18"/>
      <c r="C5" s="18"/>
      <c r="D5" s="18"/>
      <c r="E5" s="18"/>
      <c r="F5" s="18"/>
      <c r="G5" s="26"/>
      <c r="H5" s="28" t="s">
        <v>60</v>
      </c>
      <c r="I5" s="29"/>
      <c r="J5" s="32" t="s">
        <v>61</v>
      </c>
      <c r="K5" s="16"/>
      <c r="L5" s="16"/>
      <c r="M5" s="16"/>
      <c r="N5" s="16"/>
      <c r="O5" s="17"/>
    </row>
    <row r="6">
      <c r="A6" s="27" t="s">
        <v>59</v>
      </c>
      <c r="B6" s="15"/>
      <c r="C6" s="15"/>
      <c r="D6" s="15"/>
      <c r="E6" s="15"/>
      <c r="F6" s="30"/>
      <c r="G6" s="26"/>
      <c r="H6" s="35"/>
      <c r="I6" s="36"/>
      <c r="J6" s="37"/>
      <c r="K6" s="38"/>
      <c r="L6" s="38"/>
      <c r="M6" s="38"/>
      <c r="N6" s="38"/>
      <c r="O6" s="40"/>
    </row>
    <row r="7">
      <c r="A7" s="41" t="s">
        <v>71</v>
      </c>
      <c r="B7" s="43" t="s">
        <v>72</v>
      </c>
      <c r="C7" s="43" t="s">
        <v>73</v>
      </c>
      <c r="D7" s="43" t="s">
        <v>74</v>
      </c>
      <c r="E7" s="43" t="s">
        <v>75</v>
      </c>
      <c r="F7" s="52" t="s">
        <v>76</v>
      </c>
      <c r="G7" s="26"/>
      <c r="H7" s="53" t="s">
        <v>78</v>
      </c>
      <c r="I7" s="54"/>
      <c r="J7" s="57" t="s">
        <v>80</v>
      </c>
      <c r="O7" s="59"/>
    </row>
    <row r="8">
      <c r="A8" s="60" t="s">
        <v>81</v>
      </c>
      <c r="B8" s="26" t="s">
        <v>82</v>
      </c>
      <c r="C8" s="26" t="s">
        <v>83</v>
      </c>
      <c r="D8" s="26" t="s">
        <v>84</v>
      </c>
      <c r="E8" s="26" t="s">
        <v>85</v>
      </c>
      <c r="F8" s="61" t="s">
        <v>86</v>
      </c>
      <c r="G8" s="12"/>
      <c r="H8" s="62"/>
      <c r="I8" s="54"/>
      <c r="O8" s="59"/>
    </row>
    <row r="9">
      <c r="A9" s="65" t="s">
        <v>90</v>
      </c>
      <c r="B9" s="26" t="s">
        <v>91</v>
      </c>
      <c r="C9" s="26" t="s">
        <v>92</v>
      </c>
      <c r="D9" s="26" t="s">
        <v>93</v>
      </c>
      <c r="E9" s="26" t="s">
        <v>94</v>
      </c>
      <c r="F9" s="61" t="s">
        <v>95</v>
      </c>
      <c r="G9" s="18"/>
      <c r="H9" s="68" t="s">
        <v>96</v>
      </c>
      <c r="I9" s="54"/>
      <c r="J9" s="69" t="s">
        <v>97</v>
      </c>
      <c r="O9" s="59"/>
    </row>
    <row r="10">
      <c r="A10" s="70" t="s">
        <v>99</v>
      </c>
      <c r="B10" s="71" t="s">
        <v>100</v>
      </c>
      <c r="C10" s="71" t="s">
        <v>101</v>
      </c>
      <c r="D10" s="71" t="s">
        <v>102</v>
      </c>
      <c r="E10" s="71" t="s">
        <v>104</v>
      </c>
      <c r="F10" s="72" t="s">
        <v>106</v>
      </c>
      <c r="G10" s="24"/>
      <c r="H10" s="62"/>
      <c r="I10" s="54"/>
      <c r="O10" s="59"/>
    </row>
    <row r="11">
      <c r="A11" s="12"/>
      <c r="B11" s="12"/>
      <c r="C11" s="12"/>
      <c r="D11" s="12"/>
      <c r="E11" s="73"/>
      <c r="F11" s="12"/>
      <c r="G11" s="26"/>
      <c r="H11" s="68" t="s">
        <v>107</v>
      </c>
      <c r="I11" s="54"/>
      <c r="J11" s="75" t="s">
        <v>109</v>
      </c>
      <c r="O11" s="59"/>
    </row>
    <row r="12">
      <c r="A12" s="27" t="s">
        <v>62</v>
      </c>
      <c r="B12" s="15"/>
      <c r="C12" s="15"/>
      <c r="D12" s="15"/>
      <c r="E12" s="15"/>
      <c r="F12" s="30"/>
      <c r="G12" s="26"/>
      <c r="H12" s="62"/>
      <c r="I12" s="54"/>
      <c r="O12" s="59"/>
    </row>
    <row r="13">
      <c r="A13" s="41" t="s">
        <v>71</v>
      </c>
      <c r="B13" s="43" t="s">
        <v>72</v>
      </c>
      <c r="C13" s="43" t="s">
        <v>73</v>
      </c>
      <c r="D13" s="43" t="s">
        <v>74</v>
      </c>
      <c r="E13" s="43" t="s">
        <v>75</v>
      </c>
      <c r="F13" s="52" t="s">
        <v>76</v>
      </c>
      <c r="G13" s="26"/>
      <c r="H13" s="68" t="s">
        <v>111</v>
      </c>
      <c r="I13" s="54"/>
      <c r="J13" s="69" t="s">
        <v>112</v>
      </c>
      <c r="O13" s="59"/>
    </row>
    <row r="14">
      <c r="A14" s="60" t="s">
        <v>113</v>
      </c>
      <c r="B14" s="26" t="s">
        <v>114</v>
      </c>
      <c r="C14" s="26" t="s">
        <v>115</v>
      </c>
      <c r="D14" s="26" t="s">
        <v>116</v>
      </c>
      <c r="E14" s="26" t="s">
        <v>117</v>
      </c>
      <c r="F14" s="61" t="s">
        <v>118</v>
      </c>
      <c r="G14" s="26"/>
      <c r="H14" s="62"/>
      <c r="I14" s="54"/>
      <c r="O14" s="59"/>
    </row>
    <row r="15">
      <c r="A15" s="65" t="s">
        <v>121</v>
      </c>
      <c r="B15" s="26" t="s">
        <v>122</v>
      </c>
      <c r="C15" s="26" t="s">
        <v>123</v>
      </c>
      <c r="D15" s="26" t="s">
        <v>124</v>
      </c>
      <c r="E15" s="26" t="s">
        <v>125</v>
      </c>
      <c r="F15" s="61" t="s">
        <v>126</v>
      </c>
      <c r="G15" s="26"/>
      <c r="H15" s="68" t="s">
        <v>127</v>
      </c>
      <c r="I15" s="54"/>
      <c r="J15" s="69" t="s">
        <v>128</v>
      </c>
      <c r="O15" s="59"/>
    </row>
    <row r="16">
      <c r="A16" s="70" t="s">
        <v>130</v>
      </c>
      <c r="B16" s="71" t="s">
        <v>131</v>
      </c>
      <c r="C16" s="71" t="s">
        <v>132</v>
      </c>
      <c r="D16" s="71" t="s">
        <v>133</v>
      </c>
      <c r="E16" s="71" t="s">
        <v>134</v>
      </c>
      <c r="F16" s="72" t="s">
        <v>135</v>
      </c>
      <c r="G16" s="12"/>
      <c r="H16" s="62"/>
      <c r="I16" s="54"/>
      <c r="O16" s="59"/>
    </row>
    <row r="17">
      <c r="A17" s="26"/>
      <c r="B17" s="26"/>
      <c r="C17" s="26"/>
      <c r="D17" s="26"/>
      <c r="E17" s="12"/>
      <c r="F17" s="26"/>
      <c r="G17" s="12"/>
      <c r="H17" s="68" t="s">
        <v>137</v>
      </c>
      <c r="I17" s="54"/>
      <c r="J17" s="69" t="s">
        <v>138</v>
      </c>
      <c r="O17" s="59"/>
    </row>
    <row r="18">
      <c r="A18" s="27" t="s">
        <v>140</v>
      </c>
      <c r="B18" s="15"/>
      <c r="C18" s="15"/>
      <c r="D18" s="15"/>
      <c r="E18" s="15"/>
      <c r="F18" s="30"/>
      <c r="G18" s="18"/>
      <c r="H18" s="62"/>
      <c r="I18" s="54"/>
      <c r="O18" s="59"/>
    </row>
    <row r="19">
      <c r="A19" s="41" t="s">
        <v>71</v>
      </c>
      <c r="B19" s="43" t="s">
        <v>72</v>
      </c>
      <c r="C19" s="43" t="s">
        <v>73</v>
      </c>
      <c r="D19" s="43" t="s">
        <v>74</v>
      </c>
      <c r="E19" s="43" t="s">
        <v>75</v>
      </c>
      <c r="F19" s="52" t="s">
        <v>76</v>
      </c>
      <c r="G19" s="24"/>
      <c r="H19" s="68" t="s">
        <v>142</v>
      </c>
      <c r="I19" s="54"/>
      <c r="J19" s="69" t="s">
        <v>143</v>
      </c>
      <c r="O19" s="59"/>
    </row>
    <row r="20">
      <c r="A20" s="60" t="s">
        <v>144</v>
      </c>
      <c r="B20" s="26" t="s">
        <v>145</v>
      </c>
      <c r="C20" s="26" t="s">
        <v>146</v>
      </c>
      <c r="D20" s="26" t="s">
        <v>148</v>
      </c>
      <c r="E20" s="26" t="s">
        <v>149</v>
      </c>
      <c r="F20" s="61" t="s">
        <v>150</v>
      </c>
      <c r="G20" s="26"/>
      <c r="H20" s="62"/>
      <c r="I20" s="54"/>
      <c r="O20" s="59"/>
    </row>
    <row r="21">
      <c r="A21" s="65" t="s">
        <v>151</v>
      </c>
      <c r="B21" s="26" t="s">
        <v>152</v>
      </c>
      <c r="C21" s="26" t="s">
        <v>153</v>
      </c>
      <c r="D21" s="26" t="s">
        <v>154</v>
      </c>
      <c r="E21" s="26" t="s">
        <v>155</v>
      </c>
      <c r="F21" s="61" t="s">
        <v>156</v>
      </c>
      <c r="G21" s="26"/>
      <c r="H21" s="68" t="s">
        <v>157</v>
      </c>
      <c r="I21" s="54"/>
      <c r="J21" s="69" t="s">
        <v>160</v>
      </c>
      <c r="O21" s="59"/>
    </row>
    <row r="22">
      <c r="A22" s="70" t="s">
        <v>161</v>
      </c>
      <c r="B22" s="71" t="s">
        <v>162</v>
      </c>
      <c r="C22" s="71" t="s">
        <v>163</v>
      </c>
      <c r="D22" s="71" t="s">
        <v>164</v>
      </c>
      <c r="E22" s="71" t="s">
        <v>165</v>
      </c>
      <c r="F22" s="72" t="s">
        <v>166</v>
      </c>
      <c r="G22" s="26"/>
      <c r="H22" s="62"/>
      <c r="I22" s="54"/>
      <c r="O22" s="59"/>
    </row>
    <row r="23">
      <c r="A23" s="26"/>
      <c r="B23" s="12"/>
      <c r="C23" s="26"/>
      <c r="D23" s="26"/>
      <c r="E23" s="26"/>
      <c r="F23" s="26"/>
      <c r="G23" s="26"/>
      <c r="H23" s="68" t="s">
        <v>167</v>
      </c>
      <c r="I23" s="54"/>
      <c r="J23" s="75" t="s">
        <v>169</v>
      </c>
      <c r="O23" s="59"/>
    </row>
    <row r="24">
      <c r="A24" s="27" t="s">
        <v>170</v>
      </c>
      <c r="B24" s="15"/>
      <c r="C24" s="15"/>
      <c r="D24" s="15"/>
      <c r="E24" s="15"/>
      <c r="F24" s="30"/>
      <c r="G24" s="26"/>
      <c r="H24" s="62"/>
      <c r="I24" s="54"/>
      <c r="O24" s="59"/>
    </row>
    <row r="25">
      <c r="A25" s="41" t="s">
        <v>71</v>
      </c>
      <c r="B25" s="43" t="s">
        <v>72</v>
      </c>
      <c r="C25" s="43" t="s">
        <v>73</v>
      </c>
      <c r="D25" s="43" t="s">
        <v>74</v>
      </c>
      <c r="E25" s="43" t="s">
        <v>75</v>
      </c>
      <c r="F25" s="52" t="s">
        <v>76</v>
      </c>
      <c r="G25" s="12"/>
      <c r="H25" s="68" t="s">
        <v>173</v>
      </c>
      <c r="I25" s="54"/>
      <c r="J25" s="69" t="s">
        <v>174</v>
      </c>
      <c r="O25" s="59"/>
    </row>
    <row r="26">
      <c r="A26" s="60" t="s">
        <v>175</v>
      </c>
      <c r="B26" s="26" t="s">
        <v>176</v>
      </c>
      <c r="C26" s="26" t="s">
        <v>177</v>
      </c>
      <c r="D26" s="26" t="s">
        <v>178</v>
      </c>
      <c r="E26" s="26" t="s">
        <v>179</v>
      </c>
      <c r="F26" s="61" t="s">
        <v>180</v>
      </c>
      <c r="G26" s="12"/>
      <c r="H26" s="62"/>
      <c r="I26" s="54"/>
      <c r="O26" s="59"/>
    </row>
    <row r="27">
      <c r="A27" s="65" t="s">
        <v>181</v>
      </c>
      <c r="B27" s="26" t="s">
        <v>182</v>
      </c>
      <c r="C27" s="26" t="s">
        <v>184</v>
      </c>
      <c r="D27" s="26" t="s">
        <v>185</v>
      </c>
      <c r="E27" s="26" t="s">
        <v>186</v>
      </c>
      <c r="F27" s="61" t="s">
        <v>187</v>
      </c>
      <c r="G27" s="18"/>
      <c r="H27" s="68" t="s">
        <v>188</v>
      </c>
      <c r="I27" s="54"/>
      <c r="J27" s="69" t="s">
        <v>189</v>
      </c>
      <c r="O27" s="59"/>
    </row>
    <row r="28">
      <c r="A28" s="70" t="s">
        <v>190</v>
      </c>
      <c r="B28" s="71" t="s">
        <v>191</v>
      </c>
      <c r="C28" s="71" t="s">
        <v>194</v>
      </c>
      <c r="D28" s="71" t="s">
        <v>195</v>
      </c>
      <c r="E28" s="71" t="s">
        <v>196</v>
      </c>
      <c r="F28" s="72" t="s">
        <v>197</v>
      </c>
      <c r="G28" s="24"/>
      <c r="H28" s="62"/>
      <c r="I28" s="54"/>
      <c r="O28" s="59"/>
    </row>
    <row r="29">
      <c r="A29" s="12"/>
      <c r="B29" s="12"/>
      <c r="C29" s="12"/>
      <c r="D29" s="12"/>
      <c r="E29" s="12"/>
      <c r="F29" s="12"/>
      <c r="G29" s="26"/>
      <c r="H29" s="68" t="s">
        <v>198</v>
      </c>
      <c r="I29" s="54"/>
      <c r="J29" s="69" t="s">
        <v>199</v>
      </c>
      <c r="O29" s="59"/>
    </row>
    <row r="30">
      <c r="A30" s="18"/>
      <c r="G30" s="26"/>
      <c r="H30" s="62"/>
      <c r="I30" s="54"/>
      <c r="O30" s="59"/>
    </row>
    <row r="31">
      <c r="A31" s="83"/>
      <c r="B31" s="83"/>
      <c r="C31" s="83"/>
      <c r="D31" s="83"/>
      <c r="E31" s="83"/>
      <c r="F31" s="83"/>
      <c r="G31" s="26"/>
      <c r="H31" s="68" t="s">
        <v>202</v>
      </c>
      <c r="I31" s="54"/>
      <c r="J31" s="69" t="s">
        <v>203</v>
      </c>
      <c r="O31" s="59"/>
    </row>
    <row r="32">
      <c r="A32" s="26"/>
      <c r="B32" s="26"/>
      <c r="C32" s="26"/>
      <c r="D32" s="26"/>
      <c r="E32" s="26"/>
      <c r="F32" s="26"/>
      <c r="G32" s="26"/>
      <c r="H32" s="62"/>
      <c r="I32" s="54"/>
      <c r="O32" s="59"/>
    </row>
    <row r="33">
      <c r="A33" s="26"/>
      <c r="B33" s="26"/>
      <c r="C33" s="26"/>
      <c r="D33" s="26"/>
      <c r="E33" s="26"/>
      <c r="F33" s="26"/>
      <c r="G33" s="26"/>
      <c r="H33" s="68" t="s">
        <v>206</v>
      </c>
      <c r="I33" s="54"/>
      <c r="J33" s="69" t="s">
        <v>207</v>
      </c>
      <c r="O33" s="59"/>
    </row>
    <row r="34">
      <c r="A34" s="26"/>
      <c r="B34" s="26"/>
      <c r="C34" s="26"/>
      <c r="D34" s="26"/>
      <c r="E34" s="26"/>
      <c r="F34" s="26"/>
      <c r="G34" s="12"/>
      <c r="H34" s="62"/>
      <c r="I34" s="54"/>
      <c r="O34" s="59"/>
    </row>
    <row r="35">
      <c r="A35" s="26"/>
      <c r="B35" s="26"/>
      <c r="C35" s="26"/>
      <c r="D35" s="26"/>
      <c r="E35" s="12"/>
      <c r="F35" s="26"/>
      <c r="G35" s="12"/>
      <c r="H35" s="68" t="s">
        <v>209</v>
      </c>
      <c r="I35" s="54"/>
      <c r="J35" s="69" t="s">
        <v>210</v>
      </c>
      <c r="O35" s="59"/>
    </row>
    <row r="36">
      <c r="A36" s="18"/>
      <c r="G36" s="84"/>
      <c r="H36" s="62"/>
      <c r="I36" s="54"/>
      <c r="O36" s="59"/>
    </row>
    <row r="37">
      <c r="A37" s="83"/>
      <c r="B37" s="83"/>
      <c r="C37" s="83"/>
      <c r="D37" s="83"/>
      <c r="E37" s="83"/>
      <c r="F37" s="83"/>
      <c r="G37" s="24"/>
      <c r="H37" s="68" t="s">
        <v>214</v>
      </c>
      <c r="I37" s="54"/>
      <c r="J37" s="69" t="s">
        <v>215</v>
      </c>
      <c r="O37" s="59"/>
    </row>
    <row r="38">
      <c r="A38" s="26"/>
      <c r="B38" s="26"/>
      <c r="C38" s="26"/>
      <c r="D38" s="26"/>
      <c r="E38" s="26"/>
      <c r="F38" s="26"/>
      <c r="G38" s="24"/>
      <c r="H38" s="62"/>
      <c r="I38" s="54"/>
      <c r="O38" s="59"/>
    </row>
    <row r="39">
      <c r="A39" s="26"/>
      <c r="B39" s="26"/>
      <c r="C39" s="26"/>
      <c r="D39" s="26"/>
      <c r="E39" s="26"/>
      <c r="F39" s="26"/>
      <c r="G39" s="24"/>
      <c r="H39" s="68" t="s">
        <v>217</v>
      </c>
      <c r="I39" s="54"/>
      <c r="J39" s="75" t="s">
        <v>220</v>
      </c>
      <c r="O39" s="59"/>
    </row>
    <row r="40">
      <c r="A40" s="26"/>
      <c r="B40" s="26"/>
      <c r="C40" s="26"/>
      <c r="D40" s="26"/>
      <c r="E40" s="26"/>
      <c r="F40" s="26"/>
      <c r="G40" s="24"/>
      <c r="H40" s="62"/>
      <c r="I40" s="54"/>
      <c r="O40" s="59"/>
    </row>
    <row r="41">
      <c r="A41" s="24"/>
      <c r="B41" s="12"/>
      <c r="C41" s="24"/>
      <c r="D41" s="24"/>
      <c r="E41" s="24"/>
      <c r="F41" s="24"/>
      <c r="G41" s="24"/>
      <c r="H41" s="68" t="s">
        <v>223</v>
      </c>
      <c r="I41" s="54"/>
      <c r="J41" s="69" t="s">
        <v>227</v>
      </c>
      <c r="O41" s="59"/>
    </row>
    <row r="42">
      <c r="A42" s="18"/>
      <c r="G42" s="24"/>
      <c r="H42" s="62"/>
      <c r="I42" s="54"/>
      <c r="O42" s="59"/>
    </row>
    <row r="43">
      <c r="A43" s="83"/>
      <c r="B43" s="83"/>
      <c r="C43" s="83"/>
      <c r="D43" s="83"/>
      <c r="E43" s="83"/>
      <c r="F43" s="83"/>
      <c r="G43" s="12"/>
      <c r="H43" s="68" t="s">
        <v>229</v>
      </c>
      <c r="I43" s="54"/>
      <c r="J43" s="69" t="s">
        <v>230</v>
      </c>
      <c r="O43" s="59"/>
    </row>
    <row r="44">
      <c r="A44" s="26"/>
      <c r="B44" s="26"/>
      <c r="C44" s="26"/>
      <c r="D44" s="26"/>
      <c r="E44" s="26"/>
      <c r="F44" s="26"/>
      <c r="G44" s="12"/>
      <c r="H44" s="62"/>
      <c r="I44" s="54"/>
      <c r="O44" s="59"/>
    </row>
    <row r="45">
      <c r="A45" s="26"/>
      <c r="B45" s="26"/>
      <c r="C45" s="26"/>
      <c r="D45" s="26"/>
      <c r="E45" s="26"/>
      <c r="F45" s="26"/>
      <c r="G45" s="84"/>
      <c r="H45" s="68" t="s">
        <v>233</v>
      </c>
      <c r="I45" s="54"/>
      <c r="J45" s="69" t="s">
        <v>234</v>
      </c>
      <c r="O45" s="59"/>
    </row>
    <row r="46">
      <c r="A46" s="26"/>
      <c r="B46" s="26"/>
      <c r="C46" s="26"/>
      <c r="D46" s="26"/>
      <c r="E46" s="26"/>
      <c r="F46" s="26"/>
      <c r="G46" s="24"/>
      <c r="H46" s="62"/>
      <c r="I46" s="54"/>
      <c r="O46" s="59"/>
    </row>
    <row r="47">
      <c r="A47" s="24"/>
      <c r="B47" s="12"/>
      <c r="C47" s="24"/>
      <c r="D47" s="24"/>
      <c r="E47" s="24"/>
      <c r="F47" s="24"/>
      <c r="G47" s="24"/>
      <c r="H47" s="68" t="s">
        <v>235</v>
      </c>
      <c r="I47" s="54"/>
      <c r="J47" s="75" t="s">
        <v>236</v>
      </c>
      <c r="O47" s="59"/>
    </row>
    <row r="48">
      <c r="A48" s="24"/>
      <c r="B48" s="12"/>
      <c r="C48" s="24"/>
      <c r="D48" s="24"/>
      <c r="E48" s="24"/>
      <c r="F48" s="24"/>
      <c r="G48" s="24"/>
      <c r="H48" s="22"/>
      <c r="I48" s="89"/>
      <c r="J48" s="7"/>
      <c r="K48" s="7"/>
      <c r="L48" s="7"/>
      <c r="M48" s="7"/>
      <c r="N48" s="7"/>
      <c r="O48" s="23"/>
    </row>
    <row r="49">
      <c r="A49" s="24"/>
      <c r="B49" s="12"/>
      <c r="C49" s="24"/>
      <c r="D49" s="24"/>
      <c r="E49" s="24"/>
      <c r="F49" s="24"/>
      <c r="G49" s="24"/>
      <c r="H49" s="90"/>
      <c r="I49" s="90"/>
      <c r="J49" s="75"/>
      <c r="K49" s="75"/>
      <c r="L49" s="75"/>
      <c r="M49" s="75"/>
      <c r="N49" s="75"/>
      <c r="O49" s="75"/>
    </row>
    <row r="50">
      <c r="A50" s="24"/>
      <c r="B50" s="12"/>
      <c r="C50" s="24"/>
      <c r="D50" s="24"/>
      <c r="E50" s="24"/>
      <c r="F50" s="24"/>
      <c r="G50" s="24"/>
      <c r="H50" s="90"/>
      <c r="I50" s="90"/>
      <c r="J50" s="75"/>
      <c r="K50" s="75"/>
      <c r="L50" s="75"/>
      <c r="M50" s="75"/>
      <c r="N50" s="75"/>
      <c r="O50" s="75"/>
    </row>
  </sheetData>
  <mergeCells count="54">
    <mergeCell ref="A1:O1"/>
    <mergeCell ref="A3:F4"/>
    <mergeCell ref="H3:O4"/>
    <mergeCell ref="H5:I6"/>
    <mergeCell ref="J5:O6"/>
    <mergeCell ref="A6:F6"/>
    <mergeCell ref="J7:O8"/>
    <mergeCell ref="H7:I8"/>
    <mergeCell ref="H9:I10"/>
    <mergeCell ref="J9:O10"/>
    <mergeCell ref="H11:I12"/>
    <mergeCell ref="J11:O12"/>
    <mergeCell ref="A12:F12"/>
    <mergeCell ref="J13:O14"/>
    <mergeCell ref="H13:I14"/>
    <mergeCell ref="H15:I16"/>
    <mergeCell ref="J15:O16"/>
    <mergeCell ref="H17:I18"/>
    <mergeCell ref="J17:O18"/>
    <mergeCell ref="A18:F18"/>
    <mergeCell ref="J19:O20"/>
    <mergeCell ref="H19:I20"/>
    <mergeCell ref="H21:I22"/>
    <mergeCell ref="J21:O22"/>
    <mergeCell ref="H23:I24"/>
    <mergeCell ref="J23:O24"/>
    <mergeCell ref="A24:F24"/>
    <mergeCell ref="J25:O26"/>
    <mergeCell ref="H25:I26"/>
    <mergeCell ref="H27:I28"/>
    <mergeCell ref="J27:O28"/>
    <mergeCell ref="H29:I30"/>
    <mergeCell ref="J29:O30"/>
    <mergeCell ref="A30:F30"/>
    <mergeCell ref="J31:O32"/>
    <mergeCell ref="H31:I32"/>
    <mergeCell ref="H33:I34"/>
    <mergeCell ref="J33:O34"/>
    <mergeCell ref="H35:I36"/>
    <mergeCell ref="J35:O36"/>
    <mergeCell ref="A36:F36"/>
    <mergeCell ref="J37:O38"/>
    <mergeCell ref="H43:I44"/>
    <mergeCell ref="H45:I46"/>
    <mergeCell ref="J45:O46"/>
    <mergeCell ref="H47:I48"/>
    <mergeCell ref="J47:O48"/>
    <mergeCell ref="H37:I38"/>
    <mergeCell ref="H39:I40"/>
    <mergeCell ref="J39:O40"/>
    <mergeCell ref="H41:I42"/>
    <mergeCell ref="J41:O42"/>
    <mergeCell ref="A42:F42"/>
    <mergeCell ref="J43:O4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8B2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9" max="9" width="25.13"/>
  </cols>
  <sheetData>
    <row r="1" ht="76.5" customHeight="1">
      <c r="A1" s="8" t="s">
        <v>5</v>
      </c>
      <c r="P1" s="8"/>
    </row>
    <row r="2">
      <c r="A2" s="3" t="s">
        <v>29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20"/>
    </row>
    <row r="3">
      <c r="A3" s="10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</row>
    <row r="4">
      <c r="A4" s="27" t="s">
        <v>59</v>
      </c>
      <c r="B4" s="15"/>
      <c r="C4" s="15"/>
      <c r="D4" s="15"/>
      <c r="E4" s="15"/>
      <c r="F4" s="15"/>
      <c r="G4" s="30"/>
      <c r="H4" s="12"/>
      <c r="I4" s="27" t="s">
        <v>62</v>
      </c>
      <c r="J4" s="15"/>
      <c r="K4" s="15"/>
      <c r="L4" s="15"/>
      <c r="M4" s="15"/>
      <c r="N4" s="15"/>
      <c r="O4" s="30"/>
      <c r="P4" s="34"/>
    </row>
    <row r="5">
      <c r="A5" s="45">
        <f>SUM(B6:G11)</f>
        <v>2332</v>
      </c>
      <c r="B5" s="47" t="s">
        <v>4</v>
      </c>
      <c r="C5" s="47" t="s">
        <v>8</v>
      </c>
      <c r="D5" s="47" t="s">
        <v>11</v>
      </c>
      <c r="E5" s="47" t="s">
        <v>14</v>
      </c>
      <c r="F5" s="47" t="s">
        <v>16</v>
      </c>
      <c r="G5" s="50" t="s">
        <v>18</v>
      </c>
      <c r="H5" s="12"/>
      <c r="I5" s="56">
        <f>SUM(J6:O11)</f>
        <v>2464</v>
      </c>
      <c r="J5" s="47" t="s">
        <v>20</v>
      </c>
      <c r="K5" s="47" t="s">
        <v>22</v>
      </c>
      <c r="L5" s="47" t="s">
        <v>24</v>
      </c>
      <c r="M5" s="47" t="s">
        <v>26</v>
      </c>
      <c r="N5" s="47" t="s">
        <v>28</v>
      </c>
      <c r="O5" s="50" t="s">
        <v>31</v>
      </c>
      <c r="P5" s="26"/>
    </row>
    <row r="6">
      <c r="A6" s="63" t="s">
        <v>89</v>
      </c>
      <c r="B6" s="66"/>
      <c r="C6" s="26">
        <f>IFERROR(__xludf.DUMMYFUNCTION("IMPORTRANGE(""1bBaxRc1NB103ARWITryXCsb62HVgfI-_YtSE-b4hJuU"", ""RR1!E25"")"),114.0)</f>
        <v>114</v>
      </c>
      <c r="D6" s="26">
        <f>IFERROR(__xludf.DUMMYFUNCTION("IMPORTRANGE(""1EGAJaL0bqJkoLm1uA6Zh54FOg1VvM2YJuc3PqgsQQ_w"", ""RR2!E25"")"),174.0)</f>
        <v>174</v>
      </c>
      <c r="E6" s="26">
        <f>IFERROR(__xludf.DUMMYFUNCTION("IMPORTRANGE(""1hNeAYq0ortgqvT3OlfxsodTdhYQvY130xJoCf4DjT5k"", ""RR3!E25"")"),160.0)</f>
        <v>160</v>
      </c>
      <c r="F6" s="26">
        <f>IFERROR(__xludf.DUMMYFUNCTION("IMPORTRANGE(""1bBaxRc1NB103ARWITryXCsb62HVgfI-_YtSE-b4hJuU"", ""RR4!E25"")"),138.0)</f>
        <v>138</v>
      </c>
      <c r="G6" s="61">
        <f>IFERROR(__xludf.DUMMYFUNCTION("IMPORTRANGE(""1EGAJaL0bqJkoLm1uA6Zh54FOg1VvM2YJuc3PqgsQQ_w"", ""RR5!E25"")"),156.0)</f>
        <v>156</v>
      </c>
      <c r="H6" s="12"/>
      <c r="I6" s="74" t="s">
        <v>108</v>
      </c>
      <c r="J6" s="66"/>
      <c r="K6" s="26">
        <f>IFERROR(__xludf.DUMMYFUNCTION("IMPORTRANGE(""1XlpmV0Btj1xT6oKcR4ANLUEplHWyheIPCs_M9o3tO2Q"", ""RR1!E25"")"),112.0)</f>
        <v>112</v>
      </c>
      <c r="L6" s="26">
        <f>IFERROR(__xludf.DUMMYFUNCTION("IMPORTRANGE(""14Q3kZeRy11-MpTZrCBXwgONgM1L7a0GMyhOOHHOV8Qs"", ""RR2!E25"")"),96.0)</f>
        <v>96</v>
      </c>
      <c r="M6" s="26">
        <f>IFERROR(__xludf.DUMMYFUNCTION("IMPORTRANGE(""1aUUfGV4_4tbeXKyEln-X6-Wzg4x2MAF27ARbdiq_9Wc"", ""RR3!E25"")"),114.0)</f>
        <v>114</v>
      </c>
      <c r="N6" s="26">
        <f>IFERROR(__xludf.DUMMYFUNCTION("IMPORTRANGE(""1XlpmV0Btj1xT6oKcR4ANLUEplHWyheIPCs_M9o3tO2Q"", ""RR4!E25"")"),106.0)</f>
        <v>106</v>
      </c>
      <c r="O6" s="61">
        <f>IFERROR(__xludf.DUMMYFUNCTION("IMPORTRANGE(""14Q3kZeRy11-MpTZrCBXwgONgM1L7a0GMyhOOHHOV8Qs"", ""RR5!E25"")"),80.0)</f>
        <v>80</v>
      </c>
      <c r="P6" s="26"/>
    </row>
    <row r="7">
      <c r="A7" s="63" t="s">
        <v>120</v>
      </c>
      <c r="B7" s="76">
        <f>IFERROR(__xludf.DUMMYFUNCTION("IMPORTRANGE(""1bBaxRc1NB103ARWITryXCsb62HVgfI-_YtSE-b4hJuU"", ""RR1!H25"")"),124.0)</f>
        <v>124</v>
      </c>
      <c r="C7" s="66"/>
      <c r="D7" s="26">
        <f>IFERROR(__xludf.DUMMYFUNCTION("IMPORTRANGE(""1bBaxRc1NB103ARWITryXCsb62HVgfI-_YtSE-b4hJuU"", ""RR3!E25"")"),136.0)</f>
        <v>136</v>
      </c>
      <c r="E7" s="26">
        <f>IFERROR(__xludf.DUMMYFUNCTION("IMPORTRANGE(""1EGAJaL0bqJkoLm1uA6Zh54FOg1VvM2YJuc3PqgsQQ_w"", ""RR4!E25"")"),174.0)</f>
        <v>174</v>
      </c>
      <c r="F7" s="26">
        <f>IFERROR(__xludf.DUMMYFUNCTION("IMPORTRANGE(""1hNeAYq0ortgqvT3OlfxsodTdhYQvY130xJoCf4DjT5k"", ""RR5!E25"")"),160.0)</f>
        <v>160</v>
      </c>
      <c r="G7" s="61">
        <f>IFERROR(__xludf.DUMMYFUNCTION("IMPORTRANGE(""1hNeAYq0ortgqvT3OlfxsodTdhYQvY130xJoCf4DjT5k"", ""RR2!E25"")"),150.0)</f>
        <v>150</v>
      </c>
      <c r="H7" s="12"/>
      <c r="I7" s="74" t="s">
        <v>141</v>
      </c>
      <c r="J7" s="77">
        <f>IFERROR(__xludf.DUMMYFUNCTION("IMPORTRANGE(""1XlpmV0Btj1xT6oKcR4ANLUEplHWyheIPCs_M9o3tO2Q"", ""RR1!H25"")"),4.0)</f>
        <v>4</v>
      </c>
      <c r="K7" s="66"/>
      <c r="L7" s="26">
        <f>IFERROR(__xludf.DUMMYFUNCTION("IMPORTRANGE(""1XlpmV0Btj1xT6oKcR4ANLUEplHWyheIPCs_M9o3tO2Q"", ""RR3!E25"")"),38.0)</f>
        <v>38</v>
      </c>
      <c r="M7" s="26">
        <f>IFERROR(__xludf.DUMMYFUNCTION("IMPORTRANGE(""14Q3kZeRy11-MpTZrCBXwgONgM1L7a0GMyhOOHHOV8Qs"", ""RR4!E25"")"),12.0)</f>
        <v>12</v>
      </c>
      <c r="N7" s="26">
        <f>IFERROR(__xludf.DUMMYFUNCTION("IMPORTRANGE(""1aUUfGV4_4tbeXKyEln-X6-Wzg4x2MAF27ARbdiq_9Wc"", ""RR5!E25"")"),8.0)</f>
        <v>8</v>
      </c>
      <c r="O7" s="61">
        <f>IFERROR(__xludf.DUMMYFUNCTION("IMPORTRANGE(""1aUUfGV4_4tbeXKyEln-X6-Wzg4x2MAF27ARbdiq_9Wc"", ""RR2!E25"")"),12.0)</f>
        <v>12</v>
      </c>
      <c r="P7" s="26"/>
    </row>
    <row r="8">
      <c r="A8" s="63" t="s">
        <v>158</v>
      </c>
      <c r="B8" s="26">
        <f>IFERROR(__xludf.DUMMYFUNCTION("IMPORTRANGE(""1EGAJaL0bqJkoLm1uA6Zh54FOg1VvM2YJuc3PqgsQQ_w"", ""RR2!H25"")"),44.0)</f>
        <v>44</v>
      </c>
      <c r="C8" s="26">
        <f>IFERROR(__xludf.DUMMYFUNCTION("IMPORTRANGE(""1bBaxRc1NB103ARWITryXCsb62HVgfI-_YtSE-b4hJuU"", ""RR3!H25"")"),44.0)</f>
        <v>44</v>
      </c>
      <c r="D8" s="66"/>
      <c r="E8" s="26">
        <f>IFERROR(__xludf.DUMMYFUNCTION("IMPORTRANGE(""1bBaxRc1NB103ARWITryXCsb62HVgfI-_YtSE-b4hJuU"", ""RR5!E25"")"),66.0)</f>
        <v>66</v>
      </c>
      <c r="F8" s="26">
        <f>IFERROR(__xludf.DUMMYFUNCTION("IMPORTRANGE(""1EGAJaL0bqJkoLm1uA6Zh54FOg1VvM2YJuc3PqgsQQ_w"", ""RR1!E25"")"),90.0)</f>
        <v>90</v>
      </c>
      <c r="G8" s="61">
        <f>IFERROR(__xludf.DUMMYFUNCTION("IMPORTRANGE(""1hNeAYq0ortgqvT3OlfxsodTdhYQvY130xJoCf4DjT5k"", ""RR4!E25"")"),80.0)</f>
        <v>80</v>
      </c>
      <c r="H8" s="12"/>
      <c r="I8" s="74" t="s">
        <v>171</v>
      </c>
      <c r="J8" s="26">
        <f>IFERROR(__xludf.DUMMYFUNCTION("IMPORTRANGE(""14Q3kZeRy11-MpTZrCBXwgONgM1L7a0GMyhOOHHOV8Qs"", ""RR2!H25"")"),90.0)</f>
        <v>90</v>
      </c>
      <c r="K8" s="26">
        <f>IFERROR(__xludf.DUMMYFUNCTION("IMPORTRANGE(""1XlpmV0Btj1xT6oKcR4ANLUEplHWyheIPCs_M9o3tO2Q"", ""RR3!H25"")"),100.0)</f>
        <v>100</v>
      </c>
      <c r="L8" s="66"/>
      <c r="M8" s="26">
        <f>IFERROR(__xludf.DUMMYFUNCTION("IMPORTRANGE(""1XlpmV0Btj1xT6oKcR4ANLUEplHWyheIPCs_M9o3tO2Q"", ""RR5!E25"")"),82.0)</f>
        <v>82</v>
      </c>
      <c r="N8" s="26">
        <f>IFERROR(__xludf.DUMMYFUNCTION("IMPORTRANGE(""14Q3kZeRy11-MpTZrCBXwgONgM1L7a0GMyhOOHHOV8Qs"", ""RR1!E25"")"),82.0)</f>
        <v>82</v>
      </c>
      <c r="O8" s="61">
        <f>IFERROR(__xludf.DUMMYFUNCTION("IMPORTRANGE(""1aUUfGV4_4tbeXKyEln-X6-Wzg4x2MAF27ARbdiq_9Wc"", ""RR4!E25"")"),62.0)</f>
        <v>62</v>
      </c>
      <c r="P8" s="26"/>
    </row>
    <row r="9">
      <c r="A9" s="63" t="s">
        <v>192</v>
      </c>
      <c r="B9" s="26">
        <f>IFERROR(__xludf.DUMMYFUNCTION("IMPORTRANGE(""1hNeAYq0ortgqvT3OlfxsodTdhYQvY130xJoCf4DjT5k"", ""RR3!H25"")"),12.0)</f>
        <v>12</v>
      </c>
      <c r="C9" s="26">
        <f>IFERROR(__xludf.DUMMYFUNCTION("IMPORTRANGE(""1EGAJaL0bqJkoLm1uA6Zh54FOg1VvM2YJuc3PqgsQQ_w"", ""RR4!H25"")"),8.0)</f>
        <v>8</v>
      </c>
      <c r="D9" s="26">
        <f>IFERROR(__xludf.DUMMYFUNCTION("IMPORTRANGE(""1bBaxRc1NB103ARWITryXCsb62HVgfI-_YtSE-b4hJuU"", ""RR5!H25"")"),26.0)</f>
        <v>26</v>
      </c>
      <c r="E9" s="66"/>
      <c r="F9" s="26">
        <f>IFERROR(__xludf.DUMMYFUNCTION("IMPORTRANGE(""1bBaxRc1NB103ARWITryXCsb62HVgfI-_YtSE-b4hJuU"", ""RR2!E25"")"),4.0)</f>
        <v>4</v>
      </c>
      <c r="G9" s="61">
        <f>IFERROR(__xludf.DUMMYFUNCTION("IMPORTRANGE(""1hNeAYq0ortgqvT3OlfxsodTdhYQvY130xJoCf4DjT5k"", ""RR1!E25"")"),18.0)</f>
        <v>18</v>
      </c>
      <c r="H9" s="12"/>
      <c r="I9" s="74" t="s">
        <v>204</v>
      </c>
      <c r="J9" s="26">
        <f>IFERROR(__xludf.DUMMYFUNCTION("IMPORTRANGE(""1aUUfGV4_4tbeXKyEln-X6-Wzg4x2MAF27ARbdiq_9Wc"", ""RR3!H25"")"),96.0)</f>
        <v>96</v>
      </c>
      <c r="K9" s="26">
        <f>IFERROR(__xludf.DUMMYFUNCTION("IMPORTRANGE(""14Q3kZeRy11-MpTZrCBXwgONgM1L7a0GMyhOOHHOV8Qs"", ""RR4!H25"")"),94.0)</f>
        <v>94</v>
      </c>
      <c r="L9" s="26">
        <f>IFERROR(__xludf.DUMMYFUNCTION("IMPORTRANGE(""1XlpmV0Btj1xT6oKcR4ANLUEplHWyheIPCs_M9o3tO2Q"", ""RR5!H25"")"),92.0)</f>
        <v>92</v>
      </c>
      <c r="M9" s="66"/>
      <c r="N9" s="26">
        <f>IFERROR(__xludf.DUMMYFUNCTION("IMPORTRANGE(""1XlpmV0Btj1xT6oKcR4ANLUEplHWyheIPCs_M9o3tO2Q"", ""RR2!E25"")"),110.0)</f>
        <v>110</v>
      </c>
      <c r="O9" s="61">
        <f>IFERROR(__xludf.DUMMYFUNCTION("IMPORTRANGE(""1aUUfGV4_4tbeXKyEln-X6-Wzg4x2MAF27ARbdiq_9Wc"", ""RR1!E25"")"),96.0)</f>
        <v>96</v>
      </c>
      <c r="P9" s="26"/>
    </row>
    <row r="10">
      <c r="A10" s="63" t="s">
        <v>211</v>
      </c>
      <c r="B10" s="26">
        <f>IFERROR(__xludf.DUMMYFUNCTION("IMPORTRANGE(""1bBaxRc1NB103ARWITryXCsb62HVgfI-_YtSE-b4hJuU"", ""RR4!H25"")"),52.0)</f>
        <v>52</v>
      </c>
      <c r="C10" s="26">
        <f>IFERROR(__xludf.DUMMYFUNCTION("IMPORTRANGE(""1hNeAYq0ortgqvT3OlfxsodTdhYQvY130xJoCf4DjT5k"", ""RR5!H25"")"),16.0)</f>
        <v>16</v>
      </c>
      <c r="D10" s="26">
        <f>IFERROR(__xludf.DUMMYFUNCTION("IMPORTRANGE(""1EGAJaL0bqJkoLm1uA6Zh54FOg1VvM2YJuc3PqgsQQ_w"", ""RR1!H25"")"),26.0)</f>
        <v>26</v>
      </c>
      <c r="E10" s="26">
        <f>IFERROR(__xludf.DUMMYFUNCTION("IMPORTRANGE(""1bBaxRc1NB103ARWITryXCsb62HVgfI-_YtSE-b4hJuU"", ""RR2!H25"")"),64.0)</f>
        <v>64</v>
      </c>
      <c r="F10" s="66"/>
      <c r="G10" s="61">
        <f>IFERROR(__xludf.DUMMYFUNCTION("IMPORTRANGE(""1EGAJaL0bqJkoLm1uA6Zh54FOg1VvM2YJuc3PqgsQQ_w"", ""RR3!E25"")"),66.0)</f>
        <v>66</v>
      </c>
      <c r="H10" s="12"/>
      <c r="I10" s="74" t="s">
        <v>218</v>
      </c>
      <c r="J10" s="26">
        <f>IFERROR(__xludf.DUMMYFUNCTION("IMPORTRANGE(""1XlpmV0Btj1xT6oKcR4ANLUEplHWyheIPCs_M9o3tO2Q"", ""RR4!H25"")"),124.0)</f>
        <v>124</v>
      </c>
      <c r="K10" s="26">
        <f>IFERROR(__xludf.DUMMYFUNCTION("IMPORTRANGE(""1aUUfGV4_4tbeXKyEln-X6-Wzg4x2MAF27ARbdiq_9Wc"", ""RR5!H25"")"),186.0)</f>
        <v>186</v>
      </c>
      <c r="L10" s="26">
        <f>IFERROR(__xludf.DUMMYFUNCTION("IMPORTRANGE(""14Q3kZeRy11-MpTZrCBXwgONgM1L7a0GMyhOOHHOV8Qs"", ""RR1!H25"")"),134.0)</f>
        <v>134</v>
      </c>
      <c r="M10" s="26">
        <f>IFERROR(__xludf.DUMMYFUNCTION("IMPORTRANGE(""1XlpmV0Btj1xT6oKcR4ANLUEplHWyheIPCs_M9o3tO2Q"", ""RR2!H25"")"),102.0)</f>
        <v>102</v>
      </c>
      <c r="N10" s="66"/>
      <c r="O10" s="61">
        <f>IFERROR(__xludf.DUMMYFUNCTION("IMPORTRANGE(""14Q3kZeRy11-MpTZrCBXwgONgM1L7a0GMyhOOHHOV8Qs"", ""RR3!E25"")"),152.0)</f>
        <v>152</v>
      </c>
      <c r="P10" s="26"/>
    </row>
    <row r="11">
      <c r="A11" s="86" t="s">
        <v>226</v>
      </c>
      <c r="B11" s="71">
        <f>IFERROR(__xludf.DUMMYFUNCTION("IMPORTRANGE(""1EGAJaL0bqJkoLm1uA6Zh54FOg1VvM2YJuc3PqgsQQ_w"", ""RR5!H25"")"),30.0)</f>
        <v>30</v>
      </c>
      <c r="C11" s="71">
        <f>IFERROR(__xludf.DUMMYFUNCTION("IMPORTRANGE(""1hNeAYq0ortgqvT3OlfxsodTdhYQvY130xJoCf4DjT5k"", ""RR2!H25"")"),28.0)</f>
        <v>28</v>
      </c>
      <c r="D11" s="71">
        <f>IFERROR(__xludf.DUMMYFUNCTION("IMPORTRANGE(""1hNeAYq0ortgqvT3OlfxsodTdhYQvY130xJoCf4DjT5k"", ""RR4!H25"")"),68.0)</f>
        <v>68</v>
      </c>
      <c r="E11" s="71">
        <f>IFERROR(__xludf.DUMMYFUNCTION("IMPORTRANGE(""1hNeAYq0ortgqvT3OlfxsodTdhYQvY130xJoCf4DjT5k"", ""RR1!H25"")"),62.0)</f>
        <v>62</v>
      </c>
      <c r="F11" s="71">
        <f>IFERROR(__xludf.DUMMYFUNCTION("IMPORTRANGE(""1EGAJaL0bqJkoLm1uA6Zh54FOg1VvM2YJuc3PqgsQQ_w"", ""RR3!H25"")"),42.0)</f>
        <v>42</v>
      </c>
      <c r="G11" s="87"/>
      <c r="H11" s="12"/>
      <c r="I11" s="88" t="s">
        <v>232</v>
      </c>
      <c r="J11" s="71">
        <f>IFERROR(__xludf.DUMMYFUNCTION("IMPORTRANGE(""14Q3kZeRy11-MpTZrCBXwgONgM1L7a0GMyhOOHHOV8Qs"", ""RR5!H25"")"),58.0)</f>
        <v>58</v>
      </c>
      <c r="K11" s="71">
        <f>IFERROR(__xludf.DUMMYFUNCTION("IMPORTRANGE(""1aUUfGV4_4tbeXKyEln-X6-Wzg4x2MAF27ARbdiq_9Wc"", ""RR2!H25"")"),56.0)</f>
        <v>56</v>
      </c>
      <c r="L11" s="71">
        <f>IFERROR(__xludf.DUMMYFUNCTION("IMPORTRANGE(""1aUUfGV4_4tbeXKyEln-X6-Wzg4x2MAF27ARbdiq_9Wc"", ""RR4!H25"")"),86.0)</f>
        <v>86</v>
      </c>
      <c r="M11" s="71">
        <f>IFERROR(__xludf.DUMMYFUNCTION("IMPORTRANGE(""1aUUfGV4_4tbeXKyEln-X6-Wzg4x2MAF27ARbdiq_9Wc"", ""RR1!H25"")"),42.0)</f>
        <v>42</v>
      </c>
      <c r="N11" s="71">
        <f>IFERROR(__xludf.DUMMYFUNCTION("IMPORTRANGE(""14Q3kZeRy11-MpTZrCBXwgONgM1L7a0GMyhOOHHOV8Qs"", ""RR3!H25"")"),38.0)</f>
        <v>38</v>
      </c>
      <c r="O11" s="87"/>
      <c r="P11" s="26"/>
    </row>
    <row r="12">
      <c r="A12" s="12"/>
      <c r="B12" s="12"/>
      <c r="C12" s="12"/>
      <c r="D12" s="12"/>
      <c r="E12" s="73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</row>
    <row r="13">
      <c r="A13" s="27" t="s">
        <v>140</v>
      </c>
      <c r="B13" s="15"/>
      <c r="C13" s="15"/>
      <c r="D13" s="15"/>
      <c r="E13" s="15"/>
      <c r="F13" s="15"/>
      <c r="G13" s="30"/>
      <c r="H13" s="12"/>
      <c r="I13" s="27" t="s">
        <v>170</v>
      </c>
      <c r="J13" s="15"/>
      <c r="K13" s="15"/>
      <c r="L13" s="15"/>
      <c r="M13" s="15"/>
      <c r="N13" s="15"/>
      <c r="O13" s="30"/>
      <c r="P13" s="34"/>
    </row>
    <row r="14">
      <c r="A14" s="56">
        <f>SUM(B15:G20)</f>
        <v>2270</v>
      </c>
      <c r="B14" s="47" t="s">
        <v>34</v>
      </c>
      <c r="C14" s="47" t="s">
        <v>36</v>
      </c>
      <c r="D14" s="47" t="s">
        <v>38</v>
      </c>
      <c r="E14" s="47" t="s">
        <v>40</v>
      </c>
      <c r="F14" s="47" t="s">
        <v>42</v>
      </c>
      <c r="G14" s="50" t="s">
        <v>44</v>
      </c>
      <c r="H14" s="12"/>
      <c r="I14" s="56">
        <f>SUM(J15:O20)</f>
        <v>2676</v>
      </c>
      <c r="J14" s="47" t="s">
        <v>46</v>
      </c>
      <c r="K14" s="47" t="s">
        <v>48</v>
      </c>
      <c r="L14" s="47" t="s">
        <v>50</v>
      </c>
      <c r="M14" s="47" t="s">
        <v>52</v>
      </c>
      <c r="N14" s="47" t="s">
        <v>54</v>
      </c>
      <c r="O14" s="50" t="s">
        <v>56</v>
      </c>
      <c r="P14" s="26"/>
    </row>
    <row r="15">
      <c r="A15" s="74" t="s">
        <v>243</v>
      </c>
      <c r="B15" s="66"/>
      <c r="C15" s="26">
        <f>IFERROR(__xludf.DUMMYFUNCTION("IMPORTRANGE(""1qa62mdbdWiy5RjjYdhmu0eUEb2Zcp5cejYIFG7fnrWs"", ""RR1!E25"")"),68.0)</f>
        <v>68</v>
      </c>
      <c r="D15" s="26">
        <f>IFERROR(__xludf.DUMMYFUNCTION("IMPORTRANGE(""1SCVX9W3N-siFlvX2krUw1KBMk-omHCkvy-4I4moTpWM"", ""RR2!E25"")"),88.0)</f>
        <v>88</v>
      </c>
      <c r="E15" s="26">
        <f>IFERROR(__xludf.DUMMYFUNCTION("IMPORTRANGE(""1Lo-UEbdVL-D3TuF5gEj-3AWGU8LSSjTDDeH9OM07xLM"", ""RR3!E25"")"),28.0)</f>
        <v>28</v>
      </c>
      <c r="F15" s="26">
        <f>IFERROR(__xludf.DUMMYFUNCTION("IMPORTRANGE(""1qa62mdbdWiy5RjjYdhmu0eUEb2Zcp5cejYIFG7fnrWs"", ""RR4!E25"")"),122.0)</f>
        <v>122</v>
      </c>
      <c r="G15" s="61">
        <f>IFERROR(__xludf.DUMMYFUNCTION("IMPORTRANGE(""1SCVX9W3N-siFlvX2krUw1KBMk-omHCkvy-4I4moTpWM"", ""RR5!E25"")"),48.0)</f>
        <v>48</v>
      </c>
      <c r="H15" s="12"/>
      <c r="I15" s="74" t="s">
        <v>244</v>
      </c>
      <c r="J15" s="66"/>
      <c r="K15" s="26">
        <f>IFERROR(__xludf.DUMMYFUNCTION("IMPORTRANGE(""1Ak43y8GCpe0VeJyOSmu5frUAg6HEnwknENOp_P2vusc"", ""RR1!E25"")"),8.0)</f>
        <v>8</v>
      </c>
      <c r="L15" s="26">
        <f>IFERROR(__xludf.DUMMYFUNCTION("IMPORTRANGE(""1QZzUr_MV6N6HMhICv9mBCuii7MD3z6uCvZMLFZibU6Q"", ""RR2!E25"")"),44.0)</f>
        <v>44</v>
      </c>
      <c r="M15" s="26">
        <f>IFERROR(__xludf.DUMMYFUNCTION("IMPORTRANGE(""1EzV00Mnju8SkO4Z2XZFfkboXLUXdjoqVyO6dO-P0bsc"", ""RR3!E25"")"),54.0)</f>
        <v>54</v>
      </c>
      <c r="N15" s="26">
        <f>IFERROR(__xludf.DUMMYFUNCTION("IMPORTRANGE(""1Ak43y8GCpe0VeJyOSmu5frUAg6HEnwknENOp_P2vusc"", ""RR4!E25"")"),26.0)</f>
        <v>26</v>
      </c>
      <c r="O15" s="61">
        <f>IFERROR(__xludf.DUMMYFUNCTION("IMPORTRANGE(""1QZzUr_MV6N6HMhICv9mBCuii7MD3z6uCvZMLFZibU6Q"", ""RR5!E25"")"),18.0)</f>
        <v>18</v>
      </c>
      <c r="P15" s="26"/>
    </row>
    <row r="16">
      <c r="A16" s="74" t="s">
        <v>247</v>
      </c>
      <c r="B16" s="77">
        <f>IFERROR(__xludf.DUMMYFUNCTION("IMPORTRANGE(""1qa62mdbdWiy5RjjYdhmu0eUEb2Zcp5cejYIFG7fnrWs"", ""RR1!H25"")"),124.0)</f>
        <v>124</v>
      </c>
      <c r="C16" s="66"/>
      <c r="D16" s="26">
        <f>IFERROR(__xludf.DUMMYFUNCTION("IMPORTRANGE(""1qa62mdbdWiy5RjjYdhmu0eUEb2Zcp5cejYIFG7fnrWs"", ""RR3!E25"")"),118.0)</f>
        <v>118</v>
      </c>
      <c r="E16" s="26">
        <f>IFERROR(__xludf.DUMMYFUNCTION("IMPORTRANGE(""1SCVX9W3N-siFlvX2krUw1KBMk-omHCkvy-4I4moTpWM"", ""RR4!E25"")"),170.0)</f>
        <v>170</v>
      </c>
      <c r="F16" s="26">
        <f>IFERROR(__xludf.DUMMYFUNCTION("IMPORTRANGE(""1Lo-UEbdVL-D3TuF5gEj-3AWGU8LSSjTDDeH9OM07xLM"", ""RR5!E25"")"),152.0)</f>
        <v>152</v>
      </c>
      <c r="G16" s="61">
        <f>IFERROR(__xludf.DUMMYFUNCTION("IMPORTRANGE(""1Lo-UEbdVL-D3TuF5gEj-3AWGU8LSSjTDDeH9OM07xLM"", ""RR2!E25"")"),96.0)</f>
        <v>96</v>
      </c>
      <c r="H16" s="12"/>
      <c r="I16" s="74" t="s">
        <v>249</v>
      </c>
      <c r="J16" s="77">
        <f>IFERROR(__xludf.DUMMYFUNCTION("IMPORTRANGE(""1Ak43y8GCpe0VeJyOSmu5frUAg6HEnwknENOp_P2vusc"", ""RR1!H25"")"),254.0)</f>
        <v>254</v>
      </c>
      <c r="K16" s="66"/>
      <c r="L16" s="26">
        <f>IFERROR(__xludf.DUMMYFUNCTION("IMPORTRANGE(""1Ak43y8GCpe0VeJyOSmu5frUAg6HEnwknENOp_P2vusc"", ""RR3!E25"")"),224.0)</f>
        <v>224</v>
      </c>
      <c r="M16" s="26">
        <f>IFERROR(__xludf.DUMMYFUNCTION("IMPORTRANGE(""1QZzUr_MV6N6HMhICv9mBCuii7MD3z6uCvZMLFZibU6Q"", ""RR4!E25"")"),250.0)</f>
        <v>250</v>
      </c>
      <c r="N16" s="26">
        <f>IFERROR(__xludf.DUMMYFUNCTION("IMPORTRANGE(""1EzV00Mnju8SkO4Z2XZFfkboXLUXdjoqVyO6dO-P0bsc"", ""RR5!E25"")"),222.0)</f>
        <v>222</v>
      </c>
      <c r="O16" s="61">
        <f>IFERROR(__xludf.DUMMYFUNCTION("IMPORTRANGE(""1EzV00Mnju8SkO4Z2XZFfkboXLUXdjoqVyO6dO-P0bsc"", ""RR2!E25"")"),224.0)</f>
        <v>224</v>
      </c>
      <c r="P16" s="26"/>
    </row>
    <row r="17">
      <c r="A17" s="74" t="s">
        <v>250</v>
      </c>
      <c r="B17" s="26">
        <f>IFERROR(__xludf.DUMMYFUNCTION("IMPORTRANGE(""1SCVX9W3N-siFlvX2krUw1KBMk-omHCkvy-4I4moTpWM"", ""RR2!H25"")"),24.0)</f>
        <v>24</v>
      </c>
      <c r="C17" s="26">
        <f>IFERROR(__xludf.DUMMYFUNCTION("IMPORTRANGE(""1qa62mdbdWiy5RjjYdhmu0eUEb2Zcp5cejYIFG7fnrWs"", ""RR3!H25"")"),24.0)</f>
        <v>24</v>
      </c>
      <c r="D17" s="66"/>
      <c r="E17" s="26">
        <f>IFERROR(__xludf.DUMMYFUNCTION("IMPORTRANGE(""1qa62mdbdWiy5RjjYdhmu0eUEb2Zcp5cejYIFG7fnrWs"", ""RR5!E25"")"),20.0)</f>
        <v>20</v>
      </c>
      <c r="F17" s="26">
        <f>IFERROR(__xludf.DUMMYFUNCTION("IMPORTRANGE(""1SCVX9W3N-siFlvX2krUw1KBMk-omHCkvy-4I4moTpWM"", ""RR1!E25"")"),24.0)</f>
        <v>24</v>
      </c>
      <c r="G17" s="61">
        <f>IFERROR(__xludf.DUMMYFUNCTION("IMPORTRANGE(""1Lo-UEbdVL-D3TuF5gEj-3AWGU8LSSjTDDeH9OM07xLM"", ""RR4!E25"")"),46.0)</f>
        <v>46</v>
      </c>
      <c r="H17" s="12"/>
      <c r="I17" s="74" t="s">
        <v>253</v>
      </c>
      <c r="J17" s="26">
        <f>IFERROR(__xludf.DUMMYFUNCTION("IMPORTRANGE(""1QZzUr_MV6N6HMhICv9mBCuii7MD3z6uCvZMLFZibU6Q"", ""RR2!H25"")"),88.0)</f>
        <v>88</v>
      </c>
      <c r="K17" s="26">
        <f>IFERROR(__xludf.DUMMYFUNCTION("IMPORTRANGE(""1Ak43y8GCpe0VeJyOSmu5frUAg6HEnwknENOp_P2vusc"", ""RR3!H25"")"),4.0)</f>
        <v>4</v>
      </c>
      <c r="L17" s="66"/>
      <c r="M17" s="26">
        <f>IFERROR(__xludf.DUMMYFUNCTION("IMPORTRANGE(""1Ak43y8GCpe0VeJyOSmu5frUAg6HEnwknENOp_P2vusc"", ""RR5!E25"")"),58.0)</f>
        <v>58</v>
      </c>
      <c r="N17" s="26">
        <f>IFERROR(__xludf.DUMMYFUNCTION("IMPORTRANGE(""1QZzUr_MV6N6HMhICv9mBCuii7MD3z6uCvZMLFZibU6Q"", ""RR1!E25"")"),46.0)</f>
        <v>46</v>
      </c>
      <c r="O17" s="61">
        <f>IFERROR(__xludf.DUMMYFUNCTION("IMPORTRANGE(""1EzV00Mnju8SkO4Z2XZFfkboXLUXdjoqVyO6dO-P0bsc"", ""RR4!E25"")"),52.0)</f>
        <v>52</v>
      </c>
      <c r="P17" s="26"/>
    </row>
    <row r="18">
      <c r="A18" s="74" t="s">
        <v>255</v>
      </c>
      <c r="B18" s="26">
        <f>IFERROR(__xludf.DUMMYFUNCTION("IMPORTRANGE(""1Lo-UEbdVL-D3TuF5gEj-3AWGU8LSSjTDDeH9OM07xLM"", ""RR3!H25"")"),62.0)</f>
        <v>62</v>
      </c>
      <c r="C18" s="26">
        <f>IFERROR(__xludf.DUMMYFUNCTION("IMPORTRANGE(""1SCVX9W3N-siFlvX2krUw1KBMk-omHCkvy-4I4moTpWM"", ""RR4!H25"")"),26.0)</f>
        <v>26</v>
      </c>
      <c r="D18" s="26">
        <f>IFERROR(__xludf.DUMMYFUNCTION("IMPORTRANGE(""1qa62mdbdWiy5RjjYdhmu0eUEb2Zcp5cejYIFG7fnrWs"", ""RR5!H25"")"),56.0)</f>
        <v>56</v>
      </c>
      <c r="E18" s="66"/>
      <c r="F18" s="26">
        <f>IFERROR(__xludf.DUMMYFUNCTION("IMPORTRANGE(""1qa62mdbdWiy5RjjYdhmu0eUEb2Zcp5cejYIFG7fnrWs"", ""RR2!E25"")"),26.0)</f>
        <v>26</v>
      </c>
      <c r="G18" s="61">
        <f>IFERROR(__xludf.DUMMYFUNCTION("IMPORTRANGE(""1Lo-UEbdVL-D3TuF5gEj-3AWGU8LSSjTDDeH9OM07xLM"", ""RR1!E25"")"),48.0)</f>
        <v>48</v>
      </c>
      <c r="H18" s="12"/>
      <c r="I18" s="74" t="s">
        <v>257</v>
      </c>
      <c r="J18" s="26">
        <f>IFERROR(__xludf.DUMMYFUNCTION("IMPORTRANGE(""1EzV00Mnju8SkO4Z2XZFfkboXLUXdjoqVyO6dO-P0bsc"", ""RR3!H25"")"),58.0)</f>
        <v>58</v>
      </c>
      <c r="K18" s="26">
        <f>IFERROR(__xludf.DUMMYFUNCTION("IMPORTRANGE(""1QZzUr_MV6N6HMhICv9mBCuii7MD3z6uCvZMLFZibU6Q"", ""RR4!H25"")"),8.0)</f>
        <v>8</v>
      </c>
      <c r="L18" s="26">
        <f>IFERROR(__xludf.DUMMYFUNCTION("IMPORTRANGE(""1Ak43y8GCpe0VeJyOSmu5frUAg6HEnwknENOp_P2vusc"", ""RR5!H25"")"),18.0)</f>
        <v>18</v>
      </c>
      <c r="M18" s="66"/>
      <c r="N18" s="26">
        <f>IFERROR(__xludf.DUMMYFUNCTION("IMPORTRANGE(""1Ak43y8GCpe0VeJyOSmu5frUAg6HEnwknENOp_P2vusc"", ""RR2!E25"")"),40.0)</f>
        <v>40</v>
      </c>
      <c r="O18" s="61">
        <f>IFERROR(__xludf.DUMMYFUNCTION("IMPORTRANGE(""1EzV00Mnju8SkO4Z2XZFfkboXLUXdjoqVyO6dO-P0bsc"", ""RR1!E25"")"),58.0)</f>
        <v>58</v>
      </c>
      <c r="P18" s="26"/>
    </row>
    <row r="19">
      <c r="A19" s="74" t="s">
        <v>259</v>
      </c>
      <c r="B19" s="26">
        <f>IFERROR(__xludf.DUMMYFUNCTION("IMPORTRANGE(""1qa62mdbdWiy5RjjYdhmu0eUEb2Zcp5cejYIFG7fnrWs"", ""RR4!H25"")"),22.0)</f>
        <v>22</v>
      </c>
      <c r="C19" s="26">
        <f>IFERROR(__xludf.DUMMYFUNCTION("IMPORTRANGE(""1Lo-UEbdVL-D3TuF5gEj-3AWGU8LSSjTDDeH9OM07xLM"", ""RR5!H25"")"),8.0)</f>
        <v>8</v>
      </c>
      <c r="D19" s="26">
        <f>IFERROR(__xludf.DUMMYFUNCTION("IMPORTRANGE(""1SCVX9W3N-siFlvX2krUw1KBMk-omHCkvy-4I4moTpWM"", ""RR1!H25"")"),22.0)</f>
        <v>22</v>
      </c>
      <c r="E19" s="26">
        <f>IFERROR(__xludf.DUMMYFUNCTION("IMPORTRANGE(""1qa62mdbdWiy5RjjYdhmu0eUEb2Zcp5cejYIFG7fnrWs"", ""RR2!H25"")"),34.0)</f>
        <v>34</v>
      </c>
      <c r="F19" s="66"/>
      <c r="G19" s="61">
        <f>IFERROR(__xludf.DUMMYFUNCTION("IMPORTRANGE(""1SCVX9W3N-siFlvX2krUw1KBMk-omHCkvy-4I4moTpWM"", ""RR3!E25"")"),38.0)</f>
        <v>38</v>
      </c>
      <c r="H19" s="12"/>
      <c r="I19" s="74" t="s">
        <v>261</v>
      </c>
      <c r="J19" s="26">
        <f>IFERROR(__xludf.DUMMYFUNCTION("IMPORTRANGE(""1Ak43y8GCpe0VeJyOSmu5frUAg6HEnwknENOp_P2vusc"", ""RR4!H25"")"),68.0)</f>
        <v>68</v>
      </c>
      <c r="K19" s="26">
        <f>IFERROR(__xludf.DUMMYFUNCTION("IMPORTRANGE(""1EzV00Mnju8SkO4Z2XZFfkboXLUXdjoqVyO6dO-P0bsc"", ""RR5!H25"")"),46.0)</f>
        <v>46</v>
      </c>
      <c r="L19" s="26">
        <f>IFERROR(__xludf.DUMMYFUNCTION("IMPORTRANGE(""1QZzUr_MV6N6HMhICv9mBCuii7MD3z6uCvZMLFZibU6Q"", ""RR1!H25"")"),100.0)</f>
        <v>100</v>
      </c>
      <c r="M19" s="26">
        <f>IFERROR(__xludf.DUMMYFUNCTION("IMPORTRANGE(""1Ak43y8GCpe0VeJyOSmu5frUAg6HEnwknENOp_P2vusc"", ""RR2!H25"")"),68.0)</f>
        <v>68</v>
      </c>
      <c r="N19" s="66"/>
      <c r="O19" s="61">
        <f>IFERROR(__xludf.DUMMYFUNCTION("IMPORTRANGE(""1QZzUr_MV6N6HMhICv9mBCuii7MD3z6uCvZMLFZibU6Q"", ""RR3!E25"")"),40.0)</f>
        <v>40</v>
      </c>
      <c r="P19" s="26"/>
    </row>
    <row r="20">
      <c r="A20" s="88" t="s">
        <v>262</v>
      </c>
      <c r="B20" s="71">
        <f>IFERROR(__xludf.DUMMYFUNCTION("IMPORTRANGE(""1SCVX9W3N-siFlvX2krUw1KBMk-omHCkvy-4I4moTpWM"", ""RR5!H25"")"),168.0)</f>
        <v>168</v>
      </c>
      <c r="C20" s="71">
        <f>IFERROR(__xludf.DUMMYFUNCTION("IMPORTRANGE(""1Lo-UEbdVL-D3TuF5gEj-3AWGU8LSSjTDDeH9OM07xLM"", ""RR2!H25"")"),126.0)</f>
        <v>126</v>
      </c>
      <c r="D20" s="71">
        <f>IFERROR(__xludf.DUMMYFUNCTION("IMPORTRANGE(""1Lo-UEbdVL-D3TuF5gEj-3AWGU8LSSjTDDeH9OM07xLM"", ""RR4!H25"")"),160.0)</f>
        <v>160</v>
      </c>
      <c r="E20" s="71">
        <f>IFERROR(__xludf.DUMMYFUNCTION("IMPORTRANGE(""1Lo-UEbdVL-D3TuF5gEj-3AWGU8LSSjTDDeH9OM07xLM"", ""RR1!H25"")"),136.0)</f>
        <v>136</v>
      </c>
      <c r="F20" s="71">
        <f>IFERROR(__xludf.DUMMYFUNCTION("IMPORTRANGE(""1SCVX9W3N-siFlvX2krUw1KBMk-omHCkvy-4I4moTpWM"", ""RR3!H25"")"),186.0)</f>
        <v>186</v>
      </c>
      <c r="G20" s="87"/>
      <c r="H20" s="12"/>
      <c r="I20" s="88" t="s">
        <v>263</v>
      </c>
      <c r="J20" s="71">
        <f>IFERROR(__xludf.DUMMYFUNCTION("IMPORTRANGE(""1QZzUr_MV6N6HMhICv9mBCuii7MD3z6uCvZMLFZibU6Q"", ""RR5!H25"")"),134.0)</f>
        <v>134</v>
      </c>
      <c r="K20" s="71">
        <f>IFERROR(__xludf.DUMMYFUNCTION("IMPORTRANGE(""1EzV00Mnju8SkO4Z2XZFfkboXLUXdjoqVyO6dO-P0bsc"", ""RR2!H25"")"),54.0)</f>
        <v>54</v>
      </c>
      <c r="L20" s="71">
        <f>IFERROR(__xludf.DUMMYFUNCTION("IMPORTRANGE(""1EzV00Mnju8SkO4Z2XZFfkboXLUXdjoqVyO6dO-P0bsc"", ""RR4!H25"")"),106.0)</f>
        <v>106</v>
      </c>
      <c r="M20" s="71">
        <f>IFERROR(__xludf.DUMMYFUNCTION("IMPORTRANGE(""1EzV00Mnju8SkO4Z2XZFfkboXLUXdjoqVyO6dO-P0bsc"", ""RR1!H25"")"),122.0)</f>
        <v>122</v>
      </c>
      <c r="N20" s="71">
        <f>IFERROR(__xludf.DUMMYFUNCTION("IMPORTRANGE(""1QZzUr_MV6N6HMhICv9mBCuii7MD3z6uCvZMLFZibU6Q"", ""RR3!H25"")"),184.0)</f>
        <v>184</v>
      </c>
      <c r="O20" s="87"/>
      <c r="P20" s="26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</row>
    <row r="22">
      <c r="A22" s="18"/>
      <c r="H22" s="12"/>
      <c r="I22" s="18"/>
      <c r="P22" s="18"/>
    </row>
    <row r="23">
      <c r="A23" s="93"/>
      <c r="B23" s="94"/>
      <c r="C23" s="94"/>
      <c r="D23" s="94"/>
      <c r="E23" s="94"/>
      <c r="F23" s="94"/>
      <c r="G23" s="94"/>
      <c r="H23" s="12"/>
      <c r="I23" s="12"/>
      <c r="J23" s="94"/>
      <c r="K23" s="94"/>
      <c r="L23" s="94"/>
      <c r="M23" s="94"/>
      <c r="N23" s="94"/>
      <c r="O23" s="94"/>
      <c r="P23" s="94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</row>
    <row r="31">
      <c r="A31" s="18"/>
      <c r="H31" s="12"/>
      <c r="I31" s="95"/>
      <c r="J31" s="95"/>
      <c r="K31" s="95"/>
      <c r="L31" s="95"/>
      <c r="M31" s="95"/>
      <c r="N31" s="95"/>
      <c r="O31" s="95"/>
      <c r="P31" s="95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</row>
  </sheetData>
  <mergeCells count="9">
    <mergeCell ref="A22:G22"/>
    <mergeCell ref="A31:G31"/>
    <mergeCell ref="A1:O1"/>
    <mergeCell ref="A2:O2"/>
    <mergeCell ref="A4:G4"/>
    <mergeCell ref="I4:O4"/>
    <mergeCell ref="A13:G13"/>
    <mergeCell ref="I13:O13"/>
    <mergeCell ref="I22:O22"/>
  </mergeCells>
  <conditionalFormatting sqref="B7">
    <cfRule type="cellIs" dxfId="0" priority="1" operator="greaterThan">
      <formula>C6</formula>
    </cfRule>
  </conditionalFormatting>
  <conditionalFormatting sqref="B7">
    <cfRule type="cellIs" dxfId="1" priority="2" operator="equal">
      <formula>C6</formula>
    </cfRule>
  </conditionalFormatting>
  <conditionalFormatting sqref="D6">
    <cfRule type="cellIs" dxfId="0" priority="3" operator="greaterThan">
      <formula>B8</formula>
    </cfRule>
  </conditionalFormatting>
  <conditionalFormatting sqref="C6">
    <cfRule type="cellIs" dxfId="0" priority="4" operator="greaterThan">
      <formula>B7</formula>
    </cfRule>
  </conditionalFormatting>
  <conditionalFormatting sqref="C6">
    <cfRule type="cellIs" dxfId="1" priority="5" operator="equal">
      <formula>B7</formula>
    </cfRule>
  </conditionalFormatting>
  <conditionalFormatting sqref="D6">
    <cfRule type="cellIs" dxfId="1" priority="6" operator="equal">
      <formula>B8</formula>
    </cfRule>
  </conditionalFormatting>
  <conditionalFormatting sqref="E6">
    <cfRule type="cellIs" dxfId="1" priority="7" operator="equal">
      <formula>B9</formula>
    </cfRule>
  </conditionalFormatting>
  <conditionalFormatting sqref="F6">
    <cfRule type="cellIs" dxfId="1" priority="8" operator="equal">
      <formula>B10</formula>
    </cfRule>
  </conditionalFormatting>
  <conditionalFormatting sqref="G6">
    <cfRule type="cellIs" dxfId="1" priority="9" operator="equal">
      <formula>B11</formula>
    </cfRule>
  </conditionalFormatting>
  <conditionalFormatting sqref="D7">
    <cfRule type="cellIs" dxfId="1" priority="10" operator="equal">
      <formula>C8</formula>
    </cfRule>
  </conditionalFormatting>
  <conditionalFormatting sqref="E7">
    <cfRule type="cellIs" dxfId="1" priority="11" operator="equal">
      <formula>C9</formula>
    </cfRule>
  </conditionalFormatting>
  <conditionalFormatting sqref="F7">
    <cfRule type="cellIs" dxfId="1" priority="12" operator="equal">
      <formula>C10</formula>
    </cfRule>
  </conditionalFormatting>
  <conditionalFormatting sqref="G7">
    <cfRule type="cellIs" dxfId="1" priority="13" operator="equal">
      <formula>C11</formula>
    </cfRule>
  </conditionalFormatting>
  <conditionalFormatting sqref="B8">
    <cfRule type="cellIs" dxfId="1" priority="14" operator="equal">
      <formula>D6</formula>
    </cfRule>
  </conditionalFormatting>
  <conditionalFormatting sqref="C8">
    <cfRule type="cellIs" dxfId="1" priority="15" operator="equal">
      <formula>D7</formula>
    </cfRule>
  </conditionalFormatting>
  <conditionalFormatting sqref="E8">
    <cfRule type="cellIs" dxfId="1" priority="16" operator="equal">
      <formula>D9</formula>
    </cfRule>
  </conditionalFormatting>
  <conditionalFormatting sqref="F8">
    <cfRule type="cellIs" dxfId="2" priority="17" operator="equal">
      <formula>D10</formula>
    </cfRule>
  </conditionalFormatting>
  <conditionalFormatting sqref="G8">
    <cfRule type="cellIs" dxfId="1" priority="18" operator="equal">
      <formula>D11</formula>
    </cfRule>
  </conditionalFormatting>
  <conditionalFormatting sqref="B9">
    <cfRule type="cellIs" dxfId="1" priority="19" operator="equal">
      <formula>E6</formula>
    </cfRule>
  </conditionalFormatting>
  <conditionalFormatting sqref="C9">
    <cfRule type="cellIs" dxfId="1" priority="20" operator="equal">
      <formula>E7</formula>
    </cfRule>
  </conditionalFormatting>
  <conditionalFormatting sqref="D9">
    <cfRule type="cellIs" dxfId="1" priority="21" operator="equal">
      <formula>E8</formula>
    </cfRule>
  </conditionalFormatting>
  <conditionalFormatting sqref="F9">
    <cfRule type="cellIs" dxfId="1" priority="22" operator="equal">
      <formula>E10</formula>
    </cfRule>
  </conditionalFormatting>
  <conditionalFormatting sqref="G9">
    <cfRule type="cellIs" dxfId="1" priority="23" operator="equal">
      <formula>E11</formula>
    </cfRule>
  </conditionalFormatting>
  <conditionalFormatting sqref="B10">
    <cfRule type="cellIs" dxfId="1" priority="24" operator="equal">
      <formula>F6</formula>
    </cfRule>
  </conditionalFormatting>
  <conditionalFormatting sqref="C10">
    <cfRule type="cellIs" dxfId="1" priority="25" operator="equal">
      <formula>F7</formula>
    </cfRule>
  </conditionalFormatting>
  <conditionalFormatting sqref="D10">
    <cfRule type="cellIs" dxfId="1" priority="26" operator="equal">
      <formula>F8</formula>
    </cfRule>
  </conditionalFormatting>
  <conditionalFormatting sqref="E10">
    <cfRule type="cellIs" dxfId="1" priority="27" operator="equal">
      <formula>F9</formula>
    </cfRule>
  </conditionalFormatting>
  <conditionalFormatting sqref="G10">
    <cfRule type="cellIs" dxfId="1" priority="28" operator="equal">
      <formula>F11</formula>
    </cfRule>
  </conditionalFormatting>
  <conditionalFormatting sqref="B11">
    <cfRule type="cellIs" dxfId="1" priority="29" operator="equal">
      <formula>G6</formula>
    </cfRule>
  </conditionalFormatting>
  <conditionalFormatting sqref="C11">
    <cfRule type="cellIs" dxfId="1" priority="30" operator="equal">
      <formula>G7</formula>
    </cfRule>
  </conditionalFormatting>
  <conditionalFormatting sqref="D11">
    <cfRule type="cellIs" dxfId="1" priority="31" operator="equal">
      <formula>G8</formula>
    </cfRule>
  </conditionalFormatting>
  <conditionalFormatting sqref="E11">
    <cfRule type="cellIs" dxfId="1" priority="32" operator="equal">
      <formula>G9</formula>
    </cfRule>
  </conditionalFormatting>
  <conditionalFormatting sqref="F11">
    <cfRule type="cellIs" dxfId="1" priority="33" operator="equal">
      <formula>G10</formula>
    </cfRule>
  </conditionalFormatting>
  <conditionalFormatting sqref="K6">
    <cfRule type="cellIs" dxfId="1" priority="34" operator="equal">
      <formula>J7</formula>
    </cfRule>
  </conditionalFormatting>
  <conditionalFormatting sqref="L6">
    <cfRule type="cellIs" dxfId="1" priority="35" operator="equal">
      <formula>J8</formula>
    </cfRule>
  </conditionalFormatting>
  <conditionalFormatting sqref="M6">
    <cfRule type="cellIs" dxfId="1" priority="36" operator="equal">
      <formula>J9</formula>
    </cfRule>
  </conditionalFormatting>
  <conditionalFormatting sqref="N6">
    <cfRule type="cellIs" dxfId="1" priority="37" operator="equal">
      <formula>J10</formula>
    </cfRule>
  </conditionalFormatting>
  <conditionalFormatting sqref="P6:P20">
    <cfRule type="containsBlanks" dxfId="3" priority="38">
      <formula>LEN(TRIM(P6))=0</formula>
    </cfRule>
  </conditionalFormatting>
  <conditionalFormatting sqref="O6 P6:P11">
    <cfRule type="cellIs" dxfId="1" priority="39" operator="equal">
      <formula>J11</formula>
    </cfRule>
  </conditionalFormatting>
  <conditionalFormatting sqref="J7">
    <cfRule type="cellIs" dxfId="1" priority="40" operator="equal">
      <formula>K6</formula>
    </cfRule>
  </conditionalFormatting>
  <conditionalFormatting sqref="L7">
    <cfRule type="cellIs" dxfId="1" priority="41" operator="equal">
      <formula>K8</formula>
    </cfRule>
  </conditionalFormatting>
  <conditionalFormatting sqref="M7">
    <cfRule type="cellIs" dxfId="1" priority="42" operator="equal">
      <formula>K9</formula>
    </cfRule>
  </conditionalFormatting>
  <conditionalFormatting sqref="N7">
    <cfRule type="cellIs" dxfId="1" priority="43" operator="equal">
      <formula>K10</formula>
    </cfRule>
  </conditionalFormatting>
  <conditionalFormatting sqref="O7:P7">
    <cfRule type="cellIs" dxfId="1" priority="44" operator="equal">
      <formula>K11</formula>
    </cfRule>
  </conditionalFormatting>
  <conditionalFormatting sqref="J8">
    <cfRule type="cellIs" dxfId="1" priority="45" operator="equal">
      <formula>L6</formula>
    </cfRule>
  </conditionalFormatting>
  <conditionalFormatting sqref="K8">
    <cfRule type="cellIs" dxfId="1" priority="46" operator="equal">
      <formula>L7</formula>
    </cfRule>
  </conditionalFormatting>
  <conditionalFormatting sqref="M8">
    <cfRule type="cellIs" dxfId="1" priority="47" operator="equal">
      <formula>L9</formula>
    </cfRule>
  </conditionalFormatting>
  <conditionalFormatting sqref="N8">
    <cfRule type="cellIs" dxfId="1" priority="48" operator="equal">
      <formula>L10</formula>
    </cfRule>
  </conditionalFormatting>
  <conditionalFormatting sqref="O8:P8">
    <cfRule type="cellIs" dxfId="1" priority="49" operator="equal">
      <formula>L11</formula>
    </cfRule>
  </conditionalFormatting>
  <conditionalFormatting sqref="J9">
    <cfRule type="cellIs" dxfId="1" priority="50" operator="equal">
      <formula>M6</formula>
    </cfRule>
  </conditionalFormatting>
  <conditionalFormatting sqref="K9">
    <cfRule type="cellIs" dxfId="1" priority="51" operator="equal">
      <formula>M7</formula>
    </cfRule>
  </conditionalFormatting>
  <conditionalFormatting sqref="L9">
    <cfRule type="cellIs" dxfId="1" priority="52" operator="equal">
      <formula>M8</formula>
    </cfRule>
  </conditionalFormatting>
  <conditionalFormatting sqref="N9">
    <cfRule type="cellIs" dxfId="1" priority="53" operator="equal">
      <formula>M10</formula>
    </cfRule>
  </conditionalFormatting>
  <conditionalFormatting sqref="O9:P9">
    <cfRule type="cellIs" dxfId="1" priority="54" operator="equal">
      <formula>M11</formula>
    </cfRule>
  </conditionalFormatting>
  <conditionalFormatting sqref="J10">
    <cfRule type="cellIs" dxfId="1" priority="55" operator="equal">
      <formula>N6</formula>
    </cfRule>
  </conditionalFormatting>
  <conditionalFormatting sqref="K10">
    <cfRule type="cellIs" dxfId="1" priority="56" operator="equal">
      <formula>N7</formula>
    </cfRule>
  </conditionalFormatting>
  <conditionalFormatting sqref="L10">
    <cfRule type="cellIs" dxfId="1" priority="57" operator="equal">
      <formula>N8</formula>
    </cfRule>
  </conditionalFormatting>
  <conditionalFormatting sqref="M10">
    <cfRule type="cellIs" dxfId="1" priority="58" operator="equal">
      <formula>N9</formula>
    </cfRule>
  </conditionalFormatting>
  <conditionalFormatting sqref="O10:P10">
    <cfRule type="cellIs" dxfId="1" priority="59" operator="equal">
      <formula>N11</formula>
    </cfRule>
  </conditionalFormatting>
  <conditionalFormatting sqref="J11">
    <cfRule type="cellIs" dxfId="1" priority="60" operator="equal">
      <formula>O6</formula>
    </cfRule>
  </conditionalFormatting>
  <conditionalFormatting sqref="K11">
    <cfRule type="cellIs" dxfId="1" priority="61" operator="equal">
      <formula>O7</formula>
    </cfRule>
  </conditionalFormatting>
  <conditionalFormatting sqref="L11">
    <cfRule type="cellIs" dxfId="1" priority="62" operator="equal">
      <formula>O8</formula>
    </cfRule>
  </conditionalFormatting>
  <conditionalFormatting sqref="M11">
    <cfRule type="cellIs" dxfId="1" priority="63" operator="equal">
      <formula>O9</formula>
    </cfRule>
  </conditionalFormatting>
  <conditionalFormatting sqref="N11">
    <cfRule type="cellIs" dxfId="1" priority="64" operator="equal">
      <formula>O10</formula>
    </cfRule>
  </conditionalFormatting>
  <conditionalFormatting sqref="E6">
    <cfRule type="cellIs" dxfId="0" priority="65" operator="greaterThan">
      <formula>B9</formula>
    </cfRule>
  </conditionalFormatting>
  <conditionalFormatting sqref="F6">
    <cfRule type="cellIs" dxfId="0" priority="66" operator="greaterThan">
      <formula>B10</formula>
    </cfRule>
  </conditionalFormatting>
  <conditionalFormatting sqref="G6">
    <cfRule type="cellIs" dxfId="0" priority="67" operator="greaterThan">
      <formula>B11</formula>
    </cfRule>
  </conditionalFormatting>
  <conditionalFormatting sqref="D7">
    <cfRule type="cellIs" dxfId="0" priority="68" operator="greaterThan">
      <formula>C8</formula>
    </cfRule>
  </conditionalFormatting>
  <conditionalFormatting sqref="E7">
    <cfRule type="cellIs" dxfId="0" priority="69" operator="greaterThan">
      <formula>C9</formula>
    </cfRule>
  </conditionalFormatting>
  <conditionalFormatting sqref="F7">
    <cfRule type="cellIs" dxfId="0" priority="70" operator="greaterThan">
      <formula>C10</formula>
    </cfRule>
  </conditionalFormatting>
  <conditionalFormatting sqref="G7">
    <cfRule type="cellIs" dxfId="0" priority="71" operator="greaterThan">
      <formula>C11</formula>
    </cfRule>
  </conditionalFormatting>
  <conditionalFormatting sqref="B8">
    <cfRule type="cellIs" dxfId="0" priority="72" operator="greaterThan">
      <formula>D6</formula>
    </cfRule>
  </conditionalFormatting>
  <conditionalFormatting sqref="C8">
    <cfRule type="cellIs" dxfId="0" priority="73" operator="greaterThan">
      <formula>D7</formula>
    </cfRule>
  </conditionalFormatting>
  <conditionalFormatting sqref="E8">
    <cfRule type="cellIs" dxfId="0" priority="74" operator="greaterThan">
      <formula>D9</formula>
    </cfRule>
  </conditionalFormatting>
  <conditionalFormatting sqref="F8">
    <cfRule type="cellIs" dxfId="0" priority="75" operator="greaterThan">
      <formula>D10</formula>
    </cfRule>
  </conditionalFormatting>
  <conditionalFormatting sqref="G8">
    <cfRule type="cellIs" dxfId="0" priority="76" operator="greaterThan">
      <formula>D11</formula>
    </cfRule>
  </conditionalFormatting>
  <conditionalFormatting sqref="B9">
    <cfRule type="cellIs" dxfId="0" priority="77" operator="greaterThan">
      <formula>E6</formula>
    </cfRule>
  </conditionalFormatting>
  <conditionalFormatting sqref="C9">
    <cfRule type="cellIs" dxfId="0" priority="78" operator="greaterThan">
      <formula>E7</formula>
    </cfRule>
  </conditionalFormatting>
  <conditionalFormatting sqref="D9">
    <cfRule type="cellIs" dxfId="0" priority="79" operator="greaterThan">
      <formula>E8</formula>
    </cfRule>
  </conditionalFormatting>
  <conditionalFormatting sqref="F9">
    <cfRule type="cellIs" dxfId="0" priority="80" operator="greaterThan">
      <formula>E10</formula>
    </cfRule>
  </conditionalFormatting>
  <conditionalFormatting sqref="G9">
    <cfRule type="cellIs" dxfId="0" priority="81" operator="greaterThan">
      <formula>E11</formula>
    </cfRule>
  </conditionalFormatting>
  <conditionalFormatting sqref="B10">
    <cfRule type="cellIs" dxfId="0" priority="82" operator="greaterThan">
      <formula>F6</formula>
    </cfRule>
  </conditionalFormatting>
  <conditionalFormatting sqref="C10">
    <cfRule type="cellIs" dxfId="0" priority="83" operator="greaterThan">
      <formula>F7</formula>
    </cfRule>
  </conditionalFormatting>
  <conditionalFormatting sqref="D10">
    <cfRule type="cellIs" dxfId="0" priority="84" operator="greaterThan">
      <formula>F8</formula>
    </cfRule>
  </conditionalFormatting>
  <conditionalFormatting sqref="E10">
    <cfRule type="cellIs" dxfId="0" priority="85" operator="greaterThan">
      <formula>F9</formula>
    </cfRule>
  </conditionalFormatting>
  <conditionalFormatting sqref="G10">
    <cfRule type="cellIs" dxfId="0" priority="86" operator="greaterThan">
      <formula>F11</formula>
    </cfRule>
  </conditionalFormatting>
  <conditionalFormatting sqref="B11">
    <cfRule type="cellIs" dxfId="0" priority="87" operator="greaterThan">
      <formula>G6</formula>
    </cfRule>
  </conditionalFormatting>
  <conditionalFormatting sqref="C11">
    <cfRule type="cellIs" dxfId="0" priority="88" operator="greaterThan">
      <formula>G7</formula>
    </cfRule>
  </conditionalFormatting>
  <conditionalFormatting sqref="D11">
    <cfRule type="cellIs" dxfId="0" priority="89" operator="greaterThan">
      <formula>G8</formula>
    </cfRule>
  </conditionalFormatting>
  <conditionalFormatting sqref="E11">
    <cfRule type="cellIs" dxfId="0" priority="90" operator="greaterThan">
      <formula>G9</formula>
    </cfRule>
  </conditionalFormatting>
  <conditionalFormatting sqref="F11">
    <cfRule type="cellIs" dxfId="0" priority="91" operator="greaterThan">
      <formula>G10</formula>
    </cfRule>
  </conditionalFormatting>
  <conditionalFormatting sqref="K6">
    <cfRule type="cellIs" dxfId="0" priority="92" operator="greaterThan">
      <formula>J7</formula>
    </cfRule>
  </conditionalFormatting>
  <conditionalFormatting sqref="L6">
    <cfRule type="cellIs" dxfId="0" priority="93" operator="greaterThan">
      <formula>J8</formula>
    </cfRule>
  </conditionalFormatting>
  <conditionalFormatting sqref="M6">
    <cfRule type="cellIs" dxfId="0" priority="94" operator="greaterThan">
      <formula>J9</formula>
    </cfRule>
  </conditionalFormatting>
  <conditionalFormatting sqref="N6">
    <cfRule type="cellIs" dxfId="0" priority="95" operator="greaterThan">
      <formula>J10</formula>
    </cfRule>
  </conditionalFormatting>
  <conditionalFormatting sqref="O6 P6:P11">
    <cfRule type="cellIs" dxfId="0" priority="96" operator="greaterThan">
      <formula>J11</formula>
    </cfRule>
  </conditionalFormatting>
  <conditionalFormatting sqref="J7">
    <cfRule type="cellIs" dxfId="0" priority="97" operator="greaterThan">
      <formula>K6</formula>
    </cfRule>
  </conditionalFormatting>
  <conditionalFormatting sqref="L7">
    <cfRule type="cellIs" dxfId="0" priority="98" operator="greaterThan">
      <formula>K8</formula>
    </cfRule>
  </conditionalFormatting>
  <conditionalFormatting sqref="M7">
    <cfRule type="cellIs" dxfId="0" priority="99" operator="greaterThan">
      <formula>K9</formula>
    </cfRule>
  </conditionalFormatting>
  <conditionalFormatting sqref="N7">
    <cfRule type="cellIs" dxfId="0" priority="100" operator="greaterThan">
      <formula>K10</formula>
    </cfRule>
  </conditionalFormatting>
  <conditionalFormatting sqref="O7:P7">
    <cfRule type="cellIs" dxfId="0" priority="101" operator="greaterThan">
      <formula>K11</formula>
    </cfRule>
  </conditionalFormatting>
  <conditionalFormatting sqref="J8">
    <cfRule type="cellIs" dxfId="0" priority="102" operator="greaterThan">
      <formula>L6</formula>
    </cfRule>
  </conditionalFormatting>
  <conditionalFormatting sqref="K8">
    <cfRule type="cellIs" dxfId="0" priority="103" operator="greaterThan">
      <formula>L7</formula>
    </cfRule>
  </conditionalFormatting>
  <conditionalFormatting sqref="M8">
    <cfRule type="cellIs" dxfId="0" priority="104" operator="greaterThan">
      <formula>L9</formula>
    </cfRule>
  </conditionalFormatting>
  <conditionalFormatting sqref="N8">
    <cfRule type="cellIs" dxfId="0" priority="105" operator="greaterThan">
      <formula>L10</formula>
    </cfRule>
  </conditionalFormatting>
  <conditionalFormatting sqref="O8:P8">
    <cfRule type="cellIs" dxfId="0" priority="106" operator="greaterThan">
      <formula>L11</formula>
    </cfRule>
  </conditionalFormatting>
  <conditionalFormatting sqref="J9">
    <cfRule type="cellIs" dxfId="0" priority="107" operator="greaterThan">
      <formula>M6</formula>
    </cfRule>
  </conditionalFormatting>
  <conditionalFormatting sqref="K9">
    <cfRule type="cellIs" dxfId="0" priority="108" operator="greaterThan">
      <formula>M7</formula>
    </cfRule>
  </conditionalFormatting>
  <conditionalFormatting sqref="L9">
    <cfRule type="cellIs" dxfId="0" priority="109" operator="greaterThan">
      <formula>M8</formula>
    </cfRule>
  </conditionalFormatting>
  <conditionalFormatting sqref="N9">
    <cfRule type="cellIs" dxfId="0" priority="110" operator="greaterThan">
      <formula>M10</formula>
    </cfRule>
  </conditionalFormatting>
  <conditionalFormatting sqref="O9:P9">
    <cfRule type="cellIs" dxfId="0" priority="111" operator="greaterThan">
      <formula>M11</formula>
    </cfRule>
  </conditionalFormatting>
  <conditionalFormatting sqref="J10">
    <cfRule type="cellIs" dxfId="0" priority="112" operator="greaterThan">
      <formula>N6</formula>
    </cfRule>
  </conditionalFormatting>
  <conditionalFormatting sqref="K10">
    <cfRule type="cellIs" dxfId="0" priority="113" operator="greaterThan">
      <formula>N7</formula>
    </cfRule>
  </conditionalFormatting>
  <conditionalFormatting sqref="L10">
    <cfRule type="cellIs" dxfId="0" priority="114" operator="greaterThan">
      <formula>N8</formula>
    </cfRule>
  </conditionalFormatting>
  <conditionalFormatting sqref="M10">
    <cfRule type="cellIs" dxfId="0" priority="115" operator="greaterThan">
      <formula>N9</formula>
    </cfRule>
  </conditionalFormatting>
  <conditionalFormatting sqref="O10:P10">
    <cfRule type="cellIs" dxfId="0" priority="116" operator="greaterThan">
      <formula>N11</formula>
    </cfRule>
  </conditionalFormatting>
  <conditionalFormatting sqref="J11">
    <cfRule type="cellIs" dxfId="0" priority="117" operator="greaterThan">
      <formula>O6</formula>
    </cfRule>
  </conditionalFormatting>
  <conditionalFormatting sqref="K11">
    <cfRule type="cellIs" dxfId="0" priority="118" operator="greaterThan">
      <formula>O7</formula>
    </cfRule>
  </conditionalFormatting>
  <conditionalFormatting sqref="L11">
    <cfRule type="cellIs" dxfId="0" priority="119" operator="greaterThan">
      <formula>O8</formula>
    </cfRule>
  </conditionalFormatting>
  <conditionalFormatting sqref="M11">
    <cfRule type="cellIs" dxfId="0" priority="120" operator="greaterThan">
      <formula>O9</formula>
    </cfRule>
  </conditionalFormatting>
  <conditionalFormatting sqref="N11">
    <cfRule type="cellIs" dxfId="0" priority="121" operator="greaterThan">
      <formula>O10</formula>
    </cfRule>
  </conditionalFormatting>
  <conditionalFormatting sqref="C15">
    <cfRule type="cellIs" dxfId="1" priority="122" operator="equal">
      <formula>B16</formula>
    </cfRule>
  </conditionalFormatting>
  <conditionalFormatting sqref="D15">
    <cfRule type="cellIs" dxfId="1" priority="123" operator="equal">
      <formula>B17</formula>
    </cfRule>
  </conditionalFormatting>
  <conditionalFormatting sqref="E15">
    <cfRule type="cellIs" dxfId="1" priority="124" operator="equal">
      <formula>B18</formula>
    </cfRule>
  </conditionalFormatting>
  <conditionalFormatting sqref="F15">
    <cfRule type="cellIs" dxfId="1" priority="125" operator="equal">
      <formula>B19</formula>
    </cfRule>
  </conditionalFormatting>
  <conditionalFormatting sqref="G15">
    <cfRule type="cellIs" dxfId="1" priority="126" operator="equal">
      <formula>B20</formula>
    </cfRule>
  </conditionalFormatting>
  <conditionalFormatting sqref="B16">
    <cfRule type="cellIs" dxfId="1" priority="127" operator="equal">
      <formula>C15</formula>
    </cfRule>
  </conditionalFormatting>
  <conditionalFormatting sqref="D16">
    <cfRule type="cellIs" dxfId="1" priority="128" operator="equal">
      <formula>C17</formula>
    </cfRule>
  </conditionalFormatting>
  <conditionalFormatting sqref="E16">
    <cfRule type="cellIs" dxfId="1" priority="129" operator="equal">
      <formula>C18</formula>
    </cfRule>
  </conditionalFormatting>
  <conditionalFormatting sqref="B17">
    <cfRule type="cellIs" dxfId="1" priority="130" operator="equal">
      <formula>D15</formula>
    </cfRule>
  </conditionalFormatting>
  <conditionalFormatting sqref="C17">
    <cfRule type="cellIs" dxfId="1" priority="131" operator="equal">
      <formula>D16</formula>
    </cfRule>
  </conditionalFormatting>
  <conditionalFormatting sqref="F16">
    <cfRule type="cellIs" dxfId="1" priority="132" operator="equal">
      <formula>C19</formula>
    </cfRule>
  </conditionalFormatting>
  <conditionalFormatting sqref="G16">
    <cfRule type="cellIs" dxfId="1" priority="133" operator="equal">
      <formula>C20</formula>
    </cfRule>
  </conditionalFormatting>
  <conditionalFormatting sqref="E17">
    <cfRule type="cellIs" dxfId="1" priority="134" operator="equal">
      <formula>D18</formula>
    </cfRule>
  </conditionalFormatting>
  <conditionalFormatting sqref="F17">
    <cfRule type="cellIs" dxfId="1" priority="135" operator="equal">
      <formula>D19</formula>
    </cfRule>
  </conditionalFormatting>
  <conditionalFormatting sqref="G17">
    <cfRule type="cellIs" dxfId="1" priority="136" operator="equal">
      <formula>D20</formula>
    </cfRule>
  </conditionalFormatting>
  <conditionalFormatting sqref="B18">
    <cfRule type="cellIs" dxfId="1" priority="137" operator="equal">
      <formula>E15</formula>
    </cfRule>
  </conditionalFormatting>
  <conditionalFormatting sqref="C18">
    <cfRule type="cellIs" dxfId="1" priority="138" operator="equal">
      <formula>E16</formula>
    </cfRule>
  </conditionalFormatting>
  <conditionalFormatting sqref="D18">
    <cfRule type="cellIs" dxfId="1" priority="139" operator="equal">
      <formula>E17</formula>
    </cfRule>
  </conditionalFormatting>
  <conditionalFormatting sqref="F18">
    <cfRule type="cellIs" dxfId="1" priority="140" operator="equal">
      <formula>E19</formula>
    </cfRule>
  </conditionalFormatting>
  <conditionalFormatting sqref="G18">
    <cfRule type="cellIs" dxfId="1" priority="141" operator="equal">
      <formula>E20</formula>
    </cfRule>
  </conditionalFormatting>
  <conditionalFormatting sqref="B19">
    <cfRule type="cellIs" dxfId="1" priority="142" operator="equal">
      <formula>F15</formula>
    </cfRule>
  </conditionalFormatting>
  <conditionalFormatting sqref="C19">
    <cfRule type="cellIs" dxfId="1" priority="143" operator="equal">
      <formula>F16</formula>
    </cfRule>
  </conditionalFormatting>
  <conditionalFormatting sqref="D19">
    <cfRule type="cellIs" dxfId="1" priority="144" operator="equal">
      <formula>F17</formula>
    </cfRule>
  </conditionalFormatting>
  <conditionalFormatting sqref="E19">
    <cfRule type="cellIs" dxfId="1" priority="145" operator="equal">
      <formula>F18</formula>
    </cfRule>
  </conditionalFormatting>
  <conditionalFormatting sqref="G19">
    <cfRule type="cellIs" dxfId="1" priority="146" operator="equal">
      <formula>F20</formula>
    </cfRule>
  </conditionalFormatting>
  <conditionalFormatting sqref="B20">
    <cfRule type="cellIs" dxfId="1" priority="147" operator="equal">
      <formula>G15</formula>
    </cfRule>
  </conditionalFormatting>
  <conditionalFormatting sqref="C20">
    <cfRule type="cellIs" dxfId="1" priority="148" operator="equal">
      <formula>G16</formula>
    </cfRule>
  </conditionalFormatting>
  <conditionalFormatting sqref="D20">
    <cfRule type="cellIs" dxfId="1" priority="149" operator="equal">
      <formula>G17</formula>
    </cfRule>
  </conditionalFormatting>
  <conditionalFormatting sqref="E20">
    <cfRule type="cellIs" dxfId="1" priority="150" operator="equal">
      <formula>G18</formula>
    </cfRule>
  </conditionalFormatting>
  <conditionalFormatting sqref="F20">
    <cfRule type="cellIs" dxfId="1" priority="151" operator="equal">
      <formula>G19</formula>
    </cfRule>
  </conditionalFormatting>
  <conditionalFormatting sqref="K15">
    <cfRule type="cellIs" dxfId="1" priority="152" operator="equal">
      <formula>J16</formula>
    </cfRule>
  </conditionalFormatting>
  <conditionalFormatting sqref="L15">
    <cfRule type="cellIs" dxfId="1" priority="153" operator="equal">
      <formula>J17</formula>
    </cfRule>
  </conditionalFormatting>
  <conditionalFormatting sqref="M15">
    <cfRule type="cellIs" dxfId="1" priority="154" operator="equal">
      <formula>J18</formula>
    </cfRule>
  </conditionalFormatting>
  <conditionalFormatting sqref="N15">
    <cfRule type="cellIs" dxfId="1" priority="155" operator="equal">
      <formula>J19</formula>
    </cfRule>
  </conditionalFormatting>
  <conditionalFormatting sqref="O15 P15:P20">
    <cfRule type="cellIs" dxfId="1" priority="156" operator="equal">
      <formula>J20</formula>
    </cfRule>
  </conditionalFormatting>
  <conditionalFormatting sqref="J16">
    <cfRule type="cellIs" dxfId="1" priority="157" operator="equal">
      <formula>K15</formula>
    </cfRule>
  </conditionalFormatting>
  <conditionalFormatting sqref="L16">
    <cfRule type="cellIs" dxfId="1" priority="158" operator="equal">
      <formula>K17</formula>
    </cfRule>
  </conditionalFormatting>
  <conditionalFormatting sqref="M16">
    <cfRule type="cellIs" dxfId="1" priority="159" operator="equal">
      <formula>K18</formula>
    </cfRule>
  </conditionalFormatting>
  <conditionalFormatting sqref="N16">
    <cfRule type="cellIs" dxfId="1" priority="160" operator="equal">
      <formula>K19</formula>
    </cfRule>
  </conditionalFormatting>
  <conditionalFormatting sqref="O16:P16">
    <cfRule type="cellIs" dxfId="1" priority="161" operator="equal">
      <formula>K20</formula>
    </cfRule>
  </conditionalFormatting>
  <conditionalFormatting sqref="J17">
    <cfRule type="cellIs" dxfId="1" priority="162" operator="equal">
      <formula>L15</formula>
    </cfRule>
  </conditionalFormatting>
  <conditionalFormatting sqref="K17">
    <cfRule type="cellIs" dxfId="1" priority="163" operator="equal">
      <formula>L16</formula>
    </cfRule>
  </conditionalFormatting>
  <conditionalFormatting sqref="M17">
    <cfRule type="cellIs" dxfId="1" priority="164" operator="equal">
      <formula>L18</formula>
    </cfRule>
  </conditionalFormatting>
  <conditionalFormatting sqref="N17">
    <cfRule type="cellIs" dxfId="1" priority="165" operator="equal">
      <formula>L19</formula>
    </cfRule>
  </conditionalFormatting>
  <conditionalFormatting sqref="O17:P17">
    <cfRule type="cellIs" dxfId="1" priority="166" operator="equal">
      <formula>L20</formula>
    </cfRule>
  </conditionalFormatting>
  <conditionalFormatting sqref="J18">
    <cfRule type="cellIs" dxfId="1" priority="167" operator="equal">
      <formula>M15</formula>
    </cfRule>
  </conditionalFormatting>
  <conditionalFormatting sqref="K18">
    <cfRule type="cellIs" dxfId="1" priority="168" operator="equal">
      <formula>M16</formula>
    </cfRule>
  </conditionalFormatting>
  <conditionalFormatting sqref="L18">
    <cfRule type="cellIs" dxfId="1" priority="169" operator="equal">
      <formula>M17</formula>
    </cfRule>
  </conditionalFormatting>
  <conditionalFormatting sqref="N18">
    <cfRule type="cellIs" dxfId="1" priority="170" operator="equal">
      <formula>M19</formula>
    </cfRule>
  </conditionalFormatting>
  <conditionalFormatting sqref="O18:P18">
    <cfRule type="cellIs" dxfId="1" priority="171" operator="equal">
      <formula>M20</formula>
    </cfRule>
  </conditionalFormatting>
  <conditionalFormatting sqref="J19">
    <cfRule type="cellIs" dxfId="1" priority="172" operator="equal">
      <formula>N15</formula>
    </cfRule>
  </conditionalFormatting>
  <conditionalFormatting sqref="K19">
    <cfRule type="cellIs" dxfId="1" priority="173" operator="equal">
      <formula>N16</formula>
    </cfRule>
  </conditionalFormatting>
  <conditionalFormatting sqref="L19">
    <cfRule type="cellIs" dxfId="1" priority="174" operator="equal">
      <formula>N17</formula>
    </cfRule>
  </conditionalFormatting>
  <conditionalFormatting sqref="M19">
    <cfRule type="cellIs" dxfId="1" priority="175" operator="equal">
      <formula>N18</formula>
    </cfRule>
  </conditionalFormatting>
  <conditionalFormatting sqref="O19:P19">
    <cfRule type="cellIs" dxfId="1" priority="176" operator="equal">
      <formula>N20</formula>
    </cfRule>
  </conditionalFormatting>
  <conditionalFormatting sqref="J20">
    <cfRule type="cellIs" dxfId="1" priority="177" operator="equal">
      <formula>O15</formula>
    </cfRule>
  </conditionalFormatting>
  <conditionalFormatting sqref="K20">
    <cfRule type="cellIs" dxfId="1" priority="178" operator="equal">
      <formula>O16</formula>
    </cfRule>
  </conditionalFormatting>
  <conditionalFormatting sqref="L20">
    <cfRule type="cellIs" dxfId="1" priority="179" operator="equal">
      <formula>O17</formula>
    </cfRule>
  </conditionalFormatting>
  <conditionalFormatting sqref="M20">
    <cfRule type="cellIs" dxfId="1" priority="180" operator="equal">
      <formula>O18</formula>
    </cfRule>
  </conditionalFormatting>
  <conditionalFormatting sqref="N20">
    <cfRule type="cellIs" dxfId="1" priority="181" operator="equal">
      <formula>O19</formula>
    </cfRule>
  </conditionalFormatting>
  <conditionalFormatting sqref="C6">
    <cfRule type="cellIs" dxfId="4" priority="182" operator="lessThan">
      <formula>B7</formula>
    </cfRule>
  </conditionalFormatting>
  <conditionalFormatting sqref="D6">
    <cfRule type="cellIs" dxfId="4" priority="183" operator="lessThan">
      <formula>B8</formula>
    </cfRule>
  </conditionalFormatting>
  <conditionalFormatting sqref="E6">
    <cfRule type="cellIs" dxfId="4" priority="184" operator="lessThan">
      <formula>B9</formula>
    </cfRule>
  </conditionalFormatting>
  <conditionalFormatting sqref="F6">
    <cfRule type="cellIs" dxfId="4" priority="185" operator="lessThan">
      <formula>B10</formula>
    </cfRule>
  </conditionalFormatting>
  <conditionalFormatting sqref="G6">
    <cfRule type="cellIs" dxfId="4" priority="186" operator="lessThan">
      <formula>B11</formula>
    </cfRule>
  </conditionalFormatting>
  <conditionalFormatting sqref="B7">
    <cfRule type="cellIs" dxfId="4" priority="187" operator="lessThan">
      <formula>C6</formula>
    </cfRule>
  </conditionalFormatting>
  <conditionalFormatting sqref="D7">
    <cfRule type="cellIs" dxfId="4" priority="188" operator="lessThan">
      <formula>C8</formula>
    </cfRule>
  </conditionalFormatting>
  <conditionalFormatting sqref="E7">
    <cfRule type="cellIs" dxfId="4" priority="189" operator="lessThan">
      <formula>C9</formula>
    </cfRule>
  </conditionalFormatting>
  <conditionalFormatting sqref="F7">
    <cfRule type="cellIs" dxfId="4" priority="190" operator="lessThan">
      <formula>C10</formula>
    </cfRule>
  </conditionalFormatting>
  <conditionalFormatting sqref="G7">
    <cfRule type="cellIs" dxfId="4" priority="191" operator="lessThan">
      <formula>C11</formula>
    </cfRule>
  </conditionalFormatting>
  <conditionalFormatting sqref="B8">
    <cfRule type="cellIs" dxfId="4" priority="192" operator="lessThan">
      <formula>D6</formula>
    </cfRule>
  </conditionalFormatting>
  <conditionalFormatting sqref="C8">
    <cfRule type="cellIs" dxfId="4" priority="193" operator="lessThan">
      <formula>D7</formula>
    </cfRule>
  </conditionalFormatting>
  <conditionalFormatting sqref="E8">
    <cfRule type="cellIs" dxfId="4" priority="194" operator="lessThan">
      <formula>D9</formula>
    </cfRule>
  </conditionalFormatting>
  <conditionalFormatting sqref="F8">
    <cfRule type="cellIs" dxfId="4" priority="195" operator="lessThan">
      <formula>D10</formula>
    </cfRule>
  </conditionalFormatting>
  <conditionalFormatting sqref="G8">
    <cfRule type="cellIs" dxfId="4" priority="196" operator="lessThan">
      <formula>D11</formula>
    </cfRule>
  </conditionalFormatting>
  <conditionalFormatting sqref="B9">
    <cfRule type="cellIs" dxfId="4" priority="197" operator="lessThan">
      <formula>E6</formula>
    </cfRule>
  </conditionalFormatting>
  <conditionalFormatting sqref="C9">
    <cfRule type="cellIs" dxfId="4" priority="198" operator="lessThan">
      <formula>E7</formula>
    </cfRule>
  </conditionalFormatting>
  <conditionalFormatting sqref="D9">
    <cfRule type="cellIs" dxfId="4" priority="199" operator="lessThan">
      <formula>E8</formula>
    </cfRule>
  </conditionalFormatting>
  <conditionalFormatting sqref="F9">
    <cfRule type="cellIs" dxfId="4" priority="200" operator="lessThan">
      <formula>E10</formula>
    </cfRule>
  </conditionalFormatting>
  <conditionalFormatting sqref="G9">
    <cfRule type="cellIs" dxfId="4" priority="201" operator="lessThan">
      <formula>E11</formula>
    </cfRule>
  </conditionalFormatting>
  <conditionalFormatting sqref="B10">
    <cfRule type="cellIs" dxfId="4" priority="202" operator="lessThan">
      <formula>F6</formula>
    </cfRule>
  </conditionalFormatting>
  <conditionalFormatting sqref="C10">
    <cfRule type="cellIs" dxfId="4" priority="203" operator="lessThan">
      <formula>F7</formula>
    </cfRule>
  </conditionalFormatting>
  <conditionalFormatting sqref="D10">
    <cfRule type="cellIs" dxfId="4" priority="204" operator="lessThan">
      <formula>F8</formula>
    </cfRule>
  </conditionalFormatting>
  <conditionalFormatting sqref="E10">
    <cfRule type="cellIs" dxfId="4" priority="205" operator="lessThan">
      <formula>F9</formula>
    </cfRule>
  </conditionalFormatting>
  <conditionalFormatting sqref="G10">
    <cfRule type="cellIs" dxfId="4" priority="206" operator="lessThan">
      <formula>F11</formula>
    </cfRule>
  </conditionalFormatting>
  <conditionalFormatting sqref="B11">
    <cfRule type="cellIs" dxfId="4" priority="207" operator="lessThan">
      <formula>G6</formula>
    </cfRule>
  </conditionalFormatting>
  <conditionalFormatting sqref="C11">
    <cfRule type="cellIs" dxfId="4" priority="208" operator="lessThan">
      <formula>G7</formula>
    </cfRule>
  </conditionalFormatting>
  <conditionalFormatting sqref="D11">
    <cfRule type="cellIs" dxfId="4" priority="209" operator="lessThan">
      <formula>G8</formula>
    </cfRule>
  </conditionalFormatting>
  <conditionalFormatting sqref="E11">
    <cfRule type="cellIs" dxfId="4" priority="210" operator="lessThan">
      <formula>G9</formula>
    </cfRule>
  </conditionalFormatting>
  <conditionalFormatting sqref="F11">
    <cfRule type="cellIs" dxfId="4" priority="211" operator="lessThan">
      <formula>G10</formula>
    </cfRule>
  </conditionalFormatting>
  <conditionalFormatting sqref="C15">
    <cfRule type="cellIs" dxfId="4" priority="212" operator="lessThan">
      <formula>B16</formula>
    </cfRule>
  </conditionalFormatting>
  <conditionalFormatting sqref="D15">
    <cfRule type="cellIs" dxfId="4" priority="213" operator="lessThan">
      <formula>B17</formula>
    </cfRule>
  </conditionalFormatting>
  <conditionalFormatting sqref="E15">
    <cfRule type="cellIs" dxfId="4" priority="214" operator="lessThan">
      <formula>B18</formula>
    </cfRule>
  </conditionalFormatting>
  <conditionalFormatting sqref="F15">
    <cfRule type="cellIs" dxfId="4" priority="215" operator="lessThan">
      <formula>B19</formula>
    </cfRule>
  </conditionalFormatting>
  <conditionalFormatting sqref="G15">
    <cfRule type="cellIs" dxfId="4" priority="216" operator="lessThan">
      <formula>B20</formula>
    </cfRule>
  </conditionalFormatting>
  <conditionalFormatting sqref="B16">
    <cfRule type="cellIs" dxfId="4" priority="217" operator="lessThan">
      <formula>C15</formula>
    </cfRule>
  </conditionalFormatting>
  <conditionalFormatting sqref="D16">
    <cfRule type="cellIs" dxfId="4" priority="218" operator="lessThan">
      <formula>C17</formula>
    </cfRule>
  </conditionalFormatting>
  <conditionalFormatting sqref="E16">
    <cfRule type="cellIs" dxfId="4" priority="219" operator="lessThan">
      <formula>C18</formula>
    </cfRule>
  </conditionalFormatting>
  <conditionalFormatting sqref="F16">
    <cfRule type="cellIs" dxfId="4" priority="220" operator="lessThan">
      <formula>C19</formula>
    </cfRule>
  </conditionalFormatting>
  <conditionalFormatting sqref="G16">
    <cfRule type="cellIs" dxfId="4" priority="221" operator="lessThan">
      <formula>C20</formula>
    </cfRule>
  </conditionalFormatting>
  <conditionalFormatting sqref="B17">
    <cfRule type="cellIs" dxfId="4" priority="222" operator="lessThan">
      <formula>D15</formula>
    </cfRule>
  </conditionalFormatting>
  <conditionalFormatting sqref="C17">
    <cfRule type="cellIs" dxfId="4" priority="223" operator="lessThan">
      <formula>D16</formula>
    </cfRule>
  </conditionalFormatting>
  <conditionalFormatting sqref="E17">
    <cfRule type="cellIs" dxfId="4" priority="224" operator="lessThan">
      <formula>D18</formula>
    </cfRule>
  </conditionalFormatting>
  <conditionalFormatting sqref="F17">
    <cfRule type="cellIs" dxfId="4" priority="225" operator="lessThan">
      <formula>D19</formula>
    </cfRule>
  </conditionalFormatting>
  <conditionalFormatting sqref="G17">
    <cfRule type="cellIs" dxfId="4" priority="226" operator="lessThan">
      <formula>D20</formula>
    </cfRule>
  </conditionalFormatting>
  <conditionalFormatting sqref="B18">
    <cfRule type="cellIs" dxfId="4" priority="227" operator="lessThan">
      <formula>E15</formula>
    </cfRule>
  </conditionalFormatting>
  <conditionalFormatting sqref="C18">
    <cfRule type="cellIs" dxfId="4" priority="228" operator="lessThan">
      <formula>E16</formula>
    </cfRule>
  </conditionalFormatting>
  <conditionalFormatting sqref="D18">
    <cfRule type="cellIs" dxfId="4" priority="229" operator="lessThan">
      <formula>E17</formula>
    </cfRule>
  </conditionalFormatting>
  <conditionalFormatting sqref="F18">
    <cfRule type="cellIs" dxfId="4" priority="230" operator="lessThan">
      <formula>E19</formula>
    </cfRule>
  </conditionalFormatting>
  <conditionalFormatting sqref="G18">
    <cfRule type="cellIs" dxfId="4" priority="231" operator="lessThan">
      <formula>E20</formula>
    </cfRule>
  </conditionalFormatting>
  <conditionalFormatting sqref="B19">
    <cfRule type="cellIs" dxfId="4" priority="232" operator="lessThan">
      <formula>F15</formula>
    </cfRule>
  </conditionalFormatting>
  <conditionalFormatting sqref="C19">
    <cfRule type="cellIs" dxfId="4" priority="233" operator="lessThan">
      <formula>F16</formula>
    </cfRule>
  </conditionalFormatting>
  <conditionalFormatting sqref="D19">
    <cfRule type="cellIs" dxfId="4" priority="234" operator="lessThan">
      <formula>F17</formula>
    </cfRule>
  </conditionalFormatting>
  <conditionalFormatting sqref="E19">
    <cfRule type="cellIs" dxfId="4" priority="235" operator="lessThan">
      <formula>F18</formula>
    </cfRule>
  </conditionalFormatting>
  <conditionalFormatting sqref="G19">
    <cfRule type="cellIs" dxfId="4" priority="236" operator="lessThan">
      <formula>F20</formula>
    </cfRule>
  </conditionalFormatting>
  <conditionalFormatting sqref="B20">
    <cfRule type="cellIs" dxfId="4" priority="237" operator="lessThan">
      <formula>G15</formula>
    </cfRule>
  </conditionalFormatting>
  <conditionalFormatting sqref="C20">
    <cfRule type="cellIs" dxfId="4" priority="238" operator="lessThan">
      <formula>G16</formula>
    </cfRule>
  </conditionalFormatting>
  <conditionalFormatting sqref="D20">
    <cfRule type="cellIs" dxfId="4" priority="239" operator="lessThan">
      <formula>G17</formula>
    </cfRule>
  </conditionalFormatting>
  <conditionalFormatting sqref="E20">
    <cfRule type="cellIs" dxfId="4" priority="240" operator="lessThan">
      <formula>G18</formula>
    </cfRule>
  </conditionalFormatting>
  <conditionalFormatting sqref="F20">
    <cfRule type="cellIs" dxfId="4" priority="241" operator="lessThan">
      <formula>G19</formula>
    </cfRule>
  </conditionalFormatting>
  <conditionalFormatting sqref="K6">
    <cfRule type="cellIs" dxfId="4" priority="242" operator="lessThan">
      <formula>J7</formula>
    </cfRule>
  </conditionalFormatting>
  <conditionalFormatting sqref="L6">
    <cfRule type="cellIs" dxfId="4" priority="243" operator="lessThan">
      <formula>J8</formula>
    </cfRule>
  </conditionalFormatting>
  <conditionalFormatting sqref="M6">
    <cfRule type="cellIs" dxfId="4" priority="244" operator="lessThan">
      <formula>J9</formula>
    </cfRule>
  </conditionalFormatting>
  <conditionalFormatting sqref="N6">
    <cfRule type="cellIs" dxfId="4" priority="245" operator="lessThan">
      <formula>J10</formula>
    </cfRule>
  </conditionalFormatting>
  <conditionalFormatting sqref="O6 P6:P11">
    <cfRule type="cellIs" dxfId="4" priority="246" operator="lessThan">
      <formula>J11</formula>
    </cfRule>
  </conditionalFormatting>
  <conditionalFormatting sqref="J7">
    <cfRule type="cellIs" dxfId="4" priority="247" operator="lessThan">
      <formula>K6</formula>
    </cfRule>
  </conditionalFormatting>
  <conditionalFormatting sqref="L7">
    <cfRule type="cellIs" dxfId="4" priority="248" operator="lessThan">
      <formula>K8</formula>
    </cfRule>
  </conditionalFormatting>
  <conditionalFormatting sqref="M7">
    <cfRule type="cellIs" dxfId="4" priority="249" operator="lessThan">
      <formula>K9</formula>
    </cfRule>
  </conditionalFormatting>
  <conditionalFormatting sqref="N7">
    <cfRule type="cellIs" dxfId="4" priority="250" operator="lessThan">
      <formula>K10</formula>
    </cfRule>
  </conditionalFormatting>
  <conditionalFormatting sqref="O7:P7">
    <cfRule type="cellIs" dxfId="4" priority="251" operator="lessThan">
      <formula>K11</formula>
    </cfRule>
  </conditionalFormatting>
  <conditionalFormatting sqref="J8">
    <cfRule type="cellIs" dxfId="4" priority="252" operator="lessThan">
      <formula>L6</formula>
    </cfRule>
  </conditionalFormatting>
  <conditionalFormatting sqref="K8">
    <cfRule type="cellIs" dxfId="4" priority="253" operator="lessThan">
      <formula>L7</formula>
    </cfRule>
  </conditionalFormatting>
  <conditionalFormatting sqref="M8">
    <cfRule type="cellIs" dxfId="4" priority="254" operator="lessThan">
      <formula>L9</formula>
    </cfRule>
  </conditionalFormatting>
  <conditionalFormatting sqref="N8">
    <cfRule type="cellIs" dxfId="4" priority="255" operator="lessThan">
      <formula>L10</formula>
    </cfRule>
  </conditionalFormatting>
  <conditionalFormatting sqref="O8:P8">
    <cfRule type="cellIs" dxfId="4" priority="256" operator="lessThan">
      <formula>L11</formula>
    </cfRule>
  </conditionalFormatting>
  <conditionalFormatting sqref="J9">
    <cfRule type="cellIs" dxfId="4" priority="257" operator="lessThan">
      <formula>M6</formula>
    </cfRule>
  </conditionalFormatting>
  <conditionalFormatting sqref="K9">
    <cfRule type="cellIs" dxfId="4" priority="258" operator="lessThan">
      <formula>M7</formula>
    </cfRule>
  </conditionalFormatting>
  <conditionalFormatting sqref="L9">
    <cfRule type="cellIs" dxfId="4" priority="259" operator="lessThan">
      <formula>M8</formula>
    </cfRule>
  </conditionalFormatting>
  <conditionalFormatting sqref="N9">
    <cfRule type="cellIs" dxfId="4" priority="260" operator="lessThan">
      <formula>M10</formula>
    </cfRule>
  </conditionalFormatting>
  <conditionalFormatting sqref="O9:P9">
    <cfRule type="cellIs" dxfId="4" priority="261" operator="lessThan">
      <formula>M11</formula>
    </cfRule>
  </conditionalFormatting>
  <conditionalFormatting sqref="J10">
    <cfRule type="cellIs" dxfId="4" priority="262" operator="lessThan">
      <formula>N6</formula>
    </cfRule>
  </conditionalFormatting>
  <conditionalFormatting sqref="K10">
    <cfRule type="cellIs" dxfId="4" priority="263" operator="lessThan">
      <formula>N7</formula>
    </cfRule>
  </conditionalFormatting>
  <conditionalFormatting sqref="L10">
    <cfRule type="cellIs" dxfId="4" priority="264" operator="lessThan">
      <formula>N8</formula>
    </cfRule>
  </conditionalFormatting>
  <conditionalFormatting sqref="M10">
    <cfRule type="cellIs" dxfId="4" priority="265" operator="lessThan">
      <formula>N9</formula>
    </cfRule>
  </conditionalFormatting>
  <conditionalFormatting sqref="O10:P10">
    <cfRule type="cellIs" dxfId="4" priority="266" operator="lessThan">
      <formula>N11</formula>
    </cfRule>
  </conditionalFormatting>
  <conditionalFormatting sqref="J11">
    <cfRule type="cellIs" dxfId="4" priority="267" operator="lessThan">
      <formula>O6</formula>
    </cfRule>
  </conditionalFormatting>
  <conditionalFormatting sqref="K11">
    <cfRule type="cellIs" dxfId="4" priority="268" operator="lessThan">
      <formula>O7</formula>
    </cfRule>
  </conditionalFormatting>
  <conditionalFormatting sqref="L11">
    <cfRule type="cellIs" dxfId="4" priority="269" operator="lessThan">
      <formula>O8</formula>
    </cfRule>
  </conditionalFormatting>
  <conditionalFormatting sqref="M11">
    <cfRule type="cellIs" dxfId="4" priority="270" operator="lessThan">
      <formula>O9</formula>
    </cfRule>
  </conditionalFormatting>
  <conditionalFormatting sqref="N11">
    <cfRule type="cellIs" dxfId="4" priority="271" operator="lessThan">
      <formula>O10</formula>
    </cfRule>
  </conditionalFormatting>
  <conditionalFormatting sqref="K15">
    <cfRule type="cellIs" dxfId="4" priority="272" operator="lessThan">
      <formula>J16</formula>
    </cfRule>
  </conditionalFormatting>
  <conditionalFormatting sqref="L15">
    <cfRule type="cellIs" dxfId="4" priority="273" operator="lessThan">
      <formula>J17</formula>
    </cfRule>
  </conditionalFormatting>
  <conditionalFormatting sqref="M15">
    <cfRule type="cellIs" dxfId="4" priority="274" operator="lessThan">
      <formula>J18</formula>
    </cfRule>
  </conditionalFormatting>
  <conditionalFormatting sqref="N15">
    <cfRule type="cellIs" dxfId="4" priority="275" operator="lessThan">
      <formula>J19</formula>
    </cfRule>
  </conditionalFormatting>
  <conditionalFormatting sqref="O15 P15:P20">
    <cfRule type="cellIs" dxfId="4" priority="276" operator="lessThan">
      <formula>J20</formula>
    </cfRule>
  </conditionalFormatting>
  <conditionalFormatting sqref="J16">
    <cfRule type="cellIs" dxfId="4" priority="277" operator="lessThan">
      <formula>K15</formula>
    </cfRule>
  </conditionalFormatting>
  <conditionalFormatting sqref="L16">
    <cfRule type="cellIs" dxfId="4" priority="278" operator="lessThan">
      <formula>K17</formula>
    </cfRule>
  </conditionalFormatting>
  <conditionalFormatting sqref="M16">
    <cfRule type="cellIs" dxfId="4" priority="279" operator="lessThan">
      <formula>K18</formula>
    </cfRule>
  </conditionalFormatting>
  <conditionalFormatting sqref="N16">
    <cfRule type="cellIs" dxfId="4" priority="280" operator="lessThan">
      <formula>K19</formula>
    </cfRule>
  </conditionalFormatting>
  <conditionalFormatting sqref="O16:P16">
    <cfRule type="cellIs" dxfId="4" priority="281" operator="lessThan">
      <formula>K20</formula>
    </cfRule>
  </conditionalFormatting>
  <conditionalFormatting sqref="J17">
    <cfRule type="cellIs" dxfId="4" priority="282" operator="lessThan">
      <formula>L15</formula>
    </cfRule>
  </conditionalFormatting>
  <conditionalFormatting sqref="K17">
    <cfRule type="cellIs" dxfId="4" priority="283" operator="lessThan">
      <formula>L16</formula>
    </cfRule>
  </conditionalFormatting>
  <conditionalFormatting sqref="M17">
    <cfRule type="cellIs" dxfId="4" priority="284" operator="lessThan">
      <formula>L18</formula>
    </cfRule>
  </conditionalFormatting>
  <conditionalFormatting sqref="N17">
    <cfRule type="cellIs" dxfId="4" priority="285" operator="lessThan">
      <formula>L19</formula>
    </cfRule>
  </conditionalFormatting>
  <conditionalFormatting sqref="O17:P17">
    <cfRule type="cellIs" dxfId="4" priority="286" operator="lessThan">
      <formula>L20</formula>
    </cfRule>
  </conditionalFormatting>
  <conditionalFormatting sqref="J18">
    <cfRule type="cellIs" dxfId="4" priority="287" operator="lessThan">
      <formula>M15</formula>
    </cfRule>
  </conditionalFormatting>
  <conditionalFormatting sqref="K18">
    <cfRule type="cellIs" dxfId="4" priority="288" operator="lessThan">
      <formula>M16</formula>
    </cfRule>
  </conditionalFormatting>
  <conditionalFormatting sqref="L18">
    <cfRule type="cellIs" dxfId="4" priority="289" operator="lessThan">
      <formula>M17</formula>
    </cfRule>
  </conditionalFormatting>
  <conditionalFormatting sqref="N18">
    <cfRule type="cellIs" dxfId="4" priority="290" operator="lessThan">
      <formula>M19</formula>
    </cfRule>
  </conditionalFormatting>
  <conditionalFormatting sqref="O18:P18">
    <cfRule type="cellIs" dxfId="4" priority="291" operator="lessThan">
      <formula>M20</formula>
    </cfRule>
  </conditionalFormatting>
  <conditionalFormatting sqref="J19">
    <cfRule type="cellIs" dxfId="4" priority="292" operator="lessThan">
      <formula>N15</formula>
    </cfRule>
  </conditionalFormatting>
  <conditionalFormatting sqref="K19">
    <cfRule type="cellIs" dxfId="4" priority="293" operator="lessThan">
      <formula>N16</formula>
    </cfRule>
  </conditionalFormatting>
  <conditionalFormatting sqref="L19">
    <cfRule type="cellIs" dxfId="4" priority="294" operator="lessThan">
      <formula>N17</formula>
    </cfRule>
  </conditionalFormatting>
  <conditionalFormatting sqref="M19">
    <cfRule type="cellIs" dxfId="4" priority="295" operator="lessThan">
      <formula>N18</formula>
    </cfRule>
  </conditionalFormatting>
  <conditionalFormatting sqref="O19:P19">
    <cfRule type="cellIs" dxfId="4" priority="296" operator="lessThan">
      <formula>N20</formula>
    </cfRule>
  </conditionalFormatting>
  <conditionalFormatting sqref="J20">
    <cfRule type="cellIs" dxfId="4" priority="297" operator="lessThan">
      <formula>O15</formula>
    </cfRule>
  </conditionalFormatting>
  <conditionalFormatting sqref="K20">
    <cfRule type="cellIs" dxfId="4" priority="298" operator="lessThan">
      <formula>O16</formula>
    </cfRule>
  </conditionalFormatting>
  <conditionalFormatting sqref="L20">
    <cfRule type="cellIs" dxfId="4" priority="299" operator="lessThan">
      <formula>O17</formula>
    </cfRule>
  </conditionalFormatting>
  <conditionalFormatting sqref="M20">
    <cfRule type="cellIs" dxfId="4" priority="300" operator="lessThan">
      <formula>O18</formula>
    </cfRule>
  </conditionalFormatting>
  <conditionalFormatting sqref="N20">
    <cfRule type="cellIs" dxfId="4" priority="301" operator="lessThan">
      <formula>O19</formula>
    </cfRule>
  </conditionalFormatting>
  <conditionalFormatting sqref="C15">
    <cfRule type="cellIs" dxfId="0" priority="302" operator="greaterThan">
      <formula>B16</formula>
    </cfRule>
  </conditionalFormatting>
  <conditionalFormatting sqref="D15">
    <cfRule type="cellIs" dxfId="0" priority="303" operator="greaterThan">
      <formula>B17</formula>
    </cfRule>
  </conditionalFormatting>
  <conditionalFormatting sqref="E15">
    <cfRule type="cellIs" dxfId="0" priority="304" operator="greaterThan">
      <formula>B18</formula>
    </cfRule>
  </conditionalFormatting>
  <conditionalFormatting sqref="F15">
    <cfRule type="cellIs" dxfId="0" priority="305" operator="greaterThan">
      <formula>B19</formula>
    </cfRule>
  </conditionalFormatting>
  <conditionalFormatting sqref="G15">
    <cfRule type="cellIs" dxfId="0" priority="306" operator="greaterThan">
      <formula>B20</formula>
    </cfRule>
  </conditionalFormatting>
  <conditionalFormatting sqref="B16">
    <cfRule type="cellIs" dxfId="0" priority="307" operator="greaterThan">
      <formula>C15</formula>
    </cfRule>
  </conditionalFormatting>
  <conditionalFormatting sqref="D16">
    <cfRule type="cellIs" dxfId="0" priority="308" operator="greaterThan">
      <formula>C17</formula>
    </cfRule>
  </conditionalFormatting>
  <conditionalFormatting sqref="E16">
    <cfRule type="cellIs" dxfId="0" priority="309" operator="greaterThan">
      <formula>C18</formula>
    </cfRule>
  </conditionalFormatting>
  <conditionalFormatting sqref="F16">
    <cfRule type="cellIs" dxfId="0" priority="310" operator="greaterThan">
      <formula>C19</formula>
    </cfRule>
  </conditionalFormatting>
  <conditionalFormatting sqref="G16">
    <cfRule type="cellIs" dxfId="0" priority="311" operator="greaterThan">
      <formula>C20</formula>
    </cfRule>
  </conditionalFormatting>
  <conditionalFormatting sqref="B17">
    <cfRule type="cellIs" dxfId="0" priority="312" operator="greaterThan">
      <formula>D15</formula>
    </cfRule>
  </conditionalFormatting>
  <conditionalFormatting sqref="C17">
    <cfRule type="cellIs" dxfId="0" priority="313" operator="greaterThan">
      <formula>D16</formula>
    </cfRule>
  </conditionalFormatting>
  <conditionalFormatting sqref="E17">
    <cfRule type="cellIs" dxfId="0" priority="314" operator="greaterThan">
      <formula>D18</formula>
    </cfRule>
  </conditionalFormatting>
  <conditionalFormatting sqref="F17">
    <cfRule type="cellIs" dxfId="0" priority="315" operator="greaterThan">
      <formula>D19</formula>
    </cfRule>
  </conditionalFormatting>
  <conditionalFormatting sqref="G17">
    <cfRule type="cellIs" dxfId="0" priority="316" operator="greaterThan">
      <formula>D20</formula>
    </cfRule>
  </conditionalFormatting>
  <conditionalFormatting sqref="B18">
    <cfRule type="cellIs" dxfId="0" priority="317" operator="greaterThan">
      <formula>E15</formula>
    </cfRule>
  </conditionalFormatting>
  <conditionalFormatting sqref="C18">
    <cfRule type="cellIs" dxfId="0" priority="318" operator="greaterThan">
      <formula>E16</formula>
    </cfRule>
  </conditionalFormatting>
  <conditionalFormatting sqref="D18">
    <cfRule type="cellIs" dxfId="0" priority="319" operator="greaterThan">
      <formula>E17</formula>
    </cfRule>
  </conditionalFormatting>
  <conditionalFormatting sqref="F18">
    <cfRule type="cellIs" dxfId="0" priority="320" operator="greaterThan">
      <formula>E19</formula>
    </cfRule>
  </conditionalFormatting>
  <conditionalFormatting sqref="G18">
    <cfRule type="cellIs" dxfId="0" priority="321" operator="greaterThan">
      <formula>E20</formula>
    </cfRule>
  </conditionalFormatting>
  <conditionalFormatting sqref="B19">
    <cfRule type="cellIs" dxfId="0" priority="322" operator="greaterThan">
      <formula>F15</formula>
    </cfRule>
  </conditionalFormatting>
  <conditionalFormatting sqref="C19">
    <cfRule type="cellIs" dxfId="0" priority="323" operator="greaterThan">
      <formula>F16</formula>
    </cfRule>
  </conditionalFormatting>
  <conditionalFormatting sqref="D19">
    <cfRule type="cellIs" dxfId="0" priority="324" operator="greaterThan">
      <formula>F17</formula>
    </cfRule>
  </conditionalFormatting>
  <conditionalFormatting sqref="E19">
    <cfRule type="cellIs" dxfId="0" priority="325" operator="greaterThan">
      <formula>F18</formula>
    </cfRule>
  </conditionalFormatting>
  <conditionalFormatting sqref="G19">
    <cfRule type="cellIs" dxfId="0" priority="326" operator="greaterThan">
      <formula>F20</formula>
    </cfRule>
  </conditionalFormatting>
  <conditionalFormatting sqref="B20">
    <cfRule type="cellIs" dxfId="0" priority="327" operator="greaterThan">
      <formula>G15</formula>
    </cfRule>
  </conditionalFormatting>
  <conditionalFormatting sqref="C20">
    <cfRule type="cellIs" dxfId="0" priority="328" operator="greaterThan">
      <formula>G16</formula>
    </cfRule>
  </conditionalFormatting>
  <conditionalFormatting sqref="D20">
    <cfRule type="cellIs" dxfId="0" priority="329" operator="greaterThan">
      <formula>G17</formula>
    </cfRule>
  </conditionalFormatting>
  <conditionalFormatting sqref="E20">
    <cfRule type="cellIs" dxfId="0" priority="330" operator="greaterThan">
      <formula>G18</formula>
    </cfRule>
  </conditionalFormatting>
  <conditionalFormatting sqref="F20">
    <cfRule type="cellIs" dxfId="0" priority="331" operator="greaterThan">
      <formula>G19</formula>
    </cfRule>
  </conditionalFormatting>
  <conditionalFormatting sqref="K15">
    <cfRule type="cellIs" dxfId="0" priority="332" operator="greaterThan">
      <formula>J16</formula>
    </cfRule>
  </conditionalFormatting>
  <conditionalFormatting sqref="L15">
    <cfRule type="cellIs" dxfId="0" priority="333" operator="greaterThan">
      <formula>J17</formula>
    </cfRule>
  </conditionalFormatting>
  <conditionalFormatting sqref="M15">
    <cfRule type="cellIs" dxfId="0" priority="334" operator="greaterThan">
      <formula>J18</formula>
    </cfRule>
  </conditionalFormatting>
  <conditionalFormatting sqref="N15">
    <cfRule type="cellIs" dxfId="0" priority="335" operator="greaterThan">
      <formula>J19</formula>
    </cfRule>
  </conditionalFormatting>
  <conditionalFormatting sqref="O15 P15:P20">
    <cfRule type="cellIs" dxfId="0" priority="336" operator="greaterThan">
      <formula>J20</formula>
    </cfRule>
  </conditionalFormatting>
  <conditionalFormatting sqref="J16">
    <cfRule type="cellIs" dxfId="0" priority="337" operator="greaterThan">
      <formula>K15</formula>
    </cfRule>
  </conditionalFormatting>
  <conditionalFormatting sqref="L16">
    <cfRule type="cellIs" dxfId="0" priority="338" operator="greaterThan">
      <formula>K17</formula>
    </cfRule>
  </conditionalFormatting>
  <conditionalFormatting sqref="M16">
    <cfRule type="cellIs" dxfId="0" priority="339" operator="greaterThan">
      <formula>K18</formula>
    </cfRule>
  </conditionalFormatting>
  <conditionalFormatting sqref="N16">
    <cfRule type="cellIs" dxfId="0" priority="340" operator="greaterThan">
      <formula>K19</formula>
    </cfRule>
  </conditionalFormatting>
  <conditionalFormatting sqref="O16:P16">
    <cfRule type="cellIs" dxfId="0" priority="341" operator="greaterThan">
      <formula>K20</formula>
    </cfRule>
  </conditionalFormatting>
  <conditionalFormatting sqref="J17">
    <cfRule type="cellIs" dxfId="0" priority="342" operator="greaterThan">
      <formula>L15</formula>
    </cfRule>
  </conditionalFormatting>
  <conditionalFormatting sqref="K17">
    <cfRule type="cellIs" dxfId="0" priority="343" operator="greaterThan">
      <formula>L16</formula>
    </cfRule>
  </conditionalFormatting>
  <conditionalFormatting sqref="M17">
    <cfRule type="cellIs" dxfId="0" priority="344" operator="greaterThan">
      <formula>L18</formula>
    </cfRule>
  </conditionalFormatting>
  <conditionalFormatting sqref="N17">
    <cfRule type="cellIs" dxfId="0" priority="345" operator="greaterThan">
      <formula>L19</formula>
    </cfRule>
  </conditionalFormatting>
  <conditionalFormatting sqref="O17:P17">
    <cfRule type="cellIs" dxfId="0" priority="346" operator="greaterThan">
      <formula>L20</formula>
    </cfRule>
  </conditionalFormatting>
  <conditionalFormatting sqref="J18">
    <cfRule type="cellIs" dxfId="0" priority="347" operator="greaterThan">
      <formula>M15</formula>
    </cfRule>
  </conditionalFormatting>
  <conditionalFormatting sqref="K18">
    <cfRule type="cellIs" dxfId="0" priority="348" operator="greaterThan">
      <formula>M16</formula>
    </cfRule>
  </conditionalFormatting>
  <conditionalFormatting sqref="L18">
    <cfRule type="cellIs" dxfId="0" priority="349" operator="greaterThan">
      <formula>M17</formula>
    </cfRule>
  </conditionalFormatting>
  <conditionalFormatting sqref="N18">
    <cfRule type="cellIs" dxfId="0" priority="350" operator="greaterThan">
      <formula>M19</formula>
    </cfRule>
  </conditionalFormatting>
  <conditionalFormatting sqref="O18:P18">
    <cfRule type="cellIs" dxfId="0" priority="351" operator="greaterThan">
      <formula>M20</formula>
    </cfRule>
  </conditionalFormatting>
  <conditionalFormatting sqref="J19">
    <cfRule type="cellIs" dxfId="0" priority="352" operator="greaterThan">
      <formula>N15</formula>
    </cfRule>
  </conditionalFormatting>
  <conditionalFormatting sqref="K19">
    <cfRule type="cellIs" dxfId="0" priority="353" operator="greaterThan">
      <formula>N16</formula>
    </cfRule>
  </conditionalFormatting>
  <conditionalFormatting sqref="L19">
    <cfRule type="cellIs" dxfId="0" priority="354" operator="greaterThan">
      <formula>N17</formula>
    </cfRule>
  </conditionalFormatting>
  <conditionalFormatting sqref="M19">
    <cfRule type="cellIs" dxfId="0" priority="355" operator="greaterThan">
      <formula>N18</formula>
    </cfRule>
  </conditionalFormatting>
  <conditionalFormatting sqref="O19:P19">
    <cfRule type="cellIs" dxfId="0" priority="356" operator="greaterThan">
      <formula>N20</formula>
    </cfRule>
  </conditionalFormatting>
  <conditionalFormatting sqref="J20">
    <cfRule type="cellIs" dxfId="0" priority="357" operator="greaterThan">
      <formula>O15</formula>
    </cfRule>
  </conditionalFormatting>
  <conditionalFormatting sqref="K20">
    <cfRule type="cellIs" dxfId="0" priority="358" operator="greaterThan">
      <formula>O16</formula>
    </cfRule>
  </conditionalFormatting>
  <conditionalFormatting sqref="L20">
    <cfRule type="cellIs" dxfId="0" priority="359" operator="greaterThan">
      <formula>O17</formula>
    </cfRule>
  </conditionalFormatting>
  <conditionalFormatting sqref="M20">
    <cfRule type="cellIs" dxfId="0" priority="360" operator="greaterThan">
      <formula>O18</formula>
    </cfRule>
  </conditionalFormatting>
  <conditionalFormatting sqref="N20">
    <cfRule type="cellIs" dxfId="0" priority="361" operator="greaterThan">
      <formula>O19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DAF8"/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19.38"/>
    <col customWidth="1" min="3" max="3" width="18.5"/>
  </cols>
  <sheetData>
    <row r="1" ht="80.25" customHeight="1">
      <c r="A1" s="1" t="s">
        <v>6</v>
      </c>
    </row>
    <row r="2">
      <c r="A2" s="2" t="s">
        <v>1</v>
      </c>
      <c r="B2" s="3" t="s">
        <v>10</v>
      </c>
      <c r="C2" s="3" t="s">
        <v>12</v>
      </c>
    </row>
    <row r="3">
      <c r="A3" s="4" t="s">
        <v>4</v>
      </c>
      <c r="B3" s="6" t="s">
        <v>7</v>
      </c>
      <c r="C3" s="19">
        <f>sum('RR Scoresheet'!B6:G6)</f>
        <v>742</v>
      </c>
    </row>
    <row r="4">
      <c r="A4" s="4" t="s">
        <v>8</v>
      </c>
      <c r="B4" s="6" t="s">
        <v>9</v>
      </c>
      <c r="C4" s="25">
        <f>sum('RR Scoresheet'!B7:G7)</f>
        <v>744</v>
      </c>
    </row>
    <row r="5">
      <c r="A5" s="4" t="s">
        <v>11</v>
      </c>
      <c r="B5" s="6" t="s">
        <v>13</v>
      </c>
      <c r="C5" s="25">
        <f>sum('RR Scoresheet'!B8:G8)</f>
        <v>324</v>
      </c>
    </row>
    <row r="6">
      <c r="A6" s="4" t="s">
        <v>14</v>
      </c>
      <c r="B6" s="6" t="s">
        <v>15</v>
      </c>
      <c r="C6" s="25">
        <f>sum('RR Scoresheet'!B9:G9)</f>
        <v>68</v>
      </c>
    </row>
    <row r="7">
      <c r="A7" s="4" t="s">
        <v>16</v>
      </c>
      <c r="B7" s="9" t="s">
        <v>17</v>
      </c>
      <c r="C7" s="25">
        <f>sum('RR Scoresheet'!B10:G10)</f>
        <v>224</v>
      </c>
    </row>
    <row r="8">
      <c r="A8" s="4" t="s">
        <v>18</v>
      </c>
      <c r="B8" s="6" t="s">
        <v>19</v>
      </c>
      <c r="C8" s="25">
        <f>sum('RR Scoresheet'!B11:G11)</f>
        <v>230</v>
      </c>
    </row>
    <row r="9">
      <c r="A9" s="11" t="s">
        <v>20</v>
      </c>
      <c r="B9" s="13" t="s">
        <v>21</v>
      </c>
      <c r="C9" s="46">
        <f>sum('RR Scoresheet'!J6:O6)</f>
        <v>508</v>
      </c>
    </row>
    <row r="10">
      <c r="A10" s="11" t="s">
        <v>22</v>
      </c>
      <c r="B10" s="13" t="s">
        <v>23</v>
      </c>
      <c r="C10" s="49">
        <f>sum('RR Scoresheet'!J7:O7)</f>
        <v>74</v>
      </c>
    </row>
    <row r="11">
      <c r="A11" s="11" t="s">
        <v>24</v>
      </c>
      <c r="B11" s="13" t="s">
        <v>25</v>
      </c>
      <c r="C11" s="46">
        <f>sum('RR Scoresheet'!J8:O8)</f>
        <v>416</v>
      </c>
    </row>
    <row r="12">
      <c r="A12" s="11" t="s">
        <v>26</v>
      </c>
      <c r="B12" s="13" t="s">
        <v>27</v>
      </c>
      <c r="C12" s="49">
        <f>sum('RR Scoresheet'!J9:O9)</f>
        <v>488</v>
      </c>
    </row>
    <row r="13">
      <c r="A13" s="11" t="s">
        <v>28</v>
      </c>
      <c r="B13" s="13" t="s">
        <v>30</v>
      </c>
      <c r="C13" s="46">
        <f>sum('RR Scoresheet'!J10:O10)</f>
        <v>698</v>
      </c>
    </row>
    <row r="14">
      <c r="A14" s="11" t="s">
        <v>31</v>
      </c>
      <c r="B14" s="13" t="s">
        <v>33</v>
      </c>
      <c r="C14" s="46">
        <f>sum('RR Scoresheet'!J11:O11)</f>
        <v>280</v>
      </c>
    </row>
    <row r="15">
      <c r="A15" s="4" t="s">
        <v>34</v>
      </c>
      <c r="B15" s="6" t="s">
        <v>35</v>
      </c>
      <c r="C15" s="19">
        <f>sum('RR Scoresheet'!B15:G15)</f>
        <v>354</v>
      </c>
    </row>
    <row r="16">
      <c r="A16" s="4" t="s">
        <v>36</v>
      </c>
      <c r="B16" s="6" t="s">
        <v>37</v>
      </c>
      <c r="C16" s="19">
        <f>sum('RR Scoresheet'!B16:G16)</f>
        <v>660</v>
      </c>
    </row>
    <row r="17">
      <c r="A17" s="4" t="s">
        <v>38</v>
      </c>
      <c r="B17" s="6" t="s">
        <v>39</v>
      </c>
      <c r="C17" s="19">
        <f>sum('RR Scoresheet'!B17:G17)</f>
        <v>138</v>
      </c>
    </row>
    <row r="18">
      <c r="A18" s="4" t="s">
        <v>40</v>
      </c>
      <c r="B18" s="6" t="s">
        <v>41</v>
      </c>
      <c r="C18" s="19">
        <f>sum('RR Scoresheet'!B18:G18)</f>
        <v>218</v>
      </c>
    </row>
    <row r="19">
      <c r="A19" s="4" t="s">
        <v>42</v>
      </c>
      <c r="B19" s="6" t="s">
        <v>43</v>
      </c>
      <c r="C19" s="19">
        <f>sum('RR Scoresheet'!B19:G19)</f>
        <v>124</v>
      </c>
    </row>
    <row r="20">
      <c r="A20" s="4" t="s">
        <v>44</v>
      </c>
      <c r="B20" s="6" t="s">
        <v>45</v>
      </c>
      <c r="C20" s="19">
        <f>sum('RR Scoresheet'!B20:G20)</f>
        <v>776</v>
      </c>
    </row>
    <row r="21">
      <c r="A21" s="11" t="s">
        <v>46</v>
      </c>
      <c r="B21" s="13" t="s">
        <v>47</v>
      </c>
      <c r="C21" s="46">
        <f>sum('RR Scoresheet'!J15:O15)</f>
        <v>150</v>
      </c>
    </row>
    <row r="22">
      <c r="A22" s="11" t="s">
        <v>48</v>
      </c>
      <c r="B22" s="13" t="s">
        <v>49</v>
      </c>
      <c r="C22" s="46">
        <f>sum('RR Scoresheet'!J16:O16)</f>
        <v>1174</v>
      </c>
    </row>
    <row r="23">
      <c r="A23" s="11" t="s">
        <v>50</v>
      </c>
      <c r="B23" s="13" t="s">
        <v>51</v>
      </c>
      <c r="C23" s="46">
        <f>sum('RR Scoresheet'!J17:O17)</f>
        <v>248</v>
      </c>
    </row>
    <row r="24">
      <c r="A24" s="11" t="s">
        <v>52</v>
      </c>
      <c r="B24" s="13" t="s">
        <v>53</v>
      </c>
      <c r="C24" s="46">
        <f>sum('RR Scoresheet'!J18:O18)</f>
        <v>182</v>
      </c>
    </row>
    <row r="25">
      <c r="A25" s="11" t="s">
        <v>54</v>
      </c>
      <c r="B25" s="13" t="s">
        <v>55</v>
      </c>
      <c r="C25" s="46">
        <f>sum('RR Scoresheet'!J19:O19)</f>
        <v>322</v>
      </c>
    </row>
    <row r="26">
      <c r="A26" s="11" t="s">
        <v>56</v>
      </c>
      <c r="B26" s="13" t="s">
        <v>58</v>
      </c>
      <c r="C26" s="46">
        <f>sum('RR Scoresheet'!J20:O20)</f>
        <v>600</v>
      </c>
    </row>
    <row r="27">
      <c r="A27" s="13"/>
      <c r="B27" s="13"/>
      <c r="C27" s="46"/>
    </row>
    <row r="28">
      <c r="A28" s="13"/>
      <c r="B28" s="13"/>
      <c r="C28" s="46"/>
    </row>
    <row r="29">
      <c r="A29" s="13"/>
      <c r="B29" s="13"/>
      <c r="C29" s="46"/>
    </row>
    <row r="30">
      <c r="A30" s="13"/>
      <c r="B30" s="13"/>
      <c r="C30" s="46"/>
    </row>
    <row r="31">
      <c r="A31" s="13"/>
      <c r="B31" s="13"/>
      <c r="C31" s="46"/>
    </row>
    <row r="32">
      <c r="A32" s="13"/>
      <c r="B32" s="13"/>
      <c r="C32" s="46"/>
    </row>
    <row r="33">
      <c r="A33" s="13"/>
      <c r="B33" s="13"/>
      <c r="C33" s="46"/>
    </row>
    <row r="34">
      <c r="A34" s="13"/>
      <c r="B34" s="13"/>
      <c r="C34" s="46"/>
    </row>
    <row r="35">
      <c r="A35" s="13"/>
      <c r="B35" s="13"/>
      <c r="C35" s="46"/>
    </row>
    <row r="36">
      <c r="A36" s="13"/>
      <c r="B36" s="13"/>
      <c r="C36" s="46"/>
    </row>
    <row r="37">
      <c r="A37" s="13"/>
      <c r="B37" s="13"/>
      <c r="C37" s="46"/>
    </row>
    <row r="38">
      <c r="A38" s="13"/>
      <c r="B38" s="13"/>
      <c r="C38" s="46"/>
    </row>
    <row r="39">
      <c r="A39" s="13"/>
      <c r="B39" s="13"/>
      <c r="C39" s="46"/>
    </row>
    <row r="40">
      <c r="A40" s="13"/>
      <c r="B40" s="13"/>
      <c r="C40" s="46"/>
    </row>
    <row r="41">
      <c r="A41" s="13"/>
      <c r="B41" s="13"/>
      <c r="C41" s="46"/>
    </row>
    <row r="42">
      <c r="A42" s="13"/>
      <c r="B42" s="13"/>
      <c r="C42" s="46"/>
    </row>
    <row r="43">
      <c r="A43" s="13"/>
      <c r="B43" s="13"/>
      <c r="C43" s="46"/>
    </row>
    <row r="44">
      <c r="A44" s="13"/>
      <c r="B44" s="13"/>
      <c r="C44" s="46"/>
    </row>
    <row r="45">
      <c r="A45" s="13"/>
      <c r="B45" s="13"/>
      <c r="C45" s="46"/>
    </row>
    <row r="46">
      <c r="A46" s="13"/>
      <c r="B46" s="13"/>
      <c r="C46" s="46"/>
    </row>
    <row r="47">
      <c r="A47" s="13"/>
      <c r="B47" s="13"/>
      <c r="C47" s="46"/>
    </row>
    <row r="48">
      <c r="A48" s="13"/>
      <c r="B48" s="13"/>
      <c r="C48" s="46"/>
    </row>
    <row r="49">
      <c r="A49" s="13"/>
      <c r="B49" s="13"/>
      <c r="C49" s="46"/>
    </row>
    <row r="50">
      <c r="A50" s="13"/>
      <c r="B50" s="13"/>
      <c r="C50" s="46"/>
    </row>
    <row r="51">
      <c r="A51" s="13"/>
      <c r="B51" s="13"/>
      <c r="C51" s="46"/>
    </row>
    <row r="52">
      <c r="A52" s="13"/>
      <c r="B52" s="13"/>
      <c r="C52" s="46"/>
    </row>
    <row r="53">
      <c r="A53" s="13"/>
      <c r="B53" s="13"/>
      <c r="C53" s="46"/>
    </row>
    <row r="54">
      <c r="A54" s="13"/>
      <c r="B54" s="13"/>
      <c r="C54" s="46"/>
    </row>
    <row r="55">
      <c r="A55" s="13"/>
      <c r="B55" s="13"/>
      <c r="C55" s="46"/>
    </row>
    <row r="56">
      <c r="A56" s="13"/>
      <c r="B56" s="13"/>
      <c r="C56" s="46"/>
    </row>
    <row r="57">
      <c r="A57" s="13"/>
      <c r="B57" s="13"/>
      <c r="C57" s="46"/>
    </row>
    <row r="58">
      <c r="A58" s="13"/>
      <c r="B58" s="13"/>
      <c r="C58" s="46"/>
    </row>
    <row r="59">
      <c r="A59" s="13"/>
      <c r="B59" s="13"/>
      <c r="C59" s="46"/>
    </row>
    <row r="60">
      <c r="A60" s="13"/>
      <c r="B60" s="13"/>
      <c r="C60" s="46"/>
    </row>
    <row r="61">
      <c r="A61" s="13"/>
      <c r="B61" s="13"/>
      <c r="C61" s="46"/>
    </row>
    <row r="62">
      <c r="A62" s="13"/>
      <c r="B62" s="13"/>
      <c r="C62" s="46"/>
    </row>
    <row r="63">
      <c r="A63" s="13"/>
      <c r="B63" s="13"/>
      <c r="C63" s="46"/>
    </row>
    <row r="64">
      <c r="A64" s="13"/>
      <c r="B64" s="13"/>
      <c r="C64" s="46"/>
    </row>
    <row r="65">
      <c r="A65" s="13"/>
      <c r="B65" s="13"/>
      <c r="C65" s="46"/>
    </row>
    <row r="66">
      <c r="A66" s="13"/>
      <c r="B66" s="13"/>
      <c r="C66" s="46"/>
    </row>
    <row r="67">
      <c r="A67" s="13"/>
      <c r="B67" s="13"/>
      <c r="C67" s="46"/>
    </row>
    <row r="68">
      <c r="A68" s="13"/>
      <c r="B68" s="13"/>
      <c r="C68" s="46"/>
    </row>
    <row r="69">
      <c r="A69" s="13"/>
      <c r="B69" s="13"/>
      <c r="C69" s="46"/>
    </row>
    <row r="70">
      <c r="A70" s="13"/>
      <c r="B70" s="13"/>
      <c r="C70" s="46"/>
    </row>
    <row r="71">
      <c r="A71" s="13"/>
      <c r="B71" s="13"/>
      <c r="C71" s="46"/>
    </row>
    <row r="72">
      <c r="A72" s="13"/>
      <c r="B72" s="13"/>
      <c r="C72" s="46"/>
    </row>
    <row r="73">
      <c r="A73" s="13"/>
      <c r="B73" s="13"/>
      <c r="C73" s="46"/>
    </row>
    <row r="74">
      <c r="A74" s="13"/>
      <c r="B74" s="13"/>
      <c r="C74" s="46"/>
    </row>
    <row r="75">
      <c r="A75" s="13"/>
      <c r="B75" s="13"/>
      <c r="C75" s="46"/>
    </row>
    <row r="76">
      <c r="A76" s="13"/>
      <c r="B76" s="13"/>
      <c r="C76" s="46"/>
    </row>
    <row r="77">
      <c r="A77" s="13"/>
      <c r="B77" s="13"/>
      <c r="C77" s="46"/>
    </row>
    <row r="78">
      <c r="A78" s="13"/>
      <c r="B78" s="13"/>
      <c r="C78" s="46"/>
    </row>
    <row r="79">
      <c r="A79" s="13"/>
      <c r="B79" s="13"/>
      <c r="C79" s="46"/>
    </row>
    <row r="80">
      <c r="A80" s="13"/>
      <c r="B80" s="13"/>
      <c r="C80" s="46"/>
    </row>
    <row r="81">
      <c r="A81" s="13"/>
      <c r="B81" s="13"/>
      <c r="C81" s="46"/>
    </row>
    <row r="82">
      <c r="A82" s="13"/>
      <c r="B82" s="13"/>
      <c r="C82" s="46"/>
    </row>
    <row r="83">
      <c r="A83" s="13"/>
      <c r="B83" s="13"/>
      <c r="C83" s="46"/>
    </row>
    <row r="84">
      <c r="A84" s="13"/>
      <c r="B84" s="13"/>
      <c r="C84" s="46"/>
    </row>
    <row r="85">
      <c r="A85" s="13"/>
      <c r="B85" s="13"/>
      <c r="C85" s="46"/>
    </row>
    <row r="86">
      <c r="A86" s="13"/>
      <c r="B86" s="13"/>
      <c r="C86" s="46"/>
    </row>
    <row r="87">
      <c r="A87" s="13"/>
      <c r="B87" s="13"/>
      <c r="C87" s="46"/>
    </row>
    <row r="88">
      <c r="A88" s="13"/>
      <c r="B88" s="13"/>
      <c r="C88" s="46"/>
    </row>
    <row r="89">
      <c r="A89" s="13"/>
      <c r="B89" s="13"/>
      <c r="C89" s="46"/>
    </row>
    <row r="90">
      <c r="A90" s="13"/>
      <c r="B90" s="13"/>
      <c r="C90" s="46"/>
    </row>
    <row r="91">
      <c r="A91" s="13"/>
      <c r="B91" s="13"/>
      <c r="C91" s="46"/>
    </row>
    <row r="92">
      <c r="A92" s="13"/>
      <c r="B92" s="13"/>
      <c r="C92" s="46"/>
    </row>
    <row r="93">
      <c r="A93" s="13"/>
      <c r="B93" s="13"/>
      <c r="C93" s="46"/>
    </row>
    <row r="94">
      <c r="A94" s="13"/>
      <c r="B94" s="13"/>
      <c r="C94" s="46"/>
    </row>
    <row r="95">
      <c r="A95" s="13"/>
      <c r="B95" s="13"/>
      <c r="C95" s="46"/>
    </row>
    <row r="96">
      <c r="A96" s="13"/>
      <c r="B96" s="13"/>
      <c r="C96" s="46"/>
    </row>
    <row r="97">
      <c r="A97" s="13"/>
      <c r="B97" s="13"/>
      <c r="C97" s="46"/>
    </row>
    <row r="98">
      <c r="A98" s="13"/>
      <c r="B98" s="13"/>
      <c r="C98" s="46"/>
    </row>
    <row r="99">
      <c r="A99" s="13"/>
      <c r="B99" s="13"/>
      <c r="C99" s="46"/>
    </row>
    <row r="100">
      <c r="A100" s="13"/>
      <c r="B100" s="13"/>
      <c r="C100" s="46"/>
    </row>
    <row r="101">
      <c r="A101" s="13"/>
      <c r="B101" s="13"/>
      <c r="C101" s="46"/>
    </row>
    <row r="102">
      <c r="A102" s="13"/>
      <c r="B102" s="13"/>
      <c r="C102" s="46"/>
    </row>
    <row r="103">
      <c r="A103" s="13"/>
      <c r="B103" s="13"/>
      <c r="C103" s="46"/>
    </row>
    <row r="104">
      <c r="A104" s="13"/>
      <c r="B104" s="13"/>
      <c r="C104" s="46"/>
    </row>
    <row r="105">
      <c r="A105" s="13"/>
      <c r="B105" s="13"/>
      <c r="C105" s="46"/>
    </row>
    <row r="106">
      <c r="A106" s="13"/>
      <c r="B106" s="13"/>
      <c r="C106" s="46"/>
    </row>
    <row r="107">
      <c r="A107" s="13"/>
      <c r="B107" s="13"/>
      <c r="C107" s="46"/>
    </row>
    <row r="108">
      <c r="A108" s="13"/>
      <c r="B108" s="13"/>
      <c r="C108" s="46"/>
    </row>
    <row r="109">
      <c r="A109" s="13"/>
      <c r="B109" s="13"/>
      <c r="C109" s="46"/>
    </row>
    <row r="110">
      <c r="A110" s="13"/>
      <c r="B110" s="13"/>
      <c r="C110" s="46"/>
    </row>
    <row r="111">
      <c r="A111" s="13"/>
      <c r="B111" s="13"/>
      <c r="C111" s="46"/>
    </row>
    <row r="112">
      <c r="A112" s="13"/>
      <c r="B112" s="13"/>
      <c r="C112" s="46"/>
    </row>
    <row r="113">
      <c r="A113" s="13"/>
      <c r="B113" s="13"/>
      <c r="C113" s="46"/>
    </row>
    <row r="114">
      <c r="A114" s="13"/>
      <c r="B114" s="13"/>
      <c r="C114" s="46"/>
    </row>
    <row r="115">
      <c r="A115" s="13"/>
      <c r="B115" s="13"/>
      <c r="C115" s="46"/>
    </row>
    <row r="116">
      <c r="A116" s="13"/>
      <c r="B116" s="13"/>
      <c r="C116" s="46"/>
    </row>
    <row r="117">
      <c r="A117" s="13"/>
      <c r="B117" s="13"/>
      <c r="C117" s="46"/>
    </row>
    <row r="118">
      <c r="A118" s="13"/>
      <c r="B118" s="13"/>
      <c r="C118" s="46"/>
    </row>
    <row r="119">
      <c r="A119" s="13"/>
      <c r="B119" s="13"/>
      <c r="C119" s="46"/>
    </row>
    <row r="120">
      <c r="A120" s="13"/>
      <c r="B120" s="13"/>
      <c r="C120" s="46"/>
    </row>
    <row r="121">
      <c r="A121" s="13"/>
      <c r="B121" s="13"/>
      <c r="C121" s="46"/>
    </row>
    <row r="122">
      <c r="A122" s="13"/>
      <c r="B122" s="13"/>
      <c r="C122" s="46"/>
    </row>
    <row r="123">
      <c r="A123" s="13"/>
      <c r="B123" s="13"/>
      <c r="C123" s="46"/>
    </row>
    <row r="124">
      <c r="A124" s="13"/>
      <c r="B124" s="13"/>
      <c r="C124" s="46"/>
    </row>
    <row r="125">
      <c r="A125" s="13"/>
      <c r="B125" s="13"/>
      <c r="C125" s="46"/>
    </row>
    <row r="126">
      <c r="A126" s="13"/>
      <c r="B126" s="13"/>
      <c r="C126" s="46"/>
    </row>
    <row r="127">
      <c r="A127" s="13"/>
      <c r="B127" s="13"/>
      <c r="C127" s="46"/>
    </row>
    <row r="128">
      <c r="A128" s="13"/>
      <c r="B128" s="13"/>
      <c r="C128" s="46"/>
    </row>
    <row r="129">
      <c r="A129" s="13"/>
      <c r="B129" s="13"/>
      <c r="C129" s="46"/>
    </row>
    <row r="130">
      <c r="A130" s="13"/>
      <c r="B130" s="13"/>
      <c r="C130" s="46"/>
    </row>
    <row r="131">
      <c r="A131" s="13"/>
      <c r="B131" s="13"/>
      <c r="C131" s="46"/>
    </row>
    <row r="132">
      <c r="A132" s="13"/>
      <c r="B132" s="13"/>
      <c r="C132" s="46"/>
    </row>
    <row r="133">
      <c r="A133" s="13"/>
      <c r="B133" s="13"/>
      <c r="C133" s="46"/>
    </row>
    <row r="134">
      <c r="A134" s="13"/>
      <c r="B134" s="13"/>
      <c r="C134" s="46"/>
    </row>
    <row r="135">
      <c r="A135" s="13"/>
      <c r="B135" s="13"/>
      <c r="C135" s="46"/>
    </row>
    <row r="136">
      <c r="A136" s="13"/>
      <c r="B136" s="13"/>
      <c r="C136" s="46"/>
    </row>
    <row r="137">
      <c r="A137" s="13"/>
      <c r="B137" s="13"/>
      <c r="C137" s="46"/>
    </row>
    <row r="138">
      <c r="A138" s="13"/>
      <c r="B138" s="13"/>
      <c r="C138" s="46"/>
    </row>
    <row r="139">
      <c r="A139" s="13"/>
      <c r="B139" s="13"/>
      <c r="C139" s="46"/>
    </row>
    <row r="140">
      <c r="A140" s="13"/>
      <c r="B140" s="13"/>
      <c r="C140" s="46"/>
    </row>
    <row r="141">
      <c r="A141" s="13"/>
      <c r="B141" s="13"/>
      <c r="C141" s="46"/>
    </row>
    <row r="142">
      <c r="A142" s="13"/>
      <c r="B142" s="13"/>
      <c r="C142" s="46"/>
    </row>
    <row r="143">
      <c r="A143" s="13"/>
      <c r="B143" s="13"/>
      <c r="C143" s="46"/>
    </row>
    <row r="144">
      <c r="A144" s="13"/>
      <c r="B144" s="13"/>
      <c r="C144" s="46"/>
    </row>
    <row r="145">
      <c r="A145" s="13"/>
      <c r="B145" s="13"/>
      <c r="C145" s="46"/>
    </row>
    <row r="146">
      <c r="A146" s="13"/>
      <c r="B146" s="13"/>
      <c r="C146" s="46"/>
    </row>
    <row r="147">
      <c r="A147" s="13"/>
      <c r="B147" s="13"/>
      <c r="C147" s="46"/>
    </row>
    <row r="148">
      <c r="A148" s="13"/>
      <c r="B148" s="13"/>
      <c r="C148" s="46"/>
    </row>
    <row r="149">
      <c r="A149" s="13"/>
      <c r="B149" s="13"/>
      <c r="C149" s="46"/>
    </row>
    <row r="150">
      <c r="A150" s="13"/>
      <c r="B150" s="13"/>
      <c r="C150" s="46"/>
    </row>
    <row r="151">
      <c r="A151" s="13"/>
      <c r="B151" s="13"/>
      <c r="C151" s="46"/>
    </row>
    <row r="152">
      <c r="A152" s="13"/>
      <c r="B152" s="13"/>
      <c r="C152" s="46"/>
    </row>
    <row r="153">
      <c r="A153" s="13"/>
      <c r="B153" s="13"/>
      <c r="C153" s="46"/>
    </row>
    <row r="154">
      <c r="A154" s="13"/>
      <c r="B154" s="13"/>
      <c r="C154" s="46"/>
    </row>
    <row r="155">
      <c r="A155" s="13"/>
      <c r="B155" s="13"/>
      <c r="C155" s="46"/>
    </row>
    <row r="156">
      <c r="A156" s="13"/>
      <c r="B156" s="13"/>
      <c r="C156" s="46"/>
    </row>
    <row r="157">
      <c r="A157" s="13"/>
      <c r="B157" s="13"/>
      <c r="C157" s="46"/>
    </row>
    <row r="158">
      <c r="A158" s="13"/>
      <c r="B158" s="13"/>
      <c r="C158" s="46"/>
    </row>
    <row r="159">
      <c r="A159" s="13"/>
      <c r="B159" s="13"/>
      <c r="C159" s="46"/>
    </row>
    <row r="160">
      <c r="A160" s="13"/>
      <c r="B160" s="13"/>
      <c r="C160" s="46"/>
    </row>
    <row r="161">
      <c r="A161" s="13"/>
      <c r="B161" s="13"/>
      <c r="C161" s="46"/>
    </row>
    <row r="162">
      <c r="A162" s="13"/>
      <c r="B162" s="13"/>
      <c r="C162" s="46"/>
    </row>
    <row r="163">
      <c r="A163" s="13"/>
      <c r="B163" s="13"/>
      <c r="C163" s="46"/>
    </row>
    <row r="164">
      <c r="A164" s="13"/>
      <c r="B164" s="13"/>
      <c r="C164" s="46"/>
    </row>
    <row r="165">
      <c r="A165" s="13"/>
      <c r="B165" s="13"/>
      <c r="C165" s="46"/>
    </row>
    <row r="166">
      <c r="A166" s="13"/>
      <c r="B166" s="13"/>
      <c r="C166" s="46"/>
    </row>
    <row r="167">
      <c r="A167" s="13"/>
      <c r="B167" s="13"/>
      <c r="C167" s="46"/>
    </row>
    <row r="168">
      <c r="A168" s="13"/>
      <c r="B168" s="13"/>
      <c r="C168" s="46"/>
    </row>
    <row r="169">
      <c r="A169" s="13"/>
      <c r="B169" s="13"/>
      <c r="C169" s="46"/>
    </row>
    <row r="170">
      <c r="A170" s="13"/>
      <c r="B170" s="13"/>
      <c r="C170" s="46"/>
    </row>
    <row r="171">
      <c r="A171" s="13"/>
      <c r="B171" s="13"/>
      <c r="C171" s="46"/>
    </row>
    <row r="172">
      <c r="A172" s="13"/>
      <c r="B172" s="13"/>
      <c r="C172" s="46"/>
    </row>
    <row r="173">
      <c r="A173" s="13"/>
      <c r="B173" s="13"/>
      <c r="C173" s="46"/>
    </row>
    <row r="174">
      <c r="A174" s="13"/>
      <c r="B174" s="13"/>
      <c r="C174" s="46"/>
    </row>
    <row r="175">
      <c r="A175" s="13"/>
      <c r="B175" s="13"/>
      <c r="C175" s="46"/>
    </row>
    <row r="176">
      <c r="A176" s="13"/>
      <c r="B176" s="13"/>
      <c r="C176" s="46"/>
    </row>
    <row r="177">
      <c r="A177" s="13"/>
      <c r="B177" s="13"/>
      <c r="C177" s="46"/>
    </row>
    <row r="178">
      <c r="A178" s="13"/>
      <c r="B178" s="13"/>
      <c r="C178" s="46"/>
    </row>
    <row r="179">
      <c r="A179" s="13"/>
      <c r="B179" s="13"/>
      <c r="C179" s="46"/>
    </row>
    <row r="180">
      <c r="A180" s="13"/>
      <c r="B180" s="13"/>
      <c r="C180" s="46"/>
    </row>
    <row r="181">
      <c r="A181" s="13"/>
      <c r="B181" s="13"/>
      <c r="C181" s="46"/>
    </row>
    <row r="182">
      <c r="A182" s="13"/>
      <c r="B182" s="13"/>
      <c r="C182" s="46"/>
    </row>
    <row r="183">
      <c r="A183" s="13"/>
      <c r="B183" s="13"/>
      <c r="C183" s="46"/>
    </row>
    <row r="184">
      <c r="A184" s="13"/>
      <c r="B184" s="13"/>
      <c r="C184" s="46"/>
    </row>
    <row r="185">
      <c r="A185" s="13"/>
      <c r="B185" s="13"/>
      <c r="C185" s="46"/>
    </row>
    <row r="186">
      <c r="A186" s="13"/>
      <c r="B186" s="13"/>
      <c r="C186" s="46"/>
    </row>
    <row r="187">
      <c r="A187" s="13"/>
      <c r="B187" s="13"/>
      <c r="C187" s="46"/>
    </row>
    <row r="188">
      <c r="A188" s="13"/>
      <c r="B188" s="13"/>
      <c r="C188" s="46"/>
    </row>
    <row r="189">
      <c r="A189" s="13"/>
      <c r="B189" s="13"/>
      <c r="C189" s="46"/>
    </row>
    <row r="190">
      <c r="A190" s="13"/>
      <c r="B190" s="13"/>
      <c r="C190" s="46"/>
    </row>
    <row r="191">
      <c r="A191" s="13"/>
      <c r="B191" s="13"/>
      <c r="C191" s="46"/>
    </row>
    <row r="192">
      <c r="A192" s="13"/>
      <c r="B192" s="13"/>
      <c r="C192" s="46"/>
    </row>
    <row r="193">
      <c r="A193" s="13"/>
      <c r="B193" s="13"/>
      <c r="C193" s="46"/>
    </row>
    <row r="194">
      <c r="A194" s="13"/>
      <c r="B194" s="13"/>
      <c r="C194" s="46"/>
    </row>
    <row r="195">
      <c r="A195" s="13"/>
      <c r="B195" s="13"/>
      <c r="C195" s="46"/>
    </row>
    <row r="196">
      <c r="A196" s="13"/>
      <c r="B196" s="13"/>
      <c r="C196" s="46"/>
    </row>
    <row r="197">
      <c r="A197" s="13"/>
      <c r="B197" s="13"/>
      <c r="C197" s="46"/>
    </row>
    <row r="198">
      <c r="A198" s="13"/>
      <c r="B198" s="13"/>
      <c r="C198" s="46"/>
    </row>
    <row r="199">
      <c r="A199" s="13"/>
      <c r="B199" s="13"/>
      <c r="C199" s="46"/>
    </row>
    <row r="200">
      <c r="A200" s="13"/>
      <c r="B200" s="13"/>
      <c r="C200" s="46"/>
    </row>
    <row r="201">
      <c r="A201" s="13"/>
      <c r="B201" s="13"/>
      <c r="C201" s="46"/>
    </row>
    <row r="202">
      <c r="A202" s="13"/>
      <c r="B202" s="13"/>
      <c r="C202" s="46"/>
    </row>
    <row r="203">
      <c r="A203" s="13"/>
      <c r="B203" s="13"/>
      <c r="C203" s="46"/>
    </row>
    <row r="204">
      <c r="A204" s="13"/>
      <c r="B204" s="13"/>
      <c r="C204" s="46"/>
    </row>
    <row r="205">
      <c r="A205" s="13"/>
      <c r="B205" s="13"/>
      <c r="C205" s="46"/>
    </row>
    <row r="206">
      <c r="A206" s="13"/>
      <c r="B206" s="13"/>
      <c r="C206" s="46"/>
    </row>
    <row r="207">
      <c r="A207" s="13"/>
      <c r="B207" s="13"/>
      <c r="C207" s="46"/>
    </row>
    <row r="208">
      <c r="A208" s="13"/>
      <c r="B208" s="13"/>
      <c r="C208" s="46"/>
    </row>
    <row r="209">
      <c r="A209" s="13"/>
      <c r="B209" s="13"/>
      <c r="C209" s="46"/>
    </row>
    <row r="210">
      <c r="A210" s="13"/>
      <c r="B210" s="13"/>
      <c r="C210" s="46"/>
    </row>
    <row r="211">
      <c r="A211" s="13"/>
      <c r="B211" s="13"/>
      <c r="C211" s="46"/>
    </row>
    <row r="212">
      <c r="A212" s="13"/>
      <c r="B212" s="13"/>
      <c r="C212" s="46"/>
    </row>
    <row r="213">
      <c r="A213" s="13"/>
      <c r="B213" s="13"/>
      <c r="C213" s="46"/>
    </row>
    <row r="214">
      <c r="A214" s="13"/>
      <c r="B214" s="13"/>
      <c r="C214" s="46"/>
    </row>
    <row r="215">
      <c r="A215" s="13"/>
      <c r="B215" s="13"/>
      <c r="C215" s="46"/>
    </row>
    <row r="216">
      <c r="A216" s="13"/>
      <c r="B216" s="13"/>
      <c r="C216" s="46"/>
    </row>
    <row r="217">
      <c r="A217" s="13"/>
      <c r="B217" s="13"/>
      <c r="C217" s="46"/>
    </row>
    <row r="218">
      <c r="A218" s="13"/>
      <c r="B218" s="13"/>
      <c r="C218" s="46"/>
    </row>
    <row r="219">
      <c r="A219" s="13"/>
      <c r="B219" s="13"/>
      <c r="C219" s="46"/>
    </row>
    <row r="220">
      <c r="A220" s="13"/>
      <c r="B220" s="13"/>
      <c r="C220" s="46"/>
    </row>
    <row r="221">
      <c r="A221" s="13"/>
      <c r="B221" s="13"/>
      <c r="C221" s="46"/>
    </row>
    <row r="222">
      <c r="A222" s="13"/>
      <c r="B222" s="13"/>
      <c r="C222" s="46"/>
    </row>
    <row r="223">
      <c r="A223" s="13"/>
      <c r="B223" s="13"/>
      <c r="C223" s="46"/>
    </row>
    <row r="224">
      <c r="A224" s="13"/>
      <c r="B224" s="13"/>
      <c r="C224" s="46"/>
    </row>
    <row r="225">
      <c r="A225" s="13"/>
      <c r="B225" s="13"/>
      <c r="C225" s="46"/>
    </row>
    <row r="226">
      <c r="A226" s="13"/>
      <c r="B226" s="13"/>
      <c r="C226" s="46"/>
    </row>
    <row r="227">
      <c r="A227" s="13"/>
      <c r="B227" s="13"/>
      <c r="C227" s="46"/>
    </row>
    <row r="228">
      <c r="A228" s="13"/>
      <c r="B228" s="13"/>
      <c r="C228" s="46"/>
    </row>
    <row r="229">
      <c r="A229" s="13"/>
      <c r="B229" s="13"/>
      <c r="C229" s="46"/>
    </row>
    <row r="230">
      <c r="A230" s="13"/>
      <c r="B230" s="13"/>
      <c r="C230" s="46"/>
    </row>
    <row r="231">
      <c r="A231" s="13"/>
      <c r="B231" s="13"/>
      <c r="C231" s="46"/>
    </row>
    <row r="232">
      <c r="A232" s="13"/>
      <c r="B232" s="13"/>
      <c r="C232" s="46"/>
    </row>
    <row r="233">
      <c r="A233" s="13"/>
      <c r="B233" s="13"/>
      <c r="C233" s="46"/>
    </row>
    <row r="234">
      <c r="A234" s="13"/>
      <c r="B234" s="13"/>
      <c r="C234" s="46"/>
    </row>
    <row r="235">
      <c r="A235" s="13"/>
      <c r="B235" s="13"/>
      <c r="C235" s="46"/>
    </row>
    <row r="236">
      <c r="A236" s="13"/>
      <c r="B236" s="13"/>
      <c r="C236" s="46"/>
    </row>
    <row r="237">
      <c r="A237" s="13"/>
      <c r="B237" s="13"/>
      <c r="C237" s="46"/>
    </row>
    <row r="238">
      <c r="A238" s="13"/>
      <c r="B238" s="13"/>
      <c r="C238" s="46"/>
    </row>
    <row r="239">
      <c r="A239" s="13"/>
      <c r="B239" s="13"/>
      <c r="C239" s="46"/>
    </row>
    <row r="240">
      <c r="A240" s="13"/>
      <c r="B240" s="13"/>
      <c r="C240" s="46"/>
    </row>
    <row r="241">
      <c r="A241" s="13"/>
      <c r="B241" s="13"/>
      <c r="C241" s="46"/>
    </row>
    <row r="242">
      <c r="A242" s="13"/>
      <c r="B242" s="13"/>
      <c r="C242" s="46"/>
    </row>
    <row r="243">
      <c r="A243" s="13"/>
      <c r="B243" s="13"/>
      <c r="C243" s="46"/>
    </row>
    <row r="244">
      <c r="A244" s="13"/>
      <c r="B244" s="13"/>
      <c r="C244" s="46"/>
    </row>
    <row r="245">
      <c r="A245" s="13"/>
      <c r="B245" s="13"/>
      <c r="C245" s="46"/>
    </row>
    <row r="246">
      <c r="A246" s="13"/>
      <c r="B246" s="13"/>
      <c r="C246" s="46"/>
    </row>
    <row r="247">
      <c r="A247" s="13"/>
      <c r="B247" s="13"/>
      <c r="C247" s="46"/>
    </row>
    <row r="248">
      <c r="A248" s="13"/>
      <c r="B248" s="13"/>
      <c r="C248" s="46"/>
    </row>
    <row r="249">
      <c r="A249" s="13"/>
      <c r="B249" s="13"/>
      <c r="C249" s="46"/>
    </row>
    <row r="250">
      <c r="A250" s="13"/>
      <c r="B250" s="13"/>
      <c r="C250" s="46"/>
    </row>
    <row r="251">
      <c r="A251" s="13"/>
      <c r="B251" s="13"/>
      <c r="C251" s="46"/>
    </row>
    <row r="252">
      <c r="A252" s="13"/>
      <c r="B252" s="13"/>
      <c r="C252" s="46"/>
    </row>
    <row r="253">
      <c r="A253" s="13"/>
      <c r="B253" s="13"/>
      <c r="C253" s="46"/>
    </row>
    <row r="254">
      <c r="A254" s="13"/>
      <c r="B254" s="13"/>
      <c r="C254" s="46"/>
    </row>
    <row r="255">
      <c r="A255" s="13"/>
      <c r="B255" s="13"/>
      <c r="C255" s="46"/>
    </row>
    <row r="256">
      <c r="A256" s="13"/>
      <c r="B256" s="13"/>
      <c r="C256" s="46"/>
    </row>
    <row r="257">
      <c r="A257" s="13"/>
      <c r="B257" s="13"/>
      <c r="C257" s="46"/>
    </row>
    <row r="258">
      <c r="A258" s="13"/>
      <c r="B258" s="13"/>
      <c r="C258" s="46"/>
    </row>
    <row r="259">
      <c r="A259" s="13"/>
      <c r="B259" s="13"/>
      <c r="C259" s="46"/>
    </row>
    <row r="260">
      <c r="A260" s="13"/>
      <c r="B260" s="13"/>
      <c r="C260" s="46"/>
    </row>
    <row r="261">
      <c r="A261" s="13"/>
      <c r="B261" s="13"/>
      <c r="C261" s="46"/>
    </row>
    <row r="262">
      <c r="A262" s="13"/>
      <c r="B262" s="13"/>
      <c r="C262" s="46"/>
    </row>
    <row r="263">
      <c r="A263" s="13"/>
      <c r="B263" s="13"/>
      <c r="C263" s="46"/>
    </row>
    <row r="264">
      <c r="A264" s="13"/>
      <c r="B264" s="13"/>
      <c r="C264" s="46"/>
    </row>
    <row r="265">
      <c r="A265" s="13"/>
      <c r="B265" s="13"/>
      <c r="C265" s="46"/>
    </row>
    <row r="266">
      <c r="A266" s="13"/>
      <c r="B266" s="13"/>
      <c r="C266" s="46"/>
    </row>
    <row r="267">
      <c r="A267" s="13"/>
      <c r="B267" s="13"/>
      <c r="C267" s="46"/>
    </row>
    <row r="268">
      <c r="A268" s="13"/>
      <c r="B268" s="13"/>
      <c r="C268" s="46"/>
    </row>
    <row r="269">
      <c r="A269" s="13"/>
      <c r="B269" s="13"/>
      <c r="C269" s="46"/>
    </row>
    <row r="270">
      <c r="A270" s="13"/>
      <c r="B270" s="13"/>
      <c r="C270" s="46"/>
    </row>
    <row r="271">
      <c r="A271" s="13"/>
      <c r="B271" s="13"/>
      <c r="C271" s="46"/>
    </row>
    <row r="272">
      <c r="A272" s="13"/>
      <c r="B272" s="13"/>
      <c r="C272" s="46"/>
    </row>
    <row r="273">
      <c r="A273" s="13"/>
      <c r="B273" s="13"/>
      <c r="C273" s="46"/>
    </row>
    <row r="274">
      <c r="A274" s="13"/>
      <c r="B274" s="13"/>
      <c r="C274" s="46"/>
    </row>
    <row r="275">
      <c r="A275" s="13"/>
      <c r="B275" s="13"/>
      <c r="C275" s="46"/>
    </row>
    <row r="276">
      <c r="A276" s="13"/>
      <c r="B276" s="13"/>
      <c r="C276" s="46"/>
    </row>
    <row r="277">
      <c r="A277" s="13"/>
      <c r="B277" s="13"/>
      <c r="C277" s="46"/>
    </row>
    <row r="278">
      <c r="A278" s="13"/>
      <c r="B278" s="13"/>
      <c r="C278" s="46"/>
    </row>
    <row r="279">
      <c r="A279" s="13"/>
      <c r="B279" s="13"/>
      <c r="C279" s="46"/>
    </row>
    <row r="280">
      <c r="A280" s="13"/>
      <c r="B280" s="13"/>
      <c r="C280" s="46"/>
    </row>
    <row r="281">
      <c r="A281" s="13"/>
      <c r="B281" s="13"/>
      <c r="C281" s="46"/>
    </row>
    <row r="282">
      <c r="A282" s="13"/>
      <c r="B282" s="13"/>
      <c r="C282" s="46"/>
    </row>
    <row r="283">
      <c r="A283" s="13"/>
      <c r="B283" s="13"/>
      <c r="C283" s="46"/>
    </row>
    <row r="284">
      <c r="A284" s="13"/>
      <c r="B284" s="13"/>
      <c r="C284" s="46"/>
    </row>
    <row r="285">
      <c r="A285" s="13"/>
      <c r="B285" s="13"/>
      <c r="C285" s="46"/>
    </row>
    <row r="286">
      <c r="A286" s="13"/>
      <c r="B286" s="13"/>
      <c r="C286" s="46"/>
    </row>
    <row r="287">
      <c r="A287" s="13"/>
      <c r="B287" s="13"/>
      <c r="C287" s="46"/>
    </row>
    <row r="288">
      <c r="A288" s="13"/>
      <c r="B288" s="13"/>
      <c r="C288" s="46"/>
    </row>
    <row r="289">
      <c r="A289" s="13"/>
      <c r="B289" s="13"/>
      <c r="C289" s="46"/>
    </row>
    <row r="290">
      <c r="A290" s="13"/>
      <c r="B290" s="13"/>
      <c r="C290" s="46"/>
    </row>
    <row r="291">
      <c r="A291" s="13"/>
      <c r="B291" s="13"/>
      <c r="C291" s="46"/>
    </row>
    <row r="292">
      <c r="A292" s="13"/>
      <c r="B292" s="13"/>
      <c r="C292" s="46"/>
    </row>
    <row r="293">
      <c r="A293" s="13"/>
      <c r="B293" s="13"/>
      <c r="C293" s="46"/>
    </row>
    <row r="294">
      <c r="A294" s="13"/>
      <c r="B294" s="13"/>
      <c r="C294" s="46"/>
    </row>
    <row r="295">
      <c r="A295" s="13"/>
      <c r="B295" s="13"/>
      <c r="C295" s="46"/>
    </row>
    <row r="296">
      <c r="A296" s="13"/>
      <c r="B296" s="13"/>
      <c r="C296" s="46"/>
    </row>
    <row r="297">
      <c r="A297" s="13"/>
      <c r="B297" s="13"/>
      <c r="C297" s="46"/>
    </row>
    <row r="298">
      <c r="A298" s="13"/>
      <c r="B298" s="13"/>
      <c r="C298" s="46"/>
    </row>
    <row r="299">
      <c r="A299" s="13"/>
      <c r="B299" s="13"/>
      <c r="C299" s="46"/>
    </row>
    <row r="300">
      <c r="A300" s="13"/>
      <c r="B300" s="13"/>
      <c r="C300" s="46"/>
    </row>
    <row r="301">
      <c r="A301" s="13"/>
      <c r="B301" s="13"/>
      <c r="C301" s="46"/>
    </row>
    <row r="302">
      <c r="A302" s="13"/>
      <c r="B302" s="13"/>
      <c r="C302" s="46"/>
    </row>
    <row r="303">
      <c r="A303" s="13"/>
      <c r="B303" s="13"/>
      <c r="C303" s="46"/>
    </row>
    <row r="304">
      <c r="A304" s="13"/>
      <c r="B304" s="13"/>
      <c r="C304" s="46"/>
    </row>
    <row r="305">
      <c r="A305" s="13"/>
      <c r="B305" s="13"/>
      <c r="C305" s="46"/>
    </row>
    <row r="306">
      <c r="A306" s="13"/>
      <c r="B306" s="13"/>
      <c r="C306" s="46"/>
    </row>
    <row r="307">
      <c r="A307" s="13"/>
      <c r="B307" s="13"/>
      <c r="C307" s="46"/>
    </row>
    <row r="308">
      <c r="A308" s="13"/>
      <c r="B308" s="13"/>
      <c r="C308" s="46"/>
    </row>
    <row r="309">
      <c r="A309" s="13"/>
      <c r="B309" s="13"/>
      <c r="C309" s="46"/>
    </row>
    <row r="310">
      <c r="A310" s="13"/>
      <c r="B310" s="13"/>
      <c r="C310" s="46"/>
    </row>
    <row r="311">
      <c r="A311" s="13"/>
      <c r="B311" s="13"/>
      <c r="C311" s="46"/>
    </row>
    <row r="312">
      <c r="A312" s="13"/>
      <c r="B312" s="13"/>
      <c r="C312" s="46"/>
    </row>
    <row r="313">
      <c r="A313" s="13"/>
      <c r="B313" s="13"/>
      <c r="C313" s="46"/>
    </row>
    <row r="314">
      <c r="A314" s="13"/>
      <c r="B314" s="13"/>
      <c r="C314" s="46"/>
    </row>
    <row r="315">
      <c r="A315" s="13"/>
      <c r="B315" s="13"/>
      <c r="C315" s="46"/>
    </row>
    <row r="316">
      <c r="A316" s="13"/>
      <c r="B316" s="13"/>
      <c r="C316" s="46"/>
    </row>
    <row r="317">
      <c r="A317" s="13"/>
      <c r="B317" s="13"/>
      <c r="C317" s="46"/>
    </row>
    <row r="318">
      <c r="A318" s="13"/>
      <c r="B318" s="13"/>
      <c r="C318" s="46"/>
    </row>
    <row r="319">
      <c r="A319" s="13"/>
      <c r="B319" s="13"/>
      <c r="C319" s="46"/>
    </row>
    <row r="320">
      <c r="A320" s="13"/>
      <c r="B320" s="13"/>
      <c r="C320" s="46"/>
    </row>
    <row r="321">
      <c r="A321" s="13"/>
      <c r="B321" s="13"/>
      <c r="C321" s="46"/>
    </row>
    <row r="322">
      <c r="A322" s="13"/>
      <c r="B322" s="13"/>
      <c r="C322" s="46"/>
    </row>
    <row r="323">
      <c r="A323" s="13"/>
      <c r="B323" s="13"/>
      <c r="C323" s="46"/>
    </row>
    <row r="324">
      <c r="A324" s="13"/>
      <c r="B324" s="13"/>
      <c r="C324" s="46"/>
    </row>
    <row r="325">
      <c r="A325" s="13"/>
      <c r="B325" s="13"/>
      <c r="C325" s="46"/>
    </row>
    <row r="326">
      <c r="A326" s="13"/>
      <c r="B326" s="13"/>
      <c r="C326" s="46"/>
    </row>
    <row r="327">
      <c r="A327" s="13"/>
      <c r="B327" s="13"/>
      <c r="C327" s="46"/>
    </row>
    <row r="328">
      <c r="A328" s="13"/>
      <c r="B328" s="13"/>
      <c r="C328" s="46"/>
    </row>
    <row r="329">
      <c r="A329" s="13"/>
      <c r="B329" s="13"/>
      <c r="C329" s="46"/>
    </row>
    <row r="330">
      <c r="A330" s="13"/>
      <c r="B330" s="13"/>
      <c r="C330" s="46"/>
    </row>
    <row r="331">
      <c r="A331" s="13"/>
      <c r="B331" s="13"/>
      <c r="C331" s="46"/>
    </row>
    <row r="332">
      <c r="A332" s="13"/>
      <c r="B332" s="13"/>
      <c r="C332" s="46"/>
    </row>
    <row r="333">
      <c r="A333" s="13"/>
      <c r="B333" s="13"/>
      <c r="C333" s="46"/>
    </row>
    <row r="334">
      <c r="A334" s="13"/>
      <c r="B334" s="13"/>
      <c r="C334" s="46"/>
    </row>
    <row r="335">
      <c r="A335" s="13"/>
      <c r="B335" s="13"/>
      <c r="C335" s="46"/>
    </row>
    <row r="336">
      <c r="A336" s="13"/>
      <c r="B336" s="13"/>
      <c r="C336" s="46"/>
    </row>
    <row r="337">
      <c r="A337" s="13"/>
      <c r="B337" s="13"/>
      <c r="C337" s="46"/>
    </row>
    <row r="338">
      <c r="A338" s="13"/>
      <c r="B338" s="13"/>
      <c r="C338" s="46"/>
    </row>
    <row r="339">
      <c r="A339" s="13"/>
      <c r="B339" s="13"/>
      <c r="C339" s="46"/>
    </row>
    <row r="340">
      <c r="A340" s="13"/>
      <c r="B340" s="13"/>
      <c r="C340" s="46"/>
    </row>
    <row r="341">
      <c r="A341" s="13"/>
      <c r="B341" s="13"/>
      <c r="C341" s="46"/>
    </row>
    <row r="342">
      <c r="A342" s="13"/>
      <c r="B342" s="13"/>
      <c r="C342" s="46"/>
    </row>
    <row r="343">
      <c r="A343" s="13"/>
      <c r="B343" s="13"/>
      <c r="C343" s="46"/>
    </row>
    <row r="344">
      <c r="A344" s="13"/>
      <c r="B344" s="13"/>
      <c r="C344" s="46"/>
    </row>
    <row r="345">
      <c r="A345" s="13"/>
      <c r="B345" s="13"/>
      <c r="C345" s="46"/>
    </row>
    <row r="346">
      <c r="A346" s="13"/>
      <c r="B346" s="13"/>
      <c r="C346" s="46"/>
    </row>
    <row r="347">
      <c r="A347" s="13"/>
      <c r="B347" s="13"/>
      <c r="C347" s="46"/>
    </row>
    <row r="348">
      <c r="A348" s="13"/>
      <c r="B348" s="13"/>
      <c r="C348" s="46"/>
    </row>
    <row r="349">
      <c r="A349" s="13"/>
      <c r="B349" s="13"/>
      <c r="C349" s="46"/>
    </row>
    <row r="350">
      <c r="A350" s="13"/>
      <c r="B350" s="13"/>
      <c r="C350" s="46"/>
    </row>
    <row r="351">
      <c r="A351" s="13"/>
      <c r="B351" s="13"/>
      <c r="C351" s="46"/>
    </row>
    <row r="352">
      <c r="A352" s="13"/>
      <c r="B352" s="13"/>
      <c r="C352" s="46"/>
    </row>
    <row r="353">
      <c r="A353" s="13"/>
      <c r="B353" s="13"/>
      <c r="C353" s="46"/>
    </row>
    <row r="354">
      <c r="A354" s="13"/>
      <c r="B354" s="13"/>
      <c r="C354" s="46"/>
    </row>
    <row r="355">
      <c r="A355" s="13"/>
      <c r="B355" s="13"/>
      <c r="C355" s="46"/>
    </row>
    <row r="356">
      <c r="A356" s="13"/>
      <c r="B356" s="13"/>
      <c r="C356" s="46"/>
    </row>
    <row r="357">
      <c r="A357" s="13"/>
      <c r="B357" s="13"/>
      <c r="C357" s="46"/>
    </row>
    <row r="358">
      <c r="A358" s="13"/>
      <c r="B358" s="13"/>
      <c r="C358" s="46"/>
    </row>
    <row r="359">
      <c r="A359" s="13"/>
      <c r="B359" s="13"/>
      <c r="C359" s="46"/>
    </row>
    <row r="360">
      <c r="A360" s="13"/>
      <c r="B360" s="13"/>
      <c r="C360" s="46"/>
    </row>
    <row r="361">
      <c r="A361" s="13"/>
      <c r="B361" s="13"/>
      <c r="C361" s="46"/>
    </row>
    <row r="362">
      <c r="A362" s="13"/>
      <c r="B362" s="13"/>
      <c r="C362" s="46"/>
    </row>
    <row r="363">
      <c r="A363" s="13"/>
      <c r="B363" s="13"/>
      <c r="C363" s="46"/>
    </row>
    <row r="364">
      <c r="A364" s="13"/>
      <c r="B364" s="13"/>
      <c r="C364" s="46"/>
    </row>
    <row r="365">
      <c r="A365" s="13"/>
      <c r="B365" s="13"/>
      <c r="C365" s="46"/>
    </row>
    <row r="366">
      <c r="A366" s="13"/>
      <c r="B366" s="13"/>
      <c r="C366" s="46"/>
    </row>
    <row r="367">
      <c r="A367" s="13"/>
      <c r="B367" s="13"/>
      <c r="C367" s="46"/>
    </row>
    <row r="368">
      <c r="A368" s="13"/>
      <c r="B368" s="13"/>
      <c r="C368" s="46"/>
    </row>
    <row r="369">
      <c r="A369" s="13"/>
      <c r="B369" s="13"/>
      <c r="C369" s="46"/>
    </row>
    <row r="370">
      <c r="A370" s="13"/>
      <c r="B370" s="13"/>
      <c r="C370" s="46"/>
    </row>
    <row r="371">
      <c r="A371" s="13"/>
      <c r="B371" s="13"/>
      <c r="C371" s="46"/>
    </row>
    <row r="372">
      <c r="A372" s="13"/>
      <c r="B372" s="13"/>
      <c r="C372" s="46"/>
    </row>
    <row r="373">
      <c r="A373" s="13"/>
      <c r="B373" s="13"/>
      <c r="C373" s="46"/>
    </row>
    <row r="374">
      <c r="A374" s="13"/>
      <c r="B374" s="13"/>
      <c r="C374" s="46"/>
    </row>
    <row r="375">
      <c r="A375" s="13"/>
      <c r="B375" s="13"/>
      <c r="C375" s="46"/>
    </row>
    <row r="376">
      <c r="A376" s="13"/>
      <c r="B376" s="13"/>
      <c r="C376" s="46"/>
    </row>
    <row r="377">
      <c r="A377" s="13"/>
      <c r="B377" s="13"/>
      <c r="C377" s="46"/>
    </row>
    <row r="378">
      <c r="A378" s="13"/>
      <c r="B378" s="13"/>
      <c r="C378" s="46"/>
    </row>
    <row r="379">
      <c r="A379" s="13"/>
      <c r="B379" s="13"/>
      <c r="C379" s="46"/>
    </row>
    <row r="380">
      <c r="A380" s="13"/>
      <c r="B380" s="13"/>
      <c r="C380" s="46"/>
    </row>
    <row r="381">
      <c r="A381" s="13"/>
      <c r="B381" s="13"/>
      <c r="C381" s="46"/>
    </row>
    <row r="382">
      <c r="A382" s="13"/>
      <c r="B382" s="13"/>
      <c r="C382" s="46"/>
    </row>
    <row r="383">
      <c r="A383" s="13"/>
      <c r="B383" s="13"/>
      <c r="C383" s="46"/>
    </row>
    <row r="384">
      <c r="A384" s="13"/>
      <c r="B384" s="13"/>
      <c r="C384" s="46"/>
    </row>
    <row r="385">
      <c r="A385" s="13"/>
      <c r="B385" s="13"/>
      <c r="C385" s="46"/>
    </row>
    <row r="386">
      <c r="A386" s="13"/>
      <c r="B386" s="13"/>
      <c r="C386" s="46"/>
    </row>
    <row r="387">
      <c r="A387" s="13"/>
      <c r="B387" s="13"/>
      <c r="C387" s="46"/>
    </row>
    <row r="388">
      <c r="A388" s="13"/>
      <c r="B388" s="13"/>
      <c r="C388" s="46"/>
    </row>
    <row r="389">
      <c r="A389" s="13"/>
      <c r="B389" s="13"/>
      <c r="C389" s="46"/>
    </row>
    <row r="390">
      <c r="A390" s="13"/>
      <c r="B390" s="13"/>
      <c r="C390" s="46"/>
    </row>
    <row r="391">
      <c r="A391" s="13"/>
      <c r="B391" s="13"/>
      <c r="C391" s="46"/>
    </row>
    <row r="392">
      <c r="A392" s="13"/>
      <c r="B392" s="13"/>
      <c r="C392" s="46"/>
    </row>
    <row r="393">
      <c r="A393" s="13"/>
      <c r="B393" s="13"/>
      <c r="C393" s="46"/>
    </row>
    <row r="394">
      <c r="A394" s="13"/>
      <c r="B394" s="13"/>
      <c r="C394" s="46"/>
    </row>
    <row r="395">
      <c r="A395" s="13"/>
      <c r="B395" s="13"/>
      <c r="C395" s="46"/>
    </row>
    <row r="396">
      <c r="A396" s="13"/>
      <c r="B396" s="13"/>
      <c r="C396" s="46"/>
    </row>
    <row r="397">
      <c r="A397" s="13"/>
      <c r="B397" s="13"/>
      <c r="C397" s="46"/>
    </row>
    <row r="398">
      <c r="A398" s="13"/>
      <c r="B398" s="13"/>
      <c r="C398" s="46"/>
    </row>
    <row r="399">
      <c r="A399" s="13"/>
      <c r="B399" s="13"/>
      <c r="C399" s="46"/>
    </row>
    <row r="400">
      <c r="A400" s="13"/>
      <c r="B400" s="13"/>
      <c r="C400" s="46"/>
    </row>
    <row r="401">
      <c r="A401" s="13"/>
      <c r="B401" s="13"/>
      <c r="C401" s="46"/>
    </row>
    <row r="402">
      <c r="A402" s="13"/>
      <c r="B402" s="13"/>
      <c r="C402" s="46"/>
    </row>
    <row r="403">
      <c r="A403" s="13"/>
      <c r="B403" s="13"/>
      <c r="C403" s="46"/>
    </row>
    <row r="404">
      <c r="A404" s="13"/>
      <c r="B404" s="13"/>
      <c r="C404" s="46"/>
    </row>
    <row r="405">
      <c r="A405" s="13"/>
      <c r="B405" s="13"/>
      <c r="C405" s="46"/>
    </row>
    <row r="406">
      <c r="A406" s="13"/>
      <c r="B406" s="13"/>
      <c r="C406" s="46"/>
    </row>
    <row r="407">
      <c r="A407" s="13"/>
      <c r="B407" s="13"/>
      <c r="C407" s="46"/>
    </row>
    <row r="408">
      <c r="A408" s="13"/>
      <c r="B408" s="13"/>
      <c r="C408" s="46"/>
    </row>
    <row r="409">
      <c r="A409" s="13"/>
      <c r="B409" s="13"/>
      <c r="C409" s="46"/>
    </row>
    <row r="410">
      <c r="A410" s="13"/>
      <c r="B410" s="13"/>
      <c r="C410" s="46"/>
    </row>
    <row r="411">
      <c r="A411" s="13"/>
      <c r="B411" s="13"/>
      <c r="C411" s="46"/>
    </row>
    <row r="412">
      <c r="A412" s="13"/>
      <c r="B412" s="13"/>
      <c r="C412" s="46"/>
    </row>
    <row r="413">
      <c r="A413" s="13"/>
      <c r="B413" s="13"/>
      <c r="C413" s="46"/>
    </row>
    <row r="414">
      <c r="A414" s="13"/>
      <c r="B414" s="13"/>
      <c r="C414" s="46"/>
    </row>
    <row r="415">
      <c r="A415" s="13"/>
      <c r="B415" s="13"/>
      <c r="C415" s="46"/>
    </row>
    <row r="416">
      <c r="A416" s="13"/>
      <c r="B416" s="13"/>
      <c r="C416" s="46"/>
    </row>
    <row r="417">
      <c r="A417" s="13"/>
      <c r="B417" s="13"/>
      <c r="C417" s="46"/>
    </row>
    <row r="418">
      <c r="A418" s="13"/>
      <c r="B418" s="13"/>
      <c r="C418" s="46"/>
    </row>
    <row r="419">
      <c r="A419" s="13"/>
      <c r="B419" s="13"/>
      <c r="C419" s="46"/>
    </row>
    <row r="420">
      <c r="A420" s="13"/>
      <c r="B420" s="13"/>
      <c r="C420" s="46"/>
    </row>
    <row r="421">
      <c r="A421" s="13"/>
      <c r="B421" s="13"/>
      <c r="C421" s="46"/>
    </row>
    <row r="422">
      <c r="A422" s="13"/>
      <c r="B422" s="13"/>
      <c r="C422" s="46"/>
    </row>
    <row r="423">
      <c r="A423" s="13"/>
      <c r="B423" s="13"/>
      <c r="C423" s="46"/>
    </row>
    <row r="424">
      <c r="A424" s="13"/>
      <c r="B424" s="13"/>
      <c r="C424" s="46"/>
    </row>
    <row r="425">
      <c r="A425" s="13"/>
      <c r="B425" s="13"/>
      <c r="C425" s="46"/>
    </row>
    <row r="426">
      <c r="A426" s="13"/>
      <c r="B426" s="13"/>
      <c r="C426" s="46"/>
    </row>
    <row r="427">
      <c r="A427" s="13"/>
      <c r="B427" s="13"/>
      <c r="C427" s="46"/>
    </row>
    <row r="428">
      <c r="A428" s="13"/>
      <c r="B428" s="13"/>
      <c r="C428" s="46"/>
    </row>
    <row r="429">
      <c r="A429" s="13"/>
      <c r="B429" s="13"/>
      <c r="C429" s="46"/>
    </row>
    <row r="430">
      <c r="A430" s="13"/>
      <c r="B430" s="13"/>
      <c r="C430" s="46"/>
    </row>
    <row r="431">
      <c r="A431" s="13"/>
      <c r="B431" s="13"/>
      <c r="C431" s="46"/>
    </row>
    <row r="432">
      <c r="A432" s="13"/>
      <c r="B432" s="13"/>
      <c r="C432" s="46"/>
    </row>
    <row r="433">
      <c r="A433" s="13"/>
      <c r="B433" s="13"/>
      <c r="C433" s="46"/>
    </row>
    <row r="434">
      <c r="A434" s="13"/>
      <c r="B434" s="13"/>
      <c r="C434" s="46"/>
    </row>
    <row r="435">
      <c r="A435" s="13"/>
      <c r="B435" s="13"/>
      <c r="C435" s="46"/>
    </row>
    <row r="436">
      <c r="A436" s="13"/>
      <c r="B436" s="13"/>
      <c r="C436" s="46"/>
    </row>
    <row r="437">
      <c r="A437" s="13"/>
      <c r="B437" s="13"/>
      <c r="C437" s="46"/>
    </row>
    <row r="438">
      <c r="A438" s="13"/>
      <c r="B438" s="13"/>
      <c r="C438" s="46"/>
    </row>
    <row r="439">
      <c r="A439" s="13"/>
      <c r="B439" s="13"/>
      <c r="C439" s="46"/>
    </row>
    <row r="440">
      <c r="A440" s="13"/>
      <c r="B440" s="13"/>
      <c r="C440" s="46"/>
    </row>
    <row r="441">
      <c r="A441" s="13"/>
      <c r="B441" s="13"/>
      <c r="C441" s="46"/>
    </row>
    <row r="442">
      <c r="A442" s="13"/>
      <c r="B442" s="13"/>
      <c r="C442" s="46"/>
    </row>
    <row r="443">
      <c r="A443" s="13"/>
      <c r="B443" s="13"/>
      <c r="C443" s="46"/>
    </row>
    <row r="444">
      <c r="A444" s="13"/>
      <c r="B444" s="13"/>
      <c r="C444" s="46"/>
    </row>
    <row r="445">
      <c r="A445" s="13"/>
      <c r="B445" s="13"/>
      <c r="C445" s="46"/>
    </row>
    <row r="446">
      <c r="A446" s="13"/>
      <c r="B446" s="13"/>
      <c r="C446" s="46"/>
    </row>
    <row r="447">
      <c r="A447" s="13"/>
      <c r="B447" s="13"/>
      <c r="C447" s="46"/>
    </row>
    <row r="448">
      <c r="A448" s="13"/>
      <c r="B448" s="13"/>
      <c r="C448" s="46"/>
    </row>
    <row r="449">
      <c r="A449" s="13"/>
      <c r="B449" s="13"/>
      <c r="C449" s="46"/>
    </row>
    <row r="450">
      <c r="A450" s="13"/>
      <c r="B450" s="13"/>
      <c r="C450" s="46"/>
    </row>
    <row r="451">
      <c r="A451" s="13"/>
      <c r="B451" s="13"/>
      <c r="C451" s="46"/>
    </row>
    <row r="452">
      <c r="A452" s="13"/>
      <c r="B452" s="13"/>
      <c r="C452" s="46"/>
    </row>
    <row r="453">
      <c r="A453" s="13"/>
      <c r="B453" s="13"/>
      <c r="C453" s="46"/>
    </row>
    <row r="454">
      <c r="A454" s="13"/>
      <c r="B454" s="13"/>
      <c r="C454" s="46"/>
    </row>
    <row r="455">
      <c r="A455" s="13"/>
      <c r="B455" s="13"/>
      <c r="C455" s="46"/>
    </row>
    <row r="456">
      <c r="A456" s="13"/>
      <c r="B456" s="13"/>
      <c r="C456" s="46"/>
    </row>
    <row r="457">
      <c r="A457" s="13"/>
      <c r="B457" s="13"/>
      <c r="C457" s="46"/>
    </row>
    <row r="458">
      <c r="A458" s="13"/>
      <c r="B458" s="13"/>
      <c r="C458" s="46"/>
    </row>
    <row r="459">
      <c r="A459" s="13"/>
      <c r="B459" s="13"/>
      <c r="C459" s="46"/>
    </row>
    <row r="460">
      <c r="A460" s="13"/>
      <c r="B460" s="13"/>
      <c r="C460" s="46"/>
    </row>
    <row r="461">
      <c r="A461" s="13"/>
      <c r="B461" s="13"/>
      <c r="C461" s="46"/>
    </row>
    <row r="462">
      <c r="A462" s="13"/>
      <c r="B462" s="13"/>
      <c r="C462" s="46"/>
    </row>
    <row r="463">
      <c r="A463" s="13"/>
      <c r="B463" s="13"/>
      <c r="C463" s="46"/>
    </row>
    <row r="464">
      <c r="A464" s="13"/>
      <c r="B464" s="13"/>
      <c r="C464" s="46"/>
    </row>
    <row r="465">
      <c r="A465" s="13"/>
      <c r="B465" s="13"/>
      <c r="C465" s="46"/>
    </row>
    <row r="466">
      <c r="A466" s="13"/>
      <c r="B466" s="13"/>
      <c r="C466" s="46"/>
    </row>
    <row r="467">
      <c r="A467" s="13"/>
      <c r="B467" s="13"/>
      <c r="C467" s="46"/>
    </row>
    <row r="468">
      <c r="A468" s="13"/>
      <c r="B468" s="13"/>
      <c r="C468" s="46"/>
    </row>
    <row r="469">
      <c r="A469" s="13"/>
      <c r="B469" s="13"/>
      <c r="C469" s="46"/>
    </row>
    <row r="470">
      <c r="A470" s="13"/>
      <c r="B470" s="13"/>
      <c r="C470" s="46"/>
    </row>
    <row r="471">
      <c r="A471" s="13"/>
      <c r="B471" s="13"/>
      <c r="C471" s="46"/>
    </row>
    <row r="472">
      <c r="A472" s="13"/>
      <c r="B472" s="13"/>
      <c r="C472" s="46"/>
    </row>
    <row r="473">
      <c r="A473" s="13"/>
      <c r="B473" s="13"/>
      <c r="C473" s="46"/>
    </row>
    <row r="474">
      <c r="A474" s="13"/>
      <c r="B474" s="13"/>
      <c r="C474" s="46"/>
    </row>
    <row r="475">
      <c r="A475" s="13"/>
      <c r="B475" s="13"/>
      <c r="C475" s="46"/>
    </row>
    <row r="476">
      <c r="A476" s="13"/>
      <c r="B476" s="13"/>
      <c r="C476" s="46"/>
    </row>
    <row r="477">
      <c r="A477" s="13"/>
      <c r="B477" s="13"/>
      <c r="C477" s="46"/>
    </row>
    <row r="478">
      <c r="A478" s="13"/>
      <c r="B478" s="13"/>
      <c r="C478" s="46"/>
    </row>
    <row r="479">
      <c r="A479" s="13"/>
      <c r="B479" s="13"/>
      <c r="C479" s="46"/>
    </row>
    <row r="480">
      <c r="A480" s="13"/>
      <c r="B480" s="13"/>
      <c r="C480" s="46"/>
    </row>
    <row r="481">
      <c r="A481" s="13"/>
      <c r="B481" s="13"/>
      <c r="C481" s="46"/>
    </row>
    <row r="482">
      <c r="A482" s="13"/>
      <c r="B482" s="13"/>
      <c r="C482" s="46"/>
    </row>
    <row r="483">
      <c r="A483" s="13"/>
      <c r="B483" s="13"/>
      <c r="C483" s="46"/>
    </row>
    <row r="484">
      <c r="A484" s="13"/>
      <c r="B484" s="13"/>
      <c r="C484" s="46"/>
    </row>
    <row r="485">
      <c r="A485" s="13"/>
      <c r="B485" s="13"/>
      <c r="C485" s="46"/>
    </row>
    <row r="486">
      <c r="A486" s="13"/>
      <c r="B486" s="13"/>
      <c r="C486" s="46"/>
    </row>
    <row r="487">
      <c r="A487" s="13"/>
      <c r="B487" s="13"/>
      <c r="C487" s="46"/>
    </row>
    <row r="488">
      <c r="A488" s="13"/>
      <c r="B488" s="13"/>
      <c r="C488" s="46"/>
    </row>
    <row r="489">
      <c r="A489" s="13"/>
      <c r="B489" s="13"/>
      <c r="C489" s="46"/>
    </row>
    <row r="490">
      <c r="A490" s="13"/>
      <c r="B490" s="13"/>
      <c r="C490" s="46"/>
    </row>
    <row r="491">
      <c r="A491" s="13"/>
      <c r="B491" s="13"/>
      <c r="C491" s="46"/>
    </row>
    <row r="492">
      <c r="A492" s="13"/>
      <c r="B492" s="13"/>
      <c r="C492" s="46"/>
    </row>
    <row r="493">
      <c r="A493" s="13"/>
      <c r="B493" s="13"/>
      <c r="C493" s="46"/>
    </row>
    <row r="494">
      <c r="A494" s="13"/>
      <c r="B494" s="13"/>
      <c r="C494" s="46"/>
    </row>
    <row r="495">
      <c r="A495" s="13"/>
      <c r="B495" s="13"/>
      <c r="C495" s="46"/>
    </row>
    <row r="496">
      <c r="A496" s="13"/>
      <c r="B496" s="13"/>
      <c r="C496" s="46"/>
    </row>
    <row r="497">
      <c r="A497" s="13"/>
      <c r="B497" s="13"/>
      <c r="C497" s="46"/>
    </row>
    <row r="498">
      <c r="A498" s="13"/>
      <c r="B498" s="13"/>
      <c r="C498" s="46"/>
    </row>
    <row r="499">
      <c r="A499" s="13"/>
      <c r="B499" s="13"/>
      <c r="C499" s="46"/>
    </row>
    <row r="500">
      <c r="A500" s="13"/>
      <c r="B500" s="13"/>
      <c r="C500" s="46"/>
    </row>
    <row r="501">
      <c r="A501" s="13"/>
      <c r="B501" s="13"/>
      <c r="C501" s="46"/>
    </row>
    <row r="502">
      <c r="A502" s="13"/>
      <c r="B502" s="13"/>
      <c r="C502" s="46"/>
    </row>
    <row r="503">
      <c r="A503" s="13"/>
      <c r="B503" s="13"/>
      <c r="C503" s="46"/>
    </row>
    <row r="504">
      <c r="A504" s="13"/>
      <c r="B504" s="13"/>
      <c r="C504" s="46"/>
    </row>
    <row r="505">
      <c r="A505" s="13"/>
      <c r="B505" s="13"/>
      <c r="C505" s="46"/>
    </row>
    <row r="506">
      <c r="A506" s="13"/>
      <c r="B506" s="13"/>
      <c r="C506" s="46"/>
    </row>
    <row r="507">
      <c r="A507" s="13"/>
      <c r="B507" s="13"/>
      <c r="C507" s="46"/>
    </row>
    <row r="508">
      <c r="A508" s="13"/>
      <c r="B508" s="13"/>
      <c r="C508" s="46"/>
    </row>
    <row r="509">
      <c r="A509" s="13"/>
      <c r="B509" s="13"/>
      <c r="C509" s="46"/>
    </row>
    <row r="510">
      <c r="A510" s="13"/>
      <c r="B510" s="13"/>
      <c r="C510" s="46"/>
    </row>
    <row r="511">
      <c r="A511" s="13"/>
      <c r="B511" s="13"/>
      <c r="C511" s="46"/>
    </row>
    <row r="512">
      <c r="A512" s="13"/>
      <c r="B512" s="13"/>
      <c r="C512" s="46"/>
    </row>
    <row r="513">
      <c r="A513" s="13"/>
      <c r="B513" s="13"/>
      <c r="C513" s="46"/>
    </row>
    <row r="514">
      <c r="A514" s="13"/>
      <c r="B514" s="13"/>
      <c r="C514" s="46"/>
    </row>
    <row r="515">
      <c r="A515" s="13"/>
      <c r="B515" s="13"/>
      <c r="C515" s="46"/>
    </row>
    <row r="516">
      <c r="A516" s="13"/>
      <c r="B516" s="13"/>
      <c r="C516" s="46"/>
    </row>
    <row r="517">
      <c r="A517" s="13"/>
      <c r="B517" s="13"/>
      <c r="C517" s="46"/>
    </row>
    <row r="518">
      <c r="A518" s="13"/>
      <c r="B518" s="13"/>
      <c r="C518" s="46"/>
    </row>
    <row r="519">
      <c r="A519" s="13"/>
      <c r="B519" s="13"/>
      <c r="C519" s="46"/>
    </row>
    <row r="520">
      <c r="A520" s="13"/>
      <c r="B520" s="13"/>
      <c r="C520" s="46"/>
    </row>
    <row r="521">
      <c r="A521" s="13"/>
      <c r="B521" s="13"/>
      <c r="C521" s="46"/>
    </row>
    <row r="522">
      <c r="A522" s="13"/>
      <c r="B522" s="13"/>
      <c r="C522" s="46"/>
    </row>
    <row r="523">
      <c r="A523" s="13"/>
      <c r="B523" s="13"/>
      <c r="C523" s="46"/>
    </row>
    <row r="524">
      <c r="A524" s="13"/>
      <c r="B524" s="13"/>
      <c r="C524" s="46"/>
    </row>
    <row r="525">
      <c r="A525" s="13"/>
      <c r="B525" s="13"/>
      <c r="C525" s="46"/>
    </row>
    <row r="526">
      <c r="A526" s="13"/>
      <c r="B526" s="13"/>
      <c r="C526" s="46"/>
    </row>
    <row r="527">
      <c r="A527" s="13"/>
      <c r="B527" s="13"/>
      <c r="C527" s="46"/>
    </row>
    <row r="528">
      <c r="A528" s="13"/>
      <c r="B528" s="13"/>
      <c r="C528" s="46"/>
    </row>
    <row r="529">
      <c r="A529" s="13"/>
      <c r="B529" s="13"/>
      <c r="C529" s="46"/>
    </row>
    <row r="530">
      <c r="A530" s="13"/>
      <c r="B530" s="13"/>
      <c r="C530" s="46"/>
    </row>
    <row r="531">
      <c r="A531" s="13"/>
      <c r="B531" s="13"/>
      <c r="C531" s="46"/>
    </row>
    <row r="532">
      <c r="A532" s="13"/>
      <c r="B532" s="13"/>
      <c r="C532" s="46"/>
    </row>
    <row r="533">
      <c r="A533" s="13"/>
      <c r="B533" s="13"/>
      <c r="C533" s="46"/>
    </row>
    <row r="534">
      <c r="A534" s="13"/>
      <c r="B534" s="13"/>
      <c r="C534" s="46"/>
    </row>
    <row r="535">
      <c r="A535" s="13"/>
      <c r="B535" s="13"/>
      <c r="C535" s="46"/>
    </row>
    <row r="536">
      <c r="A536" s="13"/>
      <c r="B536" s="13"/>
      <c r="C536" s="46"/>
    </row>
    <row r="537">
      <c r="A537" s="13"/>
      <c r="B537" s="13"/>
      <c r="C537" s="46"/>
    </row>
    <row r="538">
      <c r="A538" s="13"/>
      <c r="B538" s="13"/>
      <c r="C538" s="46"/>
    </row>
    <row r="539">
      <c r="A539" s="13"/>
      <c r="B539" s="13"/>
      <c r="C539" s="46"/>
    </row>
    <row r="540">
      <c r="A540" s="13"/>
      <c r="B540" s="13"/>
      <c r="C540" s="46"/>
    </row>
    <row r="541">
      <c r="A541" s="13"/>
      <c r="B541" s="13"/>
      <c r="C541" s="46"/>
    </row>
    <row r="542">
      <c r="A542" s="13"/>
      <c r="B542" s="13"/>
      <c r="C542" s="46"/>
    </row>
    <row r="543">
      <c r="A543" s="13"/>
      <c r="B543" s="13"/>
      <c r="C543" s="46"/>
    </row>
    <row r="544">
      <c r="A544" s="13"/>
      <c r="B544" s="13"/>
      <c r="C544" s="46"/>
    </row>
    <row r="545">
      <c r="A545" s="13"/>
      <c r="B545" s="13"/>
      <c r="C545" s="46"/>
    </row>
    <row r="546">
      <c r="A546" s="13"/>
      <c r="B546" s="13"/>
      <c r="C546" s="46"/>
    </row>
    <row r="547">
      <c r="A547" s="13"/>
      <c r="B547" s="13"/>
      <c r="C547" s="46"/>
    </row>
    <row r="548">
      <c r="A548" s="13"/>
      <c r="B548" s="13"/>
      <c r="C548" s="46"/>
    </row>
    <row r="549">
      <c r="A549" s="13"/>
      <c r="B549" s="13"/>
      <c r="C549" s="46"/>
    </row>
    <row r="550">
      <c r="A550" s="13"/>
      <c r="B550" s="13"/>
      <c r="C550" s="46"/>
    </row>
  </sheetData>
  <mergeCells count="1">
    <mergeCell ref="A1:C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5.13"/>
    <col customWidth="1" min="2" max="2" width="4.88"/>
    <col customWidth="1" min="3" max="3" width="25.13"/>
    <col customWidth="1" min="4" max="4" width="4.88"/>
    <col customWidth="1" min="5" max="5" width="25.13"/>
    <col customWidth="1" min="6" max="6" width="5.0"/>
    <col customWidth="1" min="7" max="7" width="25.13"/>
    <col customWidth="1" min="8" max="8" width="5.25"/>
    <col customWidth="1" min="9" max="9" width="25.13"/>
    <col customWidth="1" min="10" max="10" width="5.13"/>
    <col customWidth="1" min="11" max="11" width="25.13"/>
    <col customWidth="1" min="12" max="12" width="5.0"/>
    <col customWidth="1" min="13" max="13" width="25.13"/>
    <col customWidth="1" min="14" max="14" width="4.88"/>
    <col customWidth="1" min="15" max="15" width="25.13"/>
    <col customWidth="1" min="16" max="16" width="5.0"/>
    <col customWidth="1" min="17" max="17" width="4.88"/>
    <col customWidth="1" min="18" max="18" width="24.88"/>
    <col customWidth="1" min="19" max="20" width="12.63"/>
  </cols>
  <sheetData>
    <row r="1">
      <c r="A1" s="31" t="s">
        <v>63</v>
      </c>
      <c r="B1" s="33"/>
      <c r="C1" s="31" t="s">
        <v>64</v>
      </c>
      <c r="D1" s="33"/>
      <c r="E1" s="31" t="s">
        <v>65</v>
      </c>
      <c r="F1" s="33"/>
      <c r="G1" s="31" t="s">
        <v>66</v>
      </c>
      <c r="H1" s="33"/>
      <c r="I1" s="31" t="s">
        <v>67</v>
      </c>
      <c r="J1" s="33"/>
      <c r="K1" s="31" t="s">
        <v>68</v>
      </c>
      <c r="L1" s="33"/>
      <c r="M1" s="31" t="s">
        <v>69</v>
      </c>
      <c r="N1" s="33"/>
      <c r="O1" s="31" t="s">
        <v>70</v>
      </c>
      <c r="P1" s="33"/>
      <c r="Q1" s="33"/>
      <c r="R1" s="39"/>
      <c r="S1" s="33"/>
      <c r="T1" s="33"/>
      <c r="U1" s="33"/>
      <c r="V1" s="33"/>
      <c r="W1" s="33"/>
      <c r="X1" s="33"/>
      <c r="Y1" s="33"/>
      <c r="Z1" s="33"/>
    </row>
    <row r="2">
      <c r="A2" s="42" t="s">
        <v>49</v>
      </c>
      <c r="B2" s="44">
        <v>218.0</v>
      </c>
      <c r="C2" s="31"/>
      <c r="D2" s="33"/>
      <c r="E2" s="31"/>
      <c r="F2" s="33"/>
      <c r="G2" s="31"/>
      <c r="H2" s="33"/>
      <c r="I2" s="31"/>
      <c r="J2" s="33"/>
      <c r="K2" s="31"/>
      <c r="L2" s="33"/>
      <c r="M2" s="31"/>
      <c r="N2" s="33"/>
      <c r="O2" s="31"/>
      <c r="P2" s="33"/>
      <c r="Q2" s="33"/>
      <c r="R2" s="39"/>
      <c r="S2" s="39"/>
      <c r="T2" s="39"/>
      <c r="U2" s="39"/>
      <c r="V2" s="39"/>
      <c r="W2" s="33"/>
      <c r="X2" s="33"/>
      <c r="Y2" s="33"/>
      <c r="Z2" s="33"/>
    </row>
    <row r="3">
      <c r="A3" s="31" t="s">
        <v>77</v>
      </c>
      <c r="B3" s="48"/>
      <c r="C3" s="51" t="s">
        <v>49</v>
      </c>
      <c r="D3" s="44">
        <v>198.0</v>
      </c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9"/>
      <c r="T3" s="39"/>
      <c r="U3" s="39"/>
      <c r="V3" s="39"/>
      <c r="W3" s="33"/>
      <c r="X3" s="33"/>
      <c r="Y3" s="33"/>
      <c r="Z3" s="33"/>
    </row>
    <row r="4">
      <c r="A4" s="42" t="s">
        <v>79</v>
      </c>
      <c r="B4" s="55">
        <v>30.0</v>
      </c>
      <c r="C4" s="39"/>
      <c r="D4" s="58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33"/>
      <c r="B5" s="33"/>
      <c r="C5" s="31" t="s">
        <v>87</v>
      </c>
      <c r="D5" s="58"/>
      <c r="E5" s="64" t="s">
        <v>88</v>
      </c>
      <c r="F5" s="67"/>
      <c r="G5" s="51" t="s">
        <v>49</v>
      </c>
      <c r="H5" s="44">
        <v>182.0</v>
      </c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42" t="s">
        <v>98</v>
      </c>
      <c r="B6" s="44">
        <v>66.0</v>
      </c>
      <c r="C6" s="33"/>
      <c r="D6" s="58"/>
      <c r="E6" s="33"/>
      <c r="F6" s="33"/>
      <c r="G6" s="33"/>
      <c r="H6" s="48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31" t="s">
        <v>103</v>
      </c>
      <c r="B7" s="48"/>
      <c r="C7" s="51" t="s">
        <v>105</v>
      </c>
      <c r="D7" s="55">
        <v>28.0</v>
      </c>
      <c r="F7" s="33"/>
      <c r="G7" s="33"/>
      <c r="H7" s="48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42" t="s">
        <v>105</v>
      </c>
      <c r="B8" s="55">
        <v>108.0</v>
      </c>
      <c r="C8" s="33"/>
      <c r="D8" s="33"/>
      <c r="E8" s="33"/>
      <c r="F8" s="33"/>
      <c r="G8" s="33"/>
      <c r="H8" s="48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33"/>
      <c r="B9" s="33"/>
      <c r="D9" s="33"/>
      <c r="E9" s="31"/>
      <c r="F9" s="31"/>
      <c r="G9" s="31" t="s">
        <v>110</v>
      </c>
      <c r="H9" s="48"/>
      <c r="I9" s="64" t="s">
        <v>88</v>
      </c>
      <c r="J9" s="67"/>
      <c r="K9" s="51" t="s">
        <v>49</v>
      </c>
      <c r="L9" s="44">
        <v>106.0</v>
      </c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42" t="s">
        <v>7</v>
      </c>
      <c r="B10" s="44">
        <v>94.0</v>
      </c>
      <c r="C10" s="33"/>
      <c r="D10" s="33"/>
      <c r="E10" s="33"/>
      <c r="F10" s="33"/>
      <c r="G10" s="33"/>
      <c r="H10" s="48"/>
      <c r="I10" s="33"/>
      <c r="J10" s="33"/>
      <c r="K10" s="33"/>
      <c r="L10" s="48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31" t="s">
        <v>119</v>
      </c>
      <c r="B11" s="48"/>
      <c r="C11" s="51" t="s">
        <v>7</v>
      </c>
      <c r="D11" s="44">
        <v>50.0</v>
      </c>
      <c r="E11" s="33"/>
      <c r="F11" s="33"/>
      <c r="G11" s="33"/>
      <c r="H11" s="48"/>
      <c r="I11" s="33"/>
      <c r="J11" s="33"/>
      <c r="K11" s="33"/>
      <c r="L11" s="48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42" t="s">
        <v>129</v>
      </c>
      <c r="B12" s="55">
        <v>8.0</v>
      </c>
      <c r="C12" s="33"/>
      <c r="D12" s="58"/>
      <c r="E12" s="33"/>
      <c r="F12" s="33"/>
      <c r="G12" s="33"/>
      <c r="H12" s="48"/>
      <c r="I12" s="33"/>
      <c r="J12" s="33"/>
      <c r="K12" s="33"/>
      <c r="L12" s="48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33"/>
      <c r="B13" s="33"/>
      <c r="C13" s="31" t="s">
        <v>136</v>
      </c>
      <c r="D13" s="58"/>
      <c r="E13" s="64" t="s">
        <v>88</v>
      </c>
      <c r="F13" s="67"/>
      <c r="G13" s="51" t="s">
        <v>139</v>
      </c>
      <c r="H13" s="55">
        <v>22.0</v>
      </c>
      <c r="I13" s="33"/>
      <c r="J13" s="33"/>
      <c r="K13" s="33"/>
      <c r="L13" s="48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42" t="s">
        <v>139</v>
      </c>
      <c r="B14" s="44">
        <v>98.0</v>
      </c>
      <c r="C14" s="33"/>
      <c r="D14" s="58"/>
      <c r="E14" s="33"/>
      <c r="F14" s="33"/>
      <c r="G14" s="33"/>
      <c r="H14" s="33"/>
      <c r="I14" s="33"/>
      <c r="J14" s="33"/>
      <c r="K14" s="33"/>
      <c r="L14" s="48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31" t="s">
        <v>147</v>
      </c>
      <c r="B15" s="48"/>
      <c r="C15" s="51" t="s">
        <v>139</v>
      </c>
      <c r="D15" s="55">
        <v>126.0</v>
      </c>
      <c r="E15" s="33"/>
      <c r="F15" s="33"/>
      <c r="G15" s="33"/>
      <c r="H15" s="33"/>
      <c r="I15" s="33"/>
      <c r="J15" s="33"/>
      <c r="K15" s="33"/>
      <c r="L15" s="48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42" t="s">
        <v>159</v>
      </c>
      <c r="B16" s="55">
        <v>94.0</v>
      </c>
      <c r="C16" s="33"/>
      <c r="D16" s="33"/>
      <c r="E16" s="33"/>
      <c r="F16" s="33"/>
      <c r="G16" s="33"/>
      <c r="H16" s="33"/>
      <c r="I16" s="33"/>
      <c r="J16" s="33"/>
      <c r="K16" s="33"/>
      <c r="L16" s="48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1" t="s">
        <v>168</v>
      </c>
      <c r="L17" s="48"/>
      <c r="M17" s="64" t="s">
        <v>88</v>
      </c>
      <c r="N17" s="67"/>
      <c r="O17" s="51" t="s">
        <v>49</v>
      </c>
      <c r="P17" s="44">
        <v>76.0</v>
      </c>
      <c r="Q17" s="44">
        <v>110.0</v>
      </c>
      <c r="R17" s="78"/>
      <c r="S17" s="79"/>
      <c r="T17" s="80"/>
      <c r="U17" s="33"/>
      <c r="V17" s="33"/>
      <c r="W17" s="33"/>
      <c r="X17" s="33"/>
      <c r="Y17" s="33"/>
      <c r="Z17" s="33"/>
    </row>
    <row r="18">
      <c r="A18" s="42" t="s">
        <v>172</v>
      </c>
      <c r="B18" s="44">
        <v>100.0</v>
      </c>
      <c r="C18" s="33"/>
      <c r="D18" s="33"/>
      <c r="E18" s="33"/>
      <c r="F18" s="33"/>
      <c r="G18" s="33"/>
      <c r="H18" s="33"/>
      <c r="I18" s="33"/>
      <c r="J18" s="33"/>
      <c r="K18" s="33"/>
      <c r="L18" s="48"/>
      <c r="M18" s="33"/>
      <c r="N18" s="33"/>
      <c r="O18" s="33"/>
      <c r="P18" s="81"/>
      <c r="Q18" s="82"/>
      <c r="R18" s="78"/>
      <c r="S18" s="79"/>
      <c r="T18" s="80"/>
      <c r="U18" s="33"/>
      <c r="V18" s="33"/>
      <c r="W18" s="33"/>
      <c r="X18" s="33"/>
      <c r="Y18" s="33"/>
      <c r="Z18" s="33"/>
    </row>
    <row r="19">
      <c r="A19" s="31" t="s">
        <v>183</v>
      </c>
      <c r="B19" s="48"/>
      <c r="C19" s="51" t="s">
        <v>172</v>
      </c>
      <c r="D19" s="44">
        <v>178.0</v>
      </c>
      <c r="E19" s="33"/>
      <c r="F19" s="33"/>
      <c r="G19" s="33"/>
      <c r="H19" s="33"/>
      <c r="I19" s="33"/>
      <c r="J19" s="33"/>
      <c r="K19" s="33"/>
      <c r="L19" s="48"/>
      <c r="M19" s="33"/>
      <c r="N19" s="33"/>
      <c r="O19" s="33"/>
      <c r="P19" s="81"/>
      <c r="Q19" s="82"/>
      <c r="R19" s="78"/>
      <c r="S19" s="79"/>
      <c r="T19" s="80"/>
      <c r="U19" s="33"/>
      <c r="V19" s="33"/>
      <c r="W19" s="33"/>
      <c r="X19" s="33"/>
      <c r="Y19" s="33"/>
      <c r="Z19" s="33"/>
    </row>
    <row r="20">
      <c r="A20" s="42" t="s">
        <v>193</v>
      </c>
      <c r="B20" s="55">
        <v>60.0</v>
      </c>
      <c r="C20" s="33"/>
      <c r="D20" s="58"/>
      <c r="E20" s="33"/>
      <c r="F20" s="33"/>
      <c r="G20" s="33"/>
      <c r="H20" s="33"/>
      <c r="I20" s="33"/>
      <c r="J20" s="33"/>
      <c r="K20" s="33"/>
      <c r="L20" s="48"/>
      <c r="M20" s="33"/>
      <c r="N20" s="33"/>
      <c r="O20" s="33"/>
      <c r="P20" s="81"/>
      <c r="Q20" s="82"/>
      <c r="R20" s="78"/>
      <c r="S20" s="79"/>
      <c r="T20" s="80"/>
      <c r="U20" s="33"/>
      <c r="V20" s="33"/>
      <c r="W20" s="33"/>
      <c r="X20" s="33"/>
      <c r="Y20" s="33"/>
      <c r="Z20" s="33"/>
    </row>
    <row r="21">
      <c r="A21" s="33"/>
      <c r="B21" s="33"/>
      <c r="C21" s="31" t="s">
        <v>200</v>
      </c>
      <c r="D21" s="58"/>
      <c r="E21" s="64" t="s">
        <v>88</v>
      </c>
      <c r="F21" s="67"/>
      <c r="G21" s="51" t="s">
        <v>172</v>
      </c>
      <c r="H21" s="44">
        <v>66.0</v>
      </c>
      <c r="I21" s="33"/>
      <c r="J21" s="33"/>
      <c r="K21" s="33"/>
      <c r="L21" s="48"/>
      <c r="M21" s="33"/>
      <c r="N21" s="33"/>
      <c r="O21" s="33"/>
      <c r="P21" s="81"/>
      <c r="Q21" s="82"/>
      <c r="R21" s="78"/>
      <c r="S21" s="79"/>
      <c r="T21" s="80"/>
      <c r="U21" s="33"/>
      <c r="V21" s="33"/>
      <c r="W21" s="33"/>
      <c r="X21" s="33"/>
      <c r="Y21" s="33"/>
      <c r="Z21" s="33"/>
    </row>
    <row r="22">
      <c r="A22" s="42" t="s">
        <v>201</v>
      </c>
      <c r="B22" s="44">
        <v>98.0</v>
      </c>
      <c r="C22" s="33"/>
      <c r="D22" s="58"/>
      <c r="E22" s="33"/>
      <c r="F22" s="33"/>
      <c r="G22" s="33"/>
      <c r="H22" s="48"/>
      <c r="I22" s="33"/>
      <c r="J22" s="33"/>
      <c r="K22" s="33"/>
      <c r="L22" s="48"/>
      <c r="M22" s="33"/>
      <c r="N22" s="33"/>
      <c r="O22" s="33"/>
      <c r="P22" s="81"/>
      <c r="Q22" s="82"/>
      <c r="R22" s="78"/>
      <c r="S22" s="79"/>
      <c r="T22" s="80"/>
      <c r="U22" s="33"/>
      <c r="V22" s="33"/>
      <c r="W22" s="33"/>
      <c r="X22" s="33"/>
      <c r="Y22" s="33"/>
      <c r="Z22" s="33"/>
    </row>
    <row r="23">
      <c r="A23" s="31" t="s">
        <v>205</v>
      </c>
      <c r="B23" s="48"/>
      <c r="C23" s="51" t="s">
        <v>201</v>
      </c>
      <c r="D23" s="55">
        <v>48.0</v>
      </c>
      <c r="E23" s="33"/>
      <c r="F23" s="33"/>
      <c r="G23" s="33"/>
      <c r="H23" s="48"/>
      <c r="I23" s="33"/>
      <c r="J23" s="33"/>
      <c r="K23" s="33"/>
      <c r="L23" s="48"/>
      <c r="M23" s="33"/>
      <c r="N23" s="33"/>
      <c r="O23" s="33"/>
      <c r="P23" s="81"/>
      <c r="Q23" s="82"/>
      <c r="R23" s="78"/>
      <c r="S23" s="79"/>
      <c r="T23" s="80"/>
      <c r="U23" s="33"/>
      <c r="V23" s="33"/>
      <c r="W23" s="33"/>
      <c r="X23" s="33"/>
      <c r="Y23" s="33"/>
      <c r="Z23" s="33"/>
    </row>
    <row r="24">
      <c r="A24" s="42" t="s">
        <v>208</v>
      </c>
      <c r="B24" s="55">
        <v>22.0</v>
      </c>
      <c r="C24" s="33"/>
      <c r="D24" s="33"/>
      <c r="E24" s="33"/>
      <c r="F24" s="33"/>
      <c r="G24" s="33"/>
      <c r="H24" s="48"/>
      <c r="I24" s="33"/>
      <c r="J24" s="33"/>
      <c r="K24" s="33"/>
      <c r="L24" s="48"/>
      <c r="M24" s="33"/>
      <c r="N24" s="33"/>
      <c r="O24" s="33"/>
      <c r="P24" s="81"/>
      <c r="Q24" s="82"/>
      <c r="R24" s="78"/>
      <c r="S24" s="79"/>
      <c r="T24" s="80"/>
      <c r="U24" s="33"/>
      <c r="V24" s="33"/>
      <c r="W24" s="33"/>
      <c r="X24" s="33"/>
      <c r="Y24" s="33"/>
      <c r="Z24" s="33"/>
    </row>
    <row r="25">
      <c r="A25" s="33"/>
      <c r="B25" s="33"/>
      <c r="C25" s="33"/>
      <c r="D25" s="33"/>
      <c r="E25" s="31"/>
      <c r="F25" s="31"/>
      <c r="G25" s="85" t="s">
        <v>212</v>
      </c>
      <c r="H25" s="48"/>
      <c r="I25" s="64" t="s">
        <v>88</v>
      </c>
      <c r="J25" s="67"/>
      <c r="K25" s="51" t="s">
        <v>213</v>
      </c>
      <c r="L25" s="55">
        <v>92.0</v>
      </c>
      <c r="M25" s="33"/>
      <c r="N25" s="33"/>
      <c r="O25" s="33"/>
      <c r="P25" s="81"/>
      <c r="Q25" s="82"/>
      <c r="R25" s="78"/>
      <c r="S25" s="79"/>
      <c r="T25" s="80"/>
      <c r="U25" s="33"/>
      <c r="V25" s="33"/>
      <c r="W25" s="33"/>
      <c r="X25" s="33"/>
      <c r="Y25" s="33"/>
      <c r="Z25" s="33"/>
    </row>
    <row r="26">
      <c r="A26" s="42" t="s">
        <v>213</v>
      </c>
      <c r="B26" s="44">
        <v>134.0</v>
      </c>
      <c r="C26" s="33"/>
      <c r="D26" s="33"/>
      <c r="E26" s="33"/>
      <c r="F26" s="33"/>
      <c r="G26" s="33"/>
      <c r="H26" s="48"/>
      <c r="I26" s="33"/>
      <c r="J26" s="33"/>
      <c r="K26" s="33"/>
      <c r="L26" s="33"/>
      <c r="M26" s="33"/>
      <c r="N26" s="33"/>
      <c r="O26" s="33"/>
      <c r="P26" s="81"/>
      <c r="Q26" s="82"/>
      <c r="R26" s="31" t="s">
        <v>216</v>
      </c>
      <c r="S26" s="31"/>
      <c r="T26" s="33"/>
      <c r="U26" s="33"/>
      <c r="V26" s="33"/>
      <c r="W26" s="33"/>
      <c r="X26" s="33"/>
      <c r="Y26" s="33"/>
      <c r="Z26" s="33"/>
    </row>
    <row r="27">
      <c r="A27" s="31" t="s">
        <v>219</v>
      </c>
      <c r="B27" s="48"/>
      <c r="C27" s="51" t="s">
        <v>213</v>
      </c>
      <c r="D27" s="44">
        <v>104.0</v>
      </c>
      <c r="E27" s="33"/>
      <c r="F27" s="33"/>
      <c r="G27" s="33"/>
      <c r="H27" s="48"/>
      <c r="I27" s="33"/>
      <c r="J27" s="33"/>
      <c r="K27" s="33"/>
      <c r="L27" s="33"/>
      <c r="M27" s="33"/>
      <c r="N27" s="33"/>
      <c r="O27" s="31" t="s">
        <v>221</v>
      </c>
      <c r="P27" s="81"/>
      <c r="Q27" s="82"/>
      <c r="R27" s="44" t="s">
        <v>222</v>
      </c>
      <c r="S27" s="39"/>
      <c r="T27" s="33"/>
      <c r="U27" s="33"/>
      <c r="V27" s="33"/>
      <c r="W27" s="33"/>
      <c r="X27" s="33"/>
      <c r="Y27" s="33"/>
      <c r="Z27" s="33"/>
    </row>
    <row r="28">
      <c r="A28" s="42" t="s">
        <v>224</v>
      </c>
      <c r="B28" s="55">
        <v>68.0</v>
      </c>
      <c r="C28" s="33"/>
      <c r="D28" s="58"/>
      <c r="E28" s="33"/>
      <c r="F28" s="33"/>
      <c r="G28" s="33"/>
      <c r="H28" s="48"/>
      <c r="I28" s="33"/>
      <c r="J28" s="33"/>
      <c r="K28" s="33"/>
      <c r="L28" s="33"/>
      <c r="M28" s="33"/>
      <c r="N28" s="33"/>
      <c r="O28" s="33"/>
      <c r="P28" s="81"/>
      <c r="Q28" s="82"/>
      <c r="R28" s="33"/>
      <c r="S28" s="33"/>
      <c r="T28" s="33"/>
      <c r="U28" s="33"/>
      <c r="V28" s="33"/>
      <c r="W28" s="33"/>
      <c r="X28" s="33"/>
      <c r="Y28" s="33"/>
      <c r="Z28" s="33"/>
    </row>
    <row r="29">
      <c r="A29" s="33"/>
      <c r="B29" s="33"/>
      <c r="C29" s="31" t="s">
        <v>225</v>
      </c>
      <c r="D29" s="58"/>
      <c r="E29" s="64" t="s">
        <v>88</v>
      </c>
      <c r="F29" s="67"/>
      <c r="G29" s="51" t="s">
        <v>213</v>
      </c>
      <c r="H29" s="55">
        <v>80.0</v>
      </c>
      <c r="I29" s="33"/>
      <c r="J29" s="33"/>
      <c r="K29" s="33"/>
      <c r="L29" s="33"/>
      <c r="M29" s="51" t="s">
        <v>213</v>
      </c>
      <c r="N29" s="44">
        <v>42.0</v>
      </c>
      <c r="O29" s="33"/>
      <c r="P29" s="81"/>
      <c r="Q29" s="82"/>
      <c r="R29" s="33"/>
      <c r="S29" s="33"/>
      <c r="T29" s="33"/>
      <c r="U29" s="33"/>
      <c r="V29" s="33"/>
      <c r="W29" s="33"/>
      <c r="X29" s="33"/>
      <c r="Y29" s="33"/>
      <c r="Z29" s="33"/>
    </row>
    <row r="30">
      <c r="A30" s="42" t="s">
        <v>37</v>
      </c>
      <c r="B30" s="44">
        <v>106.0</v>
      </c>
      <c r="C30" s="33"/>
      <c r="D30" s="58"/>
      <c r="E30" s="33"/>
      <c r="F30" s="33"/>
      <c r="G30" s="33"/>
      <c r="H30" s="33"/>
      <c r="I30" s="33"/>
      <c r="J30" s="33"/>
      <c r="K30" s="33"/>
      <c r="L30" s="33"/>
      <c r="M30" s="33"/>
      <c r="N30" s="48"/>
      <c r="O30" s="33"/>
      <c r="P30" s="81"/>
      <c r="Q30" s="82"/>
      <c r="R30" s="33"/>
      <c r="S30" s="33"/>
      <c r="T30" s="33"/>
      <c r="U30" s="33"/>
      <c r="V30" s="33"/>
      <c r="W30" s="33"/>
      <c r="X30" s="33"/>
      <c r="Y30" s="33"/>
      <c r="Z30" s="33"/>
    </row>
    <row r="31">
      <c r="A31" s="31" t="s">
        <v>228</v>
      </c>
      <c r="B31" s="48"/>
      <c r="C31" s="51" t="s">
        <v>37</v>
      </c>
      <c r="D31" s="55">
        <v>66.0</v>
      </c>
      <c r="E31" s="33"/>
      <c r="F31" s="33"/>
      <c r="G31" s="33"/>
      <c r="H31" s="33"/>
      <c r="I31" s="33"/>
      <c r="J31" s="33"/>
      <c r="K31" s="33"/>
      <c r="L31" s="33"/>
      <c r="M31" s="33"/>
      <c r="N31" s="48"/>
      <c r="O31" s="33"/>
      <c r="P31" s="81"/>
      <c r="Q31" s="82"/>
      <c r="R31" s="33"/>
      <c r="S31" s="33"/>
      <c r="T31" s="33"/>
      <c r="U31" s="33"/>
      <c r="V31" s="33"/>
      <c r="W31" s="33"/>
      <c r="X31" s="33"/>
      <c r="Y31" s="33"/>
      <c r="Z31" s="33"/>
    </row>
    <row r="32">
      <c r="A32" s="42" t="s">
        <v>231</v>
      </c>
      <c r="B32" s="55">
        <v>16.0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48"/>
      <c r="O32" s="33"/>
      <c r="P32" s="81"/>
      <c r="Q32" s="82"/>
      <c r="R32" s="33"/>
      <c r="S32" s="33"/>
      <c r="T32" s="33"/>
      <c r="U32" s="33"/>
      <c r="V32" s="33"/>
      <c r="W32" s="33"/>
      <c r="X32" s="33"/>
      <c r="Y32" s="33"/>
      <c r="Z32" s="33"/>
    </row>
    <row r="33">
      <c r="A33" s="39"/>
      <c r="B33" s="33"/>
      <c r="C33" s="33"/>
      <c r="D33" s="33"/>
      <c r="E33" s="33"/>
      <c r="F33" s="33"/>
      <c r="G33" s="33"/>
      <c r="H33" s="33"/>
      <c r="I33" s="51" t="s">
        <v>139</v>
      </c>
      <c r="J33" s="44">
        <v>86.0</v>
      </c>
      <c r="K33" s="33"/>
      <c r="L33" s="33"/>
      <c r="M33" s="33"/>
      <c r="N33" s="48"/>
      <c r="O33" s="33"/>
      <c r="P33" s="81"/>
      <c r="Q33" s="82"/>
      <c r="R33" s="33"/>
      <c r="S33" s="33"/>
      <c r="T33" s="33"/>
      <c r="U33" s="33"/>
      <c r="V33" s="33"/>
      <c r="W33" s="33"/>
      <c r="X33" s="33"/>
      <c r="Y33" s="33"/>
      <c r="Z33" s="33"/>
    </row>
    <row r="34">
      <c r="A34" s="33"/>
      <c r="B34" s="33"/>
      <c r="C34" s="33"/>
      <c r="D34" s="33"/>
      <c r="E34" s="33"/>
      <c r="F34" s="33"/>
      <c r="G34" s="33"/>
      <c r="H34" s="33"/>
      <c r="I34" s="33"/>
      <c r="J34" s="48"/>
      <c r="K34" s="33"/>
      <c r="L34" s="33"/>
      <c r="M34" s="33"/>
      <c r="N34" s="48"/>
      <c r="O34" s="33"/>
      <c r="P34" s="81"/>
      <c r="Q34" s="82"/>
      <c r="R34" s="33"/>
      <c r="S34" s="33"/>
      <c r="T34" s="33"/>
      <c r="U34" s="33"/>
      <c r="V34" s="33"/>
      <c r="W34" s="33"/>
      <c r="X34" s="33"/>
      <c r="Y34" s="33"/>
      <c r="Z34" s="33"/>
    </row>
    <row r="35">
      <c r="A35" s="33"/>
      <c r="B35" s="33"/>
      <c r="C35" s="33"/>
      <c r="D35" s="33"/>
      <c r="E35" s="51" t="s">
        <v>237</v>
      </c>
      <c r="F35" s="44">
        <v>108.0</v>
      </c>
      <c r="G35" s="33"/>
      <c r="H35" s="33"/>
      <c r="I35" s="33"/>
      <c r="J35" s="48"/>
      <c r="K35" s="33"/>
      <c r="L35" s="33"/>
      <c r="M35" s="33"/>
      <c r="N35" s="48"/>
      <c r="O35" s="33"/>
      <c r="P35" s="81"/>
      <c r="Q35" s="82"/>
      <c r="R35" s="33"/>
      <c r="S35" s="33"/>
      <c r="T35" s="33"/>
      <c r="Y35" s="33"/>
      <c r="Z35" s="33"/>
    </row>
    <row r="36">
      <c r="A36" s="33"/>
      <c r="B36" s="33"/>
      <c r="C36" s="33"/>
      <c r="D36" s="33"/>
      <c r="E36" s="39"/>
      <c r="F36" s="58"/>
      <c r="G36" s="33"/>
      <c r="H36" s="33"/>
      <c r="I36" s="33"/>
      <c r="J36" s="48"/>
      <c r="K36" s="33"/>
      <c r="L36" s="33"/>
      <c r="M36" s="33"/>
      <c r="N36" s="48"/>
      <c r="O36" s="33"/>
      <c r="P36" s="81"/>
      <c r="Q36" s="82"/>
      <c r="R36" s="33"/>
      <c r="S36" s="33"/>
      <c r="T36" s="33"/>
      <c r="Y36" s="33"/>
      <c r="Z36" s="33"/>
    </row>
    <row r="37">
      <c r="A37" s="33"/>
      <c r="B37" s="33"/>
      <c r="C37" s="33"/>
      <c r="D37" s="33"/>
      <c r="E37" s="31" t="s">
        <v>238</v>
      </c>
      <c r="F37" s="58"/>
      <c r="G37" s="51" t="s">
        <v>237</v>
      </c>
      <c r="H37" s="44">
        <v>52.0</v>
      </c>
      <c r="I37" s="31" t="s">
        <v>239</v>
      </c>
      <c r="J37" s="48"/>
      <c r="K37" s="51" t="s">
        <v>139</v>
      </c>
      <c r="L37" s="44">
        <v>38.0</v>
      </c>
      <c r="M37" s="31" t="s">
        <v>240</v>
      </c>
      <c r="N37" s="48"/>
      <c r="O37" s="51" t="s">
        <v>172</v>
      </c>
      <c r="P37" s="44">
        <v>90.0</v>
      </c>
      <c r="Q37" s="91">
        <v>16.0</v>
      </c>
      <c r="R37" s="33"/>
      <c r="S37" s="33"/>
      <c r="T37" s="33"/>
      <c r="Y37" s="33"/>
      <c r="Z37" s="33"/>
    </row>
    <row r="38">
      <c r="A38" s="33"/>
      <c r="B38" s="33"/>
      <c r="C38" s="42" t="s">
        <v>79</v>
      </c>
      <c r="D38" s="44">
        <v>24.0</v>
      </c>
      <c r="E38" s="33"/>
      <c r="F38" s="58"/>
      <c r="G38" s="33"/>
      <c r="H38" s="48"/>
      <c r="I38" s="33"/>
      <c r="J38" s="48"/>
      <c r="K38" s="33"/>
      <c r="L38" s="48"/>
      <c r="M38" s="33"/>
      <c r="N38" s="48"/>
      <c r="O38" s="33"/>
      <c r="P38" s="92"/>
      <c r="Q38" s="92"/>
      <c r="R38" s="33"/>
      <c r="S38" s="33"/>
      <c r="T38" s="33"/>
      <c r="X38" s="33"/>
      <c r="Y38" s="33"/>
      <c r="Z38" s="33"/>
    </row>
    <row r="39">
      <c r="A39" s="33"/>
      <c r="B39" s="33"/>
      <c r="C39" s="31" t="s">
        <v>241</v>
      </c>
      <c r="D39" s="48"/>
      <c r="E39" s="51" t="s">
        <v>98</v>
      </c>
      <c r="F39" s="55">
        <v>26.0</v>
      </c>
      <c r="G39" s="33"/>
      <c r="H39" s="48"/>
      <c r="I39" s="33"/>
      <c r="J39" s="48"/>
      <c r="K39" s="33"/>
      <c r="L39" s="48"/>
      <c r="M39" s="33"/>
      <c r="N39" s="48"/>
      <c r="O39" s="33"/>
      <c r="P39" s="92"/>
      <c r="Q39" s="92"/>
      <c r="R39" s="33"/>
      <c r="S39" s="33"/>
      <c r="T39" s="33"/>
      <c r="U39" s="33"/>
      <c r="V39" s="33"/>
      <c r="W39" s="33"/>
      <c r="X39" s="33"/>
      <c r="Y39" s="33"/>
      <c r="Z39" s="33"/>
    </row>
    <row r="40">
      <c r="A40" s="33"/>
      <c r="B40" s="33"/>
      <c r="C40" s="42" t="s">
        <v>98</v>
      </c>
      <c r="D40" s="55">
        <v>62.0</v>
      </c>
      <c r="E40" s="33"/>
      <c r="F40" s="33"/>
      <c r="G40" s="33"/>
      <c r="H40" s="48"/>
      <c r="I40" s="33"/>
      <c r="J40" s="48"/>
      <c r="K40" s="33"/>
      <c r="L40" s="48"/>
      <c r="M40" s="33"/>
      <c r="N40" s="48"/>
      <c r="O40" s="33"/>
      <c r="P40" s="92"/>
      <c r="Q40" s="92"/>
      <c r="R40" s="33"/>
      <c r="S40" s="33"/>
      <c r="T40" s="33"/>
      <c r="U40" s="33"/>
      <c r="V40" s="33"/>
      <c r="W40" s="33"/>
      <c r="X40" s="33"/>
      <c r="Y40" s="33"/>
      <c r="Z40" s="33"/>
    </row>
    <row r="41">
      <c r="A41" s="33"/>
      <c r="B41" s="33"/>
      <c r="C41" s="33"/>
      <c r="D41" s="33"/>
      <c r="E41" s="33"/>
      <c r="F41" s="33"/>
      <c r="G41" s="31" t="s">
        <v>242</v>
      </c>
      <c r="H41" s="48"/>
      <c r="I41" s="51" t="s">
        <v>237</v>
      </c>
      <c r="J41" s="55">
        <v>28.0</v>
      </c>
      <c r="K41" s="33"/>
      <c r="L41" s="48"/>
      <c r="M41" s="33"/>
      <c r="N41" s="48"/>
      <c r="O41" s="33"/>
      <c r="P41" s="92"/>
      <c r="Q41" s="92"/>
      <c r="R41" s="33"/>
      <c r="S41" s="33"/>
      <c r="T41" s="33"/>
      <c r="U41" s="33"/>
      <c r="V41" s="33"/>
      <c r="W41" s="33"/>
      <c r="X41" s="33"/>
      <c r="Y41" s="33"/>
      <c r="Z41" s="33"/>
    </row>
    <row r="42">
      <c r="A42" s="33"/>
      <c r="B42" s="33"/>
      <c r="C42" s="33"/>
      <c r="D42" s="33"/>
      <c r="E42" s="33"/>
      <c r="F42" s="33"/>
      <c r="G42" s="33"/>
      <c r="H42" s="48"/>
      <c r="I42" s="33"/>
      <c r="J42" s="33"/>
      <c r="K42" s="33"/>
      <c r="L42" s="48"/>
      <c r="M42" s="33"/>
      <c r="N42" s="48"/>
      <c r="O42" s="33"/>
      <c r="P42" s="92"/>
      <c r="Q42" s="92"/>
      <c r="R42" s="33"/>
      <c r="S42" s="33"/>
      <c r="T42" s="33"/>
      <c r="U42" s="33"/>
      <c r="V42" s="33"/>
      <c r="W42" s="33"/>
      <c r="X42" s="33"/>
      <c r="Y42" s="33"/>
      <c r="Z42" s="33"/>
    </row>
    <row r="43">
      <c r="A43" s="33"/>
      <c r="B43" s="33"/>
      <c r="C43" s="33"/>
      <c r="D43" s="33"/>
      <c r="E43" s="51" t="s">
        <v>201</v>
      </c>
      <c r="F43" s="44">
        <v>102.0</v>
      </c>
      <c r="G43" s="33"/>
      <c r="H43" s="48"/>
      <c r="I43" s="33"/>
      <c r="J43" s="33"/>
      <c r="K43" s="33"/>
      <c r="L43" s="48"/>
      <c r="M43" s="33"/>
      <c r="N43" s="48"/>
      <c r="O43" s="33"/>
      <c r="P43" s="92"/>
      <c r="Q43" s="92"/>
      <c r="R43" s="33"/>
      <c r="S43" s="33"/>
      <c r="T43" s="33"/>
      <c r="U43" s="33"/>
      <c r="V43" s="33"/>
      <c r="W43" s="33"/>
      <c r="X43" s="33"/>
      <c r="Y43" s="33"/>
      <c r="Z43" s="33"/>
    </row>
    <row r="44">
      <c r="A44" s="33"/>
      <c r="B44" s="33"/>
      <c r="C44" s="33"/>
      <c r="D44" s="33"/>
      <c r="E44" s="33"/>
      <c r="F44" s="58"/>
      <c r="G44" s="33"/>
      <c r="H44" s="48"/>
      <c r="I44" s="33"/>
      <c r="J44" s="33"/>
      <c r="K44" s="33"/>
      <c r="L44" s="48"/>
      <c r="M44" s="33"/>
      <c r="N44" s="48"/>
      <c r="O44" s="33"/>
      <c r="P44" s="92"/>
      <c r="Q44" s="92"/>
      <c r="R44" s="33"/>
      <c r="S44" s="33"/>
      <c r="T44" s="33"/>
      <c r="U44" s="33"/>
      <c r="V44" s="33"/>
      <c r="W44" s="33"/>
      <c r="X44" s="33"/>
      <c r="Y44" s="33"/>
      <c r="Z44" s="33"/>
    </row>
    <row r="45">
      <c r="A45" s="33"/>
      <c r="B45" s="33"/>
      <c r="C45" s="33"/>
      <c r="D45" s="33"/>
      <c r="E45" s="31" t="s">
        <v>245</v>
      </c>
      <c r="F45" s="58"/>
      <c r="G45" s="51" t="s">
        <v>201</v>
      </c>
      <c r="H45" s="55">
        <v>34.0</v>
      </c>
      <c r="I45" s="33"/>
      <c r="J45" s="33"/>
      <c r="K45" s="31" t="s">
        <v>246</v>
      </c>
      <c r="L45" s="48"/>
      <c r="M45" s="51" t="s">
        <v>172</v>
      </c>
      <c r="N45" s="55">
        <v>66.0</v>
      </c>
      <c r="O45" s="33"/>
      <c r="P45" s="92"/>
      <c r="Q45" s="92"/>
      <c r="R45" s="33"/>
      <c r="S45" s="33"/>
      <c r="T45" s="33"/>
      <c r="U45" s="33"/>
      <c r="V45" s="33"/>
      <c r="W45" s="33"/>
      <c r="X45" s="33"/>
      <c r="Y45" s="33"/>
      <c r="Z45" s="33"/>
    </row>
    <row r="46">
      <c r="A46" s="33"/>
      <c r="B46" s="33"/>
      <c r="C46" s="42" t="s">
        <v>129</v>
      </c>
      <c r="D46" s="44">
        <v>42.0</v>
      </c>
      <c r="E46" s="33"/>
      <c r="F46" s="58"/>
      <c r="G46" s="33"/>
      <c r="H46" s="33"/>
      <c r="I46" s="33"/>
      <c r="J46" s="33"/>
      <c r="K46" s="33"/>
      <c r="L46" s="48"/>
      <c r="M46" s="33"/>
      <c r="N46" s="33"/>
      <c r="O46" s="33"/>
      <c r="P46" s="81"/>
      <c r="Q46" s="81"/>
      <c r="R46" s="33"/>
      <c r="S46" s="33"/>
      <c r="T46" s="33"/>
      <c r="U46" s="33"/>
      <c r="V46" s="33"/>
      <c r="W46" s="33"/>
      <c r="X46" s="33"/>
      <c r="Y46" s="33"/>
      <c r="Z46" s="33"/>
    </row>
    <row r="47">
      <c r="A47" s="33"/>
      <c r="B47" s="33"/>
      <c r="C47" s="31" t="s">
        <v>248</v>
      </c>
      <c r="D47" s="48"/>
      <c r="E47" s="51" t="s">
        <v>159</v>
      </c>
      <c r="F47" s="55">
        <v>22.0</v>
      </c>
      <c r="G47" s="33"/>
      <c r="H47" s="33"/>
      <c r="I47" s="33"/>
      <c r="J47" s="33"/>
      <c r="K47" s="33"/>
      <c r="L47" s="48"/>
      <c r="M47" s="33"/>
      <c r="N47" s="33"/>
      <c r="O47" s="33"/>
      <c r="P47" s="81"/>
      <c r="Q47" s="81"/>
      <c r="R47" s="33"/>
      <c r="S47" s="33"/>
      <c r="T47" s="33"/>
      <c r="U47" s="33"/>
      <c r="V47" s="33"/>
      <c r="W47" s="33"/>
      <c r="X47" s="33"/>
      <c r="Y47" s="33"/>
      <c r="Z47" s="33"/>
    </row>
    <row r="48">
      <c r="A48" s="33"/>
      <c r="B48" s="33"/>
      <c r="C48" s="42" t="s">
        <v>159</v>
      </c>
      <c r="D48" s="55">
        <v>44.0</v>
      </c>
      <c r="E48" s="33"/>
      <c r="F48" s="33"/>
      <c r="G48" s="33"/>
      <c r="H48" s="33"/>
      <c r="I48" s="33"/>
      <c r="J48" s="33"/>
      <c r="K48" s="33"/>
      <c r="L48" s="48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>
      <c r="A49" s="33"/>
      <c r="B49" s="33"/>
      <c r="C49" s="33"/>
      <c r="D49" s="33"/>
      <c r="E49" s="33"/>
      <c r="F49" s="33"/>
      <c r="G49" s="33"/>
      <c r="H49" s="33"/>
      <c r="I49" s="51" t="s">
        <v>172</v>
      </c>
      <c r="J49" s="44">
        <v>82.0</v>
      </c>
      <c r="K49" s="33"/>
      <c r="L49" s="48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48"/>
      <c r="K50" s="33"/>
      <c r="L50" s="48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>
      <c r="A51" s="33"/>
      <c r="B51" s="33"/>
      <c r="C51" s="33"/>
      <c r="D51" s="33"/>
      <c r="E51" s="51" t="s">
        <v>7</v>
      </c>
      <c r="F51" s="44">
        <v>144.0</v>
      </c>
      <c r="G51" s="33"/>
      <c r="H51" s="33"/>
      <c r="I51" s="33"/>
      <c r="J51" s="48"/>
      <c r="K51" s="33"/>
      <c r="L51" s="48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>
      <c r="A52" s="33"/>
      <c r="B52" s="33"/>
      <c r="C52" s="33"/>
      <c r="D52" s="33"/>
      <c r="E52" s="33"/>
      <c r="F52" s="58"/>
      <c r="G52" s="33"/>
      <c r="H52" s="33"/>
      <c r="I52" s="33"/>
      <c r="J52" s="48"/>
      <c r="K52" s="33"/>
      <c r="L52" s="48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>
      <c r="A53" s="33"/>
      <c r="B53" s="33"/>
      <c r="C53" s="33"/>
      <c r="D53" s="33"/>
      <c r="E53" s="31" t="s">
        <v>251</v>
      </c>
      <c r="F53" s="58"/>
      <c r="G53" s="51" t="s">
        <v>7</v>
      </c>
      <c r="H53" s="44">
        <v>34.0</v>
      </c>
      <c r="I53" s="31" t="s">
        <v>252</v>
      </c>
      <c r="J53" s="48"/>
      <c r="K53" s="51" t="s">
        <v>172</v>
      </c>
      <c r="L53" s="55">
        <v>98.0</v>
      </c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>
      <c r="A54" s="33"/>
      <c r="B54" s="33"/>
      <c r="C54" s="42" t="s">
        <v>193</v>
      </c>
      <c r="D54" s="44">
        <v>8.0</v>
      </c>
      <c r="E54" s="33"/>
      <c r="F54" s="58"/>
      <c r="G54" s="33"/>
      <c r="H54" s="48"/>
      <c r="I54" s="33"/>
      <c r="J54" s="48"/>
      <c r="K54" s="33"/>
      <c r="L54" s="33"/>
      <c r="M54" s="33"/>
      <c r="N54" s="33"/>
      <c r="R54" s="33"/>
      <c r="S54" s="33"/>
      <c r="T54" s="33"/>
      <c r="U54" s="33"/>
      <c r="V54" s="33"/>
      <c r="W54" s="33"/>
      <c r="X54" s="33"/>
      <c r="Y54" s="33"/>
      <c r="Z54" s="33"/>
    </row>
    <row r="55">
      <c r="A55" s="33"/>
      <c r="B55" s="33"/>
      <c r="C55" s="85" t="s">
        <v>254</v>
      </c>
      <c r="D55" s="48"/>
      <c r="E55" s="51" t="s">
        <v>208</v>
      </c>
      <c r="F55" s="55">
        <v>8.0</v>
      </c>
      <c r="G55" s="33"/>
      <c r="H55" s="48"/>
      <c r="I55" s="33"/>
      <c r="J55" s="48"/>
      <c r="K55" s="33"/>
      <c r="L55" s="33"/>
      <c r="M55" s="33"/>
      <c r="N55" s="33"/>
      <c r="R55" s="33"/>
      <c r="S55" s="33"/>
      <c r="T55" s="33"/>
      <c r="U55" s="33"/>
      <c r="V55" s="33"/>
      <c r="W55" s="33"/>
      <c r="X55" s="33"/>
      <c r="Y55" s="33"/>
      <c r="Z55" s="33"/>
    </row>
    <row r="56">
      <c r="A56" s="33"/>
      <c r="B56" s="33"/>
      <c r="C56" s="42" t="s">
        <v>208</v>
      </c>
      <c r="D56" s="55">
        <v>52.0</v>
      </c>
      <c r="E56" s="33"/>
      <c r="F56" s="33"/>
      <c r="G56" s="33"/>
      <c r="H56" s="48"/>
      <c r="I56" s="33"/>
      <c r="J56" s="48"/>
      <c r="K56" s="33"/>
      <c r="L56" s="33"/>
      <c r="M56" s="33"/>
      <c r="N56" s="33"/>
      <c r="R56" s="33"/>
      <c r="S56" s="33"/>
      <c r="T56" s="33"/>
      <c r="U56" s="33"/>
      <c r="V56" s="33"/>
      <c r="W56" s="33"/>
      <c r="X56" s="33"/>
      <c r="Y56" s="33"/>
      <c r="Z56" s="33"/>
    </row>
    <row r="57">
      <c r="A57" s="33"/>
      <c r="B57" s="33"/>
      <c r="C57" s="33"/>
      <c r="D57" s="33"/>
      <c r="E57" s="33"/>
      <c r="F57" s="33"/>
      <c r="G57" s="31" t="s">
        <v>256</v>
      </c>
      <c r="H57" s="48"/>
      <c r="I57" s="51" t="s">
        <v>105</v>
      </c>
      <c r="J57" s="55">
        <v>24.0</v>
      </c>
      <c r="K57" s="33"/>
      <c r="L57" s="33"/>
      <c r="M57" s="33"/>
      <c r="N57" s="33"/>
      <c r="R57" s="33"/>
      <c r="S57" s="33"/>
      <c r="T57" s="33"/>
      <c r="U57" s="33"/>
      <c r="V57" s="33"/>
      <c r="W57" s="33"/>
      <c r="X57" s="33"/>
      <c r="Y57" s="33"/>
      <c r="Z57" s="33"/>
    </row>
    <row r="58">
      <c r="A58" s="33"/>
      <c r="B58" s="33"/>
      <c r="C58" s="33"/>
      <c r="D58" s="33"/>
      <c r="E58" s="33"/>
      <c r="F58" s="33"/>
      <c r="G58" s="33"/>
      <c r="H58" s="48"/>
      <c r="I58" s="33"/>
      <c r="J58" s="33"/>
      <c r="K58" s="33"/>
      <c r="L58" s="33"/>
      <c r="M58" s="33"/>
      <c r="N58" s="33"/>
      <c r="R58" s="33"/>
      <c r="S58" s="33"/>
      <c r="T58" s="33"/>
      <c r="U58" s="33"/>
      <c r="V58" s="33"/>
      <c r="W58" s="33"/>
      <c r="X58" s="33"/>
      <c r="Y58" s="33"/>
      <c r="Z58" s="33"/>
    </row>
    <row r="59">
      <c r="A59" s="33"/>
      <c r="B59" s="33"/>
      <c r="C59" s="33"/>
      <c r="D59" s="33"/>
      <c r="E59" s="51" t="s">
        <v>105</v>
      </c>
      <c r="F59" s="44">
        <v>32.0</v>
      </c>
      <c r="G59" s="33"/>
      <c r="H59" s="48"/>
      <c r="I59" s="33"/>
      <c r="J59" s="33"/>
      <c r="K59" s="33"/>
      <c r="L59" s="33"/>
      <c r="M59" s="33"/>
      <c r="N59" s="33"/>
      <c r="R59" s="33"/>
      <c r="S59" s="33"/>
      <c r="T59" s="33"/>
      <c r="U59" s="33"/>
      <c r="V59" s="33"/>
      <c r="W59" s="33"/>
      <c r="X59" s="33"/>
      <c r="Y59" s="33"/>
      <c r="Z59" s="33"/>
    </row>
    <row r="60">
      <c r="A60" s="33"/>
      <c r="B60" s="33"/>
      <c r="C60" s="33"/>
      <c r="D60" s="33"/>
      <c r="E60" s="33"/>
      <c r="F60" s="58"/>
      <c r="G60" s="33"/>
      <c r="H60" s="48"/>
      <c r="I60" s="33"/>
      <c r="J60" s="33"/>
      <c r="K60" s="33"/>
      <c r="L60" s="33"/>
      <c r="M60" s="33"/>
      <c r="N60" s="33"/>
      <c r="R60" s="33"/>
      <c r="S60" s="33"/>
      <c r="T60" s="33"/>
      <c r="U60" s="33"/>
      <c r="V60" s="33"/>
      <c r="W60" s="33"/>
      <c r="X60" s="33"/>
      <c r="Y60" s="33"/>
      <c r="Z60" s="33"/>
    </row>
    <row r="61">
      <c r="A61" s="33"/>
      <c r="B61" s="33"/>
      <c r="C61" s="33"/>
      <c r="D61" s="33"/>
      <c r="E61" s="31" t="s">
        <v>258</v>
      </c>
      <c r="F61" s="58"/>
      <c r="G61" s="51" t="s">
        <v>105</v>
      </c>
      <c r="H61" s="55">
        <v>68.0</v>
      </c>
      <c r="I61" s="33"/>
      <c r="J61" s="33"/>
      <c r="K61" s="33"/>
      <c r="L61" s="33"/>
      <c r="M61" s="33"/>
      <c r="N61" s="33"/>
      <c r="R61" s="33"/>
      <c r="S61" s="33"/>
      <c r="T61" s="33"/>
      <c r="U61" s="33"/>
      <c r="V61" s="33"/>
      <c r="W61" s="33"/>
      <c r="X61" s="33"/>
      <c r="Y61" s="33"/>
      <c r="Z61" s="33"/>
    </row>
    <row r="62">
      <c r="A62" s="33"/>
      <c r="B62" s="33"/>
      <c r="C62" s="42" t="s">
        <v>224</v>
      </c>
      <c r="D62" s="44">
        <v>30.0</v>
      </c>
      <c r="E62" s="33"/>
      <c r="F62" s="58"/>
      <c r="G62" s="33"/>
      <c r="H62" s="33"/>
      <c r="I62" s="33"/>
      <c r="J62" s="33"/>
      <c r="K62" s="33"/>
      <c r="L62" s="33"/>
      <c r="M62" s="33"/>
      <c r="N62" s="33"/>
      <c r="R62" s="33"/>
      <c r="S62" s="33"/>
      <c r="T62" s="33"/>
      <c r="U62" s="33"/>
      <c r="V62" s="33"/>
      <c r="W62" s="33"/>
      <c r="X62" s="33"/>
      <c r="Y62" s="33"/>
      <c r="Z62" s="33"/>
    </row>
    <row r="63">
      <c r="A63" s="33"/>
      <c r="B63" s="33"/>
      <c r="C63" s="31" t="s">
        <v>260</v>
      </c>
      <c r="D63" s="48"/>
      <c r="E63" s="51" t="s">
        <v>231</v>
      </c>
      <c r="F63" s="55">
        <v>20.0</v>
      </c>
      <c r="G63" s="33"/>
      <c r="H63" s="33"/>
      <c r="I63" s="33"/>
      <c r="J63" s="33"/>
      <c r="K63" s="33"/>
      <c r="L63" s="33"/>
      <c r="M63" s="33"/>
      <c r="N63" s="33"/>
      <c r="R63" s="33"/>
      <c r="S63" s="33"/>
      <c r="T63" s="33"/>
      <c r="U63" s="33"/>
      <c r="V63" s="33"/>
      <c r="W63" s="33"/>
      <c r="X63" s="33"/>
      <c r="Y63" s="33"/>
      <c r="Z63" s="33"/>
    </row>
    <row r="64">
      <c r="A64" s="33"/>
      <c r="B64" s="33"/>
      <c r="C64" s="42" t="s">
        <v>231</v>
      </c>
      <c r="D64" s="55">
        <v>56.0</v>
      </c>
      <c r="E64" s="33"/>
      <c r="F64" s="33"/>
      <c r="G64" s="33"/>
      <c r="H64" s="33"/>
      <c r="I64" s="33"/>
      <c r="J64" s="33"/>
      <c r="K64" s="33"/>
      <c r="L64" s="33"/>
      <c r="M64" s="33"/>
      <c r="N64" s="33"/>
      <c r="R64" s="33"/>
      <c r="S64" s="33"/>
      <c r="T64" s="33"/>
      <c r="U64" s="33"/>
      <c r="V64" s="33"/>
      <c r="W64" s="33"/>
      <c r="X64" s="33"/>
      <c r="Y64" s="33"/>
      <c r="Z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R65" s="33"/>
      <c r="S65" s="33"/>
      <c r="T65" s="33"/>
      <c r="U65" s="33"/>
      <c r="V65" s="33"/>
      <c r="W65" s="33"/>
      <c r="X65" s="33"/>
      <c r="Y65" s="33"/>
      <c r="Z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R66" s="33"/>
      <c r="S66" s="33"/>
      <c r="T66" s="33"/>
      <c r="U66" s="33"/>
      <c r="V66" s="33"/>
      <c r="W66" s="33"/>
      <c r="X66" s="33"/>
      <c r="Y66" s="33"/>
      <c r="Z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R67" s="33"/>
      <c r="S67" s="33"/>
      <c r="T67" s="33"/>
      <c r="U67" s="33"/>
      <c r="V67" s="33"/>
      <c r="W67" s="33"/>
      <c r="X67" s="33"/>
      <c r="Y67" s="33"/>
      <c r="Z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R68" s="33"/>
      <c r="S68" s="33"/>
      <c r="T68" s="33"/>
      <c r="U68" s="33"/>
      <c r="V68" s="33"/>
      <c r="W68" s="33"/>
      <c r="X68" s="33"/>
      <c r="Y68" s="33"/>
      <c r="Z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R69" s="33"/>
      <c r="S69" s="33"/>
      <c r="T69" s="33"/>
      <c r="U69" s="33"/>
      <c r="V69" s="33"/>
      <c r="W69" s="33"/>
      <c r="X69" s="33"/>
      <c r="Y69" s="33"/>
      <c r="Z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R70" s="33"/>
      <c r="S70" s="33"/>
      <c r="T70" s="33"/>
      <c r="U70" s="33"/>
      <c r="V70" s="33"/>
      <c r="W70" s="33"/>
      <c r="X70" s="33"/>
      <c r="Y70" s="33"/>
      <c r="Z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R71" s="33"/>
      <c r="S71" s="33"/>
      <c r="T71" s="33"/>
      <c r="U71" s="33"/>
      <c r="V71" s="33"/>
      <c r="W71" s="33"/>
      <c r="X71" s="33"/>
      <c r="Y71" s="33"/>
      <c r="Z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R72" s="33"/>
      <c r="S72" s="33"/>
      <c r="T72" s="33"/>
      <c r="U72" s="33"/>
      <c r="V72" s="33"/>
      <c r="W72" s="33"/>
      <c r="X72" s="33"/>
      <c r="Y72" s="33"/>
      <c r="Z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R73" s="33"/>
      <c r="S73" s="33"/>
      <c r="T73" s="33"/>
      <c r="U73" s="33"/>
      <c r="V73" s="33"/>
      <c r="W73" s="33"/>
      <c r="X73" s="33"/>
      <c r="Y73" s="33"/>
      <c r="Z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R74" s="33"/>
      <c r="S74" s="33"/>
      <c r="T74" s="33"/>
      <c r="U74" s="33"/>
      <c r="V74" s="33"/>
      <c r="W74" s="33"/>
      <c r="X74" s="33"/>
      <c r="Y74" s="33"/>
      <c r="Z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R75" s="33"/>
      <c r="S75" s="33"/>
      <c r="T75" s="33"/>
      <c r="U75" s="33"/>
      <c r="V75" s="33"/>
      <c r="W75" s="33"/>
      <c r="X75" s="33"/>
      <c r="Y75" s="33"/>
      <c r="Z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R76" s="33"/>
      <c r="S76" s="33"/>
      <c r="T76" s="33"/>
      <c r="U76" s="33"/>
      <c r="V76" s="33"/>
      <c r="W76" s="33"/>
      <c r="X76" s="33"/>
      <c r="Y76" s="33"/>
      <c r="Z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R77" s="33"/>
      <c r="S77" s="33"/>
      <c r="T77" s="33"/>
      <c r="U77" s="33"/>
      <c r="V77" s="33"/>
      <c r="W77" s="33"/>
      <c r="X77" s="33"/>
      <c r="Y77" s="33"/>
      <c r="Z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R78" s="33"/>
      <c r="S78" s="33"/>
      <c r="T78" s="33"/>
      <c r="U78" s="33"/>
      <c r="V78" s="33"/>
      <c r="W78" s="33"/>
      <c r="X78" s="33"/>
      <c r="Y78" s="33"/>
      <c r="Z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R79" s="33"/>
      <c r="S79" s="33"/>
      <c r="T79" s="33"/>
      <c r="U79" s="33"/>
      <c r="V79" s="33"/>
      <c r="W79" s="33"/>
      <c r="X79" s="33"/>
      <c r="Y79" s="33"/>
      <c r="Z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R80" s="33"/>
      <c r="S80" s="33"/>
      <c r="T80" s="33"/>
      <c r="U80" s="33"/>
      <c r="V80" s="33"/>
      <c r="W80" s="33"/>
      <c r="X80" s="33"/>
      <c r="Y80" s="33"/>
      <c r="Z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R81" s="33"/>
      <c r="S81" s="33"/>
      <c r="T81" s="33"/>
      <c r="U81" s="33"/>
      <c r="V81" s="33"/>
      <c r="W81" s="33"/>
      <c r="X81" s="33"/>
      <c r="Y81" s="33"/>
      <c r="Z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R82" s="33"/>
      <c r="S82" s="33"/>
      <c r="T82" s="33"/>
      <c r="U82" s="33"/>
      <c r="V82" s="33"/>
      <c r="W82" s="33"/>
      <c r="X82" s="33"/>
      <c r="Y82" s="33"/>
      <c r="Z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R83" s="33"/>
      <c r="S83" s="33"/>
      <c r="T83" s="33"/>
      <c r="U83" s="33"/>
      <c r="V83" s="33"/>
      <c r="W83" s="33"/>
      <c r="X83" s="33"/>
      <c r="Y83" s="33"/>
      <c r="Z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R84" s="33"/>
      <c r="S84" s="33"/>
      <c r="T84" s="33"/>
      <c r="U84" s="33"/>
      <c r="V84" s="33"/>
      <c r="W84" s="33"/>
      <c r="X84" s="33"/>
      <c r="Y84" s="33"/>
      <c r="Z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R85" s="33"/>
      <c r="S85" s="33"/>
      <c r="T85" s="33"/>
      <c r="U85" s="33"/>
      <c r="V85" s="33"/>
      <c r="W85" s="33"/>
      <c r="X85" s="33"/>
      <c r="Y85" s="33"/>
      <c r="Z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R86" s="33"/>
      <c r="S86" s="33"/>
      <c r="T86" s="33"/>
      <c r="U86" s="33"/>
      <c r="V86" s="33"/>
      <c r="W86" s="33"/>
      <c r="X86" s="33"/>
      <c r="Y86" s="33"/>
      <c r="Z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  <row r="1001">
      <c r="A1001" s="33"/>
      <c r="B1001" s="33"/>
      <c r="C1001" s="3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</row>
  </sheetData>
  <mergeCells count="7">
    <mergeCell ref="E5:F5"/>
    <mergeCell ref="I9:J9"/>
    <mergeCell ref="E13:F13"/>
    <mergeCell ref="M17:N17"/>
    <mergeCell ref="E21:F21"/>
    <mergeCell ref="I25:J25"/>
    <mergeCell ref="E29:F29"/>
  </mergeCells>
  <drawing r:id="rId1"/>
</worksheet>
</file>