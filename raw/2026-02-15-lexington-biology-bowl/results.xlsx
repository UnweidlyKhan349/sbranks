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 Groups" sheetId="1" r:id="rId5"/>
    <sheet state="visible" name="RR Matchups" sheetId="2" r:id="rId6"/>
    <sheet state="visible" name="RR Results" sheetId="3" r:id="rId7"/>
    <sheet state="visible" name="DE Seeding" sheetId="4" r:id="rId8"/>
    <sheet state="visible" name="DE Bracket" sheetId="5" r:id="rId9"/>
    <sheet state="hidden" name="DE Results" sheetId="6" r:id="rId10"/>
    <sheet state="hidden" name="RR Schedule (List)" sheetId="7" r:id="rId11"/>
    <sheet state="hidden" name="SE Bracket (Alt)" sheetId="8" r:id="rId12"/>
  </sheets>
  <definedNames/>
  <calcPr/>
</workbook>
</file>

<file path=xl/sharedStrings.xml><?xml version="1.0" encoding="utf-8"?>
<sst xmlns="http://schemas.openxmlformats.org/spreadsheetml/2006/main" count="888" uniqueCount="257">
  <si>
    <t>Time (PST)</t>
  </si>
  <si>
    <t>RR Results</t>
  </si>
  <si>
    <t>Arthropoda</t>
  </si>
  <si>
    <t>Seed</t>
  </si>
  <si>
    <t>Team</t>
  </si>
  <si>
    <t>RR Score</t>
  </si>
  <si>
    <t>Pts</t>
  </si>
  <si>
    <t>Index</t>
  </si>
  <si>
    <t>Basidiomycota</t>
  </si>
  <si>
    <t>Round</t>
  </si>
  <si>
    <t>Caudates</t>
  </si>
  <si>
    <t>Coniferophyta</t>
  </si>
  <si>
    <t>Team Code</t>
  </si>
  <si>
    <t>Team Name</t>
  </si>
  <si>
    <t>RR1</t>
  </si>
  <si>
    <t>RR2</t>
  </si>
  <si>
    <t>RR3</t>
  </si>
  <si>
    <t>Team 1</t>
  </si>
  <si>
    <t>RR4</t>
  </si>
  <si>
    <t>Team 2</t>
  </si>
  <si>
    <t>RR5</t>
  </si>
  <si>
    <t>Room</t>
  </si>
  <si>
    <t>Total</t>
  </si>
  <si>
    <t>R</t>
  </si>
  <si>
    <t>A1</t>
  </si>
  <si>
    <t>10:10 - 10:40</t>
  </si>
  <si>
    <t>B1</t>
  </si>
  <si>
    <t>chuck and larry</t>
  </si>
  <si>
    <t>W</t>
  </si>
  <si>
    <t>Note:</t>
  </si>
  <si>
    <t>C1</t>
  </si>
  <si>
    <t>lampreys</t>
  </si>
  <si>
    <t>A2</t>
  </si>
  <si>
    <t>Arthropoda-1</t>
  </si>
  <si>
    <t>refractory period</t>
  </si>
  <si>
    <t>B2</t>
  </si>
  <si>
    <t>CT warriors</t>
  </si>
  <si>
    <t>C2</t>
  </si>
  <si>
    <t>Basidiomycota-1</t>
  </si>
  <si>
    <t>Southern Pirates</t>
  </si>
  <si>
    <t>The first 6 teams are seeded by Pts, then by RR score</t>
  </si>
  <si>
    <t>Coniferophyta-1</t>
  </si>
  <si>
    <t>A3</t>
  </si>
  <si>
    <t>BioBattalion</t>
  </si>
  <si>
    <t>B3</t>
  </si>
  <si>
    <t>Trophonyms are placental names</t>
  </si>
  <si>
    <t>C3</t>
  </si>
  <si>
    <t xml:space="preserve">A4 </t>
  </si>
  <si>
    <t>We r Charlie Karwin</t>
  </si>
  <si>
    <t>Arthropoda-2</t>
  </si>
  <si>
    <t xml:space="preserve">B4 </t>
  </si>
  <si>
    <t>A4</t>
  </si>
  <si>
    <t>Basidiomycota-2</t>
  </si>
  <si>
    <t xml:space="preserve">C4 </t>
  </si>
  <si>
    <t>Granada Hills Science Bowl</t>
  </si>
  <si>
    <t>Coniferophyta-2</t>
  </si>
  <si>
    <t>B4</t>
  </si>
  <si>
    <t>Acetylcholine</t>
  </si>
  <si>
    <t>A5</t>
  </si>
  <si>
    <t>C4</t>
  </si>
  <si>
    <t>The next 2 teams (wildcard) are decided purely by index</t>
  </si>
  <si>
    <t>A6</t>
  </si>
  <si>
    <t>sadfk</t>
  </si>
  <si>
    <t>Arthropoda-3</t>
  </si>
  <si>
    <t>B5</t>
  </si>
  <si>
    <t>B6</t>
  </si>
  <si>
    <t>Basidiomycota-3</t>
  </si>
  <si>
    <t>C5</t>
  </si>
  <si>
    <t>C6</t>
  </si>
  <si>
    <t>Coniferophyta-3</t>
  </si>
  <si>
    <t>Olympiad Farmers</t>
  </si>
  <si>
    <t>10:50 - 11:20</t>
  </si>
  <si>
    <t>kirkified lordus 67</t>
  </si>
  <si>
    <t>State College Area HS</t>
  </si>
  <si>
    <t>refractory</t>
  </si>
  <si>
    <t>BFHS</t>
  </si>
  <si>
    <t>5 boroughs</t>
  </si>
  <si>
    <t>unresponsive on discord</t>
  </si>
  <si>
    <t>11:30 - 12:00</t>
  </si>
  <si>
    <t>Southern 🏴‍☠️</t>
  </si>
  <si>
    <t>-</t>
  </si>
  <si>
    <t>unresponsive</t>
  </si>
  <si>
    <t>12:10 - 12:40</t>
  </si>
  <si>
    <t>dropped</t>
  </si>
  <si>
    <t>So Hills</t>
  </si>
  <si>
    <t>12:50 - 1:20</t>
  </si>
  <si>
    <t>Trophonyms</t>
  </si>
  <si>
    <t>L</t>
  </si>
  <si>
    <t>Granada Hills</t>
  </si>
  <si>
    <t>kirkified</t>
  </si>
  <si>
    <t>Charlie Karwin</t>
  </si>
  <si>
    <t>did not show up</t>
  </si>
  <si>
    <t>Oly Farmers</t>
  </si>
  <si>
    <t>T</t>
  </si>
  <si>
    <t>DE Bracket</t>
  </si>
  <si>
    <t>DE Results</t>
  </si>
  <si>
    <r>
      <rPr>
        <rFont val="Source Sans Pro"/>
        <b/>
        <color theme="1"/>
        <sz val="15.0"/>
      </rPr>
      <t>DE 1</t>
    </r>
    <r>
      <rPr>
        <rFont val="Source Sans Pro"/>
        <b val="0"/>
        <color theme="1"/>
        <sz val="15.0"/>
      </rPr>
      <t>: 2:00 - 2:30 PT</t>
    </r>
  </si>
  <si>
    <r>
      <rPr>
        <rFont val="Source Sans Pro"/>
        <b/>
        <color theme="1"/>
        <sz val="15.0"/>
      </rPr>
      <t>DE 1</t>
    </r>
    <r>
      <rPr>
        <rFont val="Source Sans Pro"/>
        <b val="0"/>
        <color theme="1"/>
        <sz val="15.0"/>
      </rPr>
      <t>: 2:00 - 2:30 PT</t>
    </r>
  </si>
  <si>
    <r>
      <rPr>
        <rFont val="Source Sans Pro"/>
        <b/>
        <color theme="1"/>
        <sz val="15.0"/>
      </rPr>
      <t>DE 2</t>
    </r>
    <r>
      <rPr>
        <rFont val="Source Sans Pro"/>
        <b val="0"/>
        <color theme="1"/>
        <sz val="15.0"/>
      </rPr>
      <t>: 2:40 - 3:10 PT</t>
    </r>
  </si>
  <si>
    <r>
      <rPr>
        <rFont val="Source Sans Pro"/>
        <b/>
        <color theme="1"/>
        <sz val="15.0"/>
      </rPr>
      <t>DE 2</t>
    </r>
    <r>
      <rPr>
        <rFont val="Source Sans Pro"/>
        <b val="0"/>
        <color theme="1"/>
        <sz val="15.0"/>
      </rPr>
      <t>: 2:40 - 3:10 PT</t>
    </r>
  </si>
  <si>
    <r>
      <rPr>
        <rFont val="Source Sans Pro"/>
        <b/>
        <color theme="1"/>
        <sz val="15.0"/>
      </rPr>
      <t>DE 3</t>
    </r>
    <r>
      <rPr>
        <rFont val="Source Sans Pro"/>
        <b val="0"/>
        <color theme="1"/>
        <sz val="15.0"/>
      </rPr>
      <t>: 3:20 - 3:50 PT</t>
    </r>
  </si>
  <si>
    <r>
      <rPr>
        <rFont val="Source Sans Pro"/>
        <b/>
        <color theme="1"/>
        <sz val="15.0"/>
      </rPr>
      <t>DE 3</t>
    </r>
    <r>
      <rPr>
        <rFont val="Source Sans Pro"/>
        <b val="0"/>
        <color theme="1"/>
        <sz val="15.0"/>
      </rPr>
      <t>: 3:20 - 3:50 PT</t>
    </r>
  </si>
  <si>
    <r>
      <rPr>
        <rFont val="Source Sans Pro"/>
        <b/>
        <color theme="1"/>
        <sz val="15.0"/>
      </rPr>
      <t>DE 4</t>
    </r>
    <r>
      <rPr>
        <rFont val="Source Sans Pro"/>
        <b val="0"/>
        <color theme="1"/>
        <sz val="15.0"/>
      </rPr>
      <t>: 4 - 4:30 PT</t>
    </r>
  </si>
  <si>
    <r>
      <rPr>
        <rFont val="Source Sans Pro"/>
        <b/>
        <color theme="1"/>
        <sz val="15.0"/>
      </rPr>
      <t>DE 4</t>
    </r>
    <r>
      <rPr>
        <rFont val="Source Sans Pro"/>
        <b val="0"/>
        <color theme="1"/>
        <sz val="15.0"/>
      </rPr>
      <t>: 4 - 4:30 PT</t>
    </r>
  </si>
  <si>
    <r>
      <rPr>
        <rFont val="Source Sans Pro"/>
        <b/>
        <color theme="1"/>
        <sz val="15.0"/>
      </rPr>
      <t>DE 5</t>
    </r>
    <r>
      <rPr>
        <rFont val="Source Sans Pro"/>
        <b val="0"/>
        <color theme="1"/>
        <sz val="15.0"/>
      </rPr>
      <t>: 4:40 - 5:10 PT</t>
    </r>
  </si>
  <si>
    <r>
      <rPr>
        <rFont val="Source Sans Pro"/>
        <b/>
        <color theme="1"/>
        <sz val="15.0"/>
      </rPr>
      <t>DE 5</t>
    </r>
    <r>
      <rPr>
        <rFont val="Source Sans Pro"/>
        <b val="0"/>
        <color theme="1"/>
        <sz val="15.0"/>
      </rPr>
      <t>: 4:40 - 5:10 PT</t>
    </r>
  </si>
  <si>
    <r>
      <rPr>
        <rFont val="Source Sans Pro"/>
        <b/>
        <color theme="1"/>
        <sz val="15.0"/>
      </rPr>
      <t>DE 6</t>
    </r>
    <r>
      <rPr>
        <rFont val="Source Sans Pro"/>
        <b val="0"/>
        <color theme="1"/>
        <sz val="15.0"/>
      </rPr>
      <t>: 5:20 - 5:50 PT</t>
    </r>
  </si>
  <si>
    <r>
      <rPr>
        <rFont val="Source Sans Pro"/>
        <b/>
        <color theme="1"/>
        <sz val="15.0"/>
      </rPr>
      <t>DE 7</t>
    </r>
    <r>
      <rPr>
        <rFont val="Source Sans Pro"/>
        <b val="0"/>
        <color theme="1"/>
        <sz val="15.0"/>
      </rPr>
      <t>: 6:00 - 6:30 PT</t>
    </r>
  </si>
  <si>
    <r>
      <rPr>
        <rFont val="Source Sans Pro"/>
        <b/>
        <color theme="1"/>
        <sz val="15.0"/>
      </rPr>
      <t>DE 6</t>
    </r>
    <r>
      <rPr>
        <rFont val="Source Sans Pro"/>
        <b val="0"/>
        <color theme="1"/>
        <sz val="15.0"/>
      </rPr>
      <t>: 5:20 - 5:50 PT</t>
    </r>
  </si>
  <si>
    <r>
      <rPr>
        <rFont val="Source Sans Pro"/>
        <b/>
        <color theme="1"/>
        <sz val="15.0"/>
      </rPr>
      <t>DE 7</t>
    </r>
    <r>
      <rPr>
        <rFont val="Source Sans Pro"/>
        <b val="0"/>
        <color theme="1"/>
        <sz val="15.0"/>
      </rPr>
      <t>: 6:00 - 6:30 PT</t>
    </r>
  </si>
  <si>
    <t>RR Schedule</t>
  </si>
  <si>
    <t>MSJ Blot</t>
  </si>
  <si>
    <t>Discord</t>
  </si>
  <si>
    <r>
      <rPr>
        <rFont val="Source Sans Pro"/>
        <b/>
        <color theme="1"/>
        <sz val="15.0"/>
      </rPr>
      <t>RR 1</t>
    </r>
    <r>
      <rPr>
        <rFont val="Source Sans Pro"/>
        <b val="0"/>
        <color theme="1"/>
        <sz val="15.0"/>
      </rPr>
      <t>: 8/1-8/3</t>
    </r>
  </si>
  <si>
    <r>
      <rPr>
        <rFont val="Source Sans Pro"/>
        <b/>
        <color theme="1"/>
        <sz val="15.0"/>
      </rPr>
      <t>RR 2</t>
    </r>
    <r>
      <rPr>
        <rFont val="Source Sans Pro"/>
        <b val="0"/>
        <color theme="1"/>
        <sz val="15.0"/>
      </rPr>
      <t>: 8/4-8/6</t>
    </r>
  </si>
  <si>
    <r>
      <rPr>
        <rFont val="Source Sans Pro"/>
        <b/>
        <color theme="1"/>
        <sz val="15.0"/>
      </rPr>
      <t>RR 3</t>
    </r>
    <r>
      <rPr>
        <rFont val="Source Sans Pro"/>
        <b val="0"/>
        <color theme="1"/>
        <sz val="15.0"/>
      </rPr>
      <t>: 8/7-8/9</t>
    </r>
  </si>
  <si>
    <r>
      <rPr>
        <rFont val="Source Sans Pro"/>
        <b/>
        <color theme="1"/>
        <sz val="15.0"/>
      </rPr>
      <t>RR 4</t>
    </r>
    <r>
      <rPr>
        <rFont val="Source Sans Pro"/>
        <b val="0"/>
        <color theme="1"/>
        <sz val="15.0"/>
      </rPr>
      <t>: 8/10-8/12</t>
    </r>
  </si>
  <si>
    <r>
      <rPr>
        <rFont val="Source Sans Pro"/>
        <b/>
        <color theme="1"/>
        <sz val="15.0"/>
      </rPr>
      <t>RR 5</t>
    </r>
    <r>
      <rPr>
        <rFont val="Source Sans Pro"/>
        <b val="0"/>
        <color theme="1"/>
        <sz val="15.0"/>
      </rPr>
      <t>: 8/13-8/15</t>
    </r>
  </si>
  <si>
    <t>Name</t>
  </si>
  <si>
    <t>Winner of 1</t>
  </si>
  <si>
    <t>UDErname</t>
  </si>
  <si>
    <t>Group</t>
  </si>
  <si>
    <t>Player 1</t>
  </si>
  <si>
    <t>Player 2</t>
  </si>
  <si>
    <t>Winner of 2</t>
  </si>
  <si>
    <t>Alexander D</t>
  </si>
  <si>
    <t>Alex D.</t>
  </si>
  <si>
    <t>Connor Z</t>
  </si>
  <si>
    <t>Johnathan S</t>
  </si>
  <si>
    <t>Minghao G</t>
  </si>
  <si>
    <t>Samuel W</t>
  </si>
  <si>
    <t>Shreyas E</t>
  </si>
  <si>
    <t>connor.zz</t>
  </si>
  <si>
    <t>Wayzata Blot</t>
  </si>
  <si>
    <t>TheScienceGuy</t>
  </si>
  <si>
    <t>sucraloDE_121983</t>
  </si>
  <si>
    <t>Devesh A</t>
  </si>
  <si>
    <t>Emily H</t>
  </si>
  <si>
    <t>Jason Y</t>
  </si>
  <si>
    <t>Mary P</t>
  </si>
  <si>
    <t>Samarth J</t>
  </si>
  <si>
    <t>Yale Z</t>
  </si>
  <si>
    <t>lapronite</t>
  </si>
  <si>
    <t>Winner of 5</t>
  </si>
  <si>
    <t>ShreyaDE39</t>
  </si>
  <si>
    <t>_devesh_</t>
  </si>
  <si>
    <t>Advai S</t>
  </si>
  <si>
    <t>Charlotte C</t>
  </si>
  <si>
    <t>Edward J</t>
  </si>
  <si>
    <t>Flora J</t>
  </si>
  <si>
    <t>Kensuke O</t>
  </si>
  <si>
    <t>Winner of 6</t>
  </si>
  <si>
    <t>Malachi N</t>
  </si>
  <si>
    <t>Lexington Blot</t>
  </si>
  <si>
    <t>ginkgobee</t>
  </si>
  <si>
    <t>bdcl</t>
  </si>
  <si>
    <t>mareeeena</t>
  </si>
  <si>
    <t>Allen F</t>
  </si>
  <si>
    <t>Daniel L</t>
  </si>
  <si>
    <t>Ian C</t>
  </si>
  <si>
    <t>Nyles H</t>
  </si>
  <si>
    <t>Sophia X</t>
  </si>
  <si>
    <t>Vishnu M</t>
  </si>
  <si>
    <t>@ur.strong.husband.</t>
  </si>
  <si>
    <t>blorppps</t>
  </si>
  <si>
    <t>dwaii</t>
  </si>
  <si>
    <t>Connor C</t>
  </si>
  <si>
    <t>Jack F</t>
  </si>
  <si>
    <t>JesDE D</t>
  </si>
  <si>
    <t>Patrick S</t>
  </si>
  <si>
    <t>Rohan G</t>
  </si>
  <si>
    <t>Ryan E</t>
  </si>
  <si>
    <t>butitsyou</t>
  </si>
  <si>
    <t>Winner of 3</t>
  </si>
  <si>
    <t>Gogobi</t>
  </si>
  <si>
    <t>pineapple3527</t>
  </si>
  <si>
    <t>Akhil B</t>
  </si>
  <si>
    <t>Harry J</t>
  </si>
  <si>
    <t>Osric D</t>
  </si>
  <si>
    <t>Penelope S</t>
  </si>
  <si>
    <t>Ryan C</t>
  </si>
  <si>
    <t>Winner of 4</t>
  </si>
  <si>
    <t>Shreyas K</t>
  </si>
  <si>
    <t>3neks</t>
  </si>
  <si>
    <t>malachi9</t>
  </si>
  <si>
    <t>extrino</t>
  </si>
  <si>
    <t>Alexander W</t>
  </si>
  <si>
    <t>Dhruhi P</t>
  </si>
  <si>
    <t>Isaiah S</t>
  </si>
  <si>
    <t>Jianyu W</t>
  </si>
  <si>
    <t>Shashank V</t>
  </si>
  <si>
    <t>Suzuko O</t>
  </si>
  <si>
    <t>dannyridel</t>
  </si>
  <si>
    <t>ic8300</t>
  </si>
  <si>
    <t>Winner of 11</t>
  </si>
  <si>
    <t>ShrkyBoi@2678</t>
  </si>
  <si>
    <t>Advik S</t>
  </si>
  <si>
    <t>Aldric B</t>
  </si>
  <si>
    <t>Alex Z</t>
  </si>
  <si>
    <t>Ritwik A</t>
  </si>
  <si>
    <t>Roshan A</t>
  </si>
  <si>
    <t>Zack Z</t>
  </si>
  <si>
    <t>azraelrxi</t>
  </si>
  <si>
    <t>Loser of 14</t>
  </si>
  <si>
    <t>oof7373</t>
  </si>
  <si>
    <t>Winner of 13</t>
  </si>
  <si>
    <t>Winner of 14</t>
  </si>
  <si>
    <t>c0nn0r70</t>
  </si>
  <si>
    <t>lackolith</t>
  </si>
  <si>
    <t>spudunkerdunker#4047</t>
  </si>
  <si>
    <t>xn1trogen.</t>
  </si>
  <si>
    <t>iacidar</t>
  </si>
  <si>
    <t>stitch2506</t>
  </si>
  <si>
    <t>abat4</t>
  </si>
  <si>
    <t>Frazer Blot</t>
  </si>
  <si>
    <t>Loser of 1</t>
  </si>
  <si>
    <t>harry__jin</t>
  </si>
  <si>
    <t>odiend1</t>
  </si>
  <si>
    <t>@.sub_marine.</t>
  </si>
  <si>
    <t>Loser of 4</t>
  </si>
  <si>
    <t>exoplanets</t>
  </si>
  <si>
    <t>KingOfStocks</t>
  </si>
  <si>
    <t>goldenorbweaver</t>
  </si>
  <si>
    <t>frung1</t>
  </si>
  <si>
    <t>isaiahfishy</t>
  </si>
  <si>
    <t>Winner of 7</t>
  </si>
  <si>
    <t>cloudicloud</t>
  </si>
  <si>
    <t>covets_destined_death</t>
  </si>
  <si>
    <t>Loser of 6</t>
  </si>
  <si>
    <t>so.what.if.</t>
  </si>
  <si>
    <t>advik4801gi</t>
  </si>
  <si>
    <t>polaris24</t>
  </si>
  <si>
    <t>Loser of 11</t>
  </si>
  <si>
    <t>shaulaz</t>
  </si>
  <si>
    <t>grrhehehehaw.</t>
  </si>
  <si>
    <t>mortionic</t>
  </si>
  <si>
    <t>Oreopengguin</t>
  </si>
  <si>
    <t>Winner of 12</t>
  </si>
  <si>
    <t>Waitlist</t>
  </si>
  <si>
    <t>Srinjoy M</t>
  </si>
  <si>
    <t>999srinn.</t>
  </si>
  <si>
    <t>Winner of 9</t>
  </si>
  <si>
    <t>Yash R</t>
  </si>
  <si>
    <t>albuspotter124</t>
  </si>
  <si>
    <t>Aryo B</t>
  </si>
  <si>
    <t>aryo0050</t>
  </si>
  <si>
    <t>Winner of 10</t>
  </si>
  <si>
    <t>Winner of 8</t>
  </si>
  <si>
    <t>Loser of 5</t>
  </si>
  <si>
    <t>Loser of 2</t>
  </si>
  <si>
    <t>Loser of 3</t>
  </si>
  <si>
    <t>2024 Earth and Space Scrimmage</t>
  </si>
  <si>
    <r>
      <rPr>
        <rFont val="Source Sans Pro"/>
        <b/>
        <color theme="1"/>
        <sz val="15.0"/>
      </rPr>
      <t>DE1</t>
    </r>
    <r>
      <rPr>
        <rFont val="Source Sans Pro"/>
        <b val="0"/>
        <color theme="1"/>
        <sz val="15.0"/>
      </rPr>
      <t>: Time</t>
    </r>
  </si>
  <si>
    <r>
      <rPr>
        <rFont val="Source Sans Pro"/>
        <b/>
        <color theme="1"/>
        <sz val="15.0"/>
      </rPr>
      <t>DE2</t>
    </r>
    <r>
      <rPr>
        <rFont val="Source Sans Pro"/>
        <b val="0"/>
        <color theme="1"/>
        <sz val="15.0"/>
      </rPr>
      <t>: Time</t>
    </r>
  </si>
  <si>
    <r>
      <rPr>
        <rFont val="Source Sans Pro"/>
        <b/>
        <color theme="1"/>
        <sz val="15.0"/>
      </rPr>
      <t>DE3</t>
    </r>
    <r>
      <rPr>
        <rFont val="Source Sans Pro"/>
        <b val="0"/>
        <color theme="1"/>
        <sz val="15.0"/>
      </rPr>
      <t>: Time</t>
    </r>
  </si>
  <si>
    <r>
      <rPr>
        <rFont val="Source Sans Pro"/>
        <b/>
        <color theme="1"/>
        <sz val="15.0"/>
      </rPr>
      <t>DE4</t>
    </r>
    <r>
      <rPr>
        <rFont val="Source Sans Pro"/>
        <b val="0"/>
        <color theme="1"/>
        <sz val="15.0"/>
      </rPr>
      <t>: Time</t>
    </r>
  </si>
  <si>
    <t>Player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</si>
</sst>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24">
    <font>
      <sz val="10.0"/>
      <color rgb="FF000000"/>
      <name val="Arial"/>
      <scheme val="minor"/>
    </font>
    <font>
      <b/>
      <sz val="36.0"/>
      <color rgb="FFFFFFFF"/>
      <name val="Source Sans Pro"/>
    </font>
    <font>
      <b/>
      <color theme="1"/>
      <name val="Source Sans Pro"/>
    </font>
    <font>
      <b/>
      <sz val="16.0"/>
      <color theme="1"/>
      <name val="Calibri"/>
    </font>
    <font>
      <color theme="1"/>
      <name val="Source Sans Pro"/>
    </font>
    <font/>
    <font>
      <b/>
      <color theme="1"/>
      <name val="Calibri"/>
    </font>
    <font>
      <b/>
      <sz val="13.0"/>
      <color rgb="FF000000"/>
      <name val="Source Sans Pro"/>
    </font>
    <font>
      <color theme="1"/>
      <name val="Calibri"/>
    </font>
    <font>
      <b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b/>
      <sz val="12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36.0"/>
      <color rgb="FFF3F3F3"/>
      <name val="Source Sans Pro"/>
    </font>
    <font>
      <b/>
      <sz val="15.0"/>
      <color theme="1"/>
      <name val="Source Sans Pro"/>
    </font>
    <font>
      <b/>
      <sz val="13.0"/>
      <color rgb="FFFFFFFF"/>
      <name val="Source Sans Pro"/>
    </font>
    <font>
      <b/>
      <sz val="13.0"/>
      <color rgb="FFEFEFEF"/>
      <name val="Source Sans Pro"/>
    </font>
    <font>
      <sz val="11.0"/>
      <color rgb="FF000000"/>
      <name val="Source Sans Pro"/>
    </font>
    <font>
      <b/>
      <sz val="13.0"/>
      <color theme="1"/>
      <name val="Source Sans Pro"/>
    </font>
    <font>
      <b/>
      <sz val="15.0"/>
      <color rgb="FF000000"/>
      <name val="Source Sans Pro"/>
    </font>
    <font>
      <i/>
      <sz val="11.0"/>
      <color rgb="FF000000"/>
      <name val="Source Sans Pro"/>
    </font>
    <font>
      <sz val="11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5FFB1"/>
        <bgColor rgb="FFC5FFB1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2342FF"/>
        <bgColor rgb="FF2342FF"/>
      </patternFill>
    </fill>
    <fill>
      <patternFill patternType="solid">
        <fgColor rgb="FF5569FF"/>
        <bgColor rgb="FF5569FF"/>
      </patternFill>
    </fill>
    <fill>
      <patternFill patternType="solid">
        <fgColor rgb="FFFFC6C6"/>
        <bgColor rgb="FFFFC6C6"/>
      </patternFill>
    </fill>
    <fill>
      <patternFill patternType="solid">
        <fgColor rgb="FFEFEFEF"/>
        <bgColor rgb="FFEFEFEF"/>
      </patternFill>
    </fill>
    <fill>
      <patternFill patternType="solid">
        <fgColor rgb="FFFFF9A8"/>
        <bgColor rgb="FFFFF9A8"/>
      </patternFill>
    </fill>
  </fills>
  <borders count="50">
    <border/>
    <border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medium">
        <color rgb="FF351C75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FFFFFF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5569FF"/>
      </top>
    </border>
    <border>
      <right style="medium">
        <color rgb="FF5569FF"/>
      </right>
      <top style="medium">
        <color rgb="FF5569FF"/>
      </top>
    </border>
    <border>
      <bottom style="medium">
        <color rgb="FF5569FF"/>
      </bottom>
    </border>
    <border>
      <left style="medium">
        <color rgb="FF000000"/>
      </left>
      <bottom style="thin">
        <color rgb="FF000000"/>
      </bottom>
    </border>
    <border>
      <right style="medium">
        <color rgb="FF5569FF"/>
      </right>
    </border>
    <border>
      <right style="medium">
        <color rgb="FF5569FF"/>
      </right>
      <bottom style="medium">
        <color rgb="FF5569FF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/>
    </xf>
    <xf borderId="2" fillId="4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/>
    </xf>
    <xf borderId="3" fillId="0" fontId="5" numFmtId="0" xfId="0" applyBorder="1" applyFont="1"/>
    <xf borderId="0" fillId="0" fontId="4" numFmtId="0" xfId="0" applyAlignment="1" applyFont="1">
      <alignment vertical="bottom"/>
    </xf>
    <xf borderId="4" fillId="0" fontId="5" numFmtId="0" xfId="0" applyBorder="1" applyFont="1"/>
    <xf borderId="5" fillId="0" fontId="6" numFmtId="0" xfId="0" applyAlignment="1" applyBorder="1" applyFont="1">
      <alignment horizontal="center" readingOrder="0" vertical="bottom"/>
    </xf>
    <xf borderId="0" fillId="0" fontId="4" numFmtId="0" xfId="0" applyFont="1"/>
    <xf borderId="0" fillId="5" fontId="2" numFmtId="0" xfId="0" applyAlignment="1" applyFill="1" applyFont="1">
      <alignment horizontal="center" readingOrder="0"/>
    </xf>
    <xf borderId="3" fillId="6" fontId="3" numFmtId="0" xfId="0" applyAlignment="1" applyBorder="1" applyFill="1" applyFont="1">
      <alignment horizontal="center" readingOrder="0" vertical="bottom"/>
    </xf>
    <xf borderId="0" fillId="5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readingOrder="0" vertical="bottom"/>
    </xf>
    <xf borderId="6" fillId="4" fontId="3" numFmtId="0" xfId="0" applyAlignment="1" applyBorder="1" applyFill="1" applyFont="1">
      <alignment horizontal="center" vertical="bottom"/>
    </xf>
    <xf borderId="7" fillId="7" fontId="3" numFmtId="0" xfId="0" applyAlignment="1" applyBorder="1" applyFill="1" applyFont="1">
      <alignment horizontal="center" vertical="bottom"/>
    </xf>
    <xf borderId="8" fillId="4" fontId="7" numFmtId="0" xfId="0" applyAlignment="1" applyBorder="1" applyFill="1" applyFont="1">
      <alignment horizontal="center" readingOrder="0"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3" numFmtId="0" xfId="0" applyAlignment="1" applyFont="1">
      <alignment horizontal="center" readingOrder="0" vertical="bottom"/>
    </xf>
    <xf borderId="14" fillId="0" fontId="4" numFmtId="0" xfId="0" applyBorder="1" applyFont="1"/>
    <xf borderId="9" fillId="6" fontId="3" numFmtId="0" xfId="0" applyAlignment="1" applyBorder="1" applyFill="1" applyFont="1">
      <alignment horizontal="center" readingOrder="0" vertical="bottom"/>
    </xf>
    <xf borderId="10" fillId="6" fontId="7" numFmtId="0" xfId="0" applyAlignment="1" applyBorder="1" applyFill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bottom"/>
    </xf>
    <xf borderId="15" fillId="8" fontId="9" numFmtId="0" xfId="0" applyAlignment="1" applyBorder="1" applyFill="1" applyFont="1">
      <alignment horizontal="center" readingOrder="0" vertical="bottom"/>
    </xf>
    <xf borderId="9" fillId="7" fontId="3" numFmtId="0" xfId="0" applyAlignment="1" applyBorder="1" applyFill="1" applyFont="1">
      <alignment horizontal="center" vertical="bottom"/>
    </xf>
    <xf borderId="16" fillId="0" fontId="8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7" fillId="0" fontId="5" numFmtId="0" xfId="0" applyBorder="1" applyFont="1"/>
    <xf borderId="1" fillId="0" fontId="5" numFmtId="0" xfId="0" applyBorder="1" applyFont="1"/>
    <xf borderId="5" fillId="0" fontId="5" numFmtId="0" xfId="0" applyBorder="1" applyFont="1"/>
    <xf borderId="18" fillId="0" fontId="10" numFmtId="0" xfId="0" applyAlignment="1" applyBorder="1" applyFont="1">
      <alignment horizontal="center" readingOrder="0" vertical="bottom"/>
    </xf>
    <xf borderId="19" fillId="0" fontId="5" numFmtId="0" xfId="0" applyBorder="1" applyFont="1"/>
    <xf borderId="20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1" fillId="0" fontId="10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19" fillId="0" fontId="10" numFmtId="0" xfId="0" applyAlignment="1" applyBorder="1" applyFont="1">
      <alignment horizontal="center" readingOrder="0"/>
    </xf>
    <xf borderId="21" fillId="0" fontId="8" numFmtId="0" xfId="0" applyAlignment="1" applyBorder="1" applyFont="1">
      <alignment horizontal="center" vertical="bottom"/>
    </xf>
    <xf borderId="19" fillId="8" fontId="9" numFmtId="0" xfId="0" applyAlignment="1" applyBorder="1" applyFill="1" applyFont="1">
      <alignment horizontal="center" readingOrder="0" vertical="bottom"/>
    </xf>
    <xf borderId="22" fillId="0" fontId="8" numFmtId="0" xfId="0" applyAlignment="1" applyBorder="1" applyFont="1">
      <alignment horizontal="center" vertical="bottom"/>
    </xf>
    <xf borderId="23" fillId="0" fontId="8" numFmtId="0" xfId="0" applyAlignment="1" applyBorder="1" applyFont="1">
      <alignment horizontal="center" vertical="bottom"/>
    </xf>
    <xf borderId="24" fillId="0" fontId="8" numFmtId="0" xfId="0" applyAlignment="1" applyBorder="1" applyFont="1">
      <alignment horizontal="center" readingOrder="0" vertical="bottom"/>
    </xf>
    <xf borderId="25" fillId="0" fontId="10" numFmtId="0" xfId="0" applyAlignment="1" applyBorder="1" applyFont="1">
      <alignment horizontal="center" readingOrder="0"/>
    </xf>
    <xf borderId="26" fillId="0" fontId="5" numFmtId="0" xfId="0" applyBorder="1" applyFont="1"/>
    <xf borderId="0" fillId="5" fontId="4" numFmtId="0" xfId="0" applyAlignment="1" applyFill="1" applyFont="1">
      <alignment horizontal="center"/>
    </xf>
    <xf borderId="21" fillId="0" fontId="11" numFmtId="0" xfId="0" applyAlignment="1" applyBorder="1" applyFont="1">
      <alignment horizontal="center" readingOrder="0"/>
    </xf>
    <xf borderId="27" fillId="0" fontId="12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0" fillId="0" fontId="13" numFmtId="0" xfId="0" applyAlignment="1" applyFont="1">
      <alignment vertical="bottom"/>
    </xf>
    <xf borderId="28" fillId="0" fontId="11" numFmtId="0" xfId="0" applyAlignment="1" applyBorder="1" applyFont="1">
      <alignment horizontal="center" readingOrder="0" vertical="bottom"/>
    </xf>
    <xf borderId="20" fillId="0" fontId="11" numFmtId="0" xfId="0" applyAlignment="1" applyBorder="1" applyFont="1">
      <alignment horizontal="center" readingOrder="0" vertical="bottom"/>
    </xf>
    <xf borderId="29" fillId="0" fontId="5" numFmtId="0" xfId="0" applyBorder="1" applyFont="1"/>
    <xf borderId="27" fillId="0" fontId="12" numFmtId="0" xfId="0" applyAlignment="1" applyBorder="1" applyFont="1">
      <alignment horizontal="center" vertical="bottom"/>
    </xf>
    <xf borderId="0" fillId="5" fontId="4" numFmtId="0" xfId="0" applyAlignment="1" applyFill="1" applyFont="1">
      <alignment horizontal="center" readingOrder="0"/>
    </xf>
    <xf borderId="26" fillId="0" fontId="8" numFmtId="0" xfId="0" applyAlignment="1" applyBorder="1" applyFont="1">
      <alignment horizontal="center" vertical="bottom"/>
    </xf>
    <xf borderId="21" fillId="0" fontId="8" numFmtId="0" xfId="0" applyAlignment="1" applyBorder="1" applyFont="1">
      <alignment horizontal="center" readingOrder="0" vertical="bottom"/>
    </xf>
    <xf borderId="23" fillId="0" fontId="5" numFmtId="0" xfId="0" applyBorder="1" applyFont="1"/>
    <xf borderId="0" fillId="0" fontId="11" numFmtId="0" xfId="0" applyAlignment="1" applyFont="1">
      <alignment horizontal="center" readingOrder="0"/>
    </xf>
    <xf borderId="29" fillId="0" fontId="8" numFmtId="0" xfId="0" applyAlignment="1" applyBorder="1" applyFont="1">
      <alignment horizontal="center" readingOrder="0" vertical="bottom"/>
    </xf>
    <xf borderId="14" fillId="0" fontId="5" numFmtId="0" xfId="0" applyBorder="1" applyFont="1"/>
    <xf borderId="23" fillId="0" fontId="8" numFmtId="0" xfId="0" applyAlignment="1" applyBorder="1" applyFont="1">
      <alignment horizontal="center" readingOrder="0" vertical="bottom"/>
    </xf>
    <xf borderId="20" fillId="0" fontId="5" numFmtId="0" xfId="0" applyBorder="1" applyFont="1"/>
    <xf borderId="30" fillId="0" fontId="5" numFmtId="0" xfId="0" applyBorder="1" applyFont="1"/>
    <xf borderId="0" fillId="0" fontId="4" numFmtId="0" xfId="0" applyAlignment="1" applyFont="1">
      <alignment readingOrder="0" vertical="bottom"/>
    </xf>
    <xf borderId="31" fillId="0" fontId="8" numFmtId="0" xfId="0" applyAlignment="1" applyBorder="1" applyFont="1">
      <alignment horizontal="center" readingOrder="0" vertical="bottom"/>
    </xf>
    <xf borderId="32" fillId="0" fontId="8" numFmtId="0" xfId="0" applyAlignment="1" applyBorder="1" applyFont="1">
      <alignment horizontal="center" readingOrder="0" vertical="bottom"/>
    </xf>
    <xf borderId="33" fillId="0" fontId="5" numFmtId="0" xfId="0" applyBorder="1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9" fontId="2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/>
    </xf>
    <xf borderId="0" fillId="11" fontId="2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/>
    </xf>
    <xf borderId="0" fillId="11" fontId="4" numFmtId="0" xfId="0" applyAlignment="1" applyFill="1" applyFont="1">
      <alignment horizontal="center" readingOrder="0" vertical="bottom"/>
    </xf>
    <xf borderId="20" fillId="0" fontId="11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14" fillId="0" fontId="4" numFmtId="0" xfId="0" applyAlignment="1" applyBorder="1" applyFont="1">
      <alignment horizontal="center"/>
    </xf>
    <xf borderId="34" fillId="0" fontId="8" numFmtId="0" xfId="0" applyAlignment="1" applyBorder="1" applyFont="1">
      <alignment horizontal="center" vertical="bottom"/>
    </xf>
    <xf borderId="0" fillId="11" fontId="4" numFmtId="0" xfId="0" applyAlignment="1" applyFill="1" applyFont="1">
      <alignment horizontal="center"/>
    </xf>
    <xf borderId="34" fillId="0" fontId="8" numFmtId="0" xfId="0" applyAlignment="1" applyBorder="1" applyFont="1">
      <alignment horizontal="center" readingOrder="0" vertical="bottom"/>
    </xf>
    <xf borderId="35" fillId="0" fontId="8" numFmtId="0" xfId="0" applyAlignment="1" applyBorder="1" applyFont="1">
      <alignment horizontal="center" readingOrder="0" vertical="bottom"/>
    </xf>
    <xf borderId="31" fillId="0" fontId="8" numFmtId="0" xfId="0" applyAlignment="1" applyBorder="1" applyFont="1">
      <alignment horizontal="center" vertical="bottom"/>
    </xf>
    <xf borderId="33" fillId="0" fontId="8" numFmtId="0" xfId="0" applyAlignment="1" applyBorder="1" applyFont="1">
      <alignment horizontal="center" readingOrder="0" vertical="bottom"/>
    </xf>
    <xf borderId="0" fillId="12" fontId="2" numFmtId="0" xfId="0" applyAlignment="1" applyFill="1" applyFont="1">
      <alignment horizontal="center" readingOrder="0"/>
    </xf>
    <xf borderId="0" fillId="12" fontId="4" numFmtId="0" xfId="0" applyAlignment="1" applyFill="1" applyFont="1">
      <alignment horizontal="center" readingOrder="0"/>
    </xf>
    <xf borderId="0" fillId="12" fontId="4" numFmtId="0" xfId="0" applyAlignment="1" applyFill="1" applyFont="1">
      <alignment horizontal="center" vertical="bottom"/>
    </xf>
    <xf borderId="0" fillId="12" fontId="4" numFmtId="0" xfId="0" applyAlignment="1" applyFill="1" applyFont="1">
      <alignment horizontal="center" readingOrder="0" vertical="bottom"/>
    </xf>
    <xf borderId="0" fillId="12" fontId="4" numFmtId="0" xfId="0" applyAlignment="1" applyFill="1" applyFont="1">
      <alignment horizontal="center"/>
    </xf>
    <xf borderId="0" fillId="12" fontId="4" numFmtId="0" xfId="0" applyAlignment="1" applyFill="1" applyFont="1">
      <alignment horizontal="center"/>
    </xf>
    <xf borderId="23" fillId="0" fontId="10" numFmtId="0" xfId="0" applyAlignment="1" applyBorder="1" applyFont="1">
      <alignment horizontal="center" readingOrder="0"/>
    </xf>
    <xf borderId="21" fillId="0" fontId="11" numFmtId="0" xfId="0" applyAlignment="1" applyBorder="1" applyFont="1">
      <alignment horizontal="center" readingOrder="0" vertical="bottom"/>
    </xf>
    <xf borderId="20" fillId="0" fontId="14" numFmtId="0" xfId="0" applyAlignment="1" applyBorder="1" applyFont="1">
      <alignment horizontal="center" readingOrder="0"/>
    </xf>
    <xf borderId="31" fillId="0" fontId="11" numFmtId="0" xfId="0" applyAlignment="1" applyBorder="1" applyFont="1">
      <alignment horizontal="center" readingOrder="0" vertical="bottom"/>
    </xf>
    <xf borderId="32" fillId="0" fontId="11" numFmtId="0" xfId="0" applyAlignment="1" applyBorder="1" applyFont="1">
      <alignment horizontal="center" readingOrder="0" vertical="bottom"/>
    </xf>
    <xf borderId="36" fillId="0" fontId="11" numFmtId="0" xfId="0" applyAlignment="1" applyBorder="1" applyFont="1">
      <alignment horizontal="center" readingOrder="0" vertical="bottom"/>
    </xf>
    <xf borderId="34" fillId="0" fontId="11" numFmtId="0" xfId="0" applyAlignment="1" applyBorder="1" applyFont="1">
      <alignment horizontal="center" readingOrder="0" vertical="bottom"/>
    </xf>
    <xf borderId="32" fillId="0" fontId="11" numFmtId="0" xfId="0" applyAlignment="1" applyBorder="1" applyFont="1">
      <alignment horizontal="center" readingOrder="0"/>
    </xf>
    <xf borderId="34" fillId="0" fontId="11" numFmtId="0" xfId="0" applyAlignment="1" applyBorder="1" applyFont="1">
      <alignment horizontal="center" readingOrder="0"/>
    </xf>
    <xf borderId="32" fillId="0" fontId="10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readingOrder="0"/>
    </xf>
    <xf borderId="33" fillId="0" fontId="10" numFmtId="0" xfId="0" applyAlignment="1" applyBorder="1" applyFont="1">
      <alignment horizontal="center" readingOrder="0"/>
    </xf>
    <xf borderId="24" fillId="0" fontId="11" numFmtId="0" xfId="0" applyAlignment="1" applyBorder="1" applyFont="1">
      <alignment horizontal="center" readingOrder="0"/>
    </xf>
    <xf borderId="8" fillId="13" fontId="7" numFmtId="0" xfId="0" applyAlignment="1" applyBorder="1" applyFill="1" applyFont="1">
      <alignment horizontal="center" readingOrder="0" vertical="center"/>
    </xf>
    <xf borderId="37" fillId="0" fontId="4" numFmtId="0" xfId="0" applyBorder="1" applyFont="1"/>
    <xf borderId="37" fillId="0" fontId="4" numFmtId="0" xfId="0" applyAlignment="1" applyBorder="1" applyFont="1">
      <alignment readingOrder="0"/>
    </xf>
    <xf borderId="24" fillId="0" fontId="11" numFmtId="0" xfId="0" applyAlignment="1" applyBorder="1" applyFont="1">
      <alignment horizontal="center" readingOrder="0" vertical="bottom"/>
    </xf>
    <xf borderId="24" fillId="0" fontId="10" numFmtId="0" xfId="0" applyAlignment="1" applyBorder="1" applyFont="1">
      <alignment horizontal="center" readingOrder="0" vertical="bottom"/>
    </xf>
    <xf borderId="24" fillId="0" fontId="11" numFmtId="0" xfId="0" applyAlignment="1" applyBorder="1" applyFont="1">
      <alignment horizontal="center"/>
    </xf>
    <xf borderId="24" fillId="0" fontId="10" numFmtId="0" xfId="0" applyAlignment="1" applyBorder="1" applyFont="1">
      <alignment horizontal="center"/>
    </xf>
    <xf borderId="0" fillId="14" fontId="15" numFmtId="0" xfId="0" applyAlignment="1" applyFill="1" applyFont="1">
      <alignment horizontal="center" readingOrder="0"/>
    </xf>
    <xf borderId="10" fillId="0" fontId="16" numFmtId="0" xfId="0" applyAlignment="1" applyBorder="1" applyFont="1">
      <alignment horizontal="center" readingOrder="0"/>
    </xf>
    <xf borderId="0" fillId="0" fontId="11" numFmtId="0" xfId="0" applyAlignment="1" applyFont="1">
      <alignment horizontal="center"/>
    </xf>
    <xf borderId="27" fillId="2" fontId="17" numFmtId="0" xfId="0" applyAlignment="1" applyBorder="1" applyFill="1" applyFont="1">
      <alignment horizontal="center" readingOrder="0" textRotation="0" vertical="center"/>
    </xf>
    <xf borderId="38" fillId="0" fontId="11" numFmtId="0" xfId="0" applyAlignment="1" applyBorder="1" applyFont="1">
      <alignment horizontal="center" readingOrder="0"/>
    </xf>
    <xf borderId="39" fillId="5" fontId="10" numFmtId="0" xfId="0" applyAlignment="1" applyBorder="1" applyFill="1" applyFont="1">
      <alignment horizontal="center" readingOrder="0"/>
    </xf>
    <xf borderId="24" fillId="14" fontId="15" numFmtId="0" xfId="0" applyAlignment="1" applyBorder="1" applyFill="1" applyFont="1">
      <alignment horizontal="center" readingOrder="0" vertical="center"/>
    </xf>
    <xf borderId="24" fillId="0" fontId="5" numFmtId="0" xfId="0" applyBorder="1" applyFont="1"/>
    <xf borderId="27" fillId="15" fontId="18" numFmtId="0" xfId="0" applyAlignment="1" applyBorder="1" applyFill="1" applyFont="1">
      <alignment horizontal="center" readingOrder="0" textRotation="0" vertical="center"/>
    </xf>
    <xf borderId="0" fillId="14" fontId="15" numFmtId="0" xfId="0" applyAlignment="1" applyFill="1" applyFont="1">
      <alignment horizontal="center" readingOrder="0" vertical="center"/>
    </xf>
    <xf borderId="40" fillId="0" fontId="11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 vertical="bottom"/>
    </xf>
    <xf borderId="41" fillId="16" fontId="10" numFmtId="0" xfId="0" applyAlignment="1" applyBorder="1" applyFill="1" applyFont="1">
      <alignment horizontal="center" readingOrder="0"/>
    </xf>
    <xf borderId="42" fillId="0" fontId="11" numFmtId="0" xfId="0" applyAlignment="1" applyBorder="1" applyFont="1">
      <alignment horizontal="center"/>
    </xf>
    <xf borderId="37" fillId="0" fontId="16" numFmtId="0" xfId="0" applyAlignment="1" applyBorder="1" applyFont="1">
      <alignment horizontal="center" readingOrder="0" vertical="bottom"/>
    </xf>
    <xf borderId="43" fillId="0" fontId="11" numFmtId="0" xfId="0" applyAlignment="1" applyBorder="1" applyFont="1">
      <alignment horizontal="center"/>
    </xf>
    <xf borderId="33" fillId="16" fontId="10" numFmtId="0" xfId="0" applyAlignment="1" applyBorder="1" applyFill="1" applyFont="1">
      <alignment horizontal="center" readingOrder="0"/>
    </xf>
    <xf borderId="0" fillId="0" fontId="18" numFmtId="0" xfId="0" applyAlignment="1" applyFont="1">
      <alignment horizontal="center" readingOrder="0" textRotation="0" vertical="center"/>
    </xf>
    <xf borderId="44" fillId="0" fontId="18" numFmtId="0" xfId="0" applyAlignment="1" applyBorder="1" applyFont="1">
      <alignment horizontal="center" readingOrder="0" textRotation="0" vertical="center"/>
    </xf>
    <xf borderId="8" fillId="0" fontId="16" numFmtId="0" xfId="0" applyAlignment="1" applyBorder="1" applyFont="1">
      <alignment horizontal="center" readingOrder="0" vertical="bottom"/>
    </xf>
    <xf borderId="10" fillId="0" fontId="16" numFmtId="0" xfId="0" applyAlignment="1" applyBorder="1" applyFont="1">
      <alignment horizontal="center" readingOrder="0" vertical="bottom"/>
    </xf>
    <xf borderId="39" fillId="16" fontId="10" numFmtId="0" xfId="0" applyAlignment="1" applyBorder="1" applyFill="1" applyFont="1">
      <alignment horizontal="center" readingOrder="0"/>
    </xf>
    <xf borderId="45" fillId="0" fontId="10" numFmtId="0" xfId="0" applyAlignment="1" applyBorder="1" applyFont="1">
      <alignment horizontal="center" vertical="bottom"/>
    </xf>
    <xf borderId="0" fillId="0" fontId="14" numFmtId="0" xfId="0" applyFont="1"/>
    <xf borderId="1" fillId="0" fontId="10" numFmtId="0" xfId="0" applyAlignment="1" applyBorder="1" applyFont="1">
      <alignment horizontal="center" vertical="bottom"/>
    </xf>
    <xf borderId="25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46" fillId="0" fontId="11" numFmtId="0" xfId="0" applyAlignment="1" applyBorder="1" applyFont="1">
      <alignment horizontal="center"/>
    </xf>
    <xf borderId="33" fillId="5" fontId="10" numFmtId="0" xfId="0" applyAlignment="1" applyBorder="1" applyFill="1" applyFont="1">
      <alignment horizontal="center" readingOrder="0"/>
    </xf>
    <xf borderId="37" fillId="0" fontId="19" numFmtId="0" xfId="0" applyAlignment="1" applyBorder="1" applyFont="1">
      <alignment horizontal="left" shrinkToFit="0" vertical="bottom" wrapText="0"/>
    </xf>
    <xf borderId="0" fillId="0" fontId="19" numFmtId="0" xfId="0" applyAlignment="1" applyFont="1">
      <alignment horizontal="left" shrinkToFit="0" vertical="bottom" wrapText="0"/>
    </xf>
    <xf borderId="37" fillId="0" fontId="11" numFmtId="0" xfId="0" applyAlignment="1" applyBorder="1" applyFont="1">
      <alignment horizontal="center" vertical="bottom"/>
    </xf>
    <xf borderId="0" fillId="0" fontId="11" numFmtId="0" xfId="0" applyAlignment="1" applyFont="1">
      <alignment horizontal="center" vertical="bottom"/>
    </xf>
    <xf borderId="37" fillId="0" fontId="11" numFmtId="0" xfId="0" applyAlignment="1" applyBorder="1" applyFont="1">
      <alignment horizontal="center" vertical="bottom"/>
    </xf>
    <xf borderId="44" fillId="0" fontId="11" numFmtId="0" xfId="0" applyAlignment="1" applyBorder="1" applyFont="1">
      <alignment horizontal="center"/>
    </xf>
    <xf borderId="23" fillId="0" fontId="11" numFmtId="0" xfId="0" applyAlignment="1" applyBorder="1" applyFont="1">
      <alignment vertical="bottom"/>
    </xf>
    <xf borderId="47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 vertical="bottom"/>
    </xf>
    <xf borderId="0" fillId="0" fontId="14" numFmtId="164" xfId="0" applyFont="1" applyNumberFormat="1"/>
    <xf borderId="23" fillId="0" fontId="11" numFmtId="0" xfId="0" applyAlignment="1" applyBorder="1" applyFont="1">
      <alignment horizontal="center" vertical="bottom"/>
    </xf>
    <xf borderId="0" fillId="0" fontId="11" numFmtId="164" xfId="0" applyAlignment="1" applyFont="1" applyNumberFormat="1">
      <alignment horizontal="center" readingOrder="0"/>
    </xf>
    <xf borderId="37" fillId="0" fontId="19" numFmtId="0" xfId="0" applyAlignment="1" applyBorder="1" applyFont="1">
      <alignment horizontal="left" readingOrder="0" shrinkToFit="0" vertical="bottom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4" numFmtId="0" xfId="0" applyAlignment="1" applyFont="1">
      <alignment horizontal="center"/>
    </xf>
    <xf borderId="46" fillId="0" fontId="14" numFmtId="0" xfId="0" applyAlignment="1" applyBorder="1" applyFont="1">
      <alignment horizontal="center"/>
    </xf>
    <xf borderId="0" fillId="0" fontId="19" numFmtId="0" xfId="0" applyAlignment="1" applyFont="1">
      <alignment horizontal="left" readingOrder="0" shrinkToFit="0" vertical="bottom" wrapText="0"/>
    </xf>
    <xf borderId="37" fillId="17" fontId="11" numFmtId="0" xfId="0" applyAlignment="1" applyBorder="1" applyFill="1" applyFont="1">
      <alignment horizontal="center" vertical="bottom"/>
    </xf>
    <xf borderId="0" fillId="17" fontId="11" numFmtId="0" xfId="0" applyAlignment="1" applyFill="1" applyFont="1">
      <alignment horizontal="center" vertical="bottom"/>
    </xf>
    <xf borderId="0" fillId="0" fontId="20" numFmtId="0" xfId="0" applyAlignment="1" applyFont="1">
      <alignment horizontal="center" readingOrder="0" textRotation="0" vertical="center"/>
    </xf>
    <xf borderId="37" fillId="17" fontId="11" numFmtId="0" xfId="0" applyAlignment="1" applyBorder="1" applyFill="1" applyFont="1">
      <alignment horizontal="center" vertical="bottom"/>
    </xf>
    <xf borderId="23" fillId="17" fontId="11" numFmtId="0" xfId="0" applyAlignment="1" applyBorder="1" applyFill="1" applyFont="1">
      <alignment horizontal="center" vertical="bottom"/>
    </xf>
    <xf borderId="0" fillId="17" fontId="11" numFmtId="0" xfId="0" applyAlignment="1" applyFill="1" applyFont="1">
      <alignment horizontal="center" vertical="bottom"/>
    </xf>
    <xf borderId="23" fillId="17" fontId="11" numFmtId="0" xfId="0" applyAlignment="1" applyBorder="1" applyFill="1" applyFont="1">
      <alignment horizontal="center" vertical="bottom"/>
    </xf>
    <xf borderId="37" fillId="17" fontId="19" numFmtId="0" xfId="0" applyAlignment="1" applyBorder="1" applyFill="1" applyFont="1">
      <alignment horizontal="left" shrinkToFit="0" vertical="bottom" wrapText="0"/>
    </xf>
    <xf borderId="0" fillId="17" fontId="19" numFmtId="0" xfId="0" applyAlignment="1" applyFill="1" applyFont="1">
      <alignment horizontal="left" shrinkToFit="0" vertical="bottom" wrapText="0"/>
    </xf>
    <xf borderId="23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/>
    </xf>
    <xf borderId="25" fillId="0" fontId="5" numFmtId="0" xfId="0" applyBorder="1" applyFont="1"/>
    <xf borderId="46" fillId="0" fontId="20" numFmtId="0" xfId="0" applyAlignment="1" applyBorder="1" applyFont="1">
      <alignment horizontal="center" readingOrder="0" textRotation="0" vertical="center"/>
    </xf>
    <xf borderId="23" fillId="0" fontId="11" numFmtId="0" xfId="0" applyAlignment="1" applyBorder="1" applyFont="1">
      <alignment horizontal="center" readingOrder="0" vertical="bottom"/>
    </xf>
    <xf borderId="41" fillId="5" fontId="10" numFmtId="0" xfId="0" applyAlignment="1" applyBorder="1" applyFill="1" applyFont="1">
      <alignment horizontal="center" readingOrder="0"/>
    </xf>
    <xf borderId="0" fillId="0" fontId="14" numFmtId="0" xfId="0" applyAlignment="1" applyFont="1">
      <alignment readingOrder="0"/>
    </xf>
    <xf borderId="48" fillId="17" fontId="11" numFmtId="0" xfId="0" applyAlignment="1" applyBorder="1" applyFill="1" applyFont="1">
      <alignment horizontal="center" vertical="bottom"/>
    </xf>
    <xf borderId="32" fillId="17" fontId="11" numFmtId="0" xfId="0" applyAlignment="1" applyBorder="1" applyFill="1" applyFont="1">
      <alignment horizontal="center" vertical="bottom"/>
    </xf>
    <xf borderId="33" fillId="17" fontId="11" numFmtId="0" xfId="0" applyAlignment="1" applyBorder="1" applyFill="1" applyFont="1">
      <alignment horizontal="center" vertical="bottom"/>
    </xf>
    <xf borderId="32" fillId="17" fontId="11" numFmtId="0" xfId="0" applyAlignment="1" applyBorder="1" applyFill="1" applyFont="1">
      <alignment horizontal="center" vertical="bottom"/>
    </xf>
    <xf borderId="33" fillId="17" fontId="11" numFmtId="0" xfId="0" applyAlignment="1" applyBorder="1" applyFill="1" applyFont="1">
      <alignment horizontal="center" vertical="bottom"/>
    </xf>
    <xf borderId="0" fillId="0" fontId="13" numFmtId="0" xfId="0" applyAlignment="1" applyFont="1">
      <alignment vertical="bottom"/>
    </xf>
    <xf borderId="39" fillId="18" fontId="10" numFmtId="0" xfId="0" applyAlignment="1" applyBorder="1" applyFill="1" applyFont="1">
      <alignment horizontal="center" readingOrder="0"/>
    </xf>
    <xf borderId="0" fillId="17" fontId="19" numFmtId="0" xfId="0" applyAlignment="1" applyFill="1" applyFont="1">
      <alignment horizontal="left" readingOrder="0" shrinkToFit="0" vertical="bottom" wrapText="0"/>
    </xf>
    <xf borderId="33" fillId="18" fontId="10" numFmtId="0" xfId="0" applyAlignment="1" applyBorder="1" applyFill="1" applyFont="1">
      <alignment horizontal="center" readingOrder="0"/>
    </xf>
    <xf borderId="47" fillId="0" fontId="11" numFmtId="0" xfId="0" applyAlignment="1" applyBorder="1" applyFont="1">
      <alignment horizontal="center" readingOrder="0"/>
    </xf>
    <xf borderId="49" fillId="0" fontId="21" numFmtId="0" xfId="0" applyAlignment="1" applyBorder="1" applyFont="1">
      <alignment horizontal="center" readingOrder="0" shrinkToFit="0" vertical="bottom" wrapText="0"/>
    </xf>
    <xf borderId="37" fillId="0" fontId="22" numFmtId="0" xfId="0" applyAlignment="1" applyBorder="1" applyFont="1">
      <alignment horizontal="left" readingOrder="0" shrinkToFit="0" vertical="bottom" wrapText="0"/>
    </xf>
    <xf borderId="0" fillId="0" fontId="22" numFmtId="0" xfId="0" applyAlignment="1" applyFont="1">
      <alignment horizontal="left" shrinkToFit="0" vertical="bottom" wrapText="0"/>
    </xf>
    <xf borderId="0" fillId="0" fontId="23" numFmtId="0" xfId="0" applyAlignment="1" applyFont="1">
      <alignment horizontal="center" vertical="bottom"/>
    </xf>
    <xf borderId="44" fillId="0" fontId="11" numFmtId="0" xfId="0" applyAlignment="1" applyBorder="1" applyFont="1">
      <alignment horizontal="center" readingOrder="0"/>
    </xf>
    <xf borderId="48" fillId="0" fontId="22" numFmtId="0" xfId="0" applyAlignment="1" applyBorder="1" applyFont="1">
      <alignment horizontal="left" readingOrder="0" shrinkToFit="0" vertical="bottom" wrapText="0"/>
    </xf>
    <xf borderId="32" fillId="0" fontId="22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horizontal="center" readingOrder="0" textRotation="0" vertical="center"/>
    </xf>
    <xf borderId="46" fillId="0" fontId="11" numFmtId="0" xfId="0" applyAlignment="1" applyBorder="1" applyFont="1">
      <alignment horizontal="center" readingOrder="0"/>
    </xf>
    <xf borderId="0" fillId="14" fontId="15" numFmtId="0" xfId="0" applyAlignment="1" applyFill="1" applyFont="1">
      <alignment horizontal="center" readingOrder="0" textRotation="90" vertical="center"/>
    </xf>
    <xf borderId="8" fillId="0" fontId="16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/>
    </xf>
    <xf borderId="39" fillId="0" fontId="10" numFmtId="0" xfId="0" applyAlignment="1" applyBorder="1" applyFont="1">
      <alignment horizontal="center" readingOrder="0"/>
    </xf>
  </cellXfs>
  <cellStyles count="1">
    <cellStyle xfId="0" name="Normal" builtinId="0"/>
  </cellStyles>
  <dxfs count="6">
    <dxf>
      <font>
        <color rgb="FFD9D9D9"/>
      </font>
      <fill>
        <patternFill patternType="none"/>
      </fill>
      <border/>
    </dxf>
    <dxf>
      <font>
        <b/>
      </font>
      <fill>
        <patternFill patternType="solid">
          <fgColor rgb="FFC5FFB1"/>
          <bgColor rgb="FFC5FFB1"/>
        </patternFill>
      </fill>
      <border/>
    </dxf>
    <dxf>
      <font>
        <b/>
      </font>
      <fill>
        <patternFill patternType="solid">
          <fgColor rgb="FFFFC6C6"/>
          <bgColor rgb="FFFFC6C6"/>
        </patternFill>
      </fill>
      <border/>
    </dxf>
    <dxf>
      <font>
        <b/>
        <color rgb="FF000000"/>
      </font>
      <fill>
        <patternFill patternType="solid">
          <fgColor rgb="FFFFF9A8"/>
          <bgColor rgb="FFFFF9A8"/>
        </patternFill>
      </fill>
      <border/>
    </dxf>
    <dxf>
      <font>
        <b/>
      </font>
      <fill>
        <patternFill patternType="solid">
          <fgColor rgb="FFEAD1DC"/>
          <bgColor rgb="FFEAD1DC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6"/>
      <c r="C1" s="8"/>
      <c r="D1" s="12" t="s">
        <v>8</v>
      </c>
      <c r="E1" s="6"/>
      <c r="F1" s="8"/>
      <c r="G1" s="17" t="s">
        <v>11</v>
      </c>
      <c r="H1" s="6"/>
      <c r="I1" s="21"/>
      <c r="J1" s="24"/>
    </row>
    <row r="2">
      <c r="A2" s="28" t="s">
        <v>12</v>
      </c>
      <c r="B2" s="31" t="s">
        <v>13</v>
      </c>
      <c r="C2" s="23"/>
      <c r="D2" s="28" t="s">
        <v>12</v>
      </c>
      <c r="E2" s="31" t="s">
        <v>13</v>
      </c>
      <c r="F2" s="23"/>
      <c r="G2" s="28" t="s">
        <v>12</v>
      </c>
      <c r="H2" s="31" t="s">
        <v>13</v>
      </c>
      <c r="I2" s="23"/>
      <c r="J2" s="41"/>
      <c r="K2" s="41"/>
    </row>
    <row r="3">
      <c r="A3" s="45" t="s">
        <v>24</v>
      </c>
      <c r="B3" s="47" t="s">
        <v>10</v>
      </c>
      <c r="C3" s="49"/>
      <c r="D3" s="45" t="s">
        <v>26</v>
      </c>
      <c r="E3" s="47" t="s">
        <v>27</v>
      </c>
      <c r="F3" s="49"/>
      <c r="G3" s="45" t="s">
        <v>30</v>
      </c>
      <c r="H3" s="47" t="s">
        <v>31</v>
      </c>
      <c r="I3" s="57"/>
      <c r="J3" s="39"/>
      <c r="K3" s="41"/>
    </row>
    <row r="4">
      <c r="A4" s="61" t="s">
        <v>32</v>
      </c>
      <c r="B4" s="41" t="s">
        <v>34</v>
      </c>
      <c r="C4" s="62"/>
      <c r="D4" s="61" t="s">
        <v>35</v>
      </c>
      <c r="E4" s="41" t="s">
        <v>36</v>
      </c>
      <c r="F4" s="62"/>
      <c r="G4" s="61" t="s">
        <v>37</v>
      </c>
      <c r="H4" s="41" t="s">
        <v>39</v>
      </c>
      <c r="I4" s="62"/>
      <c r="J4" s="41"/>
      <c r="K4" s="41"/>
    </row>
    <row r="5">
      <c r="A5" s="61" t="s">
        <v>42</v>
      </c>
      <c r="B5" s="41" t="s">
        <v>43</v>
      </c>
      <c r="C5" s="62"/>
      <c r="D5" s="61" t="s">
        <v>44</v>
      </c>
      <c r="E5" s="41" t="s">
        <v>45</v>
      </c>
      <c r="F5" s="62"/>
      <c r="G5" s="61" t="s">
        <v>46</v>
      </c>
      <c r="H5" s="41" t="s">
        <v>48</v>
      </c>
      <c r="I5" s="62"/>
      <c r="J5" s="41"/>
      <c r="K5" s="41"/>
    </row>
    <row r="6">
      <c r="A6" s="61" t="s">
        <v>51</v>
      </c>
      <c r="B6" s="41" t="s">
        <v>54</v>
      </c>
      <c r="C6" s="67"/>
      <c r="D6" s="61" t="s">
        <v>56</v>
      </c>
      <c r="E6" s="41" t="s">
        <v>57</v>
      </c>
      <c r="F6" s="67"/>
      <c r="G6" s="61" t="s">
        <v>59</v>
      </c>
      <c r="H6" s="41" t="s">
        <v>62</v>
      </c>
      <c r="I6" s="62"/>
      <c r="J6" s="41"/>
      <c r="K6" s="41"/>
    </row>
    <row r="7">
      <c r="A7" s="61" t="s">
        <v>58</v>
      </c>
      <c r="B7" s="41" t="s">
        <v>70</v>
      </c>
      <c r="C7" s="62"/>
      <c r="D7" s="61" t="s">
        <v>64</v>
      </c>
      <c r="E7" s="41" t="s">
        <v>72</v>
      </c>
      <c r="F7" s="62"/>
      <c r="G7" s="61" t="s">
        <v>67</v>
      </c>
      <c r="H7" s="41" t="s">
        <v>73</v>
      </c>
      <c r="I7" s="62"/>
      <c r="J7" s="41"/>
      <c r="K7" s="41"/>
    </row>
    <row r="8">
      <c r="A8" s="70" t="s">
        <v>61</v>
      </c>
      <c r="B8" s="71" t="s">
        <v>75</v>
      </c>
      <c r="C8" s="72"/>
      <c r="D8" s="70" t="s">
        <v>65</v>
      </c>
      <c r="E8" s="71" t="s">
        <v>76</v>
      </c>
      <c r="F8" s="72"/>
      <c r="G8" s="70" t="s">
        <v>68</v>
      </c>
      <c r="H8" s="71" t="s">
        <v>77</v>
      </c>
      <c r="I8" s="72"/>
      <c r="J8" s="41"/>
      <c r="K8" s="39"/>
    </row>
  </sheetData>
  <mergeCells count="32">
    <mergeCell ref="A1:C1"/>
    <mergeCell ref="D1:F1"/>
    <mergeCell ref="G1:I1"/>
    <mergeCell ref="J1:L1"/>
    <mergeCell ref="E2:F2"/>
    <mergeCell ref="H2:I2"/>
    <mergeCell ref="K2:L2"/>
    <mergeCell ref="K3:L3"/>
    <mergeCell ref="K4:L4"/>
    <mergeCell ref="K5:L5"/>
    <mergeCell ref="K6:L6"/>
    <mergeCell ref="K7:L7"/>
    <mergeCell ref="K8:L8"/>
    <mergeCell ref="E4:F4"/>
    <mergeCell ref="E5:F5"/>
    <mergeCell ref="E6:F6"/>
    <mergeCell ref="E7:F7"/>
    <mergeCell ref="E8:F8"/>
    <mergeCell ref="B5:C5"/>
    <mergeCell ref="B6:C6"/>
    <mergeCell ref="B7:C7"/>
    <mergeCell ref="B8:C8"/>
    <mergeCell ref="H6:I6"/>
    <mergeCell ref="H7:I7"/>
    <mergeCell ref="H8:I8"/>
    <mergeCell ref="B2:C2"/>
    <mergeCell ref="B3:C3"/>
    <mergeCell ref="E3:F3"/>
    <mergeCell ref="H3:I3"/>
    <mergeCell ref="B4:C4"/>
    <mergeCell ref="H4:I4"/>
    <mergeCell ref="H5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9</v>
      </c>
      <c r="C1" s="16" t="s">
        <v>2</v>
      </c>
      <c r="D1" s="19"/>
      <c r="E1" s="22"/>
      <c r="F1" s="26" t="s">
        <v>8</v>
      </c>
      <c r="G1" s="19"/>
      <c r="H1" s="22"/>
      <c r="I1" s="30" t="s">
        <v>11</v>
      </c>
      <c r="J1" s="19"/>
      <c r="K1" s="33"/>
    </row>
    <row r="2">
      <c r="A2" s="35"/>
      <c r="B2" s="35"/>
      <c r="C2" s="38" t="s">
        <v>17</v>
      </c>
      <c r="D2" s="38" t="s">
        <v>19</v>
      </c>
      <c r="E2" s="39" t="s">
        <v>21</v>
      </c>
      <c r="F2" s="43" t="s">
        <v>17</v>
      </c>
      <c r="G2" s="38" t="s">
        <v>19</v>
      </c>
      <c r="H2" s="46" t="s">
        <v>21</v>
      </c>
      <c r="I2" s="38" t="s">
        <v>17</v>
      </c>
      <c r="J2" s="38" t="s">
        <v>19</v>
      </c>
      <c r="K2" s="46" t="s">
        <v>21</v>
      </c>
    </row>
    <row r="3">
      <c r="A3" s="52" t="s">
        <v>25</v>
      </c>
      <c r="B3" s="58" t="s">
        <v>14</v>
      </c>
      <c r="C3" s="60" t="s">
        <v>24</v>
      </c>
      <c r="D3" s="60" t="s">
        <v>32</v>
      </c>
      <c r="E3" s="47" t="s">
        <v>33</v>
      </c>
      <c r="F3" s="45" t="s">
        <v>26</v>
      </c>
      <c r="G3" s="60" t="s">
        <v>35</v>
      </c>
      <c r="H3" s="47" t="s">
        <v>38</v>
      </c>
      <c r="I3" s="45" t="s">
        <v>30</v>
      </c>
      <c r="J3" s="60" t="s">
        <v>37</v>
      </c>
      <c r="K3" s="64" t="s">
        <v>41</v>
      </c>
    </row>
    <row r="4">
      <c r="A4" s="65"/>
      <c r="B4" s="65"/>
      <c r="C4" s="38" t="s">
        <v>42</v>
      </c>
      <c r="D4" s="38" t="s">
        <v>47</v>
      </c>
      <c r="E4" s="66" t="s">
        <v>49</v>
      </c>
      <c r="F4" s="43" t="s">
        <v>44</v>
      </c>
      <c r="G4" s="38" t="s">
        <v>50</v>
      </c>
      <c r="H4" s="66" t="s">
        <v>52</v>
      </c>
      <c r="I4" s="43" t="s">
        <v>46</v>
      </c>
      <c r="J4" s="38" t="s">
        <v>53</v>
      </c>
      <c r="K4" s="66" t="s">
        <v>55</v>
      </c>
    </row>
    <row r="5">
      <c r="A5" s="68"/>
      <c r="B5" s="68"/>
      <c r="C5" s="38" t="s">
        <v>58</v>
      </c>
      <c r="D5" s="38" t="s">
        <v>61</v>
      </c>
      <c r="E5" s="66" t="s">
        <v>63</v>
      </c>
      <c r="F5" s="43" t="s">
        <v>64</v>
      </c>
      <c r="G5" s="38" t="s">
        <v>65</v>
      </c>
      <c r="H5" s="66" t="s">
        <v>66</v>
      </c>
      <c r="I5" s="43" t="s">
        <v>67</v>
      </c>
      <c r="J5" s="38" t="s">
        <v>68</v>
      </c>
      <c r="K5" s="66" t="s">
        <v>69</v>
      </c>
    </row>
    <row r="6">
      <c r="A6" s="52" t="s">
        <v>71</v>
      </c>
      <c r="B6" s="58" t="s">
        <v>15</v>
      </c>
      <c r="C6" s="60" t="s">
        <v>58</v>
      </c>
      <c r="D6" s="60" t="s">
        <v>47</v>
      </c>
      <c r="E6" s="47" t="s">
        <v>33</v>
      </c>
      <c r="F6" s="45" t="s">
        <v>64</v>
      </c>
      <c r="G6" s="60" t="s">
        <v>50</v>
      </c>
      <c r="H6" s="47" t="s">
        <v>38</v>
      </c>
      <c r="I6" s="45" t="s">
        <v>67</v>
      </c>
      <c r="J6" s="60" t="s">
        <v>53</v>
      </c>
      <c r="K6" s="64" t="s">
        <v>41</v>
      </c>
    </row>
    <row r="7">
      <c r="A7" s="65"/>
      <c r="B7" s="65"/>
      <c r="C7" s="38" t="s">
        <v>24</v>
      </c>
      <c r="D7" s="38" t="s">
        <v>42</v>
      </c>
      <c r="E7" s="66" t="s">
        <v>49</v>
      </c>
      <c r="F7" s="43" t="s">
        <v>26</v>
      </c>
      <c r="G7" s="38" t="s">
        <v>44</v>
      </c>
      <c r="H7" s="66" t="s">
        <v>52</v>
      </c>
      <c r="I7" s="43" t="s">
        <v>30</v>
      </c>
      <c r="J7" s="38" t="s">
        <v>46</v>
      </c>
      <c r="K7" s="66" t="s">
        <v>55</v>
      </c>
    </row>
    <row r="8">
      <c r="A8" s="68"/>
      <c r="B8" s="68"/>
      <c r="C8" s="38" t="s">
        <v>32</v>
      </c>
      <c r="D8" s="38" t="s">
        <v>61</v>
      </c>
      <c r="E8" s="66" t="s">
        <v>63</v>
      </c>
      <c r="F8" s="43" t="s">
        <v>35</v>
      </c>
      <c r="G8" s="38" t="s">
        <v>65</v>
      </c>
      <c r="H8" s="66" t="s">
        <v>66</v>
      </c>
      <c r="I8" s="43" t="s">
        <v>37</v>
      </c>
      <c r="J8" s="38" t="s">
        <v>68</v>
      </c>
      <c r="K8" s="66" t="s">
        <v>69</v>
      </c>
    </row>
    <row r="9">
      <c r="A9" s="52" t="s">
        <v>78</v>
      </c>
      <c r="B9" s="58" t="s">
        <v>16</v>
      </c>
      <c r="C9" s="60" t="s">
        <v>32</v>
      </c>
      <c r="D9" s="60" t="s">
        <v>42</v>
      </c>
      <c r="E9" s="47" t="s">
        <v>33</v>
      </c>
      <c r="F9" s="45" t="s">
        <v>35</v>
      </c>
      <c r="G9" s="60" t="s">
        <v>44</v>
      </c>
      <c r="H9" s="47" t="s">
        <v>38</v>
      </c>
      <c r="I9" s="45" t="s">
        <v>37</v>
      </c>
      <c r="J9" s="60" t="s">
        <v>46</v>
      </c>
      <c r="K9" s="64" t="s">
        <v>41</v>
      </c>
    </row>
    <row r="10">
      <c r="A10" s="65"/>
      <c r="B10" s="65"/>
      <c r="C10" s="38" t="s">
        <v>47</v>
      </c>
      <c r="D10" s="38" t="s">
        <v>61</v>
      </c>
      <c r="E10" s="66" t="s">
        <v>49</v>
      </c>
      <c r="F10" s="43" t="s">
        <v>50</v>
      </c>
      <c r="G10" s="38" t="s">
        <v>65</v>
      </c>
      <c r="H10" s="66" t="s">
        <v>52</v>
      </c>
      <c r="I10" s="43" t="s">
        <v>53</v>
      </c>
      <c r="J10" s="38" t="s">
        <v>68</v>
      </c>
      <c r="K10" s="66" t="s">
        <v>55</v>
      </c>
    </row>
    <row r="11">
      <c r="A11" s="68"/>
      <c r="B11" s="68"/>
      <c r="C11" s="38" t="s">
        <v>24</v>
      </c>
      <c r="D11" s="38" t="s">
        <v>58</v>
      </c>
      <c r="E11" s="66" t="s">
        <v>63</v>
      </c>
      <c r="F11" s="43" t="s">
        <v>26</v>
      </c>
      <c r="G11" s="38" t="s">
        <v>64</v>
      </c>
      <c r="H11" s="66" t="s">
        <v>66</v>
      </c>
      <c r="I11" s="43" t="s">
        <v>30</v>
      </c>
      <c r="J11" s="38" t="s">
        <v>67</v>
      </c>
      <c r="K11" s="66" t="s">
        <v>69</v>
      </c>
    </row>
    <row r="12">
      <c r="A12" s="52" t="s">
        <v>82</v>
      </c>
      <c r="B12" s="58" t="s">
        <v>18</v>
      </c>
      <c r="C12" s="60" t="s">
        <v>24</v>
      </c>
      <c r="D12" s="60" t="s">
        <v>47</v>
      </c>
      <c r="E12" s="47" t="s">
        <v>33</v>
      </c>
      <c r="F12" s="45" t="s">
        <v>26</v>
      </c>
      <c r="G12" s="60" t="s">
        <v>50</v>
      </c>
      <c r="H12" s="47" t="s">
        <v>38</v>
      </c>
      <c r="I12" s="45" t="s">
        <v>30</v>
      </c>
      <c r="J12" s="60" t="s">
        <v>53</v>
      </c>
      <c r="K12" s="64" t="s">
        <v>41</v>
      </c>
    </row>
    <row r="13">
      <c r="A13" s="65"/>
      <c r="B13" s="65"/>
      <c r="C13" s="38" t="s">
        <v>32</v>
      </c>
      <c r="D13" s="38" t="s">
        <v>58</v>
      </c>
      <c r="E13" s="66" t="s">
        <v>49</v>
      </c>
      <c r="F13" s="43" t="s">
        <v>35</v>
      </c>
      <c r="G13" s="38" t="s">
        <v>64</v>
      </c>
      <c r="H13" s="66" t="s">
        <v>52</v>
      </c>
      <c r="I13" s="43" t="s">
        <v>37</v>
      </c>
      <c r="J13" s="38" t="s">
        <v>67</v>
      </c>
      <c r="K13" s="66" t="s">
        <v>55</v>
      </c>
    </row>
    <row r="14">
      <c r="A14" s="68"/>
      <c r="B14" s="68"/>
      <c r="C14" s="38" t="s">
        <v>42</v>
      </c>
      <c r="D14" s="38" t="s">
        <v>61</v>
      </c>
      <c r="E14" s="66" t="s">
        <v>63</v>
      </c>
      <c r="F14" s="43" t="s">
        <v>44</v>
      </c>
      <c r="G14" s="38" t="s">
        <v>65</v>
      </c>
      <c r="H14" s="66" t="s">
        <v>66</v>
      </c>
      <c r="I14" s="43" t="s">
        <v>46</v>
      </c>
      <c r="J14" s="38" t="s">
        <v>68</v>
      </c>
      <c r="K14" s="66" t="s">
        <v>69</v>
      </c>
    </row>
    <row r="15">
      <c r="A15" s="52" t="s">
        <v>85</v>
      </c>
      <c r="B15" s="58" t="s">
        <v>20</v>
      </c>
      <c r="C15" s="60" t="s">
        <v>42</v>
      </c>
      <c r="D15" s="60" t="s">
        <v>58</v>
      </c>
      <c r="E15" s="47" t="s">
        <v>33</v>
      </c>
      <c r="F15" s="45" t="s">
        <v>44</v>
      </c>
      <c r="G15" s="60" t="s">
        <v>64</v>
      </c>
      <c r="H15" s="47" t="s">
        <v>38</v>
      </c>
      <c r="I15" s="45" t="s">
        <v>46</v>
      </c>
      <c r="J15" s="60" t="s">
        <v>67</v>
      </c>
      <c r="K15" s="64" t="s">
        <v>41</v>
      </c>
    </row>
    <row r="16">
      <c r="A16" s="65"/>
      <c r="B16" s="65"/>
      <c r="C16" s="38" t="s">
        <v>24</v>
      </c>
      <c r="D16" s="38" t="s">
        <v>61</v>
      </c>
      <c r="E16" s="66" t="s">
        <v>49</v>
      </c>
      <c r="F16" s="43" t="s">
        <v>26</v>
      </c>
      <c r="G16" s="38" t="s">
        <v>65</v>
      </c>
      <c r="H16" s="66" t="s">
        <v>52</v>
      </c>
      <c r="I16" s="43" t="s">
        <v>30</v>
      </c>
      <c r="J16" s="38" t="s">
        <v>68</v>
      </c>
      <c r="K16" s="66" t="s">
        <v>55</v>
      </c>
    </row>
    <row r="17">
      <c r="A17" s="68"/>
      <c r="B17" s="68"/>
      <c r="C17" s="84" t="s">
        <v>32</v>
      </c>
      <c r="D17" s="86" t="s">
        <v>47</v>
      </c>
      <c r="E17" s="87" t="s">
        <v>63</v>
      </c>
      <c r="F17" s="88" t="s">
        <v>35</v>
      </c>
      <c r="G17" s="84" t="s">
        <v>50</v>
      </c>
      <c r="H17" s="87" t="s">
        <v>66</v>
      </c>
      <c r="I17" s="88" t="s">
        <v>37</v>
      </c>
      <c r="J17" s="84" t="s">
        <v>53</v>
      </c>
      <c r="K17" s="89" t="s">
        <v>69</v>
      </c>
    </row>
  </sheetData>
  <mergeCells count="15">
    <mergeCell ref="A6:A8"/>
    <mergeCell ref="B6:B8"/>
    <mergeCell ref="A9:A11"/>
    <mergeCell ref="B9:B11"/>
    <mergeCell ref="A12:A14"/>
    <mergeCell ref="B12:B14"/>
    <mergeCell ref="A15:A17"/>
    <mergeCell ref="B15:B17"/>
    <mergeCell ref="A1:A2"/>
    <mergeCell ref="B1:B2"/>
    <mergeCell ref="C1:E1"/>
    <mergeCell ref="F1:H1"/>
    <mergeCell ref="I1:K1"/>
    <mergeCell ref="A3:A5"/>
    <mergeCell ref="B3:B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3.25"/>
    <col customWidth="1" min="3" max="3" width="5.13"/>
    <col customWidth="1" min="4" max="4" width="3.25"/>
    <col customWidth="1" min="5" max="5" width="5.13"/>
    <col customWidth="1" min="6" max="6" width="3.25"/>
    <col customWidth="1" min="7" max="7" width="5.13"/>
    <col customWidth="1" min="8" max="8" width="3.25"/>
    <col customWidth="1" min="9" max="9" width="5.13"/>
    <col customWidth="1" min="10" max="10" width="3.25"/>
    <col customWidth="1" min="11" max="12" width="5.13"/>
    <col customWidth="1" min="13" max="14" width="3.88"/>
    <col customWidth="1" min="15" max="15" width="7.0"/>
    <col customWidth="1" min="16" max="16" width="12.38"/>
    <col customWidth="1" min="17" max="17" width="3.25"/>
    <col customWidth="1" min="18" max="18" width="5.13"/>
    <col customWidth="1" min="19" max="19" width="3.25"/>
    <col customWidth="1" min="20" max="20" width="5.13"/>
    <col customWidth="1" min="21" max="21" width="3.25"/>
    <col customWidth="1" min="22" max="22" width="5.13"/>
    <col customWidth="1" min="23" max="23" width="3.25"/>
    <col customWidth="1" min="24" max="24" width="5.13"/>
    <col customWidth="1" min="25" max="25" width="3.25"/>
    <col customWidth="1" min="26" max="27" width="5.13"/>
    <col customWidth="1" min="28" max="29" width="3.88"/>
  </cols>
  <sheetData>
    <row r="1" ht="48.75" customHeight="1">
      <c r="A1" s="1" t="s">
        <v>1</v>
      </c>
    </row>
    <row r="2">
      <c r="A2" s="4"/>
      <c r="B2" s="7"/>
      <c r="C2" s="7"/>
      <c r="D2" s="7"/>
      <c r="E2" s="7"/>
      <c r="F2" s="7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18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3"/>
      <c r="O3" s="25"/>
      <c r="P3" s="27" t="s">
        <v>8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3"/>
    </row>
    <row r="4">
      <c r="A4" s="29"/>
      <c r="B4" s="32" t="s">
        <v>14</v>
      </c>
      <c r="C4" s="34"/>
      <c r="D4" s="36" t="s">
        <v>15</v>
      </c>
      <c r="E4" s="37"/>
      <c r="F4" s="32" t="s">
        <v>16</v>
      </c>
      <c r="G4" s="34"/>
      <c r="H4" s="36" t="s">
        <v>18</v>
      </c>
      <c r="I4" s="37"/>
      <c r="J4" s="32" t="s">
        <v>20</v>
      </c>
      <c r="K4" s="37"/>
      <c r="L4" s="40" t="s">
        <v>22</v>
      </c>
      <c r="M4" s="42" t="s">
        <v>6</v>
      </c>
      <c r="N4" s="40" t="s">
        <v>23</v>
      </c>
      <c r="O4" s="25"/>
      <c r="P4" s="44"/>
      <c r="Q4" s="32" t="s">
        <v>14</v>
      </c>
      <c r="R4" s="34"/>
      <c r="S4" s="36" t="s">
        <v>15</v>
      </c>
      <c r="T4" s="37"/>
      <c r="U4" s="32" t="s">
        <v>16</v>
      </c>
      <c r="V4" s="34"/>
      <c r="W4" s="36" t="s">
        <v>18</v>
      </c>
      <c r="X4" s="37"/>
      <c r="Y4" s="32" t="s">
        <v>20</v>
      </c>
      <c r="Z4" s="37"/>
      <c r="AA4" s="40" t="s">
        <v>22</v>
      </c>
      <c r="AB4" s="42" t="s">
        <v>6</v>
      </c>
      <c r="AC4" s="48" t="s">
        <v>23</v>
      </c>
    </row>
    <row r="5">
      <c r="A5" s="51" t="s">
        <v>10</v>
      </c>
      <c r="B5" s="53" t="s">
        <v>28</v>
      </c>
      <c r="C5" s="53">
        <v>78.0</v>
      </c>
      <c r="D5" s="55" t="s">
        <v>28</v>
      </c>
      <c r="E5" s="56">
        <v>96.0</v>
      </c>
      <c r="F5" s="55" t="s">
        <v>28</v>
      </c>
      <c r="G5" s="53">
        <v>92.0</v>
      </c>
      <c r="H5" s="55" t="s">
        <v>28</v>
      </c>
      <c r="I5" s="56">
        <v>90.0</v>
      </c>
      <c r="J5" s="55" t="s">
        <v>28</v>
      </c>
      <c r="K5" s="56">
        <v>100.0</v>
      </c>
      <c r="L5" s="63">
        <f t="shared" ref="L5:L10" si="1">SUM(C5+E5+G5+I5+K5)</f>
        <v>456</v>
      </c>
      <c r="M5" s="81">
        <f t="shared" ref="M5:M6" si="2">(COUNTIF({B5, D5, F5, H5, J5}, "W")*2) + (COUNTIF({B5, D5, F5, H5, J5}, "T")*1)</f>
        <v>10</v>
      </c>
      <c r="N5" s="82">
        <v>1.0</v>
      </c>
      <c r="O5" s="83"/>
      <c r="P5" s="56" t="s">
        <v>27</v>
      </c>
      <c r="Q5" s="53" t="s">
        <v>87</v>
      </c>
      <c r="R5" s="53">
        <v>62.0</v>
      </c>
      <c r="S5" s="55" t="s">
        <v>28</v>
      </c>
      <c r="T5" s="56">
        <v>84.0</v>
      </c>
      <c r="U5" s="55" t="s">
        <v>28</v>
      </c>
      <c r="V5" s="53">
        <v>92.0</v>
      </c>
      <c r="W5" s="55" t="s">
        <v>28</v>
      </c>
      <c r="X5" s="56">
        <v>86.0</v>
      </c>
      <c r="Y5" s="55" t="s">
        <v>28</v>
      </c>
      <c r="Z5" s="56">
        <v>88.0</v>
      </c>
      <c r="AA5" s="63">
        <f t="shared" ref="AA5:AA10" si="3">SUM(R5+T5+V5+X5+Z5)</f>
        <v>412</v>
      </c>
      <c r="AB5" s="81">
        <f t="shared" ref="AB5:AB10" si="4">(COUNTIF({Q5, S5, U5, W5, Y5}, "W")*2) + (COUNTIF({Q5, S5, U5, W5, Y5}, "T")*1)</f>
        <v>8</v>
      </c>
      <c r="AC5" s="96">
        <v>2.0</v>
      </c>
    </row>
    <row r="6">
      <c r="A6" s="97" t="s">
        <v>74</v>
      </c>
      <c r="B6" s="53" t="s">
        <v>87</v>
      </c>
      <c r="C6" s="53">
        <v>64.0</v>
      </c>
      <c r="D6" s="55" t="s">
        <v>28</v>
      </c>
      <c r="E6" s="56">
        <v>70.0</v>
      </c>
      <c r="F6" s="55" t="s">
        <v>28</v>
      </c>
      <c r="G6" s="53">
        <v>82.0</v>
      </c>
      <c r="H6" s="55" t="s">
        <v>28</v>
      </c>
      <c r="I6" s="56">
        <v>70.0</v>
      </c>
      <c r="J6" s="55" t="s">
        <v>28</v>
      </c>
      <c r="K6" s="56">
        <v>90.0</v>
      </c>
      <c r="L6" s="63">
        <f t="shared" si="1"/>
        <v>376</v>
      </c>
      <c r="M6" s="81">
        <f t="shared" si="2"/>
        <v>8</v>
      </c>
      <c r="N6" s="82">
        <v>2.0</v>
      </c>
      <c r="O6" s="83"/>
      <c r="P6" s="56" t="s">
        <v>36</v>
      </c>
      <c r="Q6" s="53" t="s">
        <v>28</v>
      </c>
      <c r="R6" s="53">
        <v>66.0</v>
      </c>
      <c r="S6" s="55" t="s">
        <v>28</v>
      </c>
      <c r="T6" s="56">
        <v>74.0</v>
      </c>
      <c r="U6" s="55" t="s">
        <v>28</v>
      </c>
      <c r="V6" s="53">
        <v>76.0</v>
      </c>
      <c r="W6" s="55" t="s">
        <v>28</v>
      </c>
      <c r="X6" s="56">
        <v>50.0</v>
      </c>
      <c r="Y6" s="55" t="s">
        <v>28</v>
      </c>
      <c r="Z6" s="56">
        <v>106.0</v>
      </c>
      <c r="AA6" s="63">
        <f t="shared" si="3"/>
        <v>372</v>
      </c>
      <c r="AB6" s="81">
        <f t="shared" si="4"/>
        <v>10</v>
      </c>
      <c r="AC6" s="96">
        <v>1.0</v>
      </c>
    </row>
    <row r="7">
      <c r="A7" s="97" t="s">
        <v>43</v>
      </c>
      <c r="B7" s="53" t="s">
        <v>87</v>
      </c>
      <c r="C7" s="53">
        <v>8.0</v>
      </c>
      <c r="D7" s="55" t="s">
        <v>87</v>
      </c>
      <c r="E7" s="56">
        <v>8.0</v>
      </c>
      <c r="F7" s="55" t="s">
        <v>87</v>
      </c>
      <c r="G7" s="53">
        <v>20.0</v>
      </c>
      <c r="H7" s="55" t="s">
        <v>87</v>
      </c>
      <c r="I7" s="56">
        <v>4.0</v>
      </c>
      <c r="J7" s="53" t="s">
        <v>93</v>
      </c>
      <c r="K7" s="98">
        <v>0.0</v>
      </c>
      <c r="L7" s="63">
        <f t="shared" si="1"/>
        <v>40</v>
      </c>
      <c r="M7" s="81">
        <v>1.0</v>
      </c>
      <c r="N7" s="82">
        <v>5.0</v>
      </c>
      <c r="O7" s="83"/>
      <c r="P7" s="56" t="s">
        <v>86</v>
      </c>
      <c r="Q7" s="53" t="s">
        <v>87</v>
      </c>
      <c r="R7" s="53">
        <v>30.0</v>
      </c>
      <c r="S7" s="55" t="s">
        <v>87</v>
      </c>
      <c r="T7" s="56">
        <v>34.0</v>
      </c>
      <c r="U7" s="55" t="s">
        <v>87</v>
      </c>
      <c r="V7" s="53">
        <v>16.0</v>
      </c>
      <c r="W7" s="55" t="s">
        <v>28</v>
      </c>
      <c r="X7" s="56">
        <v>54.0</v>
      </c>
      <c r="Y7" s="55" t="s">
        <v>28</v>
      </c>
      <c r="Z7" s="56">
        <v>60.0</v>
      </c>
      <c r="AA7" s="63">
        <f t="shared" si="3"/>
        <v>194</v>
      </c>
      <c r="AB7" s="81">
        <f t="shared" si="4"/>
        <v>4</v>
      </c>
      <c r="AC7" s="96">
        <v>4.0</v>
      </c>
    </row>
    <row r="8">
      <c r="A8" s="97" t="s">
        <v>88</v>
      </c>
      <c r="B8" s="53" t="s">
        <v>28</v>
      </c>
      <c r="C8" s="53">
        <v>44.0</v>
      </c>
      <c r="D8" s="55" t="s">
        <v>28</v>
      </c>
      <c r="E8" s="56">
        <v>50.0</v>
      </c>
      <c r="F8" s="55" t="s">
        <v>87</v>
      </c>
      <c r="G8" s="53">
        <v>40.0</v>
      </c>
      <c r="H8" s="55" t="s">
        <v>87</v>
      </c>
      <c r="I8" s="56">
        <v>30.0</v>
      </c>
      <c r="J8" s="55" t="s">
        <v>87</v>
      </c>
      <c r="K8" s="56">
        <v>28.0</v>
      </c>
      <c r="L8" s="63">
        <f t="shared" si="1"/>
        <v>192</v>
      </c>
      <c r="M8" s="81">
        <f t="shared" ref="M8:M10" si="5">(COUNTIF({B8, D8, F8, H8, J8}, "W")*2) + (COUNTIF({B8, D8, F8, H8, J8}, "T")*1)</f>
        <v>4</v>
      </c>
      <c r="N8" s="82">
        <v>4.0</v>
      </c>
      <c r="O8" s="83"/>
      <c r="P8" s="56" t="s">
        <v>57</v>
      </c>
      <c r="Q8" s="53" t="s">
        <v>28</v>
      </c>
      <c r="R8" s="53">
        <v>56.0</v>
      </c>
      <c r="S8" s="55" t="s">
        <v>28</v>
      </c>
      <c r="T8" s="56">
        <v>56.0</v>
      </c>
      <c r="U8" s="55" t="s">
        <v>28</v>
      </c>
      <c r="V8" s="53">
        <v>42.0</v>
      </c>
      <c r="W8" s="55" t="s">
        <v>87</v>
      </c>
      <c r="X8" s="56">
        <v>32.0</v>
      </c>
      <c r="Y8" s="55" t="s">
        <v>87</v>
      </c>
      <c r="Z8" s="56">
        <v>14.0</v>
      </c>
      <c r="AA8" s="63">
        <f t="shared" si="3"/>
        <v>200</v>
      </c>
      <c r="AB8" s="81">
        <f t="shared" si="4"/>
        <v>6</v>
      </c>
      <c r="AC8" s="96">
        <v>3.0</v>
      </c>
    </row>
    <row r="9">
      <c r="A9" s="97" t="s">
        <v>92</v>
      </c>
      <c r="B9" s="53" t="s">
        <v>87</v>
      </c>
      <c r="C9" s="53">
        <v>4.0</v>
      </c>
      <c r="D9" s="55" t="s">
        <v>87</v>
      </c>
      <c r="E9" s="56">
        <v>0.0</v>
      </c>
      <c r="F9" s="55" t="s">
        <v>87</v>
      </c>
      <c r="G9" s="53">
        <v>16.0</v>
      </c>
      <c r="H9" s="55" t="s">
        <v>87</v>
      </c>
      <c r="I9" s="56">
        <v>16.0</v>
      </c>
      <c r="J9" s="55" t="s">
        <v>93</v>
      </c>
      <c r="K9" s="56">
        <v>0.0</v>
      </c>
      <c r="L9" s="63">
        <f t="shared" si="1"/>
        <v>36</v>
      </c>
      <c r="M9" s="81">
        <f t="shared" si="5"/>
        <v>1</v>
      </c>
      <c r="N9" s="82">
        <v>6.0</v>
      </c>
      <c r="O9" s="83"/>
      <c r="P9" s="56" t="s">
        <v>89</v>
      </c>
      <c r="Q9" s="53" t="s">
        <v>28</v>
      </c>
      <c r="R9" s="53">
        <v>62.0</v>
      </c>
      <c r="S9" s="55" t="s">
        <v>87</v>
      </c>
      <c r="T9" s="56">
        <v>30.0</v>
      </c>
      <c r="U9" s="55" t="s">
        <v>87</v>
      </c>
      <c r="V9" s="53">
        <v>28.0</v>
      </c>
      <c r="W9" s="55" t="s">
        <v>87</v>
      </c>
      <c r="X9" s="56">
        <v>32.0</v>
      </c>
      <c r="Y9" s="55" t="s">
        <v>87</v>
      </c>
      <c r="Z9" s="56">
        <v>18.0</v>
      </c>
      <c r="AA9" s="63">
        <f t="shared" si="3"/>
        <v>170</v>
      </c>
      <c r="AB9" s="81">
        <f t="shared" si="4"/>
        <v>2</v>
      </c>
      <c r="AC9" s="96">
        <v>5.0</v>
      </c>
    </row>
    <row r="10">
      <c r="A10" s="99" t="s">
        <v>75</v>
      </c>
      <c r="B10" s="100" t="s">
        <v>28</v>
      </c>
      <c r="C10" s="100">
        <v>88.0</v>
      </c>
      <c r="D10" s="101" t="s">
        <v>87</v>
      </c>
      <c r="E10" s="102">
        <v>42.0</v>
      </c>
      <c r="F10" s="101" t="s">
        <v>28</v>
      </c>
      <c r="G10" s="100">
        <v>56.0</v>
      </c>
      <c r="H10" s="101" t="s">
        <v>28</v>
      </c>
      <c r="I10" s="102">
        <v>88.0</v>
      </c>
      <c r="J10" s="101" t="s">
        <v>87</v>
      </c>
      <c r="K10" s="102">
        <v>26.0</v>
      </c>
      <c r="L10" s="103">
        <f t="shared" si="1"/>
        <v>300</v>
      </c>
      <c r="M10" s="104">
        <f t="shared" si="5"/>
        <v>6</v>
      </c>
      <c r="N10" s="105">
        <v>3.0</v>
      </c>
      <c r="O10" s="106"/>
      <c r="P10" s="102" t="s">
        <v>76</v>
      </c>
      <c r="Q10" s="100" t="s">
        <v>87</v>
      </c>
      <c r="R10" s="100">
        <v>18.0</v>
      </c>
      <c r="S10" s="101" t="s">
        <v>87</v>
      </c>
      <c r="T10" s="102">
        <v>20.0</v>
      </c>
      <c r="U10" s="101" t="s">
        <v>87</v>
      </c>
      <c r="V10" s="100">
        <v>4.0</v>
      </c>
      <c r="W10" s="101" t="s">
        <v>87</v>
      </c>
      <c r="X10" s="102">
        <v>28.0</v>
      </c>
      <c r="Y10" s="101" t="s">
        <v>87</v>
      </c>
      <c r="Z10" s="102">
        <v>20.0</v>
      </c>
      <c r="AA10" s="103">
        <f t="shared" si="3"/>
        <v>90</v>
      </c>
      <c r="AB10" s="104">
        <f t="shared" si="4"/>
        <v>0</v>
      </c>
      <c r="AC10" s="107">
        <v>6.0</v>
      </c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8"/>
      <c r="AB11" s="10"/>
      <c r="AC11" s="10"/>
    </row>
    <row r="12">
      <c r="A12" s="109" t="s">
        <v>11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3"/>
      <c r="O12" s="110"/>
    </row>
    <row r="13">
      <c r="A13" s="29"/>
      <c r="B13" s="32" t="s">
        <v>14</v>
      </c>
      <c r="C13" s="34"/>
      <c r="D13" s="36" t="s">
        <v>15</v>
      </c>
      <c r="E13" s="37"/>
      <c r="F13" s="32" t="s">
        <v>16</v>
      </c>
      <c r="G13" s="34"/>
      <c r="H13" s="36" t="s">
        <v>18</v>
      </c>
      <c r="I13" s="37"/>
      <c r="J13" s="32" t="s">
        <v>20</v>
      </c>
      <c r="K13" s="37"/>
      <c r="L13" s="40" t="s">
        <v>22</v>
      </c>
      <c r="M13" s="42" t="s">
        <v>6</v>
      </c>
      <c r="N13" s="40" t="s">
        <v>23</v>
      </c>
      <c r="O13" s="110"/>
    </row>
    <row r="14">
      <c r="A14" s="51" t="s">
        <v>31</v>
      </c>
      <c r="B14" s="53" t="s">
        <v>28</v>
      </c>
      <c r="C14" s="53">
        <v>78.0</v>
      </c>
      <c r="D14" s="55" t="s">
        <v>28</v>
      </c>
      <c r="E14" s="56">
        <v>92.0</v>
      </c>
      <c r="F14" s="55" t="s">
        <v>28</v>
      </c>
      <c r="G14" s="53">
        <v>74.0</v>
      </c>
      <c r="H14" s="55" t="s">
        <v>28</v>
      </c>
      <c r="I14" s="56">
        <v>96.0</v>
      </c>
      <c r="J14" s="55" t="s">
        <v>28</v>
      </c>
      <c r="K14" s="56">
        <v>88.0</v>
      </c>
      <c r="L14" s="63">
        <f t="shared" ref="L14:L19" si="6">SUM(C14+E14+G14+I14+K14)</f>
        <v>428</v>
      </c>
      <c r="M14" s="81">
        <f t="shared" ref="M14:M19" si="7">(COUNTIF({B14, D14, F14, H14, J14}, "W")*2) + (COUNTIF({B14, D14, F14, H14, J14}, "T")*1)</f>
        <v>10</v>
      </c>
      <c r="N14" s="82">
        <v>1.0</v>
      </c>
      <c r="O14" s="111"/>
    </row>
    <row r="15">
      <c r="A15" s="97" t="s">
        <v>79</v>
      </c>
      <c r="B15" s="53" t="s">
        <v>87</v>
      </c>
      <c r="C15" s="53">
        <v>52.0</v>
      </c>
      <c r="D15" s="55" t="s">
        <v>28</v>
      </c>
      <c r="E15" s="56">
        <v>86.0</v>
      </c>
      <c r="F15" s="55" t="s">
        <v>28</v>
      </c>
      <c r="G15" s="53">
        <v>74.0</v>
      </c>
      <c r="H15" s="55" t="s">
        <v>28</v>
      </c>
      <c r="I15" s="56">
        <v>58.0</v>
      </c>
      <c r="J15" s="55" t="s">
        <v>28</v>
      </c>
      <c r="K15" s="56">
        <v>88.0</v>
      </c>
      <c r="L15" s="63">
        <f t="shared" si="6"/>
        <v>358</v>
      </c>
      <c r="M15" s="81">
        <f t="shared" si="7"/>
        <v>8</v>
      </c>
      <c r="N15" s="82">
        <v>2.0</v>
      </c>
      <c r="O15" s="110"/>
    </row>
    <row r="16">
      <c r="A16" s="97" t="s">
        <v>90</v>
      </c>
      <c r="B16" s="53" t="s">
        <v>87</v>
      </c>
      <c r="C16" s="53">
        <v>32.0</v>
      </c>
      <c r="D16" s="55" t="s">
        <v>87</v>
      </c>
      <c r="E16" s="56">
        <v>26.0</v>
      </c>
      <c r="F16" s="55" t="s">
        <v>87</v>
      </c>
      <c r="G16" s="53">
        <v>28.0</v>
      </c>
      <c r="H16" s="55" t="s">
        <v>87</v>
      </c>
      <c r="I16" s="56">
        <v>28.0</v>
      </c>
      <c r="J16" s="55" t="s">
        <v>28</v>
      </c>
      <c r="K16" s="56">
        <v>36.0</v>
      </c>
      <c r="L16" s="63">
        <f t="shared" si="6"/>
        <v>150</v>
      </c>
      <c r="M16" s="81">
        <f t="shared" si="7"/>
        <v>2</v>
      </c>
      <c r="N16" s="82">
        <v>6.0</v>
      </c>
      <c r="O16" s="110"/>
    </row>
    <row r="17">
      <c r="A17" s="97" t="s">
        <v>62</v>
      </c>
      <c r="B17" s="53" t="s">
        <v>28</v>
      </c>
      <c r="C17" s="53">
        <v>88.0</v>
      </c>
      <c r="D17" s="55" t="s">
        <v>87</v>
      </c>
      <c r="E17" s="56">
        <v>52.0</v>
      </c>
      <c r="F17" s="55" t="s">
        <v>87</v>
      </c>
      <c r="G17" s="53">
        <v>56.0</v>
      </c>
      <c r="H17" s="55" t="s">
        <v>87</v>
      </c>
      <c r="I17" s="56">
        <v>36.0</v>
      </c>
      <c r="J17" s="55" t="s">
        <v>87</v>
      </c>
      <c r="K17" s="56">
        <v>56.0</v>
      </c>
      <c r="L17" s="63">
        <f t="shared" si="6"/>
        <v>288</v>
      </c>
      <c r="M17" s="81">
        <f t="shared" si="7"/>
        <v>2</v>
      </c>
      <c r="N17" s="82">
        <v>4.0</v>
      </c>
      <c r="O17" s="110"/>
    </row>
    <row r="18">
      <c r="A18" s="97" t="s">
        <v>84</v>
      </c>
      <c r="B18" s="53" t="s">
        <v>87</v>
      </c>
      <c r="C18" s="53">
        <v>34.0</v>
      </c>
      <c r="D18" s="55" t="s">
        <v>28</v>
      </c>
      <c r="E18" s="56">
        <v>60.0</v>
      </c>
      <c r="F18" s="55" t="s">
        <v>87</v>
      </c>
      <c r="G18" s="53">
        <v>44.0</v>
      </c>
      <c r="H18" s="55" t="s">
        <v>87</v>
      </c>
      <c r="I18" s="56">
        <v>42.0</v>
      </c>
      <c r="J18" s="55" t="s">
        <v>87</v>
      </c>
      <c r="K18" s="56">
        <v>34.0</v>
      </c>
      <c r="L18" s="63">
        <f t="shared" si="6"/>
        <v>214</v>
      </c>
      <c r="M18" s="81">
        <f t="shared" si="7"/>
        <v>2</v>
      </c>
      <c r="N18" s="82">
        <v>5.0</v>
      </c>
      <c r="O18" s="110"/>
    </row>
    <row r="19">
      <c r="A19" s="99" t="s">
        <v>81</v>
      </c>
      <c r="B19" s="100" t="s">
        <v>28</v>
      </c>
      <c r="C19" s="100">
        <v>80.0</v>
      </c>
      <c r="D19" s="101" t="s">
        <v>87</v>
      </c>
      <c r="E19" s="102">
        <v>38.0</v>
      </c>
      <c r="F19" s="101" t="s">
        <v>28</v>
      </c>
      <c r="G19" s="100">
        <v>74.0</v>
      </c>
      <c r="H19" s="101" t="s">
        <v>28</v>
      </c>
      <c r="I19" s="102">
        <v>72.0</v>
      </c>
      <c r="J19" s="101" t="s">
        <v>87</v>
      </c>
      <c r="K19" s="104">
        <v>42.0</v>
      </c>
      <c r="L19" s="63">
        <f t="shared" si="6"/>
        <v>306</v>
      </c>
      <c r="M19" s="81">
        <f t="shared" si="7"/>
        <v>6</v>
      </c>
      <c r="N19" s="105">
        <v>3.0</v>
      </c>
      <c r="O19" s="110"/>
    </row>
    <row r="20">
      <c r="A20" s="112"/>
      <c r="B20" s="113"/>
      <c r="C20" s="112"/>
      <c r="D20" s="113"/>
      <c r="E20" s="112"/>
      <c r="F20" s="113"/>
      <c r="G20" s="112"/>
      <c r="H20" s="113"/>
      <c r="I20" s="112"/>
      <c r="J20" s="113"/>
      <c r="K20" s="112"/>
      <c r="L20" s="108"/>
      <c r="M20" s="114"/>
      <c r="N20" s="115"/>
      <c r="O20" s="10"/>
    </row>
  </sheetData>
  <mergeCells count="19">
    <mergeCell ref="J4:K4"/>
    <mergeCell ref="Q4:R4"/>
    <mergeCell ref="A12:N12"/>
    <mergeCell ref="B13:C13"/>
    <mergeCell ref="D13:E13"/>
    <mergeCell ref="F13:G13"/>
    <mergeCell ref="H13:I13"/>
    <mergeCell ref="J13:K13"/>
    <mergeCell ref="S4:T4"/>
    <mergeCell ref="U4:V4"/>
    <mergeCell ref="W4:X4"/>
    <mergeCell ref="Y4:Z4"/>
    <mergeCell ref="A1:AC1"/>
    <mergeCell ref="A3:N3"/>
    <mergeCell ref="P3:AC3"/>
    <mergeCell ref="B4:C4"/>
    <mergeCell ref="D4:E4"/>
    <mergeCell ref="F4:G4"/>
    <mergeCell ref="H4:I4"/>
  </mergeCells>
  <conditionalFormatting sqref="A1:X20 Y1:AB16 AC1:AC21 AB18:AB21 C22 E22 G22 I22 K22 R22 T22 V22 X22 Z22 B30 C30:C31 D30 E30:E31 F30 G30:G31 H30 I30:I31 J30 K30:K31 L30:N30 Q30 R30:R31 S30 T30:T31 U30 V30:V31 W30 X30:X31 Y30 Z30:Z31 AA30:AC30">
    <cfRule type="cellIs" dxfId="0" priority="1" operator="equal">
      <formula>"WL"</formula>
    </cfRule>
  </conditionalFormatting>
  <conditionalFormatting sqref="A2:X20 Y2:AB16 AC2:AC21 AB18:AB21 C22 E22 G22 I22 K22 R22 T22 V22 X22 Z22 B30 C30:C31 D30 E30:E31 F30 G30:G31 H30 I30:I31 J30 K30:K31 L30:N30 Q30 R30:R31 S30 T30:T31 U30 V30:V31 W30 X30:X31 Y30 Z30:Z31 AA30:AC30">
    <cfRule type="cellIs" dxfId="1" priority="2" operator="equal">
      <formula>"W"</formula>
    </cfRule>
  </conditionalFormatting>
  <conditionalFormatting sqref="A2:X20 Y2:AB16 AC2:AC21 AB18:AB21 C22 E22 G22 I22 K22 R22 T22 V22 X22 Z22 B30 C30:C31 D30 E30:E31 F30 G30:G31 H30 I30:I31 J30 K30:K31 L30:N30 Q30 R30:R31 S30 T30:T31 U30 V30:V31 W30 X30:X31 Y30 Z30:Z31 AA30:AC30">
    <cfRule type="cellIs" dxfId="2" priority="3" operator="equal">
      <formula>"L"</formula>
    </cfRule>
  </conditionalFormatting>
  <conditionalFormatting sqref="A2:X20 Y2:AB16 AC2:AC21 AB18:AB21 C22 E22 G22 I22 K22 R22 T22 V22 X22 Z22 B30 C30:C31 D30 E30:E31 F30 G30:G31 H30 I30:I31 J30 K30:K31 L30:N30 Q30 R30:R31 S30 T30:T31 U30 V30:V31 W30 X30:X31 Y30 Z30:Z31 AA30:AC30">
    <cfRule type="cellIs" dxfId="3" priority="4" operator="equal">
      <formula>"T"</formula>
    </cfRule>
  </conditionalFormatting>
  <conditionalFormatting sqref="A1:X20 Y1:AB16 AC1:AC21 AB18:AB21 C22 E22 G22 I22 K22 R22 T22 V22 X22 Z22 B30 C30:C31 D30 E30:E31 F30 G30:G31 H30 I30:I31 J30 K30:K31 L30:N30 Q30 R30:R31 S30 T30:T31 U30 V30:V31 W30 X30:X31 Y30 Z30:Z31 AA30:AC30">
    <cfRule type="cellIs" dxfId="4" priority="5" operator="equal">
      <formula>"F"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1">
        <v>1.0</v>
      </c>
      <c r="B2" s="13" t="s">
        <v>10</v>
      </c>
      <c r="C2" s="14">
        <v>456.0</v>
      </c>
      <c r="D2" s="15">
        <v>10.0</v>
      </c>
      <c r="E2" s="50">
        <f>C2+0.0211*1400</f>
        <v>485.54</v>
      </c>
      <c r="F2" s="5"/>
      <c r="G2" s="5"/>
      <c r="H2" s="4" t="s">
        <v>29</v>
      </c>
      <c r="I2" s="54"/>
      <c r="J2" s="5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1">
        <v>2.0</v>
      </c>
      <c r="B3" s="59" t="s">
        <v>31</v>
      </c>
      <c r="C3" s="59">
        <v>428.0</v>
      </c>
      <c r="D3" s="59">
        <v>10.0</v>
      </c>
      <c r="E3" s="50">
        <f>C3+0.0211*1744</f>
        <v>464.7984</v>
      </c>
      <c r="F3" s="5"/>
      <c r="G3" s="5"/>
      <c r="H3" s="4" t="s">
        <v>40</v>
      </c>
      <c r="I3" s="54"/>
      <c r="J3" s="5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>
        <v>3.0</v>
      </c>
      <c r="B4" s="59" t="s">
        <v>36</v>
      </c>
      <c r="C4" s="59">
        <v>372.0</v>
      </c>
      <c r="D4" s="59">
        <v>10.0</v>
      </c>
      <c r="E4" s="50">
        <f t="shared" ref="E4:E5" si="1">C4+0.0211*1438</f>
        <v>402.3418</v>
      </c>
      <c r="F4" s="5"/>
      <c r="G4" s="5"/>
      <c r="H4" s="69" t="s">
        <v>60</v>
      </c>
      <c r="I4" s="54"/>
      <c r="J4" s="5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1">
        <v>4.0</v>
      </c>
      <c r="B5" s="59" t="s">
        <v>27</v>
      </c>
      <c r="C5" s="59">
        <v>412.0</v>
      </c>
      <c r="D5" s="59">
        <v>8.0</v>
      </c>
      <c r="E5" s="50">
        <f t="shared" si="1"/>
        <v>442.3418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1">
        <v>5.0</v>
      </c>
      <c r="B6" s="59" t="s">
        <v>74</v>
      </c>
      <c r="C6" s="14">
        <v>376.0</v>
      </c>
      <c r="D6" s="15">
        <v>8.0</v>
      </c>
      <c r="E6" s="50">
        <f>C6+0.0211*1400</f>
        <v>405.54</v>
      </c>
      <c r="F6" s="5"/>
      <c r="G6" s="5"/>
      <c r="H6" s="5"/>
      <c r="I6" s="5"/>
      <c r="J6" s="7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1">
        <v>6.0</v>
      </c>
      <c r="B7" s="59" t="s">
        <v>79</v>
      </c>
      <c r="C7" s="59">
        <v>358.0</v>
      </c>
      <c r="D7" s="59">
        <v>8.0</v>
      </c>
      <c r="E7" s="50">
        <f>C7+0.0211*1744</f>
        <v>394.7984</v>
      </c>
      <c r="F7" s="5"/>
      <c r="G7" s="5"/>
      <c r="H7" s="5"/>
      <c r="I7" s="5"/>
      <c r="J7" s="7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5" t="s">
        <v>80</v>
      </c>
      <c r="B8" s="73" t="s">
        <v>81</v>
      </c>
      <c r="C8" s="73">
        <v>306.0</v>
      </c>
      <c r="D8" s="73">
        <v>6.0</v>
      </c>
      <c r="E8" s="76">
        <v>342.7984</v>
      </c>
      <c r="F8" s="73" t="s">
        <v>83</v>
      </c>
      <c r="G8" s="5"/>
      <c r="H8" s="5"/>
      <c r="I8" s="5"/>
      <c r="J8" s="7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1">
        <v>7.0</v>
      </c>
      <c r="B9" s="59" t="s">
        <v>75</v>
      </c>
      <c r="C9" s="14">
        <v>300.0</v>
      </c>
      <c r="D9" s="15">
        <v>6.0</v>
      </c>
      <c r="E9" s="50">
        <v>329.54</v>
      </c>
      <c r="F9" s="5"/>
      <c r="G9" s="5"/>
      <c r="H9" s="5"/>
      <c r="I9" s="5"/>
      <c r="J9" s="7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1">
        <v>8.0</v>
      </c>
      <c r="B10" s="59" t="s">
        <v>62</v>
      </c>
      <c r="C10" s="59">
        <v>288.0</v>
      </c>
      <c r="D10" s="59">
        <v>2.0</v>
      </c>
      <c r="E10" s="50">
        <v>324.7984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7">
        <v>9.0</v>
      </c>
      <c r="B11" s="78" t="s">
        <v>84</v>
      </c>
      <c r="C11" s="78">
        <v>214.0</v>
      </c>
      <c r="D11" s="78">
        <v>2.0</v>
      </c>
      <c r="E11" s="79">
        <v>250.79840000000002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77">
        <f t="shared" ref="A12:A19" si="2">A11+1</f>
        <v>10</v>
      </c>
      <c r="B12" s="78" t="s">
        <v>57</v>
      </c>
      <c r="C12" s="80">
        <v>200.0</v>
      </c>
      <c r="D12" s="80">
        <v>6.0</v>
      </c>
      <c r="E12" s="79">
        <v>230.3418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7">
        <f t="shared" si="2"/>
        <v>11</v>
      </c>
      <c r="B13" s="78" t="s">
        <v>86</v>
      </c>
      <c r="C13" s="78">
        <v>194.0</v>
      </c>
      <c r="D13" s="78">
        <v>4.0</v>
      </c>
      <c r="E13" s="79">
        <v>224.3418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77">
        <f t="shared" si="2"/>
        <v>12</v>
      </c>
      <c r="B14" s="78" t="s">
        <v>88</v>
      </c>
      <c r="C14" s="85">
        <v>192.0</v>
      </c>
      <c r="D14" s="78">
        <v>4.0</v>
      </c>
      <c r="E14" s="79">
        <v>221.54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77">
        <f t="shared" si="2"/>
        <v>13</v>
      </c>
      <c r="B15" s="78" t="s">
        <v>89</v>
      </c>
      <c r="C15" s="78">
        <v>170.0</v>
      </c>
      <c r="D15" s="78">
        <v>2.0</v>
      </c>
      <c r="E15" s="79">
        <v>200.3418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77">
        <f t="shared" si="2"/>
        <v>14</v>
      </c>
      <c r="B16" s="78" t="s">
        <v>90</v>
      </c>
      <c r="C16" s="78">
        <v>150.0</v>
      </c>
      <c r="D16" s="78">
        <v>2.0</v>
      </c>
      <c r="E16" s="79">
        <v>179.54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77">
        <f t="shared" si="2"/>
        <v>15</v>
      </c>
      <c r="B17" s="78" t="s">
        <v>76</v>
      </c>
      <c r="C17" s="80">
        <v>90.0</v>
      </c>
      <c r="D17" s="80">
        <v>0.0</v>
      </c>
      <c r="E17" s="79">
        <v>120.3418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90">
        <f t="shared" si="2"/>
        <v>16</v>
      </c>
      <c r="B18" s="91" t="s">
        <v>43</v>
      </c>
      <c r="C18" s="92">
        <v>40.0</v>
      </c>
      <c r="D18" s="93">
        <v>1.0</v>
      </c>
      <c r="E18" s="94">
        <v>69.54</v>
      </c>
      <c r="F18" s="73" t="s">
        <v>91</v>
      </c>
      <c r="G18" s="73"/>
      <c r="H18" s="7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90">
        <f t="shared" si="2"/>
        <v>17</v>
      </c>
      <c r="B19" s="91" t="s">
        <v>92</v>
      </c>
      <c r="C19" s="95">
        <v>36.0</v>
      </c>
      <c r="D19" s="91">
        <v>1.0</v>
      </c>
      <c r="E19" s="94">
        <v>65.54</v>
      </c>
      <c r="F19" s="73" t="s">
        <v>91</v>
      </c>
      <c r="G19" s="73"/>
      <c r="H19" s="7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2.63"/>
    <col customWidth="1" min="3" max="3" width="5.13"/>
    <col customWidth="1" min="4" max="4" width="8.88"/>
    <col customWidth="1" min="5" max="5" width="3.25"/>
    <col customWidth="1" min="6" max="6" width="12.63"/>
    <col customWidth="1" min="7" max="7" width="5.13"/>
    <col customWidth="1" min="8" max="8" width="8.88"/>
    <col customWidth="1" min="9" max="9" width="3.25"/>
    <col customWidth="1" min="10" max="10" width="12.63"/>
    <col customWidth="1" min="11" max="11" width="5.13"/>
    <col customWidth="1" min="12" max="12" width="8.88"/>
    <col customWidth="1" min="13" max="13" width="3.25"/>
    <col customWidth="1" min="14" max="14" width="12.63"/>
    <col customWidth="1" min="15" max="15" width="5.13"/>
    <col customWidth="1" min="16" max="16" width="8.88"/>
    <col customWidth="1" min="17" max="17" width="3.25"/>
    <col customWidth="1" min="18" max="18" width="12.63"/>
    <col customWidth="1" min="19" max="19" width="5.13"/>
    <col customWidth="1" min="20" max="20" width="12.0"/>
    <col customWidth="1" min="21" max="21" width="3.25"/>
    <col customWidth="1" min="22" max="22" width="12.63"/>
    <col customWidth="1" min="23" max="23" width="5.13"/>
    <col customWidth="1" min="24" max="25" width="6.0"/>
    <col customWidth="1" min="26" max="26" width="12.63"/>
    <col customWidth="1" min="27" max="27" width="5.13"/>
  </cols>
  <sheetData>
    <row r="1" ht="48.75" customHeight="1">
      <c r="A1" s="116" t="s">
        <v>94</v>
      </c>
      <c r="T1" s="116"/>
      <c r="U1" s="116"/>
      <c r="V1" s="116"/>
      <c r="W1" s="116"/>
      <c r="X1" s="116"/>
      <c r="Y1" s="116"/>
      <c r="Z1" s="116"/>
      <c r="AA1" s="116"/>
    </row>
    <row r="2">
      <c r="A2" s="117" t="s">
        <v>96</v>
      </c>
      <c r="B2" s="20"/>
      <c r="C2" s="20"/>
      <c r="D2" s="117"/>
      <c r="E2" s="117" t="s">
        <v>98</v>
      </c>
      <c r="F2" s="20"/>
      <c r="G2" s="20"/>
      <c r="H2" s="117"/>
      <c r="I2" s="117" t="s">
        <v>100</v>
      </c>
      <c r="J2" s="20"/>
      <c r="K2" s="20"/>
      <c r="L2" s="117"/>
      <c r="M2" s="117" t="s">
        <v>102</v>
      </c>
      <c r="N2" s="20"/>
      <c r="O2" s="20"/>
      <c r="P2" s="117"/>
      <c r="Q2" s="117" t="s">
        <v>104</v>
      </c>
      <c r="R2" s="20"/>
      <c r="S2" s="20"/>
      <c r="T2" s="117"/>
      <c r="U2" s="117" t="s">
        <v>106</v>
      </c>
      <c r="V2" s="20"/>
      <c r="W2" s="20"/>
      <c r="X2" s="117"/>
      <c r="Y2" s="117" t="s">
        <v>107</v>
      </c>
      <c r="Z2" s="20"/>
      <c r="AA2" s="20"/>
    </row>
    <row r="3">
      <c r="A3" s="118"/>
      <c r="B3" s="118"/>
      <c r="C3" s="118"/>
      <c r="D3" s="63"/>
      <c r="E3" s="118"/>
      <c r="F3" s="118"/>
      <c r="G3" s="118"/>
      <c r="H3" s="118"/>
      <c r="I3" s="118"/>
      <c r="J3" s="118"/>
      <c r="K3" s="63"/>
      <c r="L3" s="118"/>
      <c r="M3" s="118"/>
      <c r="N3" s="118"/>
      <c r="O3" s="118"/>
      <c r="P3" s="63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</row>
    <row r="4">
      <c r="A4" s="119">
        <v>1.0</v>
      </c>
      <c r="B4" s="120" t="s">
        <v>10</v>
      </c>
      <c r="C4" s="121">
        <v>250.0</v>
      </c>
      <c r="D4" s="118"/>
      <c r="E4" s="118"/>
      <c r="F4" s="118"/>
      <c r="G4" s="118"/>
      <c r="H4" s="118"/>
      <c r="I4" s="118"/>
      <c r="J4" s="118"/>
      <c r="K4" s="118"/>
      <c r="L4" s="63"/>
      <c r="M4" s="63"/>
      <c r="N4" s="63"/>
      <c r="S4" s="118"/>
      <c r="T4" s="118"/>
      <c r="W4" s="118"/>
      <c r="AA4" s="118"/>
    </row>
    <row r="5">
      <c r="A5" s="65"/>
      <c r="B5" s="63" t="s">
        <v>111</v>
      </c>
      <c r="C5" s="62"/>
      <c r="D5" s="118"/>
      <c r="E5" s="118"/>
      <c r="F5" s="118"/>
      <c r="G5" s="118"/>
      <c r="H5" s="118"/>
      <c r="I5" s="118"/>
      <c r="J5" s="118"/>
      <c r="K5" s="118"/>
      <c r="L5" s="63"/>
      <c r="M5" s="118"/>
      <c r="N5" s="63"/>
      <c r="S5" s="118"/>
      <c r="T5" s="118"/>
      <c r="W5" s="118"/>
      <c r="AA5" s="118"/>
    </row>
    <row r="6">
      <c r="A6" s="68"/>
      <c r="B6" s="126" t="s">
        <v>62</v>
      </c>
      <c r="C6" s="128">
        <v>140.0</v>
      </c>
      <c r="D6" s="129"/>
      <c r="E6" s="131"/>
      <c r="F6" s="118"/>
      <c r="G6" s="118"/>
      <c r="H6" s="118"/>
      <c r="I6" s="118"/>
      <c r="J6" s="118"/>
      <c r="K6" s="118"/>
      <c r="L6" s="63"/>
      <c r="M6" s="118"/>
      <c r="N6" s="63"/>
      <c r="S6" s="118"/>
      <c r="T6" s="118"/>
      <c r="W6" s="118"/>
      <c r="AA6" s="118"/>
    </row>
    <row r="7">
      <c r="A7" s="63"/>
      <c r="B7" s="63"/>
      <c r="C7" s="118"/>
      <c r="D7" s="133"/>
      <c r="E7" s="119">
        <v>5.0</v>
      </c>
      <c r="F7" s="120" t="s">
        <v>10</v>
      </c>
      <c r="G7" s="121">
        <v>172.0</v>
      </c>
      <c r="H7" s="134"/>
      <c r="I7" s="134"/>
      <c r="J7" s="134"/>
      <c r="K7" s="134"/>
      <c r="L7" s="134"/>
      <c r="M7" s="133"/>
      <c r="N7" s="63"/>
      <c r="S7" s="118"/>
      <c r="T7" s="118"/>
      <c r="W7" s="118"/>
      <c r="AA7" s="118"/>
    </row>
    <row r="8">
      <c r="A8" s="63"/>
      <c r="B8" s="63"/>
      <c r="C8" s="118"/>
      <c r="D8" s="133"/>
      <c r="E8" s="65"/>
      <c r="F8" s="63" t="s">
        <v>111</v>
      </c>
      <c r="G8" s="62"/>
      <c r="H8" s="133"/>
      <c r="L8" s="139"/>
      <c r="M8" s="131"/>
      <c r="N8" s="118"/>
      <c r="O8" s="118"/>
      <c r="P8" s="63"/>
      <c r="Q8" s="118"/>
      <c r="S8" s="118"/>
      <c r="T8" s="118"/>
      <c r="U8" s="118"/>
      <c r="W8" s="118"/>
      <c r="X8" s="118"/>
      <c r="Y8" s="118"/>
      <c r="AA8" s="118"/>
    </row>
    <row r="9">
      <c r="A9" s="63"/>
      <c r="B9" s="63"/>
      <c r="C9" s="118"/>
      <c r="D9" s="133"/>
      <c r="E9" s="68"/>
      <c r="F9" s="126" t="s">
        <v>27</v>
      </c>
      <c r="G9" s="128">
        <v>160.0</v>
      </c>
      <c r="H9" s="133"/>
      <c r="L9" s="139"/>
      <c r="M9" s="143"/>
      <c r="N9" s="118"/>
      <c r="O9" s="118"/>
      <c r="P9" s="63"/>
      <c r="Q9" s="118"/>
      <c r="S9" s="118"/>
      <c r="T9" s="118"/>
      <c r="U9" s="118"/>
      <c r="W9" s="118"/>
      <c r="X9" s="118"/>
      <c r="Y9" s="118"/>
      <c r="AA9" s="118"/>
    </row>
    <row r="10">
      <c r="A10" s="119">
        <v>2.0</v>
      </c>
      <c r="B10" s="120" t="s">
        <v>27</v>
      </c>
      <c r="C10" s="121">
        <v>244.0</v>
      </c>
      <c r="D10" s="150"/>
      <c r="E10" s="152"/>
      <c r="F10" s="118"/>
      <c r="G10" s="118"/>
      <c r="H10" s="133"/>
      <c r="L10" s="154"/>
      <c r="M10" s="143"/>
      <c r="N10" s="118"/>
      <c r="O10" s="118"/>
      <c r="P10" s="156"/>
      <c r="Q10" s="118"/>
      <c r="S10" s="118"/>
      <c r="T10" s="118"/>
      <c r="U10" s="118"/>
      <c r="W10" s="118"/>
      <c r="X10" s="118"/>
      <c r="Y10" s="118"/>
      <c r="AA10" s="118"/>
    </row>
    <row r="11">
      <c r="A11" s="65"/>
      <c r="B11" s="63" t="s">
        <v>133</v>
      </c>
      <c r="C11" s="62"/>
      <c r="D11" s="118"/>
      <c r="E11" s="160"/>
      <c r="F11" s="118"/>
      <c r="G11" s="118"/>
      <c r="H11" s="118"/>
      <c r="L11" s="139"/>
      <c r="M11" s="161"/>
      <c r="N11" s="160"/>
      <c r="O11" s="160"/>
      <c r="P11" s="63"/>
      <c r="Q11" s="63"/>
      <c r="S11" s="63"/>
      <c r="T11" s="63"/>
      <c r="U11" s="63"/>
      <c r="W11" s="63"/>
      <c r="X11" s="63"/>
      <c r="Y11" s="63"/>
      <c r="AA11" s="63"/>
    </row>
    <row r="12">
      <c r="A12" s="68"/>
      <c r="B12" s="126" t="s">
        <v>74</v>
      </c>
      <c r="C12" s="128">
        <v>92.0</v>
      </c>
      <c r="D12" s="118"/>
      <c r="E12" s="160"/>
      <c r="F12" s="118"/>
      <c r="G12" s="118"/>
      <c r="H12" s="118"/>
      <c r="L12" s="139"/>
      <c r="M12" s="161"/>
      <c r="N12" s="160"/>
      <c r="O12" s="160"/>
      <c r="P12" s="63"/>
      <c r="Q12" s="63"/>
      <c r="S12" s="63"/>
      <c r="T12" s="63"/>
      <c r="U12" s="63"/>
      <c r="W12" s="63"/>
      <c r="X12" s="63"/>
      <c r="Y12" s="63"/>
      <c r="AA12" s="63"/>
    </row>
    <row r="13">
      <c r="A13" s="63"/>
      <c r="B13" s="63"/>
      <c r="C13" s="118"/>
      <c r="D13" s="165"/>
      <c r="E13" s="133"/>
      <c r="F13" s="82"/>
      <c r="G13" s="118"/>
      <c r="H13" s="165"/>
      <c r="I13" s="139"/>
      <c r="J13" s="139"/>
      <c r="K13" s="139"/>
      <c r="L13" s="139"/>
      <c r="M13" s="119">
        <v>11.0</v>
      </c>
      <c r="N13" s="120" t="s">
        <v>10</v>
      </c>
      <c r="O13" s="121">
        <v>212.0</v>
      </c>
      <c r="P13" s="134"/>
      <c r="Q13" s="134"/>
      <c r="R13" s="134"/>
      <c r="S13" s="134"/>
      <c r="T13" s="134"/>
      <c r="U13" s="63"/>
      <c r="W13" s="63"/>
      <c r="X13" s="63"/>
      <c r="Y13" s="139"/>
      <c r="AA13" s="63"/>
    </row>
    <row r="14">
      <c r="A14" s="63"/>
      <c r="B14" s="118"/>
      <c r="C14" s="118"/>
      <c r="D14" s="165"/>
      <c r="E14" s="133"/>
      <c r="F14" s="82"/>
      <c r="G14" s="118"/>
      <c r="H14" s="165"/>
      <c r="I14" s="139"/>
      <c r="J14" s="139"/>
      <c r="K14" s="139"/>
      <c r="M14" s="65"/>
      <c r="N14" s="173" t="s">
        <v>153</v>
      </c>
      <c r="O14" s="174"/>
      <c r="P14" s="63"/>
      <c r="S14" s="118"/>
      <c r="T14" s="118"/>
      <c r="U14" s="131"/>
      <c r="W14" s="118"/>
      <c r="X14" s="118"/>
      <c r="AA14" s="118"/>
    </row>
    <row r="15">
      <c r="A15" s="63"/>
      <c r="B15" s="118"/>
      <c r="C15" s="118"/>
      <c r="D15" s="165"/>
      <c r="E15" s="133"/>
      <c r="F15" s="82"/>
      <c r="G15" s="118"/>
      <c r="H15" s="165"/>
      <c r="I15" s="139"/>
      <c r="J15" s="139"/>
      <c r="K15" s="139"/>
      <c r="M15" s="68"/>
      <c r="N15" s="126" t="s">
        <v>31</v>
      </c>
      <c r="O15" s="132">
        <v>158.0</v>
      </c>
      <c r="P15" s="63"/>
      <c r="S15" s="118"/>
      <c r="T15" s="118"/>
      <c r="U15" s="143"/>
      <c r="W15" s="118"/>
      <c r="X15" s="118"/>
      <c r="AA15" s="118"/>
    </row>
    <row r="16">
      <c r="A16" s="119">
        <v>3.0</v>
      </c>
      <c r="B16" s="120" t="s">
        <v>36</v>
      </c>
      <c r="C16" s="137">
        <v>136.0</v>
      </c>
      <c r="D16" s="118"/>
      <c r="E16" s="165"/>
      <c r="F16" s="118"/>
      <c r="G16" s="118"/>
      <c r="H16" s="118"/>
      <c r="I16" s="139"/>
      <c r="J16" s="139"/>
      <c r="K16" s="139"/>
      <c r="M16" s="175"/>
      <c r="N16" s="63"/>
      <c r="O16" s="82"/>
      <c r="P16" s="63"/>
      <c r="S16" s="118"/>
      <c r="T16" s="118"/>
      <c r="U16" s="143"/>
      <c r="W16" s="118"/>
      <c r="X16" s="118"/>
      <c r="AA16" s="118"/>
    </row>
    <row r="17">
      <c r="A17" s="65"/>
      <c r="B17" s="63" t="s">
        <v>153</v>
      </c>
      <c r="C17" s="62"/>
      <c r="D17" s="118"/>
      <c r="E17" s="118"/>
      <c r="F17" s="118"/>
      <c r="G17" s="118"/>
      <c r="H17" s="118"/>
      <c r="M17" s="143"/>
      <c r="N17" s="118"/>
      <c r="O17" s="118"/>
      <c r="P17" s="63"/>
      <c r="S17" s="118"/>
      <c r="T17" s="118"/>
      <c r="U17" s="143"/>
      <c r="W17" s="118"/>
      <c r="X17" s="118"/>
      <c r="AA17" s="118"/>
    </row>
    <row r="18">
      <c r="A18" s="68"/>
      <c r="B18" s="126" t="s">
        <v>79</v>
      </c>
      <c r="C18" s="177">
        <v>170.0</v>
      </c>
      <c r="D18" s="129"/>
      <c r="E18" s="131"/>
      <c r="F18" s="118"/>
      <c r="G18" s="118"/>
      <c r="H18" s="118"/>
      <c r="M18" s="143"/>
      <c r="N18" s="118"/>
      <c r="O18" s="118"/>
      <c r="P18" s="63"/>
      <c r="S18" s="118"/>
      <c r="T18" s="118"/>
      <c r="U18" s="143"/>
      <c r="W18" s="118"/>
      <c r="X18" s="118"/>
      <c r="AA18" s="118"/>
    </row>
    <row r="19">
      <c r="A19" s="63"/>
      <c r="B19" s="63"/>
      <c r="C19" s="118"/>
      <c r="D19" s="133"/>
      <c r="E19" s="119">
        <v>6.0</v>
      </c>
      <c r="F19" s="120" t="s">
        <v>79</v>
      </c>
      <c r="G19" s="137">
        <v>182.0</v>
      </c>
      <c r="H19" s="134"/>
      <c r="I19" s="134"/>
      <c r="J19" s="134"/>
      <c r="K19" s="134"/>
      <c r="L19" s="134"/>
      <c r="M19" s="152"/>
      <c r="N19" s="118"/>
      <c r="O19" s="118"/>
      <c r="P19" s="118"/>
      <c r="S19" s="118"/>
      <c r="T19" s="118"/>
      <c r="U19" s="143"/>
      <c r="X19" s="118"/>
      <c r="AA19" s="118"/>
    </row>
    <row r="20">
      <c r="A20" s="63"/>
      <c r="B20" s="118"/>
      <c r="C20" s="118"/>
      <c r="D20" s="133"/>
      <c r="E20" s="65"/>
      <c r="F20" s="63" t="s">
        <v>153</v>
      </c>
      <c r="G20" s="62"/>
      <c r="H20" s="133"/>
      <c r="I20" s="118"/>
      <c r="J20" s="118"/>
      <c r="K20" s="118"/>
      <c r="L20" s="118"/>
      <c r="N20" s="118"/>
      <c r="S20" s="118"/>
      <c r="T20" s="118"/>
      <c r="U20" s="143"/>
      <c r="X20" s="178"/>
      <c r="AA20" s="118"/>
    </row>
    <row r="21">
      <c r="A21" s="63"/>
      <c r="B21" s="118"/>
      <c r="C21" s="118"/>
      <c r="D21" s="133"/>
      <c r="E21" s="68"/>
      <c r="F21" s="103" t="s">
        <v>31</v>
      </c>
      <c r="G21" s="144">
        <v>186.0</v>
      </c>
      <c r="H21" s="133"/>
      <c r="I21" s="118"/>
      <c r="J21" s="118"/>
      <c r="K21" s="118"/>
      <c r="L21" s="118"/>
      <c r="N21" s="118"/>
      <c r="S21" s="118"/>
      <c r="T21" s="118"/>
      <c r="U21" s="143"/>
      <c r="X21" s="178"/>
      <c r="AA21" s="118"/>
    </row>
    <row r="22">
      <c r="A22" s="119">
        <v>4.0</v>
      </c>
      <c r="B22" s="120" t="s">
        <v>31</v>
      </c>
      <c r="C22" s="121">
        <v>266.0</v>
      </c>
      <c r="D22" s="150"/>
      <c r="E22" s="152"/>
      <c r="F22" s="118"/>
      <c r="G22" s="118"/>
      <c r="H22" s="118"/>
      <c r="I22" s="118"/>
      <c r="J22" s="118"/>
      <c r="K22" s="118"/>
      <c r="L22" s="118"/>
      <c r="N22" s="118"/>
      <c r="S22" s="118"/>
      <c r="T22" s="118"/>
      <c r="U22" s="119">
        <v>14.0</v>
      </c>
      <c r="V22" s="120" t="s">
        <v>10</v>
      </c>
      <c r="W22" s="137">
        <v>128.0</v>
      </c>
      <c r="X22" s="134"/>
      <c r="Y22" s="119">
        <v>15.0</v>
      </c>
      <c r="Z22" s="120" t="s">
        <v>10</v>
      </c>
      <c r="AA22" s="185" t="s">
        <v>93</v>
      </c>
    </row>
    <row r="23">
      <c r="A23" s="65"/>
      <c r="B23" s="173" t="s">
        <v>214</v>
      </c>
      <c r="C23" s="174"/>
      <c r="D23" s="118"/>
      <c r="E23" s="118"/>
      <c r="F23" s="118"/>
      <c r="G23" s="118"/>
      <c r="H23" s="118"/>
      <c r="I23" s="118"/>
      <c r="J23" s="118"/>
      <c r="K23" s="118"/>
      <c r="L23" s="118"/>
      <c r="N23" s="118"/>
      <c r="S23" s="118"/>
      <c r="T23" s="118"/>
      <c r="U23" s="65"/>
      <c r="V23" s="173" t="s">
        <v>153</v>
      </c>
      <c r="W23" s="174"/>
      <c r="Y23" s="65"/>
      <c r="Z23" s="173" t="s">
        <v>153</v>
      </c>
      <c r="AA23" s="174"/>
    </row>
    <row r="24">
      <c r="A24" s="68"/>
      <c r="B24" s="103" t="s">
        <v>75</v>
      </c>
      <c r="C24" s="132">
        <v>56.0</v>
      </c>
      <c r="D24" s="118"/>
      <c r="E24" s="118"/>
      <c r="F24" s="118"/>
      <c r="G24" s="118"/>
      <c r="H24" s="118"/>
      <c r="I24" s="118"/>
      <c r="J24" s="118"/>
      <c r="K24" s="118"/>
      <c r="L24" s="118"/>
      <c r="N24" s="118"/>
      <c r="S24" s="118"/>
      <c r="T24" s="118"/>
      <c r="U24" s="68"/>
      <c r="V24" s="103" t="s">
        <v>31</v>
      </c>
      <c r="W24" s="144">
        <v>172.0</v>
      </c>
      <c r="Y24" s="68"/>
      <c r="Z24" s="103" t="s">
        <v>31</v>
      </c>
      <c r="AA24" s="187" t="s">
        <v>93</v>
      </c>
    </row>
    <row r="25">
      <c r="A25" s="63"/>
      <c r="B25" s="63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T25" s="139"/>
      <c r="U25" s="143"/>
      <c r="X25" s="139"/>
      <c r="Y25" s="139"/>
      <c r="Z25" s="139"/>
      <c r="AA25" s="139"/>
    </row>
    <row r="26">
      <c r="A26" s="63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63"/>
      <c r="O26" s="139"/>
      <c r="P26" s="139"/>
      <c r="Q26" s="139"/>
      <c r="T26" s="139"/>
      <c r="U26" s="143"/>
      <c r="X26" s="139"/>
      <c r="Y26" s="139"/>
      <c r="Z26" s="139"/>
      <c r="AA26" s="139"/>
    </row>
    <row r="27">
      <c r="A27" s="133"/>
      <c r="B27" s="63"/>
      <c r="C27" s="82"/>
      <c r="D27" s="118"/>
      <c r="E27" s="119">
        <v>7.0</v>
      </c>
      <c r="F27" s="120" t="s">
        <v>62</v>
      </c>
      <c r="G27" s="121">
        <v>132.0</v>
      </c>
      <c r="H27" s="118"/>
      <c r="I27" s="118"/>
      <c r="J27" s="118"/>
      <c r="K27" s="118"/>
      <c r="L27" s="118"/>
      <c r="M27" s="118"/>
      <c r="N27" s="118"/>
      <c r="R27" s="118"/>
      <c r="S27" s="118"/>
      <c r="T27" s="118"/>
      <c r="U27" s="143"/>
      <c r="V27" s="118"/>
      <c r="W27" s="118"/>
      <c r="X27" s="118"/>
      <c r="Z27" s="118"/>
      <c r="AA27" s="118"/>
    </row>
    <row r="28">
      <c r="B28" s="63"/>
      <c r="C28" s="82"/>
      <c r="D28" s="118"/>
      <c r="E28" s="65"/>
      <c r="F28" s="173" t="s">
        <v>133</v>
      </c>
      <c r="G28" s="174"/>
      <c r="H28" s="118"/>
      <c r="I28" s="118"/>
      <c r="J28" s="118"/>
      <c r="K28" s="118"/>
      <c r="L28" s="118"/>
      <c r="M28" s="118"/>
      <c r="N28" s="118"/>
      <c r="R28" s="118"/>
      <c r="S28" s="118"/>
      <c r="T28" s="118"/>
      <c r="U28" s="143"/>
      <c r="V28" s="118"/>
      <c r="W28" s="118"/>
      <c r="X28" s="118"/>
      <c r="Z28" s="118"/>
      <c r="AA28" s="118"/>
    </row>
    <row r="29">
      <c r="B29" s="63"/>
      <c r="C29" s="82"/>
      <c r="D29" s="118"/>
      <c r="E29" s="68"/>
      <c r="F29" s="103" t="s">
        <v>75</v>
      </c>
      <c r="G29" s="132">
        <v>106.0</v>
      </c>
      <c r="H29" s="129"/>
      <c r="I29" s="131"/>
      <c r="J29" s="118"/>
      <c r="K29" s="118"/>
      <c r="L29" s="118"/>
      <c r="M29" s="118"/>
      <c r="N29" s="118"/>
      <c r="R29" s="118"/>
      <c r="S29" s="118"/>
      <c r="T29" s="118"/>
      <c r="U29" s="143"/>
      <c r="V29" s="118"/>
      <c r="W29" s="118"/>
      <c r="X29" s="118"/>
      <c r="Z29" s="118"/>
      <c r="AA29" s="118"/>
    </row>
    <row r="30">
      <c r="A30" s="63"/>
      <c r="B30" s="118"/>
      <c r="C30" s="118"/>
      <c r="D30" s="118"/>
      <c r="E30" s="63"/>
      <c r="F30" s="118"/>
      <c r="G30" s="118"/>
      <c r="H30" s="118"/>
      <c r="I30" s="119">
        <v>9.0</v>
      </c>
      <c r="J30" s="120" t="s">
        <v>62</v>
      </c>
      <c r="K30" s="137">
        <v>90.0</v>
      </c>
      <c r="L30" s="118"/>
      <c r="M30" s="118"/>
      <c r="N30" s="118"/>
      <c r="R30" s="118"/>
      <c r="S30" s="118"/>
      <c r="T30" s="118"/>
      <c r="U30" s="143"/>
      <c r="V30" s="118"/>
      <c r="W30" s="118"/>
      <c r="X30" s="118"/>
      <c r="Z30" s="118"/>
      <c r="AA30" s="118"/>
    </row>
    <row r="31">
      <c r="A31" s="63"/>
      <c r="B31" s="118"/>
      <c r="C31" s="118"/>
      <c r="E31" s="139"/>
      <c r="I31" s="65"/>
      <c r="J31" s="173" t="s">
        <v>133</v>
      </c>
      <c r="K31" s="174"/>
      <c r="L31" s="118"/>
      <c r="M31" s="118"/>
      <c r="N31" s="118"/>
      <c r="O31" s="118"/>
      <c r="P31" s="118"/>
      <c r="Q31" s="196"/>
      <c r="R31" s="63"/>
      <c r="S31" s="82"/>
      <c r="T31" s="133"/>
      <c r="U31" s="197"/>
      <c r="V31" s="118"/>
      <c r="W31" s="118"/>
      <c r="X31" s="118"/>
      <c r="Z31" s="118"/>
      <c r="AA31" s="118"/>
    </row>
    <row r="32">
      <c r="A32" s="63"/>
      <c r="B32" s="118"/>
      <c r="C32" s="118"/>
      <c r="E32" s="139"/>
      <c r="I32" s="68"/>
      <c r="J32" s="103" t="s">
        <v>79</v>
      </c>
      <c r="K32" s="144">
        <v>262.0</v>
      </c>
      <c r="L32" s="129"/>
      <c r="M32" s="131"/>
      <c r="N32" s="118"/>
      <c r="O32" s="118"/>
      <c r="P32" s="118"/>
      <c r="Q32" s="119">
        <v>13.0</v>
      </c>
      <c r="R32" s="120" t="s">
        <v>31</v>
      </c>
      <c r="S32" s="121">
        <v>136.0</v>
      </c>
      <c r="T32" s="134"/>
      <c r="U32" s="188"/>
      <c r="V32" s="118"/>
      <c r="W32" s="118"/>
      <c r="X32" s="118"/>
      <c r="Z32" s="118"/>
      <c r="AA32" s="118"/>
    </row>
    <row r="33">
      <c r="A33" s="133"/>
      <c r="B33" s="63"/>
      <c r="C33" s="82"/>
      <c r="E33" s="139"/>
      <c r="F33" s="139"/>
      <c r="G33" s="139"/>
      <c r="J33" s="118"/>
      <c r="K33" s="118"/>
      <c r="L33" s="118"/>
      <c r="M33" s="143"/>
      <c r="N33" s="118"/>
      <c r="O33" s="118"/>
      <c r="P33" s="118"/>
      <c r="Q33" s="65"/>
      <c r="R33" s="173" t="s">
        <v>133</v>
      </c>
      <c r="S33" s="174"/>
      <c r="T33" s="118"/>
      <c r="V33" s="118"/>
      <c r="W33" s="118"/>
      <c r="X33" s="118"/>
      <c r="Z33" s="118"/>
      <c r="AA33" s="118"/>
    </row>
    <row r="34">
      <c r="A34" s="133"/>
      <c r="B34" s="63"/>
      <c r="C34" s="82"/>
      <c r="E34" s="139"/>
      <c r="F34" s="139"/>
      <c r="G34" s="139"/>
      <c r="J34" s="118"/>
      <c r="K34" s="118"/>
      <c r="L34" s="118"/>
      <c r="M34" s="143"/>
      <c r="N34" s="118"/>
      <c r="O34" s="118"/>
      <c r="P34" s="118"/>
      <c r="Q34" s="68"/>
      <c r="R34" s="103" t="s">
        <v>79</v>
      </c>
      <c r="S34" s="132">
        <v>134.0</v>
      </c>
      <c r="T34" s="118"/>
      <c r="V34" s="118"/>
      <c r="W34" s="118"/>
      <c r="X34" s="118"/>
      <c r="Z34" s="118"/>
      <c r="AA34" s="118"/>
    </row>
    <row r="35">
      <c r="B35" s="63"/>
      <c r="C35" s="82"/>
      <c r="E35" s="139"/>
      <c r="F35" s="139"/>
      <c r="G35" s="139"/>
      <c r="I35" s="118"/>
      <c r="J35" s="118"/>
      <c r="K35" s="118"/>
      <c r="L35" s="118"/>
      <c r="M35" s="143"/>
      <c r="N35" s="118"/>
      <c r="O35" s="118"/>
      <c r="P35" s="118"/>
      <c r="Q35" s="143"/>
      <c r="R35" s="118"/>
      <c r="S35" s="118"/>
      <c r="T35" s="118"/>
      <c r="V35" s="118"/>
      <c r="W35" s="118"/>
      <c r="X35" s="118"/>
      <c r="Z35" s="118"/>
      <c r="AA35" s="118"/>
    </row>
    <row r="36">
      <c r="A36" s="63"/>
      <c r="B36" s="118"/>
      <c r="C36" s="118"/>
      <c r="E36" s="139"/>
      <c r="I36" s="133"/>
      <c r="J36" s="118"/>
      <c r="K36" s="118"/>
      <c r="L36" s="118"/>
      <c r="M36" s="119">
        <v>12.0</v>
      </c>
      <c r="N36" s="120" t="s">
        <v>79</v>
      </c>
      <c r="O36" s="121">
        <v>220.0</v>
      </c>
      <c r="P36" s="193"/>
      <c r="Q36" s="188"/>
      <c r="R36" s="63"/>
      <c r="S36" s="63"/>
      <c r="T36" s="63"/>
      <c r="U36" s="139"/>
      <c r="V36" s="63"/>
      <c r="W36" s="63"/>
      <c r="X36" s="63"/>
      <c r="Y36" s="139"/>
      <c r="Z36" s="63"/>
      <c r="AA36" s="63"/>
    </row>
    <row r="37">
      <c r="A37" s="63"/>
      <c r="B37" s="118"/>
      <c r="C37" s="118"/>
      <c r="E37" s="139"/>
      <c r="F37" s="139"/>
      <c r="G37" s="139"/>
      <c r="I37" s="118"/>
      <c r="J37" s="118"/>
      <c r="K37" s="118"/>
      <c r="M37" s="65"/>
      <c r="N37" s="173" t="s">
        <v>133</v>
      </c>
      <c r="O37" s="174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</row>
    <row r="38">
      <c r="A38" s="63"/>
      <c r="B38" s="118"/>
      <c r="C38" s="118"/>
      <c r="E38" s="139"/>
      <c r="F38" s="139"/>
      <c r="G38" s="139"/>
      <c r="I38" s="118"/>
      <c r="J38" s="118"/>
      <c r="K38" s="118"/>
      <c r="M38" s="68"/>
      <c r="N38" s="103" t="s">
        <v>27</v>
      </c>
      <c r="O38" s="132">
        <v>126.0</v>
      </c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>
      <c r="A39" s="133"/>
      <c r="B39" s="63"/>
      <c r="C39" s="82"/>
      <c r="E39" s="139"/>
      <c r="F39" s="139"/>
      <c r="G39" s="139"/>
      <c r="J39" s="118"/>
      <c r="K39" s="118"/>
      <c r="M39" s="143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</row>
    <row r="40">
      <c r="B40" s="63"/>
      <c r="C40" s="82"/>
      <c r="M40" s="143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</row>
    <row r="41">
      <c r="A41" s="63"/>
      <c r="B41" s="118"/>
      <c r="C41" s="118"/>
      <c r="E41" s="63"/>
      <c r="F41" s="118"/>
      <c r="G41" s="118"/>
      <c r="H41" s="118"/>
      <c r="I41" s="119">
        <v>10.0</v>
      </c>
      <c r="J41" s="120" t="s">
        <v>36</v>
      </c>
      <c r="K41" s="137">
        <v>118.0</v>
      </c>
      <c r="L41" s="193"/>
      <c r="M41" s="152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</row>
    <row r="42">
      <c r="A42" s="63"/>
      <c r="B42" s="118"/>
      <c r="C42" s="118"/>
      <c r="E42" s="63"/>
      <c r="F42" s="118"/>
      <c r="G42" s="118"/>
      <c r="H42" s="118"/>
      <c r="I42" s="65"/>
      <c r="J42" s="173" t="s">
        <v>214</v>
      </c>
      <c r="K42" s="174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</row>
    <row r="43">
      <c r="A43" s="63"/>
      <c r="B43" s="118"/>
      <c r="C43" s="118"/>
      <c r="E43" s="63"/>
      <c r="F43" s="118"/>
      <c r="G43" s="118"/>
      <c r="H43" s="118"/>
      <c r="I43" s="68"/>
      <c r="J43" s="103" t="s">
        <v>27</v>
      </c>
      <c r="K43" s="144">
        <v>220.0</v>
      </c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</row>
    <row r="44">
      <c r="A44" s="133"/>
      <c r="B44" s="63"/>
      <c r="C44" s="82"/>
      <c r="E44" s="119">
        <v>8.0</v>
      </c>
      <c r="F44" s="120" t="s">
        <v>74</v>
      </c>
      <c r="G44" s="137">
        <v>110.0</v>
      </c>
      <c r="H44" s="150"/>
      <c r="I44" s="152"/>
      <c r="J44" s="118"/>
      <c r="K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</row>
    <row r="45">
      <c r="B45" s="63"/>
      <c r="C45" s="82"/>
      <c r="E45" s="65"/>
      <c r="F45" s="173" t="s">
        <v>214</v>
      </c>
      <c r="G45" s="174"/>
      <c r="H45" s="118"/>
      <c r="I45" s="118"/>
      <c r="J45" s="118"/>
      <c r="K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</row>
    <row r="46">
      <c r="B46" s="63"/>
      <c r="C46" s="82"/>
      <c r="E46" s="68"/>
      <c r="F46" s="103" t="s">
        <v>36</v>
      </c>
      <c r="G46" s="144">
        <v>222.0</v>
      </c>
      <c r="H46" s="118"/>
      <c r="I46" s="118"/>
      <c r="J46" s="118"/>
      <c r="K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</row>
  </sheetData>
  <mergeCells count="42">
    <mergeCell ref="A1:S1"/>
    <mergeCell ref="E2:G2"/>
    <mergeCell ref="I2:K2"/>
    <mergeCell ref="M2:O2"/>
    <mergeCell ref="Q2:S2"/>
    <mergeCell ref="U2:W2"/>
    <mergeCell ref="Y2:AA2"/>
    <mergeCell ref="M13:M15"/>
    <mergeCell ref="N14:O14"/>
    <mergeCell ref="U22:U24"/>
    <mergeCell ref="Y22:Y24"/>
    <mergeCell ref="V23:W23"/>
    <mergeCell ref="Z23:AA23"/>
    <mergeCell ref="A2:C2"/>
    <mergeCell ref="A4:A6"/>
    <mergeCell ref="B5:C5"/>
    <mergeCell ref="E7:E9"/>
    <mergeCell ref="F8:G8"/>
    <mergeCell ref="A10:A12"/>
    <mergeCell ref="B11:C11"/>
    <mergeCell ref="A34:A35"/>
    <mergeCell ref="A39:A40"/>
    <mergeCell ref="A44:A46"/>
    <mergeCell ref="E44:E46"/>
    <mergeCell ref="F45:G45"/>
    <mergeCell ref="A16:A18"/>
    <mergeCell ref="B17:C17"/>
    <mergeCell ref="E19:E21"/>
    <mergeCell ref="F20:G20"/>
    <mergeCell ref="A22:A24"/>
    <mergeCell ref="B23:C23"/>
    <mergeCell ref="A27:A29"/>
    <mergeCell ref="I30:I32"/>
    <mergeCell ref="I41:I43"/>
    <mergeCell ref="J42:K42"/>
    <mergeCell ref="E27:E29"/>
    <mergeCell ref="F28:G28"/>
    <mergeCell ref="J31:K31"/>
    <mergeCell ref="Q32:Q34"/>
    <mergeCell ref="R33:S33"/>
    <mergeCell ref="M36:M38"/>
    <mergeCell ref="N37:O37"/>
  </mergeCells>
  <conditionalFormatting sqref="A1:C46 D1:H30 I1:L7 M1:M19 N1:N46 O1:P25 Q1:R13 S1:S46 T1:T24 U1:U32 V1:W46 X1:X24 Y1:Y12 Z1:AA24 I14:I15 I19:I32 J19:K46 L19:L36 Y20:Y24 M25:M46 Q25 R25:R46 Y26 T27:T46 X27:X46 Z27:AA46 O31:Q46 E35 I35:I38 U37:U46 Y37:Y46 E39:E46 F40:I46">
    <cfRule type="containsText" dxfId="5" priority="1" operator="containsText" text="Player">
      <formula>NOT(ISERROR(SEARCH(("Player"),(A1))))</formula>
    </cfRule>
  </conditionalFormatting>
  <conditionalFormatting sqref="A1:C46 D1:H30 I1:L7 M1:M19 N1:N46 O1:P25 Q1:R13 S1:S46 T1:T24 U1:U32 V1:W46 X1:X24 Y1:Y12 Z1:AA24 I14:I15 I19:I32 J19:K46 L19:L36 Y20:Y24 M25:M46 Q25 R25:R46 Y26 T27:T46 X27:X46 Z27:AA46 O31:Q46 E35 I35:I38 U37:U46 Y37:Y46 E39:E46 F40:I46">
    <cfRule type="containsText" dxfId="5" priority="2" operator="containsText" text="Pts">
      <formula>NOT(ISERROR(SEARCH(("Pts"),(A1))))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2.63"/>
    <col customWidth="1" min="3" max="3" width="5.13"/>
    <col customWidth="1" min="4" max="4" width="8.88"/>
    <col customWidth="1" min="5" max="5" width="3.25"/>
    <col customWidth="1" min="6" max="6" width="12.63"/>
    <col customWidth="1" min="7" max="7" width="5.13"/>
    <col customWidth="1" min="8" max="8" width="8.88"/>
    <col customWidth="1" min="9" max="9" width="3.25"/>
    <col customWidth="1" min="10" max="10" width="12.63"/>
    <col customWidth="1" min="11" max="11" width="5.13"/>
    <col customWidth="1" min="12" max="12" width="8.88"/>
    <col customWidth="1" min="13" max="13" width="3.25"/>
    <col customWidth="1" min="14" max="14" width="12.63"/>
    <col customWidth="1" min="15" max="15" width="5.13"/>
    <col customWidth="1" min="16" max="16" width="8.88"/>
    <col customWidth="1" min="17" max="17" width="3.25"/>
    <col customWidth="1" min="18" max="18" width="12.63"/>
    <col customWidth="1" min="19" max="19" width="5.13"/>
    <col customWidth="1" min="20" max="20" width="12.0"/>
    <col customWidth="1" min="21" max="21" width="3.25"/>
    <col customWidth="1" min="22" max="22" width="12.63"/>
    <col customWidth="1" min="23" max="23" width="5.13"/>
    <col customWidth="1" min="24" max="25" width="6.0"/>
    <col customWidth="1" min="26" max="26" width="12.63"/>
    <col customWidth="1" min="27" max="27" width="5.13"/>
  </cols>
  <sheetData>
    <row r="1" ht="48.75" customHeight="1">
      <c r="A1" s="116" t="s">
        <v>95</v>
      </c>
      <c r="T1" s="116"/>
      <c r="U1" s="116"/>
      <c r="V1" s="116"/>
      <c r="W1" s="116"/>
      <c r="X1" s="116"/>
      <c r="Y1" s="116"/>
      <c r="Z1" s="116"/>
      <c r="AA1" s="116"/>
    </row>
    <row r="2">
      <c r="A2" s="117" t="s">
        <v>97</v>
      </c>
      <c r="B2" s="20"/>
      <c r="C2" s="20"/>
      <c r="D2" s="117"/>
      <c r="E2" s="117" t="s">
        <v>99</v>
      </c>
      <c r="F2" s="20"/>
      <c r="G2" s="20"/>
      <c r="H2" s="117"/>
      <c r="I2" s="117" t="s">
        <v>101</v>
      </c>
      <c r="J2" s="20"/>
      <c r="K2" s="20"/>
      <c r="L2" s="117"/>
      <c r="M2" s="117" t="s">
        <v>103</v>
      </c>
      <c r="N2" s="20"/>
      <c r="O2" s="20"/>
      <c r="P2" s="117"/>
      <c r="Q2" s="117" t="s">
        <v>105</v>
      </c>
      <c r="R2" s="20"/>
      <c r="S2" s="20"/>
      <c r="T2" s="117"/>
      <c r="U2" s="117" t="s">
        <v>108</v>
      </c>
      <c r="V2" s="20"/>
      <c r="W2" s="20"/>
      <c r="X2" s="117"/>
      <c r="Y2" s="117" t="s">
        <v>109</v>
      </c>
      <c r="Z2" s="20"/>
      <c r="AA2" s="20"/>
    </row>
    <row r="3">
      <c r="A3" s="118"/>
      <c r="B3" s="118"/>
      <c r="C3" s="118"/>
      <c r="D3" s="63"/>
      <c r="E3" s="118"/>
      <c r="F3" s="118"/>
      <c r="G3" s="118"/>
      <c r="H3" s="118"/>
      <c r="I3" s="118"/>
      <c r="J3" s="118"/>
      <c r="K3" s="63"/>
      <c r="L3" s="118"/>
      <c r="M3" s="118"/>
      <c r="N3" s="118"/>
      <c r="O3" s="118"/>
      <c r="P3" s="63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</row>
    <row r="4">
      <c r="A4" s="124">
        <v>1.0</v>
      </c>
      <c r="B4" s="120">
        <v>1.0</v>
      </c>
      <c r="C4" s="121"/>
      <c r="D4" s="118"/>
      <c r="E4" s="118"/>
      <c r="F4" s="118"/>
      <c r="G4" s="118"/>
      <c r="H4" s="118"/>
      <c r="I4" s="118"/>
      <c r="J4" s="118"/>
      <c r="K4" s="118"/>
      <c r="L4" s="63"/>
      <c r="M4" s="63"/>
      <c r="N4" s="63"/>
      <c r="S4" s="118"/>
      <c r="T4" s="118"/>
      <c r="W4" s="118"/>
      <c r="AA4" s="118"/>
    </row>
    <row r="5">
      <c r="A5" s="68"/>
      <c r="B5" s="103">
        <v>8.0</v>
      </c>
      <c r="C5" s="132"/>
      <c r="D5" s="129"/>
      <c r="E5" s="131"/>
      <c r="F5" s="118"/>
      <c r="G5" s="118"/>
      <c r="H5" s="118"/>
      <c r="I5" s="118"/>
      <c r="J5" s="118"/>
      <c r="K5" s="118"/>
      <c r="L5" s="63"/>
      <c r="M5" s="118"/>
      <c r="N5" s="63"/>
      <c r="S5" s="118"/>
      <c r="T5" s="118"/>
      <c r="W5" s="118"/>
      <c r="AA5" s="118"/>
    </row>
    <row r="6">
      <c r="A6" s="63"/>
      <c r="B6" s="118"/>
      <c r="C6" s="118"/>
      <c r="D6" s="133"/>
      <c r="E6" s="124">
        <v>5.0</v>
      </c>
      <c r="F6" s="120" t="s">
        <v>119</v>
      </c>
      <c r="G6" s="137"/>
      <c r="H6" s="134"/>
      <c r="I6" s="134"/>
      <c r="J6" s="134"/>
      <c r="K6" s="134"/>
      <c r="L6" s="134"/>
      <c r="M6" s="133"/>
      <c r="N6" s="63"/>
      <c r="S6" s="118"/>
      <c r="T6" s="118"/>
      <c r="W6" s="118"/>
      <c r="AA6" s="118"/>
    </row>
    <row r="7">
      <c r="A7" s="63"/>
      <c r="B7" s="118"/>
      <c r="C7" s="118"/>
      <c r="D7" s="133"/>
      <c r="E7" s="68"/>
      <c r="F7" s="103" t="s">
        <v>124</v>
      </c>
      <c r="G7" s="144"/>
      <c r="H7" s="133"/>
      <c r="L7" s="139"/>
      <c r="M7" s="131"/>
      <c r="N7" s="118"/>
      <c r="O7" s="118"/>
      <c r="P7" s="63"/>
      <c r="Q7" s="118"/>
      <c r="S7" s="118"/>
      <c r="T7" s="118"/>
      <c r="U7" s="118"/>
      <c r="W7" s="118"/>
      <c r="X7" s="118"/>
      <c r="Y7" s="118"/>
      <c r="AA7" s="118"/>
    </row>
    <row r="8">
      <c r="A8" s="124">
        <v>2.0</v>
      </c>
      <c r="B8" s="120">
        <v>4.0</v>
      </c>
      <c r="C8" s="121"/>
      <c r="D8" s="150"/>
      <c r="E8" s="152"/>
      <c r="F8" s="118"/>
      <c r="G8" s="118"/>
      <c r="H8" s="133"/>
      <c r="L8" s="154"/>
      <c r="M8" s="143"/>
      <c r="N8" s="118"/>
      <c r="O8" s="118"/>
      <c r="P8" s="156"/>
      <c r="Q8" s="118"/>
      <c r="S8" s="118"/>
      <c r="T8" s="118"/>
      <c r="U8" s="118"/>
      <c r="W8" s="118"/>
      <c r="X8" s="118"/>
      <c r="Y8" s="118"/>
      <c r="AA8" s="118"/>
    </row>
    <row r="9">
      <c r="A9" s="68"/>
      <c r="B9" s="103">
        <v>5.0</v>
      </c>
      <c r="C9" s="132"/>
      <c r="D9" s="118"/>
      <c r="E9" s="160"/>
      <c r="F9" s="118"/>
      <c r="G9" s="118"/>
      <c r="H9" s="118"/>
      <c r="L9" s="139"/>
      <c r="M9" s="161"/>
      <c r="N9" s="160"/>
      <c r="O9" s="160"/>
      <c r="P9" s="63"/>
      <c r="Q9" s="63"/>
      <c r="S9" s="63"/>
      <c r="T9" s="63"/>
      <c r="U9" s="63"/>
      <c r="W9" s="63"/>
      <c r="X9" s="63"/>
      <c r="Y9" s="63"/>
      <c r="AA9" s="63"/>
    </row>
    <row r="10">
      <c r="A10" s="63"/>
      <c r="B10" s="118"/>
      <c r="C10" s="118"/>
      <c r="D10" s="165"/>
      <c r="E10" s="133"/>
      <c r="F10" s="82"/>
      <c r="G10" s="118"/>
      <c r="H10" s="165"/>
      <c r="I10" s="139"/>
      <c r="J10" s="139"/>
      <c r="K10" s="139"/>
      <c r="L10" s="139"/>
      <c r="M10" s="124">
        <v>11.0</v>
      </c>
      <c r="N10" s="120" t="s">
        <v>143</v>
      </c>
      <c r="O10" s="121"/>
      <c r="P10" s="134"/>
      <c r="Q10" s="134"/>
      <c r="R10" s="134"/>
      <c r="S10" s="134"/>
      <c r="T10" s="134"/>
      <c r="U10" s="63"/>
      <c r="W10" s="63"/>
      <c r="X10" s="63"/>
      <c r="Y10" s="139"/>
      <c r="AA10" s="63"/>
    </row>
    <row r="11">
      <c r="A11" s="63"/>
      <c r="B11" s="118"/>
      <c r="C11" s="118"/>
      <c r="D11" s="165"/>
      <c r="E11" s="133"/>
      <c r="F11" s="82"/>
      <c r="G11" s="118"/>
      <c r="H11" s="165"/>
      <c r="I11" s="139"/>
      <c r="J11" s="139"/>
      <c r="K11" s="139"/>
      <c r="M11" s="68"/>
      <c r="N11" s="126" t="s">
        <v>151</v>
      </c>
      <c r="O11" s="132"/>
      <c r="P11" s="63"/>
      <c r="S11" s="118"/>
      <c r="T11" s="118"/>
      <c r="U11" s="131"/>
      <c r="W11" s="118"/>
      <c r="X11" s="118"/>
      <c r="AA11" s="118"/>
    </row>
    <row r="12">
      <c r="A12" s="124">
        <v>3.0</v>
      </c>
      <c r="B12" s="120">
        <v>3.0</v>
      </c>
      <c r="C12" s="121"/>
      <c r="D12" s="118"/>
      <c r="E12" s="165"/>
      <c r="F12" s="118"/>
      <c r="G12" s="118"/>
      <c r="H12" s="118"/>
      <c r="I12" s="139"/>
      <c r="J12" s="139"/>
      <c r="K12" s="139"/>
      <c r="M12" s="175"/>
      <c r="N12" s="63"/>
      <c r="O12" s="82"/>
      <c r="P12" s="63"/>
      <c r="S12" s="118"/>
      <c r="T12" s="118"/>
      <c r="U12" s="143"/>
      <c r="W12" s="118"/>
      <c r="X12" s="118"/>
      <c r="AA12" s="118"/>
    </row>
    <row r="13">
      <c r="A13" s="68"/>
      <c r="B13" s="103">
        <v>6.0</v>
      </c>
      <c r="C13" s="132"/>
      <c r="D13" s="129"/>
      <c r="E13" s="131"/>
      <c r="F13" s="118"/>
      <c r="G13" s="118"/>
      <c r="H13" s="118"/>
      <c r="M13" s="143"/>
      <c r="N13" s="118"/>
      <c r="O13" s="118"/>
      <c r="P13" s="63"/>
      <c r="S13" s="118"/>
      <c r="T13" s="118"/>
      <c r="U13" s="143"/>
      <c r="W13" s="118"/>
      <c r="X13" s="118"/>
      <c r="AA13" s="118"/>
    </row>
    <row r="14">
      <c r="A14" s="63"/>
      <c r="B14" s="118"/>
      <c r="C14" s="118"/>
      <c r="D14" s="133"/>
      <c r="E14" s="124">
        <v>6.0</v>
      </c>
      <c r="F14" s="120" t="s">
        <v>173</v>
      </c>
      <c r="G14" s="121"/>
      <c r="H14" s="134"/>
      <c r="I14" s="134"/>
      <c r="J14" s="134"/>
      <c r="K14" s="134"/>
      <c r="L14" s="134"/>
      <c r="M14" s="152"/>
      <c r="N14" s="118"/>
      <c r="O14" s="118"/>
      <c r="P14" s="118"/>
      <c r="S14" s="118"/>
      <c r="T14" s="118"/>
      <c r="U14" s="143"/>
      <c r="X14" s="118"/>
      <c r="AA14" s="118"/>
    </row>
    <row r="15">
      <c r="A15" s="63"/>
      <c r="B15" s="118"/>
      <c r="C15" s="118"/>
      <c r="D15" s="133"/>
      <c r="E15" s="68"/>
      <c r="F15" s="103" t="s">
        <v>181</v>
      </c>
      <c r="G15" s="132"/>
      <c r="H15" s="133"/>
      <c r="I15" s="118"/>
      <c r="J15" s="118"/>
      <c r="K15" s="118"/>
      <c r="L15" s="118"/>
      <c r="N15" s="118"/>
      <c r="S15" s="118"/>
      <c r="T15" s="118"/>
      <c r="U15" s="143"/>
      <c r="X15" s="178"/>
      <c r="AA15" s="118"/>
    </row>
    <row r="16">
      <c r="A16" s="124">
        <v>4.0</v>
      </c>
      <c r="B16" s="120">
        <v>2.0</v>
      </c>
      <c r="C16" s="121"/>
      <c r="D16" s="150"/>
      <c r="E16" s="152"/>
      <c r="F16" s="118"/>
      <c r="G16" s="118"/>
      <c r="H16" s="118"/>
      <c r="I16" s="118"/>
      <c r="J16" s="118"/>
      <c r="K16" s="118"/>
      <c r="L16" s="118"/>
      <c r="N16" s="118"/>
      <c r="S16" s="118"/>
      <c r="T16" s="118"/>
      <c r="U16" s="124">
        <v>14.0</v>
      </c>
      <c r="V16" s="120" t="s">
        <v>194</v>
      </c>
      <c r="W16" s="121"/>
      <c r="X16" s="134"/>
      <c r="Y16" s="124">
        <v>15.0</v>
      </c>
      <c r="Z16" s="120" t="s">
        <v>203</v>
      </c>
      <c r="AA16" s="121"/>
    </row>
    <row r="17">
      <c r="A17" s="68"/>
      <c r="B17" s="103">
        <v>7.0</v>
      </c>
      <c r="C17" s="132"/>
      <c r="D17" s="118"/>
      <c r="E17" s="118"/>
      <c r="F17" s="118"/>
      <c r="G17" s="118"/>
      <c r="H17" s="118"/>
      <c r="I17" s="118"/>
      <c r="J17" s="118"/>
      <c r="K17" s="118"/>
      <c r="L17" s="118"/>
      <c r="N17" s="118"/>
      <c r="S17" s="118"/>
      <c r="T17" s="118"/>
      <c r="U17" s="68"/>
      <c r="V17" s="103" t="s">
        <v>205</v>
      </c>
      <c r="W17" s="132"/>
      <c r="Y17" s="68"/>
      <c r="Z17" s="103" t="s">
        <v>206</v>
      </c>
      <c r="AA17" s="132"/>
    </row>
    <row r="18">
      <c r="A18" s="63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T18" s="139"/>
      <c r="U18" s="143"/>
      <c r="X18" s="139"/>
      <c r="Y18" s="139"/>
      <c r="Z18" s="139"/>
      <c r="AA18" s="139"/>
    </row>
    <row r="19">
      <c r="A19" s="63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63"/>
      <c r="O19" s="139"/>
      <c r="P19" s="139"/>
      <c r="Q19" s="139"/>
      <c r="T19" s="139"/>
      <c r="U19" s="143"/>
      <c r="X19" s="139"/>
      <c r="Y19" s="139"/>
      <c r="Z19" s="139"/>
      <c r="AA19" s="139"/>
    </row>
    <row r="20">
      <c r="A20" s="133"/>
      <c r="B20" s="63"/>
      <c r="C20" s="82"/>
      <c r="D20" s="118"/>
      <c r="E20" s="124">
        <v>7.0</v>
      </c>
      <c r="F20" s="120" t="s">
        <v>215</v>
      </c>
      <c r="G20" s="121"/>
      <c r="H20" s="118"/>
      <c r="I20" s="118"/>
      <c r="J20" s="118"/>
      <c r="K20" s="118"/>
      <c r="L20" s="118"/>
      <c r="M20" s="118"/>
      <c r="N20" s="118"/>
      <c r="R20" s="118"/>
      <c r="S20" s="118"/>
      <c r="T20" s="118"/>
      <c r="U20" s="143"/>
      <c r="V20" s="118"/>
      <c r="W20" s="118"/>
      <c r="X20" s="118"/>
      <c r="Z20" s="118"/>
      <c r="AA20" s="118"/>
    </row>
    <row r="21">
      <c r="B21" s="63"/>
      <c r="C21" s="82"/>
      <c r="D21" s="118"/>
      <c r="E21" s="68"/>
      <c r="F21" s="103" t="s">
        <v>219</v>
      </c>
      <c r="G21" s="132"/>
      <c r="H21" s="129"/>
      <c r="I21" s="131"/>
      <c r="J21" s="118"/>
      <c r="K21" s="118"/>
      <c r="L21" s="118"/>
      <c r="M21" s="118"/>
      <c r="N21" s="118"/>
      <c r="R21" s="118"/>
      <c r="S21" s="118"/>
      <c r="T21" s="118"/>
      <c r="U21" s="143"/>
      <c r="V21" s="118"/>
      <c r="W21" s="118"/>
      <c r="X21" s="118"/>
      <c r="Z21" s="118"/>
      <c r="AA21" s="118"/>
    </row>
    <row r="22">
      <c r="A22" s="63"/>
      <c r="B22" s="118"/>
      <c r="C22" s="118"/>
      <c r="D22" s="118"/>
      <c r="E22" s="63"/>
      <c r="F22" s="118"/>
      <c r="G22" s="118"/>
      <c r="H22" s="118"/>
      <c r="I22" s="124">
        <v>9.0</v>
      </c>
      <c r="J22" s="120" t="s">
        <v>225</v>
      </c>
      <c r="K22" s="121"/>
      <c r="L22" s="118"/>
      <c r="M22" s="118"/>
      <c r="N22" s="118"/>
      <c r="R22" s="118"/>
      <c r="S22" s="118"/>
      <c r="T22" s="118"/>
      <c r="U22" s="143"/>
      <c r="V22" s="118"/>
      <c r="W22" s="118"/>
      <c r="X22" s="118"/>
      <c r="Z22" s="118"/>
      <c r="AA22" s="118"/>
    </row>
    <row r="23">
      <c r="A23" s="63"/>
      <c r="B23" s="118"/>
      <c r="C23" s="118"/>
      <c r="E23" s="139"/>
      <c r="I23" s="68"/>
      <c r="J23" s="103" t="s">
        <v>228</v>
      </c>
      <c r="K23" s="132"/>
      <c r="L23" s="129"/>
      <c r="M23" s="131"/>
      <c r="N23" s="118"/>
      <c r="O23" s="118"/>
      <c r="P23" s="118"/>
      <c r="Q23" s="124">
        <v>13.0</v>
      </c>
      <c r="R23" s="120" t="s">
        <v>232</v>
      </c>
      <c r="S23" s="121"/>
      <c r="T23" s="134"/>
      <c r="U23" s="188"/>
      <c r="V23" s="118"/>
      <c r="W23" s="118"/>
      <c r="X23" s="118"/>
      <c r="Z23" s="118"/>
      <c r="AA23" s="118"/>
    </row>
    <row r="24">
      <c r="A24" s="133"/>
      <c r="B24" s="63"/>
      <c r="C24" s="82"/>
      <c r="E24" s="139"/>
      <c r="F24" s="139"/>
      <c r="G24" s="139"/>
      <c r="J24" s="118"/>
      <c r="K24" s="118"/>
      <c r="L24" s="118"/>
      <c r="M24" s="143"/>
      <c r="N24" s="118"/>
      <c r="O24" s="118"/>
      <c r="P24" s="118"/>
      <c r="Q24" s="68"/>
      <c r="R24" s="103" t="s">
        <v>237</v>
      </c>
      <c r="S24" s="132"/>
      <c r="T24" s="118"/>
      <c r="V24" s="118"/>
      <c r="W24" s="118"/>
      <c r="X24" s="118"/>
      <c r="Z24" s="118"/>
      <c r="AA24" s="118"/>
    </row>
    <row r="25">
      <c r="B25" s="63"/>
      <c r="C25" s="82"/>
      <c r="E25" s="139"/>
      <c r="F25" s="139"/>
      <c r="G25" s="139"/>
      <c r="I25" s="118"/>
      <c r="J25" s="118"/>
      <c r="K25" s="118"/>
      <c r="L25" s="118"/>
      <c r="M25" s="143"/>
      <c r="N25" s="118"/>
      <c r="O25" s="118"/>
      <c r="P25" s="118"/>
      <c r="Q25" s="143"/>
      <c r="R25" s="118"/>
      <c r="S25" s="118"/>
      <c r="T25" s="118"/>
      <c r="V25" s="118"/>
      <c r="W25" s="118"/>
      <c r="X25" s="118"/>
      <c r="Z25" s="118"/>
      <c r="AA25" s="118"/>
    </row>
    <row r="26">
      <c r="A26" s="63"/>
      <c r="B26" s="118"/>
      <c r="C26" s="118"/>
      <c r="E26" s="139"/>
      <c r="I26" s="133"/>
      <c r="J26" s="118"/>
      <c r="K26" s="118"/>
      <c r="L26" s="118"/>
      <c r="M26" s="124">
        <v>12.0</v>
      </c>
      <c r="N26" s="120" t="s">
        <v>241</v>
      </c>
      <c r="O26" s="137"/>
      <c r="P26" s="193"/>
      <c r="Q26" s="188"/>
      <c r="R26" s="63"/>
      <c r="S26" s="63"/>
      <c r="T26" s="63"/>
      <c r="U26" s="139"/>
      <c r="V26" s="63"/>
      <c r="W26" s="63"/>
      <c r="X26" s="63"/>
      <c r="Y26" s="139"/>
      <c r="Z26" s="63"/>
      <c r="AA26" s="63"/>
    </row>
    <row r="27">
      <c r="A27" s="63"/>
      <c r="B27" s="118"/>
      <c r="C27" s="118"/>
      <c r="E27" s="139"/>
      <c r="F27" s="139"/>
      <c r="G27" s="139"/>
      <c r="I27" s="118"/>
      <c r="J27" s="118"/>
      <c r="K27" s="118"/>
      <c r="M27" s="68"/>
      <c r="N27" s="103" t="s">
        <v>246</v>
      </c>
      <c r="O27" s="144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>
      <c r="A28" s="133"/>
      <c r="B28" s="63"/>
      <c r="C28" s="82"/>
      <c r="E28" s="139"/>
      <c r="F28" s="139"/>
      <c r="G28" s="139"/>
      <c r="J28" s="118"/>
      <c r="K28" s="118"/>
      <c r="M28" s="143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</row>
    <row r="29">
      <c r="B29" s="63"/>
      <c r="C29" s="82"/>
      <c r="M29" s="143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</row>
    <row r="30">
      <c r="A30" s="63"/>
      <c r="B30" s="118"/>
      <c r="C30" s="118"/>
      <c r="E30" s="63"/>
      <c r="F30" s="118"/>
      <c r="G30" s="118"/>
      <c r="H30" s="118"/>
      <c r="I30" s="124">
        <v>10.0</v>
      </c>
      <c r="J30" s="120" t="s">
        <v>247</v>
      </c>
      <c r="K30" s="121"/>
      <c r="L30" s="193"/>
      <c r="M30" s="152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</row>
    <row r="31">
      <c r="A31" s="63"/>
      <c r="B31" s="118"/>
      <c r="C31" s="118"/>
      <c r="E31" s="63"/>
      <c r="F31" s="118"/>
      <c r="G31" s="118"/>
      <c r="H31" s="118"/>
      <c r="I31" s="68"/>
      <c r="J31" s="103" t="s">
        <v>248</v>
      </c>
      <c r="K31" s="132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</row>
    <row r="32">
      <c r="A32" s="133"/>
      <c r="B32" s="63"/>
      <c r="C32" s="82"/>
      <c r="E32" s="124">
        <v>8.0</v>
      </c>
      <c r="F32" s="120" t="s">
        <v>249</v>
      </c>
      <c r="G32" s="137"/>
      <c r="H32" s="150"/>
      <c r="I32" s="152"/>
      <c r="J32" s="118"/>
      <c r="K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</row>
    <row r="33">
      <c r="B33" s="63"/>
      <c r="C33" s="82"/>
      <c r="E33" s="68"/>
      <c r="F33" s="103" t="s">
        <v>250</v>
      </c>
      <c r="G33" s="144"/>
      <c r="H33" s="118"/>
      <c r="I33" s="118"/>
      <c r="J33" s="118"/>
      <c r="K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</row>
  </sheetData>
  <mergeCells count="27">
    <mergeCell ref="A1:S1"/>
    <mergeCell ref="E2:G2"/>
    <mergeCell ref="I2:K2"/>
    <mergeCell ref="M2:O2"/>
    <mergeCell ref="Q2:S2"/>
    <mergeCell ref="U2:W2"/>
    <mergeCell ref="Y2:AA2"/>
    <mergeCell ref="A16:A17"/>
    <mergeCell ref="U16:U17"/>
    <mergeCell ref="Y16:Y17"/>
    <mergeCell ref="E14:E15"/>
    <mergeCell ref="E20:E21"/>
    <mergeCell ref="I22:I23"/>
    <mergeCell ref="Q23:Q24"/>
    <mergeCell ref="A24:A25"/>
    <mergeCell ref="M26:M27"/>
    <mergeCell ref="A28:A29"/>
    <mergeCell ref="I30:I31"/>
    <mergeCell ref="A32:A33"/>
    <mergeCell ref="E32:E33"/>
    <mergeCell ref="A2:C2"/>
    <mergeCell ref="A4:A5"/>
    <mergeCell ref="E6:E7"/>
    <mergeCell ref="A8:A9"/>
    <mergeCell ref="M10:M11"/>
    <mergeCell ref="A12:A13"/>
    <mergeCell ref="A20:A21"/>
  </mergeCells>
  <conditionalFormatting sqref="A1:C33 D1:H22 I1:L6 M1:M14 N1:N33 O1:P18 Q1:R10 S1:S33 T1:T17 U1:U23 V1:W33 X1:X17 Y1:Y9 Z1:AA17 I11 I14:I23 J14:K33 L14:L26 Y15:Y17 M18:M33 Q18 R18:R33 Y19 T20:T33 X20:X33 Z20:AA33 O23:Q33 E25 I25:I27 U27:U33 Y27:Y33 E28:E33 F29:I33">
    <cfRule type="containsText" dxfId="5" priority="1" operator="containsText" text="Player">
      <formula>NOT(ISERROR(SEARCH(("Player"),(A1))))</formula>
    </cfRule>
  </conditionalFormatting>
  <conditionalFormatting sqref="A1:C33 D1:H22 I1:L6 M1:M14 N1:N33 O1:P18 Q1:R10 S1:S33 T1:T17 U1:U23 V1:W33 X1:X17 Y1:Y9 Z1:AA17 I11 I14:I23 J14:K33 L14:L26 Y15:Y17 M18:M33 Q18 R18:R33 Y19 T20:T33 X20:X33 Z20:AA33 O23:Q33 E25 I25:I27 U27:U33 Y27:Y33 E28:E33 F29:I33">
    <cfRule type="containsText" dxfId="5" priority="2" operator="containsText" text="Pts">
      <formula>NOT(ISERROR(SEARCH(("Pts"),(A1))))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11.38"/>
    <col customWidth="1" min="4" max="4" width="6.38"/>
    <col customWidth="1" min="5" max="6" width="11.38"/>
    <col customWidth="1" min="7" max="7" width="6.38"/>
    <col customWidth="1" min="8" max="9" width="11.38"/>
    <col customWidth="1" min="10" max="10" width="6.38"/>
    <col customWidth="1" min="11" max="12" width="11.38"/>
    <col customWidth="1" min="13" max="13" width="6.38"/>
    <col customWidth="1" min="14" max="15" width="11.38"/>
    <col customWidth="1" min="16" max="16" width="14.5"/>
    <col customWidth="1" min="17" max="17" width="14.88"/>
  </cols>
  <sheetData>
    <row r="1" ht="48.75" customHeight="1">
      <c r="A1" s="122" t="s">
        <v>110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5" t="s">
        <v>112</v>
      </c>
    </row>
    <row r="2">
      <c r="A2" s="127" t="s">
        <v>113</v>
      </c>
      <c r="C2" s="62"/>
      <c r="D2" s="130" t="s">
        <v>114</v>
      </c>
      <c r="F2" s="62"/>
      <c r="G2" s="130" t="s">
        <v>115</v>
      </c>
      <c r="I2" s="62"/>
      <c r="J2" s="130" t="s">
        <v>116</v>
      </c>
      <c r="L2" s="62"/>
      <c r="M2" s="130" t="s">
        <v>117</v>
      </c>
      <c r="P2" s="135" t="s">
        <v>118</v>
      </c>
      <c r="Q2" s="136" t="s">
        <v>120</v>
      </c>
    </row>
    <row r="3" ht="19.5" customHeight="1">
      <c r="A3" s="138" t="s">
        <v>121</v>
      </c>
      <c r="B3" s="140" t="s">
        <v>122</v>
      </c>
      <c r="C3" s="140" t="s">
        <v>123</v>
      </c>
      <c r="D3" s="138" t="s">
        <v>121</v>
      </c>
      <c r="E3" s="140" t="s">
        <v>122</v>
      </c>
      <c r="F3" s="141" t="s">
        <v>123</v>
      </c>
      <c r="G3" s="140" t="s">
        <v>121</v>
      </c>
      <c r="H3" s="142" t="s">
        <v>122</v>
      </c>
      <c r="I3" s="140" t="s">
        <v>123</v>
      </c>
      <c r="J3" s="138" t="s">
        <v>121</v>
      </c>
      <c r="K3" s="140" t="s">
        <v>122</v>
      </c>
      <c r="L3" s="141" t="s">
        <v>123</v>
      </c>
      <c r="M3" s="140" t="s">
        <v>121</v>
      </c>
      <c r="N3" s="140" t="s">
        <v>122</v>
      </c>
      <c r="O3" s="141" t="s">
        <v>123</v>
      </c>
      <c r="P3" s="145" t="s">
        <v>125</v>
      </c>
      <c r="Q3" s="146" t="s">
        <v>126</v>
      </c>
    </row>
    <row r="4" ht="19.5" customHeight="1">
      <c r="A4" s="147">
        <v>1.0</v>
      </c>
      <c r="B4" s="148" t="s">
        <v>125</v>
      </c>
      <c r="C4" s="148" t="s">
        <v>127</v>
      </c>
      <c r="D4" s="149">
        <v>1.0</v>
      </c>
      <c r="E4" s="148" t="s">
        <v>125</v>
      </c>
      <c r="F4" s="151" t="s">
        <v>128</v>
      </c>
      <c r="G4" s="148">
        <v>1.0</v>
      </c>
      <c r="H4" s="153" t="s">
        <v>125</v>
      </c>
      <c r="I4" s="153" t="s">
        <v>129</v>
      </c>
      <c r="J4" s="149">
        <v>1.0</v>
      </c>
      <c r="K4" s="148" t="s">
        <v>125</v>
      </c>
      <c r="L4" s="155" t="s">
        <v>130</v>
      </c>
      <c r="M4" s="148">
        <v>1.0</v>
      </c>
      <c r="N4" s="148" t="s">
        <v>125</v>
      </c>
      <c r="O4" s="155" t="s">
        <v>131</v>
      </c>
      <c r="P4" s="157" t="s">
        <v>127</v>
      </c>
      <c r="Q4" s="146" t="s">
        <v>132</v>
      </c>
    </row>
    <row r="5" ht="19.5" customHeight="1">
      <c r="A5" s="149">
        <v>1.0</v>
      </c>
      <c r="B5" s="158" t="s">
        <v>128</v>
      </c>
      <c r="C5" s="148" t="s">
        <v>130</v>
      </c>
      <c r="D5" s="149">
        <v>1.0</v>
      </c>
      <c r="E5" s="148" t="s">
        <v>127</v>
      </c>
      <c r="F5" s="155" t="s">
        <v>131</v>
      </c>
      <c r="G5" s="148">
        <v>1.0</v>
      </c>
      <c r="H5" s="153" t="s">
        <v>127</v>
      </c>
      <c r="I5" s="159" t="s">
        <v>128</v>
      </c>
      <c r="J5" s="147">
        <v>1.0</v>
      </c>
      <c r="K5" s="148" t="s">
        <v>127</v>
      </c>
      <c r="L5" s="155" t="s">
        <v>129</v>
      </c>
      <c r="M5" s="148">
        <v>1.0</v>
      </c>
      <c r="N5" s="148" t="s">
        <v>127</v>
      </c>
      <c r="O5" s="155" t="s">
        <v>130</v>
      </c>
      <c r="P5" s="145" t="s">
        <v>128</v>
      </c>
      <c r="Q5" s="146" t="s">
        <v>134</v>
      </c>
    </row>
    <row r="6" ht="19.5" customHeight="1">
      <c r="A6" s="149">
        <v>1.0</v>
      </c>
      <c r="B6" s="148" t="s">
        <v>129</v>
      </c>
      <c r="C6" s="153" t="s">
        <v>131</v>
      </c>
      <c r="D6" s="149">
        <v>1.0</v>
      </c>
      <c r="E6" s="148" t="s">
        <v>129</v>
      </c>
      <c r="F6" s="155" t="s">
        <v>130</v>
      </c>
      <c r="G6" s="148">
        <v>1.0</v>
      </c>
      <c r="H6" s="153" t="s">
        <v>130</v>
      </c>
      <c r="I6" s="148" t="s">
        <v>131</v>
      </c>
      <c r="J6" s="149">
        <v>1.0</v>
      </c>
      <c r="K6" s="158" t="s">
        <v>128</v>
      </c>
      <c r="L6" s="155" t="s">
        <v>131</v>
      </c>
      <c r="M6" s="148">
        <v>1.0</v>
      </c>
      <c r="N6" s="159" t="s">
        <v>128</v>
      </c>
      <c r="O6" s="155" t="s">
        <v>129</v>
      </c>
      <c r="P6" s="157" t="s">
        <v>129</v>
      </c>
      <c r="Q6" s="162" t="s">
        <v>135</v>
      </c>
    </row>
    <row r="7" ht="19.5" customHeight="1">
      <c r="A7" s="163">
        <v>2.0</v>
      </c>
      <c r="B7" s="164" t="s">
        <v>136</v>
      </c>
      <c r="C7" s="164" t="s">
        <v>137</v>
      </c>
      <c r="D7" s="166">
        <v>2.0</v>
      </c>
      <c r="E7" s="164" t="s">
        <v>136</v>
      </c>
      <c r="F7" s="167" t="s">
        <v>138</v>
      </c>
      <c r="G7" s="164">
        <v>2.0</v>
      </c>
      <c r="H7" s="168" t="s">
        <v>136</v>
      </c>
      <c r="I7" s="164" t="s">
        <v>139</v>
      </c>
      <c r="J7" s="163">
        <v>2.0</v>
      </c>
      <c r="K7" s="164" t="s">
        <v>136</v>
      </c>
      <c r="L7" s="169" t="s">
        <v>140</v>
      </c>
      <c r="M7" s="164">
        <v>2.0</v>
      </c>
      <c r="N7" s="164" t="s">
        <v>136</v>
      </c>
      <c r="O7" s="167" t="s">
        <v>141</v>
      </c>
      <c r="P7" s="145" t="s">
        <v>130</v>
      </c>
      <c r="Q7" s="146" t="s">
        <v>142</v>
      </c>
    </row>
    <row r="8" ht="19.5" customHeight="1">
      <c r="A8" s="163">
        <v>2.0</v>
      </c>
      <c r="B8" s="164" t="s">
        <v>138</v>
      </c>
      <c r="C8" s="164" t="s">
        <v>140</v>
      </c>
      <c r="D8" s="163">
        <v>2.0</v>
      </c>
      <c r="E8" s="168" t="s">
        <v>137</v>
      </c>
      <c r="F8" s="167" t="s">
        <v>141</v>
      </c>
      <c r="G8" s="164">
        <v>2.0</v>
      </c>
      <c r="H8" s="168" t="s">
        <v>137</v>
      </c>
      <c r="I8" s="164" t="s">
        <v>138</v>
      </c>
      <c r="J8" s="163">
        <v>2.0</v>
      </c>
      <c r="K8" s="164" t="s">
        <v>137</v>
      </c>
      <c r="L8" s="167" t="s">
        <v>139</v>
      </c>
      <c r="M8" s="168">
        <v>2.0</v>
      </c>
      <c r="N8" s="164" t="s">
        <v>137</v>
      </c>
      <c r="O8" s="167" t="s">
        <v>140</v>
      </c>
      <c r="P8" s="145" t="s">
        <v>131</v>
      </c>
      <c r="Q8" s="162" t="s">
        <v>144</v>
      </c>
    </row>
    <row r="9" ht="19.5" customHeight="1">
      <c r="A9" s="163">
        <v>2.0</v>
      </c>
      <c r="B9" s="164" t="s">
        <v>139</v>
      </c>
      <c r="C9" s="164" t="s">
        <v>141</v>
      </c>
      <c r="D9" s="163">
        <v>2.0</v>
      </c>
      <c r="E9" s="164" t="s">
        <v>139</v>
      </c>
      <c r="F9" s="169" t="s">
        <v>140</v>
      </c>
      <c r="G9" s="164">
        <v>2.0</v>
      </c>
      <c r="H9" s="168" t="s">
        <v>140</v>
      </c>
      <c r="I9" s="164" t="s">
        <v>141</v>
      </c>
      <c r="J9" s="163">
        <v>2.0</v>
      </c>
      <c r="K9" s="164" t="s">
        <v>138</v>
      </c>
      <c r="L9" s="167" t="s">
        <v>141</v>
      </c>
      <c r="M9" s="164">
        <v>2.0</v>
      </c>
      <c r="N9" s="168" t="s">
        <v>138</v>
      </c>
      <c r="O9" s="167" t="s">
        <v>139</v>
      </c>
      <c r="P9" s="170" t="s">
        <v>136</v>
      </c>
      <c r="Q9" s="171" t="s">
        <v>145</v>
      </c>
    </row>
    <row r="10" ht="19.5" customHeight="1">
      <c r="A10" s="149">
        <v>3.0</v>
      </c>
      <c r="B10" s="148" t="s">
        <v>146</v>
      </c>
      <c r="C10" s="148" t="s">
        <v>147</v>
      </c>
      <c r="D10" s="149">
        <v>3.0</v>
      </c>
      <c r="E10" s="148" t="s">
        <v>146</v>
      </c>
      <c r="F10" s="155" t="s">
        <v>148</v>
      </c>
      <c r="G10" s="153">
        <v>3.0</v>
      </c>
      <c r="H10" s="153" t="s">
        <v>146</v>
      </c>
      <c r="I10" s="148" t="s">
        <v>149</v>
      </c>
      <c r="J10" s="149">
        <v>3.0</v>
      </c>
      <c r="K10" s="148" t="s">
        <v>146</v>
      </c>
      <c r="L10" s="155" t="s">
        <v>150</v>
      </c>
      <c r="M10" s="148">
        <v>3.0</v>
      </c>
      <c r="N10" s="148" t="s">
        <v>146</v>
      </c>
      <c r="O10" s="172" t="s">
        <v>152</v>
      </c>
      <c r="P10" s="170" t="s">
        <v>137</v>
      </c>
      <c r="Q10" s="171" t="s">
        <v>154</v>
      </c>
    </row>
    <row r="11" ht="19.5" customHeight="1">
      <c r="A11" s="147">
        <v>3.0</v>
      </c>
      <c r="B11" s="153" t="s">
        <v>148</v>
      </c>
      <c r="C11" s="153" t="s">
        <v>150</v>
      </c>
      <c r="D11" s="147">
        <v>3.0</v>
      </c>
      <c r="E11" s="153" t="s">
        <v>147</v>
      </c>
      <c r="F11" s="172" t="s">
        <v>152</v>
      </c>
      <c r="G11" s="153">
        <v>3.0</v>
      </c>
      <c r="H11" s="153" t="s">
        <v>147</v>
      </c>
      <c r="I11" s="153" t="s">
        <v>148</v>
      </c>
      <c r="J11" s="147">
        <v>3.0</v>
      </c>
      <c r="K11" s="153" t="s">
        <v>147</v>
      </c>
      <c r="L11" s="172" t="s">
        <v>149</v>
      </c>
      <c r="M11" s="153">
        <v>3.0</v>
      </c>
      <c r="N11" s="153" t="s">
        <v>147</v>
      </c>
      <c r="O11" s="172" t="s">
        <v>150</v>
      </c>
      <c r="P11" s="170" t="s">
        <v>138</v>
      </c>
      <c r="Q11" s="171" t="s">
        <v>155</v>
      </c>
    </row>
    <row r="12" ht="19.5" customHeight="1">
      <c r="A12" s="149">
        <v>3.0</v>
      </c>
      <c r="B12" s="148" t="s">
        <v>149</v>
      </c>
      <c r="C12" s="148" t="s">
        <v>152</v>
      </c>
      <c r="D12" s="149">
        <v>3.0</v>
      </c>
      <c r="E12" s="148" t="s">
        <v>149</v>
      </c>
      <c r="F12" s="155" t="s">
        <v>150</v>
      </c>
      <c r="G12" s="148">
        <v>3.0</v>
      </c>
      <c r="H12" s="153" t="s">
        <v>150</v>
      </c>
      <c r="I12" s="148" t="s">
        <v>152</v>
      </c>
      <c r="J12" s="149">
        <v>3.0</v>
      </c>
      <c r="K12" s="148" t="s">
        <v>148</v>
      </c>
      <c r="L12" s="155" t="s">
        <v>152</v>
      </c>
      <c r="M12" s="148">
        <v>3.0</v>
      </c>
      <c r="N12" s="148" t="s">
        <v>148</v>
      </c>
      <c r="O12" s="155" t="s">
        <v>149</v>
      </c>
      <c r="P12" s="170" t="s">
        <v>139</v>
      </c>
      <c r="Q12" s="171" t="s">
        <v>156</v>
      </c>
    </row>
    <row r="13" ht="19.5" customHeight="1">
      <c r="A13" s="166">
        <v>4.0</v>
      </c>
      <c r="B13" s="164" t="s">
        <v>157</v>
      </c>
      <c r="C13" s="164" t="s">
        <v>158</v>
      </c>
      <c r="D13" s="163">
        <v>4.0</v>
      </c>
      <c r="E13" s="164" t="s">
        <v>157</v>
      </c>
      <c r="F13" s="167" t="s">
        <v>159</v>
      </c>
      <c r="G13" s="164">
        <v>4.0</v>
      </c>
      <c r="H13" s="168" t="s">
        <v>157</v>
      </c>
      <c r="I13" s="168" t="s">
        <v>160</v>
      </c>
      <c r="J13" s="163">
        <v>4.0</v>
      </c>
      <c r="K13" s="164" t="s">
        <v>157</v>
      </c>
      <c r="L13" s="167" t="s">
        <v>161</v>
      </c>
      <c r="M13" s="164">
        <v>4.0</v>
      </c>
      <c r="N13" s="164" t="s">
        <v>157</v>
      </c>
      <c r="O13" s="167" t="s">
        <v>162</v>
      </c>
      <c r="P13" s="170" t="s">
        <v>140</v>
      </c>
      <c r="Q13" s="171" t="s">
        <v>163</v>
      </c>
    </row>
    <row r="14" ht="19.5" customHeight="1">
      <c r="A14" s="163">
        <v>4.0</v>
      </c>
      <c r="B14" s="168" t="s">
        <v>159</v>
      </c>
      <c r="C14" s="164" t="s">
        <v>161</v>
      </c>
      <c r="D14" s="163">
        <v>4.0</v>
      </c>
      <c r="E14" s="164" t="s">
        <v>158</v>
      </c>
      <c r="F14" s="167" t="s">
        <v>162</v>
      </c>
      <c r="G14" s="164">
        <v>4.0</v>
      </c>
      <c r="H14" s="168" t="s">
        <v>158</v>
      </c>
      <c r="I14" s="164" t="s">
        <v>159</v>
      </c>
      <c r="J14" s="166">
        <v>4.0</v>
      </c>
      <c r="K14" s="164" t="s">
        <v>158</v>
      </c>
      <c r="L14" s="167" t="s">
        <v>160</v>
      </c>
      <c r="M14" s="164">
        <v>4.0</v>
      </c>
      <c r="N14" s="164" t="s">
        <v>158</v>
      </c>
      <c r="O14" s="167" t="s">
        <v>161</v>
      </c>
      <c r="P14" s="170" t="s">
        <v>141</v>
      </c>
      <c r="Q14" s="171" t="s">
        <v>164</v>
      </c>
    </row>
    <row r="15" ht="19.5" customHeight="1">
      <c r="A15" s="163">
        <v>4.0</v>
      </c>
      <c r="B15" s="164" t="s">
        <v>160</v>
      </c>
      <c r="C15" s="164" t="s">
        <v>162</v>
      </c>
      <c r="D15" s="163">
        <v>4.0</v>
      </c>
      <c r="E15" s="164" t="s">
        <v>160</v>
      </c>
      <c r="F15" s="167" t="s">
        <v>161</v>
      </c>
      <c r="G15" s="164">
        <v>4.0</v>
      </c>
      <c r="H15" s="168" t="s">
        <v>161</v>
      </c>
      <c r="I15" s="164" t="s">
        <v>162</v>
      </c>
      <c r="J15" s="163">
        <v>4.0</v>
      </c>
      <c r="K15" s="168" t="s">
        <v>159</v>
      </c>
      <c r="L15" s="167" t="s">
        <v>162</v>
      </c>
      <c r="M15" s="164">
        <v>4.0</v>
      </c>
      <c r="N15" s="164" t="s">
        <v>159</v>
      </c>
      <c r="O15" s="167" t="s">
        <v>160</v>
      </c>
      <c r="P15" s="145" t="s">
        <v>146</v>
      </c>
      <c r="Q15" s="146" t="s">
        <v>165</v>
      </c>
    </row>
    <row r="16" ht="19.5" customHeight="1">
      <c r="A16" s="149">
        <v>5.0</v>
      </c>
      <c r="B16" s="148" t="s">
        <v>166</v>
      </c>
      <c r="C16" s="148" t="s">
        <v>167</v>
      </c>
      <c r="D16" s="147">
        <v>5.0</v>
      </c>
      <c r="E16" s="148" t="s">
        <v>166</v>
      </c>
      <c r="F16" s="176" t="s">
        <v>168</v>
      </c>
      <c r="G16" s="148">
        <v>5.0</v>
      </c>
      <c r="H16" s="153" t="s">
        <v>166</v>
      </c>
      <c r="I16" s="148" t="s">
        <v>169</v>
      </c>
      <c r="J16" s="149">
        <v>5.0</v>
      </c>
      <c r="K16" s="148" t="s">
        <v>166</v>
      </c>
      <c r="L16" s="172" t="s">
        <v>170</v>
      </c>
      <c r="M16" s="148">
        <v>5.0</v>
      </c>
      <c r="N16" s="148" t="s">
        <v>166</v>
      </c>
      <c r="O16" s="155" t="s">
        <v>171</v>
      </c>
      <c r="P16" s="145" t="s">
        <v>147</v>
      </c>
      <c r="Q16" s="146" t="s">
        <v>172</v>
      </c>
    </row>
    <row r="17" ht="19.5" customHeight="1">
      <c r="A17" s="149">
        <v>5.0</v>
      </c>
      <c r="B17" s="53" t="s">
        <v>168</v>
      </c>
      <c r="C17" s="148" t="s">
        <v>170</v>
      </c>
      <c r="D17" s="149">
        <v>5.0</v>
      </c>
      <c r="E17" s="153" t="s">
        <v>167</v>
      </c>
      <c r="F17" s="155" t="s">
        <v>171</v>
      </c>
      <c r="G17" s="148">
        <v>5.0</v>
      </c>
      <c r="H17" s="153" t="s">
        <v>167</v>
      </c>
      <c r="I17" s="53" t="s">
        <v>168</v>
      </c>
      <c r="J17" s="149">
        <v>5.0</v>
      </c>
      <c r="K17" s="148" t="s">
        <v>167</v>
      </c>
      <c r="L17" s="155" t="s">
        <v>169</v>
      </c>
      <c r="M17" s="153">
        <v>5.0</v>
      </c>
      <c r="N17" s="148" t="s">
        <v>167</v>
      </c>
      <c r="O17" s="155" t="s">
        <v>170</v>
      </c>
      <c r="P17" s="145" t="s">
        <v>148</v>
      </c>
      <c r="Q17" s="146" t="s">
        <v>174</v>
      </c>
    </row>
    <row r="18" ht="19.5" customHeight="1">
      <c r="A18" s="149">
        <v>5.0</v>
      </c>
      <c r="B18" s="148" t="s">
        <v>169</v>
      </c>
      <c r="C18" s="148" t="s">
        <v>171</v>
      </c>
      <c r="D18" s="149">
        <v>5.0</v>
      </c>
      <c r="E18" s="148" t="s">
        <v>169</v>
      </c>
      <c r="F18" s="172" t="s">
        <v>170</v>
      </c>
      <c r="G18" s="148">
        <v>5.0</v>
      </c>
      <c r="H18" s="153" t="s">
        <v>170</v>
      </c>
      <c r="I18" s="148" t="s">
        <v>171</v>
      </c>
      <c r="J18" s="149">
        <v>5.0</v>
      </c>
      <c r="K18" s="53" t="s">
        <v>168</v>
      </c>
      <c r="L18" s="155" t="s">
        <v>171</v>
      </c>
      <c r="M18" s="148">
        <v>5.0</v>
      </c>
      <c r="N18" s="53" t="s">
        <v>168</v>
      </c>
      <c r="O18" s="155" t="s">
        <v>169</v>
      </c>
      <c r="P18" s="145" t="s">
        <v>149</v>
      </c>
      <c r="Q18" s="146" t="s">
        <v>175</v>
      </c>
    </row>
    <row r="19" ht="19.5" customHeight="1">
      <c r="A19" s="163">
        <v>6.0</v>
      </c>
      <c r="B19" s="164" t="s">
        <v>176</v>
      </c>
      <c r="C19" s="164" t="s">
        <v>177</v>
      </c>
      <c r="D19" s="163">
        <v>6.0</v>
      </c>
      <c r="E19" s="164" t="s">
        <v>176</v>
      </c>
      <c r="F19" s="167" t="s">
        <v>178</v>
      </c>
      <c r="G19" s="168">
        <v>6.0</v>
      </c>
      <c r="H19" s="168" t="s">
        <v>176</v>
      </c>
      <c r="I19" s="164" t="s">
        <v>179</v>
      </c>
      <c r="J19" s="163">
        <v>6.0</v>
      </c>
      <c r="K19" s="164" t="s">
        <v>176</v>
      </c>
      <c r="L19" s="167" t="s">
        <v>180</v>
      </c>
      <c r="M19" s="164">
        <v>6.0</v>
      </c>
      <c r="N19" s="164" t="s">
        <v>176</v>
      </c>
      <c r="O19" s="169" t="s">
        <v>182</v>
      </c>
      <c r="P19" s="145" t="s">
        <v>150</v>
      </c>
      <c r="Q19" s="146" t="s">
        <v>183</v>
      </c>
    </row>
    <row r="20" ht="19.5" customHeight="1">
      <c r="A20" s="166">
        <v>6.0</v>
      </c>
      <c r="B20" s="168" t="s">
        <v>178</v>
      </c>
      <c r="C20" s="168" t="s">
        <v>180</v>
      </c>
      <c r="D20" s="166">
        <v>6.0</v>
      </c>
      <c r="E20" s="168" t="s">
        <v>177</v>
      </c>
      <c r="F20" s="169" t="s">
        <v>182</v>
      </c>
      <c r="G20" s="168">
        <v>6.0</v>
      </c>
      <c r="H20" s="168" t="s">
        <v>177</v>
      </c>
      <c r="I20" s="168" t="s">
        <v>178</v>
      </c>
      <c r="J20" s="166">
        <v>6.0</v>
      </c>
      <c r="K20" s="168" t="s">
        <v>177</v>
      </c>
      <c r="L20" s="169" t="s">
        <v>179</v>
      </c>
      <c r="M20" s="168">
        <v>6.0</v>
      </c>
      <c r="N20" s="168" t="s">
        <v>177</v>
      </c>
      <c r="O20" s="169" t="s">
        <v>180</v>
      </c>
      <c r="P20" s="145" t="s">
        <v>152</v>
      </c>
      <c r="Q20" s="146" t="s">
        <v>184</v>
      </c>
    </row>
    <row r="21" ht="19.5" customHeight="1">
      <c r="A21" s="163">
        <v>6.0</v>
      </c>
      <c r="B21" s="164" t="s">
        <v>179</v>
      </c>
      <c r="C21" s="164" t="s">
        <v>182</v>
      </c>
      <c r="D21" s="163">
        <v>6.0</v>
      </c>
      <c r="E21" s="164" t="s">
        <v>179</v>
      </c>
      <c r="F21" s="167" t="s">
        <v>180</v>
      </c>
      <c r="G21" s="164">
        <v>6.0</v>
      </c>
      <c r="H21" s="168" t="s">
        <v>180</v>
      </c>
      <c r="I21" s="164" t="s">
        <v>182</v>
      </c>
      <c r="J21" s="163">
        <v>6.0</v>
      </c>
      <c r="K21" s="164" t="s">
        <v>178</v>
      </c>
      <c r="L21" s="167" t="s">
        <v>182</v>
      </c>
      <c r="M21" s="164">
        <v>6.0</v>
      </c>
      <c r="N21" s="164" t="s">
        <v>178</v>
      </c>
      <c r="O21" s="167" t="s">
        <v>179</v>
      </c>
      <c r="P21" s="170" t="s">
        <v>157</v>
      </c>
      <c r="Q21" s="171" t="s">
        <v>185</v>
      </c>
    </row>
    <row r="22" ht="19.5" customHeight="1">
      <c r="A22" s="147">
        <v>7.0</v>
      </c>
      <c r="B22" s="148" t="s">
        <v>186</v>
      </c>
      <c r="C22" s="148" t="s">
        <v>187</v>
      </c>
      <c r="D22" s="149">
        <v>7.0</v>
      </c>
      <c r="E22" s="148" t="s">
        <v>186</v>
      </c>
      <c r="F22" s="155" t="s">
        <v>188</v>
      </c>
      <c r="G22" s="148">
        <v>7.0</v>
      </c>
      <c r="H22" s="153" t="s">
        <v>186</v>
      </c>
      <c r="I22" s="153" t="s">
        <v>189</v>
      </c>
      <c r="J22" s="149">
        <v>7.0</v>
      </c>
      <c r="K22" s="148" t="s">
        <v>186</v>
      </c>
      <c r="L22" s="155" t="s">
        <v>190</v>
      </c>
      <c r="M22" s="148">
        <v>7.0</v>
      </c>
      <c r="N22" s="148" t="s">
        <v>186</v>
      </c>
      <c r="O22" s="155" t="s">
        <v>191</v>
      </c>
      <c r="P22" s="170" t="s">
        <v>158</v>
      </c>
      <c r="Q22" s="171" t="s">
        <v>192</v>
      </c>
    </row>
    <row r="23" ht="19.5" customHeight="1">
      <c r="A23" s="149">
        <v>7.0</v>
      </c>
      <c r="B23" s="153" t="s">
        <v>188</v>
      </c>
      <c r="C23" s="148" t="s">
        <v>190</v>
      </c>
      <c r="D23" s="149">
        <v>7.0</v>
      </c>
      <c r="E23" s="148" t="s">
        <v>187</v>
      </c>
      <c r="F23" s="155" t="s">
        <v>191</v>
      </c>
      <c r="G23" s="148">
        <v>7.0</v>
      </c>
      <c r="H23" s="153" t="s">
        <v>187</v>
      </c>
      <c r="I23" s="148" t="s">
        <v>188</v>
      </c>
      <c r="J23" s="147">
        <v>7.0</v>
      </c>
      <c r="K23" s="148" t="s">
        <v>187</v>
      </c>
      <c r="L23" s="155" t="s">
        <v>189</v>
      </c>
      <c r="M23" s="148">
        <v>7.0</v>
      </c>
      <c r="N23" s="148" t="s">
        <v>187</v>
      </c>
      <c r="O23" s="155" t="s">
        <v>190</v>
      </c>
      <c r="P23" s="170" t="s">
        <v>159</v>
      </c>
      <c r="Q23" s="171" t="s">
        <v>193</v>
      </c>
    </row>
    <row r="24" ht="19.5" customHeight="1">
      <c r="A24" s="149">
        <v>7.0</v>
      </c>
      <c r="B24" s="148" t="s">
        <v>189</v>
      </c>
      <c r="C24" s="153" t="s">
        <v>191</v>
      </c>
      <c r="D24" s="149">
        <v>7.0</v>
      </c>
      <c r="E24" s="148" t="s">
        <v>189</v>
      </c>
      <c r="F24" s="155" t="s">
        <v>190</v>
      </c>
      <c r="G24" s="148">
        <v>7.0</v>
      </c>
      <c r="H24" s="153" t="s">
        <v>190</v>
      </c>
      <c r="I24" s="148" t="s">
        <v>191</v>
      </c>
      <c r="J24" s="149">
        <v>7.0</v>
      </c>
      <c r="K24" s="153" t="s">
        <v>188</v>
      </c>
      <c r="L24" s="155" t="s">
        <v>191</v>
      </c>
      <c r="M24" s="148">
        <v>7.0</v>
      </c>
      <c r="N24" s="148" t="s">
        <v>188</v>
      </c>
      <c r="O24" s="155" t="s">
        <v>189</v>
      </c>
      <c r="P24" s="170" t="s">
        <v>160</v>
      </c>
      <c r="Q24" s="171" t="s">
        <v>195</v>
      </c>
    </row>
    <row r="25" ht="19.5" customHeight="1">
      <c r="A25" s="163">
        <v>8.0</v>
      </c>
      <c r="B25" s="164" t="s">
        <v>196</v>
      </c>
      <c r="C25" s="164" t="s">
        <v>197</v>
      </c>
      <c r="D25" s="166">
        <v>8.0</v>
      </c>
      <c r="E25" s="164" t="s">
        <v>196</v>
      </c>
      <c r="F25" s="167" t="s">
        <v>198</v>
      </c>
      <c r="G25" s="164">
        <v>8.0</v>
      </c>
      <c r="H25" s="168" t="s">
        <v>196</v>
      </c>
      <c r="I25" s="164" t="s">
        <v>199</v>
      </c>
      <c r="J25" s="163">
        <v>8.0</v>
      </c>
      <c r="K25" s="164" t="s">
        <v>196</v>
      </c>
      <c r="L25" s="169" t="s">
        <v>200</v>
      </c>
      <c r="M25" s="164">
        <v>8.0</v>
      </c>
      <c r="N25" s="164" t="s">
        <v>196</v>
      </c>
      <c r="O25" s="167" t="s">
        <v>201</v>
      </c>
      <c r="P25" s="170" t="s">
        <v>161</v>
      </c>
      <c r="Q25" s="171" t="s">
        <v>202</v>
      </c>
    </row>
    <row r="26" ht="19.5" customHeight="1">
      <c r="A26" s="163">
        <v>8.0</v>
      </c>
      <c r="B26" s="164" t="s">
        <v>198</v>
      </c>
      <c r="C26" s="164" t="s">
        <v>200</v>
      </c>
      <c r="D26" s="163">
        <v>8.0</v>
      </c>
      <c r="E26" s="168" t="s">
        <v>197</v>
      </c>
      <c r="F26" s="167" t="s">
        <v>201</v>
      </c>
      <c r="G26" s="164">
        <v>8.0</v>
      </c>
      <c r="H26" s="168" t="s">
        <v>197</v>
      </c>
      <c r="I26" s="164" t="s">
        <v>198</v>
      </c>
      <c r="J26" s="163">
        <v>8.0</v>
      </c>
      <c r="K26" s="164" t="s">
        <v>197</v>
      </c>
      <c r="L26" s="167" t="s">
        <v>199</v>
      </c>
      <c r="M26" s="168">
        <v>8.0</v>
      </c>
      <c r="N26" s="164" t="s">
        <v>197</v>
      </c>
      <c r="O26" s="167" t="s">
        <v>200</v>
      </c>
      <c r="P26" s="170" t="s">
        <v>162</v>
      </c>
      <c r="Q26" s="171" t="s">
        <v>204</v>
      </c>
    </row>
    <row r="27" ht="19.5" customHeight="1">
      <c r="A27" s="179">
        <v>8.0</v>
      </c>
      <c r="B27" s="180" t="s">
        <v>199</v>
      </c>
      <c r="C27" s="180" t="s">
        <v>201</v>
      </c>
      <c r="D27" s="179">
        <v>8.0</v>
      </c>
      <c r="E27" s="180" t="s">
        <v>199</v>
      </c>
      <c r="F27" s="181" t="s">
        <v>200</v>
      </c>
      <c r="G27" s="180">
        <v>8.0</v>
      </c>
      <c r="H27" s="182" t="s">
        <v>200</v>
      </c>
      <c r="I27" s="180" t="s">
        <v>201</v>
      </c>
      <c r="J27" s="179">
        <v>8.0</v>
      </c>
      <c r="K27" s="180" t="s">
        <v>198</v>
      </c>
      <c r="L27" s="183" t="s">
        <v>201</v>
      </c>
      <c r="M27" s="180">
        <v>8.0</v>
      </c>
      <c r="N27" s="182" t="s">
        <v>198</v>
      </c>
      <c r="O27" s="183" t="s">
        <v>199</v>
      </c>
      <c r="P27" s="145" t="s">
        <v>166</v>
      </c>
      <c r="Q27" s="146" t="s">
        <v>207</v>
      </c>
    </row>
    <row r="28" ht="19.5" customHeight="1">
      <c r="A28" s="184"/>
      <c r="B28" s="184"/>
      <c r="C28" s="184"/>
      <c r="D28" s="184"/>
      <c r="E28" s="184"/>
      <c r="F28" s="184"/>
      <c r="G28" s="54"/>
      <c r="H28" s="54"/>
      <c r="I28" s="184"/>
      <c r="J28" s="184"/>
      <c r="K28" s="184"/>
      <c r="L28" s="184"/>
      <c r="M28" s="184"/>
      <c r="N28" s="184"/>
      <c r="O28" s="54"/>
      <c r="P28" s="145" t="s">
        <v>167</v>
      </c>
      <c r="Q28" s="146" t="s">
        <v>208</v>
      </c>
    </row>
    <row r="29" ht="19.5" customHeight="1">
      <c r="A29" s="184"/>
      <c r="B29" s="184"/>
      <c r="C29" s="184"/>
      <c r="D29" s="184"/>
      <c r="E29" s="184"/>
      <c r="F29" s="184"/>
      <c r="G29" s="54"/>
      <c r="H29" s="54"/>
      <c r="I29" s="184"/>
      <c r="J29" s="184"/>
      <c r="K29" s="184"/>
      <c r="L29" s="184"/>
      <c r="M29" s="184"/>
      <c r="N29" s="184"/>
      <c r="O29" s="54"/>
      <c r="P29" s="157" t="s">
        <v>168</v>
      </c>
      <c r="Q29" s="146" t="s">
        <v>209</v>
      </c>
    </row>
    <row r="30" ht="19.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145" t="s">
        <v>169</v>
      </c>
      <c r="Q30" s="146" t="s">
        <v>210</v>
      </c>
    </row>
    <row r="31" ht="19.5" customHeight="1">
      <c r="A31" s="184"/>
      <c r="B31" s="184"/>
      <c r="C31" s="184"/>
      <c r="D31" s="184"/>
      <c r="E31" s="184"/>
      <c r="F31" s="184"/>
      <c r="G31" s="184"/>
      <c r="H31" s="54"/>
      <c r="I31" s="184"/>
      <c r="J31" s="184"/>
      <c r="K31" s="184"/>
      <c r="L31" s="184"/>
      <c r="M31" s="184"/>
      <c r="N31" s="184"/>
      <c r="O31" s="184"/>
      <c r="P31" s="145" t="s">
        <v>170</v>
      </c>
      <c r="Q31" s="146" t="s">
        <v>211</v>
      </c>
    </row>
    <row r="32" ht="19.5" customHeight="1">
      <c r="A32" s="54"/>
      <c r="B32" s="184"/>
      <c r="C32" s="184"/>
      <c r="D32" s="184"/>
      <c r="E32" s="184"/>
      <c r="F32" s="184"/>
      <c r="G32" s="184"/>
      <c r="H32" s="54"/>
      <c r="I32" s="54"/>
      <c r="J32" s="184"/>
      <c r="K32" s="184"/>
      <c r="L32" s="184"/>
      <c r="M32" s="184"/>
      <c r="N32" s="184"/>
      <c r="O32" s="184"/>
      <c r="P32" s="145" t="s">
        <v>171</v>
      </c>
      <c r="Q32" s="146" t="s">
        <v>212</v>
      </c>
    </row>
    <row r="33" ht="19.5" customHeight="1">
      <c r="A33" s="184"/>
      <c r="B33" s="54"/>
      <c r="C33" s="184"/>
      <c r="D33" s="184"/>
      <c r="E33" s="184"/>
      <c r="F33" s="184"/>
      <c r="G33" s="184"/>
      <c r="H33" s="54"/>
      <c r="I33" s="184"/>
      <c r="J33" s="54"/>
      <c r="K33" s="54"/>
      <c r="L33" s="54"/>
      <c r="M33" s="54"/>
      <c r="N33" s="54"/>
      <c r="O33" s="54"/>
      <c r="P33" s="170" t="s">
        <v>176</v>
      </c>
      <c r="Q33" s="171" t="s">
        <v>213</v>
      </c>
    </row>
    <row r="34" ht="19.5" customHeight="1">
      <c r="A34" s="184"/>
      <c r="B34" s="184"/>
      <c r="C34" s="54"/>
      <c r="D34" s="184"/>
      <c r="E34" s="184"/>
      <c r="F34" s="184"/>
      <c r="G34" s="184"/>
      <c r="H34" s="54"/>
      <c r="I34" s="184"/>
      <c r="J34" s="54"/>
      <c r="K34" s="54"/>
      <c r="L34" s="54"/>
      <c r="M34" s="54"/>
      <c r="N34" s="54"/>
      <c r="O34" s="54"/>
      <c r="P34" s="170" t="s">
        <v>177</v>
      </c>
      <c r="Q34" s="171" t="s">
        <v>216</v>
      </c>
    </row>
    <row r="35" ht="19.5" customHeight="1">
      <c r="A35" s="184"/>
      <c r="B35" s="184"/>
      <c r="C35" s="184"/>
      <c r="D35" s="54"/>
      <c r="E35" s="184"/>
      <c r="F35" s="184"/>
      <c r="G35" s="184"/>
      <c r="H35" s="54"/>
      <c r="I35" s="184"/>
      <c r="J35" s="54"/>
      <c r="K35" s="54"/>
      <c r="L35" s="54"/>
      <c r="M35" s="54"/>
      <c r="N35" s="54"/>
      <c r="O35" s="54"/>
      <c r="P35" s="170" t="s">
        <v>178</v>
      </c>
      <c r="Q35" s="171" t="s">
        <v>217</v>
      </c>
    </row>
    <row r="36" ht="19.5" customHeight="1">
      <c r="A36" s="184"/>
      <c r="B36" s="184"/>
      <c r="C36" s="184"/>
      <c r="D36" s="184"/>
      <c r="E36" s="54"/>
      <c r="F36" s="184"/>
      <c r="G36" s="184"/>
      <c r="H36" s="54"/>
      <c r="I36" s="184"/>
      <c r="J36" s="54"/>
      <c r="K36" s="54"/>
      <c r="L36" s="54"/>
      <c r="M36" s="54"/>
      <c r="N36" s="54"/>
      <c r="O36" s="54"/>
      <c r="P36" s="170" t="s">
        <v>179</v>
      </c>
      <c r="Q36" s="171" t="s">
        <v>218</v>
      </c>
    </row>
    <row r="37" ht="19.5" customHeight="1">
      <c r="A37" s="184"/>
      <c r="B37" s="184"/>
      <c r="C37" s="184"/>
      <c r="D37" s="184"/>
      <c r="E37" s="184"/>
      <c r="F37" s="54"/>
      <c r="G37" s="184"/>
      <c r="H37" s="54"/>
      <c r="I37" s="184"/>
      <c r="J37" s="54"/>
      <c r="K37" s="54"/>
      <c r="L37" s="54"/>
      <c r="M37" s="54"/>
      <c r="N37" s="54"/>
      <c r="O37" s="54"/>
      <c r="P37" s="170" t="s">
        <v>180</v>
      </c>
      <c r="Q37" s="186" t="s">
        <v>220</v>
      </c>
    </row>
    <row r="38" ht="19.5" customHeight="1">
      <c r="A38" s="184"/>
      <c r="B38" s="184"/>
      <c r="C38" s="184"/>
      <c r="D38" s="184"/>
      <c r="E38" s="184"/>
      <c r="F38" s="184"/>
      <c r="G38" s="54"/>
      <c r="H38" s="54"/>
      <c r="I38" s="184"/>
      <c r="J38" s="54"/>
      <c r="K38" s="54"/>
      <c r="L38" s="54"/>
      <c r="M38" s="54"/>
      <c r="N38" s="54"/>
      <c r="O38" s="54"/>
      <c r="P38" s="170" t="s">
        <v>182</v>
      </c>
      <c r="Q38" s="171" t="s">
        <v>221</v>
      </c>
    </row>
    <row r="39" ht="19.5" customHeight="1">
      <c r="A39" s="184"/>
      <c r="B39" s="184"/>
      <c r="C39" s="184"/>
      <c r="D39" s="184"/>
      <c r="E39" s="184"/>
      <c r="F39" s="184"/>
      <c r="G39" s="54"/>
      <c r="H39" s="54"/>
      <c r="I39" s="184"/>
      <c r="J39" s="54"/>
      <c r="K39" s="54"/>
      <c r="L39" s="54"/>
      <c r="M39" s="54"/>
      <c r="N39" s="54"/>
      <c r="O39" s="54"/>
      <c r="P39" s="145" t="s">
        <v>186</v>
      </c>
      <c r="Q39" s="146" t="s">
        <v>222</v>
      </c>
    </row>
    <row r="40" ht="19.5" customHeight="1">
      <c r="A40" s="184"/>
      <c r="B40" s="184"/>
      <c r="C40" s="184"/>
      <c r="D40" s="184"/>
      <c r="E40" s="184"/>
      <c r="F40" s="184"/>
      <c r="G40" s="54"/>
      <c r="H40" s="54"/>
      <c r="I40" s="184"/>
      <c r="J40" s="54"/>
      <c r="K40" s="54"/>
      <c r="L40" s="54"/>
      <c r="M40" s="54"/>
      <c r="N40" s="54"/>
      <c r="O40" s="54"/>
      <c r="P40" s="145" t="s">
        <v>187</v>
      </c>
      <c r="Q40" s="146" t="s">
        <v>223</v>
      </c>
    </row>
    <row r="41" ht="19.5" customHeight="1">
      <c r="A41" s="184"/>
      <c r="B41" s="184"/>
      <c r="C41" s="184"/>
      <c r="D41" s="184"/>
      <c r="E41" s="184"/>
      <c r="F41" s="184"/>
      <c r="G41" s="54"/>
      <c r="H41" s="54"/>
      <c r="I41" s="184"/>
      <c r="J41" s="54"/>
      <c r="K41" s="54"/>
      <c r="L41" s="54"/>
      <c r="M41" s="54"/>
      <c r="N41" s="54"/>
      <c r="O41" s="54"/>
      <c r="P41" s="145" t="s">
        <v>188</v>
      </c>
      <c r="Q41" s="146" t="s">
        <v>224</v>
      </c>
    </row>
    <row r="42" ht="19.5" customHeight="1">
      <c r="A42" s="184"/>
      <c r="B42" s="184"/>
      <c r="C42" s="184"/>
      <c r="D42" s="184"/>
      <c r="E42" s="184"/>
      <c r="F42" s="184"/>
      <c r="G42" s="54"/>
      <c r="H42" s="54"/>
      <c r="I42" s="184"/>
      <c r="J42" s="54"/>
      <c r="K42" s="54"/>
      <c r="L42" s="54"/>
      <c r="M42" s="54"/>
      <c r="N42" s="54"/>
      <c r="O42" s="54"/>
      <c r="P42" s="145" t="s">
        <v>189</v>
      </c>
      <c r="Q42" s="146" t="s">
        <v>226</v>
      </c>
    </row>
    <row r="43" ht="19.5" customHeight="1">
      <c r="A43" s="184"/>
      <c r="B43" s="184"/>
      <c r="C43" s="184"/>
      <c r="D43" s="184"/>
      <c r="E43" s="184"/>
      <c r="F43" s="184"/>
      <c r="G43" s="54"/>
      <c r="H43" s="54"/>
      <c r="I43" s="184"/>
      <c r="J43" s="54"/>
      <c r="K43" s="54"/>
      <c r="L43" s="54"/>
      <c r="M43" s="54"/>
      <c r="N43" s="54"/>
      <c r="O43" s="54"/>
      <c r="P43" s="145" t="s">
        <v>190</v>
      </c>
      <c r="Q43" s="146" t="s">
        <v>227</v>
      </c>
    </row>
    <row r="44" ht="19.5" customHeight="1">
      <c r="A44" s="184"/>
      <c r="B44" s="184"/>
      <c r="C44" s="184"/>
      <c r="D44" s="184"/>
      <c r="E44" s="184"/>
      <c r="F44" s="184"/>
      <c r="G44" s="54"/>
      <c r="H44" s="54"/>
      <c r="I44" s="184"/>
      <c r="J44" s="54"/>
      <c r="K44" s="54"/>
      <c r="L44" s="54"/>
      <c r="M44" s="54"/>
      <c r="N44" s="54"/>
      <c r="O44" s="54"/>
      <c r="P44" s="145" t="s">
        <v>191</v>
      </c>
      <c r="Q44" s="146" t="s">
        <v>229</v>
      </c>
    </row>
    <row r="45" ht="19.5" customHeight="1">
      <c r="A45" s="184"/>
      <c r="B45" s="184"/>
      <c r="C45" s="184"/>
      <c r="D45" s="184"/>
      <c r="E45" s="184"/>
      <c r="F45" s="184"/>
      <c r="G45" s="54"/>
      <c r="H45" s="54"/>
      <c r="I45" s="184"/>
      <c r="J45" s="54"/>
      <c r="K45" s="54"/>
      <c r="L45" s="54"/>
      <c r="M45" s="54"/>
      <c r="N45" s="54"/>
      <c r="O45" s="54"/>
      <c r="P45" s="170" t="s">
        <v>196</v>
      </c>
      <c r="Q45" s="171" t="s">
        <v>230</v>
      </c>
    </row>
    <row r="46" ht="19.5" customHeight="1">
      <c r="A46" s="184"/>
      <c r="B46" s="184"/>
      <c r="C46" s="184"/>
      <c r="D46" s="184"/>
      <c r="E46" s="184"/>
      <c r="F46" s="184"/>
      <c r="G46" s="54"/>
      <c r="H46" s="54"/>
      <c r="I46" s="184"/>
      <c r="J46" s="54"/>
      <c r="K46" s="54"/>
      <c r="L46" s="54"/>
      <c r="M46" s="54"/>
      <c r="N46" s="54"/>
      <c r="O46" s="54"/>
      <c r="P46" s="170" t="s">
        <v>197</v>
      </c>
      <c r="Q46" s="171" t="s">
        <v>231</v>
      </c>
    </row>
    <row r="47" ht="19.5" customHeight="1">
      <c r="A47" s="184"/>
      <c r="B47" s="184"/>
      <c r="C47" s="184"/>
      <c r="D47" s="184"/>
      <c r="E47" s="184"/>
      <c r="F47" s="184"/>
      <c r="G47" s="54"/>
      <c r="H47" s="54"/>
      <c r="I47" s="184"/>
      <c r="J47" s="54"/>
      <c r="K47" s="54"/>
      <c r="L47" s="54"/>
      <c r="M47" s="54"/>
      <c r="N47" s="54"/>
      <c r="O47" s="54"/>
      <c r="P47" s="170" t="s">
        <v>198</v>
      </c>
      <c r="Q47" s="171" t="s">
        <v>233</v>
      </c>
    </row>
    <row r="48" ht="19.5" customHeight="1">
      <c r="A48" s="184"/>
      <c r="B48" s="184"/>
      <c r="C48" s="184"/>
      <c r="D48" s="184"/>
      <c r="E48" s="184"/>
      <c r="F48" s="184"/>
      <c r="G48" s="54"/>
      <c r="H48" s="54"/>
      <c r="I48" s="184"/>
      <c r="J48" s="54"/>
      <c r="K48" s="54"/>
      <c r="L48" s="54"/>
      <c r="M48" s="54"/>
      <c r="N48" s="54"/>
      <c r="O48" s="54"/>
      <c r="P48" s="170" t="s">
        <v>199</v>
      </c>
      <c r="Q48" s="171" t="s">
        <v>234</v>
      </c>
    </row>
    <row r="49" ht="19.5" customHeight="1">
      <c r="A49" s="184"/>
      <c r="B49" s="184"/>
      <c r="C49" s="184"/>
      <c r="D49" s="184"/>
      <c r="E49" s="184"/>
      <c r="F49" s="184"/>
      <c r="G49" s="54"/>
      <c r="H49" s="54"/>
      <c r="I49" s="184"/>
      <c r="J49" s="54"/>
      <c r="K49" s="54"/>
      <c r="L49" s="54"/>
      <c r="M49" s="54"/>
      <c r="N49" s="54"/>
      <c r="O49" s="54"/>
      <c r="P49" s="170" t="s">
        <v>200</v>
      </c>
      <c r="Q49" s="171" t="s">
        <v>235</v>
      </c>
    </row>
    <row r="50" ht="19.5" customHeight="1">
      <c r="A50" s="184"/>
      <c r="B50" s="184"/>
      <c r="C50" s="184"/>
      <c r="D50" s="184"/>
      <c r="E50" s="184"/>
      <c r="F50" s="184"/>
      <c r="G50" s="54"/>
      <c r="H50" s="54"/>
      <c r="I50" s="184"/>
      <c r="J50" s="54"/>
      <c r="K50" s="54"/>
      <c r="L50" s="54"/>
      <c r="M50" s="54"/>
      <c r="N50" s="54"/>
      <c r="O50" s="54"/>
      <c r="P50" s="170" t="s">
        <v>201</v>
      </c>
      <c r="Q50" s="171" t="s">
        <v>236</v>
      </c>
    </row>
    <row r="51" ht="19.5" customHeight="1">
      <c r="A51" s="184"/>
      <c r="B51" s="184"/>
      <c r="C51" s="184"/>
      <c r="D51" s="184"/>
      <c r="E51" s="184"/>
      <c r="F51" s="184"/>
      <c r="G51" s="54"/>
      <c r="H51" s="54"/>
      <c r="I51" s="184"/>
      <c r="J51" s="54"/>
      <c r="K51" s="54"/>
      <c r="L51" s="54"/>
      <c r="M51" s="54"/>
      <c r="N51" s="54"/>
      <c r="O51" s="184"/>
      <c r="P51" s="189" t="s">
        <v>238</v>
      </c>
      <c r="Q51" s="123"/>
    </row>
    <row r="52" ht="19.5" customHeight="1">
      <c r="A52" s="184"/>
      <c r="B52" s="184"/>
      <c r="C52" s="184"/>
      <c r="D52" s="184"/>
      <c r="E52" s="184"/>
      <c r="F52" s="184"/>
      <c r="G52" s="54"/>
      <c r="H52" s="54"/>
      <c r="I52" s="184"/>
      <c r="J52" s="54"/>
      <c r="K52" s="54"/>
      <c r="L52" s="54"/>
      <c r="M52" s="54"/>
      <c r="N52" s="54"/>
      <c r="O52" s="184"/>
      <c r="P52" s="190" t="s">
        <v>239</v>
      </c>
      <c r="Q52" s="191" t="s">
        <v>240</v>
      </c>
    </row>
    <row r="53" ht="19.5" customHeight="1">
      <c r="A53" s="53"/>
      <c r="B53" s="53"/>
      <c r="C53" s="53"/>
      <c r="D53" s="53"/>
      <c r="E53" s="53"/>
      <c r="F53" s="53"/>
      <c r="G53" s="192"/>
      <c r="H53" s="192"/>
      <c r="I53" s="53"/>
      <c r="J53" s="153"/>
      <c r="K53" s="153"/>
      <c r="L53" s="153"/>
      <c r="M53" s="153"/>
      <c r="N53" s="153"/>
      <c r="O53" s="192"/>
      <c r="P53" s="190" t="s">
        <v>242</v>
      </c>
      <c r="Q53" s="191" t="s">
        <v>243</v>
      </c>
    </row>
    <row r="54" ht="19.5" customHeight="1">
      <c r="A54" s="53"/>
      <c r="B54" s="53"/>
      <c r="C54" s="53"/>
      <c r="D54" s="53"/>
      <c r="E54" s="53"/>
      <c r="F54" s="53"/>
      <c r="G54" s="192"/>
      <c r="H54" s="192"/>
      <c r="I54" s="53"/>
      <c r="J54" s="153"/>
      <c r="K54" s="153"/>
      <c r="L54" s="153"/>
      <c r="M54" s="153"/>
      <c r="N54" s="153"/>
      <c r="O54" s="192"/>
      <c r="P54" s="194" t="s">
        <v>244</v>
      </c>
      <c r="Q54" s="195" t="s">
        <v>245</v>
      </c>
    </row>
  </sheetData>
  <mergeCells count="8">
    <mergeCell ref="A1:O1"/>
    <mergeCell ref="P1:Q1"/>
    <mergeCell ref="A2:C2"/>
    <mergeCell ref="D2:F2"/>
    <mergeCell ref="G2:I2"/>
    <mergeCell ref="J2:L2"/>
    <mergeCell ref="M2:O2"/>
    <mergeCell ref="P51:Q5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2" max="2" width="3.25"/>
    <col customWidth="1" min="3" max="3" width="12.63"/>
    <col customWidth="1" min="4" max="4" width="5.13"/>
    <col customWidth="1" min="5" max="5" width="8.88"/>
    <col customWidth="1" min="6" max="6" width="3.25"/>
    <col customWidth="1" min="7" max="7" width="12.63"/>
    <col customWidth="1" min="8" max="8" width="5.13"/>
    <col customWidth="1" min="9" max="9" width="8.88"/>
    <col customWidth="1" min="10" max="10" width="3.25"/>
    <col customWidth="1" min="11" max="11" width="12.63"/>
    <col customWidth="1" min="12" max="12" width="5.13"/>
    <col customWidth="1" min="13" max="13" width="8.88"/>
    <col customWidth="1" min="14" max="14" width="3.25"/>
    <col customWidth="1" min="15" max="15" width="12.63"/>
    <col customWidth="1" min="16" max="16" width="5.13"/>
  </cols>
  <sheetData>
    <row r="1" ht="48.75" customHeight="1">
      <c r="A1" s="198"/>
      <c r="B1" s="116" t="s">
        <v>94</v>
      </c>
    </row>
    <row r="2">
      <c r="A2" s="198" t="s">
        <v>251</v>
      </c>
      <c r="B2" s="199" t="s">
        <v>252</v>
      </c>
      <c r="C2" s="20"/>
      <c r="D2" s="23"/>
      <c r="E2" s="200"/>
      <c r="F2" s="199" t="s">
        <v>253</v>
      </c>
      <c r="G2" s="20"/>
      <c r="H2" s="23"/>
      <c r="I2" s="200"/>
      <c r="J2" s="199" t="s">
        <v>254</v>
      </c>
      <c r="K2" s="20"/>
      <c r="L2" s="23"/>
      <c r="M2" s="200"/>
      <c r="N2" s="199" t="s">
        <v>255</v>
      </c>
      <c r="O2" s="20"/>
      <c r="P2" s="23"/>
    </row>
    <row r="3">
      <c r="B3" s="118"/>
      <c r="C3" s="118"/>
      <c r="D3" s="118"/>
      <c r="E3" s="63"/>
      <c r="F3" s="118"/>
      <c r="G3" s="118"/>
      <c r="H3" s="118"/>
      <c r="I3" s="63"/>
      <c r="J3" s="118"/>
      <c r="K3" s="118"/>
      <c r="L3" s="118"/>
      <c r="M3" s="63"/>
      <c r="N3" s="118"/>
      <c r="O3" s="118"/>
      <c r="P3" s="118"/>
    </row>
    <row r="4">
      <c r="B4" s="124">
        <v>1.0</v>
      </c>
      <c r="C4" s="120" t="s">
        <v>256</v>
      </c>
      <c r="D4" s="201" t="s">
        <v>6</v>
      </c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</row>
    <row r="5">
      <c r="B5" s="68"/>
      <c r="C5" s="103" t="s">
        <v>256</v>
      </c>
      <c r="D5" s="107" t="s">
        <v>6</v>
      </c>
      <c r="E5" s="129"/>
      <c r="F5" s="131"/>
      <c r="G5" s="118"/>
      <c r="H5" s="118"/>
      <c r="I5" s="118"/>
      <c r="J5" s="118"/>
      <c r="K5" s="118"/>
      <c r="L5" s="118"/>
      <c r="M5" s="118"/>
      <c r="N5" s="118"/>
      <c r="O5" s="118"/>
      <c r="P5" s="118"/>
    </row>
    <row r="6">
      <c r="B6" s="63"/>
      <c r="C6" s="118"/>
      <c r="D6" s="118"/>
      <c r="E6" s="118"/>
      <c r="F6" s="124">
        <v>9.0</v>
      </c>
      <c r="G6" s="120" t="s">
        <v>256</v>
      </c>
      <c r="H6" s="201" t="s">
        <v>6</v>
      </c>
      <c r="I6" s="118"/>
      <c r="J6" s="118"/>
      <c r="K6" s="118"/>
      <c r="L6" s="118"/>
      <c r="M6" s="118"/>
      <c r="N6" s="118"/>
      <c r="O6" s="118"/>
      <c r="P6" s="118"/>
    </row>
    <row r="7">
      <c r="B7" s="63"/>
      <c r="C7" s="118"/>
      <c r="D7" s="118"/>
      <c r="E7" s="118"/>
      <c r="F7" s="68"/>
      <c r="G7" s="103" t="s">
        <v>256</v>
      </c>
      <c r="H7" s="107" t="s">
        <v>6</v>
      </c>
      <c r="I7" s="129"/>
      <c r="J7" s="131"/>
      <c r="K7" s="118"/>
      <c r="L7" s="118"/>
      <c r="M7" s="118"/>
      <c r="N7" s="118"/>
      <c r="O7" s="118"/>
      <c r="P7" s="118"/>
    </row>
    <row r="8">
      <c r="B8" s="124">
        <v>2.0</v>
      </c>
      <c r="C8" s="120" t="s">
        <v>256</v>
      </c>
      <c r="D8" s="201" t="s">
        <v>6</v>
      </c>
      <c r="E8" s="150"/>
      <c r="F8" s="152"/>
      <c r="G8" s="118"/>
      <c r="H8" s="118"/>
      <c r="I8" s="118"/>
      <c r="J8" s="143"/>
      <c r="K8" s="118"/>
      <c r="L8" s="118"/>
      <c r="M8" s="118"/>
      <c r="N8" s="118"/>
      <c r="O8" s="118"/>
      <c r="P8" s="118"/>
    </row>
    <row r="9">
      <c r="B9" s="68"/>
      <c r="C9" s="103" t="s">
        <v>256</v>
      </c>
      <c r="D9" s="107" t="s">
        <v>6</v>
      </c>
      <c r="E9" s="118"/>
      <c r="F9" s="118"/>
      <c r="G9" s="118"/>
      <c r="H9" s="118"/>
      <c r="I9" s="118"/>
      <c r="J9" s="161"/>
      <c r="K9" s="160"/>
      <c r="L9" s="160"/>
      <c r="M9" s="63"/>
      <c r="N9" s="63"/>
      <c r="O9" s="63"/>
      <c r="P9" s="63"/>
    </row>
    <row r="10">
      <c r="B10" s="63"/>
      <c r="C10" s="118"/>
      <c r="D10" s="118"/>
      <c r="E10" s="118"/>
      <c r="F10" s="165"/>
      <c r="G10" s="63"/>
      <c r="H10" s="82"/>
      <c r="I10" s="118"/>
      <c r="J10" s="124">
        <v>13.0</v>
      </c>
      <c r="K10" s="120" t="s">
        <v>256</v>
      </c>
      <c r="L10" s="201" t="s">
        <v>6</v>
      </c>
      <c r="M10" s="63"/>
      <c r="N10" s="63"/>
      <c r="O10" s="63"/>
      <c r="P10" s="63"/>
    </row>
    <row r="11">
      <c r="B11" s="63"/>
      <c r="C11" s="118"/>
      <c r="D11" s="118"/>
      <c r="E11" s="118"/>
      <c r="F11" s="165"/>
      <c r="G11" s="63"/>
      <c r="H11" s="82"/>
      <c r="I11" s="118"/>
      <c r="J11" s="68"/>
      <c r="K11" s="103" t="s">
        <v>256</v>
      </c>
      <c r="L11" s="107" t="s">
        <v>6</v>
      </c>
      <c r="M11" s="129"/>
      <c r="N11" s="131"/>
      <c r="O11" s="118"/>
      <c r="P11" s="118"/>
    </row>
    <row r="12">
      <c r="B12" s="124">
        <v>3.0</v>
      </c>
      <c r="C12" s="120" t="s">
        <v>256</v>
      </c>
      <c r="D12" s="201" t="s">
        <v>6</v>
      </c>
      <c r="E12" s="118"/>
      <c r="F12" s="118"/>
      <c r="G12" s="118"/>
      <c r="H12" s="118"/>
      <c r="I12" s="118"/>
      <c r="J12" s="175"/>
      <c r="K12" s="63"/>
      <c r="L12" s="82"/>
      <c r="M12" s="118"/>
      <c r="N12" s="143"/>
      <c r="O12" s="118"/>
      <c r="P12" s="118"/>
    </row>
    <row r="13">
      <c r="B13" s="68"/>
      <c r="C13" s="103" t="s">
        <v>256</v>
      </c>
      <c r="D13" s="107" t="s">
        <v>6</v>
      </c>
      <c r="E13" s="129"/>
      <c r="F13" s="131"/>
      <c r="G13" s="118"/>
      <c r="H13" s="118"/>
      <c r="I13" s="118"/>
      <c r="J13" s="143"/>
      <c r="K13" s="118"/>
      <c r="L13" s="118"/>
      <c r="M13" s="118"/>
      <c r="N13" s="143"/>
      <c r="O13" s="118"/>
      <c r="P13" s="118"/>
    </row>
    <row r="14">
      <c r="B14" s="63"/>
      <c r="C14" s="118"/>
      <c r="D14" s="118"/>
      <c r="E14" s="118"/>
      <c r="F14" s="124">
        <v>10.0</v>
      </c>
      <c r="G14" s="120" t="s">
        <v>256</v>
      </c>
      <c r="H14" s="201" t="s">
        <v>6</v>
      </c>
      <c r="I14" s="150"/>
      <c r="J14" s="152"/>
      <c r="K14" s="118"/>
      <c r="L14" s="118"/>
      <c r="M14" s="118"/>
      <c r="N14" s="143"/>
      <c r="O14" s="118"/>
      <c r="P14" s="118"/>
    </row>
    <row r="15">
      <c r="B15" s="63"/>
      <c r="C15" s="118"/>
      <c r="D15" s="118"/>
      <c r="E15" s="118"/>
      <c r="F15" s="68"/>
      <c r="G15" s="103" t="s">
        <v>256</v>
      </c>
      <c r="H15" s="107" t="s">
        <v>6</v>
      </c>
      <c r="I15" s="118"/>
      <c r="J15" s="118"/>
      <c r="K15" s="118"/>
      <c r="L15" s="118"/>
      <c r="M15" s="118"/>
      <c r="N15" s="143"/>
      <c r="O15" s="118"/>
      <c r="P15" s="118"/>
    </row>
    <row r="16">
      <c r="B16" s="124">
        <v>4.0</v>
      </c>
      <c r="C16" s="120" t="s">
        <v>256</v>
      </c>
      <c r="D16" s="201" t="s">
        <v>6</v>
      </c>
      <c r="E16" s="150"/>
      <c r="F16" s="152"/>
      <c r="G16" s="118"/>
      <c r="H16" s="118"/>
      <c r="I16" s="118"/>
      <c r="J16" s="118"/>
      <c r="K16" s="118"/>
      <c r="L16" s="118"/>
      <c r="M16" s="118"/>
      <c r="N16" s="143"/>
      <c r="O16" s="118"/>
      <c r="P16" s="118"/>
    </row>
    <row r="17">
      <c r="B17" s="68"/>
      <c r="C17" s="103" t="s">
        <v>256</v>
      </c>
      <c r="D17" s="107" t="s">
        <v>6</v>
      </c>
      <c r="E17" s="118"/>
      <c r="F17" s="118"/>
      <c r="G17" s="118"/>
      <c r="H17" s="118"/>
      <c r="I17" s="118"/>
      <c r="J17" s="118"/>
      <c r="K17" s="118"/>
      <c r="L17" s="118"/>
      <c r="M17" s="118"/>
      <c r="N17" s="143"/>
      <c r="O17" s="118"/>
      <c r="P17" s="118"/>
    </row>
    <row r="18">
      <c r="B18" s="63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24">
        <v>15.0</v>
      </c>
      <c r="O18" s="120" t="s">
        <v>256</v>
      </c>
      <c r="P18" s="201" t="s">
        <v>6</v>
      </c>
    </row>
    <row r="19">
      <c r="B19" s="63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68"/>
      <c r="O19" s="103" t="s">
        <v>256</v>
      </c>
      <c r="P19" s="107" t="s">
        <v>6</v>
      </c>
    </row>
    <row r="20">
      <c r="B20" s="124">
        <v>5.0</v>
      </c>
      <c r="C20" s="120" t="s">
        <v>256</v>
      </c>
      <c r="D20" s="201" t="s">
        <v>6</v>
      </c>
      <c r="E20" s="118"/>
      <c r="F20" s="118"/>
      <c r="G20" s="118"/>
      <c r="H20" s="118"/>
      <c r="I20" s="118"/>
      <c r="J20" s="118"/>
      <c r="K20" s="118"/>
      <c r="L20" s="118"/>
      <c r="M20" s="118"/>
      <c r="N20" s="143"/>
      <c r="O20" s="118"/>
      <c r="P20" s="118"/>
    </row>
    <row r="21">
      <c r="B21" s="68"/>
      <c r="C21" s="103" t="s">
        <v>256</v>
      </c>
      <c r="D21" s="107" t="s">
        <v>6</v>
      </c>
      <c r="E21" s="129"/>
      <c r="F21" s="131"/>
      <c r="G21" s="118"/>
      <c r="H21" s="118"/>
      <c r="I21" s="118"/>
      <c r="J21" s="118"/>
      <c r="K21" s="118"/>
      <c r="L21" s="118"/>
      <c r="M21" s="118"/>
      <c r="N21" s="143"/>
      <c r="O21" s="118"/>
      <c r="P21" s="118"/>
    </row>
    <row r="22">
      <c r="B22" s="63"/>
      <c r="C22" s="118"/>
      <c r="D22" s="118"/>
      <c r="E22" s="118"/>
      <c r="F22" s="124">
        <v>11.0</v>
      </c>
      <c r="G22" s="120" t="s">
        <v>256</v>
      </c>
      <c r="H22" s="201" t="s">
        <v>6</v>
      </c>
      <c r="I22" s="118"/>
      <c r="J22" s="118"/>
      <c r="K22" s="118"/>
      <c r="L22" s="118"/>
      <c r="M22" s="118"/>
      <c r="N22" s="143"/>
      <c r="O22" s="118"/>
      <c r="P22" s="118"/>
    </row>
    <row r="23">
      <c r="B23" s="63"/>
      <c r="C23" s="118"/>
      <c r="D23" s="118"/>
      <c r="E23" s="118"/>
      <c r="F23" s="68"/>
      <c r="G23" s="103" t="s">
        <v>256</v>
      </c>
      <c r="H23" s="107" t="s">
        <v>6</v>
      </c>
      <c r="I23" s="129"/>
      <c r="J23" s="131"/>
      <c r="K23" s="118"/>
      <c r="L23" s="118"/>
      <c r="M23" s="118"/>
      <c r="N23" s="143"/>
      <c r="O23" s="118"/>
      <c r="P23" s="118"/>
    </row>
    <row r="24">
      <c r="B24" s="124">
        <v>6.0</v>
      </c>
      <c r="C24" s="120" t="s">
        <v>256</v>
      </c>
      <c r="D24" s="201" t="s">
        <v>6</v>
      </c>
      <c r="E24" s="150"/>
      <c r="F24" s="152"/>
      <c r="G24" s="118"/>
      <c r="H24" s="118"/>
      <c r="I24" s="118"/>
      <c r="J24" s="143"/>
      <c r="K24" s="118"/>
      <c r="L24" s="118"/>
      <c r="M24" s="118"/>
      <c r="N24" s="143"/>
      <c r="O24" s="118"/>
      <c r="P24" s="118"/>
    </row>
    <row r="25">
      <c r="B25" s="68"/>
      <c r="C25" s="103" t="s">
        <v>256</v>
      </c>
      <c r="D25" s="107" t="s">
        <v>6</v>
      </c>
      <c r="E25" s="118"/>
      <c r="F25" s="118"/>
      <c r="G25" s="118"/>
      <c r="H25" s="118"/>
      <c r="I25" s="118"/>
      <c r="J25" s="143"/>
      <c r="K25" s="118"/>
      <c r="L25" s="118"/>
      <c r="M25" s="118"/>
      <c r="N25" s="143"/>
      <c r="O25" s="118"/>
      <c r="P25" s="118"/>
    </row>
    <row r="26">
      <c r="B26" s="63"/>
      <c r="C26" s="118"/>
      <c r="D26" s="118"/>
      <c r="E26" s="118"/>
      <c r="F26" s="118"/>
      <c r="G26" s="118"/>
      <c r="H26" s="118"/>
      <c r="I26" s="118"/>
      <c r="J26" s="124">
        <v>14.0</v>
      </c>
      <c r="K26" s="120" t="s">
        <v>256</v>
      </c>
      <c r="L26" s="201" t="s">
        <v>6</v>
      </c>
      <c r="M26" s="193"/>
      <c r="N26" s="188"/>
      <c r="O26" s="63"/>
      <c r="P26" s="63"/>
    </row>
    <row r="27">
      <c r="B27" s="63"/>
      <c r="C27" s="118"/>
      <c r="D27" s="118"/>
      <c r="E27" s="118"/>
      <c r="F27" s="118"/>
      <c r="G27" s="118"/>
      <c r="H27" s="118"/>
      <c r="I27" s="118"/>
      <c r="J27" s="68"/>
      <c r="K27" s="103" t="s">
        <v>256</v>
      </c>
      <c r="L27" s="107" t="s">
        <v>6</v>
      </c>
      <c r="M27" s="63"/>
      <c r="N27" s="63"/>
      <c r="O27" s="63"/>
      <c r="P27" s="63"/>
    </row>
    <row r="28">
      <c r="B28" s="124">
        <v>7.0</v>
      </c>
      <c r="C28" s="120" t="s">
        <v>256</v>
      </c>
      <c r="D28" s="201" t="s">
        <v>6</v>
      </c>
      <c r="E28" s="118"/>
      <c r="F28" s="118"/>
      <c r="G28" s="118"/>
      <c r="H28" s="118"/>
      <c r="I28" s="118"/>
      <c r="J28" s="143"/>
      <c r="K28" s="118"/>
      <c r="L28" s="118"/>
      <c r="M28" s="118"/>
      <c r="N28" s="118"/>
      <c r="O28" s="118"/>
      <c r="P28" s="118"/>
    </row>
    <row r="29">
      <c r="B29" s="68"/>
      <c r="C29" s="103" t="s">
        <v>256</v>
      </c>
      <c r="D29" s="107" t="s">
        <v>6</v>
      </c>
      <c r="E29" s="129"/>
      <c r="F29" s="131"/>
      <c r="G29" s="118"/>
      <c r="H29" s="118"/>
      <c r="I29" s="118"/>
      <c r="J29" s="143"/>
      <c r="K29" s="118"/>
      <c r="L29" s="118"/>
      <c r="M29" s="118"/>
      <c r="N29" s="118"/>
      <c r="O29" s="118"/>
      <c r="P29" s="118"/>
    </row>
    <row r="30">
      <c r="B30" s="63"/>
      <c r="C30" s="118"/>
      <c r="D30" s="118"/>
      <c r="E30" s="118"/>
      <c r="F30" s="124">
        <v>12.0</v>
      </c>
      <c r="G30" s="120" t="s">
        <v>256</v>
      </c>
      <c r="H30" s="201" t="s">
        <v>6</v>
      </c>
      <c r="I30" s="150"/>
      <c r="J30" s="152"/>
      <c r="K30" s="118"/>
      <c r="L30" s="118"/>
      <c r="M30" s="118"/>
      <c r="N30" s="118"/>
      <c r="O30" s="118"/>
      <c r="P30" s="118"/>
    </row>
    <row r="31">
      <c r="B31" s="63"/>
      <c r="C31" s="118"/>
      <c r="D31" s="118"/>
      <c r="E31" s="118"/>
      <c r="F31" s="68"/>
      <c r="G31" s="103" t="s">
        <v>256</v>
      </c>
      <c r="H31" s="107" t="s">
        <v>6</v>
      </c>
      <c r="I31" s="118"/>
      <c r="J31" s="118"/>
      <c r="K31" s="118"/>
      <c r="L31" s="118"/>
      <c r="M31" s="118"/>
      <c r="N31" s="118"/>
      <c r="O31" s="118"/>
      <c r="P31" s="118"/>
    </row>
    <row r="32">
      <c r="B32" s="124">
        <v>8.0</v>
      </c>
      <c r="C32" s="120" t="s">
        <v>256</v>
      </c>
      <c r="D32" s="201" t="s">
        <v>6</v>
      </c>
      <c r="E32" s="150"/>
      <c r="F32" s="152"/>
      <c r="G32" s="118"/>
      <c r="H32" s="118"/>
      <c r="I32" s="118"/>
      <c r="J32" s="118"/>
      <c r="K32" s="118"/>
      <c r="L32" s="118"/>
      <c r="M32" s="118"/>
      <c r="N32" s="118"/>
      <c r="O32" s="118"/>
      <c r="P32" s="118"/>
    </row>
    <row r="33">
      <c r="B33" s="68"/>
      <c r="C33" s="103" t="s">
        <v>256</v>
      </c>
      <c r="D33" s="107" t="s">
        <v>6</v>
      </c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</row>
  </sheetData>
  <mergeCells count="21">
    <mergeCell ref="B4:B5"/>
    <mergeCell ref="B8:B9"/>
    <mergeCell ref="F14:F15"/>
    <mergeCell ref="F22:F23"/>
    <mergeCell ref="J26:J27"/>
    <mergeCell ref="F30:F31"/>
    <mergeCell ref="A2:A33"/>
    <mergeCell ref="B12:B13"/>
    <mergeCell ref="B16:B17"/>
    <mergeCell ref="B20:B21"/>
    <mergeCell ref="B24:B25"/>
    <mergeCell ref="B28:B29"/>
    <mergeCell ref="B32:B33"/>
    <mergeCell ref="B1:P1"/>
    <mergeCell ref="B2:D2"/>
    <mergeCell ref="F2:H2"/>
    <mergeCell ref="J2:L2"/>
    <mergeCell ref="N2:P2"/>
    <mergeCell ref="F6:F7"/>
    <mergeCell ref="J10:J11"/>
    <mergeCell ref="N18:N19"/>
  </mergeCells>
  <drawing r:id="rId1"/>
</worksheet>
</file>