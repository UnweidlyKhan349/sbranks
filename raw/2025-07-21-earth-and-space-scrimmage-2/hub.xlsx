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 Results" sheetId="1" r:id="rId5"/>
    <sheet state="visible" name="RR Results" sheetId="2" r:id="rId6"/>
    <sheet state="visible" name="RR Results Modified" sheetId="3" r:id="rId7"/>
    <sheet state="hidden" name="Sheet7" sheetId="4" r:id="rId8"/>
    <sheet state="visible" name="RR Schedule (Table)" sheetId="5" r:id="rId9"/>
    <sheet state="hidden" name="RR Schedule (List)" sheetId="6" r:id="rId10"/>
  </sheets>
  <definedNames/>
  <calcPr/>
</workbook>
</file>

<file path=xl/sharedStrings.xml><?xml version="1.0" encoding="utf-8"?>
<sst xmlns="http://schemas.openxmlformats.org/spreadsheetml/2006/main" count="1578" uniqueCount="229">
  <si>
    <t>RR Results</t>
  </si>
  <si>
    <t>RR Results (Modified For Stats)</t>
  </si>
  <si>
    <t>DE Results</t>
  </si>
  <si>
    <t>DE 1: 9-9:30 PDT</t>
  </si>
  <si>
    <t>Bornite</t>
  </si>
  <si>
    <t>DE 2: 9:30-10 PDT</t>
  </si>
  <si>
    <t>DE 3: 10-10:30 PDT</t>
  </si>
  <si>
    <t>RR Schedule</t>
  </si>
  <si>
    <t>Cinnabar</t>
  </si>
  <si>
    <t>DE 4: 10:30-11 PDT</t>
  </si>
  <si>
    <t>Discord</t>
  </si>
  <si>
    <t>DE 5: 11-11:30 PDT</t>
  </si>
  <si>
    <t>DE 6: PDT 11:45-12:15</t>
  </si>
  <si>
    <t>RR1</t>
  </si>
  <si>
    <r>
      <rPr>
        <rFont val="Source Sans Pro"/>
        <b/>
        <color theme="1"/>
        <sz val="15.0"/>
      </rPr>
      <t>RR 1</t>
    </r>
    <r>
      <rPr>
        <rFont val="Source Sans Pro"/>
        <b val="0"/>
        <color theme="1"/>
        <sz val="15.0"/>
      </rPr>
      <t>: 7/21-7/23</t>
    </r>
  </si>
  <si>
    <t>DE 7: PDT 12:15-12:45</t>
  </si>
  <si>
    <t>RR2</t>
  </si>
  <si>
    <r>
      <rPr>
        <rFont val="Source Sans Pro"/>
        <b/>
        <color theme="1"/>
        <sz val="15.0"/>
      </rPr>
      <t>RR 2</t>
    </r>
    <r>
      <rPr>
        <rFont val="Source Sans Pro"/>
        <b val="0"/>
        <color theme="1"/>
        <sz val="15.0"/>
      </rPr>
      <t>: 7/24-7/26</t>
    </r>
  </si>
  <si>
    <t>DE 8: PDT 12:45-1:15</t>
  </si>
  <si>
    <t>RR3</t>
  </si>
  <si>
    <r>
      <rPr>
        <rFont val="Source Sans Pro"/>
        <b/>
        <color theme="1"/>
        <sz val="15.0"/>
      </rPr>
      <t>RR 3</t>
    </r>
    <r>
      <rPr>
        <rFont val="Source Sans Pro"/>
        <b val="0"/>
        <color theme="1"/>
        <sz val="15.0"/>
      </rPr>
      <t>: 7/27-7/29</t>
    </r>
  </si>
  <si>
    <t>RR4</t>
  </si>
  <si>
    <r>
      <rPr>
        <rFont val="Source Sans Pro"/>
        <b/>
        <color theme="1"/>
        <sz val="15.0"/>
      </rPr>
      <t>RR 4</t>
    </r>
    <r>
      <rPr>
        <rFont val="Source Sans Pro"/>
        <b val="0"/>
        <color theme="1"/>
        <sz val="15.0"/>
      </rPr>
      <t>: 7/30-8/1</t>
    </r>
  </si>
  <si>
    <t>RR5</t>
  </si>
  <si>
    <r>
      <rPr>
        <rFont val="Source Sans Pro"/>
        <b/>
        <color theme="1"/>
        <sz val="15.0"/>
      </rPr>
      <t>RR 5</t>
    </r>
    <r>
      <rPr>
        <rFont val="Source Sans Pro"/>
        <b val="0"/>
        <color theme="1"/>
        <sz val="15.0"/>
      </rPr>
      <t>: 8/2-8/4</t>
    </r>
  </si>
  <si>
    <t>Total</t>
  </si>
  <si>
    <t>Name</t>
  </si>
  <si>
    <t>Pts</t>
  </si>
  <si>
    <t>Username</t>
  </si>
  <si>
    <t>R</t>
  </si>
  <si>
    <t>Akhil B</t>
  </si>
  <si>
    <t>Suzuko O</t>
  </si>
  <si>
    <t>abat48</t>
  </si>
  <si>
    <t>Sumin Y</t>
  </si>
  <si>
    <t>W</t>
  </si>
  <si>
    <t>L</t>
  </si>
  <si>
    <t>Ishaan K</t>
  </si>
  <si>
    <t>hellcat4024</t>
  </si>
  <si>
    <t>Bryce T</t>
  </si>
  <si>
    <t>Malachi N</t>
  </si>
  <si>
    <t>William T</t>
  </si>
  <si>
    <t>T</t>
  </si>
  <si>
    <t>Connor Z</t>
  </si>
  <si>
    <t>Camille P</t>
  </si>
  <si>
    <t>Sarabhesh S</t>
  </si>
  <si>
    <t>Kevin L</t>
  </si>
  <si>
    <t>Ayden L</t>
  </si>
  <si>
    <t>Kensuke O</t>
  </si>
  <si>
    <t>kenuske</t>
  </si>
  <si>
    <t>7/21-7/23</t>
  </si>
  <si>
    <t>7/24-7/26</t>
  </si>
  <si>
    <t>7/27-7/29</t>
  </si>
  <si>
    <t>7/30-8/1</t>
  </si>
  <si>
    <t>8/2-8/4</t>
  </si>
  <si>
    <t>Rishabh V</t>
  </si>
  <si>
    <t>Aryan D</t>
  </si>
  <si>
    <t>connor.zz</t>
  </si>
  <si>
    <t>Rohan G</t>
  </si>
  <si>
    <t>iacidar</t>
  </si>
  <si>
    <t>Abhiraam G</t>
  </si>
  <si>
    <t>.anglesey</t>
  </si>
  <si>
    <t>Praneel A</t>
  </si>
  <si>
    <t>GRB5128</t>
  </si>
  <si>
    <t>Galena</t>
  </si>
  <si>
    <t>Varyan J</t>
  </si>
  <si>
    <t>varnite</t>
  </si>
  <si>
    <t>Marcasite</t>
  </si>
  <si>
    <t xml:space="preserve">                           BYE</t>
  </si>
  <si>
    <t>Mary P</t>
  </si>
  <si>
    <t>mareeeena</t>
  </si>
  <si>
    <t>Shubam V</t>
  </si>
  <si>
    <t>The Shubaminator</t>
  </si>
  <si>
    <t xml:space="preserve">                    BYE</t>
  </si>
  <si>
    <t>Ayden H</t>
  </si>
  <si>
    <t>potato.eater</t>
  </si>
  <si>
    <t>Yale Z</t>
  </si>
  <si>
    <t>Abhiram C</t>
  </si>
  <si>
    <t>Ian C</t>
  </si>
  <si>
    <t>F</t>
  </si>
  <si>
    <t>Travis D</t>
  </si>
  <si>
    <t>Malachi9</t>
  </si>
  <si>
    <t>Isaiah S</t>
  </si>
  <si>
    <t>so.what.if.</t>
  </si>
  <si>
    <t>Daniel L</t>
  </si>
  <si>
    <t>travis_842</t>
  </si>
  <si>
    <t>Joel Y</t>
  </si>
  <si>
    <t>Roshan A</t>
  </si>
  <si>
    <t>suminyy</t>
  </si>
  <si>
    <t>Ryan E</t>
  </si>
  <si>
    <t>Michael M</t>
  </si>
  <si>
    <t>Akshay A</t>
  </si>
  <si>
    <t>akshay</t>
  </si>
  <si>
    <t>Luyao Y</t>
  </si>
  <si>
    <t>dannyridel</t>
  </si>
  <si>
    <t>Darius S</t>
  </si>
  <si>
    <t>kaven37</t>
  </si>
  <si>
    <t>darisan3141</t>
  </si>
  <si>
    <t>Pyrite</t>
  </si>
  <si>
    <t>Realgar</t>
  </si>
  <si>
    <t>Isaac L</t>
  </si>
  <si>
    <t>.izuck</t>
  </si>
  <si>
    <t>Tiger W</t>
  </si>
  <si>
    <t>Sohil R</t>
  </si>
  <si>
    <t>BRYCE_THACH</t>
  </si>
  <si>
    <t>McNair S</t>
  </si>
  <si>
    <t>Sreejit M</t>
  </si>
  <si>
    <t>peerson_007</t>
  </si>
  <si>
    <t>Alexander D</t>
  </si>
  <si>
    <t>tigger447</t>
  </si>
  <si>
    <t>birdiesmasher</t>
  </si>
  <si>
    <t>Sachin S</t>
  </si>
  <si>
    <t>sachinshankar</t>
  </si>
  <si>
    <t>Kaiwen Y</t>
  </si>
  <si>
    <t>Alex L</t>
  </si>
  <si>
    <t>Akshay B</t>
  </si>
  <si>
    <t>Parthiv S</t>
  </si>
  <si>
    <t>parthiv.</t>
  </si>
  <si>
    <t>stitch2506</t>
  </si>
  <si>
    <t>i_study_rocks</t>
  </si>
  <si>
    <t>Sphalerite</t>
  </si>
  <si>
    <t>Stibnite</t>
  </si>
  <si>
    <t>Ashley L</t>
  </si>
  <si>
    <t>plumexplosion</t>
  </si>
  <si>
    <t>blorppps</t>
  </si>
  <si>
    <t>hi_person</t>
  </si>
  <si>
    <t>mandalorian8634</t>
  </si>
  <si>
    <t>nextrixity</t>
  </si>
  <si>
    <t>duckduckgeese.cp</t>
  </si>
  <si>
    <t>Edward J</t>
  </si>
  <si>
    <t>Edlyn W</t>
  </si>
  <si>
    <t>glacialmilk</t>
  </si>
  <si>
    <t>Alex Z</t>
  </si>
  <si>
    <t>ic8300</t>
  </si>
  <si>
    <t>piprollin</t>
  </si>
  <si>
    <t>pi_is_3.14</t>
  </si>
  <si>
    <t>abacus14</t>
  </si>
  <si>
    <t>effervesce.nce</t>
  </si>
  <si>
    <t>optil</t>
  </si>
  <si>
    <t>Gogobi</t>
  </si>
  <si>
    <t>baljeetoff</t>
  </si>
  <si>
    <t>fuze8224</t>
  </si>
  <si>
    <t>shaulaz</t>
  </si>
  <si>
    <t>monoionic</t>
  </si>
  <si>
    <t>__lockheedmartin</t>
  </si>
  <si>
    <t>isaiahfishy</t>
  </si>
  <si>
    <r>
      <rPr>
        <rFont val="Source Sans Pro"/>
        <b/>
        <color theme="1"/>
        <sz val="15.0"/>
      </rPr>
      <t>RR 1</t>
    </r>
    <r>
      <rPr>
        <rFont val="Source Sans Pro"/>
        <b val="0"/>
        <color theme="1"/>
        <sz val="15.0"/>
      </rPr>
      <t>: 8/1-8/3</t>
    </r>
  </si>
  <si>
    <r>
      <rPr>
        <rFont val="Source Sans Pro"/>
        <b/>
        <color theme="1"/>
        <sz val="15.0"/>
      </rPr>
      <t>RR 2</t>
    </r>
    <r>
      <rPr>
        <rFont val="Source Sans Pro"/>
        <b val="0"/>
        <color theme="1"/>
        <sz val="15.0"/>
      </rPr>
      <t>: 8/4-8/6</t>
    </r>
  </si>
  <si>
    <r>
      <rPr>
        <rFont val="Source Sans Pro"/>
        <b/>
        <color theme="1"/>
        <sz val="15.0"/>
      </rPr>
      <t>RR 3</t>
    </r>
    <r>
      <rPr>
        <rFont val="Source Sans Pro"/>
        <b val="0"/>
        <color theme="1"/>
        <sz val="15.0"/>
      </rPr>
      <t>: 8/7-8/9</t>
    </r>
  </si>
  <si>
    <r>
      <rPr>
        <rFont val="Source Sans Pro"/>
        <b/>
        <color theme="1"/>
        <sz val="15.0"/>
      </rPr>
      <t>RR 4</t>
    </r>
    <r>
      <rPr>
        <rFont val="Source Sans Pro"/>
        <b val="0"/>
        <color theme="1"/>
        <sz val="15.0"/>
      </rPr>
      <t>: 8/10-8/12</t>
    </r>
  </si>
  <si>
    <r>
      <rPr>
        <rFont val="Source Sans Pro"/>
        <b/>
        <color theme="1"/>
        <sz val="15.0"/>
      </rPr>
      <t>RR 5</t>
    </r>
    <r>
      <rPr>
        <rFont val="Source Sans Pro"/>
        <b val="0"/>
        <color theme="1"/>
        <sz val="15.0"/>
      </rPr>
      <t>: 8/13-8/15</t>
    </r>
  </si>
  <si>
    <t>Group</t>
  </si>
  <si>
    <t>Player 1</t>
  </si>
  <si>
    <t>Player 2</t>
  </si>
  <si>
    <t>Alex D.</t>
  </si>
  <si>
    <t>Johnathan S</t>
  </si>
  <si>
    <t>Minghao G</t>
  </si>
  <si>
    <t>Samuel W</t>
  </si>
  <si>
    <t>Shreyas E</t>
  </si>
  <si>
    <t>TheScienceGuy</t>
  </si>
  <si>
    <t>sucralose_121983</t>
  </si>
  <si>
    <t>Devesh A</t>
  </si>
  <si>
    <t>Emily H</t>
  </si>
  <si>
    <t>Jason Y</t>
  </si>
  <si>
    <t>Samarth J</t>
  </si>
  <si>
    <t>lapronite</t>
  </si>
  <si>
    <t>Shreyase39</t>
  </si>
  <si>
    <t>_devesh_</t>
  </si>
  <si>
    <t>Advai S</t>
  </si>
  <si>
    <t>Charlotte C</t>
  </si>
  <si>
    <t>Flora J</t>
  </si>
  <si>
    <t>ginkgobee</t>
  </si>
  <si>
    <t>bdcl</t>
  </si>
  <si>
    <t>Allen F</t>
  </si>
  <si>
    <t>Nyles H</t>
  </si>
  <si>
    <t>Sophia X</t>
  </si>
  <si>
    <t>Vishnu M</t>
  </si>
  <si>
    <t>@ur.strong.husband.</t>
  </si>
  <si>
    <t>dwaii</t>
  </si>
  <si>
    <t>Connor C</t>
  </si>
  <si>
    <t>Jack F</t>
  </si>
  <si>
    <t>Jesse D</t>
  </si>
  <si>
    <t>Patrick S</t>
  </si>
  <si>
    <t>butitsyou</t>
  </si>
  <si>
    <t>pineapple3527</t>
  </si>
  <si>
    <t>Harry J</t>
  </si>
  <si>
    <t>Osric D</t>
  </si>
  <si>
    <t>Penelope S</t>
  </si>
  <si>
    <t>Ryan C</t>
  </si>
  <si>
    <t>Shreyas K</t>
  </si>
  <si>
    <t>3neks</t>
  </si>
  <si>
    <t>malachi9</t>
  </si>
  <si>
    <t>extrino</t>
  </si>
  <si>
    <t>Alexander W</t>
  </si>
  <si>
    <t>Dhruhi P</t>
  </si>
  <si>
    <t>Jianyu W</t>
  </si>
  <si>
    <t>Shashank V</t>
  </si>
  <si>
    <t>ShrkyBoi@2678</t>
  </si>
  <si>
    <t>Advik S</t>
  </si>
  <si>
    <t>Aldric B</t>
  </si>
  <si>
    <t>Ritwik A</t>
  </si>
  <si>
    <t>Zack Z</t>
  </si>
  <si>
    <t>azraelrxi</t>
  </si>
  <si>
    <t>oof7373</t>
  </si>
  <si>
    <t>c0nn0r70</t>
  </si>
  <si>
    <t>lackolith</t>
  </si>
  <si>
    <t>spudunkerdunker#4047</t>
  </si>
  <si>
    <t>xn1trogen.</t>
  </si>
  <si>
    <t>abat4</t>
  </si>
  <si>
    <t>harry__jin</t>
  </si>
  <si>
    <t>odiend1</t>
  </si>
  <si>
    <t>@.sub_marine.</t>
  </si>
  <si>
    <t>exoplanets</t>
  </si>
  <si>
    <t>KingOfStocks</t>
  </si>
  <si>
    <t>goldenorbweaver</t>
  </si>
  <si>
    <t>frung1</t>
  </si>
  <si>
    <t>cloudicloud</t>
  </si>
  <si>
    <t>covets_destined_death</t>
  </si>
  <si>
    <t>advik4801gi</t>
  </si>
  <si>
    <t>polaris24</t>
  </si>
  <si>
    <t>grrhehehehaw.</t>
  </si>
  <si>
    <t>mortionic</t>
  </si>
  <si>
    <t>Oreopengguin</t>
  </si>
  <si>
    <t>Waitlist</t>
  </si>
  <si>
    <t>Srinjoy M</t>
  </si>
  <si>
    <t>999srinn.</t>
  </si>
  <si>
    <t>Yash R</t>
  </si>
  <si>
    <t>albuspotter124</t>
  </si>
  <si>
    <t>Aryo B</t>
  </si>
  <si>
    <t>aryo0050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</si>
</sst>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, yy"/>
  </numFmts>
  <fonts count="16">
    <font>
      <sz val="10.0"/>
      <color rgb="FF000000"/>
      <name val="Arial"/>
      <scheme val="minor"/>
    </font>
    <font>
      <b/>
      <sz val="36.0"/>
      <color rgb="FFF3F3F3"/>
      <name val="Source Sans Pro"/>
    </font>
    <font>
      <color theme="1"/>
      <name val="Source Sans Pro"/>
    </font>
    <font>
      <b/>
      <sz val="15.0"/>
      <color theme="1"/>
      <name val="Source Sans Pro"/>
    </font>
    <font/>
    <font>
      <b/>
      <sz val="13.0"/>
      <color rgb="FFEFEFEF"/>
      <name val="Source Sans Pro"/>
    </font>
    <font>
      <b/>
      <sz val="11.0"/>
      <color rgb="FF000000"/>
      <name val="Source Sans Pro"/>
    </font>
    <font>
      <b/>
      <sz val="11.0"/>
      <color theme="1"/>
      <name val="Source Sans Pro"/>
    </font>
    <font>
      <sz val="11.0"/>
      <color theme="1"/>
      <name val="Source Sans Pro"/>
    </font>
    <font>
      <color theme="1"/>
      <name val="Arial"/>
    </font>
    <font>
      <sz val="11.0"/>
      <color rgb="FF000000"/>
      <name val="Source Sans Pro"/>
    </font>
    <font>
      <sz val="11.0"/>
      <color theme="1"/>
      <name val="Arial"/>
    </font>
    <font>
      <color theme="1"/>
      <name val="Arial"/>
      <scheme val="minor"/>
    </font>
    <font>
      <b/>
      <i/>
      <sz val="11.0"/>
      <color theme="1"/>
      <name val="Source Sans Pro"/>
    </font>
    <font>
      <b/>
      <sz val="15.0"/>
      <color rgb="FF000000"/>
      <name val="Source Sans Pro"/>
    </font>
    <font>
      <i/>
      <sz val="11.0"/>
      <color rgb="FF000000"/>
      <name val="Source Sans Pro"/>
    </font>
  </fonts>
  <fills count="12">
    <fill>
      <patternFill patternType="none"/>
    </fill>
    <fill>
      <patternFill patternType="lightGray"/>
    </fill>
    <fill>
      <patternFill patternType="solid">
        <fgColor rgb="FFFD2351"/>
        <bgColor rgb="FFFD2351"/>
      </patternFill>
    </fill>
    <fill>
      <patternFill patternType="solid">
        <fgColor rgb="FFFF5D55"/>
        <bgColor rgb="FFFF5D55"/>
      </patternFill>
    </fill>
    <fill>
      <patternFill patternType="solid">
        <fgColor theme="0"/>
        <bgColor theme="0"/>
      </patternFill>
    </fill>
    <fill>
      <patternFill patternType="solid">
        <fgColor rgb="FFC5FFB1"/>
        <bgColor rgb="FFC5FFB1"/>
      </patternFill>
    </fill>
    <fill>
      <patternFill patternType="solid">
        <fgColor rgb="FFFFC6C6"/>
        <bgColor rgb="FFFFC6C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2342FF"/>
        <bgColor rgb="FF2342FF"/>
      </patternFill>
    </fill>
  </fills>
  <borders count="34">
    <border/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bottom style="medium">
        <color rgb="FFFF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5569FF"/>
      </top>
    </border>
    <border>
      <right style="medium">
        <color rgb="FFFF0000"/>
      </right>
      <top style="medium">
        <color rgb="FF5569FF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top style="medium">
        <color rgb="FF000000"/>
      </top>
    </border>
    <border>
      <right style="medium">
        <color rgb="FFFF0000"/>
      </right>
      <bottom style="medium">
        <color rgb="FFFF0000"/>
      </bottom>
    </border>
    <border>
      <right style="medium">
        <color rgb="FFFF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FD2351"/>
      </bottom>
    </border>
    <border>
      <right style="medium">
        <color rgb="FFFF0000"/>
      </right>
      <top style="medium">
        <color rgb="FFFD2351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1" fillId="0" fontId="3" numFmtId="0" xfId="0" applyAlignment="1" applyBorder="1" applyFont="1">
      <alignment horizontal="center" readingOrder="0"/>
    </xf>
    <xf borderId="1" fillId="0" fontId="4" numFmtId="0" xfId="0" applyBorder="1" applyFont="1"/>
    <xf borderId="2" fillId="3" fontId="5" numFmtId="0" xfId="0" applyAlignment="1" applyBorder="1" applyFill="1" applyFont="1">
      <alignment horizontal="center" readingOrder="0" vertical="bottom"/>
    </xf>
    <xf borderId="2" fillId="0" fontId="3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horizontal="center" readingOrder="0" vertical="bottom"/>
    </xf>
    <xf borderId="3" fillId="0" fontId="4" numFmtId="0" xfId="0" applyBorder="1" applyFont="1"/>
    <xf borderId="3" fillId="3" fontId="5" numFmtId="0" xfId="0" applyAlignment="1" applyBorder="1" applyFill="1" applyFont="1">
      <alignment horizontal="center" readingOrder="0" vertical="bottom"/>
    </xf>
    <xf borderId="4" fillId="0" fontId="2" numFmtId="0" xfId="0" applyBorder="1" applyFont="1"/>
    <xf borderId="5" fillId="2" fontId="1" numFmtId="0" xfId="0" applyAlignment="1" applyBorder="1" applyFill="1" applyFont="1">
      <alignment horizontal="center" readingOrder="0" vertical="center"/>
    </xf>
    <xf borderId="6" fillId="4" fontId="6" numFmtId="0" xfId="0" applyAlignment="1" applyBorder="1" applyFill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7" fillId="0" fontId="4" numFmtId="0" xfId="0" applyBorder="1" applyFont="1"/>
    <xf borderId="8" fillId="0" fontId="7" numFmtId="0" xfId="0" applyAlignment="1" applyBorder="1" applyFont="1">
      <alignment horizontal="center" readingOrder="0" vertical="bottom"/>
    </xf>
    <xf borderId="6" fillId="0" fontId="4" numFmtId="0" xfId="0" applyBorder="1" applyFont="1"/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readingOrder="0"/>
    </xf>
    <xf borderId="9" fillId="0" fontId="7" numFmtId="0" xfId="0" applyAlignment="1" applyBorder="1" applyFont="1">
      <alignment horizontal="center" readingOrder="0"/>
    </xf>
    <xf borderId="0" fillId="0" fontId="9" numFmtId="0" xfId="0" applyAlignment="1" applyFont="1">
      <alignment horizontal="center" vertical="bottom"/>
    </xf>
    <xf borderId="0" fillId="0" fontId="8" numFmtId="0" xfId="0" applyAlignment="1" applyFont="1">
      <alignment horizontal="center"/>
    </xf>
    <xf borderId="0" fillId="0" fontId="10" numFmtId="0" xfId="0" applyAlignment="1" applyFont="1">
      <alignment horizontal="left" shrinkToFit="0" vertical="bottom" wrapText="0"/>
    </xf>
    <xf borderId="10" fillId="2" fontId="5" numFmtId="0" xfId="0" applyAlignment="1" applyBorder="1" applyFill="1" applyFont="1">
      <alignment horizontal="center" readingOrder="0" textRotation="0" vertical="center"/>
    </xf>
    <xf borderId="5" fillId="0" fontId="10" numFmtId="0" xfId="0" applyAlignment="1" applyBorder="1" applyFont="1">
      <alignment horizontal="left" readingOrder="0" shrinkToFit="0" vertical="bottom" wrapText="0"/>
    </xf>
    <xf borderId="11" fillId="0" fontId="8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left" readingOrder="0" shrinkToFit="0" vertical="bottom" wrapText="0"/>
    </xf>
    <xf borderId="12" fillId="0" fontId="8" numFmtId="0" xfId="0" applyAlignment="1" applyBorder="1" applyFont="1">
      <alignment horizontal="center" readingOrder="0" vertical="bottom"/>
    </xf>
    <xf borderId="13" fillId="5" fontId="6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14" fillId="0" fontId="8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readingOrder="0" vertical="bottom"/>
    </xf>
    <xf borderId="0" fillId="0" fontId="11" numFmtId="0" xfId="0" applyAlignment="1" applyFont="1">
      <alignment horizontal="center" vertical="bottom"/>
    </xf>
    <xf borderId="0" fillId="0" fontId="8" numFmtId="3" xfId="0" applyAlignment="1" applyFont="1" applyNumberFormat="1">
      <alignment horizontal="center" readingOrder="0"/>
    </xf>
    <xf borderId="12" fillId="0" fontId="8" numFmtId="0" xfId="0" applyAlignment="1" applyBorder="1" applyFont="1">
      <alignment horizontal="center" readingOrder="0"/>
    </xf>
    <xf borderId="16" fillId="0" fontId="4" numFmtId="0" xfId="0" applyBorder="1" applyFont="1"/>
    <xf borderId="17" fillId="0" fontId="7" numFmtId="0" xfId="0" applyAlignment="1" applyBorder="1" applyFont="1">
      <alignment horizontal="center" readingOrder="0"/>
    </xf>
    <xf borderId="5" fillId="0" fontId="11" numFmtId="0" xfId="0" applyAlignment="1" applyBorder="1" applyFont="1">
      <alignment horizontal="center" vertical="bottom"/>
    </xf>
    <xf borderId="18" fillId="0" fontId="8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/>
    </xf>
    <xf borderId="19" fillId="6" fontId="7" numFmtId="0" xfId="0" applyAlignment="1" applyBorder="1" applyFill="1" applyFont="1">
      <alignment horizontal="center" readingOrder="0" vertical="center"/>
    </xf>
    <xf borderId="20" fillId="0" fontId="9" numFmtId="0" xfId="0" applyAlignment="1" applyBorder="1" applyFont="1">
      <alignment vertical="center"/>
    </xf>
    <xf borderId="21" fillId="0" fontId="9" numFmtId="0" xfId="0" applyAlignment="1" applyBorder="1" applyFont="1">
      <alignment vertical="center"/>
    </xf>
    <xf borderId="12" fillId="7" fontId="8" numFmtId="0" xfId="0" applyAlignment="1" applyBorder="1" applyFill="1" applyFont="1">
      <alignment horizontal="center" readingOrder="0" vertical="bottom"/>
    </xf>
    <xf borderId="0" fillId="0" fontId="9" numFmtId="0" xfId="0" applyAlignment="1" applyFont="1">
      <alignment vertical="center"/>
    </xf>
    <xf borderId="7" fillId="0" fontId="8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/>
    </xf>
    <xf borderId="9" fillId="0" fontId="8" numFmtId="0" xfId="0" applyAlignment="1" applyBorder="1" applyFont="1">
      <alignment horizontal="center" readingOrder="0" shrinkToFit="0" vertical="bottom" wrapText="0"/>
    </xf>
    <xf borderId="13" fillId="6" fontId="6" numFmtId="0" xfId="0" applyAlignment="1" applyBorder="1" applyFill="1" applyFont="1">
      <alignment horizontal="center" readingOrder="0" vertical="center"/>
    </xf>
    <xf borderId="0" fillId="8" fontId="10" numFmtId="0" xfId="0" applyAlignment="1" applyFill="1" applyFont="1">
      <alignment horizontal="left" shrinkToFit="0" vertical="bottom" wrapText="0"/>
    </xf>
    <xf borderId="22" fillId="8" fontId="8" numFmtId="0" xfId="0" applyAlignment="1" applyBorder="1" applyFill="1" applyFont="1">
      <alignment horizontal="center" readingOrder="0" vertical="bottom"/>
    </xf>
    <xf borderId="14" fillId="0" fontId="9" numFmtId="0" xfId="0" applyAlignment="1" applyBorder="1" applyFont="1">
      <alignment vertical="center"/>
    </xf>
    <xf borderId="18" fillId="0" fontId="8" numFmtId="0" xfId="0" applyAlignment="1" applyBorder="1" applyFont="1">
      <alignment horizontal="center" readingOrder="0" vertical="bottom"/>
    </xf>
    <xf borderId="12" fillId="0" fontId="8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vertical="center"/>
    </xf>
    <xf borderId="23" fillId="0" fontId="8" numFmtId="0" xfId="0" applyAlignment="1" applyBorder="1" applyFont="1">
      <alignment horizontal="center" readingOrder="0" vertical="bottom"/>
    </xf>
    <xf borderId="0" fillId="3" fontId="9" numFmtId="0" xfId="0" applyAlignment="1" applyFill="1" applyFont="1">
      <alignment vertical="bottom"/>
    </xf>
    <xf borderId="18" fillId="0" fontId="8" numFmtId="3" xfId="0" applyAlignment="1" applyBorder="1" applyFont="1" applyNumberFormat="1">
      <alignment horizontal="center" readingOrder="0"/>
    </xf>
    <xf borderId="17" fillId="0" fontId="8" numFmtId="0" xfId="0" applyAlignment="1" applyBorder="1" applyFont="1">
      <alignment horizontal="center" readingOrder="0" vertical="bottom"/>
    </xf>
    <xf borderId="22" fillId="0" fontId="8" numFmtId="0" xfId="0" applyAlignment="1" applyBorder="1" applyFont="1">
      <alignment horizontal="center" readingOrder="0"/>
    </xf>
    <xf borderId="24" fillId="0" fontId="8" numFmtId="0" xfId="0" applyAlignment="1" applyBorder="1" applyFont="1">
      <alignment horizontal="center" readingOrder="0" shrinkToFit="0" vertical="bottom" wrapText="0"/>
    </xf>
    <xf borderId="19" fillId="0" fontId="7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19" fillId="5" fontId="7" numFmtId="0" xfId="0" applyAlignment="1" applyBorder="1" applyFill="1" applyFont="1">
      <alignment horizontal="center" readingOrder="0" vertical="center"/>
    </xf>
    <xf borderId="0" fillId="8" fontId="10" numFmtId="0" xfId="0" applyAlignment="1" applyFill="1" applyFont="1">
      <alignment horizontal="left" readingOrder="0" shrinkToFit="0" vertical="bottom" wrapText="0"/>
    </xf>
    <xf borderId="0" fillId="0" fontId="12" numFmtId="0" xfId="0" applyAlignment="1" applyFont="1">
      <alignment vertical="center"/>
    </xf>
    <xf borderId="21" fillId="0" fontId="9" numFmtId="0" xfId="0" applyAlignment="1" applyBorder="1" applyFont="1">
      <alignment vertical="center"/>
    </xf>
    <xf borderId="22" fillId="0" fontId="8" numFmtId="0" xfId="0" applyAlignment="1" applyBorder="1" applyFont="1">
      <alignment horizontal="center" readingOrder="0" vertical="bottom"/>
    </xf>
    <xf borderId="0" fillId="8" fontId="8" numFmtId="0" xfId="0" applyAlignment="1" applyFill="1" applyFont="1">
      <alignment horizontal="center" readingOrder="0" vertical="bottom"/>
    </xf>
    <xf borderId="14" fillId="0" fontId="9" numFmtId="0" xfId="0" applyAlignment="1" applyBorder="1" applyFont="1">
      <alignment vertical="center"/>
    </xf>
    <xf borderId="25" fillId="0" fontId="7" numFmtId="0" xfId="0" applyAlignment="1" applyBorder="1" applyFont="1">
      <alignment horizontal="center" readingOrder="0" vertical="bottom"/>
    </xf>
    <xf borderId="26" fillId="0" fontId="9" numFmtId="0" xfId="0" applyAlignment="1" applyBorder="1" applyFont="1">
      <alignment vertical="center"/>
    </xf>
    <xf borderId="25" fillId="0" fontId="8" numFmtId="0" xfId="0" applyAlignment="1" applyBorder="1" applyFont="1">
      <alignment horizontal="center" readingOrder="0" vertical="bottom"/>
    </xf>
    <xf borderId="27" fillId="0" fontId="9" numFmtId="0" xfId="0" applyAlignment="1" applyBorder="1" applyFont="1">
      <alignment vertical="center"/>
    </xf>
    <xf borderId="25" fillId="0" fontId="8" numFmtId="0" xfId="0" applyAlignment="1" applyBorder="1" applyFont="1">
      <alignment horizontal="center" readingOrder="0"/>
    </xf>
    <xf borderId="0" fillId="0" fontId="8" numFmtId="164" xfId="0" applyAlignment="1" applyFont="1" applyNumberFormat="1">
      <alignment horizontal="center" readingOrder="0" vertical="center"/>
    </xf>
    <xf borderId="25" fillId="0" fontId="8" numFmtId="0" xfId="0" applyAlignment="1" applyBorder="1" applyFont="1">
      <alignment horizontal="center"/>
    </xf>
    <xf borderId="5" fillId="9" fontId="10" numFmtId="0" xfId="0" applyAlignment="1" applyBorder="1" applyFill="1" applyFont="1">
      <alignment horizontal="left" readingOrder="0" shrinkToFit="0" vertical="bottom" wrapText="0"/>
    </xf>
    <xf borderId="25" fillId="0" fontId="7" numFmtId="0" xfId="0" applyAlignment="1" applyBorder="1" applyFont="1">
      <alignment horizontal="center"/>
    </xf>
    <xf borderId="0" fillId="9" fontId="10" numFmtId="0" xfId="0" applyAlignment="1" applyFill="1" applyFont="1">
      <alignment horizontal="left" readingOrder="0" shrinkToFit="0" vertical="bottom" wrapText="0"/>
    </xf>
    <xf borderId="28" fillId="0" fontId="8" numFmtId="0" xfId="0" applyAlignment="1" applyBorder="1" applyFont="1">
      <alignment horizontal="center" readingOrder="0" vertical="bottom"/>
    </xf>
    <xf borderId="19" fillId="3" fontId="9" numFmtId="0" xfId="0" applyAlignment="1" applyBorder="1" applyFill="1" applyFont="1">
      <alignment vertical="bottom"/>
    </xf>
    <xf borderId="29" fillId="0" fontId="8" numFmtId="0" xfId="0" applyAlignment="1" applyBorder="1" applyFont="1">
      <alignment horizontal="left" readingOrder="0" vertical="center"/>
    </xf>
    <xf borderId="29" fillId="0" fontId="8" numFmtId="0" xfId="0" applyAlignment="1" applyBorder="1" applyFont="1">
      <alignment horizontal="center" readingOrder="0" vertical="center"/>
    </xf>
    <xf borderId="29" fillId="0" fontId="9" numFmtId="0" xfId="0" applyAlignment="1" applyBorder="1" applyFont="1">
      <alignment vertical="center"/>
    </xf>
    <xf borderId="5" fillId="8" fontId="10" numFmtId="0" xfId="0" applyAlignment="1" applyBorder="1" applyFill="1" applyFont="1">
      <alignment horizontal="left" shrinkToFit="0" vertical="bottom" wrapText="0"/>
    </xf>
    <xf borderId="30" fillId="0" fontId="9" numFmtId="0" xfId="0" applyAlignment="1" applyBorder="1" applyFont="1">
      <alignment vertical="center"/>
    </xf>
    <xf borderId="4" fillId="0" fontId="2" numFmtId="0" xfId="0" applyAlignment="1" applyBorder="1" applyFont="1">
      <alignment readingOrder="0"/>
    </xf>
    <xf borderId="18" fillId="0" fontId="8" numFmtId="0" xfId="0" applyAlignment="1" applyBorder="1" applyFont="1">
      <alignment horizontal="center" readingOrder="0"/>
    </xf>
    <xf borderId="12" fillId="8" fontId="8" numFmtId="0" xfId="0" applyAlignment="1" applyBorder="1" applyFill="1" applyFont="1">
      <alignment horizontal="center" readingOrder="0" vertical="bottom"/>
    </xf>
    <xf borderId="26" fillId="0" fontId="9" numFmtId="0" xfId="0" applyAlignment="1" applyBorder="1" applyFont="1">
      <alignment vertical="center"/>
    </xf>
    <xf borderId="1" fillId="0" fontId="8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 readingOrder="0"/>
    </xf>
    <xf borderId="6" fillId="4" fontId="6" numFmtId="3" xfId="0" applyAlignment="1" applyBorder="1" applyFill="1" applyFont="1" applyNumberFormat="1">
      <alignment horizontal="center" readingOrder="0" vertical="bottom"/>
    </xf>
    <xf borderId="30" fillId="0" fontId="9" numFmtId="0" xfId="0" applyAlignment="1" applyBorder="1" applyFont="1">
      <alignment vertical="bottom"/>
    </xf>
    <xf borderId="27" fillId="0" fontId="9" numFmtId="0" xfId="0" applyAlignment="1" applyBorder="1" applyFont="1">
      <alignment vertical="bottom"/>
    </xf>
    <xf borderId="20" fillId="0" fontId="9" numFmtId="0" xfId="0" applyAlignment="1" applyBorder="1" applyFont="1">
      <alignment vertical="center"/>
    </xf>
    <xf borderId="9" fillId="0" fontId="7" numFmtId="0" xfId="0" applyAlignment="1" applyBorder="1" applyFont="1">
      <alignment horizontal="center" readingOrder="0" vertical="center"/>
    </xf>
    <xf borderId="12" fillId="10" fontId="8" numFmtId="0" xfId="0" applyAlignment="1" applyBorder="1" applyFill="1" applyFont="1">
      <alignment horizontal="center" readingOrder="0" vertical="bottom"/>
    </xf>
    <xf borderId="0" fillId="8" fontId="8" numFmtId="0" xfId="0" applyAlignment="1" applyFill="1" applyFont="1">
      <alignment horizontal="center" readingOrder="0"/>
    </xf>
    <xf borderId="22" fillId="7" fontId="8" numFmtId="0" xfId="0" applyAlignment="1" applyBorder="1" applyFill="1" applyFont="1">
      <alignment horizontal="center" readingOrder="0" vertical="bottom"/>
    </xf>
    <xf borderId="0" fillId="10" fontId="8" numFmtId="0" xfId="0" applyAlignment="1" applyFill="1" applyFont="1">
      <alignment horizontal="center" readingOrder="0" vertical="bottom"/>
    </xf>
    <xf borderId="18" fillId="8" fontId="8" numFmtId="0" xfId="0" applyAlignment="1" applyBorder="1" applyFill="1" applyFont="1">
      <alignment horizontal="center" readingOrder="0" vertical="bottom"/>
    </xf>
    <xf borderId="11" fillId="0" fontId="8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 textRotation="0" vertical="center"/>
    </xf>
    <xf borderId="0" fillId="0" fontId="7" numFmtId="0" xfId="0" applyAlignment="1" applyFont="1">
      <alignment horizontal="center" readingOrder="0" vertical="center"/>
    </xf>
    <xf borderId="0" fillId="8" fontId="8" numFmtId="0" xfId="0" applyAlignment="1" applyFill="1" applyFont="1">
      <alignment horizontal="center" readingOrder="0" vertical="center"/>
    </xf>
    <xf borderId="0" fillId="8" fontId="7" numFmtId="0" xfId="0" applyAlignment="1" applyFill="1" applyFont="1">
      <alignment horizontal="center" readingOrder="0" vertical="center"/>
    </xf>
    <xf borderId="0" fillId="8" fontId="8" numFmtId="0" xfId="0" applyAlignment="1" applyFill="1" applyFont="1">
      <alignment horizontal="center" vertical="center"/>
    </xf>
    <xf borderId="6" fillId="0" fontId="7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18" fillId="10" fontId="8" numFmtId="0" xfId="0" applyAlignment="1" applyBorder="1" applyFill="1" applyFont="1">
      <alignment horizontal="center" readingOrder="0" vertical="bottom"/>
    </xf>
    <xf borderId="0" fillId="0" fontId="13" numFmtId="0" xfId="0" applyAlignment="1" applyFont="1">
      <alignment horizontal="center" readingOrder="0" vertical="bottom"/>
    </xf>
    <xf borderId="0" fillId="8" fontId="14" numFmtId="0" xfId="0" applyAlignment="1" applyFill="1" applyFont="1">
      <alignment horizontal="center" readingOrder="0" shrinkToFit="0" vertical="bottom" wrapText="0"/>
    </xf>
    <xf borderId="26" fillId="0" fontId="9" numFmtId="0" xfId="0" applyAlignment="1" applyBorder="1" applyFont="1">
      <alignment vertical="bottom"/>
    </xf>
    <xf borderId="31" fillId="0" fontId="14" numFmtId="0" xfId="0" applyAlignment="1" applyBorder="1" applyFont="1">
      <alignment horizontal="center" readingOrder="0" shrinkToFit="0" vertical="bottom" wrapText="0"/>
    </xf>
    <xf borderId="25" fillId="0" fontId="4" numFmtId="0" xfId="0" applyBorder="1" applyFont="1"/>
    <xf borderId="0" fillId="8" fontId="15" numFmtId="0" xfId="0" applyAlignment="1" applyFill="1" applyFont="1">
      <alignment horizontal="left" readingOrder="0" shrinkToFit="0" vertical="bottom" wrapText="0"/>
    </xf>
    <xf borderId="5" fillId="0" fontId="15" numFmtId="0" xfId="0" applyAlignment="1" applyBorder="1" applyFont="1">
      <alignment horizontal="left" readingOrder="0" shrinkToFit="0" vertical="bottom" wrapText="0"/>
    </xf>
    <xf borderId="0" fillId="0" fontId="15" numFmtId="0" xfId="0" applyAlignment="1" applyFont="1">
      <alignment horizontal="left" shrinkToFit="0" vertical="bottom" wrapText="0"/>
    </xf>
    <xf borderId="32" fillId="0" fontId="15" numFmtId="0" xfId="0" applyAlignment="1" applyBorder="1" applyFont="1">
      <alignment horizontal="left" readingOrder="0" shrinkToFit="0" vertical="bottom" wrapText="0"/>
    </xf>
    <xf borderId="18" fillId="0" fontId="15" numFmtId="0" xfId="0" applyAlignment="1" applyBorder="1" applyFont="1">
      <alignment horizontal="left" readingOrder="0" shrinkToFit="0" vertical="bottom" wrapText="0"/>
    </xf>
    <xf borderId="25" fillId="11" fontId="1" numFmtId="0" xfId="0" applyAlignment="1" applyBorder="1" applyFill="1" applyFont="1">
      <alignment horizontal="center" readingOrder="0" vertical="center"/>
    </xf>
    <xf borderId="0" fillId="11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bottom"/>
    </xf>
    <xf borderId="17" fillId="0" fontId="4" numFmtId="0" xfId="0" applyBorder="1" applyFont="1"/>
    <xf borderId="5" fillId="0" fontId="3" numFmtId="0" xfId="0" applyAlignment="1" applyBorder="1" applyFont="1">
      <alignment horizontal="center" readingOrder="0" vertical="bottom"/>
    </xf>
    <xf borderId="33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vertical="bottom"/>
    </xf>
    <xf borderId="9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0"/>
    </xf>
    <xf borderId="5" fillId="0" fontId="8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17" fillId="0" fontId="8" numFmtId="0" xfId="0" applyAlignment="1" applyBorder="1" applyFont="1">
      <alignment vertical="bottom"/>
    </xf>
    <xf borderId="17" fillId="0" fontId="8" numFmtId="0" xfId="0" applyAlignment="1" applyBorder="1" applyFont="1">
      <alignment horizontal="center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5" fillId="9" fontId="8" numFmtId="0" xfId="0" applyAlignment="1" applyBorder="1" applyFill="1" applyFont="1">
      <alignment horizontal="center" vertical="bottom"/>
    </xf>
    <xf borderId="0" fillId="9" fontId="8" numFmtId="0" xfId="0" applyAlignment="1" applyFill="1" applyFont="1">
      <alignment horizontal="center" vertical="bottom"/>
    </xf>
    <xf borderId="5" fillId="9" fontId="8" numFmtId="0" xfId="0" applyAlignment="1" applyBorder="1" applyFill="1" applyFont="1">
      <alignment horizontal="center" vertical="bottom"/>
    </xf>
    <xf borderId="17" fillId="9" fontId="8" numFmtId="0" xfId="0" applyAlignment="1" applyBorder="1" applyFill="1" applyFont="1">
      <alignment horizontal="center" vertical="bottom"/>
    </xf>
    <xf borderId="0" fillId="9" fontId="8" numFmtId="0" xfId="0" applyAlignment="1" applyFill="1" applyFont="1">
      <alignment horizontal="center" vertical="bottom"/>
    </xf>
    <xf borderId="17" fillId="9" fontId="8" numFmtId="0" xfId="0" applyAlignment="1" applyBorder="1" applyFill="1" applyFont="1">
      <alignment horizontal="center" vertical="bottom"/>
    </xf>
    <xf borderId="5" fillId="9" fontId="10" numFmtId="0" xfId="0" applyAlignment="1" applyBorder="1" applyFill="1" applyFont="1">
      <alignment horizontal="left" shrinkToFit="0" vertical="bottom" wrapText="0"/>
    </xf>
    <xf borderId="0" fillId="9" fontId="10" numFmtId="0" xfId="0" applyAlignment="1" applyFill="1" applyFont="1">
      <alignment horizontal="left" shrinkToFit="0" vertical="bottom" wrapText="0"/>
    </xf>
    <xf borderId="17" fillId="0" fontId="8" numFmtId="0" xfId="0" applyAlignment="1" applyBorder="1" applyFont="1">
      <alignment horizontal="center" vertical="bottom"/>
    </xf>
    <xf borderId="0" fillId="8" fontId="5" numFmtId="0" xfId="0" applyAlignment="1" applyFill="1" applyFont="1">
      <alignment horizontal="center" readingOrder="0" textRotation="0" vertical="center"/>
    </xf>
    <xf borderId="22" fillId="10" fontId="8" numFmtId="0" xfId="0" applyAlignment="1" applyBorder="1" applyFill="1" applyFont="1">
      <alignment horizontal="center" readingOrder="0" vertical="bottom"/>
    </xf>
    <xf borderId="32" fillId="9" fontId="8" numFmtId="0" xfId="0" applyAlignment="1" applyBorder="1" applyFill="1" applyFont="1">
      <alignment horizontal="center" vertical="bottom"/>
    </xf>
    <xf borderId="18" fillId="9" fontId="8" numFmtId="0" xfId="0" applyAlignment="1" applyBorder="1" applyFill="1" applyFont="1">
      <alignment horizontal="center" vertical="bottom"/>
    </xf>
    <xf borderId="19" fillId="9" fontId="8" numFmtId="0" xfId="0" applyAlignment="1" applyBorder="1" applyFill="1" applyFont="1">
      <alignment horizontal="center" vertical="bottom"/>
    </xf>
    <xf borderId="18" fillId="9" fontId="8" numFmtId="0" xfId="0" applyAlignment="1" applyBorder="1" applyFill="1" applyFont="1">
      <alignment horizontal="center" vertical="bottom"/>
    </xf>
    <xf borderId="19" fillId="9" fontId="8" numFmtId="0" xfId="0" applyAlignment="1" applyBorder="1" applyFill="1" applyFont="1">
      <alignment horizontal="center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6">
    <dxf>
      <font>
        <b/>
      </font>
      <fill>
        <patternFill patternType="solid">
          <fgColor rgb="FFEAD1DC"/>
          <bgColor rgb="FFEAD1DC"/>
        </patternFill>
      </fill>
      <border/>
    </dxf>
    <dxf>
      <font>
        <color rgb="FFD9D9D9"/>
      </font>
      <fill>
        <patternFill patternType="none"/>
      </fill>
      <border/>
    </dxf>
    <dxf>
      <font>
        <b/>
      </font>
      <fill>
        <patternFill patternType="solid">
          <fgColor rgb="FFC5FFB1"/>
          <bgColor rgb="FFC5FFB1"/>
        </patternFill>
      </fill>
      <border/>
    </dxf>
    <dxf>
      <font>
        <b/>
      </font>
      <fill>
        <patternFill patternType="solid">
          <fgColor rgb="FFFFC6C6"/>
          <bgColor rgb="FFFFC6C6"/>
        </patternFill>
      </fill>
      <border/>
    </dxf>
    <dxf>
      <font>
        <b/>
        <color rgb="FF000000"/>
      </font>
      <fill>
        <patternFill patternType="solid">
          <fgColor rgb="FFFFF9A8"/>
          <bgColor rgb="FFFFF9A8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2.63"/>
    <col customWidth="1" min="3" max="3" width="5.13"/>
    <col customWidth="1" min="4" max="4" width="8.88"/>
    <col customWidth="1" min="5" max="5" width="3.25"/>
    <col customWidth="1" min="6" max="6" width="12.63"/>
    <col customWidth="1" min="7" max="7" width="5.13"/>
    <col customWidth="1" min="8" max="8" width="8.88"/>
    <col customWidth="1" min="9" max="9" width="3.25"/>
    <col customWidth="1" min="10" max="10" width="12.63"/>
    <col customWidth="1" min="11" max="11" width="5.13"/>
    <col customWidth="1" min="12" max="12" width="8.88"/>
    <col customWidth="1" min="13" max="13" width="3.25"/>
    <col customWidth="1" min="14" max="14" width="12.63"/>
    <col customWidth="1" min="15" max="15" width="5.13"/>
    <col customWidth="1" min="16" max="16" width="8.88"/>
    <col customWidth="1" min="17" max="17" width="3.25"/>
    <col customWidth="1" min="18" max="18" width="12.63"/>
    <col customWidth="1" min="19" max="19" width="5.13"/>
    <col customWidth="1" min="20" max="20" width="8.88"/>
    <col customWidth="1" min="21" max="21" width="3.25"/>
    <col customWidth="1" min="22" max="22" width="12.63"/>
    <col customWidth="1" min="23" max="23" width="5.13"/>
    <col customWidth="1" min="24" max="24" width="8.88"/>
    <col customWidth="1" min="25" max="25" width="3.25"/>
    <col customWidth="1" min="26" max="26" width="12.63"/>
    <col customWidth="1" min="27" max="27" width="5.13"/>
    <col customWidth="1" min="28" max="28" width="8.88"/>
    <col customWidth="1" min="29" max="29" width="3.25"/>
    <col customWidth="1" min="30" max="30" width="12.63"/>
    <col customWidth="1" min="31" max="31" width="5.13"/>
    <col customWidth="1" min="32" max="32" width="8.88"/>
  </cols>
  <sheetData>
    <row r="1" ht="4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6" t="s">
        <v>3</v>
      </c>
      <c r="B2" s="7"/>
      <c r="C2" s="7"/>
      <c r="D2" s="7"/>
      <c r="E2" s="9" t="s">
        <v>5</v>
      </c>
      <c r="F2" s="7"/>
      <c r="G2" s="7"/>
      <c r="H2" s="11"/>
      <c r="I2" s="9" t="s">
        <v>6</v>
      </c>
      <c r="J2" s="7"/>
      <c r="K2" s="7"/>
      <c r="L2" s="11"/>
      <c r="M2" s="9" t="s">
        <v>9</v>
      </c>
      <c r="N2" s="7"/>
      <c r="O2" s="7"/>
      <c r="P2" s="11"/>
      <c r="Q2" s="9" t="s">
        <v>11</v>
      </c>
      <c r="R2" s="7"/>
      <c r="S2" s="7"/>
      <c r="T2" s="11"/>
      <c r="U2" s="9" t="s">
        <v>12</v>
      </c>
      <c r="V2" s="7"/>
      <c r="W2" s="7"/>
      <c r="X2" s="11"/>
      <c r="Y2" s="9" t="s">
        <v>15</v>
      </c>
      <c r="Z2" s="7"/>
      <c r="AA2" s="7"/>
      <c r="AB2" s="11"/>
      <c r="AC2" s="9" t="s">
        <v>18</v>
      </c>
      <c r="AD2" s="7"/>
      <c r="AE2" s="7"/>
      <c r="AF2" s="11"/>
    </row>
    <row r="3">
      <c r="A3" s="21"/>
      <c r="B3" s="21"/>
      <c r="C3" s="21"/>
      <c r="D3" s="22"/>
      <c r="E3" s="21"/>
      <c r="F3" s="21"/>
      <c r="G3" s="21"/>
      <c r="H3" s="21"/>
      <c r="I3" s="21"/>
      <c r="J3" s="21"/>
      <c r="K3" s="22"/>
      <c r="L3" s="21"/>
      <c r="M3" s="21"/>
      <c r="N3" s="21"/>
      <c r="O3" s="21"/>
      <c r="P3" s="22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8"/>
      <c r="AD3" s="28"/>
      <c r="AE3" s="28"/>
      <c r="AF3" s="28"/>
    </row>
    <row r="4">
      <c r="A4" s="30">
        <v>1.0</v>
      </c>
      <c r="B4" s="32" t="s">
        <v>31</v>
      </c>
      <c r="C4" s="35">
        <v>98.0</v>
      </c>
      <c r="D4" s="37"/>
      <c r="E4" s="37"/>
      <c r="F4" s="21"/>
      <c r="G4" s="21"/>
      <c r="H4" s="21"/>
      <c r="I4" s="21"/>
      <c r="J4" s="21"/>
      <c r="K4" s="21"/>
      <c r="L4" s="21"/>
      <c r="M4" s="21"/>
      <c r="N4" s="21"/>
      <c r="O4" s="21"/>
      <c r="P4" s="22"/>
      <c r="Q4" s="22"/>
      <c r="R4" s="22"/>
      <c r="S4" s="21"/>
      <c r="T4" s="21"/>
      <c r="U4" s="21"/>
      <c r="V4" s="21"/>
      <c r="W4" s="21"/>
      <c r="X4" s="21"/>
      <c r="Y4" s="21"/>
      <c r="Z4" s="21"/>
      <c r="AA4" s="21"/>
      <c r="AB4" s="21"/>
      <c r="AC4" s="28"/>
      <c r="AD4" s="28"/>
      <c r="AE4" s="28"/>
      <c r="AF4" s="28"/>
    </row>
    <row r="5">
      <c r="A5" s="42"/>
      <c r="B5" s="45" t="s">
        <v>33</v>
      </c>
      <c r="C5" s="47">
        <v>38.0</v>
      </c>
      <c r="D5" s="48"/>
      <c r="E5" s="49"/>
      <c r="F5" s="51"/>
      <c r="G5" s="51"/>
      <c r="H5" s="51"/>
      <c r="I5" s="51"/>
      <c r="J5" s="51"/>
      <c r="K5" s="51"/>
      <c r="L5" s="51"/>
      <c r="M5" s="51"/>
      <c r="N5" s="51"/>
      <c r="O5" s="51"/>
      <c r="P5" s="22"/>
      <c r="Q5" s="21"/>
      <c r="R5" s="22"/>
      <c r="S5" s="21"/>
      <c r="T5" s="21"/>
      <c r="U5" s="21"/>
      <c r="V5" s="21"/>
      <c r="W5" s="21"/>
      <c r="X5" s="21"/>
      <c r="Y5" s="21"/>
      <c r="Z5" s="21"/>
      <c r="AA5" s="21"/>
      <c r="AB5" s="21"/>
      <c r="AC5" s="28"/>
      <c r="AD5" s="28"/>
      <c r="AE5" s="28"/>
      <c r="AF5" s="28"/>
    </row>
    <row r="6">
      <c r="A6" s="22"/>
      <c r="B6" s="21"/>
      <c r="C6" s="21"/>
      <c r="D6" s="51"/>
      <c r="E6" s="30">
        <v>9.0</v>
      </c>
      <c r="F6" s="32" t="s">
        <v>31</v>
      </c>
      <c r="G6" s="55">
        <v>60.0</v>
      </c>
      <c r="H6" s="58"/>
      <c r="I6" s="58"/>
      <c r="J6" s="61"/>
      <c r="K6" s="61"/>
      <c r="L6" s="51"/>
      <c r="M6" s="51"/>
      <c r="N6" s="51"/>
      <c r="O6" s="51"/>
      <c r="P6" s="22"/>
      <c r="Q6" s="21"/>
      <c r="R6" s="22"/>
      <c r="S6" s="21"/>
      <c r="T6" s="21"/>
      <c r="U6" s="21"/>
      <c r="V6" s="21"/>
      <c r="W6" s="21"/>
      <c r="X6" s="21"/>
      <c r="Y6" s="21"/>
      <c r="Z6" s="21"/>
      <c r="AA6" s="21"/>
      <c r="AB6" s="21"/>
      <c r="AC6" s="28"/>
      <c r="AD6" s="28"/>
      <c r="AE6" s="28"/>
      <c r="AF6" s="28"/>
    </row>
    <row r="7">
      <c r="A7" s="22"/>
      <c r="B7" s="21"/>
      <c r="C7" s="21"/>
      <c r="D7" s="51"/>
      <c r="E7" s="42"/>
      <c r="F7" s="45" t="s">
        <v>54</v>
      </c>
      <c r="G7" s="70">
        <v>106.0</v>
      </c>
      <c r="H7" s="72"/>
      <c r="I7" s="73"/>
      <c r="J7" s="61"/>
      <c r="K7" s="61"/>
      <c r="L7" s="51"/>
      <c r="M7" s="51"/>
      <c r="N7" s="51"/>
      <c r="O7" s="51"/>
      <c r="P7" s="22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8"/>
      <c r="AD7" s="28"/>
      <c r="AE7" s="28"/>
      <c r="AF7" s="28"/>
    </row>
    <row r="8">
      <c r="A8" s="30">
        <v>2.0</v>
      </c>
      <c r="B8" s="32" t="s">
        <v>39</v>
      </c>
      <c r="C8" s="55">
        <v>30.0</v>
      </c>
      <c r="D8" s="76"/>
      <c r="E8" s="78"/>
      <c r="F8" s="51"/>
      <c r="G8" s="51"/>
      <c r="H8" s="72"/>
      <c r="I8" s="80"/>
      <c r="J8" s="51"/>
      <c r="K8" s="51"/>
      <c r="L8" s="51"/>
      <c r="M8" s="51"/>
      <c r="N8" s="51"/>
      <c r="O8" s="51"/>
      <c r="P8" s="82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8"/>
      <c r="AD8" s="28"/>
      <c r="AE8" s="28"/>
      <c r="AF8" s="28"/>
    </row>
    <row r="9">
      <c r="A9" s="42"/>
      <c r="B9" s="45" t="s">
        <v>54</v>
      </c>
      <c r="C9" s="70">
        <v>116.0</v>
      </c>
      <c r="D9" s="51"/>
      <c r="E9" s="51"/>
      <c r="F9" s="51"/>
      <c r="G9" s="51"/>
      <c r="H9" s="72"/>
      <c r="I9" s="80"/>
      <c r="J9" s="51"/>
      <c r="K9" s="51"/>
      <c r="L9" s="51"/>
      <c r="M9" s="51"/>
      <c r="N9" s="51"/>
      <c r="O9" s="51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53"/>
      <c r="AD9" s="53"/>
      <c r="AE9" s="53"/>
      <c r="AF9" s="53"/>
    </row>
    <row r="10">
      <c r="A10" s="22"/>
      <c r="B10" s="21"/>
      <c r="C10" s="21"/>
      <c r="D10" s="51"/>
      <c r="E10" s="61"/>
      <c r="F10" s="61"/>
      <c r="G10" s="61"/>
      <c r="H10" s="72"/>
      <c r="I10" s="80"/>
      <c r="J10" s="89" t="s">
        <v>67</v>
      </c>
      <c r="K10" s="90"/>
      <c r="L10" s="91"/>
      <c r="M10" s="30">
        <v>21.0</v>
      </c>
      <c r="N10" s="32" t="s">
        <v>54</v>
      </c>
      <c r="O10" s="55">
        <v>36.0</v>
      </c>
      <c r="P10" s="91"/>
      <c r="Q10" s="89" t="s">
        <v>72</v>
      </c>
      <c r="R10" s="90"/>
      <c r="S10" s="91"/>
      <c r="T10" s="91"/>
      <c r="U10" s="21"/>
      <c r="V10" s="21"/>
      <c r="W10" s="21"/>
      <c r="X10" s="21"/>
      <c r="Y10" s="21"/>
      <c r="Z10" s="21"/>
      <c r="AA10" s="22"/>
      <c r="AB10" s="22"/>
      <c r="AC10" s="53"/>
      <c r="AD10" s="53"/>
      <c r="AE10" s="53"/>
      <c r="AF10" s="53"/>
    </row>
    <row r="11">
      <c r="A11" s="22"/>
      <c r="B11" s="21"/>
      <c r="C11" s="21"/>
      <c r="D11" s="51"/>
      <c r="E11" s="61"/>
      <c r="F11" s="61"/>
      <c r="G11" s="61"/>
      <c r="H11" s="72"/>
      <c r="I11" s="80"/>
      <c r="J11" s="51"/>
      <c r="K11" s="21"/>
      <c r="L11" s="51"/>
      <c r="M11" s="42"/>
      <c r="N11" s="45" t="s">
        <v>75</v>
      </c>
      <c r="O11" s="70">
        <v>60.0</v>
      </c>
      <c r="P11" s="51"/>
      <c r="Q11" s="21"/>
      <c r="R11" s="51"/>
      <c r="S11" s="61"/>
      <c r="T11" s="21"/>
      <c r="U11" s="93"/>
      <c r="V11" s="21"/>
      <c r="W11" s="21"/>
      <c r="X11" s="21"/>
      <c r="Y11" s="21"/>
      <c r="Z11" s="21"/>
      <c r="AA11" s="21"/>
      <c r="AB11" s="21"/>
      <c r="AC11" s="28"/>
      <c r="AD11" s="28"/>
      <c r="AE11" s="28"/>
      <c r="AF11" s="28"/>
    </row>
    <row r="12">
      <c r="A12" s="30">
        <v>3.0</v>
      </c>
      <c r="B12" s="32" t="s">
        <v>75</v>
      </c>
      <c r="C12" s="35">
        <v>78.0</v>
      </c>
      <c r="D12" s="76"/>
      <c r="E12" s="76"/>
      <c r="F12" s="51"/>
      <c r="G12" s="51"/>
      <c r="H12" s="72"/>
      <c r="I12" s="80"/>
      <c r="J12" s="51"/>
      <c r="K12" s="51"/>
      <c r="L12" s="51"/>
      <c r="M12" s="51"/>
      <c r="N12" s="21"/>
      <c r="O12" s="21"/>
      <c r="P12" s="21"/>
      <c r="Q12" s="21"/>
      <c r="R12" s="21"/>
      <c r="S12" s="51"/>
      <c r="T12" s="21"/>
      <c r="U12" s="80"/>
      <c r="V12" s="21"/>
      <c r="W12" s="21"/>
      <c r="X12" s="21"/>
      <c r="Y12" s="21"/>
      <c r="Z12" s="21"/>
      <c r="AA12" s="21"/>
      <c r="AB12" s="21"/>
      <c r="AC12" s="28"/>
      <c r="AD12" s="28"/>
      <c r="AE12" s="28"/>
      <c r="AF12" s="28"/>
    </row>
    <row r="13">
      <c r="A13" s="42"/>
      <c r="B13" s="45" t="s">
        <v>43</v>
      </c>
      <c r="C13" s="47">
        <v>66.0</v>
      </c>
      <c r="D13" s="48"/>
      <c r="E13" s="49"/>
      <c r="F13" s="51"/>
      <c r="G13" s="51"/>
      <c r="H13" s="72"/>
      <c r="I13" s="80"/>
      <c r="J13" s="51"/>
      <c r="K13" s="51"/>
      <c r="L13" s="51"/>
      <c r="M13" s="51"/>
      <c r="N13" s="21"/>
      <c r="O13" s="21"/>
      <c r="P13" s="21"/>
      <c r="Q13" s="21"/>
      <c r="R13" s="21"/>
      <c r="S13" s="51"/>
      <c r="T13" s="21"/>
      <c r="U13" s="80"/>
      <c r="V13" s="21"/>
      <c r="W13" s="21"/>
      <c r="X13" s="21"/>
      <c r="Y13" s="21"/>
      <c r="Z13" s="21"/>
      <c r="AA13" s="21"/>
      <c r="AB13" s="21"/>
      <c r="AC13" s="28"/>
      <c r="AD13" s="28"/>
      <c r="AE13" s="28"/>
      <c r="AF13" s="28"/>
    </row>
    <row r="14">
      <c r="A14" s="22"/>
      <c r="B14" s="21"/>
      <c r="C14" s="21"/>
      <c r="D14" s="51"/>
      <c r="E14" s="30">
        <v>10.0</v>
      </c>
      <c r="F14" s="32" t="s">
        <v>75</v>
      </c>
      <c r="G14" s="35">
        <v>82.0</v>
      </c>
      <c r="H14" s="58"/>
      <c r="I14" s="97"/>
      <c r="J14" s="61"/>
      <c r="K14" s="61"/>
      <c r="L14" s="51"/>
      <c r="M14" s="51"/>
      <c r="N14" s="21"/>
      <c r="O14" s="21"/>
      <c r="P14" s="21"/>
      <c r="Q14" s="21"/>
      <c r="R14" s="21"/>
      <c r="S14" s="51"/>
      <c r="T14" s="21"/>
      <c r="U14" s="80"/>
      <c r="V14" s="21"/>
      <c r="W14" s="21"/>
      <c r="X14" s="21"/>
      <c r="Y14" s="21"/>
      <c r="Z14" s="21"/>
      <c r="AA14" s="21"/>
      <c r="AB14" s="21"/>
      <c r="AC14" s="28"/>
      <c r="AD14" s="28"/>
      <c r="AE14" s="28"/>
      <c r="AF14" s="28"/>
    </row>
    <row r="15">
      <c r="A15" s="22"/>
      <c r="B15" s="21"/>
      <c r="C15" s="21"/>
      <c r="D15" s="51"/>
      <c r="E15" s="42"/>
      <c r="F15" s="45" t="s">
        <v>88</v>
      </c>
      <c r="G15" s="47">
        <v>70.0</v>
      </c>
      <c r="H15" s="72"/>
      <c r="I15" s="61"/>
      <c r="J15" s="61"/>
      <c r="K15" s="61"/>
      <c r="L15" s="51"/>
      <c r="M15" s="51"/>
      <c r="N15" s="21"/>
      <c r="O15" s="21"/>
      <c r="P15" s="21"/>
      <c r="Q15" s="21"/>
      <c r="R15" s="21"/>
      <c r="S15" s="51"/>
      <c r="T15" s="21"/>
      <c r="U15" s="80"/>
      <c r="V15" s="21"/>
      <c r="W15" s="21"/>
      <c r="X15" s="21"/>
      <c r="Y15" s="21"/>
      <c r="Z15" s="21"/>
      <c r="AA15" s="21"/>
      <c r="AB15" s="21"/>
      <c r="AC15" s="28"/>
      <c r="AD15" s="28"/>
      <c r="AE15" s="28"/>
      <c r="AF15" s="28"/>
    </row>
    <row r="16">
      <c r="A16" s="30">
        <v>4.0</v>
      </c>
      <c r="B16" s="32" t="s">
        <v>88</v>
      </c>
      <c r="C16" s="35">
        <v>120.0</v>
      </c>
      <c r="D16" s="76"/>
      <c r="E16" s="78"/>
      <c r="F16" s="51"/>
      <c r="G16" s="51"/>
      <c r="H16" s="51"/>
      <c r="I16" s="51"/>
      <c r="J16" s="51"/>
      <c r="K16" s="51"/>
      <c r="L16" s="51"/>
      <c r="M16" s="51"/>
      <c r="N16" s="21"/>
      <c r="O16" s="21"/>
      <c r="P16" s="21"/>
      <c r="Q16" s="21"/>
      <c r="R16" s="21"/>
      <c r="S16" s="51"/>
      <c r="T16" s="21"/>
      <c r="U16" s="80"/>
      <c r="V16" s="21"/>
      <c r="W16" s="21"/>
      <c r="X16" s="21"/>
      <c r="Y16" s="21"/>
      <c r="Z16" s="21"/>
      <c r="AA16" s="21"/>
      <c r="AB16" s="21"/>
      <c r="AC16" s="28"/>
      <c r="AD16" s="28"/>
      <c r="AE16" s="28"/>
      <c r="AF16" s="28"/>
    </row>
    <row r="17">
      <c r="A17" s="42"/>
      <c r="B17" s="45" t="s">
        <v>85</v>
      </c>
      <c r="C17" s="47">
        <v>42.0</v>
      </c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21"/>
      <c r="O17" s="21"/>
      <c r="P17" s="21"/>
      <c r="Q17" s="21"/>
      <c r="R17" s="21"/>
      <c r="S17" s="61"/>
      <c r="T17" s="21"/>
      <c r="U17" s="80"/>
      <c r="V17" s="72"/>
      <c r="W17" s="72"/>
      <c r="X17" s="21"/>
      <c r="Y17" s="21"/>
      <c r="Z17" s="21"/>
      <c r="AA17" s="21"/>
      <c r="AB17" s="21"/>
      <c r="AC17" s="28"/>
      <c r="AD17" s="28"/>
      <c r="AE17" s="28"/>
      <c r="AF17" s="28"/>
    </row>
    <row r="18">
      <c r="A18" s="22"/>
      <c r="B18" s="21"/>
      <c r="C18" s="2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21"/>
      <c r="O18" s="21"/>
      <c r="P18" s="21"/>
      <c r="Q18" s="21"/>
      <c r="R18" s="21"/>
      <c r="S18" s="21"/>
      <c r="T18" s="21"/>
      <c r="U18" s="30">
        <v>27.0</v>
      </c>
      <c r="V18" s="32" t="s">
        <v>75</v>
      </c>
      <c r="W18" s="55">
        <v>28.0</v>
      </c>
      <c r="X18" s="91"/>
      <c r="Y18" s="89" t="s">
        <v>72</v>
      </c>
      <c r="Z18" s="90"/>
      <c r="AA18" s="91"/>
      <c r="AB18" s="91"/>
      <c r="AC18" s="28"/>
      <c r="AD18" s="28"/>
      <c r="AE18" s="28"/>
      <c r="AF18" s="103"/>
    </row>
    <row r="19">
      <c r="A19" s="21"/>
      <c r="B19" s="21"/>
      <c r="C19" s="2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21"/>
      <c r="O19" s="21"/>
      <c r="P19" s="21"/>
      <c r="Q19" s="21"/>
      <c r="R19" s="21"/>
      <c r="S19" s="21"/>
      <c r="T19" s="21"/>
      <c r="U19" s="42"/>
      <c r="V19" s="45" t="s">
        <v>30</v>
      </c>
      <c r="W19" s="70">
        <v>58.0</v>
      </c>
      <c r="X19" s="51"/>
      <c r="Y19" s="21"/>
      <c r="Z19" s="51"/>
      <c r="AA19" s="61"/>
      <c r="AB19" s="21"/>
      <c r="AC19" s="105"/>
      <c r="AD19" s="28"/>
      <c r="AE19" s="28"/>
      <c r="AF19" s="103"/>
    </row>
    <row r="20">
      <c r="A20" s="30">
        <v>5.0</v>
      </c>
      <c r="B20" s="32" t="s">
        <v>47</v>
      </c>
      <c r="C20" s="55">
        <v>38.0</v>
      </c>
      <c r="D20" s="76"/>
      <c r="E20" s="76"/>
      <c r="F20" s="51"/>
      <c r="G20" s="51"/>
      <c r="H20" s="51"/>
      <c r="I20" s="51"/>
      <c r="J20" s="51"/>
      <c r="K20" s="51"/>
      <c r="L20" s="51"/>
      <c r="M20" s="51"/>
      <c r="N20" s="21"/>
      <c r="O20" s="21"/>
      <c r="P20" s="21"/>
      <c r="Q20" s="21"/>
      <c r="R20" s="21"/>
      <c r="S20" s="51"/>
      <c r="T20" s="21"/>
      <c r="U20" s="80"/>
      <c r="V20" s="72"/>
      <c r="W20" s="72"/>
      <c r="X20" s="21"/>
      <c r="Y20" s="21"/>
      <c r="Z20" s="21"/>
      <c r="AA20" s="51"/>
      <c r="AB20" s="21"/>
      <c r="AC20" s="106"/>
      <c r="AD20" s="28"/>
      <c r="AE20" s="28"/>
      <c r="AF20" s="28"/>
    </row>
    <row r="21">
      <c r="A21" s="42"/>
      <c r="B21" s="45" t="s">
        <v>36</v>
      </c>
      <c r="C21" s="70">
        <v>68.0</v>
      </c>
      <c r="D21" s="107"/>
      <c r="E21" s="49"/>
      <c r="F21" s="51"/>
      <c r="G21" s="51"/>
      <c r="H21" s="51"/>
      <c r="I21" s="51"/>
      <c r="J21" s="51"/>
      <c r="K21" s="51"/>
      <c r="L21" s="51"/>
      <c r="M21" s="51"/>
      <c r="N21" s="21"/>
      <c r="O21" s="21"/>
      <c r="P21" s="21"/>
      <c r="Q21" s="21"/>
      <c r="R21" s="21"/>
      <c r="S21" s="51"/>
      <c r="T21" s="21"/>
      <c r="U21" s="80"/>
      <c r="V21" s="21"/>
      <c r="W21" s="21"/>
      <c r="X21" s="21"/>
      <c r="Y21" s="21"/>
      <c r="Z21" s="21"/>
      <c r="AA21" s="51"/>
      <c r="AB21" s="21"/>
      <c r="AC21" s="106"/>
      <c r="AD21" s="28"/>
      <c r="AE21" s="28"/>
      <c r="AF21" s="28"/>
    </row>
    <row r="22">
      <c r="A22" s="22"/>
      <c r="B22" s="21"/>
      <c r="C22" s="21"/>
      <c r="D22" s="51"/>
      <c r="E22" s="30">
        <v>11.0</v>
      </c>
      <c r="F22" s="32" t="s">
        <v>36</v>
      </c>
      <c r="G22" s="35">
        <v>58.0</v>
      </c>
      <c r="H22" s="58"/>
      <c r="I22" s="58"/>
      <c r="J22" s="61"/>
      <c r="K22" s="61"/>
      <c r="L22" s="51"/>
      <c r="M22" s="51"/>
      <c r="N22" s="21"/>
      <c r="O22" s="21"/>
      <c r="P22" s="21"/>
      <c r="Q22" s="21"/>
      <c r="R22" s="21"/>
      <c r="S22" s="51"/>
      <c r="T22" s="21"/>
      <c r="U22" s="80"/>
      <c r="V22" s="21"/>
      <c r="W22" s="21"/>
      <c r="X22" s="21"/>
      <c r="Y22" s="21"/>
      <c r="Z22" s="21"/>
      <c r="AA22" s="51"/>
      <c r="AB22" s="21"/>
      <c r="AC22" s="106"/>
      <c r="AD22" s="28"/>
      <c r="AE22" s="28"/>
      <c r="AF22" s="28"/>
    </row>
    <row r="23">
      <c r="A23" s="22"/>
      <c r="B23" s="21"/>
      <c r="C23" s="21"/>
      <c r="D23" s="51"/>
      <c r="E23" s="42"/>
      <c r="F23" s="45" t="s">
        <v>61</v>
      </c>
      <c r="G23" s="47">
        <v>32.0</v>
      </c>
      <c r="H23" s="72"/>
      <c r="I23" s="73"/>
      <c r="J23" s="61"/>
      <c r="K23" s="61"/>
      <c r="L23" s="51"/>
      <c r="M23" s="51"/>
      <c r="N23" s="21"/>
      <c r="O23" s="21"/>
      <c r="P23" s="21"/>
      <c r="Q23" s="21"/>
      <c r="R23" s="21"/>
      <c r="S23" s="51"/>
      <c r="T23" s="21"/>
      <c r="U23" s="80"/>
      <c r="V23" s="21"/>
      <c r="W23" s="21"/>
      <c r="X23" s="21"/>
      <c r="Y23" s="21"/>
      <c r="Z23" s="21"/>
      <c r="AA23" s="51"/>
      <c r="AB23" s="21"/>
      <c r="AC23" s="106"/>
      <c r="AD23" s="28"/>
      <c r="AE23" s="28"/>
      <c r="AF23" s="28"/>
    </row>
    <row r="24">
      <c r="A24" s="30">
        <v>6.0</v>
      </c>
      <c r="B24" s="32" t="s">
        <v>77</v>
      </c>
      <c r="C24" s="55">
        <v>38.0</v>
      </c>
      <c r="D24" s="76"/>
      <c r="E24" s="78"/>
      <c r="F24" s="51"/>
      <c r="G24" s="51"/>
      <c r="H24" s="51"/>
      <c r="I24" s="80"/>
      <c r="J24" s="51"/>
      <c r="K24" s="51"/>
      <c r="L24" s="51"/>
      <c r="M24" s="51"/>
      <c r="N24" s="21"/>
      <c r="O24" s="21"/>
      <c r="P24" s="21"/>
      <c r="Q24" s="21"/>
      <c r="R24" s="21"/>
      <c r="S24" s="51"/>
      <c r="T24" s="21"/>
      <c r="U24" s="80"/>
      <c r="V24" s="21"/>
      <c r="W24" s="21"/>
      <c r="X24" s="21"/>
      <c r="Y24" s="21"/>
      <c r="Z24" s="21"/>
      <c r="AA24" s="51"/>
      <c r="AB24" s="21"/>
      <c r="AC24" s="106"/>
      <c r="AD24" s="28"/>
      <c r="AE24" s="28"/>
      <c r="AF24" s="28"/>
    </row>
    <row r="25">
      <c r="A25" s="42"/>
      <c r="B25" s="45" t="s">
        <v>61</v>
      </c>
      <c r="C25" s="70">
        <v>96.0</v>
      </c>
      <c r="D25" s="51"/>
      <c r="E25" s="51"/>
      <c r="F25" s="51"/>
      <c r="G25" s="51"/>
      <c r="H25" s="72"/>
      <c r="I25" s="80"/>
      <c r="J25" s="51"/>
      <c r="K25" s="51"/>
      <c r="L25" s="51"/>
      <c r="M25" s="51"/>
      <c r="N25" s="21"/>
      <c r="O25" s="21"/>
      <c r="P25" s="21"/>
      <c r="Q25" s="21"/>
      <c r="R25" s="21"/>
      <c r="S25" s="51"/>
      <c r="T25" s="21"/>
      <c r="U25" s="80"/>
      <c r="V25" s="21"/>
      <c r="W25" s="21"/>
      <c r="X25" s="21"/>
      <c r="Y25" s="21"/>
      <c r="Z25" s="21"/>
      <c r="AA25" s="61"/>
      <c r="AB25" s="21"/>
      <c r="AC25" s="106"/>
      <c r="AD25" s="28"/>
      <c r="AE25" s="28"/>
      <c r="AF25" s="28"/>
    </row>
    <row r="26">
      <c r="A26" s="22"/>
      <c r="B26" s="21"/>
      <c r="C26" s="21"/>
      <c r="D26" s="51"/>
      <c r="E26" s="61"/>
      <c r="F26" s="61"/>
      <c r="G26" s="61"/>
      <c r="H26" s="72"/>
      <c r="I26" s="80"/>
      <c r="J26" s="89" t="s">
        <v>67</v>
      </c>
      <c r="K26" s="90"/>
      <c r="L26" s="91"/>
      <c r="M26" s="30">
        <v>22.0</v>
      </c>
      <c r="N26" s="32" t="s">
        <v>36</v>
      </c>
      <c r="O26" s="55">
        <v>44.0</v>
      </c>
      <c r="P26" s="91"/>
      <c r="Q26" s="89" t="s">
        <v>72</v>
      </c>
      <c r="R26" s="91"/>
      <c r="S26" s="91"/>
      <c r="T26" s="91"/>
      <c r="U26" s="97"/>
      <c r="V26" s="21"/>
      <c r="W26" s="21"/>
      <c r="X26" s="21"/>
      <c r="Y26" s="21"/>
      <c r="Z26" s="21"/>
      <c r="AA26" s="22"/>
      <c r="AB26" s="21"/>
      <c r="AC26" s="106"/>
      <c r="AD26" s="28"/>
      <c r="AE26" s="28"/>
      <c r="AF26" s="53"/>
    </row>
    <row r="27">
      <c r="A27" s="22"/>
      <c r="B27" s="21"/>
      <c r="C27" s="21"/>
      <c r="D27" s="51"/>
      <c r="E27" s="61"/>
      <c r="F27" s="61"/>
      <c r="G27" s="61"/>
      <c r="H27" s="72"/>
      <c r="I27" s="80"/>
      <c r="J27" s="51"/>
      <c r="K27" s="21"/>
      <c r="L27" s="51"/>
      <c r="M27" s="42"/>
      <c r="N27" s="45" t="s">
        <v>30</v>
      </c>
      <c r="O27" s="70">
        <v>54.0</v>
      </c>
      <c r="P27" s="51"/>
      <c r="Q27" s="21"/>
      <c r="R27" s="51"/>
      <c r="S27" s="21"/>
      <c r="T27" s="21"/>
      <c r="U27" s="21"/>
      <c r="V27" s="21"/>
      <c r="W27" s="21"/>
      <c r="X27" s="21"/>
      <c r="Y27" s="21"/>
      <c r="Z27" s="21"/>
      <c r="AA27" s="22"/>
      <c r="AB27" s="21"/>
      <c r="AC27" s="106"/>
      <c r="AD27" s="28"/>
      <c r="AE27" s="28"/>
      <c r="AF27" s="53"/>
    </row>
    <row r="28">
      <c r="A28" s="30">
        <v>7.0</v>
      </c>
      <c r="B28" s="32" t="s">
        <v>113</v>
      </c>
      <c r="C28" s="35">
        <v>68.0</v>
      </c>
      <c r="D28" s="76"/>
      <c r="E28" s="76"/>
      <c r="F28" s="51"/>
      <c r="G28" s="51"/>
      <c r="H28" s="72"/>
      <c r="I28" s="80"/>
      <c r="J28" s="51"/>
      <c r="K28" s="51"/>
      <c r="L28" s="51"/>
      <c r="M28" s="5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106"/>
      <c r="AD28" s="28"/>
      <c r="AE28" s="28"/>
      <c r="AF28" s="28"/>
    </row>
    <row r="29">
      <c r="A29" s="42"/>
      <c r="B29" s="45" t="s">
        <v>64</v>
      </c>
      <c r="C29" s="47">
        <v>66.0</v>
      </c>
      <c r="D29" s="107"/>
      <c r="E29" s="49"/>
      <c r="F29" s="51"/>
      <c r="G29" s="51"/>
      <c r="H29" s="72"/>
      <c r="I29" s="80"/>
      <c r="J29" s="51"/>
      <c r="K29" s="51"/>
      <c r="L29" s="51"/>
      <c r="M29" s="5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106"/>
      <c r="AD29" s="28"/>
      <c r="AE29" s="28"/>
      <c r="AF29" s="28"/>
    </row>
    <row r="30">
      <c r="A30" s="22"/>
      <c r="B30" s="21"/>
      <c r="C30" s="21"/>
      <c r="D30" s="51"/>
      <c r="E30" s="30">
        <v>12.0</v>
      </c>
      <c r="F30" s="32" t="s">
        <v>113</v>
      </c>
      <c r="G30" s="55">
        <v>32.0</v>
      </c>
      <c r="H30" s="58"/>
      <c r="I30" s="97"/>
      <c r="J30" s="61"/>
      <c r="K30" s="61"/>
      <c r="L30" s="51"/>
      <c r="M30" s="51"/>
      <c r="N30" s="51"/>
      <c r="O30" s="5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106"/>
      <c r="AD30" s="28"/>
      <c r="AE30" s="28"/>
      <c r="AF30" s="28"/>
    </row>
    <row r="31">
      <c r="A31" s="22"/>
      <c r="B31" s="21"/>
      <c r="C31" s="21"/>
      <c r="D31" s="51"/>
      <c r="E31" s="42"/>
      <c r="F31" s="45" t="s">
        <v>30</v>
      </c>
      <c r="G31" s="70">
        <v>110.0</v>
      </c>
      <c r="H31" s="72"/>
      <c r="I31" s="61"/>
      <c r="J31" s="61"/>
      <c r="K31" s="61"/>
      <c r="L31" s="51"/>
      <c r="M31" s="51"/>
      <c r="N31" s="51"/>
      <c r="O31" s="5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106"/>
      <c r="AD31" s="28"/>
      <c r="AE31" s="28"/>
      <c r="AF31" s="28"/>
    </row>
    <row r="32">
      <c r="A32" s="30">
        <v>8.0</v>
      </c>
      <c r="B32" s="32" t="s">
        <v>30</v>
      </c>
      <c r="C32" s="35">
        <v>70.0</v>
      </c>
      <c r="D32" s="76"/>
      <c r="E32" s="78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30">
        <v>30.0</v>
      </c>
      <c r="AD32" s="114" t="s">
        <v>30</v>
      </c>
      <c r="AE32" s="35">
        <v>44.0</v>
      </c>
      <c r="AF32" s="28"/>
    </row>
    <row r="33">
      <c r="A33" s="42"/>
      <c r="B33" s="45" t="s">
        <v>40</v>
      </c>
      <c r="C33" s="47">
        <v>64.0</v>
      </c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42"/>
      <c r="AD33" s="95" t="s">
        <v>88</v>
      </c>
      <c r="AE33" s="47">
        <v>40.0</v>
      </c>
      <c r="AF33" s="28"/>
    </row>
    <row r="34">
      <c r="A34" s="115"/>
      <c r="B34" s="22"/>
      <c r="C34" s="116"/>
      <c r="D34" s="51"/>
      <c r="E34" s="72"/>
      <c r="F34" s="72"/>
      <c r="G34" s="58"/>
      <c r="H34" s="58"/>
      <c r="I34" s="58"/>
      <c r="J34" s="72"/>
      <c r="K34" s="72"/>
      <c r="L34" s="21"/>
      <c r="M34" s="21"/>
      <c r="N34" s="21"/>
      <c r="O34" s="5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106"/>
      <c r="AD34" s="28"/>
      <c r="AE34" s="28"/>
      <c r="AF34" s="28"/>
    </row>
    <row r="35">
      <c r="A35" s="115"/>
      <c r="B35" s="117"/>
      <c r="C35" s="118"/>
      <c r="D35" s="51"/>
      <c r="E35" s="72"/>
      <c r="F35" s="72"/>
      <c r="G35" s="72"/>
      <c r="H35" s="72"/>
      <c r="I35" s="73"/>
      <c r="J35" s="21"/>
      <c r="K35" s="21"/>
      <c r="L35" s="21"/>
      <c r="M35" s="21"/>
      <c r="N35" s="21"/>
      <c r="O35" s="21"/>
      <c r="P35" s="21"/>
      <c r="Q35" s="21"/>
      <c r="R35" s="21"/>
      <c r="S35" s="119"/>
      <c r="T35" s="21"/>
      <c r="U35" s="21"/>
      <c r="V35" s="21"/>
      <c r="W35" s="21"/>
      <c r="X35" s="21"/>
      <c r="Y35" s="21"/>
      <c r="Z35" s="21"/>
      <c r="AA35" s="21"/>
      <c r="AB35" s="51"/>
      <c r="AC35" s="106"/>
      <c r="AD35" s="28"/>
      <c r="AE35" s="28"/>
      <c r="AF35" s="28"/>
    </row>
    <row r="36">
      <c r="A36" s="115"/>
      <c r="B36" s="117"/>
      <c r="C36" s="118"/>
      <c r="D36" s="51"/>
      <c r="E36" s="51"/>
      <c r="F36" s="21"/>
      <c r="G36" s="21"/>
      <c r="H36" s="72"/>
      <c r="I36" s="80"/>
      <c r="J36" s="21"/>
      <c r="K36" s="21"/>
      <c r="L36" s="21"/>
      <c r="M36" s="21"/>
      <c r="N36" s="21"/>
      <c r="O36" s="58"/>
      <c r="P36" s="58"/>
      <c r="Q36" s="58"/>
      <c r="R36" s="72"/>
      <c r="S36" s="72"/>
      <c r="T36" s="21"/>
      <c r="U36" s="21"/>
      <c r="V36" s="21"/>
      <c r="W36" s="21"/>
      <c r="X36" s="21"/>
      <c r="Y36" s="21"/>
      <c r="Z36" s="21"/>
      <c r="AA36" s="21"/>
      <c r="AB36" s="21"/>
      <c r="AC36" s="106"/>
      <c r="AD36" s="28"/>
      <c r="AE36" s="28"/>
      <c r="AF36" s="28"/>
    </row>
    <row r="37">
      <c r="A37" s="115"/>
      <c r="B37" s="117"/>
      <c r="C37" s="118"/>
      <c r="D37" s="51"/>
      <c r="E37" s="21"/>
      <c r="F37" s="21"/>
      <c r="G37" s="21"/>
      <c r="H37" s="21"/>
      <c r="I37" s="30">
        <v>17.0</v>
      </c>
      <c r="J37" s="32" t="s">
        <v>113</v>
      </c>
      <c r="K37" s="35">
        <v>52.0</v>
      </c>
      <c r="L37" s="91"/>
      <c r="M37" s="58"/>
      <c r="N37" s="21"/>
      <c r="O37" s="21"/>
      <c r="P37" s="72"/>
      <c r="Q37" s="73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106"/>
      <c r="AD37" s="28"/>
      <c r="AE37" s="28"/>
      <c r="AF37" s="28"/>
    </row>
    <row r="38">
      <c r="A38" s="115"/>
      <c r="B38" s="117"/>
      <c r="C38" s="118"/>
      <c r="D38" s="51"/>
      <c r="E38" s="21"/>
      <c r="F38" s="21"/>
      <c r="G38" s="21"/>
      <c r="H38" s="21"/>
      <c r="I38" s="42"/>
      <c r="J38" s="45" t="s">
        <v>39</v>
      </c>
      <c r="K38" s="47">
        <v>42.0</v>
      </c>
      <c r="L38" s="21"/>
      <c r="M38" s="73"/>
      <c r="N38" s="21"/>
      <c r="O38" s="21"/>
      <c r="P38" s="72"/>
      <c r="Q38" s="80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106"/>
      <c r="AD38" s="28"/>
      <c r="AE38" s="28"/>
      <c r="AF38" s="28"/>
    </row>
    <row r="39">
      <c r="A39" s="115"/>
      <c r="B39" s="117"/>
      <c r="C39" s="118"/>
      <c r="D39" s="51"/>
      <c r="E39" s="51"/>
      <c r="F39" s="21"/>
      <c r="G39" s="21"/>
      <c r="H39" s="21"/>
      <c r="I39" s="80"/>
      <c r="J39" s="21"/>
      <c r="K39" s="21"/>
      <c r="L39" s="21"/>
      <c r="M39" s="80"/>
      <c r="N39" s="21"/>
      <c r="O39" s="21"/>
      <c r="P39" s="21"/>
      <c r="Q39" s="30">
        <v>25.0</v>
      </c>
      <c r="R39" s="32" t="s">
        <v>54</v>
      </c>
      <c r="S39" s="55">
        <v>38.0</v>
      </c>
      <c r="T39" s="91"/>
      <c r="U39" s="21"/>
      <c r="V39" s="21"/>
      <c r="W39" s="21"/>
      <c r="X39" s="21"/>
      <c r="Y39" s="21"/>
      <c r="Z39" s="21"/>
      <c r="AA39" s="21"/>
      <c r="AB39" s="21"/>
      <c r="AC39" s="106"/>
      <c r="AD39" s="28"/>
      <c r="AE39" s="28"/>
      <c r="AF39" s="28"/>
    </row>
    <row r="40">
      <c r="A40" s="115"/>
      <c r="B40" s="117"/>
      <c r="C40" s="118"/>
      <c r="D40" s="51"/>
      <c r="E40" s="30">
        <v>13.0</v>
      </c>
      <c r="F40" s="32" t="s">
        <v>33</v>
      </c>
      <c r="G40" s="55">
        <v>38.0</v>
      </c>
      <c r="H40" s="58"/>
      <c r="I40" s="97"/>
      <c r="J40" s="21"/>
      <c r="K40" s="21"/>
      <c r="L40" s="21"/>
      <c r="M40" s="80"/>
      <c r="N40" s="21"/>
      <c r="O40" s="21"/>
      <c r="P40" s="21"/>
      <c r="Q40" s="42"/>
      <c r="R40" s="45" t="s">
        <v>113</v>
      </c>
      <c r="S40" s="70">
        <v>78.0</v>
      </c>
      <c r="T40" s="72"/>
      <c r="U40" s="93"/>
      <c r="V40" s="21"/>
      <c r="W40" s="21"/>
      <c r="X40" s="21"/>
      <c r="Y40" s="21"/>
      <c r="Z40" s="21"/>
      <c r="AA40" s="21"/>
      <c r="AB40" s="21"/>
      <c r="AC40" s="106"/>
      <c r="AD40" s="28"/>
      <c r="AE40" s="28"/>
      <c r="AF40" s="28"/>
    </row>
    <row r="41">
      <c r="A41" s="115"/>
      <c r="B41" s="117"/>
      <c r="C41" s="118"/>
      <c r="D41" s="51"/>
      <c r="E41" s="42"/>
      <c r="F41" s="45" t="s">
        <v>39</v>
      </c>
      <c r="G41" s="70">
        <v>54.0</v>
      </c>
      <c r="H41" s="21"/>
      <c r="I41" s="21"/>
      <c r="J41" s="21"/>
      <c r="K41" s="21"/>
      <c r="L41" s="21"/>
      <c r="M41" s="80"/>
      <c r="N41" s="21"/>
      <c r="O41" s="21"/>
      <c r="P41" s="21"/>
      <c r="Q41" s="80"/>
      <c r="R41" s="21"/>
      <c r="S41" s="21"/>
      <c r="T41" s="72"/>
      <c r="U41" s="80"/>
      <c r="V41" s="21"/>
      <c r="W41" s="21"/>
      <c r="X41" s="21"/>
      <c r="Y41" s="21"/>
      <c r="Z41" s="21"/>
      <c r="AA41" s="21"/>
      <c r="AB41" s="21"/>
      <c r="AC41" s="106"/>
      <c r="AD41" s="28"/>
      <c r="AE41" s="28"/>
      <c r="AF41" s="28"/>
    </row>
    <row r="42">
      <c r="A42" s="115"/>
      <c r="B42" s="117"/>
      <c r="C42" s="118"/>
      <c r="D42" s="51"/>
      <c r="E42" s="51"/>
      <c r="F42" s="21"/>
      <c r="G42" s="21"/>
      <c r="H42" s="21"/>
      <c r="I42" s="21"/>
      <c r="J42" s="21"/>
      <c r="K42" s="21"/>
      <c r="L42" s="21"/>
      <c r="M42" s="30">
        <v>23.0</v>
      </c>
      <c r="N42" s="32" t="s">
        <v>113</v>
      </c>
      <c r="O42" s="35">
        <v>38.0</v>
      </c>
      <c r="P42" s="58"/>
      <c r="Q42" s="97"/>
      <c r="R42" s="21"/>
      <c r="S42" s="21"/>
      <c r="T42" s="72"/>
      <c r="U42" s="80"/>
      <c r="V42" s="21"/>
      <c r="W42" s="21"/>
      <c r="X42" s="21"/>
      <c r="Y42" s="21"/>
      <c r="Z42" s="21"/>
      <c r="AA42" s="21"/>
      <c r="AB42" s="21"/>
      <c r="AC42" s="106"/>
      <c r="AD42" s="28"/>
      <c r="AE42" s="28"/>
      <c r="AF42" s="28"/>
    </row>
    <row r="43">
      <c r="A43" s="115"/>
      <c r="B43" s="117"/>
      <c r="C43" s="118"/>
      <c r="D43" s="51"/>
      <c r="E43" s="72"/>
      <c r="F43" s="72"/>
      <c r="G43" s="72"/>
      <c r="H43" s="72"/>
      <c r="I43" s="72"/>
      <c r="J43" s="72"/>
      <c r="K43" s="72"/>
      <c r="L43" s="21"/>
      <c r="M43" s="42"/>
      <c r="N43" s="45" t="s">
        <v>61</v>
      </c>
      <c r="O43" s="47">
        <v>32.0</v>
      </c>
      <c r="P43" s="21"/>
      <c r="Q43" s="21"/>
      <c r="R43" s="21"/>
      <c r="S43" s="21"/>
      <c r="T43" s="72"/>
      <c r="U43" s="80"/>
      <c r="V43" s="21"/>
      <c r="W43" s="21"/>
      <c r="X43" s="21"/>
      <c r="Y43" s="21"/>
      <c r="Z43" s="21"/>
      <c r="AA43" s="21"/>
      <c r="AB43" s="21"/>
      <c r="AC43" s="106"/>
      <c r="AD43" s="28"/>
      <c r="AE43" s="28"/>
      <c r="AF43" s="28"/>
    </row>
    <row r="44">
      <c r="A44" s="115"/>
      <c r="B44" s="117"/>
      <c r="C44" s="118"/>
      <c r="D44" s="51"/>
      <c r="E44" s="72"/>
      <c r="F44" s="72"/>
      <c r="G44" s="58"/>
      <c r="H44" s="58"/>
      <c r="I44" s="58"/>
      <c r="J44" s="72"/>
      <c r="K44" s="72"/>
      <c r="L44" s="72"/>
      <c r="M44" s="80"/>
      <c r="N44" s="21"/>
      <c r="O44" s="21"/>
      <c r="P44" s="21"/>
      <c r="Q44" s="21"/>
      <c r="R44" s="21"/>
      <c r="S44" s="119"/>
      <c r="T44" s="72"/>
      <c r="U44" s="80"/>
      <c r="V44" s="21"/>
      <c r="W44" s="58"/>
      <c r="X44" s="58"/>
      <c r="Y44" s="58"/>
      <c r="Z44" s="21"/>
      <c r="AA44" s="21"/>
      <c r="AB44" s="21"/>
      <c r="AC44" s="106"/>
      <c r="AD44" s="28"/>
      <c r="AE44" s="28"/>
      <c r="AF44" s="28"/>
    </row>
    <row r="45">
      <c r="A45" s="115"/>
      <c r="B45" s="117"/>
      <c r="C45" s="118"/>
      <c r="D45" s="51"/>
      <c r="E45" s="72"/>
      <c r="F45" s="72"/>
      <c r="G45" s="72"/>
      <c r="H45" s="72"/>
      <c r="I45" s="73"/>
      <c r="J45" s="21"/>
      <c r="K45" s="21"/>
      <c r="L45" s="21"/>
      <c r="M45" s="80"/>
      <c r="N45" s="21"/>
      <c r="O45" s="21"/>
      <c r="P45" s="21"/>
      <c r="Q45" s="21"/>
      <c r="R45" s="21"/>
      <c r="S45" s="119"/>
      <c r="T45" s="72"/>
      <c r="U45" s="80"/>
      <c r="V45" s="21"/>
      <c r="W45" s="21"/>
      <c r="X45" s="72"/>
      <c r="Y45" s="73"/>
      <c r="Z45" s="21"/>
      <c r="AA45" s="21"/>
      <c r="AB45" s="21"/>
      <c r="AC45" s="106"/>
      <c r="AD45" s="28"/>
      <c r="AE45" s="28"/>
      <c r="AF45" s="28"/>
    </row>
    <row r="46">
      <c r="A46" s="115"/>
      <c r="B46" s="117"/>
      <c r="C46" s="118"/>
      <c r="D46" s="51"/>
      <c r="E46" s="51"/>
      <c r="F46" s="21"/>
      <c r="G46" s="21"/>
      <c r="H46" s="72"/>
      <c r="I46" s="80"/>
      <c r="J46" s="21"/>
      <c r="K46" s="21"/>
      <c r="L46" s="21"/>
      <c r="M46" s="80"/>
      <c r="N46" s="21"/>
      <c r="O46" s="21"/>
      <c r="P46" s="21"/>
      <c r="Q46" s="21"/>
      <c r="R46" s="21"/>
      <c r="S46" s="119"/>
      <c r="T46" s="72"/>
      <c r="U46" s="80"/>
      <c r="V46" s="21"/>
      <c r="W46" s="21"/>
      <c r="X46" s="72"/>
      <c r="Y46" s="80"/>
      <c r="Z46" s="21"/>
      <c r="AA46" s="21"/>
      <c r="AB46" s="58"/>
      <c r="AC46" s="125"/>
      <c r="AD46" s="28"/>
      <c r="AE46" s="28"/>
      <c r="AF46" s="28"/>
    </row>
    <row r="47">
      <c r="A47" s="115"/>
      <c r="B47" s="117"/>
      <c r="C47" s="118"/>
      <c r="D47" s="51"/>
      <c r="E47" s="21"/>
      <c r="F47" s="21"/>
      <c r="G47" s="21"/>
      <c r="H47" s="21"/>
      <c r="I47" s="30">
        <v>18.0</v>
      </c>
      <c r="J47" s="32" t="s">
        <v>61</v>
      </c>
      <c r="K47" s="35">
        <v>52.0</v>
      </c>
      <c r="L47" s="91"/>
      <c r="M47" s="97"/>
      <c r="N47" s="21"/>
      <c r="O47" s="21"/>
      <c r="P47" s="21"/>
      <c r="Q47" s="21"/>
      <c r="R47" s="21"/>
      <c r="S47" s="119"/>
      <c r="T47" s="72"/>
      <c r="U47" s="80"/>
      <c r="V47" s="21"/>
      <c r="W47" s="21"/>
      <c r="X47" s="21"/>
      <c r="Y47" s="30">
        <v>29.0</v>
      </c>
      <c r="Z47" s="32" t="s">
        <v>75</v>
      </c>
      <c r="AA47" s="55">
        <v>20.0</v>
      </c>
      <c r="AB47" s="21"/>
      <c r="AC47" s="28"/>
      <c r="AD47" s="28"/>
      <c r="AE47" s="28"/>
      <c r="AF47" s="28"/>
    </row>
    <row r="48">
      <c r="A48" s="115"/>
      <c r="B48" s="117"/>
      <c r="C48" s="118"/>
      <c r="D48" s="51"/>
      <c r="E48" s="21"/>
      <c r="F48" s="21"/>
      <c r="G48" s="21"/>
      <c r="H48" s="21"/>
      <c r="I48" s="42"/>
      <c r="J48" s="45" t="s">
        <v>85</v>
      </c>
      <c r="K48" s="47">
        <v>44.0</v>
      </c>
      <c r="L48" s="21"/>
      <c r="M48" s="21"/>
      <c r="N48" s="21"/>
      <c r="O48" s="21"/>
      <c r="P48" s="21"/>
      <c r="Q48" s="21"/>
      <c r="R48" s="21"/>
      <c r="S48" s="119"/>
      <c r="T48" s="72"/>
      <c r="U48" s="80"/>
      <c r="V48" s="21"/>
      <c r="W48" s="21"/>
      <c r="X48" s="21"/>
      <c r="Y48" s="42"/>
      <c r="Z48" s="45" t="s">
        <v>88</v>
      </c>
      <c r="AA48" s="70">
        <v>60.0</v>
      </c>
      <c r="AB48" s="21"/>
      <c r="AC48" s="28"/>
      <c r="AD48" s="28"/>
      <c r="AE48" s="28"/>
      <c r="AF48" s="28"/>
    </row>
    <row r="49">
      <c r="A49" s="115"/>
      <c r="B49" s="117"/>
      <c r="C49" s="118"/>
      <c r="D49" s="51"/>
      <c r="E49" s="51"/>
      <c r="F49" s="21"/>
      <c r="G49" s="21"/>
      <c r="H49" s="21"/>
      <c r="I49" s="80"/>
      <c r="J49" s="21"/>
      <c r="K49" s="21"/>
      <c r="L49" s="21"/>
      <c r="M49" s="21"/>
      <c r="N49" s="21"/>
      <c r="O49" s="21"/>
      <c r="P49" s="21"/>
      <c r="Q49" s="21"/>
      <c r="R49" s="21"/>
      <c r="S49" s="119"/>
      <c r="T49" s="72"/>
      <c r="U49" s="80"/>
      <c r="V49" s="21"/>
      <c r="W49" s="21"/>
      <c r="X49" s="21"/>
      <c r="Y49" s="80"/>
      <c r="Z49" s="21"/>
      <c r="AA49" s="21"/>
      <c r="AB49" s="21"/>
      <c r="AC49" s="28"/>
      <c r="AD49" s="28"/>
      <c r="AE49" s="28"/>
      <c r="AF49" s="28"/>
    </row>
    <row r="50">
      <c r="A50" s="115"/>
      <c r="B50" s="117"/>
      <c r="C50" s="118"/>
      <c r="D50" s="51"/>
      <c r="E50" s="30">
        <v>14.0</v>
      </c>
      <c r="F50" s="32" t="s">
        <v>43</v>
      </c>
      <c r="G50" s="55">
        <v>20.0</v>
      </c>
      <c r="H50" s="58"/>
      <c r="I50" s="97"/>
      <c r="J50" s="21"/>
      <c r="K50" s="21"/>
      <c r="L50" s="21"/>
      <c r="M50" s="21"/>
      <c r="N50" s="21"/>
      <c r="O50" s="21"/>
      <c r="P50" s="21"/>
      <c r="Q50" s="21"/>
      <c r="R50" s="21"/>
      <c r="S50" s="119"/>
      <c r="T50" s="80"/>
      <c r="U50" s="30">
        <v>28.0</v>
      </c>
      <c r="V50" s="32" t="s">
        <v>113</v>
      </c>
      <c r="W50" s="55">
        <v>8.0</v>
      </c>
      <c r="X50" s="58"/>
      <c r="Y50" s="97"/>
      <c r="Z50" s="21"/>
      <c r="AA50" s="21"/>
      <c r="AB50" s="21"/>
      <c r="AC50" s="28"/>
      <c r="AD50" s="28"/>
      <c r="AE50" s="28"/>
      <c r="AF50" s="28"/>
    </row>
    <row r="51">
      <c r="A51" s="115"/>
      <c r="B51" s="117"/>
      <c r="C51" s="118"/>
      <c r="D51" s="51"/>
      <c r="E51" s="42"/>
      <c r="F51" s="45" t="s">
        <v>85</v>
      </c>
      <c r="G51" s="70">
        <v>64.0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19"/>
      <c r="T51" s="80"/>
      <c r="U51" s="42"/>
      <c r="V51" s="45" t="s">
        <v>88</v>
      </c>
      <c r="W51" s="70">
        <v>62.0</v>
      </c>
      <c r="X51" s="21"/>
      <c r="Y51" s="21"/>
      <c r="Z51" s="21"/>
      <c r="AA51" s="21"/>
      <c r="AB51" s="21"/>
      <c r="AC51" s="28"/>
      <c r="AD51" s="28"/>
      <c r="AE51" s="28"/>
      <c r="AF51" s="28"/>
    </row>
    <row r="52">
      <c r="A52" s="115"/>
      <c r="B52" s="117"/>
      <c r="C52" s="118"/>
      <c r="D52" s="51"/>
      <c r="E52" s="72"/>
      <c r="F52" s="72"/>
      <c r="G52" s="72"/>
      <c r="H52" s="72"/>
      <c r="I52" s="72"/>
      <c r="J52" s="72"/>
      <c r="K52" s="72"/>
      <c r="L52" s="72"/>
      <c r="M52" s="72"/>
      <c r="N52" s="21"/>
      <c r="O52" s="21"/>
      <c r="P52" s="21"/>
      <c r="Q52" s="21"/>
      <c r="R52" s="21"/>
      <c r="S52" s="119"/>
      <c r="T52" s="72"/>
      <c r="U52" s="80"/>
      <c r="V52" s="21"/>
      <c r="W52" s="21"/>
      <c r="X52" s="21"/>
      <c r="Y52" s="21"/>
      <c r="Z52" s="21"/>
      <c r="AA52" s="21"/>
      <c r="AB52" s="21"/>
      <c r="AC52" s="28"/>
      <c r="AD52" s="28"/>
      <c r="AE52" s="28"/>
      <c r="AF52" s="28"/>
    </row>
    <row r="53">
      <c r="A53" s="115"/>
      <c r="B53" s="117"/>
      <c r="C53" s="118"/>
      <c r="D53" s="51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80"/>
      <c r="V53" s="21"/>
      <c r="W53" s="21"/>
      <c r="X53" s="21"/>
      <c r="Y53" s="21"/>
      <c r="Z53" s="21"/>
      <c r="AA53" s="21"/>
      <c r="AB53" s="21"/>
      <c r="AC53" s="28"/>
      <c r="AD53" s="28"/>
      <c r="AE53" s="28"/>
      <c r="AF53" s="28"/>
    </row>
    <row r="54">
      <c r="A54" s="115"/>
      <c r="B54" s="117"/>
      <c r="C54" s="118"/>
      <c r="D54" s="51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80"/>
      <c r="V54" s="21"/>
      <c r="W54" s="21"/>
      <c r="X54" s="21"/>
      <c r="Y54" s="21"/>
      <c r="Z54" s="21"/>
      <c r="AA54" s="21"/>
      <c r="AB54" s="21"/>
      <c r="AC54" s="28"/>
      <c r="AD54" s="28"/>
      <c r="AE54" s="28"/>
      <c r="AF54" s="28"/>
    </row>
    <row r="55">
      <c r="A55" s="115"/>
      <c r="B55" s="22"/>
      <c r="C55" s="116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80"/>
      <c r="V55" s="21"/>
      <c r="W55" s="21"/>
      <c r="X55" s="21"/>
      <c r="Y55" s="21"/>
      <c r="Z55" s="21"/>
      <c r="AA55" s="21"/>
      <c r="AB55" s="21"/>
      <c r="AC55" s="28"/>
      <c r="AD55" s="28"/>
      <c r="AE55" s="28"/>
      <c r="AF55" s="28"/>
    </row>
    <row r="56">
      <c r="A56" s="115"/>
      <c r="B56" s="22"/>
      <c r="C56" s="116"/>
      <c r="D56" s="21"/>
      <c r="E56" s="72"/>
      <c r="F56" s="72"/>
      <c r="G56" s="58"/>
      <c r="H56" s="58"/>
      <c r="I56" s="58"/>
      <c r="J56" s="72"/>
      <c r="K56" s="72"/>
      <c r="L56" s="21"/>
      <c r="M56" s="21"/>
      <c r="N56" s="21"/>
      <c r="O56" s="51"/>
      <c r="P56" s="21"/>
      <c r="Q56" s="21"/>
      <c r="R56" s="21"/>
      <c r="S56" s="21"/>
      <c r="T56" s="72"/>
      <c r="U56" s="80"/>
      <c r="V56" s="21"/>
      <c r="W56" s="21"/>
      <c r="X56" s="21"/>
      <c r="Y56" s="21"/>
      <c r="Z56" s="21"/>
      <c r="AA56" s="21"/>
      <c r="AB56" s="21"/>
      <c r="AC56" s="28"/>
      <c r="AD56" s="28"/>
      <c r="AE56" s="28"/>
      <c r="AF56" s="28"/>
    </row>
    <row r="57">
      <c r="A57" s="115"/>
      <c r="B57" s="22"/>
      <c r="C57" s="116"/>
      <c r="D57" s="21"/>
      <c r="E57" s="72"/>
      <c r="F57" s="72"/>
      <c r="G57" s="72"/>
      <c r="H57" s="72"/>
      <c r="I57" s="73"/>
      <c r="J57" s="21"/>
      <c r="K57" s="21"/>
      <c r="L57" s="21"/>
      <c r="M57" s="21"/>
      <c r="N57" s="21"/>
      <c r="O57" s="21"/>
      <c r="P57" s="21"/>
      <c r="Q57" s="21"/>
      <c r="R57" s="21"/>
      <c r="S57" s="119"/>
      <c r="T57" s="72"/>
      <c r="U57" s="80"/>
      <c r="V57" s="21"/>
      <c r="W57" s="21"/>
      <c r="X57" s="21"/>
      <c r="Y57" s="21"/>
      <c r="Z57" s="21"/>
      <c r="AA57" s="21"/>
      <c r="AB57" s="21"/>
      <c r="AC57" s="28"/>
      <c r="AD57" s="28"/>
      <c r="AE57" s="28"/>
      <c r="AF57" s="28"/>
    </row>
    <row r="58">
      <c r="A58" s="115"/>
      <c r="B58" s="22"/>
      <c r="C58" s="116"/>
      <c r="D58" s="21"/>
      <c r="E58" s="51"/>
      <c r="F58" s="21"/>
      <c r="G58" s="21"/>
      <c r="H58" s="72"/>
      <c r="I58" s="80"/>
      <c r="J58" s="21"/>
      <c r="K58" s="21"/>
      <c r="L58" s="21"/>
      <c r="M58" s="21"/>
      <c r="N58" s="21"/>
      <c r="O58" s="58"/>
      <c r="P58" s="58"/>
      <c r="Q58" s="58"/>
      <c r="R58" s="72"/>
      <c r="S58" s="72"/>
      <c r="T58" s="72"/>
      <c r="U58" s="80"/>
      <c r="V58" s="21"/>
      <c r="W58" s="21"/>
      <c r="X58" s="21"/>
      <c r="Y58" s="21"/>
      <c r="Z58" s="21"/>
      <c r="AA58" s="21"/>
      <c r="AB58" s="21"/>
      <c r="AC58" s="28"/>
      <c r="AD58" s="28"/>
      <c r="AE58" s="28"/>
      <c r="AF58" s="28"/>
    </row>
    <row r="59">
      <c r="A59" s="115"/>
      <c r="B59" s="22"/>
      <c r="C59" s="116"/>
      <c r="D59" s="21"/>
      <c r="E59" s="21"/>
      <c r="F59" s="21"/>
      <c r="G59" s="21"/>
      <c r="H59" s="21"/>
      <c r="I59" s="30">
        <v>19.0</v>
      </c>
      <c r="J59" s="32" t="s">
        <v>88</v>
      </c>
      <c r="K59" s="35">
        <v>48.0</v>
      </c>
      <c r="L59" s="91"/>
      <c r="M59" s="58"/>
      <c r="N59" s="21"/>
      <c r="O59" s="21"/>
      <c r="P59" s="72"/>
      <c r="Q59" s="73"/>
      <c r="R59" s="21"/>
      <c r="S59" s="21"/>
      <c r="T59" s="72"/>
      <c r="U59" s="80"/>
      <c r="V59" s="21"/>
      <c r="W59" s="21"/>
      <c r="X59" s="21"/>
      <c r="Y59" s="21"/>
      <c r="Z59" s="21"/>
      <c r="AA59" s="21"/>
      <c r="AB59" s="21"/>
      <c r="AC59" s="28"/>
      <c r="AD59" s="28"/>
      <c r="AE59" s="28"/>
      <c r="AF59" s="28"/>
    </row>
    <row r="60">
      <c r="A60" s="115"/>
      <c r="B60" s="22"/>
      <c r="C60" s="116"/>
      <c r="D60" s="21"/>
      <c r="E60" s="21"/>
      <c r="F60" s="21"/>
      <c r="G60" s="21"/>
      <c r="H60" s="21"/>
      <c r="I60" s="42"/>
      <c r="J60" s="45" t="s">
        <v>47</v>
      </c>
      <c r="K60" s="47">
        <v>36.0</v>
      </c>
      <c r="L60" s="21"/>
      <c r="M60" s="73"/>
      <c r="N60" s="21"/>
      <c r="O60" s="21"/>
      <c r="P60" s="72"/>
      <c r="Q60" s="80"/>
      <c r="R60" s="21"/>
      <c r="S60" s="21"/>
      <c r="T60" s="72"/>
      <c r="U60" s="80"/>
      <c r="V60" s="21"/>
      <c r="W60" s="21"/>
      <c r="X60" s="21"/>
      <c r="Y60" s="21"/>
      <c r="Z60" s="21"/>
      <c r="AA60" s="21"/>
      <c r="AB60" s="21"/>
      <c r="AC60" s="28"/>
      <c r="AD60" s="28"/>
      <c r="AE60" s="28"/>
      <c r="AF60" s="28"/>
    </row>
    <row r="61">
      <c r="A61" s="115"/>
      <c r="B61" s="22"/>
      <c r="C61" s="116"/>
      <c r="D61" s="21"/>
      <c r="E61" s="51"/>
      <c r="F61" s="21"/>
      <c r="G61" s="21"/>
      <c r="H61" s="21"/>
      <c r="I61" s="80"/>
      <c r="J61" s="21"/>
      <c r="K61" s="21"/>
      <c r="L61" s="21"/>
      <c r="M61" s="80"/>
      <c r="N61" s="21"/>
      <c r="O61" s="21"/>
      <c r="P61" s="21"/>
      <c r="Q61" s="30">
        <v>26.0</v>
      </c>
      <c r="R61" s="32" t="s">
        <v>36</v>
      </c>
      <c r="S61" s="55">
        <v>14.0</v>
      </c>
      <c r="T61" s="91"/>
      <c r="U61" s="97"/>
      <c r="V61" s="21"/>
      <c r="W61" s="21"/>
      <c r="X61" s="21"/>
      <c r="Y61" s="21"/>
      <c r="Z61" s="21"/>
      <c r="AA61" s="21"/>
      <c r="AB61" s="21"/>
      <c r="AC61" s="28"/>
      <c r="AD61" s="28"/>
      <c r="AE61" s="28"/>
      <c r="AF61" s="28"/>
    </row>
    <row r="62">
      <c r="A62" s="115"/>
      <c r="B62" s="22"/>
      <c r="C62" s="116"/>
      <c r="D62" s="21"/>
      <c r="E62" s="30">
        <v>15.0</v>
      </c>
      <c r="F62" s="32" t="s">
        <v>47</v>
      </c>
      <c r="G62" s="35">
        <v>84.0</v>
      </c>
      <c r="H62" s="58"/>
      <c r="I62" s="97"/>
      <c r="J62" s="21"/>
      <c r="K62" s="21"/>
      <c r="L62" s="21"/>
      <c r="M62" s="80"/>
      <c r="N62" s="21"/>
      <c r="O62" s="21"/>
      <c r="P62" s="21"/>
      <c r="Q62" s="42"/>
      <c r="R62" s="45" t="s">
        <v>88</v>
      </c>
      <c r="S62" s="70">
        <v>42.0</v>
      </c>
      <c r="T62" s="21"/>
      <c r="U62" s="21"/>
      <c r="V62" s="21"/>
      <c r="W62" s="21"/>
      <c r="X62" s="21"/>
      <c r="Y62" s="21"/>
      <c r="Z62" s="21"/>
      <c r="AA62" s="21"/>
      <c r="AB62" s="21"/>
      <c r="AC62" s="28"/>
      <c r="AD62" s="28"/>
      <c r="AE62" s="28"/>
      <c r="AF62" s="28"/>
    </row>
    <row r="63">
      <c r="A63" s="115"/>
      <c r="B63" s="22"/>
      <c r="C63" s="116"/>
      <c r="D63" s="21"/>
      <c r="E63" s="42"/>
      <c r="F63" s="45" t="s">
        <v>77</v>
      </c>
      <c r="G63" s="47">
        <v>40.0</v>
      </c>
      <c r="H63" s="21"/>
      <c r="I63" s="21"/>
      <c r="J63" s="21"/>
      <c r="K63" s="21"/>
      <c r="L63" s="21"/>
      <c r="M63" s="80"/>
      <c r="N63" s="21"/>
      <c r="O63" s="21"/>
      <c r="P63" s="21"/>
      <c r="Q63" s="80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8"/>
      <c r="AD63" s="28"/>
      <c r="AE63" s="28"/>
      <c r="AF63" s="28"/>
    </row>
    <row r="64">
      <c r="A64" s="115"/>
      <c r="B64" s="22"/>
      <c r="C64" s="116"/>
      <c r="D64" s="21"/>
      <c r="E64" s="51"/>
      <c r="F64" s="21"/>
      <c r="G64" s="21"/>
      <c r="H64" s="21"/>
      <c r="I64" s="21"/>
      <c r="J64" s="21"/>
      <c r="K64" s="21"/>
      <c r="L64" s="21"/>
      <c r="M64" s="30">
        <v>24.0</v>
      </c>
      <c r="N64" s="32" t="s">
        <v>88</v>
      </c>
      <c r="O64" s="35">
        <v>92.0</v>
      </c>
      <c r="P64" s="58"/>
      <c r="Q64" s="97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8"/>
      <c r="AD64" s="28"/>
      <c r="AE64" s="28"/>
      <c r="AF64" s="28"/>
    </row>
    <row r="65">
      <c r="A65" s="115"/>
      <c r="B65" s="22"/>
      <c r="C65" s="116"/>
      <c r="D65" s="21"/>
      <c r="E65" s="72"/>
      <c r="F65" s="72"/>
      <c r="G65" s="72"/>
      <c r="H65" s="72"/>
      <c r="I65" s="72"/>
      <c r="J65" s="72"/>
      <c r="K65" s="72"/>
      <c r="L65" s="21"/>
      <c r="M65" s="42"/>
      <c r="N65" s="45" t="s">
        <v>64</v>
      </c>
      <c r="O65" s="47">
        <v>42.0</v>
      </c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8"/>
      <c r="AD65" s="28"/>
      <c r="AE65" s="28"/>
      <c r="AF65" s="28"/>
    </row>
    <row r="66">
      <c r="A66" s="115"/>
      <c r="B66" s="22"/>
      <c r="C66" s="116"/>
      <c r="D66" s="21"/>
      <c r="E66" s="72"/>
      <c r="F66" s="72"/>
      <c r="G66" s="58"/>
      <c r="H66" s="58"/>
      <c r="I66" s="58"/>
      <c r="J66" s="72"/>
      <c r="K66" s="72"/>
      <c r="L66" s="72"/>
      <c r="M66" s="80"/>
      <c r="N66" s="21"/>
      <c r="O66" s="21"/>
      <c r="P66" s="21"/>
      <c r="Q66" s="21"/>
      <c r="R66" s="21"/>
      <c r="S66" s="119"/>
      <c r="T66" s="21"/>
      <c r="U66" s="21"/>
      <c r="V66" s="21"/>
      <c r="W66" s="21"/>
      <c r="X66" s="21"/>
      <c r="Y66" s="21"/>
      <c r="Z66" s="21"/>
      <c r="AA66" s="21"/>
      <c r="AB66" s="21"/>
      <c r="AC66" s="28"/>
      <c r="AD66" s="28"/>
      <c r="AE66" s="28"/>
      <c r="AF66" s="28"/>
    </row>
    <row r="67">
      <c r="A67" s="115"/>
      <c r="B67" s="22"/>
      <c r="C67" s="116"/>
      <c r="D67" s="21"/>
      <c r="E67" s="72"/>
      <c r="F67" s="72"/>
      <c r="G67" s="72"/>
      <c r="H67" s="72"/>
      <c r="I67" s="73"/>
      <c r="J67" s="21"/>
      <c r="K67" s="21"/>
      <c r="L67" s="21"/>
      <c r="M67" s="80"/>
      <c r="N67" s="21"/>
      <c r="O67" s="21"/>
      <c r="P67" s="21"/>
      <c r="Q67" s="21"/>
      <c r="R67" s="21"/>
      <c r="S67" s="119"/>
      <c r="T67" s="21"/>
      <c r="U67" s="21"/>
      <c r="V67" s="21"/>
      <c r="W67" s="21"/>
      <c r="X67" s="21"/>
      <c r="Y67" s="21"/>
      <c r="Z67" s="21"/>
      <c r="AA67" s="21"/>
      <c r="AB67" s="21"/>
      <c r="AC67" s="28"/>
      <c r="AD67" s="28"/>
      <c r="AE67" s="28"/>
      <c r="AF67" s="28"/>
    </row>
    <row r="68">
      <c r="A68" s="115"/>
      <c r="B68" s="22"/>
      <c r="C68" s="116"/>
      <c r="D68" s="21"/>
      <c r="E68" s="51"/>
      <c r="F68" s="21"/>
      <c r="G68" s="21"/>
      <c r="H68" s="72"/>
      <c r="I68" s="80"/>
      <c r="J68" s="21"/>
      <c r="K68" s="21"/>
      <c r="L68" s="21"/>
      <c r="M68" s="80"/>
      <c r="N68" s="21"/>
      <c r="O68" s="21"/>
      <c r="P68" s="21"/>
      <c r="Q68" s="21"/>
      <c r="R68" s="21"/>
      <c r="S68" s="119"/>
      <c r="T68" s="21"/>
      <c r="U68" s="21"/>
      <c r="V68" s="21"/>
      <c r="W68" s="21"/>
      <c r="X68" s="21"/>
      <c r="Y68" s="21"/>
      <c r="Z68" s="21"/>
      <c r="AA68" s="21"/>
      <c r="AB68" s="21"/>
      <c r="AC68" s="28"/>
      <c r="AD68" s="28"/>
      <c r="AE68" s="28"/>
      <c r="AF68" s="28"/>
    </row>
    <row r="69">
      <c r="A69" s="115"/>
      <c r="B69" s="22"/>
      <c r="C69" s="116"/>
      <c r="D69" s="21"/>
      <c r="E69" s="21"/>
      <c r="F69" s="21"/>
      <c r="G69" s="21"/>
      <c r="H69" s="21"/>
      <c r="I69" s="30">
        <v>20.0</v>
      </c>
      <c r="J69" s="32" t="s">
        <v>31</v>
      </c>
      <c r="K69" s="55">
        <v>54.0</v>
      </c>
      <c r="L69" s="91"/>
      <c r="M69" s="97"/>
      <c r="N69" s="21"/>
      <c r="O69" s="21"/>
      <c r="P69" s="21"/>
      <c r="Q69" s="21"/>
      <c r="R69" s="21"/>
      <c r="S69" s="119"/>
      <c r="T69" s="21"/>
      <c r="U69" s="21"/>
      <c r="V69" s="21"/>
      <c r="W69" s="21"/>
      <c r="X69" s="21"/>
      <c r="Y69" s="21"/>
      <c r="Z69" s="21"/>
      <c r="AA69" s="21"/>
      <c r="AB69" s="21"/>
      <c r="AC69" s="28"/>
      <c r="AD69" s="28"/>
      <c r="AE69" s="28"/>
      <c r="AF69" s="28"/>
    </row>
    <row r="70">
      <c r="A70" s="115"/>
      <c r="B70" s="22"/>
      <c r="C70" s="116"/>
      <c r="D70" s="21"/>
      <c r="E70" s="21"/>
      <c r="F70" s="21"/>
      <c r="G70" s="21"/>
      <c r="H70" s="21"/>
      <c r="I70" s="42"/>
      <c r="J70" s="45" t="s">
        <v>64</v>
      </c>
      <c r="K70" s="70">
        <v>58.0</v>
      </c>
      <c r="L70" s="21"/>
      <c r="M70" s="21"/>
      <c r="N70" s="21"/>
      <c r="O70" s="21"/>
      <c r="P70" s="21"/>
      <c r="Q70" s="21"/>
      <c r="R70" s="21"/>
      <c r="S70" s="119"/>
      <c r="T70" s="21"/>
      <c r="U70" s="21"/>
      <c r="V70" s="21"/>
      <c r="W70" s="21"/>
      <c r="X70" s="21"/>
      <c r="Y70" s="21"/>
      <c r="Z70" s="21"/>
      <c r="AA70" s="21"/>
      <c r="AB70" s="21"/>
      <c r="AC70" s="28"/>
      <c r="AD70" s="28"/>
      <c r="AE70" s="28"/>
      <c r="AF70" s="28"/>
    </row>
    <row r="71">
      <c r="A71" s="115"/>
      <c r="B71" s="22"/>
      <c r="C71" s="116"/>
      <c r="D71" s="21"/>
      <c r="E71" s="51"/>
      <c r="F71" s="21"/>
      <c r="G71" s="21"/>
      <c r="H71" s="21"/>
      <c r="I71" s="80"/>
      <c r="J71" s="21"/>
      <c r="K71" s="21"/>
      <c r="L71" s="21"/>
      <c r="M71" s="21"/>
      <c r="N71" s="21"/>
      <c r="O71" s="21"/>
      <c r="P71" s="21"/>
      <c r="Q71" s="21"/>
      <c r="R71" s="21"/>
      <c r="S71" s="119"/>
      <c r="T71" s="21"/>
      <c r="U71" s="21"/>
      <c r="V71" s="21"/>
      <c r="W71" s="21"/>
      <c r="X71" s="21"/>
      <c r="Y71" s="21"/>
      <c r="Z71" s="21"/>
      <c r="AA71" s="21"/>
      <c r="AB71" s="21"/>
      <c r="AC71" s="28"/>
      <c r="AD71" s="28"/>
      <c r="AE71" s="28"/>
      <c r="AF71" s="28"/>
    </row>
    <row r="72">
      <c r="A72" s="115"/>
      <c r="B72" s="22"/>
      <c r="C72" s="116"/>
      <c r="D72" s="21"/>
      <c r="E72" s="30">
        <v>16.0</v>
      </c>
      <c r="F72" s="32" t="s">
        <v>64</v>
      </c>
      <c r="G72" s="35">
        <v>68.0</v>
      </c>
      <c r="H72" s="58"/>
      <c r="I72" s="97"/>
      <c r="J72" s="21"/>
      <c r="K72" s="21"/>
      <c r="L72" s="21"/>
      <c r="M72" s="21"/>
      <c r="N72" s="21"/>
      <c r="O72" s="21"/>
      <c r="P72" s="21"/>
      <c r="Q72" s="21"/>
      <c r="R72" s="21"/>
      <c r="S72" s="119"/>
      <c r="T72" s="21"/>
      <c r="U72" s="21"/>
      <c r="V72" s="21"/>
      <c r="W72" s="21"/>
      <c r="X72" s="21"/>
      <c r="Y72" s="21"/>
      <c r="Z72" s="21"/>
      <c r="AA72" s="21"/>
      <c r="AB72" s="21"/>
      <c r="AC72" s="28"/>
      <c r="AD72" s="28"/>
      <c r="AE72" s="28"/>
      <c r="AF72" s="28"/>
    </row>
    <row r="73">
      <c r="A73" s="115"/>
      <c r="B73" s="22"/>
      <c r="C73" s="116"/>
      <c r="D73" s="21"/>
      <c r="E73" s="42"/>
      <c r="F73" s="45" t="s">
        <v>40</v>
      </c>
      <c r="G73" s="47">
        <v>18.0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119"/>
      <c r="T73" s="21"/>
      <c r="U73" s="21"/>
      <c r="V73" s="21"/>
      <c r="W73" s="21"/>
      <c r="X73" s="21"/>
      <c r="Y73" s="21"/>
      <c r="Z73" s="21"/>
      <c r="AA73" s="21"/>
      <c r="AB73" s="21"/>
      <c r="AC73" s="28"/>
      <c r="AD73" s="28"/>
      <c r="AE73" s="28"/>
      <c r="AF73" s="28"/>
    </row>
    <row r="74">
      <c r="A74" s="115"/>
      <c r="B74" s="22"/>
      <c r="C74" s="116"/>
      <c r="D74" s="21"/>
      <c r="E74" s="160"/>
      <c r="F74" s="22"/>
      <c r="G74" s="116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8"/>
      <c r="AD74" s="28"/>
      <c r="AE74" s="28"/>
      <c r="AF74" s="28"/>
    </row>
    <row r="75">
      <c r="A75" s="115"/>
      <c r="B75" s="22"/>
      <c r="C75" s="116"/>
      <c r="D75" s="21"/>
      <c r="E75" s="160"/>
      <c r="F75" s="22"/>
      <c r="G75" s="116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8"/>
      <c r="AD75" s="28"/>
      <c r="AE75" s="28"/>
      <c r="AF75" s="28"/>
    </row>
    <row r="76">
      <c r="A76" s="115"/>
      <c r="B76" s="22"/>
      <c r="C76" s="116"/>
      <c r="D76" s="21"/>
      <c r="E76" s="160"/>
      <c r="F76" s="22"/>
      <c r="G76" s="116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8"/>
      <c r="AD76" s="28"/>
      <c r="AE76" s="28"/>
      <c r="AF76" s="28"/>
    </row>
  </sheetData>
  <mergeCells count="38">
    <mergeCell ref="E2:H2"/>
    <mergeCell ref="I2:L2"/>
    <mergeCell ref="M2:P2"/>
    <mergeCell ref="Q2:T2"/>
    <mergeCell ref="U2:X2"/>
    <mergeCell ref="Y2:AB2"/>
    <mergeCell ref="AC2:AF2"/>
    <mergeCell ref="A2:D2"/>
    <mergeCell ref="A4:A5"/>
    <mergeCell ref="E6:E7"/>
    <mergeCell ref="A8:A9"/>
    <mergeCell ref="M10:M11"/>
    <mergeCell ref="A12:A13"/>
    <mergeCell ref="E14:E15"/>
    <mergeCell ref="A16:A17"/>
    <mergeCell ref="U18:U19"/>
    <mergeCell ref="A20:A21"/>
    <mergeCell ref="E22:E23"/>
    <mergeCell ref="A24:A25"/>
    <mergeCell ref="M26:M27"/>
    <mergeCell ref="E30:E31"/>
    <mergeCell ref="A28:A29"/>
    <mergeCell ref="A32:A33"/>
    <mergeCell ref="AC32:AC33"/>
    <mergeCell ref="I37:I38"/>
    <mergeCell ref="Q39:Q40"/>
    <mergeCell ref="E40:E41"/>
    <mergeCell ref="M42:M43"/>
    <mergeCell ref="I59:I60"/>
    <mergeCell ref="I69:I70"/>
    <mergeCell ref="E72:E73"/>
    <mergeCell ref="I47:I48"/>
    <mergeCell ref="Y47:Y48"/>
    <mergeCell ref="E50:E51"/>
    <mergeCell ref="U50:U51"/>
    <mergeCell ref="Q61:Q62"/>
    <mergeCell ref="E62:E63"/>
    <mergeCell ref="M64:M65"/>
  </mergeCells>
  <conditionalFormatting sqref="A1:AF76">
    <cfRule type="containsText" dxfId="5" priority="1" operator="containsText" text="Player">
      <formula>NOT(ISERROR(SEARCH(("Player"),(A1))))</formula>
    </cfRule>
  </conditionalFormatting>
  <conditionalFormatting sqref="A1:AF76">
    <cfRule type="containsText" dxfId="5" priority="2" operator="containsText" text="Pts">
      <formula>NOT(ISERROR(SEARCH(("Pts"),(A1))))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38"/>
    <col customWidth="1" min="2" max="2" width="3.25"/>
    <col customWidth="1" min="3" max="3" width="5.13"/>
    <col customWidth="1" min="4" max="4" width="3.25"/>
    <col customWidth="1" min="5" max="5" width="5.13"/>
    <col customWidth="1" min="6" max="6" width="3.25"/>
    <col customWidth="1" min="7" max="7" width="5.13"/>
    <col customWidth="1" min="8" max="8" width="3.25"/>
    <col customWidth="1" min="9" max="9" width="5.13"/>
    <col customWidth="1" min="10" max="10" width="3.25"/>
    <col customWidth="1" min="11" max="12" width="5.13"/>
    <col customWidth="1" min="13" max="14" width="3.88"/>
    <col customWidth="1" min="15" max="15" width="7.0"/>
    <col customWidth="1" min="16" max="16" width="12.38"/>
    <col customWidth="1" min="17" max="17" width="3.25"/>
    <col customWidth="1" min="18" max="18" width="5.13"/>
    <col customWidth="1" min="19" max="19" width="3.25"/>
    <col customWidth="1" min="20" max="20" width="5.13"/>
    <col customWidth="1" min="21" max="21" width="3.25"/>
    <col customWidth="1" min="22" max="22" width="5.13"/>
    <col customWidth="1" min="23" max="23" width="3.25"/>
    <col customWidth="1" min="24" max="24" width="5.13"/>
    <col customWidth="1" min="25" max="25" width="3.25"/>
    <col customWidth="1" min="26" max="27" width="5.13"/>
    <col customWidth="1" min="28" max="29" width="3.88"/>
  </cols>
  <sheetData>
    <row r="1" ht="48.75" customHeight="1">
      <c r="A1" s="2" t="s">
        <v>0</v>
      </c>
    </row>
    <row r="2">
      <c r="A2" s="3"/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8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11"/>
      <c r="O3" s="13"/>
      <c r="P3" s="8" t="s">
        <v>8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11"/>
    </row>
    <row r="4">
      <c r="A4" s="15">
        <f> SUM(L5:L10)</f>
        <v>1178</v>
      </c>
      <c r="B4" s="16" t="s">
        <v>13</v>
      </c>
      <c r="C4" s="18"/>
      <c r="D4" s="19" t="s">
        <v>16</v>
      </c>
      <c r="E4" s="20"/>
      <c r="F4" s="16" t="s">
        <v>19</v>
      </c>
      <c r="G4" s="18"/>
      <c r="H4" s="19" t="s">
        <v>21</v>
      </c>
      <c r="I4" s="20"/>
      <c r="J4" s="16" t="s">
        <v>23</v>
      </c>
      <c r="K4" s="20"/>
      <c r="L4" s="23" t="s">
        <v>25</v>
      </c>
      <c r="M4" s="25" t="s">
        <v>27</v>
      </c>
      <c r="N4" s="26" t="s">
        <v>29</v>
      </c>
      <c r="O4" s="13"/>
      <c r="P4" s="15">
        <f> SUM(AA5:AA10)</f>
        <v>1184</v>
      </c>
      <c r="Q4" s="16" t="s">
        <v>13</v>
      </c>
      <c r="R4" s="18"/>
      <c r="S4" s="19" t="s">
        <v>16</v>
      </c>
      <c r="T4" s="20"/>
      <c r="U4" s="16" t="s">
        <v>19</v>
      </c>
      <c r="V4" s="18"/>
      <c r="W4" s="19" t="s">
        <v>21</v>
      </c>
      <c r="X4" s="20"/>
      <c r="Y4" s="16" t="s">
        <v>23</v>
      </c>
      <c r="Z4" s="20"/>
      <c r="AA4" s="23" t="s">
        <v>25</v>
      </c>
      <c r="AB4" s="25" t="s">
        <v>27</v>
      </c>
      <c r="AC4" s="26" t="s">
        <v>29</v>
      </c>
    </row>
    <row r="5">
      <c r="A5" s="34" t="s">
        <v>33</v>
      </c>
      <c r="B5" s="36" t="s">
        <v>34</v>
      </c>
      <c r="C5" s="36">
        <v>46.0</v>
      </c>
      <c r="D5" s="38" t="s">
        <v>35</v>
      </c>
      <c r="E5" s="34">
        <v>32.0</v>
      </c>
      <c r="F5" s="38" t="s">
        <v>34</v>
      </c>
      <c r="G5" s="36">
        <v>52.0</v>
      </c>
      <c r="H5" s="38" t="s">
        <v>34</v>
      </c>
      <c r="I5" s="34">
        <v>36.0</v>
      </c>
      <c r="J5" s="38" t="s">
        <v>35</v>
      </c>
      <c r="K5" s="34">
        <v>40.0</v>
      </c>
      <c r="L5" s="53">
        <f t="shared" ref="L5:L10" si="1"> SUM(C5 + E5 + G5 + I5 + K5)</f>
        <v>206</v>
      </c>
      <c r="M5" s="41">
        <f t="shared" ref="M5:M10" si="2">2*countif(B5:K5,"W")+countif(B5:K5,"T")</f>
        <v>6</v>
      </c>
      <c r="N5" s="43">
        <v>3.0</v>
      </c>
      <c r="O5" s="46"/>
      <c r="P5" s="34" t="s">
        <v>38</v>
      </c>
      <c r="Q5" s="36" t="s">
        <v>34</v>
      </c>
      <c r="R5" s="36">
        <v>66.0</v>
      </c>
      <c r="S5" s="38" t="s">
        <v>35</v>
      </c>
      <c r="T5" s="34">
        <v>28.0</v>
      </c>
      <c r="U5" s="38" t="s">
        <v>35</v>
      </c>
      <c r="V5" s="36">
        <v>36.0</v>
      </c>
      <c r="W5" s="38" t="s">
        <v>34</v>
      </c>
      <c r="X5" s="34">
        <v>44.0</v>
      </c>
      <c r="Y5" s="38" t="s">
        <v>34</v>
      </c>
      <c r="Z5" s="34">
        <v>30.0</v>
      </c>
      <c r="AA5" s="53">
        <f t="shared" ref="AA5:AA10" si="3"> SUM(R5 + T5 + V5 + X5 + Z5)</f>
        <v>204</v>
      </c>
      <c r="AB5" s="41">
        <f t="shared" ref="AB5:AB10" si="4">2*countif(Q5:Z5,"W")+countif(Q5:Z5,"T")</f>
        <v>6</v>
      </c>
      <c r="AC5" s="43">
        <v>4.0</v>
      </c>
    </row>
    <row r="6">
      <c r="A6" s="50" t="s">
        <v>39</v>
      </c>
      <c r="B6" s="36" t="s">
        <v>35</v>
      </c>
      <c r="C6" s="36">
        <v>38.0</v>
      </c>
      <c r="D6" s="38" t="s">
        <v>34</v>
      </c>
      <c r="E6" s="34">
        <v>40.0</v>
      </c>
      <c r="F6" s="38" t="s">
        <v>34</v>
      </c>
      <c r="G6" s="36">
        <v>42.0</v>
      </c>
      <c r="H6" s="38" t="s">
        <v>34</v>
      </c>
      <c r="I6" s="34">
        <v>64.0</v>
      </c>
      <c r="J6" s="38" t="s">
        <v>34</v>
      </c>
      <c r="K6" s="34">
        <v>50.0</v>
      </c>
      <c r="L6" s="53">
        <f t="shared" si="1"/>
        <v>234</v>
      </c>
      <c r="M6" s="41">
        <f t="shared" si="2"/>
        <v>8</v>
      </c>
      <c r="N6" s="43">
        <v>1.0</v>
      </c>
      <c r="O6" s="46"/>
      <c r="P6" s="50" t="s">
        <v>31</v>
      </c>
      <c r="Q6" s="36" t="s">
        <v>35</v>
      </c>
      <c r="R6" s="36">
        <v>48.0</v>
      </c>
      <c r="S6" s="38" t="s">
        <v>34</v>
      </c>
      <c r="T6" s="34">
        <v>68.0</v>
      </c>
      <c r="U6" s="38" t="s">
        <v>34</v>
      </c>
      <c r="V6" s="36">
        <v>78.0</v>
      </c>
      <c r="W6" s="38" t="s">
        <v>34</v>
      </c>
      <c r="X6" s="34">
        <v>70.0</v>
      </c>
      <c r="Y6" s="38" t="s">
        <v>34</v>
      </c>
      <c r="Z6" s="34">
        <v>62.0</v>
      </c>
      <c r="AA6" s="53">
        <f t="shared" si="3"/>
        <v>326</v>
      </c>
      <c r="AB6" s="41">
        <f t="shared" si="4"/>
        <v>8</v>
      </c>
      <c r="AC6" s="43">
        <v>1.0</v>
      </c>
    </row>
    <row r="7">
      <c r="A7" s="50" t="s">
        <v>40</v>
      </c>
      <c r="B7" s="36" t="s">
        <v>41</v>
      </c>
      <c r="C7" s="36">
        <v>16.0</v>
      </c>
      <c r="D7" s="38" t="s">
        <v>34</v>
      </c>
      <c r="E7" s="34">
        <v>38.0</v>
      </c>
      <c r="F7" s="38" t="s">
        <v>35</v>
      </c>
      <c r="G7" s="36">
        <v>16.0</v>
      </c>
      <c r="H7" s="38" t="s">
        <v>34</v>
      </c>
      <c r="I7" s="34">
        <v>52.0</v>
      </c>
      <c r="J7" s="38" t="s">
        <v>34</v>
      </c>
      <c r="K7" s="34">
        <v>54.0</v>
      </c>
      <c r="L7" s="53">
        <f t="shared" si="1"/>
        <v>176</v>
      </c>
      <c r="M7" s="41">
        <f t="shared" si="2"/>
        <v>7</v>
      </c>
      <c r="N7" s="43">
        <v>2.0</v>
      </c>
      <c r="O7" s="46"/>
      <c r="P7" s="50" t="s">
        <v>36</v>
      </c>
      <c r="Q7" s="36" t="s">
        <v>34</v>
      </c>
      <c r="R7" s="36">
        <v>52.0</v>
      </c>
      <c r="S7" s="38" t="s">
        <v>34</v>
      </c>
      <c r="T7" s="34">
        <v>64.0</v>
      </c>
      <c r="U7" s="38" t="s">
        <v>35</v>
      </c>
      <c r="V7" s="36">
        <v>24.0</v>
      </c>
      <c r="W7" s="38" t="s">
        <v>34</v>
      </c>
      <c r="X7" s="34">
        <v>48.0</v>
      </c>
      <c r="Y7" s="38" t="s">
        <v>35</v>
      </c>
      <c r="Z7" s="34">
        <v>38.0</v>
      </c>
      <c r="AA7" s="53">
        <f t="shared" si="3"/>
        <v>226</v>
      </c>
      <c r="AB7" s="41">
        <f t="shared" si="4"/>
        <v>6</v>
      </c>
      <c r="AC7" s="43">
        <v>3.0</v>
      </c>
    </row>
    <row r="8">
      <c r="A8" s="34" t="s">
        <v>42</v>
      </c>
      <c r="B8" s="36" t="s">
        <v>34</v>
      </c>
      <c r="C8" s="36">
        <v>68.0</v>
      </c>
      <c r="D8" s="38" t="s">
        <v>34</v>
      </c>
      <c r="E8" s="34">
        <v>66.0</v>
      </c>
      <c r="F8" s="38" t="s">
        <v>35</v>
      </c>
      <c r="G8" s="36">
        <v>30.0</v>
      </c>
      <c r="H8" s="38" t="s">
        <v>35</v>
      </c>
      <c r="I8" s="34">
        <v>52.0</v>
      </c>
      <c r="J8" s="38" t="s">
        <v>35</v>
      </c>
      <c r="K8" s="34">
        <v>48.0</v>
      </c>
      <c r="L8" s="53">
        <f t="shared" si="1"/>
        <v>264</v>
      </c>
      <c r="M8" s="41">
        <f t="shared" si="2"/>
        <v>4</v>
      </c>
      <c r="N8" s="43">
        <v>4.0</v>
      </c>
      <c r="O8" s="46"/>
      <c r="P8" s="50" t="s">
        <v>43</v>
      </c>
      <c r="Q8" s="36" t="s">
        <v>34</v>
      </c>
      <c r="R8" s="36">
        <v>46.0</v>
      </c>
      <c r="S8" s="38" t="s">
        <v>34</v>
      </c>
      <c r="T8" s="34">
        <v>62.0</v>
      </c>
      <c r="U8" s="38" t="s">
        <v>34</v>
      </c>
      <c r="V8" s="36">
        <v>42.0</v>
      </c>
      <c r="W8" s="38" t="s">
        <v>35</v>
      </c>
      <c r="X8" s="34">
        <v>24.0</v>
      </c>
      <c r="Y8" s="38" t="s">
        <v>34</v>
      </c>
      <c r="Z8" s="34">
        <v>54.0</v>
      </c>
      <c r="AA8" s="53">
        <f t="shared" si="3"/>
        <v>228</v>
      </c>
      <c r="AB8" s="41">
        <f t="shared" si="4"/>
        <v>8</v>
      </c>
      <c r="AC8" s="43">
        <v>2.0</v>
      </c>
    </row>
    <row r="9">
      <c r="A9" s="34" t="s">
        <v>44</v>
      </c>
      <c r="B9" s="36" t="s">
        <v>41</v>
      </c>
      <c r="C9" s="36">
        <v>16.0</v>
      </c>
      <c r="D9" s="38" t="s">
        <v>35</v>
      </c>
      <c r="E9" s="34">
        <v>44.0</v>
      </c>
      <c r="F9" s="38" t="s">
        <v>34</v>
      </c>
      <c r="G9" s="36">
        <v>24.0</v>
      </c>
      <c r="H9" s="38" t="s">
        <v>35</v>
      </c>
      <c r="I9" s="34">
        <v>32.0</v>
      </c>
      <c r="J9" s="38" t="s">
        <v>35</v>
      </c>
      <c r="K9" s="34">
        <v>24.0</v>
      </c>
      <c r="L9" s="53">
        <f t="shared" si="1"/>
        <v>140</v>
      </c>
      <c r="M9" s="41">
        <f t="shared" si="2"/>
        <v>3</v>
      </c>
      <c r="N9" s="43">
        <v>5.0</v>
      </c>
      <c r="O9" s="46"/>
      <c r="P9" s="34" t="s">
        <v>45</v>
      </c>
      <c r="Q9" s="36" t="s">
        <v>35</v>
      </c>
      <c r="R9" s="36">
        <v>24.0</v>
      </c>
      <c r="S9" s="38" t="s">
        <v>35</v>
      </c>
      <c r="T9" s="34">
        <v>14.0</v>
      </c>
      <c r="U9" s="38" t="s">
        <v>41</v>
      </c>
      <c r="V9" s="36">
        <v>8.0</v>
      </c>
      <c r="W9" s="38" t="s">
        <v>35</v>
      </c>
      <c r="X9" s="34">
        <v>28.0</v>
      </c>
      <c r="Y9" s="38" t="s">
        <v>35</v>
      </c>
      <c r="Z9" s="34">
        <v>24.0</v>
      </c>
      <c r="AA9" s="53">
        <f t="shared" si="3"/>
        <v>98</v>
      </c>
      <c r="AB9" s="41">
        <f t="shared" si="4"/>
        <v>1</v>
      </c>
      <c r="AC9" s="43">
        <v>6.0</v>
      </c>
    </row>
    <row r="10">
      <c r="A10" s="57" t="s">
        <v>46</v>
      </c>
      <c r="B10" s="59" t="s">
        <v>35</v>
      </c>
      <c r="C10" s="59">
        <v>36.0</v>
      </c>
      <c r="D10" s="62" t="s">
        <v>35</v>
      </c>
      <c r="E10" s="74">
        <v>28.0</v>
      </c>
      <c r="F10" s="62" t="s">
        <v>35</v>
      </c>
      <c r="G10" s="59">
        <v>18.0</v>
      </c>
      <c r="H10" s="62" t="s">
        <v>35</v>
      </c>
      <c r="I10" s="74">
        <v>24.0</v>
      </c>
      <c r="J10" s="62" t="s">
        <v>34</v>
      </c>
      <c r="K10" s="74">
        <v>52.0</v>
      </c>
      <c r="L10" s="95">
        <f t="shared" si="1"/>
        <v>158</v>
      </c>
      <c r="M10" s="66">
        <f t="shared" si="2"/>
        <v>2</v>
      </c>
      <c r="N10" s="68">
        <v>6.0</v>
      </c>
      <c r="O10" s="69"/>
      <c r="P10" s="57" t="s">
        <v>55</v>
      </c>
      <c r="Q10" s="59" t="s">
        <v>35</v>
      </c>
      <c r="R10" s="59">
        <v>20.0</v>
      </c>
      <c r="S10" s="62" t="s">
        <v>35</v>
      </c>
      <c r="T10" s="74">
        <v>14.0</v>
      </c>
      <c r="U10" s="62" t="s">
        <v>41</v>
      </c>
      <c r="V10" s="59">
        <v>8.0</v>
      </c>
      <c r="W10" s="62" t="s">
        <v>35</v>
      </c>
      <c r="X10" s="74">
        <v>32.0</v>
      </c>
      <c r="Y10" s="62" t="s">
        <v>35</v>
      </c>
      <c r="Z10" s="74">
        <v>28.0</v>
      </c>
      <c r="AA10" s="95">
        <f t="shared" si="3"/>
        <v>102</v>
      </c>
      <c r="AB10" s="66">
        <f t="shared" si="4"/>
        <v>1</v>
      </c>
      <c r="AC10" s="68">
        <v>5.0</v>
      </c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8" t="s">
        <v>63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11"/>
      <c r="O12" s="13"/>
      <c r="P12" s="8" t="s">
        <v>66</v>
      </c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11"/>
    </row>
    <row r="13">
      <c r="A13" s="15">
        <f> SUM(L14:L19)</f>
        <v>1114</v>
      </c>
      <c r="B13" s="16" t="s">
        <v>13</v>
      </c>
      <c r="C13" s="18"/>
      <c r="D13" s="19" t="s">
        <v>16</v>
      </c>
      <c r="E13" s="20"/>
      <c r="F13" s="16" t="s">
        <v>19</v>
      </c>
      <c r="G13" s="18"/>
      <c r="H13" s="19" t="s">
        <v>21</v>
      </c>
      <c r="I13" s="20"/>
      <c r="J13" s="16" t="s">
        <v>23</v>
      </c>
      <c r="K13" s="20"/>
      <c r="L13" s="23" t="s">
        <v>25</v>
      </c>
      <c r="M13" s="25" t="s">
        <v>27</v>
      </c>
      <c r="N13" s="26" t="s">
        <v>29</v>
      </c>
      <c r="O13" s="13"/>
      <c r="P13" s="15">
        <f> SUM(AA14:AA19)</f>
        <v>1032</v>
      </c>
      <c r="Q13" s="16" t="s">
        <v>13</v>
      </c>
      <c r="R13" s="18"/>
      <c r="S13" s="19" t="s">
        <v>16</v>
      </c>
      <c r="T13" s="20"/>
      <c r="U13" s="16" t="s">
        <v>19</v>
      </c>
      <c r="V13" s="18"/>
      <c r="W13" s="19" t="s">
        <v>21</v>
      </c>
      <c r="X13" s="20"/>
      <c r="Y13" s="16" t="s">
        <v>23</v>
      </c>
      <c r="Z13" s="20"/>
      <c r="AA13" s="23" t="s">
        <v>25</v>
      </c>
      <c r="AB13" s="25" t="s">
        <v>27</v>
      </c>
      <c r="AC13" s="26" t="s">
        <v>29</v>
      </c>
    </row>
    <row r="14">
      <c r="A14" s="34" t="s">
        <v>76</v>
      </c>
      <c r="B14" s="36" t="s">
        <v>34</v>
      </c>
      <c r="C14" s="36">
        <v>34.0</v>
      </c>
      <c r="D14" s="38" t="s">
        <v>35</v>
      </c>
      <c r="E14" s="34">
        <v>18.0</v>
      </c>
      <c r="F14" s="38" t="s">
        <v>35</v>
      </c>
      <c r="G14" s="36">
        <v>12.0</v>
      </c>
      <c r="H14" s="38" t="s">
        <v>35</v>
      </c>
      <c r="I14" s="34">
        <v>24.0</v>
      </c>
      <c r="J14" s="38" t="s">
        <v>34</v>
      </c>
      <c r="K14" s="34">
        <v>42.0</v>
      </c>
      <c r="L14" s="53">
        <f t="shared" ref="L14:L19" si="5"> SUM(C14 + E14 + G14 + I14 + K14)</f>
        <v>130</v>
      </c>
      <c r="M14" s="41">
        <f t="shared" ref="M14:M19" si="6">2*countif(B14:K14,"W")+countif(B14:K14,"T")</f>
        <v>4</v>
      </c>
      <c r="N14" s="43">
        <v>4.0</v>
      </c>
      <c r="O14" s="94"/>
      <c r="P14" s="50" t="s">
        <v>77</v>
      </c>
      <c r="Q14" s="36" t="s">
        <v>34</v>
      </c>
      <c r="R14" s="36">
        <v>56.0</v>
      </c>
      <c r="S14" s="38" t="s">
        <v>34</v>
      </c>
      <c r="T14" s="34">
        <v>52.0</v>
      </c>
      <c r="U14" s="38" t="s">
        <v>34</v>
      </c>
      <c r="V14" s="36">
        <v>64.0</v>
      </c>
      <c r="W14" s="38" t="s">
        <v>34</v>
      </c>
      <c r="X14" s="109">
        <v>0.0</v>
      </c>
      <c r="Y14" s="38" t="s">
        <v>34</v>
      </c>
      <c r="Z14" s="34">
        <v>46.0</v>
      </c>
      <c r="AA14" s="53">
        <f t="shared" ref="AA14:AA15" si="7"> SUM(R14 + T14 + V14 + X14 + Z14)*5/4</f>
        <v>272.5</v>
      </c>
      <c r="AB14" s="41">
        <f t="shared" ref="AB14:AB19" si="8">2*countif(Q14:Z14,"W")+countif(Q14:Z14,"T")</f>
        <v>10</v>
      </c>
      <c r="AC14" s="43">
        <v>1.0</v>
      </c>
    </row>
    <row r="15">
      <c r="A15" s="34" t="s">
        <v>68</v>
      </c>
      <c r="B15" s="36" t="s">
        <v>35</v>
      </c>
      <c r="C15" s="36">
        <v>22.0</v>
      </c>
      <c r="D15" s="38" t="s">
        <v>35</v>
      </c>
      <c r="E15" s="34">
        <v>30.0</v>
      </c>
      <c r="F15" s="38" t="s">
        <v>35</v>
      </c>
      <c r="G15" s="36">
        <v>14.0</v>
      </c>
      <c r="H15" s="38" t="s">
        <v>35</v>
      </c>
      <c r="I15" s="34">
        <v>30.0</v>
      </c>
      <c r="J15" s="38" t="s">
        <v>35</v>
      </c>
      <c r="K15" s="34">
        <v>18.0</v>
      </c>
      <c r="L15" s="53">
        <f t="shared" si="5"/>
        <v>114</v>
      </c>
      <c r="M15" s="41">
        <f t="shared" si="6"/>
        <v>0</v>
      </c>
      <c r="N15" s="43">
        <v>6.0</v>
      </c>
      <c r="O15" s="13"/>
      <c r="P15" s="96" t="s">
        <v>79</v>
      </c>
      <c r="Q15" s="36" t="s">
        <v>35</v>
      </c>
      <c r="R15" s="36">
        <v>20.0</v>
      </c>
      <c r="S15" s="38" t="s">
        <v>34</v>
      </c>
      <c r="T15" s="34">
        <v>50.0</v>
      </c>
      <c r="U15" s="38" t="s">
        <v>34</v>
      </c>
      <c r="V15" s="36">
        <v>56.0</v>
      </c>
      <c r="W15" s="38" t="s">
        <v>35</v>
      </c>
      <c r="X15" s="34">
        <v>54.0</v>
      </c>
      <c r="Y15" s="38" t="s">
        <v>34</v>
      </c>
      <c r="Z15" s="109">
        <v>0.0</v>
      </c>
      <c r="AA15" s="110">
        <f t="shared" si="7"/>
        <v>225</v>
      </c>
      <c r="AB15" s="41">
        <f t="shared" si="8"/>
        <v>6</v>
      </c>
      <c r="AC15" s="43">
        <v>3.0</v>
      </c>
    </row>
    <row r="16">
      <c r="A16" s="34" t="s">
        <v>81</v>
      </c>
      <c r="B16" s="36" t="s">
        <v>35</v>
      </c>
      <c r="C16" s="36">
        <v>34.0</v>
      </c>
      <c r="D16" s="38" t="s">
        <v>34</v>
      </c>
      <c r="E16" s="34">
        <v>44.0</v>
      </c>
      <c r="F16" s="38" t="s">
        <v>34</v>
      </c>
      <c r="G16" s="36">
        <v>40.0</v>
      </c>
      <c r="H16" s="38" t="s">
        <v>34</v>
      </c>
      <c r="I16" s="34">
        <v>44.0</v>
      </c>
      <c r="J16" s="38" t="s">
        <v>35</v>
      </c>
      <c r="K16" s="34">
        <v>30.0</v>
      </c>
      <c r="L16" s="53">
        <f t="shared" si="5"/>
        <v>192</v>
      </c>
      <c r="M16" s="41">
        <f t="shared" si="6"/>
        <v>6</v>
      </c>
      <c r="N16" s="43">
        <v>3.0</v>
      </c>
      <c r="O16" s="13"/>
      <c r="P16" s="34" t="s">
        <v>83</v>
      </c>
      <c r="Q16" s="36" t="s">
        <v>34</v>
      </c>
      <c r="R16" s="112">
        <v>22.0</v>
      </c>
      <c r="S16" s="38" t="s">
        <v>35</v>
      </c>
      <c r="T16" s="34">
        <v>26.0</v>
      </c>
      <c r="U16" s="38" t="s">
        <v>35</v>
      </c>
      <c r="V16" s="36">
        <v>8.0</v>
      </c>
      <c r="W16" s="38" t="s">
        <v>35</v>
      </c>
      <c r="X16" s="34">
        <v>34.0</v>
      </c>
      <c r="Y16" s="38" t="s">
        <v>35</v>
      </c>
      <c r="Z16" s="34">
        <v>-26.0</v>
      </c>
      <c r="AA16" s="53">
        <f> SUM(T16 + V16 + X16 + Z16)*5/4</f>
        <v>52.5</v>
      </c>
      <c r="AB16" s="41">
        <f t="shared" si="8"/>
        <v>2</v>
      </c>
      <c r="AC16" s="43">
        <v>5.0</v>
      </c>
    </row>
    <row r="17">
      <c r="A17" s="50" t="s">
        <v>85</v>
      </c>
      <c r="B17" s="36" t="s">
        <v>34</v>
      </c>
      <c r="C17" s="36">
        <v>68.0</v>
      </c>
      <c r="D17" s="38" t="s">
        <v>35</v>
      </c>
      <c r="E17" s="34">
        <v>18.0</v>
      </c>
      <c r="F17" s="38" t="s">
        <v>34</v>
      </c>
      <c r="G17" s="36">
        <v>54.0</v>
      </c>
      <c r="H17" s="38" t="s">
        <v>34</v>
      </c>
      <c r="I17" s="34">
        <v>46.0</v>
      </c>
      <c r="J17" s="38" t="s">
        <v>34</v>
      </c>
      <c r="K17" s="34">
        <v>36.0</v>
      </c>
      <c r="L17" s="53">
        <f t="shared" si="5"/>
        <v>222</v>
      </c>
      <c r="M17" s="41">
        <f t="shared" si="6"/>
        <v>8</v>
      </c>
      <c r="N17" s="43">
        <v>2.0</v>
      </c>
      <c r="O17" s="13"/>
      <c r="P17" s="34" t="s">
        <v>86</v>
      </c>
      <c r="Q17" s="36" t="s">
        <v>34</v>
      </c>
      <c r="R17" s="36">
        <v>82.0</v>
      </c>
      <c r="S17" s="38" t="s">
        <v>34</v>
      </c>
      <c r="T17" s="109">
        <v>98.0</v>
      </c>
      <c r="U17" s="38" t="s">
        <v>35</v>
      </c>
      <c r="V17" s="36">
        <v>60.0</v>
      </c>
      <c r="W17" s="38" t="s">
        <v>34</v>
      </c>
      <c r="X17" s="34">
        <v>58.0</v>
      </c>
      <c r="Y17" s="38" t="s">
        <v>34</v>
      </c>
      <c r="Z17" s="34">
        <v>26.0</v>
      </c>
      <c r="AA17" s="53">
        <f> SUM(R17 + V17 + X17 + Z17)*5/4</f>
        <v>282.5</v>
      </c>
      <c r="AB17" s="41">
        <f t="shared" si="8"/>
        <v>8</v>
      </c>
      <c r="AC17" s="43">
        <v>2.0</v>
      </c>
    </row>
    <row r="18">
      <c r="A18" s="50" t="s">
        <v>88</v>
      </c>
      <c r="B18" s="36" t="s">
        <v>34</v>
      </c>
      <c r="C18" s="36">
        <v>56.0</v>
      </c>
      <c r="D18" s="38" t="s">
        <v>34</v>
      </c>
      <c r="E18" s="34">
        <v>64.0</v>
      </c>
      <c r="F18" s="38" t="s">
        <v>34</v>
      </c>
      <c r="G18" s="36">
        <v>68.0</v>
      </c>
      <c r="H18" s="38" t="s">
        <v>34</v>
      </c>
      <c r="I18" s="34">
        <v>50.0</v>
      </c>
      <c r="J18" s="38" t="s">
        <v>34</v>
      </c>
      <c r="K18" s="34">
        <v>56.0</v>
      </c>
      <c r="L18" s="53">
        <f t="shared" si="5"/>
        <v>294</v>
      </c>
      <c r="M18" s="41">
        <f t="shared" si="6"/>
        <v>10</v>
      </c>
      <c r="N18" s="43">
        <v>1.0</v>
      </c>
      <c r="O18" s="13"/>
      <c r="P18" s="34" t="s">
        <v>89</v>
      </c>
      <c r="Q18" s="36" t="s">
        <v>35</v>
      </c>
      <c r="R18" s="112">
        <v>26.0</v>
      </c>
      <c r="S18" s="38" t="s">
        <v>35</v>
      </c>
      <c r="T18" s="109">
        <v>16.0</v>
      </c>
      <c r="U18" s="38" t="s">
        <v>35</v>
      </c>
      <c r="V18" s="112">
        <v>0.0</v>
      </c>
      <c r="W18" s="38" t="s">
        <v>35</v>
      </c>
      <c r="X18" s="109">
        <v>0.0</v>
      </c>
      <c r="Y18" s="38" t="s">
        <v>35</v>
      </c>
      <c r="Z18" s="109">
        <v>0.0</v>
      </c>
      <c r="AA18" s="53">
        <f> SUM(R18 + T18 + V18 + X18 + Z18)</f>
        <v>42</v>
      </c>
      <c r="AB18" s="41">
        <f t="shared" si="8"/>
        <v>0</v>
      </c>
      <c r="AC18" s="43">
        <v>6.0</v>
      </c>
    </row>
    <row r="19">
      <c r="A19" s="57" t="s">
        <v>92</v>
      </c>
      <c r="B19" s="59" t="s">
        <v>35</v>
      </c>
      <c r="C19" s="59">
        <v>32.0</v>
      </c>
      <c r="D19" s="62" t="s">
        <v>34</v>
      </c>
      <c r="E19" s="74">
        <v>38.0</v>
      </c>
      <c r="F19" s="62" t="s">
        <v>35</v>
      </c>
      <c r="G19" s="59">
        <v>14.0</v>
      </c>
      <c r="H19" s="62" t="s">
        <v>35</v>
      </c>
      <c r="I19" s="74">
        <v>42.0</v>
      </c>
      <c r="J19" s="62" t="s">
        <v>35</v>
      </c>
      <c r="K19" s="74">
        <v>36.0</v>
      </c>
      <c r="L19" s="95">
        <f t="shared" si="5"/>
        <v>162</v>
      </c>
      <c r="M19" s="66">
        <f t="shared" si="6"/>
        <v>2</v>
      </c>
      <c r="N19" s="68">
        <v>5.0</v>
      </c>
      <c r="O19" s="13"/>
      <c r="P19" s="57" t="s">
        <v>94</v>
      </c>
      <c r="Q19" s="59" t="s">
        <v>35</v>
      </c>
      <c r="R19" s="59">
        <v>32.0</v>
      </c>
      <c r="S19" s="62" t="s">
        <v>35</v>
      </c>
      <c r="T19" s="74">
        <v>26.0</v>
      </c>
      <c r="U19" s="62" t="s">
        <v>34</v>
      </c>
      <c r="V19" s="122">
        <v>0.0</v>
      </c>
      <c r="W19" s="62" t="s">
        <v>34</v>
      </c>
      <c r="X19" s="74">
        <v>48.0</v>
      </c>
      <c r="Y19" s="62" t="s">
        <v>35</v>
      </c>
      <c r="Z19" s="74">
        <v>20.0</v>
      </c>
      <c r="AA19" s="95">
        <f> SUM(R19 + T19 + V19 + X19 + Z19)*5/4</f>
        <v>157.5</v>
      </c>
      <c r="AB19" s="66">
        <f t="shared" si="8"/>
        <v>4</v>
      </c>
      <c r="AC19" s="68">
        <v>4.0</v>
      </c>
    </row>
    <row r="20">
      <c r="A20" s="98"/>
      <c r="B20" s="99"/>
      <c r="C20" s="98"/>
      <c r="D20" s="99"/>
      <c r="E20" s="98"/>
      <c r="F20" s="99"/>
      <c r="G20" s="98"/>
      <c r="H20" s="99"/>
      <c r="I20" s="98"/>
      <c r="J20" s="99"/>
      <c r="K20" s="98"/>
      <c r="L20" s="100"/>
      <c r="M20" s="101"/>
      <c r="N20" s="102"/>
      <c r="O20" s="5"/>
      <c r="P20" s="98"/>
      <c r="Q20" s="99"/>
      <c r="R20" s="98"/>
      <c r="S20" s="99"/>
      <c r="T20" s="98"/>
      <c r="U20" s="99"/>
      <c r="V20" s="98"/>
      <c r="W20" s="99"/>
      <c r="X20" s="98"/>
      <c r="Y20" s="99"/>
      <c r="Z20" s="98"/>
      <c r="AA20" s="100"/>
      <c r="AB20" s="101"/>
      <c r="AC20" s="102"/>
    </row>
    <row r="21">
      <c r="A21" s="8" t="s">
        <v>97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11"/>
      <c r="O21" s="13"/>
      <c r="P21" s="8" t="s">
        <v>98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11"/>
    </row>
    <row r="22">
      <c r="A22" s="15">
        <f> SUM(L23:L28)</f>
        <v>1318</v>
      </c>
      <c r="B22" s="16" t="s">
        <v>13</v>
      </c>
      <c r="C22" s="18"/>
      <c r="D22" s="19" t="s">
        <v>16</v>
      </c>
      <c r="E22" s="20"/>
      <c r="F22" s="16" t="s">
        <v>19</v>
      </c>
      <c r="G22" s="18"/>
      <c r="H22" s="19" t="s">
        <v>21</v>
      </c>
      <c r="I22" s="20"/>
      <c r="J22" s="16" t="s">
        <v>23</v>
      </c>
      <c r="K22" s="20"/>
      <c r="L22" s="23" t="s">
        <v>25</v>
      </c>
      <c r="M22" s="25" t="s">
        <v>27</v>
      </c>
      <c r="N22" s="26" t="s">
        <v>29</v>
      </c>
      <c r="O22" s="13"/>
      <c r="P22" s="15">
        <f> SUM(AA23:AA28)</f>
        <v>1020</v>
      </c>
      <c r="Q22" s="16" t="s">
        <v>13</v>
      </c>
      <c r="R22" s="18"/>
      <c r="S22" s="19" t="s">
        <v>16</v>
      </c>
      <c r="T22" s="20"/>
      <c r="U22" s="16" t="s">
        <v>19</v>
      </c>
      <c r="V22" s="18"/>
      <c r="W22" s="19" t="s">
        <v>21</v>
      </c>
      <c r="X22" s="20"/>
      <c r="Y22" s="16" t="s">
        <v>23</v>
      </c>
      <c r="Z22" s="20"/>
      <c r="AA22" s="23" t="s">
        <v>25</v>
      </c>
      <c r="AB22" s="25" t="s">
        <v>27</v>
      </c>
      <c r="AC22" s="108" t="s">
        <v>29</v>
      </c>
    </row>
    <row r="23">
      <c r="A23" s="34" t="s">
        <v>101</v>
      </c>
      <c r="B23" s="36" t="s">
        <v>34</v>
      </c>
      <c r="C23" s="36">
        <v>66.0</v>
      </c>
      <c r="D23" s="38" t="s">
        <v>34</v>
      </c>
      <c r="E23" s="34">
        <v>42.0</v>
      </c>
      <c r="F23" s="38" t="s">
        <v>35</v>
      </c>
      <c r="G23" s="36">
        <v>32.0</v>
      </c>
      <c r="H23" s="38" t="s">
        <v>35</v>
      </c>
      <c r="I23" s="34">
        <v>44.0</v>
      </c>
      <c r="J23" s="38" t="s">
        <v>35</v>
      </c>
      <c r="K23" s="34">
        <v>32.0</v>
      </c>
      <c r="L23" s="53">
        <f t="shared" ref="L23:L28" si="9"> SUM(C23 + E23 + G23 + I23 + K23)</f>
        <v>216</v>
      </c>
      <c r="M23" s="41">
        <f t="shared" ref="M23:M28" si="10">2*countif(B23:K23,"W")+countif(B23:K23,"T")</f>
        <v>4</v>
      </c>
      <c r="N23" s="43">
        <v>4.0</v>
      </c>
      <c r="O23" s="13"/>
      <c r="P23" s="34" t="s">
        <v>102</v>
      </c>
      <c r="Q23" s="36" t="s">
        <v>34</v>
      </c>
      <c r="R23" s="36">
        <v>46.0</v>
      </c>
      <c r="S23" s="38" t="s">
        <v>35</v>
      </c>
      <c r="T23" s="34">
        <v>28.0</v>
      </c>
      <c r="U23" s="38" t="s">
        <v>34</v>
      </c>
      <c r="V23" s="36">
        <v>36.0</v>
      </c>
      <c r="W23" s="38" t="s">
        <v>35</v>
      </c>
      <c r="X23" s="34">
        <v>14.0</v>
      </c>
      <c r="Y23" s="38" t="s">
        <v>34</v>
      </c>
      <c r="Z23" s="34">
        <v>36.0</v>
      </c>
      <c r="AA23" s="53">
        <f t="shared" ref="AA23:AA28" si="11"> SUM(R23 + T23 + V23 + X23 + Z23)</f>
        <v>160</v>
      </c>
      <c r="AB23" s="41">
        <f t="shared" ref="AB23:AB28" si="12">2*countif(Q23:Z23,"W")+countif(Q23:Z23,"T")</f>
        <v>6</v>
      </c>
      <c r="AC23" s="43">
        <v>3.0</v>
      </c>
    </row>
    <row r="24">
      <c r="A24" s="34" t="s">
        <v>70</v>
      </c>
      <c r="B24" s="36" t="s">
        <v>35</v>
      </c>
      <c r="C24" s="36">
        <v>22.0</v>
      </c>
      <c r="D24" s="38" t="s">
        <v>35</v>
      </c>
      <c r="E24" s="34">
        <v>30.0</v>
      </c>
      <c r="F24" s="38" t="s">
        <v>34</v>
      </c>
      <c r="G24" s="36">
        <v>38.0</v>
      </c>
      <c r="H24" s="38" t="s">
        <v>35</v>
      </c>
      <c r="I24" s="34">
        <v>28.0</v>
      </c>
      <c r="J24" s="38" t="s">
        <v>35</v>
      </c>
      <c r="K24" s="34">
        <v>36.0</v>
      </c>
      <c r="L24" s="53">
        <f t="shared" si="9"/>
        <v>154</v>
      </c>
      <c r="M24" s="41">
        <f t="shared" si="10"/>
        <v>2</v>
      </c>
      <c r="N24" s="43">
        <v>5.0</v>
      </c>
      <c r="O24" s="13"/>
      <c r="P24" s="34" t="s">
        <v>104</v>
      </c>
      <c r="Q24" s="36" t="s">
        <v>35</v>
      </c>
      <c r="R24" s="36">
        <v>22.0</v>
      </c>
      <c r="S24" s="38" t="s">
        <v>35</v>
      </c>
      <c r="T24" s="109">
        <v>0.0</v>
      </c>
      <c r="U24" s="38" t="s">
        <v>35</v>
      </c>
      <c r="V24" s="36">
        <v>30.0</v>
      </c>
      <c r="W24" s="38" t="s">
        <v>35</v>
      </c>
      <c r="X24" s="34">
        <v>26.0</v>
      </c>
      <c r="Y24" s="38" t="s">
        <v>35</v>
      </c>
      <c r="Z24" s="34">
        <v>-52.0</v>
      </c>
      <c r="AA24" s="53">
        <f t="shared" si="11"/>
        <v>26</v>
      </c>
      <c r="AB24" s="41">
        <f t="shared" si="12"/>
        <v>0</v>
      </c>
      <c r="AC24" s="43">
        <v>6.0</v>
      </c>
    </row>
    <row r="25">
      <c r="A25" s="34" t="s">
        <v>107</v>
      </c>
      <c r="B25" s="36" t="s">
        <v>35</v>
      </c>
      <c r="C25" s="36">
        <v>10.0</v>
      </c>
      <c r="D25" s="38" t="s">
        <v>35</v>
      </c>
      <c r="E25" s="34">
        <v>18.0</v>
      </c>
      <c r="F25" s="38" t="s">
        <v>35</v>
      </c>
      <c r="G25" s="36">
        <v>24.0</v>
      </c>
      <c r="H25" s="38" t="s">
        <v>35</v>
      </c>
      <c r="I25" s="34">
        <v>28.0</v>
      </c>
      <c r="J25" s="38" t="s">
        <v>35</v>
      </c>
      <c r="K25" s="34">
        <v>16.0</v>
      </c>
      <c r="L25" s="53">
        <f t="shared" si="9"/>
        <v>96</v>
      </c>
      <c r="M25" s="41">
        <f t="shared" si="10"/>
        <v>0</v>
      </c>
      <c r="N25" s="43">
        <v>6.0</v>
      </c>
      <c r="O25" s="13"/>
      <c r="P25" s="50" t="s">
        <v>54</v>
      </c>
      <c r="Q25" s="36" t="s">
        <v>35</v>
      </c>
      <c r="R25" s="36">
        <v>44.0</v>
      </c>
      <c r="S25" s="38" t="s">
        <v>34</v>
      </c>
      <c r="T25" s="34">
        <v>78.0</v>
      </c>
      <c r="U25" s="38" t="s">
        <v>34</v>
      </c>
      <c r="V25" s="36">
        <v>76.0</v>
      </c>
      <c r="W25" s="38" t="s">
        <v>34</v>
      </c>
      <c r="X25" s="109">
        <v>84.0</v>
      </c>
      <c r="Y25" s="38" t="s">
        <v>34</v>
      </c>
      <c r="Z25" s="34">
        <v>90.0</v>
      </c>
      <c r="AA25" s="53">
        <f t="shared" si="11"/>
        <v>372</v>
      </c>
      <c r="AB25" s="41">
        <f t="shared" si="12"/>
        <v>8</v>
      </c>
      <c r="AC25" s="43">
        <v>2.0</v>
      </c>
    </row>
    <row r="26">
      <c r="A26" s="50" t="s">
        <v>75</v>
      </c>
      <c r="B26" s="36" t="s">
        <v>34</v>
      </c>
      <c r="C26" s="36">
        <v>76.0</v>
      </c>
      <c r="D26" s="38" t="s">
        <v>34</v>
      </c>
      <c r="E26" s="34">
        <v>52.0</v>
      </c>
      <c r="F26" s="38" t="s">
        <v>34</v>
      </c>
      <c r="G26" s="36">
        <v>58.0</v>
      </c>
      <c r="H26" s="38" t="s">
        <v>34</v>
      </c>
      <c r="I26" s="34">
        <v>66.0</v>
      </c>
      <c r="J26" s="38" t="s">
        <v>34</v>
      </c>
      <c r="K26" s="34">
        <v>62.0</v>
      </c>
      <c r="L26" s="53">
        <f t="shared" si="9"/>
        <v>314</v>
      </c>
      <c r="M26" s="41">
        <f t="shared" si="10"/>
        <v>10</v>
      </c>
      <c r="N26" s="43">
        <v>1.0</v>
      </c>
      <c r="O26" s="13"/>
      <c r="P26" s="34" t="s">
        <v>90</v>
      </c>
      <c r="Q26" s="36" t="s">
        <v>34</v>
      </c>
      <c r="R26" s="36">
        <v>32.0</v>
      </c>
      <c r="S26" s="38" t="s">
        <v>35</v>
      </c>
      <c r="T26" s="34">
        <v>14.0</v>
      </c>
      <c r="U26" s="38" t="s">
        <v>35</v>
      </c>
      <c r="V26" s="36">
        <v>16.0</v>
      </c>
      <c r="W26" s="38" t="s">
        <v>34</v>
      </c>
      <c r="X26" s="34">
        <v>46.0</v>
      </c>
      <c r="Y26" s="38" t="s">
        <v>35</v>
      </c>
      <c r="Z26" s="34">
        <v>16.0</v>
      </c>
      <c r="AA26" s="53">
        <f t="shared" si="11"/>
        <v>124</v>
      </c>
      <c r="AB26" s="41">
        <f t="shared" si="12"/>
        <v>4</v>
      </c>
      <c r="AC26" s="43">
        <v>4.0</v>
      </c>
    </row>
    <row r="27">
      <c r="A27" s="34" t="s">
        <v>112</v>
      </c>
      <c r="B27" s="36" t="s">
        <v>34</v>
      </c>
      <c r="C27" s="36">
        <v>78.0</v>
      </c>
      <c r="D27" s="38" t="s">
        <v>35</v>
      </c>
      <c r="E27" s="34">
        <v>50.0</v>
      </c>
      <c r="F27" s="38" t="s">
        <v>35</v>
      </c>
      <c r="G27" s="36">
        <v>36.0</v>
      </c>
      <c r="H27" s="38" t="s">
        <v>34</v>
      </c>
      <c r="I27" s="34">
        <v>60.0</v>
      </c>
      <c r="J27" s="38" t="s">
        <v>34</v>
      </c>
      <c r="K27" s="34">
        <v>74.0</v>
      </c>
      <c r="L27" s="53">
        <f t="shared" si="9"/>
        <v>298</v>
      </c>
      <c r="M27" s="41">
        <f t="shared" si="10"/>
        <v>6</v>
      </c>
      <c r="N27" s="43">
        <v>3.0</v>
      </c>
      <c r="O27" s="94"/>
      <c r="P27" s="50" t="s">
        <v>113</v>
      </c>
      <c r="Q27" s="36" t="s">
        <v>34</v>
      </c>
      <c r="R27" s="36">
        <v>62.0</v>
      </c>
      <c r="S27" s="38" t="s">
        <v>34</v>
      </c>
      <c r="T27" s="34">
        <v>50.0</v>
      </c>
      <c r="U27" s="38" t="s">
        <v>34</v>
      </c>
      <c r="V27" s="36">
        <v>54.0</v>
      </c>
      <c r="W27" s="38" t="s">
        <v>34</v>
      </c>
      <c r="X27" s="34">
        <v>56.0</v>
      </c>
      <c r="Y27" s="38" t="s">
        <v>34</v>
      </c>
      <c r="Z27" s="34">
        <v>36.0</v>
      </c>
      <c r="AA27" s="53">
        <f t="shared" si="11"/>
        <v>258</v>
      </c>
      <c r="AB27" s="41">
        <f t="shared" si="12"/>
        <v>10</v>
      </c>
      <c r="AC27" s="43">
        <v>1.0</v>
      </c>
    </row>
    <row r="28">
      <c r="A28" s="111" t="s">
        <v>64</v>
      </c>
      <c r="B28" s="59" t="s">
        <v>35</v>
      </c>
      <c r="C28" s="59">
        <v>40.0</v>
      </c>
      <c r="D28" s="62" t="s">
        <v>34</v>
      </c>
      <c r="E28" s="74">
        <v>48.0</v>
      </c>
      <c r="F28" s="62" t="s">
        <v>34</v>
      </c>
      <c r="G28" s="59">
        <v>46.0</v>
      </c>
      <c r="H28" s="62" t="s">
        <v>34</v>
      </c>
      <c r="I28" s="74">
        <v>54.0</v>
      </c>
      <c r="J28" s="62" t="s">
        <v>34</v>
      </c>
      <c r="K28" s="74">
        <v>52.0</v>
      </c>
      <c r="L28" s="95">
        <f t="shared" si="9"/>
        <v>240</v>
      </c>
      <c r="M28" s="66">
        <f t="shared" si="10"/>
        <v>8</v>
      </c>
      <c r="N28" s="68">
        <v>2.0</v>
      </c>
      <c r="O28" s="13"/>
      <c r="P28" s="57" t="s">
        <v>73</v>
      </c>
      <c r="Q28" s="59" t="s">
        <v>35</v>
      </c>
      <c r="R28" s="59">
        <v>28.0</v>
      </c>
      <c r="S28" s="62" t="s">
        <v>34</v>
      </c>
      <c r="T28" s="161">
        <v>0.0</v>
      </c>
      <c r="U28" s="62" t="s">
        <v>35</v>
      </c>
      <c r="V28" s="59">
        <v>12.0</v>
      </c>
      <c r="W28" s="62" t="s">
        <v>35</v>
      </c>
      <c r="X28" s="161">
        <v>12.0</v>
      </c>
      <c r="Y28" s="62" t="s">
        <v>35</v>
      </c>
      <c r="Z28" s="74">
        <v>28.0</v>
      </c>
      <c r="AA28" s="95">
        <f t="shared" si="11"/>
        <v>80</v>
      </c>
      <c r="AB28" s="66">
        <f t="shared" si="12"/>
        <v>2</v>
      </c>
      <c r="AC28" s="68">
        <v>5.0</v>
      </c>
    </row>
    <row r="29">
      <c r="A29" s="98"/>
      <c r="B29" s="99"/>
      <c r="C29" s="98"/>
      <c r="D29" s="99"/>
      <c r="E29" s="98"/>
      <c r="F29" s="99"/>
      <c r="G29" s="98"/>
      <c r="H29" s="99"/>
      <c r="I29" s="98"/>
      <c r="J29" s="99"/>
      <c r="K29" s="98"/>
      <c r="L29" s="100"/>
      <c r="M29" s="101"/>
      <c r="N29" s="102"/>
      <c r="O29" s="5"/>
      <c r="P29" s="98"/>
      <c r="Q29" s="99"/>
      <c r="R29" s="98"/>
      <c r="S29" s="99"/>
      <c r="T29" s="98"/>
      <c r="U29" s="99"/>
      <c r="V29" s="98"/>
      <c r="W29" s="99"/>
      <c r="X29" s="98"/>
      <c r="Y29" s="99"/>
      <c r="Z29" s="98"/>
      <c r="AA29" s="100"/>
      <c r="AB29" s="101"/>
      <c r="AC29" s="102"/>
    </row>
    <row r="30">
      <c r="A30" s="8" t="s">
        <v>119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11"/>
      <c r="O30" s="13"/>
      <c r="P30" s="8" t="s">
        <v>120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11"/>
    </row>
    <row r="31">
      <c r="A31" s="15">
        <f> SUM(L32:L37)</f>
        <v>1082</v>
      </c>
      <c r="B31" s="16" t="s">
        <v>13</v>
      </c>
      <c r="C31" s="18"/>
      <c r="D31" s="19" t="s">
        <v>16</v>
      </c>
      <c r="E31" s="20"/>
      <c r="F31" s="16" t="s">
        <v>19</v>
      </c>
      <c r="G31" s="18"/>
      <c r="H31" s="19" t="s">
        <v>21</v>
      </c>
      <c r="I31" s="20"/>
      <c r="J31" s="16" t="s">
        <v>23</v>
      </c>
      <c r="K31" s="20"/>
      <c r="L31" s="23" t="s">
        <v>25</v>
      </c>
      <c r="M31" s="25" t="s">
        <v>27</v>
      </c>
      <c r="N31" s="26" t="s">
        <v>29</v>
      </c>
      <c r="O31" s="13"/>
      <c r="P31" s="15">
        <f> SUM(AA32:AA37)</f>
        <v>1078</v>
      </c>
      <c r="Q31" s="16" t="s">
        <v>13</v>
      </c>
      <c r="R31" s="18"/>
      <c r="S31" s="19" t="s">
        <v>16</v>
      </c>
      <c r="T31" s="20"/>
      <c r="U31" s="16" t="s">
        <v>19</v>
      </c>
      <c r="V31" s="18"/>
      <c r="W31" s="19" t="s">
        <v>21</v>
      </c>
      <c r="X31" s="20"/>
      <c r="Y31" s="16" t="s">
        <v>23</v>
      </c>
      <c r="Z31" s="20"/>
      <c r="AA31" s="23" t="s">
        <v>25</v>
      </c>
      <c r="AB31" s="25" t="s">
        <v>27</v>
      </c>
      <c r="AC31" s="26" t="s">
        <v>29</v>
      </c>
    </row>
    <row r="32">
      <c r="A32" s="34" t="s">
        <v>105</v>
      </c>
      <c r="B32" s="36" t="s">
        <v>35</v>
      </c>
      <c r="C32" s="36">
        <v>24.0</v>
      </c>
      <c r="D32" s="38" t="s">
        <v>35</v>
      </c>
      <c r="E32" s="34">
        <v>16.0</v>
      </c>
      <c r="F32" s="38" t="s">
        <v>34</v>
      </c>
      <c r="G32" s="36">
        <v>16.0</v>
      </c>
      <c r="H32" s="38" t="s">
        <v>35</v>
      </c>
      <c r="I32" s="34">
        <v>16.0</v>
      </c>
      <c r="J32" s="38" t="s">
        <v>35</v>
      </c>
      <c r="K32" s="34">
        <v>32.0</v>
      </c>
      <c r="L32" s="53">
        <f t="shared" ref="L32:L37" si="13"> SUM(C32 + E32 + G32 + I32 + K32)</f>
        <v>104</v>
      </c>
      <c r="M32" s="41">
        <f t="shared" ref="M32:M37" si="14">2*countif(B32:K32,"W")+countif(B32:K32,"T")</f>
        <v>2</v>
      </c>
      <c r="N32" s="43">
        <v>5.0</v>
      </c>
      <c r="O32" s="13"/>
      <c r="P32" s="50" t="s">
        <v>30</v>
      </c>
      <c r="Q32" s="36" t="s">
        <v>34</v>
      </c>
      <c r="R32" s="36">
        <v>82.0</v>
      </c>
      <c r="S32" s="38" t="s">
        <v>34</v>
      </c>
      <c r="T32" s="34">
        <v>46.0</v>
      </c>
      <c r="U32" s="38" t="s">
        <v>34</v>
      </c>
      <c r="V32" s="36">
        <v>50.0</v>
      </c>
      <c r="W32" s="38" t="s">
        <v>34</v>
      </c>
      <c r="X32" s="34">
        <v>88.0</v>
      </c>
      <c r="Y32" s="38" t="s">
        <v>34</v>
      </c>
      <c r="Z32" s="34">
        <v>44.0</v>
      </c>
      <c r="AA32" s="53">
        <f t="shared" ref="AA32:AA37" si="15"> SUM(R32 + T32 + V32 + X32 + Z32)</f>
        <v>310</v>
      </c>
      <c r="AB32" s="41">
        <f t="shared" ref="AB32:AB37" si="16">2*countif(Q32:Z32,"W")+countif(Q32:Z32,"T")</f>
        <v>10</v>
      </c>
      <c r="AC32" s="43">
        <v>1.0</v>
      </c>
    </row>
    <row r="33">
      <c r="A33" s="34" t="s">
        <v>99</v>
      </c>
      <c r="B33" s="36" t="s">
        <v>34</v>
      </c>
      <c r="C33" s="36">
        <v>36.0</v>
      </c>
      <c r="D33" s="38" t="s">
        <v>35</v>
      </c>
      <c r="E33" s="34">
        <v>22.0</v>
      </c>
      <c r="F33" s="38" t="s">
        <v>35</v>
      </c>
      <c r="G33" s="36">
        <v>20.0</v>
      </c>
      <c r="H33" s="38" t="s">
        <v>35</v>
      </c>
      <c r="I33" s="34">
        <v>22.0</v>
      </c>
      <c r="J33" s="38" t="s">
        <v>35</v>
      </c>
      <c r="K33" s="34">
        <v>14.0</v>
      </c>
      <c r="L33" s="53">
        <f t="shared" si="13"/>
        <v>114</v>
      </c>
      <c r="M33" s="41">
        <f t="shared" si="14"/>
        <v>2</v>
      </c>
      <c r="N33" s="43">
        <v>4.0</v>
      </c>
      <c r="O33" s="13"/>
      <c r="P33" s="34" t="s">
        <v>59</v>
      </c>
      <c r="Q33" s="36" t="s">
        <v>35</v>
      </c>
      <c r="R33" s="36">
        <v>28.0</v>
      </c>
      <c r="S33" s="38" t="s">
        <v>35</v>
      </c>
      <c r="T33" s="34">
        <v>22.0</v>
      </c>
      <c r="U33" s="38" t="s">
        <v>34</v>
      </c>
      <c r="V33" s="36">
        <v>36.0</v>
      </c>
      <c r="W33" s="38" t="s">
        <v>35</v>
      </c>
      <c r="X33" s="34">
        <v>48.0</v>
      </c>
      <c r="Y33" s="38" t="s">
        <v>34</v>
      </c>
      <c r="Z33" s="34">
        <v>40.0</v>
      </c>
      <c r="AA33" s="53">
        <f t="shared" si="15"/>
        <v>174</v>
      </c>
      <c r="AB33" s="41">
        <f t="shared" si="16"/>
        <v>4</v>
      </c>
      <c r="AC33" s="43">
        <v>4.0</v>
      </c>
    </row>
    <row r="34">
      <c r="A34" s="50" t="s">
        <v>61</v>
      </c>
      <c r="B34" s="36" t="s">
        <v>35</v>
      </c>
      <c r="C34" s="36">
        <v>40.0</v>
      </c>
      <c r="D34" s="38" t="s">
        <v>34</v>
      </c>
      <c r="E34" s="34">
        <v>56.0</v>
      </c>
      <c r="F34" s="38" t="s">
        <v>34</v>
      </c>
      <c r="G34" s="36">
        <v>48.0</v>
      </c>
      <c r="H34" s="38" t="s">
        <v>34</v>
      </c>
      <c r="I34" s="34">
        <v>64.0</v>
      </c>
      <c r="J34" s="38" t="s">
        <v>34</v>
      </c>
      <c r="K34" s="34">
        <v>38.0</v>
      </c>
      <c r="L34" s="53">
        <f t="shared" si="13"/>
        <v>246</v>
      </c>
      <c r="M34" s="41">
        <f t="shared" si="14"/>
        <v>8</v>
      </c>
      <c r="N34" s="43">
        <v>2.0</v>
      </c>
      <c r="O34" s="13"/>
      <c r="P34" s="34" t="s">
        <v>121</v>
      </c>
      <c r="Q34" s="36" t="s">
        <v>35</v>
      </c>
      <c r="R34" s="36">
        <v>8.0</v>
      </c>
      <c r="S34" s="38" t="s">
        <v>35</v>
      </c>
      <c r="T34" s="34">
        <v>20.0</v>
      </c>
      <c r="U34" s="38" t="s">
        <v>35</v>
      </c>
      <c r="V34" s="36">
        <v>12.0</v>
      </c>
      <c r="W34" s="38" t="s">
        <v>35</v>
      </c>
      <c r="X34" s="34">
        <v>8.0</v>
      </c>
      <c r="Y34" s="38" t="s">
        <v>35</v>
      </c>
      <c r="Z34" s="34">
        <v>20.0</v>
      </c>
      <c r="AA34" s="53">
        <f t="shared" si="15"/>
        <v>68</v>
      </c>
      <c r="AB34" s="41">
        <f t="shared" si="16"/>
        <v>0</v>
      </c>
      <c r="AC34" s="43">
        <v>6.0</v>
      </c>
    </row>
    <row r="35">
      <c r="A35" s="34" t="s">
        <v>115</v>
      </c>
      <c r="B35" s="36" t="s">
        <v>35</v>
      </c>
      <c r="C35" s="36">
        <v>14.0</v>
      </c>
      <c r="D35" s="38" t="s">
        <v>35</v>
      </c>
      <c r="E35" s="34">
        <v>22.0</v>
      </c>
      <c r="F35" s="38" t="s">
        <v>35</v>
      </c>
      <c r="G35" s="36">
        <v>14.0</v>
      </c>
      <c r="H35" s="38" t="s">
        <v>34</v>
      </c>
      <c r="I35" s="34">
        <v>26.0</v>
      </c>
      <c r="J35" s="38" t="s">
        <v>35</v>
      </c>
      <c r="K35" s="34">
        <v>20.0</v>
      </c>
      <c r="L35" s="53">
        <f t="shared" si="13"/>
        <v>96</v>
      </c>
      <c r="M35" s="41">
        <f t="shared" si="14"/>
        <v>2</v>
      </c>
      <c r="N35" s="43">
        <v>6.0</v>
      </c>
      <c r="O35" s="13"/>
      <c r="P35" s="50" t="s">
        <v>57</v>
      </c>
      <c r="Q35" s="36" t="s">
        <v>34</v>
      </c>
      <c r="R35" s="36">
        <v>40.0</v>
      </c>
      <c r="S35" s="38" t="s">
        <v>34</v>
      </c>
      <c r="T35" s="34">
        <v>42.0</v>
      </c>
      <c r="U35" s="38" t="s">
        <v>35</v>
      </c>
      <c r="V35" s="36">
        <v>46.0</v>
      </c>
      <c r="W35" s="38" t="s">
        <v>34</v>
      </c>
      <c r="X35" s="34">
        <v>54.0</v>
      </c>
      <c r="Y35" s="38" t="s">
        <v>34</v>
      </c>
      <c r="Z35" s="34">
        <v>30.0</v>
      </c>
      <c r="AA35" s="53">
        <f t="shared" si="15"/>
        <v>212</v>
      </c>
      <c r="AB35" s="41">
        <f t="shared" si="16"/>
        <v>8</v>
      </c>
      <c r="AC35" s="43">
        <v>2.0</v>
      </c>
    </row>
    <row r="36">
      <c r="A36" s="50" t="s">
        <v>47</v>
      </c>
      <c r="B36" s="36" t="s">
        <v>34</v>
      </c>
      <c r="C36" s="36">
        <v>54.0</v>
      </c>
      <c r="D36" s="38" t="s">
        <v>34</v>
      </c>
      <c r="E36" s="34">
        <v>68.0</v>
      </c>
      <c r="F36" s="38" t="s">
        <v>34</v>
      </c>
      <c r="G36" s="36">
        <v>76.0</v>
      </c>
      <c r="H36" s="38" t="s">
        <v>34</v>
      </c>
      <c r="I36" s="34">
        <v>60.0</v>
      </c>
      <c r="J36" s="38" t="s">
        <v>34</v>
      </c>
      <c r="K36" s="34">
        <v>78.0</v>
      </c>
      <c r="L36" s="53">
        <f t="shared" si="13"/>
        <v>336</v>
      </c>
      <c r="M36" s="41">
        <f t="shared" si="14"/>
        <v>10</v>
      </c>
      <c r="N36" s="43">
        <v>1.0</v>
      </c>
      <c r="O36" s="13"/>
      <c r="P36" s="34" t="s">
        <v>128</v>
      </c>
      <c r="Q36" s="36" t="s">
        <v>34</v>
      </c>
      <c r="R36" s="36">
        <v>20.0</v>
      </c>
      <c r="S36" s="38" t="s">
        <v>35</v>
      </c>
      <c r="T36" s="34">
        <v>36.0</v>
      </c>
      <c r="U36" s="38" t="s">
        <v>35</v>
      </c>
      <c r="V36" s="36">
        <v>10.0</v>
      </c>
      <c r="W36" s="38" t="s">
        <v>35</v>
      </c>
      <c r="X36" s="34">
        <v>30.0</v>
      </c>
      <c r="Y36" s="38" t="s">
        <v>35</v>
      </c>
      <c r="Z36" s="34">
        <v>28.0</v>
      </c>
      <c r="AA36" s="53">
        <f t="shared" si="15"/>
        <v>124</v>
      </c>
      <c r="AB36" s="41">
        <f t="shared" si="16"/>
        <v>2</v>
      </c>
      <c r="AC36" s="43">
        <v>5.0</v>
      </c>
    </row>
    <row r="37">
      <c r="A37" s="57" t="s">
        <v>131</v>
      </c>
      <c r="B37" s="59" t="s">
        <v>34</v>
      </c>
      <c r="C37" s="59">
        <v>52.0</v>
      </c>
      <c r="D37" s="62" t="s">
        <v>34</v>
      </c>
      <c r="E37" s="74">
        <v>56.0</v>
      </c>
      <c r="F37" s="62" t="s">
        <v>35</v>
      </c>
      <c r="G37" s="59">
        <v>14.0</v>
      </c>
      <c r="H37" s="62" t="s">
        <v>35</v>
      </c>
      <c r="I37" s="74">
        <v>18.0</v>
      </c>
      <c r="J37" s="62" t="s">
        <v>34</v>
      </c>
      <c r="K37" s="74">
        <v>46.0</v>
      </c>
      <c r="L37" s="95">
        <f t="shared" si="13"/>
        <v>186</v>
      </c>
      <c r="M37" s="66">
        <f t="shared" si="14"/>
        <v>6</v>
      </c>
      <c r="N37" s="68">
        <v>3.0</v>
      </c>
      <c r="O37" s="13"/>
      <c r="P37" s="57" t="s">
        <v>129</v>
      </c>
      <c r="Q37" s="59" t="s">
        <v>35</v>
      </c>
      <c r="R37" s="59">
        <v>22.0</v>
      </c>
      <c r="S37" s="62" t="s">
        <v>34</v>
      </c>
      <c r="T37" s="74">
        <v>50.0</v>
      </c>
      <c r="U37" s="62" t="s">
        <v>34</v>
      </c>
      <c r="V37" s="59">
        <v>38.0</v>
      </c>
      <c r="W37" s="62" t="s">
        <v>34</v>
      </c>
      <c r="X37" s="74">
        <v>44.0</v>
      </c>
      <c r="Y37" s="62" t="s">
        <v>35</v>
      </c>
      <c r="Z37" s="74">
        <v>36.0</v>
      </c>
      <c r="AA37" s="95">
        <f t="shared" si="15"/>
        <v>190</v>
      </c>
      <c r="AB37" s="66">
        <f t="shared" si="16"/>
        <v>6</v>
      </c>
      <c r="AC37" s="68">
        <v>3.0</v>
      </c>
    </row>
  </sheetData>
  <mergeCells count="49">
    <mergeCell ref="Y22:Z22"/>
    <mergeCell ref="P30:AC30"/>
    <mergeCell ref="U13:V13"/>
    <mergeCell ref="W13:X13"/>
    <mergeCell ref="P21:AC21"/>
    <mergeCell ref="Q22:R22"/>
    <mergeCell ref="S22:T22"/>
    <mergeCell ref="U22:V22"/>
    <mergeCell ref="W22:X22"/>
    <mergeCell ref="S4:T4"/>
    <mergeCell ref="U4:V4"/>
    <mergeCell ref="W4:X4"/>
    <mergeCell ref="Y4:Z4"/>
    <mergeCell ref="A1:AC1"/>
    <mergeCell ref="A3:N3"/>
    <mergeCell ref="P3:AC3"/>
    <mergeCell ref="B4:C4"/>
    <mergeCell ref="D4:E4"/>
    <mergeCell ref="F4:G4"/>
    <mergeCell ref="H4:I4"/>
    <mergeCell ref="Q13:R13"/>
    <mergeCell ref="S13:T13"/>
    <mergeCell ref="J4:K4"/>
    <mergeCell ref="Q4:R4"/>
    <mergeCell ref="A12:N12"/>
    <mergeCell ref="P12:AC12"/>
    <mergeCell ref="B13:C13"/>
    <mergeCell ref="D13:E13"/>
    <mergeCell ref="F13:G13"/>
    <mergeCell ref="Y13:Z13"/>
    <mergeCell ref="H13:I13"/>
    <mergeCell ref="J13:K13"/>
    <mergeCell ref="A21:N21"/>
    <mergeCell ref="B22:C22"/>
    <mergeCell ref="D22:E22"/>
    <mergeCell ref="F22:G22"/>
    <mergeCell ref="H22:I22"/>
    <mergeCell ref="Q31:R31"/>
    <mergeCell ref="S31:T31"/>
    <mergeCell ref="U31:V31"/>
    <mergeCell ref="W31:X31"/>
    <mergeCell ref="Y31:Z31"/>
    <mergeCell ref="J22:K22"/>
    <mergeCell ref="A30:N30"/>
    <mergeCell ref="B31:C31"/>
    <mergeCell ref="D31:E31"/>
    <mergeCell ref="F31:G31"/>
    <mergeCell ref="H31:I31"/>
    <mergeCell ref="J31:K31"/>
  </mergeCells>
  <conditionalFormatting sqref="A1:A2 B1:O37 P1:P2 Q1:AC37 A4:A11 P4:P11 A13:A20 P13:P20 A22:A29 P22:P29 A31:A37 P31:P37">
    <cfRule type="cellIs" dxfId="1" priority="1" operator="equal">
      <formula>"WL"</formula>
    </cfRule>
  </conditionalFormatting>
  <conditionalFormatting sqref="A2 B2:O37 P2 Q2:AC37 A4:A11 P4:P11 A13:A20 P13:P20 A22:A29 P22:P29 A31:A37 P31:P37">
    <cfRule type="cellIs" dxfId="2" priority="2" operator="equal">
      <formula>"W"</formula>
    </cfRule>
  </conditionalFormatting>
  <conditionalFormatting sqref="A2 B2:O37 P2 Q2:AC37 A4:A11 P4:P11 A13:A20 P13:P20 A22:A29 P22:P29 A31:A37 P31:P37">
    <cfRule type="cellIs" dxfId="3" priority="3" operator="equal">
      <formula>"L"</formula>
    </cfRule>
  </conditionalFormatting>
  <conditionalFormatting sqref="A2 B2:O37 P2 Q2:AC37 A4:A11 P4:P11 A13:A20 P13:P20 A22:A29 P22:P29 A31:A37 P31:P37">
    <cfRule type="cellIs" dxfId="4" priority="4" operator="equal">
      <formula>"T"</formula>
    </cfRule>
  </conditionalFormatting>
  <conditionalFormatting sqref="A1:A2 B1:O37 P1:P2 Q1:AC37 A4:A11 P4:P11 A13:A20 P13:P20 A22:A29 P22:P29 A31:A37 P31:P37">
    <cfRule type="cellIs" dxfId="0" priority="5" operator="equal">
      <formula>"F"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38"/>
    <col customWidth="1" min="2" max="2" width="3.25"/>
    <col customWidth="1" min="3" max="3" width="5.13"/>
    <col customWidth="1" min="4" max="4" width="3.25"/>
    <col customWidth="1" min="5" max="5" width="5.13"/>
    <col customWidth="1" min="6" max="6" width="3.25"/>
    <col customWidth="1" min="7" max="7" width="5.13"/>
    <col customWidth="1" min="8" max="8" width="3.25"/>
    <col customWidth="1" min="9" max="9" width="5.13"/>
    <col customWidth="1" min="10" max="10" width="3.25"/>
    <col customWidth="1" min="11" max="12" width="5.13"/>
    <col customWidth="1" min="13" max="14" width="3.88"/>
    <col customWidth="1" min="15" max="15" width="7.0"/>
    <col customWidth="1" min="16" max="16" width="12.38"/>
    <col customWidth="1" min="17" max="17" width="3.25"/>
    <col customWidth="1" min="18" max="18" width="5.13"/>
    <col customWidth="1" min="19" max="19" width="3.25"/>
    <col customWidth="1" min="20" max="20" width="5.13"/>
    <col customWidth="1" min="21" max="21" width="3.25"/>
    <col customWidth="1" min="22" max="22" width="5.13"/>
    <col customWidth="1" min="23" max="23" width="3.25"/>
    <col customWidth="1" min="24" max="24" width="5.13"/>
    <col customWidth="1" min="25" max="25" width="3.25"/>
    <col customWidth="1" min="26" max="27" width="5.13"/>
    <col customWidth="1" min="28" max="29" width="3.88"/>
  </cols>
  <sheetData>
    <row r="1" ht="48.75" customHeight="1">
      <c r="A1" s="2" t="s">
        <v>1</v>
      </c>
    </row>
    <row r="2">
      <c r="A2" s="3"/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8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2"/>
      <c r="O3" s="13"/>
      <c r="P3" s="8" t="s">
        <v>8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2"/>
    </row>
    <row r="4">
      <c r="A4" s="15">
        <v>942.0</v>
      </c>
      <c r="B4" s="16" t="s">
        <v>13</v>
      </c>
      <c r="C4" s="18"/>
      <c r="D4" s="19" t="s">
        <v>16</v>
      </c>
      <c r="E4" s="20"/>
      <c r="F4" s="16" t="s">
        <v>19</v>
      </c>
      <c r="G4" s="18"/>
      <c r="H4" s="19" t="s">
        <v>21</v>
      </c>
      <c r="I4" s="20"/>
      <c r="J4" s="16" t="s">
        <v>23</v>
      </c>
      <c r="K4" s="20"/>
      <c r="L4" s="23" t="s">
        <v>25</v>
      </c>
      <c r="M4" s="25" t="s">
        <v>27</v>
      </c>
      <c r="N4" s="26" t="s">
        <v>29</v>
      </c>
      <c r="O4" s="13"/>
      <c r="P4" s="15">
        <v>996.0</v>
      </c>
      <c r="Q4" s="16" t="s">
        <v>13</v>
      </c>
      <c r="R4" s="18"/>
      <c r="S4" s="19" t="s">
        <v>16</v>
      </c>
      <c r="T4" s="20"/>
      <c r="U4" s="16" t="s">
        <v>19</v>
      </c>
      <c r="V4" s="18"/>
      <c r="W4" s="19" t="s">
        <v>21</v>
      </c>
      <c r="X4" s="20"/>
      <c r="Y4" s="16" t="s">
        <v>23</v>
      </c>
      <c r="Z4" s="20"/>
      <c r="AA4" s="23" t="s">
        <v>25</v>
      </c>
      <c r="AB4" s="25" t="s">
        <v>27</v>
      </c>
      <c r="AC4" s="26" t="s">
        <v>29</v>
      </c>
    </row>
    <row r="5">
      <c r="A5" s="34" t="s">
        <v>33</v>
      </c>
      <c r="B5" s="36" t="s">
        <v>34</v>
      </c>
      <c r="C5" s="36">
        <v>46.0</v>
      </c>
      <c r="D5" s="38" t="s">
        <v>35</v>
      </c>
      <c r="E5" s="36">
        <v>32.0</v>
      </c>
      <c r="F5" s="38" t="s">
        <v>34</v>
      </c>
      <c r="G5" s="36">
        <v>40.0</v>
      </c>
      <c r="H5" s="38" t="s">
        <v>34</v>
      </c>
      <c r="I5" s="36">
        <v>36.0</v>
      </c>
      <c r="J5" s="38" t="s">
        <v>35</v>
      </c>
      <c r="K5" s="36">
        <v>28.0</v>
      </c>
      <c r="L5" s="40">
        <v>182.0</v>
      </c>
      <c r="M5" s="41">
        <v>6.0</v>
      </c>
      <c r="N5" s="43">
        <v>3.0</v>
      </c>
      <c r="O5" s="46"/>
      <c r="P5" s="34" t="s">
        <v>38</v>
      </c>
      <c r="Q5" s="36" t="s">
        <v>34</v>
      </c>
      <c r="R5" s="36">
        <v>50.0</v>
      </c>
      <c r="S5" s="38" t="s">
        <v>35</v>
      </c>
      <c r="T5" s="36">
        <v>20.0</v>
      </c>
      <c r="U5" s="38" t="s">
        <v>35</v>
      </c>
      <c r="V5" s="36">
        <v>32.0</v>
      </c>
      <c r="W5" s="38" t="s">
        <v>34</v>
      </c>
      <c r="X5" s="36">
        <v>44.0</v>
      </c>
      <c r="Y5" s="38" t="s">
        <v>34</v>
      </c>
      <c r="Z5" s="34">
        <v>30.0</v>
      </c>
      <c r="AA5" s="40">
        <v>176.0</v>
      </c>
      <c r="AB5" s="41">
        <v>6.0</v>
      </c>
      <c r="AC5" s="43">
        <v>4.0</v>
      </c>
    </row>
    <row r="6">
      <c r="A6" s="50" t="s">
        <v>39</v>
      </c>
      <c r="B6" s="36" t="s">
        <v>35</v>
      </c>
      <c r="C6" s="36">
        <v>30.0</v>
      </c>
      <c r="D6" s="38" t="s">
        <v>34</v>
      </c>
      <c r="E6" s="36">
        <v>40.0</v>
      </c>
      <c r="F6" s="38" t="s">
        <v>34</v>
      </c>
      <c r="G6" s="36">
        <v>38.0</v>
      </c>
      <c r="H6" s="38" t="s">
        <v>34</v>
      </c>
      <c r="I6" s="36">
        <v>48.0</v>
      </c>
      <c r="J6" s="38" t="s">
        <v>34</v>
      </c>
      <c r="K6" s="36">
        <v>46.0</v>
      </c>
      <c r="L6" s="40">
        <v>202.0</v>
      </c>
      <c r="M6" s="41">
        <v>8.0</v>
      </c>
      <c r="N6" s="43">
        <v>1.0</v>
      </c>
      <c r="O6" s="46"/>
      <c r="P6" s="50" t="s">
        <v>31</v>
      </c>
      <c r="Q6" s="36" t="s">
        <v>35</v>
      </c>
      <c r="R6" s="36">
        <v>44.0</v>
      </c>
      <c r="S6" s="38" t="s">
        <v>34</v>
      </c>
      <c r="T6" s="36">
        <v>68.0</v>
      </c>
      <c r="U6" s="38" t="s">
        <v>34</v>
      </c>
      <c r="V6" s="36">
        <v>66.0</v>
      </c>
      <c r="W6" s="38" t="s">
        <v>34</v>
      </c>
      <c r="X6" s="36">
        <v>70.0</v>
      </c>
      <c r="Y6" s="38" t="s">
        <v>34</v>
      </c>
      <c r="Z6" s="34">
        <v>62.0</v>
      </c>
      <c r="AA6" s="40">
        <v>310.0</v>
      </c>
      <c r="AB6" s="41">
        <v>8.0</v>
      </c>
      <c r="AC6" s="43">
        <v>1.0</v>
      </c>
    </row>
    <row r="7">
      <c r="A7" s="50" t="s">
        <v>40</v>
      </c>
      <c r="B7" s="36" t="s">
        <v>41</v>
      </c>
      <c r="C7" s="36">
        <v>16.0</v>
      </c>
      <c r="D7" s="38" t="s">
        <v>34</v>
      </c>
      <c r="E7" s="36">
        <v>34.0</v>
      </c>
      <c r="F7" s="38" t="s">
        <v>35</v>
      </c>
      <c r="G7" s="36">
        <v>12.0</v>
      </c>
      <c r="H7" s="38" t="s">
        <v>34</v>
      </c>
      <c r="I7" s="36">
        <v>36.0</v>
      </c>
      <c r="J7" s="38" t="s">
        <v>34</v>
      </c>
      <c r="K7" s="36">
        <v>26.0</v>
      </c>
      <c r="L7" s="40">
        <v>124.0</v>
      </c>
      <c r="M7" s="41">
        <v>7.0</v>
      </c>
      <c r="N7" s="43">
        <v>2.0</v>
      </c>
      <c r="O7" s="46"/>
      <c r="P7" s="50" t="s">
        <v>36</v>
      </c>
      <c r="Q7" s="36" t="s">
        <v>34</v>
      </c>
      <c r="R7" s="36">
        <v>52.0</v>
      </c>
      <c r="S7" s="38" t="s">
        <v>34</v>
      </c>
      <c r="T7" s="36">
        <v>44.0</v>
      </c>
      <c r="U7" s="38" t="s">
        <v>35</v>
      </c>
      <c r="V7" s="36">
        <v>16.0</v>
      </c>
      <c r="W7" s="38" t="s">
        <v>34</v>
      </c>
      <c r="X7" s="36">
        <v>48.0</v>
      </c>
      <c r="Y7" s="38" t="s">
        <v>35</v>
      </c>
      <c r="Z7" s="34">
        <v>38.0</v>
      </c>
      <c r="AA7" s="40">
        <v>198.0</v>
      </c>
      <c r="AB7" s="41">
        <v>6.0</v>
      </c>
      <c r="AC7" s="43">
        <v>3.0</v>
      </c>
    </row>
    <row r="8">
      <c r="A8" s="34" t="s">
        <v>42</v>
      </c>
      <c r="B8" s="36" t="s">
        <v>34</v>
      </c>
      <c r="C8" s="36">
        <v>64.0</v>
      </c>
      <c r="D8" s="38" t="s">
        <v>34</v>
      </c>
      <c r="E8" s="36">
        <v>58.0</v>
      </c>
      <c r="F8" s="38" t="s">
        <v>35</v>
      </c>
      <c r="G8" s="36">
        <v>30.0</v>
      </c>
      <c r="H8" s="38" t="s">
        <v>35</v>
      </c>
      <c r="I8" s="36">
        <v>48.0</v>
      </c>
      <c r="J8" s="38" t="s">
        <v>35</v>
      </c>
      <c r="K8" s="36">
        <v>44.0</v>
      </c>
      <c r="L8" s="40">
        <v>244.0</v>
      </c>
      <c r="M8" s="41">
        <v>4.0</v>
      </c>
      <c r="N8" s="43">
        <v>4.0</v>
      </c>
      <c r="O8" s="46"/>
      <c r="P8" s="50" t="s">
        <v>43</v>
      </c>
      <c r="Q8" s="36" t="s">
        <v>34</v>
      </c>
      <c r="R8" s="36">
        <v>46.0</v>
      </c>
      <c r="S8" s="38" t="s">
        <v>34</v>
      </c>
      <c r="T8" s="36">
        <v>58.0</v>
      </c>
      <c r="U8" s="38" t="s">
        <v>34</v>
      </c>
      <c r="V8" s="36">
        <v>34.0</v>
      </c>
      <c r="W8" s="38" t="s">
        <v>35</v>
      </c>
      <c r="X8" s="36">
        <v>16.0</v>
      </c>
      <c r="Y8" s="38" t="s">
        <v>34</v>
      </c>
      <c r="Z8" s="34">
        <v>34.0</v>
      </c>
      <c r="AA8" s="40">
        <v>188.0</v>
      </c>
      <c r="AB8" s="41">
        <v>8.0</v>
      </c>
      <c r="AC8" s="43">
        <v>2.0</v>
      </c>
    </row>
    <row r="9">
      <c r="A9" s="34" t="s">
        <v>44</v>
      </c>
      <c r="B9" s="36" t="s">
        <v>41</v>
      </c>
      <c r="C9" s="36">
        <v>12.0</v>
      </c>
      <c r="D9" s="38" t="s">
        <v>35</v>
      </c>
      <c r="E9" s="36">
        <v>12.0</v>
      </c>
      <c r="F9" s="38" t="s">
        <v>34</v>
      </c>
      <c r="G9" s="36">
        <v>16.0</v>
      </c>
      <c r="H9" s="38" t="s">
        <v>35</v>
      </c>
      <c r="I9" s="36">
        <v>16.0</v>
      </c>
      <c r="J9" s="38" t="s">
        <v>35</v>
      </c>
      <c r="K9" s="36">
        <v>16.0</v>
      </c>
      <c r="L9" s="40">
        <v>72.0</v>
      </c>
      <c r="M9" s="41">
        <v>3.0</v>
      </c>
      <c r="N9" s="43">
        <v>5.0</v>
      </c>
      <c r="O9" s="46"/>
      <c r="P9" s="34" t="s">
        <v>45</v>
      </c>
      <c r="Q9" s="36" t="s">
        <v>35</v>
      </c>
      <c r="R9" s="36">
        <v>12.0</v>
      </c>
      <c r="S9" s="38" t="s">
        <v>35</v>
      </c>
      <c r="T9" s="36">
        <v>14.0</v>
      </c>
      <c r="U9" s="38" t="s">
        <v>41</v>
      </c>
      <c r="V9" s="36">
        <v>8.0</v>
      </c>
      <c r="W9" s="38" t="s">
        <v>35</v>
      </c>
      <c r="X9" s="36">
        <v>20.0</v>
      </c>
      <c r="Y9" s="38" t="s">
        <v>35</v>
      </c>
      <c r="Z9" s="34">
        <v>12.0</v>
      </c>
      <c r="AA9" s="40">
        <v>66.0</v>
      </c>
      <c r="AB9" s="41">
        <v>1.0</v>
      </c>
      <c r="AC9" s="43">
        <v>6.0</v>
      </c>
    </row>
    <row r="10">
      <c r="A10" s="57" t="s">
        <v>46</v>
      </c>
      <c r="B10" s="59" t="s">
        <v>35</v>
      </c>
      <c r="C10" s="36">
        <v>24.0</v>
      </c>
      <c r="D10" s="62" t="s">
        <v>35</v>
      </c>
      <c r="E10" s="36">
        <v>24.0</v>
      </c>
      <c r="F10" s="62" t="s">
        <v>35</v>
      </c>
      <c r="G10" s="36">
        <v>18.0</v>
      </c>
      <c r="H10" s="62" t="s">
        <v>35</v>
      </c>
      <c r="I10" s="36">
        <v>20.0</v>
      </c>
      <c r="J10" s="62" t="s">
        <v>34</v>
      </c>
      <c r="K10" s="36">
        <v>32.0</v>
      </c>
      <c r="L10" s="64">
        <v>118.0</v>
      </c>
      <c r="M10" s="66">
        <v>2.0</v>
      </c>
      <c r="N10" s="68">
        <v>6.0</v>
      </c>
      <c r="O10" s="69"/>
      <c r="P10" s="57" t="s">
        <v>55</v>
      </c>
      <c r="Q10" s="59" t="s">
        <v>35</v>
      </c>
      <c r="R10" s="59">
        <v>16.0</v>
      </c>
      <c r="S10" s="62" t="s">
        <v>35</v>
      </c>
      <c r="T10" s="59">
        <v>10.0</v>
      </c>
      <c r="U10" s="62" t="s">
        <v>41</v>
      </c>
      <c r="V10" s="59">
        <v>8.0</v>
      </c>
      <c r="W10" s="62" t="s">
        <v>35</v>
      </c>
      <c r="X10" s="59">
        <v>12.0</v>
      </c>
      <c r="Y10" s="62" t="s">
        <v>35</v>
      </c>
      <c r="Z10" s="74">
        <v>12.0</v>
      </c>
      <c r="AA10" s="64">
        <v>58.0</v>
      </c>
      <c r="AB10" s="66">
        <v>1.0</v>
      </c>
      <c r="AC10" s="68">
        <v>5.0</v>
      </c>
    </row>
    <row r="11">
      <c r="A11" s="75"/>
      <c r="B11" s="77"/>
      <c r="C11" s="79"/>
      <c r="D11" s="77"/>
      <c r="E11" s="79"/>
      <c r="F11" s="77"/>
      <c r="G11" s="79"/>
      <c r="H11" s="77"/>
      <c r="I11" s="79"/>
      <c r="J11" s="77"/>
      <c r="K11" s="79"/>
      <c r="L11" s="81"/>
      <c r="M11" s="83"/>
      <c r="N11" s="8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8" t="s">
        <v>63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2"/>
      <c r="O12" s="13"/>
      <c r="P12" s="8" t="s">
        <v>66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2"/>
    </row>
    <row r="13">
      <c r="A13" s="15">
        <v>990.0</v>
      </c>
      <c r="B13" s="16" t="s">
        <v>13</v>
      </c>
      <c r="C13" s="18"/>
      <c r="D13" s="19" t="s">
        <v>16</v>
      </c>
      <c r="E13" s="20"/>
      <c r="F13" s="16" t="s">
        <v>19</v>
      </c>
      <c r="G13" s="18"/>
      <c r="H13" s="19" t="s">
        <v>21</v>
      </c>
      <c r="I13" s="20"/>
      <c r="J13" s="16" t="s">
        <v>23</v>
      </c>
      <c r="K13" s="20"/>
      <c r="L13" s="23" t="s">
        <v>25</v>
      </c>
      <c r="M13" s="25" t="s">
        <v>27</v>
      </c>
      <c r="N13" s="26" t="s">
        <v>29</v>
      </c>
      <c r="O13" s="13"/>
      <c r="P13" s="15">
        <v>1110.0</v>
      </c>
      <c r="Q13" s="16" t="s">
        <v>13</v>
      </c>
      <c r="R13" s="18"/>
      <c r="S13" s="19" t="s">
        <v>16</v>
      </c>
      <c r="T13" s="20"/>
      <c r="U13" s="16" t="s">
        <v>19</v>
      </c>
      <c r="V13" s="18"/>
      <c r="W13" s="19" t="s">
        <v>21</v>
      </c>
      <c r="X13" s="20"/>
      <c r="Y13" s="16" t="s">
        <v>23</v>
      </c>
      <c r="Z13" s="20"/>
      <c r="AA13" s="23" t="s">
        <v>25</v>
      </c>
      <c r="AB13" s="25" t="s">
        <v>27</v>
      </c>
      <c r="AC13" s="26" t="s">
        <v>29</v>
      </c>
    </row>
    <row r="14">
      <c r="A14" s="34" t="s">
        <v>76</v>
      </c>
      <c r="B14" s="36" t="s">
        <v>34</v>
      </c>
      <c r="C14" s="36">
        <v>34.0</v>
      </c>
      <c r="D14" s="38" t="s">
        <v>35</v>
      </c>
      <c r="E14" s="36">
        <v>18.0</v>
      </c>
      <c r="F14" s="38" t="s">
        <v>35</v>
      </c>
      <c r="G14" s="36">
        <v>12.0</v>
      </c>
      <c r="H14" s="38" t="s">
        <v>35</v>
      </c>
      <c r="I14" s="36">
        <v>16.0</v>
      </c>
      <c r="J14" s="38" t="s">
        <v>34</v>
      </c>
      <c r="K14" s="36">
        <v>30.0</v>
      </c>
      <c r="L14" s="40">
        <v>110.0</v>
      </c>
      <c r="M14" s="41">
        <v>4.0</v>
      </c>
      <c r="N14" s="43">
        <v>4.0</v>
      </c>
      <c r="O14" s="94"/>
      <c r="P14" s="50" t="s">
        <v>77</v>
      </c>
      <c r="Q14" s="36" t="s">
        <v>34</v>
      </c>
      <c r="R14" s="36">
        <v>48.0</v>
      </c>
      <c r="S14" s="38" t="s">
        <v>34</v>
      </c>
      <c r="T14" s="36">
        <v>44.0</v>
      </c>
      <c r="U14" s="38" t="s">
        <v>34</v>
      </c>
      <c r="V14" s="36">
        <v>32.0</v>
      </c>
      <c r="W14" s="38" t="s">
        <v>34</v>
      </c>
      <c r="X14" s="36" t="s">
        <v>78</v>
      </c>
      <c r="Y14" s="38" t="s">
        <v>34</v>
      </c>
      <c r="Z14" s="34">
        <v>42.0</v>
      </c>
      <c r="AA14" s="40">
        <v>208.0</v>
      </c>
      <c r="AB14" s="41">
        <v>10.0</v>
      </c>
      <c r="AC14" s="43">
        <v>1.0</v>
      </c>
    </row>
    <row r="15">
      <c r="A15" s="34" t="s">
        <v>68</v>
      </c>
      <c r="B15" s="36" t="s">
        <v>35</v>
      </c>
      <c r="C15" s="36">
        <v>18.0</v>
      </c>
      <c r="D15" s="38" t="s">
        <v>35</v>
      </c>
      <c r="E15" s="36">
        <v>26.0</v>
      </c>
      <c r="F15" s="38" t="s">
        <v>35</v>
      </c>
      <c r="G15" s="36">
        <v>10.0</v>
      </c>
      <c r="H15" s="38" t="s">
        <v>35</v>
      </c>
      <c r="I15" s="36">
        <v>26.0</v>
      </c>
      <c r="J15" s="38" t="s">
        <v>35</v>
      </c>
      <c r="K15" s="36">
        <v>10.0</v>
      </c>
      <c r="L15" s="40">
        <v>90.0</v>
      </c>
      <c r="M15" s="41">
        <v>0.0</v>
      </c>
      <c r="N15" s="43">
        <v>6.0</v>
      </c>
      <c r="O15" s="13"/>
      <c r="P15" s="96" t="s">
        <v>79</v>
      </c>
      <c r="Q15" s="36" t="s">
        <v>35</v>
      </c>
      <c r="R15" s="36">
        <v>20.0</v>
      </c>
      <c r="S15" s="38" t="s">
        <v>34</v>
      </c>
      <c r="T15" s="36">
        <v>50.0</v>
      </c>
      <c r="U15" s="38" t="s">
        <v>34</v>
      </c>
      <c r="V15" s="36">
        <v>44.0</v>
      </c>
      <c r="W15" s="38" t="s">
        <v>35</v>
      </c>
      <c r="X15" s="36">
        <v>30.0</v>
      </c>
      <c r="Y15" s="38" t="s">
        <v>34</v>
      </c>
      <c r="Z15" s="34" t="s">
        <v>78</v>
      </c>
      <c r="AA15" s="40">
        <v>180.0</v>
      </c>
      <c r="AB15" s="41">
        <v>6.0</v>
      </c>
      <c r="AC15" s="43">
        <v>3.0</v>
      </c>
    </row>
    <row r="16">
      <c r="A16" s="34" t="s">
        <v>81</v>
      </c>
      <c r="B16" s="36" t="s">
        <v>35</v>
      </c>
      <c r="C16" s="36">
        <v>30.0</v>
      </c>
      <c r="D16" s="38" t="s">
        <v>34</v>
      </c>
      <c r="E16" s="36">
        <v>40.0</v>
      </c>
      <c r="F16" s="38" t="s">
        <v>34</v>
      </c>
      <c r="G16" s="36">
        <v>40.0</v>
      </c>
      <c r="H16" s="38" t="s">
        <v>34</v>
      </c>
      <c r="I16" s="36">
        <v>32.0</v>
      </c>
      <c r="J16" s="38" t="s">
        <v>35</v>
      </c>
      <c r="K16" s="36">
        <v>30.0</v>
      </c>
      <c r="L16" s="40">
        <v>172.0</v>
      </c>
      <c r="M16" s="41">
        <v>6.0</v>
      </c>
      <c r="N16" s="43">
        <v>3.0</v>
      </c>
      <c r="O16" s="13"/>
      <c r="P16" s="34" t="s">
        <v>83</v>
      </c>
      <c r="Q16" s="36" t="s">
        <v>34</v>
      </c>
      <c r="R16" s="36" t="s">
        <v>78</v>
      </c>
      <c r="S16" s="38" t="s">
        <v>35</v>
      </c>
      <c r="T16" s="36">
        <v>26.0</v>
      </c>
      <c r="U16" s="38" t="s">
        <v>35</v>
      </c>
      <c r="V16" s="36">
        <v>8.0</v>
      </c>
      <c r="W16" s="38" t="s">
        <v>35</v>
      </c>
      <c r="X16" s="36">
        <v>26.0</v>
      </c>
      <c r="Y16" s="38" t="s">
        <v>35</v>
      </c>
      <c r="Z16" s="34">
        <v>30.0</v>
      </c>
      <c r="AA16" s="40">
        <v>113.0</v>
      </c>
      <c r="AB16" s="41">
        <v>2.0</v>
      </c>
      <c r="AC16" s="43">
        <v>5.0</v>
      </c>
    </row>
    <row r="17">
      <c r="A17" s="50" t="s">
        <v>85</v>
      </c>
      <c r="B17" s="36" t="s">
        <v>34</v>
      </c>
      <c r="C17" s="36">
        <v>50.0</v>
      </c>
      <c r="D17" s="38" t="s">
        <v>35</v>
      </c>
      <c r="E17" s="36">
        <v>14.0</v>
      </c>
      <c r="F17" s="38" t="s">
        <v>34</v>
      </c>
      <c r="G17" s="36">
        <v>46.0</v>
      </c>
      <c r="H17" s="38" t="s">
        <v>34</v>
      </c>
      <c r="I17" s="36">
        <v>42.0</v>
      </c>
      <c r="J17" s="38" t="s">
        <v>34</v>
      </c>
      <c r="K17" s="36">
        <v>36.0</v>
      </c>
      <c r="L17" s="40">
        <v>188.0</v>
      </c>
      <c r="M17" s="41">
        <v>8.0</v>
      </c>
      <c r="N17" s="43">
        <v>2.0</v>
      </c>
      <c r="O17" s="13"/>
      <c r="P17" s="34" t="s">
        <v>86</v>
      </c>
      <c r="Q17" s="36" t="s">
        <v>34</v>
      </c>
      <c r="R17" s="36">
        <v>78.0</v>
      </c>
      <c r="S17" s="38" t="s">
        <v>34</v>
      </c>
      <c r="T17" s="36" t="s">
        <v>78</v>
      </c>
      <c r="U17" s="38" t="s">
        <v>35</v>
      </c>
      <c r="V17" s="36">
        <v>56.0</v>
      </c>
      <c r="W17" s="38" t="s">
        <v>34</v>
      </c>
      <c r="X17" s="36">
        <v>58.0</v>
      </c>
      <c r="Y17" s="38" t="s">
        <v>34</v>
      </c>
      <c r="Z17" s="34">
        <v>58.0</v>
      </c>
      <c r="AA17" s="40">
        <v>313.0</v>
      </c>
      <c r="AB17" s="41">
        <v>8.0</v>
      </c>
      <c r="AC17" s="43">
        <v>2.0</v>
      </c>
    </row>
    <row r="18">
      <c r="A18" s="50" t="s">
        <v>88</v>
      </c>
      <c r="B18" s="36" t="s">
        <v>34</v>
      </c>
      <c r="C18" s="36">
        <v>56.0</v>
      </c>
      <c r="D18" s="38" t="s">
        <v>34</v>
      </c>
      <c r="E18" s="36">
        <v>60.0</v>
      </c>
      <c r="F18" s="38" t="s">
        <v>34</v>
      </c>
      <c r="G18" s="36">
        <v>56.0</v>
      </c>
      <c r="H18" s="38" t="s">
        <v>34</v>
      </c>
      <c r="I18" s="36">
        <v>50.0</v>
      </c>
      <c r="J18" s="38" t="s">
        <v>34</v>
      </c>
      <c r="K18" s="36">
        <v>56.0</v>
      </c>
      <c r="L18" s="40">
        <v>278.0</v>
      </c>
      <c r="M18" s="41">
        <v>10.0</v>
      </c>
      <c r="N18" s="43">
        <v>1.0</v>
      </c>
      <c r="O18" s="13"/>
      <c r="P18" s="34" t="s">
        <v>89</v>
      </c>
      <c r="Q18" s="36" t="s">
        <v>35</v>
      </c>
      <c r="R18" s="36" t="s">
        <v>78</v>
      </c>
      <c r="S18" s="38" t="s">
        <v>35</v>
      </c>
      <c r="T18" s="36" t="s">
        <v>78</v>
      </c>
      <c r="U18" s="38" t="s">
        <v>35</v>
      </c>
      <c r="V18" s="36" t="s">
        <v>78</v>
      </c>
      <c r="W18" s="38" t="s">
        <v>35</v>
      </c>
      <c r="X18" s="36" t="s">
        <v>78</v>
      </c>
      <c r="Y18" s="38" t="s">
        <v>35</v>
      </c>
      <c r="Z18" s="34" t="s">
        <v>78</v>
      </c>
      <c r="AA18" s="40">
        <v>0.0</v>
      </c>
      <c r="AB18" s="41">
        <v>0.0</v>
      </c>
      <c r="AC18" s="43">
        <v>6.0</v>
      </c>
    </row>
    <row r="19">
      <c r="A19" s="57" t="s">
        <v>92</v>
      </c>
      <c r="B19" s="59" t="s">
        <v>35</v>
      </c>
      <c r="C19" s="36">
        <v>30.0</v>
      </c>
      <c r="D19" s="62" t="s">
        <v>34</v>
      </c>
      <c r="E19" s="36">
        <v>34.0</v>
      </c>
      <c r="F19" s="62" t="s">
        <v>35</v>
      </c>
      <c r="G19" s="36">
        <v>10.0</v>
      </c>
      <c r="H19" s="62" t="s">
        <v>35</v>
      </c>
      <c r="I19" s="36">
        <v>42.0</v>
      </c>
      <c r="J19" s="62" t="s">
        <v>35</v>
      </c>
      <c r="K19" s="36">
        <v>36.0</v>
      </c>
      <c r="L19" s="64">
        <v>152.0</v>
      </c>
      <c r="M19" s="66">
        <v>2.0</v>
      </c>
      <c r="N19" s="68">
        <v>5.0</v>
      </c>
      <c r="O19" s="13"/>
      <c r="P19" s="57" t="s">
        <v>94</v>
      </c>
      <c r="Q19" s="59" t="s">
        <v>35</v>
      </c>
      <c r="R19" s="59">
        <v>12.0</v>
      </c>
      <c r="S19" s="62" t="s">
        <v>35</v>
      </c>
      <c r="T19" s="59">
        <v>22.0</v>
      </c>
      <c r="U19" s="62" t="s">
        <v>34</v>
      </c>
      <c r="V19" s="36" t="s">
        <v>78</v>
      </c>
      <c r="W19" s="62" t="s">
        <v>34</v>
      </c>
      <c r="X19" s="59">
        <v>40.0</v>
      </c>
      <c r="Y19" s="62" t="s">
        <v>35</v>
      </c>
      <c r="Z19" s="74">
        <v>16.0</v>
      </c>
      <c r="AA19" s="64">
        <v>113.0</v>
      </c>
      <c r="AB19" s="66">
        <v>4.0</v>
      </c>
      <c r="AC19" s="68">
        <v>4.0</v>
      </c>
    </row>
    <row r="20">
      <c r="A20" s="98"/>
      <c r="B20" s="99"/>
      <c r="C20" s="98"/>
      <c r="D20" s="99"/>
      <c r="E20" s="98"/>
      <c r="F20" s="99"/>
      <c r="G20" s="98"/>
      <c r="H20" s="99"/>
      <c r="I20" s="98"/>
      <c r="J20" s="99"/>
      <c r="K20" s="98"/>
      <c r="L20" s="100"/>
      <c r="M20" s="101"/>
      <c r="N20" s="102"/>
      <c r="O20" s="5"/>
      <c r="P20" s="98"/>
      <c r="Q20" s="99"/>
      <c r="R20" s="98"/>
      <c r="S20" s="99"/>
      <c r="T20" s="98"/>
      <c r="U20" s="99"/>
      <c r="V20" s="98"/>
      <c r="W20" s="99"/>
      <c r="X20" s="98"/>
      <c r="Y20" s="99"/>
      <c r="Z20" s="98"/>
      <c r="AA20" s="100"/>
      <c r="AB20" s="101"/>
      <c r="AC20" s="102"/>
    </row>
    <row r="21">
      <c r="A21" s="8" t="s">
        <v>97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2"/>
      <c r="O21" s="13"/>
      <c r="P21" s="8" t="s">
        <v>98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2"/>
    </row>
    <row r="22">
      <c r="A22" s="104">
        <v>1094.0</v>
      </c>
      <c r="B22" s="16" t="s">
        <v>13</v>
      </c>
      <c r="C22" s="18"/>
      <c r="D22" s="19" t="s">
        <v>16</v>
      </c>
      <c r="E22" s="20"/>
      <c r="F22" s="16" t="s">
        <v>19</v>
      </c>
      <c r="G22" s="18"/>
      <c r="H22" s="19" t="s">
        <v>21</v>
      </c>
      <c r="I22" s="20"/>
      <c r="J22" s="16" t="s">
        <v>23</v>
      </c>
      <c r="K22" s="20"/>
      <c r="L22" s="23" t="s">
        <v>25</v>
      </c>
      <c r="M22" s="25" t="s">
        <v>27</v>
      </c>
      <c r="N22" s="26" t="s">
        <v>29</v>
      </c>
      <c r="O22" s="13"/>
      <c r="P22" s="15">
        <v>953.0</v>
      </c>
      <c r="Q22" s="16" t="s">
        <v>13</v>
      </c>
      <c r="R22" s="18"/>
      <c r="S22" s="19" t="s">
        <v>16</v>
      </c>
      <c r="T22" s="20"/>
      <c r="U22" s="16" t="s">
        <v>19</v>
      </c>
      <c r="V22" s="18"/>
      <c r="W22" s="19" t="s">
        <v>21</v>
      </c>
      <c r="X22" s="20"/>
      <c r="Y22" s="16" t="s">
        <v>23</v>
      </c>
      <c r="Z22" s="20"/>
      <c r="AA22" s="23" t="s">
        <v>25</v>
      </c>
      <c r="AB22" s="25" t="s">
        <v>27</v>
      </c>
      <c r="AC22" s="108" t="s">
        <v>29</v>
      </c>
    </row>
    <row r="23">
      <c r="A23" s="34" t="s">
        <v>101</v>
      </c>
      <c r="B23" s="36" t="s">
        <v>34</v>
      </c>
      <c r="C23" s="36">
        <v>62.0</v>
      </c>
      <c r="D23" s="38" t="s">
        <v>34</v>
      </c>
      <c r="E23" s="36">
        <v>42.0</v>
      </c>
      <c r="F23" s="38" t="s">
        <v>35</v>
      </c>
      <c r="G23" s="36">
        <v>20.0</v>
      </c>
      <c r="H23" s="38" t="s">
        <v>35</v>
      </c>
      <c r="I23" s="36">
        <v>28.0</v>
      </c>
      <c r="J23" s="38" t="s">
        <v>35</v>
      </c>
      <c r="K23" s="36">
        <v>20.0</v>
      </c>
      <c r="L23" s="40">
        <v>172.0</v>
      </c>
      <c r="M23" s="41">
        <v>4.0</v>
      </c>
      <c r="N23" s="43">
        <v>4.0</v>
      </c>
      <c r="O23" s="13"/>
      <c r="P23" s="34" t="s">
        <v>102</v>
      </c>
      <c r="Q23" s="36" t="s">
        <v>34</v>
      </c>
      <c r="R23" s="36">
        <v>42.0</v>
      </c>
      <c r="S23" s="38" t="s">
        <v>35</v>
      </c>
      <c r="T23" s="36">
        <v>16.0</v>
      </c>
      <c r="U23" s="38" t="s">
        <v>34</v>
      </c>
      <c r="V23" s="36">
        <v>28.0</v>
      </c>
      <c r="W23" s="38" t="s">
        <v>35</v>
      </c>
      <c r="X23" s="36">
        <v>10.0</v>
      </c>
      <c r="Y23" s="38" t="s">
        <v>34</v>
      </c>
      <c r="Z23" s="34">
        <v>36.0</v>
      </c>
      <c r="AA23" s="40">
        <v>132.0</v>
      </c>
      <c r="AB23" s="41">
        <v>6.0</v>
      </c>
      <c r="AC23" s="43">
        <v>3.0</v>
      </c>
    </row>
    <row r="24">
      <c r="A24" s="34" t="s">
        <v>70</v>
      </c>
      <c r="B24" s="36" t="s">
        <v>35</v>
      </c>
      <c r="C24" s="36">
        <v>14.0</v>
      </c>
      <c r="D24" s="38" t="s">
        <v>35</v>
      </c>
      <c r="E24" s="36">
        <v>18.0</v>
      </c>
      <c r="F24" s="38" t="s">
        <v>34</v>
      </c>
      <c r="G24" s="36">
        <v>34.0</v>
      </c>
      <c r="H24" s="38" t="s">
        <v>35</v>
      </c>
      <c r="I24" s="36">
        <v>20.0</v>
      </c>
      <c r="J24" s="38" t="s">
        <v>35</v>
      </c>
      <c r="K24" s="36">
        <v>20.0</v>
      </c>
      <c r="L24" s="40">
        <v>106.0</v>
      </c>
      <c r="M24" s="41">
        <v>2.0</v>
      </c>
      <c r="N24" s="43">
        <v>5.0</v>
      </c>
      <c r="O24" s="13"/>
      <c r="P24" s="34" t="s">
        <v>104</v>
      </c>
      <c r="Q24" s="36" t="s">
        <v>35</v>
      </c>
      <c r="R24" s="36">
        <v>22.0</v>
      </c>
      <c r="S24" s="38" t="s">
        <v>35</v>
      </c>
      <c r="T24" s="75" t="s">
        <v>78</v>
      </c>
      <c r="U24" s="38" t="s">
        <v>35</v>
      </c>
      <c r="V24" s="36">
        <v>14.0</v>
      </c>
      <c r="W24" s="38" t="s">
        <v>35</v>
      </c>
      <c r="X24" s="36">
        <v>26.0</v>
      </c>
      <c r="Y24" s="38" t="s">
        <v>35</v>
      </c>
      <c r="Z24" s="34">
        <v>12.0</v>
      </c>
      <c r="AA24" s="40">
        <v>93.0</v>
      </c>
      <c r="AB24" s="41">
        <v>0.0</v>
      </c>
      <c r="AC24" s="43">
        <v>6.0</v>
      </c>
    </row>
    <row r="25">
      <c r="A25" s="34" t="s">
        <v>107</v>
      </c>
      <c r="B25" s="36" t="s">
        <v>35</v>
      </c>
      <c r="C25" s="36">
        <v>6.0</v>
      </c>
      <c r="D25" s="38" t="s">
        <v>35</v>
      </c>
      <c r="E25" s="36">
        <v>18.0</v>
      </c>
      <c r="F25" s="38" t="s">
        <v>35</v>
      </c>
      <c r="G25" s="36">
        <v>12.0</v>
      </c>
      <c r="H25" s="38" t="s">
        <v>35</v>
      </c>
      <c r="I25" s="36">
        <v>20.0</v>
      </c>
      <c r="J25" s="38" t="s">
        <v>35</v>
      </c>
      <c r="K25" s="36">
        <v>12.0</v>
      </c>
      <c r="L25" s="40">
        <v>68.0</v>
      </c>
      <c r="M25" s="41">
        <v>0.0</v>
      </c>
      <c r="N25" s="43">
        <v>6.0</v>
      </c>
      <c r="O25" s="13"/>
      <c r="P25" s="50" t="s">
        <v>54</v>
      </c>
      <c r="Q25" s="36" t="s">
        <v>35</v>
      </c>
      <c r="R25" s="36">
        <v>44.0</v>
      </c>
      <c r="S25" s="38" t="s">
        <v>34</v>
      </c>
      <c r="T25" s="36">
        <v>74.0</v>
      </c>
      <c r="U25" s="38" t="s">
        <v>34</v>
      </c>
      <c r="V25" s="36">
        <v>60.0</v>
      </c>
      <c r="W25" s="38" t="s">
        <v>34</v>
      </c>
      <c r="X25" s="75" t="s">
        <v>78</v>
      </c>
      <c r="Y25" s="38" t="s">
        <v>34</v>
      </c>
      <c r="Z25" s="34">
        <v>86.0</v>
      </c>
      <c r="AA25" s="40">
        <v>330.0</v>
      </c>
      <c r="AB25" s="41">
        <v>8.0</v>
      </c>
      <c r="AC25" s="43">
        <v>2.0</v>
      </c>
    </row>
    <row r="26">
      <c r="A26" s="50" t="s">
        <v>75</v>
      </c>
      <c r="B26" s="36" t="s">
        <v>34</v>
      </c>
      <c r="C26" s="36">
        <v>56.0</v>
      </c>
      <c r="D26" s="38" t="s">
        <v>34</v>
      </c>
      <c r="E26" s="36">
        <v>52.0</v>
      </c>
      <c r="F26" s="38" t="s">
        <v>34</v>
      </c>
      <c r="G26" s="36">
        <v>54.0</v>
      </c>
      <c r="H26" s="38" t="s">
        <v>34</v>
      </c>
      <c r="I26" s="36">
        <v>58.0</v>
      </c>
      <c r="J26" s="38" t="s">
        <v>34</v>
      </c>
      <c r="K26" s="36">
        <v>54.0</v>
      </c>
      <c r="L26" s="40">
        <v>274.0</v>
      </c>
      <c r="M26" s="41">
        <v>10.0</v>
      </c>
      <c r="N26" s="43">
        <v>1.0</v>
      </c>
      <c r="O26" s="13"/>
      <c r="P26" s="34" t="s">
        <v>114</v>
      </c>
      <c r="Q26" s="36" t="s">
        <v>34</v>
      </c>
      <c r="R26" s="36">
        <v>24.0</v>
      </c>
      <c r="S26" s="38" t="s">
        <v>35</v>
      </c>
      <c r="T26" s="36">
        <v>14.0</v>
      </c>
      <c r="U26" s="38" t="s">
        <v>35</v>
      </c>
      <c r="V26" s="36">
        <v>12.0</v>
      </c>
      <c r="W26" s="38" t="s">
        <v>34</v>
      </c>
      <c r="X26" s="36">
        <v>34.0</v>
      </c>
      <c r="Y26" s="38" t="s">
        <v>35</v>
      </c>
      <c r="Z26" s="34">
        <v>4.0</v>
      </c>
      <c r="AA26" s="40">
        <v>88.0</v>
      </c>
      <c r="AB26" s="41">
        <v>4.0</v>
      </c>
      <c r="AC26" s="43">
        <v>4.0</v>
      </c>
    </row>
    <row r="27">
      <c r="A27" s="34" t="s">
        <v>112</v>
      </c>
      <c r="B27" s="36" t="s">
        <v>34</v>
      </c>
      <c r="C27" s="36">
        <v>78.0</v>
      </c>
      <c r="D27" s="38" t="s">
        <v>35</v>
      </c>
      <c r="E27" s="36">
        <v>50.0</v>
      </c>
      <c r="F27" s="38" t="s">
        <v>35</v>
      </c>
      <c r="G27" s="36">
        <v>20.0</v>
      </c>
      <c r="H27" s="38" t="s">
        <v>34</v>
      </c>
      <c r="I27" s="36">
        <v>60.0</v>
      </c>
      <c r="J27" s="38" t="s">
        <v>34</v>
      </c>
      <c r="K27" s="36">
        <v>58.0</v>
      </c>
      <c r="L27" s="40">
        <v>266.0</v>
      </c>
      <c r="M27" s="41">
        <v>6.0</v>
      </c>
      <c r="N27" s="43">
        <v>3.0</v>
      </c>
      <c r="O27" s="94"/>
      <c r="P27" s="50" t="s">
        <v>113</v>
      </c>
      <c r="Q27" s="36" t="s">
        <v>34</v>
      </c>
      <c r="R27" s="36">
        <v>46.0</v>
      </c>
      <c r="S27" s="38" t="s">
        <v>34</v>
      </c>
      <c r="T27" s="36">
        <v>50.0</v>
      </c>
      <c r="U27" s="38" t="s">
        <v>34</v>
      </c>
      <c r="V27" s="36">
        <v>46.0</v>
      </c>
      <c r="W27" s="38" t="s">
        <v>34</v>
      </c>
      <c r="X27" s="36">
        <v>48.0</v>
      </c>
      <c r="Y27" s="38" t="s">
        <v>34</v>
      </c>
      <c r="Z27" s="34">
        <v>40.0</v>
      </c>
      <c r="AA27" s="40">
        <v>230.0</v>
      </c>
      <c r="AB27" s="41">
        <v>10.0</v>
      </c>
      <c r="AC27" s="43">
        <v>1.0</v>
      </c>
    </row>
    <row r="28">
      <c r="A28" s="111" t="s">
        <v>64</v>
      </c>
      <c r="B28" s="59" t="s">
        <v>35</v>
      </c>
      <c r="C28" s="36">
        <v>28.0</v>
      </c>
      <c r="D28" s="62" t="s">
        <v>34</v>
      </c>
      <c r="E28" s="36">
        <v>44.0</v>
      </c>
      <c r="F28" s="62" t="s">
        <v>34</v>
      </c>
      <c r="G28" s="36">
        <v>34.0</v>
      </c>
      <c r="H28" s="62" t="s">
        <v>34</v>
      </c>
      <c r="I28" s="36">
        <v>54.0</v>
      </c>
      <c r="J28" s="62" t="s">
        <v>34</v>
      </c>
      <c r="K28" s="36">
        <v>48.0</v>
      </c>
      <c r="L28" s="64">
        <v>208.0</v>
      </c>
      <c r="M28" s="66">
        <v>8.0</v>
      </c>
      <c r="N28" s="68">
        <v>2.0</v>
      </c>
      <c r="O28" s="13"/>
      <c r="P28" s="57" t="s">
        <v>73</v>
      </c>
      <c r="Q28" s="59" t="s">
        <v>35</v>
      </c>
      <c r="R28" s="59">
        <v>24.0</v>
      </c>
      <c r="S28" s="62" t="s">
        <v>34</v>
      </c>
      <c r="T28" s="113" t="s">
        <v>78</v>
      </c>
      <c r="U28" s="62" t="s">
        <v>35</v>
      </c>
      <c r="V28" s="59">
        <v>8.0</v>
      </c>
      <c r="W28" s="62" t="s">
        <v>35</v>
      </c>
      <c r="X28" s="113" t="s">
        <v>78</v>
      </c>
      <c r="Y28" s="62" t="s">
        <v>35</v>
      </c>
      <c r="Z28" s="74">
        <v>16.0</v>
      </c>
      <c r="AA28" s="64">
        <v>80.0</v>
      </c>
      <c r="AB28" s="66">
        <v>2.0</v>
      </c>
      <c r="AC28" s="68">
        <v>5.0</v>
      </c>
    </row>
    <row r="29">
      <c r="A29" s="98"/>
      <c r="B29" s="99"/>
      <c r="C29" s="98"/>
      <c r="D29" s="99"/>
      <c r="E29" s="98"/>
      <c r="F29" s="99"/>
      <c r="G29" s="98"/>
      <c r="H29" s="99"/>
      <c r="I29" s="98"/>
      <c r="J29" s="99"/>
      <c r="K29" s="98"/>
      <c r="L29" s="100"/>
      <c r="M29" s="101"/>
      <c r="N29" s="102"/>
      <c r="O29" s="5"/>
      <c r="P29" s="98"/>
      <c r="Q29" s="99"/>
      <c r="R29" s="98"/>
      <c r="S29" s="99"/>
      <c r="T29" s="98"/>
      <c r="U29" s="99"/>
      <c r="V29" s="98"/>
      <c r="W29" s="99"/>
      <c r="X29" s="98"/>
      <c r="Y29" s="99"/>
      <c r="Z29" s="98"/>
      <c r="AA29" s="100"/>
      <c r="AB29" s="101"/>
      <c r="AC29" s="102"/>
    </row>
    <row r="30">
      <c r="A30" s="8" t="s">
        <v>119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11"/>
      <c r="O30" s="13"/>
      <c r="P30" s="8" t="s">
        <v>120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11"/>
    </row>
    <row r="31">
      <c r="A31" s="104">
        <v>1094.0</v>
      </c>
      <c r="B31" s="16" t="s">
        <v>13</v>
      </c>
      <c r="C31" s="18"/>
      <c r="D31" s="19" t="s">
        <v>16</v>
      </c>
      <c r="E31" s="20"/>
      <c r="F31" s="16" t="s">
        <v>19</v>
      </c>
      <c r="G31" s="18"/>
      <c r="H31" s="19" t="s">
        <v>21</v>
      </c>
      <c r="I31" s="20"/>
      <c r="J31" s="16" t="s">
        <v>23</v>
      </c>
      <c r="K31" s="20"/>
      <c r="L31" s="23" t="s">
        <v>25</v>
      </c>
      <c r="M31" s="25" t="s">
        <v>27</v>
      </c>
      <c r="N31" s="26" t="s">
        <v>29</v>
      </c>
      <c r="O31" s="13"/>
      <c r="P31" s="15">
        <v>888.0</v>
      </c>
      <c r="Q31" s="16" t="s">
        <v>13</v>
      </c>
      <c r="R31" s="16"/>
      <c r="S31" s="19" t="s">
        <v>16</v>
      </c>
      <c r="T31" s="120"/>
      <c r="U31" s="16" t="s">
        <v>19</v>
      </c>
      <c r="V31" s="16"/>
      <c r="W31" s="19" t="s">
        <v>21</v>
      </c>
      <c r="X31" s="120"/>
      <c r="Y31" s="16" t="s">
        <v>23</v>
      </c>
      <c r="Z31" s="120"/>
      <c r="AA31" s="23" t="s">
        <v>25</v>
      </c>
      <c r="AB31" s="25" t="s">
        <v>27</v>
      </c>
      <c r="AC31" s="26" t="s">
        <v>29</v>
      </c>
    </row>
    <row r="32">
      <c r="A32" s="34" t="s">
        <v>105</v>
      </c>
      <c r="B32" s="36" t="s">
        <v>35</v>
      </c>
      <c r="C32" s="36">
        <v>24.0</v>
      </c>
      <c r="D32" s="38" t="s">
        <v>35</v>
      </c>
      <c r="E32" s="36">
        <v>8.0</v>
      </c>
      <c r="F32" s="38" t="s">
        <v>34</v>
      </c>
      <c r="G32" s="36">
        <v>12.0</v>
      </c>
      <c r="H32" s="38" t="s">
        <v>35</v>
      </c>
      <c r="I32" s="36">
        <v>12.0</v>
      </c>
      <c r="J32" s="38" t="s">
        <v>35</v>
      </c>
      <c r="K32" s="36">
        <v>20.0</v>
      </c>
      <c r="L32" s="40">
        <v>76.0</v>
      </c>
      <c r="M32" s="41">
        <v>2.0</v>
      </c>
      <c r="N32" s="43">
        <v>6.0</v>
      </c>
      <c r="O32" s="13"/>
      <c r="P32" s="50" t="s">
        <v>30</v>
      </c>
      <c r="Q32" s="36" t="s">
        <v>34</v>
      </c>
      <c r="R32" s="36">
        <v>70.0</v>
      </c>
      <c r="S32" s="38" t="s">
        <v>34</v>
      </c>
      <c r="T32" s="36">
        <v>46.0</v>
      </c>
      <c r="U32" s="38" t="s">
        <v>34</v>
      </c>
      <c r="V32" s="36">
        <v>42.0</v>
      </c>
      <c r="W32" s="38" t="s">
        <v>34</v>
      </c>
      <c r="X32" s="36">
        <v>72.0</v>
      </c>
      <c r="Y32" s="38" t="s">
        <v>34</v>
      </c>
      <c r="Z32" s="34">
        <v>44.0</v>
      </c>
      <c r="AA32" s="40">
        <v>274.0</v>
      </c>
      <c r="AB32" s="41">
        <v>10.0</v>
      </c>
      <c r="AC32" s="43">
        <v>1.0</v>
      </c>
    </row>
    <row r="33">
      <c r="A33" s="34" t="s">
        <v>99</v>
      </c>
      <c r="B33" s="36" t="s">
        <v>34</v>
      </c>
      <c r="C33" s="36">
        <v>36.0</v>
      </c>
      <c r="D33" s="38" t="s">
        <v>35</v>
      </c>
      <c r="E33" s="36">
        <v>22.0</v>
      </c>
      <c r="F33" s="38" t="s">
        <v>35</v>
      </c>
      <c r="G33" s="36">
        <v>8.0</v>
      </c>
      <c r="H33" s="38" t="s">
        <v>35</v>
      </c>
      <c r="I33" s="36">
        <v>22.0</v>
      </c>
      <c r="J33" s="38" t="s">
        <v>35</v>
      </c>
      <c r="K33" s="36">
        <v>10.0</v>
      </c>
      <c r="L33" s="40">
        <v>98.0</v>
      </c>
      <c r="M33" s="41">
        <v>2.0</v>
      </c>
      <c r="N33" s="43">
        <v>4.0</v>
      </c>
      <c r="O33" s="13"/>
      <c r="P33" s="34" t="s">
        <v>59</v>
      </c>
      <c r="Q33" s="36" t="s">
        <v>35</v>
      </c>
      <c r="R33" s="36">
        <v>24.0</v>
      </c>
      <c r="S33" s="38" t="s">
        <v>35</v>
      </c>
      <c r="T33" s="36">
        <v>22.0</v>
      </c>
      <c r="U33" s="38" t="s">
        <v>34</v>
      </c>
      <c r="V33" s="36">
        <v>36.0</v>
      </c>
      <c r="W33" s="38" t="s">
        <v>35</v>
      </c>
      <c r="X33" s="36">
        <v>40.0</v>
      </c>
      <c r="Y33" s="38" t="s">
        <v>34</v>
      </c>
      <c r="Z33" s="34">
        <v>32.0</v>
      </c>
      <c r="AA33" s="40">
        <v>154.0</v>
      </c>
      <c r="AB33" s="41">
        <v>4.0</v>
      </c>
      <c r="AC33" s="43">
        <v>4.0</v>
      </c>
    </row>
    <row r="34">
      <c r="A34" s="50" t="s">
        <v>61</v>
      </c>
      <c r="B34" s="36" t="s">
        <v>35</v>
      </c>
      <c r="C34" s="36">
        <v>36.0</v>
      </c>
      <c r="D34" s="38" t="s">
        <v>34</v>
      </c>
      <c r="E34" s="36">
        <v>52.0</v>
      </c>
      <c r="F34" s="38" t="s">
        <v>34</v>
      </c>
      <c r="G34" s="36">
        <v>40.0</v>
      </c>
      <c r="H34" s="38" t="s">
        <v>34</v>
      </c>
      <c r="I34" s="36">
        <v>52.0</v>
      </c>
      <c r="J34" s="38" t="s">
        <v>34</v>
      </c>
      <c r="K34" s="36">
        <v>34.0</v>
      </c>
      <c r="L34" s="40">
        <v>214.0</v>
      </c>
      <c r="M34" s="41">
        <v>8.0</v>
      </c>
      <c r="N34" s="43">
        <v>2.0</v>
      </c>
      <c r="O34" s="13"/>
      <c r="P34" s="34" t="s">
        <v>121</v>
      </c>
      <c r="Q34" s="36" t="s">
        <v>35</v>
      </c>
      <c r="R34" s="36">
        <v>4.0</v>
      </c>
      <c r="S34" s="38" t="s">
        <v>35</v>
      </c>
      <c r="T34" s="36">
        <v>8.0</v>
      </c>
      <c r="U34" s="38" t="s">
        <v>35</v>
      </c>
      <c r="V34" s="36">
        <v>8.0</v>
      </c>
      <c r="W34" s="38" t="s">
        <v>35</v>
      </c>
      <c r="X34" s="36">
        <v>8.0</v>
      </c>
      <c r="Y34" s="38" t="s">
        <v>35</v>
      </c>
      <c r="Z34" s="34">
        <v>8.0</v>
      </c>
      <c r="AA34" s="40">
        <v>36.0</v>
      </c>
      <c r="AB34" s="41">
        <v>0.0</v>
      </c>
      <c r="AC34" s="43">
        <v>6.0</v>
      </c>
    </row>
    <row r="35">
      <c r="A35" s="34" t="s">
        <v>115</v>
      </c>
      <c r="B35" s="36" t="s">
        <v>35</v>
      </c>
      <c r="C35" s="36">
        <v>10.0</v>
      </c>
      <c r="D35" s="38" t="s">
        <v>35</v>
      </c>
      <c r="E35" s="36">
        <v>18.0</v>
      </c>
      <c r="F35" s="38" t="s">
        <v>35</v>
      </c>
      <c r="G35" s="36">
        <v>14.0</v>
      </c>
      <c r="H35" s="38" t="s">
        <v>34</v>
      </c>
      <c r="I35" s="36">
        <v>18.0</v>
      </c>
      <c r="J35" s="38" t="s">
        <v>35</v>
      </c>
      <c r="K35" s="36">
        <v>20.0</v>
      </c>
      <c r="L35" s="40">
        <v>80.0</v>
      </c>
      <c r="M35" s="41">
        <v>2.0</v>
      </c>
      <c r="N35" s="43">
        <v>5.0</v>
      </c>
      <c r="O35" s="13"/>
      <c r="P35" s="50" t="s">
        <v>57</v>
      </c>
      <c r="Q35" s="36" t="s">
        <v>34</v>
      </c>
      <c r="R35" s="36">
        <v>40.0</v>
      </c>
      <c r="S35" s="38" t="s">
        <v>34</v>
      </c>
      <c r="T35" s="36">
        <v>38.0</v>
      </c>
      <c r="U35" s="38" t="s">
        <v>35</v>
      </c>
      <c r="V35" s="36">
        <v>30.0</v>
      </c>
      <c r="W35" s="38" t="s">
        <v>34</v>
      </c>
      <c r="X35" s="36">
        <v>42.0</v>
      </c>
      <c r="Y35" s="38" t="s">
        <v>34</v>
      </c>
      <c r="Z35" s="34">
        <v>30.0</v>
      </c>
      <c r="AA35" s="40">
        <v>180.0</v>
      </c>
      <c r="AB35" s="41">
        <v>8.0</v>
      </c>
      <c r="AC35" s="43">
        <v>2.0</v>
      </c>
    </row>
    <row r="36">
      <c r="A36" s="50" t="s">
        <v>47</v>
      </c>
      <c r="B36" s="36" t="s">
        <v>34</v>
      </c>
      <c r="C36" s="36">
        <v>34.0</v>
      </c>
      <c r="D36" s="38" t="s">
        <v>34</v>
      </c>
      <c r="E36" s="36">
        <v>64.0</v>
      </c>
      <c r="F36" s="38" t="s">
        <v>34</v>
      </c>
      <c r="G36" s="36">
        <v>64.0</v>
      </c>
      <c r="H36" s="38" t="s">
        <v>34</v>
      </c>
      <c r="I36" s="36">
        <v>60.0</v>
      </c>
      <c r="J36" s="38" t="s">
        <v>34</v>
      </c>
      <c r="K36" s="36">
        <v>70.0</v>
      </c>
      <c r="L36" s="40">
        <v>292.0</v>
      </c>
      <c r="M36" s="41">
        <v>10.0</v>
      </c>
      <c r="N36" s="43">
        <v>1.0</v>
      </c>
      <c r="O36" s="13"/>
      <c r="P36" s="34" t="s">
        <v>128</v>
      </c>
      <c r="Q36" s="36" t="s">
        <v>34</v>
      </c>
      <c r="R36" s="36">
        <v>20.0</v>
      </c>
      <c r="S36" s="38" t="s">
        <v>35</v>
      </c>
      <c r="T36" s="36">
        <v>24.0</v>
      </c>
      <c r="U36" s="38" t="s">
        <v>35</v>
      </c>
      <c r="V36" s="36">
        <v>10.0</v>
      </c>
      <c r="W36" s="38" t="s">
        <v>35</v>
      </c>
      <c r="X36" s="36">
        <v>18.0</v>
      </c>
      <c r="Y36" s="38" t="s">
        <v>35</v>
      </c>
      <c r="Z36" s="34">
        <v>18.0</v>
      </c>
      <c r="AA36" s="40">
        <v>90.0</v>
      </c>
      <c r="AB36" s="41">
        <v>2.0</v>
      </c>
      <c r="AC36" s="43">
        <v>5.0</v>
      </c>
    </row>
    <row r="37">
      <c r="A37" s="57" t="s">
        <v>131</v>
      </c>
      <c r="B37" s="59" t="s">
        <v>34</v>
      </c>
      <c r="C37" s="36">
        <v>48.0</v>
      </c>
      <c r="D37" s="62" t="s">
        <v>34</v>
      </c>
      <c r="E37" s="36">
        <v>56.0</v>
      </c>
      <c r="F37" s="62" t="s">
        <v>35</v>
      </c>
      <c r="G37" s="36">
        <v>10.0</v>
      </c>
      <c r="H37" s="62" t="s">
        <v>35</v>
      </c>
      <c r="I37" s="36">
        <v>14.0</v>
      </c>
      <c r="J37" s="62" t="s">
        <v>34</v>
      </c>
      <c r="K37" s="59">
        <v>46.0</v>
      </c>
      <c r="L37" s="64">
        <v>174.0</v>
      </c>
      <c r="M37" s="66">
        <v>6.0</v>
      </c>
      <c r="N37" s="68">
        <v>3.0</v>
      </c>
      <c r="O37" s="13"/>
      <c r="P37" s="57" t="s">
        <v>129</v>
      </c>
      <c r="Q37" s="59" t="s">
        <v>35</v>
      </c>
      <c r="R37" s="59">
        <v>14.0</v>
      </c>
      <c r="S37" s="62" t="s">
        <v>34</v>
      </c>
      <c r="T37" s="59">
        <v>46.0</v>
      </c>
      <c r="U37" s="62" t="s">
        <v>34</v>
      </c>
      <c r="V37" s="59">
        <v>30.0</v>
      </c>
      <c r="W37" s="62" t="s">
        <v>34</v>
      </c>
      <c r="X37" s="59">
        <v>44.0</v>
      </c>
      <c r="Y37" s="62" t="s">
        <v>35</v>
      </c>
      <c r="Z37" s="74">
        <v>20.0</v>
      </c>
      <c r="AA37" s="64">
        <v>154.0</v>
      </c>
      <c r="AB37" s="66">
        <v>6.0</v>
      </c>
      <c r="AC37" s="68">
        <v>3.0</v>
      </c>
    </row>
  </sheetData>
  <mergeCells count="38">
    <mergeCell ref="W4:X4"/>
    <mergeCell ref="Y4:Z4"/>
    <mergeCell ref="A1:AC1"/>
    <mergeCell ref="B4:C4"/>
    <mergeCell ref="D4:E4"/>
    <mergeCell ref="F4:G4"/>
    <mergeCell ref="H4:I4"/>
    <mergeCell ref="J4:K4"/>
    <mergeCell ref="Q4:R4"/>
    <mergeCell ref="Q13:R13"/>
    <mergeCell ref="S13:T13"/>
    <mergeCell ref="W13:X13"/>
    <mergeCell ref="Y13:Z13"/>
    <mergeCell ref="S4:T4"/>
    <mergeCell ref="U4:V4"/>
    <mergeCell ref="D13:E13"/>
    <mergeCell ref="F13:G13"/>
    <mergeCell ref="H13:I13"/>
    <mergeCell ref="J13:K13"/>
    <mergeCell ref="U13:V13"/>
    <mergeCell ref="S22:T22"/>
    <mergeCell ref="U22:V22"/>
    <mergeCell ref="W22:X22"/>
    <mergeCell ref="Y22:Z22"/>
    <mergeCell ref="P30:AC30"/>
    <mergeCell ref="A30:N30"/>
    <mergeCell ref="B31:C31"/>
    <mergeCell ref="D31:E31"/>
    <mergeCell ref="F31:G31"/>
    <mergeCell ref="H31:I31"/>
    <mergeCell ref="J31:K31"/>
    <mergeCell ref="B13:C13"/>
    <mergeCell ref="B22:C22"/>
    <mergeCell ref="D22:E22"/>
    <mergeCell ref="F22:G22"/>
    <mergeCell ref="H22:I22"/>
    <mergeCell ref="J22:K22"/>
    <mergeCell ref="Q22:R22"/>
  </mergeCells>
  <conditionalFormatting sqref="O30 A32:B37 D32:D37 F32:F37 H32:H37 J32:J37">
    <cfRule type="cellIs" dxfId="0" priority="1" operator="equal">
      <formula>"F"</formula>
    </cfRule>
  </conditionalFormatting>
  <conditionalFormatting sqref="A1:A2 B1:O29 P1:P2 Q1:AC29 A4:A11 P4:P11 A13:A20 P13:P20 A22:A29 P22:P29 O30 A31:A37 B31:O37 P31:P37 Q31:AC37">
    <cfRule type="cellIs" dxfId="1" priority="2" operator="equal">
      <formula>"WL"</formula>
    </cfRule>
  </conditionalFormatting>
  <conditionalFormatting sqref="A2 B2:O29 P2 Q2:AC29 A4:A11 P4:P11 A13:A20 P13:P20 A22:A29 P22:P29 O30 A31:A37 B31:O37 P31:P37 Q31:AC37">
    <cfRule type="cellIs" dxfId="2" priority="3" operator="equal">
      <formula>"W"</formula>
    </cfRule>
  </conditionalFormatting>
  <conditionalFormatting sqref="A2 B2:O29 P2 Q2:AC29 A4:A11 P4:P11 A13:A20 P13:P20 A22:A29 P22:P29 O30 A31:A37 B31:O37 P31:P37 Q31:AC37">
    <cfRule type="cellIs" dxfId="3" priority="4" operator="equal">
      <formula>"L"</formula>
    </cfRule>
  </conditionalFormatting>
  <conditionalFormatting sqref="A2 B2:O29 P2 Q2:AC29 A4:A11 P4:P11 A13:A20 P13:P20 A22:A29 P22:P29 O30 A31:A37 B31:O37 P31:P37 Q31:AC37">
    <cfRule type="cellIs" dxfId="4" priority="5" operator="equal">
      <formula>"T"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7" width="8.88"/>
    <col customWidth="1" min="8" max="8" width="7.0"/>
    <col customWidth="1" min="9" max="9" width="11.38"/>
    <col customWidth="1" min="10" max="15" width="8.88"/>
    <col customWidth="1" min="16" max="16" width="7.0"/>
    <col customWidth="1" min="17" max="17" width="14.5"/>
    <col customWidth="1" min="18" max="18" width="14.88"/>
  </cols>
  <sheetData>
    <row r="1" ht="48.75" customHeight="1">
      <c r="A1" s="2" t="s">
        <v>7</v>
      </c>
      <c r="P1" s="2"/>
      <c r="Q1" s="14" t="s">
        <v>10</v>
      </c>
    </row>
    <row r="2">
      <c r="A2" s="17" t="s">
        <v>14</v>
      </c>
      <c r="B2" s="7"/>
      <c r="C2" s="7"/>
      <c r="D2" s="17" t="s">
        <v>17</v>
      </c>
      <c r="E2" s="7"/>
      <c r="F2" s="7"/>
      <c r="G2" s="17" t="s">
        <v>20</v>
      </c>
      <c r="H2" s="7"/>
      <c r="I2" s="7"/>
      <c r="J2" s="17" t="s">
        <v>22</v>
      </c>
      <c r="K2" s="7"/>
      <c r="L2" s="7"/>
      <c r="M2" s="17" t="s">
        <v>24</v>
      </c>
      <c r="N2" s="7"/>
      <c r="O2" s="7"/>
      <c r="P2" s="17"/>
      <c r="Q2" s="24" t="s">
        <v>26</v>
      </c>
      <c r="R2" s="17" t="s">
        <v>28</v>
      </c>
    </row>
    <row r="3" ht="19.5" customHeigh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9"/>
      <c r="Q3" s="31" t="s">
        <v>30</v>
      </c>
      <c r="R3" s="33" t="s">
        <v>32</v>
      </c>
    </row>
    <row r="4" ht="19.5" customHeight="1">
      <c r="A4" s="8" t="s">
        <v>4</v>
      </c>
      <c r="B4" s="7"/>
      <c r="C4" s="7"/>
      <c r="D4" s="7"/>
      <c r="E4" s="7"/>
      <c r="F4" s="7"/>
      <c r="G4" s="11"/>
      <c r="H4" s="39"/>
      <c r="I4" s="8" t="s">
        <v>8</v>
      </c>
      <c r="J4" s="7"/>
      <c r="K4" s="7"/>
      <c r="L4" s="7"/>
      <c r="M4" s="7"/>
      <c r="N4" s="7"/>
      <c r="O4" s="11"/>
      <c r="P4" s="31"/>
      <c r="Q4" s="31" t="s">
        <v>36</v>
      </c>
      <c r="R4" s="33" t="s">
        <v>37</v>
      </c>
    </row>
    <row r="5" ht="19.5" customHeight="1">
      <c r="A5" s="44"/>
      <c r="B5" s="52" t="str">
        <f>A6</f>
        <v>Sumin Y</v>
      </c>
      <c r="C5" s="52" t="str">
        <f>A7</f>
        <v>Malachi N</v>
      </c>
      <c r="D5" s="52" t="str">
        <f>A8</f>
        <v>William T</v>
      </c>
      <c r="E5" s="52" t="str">
        <f>A9</f>
        <v>Connor Z</v>
      </c>
      <c r="F5" s="52" t="str">
        <f>A10</f>
        <v>Sarabhesh S</v>
      </c>
      <c r="G5" s="54" t="str">
        <f>A11</f>
        <v>Ayden L</v>
      </c>
      <c r="H5" s="39"/>
      <c r="I5" s="44"/>
      <c r="J5" s="52" t="str">
        <f>I6</f>
        <v>Bryce T</v>
      </c>
      <c r="K5" s="52" t="str">
        <f>I7</f>
        <v>Suzuko O</v>
      </c>
      <c r="L5" s="52" t="str">
        <f>I8</f>
        <v>Ishaan K</v>
      </c>
      <c r="M5" s="52" t="str">
        <f>I9</f>
        <v>Camille P</v>
      </c>
      <c r="N5" s="52" t="str">
        <f>I10</f>
        <v>Kevin L</v>
      </c>
      <c r="O5" s="54" t="str">
        <f>I11</f>
        <v>Aryan D</v>
      </c>
      <c r="P5" s="56"/>
      <c r="Q5" s="31" t="s">
        <v>47</v>
      </c>
      <c r="R5" s="33" t="s">
        <v>48</v>
      </c>
    </row>
    <row r="6" ht="19.5" customHeight="1">
      <c r="A6" s="60" t="s">
        <v>33</v>
      </c>
      <c r="B6" s="63"/>
      <c r="C6" s="36" t="s">
        <v>49</v>
      </c>
      <c r="D6" s="36" t="s">
        <v>50</v>
      </c>
      <c r="E6" s="36" t="s">
        <v>51</v>
      </c>
      <c r="F6" s="36" t="s">
        <v>52</v>
      </c>
      <c r="G6" s="65" t="s">
        <v>53</v>
      </c>
      <c r="H6" s="39"/>
      <c r="I6" s="67" t="s">
        <v>38</v>
      </c>
      <c r="J6" s="63"/>
      <c r="K6" s="36" t="s">
        <v>49</v>
      </c>
      <c r="L6" s="36" t="s">
        <v>50</v>
      </c>
      <c r="M6" s="36" t="s">
        <v>51</v>
      </c>
      <c r="N6" s="36" t="s">
        <v>52</v>
      </c>
      <c r="O6" s="65" t="s">
        <v>53</v>
      </c>
      <c r="P6" s="71"/>
      <c r="Q6" s="31" t="s">
        <v>42</v>
      </c>
      <c r="R6" s="33" t="s">
        <v>56</v>
      </c>
    </row>
    <row r="7" ht="19.5" customHeight="1">
      <c r="A7" s="60" t="s">
        <v>39</v>
      </c>
      <c r="B7" s="36" t="s">
        <v>49</v>
      </c>
      <c r="C7" s="63"/>
      <c r="D7" s="36" t="s">
        <v>51</v>
      </c>
      <c r="E7" s="36" t="s">
        <v>52</v>
      </c>
      <c r="F7" s="36" t="s">
        <v>53</v>
      </c>
      <c r="G7" s="65" t="s">
        <v>50</v>
      </c>
      <c r="H7" s="39"/>
      <c r="I7" s="67" t="s">
        <v>31</v>
      </c>
      <c r="J7" s="36" t="s">
        <v>49</v>
      </c>
      <c r="K7" s="63"/>
      <c r="L7" s="36" t="s">
        <v>51</v>
      </c>
      <c r="M7" s="36" t="s">
        <v>52</v>
      </c>
      <c r="N7" s="36" t="s">
        <v>53</v>
      </c>
      <c r="O7" s="65" t="s">
        <v>50</v>
      </c>
      <c r="P7" s="56"/>
      <c r="Q7" s="31" t="s">
        <v>57</v>
      </c>
      <c r="R7" s="33" t="s">
        <v>58</v>
      </c>
    </row>
    <row r="8" ht="19.5" customHeight="1">
      <c r="A8" s="60" t="s">
        <v>40</v>
      </c>
      <c r="B8" s="36" t="s">
        <v>50</v>
      </c>
      <c r="C8" s="36" t="s">
        <v>51</v>
      </c>
      <c r="D8" s="63"/>
      <c r="E8" s="36" t="s">
        <v>53</v>
      </c>
      <c r="F8" s="36" t="s">
        <v>49</v>
      </c>
      <c r="G8" s="65" t="s">
        <v>52</v>
      </c>
      <c r="H8" s="39"/>
      <c r="I8" s="67" t="s">
        <v>36</v>
      </c>
      <c r="J8" s="36" t="s">
        <v>50</v>
      </c>
      <c r="K8" s="36" t="s">
        <v>51</v>
      </c>
      <c r="L8" s="63"/>
      <c r="M8" s="36" t="s">
        <v>53</v>
      </c>
      <c r="N8" s="36" t="s">
        <v>49</v>
      </c>
      <c r="O8" s="65" t="s">
        <v>52</v>
      </c>
      <c r="P8" s="56"/>
      <c r="Q8" s="31" t="s">
        <v>59</v>
      </c>
      <c r="R8" s="33" t="s">
        <v>60</v>
      </c>
    </row>
    <row r="9" ht="19.5" customHeight="1">
      <c r="A9" s="60" t="s">
        <v>42</v>
      </c>
      <c r="B9" s="36" t="s">
        <v>51</v>
      </c>
      <c r="C9" s="36" t="s">
        <v>52</v>
      </c>
      <c r="D9" s="36" t="s">
        <v>53</v>
      </c>
      <c r="E9" s="63"/>
      <c r="F9" s="36" t="s">
        <v>50</v>
      </c>
      <c r="G9" s="65" t="s">
        <v>49</v>
      </c>
      <c r="H9" s="39"/>
      <c r="I9" s="67" t="s">
        <v>43</v>
      </c>
      <c r="J9" s="36" t="s">
        <v>51</v>
      </c>
      <c r="K9" s="36" t="s">
        <v>52</v>
      </c>
      <c r="L9" s="36" t="s">
        <v>53</v>
      </c>
      <c r="M9" s="63"/>
      <c r="N9" s="36" t="s">
        <v>50</v>
      </c>
      <c r="O9" s="65" t="s">
        <v>49</v>
      </c>
      <c r="P9" s="56"/>
      <c r="Q9" s="84" t="s">
        <v>61</v>
      </c>
      <c r="R9" s="86" t="s">
        <v>62</v>
      </c>
    </row>
    <row r="10" ht="19.5" customHeight="1">
      <c r="A10" s="60" t="s">
        <v>44</v>
      </c>
      <c r="B10" s="36" t="s">
        <v>52</v>
      </c>
      <c r="C10" s="36" t="s">
        <v>53</v>
      </c>
      <c r="D10" s="36" t="s">
        <v>49</v>
      </c>
      <c r="E10" s="36" t="s">
        <v>50</v>
      </c>
      <c r="F10" s="63"/>
      <c r="G10" s="65" t="s">
        <v>51</v>
      </c>
      <c r="H10" s="39"/>
      <c r="I10" s="67" t="s">
        <v>45</v>
      </c>
      <c r="J10" s="36" t="s">
        <v>52</v>
      </c>
      <c r="K10" s="36" t="s">
        <v>53</v>
      </c>
      <c r="L10" s="36" t="s">
        <v>49</v>
      </c>
      <c r="M10" s="36" t="s">
        <v>50</v>
      </c>
      <c r="N10" s="63"/>
      <c r="O10" s="65" t="s">
        <v>51</v>
      </c>
      <c r="P10" s="56"/>
      <c r="Q10" s="84" t="s">
        <v>64</v>
      </c>
      <c r="R10" s="86" t="s">
        <v>65</v>
      </c>
    </row>
    <row r="11" ht="19.5" customHeight="1">
      <c r="A11" s="87" t="s">
        <v>46</v>
      </c>
      <c r="B11" s="59" t="s">
        <v>53</v>
      </c>
      <c r="C11" s="59" t="s">
        <v>50</v>
      </c>
      <c r="D11" s="59" t="s">
        <v>52</v>
      </c>
      <c r="E11" s="59" t="s">
        <v>49</v>
      </c>
      <c r="F11" s="59" t="s">
        <v>51</v>
      </c>
      <c r="G11" s="88"/>
      <c r="H11" s="39"/>
      <c r="I11" s="87" t="s">
        <v>55</v>
      </c>
      <c r="J11" s="59" t="s">
        <v>53</v>
      </c>
      <c r="K11" s="59" t="s">
        <v>50</v>
      </c>
      <c r="L11" s="59" t="s">
        <v>52</v>
      </c>
      <c r="M11" s="59" t="s">
        <v>49</v>
      </c>
      <c r="N11" s="59" t="s">
        <v>51</v>
      </c>
      <c r="O11" s="88"/>
      <c r="P11" s="56"/>
      <c r="Q11" s="84" t="s">
        <v>68</v>
      </c>
      <c r="R11" s="86" t="s">
        <v>69</v>
      </c>
    </row>
    <row r="12" ht="19.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56"/>
      <c r="Q12" s="84" t="s">
        <v>70</v>
      </c>
      <c r="R12" s="86" t="s">
        <v>71</v>
      </c>
    </row>
    <row r="13" ht="19.5" customHeight="1">
      <c r="A13" s="8" t="s">
        <v>63</v>
      </c>
      <c r="B13" s="7"/>
      <c r="C13" s="7"/>
      <c r="D13" s="7"/>
      <c r="E13" s="7"/>
      <c r="F13" s="7"/>
      <c r="G13" s="11"/>
      <c r="H13" s="39"/>
      <c r="I13" s="8" t="s">
        <v>66</v>
      </c>
      <c r="J13" s="7"/>
      <c r="K13" s="7"/>
      <c r="L13" s="7"/>
      <c r="M13" s="7"/>
      <c r="N13" s="7"/>
      <c r="O13" s="11"/>
      <c r="P13" s="92"/>
      <c r="Q13" s="84" t="s">
        <v>73</v>
      </c>
      <c r="R13" s="86" t="s">
        <v>74</v>
      </c>
    </row>
    <row r="14" ht="19.5" customHeight="1">
      <c r="A14" s="44"/>
      <c r="B14" s="52" t="str">
        <f>A15</f>
        <v>Abhiram C</v>
      </c>
      <c r="C14" s="52" t="str">
        <f>A16</f>
        <v>Mary P</v>
      </c>
      <c r="D14" s="52" t="str">
        <f>A17</f>
        <v>Isaiah S</v>
      </c>
      <c r="E14" s="52" t="str">
        <f>A18</f>
        <v>Joel Y</v>
      </c>
      <c r="F14" s="52" t="str">
        <f>A19</f>
        <v>Ryan E</v>
      </c>
      <c r="G14" s="54" t="str">
        <f>A20</f>
        <v>Luyao Y</v>
      </c>
      <c r="H14" s="39"/>
      <c r="I14" s="44"/>
      <c r="J14" s="52" t="str">
        <f>I15</f>
        <v>Ian C</v>
      </c>
      <c r="K14" s="52" t="str">
        <f>I16</f>
        <v>Travis D</v>
      </c>
      <c r="L14" s="52" t="str">
        <f>I17</f>
        <v>Daniel L</v>
      </c>
      <c r="M14" s="52" t="str">
        <f>I18</f>
        <v>Roshan A</v>
      </c>
      <c r="N14" s="52" t="str">
        <f>I19</f>
        <v>Michael M</v>
      </c>
      <c r="O14" s="54" t="str">
        <f>I20</f>
        <v>Darius S</v>
      </c>
      <c r="P14" s="56"/>
      <c r="Q14" s="84" t="s">
        <v>39</v>
      </c>
      <c r="R14" s="86" t="s">
        <v>80</v>
      </c>
    </row>
    <row r="15" ht="19.5" customHeight="1">
      <c r="A15" s="67" t="s">
        <v>76</v>
      </c>
      <c r="B15" s="63"/>
      <c r="C15" s="36" t="s">
        <v>49</v>
      </c>
      <c r="D15" s="36" t="s">
        <v>50</v>
      </c>
      <c r="E15" s="36" t="s">
        <v>51</v>
      </c>
      <c r="F15" s="36" t="s">
        <v>52</v>
      </c>
      <c r="G15" s="65" t="s">
        <v>53</v>
      </c>
      <c r="H15" s="39"/>
      <c r="I15" s="67" t="s">
        <v>77</v>
      </c>
      <c r="J15" s="63"/>
      <c r="K15" s="36" t="s">
        <v>49</v>
      </c>
      <c r="L15" s="36" t="s">
        <v>50</v>
      </c>
      <c r="M15" s="36" t="s">
        <v>51</v>
      </c>
      <c r="N15" s="36" t="s">
        <v>52</v>
      </c>
      <c r="O15" s="65" t="s">
        <v>53</v>
      </c>
      <c r="P15" s="56"/>
      <c r="Q15" s="31" t="s">
        <v>31</v>
      </c>
      <c r="R15" s="33" t="s">
        <v>82</v>
      </c>
    </row>
    <row r="16" ht="19.5" customHeight="1">
      <c r="A16" s="67" t="s">
        <v>68</v>
      </c>
      <c r="B16" s="36" t="s">
        <v>49</v>
      </c>
      <c r="C16" s="63"/>
      <c r="D16" s="36" t="s">
        <v>51</v>
      </c>
      <c r="E16" s="36" t="s">
        <v>52</v>
      </c>
      <c r="F16" s="36" t="s">
        <v>53</v>
      </c>
      <c r="G16" s="65" t="s">
        <v>50</v>
      </c>
      <c r="H16" s="39"/>
      <c r="I16" s="67" t="s">
        <v>79</v>
      </c>
      <c r="J16" s="36" t="s">
        <v>49</v>
      </c>
      <c r="K16" s="63"/>
      <c r="L16" s="36" t="s">
        <v>51</v>
      </c>
      <c r="M16" s="36" t="s">
        <v>52</v>
      </c>
      <c r="N16" s="36" t="s">
        <v>53</v>
      </c>
      <c r="O16" s="65" t="s">
        <v>50</v>
      </c>
      <c r="P16" s="56"/>
      <c r="Q16" s="31" t="s">
        <v>79</v>
      </c>
      <c r="R16" s="33" t="s">
        <v>84</v>
      </c>
    </row>
    <row r="17" ht="19.5" customHeight="1">
      <c r="A17" s="67" t="s">
        <v>81</v>
      </c>
      <c r="B17" s="36" t="s">
        <v>50</v>
      </c>
      <c r="C17" s="36" t="s">
        <v>51</v>
      </c>
      <c r="D17" s="63"/>
      <c r="E17" s="36" t="s">
        <v>53</v>
      </c>
      <c r="F17" s="36" t="s">
        <v>49</v>
      </c>
      <c r="G17" s="65" t="s">
        <v>52</v>
      </c>
      <c r="H17" s="39"/>
      <c r="I17" s="67" t="s">
        <v>83</v>
      </c>
      <c r="J17" s="36" t="s">
        <v>50</v>
      </c>
      <c r="K17" s="36" t="s">
        <v>51</v>
      </c>
      <c r="L17" s="63"/>
      <c r="M17" s="36" t="s">
        <v>53</v>
      </c>
      <c r="N17" s="36" t="s">
        <v>49</v>
      </c>
      <c r="O17" s="65" t="s">
        <v>52</v>
      </c>
      <c r="P17" s="56"/>
      <c r="Q17" s="31" t="s">
        <v>33</v>
      </c>
      <c r="R17" s="33" t="s">
        <v>87</v>
      </c>
    </row>
    <row r="18" ht="19.5" customHeight="1">
      <c r="A18" s="67" t="s">
        <v>85</v>
      </c>
      <c r="B18" s="36" t="s">
        <v>51</v>
      </c>
      <c r="C18" s="36" t="s">
        <v>52</v>
      </c>
      <c r="D18" s="36" t="s">
        <v>53</v>
      </c>
      <c r="E18" s="63"/>
      <c r="F18" s="36" t="s">
        <v>50</v>
      </c>
      <c r="G18" s="65" t="s">
        <v>49</v>
      </c>
      <c r="H18" s="39"/>
      <c r="I18" s="67" t="s">
        <v>86</v>
      </c>
      <c r="J18" s="36" t="s">
        <v>51</v>
      </c>
      <c r="K18" s="36" t="s">
        <v>52</v>
      </c>
      <c r="L18" s="36" t="s">
        <v>53</v>
      </c>
      <c r="M18" s="63"/>
      <c r="N18" s="36" t="s">
        <v>50</v>
      </c>
      <c r="O18" s="65" t="s">
        <v>49</v>
      </c>
      <c r="P18" s="56"/>
      <c r="Q18" s="31" t="s">
        <v>90</v>
      </c>
      <c r="R18" s="33" t="s">
        <v>91</v>
      </c>
    </row>
    <row r="19" ht="19.5" customHeight="1">
      <c r="A19" s="67" t="s">
        <v>88</v>
      </c>
      <c r="B19" s="36" t="s">
        <v>52</v>
      </c>
      <c r="C19" s="36" t="s">
        <v>53</v>
      </c>
      <c r="D19" s="36" t="s">
        <v>49</v>
      </c>
      <c r="E19" s="36" t="s">
        <v>50</v>
      </c>
      <c r="F19" s="63"/>
      <c r="G19" s="65" t="s">
        <v>51</v>
      </c>
      <c r="H19" s="39"/>
      <c r="I19" s="67" t="s">
        <v>89</v>
      </c>
      <c r="J19" s="36" t="s">
        <v>52</v>
      </c>
      <c r="K19" s="36" t="s">
        <v>53</v>
      </c>
      <c r="L19" s="36" t="s">
        <v>49</v>
      </c>
      <c r="M19" s="36" t="s">
        <v>50</v>
      </c>
      <c r="N19" s="63"/>
      <c r="O19" s="65" t="s">
        <v>51</v>
      </c>
      <c r="P19" s="56"/>
      <c r="Q19" s="31" t="s">
        <v>83</v>
      </c>
      <c r="R19" s="33" t="s">
        <v>93</v>
      </c>
    </row>
    <row r="20" ht="19.5" customHeight="1">
      <c r="A20" s="87" t="s">
        <v>92</v>
      </c>
      <c r="B20" s="59" t="s">
        <v>53</v>
      </c>
      <c r="C20" s="59" t="s">
        <v>50</v>
      </c>
      <c r="D20" s="59" t="s">
        <v>52</v>
      </c>
      <c r="E20" s="59" t="s">
        <v>49</v>
      </c>
      <c r="F20" s="59" t="s">
        <v>51</v>
      </c>
      <c r="G20" s="88"/>
      <c r="H20" s="39"/>
      <c r="I20" s="87" t="s">
        <v>94</v>
      </c>
      <c r="J20" s="59" t="s">
        <v>53</v>
      </c>
      <c r="K20" s="59" t="s">
        <v>50</v>
      </c>
      <c r="L20" s="59" t="s">
        <v>52</v>
      </c>
      <c r="M20" s="59" t="s">
        <v>49</v>
      </c>
      <c r="N20" s="59" t="s">
        <v>51</v>
      </c>
      <c r="O20" s="88"/>
      <c r="P20" s="56"/>
      <c r="Q20" s="31" t="s">
        <v>45</v>
      </c>
      <c r="R20" s="33" t="s">
        <v>95</v>
      </c>
    </row>
    <row r="21" ht="19.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56"/>
      <c r="Q21" s="84" t="s">
        <v>94</v>
      </c>
      <c r="R21" s="86" t="s">
        <v>96</v>
      </c>
    </row>
    <row r="22" ht="19.5" customHeight="1">
      <c r="A22" s="8" t="s">
        <v>97</v>
      </c>
      <c r="B22" s="7"/>
      <c r="C22" s="7"/>
      <c r="D22" s="7"/>
      <c r="E22" s="7"/>
      <c r="F22" s="7"/>
      <c r="G22" s="11"/>
      <c r="H22" s="39"/>
      <c r="I22" s="8" t="s">
        <v>98</v>
      </c>
      <c r="J22" s="7"/>
      <c r="K22" s="7"/>
      <c r="L22" s="7"/>
      <c r="M22" s="7"/>
      <c r="N22" s="7"/>
      <c r="O22" s="11"/>
      <c r="P22" s="92"/>
      <c r="Q22" s="84" t="s">
        <v>99</v>
      </c>
      <c r="R22" s="86" t="s">
        <v>100</v>
      </c>
    </row>
    <row r="23" ht="19.5" customHeight="1">
      <c r="A23" s="44"/>
      <c r="B23" s="52" t="str">
        <f>A24</f>
        <v>Tiger W</v>
      </c>
      <c r="C23" s="52" t="str">
        <f>A25</f>
        <v>Shubam V</v>
      </c>
      <c r="D23" s="52" t="str">
        <f>A26</f>
        <v>Alexander D</v>
      </c>
      <c r="E23" s="52" t="str">
        <f>A27</f>
        <v>Yale Z</v>
      </c>
      <c r="F23" s="52" t="str">
        <f>A28</f>
        <v>Kaiwen Y</v>
      </c>
      <c r="G23" s="54" t="str">
        <f>A29</f>
        <v>Varyan J</v>
      </c>
      <c r="H23" s="39"/>
      <c r="I23" s="44"/>
      <c r="J23" s="52" t="str">
        <f>I24</f>
        <v>Sohil R</v>
      </c>
      <c r="K23" s="52" t="str">
        <f>I25</f>
        <v>McNair S</v>
      </c>
      <c r="L23" s="52" t="str">
        <f>I26</f>
        <v>Rishabh V</v>
      </c>
      <c r="M23" s="52" t="str">
        <f>I27</f>
        <v>Akshay A</v>
      </c>
      <c r="N23" s="52" t="str">
        <f>I28</f>
        <v>Alex L</v>
      </c>
      <c r="O23" s="54" t="str">
        <f>I29</f>
        <v>Ayden H</v>
      </c>
      <c r="P23" s="56"/>
      <c r="Q23" s="84" t="s">
        <v>38</v>
      </c>
      <c r="R23" s="86" t="s">
        <v>103</v>
      </c>
    </row>
    <row r="24" ht="19.5" customHeight="1">
      <c r="A24" s="67" t="s">
        <v>101</v>
      </c>
      <c r="B24" s="63"/>
      <c r="C24" s="36" t="s">
        <v>49</v>
      </c>
      <c r="D24" s="36" t="s">
        <v>50</v>
      </c>
      <c r="E24" s="36" t="s">
        <v>51</v>
      </c>
      <c r="F24" s="36" t="s">
        <v>52</v>
      </c>
      <c r="G24" s="65" t="s">
        <v>53</v>
      </c>
      <c r="H24" s="39"/>
      <c r="I24" s="67" t="s">
        <v>102</v>
      </c>
      <c r="J24" s="63"/>
      <c r="K24" s="36" t="s">
        <v>49</v>
      </c>
      <c r="L24" s="36" t="s">
        <v>50</v>
      </c>
      <c r="M24" s="36" t="s">
        <v>51</v>
      </c>
      <c r="N24" s="36" t="s">
        <v>52</v>
      </c>
      <c r="O24" s="65" t="s">
        <v>53</v>
      </c>
      <c r="P24" s="56"/>
      <c r="Q24" s="84" t="s">
        <v>105</v>
      </c>
      <c r="R24" s="86" t="s">
        <v>106</v>
      </c>
    </row>
    <row r="25" ht="19.5" customHeight="1">
      <c r="A25" s="67" t="s">
        <v>70</v>
      </c>
      <c r="B25" s="36" t="s">
        <v>49</v>
      </c>
      <c r="C25" s="63"/>
      <c r="D25" s="36" t="s">
        <v>51</v>
      </c>
      <c r="E25" s="36" t="s">
        <v>52</v>
      </c>
      <c r="F25" s="36" t="s">
        <v>53</v>
      </c>
      <c r="G25" s="65" t="s">
        <v>50</v>
      </c>
      <c r="H25" s="39"/>
      <c r="I25" s="67" t="s">
        <v>104</v>
      </c>
      <c r="J25" s="36" t="s">
        <v>49</v>
      </c>
      <c r="K25" s="63"/>
      <c r="L25" s="36" t="s">
        <v>51</v>
      </c>
      <c r="M25" s="36" t="s">
        <v>52</v>
      </c>
      <c r="N25" s="36" t="s">
        <v>53</v>
      </c>
      <c r="O25" s="65" t="s">
        <v>50</v>
      </c>
      <c r="P25" s="56"/>
      <c r="Q25" s="84" t="s">
        <v>101</v>
      </c>
      <c r="R25" s="86" t="s">
        <v>108</v>
      </c>
    </row>
    <row r="26" ht="19.5" customHeight="1">
      <c r="A26" s="67" t="s">
        <v>107</v>
      </c>
      <c r="B26" s="36" t="s">
        <v>50</v>
      </c>
      <c r="C26" s="36" t="s">
        <v>51</v>
      </c>
      <c r="D26" s="63"/>
      <c r="E26" s="36" t="s">
        <v>53</v>
      </c>
      <c r="F26" s="36" t="s">
        <v>49</v>
      </c>
      <c r="G26" s="65" t="s">
        <v>52</v>
      </c>
      <c r="H26" s="39"/>
      <c r="I26" s="67" t="s">
        <v>54</v>
      </c>
      <c r="J26" s="36" t="s">
        <v>50</v>
      </c>
      <c r="K26" s="36" t="s">
        <v>51</v>
      </c>
      <c r="L26" s="63"/>
      <c r="M26" s="36" t="s">
        <v>53</v>
      </c>
      <c r="N26" s="36" t="s">
        <v>49</v>
      </c>
      <c r="O26" s="65" t="s">
        <v>52</v>
      </c>
      <c r="P26" s="56"/>
      <c r="Q26" s="84" t="s">
        <v>44</v>
      </c>
      <c r="R26" s="86" t="s">
        <v>109</v>
      </c>
    </row>
    <row r="27" ht="19.5" customHeight="1">
      <c r="A27" s="67" t="s">
        <v>75</v>
      </c>
      <c r="B27" s="36" t="s">
        <v>51</v>
      </c>
      <c r="C27" s="36" t="s">
        <v>52</v>
      </c>
      <c r="D27" s="36" t="s">
        <v>53</v>
      </c>
      <c r="E27" s="63"/>
      <c r="F27" s="36" t="s">
        <v>50</v>
      </c>
      <c r="G27" s="65" t="s">
        <v>49</v>
      </c>
      <c r="H27" s="39"/>
      <c r="I27" s="67" t="s">
        <v>90</v>
      </c>
      <c r="J27" s="36" t="s">
        <v>51</v>
      </c>
      <c r="K27" s="36" t="s">
        <v>52</v>
      </c>
      <c r="L27" s="36" t="s">
        <v>53</v>
      </c>
      <c r="M27" s="63"/>
      <c r="N27" s="36" t="s">
        <v>50</v>
      </c>
      <c r="O27" s="65" t="s">
        <v>49</v>
      </c>
      <c r="P27" s="56"/>
      <c r="Q27" s="31" t="s">
        <v>110</v>
      </c>
      <c r="R27" s="33" t="s">
        <v>111</v>
      </c>
    </row>
    <row r="28" ht="19.5" customHeight="1">
      <c r="A28" s="67" t="s">
        <v>112</v>
      </c>
      <c r="B28" s="36" t="s">
        <v>52</v>
      </c>
      <c r="C28" s="36" t="s">
        <v>53</v>
      </c>
      <c r="D28" s="36" t="s">
        <v>49</v>
      </c>
      <c r="E28" s="36" t="s">
        <v>50</v>
      </c>
      <c r="F28" s="63"/>
      <c r="G28" s="65" t="s">
        <v>51</v>
      </c>
      <c r="H28" s="39"/>
      <c r="I28" s="67" t="s">
        <v>113</v>
      </c>
      <c r="J28" s="36" t="s">
        <v>52</v>
      </c>
      <c r="K28" s="36" t="s">
        <v>53</v>
      </c>
      <c r="L28" s="36" t="s">
        <v>49</v>
      </c>
      <c r="M28" s="36" t="s">
        <v>50</v>
      </c>
      <c r="N28" s="63"/>
      <c r="O28" s="65" t="s">
        <v>51</v>
      </c>
      <c r="P28" s="56"/>
      <c r="Q28" s="31" t="s">
        <v>115</v>
      </c>
      <c r="R28" s="33" t="s">
        <v>116</v>
      </c>
    </row>
    <row r="29" ht="19.5" customHeight="1">
      <c r="A29" s="87" t="s">
        <v>64</v>
      </c>
      <c r="B29" s="59" t="s">
        <v>53</v>
      </c>
      <c r="C29" s="59" t="s">
        <v>50</v>
      </c>
      <c r="D29" s="59" t="s">
        <v>52</v>
      </c>
      <c r="E29" s="59" t="s">
        <v>49</v>
      </c>
      <c r="F29" s="59" t="s">
        <v>51</v>
      </c>
      <c r="G29" s="88"/>
      <c r="H29" s="39"/>
      <c r="I29" s="87" t="s">
        <v>73</v>
      </c>
      <c r="J29" s="59" t="s">
        <v>53</v>
      </c>
      <c r="K29" s="59" t="s">
        <v>50</v>
      </c>
      <c r="L29" s="59" t="s">
        <v>52</v>
      </c>
      <c r="M29" s="59" t="s">
        <v>49</v>
      </c>
      <c r="N29" s="59" t="s">
        <v>51</v>
      </c>
      <c r="O29" s="88"/>
      <c r="P29" s="56"/>
      <c r="Q29" s="31" t="s">
        <v>88</v>
      </c>
      <c r="R29" s="33" t="s">
        <v>117</v>
      </c>
    </row>
    <row r="30" ht="19.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56"/>
      <c r="Q30" s="31" t="s">
        <v>85</v>
      </c>
      <c r="R30" s="33" t="s">
        <v>118</v>
      </c>
    </row>
    <row r="31" ht="19.5" customHeight="1">
      <c r="A31" s="8" t="s">
        <v>119</v>
      </c>
      <c r="B31" s="7"/>
      <c r="C31" s="7"/>
      <c r="D31" s="7"/>
      <c r="E31" s="7"/>
      <c r="F31" s="7"/>
      <c r="G31" s="11"/>
      <c r="H31" s="39"/>
      <c r="I31" s="8" t="s">
        <v>120</v>
      </c>
      <c r="J31" s="7"/>
      <c r="K31" s="7"/>
      <c r="L31" s="7"/>
      <c r="M31" s="7"/>
      <c r="N31" s="7"/>
      <c r="O31" s="11"/>
      <c r="P31" s="92"/>
      <c r="Q31" s="31" t="s">
        <v>121</v>
      </c>
      <c r="R31" s="33" t="s">
        <v>122</v>
      </c>
    </row>
    <row r="32" ht="19.5" customHeight="1">
      <c r="A32" s="44"/>
      <c r="B32" s="52" t="str">
        <f>A33</f>
        <v>Sreejit M</v>
      </c>
      <c r="C32" s="52" t="str">
        <f>A34</f>
        <v>Isaac L</v>
      </c>
      <c r="D32" s="52" t="str">
        <f>A35</f>
        <v>Praneel A</v>
      </c>
      <c r="E32" s="52" t="str">
        <f>A36</f>
        <v>Parthiv S</v>
      </c>
      <c r="F32" s="52" t="str">
        <f>A37</f>
        <v>Kensuke O</v>
      </c>
      <c r="G32" s="54" t="str">
        <f>A38</f>
        <v>Alex Z</v>
      </c>
      <c r="H32" s="39"/>
      <c r="I32" s="44"/>
      <c r="J32" s="52" t="str">
        <f>I33</f>
        <v>Akhil B</v>
      </c>
      <c r="K32" s="52" t="str">
        <f>I34</f>
        <v>Abhiraam G</v>
      </c>
      <c r="L32" s="52" t="str">
        <f>I35</f>
        <v>Ashley L</v>
      </c>
      <c r="M32" s="52" t="str">
        <f>I36</f>
        <v>Rohan G</v>
      </c>
      <c r="N32" s="52" t="str">
        <f>I37</f>
        <v>Edward J</v>
      </c>
      <c r="O32" s="54" t="str">
        <f>I38</f>
        <v>Edlyn W</v>
      </c>
      <c r="P32" s="56"/>
      <c r="Q32" s="31" t="s">
        <v>75</v>
      </c>
      <c r="R32" s="33" t="s">
        <v>123</v>
      </c>
    </row>
    <row r="33" ht="19.5" customHeight="1">
      <c r="A33" s="67" t="s">
        <v>105</v>
      </c>
      <c r="B33" s="63"/>
      <c r="C33" s="36" t="s">
        <v>49</v>
      </c>
      <c r="D33" s="36" t="s">
        <v>50</v>
      </c>
      <c r="E33" s="36" t="s">
        <v>51</v>
      </c>
      <c r="F33" s="36" t="s">
        <v>52</v>
      </c>
      <c r="G33" s="65" t="s">
        <v>53</v>
      </c>
      <c r="H33" s="39"/>
      <c r="I33" s="67" t="s">
        <v>30</v>
      </c>
      <c r="J33" s="63"/>
      <c r="K33" s="36" t="s">
        <v>49</v>
      </c>
      <c r="L33" s="36" t="s">
        <v>50</v>
      </c>
      <c r="M33" s="36" t="s">
        <v>51</v>
      </c>
      <c r="N33" s="36" t="s">
        <v>52</v>
      </c>
      <c r="O33" s="65" t="s">
        <v>53</v>
      </c>
      <c r="P33" s="56"/>
      <c r="Q33" s="84" t="s">
        <v>46</v>
      </c>
      <c r="R33" s="86" t="s">
        <v>124</v>
      </c>
    </row>
    <row r="34" ht="19.5" customHeight="1">
      <c r="A34" s="67" t="s">
        <v>99</v>
      </c>
      <c r="B34" s="36" t="s">
        <v>49</v>
      </c>
      <c r="C34" s="63"/>
      <c r="D34" s="36" t="s">
        <v>51</v>
      </c>
      <c r="E34" s="36" t="s">
        <v>52</v>
      </c>
      <c r="F34" s="36" t="s">
        <v>53</v>
      </c>
      <c r="G34" s="65" t="s">
        <v>50</v>
      </c>
      <c r="H34" s="39"/>
      <c r="I34" s="67" t="s">
        <v>59</v>
      </c>
      <c r="J34" s="36" t="s">
        <v>49</v>
      </c>
      <c r="K34" s="63"/>
      <c r="L34" s="36" t="s">
        <v>51</v>
      </c>
      <c r="M34" s="36" t="s">
        <v>52</v>
      </c>
      <c r="N34" s="36" t="s">
        <v>53</v>
      </c>
      <c r="O34" s="65" t="s">
        <v>50</v>
      </c>
      <c r="P34" s="56"/>
      <c r="Q34" s="84" t="s">
        <v>107</v>
      </c>
      <c r="R34" s="86" t="s">
        <v>125</v>
      </c>
    </row>
    <row r="35" ht="19.5" customHeight="1">
      <c r="A35" s="67" t="s">
        <v>61</v>
      </c>
      <c r="B35" s="36" t="s">
        <v>50</v>
      </c>
      <c r="C35" s="36" t="s">
        <v>51</v>
      </c>
      <c r="D35" s="63"/>
      <c r="E35" s="36" t="s">
        <v>53</v>
      </c>
      <c r="F35" s="36" t="s">
        <v>49</v>
      </c>
      <c r="G35" s="65" t="s">
        <v>52</v>
      </c>
      <c r="H35" s="39"/>
      <c r="I35" s="67" t="s">
        <v>121</v>
      </c>
      <c r="J35" s="36" t="s">
        <v>50</v>
      </c>
      <c r="K35" s="36" t="s">
        <v>51</v>
      </c>
      <c r="L35" s="63"/>
      <c r="M35" s="36" t="s">
        <v>53</v>
      </c>
      <c r="N35" s="36" t="s">
        <v>49</v>
      </c>
      <c r="O35" s="65" t="s">
        <v>52</v>
      </c>
      <c r="P35" s="56"/>
      <c r="Q35" s="84" t="s">
        <v>55</v>
      </c>
      <c r="R35" s="86" t="s">
        <v>126</v>
      </c>
    </row>
    <row r="36" ht="19.5" customHeight="1">
      <c r="A36" s="67" t="s">
        <v>115</v>
      </c>
      <c r="B36" s="36" t="s">
        <v>51</v>
      </c>
      <c r="C36" s="36" t="s">
        <v>52</v>
      </c>
      <c r="D36" s="36" t="s">
        <v>53</v>
      </c>
      <c r="E36" s="63"/>
      <c r="F36" s="36" t="s">
        <v>50</v>
      </c>
      <c r="G36" s="65" t="s">
        <v>49</v>
      </c>
      <c r="H36" s="39"/>
      <c r="I36" s="67" t="s">
        <v>57</v>
      </c>
      <c r="J36" s="36" t="s">
        <v>51</v>
      </c>
      <c r="K36" s="36" t="s">
        <v>52</v>
      </c>
      <c r="L36" s="36" t="s">
        <v>53</v>
      </c>
      <c r="M36" s="63"/>
      <c r="N36" s="36" t="s">
        <v>50</v>
      </c>
      <c r="O36" s="65" t="s">
        <v>49</v>
      </c>
      <c r="P36" s="56"/>
      <c r="Q36" s="84" t="s">
        <v>43</v>
      </c>
      <c r="R36" s="86" t="s">
        <v>127</v>
      </c>
    </row>
    <row r="37" ht="19.5" customHeight="1">
      <c r="A37" s="67" t="s">
        <v>47</v>
      </c>
      <c r="B37" s="36" t="s">
        <v>52</v>
      </c>
      <c r="C37" s="36" t="s">
        <v>53</v>
      </c>
      <c r="D37" s="36" t="s">
        <v>49</v>
      </c>
      <c r="E37" s="36" t="s">
        <v>50</v>
      </c>
      <c r="F37" s="63"/>
      <c r="G37" s="65" t="s">
        <v>51</v>
      </c>
      <c r="H37" s="39"/>
      <c r="I37" s="67" t="s">
        <v>128</v>
      </c>
      <c r="J37" s="36" t="s">
        <v>52</v>
      </c>
      <c r="K37" s="36" t="s">
        <v>53</v>
      </c>
      <c r="L37" s="36" t="s">
        <v>49</v>
      </c>
      <c r="M37" s="36" t="s">
        <v>50</v>
      </c>
      <c r="N37" s="63"/>
      <c r="O37" s="65" t="s">
        <v>51</v>
      </c>
      <c r="P37" s="56"/>
      <c r="Q37" s="84" t="s">
        <v>129</v>
      </c>
      <c r="R37" s="86" t="s">
        <v>130</v>
      </c>
    </row>
    <row r="38" ht="19.5" customHeight="1">
      <c r="A38" s="87" t="s">
        <v>131</v>
      </c>
      <c r="B38" s="59" t="s">
        <v>53</v>
      </c>
      <c r="C38" s="59" t="s">
        <v>50</v>
      </c>
      <c r="D38" s="59" t="s">
        <v>52</v>
      </c>
      <c r="E38" s="59" t="s">
        <v>49</v>
      </c>
      <c r="F38" s="59" t="s">
        <v>51</v>
      </c>
      <c r="G38" s="88"/>
      <c r="H38" s="39"/>
      <c r="I38" s="87" t="s">
        <v>129</v>
      </c>
      <c r="J38" s="59" t="s">
        <v>53</v>
      </c>
      <c r="K38" s="59" t="s">
        <v>50</v>
      </c>
      <c r="L38" s="59" t="s">
        <v>52</v>
      </c>
      <c r="M38" s="59" t="s">
        <v>49</v>
      </c>
      <c r="N38" s="59" t="s">
        <v>51</v>
      </c>
      <c r="O38" s="88"/>
      <c r="P38" s="56"/>
      <c r="Q38" s="84" t="s">
        <v>77</v>
      </c>
      <c r="R38" s="86" t="s">
        <v>132</v>
      </c>
    </row>
    <row r="39" ht="19.5" customHeight="1">
      <c r="A39" s="36"/>
      <c r="B39" s="36"/>
      <c r="C39" s="36"/>
      <c r="D39" s="36"/>
      <c r="E39" s="36"/>
      <c r="F39" s="36"/>
      <c r="G39" s="39"/>
      <c r="H39" s="39"/>
      <c r="I39" s="36"/>
      <c r="J39" s="121"/>
      <c r="K39" s="121"/>
      <c r="L39" s="121"/>
      <c r="M39" s="121"/>
      <c r="N39" s="121"/>
      <c r="O39" s="39"/>
      <c r="P39" s="56"/>
      <c r="Q39" s="31" t="s">
        <v>40</v>
      </c>
      <c r="R39" s="33" t="s">
        <v>133</v>
      </c>
    </row>
    <row r="40" ht="19.5" customHeight="1">
      <c r="A40" s="36"/>
      <c r="B40" s="36"/>
      <c r="C40" s="36"/>
      <c r="D40" s="36"/>
      <c r="E40" s="36"/>
      <c r="F40" s="36"/>
      <c r="G40" s="39"/>
      <c r="H40" s="39"/>
      <c r="I40" s="36"/>
      <c r="J40" s="121"/>
      <c r="K40" s="121"/>
      <c r="L40" s="121"/>
      <c r="M40" s="121"/>
      <c r="N40" s="121"/>
      <c r="O40" s="39"/>
      <c r="P40" s="56"/>
      <c r="Q40" s="31" t="s">
        <v>102</v>
      </c>
      <c r="R40" s="33" t="s">
        <v>134</v>
      </c>
    </row>
    <row r="41" ht="19.5" customHeight="1">
      <c r="A41" s="36"/>
      <c r="B41" s="36"/>
      <c r="C41" s="36"/>
      <c r="D41" s="36"/>
      <c r="E41" s="36"/>
      <c r="F41" s="36"/>
      <c r="G41" s="39"/>
      <c r="H41" s="39"/>
      <c r="I41" s="36"/>
      <c r="J41" s="121"/>
      <c r="K41" s="121"/>
      <c r="L41" s="121"/>
      <c r="M41" s="121"/>
      <c r="N41" s="121"/>
      <c r="O41" s="39"/>
      <c r="P41" s="56"/>
      <c r="Q41" s="31" t="s">
        <v>113</v>
      </c>
      <c r="R41" s="33" t="s">
        <v>135</v>
      </c>
    </row>
    <row r="42" ht="19.5" customHeight="1">
      <c r="A42" s="36"/>
      <c r="B42" s="36"/>
      <c r="C42" s="36"/>
      <c r="D42" s="36"/>
      <c r="E42" s="36"/>
      <c r="F42" s="36"/>
      <c r="G42" s="39"/>
      <c r="H42" s="39"/>
      <c r="I42" s="36"/>
      <c r="J42" s="121"/>
      <c r="K42" s="121"/>
      <c r="L42" s="121"/>
      <c r="M42" s="121"/>
      <c r="N42" s="121"/>
      <c r="O42" s="39"/>
      <c r="P42" s="56"/>
      <c r="Q42" s="31" t="s">
        <v>54</v>
      </c>
      <c r="R42" s="33" t="s">
        <v>136</v>
      </c>
    </row>
    <row r="43" ht="19.5" customHeight="1">
      <c r="A43" s="36"/>
      <c r="B43" s="36"/>
      <c r="C43" s="36"/>
      <c r="D43" s="36"/>
      <c r="E43" s="36"/>
      <c r="F43" s="36"/>
      <c r="G43" s="39"/>
      <c r="H43" s="39"/>
      <c r="I43" s="36"/>
      <c r="J43" s="121"/>
      <c r="K43" s="121"/>
      <c r="L43" s="121"/>
      <c r="M43" s="121"/>
      <c r="N43" s="121"/>
      <c r="O43" s="39"/>
      <c r="P43" s="56"/>
      <c r="Q43" s="31" t="s">
        <v>92</v>
      </c>
      <c r="R43" s="33" t="s">
        <v>137</v>
      </c>
    </row>
    <row r="44" ht="19.5" customHeight="1">
      <c r="A44" s="36"/>
      <c r="B44" s="36"/>
      <c r="C44" s="36"/>
      <c r="D44" s="36"/>
      <c r="E44" s="36"/>
      <c r="F44" s="36"/>
      <c r="G44" s="39"/>
      <c r="H44" s="39"/>
      <c r="I44" s="36"/>
      <c r="J44" s="121"/>
      <c r="K44" s="121"/>
      <c r="L44" s="121"/>
      <c r="M44" s="121"/>
      <c r="N44" s="121"/>
      <c r="O44" s="39"/>
      <c r="P44" s="56"/>
      <c r="Q44" s="31" t="s">
        <v>128</v>
      </c>
      <c r="R44" s="33" t="s">
        <v>138</v>
      </c>
    </row>
    <row r="45" ht="19.5" customHeight="1">
      <c r="A45" s="36"/>
      <c r="B45" s="36"/>
      <c r="C45" s="36"/>
      <c r="D45" s="36"/>
      <c r="E45" s="36"/>
      <c r="F45" s="36"/>
      <c r="G45" s="39"/>
      <c r="H45" s="39"/>
      <c r="I45" s="36"/>
      <c r="J45" s="121"/>
      <c r="K45" s="121"/>
      <c r="L45" s="121"/>
      <c r="M45" s="121"/>
      <c r="N45" s="121"/>
      <c r="O45" s="39"/>
      <c r="P45" s="56"/>
      <c r="Q45" s="84" t="s">
        <v>76</v>
      </c>
      <c r="R45" s="86" t="s">
        <v>139</v>
      </c>
    </row>
    <row r="46" ht="19.5" customHeight="1">
      <c r="A46" s="36"/>
      <c r="B46" s="36"/>
      <c r="C46" s="36"/>
      <c r="D46" s="36"/>
      <c r="E46" s="36"/>
      <c r="F46" s="36"/>
      <c r="G46" s="39"/>
      <c r="H46" s="39"/>
      <c r="I46" s="36"/>
      <c r="J46" s="121"/>
      <c r="K46" s="121"/>
      <c r="L46" s="121"/>
      <c r="M46" s="121"/>
      <c r="N46" s="121"/>
      <c r="O46" s="39"/>
      <c r="P46" s="56"/>
      <c r="Q46" s="84" t="s">
        <v>89</v>
      </c>
      <c r="R46" s="86" t="s">
        <v>140</v>
      </c>
    </row>
    <row r="47" ht="19.5" customHeight="1">
      <c r="A47" s="36"/>
      <c r="B47" s="36"/>
      <c r="C47" s="36"/>
      <c r="D47" s="36"/>
      <c r="E47" s="36"/>
      <c r="F47" s="36"/>
      <c r="G47" s="39"/>
      <c r="H47" s="39"/>
      <c r="I47" s="36"/>
      <c r="J47" s="121"/>
      <c r="K47" s="121"/>
      <c r="L47" s="121"/>
      <c r="M47" s="121"/>
      <c r="N47" s="121"/>
      <c r="O47" s="39"/>
      <c r="P47" s="56"/>
      <c r="Q47" s="84" t="s">
        <v>131</v>
      </c>
      <c r="R47" s="86" t="s">
        <v>141</v>
      </c>
    </row>
    <row r="48" ht="19.5" customHeight="1">
      <c r="A48" s="36"/>
      <c r="B48" s="36"/>
      <c r="C48" s="36"/>
      <c r="D48" s="36"/>
      <c r="E48" s="36"/>
      <c r="F48" s="36"/>
      <c r="G48" s="39"/>
      <c r="H48" s="39"/>
      <c r="I48" s="36"/>
      <c r="J48" s="121"/>
      <c r="K48" s="121"/>
      <c r="L48" s="121"/>
      <c r="M48" s="121"/>
      <c r="N48" s="121"/>
      <c r="O48" s="39"/>
      <c r="P48" s="56"/>
      <c r="Q48" s="84" t="s">
        <v>86</v>
      </c>
      <c r="R48" s="86" t="s">
        <v>142</v>
      </c>
    </row>
    <row r="49" ht="19.5" customHeight="1">
      <c r="A49" s="36"/>
      <c r="B49" s="36"/>
      <c r="C49" s="36"/>
      <c r="D49" s="36"/>
      <c r="E49" s="36"/>
      <c r="F49" s="36"/>
      <c r="G49" s="39"/>
      <c r="H49" s="39"/>
      <c r="I49" s="36"/>
      <c r="J49" s="121"/>
      <c r="K49" s="121"/>
      <c r="L49" s="121"/>
      <c r="M49" s="121"/>
      <c r="N49" s="121"/>
      <c r="O49" s="39"/>
      <c r="P49" s="56"/>
      <c r="Q49" s="84" t="s">
        <v>112</v>
      </c>
      <c r="R49" s="86" t="s">
        <v>143</v>
      </c>
    </row>
    <row r="50" ht="19.5" customHeight="1">
      <c r="A50" s="36"/>
      <c r="B50" s="36"/>
      <c r="C50" s="36"/>
      <c r="D50" s="36"/>
      <c r="E50" s="36"/>
      <c r="F50" s="36"/>
      <c r="G50" s="39"/>
      <c r="H50" s="39"/>
      <c r="I50" s="36"/>
      <c r="J50" s="121"/>
      <c r="K50" s="121"/>
      <c r="L50" s="121"/>
      <c r="M50" s="121"/>
      <c r="N50" s="121"/>
      <c r="O50" s="39"/>
      <c r="P50" s="56"/>
      <c r="Q50" s="84" t="s">
        <v>81</v>
      </c>
      <c r="R50" s="86" t="s">
        <v>144</v>
      </c>
    </row>
    <row r="51" ht="19.5" customHeight="1">
      <c r="A51" s="36"/>
      <c r="B51" s="36"/>
      <c r="C51" s="36"/>
      <c r="D51" s="36"/>
      <c r="E51" s="36"/>
      <c r="F51" s="36"/>
      <c r="G51" s="39"/>
      <c r="H51" s="39"/>
      <c r="I51" s="36"/>
      <c r="J51" s="121"/>
      <c r="K51" s="121"/>
      <c r="L51" s="121"/>
      <c r="M51" s="121"/>
      <c r="N51" s="121"/>
      <c r="O51" s="123"/>
      <c r="P51" s="124"/>
      <c r="Q51" s="126"/>
      <c r="R51" s="127"/>
    </row>
    <row r="52" ht="19.5" customHeight="1">
      <c r="A52" s="36"/>
      <c r="B52" s="36"/>
      <c r="C52" s="36"/>
      <c r="D52" s="36"/>
      <c r="E52" s="36"/>
      <c r="F52" s="36"/>
      <c r="G52" s="39"/>
      <c r="H52" s="39"/>
      <c r="I52" s="36"/>
      <c r="J52" s="121"/>
      <c r="K52" s="121"/>
      <c r="L52" s="121"/>
      <c r="M52" s="121"/>
      <c r="N52" s="121"/>
      <c r="O52" s="123"/>
      <c r="P52" s="128"/>
      <c r="Q52" s="129"/>
      <c r="R52" s="130"/>
    </row>
    <row r="53" ht="19.5" customHeight="1">
      <c r="A53" s="36"/>
      <c r="B53" s="36"/>
      <c r="C53" s="36"/>
      <c r="D53" s="36"/>
      <c r="E53" s="36"/>
      <c r="F53" s="36"/>
      <c r="G53" s="39"/>
      <c r="H53" s="39"/>
      <c r="I53" s="36"/>
      <c r="J53" s="121"/>
      <c r="K53" s="121"/>
      <c r="L53" s="121"/>
      <c r="M53" s="121"/>
      <c r="N53" s="121"/>
      <c r="O53" s="39"/>
      <c r="P53" s="128"/>
      <c r="Q53" s="129"/>
      <c r="R53" s="130"/>
    </row>
    <row r="54" ht="19.5" customHeight="1">
      <c r="A54" s="36"/>
      <c r="B54" s="36"/>
      <c r="C54" s="36"/>
      <c r="D54" s="36"/>
      <c r="E54" s="36"/>
      <c r="F54" s="36"/>
      <c r="G54" s="39"/>
      <c r="H54" s="39"/>
      <c r="I54" s="36"/>
      <c r="J54" s="121"/>
      <c r="K54" s="121"/>
      <c r="L54" s="121"/>
      <c r="M54" s="121"/>
      <c r="N54" s="121"/>
      <c r="O54" s="39"/>
      <c r="P54" s="128"/>
      <c r="Q54" s="131"/>
      <c r="R54" s="132"/>
    </row>
  </sheetData>
  <mergeCells count="16">
    <mergeCell ref="A1:O1"/>
    <mergeCell ref="Q1:R1"/>
    <mergeCell ref="A2:C2"/>
    <mergeCell ref="D2:F2"/>
    <mergeCell ref="G2:I2"/>
    <mergeCell ref="J2:L2"/>
    <mergeCell ref="M2:O2"/>
    <mergeCell ref="I31:O31"/>
    <mergeCell ref="Q51:R51"/>
    <mergeCell ref="A4:G4"/>
    <mergeCell ref="I4:O4"/>
    <mergeCell ref="A13:G13"/>
    <mergeCell ref="I13:O13"/>
    <mergeCell ref="A22:G22"/>
    <mergeCell ref="I22:O22"/>
    <mergeCell ref="A31:G3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3" width="11.38"/>
    <col customWidth="1" min="4" max="4" width="6.38"/>
    <col customWidth="1" min="5" max="6" width="11.38"/>
    <col customWidth="1" min="7" max="7" width="6.38"/>
    <col customWidth="1" min="8" max="9" width="11.38"/>
    <col customWidth="1" min="10" max="10" width="6.38"/>
    <col customWidth="1" min="11" max="12" width="11.38"/>
    <col customWidth="1" min="13" max="13" width="6.38"/>
    <col customWidth="1" min="14" max="15" width="11.38"/>
    <col customWidth="1" min="16" max="16" width="14.5"/>
    <col customWidth="1" min="17" max="17" width="14.88"/>
  </cols>
  <sheetData>
    <row r="1" ht="48.75" customHeight="1">
      <c r="A1" s="133" t="s">
        <v>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34" t="s">
        <v>10</v>
      </c>
    </row>
    <row r="2">
      <c r="A2" s="135" t="s">
        <v>145</v>
      </c>
      <c r="C2" s="136"/>
      <c r="D2" s="137" t="s">
        <v>146</v>
      </c>
      <c r="F2" s="136"/>
      <c r="G2" s="137" t="s">
        <v>147</v>
      </c>
      <c r="I2" s="136"/>
      <c r="J2" s="137" t="s">
        <v>148</v>
      </c>
      <c r="L2" s="136"/>
      <c r="M2" s="137" t="s">
        <v>149</v>
      </c>
      <c r="P2" s="24" t="s">
        <v>26</v>
      </c>
      <c r="Q2" s="17" t="s">
        <v>28</v>
      </c>
    </row>
    <row r="3" ht="19.5" customHeight="1">
      <c r="A3" s="138" t="s">
        <v>150</v>
      </c>
      <c r="B3" s="139" t="s">
        <v>151</v>
      </c>
      <c r="C3" s="139" t="s">
        <v>152</v>
      </c>
      <c r="D3" s="138" t="s">
        <v>150</v>
      </c>
      <c r="E3" s="139" t="s">
        <v>151</v>
      </c>
      <c r="F3" s="140" t="s">
        <v>152</v>
      </c>
      <c r="G3" s="139" t="s">
        <v>150</v>
      </c>
      <c r="H3" s="141" t="s">
        <v>151</v>
      </c>
      <c r="I3" s="139" t="s">
        <v>152</v>
      </c>
      <c r="J3" s="138" t="s">
        <v>150</v>
      </c>
      <c r="K3" s="139" t="s">
        <v>151</v>
      </c>
      <c r="L3" s="140" t="s">
        <v>152</v>
      </c>
      <c r="M3" s="139" t="s">
        <v>150</v>
      </c>
      <c r="N3" s="139" t="s">
        <v>151</v>
      </c>
      <c r="O3" s="140" t="s">
        <v>152</v>
      </c>
      <c r="P3" s="142" t="s">
        <v>107</v>
      </c>
      <c r="Q3" s="143" t="s">
        <v>153</v>
      </c>
    </row>
    <row r="4" ht="19.5" customHeight="1">
      <c r="A4" s="144">
        <v>1.0</v>
      </c>
      <c r="B4" s="145" t="s">
        <v>107</v>
      </c>
      <c r="C4" s="145" t="s">
        <v>42</v>
      </c>
      <c r="D4" s="146">
        <v>1.0</v>
      </c>
      <c r="E4" s="145" t="s">
        <v>107</v>
      </c>
      <c r="F4" s="147" t="s">
        <v>154</v>
      </c>
      <c r="G4" s="145">
        <v>1.0</v>
      </c>
      <c r="H4" s="121" t="s">
        <v>107</v>
      </c>
      <c r="I4" s="121" t="s">
        <v>155</v>
      </c>
      <c r="J4" s="146">
        <v>1.0</v>
      </c>
      <c r="K4" s="145" t="s">
        <v>107</v>
      </c>
      <c r="L4" s="148" t="s">
        <v>156</v>
      </c>
      <c r="M4" s="145">
        <v>1.0</v>
      </c>
      <c r="N4" s="145" t="s">
        <v>107</v>
      </c>
      <c r="O4" s="148" t="s">
        <v>157</v>
      </c>
      <c r="P4" s="31" t="s">
        <v>42</v>
      </c>
      <c r="Q4" s="143" t="s">
        <v>56</v>
      </c>
    </row>
    <row r="5" ht="19.5" customHeight="1">
      <c r="A5" s="146">
        <v>1.0</v>
      </c>
      <c r="B5" s="149" t="s">
        <v>154</v>
      </c>
      <c r="C5" s="145" t="s">
        <v>156</v>
      </c>
      <c r="D5" s="146">
        <v>1.0</v>
      </c>
      <c r="E5" s="145" t="s">
        <v>42</v>
      </c>
      <c r="F5" s="148" t="s">
        <v>157</v>
      </c>
      <c r="G5" s="145">
        <v>1.0</v>
      </c>
      <c r="H5" s="121" t="s">
        <v>42</v>
      </c>
      <c r="I5" s="150" t="s">
        <v>154</v>
      </c>
      <c r="J5" s="144">
        <v>1.0</v>
      </c>
      <c r="K5" s="145" t="s">
        <v>42</v>
      </c>
      <c r="L5" s="148" t="s">
        <v>155</v>
      </c>
      <c r="M5" s="145">
        <v>1.0</v>
      </c>
      <c r="N5" s="145" t="s">
        <v>42</v>
      </c>
      <c r="O5" s="148" t="s">
        <v>156</v>
      </c>
      <c r="P5" s="142" t="s">
        <v>154</v>
      </c>
      <c r="Q5" s="143" t="s">
        <v>158</v>
      </c>
    </row>
    <row r="6" ht="19.5" customHeight="1">
      <c r="A6" s="146">
        <v>1.0</v>
      </c>
      <c r="B6" s="145" t="s">
        <v>155</v>
      </c>
      <c r="C6" s="121" t="s">
        <v>157</v>
      </c>
      <c r="D6" s="146">
        <v>1.0</v>
      </c>
      <c r="E6" s="145" t="s">
        <v>155</v>
      </c>
      <c r="F6" s="148" t="s">
        <v>156</v>
      </c>
      <c r="G6" s="145">
        <v>1.0</v>
      </c>
      <c r="H6" s="121" t="s">
        <v>156</v>
      </c>
      <c r="I6" s="145" t="s">
        <v>157</v>
      </c>
      <c r="J6" s="146">
        <v>1.0</v>
      </c>
      <c r="K6" s="149" t="s">
        <v>154</v>
      </c>
      <c r="L6" s="148" t="s">
        <v>157</v>
      </c>
      <c r="M6" s="145">
        <v>1.0</v>
      </c>
      <c r="N6" s="150" t="s">
        <v>154</v>
      </c>
      <c r="O6" s="148" t="s">
        <v>155</v>
      </c>
      <c r="P6" s="31" t="s">
        <v>155</v>
      </c>
      <c r="Q6" s="143" t="s">
        <v>159</v>
      </c>
    </row>
    <row r="7" ht="19.5" customHeight="1">
      <c r="A7" s="151">
        <v>2.0</v>
      </c>
      <c r="B7" s="152" t="s">
        <v>160</v>
      </c>
      <c r="C7" s="152" t="s">
        <v>161</v>
      </c>
      <c r="D7" s="153">
        <v>2.0</v>
      </c>
      <c r="E7" s="152" t="s">
        <v>160</v>
      </c>
      <c r="F7" s="154" t="s">
        <v>162</v>
      </c>
      <c r="G7" s="152">
        <v>2.0</v>
      </c>
      <c r="H7" s="155" t="s">
        <v>160</v>
      </c>
      <c r="I7" s="152" t="s">
        <v>68</v>
      </c>
      <c r="J7" s="151">
        <v>2.0</v>
      </c>
      <c r="K7" s="152" t="s">
        <v>160</v>
      </c>
      <c r="L7" s="156" t="s">
        <v>163</v>
      </c>
      <c r="M7" s="152">
        <v>2.0</v>
      </c>
      <c r="N7" s="152" t="s">
        <v>160</v>
      </c>
      <c r="O7" s="154" t="s">
        <v>75</v>
      </c>
      <c r="P7" s="142" t="s">
        <v>156</v>
      </c>
      <c r="Q7" s="143" t="s">
        <v>164</v>
      </c>
    </row>
    <row r="8" ht="19.5" customHeight="1">
      <c r="A8" s="151">
        <v>2.0</v>
      </c>
      <c r="B8" s="152" t="s">
        <v>162</v>
      </c>
      <c r="C8" s="152" t="s">
        <v>163</v>
      </c>
      <c r="D8" s="151">
        <v>2.0</v>
      </c>
      <c r="E8" s="155" t="s">
        <v>161</v>
      </c>
      <c r="F8" s="154" t="s">
        <v>75</v>
      </c>
      <c r="G8" s="152">
        <v>2.0</v>
      </c>
      <c r="H8" s="155" t="s">
        <v>161</v>
      </c>
      <c r="I8" s="152" t="s">
        <v>162</v>
      </c>
      <c r="J8" s="151">
        <v>2.0</v>
      </c>
      <c r="K8" s="152" t="s">
        <v>161</v>
      </c>
      <c r="L8" s="154" t="s">
        <v>68</v>
      </c>
      <c r="M8" s="155">
        <v>2.0</v>
      </c>
      <c r="N8" s="152" t="s">
        <v>161</v>
      </c>
      <c r="O8" s="154" t="s">
        <v>163</v>
      </c>
      <c r="P8" s="142" t="s">
        <v>157</v>
      </c>
      <c r="Q8" s="143" t="s">
        <v>165</v>
      </c>
    </row>
    <row r="9" ht="19.5" customHeight="1">
      <c r="A9" s="151">
        <v>2.0</v>
      </c>
      <c r="B9" s="152" t="s">
        <v>68</v>
      </c>
      <c r="C9" s="152" t="s">
        <v>75</v>
      </c>
      <c r="D9" s="151">
        <v>2.0</v>
      </c>
      <c r="E9" s="152" t="s">
        <v>68</v>
      </c>
      <c r="F9" s="156" t="s">
        <v>163</v>
      </c>
      <c r="G9" s="152">
        <v>2.0</v>
      </c>
      <c r="H9" s="155" t="s">
        <v>163</v>
      </c>
      <c r="I9" s="152" t="s">
        <v>75</v>
      </c>
      <c r="J9" s="151">
        <v>2.0</v>
      </c>
      <c r="K9" s="152" t="s">
        <v>162</v>
      </c>
      <c r="L9" s="154" t="s">
        <v>75</v>
      </c>
      <c r="M9" s="152">
        <v>2.0</v>
      </c>
      <c r="N9" s="155" t="s">
        <v>162</v>
      </c>
      <c r="O9" s="154" t="s">
        <v>68</v>
      </c>
      <c r="P9" s="157" t="s">
        <v>160</v>
      </c>
      <c r="Q9" s="158" t="s">
        <v>166</v>
      </c>
    </row>
    <row r="10" ht="19.5" customHeight="1">
      <c r="A10" s="146">
        <v>3.0</v>
      </c>
      <c r="B10" s="145" t="s">
        <v>167</v>
      </c>
      <c r="C10" s="145" t="s">
        <v>168</v>
      </c>
      <c r="D10" s="146">
        <v>3.0</v>
      </c>
      <c r="E10" s="145" t="s">
        <v>167</v>
      </c>
      <c r="F10" s="148" t="s">
        <v>128</v>
      </c>
      <c r="G10" s="121">
        <v>3.0</v>
      </c>
      <c r="H10" s="121" t="s">
        <v>167</v>
      </c>
      <c r="I10" s="145" t="s">
        <v>169</v>
      </c>
      <c r="J10" s="146">
        <v>3.0</v>
      </c>
      <c r="K10" s="145" t="s">
        <v>167</v>
      </c>
      <c r="L10" s="148" t="s">
        <v>47</v>
      </c>
      <c r="M10" s="145">
        <v>3.0</v>
      </c>
      <c r="N10" s="145" t="s">
        <v>167</v>
      </c>
      <c r="O10" s="159" t="s">
        <v>39</v>
      </c>
      <c r="P10" s="157" t="s">
        <v>161</v>
      </c>
      <c r="Q10" s="158" t="s">
        <v>170</v>
      </c>
    </row>
    <row r="11" ht="19.5" customHeight="1">
      <c r="A11" s="144">
        <v>3.0</v>
      </c>
      <c r="B11" s="121" t="s">
        <v>128</v>
      </c>
      <c r="C11" s="121" t="s">
        <v>47</v>
      </c>
      <c r="D11" s="144">
        <v>3.0</v>
      </c>
      <c r="E11" s="121" t="s">
        <v>168</v>
      </c>
      <c r="F11" s="159" t="s">
        <v>39</v>
      </c>
      <c r="G11" s="121">
        <v>3.0</v>
      </c>
      <c r="H11" s="121" t="s">
        <v>168</v>
      </c>
      <c r="I11" s="121" t="s">
        <v>128</v>
      </c>
      <c r="J11" s="144">
        <v>3.0</v>
      </c>
      <c r="K11" s="121" t="s">
        <v>168</v>
      </c>
      <c r="L11" s="159" t="s">
        <v>169</v>
      </c>
      <c r="M11" s="121">
        <v>3.0</v>
      </c>
      <c r="N11" s="121" t="s">
        <v>168</v>
      </c>
      <c r="O11" s="159" t="s">
        <v>47</v>
      </c>
      <c r="P11" s="157" t="s">
        <v>162</v>
      </c>
      <c r="Q11" s="158" t="s">
        <v>171</v>
      </c>
    </row>
    <row r="12" ht="19.5" customHeight="1">
      <c r="A12" s="146">
        <v>3.0</v>
      </c>
      <c r="B12" s="145" t="s">
        <v>169</v>
      </c>
      <c r="C12" s="145" t="s">
        <v>39</v>
      </c>
      <c r="D12" s="146">
        <v>3.0</v>
      </c>
      <c r="E12" s="145" t="s">
        <v>169</v>
      </c>
      <c r="F12" s="148" t="s">
        <v>47</v>
      </c>
      <c r="G12" s="145">
        <v>3.0</v>
      </c>
      <c r="H12" s="121" t="s">
        <v>47</v>
      </c>
      <c r="I12" s="145" t="s">
        <v>39</v>
      </c>
      <c r="J12" s="146">
        <v>3.0</v>
      </c>
      <c r="K12" s="145" t="s">
        <v>128</v>
      </c>
      <c r="L12" s="148" t="s">
        <v>39</v>
      </c>
      <c r="M12" s="145">
        <v>3.0</v>
      </c>
      <c r="N12" s="145" t="s">
        <v>128</v>
      </c>
      <c r="O12" s="148" t="s">
        <v>169</v>
      </c>
      <c r="P12" s="157" t="s">
        <v>68</v>
      </c>
      <c r="Q12" s="158" t="s">
        <v>69</v>
      </c>
    </row>
    <row r="13" ht="19.5" customHeight="1">
      <c r="A13" s="153">
        <v>4.0</v>
      </c>
      <c r="B13" s="152" t="s">
        <v>172</v>
      </c>
      <c r="C13" s="152" t="s">
        <v>83</v>
      </c>
      <c r="D13" s="151">
        <v>4.0</v>
      </c>
      <c r="E13" s="152" t="s">
        <v>172</v>
      </c>
      <c r="F13" s="154" t="s">
        <v>77</v>
      </c>
      <c r="G13" s="152">
        <v>4.0</v>
      </c>
      <c r="H13" s="155" t="s">
        <v>172</v>
      </c>
      <c r="I13" s="155" t="s">
        <v>173</v>
      </c>
      <c r="J13" s="151">
        <v>4.0</v>
      </c>
      <c r="K13" s="152" t="s">
        <v>172</v>
      </c>
      <c r="L13" s="154" t="s">
        <v>174</v>
      </c>
      <c r="M13" s="152">
        <v>4.0</v>
      </c>
      <c r="N13" s="152" t="s">
        <v>172</v>
      </c>
      <c r="O13" s="154" t="s">
        <v>175</v>
      </c>
      <c r="P13" s="157" t="s">
        <v>163</v>
      </c>
      <c r="Q13" s="158" t="s">
        <v>176</v>
      </c>
    </row>
    <row r="14" ht="19.5" customHeight="1">
      <c r="A14" s="151">
        <v>4.0</v>
      </c>
      <c r="B14" s="155" t="s">
        <v>77</v>
      </c>
      <c r="C14" s="152" t="s">
        <v>174</v>
      </c>
      <c r="D14" s="151">
        <v>4.0</v>
      </c>
      <c r="E14" s="152" t="s">
        <v>83</v>
      </c>
      <c r="F14" s="154" t="s">
        <v>175</v>
      </c>
      <c r="G14" s="152">
        <v>4.0</v>
      </c>
      <c r="H14" s="155" t="s">
        <v>83</v>
      </c>
      <c r="I14" s="152" t="s">
        <v>77</v>
      </c>
      <c r="J14" s="153">
        <v>4.0</v>
      </c>
      <c r="K14" s="152" t="s">
        <v>83</v>
      </c>
      <c r="L14" s="154" t="s">
        <v>173</v>
      </c>
      <c r="M14" s="152">
        <v>4.0</v>
      </c>
      <c r="N14" s="152" t="s">
        <v>83</v>
      </c>
      <c r="O14" s="154" t="s">
        <v>174</v>
      </c>
      <c r="P14" s="157" t="s">
        <v>75</v>
      </c>
      <c r="Q14" s="158" t="s">
        <v>123</v>
      </c>
    </row>
    <row r="15" ht="19.5" customHeight="1">
      <c r="A15" s="151">
        <v>4.0</v>
      </c>
      <c r="B15" s="152" t="s">
        <v>173</v>
      </c>
      <c r="C15" s="152" t="s">
        <v>175</v>
      </c>
      <c r="D15" s="151">
        <v>4.0</v>
      </c>
      <c r="E15" s="152" t="s">
        <v>173</v>
      </c>
      <c r="F15" s="154" t="s">
        <v>174</v>
      </c>
      <c r="G15" s="152">
        <v>4.0</v>
      </c>
      <c r="H15" s="155" t="s">
        <v>174</v>
      </c>
      <c r="I15" s="152" t="s">
        <v>175</v>
      </c>
      <c r="J15" s="151">
        <v>4.0</v>
      </c>
      <c r="K15" s="155" t="s">
        <v>77</v>
      </c>
      <c r="L15" s="154" t="s">
        <v>175</v>
      </c>
      <c r="M15" s="152">
        <v>4.0</v>
      </c>
      <c r="N15" s="152" t="s">
        <v>77</v>
      </c>
      <c r="O15" s="154" t="s">
        <v>173</v>
      </c>
      <c r="P15" s="142" t="s">
        <v>167</v>
      </c>
      <c r="Q15" s="143" t="s">
        <v>177</v>
      </c>
    </row>
    <row r="16" ht="19.5" customHeight="1">
      <c r="A16" s="146">
        <v>5.0</v>
      </c>
      <c r="B16" s="145" t="s">
        <v>178</v>
      </c>
      <c r="C16" s="145" t="s">
        <v>179</v>
      </c>
      <c r="D16" s="144">
        <v>5.0</v>
      </c>
      <c r="E16" s="145" t="s">
        <v>178</v>
      </c>
      <c r="F16" s="148" t="s">
        <v>180</v>
      </c>
      <c r="G16" s="145">
        <v>5.0</v>
      </c>
      <c r="H16" s="121" t="s">
        <v>178</v>
      </c>
      <c r="I16" s="145" t="s">
        <v>181</v>
      </c>
      <c r="J16" s="146">
        <v>5.0</v>
      </c>
      <c r="K16" s="145" t="s">
        <v>178</v>
      </c>
      <c r="L16" s="159" t="s">
        <v>57</v>
      </c>
      <c r="M16" s="145">
        <v>5.0</v>
      </c>
      <c r="N16" s="145" t="s">
        <v>178</v>
      </c>
      <c r="O16" s="148" t="s">
        <v>88</v>
      </c>
      <c r="P16" s="142" t="s">
        <v>168</v>
      </c>
      <c r="Q16" s="143" t="s">
        <v>182</v>
      </c>
    </row>
    <row r="17" ht="19.5" customHeight="1">
      <c r="A17" s="146">
        <v>5.0</v>
      </c>
      <c r="B17" s="145" t="s">
        <v>180</v>
      </c>
      <c r="C17" s="145" t="s">
        <v>57</v>
      </c>
      <c r="D17" s="146">
        <v>5.0</v>
      </c>
      <c r="E17" s="121" t="s">
        <v>179</v>
      </c>
      <c r="F17" s="148" t="s">
        <v>88</v>
      </c>
      <c r="G17" s="145">
        <v>5.0</v>
      </c>
      <c r="H17" s="121" t="s">
        <v>179</v>
      </c>
      <c r="I17" s="145" t="s">
        <v>180</v>
      </c>
      <c r="J17" s="146">
        <v>5.0</v>
      </c>
      <c r="K17" s="145" t="s">
        <v>179</v>
      </c>
      <c r="L17" s="148" t="s">
        <v>181</v>
      </c>
      <c r="M17" s="121">
        <v>5.0</v>
      </c>
      <c r="N17" s="145" t="s">
        <v>179</v>
      </c>
      <c r="O17" s="148" t="s">
        <v>57</v>
      </c>
      <c r="P17" s="142" t="s">
        <v>128</v>
      </c>
      <c r="Q17" s="143" t="s">
        <v>138</v>
      </c>
    </row>
    <row r="18" ht="19.5" customHeight="1">
      <c r="A18" s="146">
        <v>5.0</v>
      </c>
      <c r="B18" s="145" t="s">
        <v>181</v>
      </c>
      <c r="C18" s="145" t="s">
        <v>88</v>
      </c>
      <c r="D18" s="146">
        <v>5.0</v>
      </c>
      <c r="E18" s="145" t="s">
        <v>181</v>
      </c>
      <c r="F18" s="159" t="s">
        <v>57</v>
      </c>
      <c r="G18" s="145">
        <v>5.0</v>
      </c>
      <c r="H18" s="121" t="s">
        <v>57</v>
      </c>
      <c r="I18" s="145" t="s">
        <v>88</v>
      </c>
      <c r="J18" s="146">
        <v>5.0</v>
      </c>
      <c r="K18" s="145" t="s">
        <v>180</v>
      </c>
      <c r="L18" s="148" t="s">
        <v>88</v>
      </c>
      <c r="M18" s="145">
        <v>5.0</v>
      </c>
      <c r="N18" s="121" t="s">
        <v>180</v>
      </c>
      <c r="O18" s="148" t="s">
        <v>181</v>
      </c>
      <c r="P18" s="142" t="s">
        <v>169</v>
      </c>
      <c r="Q18" s="143" t="s">
        <v>183</v>
      </c>
    </row>
    <row r="19" ht="19.5" customHeight="1">
      <c r="A19" s="151">
        <v>6.0</v>
      </c>
      <c r="B19" s="152" t="s">
        <v>30</v>
      </c>
      <c r="C19" s="152" t="s">
        <v>184</v>
      </c>
      <c r="D19" s="151">
        <v>6.0</v>
      </c>
      <c r="E19" s="152" t="s">
        <v>30</v>
      </c>
      <c r="F19" s="154" t="s">
        <v>185</v>
      </c>
      <c r="G19" s="155">
        <v>6.0</v>
      </c>
      <c r="H19" s="155" t="s">
        <v>30</v>
      </c>
      <c r="I19" s="152" t="s">
        <v>186</v>
      </c>
      <c r="J19" s="151">
        <v>6.0</v>
      </c>
      <c r="K19" s="152" t="s">
        <v>30</v>
      </c>
      <c r="L19" s="154" t="s">
        <v>187</v>
      </c>
      <c r="M19" s="152">
        <v>6.0</v>
      </c>
      <c r="N19" s="152" t="s">
        <v>30</v>
      </c>
      <c r="O19" s="156" t="s">
        <v>188</v>
      </c>
      <c r="P19" s="142" t="s">
        <v>47</v>
      </c>
      <c r="Q19" s="143" t="s">
        <v>189</v>
      </c>
    </row>
    <row r="20" ht="19.5" customHeight="1">
      <c r="A20" s="153">
        <v>6.0</v>
      </c>
      <c r="B20" s="155" t="s">
        <v>185</v>
      </c>
      <c r="C20" s="155" t="s">
        <v>187</v>
      </c>
      <c r="D20" s="153">
        <v>6.0</v>
      </c>
      <c r="E20" s="155" t="s">
        <v>184</v>
      </c>
      <c r="F20" s="156" t="s">
        <v>188</v>
      </c>
      <c r="G20" s="155">
        <v>6.0</v>
      </c>
      <c r="H20" s="155" t="s">
        <v>184</v>
      </c>
      <c r="I20" s="155" t="s">
        <v>185</v>
      </c>
      <c r="J20" s="153">
        <v>6.0</v>
      </c>
      <c r="K20" s="155" t="s">
        <v>184</v>
      </c>
      <c r="L20" s="156" t="s">
        <v>186</v>
      </c>
      <c r="M20" s="155">
        <v>6.0</v>
      </c>
      <c r="N20" s="155" t="s">
        <v>184</v>
      </c>
      <c r="O20" s="156" t="s">
        <v>187</v>
      </c>
      <c r="P20" s="142" t="s">
        <v>39</v>
      </c>
      <c r="Q20" s="143" t="s">
        <v>190</v>
      </c>
    </row>
    <row r="21" ht="19.5" customHeight="1">
      <c r="A21" s="151">
        <v>6.0</v>
      </c>
      <c r="B21" s="152" t="s">
        <v>186</v>
      </c>
      <c r="C21" s="152" t="s">
        <v>188</v>
      </c>
      <c r="D21" s="151">
        <v>6.0</v>
      </c>
      <c r="E21" s="152" t="s">
        <v>186</v>
      </c>
      <c r="F21" s="154" t="s">
        <v>187</v>
      </c>
      <c r="G21" s="152">
        <v>6.0</v>
      </c>
      <c r="H21" s="155" t="s">
        <v>187</v>
      </c>
      <c r="I21" s="152" t="s">
        <v>188</v>
      </c>
      <c r="J21" s="151">
        <v>6.0</v>
      </c>
      <c r="K21" s="152" t="s">
        <v>185</v>
      </c>
      <c r="L21" s="154" t="s">
        <v>188</v>
      </c>
      <c r="M21" s="152">
        <v>6.0</v>
      </c>
      <c r="N21" s="152" t="s">
        <v>185</v>
      </c>
      <c r="O21" s="154" t="s">
        <v>186</v>
      </c>
      <c r="P21" s="157" t="s">
        <v>172</v>
      </c>
      <c r="Q21" s="158" t="s">
        <v>191</v>
      </c>
    </row>
    <row r="22" ht="19.5" customHeight="1">
      <c r="A22" s="144">
        <v>7.0</v>
      </c>
      <c r="B22" s="145" t="s">
        <v>192</v>
      </c>
      <c r="C22" s="145" t="s">
        <v>193</v>
      </c>
      <c r="D22" s="146">
        <v>7.0</v>
      </c>
      <c r="E22" s="145" t="s">
        <v>192</v>
      </c>
      <c r="F22" s="148" t="s">
        <v>81</v>
      </c>
      <c r="G22" s="145">
        <v>7.0</v>
      </c>
      <c r="H22" s="121" t="s">
        <v>192</v>
      </c>
      <c r="I22" s="121" t="s">
        <v>194</v>
      </c>
      <c r="J22" s="146">
        <v>7.0</v>
      </c>
      <c r="K22" s="145" t="s">
        <v>192</v>
      </c>
      <c r="L22" s="148" t="s">
        <v>195</v>
      </c>
      <c r="M22" s="145">
        <v>7.0</v>
      </c>
      <c r="N22" s="145" t="s">
        <v>192</v>
      </c>
      <c r="O22" s="148" t="s">
        <v>31</v>
      </c>
      <c r="P22" s="157" t="s">
        <v>83</v>
      </c>
      <c r="Q22" s="158" t="s">
        <v>93</v>
      </c>
    </row>
    <row r="23" ht="19.5" customHeight="1">
      <c r="A23" s="146">
        <v>7.0</v>
      </c>
      <c r="B23" s="121" t="s">
        <v>81</v>
      </c>
      <c r="C23" s="145" t="s">
        <v>195</v>
      </c>
      <c r="D23" s="146">
        <v>7.0</v>
      </c>
      <c r="E23" s="145" t="s">
        <v>193</v>
      </c>
      <c r="F23" s="148" t="s">
        <v>31</v>
      </c>
      <c r="G23" s="145">
        <v>7.0</v>
      </c>
      <c r="H23" s="121" t="s">
        <v>193</v>
      </c>
      <c r="I23" s="145" t="s">
        <v>81</v>
      </c>
      <c r="J23" s="144">
        <v>7.0</v>
      </c>
      <c r="K23" s="145" t="s">
        <v>193</v>
      </c>
      <c r="L23" s="148" t="s">
        <v>194</v>
      </c>
      <c r="M23" s="145">
        <v>7.0</v>
      </c>
      <c r="N23" s="145" t="s">
        <v>193</v>
      </c>
      <c r="O23" s="148" t="s">
        <v>195</v>
      </c>
      <c r="P23" s="157" t="s">
        <v>77</v>
      </c>
      <c r="Q23" s="158" t="s">
        <v>132</v>
      </c>
    </row>
    <row r="24" ht="19.5" customHeight="1">
      <c r="A24" s="146">
        <v>7.0</v>
      </c>
      <c r="B24" s="145" t="s">
        <v>194</v>
      </c>
      <c r="C24" s="121" t="s">
        <v>31</v>
      </c>
      <c r="D24" s="146">
        <v>7.0</v>
      </c>
      <c r="E24" s="145" t="s">
        <v>194</v>
      </c>
      <c r="F24" s="148" t="s">
        <v>195</v>
      </c>
      <c r="G24" s="145">
        <v>7.0</v>
      </c>
      <c r="H24" s="121" t="s">
        <v>195</v>
      </c>
      <c r="I24" s="145" t="s">
        <v>31</v>
      </c>
      <c r="J24" s="146">
        <v>7.0</v>
      </c>
      <c r="K24" s="121" t="s">
        <v>81</v>
      </c>
      <c r="L24" s="148" t="s">
        <v>31</v>
      </c>
      <c r="M24" s="145">
        <v>7.0</v>
      </c>
      <c r="N24" s="145" t="s">
        <v>81</v>
      </c>
      <c r="O24" s="148" t="s">
        <v>194</v>
      </c>
      <c r="P24" s="157" t="s">
        <v>173</v>
      </c>
      <c r="Q24" s="158" t="s">
        <v>196</v>
      </c>
    </row>
    <row r="25" ht="19.5" customHeight="1">
      <c r="A25" s="151">
        <v>8.0</v>
      </c>
      <c r="B25" s="152" t="s">
        <v>197</v>
      </c>
      <c r="C25" s="152" t="s">
        <v>198</v>
      </c>
      <c r="D25" s="153">
        <v>8.0</v>
      </c>
      <c r="E25" s="152" t="s">
        <v>197</v>
      </c>
      <c r="F25" s="154" t="s">
        <v>131</v>
      </c>
      <c r="G25" s="152">
        <v>8.0</v>
      </c>
      <c r="H25" s="155" t="s">
        <v>197</v>
      </c>
      <c r="I25" s="152" t="s">
        <v>199</v>
      </c>
      <c r="J25" s="151">
        <v>8.0</v>
      </c>
      <c r="K25" s="152" t="s">
        <v>197</v>
      </c>
      <c r="L25" s="156" t="s">
        <v>86</v>
      </c>
      <c r="M25" s="152">
        <v>8.0</v>
      </c>
      <c r="N25" s="152" t="s">
        <v>197</v>
      </c>
      <c r="O25" s="154" t="s">
        <v>200</v>
      </c>
      <c r="P25" s="157" t="s">
        <v>174</v>
      </c>
      <c r="Q25" s="158" t="s">
        <v>201</v>
      </c>
    </row>
    <row r="26" ht="19.5" customHeight="1">
      <c r="A26" s="151">
        <v>8.0</v>
      </c>
      <c r="B26" s="152" t="s">
        <v>131</v>
      </c>
      <c r="C26" s="152" t="s">
        <v>86</v>
      </c>
      <c r="D26" s="151">
        <v>8.0</v>
      </c>
      <c r="E26" s="155" t="s">
        <v>198</v>
      </c>
      <c r="F26" s="154" t="s">
        <v>200</v>
      </c>
      <c r="G26" s="152">
        <v>8.0</v>
      </c>
      <c r="H26" s="155" t="s">
        <v>198</v>
      </c>
      <c r="I26" s="152" t="s">
        <v>131</v>
      </c>
      <c r="J26" s="151">
        <v>8.0</v>
      </c>
      <c r="K26" s="152" t="s">
        <v>198</v>
      </c>
      <c r="L26" s="154" t="s">
        <v>199</v>
      </c>
      <c r="M26" s="155">
        <v>8.0</v>
      </c>
      <c r="N26" s="152" t="s">
        <v>198</v>
      </c>
      <c r="O26" s="154" t="s">
        <v>86</v>
      </c>
      <c r="P26" s="157" t="s">
        <v>175</v>
      </c>
      <c r="Q26" s="158" t="s">
        <v>202</v>
      </c>
    </row>
    <row r="27" ht="19.5" customHeight="1">
      <c r="A27" s="162">
        <v>8.0</v>
      </c>
      <c r="B27" s="163" t="s">
        <v>199</v>
      </c>
      <c r="C27" s="163" t="s">
        <v>200</v>
      </c>
      <c r="D27" s="162">
        <v>8.0</v>
      </c>
      <c r="E27" s="163" t="s">
        <v>199</v>
      </c>
      <c r="F27" s="164" t="s">
        <v>86</v>
      </c>
      <c r="G27" s="163">
        <v>8.0</v>
      </c>
      <c r="H27" s="165" t="s">
        <v>86</v>
      </c>
      <c r="I27" s="163" t="s">
        <v>200</v>
      </c>
      <c r="J27" s="162">
        <v>8.0</v>
      </c>
      <c r="K27" s="163" t="s">
        <v>131</v>
      </c>
      <c r="L27" s="166" t="s">
        <v>200</v>
      </c>
      <c r="M27" s="163">
        <v>8.0</v>
      </c>
      <c r="N27" s="165" t="s">
        <v>131</v>
      </c>
      <c r="O27" s="166" t="s">
        <v>199</v>
      </c>
      <c r="P27" s="142" t="s">
        <v>178</v>
      </c>
      <c r="Q27" s="143" t="s">
        <v>203</v>
      </c>
    </row>
    <row r="28" ht="19.5" customHeight="1">
      <c r="A28" s="167"/>
      <c r="B28" s="167"/>
      <c r="C28" s="167"/>
      <c r="D28" s="167"/>
      <c r="E28" s="167"/>
      <c r="F28" s="167"/>
      <c r="G28" s="168"/>
      <c r="H28" s="168"/>
      <c r="I28" s="167"/>
      <c r="J28" s="167"/>
      <c r="K28" s="167"/>
      <c r="L28" s="167"/>
      <c r="M28" s="167"/>
      <c r="N28" s="167"/>
      <c r="O28" s="168"/>
      <c r="P28" s="142" t="s">
        <v>179</v>
      </c>
      <c r="Q28" s="143" t="s">
        <v>204</v>
      </c>
    </row>
    <row r="29" ht="19.5" customHeight="1">
      <c r="A29" s="167"/>
      <c r="B29" s="167"/>
      <c r="C29" s="167"/>
      <c r="D29" s="167"/>
      <c r="E29" s="167"/>
      <c r="F29" s="167"/>
      <c r="G29" s="168"/>
      <c r="H29" s="168"/>
      <c r="I29" s="167"/>
      <c r="J29" s="167"/>
      <c r="K29" s="167"/>
      <c r="L29" s="167"/>
      <c r="M29" s="167"/>
      <c r="N29" s="167"/>
      <c r="O29" s="168"/>
      <c r="P29" s="142" t="s">
        <v>180</v>
      </c>
      <c r="Q29" s="143" t="s">
        <v>205</v>
      </c>
    </row>
    <row r="30" ht="19.5" customHeight="1">
      <c r="A30" s="168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42" t="s">
        <v>181</v>
      </c>
      <c r="Q30" s="143" t="s">
        <v>206</v>
      </c>
    </row>
    <row r="31" ht="19.5" customHeight="1">
      <c r="A31" s="167"/>
      <c r="B31" s="167"/>
      <c r="C31" s="167"/>
      <c r="D31" s="167"/>
      <c r="E31" s="167"/>
      <c r="F31" s="167"/>
      <c r="G31" s="167"/>
      <c r="H31" s="168"/>
      <c r="I31" s="167"/>
      <c r="J31" s="167"/>
      <c r="K31" s="167"/>
      <c r="L31" s="167"/>
      <c r="M31" s="167"/>
      <c r="N31" s="167"/>
      <c r="O31" s="167"/>
      <c r="P31" s="142" t="s">
        <v>57</v>
      </c>
      <c r="Q31" s="143" t="s">
        <v>58</v>
      </c>
    </row>
    <row r="32" ht="19.5" customHeight="1">
      <c r="A32" s="168"/>
      <c r="B32" s="167"/>
      <c r="C32" s="167"/>
      <c r="D32" s="167"/>
      <c r="E32" s="167"/>
      <c r="F32" s="167"/>
      <c r="G32" s="167"/>
      <c r="H32" s="168"/>
      <c r="I32" s="168"/>
      <c r="J32" s="167"/>
      <c r="K32" s="167"/>
      <c r="L32" s="167"/>
      <c r="M32" s="167"/>
      <c r="N32" s="167"/>
      <c r="O32" s="167"/>
      <c r="P32" s="142" t="s">
        <v>88</v>
      </c>
      <c r="Q32" s="143" t="s">
        <v>117</v>
      </c>
    </row>
    <row r="33" ht="19.5" customHeight="1">
      <c r="A33" s="167"/>
      <c r="B33" s="168"/>
      <c r="C33" s="167"/>
      <c r="D33" s="167"/>
      <c r="E33" s="167"/>
      <c r="F33" s="167"/>
      <c r="G33" s="167"/>
      <c r="H33" s="168"/>
      <c r="I33" s="167"/>
      <c r="J33" s="168"/>
      <c r="K33" s="168"/>
      <c r="L33" s="168"/>
      <c r="M33" s="168"/>
      <c r="N33" s="168"/>
      <c r="O33" s="168"/>
      <c r="P33" s="157" t="s">
        <v>30</v>
      </c>
      <c r="Q33" s="158" t="s">
        <v>207</v>
      </c>
    </row>
    <row r="34" ht="19.5" customHeight="1">
      <c r="A34" s="167"/>
      <c r="B34" s="167"/>
      <c r="C34" s="168"/>
      <c r="D34" s="167"/>
      <c r="E34" s="167"/>
      <c r="F34" s="167"/>
      <c r="G34" s="167"/>
      <c r="H34" s="168"/>
      <c r="I34" s="167"/>
      <c r="J34" s="168"/>
      <c r="K34" s="168"/>
      <c r="L34" s="168"/>
      <c r="M34" s="168"/>
      <c r="N34" s="168"/>
      <c r="O34" s="168"/>
      <c r="P34" s="157" t="s">
        <v>184</v>
      </c>
      <c r="Q34" s="158" t="s">
        <v>208</v>
      </c>
    </row>
    <row r="35" ht="19.5" customHeight="1">
      <c r="A35" s="167"/>
      <c r="B35" s="167"/>
      <c r="C35" s="167"/>
      <c r="D35" s="168"/>
      <c r="E35" s="167"/>
      <c r="F35" s="167"/>
      <c r="G35" s="167"/>
      <c r="H35" s="168"/>
      <c r="I35" s="167"/>
      <c r="J35" s="168"/>
      <c r="K35" s="168"/>
      <c r="L35" s="168"/>
      <c r="M35" s="168"/>
      <c r="N35" s="168"/>
      <c r="O35" s="168"/>
      <c r="P35" s="157" t="s">
        <v>185</v>
      </c>
      <c r="Q35" s="158" t="s">
        <v>209</v>
      </c>
    </row>
    <row r="36" ht="19.5" customHeight="1">
      <c r="A36" s="167"/>
      <c r="B36" s="167"/>
      <c r="C36" s="167"/>
      <c r="D36" s="167"/>
      <c r="E36" s="168"/>
      <c r="F36" s="167"/>
      <c r="G36" s="167"/>
      <c r="H36" s="168"/>
      <c r="I36" s="167"/>
      <c r="J36" s="168"/>
      <c r="K36" s="168"/>
      <c r="L36" s="168"/>
      <c r="M36" s="168"/>
      <c r="N36" s="168"/>
      <c r="O36" s="168"/>
      <c r="P36" s="157" t="s">
        <v>186</v>
      </c>
      <c r="Q36" s="158" t="s">
        <v>210</v>
      </c>
    </row>
    <row r="37" ht="19.5" customHeight="1">
      <c r="A37" s="167"/>
      <c r="B37" s="167"/>
      <c r="C37" s="167"/>
      <c r="D37" s="167"/>
      <c r="E37" s="167"/>
      <c r="F37" s="168"/>
      <c r="G37" s="167"/>
      <c r="H37" s="168"/>
      <c r="I37" s="167"/>
      <c r="J37" s="168"/>
      <c r="K37" s="168"/>
      <c r="L37" s="168"/>
      <c r="M37" s="168"/>
      <c r="N37" s="168"/>
      <c r="O37" s="168"/>
      <c r="P37" s="157" t="s">
        <v>187</v>
      </c>
      <c r="Q37" s="86" t="s">
        <v>211</v>
      </c>
    </row>
    <row r="38" ht="19.5" customHeight="1">
      <c r="A38" s="167"/>
      <c r="B38" s="167"/>
      <c r="C38" s="167"/>
      <c r="D38" s="167"/>
      <c r="E38" s="167"/>
      <c r="F38" s="167"/>
      <c r="G38" s="168"/>
      <c r="H38" s="168"/>
      <c r="I38" s="167"/>
      <c r="J38" s="168"/>
      <c r="K38" s="168"/>
      <c r="L38" s="168"/>
      <c r="M38" s="168"/>
      <c r="N38" s="168"/>
      <c r="O38" s="168"/>
      <c r="P38" s="157" t="s">
        <v>188</v>
      </c>
      <c r="Q38" s="158" t="s">
        <v>212</v>
      </c>
    </row>
    <row r="39" ht="19.5" customHeight="1">
      <c r="A39" s="167"/>
      <c r="B39" s="167"/>
      <c r="C39" s="167"/>
      <c r="D39" s="167"/>
      <c r="E39" s="167"/>
      <c r="F39" s="167"/>
      <c r="G39" s="168"/>
      <c r="H39" s="168"/>
      <c r="I39" s="167"/>
      <c r="J39" s="168"/>
      <c r="K39" s="168"/>
      <c r="L39" s="168"/>
      <c r="M39" s="168"/>
      <c r="N39" s="168"/>
      <c r="O39" s="168"/>
      <c r="P39" s="142" t="s">
        <v>192</v>
      </c>
      <c r="Q39" s="143" t="s">
        <v>213</v>
      </c>
    </row>
    <row r="40" ht="19.5" customHeight="1">
      <c r="A40" s="167"/>
      <c r="B40" s="167"/>
      <c r="C40" s="167"/>
      <c r="D40" s="167"/>
      <c r="E40" s="167"/>
      <c r="F40" s="167"/>
      <c r="G40" s="168"/>
      <c r="H40" s="168"/>
      <c r="I40" s="167"/>
      <c r="J40" s="168"/>
      <c r="K40" s="168"/>
      <c r="L40" s="168"/>
      <c r="M40" s="168"/>
      <c r="N40" s="168"/>
      <c r="O40" s="168"/>
      <c r="P40" s="142" t="s">
        <v>193</v>
      </c>
      <c r="Q40" s="143" t="s">
        <v>214</v>
      </c>
    </row>
    <row r="41" ht="19.5" customHeight="1">
      <c r="A41" s="167"/>
      <c r="B41" s="167"/>
      <c r="C41" s="167"/>
      <c r="D41" s="167"/>
      <c r="E41" s="167"/>
      <c r="F41" s="167"/>
      <c r="G41" s="168"/>
      <c r="H41" s="168"/>
      <c r="I41" s="167"/>
      <c r="J41" s="168"/>
      <c r="K41" s="168"/>
      <c r="L41" s="168"/>
      <c r="M41" s="168"/>
      <c r="N41" s="168"/>
      <c r="O41" s="168"/>
      <c r="P41" s="142" t="s">
        <v>81</v>
      </c>
      <c r="Q41" s="143" t="s">
        <v>144</v>
      </c>
    </row>
    <row r="42" ht="19.5" customHeight="1">
      <c r="A42" s="167"/>
      <c r="B42" s="167"/>
      <c r="C42" s="167"/>
      <c r="D42" s="167"/>
      <c r="E42" s="167"/>
      <c r="F42" s="167"/>
      <c r="G42" s="168"/>
      <c r="H42" s="168"/>
      <c r="I42" s="167"/>
      <c r="J42" s="168"/>
      <c r="K42" s="168"/>
      <c r="L42" s="168"/>
      <c r="M42" s="168"/>
      <c r="N42" s="168"/>
      <c r="O42" s="168"/>
      <c r="P42" s="142" t="s">
        <v>194</v>
      </c>
      <c r="Q42" s="143" t="s">
        <v>215</v>
      </c>
    </row>
    <row r="43" ht="19.5" customHeight="1">
      <c r="A43" s="167"/>
      <c r="B43" s="167"/>
      <c r="C43" s="167"/>
      <c r="D43" s="167"/>
      <c r="E43" s="167"/>
      <c r="F43" s="167"/>
      <c r="G43" s="168"/>
      <c r="H43" s="168"/>
      <c r="I43" s="167"/>
      <c r="J43" s="168"/>
      <c r="K43" s="168"/>
      <c r="L43" s="168"/>
      <c r="M43" s="168"/>
      <c r="N43" s="168"/>
      <c r="O43" s="168"/>
      <c r="P43" s="142" t="s">
        <v>195</v>
      </c>
      <c r="Q43" s="143" t="s">
        <v>216</v>
      </c>
    </row>
    <row r="44" ht="19.5" customHeight="1">
      <c r="A44" s="167"/>
      <c r="B44" s="167"/>
      <c r="C44" s="167"/>
      <c r="D44" s="167"/>
      <c r="E44" s="167"/>
      <c r="F44" s="167"/>
      <c r="G44" s="168"/>
      <c r="H44" s="168"/>
      <c r="I44" s="167"/>
      <c r="J44" s="168"/>
      <c r="K44" s="168"/>
      <c r="L44" s="168"/>
      <c r="M44" s="168"/>
      <c r="N44" s="168"/>
      <c r="O44" s="168"/>
      <c r="P44" s="142" t="s">
        <v>31</v>
      </c>
      <c r="Q44" s="143" t="s">
        <v>82</v>
      </c>
    </row>
    <row r="45" ht="19.5" customHeight="1">
      <c r="A45" s="167"/>
      <c r="B45" s="167"/>
      <c r="C45" s="167"/>
      <c r="D45" s="167"/>
      <c r="E45" s="167"/>
      <c r="F45" s="167"/>
      <c r="G45" s="168"/>
      <c r="H45" s="168"/>
      <c r="I45" s="167"/>
      <c r="J45" s="168"/>
      <c r="K45" s="168"/>
      <c r="L45" s="168"/>
      <c r="M45" s="168"/>
      <c r="N45" s="168"/>
      <c r="O45" s="168"/>
      <c r="P45" s="157" t="s">
        <v>197</v>
      </c>
      <c r="Q45" s="158" t="s">
        <v>217</v>
      </c>
    </row>
    <row r="46" ht="19.5" customHeight="1">
      <c r="A46" s="167"/>
      <c r="B46" s="167"/>
      <c r="C46" s="167"/>
      <c r="D46" s="167"/>
      <c r="E46" s="167"/>
      <c r="F46" s="167"/>
      <c r="G46" s="168"/>
      <c r="H46" s="168"/>
      <c r="I46" s="167"/>
      <c r="J46" s="168"/>
      <c r="K46" s="168"/>
      <c r="L46" s="168"/>
      <c r="M46" s="168"/>
      <c r="N46" s="168"/>
      <c r="O46" s="168"/>
      <c r="P46" s="157" t="s">
        <v>198</v>
      </c>
      <c r="Q46" s="158" t="s">
        <v>218</v>
      </c>
    </row>
    <row r="47" ht="19.5" customHeight="1">
      <c r="A47" s="167"/>
      <c r="B47" s="167"/>
      <c r="C47" s="167"/>
      <c r="D47" s="167"/>
      <c r="E47" s="167"/>
      <c r="F47" s="167"/>
      <c r="G47" s="168"/>
      <c r="H47" s="168"/>
      <c r="I47" s="167"/>
      <c r="J47" s="168"/>
      <c r="K47" s="168"/>
      <c r="L47" s="168"/>
      <c r="M47" s="168"/>
      <c r="N47" s="168"/>
      <c r="O47" s="168"/>
      <c r="P47" s="157" t="s">
        <v>131</v>
      </c>
      <c r="Q47" s="158" t="s">
        <v>141</v>
      </c>
    </row>
    <row r="48" ht="19.5" customHeight="1">
      <c r="A48" s="167"/>
      <c r="B48" s="167"/>
      <c r="C48" s="167"/>
      <c r="D48" s="167"/>
      <c r="E48" s="167"/>
      <c r="F48" s="167"/>
      <c r="G48" s="168"/>
      <c r="H48" s="168"/>
      <c r="I48" s="167"/>
      <c r="J48" s="168"/>
      <c r="K48" s="168"/>
      <c r="L48" s="168"/>
      <c r="M48" s="168"/>
      <c r="N48" s="168"/>
      <c r="O48" s="168"/>
      <c r="P48" s="157" t="s">
        <v>199</v>
      </c>
      <c r="Q48" s="158" t="s">
        <v>219</v>
      </c>
    </row>
    <row r="49" ht="19.5" customHeight="1">
      <c r="A49" s="167"/>
      <c r="B49" s="167"/>
      <c r="C49" s="167"/>
      <c r="D49" s="167"/>
      <c r="E49" s="167"/>
      <c r="F49" s="167"/>
      <c r="G49" s="168"/>
      <c r="H49" s="168"/>
      <c r="I49" s="167"/>
      <c r="J49" s="168"/>
      <c r="K49" s="168"/>
      <c r="L49" s="168"/>
      <c r="M49" s="168"/>
      <c r="N49" s="168"/>
      <c r="O49" s="168"/>
      <c r="P49" s="157" t="s">
        <v>86</v>
      </c>
      <c r="Q49" s="158" t="s">
        <v>220</v>
      </c>
    </row>
    <row r="50" ht="19.5" customHeight="1">
      <c r="A50" s="167"/>
      <c r="B50" s="167"/>
      <c r="C50" s="167"/>
      <c r="D50" s="167"/>
      <c r="E50" s="167"/>
      <c r="F50" s="167"/>
      <c r="G50" s="168"/>
      <c r="H50" s="168"/>
      <c r="I50" s="167"/>
      <c r="J50" s="168"/>
      <c r="K50" s="168"/>
      <c r="L50" s="168"/>
      <c r="M50" s="168"/>
      <c r="N50" s="168"/>
      <c r="O50" s="168"/>
      <c r="P50" s="157" t="s">
        <v>200</v>
      </c>
      <c r="Q50" s="158" t="s">
        <v>221</v>
      </c>
    </row>
    <row r="51" ht="19.5" customHeight="1">
      <c r="A51" s="167"/>
      <c r="B51" s="167"/>
      <c r="C51" s="167"/>
      <c r="D51" s="167"/>
      <c r="E51" s="167"/>
      <c r="F51" s="167"/>
      <c r="G51" s="168"/>
      <c r="H51" s="168"/>
      <c r="I51" s="167"/>
      <c r="J51" s="168"/>
      <c r="K51" s="168"/>
      <c r="L51" s="168"/>
      <c r="M51" s="168"/>
      <c r="N51" s="168"/>
      <c r="O51" s="167"/>
      <c r="P51" s="126" t="s">
        <v>222</v>
      </c>
      <c r="Q51" s="127"/>
    </row>
    <row r="52" ht="19.5" customHeight="1">
      <c r="A52" s="167"/>
      <c r="B52" s="167"/>
      <c r="C52" s="167"/>
      <c r="D52" s="167"/>
      <c r="E52" s="167"/>
      <c r="F52" s="167"/>
      <c r="G52" s="168"/>
      <c r="H52" s="168"/>
      <c r="I52" s="167"/>
      <c r="J52" s="168"/>
      <c r="K52" s="168"/>
      <c r="L52" s="168"/>
      <c r="M52" s="168"/>
      <c r="N52" s="168"/>
      <c r="O52" s="167"/>
      <c r="P52" s="129" t="s">
        <v>223</v>
      </c>
      <c r="Q52" s="130" t="s">
        <v>224</v>
      </c>
    </row>
    <row r="53" ht="19.5" customHeight="1">
      <c r="A53" s="36"/>
      <c r="B53" s="36"/>
      <c r="C53" s="36"/>
      <c r="D53" s="36"/>
      <c r="E53" s="36"/>
      <c r="F53" s="36"/>
      <c r="G53" s="39"/>
      <c r="H53" s="39"/>
      <c r="I53" s="36"/>
      <c r="J53" s="121"/>
      <c r="K53" s="121"/>
      <c r="L53" s="121"/>
      <c r="M53" s="121"/>
      <c r="N53" s="121"/>
      <c r="O53" s="39"/>
      <c r="P53" s="129" t="s">
        <v>225</v>
      </c>
      <c r="Q53" s="130" t="s">
        <v>226</v>
      </c>
    </row>
    <row r="54" ht="19.5" customHeight="1">
      <c r="A54" s="36"/>
      <c r="B54" s="36"/>
      <c r="C54" s="36"/>
      <c r="D54" s="36"/>
      <c r="E54" s="36"/>
      <c r="F54" s="36"/>
      <c r="G54" s="39"/>
      <c r="H54" s="39"/>
      <c r="I54" s="36"/>
      <c r="J54" s="121"/>
      <c r="K54" s="121"/>
      <c r="L54" s="121"/>
      <c r="M54" s="121"/>
      <c r="N54" s="121"/>
      <c r="O54" s="39"/>
      <c r="P54" s="131" t="s">
        <v>227</v>
      </c>
      <c r="Q54" s="132" t="s">
        <v>228</v>
      </c>
    </row>
  </sheetData>
  <mergeCells count="8">
    <mergeCell ref="A1:O1"/>
    <mergeCell ref="P1:Q1"/>
    <mergeCell ref="A2:C2"/>
    <mergeCell ref="D2:F2"/>
    <mergeCell ref="G2:I2"/>
    <mergeCell ref="J2:L2"/>
    <mergeCell ref="M2:O2"/>
    <mergeCell ref="P51:Q51"/>
  </mergeCells>
  <drawing r:id="rId1"/>
</worksheet>
</file>