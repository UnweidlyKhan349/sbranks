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mulative Player Stats" sheetId="1" r:id="rId5"/>
    <sheet state="visible" name="RR1 Player Stats" sheetId="2" r:id="rId6"/>
    <sheet state="visible" name="RR2 Player Stats" sheetId="3" r:id="rId7"/>
    <sheet state="visible" name="RR3 Player Stats" sheetId="4" r:id="rId8"/>
    <sheet state="visible" name="RR4 Player Stats" sheetId="5" r:id="rId9"/>
    <sheet state="visible" name="RR5 Player Stats" sheetId="6" r:id="rId10"/>
  </sheets>
  <definedNames/>
  <calcPr/>
</workbook>
</file>

<file path=xl/sharedStrings.xml><?xml version="1.0" encoding="utf-8"?>
<sst xmlns="http://schemas.openxmlformats.org/spreadsheetml/2006/main" count="2586" uniqueCount="82">
  <si>
    <t>Earth</t>
  </si>
  <si>
    <t>Space</t>
  </si>
  <si>
    <t>Combined</t>
  </si>
  <si>
    <t>Median</t>
  </si>
  <si>
    <t>Player</t>
  </si>
  <si>
    <t>GP</t>
  </si>
  <si>
    <t>C</t>
  </si>
  <si>
    <t>IC</t>
  </si>
  <si>
    <t>P</t>
  </si>
  <si>
    <t>Gain</t>
  </si>
  <si>
    <t>Net</t>
  </si>
  <si>
    <t>%✅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</si>
  <si>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</si>
  <si>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</si>
  <si>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</si>
  <si>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</si>
  <si>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</si>
  <si>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</si>
  <si>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</si>
  <si>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</si>
  <si>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</si>
  <si>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</si>
  <si>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</si>
  <si>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</si>
  <si>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</si>
  <si>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</si>
  <si>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</si>
  <si>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</si>
  <si>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</si>
  <si>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</si>
  <si>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</si>
  <si>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</si>
  <si>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[4.4] Roshan A</t>
  </si>
  <si>
    <t>[5.1] Tiger W</t>
  </si>
  <si>
    <t>[5.4] Yale Z</t>
  </si>
  <si>
    <t>[5.2] Shubam V</t>
  </si>
  <si>
    <t>[5.5] Kaiwen Y</t>
  </si>
  <si>
    <t>[6.4] Akshay B</t>
  </si>
  <si>
    <t>[3.2] Mary P</t>
  </si>
  <si>
    <t>[6.6] Ayden H</t>
  </si>
  <si>
    <t>[3.3] Isaiah S</t>
  </si>
  <si>
    <t>[3.1] Abhiram C</t>
  </si>
  <si>
    <t>[1.3] William T</t>
  </si>
  <si>
    <t>[3.5] Ryan E</t>
  </si>
  <si>
    <t>[1.5] Sarabhesh S</t>
  </si>
  <si>
    <t>[3.6] Luyao Y</t>
  </si>
  <si>
    <t>[7.4] Parthiv S</t>
  </si>
  <si>
    <t>[7.6] Alex Z</t>
  </si>
  <si>
    <t>[6.1] Sohil R</t>
  </si>
  <si>
    <t>[1.1] Sumin Y</t>
  </si>
  <si>
    <t>[1.2] Malachi N</t>
  </si>
  <si>
    <t>[2.2] Suzuko O</t>
  </si>
  <si>
    <t>[2.3] Ishaan K</t>
  </si>
  <si>
    <t>[2.5] Kevin L</t>
  </si>
  <si>
    <t>[2.4] Camille P</t>
  </si>
  <si>
    <t>[4.2] Travis D</t>
  </si>
  <si>
    <t>[2.6] Aryan D</t>
  </si>
  <si>
    <t>[4.3] Daniel L</t>
  </si>
  <si>
    <t>[8.3] Ashley L</t>
  </si>
  <si>
    <t>[8.5] Edward J</t>
  </si>
  <si>
    <t>[6.3] Rishabh V</t>
  </si>
  <si>
    <t>[1.4] Connor Z</t>
  </si>
  <si>
    <t>[5.6] Varyan J</t>
  </si>
  <si>
    <t>[7.2] Isaac L</t>
  </si>
  <si>
    <t>[5.3] Alexander D</t>
  </si>
  <si>
    <t>[1.6] Ayden L</t>
  </si>
  <si>
    <t>[7.1] Sreejit M</t>
  </si>
  <si>
    <t>[6.5] Alex L</t>
  </si>
  <si>
    <t>[6.2] McNair S</t>
  </si>
  <si>
    <t>[8.4] Rohan G</t>
  </si>
  <si>
    <t>[7.5] Kensuke O</t>
  </si>
  <si>
    <t>[8.6] Edlyn W</t>
  </si>
  <si>
    <t>[2.1] Bryce T</t>
  </si>
  <si>
    <t>[7.3] Praneel A</t>
  </si>
  <si>
    <t>[4.1] Ian C</t>
  </si>
  <si>
    <t>[3.4] Joel Y</t>
  </si>
  <si>
    <t>[4.6] Darius S</t>
  </si>
  <si>
    <t>[8.2] Abhiraam G</t>
  </si>
  <si>
    <t>[8.1] Akhil B</t>
  </si>
  <si>
    <t>[4.5] Michael M</t>
  </si>
  <si>
    <t>[8.1] Ahkil B</t>
  </si>
  <si>
    <t>[8.2] Abhiram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</si>
</sst>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Source Sans Pro"/>
    </font>
    <font>
      <color theme="1"/>
      <name val="Source Sans Pro"/>
    </font>
    <font/>
    <font>
      <b/>
      <color theme="1"/>
      <name val="Arial"/>
    </font>
    <font>
      <color theme="1"/>
      <name val="Arial"/>
    </font>
  </fonts>
  <fills count="17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94D4B5"/>
        <bgColor rgb="FF94D4B5"/>
      </patternFill>
    </fill>
    <fill>
      <patternFill patternType="solid">
        <fgColor rgb="FFB6CFF5"/>
        <bgColor rgb="FFB6CFF5"/>
      </patternFill>
    </fill>
    <fill>
      <patternFill patternType="solid">
        <fgColor rgb="FFB8ACD9"/>
        <bgColor rgb="FFB8ACD9"/>
      </patternFill>
    </fill>
    <fill>
      <patternFill patternType="solid">
        <fgColor rgb="FFA5DBC0"/>
        <bgColor rgb="FFA5DBC0"/>
      </patternFill>
    </fill>
    <fill>
      <patternFill patternType="solid">
        <fgColor rgb="FF9EBFF2"/>
        <bgColor rgb="FF9EBFF2"/>
      </patternFill>
    </fill>
    <fill>
      <patternFill patternType="solid">
        <fgColor rgb="FFC1B7DE"/>
        <bgColor rgb="FFC1B7DE"/>
      </patternFill>
    </fill>
    <fill>
      <patternFill patternType="solid">
        <fgColor rgb="FFA7DCC2"/>
        <bgColor rgb="FFA7DCC2"/>
      </patternFill>
    </fill>
    <fill>
      <patternFill patternType="solid">
        <fgColor rgb="FFA3C2F3"/>
        <bgColor rgb="FFA3C2F3"/>
      </patternFill>
    </fill>
    <fill>
      <patternFill patternType="solid">
        <fgColor rgb="FFB4A8D7"/>
        <bgColor rgb="FFB4A8D7"/>
      </patternFill>
    </fill>
    <fill>
      <patternFill patternType="solid">
        <fgColor rgb="FFAADDC4"/>
        <bgColor rgb="FFAADDC4"/>
      </patternFill>
    </fill>
    <fill>
      <patternFill patternType="solid">
        <fgColor rgb="FFEBF7F1"/>
        <bgColor rgb="FFEBF7F1"/>
      </patternFill>
    </fill>
    <fill>
      <patternFill patternType="solid">
        <fgColor rgb="FF84AAE7"/>
        <bgColor rgb="FF84AAE7"/>
      </patternFill>
    </fill>
    <fill>
      <patternFill patternType="solid">
        <fgColor rgb="FFE9F1FC"/>
        <bgColor rgb="FFE9F1FC"/>
      </patternFill>
    </fill>
    <fill>
      <patternFill patternType="solid">
        <fgColor rgb="FFBCB1DB"/>
        <bgColor rgb="FFBCB1DB"/>
      </patternFill>
    </fill>
    <fill>
      <patternFill patternType="solid">
        <fgColor rgb="FFEBE8F5"/>
        <bgColor rgb="FFEBE8F5"/>
      </patternFill>
    </fill>
    <fill>
      <patternFill patternType="solid">
        <fgColor rgb="FFDD7E6B"/>
        <bgColor rgb="FFDD7E6B"/>
      </patternFill>
    </fill>
    <fill>
      <patternFill patternType="solid">
        <fgColor rgb="FFE5F5ED"/>
        <bgColor rgb="FFE5F5ED"/>
      </patternFill>
    </fill>
    <fill>
      <patternFill patternType="solid">
        <fgColor rgb="FFEFF4FD"/>
        <bgColor rgb="FFEFF4FD"/>
      </patternFill>
    </fill>
    <fill>
      <patternFill patternType="solid">
        <fgColor rgb="FFE1DCEF"/>
        <bgColor rgb="FFE1DCEF"/>
      </patternFill>
    </fill>
    <fill>
      <patternFill patternType="solid">
        <fgColor rgb="FF9FD8BC"/>
        <bgColor rgb="FF9FD8BC"/>
      </patternFill>
    </fill>
    <fill>
      <patternFill patternType="solid">
        <fgColor rgb="FFA4C3F3"/>
        <bgColor rgb="FFA4C3F3"/>
      </patternFill>
    </fill>
    <fill>
      <patternFill patternType="solid">
        <fgColor rgb="FFA6DBC1"/>
        <bgColor rgb="FFA6DBC1"/>
      </patternFill>
    </fill>
    <fill>
      <patternFill patternType="solid">
        <fgColor rgb="FF89ADE8"/>
        <bgColor rgb="FF89ADE8"/>
      </patternFill>
    </fill>
    <fill>
      <patternFill patternType="solid">
        <fgColor rgb="FFDEF2E8"/>
        <bgColor rgb="FFDEF2E8"/>
      </patternFill>
    </fill>
    <fill>
      <patternFill patternType="solid">
        <fgColor rgb="FFDEE9FB"/>
        <bgColor rgb="FFDEE9FB"/>
      </patternFill>
    </fill>
    <fill>
      <patternFill patternType="solid">
        <fgColor rgb="FFC5E8D7"/>
        <bgColor rgb="FFC5E8D7"/>
      </patternFill>
    </fill>
    <fill>
      <patternFill patternType="solid">
        <fgColor rgb="FFC9DBF8"/>
        <bgColor rgb="FFC9DBF8"/>
      </patternFill>
    </fill>
    <fill>
      <patternFill patternType="solid">
        <fgColor rgb="FFCDC5E5"/>
        <bgColor rgb="FFCDC5E5"/>
      </patternFill>
    </fill>
    <fill>
      <patternFill patternType="solid">
        <fgColor rgb="FFFFFFFF"/>
        <bgColor rgb="FFFFFFFF"/>
      </patternFill>
    </fill>
    <fill>
      <patternFill patternType="solid">
        <fgColor rgb="FFFAFCFF"/>
        <bgColor rgb="FFFAFCFF"/>
      </patternFill>
    </fill>
    <fill>
      <patternFill patternType="solid">
        <fgColor rgb="FFF5F4FA"/>
        <bgColor rgb="FFF5F4FA"/>
      </patternFill>
    </fill>
    <fill>
      <patternFill patternType="solid">
        <fgColor rgb="FFF0F5FD"/>
        <bgColor rgb="FFF0F5FD"/>
      </patternFill>
    </fill>
    <fill>
      <patternFill patternType="solid">
        <fgColor rgb="FFE4F4EC"/>
        <bgColor rgb="FFE4F4EC"/>
      </patternFill>
    </fill>
    <fill>
      <patternFill patternType="solid">
        <fgColor rgb="FFD5E2F7"/>
        <bgColor rgb="FFD5E2F7"/>
      </patternFill>
    </fill>
    <fill>
      <patternFill patternType="solid">
        <fgColor rgb="FFE1DDEF"/>
        <bgColor rgb="FFE1DDEF"/>
      </patternFill>
    </fill>
    <fill>
      <patternFill patternType="solid">
        <fgColor rgb="FFE3EDFC"/>
        <bgColor rgb="FFE3EDFC"/>
      </patternFill>
    </fill>
    <fill>
      <patternFill patternType="solid">
        <fgColor rgb="FFCAEADB"/>
        <bgColor rgb="FFCAEADB"/>
      </patternFill>
    </fill>
    <fill>
      <patternFill patternType="solid">
        <fgColor rgb="FF9BD7B9"/>
        <bgColor rgb="FF9BD7B9"/>
      </patternFill>
    </fill>
    <fill>
      <patternFill patternType="solid">
        <fgColor rgb="FFC2D7F7"/>
        <bgColor rgb="FFC2D7F7"/>
      </patternFill>
    </fill>
    <fill>
      <patternFill patternType="solid">
        <fgColor rgb="FFB1CBF5"/>
        <bgColor rgb="FFB1CBF5"/>
      </patternFill>
    </fill>
    <fill>
      <patternFill patternType="solid">
        <fgColor rgb="FFC7BEE1"/>
        <bgColor rgb="FFC7BEE1"/>
      </patternFill>
    </fill>
    <fill>
      <patternFill patternType="solid">
        <fgColor rgb="FFB9E3CF"/>
        <bgColor rgb="FFB9E3CF"/>
      </patternFill>
    </fill>
    <fill>
      <patternFill patternType="solid">
        <fgColor rgb="FF97B7EB"/>
        <bgColor rgb="FF97B7EB"/>
      </patternFill>
    </fill>
    <fill>
      <patternFill patternType="solid">
        <fgColor rgb="FFCCEBDB"/>
        <bgColor rgb="FFCCEBDB"/>
      </patternFill>
    </fill>
    <fill>
      <patternFill patternType="solid">
        <fgColor rgb="FFD7EFE3"/>
        <bgColor rgb="FFD7EFE3"/>
      </patternFill>
    </fill>
    <fill>
      <patternFill patternType="solid">
        <fgColor rgb="FFCFDFF9"/>
        <bgColor rgb="FFCFDFF9"/>
      </patternFill>
    </fill>
    <fill>
      <patternFill patternType="solid">
        <fgColor rgb="FFD8E5FA"/>
        <bgColor rgb="FFD8E5FA"/>
      </patternFill>
    </fill>
    <fill>
      <patternFill patternType="solid">
        <fgColor rgb="FFD3EEE1"/>
        <bgColor rgb="FFD3EEE1"/>
      </patternFill>
    </fill>
    <fill>
      <patternFill patternType="solid">
        <fgColor rgb="FFCADCF8"/>
        <bgColor rgb="FFCADCF8"/>
      </patternFill>
    </fill>
    <fill>
      <patternFill patternType="solid">
        <fgColor rgb="FFDAD4EB"/>
        <bgColor rgb="FFDAD4EB"/>
      </patternFill>
    </fill>
    <fill>
      <patternFill patternType="solid">
        <fgColor rgb="FFD5EEE2"/>
        <bgColor rgb="FFD5EEE2"/>
      </patternFill>
    </fill>
    <fill>
      <patternFill patternType="solid">
        <fgColor rgb="FFC2D5F3"/>
        <bgColor rgb="FFC2D5F3"/>
      </patternFill>
    </fill>
    <fill>
      <patternFill patternType="solid">
        <fgColor rgb="FFAFDFC7"/>
        <bgColor rgb="FFAFDFC7"/>
      </patternFill>
    </fill>
    <fill>
      <patternFill patternType="solid">
        <fgColor rgb="FFD2CBE8"/>
        <bgColor rgb="FFD2CBE8"/>
      </patternFill>
    </fill>
    <fill>
      <patternFill patternType="solid">
        <fgColor rgb="FFC2B8DF"/>
        <bgColor rgb="FFC2B8DF"/>
      </patternFill>
    </fill>
    <fill>
      <patternFill patternType="solid">
        <fgColor rgb="FFD2EDE0"/>
        <bgColor rgb="FFD2EDE0"/>
      </patternFill>
    </fill>
    <fill>
      <patternFill patternType="solid">
        <fgColor rgb="FFD5E3FA"/>
        <bgColor rgb="FFD5E3FA"/>
      </patternFill>
    </fill>
    <fill>
      <patternFill patternType="solid">
        <fgColor rgb="FFAFC8EF"/>
        <bgColor rgb="FFAFC8EF"/>
      </patternFill>
    </fill>
    <fill>
      <patternFill patternType="solid">
        <fgColor rgb="FFCBC2E4"/>
        <bgColor rgb="FFCBC2E4"/>
      </patternFill>
    </fill>
    <fill>
      <patternFill patternType="solid">
        <fgColor rgb="FFF2FAF6"/>
        <bgColor rgb="FFF2FAF6"/>
      </patternFill>
    </fill>
    <fill>
      <patternFill patternType="solid">
        <fgColor rgb="FFB9E3CE"/>
        <bgColor rgb="FFB9E3CE"/>
      </patternFill>
    </fill>
    <fill>
      <patternFill patternType="solid">
        <fgColor rgb="FFB3CCF5"/>
        <bgColor rgb="FFB3CCF5"/>
      </patternFill>
    </fill>
    <fill>
      <patternFill patternType="solid">
        <fgColor rgb="FFE8F6EF"/>
        <bgColor rgb="FFE8F6EF"/>
      </patternFill>
    </fill>
    <fill>
      <patternFill patternType="solid">
        <fgColor rgb="FFD9E5F8"/>
        <bgColor rgb="FFD9E5F8"/>
      </patternFill>
    </fill>
    <fill>
      <patternFill patternType="solid">
        <fgColor rgb="FFE9E5F4"/>
        <bgColor rgb="FFE9E5F4"/>
      </patternFill>
    </fill>
    <fill>
      <patternFill patternType="solid">
        <fgColor rgb="FF57BB8A"/>
        <bgColor rgb="FF57BB8A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B6E2CC"/>
        <bgColor rgb="FFB6E2CC"/>
      </patternFill>
    </fill>
    <fill>
      <patternFill patternType="solid">
        <fgColor rgb="FFD3E2F9"/>
        <bgColor rgb="FFD3E2F9"/>
      </patternFill>
    </fill>
    <fill>
      <patternFill patternType="solid">
        <fgColor rgb="FF9ED8BC"/>
        <bgColor rgb="FF9ED8BC"/>
      </patternFill>
    </fill>
    <fill>
      <patternFill patternType="solid">
        <fgColor rgb="FFCCC4E4"/>
        <bgColor rgb="FFCCC4E4"/>
      </patternFill>
    </fill>
    <fill>
      <patternFill patternType="solid">
        <fgColor rgb="FFABC7F4"/>
        <bgColor rgb="FFABC7F4"/>
      </patternFill>
    </fill>
    <fill>
      <patternFill patternType="solid">
        <fgColor rgb="FF77C8A0"/>
        <bgColor rgb="FF77C8A0"/>
      </patternFill>
    </fill>
    <fill>
      <patternFill patternType="solid">
        <fgColor rgb="FF6393E0"/>
        <bgColor rgb="FF6393E0"/>
      </patternFill>
    </fill>
    <fill>
      <patternFill patternType="solid">
        <fgColor rgb="FF9E8ECB"/>
        <bgColor rgb="FF9E8ECB"/>
      </patternFill>
    </fill>
    <fill>
      <patternFill patternType="solid">
        <fgColor rgb="FFD0ECDF"/>
        <bgColor rgb="FFD0ECDF"/>
      </patternFill>
    </fill>
    <fill>
      <patternFill patternType="solid">
        <fgColor rgb="FFD6D0EA"/>
        <bgColor rgb="FFD6D0EA"/>
      </patternFill>
    </fill>
    <fill>
      <patternFill patternType="solid">
        <fgColor rgb="FFD9F0E4"/>
        <bgColor rgb="FFD9F0E4"/>
      </patternFill>
    </fill>
    <fill>
      <patternFill patternType="solid">
        <fgColor rgb="FFDCF1E7"/>
        <bgColor rgb="FFDCF1E7"/>
      </patternFill>
    </fill>
    <fill>
      <patternFill patternType="solid">
        <fgColor rgb="FFF9FDFB"/>
        <bgColor rgb="FFF9FDFB"/>
      </patternFill>
    </fill>
    <fill>
      <patternFill patternType="solid">
        <fgColor rgb="FFF4F8FE"/>
        <bgColor rgb="FFF4F8FE"/>
      </patternFill>
    </fill>
    <fill>
      <patternFill patternType="solid">
        <fgColor rgb="FF85CEAA"/>
        <bgColor rgb="FF85CEAA"/>
      </patternFill>
    </fill>
    <fill>
      <patternFill patternType="solid">
        <fgColor rgb="FF80ABEE"/>
        <bgColor rgb="FF80ABEE"/>
      </patternFill>
    </fill>
    <fill>
      <patternFill patternType="solid">
        <fgColor rgb="FFA89AD1"/>
        <bgColor rgb="FFA89AD1"/>
      </patternFill>
    </fill>
    <fill>
      <patternFill patternType="solid">
        <fgColor rgb="FFB0DFC8"/>
        <bgColor rgb="FFB0DFC8"/>
      </patternFill>
    </fill>
    <fill>
      <patternFill patternType="solid">
        <fgColor rgb="FF9AD6B9"/>
        <bgColor rgb="FF9AD6B9"/>
      </patternFill>
    </fill>
    <fill>
      <patternFill patternType="solid">
        <fgColor rgb="FF719DE3"/>
        <bgColor rgb="FF719DE3"/>
      </patternFill>
    </fill>
    <fill>
      <patternFill patternType="solid">
        <fgColor rgb="FFAD9FD3"/>
        <bgColor rgb="FFAD9FD3"/>
      </patternFill>
    </fill>
    <fill>
      <patternFill patternType="solid">
        <fgColor rgb="FFDFF2E9"/>
        <bgColor rgb="FFDFF2E9"/>
      </patternFill>
    </fill>
    <fill>
      <patternFill patternType="solid">
        <fgColor rgb="FFE6E2F2"/>
        <bgColor rgb="FFE6E2F2"/>
      </patternFill>
    </fill>
    <fill>
      <patternFill patternType="solid">
        <fgColor rgb="FFEEF8F3"/>
        <bgColor rgb="FFEEF8F3"/>
      </patternFill>
    </fill>
    <fill>
      <patternFill patternType="solid">
        <fgColor rgb="FFE1EBFB"/>
        <bgColor rgb="FFE1EBFB"/>
      </patternFill>
    </fill>
    <fill>
      <patternFill patternType="solid">
        <fgColor rgb="FFEDEAF5"/>
        <bgColor rgb="FFEDEAF5"/>
      </patternFill>
    </fill>
    <fill>
      <patternFill patternType="solid">
        <fgColor rgb="FFECF8F2"/>
        <bgColor rgb="FFECF8F2"/>
      </patternFill>
    </fill>
    <fill>
      <patternFill patternType="solid">
        <fgColor rgb="FFCAEADA"/>
        <bgColor rgb="FFCAEADA"/>
      </patternFill>
    </fill>
    <fill>
      <patternFill patternType="solid">
        <fgColor rgb="FFCDDEF9"/>
        <bgColor rgb="FFCDDEF9"/>
      </patternFill>
    </fill>
    <fill>
      <patternFill patternType="solid">
        <fgColor rgb="FF98D6B7"/>
        <bgColor rgb="FF98D6B7"/>
      </patternFill>
    </fill>
    <fill>
      <patternFill patternType="solid">
        <fgColor rgb="FF92B7F0"/>
        <bgColor rgb="FF92B7F0"/>
      </patternFill>
    </fill>
    <fill>
      <patternFill patternType="solid">
        <fgColor rgb="FFBCD3F6"/>
        <bgColor rgb="FFBCD3F6"/>
      </patternFill>
    </fill>
    <fill>
      <patternFill patternType="solid">
        <fgColor rgb="FF7FA7E6"/>
        <bgColor rgb="FF7FA7E6"/>
      </patternFill>
    </fill>
    <fill>
      <patternFill patternType="solid">
        <fgColor rgb="FF71C69C"/>
        <bgColor rgb="FF71C69C"/>
      </patternFill>
    </fill>
    <fill>
      <patternFill patternType="solid">
        <fgColor rgb="FF7AA7ED"/>
        <bgColor rgb="FF7AA7ED"/>
      </patternFill>
    </fill>
    <fill>
      <patternFill patternType="solid">
        <fgColor rgb="FF9B8BCA"/>
        <bgColor rgb="FF9B8BCA"/>
      </patternFill>
    </fill>
    <fill>
      <patternFill patternType="solid">
        <fgColor rgb="FF95D5B6"/>
        <bgColor rgb="FF95D5B6"/>
      </patternFill>
    </fill>
    <fill>
      <patternFill patternType="solid">
        <fgColor rgb="FF94B8F1"/>
        <bgColor rgb="FF94B8F1"/>
      </patternFill>
    </fill>
    <fill>
      <patternFill patternType="solid">
        <fgColor rgb="FFA192CD"/>
        <bgColor rgb="FFA192CD"/>
      </patternFill>
    </fill>
    <fill>
      <patternFill patternType="solid">
        <fgColor rgb="FF82CDA8"/>
        <bgColor rgb="FF82CDA8"/>
      </patternFill>
    </fill>
    <fill>
      <patternFill patternType="solid">
        <fgColor rgb="FF5E90DF"/>
        <bgColor rgb="FF5E90DF"/>
      </patternFill>
    </fill>
    <fill>
      <patternFill patternType="solid">
        <fgColor rgb="FFF3F7FE"/>
        <bgColor rgb="FFF3F7FE"/>
      </patternFill>
    </fill>
    <fill>
      <patternFill patternType="solid">
        <fgColor rgb="FFBCE4D1"/>
        <bgColor rgb="FFBCE4D1"/>
      </patternFill>
    </fill>
    <fill>
      <patternFill patternType="solid">
        <fgColor rgb="FFF4FBF7"/>
        <bgColor rgb="FFF4FBF7"/>
      </patternFill>
    </fill>
    <fill>
      <patternFill patternType="solid">
        <fgColor rgb="FFDEE8F9"/>
        <bgColor rgb="FFDEE8F9"/>
      </patternFill>
    </fill>
    <fill>
      <patternFill patternType="solid">
        <fgColor rgb="FFF0EEF7"/>
        <bgColor rgb="FFF0EEF7"/>
      </patternFill>
    </fill>
    <fill>
      <patternFill patternType="solid">
        <fgColor rgb="FFABDDC5"/>
        <bgColor rgb="FFABDDC5"/>
      </patternFill>
    </fill>
    <fill>
      <patternFill patternType="solid">
        <fgColor rgb="FFB5E1CC"/>
        <bgColor rgb="FFB5E1CC"/>
      </patternFill>
    </fill>
    <fill>
      <patternFill patternType="solid">
        <fgColor rgb="FF92B4EA"/>
        <bgColor rgb="FF92B4EA"/>
      </patternFill>
    </fill>
    <fill>
      <patternFill patternType="solid">
        <fgColor rgb="FFF3F1F9"/>
        <bgColor rgb="FFF3F1F9"/>
      </patternFill>
    </fill>
    <fill>
      <patternFill patternType="solid">
        <fgColor rgb="FFCBDBF5"/>
        <bgColor rgb="FFCBDBF5"/>
      </patternFill>
    </fill>
    <fill>
      <patternFill patternType="solid">
        <fgColor rgb="FFC3E7D5"/>
        <bgColor rgb="FFC3E7D5"/>
      </patternFill>
    </fill>
    <fill>
      <patternFill patternType="solid">
        <fgColor rgb="FFC7DAF8"/>
        <bgColor rgb="FFC7DAF8"/>
      </patternFill>
    </fill>
    <fill>
      <patternFill patternType="solid">
        <fgColor rgb="FFE0F3EA"/>
        <bgColor rgb="FFE0F3EA"/>
      </patternFill>
    </fill>
    <fill>
      <patternFill patternType="solid">
        <fgColor rgb="FFF6F9FE"/>
        <bgColor rgb="FFF6F9FE"/>
      </patternFill>
    </fill>
    <fill>
      <patternFill patternType="solid">
        <fgColor rgb="FFD1E1F9"/>
        <bgColor rgb="FFD1E1F9"/>
      </patternFill>
    </fill>
    <fill>
      <patternFill patternType="solid">
        <fgColor rgb="FFB1E0C9"/>
        <bgColor rgb="FFB1E0C9"/>
      </patternFill>
    </fill>
    <fill>
      <patternFill patternType="solid">
        <fgColor rgb="FFA0BEEC"/>
        <bgColor rgb="FFA0BEEC"/>
      </patternFill>
    </fill>
    <fill>
      <patternFill patternType="solid">
        <fgColor rgb="FFA8DCC3"/>
        <bgColor rgb="FFA8DCC3"/>
      </patternFill>
    </fill>
    <fill>
      <patternFill patternType="solid">
        <fgColor rgb="FF8BD0AE"/>
        <bgColor rgb="FF8BD0AE"/>
      </patternFill>
    </fill>
    <fill>
      <patternFill patternType="solid">
        <fgColor rgb="FF86AFEF"/>
        <bgColor rgb="FF86AFEF"/>
      </patternFill>
    </fill>
    <fill>
      <patternFill patternType="solid">
        <fgColor rgb="FF9CBDF2"/>
        <bgColor rgb="FF9CBDF2"/>
      </patternFill>
    </fill>
    <fill>
      <patternFill patternType="solid">
        <fgColor rgb="FF96D5B6"/>
        <bgColor rgb="FF96D5B6"/>
      </patternFill>
    </fill>
    <fill>
      <patternFill patternType="solid">
        <fgColor rgb="FF6C99E2"/>
        <bgColor rgb="FF6C99E2"/>
      </patternFill>
    </fill>
    <fill>
      <patternFill patternType="solid">
        <fgColor rgb="FFA597D0"/>
        <bgColor rgb="FFA597D0"/>
      </patternFill>
    </fill>
    <fill>
      <patternFill patternType="solid">
        <fgColor rgb="FFE6F5ED"/>
        <bgColor rgb="FFE6F5ED"/>
      </patternFill>
    </fill>
    <fill>
      <patternFill patternType="solid">
        <fgColor rgb="FFE7EFFC"/>
        <bgColor rgb="FFE7EFFC"/>
      </patternFill>
    </fill>
    <fill>
      <patternFill patternType="solid">
        <fgColor rgb="FFB8E3CE"/>
        <bgColor rgb="FFB8E3CE"/>
      </patternFill>
    </fill>
    <fill>
      <patternFill patternType="solid">
        <fgColor rgb="FFAAC4EE"/>
        <bgColor rgb="FFAAC4EE"/>
      </patternFill>
    </fill>
    <fill>
      <patternFill patternType="solid">
        <fgColor rgb="FFBDE5D1"/>
        <bgColor rgb="FFBDE5D1"/>
      </patternFill>
    </fill>
    <fill>
      <patternFill patternType="solid">
        <fgColor rgb="FFB8CEF1"/>
        <bgColor rgb="FFB8CEF1"/>
      </patternFill>
    </fill>
    <fill>
      <patternFill patternType="solid">
        <fgColor rgb="FFD8F0E4"/>
        <bgColor rgb="FFD8F0E4"/>
      </patternFill>
    </fill>
    <fill>
      <patternFill patternType="solid">
        <fgColor rgb="FF79C9A2"/>
        <bgColor rgb="FF79C9A2"/>
      </patternFill>
    </fill>
    <fill>
      <patternFill patternType="solid">
        <fgColor rgb="FFC6D8F4"/>
        <bgColor rgb="FFC6D8F4"/>
      </patternFill>
    </fill>
    <fill>
      <patternFill patternType="solid">
        <fgColor rgb="FFABC8F4"/>
        <bgColor rgb="FFABC8F4"/>
      </patternFill>
    </fill>
    <fill>
      <patternFill patternType="solid">
        <fgColor rgb="FFADA0D4"/>
        <bgColor rgb="FFADA0D4"/>
      </patternFill>
    </fill>
    <fill>
      <patternFill patternType="solid">
        <fgColor rgb="FFAAC7F4"/>
        <bgColor rgb="FFAAC7F4"/>
      </patternFill>
    </fill>
    <fill>
      <patternFill patternType="solid">
        <fgColor rgb="FF8DD1B0"/>
        <bgColor rgb="FF8DD1B0"/>
      </patternFill>
    </fill>
    <fill>
      <patternFill patternType="solid">
        <fgColor rgb="FF9ABCF2"/>
        <bgColor rgb="FF9ABCF2"/>
      </patternFill>
    </fill>
    <fill>
      <patternFill patternType="solid">
        <fgColor rgb="FFF3FAF6"/>
        <bgColor rgb="FFF3FAF6"/>
      </patternFill>
    </fill>
    <fill>
      <patternFill patternType="solid">
        <fgColor rgb="FFF8FCFA"/>
        <bgColor rgb="FFF8FCFA"/>
      </patternFill>
    </fill>
    <fill>
      <patternFill patternType="solid">
        <fgColor rgb="FFECF2FC"/>
        <bgColor rgb="FFECF2FC"/>
      </patternFill>
    </fill>
    <fill>
      <patternFill patternType="solid">
        <fgColor rgb="FFB2E0C9"/>
        <bgColor rgb="FFB2E0C9"/>
      </patternFill>
    </fill>
    <fill>
      <patternFill patternType="solid">
        <fgColor rgb="FF84CDA9"/>
        <bgColor rgb="FF84CDA9"/>
      </patternFill>
    </fill>
    <fill>
      <patternFill patternType="solid">
        <fgColor rgb="FFA2DABE"/>
        <bgColor rgb="FFA2DABE"/>
      </patternFill>
    </fill>
    <fill>
      <patternFill patternType="solid">
        <fgColor rgb="FF8DB0E9"/>
        <bgColor rgb="FF8DB0E9"/>
      </patternFill>
    </fill>
    <fill>
      <patternFill patternType="solid">
        <fgColor rgb="FF3C78D8"/>
        <bgColor rgb="FF3C78D8"/>
      </patternFill>
    </fill>
    <fill>
      <patternFill patternType="solid">
        <fgColor rgb="FFA1D9BE"/>
        <bgColor rgb="FFA1D9BE"/>
      </patternFill>
    </fill>
    <fill>
      <patternFill patternType="solid">
        <fgColor rgb="FFBDD1F2"/>
        <bgColor rgb="FFBDD1F2"/>
      </patternFill>
    </fill>
    <fill>
      <patternFill patternType="solid">
        <fgColor rgb="FFF0F9F5"/>
        <bgColor rgb="FFF0F9F5"/>
      </patternFill>
    </fill>
    <fill>
      <patternFill patternType="solid">
        <fgColor rgb="FFC2E6D4"/>
        <bgColor rgb="FFC2E6D4"/>
      </patternFill>
    </fill>
    <fill>
      <patternFill patternType="solid">
        <fgColor rgb="FFBAD2F6"/>
        <bgColor rgb="FFBAD2F6"/>
      </patternFill>
    </fill>
    <fill>
      <patternFill patternType="solid">
        <fgColor rgb="FF8AD0AE"/>
        <bgColor rgb="FF8AD0AE"/>
      </patternFill>
    </fill>
    <fill>
      <patternFill patternType="solid">
        <fgColor rgb="FF6796E1"/>
        <bgColor rgb="FF6796E1"/>
      </patternFill>
    </fill>
    <fill>
      <patternFill patternType="solid">
        <fgColor rgb="FFC3D7F7"/>
        <bgColor rgb="FFC3D7F7"/>
      </patternFill>
    </fill>
    <fill>
      <patternFill patternType="solid">
        <fgColor rgb="FFC9E9D9"/>
        <bgColor rgb="FFC9E9D9"/>
      </patternFill>
    </fill>
    <fill>
      <patternFill patternType="solid">
        <fgColor rgb="FFB3CBF0"/>
        <bgColor rgb="FFB3CBF0"/>
      </patternFill>
    </fill>
    <fill>
      <patternFill patternType="solid">
        <fgColor rgb="FFA5C1ED"/>
        <bgColor rgb="FFA5C1ED"/>
      </patternFill>
    </fill>
    <fill>
      <patternFill patternType="solid">
        <fgColor rgb="FFE8F0FC"/>
        <bgColor rgb="FFE8F0FC"/>
      </patternFill>
    </fill>
    <fill>
      <patternFill patternType="solid">
        <fgColor rgb="FF92D3B3"/>
        <bgColor rgb="FF92D3B3"/>
      </patternFill>
    </fill>
    <fill>
      <patternFill patternType="solid">
        <fgColor rgb="FF8CB3F0"/>
        <bgColor rgb="FF8CB3F0"/>
      </patternFill>
    </fill>
    <fill>
      <patternFill patternType="solid">
        <fgColor rgb="FFADDEC6"/>
        <bgColor rgb="FFADDEC6"/>
      </patternFill>
    </fill>
    <fill>
      <patternFill patternType="solid">
        <fgColor rgb="FFDBE7FA"/>
        <bgColor rgb="FFDBE7FA"/>
      </patternFill>
    </fill>
    <fill>
      <patternFill patternType="solid">
        <fgColor rgb="FFE3ECFA"/>
        <bgColor rgb="FFE3ECFA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textRotation="9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textRotation="9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textRotation="90" vertical="bottom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 textRotation="90" vertical="bottom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center" readingOrder="0" textRotation="90" vertical="bottom"/>
    </xf>
    <xf borderId="9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 vertical="bottom"/>
    </xf>
    <xf borderId="13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14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13" fillId="0" fontId="1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3" fillId="0" fontId="2" numFmtId="9" xfId="0" applyAlignment="1" applyBorder="1" applyFont="1" applyNumberFormat="1">
      <alignment readingOrder="0"/>
    </xf>
    <xf borderId="0" fillId="3" fontId="2" numFmtId="0" xfId="0" applyAlignment="1" applyFill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2" fillId="4" fontId="2" numFmtId="0" xfId="0" applyAlignment="1" applyBorder="1" applyFill="1" applyFont="1">
      <alignment horizontal="right" readingOrder="0" vertical="bottom"/>
    </xf>
    <xf borderId="13" fillId="0" fontId="2" numFmtId="0" xfId="0" applyBorder="1" applyFont="1"/>
    <xf borderId="2" fillId="5" fontId="2" numFmtId="0" xfId="0" applyAlignment="1" applyBorder="1" applyFill="1" applyFont="1">
      <alignment horizontal="right" readingOrder="0" vertical="bottom"/>
    </xf>
    <xf borderId="8" fillId="0" fontId="5" numFmtId="0" xfId="0" applyAlignment="1" applyBorder="1" applyFont="1">
      <alignment vertical="bottom"/>
    </xf>
    <xf borderId="3" fillId="6" fontId="2" numFmtId="9" xfId="0" applyAlignment="1" applyBorder="1" applyFill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7" fontId="2" numFmtId="0" xfId="0" applyAlignment="1" applyFill="1" applyFont="1">
      <alignment horizontal="right" readingOrder="0" vertical="bottom"/>
    </xf>
    <xf borderId="0" fillId="8" fontId="2" numFmtId="0" xfId="0" applyAlignment="1" applyFill="1" applyFont="1">
      <alignment horizontal="right" readingOrder="0" vertical="bottom"/>
    </xf>
    <xf borderId="11" fillId="0" fontId="2" numFmtId="0" xfId="0" applyBorder="1" applyFont="1"/>
    <xf borderId="8" fillId="9" fontId="2" numFmtId="9" xfId="0" applyAlignment="1" applyBorder="1" applyFill="1" applyFont="1" applyNumberFormat="1">
      <alignment horizontal="right" readingOrder="0" vertical="bottom"/>
    </xf>
    <xf borderId="0" fillId="0" fontId="2" numFmtId="0" xfId="0" applyFont="1"/>
    <xf borderId="0" fillId="10" fontId="2" numFmtId="0" xfId="0" applyAlignment="1" applyFill="1" applyFont="1">
      <alignment horizontal="right" readingOrder="0" vertical="bottom"/>
    </xf>
    <xf borderId="0" fillId="11" fontId="2" numFmtId="0" xfId="0" applyAlignment="1" applyFill="1" applyFont="1">
      <alignment horizontal="right" readingOrder="0" vertical="bottom"/>
    </xf>
    <xf borderId="11" fillId="0" fontId="2" numFmtId="0" xfId="0" applyAlignment="1" applyBorder="1" applyFont="1">
      <alignment readingOrder="0"/>
    </xf>
    <xf borderId="8" fillId="12" fontId="2" numFmtId="9" xfId="0" applyAlignment="1" applyBorder="1" applyFill="1" applyFont="1" applyNumberFormat="1">
      <alignment horizontal="right" readingOrder="0" vertical="bottom"/>
    </xf>
    <xf borderId="8" fillId="0" fontId="2" numFmtId="9" xfId="0" applyAlignment="1" applyBorder="1" applyFont="1" applyNumberFormat="1">
      <alignment readingOrder="0"/>
    </xf>
    <xf borderId="11" fillId="0" fontId="2" numFmtId="0" xfId="0" applyAlignment="1" applyBorder="1" applyFont="1">
      <alignment horizontal="right" readingOrder="0" vertical="bottom"/>
    </xf>
    <xf borderId="0" fillId="13" fontId="2" numFmtId="0" xfId="0" applyAlignment="1" applyFill="1" applyFont="1">
      <alignment horizontal="right" readingOrder="0" vertical="bottom"/>
    </xf>
    <xf borderId="1" fillId="0" fontId="2" numFmtId="0" xfId="0" applyBorder="1" applyFont="1"/>
    <xf borderId="0" fillId="14" fontId="2" numFmtId="0" xfId="0" applyAlignment="1" applyFill="1" applyFont="1">
      <alignment horizontal="right" readingOrder="0" vertical="bottom"/>
    </xf>
    <xf borderId="0" fillId="15" fontId="2" numFmtId="0" xfId="0" applyAlignment="1" applyFill="1" applyFont="1">
      <alignment horizontal="right" readingOrder="0" vertical="bottom"/>
    </xf>
    <xf borderId="0" fillId="16" fontId="2" numFmtId="0" xfId="0" applyAlignment="1" applyFill="1" applyFont="1">
      <alignment horizontal="right" readingOrder="0" vertical="bottom"/>
    </xf>
    <xf borderId="8" fillId="17" fontId="2" numFmtId="9" xfId="0" applyAlignment="1" applyBorder="1" applyFill="1" applyFont="1" applyNumberFormat="1">
      <alignment horizontal="right" readingOrder="0" vertical="bottom"/>
    </xf>
    <xf borderId="8" fillId="18" fontId="2" numFmtId="9" xfId="0" applyAlignment="1" applyBorder="1" applyFill="1" applyFont="1" applyNumberFormat="1">
      <alignment horizontal="right" readingOrder="0" vertical="bottom"/>
    </xf>
    <xf borderId="0" fillId="19" fontId="2" numFmtId="0" xfId="0" applyAlignment="1" applyFill="1" applyFont="1">
      <alignment readingOrder="0" vertical="bottom"/>
    </xf>
    <xf borderId="0" fillId="20" fontId="2" numFmtId="0" xfId="0" applyAlignment="1" applyFill="1" applyFont="1">
      <alignment horizontal="right" readingOrder="0" vertical="bottom"/>
    </xf>
    <xf borderId="8" fillId="2" fontId="2" numFmtId="0" xfId="0" applyAlignment="1" applyBorder="1" applyFill="1" applyFont="1">
      <alignment readingOrder="0" vertical="bottom"/>
    </xf>
    <xf borderId="0" fillId="21" fontId="2" numFmtId="0" xfId="0" applyAlignment="1" applyFill="1" applyFont="1">
      <alignment horizontal="right" readingOrder="0" vertical="bottom"/>
    </xf>
    <xf borderId="8" fillId="22" fontId="2" numFmtId="9" xfId="0" applyAlignment="1" applyBorder="1" applyFill="1" applyFont="1" applyNumberFormat="1">
      <alignment horizontal="right" readingOrder="0" vertical="bottom"/>
    </xf>
    <xf borderId="0" fillId="23" fontId="2" numFmtId="0" xfId="0" applyAlignment="1" applyFill="1" applyFont="1">
      <alignment horizontal="right" readingOrder="0" vertical="bottom"/>
    </xf>
    <xf borderId="0" fillId="24" fontId="2" numFmtId="0" xfId="0" applyAlignment="1" applyFill="1" applyFont="1">
      <alignment horizontal="right" readingOrder="0" vertical="bottom"/>
    </xf>
    <xf borderId="0" fillId="25" fontId="2" numFmtId="0" xfId="0" applyAlignment="1" applyFill="1" applyFont="1">
      <alignment horizontal="right" readingOrder="0" vertical="bottom"/>
    </xf>
    <xf borderId="0" fillId="26" fontId="2" numFmtId="0" xfId="0" applyAlignment="1" applyFill="1" applyFont="1">
      <alignment horizontal="right" readingOrder="0" vertical="bottom"/>
    </xf>
    <xf borderId="0" fillId="27" fontId="2" numFmtId="0" xfId="0" applyAlignment="1" applyFill="1" applyFont="1">
      <alignment horizontal="right" readingOrder="0" vertical="bottom"/>
    </xf>
    <xf borderId="0" fillId="28" fontId="2" numFmtId="0" xfId="0" applyAlignment="1" applyFill="1" applyFont="1">
      <alignment horizontal="right" readingOrder="0" vertical="bottom"/>
    </xf>
    <xf borderId="0" fillId="29" fontId="2" numFmtId="0" xfId="0" applyAlignment="1" applyFill="1" applyFont="1">
      <alignment horizontal="right" readingOrder="0" vertical="bottom"/>
    </xf>
    <xf borderId="0" fillId="30" fontId="2" numFmtId="0" xfId="0" applyAlignment="1" applyFill="1" applyFont="1">
      <alignment horizontal="right" readingOrder="0" vertical="bottom"/>
    </xf>
    <xf borderId="8" fillId="31" fontId="2" numFmtId="9" xfId="0" applyAlignment="1" applyBorder="1" applyFill="1" applyFont="1" applyNumberFormat="1">
      <alignment horizontal="right" readingOrder="0" vertical="bottom"/>
    </xf>
    <xf borderId="0" fillId="32" fontId="2" numFmtId="0" xfId="0" applyAlignment="1" applyFill="1" applyFont="1">
      <alignment horizontal="right" readingOrder="0" vertical="bottom"/>
    </xf>
    <xf borderId="0" fillId="33" fontId="2" numFmtId="0" xfId="0" applyAlignment="1" applyFill="1" applyFont="1">
      <alignment horizontal="right" readingOrder="0" vertical="bottom"/>
    </xf>
    <xf borderId="8" fillId="34" fontId="2" numFmtId="9" xfId="0" applyAlignment="1" applyBorder="1" applyFill="1" applyFont="1" applyNumberFormat="1">
      <alignment horizontal="right" readingOrder="0" vertical="bottom"/>
    </xf>
    <xf borderId="0" fillId="35" fontId="2" numFmtId="0" xfId="0" applyAlignment="1" applyFill="1" applyFont="1">
      <alignment horizontal="right" readingOrder="0" vertical="bottom"/>
    </xf>
    <xf borderId="8" fillId="32" fontId="2" numFmtId="9" xfId="0" applyAlignment="1" applyBorder="1" applyFill="1" applyFont="1" applyNumberFormat="1">
      <alignment horizontal="right" readingOrder="0" vertical="bottom"/>
    </xf>
    <xf borderId="0" fillId="36" fontId="2" numFmtId="0" xfId="0" applyAlignment="1" applyFill="1" applyFont="1">
      <alignment horizontal="right" readingOrder="0" vertical="bottom"/>
    </xf>
    <xf borderId="0" fillId="37" fontId="2" numFmtId="0" xfId="0" applyAlignment="1" applyFill="1" applyFont="1">
      <alignment horizontal="right" readingOrder="0" vertical="bottom"/>
    </xf>
    <xf borderId="8" fillId="38" fontId="2" numFmtId="9" xfId="0" applyAlignment="1" applyBorder="1" applyFill="1" applyFont="1" applyNumberFormat="1">
      <alignment horizontal="right" readingOrder="0" vertical="bottom"/>
    </xf>
    <xf borderId="0" fillId="39" fontId="2" numFmtId="0" xfId="0" applyAlignment="1" applyFill="1" applyFont="1">
      <alignment horizontal="right" readingOrder="0" vertical="bottom"/>
    </xf>
    <xf borderId="3" fillId="0" fontId="2" numFmtId="9" xfId="0" applyBorder="1" applyFont="1" applyNumberFormat="1"/>
    <xf borderId="8" fillId="3" fontId="2" numFmtId="0" xfId="0" applyAlignment="1" applyBorder="1" applyFill="1" applyFont="1">
      <alignment readingOrder="0" vertical="bottom"/>
    </xf>
    <xf borderId="0" fillId="40" fontId="2" numFmtId="0" xfId="0" applyAlignment="1" applyFill="1" applyFont="1">
      <alignment horizontal="right" readingOrder="0" vertical="bottom"/>
    </xf>
    <xf borderId="0" fillId="41" fontId="2" numFmtId="0" xfId="0" applyAlignment="1" applyFill="1" applyFont="1">
      <alignment horizontal="right" readingOrder="0" vertical="bottom"/>
    </xf>
    <xf borderId="0" fillId="42" fontId="2" numFmtId="0" xfId="0" applyAlignment="1" applyFill="1" applyFont="1">
      <alignment horizontal="right" readingOrder="0" vertical="bottom"/>
    </xf>
    <xf borderId="0" fillId="43" fontId="2" numFmtId="0" xfId="0" applyAlignment="1" applyFill="1" applyFont="1">
      <alignment horizontal="right" readingOrder="0" vertical="bottom"/>
    </xf>
    <xf borderId="8" fillId="6" fontId="2" numFmtId="9" xfId="0" applyAlignment="1" applyBorder="1" applyFill="1" applyFont="1" applyNumberFormat="1">
      <alignment horizontal="right" readingOrder="0" vertical="bottom"/>
    </xf>
    <xf borderId="8" fillId="44" fontId="2" numFmtId="9" xfId="0" applyAlignment="1" applyBorder="1" applyFill="1" applyFont="1" applyNumberFormat="1">
      <alignment horizontal="right" readingOrder="0" vertical="bottom"/>
    </xf>
    <xf borderId="0" fillId="45" fontId="2" numFmtId="0" xfId="0" applyAlignment="1" applyFill="1" applyFont="1">
      <alignment horizontal="right" readingOrder="0" vertical="bottom"/>
    </xf>
    <xf borderId="0" fillId="46" fontId="2" numFmtId="0" xfId="0" applyAlignment="1" applyFill="1" applyFont="1">
      <alignment horizontal="right" readingOrder="0" vertical="bottom"/>
    </xf>
    <xf borderId="8" fillId="0" fontId="5" numFmtId="0" xfId="0" applyAlignment="1" applyBorder="1" applyFont="1">
      <alignment vertical="bottom"/>
    </xf>
    <xf borderId="0" fillId="47" fontId="2" numFmtId="0" xfId="0" applyAlignment="1" applyFill="1" applyFont="1">
      <alignment horizontal="right" readingOrder="0" vertical="bottom"/>
    </xf>
    <xf borderId="0" fillId="48" fontId="2" numFmtId="0" xfId="0" applyAlignment="1" applyFill="1" applyFont="1">
      <alignment horizontal="right" readingOrder="0" vertical="bottom"/>
    </xf>
    <xf borderId="0" fillId="49" fontId="2" numFmtId="0" xfId="0" applyAlignment="1" applyFill="1" applyFont="1">
      <alignment horizontal="right" readingOrder="0" vertical="bottom"/>
    </xf>
    <xf borderId="0" fillId="50" fontId="2" numFmtId="0" xfId="0" applyAlignment="1" applyFill="1" applyFont="1">
      <alignment horizontal="right" readingOrder="0" vertical="bottom"/>
    </xf>
    <xf borderId="0" fillId="51" fontId="2" numFmtId="0" xfId="0" applyAlignment="1" applyFill="1" applyFont="1">
      <alignment horizontal="right" readingOrder="0" vertical="bottom"/>
    </xf>
    <xf borderId="0" fillId="52" fontId="2" numFmtId="0" xfId="0" applyAlignment="1" applyFill="1" applyFont="1">
      <alignment horizontal="right" readingOrder="0" vertical="bottom"/>
    </xf>
    <xf borderId="8" fillId="53" fontId="2" numFmtId="9" xfId="0" applyAlignment="1" applyBorder="1" applyFill="1" applyFont="1" applyNumberFormat="1">
      <alignment horizontal="right" readingOrder="0" vertical="bottom"/>
    </xf>
    <xf borderId="0" fillId="54" fontId="2" numFmtId="0" xfId="0" applyAlignment="1" applyFill="1" applyFont="1">
      <alignment horizontal="right" readingOrder="0" vertical="bottom"/>
    </xf>
    <xf borderId="0" fillId="55" fontId="2" numFmtId="0" xfId="0" applyAlignment="1" applyFill="1" applyFont="1">
      <alignment horizontal="right" readingOrder="0" vertical="bottom"/>
    </xf>
    <xf borderId="0" fillId="56" fontId="2" numFmtId="0" xfId="0" applyAlignment="1" applyFill="1" applyFont="1">
      <alignment horizontal="right" readingOrder="0" vertical="bottom"/>
    </xf>
    <xf borderId="8" fillId="57" fontId="2" numFmtId="9" xfId="0" applyAlignment="1" applyBorder="1" applyFill="1" applyFont="1" applyNumberFormat="1">
      <alignment horizontal="right" readingOrder="0" vertical="bottom"/>
    </xf>
    <xf borderId="8" fillId="58" fontId="2" numFmtId="9" xfId="0" applyAlignment="1" applyBorder="1" applyFill="1" applyFont="1" applyNumberFormat="1">
      <alignment horizontal="right" readingOrder="0" vertical="bottom"/>
    </xf>
    <xf borderId="0" fillId="59" fontId="2" numFmtId="0" xfId="0" applyAlignment="1" applyFill="1" applyFont="1">
      <alignment horizontal="right" readingOrder="0" vertical="bottom"/>
    </xf>
    <xf borderId="0" fillId="60" fontId="2" numFmtId="0" xfId="0" applyAlignment="1" applyFill="1" applyFont="1">
      <alignment horizontal="right" readingOrder="0" vertical="bottom"/>
    </xf>
    <xf borderId="0" fillId="61" fontId="2" numFmtId="0" xfId="0" applyAlignment="1" applyFill="1" applyFont="1">
      <alignment horizontal="right" readingOrder="0" vertical="bottom"/>
    </xf>
    <xf borderId="0" fillId="5" fontId="2" numFmtId="0" xfId="0" applyAlignment="1" applyFill="1" applyFont="1">
      <alignment horizontal="right" readingOrder="0" vertical="bottom"/>
    </xf>
    <xf borderId="8" fillId="62" fontId="2" numFmtId="9" xfId="0" applyAlignment="1" applyBorder="1" applyFill="1" applyFont="1" applyNumberFormat="1">
      <alignment horizontal="right" readingOrder="0" vertical="bottom"/>
    </xf>
    <xf borderId="0" fillId="63" fontId="2" numFmtId="0" xfId="0" applyAlignment="1" applyFill="1" applyFont="1">
      <alignment horizontal="right" readingOrder="0" vertical="bottom"/>
    </xf>
    <xf borderId="0" fillId="64" fontId="2" numFmtId="0" xfId="0" applyAlignment="1" applyFill="1" applyFont="1">
      <alignment horizontal="right" readingOrder="0" vertical="bottom"/>
    </xf>
    <xf borderId="0" fillId="65" fontId="2" numFmtId="0" xfId="0" applyAlignment="1" applyFill="1" applyFont="1">
      <alignment horizontal="right" readingOrder="0" vertical="bottom"/>
    </xf>
    <xf borderId="0" fillId="66" fontId="2" numFmtId="0" xfId="0" applyAlignment="1" applyFill="1" applyFont="1">
      <alignment horizontal="right" readingOrder="0" vertical="bottom"/>
    </xf>
    <xf borderId="0" fillId="67" fontId="2" numFmtId="0" xfId="0" applyAlignment="1" applyFill="1" applyFont="1">
      <alignment horizontal="right" readingOrder="0" vertical="bottom"/>
    </xf>
    <xf borderId="8" fillId="68" fontId="2" numFmtId="9" xfId="0" applyAlignment="1" applyBorder="1" applyFill="1" applyFont="1" applyNumberFormat="1">
      <alignment horizontal="right" readingOrder="0" vertical="bottom"/>
    </xf>
    <xf borderId="0" fillId="69" fontId="2" numFmtId="0" xfId="0" applyAlignment="1" applyFill="1" applyFont="1">
      <alignment horizontal="right" readingOrder="0" vertical="bottom"/>
    </xf>
    <xf borderId="0" fillId="70" fontId="2" numFmtId="0" xfId="0" applyAlignment="1" applyFill="1" applyFont="1">
      <alignment horizontal="right" readingOrder="0" vertical="bottom"/>
    </xf>
    <xf borderId="8" fillId="71" fontId="2" numFmtId="9" xfId="0" applyAlignment="1" applyBorder="1" applyFill="1" applyFont="1" applyNumberFormat="1">
      <alignment horizontal="right" readingOrder="0" vertical="bottom"/>
    </xf>
    <xf borderId="0" fillId="72" fontId="2" numFmtId="0" xfId="0" applyAlignment="1" applyFill="1" applyFont="1">
      <alignment horizontal="right" readingOrder="0" vertical="bottom"/>
    </xf>
    <xf borderId="0" fillId="73" fontId="2" numFmtId="0" xfId="0" applyAlignment="1" applyFill="1" applyFont="1">
      <alignment horizontal="right" readingOrder="0" vertical="bottom"/>
    </xf>
    <xf borderId="0" fillId="74" fontId="2" numFmtId="0" xfId="0" applyAlignment="1" applyFill="1" applyFont="1">
      <alignment horizontal="right" readingOrder="0" vertical="bottom"/>
    </xf>
    <xf borderId="8" fillId="75" fontId="2" numFmtId="9" xfId="0" applyAlignment="1" applyBorder="1" applyFill="1" applyFont="1" applyNumberFormat="1">
      <alignment horizontal="right" readingOrder="0" vertical="bottom"/>
    </xf>
    <xf borderId="0" fillId="76" fontId="2" numFmtId="0" xfId="0" applyAlignment="1" applyFill="1" applyFont="1">
      <alignment horizontal="right" readingOrder="0" vertical="bottom"/>
    </xf>
    <xf borderId="0" fillId="77" fontId="2" numFmtId="0" xfId="0" applyAlignment="1" applyFill="1" applyFont="1">
      <alignment horizontal="right" readingOrder="0" vertical="bottom"/>
    </xf>
    <xf borderId="0" fillId="78" fontId="2" numFmtId="0" xfId="0" applyAlignment="1" applyFill="1" applyFont="1">
      <alignment horizontal="right" readingOrder="0" vertical="bottom"/>
    </xf>
    <xf borderId="8" fillId="79" fontId="2" numFmtId="9" xfId="0" applyAlignment="1" applyBorder="1" applyFill="1" applyFont="1" applyNumberFormat="1">
      <alignment horizontal="right" readingOrder="0" vertical="bottom"/>
    </xf>
    <xf borderId="0" fillId="80" fontId="2" numFmtId="0" xfId="0" applyAlignment="1" applyFill="1" applyFont="1">
      <alignment horizontal="right" readingOrder="0" vertical="bottom"/>
    </xf>
    <xf borderId="8" fillId="81" fontId="2" numFmtId="9" xfId="0" applyAlignment="1" applyBorder="1" applyFill="1" applyFont="1" applyNumberFormat="1">
      <alignment horizontal="right" readingOrder="0" vertical="bottom"/>
    </xf>
    <xf borderId="0" fillId="82" fontId="2" numFmtId="0" xfId="0" applyAlignment="1" applyFill="1" applyFont="1">
      <alignment horizontal="right" readingOrder="0" vertical="bottom"/>
    </xf>
    <xf borderId="0" fillId="83" fontId="2" numFmtId="0" xfId="0" applyAlignment="1" applyFill="1" applyFont="1">
      <alignment horizontal="right" readingOrder="0" vertical="bottom"/>
    </xf>
    <xf borderId="0" fillId="84" fontId="2" numFmtId="0" xfId="0" applyAlignment="1" applyFill="1" applyFont="1">
      <alignment horizontal="right" readingOrder="0" vertical="bottom"/>
    </xf>
    <xf borderId="0" fillId="85" fontId="2" numFmtId="0" xfId="0" applyAlignment="1" applyFill="1" applyFont="1">
      <alignment horizontal="right" readingOrder="0" vertical="bottom"/>
    </xf>
    <xf borderId="0" fillId="86" fontId="2" numFmtId="0" xfId="0" applyAlignment="1" applyFill="1" applyFont="1">
      <alignment horizontal="right" readingOrder="0" vertical="bottom"/>
    </xf>
    <xf borderId="0" fillId="87" fontId="2" numFmtId="0" xfId="0" applyAlignment="1" applyFill="1" applyFont="1">
      <alignment horizontal="right" readingOrder="0" vertical="bottom"/>
    </xf>
    <xf borderId="8" fillId="88" fontId="2" numFmtId="9" xfId="0" applyAlignment="1" applyBorder="1" applyFill="1" applyFont="1" applyNumberFormat="1">
      <alignment horizontal="right" readingOrder="0" vertical="bottom"/>
    </xf>
    <xf borderId="0" fillId="89" fontId="2" numFmtId="0" xfId="0" applyAlignment="1" applyFill="1" applyFont="1">
      <alignment horizontal="right" readingOrder="0" vertical="bottom"/>
    </xf>
    <xf borderId="0" fillId="90" fontId="2" numFmtId="0" xfId="0" applyAlignment="1" applyFill="1" applyFont="1">
      <alignment horizontal="right" readingOrder="0" vertical="bottom"/>
    </xf>
    <xf borderId="0" fillId="91" fontId="2" numFmtId="0" xfId="0" applyAlignment="1" applyFill="1" applyFont="1">
      <alignment horizontal="right" readingOrder="0" vertical="bottom"/>
    </xf>
    <xf borderId="8" fillId="92" fontId="2" numFmtId="9" xfId="0" applyAlignment="1" applyBorder="1" applyFill="1" applyFont="1" applyNumberFormat="1">
      <alignment horizontal="right" readingOrder="0" vertical="bottom"/>
    </xf>
    <xf borderId="0" fillId="93" fontId="2" numFmtId="0" xfId="0" applyAlignment="1" applyFill="1" applyFont="1">
      <alignment horizontal="right" readingOrder="0" vertical="bottom"/>
    </xf>
    <xf borderId="8" fillId="94" fontId="2" numFmtId="9" xfId="0" applyAlignment="1" applyBorder="1" applyFill="1" applyFont="1" applyNumberFormat="1">
      <alignment horizontal="right" readingOrder="0" vertical="bottom"/>
    </xf>
    <xf borderId="0" fillId="95" fontId="2" numFmtId="0" xfId="0" applyAlignment="1" applyFill="1" applyFont="1">
      <alignment horizontal="right" readingOrder="0" vertical="bottom"/>
    </xf>
    <xf borderId="0" fillId="96" fontId="2" numFmtId="0" xfId="0" applyAlignment="1" applyFill="1" applyFont="1">
      <alignment horizontal="right" readingOrder="0" vertical="bottom"/>
    </xf>
    <xf borderId="8" fillId="97" fontId="2" numFmtId="9" xfId="0" applyAlignment="1" applyBorder="1" applyFill="1" applyFont="1" applyNumberFormat="1">
      <alignment horizontal="right" readingOrder="0" vertical="bottom"/>
    </xf>
    <xf borderId="0" fillId="98" fontId="2" numFmtId="0" xfId="0" applyAlignment="1" applyFill="1" applyFont="1">
      <alignment horizontal="right" readingOrder="0" vertical="bottom"/>
    </xf>
    <xf borderId="0" fillId="99" fontId="2" numFmtId="0" xfId="0" applyAlignment="1" applyFill="1" applyFont="1">
      <alignment horizontal="right" readingOrder="0" vertical="bottom"/>
    </xf>
    <xf borderId="0" fillId="100" fontId="2" numFmtId="0" xfId="0" applyAlignment="1" applyFill="1" applyFont="1">
      <alignment horizontal="right" readingOrder="0" vertical="bottom"/>
    </xf>
    <xf borderId="0" fillId="101" fontId="2" numFmtId="0" xfId="0" applyAlignment="1" applyFill="1" applyFont="1">
      <alignment horizontal="right" readingOrder="0" vertical="bottom"/>
    </xf>
    <xf borderId="0" fillId="102" fontId="2" numFmtId="0" xfId="0" applyAlignment="1" applyFill="1" applyFont="1">
      <alignment horizontal="right" readingOrder="0" vertical="bottom"/>
    </xf>
    <xf borderId="0" fillId="103" fontId="2" numFmtId="0" xfId="0" applyAlignment="1" applyFill="1" applyFont="1">
      <alignment horizontal="right" readingOrder="0" vertical="bottom"/>
    </xf>
    <xf borderId="0" fillId="104" fontId="2" numFmtId="0" xfId="0" applyAlignment="1" applyFill="1" applyFont="1">
      <alignment horizontal="right" readingOrder="0" vertical="bottom"/>
    </xf>
    <xf borderId="0" fillId="105" fontId="2" numFmtId="0" xfId="0" applyAlignment="1" applyFill="1" applyFont="1">
      <alignment horizontal="right" readingOrder="0" vertical="bottom"/>
    </xf>
    <xf borderId="0" fillId="106" fontId="2" numFmtId="0" xfId="0" applyAlignment="1" applyFill="1" applyFont="1">
      <alignment horizontal="right" readingOrder="0" vertical="bottom"/>
    </xf>
    <xf borderId="8" fillId="107" fontId="2" numFmtId="9" xfId="0" applyAlignment="1" applyBorder="1" applyFill="1" applyFont="1" applyNumberFormat="1">
      <alignment horizontal="right" readingOrder="0" vertical="bottom"/>
    </xf>
    <xf borderId="0" fillId="108" fontId="2" numFmtId="0" xfId="0" applyAlignment="1" applyFill="1" applyFont="1">
      <alignment horizontal="right" readingOrder="0" vertical="bottom"/>
    </xf>
    <xf borderId="0" fillId="109" fontId="2" numFmtId="0" xfId="0" applyAlignment="1" applyFill="1" applyFont="1">
      <alignment horizontal="right" readingOrder="0" vertical="bottom"/>
    </xf>
    <xf borderId="8" fillId="110" fontId="2" numFmtId="9" xfId="0" applyAlignment="1" applyBorder="1" applyFill="1" applyFont="1" applyNumberFormat="1">
      <alignment horizontal="right" readingOrder="0" vertical="bottom"/>
    </xf>
    <xf borderId="0" fillId="111" fontId="2" numFmtId="0" xfId="0" applyAlignment="1" applyFill="1" applyFont="1">
      <alignment horizontal="right" readingOrder="0" vertical="bottom"/>
    </xf>
    <xf borderId="0" fillId="112" fontId="2" numFmtId="0" xfId="0" applyAlignment="1" applyFill="1" applyFont="1">
      <alignment horizontal="right" readingOrder="0" vertical="bottom"/>
    </xf>
    <xf borderId="0" fillId="113" fontId="2" numFmtId="0" xfId="0" applyAlignment="1" applyFill="1" applyFont="1">
      <alignment horizontal="right" readingOrder="0" vertical="bottom"/>
    </xf>
    <xf borderId="0" fillId="114" fontId="2" numFmtId="0" xfId="0" applyAlignment="1" applyFill="1" applyFont="1">
      <alignment horizontal="right" readingOrder="0" vertical="bottom"/>
    </xf>
    <xf borderId="0" fillId="115" fontId="2" numFmtId="0" xfId="0" applyAlignment="1" applyFill="1" applyFont="1">
      <alignment horizontal="right" readingOrder="0" vertical="bottom"/>
    </xf>
    <xf borderId="0" fillId="116" fontId="2" numFmtId="0" xfId="0" applyAlignment="1" applyFill="1" applyFont="1">
      <alignment horizontal="right" readingOrder="0" vertical="bottom"/>
    </xf>
    <xf borderId="8" fillId="117" fontId="2" numFmtId="9" xfId="0" applyAlignment="1" applyBorder="1" applyFill="1" applyFont="1" applyNumberFormat="1">
      <alignment horizontal="right" readingOrder="0" vertical="bottom"/>
    </xf>
    <xf borderId="0" fillId="118" fontId="2" numFmtId="0" xfId="0" applyAlignment="1" applyFill="1" applyFont="1">
      <alignment horizontal="right" readingOrder="0" vertical="bottom"/>
    </xf>
    <xf borderId="0" fillId="119" fontId="2" numFmtId="0" xfId="0" applyAlignment="1" applyFill="1" applyFont="1">
      <alignment horizontal="right" readingOrder="0" vertical="bottom"/>
    </xf>
    <xf borderId="0" fillId="120" fontId="2" numFmtId="0" xfId="0" applyAlignment="1" applyFill="1" applyFont="1">
      <alignment horizontal="right" readingOrder="0" vertical="bottom"/>
    </xf>
    <xf borderId="8" fillId="0" fontId="2" numFmtId="9" xfId="0" applyBorder="1" applyFont="1" applyNumberFormat="1"/>
    <xf borderId="8" fillId="121" fontId="2" numFmtId="9" xfId="0" applyAlignment="1" applyBorder="1" applyFill="1" applyFont="1" applyNumberFormat="1">
      <alignment horizontal="right" readingOrder="0" vertical="bottom"/>
    </xf>
    <xf borderId="0" fillId="122" fontId="2" numFmtId="0" xfId="0" applyAlignment="1" applyFill="1" applyFont="1">
      <alignment horizontal="right" readingOrder="0" vertical="bottom"/>
    </xf>
    <xf borderId="0" fillId="123" fontId="2" numFmtId="0" xfId="0" applyAlignment="1" applyFill="1" applyFont="1">
      <alignment horizontal="right" readingOrder="0" vertical="bottom"/>
    </xf>
    <xf borderId="0" fillId="124" fontId="2" numFmtId="0" xfId="0" applyAlignment="1" applyFill="1" applyFont="1">
      <alignment horizontal="right" readingOrder="0" vertical="bottom"/>
    </xf>
    <xf borderId="0" fillId="125" fontId="2" numFmtId="0" xfId="0" applyAlignment="1" applyFill="1" applyFont="1">
      <alignment horizontal="right" readingOrder="0" vertical="bottom"/>
    </xf>
    <xf borderId="0" fillId="126" fontId="2" numFmtId="0" xfId="0" applyAlignment="1" applyFill="1" applyFont="1">
      <alignment horizontal="right" readingOrder="0" vertical="bottom"/>
    </xf>
    <xf borderId="0" fillId="127" fontId="2" numFmtId="0" xfId="0" applyAlignment="1" applyFill="1" applyFont="1">
      <alignment horizontal="right" readingOrder="0" vertical="bottom"/>
    </xf>
    <xf borderId="0" fillId="128" fontId="2" numFmtId="0" xfId="0" applyAlignment="1" applyFill="1" applyFont="1">
      <alignment horizontal="right" readingOrder="0" vertical="bottom"/>
    </xf>
    <xf borderId="0" fillId="129" fontId="2" numFmtId="0" xfId="0" applyAlignment="1" applyFill="1" applyFont="1">
      <alignment horizontal="right" readingOrder="0" vertical="bottom"/>
    </xf>
    <xf borderId="0" fillId="130" fontId="2" numFmtId="0" xfId="0" applyAlignment="1" applyFill="1" applyFont="1">
      <alignment horizontal="right" readingOrder="0" vertical="bottom"/>
    </xf>
    <xf borderId="0" fillId="131" fontId="2" numFmtId="0" xfId="0" applyAlignment="1" applyFill="1" applyFont="1">
      <alignment horizontal="right" readingOrder="0" vertical="bottom"/>
    </xf>
    <xf borderId="0" fillId="132" fontId="2" numFmtId="0" xfId="0" applyAlignment="1" applyFill="1" applyFont="1">
      <alignment horizontal="right" readingOrder="0" vertical="bottom"/>
    </xf>
    <xf borderId="0" fillId="133" fontId="2" numFmtId="0" xfId="0" applyAlignment="1" applyFill="1" applyFont="1">
      <alignment horizontal="right" readingOrder="0" vertical="bottom"/>
    </xf>
    <xf borderId="0" fillId="134" fontId="2" numFmtId="0" xfId="0" applyAlignment="1" applyFill="1" applyFont="1">
      <alignment horizontal="right" readingOrder="0" vertical="bottom"/>
    </xf>
    <xf borderId="0" fillId="135" fontId="2" numFmtId="0" xfId="0" applyAlignment="1" applyFill="1" applyFont="1">
      <alignment horizontal="right" readingOrder="0" vertical="bottom"/>
    </xf>
    <xf borderId="8" fillId="136" fontId="2" numFmtId="9" xfId="0" applyAlignment="1" applyBorder="1" applyFill="1" applyFont="1" applyNumberFormat="1">
      <alignment horizontal="right" readingOrder="0" vertical="bottom"/>
    </xf>
    <xf borderId="0" fillId="137" fontId="2" numFmtId="0" xfId="0" applyAlignment="1" applyFill="1" applyFont="1">
      <alignment horizontal="right" readingOrder="0" vertical="bottom"/>
    </xf>
    <xf borderId="0" fillId="138" fontId="2" numFmtId="0" xfId="0" applyAlignment="1" applyFill="1" applyFont="1">
      <alignment horizontal="right" readingOrder="0" vertical="bottom"/>
    </xf>
    <xf borderId="0" fillId="139" fontId="2" numFmtId="0" xfId="0" applyAlignment="1" applyFill="1" applyFont="1">
      <alignment horizontal="right" readingOrder="0" vertical="bottom"/>
    </xf>
    <xf borderId="0" fillId="140" fontId="2" numFmtId="0" xfId="0" applyAlignment="1" applyFill="1" applyFont="1">
      <alignment horizontal="right" readingOrder="0" vertical="bottom"/>
    </xf>
    <xf borderId="0" fillId="141" fontId="2" numFmtId="0" xfId="0" applyAlignment="1" applyFill="1" applyFont="1">
      <alignment horizontal="right" readingOrder="0" vertical="bottom"/>
    </xf>
    <xf borderId="0" fillId="142" fontId="2" numFmtId="0" xfId="0" applyAlignment="1" applyFill="1" applyFont="1">
      <alignment horizontal="right" readingOrder="0" vertical="bottom"/>
    </xf>
    <xf borderId="0" fillId="143" fontId="2" numFmtId="0" xfId="0" applyAlignment="1" applyFill="1" applyFont="1">
      <alignment horizontal="right" readingOrder="0" vertical="bottom"/>
    </xf>
    <xf borderId="0" fillId="144" fontId="2" numFmtId="0" xfId="0" applyAlignment="1" applyFill="1" applyFont="1">
      <alignment horizontal="right" readingOrder="0" vertical="bottom"/>
    </xf>
    <xf borderId="0" fillId="145" fontId="2" numFmtId="0" xfId="0" applyAlignment="1" applyFill="1" applyFont="1">
      <alignment horizontal="right" readingOrder="0" vertical="bottom"/>
    </xf>
    <xf borderId="0" fillId="146" fontId="2" numFmtId="0" xfId="0" applyAlignment="1" applyFill="1" applyFont="1">
      <alignment horizontal="right" readingOrder="0" vertical="bottom"/>
    </xf>
    <xf borderId="8" fillId="147" fontId="2" numFmtId="9" xfId="0" applyAlignment="1" applyBorder="1" applyFill="1" applyFont="1" applyNumberFormat="1">
      <alignment horizontal="right" readingOrder="0" vertical="bottom"/>
    </xf>
    <xf borderId="0" fillId="148" fontId="2" numFmtId="0" xfId="0" applyAlignment="1" applyFill="1" applyFont="1">
      <alignment horizontal="right" readingOrder="0" vertical="bottom"/>
    </xf>
    <xf borderId="0" fillId="149" fontId="2" numFmtId="0" xfId="0" applyAlignment="1" applyFill="1" applyFont="1">
      <alignment horizontal="right" readingOrder="0" vertical="bottom"/>
    </xf>
    <xf borderId="0" fillId="150" fontId="2" numFmtId="0" xfId="0" applyAlignment="1" applyFill="1" applyFont="1">
      <alignment horizontal="right" readingOrder="0" vertical="bottom"/>
    </xf>
    <xf borderId="0" fillId="151" fontId="2" numFmtId="0" xfId="0" applyAlignment="1" applyFill="1" applyFont="1">
      <alignment horizontal="right" readingOrder="0" vertical="bottom"/>
    </xf>
    <xf borderId="0" fillId="152" fontId="2" numFmtId="0" xfId="0" applyAlignment="1" applyFill="1" applyFont="1">
      <alignment horizontal="right" readingOrder="0" vertical="bottom"/>
    </xf>
    <xf borderId="0" fillId="153" fontId="2" numFmtId="0" xfId="0" applyAlignment="1" applyFill="1" applyFont="1">
      <alignment horizontal="right" readingOrder="0" vertical="bottom"/>
    </xf>
    <xf borderId="0" fillId="154" fontId="2" numFmtId="0" xfId="0" applyAlignment="1" applyFill="1" applyFont="1">
      <alignment horizontal="right" readingOrder="0" vertical="bottom"/>
    </xf>
    <xf borderId="0" fillId="155" fontId="2" numFmtId="0" xfId="0" applyAlignment="1" applyFill="1" applyFont="1">
      <alignment horizontal="right" readingOrder="0" vertical="bottom"/>
    </xf>
    <xf borderId="0" fillId="156" fontId="2" numFmtId="0" xfId="0" applyAlignment="1" applyFill="1" applyFont="1">
      <alignment horizontal="right" readingOrder="0" vertical="bottom"/>
    </xf>
    <xf borderId="0" fillId="157" fontId="2" numFmtId="0" xfId="0" applyAlignment="1" applyFill="1" applyFont="1">
      <alignment horizontal="right" readingOrder="0" vertical="bottom"/>
    </xf>
    <xf borderId="0" fillId="4" fontId="2" numFmtId="0" xfId="0" applyAlignment="1" applyFill="1" applyFont="1">
      <alignment horizontal="right" readingOrder="0" vertical="bottom"/>
    </xf>
    <xf borderId="0" fillId="158" fontId="2" numFmtId="0" xfId="0" applyAlignment="1" applyFill="1" applyFont="1">
      <alignment horizontal="right" readingOrder="0" vertical="bottom"/>
    </xf>
    <xf borderId="8" fillId="19" fontId="2" numFmtId="0" xfId="0" applyAlignment="1" applyBorder="1" applyFill="1" applyFont="1">
      <alignment readingOrder="0" vertical="bottom"/>
    </xf>
    <xf borderId="0" fillId="159" fontId="2" numFmtId="0" xfId="0" applyAlignment="1" applyFill="1" applyFont="1">
      <alignment horizontal="right" readingOrder="0" vertical="bottom"/>
    </xf>
    <xf borderId="15" fillId="0" fontId="1" numFmtId="0" xfId="0" applyAlignment="1" applyBorder="1" applyFont="1">
      <alignment readingOrder="0"/>
    </xf>
    <xf borderId="0" fillId="160" fontId="2" numFmtId="0" xfId="0" applyAlignment="1" applyFill="1" applyFont="1">
      <alignment horizontal="right" readingOrder="0" vertical="bottom"/>
    </xf>
    <xf borderId="9" fillId="0" fontId="2" numFmtId="0" xfId="0" applyAlignment="1" applyBorder="1" applyFont="1">
      <alignment readingOrder="0"/>
    </xf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12" fillId="0" fontId="2" numFmtId="9" xfId="0" applyAlignment="1" applyBorder="1" applyFont="1" applyNumberFormat="1">
      <alignment readingOrder="0"/>
    </xf>
    <xf borderId="9" fillId="0" fontId="2" numFmtId="0" xfId="0" applyAlignment="1" applyBorder="1" applyFont="1">
      <alignment horizontal="right" readingOrder="0" vertical="bottom"/>
    </xf>
    <xf borderId="0" fillId="161" fontId="2" numFmtId="0" xfId="0" applyAlignment="1" applyFill="1" applyFont="1">
      <alignment horizontal="right" readingOrder="0" vertical="bottom"/>
    </xf>
    <xf borderId="10" fillId="0" fontId="2" numFmtId="0" xfId="0" applyAlignment="1" applyBorder="1" applyFont="1">
      <alignment horizontal="right" readingOrder="0" vertical="bottom"/>
    </xf>
    <xf borderId="10" fillId="56" fontId="2" numFmtId="0" xfId="0" applyAlignment="1" applyBorder="1" applyFill="1" applyFont="1">
      <alignment horizontal="right" readingOrder="0" vertical="bottom"/>
    </xf>
    <xf borderId="10" fillId="5" fontId="2" numFmtId="0" xfId="0" applyAlignment="1" applyBorder="1" applyFill="1" applyFont="1">
      <alignment horizontal="right" readingOrder="0" vertical="bottom"/>
    </xf>
    <xf borderId="0" fillId="162" fontId="2" numFmtId="0" xfId="0" applyAlignment="1" applyFill="1" applyFont="1">
      <alignment horizontal="right" readingOrder="0" vertical="bottom"/>
    </xf>
    <xf borderId="12" fillId="75" fontId="2" numFmtId="9" xfId="0" applyAlignment="1" applyBorder="1" applyFill="1" applyFont="1" applyNumberFormat="1">
      <alignment horizontal="right" readingOrder="0" vertical="bottom"/>
    </xf>
    <xf borderId="0" fillId="163" fontId="2" numFmtId="0" xfId="0" applyAlignment="1" applyFill="1" applyFont="1">
      <alignment horizontal="right" readingOrder="0" vertical="bottom"/>
    </xf>
    <xf borderId="0" fillId="164" fontId="2" numFmtId="0" xfId="0" applyAlignment="1" applyFill="1" applyFont="1">
      <alignment horizontal="right" readingOrder="0" vertical="bottom"/>
    </xf>
    <xf borderId="0" fillId="165" fontId="2" numFmtId="0" xfId="0" applyAlignment="1" applyFill="1" applyFont="1">
      <alignment horizontal="right" readingOrder="0" vertical="bottom"/>
    </xf>
    <xf borderId="0" fillId="166" fontId="2" numFmtId="0" xfId="0" applyAlignment="1" applyFill="1" applyFont="1">
      <alignment horizontal="right" readingOrder="0" vertical="bottom"/>
    </xf>
    <xf borderId="0" fillId="167" fontId="2" numFmtId="0" xfId="0" applyAlignment="1" applyFill="1" applyFont="1">
      <alignment horizontal="right" readingOrder="0" vertical="bottom"/>
    </xf>
    <xf borderId="0" fillId="168" fontId="2" numFmtId="0" xfId="0" applyAlignment="1" applyFill="1" applyFont="1">
      <alignment horizontal="right" readingOrder="0" vertical="bottom"/>
    </xf>
    <xf borderId="0" fillId="169" fontId="2" numFmtId="0" xfId="0" applyAlignment="1" applyFill="1" applyFont="1">
      <alignment horizontal="right" readingOrder="0" vertical="bottom"/>
    </xf>
    <xf borderId="0" fillId="170" fontId="2" numFmtId="0" xfId="0" applyAlignment="1" applyFill="1" applyFont="1">
      <alignment horizontal="right" readingOrder="0" vertical="bottom"/>
    </xf>
    <xf borderId="8" fillId="0" fontId="2" numFmtId="9" xfId="0" applyAlignment="1" applyBorder="1" applyFont="1" applyNumberFormat="1">
      <alignment horizontal="right" readingOrder="0" vertical="bottom"/>
    </xf>
    <xf borderId="0" fillId="171" fontId="2" numFmtId="0" xfId="0" applyAlignment="1" applyFill="1" applyFont="1">
      <alignment horizontal="right" readingOrder="0" vertical="bottom"/>
    </xf>
    <xf borderId="0" fillId="172" fontId="2" numFmtId="0" xfId="0" applyAlignment="1" applyFill="1" applyFont="1">
      <alignment horizontal="right" readingOrder="0" vertical="bottom"/>
    </xf>
    <xf borderId="0" fillId="173" fontId="2" numFmtId="0" xfId="0" applyAlignment="1" applyFill="1" applyFont="1">
      <alignment horizontal="right" readingOrder="0" vertical="bottom"/>
    </xf>
    <xf borderId="12" fillId="0" fontId="2" numFmtId="9" xfId="0" applyAlignment="1" applyBorder="1" applyFont="1" applyNumberFormat="1">
      <alignment horizontal="right" readingOrder="0" vertical="bottom"/>
    </xf>
    <xf borderId="0" fillId="174" fontId="2" numFmtId="0" xfId="0" applyAlignment="1" applyFill="1" applyFont="1">
      <alignment horizontal="right" readingOrder="0" vertical="bottom"/>
    </xf>
    <xf borderId="0" fillId="175" fontId="2" numFmtId="0" xfId="0" applyAlignment="1" applyFill="1" applyFont="1">
      <alignment horizontal="right" readingOrder="0" vertical="bottom"/>
    </xf>
    <xf borderId="1" fillId="0" fontId="1" numFmtId="0" xfId="0" applyAlignment="1" applyBorder="1" applyFont="1">
      <alignment textRotation="90"/>
    </xf>
    <xf borderId="2" fillId="0" fontId="1" numFmtId="0" xfId="0" applyAlignment="1" applyBorder="1" applyFont="1">
      <alignment textRotation="90"/>
    </xf>
    <xf borderId="13" fillId="0" fontId="4" numFmtId="0" xfId="0" applyAlignment="1" applyBorder="1" applyFont="1">
      <alignment vertical="bottom"/>
    </xf>
    <xf borderId="8" fillId="0" fontId="5" numFmtId="9" xfId="0" applyAlignment="1" applyBorder="1" applyFont="1" applyNumberFormat="1">
      <alignment vertical="bottom"/>
    </xf>
    <xf borderId="15" fillId="0" fontId="4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5" numFmtId="9" xfId="0" applyAlignment="1" applyBorder="1" applyFont="1" applyNumberFormat="1">
      <alignment vertical="bottom"/>
    </xf>
    <xf borderId="15" fillId="0" fontId="2" numFmtId="0" xfId="0" applyBorder="1" applyFont="1"/>
    <xf borderId="9" fillId="0" fontId="2" numFmtId="0" xfId="0" applyBorder="1" applyFont="1"/>
    <xf borderId="12" fillId="0" fontId="2" numFmtId="9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6" width="5.13"/>
  </cols>
  <sheetData>
    <row r="1">
      <c r="A1" s="2"/>
      <c r="C1" s="4" t="s">
        <v>0</v>
      </c>
      <c r="D1" s="6"/>
      <c r="E1" s="6"/>
      <c r="F1" s="6"/>
      <c r="G1" s="6"/>
      <c r="H1" s="7"/>
      <c r="I1" s="4" t="s">
        <v>1</v>
      </c>
      <c r="J1" s="6"/>
      <c r="K1" s="6"/>
      <c r="L1" s="6"/>
      <c r="M1" s="6"/>
      <c r="N1" s="7"/>
      <c r="O1" s="4" t="s">
        <v>2</v>
      </c>
      <c r="P1" s="6"/>
      <c r="Q1" s="6"/>
      <c r="R1" s="6"/>
      <c r="S1" s="6"/>
      <c r="T1" s="7"/>
      <c r="U1" s="4" t="s">
        <v>3</v>
      </c>
      <c r="V1" s="6"/>
      <c r="W1" s="6"/>
      <c r="X1" s="6"/>
      <c r="Y1" s="6"/>
      <c r="Z1" s="7"/>
    </row>
    <row r="2">
      <c r="A2" s="10" t="s">
        <v>4</v>
      </c>
      <c r="B2" s="10" t="s">
        <v>5</v>
      </c>
      <c r="C2" s="12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4" t="s">
        <v>11</v>
      </c>
      <c r="I2" s="15" t="s">
        <v>6</v>
      </c>
      <c r="J2" s="17" t="s">
        <v>7</v>
      </c>
      <c r="K2" s="17" t="s">
        <v>8</v>
      </c>
      <c r="L2" s="17" t="s">
        <v>9</v>
      </c>
      <c r="M2" s="17" t="s">
        <v>10</v>
      </c>
      <c r="N2" s="24" t="s">
        <v>11</v>
      </c>
      <c r="O2" s="15" t="s">
        <v>6</v>
      </c>
      <c r="P2" s="17" t="s">
        <v>7</v>
      </c>
      <c r="Q2" s="17" t="s">
        <v>8</v>
      </c>
      <c r="R2" s="17" t="s">
        <v>9</v>
      </c>
      <c r="S2" s="17" t="s">
        <v>10</v>
      </c>
      <c r="T2" s="24" t="s">
        <v>11</v>
      </c>
      <c r="U2" s="15" t="s">
        <v>6</v>
      </c>
      <c r="V2" s="17" t="s">
        <v>7</v>
      </c>
      <c r="W2" s="17" t="s">
        <v>8</v>
      </c>
      <c r="X2" s="17" t="s">
        <v>9</v>
      </c>
      <c r="Y2" s="17" t="s">
        <v>10</v>
      </c>
      <c r="Z2" s="24" t="s">
        <v>11</v>
      </c>
    </row>
    <row r="3">
      <c r="A3" s="29" t="s">
        <v>32</v>
      </c>
      <c r="B3" s="48">
        <f>COUNTIF('RR1 Player Stats'!$A$3:$A$50,$A3)+COUNTIF('RR2 Player Stats'!$A$3:$A$50,$A3)+COUNTIF('RR3 Player Stats'!$A$3:$A$50,$A3)+COUNTIF('RR4 Player Stats'!$A$3:$A$50,$A3)+COUNTIF('RR5 Player Stats'!$A$3:$A$50,$A3)</f>
        <v>5</v>
      </c>
      <c r="C3" s="65">
        <f>IFERROR(__xludf.DUMMYFUNCTION("IFERROR(FILTER('RR1 Player Stats'!V$3:V$50, ISNUMBER(SEARCH($A3,'RR1 Player Stats'!$A$3:$A$50))),0)
+IFERROR(FILTER('RR2 Player Stats'!V$3:V$50, ISNUMBER(SEARCH($A3,'RR2 Player Stats'!$A$3:$A$50))),0)
+IFERROR(FILTER('RR3 Player Stats'!V$3:V$50, ISNUMBER("&amp;"SEARCH($A3,'RR3 Player Stats'!$A$3:$A$50))),0)
+IFERROR(FILTER('RR4 Player Stats'!V$3:V$50, ISNUMBER(SEARCH($A3,'RR4 Player Stats'!$A$3:$A$50))),0)
+IFERROR(FILTER('RR5 Player Stats'!V$3:V$50, ISNUMBER(SEARCH($A3,'RR5 Player Stats'!$A$3:$A$50))),0)"),7.0)</f>
        <v>7</v>
      </c>
      <c r="D3" s="38">
        <f>IFERROR(__xludf.DUMMYFUNCTION("IFERROR(FILTER('RR1 Player Stats'!W$3:W$50, ISNUMBER(SEARCH($A3,'RR1 Player Stats'!$A$3:$A$50))),0)
+IFERROR(FILTER('RR2 Player Stats'!W$3:W$50, ISNUMBER(SEARCH($A3,'RR2 Player Stats'!$A$3:$A$50))),0)
+IFERROR(FILTER('RR3 Player Stats'!W$3:W$50, ISNUMBER("&amp;"SEARCH($A3,'RR3 Player Stats'!$A$3:$A$50))),0)
+IFERROR(FILTER('RR4 Player Stats'!W$3:W$50, ISNUMBER(SEARCH($A3,'RR4 Player Stats'!$A$3:$A$50))),0)
+IFERROR(FILTER('RR5 Player Stats'!W$3:W$50, ISNUMBER(SEARCH($A3,'RR5 Player Stats'!$A$3:$A$50))),0)"),31.0)</f>
        <v>31</v>
      </c>
      <c r="E3" s="38">
        <f>IFERROR(__xludf.DUMMYFUNCTION("IFERROR(FILTER('RR1 Player Stats'!X$3:X$50, ISNUMBER(SEARCH($A3,'RR1 Player Stats'!$A$3:$A$50))),0)
+IFERROR(FILTER('RR2 Player Stats'!X$3:X$50, ISNUMBER(SEARCH($A3,'RR2 Player Stats'!$A$3:$A$50))),0)
+IFERROR(FILTER('RR3 Player Stats'!X$3:X$50, ISNUMBER("&amp;"SEARCH($A3,'RR3 Player Stats'!$A$3:$A$50))),0)
+IFERROR(FILTER('RR4 Player Stats'!X$3:X$50, ISNUMBER(SEARCH($A3,'RR4 Player Stats'!$A$3:$A$50))),0)
+IFERROR(FILTER('RR5 Player Stats'!X$3:X$50, ISNUMBER(SEARCH($A3,'RR5 Player Stats'!$A$3:$A$50))),0)"),16.0)</f>
        <v>16</v>
      </c>
      <c r="F3" s="38">
        <f>IFERROR(__xludf.DUMMYFUNCTION("IFERROR(FILTER('RR1 Player Stats'!Y$3:Y$50, ISNUMBER(SEARCH($A3,'RR1 Player Stats'!$A$3:$A$50))),0)
+IFERROR(FILTER('RR2 Player Stats'!Y$3:Y$50, ISNUMBER(SEARCH($A3,'RR2 Player Stats'!$A$3:$A$50))),0)
+IFERROR(FILTER('RR3 Player Stats'!Y$3:Y$50, ISNUMBER("&amp;"SEARCH($A3,'RR3 Player Stats'!$A$3:$A$50))),0)
+IFERROR(FILTER('RR4 Player Stats'!Y$3:Y$50, ISNUMBER(SEARCH($A3,'RR4 Player Stats'!$A$3:$A$50))),0)
+IFERROR(FILTER('RR5 Player Stats'!Y$3:Y$50, ISNUMBER(SEARCH($A3,'RR5 Player Stats'!$A$3:$A$50))),0)"),214.0)</f>
        <v>214</v>
      </c>
      <c r="G3" s="38">
        <f>IFERROR(__xludf.DUMMYFUNCTION("IFERROR(FILTER('RR1 Player Stats'!Z$3:Z$50, ISNUMBER(SEARCH($A3,'RR1 Player Stats'!$A$3:$A$50))),0)
+IFERROR(FILTER('RR2 Player Stats'!Z$3:Z$50, ISNUMBER(SEARCH($A3,'RR2 Player Stats'!$A$3:$A$50))),0)
+IFERROR(FILTER('RR3 Player Stats'!Z$3:Z$50, ISNUMBER("&amp;"SEARCH($A3,'RR3 Player Stats'!$A$3:$A$50))),0)
+IFERROR(FILTER('RR4 Player Stats'!Z$3:Z$50, ISNUMBER(SEARCH($A3,'RR4 Player Stats'!$A$3:$A$50))),0)
+IFERROR(FILTER('RR5 Player Stats'!Z$3:Z$50, ISNUMBER(SEARCH($A3,'RR5 Player Stats'!$A$3:$A$50))),0)"),150.0)</f>
        <v>150</v>
      </c>
      <c r="H3" s="94">
        <f>IFERROR(__xludf.DUMMYFUNCTION("(IFERROR(FILTER('RR1 Player Stats'!AA$3:AA$50, ISNUMBER(SEARCH($A3,'RR1 Player Stats'!$A$3:$A$50))),0)
+IFERROR(FILTER('RR2 Player Stats'!AA$3:AA$50, ISNUMBER(SEARCH($A3,'RR2 Player Stats'!$A$3:$A$50))),0)
+IFERROR(FILTER('RR3 Player Stats'!AA$3:AA$50, IS"&amp;"NUMBER(SEARCH($A3,'RR3 Player Stats'!$A$3:$A$50))),0)
+IFERROR(FILTER('RR4 Player Stats'!AA$3:AA$50, ISNUMBER(SEARCH($A3,'RR4 Player Stats'!$A$3:$A$50))),0)
+IFERROR(FILTER('RR5 Player Stats'!AA$3:AA$50, ISNUMBER(SEARCH($A3,'RR5 Player Stats'!$A$3:$A$50))"&amp;"),0))/5"),0.634)</f>
        <v>0.634</v>
      </c>
      <c r="I3" s="65">
        <f>IFERROR(__xludf.DUMMYFUNCTION("IFERROR(FILTER('RR1 Player Stats'!AB$3:AB$50, ISNUMBER(SEARCH($A3,'RR1 Player Stats'!$A$3:$A$50))),0)
+IFERROR(FILTER('RR2 Player Stats'!AB$3:AB$50, ISNUMBER(SEARCH($A3,'RR2 Player Stats'!$A$3:$A$50))),0)
+IFERROR(FILTER('RR3 Player Stats'!AB$3:AB$50, ISN"&amp;"UMBER(SEARCH($A3,'RR3 Player Stats'!$A$3:$A$50))),0)
+IFERROR(FILTER('RR4 Player Stats'!AB$3:AB$50, ISNUMBER(SEARCH($A3,'RR4 Player Stats'!$A$3:$A$50))),0)
+IFERROR(FILTER('RR5 Player Stats'!AB$3:AB$50, ISNUMBER(SEARCH($A3,'RR5 Player Stats'!$A$3:$A$50)))"&amp;",0)"),6.0)</f>
        <v>6</v>
      </c>
      <c r="J3" s="38">
        <f>IFERROR(__xludf.DUMMYFUNCTION("IFERROR(FILTER('RR1 Player Stats'!AC$3:AC$50, ISNUMBER(SEARCH($A3,'RR1 Player Stats'!$A$3:$A$50))),0)
+IFERROR(FILTER('RR2 Player Stats'!AC$3:AC$50, ISNUMBER(SEARCH($A3,'RR2 Player Stats'!$A$3:$A$50))),0)
+IFERROR(FILTER('RR3 Player Stats'!AC$3:AC$50, ISN"&amp;"UMBER(SEARCH($A3,'RR3 Player Stats'!$A$3:$A$50))),0)
+IFERROR(FILTER('RR4 Player Stats'!AC$3:AC$50, ISNUMBER(SEARCH($A3,'RR4 Player Stats'!$A$3:$A$50))),0)
+IFERROR(FILTER('RR5 Player Stats'!AC$3:AC$50, ISNUMBER(SEARCH($A3,'RR5 Player Stats'!$A$3:$A$50)))"&amp;",0)"),17.0)</f>
        <v>17</v>
      </c>
      <c r="K3" s="38">
        <f>IFERROR(__xludf.DUMMYFUNCTION("IFERROR(FILTER('RR1 Player Stats'!AD$3:AD$50, ISNUMBER(SEARCH($A3,'RR1 Player Stats'!$A$3:$A$50))),0)
+IFERROR(FILTER('RR2 Player Stats'!AD$3:AD$50, ISNUMBER(SEARCH($A3,'RR2 Player Stats'!$A$3:$A$50))),0)
+IFERROR(FILTER('RR3 Player Stats'!AD$3:AD$50, ISN"&amp;"UMBER(SEARCH($A3,'RR3 Player Stats'!$A$3:$A$50))),0)
+IFERROR(FILTER('RR4 Player Stats'!AD$3:AD$50, ISNUMBER(SEARCH($A3,'RR4 Player Stats'!$A$3:$A$50))),0)
+IFERROR(FILTER('RR5 Player Stats'!AD$3:AD$50, ISNUMBER(SEARCH($A3,'RR5 Player Stats'!$A$3:$A$50)))"&amp;",0)"),14.0)</f>
        <v>14</v>
      </c>
      <c r="L3" s="38">
        <f>IFERROR(__xludf.DUMMYFUNCTION("IFERROR(FILTER('RR1 Player Stats'!AE$3:AE$50, ISNUMBER(SEARCH($A3,'RR1 Player Stats'!$A$3:$A$50))),0)
+IFERROR(FILTER('RR2 Player Stats'!AE$3:AE$50, ISNUMBER(SEARCH($A3,'RR2 Player Stats'!$A$3:$A$50))),0)
+IFERROR(FILTER('RR3 Player Stats'!AE$3:AE$50, ISN"&amp;"UMBER(SEARCH($A3,'RR3 Player Stats'!$A$3:$A$50))),0)
+IFERROR(FILTER('RR4 Player Stats'!AE$3:AE$50, ISNUMBER(SEARCH($A3,'RR4 Player Stats'!$A$3:$A$50))),0)
+IFERROR(FILTER('RR5 Player Stats'!AE$3:AE$50, ISNUMBER(SEARCH($A3,'RR5 Player Stats'!$A$3:$A$50)))"&amp;",0)"),126.0)</f>
        <v>126</v>
      </c>
      <c r="M3" s="38">
        <f>IFERROR(__xludf.DUMMYFUNCTION("IFERROR(FILTER('RR1 Player Stats'!AF$3:AF$50, ISNUMBER(SEARCH($A3,'RR1 Player Stats'!$A$3:$A$50))),0)
+IFERROR(FILTER('RR2 Player Stats'!AF$3:AF$50, ISNUMBER(SEARCH($A3,'RR2 Player Stats'!$A$3:$A$50))),0)
+IFERROR(FILTER('RR3 Player Stats'!AF$3:AF$50, ISN"&amp;"UMBER(SEARCH($A3,'RR3 Player Stats'!$A$3:$A$50))),0)
+IFERROR(FILTER('RR4 Player Stats'!AF$3:AF$50, ISNUMBER(SEARCH($A3,'RR4 Player Stats'!$A$3:$A$50))),0)
+IFERROR(FILTER('RR5 Player Stats'!AF$3:AF$50, ISNUMBER(SEARCH($A3,'RR5 Player Stats'!$A$3:$A$50)))"&amp;",0)"),70.0)</f>
        <v>70</v>
      </c>
      <c r="N3" s="94">
        <f>IFERROR(__xludf.DUMMYFUNCTION("(IFERROR(FILTER('RR1 Player Stats'!AG$3:AG$50, ISNUMBER(SEARCH($A3,'RR1 Player Stats'!$A$3:$A$50))),0)
+IFERROR(FILTER('RR2 Player Stats'!AG$3:AG$50, ISNUMBER(SEARCH($A3,'RR2 Player Stats'!$A$3:$A$50))),0)
+IFERROR(FILTER('RR3 Player Stats'!AG$3:AG$50, IS"&amp;"NUMBER(SEARCH($A3,'RR3 Player Stats'!$A$3:$A$50))),0)
+IFERROR(FILTER('RR4 Player Stats'!AG$3:AG$50, ISNUMBER(SEARCH($A3,'RR4 Player Stats'!$A$3:$A$50))),0)
+IFERROR(FILTER('RR5 Player Stats'!AG$3:AG$50, ISNUMBER(SEARCH($A3,'RR5 Player Stats'!$A$3:$A$50))"&amp;"),0))/5"),0.578)</f>
        <v>0.578</v>
      </c>
      <c r="O3" s="65">
        <f>IFERROR(__xludf.DUMMYFUNCTION("IFERROR(FILTER('RR1 Player Stats'!AH$3:AH$50, ISNUMBER(SEARCH($A3,'RR1 Player Stats'!$A$3:$A$50))),0)
+IFERROR(FILTER('RR2 Player Stats'!AH$3:AH$50, ISNUMBER(SEARCH($A3,'RR2 Player Stats'!$A$3:$A$50))),0)
+IFERROR(FILTER('RR3 Player Stats'!AH$3:AH$50, ISN"&amp;"UMBER(SEARCH($A3,'RR3 Player Stats'!$A$3:$A$50))),0)
+IFERROR(FILTER('RR4 Player Stats'!AH$3:AH$50, ISNUMBER(SEARCH($A3,'RR4 Player Stats'!$A$3:$A$50))),0)
+IFERROR(FILTER('RR5 Player Stats'!AH$3:AH$50, ISNUMBER(SEARCH($A3,'RR5 Player Stats'!$A$3:$A$50)))"&amp;",0)"),13.0)</f>
        <v>13</v>
      </c>
      <c r="P3" s="38">
        <f>IFERROR(__xludf.DUMMYFUNCTION("IFERROR(FILTER('RR1 Player Stats'!AI$3:AI$50, ISNUMBER(SEARCH($A3,'RR1 Player Stats'!$A$3:$A$50))),0)
+IFERROR(FILTER('RR2 Player Stats'!AI$3:AI$50, ISNUMBER(SEARCH($A3,'RR2 Player Stats'!$A$3:$A$50))),0)
+IFERROR(FILTER('RR3 Player Stats'!AI$3:AI$50, ISN"&amp;"UMBER(SEARCH($A3,'RR3 Player Stats'!$A$3:$A$50))),0)
+IFERROR(FILTER('RR4 Player Stats'!AI$3:AI$50, ISNUMBER(SEARCH($A3,'RR4 Player Stats'!$A$3:$A$50))),0)
+IFERROR(FILTER('RR5 Player Stats'!AI$3:AI$50, ISNUMBER(SEARCH($A3,'RR5 Player Stats'!$A$3:$A$50)))"&amp;",0)"),48.0)</f>
        <v>48</v>
      </c>
      <c r="Q3" s="38">
        <f>IFERROR(__xludf.DUMMYFUNCTION("IFERROR(FILTER('RR1 Player Stats'!AJ$3:AJ$50, ISNUMBER(SEARCH($A3,'RR1 Player Stats'!$A$3:$A$50))),0)
+IFERROR(FILTER('RR2 Player Stats'!AJ$3:AJ$50, ISNUMBER(SEARCH($A3,'RR2 Player Stats'!$A$3:$A$50))),0)
+IFERROR(FILTER('RR3 Player Stats'!AJ$3:AJ$50, ISN"&amp;"UMBER(SEARCH($A3,'RR3 Player Stats'!$A$3:$A$50))),0)
+IFERROR(FILTER('RR4 Player Stats'!AJ$3:AJ$50, ISNUMBER(SEARCH($A3,'RR4 Player Stats'!$A$3:$A$50))),0)
+IFERROR(FILTER('RR5 Player Stats'!AJ$3:AJ$50, ISNUMBER(SEARCH($A3,'RR5 Player Stats'!$A$3:$A$50)))"&amp;",0)"),30.0)</f>
        <v>30</v>
      </c>
      <c r="R3" s="38">
        <f>IFERROR(__xludf.DUMMYFUNCTION("IFERROR(FILTER('RR1 Player Stats'!AK$3:AK$50, ISNUMBER(SEARCH($A3,'RR1 Player Stats'!$A$3:$A$50))),0)
+IFERROR(FILTER('RR2 Player Stats'!AK$3:AK$50, ISNUMBER(SEARCH($A3,'RR2 Player Stats'!$A$3:$A$50))),0)
+IFERROR(FILTER('RR3 Player Stats'!AK$3:AK$50, ISN"&amp;"UMBER(SEARCH($A3,'RR3 Player Stats'!$A$3:$A$50))),0)
+IFERROR(FILTER('RR4 Player Stats'!AK$3:AK$50, ISNUMBER(SEARCH($A3,'RR4 Player Stats'!$A$3:$A$50))),0)
+IFERROR(FILTER('RR5 Player Stats'!AK$3:AK$50, ISNUMBER(SEARCH($A3,'RR5 Player Stats'!$A$3:$A$50)))"&amp;",0)"),340.0)</f>
        <v>340</v>
      </c>
      <c r="S3" s="38">
        <f>IFERROR(__xludf.DUMMYFUNCTION("IFERROR(FILTER('RR1 Player Stats'!AL$3:AL$50, ISNUMBER(SEARCH($A3,'RR1 Player Stats'!$A$3:$A$50))),0)
+IFERROR(FILTER('RR2 Player Stats'!AL$3:AL$50, ISNUMBER(SEARCH($A3,'RR2 Player Stats'!$A$3:$A$50))),0)
+IFERROR(FILTER('RR3 Player Stats'!AL$3:AL$50, ISN"&amp;"UMBER(SEARCH($A3,'RR3 Player Stats'!$A$3:$A$50))),0)
+IFERROR(FILTER('RR4 Player Stats'!AL$3:AL$50, ISNUMBER(SEARCH($A3,'RR4 Player Stats'!$A$3:$A$50))),0)
+IFERROR(FILTER('RR5 Player Stats'!AL$3:AL$50, ISNUMBER(SEARCH($A3,'RR5 Player Stats'!$A$3:$A$50)))"&amp;",0)"),220.0)</f>
        <v>220</v>
      </c>
      <c r="T3" s="94">
        <f>IFERROR(__xludf.DUMMYFUNCTION("(IFERROR(FILTER('RR1 Player Stats'!AM$3:AM$50, ISNUMBER(SEARCH($A3,'RR1 Player Stats'!$A$3:$A$50))),0)
+IFERROR(FILTER('RR2 Player Stats'!AM$3:AM$50, ISNUMBER(SEARCH($A3,'RR2 Player Stats'!$A$3:$A$50))),0)
+IFERROR(FILTER('RR3 Player Stats'!AM$3:AM$50, IS"&amp;"NUMBER(SEARCH($A3,'RR3 Player Stats'!$A$3:$A$50))),0)
+IFERROR(FILTER('RR4 Player Stats'!AM$3:AM$50, ISNUMBER(SEARCH($A3,'RR4 Player Stats'!$A$3:$A$50))),0)
+IFERROR(FILTER('RR5 Player Stats'!AM$3:AM$50, ISNUMBER(SEARCH($A3,'RR5 Player Stats'!$A$3:$A$50))"&amp;"),0))/B3"),0.61)</f>
        <v>0.61</v>
      </c>
      <c r="U3" s="65">
        <f>IFERROR(__xludf.DUMMYFUNCTION("MEDIAN(IFERROR(FILTER('RR1 Player Stats'!AH$3:AH$50, ISNUMBER(SEARCH($A3,'RR1 Player Stats'!$A$3:$A$50))),0),IFERROR(FILTER('RR2 Player Stats'!AH$3:AH$50, ISNUMBER(SEARCH($A3,'RR2 Player Stats'!$A$3:$A$50))),0),IFERROR(FILTER('RR3 Player Stats'!AH$3:AH$50"&amp;", ISNUMBER(SEARCH($A3,'RR3 Player Stats'!$A$3:$A$50))),0),IFERROR(FILTER('RR4 Player Stats'!AH$3:AH$50, ISNUMBER(SEARCH($A3,'RR4 Player Stats'!$A$3:$A$50))),0),IFERROR(FILTER('RR5 Player Stats'!AH$3:AH$50, ISNUMBER(SEARCH($A3,'RR5 Player Stats'!$A$3:$A$50"&amp;"))),0))"),3.0)</f>
        <v>3</v>
      </c>
      <c r="V3" s="38">
        <f>IFERROR(__xludf.DUMMYFUNCTION("MEDIAN(IFERROR(FILTER('RR1 Player Stats'!AI$3:AI$50, ISNUMBER(SEARCH($A3,'RR1 Player Stats'!$A$3:$A$50))),0),IFERROR(FILTER('RR2 Player Stats'!AI$3:AI$50, ISNUMBER(SEARCH($A3,'RR2 Player Stats'!$A$3:$A$50))),0),IFERROR(FILTER('RR3 Player Stats'!AI$3:AI$50"&amp;", ISNUMBER(SEARCH($A3,'RR3 Player Stats'!$A$3:$A$50))),0),IFERROR(FILTER('RR4 Player Stats'!AI$3:AI$50, ISNUMBER(SEARCH($A3,'RR4 Player Stats'!$A$3:$A$50))),0),IFERROR(FILTER('RR5 Player Stats'!AI$3:AI$50, ISNUMBER(SEARCH($A3,'RR5 Player Stats'!$A$3:$A$50"&amp;"))),0))"),9.0)</f>
        <v>9</v>
      </c>
      <c r="W3" s="38">
        <f>IFERROR(__xludf.DUMMYFUNCTION("MEDIAN(IFERROR(FILTER('RR1 Player Stats'!AJ$3:AJ$50, ISNUMBER(SEARCH($A3,'RR1 Player Stats'!$A$3:$A$50))),0),IFERROR(FILTER('RR2 Player Stats'!AJ$3:AJ$50, ISNUMBER(SEARCH($A3,'RR2 Player Stats'!$A$3:$A$50))),0),IFERROR(FILTER('RR3 Player Stats'!AJ$3:AJ$50"&amp;", ISNUMBER(SEARCH($A3,'RR3 Player Stats'!$A$3:$A$50))),0),IFERROR(FILTER('RR4 Player Stats'!AJ$3:AJ$50, ISNUMBER(SEARCH($A3,'RR4 Player Stats'!$A$3:$A$50))),0),IFERROR(FILTER('RR5 Player Stats'!AJ$3:AJ$50, ISNUMBER(SEARCH($A3,'RR5 Player Stats'!$A$3:$A$50"&amp;"))),0))"),6.0)</f>
        <v>6</v>
      </c>
      <c r="X3" s="38">
        <f>IFERROR(__xludf.DUMMYFUNCTION("MEDIAN(IFERROR(FILTER('RR1 Player Stats'!AK$3:AK$50, ISNUMBER(SEARCH($A3,'RR1 Player Stats'!$A$3:$A$50))),0),IFERROR(FILTER('RR2 Player Stats'!AK$3:AK$50, ISNUMBER(SEARCH($A3,'RR2 Player Stats'!$A$3:$A$50))),0),IFERROR(FILTER('RR3 Player Stats'!AK$3:AK$50"&amp;", ISNUMBER(SEARCH($A3,'RR3 Player Stats'!$A$3:$A$50))),0),IFERROR(FILTER('RR4 Player Stats'!AK$3:AK$50, ISNUMBER(SEARCH($A3,'RR4 Player Stats'!$A$3:$A$50))),0),IFERROR(FILTER('RR5 Player Stats'!AK$3:AK$50, ISNUMBER(SEARCH($A3,'RR5 Player Stats'!$A$3:$A$50"&amp;"))),0))"),58.0)</f>
        <v>58</v>
      </c>
      <c r="Y3" s="38">
        <f>IFERROR(__xludf.DUMMYFUNCTION("MEDIAN(IFERROR(FILTER('RR1 Player Stats'!AL$3:AL$50, ISNUMBER(SEARCH($A3,'RR1 Player Stats'!$A$3:$A$50))),0),IFERROR(FILTER('RR2 Player Stats'!AL$3:AL$50, ISNUMBER(SEARCH($A3,'RR2 Player Stats'!$A$3:$A$50))),0),IFERROR(FILTER('RR3 Player Stats'!AL$3:AL$50"&amp;", ISNUMBER(SEARCH($A3,'RR3 Player Stats'!$A$3:$A$50))),0),IFERROR(FILTER('RR4 Player Stats'!AL$3:AL$50, ISNUMBER(SEARCH($A3,'RR4 Player Stats'!$A$3:$A$50))),0),IFERROR(FILTER('RR5 Player Stats'!AL$3:AL$50, ISNUMBER(SEARCH($A3,'RR5 Player Stats'!$A$3:$A$50"&amp;"))),0))"),34.0)</f>
        <v>34</v>
      </c>
      <c r="Z3" s="94">
        <f>IFERROR(__xludf.DUMMYFUNCTION("MEDIAN(IFERROR(FILTER('RR1 Player Stats'!AM$3:AM$50, ISNUMBER(SEARCH($A3,'RR1 Player Stats'!$A$3:$A$50))),0),IFERROR(FILTER('RR2 Player Stats'!AM$3:AM$50, ISNUMBER(SEARCH($A3,'RR2 Player Stats'!$A$3:$A$50))),0),IFERROR(FILTER('RR3 Player Stats'!AM$3:AM$50"&amp;", ISNUMBER(SEARCH($A3,'RR3 Player Stats'!$A$3:$A$50))),0),IFERROR(FILTER('RR4 Player Stats'!AM$3:AM$50, ISNUMBER(SEARCH($A3,'RR4 Player Stats'!$A$3:$A$50))),0),IFERROR(FILTER('RR5 Player Stats'!AM$3:AM$50, ISNUMBER(SEARCH($A3,'RR5 Player Stats'!$A$3:$A$50"&amp;"))),0))"),0.55)</f>
        <v>0.55</v>
      </c>
    </row>
    <row r="4">
      <c r="A4" s="29" t="s">
        <v>51</v>
      </c>
      <c r="B4" s="48">
        <f>COUNTIF('RR1 Player Stats'!$A$3:$A$50,$A4)+COUNTIF('RR2 Player Stats'!$A$3:$A$50,$A4)+COUNTIF('RR3 Player Stats'!$A$3:$A$50,$A4)+COUNTIF('RR4 Player Stats'!$A$3:$A$50,$A4)+COUNTIF('RR5 Player Stats'!$A$3:$A$50,$A4)</f>
        <v>5</v>
      </c>
      <c r="C4" s="55">
        <f>IFERROR(__xludf.DUMMYFUNCTION("IFERROR(FILTER('RR1 Player Stats'!V$3:V$50, ISNUMBER(SEARCH($A4,'RR1 Player Stats'!$A$3:$A$50))),0)
+IFERROR(FILTER('RR2 Player Stats'!V$3:V$50, ISNUMBER(SEARCH($A4,'RR2 Player Stats'!$A$3:$A$50))),0)
+IFERROR(FILTER('RR3 Player Stats'!V$3:V$50, ISNUMBER("&amp;"SEARCH($A4,'RR3 Player Stats'!$A$3:$A$50))),0)
+IFERROR(FILTER('RR4 Player Stats'!V$3:V$50, ISNUMBER(SEARCH($A4,'RR4 Player Stats'!$A$3:$A$50))),0)
+IFERROR(FILTER('RR5 Player Stats'!V$3:V$50, ISNUMBER(SEARCH($A4,'RR5 Player Stats'!$A$3:$A$50))),0)"),12.0)</f>
        <v>12</v>
      </c>
      <c r="D4" s="57">
        <f>IFERROR(__xludf.DUMMYFUNCTION("IFERROR(FILTER('RR1 Player Stats'!W$3:W$50, ISNUMBER(SEARCH($A4,'RR1 Player Stats'!$A$3:$A$50))),0)
+IFERROR(FILTER('RR2 Player Stats'!W$3:W$50, ISNUMBER(SEARCH($A4,'RR2 Player Stats'!$A$3:$A$50))),0)
+IFERROR(FILTER('RR3 Player Stats'!W$3:W$50, ISNUMBER("&amp;"SEARCH($A4,'RR3 Player Stats'!$A$3:$A$50))),0)
+IFERROR(FILTER('RR4 Player Stats'!W$3:W$50, ISNUMBER(SEARCH($A4,'RR4 Player Stats'!$A$3:$A$50))),0)
+IFERROR(FILTER('RR5 Player Stats'!W$3:W$50, ISNUMBER(SEARCH($A4,'RR5 Player Stats'!$A$3:$A$50))),0)"),27.0)</f>
        <v>27</v>
      </c>
      <c r="E4" s="57">
        <f>IFERROR(__xludf.DUMMYFUNCTION("IFERROR(FILTER('RR1 Player Stats'!X$3:X$50, ISNUMBER(SEARCH($A4,'RR1 Player Stats'!$A$3:$A$50))),0)
+IFERROR(FILTER('RR2 Player Stats'!X$3:X$50, ISNUMBER(SEARCH($A4,'RR2 Player Stats'!$A$3:$A$50))),0)
+IFERROR(FILTER('RR3 Player Stats'!X$3:X$50, ISNUMBER("&amp;"SEARCH($A4,'RR3 Player Stats'!$A$3:$A$50))),0)
+IFERROR(FILTER('RR4 Player Stats'!X$3:X$50, ISNUMBER(SEARCH($A4,'RR4 Player Stats'!$A$3:$A$50))),0)
+IFERROR(FILTER('RR5 Player Stats'!X$3:X$50, ISNUMBER(SEARCH($A4,'RR5 Player Stats'!$A$3:$A$50))),0)"),6.0)</f>
        <v>6</v>
      </c>
      <c r="F4" s="57">
        <f>IFERROR(__xludf.DUMMYFUNCTION("IFERROR(FILTER('RR1 Player Stats'!Y$3:Y$50, ISNUMBER(SEARCH($A4,'RR1 Player Stats'!$A$3:$A$50))),0)
+IFERROR(FILTER('RR2 Player Stats'!Y$3:Y$50, ISNUMBER(SEARCH($A4,'RR2 Player Stats'!$A$3:$A$50))),0)
+IFERROR(FILTER('RR3 Player Stats'!Y$3:Y$50, ISNUMBER("&amp;"SEARCH($A4,'RR3 Player Stats'!$A$3:$A$50))),0)
+IFERROR(FILTER('RR4 Player Stats'!Y$3:Y$50, ISNUMBER(SEARCH($A4,'RR4 Player Stats'!$A$3:$A$50))),0)
+IFERROR(FILTER('RR5 Player Stats'!Y$3:Y$50, ISNUMBER(SEARCH($A4,'RR5 Player Stats'!$A$3:$A$50))),0)"),210.0)</f>
        <v>210</v>
      </c>
      <c r="G4" s="57">
        <f>IFERROR(__xludf.DUMMYFUNCTION("IFERROR(FILTER('RR1 Player Stats'!Z$3:Z$50, ISNUMBER(SEARCH($A4,'RR1 Player Stats'!$A$3:$A$50))),0)
+IFERROR(FILTER('RR2 Player Stats'!Z$3:Z$50, ISNUMBER(SEARCH($A4,'RR2 Player Stats'!$A$3:$A$50))),0)
+IFERROR(FILTER('RR3 Player Stats'!Z$3:Z$50, ISNUMBER("&amp;"SEARCH($A4,'RR3 Player Stats'!$A$3:$A$50))),0)
+IFERROR(FILTER('RR4 Player Stats'!Z$3:Z$50, ISNUMBER(SEARCH($A4,'RR4 Player Stats'!$A$3:$A$50))),0)
+IFERROR(FILTER('RR5 Player Stats'!Z$3:Z$50, ISNUMBER(SEARCH($A4,'RR5 Player Stats'!$A$3:$A$50))),0)"),186.0)</f>
        <v>186</v>
      </c>
      <c r="H4" s="180">
        <f>IFERROR(__xludf.DUMMYFUNCTION("(IFERROR(FILTER('RR1 Player Stats'!AA$3:AA$50, ISNUMBER(SEARCH($A4,'RR1 Player Stats'!$A$3:$A$50))),0)
+IFERROR(FILTER('RR2 Player Stats'!AA$3:AA$50, ISNUMBER(SEARCH($A4,'RR2 Player Stats'!$A$3:$A$50))),0)
+IFERROR(FILTER('RR3 Player Stats'!AA$3:AA$50, IS"&amp;"NUMBER(SEARCH($A4,'RR3 Player Stats'!$A$3:$A$50))),0)
+IFERROR(FILTER('RR4 Player Stats'!AA$3:AA$50, ISNUMBER(SEARCH($A4,'RR4 Player Stats'!$A$3:$A$50))),0)
+IFERROR(FILTER('RR5 Player Stats'!AA$3:AA$50, ISNUMBER(SEARCH($A4,'RR5 Player Stats'!$A$3:$A$50))"&amp;"),0))/5"),0.6519999999999999)</f>
        <v>0.652</v>
      </c>
      <c r="I4" s="55">
        <f>IFERROR(__xludf.DUMMYFUNCTION("IFERROR(FILTER('RR1 Player Stats'!AB$3:AB$50, ISNUMBER(SEARCH($A4,'RR1 Player Stats'!$A$3:$A$50))),0)
+IFERROR(FILTER('RR2 Player Stats'!AB$3:AB$50, ISNUMBER(SEARCH($A4,'RR2 Player Stats'!$A$3:$A$50))),0)
+IFERROR(FILTER('RR3 Player Stats'!AB$3:AB$50, ISN"&amp;"UMBER(SEARCH($A4,'RR3 Player Stats'!$A$3:$A$50))),0)
+IFERROR(FILTER('RR4 Player Stats'!AB$3:AB$50, ISNUMBER(SEARCH($A4,'RR4 Player Stats'!$A$3:$A$50))),0)
+IFERROR(FILTER('RR5 Player Stats'!AB$3:AB$50, ISNUMBER(SEARCH($A4,'RR5 Player Stats'!$A$3:$A$50)))"&amp;",0)"),10.0)</f>
        <v>10</v>
      </c>
      <c r="J4" s="57">
        <f>IFERROR(__xludf.DUMMYFUNCTION("IFERROR(FILTER('RR1 Player Stats'!AC$3:AC$50, ISNUMBER(SEARCH($A4,'RR1 Player Stats'!$A$3:$A$50))),0)
+IFERROR(FILTER('RR2 Player Stats'!AC$3:AC$50, ISNUMBER(SEARCH($A4,'RR2 Player Stats'!$A$3:$A$50))),0)
+IFERROR(FILTER('RR3 Player Stats'!AC$3:AC$50, ISN"&amp;"UMBER(SEARCH($A4,'RR3 Player Stats'!$A$3:$A$50))),0)
+IFERROR(FILTER('RR4 Player Stats'!AC$3:AC$50, ISNUMBER(SEARCH($A4,'RR4 Player Stats'!$A$3:$A$50))),0)
+IFERROR(FILTER('RR5 Player Stats'!AC$3:AC$50, ISNUMBER(SEARCH($A4,'RR5 Player Stats'!$A$3:$A$50)))"&amp;",0)"),10.0)</f>
        <v>10</v>
      </c>
      <c r="K4" s="57">
        <f>IFERROR(__xludf.DUMMYFUNCTION("IFERROR(FILTER('RR1 Player Stats'!AD$3:AD$50, ISNUMBER(SEARCH($A4,'RR1 Player Stats'!$A$3:$A$50))),0)
+IFERROR(FILTER('RR2 Player Stats'!AD$3:AD$50, ISNUMBER(SEARCH($A4,'RR2 Player Stats'!$A$3:$A$50))),0)
+IFERROR(FILTER('RR3 Player Stats'!AD$3:AD$50, ISN"&amp;"UMBER(SEARCH($A4,'RR3 Player Stats'!$A$3:$A$50))),0)
+IFERROR(FILTER('RR4 Player Stats'!AD$3:AD$50, ISNUMBER(SEARCH($A4,'RR4 Player Stats'!$A$3:$A$50))),0)
+IFERROR(FILTER('RR5 Player Stats'!AD$3:AD$50, ISNUMBER(SEARCH($A4,'RR5 Player Stats'!$A$3:$A$50)))"&amp;",0)"),6.0)</f>
        <v>6</v>
      </c>
      <c r="L4" s="57">
        <f>IFERROR(__xludf.DUMMYFUNCTION("IFERROR(FILTER('RR1 Player Stats'!AE$3:AE$50, ISNUMBER(SEARCH($A4,'RR1 Player Stats'!$A$3:$A$50))),0)
+IFERROR(FILTER('RR2 Player Stats'!AE$3:AE$50, ISNUMBER(SEARCH($A4,'RR2 Player Stats'!$A$3:$A$50))),0)
+IFERROR(FILTER('RR3 Player Stats'!AE$3:AE$50, ISN"&amp;"UMBER(SEARCH($A4,'RR3 Player Stats'!$A$3:$A$50))),0)
+IFERROR(FILTER('RR4 Player Stats'!AE$3:AE$50, ISNUMBER(SEARCH($A4,'RR4 Player Stats'!$A$3:$A$50))),0)
+IFERROR(FILTER('RR5 Player Stats'!AE$3:AE$50, ISNUMBER(SEARCH($A4,'RR5 Player Stats'!$A$3:$A$50)))"&amp;",0)"),100.0)</f>
        <v>100</v>
      </c>
      <c r="M4" s="57">
        <f>IFERROR(__xludf.DUMMYFUNCTION("IFERROR(FILTER('RR1 Player Stats'!AF$3:AF$50, ISNUMBER(SEARCH($A4,'RR1 Player Stats'!$A$3:$A$50))),0)
+IFERROR(FILTER('RR2 Player Stats'!AF$3:AF$50, ISNUMBER(SEARCH($A4,'RR2 Player Stats'!$A$3:$A$50))),0)
+IFERROR(FILTER('RR3 Player Stats'!AF$3:AF$50, ISN"&amp;"UMBER(SEARCH($A4,'RR3 Player Stats'!$A$3:$A$50))),0)
+IFERROR(FILTER('RR4 Player Stats'!AF$3:AF$50, ISNUMBER(SEARCH($A4,'RR4 Player Stats'!$A$3:$A$50))),0)
+IFERROR(FILTER('RR5 Player Stats'!AF$3:AF$50, ISNUMBER(SEARCH($A4,'RR5 Player Stats'!$A$3:$A$50)))"&amp;",0)"),76.0)</f>
        <v>76</v>
      </c>
      <c r="N4" s="180">
        <f>IFERROR(__xludf.DUMMYFUNCTION("(IFERROR(FILTER('RR1 Player Stats'!AG$3:AG$50, ISNUMBER(SEARCH($A4,'RR1 Player Stats'!$A$3:$A$50))),0)
+IFERROR(FILTER('RR2 Player Stats'!AG$3:AG$50, ISNUMBER(SEARCH($A4,'RR2 Player Stats'!$A$3:$A$50))),0)
+IFERROR(FILTER('RR3 Player Stats'!AG$3:AG$50, IS"&amp;"NUMBER(SEARCH($A4,'RR3 Player Stats'!$A$3:$A$50))),0)
+IFERROR(FILTER('RR4 Player Stats'!AG$3:AG$50, ISNUMBER(SEARCH($A4,'RR4 Player Stats'!$A$3:$A$50))),0)
+IFERROR(FILTER('RR5 Player Stats'!AG$3:AG$50, ISNUMBER(SEARCH($A4,'RR5 Player Stats'!$A$3:$A$50))"&amp;"),0))/5"),0.504)</f>
        <v>0.504</v>
      </c>
      <c r="O4" s="55">
        <f>IFERROR(__xludf.DUMMYFUNCTION("IFERROR(FILTER('RR1 Player Stats'!AH$3:AH$50, ISNUMBER(SEARCH($A4,'RR1 Player Stats'!$A$3:$A$50))),0)
+IFERROR(FILTER('RR2 Player Stats'!AH$3:AH$50, ISNUMBER(SEARCH($A4,'RR2 Player Stats'!$A$3:$A$50))),0)
+IFERROR(FILTER('RR3 Player Stats'!AH$3:AH$50, ISN"&amp;"UMBER(SEARCH($A4,'RR3 Player Stats'!$A$3:$A$50))),0)
+IFERROR(FILTER('RR4 Player Stats'!AH$3:AH$50, ISNUMBER(SEARCH($A4,'RR4 Player Stats'!$A$3:$A$50))),0)
+IFERROR(FILTER('RR5 Player Stats'!AH$3:AH$50, ISNUMBER(SEARCH($A4,'RR5 Player Stats'!$A$3:$A$50)))"&amp;",0)"),22.0)</f>
        <v>22</v>
      </c>
      <c r="P4" s="57">
        <f>IFERROR(__xludf.DUMMYFUNCTION("IFERROR(FILTER('RR1 Player Stats'!AI$3:AI$50, ISNUMBER(SEARCH($A4,'RR1 Player Stats'!$A$3:$A$50))),0)
+IFERROR(FILTER('RR2 Player Stats'!AI$3:AI$50, ISNUMBER(SEARCH($A4,'RR2 Player Stats'!$A$3:$A$50))),0)
+IFERROR(FILTER('RR3 Player Stats'!AI$3:AI$50, ISN"&amp;"UMBER(SEARCH($A4,'RR3 Player Stats'!$A$3:$A$50))),0)
+IFERROR(FILTER('RR4 Player Stats'!AI$3:AI$50, ISNUMBER(SEARCH($A4,'RR4 Player Stats'!$A$3:$A$50))),0)
+IFERROR(FILTER('RR5 Player Stats'!AI$3:AI$50, ISNUMBER(SEARCH($A4,'RR5 Player Stats'!$A$3:$A$50)))"&amp;",0)"),37.0)</f>
        <v>37</v>
      </c>
      <c r="Q4" s="57">
        <f>IFERROR(__xludf.DUMMYFUNCTION("IFERROR(FILTER('RR1 Player Stats'!AJ$3:AJ$50, ISNUMBER(SEARCH($A4,'RR1 Player Stats'!$A$3:$A$50))),0)
+IFERROR(FILTER('RR2 Player Stats'!AJ$3:AJ$50, ISNUMBER(SEARCH($A4,'RR2 Player Stats'!$A$3:$A$50))),0)
+IFERROR(FILTER('RR3 Player Stats'!AJ$3:AJ$50, ISN"&amp;"UMBER(SEARCH($A4,'RR3 Player Stats'!$A$3:$A$50))),0)
+IFERROR(FILTER('RR4 Player Stats'!AJ$3:AJ$50, ISNUMBER(SEARCH($A4,'RR4 Player Stats'!$A$3:$A$50))),0)
+IFERROR(FILTER('RR5 Player Stats'!AJ$3:AJ$50, ISNUMBER(SEARCH($A4,'RR5 Player Stats'!$A$3:$A$50)))"&amp;",0)"),12.0)</f>
        <v>12</v>
      </c>
      <c r="R4" s="57">
        <f>IFERROR(__xludf.DUMMYFUNCTION("IFERROR(FILTER('RR1 Player Stats'!AK$3:AK$50, ISNUMBER(SEARCH($A4,'RR1 Player Stats'!$A$3:$A$50))),0)
+IFERROR(FILTER('RR2 Player Stats'!AK$3:AK$50, ISNUMBER(SEARCH($A4,'RR2 Player Stats'!$A$3:$A$50))),0)
+IFERROR(FILTER('RR3 Player Stats'!AK$3:AK$50, ISN"&amp;"UMBER(SEARCH($A4,'RR3 Player Stats'!$A$3:$A$50))),0)
+IFERROR(FILTER('RR4 Player Stats'!AK$3:AK$50, ISNUMBER(SEARCH($A4,'RR4 Player Stats'!$A$3:$A$50))),0)
+IFERROR(FILTER('RR5 Player Stats'!AK$3:AK$50, ISNUMBER(SEARCH($A4,'RR5 Player Stats'!$A$3:$A$50)))"&amp;",0)"),310.0)</f>
        <v>310</v>
      </c>
      <c r="S4" s="57">
        <f>IFERROR(__xludf.DUMMYFUNCTION("IFERROR(FILTER('RR1 Player Stats'!AL$3:AL$50, ISNUMBER(SEARCH($A4,'RR1 Player Stats'!$A$3:$A$50))),0)
+IFERROR(FILTER('RR2 Player Stats'!AL$3:AL$50, ISNUMBER(SEARCH($A4,'RR2 Player Stats'!$A$3:$A$50))),0)
+IFERROR(FILTER('RR3 Player Stats'!AL$3:AL$50, ISN"&amp;"UMBER(SEARCH($A4,'RR3 Player Stats'!$A$3:$A$50))),0)
+IFERROR(FILTER('RR4 Player Stats'!AL$3:AL$50, ISNUMBER(SEARCH($A4,'RR4 Player Stats'!$A$3:$A$50))),0)
+IFERROR(FILTER('RR5 Player Stats'!AL$3:AL$50, ISNUMBER(SEARCH($A4,'RR5 Player Stats'!$A$3:$A$50)))"&amp;",0)"),262.0)</f>
        <v>262</v>
      </c>
      <c r="T4" s="180">
        <f>IFERROR(__xludf.DUMMYFUNCTION("(IFERROR(FILTER('RR1 Player Stats'!AM$3:AM$50, ISNUMBER(SEARCH($A4,'RR1 Player Stats'!$A$3:$A$50))),0)
+IFERROR(FILTER('RR2 Player Stats'!AM$3:AM$50, ISNUMBER(SEARCH($A4,'RR2 Player Stats'!$A$3:$A$50))),0)
+IFERROR(FILTER('RR3 Player Stats'!AM$3:AM$50, IS"&amp;"NUMBER(SEARCH($A4,'RR3 Player Stats'!$A$3:$A$50))),0)
+IFERROR(FILTER('RR4 Player Stats'!AM$3:AM$50, ISNUMBER(SEARCH($A4,'RR4 Player Stats'!$A$3:$A$50))),0)
+IFERROR(FILTER('RR5 Player Stats'!AM$3:AM$50, ISNUMBER(SEARCH($A4,'RR5 Player Stats'!$A$3:$A$50))"&amp;"),0))/B4"),0.5900000000000001)</f>
        <v>0.59</v>
      </c>
      <c r="U4" s="55">
        <f>IFERROR(__xludf.DUMMYFUNCTION("MEDIAN(IFERROR(FILTER('RR1 Player Stats'!AH$3:AH$50, ISNUMBER(SEARCH($A4,'RR1 Player Stats'!$A$3:$A$50))),0),IFERROR(FILTER('RR2 Player Stats'!AH$3:AH$50, ISNUMBER(SEARCH($A4,'RR2 Player Stats'!$A$3:$A$50))),0),IFERROR(FILTER('RR3 Player Stats'!AH$3:AH$50"&amp;", ISNUMBER(SEARCH($A4,'RR3 Player Stats'!$A$3:$A$50))),0),IFERROR(FILTER('RR4 Player Stats'!AH$3:AH$50, ISNUMBER(SEARCH($A4,'RR4 Player Stats'!$A$3:$A$50))),0),IFERROR(FILTER('RR5 Player Stats'!AH$3:AH$50, ISNUMBER(SEARCH($A4,'RR5 Player Stats'!$A$3:$A$50"&amp;"))),0))"),5.0)</f>
        <v>5</v>
      </c>
      <c r="V4" s="57">
        <f>IFERROR(__xludf.DUMMYFUNCTION("MEDIAN(IFERROR(FILTER('RR1 Player Stats'!AI$3:AI$50, ISNUMBER(SEARCH($A4,'RR1 Player Stats'!$A$3:$A$50))),0),IFERROR(FILTER('RR2 Player Stats'!AI$3:AI$50, ISNUMBER(SEARCH($A4,'RR2 Player Stats'!$A$3:$A$50))),0),IFERROR(FILTER('RR3 Player Stats'!AI$3:AI$50"&amp;", ISNUMBER(SEARCH($A4,'RR3 Player Stats'!$A$3:$A$50))),0),IFERROR(FILTER('RR4 Player Stats'!AI$3:AI$50, ISNUMBER(SEARCH($A4,'RR4 Player Stats'!$A$3:$A$50))),0),IFERROR(FILTER('RR5 Player Stats'!AI$3:AI$50, ISNUMBER(SEARCH($A4,'RR5 Player Stats'!$A$3:$A$50"&amp;"))),0))"),7.0)</f>
        <v>7</v>
      </c>
      <c r="W4" s="57">
        <f>IFERROR(__xludf.DUMMYFUNCTION("MEDIAN(IFERROR(FILTER('RR1 Player Stats'!AJ$3:AJ$50, ISNUMBER(SEARCH($A4,'RR1 Player Stats'!$A$3:$A$50))),0),IFERROR(FILTER('RR2 Player Stats'!AJ$3:AJ$50, ISNUMBER(SEARCH($A4,'RR2 Player Stats'!$A$3:$A$50))),0),IFERROR(FILTER('RR3 Player Stats'!AJ$3:AJ$50"&amp;", ISNUMBER(SEARCH($A4,'RR3 Player Stats'!$A$3:$A$50))),0),IFERROR(FILTER('RR4 Player Stats'!AJ$3:AJ$50, ISNUMBER(SEARCH($A4,'RR4 Player Stats'!$A$3:$A$50))),0),IFERROR(FILTER('RR5 Player Stats'!AJ$3:AJ$50, ISNUMBER(SEARCH($A4,'RR5 Player Stats'!$A$3:$A$50"&amp;"))),0))"),2.0)</f>
        <v>2</v>
      </c>
      <c r="X4" s="57">
        <f>IFERROR(__xludf.DUMMYFUNCTION("MEDIAN(IFERROR(FILTER('RR1 Player Stats'!AK$3:AK$50, ISNUMBER(SEARCH($A4,'RR1 Player Stats'!$A$3:$A$50))),0),IFERROR(FILTER('RR2 Player Stats'!AK$3:AK$50, ISNUMBER(SEARCH($A4,'RR2 Player Stats'!$A$3:$A$50))),0),IFERROR(FILTER('RR3 Player Stats'!AK$3:AK$50"&amp;", ISNUMBER(SEARCH($A4,'RR3 Player Stats'!$A$3:$A$50))),0),IFERROR(FILTER('RR4 Player Stats'!AK$3:AK$50, ISNUMBER(SEARCH($A4,'RR4 Player Stats'!$A$3:$A$50))),0),IFERROR(FILTER('RR5 Player Stats'!AK$3:AK$50, ISNUMBER(SEARCH($A4,'RR5 Player Stats'!$A$3:$A$50"&amp;"))),0))"),66.0)</f>
        <v>66</v>
      </c>
      <c r="Y4" s="57">
        <f>IFERROR(__xludf.DUMMYFUNCTION("MEDIAN(IFERROR(FILTER('RR1 Player Stats'!AL$3:AL$50, ISNUMBER(SEARCH($A4,'RR1 Player Stats'!$A$3:$A$50))),0),IFERROR(FILTER('RR2 Player Stats'!AL$3:AL$50, ISNUMBER(SEARCH($A4,'RR2 Player Stats'!$A$3:$A$50))),0),IFERROR(FILTER('RR3 Player Stats'!AL$3:AL$50"&amp;", ISNUMBER(SEARCH($A4,'RR3 Player Stats'!$A$3:$A$50))),0),IFERROR(FILTER('RR4 Player Stats'!AL$3:AL$50, ISNUMBER(SEARCH($A4,'RR4 Player Stats'!$A$3:$A$50))),0),IFERROR(FILTER('RR5 Player Stats'!AL$3:AL$50, ISNUMBER(SEARCH($A4,'RR5 Player Stats'!$A$3:$A$50"&amp;"))),0))"),58.0)</f>
        <v>58</v>
      </c>
      <c r="Z4" s="180">
        <f>IFERROR(__xludf.DUMMYFUNCTION("MEDIAN(IFERROR(FILTER('RR1 Player Stats'!AM$3:AM$50, ISNUMBER(SEARCH($A4,'RR1 Player Stats'!$A$3:$A$50))),0),IFERROR(FILTER('RR2 Player Stats'!AM$3:AM$50, ISNUMBER(SEARCH($A4,'RR2 Player Stats'!$A$3:$A$50))),0),IFERROR(FILTER('RR3 Player Stats'!AM$3:AM$50"&amp;", ISNUMBER(SEARCH($A4,'RR3 Player Stats'!$A$3:$A$50))),0),IFERROR(FILTER('RR4 Player Stats'!AM$3:AM$50, ISNUMBER(SEARCH($A4,'RR4 Player Stats'!$A$3:$A$50))),0),IFERROR(FILTER('RR5 Player Stats'!AM$3:AM$50, ISNUMBER(SEARCH($A4,'RR5 Player Stats'!$A$3:$A$50"&amp;"))),0))"),0.65)</f>
        <v>0.65</v>
      </c>
    </row>
    <row r="5">
      <c r="A5" s="29" t="s">
        <v>70</v>
      </c>
      <c r="B5" s="48">
        <f>COUNTIF('RR1 Player Stats'!$A$3:$A$50,$A5)+COUNTIF('RR2 Player Stats'!$A$3:$A$50,$A5)+COUNTIF('RR3 Player Stats'!$A$3:$A$50,$A5)+COUNTIF('RR4 Player Stats'!$A$3:$A$50,$A5)+COUNTIF('RR5 Player Stats'!$A$3:$A$50,$A5)</f>
        <v>5</v>
      </c>
      <c r="C5" s="55">
        <f>IFERROR(__xludf.DUMMYFUNCTION("IFERROR(FILTER('RR1 Player Stats'!V$3:V$50, ISNUMBER(SEARCH($A5,'RR1 Player Stats'!$A$3:$A$50))),0)
+IFERROR(FILTER('RR2 Player Stats'!V$3:V$50, ISNUMBER(SEARCH($A5,'RR2 Player Stats'!$A$3:$A$50))),0)
+IFERROR(FILTER('RR3 Player Stats'!V$3:V$50, ISNUMBER("&amp;"SEARCH($A5,'RR3 Player Stats'!$A$3:$A$50))),0)
+IFERROR(FILTER('RR4 Player Stats'!V$3:V$50, ISNUMBER(SEARCH($A5,'RR4 Player Stats'!$A$3:$A$50))),0)
+IFERROR(FILTER('RR5 Player Stats'!V$3:V$50, ISNUMBER(SEARCH($A5,'RR5 Player Stats'!$A$3:$A$50))),0)"),21.0)</f>
        <v>21</v>
      </c>
      <c r="D5" s="57">
        <f>IFERROR(__xludf.DUMMYFUNCTION("IFERROR(FILTER('RR1 Player Stats'!W$3:W$50, ISNUMBER(SEARCH($A5,'RR1 Player Stats'!$A$3:$A$50))),0)
+IFERROR(FILTER('RR2 Player Stats'!W$3:W$50, ISNUMBER(SEARCH($A5,'RR2 Player Stats'!$A$3:$A$50))),0)
+IFERROR(FILTER('RR3 Player Stats'!W$3:W$50, ISNUMBER("&amp;"SEARCH($A5,'RR3 Player Stats'!$A$3:$A$50))),0)
+IFERROR(FILTER('RR4 Player Stats'!W$3:W$50, ISNUMBER(SEARCH($A5,'RR4 Player Stats'!$A$3:$A$50))),0)
+IFERROR(FILTER('RR5 Player Stats'!W$3:W$50, ISNUMBER(SEARCH($A5,'RR5 Player Stats'!$A$3:$A$50))),0)"),18.0)</f>
        <v>18</v>
      </c>
      <c r="E5" s="57">
        <f>IFERROR(__xludf.DUMMYFUNCTION("IFERROR(FILTER('RR1 Player Stats'!X$3:X$50, ISNUMBER(SEARCH($A5,'RR1 Player Stats'!$A$3:$A$50))),0)
+IFERROR(FILTER('RR2 Player Stats'!X$3:X$50, ISNUMBER(SEARCH($A5,'RR2 Player Stats'!$A$3:$A$50))),0)
+IFERROR(FILTER('RR3 Player Stats'!X$3:X$50, ISNUMBER("&amp;"SEARCH($A5,'RR3 Player Stats'!$A$3:$A$50))),0)
+IFERROR(FILTER('RR4 Player Stats'!X$3:X$50, ISNUMBER(SEARCH($A5,'RR4 Player Stats'!$A$3:$A$50))),0)
+IFERROR(FILTER('RR5 Player Stats'!X$3:X$50, ISNUMBER(SEARCH($A5,'RR5 Player Stats'!$A$3:$A$50))),0)"),4.0)</f>
        <v>4</v>
      </c>
      <c r="F5" s="57">
        <f>IFERROR(__xludf.DUMMYFUNCTION("IFERROR(FILTER('RR1 Player Stats'!Y$3:Y$50, ISNUMBER(SEARCH($A5,'RR1 Player Stats'!$A$3:$A$50))),0)
+IFERROR(FILTER('RR2 Player Stats'!Y$3:Y$50, ISNUMBER(SEARCH($A5,'RR2 Player Stats'!$A$3:$A$50))),0)
+IFERROR(FILTER('RR3 Player Stats'!Y$3:Y$50, ISNUMBER("&amp;"SEARCH($A5,'RR3 Player Stats'!$A$3:$A$50))),0)
+IFERROR(FILTER('RR4 Player Stats'!Y$3:Y$50, ISNUMBER(SEARCH($A5,'RR4 Player Stats'!$A$3:$A$50))),0)
+IFERROR(FILTER('RR5 Player Stats'!Y$3:Y$50, ISNUMBER(SEARCH($A5,'RR5 Player Stats'!$A$3:$A$50))),0)"),192.0)</f>
        <v>192</v>
      </c>
      <c r="G5" s="57">
        <f>IFERROR(__xludf.DUMMYFUNCTION("IFERROR(FILTER('RR1 Player Stats'!Z$3:Z$50, ISNUMBER(SEARCH($A5,'RR1 Player Stats'!$A$3:$A$50))),0)
+IFERROR(FILTER('RR2 Player Stats'!Z$3:Z$50, ISNUMBER(SEARCH($A5,'RR2 Player Stats'!$A$3:$A$50))),0)
+IFERROR(FILTER('RR3 Player Stats'!Z$3:Z$50, ISNUMBER("&amp;"SEARCH($A5,'RR3 Player Stats'!$A$3:$A$50))),0)
+IFERROR(FILTER('RR4 Player Stats'!Z$3:Z$50, ISNUMBER(SEARCH($A5,'RR4 Player Stats'!$A$3:$A$50))),0)
+IFERROR(FILTER('RR5 Player Stats'!Z$3:Z$50, ISNUMBER(SEARCH($A5,'RR5 Player Stats'!$A$3:$A$50))),0)"),176.0)</f>
        <v>176</v>
      </c>
      <c r="H5" s="180">
        <f>IFERROR(__xludf.DUMMYFUNCTION("(IFERROR(FILTER('RR1 Player Stats'!AA$3:AA$50, ISNUMBER(SEARCH($A5,'RR1 Player Stats'!$A$3:$A$50))),0)
+IFERROR(FILTER('RR2 Player Stats'!AA$3:AA$50, ISNUMBER(SEARCH($A5,'RR2 Player Stats'!$A$3:$A$50))),0)
+IFERROR(FILTER('RR3 Player Stats'!AA$3:AA$50, IS"&amp;"NUMBER(SEARCH($A5,'RR3 Player Stats'!$A$3:$A$50))),0)
+IFERROR(FILTER('RR4 Player Stats'!AA$3:AA$50, ISNUMBER(SEARCH($A5,'RR4 Player Stats'!$A$3:$A$50))),0)
+IFERROR(FILTER('RR5 Player Stats'!AA$3:AA$50, ISNUMBER(SEARCH($A5,'RR5 Player Stats'!$A$3:$A$50))"&amp;"),0))/5"),0.6519999999999999)</f>
        <v>0.652</v>
      </c>
      <c r="I5" s="55">
        <f>IFERROR(__xludf.DUMMYFUNCTION("IFERROR(FILTER('RR1 Player Stats'!AB$3:AB$50, ISNUMBER(SEARCH($A5,'RR1 Player Stats'!$A$3:$A$50))),0)
+IFERROR(FILTER('RR2 Player Stats'!AB$3:AB$50, ISNUMBER(SEARCH($A5,'RR2 Player Stats'!$A$3:$A$50))),0)
+IFERROR(FILTER('RR3 Player Stats'!AB$3:AB$50, ISN"&amp;"UMBER(SEARCH($A5,'RR3 Player Stats'!$A$3:$A$50))),0)
+IFERROR(FILTER('RR4 Player Stats'!AB$3:AB$50, ISNUMBER(SEARCH($A5,'RR4 Player Stats'!$A$3:$A$50))),0)
+IFERROR(FILTER('RR5 Player Stats'!AB$3:AB$50, ISNUMBER(SEARCH($A5,'RR5 Player Stats'!$A$3:$A$50)))"&amp;",0)"),10.0)</f>
        <v>10</v>
      </c>
      <c r="J5" s="57">
        <f>IFERROR(__xludf.DUMMYFUNCTION("IFERROR(FILTER('RR1 Player Stats'!AC$3:AC$50, ISNUMBER(SEARCH($A5,'RR1 Player Stats'!$A$3:$A$50))),0)
+IFERROR(FILTER('RR2 Player Stats'!AC$3:AC$50, ISNUMBER(SEARCH($A5,'RR2 Player Stats'!$A$3:$A$50))),0)
+IFERROR(FILTER('RR3 Player Stats'!AC$3:AC$50, ISN"&amp;"UMBER(SEARCH($A5,'RR3 Player Stats'!$A$3:$A$50))),0)
+IFERROR(FILTER('RR4 Player Stats'!AC$3:AC$50, ISNUMBER(SEARCH($A5,'RR4 Player Stats'!$A$3:$A$50))),0)
+IFERROR(FILTER('RR5 Player Stats'!AC$3:AC$50, ISNUMBER(SEARCH($A5,'RR5 Player Stats'!$A$3:$A$50)))"&amp;",0)"),10.0)</f>
        <v>10</v>
      </c>
      <c r="K5" s="57">
        <f>IFERROR(__xludf.DUMMYFUNCTION("IFERROR(FILTER('RR1 Player Stats'!AD$3:AD$50, ISNUMBER(SEARCH($A5,'RR1 Player Stats'!$A$3:$A$50))),0)
+IFERROR(FILTER('RR2 Player Stats'!AD$3:AD$50, ISNUMBER(SEARCH($A5,'RR2 Player Stats'!$A$3:$A$50))),0)
+IFERROR(FILTER('RR3 Player Stats'!AD$3:AD$50, ISN"&amp;"UMBER(SEARCH($A5,'RR3 Player Stats'!$A$3:$A$50))),0)
+IFERROR(FILTER('RR4 Player Stats'!AD$3:AD$50, ISNUMBER(SEARCH($A5,'RR4 Player Stats'!$A$3:$A$50))),0)
+IFERROR(FILTER('RR5 Player Stats'!AD$3:AD$50, ISNUMBER(SEARCH($A5,'RR5 Player Stats'!$A$3:$A$50)))"&amp;",0)"),1.0)</f>
        <v>1</v>
      </c>
      <c r="L5" s="57">
        <f>IFERROR(__xludf.DUMMYFUNCTION("IFERROR(FILTER('RR1 Player Stats'!AE$3:AE$50, ISNUMBER(SEARCH($A5,'RR1 Player Stats'!$A$3:$A$50))),0)
+IFERROR(FILTER('RR2 Player Stats'!AE$3:AE$50, ISNUMBER(SEARCH($A5,'RR2 Player Stats'!$A$3:$A$50))),0)
+IFERROR(FILTER('RR3 Player Stats'!AE$3:AE$50, ISN"&amp;"UMBER(SEARCH($A5,'RR3 Player Stats'!$A$3:$A$50))),0)
+IFERROR(FILTER('RR4 Player Stats'!AE$3:AE$50, ISNUMBER(SEARCH($A5,'RR4 Player Stats'!$A$3:$A$50))),0)
+IFERROR(FILTER('RR5 Player Stats'!AE$3:AE$50, ISNUMBER(SEARCH($A5,'RR5 Player Stats'!$A$3:$A$50)))"&amp;",0)"),100.0)</f>
        <v>100</v>
      </c>
      <c r="M5" s="57">
        <f>IFERROR(__xludf.DUMMYFUNCTION("IFERROR(FILTER('RR1 Player Stats'!AF$3:AF$50, ISNUMBER(SEARCH($A5,'RR1 Player Stats'!$A$3:$A$50))),0)
+IFERROR(FILTER('RR2 Player Stats'!AF$3:AF$50, ISNUMBER(SEARCH($A5,'RR2 Player Stats'!$A$3:$A$50))),0)
+IFERROR(FILTER('RR3 Player Stats'!AF$3:AF$50, ISN"&amp;"UMBER(SEARCH($A5,'RR3 Player Stats'!$A$3:$A$50))),0)
+IFERROR(FILTER('RR4 Player Stats'!AF$3:AF$50, ISNUMBER(SEARCH($A5,'RR4 Player Stats'!$A$3:$A$50))),0)
+IFERROR(FILTER('RR5 Player Stats'!AF$3:AF$50, ISNUMBER(SEARCH($A5,'RR5 Player Stats'!$A$3:$A$50)))"&amp;",0)"),96.0)</f>
        <v>96</v>
      </c>
      <c r="N5" s="180">
        <f>IFERROR(__xludf.DUMMYFUNCTION("(IFERROR(FILTER('RR1 Player Stats'!AG$3:AG$50, ISNUMBER(SEARCH($A5,'RR1 Player Stats'!$A$3:$A$50))),0)
+IFERROR(FILTER('RR2 Player Stats'!AG$3:AG$50, ISNUMBER(SEARCH($A5,'RR2 Player Stats'!$A$3:$A$50))),0)
+IFERROR(FILTER('RR3 Player Stats'!AG$3:AG$50, IS"&amp;"NUMBER(SEARCH($A5,'RR3 Player Stats'!$A$3:$A$50))),0)
+IFERROR(FILTER('RR4 Player Stats'!AG$3:AG$50, ISNUMBER(SEARCH($A5,'RR4 Player Stats'!$A$3:$A$50))),0)
+IFERROR(FILTER('RR5 Player Stats'!AG$3:AG$50, ISNUMBER(SEARCH($A5,'RR5 Player Stats'!$A$3:$A$50))"&amp;"),0))/5"),0.502)</f>
        <v>0.502</v>
      </c>
      <c r="O5" s="55">
        <f>IFERROR(__xludf.DUMMYFUNCTION("IFERROR(FILTER('RR1 Player Stats'!AH$3:AH$50, ISNUMBER(SEARCH($A5,'RR1 Player Stats'!$A$3:$A$50))),0)
+IFERROR(FILTER('RR2 Player Stats'!AH$3:AH$50, ISNUMBER(SEARCH($A5,'RR2 Player Stats'!$A$3:$A$50))),0)
+IFERROR(FILTER('RR3 Player Stats'!AH$3:AH$50, ISN"&amp;"UMBER(SEARCH($A5,'RR3 Player Stats'!$A$3:$A$50))),0)
+IFERROR(FILTER('RR4 Player Stats'!AH$3:AH$50, ISNUMBER(SEARCH($A5,'RR4 Player Stats'!$A$3:$A$50))),0)
+IFERROR(FILTER('RR5 Player Stats'!AH$3:AH$50, ISNUMBER(SEARCH($A5,'RR5 Player Stats'!$A$3:$A$50)))"&amp;",0)"),31.0)</f>
        <v>31</v>
      </c>
      <c r="P5" s="57">
        <f>IFERROR(__xludf.DUMMYFUNCTION("IFERROR(FILTER('RR1 Player Stats'!AI$3:AI$50, ISNUMBER(SEARCH($A5,'RR1 Player Stats'!$A$3:$A$50))),0)
+IFERROR(FILTER('RR2 Player Stats'!AI$3:AI$50, ISNUMBER(SEARCH($A5,'RR2 Player Stats'!$A$3:$A$50))),0)
+IFERROR(FILTER('RR3 Player Stats'!AI$3:AI$50, ISN"&amp;"UMBER(SEARCH($A5,'RR3 Player Stats'!$A$3:$A$50))),0)
+IFERROR(FILTER('RR4 Player Stats'!AI$3:AI$50, ISNUMBER(SEARCH($A5,'RR4 Player Stats'!$A$3:$A$50))),0)
+IFERROR(FILTER('RR5 Player Stats'!AI$3:AI$50, ISNUMBER(SEARCH($A5,'RR5 Player Stats'!$A$3:$A$50)))"&amp;",0)"),28.0)</f>
        <v>28</v>
      </c>
      <c r="Q5" s="57">
        <f>IFERROR(__xludf.DUMMYFUNCTION("IFERROR(FILTER('RR1 Player Stats'!AJ$3:AJ$50, ISNUMBER(SEARCH($A5,'RR1 Player Stats'!$A$3:$A$50))),0)
+IFERROR(FILTER('RR2 Player Stats'!AJ$3:AJ$50, ISNUMBER(SEARCH($A5,'RR2 Player Stats'!$A$3:$A$50))),0)
+IFERROR(FILTER('RR3 Player Stats'!AJ$3:AJ$50, ISN"&amp;"UMBER(SEARCH($A5,'RR3 Player Stats'!$A$3:$A$50))),0)
+IFERROR(FILTER('RR4 Player Stats'!AJ$3:AJ$50, ISNUMBER(SEARCH($A5,'RR4 Player Stats'!$A$3:$A$50))),0)
+IFERROR(FILTER('RR5 Player Stats'!AJ$3:AJ$50, ISNUMBER(SEARCH($A5,'RR5 Player Stats'!$A$3:$A$50)))"&amp;",0)"),5.0)</f>
        <v>5</v>
      </c>
      <c r="R5" s="57">
        <f>IFERROR(__xludf.DUMMYFUNCTION("IFERROR(FILTER('RR1 Player Stats'!AK$3:AK$50, ISNUMBER(SEARCH($A5,'RR1 Player Stats'!$A$3:$A$50))),0)
+IFERROR(FILTER('RR2 Player Stats'!AK$3:AK$50, ISNUMBER(SEARCH($A5,'RR2 Player Stats'!$A$3:$A$50))),0)
+IFERROR(FILTER('RR3 Player Stats'!AK$3:AK$50, ISN"&amp;"UMBER(SEARCH($A5,'RR3 Player Stats'!$A$3:$A$50))),0)
+IFERROR(FILTER('RR4 Player Stats'!AK$3:AK$50, ISNUMBER(SEARCH($A5,'RR4 Player Stats'!$A$3:$A$50))),0)
+IFERROR(FILTER('RR5 Player Stats'!AK$3:AK$50, ISNUMBER(SEARCH($A5,'RR5 Player Stats'!$A$3:$A$50)))"&amp;",0)"),292.0)</f>
        <v>292</v>
      </c>
      <c r="S5" s="57">
        <f>IFERROR(__xludf.DUMMYFUNCTION("IFERROR(FILTER('RR1 Player Stats'!AL$3:AL$50, ISNUMBER(SEARCH($A5,'RR1 Player Stats'!$A$3:$A$50))),0)
+IFERROR(FILTER('RR2 Player Stats'!AL$3:AL$50, ISNUMBER(SEARCH($A5,'RR2 Player Stats'!$A$3:$A$50))),0)
+IFERROR(FILTER('RR3 Player Stats'!AL$3:AL$50, ISN"&amp;"UMBER(SEARCH($A5,'RR3 Player Stats'!$A$3:$A$50))),0)
+IFERROR(FILTER('RR4 Player Stats'!AL$3:AL$50, ISNUMBER(SEARCH($A5,'RR4 Player Stats'!$A$3:$A$50))),0)
+IFERROR(FILTER('RR5 Player Stats'!AL$3:AL$50, ISNUMBER(SEARCH($A5,'RR5 Player Stats'!$A$3:$A$50)))"&amp;",0)"),272.0)</f>
        <v>272</v>
      </c>
      <c r="T5" s="180">
        <f>IFERROR(__xludf.DUMMYFUNCTION("(IFERROR(FILTER('RR1 Player Stats'!AM$3:AM$50, ISNUMBER(SEARCH($A5,'RR1 Player Stats'!$A$3:$A$50))),0)
+IFERROR(FILTER('RR2 Player Stats'!AM$3:AM$50, ISNUMBER(SEARCH($A5,'RR2 Player Stats'!$A$3:$A$50))),0)
+IFERROR(FILTER('RR3 Player Stats'!AM$3:AM$50, IS"&amp;"NUMBER(SEARCH($A5,'RR3 Player Stats'!$A$3:$A$50))),0)
+IFERROR(FILTER('RR4 Player Stats'!AM$3:AM$50, ISNUMBER(SEARCH($A5,'RR4 Player Stats'!$A$3:$A$50))),0)
+IFERROR(FILTER('RR5 Player Stats'!AM$3:AM$50, ISNUMBER(SEARCH($A5,'RR5 Player Stats'!$A$3:$A$50))"&amp;"),0))/B5"),0.59)</f>
        <v>0.59</v>
      </c>
      <c r="U5" s="55">
        <f>IFERROR(__xludf.DUMMYFUNCTION("MEDIAN(IFERROR(FILTER('RR1 Player Stats'!AH$3:AH$50, ISNUMBER(SEARCH($A5,'RR1 Player Stats'!$A$3:$A$50))),0),IFERROR(FILTER('RR2 Player Stats'!AH$3:AH$50, ISNUMBER(SEARCH($A5,'RR2 Player Stats'!$A$3:$A$50))),0),IFERROR(FILTER('RR3 Player Stats'!AH$3:AH$50"&amp;", ISNUMBER(SEARCH($A5,'RR3 Player Stats'!$A$3:$A$50))),0),IFERROR(FILTER('RR4 Player Stats'!AH$3:AH$50, ISNUMBER(SEARCH($A5,'RR4 Player Stats'!$A$3:$A$50))),0),IFERROR(FILTER('RR5 Player Stats'!AH$3:AH$50, ISNUMBER(SEARCH($A5,'RR5 Player Stats'!$A$3:$A$50"&amp;"))),0))"),4.0)</f>
        <v>4</v>
      </c>
      <c r="V5" s="57">
        <f>IFERROR(__xludf.DUMMYFUNCTION("MEDIAN(IFERROR(FILTER('RR1 Player Stats'!AI$3:AI$50, ISNUMBER(SEARCH($A5,'RR1 Player Stats'!$A$3:$A$50))),0),IFERROR(FILTER('RR2 Player Stats'!AI$3:AI$50, ISNUMBER(SEARCH($A5,'RR2 Player Stats'!$A$3:$A$50))),0),IFERROR(FILTER('RR3 Player Stats'!AI$3:AI$50"&amp;", ISNUMBER(SEARCH($A5,'RR3 Player Stats'!$A$3:$A$50))),0),IFERROR(FILTER('RR4 Player Stats'!AI$3:AI$50, ISNUMBER(SEARCH($A5,'RR4 Player Stats'!$A$3:$A$50))),0),IFERROR(FILTER('RR5 Player Stats'!AI$3:AI$50, ISNUMBER(SEARCH($A5,'RR5 Player Stats'!$A$3:$A$50"&amp;"))),0))"),5.0)</f>
        <v>5</v>
      </c>
      <c r="W5" s="57">
        <f>IFERROR(__xludf.DUMMYFUNCTION("MEDIAN(IFERROR(FILTER('RR1 Player Stats'!AJ$3:AJ$50, ISNUMBER(SEARCH($A5,'RR1 Player Stats'!$A$3:$A$50))),0),IFERROR(FILTER('RR2 Player Stats'!AJ$3:AJ$50, ISNUMBER(SEARCH($A5,'RR2 Player Stats'!$A$3:$A$50))),0),IFERROR(FILTER('RR3 Player Stats'!AJ$3:AJ$50"&amp;", ISNUMBER(SEARCH($A5,'RR3 Player Stats'!$A$3:$A$50))),0),IFERROR(FILTER('RR4 Player Stats'!AJ$3:AJ$50, ISNUMBER(SEARCH($A5,'RR4 Player Stats'!$A$3:$A$50))),0),IFERROR(FILTER('RR5 Player Stats'!AJ$3:AJ$50, ISNUMBER(SEARCH($A5,'RR5 Player Stats'!$A$3:$A$50"&amp;"))),0))"),1.0)</f>
        <v>1</v>
      </c>
      <c r="X5" s="57">
        <f>IFERROR(__xludf.DUMMYFUNCTION("MEDIAN(IFERROR(FILTER('RR1 Player Stats'!AK$3:AK$50, ISNUMBER(SEARCH($A5,'RR1 Player Stats'!$A$3:$A$50))),0),IFERROR(FILTER('RR2 Player Stats'!AK$3:AK$50, ISNUMBER(SEARCH($A5,'RR2 Player Stats'!$A$3:$A$50))),0),IFERROR(FILTER('RR3 Player Stats'!AK$3:AK$50"&amp;", ISNUMBER(SEARCH($A5,'RR3 Player Stats'!$A$3:$A$50))),0),IFERROR(FILTER('RR4 Player Stats'!AK$3:AK$50, ISNUMBER(SEARCH($A5,'RR4 Player Stats'!$A$3:$A$50))),0),IFERROR(FILTER('RR5 Player Stats'!AK$3:AK$50, ISNUMBER(SEARCH($A5,'RR5 Player Stats'!$A$3:$A$50"&amp;"))),0))"),64.0)</f>
        <v>64</v>
      </c>
      <c r="Y5" s="57">
        <f>IFERROR(__xludf.DUMMYFUNCTION("MEDIAN(IFERROR(FILTER('RR1 Player Stats'!AL$3:AL$50, ISNUMBER(SEARCH($A5,'RR1 Player Stats'!$A$3:$A$50))),0),IFERROR(FILTER('RR2 Player Stats'!AL$3:AL$50, ISNUMBER(SEARCH($A5,'RR2 Player Stats'!$A$3:$A$50))),0),IFERROR(FILTER('RR3 Player Stats'!AL$3:AL$50"&amp;", ISNUMBER(SEARCH($A5,'RR3 Player Stats'!$A$3:$A$50))),0),IFERROR(FILTER('RR4 Player Stats'!AL$3:AL$50, ISNUMBER(SEARCH($A5,'RR4 Player Stats'!$A$3:$A$50))),0),IFERROR(FILTER('RR5 Player Stats'!AL$3:AL$50, ISNUMBER(SEARCH($A5,'RR5 Player Stats'!$A$3:$A$50"&amp;"))),0))"),60.0)</f>
        <v>60</v>
      </c>
      <c r="Z5" s="180">
        <f>IFERROR(__xludf.DUMMYFUNCTION("MEDIAN(IFERROR(FILTER('RR1 Player Stats'!AM$3:AM$50, ISNUMBER(SEARCH($A5,'RR1 Player Stats'!$A$3:$A$50))),0),IFERROR(FILTER('RR2 Player Stats'!AM$3:AM$50, ISNUMBER(SEARCH($A5,'RR2 Player Stats'!$A$3:$A$50))),0),IFERROR(FILTER('RR3 Player Stats'!AM$3:AM$50"&amp;", ISNUMBER(SEARCH($A5,'RR3 Player Stats'!$A$3:$A$50))),0),IFERROR(FILTER('RR4 Player Stats'!AM$3:AM$50, ISNUMBER(SEARCH($A5,'RR4 Player Stats'!$A$3:$A$50))),0),IFERROR(FILTER('RR5 Player Stats'!AM$3:AM$50, ISNUMBER(SEARCH($A5,'RR5 Player Stats'!$A$3:$A$50"&amp;"))),0))"),0.6)</f>
        <v>0.6</v>
      </c>
    </row>
    <row r="6">
      <c r="A6" s="29" t="s">
        <v>43</v>
      </c>
      <c r="B6" s="48">
        <f>COUNTIF('RR1 Player Stats'!$A$3:$A$50,$A6)+COUNTIF('RR2 Player Stats'!$A$3:$A$50,$A6)+COUNTIF('RR3 Player Stats'!$A$3:$A$50,$A6)+COUNTIF('RR4 Player Stats'!$A$3:$A$50,$A6)+COUNTIF('RR5 Player Stats'!$A$3:$A$50,$A6)</f>
        <v>5</v>
      </c>
      <c r="C6" s="55">
        <f>IFERROR(__xludf.DUMMYFUNCTION("IFERROR(FILTER('RR1 Player Stats'!V$3:V$50, ISNUMBER(SEARCH($A6,'RR1 Player Stats'!$A$3:$A$50))),0)
+IFERROR(FILTER('RR2 Player Stats'!V$3:V$50, ISNUMBER(SEARCH($A6,'RR2 Player Stats'!$A$3:$A$50))),0)
+IFERROR(FILTER('RR3 Player Stats'!V$3:V$50, ISNUMBER("&amp;"SEARCH($A6,'RR3 Player Stats'!$A$3:$A$50))),0)
+IFERROR(FILTER('RR4 Player Stats'!V$3:V$50, ISNUMBER(SEARCH($A6,'RR4 Player Stats'!$A$3:$A$50))),0)
+IFERROR(FILTER('RR5 Player Stats'!V$3:V$50, ISNUMBER(SEARCH($A6,'RR5 Player Stats'!$A$3:$A$50))),0)"),18.0)</f>
        <v>18</v>
      </c>
      <c r="D6" s="57">
        <f>IFERROR(__xludf.DUMMYFUNCTION("IFERROR(FILTER('RR1 Player Stats'!W$3:W$50, ISNUMBER(SEARCH($A6,'RR1 Player Stats'!$A$3:$A$50))),0)
+IFERROR(FILTER('RR2 Player Stats'!W$3:W$50, ISNUMBER(SEARCH($A6,'RR2 Player Stats'!$A$3:$A$50))),0)
+IFERROR(FILTER('RR3 Player Stats'!W$3:W$50, ISNUMBER("&amp;"SEARCH($A6,'RR3 Player Stats'!$A$3:$A$50))),0)
+IFERROR(FILTER('RR4 Player Stats'!W$3:W$50, ISNUMBER(SEARCH($A6,'RR4 Player Stats'!$A$3:$A$50))),0)
+IFERROR(FILTER('RR5 Player Stats'!W$3:W$50, ISNUMBER(SEARCH($A6,'RR5 Player Stats'!$A$3:$A$50))),0)"),20.0)</f>
        <v>20</v>
      </c>
      <c r="E6" s="57">
        <f>IFERROR(__xludf.DUMMYFUNCTION("IFERROR(FILTER('RR1 Player Stats'!X$3:X$50, ISNUMBER(SEARCH($A6,'RR1 Player Stats'!$A$3:$A$50))),0)
+IFERROR(FILTER('RR2 Player Stats'!X$3:X$50, ISNUMBER(SEARCH($A6,'RR2 Player Stats'!$A$3:$A$50))),0)
+IFERROR(FILTER('RR3 Player Stats'!X$3:X$50, ISNUMBER("&amp;"SEARCH($A6,'RR3 Player Stats'!$A$3:$A$50))),0)
+IFERROR(FILTER('RR4 Player Stats'!X$3:X$50, ISNUMBER(SEARCH($A6,'RR4 Player Stats'!$A$3:$A$50))),0)
+IFERROR(FILTER('RR5 Player Stats'!X$3:X$50, ISNUMBER(SEARCH($A6,'RR5 Player Stats'!$A$3:$A$50))),0)"),7.0)</f>
        <v>7</v>
      </c>
      <c r="F6" s="57">
        <f>IFERROR(__xludf.DUMMYFUNCTION("IFERROR(FILTER('RR1 Player Stats'!Y$3:Y$50, ISNUMBER(SEARCH($A6,'RR1 Player Stats'!$A$3:$A$50))),0)
+IFERROR(FILTER('RR2 Player Stats'!Y$3:Y$50, ISNUMBER(SEARCH($A6,'RR2 Player Stats'!$A$3:$A$50))),0)
+IFERROR(FILTER('RR3 Player Stats'!Y$3:Y$50, ISNUMBER("&amp;"SEARCH($A6,'RR3 Player Stats'!$A$3:$A$50))),0)
+IFERROR(FILTER('RR4 Player Stats'!Y$3:Y$50, ISNUMBER(SEARCH($A6,'RR4 Player Stats'!$A$3:$A$50))),0)
+IFERROR(FILTER('RR5 Player Stats'!Y$3:Y$50, ISNUMBER(SEARCH($A6,'RR5 Player Stats'!$A$3:$A$50))),0)"),192.0)</f>
        <v>192</v>
      </c>
      <c r="G6" s="57">
        <f>IFERROR(__xludf.DUMMYFUNCTION("IFERROR(FILTER('RR1 Player Stats'!Z$3:Z$50, ISNUMBER(SEARCH($A6,'RR1 Player Stats'!$A$3:$A$50))),0)
+IFERROR(FILTER('RR2 Player Stats'!Z$3:Z$50, ISNUMBER(SEARCH($A6,'RR2 Player Stats'!$A$3:$A$50))),0)
+IFERROR(FILTER('RR3 Player Stats'!Z$3:Z$50, ISNUMBER("&amp;"SEARCH($A6,'RR3 Player Stats'!$A$3:$A$50))),0)
+IFERROR(FILTER('RR4 Player Stats'!Z$3:Z$50, ISNUMBER(SEARCH($A6,'RR4 Player Stats'!$A$3:$A$50))),0)
+IFERROR(FILTER('RR5 Player Stats'!Z$3:Z$50, ISNUMBER(SEARCH($A6,'RR5 Player Stats'!$A$3:$A$50))),0)"),164.0)</f>
        <v>164</v>
      </c>
      <c r="H6" s="180">
        <f>IFERROR(__xludf.DUMMYFUNCTION("(IFERROR(FILTER('RR1 Player Stats'!AA$3:AA$50, ISNUMBER(SEARCH($A6,'RR1 Player Stats'!$A$3:$A$50))),0)
+IFERROR(FILTER('RR2 Player Stats'!AA$3:AA$50, ISNUMBER(SEARCH($A6,'RR2 Player Stats'!$A$3:$A$50))),0)
+IFERROR(FILTER('RR3 Player Stats'!AA$3:AA$50, IS"&amp;"NUMBER(SEARCH($A6,'RR3 Player Stats'!$A$3:$A$50))),0)
+IFERROR(FILTER('RR4 Player Stats'!AA$3:AA$50, ISNUMBER(SEARCH($A6,'RR4 Player Stats'!$A$3:$A$50))),0)
+IFERROR(FILTER('RR5 Player Stats'!AA$3:AA$50, ISNUMBER(SEARCH($A6,'RR5 Player Stats'!$A$3:$A$50))"&amp;"),0))/5"),0.634)</f>
        <v>0.634</v>
      </c>
      <c r="I6" s="55">
        <f>IFERROR(__xludf.DUMMYFUNCTION("IFERROR(FILTER('RR1 Player Stats'!AB$3:AB$50, ISNUMBER(SEARCH($A6,'RR1 Player Stats'!$A$3:$A$50))),0)
+IFERROR(FILTER('RR2 Player Stats'!AB$3:AB$50, ISNUMBER(SEARCH($A6,'RR2 Player Stats'!$A$3:$A$50))),0)
+IFERROR(FILTER('RR3 Player Stats'!AB$3:AB$50, ISN"&amp;"UMBER(SEARCH($A6,'RR3 Player Stats'!$A$3:$A$50))),0)
+IFERROR(FILTER('RR4 Player Stats'!AB$3:AB$50, ISNUMBER(SEARCH($A6,'RR4 Player Stats'!$A$3:$A$50))),0)
+IFERROR(FILTER('RR5 Player Stats'!AB$3:AB$50, ISNUMBER(SEARCH($A6,'RR5 Player Stats'!$A$3:$A$50)))"&amp;",0)"),11.0)</f>
        <v>11</v>
      </c>
      <c r="J6" s="57">
        <f>IFERROR(__xludf.DUMMYFUNCTION("IFERROR(FILTER('RR1 Player Stats'!AC$3:AC$50, ISNUMBER(SEARCH($A6,'RR1 Player Stats'!$A$3:$A$50))),0)
+IFERROR(FILTER('RR2 Player Stats'!AC$3:AC$50, ISNUMBER(SEARCH($A6,'RR2 Player Stats'!$A$3:$A$50))),0)
+IFERROR(FILTER('RR3 Player Stats'!AC$3:AC$50, ISN"&amp;"UMBER(SEARCH($A6,'RR3 Player Stats'!$A$3:$A$50))),0)
+IFERROR(FILTER('RR4 Player Stats'!AC$3:AC$50, ISNUMBER(SEARCH($A6,'RR4 Player Stats'!$A$3:$A$50))),0)
+IFERROR(FILTER('RR5 Player Stats'!AC$3:AC$50, ISNUMBER(SEARCH($A6,'RR5 Player Stats'!$A$3:$A$50)))"&amp;",0)"),7.0)</f>
        <v>7</v>
      </c>
      <c r="K6" s="57">
        <f>IFERROR(__xludf.DUMMYFUNCTION("IFERROR(FILTER('RR1 Player Stats'!AD$3:AD$50, ISNUMBER(SEARCH($A6,'RR1 Player Stats'!$A$3:$A$50))),0)
+IFERROR(FILTER('RR2 Player Stats'!AD$3:AD$50, ISNUMBER(SEARCH($A6,'RR2 Player Stats'!$A$3:$A$50))),0)
+IFERROR(FILTER('RR3 Player Stats'!AD$3:AD$50, ISN"&amp;"UMBER(SEARCH($A6,'RR3 Player Stats'!$A$3:$A$50))),0)
+IFERROR(FILTER('RR4 Player Stats'!AD$3:AD$50, ISNUMBER(SEARCH($A6,'RR4 Player Stats'!$A$3:$A$50))),0)
+IFERROR(FILTER('RR5 Player Stats'!AD$3:AD$50, ISNUMBER(SEARCH($A6,'RR5 Player Stats'!$A$3:$A$50)))"&amp;",0)"),0.0)</f>
        <v>0</v>
      </c>
      <c r="L6" s="57">
        <f>IFERROR(__xludf.DUMMYFUNCTION("IFERROR(FILTER('RR1 Player Stats'!AE$3:AE$50, ISNUMBER(SEARCH($A6,'RR1 Player Stats'!$A$3:$A$50))),0)
+IFERROR(FILTER('RR2 Player Stats'!AE$3:AE$50, ISNUMBER(SEARCH($A6,'RR2 Player Stats'!$A$3:$A$50))),0)
+IFERROR(FILTER('RR3 Player Stats'!AE$3:AE$50, ISN"&amp;"UMBER(SEARCH($A6,'RR3 Player Stats'!$A$3:$A$50))),0)
+IFERROR(FILTER('RR4 Player Stats'!AE$3:AE$50, ISNUMBER(SEARCH($A6,'RR4 Player Stats'!$A$3:$A$50))),0)
+IFERROR(FILTER('RR5 Player Stats'!AE$3:AE$50, ISNUMBER(SEARCH($A6,'RR5 Player Stats'!$A$3:$A$50)))"&amp;",0)"),86.0)</f>
        <v>86</v>
      </c>
      <c r="M6" s="57">
        <f>IFERROR(__xludf.DUMMYFUNCTION("IFERROR(FILTER('RR1 Player Stats'!AF$3:AF$50, ISNUMBER(SEARCH($A6,'RR1 Player Stats'!$A$3:$A$50))),0)
+IFERROR(FILTER('RR2 Player Stats'!AF$3:AF$50, ISNUMBER(SEARCH($A6,'RR2 Player Stats'!$A$3:$A$50))),0)
+IFERROR(FILTER('RR3 Player Stats'!AF$3:AF$50, ISN"&amp;"UMBER(SEARCH($A6,'RR3 Player Stats'!$A$3:$A$50))),0)
+IFERROR(FILTER('RR4 Player Stats'!AF$3:AF$50, ISNUMBER(SEARCH($A6,'RR4 Player Stats'!$A$3:$A$50))),0)
+IFERROR(FILTER('RR5 Player Stats'!AF$3:AF$50, ISNUMBER(SEARCH($A6,'RR5 Player Stats'!$A$3:$A$50)))"&amp;",0)"),86.0)</f>
        <v>86</v>
      </c>
      <c r="N6" s="180">
        <f>IFERROR(__xludf.DUMMYFUNCTION("(IFERROR(FILTER('RR1 Player Stats'!AG$3:AG$50, ISNUMBER(SEARCH($A6,'RR1 Player Stats'!$A$3:$A$50))),0)
+IFERROR(FILTER('RR2 Player Stats'!AG$3:AG$50, ISNUMBER(SEARCH($A6,'RR2 Player Stats'!$A$3:$A$50))),0)
+IFERROR(FILTER('RR3 Player Stats'!AG$3:AG$50, IS"&amp;"NUMBER(SEARCH($A6,'RR3 Player Stats'!$A$3:$A$50))),0)
+IFERROR(FILTER('RR4 Player Stats'!AG$3:AG$50, ISNUMBER(SEARCH($A6,'RR4 Player Stats'!$A$3:$A$50))),0)
+IFERROR(FILTER('RR5 Player Stats'!AG$3:AG$50, ISNUMBER(SEARCH($A6,'RR5 Player Stats'!$A$3:$A$50))"&amp;"),0))/5"),0.45199999999999996)</f>
        <v>0.452</v>
      </c>
      <c r="O6" s="55">
        <f>IFERROR(__xludf.DUMMYFUNCTION("IFERROR(FILTER('RR1 Player Stats'!AH$3:AH$50, ISNUMBER(SEARCH($A6,'RR1 Player Stats'!$A$3:$A$50))),0)
+IFERROR(FILTER('RR2 Player Stats'!AH$3:AH$50, ISNUMBER(SEARCH($A6,'RR2 Player Stats'!$A$3:$A$50))),0)
+IFERROR(FILTER('RR3 Player Stats'!AH$3:AH$50, ISN"&amp;"UMBER(SEARCH($A6,'RR3 Player Stats'!$A$3:$A$50))),0)
+IFERROR(FILTER('RR4 Player Stats'!AH$3:AH$50, ISNUMBER(SEARCH($A6,'RR4 Player Stats'!$A$3:$A$50))),0)
+IFERROR(FILTER('RR5 Player Stats'!AH$3:AH$50, ISNUMBER(SEARCH($A6,'RR5 Player Stats'!$A$3:$A$50)))"&amp;",0)"),29.0)</f>
        <v>29</v>
      </c>
      <c r="P6" s="57">
        <f>IFERROR(__xludf.DUMMYFUNCTION("IFERROR(FILTER('RR1 Player Stats'!AI$3:AI$50, ISNUMBER(SEARCH($A6,'RR1 Player Stats'!$A$3:$A$50))),0)
+IFERROR(FILTER('RR2 Player Stats'!AI$3:AI$50, ISNUMBER(SEARCH($A6,'RR2 Player Stats'!$A$3:$A$50))),0)
+IFERROR(FILTER('RR3 Player Stats'!AI$3:AI$50, ISN"&amp;"UMBER(SEARCH($A6,'RR3 Player Stats'!$A$3:$A$50))),0)
+IFERROR(FILTER('RR4 Player Stats'!AI$3:AI$50, ISNUMBER(SEARCH($A6,'RR4 Player Stats'!$A$3:$A$50))),0)
+IFERROR(FILTER('RR5 Player Stats'!AI$3:AI$50, ISNUMBER(SEARCH($A6,'RR5 Player Stats'!$A$3:$A$50)))"&amp;",0)"),27.0)</f>
        <v>27</v>
      </c>
      <c r="Q6" s="57">
        <f>IFERROR(__xludf.DUMMYFUNCTION("IFERROR(FILTER('RR1 Player Stats'!AJ$3:AJ$50, ISNUMBER(SEARCH($A6,'RR1 Player Stats'!$A$3:$A$50))),0)
+IFERROR(FILTER('RR2 Player Stats'!AJ$3:AJ$50, ISNUMBER(SEARCH($A6,'RR2 Player Stats'!$A$3:$A$50))),0)
+IFERROR(FILTER('RR3 Player Stats'!AJ$3:AJ$50, ISN"&amp;"UMBER(SEARCH($A6,'RR3 Player Stats'!$A$3:$A$50))),0)
+IFERROR(FILTER('RR4 Player Stats'!AJ$3:AJ$50, ISNUMBER(SEARCH($A6,'RR4 Player Stats'!$A$3:$A$50))),0)
+IFERROR(FILTER('RR5 Player Stats'!AJ$3:AJ$50, ISNUMBER(SEARCH($A6,'RR5 Player Stats'!$A$3:$A$50)))"&amp;",0)"),7.0)</f>
        <v>7</v>
      </c>
      <c r="R6" s="57">
        <f>IFERROR(__xludf.DUMMYFUNCTION("IFERROR(FILTER('RR1 Player Stats'!AK$3:AK$50, ISNUMBER(SEARCH($A6,'RR1 Player Stats'!$A$3:$A$50))),0)
+IFERROR(FILTER('RR2 Player Stats'!AK$3:AK$50, ISNUMBER(SEARCH($A6,'RR2 Player Stats'!$A$3:$A$50))),0)
+IFERROR(FILTER('RR3 Player Stats'!AK$3:AK$50, ISN"&amp;"UMBER(SEARCH($A6,'RR3 Player Stats'!$A$3:$A$50))),0)
+IFERROR(FILTER('RR4 Player Stats'!AK$3:AK$50, ISNUMBER(SEARCH($A6,'RR4 Player Stats'!$A$3:$A$50))),0)
+IFERROR(FILTER('RR5 Player Stats'!AK$3:AK$50, ISNUMBER(SEARCH($A6,'RR5 Player Stats'!$A$3:$A$50)))"&amp;",0)"),278.0)</f>
        <v>278</v>
      </c>
      <c r="S6" s="57">
        <f>IFERROR(__xludf.DUMMYFUNCTION("IFERROR(FILTER('RR1 Player Stats'!AL$3:AL$50, ISNUMBER(SEARCH($A6,'RR1 Player Stats'!$A$3:$A$50))),0)
+IFERROR(FILTER('RR2 Player Stats'!AL$3:AL$50, ISNUMBER(SEARCH($A6,'RR2 Player Stats'!$A$3:$A$50))),0)
+IFERROR(FILTER('RR3 Player Stats'!AL$3:AL$50, ISN"&amp;"UMBER(SEARCH($A6,'RR3 Player Stats'!$A$3:$A$50))),0)
+IFERROR(FILTER('RR4 Player Stats'!AL$3:AL$50, ISNUMBER(SEARCH($A6,'RR4 Player Stats'!$A$3:$A$50))),0)
+IFERROR(FILTER('RR5 Player Stats'!AL$3:AL$50, ISNUMBER(SEARCH($A6,'RR5 Player Stats'!$A$3:$A$50)))"&amp;",0)"),250.0)</f>
        <v>250</v>
      </c>
      <c r="T6" s="180">
        <f>IFERROR(__xludf.DUMMYFUNCTION("(IFERROR(FILTER('RR1 Player Stats'!AM$3:AM$50, ISNUMBER(SEARCH($A6,'RR1 Player Stats'!$A$3:$A$50))),0)
+IFERROR(FILTER('RR2 Player Stats'!AM$3:AM$50, ISNUMBER(SEARCH($A6,'RR2 Player Stats'!$A$3:$A$50))),0)
+IFERROR(FILTER('RR3 Player Stats'!AM$3:AM$50, IS"&amp;"NUMBER(SEARCH($A6,'RR3 Player Stats'!$A$3:$A$50))),0)
+IFERROR(FILTER('RR4 Player Stats'!AM$3:AM$50, ISNUMBER(SEARCH($A6,'RR4 Player Stats'!$A$3:$A$50))),0)
+IFERROR(FILTER('RR5 Player Stats'!AM$3:AM$50, ISNUMBER(SEARCH($A6,'RR5 Player Stats'!$A$3:$A$50))"&amp;"),0))/B6"),0.5599999999999999)</f>
        <v>0.56</v>
      </c>
      <c r="U6" s="55">
        <f>IFERROR(__xludf.DUMMYFUNCTION("MEDIAN(IFERROR(FILTER('RR1 Player Stats'!AH$3:AH$50, ISNUMBER(SEARCH($A6,'RR1 Player Stats'!$A$3:$A$50))),0),IFERROR(FILTER('RR2 Player Stats'!AH$3:AH$50, ISNUMBER(SEARCH($A6,'RR2 Player Stats'!$A$3:$A$50))),0),IFERROR(FILTER('RR3 Player Stats'!AH$3:AH$50"&amp;", ISNUMBER(SEARCH($A6,'RR3 Player Stats'!$A$3:$A$50))),0),IFERROR(FILTER('RR4 Player Stats'!AH$3:AH$50, ISNUMBER(SEARCH($A6,'RR4 Player Stats'!$A$3:$A$50))),0),IFERROR(FILTER('RR5 Player Stats'!AH$3:AH$50, ISNUMBER(SEARCH($A6,'RR5 Player Stats'!$A$3:$A$50"&amp;"))),0))"),5.0)</f>
        <v>5</v>
      </c>
      <c r="V6" s="57">
        <f>IFERROR(__xludf.DUMMYFUNCTION("MEDIAN(IFERROR(FILTER('RR1 Player Stats'!AI$3:AI$50, ISNUMBER(SEARCH($A6,'RR1 Player Stats'!$A$3:$A$50))),0),IFERROR(FILTER('RR2 Player Stats'!AI$3:AI$50, ISNUMBER(SEARCH($A6,'RR2 Player Stats'!$A$3:$A$50))),0),IFERROR(FILTER('RR3 Player Stats'!AI$3:AI$50"&amp;", ISNUMBER(SEARCH($A6,'RR3 Player Stats'!$A$3:$A$50))),0),IFERROR(FILTER('RR4 Player Stats'!AI$3:AI$50, ISNUMBER(SEARCH($A6,'RR4 Player Stats'!$A$3:$A$50))),0),IFERROR(FILTER('RR5 Player Stats'!AI$3:AI$50, ISNUMBER(SEARCH($A6,'RR5 Player Stats'!$A$3:$A$50"&amp;"))),0))"),6.0)</f>
        <v>6</v>
      </c>
      <c r="W6" s="57">
        <f>IFERROR(__xludf.DUMMYFUNCTION("MEDIAN(IFERROR(FILTER('RR1 Player Stats'!AJ$3:AJ$50, ISNUMBER(SEARCH($A6,'RR1 Player Stats'!$A$3:$A$50))),0),IFERROR(FILTER('RR2 Player Stats'!AJ$3:AJ$50, ISNUMBER(SEARCH($A6,'RR2 Player Stats'!$A$3:$A$50))),0),IFERROR(FILTER('RR3 Player Stats'!AJ$3:AJ$50"&amp;", ISNUMBER(SEARCH($A6,'RR3 Player Stats'!$A$3:$A$50))),0),IFERROR(FILTER('RR4 Player Stats'!AJ$3:AJ$50, ISNUMBER(SEARCH($A6,'RR4 Player Stats'!$A$3:$A$50))),0),IFERROR(FILTER('RR5 Player Stats'!AJ$3:AJ$50, ISNUMBER(SEARCH($A6,'RR5 Player Stats'!$A$3:$A$50"&amp;"))),0))"),1.0)</f>
        <v>1</v>
      </c>
      <c r="X6" s="57">
        <f>IFERROR(__xludf.DUMMYFUNCTION("MEDIAN(IFERROR(FILTER('RR1 Player Stats'!AK$3:AK$50, ISNUMBER(SEARCH($A6,'RR1 Player Stats'!$A$3:$A$50))),0),IFERROR(FILTER('RR2 Player Stats'!AK$3:AK$50, ISNUMBER(SEARCH($A6,'RR2 Player Stats'!$A$3:$A$50))),0),IFERROR(FILTER('RR3 Player Stats'!AK$3:AK$50"&amp;", ISNUMBER(SEARCH($A6,'RR3 Player Stats'!$A$3:$A$50))),0),IFERROR(FILTER('RR4 Player Stats'!AK$3:AK$50, ISNUMBER(SEARCH($A6,'RR4 Player Stats'!$A$3:$A$50))),0),IFERROR(FILTER('RR5 Player Stats'!AK$3:AK$50, ISNUMBER(SEARCH($A6,'RR5 Player Stats'!$A$3:$A$50"&amp;"))),0))"),56.0)</f>
        <v>56</v>
      </c>
      <c r="Y6" s="57">
        <f>IFERROR(__xludf.DUMMYFUNCTION("MEDIAN(IFERROR(FILTER('RR1 Player Stats'!AL$3:AL$50, ISNUMBER(SEARCH($A6,'RR1 Player Stats'!$A$3:$A$50))),0),IFERROR(FILTER('RR2 Player Stats'!AL$3:AL$50, ISNUMBER(SEARCH($A6,'RR2 Player Stats'!$A$3:$A$50))),0),IFERROR(FILTER('RR3 Player Stats'!AL$3:AL$50"&amp;", ISNUMBER(SEARCH($A6,'RR3 Player Stats'!$A$3:$A$50))),0),IFERROR(FILTER('RR4 Player Stats'!AL$3:AL$50, ISNUMBER(SEARCH($A6,'RR4 Player Stats'!$A$3:$A$50))),0),IFERROR(FILTER('RR5 Player Stats'!AL$3:AL$50, ISNUMBER(SEARCH($A6,'RR5 Player Stats'!$A$3:$A$50"&amp;"))),0))"),52.0)</f>
        <v>52</v>
      </c>
      <c r="Z6" s="180">
        <f>IFERROR(__xludf.DUMMYFUNCTION("MEDIAN(IFERROR(FILTER('RR1 Player Stats'!AM$3:AM$50, ISNUMBER(SEARCH($A6,'RR1 Player Stats'!$A$3:$A$50))),0),IFERROR(FILTER('RR2 Player Stats'!AM$3:AM$50, ISNUMBER(SEARCH($A6,'RR2 Player Stats'!$A$3:$A$50))),0),IFERROR(FILTER('RR3 Player Stats'!AM$3:AM$50"&amp;", ISNUMBER(SEARCH($A6,'RR3 Player Stats'!$A$3:$A$50))),0),IFERROR(FILTER('RR4 Player Stats'!AM$3:AM$50, ISNUMBER(SEARCH($A6,'RR4 Player Stats'!$A$3:$A$50))),0),IFERROR(FILTER('RR5 Player Stats'!AM$3:AM$50, ISNUMBER(SEARCH($A6,'RR5 Player Stats'!$A$3:$A$50"&amp;"))),0))"),0.55)</f>
        <v>0.55</v>
      </c>
    </row>
    <row r="7">
      <c r="A7" s="29" t="s">
        <v>34</v>
      </c>
      <c r="B7" s="48">
        <f>COUNTIF('RR1 Player Stats'!$A$3:$A$50,$A7)+COUNTIF('RR2 Player Stats'!$A$3:$A$50,$A7)+COUNTIF('RR3 Player Stats'!$A$3:$A$50,$A7)+COUNTIF('RR4 Player Stats'!$A$3:$A$50,$A7)+COUNTIF('RR5 Player Stats'!$A$3:$A$50,$A7)</f>
        <v>5</v>
      </c>
      <c r="C7" s="55">
        <f>IFERROR(__xludf.DUMMYFUNCTION("IFERROR(FILTER('RR1 Player Stats'!V$3:V$50, ISNUMBER(SEARCH($A7,'RR1 Player Stats'!$A$3:$A$50))),0)
+IFERROR(FILTER('RR2 Player Stats'!V$3:V$50, ISNUMBER(SEARCH($A7,'RR2 Player Stats'!$A$3:$A$50))),0)
+IFERROR(FILTER('RR3 Player Stats'!V$3:V$50, ISNUMBER("&amp;"SEARCH($A7,'RR3 Player Stats'!$A$3:$A$50))),0)
+IFERROR(FILTER('RR4 Player Stats'!V$3:V$50, ISNUMBER(SEARCH($A7,'RR4 Player Stats'!$A$3:$A$50))),0)
+IFERROR(FILTER('RR5 Player Stats'!V$3:V$50, ISNUMBER(SEARCH($A7,'RR5 Player Stats'!$A$3:$A$50))),0)"),13.0)</f>
        <v>13</v>
      </c>
      <c r="D7" s="57">
        <f>IFERROR(__xludf.DUMMYFUNCTION("IFERROR(FILTER('RR1 Player Stats'!W$3:W$50, ISNUMBER(SEARCH($A7,'RR1 Player Stats'!$A$3:$A$50))),0)
+IFERROR(FILTER('RR2 Player Stats'!W$3:W$50, ISNUMBER(SEARCH($A7,'RR2 Player Stats'!$A$3:$A$50))),0)
+IFERROR(FILTER('RR3 Player Stats'!W$3:W$50, ISNUMBER("&amp;"SEARCH($A7,'RR3 Player Stats'!$A$3:$A$50))),0)
+IFERROR(FILTER('RR4 Player Stats'!W$3:W$50, ISNUMBER(SEARCH($A7,'RR4 Player Stats'!$A$3:$A$50))),0)
+IFERROR(FILTER('RR5 Player Stats'!W$3:W$50, ISNUMBER(SEARCH($A7,'RR5 Player Stats'!$A$3:$A$50))),0)"),20.0)</f>
        <v>20</v>
      </c>
      <c r="E7" s="57">
        <f>IFERROR(__xludf.DUMMYFUNCTION("IFERROR(FILTER('RR1 Player Stats'!X$3:X$50, ISNUMBER(SEARCH($A7,'RR1 Player Stats'!$A$3:$A$50))),0)
+IFERROR(FILTER('RR2 Player Stats'!X$3:X$50, ISNUMBER(SEARCH($A7,'RR2 Player Stats'!$A$3:$A$50))),0)
+IFERROR(FILTER('RR3 Player Stats'!X$3:X$50, ISNUMBER("&amp;"SEARCH($A7,'RR3 Player Stats'!$A$3:$A$50))),0)
+IFERROR(FILTER('RR4 Player Stats'!X$3:X$50, ISNUMBER(SEARCH($A7,'RR4 Player Stats'!$A$3:$A$50))),0)
+IFERROR(FILTER('RR5 Player Stats'!X$3:X$50, ISNUMBER(SEARCH($A7,'RR5 Player Stats'!$A$3:$A$50))),0)"),7.0)</f>
        <v>7</v>
      </c>
      <c r="F7" s="57">
        <f>IFERROR(__xludf.DUMMYFUNCTION("IFERROR(FILTER('RR1 Player Stats'!Y$3:Y$50, ISNUMBER(SEARCH($A7,'RR1 Player Stats'!$A$3:$A$50))),0)
+IFERROR(FILTER('RR2 Player Stats'!Y$3:Y$50, ISNUMBER(SEARCH($A7,'RR2 Player Stats'!$A$3:$A$50))),0)
+IFERROR(FILTER('RR3 Player Stats'!Y$3:Y$50, ISNUMBER("&amp;"SEARCH($A7,'RR3 Player Stats'!$A$3:$A$50))),0)
+IFERROR(FILTER('RR4 Player Stats'!Y$3:Y$50, ISNUMBER(SEARCH($A7,'RR4 Player Stats'!$A$3:$A$50))),0)
+IFERROR(FILTER('RR5 Player Stats'!Y$3:Y$50, ISNUMBER(SEARCH($A7,'RR5 Player Stats'!$A$3:$A$50))),0)"),172.0)</f>
        <v>172</v>
      </c>
      <c r="G7" s="57">
        <f>IFERROR(__xludf.DUMMYFUNCTION("IFERROR(FILTER('RR1 Player Stats'!Z$3:Z$50, ISNUMBER(SEARCH($A7,'RR1 Player Stats'!$A$3:$A$50))),0)
+IFERROR(FILTER('RR2 Player Stats'!Z$3:Z$50, ISNUMBER(SEARCH($A7,'RR2 Player Stats'!$A$3:$A$50))),0)
+IFERROR(FILTER('RR3 Player Stats'!Z$3:Z$50, ISNUMBER("&amp;"SEARCH($A7,'RR3 Player Stats'!$A$3:$A$50))),0)
+IFERROR(FILTER('RR4 Player Stats'!Z$3:Z$50, ISNUMBER(SEARCH($A7,'RR4 Player Stats'!$A$3:$A$50))),0)
+IFERROR(FILTER('RR5 Player Stats'!Z$3:Z$50, ISNUMBER(SEARCH($A7,'RR5 Player Stats'!$A$3:$A$50))),0)"),144.0)</f>
        <v>144</v>
      </c>
      <c r="H7" s="180">
        <f>IFERROR(__xludf.DUMMYFUNCTION("(IFERROR(FILTER('RR1 Player Stats'!AA$3:AA$50, ISNUMBER(SEARCH($A7,'RR1 Player Stats'!$A$3:$A$50))),0)
+IFERROR(FILTER('RR2 Player Stats'!AA$3:AA$50, ISNUMBER(SEARCH($A7,'RR2 Player Stats'!$A$3:$A$50))),0)
+IFERROR(FILTER('RR3 Player Stats'!AA$3:AA$50, IS"&amp;"NUMBER(SEARCH($A7,'RR3 Player Stats'!$A$3:$A$50))),0)
+IFERROR(FILTER('RR4 Player Stats'!AA$3:AA$50, ISNUMBER(SEARCH($A7,'RR4 Player Stats'!$A$3:$A$50))),0)
+IFERROR(FILTER('RR5 Player Stats'!AA$3:AA$50, ISNUMBER(SEARCH($A7,'RR5 Player Stats'!$A$3:$A$50))"&amp;"),0))/5"),0.552)</f>
        <v>0.552</v>
      </c>
      <c r="I7" s="55">
        <f>IFERROR(__xludf.DUMMYFUNCTION("IFERROR(FILTER('RR1 Player Stats'!AB$3:AB$50, ISNUMBER(SEARCH($A7,'RR1 Player Stats'!$A$3:$A$50))),0)
+IFERROR(FILTER('RR2 Player Stats'!AB$3:AB$50, ISNUMBER(SEARCH($A7,'RR2 Player Stats'!$A$3:$A$50))),0)
+IFERROR(FILTER('RR3 Player Stats'!AB$3:AB$50, ISN"&amp;"UMBER(SEARCH($A7,'RR3 Player Stats'!$A$3:$A$50))),0)
+IFERROR(FILTER('RR4 Player Stats'!AB$3:AB$50, ISNUMBER(SEARCH($A7,'RR4 Player Stats'!$A$3:$A$50))),0)
+IFERROR(FILTER('RR5 Player Stats'!AB$3:AB$50, ISNUMBER(SEARCH($A7,'RR5 Player Stats'!$A$3:$A$50)))"&amp;",0)"),11.0)</f>
        <v>11</v>
      </c>
      <c r="J7" s="57">
        <f>IFERROR(__xludf.DUMMYFUNCTION("IFERROR(FILTER('RR1 Player Stats'!AC$3:AC$50, ISNUMBER(SEARCH($A7,'RR1 Player Stats'!$A$3:$A$50))),0)
+IFERROR(FILTER('RR2 Player Stats'!AC$3:AC$50, ISNUMBER(SEARCH($A7,'RR2 Player Stats'!$A$3:$A$50))),0)
+IFERROR(FILTER('RR3 Player Stats'!AC$3:AC$50, ISN"&amp;"UMBER(SEARCH($A7,'RR3 Player Stats'!$A$3:$A$50))),0)
+IFERROR(FILTER('RR4 Player Stats'!AC$3:AC$50, ISNUMBER(SEARCH($A7,'RR4 Player Stats'!$A$3:$A$50))),0)
+IFERROR(FILTER('RR5 Player Stats'!AC$3:AC$50, ISNUMBER(SEARCH($A7,'RR5 Player Stats'!$A$3:$A$50)))"&amp;",0)"),9.0)</f>
        <v>9</v>
      </c>
      <c r="K7" s="57">
        <f>IFERROR(__xludf.DUMMYFUNCTION("IFERROR(FILTER('RR1 Player Stats'!AD$3:AD$50, ISNUMBER(SEARCH($A7,'RR1 Player Stats'!$A$3:$A$50))),0)
+IFERROR(FILTER('RR2 Player Stats'!AD$3:AD$50, ISNUMBER(SEARCH($A7,'RR2 Player Stats'!$A$3:$A$50))),0)
+IFERROR(FILTER('RR3 Player Stats'!AD$3:AD$50, ISN"&amp;"UMBER(SEARCH($A7,'RR3 Player Stats'!$A$3:$A$50))),0)
+IFERROR(FILTER('RR4 Player Stats'!AD$3:AD$50, ISNUMBER(SEARCH($A7,'RR4 Player Stats'!$A$3:$A$50))),0)
+IFERROR(FILTER('RR5 Player Stats'!AD$3:AD$50, ISNUMBER(SEARCH($A7,'RR5 Player Stats'!$A$3:$A$50)))"&amp;",0)"),2.0)</f>
        <v>2</v>
      </c>
      <c r="L7" s="57">
        <f>IFERROR(__xludf.DUMMYFUNCTION("IFERROR(FILTER('RR1 Player Stats'!AE$3:AE$50, ISNUMBER(SEARCH($A7,'RR1 Player Stats'!$A$3:$A$50))),0)
+IFERROR(FILTER('RR2 Player Stats'!AE$3:AE$50, ISNUMBER(SEARCH($A7,'RR2 Player Stats'!$A$3:$A$50))),0)
+IFERROR(FILTER('RR3 Player Stats'!AE$3:AE$50, ISN"&amp;"UMBER(SEARCH($A7,'RR3 Player Stats'!$A$3:$A$50))),0)
+IFERROR(FILTER('RR4 Player Stats'!AE$3:AE$50, ISNUMBER(SEARCH($A7,'RR4 Player Stats'!$A$3:$A$50))),0)
+IFERROR(FILTER('RR5 Player Stats'!AE$3:AE$50, ISNUMBER(SEARCH($A7,'RR5 Player Stats'!$A$3:$A$50)))"&amp;",0)"),98.0)</f>
        <v>98</v>
      </c>
      <c r="M7" s="57">
        <f>IFERROR(__xludf.DUMMYFUNCTION("IFERROR(FILTER('RR1 Player Stats'!AF$3:AF$50, ISNUMBER(SEARCH($A7,'RR1 Player Stats'!$A$3:$A$50))),0)
+IFERROR(FILTER('RR2 Player Stats'!AF$3:AF$50, ISNUMBER(SEARCH($A7,'RR2 Player Stats'!$A$3:$A$50))),0)
+IFERROR(FILTER('RR3 Player Stats'!AF$3:AF$50, ISN"&amp;"UMBER(SEARCH($A7,'RR3 Player Stats'!$A$3:$A$50))),0)
+IFERROR(FILTER('RR4 Player Stats'!AF$3:AF$50, ISNUMBER(SEARCH($A7,'RR4 Player Stats'!$A$3:$A$50))),0)
+IFERROR(FILTER('RR5 Player Stats'!AF$3:AF$50, ISNUMBER(SEARCH($A7,'RR5 Player Stats'!$A$3:$A$50)))"&amp;",0)"),90.0)</f>
        <v>90</v>
      </c>
      <c r="N7" s="180">
        <f>IFERROR(__xludf.DUMMYFUNCTION("(IFERROR(FILTER('RR1 Player Stats'!AG$3:AG$50, ISNUMBER(SEARCH($A7,'RR1 Player Stats'!$A$3:$A$50))),0)
+IFERROR(FILTER('RR2 Player Stats'!AG$3:AG$50, ISNUMBER(SEARCH($A7,'RR2 Player Stats'!$A$3:$A$50))),0)
+IFERROR(FILTER('RR3 Player Stats'!AG$3:AG$50, IS"&amp;"NUMBER(SEARCH($A7,'RR3 Player Stats'!$A$3:$A$50))),0)
+IFERROR(FILTER('RR4 Player Stats'!AG$3:AG$50, ISNUMBER(SEARCH($A7,'RR4 Player Stats'!$A$3:$A$50))),0)
+IFERROR(FILTER('RR5 Player Stats'!AG$3:AG$50, ISNUMBER(SEARCH($A7,'RR5 Player Stats'!$A$3:$A$50))"&amp;"),0))/5"),0.502)</f>
        <v>0.502</v>
      </c>
      <c r="O7" s="55">
        <f>IFERROR(__xludf.DUMMYFUNCTION("IFERROR(FILTER('RR1 Player Stats'!AH$3:AH$50, ISNUMBER(SEARCH($A7,'RR1 Player Stats'!$A$3:$A$50))),0)
+IFERROR(FILTER('RR2 Player Stats'!AH$3:AH$50, ISNUMBER(SEARCH($A7,'RR2 Player Stats'!$A$3:$A$50))),0)
+IFERROR(FILTER('RR3 Player Stats'!AH$3:AH$50, ISN"&amp;"UMBER(SEARCH($A7,'RR3 Player Stats'!$A$3:$A$50))),0)
+IFERROR(FILTER('RR4 Player Stats'!AH$3:AH$50, ISNUMBER(SEARCH($A7,'RR4 Player Stats'!$A$3:$A$50))),0)
+IFERROR(FILTER('RR5 Player Stats'!AH$3:AH$50, ISNUMBER(SEARCH($A7,'RR5 Player Stats'!$A$3:$A$50)))"&amp;",0)"),24.0)</f>
        <v>24</v>
      </c>
      <c r="P7" s="57">
        <f>IFERROR(__xludf.DUMMYFUNCTION("IFERROR(FILTER('RR1 Player Stats'!AI$3:AI$50, ISNUMBER(SEARCH($A7,'RR1 Player Stats'!$A$3:$A$50))),0)
+IFERROR(FILTER('RR2 Player Stats'!AI$3:AI$50, ISNUMBER(SEARCH($A7,'RR2 Player Stats'!$A$3:$A$50))),0)
+IFERROR(FILTER('RR3 Player Stats'!AI$3:AI$50, ISN"&amp;"UMBER(SEARCH($A7,'RR3 Player Stats'!$A$3:$A$50))),0)
+IFERROR(FILTER('RR4 Player Stats'!AI$3:AI$50, ISNUMBER(SEARCH($A7,'RR4 Player Stats'!$A$3:$A$50))),0)
+IFERROR(FILTER('RR5 Player Stats'!AI$3:AI$50, ISNUMBER(SEARCH($A7,'RR5 Player Stats'!$A$3:$A$50)))"&amp;",0)"),29.0)</f>
        <v>29</v>
      </c>
      <c r="Q7" s="57">
        <f>IFERROR(__xludf.DUMMYFUNCTION("IFERROR(FILTER('RR1 Player Stats'!AJ$3:AJ$50, ISNUMBER(SEARCH($A7,'RR1 Player Stats'!$A$3:$A$50))),0)
+IFERROR(FILTER('RR2 Player Stats'!AJ$3:AJ$50, ISNUMBER(SEARCH($A7,'RR2 Player Stats'!$A$3:$A$50))),0)
+IFERROR(FILTER('RR3 Player Stats'!AJ$3:AJ$50, ISN"&amp;"UMBER(SEARCH($A7,'RR3 Player Stats'!$A$3:$A$50))),0)
+IFERROR(FILTER('RR4 Player Stats'!AJ$3:AJ$50, ISNUMBER(SEARCH($A7,'RR4 Player Stats'!$A$3:$A$50))),0)
+IFERROR(FILTER('RR5 Player Stats'!AJ$3:AJ$50, ISNUMBER(SEARCH($A7,'RR5 Player Stats'!$A$3:$A$50)))"&amp;",0)"),9.0)</f>
        <v>9</v>
      </c>
      <c r="R7" s="57">
        <f>IFERROR(__xludf.DUMMYFUNCTION("IFERROR(FILTER('RR1 Player Stats'!AK$3:AK$50, ISNUMBER(SEARCH($A7,'RR1 Player Stats'!$A$3:$A$50))),0)
+IFERROR(FILTER('RR2 Player Stats'!AK$3:AK$50, ISNUMBER(SEARCH($A7,'RR2 Player Stats'!$A$3:$A$50))),0)
+IFERROR(FILTER('RR3 Player Stats'!AK$3:AK$50, ISN"&amp;"UMBER(SEARCH($A7,'RR3 Player Stats'!$A$3:$A$50))),0)
+IFERROR(FILTER('RR4 Player Stats'!AK$3:AK$50, ISNUMBER(SEARCH($A7,'RR4 Player Stats'!$A$3:$A$50))),0)
+IFERROR(FILTER('RR5 Player Stats'!AK$3:AK$50, ISNUMBER(SEARCH($A7,'RR5 Player Stats'!$A$3:$A$50)))"&amp;",0)"),270.0)</f>
        <v>270</v>
      </c>
      <c r="S7" s="57">
        <f>IFERROR(__xludf.DUMMYFUNCTION("IFERROR(FILTER('RR1 Player Stats'!AL$3:AL$50, ISNUMBER(SEARCH($A7,'RR1 Player Stats'!$A$3:$A$50))),0)
+IFERROR(FILTER('RR2 Player Stats'!AL$3:AL$50, ISNUMBER(SEARCH($A7,'RR2 Player Stats'!$A$3:$A$50))),0)
+IFERROR(FILTER('RR3 Player Stats'!AL$3:AL$50, ISN"&amp;"UMBER(SEARCH($A7,'RR3 Player Stats'!$A$3:$A$50))),0)
+IFERROR(FILTER('RR4 Player Stats'!AL$3:AL$50, ISNUMBER(SEARCH($A7,'RR4 Player Stats'!$A$3:$A$50))),0)
+IFERROR(FILTER('RR5 Player Stats'!AL$3:AL$50, ISNUMBER(SEARCH($A7,'RR5 Player Stats'!$A$3:$A$50)))"&amp;",0)"),234.0)</f>
        <v>234</v>
      </c>
      <c r="T7" s="180">
        <f>IFERROR(__xludf.DUMMYFUNCTION("(IFERROR(FILTER('RR1 Player Stats'!AM$3:AM$50, ISNUMBER(SEARCH($A7,'RR1 Player Stats'!$A$3:$A$50))),0)
+IFERROR(FILTER('RR2 Player Stats'!AM$3:AM$50, ISNUMBER(SEARCH($A7,'RR2 Player Stats'!$A$3:$A$50))),0)
+IFERROR(FILTER('RR3 Player Stats'!AM$3:AM$50, IS"&amp;"NUMBER(SEARCH($A7,'RR3 Player Stats'!$A$3:$A$50))),0)
+IFERROR(FILTER('RR4 Player Stats'!AM$3:AM$50, ISNUMBER(SEARCH($A7,'RR4 Player Stats'!$A$3:$A$50))),0)
+IFERROR(FILTER('RR5 Player Stats'!AM$3:AM$50, ISNUMBER(SEARCH($A7,'RR5 Player Stats'!$A$3:$A$50))"&amp;"),0))/B7"),0.53)</f>
        <v>0.53</v>
      </c>
      <c r="U7" s="55">
        <f>IFERROR(__xludf.DUMMYFUNCTION("MEDIAN(IFERROR(FILTER('RR1 Player Stats'!AH$3:AH$50, ISNUMBER(SEARCH($A7,'RR1 Player Stats'!$A$3:$A$50))),0),IFERROR(FILTER('RR2 Player Stats'!AH$3:AH$50, ISNUMBER(SEARCH($A7,'RR2 Player Stats'!$A$3:$A$50))),0),IFERROR(FILTER('RR3 Player Stats'!AH$3:AH$50"&amp;", ISNUMBER(SEARCH($A7,'RR3 Player Stats'!$A$3:$A$50))),0),IFERROR(FILTER('RR4 Player Stats'!AH$3:AH$50, ISNUMBER(SEARCH($A7,'RR4 Player Stats'!$A$3:$A$50))),0),IFERROR(FILTER('RR5 Player Stats'!AH$3:AH$50, ISNUMBER(SEARCH($A7,'RR5 Player Stats'!$A$3:$A$50"&amp;"))),0))"),5.0)</f>
        <v>5</v>
      </c>
      <c r="V7" s="57">
        <f>IFERROR(__xludf.DUMMYFUNCTION("MEDIAN(IFERROR(FILTER('RR1 Player Stats'!AI$3:AI$50, ISNUMBER(SEARCH($A7,'RR1 Player Stats'!$A$3:$A$50))),0),IFERROR(FILTER('RR2 Player Stats'!AI$3:AI$50, ISNUMBER(SEARCH($A7,'RR2 Player Stats'!$A$3:$A$50))),0),IFERROR(FILTER('RR3 Player Stats'!AI$3:AI$50"&amp;", ISNUMBER(SEARCH($A7,'RR3 Player Stats'!$A$3:$A$50))),0),IFERROR(FILTER('RR4 Player Stats'!AI$3:AI$50, ISNUMBER(SEARCH($A7,'RR4 Player Stats'!$A$3:$A$50))),0),IFERROR(FILTER('RR5 Player Stats'!AI$3:AI$50, ISNUMBER(SEARCH($A7,'RR5 Player Stats'!$A$3:$A$50"&amp;"))),0))"),6.0)</f>
        <v>6</v>
      </c>
      <c r="W7" s="57">
        <f>IFERROR(__xludf.DUMMYFUNCTION("MEDIAN(IFERROR(FILTER('RR1 Player Stats'!AJ$3:AJ$50, ISNUMBER(SEARCH($A7,'RR1 Player Stats'!$A$3:$A$50))),0),IFERROR(FILTER('RR2 Player Stats'!AJ$3:AJ$50, ISNUMBER(SEARCH($A7,'RR2 Player Stats'!$A$3:$A$50))),0),IFERROR(FILTER('RR3 Player Stats'!AJ$3:AJ$50"&amp;", ISNUMBER(SEARCH($A7,'RR3 Player Stats'!$A$3:$A$50))),0),IFERROR(FILTER('RR4 Player Stats'!AJ$3:AJ$50, ISNUMBER(SEARCH($A7,'RR4 Player Stats'!$A$3:$A$50))),0),IFERROR(FILTER('RR5 Player Stats'!AJ$3:AJ$50, ISNUMBER(SEARCH($A7,'RR5 Player Stats'!$A$3:$A$50"&amp;"))),0))"),2.0)</f>
        <v>2</v>
      </c>
      <c r="X7" s="57">
        <f>IFERROR(__xludf.DUMMYFUNCTION("MEDIAN(IFERROR(FILTER('RR1 Player Stats'!AK$3:AK$50, ISNUMBER(SEARCH($A7,'RR1 Player Stats'!$A$3:$A$50))),0),IFERROR(FILTER('RR2 Player Stats'!AK$3:AK$50, ISNUMBER(SEARCH($A7,'RR2 Player Stats'!$A$3:$A$50))),0),IFERROR(FILTER('RR3 Player Stats'!AK$3:AK$50"&amp;", ISNUMBER(SEARCH($A7,'RR3 Player Stats'!$A$3:$A$50))),0),IFERROR(FILTER('RR4 Player Stats'!AK$3:AK$50, ISNUMBER(SEARCH($A7,'RR4 Player Stats'!$A$3:$A$50))),0),IFERROR(FILTER('RR5 Player Stats'!AK$3:AK$50, ISNUMBER(SEARCH($A7,'RR5 Player Stats'!$A$3:$A$50"&amp;"))),0))"),54.0)</f>
        <v>54</v>
      </c>
      <c r="Y7" s="57">
        <f>IFERROR(__xludf.DUMMYFUNCTION("MEDIAN(IFERROR(FILTER('RR1 Player Stats'!AL$3:AL$50, ISNUMBER(SEARCH($A7,'RR1 Player Stats'!$A$3:$A$50))),0),IFERROR(FILTER('RR2 Player Stats'!AL$3:AL$50, ISNUMBER(SEARCH($A7,'RR2 Player Stats'!$A$3:$A$50))),0),IFERROR(FILTER('RR3 Player Stats'!AL$3:AL$50"&amp;", ISNUMBER(SEARCH($A7,'RR3 Player Stats'!$A$3:$A$50))),0),IFERROR(FILTER('RR4 Player Stats'!AL$3:AL$50, ISNUMBER(SEARCH($A7,'RR4 Player Stats'!$A$3:$A$50))),0),IFERROR(FILTER('RR5 Player Stats'!AL$3:AL$50, ISNUMBER(SEARCH($A7,'RR5 Player Stats'!$A$3:$A$50"&amp;"))),0))"),48.0)</f>
        <v>48</v>
      </c>
      <c r="Z7" s="180">
        <f>IFERROR(__xludf.DUMMYFUNCTION("MEDIAN(IFERROR(FILTER('RR1 Player Stats'!AM$3:AM$50, ISNUMBER(SEARCH($A7,'RR1 Player Stats'!$A$3:$A$50))),0),IFERROR(FILTER('RR2 Player Stats'!AM$3:AM$50, ISNUMBER(SEARCH($A7,'RR2 Player Stats'!$A$3:$A$50))),0),IFERROR(FILTER('RR3 Player Stats'!AM$3:AM$50"&amp;", ISNUMBER(SEARCH($A7,'RR3 Player Stats'!$A$3:$A$50))),0),IFERROR(FILTER('RR4 Player Stats'!AM$3:AM$50, ISNUMBER(SEARCH($A7,'RR4 Player Stats'!$A$3:$A$50))),0),IFERROR(FILTER('RR5 Player Stats'!AM$3:AM$50, ISNUMBER(SEARCH($A7,'RR5 Player Stats'!$A$3:$A$50"&amp;"))),0))"),0.55)</f>
        <v>0.55</v>
      </c>
    </row>
    <row r="8">
      <c r="A8" s="29" t="s">
        <v>36</v>
      </c>
      <c r="B8" s="48">
        <f>COUNTIF('RR1 Player Stats'!$A$3:$A$50,$A8)+COUNTIF('RR2 Player Stats'!$A$3:$A$50,$A8)+COUNTIF('RR3 Player Stats'!$A$3:$A$50,$A8)+COUNTIF('RR4 Player Stats'!$A$3:$A$50,$A8)+COUNTIF('RR5 Player Stats'!$A$3:$A$50,$A8)</f>
        <v>5</v>
      </c>
      <c r="C8" s="55">
        <f>IFERROR(__xludf.DUMMYFUNCTION("IFERROR(FILTER('RR1 Player Stats'!V$3:V$50, ISNUMBER(SEARCH($A8,'RR1 Player Stats'!$A$3:$A$50))),0)
+IFERROR(FILTER('RR2 Player Stats'!V$3:V$50, ISNUMBER(SEARCH($A8,'RR2 Player Stats'!$A$3:$A$50))),0)
+IFERROR(FILTER('RR3 Player Stats'!V$3:V$50, ISNUMBER("&amp;"SEARCH($A8,'RR3 Player Stats'!$A$3:$A$50))),0)
+IFERROR(FILTER('RR4 Player Stats'!V$3:V$50, ISNUMBER(SEARCH($A8,'RR4 Player Stats'!$A$3:$A$50))),0)
+IFERROR(FILTER('RR5 Player Stats'!V$3:V$50, ISNUMBER(SEARCH($A8,'RR5 Player Stats'!$A$3:$A$50))),0)"),16.0)</f>
        <v>16</v>
      </c>
      <c r="D8" s="57">
        <f>IFERROR(__xludf.DUMMYFUNCTION("IFERROR(FILTER('RR1 Player Stats'!W$3:W$50, ISNUMBER(SEARCH($A8,'RR1 Player Stats'!$A$3:$A$50))),0)
+IFERROR(FILTER('RR2 Player Stats'!W$3:W$50, ISNUMBER(SEARCH($A8,'RR2 Player Stats'!$A$3:$A$50))),0)
+IFERROR(FILTER('RR3 Player Stats'!W$3:W$50, ISNUMBER("&amp;"SEARCH($A8,'RR3 Player Stats'!$A$3:$A$50))),0)
+IFERROR(FILTER('RR4 Player Stats'!W$3:W$50, ISNUMBER(SEARCH($A8,'RR4 Player Stats'!$A$3:$A$50))),0)
+IFERROR(FILTER('RR5 Player Stats'!W$3:W$50, ISNUMBER(SEARCH($A8,'RR5 Player Stats'!$A$3:$A$50))),0)"),17.0)</f>
        <v>17</v>
      </c>
      <c r="E8" s="57">
        <f>IFERROR(__xludf.DUMMYFUNCTION("IFERROR(FILTER('RR1 Player Stats'!X$3:X$50, ISNUMBER(SEARCH($A8,'RR1 Player Stats'!$A$3:$A$50))),0)
+IFERROR(FILTER('RR2 Player Stats'!X$3:X$50, ISNUMBER(SEARCH($A8,'RR2 Player Stats'!$A$3:$A$50))),0)
+IFERROR(FILTER('RR3 Player Stats'!X$3:X$50, ISNUMBER("&amp;"SEARCH($A8,'RR3 Player Stats'!$A$3:$A$50))),0)
+IFERROR(FILTER('RR4 Player Stats'!X$3:X$50, ISNUMBER(SEARCH($A8,'RR4 Player Stats'!$A$3:$A$50))),0)
+IFERROR(FILTER('RR5 Player Stats'!X$3:X$50, ISNUMBER(SEARCH($A8,'RR5 Player Stats'!$A$3:$A$50))),0)"),8.0)</f>
        <v>8</v>
      </c>
      <c r="F8" s="57">
        <f>IFERROR(__xludf.DUMMYFUNCTION("IFERROR(FILTER('RR1 Player Stats'!Y$3:Y$50, ISNUMBER(SEARCH($A8,'RR1 Player Stats'!$A$3:$A$50))),0)
+IFERROR(FILTER('RR2 Player Stats'!Y$3:Y$50, ISNUMBER(SEARCH($A8,'RR2 Player Stats'!$A$3:$A$50))),0)
+IFERROR(FILTER('RR3 Player Stats'!Y$3:Y$50, ISNUMBER("&amp;"SEARCH($A8,'RR3 Player Stats'!$A$3:$A$50))),0)
+IFERROR(FILTER('RR4 Player Stats'!Y$3:Y$50, ISNUMBER(SEARCH($A8,'RR4 Player Stats'!$A$3:$A$50))),0)
+IFERROR(FILTER('RR5 Player Stats'!Y$3:Y$50, ISNUMBER(SEARCH($A8,'RR5 Player Stats'!$A$3:$A$50))),0)"),166.0)</f>
        <v>166</v>
      </c>
      <c r="G8" s="57">
        <f>IFERROR(__xludf.DUMMYFUNCTION("IFERROR(FILTER('RR1 Player Stats'!Z$3:Z$50, ISNUMBER(SEARCH($A8,'RR1 Player Stats'!$A$3:$A$50))),0)
+IFERROR(FILTER('RR2 Player Stats'!Z$3:Z$50, ISNUMBER(SEARCH($A8,'RR2 Player Stats'!$A$3:$A$50))),0)
+IFERROR(FILTER('RR3 Player Stats'!Z$3:Z$50, ISNUMBER("&amp;"SEARCH($A8,'RR3 Player Stats'!$A$3:$A$50))),0)
+IFERROR(FILTER('RR4 Player Stats'!Z$3:Z$50, ISNUMBER(SEARCH($A8,'RR4 Player Stats'!$A$3:$A$50))),0)
+IFERROR(FILTER('RR5 Player Stats'!Z$3:Z$50, ISNUMBER(SEARCH($A8,'RR5 Player Stats'!$A$3:$A$50))),0)"),134.0)</f>
        <v>134</v>
      </c>
      <c r="H8" s="180">
        <f>IFERROR(__xludf.DUMMYFUNCTION("(IFERROR(FILTER('RR1 Player Stats'!AA$3:AA$50, ISNUMBER(SEARCH($A8,'RR1 Player Stats'!$A$3:$A$50))),0)
+IFERROR(FILTER('RR2 Player Stats'!AA$3:AA$50, ISNUMBER(SEARCH($A8,'RR2 Player Stats'!$A$3:$A$50))),0)
+IFERROR(FILTER('RR3 Player Stats'!AA$3:AA$50, IS"&amp;"NUMBER(SEARCH($A8,'RR3 Player Stats'!$A$3:$A$50))),0)
+IFERROR(FILTER('RR4 Player Stats'!AA$3:AA$50, ISNUMBER(SEARCH($A8,'RR4 Player Stats'!$A$3:$A$50))),0)
+IFERROR(FILTER('RR5 Player Stats'!AA$3:AA$50, ISNUMBER(SEARCH($A8,'RR5 Player Stats'!$A$3:$A$50))"&amp;"),0))/5"),0.55)</f>
        <v>0.55</v>
      </c>
      <c r="I8" s="55">
        <f>IFERROR(__xludf.DUMMYFUNCTION("IFERROR(FILTER('RR1 Player Stats'!AB$3:AB$50, ISNUMBER(SEARCH($A8,'RR1 Player Stats'!$A$3:$A$50))),0)
+IFERROR(FILTER('RR2 Player Stats'!AB$3:AB$50, ISNUMBER(SEARCH($A8,'RR2 Player Stats'!$A$3:$A$50))),0)
+IFERROR(FILTER('RR3 Player Stats'!AB$3:AB$50, ISN"&amp;"UMBER(SEARCH($A8,'RR3 Player Stats'!$A$3:$A$50))),0)
+IFERROR(FILTER('RR4 Player Stats'!AB$3:AB$50, ISNUMBER(SEARCH($A8,'RR4 Player Stats'!$A$3:$A$50))),0)
+IFERROR(FILTER('RR5 Player Stats'!AB$3:AB$50, ISNUMBER(SEARCH($A8,'RR5 Player Stats'!$A$3:$A$50)))"&amp;",0)"),10.0)</f>
        <v>10</v>
      </c>
      <c r="J8" s="57">
        <f>IFERROR(__xludf.DUMMYFUNCTION("IFERROR(FILTER('RR1 Player Stats'!AC$3:AC$50, ISNUMBER(SEARCH($A8,'RR1 Player Stats'!$A$3:$A$50))),0)
+IFERROR(FILTER('RR2 Player Stats'!AC$3:AC$50, ISNUMBER(SEARCH($A8,'RR2 Player Stats'!$A$3:$A$50))),0)
+IFERROR(FILTER('RR3 Player Stats'!AC$3:AC$50, ISN"&amp;"UMBER(SEARCH($A8,'RR3 Player Stats'!$A$3:$A$50))),0)
+IFERROR(FILTER('RR4 Player Stats'!AC$3:AC$50, ISNUMBER(SEARCH($A8,'RR4 Player Stats'!$A$3:$A$50))),0)
+IFERROR(FILTER('RR5 Player Stats'!AC$3:AC$50, ISNUMBER(SEARCH($A8,'RR5 Player Stats'!$A$3:$A$50)))"&amp;",0)"),10.0)</f>
        <v>10</v>
      </c>
      <c r="K8" s="57">
        <f>IFERROR(__xludf.DUMMYFUNCTION("IFERROR(FILTER('RR1 Player Stats'!AD$3:AD$50, ISNUMBER(SEARCH($A8,'RR1 Player Stats'!$A$3:$A$50))),0)
+IFERROR(FILTER('RR2 Player Stats'!AD$3:AD$50, ISNUMBER(SEARCH($A8,'RR2 Player Stats'!$A$3:$A$50))),0)
+IFERROR(FILTER('RR3 Player Stats'!AD$3:AD$50, ISN"&amp;"UMBER(SEARCH($A8,'RR3 Player Stats'!$A$3:$A$50))),0)
+IFERROR(FILTER('RR4 Player Stats'!AD$3:AD$50, ISNUMBER(SEARCH($A8,'RR4 Player Stats'!$A$3:$A$50))),0)
+IFERROR(FILTER('RR5 Player Stats'!AD$3:AD$50, ISNUMBER(SEARCH($A8,'RR5 Player Stats'!$A$3:$A$50)))"&amp;",0)"),5.0)</f>
        <v>5</v>
      </c>
      <c r="L8" s="57">
        <f>IFERROR(__xludf.DUMMYFUNCTION("IFERROR(FILTER('RR1 Player Stats'!AE$3:AE$50, ISNUMBER(SEARCH($A8,'RR1 Player Stats'!$A$3:$A$50))),0)
+IFERROR(FILTER('RR2 Player Stats'!AE$3:AE$50, ISNUMBER(SEARCH($A8,'RR2 Player Stats'!$A$3:$A$50))),0)
+IFERROR(FILTER('RR3 Player Stats'!AE$3:AE$50, ISN"&amp;"UMBER(SEARCH($A8,'RR3 Player Stats'!$A$3:$A$50))),0)
+IFERROR(FILTER('RR4 Player Stats'!AE$3:AE$50, ISNUMBER(SEARCH($A8,'RR4 Player Stats'!$A$3:$A$50))),0)
+IFERROR(FILTER('RR5 Player Stats'!AE$3:AE$50, ISNUMBER(SEARCH($A8,'RR5 Player Stats'!$A$3:$A$50)))"&amp;",0)"),100.0)</f>
        <v>100</v>
      </c>
      <c r="M8" s="57">
        <f>IFERROR(__xludf.DUMMYFUNCTION("IFERROR(FILTER('RR1 Player Stats'!AF$3:AF$50, ISNUMBER(SEARCH($A8,'RR1 Player Stats'!$A$3:$A$50))),0)
+IFERROR(FILTER('RR2 Player Stats'!AF$3:AF$50, ISNUMBER(SEARCH($A8,'RR2 Player Stats'!$A$3:$A$50))),0)
+IFERROR(FILTER('RR3 Player Stats'!AF$3:AF$50, ISN"&amp;"UMBER(SEARCH($A8,'RR3 Player Stats'!$A$3:$A$50))),0)
+IFERROR(FILTER('RR4 Player Stats'!AF$3:AF$50, ISNUMBER(SEARCH($A8,'RR4 Player Stats'!$A$3:$A$50))),0)
+IFERROR(FILTER('RR5 Player Stats'!AF$3:AF$50, ISNUMBER(SEARCH($A8,'RR5 Player Stats'!$A$3:$A$50)))"&amp;",0)"),80.0)</f>
        <v>80</v>
      </c>
      <c r="N8" s="180">
        <f>IFERROR(__xludf.DUMMYFUNCTION("(IFERROR(FILTER('RR1 Player Stats'!AG$3:AG$50, ISNUMBER(SEARCH($A8,'RR1 Player Stats'!$A$3:$A$50))),0)
+IFERROR(FILTER('RR2 Player Stats'!AG$3:AG$50, ISNUMBER(SEARCH($A8,'RR2 Player Stats'!$A$3:$A$50))),0)
+IFERROR(FILTER('RR3 Player Stats'!AG$3:AG$50, IS"&amp;"NUMBER(SEARCH($A8,'RR3 Player Stats'!$A$3:$A$50))),0)
+IFERROR(FILTER('RR4 Player Stats'!AG$3:AG$50, ISNUMBER(SEARCH($A8,'RR4 Player Stats'!$A$3:$A$50))),0)
+IFERROR(FILTER('RR5 Player Stats'!AG$3:AG$50, ISNUMBER(SEARCH($A8,'RR5 Player Stats'!$A$3:$A$50))"&amp;"),0))/5"),0.5039999999999999)</f>
        <v>0.504</v>
      </c>
      <c r="O8" s="55">
        <f>IFERROR(__xludf.DUMMYFUNCTION("IFERROR(FILTER('RR1 Player Stats'!AH$3:AH$50, ISNUMBER(SEARCH($A8,'RR1 Player Stats'!$A$3:$A$50))),0)
+IFERROR(FILTER('RR2 Player Stats'!AH$3:AH$50, ISNUMBER(SEARCH($A8,'RR2 Player Stats'!$A$3:$A$50))),0)
+IFERROR(FILTER('RR3 Player Stats'!AH$3:AH$50, ISN"&amp;"UMBER(SEARCH($A8,'RR3 Player Stats'!$A$3:$A$50))),0)
+IFERROR(FILTER('RR4 Player Stats'!AH$3:AH$50, ISNUMBER(SEARCH($A8,'RR4 Player Stats'!$A$3:$A$50))),0)
+IFERROR(FILTER('RR5 Player Stats'!AH$3:AH$50, ISNUMBER(SEARCH($A8,'RR5 Player Stats'!$A$3:$A$50)))"&amp;",0)"),26.0)</f>
        <v>26</v>
      </c>
      <c r="P8" s="57">
        <f>IFERROR(__xludf.DUMMYFUNCTION("IFERROR(FILTER('RR1 Player Stats'!AI$3:AI$50, ISNUMBER(SEARCH($A8,'RR1 Player Stats'!$A$3:$A$50))),0)
+IFERROR(FILTER('RR2 Player Stats'!AI$3:AI$50, ISNUMBER(SEARCH($A8,'RR2 Player Stats'!$A$3:$A$50))),0)
+IFERROR(FILTER('RR3 Player Stats'!AI$3:AI$50, ISN"&amp;"UMBER(SEARCH($A8,'RR3 Player Stats'!$A$3:$A$50))),0)
+IFERROR(FILTER('RR4 Player Stats'!AI$3:AI$50, ISNUMBER(SEARCH($A8,'RR4 Player Stats'!$A$3:$A$50))),0)
+IFERROR(FILTER('RR5 Player Stats'!AI$3:AI$50, ISNUMBER(SEARCH($A8,'RR5 Player Stats'!$A$3:$A$50)))"&amp;",0)"),27.0)</f>
        <v>27</v>
      </c>
      <c r="Q8" s="57">
        <f>IFERROR(__xludf.DUMMYFUNCTION("IFERROR(FILTER('RR1 Player Stats'!AJ$3:AJ$50, ISNUMBER(SEARCH($A8,'RR1 Player Stats'!$A$3:$A$50))),0)
+IFERROR(FILTER('RR2 Player Stats'!AJ$3:AJ$50, ISNUMBER(SEARCH($A8,'RR2 Player Stats'!$A$3:$A$50))),0)
+IFERROR(FILTER('RR3 Player Stats'!AJ$3:AJ$50, ISN"&amp;"UMBER(SEARCH($A8,'RR3 Player Stats'!$A$3:$A$50))),0)
+IFERROR(FILTER('RR4 Player Stats'!AJ$3:AJ$50, ISNUMBER(SEARCH($A8,'RR4 Player Stats'!$A$3:$A$50))),0)
+IFERROR(FILTER('RR5 Player Stats'!AJ$3:AJ$50, ISNUMBER(SEARCH($A8,'RR5 Player Stats'!$A$3:$A$50)))"&amp;",0)"),13.0)</f>
        <v>13</v>
      </c>
      <c r="R8" s="57">
        <f>IFERROR(__xludf.DUMMYFUNCTION("IFERROR(FILTER('RR1 Player Stats'!AK$3:AK$50, ISNUMBER(SEARCH($A8,'RR1 Player Stats'!$A$3:$A$50))),0)
+IFERROR(FILTER('RR2 Player Stats'!AK$3:AK$50, ISNUMBER(SEARCH($A8,'RR2 Player Stats'!$A$3:$A$50))),0)
+IFERROR(FILTER('RR3 Player Stats'!AK$3:AK$50, ISN"&amp;"UMBER(SEARCH($A8,'RR3 Player Stats'!$A$3:$A$50))),0)
+IFERROR(FILTER('RR4 Player Stats'!AK$3:AK$50, ISNUMBER(SEARCH($A8,'RR4 Player Stats'!$A$3:$A$50))),0)
+IFERROR(FILTER('RR5 Player Stats'!AK$3:AK$50, ISNUMBER(SEARCH($A8,'RR5 Player Stats'!$A$3:$A$50)))"&amp;",0)"),266.0)</f>
        <v>266</v>
      </c>
      <c r="S8" s="57">
        <f>IFERROR(__xludf.DUMMYFUNCTION("IFERROR(FILTER('RR1 Player Stats'!AL$3:AL$50, ISNUMBER(SEARCH($A8,'RR1 Player Stats'!$A$3:$A$50))),0)
+IFERROR(FILTER('RR2 Player Stats'!AL$3:AL$50, ISNUMBER(SEARCH($A8,'RR2 Player Stats'!$A$3:$A$50))),0)
+IFERROR(FILTER('RR3 Player Stats'!AL$3:AL$50, ISN"&amp;"UMBER(SEARCH($A8,'RR3 Player Stats'!$A$3:$A$50))),0)
+IFERROR(FILTER('RR4 Player Stats'!AL$3:AL$50, ISNUMBER(SEARCH($A8,'RR4 Player Stats'!$A$3:$A$50))),0)
+IFERROR(FILTER('RR5 Player Stats'!AL$3:AL$50, ISNUMBER(SEARCH($A8,'RR5 Player Stats'!$A$3:$A$50)))"&amp;",0)"),214.0)</f>
        <v>214</v>
      </c>
      <c r="T8" s="180">
        <f>IFERROR(__xludf.DUMMYFUNCTION("(IFERROR(FILTER('RR1 Player Stats'!AM$3:AM$50, ISNUMBER(SEARCH($A8,'RR1 Player Stats'!$A$3:$A$50))),0)
+IFERROR(FILTER('RR2 Player Stats'!AM$3:AM$50, ISNUMBER(SEARCH($A8,'RR2 Player Stats'!$A$3:$A$50))),0)
+IFERROR(FILTER('RR3 Player Stats'!AM$3:AM$50, IS"&amp;"NUMBER(SEARCH($A8,'RR3 Player Stats'!$A$3:$A$50))),0)
+IFERROR(FILTER('RR4 Player Stats'!AM$3:AM$50, ISNUMBER(SEARCH($A8,'RR4 Player Stats'!$A$3:$A$50))),0)
+IFERROR(FILTER('RR5 Player Stats'!AM$3:AM$50, ISNUMBER(SEARCH($A8,'RR5 Player Stats'!$A$3:$A$50))"&amp;"),0))/B8"),0.53)</f>
        <v>0.53</v>
      </c>
      <c r="U8" s="55">
        <f>IFERROR(__xludf.DUMMYFUNCTION("MEDIAN(IFERROR(FILTER('RR1 Player Stats'!AH$3:AH$50, ISNUMBER(SEARCH($A8,'RR1 Player Stats'!$A$3:$A$50))),0),IFERROR(FILTER('RR2 Player Stats'!AH$3:AH$50, ISNUMBER(SEARCH($A8,'RR2 Player Stats'!$A$3:$A$50))),0),IFERROR(FILTER('RR3 Player Stats'!AH$3:AH$50"&amp;", ISNUMBER(SEARCH($A8,'RR3 Player Stats'!$A$3:$A$50))),0),IFERROR(FILTER('RR4 Player Stats'!AH$3:AH$50, ISNUMBER(SEARCH($A8,'RR4 Player Stats'!$A$3:$A$50))),0),IFERROR(FILTER('RR5 Player Stats'!AH$3:AH$50, ISNUMBER(SEARCH($A8,'RR5 Player Stats'!$A$3:$A$50"&amp;"))),0))"),5.0)</f>
        <v>5</v>
      </c>
      <c r="V8" s="57">
        <f>IFERROR(__xludf.DUMMYFUNCTION("MEDIAN(IFERROR(FILTER('RR1 Player Stats'!AI$3:AI$50, ISNUMBER(SEARCH($A8,'RR1 Player Stats'!$A$3:$A$50))),0),IFERROR(FILTER('RR2 Player Stats'!AI$3:AI$50, ISNUMBER(SEARCH($A8,'RR2 Player Stats'!$A$3:$A$50))),0),IFERROR(FILTER('RR3 Player Stats'!AI$3:AI$50"&amp;", ISNUMBER(SEARCH($A8,'RR3 Player Stats'!$A$3:$A$50))),0),IFERROR(FILTER('RR4 Player Stats'!AI$3:AI$50, ISNUMBER(SEARCH($A8,'RR4 Player Stats'!$A$3:$A$50))),0),IFERROR(FILTER('RR5 Player Stats'!AI$3:AI$50, ISNUMBER(SEARCH($A8,'RR5 Player Stats'!$A$3:$A$50"&amp;"))),0))"),6.0)</f>
        <v>6</v>
      </c>
      <c r="W8" s="57">
        <f>IFERROR(__xludf.DUMMYFUNCTION("MEDIAN(IFERROR(FILTER('RR1 Player Stats'!AJ$3:AJ$50, ISNUMBER(SEARCH($A8,'RR1 Player Stats'!$A$3:$A$50))),0),IFERROR(FILTER('RR2 Player Stats'!AJ$3:AJ$50, ISNUMBER(SEARCH($A8,'RR2 Player Stats'!$A$3:$A$50))),0),IFERROR(FILTER('RR3 Player Stats'!AJ$3:AJ$50"&amp;", ISNUMBER(SEARCH($A8,'RR3 Player Stats'!$A$3:$A$50))),0),IFERROR(FILTER('RR4 Player Stats'!AJ$3:AJ$50, ISNUMBER(SEARCH($A8,'RR4 Player Stats'!$A$3:$A$50))),0),IFERROR(FILTER('RR5 Player Stats'!AJ$3:AJ$50, ISNUMBER(SEARCH($A8,'RR5 Player Stats'!$A$3:$A$50"&amp;"))),0))"),3.0)</f>
        <v>3</v>
      </c>
      <c r="X8" s="57">
        <f>IFERROR(__xludf.DUMMYFUNCTION("MEDIAN(IFERROR(FILTER('RR1 Player Stats'!AK$3:AK$50, ISNUMBER(SEARCH($A8,'RR1 Player Stats'!$A$3:$A$50))),0),IFERROR(FILTER('RR2 Player Stats'!AK$3:AK$50, ISNUMBER(SEARCH($A8,'RR2 Player Stats'!$A$3:$A$50))),0),IFERROR(FILTER('RR3 Player Stats'!AK$3:AK$50"&amp;", ISNUMBER(SEARCH($A8,'RR3 Player Stats'!$A$3:$A$50))),0),IFERROR(FILTER('RR4 Player Stats'!AK$3:AK$50, ISNUMBER(SEARCH($A8,'RR4 Player Stats'!$A$3:$A$50))),0),IFERROR(FILTER('RR5 Player Stats'!AK$3:AK$50, ISNUMBER(SEARCH($A8,'RR5 Player Stats'!$A$3:$A$50"&amp;"))),0))"),58.0)</f>
        <v>58</v>
      </c>
      <c r="Y8" s="57">
        <f>IFERROR(__xludf.DUMMYFUNCTION("MEDIAN(IFERROR(FILTER('RR1 Player Stats'!AL$3:AL$50, ISNUMBER(SEARCH($A8,'RR1 Player Stats'!$A$3:$A$50))),0),IFERROR(FILTER('RR2 Player Stats'!AL$3:AL$50, ISNUMBER(SEARCH($A8,'RR2 Player Stats'!$A$3:$A$50))),0),IFERROR(FILTER('RR3 Player Stats'!AL$3:AL$50"&amp;", ISNUMBER(SEARCH($A8,'RR3 Player Stats'!$A$3:$A$50))),0),IFERROR(FILTER('RR4 Player Stats'!AL$3:AL$50, ISNUMBER(SEARCH($A8,'RR4 Player Stats'!$A$3:$A$50))),0),IFERROR(FILTER('RR5 Player Stats'!AL$3:AL$50, ISNUMBER(SEARCH($A8,'RR5 Player Stats'!$A$3:$A$50"&amp;"))),0))"),44.0)</f>
        <v>44</v>
      </c>
      <c r="Z8" s="180">
        <f>IFERROR(__xludf.DUMMYFUNCTION("MEDIAN(IFERROR(FILTER('RR1 Player Stats'!AM$3:AM$50, ISNUMBER(SEARCH($A8,'RR1 Player Stats'!$A$3:$A$50))),0),IFERROR(FILTER('RR2 Player Stats'!AM$3:AM$50, ISNUMBER(SEARCH($A8,'RR2 Player Stats'!$A$3:$A$50))),0),IFERROR(FILTER('RR3 Player Stats'!AM$3:AM$50"&amp;", ISNUMBER(SEARCH($A8,'RR3 Player Stats'!$A$3:$A$50))),0),IFERROR(FILTER('RR4 Player Stats'!AM$3:AM$50, ISNUMBER(SEARCH($A8,'RR4 Player Stats'!$A$3:$A$50))),0),IFERROR(FILTER('RR5 Player Stats'!AM$3:AM$50, ISNUMBER(SEARCH($A8,'RR5 Player Stats'!$A$3:$A$50"&amp;"))),0))"),0.55)</f>
        <v>0.55</v>
      </c>
    </row>
    <row r="9">
      <c r="A9" s="29" t="s">
        <v>60</v>
      </c>
      <c r="B9" s="48">
        <f>COUNTIF('RR1 Player Stats'!$A$3:$A$50,$A9)+COUNTIF('RR2 Player Stats'!$A$3:$A$50,$A9)+COUNTIF('RR3 Player Stats'!$A$3:$A$50,$A9)+COUNTIF('RR4 Player Stats'!$A$3:$A$50,$A9)+COUNTIF('RR5 Player Stats'!$A$3:$A$50,$A9)</f>
        <v>4</v>
      </c>
      <c r="C9" s="55">
        <f>IFERROR(__xludf.DUMMYFUNCTION("IFERROR(FILTER('RR1 Player Stats'!V$3:V$50, ISNUMBER(SEARCH($A9,'RR1 Player Stats'!$A$3:$A$50))),0)
+IFERROR(FILTER('RR2 Player Stats'!V$3:V$50, ISNUMBER(SEARCH($A9,'RR2 Player Stats'!$A$3:$A$50))),0)
+IFERROR(FILTER('RR3 Player Stats'!V$3:V$50, ISNUMBER("&amp;"SEARCH($A9,'RR3 Player Stats'!$A$3:$A$50))),0)
+IFERROR(FILTER('RR4 Player Stats'!V$3:V$50, ISNUMBER(SEARCH($A9,'RR4 Player Stats'!$A$3:$A$50))),0)
+IFERROR(FILTER('RR5 Player Stats'!V$3:V$50, ISNUMBER(SEARCH($A9,'RR5 Player Stats'!$A$3:$A$50))),0)"),12.0)</f>
        <v>12</v>
      </c>
      <c r="D9" s="57">
        <f>IFERROR(__xludf.DUMMYFUNCTION("IFERROR(FILTER('RR1 Player Stats'!W$3:W$50, ISNUMBER(SEARCH($A9,'RR1 Player Stats'!$A$3:$A$50))),0)
+IFERROR(FILTER('RR2 Player Stats'!W$3:W$50, ISNUMBER(SEARCH($A9,'RR2 Player Stats'!$A$3:$A$50))),0)
+IFERROR(FILTER('RR3 Player Stats'!W$3:W$50, ISNUMBER("&amp;"SEARCH($A9,'RR3 Player Stats'!$A$3:$A$50))),0)
+IFERROR(FILTER('RR4 Player Stats'!W$3:W$50, ISNUMBER(SEARCH($A9,'RR4 Player Stats'!$A$3:$A$50))),0)
+IFERROR(FILTER('RR5 Player Stats'!W$3:W$50, ISNUMBER(SEARCH($A9,'RR5 Player Stats'!$A$3:$A$50))),0)"),23.0)</f>
        <v>23</v>
      </c>
      <c r="E9" s="57">
        <f>IFERROR(__xludf.DUMMYFUNCTION("IFERROR(FILTER('RR1 Player Stats'!X$3:X$50, ISNUMBER(SEARCH($A9,'RR1 Player Stats'!$A$3:$A$50))),0)
+IFERROR(FILTER('RR2 Player Stats'!X$3:X$50, ISNUMBER(SEARCH($A9,'RR2 Player Stats'!$A$3:$A$50))),0)
+IFERROR(FILTER('RR3 Player Stats'!X$3:X$50, ISNUMBER("&amp;"SEARCH($A9,'RR3 Player Stats'!$A$3:$A$50))),0)
+IFERROR(FILTER('RR4 Player Stats'!X$3:X$50, ISNUMBER(SEARCH($A9,'RR4 Player Stats'!$A$3:$A$50))),0)
+IFERROR(FILTER('RR5 Player Stats'!X$3:X$50, ISNUMBER(SEARCH($A9,'RR5 Player Stats'!$A$3:$A$50))),0)"),6.0)</f>
        <v>6</v>
      </c>
      <c r="F9" s="57">
        <f>IFERROR(__xludf.DUMMYFUNCTION("IFERROR(FILTER('RR1 Player Stats'!Y$3:Y$50, ISNUMBER(SEARCH($A9,'RR1 Player Stats'!$A$3:$A$50))),0)
+IFERROR(FILTER('RR2 Player Stats'!Y$3:Y$50, ISNUMBER(SEARCH($A9,'RR2 Player Stats'!$A$3:$A$50))),0)
+IFERROR(FILTER('RR3 Player Stats'!Y$3:Y$50, ISNUMBER("&amp;"SEARCH($A9,'RR3 Player Stats'!$A$3:$A$50))),0)
+IFERROR(FILTER('RR4 Player Stats'!Y$3:Y$50, ISNUMBER(SEARCH($A9,'RR4 Player Stats'!$A$3:$A$50))),0)
+IFERROR(FILTER('RR5 Player Stats'!Y$3:Y$50, ISNUMBER(SEARCH($A9,'RR5 Player Stats'!$A$3:$A$50))),0)"),186.0)</f>
        <v>186</v>
      </c>
      <c r="G9" s="57">
        <f>IFERROR(__xludf.DUMMYFUNCTION("IFERROR(FILTER('RR1 Player Stats'!Z$3:Z$50, ISNUMBER(SEARCH($A9,'RR1 Player Stats'!$A$3:$A$50))),0)
+IFERROR(FILTER('RR2 Player Stats'!Z$3:Z$50, ISNUMBER(SEARCH($A9,'RR2 Player Stats'!$A$3:$A$50))),0)
+IFERROR(FILTER('RR3 Player Stats'!Z$3:Z$50, ISNUMBER("&amp;"SEARCH($A9,'RR3 Player Stats'!$A$3:$A$50))),0)
+IFERROR(FILTER('RR4 Player Stats'!Z$3:Z$50, ISNUMBER(SEARCH($A9,'RR4 Player Stats'!$A$3:$A$50))),0)
+IFERROR(FILTER('RR5 Player Stats'!Z$3:Z$50, ISNUMBER(SEARCH($A9,'RR5 Player Stats'!$A$3:$A$50))),0)"),162.0)</f>
        <v>162</v>
      </c>
      <c r="H9" s="180">
        <f>IFERROR(__xludf.DUMMYFUNCTION("(IFERROR(FILTER('RR1 Player Stats'!AA$3:AA$50, ISNUMBER(SEARCH($A9,'RR1 Player Stats'!$A$3:$A$50))),0)
+IFERROR(FILTER('RR2 Player Stats'!AA$3:AA$50, ISNUMBER(SEARCH($A9,'RR2 Player Stats'!$A$3:$A$50))),0)
+IFERROR(FILTER('RR3 Player Stats'!AA$3:AA$50, IS"&amp;"NUMBER(SEARCH($A9,'RR3 Player Stats'!$A$3:$A$50))),0)
+IFERROR(FILTER('RR4 Player Stats'!AA$3:AA$50, ISNUMBER(SEARCH($A9,'RR4 Player Stats'!$A$3:$A$50))),0)
+IFERROR(FILTER('RR5 Player Stats'!AA$3:AA$50, ISNUMBER(SEARCH($A9,'RR5 Player Stats'!$A$3:$A$50))"&amp;"),0))/5"),0.584)</f>
        <v>0.584</v>
      </c>
      <c r="I9" s="55">
        <f>IFERROR(__xludf.DUMMYFUNCTION("IFERROR(FILTER('RR1 Player Stats'!AB$3:AB$50, ISNUMBER(SEARCH($A9,'RR1 Player Stats'!$A$3:$A$50))),0)
+IFERROR(FILTER('RR2 Player Stats'!AB$3:AB$50, ISNUMBER(SEARCH($A9,'RR2 Player Stats'!$A$3:$A$50))),0)
+IFERROR(FILTER('RR3 Player Stats'!AB$3:AB$50, ISN"&amp;"UMBER(SEARCH($A9,'RR3 Player Stats'!$A$3:$A$50))),0)
+IFERROR(FILTER('RR4 Player Stats'!AB$3:AB$50, ISNUMBER(SEARCH($A9,'RR4 Player Stats'!$A$3:$A$50))),0)
+IFERROR(FILTER('RR5 Player Stats'!AB$3:AB$50, ISNUMBER(SEARCH($A9,'RR5 Player Stats'!$A$3:$A$50)))"&amp;",0)"),9.0)</f>
        <v>9</v>
      </c>
      <c r="J9" s="57">
        <f>IFERROR(__xludf.DUMMYFUNCTION("IFERROR(FILTER('RR1 Player Stats'!AC$3:AC$50, ISNUMBER(SEARCH($A9,'RR1 Player Stats'!$A$3:$A$50))),0)
+IFERROR(FILTER('RR2 Player Stats'!AC$3:AC$50, ISNUMBER(SEARCH($A9,'RR2 Player Stats'!$A$3:$A$50))),0)
+IFERROR(FILTER('RR3 Player Stats'!AC$3:AC$50, ISN"&amp;"UMBER(SEARCH($A9,'RR3 Player Stats'!$A$3:$A$50))),0)
+IFERROR(FILTER('RR4 Player Stats'!AC$3:AC$50, ISNUMBER(SEARCH($A9,'RR4 Player Stats'!$A$3:$A$50))),0)
+IFERROR(FILTER('RR5 Player Stats'!AC$3:AC$50, ISNUMBER(SEARCH($A9,'RR5 Player Stats'!$A$3:$A$50)))"&amp;",0)"),7.0)</f>
        <v>7</v>
      </c>
      <c r="K9" s="57">
        <f>IFERROR(__xludf.DUMMYFUNCTION("IFERROR(FILTER('RR1 Player Stats'!AD$3:AD$50, ISNUMBER(SEARCH($A9,'RR1 Player Stats'!$A$3:$A$50))),0)
+IFERROR(FILTER('RR2 Player Stats'!AD$3:AD$50, ISNUMBER(SEARCH($A9,'RR2 Player Stats'!$A$3:$A$50))),0)
+IFERROR(FILTER('RR3 Player Stats'!AD$3:AD$50, ISN"&amp;"UMBER(SEARCH($A9,'RR3 Player Stats'!$A$3:$A$50))),0)
+IFERROR(FILTER('RR4 Player Stats'!AD$3:AD$50, ISNUMBER(SEARCH($A9,'RR4 Player Stats'!$A$3:$A$50))),0)
+IFERROR(FILTER('RR5 Player Stats'!AD$3:AD$50, ISNUMBER(SEARCH($A9,'RR5 Player Stats'!$A$3:$A$50)))"&amp;",0)"),8.0)</f>
        <v>8</v>
      </c>
      <c r="L9" s="57">
        <f>IFERROR(__xludf.DUMMYFUNCTION("IFERROR(FILTER('RR1 Player Stats'!AE$3:AE$50, ISNUMBER(SEARCH($A9,'RR1 Player Stats'!$A$3:$A$50))),0)
+IFERROR(FILTER('RR2 Player Stats'!AE$3:AE$50, ISNUMBER(SEARCH($A9,'RR2 Player Stats'!$A$3:$A$50))),0)
+IFERROR(FILTER('RR3 Player Stats'!AE$3:AE$50, ISN"&amp;"UMBER(SEARCH($A9,'RR3 Player Stats'!$A$3:$A$50))),0)
+IFERROR(FILTER('RR4 Player Stats'!AE$3:AE$50, ISNUMBER(SEARCH($A9,'RR4 Player Stats'!$A$3:$A$50))),0)
+IFERROR(FILTER('RR5 Player Stats'!AE$3:AE$50, ISNUMBER(SEARCH($A9,'RR5 Player Stats'!$A$3:$A$50)))"&amp;",0)"),78.0)</f>
        <v>78</v>
      </c>
      <c r="M9" s="57">
        <f>IFERROR(__xludf.DUMMYFUNCTION("IFERROR(FILTER('RR1 Player Stats'!AF$3:AF$50, ISNUMBER(SEARCH($A9,'RR1 Player Stats'!$A$3:$A$50))),0)
+IFERROR(FILTER('RR2 Player Stats'!AF$3:AF$50, ISNUMBER(SEARCH($A9,'RR2 Player Stats'!$A$3:$A$50))),0)
+IFERROR(FILTER('RR3 Player Stats'!AF$3:AF$50, ISN"&amp;"UMBER(SEARCH($A9,'RR3 Player Stats'!$A$3:$A$50))),0)
+IFERROR(FILTER('RR4 Player Stats'!AF$3:AF$50, ISNUMBER(SEARCH($A9,'RR4 Player Stats'!$A$3:$A$50))),0)
+IFERROR(FILTER('RR5 Player Stats'!AF$3:AF$50, ISNUMBER(SEARCH($A9,'RR5 Player Stats'!$A$3:$A$50)))"&amp;",0)"),46.0)</f>
        <v>46</v>
      </c>
      <c r="N9" s="180">
        <f>IFERROR(__xludf.DUMMYFUNCTION("(IFERROR(FILTER('RR1 Player Stats'!AG$3:AG$50, ISNUMBER(SEARCH($A9,'RR1 Player Stats'!$A$3:$A$50))),0)
+IFERROR(FILTER('RR2 Player Stats'!AG$3:AG$50, ISNUMBER(SEARCH($A9,'RR2 Player Stats'!$A$3:$A$50))),0)
+IFERROR(FILTER('RR3 Player Stats'!AG$3:AG$50, IS"&amp;"NUMBER(SEARCH($A9,'RR3 Player Stats'!$A$3:$A$50))),0)
+IFERROR(FILTER('RR4 Player Stats'!AG$3:AG$50, ISNUMBER(SEARCH($A9,'RR4 Player Stats'!$A$3:$A$50))),0)
+IFERROR(FILTER('RR5 Player Stats'!AG$3:AG$50, ISNUMBER(SEARCH($A9,'RR5 Player Stats'!$A$3:$A$50))"&amp;"),0))/5"),0.40199999999999997)</f>
        <v>0.402</v>
      </c>
      <c r="O9" s="55">
        <f>IFERROR(__xludf.DUMMYFUNCTION("IFERROR(FILTER('RR1 Player Stats'!AH$3:AH$50, ISNUMBER(SEARCH($A9,'RR1 Player Stats'!$A$3:$A$50))),0)
+IFERROR(FILTER('RR2 Player Stats'!AH$3:AH$50, ISNUMBER(SEARCH($A9,'RR2 Player Stats'!$A$3:$A$50))),0)
+IFERROR(FILTER('RR3 Player Stats'!AH$3:AH$50, ISN"&amp;"UMBER(SEARCH($A9,'RR3 Player Stats'!$A$3:$A$50))),0)
+IFERROR(FILTER('RR4 Player Stats'!AH$3:AH$50, ISNUMBER(SEARCH($A9,'RR4 Player Stats'!$A$3:$A$50))),0)
+IFERROR(FILTER('RR5 Player Stats'!AH$3:AH$50, ISNUMBER(SEARCH($A9,'RR5 Player Stats'!$A$3:$A$50)))"&amp;",0)"),21.0)</f>
        <v>21</v>
      </c>
      <c r="P9" s="57">
        <f>IFERROR(__xludf.DUMMYFUNCTION("IFERROR(FILTER('RR1 Player Stats'!AI$3:AI$50, ISNUMBER(SEARCH($A9,'RR1 Player Stats'!$A$3:$A$50))),0)
+IFERROR(FILTER('RR2 Player Stats'!AI$3:AI$50, ISNUMBER(SEARCH($A9,'RR2 Player Stats'!$A$3:$A$50))),0)
+IFERROR(FILTER('RR3 Player Stats'!AI$3:AI$50, ISN"&amp;"UMBER(SEARCH($A9,'RR3 Player Stats'!$A$3:$A$50))),0)
+IFERROR(FILTER('RR4 Player Stats'!AI$3:AI$50, ISNUMBER(SEARCH($A9,'RR4 Player Stats'!$A$3:$A$50))),0)
+IFERROR(FILTER('RR5 Player Stats'!AI$3:AI$50, ISNUMBER(SEARCH($A9,'RR5 Player Stats'!$A$3:$A$50)))"&amp;",0)"),30.0)</f>
        <v>30</v>
      </c>
      <c r="Q9" s="57">
        <f>IFERROR(__xludf.DUMMYFUNCTION("IFERROR(FILTER('RR1 Player Stats'!AJ$3:AJ$50, ISNUMBER(SEARCH($A9,'RR1 Player Stats'!$A$3:$A$50))),0)
+IFERROR(FILTER('RR2 Player Stats'!AJ$3:AJ$50, ISNUMBER(SEARCH($A9,'RR2 Player Stats'!$A$3:$A$50))),0)
+IFERROR(FILTER('RR3 Player Stats'!AJ$3:AJ$50, ISN"&amp;"UMBER(SEARCH($A9,'RR3 Player Stats'!$A$3:$A$50))),0)
+IFERROR(FILTER('RR4 Player Stats'!AJ$3:AJ$50, ISNUMBER(SEARCH($A9,'RR4 Player Stats'!$A$3:$A$50))),0)
+IFERROR(FILTER('RR5 Player Stats'!AJ$3:AJ$50, ISNUMBER(SEARCH($A9,'RR5 Player Stats'!$A$3:$A$50)))"&amp;",0)"),14.0)</f>
        <v>14</v>
      </c>
      <c r="R9" s="57">
        <f>IFERROR(__xludf.DUMMYFUNCTION("IFERROR(FILTER('RR1 Player Stats'!AK$3:AK$50, ISNUMBER(SEARCH($A9,'RR1 Player Stats'!$A$3:$A$50))),0)
+IFERROR(FILTER('RR2 Player Stats'!AK$3:AK$50, ISNUMBER(SEARCH($A9,'RR2 Player Stats'!$A$3:$A$50))),0)
+IFERROR(FILTER('RR3 Player Stats'!AK$3:AK$50, ISN"&amp;"UMBER(SEARCH($A9,'RR3 Player Stats'!$A$3:$A$50))),0)
+IFERROR(FILTER('RR4 Player Stats'!AK$3:AK$50, ISNUMBER(SEARCH($A9,'RR4 Player Stats'!$A$3:$A$50))),0)
+IFERROR(FILTER('RR5 Player Stats'!AK$3:AK$50, ISNUMBER(SEARCH($A9,'RR5 Player Stats'!$A$3:$A$50)))"&amp;",0)"),264.0)</f>
        <v>264</v>
      </c>
      <c r="S9" s="57">
        <f>IFERROR(__xludf.DUMMYFUNCTION("IFERROR(FILTER('RR1 Player Stats'!AL$3:AL$50, ISNUMBER(SEARCH($A9,'RR1 Player Stats'!$A$3:$A$50))),0)
+IFERROR(FILTER('RR2 Player Stats'!AL$3:AL$50, ISNUMBER(SEARCH($A9,'RR2 Player Stats'!$A$3:$A$50))),0)
+IFERROR(FILTER('RR3 Player Stats'!AL$3:AL$50, ISN"&amp;"UMBER(SEARCH($A9,'RR3 Player Stats'!$A$3:$A$50))),0)
+IFERROR(FILTER('RR4 Player Stats'!AL$3:AL$50, ISNUMBER(SEARCH($A9,'RR4 Player Stats'!$A$3:$A$50))),0)
+IFERROR(FILTER('RR5 Player Stats'!AL$3:AL$50, ISNUMBER(SEARCH($A9,'RR5 Player Stats'!$A$3:$A$50)))"&amp;",0)"),208.0)</f>
        <v>208</v>
      </c>
      <c r="T9" s="180">
        <f>IFERROR(__xludf.DUMMYFUNCTION("(IFERROR(FILTER('RR1 Player Stats'!AM$3:AM$50, ISNUMBER(SEARCH($A9,'RR1 Player Stats'!$A$3:$A$50))),0)
+IFERROR(FILTER('RR2 Player Stats'!AM$3:AM$50, ISNUMBER(SEARCH($A9,'RR2 Player Stats'!$A$3:$A$50))),0)
+IFERROR(FILTER('RR3 Player Stats'!AM$3:AM$50, IS"&amp;"NUMBER(SEARCH($A9,'RR3 Player Stats'!$A$3:$A$50))),0)
+IFERROR(FILTER('RR4 Player Stats'!AM$3:AM$50, ISNUMBER(SEARCH($A9,'RR4 Player Stats'!$A$3:$A$50))),0)
+IFERROR(FILTER('RR5 Player Stats'!AM$3:AM$50, ISNUMBER(SEARCH($A9,'RR5 Player Stats'!$A$3:$A$50))"&amp;"),0))/B9"),0.6375)</f>
        <v>0.6375</v>
      </c>
      <c r="U9" s="55">
        <f>IFERROR(__xludf.DUMMYFUNCTION("MEDIAN(IFERROR(FILTER('RR1 Player Stats'!AH$3:AH$50, ISNUMBER(SEARCH($A9,'RR1 Player Stats'!$A$3:$A$50))),0),IFERROR(FILTER('RR2 Player Stats'!AH$3:AH$50, ISNUMBER(SEARCH($A9,'RR2 Player Stats'!$A$3:$A$50))),0),IFERROR(FILTER('RR3 Player Stats'!AH$3:AH$50"&amp;", ISNUMBER(SEARCH($A9,'RR3 Player Stats'!$A$3:$A$50))),0),IFERROR(FILTER('RR4 Player Stats'!AH$3:AH$50, ISNUMBER(SEARCH($A9,'RR4 Player Stats'!$A$3:$A$50))),0),IFERROR(FILTER('RR5 Player Stats'!AH$3:AH$50, ISNUMBER(SEARCH($A9,'RR5 Player Stats'!$A$3:$A$50"&amp;"))),0))"),5.0)</f>
        <v>5</v>
      </c>
      <c r="V9" s="57">
        <f>IFERROR(__xludf.DUMMYFUNCTION("MEDIAN(IFERROR(FILTER('RR1 Player Stats'!AI$3:AI$50, ISNUMBER(SEARCH($A9,'RR1 Player Stats'!$A$3:$A$50))),0),IFERROR(FILTER('RR2 Player Stats'!AI$3:AI$50, ISNUMBER(SEARCH($A9,'RR2 Player Stats'!$A$3:$A$50))),0),IFERROR(FILTER('RR3 Player Stats'!AI$3:AI$50"&amp;", ISNUMBER(SEARCH($A9,'RR3 Player Stats'!$A$3:$A$50))),0),IFERROR(FILTER('RR4 Player Stats'!AI$3:AI$50, ISNUMBER(SEARCH($A9,'RR4 Player Stats'!$A$3:$A$50))),0),IFERROR(FILTER('RR5 Player Stats'!AI$3:AI$50, ISNUMBER(SEARCH($A9,'RR5 Player Stats'!$A$3:$A$50"&amp;"))),0))"),4.0)</f>
        <v>4</v>
      </c>
      <c r="W9" s="57">
        <f>IFERROR(__xludf.DUMMYFUNCTION("MEDIAN(IFERROR(FILTER('RR1 Player Stats'!AJ$3:AJ$50, ISNUMBER(SEARCH($A9,'RR1 Player Stats'!$A$3:$A$50))),0),IFERROR(FILTER('RR2 Player Stats'!AJ$3:AJ$50, ISNUMBER(SEARCH($A9,'RR2 Player Stats'!$A$3:$A$50))),0),IFERROR(FILTER('RR3 Player Stats'!AJ$3:AJ$50"&amp;", ISNUMBER(SEARCH($A9,'RR3 Player Stats'!$A$3:$A$50))),0),IFERROR(FILTER('RR4 Player Stats'!AJ$3:AJ$50, ISNUMBER(SEARCH($A9,'RR4 Player Stats'!$A$3:$A$50))),0),IFERROR(FILTER('RR5 Player Stats'!AJ$3:AJ$50, ISNUMBER(SEARCH($A9,'RR5 Player Stats'!$A$3:$A$50"&amp;"))),0))"),3.0)</f>
        <v>3</v>
      </c>
      <c r="X9" s="57">
        <f>IFERROR(__xludf.DUMMYFUNCTION("MEDIAN(IFERROR(FILTER('RR1 Player Stats'!AK$3:AK$50, ISNUMBER(SEARCH($A9,'RR1 Player Stats'!$A$3:$A$50))),0),IFERROR(FILTER('RR2 Player Stats'!AK$3:AK$50, ISNUMBER(SEARCH($A9,'RR2 Player Stats'!$A$3:$A$50))),0),IFERROR(FILTER('RR3 Player Stats'!AK$3:AK$50"&amp;", ISNUMBER(SEARCH($A9,'RR3 Player Stats'!$A$3:$A$50))),0),IFERROR(FILTER('RR4 Player Stats'!AK$3:AK$50, ISNUMBER(SEARCH($A9,'RR4 Player Stats'!$A$3:$A$50))),0),IFERROR(FILTER('RR5 Player Stats'!AK$3:AK$50, ISNUMBER(SEARCH($A9,'RR5 Player Stats'!$A$3:$A$50"&amp;"))),0))"),60.0)</f>
        <v>60</v>
      </c>
      <c r="Y9" s="57">
        <f>IFERROR(__xludf.DUMMYFUNCTION("MEDIAN(IFERROR(FILTER('RR1 Player Stats'!AL$3:AL$50, ISNUMBER(SEARCH($A9,'RR1 Player Stats'!$A$3:$A$50))),0),IFERROR(FILTER('RR2 Player Stats'!AL$3:AL$50, ISNUMBER(SEARCH($A9,'RR2 Player Stats'!$A$3:$A$50))),0),IFERROR(FILTER('RR3 Player Stats'!AL$3:AL$50"&amp;", ISNUMBER(SEARCH($A9,'RR3 Player Stats'!$A$3:$A$50))),0),IFERROR(FILTER('RR4 Player Stats'!AL$3:AL$50, ISNUMBER(SEARCH($A9,'RR4 Player Stats'!$A$3:$A$50))),0),IFERROR(FILTER('RR5 Player Stats'!AL$3:AL$50, ISNUMBER(SEARCH($A9,'RR5 Player Stats'!$A$3:$A$50"&amp;"))),0))"),44.0)</f>
        <v>44</v>
      </c>
      <c r="Z9" s="180">
        <f>IFERROR(__xludf.DUMMYFUNCTION("MEDIAN(IFERROR(FILTER('RR1 Player Stats'!AM$3:AM$50, ISNUMBER(SEARCH($A9,'RR1 Player Stats'!$A$3:$A$50))),0),IFERROR(FILTER('RR2 Player Stats'!AM$3:AM$50, ISNUMBER(SEARCH($A9,'RR2 Player Stats'!$A$3:$A$50))),0),IFERROR(FILTER('RR3 Player Stats'!AM$3:AM$50"&amp;", ISNUMBER(SEARCH($A9,'RR3 Player Stats'!$A$3:$A$50))),0),IFERROR(FILTER('RR4 Player Stats'!AM$3:AM$50, ISNUMBER(SEARCH($A9,'RR4 Player Stats'!$A$3:$A$50))),0),IFERROR(FILTER('RR5 Player Stats'!AM$3:AM$50, ISNUMBER(SEARCH($A9,'RR5 Player Stats'!$A$3:$A$50"&amp;"))),0))"),0.65)</f>
        <v>0.65</v>
      </c>
    </row>
    <row r="10">
      <c r="A10" s="29" t="s">
        <v>61</v>
      </c>
      <c r="B10" s="48">
        <f>COUNTIF('RR1 Player Stats'!$A$3:$A$50,$A10)+COUNTIF('RR2 Player Stats'!$A$3:$A$50,$A10)+COUNTIF('RR3 Player Stats'!$A$3:$A$50,$A10)+COUNTIF('RR4 Player Stats'!$A$3:$A$50,$A10)+COUNTIF('RR5 Player Stats'!$A$3:$A$50,$A10)</f>
        <v>5</v>
      </c>
      <c r="C10" s="55">
        <f>IFERROR(__xludf.DUMMYFUNCTION("IFERROR(FILTER('RR1 Player Stats'!V$3:V$50, ISNUMBER(SEARCH($A10,'RR1 Player Stats'!$A$3:$A$50))),0)
+IFERROR(FILTER('RR2 Player Stats'!V$3:V$50, ISNUMBER(SEARCH($A10,'RR2 Player Stats'!$A$3:$A$50))),0)
+IFERROR(FILTER('RR3 Player Stats'!V$3:V$50, ISNUMBE"&amp;"R(SEARCH($A10,'RR3 Player Stats'!$A$3:$A$50))),0)
+IFERROR(FILTER('RR4 Player Stats'!V$3:V$50, ISNUMBER(SEARCH($A10,'RR4 Player Stats'!$A$3:$A$50))),0)
+IFERROR(FILTER('RR5 Player Stats'!V$3:V$50, ISNUMBER(SEARCH($A10,'RR5 Player Stats'!$A$3:$A$50))),0)"),6.0)</f>
        <v>6</v>
      </c>
      <c r="D10" s="57">
        <f>IFERROR(__xludf.DUMMYFUNCTION("IFERROR(FILTER('RR1 Player Stats'!W$3:W$50, ISNUMBER(SEARCH($A10,'RR1 Player Stats'!$A$3:$A$50))),0)
+IFERROR(FILTER('RR2 Player Stats'!W$3:W$50, ISNUMBER(SEARCH($A10,'RR2 Player Stats'!$A$3:$A$50))),0)
+IFERROR(FILTER('RR3 Player Stats'!W$3:W$50, ISNUMBE"&amp;"R(SEARCH($A10,'RR3 Player Stats'!$A$3:$A$50))),0)
+IFERROR(FILTER('RR4 Player Stats'!W$3:W$50, ISNUMBER(SEARCH($A10,'RR4 Player Stats'!$A$3:$A$50))),0)
+IFERROR(FILTER('RR5 Player Stats'!W$3:W$50, ISNUMBER(SEARCH($A10,'RR5 Player Stats'!$A$3:$A$50))),0)"),21.0)</f>
        <v>21</v>
      </c>
      <c r="E10" s="57">
        <f>IFERROR(__xludf.DUMMYFUNCTION("IFERROR(FILTER('RR1 Player Stats'!X$3:X$50, ISNUMBER(SEARCH($A10,'RR1 Player Stats'!$A$3:$A$50))),0)
+IFERROR(FILTER('RR2 Player Stats'!X$3:X$50, ISNUMBER(SEARCH($A10,'RR2 Player Stats'!$A$3:$A$50))),0)
+IFERROR(FILTER('RR3 Player Stats'!X$3:X$50, ISNUMBE"&amp;"R(SEARCH($A10,'RR3 Player Stats'!$A$3:$A$50))),0)
+IFERROR(FILTER('RR4 Player Stats'!X$3:X$50, ISNUMBER(SEARCH($A10,'RR4 Player Stats'!$A$3:$A$50))),0)
+IFERROR(FILTER('RR5 Player Stats'!X$3:X$50, ISNUMBER(SEARCH($A10,'RR5 Player Stats'!$A$3:$A$50))),0)"),11.0)</f>
        <v>11</v>
      </c>
      <c r="F10" s="57">
        <f>IFERROR(__xludf.DUMMYFUNCTION("IFERROR(FILTER('RR1 Player Stats'!Y$3:Y$50, ISNUMBER(SEARCH($A10,'RR1 Player Stats'!$A$3:$A$50))),0)
+IFERROR(FILTER('RR2 Player Stats'!Y$3:Y$50, ISNUMBER(SEARCH($A10,'RR2 Player Stats'!$A$3:$A$50))),0)
+IFERROR(FILTER('RR3 Player Stats'!Y$3:Y$50, ISNUMBE"&amp;"R(SEARCH($A10,'RR3 Player Stats'!$A$3:$A$50))),0)
+IFERROR(FILTER('RR4 Player Stats'!Y$3:Y$50, ISNUMBER(SEARCH($A10,'RR4 Player Stats'!$A$3:$A$50))),0)
+IFERROR(FILTER('RR5 Player Stats'!Y$3:Y$50, ISNUMBER(SEARCH($A10,'RR5 Player Stats'!$A$3:$A$50))),0)"),150.0)</f>
        <v>150</v>
      </c>
      <c r="G10" s="57">
        <f>IFERROR(__xludf.DUMMYFUNCTION("IFERROR(FILTER('RR1 Player Stats'!Z$3:Z$50, ISNUMBER(SEARCH($A10,'RR1 Player Stats'!$A$3:$A$50))),0)
+IFERROR(FILTER('RR2 Player Stats'!Z$3:Z$50, ISNUMBER(SEARCH($A10,'RR2 Player Stats'!$A$3:$A$50))),0)
+IFERROR(FILTER('RR3 Player Stats'!Z$3:Z$50, ISNUMBE"&amp;"R(SEARCH($A10,'RR3 Player Stats'!$A$3:$A$50))),0)
+IFERROR(FILTER('RR4 Player Stats'!Z$3:Z$50, ISNUMBER(SEARCH($A10,'RR4 Player Stats'!$A$3:$A$50))),0)
+IFERROR(FILTER('RR5 Player Stats'!Z$3:Z$50, ISNUMBER(SEARCH($A10,'RR5 Player Stats'!$A$3:$A$50))),0)"),106.0)</f>
        <v>106</v>
      </c>
      <c r="H10" s="180">
        <f>IFERROR(__xludf.DUMMYFUNCTION("(IFERROR(FILTER('RR1 Player Stats'!AA$3:AA$50, ISNUMBER(SEARCH($A10,'RR1 Player Stats'!$A$3:$A$50))),0)
+IFERROR(FILTER('RR2 Player Stats'!AA$3:AA$50, ISNUMBER(SEARCH($A10,'RR2 Player Stats'!$A$3:$A$50))),0)
+IFERROR(FILTER('RR3 Player Stats'!AA$3:AA$50, "&amp;"ISNUMBER(SEARCH($A10,'RR3 Player Stats'!$A$3:$A$50))),0)
+IFERROR(FILTER('RR4 Player Stats'!AA$3:AA$50, ISNUMBER(SEARCH($A10,'RR4 Player Stats'!$A$3:$A$50))),0)
+IFERROR(FILTER('RR5 Player Stats'!AA$3:AA$50, ISNUMBER(SEARCH($A10,'RR5 Player Stats'!$A$3:$A"&amp;"$50))),0))/5"),0.44399999999999995)</f>
        <v>0.444</v>
      </c>
      <c r="I10" s="55">
        <f>IFERROR(__xludf.DUMMYFUNCTION("IFERROR(FILTER('RR1 Player Stats'!AB$3:AB$50, ISNUMBER(SEARCH($A10,'RR1 Player Stats'!$A$3:$A$50))),0)
+IFERROR(FILTER('RR2 Player Stats'!AB$3:AB$50, ISNUMBER(SEARCH($A10,'RR2 Player Stats'!$A$3:$A$50))),0)
+IFERROR(FILTER('RR3 Player Stats'!AB$3:AB$50, I"&amp;"SNUMBER(SEARCH($A10,'RR3 Player Stats'!$A$3:$A$50))),0)
+IFERROR(FILTER('RR4 Player Stats'!AB$3:AB$50, ISNUMBER(SEARCH($A10,'RR4 Player Stats'!$A$3:$A$50))),0)
+IFERROR(FILTER('RR5 Player Stats'!AB$3:AB$50, ISNUMBER(SEARCH($A10,'RR5 Player Stats'!$A$3:$A$"&amp;"50))),0)"),4.0)</f>
        <v>4</v>
      </c>
      <c r="J10" s="57">
        <f>IFERROR(__xludf.DUMMYFUNCTION("IFERROR(FILTER('RR1 Player Stats'!AC$3:AC$50, ISNUMBER(SEARCH($A10,'RR1 Player Stats'!$A$3:$A$50))),0)
+IFERROR(FILTER('RR2 Player Stats'!AC$3:AC$50, ISNUMBER(SEARCH($A10,'RR2 Player Stats'!$A$3:$A$50))),0)
+IFERROR(FILTER('RR3 Player Stats'!AC$3:AC$50, I"&amp;"SNUMBER(SEARCH($A10,'RR3 Player Stats'!$A$3:$A$50))),0)
+IFERROR(FILTER('RR4 Player Stats'!AC$3:AC$50, ISNUMBER(SEARCH($A10,'RR4 Player Stats'!$A$3:$A$50))),0)
+IFERROR(FILTER('RR5 Player Stats'!AC$3:AC$50, ISNUMBER(SEARCH($A10,'RR5 Player Stats'!$A$3:$A$"&amp;"50))),0)"),13.0)</f>
        <v>13</v>
      </c>
      <c r="K10" s="57">
        <f>IFERROR(__xludf.DUMMYFUNCTION("IFERROR(FILTER('RR1 Player Stats'!AD$3:AD$50, ISNUMBER(SEARCH($A10,'RR1 Player Stats'!$A$3:$A$50))),0)
+IFERROR(FILTER('RR2 Player Stats'!AD$3:AD$50, ISNUMBER(SEARCH($A10,'RR2 Player Stats'!$A$3:$A$50))),0)
+IFERROR(FILTER('RR3 Player Stats'!AD$3:AD$50, I"&amp;"SNUMBER(SEARCH($A10,'RR3 Player Stats'!$A$3:$A$50))),0)
+IFERROR(FILTER('RR4 Player Stats'!AD$3:AD$50, ISNUMBER(SEARCH($A10,'RR4 Player Stats'!$A$3:$A$50))),0)
+IFERROR(FILTER('RR5 Player Stats'!AD$3:AD$50, ISNUMBER(SEARCH($A10,'RR5 Player Stats'!$A$3:$A$"&amp;"50))),0)"),14.0)</f>
        <v>14</v>
      </c>
      <c r="L10" s="57">
        <f>IFERROR(__xludf.DUMMYFUNCTION("IFERROR(FILTER('RR1 Player Stats'!AE$3:AE$50, ISNUMBER(SEARCH($A10,'RR1 Player Stats'!$A$3:$A$50))),0)
+IFERROR(FILTER('RR2 Player Stats'!AE$3:AE$50, ISNUMBER(SEARCH($A10,'RR2 Player Stats'!$A$3:$A$50))),0)
+IFERROR(FILTER('RR3 Player Stats'!AE$3:AE$50, I"&amp;"SNUMBER(SEARCH($A10,'RR3 Player Stats'!$A$3:$A$50))),0)
+IFERROR(FILTER('RR4 Player Stats'!AE$3:AE$50, ISNUMBER(SEARCH($A10,'RR4 Player Stats'!$A$3:$A$50))),0)
+IFERROR(FILTER('RR5 Player Stats'!AE$3:AE$50, ISNUMBER(SEARCH($A10,'RR5 Player Stats'!$A$3:$A$"&amp;"50))),0)"),94.0)</f>
        <v>94</v>
      </c>
      <c r="M10" s="57">
        <f>IFERROR(__xludf.DUMMYFUNCTION("IFERROR(FILTER('RR1 Player Stats'!AF$3:AF$50, ISNUMBER(SEARCH($A10,'RR1 Player Stats'!$A$3:$A$50))),0)
+IFERROR(FILTER('RR2 Player Stats'!AF$3:AF$50, ISNUMBER(SEARCH($A10,'RR2 Player Stats'!$A$3:$A$50))),0)
+IFERROR(FILTER('RR3 Player Stats'!AF$3:AF$50, I"&amp;"SNUMBER(SEARCH($A10,'RR3 Player Stats'!$A$3:$A$50))),0)
+IFERROR(FILTER('RR4 Player Stats'!AF$3:AF$50, ISNUMBER(SEARCH($A10,'RR4 Player Stats'!$A$3:$A$50))),0)
+IFERROR(FILTER('RR5 Player Stats'!AF$3:AF$50, ISNUMBER(SEARCH($A10,'RR5 Player Stats'!$A$3:$A$"&amp;"50))),0)"),38.0)</f>
        <v>38</v>
      </c>
      <c r="N10" s="180">
        <f>IFERROR(__xludf.DUMMYFUNCTION("(IFERROR(FILTER('RR1 Player Stats'!AG$3:AG$50, ISNUMBER(SEARCH($A10,'RR1 Player Stats'!$A$3:$A$50))),0)
+IFERROR(FILTER('RR2 Player Stats'!AG$3:AG$50, ISNUMBER(SEARCH($A10,'RR2 Player Stats'!$A$3:$A$50))),0)
+IFERROR(FILTER('RR3 Player Stats'!AG$3:AG$50, "&amp;"ISNUMBER(SEARCH($A10,'RR3 Player Stats'!$A$3:$A$50))),0)
+IFERROR(FILTER('RR4 Player Stats'!AG$3:AG$50, ISNUMBER(SEARCH($A10,'RR4 Player Stats'!$A$3:$A$50))),0)
+IFERROR(FILTER('RR5 Player Stats'!AG$3:AG$50, ISNUMBER(SEARCH($A10,'RR5 Player Stats'!$A$3:$A"&amp;"$50))),0))/5"),0.442)</f>
        <v>0.442</v>
      </c>
      <c r="O10" s="55">
        <f>IFERROR(__xludf.DUMMYFUNCTION("IFERROR(FILTER('RR1 Player Stats'!AH$3:AH$50, ISNUMBER(SEARCH($A10,'RR1 Player Stats'!$A$3:$A$50))),0)
+IFERROR(FILTER('RR2 Player Stats'!AH$3:AH$50, ISNUMBER(SEARCH($A10,'RR2 Player Stats'!$A$3:$A$50))),0)
+IFERROR(FILTER('RR3 Player Stats'!AH$3:AH$50, I"&amp;"SNUMBER(SEARCH($A10,'RR3 Player Stats'!$A$3:$A$50))),0)
+IFERROR(FILTER('RR4 Player Stats'!AH$3:AH$50, ISNUMBER(SEARCH($A10,'RR4 Player Stats'!$A$3:$A$50))),0)
+IFERROR(FILTER('RR5 Player Stats'!AH$3:AH$50, ISNUMBER(SEARCH($A10,'RR5 Player Stats'!$A$3:$A$"&amp;"50))),0)"),10.0)</f>
        <v>10</v>
      </c>
      <c r="P10" s="57">
        <f>IFERROR(__xludf.DUMMYFUNCTION("IFERROR(FILTER('RR1 Player Stats'!AI$3:AI$50, ISNUMBER(SEARCH($A10,'RR1 Player Stats'!$A$3:$A$50))),0)
+IFERROR(FILTER('RR2 Player Stats'!AI$3:AI$50, ISNUMBER(SEARCH($A10,'RR2 Player Stats'!$A$3:$A$50))),0)
+IFERROR(FILTER('RR3 Player Stats'!AI$3:AI$50, I"&amp;"SNUMBER(SEARCH($A10,'RR3 Player Stats'!$A$3:$A$50))),0)
+IFERROR(FILTER('RR4 Player Stats'!AI$3:AI$50, ISNUMBER(SEARCH($A10,'RR4 Player Stats'!$A$3:$A$50))),0)
+IFERROR(FILTER('RR5 Player Stats'!AI$3:AI$50, ISNUMBER(SEARCH($A10,'RR5 Player Stats'!$A$3:$A$"&amp;"50))),0)"),34.0)</f>
        <v>34</v>
      </c>
      <c r="Q10" s="57">
        <f>IFERROR(__xludf.DUMMYFUNCTION("IFERROR(FILTER('RR1 Player Stats'!AJ$3:AJ$50, ISNUMBER(SEARCH($A10,'RR1 Player Stats'!$A$3:$A$50))),0)
+IFERROR(FILTER('RR2 Player Stats'!AJ$3:AJ$50, ISNUMBER(SEARCH($A10,'RR2 Player Stats'!$A$3:$A$50))),0)
+IFERROR(FILTER('RR3 Player Stats'!AJ$3:AJ$50, I"&amp;"SNUMBER(SEARCH($A10,'RR3 Player Stats'!$A$3:$A$50))),0)
+IFERROR(FILTER('RR4 Player Stats'!AJ$3:AJ$50, ISNUMBER(SEARCH($A10,'RR4 Player Stats'!$A$3:$A$50))),0)
+IFERROR(FILTER('RR5 Player Stats'!AJ$3:AJ$50, ISNUMBER(SEARCH($A10,'RR5 Player Stats'!$A$3:$A$"&amp;"50))),0)"),25.0)</f>
        <v>25</v>
      </c>
      <c r="R10" s="57">
        <f>IFERROR(__xludf.DUMMYFUNCTION("IFERROR(FILTER('RR1 Player Stats'!AK$3:AK$50, ISNUMBER(SEARCH($A10,'RR1 Player Stats'!$A$3:$A$50))),0)
+IFERROR(FILTER('RR2 Player Stats'!AK$3:AK$50, ISNUMBER(SEARCH($A10,'RR2 Player Stats'!$A$3:$A$50))),0)
+IFERROR(FILTER('RR3 Player Stats'!AK$3:AK$50, I"&amp;"SNUMBER(SEARCH($A10,'RR3 Player Stats'!$A$3:$A$50))),0)
+IFERROR(FILTER('RR4 Player Stats'!AK$3:AK$50, ISNUMBER(SEARCH($A10,'RR4 Player Stats'!$A$3:$A$50))),0)
+IFERROR(FILTER('RR5 Player Stats'!AK$3:AK$50, ISNUMBER(SEARCH($A10,'RR5 Player Stats'!$A$3:$A$"&amp;"50))),0)"),244.0)</f>
        <v>244</v>
      </c>
      <c r="S10" s="57">
        <f>IFERROR(__xludf.DUMMYFUNCTION("IFERROR(FILTER('RR1 Player Stats'!AL$3:AL$50, ISNUMBER(SEARCH($A10,'RR1 Player Stats'!$A$3:$A$50))),0)
+IFERROR(FILTER('RR2 Player Stats'!AL$3:AL$50, ISNUMBER(SEARCH($A10,'RR2 Player Stats'!$A$3:$A$50))),0)
+IFERROR(FILTER('RR3 Player Stats'!AL$3:AL$50, I"&amp;"SNUMBER(SEARCH($A10,'RR3 Player Stats'!$A$3:$A$50))),0)
+IFERROR(FILTER('RR4 Player Stats'!AL$3:AL$50, ISNUMBER(SEARCH($A10,'RR4 Player Stats'!$A$3:$A$50))),0)
+IFERROR(FILTER('RR5 Player Stats'!AL$3:AL$50, ISNUMBER(SEARCH($A10,'RR5 Player Stats'!$A$3:$A$"&amp;"50))),0)"),144.0)</f>
        <v>144</v>
      </c>
      <c r="T10" s="180">
        <f>IFERROR(__xludf.DUMMYFUNCTION("(IFERROR(FILTER('RR1 Player Stats'!AM$3:AM$50, ISNUMBER(SEARCH($A10,'RR1 Player Stats'!$A$3:$A$50))),0)
+IFERROR(FILTER('RR2 Player Stats'!AM$3:AM$50, ISNUMBER(SEARCH($A10,'RR2 Player Stats'!$A$3:$A$50))),0)
+IFERROR(FILTER('RR3 Player Stats'!AM$3:AM$50, "&amp;"ISNUMBER(SEARCH($A10,'RR3 Player Stats'!$A$3:$A$50))),0)
+IFERROR(FILTER('RR4 Player Stats'!AM$3:AM$50, ISNUMBER(SEARCH($A10,'RR4 Player Stats'!$A$3:$A$50))),0)
+IFERROR(FILTER('RR5 Player Stats'!AM$3:AM$50, ISNUMBER(SEARCH($A10,'RR5 Player Stats'!$A$3:$A"&amp;"$50))),0))/B10"),0.44000000000000006)</f>
        <v>0.44</v>
      </c>
      <c r="U10" s="55">
        <f>IFERROR(__xludf.DUMMYFUNCTION("MEDIAN(IFERROR(FILTER('RR1 Player Stats'!AH$3:AH$50, ISNUMBER(SEARCH($A10,'RR1 Player Stats'!$A$3:$A$50))),0),IFERROR(FILTER('RR2 Player Stats'!AH$3:AH$50, ISNUMBER(SEARCH($A10,'RR2 Player Stats'!$A$3:$A$50))),0),IFERROR(FILTER('RR3 Player Stats'!AH$3:AH$"&amp;"50, ISNUMBER(SEARCH($A10,'RR3 Player Stats'!$A$3:$A$50))),0),IFERROR(FILTER('RR4 Player Stats'!AH$3:AH$50, ISNUMBER(SEARCH($A10,'RR4 Player Stats'!$A$3:$A$50))),0),IFERROR(FILTER('RR5 Player Stats'!AH$3:AH$50, ISNUMBER(SEARCH($A10,'RR5 Player Stats'!$A$3:"&amp;"$A$50))),0))"),2.0)</f>
        <v>2</v>
      </c>
      <c r="V10" s="57">
        <f>IFERROR(__xludf.DUMMYFUNCTION("MEDIAN(IFERROR(FILTER('RR1 Player Stats'!AI$3:AI$50, ISNUMBER(SEARCH($A10,'RR1 Player Stats'!$A$3:$A$50))),0),IFERROR(FILTER('RR2 Player Stats'!AI$3:AI$50, ISNUMBER(SEARCH($A10,'RR2 Player Stats'!$A$3:$A$50))),0),IFERROR(FILTER('RR3 Player Stats'!AI$3:AI$"&amp;"50, ISNUMBER(SEARCH($A10,'RR3 Player Stats'!$A$3:$A$50))),0),IFERROR(FILTER('RR4 Player Stats'!AI$3:AI$50, ISNUMBER(SEARCH($A10,'RR4 Player Stats'!$A$3:$A$50))),0),IFERROR(FILTER('RR5 Player Stats'!AI$3:AI$50, ISNUMBER(SEARCH($A10,'RR5 Player Stats'!$A$3:"&amp;"$A$50))),0))"),6.0)</f>
        <v>6</v>
      </c>
      <c r="W10" s="57">
        <f>IFERROR(__xludf.DUMMYFUNCTION("MEDIAN(IFERROR(FILTER('RR1 Player Stats'!AJ$3:AJ$50, ISNUMBER(SEARCH($A10,'RR1 Player Stats'!$A$3:$A$50))),0),IFERROR(FILTER('RR2 Player Stats'!AJ$3:AJ$50, ISNUMBER(SEARCH($A10,'RR2 Player Stats'!$A$3:$A$50))),0),IFERROR(FILTER('RR3 Player Stats'!AJ$3:AJ$"&amp;"50, ISNUMBER(SEARCH($A10,'RR3 Player Stats'!$A$3:$A$50))),0),IFERROR(FILTER('RR4 Player Stats'!AJ$3:AJ$50, ISNUMBER(SEARCH($A10,'RR4 Player Stats'!$A$3:$A$50))),0),IFERROR(FILTER('RR5 Player Stats'!AJ$3:AJ$50, ISNUMBER(SEARCH($A10,'RR5 Player Stats'!$A$3:"&amp;"$A$50))),0))"),4.0)</f>
        <v>4</v>
      </c>
      <c r="X10" s="57">
        <f>IFERROR(__xludf.DUMMYFUNCTION("MEDIAN(IFERROR(FILTER('RR1 Player Stats'!AK$3:AK$50, ISNUMBER(SEARCH($A10,'RR1 Player Stats'!$A$3:$A$50))),0),IFERROR(FILTER('RR2 Player Stats'!AK$3:AK$50, ISNUMBER(SEARCH($A10,'RR2 Player Stats'!$A$3:$A$50))),0),IFERROR(FILTER('RR3 Player Stats'!AK$3:AK$"&amp;"50, ISNUMBER(SEARCH($A10,'RR3 Player Stats'!$A$3:$A$50))),0),IFERROR(FILTER('RR4 Player Stats'!AK$3:AK$50, ISNUMBER(SEARCH($A10,'RR4 Player Stats'!$A$3:$A$50))),0),IFERROR(FILTER('RR5 Player Stats'!AK$3:AK$50, ISNUMBER(SEARCH($A10,'RR5 Player Stats'!$A$3:"&amp;"$A$50))),0))"),48.0)</f>
        <v>48</v>
      </c>
      <c r="Y10" s="57">
        <f>IFERROR(__xludf.DUMMYFUNCTION("MEDIAN(IFERROR(FILTER('RR1 Player Stats'!AL$3:AL$50, ISNUMBER(SEARCH($A10,'RR1 Player Stats'!$A$3:$A$50))),0),IFERROR(FILTER('RR2 Player Stats'!AL$3:AL$50, ISNUMBER(SEARCH($A10,'RR2 Player Stats'!$A$3:$A$50))),0),IFERROR(FILTER('RR3 Player Stats'!AL$3:AL$"&amp;"50, ISNUMBER(SEARCH($A10,'RR3 Player Stats'!$A$3:$A$50))),0),IFERROR(FILTER('RR4 Player Stats'!AL$3:AL$50, ISNUMBER(SEARCH($A10,'RR4 Player Stats'!$A$3:$A$50))),0),IFERROR(FILTER('RR5 Player Stats'!AL$3:AL$50, ISNUMBER(SEARCH($A10,'RR5 Player Stats'!$A$3:"&amp;"$A$50))),0))"),26.0)</f>
        <v>26</v>
      </c>
      <c r="Z10" s="180">
        <f>IFERROR(__xludf.DUMMYFUNCTION("MEDIAN(IFERROR(FILTER('RR1 Player Stats'!AM$3:AM$50, ISNUMBER(SEARCH($A10,'RR1 Player Stats'!$A$3:$A$50))),0),IFERROR(FILTER('RR2 Player Stats'!AM$3:AM$50, ISNUMBER(SEARCH($A10,'RR2 Player Stats'!$A$3:$A$50))),0),IFERROR(FILTER('RR3 Player Stats'!AM$3:AM$"&amp;"50, ISNUMBER(SEARCH($A10,'RR3 Player Stats'!$A$3:$A$50))),0),IFERROR(FILTER('RR4 Player Stats'!AM$3:AM$50, ISNUMBER(SEARCH($A10,'RR4 Player Stats'!$A$3:$A$50))),0),IFERROR(FILTER('RR5 Player Stats'!AM$3:AM$50, ISNUMBER(SEARCH($A10,'RR5 Player Stats'!$A$3:"&amp;"$A$50))),0))"),0.45)</f>
        <v>0.45</v>
      </c>
    </row>
    <row r="11">
      <c r="A11" s="29" t="s">
        <v>78</v>
      </c>
      <c r="B11" s="48">
        <f>COUNTIF('RR1 Player Stats'!$A$3:$A$50,$A11)+COUNTIF('RR2 Player Stats'!$A$3:$A$50,$A11)+COUNTIF('RR3 Player Stats'!$A$3:$A$50,$A11)+COUNTIF('RR4 Player Stats'!$A$3:$A$50,$A11)+COUNTIF('RR5 Player Stats'!$A$3:$A$50,$A11)</f>
        <v>4</v>
      </c>
      <c r="C11" s="55">
        <f>IFERROR(__xludf.DUMMYFUNCTION("IFERROR(FILTER('RR1 Player Stats'!V$3:V$50, ISNUMBER(SEARCH($A11,'RR1 Player Stats'!$A$3:$A$50))),0)
+IFERROR(FILTER('RR2 Player Stats'!V$3:V$50, ISNUMBER(SEARCH($A11,'RR2 Player Stats'!$A$3:$A$50))),0)
+IFERROR(FILTER('RR3 Player Stats'!V$3:V$50, ISNUMBE"&amp;"R(SEARCH($A11,'RR3 Player Stats'!$A$3:$A$50))),0)
+IFERROR(FILTER('RR4 Player Stats'!V$3:V$50, ISNUMBER(SEARCH($A11,'RR4 Player Stats'!$A$3:$A$50))),0)
+IFERROR(FILTER('RR5 Player Stats'!V$3:V$50, ISNUMBER(SEARCH($A11,'RR5 Player Stats'!$A$3:$A$50))),0)"),4.0)</f>
        <v>4</v>
      </c>
      <c r="D11" s="57">
        <f>IFERROR(__xludf.DUMMYFUNCTION("IFERROR(FILTER('RR1 Player Stats'!W$3:W$50, ISNUMBER(SEARCH($A11,'RR1 Player Stats'!$A$3:$A$50))),0)
+IFERROR(FILTER('RR2 Player Stats'!W$3:W$50, ISNUMBER(SEARCH($A11,'RR2 Player Stats'!$A$3:$A$50))),0)
+IFERROR(FILTER('RR3 Player Stats'!W$3:W$50, ISNUMBE"&amp;"R(SEARCH($A11,'RR3 Player Stats'!$A$3:$A$50))),0)
+IFERROR(FILTER('RR4 Player Stats'!W$3:W$50, ISNUMBER(SEARCH($A11,'RR4 Player Stats'!$A$3:$A$50))),0)
+IFERROR(FILTER('RR5 Player Stats'!W$3:W$50, ISNUMBER(SEARCH($A11,'RR5 Player Stats'!$A$3:$A$50))),0)"),20.0)</f>
        <v>20</v>
      </c>
      <c r="E11" s="57">
        <f>IFERROR(__xludf.DUMMYFUNCTION("IFERROR(FILTER('RR1 Player Stats'!X$3:X$50, ISNUMBER(SEARCH($A11,'RR1 Player Stats'!$A$3:$A$50))),0)
+IFERROR(FILTER('RR2 Player Stats'!X$3:X$50, ISNUMBER(SEARCH($A11,'RR2 Player Stats'!$A$3:$A$50))),0)
+IFERROR(FILTER('RR3 Player Stats'!X$3:X$50, ISNUMBE"&amp;"R(SEARCH($A11,'RR3 Player Stats'!$A$3:$A$50))),0)
+IFERROR(FILTER('RR4 Player Stats'!X$3:X$50, ISNUMBER(SEARCH($A11,'RR4 Player Stats'!$A$3:$A$50))),0)
+IFERROR(FILTER('RR5 Player Stats'!X$3:X$50, ISNUMBER(SEARCH($A11,'RR5 Player Stats'!$A$3:$A$50))),0)"),7.0)</f>
        <v>7</v>
      </c>
      <c r="F11" s="57">
        <f>IFERROR(__xludf.DUMMYFUNCTION("IFERROR(FILTER('RR1 Player Stats'!Y$3:Y$50, ISNUMBER(SEARCH($A11,'RR1 Player Stats'!$A$3:$A$50))),0)
+IFERROR(FILTER('RR2 Player Stats'!Y$3:Y$50, ISNUMBER(SEARCH($A11,'RR2 Player Stats'!$A$3:$A$50))),0)
+IFERROR(FILTER('RR3 Player Stats'!Y$3:Y$50, ISNUMBE"&amp;"R(SEARCH($A11,'RR3 Player Stats'!$A$3:$A$50))),0)
+IFERROR(FILTER('RR4 Player Stats'!Y$3:Y$50, ISNUMBER(SEARCH($A11,'RR4 Player Stats'!$A$3:$A$50))),0)
+IFERROR(FILTER('RR5 Player Stats'!Y$3:Y$50, ISNUMBER(SEARCH($A11,'RR5 Player Stats'!$A$3:$A$50))),0)"),136.0)</f>
        <v>136</v>
      </c>
      <c r="G11" s="57">
        <f>IFERROR(__xludf.DUMMYFUNCTION("IFERROR(FILTER('RR1 Player Stats'!Z$3:Z$50, ISNUMBER(SEARCH($A11,'RR1 Player Stats'!$A$3:$A$50))),0)
+IFERROR(FILTER('RR2 Player Stats'!Z$3:Z$50, ISNUMBER(SEARCH($A11,'RR2 Player Stats'!$A$3:$A$50))),0)
+IFERROR(FILTER('RR3 Player Stats'!Z$3:Z$50, ISNUMBE"&amp;"R(SEARCH($A11,'RR3 Player Stats'!$A$3:$A$50))),0)
+IFERROR(FILTER('RR4 Player Stats'!Z$3:Z$50, ISNUMBER(SEARCH($A11,'RR4 Player Stats'!$A$3:$A$50))),0)
+IFERROR(FILTER('RR5 Player Stats'!Z$3:Z$50, ISNUMBER(SEARCH($A11,'RR5 Player Stats'!$A$3:$A$50))),0)"),108.0)</f>
        <v>108</v>
      </c>
      <c r="H11" s="180">
        <f>IFERROR(__xludf.DUMMYFUNCTION("(IFERROR(FILTER('RR1 Player Stats'!AA$3:AA$50, ISNUMBER(SEARCH($A11,'RR1 Player Stats'!$A$3:$A$50))),0)
+IFERROR(FILTER('RR2 Player Stats'!AA$3:AA$50, ISNUMBER(SEARCH($A11,'RR2 Player Stats'!$A$3:$A$50))),0)
+IFERROR(FILTER('RR3 Player Stats'!AA$3:AA$50, "&amp;"ISNUMBER(SEARCH($A11,'RR3 Player Stats'!$A$3:$A$50))),0)
+IFERROR(FILTER('RR4 Player Stats'!AA$3:AA$50, ISNUMBER(SEARCH($A11,'RR4 Player Stats'!$A$3:$A$50))),0)
+IFERROR(FILTER('RR5 Player Stats'!AA$3:AA$50, ISNUMBER(SEARCH($A11,'RR5 Player Stats'!$A$3:$A"&amp;"$50))),0))/5"),0.4)</f>
        <v>0.4</v>
      </c>
      <c r="I11" s="55">
        <f>IFERROR(__xludf.DUMMYFUNCTION("IFERROR(FILTER('RR1 Player Stats'!AB$3:AB$50, ISNUMBER(SEARCH($A11,'RR1 Player Stats'!$A$3:$A$50))),0)
+IFERROR(FILTER('RR2 Player Stats'!AB$3:AB$50, ISNUMBER(SEARCH($A11,'RR2 Player Stats'!$A$3:$A$50))),0)
+IFERROR(FILTER('RR3 Player Stats'!AB$3:AB$50, I"&amp;"SNUMBER(SEARCH($A11,'RR3 Player Stats'!$A$3:$A$50))),0)
+IFERROR(FILTER('RR4 Player Stats'!AB$3:AB$50, ISNUMBER(SEARCH($A11,'RR4 Player Stats'!$A$3:$A$50))),0)
+IFERROR(FILTER('RR5 Player Stats'!AB$3:AB$50, ISNUMBER(SEARCH($A11,'RR5 Player Stats'!$A$3:$A$"&amp;"50))),0)"),9.0)</f>
        <v>9</v>
      </c>
      <c r="J11" s="57">
        <f>IFERROR(__xludf.DUMMYFUNCTION("IFERROR(FILTER('RR1 Player Stats'!AC$3:AC$50, ISNUMBER(SEARCH($A11,'RR1 Player Stats'!$A$3:$A$50))),0)
+IFERROR(FILTER('RR2 Player Stats'!AC$3:AC$50, ISNUMBER(SEARCH($A11,'RR2 Player Stats'!$A$3:$A$50))),0)
+IFERROR(FILTER('RR3 Player Stats'!AC$3:AC$50, I"&amp;"SNUMBER(SEARCH($A11,'RR3 Player Stats'!$A$3:$A$50))),0)
+IFERROR(FILTER('RR4 Player Stats'!AC$3:AC$50, ISNUMBER(SEARCH($A11,'RR4 Player Stats'!$A$3:$A$50))),0)
+IFERROR(FILTER('RR5 Player Stats'!AC$3:AC$50, ISNUMBER(SEARCH($A11,'RR5 Player Stats'!$A$3:$A$"&amp;"50))),0)"),10.0)</f>
        <v>10</v>
      </c>
      <c r="K11" s="57">
        <f>IFERROR(__xludf.DUMMYFUNCTION("IFERROR(FILTER('RR1 Player Stats'!AD$3:AD$50, ISNUMBER(SEARCH($A11,'RR1 Player Stats'!$A$3:$A$50))),0)
+IFERROR(FILTER('RR2 Player Stats'!AD$3:AD$50, ISNUMBER(SEARCH($A11,'RR2 Player Stats'!$A$3:$A$50))),0)
+IFERROR(FILTER('RR3 Player Stats'!AD$3:AD$50, I"&amp;"SNUMBER(SEARCH($A11,'RR3 Player Stats'!$A$3:$A$50))),0)
+IFERROR(FILTER('RR4 Player Stats'!AD$3:AD$50, ISNUMBER(SEARCH($A11,'RR4 Player Stats'!$A$3:$A$50))),0)
+IFERROR(FILTER('RR5 Player Stats'!AD$3:AD$50, ISNUMBER(SEARCH($A11,'RR5 Player Stats'!$A$3:$A$"&amp;"50))),0)"),4.0)</f>
        <v>4</v>
      </c>
      <c r="L11" s="57">
        <f>IFERROR(__xludf.DUMMYFUNCTION("IFERROR(FILTER('RR1 Player Stats'!AE$3:AE$50, ISNUMBER(SEARCH($A11,'RR1 Player Stats'!$A$3:$A$50))),0)
+IFERROR(FILTER('RR2 Player Stats'!AE$3:AE$50, ISNUMBER(SEARCH($A11,'RR2 Player Stats'!$A$3:$A$50))),0)
+IFERROR(FILTER('RR3 Player Stats'!AE$3:AE$50, I"&amp;"SNUMBER(SEARCH($A11,'RR3 Player Stats'!$A$3:$A$50))),0)
+IFERROR(FILTER('RR4 Player Stats'!AE$3:AE$50, ISNUMBER(SEARCH($A11,'RR4 Player Stats'!$A$3:$A$50))),0)
+IFERROR(FILTER('RR5 Player Stats'!AE$3:AE$50, ISNUMBER(SEARCH($A11,'RR5 Player Stats'!$A$3:$A$"&amp;"50))),0)"),96.0)</f>
        <v>96</v>
      </c>
      <c r="M11" s="57">
        <f>IFERROR(__xludf.DUMMYFUNCTION("IFERROR(FILTER('RR1 Player Stats'!AF$3:AF$50, ISNUMBER(SEARCH($A11,'RR1 Player Stats'!$A$3:$A$50))),0)
+IFERROR(FILTER('RR2 Player Stats'!AF$3:AF$50, ISNUMBER(SEARCH($A11,'RR2 Player Stats'!$A$3:$A$50))),0)
+IFERROR(FILTER('RR3 Player Stats'!AF$3:AF$50, I"&amp;"SNUMBER(SEARCH($A11,'RR3 Player Stats'!$A$3:$A$50))),0)
+IFERROR(FILTER('RR4 Player Stats'!AF$3:AF$50, ISNUMBER(SEARCH($A11,'RR4 Player Stats'!$A$3:$A$50))),0)
+IFERROR(FILTER('RR5 Player Stats'!AF$3:AF$50, ISNUMBER(SEARCH($A11,'RR5 Player Stats'!$A$3:$A$"&amp;"50))),0)"),80.0)</f>
        <v>80</v>
      </c>
      <c r="N11" s="180">
        <f>IFERROR(__xludf.DUMMYFUNCTION("(IFERROR(FILTER('RR1 Player Stats'!AG$3:AG$50, ISNUMBER(SEARCH($A11,'RR1 Player Stats'!$A$3:$A$50))),0)
+IFERROR(FILTER('RR2 Player Stats'!AG$3:AG$50, ISNUMBER(SEARCH($A11,'RR2 Player Stats'!$A$3:$A$50))),0)
+IFERROR(FILTER('RR3 Player Stats'!AG$3:AG$50, "&amp;"ISNUMBER(SEARCH($A11,'RR3 Player Stats'!$A$3:$A$50))),0)
+IFERROR(FILTER('RR4 Player Stats'!AG$3:AG$50, ISNUMBER(SEARCH($A11,'RR4 Player Stats'!$A$3:$A$50))),0)
+IFERROR(FILTER('RR5 Player Stats'!AG$3:AG$50, ISNUMBER(SEARCH($A11,'RR5 Player Stats'!$A$3:$A"&amp;"$50))),0))/5"),0.476)</f>
        <v>0.476</v>
      </c>
      <c r="O11" s="55">
        <f>IFERROR(__xludf.DUMMYFUNCTION("IFERROR(FILTER('RR1 Player Stats'!AH$3:AH$50, ISNUMBER(SEARCH($A11,'RR1 Player Stats'!$A$3:$A$50))),0)
+IFERROR(FILTER('RR2 Player Stats'!AH$3:AH$50, ISNUMBER(SEARCH($A11,'RR2 Player Stats'!$A$3:$A$50))),0)
+IFERROR(FILTER('RR3 Player Stats'!AH$3:AH$50, I"&amp;"SNUMBER(SEARCH($A11,'RR3 Player Stats'!$A$3:$A$50))),0)
+IFERROR(FILTER('RR4 Player Stats'!AH$3:AH$50, ISNUMBER(SEARCH($A11,'RR4 Player Stats'!$A$3:$A$50))),0)
+IFERROR(FILTER('RR5 Player Stats'!AH$3:AH$50, ISNUMBER(SEARCH($A11,'RR5 Player Stats'!$A$3:$A$"&amp;"50))),0)"),13.0)</f>
        <v>13</v>
      </c>
      <c r="P11" s="57">
        <f>IFERROR(__xludf.DUMMYFUNCTION("IFERROR(FILTER('RR1 Player Stats'!AI$3:AI$50, ISNUMBER(SEARCH($A11,'RR1 Player Stats'!$A$3:$A$50))),0)
+IFERROR(FILTER('RR2 Player Stats'!AI$3:AI$50, ISNUMBER(SEARCH($A11,'RR2 Player Stats'!$A$3:$A$50))),0)
+IFERROR(FILTER('RR3 Player Stats'!AI$3:AI$50, I"&amp;"SNUMBER(SEARCH($A11,'RR3 Player Stats'!$A$3:$A$50))),0)
+IFERROR(FILTER('RR4 Player Stats'!AI$3:AI$50, ISNUMBER(SEARCH($A11,'RR4 Player Stats'!$A$3:$A$50))),0)
+IFERROR(FILTER('RR5 Player Stats'!AI$3:AI$50, ISNUMBER(SEARCH($A11,'RR5 Player Stats'!$A$3:$A$"&amp;"50))),0)"),30.0)</f>
        <v>30</v>
      </c>
      <c r="Q11" s="57">
        <f>IFERROR(__xludf.DUMMYFUNCTION("IFERROR(FILTER('RR1 Player Stats'!AJ$3:AJ$50, ISNUMBER(SEARCH($A11,'RR1 Player Stats'!$A$3:$A$50))),0)
+IFERROR(FILTER('RR2 Player Stats'!AJ$3:AJ$50, ISNUMBER(SEARCH($A11,'RR2 Player Stats'!$A$3:$A$50))),0)
+IFERROR(FILTER('RR3 Player Stats'!AJ$3:AJ$50, I"&amp;"SNUMBER(SEARCH($A11,'RR3 Player Stats'!$A$3:$A$50))),0)
+IFERROR(FILTER('RR4 Player Stats'!AJ$3:AJ$50, ISNUMBER(SEARCH($A11,'RR4 Player Stats'!$A$3:$A$50))),0)
+IFERROR(FILTER('RR5 Player Stats'!AJ$3:AJ$50, ISNUMBER(SEARCH($A11,'RR5 Player Stats'!$A$3:$A$"&amp;"50))),0)"),11.0)</f>
        <v>11</v>
      </c>
      <c r="R11" s="57">
        <f>IFERROR(__xludf.DUMMYFUNCTION("IFERROR(FILTER('RR1 Player Stats'!AK$3:AK$50, ISNUMBER(SEARCH($A11,'RR1 Player Stats'!$A$3:$A$50))),0)
+IFERROR(FILTER('RR2 Player Stats'!AK$3:AK$50, ISNUMBER(SEARCH($A11,'RR2 Player Stats'!$A$3:$A$50))),0)
+IFERROR(FILTER('RR3 Player Stats'!AK$3:AK$50, I"&amp;"SNUMBER(SEARCH($A11,'RR3 Player Stats'!$A$3:$A$50))),0)
+IFERROR(FILTER('RR4 Player Stats'!AK$3:AK$50, ISNUMBER(SEARCH($A11,'RR4 Player Stats'!$A$3:$A$50))),0)
+IFERROR(FILTER('RR5 Player Stats'!AK$3:AK$50, ISNUMBER(SEARCH($A11,'RR5 Player Stats'!$A$3:$A$"&amp;"50))),0)"),232.0)</f>
        <v>232</v>
      </c>
      <c r="S11" s="57">
        <f>IFERROR(__xludf.DUMMYFUNCTION("IFERROR(FILTER('RR1 Player Stats'!AL$3:AL$50, ISNUMBER(SEARCH($A11,'RR1 Player Stats'!$A$3:$A$50))),0)
+IFERROR(FILTER('RR2 Player Stats'!AL$3:AL$50, ISNUMBER(SEARCH($A11,'RR2 Player Stats'!$A$3:$A$50))),0)
+IFERROR(FILTER('RR3 Player Stats'!AL$3:AL$50, I"&amp;"SNUMBER(SEARCH($A11,'RR3 Player Stats'!$A$3:$A$50))),0)
+IFERROR(FILTER('RR4 Player Stats'!AL$3:AL$50, ISNUMBER(SEARCH($A11,'RR4 Player Stats'!$A$3:$A$50))),0)
+IFERROR(FILTER('RR5 Player Stats'!AL$3:AL$50, ISNUMBER(SEARCH($A11,'RR5 Player Stats'!$A$3:$A$"&amp;"50))),0)"),188.0)</f>
        <v>188</v>
      </c>
      <c r="T11" s="180">
        <f>IFERROR(__xludf.DUMMYFUNCTION("(IFERROR(FILTER('RR1 Player Stats'!AM$3:AM$50, ISNUMBER(SEARCH($A11,'RR1 Player Stats'!$A$3:$A$50))),0)
+IFERROR(FILTER('RR2 Player Stats'!AM$3:AM$50, ISNUMBER(SEARCH($A11,'RR2 Player Stats'!$A$3:$A$50))),0)
+IFERROR(FILTER('RR3 Player Stats'!AM$3:AM$50, "&amp;"ISNUMBER(SEARCH($A11,'RR3 Player Stats'!$A$3:$A$50))),0)
+IFERROR(FILTER('RR4 Player Stats'!AM$3:AM$50, ISNUMBER(SEARCH($A11,'RR4 Player Stats'!$A$3:$A$50))),0)
+IFERROR(FILTER('RR5 Player Stats'!AM$3:AM$50, ISNUMBER(SEARCH($A11,'RR5 Player Stats'!$A$3:$A"&amp;"$50))),0))/B11"),0.5375000000000001)</f>
        <v>0.5375</v>
      </c>
      <c r="U11" s="55">
        <f>IFERROR(__xludf.DUMMYFUNCTION("MEDIAN(IFERROR(FILTER('RR1 Player Stats'!AH$3:AH$50, ISNUMBER(SEARCH($A11,'RR1 Player Stats'!$A$3:$A$50))),0),IFERROR(FILTER('RR2 Player Stats'!AH$3:AH$50, ISNUMBER(SEARCH($A11,'RR2 Player Stats'!$A$3:$A$50))),0),IFERROR(FILTER('RR3 Player Stats'!AH$3:AH$"&amp;"50, ISNUMBER(SEARCH($A11,'RR3 Player Stats'!$A$3:$A$50))),0),IFERROR(FILTER('RR4 Player Stats'!AH$3:AH$50, ISNUMBER(SEARCH($A11,'RR4 Player Stats'!$A$3:$A$50))),0),IFERROR(FILTER('RR5 Player Stats'!AH$3:AH$50, ISNUMBER(SEARCH($A11,'RR5 Player Stats'!$A$3:"&amp;"$A$50))),0))"),3.0)</f>
        <v>3</v>
      </c>
      <c r="V11" s="57">
        <f>IFERROR(__xludf.DUMMYFUNCTION("MEDIAN(IFERROR(FILTER('RR1 Player Stats'!AI$3:AI$50, ISNUMBER(SEARCH($A11,'RR1 Player Stats'!$A$3:$A$50))),0),IFERROR(FILTER('RR2 Player Stats'!AI$3:AI$50, ISNUMBER(SEARCH($A11,'RR2 Player Stats'!$A$3:$A$50))),0),IFERROR(FILTER('RR3 Player Stats'!AI$3:AI$"&amp;"50, ISNUMBER(SEARCH($A11,'RR3 Player Stats'!$A$3:$A$50))),0),IFERROR(FILTER('RR4 Player Stats'!AI$3:AI$50, ISNUMBER(SEARCH($A11,'RR4 Player Stats'!$A$3:$A$50))),0),IFERROR(FILTER('RR5 Player Stats'!AI$3:AI$50, ISNUMBER(SEARCH($A11,'RR5 Player Stats'!$A$3:"&amp;"$A$50))),0))"),7.0)</f>
        <v>7</v>
      </c>
      <c r="W11" s="57">
        <f>IFERROR(__xludf.DUMMYFUNCTION("MEDIAN(IFERROR(FILTER('RR1 Player Stats'!AJ$3:AJ$50, ISNUMBER(SEARCH($A11,'RR1 Player Stats'!$A$3:$A$50))),0),IFERROR(FILTER('RR2 Player Stats'!AJ$3:AJ$50, ISNUMBER(SEARCH($A11,'RR2 Player Stats'!$A$3:$A$50))),0),IFERROR(FILTER('RR3 Player Stats'!AJ$3:AJ$"&amp;"50, ISNUMBER(SEARCH($A11,'RR3 Player Stats'!$A$3:$A$50))),0),IFERROR(FILTER('RR4 Player Stats'!AJ$3:AJ$50, ISNUMBER(SEARCH($A11,'RR4 Player Stats'!$A$3:$A$50))),0),IFERROR(FILTER('RR5 Player Stats'!AJ$3:AJ$50, ISNUMBER(SEARCH($A11,'RR5 Player Stats'!$A$3:"&amp;"$A$50))),0))"),3.0)</f>
        <v>3</v>
      </c>
      <c r="X11" s="57">
        <f>IFERROR(__xludf.DUMMYFUNCTION("MEDIAN(IFERROR(FILTER('RR1 Player Stats'!AK$3:AK$50, ISNUMBER(SEARCH($A11,'RR1 Player Stats'!$A$3:$A$50))),0),IFERROR(FILTER('RR2 Player Stats'!AK$3:AK$50, ISNUMBER(SEARCH($A11,'RR2 Player Stats'!$A$3:$A$50))),0),IFERROR(FILTER('RR3 Player Stats'!AK$3:AK$"&amp;"50, ISNUMBER(SEARCH($A11,'RR3 Player Stats'!$A$3:$A$50))),0),IFERROR(FILTER('RR4 Player Stats'!AK$3:AK$50, ISNUMBER(SEARCH($A11,'RR4 Player Stats'!$A$3:$A$50))),0),IFERROR(FILTER('RR5 Player Stats'!AK$3:AK$50, ISNUMBER(SEARCH($A11,'RR5 Player Stats'!$A$3:"&amp;"$A$50))),0))"),46.0)</f>
        <v>46</v>
      </c>
      <c r="Y11" s="57">
        <f>IFERROR(__xludf.DUMMYFUNCTION("MEDIAN(IFERROR(FILTER('RR1 Player Stats'!AL$3:AL$50, ISNUMBER(SEARCH($A11,'RR1 Player Stats'!$A$3:$A$50))),0),IFERROR(FILTER('RR2 Player Stats'!AL$3:AL$50, ISNUMBER(SEARCH($A11,'RR2 Player Stats'!$A$3:$A$50))),0),IFERROR(FILTER('RR3 Player Stats'!AL$3:AL$"&amp;"50, ISNUMBER(SEARCH($A11,'RR3 Player Stats'!$A$3:$A$50))),0),IFERROR(FILTER('RR4 Player Stats'!AL$3:AL$50, ISNUMBER(SEARCH($A11,'RR4 Player Stats'!$A$3:$A$50))),0),IFERROR(FILTER('RR5 Player Stats'!AL$3:AL$50, ISNUMBER(SEARCH($A11,'RR5 Player Stats'!$A$3:"&amp;"$A$50))),0))"),34.0)</f>
        <v>34</v>
      </c>
      <c r="Z11" s="180">
        <f>IFERROR(__xludf.DUMMYFUNCTION("MEDIAN(IFERROR(FILTER('RR1 Player Stats'!AM$3:AM$50, ISNUMBER(SEARCH($A11,'RR1 Player Stats'!$A$3:$A$50))),0),IFERROR(FILTER('RR2 Player Stats'!AM$3:AM$50, ISNUMBER(SEARCH($A11,'RR2 Player Stats'!$A$3:$A$50))),0),IFERROR(FILTER('RR3 Player Stats'!AM$3:AM$"&amp;"50, ISNUMBER(SEARCH($A11,'RR3 Player Stats'!$A$3:$A$50))),0),IFERROR(FILTER('RR4 Player Stats'!AM$3:AM$50, ISNUMBER(SEARCH($A11,'RR4 Player Stats'!$A$3:$A$50))),0),IFERROR(FILTER('RR5 Player Stats'!AM$3:AM$50, ISNUMBER(SEARCH($A11,'RR5 Player Stats'!$A$3:"&amp;"$A$50))),0))"),0.45)</f>
        <v>0.45</v>
      </c>
    </row>
    <row r="12">
      <c r="A12" s="29" t="s">
        <v>67</v>
      </c>
      <c r="B12" s="48">
        <f>COUNTIF('RR1 Player Stats'!$A$3:$A$50,$A12)+COUNTIF('RR2 Player Stats'!$A$3:$A$50,$A12)+COUNTIF('RR3 Player Stats'!$A$3:$A$50,$A12)+COUNTIF('RR4 Player Stats'!$A$3:$A$50,$A12)+COUNTIF('RR5 Player Stats'!$A$3:$A$50,$A12)</f>
        <v>5</v>
      </c>
      <c r="C12" s="55">
        <f>IFERROR(__xludf.DUMMYFUNCTION("IFERROR(FILTER('RR1 Player Stats'!V$3:V$50, ISNUMBER(SEARCH($A12,'RR1 Player Stats'!$A$3:$A$50))),0)
+IFERROR(FILTER('RR2 Player Stats'!V$3:V$50, ISNUMBER(SEARCH($A12,'RR2 Player Stats'!$A$3:$A$50))),0)
+IFERROR(FILTER('RR3 Player Stats'!V$3:V$50, ISNUMBE"&amp;"R(SEARCH($A12,'RR3 Player Stats'!$A$3:$A$50))),0)
+IFERROR(FILTER('RR4 Player Stats'!V$3:V$50, ISNUMBER(SEARCH($A12,'RR4 Player Stats'!$A$3:$A$50))),0)
+IFERROR(FILTER('RR5 Player Stats'!V$3:V$50, ISNUMBER(SEARCH($A12,'RR5 Player Stats'!$A$3:$A$50))),0)"),19.0)</f>
        <v>19</v>
      </c>
      <c r="D12" s="57">
        <f>IFERROR(__xludf.DUMMYFUNCTION("IFERROR(FILTER('RR1 Player Stats'!W$3:W$50, ISNUMBER(SEARCH($A12,'RR1 Player Stats'!$A$3:$A$50))),0)
+IFERROR(FILTER('RR2 Player Stats'!W$3:W$50, ISNUMBER(SEARCH($A12,'RR2 Player Stats'!$A$3:$A$50))),0)
+IFERROR(FILTER('RR3 Player Stats'!W$3:W$50, ISNUMBE"&amp;"R(SEARCH($A12,'RR3 Player Stats'!$A$3:$A$50))),0)
+IFERROR(FILTER('RR4 Player Stats'!W$3:W$50, ISNUMBER(SEARCH($A12,'RR4 Player Stats'!$A$3:$A$50))),0)
+IFERROR(FILTER('RR5 Player Stats'!W$3:W$50, ISNUMBER(SEARCH($A12,'RR5 Player Stats'!$A$3:$A$50))),0)"),14.0)</f>
        <v>14</v>
      </c>
      <c r="E12" s="57">
        <f>IFERROR(__xludf.DUMMYFUNCTION("IFERROR(FILTER('RR1 Player Stats'!X$3:X$50, ISNUMBER(SEARCH($A12,'RR1 Player Stats'!$A$3:$A$50))),0)
+IFERROR(FILTER('RR2 Player Stats'!X$3:X$50, ISNUMBER(SEARCH($A12,'RR2 Player Stats'!$A$3:$A$50))),0)
+IFERROR(FILTER('RR3 Player Stats'!X$3:X$50, ISNUMBE"&amp;"R(SEARCH($A12,'RR3 Player Stats'!$A$3:$A$50))),0)
+IFERROR(FILTER('RR4 Player Stats'!X$3:X$50, ISNUMBER(SEARCH($A12,'RR4 Player Stats'!$A$3:$A$50))),0)
+IFERROR(FILTER('RR5 Player Stats'!X$3:X$50, ISNUMBER(SEARCH($A12,'RR5 Player Stats'!$A$3:$A$50))),0)"),2.0)</f>
        <v>2</v>
      </c>
      <c r="F12" s="57">
        <f>IFERROR(__xludf.DUMMYFUNCTION("IFERROR(FILTER('RR1 Player Stats'!Y$3:Y$50, ISNUMBER(SEARCH($A12,'RR1 Player Stats'!$A$3:$A$50))),0)
+IFERROR(FILTER('RR2 Player Stats'!Y$3:Y$50, ISNUMBER(SEARCH($A12,'RR2 Player Stats'!$A$3:$A$50))),0)
+IFERROR(FILTER('RR3 Player Stats'!Y$3:Y$50, ISNUMBE"&amp;"R(SEARCH($A12,'RR3 Player Stats'!$A$3:$A$50))),0)
+IFERROR(FILTER('RR4 Player Stats'!Y$3:Y$50, ISNUMBER(SEARCH($A12,'RR4 Player Stats'!$A$3:$A$50))),0)
+IFERROR(FILTER('RR5 Player Stats'!Y$3:Y$50, ISNUMBER(SEARCH($A12,'RR5 Player Stats'!$A$3:$A$50))),0)"),160.0)</f>
        <v>160</v>
      </c>
      <c r="G12" s="57">
        <f>IFERROR(__xludf.DUMMYFUNCTION("IFERROR(FILTER('RR1 Player Stats'!Z$3:Z$50, ISNUMBER(SEARCH($A12,'RR1 Player Stats'!$A$3:$A$50))),0)
+IFERROR(FILTER('RR2 Player Stats'!Z$3:Z$50, ISNUMBER(SEARCH($A12,'RR2 Player Stats'!$A$3:$A$50))),0)
+IFERROR(FILTER('RR3 Player Stats'!Z$3:Z$50, ISNUMBE"&amp;"R(SEARCH($A12,'RR3 Player Stats'!$A$3:$A$50))),0)
+IFERROR(FILTER('RR4 Player Stats'!Z$3:Z$50, ISNUMBER(SEARCH($A12,'RR4 Player Stats'!$A$3:$A$50))),0)
+IFERROR(FILTER('RR5 Player Stats'!Z$3:Z$50, ISNUMBER(SEARCH($A12,'RR5 Player Stats'!$A$3:$A$50))),0)"),152.0)</f>
        <v>152</v>
      </c>
      <c r="H12" s="180">
        <f>IFERROR(__xludf.DUMMYFUNCTION("(IFERROR(FILTER('RR1 Player Stats'!AA$3:AA$50, ISNUMBER(SEARCH($A12,'RR1 Player Stats'!$A$3:$A$50))),0)
+IFERROR(FILTER('RR2 Player Stats'!AA$3:AA$50, ISNUMBER(SEARCH($A12,'RR2 Player Stats'!$A$3:$A$50))),0)
+IFERROR(FILTER('RR3 Player Stats'!AA$3:AA$50, "&amp;"ISNUMBER(SEARCH($A12,'RR3 Player Stats'!$A$3:$A$50))),0)
+IFERROR(FILTER('RR4 Player Stats'!AA$3:AA$50, ISNUMBER(SEARCH($A12,'RR4 Player Stats'!$A$3:$A$50))),0)
+IFERROR(FILTER('RR5 Player Stats'!AA$3:AA$50, ISNUMBER(SEARCH($A12,'RR5 Player Stats'!$A$3:$A"&amp;"$50))),0))/5"),0.548)</f>
        <v>0.548</v>
      </c>
      <c r="I12" s="55">
        <f>IFERROR(__xludf.DUMMYFUNCTION("IFERROR(FILTER('RR1 Player Stats'!AB$3:AB$50, ISNUMBER(SEARCH($A12,'RR1 Player Stats'!$A$3:$A$50))),0)
+IFERROR(FILTER('RR2 Player Stats'!AB$3:AB$50, ISNUMBER(SEARCH($A12,'RR2 Player Stats'!$A$3:$A$50))),0)
+IFERROR(FILTER('RR3 Player Stats'!AB$3:AB$50, I"&amp;"SNUMBER(SEARCH($A12,'RR3 Player Stats'!$A$3:$A$50))),0)
+IFERROR(FILTER('RR4 Player Stats'!AB$3:AB$50, ISNUMBER(SEARCH($A12,'RR4 Player Stats'!$A$3:$A$50))),0)
+IFERROR(FILTER('RR5 Player Stats'!AB$3:AB$50, ISNUMBER(SEARCH($A12,'RR5 Player Stats'!$A$3:$A$"&amp;"50))),0)"),13.0)</f>
        <v>13</v>
      </c>
      <c r="J12" s="57">
        <f>IFERROR(__xludf.DUMMYFUNCTION("IFERROR(FILTER('RR1 Player Stats'!AC$3:AC$50, ISNUMBER(SEARCH($A12,'RR1 Player Stats'!$A$3:$A$50))),0)
+IFERROR(FILTER('RR2 Player Stats'!AC$3:AC$50, ISNUMBER(SEARCH($A12,'RR2 Player Stats'!$A$3:$A$50))),0)
+IFERROR(FILTER('RR3 Player Stats'!AC$3:AC$50, I"&amp;"SNUMBER(SEARCH($A12,'RR3 Player Stats'!$A$3:$A$50))),0)
+IFERROR(FILTER('RR4 Player Stats'!AC$3:AC$50, ISNUMBER(SEARCH($A12,'RR4 Player Stats'!$A$3:$A$50))),0)
+IFERROR(FILTER('RR5 Player Stats'!AC$3:AC$50, ISNUMBER(SEARCH($A12,'RR5 Player Stats'!$A$3:$A$"&amp;"50))),0)"),3.0)</f>
        <v>3</v>
      </c>
      <c r="K12" s="57">
        <f>IFERROR(__xludf.DUMMYFUNCTION("IFERROR(FILTER('RR1 Player Stats'!AD$3:AD$50, ISNUMBER(SEARCH($A12,'RR1 Player Stats'!$A$3:$A$50))),0)
+IFERROR(FILTER('RR2 Player Stats'!AD$3:AD$50, ISNUMBER(SEARCH($A12,'RR2 Player Stats'!$A$3:$A$50))),0)
+IFERROR(FILTER('RR3 Player Stats'!AD$3:AD$50, I"&amp;"SNUMBER(SEARCH($A12,'RR3 Player Stats'!$A$3:$A$50))),0)
+IFERROR(FILTER('RR4 Player Stats'!AD$3:AD$50, ISNUMBER(SEARCH($A12,'RR4 Player Stats'!$A$3:$A$50))),0)
+IFERROR(FILTER('RR5 Player Stats'!AD$3:AD$50, ISNUMBER(SEARCH($A12,'RR5 Player Stats'!$A$3:$A$"&amp;"50))),0)"),1.0)</f>
        <v>1</v>
      </c>
      <c r="L12" s="57">
        <f>IFERROR(__xludf.DUMMYFUNCTION("IFERROR(FILTER('RR1 Player Stats'!AE$3:AE$50, ISNUMBER(SEARCH($A12,'RR1 Player Stats'!$A$3:$A$50))),0)
+IFERROR(FILTER('RR2 Player Stats'!AE$3:AE$50, ISNUMBER(SEARCH($A12,'RR2 Player Stats'!$A$3:$A$50))),0)
+IFERROR(FILTER('RR3 Player Stats'!AE$3:AE$50, I"&amp;"SNUMBER(SEARCH($A12,'RR3 Player Stats'!$A$3:$A$50))),0)
+IFERROR(FILTER('RR4 Player Stats'!AE$3:AE$50, ISNUMBER(SEARCH($A12,'RR4 Player Stats'!$A$3:$A$50))),0)
+IFERROR(FILTER('RR5 Player Stats'!AE$3:AE$50, ISNUMBER(SEARCH($A12,'RR5 Player Stats'!$A$3:$A$"&amp;"50))),0)"),70.0)</f>
        <v>70</v>
      </c>
      <c r="M12" s="57">
        <f>IFERROR(__xludf.DUMMYFUNCTION("IFERROR(FILTER('RR1 Player Stats'!AF$3:AF$50, ISNUMBER(SEARCH($A12,'RR1 Player Stats'!$A$3:$A$50))),0)
+IFERROR(FILTER('RR2 Player Stats'!AF$3:AF$50, ISNUMBER(SEARCH($A12,'RR2 Player Stats'!$A$3:$A$50))),0)
+IFERROR(FILTER('RR3 Player Stats'!AF$3:AF$50, I"&amp;"SNUMBER(SEARCH($A12,'RR3 Player Stats'!$A$3:$A$50))),0)
+IFERROR(FILTER('RR4 Player Stats'!AF$3:AF$50, ISNUMBER(SEARCH($A12,'RR4 Player Stats'!$A$3:$A$50))),0)
+IFERROR(FILTER('RR5 Player Stats'!AF$3:AF$50, ISNUMBER(SEARCH($A12,'RR5 Player Stats'!$A$3:$A$"&amp;"50))),0)"),66.0)</f>
        <v>66</v>
      </c>
      <c r="N12" s="180">
        <f>IFERROR(__xludf.DUMMYFUNCTION("(IFERROR(FILTER('RR1 Player Stats'!AG$3:AG$50, ISNUMBER(SEARCH($A12,'RR1 Player Stats'!$A$3:$A$50))),0)
+IFERROR(FILTER('RR2 Player Stats'!AG$3:AG$50, ISNUMBER(SEARCH($A12,'RR2 Player Stats'!$A$3:$A$50))),0)
+IFERROR(FILTER('RR3 Player Stats'!AG$3:AG$50, "&amp;"ISNUMBER(SEARCH($A12,'RR3 Player Stats'!$A$3:$A$50))),0)
+IFERROR(FILTER('RR4 Player Stats'!AG$3:AG$50, ISNUMBER(SEARCH($A12,'RR4 Player Stats'!$A$3:$A$50))),0)
+IFERROR(FILTER('RR5 Player Stats'!AG$3:AG$50, ISNUMBER(SEARCH($A12,'RR5 Player Stats'!$A$3:$A"&amp;"$50))),0))/5"),0.4)</f>
        <v>0.4</v>
      </c>
      <c r="O12" s="55">
        <f>IFERROR(__xludf.DUMMYFUNCTION("IFERROR(FILTER('RR1 Player Stats'!AH$3:AH$50, ISNUMBER(SEARCH($A12,'RR1 Player Stats'!$A$3:$A$50))),0)
+IFERROR(FILTER('RR2 Player Stats'!AH$3:AH$50, ISNUMBER(SEARCH($A12,'RR2 Player Stats'!$A$3:$A$50))),0)
+IFERROR(FILTER('RR3 Player Stats'!AH$3:AH$50, I"&amp;"SNUMBER(SEARCH($A12,'RR3 Player Stats'!$A$3:$A$50))),0)
+IFERROR(FILTER('RR4 Player Stats'!AH$3:AH$50, ISNUMBER(SEARCH($A12,'RR4 Player Stats'!$A$3:$A$50))),0)
+IFERROR(FILTER('RR5 Player Stats'!AH$3:AH$50, ISNUMBER(SEARCH($A12,'RR5 Player Stats'!$A$3:$A$"&amp;"50))),0)"),32.0)</f>
        <v>32</v>
      </c>
      <c r="P12" s="57">
        <f>IFERROR(__xludf.DUMMYFUNCTION("IFERROR(FILTER('RR1 Player Stats'!AI$3:AI$50, ISNUMBER(SEARCH($A12,'RR1 Player Stats'!$A$3:$A$50))),0)
+IFERROR(FILTER('RR2 Player Stats'!AI$3:AI$50, ISNUMBER(SEARCH($A12,'RR2 Player Stats'!$A$3:$A$50))),0)
+IFERROR(FILTER('RR3 Player Stats'!AI$3:AI$50, I"&amp;"SNUMBER(SEARCH($A12,'RR3 Player Stats'!$A$3:$A$50))),0)
+IFERROR(FILTER('RR4 Player Stats'!AI$3:AI$50, ISNUMBER(SEARCH($A12,'RR4 Player Stats'!$A$3:$A$50))),0)
+IFERROR(FILTER('RR5 Player Stats'!AI$3:AI$50, ISNUMBER(SEARCH($A12,'RR5 Player Stats'!$A$3:$A$"&amp;"50))),0)"),17.0)</f>
        <v>17</v>
      </c>
      <c r="Q12" s="57">
        <f>IFERROR(__xludf.DUMMYFUNCTION("IFERROR(FILTER('RR1 Player Stats'!AJ$3:AJ$50, ISNUMBER(SEARCH($A12,'RR1 Player Stats'!$A$3:$A$50))),0)
+IFERROR(FILTER('RR2 Player Stats'!AJ$3:AJ$50, ISNUMBER(SEARCH($A12,'RR2 Player Stats'!$A$3:$A$50))),0)
+IFERROR(FILTER('RR3 Player Stats'!AJ$3:AJ$50, I"&amp;"SNUMBER(SEARCH($A12,'RR3 Player Stats'!$A$3:$A$50))),0)
+IFERROR(FILTER('RR4 Player Stats'!AJ$3:AJ$50, ISNUMBER(SEARCH($A12,'RR4 Player Stats'!$A$3:$A$50))),0)
+IFERROR(FILTER('RR5 Player Stats'!AJ$3:AJ$50, ISNUMBER(SEARCH($A12,'RR5 Player Stats'!$A$3:$A$"&amp;"50))),0)"),3.0)</f>
        <v>3</v>
      </c>
      <c r="R12" s="57">
        <f>IFERROR(__xludf.DUMMYFUNCTION("IFERROR(FILTER('RR1 Player Stats'!AK$3:AK$50, ISNUMBER(SEARCH($A12,'RR1 Player Stats'!$A$3:$A$50))),0)
+IFERROR(FILTER('RR2 Player Stats'!AK$3:AK$50, ISNUMBER(SEARCH($A12,'RR2 Player Stats'!$A$3:$A$50))),0)
+IFERROR(FILTER('RR3 Player Stats'!AK$3:AK$50, I"&amp;"SNUMBER(SEARCH($A12,'RR3 Player Stats'!$A$3:$A$50))),0)
+IFERROR(FILTER('RR4 Player Stats'!AK$3:AK$50, ISNUMBER(SEARCH($A12,'RR4 Player Stats'!$A$3:$A$50))),0)
+IFERROR(FILTER('RR5 Player Stats'!AK$3:AK$50, ISNUMBER(SEARCH($A12,'RR5 Player Stats'!$A$3:$A$"&amp;"50))),0)"),230.0)</f>
        <v>230</v>
      </c>
      <c r="S12" s="57">
        <f>IFERROR(__xludf.DUMMYFUNCTION("IFERROR(FILTER('RR1 Player Stats'!AL$3:AL$50, ISNUMBER(SEARCH($A12,'RR1 Player Stats'!$A$3:$A$50))),0)
+IFERROR(FILTER('RR2 Player Stats'!AL$3:AL$50, ISNUMBER(SEARCH($A12,'RR2 Player Stats'!$A$3:$A$50))),0)
+IFERROR(FILTER('RR3 Player Stats'!AL$3:AL$50, I"&amp;"SNUMBER(SEARCH($A12,'RR3 Player Stats'!$A$3:$A$50))),0)
+IFERROR(FILTER('RR4 Player Stats'!AL$3:AL$50, ISNUMBER(SEARCH($A12,'RR4 Player Stats'!$A$3:$A$50))),0)
+IFERROR(FILTER('RR5 Player Stats'!AL$3:AL$50, ISNUMBER(SEARCH($A12,'RR5 Player Stats'!$A$3:$A$"&amp;"50))),0)"),218.0)</f>
        <v>218</v>
      </c>
      <c r="T12" s="180">
        <f>IFERROR(__xludf.DUMMYFUNCTION("(IFERROR(FILTER('RR1 Player Stats'!AM$3:AM$50, ISNUMBER(SEARCH($A12,'RR1 Player Stats'!$A$3:$A$50))),0)
+IFERROR(FILTER('RR2 Player Stats'!AM$3:AM$50, ISNUMBER(SEARCH($A12,'RR2 Player Stats'!$A$3:$A$50))),0)
+IFERROR(FILTER('RR3 Player Stats'!AM$3:AM$50, "&amp;"ISNUMBER(SEARCH($A12,'RR3 Player Stats'!$A$3:$A$50))),0)
+IFERROR(FILTER('RR4 Player Stats'!AM$3:AM$50, ISNUMBER(SEARCH($A12,'RR4 Player Stats'!$A$3:$A$50))),0)
+IFERROR(FILTER('RR5 Player Stats'!AM$3:AM$50, ISNUMBER(SEARCH($A12,'RR5 Player Stats'!$A$3:$A"&amp;"$50))),0))/B12"),0.49000000000000005)</f>
        <v>0.49</v>
      </c>
      <c r="U12" s="55">
        <f>IFERROR(__xludf.DUMMYFUNCTION("MEDIAN(IFERROR(FILTER('RR1 Player Stats'!AH$3:AH$50, ISNUMBER(SEARCH($A12,'RR1 Player Stats'!$A$3:$A$50))),0),IFERROR(FILTER('RR2 Player Stats'!AH$3:AH$50, ISNUMBER(SEARCH($A12,'RR2 Player Stats'!$A$3:$A$50))),0),IFERROR(FILTER('RR3 Player Stats'!AH$3:AH$"&amp;"50, ISNUMBER(SEARCH($A12,'RR3 Player Stats'!$A$3:$A$50))),0),IFERROR(FILTER('RR4 Player Stats'!AH$3:AH$50, ISNUMBER(SEARCH($A12,'RR4 Player Stats'!$A$3:$A$50))),0),IFERROR(FILTER('RR5 Player Stats'!AH$3:AH$50, ISNUMBER(SEARCH($A12,'RR5 Player Stats'!$A$3:"&amp;"$A$50))),0))"),7.0)</f>
        <v>7</v>
      </c>
      <c r="V12" s="57">
        <f>IFERROR(__xludf.DUMMYFUNCTION("MEDIAN(IFERROR(FILTER('RR1 Player Stats'!AI$3:AI$50, ISNUMBER(SEARCH($A12,'RR1 Player Stats'!$A$3:$A$50))),0),IFERROR(FILTER('RR2 Player Stats'!AI$3:AI$50, ISNUMBER(SEARCH($A12,'RR2 Player Stats'!$A$3:$A$50))),0),IFERROR(FILTER('RR3 Player Stats'!AI$3:AI$"&amp;"50, ISNUMBER(SEARCH($A12,'RR3 Player Stats'!$A$3:$A$50))),0),IFERROR(FILTER('RR4 Player Stats'!AI$3:AI$50, ISNUMBER(SEARCH($A12,'RR4 Player Stats'!$A$3:$A$50))),0),IFERROR(FILTER('RR5 Player Stats'!AI$3:AI$50, ISNUMBER(SEARCH($A12,'RR5 Player Stats'!$A$3:"&amp;"$A$50))),0))"),3.0)</f>
        <v>3</v>
      </c>
      <c r="W12" s="57">
        <f>IFERROR(__xludf.DUMMYFUNCTION("MEDIAN(IFERROR(FILTER('RR1 Player Stats'!AJ$3:AJ$50, ISNUMBER(SEARCH($A12,'RR1 Player Stats'!$A$3:$A$50))),0),IFERROR(FILTER('RR2 Player Stats'!AJ$3:AJ$50, ISNUMBER(SEARCH($A12,'RR2 Player Stats'!$A$3:$A$50))),0),IFERROR(FILTER('RR3 Player Stats'!AJ$3:AJ$"&amp;"50, ISNUMBER(SEARCH($A12,'RR3 Player Stats'!$A$3:$A$50))),0),IFERROR(FILTER('RR4 Player Stats'!AJ$3:AJ$50, ISNUMBER(SEARCH($A12,'RR4 Player Stats'!$A$3:$A$50))),0),IFERROR(FILTER('RR5 Player Stats'!AJ$3:AJ$50, ISNUMBER(SEARCH($A12,'RR5 Player Stats'!$A$3:"&amp;"$A$50))),0))"),1.0)</f>
        <v>1</v>
      </c>
      <c r="X12" s="57">
        <f>IFERROR(__xludf.DUMMYFUNCTION("MEDIAN(IFERROR(FILTER('RR1 Player Stats'!AK$3:AK$50, ISNUMBER(SEARCH($A12,'RR1 Player Stats'!$A$3:$A$50))),0),IFERROR(FILTER('RR2 Player Stats'!AK$3:AK$50, ISNUMBER(SEARCH($A12,'RR2 Player Stats'!$A$3:$A$50))),0),IFERROR(FILTER('RR3 Player Stats'!AK$3:AK$"&amp;"50, ISNUMBER(SEARCH($A12,'RR3 Player Stats'!$A$3:$A$50))),0),IFERROR(FILTER('RR4 Player Stats'!AK$3:AK$50, ISNUMBER(SEARCH($A12,'RR4 Player Stats'!$A$3:$A$50))),0),IFERROR(FILTER('RR5 Player Stats'!AK$3:AK$50, ISNUMBER(SEARCH($A12,'RR5 Player Stats'!$A$3:"&amp;"$A$50))),0))"),46.0)</f>
        <v>46</v>
      </c>
      <c r="Y12" s="57">
        <f>IFERROR(__xludf.DUMMYFUNCTION("MEDIAN(IFERROR(FILTER('RR1 Player Stats'!AL$3:AL$50, ISNUMBER(SEARCH($A12,'RR1 Player Stats'!$A$3:$A$50))),0),IFERROR(FILTER('RR2 Player Stats'!AL$3:AL$50, ISNUMBER(SEARCH($A12,'RR2 Player Stats'!$A$3:$A$50))),0),IFERROR(FILTER('RR3 Player Stats'!AL$3:AL$"&amp;"50, ISNUMBER(SEARCH($A12,'RR3 Player Stats'!$A$3:$A$50))),0),IFERROR(FILTER('RR4 Player Stats'!AL$3:AL$50, ISNUMBER(SEARCH($A12,'RR4 Player Stats'!$A$3:$A$50))),0),IFERROR(FILTER('RR5 Player Stats'!AL$3:AL$50, ISNUMBER(SEARCH($A12,'RR5 Player Stats'!$A$3:"&amp;"$A$50))),0))"),44.0)</f>
        <v>44</v>
      </c>
      <c r="Z12" s="180">
        <f>IFERROR(__xludf.DUMMYFUNCTION("MEDIAN(IFERROR(FILTER('RR1 Player Stats'!AM$3:AM$50, ISNUMBER(SEARCH($A12,'RR1 Player Stats'!$A$3:$A$50))),0),IFERROR(FILTER('RR2 Player Stats'!AM$3:AM$50, ISNUMBER(SEARCH($A12,'RR2 Player Stats'!$A$3:$A$50))),0),IFERROR(FILTER('RR3 Player Stats'!AM$3:AM$"&amp;"50, ISNUMBER(SEARCH($A12,'RR3 Player Stats'!$A$3:$A$50))),0),IFERROR(FILTER('RR4 Player Stats'!AM$3:AM$50, ISNUMBER(SEARCH($A12,'RR4 Player Stats'!$A$3:$A$50))),0),IFERROR(FILTER('RR5 Player Stats'!AM$3:AM$50, ISNUMBER(SEARCH($A12,'RR5 Player Stats'!$A$3:"&amp;"$A$50))),0))"),0.45)</f>
        <v>0.45</v>
      </c>
    </row>
    <row r="13">
      <c r="A13" s="29" t="s">
        <v>73</v>
      </c>
      <c r="B13" s="48">
        <f>COUNTIF('RR1 Player Stats'!$A$3:$A$50,$A13)+COUNTIF('RR2 Player Stats'!$A$3:$A$50,$A13)+COUNTIF('RR3 Player Stats'!$A$3:$A$50,$A13)+COUNTIF('RR4 Player Stats'!$A$3:$A$50,$A13)+COUNTIF('RR5 Player Stats'!$A$3:$A$50,$A13)</f>
        <v>5</v>
      </c>
      <c r="C13" s="55">
        <f>IFERROR(__xludf.DUMMYFUNCTION("IFERROR(FILTER('RR1 Player Stats'!V$3:V$50, ISNUMBER(SEARCH($A13,'RR1 Player Stats'!$A$3:$A$50))),0)
+IFERROR(FILTER('RR2 Player Stats'!V$3:V$50, ISNUMBER(SEARCH($A13,'RR2 Player Stats'!$A$3:$A$50))),0)
+IFERROR(FILTER('RR3 Player Stats'!V$3:V$50, ISNUMBE"&amp;"R(SEARCH($A13,'RR3 Player Stats'!$A$3:$A$50))),0)
+IFERROR(FILTER('RR4 Player Stats'!V$3:V$50, ISNUMBER(SEARCH($A13,'RR4 Player Stats'!$A$3:$A$50))),0)
+IFERROR(FILTER('RR5 Player Stats'!V$3:V$50, ISNUMBER(SEARCH($A13,'RR5 Player Stats'!$A$3:$A$50))),0)"),15.0)</f>
        <v>15</v>
      </c>
      <c r="D13" s="57">
        <f>IFERROR(__xludf.DUMMYFUNCTION("IFERROR(FILTER('RR1 Player Stats'!W$3:W$50, ISNUMBER(SEARCH($A13,'RR1 Player Stats'!$A$3:$A$50))),0)
+IFERROR(FILTER('RR2 Player Stats'!W$3:W$50, ISNUMBER(SEARCH($A13,'RR2 Player Stats'!$A$3:$A$50))),0)
+IFERROR(FILTER('RR3 Player Stats'!W$3:W$50, ISNUMBE"&amp;"R(SEARCH($A13,'RR3 Player Stats'!$A$3:$A$50))),0)
+IFERROR(FILTER('RR4 Player Stats'!W$3:W$50, ISNUMBER(SEARCH($A13,'RR4 Player Stats'!$A$3:$A$50))),0)
+IFERROR(FILTER('RR5 Player Stats'!W$3:W$50, ISNUMBER(SEARCH($A13,'RR5 Player Stats'!$A$3:$A$50))),0)"),5.0)</f>
        <v>5</v>
      </c>
      <c r="E13" s="57">
        <f>IFERROR(__xludf.DUMMYFUNCTION("IFERROR(FILTER('RR1 Player Stats'!X$3:X$50, ISNUMBER(SEARCH($A13,'RR1 Player Stats'!$A$3:$A$50))),0)
+IFERROR(FILTER('RR2 Player Stats'!X$3:X$50, ISNUMBER(SEARCH($A13,'RR2 Player Stats'!$A$3:$A$50))),0)
+IFERROR(FILTER('RR3 Player Stats'!X$3:X$50, ISNUMBE"&amp;"R(SEARCH($A13,'RR3 Player Stats'!$A$3:$A$50))),0)
+IFERROR(FILTER('RR4 Player Stats'!X$3:X$50, ISNUMBER(SEARCH($A13,'RR4 Player Stats'!$A$3:$A$50))),0)
+IFERROR(FILTER('RR5 Player Stats'!X$3:X$50, ISNUMBER(SEARCH($A13,'RR5 Player Stats'!$A$3:$A$50))),0)"),6.0)</f>
        <v>6</v>
      </c>
      <c r="F13" s="57">
        <f>IFERROR(__xludf.DUMMYFUNCTION("IFERROR(FILTER('RR1 Player Stats'!Y$3:Y$50, ISNUMBER(SEARCH($A13,'RR1 Player Stats'!$A$3:$A$50))),0)
+IFERROR(FILTER('RR2 Player Stats'!Y$3:Y$50, ISNUMBER(SEARCH($A13,'RR2 Player Stats'!$A$3:$A$50))),0)
+IFERROR(FILTER('RR3 Player Stats'!Y$3:Y$50, ISNUMBE"&amp;"R(SEARCH($A13,'RR3 Player Stats'!$A$3:$A$50))),0)
+IFERROR(FILTER('RR4 Player Stats'!Y$3:Y$50, ISNUMBER(SEARCH($A13,'RR4 Player Stats'!$A$3:$A$50))),0)
+IFERROR(FILTER('RR5 Player Stats'!Y$3:Y$50, ISNUMBER(SEARCH($A13,'RR5 Player Stats'!$A$3:$A$50))),0)"),90.0)</f>
        <v>90</v>
      </c>
      <c r="G13" s="57">
        <f>IFERROR(__xludf.DUMMYFUNCTION("IFERROR(FILTER('RR1 Player Stats'!Z$3:Z$50, ISNUMBER(SEARCH($A13,'RR1 Player Stats'!$A$3:$A$50))),0)
+IFERROR(FILTER('RR2 Player Stats'!Z$3:Z$50, ISNUMBER(SEARCH($A13,'RR2 Player Stats'!$A$3:$A$50))),0)
+IFERROR(FILTER('RR3 Player Stats'!Z$3:Z$50, ISNUMBE"&amp;"R(SEARCH($A13,'RR3 Player Stats'!$A$3:$A$50))),0)
+IFERROR(FILTER('RR4 Player Stats'!Z$3:Z$50, ISNUMBER(SEARCH($A13,'RR4 Player Stats'!$A$3:$A$50))),0)
+IFERROR(FILTER('RR5 Player Stats'!Z$3:Z$50, ISNUMBER(SEARCH($A13,'RR5 Player Stats'!$A$3:$A$50))),0)"),66.0)</f>
        <v>66</v>
      </c>
      <c r="H13" s="180">
        <f>IFERROR(__xludf.DUMMYFUNCTION("(IFERROR(FILTER('RR1 Player Stats'!AA$3:AA$50, ISNUMBER(SEARCH($A13,'RR1 Player Stats'!$A$3:$A$50))),0)
+IFERROR(FILTER('RR2 Player Stats'!AA$3:AA$50, ISNUMBER(SEARCH($A13,'RR2 Player Stats'!$A$3:$A$50))),0)
+IFERROR(FILTER('RR3 Player Stats'!AA$3:AA$50, "&amp;"ISNUMBER(SEARCH($A13,'RR3 Player Stats'!$A$3:$A$50))),0)
+IFERROR(FILTER('RR4 Player Stats'!AA$3:AA$50, ISNUMBER(SEARCH($A13,'RR4 Player Stats'!$A$3:$A$50))),0)
+IFERROR(FILTER('RR5 Player Stats'!AA$3:AA$50, ISNUMBER(SEARCH($A13,'RR5 Player Stats'!$A$3:$A"&amp;"$50))),0))/5"),0.33399999999999996)</f>
        <v>0.334</v>
      </c>
      <c r="I13" s="55">
        <f>IFERROR(__xludf.DUMMYFUNCTION("IFERROR(FILTER('RR1 Player Stats'!AB$3:AB$50, ISNUMBER(SEARCH($A13,'RR1 Player Stats'!$A$3:$A$50))),0)
+IFERROR(FILTER('RR2 Player Stats'!AB$3:AB$50, ISNUMBER(SEARCH($A13,'RR2 Player Stats'!$A$3:$A$50))),0)
+IFERROR(FILTER('RR3 Player Stats'!AB$3:AB$50, I"&amp;"SNUMBER(SEARCH($A13,'RR3 Player Stats'!$A$3:$A$50))),0)
+IFERROR(FILTER('RR4 Player Stats'!AB$3:AB$50, ISNUMBER(SEARCH($A13,'RR4 Player Stats'!$A$3:$A$50))),0)
+IFERROR(FILTER('RR5 Player Stats'!AB$3:AB$50, ISNUMBER(SEARCH($A13,'RR5 Player Stats'!$A$3:$A$"&amp;"50))),0)"),10.0)</f>
        <v>10</v>
      </c>
      <c r="J13" s="57">
        <f>IFERROR(__xludf.DUMMYFUNCTION("IFERROR(FILTER('RR1 Player Stats'!AC$3:AC$50, ISNUMBER(SEARCH($A13,'RR1 Player Stats'!$A$3:$A$50))),0)
+IFERROR(FILTER('RR2 Player Stats'!AC$3:AC$50, ISNUMBER(SEARCH($A13,'RR2 Player Stats'!$A$3:$A$50))),0)
+IFERROR(FILTER('RR3 Player Stats'!AC$3:AC$50, I"&amp;"SNUMBER(SEARCH($A13,'RR3 Player Stats'!$A$3:$A$50))),0)
+IFERROR(FILTER('RR4 Player Stats'!AC$3:AC$50, ISNUMBER(SEARCH($A13,'RR4 Player Stats'!$A$3:$A$50))),0)
+IFERROR(FILTER('RR5 Player Stats'!AC$3:AC$50, ISNUMBER(SEARCH($A13,'RR5 Player Stats'!$A$3:$A$"&amp;"50))),0)"),14.0)</f>
        <v>14</v>
      </c>
      <c r="K13" s="57">
        <f>IFERROR(__xludf.DUMMYFUNCTION("IFERROR(FILTER('RR1 Player Stats'!AD$3:AD$50, ISNUMBER(SEARCH($A13,'RR1 Player Stats'!$A$3:$A$50))),0)
+IFERROR(FILTER('RR2 Player Stats'!AD$3:AD$50, ISNUMBER(SEARCH($A13,'RR2 Player Stats'!$A$3:$A$50))),0)
+IFERROR(FILTER('RR3 Player Stats'!AD$3:AD$50, I"&amp;"SNUMBER(SEARCH($A13,'RR3 Player Stats'!$A$3:$A$50))),0)
+IFERROR(FILTER('RR4 Player Stats'!AD$3:AD$50, ISNUMBER(SEARCH($A13,'RR4 Player Stats'!$A$3:$A$50))),0)
+IFERROR(FILTER('RR5 Player Stats'!AD$3:AD$50, ISNUMBER(SEARCH($A13,'RR5 Player Stats'!$A$3:$A$"&amp;"50))),0)"),5.0)</f>
        <v>5</v>
      </c>
      <c r="L13" s="57">
        <f>IFERROR(__xludf.DUMMYFUNCTION("IFERROR(FILTER('RR1 Player Stats'!AE$3:AE$50, ISNUMBER(SEARCH($A13,'RR1 Player Stats'!$A$3:$A$50))),0)
+IFERROR(FILTER('RR2 Player Stats'!AE$3:AE$50, ISNUMBER(SEARCH($A13,'RR2 Player Stats'!$A$3:$A$50))),0)
+IFERROR(FILTER('RR3 Player Stats'!AE$3:AE$50, I"&amp;"SNUMBER(SEARCH($A13,'RR3 Player Stats'!$A$3:$A$50))),0)
+IFERROR(FILTER('RR4 Player Stats'!AE$3:AE$50, ISNUMBER(SEARCH($A13,'RR4 Player Stats'!$A$3:$A$50))),0)
+IFERROR(FILTER('RR5 Player Stats'!AE$3:AE$50, ISNUMBER(SEARCH($A13,'RR5 Player Stats'!$A$3:$A$"&amp;"50))),0)"),124.0)</f>
        <v>124</v>
      </c>
      <c r="M13" s="57">
        <f>IFERROR(__xludf.DUMMYFUNCTION("IFERROR(FILTER('RR1 Player Stats'!AF$3:AF$50, ISNUMBER(SEARCH($A13,'RR1 Player Stats'!$A$3:$A$50))),0)
+IFERROR(FILTER('RR2 Player Stats'!AF$3:AF$50, ISNUMBER(SEARCH($A13,'RR2 Player Stats'!$A$3:$A$50))),0)
+IFERROR(FILTER('RR3 Player Stats'!AF$3:AF$50, I"&amp;"SNUMBER(SEARCH($A13,'RR3 Player Stats'!$A$3:$A$50))),0)
+IFERROR(FILTER('RR4 Player Stats'!AF$3:AF$50, ISNUMBER(SEARCH($A13,'RR4 Player Stats'!$A$3:$A$50))),0)
+IFERROR(FILTER('RR5 Player Stats'!AF$3:AF$50, ISNUMBER(SEARCH($A13,'RR5 Player Stats'!$A$3:$A$"&amp;"50))),0)"),104.0)</f>
        <v>104</v>
      </c>
      <c r="N13" s="180">
        <f>IFERROR(__xludf.DUMMYFUNCTION("(IFERROR(FILTER('RR1 Player Stats'!AG$3:AG$50, ISNUMBER(SEARCH($A13,'RR1 Player Stats'!$A$3:$A$50))),0)
+IFERROR(FILTER('RR2 Player Stats'!AG$3:AG$50, ISNUMBER(SEARCH($A13,'RR2 Player Stats'!$A$3:$A$50))),0)
+IFERROR(FILTER('RR3 Player Stats'!AG$3:AG$50, "&amp;"ISNUMBER(SEARCH($A13,'RR3 Player Stats'!$A$3:$A$50))),0)
+IFERROR(FILTER('RR4 Player Stats'!AG$3:AG$50, ISNUMBER(SEARCH($A13,'RR4 Player Stats'!$A$3:$A$50))),0)
+IFERROR(FILTER('RR5 Player Stats'!AG$3:AG$50, ISNUMBER(SEARCH($A13,'RR5 Player Stats'!$A$3:$A"&amp;"$50))),0))/5"),0.602)</f>
        <v>0.602</v>
      </c>
      <c r="O13" s="55">
        <f>IFERROR(__xludf.DUMMYFUNCTION("IFERROR(FILTER('RR1 Player Stats'!AH$3:AH$50, ISNUMBER(SEARCH($A13,'RR1 Player Stats'!$A$3:$A$50))),0)
+IFERROR(FILTER('RR2 Player Stats'!AH$3:AH$50, ISNUMBER(SEARCH($A13,'RR2 Player Stats'!$A$3:$A$50))),0)
+IFERROR(FILTER('RR3 Player Stats'!AH$3:AH$50, I"&amp;"SNUMBER(SEARCH($A13,'RR3 Player Stats'!$A$3:$A$50))),0)
+IFERROR(FILTER('RR4 Player Stats'!AH$3:AH$50, ISNUMBER(SEARCH($A13,'RR4 Player Stats'!$A$3:$A$50))),0)
+IFERROR(FILTER('RR5 Player Stats'!AH$3:AH$50, ISNUMBER(SEARCH($A13,'RR5 Player Stats'!$A$3:$A$"&amp;"50))),0)"),25.0)</f>
        <v>25</v>
      </c>
      <c r="P13" s="57">
        <f>IFERROR(__xludf.DUMMYFUNCTION("IFERROR(FILTER('RR1 Player Stats'!AI$3:AI$50, ISNUMBER(SEARCH($A13,'RR1 Player Stats'!$A$3:$A$50))),0)
+IFERROR(FILTER('RR2 Player Stats'!AI$3:AI$50, ISNUMBER(SEARCH($A13,'RR2 Player Stats'!$A$3:$A$50))),0)
+IFERROR(FILTER('RR3 Player Stats'!AI$3:AI$50, I"&amp;"SNUMBER(SEARCH($A13,'RR3 Player Stats'!$A$3:$A$50))),0)
+IFERROR(FILTER('RR4 Player Stats'!AI$3:AI$50, ISNUMBER(SEARCH($A13,'RR4 Player Stats'!$A$3:$A$50))),0)
+IFERROR(FILTER('RR5 Player Stats'!AI$3:AI$50, ISNUMBER(SEARCH($A13,'RR5 Player Stats'!$A$3:$A$"&amp;"50))),0)"),19.0)</f>
        <v>19</v>
      </c>
      <c r="Q13" s="57">
        <f>IFERROR(__xludf.DUMMYFUNCTION("IFERROR(FILTER('RR1 Player Stats'!AJ$3:AJ$50, ISNUMBER(SEARCH($A13,'RR1 Player Stats'!$A$3:$A$50))),0)
+IFERROR(FILTER('RR2 Player Stats'!AJ$3:AJ$50, ISNUMBER(SEARCH($A13,'RR2 Player Stats'!$A$3:$A$50))),0)
+IFERROR(FILTER('RR3 Player Stats'!AJ$3:AJ$50, I"&amp;"SNUMBER(SEARCH($A13,'RR3 Player Stats'!$A$3:$A$50))),0)
+IFERROR(FILTER('RR4 Player Stats'!AJ$3:AJ$50, ISNUMBER(SEARCH($A13,'RR4 Player Stats'!$A$3:$A$50))),0)
+IFERROR(FILTER('RR5 Player Stats'!AJ$3:AJ$50, ISNUMBER(SEARCH($A13,'RR5 Player Stats'!$A$3:$A$"&amp;"50))),0)"),11.0)</f>
        <v>11</v>
      </c>
      <c r="R13" s="57">
        <f>IFERROR(__xludf.DUMMYFUNCTION("IFERROR(FILTER('RR1 Player Stats'!AK$3:AK$50, ISNUMBER(SEARCH($A13,'RR1 Player Stats'!$A$3:$A$50))),0)
+IFERROR(FILTER('RR2 Player Stats'!AK$3:AK$50, ISNUMBER(SEARCH($A13,'RR2 Player Stats'!$A$3:$A$50))),0)
+IFERROR(FILTER('RR3 Player Stats'!AK$3:AK$50, I"&amp;"SNUMBER(SEARCH($A13,'RR3 Player Stats'!$A$3:$A$50))),0)
+IFERROR(FILTER('RR4 Player Stats'!AK$3:AK$50, ISNUMBER(SEARCH($A13,'RR4 Player Stats'!$A$3:$A$50))),0)
+IFERROR(FILTER('RR5 Player Stats'!AK$3:AK$50, ISNUMBER(SEARCH($A13,'RR5 Player Stats'!$A$3:$A$"&amp;"50))),0)"),214.0)</f>
        <v>214</v>
      </c>
      <c r="S13" s="57">
        <f>IFERROR(__xludf.DUMMYFUNCTION("IFERROR(FILTER('RR1 Player Stats'!AL$3:AL$50, ISNUMBER(SEARCH($A13,'RR1 Player Stats'!$A$3:$A$50))),0)
+IFERROR(FILTER('RR2 Player Stats'!AL$3:AL$50, ISNUMBER(SEARCH($A13,'RR2 Player Stats'!$A$3:$A$50))),0)
+IFERROR(FILTER('RR3 Player Stats'!AL$3:AL$50, I"&amp;"SNUMBER(SEARCH($A13,'RR3 Player Stats'!$A$3:$A$50))),0)
+IFERROR(FILTER('RR4 Player Stats'!AL$3:AL$50, ISNUMBER(SEARCH($A13,'RR4 Player Stats'!$A$3:$A$50))),0)
+IFERROR(FILTER('RR5 Player Stats'!AL$3:AL$50, ISNUMBER(SEARCH($A13,'RR5 Player Stats'!$A$3:$A$"&amp;"50))),0)"),170.0)</f>
        <v>170</v>
      </c>
      <c r="T13" s="180">
        <f>IFERROR(__xludf.DUMMYFUNCTION("(IFERROR(FILTER('RR1 Player Stats'!AM$3:AM$50, ISNUMBER(SEARCH($A13,'RR1 Player Stats'!$A$3:$A$50))),0)
+IFERROR(FILTER('RR2 Player Stats'!AM$3:AM$50, ISNUMBER(SEARCH($A13,'RR2 Player Stats'!$A$3:$A$50))),0)
+IFERROR(FILTER('RR3 Player Stats'!AM$3:AM$50, "&amp;"ISNUMBER(SEARCH($A13,'RR3 Player Stats'!$A$3:$A$50))),0)
+IFERROR(FILTER('RR4 Player Stats'!AM$3:AM$50, ISNUMBER(SEARCH($A13,'RR4 Player Stats'!$A$3:$A$50))),0)
+IFERROR(FILTER('RR5 Player Stats'!AM$3:AM$50, ISNUMBER(SEARCH($A13,'RR5 Player Stats'!$A$3:$A"&amp;"$50))),0))/B13"),0.44000000000000006)</f>
        <v>0.44</v>
      </c>
      <c r="U13" s="55">
        <f>IFERROR(__xludf.DUMMYFUNCTION("MEDIAN(IFERROR(FILTER('RR1 Player Stats'!AH$3:AH$50, ISNUMBER(SEARCH($A13,'RR1 Player Stats'!$A$3:$A$50))),0),IFERROR(FILTER('RR2 Player Stats'!AH$3:AH$50, ISNUMBER(SEARCH($A13,'RR2 Player Stats'!$A$3:$A$50))),0),IFERROR(FILTER('RR3 Player Stats'!AH$3:AH$"&amp;"50, ISNUMBER(SEARCH($A13,'RR3 Player Stats'!$A$3:$A$50))),0),IFERROR(FILTER('RR4 Player Stats'!AH$3:AH$50, ISNUMBER(SEARCH($A13,'RR4 Player Stats'!$A$3:$A$50))),0),IFERROR(FILTER('RR5 Player Stats'!AH$3:AH$50, ISNUMBER(SEARCH($A13,'RR5 Player Stats'!$A$3:"&amp;"$A$50))),0))"),4.0)</f>
        <v>4</v>
      </c>
      <c r="V13" s="57">
        <f>IFERROR(__xludf.DUMMYFUNCTION("MEDIAN(IFERROR(FILTER('RR1 Player Stats'!AI$3:AI$50, ISNUMBER(SEARCH($A13,'RR1 Player Stats'!$A$3:$A$50))),0),IFERROR(FILTER('RR2 Player Stats'!AI$3:AI$50, ISNUMBER(SEARCH($A13,'RR2 Player Stats'!$A$3:$A$50))),0),IFERROR(FILTER('RR3 Player Stats'!AI$3:AI$"&amp;"50, ISNUMBER(SEARCH($A13,'RR3 Player Stats'!$A$3:$A$50))),0),IFERROR(FILTER('RR4 Player Stats'!AI$3:AI$50, ISNUMBER(SEARCH($A13,'RR4 Player Stats'!$A$3:$A$50))),0),IFERROR(FILTER('RR5 Player Stats'!AI$3:AI$50, ISNUMBER(SEARCH($A13,'RR5 Player Stats'!$A$3:"&amp;"$A$50))),0))"),4.0)</f>
        <v>4</v>
      </c>
      <c r="W13" s="57">
        <f>IFERROR(__xludf.DUMMYFUNCTION("MEDIAN(IFERROR(FILTER('RR1 Player Stats'!AJ$3:AJ$50, ISNUMBER(SEARCH($A13,'RR1 Player Stats'!$A$3:$A$50))),0),IFERROR(FILTER('RR2 Player Stats'!AJ$3:AJ$50, ISNUMBER(SEARCH($A13,'RR2 Player Stats'!$A$3:$A$50))),0),IFERROR(FILTER('RR3 Player Stats'!AJ$3:AJ$"&amp;"50, ISNUMBER(SEARCH($A13,'RR3 Player Stats'!$A$3:$A$50))),0),IFERROR(FILTER('RR4 Player Stats'!AJ$3:AJ$50, ISNUMBER(SEARCH($A13,'RR4 Player Stats'!$A$3:$A$50))),0),IFERROR(FILTER('RR5 Player Stats'!AJ$3:AJ$50, ISNUMBER(SEARCH($A13,'RR5 Player Stats'!$A$3:"&amp;"$A$50))),0))"),2.0)</f>
        <v>2</v>
      </c>
      <c r="X13" s="57">
        <f>IFERROR(__xludf.DUMMYFUNCTION("MEDIAN(IFERROR(FILTER('RR1 Player Stats'!AK$3:AK$50, ISNUMBER(SEARCH($A13,'RR1 Player Stats'!$A$3:$A$50))),0),IFERROR(FILTER('RR2 Player Stats'!AK$3:AK$50, ISNUMBER(SEARCH($A13,'RR2 Player Stats'!$A$3:$A$50))),0),IFERROR(FILTER('RR3 Player Stats'!AK$3:AK$"&amp;"50, ISNUMBER(SEARCH($A13,'RR3 Player Stats'!$A$3:$A$50))),0),IFERROR(FILTER('RR4 Player Stats'!AK$3:AK$50, ISNUMBER(SEARCH($A13,'RR4 Player Stats'!$A$3:$A$50))),0),IFERROR(FILTER('RR5 Player Stats'!AK$3:AK$50, ISNUMBER(SEARCH($A13,'RR5 Player Stats'!$A$3:"&amp;"$A$50))),0))"),40.0)</f>
        <v>40</v>
      </c>
      <c r="Y13" s="57">
        <f>IFERROR(__xludf.DUMMYFUNCTION("MEDIAN(IFERROR(FILTER('RR1 Player Stats'!AL$3:AL$50, ISNUMBER(SEARCH($A13,'RR1 Player Stats'!$A$3:$A$50))),0),IFERROR(FILTER('RR2 Player Stats'!AL$3:AL$50, ISNUMBER(SEARCH($A13,'RR2 Player Stats'!$A$3:$A$50))),0),IFERROR(FILTER('RR3 Player Stats'!AL$3:AL$"&amp;"50, ISNUMBER(SEARCH($A13,'RR3 Player Stats'!$A$3:$A$50))),0),IFERROR(FILTER('RR4 Player Stats'!AL$3:AL$50, ISNUMBER(SEARCH($A13,'RR4 Player Stats'!$A$3:$A$50))),0),IFERROR(FILTER('RR5 Player Stats'!AL$3:AL$50, ISNUMBER(SEARCH($A13,'RR5 Player Stats'!$A$3:"&amp;"$A$50))),0))"),34.0)</f>
        <v>34</v>
      </c>
      <c r="Z13" s="180">
        <f>IFERROR(__xludf.DUMMYFUNCTION("MEDIAN(IFERROR(FILTER('RR1 Player Stats'!AM$3:AM$50, ISNUMBER(SEARCH($A13,'RR1 Player Stats'!$A$3:$A$50))),0),IFERROR(FILTER('RR2 Player Stats'!AM$3:AM$50, ISNUMBER(SEARCH($A13,'RR2 Player Stats'!$A$3:$A$50))),0),IFERROR(FILTER('RR3 Player Stats'!AM$3:AM$"&amp;"50, ISNUMBER(SEARCH($A13,'RR3 Player Stats'!$A$3:$A$50))),0),IFERROR(FILTER('RR4 Player Stats'!AM$3:AM$50, ISNUMBER(SEARCH($A13,'RR4 Player Stats'!$A$3:$A$50))),0),IFERROR(FILTER('RR5 Player Stats'!AM$3:AM$50, ISNUMBER(SEARCH($A13,'RR5 Player Stats'!$A$3:"&amp;"$A$50))),0))"),0.45)</f>
        <v>0.45</v>
      </c>
    </row>
    <row r="14">
      <c r="A14" s="29" t="s">
        <v>62</v>
      </c>
      <c r="B14" s="48">
        <f>COUNTIF('RR1 Player Stats'!$A$3:$A$50,$A14)+COUNTIF('RR2 Player Stats'!$A$3:$A$50,$A14)+COUNTIF('RR3 Player Stats'!$A$3:$A$50,$A14)+COUNTIF('RR4 Player Stats'!$A$3:$A$50,$A14)+COUNTIF('RR5 Player Stats'!$A$3:$A$50,$A14)</f>
        <v>5</v>
      </c>
      <c r="C14" s="55">
        <f>IFERROR(__xludf.DUMMYFUNCTION("IFERROR(FILTER('RR1 Player Stats'!V$3:V$50, ISNUMBER(SEARCH($A14,'RR1 Player Stats'!$A$3:$A$50))),0)
+IFERROR(FILTER('RR2 Player Stats'!V$3:V$50, ISNUMBER(SEARCH($A14,'RR2 Player Stats'!$A$3:$A$50))),0)
+IFERROR(FILTER('RR3 Player Stats'!V$3:V$50, ISNUMBE"&amp;"R(SEARCH($A14,'RR3 Player Stats'!$A$3:$A$50))),0)
+IFERROR(FILTER('RR4 Player Stats'!V$3:V$50, ISNUMBER(SEARCH($A14,'RR4 Player Stats'!$A$3:$A$50))),0)
+IFERROR(FILTER('RR5 Player Stats'!V$3:V$50, ISNUMBER(SEARCH($A14,'RR5 Player Stats'!$A$3:$A$50))),0)"),12.0)</f>
        <v>12</v>
      </c>
      <c r="D14" s="57">
        <f>IFERROR(__xludf.DUMMYFUNCTION("IFERROR(FILTER('RR1 Player Stats'!W$3:W$50, ISNUMBER(SEARCH($A14,'RR1 Player Stats'!$A$3:$A$50))),0)
+IFERROR(FILTER('RR2 Player Stats'!W$3:W$50, ISNUMBER(SEARCH($A14,'RR2 Player Stats'!$A$3:$A$50))),0)
+IFERROR(FILTER('RR3 Player Stats'!W$3:W$50, ISNUMBE"&amp;"R(SEARCH($A14,'RR3 Player Stats'!$A$3:$A$50))),0)
+IFERROR(FILTER('RR4 Player Stats'!W$3:W$50, ISNUMBER(SEARCH($A14,'RR4 Player Stats'!$A$3:$A$50))),0)
+IFERROR(FILTER('RR5 Player Stats'!W$3:W$50, ISNUMBER(SEARCH($A14,'RR5 Player Stats'!$A$3:$A$50))),0)"),14.0)</f>
        <v>14</v>
      </c>
      <c r="E14" s="57">
        <f>IFERROR(__xludf.DUMMYFUNCTION("IFERROR(FILTER('RR1 Player Stats'!X$3:X$50, ISNUMBER(SEARCH($A14,'RR1 Player Stats'!$A$3:$A$50))),0)
+IFERROR(FILTER('RR2 Player Stats'!X$3:X$50, ISNUMBER(SEARCH($A14,'RR2 Player Stats'!$A$3:$A$50))),0)
+IFERROR(FILTER('RR3 Player Stats'!X$3:X$50, ISNUMBE"&amp;"R(SEARCH($A14,'RR3 Player Stats'!$A$3:$A$50))),0)
+IFERROR(FILTER('RR4 Player Stats'!X$3:X$50, ISNUMBER(SEARCH($A14,'RR4 Player Stats'!$A$3:$A$50))),0)
+IFERROR(FILTER('RR5 Player Stats'!X$3:X$50, ISNUMBER(SEARCH($A14,'RR5 Player Stats'!$A$3:$A$50))),0)"),12.0)</f>
        <v>12</v>
      </c>
      <c r="F14" s="57">
        <f>IFERROR(__xludf.DUMMYFUNCTION("IFERROR(FILTER('RR1 Player Stats'!Y$3:Y$50, ISNUMBER(SEARCH($A14,'RR1 Player Stats'!$A$3:$A$50))),0)
+IFERROR(FILTER('RR2 Player Stats'!Y$3:Y$50, ISNUMBER(SEARCH($A14,'RR2 Player Stats'!$A$3:$A$50))),0)
+IFERROR(FILTER('RR3 Player Stats'!Y$3:Y$50, ISNUMBE"&amp;"R(SEARCH($A14,'RR3 Player Stats'!$A$3:$A$50))),0)
+IFERROR(FILTER('RR4 Player Stats'!Y$3:Y$50, ISNUMBER(SEARCH($A14,'RR4 Player Stats'!$A$3:$A$50))),0)
+IFERROR(FILTER('RR5 Player Stats'!Y$3:Y$50, ISNUMBER(SEARCH($A14,'RR5 Player Stats'!$A$3:$A$50))),0)"),132.0)</f>
        <v>132</v>
      </c>
      <c r="G14" s="57">
        <f>IFERROR(__xludf.DUMMYFUNCTION("IFERROR(FILTER('RR1 Player Stats'!Z$3:Z$50, ISNUMBER(SEARCH($A14,'RR1 Player Stats'!$A$3:$A$50))),0)
+IFERROR(FILTER('RR2 Player Stats'!Z$3:Z$50, ISNUMBER(SEARCH($A14,'RR2 Player Stats'!$A$3:$A$50))),0)
+IFERROR(FILTER('RR3 Player Stats'!Z$3:Z$50, ISNUMBE"&amp;"R(SEARCH($A14,'RR3 Player Stats'!$A$3:$A$50))),0)
+IFERROR(FILTER('RR4 Player Stats'!Z$3:Z$50, ISNUMBER(SEARCH($A14,'RR4 Player Stats'!$A$3:$A$50))),0)
+IFERROR(FILTER('RR5 Player Stats'!Z$3:Z$50, ISNUMBER(SEARCH($A14,'RR5 Player Stats'!$A$3:$A$50))),0)"),84.0)</f>
        <v>84</v>
      </c>
      <c r="H14" s="180">
        <f>IFERROR(__xludf.DUMMYFUNCTION("(IFERROR(FILTER('RR1 Player Stats'!AA$3:AA$50, ISNUMBER(SEARCH($A14,'RR1 Player Stats'!$A$3:$A$50))),0)
+IFERROR(FILTER('RR2 Player Stats'!AA$3:AA$50, ISNUMBER(SEARCH($A14,'RR2 Player Stats'!$A$3:$A$50))),0)
+IFERROR(FILTER('RR3 Player Stats'!AA$3:AA$50, "&amp;"ISNUMBER(SEARCH($A14,'RR3 Player Stats'!$A$3:$A$50))),0)
+IFERROR(FILTER('RR4 Player Stats'!AA$3:AA$50, ISNUMBER(SEARCH($A14,'RR4 Player Stats'!$A$3:$A$50))),0)
+IFERROR(FILTER('RR5 Player Stats'!AA$3:AA$50, ISNUMBER(SEARCH($A14,'RR5 Player Stats'!$A$3:$A"&amp;"$50))),0))/5"),0.43200000000000005)</f>
        <v>0.432</v>
      </c>
      <c r="I14" s="55">
        <f>IFERROR(__xludf.DUMMYFUNCTION("IFERROR(FILTER('RR1 Player Stats'!AB$3:AB$50, ISNUMBER(SEARCH($A14,'RR1 Player Stats'!$A$3:$A$50))),0)
+IFERROR(FILTER('RR2 Player Stats'!AB$3:AB$50, ISNUMBER(SEARCH($A14,'RR2 Player Stats'!$A$3:$A$50))),0)
+IFERROR(FILTER('RR3 Player Stats'!AB$3:AB$50, I"&amp;"SNUMBER(SEARCH($A14,'RR3 Player Stats'!$A$3:$A$50))),0)
+IFERROR(FILTER('RR4 Player Stats'!AB$3:AB$50, ISNUMBER(SEARCH($A14,'RR4 Player Stats'!$A$3:$A$50))),0)
+IFERROR(FILTER('RR5 Player Stats'!AB$3:AB$50, ISNUMBER(SEARCH($A14,'RR5 Player Stats'!$A$3:$A$"&amp;"50))),0)"),13.0)</f>
        <v>13</v>
      </c>
      <c r="J14" s="57">
        <f>IFERROR(__xludf.DUMMYFUNCTION("IFERROR(FILTER('RR1 Player Stats'!AC$3:AC$50, ISNUMBER(SEARCH($A14,'RR1 Player Stats'!$A$3:$A$50))),0)
+IFERROR(FILTER('RR2 Player Stats'!AC$3:AC$50, ISNUMBER(SEARCH($A14,'RR2 Player Stats'!$A$3:$A$50))),0)
+IFERROR(FILTER('RR3 Player Stats'!AC$3:AC$50, I"&amp;"SNUMBER(SEARCH($A14,'RR3 Player Stats'!$A$3:$A$50))),0)
+IFERROR(FILTER('RR4 Player Stats'!AC$3:AC$50, ISNUMBER(SEARCH($A14,'RR4 Player Stats'!$A$3:$A$50))),0)
+IFERROR(FILTER('RR5 Player Stats'!AC$3:AC$50, ISNUMBER(SEARCH($A14,'RR5 Player Stats'!$A$3:$A$"&amp;"50))),0)"),4.0)</f>
        <v>4</v>
      </c>
      <c r="K14" s="57">
        <f>IFERROR(__xludf.DUMMYFUNCTION("IFERROR(FILTER('RR1 Player Stats'!AD$3:AD$50, ISNUMBER(SEARCH($A14,'RR1 Player Stats'!$A$3:$A$50))),0)
+IFERROR(FILTER('RR2 Player Stats'!AD$3:AD$50, ISNUMBER(SEARCH($A14,'RR2 Player Stats'!$A$3:$A$50))),0)
+IFERROR(FILTER('RR3 Player Stats'!AD$3:AD$50, I"&amp;"SNUMBER(SEARCH($A14,'RR3 Player Stats'!$A$3:$A$50))),0)
+IFERROR(FILTER('RR4 Player Stats'!AD$3:AD$50, ISNUMBER(SEARCH($A14,'RR4 Player Stats'!$A$3:$A$50))),0)
+IFERROR(FILTER('RR5 Player Stats'!AD$3:AD$50, ISNUMBER(SEARCH($A14,'RR5 Player Stats'!$A$3:$A$"&amp;"50))),0)"),5.0)</f>
        <v>5</v>
      </c>
      <c r="L14" s="57">
        <f>IFERROR(__xludf.DUMMYFUNCTION("IFERROR(FILTER('RR1 Player Stats'!AE$3:AE$50, ISNUMBER(SEARCH($A14,'RR1 Player Stats'!$A$3:$A$50))),0)
+IFERROR(FILTER('RR2 Player Stats'!AE$3:AE$50, ISNUMBER(SEARCH($A14,'RR2 Player Stats'!$A$3:$A$50))),0)
+IFERROR(FILTER('RR3 Player Stats'!AE$3:AE$50, I"&amp;"SNUMBER(SEARCH($A14,'RR3 Player Stats'!$A$3:$A$50))),0)
+IFERROR(FILTER('RR4 Player Stats'!AE$3:AE$50, ISNUMBER(SEARCH($A14,'RR4 Player Stats'!$A$3:$A$50))),0)
+IFERROR(FILTER('RR5 Player Stats'!AE$3:AE$50, ISNUMBER(SEARCH($A14,'RR5 Player Stats'!$A$3:$A$"&amp;"50))),0)"),76.0)</f>
        <v>76</v>
      </c>
      <c r="M14" s="57">
        <f>IFERROR(__xludf.DUMMYFUNCTION("IFERROR(FILTER('RR1 Player Stats'!AF$3:AF$50, ISNUMBER(SEARCH($A14,'RR1 Player Stats'!$A$3:$A$50))),0)
+IFERROR(FILTER('RR2 Player Stats'!AF$3:AF$50, ISNUMBER(SEARCH($A14,'RR2 Player Stats'!$A$3:$A$50))),0)
+IFERROR(FILTER('RR3 Player Stats'!AF$3:AF$50, I"&amp;"SNUMBER(SEARCH($A14,'RR3 Player Stats'!$A$3:$A$50))),0)
+IFERROR(FILTER('RR4 Player Stats'!AF$3:AF$50, ISNUMBER(SEARCH($A14,'RR4 Player Stats'!$A$3:$A$50))),0)
+IFERROR(FILTER('RR5 Player Stats'!AF$3:AF$50, ISNUMBER(SEARCH($A14,'RR5 Player Stats'!$A$3:$A$"&amp;"50))),0)"),56.0)</f>
        <v>56</v>
      </c>
      <c r="N14" s="180">
        <f>IFERROR(__xludf.DUMMYFUNCTION("(IFERROR(FILTER('RR1 Player Stats'!AG$3:AG$50, ISNUMBER(SEARCH($A14,'RR1 Player Stats'!$A$3:$A$50))),0)
+IFERROR(FILTER('RR2 Player Stats'!AG$3:AG$50, ISNUMBER(SEARCH($A14,'RR2 Player Stats'!$A$3:$A$50))),0)
+IFERROR(FILTER('RR3 Player Stats'!AG$3:AG$50, "&amp;"ISNUMBER(SEARCH($A14,'RR3 Player Stats'!$A$3:$A$50))),0)
+IFERROR(FILTER('RR4 Player Stats'!AG$3:AG$50, ISNUMBER(SEARCH($A14,'RR4 Player Stats'!$A$3:$A$50))),0)
+IFERROR(FILTER('RR5 Player Stats'!AG$3:AG$50, ISNUMBER(SEARCH($A14,'RR5 Player Stats'!$A$3:$A"&amp;"$50))),0))/5"),0.42800000000000005)</f>
        <v>0.428</v>
      </c>
      <c r="O14" s="55">
        <f>IFERROR(__xludf.DUMMYFUNCTION("IFERROR(FILTER('RR1 Player Stats'!AH$3:AH$50, ISNUMBER(SEARCH($A14,'RR1 Player Stats'!$A$3:$A$50))),0)
+IFERROR(FILTER('RR2 Player Stats'!AH$3:AH$50, ISNUMBER(SEARCH($A14,'RR2 Player Stats'!$A$3:$A$50))),0)
+IFERROR(FILTER('RR3 Player Stats'!AH$3:AH$50, I"&amp;"SNUMBER(SEARCH($A14,'RR3 Player Stats'!$A$3:$A$50))),0)
+IFERROR(FILTER('RR4 Player Stats'!AH$3:AH$50, ISNUMBER(SEARCH($A14,'RR4 Player Stats'!$A$3:$A$50))),0)
+IFERROR(FILTER('RR5 Player Stats'!AH$3:AH$50, ISNUMBER(SEARCH($A14,'RR5 Player Stats'!$A$3:$A$"&amp;"50))),0)"),25.0)</f>
        <v>25</v>
      </c>
      <c r="P14" s="57">
        <f>IFERROR(__xludf.DUMMYFUNCTION("IFERROR(FILTER('RR1 Player Stats'!AI$3:AI$50, ISNUMBER(SEARCH($A14,'RR1 Player Stats'!$A$3:$A$50))),0)
+IFERROR(FILTER('RR2 Player Stats'!AI$3:AI$50, ISNUMBER(SEARCH($A14,'RR2 Player Stats'!$A$3:$A$50))),0)
+IFERROR(FILTER('RR3 Player Stats'!AI$3:AI$50, I"&amp;"SNUMBER(SEARCH($A14,'RR3 Player Stats'!$A$3:$A$50))),0)
+IFERROR(FILTER('RR4 Player Stats'!AI$3:AI$50, ISNUMBER(SEARCH($A14,'RR4 Player Stats'!$A$3:$A$50))),0)
+IFERROR(FILTER('RR5 Player Stats'!AI$3:AI$50, ISNUMBER(SEARCH($A14,'RR5 Player Stats'!$A$3:$A$"&amp;"50))),0)"),18.0)</f>
        <v>18</v>
      </c>
      <c r="Q14" s="57">
        <f>IFERROR(__xludf.DUMMYFUNCTION("IFERROR(FILTER('RR1 Player Stats'!AJ$3:AJ$50, ISNUMBER(SEARCH($A14,'RR1 Player Stats'!$A$3:$A$50))),0)
+IFERROR(FILTER('RR2 Player Stats'!AJ$3:AJ$50, ISNUMBER(SEARCH($A14,'RR2 Player Stats'!$A$3:$A$50))),0)
+IFERROR(FILTER('RR3 Player Stats'!AJ$3:AJ$50, I"&amp;"SNUMBER(SEARCH($A14,'RR3 Player Stats'!$A$3:$A$50))),0)
+IFERROR(FILTER('RR4 Player Stats'!AJ$3:AJ$50, ISNUMBER(SEARCH($A14,'RR4 Player Stats'!$A$3:$A$50))),0)
+IFERROR(FILTER('RR5 Player Stats'!AJ$3:AJ$50, ISNUMBER(SEARCH($A14,'RR5 Player Stats'!$A$3:$A$"&amp;"50))),0)"),17.0)</f>
        <v>17</v>
      </c>
      <c r="R14" s="57">
        <f>IFERROR(__xludf.DUMMYFUNCTION("IFERROR(FILTER('RR1 Player Stats'!AK$3:AK$50, ISNUMBER(SEARCH($A14,'RR1 Player Stats'!$A$3:$A$50))),0)
+IFERROR(FILTER('RR2 Player Stats'!AK$3:AK$50, ISNUMBER(SEARCH($A14,'RR2 Player Stats'!$A$3:$A$50))),0)
+IFERROR(FILTER('RR3 Player Stats'!AK$3:AK$50, I"&amp;"SNUMBER(SEARCH($A14,'RR3 Player Stats'!$A$3:$A$50))),0)
+IFERROR(FILTER('RR4 Player Stats'!AK$3:AK$50, ISNUMBER(SEARCH($A14,'RR4 Player Stats'!$A$3:$A$50))),0)
+IFERROR(FILTER('RR5 Player Stats'!AK$3:AK$50, ISNUMBER(SEARCH($A14,'RR5 Player Stats'!$A$3:$A$"&amp;"50))),0)"),208.0)</f>
        <v>208</v>
      </c>
      <c r="S14" s="57">
        <f>IFERROR(__xludf.DUMMYFUNCTION("IFERROR(FILTER('RR1 Player Stats'!AL$3:AL$50, ISNUMBER(SEARCH($A14,'RR1 Player Stats'!$A$3:$A$50))),0)
+IFERROR(FILTER('RR2 Player Stats'!AL$3:AL$50, ISNUMBER(SEARCH($A14,'RR2 Player Stats'!$A$3:$A$50))),0)
+IFERROR(FILTER('RR3 Player Stats'!AL$3:AL$50, I"&amp;"SNUMBER(SEARCH($A14,'RR3 Player Stats'!$A$3:$A$50))),0)
+IFERROR(FILTER('RR4 Player Stats'!AL$3:AL$50, ISNUMBER(SEARCH($A14,'RR4 Player Stats'!$A$3:$A$50))),0)
+IFERROR(FILTER('RR5 Player Stats'!AL$3:AL$50, ISNUMBER(SEARCH($A14,'RR5 Player Stats'!$A$3:$A$"&amp;"50))),0)"),140.0)</f>
        <v>140</v>
      </c>
      <c r="T14" s="180">
        <f>IFERROR(__xludf.DUMMYFUNCTION("(IFERROR(FILTER('RR1 Player Stats'!AM$3:AM$50, ISNUMBER(SEARCH($A14,'RR1 Player Stats'!$A$3:$A$50))),0)
+IFERROR(FILTER('RR2 Player Stats'!AM$3:AM$50, ISNUMBER(SEARCH($A14,'RR2 Player Stats'!$A$3:$A$50))),0)
+IFERROR(FILTER('RR3 Player Stats'!AM$3:AM$50, "&amp;"ISNUMBER(SEARCH($A14,'RR3 Player Stats'!$A$3:$A$50))),0)
+IFERROR(FILTER('RR4 Player Stats'!AM$3:AM$50, ISNUMBER(SEARCH($A14,'RR4 Player Stats'!$A$3:$A$50))),0)
+IFERROR(FILTER('RR5 Player Stats'!AM$3:AM$50, ISNUMBER(SEARCH($A14,'RR5 Player Stats'!$A$3:$A"&amp;"$50))),0))/B14"),0.43)</f>
        <v>0.43</v>
      </c>
      <c r="U14" s="55">
        <f>IFERROR(__xludf.DUMMYFUNCTION("MEDIAN(IFERROR(FILTER('RR1 Player Stats'!AH$3:AH$50, ISNUMBER(SEARCH($A14,'RR1 Player Stats'!$A$3:$A$50))),0),IFERROR(FILTER('RR2 Player Stats'!AH$3:AH$50, ISNUMBER(SEARCH($A14,'RR2 Player Stats'!$A$3:$A$50))),0),IFERROR(FILTER('RR3 Player Stats'!AH$3:AH$"&amp;"50, ISNUMBER(SEARCH($A14,'RR3 Player Stats'!$A$3:$A$50))),0),IFERROR(FILTER('RR4 Player Stats'!AH$3:AH$50, ISNUMBER(SEARCH($A14,'RR4 Player Stats'!$A$3:$A$50))),0),IFERROR(FILTER('RR5 Player Stats'!AH$3:AH$50, ISNUMBER(SEARCH($A14,'RR5 Player Stats'!$A$3:"&amp;"$A$50))),0))"),4.0)</f>
        <v>4</v>
      </c>
      <c r="V14" s="57">
        <f>IFERROR(__xludf.DUMMYFUNCTION("MEDIAN(IFERROR(FILTER('RR1 Player Stats'!AI$3:AI$50, ISNUMBER(SEARCH($A14,'RR1 Player Stats'!$A$3:$A$50))),0),IFERROR(FILTER('RR2 Player Stats'!AI$3:AI$50, ISNUMBER(SEARCH($A14,'RR2 Player Stats'!$A$3:$A$50))),0),IFERROR(FILTER('RR3 Player Stats'!AI$3:AI$"&amp;"50, ISNUMBER(SEARCH($A14,'RR3 Player Stats'!$A$3:$A$50))),0),IFERROR(FILTER('RR4 Player Stats'!AI$3:AI$50, ISNUMBER(SEARCH($A14,'RR4 Player Stats'!$A$3:$A$50))),0),IFERROR(FILTER('RR5 Player Stats'!AI$3:AI$50, ISNUMBER(SEARCH($A14,'RR5 Player Stats'!$A$3:"&amp;"$A$50))),0))"),3.0)</f>
        <v>3</v>
      </c>
      <c r="W14" s="57">
        <f>IFERROR(__xludf.DUMMYFUNCTION("MEDIAN(IFERROR(FILTER('RR1 Player Stats'!AJ$3:AJ$50, ISNUMBER(SEARCH($A14,'RR1 Player Stats'!$A$3:$A$50))),0),IFERROR(FILTER('RR2 Player Stats'!AJ$3:AJ$50, ISNUMBER(SEARCH($A14,'RR2 Player Stats'!$A$3:$A$50))),0),IFERROR(FILTER('RR3 Player Stats'!AJ$3:AJ$"&amp;"50, ISNUMBER(SEARCH($A14,'RR3 Player Stats'!$A$3:$A$50))),0),IFERROR(FILTER('RR4 Player Stats'!AJ$3:AJ$50, ISNUMBER(SEARCH($A14,'RR4 Player Stats'!$A$3:$A$50))),0),IFERROR(FILTER('RR5 Player Stats'!AJ$3:AJ$50, ISNUMBER(SEARCH($A14,'RR5 Player Stats'!$A$3:"&amp;"$A$50))),0))"),3.0)</f>
        <v>3</v>
      </c>
      <c r="X14" s="57">
        <f>IFERROR(__xludf.DUMMYFUNCTION("MEDIAN(IFERROR(FILTER('RR1 Player Stats'!AK$3:AK$50, ISNUMBER(SEARCH($A14,'RR1 Player Stats'!$A$3:$A$50))),0),IFERROR(FILTER('RR2 Player Stats'!AK$3:AK$50, ISNUMBER(SEARCH($A14,'RR2 Player Stats'!$A$3:$A$50))),0),IFERROR(FILTER('RR3 Player Stats'!AK$3:AK$"&amp;"50, ISNUMBER(SEARCH($A14,'RR3 Player Stats'!$A$3:$A$50))),0),IFERROR(FILTER('RR4 Player Stats'!AK$3:AK$50, ISNUMBER(SEARCH($A14,'RR4 Player Stats'!$A$3:$A$50))),0),IFERROR(FILTER('RR5 Player Stats'!AK$3:AK$50, ISNUMBER(SEARCH($A14,'RR5 Player Stats'!$A$3:"&amp;"$A$50))),0))"),44.0)</f>
        <v>44</v>
      </c>
      <c r="Y14" s="57">
        <f>IFERROR(__xludf.DUMMYFUNCTION("MEDIAN(IFERROR(FILTER('RR1 Player Stats'!AL$3:AL$50, ISNUMBER(SEARCH($A14,'RR1 Player Stats'!$A$3:$A$50))),0),IFERROR(FILTER('RR2 Player Stats'!AL$3:AL$50, ISNUMBER(SEARCH($A14,'RR2 Player Stats'!$A$3:$A$50))),0),IFERROR(FILTER('RR3 Player Stats'!AL$3:AL$"&amp;"50, ISNUMBER(SEARCH($A14,'RR3 Player Stats'!$A$3:$A$50))),0),IFERROR(FILTER('RR4 Player Stats'!AL$3:AL$50, ISNUMBER(SEARCH($A14,'RR4 Player Stats'!$A$3:$A$50))),0),IFERROR(FILTER('RR5 Player Stats'!AL$3:AL$50, ISNUMBER(SEARCH($A14,'RR5 Player Stats'!$A$3:"&amp;"$A$50))),0))"),32.0)</f>
        <v>32</v>
      </c>
      <c r="Z14" s="180">
        <f>IFERROR(__xludf.DUMMYFUNCTION("MEDIAN(IFERROR(FILTER('RR1 Player Stats'!AM$3:AM$50, ISNUMBER(SEARCH($A14,'RR1 Player Stats'!$A$3:$A$50))),0),IFERROR(FILTER('RR2 Player Stats'!AM$3:AM$50, ISNUMBER(SEARCH($A14,'RR2 Player Stats'!$A$3:$A$50))),0),IFERROR(FILTER('RR3 Player Stats'!AM$3:AM$"&amp;"50, ISNUMBER(SEARCH($A14,'RR3 Player Stats'!$A$3:$A$50))),0),IFERROR(FILTER('RR4 Player Stats'!AM$3:AM$50, ISNUMBER(SEARCH($A14,'RR4 Player Stats'!$A$3:$A$50))),0),IFERROR(FILTER('RR5 Player Stats'!AM$3:AM$50, ISNUMBER(SEARCH($A14,'RR5 Player Stats'!$A$3:"&amp;"$A$50))),0))"),0.5)</f>
        <v>0.5</v>
      </c>
    </row>
    <row r="15">
      <c r="A15" s="29" t="s">
        <v>50</v>
      </c>
      <c r="B15" s="48">
        <f>COUNTIF('RR1 Player Stats'!$A$3:$A$50,$A15)+COUNTIF('RR2 Player Stats'!$A$3:$A$50,$A15)+COUNTIF('RR3 Player Stats'!$A$3:$A$50,$A15)+COUNTIF('RR4 Player Stats'!$A$3:$A$50,$A15)+COUNTIF('RR5 Player Stats'!$A$3:$A$50,$A15)</f>
        <v>5</v>
      </c>
      <c r="C15" s="55">
        <f>IFERROR(__xludf.DUMMYFUNCTION("IFERROR(FILTER('RR1 Player Stats'!V$3:V$50, ISNUMBER(SEARCH($A15,'RR1 Player Stats'!$A$3:$A$50))),0)
+IFERROR(FILTER('RR2 Player Stats'!V$3:V$50, ISNUMBER(SEARCH($A15,'RR2 Player Stats'!$A$3:$A$50))),0)
+IFERROR(FILTER('RR3 Player Stats'!V$3:V$50, ISNUMBE"&amp;"R(SEARCH($A15,'RR3 Player Stats'!$A$3:$A$50))),0)
+IFERROR(FILTER('RR4 Player Stats'!V$3:V$50, ISNUMBER(SEARCH($A15,'RR4 Player Stats'!$A$3:$A$50))),0)
+IFERROR(FILTER('RR5 Player Stats'!V$3:V$50, ISNUMBER(SEARCH($A15,'RR5 Player Stats'!$A$3:$A$50))),0)"),16.0)</f>
        <v>16</v>
      </c>
      <c r="D15" s="57">
        <f>IFERROR(__xludf.DUMMYFUNCTION("IFERROR(FILTER('RR1 Player Stats'!W$3:W$50, ISNUMBER(SEARCH($A15,'RR1 Player Stats'!$A$3:$A$50))),0)
+IFERROR(FILTER('RR2 Player Stats'!W$3:W$50, ISNUMBER(SEARCH($A15,'RR2 Player Stats'!$A$3:$A$50))),0)
+IFERROR(FILTER('RR3 Player Stats'!W$3:W$50, ISNUMBE"&amp;"R(SEARCH($A15,'RR3 Player Stats'!$A$3:$A$50))),0)
+IFERROR(FILTER('RR4 Player Stats'!W$3:W$50, ISNUMBER(SEARCH($A15,'RR4 Player Stats'!$A$3:$A$50))),0)
+IFERROR(FILTER('RR5 Player Stats'!W$3:W$50, ISNUMBER(SEARCH($A15,'RR5 Player Stats'!$A$3:$A$50))),0)"),11.0)</f>
        <v>11</v>
      </c>
      <c r="E15" s="57">
        <f>IFERROR(__xludf.DUMMYFUNCTION("IFERROR(FILTER('RR1 Player Stats'!X$3:X$50, ISNUMBER(SEARCH($A15,'RR1 Player Stats'!$A$3:$A$50))),0)
+IFERROR(FILTER('RR2 Player Stats'!X$3:X$50, ISNUMBER(SEARCH($A15,'RR2 Player Stats'!$A$3:$A$50))),0)
+IFERROR(FILTER('RR3 Player Stats'!X$3:X$50, ISNUMBE"&amp;"R(SEARCH($A15,'RR3 Player Stats'!$A$3:$A$50))),0)
+IFERROR(FILTER('RR4 Player Stats'!X$3:X$50, ISNUMBER(SEARCH($A15,'RR4 Player Stats'!$A$3:$A$50))),0)
+IFERROR(FILTER('RR5 Player Stats'!X$3:X$50, ISNUMBER(SEARCH($A15,'RR5 Player Stats'!$A$3:$A$50))),0)"),4.0)</f>
        <v>4</v>
      </c>
      <c r="F15" s="57">
        <f>IFERROR(__xludf.DUMMYFUNCTION("IFERROR(FILTER('RR1 Player Stats'!Y$3:Y$50, ISNUMBER(SEARCH($A15,'RR1 Player Stats'!$A$3:$A$50))),0)
+IFERROR(FILTER('RR2 Player Stats'!Y$3:Y$50, ISNUMBER(SEARCH($A15,'RR2 Player Stats'!$A$3:$A$50))),0)
+IFERROR(FILTER('RR3 Player Stats'!Y$3:Y$50, ISNUMBE"&amp;"R(SEARCH($A15,'RR3 Player Stats'!$A$3:$A$50))),0)
+IFERROR(FILTER('RR4 Player Stats'!Y$3:Y$50, ISNUMBER(SEARCH($A15,'RR4 Player Stats'!$A$3:$A$50))),0)
+IFERROR(FILTER('RR5 Player Stats'!Y$3:Y$50, ISNUMBER(SEARCH($A15,'RR5 Player Stats'!$A$3:$A$50))),0)"),130.0)</f>
        <v>130</v>
      </c>
      <c r="G15" s="57">
        <f>IFERROR(__xludf.DUMMYFUNCTION("IFERROR(FILTER('RR1 Player Stats'!Z$3:Z$50, ISNUMBER(SEARCH($A15,'RR1 Player Stats'!$A$3:$A$50))),0)
+IFERROR(FILTER('RR2 Player Stats'!Z$3:Z$50, ISNUMBER(SEARCH($A15,'RR2 Player Stats'!$A$3:$A$50))),0)
+IFERROR(FILTER('RR3 Player Stats'!Z$3:Z$50, ISNUMBE"&amp;"R(SEARCH($A15,'RR3 Player Stats'!$A$3:$A$50))),0)
+IFERROR(FILTER('RR4 Player Stats'!Z$3:Z$50, ISNUMBER(SEARCH($A15,'RR4 Player Stats'!$A$3:$A$50))),0)
+IFERROR(FILTER('RR5 Player Stats'!Z$3:Z$50, ISNUMBER(SEARCH($A15,'RR5 Player Stats'!$A$3:$A$50))),0)"),114.0)</f>
        <v>114</v>
      </c>
      <c r="H15" s="180">
        <f>IFERROR(__xludf.DUMMYFUNCTION("(IFERROR(FILTER('RR1 Player Stats'!AA$3:AA$50, ISNUMBER(SEARCH($A15,'RR1 Player Stats'!$A$3:$A$50))),0)
+IFERROR(FILTER('RR2 Player Stats'!AA$3:AA$50, ISNUMBER(SEARCH($A15,'RR2 Player Stats'!$A$3:$A$50))),0)
+IFERROR(FILTER('RR3 Player Stats'!AA$3:AA$50, "&amp;"ISNUMBER(SEARCH($A15,'RR3 Player Stats'!$A$3:$A$50))),0)
+IFERROR(FILTER('RR4 Player Stats'!AA$3:AA$50, ISNUMBER(SEARCH($A15,'RR4 Player Stats'!$A$3:$A$50))),0)
+IFERROR(FILTER('RR5 Player Stats'!AA$3:AA$50, ISNUMBER(SEARCH($A15,'RR5 Player Stats'!$A$3:$A"&amp;"$50))),0))/5"),0.442)</f>
        <v>0.442</v>
      </c>
      <c r="I15" s="55">
        <f>IFERROR(__xludf.DUMMYFUNCTION("IFERROR(FILTER('RR1 Player Stats'!AB$3:AB$50, ISNUMBER(SEARCH($A15,'RR1 Player Stats'!$A$3:$A$50))),0)
+IFERROR(FILTER('RR2 Player Stats'!AB$3:AB$50, ISNUMBER(SEARCH($A15,'RR2 Player Stats'!$A$3:$A$50))),0)
+IFERROR(FILTER('RR3 Player Stats'!AB$3:AB$50, I"&amp;"SNUMBER(SEARCH($A15,'RR3 Player Stats'!$A$3:$A$50))),0)
+IFERROR(FILTER('RR4 Player Stats'!AB$3:AB$50, ISNUMBER(SEARCH($A15,'RR4 Player Stats'!$A$3:$A$50))),0)
+IFERROR(FILTER('RR5 Player Stats'!AB$3:AB$50, ISNUMBER(SEARCH($A15,'RR5 Player Stats'!$A$3:$A$"&amp;"50))),0)"),9.0)</f>
        <v>9</v>
      </c>
      <c r="J15" s="57">
        <f>IFERROR(__xludf.DUMMYFUNCTION("IFERROR(FILTER('RR1 Player Stats'!AC$3:AC$50, ISNUMBER(SEARCH($A15,'RR1 Player Stats'!$A$3:$A$50))),0)
+IFERROR(FILTER('RR2 Player Stats'!AC$3:AC$50, ISNUMBER(SEARCH($A15,'RR2 Player Stats'!$A$3:$A$50))),0)
+IFERROR(FILTER('RR3 Player Stats'!AC$3:AC$50, I"&amp;"SNUMBER(SEARCH($A15,'RR3 Player Stats'!$A$3:$A$50))),0)
+IFERROR(FILTER('RR4 Player Stats'!AC$3:AC$50, ISNUMBER(SEARCH($A15,'RR4 Player Stats'!$A$3:$A$50))),0)
+IFERROR(FILTER('RR5 Player Stats'!AC$3:AC$50, ISNUMBER(SEARCH($A15,'RR5 Player Stats'!$A$3:$A$"&amp;"50))),0)"),6.0)</f>
        <v>6</v>
      </c>
      <c r="K15" s="57">
        <f>IFERROR(__xludf.DUMMYFUNCTION("IFERROR(FILTER('RR1 Player Stats'!AD$3:AD$50, ISNUMBER(SEARCH($A15,'RR1 Player Stats'!$A$3:$A$50))),0)
+IFERROR(FILTER('RR2 Player Stats'!AD$3:AD$50, ISNUMBER(SEARCH($A15,'RR2 Player Stats'!$A$3:$A$50))),0)
+IFERROR(FILTER('RR3 Player Stats'!AD$3:AD$50, I"&amp;"SNUMBER(SEARCH($A15,'RR3 Player Stats'!$A$3:$A$50))),0)
+IFERROR(FILTER('RR4 Player Stats'!AD$3:AD$50, ISNUMBER(SEARCH($A15,'RR4 Player Stats'!$A$3:$A$50))),0)
+IFERROR(FILTER('RR5 Player Stats'!AD$3:AD$50, ISNUMBER(SEARCH($A15,'RR5 Player Stats'!$A$3:$A$"&amp;"50))),0)"),1.0)</f>
        <v>1</v>
      </c>
      <c r="L15" s="57">
        <f>IFERROR(__xludf.DUMMYFUNCTION("IFERROR(FILTER('RR1 Player Stats'!AE$3:AE$50, ISNUMBER(SEARCH($A15,'RR1 Player Stats'!$A$3:$A$50))),0)
+IFERROR(FILTER('RR2 Player Stats'!AE$3:AE$50, ISNUMBER(SEARCH($A15,'RR2 Player Stats'!$A$3:$A$50))),0)
+IFERROR(FILTER('RR3 Player Stats'!AE$3:AE$50, I"&amp;"SNUMBER(SEARCH($A15,'RR3 Player Stats'!$A$3:$A$50))),0)
+IFERROR(FILTER('RR4 Player Stats'!AE$3:AE$50, ISNUMBER(SEARCH($A15,'RR4 Player Stats'!$A$3:$A$50))),0)
+IFERROR(FILTER('RR5 Player Stats'!AE$3:AE$50, ISNUMBER(SEARCH($A15,'RR5 Player Stats'!$A$3:$A$"&amp;"50))),0)"),72.0)</f>
        <v>72</v>
      </c>
      <c r="M15" s="57">
        <f>IFERROR(__xludf.DUMMYFUNCTION("IFERROR(FILTER('RR1 Player Stats'!AF$3:AF$50, ISNUMBER(SEARCH($A15,'RR1 Player Stats'!$A$3:$A$50))),0)
+IFERROR(FILTER('RR2 Player Stats'!AF$3:AF$50, ISNUMBER(SEARCH($A15,'RR2 Player Stats'!$A$3:$A$50))),0)
+IFERROR(FILTER('RR3 Player Stats'!AF$3:AF$50, I"&amp;"SNUMBER(SEARCH($A15,'RR3 Player Stats'!$A$3:$A$50))),0)
+IFERROR(FILTER('RR4 Player Stats'!AF$3:AF$50, ISNUMBER(SEARCH($A15,'RR4 Player Stats'!$A$3:$A$50))),0)
+IFERROR(FILTER('RR5 Player Stats'!AF$3:AF$50, ISNUMBER(SEARCH($A15,'RR5 Player Stats'!$A$3:$A$"&amp;"50))),0)"),68.0)</f>
        <v>68</v>
      </c>
      <c r="N15" s="180">
        <f>IFERROR(__xludf.DUMMYFUNCTION("(IFERROR(FILTER('RR1 Player Stats'!AG$3:AG$50, ISNUMBER(SEARCH($A15,'RR1 Player Stats'!$A$3:$A$50))),0)
+IFERROR(FILTER('RR2 Player Stats'!AG$3:AG$50, ISNUMBER(SEARCH($A15,'RR2 Player Stats'!$A$3:$A$50))),0)
+IFERROR(FILTER('RR3 Player Stats'!AG$3:AG$50, "&amp;"ISNUMBER(SEARCH($A15,'RR3 Player Stats'!$A$3:$A$50))),0)
+IFERROR(FILTER('RR4 Player Stats'!AG$3:AG$50, ISNUMBER(SEARCH($A15,'RR4 Player Stats'!$A$3:$A$50))),0)
+IFERROR(FILTER('RR5 Player Stats'!AG$3:AG$50, ISNUMBER(SEARCH($A15,'RR5 Player Stats'!$A$3:$A"&amp;"$50))),0))/5"),0.388)</f>
        <v>0.388</v>
      </c>
      <c r="O15" s="55">
        <f>IFERROR(__xludf.DUMMYFUNCTION("IFERROR(FILTER('RR1 Player Stats'!AH$3:AH$50, ISNUMBER(SEARCH($A15,'RR1 Player Stats'!$A$3:$A$50))),0)
+IFERROR(FILTER('RR2 Player Stats'!AH$3:AH$50, ISNUMBER(SEARCH($A15,'RR2 Player Stats'!$A$3:$A$50))),0)
+IFERROR(FILTER('RR3 Player Stats'!AH$3:AH$50, I"&amp;"SNUMBER(SEARCH($A15,'RR3 Player Stats'!$A$3:$A$50))),0)
+IFERROR(FILTER('RR4 Player Stats'!AH$3:AH$50, ISNUMBER(SEARCH($A15,'RR4 Player Stats'!$A$3:$A$50))),0)
+IFERROR(FILTER('RR5 Player Stats'!AH$3:AH$50, ISNUMBER(SEARCH($A15,'RR5 Player Stats'!$A$3:$A$"&amp;"50))),0)"),25.0)</f>
        <v>25</v>
      </c>
      <c r="P15" s="57">
        <f>IFERROR(__xludf.DUMMYFUNCTION("IFERROR(FILTER('RR1 Player Stats'!AI$3:AI$50, ISNUMBER(SEARCH($A15,'RR1 Player Stats'!$A$3:$A$50))),0)
+IFERROR(FILTER('RR2 Player Stats'!AI$3:AI$50, ISNUMBER(SEARCH($A15,'RR2 Player Stats'!$A$3:$A$50))),0)
+IFERROR(FILTER('RR3 Player Stats'!AI$3:AI$50, I"&amp;"SNUMBER(SEARCH($A15,'RR3 Player Stats'!$A$3:$A$50))),0)
+IFERROR(FILTER('RR4 Player Stats'!AI$3:AI$50, ISNUMBER(SEARCH($A15,'RR4 Player Stats'!$A$3:$A$50))),0)
+IFERROR(FILTER('RR5 Player Stats'!AI$3:AI$50, ISNUMBER(SEARCH($A15,'RR5 Player Stats'!$A$3:$A$"&amp;"50))),0)"),17.0)</f>
        <v>17</v>
      </c>
      <c r="Q15" s="57">
        <f>IFERROR(__xludf.DUMMYFUNCTION("IFERROR(FILTER('RR1 Player Stats'!AJ$3:AJ$50, ISNUMBER(SEARCH($A15,'RR1 Player Stats'!$A$3:$A$50))),0)
+IFERROR(FILTER('RR2 Player Stats'!AJ$3:AJ$50, ISNUMBER(SEARCH($A15,'RR2 Player Stats'!$A$3:$A$50))),0)
+IFERROR(FILTER('RR3 Player Stats'!AJ$3:AJ$50, I"&amp;"SNUMBER(SEARCH($A15,'RR3 Player Stats'!$A$3:$A$50))),0)
+IFERROR(FILTER('RR4 Player Stats'!AJ$3:AJ$50, ISNUMBER(SEARCH($A15,'RR4 Player Stats'!$A$3:$A$50))),0)
+IFERROR(FILTER('RR5 Player Stats'!AJ$3:AJ$50, ISNUMBER(SEARCH($A15,'RR5 Player Stats'!$A$3:$A$"&amp;"50))),0)"),5.0)</f>
        <v>5</v>
      </c>
      <c r="R15" s="57">
        <f>IFERROR(__xludf.DUMMYFUNCTION("IFERROR(FILTER('RR1 Player Stats'!AK$3:AK$50, ISNUMBER(SEARCH($A15,'RR1 Player Stats'!$A$3:$A$50))),0)
+IFERROR(FILTER('RR2 Player Stats'!AK$3:AK$50, ISNUMBER(SEARCH($A15,'RR2 Player Stats'!$A$3:$A$50))),0)
+IFERROR(FILTER('RR3 Player Stats'!AK$3:AK$50, I"&amp;"SNUMBER(SEARCH($A15,'RR3 Player Stats'!$A$3:$A$50))),0)
+IFERROR(FILTER('RR4 Player Stats'!AK$3:AK$50, ISNUMBER(SEARCH($A15,'RR4 Player Stats'!$A$3:$A$50))),0)
+IFERROR(FILTER('RR5 Player Stats'!AK$3:AK$50, ISNUMBER(SEARCH($A15,'RR5 Player Stats'!$A$3:$A$"&amp;"50))),0)"),202.0)</f>
        <v>202</v>
      </c>
      <c r="S15" s="57">
        <f>IFERROR(__xludf.DUMMYFUNCTION("IFERROR(FILTER('RR1 Player Stats'!AL$3:AL$50, ISNUMBER(SEARCH($A15,'RR1 Player Stats'!$A$3:$A$50))),0)
+IFERROR(FILTER('RR2 Player Stats'!AL$3:AL$50, ISNUMBER(SEARCH($A15,'RR2 Player Stats'!$A$3:$A$50))),0)
+IFERROR(FILTER('RR3 Player Stats'!AL$3:AL$50, I"&amp;"SNUMBER(SEARCH($A15,'RR3 Player Stats'!$A$3:$A$50))),0)
+IFERROR(FILTER('RR4 Player Stats'!AL$3:AL$50, ISNUMBER(SEARCH($A15,'RR4 Player Stats'!$A$3:$A$50))),0)
+IFERROR(FILTER('RR5 Player Stats'!AL$3:AL$50, ISNUMBER(SEARCH($A15,'RR5 Player Stats'!$A$3:$A$"&amp;"50))),0)"),182.0)</f>
        <v>182</v>
      </c>
      <c r="T15" s="180">
        <f>IFERROR(__xludf.DUMMYFUNCTION("(IFERROR(FILTER('RR1 Player Stats'!AM$3:AM$50, ISNUMBER(SEARCH($A15,'RR1 Player Stats'!$A$3:$A$50))),0)
+IFERROR(FILTER('RR2 Player Stats'!AM$3:AM$50, ISNUMBER(SEARCH($A15,'RR2 Player Stats'!$A$3:$A$50))),0)
+IFERROR(FILTER('RR3 Player Stats'!AM$3:AM$50, "&amp;"ISNUMBER(SEARCH($A15,'RR3 Player Stats'!$A$3:$A$50))),0)
+IFERROR(FILTER('RR4 Player Stats'!AM$3:AM$50, ISNUMBER(SEARCH($A15,'RR4 Player Stats'!$A$3:$A$50))),0)
+IFERROR(FILTER('RR5 Player Stats'!AM$3:AM$50, ISNUMBER(SEARCH($A15,'RR5 Player Stats'!$A$3:$A"&amp;"$50))),0))/B15"),0.41999999999999993)</f>
        <v>0.42</v>
      </c>
      <c r="U15" s="55">
        <f>IFERROR(__xludf.DUMMYFUNCTION("MEDIAN(IFERROR(FILTER('RR1 Player Stats'!AH$3:AH$50, ISNUMBER(SEARCH($A15,'RR1 Player Stats'!$A$3:$A$50))),0),IFERROR(FILTER('RR2 Player Stats'!AH$3:AH$50, ISNUMBER(SEARCH($A15,'RR2 Player Stats'!$A$3:$A$50))),0),IFERROR(FILTER('RR3 Player Stats'!AH$3:AH$"&amp;"50, ISNUMBER(SEARCH($A15,'RR3 Player Stats'!$A$3:$A$50))),0),IFERROR(FILTER('RR4 Player Stats'!AH$3:AH$50, ISNUMBER(SEARCH($A15,'RR4 Player Stats'!$A$3:$A$50))),0),IFERROR(FILTER('RR5 Player Stats'!AH$3:AH$50, ISNUMBER(SEARCH($A15,'RR5 Player Stats'!$A$3:"&amp;"$A$50))),0))"),5.0)</f>
        <v>5</v>
      </c>
      <c r="V15" s="57">
        <f>IFERROR(__xludf.DUMMYFUNCTION("MEDIAN(IFERROR(FILTER('RR1 Player Stats'!AI$3:AI$50, ISNUMBER(SEARCH($A15,'RR1 Player Stats'!$A$3:$A$50))),0),IFERROR(FILTER('RR2 Player Stats'!AI$3:AI$50, ISNUMBER(SEARCH($A15,'RR2 Player Stats'!$A$3:$A$50))),0),IFERROR(FILTER('RR3 Player Stats'!AI$3:AI$"&amp;"50, ISNUMBER(SEARCH($A15,'RR3 Player Stats'!$A$3:$A$50))),0),IFERROR(FILTER('RR4 Player Stats'!AI$3:AI$50, ISNUMBER(SEARCH($A15,'RR4 Player Stats'!$A$3:$A$50))),0),IFERROR(FILTER('RR5 Player Stats'!AI$3:AI$50, ISNUMBER(SEARCH($A15,'RR5 Player Stats'!$A$3:"&amp;"$A$50))),0))"),3.0)</f>
        <v>3</v>
      </c>
      <c r="W15" s="57">
        <f>IFERROR(__xludf.DUMMYFUNCTION("MEDIAN(IFERROR(FILTER('RR1 Player Stats'!AJ$3:AJ$50, ISNUMBER(SEARCH($A15,'RR1 Player Stats'!$A$3:$A$50))),0),IFERROR(FILTER('RR2 Player Stats'!AJ$3:AJ$50, ISNUMBER(SEARCH($A15,'RR2 Player Stats'!$A$3:$A$50))),0),IFERROR(FILTER('RR3 Player Stats'!AJ$3:AJ$"&amp;"50, ISNUMBER(SEARCH($A15,'RR3 Player Stats'!$A$3:$A$50))),0),IFERROR(FILTER('RR4 Player Stats'!AJ$3:AJ$50, ISNUMBER(SEARCH($A15,'RR4 Player Stats'!$A$3:$A$50))),0),IFERROR(FILTER('RR5 Player Stats'!AJ$3:AJ$50, ISNUMBER(SEARCH($A15,'RR5 Player Stats'!$A$3:"&amp;"$A$50))),0))"),1.0)</f>
        <v>1</v>
      </c>
      <c r="X15" s="57">
        <f>IFERROR(__xludf.DUMMYFUNCTION("MEDIAN(IFERROR(FILTER('RR1 Player Stats'!AK$3:AK$50, ISNUMBER(SEARCH($A15,'RR1 Player Stats'!$A$3:$A$50))),0),IFERROR(FILTER('RR2 Player Stats'!AK$3:AK$50, ISNUMBER(SEARCH($A15,'RR2 Player Stats'!$A$3:$A$50))),0),IFERROR(FILTER('RR3 Player Stats'!AK$3:AK$"&amp;"50, ISNUMBER(SEARCH($A15,'RR3 Player Stats'!$A$3:$A$50))),0),IFERROR(FILTER('RR4 Player Stats'!AK$3:AK$50, ISNUMBER(SEARCH($A15,'RR4 Player Stats'!$A$3:$A$50))),0),IFERROR(FILTER('RR5 Player Stats'!AK$3:AK$50, ISNUMBER(SEARCH($A15,'RR5 Player Stats'!$A$3:"&amp;"$A$50))),0))"),40.0)</f>
        <v>40</v>
      </c>
      <c r="Y15" s="57">
        <f>IFERROR(__xludf.DUMMYFUNCTION("MEDIAN(IFERROR(FILTER('RR1 Player Stats'!AL$3:AL$50, ISNUMBER(SEARCH($A15,'RR1 Player Stats'!$A$3:$A$50))),0),IFERROR(FILTER('RR2 Player Stats'!AL$3:AL$50, ISNUMBER(SEARCH($A15,'RR2 Player Stats'!$A$3:$A$50))),0),IFERROR(FILTER('RR3 Player Stats'!AL$3:AL$"&amp;"50, ISNUMBER(SEARCH($A15,'RR3 Player Stats'!$A$3:$A$50))),0),IFERROR(FILTER('RR4 Player Stats'!AL$3:AL$50, ISNUMBER(SEARCH($A15,'RR4 Player Stats'!$A$3:$A$50))),0),IFERROR(FILTER('RR5 Player Stats'!AL$3:AL$50, ISNUMBER(SEARCH($A15,'RR5 Player Stats'!$A$3:"&amp;"$A$50))),0))"),36.0)</f>
        <v>36</v>
      </c>
      <c r="Z15" s="180">
        <f>IFERROR(__xludf.DUMMYFUNCTION("MEDIAN(IFERROR(FILTER('RR1 Player Stats'!AM$3:AM$50, ISNUMBER(SEARCH($A15,'RR1 Player Stats'!$A$3:$A$50))),0),IFERROR(FILTER('RR2 Player Stats'!AM$3:AM$50, ISNUMBER(SEARCH($A15,'RR2 Player Stats'!$A$3:$A$50))),0),IFERROR(FILTER('RR3 Player Stats'!AM$3:AM$"&amp;"50, ISNUMBER(SEARCH($A15,'RR3 Player Stats'!$A$3:$A$50))),0),IFERROR(FILTER('RR4 Player Stats'!AM$3:AM$50, ISNUMBER(SEARCH($A15,'RR4 Player Stats'!$A$3:$A$50))),0),IFERROR(FILTER('RR5 Player Stats'!AM$3:AM$50, ISNUMBER(SEARCH($A15,'RR5 Player Stats'!$A$3:"&amp;"$A$50))),0))"),0.45)</f>
        <v>0.45</v>
      </c>
    </row>
    <row r="16">
      <c r="A16" s="29" t="s">
        <v>52</v>
      </c>
      <c r="B16" s="48">
        <f>COUNTIF('RR1 Player Stats'!$A$3:$A$50,$A16)+COUNTIF('RR2 Player Stats'!$A$3:$A$50,$A16)+COUNTIF('RR3 Player Stats'!$A$3:$A$50,$A16)+COUNTIF('RR4 Player Stats'!$A$3:$A$50,$A16)+COUNTIF('RR5 Player Stats'!$A$3:$A$50,$A16)</f>
        <v>5</v>
      </c>
      <c r="C16" s="55">
        <f>IFERROR(__xludf.DUMMYFUNCTION("IFERROR(FILTER('RR1 Player Stats'!V$3:V$50, ISNUMBER(SEARCH($A16,'RR1 Player Stats'!$A$3:$A$50))),0)
+IFERROR(FILTER('RR2 Player Stats'!V$3:V$50, ISNUMBER(SEARCH($A16,'RR2 Player Stats'!$A$3:$A$50))),0)
+IFERROR(FILTER('RR3 Player Stats'!V$3:V$50, ISNUMBE"&amp;"R(SEARCH($A16,'RR3 Player Stats'!$A$3:$A$50))),0)
+IFERROR(FILTER('RR4 Player Stats'!V$3:V$50, ISNUMBER(SEARCH($A16,'RR4 Player Stats'!$A$3:$A$50))),0)
+IFERROR(FILTER('RR5 Player Stats'!V$3:V$50, ISNUMBER(SEARCH($A16,'RR5 Player Stats'!$A$3:$A$50))),0)"),17.0)</f>
        <v>17</v>
      </c>
      <c r="D16" s="57">
        <f>IFERROR(__xludf.DUMMYFUNCTION("IFERROR(FILTER('RR1 Player Stats'!W$3:W$50, ISNUMBER(SEARCH($A16,'RR1 Player Stats'!$A$3:$A$50))),0)
+IFERROR(FILTER('RR2 Player Stats'!W$3:W$50, ISNUMBER(SEARCH($A16,'RR2 Player Stats'!$A$3:$A$50))),0)
+IFERROR(FILTER('RR3 Player Stats'!W$3:W$50, ISNUMBE"&amp;"R(SEARCH($A16,'RR3 Player Stats'!$A$3:$A$50))),0)
+IFERROR(FILTER('RR4 Player Stats'!W$3:W$50, ISNUMBER(SEARCH($A16,'RR4 Player Stats'!$A$3:$A$50))),0)
+IFERROR(FILTER('RR5 Player Stats'!W$3:W$50, ISNUMBER(SEARCH($A16,'RR5 Player Stats'!$A$3:$A$50))),0)"),9.0)</f>
        <v>9</v>
      </c>
      <c r="E16" s="57">
        <f>IFERROR(__xludf.DUMMYFUNCTION("IFERROR(FILTER('RR1 Player Stats'!X$3:X$50, ISNUMBER(SEARCH($A16,'RR1 Player Stats'!$A$3:$A$50))),0)
+IFERROR(FILTER('RR2 Player Stats'!X$3:X$50, ISNUMBER(SEARCH($A16,'RR2 Player Stats'!$A$3:$A$50))),0)
+IFERROR(FILTER('RR3 Player Stats'!X$3:X$50, ISNUMBE"&amp;"R(SEARCH($A16,'RR3 Player Stats'!$A$3:$A$50))),0)
+IFERROR(FILTER('RR4 Player Stats'!X$3:X$50, ISNUMBER(SEARCH($A16,'RR4 Player Stats'!$A$3:$A$50))),0)
+IFERROR(FILTER('RR5 Player Stats'!X$3:X$50, ISNUMBER(SEARCH($A16,'RR5 Player Stats'!$A$3:$A$50))),0)"),10.0)</f>
        <v>10</v>
      </c>
      <c r="F16" s="57">
        <f>IFERROR(__xludf.DUMMYFUNCTION("IFERROR(FILTER('RR1 Player Stats'!Y$3:Y$50, ISNUMBER(SEARCH($A16,'RR1 Player Stats'!$A$3:$A$50))),0)
+IFERROR(FILTER('RR2 Player Stats'!Y$3:Y$50, ISNUMBER(SEARCH($A16,'RR2 Player Stats'!$A$3:$A$50))),0)
+IFERROR(FILTER('RR3 Player Stats'!Y$3:Y$50, ISNUMBE"&amp;"R(SEARCH($A16,'RR3 Player Stats'!$A$3:$A$50))),0)
+IFERROR(FILTER('RR4 Player Stats'!Y$3:Y$50, ISNUMBER(SEARCH($A16,'RR4 Player Stats'!$A$3:$A$50))),0)
+IFERROR(FILTER('RR5 Player Stats'!Y$3:Y$50, ISNUMBER(SEARCH($A16,'RR5 Player Stats'!$A$3:$A$50))),0)"),122.0)</f>
        <v>122</v>
      </c>
      <c r="G16" s="57">
        <f>IFERROR(__xludf.DUMMYFUNCTION("IFERROR(FILTER('RR1 Player Stats'!Z$3:Z$50, ISNUMBER(SEARCH($A16,'RR1 Player Stats'!$A$3:$A$50))),0)
+IFERROR(FILTER('RR2 Player Stats'!Z$3:Z$50, ISNUMBER(SEARCH($A16,'RR2 Player Stats'!$A$3:$A$50))),0)
+IFERROR(FILTER('RR3 Player Stats'!Z$3:Z$50, ISNUMBE"&amp;"R(SEARCH($A16,'RR3 Player Stats'!$A$3:$A$50))),0)
+IFERROR(FILTER('RR4 Player Stats'!Z$3:Z$50, ISNUMBER(SEARCH($A16,'RR4 Player Stats'!$A$3:$A$50))),0)
+IFERROR(FILTER('RR5 Player Stats'!Z$3:Z$50, ISNUMBER(SEARCH($A16,'RR5 Player Stats'!$A$3:$A$50))),0)"),82.0)</f>
        <v>82</v>
      </c>
      <c r="H16" s="180">
        <f>IFERROR(__xludf.DUMMYFUNCTION("(IFERROR(FILTER('RR1 Player Stats'!AA$3:AA$50, ISNUMBER(SEARCH($A16,'RR1 Player Stats'!$A$3:$A$50))),0)
+IFERROR(FILTER('RR2 Player Stats'!AA$3:AA$50, ISNUMBER(SEARCH($A16,'RR2 Player Stats'!$A$3:$A$50))),0)
+IFERROR(FILTER('RR3 Player Stats'!AA$3:AA$50, "&amp;"ISNUMBER(SEARCH($A16,'RR3 Player Stats'!$A$3:$A$50))),0)
+IFERROR(FILTER('RR4 Player Stats'!AA$3:AA$50, ISNUMBER(SEARCH($A16,'RR4 Player Stats'!$A$3:$A$50))),0)
+IFERROR(FILTER('RR5 Player Stats'!AA$3:AA$50, ISNUMBER(SEARCH($A16,'RR5 Player Stats'!$A$3:$A"&amp;"$50))),0))/5"),0.434)</f>
        <v>0.434</v>
      </c>
      <c r="I16" s="55">
        <f>IFERROR(__xludf.DUMMYFUNCTION("IFERROR(FILTER('RR1 Player Stats'!AB$3:AB$50, ISNUMBER(SEARCH($A16,'RR1 Player Stats'!$A$3:$A$50))),0)
+IFERROR(FILTER('RR2 Player Stats'!AB$3:AB$50, ISNUMBER(SEARCH($A16,'RR2 Player Stats'!$A$3:$A$50))),0)
+IFERROR(FILTER('RR3 Player Stats'!AB$3:AB$50, I"&amp;"SNUMBER(SEARCH($A16,'RR3 Player Stats'!$A$3:$A$50))),0)
+IFERROR(FILTER('RR4 Player Stats'!AB$3:AB$50, ISNUMBER(SEARCH($A16,'RR4 Player Stats'!$A$3:$A$50))),0)
+IFERROR(FILTER('RR5 Player Stats'!AB$3:AB$50, ISNUMBER(SEARCH($A16,'RR5 Player Stats'!$A$3:$A$"&amp;"50))),0)"),7.0)</f>
        <v>7</v>
      </c>
      <c r="J16" s="57">
        <f>IFERROR(__xludf.DUMMYFUNCTION("IFERROR(FILTER('RR1 Player Stats'!AC$3:AC$50, ISNUMBER(SEARCH($A16,'RR1 Player Stats'!$A$3:$A$50))),0)
+IFERROR(FILTER('RR2 Player Stats'!AC$3:AC$50, ISNUMBER(SEARCH($A16,'RR2 Player Stats'!$A$3:$A$50))),0)
+IFERROR(FILTER('RR3 Player Stats'!AC$3:AC$50, I"&amp;"SNUMBER(SEARCH($A16,'RR3 Player Stats'!$A$3:$A$50))),0)
+IFERROR(FILTER('RR4 Player Stats'!AC$3:AC$50, ISNUMBER(SEARCH($A16,'RR4 Player Stats'!$A$3:$A$50))),0)
+IFERROR(FILTER('RR5 Player Stats'!AC$3:AC$50, ISNUMBER(SEARCH($A16,'RR5 Player Stats'!$A$3:$A$"&amp;"50))),0)"),8.0)</f>
        <v>8</v>
      </c>
      <c r="K16" s="57">
        <f>IFERROR(__xludf.DUMMYFUNCTION("IFERROR(FILTER('RR1 Player Stats'!AD$3:AD$50, ISNUMBER(SEARCH($A16,'RR1 Player Stats'!$A$3:$A$50))),0)
+IFERROR(FILTER('RR2 Player Stats'!AD$3:AD$50, ISNUMBER(SEARCH($A16,'RR2 Player Stats'!$A$3:$A$50))),0)
+IFERROR(FILTER('RR3 Player Stats'!AD$3:AD$50, I"&amp;"SNUMBER(SEARCH($A16,'RR3 Player Stats'!$A$3:$A$50))),0)
+IFERROR(FILTER('RR4 Player Stats'!AD$3:AD$50, ISNUMBER(SEARCH($A16,'RR4 Player Stats'!$A$3:$A$50))),0)
+IFERROR(FILTER('RR5 Player Stats'!AD$3:AD$50, ISNUMBER(SEARCH($A16,'RR5 Player Stats'!$A$3:$A$"&amp;"50))),0)"),8.0)</f>
        <v>8</v>
      </c>
      <c r="L16" s="57">
        <f>IFERROR(__xludf.DUMMYFUNCTION("IFERROR(FILTER('RR1 Player Stats'!AE$3:AE$50, ISNUMBER(SEARCH($A16,'RR1 Player Stats'!$A$3:$A$50))),0)
+IFERROR(FILTER('RR2 Player Stats'!AE$3:AE$50, ISNUMBER(SEARCH($A16,'RR2 Player Stats'!$A$3:$A$50))),0)
+IFERROR(FILTER('RR3 Player Stats'!AE$3:AE$50, I"&amp;"SNUMBER(SEARCH($A16,'RR3 Player Stats'!$A$3:$A$50))),0)
+IFERROR(FILTER('RR4 Player Stats'!AE$3:AE$50, ISNUMBER(SEARCH($A16,'RR4 Player Stats'!$A$3:$A$50))),0)
+IFERROR(FILTER('RR5 Player Stats'!AE$3:AE$50, ISNUMBER(SEARCH($A16,'RR5 Player Stats'!$A$3:$A$"&amp;"50))),0)"),76.0)</f>
        <v>76</v>
      </c>
      <c r="M16" s="57">
        <f>IFERROR(__xludf.DUMMYFUNCTION("IFERROR(FILTER('RR1 Player Stats'!AF$3:AF$50, ISNUMBER(SEARCH($A16,'RR1 Player Stats'!$A$3:$A$50))),0)
+IFERROR(FILTER('RR2 Player Stats'!AF$3:AF$50, ISNUMBER(SEARCH($A16,'RR2 Player Stats'!$A$3:$A$50))),0)
+IFERROR(FILTER('RR3 Player Stats'!AF$3:AF$50, I"&amp;"SNUMBER(SEARCH($A16,'RR3 Player Stats'!$A$3:$A$50))),0)
+IFERROR(FILTER('RR4 Player Stats'!AF$3:AF$50, ISNUMBER(SEARCH($A16,'RR4 Player Stats'!$A$3:$A$50))),0)
+IFERROR(FILTER('RR5 Player Stats'!AF$3:AF$50, ISNUMBER(SEARCH($A16,'RR5 Player Stats'!$A$3:$A$"&amp;"50))),0)"),44.0)</f>
        <v>44</v>
      </c>
      <c r="N16" s="180">
        <f>IFERROR(__xludf.DUMMYFUNCTION("(IFERROR(FILTER('RR1 Player Stats'!AG$3:AG$50, ISNUMBER(SEARCH($A16,'RR1 Player Stats'!$A$3:$A$50))),0)
+IFERROR(FILTER('RR2 Player Stats'!AG$3:AG$50, ISNUMBER(SEARCH($A16,'RR2 Player Stats'!$A$3:$A$50))),0)
+IFERROR(FILTER('RR3 Player Stats'!AG$3:AG$50, "&amp;"ISNUMBER(SEARCH($A16,'RR3 Player Stats'!$A$3:$A$50))),0)
+IFERROR(FILTER('RR4 Player Stats'!AG$3:AG$50, ISNUMBER(SEARCH($A16,'RR4 Player Stats'!$A$3:$A$50))),0)
+IFERROR(FILTER('RR5 Player Stats'!AG$3:AG$50, ISNUMBER(SEARCH($A16,'RR5 Player Stats'!$A$3:$A"&amp;"$50))),0))/5"),0.378)</f>
        <v>0.378</v>
      </c>
      <c r="O16" s="55">
        <f>IFERROR(__xludf.DUMMYFUNCTION("IFERROR(FILTER('RR1 Player Stats'!AH$3:AH$50, ISNUMBER(SEARCH($A16,'RR1 Player Stats'!$A$3:$A$50))),0)
+IFERROR(FILTER('RR2 Player Stats'!AH$3:AH$50, ISNUMBER(SEARCH($A16,'RR2 Player Stats'!$A$3:$A$50))),0)
+IFERROR(FILTER('RR3 Player Stats'!AH$3:AH$50, I"&amp;"SNUMBER(SEARCH($A16,'RR3 Player Stats'!$A$3:$A$50))),0)
+IFERROR(FILTER('RR4 Player Stats'!AH$3:AH$50, ISNUMBER(SEARCH($A16,'RR4 Player Stats'!$A$3:$A$50))),0)
+IFERROR(FILTER('RR5 Player Stats'!AH$3:AH$50, ISNUMBER(SEARCH($A16,'RR5 Player Stats'!$A$3:$A$"&amp;"50))),0)"),24.0)</f>
        <v>24</v>
      </c>
      <c r="P16" s="57">
        <f>IFERROR(__xludf.DUMMYFUNCTION("IFERROR(FILTER('RR1 Player Stats'!AI$3:AI$50, ISNUMBER(SEARCH($A16,'RR1 Player Stats'!$A$3:$A$50))),0)
+IFERROR(FILTER('RR2 Player Stats'!AI$3:AI$50, ISNUMBER(SEARCH($A16,'RR2 Player Stats'!$A$3:$A$50))),0)
+IFERROR(FILTER('RR3 Player Stats'!AI$3:AI$50, I"&amp;"SNUMBER(SEARCH($A16,'RR3 Player Stats'!$A$3:$A$50))),0)
+IFERROR(FILTER('RR4 Player Stats'!AI$3:AI$50, ISNUMBER(SEARCH($A16,'RR4 Player Stats'!$A$3:$A$50))),0)
+IFERROR(FILTER('RR5 Player Stats'!AI$3:AI$50, ISNUMBER(SEARCH($A16,'RR5 Player Stats'!$A$3:$A$"&amp;"50))),0)"),17.0)</f>
        <v>17</v>
      </c>
      <c r="Q16" s="57">
        <f>IFERROR(__xludf.DUMMYFUNCTION("IFERROR(FILTER('RR1 Player Stats'!AJ$3:AJ$50, ISNUMBER(SEARCH($A16,'RR1 Player Stats'!$A$3:$A$50))),0)
+IFERROR(FILTER('RR2 Player Stats'!AJ$3:AJ$50, ISNUMBER(SEARCH($A16,'RR2 Player Stats'!$A$3:$A$50))),0)
+IFERROR(FILTER('RR3 Player Stats'!AJ$3:AJ$50, I"&amp;"SNUMBER(SEARCH($A16,'RR3 Player Stats'!$A$3:$A$50))),0)
+IFERROR(FILTER('RR4 Player Stats'!AJ$3:AJ$50, ISNUMBER(SEARCH($A16,'RR4 Player Stats'!$A$3:$A$50))),0)
+IFERROR(FILTER('RR5 Player Stats'!AJ$3:AJ$50, ISNUMBER(SEARCH($A16,'RR5 Player Stats'!$A$3:$A$"&amp;"50))),0)"),18.0)</f>
        <v>18</v>
      </c>
      <c r="R16" s="57">
        <f>IFERROR(__xludf.DUMMYFUNCTION("IFERROR(FILTER('RR1 Player Stats'!AK$3:AK$50, ISNUMBER(SEARCH($A16,'RR1 Player Stats'!$A$3:$A$50))),0)
+IFERROR(FILTER('RR2 Player Stats'!AK$3:AK$50, ISNUMBER(SEARCH($A16,'RR2 Player Stats'!$A$3:$A$50))),0)
+IFERROR(FILTER('RR3 Player Stats'!AK$3:AK$50, I"&amp;"SNUMBER(SEARCH($A16,'RR3 Player Stats'!$A$3:$A$50))),0)
+IFERROR(FILTER('RR4 Player Stats'!AK$3:AK$50, ISNUMBER(SEARCH($A16,'RR4 Player Stats'!$A$3:$A$50))),0)
+IFERROR(FILTER('RR5 Player Stats'!AK$3:AK$50, ISNUMBER(SEARCH($A16,'RR5 Player Stats'!$A$3:$A$"&amp;"50))),0)"),198.0)</f>
        <v>198</v>
      </c>
      <c r="S16" s="57">
        <f>IFERROR(__xludf.DUMMYFUNCTION("IFERROR(FILTER('RR1 Player Stats'!AL$3:AL$50, ISNUMBER(SEARCH($A16,'RR1 Player Stats'!$A$3:$A$50))),0)
+IFERROR(FILTER('RR2 Player Stats'!AL$3:AL$50, ISNUMBER(SEARCH($A16,'RR2 Player Stats'!$A$3:$A$50))),0)
+IFERROR(FILTER('RR3 Player Stats'!AL$3:AL$50, I"&amp;"SNUMBER(SEARCH($A16,'RR3 Player Stats'!$A$3:$A$50))),0)
+IFERROR(FILTER('RR4 Player Stats'!AL$3:AL$50, ISNUMBER(SEARCH($A16,'RR4 Player Stats'!$A$3:$A$50))),0)
+IFERROR(FILTER('RR5 Player Stats'!AL$3:AL$50, ISNUMBER(SEARCH($A16,'RR5 Player Stats'!$A$3:$A$"&amp;"50))),0)"),126.0)</f>
        <v>126</v>
      </c>
      <c r="T16" s="180">
        <f>IFERROR(__xludf.DUMMYFUNCTION("(IFERROR(FILTER('RR1 Player Stats'!AM$3:AM$50, ISNUMBER(SEARCH($A16,'RR1 Player Stats'!$A$3:$A$50))),0)
+IFERROR(FILTER('RR2 Player Stats'!AM$3:AM$50, ISNUMBER(SEARCH($A16,'RR2 Player Stats'!$A$3:$A$50))),0)
+IFERROR(FILTER('RR3 Player Stats'!AM$3:AM$50, "&amp;"ISNUMBER(SEARCH($A16,'RR3 Player Stats'!$A$3:$A$50))),0)
+IFERROR(FILTER('RR4 Player Stats'!AM$3:AM$50, ISNUMBER(SEARCH($A16,'RR4 Player Stats'!$A$3:$A$50))),0)
+IFERROR(FILTER('RR5 Player Stats'!AM$3:AM$50, ISNUMBER(SEARCH($A16,'RR5 Player Stats'!$A$3:$A"&amp;"$50))),0))/B16"),0.41)</f>
        <v>0.41</v>
      </c>
      <c r="U16" s="55">
        <f>IFERROR(__xludf.DUMMYFUNCTION("MEDIAN(IFERROR(FILTER('RR1 Player Stats'!AH$3:AH$50, ISNUMBER(SEARCH($A16,'RR1 Player Stats'!$A$3:$A$50))),0),IFERROR(FILTER('RR2 Player Stats'!AH$3:AH$50, ISNUMBER(SEARCH($A16,'RR2 Player Stats'!$A$3:$A$50))),0),IFERROR(FILTER('RR3 Player Stats'!AH$3:AH$"&amp;"50, ISNUMBER(SEARCH($A16,'RR3 Player Stats'!$A$3:$A$50))),0),IFERROR(FILTER('RR4 Player Stats'!AH$3:AH$50, ISNUMBER(SEARCH($A16,'RR4 Player Stats'!$A$3:$A$50))),0),IFERROR(FILTER('RR5 Player Stats'!AH$3:AH$50, ISNUMBER(SEARCH($A16,'RR5 Player Stats'!$A$3:"&amp;"$A$50))),0))"),5.0)</f>
        <v>5</v>
      </c>
      <c r="V16" s="57">
        <f>IFERROR(__xludf.DUMMYFUNCTION("MEDIAN(IFERROR(FILTER('RR1 Player Stats'!AI$3:AI$50, ISNUMBER(SEARCH($A16,'RR1 Player Stats'!$A$3:$A$50))),0),IFERROR(FILTER('RR2 Player Stats'!AI$3:AI$50, ISNUMBER(SEARCH($A16,'RR2 Player Stats'!$A$3:$A$50))),0),IFERROR(FILTER('RR3 Player Stats'!AI$3:AI$"&amp;"50, ISNUMBER(SEARCH($A16,'RR3 Player Stats'!$A$3:$A$50))),0),IFERROR(FILTER('RR4 Player Stats'!AI$3:AI$50, ISNUMBER(SEARCH($A16,'RR4 Player Stats'!$A$3:$A$50))),0),IFERROR(FILTER('RR5 Player Stats'!AI$3:AI$50, ISNUMBER(SEARCH($A16,'RR5 Player Stats'!$A$3:"&amp;"$A$50))),0))"),4.0)</f>
        <v>4</v>
      </c>
      <c r="W16" s="57">
        <f>IFERROR(__xludf.DUMMYFUNCTION("MEDIAN(IFERROR(FILTER('RR1 Player Stats'!AJ$3:AJ$50, ISNUMBER(SEARCH($A16,'RR1 Player Stats'!$A$3:$A$50))),0),IFERROR(FILTER('RR2 Player Stats'!AJ$3:AJ$50, ISNUMBER(SEARCH($A16,'RR2 Player Stats'!$A$3:$A$50))),0),IFERROR(FILTER('RR3 Player Stats'!AJ$3:AJ$"&amp;"50, ISNUMBER(SEARCH($A16,'RR3 Player Stats'!$A$3:$A$50))),0),IFERROR(FILTER('RR4 Player Stats'!AJ$3:AJ$50, ISNUMBER(SEARCH($A16,'RR4 Player Stats'!$A$3:$A$50))),0),IFERROR(FILTER('RR5 Player Stats'!AJ$3:AJ$50, ISNUMBER(SEARCH($A16,'RR5 Player Stats'!$A$3:"&amp;"$A$50))),0))"),3.0)</f>
        <v>3</v>
      </c>
      <c r="X16" s="57">
        <f>IFERROR(__xludf.DUMMYFUNCTION("MEDIAN(IFERROR(FILTER('RR1 Player Stats'!AK$3:AK$50, ISNUMBER(SEARCH($A16,'RR1 Player Stats'!$A$3:$A$50))),0),IFERROR(FILTER('RR2 Player Stats'!AK$3:AK$50, ISNUMBER(SEARCH($A16,'RR2 Player Stats'!$A$3:$A$50))),0),IFERROR(FILTER('RR3 Player Stats'!AK$3:AK$"&amp;"50, ISNUMBER(SEARCH($A16,'RR3 Player Stats'!$A$3:$A$50))),0),IFERROR(FILTER('RR4 Player Stats'!AK$3:AK$50, ISNUMBER(SEARCH($A16,'RR4 Player Stats'!$A$3:$A$50))),0),IFERROR(FILTER('RR5 Player Stats'!AK$3:AK$50, ISNUMBER(SEARCH($A16,'RR5 Player Stats'!$A$3:"&amp;"$A$50))),0))"),44.0)</f>
        <v>44</v>
      </c>
      <c r="Y16" s="57">
        <f>IFERROR(__xludf.DUMMYFUNCTION("MEDIAN(IFERROR(FILTER('RR1 Player Stats'!AL$3:AL$50, ISNUMBER(SEARCH($A16,'RR1 Player Stats'!$A$3:$A$50))),0),IFERROR(FILTER('RR2 Player Stats'!AL$3:AL$50, ISNUMBER(SEARCH($A16,'RR2 Player Stats'!$A$3:$A$50))),0),IFERROR(FILTER('RR3 Player Stats'!AL$3:AL$"&amp;"50, ISNUMBER(SEARCH($A16,'RR3 Player Stats'!$A$3:$A$50))),0),IFERROR(FILTER('RR4 Player Stats'!AL$3:AL$50, ISNUMBER(SEARCH($A16,'RR4 Player Stats'!$A$3:$A$50))),0),IFERROR(FILTER('RR5 Player Stats'!AL$3:AL$50, ISNUMBER(SEARCH($A16,'RR5 Player Stats'!$A$3:"&amp;"$A$50))),0))"),28.0)</f>
        <v>28</v>
      </c>
      <c r="Z16" s="180">
        <f>IFERROR(__xludf.DUMMYFUNCTION("MEDIAN(IFERROR(FILTER('RR1 Player Stats'!AM$3:AM$50, ISNUMBER(SEARCH($A16,'RR1 Player Stats'!$A$3:$A$50))),0),IFERROR(FILTER('RR2 Player Stats'!AM$3:AM$50, ISNUMBER(SEARCH($A16,'RR2 Player Stats'!$A$3:$A$50))),0),IFERROR(FILTER('RR3 Player Stats'!AM$3:AM$"&amp;"50, ISNUMBER(SEARCH($A16,'RR3 Player Stats'!$A$3:$A$50))),0),IFERROR(FILTER('RR4 Player Stats'!AM$3:AM$50, ISNUMBER(SEARCH($A16,'RR4 Player Stats'!$A$3:$A$50))),0),IFERROR(FILTER('RR5 Player Stats'!AM$3:AM$50, ISNUMBER(SEARCH($A16,'RR5 Player Stats'!$A$3:"&amp;"$A$50))),0))"),0.45)</f>
        <v>0.45</v>
      </c>
    </row>
    <row r="17">
      <c r="A17" s="29" t="s">
        <v>75</v>
      </c>
      <c r="B17" s="48">
        <f>COUNTIF('RR1 Player Stats'!$A$3:$A$50,$A17)+COUNTIF('RR2 Player Stats'!$A$3:$A$50,$A17)+COUNTIF('RR3 Player Stats'!$A$3:$A$50,$A17)+COUNTIF('RR4 Player Stats'!$A$3:$A$50,$A17)+COUNTIF('RR5 Player Stats'!$A$3:$A$50,$A17)</f>
        <v>5</v>
      </c>
      <c r="C17" s="55">
        <f>IFERROR(__xludf.DUMMYFUNCTION("IFERROR(FILTER('RR1 Player Stats'!V$3:V$50, ISNUMBER(SEARCH($A17,'RR1 Player Stats'!$A$3:$A$50))),0)
+IFERROR(FILTER('RR2 Player Stats'!V$3:V$50, ISNUMBER(SEARCH($A17,'RR2 Player Stats'!$A$3:$A$50))),0)
+IFERROR(FILTER('RR3 Player Stats'!V$3:V$50, ISNUMBE"&amp;"R(SEARCH($A17,'RR3 Player Stats'!$A$3:$A$50))),0)
+IFERROR(FILTER('RR4 Player Stats'!V$3:V$50, ISNUMBER(SEARCH($A17,'RR4 Player Stats'!$A$3:$A$50))),0)
+IFERROR(FILTER('RR5 Player Stats'!V$3:V$50, ISNUMBER(SEARCH($A17,'RR5 Player Stats'!$A$3:$A$50))),0)"),21.0)</f>
        <v>21</v>
      </c>
      <c r="D17" s="57">
        <f>IFERROR(__xludf.DUMMYFUNCTION("IFERROR(FILTER('RR1 Player Stats'!W$3:W$50, ISNUMBER(SEARCH($A17,'RR1 Player Stats'!$A$3:$A$50))),0)
+IFERROR(FILTER('RR2 Player Stats'!W$3:W$50, ISNUMBER(SEARCH($A17,'RR2 Player Stats'!$A$3:$A$50))),0)
+IFERROR(FILTER('RR3 Player Stats'!W$3:W$50, ISNUMBE"&amp;"R(SEARCH($A17,'RR3 Player Stats'!$A$3:$A$50))),0)
+IFERROR(FILTER('RR4 Player Stats'!W$3:W$50, ISNUMBER(SEARCH($A17,'RR4 Player Stats'!$A$3:$A$50))),0)
+IFERROR(FILTER('RR5 Player Stats'!W$3:W$50, ISNUMBER(SEARCH($A17,'RR5 Player Stats'!$A$3:$A$50))),0)"),9.0)</f>
        <v>9</v>
      </c>
      <c r="E17" s="57">
        <f>IFERROR(__xludf.DUMMYFUNCTION("IFERROR(FILTER('RR1 Player Stats'!X$3:X$50, ISNUMBER(SEARCH($A17,'RR1 Player Stats'!$A$3:$A$50))),0)
+IFERROR(FILTER('RR2 Player Stats'!X$3:X$50, ISNUMBER(SEARCH($A17,'RR2 Player Stats'!$A$3:$A$50))),0)
+IFERROR(FILTER('RR3 Player Stats'!X$3:X$50, ISNUMBE"&amp;"R(SEARCH($A17,'RR3 Player Stats'!$A$3:$A$50))),0)
+IFERROR(FILTER('RR4 Player Stats'!X$3:X$50, ISNUMBER(SEARCH($A17,'RR4 Player Stats'!$A$3:$A$50))),0)
+IFERROR(FILTER('RR5 Player Stats'!X$3:X$50, ISNUMBER(SEARCH($A17,'RR5 Player Stats'!$A$3:$A$50))),0)"),4.0)</f>
        <v>4</v>
      </c>
      <c r="F17" s="57">
        <f>IFERROR(__xludf.DUMMYFUNCTION("IFERROR(FILTER('RR1 Player Stats'!Y$3:Y$50, ISNUMBER(SEARCH($A17,'RR1 Player Stats'!$A$3:$A$50))),0)
+IFERROR(FILTER('RR2 Player Stats'!Y$3:Y$50, ISNUMBER(SEARCH($A17,'RR2 Player Stats'!$A$3:$A$50))),0)
+IFERROR(FILTER('RR3 Player Stats'!Y$3:Y$50, ISNUMBE"&amp;"R(SEARCH($A17,'RR3 Player Stats'!$A$3:$A$50))),0)
+IFERROR(FILTER('RR4 Player Stats'!Y$3:Y$50, ISNUMBER(SEARCH($A17,'RR4 Player Stats'!$A$3:$A$50))),0)
+IFERROR(FILTER('RR5 Player Stats'!Y$3:Y$50, ISNUMBER(SEARCH($A17,'RR5 Player Stats'!$A$3:$A$50))),0)"),138.0)</f>
        <v>138</v>
      </c>
      <c r="G17" s="57">
        <f>IFERROR(__xludf.DUMMYFUNCTION("IFERROR(FILTER('RR1 Player Stats'!Z$3:Z$50, ISNUMBER(SEARCH($A17,'RR1 Player Stats'!$A$3:$A$50))),0)
+IFERROR(FILTER('RR2 Player Stats'!Z$3:Z$50, ISNUMBER(SEARCH($A17,'RR2 Player Stats'!$A$3:$A$50))),0)
+IFERROR(FILTER('RR3 Player Stats'!Z$3:Z$50, ISNUMBE"&amp;"R(SEARCH($A17,'RR3 Player Stats'!$A$3:$A$50))),0)
+IFERROR(FILTER('RR4 Player Stats'!Z$3:Z$50, ISNUMBER(SEARCH($A17,'RR4 Player Stats'!$A$3:$A$50))),0)
+IFERROR(FILTER('RR5 Player Stats'!Z$3:Z$50, ISNUMBER(SEARCH($A17,'RR5 Player Stats'!$A$3:$A$50))),0)"),122.0)</f>
        <v>122</v>
      </c>
      <c r="H17" s="180">
        <f>IFERROR(__xludf.DUMMYFUNCTION("(IFERROR(FILTER('RR1 Player Stats'!AA$3:AA$50, ISNUMBER(SEARCH($A17,'RR1 Player Stats'!$A$3:$A$50))),0)
+IFERROR(FILTER('RR2 Player Stats'!AA$3:AA$50, ISNUMBER(SEARCH($A17,'RR2 Player Stats'!$A$3:$A$50))),0)
+IFERROR(FILTER('RR3 Player Stats'!AA$3:AA$50, "&amp;"ISNUMBER(SEARCH($A17,'RR3 Player Stats'!$A$3:$A$50))),0)
+IFERROR(FILTER('RR4 Player Stats'!AA$3:AA$50, ISNUMBER(SEARCH($A17,'RR4 Player Stats'!$A$3:$A$50))),0)
+IFERROR(FILTER('RR5 Player Stats'!AA$3:AA$50, ISNUMBER(SEARCH($A17,'RR5 Player Stats'!$A$3:$A"&amp;"$50))),0))/5"),0.502)</f>
        <v>0.502</v>
      </c>
      <c r="I17" s="55">
        <f>IFERROR(__xludf.DUMMYFUNCTION("IFERROR(FILTER('RR1 Player Stats'!AB$3:AB$50, ISNUMBER(SEARCH($A17,'RR1 Player Stats'!$A$3:$A$50))),0)
+IFERROR(FILTER('RR2 Player Stats'!AB$3:AB$50, ISNUMBER(SEARCH($A17,'RR2 Player Stats'!$A$3:$A$50))),0)
+IFERROR(FILTER('RR3 Player Stats'!AB$3:AB$50, I"&amp;"SNUMBER(SEARCH($A17,'RR3 Player Stats'!$A$3:$A$50))),0)
+IFERROR(FILTER('RR4 Player Stats'!AB$3:AB$50, ISNUMBER(SEARCH($A17,'RR4 Player Stats'!$A$3:$A$50))),0)
+IFERROR(FILTER('RR5 Player Stats'!AB$3:AB$50, ISNUMBER(SEARCH($A17,'RR5 Player Stats'!$A$3:$A$"&amp;"50))),0)"),11.0)</f>
        <v>11</v>
      </c>
      <c r="J17" s="57">
        <f>IFERROR(__xludf.DUMMYFUNCTION("IFERROR(FILTER('RR1 Player Stats'!AC$3:AC$50, ISNUMBER(SEARCH($A17,'RR1 Player Stats'!$A$3:$A$50))),0)
+IFERROR(FILTER('RR2 Player Stats'!AC$3:AC$50, ISNUMBER(SEARCH($A17,'RR2 Player Stats'!$A$3:$A$50))),0)
+IFERROR(FILTER('RR3 Player Stats'!AC$3:AC$50, I"&amp;"SNUMBER(SEARCH($A17,'RR3 Player Stats'!$A$3:$A$50))),0)
+IFERROR(FILTER('RR4 Player Stats'!AC$3:AC$50, ISNUMBER(SEARCH($A17,'RR4 Player Stats'!$A$3:$A$50))),0)
+IFERROR(FILTER('RR5 Player Stats'!AC$3:AC$50, ISNUMBER(SEARCH($A17,'RR5 Player Stats'!$A$3:$A$"&amp;"50))),0)"),1.0)</f>
        <v>1</v>
      </c>
      <c r="K17" s="57">
        <f>IFERROR(__xludf.DUMMYFUNCTION("IFERROR(FILTER('RR1 Player Stats'!AD$3:AD$50, ISNUMBER(SEARCH($A17,'RR1 Player Stats'!$A$3:$A$50))),0)
+IFERROR(FILTER('RR2 Player Stats'!AD$3:AD$50, ISNUMBER(SEARCH($A17,'RR2 Player Stats'!$A$3:$A$50))),0)
+IFERROR(FILTER('RR3 Player Stats'!AD$3:AD$50, I"&amp;"SNUMBER(SEARCH($A17,'RR3 Player Stats'!$A$3:$A$50))),0)
+IFERROR(FILTER('RR4 Player Stats'!AD$3:AD$50, ISNUMBER(SEARCH($A17,'RR4 Player Stats'!$A$3:$A$50))),0)
+IFERROR(FILTER('RR5 Player Stats'!AD$3:AD$50, ISNUMBER(SEARCH($A17,'RR5 Player Stats'!$A$3:$A$"&amp;"50))),0)"),0.0)</f>
        <v>0</v>
      </c>
      <c r="L17" s="57">
        <f>IFERROR(__xludf.DUMMYFUNCTION("IFERROR(FILTER('RR1 Player Stats'!AE$3:AE$50, ISNUMBER(SEARCH($A17,'RR1 Player Stats'!$A$3:$A$50))),0)
+IFERROR(FILTER('RR2 Player Stats'!AE$3:AE$50, ISNUMBER(SEARCH($A17,'RR2 Player Stats'!$A$3:$A$50))),0)
+IFERROR(FILTER('RR3 Player Stats'!AE$3:AE$50, I"&amp;"SNUMBER(SEARCH($A17,'RR3 Player Stats'!$A$3:$A$50))),0)
+IFERROR(FILTER('RR4 Player Stats'!AE$3:AE$50, ISNUMBER(SEARCH($A17,'RR4 Player Stats'!$A$3:$A$50))),0)
+IFERROR(FILTER('RR5 Player Stats'!AE$3:AE$50, ISNUMBER(SEARCH($A17,'RR5 Player Stats'!$A$3:$A$"&amp;"50))),0)"),50.0)</f>
        <v>50</v>
      </c>
      <c r="M17" s="57">
        <f>IFERROR(__xludf.DUMMYFUNCTION("IFERROR(FILTER('RR1 Player Stats'!AF$3:AF$50, ISNUMBER(SEARCH($A17,'RR1 Player Stats'!$A$3:$A$50))),0)
+IFERROR(FILTER('RR2 Player Stats'!AF$3:AF$50, ISNUMBER(SEARCH($A17,'RR2 Player Stats'!$A$3:$A$50))),0)
+IFERROR(FILTER('RR3 Player Stats'!AF$3:AF$50, I"&amp;"SNUMBER(SEARCH($A17,'RR3 Player Stats'!$A$3:$A$50))),0)
+IFERROR(FILTER('RR4 Player Stats'!AF$3:AF$50, ISNUMBER(SEARCH($A17,'RR4 Player Stats'!$A$3:$A$50))),0)
+IFERROR(FILTER('RR5 Player Stats'!AF$3:AF$50, ISNUMBER(SEARCH($A17,'RR5 Player Stats'!$A$3:$A$"&amp;"50))),0)"),50.0)</f>
        <v>50</v>
      </c>
      <c r="N17" s="180">
        <f>IFERROR(__xludf.DUMMYFUNCTION("(IFERROR(FILTER('RR1 Player Stats'!AG$3:AG$50, ISNUMBER(SEARCH($A17,'RR1 Player Stats'!$A$3:$A$50))),0)
+IFERROR(FILTER('RR2 Player Stats'!AG$3:AG$50, ISNUMBER(SEARCH($A17,'RR2 Player Stats'!$A$3:$A$50))),0)
+IFERROR(FILTER('RR3 Player Stats'!AG$3:AG$50, "&amp;"ISNUMBER(SEARCH($A17,'RR3 Player Stats'!$A$3:$A$50))),0)
+IFERROR(FILTER('RR4 Player Stats'!AG$3:AG$50, ISNUMBER(SEARCH($A17,'RR4 Player Stats'!$A$3:$A$50))),0)
+IFERROR(FILTER('RR5 Player Stats'!AG$3:AG$50, ISNUMBER(SEARCH($A17,'RR5 Player Stats'!$A$3:$A"&amp;"$50))),0))/5"),0.304)</f>
        <v>0.304</v>
      </c>
      <c r="O17" s="55">
        <f>IFERROR(__xludf.DUMMYFUNCTION("IFERROR(FILTER('RR1 Player Stats'!AH$3:AH$50, ISNUMBER(SEARCH($A17,'RR1 Player Stats'!$A$3:$A$50))),0)
+IFERROR(FILTER('RR2 Player Stats'!AH$3:AH$50, ISNUMBER(SEARCH($A17,'RR2 Player Stats'!$A$3:$A$50))),0)
+IFERROR(FILTER('RR3 Player Stats'!AH$3:AH$50, I"&amp;"SNUMBER(SEARCH($A17,'RR3 Player Stats'!$A$3:$A$50))),0)
+IFERROR(FILTER('RR4 Player Stats'!AH$3:AH$50, ISNUMBER(SEARCH($A17,'RR4 Player Stats'!$A$3:$A$50))),0)
+IFERROR(FILTER('RR5 Player Stats'!AH$3:AH$50, ISNUMBER(SEARCH($A17,'RR5 Player Stats'!$A$3:$A$"&amp;"50))),0)"),32.0)</f>
        <v>32</v>
      </c>
      <c r="P17" s="57">
        <f>IFERROR(__xludf.DUMMYFUNCTION("IFERROR(FILTER('RR1 Player Stats'!AI$3:AI$50, ISNUMBER(SEARCH($A17,'RR1 Player Stats'!$A$3:$A$50))),0)
+IFERROR(FILTER('RR2 Player Stats'!AI$3:AI$50, ISNUMBER(SEARCH($A17,'RR2 Player Stats'!$A$3:$A$50))),0)
+IFERROR(FILTER('RR3 Player Stats'!AI$3:AI$50, I"&amp;"SNUMBER(SEARCH($A17,'RR3 Player Stats'!$A$3:$A$50))),0)
+IFERROR(FILTER('RR4 Player Stats'!AI$3:AI$50, ISNUMBER(SEARCH($A17,'RR4 Player Stats'!$A$3:$A$50))),0)
+IFERROR(FILTER('RR5 Player Stats'!AI$3:AI$50, ISNUMBER(SEARCH($A17,'RR5 Player Stats'!$A$3:$A$"&amp;"50))),0)"),10.0)</f>
        <v>10</v>
      </c>
      <c r="Q17" s="57">
        <f>IFERROR(__xludf.DUMMYFUNCTION("IFERROR(FILTER('RR1 Player Stats'!AJ$3:AJ$50, ISNUMBER(SEARCH($A17,'RR1 Player Stats'!$A$3:$A$50))),0)
+IFERROR(FILTER('RR2 Player Stats'!AJ$3:AJ$50, ISNUMBER(SEARCH($A17,'RR2 Player Stats'!$A$3:$A$50))),0)
+IFERROR(FILTER('RR3 Player Stats'!AJ$3:AJ$50, I"&amp;"SNUMBER(SEARCH($A17,'RR3 Player Stats'!$A$3:$A$50))),0)
+IFERROR(FILTER('RR4 Player Stats'!AJ$3:AJ$50, ISNUMBER(SEARCH($A17,'RR4 Player Stats'!$A$3:$A$50))),0)
+IFERROR(FILTER('RR5 Player Stats'!AJ$3:AJ$50, ISNUMBER(SEARCH($A17,'RR5 Player Stats'!$A$3:$A$"&amp;"50))),0)"),4.0)</f>
        <v>4</v>
      </c>
      <c r="R17" s="57">
        <f>IFERROR(__xludf.DUMMYFUNCTION("IFERROR(FILTER('RR1 Player Stats'!AK$3:AK$50, ISNUMBER(SEARCH($A17,'RR1 Player Stats'!$A$3:$A$50))),0)
+IFERROR(FILTER('RR2 Player Stats'!AK$3:AK$50, ISNUMBER(SEARCH($A17,'RR2 Player Stats'!$A$3:$A$50))),0)
+IFERROR(FILTER('RR3 Player Stats'!AK$3:AK$50, I"&amp;"SNUMBER(SEARCH($A17,'RR3 Player Stats'!$A$3:$A$50))),0)
+IFERROR(FILTER('RR4 Player Stats'!AK$3:AK$50, ISNUMBER(SEARCH($A17,'RR4 Player Stats'!$A$3:$A$50))),0)
+IFERROR(FILTER('RR5 Player Stats'!AK$3:AK$50, ISNUMBER(SEARCH($A17,'RR5 Player Stats'!$A$3:$A$"&amp;"50))),0)"),188.0)</f>
        <v>188</v>
      </c>
      <c r="S17" s="57">
        <f>IFERROR(__xludf.DUMMYFUNCTION("IFERROR(FILTER('RR1 Player Stats'!AL$3:AL$50, ISNUMBER(SEARCH($A17,'RR1 Player Stats'!$A$3:$A$50))),0)
+IFERROR(FILTER('RR2 Player Stats'!AL$3:AL$50, ISNUMBER(SEARCH($A17,'RR2 Player Stats'!$A$3:$A$50))),0)
+IFERROR(FILTER('RR3 Player Stats'!AL$3:AL$50, I"&amp;"SNUMBER(SEARCH($A17,'RR3 Player Stats'!$A$3:$A$50))),0)
+IFERROR(FILTER('RR4 Player Stats'!AL$3:AL$50, ISNUMBER(SEARCH($A17,'RR4 Player Stats'!$A$3:$A$50))),0)
+IFERROR(FILTER('RR5 Player Stats'!AL$3:AL$50, ISNUMBER(SEARCH($A17,'RR5 Player Stats'!$A$3:$A$"&amp;"50))),0)"),172.0)</f>
        <v>172</v>
      </c>
      <c r="T17" s="180">
        <f>IFERROR(__xludf.DUMMYFUNCTION("(IFERROR(FILTER('RR1 Player Stats'!AM$3:AM$50, ISNUMBER(SEARCH($A17,'RR1 Player Stats'!$A$3:$A$50))),0)
+IFERROR(FILTER('RR2 Player Stats'!AM$3:AM$50, ISNUMBER(SEARCH($A17,'RR2 Player Stats'!$A$3:$A$50))),0)
+IFERROR(FILTER('RR3 Player Stats'!AM$3:AM$50, "&amp;"ISNUMBER(SEARCH($A17,'RR3 Player Stats'!$A$3:$A$50))),0)
+IFERROR(FILTER('RR4 Player Stats'!AM$3:AM$50, ISNUMBER(SEARCH($A17,'RR4 Player Stats'!$A$3:$A$50))),0)
+IFERROR(FILTER('RR5 Player Stats'!AM$3:AM$50, ISNUMBER(SEARCH($A17,'RR5 Player Stats'!$A$3:$A"&amp;"$50))),0))/B17"),0.42000000000000004)</f>
        <v>0.42</v>
      </c>
      <c r="U17" s="55">
        <f>IFERROR(__xludf.DUMMYFUNCTION("MEDIAN(IFERROR(FILTER('RR1 Player Stats'!AH$3:AH$50, ISNUMBER(SEARCH($A17,'RR1 Player Stats'!$A$3:$A$50))),0),IFERROR(FILTER('RR2 Player Stats'!AH$3:AH$50, ISNUMBER(SEARCH($A17,'RR2 Player Stats'!$A$3:$A$50))),0),IFERROR(FILTER('RR3 Player Stats'!AH$3:AH$"&amp;"50, ISNUMBER(SEARCH($A17,'RR3 Player Stats'!$A$3:$A$50))),0),IFERROR(FILTER('RR4 Player Stats'!AH$3:AH$50, ISNUMBER(SEARCH($A17,'RR4 Player Stats'!$A$3:$A$50))),0),IFERROR(FILTER('RR5 Player Stats'!AH$3:AH$50, ISNUMBER(SEARCH($A17,'RR5 Player Stats'!$A$3:"&amp;"$A$50))),0))"),7.0)</f>
        <v>7</v>
      </c>
      <c r="V17" s="57">
        <f>IFERROR(__xludf.DUMMYFUNCTION("MEDIAN(IFERROR(FILTER('RR1 Player Stats'!AI$3:AI$50, ISNUMBER(SEARCH($A17,'RR1 Player Stats'!$A$3:$A$50))),0),IFERROR(FILTER('RR2 Player Stats'!AI$3:AI$50, ISNUMBER(SEARCH($A17,'RR2 Player Stats'!$A$3:$A$50))),0),IFERROR(FILTER('RR3 Player Stats'!AI$3:AI$"&amp;"50, ISNUMBER(SEARCH($A17,'RR3 Player Stats'!$A$3:$A$50))),0),IFERROR(FILTER('RR4 Player Stats'!AI$3:AI$50, ISNUMBER(SEARCH($A17,'RR4 Player Stats'!$A$3:$A$50))),0),IFERROR(FILTER('RR5 Player Stats'!AI$3:AI$50, ISNUMBER(SEARCH($A17,'RR5 Player Stats'!$A$3:"&amp;"$A$50))),0))"),2.0)</f>
        <v>2</v>
      </c>
      <c r="W17" s="57">
        <f>IFERROR(__xludf.DUMMYFUNCTION("MEDIAN(IFERROR(FILTER('RR1 Player Stats'!AJ$3:AJ$50, ISNUMBER(SEARCH($A17,'RR1 Player Stats'!$A$3:$A$50))),0),IFERROR(FILTER('RR2 Player Stats'!AJ$3:AJ$50, ISNUMBER(SEARCH($A17,'RR2 Player Stats'!$A$3:$A$50))),0),IFERROR(FILTER('RR3 Player Stats'!AJ$3:AJ$"&amp;"50, ISNUMBER(SEARCH($A17,'RR3 Player Stats'!$A$3:$A$50))),0),IFERROR(FILTER('RR4 Player Stats'!AJ$3:AJ$50, ISNUMBER(SEARCH($A17,'RR4 Player Stats'!$A$3:$A$50))),0),IFERROR(FILTER('RR5 Player Stats'!AJ$3:AJ$50, ISNUMBER(SEARCH($A17,'RR5 Player Stats'!$A$3:"&amp;"$A$50))),0))"),1.0)</f>
        <v>1</v>
      </c>
      <c r="X17" s="57">
        <f>IFERROR(__xludf.DUMMYFUNCTION("MEDIAN(IFERROR(FILTER('RR1 Player Stats'!AK$3:AK$50, ISNUMBER(SEARCH($A17,'RR1 Player Stats'!$A$3:$A$50))),0),IFERROR(FILTER('RR2 Player Stats'!AK$3:AK$50, ISNUMBER(SEARCH($A17,'RR2 Player Stats'!$A$3:$A$50))),0),IFERROR(FILTER('RR3 Player Stats'!AK$3:AK$"&amp;"50, ISNUMBER(SEARCH($A17,'RR3 Player Stats'!$A$3:$A$50))),0),IFERROR(FILTER('RR4 Player Stats'!AK$3:AK$50, ISNUMBER(SEARCH($A17,'RR4 Player Stats'!$A$3:$A$50))),0),IFERROR(FILTER('RR5 Player Stats'!AK$3:AK$50, ISNUMBER(SEARCH($A17,'RR5 Player Stats'!$A$3:"&amp;"$A$50))),0))"),42.0)</f>
        <v>42</v>
      </c>
      <c r="Y17" s="57">
        <f>IFERROR(__xludf.DUMMYFUNCTION("MEDIAN(IFERROR(FILTER('RR1 Player Stats'!AL$3:AL$50, ISNUMBER(SEARCH($A17,'RR1 Player Stats'!$A$3:$A$50))),0),IFERROR(FILTER('RR2 Player Stats'!AL$3:AL$50, ISNUMBER(SEARCH($A17,'RR2 Player Stats'!$A$3:$A$50))),0),IFERROR(FILTER('RR3 Player Stats'!AL$3:AL$"&amp;"50, ISNUMBER(SEARCH($A17,'RR3 Player Stats'!$A$3:$A$50))),0),IFERROR(FILTER('RR4 Player Stats'!AL$3:AL$50, ISNUMBER(SEARCH($A17,'RR4 Player Stats'!$A$3:$A$50))),0),IFERROR(FILTER('RR5 Player Stats'!AL$3:AL$50, ISNUMBER(SEARCH($A17,'RR5 Player Stats'!$A$3:"&amp;"$A$50))),0))"),38.0)</f>
        <v>38</v>
      </c>
      <c r="Z17" s="180">
        <f>IFERROR(__xludf.DUMMYFUNCTION("MEDIAN(IFERROR(FILTER('RR1 Player Stats'!AM$3:AM$50, ISNUMBER(SEARCH($A17,'RR1 Player Stats'!$A$3:$A$50))),0),IFERROR(FILTER('RR2 Player Stats'!AM$3:AM$50, ISNUMBER(SEARCH($A17,'RR2 Player Stats'!$A$3:$A$50))),0),IFERROR(FILTER('RR3 Player Stats'!AM$3:AM$"&amp;"50, ISNUMBER(SEARCH($A17,'RR3 Player Stats'!$A$3:$A$50))),0),IFERROR(FILTER('RR4 Player Stats'!AM$3:AM$50, ISNUMBER(SEARCH($A17,'RR4 Player Stats'!$A$3:$A$50))),0),IFERROR(FILTER('RR5 Player Stats'!AM$3:AM$50, ISNUMBER(SEARCH($A17,'RR5 Player Stats'!$A$3:"&amp;"$A$50))),0))"),0.5)</f>
        <v>0.5</v>
      </c>
    </row>
    <row r="18">
      <c r="A18" s="29" t="s">
        <v>54</v>
      </c>
      <c r="B18" s="48">
        <f>COUNTIF('RR1 Player Stats'!$A$3:$A$50,$A18)+COUNTIF('RR2 Player Stats'!$A$3:$A$50,$A18)+COUNTIF('RR3 Player Stats'!$A$3:$A$50,$A18)+COUNTIF('RR4 Player Stats'!$A$3:$A$50,$A18)+COUNTIF('RR5 Player Stats'!$A$3:$A$50,$A18)</f>
        <v>5</v>
      </c>
      <c r="C18" s="55">
        <f>IFERROR(__xludf.DUMMYFUNCTION("IFERROR(FILTER('RR1 Player Stats'!V$3:V$50, ISNUMBER(SEARCH($A18,'RR1 Player Stats'!$A$3:$A$50))),0)
+IFERROR(FILTER('RR2 Player Stats'!V$3:V$50, ISNUMBER(SEARCH($A18,'RR2 Player Stats'!$A$3:$A$50))),0)
+IFERROR(FILTER('RR3 Player Stats'!V$3:V$50, ISNUMBE"&amp;"R(SEARCH($A18,'RR3 Player Stats'!$A$3:$A$50))),0)
+IFERROR(FILTER('RR4 Player Stats'!V$3:V$50, ISNUMBER(SEARCH($A18,'RR4 Player Stats'!$A$3:$A$50))),0)
+IFERROR(FILTER('RR5 Player Stats'!V$3:V$50, ISNUMBER(SEARCH($A18,'RR5 Player Stats'!$A$3:$A$50))),0)"),19.0)</f>
        <v>19</v>
      </c>
      <c r="D18" s="57">
        <f>IFERROR(__xludf.DUMMYFUNCTION("IFERROR(FILTER('RR1 Player Stats'!W$3:W$50, ISNUMBER(SEARCH($A18,'RR1 Player Stats'!$A$3:$A$50))),0)
+IFERROR(FILTER('RR2 Player Stats'!W$3:W$50, ISNUMBER(SEARCH($A18,'RR2 Player Stats'!$A$3:$A$50))),0)
+IFERROR(FILTER('RR3 Player Stats'!W$3:W$50, ISNUMBE"&amp;"R(SEARCH($A18,'RR3 Player Stats'!$A$3:$A$50))),0)
+IFERROR(FILTER('RR4 Player Stats'!W$3:W$50, ISNUMBER(SEARCH($A18,'RR4 Player Stats'!$A$3:$A$50))),0)
+IFERROR(FILTER('RR5 Player Stats'!W$3:W$50, ISNUMBER(SEARCH($A18,'RR5 Player Stats'!$A$3:$A$50))),0)"),6.0)</f>
        <v>6</v>
      </c>
      <c r="E18" s="57">
        <f>IFERROR(__xludf.DUMMYFUNCTION("IFERROR(FILTER('RR1 Player Stats'!X$3:X$50, ISNUMBER(SEARCH($A18,'RR1 Player Stats'!$A$3:$A$50))),0)
+IFERROR(FILTER('RR2 Player Stats'!X$3:X$50, ISNUMBER(SEARCH($A18,'RR2 Player Stats'!$A$3:$A$50))),0)
+IFERROR(FILTER('RR3 Player Stats'!X$3:X$50, ISNUMBE"&amp;"R(SEARCH($A18,'RR3 Player Stats'!$A$3:$A$50))),0)
+IFERROR(FILTER('RR4 Player Stats'!X$3:X$50, ISNUMBER(SEARCH($A18,'RR4 Player Stats'!$A$3:$A$50))),0)
+IFERROR(FILTER('RR5 Player Stats'!X$3:X$50, ISNUMBER(SEARCH($A18,'RR5 Player Stats'!$A$3:$A$50))),0)"),1.0)</f>
        <v>1</v>
      </c>
      <c r="F18" s="57">
        <f>IFERROR(__xludf.DUMMYFUNCTION("IFERROR(FILTER('RR1 Player Stats'!Y$3:Y$50, ISNUMBER(SEARCH($A18,'RR1 Player Stats'!$A$3:$A$50))),0)
+IFERROR(FILTER('RR2 Player Stats'!Y$3:Y$50, ISNUMBER(SEARCH($A18,'RR2 Player Stats'!$A$3:$A$50))),0)
+IFERROR(FILTER('RR3 Player Stats'!Y$3:Y$50, ISNUMBE"&amp;"R(SEARCH($A18,'RR3 Player Stats'!$A$3:$A$50))),0)
+IFERROR(FILTER('RR4 Player Stats'!Y$3:Y$50, ISNUMBER(SEARCH($A18,'RR4 Player Stats'!$A$3:$A$50))),0)
+IFERROR(FILTER('RR5 Player Stats'!Y$3:Y$50, ISNUMBER(SEARCH($A18,'RR5 Player Stats'!$A$3:$A$50))),0)"),112.0)</f>
        <v>112</v>
      </c>
      <c r="G18" s="57">
        <f>IFERROR(__xludf.DUMMYFUNCTION("IFERROR(FILTER('RR1 Player Stats'!Z$3:Z$50, ISNUMBER(SEARCH($A18,'RR1 Player Stats'!$A$3:$A$50))),0)
+IFERROR(FILTER('RR2 Player Stats'!Z$3:Z$50, ISNUMBER(SEARCH($A18,'RR2 Player Stats'!$A$3:$A$50))),0)
+IFERROR(FILTER('RR3 Player Stats'!Z$3:Z$50, ISNUMBE"&amp;"R(SEARCH($A18,'RR3 Player Stats'!$A$3:$A$50))),0)
+IFERROR(FILTER('RR4 Player Stats'!Z$3:Z$50, ISNUMBER(SEARCH($A18,'RR4 Player Stats'!$A$3:$A$50))),0)
+IFERROR(FILTER('RR5 Player Stats'!Z$3:Z$50, ISNUMBER(SEARCH($A18,'RR5 Player Stats'!$A$3:$A$50))),0)"),108.0)</f>
        <v>108</v>
      </c>
      <c r="H18" s="180">
        <f>IFERROR(__xludf.DUMMYFUNCTION("(IFERROR(FILTER('RR1 Player Stats'!AA$3:AA$50, ISNUMBER(SEARCH($A18,'RR1 Player Stats'!$A$3:$A$50))),0)
+IFERROR(FILTER('RR2 Player Stats'!AA$3:AA$50, ISNUMBER(SEARCH($A18,'RR2 Player Stats'!$A$3:$A$50))),0)
+IFERROR(FILTER('RR3 Player Stats'!AA$3:AA$50, "&amp;"ISNUMBER(SEARCH($A18,'RR3 Player Stats'!$A$3:$A$50))),0)
+IFERROR(FILTER('RR4 Player Stats'!AA$3:AA$50, ISNUMBER(SEARCH($A18,'RR4 Player Stats'!$A$3:$A$50))),0)
+IFERROR(FILTER('RR5 Player Stats'!AA$3:AA$50, ISNUMBER(SEARCH($A18,'RR5 Player Stats'!$A$3:$A"&amp;"$50))),0))/5"),0.4159999999999999)</f>
        <v>0.416</v>
      </c>
      <c r="I18" s="55">
        <f>IFERROR(__xludf.DUMMYFUNCTION("IFERROR(FILTER('RR1 Player Stats'!AB$3:AB$50, ISNUMBER(SEARCH($A18,'RR1 Player Stats'!$A$3:$A$50))),0)
+IFERROR(FILTER('RR2 Player Stats'!AB$3:AB$50, ISNUMBER(SEARCH($A18,'RR2 Player Stats'!$A$3:$A$50))),0)
+IFERROR(FILTER('RR3 Player Stats'!AB$3:AB$50, I"&amp;"SNUMBER(SEARCH($A18,'RR3 Player Stats'!$A$3:$A$50))),0)
+IFERROR(FILTER('RR4 Player Stats'!AB$3:AB$50, ISNUMBER(SEARCH($A18,'RR4 Player Stats'!$A$3:$A$50))),0)
+IFERROR(FILTER('RR5 Player Stats'!AB$3:AB$50, ISNUMBER(SEARCH($A18,'RR5 Player Stats'!$A$3:$A$"&amp;"50))),0)"),16.0)</f>
        <v>16</v>
      </c>
      <c r="J18" s="57">
        <f>IFERROR(__xludf.DUMMYFUNCTION("IFERROR(FILTER('RR1 Player Stats'!AC$3:AC$50, ISNUMBER(SEARCH($A18,'RR1 Player Stats'!$A$3:$A$50))),0)
+IFERROR(FILTER('RR2 Player Stats'!AC$3:AC$50, ISNUMBER(SEARCH($A18,'RR2 Player Stats'!$A$3:$A$50))),0)
+IFERROR(FILTER('RR3 Player Stats'!AC$3:AC$50, I"&amp;"SNUMBER(SEARCH($A18,'RR3 Player Stats'!$A$3:$A$50))),0)
+IFERROR(FILTER('RR4 Player Stats'!AC$3:AC$50, ISNUMBER(SEARCH($A18,'RR4 Player Stats'!$A$3:$A$50))),0)
+IFERROR(FILTER('RR5 Player Stats'!AC$3:AC$50, ISNUMBER(SEARCH($A18,'RR5 Player Stats'!$A$3:$A$"&amp;"50))),0)"),2.0)</f>
        <v>2</v>
      </c>
      <c r="K18" s="57">
        <f>IFERROR(__xludf.DUMMYFUNCTION("IFERROR(FILTER('RR1 Player Stats'!AD$3:AD$50, ISNUMBER(SEARCH($A18,'RR1 Player Stats'!$A$3:$A$50))),0)
+IFERROR(FILTER('RR2 Player Stats'!AD$3:AD$50, ISNUMBER(SEARCH($A18,'RR2 Player Stats'!$A$3:$A$50))),0)
+IFERROR(FILTER('RR3 Player Stats'!AD$3:AD$50, I"&amp;"SNUMBER(SEARCH($A18,'RR3 Player Stats'!$A$3:$A$50))),0)
+IFERROR(FILTER('RR4 Player Stats'!AD$3:AD$50, ISNUMBER(SEARCH($A18,'RR4 Player Stats'!$A$3:$A$50))),0)
+IFERROR(FILTER('RR5 Player Stats'!AD$3:AD$50, ISNUMBER(SEARCH($A18,'RR5 Player Stats'!$A$3:$A$"&amp;"50))),0)"),1.0)</f>
        <v>1</v>
      </c>
      <c r="L18" s="57">
        <f>IFERROR(__xludf.DUMMYFUNCTION("IFERROR(FILTER('RR1 Player Stats'!AE$3:AE$50, ISNUMBER(SEARCH($A18,'RR1 Player Stats'!$A$3:$A$50))),0)
+IFERROR(FILTER('RR2 Player Stats'!AE$3:AE$50, ISNUMBER(SEARCH($A18,'RR2 Player Stats'!$A$3:$A$50))),0)
+IFERROR(FILTER('RR3 Player Stats'!AE$3:AE$50, I"&amp;"SNUMBER(SEARCH($A18,'RR3 Player Stats'!$A$3:$A$50))),0)
+IFERROR(FILTER('RR4 Player Stats'!AE$3:AE$50, ISNUMBER(SEARCH($A18,'RR4 Player Stats'!$A$3:$A$50))),0)
+IFERROR(FILTER('RR5 Player Stats'!AE$3:AE$50, ISNUMBER(SEARCH($A18,'RR5 Player Stats'!$A$3:$A$"&amp;"50))),0)"),76.0)</f>
        <v>76</v>
      </c>
      <c r="M18" s="57">
        <f>IFERROR(__xludf.DUMMYFUNCTION("IFERROR(FILTER('RR1 Player Stats'!AF$3:AF$50, ISNUMBER(SEARCH($A18,'RR1 Player Stats'!$A$3:$A$50))),0)
+IFERROR(FILTER('RR2 Player Stats'!AF$3:AF$50, ISNUMBER(SEARCH($A18,'RR2 Player Stats'!$A$3:$A$50))),0)
+IFERROR(FILTER('RR3 Player Stats'!AF$3:AF$50, I"&amp;"SNUMBER(SEARCH($A18,'RR3 Player Stats'!$A$3:$A$50))),0)
+IFERROR(FILTER('RR4 Player Stats'!AF$3:AF$50, ISNUMBER(SEARCH($A18,'RR4 Player Stats'!$A$3:$A$50))),0)
+IFERROR(FILTER('RR5 Player Stats'!AF$3:AF$50, ISNUMBER(SEARCH($A18,'RR5 Player Stats'!$A$3:$A$"&amp;"50))),0)"),72.0)</f>
        <v>72</v>
      </c>
      <c r="N18" s="180">
        <f>IFERROR(__xludf.DUMMYFUNCTION("(IFERROR(FILTER('RR1 Player Stats'!AG$3:AG$50, ISNUMBER(SEARCH($A18,'RR1 Player Stats'!$A$3:$A$50))),0)
+IFERROR(FILTER('RR2 Player Stats'!AG$3:AG$50, ISNUMBER(SEARCH($A18,'RR2 Player Stats'!$A$3:$A$50))),0)
+IFERROR(FILTER('RR3 Player Stats'!AG$3:AG$50, "&amp;"ISNUMBER(SEARCH($A18,'RR3 Player Stats'!$A$3:$A$50))),0)
+IFERROR(FILTER('RR4 Player Stats'!AG$3:AG$50, ISNUMBER(SEARCH($A18,'RR4 Player Stats'!$A$3:$A$50))),0)
+IFERROR(FILTER('RR5 Player Stats'!AG$3:AG$50, ISNUMBER(SEARCH($A18,'RR5 Player Stats'!$A$3:$A"&amp;"$50))),0))/5"),0.45199999999999996)</f>
        <v>0.452</v>
      </c>
      <c r="O18" s="55">
        <f>IFERROR(__xludf.DUMMYFUNCTION("IFERROR(FILTER('RR1 Player Stats'!AH$3:AH$50, ISNUMBER(SEARCH($A18,'RR1 Player Stats'!$A$3:$A$50))),0)
+IFERROR(FILTER('RR2 Player Stats'!AH$3:AH$50, ISNUMBER(SEARCH($A18,'RR2 Player Stats'!$A$3:$A$50))),0)
+IFERROR(FILTER('RR3 Player Stats'!AH$3:AH$50, I"&amp;"SNUMBER(SEARCH($A18,'RR3 Player Stats'!$A$3:$A$50))),0)
+IFERROR(FILTER('RR4 Player Stats'!AH$3:AH$50, ISNUMBER(SEARCH($A18,'RR4 Player Stats'!$A$3:$A$50))),0)
+IFERROR(FILTER('RR5 Player Stats'!AH$3:AH$50, ISNUMBER(SEARCH($A18,'RR5 Player Stats'!$A$3:$A$"&amp;"50))),0)"),35.0)</f>
        <v>35</v>
      </c>
      <c r="P18" s="57">
        <f>IFERROR(__xludf.DUMMYFUNCTION("IFERROR(FILTER('RR1 Player Stats'!AI$3:AI$50, ISNUMBER(SEARCH($A18,'RR1 Player Stats'!$A$3:$A$50))),0)
+IFERROR(FILTER('RR2 Player Stats'!AI$3:AI$50, ISNUMBER(SEARCH($A18,'RR2 Player Stats'!$A$3:$A$50))),0)
+IFERROR(FILTER('RR3 Player Stats'!AI$3:AI$50, I"&amp;"SNUMBER(SEARCH($A18,'RR3 Player Stats'!$A$3:$A$50))),0)
+IFERROR(FILTER('RR4 Player Stats'!AI$3:AI$50, ISNUMBER(SEARCH($A18,'RR4 Player Stats'!$A$3:$A$50))),0)
+IFERROR(FILTER('RR5 Player Stats'!AI$3:AI$50, ISNUMBER(SEARCH($A18,'RR5 Player Stats'!$A$3:$A$"&amp;"50))),0)"),8.0)</f>
        <v>8</v>
      </c>
      <c r="Q18" s="57">
        <f>IFERROR(__xludf.DUMMYFUNCTION("IFERROR(FILTER('RR1 Player Stats'!AJ$3:AJ$50, ISNUMBER(SEARCH($A18,'RR1 Player Stats'!$A$3:$A$50))),0)
+IFERROR(FILTER('RR2 Player Stats'!AJ$3:AJ$50, ISNUMBER(SEARCH($A18,'RR2 Player Stats'!$A$3:$A$50))),0)
+IFERROR(FILTER('RR3 Player Stats'!AJ$3:AJ$50, I"&amp;"SNUMBER(SEARCH($A18,'RR3 Player Stats'!$A$3:$A$50))),0)
+IFERROR(FILTER('RR4 Player Stats'!AJ$3:AJ$50, ISNUMBER(SEARCH($A18,'RR4 Player Stats'!$A$3:$A$50))),0)
+IFERROR(FILTER('RR5 Player Stats'!AJ$3:AJ$50, ISNUMBER(SEARCH($A18,'RR5 Player Stats'!$A$3:$A$"&amp;"50))),0)"),2.0)</f>
        <v>2</v>
      </c>
      <c r="R18" s="57">
        <f>IFERROR(__xludf.DUMMYFUNCTION("IFERROR(FILTER('RR1 Player Stats'!AK$3:AK$50, ISNUMBER(SEARCH($A18,'RR1 Player Stats'!$A$3:$A$50))),0)
+IFERROR(FILTER('RR2 Player Stats'!AK$3:AK$50, ISNUMBER(SEARCH($A18,'RR2 Player Stats'!$A$3:$A$50))),0)
+IFERROR(FILTER('RR3 Player Stats'!AK$3:AK$50, I"&amp;"SNUMBER(SEARCH($A18,'RR3 Player Stats'!$A$3:$A$50))),0)
+IFERROR(FILTER('RR4 Player Stats'!AK$3:AK$50, ISNUMBER(SEARCH($A18,'RR4 Player Stats'!$A$3:$A$50))),0)
+IFERROR(FILTER('RR5 Player Stats'!AK$3:AK$50, ISNUMBER(SEARCH($A18,'RR5 Player Stats'!$A$3:$A$"&amp;"50))),0)"),188.0)</f>
        <v>188</v>
      </c>
      <c r="S18" s="57">
        <f>IFERROR(__xludf.DUMMYFUNCTION("IFERROR(FILTER('RR1 Player Stats'!AL$3:AL$50, ISNUMBER(SEARCH($A18,'RR1 Player Stats'!$A$3:$A$50))),0)
+IFERROR(FILTER('RR2 Player Stats'!AL$3:AL$50, ISNUMBER(SEARCH($A18,'RR2 Player Stats'!$A$3:$A$50))),0)
+IFERROR(FILTER('RR3 Player Stats'!AL$3:AL$50, I"&amp;"SNUMBER(SEARCH($A18,'RR3 Player Stats'!$A$3:$A$50))),0)
+IFERROR(FILTER('RR4 Player Stats'!AL$3:AL$50, ISNUMBER(SEARCH($A18,'RR4 Player Stats'!$A$3:$A$50))),0)
+IFERROR(FILTER('RR5 Player Stats'!AL$3:AL$50, ISNUMBER(SEARCH($A18,'RR5 Player Stats'!$A$3:$A$"&amp;"50))),0)"),180.0)</f>
        <v>180</v>
      </c>
      <c r="T18" s="180">
        <f>IFERROR(__xludf.DUMMYFUNCTION("(IFERROR(FILTER('RR1 Player Stats'!AM$3:AM$50, ISNUMBER(SEARCH($A18,'RR1 Player Stats'!$A$3:$A$50))),0)
+IFERROR(FILTER('RR2 Player Stats'!AM$3:AM$50, ISNUMBER(SEARCH($A18,'RR2 Player Stats'!$A$3:$A$50))),0)
+IFERROR(FILTER('RR3 Player Stats'!AM$3:AM$50, "&amp;"ISNUMBER(SEARCH($A18,'RR3 Player Stats'!$A$3:$A$50))),0)
+IFERROR(FILTER('RR4 Player Stats'!AM$3:AM$50, ISNUMBER(SEARCH($A18,'RR4 Player Stats'!$A$3:$A$50))),0)
+IFERROR(FILTER('RR5 Player Stats'!AM$3:AM$50, ISNUMBER(SEARCH($A18,'RR5 Player Stats'!$A$3:$A"&amp;"$50))),0))/B18"),0.43)</f>
        <v>0.43</v>
      </c>
      <c r="U18" s="55">
        <f>IFERROR(__xludf.DUMMYFUNCTION("MEDIAN(IFERROR(FILTER('RR1 Player Stats'!AH$3:AH$50, ISNUMBER(SEARCH($A18,'RR1 Player Stats'!$A$3:$A$50))),0),IFERROR(FILTER('RR2 Player Stats'!AH$3:AH$50, ISNUMBER(SEARCH($A18,'RR2 Player Stats'!$A$3:$A$50))),0),IFERROR(FILTER('RR3 Player Stats'!AH$3:AH$"&amp;"50, ISNUMBER(SEARCH($A18,'RR3 Player Stats'!$A$3:$A$50))),0),IFERROR(FILTER('RR4 Player Stats'!AH$3:AH$50, ISNUMBER(SEARCH($A18,'RR4 Player Stats'!$A$3:$A$50))),0),IFERROR(FILTER('RR5 Player Stats'!AH$3:AH$50, ISNUMBER(SEARCH($A18,'RR5 Player Stats'!$A$3:"&amp;"$A$50))),0))"),7.0)</f>
        <v>7</v>
      </c>
      <c r="V18" s="57">
        <f>IFERROR(__xludf.DUMMYFUNCTION("MEDIAN(IFERROR(FILTER('RR1 Player Stats'!AI$3:AI$50, ISNUMBER(SEARCH($A18,'RR1 Player Stats'!$A$3:$A$50))),0),IFERROR(FILTER('RR2 Player Stats'!AI$3:AI$50, ISNUMBER(SEARCH($A18,'RR2 Player Stats'!$A$3:$A$50))),0),IFERROR(FILTER('RR3 Player Stats'!AI$3:AI$"&amp;"50, ISNUMBER(SEARCH($A18,'RR3 Player Stats'!$A$3:$A$50))),0),IFERROR(FILTER('RR4 Player Stats'!AI$3:AI$50, ISNUMBER(SEARCH($A18,'RR4 Player Stats'!$A$3:$A$50))),0),IFERROR(FILTER('RR5 Player Stats'!AI$3:AI$50, ISNUMBER(SEARCH($A18,'RR5 Player Stats'!$A$3:"&amp;"$A$50))),0))"),1.0)</f>
        <v>1</v>
      </c>
      <c r="W18" s="57">
        <f>IFERROR(__xludf.DUMMYFUNCTION("MEDIAN(IFERROR(FILTER('RR1 Player Stats'!AJ$3:AJ$50, ISNUMBER(SEARCH($A18,'RR1 Player Stats'!$A$3:$A$50))),0),IFERROR(FILTER('RR2 Player Stats'!AJ$3:AJ$50, ISNUMBER(SEARCH($A18,'RR2 Player Stats'!$A$3:$A$50))),0),IFERROR(FILTER('RR3 Player Stats'!AJ$3:AJ$"&amp;"50, ISNUMBER(SEARCH($A18,'RR3 Player Stats'!$A$3:$A$50))),0),IFERROR(FILTER('RR4 Player Stats'!AJ$3:AJ$50, ISNUMBER(SEARCH($A18,'RR4 Player Stats'!$A$3:$A$50))),0),IFERROR(FILTER('RR5 Player Stats'!AJ$3:AJ$50, ISNUMBER(SEARCH($A18,'RR5 Player Stats'!$A$3:"&amp;"$A$50))),0))"),0.0)</f>
        <v>0</v>
      </c>
      <c r="X18" s="57">
        <f>IFERROR(__xludf.DUMMYFUNCTION("MEDIAN(IFERROR(FILTER('RR1 Player Stats'!AK$3:AK$50, ISNUMBER(SEARCH($A18,'RR1 Player Stats'!$A$3:$A$50))),0),IFERROR(FILTER('RR2 Player Stats'!AK$3:AK$50, ISNUMBER(SEARCH($A18,'RR2 Player Stats'!$A$3:$A$50))),0),IFERROR(FILTER('RR3 Player Stats'!AK$3:AK$"&amp;"50, ISNUMBER(SEARCH($A18,'RR3 Player Stats'!$A$3:$A$50))),0),IFERROR(FILTER('RR4 Player Stats'!AK$3:AK$50, ISNUMBER(SEARCH($A18,'RR4 Player Stats'!$A$3:$A$50))),0),IFERROR(FILTER('RR5 Player Stats'!AK$3:AK$50, ISNUMBER(SEARCH($A18,'RR5 Player Stats'!$A$3:"&amp;"$A$50))),0))"),34.0)</f>
        <v>34</v>
      </c>
      <c r="Y18" s="57">
        <f>IFERROR(__xludf.DUMMYFUNCTION("MEDIAN(IFERROR(FILTER('RR1 Player Stats'!AL$3:AL$50, ISNUMBER(SEARCH($A18,'RR1 Player Stats'!$A$3:$A$50))),0),IFERROR(FILTER('RR2 Player Stats'!AL$3:AL$50, ISNUMBER(SEARCH($A18,'RR2 Player Stats'!$A$3:$A$50))),0),IFERROR(FILTER('RR3 Player Stats'!AL$3:AL$"&amp;"50, ISNUMBER(SEARCH($A18,'RR3 Player Stats'!$A$3:$A$50))),0),IFERROR(FILTER('RR4 Player Stats'!AL$3:AL$50, ISNUMBER(SEARCH($A18,'RR4 Player Stats'!$A$3:$A$50))),0),IFERROR(FILTER('RR5 Player Stats'!AL$3:AL$50, ISNUMBER(SEARCH($A18,'RR5 Player Stats'!$A$3:"&amp;"$A$50))),0))"),34.0)</f>
        <v>34</v>
      </c>
      <c r="Z18" s="180">
        <f>IFERROR(__xludf.DUMMYFUNCTION("MEDIAN(IFERROR(FILTER('RR1 Player Stats'!AM$3:AM$50, ISNUMBER(SEARCH($A18,'RR1 Player Stats'!$A$3:$A$50))),0),IFERROR(FILTER('RR2 Player Stats'!AM$3:AM$50, ISNUMBER(SEARCH($A18,'RR2 Player Stats'!$A$3:$A$50))),0),IFERROR(FILTER('RR3 Player Stats'!AM$3:AM$"&amp;"50, ISNUMBER(SEARCH($A18,'RR3 Player Stats'!$A$3:$A$50))),0),IFERROR(FILTER('RR4 Player Stats'!AM$3:AM$50, ISNUMBER(SEARCH($A18,'RR4 Player Stats'!$A$3:$A$50))),0),IFERROR(FILTER('RR5 Player Stats'!AM$3:AM$50, ISNUMBER(SEARCH($A18,'RR5 Player Stats'!$A$3:"&amp;"$A$50))),0))"),0.4)</f>
        <v>0.4</v>
      </c>
    </row>
    <row r="19">
      <c r="A19" s="29" t="s">
        <v>49</v>
      </c>
      <c r="B19" s="48">
        <f>COUNTIF('RR1 Player Stats'!$A$3:$A$50,$A19)+COUNTIF('RR2 Player Stats'!$A$3:$A$50,$A19)+COUNTIF('RR3 Player Stats'!$A$3:$A$50,$A19)+COUNTIF('RR4 Player Stats'!$A$3:$A$50,$A19)+COUNTIF('RR5 Player Stats'!$A$3:$A$50,$A19)</f>
        <v>5</v>
      </c>
      <c r="C19" s="55">
        <f>IFERROR(__xludf.DUMMYFUNCTION("IFERROR(FILTER('RR1 Player Stats'!V$3:V$50, ISNUMBER(SEARCH($A19,'RR1 Player Stats'!$A$3:$A$50))),0)
+IFERROR(FILTER('RR2 Player Stats'!V$3:V$50, ISNUMBER(SEARCH($A19,'RR2 Player Stats'!$A$3:$A$50))),0)
+IFERROR(FILTER('RR3 Player Stats'!V$3:V$50, ISNUMBE"&amp;"R(SEARCH($A19,'RR3 Player Stats'!$A$3:$A$50))),0)
+IFERROR(FILTER('RR4 Player Stats'!V$3:V$50, ISNUMBER(SEARCH($A19,'RR4 Player Stats'!$A$3:$A$50))),0)
+IFERROR(FILTER('RR5 Player Stats'!V$3:V$50, ISNUMBER(SEARCH($A19,'RR5 Player Stats'!$A$3:$A$50))),0)"),11.0)</f>
        <v>11</v>
      </c>
      <c r="D19" s="57">
        <f>IFERROR(__xludf.DUMMYFUNCTION("IFERROR(FILTER('RR1 Player Stats'!W$3:W$50, ISNUMBER(SEARCH($A19,'RR1 Player Stats'!$A$3:$A$50))),0)
+IFERROR(FILTER('RR2 Player Stats'!W$3:W$50, ISNUMBER(SEARCH($A19,'RR2 Player Stats'!$A$3:$A$50))),0)
+IFERROR(FILTER('RR3 Player Stats'!W$3:W$50, ISNUMBE"&amp;"R(SEARCH($A19,'RR3 Player Stats'!$A$3:$A$50))),0)
+IFERROR(FILTER('RR4 Player Stats'!W$3:W$50, ISNUMBER(SEARCH($A19,'RR4 Player Stats'!$A$3:$A$50))),0)
+IFERROR(FILTER('RR5 Player Stats'!W$3:W$50, ISNUMBER(SEARCH($A19,'RR5 Player Stats'!$A$3:$A$50))),0)"),11.0)</f>
        <v>11</v>
      </c>
      <c r="E19" s="57">
        <f>IFERROR(__xludf.DUMMYFUNCTION("IFERROR(FILTER('RR1 Player Stats'!X$3:X$50, ISNUMBER(SEARCH($A19,'RR1 Player Stats'!$A$3:$A$50))),0)
+IFERROR(FILTER('RR2 Player Stats'!X$3:X$50, ISNUMBER(SEARCH($A19,'RR2 Player Stats'!$A$3:$A$50))),0)
+IFERROR(FILTER('RR3 Player Stats'!X$3:X$50, ISNUMBE"&amp;"R(SEARCH($A19,'RR3 Player Stats'!$A$3:$A$50))),0)
+IFERROR(FILTER('RR4 Player Stats'!X$3:X$50, ISNUMBER(SEARCH($A19,'RR4 Player Stats'!$A$3:$A$50))),0)
+IFERROR(FILTER('RR5 Player Stats'!X$3:X$50, ISNUMBER(SEARCH($A19,'RR5 Player Stats'!$A$3:$A$50))),0)"),7.0)</f>
        <v>7</v>
      </c>
      <c r="F19" s="57">
        <f>IFERROR(__xludf.DUMMYFUNCTION("IFERROR(FILTER('RR1 Player Stats'!Y$3:Y$50, ISNUMBER(SEARCH($A19,'RR1 Player Stats'!$A$3:$A$50))),0)
+IFERROR(FILTER('RR2 Player Stats'!Y$3:Y$50, ISNUMBER(SEARCH($A19,'RR2 Player Stats'!$A$3:$A$50))),0)
+IFERROR(FILTER('RR3 Player Stats'!Y$3:Y$50, ISNUMBE"&amp;"R(SEARCH($A19,'RR3 Player Stats'!$A$3:$A$50))),0)
+IFERROR(FILTER('RR4 Player Stats'!Y$3:Y$50, ISNUMBER(SEARCH($A19,'RR4 Player Stats'!$A$3:$A$50))),0)
+IFERROR(FILTER('RR5 Player Stats'!Y$3:Y$50, ISNUMBER(SEARCH($A19,'RR5 Player Stats'!$A$3:$A$50))),0)"),110.0)</f>
        <v>110</v>
      </c>
      <c r="G19" s="57">
        <f>IFERROR(__xludf.DUMMYFUNCTION("IFERROR(FILTER('RR1 Player Stats'!Z$3:Z$50, ISNUMBER(SEARCH($A19,'RR1 Player Stats'!$A$3:$A$50))),0)
+IFERROR(FILTER('RR2 Player Stats'!Z$3:Z$50, ISNUMBER(SEARCH($A19,'RR2 Player Stats'!$A$3:$A$50))),0)
+IFERROR(FILTER('RR3 Player Stats'!Z$3:Z$50, ISNUMBE"&amp;"R(SEARCH($A19,'RR3 Player Stats'!$A$3:$A$50))),0)
+IFERROR(FILTER('RR4 Player Stats'!Z$3:Z$50, ISNUMBER(SEARCH($A19,'RR4 Player Stats'!$A$3:$A$50))),0)
+IFERROR(FILTER('RR5 Player Stats'!Z$3:Z$50, ISNUMBER(SEARCH($A19,'RR5 Player Stats'!$A$3:$A$50))),0)"),82.0)</f>
        <v>82</v>
      </c>
      <c r="H19" s="180">
        <f>IFERROR(__xludf.DUMMYFUNCTION("(IFERROR(FILTER('RR1 Player Stats'!AA$3:AA$50, ISNUMBER(SEARCH($A19,'RR1 Player Stats'!$A$3:$A$50))),0)
+IFERROR(FILTER('RR2 Player Stats'!AA$3:AA$50, ISNUMBER(SEARCH($A19,'RR2 Player Stats'!$A$3:$A$50))),0)
+IFERROR(FILTER('RR3 Player Stats'!AA$3:AA$50, "&amp;"ISNUMBER(SEARCH($A19,'RR3 Player Stats'!$A$3:$A$50))),0)
+IFERROR(FILTER('RR4 Player Stats'!AA$3:AA$50, ISNUMBER(SEARCH($A19,'RR4 Player Stats'!$A$3:$A$50))),0)
+IFERROR(FILTER('RR5 Player Stats'!AA$3:AA$50, ISNUMBER(SEARCH($A19,'RR5 Player Stats'!$A$3:$A"&amp;"$50))),0))/5"),0.366)</f>
        <v>0.366</v>
      </c>
      <c r="I19" s="55">
        <f>IFERROR(__xludf.DUMMYFUNCTION("IFERROR(FILTER('RR1 Player Stats'!AB$3:AB$50, ISNUMBER(SEARCH($A19,'RR1 Player Stats'!$A$3:$A$50))),0)
+IFERROR(FILTER('RR2 Player Stats'!AB$3:AB$50, ISNUMBER(SEARCH($A19,'RR2 Player Stats'!$A$3:$A$50))),0)
+IFERROR(FILTER('RR3 Player Stats'!AB$3:AB$50, I"&amp;"SNUMBER(SEARCH($A19,'RR3 Player Stats'!$A$3:$A$50))),0)
+IFERROR(FILTER('RR4 Player Stats'!AB$3:AB$50, ISNUMBER(SEARCH($A19,'RR4 Player Stats'!$A$3:$A$50))),0)
+IFERROR(FILTER('RR5 Player Stats'!AB$3:AB$50, ISNUMBER(SEARCH($A19,'RR5 Player Stats'!$A$3:$A$"&amp;"50))),0)"),9.0)</f>
        <v>9</v>
      </c>
      <c r="J19" s="57">
        <f>IFERROR(__xludf.DUMMYFUNCTION("IFERROR(FILTER('RR1 Player Stats'!AC$3:AC$50, ISNUMBER(SEARCH($A19,'RR1 Player Stats'!$A$3:$A$50))),0)
+IFERROR(FILTER('RR2 Player Stats'!AC$3:AC$50, ISNUMBER(SEARCH($A19,'RR2 Player Stats'!$A$3:$A$50))),0)
+IFERROR(FILTER('RR3 Player Stats'!AC$3:AC$50, I"&amp;"SNUMBER(SEARCH($A19,'RR3 Player Stats'!$A$3:$A$50))),0)
+IFERROR(FILTER('RR4 Player Stats'!AC$3:AC$50, ISNUMBER(SEARCH($A19,'RR4 Player Stats'!$A$3:$A$50))),0)
+IFERROR(FILTER('RR5 Player Stats'!AC$3:AC$50, ISNUMBER(SEARCH($A19,'RR5 Player Stats'!$A$3:$A$"&amp;"50))),0)"),6.0)</f>
        <v>6</v>
      </c>
      <c r="K19" s="57">
        <f>IFERROR(__xludf.DUMMYFUNCTION("IFERROR(FILTER('RR1 Player Stats'!AD$3:AD$50, ISNUMBER(SEARCH($A19,'RR1 Player Stats'!$A$3:$A$50))),0)
+IFERROR(FILTER('RR2 Player Stats'!AD$3:AD$50, ISNUMBER(SEARCH($A19,'RR2 Player Stats'!$A$3:$A$50))),0)
+IFERROR(FILTER('RR3 Player Stats'!AD$3:AD$50, I"&amp;"SNUMBER(SEARCH($A19,'RR3 Player Stats'!$A$3:$A$50))),0)
+IFERROR(FILTER('RR4 Player Stats'!AD$3:AD$50, ISNUMBER(SEARCH($A19,'RR4 Player Stats'!$A$3:$A$50))),0)
+IFERROR(FILTER('RR5 Player Stats'!AD$3:AD$50, ISNUMBER(SEARCH($A19,'RR5 Player Stats'!$A$3:$A$"&amp;"50))),0)"),5.0)</f>
        <v>5</v>
      </c>
      <c r="L19" s="57">
        <f>IFERROR(__xludf.DUMMYFUNCTION("IFERROR(FILTER('RR1 Player Stats'!AE$3:AE$50, ISNUMBER(SEARCH($A19,'RR1 Player Stats'!$A$3:$A$50))),0)
+IFERROR(FILTER('RR2 Player Stats'!AE$3:AE$50, ISNUMBER(SEARCH($A19,'RR2 Player Stats'!$A$3:$A$50))),0)
+IFERROR(FILTER('RR3 Player Stats'!AE$3:AE$50, I"&amp;"SNUMBER(SEARCH($A19,'RR3 Player Stats'!$A$3:$A$50))),0)
+IFERROR(FILTER('RR4 Player Stats'!AE$3:AE$50, ISNUMBER(SEARCH($A19,'RR4 Player Stats'!$A$3:$A$50))),0)
+IFERROR(FILTER('RR5 Player Stats'!AE$3:AE$50, ISNUMBER(SEARCH($A19,'RR5 Player Stats'!$A$3:$A$"&amp;"50))),0)"),72.0)</f>
        <v>72</v>
      </c>
      <c r="M19" s="57">
        <f>IFERROR(__xludf.DUMMYFUNCTION("IFERROR(FILTER('RR1 Player Stats'!AF$3:AF$50, ISNUMBER(SEARCH($A19,'RR1 Player Stats'!$A$3:$A$50))),0)
+IFERROR(FILTER('RR2 Player Stats'!AF$3:AF$50, ISNUMBER(SEARCH($A19,'RR2 Player Stats'!$A$3:$A$50))),0)
+IFERROR(FILTER('RR3 Player Stats'!AF$3:AF$50, I"&amp;"SNUMBER(SEARCH($A19,'RR3 Player Stats'!$A$3:$A$50))),0)
+IFERROR(FILTER('RR4 Player Stats'!AF$3:AF$50, ISNUMBER(SEARCH($A19,'RR4 Player Stats'!$A$3:$A$50))),0)
+IFERROR(FILTER('RR5 Player Stats'!AF$3:AF$50, ISNUMBER(SEARCH($A19,'RR5 Player Stats'!$A$3:$A$"&amp;"50))),0)"),52.0)</f>
        <v>52</v>
      </c>
      <c r="N19" s="180">
        <f>IFERROR(__xludf.DUMMYFUNCTION("(IFERROR(FILTER('RR1 Player Stats'!AG$3:AG$50, ISNUMBER(SEARCH($A19,'RR1 Player Stats'!$A$3:$A$50))),0)
+IFERROR(FILTER('RR2 Player Stats'!AG$3:AG$50, ISNUMBER(SEARCH($A19,'RR2 Player Stats'!$A$3:$A$50))),0)
+IFERROR(FILTER('RR3 Player Stats'!AG$3:AG$50, "&amp;"ISNUMBER(SEARCH($A19,'RR3 Player Stats'!$A$3:$A$50))),0)
+IFERROR(FILTER('RR4 Player Stats'!AG$3:AG$50, ISNUMBER(SEARCH($A19,'RR4 Player Stats'!$A$3:$A$50))),0)
+IFERROR(FILTER('RR5 Player Stats'!AG$3:AG$50, ISNUMBER(SEARCH($A19,'RR5 Player Stats'!$A$3:$A"&amp;"$50))),0))/5"),0.378)</f>
        <v>0.378</v>
      </c>
      <c r="O19" s="55">
        <f>IFERROR(__xludf.DUMMYFUNCTION("IFERROR(FILTER('RR1 Player Stats'!AH$3:AH$50, ISNUMBER(SEARCH($A19,'RR1 Player Stats'!$A$3:$A$50))),0)
+IFERROR(FILTER('RR2 Player Stats'!AH$3:AH$50, ISNUMBER(SEARCH($A19,'RR2 Player Stats'!$A$3:$A$50))),0)
+IFERROR(FILTER('RR3 Player Stats'!AH$3:AH$50, I"&amp;"SNUMBER(SEARCH($A19,'RR3 Player Stats'!$A$3:$A$50))),0)
+IFERROR(FILTER('RR4 Player Stats'!AH$3:AH$50, ISNUMBER(SEARCH($A19,'RR4 Player Stats'!$A$3:$A$50))),0)
+IFERROR(FILTER('RR5 Player Stats'!AH$3:AH$50, ISNUMBER(SEARCH($A19,'RR5 Player Stats'!$A$3:$A$"&amp;"50))),0)"),20.0)</f>
        <v>20</v>
      </c>
      <c r="P19" s="57">
        <f>IFERROR(__xludf.DUMMYFUNCTION("IFERROR(FILTER('RR1 Player Stats'!AI$3:AI$50, ISNUMBER(SEARCH($A19,'RR1 Player Stats'!$A$3:$A$50))),0)
+IFERROR(FILTER('RR2 Player Stats'!AI$3:AI$50, ISNUMBER(SEARCH($A19,'RR2 Player Stats'!$A$3:$A$50))),0)
+IFERROR(FILTER('RR3 Player Stats'!AI$3:AI$50, I"&amp;"SNUMBER(SEARCH($A19,'RR3 Player Stats'!$A$3:$A$50))),0)
+IFERROR(FILTER('RR4 Player Stats'!AI$3:AI$50, ISNUMBER(SEARCH($A19,'RR4 Player Stats'!$A$3:$A$50))),0)
+IFERROR(FILTER('RR5 Player Stats'!AI$3:AI$50, ISNUMBER(SEARCH($A19,'RR5 Player Stats'!$A$3:$A$"&amp;"50))),0)"),17.0)</f>
        <v>17</v>
      </c>
      <c r="Q19" s="57">
        <f>IFERROR(__xludf.DUMMYFUNCTION("IFERROR(FILTER('RR1 Player Stats'!AJ$3:AJ$50, ISNUMBER(SEARCH($A19,'RR1 Player Stats'!$A$3:$A$50))),0)
+IFERROR(FILTER('RR2 Player Stats'!AJ$3:AJ$50, ISNUMBER(SEARCH($A19,'RR2 Player Stats'!$A$3:$A$50))),0)
+IFERROR(FILTER('RR3 Player Stats'!AJ$3:AJ$50, I"&amp;"SNUMBER(SEARCH($A19,'RR3 Player Stats'!$A$3:$A$50))),0)
+IFERROR(FILTER('RR4 Player Stats'!AJ$3:AJ$50, ISNUMBER(SEARCH($A19,'RR4 Player Stats'!$A$3:$A$50))),0)
+IFERROR(FILTER('RR5 Player Stats'!AJ$3:AJ$50, ISNUMBER(SEARCH($A19,'RR5 Player Stats'!$A$3:$A$"&amp;"50))),0)"),12.0)</f>
        <v>12</v>
      </c>
      <c r="R19" s="57">
        <f>IFERROR(__xludf.DUMMYFUNCTION("IFERROR(FILTER('RR1 Player Stats'!AK$3:AK$50, ISNUMBER(SEARCH($A19,'RR1 Player Stats'!$A$3:$A$50))),0)
+IFERROR(FILTER('RR2 Player Stats'!AK$3:AK$50, ISNUMBER(SEARCH($A19,'RR2 Player Stats'!$A$3:$A$50))),0)
+IFERROR(FILTER('RR3 Player Stats'!AK$3:AK$50, I"&amp;"SNUMBER(SEARCH($A19,'RR3 Player Stats'!$A$3:$A$50))),0)
+IFERROR(FILTER('RR4 Player Stats'!AK$3:AK$50, ISNUMBER(SEARCH($A19,'RR4 Player Stats'!$A$3:$A$50))),0)
+IFERROR(FILTER('RR5 Player Stats'!AK$3:AK$50, ISNUMBER(SEARCH($A19,'RR5 Player Stats'!$A$3:$A$"&amp;"50))),0)"),182.0)</f>
        <v>182</v>
      </c>
      <c r="S19" s="57">
        <f>IFERROR(__xludf.DUMMYFUNCTION("IFERROR(FILTER('RR1 Player Stats'!AL$3:AL$50, ISNUMBER(SEARCH($A19,'RR1 Player Stats'!$A$3:$A$50))),0)
+IFERROR(FILTER('RR2 Player Stats'!AL$3:AL$50, ISNUMBER(SEARCH($A19,'RR2 Player Stats'!$A$3:$A$50))),0)
+IFERROR(FILTER('RR3 Player Stats'!AL$3:AL$50, I"&amp;"SNUMBER(SEARCH($A19,'RR3 Player Stats'!$A$3:$A$50))),0)
+IFERROR(FILTER('RR4 Player Stats'!AL$3:AL$50, ISNUMBER(SEARCH($A19,'RR4 Player Stats'!$A$3:$A$50))),0)
+IFERROR(FILTER('RR5 Player Stats'!AL$3:AL$50, ISNUMBER(SEARCH($A19,'RR5 Player Stats'!$A$3:$A$"&amp;"50))),0)"),134.0)</f>
        <v>134</v>
      </c>
      <c r="T19" s="180">
        <f>IFERROR(__xludf.DUMMYFUNCTION("(IFERROR(FILTER('RR1 Player Stats'!AM$3:AM$50, ISNUMBER(SEARCH($A19,'RR1 Player Stats'!$A$3:$A$50))),0)
+IFERROR(FILTER('RR2 Player Stats'!AM$3:AM$50, ISNUMBER(SEARCH($A19,'RR2 Player Stats'!$A$3:$A$50))),0)
+IFERROR(FILTER('RR3 Player Stats'!AM$3:AM$50, "&amp;"ISNUMBER(SEARCH($A19,'RR3 Player Stats'!$A$3:$A$50))),0)
+IFERROR(FILTER('RR4 Player Stats'!AM$3:AM$50, ISNUMBER(SEARCH($A19,'RR4 Player Stats'!$A$3:$A$50))),0)
+IFERROR(FILTER('RR5 Player Stats'!AM$3:AM$50, ISNUMBER(SEARCH($A19,'RR5 Player Stats'!$A$3:$A"&amp;"$50))),0))/B19"),0.37000000000000005)</f>
        <v>0.37</v>
      </c>
      <c r="U19" s="55">
        <f>IFERROR(__xludf.DUMMYFUNCTION("MEDIAN(IFERROR(FILTER('RR1 Player Stats'!AH$3:AH$50, ISNUMBER(SEARCH($A19,'RR1 Player Stats'!$A$3:$A$50))),0),IFERROR(FILTER('RR2 Player Stats'!AH$3:AH$50, ISNUMBER(SEARCH($A19,'RR2 Player Stats'!$A$3:$A$50))),0),IFERROR(FILTER('RR3 Player Stats'!AH$3:AH$"&amp;"50, ISNUMBER(SEARCH($A19,'RR3 Player Stats'!$A$3:$A$50))),0),IFERROR(FILTER('RR4 Player Stats'!AH$3:AH$50, ISNUMBER(SEARCH($A19,'RR4 Player Stats'!$A$3:$A$50))),0),IFERROR(FILTER('RR5 Player Stats'!AH$3:AH$50, ISNUMBER(SEARCH($A19,'RR5 Player Stats'!$A$3:"&amp;"$A$50))),0))"),4.0)</f>
        <v>4</v>
      </c>
      <c r="V19" s="57">
        <f>IFERROR(__xludf.DUMMYFUNCTION("MEDIAN(IFERROR(FILTER('RR1 Player Stats'!AI$3:AI$50, ISNUMBER(SEARCH($A19,'RR1 Player Stats'!$A$3:$A$50))),0),IFERROR(FILTER('RR2 Player Stats'!AI$3:AI$50, ISNUMBER(SEARCH($A19,'RR2 Player Stats'!$A$3:$A$50))),0),IFERROR(FILTER('RR3 Player Stats'!AI$3:AI$"&amp;"50, ISNUMBER(SEARCH($A19,'RR3 Player Stats'!$A$3:$A$50))),0),IFERROR(FILTER('RR4 Player Stats'!AI$3:AI$50, ISNUMBER(SEARCH($A19,'RR4 Player Stats'!$A$3:$A$50))),0),IFERROR(FILTER('RR5 Player Stats'!AI$3:AI$50, ISNUMBER(SEARCH($A19,'RR5 Player Stats'!$A$3:"&amp;"$A$50))),0))"),4.0)</f>
        <v>4</v>
      </c>
      <c r="W19" s="57">
        <f>IFERROR(__xludf.DUMMYFUNCTION("MEDIAN(IFERROR(FILTER('RR1 Player Stats'!AJ$3:AJ$50, ISNUMBER(SEARCH($A19,'RR1 Player Stats'!$A$3:$A$50))),0),IFERROR(FILTER('RR2 Player Stats'!AJ$3:AJ$50, ISNUMBER(SEARCH($A19,'RR2 Player Stats'!$A$3:$A$50))),0),IFERROR(FILTER('RR3 Player Stats'!AJ$3:AJ$"&amp;"50, ISNUMBER(SEARCH($A19,'RR3 Player Stats'!$A$3:$A$50))),0),IFERROR(FILTER('RR4 Player Stats'!AJ$3:AJ$50, ISNUMBER(SEARCH($A19,'RR4 Player Stats'!$A$3:$A$50))),0),IFERROR(FILTER('RR5 Player Stats'!AJ$3:AJ$50, ISNUMBER(SEARCH($A19,'RR5 Player Stats'!$A$3:"&amp;"$A$50))),0))"),2.0)</f>
        <v>2</v>
      </c>
      <c r="X19" s="57">
        <f>IFERROR(__xludf.DUMMYFUNCTION("MEDIAN(IFERROR(FILTER('RR1 Player Stats'!AK$3:AK$50, ISNUMBER(SEARCH($A19,'RR1 Player Stats'!$A$3:$A$50))),0),IFERROR(FILTER('RR2 Player Stats'!AK$3:AK$50, ISNUMBER(SEARCH($A19,'RR2 Player Stats'!$A$3:$A$50))),0),IFERROR(FILTER('RR3 Player Stats'!AK$3:AK$"&amp;"50, ISNUMBER(SEARCH($A19,'RR3 Player Stats'!$A$3:$A$50))),0),IFERROR(FILTER('RR4 Player Stats'!AK$3:AK$50, ISNUMBER(SEARCH($A19,'RR4 Player Stats'!$A$3:$A$50))),0),IFERROR(FILTER('RR5 Player Stats'!AK$3:AK$50, ISNUMBER(SEARCH($A19,'RR5 Player Stats'!$A$3:"&amp;"$A$50))),0))"),36.0)</f>
        <v>36</v>
      </c>
      <c r="Y19" s="57">
        <f>IFERROR(__xludf.DUMMYFUNCTION("MEDIAN(IFERROR(FILTER('RR1 Player Stats'!AL$3:AL$50, ISNUMBER(SEARCH($A19,'RR1 Player Stats'!$A$3:$A$50))),0),IFERROR(FILTER('RR2 Player Stats'!AL$3:AL$50, ISNUMBER(SEARCH($A19,'RR2 Player Stats'!$A$3:$A$50))),0),IFERROR(FILTER('RR3 Player Stats'!AL$3:AL$"&amp;"50, ISNUMBER(SEARCH($A19,'RR3 Player Stats'!$A$3:$A$50))),0),IFERROR(FILTER('RR4 Player Stats'!AL$3:AL$50, ISNUMBER(SEARCH($A19,'RR4 Player Stats'!$A$3:$A$50))),0),IFERROR(FILTER('RR5 Player Stats'!AL$3:AL$50, ISNUMBER(SEARCH($A19,'RR5 Player Stats'!$A$3:"&amp;"$A$50))),0))"),28.0)</f>
        <v>28</v>
      </c>
      <c r="Z19" s="180">
        <f>IFERROR(__xludf.DUMMYFUNCTION("MEDIAN(IFERROR(FILTER('RR1 Player Stats'!AM$3:AM$50, ISNUMBER(SEARCH($A19,'RR1 Player Stats'!$A$3:$A$50))),0),IFERROR(FILTER('RR2 Player Stats'!AM$3:AM$50, ISNUMBER(SEARCH($A19,'RR2 Player Stats'!$A$3:$A$50))),0),IFERROR(FILTER('RR3 Player Stats'!AM$3:AM$"&amp;"50, ISNUMBER(SEARCH($A19,'RR3 Player Stats'!$A$3:$A$50))),0),IFERROR(FILTER('RR4 Player Stats'!AM$3:AM$50, ISNUMBER(SEARCH($A19,'RR4 Player Stats'!$A$3:$A$50))),0),IFERROR(FILTER('RR5 Player Stats'!AM$3:AM$50, ISNUMBER(SEARCH($A19,'RR5 Player Stats'!$A$3:"&amp;"$A$50))),0))"),0.35)</f>
        <v>0.35</v>
      </c>
    </row>
    <row r="20">
      <c r="A20" s="29" t="s">
        <v>69</v>
      </c>
      <c r="B20" s="48">
        <f>COUNTIF('RR1 Player Stats'!$A$3:$A$50,$A20)+COUNTIF('RR2 Player Stats'!$A$3:$A$50,$A20)+COUNTIF('RR3 Player Stats'!$A$3:$A$50,$A20)+COUNTIF('RR4 Player Stats'!$A$3:$A$50,$A20)+COUNTIF('RR5 Player Stats'!$A$3:$A$50,$A20)</f>
        <v>5</v>
      </c>
      <c r="C20" s="55">
        <f>IFERROR(__xludf.DUMMYFUNCTION("IFERROR(FILTER('RR1 Player Stats'!V$3:V$50, ISNUMBER(SEARCH($A20,'RR1 Player Stats'!$A$3:$A$50))),0)
+IFERROR(FILTER('RR2 Player Stats'!V$3:V$50, ISNUMBER(SEARCH($A20,'RR2 Player Stats'!$A$3:$A$50))),0)
+IFERROR(FILTER('RR3 Player Stats'!V$3:V$50, ISNUMBE"&amp;"R(SEARCH($A20,'RR3 Player Stats'!$A$3:$A$50))),0)
+IFERROR(FILTER('RR4 Player Stats'!V$3:V$50, ISNUMBER(SEARCH($A20,'RR4 Player Stats'!$A$3:$A$50))),0)
+IFERROR(FILTER('RR5 Player Stats'!V$3:V$50, ISNUMBER(SEARCH($A20,'RR5 Player Stats'!$A$3:$A$50))),0)"),12.0)</f>
        <v>12</v>
      </c>
      <c r="D20" s="57">
        <f>IFERROR(__xludf.DUMMYFUNCTION("IFERROR(FILTER('RR1 Player Stats'!W$3:W$50, ISNUMBER(SEARCH($A20,'RR1 Player Stats'!$A$3:$A$50))),0)
+IFERROR(FILTER('RR2 Player Stats'!W$3:W$50, ISNUMBER(SEARCH($A20,'RR2 Player Stats'!$A$3:$A$50))),0)
+IFERROR(FILTER('RR3 Player Stats'!W$3:W$50, ISNUMBE"&amp;"R(SEARCH($A20,'RR3 Player Stats'!$A$3:$A$50))),0)
+IFERROR(FILTER('RR4 Player Stats'!W$3:W$50, ISNUMBER(SEARCH($A20,'RR4 Player Stats'!$A$3:$A$50))),0)
+IFERROR(FILTER('RR5 Player Stats'!W$3:W$50, ISNUMBER(SEARCH($A20,'RR5 Player Stats'!$A$3:$A$50))),0)"),11.0)</f>
        <v>11</v>
      </c>
      <c r="E20" s="57">
        <f>IFERROR(__xludf.DUMMYFUNCTION("IFERROR(FILTER('RR1 Player Stats'!X$3:X$50, ISNUMBER(SEARCH($A20,'RR1 Player Stats'!$A$3:$A$50))),0)
+IFERROR(FILTER('RR2 Player Stats'!X$3:X$50, ISNUMBER(SEARCH($A20,'RR2 Player Stats'!$A$3:$A$50))),0)
+IFERROR(FILTER('RR3 Player Stats'!X$3:X$50, ISNUMBE"&amp;"R(SEARCH($A20,'RR3 Player Stats'!$A$3:$A$50))),0)
+IFERROR(FILTER('RR4 Player Stats'!X$3:X$50, ISNUMBER(SEARCH($A20,'RR4 Player Stats'!$A$3:$A$50))),0)
+IFERROR(FILTER('RR5 Player Stats'!X$3:X$50, ISNUMBER(SEARCH($A20,'RR5 Player Stats'!$A$3:$A$50))),0)"),4.0)</f>
        <v>4</v>
      </c>
      <c r="F20" s="57">
        <f>IFERROR(__xludf.DUMMYFUNCTION("IFERROR(FILTER('RR1 Player Stats'!Y$3:Y$50, ISNUMBER(SEARCH($A20,'RR1 Player Stats'!$A$3:$A$50))),0)
+IFERROR(FILTER('RR2 Player Stats'!Y$3:Y$50, ISNUMBER(SEARCH($A20,'RR2 Player Stats'!$A$3:$A$50))),0)
+IFERROR(FILTER('RR3 Player Stats'!Y$3:Y$50, ISNUMBE"&amp;"R(SEARCH($A20,'RR3 Player Stats'!$A$3:$A$50))),0)
+IFERROR(FILTER('RR4 Player Stats'!Y$3:Y$50, ISNUMBER(SEARCH($A20,'RR4 Player Stats'!$A$3:$A$50))),0)
+IFERROR(FILTER('RR5 Player Stats'!Y$3:Y$50, ISNUMBER(SEARCH($A20,'RR5 Player Stats'!$A$3:$A$50))),0)"),114.0)</f>
        <v>114</v>
      </c>
      <c r="G20" s="57">
        <f>IFERROR(__xludf.DUMMYFUNCTION("IFERROR(FILTER('RR1 Player Stats'!Z$3:Z$50, ISNUMBER(SEARCH($A20,'RR1 Player Stats'!$A$3:$A$50))),0)
+IFERROR(FILTER('RR2 Player Stats'!Z$3:Z$50, ISNUMBER(SEARCH($A20,'RR2 Player Stats'!$A$3:$A$50))),0)
+IFERROR(FILTER('RR3 Player Stats'!Z$3:Z$50, ISNUMBE"&amp;"R(SEARCH($A20,'RR3 Player Stats'!$A$3:$A$50))),0)
+IFERROR(FILTER('RR4 Player Stats'!Z$3:Z$50, ISNUMBER(SEARCH($A20,'RR4 Player Stats'!$A$3:$A$50))),0)
+IFERROR(FILTER('RR5 Player Stats'!Z$3:Z$50, ISNUMBER(SEARCH($A20,'RR5 Player Stats'!$A$3:$A$50))),0)"),98.0)</f>
        <v>98</v>
      </c>
      <c r="H20" s="180">
        <f>IFERROR(__xludf.DUMMYFUNCTION("(IFERROR(FILTER('RR1 Player Stats'!AA$3:AA$50, ISNUMBER(SEARCH($A20,'RR1 Player Stats'!$A$3:$A$50))),0)
+IFERROR(FILTER('RR2 Player Stats'!AA$3:AA$50, ISNUMBER(SEARCH($A20,'RR2 Player Stats'!$A$3:$A$50))),0)
+IFERROR(FILTER('RR3 Player Stats'!AA$3:AA$50, "&amp;"ISNUMBER(SEARCH($A20,'RR3 Player Stats'!$A$3:$A$50))),0)
+IFERROR(FILTER('RR4 Player Stats'!AA$3:AA$50, ISNUMBER(SEARCH($A20,'RR4 Player Stats'!$A$3:$A$50))),0)
+IFERROR(FILTER('RR5 Player Stats'!AA$3:AA$50, ISNUMBER(SEARCH($A20,'RR5 Player Stats'!$A$3:$A"&amp;"$50))),0))/5"),0.382)</f>
        <v>0.382</v>
      </c>
      <c r="I20" s="55">
        <f>IFERROR(__xludf.DUMMYFUNCTION("IFERROR(FILTER('RR1 Player Stats'!AB$3:AB$50, ISNUMBER(SEARCH($A20,'RR1 Player Stats'!$A$3:$A$50))),0)
+IFERROR(FILTER('RR2 Player Stats'!AB$3:AB$50, ISNUMBER(SEARCH($A20,'RR2 Player Stats'!$A$3:$A$50))),0)
+IFERROR(FILTER('RR3 Player Stats'!AB$3:AB$50, I"&amp;"SNUMBER(SEARCH($A20,'RR3 Player Stats'!$A$3:$A$50))),0)
+IFERROR(FILTER('RR4 Player Stats'!AB$3:AB$50, ISNUMBER(SEARCH($A20,'RR4 Player Stats'!$A$3:$A$50))),0)
+IFERROR(FILTER('RR5 Player Stats'!AB$3:AB$50, ISNUMBER(SEARCH($A20,'RR5 Player Stats'!$A$3:$A$"&amp;"50))),0)"),6.0)</f>
        <v>6</v>
      </c>
      <c r="J20" s="57">
        <f>IFERROR(__xludf.DUMMYFUNCTION("IFERROR(FILTER('RR1 Player Stats'!AC$3:AC$50, ISNUMBER(SEARCH($A20,'RR1 Player Stats'!$A$3:$A$50))),0)
+IFERROR(FILTER('RR2 Player Stats'!AC$3:AC$50, ISNUMBER(SEARCH($A20,'RR2 Player Stats'!$A$3:$A$50))),0)
+IFERROR(FILTER('RR3 Player Stats'!AC$3:AC$50, I"&amp;"SNUMBER(SEARCH($A20,'RR3 Player Stats'!$A$3:$A$50))),0)
+IFERROR(FILTER('RR4 Player Stats'!AC$3:AC$50, ISNUMBER(SEARCH($A20,'RR4 Player Stats'!$A$3:$A$50))),0)
+IFERROR(FILTER('RR5 Player Stats'!AC$3:AC$50, ISNUMBER(SEARCH($A20,'RR5 Player Stats'!$A$3:$A$"&amp;"50))),0)"),7.0)</f>
        <v>7</v>
      </c>
      <c r="K20" s="57">
        <f>IFERROR(__xludf.DUMMYFUNCTION("IFERROR(FILTER('RR1 Player Stats'!AD$3:AD$50, ISNUMBER(SEARCH($A20,'RR1 Player Stats'!$A$3:$A$50))),0)
+IFERROR(FILTER('RR2 Player Stats'!AD$3:AD$50, ISNUMBER(SEARCH($A20,'RR2 Player Stats'!$A$3:$A$50))),0)
+IFERROR(FILTER('RR3 Player Stats'!AD$3:AD$50, I"&amp;"SNUMBER(SEARCH($A20,'RR3 Player Stats'!$A$3:$A$50))),0)
+IFERROR(FILTER('RR4 Player Stats'!AD$3:AD$50, ISNUMBER(SEARCH($A20,'RR4 Player Stats'!$A$3:$A$50))),0)
+IFERROR(FILTER('RR5 Player Stats'!AD$3:AD$50, ISNUMBER(SEARCH($A20,'RR5 Player Stats'!$A$3:$A$"&amp;"50))),0)"),8.0)</f>
        <v>8</v>
      </c>
      <c r="L20" s="57">
        <f>IFERROR(__xludf.DUMMYFUNCTION("IFERROR(FILTER('RR1 Player Stats'!AE$3:AE$50, ISNUMBER(SEARCH($A20,'RR1 Player Stats'!$A$3:$A$50))),0)
+IFERROR(FILTER('RR2 Player Stats'!AE$3:AE$50, ISNUMBER(SEARCH($A20,'RR2 Player Stats'!$A$3:$A$50))),0)
+IFERROR(FILTER('RR3 Player Stats'!AE$3:AE$50, I"&amp;"SNUMBER(SEARCH($A20,'RR3 Player Stats'!$A$3:$A$50))),0)
+IFERROR(FILTER('RR4 Player Stats'!AE$3:AE$50, ISNUMBER(SEARCH($A20,'RR4 Player Stats'!$A$3:$A$50))),0)
+IFERROR(FILTER('RR5 Player Stats'!AE$3:AE$50, ISNUMBER(SEARCH($A20,'RR5 Player Stats'!$A$3:$A$"&amp;"50))),0)"),66.0)</f>
        <v>66</v>
      </c>
      <c r="M20" s="57">
        <f>IFERROR(__xludf.DUMMYFUNCTION("IFERROR(FILTER('RR1 Player Stats'!AF$3:AF$50, ISNUMBER(SEARCH($A20,'RR1 Player Stats'!$A$3:$A$50))),0)
+IFERROR(FILTER('RR2 Player Stats'!AF$3:AF$50, ISNUMBER(SEARCH($A20,'RR2 Player Stats'!$A$3:$A$50))),0)
+IFERROR(FILTER('RR3 Player Stats'!AF$3:AF$50, I"&amp;"SNUMBER(SEARCH($A20,'RR3 Player Stats'!$A$3:$A$50))),0)
+IFERROR(FILTER('RR4 Player Stats'!AF$3:AF$50, ISNUMBER(SEARCH($A20,'RR4 Player Stats'!$A$3:$A$50))),0)
+IFERROR(FILTER('RR5 Player Stats'!AF$3:AF$50, ISNUMBER(SEARCH($A20,'RR5 Player Stats'!$A$3:$A$"&amp;"50))),0)"),34.0)</f>
        <v>34</v>
      </c>
      <c r="N20" s="180">
        <f>IFERROR(__xludf.DUMMYFUNCTION("(IFERROR(FILTER('RR1 Player Stats'!AG$3:AG$50, ISNUMBER(SEARCH($A20,'RR1 Player Stats'!$A$3:$A$50))),0)
+IFERROR(FILTER('RR2 Player Stats'!AG$3:AG$50, ISNUMBER(SEARCH($A20,'RR2 Player Stats'!$A$3:$A$50))),0)
+IFERROR(FILTER('RR3 Player Stats'!AG$3:AG$50, "&amp;"ISNUMBER(SEARCH($A20,'RR3 Player Stats'!$A$3:$A$50))),0)
+IFERROR(FILTER('RR4 Player Stats'!AG$3:AG$50, ISNUMBER(SEARCH($A20,'RR4 Player Stats'!$A$3:$A$50))),0)
+IFERROR(FILTER('RR5 Player Stats'!AG$3:AG$50, ISNUMBER(SEARCH($A20,'RR5 Player Stats'!$A$3:$A"&amp;"$50))),0))/5"),0.328)</f>
        <v>0.328</v>
      </c>
      <c r="O20" s="55">
        <f>IFERROR(__xludf.DUMMYFUNCTION("IFERROR(FILTER('RR1 Player Stats'!AH$3:AH$50, ISNUMBER(SEARCH($A20,'RR1 Player Stats'!$A$3:$A$50))),0)
+IFERROR(FILTER('RR2 Player Stats'!AH$3:AH$50, ISNUMBER(SEARCH($A20,'RR2 Player Stats'!$A$3:$A$50))),0)
+IFERROR(FILTER('RR3 Player Stats'!AH$3:AH$50, I"&amp;"SNUMBER(SEARCH($A20,'RR3 Player Stats'!$A$3:$A$50))),0)
+IFERROR(FILTER('RR4 Player Stats'!AH$3:AH$50, ISNUMBER(SEARCH($A20,'RR4 Player Stats'!$A$3:$A$50))),0)
+IFERROR(FILTER('RR5 Player Stats'!AH$3:AH$50, ISNUMBER(SEARCH($A20,'RR5 Player Stats'!$A$3:$A$"&amp;"50))),0)"),18.0)</f>
        <v>18</v>
      </c>
      <c r="P20" s="57">
        <f>IFERROR(__xludf.DUMMYFUNCTION("IFERROR(FILTER('RR1 Player Stats'!AI$3:AI$50, ISNUMBER(SEARCH($A20,'RR1 Player Stats'!$A$3:$A$50))),0)
+IFERROR(FILTER('RR2 Player Stats'!AI$3:AI$50, ISNUMBER(SEARCH($A20,'RR2 Player Stats'!$A$3:$A$50))),0)
+IFERROR(FILTER('RR3 Player Stats'!AI$3:AI$50, I"&amp;"SNUMBER(SEARCH($A20,'RR3 Player Stats'!$A$3:$A$50))),0)
+IFERROR(FILTER('RR4 Player Stats'!AI$3:AI$50, ISNUMBER(SEARCH($A20,'RR4 Player Stats'!$A$3:$A$50))),0)
+IFERROR(FILTER('RR5 Player Stats'!AI$3:AI$50, ISNUMBER(SEARCH($A20,'RR5 Player Stats'!$A$3:$A$"&amp;"50))),0)"),18.0)</f>
        <v>18</v>
      </c>
      <c r="Q20" s="57">
        <f>IFERROR(__xludf.DUMMYFUNCTION("IFERROR(FILTER('RR1 Player Stats'!AJ$3:AJ$50, ISNUMBER(SEARCH($A20,'RR1 Player Stats'!$A$3:$A$50))),0)
+IFERROR(FILTER('RR2 Player Stats'!AJ$3:AJ$50, ISNUMBER(SEARCH($A20,'RR2 Player Stats'!$A$3:$A$50))),0)
+IFERROR(FILTER('RR3 Player Stats'!AJ$3:AJ$50, I"&amp;"SNUMBER(SEARCH($A20,'RR3 Player Stats'!$A$3:$A$50))),0)
+IFERROR(FILTER('RR4 Player Stats'!AJ$3:AJ$50, ISNUMBER(SEARCH($A20,'RR4 Player Stats'!$A$3:$A$50))),0)
+IFERROR(FILTER('RR5 Player Stats'!AJ$3:AJ$50, ISNUMBER(SEARCH($A20,'RR5 Player Stats'!$A$3:$A$"&amp;"50))),0)"),12.0)</f>
        <v>12</v>
      </c>
      <c r="R20" s="57">
        <f>IFERROR(__xludf.DUMMYFUNCTION("IFERROR(FILTER('RR1 Player Stats'!AK$3:AK$50, ISNUMBER(SEARCH($A20,'RR1 Player Stats'!$A$3:$A$50))),0)
+IFERROR(FILTER('RR2 Player Stats'!AK$3:AK$50, ISNUMBER(SEARCH($A20,'RR2 Player Stats'!$A$3:$A$50))),0)
+IFERROR(FILTER('RR3 Player Stats'!AK$3:AK$50, I"&amp;"SNUMBER(SEARCH($A20,'RR3 Player Stats'!$A$3:$A$50))),0)
+IFERROR(FILTER('RR4 Player Stats'!AK$3:AK$50, ISNUMBER(SEARCH($A20,'RR4 Player Stats'!$A$3:$A$50))),0)
+IFERROR(FILTER('RR5 Player Stats'!AK$3:AK$50, ISNUMBER(SEARCH($A20,'RR5 Player Stats'!$A$3:$A$"&amp;"50))),0)"),180.0)</f>
        <v>180</v>
      </c>
      <c r="S20" s="57">
        <f>IFERROR(__xludf.DUMMYFUNCTION("IFERROR(FILTER('RR1 Player Stats'!AL$3:AL$50, ISNUMBER(SEARCH($A20,'RR1 Player Stats'!$A$3:$A$50))),0)
+IFERROR(FILTER('RR2 Player Stats'!AL$3:AL$50, ISNUMBER(SEARCH($A20,'RR2 Player Stats'!$A$3:$A$50))),0)
+IFERROR(FILTER('RR3 Player Stats'!AL$3:AL$50, I"&amp;"SNUMBER(SEARCH($A20,'RR3 Player Stats'!$A$3:$A$50))),0)
+IFERROR(FILTER('RR4 Player Stats'!AL$3:AL$50, ISNUMBER(SEARCH($A20,'RR4 Player Stats'!$A$3:$A$50))),0)
+IFERROR(FILTER('RR5 Player Stats'!AL$3:AL$50, ISNUMBER(SEARCH($A20,'RR5 Player Stats'!$A$3:$A$"&amp;"50))),0)"),132.0)</f>
        <v>132</v>
      </c>
      <c r="T20" s="180">
        <f>IFERROR(__xludf.DUMMYFUNCTION("(IFERROR(FILTER('RR1 Player Stats'!AM$3:AM$50, ISNUMBER(SEARCH($A20,'RR1 Player Stats'!$A$3:$A$50))),0)
+IFERROR(FILTER('RR2 Player Stats'!AM$3:AM$50, ISNUMBER(SEARCH($A20,'RR2 Player Stats'!$A$3:$A$50))),0)
+IFERROR(FILTER('RR3 Player Stats'!AM$3:AM$50, "&amp;"ISNUMBER(SEARCH($A20,'RR3 Player Stats'!$A$3:$A$50))),0)
+IFERROR(FILTER('RR4 Player Stats'!AM$3:AM$50, ISNUMBER(SEARCH($A20,'RR4 Player Stats'!$A$3:$A$50))),0)
+IFERROR(FILTER('RR5 Player Stats'!AM$3:AM$50, ISNUMBER(SEARCH($A20,'RR5 Player Stats'!$A$3:$A"&amp;"$50))),0))/B20"),0.36)</f>
        <v>0.36</v>
      </c>
      <c r="U20" s="55">
        <f>IFERROR(__xludf.DUMMYFUNCTION("MEDIAN(IFERROR(FILTER('RR1 Player Stats'!AH$3:AH$50, ISNUMBER(SEARCH($A20,'RR1 Player Stats'!$A$3:$A$50))),0),IFERROR(FILTER('RR2 Player Stats'!AH$3:AH$50, ISNUMBER(SEARCH($A20,'RR2 Player Stats'!$A$3:$A$50))),0),IFERROR(FILTER('RR3 Player Stats'!AH$3:AH$"&amp;"50, ISNUMBER(SEARCH($A20,'RR3 Player Stats'!$A$3:$A$50))),0),IFERROR(FILTER('RR4 Player Stats'!AH$3:AH$50, ISNUMBER(SEARCH($A20,'RR4 Player Stats'!$A$3:$A$50))),0),IFERROR(FILTER('RR5 Player Stats'!AH$3:AH$50, ISNUMBER(SEARCH($A20,'RR5 Player Stats'!$A$3:"&amp;"$A$50))),0))"),3.0)</f>
        <v>3</v>
      </c>
      <c r="V20" s="57">
        <f>IFERROR(__xludf.DUMMYFUNCTION("MEDIAN(IFERROR(FILTER('RR1 Player Stats'!AI$3:AI$50, ISNUMBER(SEARCH($A20,'RR1 Player Stats'!$A$3:$A$50))),0),IFERROR(FILTER('RR2 Player Stats'!AI$3:AI$50, ISNUMBER(SEARCH($A20,'RR2 Player Stats'!$A$3:$A$50))),0),IFERROR(FILTER('RR3 Player Stats'!AI$3:AI$"&amp;"50, ISNUMBER(SEARCH($A20,'RR3 Player Stats'!$A$3:$A$50))),0),IFERROR(FILTER('RR4 Player Stats'!AI$3:AI$50, ISNUMBER(SEARCH($A20,'RR4 Player Stats'!$A$3:$A$50))),0),IFERROR(FILTER('RR5 Player Stats'!AI$3:AI$50, ISNUMBER(SEARCH($A20,'RR5 Player Stats'!$A$3:"&amp;"$A$50))),0))"),3.0)</f>
        <v>3</v>
      </c>
      <c r="W20" s="57">
        <f>IFERROR(__xludf.DUMMYFUNCTION("MEDIAN(IFERROR(FILTER('RR1 Player Stats'!AJ$3:AJ$50, ISNUMBER(SEARCH($A20,'RR1 Player Stats'!$A$3:$A$50))),0),IFERROR(FILTER('RR2 Player Stats'!AJ$3:AJ$50, ISNUMBER(SEARCH($A20,'RR2 Player Stats'!$A$3:$A$50))),0),IFERROR(FILTER('RR3 Player Stats'!AJ$3:AJ$"&amp;"50, ISNUMBER(SEARCH($A20,'RR3 Player Stats'!$A$3:$A$50))),0),IFERROR(FILTER('RR4 Player Stats'!AJ$3:AJ$50, ISNUMBER(SEARCH($A20,'RR4 Player Stats'!$A$3:$A$50))),0),IFERROR(FILTER('RR5 Player Stats'!AJ$3:AJ$50, ISNUMBER(SEARCH($A20,'RR5 Player Stats'!$A$3:"&amp;"$A$50))),0))"),2.0)</f>
        <v>2</v>
      </c>
      <c r="X20" s="57">
        <f>IFERROR(__xludf.DUMMYFUNCTION("MEDIAN(IFERROR(FILTER('RR1 Player Stats'!AK$3:AK$50, ISNUMBER(SEARCH($A20,'RR1 Player Stats'!$A$3:$A$50))),0),IFERROR(FILTER('RR2 Player Stats'!AK$3:AK$50, ISNUMBER(SEARCH($A20,'RR2 Player Stats'!$A$3:$A$50))),0),IFERROR(FILTER('RR3 Player Stats'!AK$3:AK$"&amp;"50, ISNUMBER(SEARCH($A20,'RR3 Player Stats'!$A$3:$A$50))),0),IFERROR(FILTER('RR4 Player Stats'!AK$3:AK$50, ISNUMBER(SEARCH($A20,'RR4 Player Stats'!$A$3:$A$50))),0),IFERROR(FILTER('RR5 Player Stats'!AK$3:AK$50, ISNUMBER(SEARCH($A20,'RR5 Player Stats'!$A$3:"&amp;"$A$50))),0))"),38.0)</f>
        <v>38</v>
      </c>
      <c r="Y20" s="57">
        <f>IFERROR(__xludf.DUMMYFUNCTION("MEDIAN(IFERROR(FILTER('RR1 Player Stats'!AL$3:AL$50, ISNUMBER(SEARCH($A20,'RR1 Player Stats'!$A$3:$A$50))),0),IFERROR(FILTER('RR2 Player Stats'!AL$3:AL$50, ISNUMBER(SEARCH($A20,'RR2 Player Stats'!$A$3:$A$50))),0),IFERROR(FILTER('RR3 Player Stats'!AL$3:AL$"&amp;"50, ISNUMBER(SEARCH($A20,'RR3 Player Stats'!$A$3:$A$50))),0),IFERROR(FILTER('RR4 Player Stats'!AL$3:AL$50, ISNUMBER(SEARCH($A20,'RR4 Player Stats'!$A$3:$A$50))),0),IFERROR(FILTER('RR5 Player Stats'!AL$3:AL$50, ISNUMBER(SEARCH($A20,'RR5 Player Stats'!$A$3:"&amp;"$A$50))),0))"),26.0)</f>
        <v>26</v>
      </c>
      <c r="Z20" s="180">
        <f>IFERROR(__xludf.DUMMYFUNCTION("MEDIAN(IFERROR(FILTER('RR1 Player Stats'!AM$3:AM$50, ISNUMBER(SEARCH($A20,'RR1 Player Stats'!$A$3:$A$50))),0),IFERROR(FILTER('RR2 Player Stats'!AM$3:AM$50, ISNUMBER(SEARCH($A20,'RR2 Player Stats'!$A$3:$A$50))),0),IFERROR(FILTER('RR3 Player Stats'!AM$3:AM$"&amp;"50, ISNUMBER(SEARCH($A20,'RR3 Player Stats'!$A$3:$A$50))),0),IFERROR(FILTER('RR4 Player Stats'!AM$3:AM$50, ISNUMBER(SEARCH($A20,'RR4 Player Stats'!$A$3:$A$50))),0),IFERROR(FILTER('RR5 Player Stats'!AM$3:AM$50, ISNUMBER(SEARCH($A20,'RR5 Player Stats'!$A$3:"&amp;"$A$50))),0))"),0.35)</f>
        <v>0.35</v>
      </c>
    </row>
    <row r="21">
      <c r="A21" s="29" t="s">
        <v>72</v>
      </c>
      <c r="B21" s="48">
        <f>COUNTIF('RR1 Player Stats'!$A$3:$A$50,$A21)+COUNTIF('RR2 Player Stats'!$A$3:$A$50,$A21)+COUNTIF('RR3 Player Stats'!$A$3:$A$50,$A21)+COUNTIF('RR4 Player Stats'!$A$3:$A$50,$A21)+COUNTIF('RR5 Player Stats'!$A$3:$A$50,$A21)</f>
        <v>5</v>
      </c>
      <c r="C21" s="55">
        <f>IFERROR(__xludf.DUMMYFUNCTION("IFERROR(FILTER('RR1 Player Stats'!V$3:V$50, ISNUMBER(SEARCH($A21,'RR1 Player Stats'!$A$3:$A$50))),0)
+IFERROR(FILTER('RR2 Player Stats'!V$3:V$50, ISNUMBER(SEARCH($A21,'RR2 Player Stats'!$A$3:$A$50))),0)
+IFERROR(FILTER('RR3 Player Stats'!V$3:V$50, ISNUMBE"&amp;"R(SEARCH($A21,'RR3 Player Stats'!$A$3:$A$50))),0)
+IFERROR(FILTER('RR4 Player Stats'!V$3:V$50, ISNUMBER(SEARCH($A21,'RR4 Player Stats'!$A$3:$A$50))),0)
+IFERROR(FILTER('RR5 Player Stats'!V$3:V$50, ISNUMBER(SEARCH($A21,'RR5 Player Stats'!$A$3:$A$50))),0)"),14.0)</f>
        <v>14</v>
      </c>
      <c r="D21" s="57">
        <f>IFERROR(__xludf.DUMMYFUNCTION("IFERROR(FILTER('RR1 Player Stats'!W$3:W$50, ISNUMBER(SEARCH($A21,'RR1 Player Stats'!$A$3:$A$50))),0)
+IFERROR(FILTER('RR2 Player Stats'!W$3:W$50, ISNUMBER(SEARCH($A21,'RR2 Player Stats'!$A$3:$A$50))),0)
+IFERROR(FILTER('RR3 Player Stats'!W$3:W$50, ISNUMBE"&amp;"R(SEARCH($A21,'RR3 Player Stats'!$A$3:$A$50))),0)
+IFERROR(FILTER('RR4 Player Stats'!W$3:W$50, ISNUMBER(SEARCH($A21,'RR4 Player Stats'!$A$3:$A$50))),0)
+IFERROR(FILTER('RR5 Player Stats'!W$3:W$50, ISNUMBER(SEARCH($A21,'RR5 Player Stats'!$A$3:$A$50))),0)"),10.0)</f>
        <v>10</v>
      </c>
      <c r="E21" s="57">
        <f>IFERROR(__xludf.DUMMYFUNCTION("IFERROR(FILTER('RR1 Player Stats'!X$3:X$50, ISNUMBER(SEARCH($A21,'RR1 Player Stats'!$A$3:$A$50))),0)
+IFERROR(FILTER('RR2 Player Stats'!X$3:X$50, ISNUMBER(SEARCH($A21,'RR2 Player Stats'!$A$3:$A$50))),0)
+IFERROR(FILTER('RR3 Player Stats'!X$3:X$50, ISNUMBE"&amp;"R(SEARCH($A21,'RR3 Player Stats'!$A$3:$A$50))),0)
+IFERROR(FILTER('RR4 Player Stats'!X$3:X$50, ISNUMBER(SEARCH($A21,'RR4 Player Stats'!$A$3:$A$50))),0)
+IFERROR(FILTER('RR5 Player Stats'!X$3:X$50, ISNUMBER(SEARCH($A21,'RR5 Player Stats'!$A$3:$A$50))),0)"),7.0)</f>
        <v>7</v>
      </c>
      <c r="F21" s="57">
        <f>IFERROR(__xludf.DUMMYFUNCTION("IFERROR(FILTER('RR1 Player Stats'!Y$3:Y$50, ISNUMBER(SEARCH($A21,'RR1 Player Stats'!$A$3:$A$50))),0)
+IFERROR(FILTER('RR2 Player Stats'!Y$3:Y$50, ISNUMBER(SEARCH($A21,'RR2 Player Stats'!$A$3:$A$50))),0)
+IFERROR(FILTER('RR3 Player Stats'!Y$3:Y$50, ISNUMBE"&amp;"R(SEARCH($A21,'RR3 Player Stats'!$A$3:$A$50))),0)
+IFERROR(FILTER('RR4 Player Stats'!Y$3:Y$50, ISNUMBER(SEARCH($A21,'RR4 Player Stats'!$A$3:$A$50))),0)
+IFERROR(FILTER('RR5 Player Stats'!Y$3:Y$50, ISNUMBER(SEARCH($A21,'RR5 Player Stats'!$A$3:$A$50))),0)"),116.0)</f>
        <v>116</v>
      </c>
      <c r="G21" s="57">
        <f>IFERROR(__xludf.DUMMYFUNCTION("IFERROR(FILTER('RR1 Player Stats'!Z$3:Z$50, ISNUMBER(SEARCH($A21,'RR1 Player Stats'!$A$3:$A$50))),0)
+IFERROR(FILTER('RR2 Player Stats'!Z$3:Z$50, ISNUMBER(SEARCH($A21,'RR2 Player Stats'!$A$3:$A$50))),0)
+IFERROR(FILTER('RR3 Player Stats'!Z$3:Z$50, ISNUMBE"&amp;"R(SEARCH($A21,'RR3 Player Stats'!$A$3:$A$50))),0)
+IFERROR(FILTER('RR4 Player Stats'!Z$3:Z$50, ISNUMBER(SEARCH($A21,'RR4 Player Stats'!$A$3:$A$50))),0)
+IFERROR(FILTER('RR5 Player Stats'!Z$3:Z$50, ISNUMBER(SEARCH($A21,'RR5 Player Stats'!$A$3:$A$50))),0)"),88.0)</f>
        <v>88</v>
      </c>
      <c r="H21" s="180">
        <f>IFERROR(__xludf.DUMMYFUNCTION("(IFERROR(FILTER('RR1 Player Stats'!AA$3:AA$50, ISNUMBER(SEARCH($A21,'RR1 Player Stats'!$A$3:$A$50))),0)
+IFERROR(FILTER('RR2 Player Stats'!AA$3:AA$50, ISNUMBER(SEARCH($A21,'RR2 Player Stats'!$A$3:$A$50))),0)
+IFERROR(FILTER('RR3 Player Stats'!AA$3:AA$50, "&amp;"ISNUMBER(SEARCH($A21,'RR3 Player Stats'!$A$3:$A$50))),0)
+IFERROR(FILTER('RR4 Player Stats'!AA$3:AA$50, ISNUMBER(SEARCH($A21,'RR4 Player Stats'!$A$3:$A$50))),0)
+IFERROR(FILTER('RR5 Player Stats'!AA$3:AA$50, ISNUMBER(SEARCH($A21,'RR5 Player Stats'!$A$3:$A"&amp;"$50))),0))/5"),0.402)</f>
        <v>0.402</v>
      </c>
      <c r="I21" s="55">
        <f>IFERROR(__xludf.DUMMYFUNCTION("IFERROR(FILTER('RR1 Player Stats'!AB$3:AB$50, ISNUMBER(SEARCH($A21,'RR1 Player Stats'!$A$3:$A$50))),0)
+IFERROR(FILTER('RR2 Player Stats'!AB$3:AB$50, ISNUMBER(SEARCH($A21,'RR2 Player Stats'!$A$3:$A$50))),0)
+IFERROR(FILTER('RR3 Player Stats'!AB$3:AB$50, I"&amp;"SNUMBER(SEARCH($A21,'RR3 Player Stats'!$A$3:$A$50))),0)
+IFERROR(FILTER('RR4 Player Stats'!AB$3:AB$50, ISNUMBER(SEARCH($A21,'RR4 Player Stats'!$A$3:$A$50))),0)
+IFERROR(FILTER('RR5 Player Stats'!AB$3:AB$50, ISNUMBER(SEARCH($A21,'RR5 Player Stats'!$A$3:$A$"&amp;"50))),0)"),9.0)</f>
        <v>9</v>
      </c>
      <c r="J21" s="57">
        <f>IFERROR(__xludf.DUMMYFUNCTION("IFERROR(FILTER('RR1 Player Stats'!AC$3:AC$50, ISNUMBER(SEARCH($A21,'RR1 Player Stats'!$A$3:$A$50))),0)
+IFERROR(FILTER('RR2 Player Stats'!AC$3:AC$50, ISNUMBER(SEARCH($A21,'RR2 Player Stats'!$A$3:$A$50))),0)
+IFERROR(FILTER('RR3 Player Stats'!AC$3:AC$50, I"&amp;"SNUMBER(SEARCH($A21,'RR3 Player Stats'!$A$3:$A$50))),0)
+IFERROR(FILTER('RR4 Player Stats'!AC$3:AC$50, ISNUMBER(SEARCH($A21,'RR4 Player Stats'!$A$3:$A$50))),0)
+IFERROR(FILTER('RR5 Player Stats'!AC$3:AC$50, ISNUMBER(SEARCH($A21,'RR5 Player Stats'!$A$3:$A$"&amp;"50))),0)"),4.0)</f>
        <v>4</v>
      </c>
      <c r="K21" s="57">
        <f>IFERROR(__xludf.DUMMYFUNCTION("IFERROR(FILTER('RR1 Player Stats'!AD$3:AD$50, ISNUMBER(SEARCH($A21,'RR1 Player Stats'!$A$3:$A$50))),0)
+IFERROR(FILTER('RR2 Player Stats'!AD$3:AD$50, ISNUMBER(SEARCH($A21,'RR2 Player Stats'!$A$3:$A$50))),0)
+IFERROR(FILTER('RR3 Player Stats'!AD$3:AD$50, I"&amp;"SNUMBER(SEARCH($A21,'RR3 Player Stats'!$A$3:$A$50))),0)
+IFERROR(FILTER('RR4 Player Stats'!AD$3:AD$50, ISNUMBER(SEARCH($A21,'RR4 Player Stats'!$A$3:$A$50))),0)
+IFERROR(FILTER('RR5 Player Stats'!AD$3:AD$50, ISNUMBER(SEARCH($A21,'RR5 Player Stats'!$A$3:$A$"&amp;"50))),0)"),7.0)</f>
        <v>7</v>
      </c>
      <c r="L21" s="57">
        <f>IFERROR(__xludf.DUMMYFUNCTION("IFERROR(FILTER('RR1 Player Stats'!AE$3:AE$50, ISNUMBER(SEARCH($A21,'RR1 Player Stats'!$A$3:$A$50))),0)
+IFERROR(FILTER('RR2 Player Stats'!AE$3:AE$50, ISNUMBER(SEARCH($A21,'RR2 Player Stats'!$A$3:$A$50))),0)
+IFERROR(FILTER('RR3 Player Stats'!AE$3:AE$50, I"&amp;"SNUMBER(SEARCH($A21,'RR3 Player Stats'!$A$3:$A$50))),0)
+IFERROR(FILTER('RR4 Player Stats'!AE$3:AE$50, ISNUMBER(SEARCH($A21,'RR4 Player Stats'!$A$3:$A$50))),0)
+IFERROR(FILTER('RR5 Player Stats'!AE$3:AE$50, ISNUMBER(SEARCH($A21,'RR5 Player Stats'!$A$3:$A$"&amp;"50))),0)"),60.0)</f>
        <v>60</v>
      </c>
      <c r="M21" s="57">
        <f>IFERROR(__xludf.DUMMYFUNCTION("IFERROR(FILTER('RR1 Player Stats'!AF$3:AF$50, ISNUMBER(SEARCH($A21,'RR1 Player Stats'!$A$3:$A$50))),0)
+IFERROR(FILTER('RR2 Player Stats'!AF$3:AF$50, ISNUMBER(SEARCH($A21,'RR2 Player Stats'!$A$3:$A$50))),0)
+IFERROR(FILTER('RR3 Player Stats'!AF$3:AF$50, I"&amp;"SNUMBER(SEARCH($A21,'RR3 Player Stats'!$A$3:$A$50))),0)
+IFERROR(FILTER('RR4 Player Stats'!AF$3:AF$50, ISNUMBER(SEARCH($A21,'RR4 Player Stats'!$A$3:$A$50))),0)
+IFERROR(FILTER('RR5 Player Stats'!AF$3:AF$50, ISNUMBER(SEARCH($A21,'RR5 Player Stats'!$A$3:$A$"&amp;"50))),0)"),32.0)</f>
        <v>32</v>
      </c>
      <c r="N21" s="180">
        <f>IFERROR(__xludf.DUMMYFUNCTION("(IFERROR(FILTER('RR1 Player Stats'!AG$3:AG$50, ISNUMBER(SEARCH($A21,'RR1 Player Stats'!$A$3:$A$50))),0)
+IFERROR(FILTER('RR2 Player Stats'!AG$3:AG$50, ISNUMBER(SEARCH($A21,'RR2 Player Stats'!$A$3:$A$50))),0)
+IFERROR(FILTER('RR3 Player Stats'!AG$3:AG$50, "&amp;"ISNUMBER(SEARCH($A21,'RR3 Player Stats'!$A$3:$A$50))),0)
+IFERROR(FILTER('RR4 Player Stats'!AG$3:AG$50, ISNUMBER(SEARCH($A21,'RR4 Player Stats'!$A$3:$A$50))),0)
+IFERROR(FILTER('RR5 Player Stats'!AG$3:AG$50, ISNUMBER(SEARCH($A21,'RR5 Player Stats'!$A$3:$A"&amp;"$50))),0))/5"),0.32599999999999996)</f>
        <v>0.326</v>
      </c>
      <c r="O21" s="55">
        <f>IFERROR(__xludf.DUMMYFUNCTION("IFERROR(FILTER('RR1 Player Stats'!AH$3:AH$50, ISNUMBER(SEARCH($A21,'RR1 Player Stats'!$A$3:$A$50))),0)
+IFERROR(FILTER('RR2 Player Stats'!AH$3:AH$50, ISNUMBER(SEARCH($A21,'RR2 Player Stats'!$A$3:$A$50))),0)
+IFERROR(FILTER('RR3 Player Stats'!AH$3:AH$50, I"&amp;"SNUMBER(SEARCH($A21,'RR3 Player Stats'!$A$3:$A$50))),0)
+IFERROR(FILTER('RR4 Player Stats'!AH$3:AH$50, ISNUMBER(SEARCH($A21,'RR4 Player Stats'!$A$3:$A$50))),0)
+IFERROR(FILTER('RR5 Player Stats'!AH$3:AH$50, ISNUMBER(SEARCH($A21,'RR5 Player Stats'!$A$3:$A$"&amp;"50))),0)"),23.0)</f>
        <v>23</v>
      </c>
      <c r="P21" s="57">
        <f>IFERROR(__xludf.DUMMYFUNCTION("IFERROR(FILTER('RR1 Player Stats'!AI$3:AI$50, ISNUMBER(SEARCH($A21,'RR1 Player Stats'!$A$3:$A$50))),0)
+IFERROR(FILTER('RR2 Player Stats'!AI$3:AI$50, ISNUMBER(SEARCH($A21,'RR2 Player Stats'!$A$3:$A$50))),0)
+IFERROR(FILTER('RR3 Player Stats'!AI$3:AI$50, I"&amp;"SNUMBER(SEARCH($A21,'RR3 Player Stats'!$A$3:$A$50))),0)
+IFERROR(FILTER('RR4 Player Stats'!AI$3:AI$50, ISNUMBER(SEARCH($A21,'RR4 Player Stats'!$A$3:$A$50))),0)
+IFERROR(FILTER('RR5 Player Stats'!AI$3:AI$50, ISNUMBER(SEARCH($A21,'RR5 Player Stats'!$A$3:$A$"&amp;"50))),0)"),14.0)</f>
        <v>14</v>
      </c>
      <c r="Q21" s="57">
        <f>IFERROR(__xludf.DUMMYFUNCTION("IFERROR(FILTER('RR1 Player Stats'!AJ$3:AJ$50, ISNUMBER(SEARCH($A21,'RR1 Player Stats'!$A$3:$A$50))),0)
+IFERROR(FILTER('RR2 Player Stats'!AJ$3:AJ$50, ISNUMBER(SEARCH($A21,'RR2 Player Stats'!$A$3:$A$50))),0)
+IFERROR(FILTER('RR3 Player Stats'!AJ$3:AJ$50, I"&amp;"SNUMBER(SEARCH($A21,'RR3 Player Stats'!$A$3:$A$50))),0)
+IFERROR(FILTER('RR4 Player Stats'!AJ$3:AJ$50, ISNUMBER(SEARCH($A21,'RR4 Player Stats'!$A$3:$A$50))),0)
+IFERROR(FILTER('RR5 Player Stats'!AJ$3:AJ$50, ISNUMBER(SEARCH($A21,'RR5 Player Stats'!$A$3:$A$"&amp;"50))),0)"),14.0)</f>
        <v>14</v>
      </c>
      <c r="R21" s="57">
        <f>IFERROR(__xludf.DUMMYFUNCTION("IFERROR(FILTER('RR1 Player Stats'!AK$3:AK$50, ISNUMBER(SEARCH($A21,'RR1 Player Stats'!$A$3:$A$50))),0)
+IFERROR(FILTER('RR2 Player Stats'!AK$3:AK$50, ISNUMBER(SEARCH($A21,'RR2 Player Stats'!$A$3:$A$50))),0)
+IFERROR(FILTER('RR3 Player Stats'!AK$3:AK$50, I"&amp;"SNUMBER(SEARCH($A21,'RR3 Player Stats'!$A$3:$A$50))),0)
+IFERROR(FILTER('RR4 Player Stats'!AK$3:AK$50, ISNUMBER(SEARCH($A21,'RR4 Player Stats'!$A$3:$A$50))),0)
+IFERROR(FILTER('RR5 Player Stats'!AK$3:AK$50, ISNUMBER(SEARCH($A21,'RR5 Player Stats'!$A$3:$A$"&amp;"50))),0)"),176.0)</f>
        <v>176</v>
      </c>
      <c r="S21" s="57">
        <f>IFERROR(__xludf.DUMMYFUNCTION("IFERROR(FILTER('RR1 Player Stats'!AL$3:AL$50, ISNUMBER(SEARCH($A21,'RR1 Player Stats'!$A$3:$A$50))),0)
+IFERROR(FILTER('RR2 Player Stats'!AL$3:AL$50, ISNUMBER(SEARCH($A21,'RR2 Player Stats'!$A$3:$A$50))),0)
+IFERROR(FILTER('RR3 Player Stats'!AL$3:AL$50, I"&amp;"SNUMBER(SEARCH($A21,'RR3 Player Stats'!$A$3:$A$50))),0)
+IFERROR(FILTER('RR4 Player Stats'!AL$3:AL$50, ISNUMBER(SEARCH($A21,'RR4 Player Stats'!$A$3:$A$50))),0)
+IFERROR(FILTER('RR5 Player Stats'!AL$3:AL$50, ISNUMBER(SEARCH($A21,'RR5 Player Stats'!$A$3:$A$"&amp;"50))),0)"),120.0)</f>
        <v>120</v>
      </c>
      <c r="T21" s="180">
        <f>IFERROR(__xludf.DUMMYFUNCTION("(IFERROR(FILTER('RR1 Player Stats'!AM$3:AM$50, ISNUMBER(SEARCH($A21,'RR1 Player Stats'!$A$3:$A$50))),0)
+IFERROR(FILTER('RR2 Player Stats'!AM$3:AM$50, ISNUMBER(SEARCH($A21,'RR2 Player Stats'!$A$3:$A$50))),0)
+IFERROR(FILTER('RR3 Player Stats'!AM$3:AM$50, "&amp;"ISNUMBER(SEARCH($A21,'RR3 Player Stats'!$A$3:$A$50))),0)
+IFERROR(FILTER('RR4 Player Stats'!AM$3:AM$50, ISNUMBER(SEARCH($A21,'RR4 Player Stats'!$A$3:$A$50))),0)
+IFERROR(FILTER('RR5 Player Stats'!AM$3:AM$50, ISNUMBER(SEARCH($A21,'RR5 Player Stats'!$A$3:$A"&amp;"$50))),0))/B21"),0.36999999999999994)</f>
        <v>0.37</v>
      </c>
      <c r="U21" s="55">
        <f>IFERROR(__xludf.DUMMYFUNCTION("MEDIAN(IFERROR(FILTER('RR1 Player Stats'!AH$3:AH$50, ISNUMBER(SEARCH($A21,'RR1 Player Stats'!$A$3:$A$50))),0),IFERROR(FILTER('RR2 Player Stats'!AH$3:AH$50, ISNUMBER(SEARCH($A21,'RR2 Player Stats'!$A$3:$A$50))),0),IFERROR(FILTER('RR3 Player Stats'!AH$3:AH$"&amp;"50, ISNUMBER(SEARCH($A21,'RR3 Player Stats'!$A$3:$A$50))),0),IFERROR(FILTER('RR4 Player Stats'!AH$3:AH$50, ISNUMBER(SEARCH($A21,'RR4 Player Stats'!$A$3:$A$50))),0),IFERROR(FILTER('RR5 Player Stats'!AH$3:AH$50, ISNUMBER(SEARCH($A21,'RR5 Player Stats'!$A$3:"&amp;"$A$50))),0))"),5.0)</f>
        <v>5</v>
      </c>
      <c r="V21" s="57">
        <f>IFERROR(__xludf.DUMMYFUNCTION("MEDIAN(IFERROR(FILTER('RR1 Player Stats'!AI$3:AI$50, ISNUMBER(SEARCH($A21,'RR1 Player Stats'!$A$3:$A$50))),0),IFERROR(FILTER('RR2 Player Stats'!AI$3:AI$50, ISNUMBER(SEARCH($A21,'RR2 Player Stats'!$A$3:$A$50))),0),IFERROR(FILTER('RR3 Player Stats'!AI$3:AI$"&amp;"50, ISNUMBER(SEARCH($A21,'RR3 Player Stats'!$A$3:$A$50))),0),IFERROR(FILTER('RR4 Player Stats'!AI$3:AI$50, ISNUMBER(SEARCH($A21,'RR4 Player Stats'!$A$3:$A$50))),0),IFERROR(FILTER('RR5 Player Stats'!AI$3:AI$50, ISNUMBER(SEARCH($A21,'RR5 Player Stats'!$A$3:"&amp;"$A$50))),0))"),2.0)</f>
        <v>2</v>
      </c>
      <c r="W21" s="57">
        <f>IFERROR(__xludf.DUMMYFUNCTION("MEDIAN(IFERROR(FILTER('RR1 Player Stats'!AJ$3:AJ$50, ISNUMBER(SEARCH($A21,'RR1 Player Stats'!$A$3:$A$50))),0),IFERROR(FILTER('RR2 Player Stats'!AJ$3:AJ$50, ISNUMBER(SEARCH($A21,'RR2 Player Stats'!$A$3:$A$50))),0),IFERROR(FILTER('RR3 Player Stats'!AJ$3:AJ$"&amp;"50, ISNUMBER(SEARCH($A21,'RR3 Player Stats'!$A$3:$A$50))),0),IFERROR(FILTER('RR4 Player Stats'!AJ$3:AJ$50, ISNUMBER(SEARCH($A21,'RR4 Player Stats'!$A$3:$A$50))),0),IFERROR(FILTER('RR5 Player Stats'!AJ$3:AJ$50, ISNUMBER(SEARCH($A21,'RR5 Player Stats'!$A$3:"&amp;"$A$50))),0))"),2.0)</f>
        <v>2</v>
      </c>
      <c r="X21" s="57">
        <f>IFERROR(__xludf.DUMMYFUNCTION("MEDIAN(IFERROR(FILTER('RR1 Player Stats'!AK$3:AK$50, ISNUMBER(SEARCH($A21,'RR1 Player Stats'!$A$3:$A$50))),0),IFERROR(FILTER('RR2 Player Stats'!AK$3:AK$50, ISNUMBER(SEARCH($A21,'RR2 Player Stats'!$A$3:$A$50))),0),IFERROR(FILTER('RR3 Player Stats'!AK$3:AK$"&amp;"50, ISNUMBER(SEARCH($A21,'RR3 Player Stats'!$A$3:$A$50))),0),IFERROR(FILTER('RR4 Player Stats'!AK$3:AK$50, ISNUMBER(SEARCH($A21,'RR4 Player Stats'!$A$3:$A$50))),0),IFERROR(FILTER('RR5 Player Stats'!AK$3:AK$50, ISNUMBER(SEARCH($A21,'RR5 Player Stats'!$A$3:"&amp;"$A$50))),0))"),32.0)</f>
        <v>32</v>
      </c>
      <c r="Y21" s="57">
        <f>IFERROR(__xludf.DUMMYFUNCTION("MEDIAN(IFERROR(FILTER('RR1 Player Stats'!AL$3:AL$50, ISNUMBER(SEARCH($A21,'RR1 Player Stats'!$A$3:$A$50))),0),IFERROR(FILTER('RR2 Player Stats'!AL$3:AL$50, ISNUMBER(SEARCH($A21,'RR2 Player Stats'!$A$3:$A$50))),0),IFERROR(FILTER('RR3 Player Stats'!AL$3:AL$"&amp;"50, ISNUMBER(SEARCH($A21,'RR3 Player Stats'!$A$3:$A$50))),0),IFERROR(FILTER('RR4 Player Stats'!AL$3:AL$50, ISNUMBER(SEARCH($A21,'RR4 Player Stats'!$A$3:$A$50))),0),IFERROR(FILTER('RR5 Player Stats'!AL$3:AL$50, ISNUMBER(SEARCH($A21,'RR5 Player Stats'!$A$3:"&amp;"$A$50))),0))"),24.0)</f>
        <v>24</v>
      </c>
      <c r="Z21" s="180">
        <f>IFERROR(__xludf.DUMMYFUNCTION("MEDIAN(IFERROR(FILTER('RR1 Player Stats'!AM$3:AM$50, ISNUMBER(SEARCH($A21,'RR1 Player Stats'!$A$3:$A$50))),0),IFERROR(FILTER('RR2 Player Stats'!AM$3:AM$50, ISNUMBER(SEARCH($A21,'RR2 Player Stats'!$A$3:$A$50))),0),IFERROR(FILTER('RR3 Player Stats'!AM$3:AM$"&amp;"50, ISNUMBER(SEARCH($A21,'RR3 Player Stats'!$A$3:$A$50))),0),IFERROR(FILTER('RR4 Player Stats'!AM$3:AM$50, ISNUMBER(SEARCH($A21,'RR4 Player Stats'!$A$3:$A$50))),0),IFERROR(FILTER('RR5 Player Stats'!AM$3:AM$50, ISNUMBER(SEARCH($A21,'RR5 Player Stats'!$A$3:"&amp;"$A$50))),0))"),0.35)</f>
        <v>0.35</v>
      </c>
    </row>
    <row r="22">
      <c r="A22" s="29" t="s">
        <v>47</v>
      </c>
      <c r="B22" s="48">
        <f>COUNTIF('RR1 Player Stats'!$A$3:$A$50,$A22)+COUNTIF('RR2 Player Stats'!$A$3:$A$50,$A22)+COUNTIF('RR3 Player Stats'!$A$3:$A$50,$A22)+COUNTIF('RR4 Player Stats'!$A$3:$A$50,$A22)+COUNTIF('RR5 Player Stats'!$A$3:$A$50,$A22)</f>
        <v>5</v>
      </c>
      <c r="C22" s="55">
        <f>IFERROR(__xludf.DUMMYFUNCTION("IFERROR(FILTER('RR1 Player Stats'!V$3:V$50, ISNUMBER(SEARCH($A22,'RR1 Player Stats'!$A$3:$A$50))),0)
+IFERROR(FILTER('RR2 Player Stats'!V$3:V$50, ISNUMBER(SEARCH($A22,'RR2 Player Stats'!$A$3:$A$50))),0)
+IFERROR(FILTER('RR3 Player Stats'!V$3:V$50, ISNUMBE"&amp;"R(SEARCH($A22,'RR3 Player Stats'!$A$3:$A$50))),0)
+IFERROR(FILTER('RR4 Player Stats'!V$3:V$50, ISNUMBER(SEARCH($A22,'RR4 Player Stats'!$A$3:$A$50))),0)
+IFERROR(FILTER('RR5 Player Stats'!V$3:V$50, ISNUMBER(SEARCH($A22,'RR5 Player Stats'!$A$3:$A$50))),0)"),13.0)</f>
        <v>13</v>
      </c>
      <c r="D22" s="57">
        <f>IFERROR(__xludf.DUMMYFUNCTION("IFERROR(FILTER('RR1 Player Stats'!W$3:W$50, ISNUMBER(SEARCH($A22,'RR1 Player Stats'!$A$3:$A$50))),0)
+IFERROR(FILTER('RR2 Player Stats'!W$3:W$50, ISNUMBER(SEARCH($A22,'RR2 Player Stats'!$A$3:$A$50))),0)
+IFERROR(FILTER('RR3 Player Stats'!W$3:W$50, ISNUMBE"&amp;"R(SEARCH($A22,'RR3 Player Stats'!$A$3:$A$50))),0)
+IFERROR(FILTER('RR4 Player Stats'!W$3:W$50, ISNUMBER(SEARCH($A22,'RR4 Player Stats'!$A$3:$A$50))),0)
+IFERROR(FILTER('RR5 Player Stats'!W$3:W$50, ISNUMBER(SEARCH($A22,'RR5 Player Stats'!$A$3:$A$50))),0)"),11.0)</f>
        <v>11</v>
      </c>
      <c r="E22" s="57">
        <f>IFERROR(__xludf.DUMMYFUNCTION("IFERROR(FILTER('RR1 Player Stats'!X$3:X$50, ISNUMBER(SEARCH($A22,'RR1 Player Stats'!$A$3:$A$50))),0)
+IFERROR(FILTER('RR2 Player Stats'!X$3:X$50, ISNUMBER(SEARCH($A22,'RR2 Player Stats'!$A$3:$A$50))),0)
+IFERROR(FILTER('RR3 Player Stats'!X$3:X$50, ISNUMBE"&amp;"R(SEARCH($A22,'RR3 Player Stats'!$A$3:$A$50))),0)
+IFERROR(FILTER('RR4 Player Stats'!X$3:X$50, ISNUMBER(SEARCH($A22,'RR4 Player Stats'!$A$3:$A$50))),0)
+IFERROR(FILTER('RR5 Player Stats'!X$3:X$50, ISNUMBER(SEARCH($A22,'RR5 Player Stats'!$A$3:$A$50))),0)"),6.0)</f>
        <v>6</v>
      </c>
      <c r="F22" s="57">
        <f>IFERROR(__xludf.DUMMYFUNCTION("IFERROR(FILTER('RR1 Player Stats'!Y$3:Y$50, ISNUMBER(SEARCH($A22,'RR1 Player Stats'!$A$3:$A$50))),0)
+IFERROR(FILTER('RR2 Player Stats'!Y$3:Y$50, ISNUMBER(SEARCH($A22,'RR2 Player Stats'!$A$3:$A$50))),0)
+IFERROR(FILTER('RR3 Player Stats'!Y$3:Y$50, ISNUMBE"&amp;"R(SEARCH($A22,'RR3 Player Stats'!$A$3:$A$50))),0)
+IFERROR(FILTER('RR4 Player Stats'!Y$3:Y$50, ISNUMBER(SEARCH($A22,'RR4 Player Stats'!$A$3:$A$50))),0)
+IFERROR(FILTER('RR5 Player Stats'!Y$3:Y$50, ISNUMBER(SEARCH($A22,'RR5 Player Stats'!$A$3:$A$50))),0)"),118.0)</f>
        <v>118</v>
      </c>
      <c r="G22" s="57">
        <f>IFERROR(__xludf.DUMMYFUNCTION("IFERROR(FILTER('RR1 Player Stats'!Z$3:Z$50, ISNUMBER(SEARCH($A22,'RR1 Player Stats'!$A$3:$A$50))),0)
+IFERROR(FILTER('RR2 Player Stats'!Z$3:Z$50, ISNUMBER(SEARCH($A22,'RR2 Player Stats'!$A$3:$A$50))),0)
+IFERROR(FILTER('RR3 Player Stats'!Z$3:Z$50, ISNUMBE"&amp;"R(SEARCH($A22,'RR3 Player Stats'!$A$3:$A$50))),0)
+IFERROR(FILTER('RR4 Player Stats'!Z$3:Z$50, ISNUMBER(SEARCH($A22,'RR4 Player Stats'!$A$3:$A$50))),0)
+IFERROR(FILTER('RR5 Player Stats'!Z$3:Z$50, ISNUMBER(SEARCH($A22,'RR5 Player Stats'!$A$3:$A$50))),0)"),94.0)</f>
        <v>94</v>
      </c>
      <c r="H22" s="180">
        <f>IFERROR(__xludf.DUMMYFUNCTION("(IFERROR(FILTER('RR1 Player Stats'!AA$3:AA$50, ISNUMBER(SEARCH($A22,'RR1 Player Stats'!$A$3:$A$50))),0)
+IFERROR(FILTER('RR2 Player Stats'!AA$3:AA$50, ISNUMBER(SEARCH($A22,'RR2 Player Stats'!$A$3:$A$50))),0)
+IFERROR(FILTER('RR3 Player Stats'!AA$3:AA$50, "&amp;"ISNUMBER(SEARCH($A22,'RR3 Player Stats'!$A$3:$A$50))),0)
+IFERROR(FILTER('RR4 Player Stats'!AA$3:AA$50, ISNUMBER(SEARCH($A22,'RR4 Player Stats'!$A$3:$A$50))),0)
+IFERROR(FILTER('RR5 Player Stats'!AA$3:AA$50, ISNUMBER(SEARCH($A22,'RR5 Player Stats'!$A$3:$A"&amp;"$50))),0))/5"),0.398)</f>
        <v>0.398</v>
      </c>
      <c r="I22" s="55">
        <f>IFERROR(__xludf.DUMMYFUNCTION("IFERROR(FILTER('RR1 Player Stats'!AB$3:AB$50, ISNUMBER(SEARCH($A22,'RR1 Player Stats'!$A$3:$A$50))),0)
+IFERROR(FILTER('RR2 Player Stats'!AB$3:AB$50, ISNUMBER(SEARCH($A22,'RR2 Player Stats'!$A$3:$A$50))),0)
+IFERROR(FILTER('RR3 Player Stats'!AB$3:AB$50, I"&amp;"SNUMBER(SEARCH($A22,'RR3 Player Stats'!$A$3:$A$50))),0)
+IFERROR(FILTER('RR4 Player Stats'!AB$3:AB$50, ISNUMBER(SEARCH($A22,'RR4 Player Stats'!$A$3:$A$50))),0)
+IFERROR(FILTER('RR5 Player Stats'!AB$3:AB$50, ISNUMBER(SEARCH($A22,'RR5 Player Stats'!$A$3:$A$"&amp;"50))),0)"),8.0)</f>
        <v>8</v>
      </c>
      <c r="J22" s="57">
        <f>IFERROR(__xludf.DUMMYFUNCTION("IFERROR(FILTER('RR1 Player Stats'!AC$3:AC$50, ISNUMBER(SEARCH($A22,'RR1 Player Stats'!$A$3:$A$50))),0)
+IFERROR(FILTER('RR2 Player Stats'!AC$3:AC$50, ISNUMBER(SEARCH($A22,'RR2 Player Stats'!$A$3:$A$50))),0)
+IFERROR(FILTER('RR3 Player Stats'!AC$3:AC$50, I"&amp;"SNUMBER(SEARCH($A22,'RR3 Player Stats'!$A$3:$A$50))),0)
+IFERROR(FILTER('RR4 Player Stats'!AC$3:AC$50, ISNUMBER(SEARCH($A22,'RR4 Player Stats'!$A$3:$A$50))),0)
+IFERROR(FILTER('RR5 Player Stats'!AC$3:AC$50, ISNUMBER(SEARCH($A22,'RR5 Player Stats'!$A$3:$A$"&amp;"50))),0)"),4.0)</f>
        <v>4</v>
      </c>
      <c r="K22" s="57">
        <f>IFERROR(__xludf.DUMMYFUNCTION("IFERROR(FILTER('RR1 Player Stats'!AD$3:AD$50, ISNUMBER(SEARCH($A22,'RR1 Player Stats'!$A$3:$A$50))),0)
+IFERROR(FILTER('RR2 Player Stats'!AD$3:AD$50, ISNUMBER(SEARCH($A22,'RR2 Player Stats'!$A$3:$A$50))),0)
+IFERROR(FILTER('RR3 Player Stats'!AD$3:AD$50, I"&amp;"SNUMBER(SEARCH($A22,'RR3 Player Stats'!$A$3:$A$50))),0)
+IFERROR(FILTER('RR4 Player Stats'!AD$3:AD$50, ISNUMBER(SEARCH($A22,'RR4 Player Stats'!$A$3:$A$50))),0)
+IFERROR(FILTER('RR5 Player Stats'!AD$3:AD$50, ISNUMBER(SEARCH($A22,'RR5 Player Stats'!$A$3:$A$"&amp;"50))),0)"),4.0)</f>
        <v>4</v>
      </c>
      <c r="L22" s="57">
        <f>IFERROR(__xludf.DUMMYFUNCTION("IFERROR(FILTER('RR1 Player Stats'!AE$3:AE$50, ISNUMBER(SEARCH($A22,'RR1 Player Stats'!$A$3:$A$50))),0)
+IFERROR(FILTER('RR2 Player Stats'!AE$3:AE$50, ISNUMBER(SEARCH($A22,'RR2 Player Stats'!$A$3:$A$50))),0)
+IFERROR(FILTER('RR3 Player Stats'!AE$3:AE$50, I"&amp;"SNUMBER(SEARCH($A22,'RR3 Player Stats'!$A$3:$A$50))),0)
+IFERROR(FILTER('RR4 Player Stats'!AE$3:AE$50, ISNUMBER(SEARCH($A22,'RR4 Player Stats'!$A$3:$A$50))),0)
+IFERROR(FILTER('RR5 Player Stats'!AE$3:AE$50, ISNUMBER(SEARCH($A22,'RR5 Player Stats'!$A$3:$A$"&amp;"50))),0)"),56.0)</f>
        <v>56</v>
      </c>
      <c r="M22" s="57">
        <f>IFERROR(__xludf.DUMMYFUNCTION("IFERROR(FILTER('RR1 Player Stats'!AF$3:AF$50, ISNUMBER(SEARCH($A22,'RR1 Player Stats'!$A$3:$A$50))),0)
+IFERROR(FILTER('RR2 Player Stats'!AF$3:AF$50, ISNUMBER(SEARCH($A22,'RR2 Player Stats'!$A$3:$A$50))),0)
+IFERROR(FILTER('RR3 Player Stats'!AF$3:AF$50, I"&amp;"SNUMBER(SEARCH($A22,'RR3 Player Stats'!$A$3:$A$50))),0)
+IFERROR(FILTER('RR4 Player Stats'!AF$3:AF$50, ISNUMBER(SEARCH($A22,'RR4 Player Stats'!$A$3:$A$50))),0)
+IFERROR(FILTER('RR5 Player Stats'!AF$3:AF$50, ISNUMBER(SEARCH($A22,'RR5 Player Stats'!$A$3:$A$"&amp;"50))),0)"),40.0)</f>
        <v>40</v>
      </c>
      <c r="N22" s="180">
        <f>IFERROR(__xludf.DUMMYFUNCTION("(IFERROR(FILTER('RR1 Player Stats'!AG$3:AG$50, ISNUMBER(SEARCH($A22,'RR1 Player Stats'!$A$3:$A$50))),0)
+IFERROR(FILTER('RR2 Player Stats'!AG$3:AG$50, ISNUMBER(SEARCH($A22,'RR2 Player Stats'!$A$3:$A$50))),0)
+IFERROR(FILTER('RR3 Player Stats'!AG$3:AG$50, "&amp;"ISNUMBER(SEARCH($A22,'RR3 Player Stats'!$A$3:$A$50))),0)
+IFERROR(FILTER('RR4 Player Stats'!AG$3:AG$50, ISNUMBER(SEARCH($A22,'RR4 Player Stats'!$A$3:$A$50))),0)
+IFERROR(FILTER('RR5 Player Stats'!AG$3:AG$50, ISNUMBER(SEARCH($A22,'RR5 Player Stats'!$A$3:$A"&amp;"$50))),0))/5"),0.302)</f>
        <v>0.302</v>
      </c>
      <c r="O22" s="55">
        <f>IFERROR(__xludf.DUMMYFUNCTION("IFERROR(FILTER('RR1 Player Stats'!AH$3:AH$50, ISNUMBER(SEARCH($A22,'RR1 Player Stats'!$A$3:$A$50))),0)
+IFERROR(FILTER('RR2 Player Stats'!AH$3:AH$50, ISNUMBER(SEARCH($A22,'RR2 Player Stats'!$A$3:$A$50))),0)
+IFERROR(FILTER('RR3 Player Stats'!AH$3:AH$50, I"&amp;"SNUMBER(SEARCH($A22,'RR3 Player Stats'!$A$3:$A$50))),0)
+IFERROR(FILTER('RR4 Player Stats'!AH$3:AH$50, ISNUMBER(SEARCH($A22,'RR4 Player Stats'!$A$3:$A$50))),0)
+IFERROR(FILTER('RR5 Player Stats'!AH$3:AH$50, ISNUMBER(SEARCH($A22,'RR5 Player Stats'!$A$3:$A$"&amp;"50))),0)"),21.0)</f>
        <v>21</v>
      </c>
      <c r="P22" s="57">
        <f>IFERROR(__xludf.DUMMYFUNCTION("IFERROR(FILTER('RR1 Player Stats'!AI$3:AI$50, ISNUMBER(SEARCH($A22,'RR1 Player Stats'!$A$3:$A$50))),0)
+IFERROR(FILTER('RR2 Player Stats'!AI$3:AI$50, ISNUMBER(SEARCH($A22,'RR2 Player Stats'!$A$3:$A$50))),0)
+IFERROR(FILTER('RR3 Player Stats'!AI$3:AI$50, I"&amp;"SNUMBER(SEARCH($A22,'RR3 Player Stats'!$A$3:$A$50))),0)
+IFERROR(FILTER('RR4 Player Stats'!AI$3:AI$50, ISNUMBER(SEARCH($A22,'RR4 Player Stats'!$A$3:$A$50))),0)
+IFERROR(FILTER('RR5 Player Stats'!AI$3:AI$50, ISNUMBER(SEARCH($A22,'RR5 Player Stats'!$A$3:$A$"&amp;"50))),0)"),15.0)</f>
        <v>15</v>
      </c>
      <c r="Q22" s="57">
        <f>IFERROR(__xludf.DUMMYFUNCTION("IFERROR(FILTER('RR1 Player Stats'!AJ$3:AJ$50, ISNUMBER(SEARCH($A22,'RR1 Player Stats'!$A$3:$A$50))),0)
+IFERROR(FILTER('RR2 Player Stats'!AJ$3:AJ$50, ISNUMBER(SEARCH($A22,'RR2 Player Stats'!$A$3:$A$50))),0)
+IFERROR(FILTER('RR3 Player Stats'!AJ$3:AJ$50, I"&amp;"SNUMBER(SEARCH($A22,'RR3 Player Stats'!$A$3:$A$50))),0)
+IFERROR(FILTER('RR4 Player Stats'!AJ$3:AJ$50, ISNUMBER(SEARCH($A22,'RR4 Player Stats'!$A$3:$A$50))),0)
+IFERROR(FILTER('RR5 Player Stats'!AJ$3:AJ$50, ISNUMBER(SEARCH($A22,'RR5 Player Stats'!$A$3:$A$"&amp;"50))),0)"),10.0)</f>
        <v>10</v>
      </c>
      <c r="R22" s="57">
        <f>IFERROR(__xludf.DUMMYFUNCTION("IFERROR(FILTER('RR1 Player Stats'!AK$3:AK$50, ISNUMBER(SEARCH($A22,'RR1 Player Stats'!$A$3:$A$50))),0)
+IFERROR(FILTER('RR2 Player Stats'!AK$3:AK$50, ISNUMBER(SEARCH($A22,'RR2 Player Stats'!$A$3:$A$50))),0)
+IFERROR(FILTER('RR3 Player Stats'!AK$3:AK$50, I"&amp;"SNUMBER(SEARCH($A22,'RR3 Player Stats'!$A$3:$A$50))),0)
+IFERROR(FILTER('RR4 Player Stats'!AK$3:AK$50, ISNUMBER(SEARCH($A22,'RR4 Player Stats'!$A$3:$A$50))),0)
+IFERROR(FILTER('RR5 Player Stats'!AK$3:AK$50, ISNUMBER(SEARCH($A22,'RR5 Player Stats'!$A$3:$A$"&amp;"50))),0)"),174.0)</f>
        <v>174</v>
      </c>
      <c r="S22" s="57">
        <f>IFERROR(__xludf.DUMMYFUNCTION("IFERROR(FILTER('RR1 Player Stats'!AL$3:AL$50, ISNUMBER(SEARCH($A22,'RR1 Player Stats'!$A$3:$A$50))),0)
+IFERROR(FILTER('RR2 Player Stats'!AL$3:AL$50, ISNUMBER(SEARCH($A22,'RR2 Player Stats'!$A$3:$A$50))),0)
+IFERROR(FILTER('RR3 Player Stats'!AL$3:AL$50, I"&amp;"SNUMBER(SEARCH($A22,'RR3 Player Stats'!$A$3:$A$50))),0)
+IFERROR(FILTER('RR4 Player Stats'!AL$3:AL$50, ISNUMBER(SEARCH($A22,'RR4 Player Stats'!$A$3:$A$50))),0)
+IFERROR(FILTER('RR5 Player Stats'!AL$3:AL$50, ISNUMBER(SEARCH($A22,'RR5 Player Stats'!$A$3:$A$"&amp;"50))),0)"),134.0)</f>
        <v>134</v>
      </c>
      <c r="T22" s="180">
        <f>IFERROR(__xludf.DUMMYFUNCTION("(IFERROR(FILTER('RR1 Player Stats'!AM$3:AM$50, ISNUMBER(SEARCH($A22,'RR1 Player Stats'!$A$3:$A$50))),0)
+IFERROR(FILTER('RR2 Player Stats'!AM$3:AM$50, ISNUMBER(SEARCH($A22,'RR2 Player Stats'!$A$3:$A$50))),0)
+IFERROR(FILTER('RR3 Player Stats'!AM$3:AM$50, "&amp;"ISNUMBER(SEARCH($A22,'RR3 Player Stats'!$A$3:$A$50))),0)
+IFERROR(FILTER('RR4 Player Stats'!AM$3:AM$50, ISNUMBER(SEARCH($A22,'RR4 Player Stats'!$A$3:$A$50))),0)
+IFERROR(FILTER('RR5 Player Stats'!AM$3:AM$50, ISNUMBER(SEARCH($A22,'RR5 Player Stats'!$A$3:$A"&amp;"$50))),0))/B22"),0.36)</f>
        <v>0.36</v>
      </c>
      <c r="U22" s="55">
        <f>IFERROR(__xludf.DUMMYFUNCTION("MEDIAN(IFERROR(FILTER('RR1 Player Stats'!AH$3:AH$50, ISNUMBER(SEARCH($A22,'RR1 Player Stats'!$A$3:$A$50))),0),IFERROR(FILTER('RR2 Player Stats'!AH$3:AH$50, ISNUMBER(SEARCH($A22,'RR2 Player Stats'!$A$3:$A$50))),0),IFERROR(FILTER('RR3 Player Stats'!AH$3:AH$"&amp;"50, ISNUMBER(SEARCH($A22,'RR3 Player Stats'!$A$3:$A$50))),0),IFERROR(FILTER('RR4 Player Stats'!AH$3:AH$50, ISNUMBER(SEARCH($A22,'RR4 Player Stats'!$A$3:$A$50))),0),IFERROR(FILTER('RR5 Player Stats'!AH$3:AH$50, ISNUMBER(SEARCH($A22,'RR5 Player Stats'!$A$3:"&amp;"$A$50))),0))"),5.0)</f>
        <v>5</v>
      </c>
      <c r="V22" s="57">
        <f>IFERROR(__xludf.DUMMYFUNCTION("MEDIAN(IFERROR(FILTER('RR1 Player Stats'!AI$3:AI$50, ISNUMBER(SEARCH($A22,'RR1 Player Stats'!$A$3:$A$50))),0),IFERROR(FILTER('RR2 Player Stats'!AI$3:AI$50, ISNUMBER(SEARCH($A22,'RR2 Player Stats'!$A$3:$A$50))),0),IFERROR(FILTER('RR3 Player Stats'!AI$3:AI$"&amp;"50, ISNUMBER(SEARCH($A22,'RR3 Player Stats'!$A$3:$A$50))),0),IFERROR(FILTER('RR4 Player Stats'!AI$3:AI$50, ISNUMBER(SEARCH($A22,'RR4 Player Stats'!$A$3:$A$50))),0),IFERROR(FILTER('RR5 Player Stats'!AI$3:AI$50, ISNUMBER(SEARCH($A22,'RR5 Player Stats'!$A$3:"&amp;"$A$50))),0))"),3.0)</f>
        <v>3</v>
      </c>
      <c r="W22" s="57">
        <f>IFERROR(__xludf.DUMMYFUNCTION("MEDIAN(IFERROR(FILTER('RR1 Player Stats'!AJ$3:AJ$50, ISNUMBER(SEARCH($A22,'RR1 Player Stats'!$A$3:$A$50))),0),IFERROR(FILTER('RR2 Player Stats'!AJ$3:AJ$50, ISNUMBER(SEARCH($A22,'RR2 Player Stats'!$A$3:$A$50))),0),IFERROR(FILTER('RR3 Player Stats'!AJ$3:AJ$"&amp;"50, ISNUMBER(SEARCH($A22,'RR3 Player Stats'!$A$3:$A$50))),0),IFERROR(FILTER('RR4 Player Stats'!AJ$3:AJ$50, ISNUMBER(SEARCH($A22,'RR4 Player Stats'!$A$3:$A$50))),0),IFERROR(FILTER('RR5 Player Stats'!AJ$3:AJ$50, ISNUMBER(SEARCH($A22,'RR5 Player Stats'!$A$3:"&amp;"$A$50))),0))"),3.0)</f>
        <v>3</v>
      </c>
      <c r="X22" s="57">
        <f>IFERROR(__xludf.DUMMYFUNCTION("MEDIAN(IFERROR(FILTER('RR1 Player Stats'!AK$3:AK$50, ISNUMBER(SEARCH($A22,'RR1 Player Stats'!$A$3:$A$50))),0),IFERROR(FILTER('RR2 Player Stats'!AK$3:AK$50, ISNUMBER(SEARCH($A22,'RR2 Player Stats'!$A$3:$A$50))),0),IFERROR(FILTER('RR3 Player Stats'!AK$3:AK$"&amp;"50, ISNUMBER(SEARCH($A22,'RR3 Player Stats'!$A$3:$A$50))),0),IFERROR(FILTER('RR4 Player Stats'!AK$3:AK$50, ISNUMBER(SEARCH($A22,'RR4 Player Stats'!$A$3:$A$50))),0),IFERROR(FILTER('RR5 Player Stats'!AK$3:AK$50, ISNUMBER(SEARCH($A22,'RR5 Player Stats'!$A$3:"&amp;"$A$50))),0))"),46.0)</f>
        <v>46</v>
      </c>
      <c r="Y22" s="57">
        <f>IFERROR(__xludf.DUMMYFUNCTION("MEDIAN(IFERROR(FILTER('RR1 Player Stats'!AL$3:AL$50, ISNUMBER(SEARCH($A22,'RR1 Player Stats'!$A$3:$A$50))),0),IFERROR(FILTER('RR2 Player Stats'!AL$3:AL$50, ISNUMBER(SEARCH($A22,'RR2 Player Stats'!$A$3:$A$50))),0),IFERROR(FILTER('RR3 Player Stats'!AL$3:AL$"&amp;"50, ISNUMBER(SEARCH($A22,'RR3 Player Stats'!$A$3:$A$50))),0),IFERROR(FILTER('RR4 Player Stats'!AL$3:AL$50, ISNUMBER(SEARCH($A22,'RR4 Player Stats'!$A$3:$A$50))),0),IFERROR(FILTER('RR5 Player Stats'!AL$3:AL$50, ISNUMBER(SEARCH($A22,'RR5 Player Stats'!$A$3:"&amp;"$A$50))),0))"),34.0)</f>
        <v>34</v>
      </c>
      <c r="Z22" s="180">
        <f>IFERROR(__xludf.DUMMYFUNCTION("MEDIAN(IFERROR(FILTER('RR1 Player Stats'!AM$3:AM$50, ISNUMBER(SEARCH($A22,'RR1 Player Stats'!$A$3:$A$50))),0),IFERROR(FILTER('RR2 Player Stats'!AM$3:AM$50, ISNUMBER(SEARCH($A22,'RR2 Player Stats'!$A$3:$A$50))),0),IFERROR(FILTER('RR3 Player Stats'!AM$3:AM$"&amp;"50, ISNUMBER(SEARCH($A22,'RR3 Player Stats'!$A$3:$A$50))),0),IFERROR(FILTER('RR4 Player Stats'!AM$3:AM$50, ISNUMBER(SEARCH($A22,'RR4 Player Stats'!$A$3:$A$50))),0),IFERROR(FILTER('RR5 Player Stats'!AM$3:AM$50, ISNUMBER(SEARCH($A22,'RR5 Player Stats'!$A$3:"&amp;"$A$50))),0))"),0.5)</f>
        <v>0.5</v>
      </c>
    </row>
    <row r="23">
      <c r="A23" s="29" t="s">
        <v>33</v>
      </c>
      <c r="B23" s="48">
        <f>COUNTIF('RR1 Player Stats'!$A$3:$A$50,$A23)+COUNTIF('RR2 Player Stats'!$A$3:$A$50,$A23)+COUNTIF('RR3 Player Stats'!$A$3:$A$50,$A23)+COUNTIF('RR4 Player Stats'!$A$3:$A$50,$A23)+COUNTIF('RR5 Player Stats'!$A$3:$A$50,$A23)</f>
        <v>5</v>
      </c>
      <c r="C23" s="55">
        <f>IFERROR(__xludf.DUMMYFUNCTION("IFERROR(FILTER('RR1 Player Stats'!V$3:V$50, ISNUMBER(SEARCH($A23,'RR1 Player Stats'!$A$3:$A$50))),0)
+IFERROR(FILTER('RR2 Player Stats'!V$3:V$50, ISNUMBER(SEARCH($A23,'RR2 Player Stats'!$A$3:$A$50))),0)
+IFERROR(FILTER('RR3 Player Stats'!V$3:V$50, ISNUMBE"&amp;"R(SEARCH($A23,'RR3 Player Stats'!$A$3:$A$50))),0)
+IFERROR(FILTER('RR4 Player Stats'!V$3:V$50, ISNUMBER(SEARCH($A23,'RR4 Player Stats'!$A$3:$A$50))),0)
+IFERROR(FILTER('RR5 Player Stats'!V$3:V$50, ISNUMBER(SEARCH($A23,'RR5 Player Stats'!$A$3:$A$50))),0)"),11.0)</f>
        <v>11</v>
      </c>
      <c r="D23" s="57">
        <f>IFERROR(__xludf.DUMMYFUNCTION("IFERROR(FILTER('RR1 Player Stats'!W$3:W$50, ISNUMBER(SEARCH($A23,'RR1 Player Stats'!$A$3:$A$50))),0)
+IFERROR(FILTER('RR2 Player Stats'!W$3:W$50, ISNUMBER(SEARCH($A23,'RR2 Player Stats'!$A$3:$A$50))),0)
+IFERROR(FILTER('RR3 Player Stats'!W$3:W$50, ISNUMBE"&amp;"R(SEARCH($A23,'RR3 Player Stats'!$A$3:$A$50))),0)
+IFERROR(FILTER('RR4 Player Stats'!W$3:W$50, ISNUMBER(SEARCH($A23,'RR4 Player Stats'!$A$3:$A$50))),0)
+IFERROR(FILTER('RR5 Player Stats'!W$3:W$50, ISNUMBER(SEARCH($A23,'RR5 Player Stats'!$A$3:$A$50))),0)"),11.0)</f>
        <v>11</v>
      </c>
      <c r="E23" s="57">
        <f>IFERROR(__xludf.DUMMYFUNCTION("IFERROR(FILTER('RR1 Player Stats'!X$3:X$50, ISNUMBER(SEARCH($A23,'RR1 Player Stats'!$A$3:$A$50))),0)
+IFERROR(FILTER('RR2 Player Stats'!X$3:X$50, ISNUMBER(SEARCH($A23,'RR2 Player Stats'!$A$3:$A$50))),0)
+IFERROR(FILTER('RR3 Player Stats'!X$3:X$50, ISNUMBE"&amp;"R(SEARCH($A23,'RR3 Player Stats'!$A$3:$A$50))),0)
+IFERROR(FILTER('RR4 Player Stats'!X$3:X$50, ISNUMBER(SEARCH($A23,'RR4 Player Stats'!$A$3:$A$50))),0)
+IFERROR(FILTER('RR5 Player Stats'!X$3:X$50, ISNUMBER(SEARCH($A23,'RR5 Player Stats'!$A$3:$A$50))),0)"),3.0)</f>
        <v>3</v>
      </c>
      <c r="F23" s="57">
        <f>IFERROR(__xludf.DUMMYFUNCTION("IFERROR(FILTER('RR1 Player Stats'!Y$3:Y$50, ISNUMBER(SEARCH($A23,'RR1 Player Stats'!$A$3:$A$50))),0)
+IFERROR(FILTER('RR2 Player Stats'!Y$3:Y$50, ISNUMBER(SEARCH($A23,'RR2 Player Stats'!$A$3:$A$50))),0)
+IFERROR(FILTER('RR3 Player Stats'!Y$3:Y$50, ISNUMBE"&amp;"R(SEARCH($A23,'RR3 Player Stats'!$A$3:$A$50))),0)
+IFERROR(FILTER('RR4 Player Stats'!Y$3:Y$50, ISNUMBER(SEARCH($A23,'RR4 Player Stats'!$A$3:$A$50))),0)
+IFERROR(FILTER('RR5 Player Stats'!Y$3:Y$50, ISNUMBER(SEARCH($A23,'RR5 Player Stats'!$A$3:$A$50))),0)"),110.0)</f>
        <v>110</v>
      </c>
      <c r="G23" s="57">
        <f>IFERROR(__xludf.DUMMYFUNCTION("IFERROR(FILTER('RR1 Player Stats'!Z$3:Z$50, ISNUMBER(SEARCH($A23,'RR1 Player Stats'!$A$3:$A$50))),0)
+IFERROR(FILTER('RR2 Player Stats'!Z$3:Z$50, ISNUMBER(SEARCH($A23,'RR2 Player Stats'!$A$3:$A$50))),0)
+IFERROR(FILTER('RR3 Player Stats'!Z$3:Z$50, ISNUMBE"&amp;"R(SEARCH($A23,'RR3 Player Stats'!$A$3:$A$50))),0)
+IFERROR(FILTER('RR4 Player Stats'!Z$3:Z$50, ISNUMBER(SEARCH($A23,'RR4 Player Stats'!$A$3:$A$50))),0)
+IFERROR(FILTER('RR5 Player Stats'!Z$3:Z$50, ISNUMBER(SEARCH($A23,'RR5 Player Stats'!$A$3:$A$50))),0)"),98.0)</f>
        <v>98</v>
      </c>
      <c r="H23" s="180">
        <f>IFERROR(__xludf.DUMMYFUNCTION("(IFERROR(FILTER('RR1 Player Stats'!AA$3:AA$50, ISNUMBER(SEARCH($A23,'RR1 Player Stats'!$A$3:$A$50))),0)
+IFERROR(FILTER('RR2 Player Stats'!AA$3:AA$50, ISNUMBER(SEARCH($A23,'RR2 Player Stats'!$A$3:$A$50))),0)
+IFERROR(FILTER('RR3 Player Stats'!AA$3:AA$50, "&amp;"ISNUMBER(SEARCH($A23,'RR3 Player Stats'!$A$3:$A$50))),0)
+IFERROR(FILTER('RR4 Player Stats'!AA$3:AA$50, ISNUMBER(SEARCH($A23,'RR4 Player Stats'!$A$3:$A$50))),0)
+IFERROR(FILTER('RR5 Player Stats'!AA$3:AA$50, ISNUMBER(SEARCH($A23,'RR5 Player Stats'!$A$3:$A"&amp;"$50))),0))/5"),0.366)</f>
        <v>0.366</v>
      </c>
      <c r="I23" s="55">
        <f>IFERROR(__xludf.DUMMYFUNCTION("IFERROR(FILTER('RR1 Player Stats'!AB$3:AB$50, ISNUMBER(SEARCH($A23,'RR1 Player Stats'!$A$3:$A$50))),0)
+IFERROR(FILTER('RR2 Player Stats'!AB$3:AB$50, ISNUMBER(SEARCH($A23,'RR2 Player Stats'!$A$3:$A$50))),0)
+IFERROR(FILTER('RR3 Player Stats'!AB$3:AB$50, I"&amp;"SNUMBER(SEARCH($A23,'RR3 Player Stats'!$A$3:$A$50))),0)
+IFERROR(FILTER('RR4 Player Stats'!AB$3:AB$50, ISNUMBER(SEARCH($A23,'RR4 Player Stats'!$A$3:$A$50))),0)
+IFERROR(FILTER('RR5 Player Stats'!AB$3:AB$50, ISNUMBER(SEARCH($A23,'RR5 Player Stats'!$A$3:$A$"&amp;"50))),0)"),11.0)</f>
        <v>11</v>
      </c>
      <c r="J23" s="57">
        <f>IFERROR(__xludf.DUMMYFUNCTION("IFERROR(FILTER('RR1 Player Stats'!AC$3:AC$50, ISNUMBER(SEARCH($A23,'RR1 Player Stats'!$A$3:$A$50))),0)
+IFERROR(FILTER('RR2 Player Stats'!AC$3:AC$50, ISNUMBER(SEARCH($A23,'RR2 Player Stats'!$A$3:$A$50))),0)
+IFERROR(FILTER('RR3 Player Stats'!AC$3:AC$50, I"&amp;"SNUMBER(SEARCH($A23,'RR3 Player Stats'!$A$3:$A$50))),0)
+IFERROR(FILTER('RR4 Player Stats'!AC$3:AC$50, ISNUMBER(SEARCH($A23,'RR4 Player Stats'!$A$3:$A$50))),0)
+IFERROR(FILTER('RR5 Player Stats'!AC$3:AC$50, ISNUMBER(SEARCH($A23,'RR5 Player Stats'!$A$3:$A$"&amp;"50))),0)"),3.0)</f>
        <v>3</v>
      </c>
      <c r="K23" s="57">
        <f>IFERROR(__xludf.DUMMYFUNCTION("IFERROR(FILTER('RR1 Player Stats'!AD$3:AD$50, ISNUMBER(SEARCH($A23,'RR1 Player Stats'!$A$3:$A$50))),0)
+IFERROR(FILTER('RR2 Player Stats'!AD$3:AD$50, ISNUMBER(SEARCH($A23,'RR2 Player Stats'!$A$3:$A$50))),0)
+IFERROR(FILTER('RR3 Player Stats'!AD$3:AD$50, I"&amp;"SNUMBER(SEARCH($A23,'RR3 Player Stats'!$A$3:$A$50))),0)
+IFERROR(FILTER('RR4 Player Stats'!AD$3:AD$50, ISNUMBER(SEARCH($A23,'RR4 Player Stats'!$A$3:$A$50))),0)
+IFERROR(FILTER('RR5 Player Stats'!AD$3:AD$50, ISNUMBER(SEARCH($A23,'RR5 Player Stats'!$A$3:$A$"&amp;"50))),0)"),1.0)</f>
        <v>1</v>
      </c>
      <c r="L23" s="57">
        <f>IFERROR(__xludf.DUMMYFUNCTION("IFERROR(FILTER('RR1 Player Stats'!AE$3:AE$50, ISNUMBER(SEARCH($A23,'RR1 Player Stats'!$A$3:$A$50))),0)
+IFERROR(FILTER('RR2 Player Stats'!AE$3:AE$50, ISNUMBER(SEARCH($A23,'RR2 Player Stats'!$A$3:$A$50))),0)
+IFERROR(FILTER('RR3 Player Stats'!AE$3:AE$50, I"&amp;"SNUMBER(SEARCH($A23,'RR3 Player Stats'!$A$3:$A$50))),0)
+IFERROR(FILTER('RR4 Player Stats'!AE$3:AE$50, ISNUMBER(SEARCH($A23,'RR4 Player Stats'!$A$3:$A$50))),0)
+IFERROR(FILTER('RR5 Player Stats'!AE$3:AE$50, ISNUMBER(SEARCH($A23,'RR5 Player Stats'!$A$3:$A$"&amp;"50))),0)"),62.0)</f>
        <v>62</v>
      </c>
      <c r="M23" s="57">
        <f>IFERROR(__xludf.DUMMYFUNCTION("IFERROR(FILTER('RR1 Player Stats'!AF$3:AF$50, ISNUMBER(SEARCH($A23,'RR1 Player Stats'!$A$3:$A$50))),0)
+IFERROR(FILTER('RR2 Player Stats'!AF$3:AF$50, ISNUMBER(SEARCH($A23,'RR2 Player Stats'!$A$3:$A$50))),0)
+IFERROR(FILTER('RR3 Player Stats'!AF$3:AF$50, I"&amp;"SNUMBER(SEARCH($A23,'RR3 Player Stats'!$A$3:$A$50))),0)
+IFERROR(FILTER('RR4 Player Stats'!AF$3:AF$50, ISNUMBER(SEARCH($A23,'RR4 Player Stats'!$A$3:$A$50))),0)
+IFERROR(FILTER('RR5 Player Stats'!AF$3:AF$50, ISNUMBER(SEARCH($A23,'RR5 Player Stats'!$A$3:$A$"&amp;"50))),0)"),58.0)</f>
        <v>58</v>
      </c>
      <c r="N23" s="180">
        <f>IFERROR(__xludf.DUMMYFUNCTION("(IFERROR(FILTER('RR1 Player Stats'!AG$3:AG$50, ISNUMBER(SEARCH($A23,'RR1 Player Stats'!$A$3:$A$50))),0)
+IFERROR(FILTER('RR2 Player Stats'!AG$3:AG$50, ISNUMBER(SEARCH($A23,'RR2 Player Stats'!$A$3:$A$50))),0)
+IFERROR(FILTER('RR3 Player Stats'!AG$3:AG$50, "&amp;"ISNUMBER(SEARCH($A23,'RR3 Player Stats'!$A$3:$A$50))),0)
+IFERROR(FILTER('RR4 Player Stats'!AG$3:AG$50, ISNUMBER(SEARCH($A23,'RR4 Player Stats'!$A$3:$A$50))),0)
+IFERROR(FILTER('RR5 Player Stats'!AG$3:AG$50, ISNUMBER(SEARCH($A23,'RR5 Player Stats'!$A$3:$A"&amp;"$50))),0))/5"),0.352)</f>
        <v>0.352</v>
      </c>
      <c r="O23" s="55">
        <f>IFERROR(__xludf.DUMMYFUNCTION("IFERROR(FILTER('RR1 Player Stats'!AH$3:AH$50, ISNUMBER(SEARCH($A23,'RR1 Player Stats'!$A$3:$A$50))),0)
+IFERROR(FILTER('RR2 Player Stats'!AH$3:AH$50, ISNUMBER(SEARCH($A23,'RR2 Player Stats'!$A$3:$A$50))),0)
+IFERROR(FILTER('RR3 Player Stats'!AH$3:AH$50, I"&amp;"SNUMBER(SEARCH($A23,'RR3 Player Stats'!$A$3:$A$50))),0)
+IFERROR(FILTER('RR4 Player Stats'!AH$3:AH$50, ISNUMBER(SEARCH($A23,'RR4 Player Stats'!$A$3:$A$50))),0)
+IFERROR(FILTER('RR5 Player Stats'!AH$3:AH$50, ISNUMBER(SEARCH($A23,'RR5 Player Stats'!$A$3:$A$"&amp;"50))),0)"),22.0)</f>
        <v>22</v>
      </c>
      <c r="P23" s="57">
        <f>IFERROR(__xludf.DUMMYFUNCTION("IFERROR(FILTER('RR1 Player Stats'!AI$3:AI$50, ISNUMBER(SEARCH($A23,'RR1 Player Stats'!$A$3:$A$50))),0)
+IFERROR(FILTER('RR2 Player Stats'!AI$3:AI$50, ISNUMBER(SEARCH($A23,'RR2 Player Stats'!$A$3:$A$50))),0)
+IFERROR(FILTER('RR3 Player Stats'!AI$3:AI$50, I"&amp;"SNUMBER(SEARCH($A23,'RR3 Player Stats'!$A$3:$A$50))),0)
+IFERROR(FILTER('RR4 Player Stats'!AI$3:AI$50, ISNUMBER(SEARCH($A23,'RR4 Player Stats'!$A$3:$A$50))),0)
+IFERROR(FILTER('RR5 Player Stats'!AI$3:AI$50, ISNUMBER(SEARCH($A23,'RR5 Player Stats'!$A$3:$A$"&amp;"50))),0)"),14.0)</f>
        <v>14</v>
      </c>
      <c r="Q23" s="57">
        <f>IFERROR(__xludf.DUMMYFUNCTION("IFERROR(FILTER('RR1 Player Stats'!AJ$3:AJ$50, ISNUMBER(SEARCH($A23,'RR1 Player Stats'!$A$3:$A$50))),0)
+IFERROR(FILTER('RR2 Player Stats'!AJ$3:AJ$50, ISNUMBER(SEARCH($A23,'RR2 Player Stats'!$A$3:$A$50))),0)
+IFERROR(FILTER('RR3 Player Stats'!AJ$3:AJ$50, I"&amp;"SNUMBER(SEARCH($A23,'RR3 Player Stats'!$A$3:$A$50))),0)
+IFERROR(FILTER('RR4 Player Stats'!AJ$3:AJ$50, ISNUMBER(SEARCH($A23,'RR4 Player Stats'!$A$3:$A$50))),0)
+IFERROR(FILTER('RR5 Player Stats'!AJ$3:AJ$50, ISNUMBER(SEARCH($A23,'RR5 Player Stats'!$A$3:$A$"&amp;"50))),0)"),4.0)</f>
        <v>4</v>
      </c>
      <c r="R23" s="57">
        <f>IFERROR(__xludf.DUMMYFUNCTION("IFERROR(FILTER('RR1 Player Stats'!AK$3:AK$50, ISNUMBER(SEARCH($A23,'RR1 Player Stats'!$A$3:$A$50))),0)
+IFERROR(FILTER('RR2 Player Stats'!AK$3:AK$50, ISNUMBER(SEARCH($A23,'RR2 Player Stats'!$A$3:$A$50))),0)
+IFERROR(FILTER('RR3 Player Stats'!AK$3:AK$50, I"&amp;"SNUMBER(SEARCH($A23,'RR3 Player Stats'!$A$3:$A$50))),0)
+IFERROR(FILTER('RR4 Player Stats'!AK$3:AK$50, ISNUMBER(SEARCH($A23,'RR4 Player Stats'!$A$3:$A$50))),0)
+IFERROR(FILTER('RR5 Player Stats'!AK$3:AK$50, ISNUMBER(SEARCH($A23,'RR5 Player Stats'!$A$3:$A$"&amp;"50))),0)"),172.0)</f>
        <v>172</v>
      </c>
      <c r="S23" s="57">
        <f>IFERROR(__xludf.DUMMYFUNCTION("IFERROR(FILTER('RR1 Player Stats'!AL$3:AL$50, ISNUMBER(SEARCH($A23,'RR1 Player Stats'!$A$3:$A$50))),0)
+IFERROR(FILTER('RR2 Player Stats'!AL$3:AL$50, ISNUMBER(SEARCH($A23,'RR2 Player Stats'!$A$3:$A$50))),0)
+IFERROR(FILTER('RR3 Player Stats'!AL$3:AL$50, I"&amp;"SNUMBER(SEARCH($A23,'RR3 Player Stats'!$A$3:$A$50))),0)
+IFERROR(FILTER('RR4 Player Stats'!AL$3:AL$50, ISNUMBER(SEARCH($A23,'RR4 Player Stats'!$A$3:$A$50))),0)
+IFERROR(FILTER('RR5 Player Stats'!AL$3:AL$50, ISNUMBER(SEARCH($A23,'RR5 Player Stats'!$A$3:$A$"&amp;"50))),0)"),156.0)</f>
        <v>156</v>
      </c>
      <c r="T23" s="180">
        <f>IFERROR(__xludf.DUMMYFUNCTION("(IFERROR(FILTER('RR1 Player Stats'!AM$3:AM$50, ISNUMBER(SEARCH($A23,'RR1 Player Stats'!$A$3:$A$50))),0)
+IFERROR(FILTER('RR2 Player Stats'!AM$3:AM$50, ISNUMBER(SEARCH($A23,'RR2 Player Stats'!$A$3:$A$50))),0)
+IFERROR(FILTER('RR3 Player Stats'!AM$3:AM$50, "&amp;"ISNUMBER(SEARCH($A23,'RR3 Player Stats'!$A$3:$A$50))),0)
+IFERROR(FILTER('RR4 Player Stats'!AM$3:AM$50, ISNUMBER(SEARCH($A23,'RR4 Player Stats'!$A$3:$A$50))),0)
+IFERROR(FILTER('RR5 Player Stats'!AM$3:AM$50, ISNUMBER(SEARCH($A23,'RR5 Player Stats'!$A$3:$A"&amp;"$50))),0))/B23"),0.36)</f>
        <v>0.36</v>
      </c>
      <c r="U23" s="55">
        <f>IFERROR(__xludf.DUMMYFUNCTION("MEDIAN(IFERROR(FILTER('RR1 Player Stats'!AH$3:AH$50, ISNUMBER(SEARCH($A23,'RR1 Player Stats'!$A$3:$A$50))),0),IFERROR(FILTER('RR2 Player Stats'!AH$3:AH$50, ISNUMBER(SEARCH($A23,'RR2 Player Stats'!$A$3:$A$50))),0),IFERROR(FILTER('RR3 Player Stats'!AH$3:AH$"&amp;"50, ISNUMBER(SEARCH($A23,'RR3 Player Stats'!$A$3:$A$50))),0),IFERROR(FILTER('RR4 Player Stats'!AH$3:AH$50, ISNUMBER(SEARCH($A23,'RR4 Player Stats'!$A$3:$A$50))),0),IFERROR(FILTER('RR5 Player Stats'!AH$3:AH$50, ISNUMBER(SEARCH($A23,'RR5 Player Stats'!$A$3:"&amp;"$A$50))),0))"),5.0)</f>
        <v>5</v>
      </c>
      <c r="V23" s="57">
        <f>IFERROR(__xludf.DUMMYFUNCTION("MEDIAN(IFERROR(FILTER('RR1 Player Stats'!AI$3:AI$50, ISNUMBER(SEARCH($A23,'RR1 Player Stats'!$A$3:$A$50))),0),IFERROR(FILTER('RR2 Player Stats'!AI$3:AI$50, ISNUMBER(SEARCH($A23,'RR2 Player Stats'!$A$3:$A$50))),0),IFERROR(FILTER('RR3 Player Stats'!AI$3:AI$"&amp;"50, ISNUMBER(SEARCH($A23,'RR3 Player Stats'!$A$3:$A$50))),0),IFERROR(FILTER('RR4 Player Stats'!AI$3:AI$50, ISNUMBER(SEARCH($A23,'RR4 Player Stats'!$A$3:$A$50))),0),IFERROR(FILTER('RR5 Player Stats'!AI$3:AI$50, ISNUMBER(SEARCH($A23,'RR5 Player Stats'!$A$3:"&amp;"$A$50))),0))"),2.0)</f>
        <v>2</v>
      </c>
      <c r="W23" s="57">
        <f>IFERROR(__xludf.DUMMYFUNCTION("MEDIAN(IFERROR(FILTER('RR1 Player Stats'!AJ$3:AJ$50, ISNUMBER(SEARCH($A23,'RR1 Player Stats'!$A$3:$A$50))),0),IFERROR(FILTER('RR2 Player Stats'!AJ$3:AJ$50, ISNUMBER(SEARCH($A23,'RR2 Player Stats'!$A$3:$A$50))),0),IFERROR(FILTER('RR3 Player Stats'!AJ$3:AJ$"&amp;"50, ISNUMBER(SEARCH($A23,'RR3 Player Stats'!$A$3:$A$50))),0),IFERROR(FILTER('RR4 Player Stats'!AJ$3:AJ$50, ISNUMBER(SEARCH($A23,'RR4 Player Stats'!$A$3:$A$50))),0),IFERROR(FILTER('RR5 Player Stats'!AJ$3:AJ$50, ISNUMBER(SEARCH($A23,'RR5 Player Stats'!$A$3:"&amp;"$A$50))),0))"),1.0)</f>
        <v>1</v>
      </c>
      <c r="X23" s="57">
        <f>IFERROR(__xludf.DUMMYFUNCTION("MEDIAN(IFERROR(FILTER('RR1 Player Stats'!AK$3:AK$50, ISNUMBER(SEARCH($A23,'RR1 Player Stats'!$A$3:$A$50))),0),IFERROR(FILTER('RR2 Player Stats'!AK$3:AK$50, ISNUMBER(SEARCH($A23,'RR2 Player Stats'!$A$3:$A$50))),0),IFERROR(FILTER('RR3 Player Stats'!AK$3:AK$"&amp;"50, ISNUMBER(SEARCH($A23,'RR3 Player Stats'!$A$3:$A$50))),0),IFERROR(FILTER('RR4 Player Stats'!AK$3:AK$50, ISNUMBER(SEARCH($A23,'RR4 Player Stats'!$A$3:$A$50))),0),IFERROR(FILTER('RR5 Player Stats'!AK$3:AK$50, ISNUMBER(SEARCH($A23,'RR5 Player Stats'!$A$3:"&amp;"$A$50))),0))"),28.0)</f>
        <v>28</v>
      </c>
      <c r="Y23" s="57">
        <f>IFERROR(__xludf.DUMMYFUNCTION("MEDIAN(IFERROR(FILTER('RR1 Player Stats'!AL$3:AL$50, ISNUMBER(SEARCH($A23,'RR1 Player Stats'!$A$3:$A$50))),0),IFERROR(FILTER('RR2 Player Stats'!AL$3:AL$50, ISNUMBER(SEARCH($A23,'RR2 Player Stats'!$A$3:$A$50))),0),IFERROR(FILTER('RR3 Player Stats'!AL$3:AL$"&amp;"50, ISNUMBER(SEARCH($A23,'RR3 Player Stats'!$A$3:$A$50))),0),IFERROR(FILTER('RR4 Player Stats'!AL$3:AL$50, ISNUMBER(SEARCH($A23,'RR4 Player Stats'!$A$3:$A$50))),0),IFERROR(FILTER('RR5 Player Stats'!AL$3:AL$50, ISNUMBER(SEARCH($A23,'RR5 Player Stats'!$A$3:"&amp;"$A$50))),0))"),28.0)</f>
        <v>28</v>
      </c>
      <c r="Z23" s="180">
        <f>IFERROR(__xludf.DUMMYFUNCTION("MEDIAN(IFERROR(FILTER('RR1 Player Stats'!AM$3:AM$50, ISNUMBER(SEARCH($A23,'RR1 Player Stats'!$A$3:$A$50))),0),IFERROR(FILTER('RR2 Player Stats'!AM$3:AM$50, ISNUMBER(SEARCH($A23,'RR2 Player Stats'!$A$3:$A$50))),0),IFERROR(FILTER('RR3 Player Stats'!AM$3:AM$"&amp;"50, ISNUMBER(SEARCH($A23,'RR3 Player Stats'!$A$3:$A$50))),0),IFERROR(FILTER('RR4 Player Stats'!AM$3:AM$50, ISNUMBER(SEARCH($A23,'RR4 Player Stats'!$A$3:$A$50))),0),IFERROR(FILTER('RR5 Player Stats'!AM$3:AM$50, ISNUMBER(SEARCH($A23,'RR5 Player Stats'!$A$3:"&amp;"$A$50))),0))"),0.3)</f>
        <v>0.3</v>
      </c>
    </row>
    <row r="24">
      <c r="A24" s="29" t="s">
        <v>40</v>
      </c>
      <c r="B24" s="48">
        <f>COUNTIF('RR1 Player Stats'!$A$3:$A$50,$A24)+COUNTIF('RR2 Player Stats'!$A$3:$A$50,$A24)+COUNTIF('RR3 Player Stats'!$A$3:$A$50,$A24)+COUNTIF('RR4 Player Stats'!$A$3:$A$50,$A24)+COUNTIF('RR5 Player Stats'!$A$3:$A$50,$A24)</f>
        <v>5</v>
      </c>
      <c r="C24" s="55">
        <f>IFERROR(__xludf.DUMMYFUNCTION("IFERROR(FILTER('RR1 Player Stats'!V$3:V$50, ISNUMBER(SEARCH($A24,'RR1 Player Stats'!$A$3:$A$50))),0)
+IFERROR(FILTER('RR2 Player Stats'!V$3:V$50, ISNUMBER(SEARCH($A24,'RR2 Player Stats'!$A$3:$A$50))),0)
+IFERROR(FILTER('RR3 Player Stats'!V$3:V$50, ISNUMBE"&amp;"R(SEARCH($A24,'RR3 Player Stats'!$A$3:$A$50))),0)
+IFERROR(FILTER('RR4 Player Stats'!V$3:V$50, ISNUMBER(SEARCH($A24,'RR4 Player Stats'!$A$3:$A$50))),0)
+IFERROR(FILTER('RR5 Player Stats'!V$3:V$50, ISNUMBER(SEARCH($A24,'RR5 Player Stats'!$A$3:$A$50))),0)"),25.0)</f>
        <v>25</v>
      </c>
      <c r="D24" s="57">
        <f>IFERROR(__xludf.DUMMYFUNCTION("IFERROR(FILTER('RR1 Player Stats'!W$3:W$50, ISNUMBER(SEARCH($A24,'RR1 Player Stats'!$A$3:$A$50))),0)
+IFERROR(FILTER('RR2 Player Stats'!W$3:W$50, ISNUMBER(SEARCH($A24,'RR2 Player Stats'!$A$3:$A$50))),0)
+IFERROR(FILTER('RR3 Player Stats'!W$3:W$50, ISNUMBE"&amp;"R(SEARCH($A24,'RR3 Player Stats'!$A$3:$A$50))),0)
+IFERROR(FILTER('RR4 Player Stats'!W$3:W$50, ISNUMBER(SEARCH($A24,'RR4 Player Stats'!$A$3:$A$50))),0)
+IFERROR(FILTER('RR5 Player Stats'!W$3:W$50, ISNUMBER(SEARCH($A24,'RR5 Player Stats'!$A$3:$A$50))),0)"),7.0)</f>
        <v>7</v>
      </c>
      <c r="E24" s="57">
        <f>IFERROR(__xludf.DUMMYFUNCTION("IFERROR(FILTER('RR1 Player Stats'!X$3:X$50, ISNUMBER(SEARCH($A24,'RR1 Player Stats'!$A$3:$A$50))),0)
+IFERROR(FILTER('RR2 Player Stats'!X$3:X$50, ISNUMBER(SEARCH($A24,'RR2 Player Stats'!$A$3:$A$50))),0)
+IFERROR(FILTER('RR3 Player Stats'!X$3:X$50, ISNUMBE"&amp;"R(SEARCH($A24,'RR3 Player Stats'!$A$3:$A$50))),0)
+IFERROR(FILTER('RR4 Player Stats'!X$3:X$50, ISNUMBER(SEARCH($A24,'RR4 Player Stats'!$A$3:$A$50))),0)
+IFERROR(FILTER('RR5 Player Stats'!X$3:X$50, ISNUMBER(SEARCH($A24,'RR5 Player Stats'!$A$3:$A$50))),0)"),1.0)</f>
        <v>1</v>
      </c>
      <c r="F24" s="57">
        <f>IFERROR(__xludf.DUMMYFUNCTION("IFERROR(FILTER('RR1 Player Stats'!Y$3:Y$50, ISNUMBER(SEARCH($A24,'RR1 Player Stats'!$A$3:$A$50))),0)
+IFERROR(FILTER('RR2 Player Stats'!Y$3:Y$50, ISNUMBER(SEARCH($A24,'RR2 Player Stats'!$A$3:$A$50))),0)
+IFERROR(FILTER('RR3 Player Stats'!Y$3:Y$50, ISNUMBE"&amp;"R(SEARCH($A24,'RR3 Player Stats'!$A$3:$A$50))),0)
+IFERROR(FILTER('RR4 Player Stats'!Y$3:Y$50, ISNUMBER(SEARCH($A24,'RR4 Player Stats'!$A$3:$A$50))),0)
+IFERROR(FILTER('RR5 Player Stats'!Y$3:Y$50, ISNUMBER(SEARCH($A24,'RR5 Player Stats'!$A$3:$A$50))),0)"),142.0)</f>
        <v>142</v>
      </c>
      <c r="G24" s="57">
        <f>IFERROR(__xludf.DUMMYFUNCTION("IFERROR(FILTER('RR1 Player Stats'!Z$3:Z$50, ISNUMBER(SEARCH($A24,'RR1 Player Stats'!$A$3:$A$50))),0)
+IFERROR(FILTER('RR2 Player Stats'!Z$3:Z$50, ISNUMBER(SEARCH($A24,'RR2 Player Stats'!$A$3:$A$50))),0)
+IFERROR(FILTER('RR3 Player Stats'!Z$3:Z$50, ISNUMBE"&amp;"R(SEARCH($A24,'RR3 Player Stats'!$A$3:$A$50))),0)
+IFERROR(FILTER('RR4 Player Stats'!Z$3:Z$50, ISNUMBER(SEARCH($A24,'RR4 Player Stats'!$A$3:$A$50))),0)
+IFERROR(FILTER('RR5 Player Stats'!Z$3:Z$50, ISNUMBER(SEARCH($A24,'RR5 Player Stats'!$A$3:$A$50))),0)"),138.0)</f>
        <v>138</v>
      </c>
      <c r="H24" s="180">
        <f>IFERROR(__xludf.DUMMYFUNCTION("(IFERROR(FILTER('RR1 Player Stats'!AA$3:AA$50, ISNUMBER(SEARCH($A24,'RR1 Player Stats'!$A$3:$A$50))),0)
+IFERROR(FILTER('RR2 Player Stats'!AA$3:AA$50, ISNUMBER(SEARCH($A24,'RR2 Player Stats'!$A$3:$A$50))),0)
+IFERROR(FILTER('RR3 Player Stats'!AA$3:AA$50, "&amp;"ISNUMBER(SEARCH($A24,'RR3 Player Stats'!$A$3:$A$50))),0)
+IFERROR(FILTER('RR4 Player Stats'!AA$3:AA$50, ISNUMBER(SEARCH($A24,'RR4 Player Stats'!$A$3:$A$50))),0)
+IFERROR(FILTER('RR5 Player Stats'!AA$3:AA$50, ISNUMBER(SEARCH($A24,'RR5 Player Stats'!$A$3:$A"&amp;"$50))),0))/5"),0.534)</f>
        <v>0.534</v>
      </c>
      <c r="I24" s="55">
        <f>IFERROR(__xludf.DUMMYFUNCTION("IFERROR(FILTER('RR1 Player Stats'!AB$3:AB$50, ISNUMBER(SEARCH($A24,'RR1 Player Stats'!$A$3:$A$50))),0)
+IFERROR(FILTER('RR2 Player Stats'!AB$3:AB$50, ISNUMBER(SEARCH($A24,'RR2 Player Stats'!$A$3:$A$50))),0)
+IFERROR(FILTER('RR3 Player Stats'!AB$3:AB$50, I"&amp;"SNUMBER(SEARCH($A24,'RR3 Player Stats'!$A$3:$A$50))),0)
+IFERROR(FILTER('RR4 Player Stats'!AB$3:AB$50, ISNUMBER(SEARCH($A24,'RR4 Player Stats'!$A$3:$A$50))),0)
+IFERROR(FILTER('RR5 Player Stats'!AB$3:AB$50, ISNUMBER(SEARCH($A24,'RR5 Player Stats'!$A$3:$A$"&amp;"50))),0)"),6.0)</f>
        <v>6</v>
      </c>
      <c r="J24" s="57">
        <f>IFERROR(__xludf.DUMMYFUNCTION("IFERROR(FILTER('RR1 Player Stats'!AC$3:AC$50, ISNUMBER(SEARCH($A24,'RR1 Player Stats'!$A$3:$A$50))),0)
+IFERROR(FILTER('RR2 Player Stats'!AC$3:AC$50, ISNUMBER(SEARCH($A24,'RR2 Player Stats'!$A$3:$A$50))),0)
+IFERROR(FILTER('RR3 Player Stats'!AC$3:AC$50, I"&amp;"SNUMBER(SEARCH($A24,'RR3 Player Stats'!$A$3:$A$50))),0)
+IFERROR(FILTER('RR4 Player Stats'!AC$3:AC$50, ISNUMBER(SEARCH($A24,'RR4 Player Stats'!$A$3:$A$50))),0)
+IFERROR(FILTER('RR5 Player Stats'!AC$3:AC$50, ISNUMBER(SEARCH($A24,'RR5 Player Stats'!$A$3:$A$"&amp;"50))),0)"),1.0)</f>
        <v>1</v>
      </c>
      <c r="K24" s="57">
        <f>IFERROR(__xludf.DUMMYFUNCTION("IFERROR(FILTER('RR1 Player Stats'!AD$3:AD$50, ISNUMBER(SEARCH($A24,'RR1 Player Stats'!$A$3:$A$50))),0)
+IFERROR(FILTER('RR2 Player Stats'!AD$3:AD$50, ISNUMBER(SEARCH($A24,'RR2 Player Stats'!$A$3:$A$50))),0)
+IFERROR(FILTER('RR3 Player Stats'!AD$3:AD$50, I"&amp;"SNUMBER(SEARCH($A24,'RR3 Player Stats'!$A$3:$A$50))),0)
+IFERROR(FILTER('RR4 Player Stats'!AD$3:AD$50, ISNUMBER(SEARCH($A24,'RR4 Player Stats'!$A$3:$A$50))),0)
+IFERROR(FILTER('RR5 Player Stats'!AD$3:AD$50, ISNUMBER(SEARCH($A24,'RR5 Player Stats'!$A$3:$A$"&amp;"50))),0)"),0.0)</f>
        <v>0</v>
      </c>
      <c r="L24" s="57">
        <f>IFERROR(__xludf.DUMMYFUNCTION("IFERROR(FILTER('RR1 Player Stats'!AE$3:AE$50, ISNUMBER(SEARCH($A24,'RR1 Player Stats'!$A$3:$A$50))),0)
+IFERROR(FILTER('RR2 Player Stats'!AE$3:AE$50, ISNUMBER(SEARCH($A24,'RR2 Player Stats'!$A$3:$A$50))),0)
+IFERROR(FILTER('RR3 Player Stats'!AE$3:AE$50, I"&amp;"SNUMBER(SEARCH($A24,'RR3 Player Stats'!$A$3:$A$50))),0)
+IFERROR(FILTER('RR4 Player Stats'!AE$3:AE$50, ISNUMBER(SEARCH($A24,'RR4 Player Stats'!$A$3:$A$50))),0)
+IFERROR(FILTER('RR5 Player Stats'!AE$3:AE$50, ISNUMBER(SEARCH($A24,'RR5 Player Stats'!$A$3:$A$"&amp;"50))),0)"),30.0)</f>
        <v>30</v>
      </c>
      <c r="M24" s="57">
        <f>IFERROR(__xludf.DUMMYFUNCTION("IFERROR(FILTER('RR1 Player Stats'!AF$3:AF$50, ISNUMBER(SEARCH($A24,'RR1 Player Stats'!$A$3:$A$50))),0)
+IFERROR(FILTER('RR2 Player Stats'!AF$3:AF$50, ISNUMBER(SEARCH($A24,'RR2 Player Stats'!$A$3:$A$50))),0)
+IFERROR(FILTER('RR3 Player Stats'!AF$3:AF$50, I"&amp;"SNUMBER(SEARCH($A24,'RR3 Player Stats'!$A$3:$A$50))),0)
+IFERROR(FILTER('RR4 Player Stats'!AF$3:AF$50, ISNUMBER(SEARCH($A24,'RR4 Player Stats'!$A$3:$A$50))),0)
+IFERROR(FILTER('RR5 Player Stats'!AF$3:AF$50, ISNUMBER(SEARCH($A24,'RR5 Player Stats'!$A$3:$A$"&amp;"50))),0)"),30.0)</f>
        <v>30</v>
      </c>
      <c r="N24" s="180">
        <f>IFERROR(__xludf.DUMMYFUNCTION("(IFERROR(FILTER('RR1 Player Stats'!AG$3:AG$50, ISNUMBER(SEARCH($A24,'RR1 Player Stats'!$A$3:$A$50))),0)
+IFERROR(FILTER('RR2 Player Stats'!AG$3:AG$50, ISNUMBER(SEARCH($A24,'RR2 Player Stats'!$A$3:$A$50))),0)
+IFERROR(FILTER('RR3 Player Stats'!AG$3:AG$50, "&amp;"ISNUMBER(SEARCH($A24,'RR3 Player Stats'!$A$3:$A$50))),0)
+IFERROR(FILTER('RR4 Player Stats'!AG$3:AG$50, ISNUMBER(SEARCH($A24,'RR4 Player Stats'!$A$3:$A$50))),0)
+IFERROR(FILTER('RR5 Player Stats'!AG$3:AG$50, ISNUMBER(SEARCH($A24,'RR5 Player Stats'!$A$3:$A"&amp;"$50))),0))/5"),0.178)</f>
        <v>0.178</v>
      </c>
      <c r="O24" s="55">
        <f>IFERROR(__xludf.DUMMYFUNCTION("IFERROR(FILTER('RR1 Player Stats'!AH$3:AH$50, ISNUMBER(SEARCH($A24,'RR1 Player Stats'!$A$3:$A$50))),0)
+IFERROR(FILTER('RR2 Player Stats'!AH$3:AH$50, ISNUMBER(SEARCH($A24,'RR2 Player Stats'!$A$3:$A$50))),0)
+IFERROR(FILTER('RR3 Player Stats'!AH$3:AH$50, I"&amp;"SNUMBER(SEARCH($A24,'RR3 Player Stats'!$A$3:$A$50))),0)
+IFERROR(FILTER('RR4 Player Stats'!AH$3:AH$50, ISNUMBER(SEARCH($A24,'RR4 Player Stats'!$A$3:$A$50))),0)
+IFERROR(FILTER('RR5 Player Stats'!AH$3:AH$50, ISNUMBER(SEARCH($A24,'RR5 Player Stats'!$A$3:$A$"&amp;"50))),0)"),31.0)</f>
        <v>31</v>
      </c>
      <c r="P24" s="57">
        <f>IFERROR(__xludf.DUMMYFUNCTION("IFERROR(FILTER('RR1 Player Stats'!AI$3:AI$50, ISNUMBER(SEARCH($A24,'RR1 Player Stats'!$A$3:$A$50))),0)
+IFERROR(FILTER('RR2 Player Stats'!AI$3:AI$50, ISNUMBER(SEARCH($A24,'RR2 Player Stats'!$A$3:$A$50))),0)
+IFERROR(FILTER('RR3 Player Stats'!AI$3:AI$50, I"&amp;"SNUMBER(SEARCH($A24,'RR3 Player Stats'!$A$3:$A$50))),0)
+IFERROR(FILTER('RR4 Player Stats'!AI$3:AI$50, ISNUMBER(SEARCH($A24,'RR4 Player Stats'!$A$3:$A$50))),0)
+IFERROR(FILTER('RR5 Player Stats'!AI$3:AI$50, ISNUMBER(SEARCH($A24,'RR5 Player Stats'!$A$3:$A$"&amp;"50))),0)"),8.0)</f>
        <v>8</v>
      </c>
      <c r="Q24" s="57">
        <f>IFERROR(__xludf.DUMMYFUNCTION("IFERROR(FILTER('RR1 Player Stats'!AJ$3:AJ$50, ISNUMBER(SEARCH($A24,'RR1 Player Stats'!$A$3:$A$50))),0)
+IFERROR(FILTER('RR2 Player Stats'!AJ$3:AJ$50, ISNUMBER(SEARCH($A24,'RR2 Player Stats'!$A$3:$A$50))),0)
+IFERROR(FILTER('RR3 Player Stats'!AJ$3:AJ$50, I"&amp;"SNUMBER(SEARCH($A24,'RR3 Player Stats'!$A$3:$A$50))),0)
+IFERROR(FILTER('RR4 Player Stats'!AJ$3:AJ$50, ISNUMBER(SEARCH($A24,'RR4 Player Stats'!$A$3:$A$50))),0)
+IFERROR(FILTER('RR5 Player Stats'!AJ$3:AJ$50, ISNUMBER(SEARCH($A24,'RR5 Player Stats'!$A$3:$A$"&amp;"50))),0)"),1.0)</f>
        <v>1</v>
      </c>
      <c r="R24" s="57">
        <f>IFERROR(__xludf.DUMMYFUNCTION("IFERROR(FILTER('RR1 Player Stats'!AK$3:AK$50, ISNUMBER(SEARCH($A24,'RR1 Player Stats'!$A$3:$A$50))),0)
+IFERROR(FILTER('RR2 Player Stats'!AK$3:AK$50, ISNUMBER(SEARCH($A24,'RR2 Player Stats'!$A$3:$A$50))),0)
+IFERROR(FILTER('RR3 Player Stats'!AK$3:AK$50, I"&amp;"SNUMBER(SEARCH($A24,'RR3 Player Stats'!$A$3:$A$50))),0)
+IFERROR(FILTER('RR4 Player Stats'!AK$3:AK$50, ISNUMBER(SEARCH($A24,'RR4 Player Stats'!$A$3:$A$50))),0)
+IFERROR(FILTER('RR5 Player Stats'!AK$3:AK$50, ISNUMBER(SEARCH($A24,'RR5 Player Stats'!$A$3:$A$"&amp;"50))),0)"),172.0)</f>
        <v>172</v>
      </c>
      <c r="S24" s="57">
        <f>IFERROR(__xludf.DUMMYFUNCTION("IFERROR(FILTER('RR1 Player Stats'!AL$3:AL$50, ISNUMBER(SEARCH($A24,'RR1 Player Stats'!$A$3:$A$50))),0)
+IFERROR(FILTER('RR2 Player Stats'!AL$3:AL$50, ISNUMBER(SEARCH($A24,'RR2 Player Stats'!$A$3:$A$50))),0)
+IFERROR(FILTER('RR3 Player Stats'!AL$3:AL$50, I"&amp;"SNUMBER(SEARCH($A24,'RR3 Player Stats'!$A$3:$A$50))),0)
+IFERROR(FILTER('RR4 Player Stats'!AL$3:AL$50, ISNUMBER(SEARCH($A24,'RR4 Player Stats'!$A$3:$A$50))),0)
+IFERROR(FILTER('RR5 Player Stats'!AL$3:AL$50, ISNUMBER(SEARCH($A24,'RR5 Player Stats'!$A$3:$A$"&amp;"50))),0)"),168.0)</f>
        <v>168</v>
      </c>
      <c r="T24" s="180">
        <f>IFERROR(__xludf.DUMMYFUNCTION("(IFERROR(FILTER('RR1 Player Stats'!AM$3:AM$50, ISNUMBER(SEARCH($A24,'RR1 Player Stats'!$A$3:$A$50))),0)
+IFERROR(FILTER('RR2 Player Stats'!AM$3:AM$50, ISNUMBER(SEARCH($A24,'RR2 Player Stats'!$A$3:$A$50))),0)
+IFERROR(FILTER('RR3 Player Stats'!AM$3:AM$50, "&amp;"ISNUMBER(SEARCH($A24,'RR3 Player Stats'!$A$3:$A$50))),0)
+IFERROR(FILTER('RR4 Player Stats'!AM$3:AM$50, ISNUMBER(SEARCH($A24,'RR4 Player Stats'!$A$3:$A$50))),0)
+IFERROR(FILTER('RR5 Player Stats'!AM$3:AM$50, ISNUMBER(SEARCH($A24,'RR5 Player Stats'!$A$3:$A"&amp;"$50))),0))/B24"),0.39)</f>
        <v>0.39</v>
      </c>
      <c r="U24" s="55">
        <f>IFERROR(__xludf.DUMMYFUNCTION("MEDIAN(IFERROR(FILTER('RR1 Player Stats'!AH$3:AH$50, ISNUMBER(SEARCH($A24,'RR1 Player Stats'!$A$3:$A$50))),0),IFERROR(FILTER('RR2 Player Stats'!AH$3:AH$50, ISNUMBER(SEARCH($A24,'RR2 Player Stats'!$A$3:$A$50))),0),IFERROR(FILTER('RR3 Player Stats'!AH$3:AH$"&amp;"50, ISNUMBER(SEARCH($A24,'RR3 Player Stats'!$A$3:$A$50))),0),IFERROR(FILTER('RR4 Player Stats'!AH$3:AH$50, ISNUMBER(SEARCH($A24,'RR4 Player Stats'!$A$3:$A$50))),0),IFERROR(FILTER('RR5 Player Stats'!AH$3:AH$50, ISNUMBER(SEARCH($A24,'RR5 Player Stats'!$A$3:"&amp;"$A$50))),0))"),6.0)</f>
        <v>6</v>
      </c>
      <c r="V24" s="57">
        <f>IFERROR(__xludf.DUMMYFUNCTION("MEDIAN(IFERROR(FILTER('RR1 Player Stats'!AI$3:AI$50, ISNUMBER(SEARCH($A24,'RR1 Player Stats'!$A$3:$A$50))),0),IFERROR(FILTER('RR2 Player Stats'!AI$3:AI$50, ISNUMBER(SEARCH($A24,'RR2 Player Stats'!$A$3:$A$50))),0),IFERROR(FILTER('RR3 Player Stats'!AI$3:AI$"&amp;"50, ISNUMBER(SEARCH($A24,'RR3 Player Stats'!$A$3:$A$50))),0),IFERROR(FILTER('RR4 Player Stats'!AI$3:AI$50, ISNUMBER(SEARCH($A24,'RR4 Player Stats'!$A$3:$A$50))),0),IFERROR(FILTER('RR5 Player Stats'!AI$3:AI$50, ISNUMBER(SEARCH($A24,'RR5 Player Stats'!$A$3:"&amp;"$A$50))),0))"),2.0)</f>
        <v>2</v>
      </c>
      <c r="W24" s="57">
        <f>IFERROR(__xludf.DUMMYFUNCTION("MEDIAN(IFERROR(FILTER('RR1 Player Stats'!AJ$3:AJ$50, ISNUMBER(SEARCH($A24,'RR1 Player Stats'!$A$3:$A$50))),0),IFERROR(FILTER('RR2 Player Stats'!AJ$3:AJ$50, ISNUMBER(SEARCH($A24,'RR2 Player Stats'!$A$3:$A$50))),0),IFERROR(FILTER('RR3 Player Stats'!AJ$3:AJ$"&amp;"50, ISNUMBER(SEARCH($A24,'RR3 Player Stats'!$A$3:$A$50))),0),IFERROR(FILTER('RR4 Player Stats'!AJ$3:AJ$50, ISNUMBER(SEARCH($A24,'RR4 Player Stats'!$A$3:$A$50))),0),IFERROR(FILTER('RR5 Player Stats'!AJ$3:AJ$50, ISNUMBER(SEARCH($A24,'RR5 Player Stats'!$A$3:"&amp;"$A$50))),0))"),0.0)</f>
        <v>0</v>
      </c>
      <c r="X24" s="57">
        <f>IFERROR(__xludf.DUMMYFUNCTION("MEDIAN(IFERROR(FILTER('RR1 Player Stats'!AK$3:AK$50, ISNUMBER(SEARCH($A24,'RR1 Player Stats'!$A$3:$A$50))),0),IFERROR(FILTER('RR2 Player Stats'!AK$3:AK$50, ISNUMBER(SEARCH($A24,'RR2 Player Stats'!$A$3:$A$50))),0),IFERROR(FILTER('RR3 Player Stats'!AK$3:AK$"&amp;"50, ISNUMBER(SEARCH($A24,'RR3 Player Stats'!$A$3:$A$50))),0),IFERROR(FILTER('RR4 Player Stats'!AK$3:AK$50, ISNUMBER(SEARCH($A24,'RR4 Player Stats'!$A$3:$A$50))),0),IFERROR(FILTER('RR5 Player Stats'!AK$3:AK$50, ISNUMBER(SEARCH($A24,'RR5 Player Stats'!$A$3:"&amp;"$A$50))),0))"),32.0)</f>
        <v>32</v>
      </c>
      <c r="Y24" s="57">
        <f>IFERROR(__xludf.DUMMYFUNCTION("MEDIAN(IFERROR(FILTER('RR1 Player Stats'!AL$3:AL$50, ISNUMBER(SEARCH($A24,'RR1 Player Stats'!$A$3:$A$50))),0),IFERROR(FILTER('RR2 Player Stats'!AL$3:AL$50, ISNUMBER(SEARCH($A24,'RR2 Player Stats'!$A$3:$A$50))),0),IFERROR(FILTER('RR3 Player Stats'!AL$3:AL$"&amp;"50, ISNUMBER(SEARCH($A24,'RR3 Player Stats'!$A$3:$A$50))),0),IFERROR(FILTER('RR4 Player Stats'!AL$3:AL$50, ISNUMBER(SEARCH($A24,'RR4 Player Stats'!$A$3:$A$50))),0),IFERROR(FILTER('RR5 Player Stats'!AL$3:AL$50, ISNUMBER(SEARCH($A24,'RR5 Player Stats'!$A$3:"&amp;"$A$50))),0))"),32.0)</f>
        <v>32</v>
      </c>
      <c r="Z24" s="180">
        <f>IFERROR(__xludf.DUMMYFUNCTION("MEDIAN(IFERROR(FILTER('RR1 Player Stats'!AM$3:AM$50, ISNUMBER(SEARCH($A24,'RR1 Player Stats'!$A$3:$A$50))),0),IFERROR(FILTER('RR2 Player Stats'!AM$3:AM$50, ISNUMBER(SEARCH($A24,'RR2 Player Stats'!$A$3:$A$50))),0),IFERROR(FILTER('RR3 Player Stats'!AM$3:AM$"&amp;"50, ISNUMBER(SEARCH($A24,'RR3 Player Stats'!$A$3:$A$50))),0),IFERROR(FILTER('RR4 Player Stats'!AM$3:AM$50, ISNUMBER(SEARCH($A24,'RR4 Player Stats'!$A$3:$A$50))),0),IFERROR(FILTER('RR5 Player Stats'!AM$3:AM$50, ISNUMBER(SEARCH($A24,'RR5 Player Stats'!$A$3:"&amp;"$A$50))),0))"),0.35)</f>
        <v>0.35</v>
      </c>
    </row>
    <row r="25">
      <c r="A25" s="29" t="s">
        <v>74</v>
      </c>
      <c r="B25" s="48">
        <f>COUNTIF('RR1 Player Stats'!$A$3:$A$50,$A25)+COUNTIF('RR2 Player Stats'!$A$3:$A$50,$A25)+COUNTIF('RR3 Player Stats'!$A$3:$A$50,$A25)+COUNTIF('RR4 Player Stats'!$A$3:$A$50,$A25)+COUNTIF('RR5 Player Stats'!$A$3:$A$50,$A25)</f>
        <v>4</v>
      </c>
      <c r="C25" s="55">
        <f>IFERROR(__xludf.DUMMYFUNCTION("IFERROR(FILTER('RR1 Player Stats'!V$3:V$50, ISNUMBER(SEARCH($A25,'RR1 Player Stats'!$A$3:$A$50))),0)
+IFERROR(FILTER('RR2 Player Stats'!V$3:V$50, ISNUMBER(SEARCH($A25,'RR2 Player Stats'!$A$3:$A$50))),0)
+IFERROR(FILTER('RR3 Player Stats'!V$3:V$50, ISNUMBE"&amp;"R(SEARCH($A25,'RR3 Player Stats'!$A$3:$A$50))),0)
+IFERROR(FILTER('RR4 Player Stats'!V$3:V$50, ISNUMBER(SEARCH($A25,'RR4 Player Stats'!$A$3:$A$50))),0)
+IFERROR(FILTER('RR5 Player Stats'!V$3:V$50, ISNUMBER(SEARCH($A25,'RR5 Player Stats'!$A$3:$A$50))),0)"),13.0)</f>
        <v>13</v>
      </c>
      <c r="D25" s="57">
        <f>IFERROR(__xludf.DUMMYFUNCTION("IFERROR(FILTER('RR1 Player Stats'!W$3:W$50, ISNUMBER(SEARCH($A25,'RR1 Player Stats'!$A$3:$A$50))),0)
+IFERROR(FILTER('RR2 Player Stats'!W$3:W$50, ISNUMBER(SEARCH($A25,'RR2 Player Stats'!$A$3:$A$50))),0)
+IFERROR(FILTER('RR3 Player Stats'!W$3:W$50, ISNUMBE"&amp;"R(SEARCH($A25,'RR3 Player Stats'!$A$3:$A$50))),0)
+IFERROR(FILTER('RR4 Player Stats'!W$3:W$50, ISNUMBER(SEARCH($A25,'RR4 Player Stats'!$A$3:$A$50))),0)
+IFERROR(FILTER('RR5 Player Stats'!W$3:W$50, ISNUMBER(SEARCH($A25,'RR5 Player Stats'!$A$3:$A$50))),0)"),11.0)</f>
        <v>11</v>
      </c>
      <c r="E25" s="57">
        <f>IFERROR(__xludf.DUMMYFUNCTION("IFERROR(FILTER('RR1 Player Stats'!X$3:X$50, ISNUMBER(SEARCH($A25,'RR1 Player Stats'!$A$3:$A$50))),0)
+IFERROR(FILTER('RR2 Player Stats'!X$3:X$50, ISNUMBER(SEARCH($A25,'RR2 Player Stats'!$A$3:$A$50))),0)
+IFERROR(FILTER('RR3 Player Stats'!X$3:X$50, ISNUMBE"&amp;"R(SEARCH($A25,'RR3 Player Stats'!$A$3:$A$50))),0)
+IFERROR(FILTER('RR4 Player Stats'!X$3:X$50, ISNUMBER(SEARCH($A25,'RR4 Player Stats'!$A$3:$A$50))),0)
+IFERROR(FILTER('RR5 Player Stats'!X$3:X$50, ISNUMBER(SEARCH($A25,'RR5 Player Stats'!$A$3:$A$50))),0)"),1.0)</f>
        <v>1</v>
      </c>
      <c r="F25" s="57">
        <f>IFERROR(__xludf.DUMMYFUNCTION("IFERROR(FILTER('RR1 Player Stats'!Y$3:Y$50, ISNUMBER(SEARCH($A25,'RR1 Player Stats'!$A$3:$A$50))),0)
+IFERROR(FILTER('RR2 Player Stats'!Y$3:Y$50, ISNUMBER(SEARCH($A25,'RR2 Player Stats'!$A$3:$A$50))),0)
+IFERROR(FILTER('RR3 Player Stats'!Y$3:Y$50, ISNUMBE"&amp;"R(SEARCH($A25,'RR3 Player Stats'!$A$3:$A$50))),0)
+IFERROR(FILTER('RR4 Player Stats'!Y$3:Y$50, ISNUMBER(SEARCH($A25,'RR4 Player Stats'!$A$3:$A$50))),0)
+IFERROR(FILTER('RR5 Player Stats'!Y$3:Y$50, ISNUMBER(SEARCH($A25,'RR5 Player Stats'!$A$3:$A$50))),0)"),118.0)</f>
        <v>118</v>
      </c>
      <c r="G25" s="57">
        <f>IFERROR(__xludf.DUMMYFUNCTION("IFERROR(FILTER('RR1 Player Stats'!Z$3:Z$50, ISNUMBER(SEARCH($A25,'RR1 Player Stats'!$A$3:$A$50))),0)
+IFERROR(FILTER('RR2 Player Stats'!Z$3:Z$50, ISNUMBER(SEARCH($A25,'RR2 Player Stats'!$A$3:$A$50))),0)
+IFERROR(FILTER('RR3 Player Stats'!Z$3:Z$50, ISNUMBE"&amp;"R(SEARCH($A25,'RR3 Player Stats'!$A$3:$A$50))),0)
+IFERROR(FILTER('RR4 Player Stats'!Z$3:Z$50, ISNUMBER(SEARCH($A25,'RR4 Player Stats'!$A$3:$A$50))),0)
+IFERROR(FILTER('RR5 Player Stats'!Z$3:Z$50, ISNUMBER(SEARCH($A25,'RR5 Player Stats'!$A$3:$A$50))),0)"),114.0)</f>
        <v>114</v>
      </c>
      <c r="H25" s="180">
        <f>IFERROR(__xludf.DUMMYFUNCTION("(IFERROR(FILTER('RR1 Player Stats'!AA$3:AA$50, ISNUMBER(SEARCH($A25,'RR1 Player Stats'!$A$3:$A$50))),0)
+IFERROR(FILTER('RR2 Player Stats'!AA$3:AA$50, ISNUMBER(SEARCH($A25,'RR2 Player Stats'!$A$3:$A$50))),0)
+IFERROR(FILTER('RR3 Player Stats'!AA$3:AA$50, "&amp;"ISNUMBER(SEARCH($A25,'RR3 Player Stats'!$A$3:$A$50))),0)
+IFERROR(FILTER('RR4 Player Stats'!AA$3:AA$50, ISNUMBER(SEARCH($A25,'RR4 Player Stats'!$A$3:$A$50))),0)
+IFERROR(FILTER('RR5 Player Stats'!AA$3:AA$50, ISNUMBER(SEARCH($A25,'RR5 Player Stats'!$A$3:$A"&amp;"$50))),0))/5"),0.4)</f>
        <v>0.4</v>
      </c>
      <c r="I25" s="55">
        <f>IFERROR(__xludf.DUMMYFUNCTION("IFERROR(FILTER('RR1 Player Stats'!AB$3:AB$50, ISNUMBER(SEARCH($A25,'RR1 Player Stats'!$A$3:$A$50))),0)
+IFERROR(FILTER('RR2 Player Stats'!AB$3:AB$50, ISNUMBER(SEARCH($A25,'RR2 Player Stats'!$A$3:$A$50))),0)
+IFERROR(FILTER('RR3 Player Stats'!AB$3:AB$50, I"&amp;"SNUMBER(SEARCH($A25,'RR3 Player Stats'!$A$3:$A$50))),0)
+IFERROR(FILTER('RR4 Player Stats'!AB$3:AB$50, ISNUMBER(SEARCH($A25,'RR4 Player Stats'!$A$3:$A$50))),0)
+IFERROR(FILTER('RR5 Player Stats'!AB$3:AB$50, ISNUMBER(SEARCH($A25,'RR5 Player Stats'!$A$3:$A$"&amp;"50))),0)"),9.0)</f>
        <v>9</v>
      </c>
      <c r="J25" s="57">
        <f>IFERROR(__xludf.DUMMYFUNCTION("IFERROR(FILTER('RR1 Player Stats'!AC$3:AC$50, ISNUMBER(SEARCH($A25,'RR1 Player Stats'!$A$3:$A$50))),0)
+IFERROR(FILTER('RR2 Player Stats'!AC$3:AC$50, ISNUMBER(SEARCH($A25,'RR2 Player Stats'!$A$3:$A$50))),0)
+IFERROR(FILTER('RR3 Player Stats'!AC$3:AC$50, I"&amp;"SNUMBER(SEARCH($A25,'RR3 Player Stats'!$A$3:$A$50))),0)
+IFERROR(FILTER('RR4 Player Stats'!AC$3:AC$50, ISNUMBER(SEARCH($A25,'RR4 Player Stats'!$A$3:$A$50))),0)
+IFERROR(FILTER('RR5 Player Stats'!AC$3:AC$50, ISNUMBER(SEARCH($A25,'RR5 Player Stats'!$A$3:$A$"&amp;"50))),0)"),2.0)</f>
        <v>2</v>
      </c>
      <c r="K25" s="57">
        <f>IFERROR(__xludf.DUMMYFUNCTION("IFERROR(FILTER('RR1 Player Stats'!AD$3:AD$50, ISNUMBER(SEARCH($A25,'RR1 Player Stats'!$A$3:$A$50))),0)
+IFERROR(FILTER('RR2 Player Stats'!AD$3:AD$50, ISNUMBER(SEARCH($A25,'RR2 Player Stats'!$A$3:$A$50))),0)
+IFERROR(FILTER('RR3 Player Stats'!AD$3:AD$50, I"&amp;"SNUMBER(SEARCH($A25,'RR3 Player Stats'!$A$3:$A$50))),0)
+IFERROR(FILTER('RR4 Player Stats'!AD$3:AD$50, ISNUMBER(SEARCH($A25,'RR4 Player Stats'!$A$3:$A$50))),0)
+IFERROR(FILTER('RR5 Player Stats'!AD$3:AD$50, ISNUMBER(SEARCH($A25,'RR5 Player Stats'!$A$3:$A$"&amp;"50))),0)"),1.0)</f>
        <v>1</v>
      </c>
      <c r="L25" s="57">
        <f>IFERROR(__xludf.DUMMYFUNCTION("IFERROR(FILTER('RR1 Player Stats'!AE$3:AE$50, ISNUMBER(SEARCH($A25,'RR1 Player Stats'!$A$3:$A$50))),0)
+IFERROR(FILTER('RR2 Player Stats'!AE$3:AE$50, ISNUMBER(SEARCH($A25,'RR2 Player Stats'!$A$3:$A$50))),0)
+IFERROR(FILTER('RR3 Player Stats'!AE$3:AE$50, I"&amp;"SNUMBER(SEARCH($A25,'RR3 Player Stats'!$A$3:$A$50))),0)
+IFERROR(FILTER('RR4 Player Stats'!AE$3:AE$50, ISNUMBER(SEARCH($A25,'RR4 Player Stats'!$A$3:$A$50))),0)
+IFERROR(FILTER('RR5 Player Stats'!AE$3:AE$50, ISNUMBER(SEARCH($A25,'RR5 Player Stats'!$A$3:$A$"&amp;"50))),0)"),48.0)</f>
        <v>48</v>
      </c>
      <c r="M25" s="57">
        <f>IFERROR(__xludf.DUMMYFUNCTION("IFERROR(FILTER('RR1 Player Stats'!AF$3:AF$50, ISNUMBER(SEARCH($A25,'RR1 Player Stats'!$A$3:$A$50))),0)
+IFERROR(FILTER('RR2 Player Stats'!AF$3:AF$50, ISNUMBER(SEARCH($A25,'RR2 Player Stats'!$A$3:$A$50))),0)
+IFERROR(FILTER('RR3 Player Stats'!AF$3:AF$50, I"&amp;"SNUMBER(SEARCH($A25,'RR3 Player Stats'!$A$3:$A$50))),0)
+IFERROR(FILTER('RR4 Player Stats'!AF$3:AF$50, ISNUMBER(SEARCH($A25,'RR4 Player Stats'!$A$3:$A$50))),0)
+IFERROR(FILTER('RR5 Player Stats'!AF$3:AF$50, ISNUMBER(SEARCH($A25,'RR5 Player Stats'!$A$3:$A$"&amp;"50))),0)"),44.0)</f>
        <v>44</v>
      </c>
      <c r="N25" s="180">
        <f>IFERROR(__xludf.DUMMYFUNCTION("(IFERROR(FILTER('RR1 Player Stats'!AG$3:AG$50, ISNUMBER(SEARCH($A25,'RR1 Player Stats'!$A$3:$A$50))),0)
+IFERROR(FILTER('RR2 Player Stats'!AG$3:AG$50, ISNUMBER(SEARCH($A25,'RR2 Player Stats'!$A$3:$A$50))),0)
+IFERROR(FILTER('RR3 Player Stats'!AG$3:AG$50, "&amp;"ISNUMBER(SEARCH($A25,'RR3 Player Stats'!$A$3:$A$50))),0)
+IFERROR(FILTER('RR4 Player Stats'!AG$3:AG$50, ISNUMBER(SEARCH($A25,'RR4 Player Stats'!$A$3:$A$50))),0)
+IFERROR(FILTER('RR5 Player Stats'!AG$3:AG$50, ISNUMBER(SEARCH($A25,'RR5 Player Stats'!$A$3:$A"&amp;"$50))),0))/5"),0.27599999999999997)</f>
        <v>0.276</v>
      </c>
      <c r="O25" s="55">
        <f>IFERROR(__xludf.DUMMYFUNCTION("IFERROR(FILTER('RR1 Player Stats'!AH$3:AH$50, ISNUMBER(SEARCH($A25,'RR1 Player Stats'!$A$3:$A$50))),0)
+IFERROR(FILTER('RR2 Player Stats'!AH$3:AH$50, ISNUMBER(SEARCH($A25,'RR2 Player Stats'!$A$3:$A$50))),0)
+IFERROR(FILTER('RR3 Player Stats'!AH$3:AH$50, I"&amp;"SNUMBER(SEARCH($A25,'RR3 Player Stats'!$A$3:$A$50))),0)
+IFERROR(FILTER('RR4 Player Stats'!AH$3:AH$50, ISNUMBER(SEARCH($A25,'RR4 Player Stats'!$A$3:$A$50))),0)
+IFERROR(FILTER('RR5 Player Stats'!AH$3:AH$50, ISNUMBER(SEARCH($A25,'RR5 Player Stats'!$A$3:$A$"&amp;"50))),0)"),22.0)</f>
        <v>22</v>
      </c>
      <c r="P25" s="57">
        <f>IFERROR(__xludf.DUMMYFUNCTION("IFERROR(FILTER('RR1 Player Stats'!AI$3:AI$50, ISNUMBER(SEARCH($A25,'RR1 Player Stats'!$A$3:$A$50))),0)
+IFERROR(FILTER('RR2 Player Stats'!AI$3:AI$50, ISNUMBER(SEARCH($A25,'RR2 Player Stats'!$A$3:$A$50))),0)
+IFERROR(FILTER('RR3 Player Stats'!AI$3:AI$50, I"&amp;"SNUMBER(SEARCH($A25,'RR3 Player Stats'!$A$3:$A$50))),0)
+IFERROR(FILTER('RR4 Player Stats'!AI$3:AI$50, ISNUMBER(SEARCH($A25,'RR4 Player Stats'!$A$3:$A$50))),0)
+IFERROR(FILTER('RR5 Player Stats'!AI$3:AI$50, ISNUMBER(SEARCH($A25,'RR5 Player Stats'!$A$3:$A$"&amp;"50))),0)"),13.0)</f>
        <v>13</v>
      </c>
      <c r="Q25" s="57">
        <f>IFERROR(__xludf.DUMMYFUNCTION("IFERROR(FILTER('RR1 Player Stats'!AJ$3:AJ$50, ISNUMBER(SEARCH($A25,'RR1 Player Stats'!$A$3:$A$50))),0)
+IFERROR(FILTER('RR2 Player Stats'!AJ$3:AJ$50, ISNUMBER(SEARCH($A25,'RR2 Player Stats'!$A$3:$A$50))),0)
+IFERROR(FILTER('RR3 Player Stats'!AJ$3:AJ$50, I"&amp;"SNUMBER(SEARCH($A25,'RR3 Player Stats'!$A$3:$A$50))),0)
+IFERROR(FILTER('RR4 Player Stats'!AJ$3:AJ$50, ISNUMBER(SEARCH($A25,'RR4 Player Stats'!$A$3:$A$50))),0)
+IFERROR(FILTER('RR5 Player Stats'!AJ$3:AJ$50, ISNUMBER(SEARCH($A25,'RR5 Player Stats'!$A$3:$A$"&amp;"50))),0)"),2.0)</f>
        <v>2</v>
      </c>
      <c r="R25" s="57">
        <f>IFERROR(__xludf.DUMMYFUNCTION("IFERROR(FILTER('RR1 Player Stats'!AK$3:AK$50, ISNUMBER(SEARCH($A25,'RR1 Player Stats'!$A$3:$A$50))),0)
+IFERROR(FILTER('RR2 Player Stats'!AK$3:AK$50, ISNUMBER(SEARCH($A25,'RR2 Player Stats'!$A$3:$A$50))),0)
+IFERROR(FILTER('RR3 Player Stats'!AK$3:AK$50, I"&amp;"SNUMBER(SEARCH($A25,'RR3 Player Stats'!$A$3:$A$50))),0)
+IFERROR(FILTER('RR4 Player Stats'!AK$3:AK$50, ISNUMBER(SEARCH($A25,'RR4 Player Stats'!$A$3:$A$50))),0)
+IFERROR(FILTER('RR5 Player Stats'!AK$3:AK$50, ISNUMBER(SEARCH($A25,'RR5 Player Stats'!$A$3:$A$"&amp;"50))),0)"),166.0)</f>
        <v>166</v>
      </c>
      <c r="S25" s="57">
        <f>IFERROR(__xludf.DUMMYFUNCTION("IFERROR(FILTER('RR1 Player Stats'!AL$3:AL$50, ISNUMBER(SEARCH($A25,'RR1 Player Stats'!$A$3:$A$50))),0)
+IFERROR(FILTER('RR2 Player Stats'!AL$3:AL$50, ISNUMBER(SEARCH($A25,'RR2 Player Stats'!$A$3:$A$50))),0)
+IFERROR(FILTER('RR3 Player Stats'!AL$3:AL$50, I"&amp;"SNUMBER(SEARCH($A25,'RR3 Player Stats'!$A$3:$A$50))),0)
+IFERROR(FILTER('RR4 Player Stats'!AL$3:AL$50, ISNUMBER(SEARCH($A25,'RR4 Player Stats'!$A$3:$A$50))),0)
+IFERROR(FILTER('RR5 Player Stats'!AL$3:AL$50, ISNUMBER(SEARCH($A25,'RR5 Player Stats'!$A$3:$A$"&amp;"50))),0)"),158.0)</f>
        <v>158</v>
      </c>
      <c r="T25" s="180">
        <f>IFERROR(__xludf.DUMMYFUNCTION("(IFERROR(FILTER('RR1 Player Stats'!AM$3:AM$50, ISNUMBER(SEARCH($A25,'RR1 Player Stats'!$A$3:$A$50))),0)
+IFERROR(FILTER('RR2 Player Stats'!AM$3:AM$50, ISNUMBER(SEARCH($A25,'RR2 Player Stats'!$A$3:$A$50))),0)
+IFERROR(FILTER('RR3 Player Stats'!AM$3:AM$50, "&amp;"ISNUMBER(SEARCH($A25,'RR3 Player Stats'!$A$3:$A$50))),0)
+IFERROR(FILTER('RR4 Player Stats'!AM$3:AM$50, ISNUMBER(SEARCH($A25,'RR4 Player Stats'!$A$3:$A$50))),0)
+IFERROR(FILTER('RR5 Player Stats'!AM$3:AM$50, ISNUMBER(SEARCH($A25,'RR5 Player Stats'!$A$3:$A"&amp;"$50))),0))/B25"),0.4375)</f>
        <v>0.4375</v>
      </c>
      <c r="U25" s="55">
        <f>IFERROR(__xludf.DUMMYFUNCTION("MEDIAN(IFERROR(FILTER('RR1 Player Stats'!AH$3:AH$50, ISNUMBER(SEARCH($A25,'RR1 Player Stats'!$A$3:$A$50))),0),IFERROR(FILTER('RR2 Player Stats'!AH$3:AH$50, ISNUMBER(SEARCH($A25,'RR2 Player Stats'!$A$3:$A$50))),0),IFERROR(FILTER('RR3 Player Stats'!AH$3:AH$"&amp;"50, ISNUMBER(SEARCH($A25,'RR3 Player Stats'!$A$3:$A$50))),0),IFERROR(FILTER('RR4 Player Stats'!AH$3:AH$50, ISNUMBER(SEARCH($A25,'RR4 Player Stats'!$A$3:$A$50))),0),IFERROR(FILTER('RR5 Player Stats'!AH$3:AH$50, ISNUMBER(SEARCH($A25,'RR5 Player Stats'!$A$3:"&amp;"$A$50))),0))"),5.0)</f>
        <v>5</v>
      </c>
      <c r="V25" s="57">
        <f>IFERROR(__xludf.DUMMYFUNCTION("MEDIAN(IFERROR(FILTER('RR1 Player Stats'!AI$3:AI$50, ISNUMBER(SEARCH($A25,'RR1 Player Stats'!$A$3:$A$50))),0),IFERROR(FILTER('RR2 Player Stats'!AI$3:AI$50, ISNUMBER(SEARCH($A25,'RR2 Player Stats'!$A$3:$A$50))),0),IFERROR(FILTER('RR3 Player Stats'!AI$3:AI$"&amp;"50, ISNUMBER(SEARCH($A25,'RR3 Player Stats'!$A$3:$A$50))),0),IFERROR(FILTER('RR4 Player Stats'!AI$3:AI$50, ISNUMBER(SEARCH($A25,'RR4 Player Stats'!$A$3:$A$50))),0),IFERROR(FILTER('RR5 Player Stats'!AI$3:AI$50, ISNUMBER(SEARCH($A25,'RR5 Player Stats'!$A$3:"&amp;"$A$50))),0))"),2.0)</f>
        <v>2</v>
      </c>
      <c r="W25" s="57">
        <f>IFERROR(__xludf.DUMMYFUNCTION("MEDIAN(IFERROR(FILTER('RR1 Player Stats'!AJ$3:AJ$50, ISNUMBER(SEARCH($A25,'RR1 Player Stats'!$A$3:$A$50))),0),IFERROR(FILTER('RR2 Player Stats'!AJ$3:AJ$50, ISNUMBER(SEARCH($A25,'RR2 Player Stats'!$A$3:$A$50))),0),IFERROR(FILTER('RR3 Player Stats'!AJ$3:AJ$"&amp;"50, ISNUMBER(SEARCH($A25,'RR3 Player Stats'!$A$3:$A$50))),0),IFERROR(FILTER('RR4 Player Stats'!AJ$3:AJ$50, ISNUMBER(SEARCH($A25,'RR4 Player Stats'!$A$3:$A$50))),0),IFERROR(FILTER('RR5 Player Stats'!AJ$3:AJ$50, ISNUMBER(SEARCH($A25,'RR5 Player Stats'!$A$3:"&amp;"$A$50))),0))"),0.0)</f>
        <v>0</v>
      </c>
      <c r="X25" s="57">
        <f>IFERROR(__xludf.DUMMYFUNCTION("MEDIAN(IFERROR(FILTER('RR1 Player Stats'!AK$3:AK$50, ISNUMBER(SEARCH($A25,'RR1 Player Stats'!$A$3:$A$50))),0),IFERROR(FILTER('RR2 Player Stats'!AK$3:AK$50, ISNUMBER(SEARCH($A25,'RR2 Player Stats'!$A$3:$A$50))),0),IFERROR(FILTER('RR3 Player Stats'!AK$3:AK$"&amp;"50, ISNUMBER(SEARCH($A25,'RR3 Player Stats'!$A$3:$A$50))),0),IFERROR(FILTER('RR4 Player Stats'!AK$3:AK$50, ISNUMBER(SEARCH($A25,'RR4 Player Stats'!$A$3:$A$50))),0),IFERROR(FILTER('RR5 Player Stats'!AK$3:AK$50, ISNUMBER(SEARCH($A25,'RR5 Player Stats'!$A$3:"&amp;"$A$50))),0))"),42.0)</f>
        <v>42</v>
      </c>
      <c r="Y25" s="57">
        <f>IFERROR(__xludf.DUMMYFUNCTION("MEDIAN(IFERROR(FILTER('RR1 Player Stats'!AL$3:AL$50, ISNUMBER(SEARCH($A25,'RR1 Player Stats'!$A$3:$A$50))),0),IFERROR(FILTER('RR2 Player Stats'!AL$3:AL$50, ISNUMBER(SEARCH($A25,'RR2 Player Stats'!$A$3:$A$50))),0),IFERROR(FILTER('RR3 Player Stats'!AL$3:AL$"&amp;"50, ISNUMBER(SEARCH($A25,'RR3 Player Stats'!$A$3:$A$50))),0),IFERROR(FILTER('RR4 Player Stats'!AL$3:AL$50, ISNUMBER(SEARCH($A25,'RR4 Player Stats'!$A$3:$A$50))),0),IFERROR(FILTER('RR5 Player Stats'!AL$3:AL$50, ISNUMBER(SEARCH($A25,'RR5 Player Stats'!$A$3:"&amp;"$A$50))),0))"),38.0)</f>
        <v>38</v>
      </c>
      <c r="Z25" s="180">
        <f>IFERROR(__xludf.DUMMYFUNCTION("MEDIAN(IFERROR(FILTER('RR1 Player Stats'!AM$3:AM$50, ISNUMBER(SEARCH($A25,'RR1 Player Stats'!$A$3:$A$50))),0),IFERROR(FILTER('RR2 Player Stats'!AM$3:AM$50, ISNUMBER(SEARCH($A25,'RR2 Player Stats'!$A$3:$A$50))),0),IFERROR(FILTER('RR3 Player Stats'!AM$3:AM$"&amp;"50, ISNUMBER(SEARCH($A25,'RR3 Player Stats'!$A$3:$A$50))),0),IFERROR(FILTER('RR4 Player Stats'!AM$3:AM$50, ISNUMBER(SEARCH($A25,'RR4 Player Stats'!$A$3:$A$50))),0),IFERROR(FILTER('RR5 Player Stats'!AM$3:AM$50, ISNUMBER(SEARCH($A25,'RR5 Player Stats'!$A$3:"&amp;"$A$50))),0))"),0.4)</f>
        <v>0.4</v>
      </c>
    </row>
    <row r="26">
      <c r="A26" s="29" t="s">
        <v>71</v>
      </c>
      <c r="B26" s="48">
        <f>COUNTIF('RR1 Player Stats'!$A$3:$A$50,$A26)+COUNTIF('RR2 Player Stats'!$A$3:$A$50,$A26)+COUNTIF('RR3 Player Stats'!$A$3:$A$50,$A26)+COUNTIF('RR4 Player Stats'!$A$3:$A$50,$A26)+COUNTIF('RR5 Player Stats'!$A$3:$A$50,$A26)</f>
        <v>5</v>
      </c>
      <c r="C26" s="55">
        <f>IFERROR(__xludf.DUMMYFUNCTION("IFERROR(FILTER('RR1 Player Stats'!V$3:V$50, ISNUMBER(SEARCH($A26,'RR1 Player Stats'!$A$3:$A$50))),0)
+IFERROR(FILTER('RR2 Player Stats'!V$3:V$50, ISNUMBER(SEARCH($A26,'RR2 Player Stats'!$A$3:$A$50))),0)
+IFERROR(FILTER('RR3 Player Stats'!V$3:V$50, ISNUMBE"&amp;"R(SEARCH($A26,'RR3 Player Stats'!$A$3:$A$50))),0)
+IFERROR(FILTER('RR4 Player Stats'!V$3:V$50, ISNUMBER(SEARCH($A26,'RR4 Player Stats'!$A$3:$A$50))),0)
+IFERROR(FILTER('RR5 Player Stats'!V$3:V$50, ISNUMBER(SEARCH($A26,'RR5 Player Stats'!$A$3:$A$50))),0)"),25.0)</f>
        <v>25</v>
      </c>
      <c r="D26" s="57">
        <f>IFERROR(__xludf.DUMMYFUNCTION("IFERROR(FILTER('RR1 Player Stats'!W$3:W$50, ISNUMBER(SEARCH($A26,'RR1 Player Stats'!$A$3:$A$50))),0)
+IFERROR(FILTER('RR2 Player Stats'!W$3:W$50, ISNUMBER(SEARCH($A26,'RR2 Player Stats'!$A$3:$A$50))),0)
+IFERROR(FILTER('RR3 Player Stats'!W$3:W$50, ISNUMBE"&amp;"R(SEARCH($A26,'RR3 Player Stats'!$A$3:$A$50))),0)
+IFERROR(FILTER('RR4 Player Stats'!W$3:W$50, ISNUMBER(SEARCH($A26,'RR4 Player Stats'!$A$3:$A$50))),0)
+IFERROR(FILTER('RR5 Player Stats'!W$3:W$50, ISNUMBER(SEARCH($A26,'RR5 Player Stats'!$A$3:$A$50))),0)"),5.0)</f>
        <v>5</v>
      </c>
      <c r="E26" s="57">
        <f>IFERROR(__xludf.DUMMYFUNCTION("IFERROR(FILTER('RR1 Player Stats'!X$3:X$50, ISNUMBER(SEARCH($A26,'RR1 Player Stats'!$A$3:$A$50))),0)
+IFERROR(FILTER('RR2 Player Stats'!X$3:X$50, ISNUMBER(SEARCH($A26,'RR2 Player Stats'!$A$3:$A$50))),0)
+IFERROR(FILTER('RR3 Player Stats'!X$3:X$50, ISNUMBE"&amp;"R(SEARCH($A26,'RR3 Player Stats'!$A$3:$A$50))),0)
+IFERROR(FILTER('RR4 Player Stats'!X$3:X$50, ISNUMBER(SEARCH($A26,'RR4 Player Stats'!$A$3:$A$50))),0)
+IFERROR(FILTER('RR5 Player Stats'!X$3:X$50, ISNUMBER(SEARCH($A26,'RR5 Player Stats'!$A$3:$A$50))),0)"),0.0)</f>
        <v>0</v>
      </c>
      <c r="F26" s="57">
        <f>IFERROR(__xludf.DUMMYFUNCTION("IFERROR(FILTER('RR1 Player Stats'!Y$3:Y$50, ISNUMBER(SEARCH($A26,'RR1 Player Stats'!$A$3:$A$50))),0)
+IFERROR(FILTER('RR2 Player Stats'!Y$3:Y$50, ISNUMBER(SEARCH($A26,'RR2 Player Stats'!$A$3:$A$50))),0)
+IFERROR(FILTER('RR3 Player Stats'!Y$3:Y$50, ISNUMBE"&amp;"R(SEARCH($A26,'RR3 Player Stats'!$A$3:$A$50))),0)
+IFERROR(FILTER('RR4 Player Stats'!Y$3:Y$50, ISNUMBER(SEARCH($A26,'RR4 Player Stats'!$A$3:$A$50))),0)
+IFERROR(FILTER('RR5 Player Stats'!Y$3:Y$50, ISNUMBER(SEARCH($A26,'RR5 Player Stats'!$A$3:$A$50))),0)"),130.0)</f>
        <v>130</v>
      </c>
      <c r="G26" s="57">
        <f>IFERROR(__xludf.DUMMYFUNCTION("IFERROR(FILTER('RR1 Player Stats'!Z$3:Z$50, ISNUMBER(SEARCH($A26,'RR1 Player Stats'!$A$3:$A$50))),0)
+IFERROR(FILTER('RR2 Player Stats'!Z$3:Z$50, ISNUMBER(SEARCH($A26,'RR2 Player Stats'!$A$3:$A$50))),0)
+IFERROR(FILTER('RR3 Player Stats'!Z$3:Z$50, ISNUMBE"&amp;"R(SEARCH($A26,'RR3 Player Stats'!$A$3:$A$50))),0)
+IFERROR(FILTER('RR4 Player Stats'!Z$3:Z$50, ISNUMBER(SEARCH($A26,'RR4 Player Stats'!$A$3:$A$50))),0)
+IFERROR(FILTER('RR5 Player Stats'!Z$3:Z$50, ISNUMBER(SEARCH($A26,'RR5 Player Stats'!$A$3:$A$50))),0)"),130.0)</f>
        <v>130</v>
      </c>
      <c r="H26" s="180">
        <f>IFERROR(__xludf.DUMMYFUNCTION("(IFERROR(FILTER('RR1 Player Stats'!AA$3:AA$50, ISNUMBER(SEARCH($A26,'RR1 Player Stats'!$A$3:$A$50))),0)
+IFERROR(FILTER('RR2 Player Stats'!AA$3:AA$50, ISNUMBER(SEARCH($A26,'RR2 Player Stats'!$A$3:$A$50))),0)
+IFERROR(FILTER('RR3 Player Stats'!AA$3:AA$50, "&amp;"ISNUMBER(SEARCH($A26,'RR3 Player Stats'!$A$3:$A$50))),0)
+IFERROR(FILTER('RR4 Player Stats'!AA$3:AA$50, ISNUMBER(SEARCH($A26,'RR4 Player Stats'!$A$3:$A$50))),0)
+IFERROR(FILTER('RR5 Player Stats'!AA$3:AA$50, ISNUMBER(SEARCH($A26,'RR5 Player Stats'!$A$3:$A"&amp;"$50))),0))/5"),0.49800000000000005)</f>
        <v>0.498</v>
      </c>
      <c r="I26" s="55">
        <f>IFERROR(__xludf.DUMMYFUNCTION("IFERROR(FILTER('RR1 Player Stats'!AB$3:AB$50, ISNUMBER(SEARCH($A26,'RR1 Player Stats'!$A$3:$A$50))),0)
+IFERROR(FILTER('RR2 Player Stats'!AB$3:AB$50, ISNUMBER(SEARCH($A26,'RR2 Player Stats'!$A$3:$A$50))),0)
+IFERROR(FILTER('RR3 Player Stats'!AB$3:AB$50, I"&amp;"SNUMBER(SEARCH($A26,'RR3 Player Stats'!$A$3:$A$50))),0)
+IFERROR(FILTER('RR4 Player Stats'!AB$3:AB$50, ISNUMBER(SEARCH($A26,'RR4 Player Stats'!$A$3:$A$50))),0)
+IFERROR(FILTER('RR5 Player Stats'!AB$3:AB$50, ISNUMBER(SEARCH($A26,'RR5 Player Stats'!$A$3:$A$"&amp;"50))),0)"),6.0)</f>
        <v>6</v>
      </c>
      <c r="J26" s="57">
        <f>IFERROR(__xludf.DUMMYFUNCTION("IFERROR(FILTER('RR1 Player Stats'!AC$3:AC$50, ISNUMBER(SEARCH($A26,'RR1 Player Stats'!$A$3:$A$50))),0)
+IFERROR(FILTER('RR2 Player Stats'!AC$3:AC$50, ISNUMBER(SEARCH($A26,'RR2 Player Stats'!$A$3:$A$50))),0)
+IFERROR(FILTER('RR3 Player Stats'!AC$3:AC$50, I"&amp;"SNUMBER(SEARCH($A26,'RR3 Player Stats'!$A$3:$A$50))),0)
+IFERROR(FILTER('RR4 Player Stats'!AC$3:AC$50, ISNUMBER(SEARCH($A26,'RR4 Player Stats'!$A$3:$A$50))),0)
+IFERROR(FILTER('RR5 Player Stats'!AC$3:AC$50, ISNUMBER(SEARCH($A26,'RR5 Player Stats'!$A$3:$A$"&amp;"50))),0)"),0.0)</f>
        <v>0</v>
      </c>
      <c r="K26" s="57">
        <f>IFERROR(__xludf.DUMMYFUNCTION("IFERROR(FILTER('RR1 Player Stats'!AD$3:AD$50, ISNUMBER(SEARCH($A26,'RR1 Player Stats'!$A$3:$A$50))),0)
+IFERROR(FILTER('RR2 Player Stats'!AD$3:AD$50, ISNUMBER(SEARCH($A26,'RR2 Player Stats'!$A$3:$A$50))),0)
+IFERROR(FILTER('RR3 Player Stats'!AD$3:AD$50, I"&amp;"SNUMBER(SEARCH($A26,'RR3 Player Stats'!$A$3:$A$50))),0)
+IFERROR(FILTER('RR4 Player Stats'!AD$3:AD$50, ISNUMBER(SEARCH($A26,'RR4 Player Stats'!$A$3:$A$50))),0)
+IFERROR(FILTER('RR5 Player Stats'!AD$3:AD$50, ISNUMBER(SEARCH($A26,'RR5 Player Stats'!$A$3:$A$"&amp;"50))),0)"),0.0)</f>
        <v>0</v>
      </c>
      <c r="L26" s="57">
        <f>IFERROR(__xludf.DUMMYFUNCTION("IFERROR(FILTER('RR1 Player Stats'!AE$3:AE$50, ISNUMBER(SEARCH($A26,'RR1 Player Stats'!$A$3:$A$50))),0)
+IFERROR(FILTER('RR2 Player Stats'!AE$3:AE$50, ISNUMBER(SEARCH($A26,'RR2 Player Stats'!$A$3:$A$50))),0)
+IFERROR(FILTER('RR3 Player Stats'!AE$3:AE$50, I"&amp;"SNUMBER(SEARCH($A26,'RR3 Player Stats'!$A$3:$A$50))),0)
+IFERROR(FILTER('RR4 Player Stats'!AE$3:AE$50, ISNUMBER(SEARCH($A26,'RR4 Player Stats'!$A$3:$A$50))),0)
+IFERROR(FILTER('RR5 Player Stats'!AE$3:AE$50, ISNUMBER(SEARCH($A26,'RR5 Player Stats'!$A$3:$A$"&amp;"50))),0)"),24.0)</f>
        <v>24</v>
      </c>
      <c r="M26" s="57">
        <f>IFERROR(__xludf.DUMMYFUNCTION("IFERROR(FILTER('RR1 Player Stats'!AF$3:AF$50, ISNUMBER(SEARCH($A26,'RR1 Player Stats'!$A$3:$A$50))),0)
+IFERROR(FILTER('RR2 Player Stats'!AF$3:AF$50, ISNUMBER(SEARCH($A26,'RR2 Player Stats'!$A$3:$A$50))),0)
+IFERROR(FILTER('RR3 Player Stats'!AF$3:AF$50, I"&amp;"SNUMBER(SEARCH($A26,'RR3 Player Stats'!$A$3:$A$50))),0)
+IFERROR(FILTER('RR4 Player Stats'!AF$3:AF$50, ISNUMBER(SEARCH($A26,'RR4 Player Stats'!$A$3:$A$50))),0)
+IFERROR(FILTER('RR5 Player Stats'!AF$3:AF$50, ISNUMBER(SEARCH($A26,'RR5 Player Stats'!$A$3:$A$"&amp;"50))),0)"),24.0)</f>
        <v>24</v>
      </c>
      <c r="N26" s="180">
        <f>IFERROR(__xludf.DUMMYFUNCTION("(IFERROR(FILTER('RR1 Player Stats'!AG$3:AG$50, ISNUMBER(SEARCH($A26,'RR1 Player Stats'!$A$3:$A$50))),0)
+IFERROR(FILTER('RR2 Player Stats'!AG$3:AG$50, ISNUMBER(SEARCH($A26,'RR2 Player Stats'!$A$3:$A$50))),0)
+IFERROR(FILTER('RR3 Player Stats'!AG$3:AG$50, "&amp;"ISNUMBER(SEARCH($A26,'RR3 Player Stats'!$A$3:$A$50))),0)
+IFERROR(FILTER('RR4 Player Stats'!AG$3:AG$50, ISNUMBER(SEARCH($A26,'RR4 Player Stats'!$A$3:$A$50))),0)
+IFERROR(FILTER('RR5 Player Stats'!AG$3:AG$50, ISNUMBER(SEARCH($A26,'RR5 Player Stats'!$A$3:$A"&amp;"$50))),0))/5"),0.154)</f>
        <v>0.154</v>
      </c>
      <c r="O26" s="55">
        <f>IFERROR(__xludf.DUMMYFUNCTION("IFERROR(FILTER('RR1 Player Stats'!AH$3:AH$50, ISNUMBER(SEARCH($A26,'RR1 Player Stats'!$A$3:$A$50))),0)
+IFERROR(FILTER('RR2 Player Stats'!AH$3:AH$50, ISNUMBER(SEARCH($A26,'RR2 Player Stats'!$A$3:$A$50))),0)
+IFERROR(FILTER('RR3 Player Stats'!AH$3:AH$50, I"&amp;"SNUMBER(SEARCH($A26,'RR3 Player Stats'!$A$3:$A$50))),0)
+IFERROR(FILTER('RR4 Player Stats'!AH$3:AH$50, ISNUMBER(SEARCH($A26,'RR4 Player Stats'!$A$3:$A$50))),0)
+IFERROR(FILTER('RR5 Player Stats'!AH$3:AH$50, ISNUMBER(SEARCH($A26,'RR5 Player Stats'!$A$3:$A$"&amp;"50))),0)"),31.0)</f>
        <v>31</v>
      </c>
      <c r="P26" s="57">
        <f>IFERROR(__xludf.DUMMYFUNCTION("IFERROR(FILTER('RR1 Player Stats'!AI$3:AI$50, ISNUMBER(SEARCH($A26,'RR1 Player Stats'!$A$3:$A$50))),0)
+IFERROR(FILTER('RR2 Player Stats'!AI$3:AI$50, ISNUMBER(SEARCH($A26,'RR2 Player Stats'!$A$3:$A$50))),0)
+IFERROR(FILTER('RR3 Player Stats'!AI$3:AI$50, I"&amp;"SNUMBER(SEARCH($A26,'RR3 Player Stats'!$A$3:$A$50))),0)
+IFERROR(FILTER('RR4 Player Stats'!AI$3:AI$50, ISNUMBER(SEARCH($A26,'RR4 Player Stats'!$A$3:$A$50))),0)
+IFERROR(FILTER('RR5 Player Stats'!AI$3:AI$50, ISNUMBER(SEARCH($A26,'RR5 Player Stats'!$A$3:$A$"&amp;"50))),0)"),5.0)</f>
        <v>5</v>
      </c>
      <c r="Q26" s="57">
        <f>IFERROR(__xludf.DUMMYFUNCTION("IFERROR(FILTER('RR1 Player Stats'!AJ$3:AJ$50, ISNUMBER(SEARCH($A26,'RR1 Player Stats'!$A$3:$A$50))),0)
+IFERROR(FILTER('RR2 Player Stats'!AJ$3:AJ$50, ISNUMBER(SEARCH($A26,'RR2 Player Stats'!$A$3:$A$50))),0)
+IFERROR(FILTER('RR3 Player Stats'!AJ$3:AJ$50, I"&amp;"SNUMBER(SEARCH($A26,'RR3 Player Stats'!$A$3:$A$50))),0)
+IFERROR(FILTER('RR4 Player Stats'!AJ$3:AJ$50, ISNUMBER(SEARCH($A26,'RR4 Player Stats'!$A$3:$A$50))),0)
+IFERROR(FILTER('RR5 Player Stats'!AJ$3:AJ$50, ISNUMBER(SEARCH($A26,'RR5 Player Stats'!$A$3:$A$"&amp;"50))),0)"),0.0)</f>
        <v>0</v>
      </c>
      <c r="R26" s="57">
        <f>IFERROR(__xludf.DUMMYFUNCTION("IFERROR(FILTER('RR1 Player Stats'!AK$3:AK$50, ISNUMBER(SEARCH($A26,'RR1 Player Stats'!$A$3:$A$50))),0)
+IFERROR(FILTER('RR2 Player Stats'!AK$3:AK$50, ISNUMBER(SEARCH($A26,'RR2 Player Stats'!$A$3:$A$50))),0)
+IFERROR(FILTER('RR3 Player Stats'!AK$3:AK$50, I"&amp;"SNUMBER(SEARCH($A26,'RR3 Player Stats'!$A$3:$A$50))),0)
+IFERROR(FILTER('RR4 Player Stats'!AK$3:AK$50, ISNUMBER(SEARCH($A26,'RR4 Player Stats'!$A$3:$A$50))),0)
+IFERROR(FILTER('RR5 Player Stats'!AK$3:AK$50, ISNUMBER(SEARCH($A26,'RR5 Player Stats'!$A$3:$A$"&amp;"50))),0)"),154.0)</f>
        <v>154</v>
      </c>
      <c r="S26" s="57">
        <f>IFERROR(__xludf.DUMMYFUNCTION("IFERROR(FILTER('RR1 Player Stats'!AL$3:AL$50, ISNUMBER(SEARCH($A26,'RR1 Player Stats'!$A$3:$A$50))),0)
+IFERROR(FILTER('RR2 Player Stats'!AL$3:AL$50, ISNUMBER(SEARCH($A26,'RR2 Player Stats'!$A$3:$A$50))),0)
+IFERROR(FILTER('RR3 Player Stats'!AL$3:AL$50, I"&amp;"SNUMBER(SEARCH($A26,'RR3 Player Stats'!$A$3:$A$50))),0)
+IFERROR(FILTER('RR4 Player Stats'!AL$3:AL$50, ISNUMBER(SEARCH($A26,'RR4 Player Stats'!$A$3:$A$50))),0)
+IFERROR(FILTER('RR5 Player Stats'!AL$3:AL$50, ISNUMBER(SEARCH($A26,'RR5 Player Stats'!$A$3:$A$"&amp;"50))),0)"),154.0)</f>
        <v>154</v>
      </c>
      <c r="T26" s="180">
        <f>IFERROR(__xludf.DUMMYFUNCTION("(IFERROR(FILTER('RR1 Player Stats'!AM$3:AM$50, ISNUMBER(SEARCH($A26,'RR1 Player Stats'!$A$3:$A$50))),0)
+IFERROR(FILTER('RR2 Player Stats'!AM$3:AM$50, ISNUMBER(SEARCH($A26,'RR2 Player Stats'!$A$3:$A$50))),0)
+IFERROR(FILTER('RR3 Player Stats'!AM$3:AM$50, "&amp;"ISNUMBER(SEARCH($A26,'RR3 Player Stats'!$A$3:$A$50))),0)
+IFERROR(FILTER('RR4 Player Stats'!AM$3:AM$50, ISNUMBER(SEARCH($A26,'RR4 Player Stats'!$A$3:$A$50))),0)
+IFERROR(FILTER('RR5 Player Stats'!AM$3:AM$50, ISNUMBER(SEARCH($A26,'RR5 Player Stats'!$A$3:$A"&amp;"$50))),0))/B26"),0.36)</f>
        <v>0.36</v>
      </c>
      <c r="U26" s="55">
        <f>IFERROR(__xludf.DUMMYFUNCTION("MEDIAN(IFERROR(FILTER('RR1 Player Stats'!AH$3:AH$50, ISNUMBER(SEARCH($A26,'RR1 Player Stats'!$A$3:$A$50))),0),IFERROR(FILTER('RR2 Player Stats'!AH$3:AH$50, ISNUMBER(SEARCH($A26,'RR2 Player Stats'!$A$3:$A$50))),0),IFERROR(FILTER('RR3 Player Stats'!AH$3:AH$"&amp;"50, ISNUMBER(SEARCH($A26,'RR3 Player Stats'!$A$3:$A$50))),0),IFERROR(FILTER('RR4 Player Stats'!AH$3:AH$50, ISNUMBER(SEARCH($A26,'RR4 Player Stats'!$A$3:$A$50))),0),IFERROR(FILTER('RR5 Player Stats'!AH$3:AH$50, ISNUMBER(SEARCH($A26,'RR5 Player Stats'!$A$3:"&amp;"$A$50))),0))"),6.0)</f>
        <v>6</v>
      </c>
      <c r="V26" s="57">
        <f>IFERROR(__xludf.DUMMYFUNCTION("MEDIAN(IFERROR(FILTER('RR1 Player Stats'!AI$3:AI$50, ISNUMBER(SEARCH($A26,'RR1 Player Stats'!$A$3:$A$50))),0),IFERROR(FILTER('RR2 Player Stats'!AI$3:AI$50, ISNUMBER(SEARCH($A26,'RR2 Player Stats'!$A$3:$A$50))),0),IFERROR(FILTER('RR3 Player Stats'!AI$3:AI$"&amp;"50, ISNUMBER(SEARCH($A26,'RR3 Player Stats'!$A$3:$A$50))),0),IFERROR(FILTER('RR4 Player Stats'!AI$3:AI$50, ISNUMBER(SEARCH($A26,'RR4 Player Stats'!$A$3:$A$50))),0),IFERROR(FILTER('RR5 Player Stats'!AI$3:AI$50, ISNUMBER(SEARCH($A26,'RR5 Player Stats'!$A$3:"&amp;"$A$50))),0))"),1.0)</f>
        <v>1</v>
      </c>
      <c r="W26" s="57">
        <f>IFERROR(__xludf.DUMMYFUNCTION("MEDIAN(IFERROR(FILTER('RR1 Player Stats'!AJ$3:AJ$50, ISNUMBER(SEARCH($A26,'RR1 Player Stats'!$A$3:$A$50))),0),IFERROR(FILTER('RR2 Player Stats'!AJ$3:AJ$50, ISNUMBER(SEARCH($A26,'RR2 Player Stats'!$A$3:$A$50))),0),IFERROR(FILTER('RR3 Player Stats'!AJ$3:AJ$"&amp;"50, ISNUMBER(SEARCH($A26,'RR3 Player Stats'!$A$3:$A$50))),0),IFERROR(FILTER('RR4 Player Stats'!AJ$3:AJ$50, ISNUMBER(SEARCH($A26,'RR4 Player Stats'!$A$3:$A$50))),0),IFERROR(FILTER('RR5 Player Stats'!AJ$3:AJ$50, ISNUMBER(SEARCH($A26,'RR5 Player Stats'!$A$3:"&amp;"$A$50))),0))"),0.0)</f>
        <v>0</v>
      </c>
      <c r="X26" s="57">
        <f>IFERROR(__xludf.DUMMYFUNCTION("MEDIAN(IFERROR(FILTER('RR1 Player Stats'!AK$3:AK$50, ISNUMBER(SEARCH($A26,'RR1 Player Stats'!$A$3:$A$50))),0),IFERROR(FILTER('RR2 Player Stats'!AK$3:AK$50, ISNUMBER(SEARCH($A26,'RR2 Player Stats'!$A$3:$A$50))),0),IFERROR(FILTER('RR3 Player Stats'!AK$3:AK$"&amp;"50, ISNUMBER(SEARCH($A26,'RR3 Player Stats'!$A$3:$A$50))),0),IFERROR(FILTER('RR4 Player Stats'!AK$3:AK$50, ISNUMBER(SEARCH($A26,'RR4 Player Stats'!$A$3:$A$50))),0),IFERROR(FILTER('RR5 Player Stats'!AK$3:AK$50, ISNUMBER(SEARCH($A26,'RR5 Player Stats'!$A$3:"&amp;"$A$50))),0))"),30.0)</f>
        <v>30</v>
      </c>
      <c r="Y26" s="57">
        <f>IFERROR(__xludf.DUMMYFUNCTION("MEDIAN(IFERROR(FILTER('RR1 Player Stats'!AL$3:AL$50, ISNUMBER(SEARCH($A26,'RR1 Player Stats'!$A$3:$A$50))),0),IFERROR(FILTER('RR2 Player Stats'!AL$3:AL$50, ISNUMBER(SEARCH($A26,'RR2 Player Stats'!$A$3:$A$50))),0),IFERROR(FILTER('RR3 Player Stats'!AL$3:AL$"&amp;"50, ISNUMBER(SEARCH($A26,'RR3 Player Stats'!$A$3:$A$50))),0),IFERROR(FILTER('RR4 Player Stats'!AL$3:AL$50, ISNUMBER(SEARCH($A26,'RR4 Player Stats'!$A$3:$A$50))),0),IFERROR(FILTER('RR5 Player Stats'!AL$3:AL$50, ISNUMBER(SEARCH($A26,'RR5 Player Stats'!$A$3:"&amp;"$A$50))),0))"),30.0)</f>
        <v>30</v>
      </c>
      <c r="Z26" s="180">
        <f>IFERROR(__xludf.DUMMYFUNCTION("MEDIAN(IFERROR(FILTER('RR1 Player Stats'!AM$3:AM$50, ISNUMBER(SEARCH($A26,'RR1 Player Stats'!$A$3:$A$50))),0),IFERROR(FILTER('RR2 Player Stats'!AM$3:AM$50, ISNUMBER(SEARCH($A26,'RR2 Player Stats'!$A$3:$A$50))),0),IFERROR(FILTER('RR3 Player Stats'!AM$3:AM$"&amp;"50, ISNUMBER(SEARCH($A26,'RR3 Player Stats'!$A$3:$A$50))),0),IFERROR(FILTER('RR4 Player Stats'!AM$3:AM$50, ISNUMBER(SEARCH($A26,'RR4 Player Stats'!$A$3:$A$50))),0),IFERROR(FILTER('RR5 Player Stats'!AM$3:AM$50, ISNUMBER(SEARCH($A26,'RR5 Player Stats'!$A$3:"&amp;"$A$50))),0))"),0.35)</f>
        <v>0.35</v>
      </c>
    </row>
    <row r="27">
      <c r="A27" s="29" t="s">
        <v>45</v>
      </c>
      <c r="B27" s="48">
        <f>COUNTIF('RR1 Player Stats'!$A$3:$A$50,$A27)+COUNTIF('RR2 Player Stats'!$A$3:$A$50,$A27)+COUNTIF('RR3 Player Stats'!$A$3:$A$50,$A27)+COUNTIF('RR4 Player Stats'!$A$3:$A$50,$A27)+COUNTIF('RR5 Player Stats'!$A$3:$A$50,$A27)</f>
        <v>5</v>
      </c>
      <c r="C27" s="55">
        <f>IFERROR(__xludf.DUMMYFUNCTION("IFERROR(FILTER('RR1 Player Stats'!V$3:V$50, ISNUMBER(SEARCH($A27,'RR1 Player Stats'!$A$3:$A$50))),0)
+IFERROR(FILTER('RR2 Player Stats'!V$3:V$50, ISNUMBER(SEARCH($A27,'RR2 Player Stats'!$A$3:$A$50))),0)
+IFERROR(FILTER('RR3 Player Stats'!V$3:V$50, ISNUMBE"&amp;"R(SEARCH($A27,'RR3 Player Stats'!$A$3:$A$50))),0)
+IFERROR(FILTER('RR4 Player Stats'!V$3:V$50, ISNUMBER(SEARCH($A27,'RR4 Player Stats'!$A$3:$A$50))),0)
+IFERROR(FILTER('RR5 Player Stats'!V$3:V$50, ISNUMBER(SEARCH($A27,'RR5 Player Stats'!$A$3:$A$50))),0)"),16.0)</f>
        <v>16</v>
      </c>
      <c r="D27" s="57">
        <f>IFERROR(__xludf.DUMMYFUNCTION("IFERROR(FILTER('RR1 Player Stats'!W$3:W$50, ISNUMBER(SEARCH($A27,'RR1 Player Stats'!$A$3:$A$50))),0)
+IFERROR(FILTER('RR2 Player Stats'!W$3:W$50, ISNUMBER(SEARCH($A27,'RR2 Player Stats'!$A$3:$A$50))),0)
+IFERROR(FILTER('RR3 Player Stats'!W$3:W$50, ISNUMBE"&amp;"R(SEARCH($A27,'RR3 Player Stats'!$A$3:$A$50))),0)
+IFERROR(FILTER('RR4 Player Stats'!W$3:W$50, ISNUMBER(SEARCH($A27,'RR4 Player Stats'!$A$3:$A$50))),0)
+IFERROR(FILTER('RR5 Player Stats'!W$3:W$50, ISNUMBER(SEARCH($A27,'RR5 Player Stats'!$A$3:$A$50))),0)"),2.0)</f>
        <v>2</v>
      </c>
      <c r="E27" s="57">
        <f>IFERROR(__xludf.DUMMYFUNCTION("IFERROR(FILTER('RR1 Player Stats'!X$3:X$50, ISNUMBER(SEARCH($A27,'RR1 Player Stats'!$A$3:$A$50))),0)
+IFERROR(FILTER('RR2 Player Stats'!X$3:X$50, ISNUMBER(SEARCH($A27,'RR2 Player Stats'!$A$3:$A$50))),0)
+IFERROR(FILTER('RR3 Player Stats'!X$3:X$50, ISNUMBE"&amp;"R(SEARCH($A27,'RR3 Player Stats'!$A$3:$A$50))),0)
+IFERROR(FILTER('RR4 Player Stats'!X$3:X$50, ISNUMBER(SEARCH($A27,'RR4 Player Stats'!$A$3:$A$50))),0)
+IFERROR(FILTER('RR5 Player Stats'!X$3:X$50, ISNUMBER(SEARCH($A27,'RR5 Player Stats'!$A$3:$A$50))),0)"),4.0)</f>
        <v>4</v>
      </c>
      <c r="F27" s="57">
        <f>IFERROR(__xludf.DUMMYFUNCTION("IFERROR(FILTER('RR1 Player Stats'!Y$3:Y$50, ISNUMBER(SEARCH($A27,'RR1 Player Stats'!$A$3:$A$50))),0)
+IFERROR(FILTER('RR2 Player Stats'!Y$3:Y$50, ISNUMBER(SEARCH($A27,'RR2 Player Stats'!$A$3:$A$50))),0)
+IFERROR(FILTER('RR3 Player Stats'!Y$3:Y$50, ISNUMBE"&amp;"R(SEARCH($A27,'RR3 Player Stats'!$A$3:$A$50))),0)
+IFERROR(FILTER('RR4 Player Stats'!Y$3:Y$50, ISNUMBER(SEARCH($A27,'RR4 Player Stats'!$A$3:$A$50))),0)
+IFERROR(FILTER('RR5 Player Stats'!Y$3:Y$50, ISNUMBER(SEARCH($A27,'RR5 Player Stats'!$A$3:$A$50))),0)"),76.0)</f>
        <v>76</v>
      </c>
      <c r="G27" s="57">
        <f>IFERROR(__xludf.DUMMYFUNCTION("IFERROR(FILTER('RR1 Player Stats'!Z$3:Z$50, ISNUMBER(SEARCH($A27,'RR1 Player Stats'!$A$3:$A$50))),0)
+IFERROR(FILTER('RR2 Player Stats'!Z$3:Z$50, ISNUMBER(SEARCH($A27,'RR2 Player Stats'!$A$3:$A$50))),0)
+IFERROR(FILTER('RR3 Player Stats'!Z$3:Z$50, ISNUMBE"&amp;"R(SEARCH($A27,'RR3 Player Stats'!$A$3:$A$50))),0)
+IFERROR(FILTER('RR4 Player Stats'!Z$3:Z$50, ISNUMBER(SEARCH($A27,'RR4 Player Stats'!$A$3:$A$50))),0)
+IFERROR(FILTER('RR5 Player Stats'!Z$3:Z$50, ISNUMBER(SEARCH($A27,'RR5 Player Stats'!$A$3:$A$50))),0)"),60.0)</f>
        <v>60</v>
      </c>
      <c r="H27" s="180">
        <f>IFERROR(__xludf.DUMMYFUNCTION("(IFERROR(FILTER('RR1 Player Stats'!AA$3:AA$50, ISNUMBER(SEARCH($A27,'RR1 Player Stats'!$A$3:$A$50))),0)
+IFERROR(FILTER('RR2 Player Stats'!AA$3:AA$50, ISNUMBER(SEARCH($A27,'RR2 Player Stats'!$A$3:$A$50))),0)
+IFERROR(FILTER('RR3 Player Stats'!AA$3:AA$50, "&amp;"ISNUMBER(SEARCH($A27,'RR3 Player Stats'!$A$3:$A$50))),0)
+IFERROR(FILTER('RR4 Player Stats'!AA$3:AA$50, ISNUMBER(SEARCH($A27,'RR4 Player Stats'!$A$3:$A$50))),0)
+IFERROR(FILTER('RR5 Player Stats'!AA$3:AA$50, ISNUMBER(SEARCH($A27,'RR5 Player Stats'!$A$3:$A"&amp;"$50))),0))/5"),0.3)</f>
        <v>0.3</v>
      </c>
      <c r="I27" s="55">
        <f>IFERROR(__xludf.DUMMYFUNCTION("IFERROR(FILTER('RR1 Player Stats'!AB$3:AB$50, ISNUMBER(SEARCH($A27,'RR1 Player Stats'!$A$3:$A$50))),0)
+IFERROR(FILTER('RR2 Player Stats'!AB$3:AB$50, ISNUMBER(SEARCH($A27,'RR2 Player Stats'!$A$3:$A$50))),0)
+IFERROR(FILTER('RR3 Player Stats'!AB$3:AB$50, I"&amp;"SNUMBER(SEARCH($A27,'RR3 Player Stats'!$A$3:$A$50))),0)
+IFERROR(FILTER('RR4 Player Stats'!AB$3:AB$50, ISNUMBER(SEARCH($A27,'RR4 Player Stats'!$A$3:$A$50))),0)
+IFERROR(FILTER('RR5 Player Stats'!AB$3:AB$50, ISNUMBER(SEARCH($A27,'RR5 Player Stats'!$A$3:$A$"&amp;"50))),0)"),7.0)</f>
        <v>7</v>
      </c>
      <c r="J27" s="57">
        <f>IFERROR(__xludf.DUMMYFUNCTION("IFERROR(FILTER('RR1 Player Stats'!AC$3:AC$50, ISNUMBER(SEARCH($A27,'RR1 Player Stats'!$A$3:$A$50))),0)
+IFERROR(FILTER('RR2 Player Stats'!AC$3:AC$50, ISNUMBER(SEARCH($A27,'RR2 Player Stats'!$A$3:$A$50))),0)
+IFERROR(FILTER('RR3 Player Stats'!AC$3:AC$50, I"&amp;"SNUMBER(SEARCH($A27,'RR3 Player Stats'!$A$3:$A$50))),0)
+IFERROR(FILTER('RR4 Player Stats'!AC$3:AC$50, ISNUMBER(SEARCH($A27,'RR4 Player Stats'!$A$3:$A$50))),0)
+IFERROR(FILTER('RR5 Player Stats'!AC$3:AC$50, ISNUMBER(SEARCH($A27,'RR5 Player Stats'!$A$3:$A$"&amp;"50))),0)"),8.0)</f>
        <v>8</v>
      </c>
      <c r="K27" s="57">
        <f>IFERROR(__xludf.DUMMYFUNCTION("IFERROR(FILTER('RR1 Player Stats'!AD$3:AD$50, ISNUMBER(SEARCH($A27,'RR1 Player Stats'!$A$3:$A$50))),0)
+IFERROR(FILTER('RR2 Player Stats'!AD$3:AD$50, ISNUMBER(SEARCH($A27,'RR2 Player Stats'!$A$3:$A$50))),0)
+IFERROR(FILTER('RR3 Player Stats'!AD$3:AD$50, I"&amp;"SNUMBER(SEARCH($A27,'RR3 Player Stats'!$A$3:$A$50))),0)
+IFERROR(FILTER('RR4 Player Stats'!AD$3:AD$50, ISNUMBER(SEARCH($A27,'RR4 Player Stats'!$A$3:$A$50))),0)
+IFERROR(FILTER('RR5 Player Stats'!AD$3:AD$50, ISNUMBER(SEARCH($A27,'RR5 Player Stats'!$A$3:$A$"&amp;"50))),0)"),9.0)</f>
        <v>9</v>
      </c>
      <c r="L27" s="57">
        <f>IFERROR(__xludf.DUMMYFUNCTION("IFERROR(FILTER('RR1 Player Stats'!AE$3:AE$50, ISNUMBER(SEARCH($A27,'RR1 Player Stats'!$A$3:$A$50))),0)
+IFERROR(FILTER('RR2 Player Stats'!AE$3:AE$50, ISNUMBER(SEARCH($A27,'RR2 Player Stats'!$A$3:$A$50))),0)
+IFERROR(FILTER('RR3 Player Stats'!AE$3:AE$50, I"&amp;"SNUMBER(SEARCH($A27,'RR3 Player Stats'!$A$3:$A$50))),0)
+IFERROR(FILTER('RR4 Player Stats'!AE$3:AE$50, ISNUMBER(SEARCH($A27,'RR4 Player Stats'!$A$3:$A$50))),0)
+IFERROR(FILTER('RR5 Player Stats'!AE$3:AE$50, ISNUMBER(SEARCH($A27,'RR5 Player Stats'!$A$3:$A$"&amp;"50))),0)"),76.0)</f>
        <v>76</v>
      </c>
      <c r="M27" s="57">
        <f>IFERROR(__xludf.DUMMYFUNCTION("IFERROR(FILTER('RR1 Player Stats'!AF$3:AF$50, ISNUMBER(SEARCH($A27,'RR1 Player Stats'!$A$3:$A$50))),0)
+IFERROR(FILTER('RR2 Player Stats'!AF$3:AF$50, ISNUMBER(SEARCH($A27,'RR2 Player Stats'!$A$3:$A$50))),0)
+IFERROR(FILTER('RR3 Player Stats'!AF$3:AF$50, I"&amp;"SNUMBER(SEARCH($A27,'RR3 Player Stats'!$A$3:$A$50))),0)
+IFERROR(FILTER('RR4 Player Stats'!AF$3:AF$50, ISNUMBER(SEARCH($A27,'RR4 Player Stats'!$A$3:$A$50))),0)
+IFERROR(FILTER('RR5 Player Stats'!AF$3:AF$50, ISNUMBER(SEARCH($A27,'RR5 Player Stats'!$A$3:$A$"&amp;"50))),0)"),40.0)</f>
        <v>40</v>
      </c>
      <c r="N27" s="180">
        <f>IFERROR(__xludf.DUMMYFUNCTION("(IFERROR(FILTER('RR1 Player Stats'!AG$3:AG$50, ISNUMBER(SEARCH($A27,'RR1 Player Stats'!$A$3:$A$50))),0)
+IFERROR(FILTER('RR2 Player Stats'!AG$3:AG$50, ISNUMBER(SEARCH($A27,'RR2 Player Stats'!$A$3:$A$50))),0)
+IFERROR(FILTER('RR3 Player Stats'!AG$3:AG$50, "&amp;"ISNUMBER(SEARCH($A27,'RR3 Player Stats'!$A$3:$A$50))),0)
+IFERROR(FILTER('RR4 Player Stats'!AG$3:AG$50, ISNUMBER(SEARCH($A27,'RR4 Player Stats'!$A$3:$A$50))),0)
+IFERROR(FILTER('RR5 Player Stats'!AG$3:AG$50, ISNUMBER(SEARCH($A27,'RR5 Player Stats'!$A$3:$A"&amp;"$50))),0))/5"),0.376)</f>
        <v>0.376</v>
      </c>
      <c r="O27" s="55">
        <f>IFERROR(__xludf.DUMMYFUNCTION("IFERROR(FILTER('RR1 Player Stats'!AH$3:AH$50, ISNUMBER(SEARCH($A27,'RR1 Player Stats'!$A$3:$A$50))),0)
+IFERROR(FILTER('RR2 Player Stats'!AH$3:AH$50, ISNUMBER(SEARCH($A27,'RR2 Player Stats'!$A$3:$A$50))),0)
+IFERROR(FILTER('RR3 Player Stats'!AH$3:AH$50, I"&amp;"SNUMBER(SEARCH($A27,'RR3 Player Stats'!$A$3:$A$50))),0)
+IFERROR(FILTER('RR4 Player Stats'!AH$3:AH$50, ISNUMBER(SEARCH($A27,'RR4 Player Stats'!$A$3:$A$50))),0)
+IFERROR(FILTER('RR5 Player Stats'!AH$3:AH$50, ISNUMBER(SEARCH($A27,'RR5 Player Stats'!$A$3:$A$"&amp;"50))),0)"),23.0)</f>
        <v>23</v>
      </c>
      <c r="P27" s="57">
        <f>IFERROR(__xludf.DUMMYFUNCTION("IFERROR(FILTER('RR1 Player Stats'!AI$3:AI$50, ISNUMBER(SEARCH($A27,'RR1 Player Stats'!$A$3:$A$50))),0)
+IFERROR(FILTER('RR2 Player Stats'!AI$3:AI$50, ISNUMBER(SEARCH($A27,'RR2 Player Stats'!$A$3:$A$50))),0)
+IFERROR(FILTER('RR3 Player Stats'!AI$3:AI$50, I"&amp;"SNUMBER(SEARCH($A27,'RR3 Player Stats'!$A$3:$A$50))),0)
+IFERROR(FILTER('RR4 Player Stats'!AI$3:AI$50, ISNUMBER(SEARCH($A27,'RR4 Player Stats'!$A$3:$A$50))),0)
+IFERROR(FILTER('RR5 Player Stats'!AI$3:AI$50, ISNUMBER(SEARCH($A27,'RR5 Player Stats'!$A$3:$A$"&amp;"50))),0)"),10.0)</f>
        <v>10</v>
      </c>
      <c r="Q27" s="57">
        <f>IFERROR(__xludf.DUMMYFUNCTION("IFERROR(FILTER('RR1 Player Stats'!AJ$3:AJ$50, ISNUMBER(SEARCH($A27,'RR1 Player Stats'!$A$3:$A$50))),0)
+IFERROR(FILTER('RR2 Player Stats'!AJ$3:AJ$50, ISNUMBER(SEARCH($A27,'RR2 Player Stats'!$A$3:$A$50))),0)
+IFERROR(FILTER('RR3 Player Stats'!AJ$3:AJ$50, I"&amp;"SNUMBER(SEARCH($A27,'RR3 Player Stats'!$A$3:$A$50))),0)
+IFERROR(FILTER('RR4 Player Stats'!AJ$3:AJ$50, ISNUMBER(SEARCH($A27,'RR4 Player Stats'!$A$3:$A$50))),0)
+IFERROR(FILTER('RR5 Player Stats'!AJ$3:AJ$50, ISNUMBER(SEARCH($A27,'RR5 Player Stats'!$A$3:$A$"&amp;"50))),0)"),13.0)</f>
        <v>13</v>
      </c>
      <c r="R27" s="57">
        <f>IFERROR(__xludf.DUMMYFUNCTION("IFERROR(FILTER('RR1 Player Stats'!AK$3:AK$50, ISNUMBER(SEARCH($A27,'RR1 Player Stats'!$A$3:$A$50))),0)
+IFERROR(FILTER('RR2 Player Stats'!AK$3:AK$50, ISNUMBER(SEARCH($A27,'RR2 Player Stats'!$A$3:$A$50))),0)
+IFERROR(FILTER('RR3 Player Stats'!AK$3:AK$50, I"&amp;"SNUMBER(SEARCH($A27,'RR3 Player Stats'!$A$3:$A$50))),0)
+IFERROR(FILTER('RR4 Player Stats'!AK$3:AK$50, ISNUMBER(SEARCH($A27,'RR4 Player Stats'!$A$3:$A$50))),0)
+IFERROR(FILTER('RR5 Player Stats'!AK$3:AK$50, ISNUMBER(SEARCH($A27,'RR5 Player Stats'!$A$3:$A$"&amp;"50))),0)"),152.0)</f>
        <v>152</v>
      </c>
      <c r="S27" s="57">
        <f>IFERROR(__xludf.DUMMYFUNCTION("IFERROR(FILTER('RR1 Player Stats'!AL$3:AL$50, ISNUMBER(SEARCH($A27,'RR1 Player Stats'!$A$3:$A$50))),0)
+IFERROR(FILTER('RR2 Player Stats'!AL$3:AL$50, ISNUMBER(SEARCH($A27,'RR2 Player Stats'!$A$3:$A$50))),0)
+IFERROR(FILTER('RR3 Player Stats'!AL$3:AL$50, I"&amp;"SNUMBER(SEARCH($A27,'RR3 Player Stats'!$A$3:$A$50))),0)
+IFERROR(FILTER('RR4 Player Stats'!AL$3:AL$50, ISNUMBER(SEARCH($A27,'RR4 Player Stats'!$A$3:$A$50))),0)
+IFERROR(FILTER('RR5 Player Stats'!AL$3:AL$50, ISNUMBER(SEARCH($A27,'RR5 Player Stats'!$A$3:$A$"&amp;"50))),0)"),100.0)</f>
        <v>100</v>
      </c>
      <c r="T27" s="180">
        <f>IFERROR(__xludf.DUMMYFUNCTION("(IFERROR(FILTER('RR1 Player Stats'!AM$3:AM$50, ISNUMBER(SEARCH($A27,'RR1 Player Stats'!$A$3:$A$50))),0)
+IFERROR(FILTER('RR2 Player Stats'!AM$3:AM$50, ISNUMBER(SEARCH($A27,'RR2 Player Stats'!$A$3:$A$50))),0)
+IFERROR(FILTER('RR3 Player Stats'!AM$3:AM$50, "&amp;"ISNUMBER(SEARCH($A27,'RR3 Player Stats'!$A$3:$A$50))),0)
+IFERROR(FILTER('RR4 Player Stats'!AM$3:AM$50, ISNUMBER(SEARCH($A27,'RR4 Player Stats'!$A$3:$A$50))),0)
+IFERROR(FILTER('RR5 Player Stats'!AM$3:AM$50, ISNUMBER(SEARCH($A27,'RR5 Player Stats'!$A$3:$A"&amp;"$50))),0))/B27"),0.32999999999999996)</f>
        <v>0.33</v>
      </c>
      <c r="U27" s="55">
        <f>IFERROR(__xludf.DUMMYFUNCTION("MEDIAN(IFERROR(FILTER('RR1 Player Stats'!AH$3:AH$50, ISNUMBER(SEARCH($A27,'RR1 Player Stats'!$A$3:$A$50))),0),IFERROR(FILTER('RR2 Player Stats'!AH$3:AH$50, ISNUMBER(SEARCH($A27,'RR2 Player Stats'!$A$3:$A$50))),0),IFERROR(FILTER('RR3 Player Stats'!AH$3:AH$"&amp;"50, ISNUMBER(SEARCH($A27,'RR3 Player Stats'!$A$3:$A$50))),0),IFERROR(FILTER('RR4 Player Stats'!AH$3:AH$50, ISNUMBER(SEARCH($A27,'RR4 Player Stats'!$A$3:$A$50))),0),IFERROR(FILTER('RR5 Player Stats'!AH$3:AH$50, ISNUMBER(SEARCH($A27,'RR5 Player Stats'!$A$3:"&amp;"$A$50))),0))"),6.0)</f>
        <v>6</v>
      </c>
      <c r="V27" s="57">
        <f>IFERROR(__xludf.DUMMYFUNCTION("MEDIAN(IFERROR(FILTER('RR1 Player Stats'!AI$3:AI$50, ISNUMBER(SEARCH($A27,'RR1 Player Stats'!$A$3:$A$50))),0),IFERROR(FILTER('RR2 Player Stats'!AI$3:AI$50, ISNUMBER(SEARCH($A27,'RR2 Player Stats'!$A$3:$A$50))),0),IFERROR(FILTER('RR3 Player Stats'!AI$3:AI$"&amp;"50, ISNUMBER(SEARCH($A27,'RR3 Player Stats'!$A$3:$A$50))),0),IFERROR(FILTER('RR4 Player Stats'!AI$3:AI$50, ISNUMBER(SEARCH($A27,'RR4 Player Stats'!$A$3:$A$50))),0),IFERROR(FILTER('RR5 Player Stats'!AI$3:AI$50, ISNUMBER(SEARCH($A27,'RR5 Player Stats'!$A$3:"&amp;"$A$50))),0))"),2.0)</f>
        <v>2</v>
      </c>
      <c r="W27" s="57">
        <f>IFERROR(__xludf.DUMMYFUNCTION("MEDIAN(IFERROR(FILTER('RR1 Player Stats'!AJ$3:AJ$50, ISNUMBER(SEARCH($A27,'RR1 Player Stats'!$A$3:$A$50))),0),IFERROR(FILTER('RR2 Player Stats'!AJ$3:AJ$50, ISNUMBER(SEARCH($A27,'RR2 Player Stats'!$A$3:$A$50))),0),IFERROR(FILTER('RR3 Player Stats'!AJ$3:AJ$"&amp;"50, ISNUMBER(SEARCH($A27,'RR3 Player Stats'!$A$3:$A$50))),0),IFERROR(FILTER('RR4 Player Stats'!AJ$3:AJ$50, ISNUMBER(SEARCH($A27,'RR4 Player Stats'!$A$3:$A$50))),0),IFERROR(FILTER('RR5 Player Stats'!AJ$3:AJ$50, ISNUMBER(SEARCH($A27,'RR5 Player Stats'!$A$3:"&amp;"$A$50))),0))"),3.0)</f>
        <v>3</v>
      </c>
      <c r="X27" s="57">
        <f>IFERROR(__xludf.DUMMYFUNCTION("MEDIAN(IFERROR(FILTER('RR1 Player Stats'!AK$3:AK$50, ISNUMBER(SEARCH($A27,'RR1 Player Stats'!$A$3:$A$50))),0),IFERROR(FILTER('RR2 Player Stats'!AK$3:AK$50, ISNUMBER(SEARCH($A27,'RR2 Player Stats'!$A$3:$A$50))),0),IFERROR(FILTER('RR3 Player Stats'!AK$3:AK$"&amp;"50, ISNUMBER(SEARCH($A27,'RR3 Player Stats'!$A$3:$A$50))),0),IFERROR(FILTER('RR4 Player Stats'!AK$3:AK$50, ISNUMBER(SEARCH($A27,'RR4 Player Stats'!$A$3:$A$50))),0),IFERROR(FILTER('RR5 Player Stats'!AK$3:AK$50, ISNUMBER(SEARCH($A27,'RR5 Player Stats'!$A$3:"&amp;"$A$50))),0))"),34.0)</f>
        <v>34</v>
      </c>
      <c r="Y27" s="57">
        <f>IFERROR(__xludf.DUMMYFUNCTION("MEDIAN(IFERROR(FILTER('RR1 Player Stats'!AL$3:AL$50, ISNUMBER(SEARCH($A27,'RR1 Player Stats'!$A$3:$A$50))),0),IFERROR(FILTER('RR2 Player Stats'!AL$3:AL$50, ISNUMBER(SEARCH($A27,'RR2 Player Stats'!$A$3:$A$50))),0),IFERROR(FILTER('RR3 Player Stats'!AL$3:AL$"&amp;"50, ISNUMBER(SEARCH($A27,'RR3 Player Stats'!$A$3:$A$50))),0),IFERROR(FILTER('RR4 Player Stats'!AL$3:AL$50, ISNUMBER(SEARCH($A27,'RR4 Player Stats'!$A$3:$A$50))),0),IFERROR(FILTER('RR5 Player Stats'!AL$3:AL$50, ISNUMBER(SEARCH($A27,'RR5 Player Stats'!$A$3:"&amp;"$A$50))),0))"),24.0)</f>
        <v>24</v>
      </c>
      <c r="Z27" s="180">
        <f>IFERROR(__xludf.DUMMYFUNCTION("MEDIAN(IFERROR(FILTER('RR1 Player Stats'!AM$3:AM$50, ISNUMBER(SEARCH($A27,'RR1 Player Stats'!$A$3:$A$50))),0),IFERROR(FILTER('RR2 Player Stats'!AM$3:AM$50, ISNUMBER(SEARCH($A27,'RR2 Player Stats'!$A$3:$A$50))),0),IFERROR(FILTER('RR3 Player Stats'!AM$3:AM$"&amp;"50, ISNUMBER(SEARCH($A27,'RR3 Player Stats'!$A$3:$A$50))),0),IFERROR(FILTER('RR4 Player Stats'!AM$3:AM$50, ISNUMBER(SEARCH($A27,'RR4 Player Stats'!$A$3:$A$50))),0),IFERROR(FILTER('RR5 Player Stats'!AM$3:AM$50, ISNUMBER(SEARCH($A27,'RR5 Player Stats'!$A$3:"&amp;"$A$50))),0))"),0.35)</f>
        <v>0.35</v>
      </c>
    </row>
    <row r="28">
      <c r="A28" s="29" t="s">
        <v>55</v>
      </c>
      <c r="B28" s="48">
        <f>COUNTIF('RR1 Player Stats'!$A$3:$A$50,$A28)+COUNTIF('RR2 Player Stats'!$A$3:$A$50,$A28)+COUNTIF('RR3 Player Stats'!$A$3:$A$50,$A28)+COUNTIF('RR4 Player Stats'!$A$3:$A$50,$A28)+COUNTIF('RR5 Player Stats'!$A$3:$A$50,$A28)</f>
        <v>4</v>
      </c>
      <c r="C28" s="55">
        <f>IFERROR(__xludf.DUMMYFUNCTION("IFERROR(FILTER('RR1 Player Stats'!V$3:V$50, ISNUMBER(SEARCH($A28,'RR1 Player Stats'!$A$3:$A$50))),0)
+IFERROR(FILTER('RR2 Player Stats'!V$3:V$50, ISNUMBER(SEARCH($A28,'RR2 Player Stats'!$A$3:$A$50))),0)
+IFERROR(FILTER('RR3 Player Stats'!V$3:V$50, ISNUMBE"&amp;"R(SEARCH($A28,'RR3 Player Stats'!$A$3:$A$50))),0)
+IFERROR(FILTER('RR4 Player Stats'!V$3:V$50, ISNUMBER(SEARCH($A28,'RR4 Player Stats'!$A$3:$A$50))),0)
+IFERROR(FILTER('RR5 Player Stats'!V$3:V$50, ISNUMBER(SEARCH($A28,'RR5 Player Stats'!$A$3:$A$50))),0)"),11.0)</f>
        <v>11</v>
      </c>
      <c r="D28" s="57">
        <f>IFERROR(__xludf.DUMMYFUNCTION("IFERROR(FILTER('RR1 Player Stats'!W$3:W$50, ISNUMBER(SEARCH($A28,'RR1 Player Stats'!$A$3:$A$50))),0)
+IFERROR(FILTER('RR2 Player Stats'!W$3:W$50, ISNUMBER(SEARCH($A28,'RR2 Player Stats'!$A$3:$A$50))),0)
+IFERROR(FILTER('RR3 Player Stats'!W$3:W$50, ISNUMBE"&amp;"R(SEARCH($A28,'RR3 Player Stats'!$A$3:$A$50))),0)
+IFERROR(FILTER('RR4 Player Stats'!W$3:W$50, ISNUMBER(SEARCH($A28,'RR4 Player Stats'!$A$3:$A$50))),0)
+IFERROR(FILTER('RR5 Player Stats'!W$3:W$50, ISNUMBER(SEARCH($A28,'RR5 Player Stats'!$A$3:$A$50))),0)"),9.0)</f>
        <v>9</v>
      </c>
      <c r="E28" s="57">
        <f>IFERROR(__xludf.DUMMYFUNCTION("IFERROR(FILTER('RR1 Player Stats'!X$3:X$50, ISNUMBER(SEARCH($A28,'RR1 Player Stats'!$A$3:$A$50))),0)
+IFERROR(FILTER('RR2 Player Stats'!X$3:X$50, ISNUMBER(SEARCH($A28,'RR2 Player Stats'!$A$3:$A$50))),0)
+IFERROR(FILTER('RR3 Player Stats'!X$3:X$50, ISNUMBE"&amp;"R(SEARCH($A28,'RR3 Player Stats'!$A$3:$A$50))),0)
+IFERROR(FILTER('RR4 Player Stats'!X$3:X$50, ISNUMBER(SEARCH($A28,'RR4 Player Stats'!$A$3:$A$50))),0)
+IFERROR(FILTER('RR5 Player Stats'!X$3:X$50, ISNUMBER(SEARCH($A28,'RR5 Player Stats'!$A$3:$A$50))),0)"),3.0)</f>
        <v>3</v>
      </c>
      <c r="F28" s="57">
        <f>IFERROR(__xludf.DUMMYFUNCTION("IFERROR(FILTER('RR1 Player Stats'!Y$3:Y$50, ISNUMBER(SEARCH($A28,'RR1 Player Stats'!$A$3:$A$50))),0)
+IFERROR(FILTER('RR2 Player Stats'!Y$3:Y$50, ISNUMBER(SEARCH($A28,'RR2 Player Stats'!$A$3:$A$50))),0)
+IFERROR(FILTER('RR3 Player Stats'!Y$3:Y$50, ISNUMBE"&amp;"R(SEARCH($A28,'RR3 Player Stats'!$A$3:$A$50))),0)
+IFERROR(FILTER('RR4 Player Stats'!Y$3:Y$50, ISNUMBER(SEARCH($A28,'RR4 Player Stats'!$A$3:$A$50))),0)
+IFERROR(FILTER('RR5 Player Stats'!Y$3:Y$50, ISNUMBER(SEARCH($A28,'RR5 Player Stats'!$A$3:$A$50))),0)"),98.0)</f>
        <v>98</v>
      </c>
      <c r="G28" s="57">
        <f>IFERROR(__xludf.DUMMYFUNCTION("IFERROR(FILTER('RR1 Player Stats'!Z$3:Z$50, ISNUMBER(SEARCH($A28,'RR1 Player Stats'!$A$3:$A$50))),0)
+IFERROR(FILTER('RR2 Player Stats'!Z$3:Z$50, ISNUMBER(SEARCH($A28,'RR2 Player Stats'!$A$3:$A$50))),0)
+IFERROR(FILTER('RR3 Player Stats'!Z$3:Z$50, ISNUMBE"&amp;"R(SEARCH($A28,'RR3 Player Stats'!$A$3:$A$50))),0)
+IFERROR(FILTER('RR4 Player Stats'!Z$3:Z$50, ISNUMBER(SEARCH($A28,'RR4 Player Stats'!$A$3:$A$50))),0)
+IFERROR(FILTER('RR5 Player Stats'!Z$3:Z$50, ISNUMBER(SEARCH($A28,'RR5 Player Stats'!$A$3:$A$50))),0)"),86.0)</f>
        <v>86</v>
      </c>
      <c r="H28" s="180">
        <f>IFERROR(__xludf.DUMMYFUNCTION("(IFERROR(FILTER('RR1 Player Stats'!AA$3:AA$50, ISNUMBER(SEARCH($A28,'RR1 Player Stats'!$A$3:$A$50))),0)
+IFERROR(FILTER('RR2 Player Stats'!AA$3:AA$50, ISNUMBER(SEARCH($A28,'RR2 Player Stats'!$A$3:$A$50))),0)
+IFERROR(FILTER('RR3 Player Stats'!AA$3:AA$50, "&amp;"ISNUMBER(SEARCH($A28,'RR3 Player Stats'!$A$3:$A$50))),0)
+IFERROR(FILTER('RR4 Player Stats'!AA$3:AA$50, ISNUMBER(SEARCH($A28,'RR4 Player Stats'!$A$3:$A$50))),0)
+IFERROR(FILTER('RR5 Player Stats'!AA$3:AA$50, ISNUMBER(SEARCH($A28,'RR5 Player Stats'!$A$3:$A"&amp;"$50))),0))/5"),0.33399999999999996)</f>
        <v>0.334</v>
      </c>
      <c r="I28" s="55">
        <f>IFERROR(__xludf.DUMMYFUNCTION("IFERROR(FILTER('RR1 Player Stats'!AB$3:AB$50, ISNUMBER(SEARCH($A28,'RR1 Player Stats'!$A$3:$A$50))),0)
+IFERROR(FILTER('RR2 Player Stats'!AB$3:AB$50, ISNUMBER(SEARCH($A28,'RR2 Player Stats'!$A$3:$A$50))),0)
+IFERROR(FILTER('RR3 Player Stats'!AB$3:AB$50, I"&amp;"SNUMBER(SEARCH($A28,'RR3 Player Stats'!$A$3:$A$50))),0)
+IFERROR(FILTER('RR4 Player Stats'!AB$3:AB$50, ISNUMBER(SEARCH($A28,'RR4 Player Stats'!$A$3:$A$50))),0)
+IFERROR(FILTER('RR5 Player Stats'!AB$3:AB$50, ISNUMBER(SEARCH($A28,'RR5 Player Stats'!$A$3:$A$"&amp;"50))),0)"),7.0)</f>
        <v>7</v>
      </c>
      <c r="J28" s="57">
        <f>IFERROR(__xludf.DUMMYFUNCTION("IFERROR(FILTER('RR1 Player Stats'!AC$3:AC$50, ISNUMBER(SEARCH($A28,'RR1 Player Stats'!$A$3:$A$50))),0)
+IFERROR(FILTER('RR2 Player Stats'!AC$3:AC$50, ISNUMBER(SEARCH($A28,'RR2 Player Stats'!$A$3:$A$50))),0)
+IFERROR(FILTER('RR3 Player Stats'!AC$3:AC$50, I"&amp;"SNUMBER(SEARCH($A28,'RR3 Player Stats'!$A$3:$A$50))),0)
+IFERROR(FILTER('RR4 Player Stats'!AC$3:AC$50, ISNUMBER(SEARCH($A28,'RR4 Player Stats'!$A$3:$A$50))),0)
+IFERROR(FILTER('RR5 Player Stats'!AC$3:AC$50, ISNUMBER(SEARCH($A28,'RR5 Player Stats'!$A$3:$A$"&amp;"50))),0)"),3.0)</f>
        <v>3</v>
      </c>
      <c r="K28" s="57">
        <f>IFERROR(__xludf.DUMMYFUNCTION("IFERROR(FILTER('RR1 Player Stats'!AD$3:AD$50, ISNUMBER(SEARCH($A28,'RR1 Player Stats'!$A$3:$A$50))),0)
+IFERROR(FILTER('RR2 Player Stats'!AD$3:AD$50, ISNUMBER(SEARCH($A28,'RR2 Player Stats'!$A$3:$A$50))),0)
+IFERROR(FILTER('RR3 Player Stats'!AD$3:AD$50, I"&amp;"SNUMBER(SEARCH($A28,'RR3 Player Stats'!$A$3:$A$50))),0)
+IFERROR(FILTER('RR4 Player Stats'!AD$3:AD$50, ISNUMBER(SEARCH($A28,'RR4 Player Stats'!$A$3:$A$50))),0)
+IFERROR(FILTER('RR5 Player Stats'!AD$3:AD$50, ISNUMBER(SEARCH($A28,'RR5 Player Stats'!$A$3:$A$"&amp;"50))),0)"),0.0)</f>
        <v>0</v>
      </c>
      <c r="L28" s="57">
        <f>IFERROR(__xludf.DUMMYFUNCTION("IFERROR(FILTER('RR1 Player Stats'!AE$3:AE$50, ISNUMBER(SEARCH($A28,'RR1 Player Stats'!$A$3:$A$50))),0)
+IFERROR(FILTER('RR2 Player Stats'!AE$3:AE$50, ISNUMBER(SEARCH($A28,'RR2 Player Stats'!$A$3:$A$50))),0)
+IFERROR(FILTER('RR3 Player Stats'!AE$3:AE$50, I"&amp;"SNUMBER(SEARCH($A28,'RR3 Player Stats'!$A$3:$A$50))),0)
+IFERROR(FILTER('RR4 Player Stats'!AE$3:AE$50, ISNUMBER(SEARCH($A28,'RR4 Player Stats'!$A$3:$A$50))),0)
+IFERROR(FILTER('RR5 Player Stats'!AE$3:AE$50, ISNUMBER(SEARCH($A28,'RR5 Player Stats'!$A$3:$A$"&amp;"50))),0)"),46.0)</f>
        <v>46</v>
      </c>
      <c r="M28" s="57">
        <f>IFERROR(__xludf.DUMMYFUNCTION("IFERROR(FILTER('RR1 Player Stats'!AF$3:AF$50, ISNUMBER(SEARCH($A28,'RR1 Player Stats'!$A$3:$A$50))),0)
+IFERROR(FILTER('RR2 Player Stats'!AF$3:AF$50, ISNUMBER(SEARCH($A28,'RR2 Player Stats'!$A$3:$A$50))),0)
+IFERROR(FILTER('RR3 Player Stats'!AF$3:AF$50, I"&amp;"SNUMBER(SEARCH($A28,'RR3 Player Stats'!$A$3:$A$50))),0)
+IFERROR(FILTER('RR4 Player Stats'!AF$3:AF$50, ISNUMBER(SEARCH($A28,'RR4 Player Stats'!$A$3:$A$50))),0)
+IFERROR(FILTER('RR5 Player Stats'!AF$3:AF$50, ISNUMBER(SEARCH($A28,'RR5 Player Stats'!$A$3:$A$"&amp;"50))),0)"),46.0)</f>
        <v>46</v>
      </c>
      <c r="N28" s="180">
        <f>IFERROR(__xludf.DUMMYFUNCTION("(IFERROR(FILTER('RR1 Player Stats'!AG$3:AG$50, ISNUMBER(SEARCH($A28,'RR1 Player Stats'!$A$3:$A$50))),0)
+IFERROR(FILTER('RR2 Player Stats'!AG$3:AG$50, ISNUMBER(SEARCH($A28,'RR2 Player Stats'!$A$3:$A$50))),0)
+IFERROR(FILTER('RR3 Player Stats'!AG$3:AG$50, "&amp;"ISNUMBER(SEARCH($A28,'RR3 Player Stats'!$A$3:$A$50))),0)
+IFERROR(FILTER('RR4 Player Stats'!AG$3:AG$50, ISNUMBER(SEARCH($A28,'RR4 Player Stats'!$A$3:$A$50))),0)
+IFERROR(FILTER('RR5 Player Stats'!AG$3:AG$50, ISNUMBER(SEARCH($A28,'RR5 Player Stats'!$A$3:$A"&amp;"$50))),0))/5"),0.254)</f>
        <v>0.254</v>
      </c>
      <c r="O28" s="55">
        <f>IFERROR(__xludf.DUMMYFUNCTION("IFERROR(FILTER('RR1 Player Stats'!AH$3:AH$50, ISNUMBER(SEARCH($A28,'RR1 Player Stats'!$A$3:$A$50))),0)
+IFERROR(FILTER('RR2 Player Stats'!AH$3:AH$50, ISNUMBER(SEARCH($A28,'RR2 Player Stats'!$A$3:$A$50))),0)
+IFERROR(FILTER('RR3 Player Stats'!AH$3:AH$50, I"&amp;"SNUMBER(SEARCH($A28,'RR3 Player Stats'!$A$3:$A$50))),0)
+IFERROR(FILTER('RR4 Player Stats'!AH$3:AH$50, ISNUMBER(SEARCH($A28,'RR4 Player Stats'!$A$3:$A$50))),0)
+IFERROR(FILTER('RR5 Player Stats'!AH$3:AH$50, ISNUMBER(SEARCH($A28,'RR5 Player Stats'!$A$3:$A$"&amp;"50))),0)"),18.0)</f>
        <v>18</v>
      </c>
      <c r="P28" s="57">
        <f>IFERROR(__xludf.DUMMYFUNCTION("IFERROR(FILTER('RR1 Player Stats'!AI$3:AI$50, ISNUMBER(SEARCH($A28,'RR1 Player Stats'!$A$3:$A$50))),0)
+IFERROR(FILTER('RR2 Player Stats'!AI$3:AI$50, ISNUMBER(SEARCH($A28,'RR2 Player Stats'!$A$3:$A$50))),0)
+IFERROR(FILTER('RR3 Player Stats'!AI$3:AI$50, I"&amp;"SNUMBER(SEARCH($A28,'RR3 Player Stats'!$A$3:$A$50))),0)
+IFERROR(FILTER('RR4 Player Stats'!AI$3:AI$50, ISNUMBER(SEARCH($A28,'RR4 Player Stats'!$A$3:$A$50))),0)
+IFERROR(FILTER('RR5 Player Stats'!AI$3:AI$50, ISNUMBER(SEARCH($A28,'RR5 Player Stats'!$A$3:$A$"&amp;"50))),0)"),12.0)</f>
        <v>12</v>
      </c>
      <c r="Q28" s="57">
        <f>IFERROR(__xludf.DUMMYFUNCTION("IFERROR(FILTER('RR1 Player Stats'!AJ$3:AJ$50, ISNUMBER(SEARCH($A28,'RR1 Player Stats'!$A$3:$A$50))),0)
+IFERROR(FILTER('RR2 Player Stats'!AJ$3:AJ$50, ISNUMBER(SEARCH($A28,'RR2 Player Stats'!$A$3:$A$50))),0)
+IFERROR(FILTER('RR3 Player Stats'!AJ$3:AJ$50, I"&amp;"SNUMBER(SEARCH($A28,'RR3 Player Stats'!$A$3:$A$50))),0)
+IFERROR(FILTER('RR4 Player Stats'!AJ$3:AJ$50, ISNUMBER(SEARCH($A28,'RR4 Player Stats'!$A$3:$A$50))),0)
+IFERROR(FILTER('RR5 Player Stats'!AJ$3:AJ$50, ISNUMBER(SEARCH($A28,'RR5 Player Stats'!$A$3:$A$"&amp;"50))),0)"),3.0)</f>
        <v>3</v>
      </c>
      <c r="R28" s="57">
        <f>IFERROR(__xludf.DUMMYFUNCTION("IFERROR(FILTER('RR1 Player Stats'!AK$3:AK$50, ISNUMBER(SEARCH($A28,'RR1 Player Stats'!$A$3:$A$50))),0)
+IFERROR(FILTER('RR2 Player Stats'!AK$3:AK$50, ISNUMBER(SEARCH($A28,'RR2 Player Stats'!$A$3:$A$50))),0)
+IFERROR(FILTER('RR3 Player Stats'!AK$3:AK$50, I"&amp;"SNUMBER(SEARCH($A28,'RR3 Player Stats'!$A$3:$A$50))),0)
+IFERROR(FILTER('RR4 Player Stats'!AK$3:AK$50, ISNUMBER(SEARCH($A28,'RR4 Player Stats'!$A$3:$A$50))),0)
+IFERROR(FILTER('RR5 Player Stats'!AK$3:AK$50, ISNUMBER(SEARCH($A28,'RR5 Player Stats'!$A$3:$A$"&amp;"50))),0)"),144.0)</f>
        <v>144</v>
      </c>
      <c r="S28" s="57">
        <f>IFERROR(__xludf.DUMMYFUNCTION("IFERROR(FILTER('RR1 Player Stats'!AL$3:AL$50, ISNUMBER(SEARCH($A28,'RR1 Player Stats'!$A$3:$A$50))),0)
+IFERROR(FILTER('RR2 Player Stats'!AL$3:AL$50, ISNUMBER(SEARCH($A28,'RR2 Player Stats'!$A$3:$A$50))),0)
+IFERROR(FILTER('RR3 Player Stats'!AL$3:AL$50, I"&amp;"SNUMBER(SEARCH($A28,'RR3 Player Stats'!$A$3:$A$50))),0)
+IFERROR(FILTER('RR4 Player Stats'!AL$3:AL$50, ISNUMBER(SEARCH($A28,'RR4 Player Stats'!$A$3:$A$50))),0)
+IFERROR(FILTER('RR5 Player Stats'!AL$3:AL$50, ISNUMBER(SEARCH($A28,'RR5 Player Stats'!$A$3:$A$"&amp;"50))),0)"),132.0)</f>
        <v>132</v>
      </c>
      <c r="T28" s="180">
        <f>IFERROR(__xludf.DUMMYFUNCTION("(IFERROR(FILTER('RR1 Player Stats'!AM$3:AM$50, ISNUMBER(SEARCH($A28,'RR1 Player Stats'!$A$3:$A$50))),0)
+IFERROR(FILTER('RR2 Player Stats'!AM$3:AM$50, ISNUMBER(SEARCH($A28,'RR2 Player Stats'!$A$3:$A$50))),0)
+IFERROR(FILTER('RR3 Player Stats'!AM$3:AM$50, "&amp;"ISNUMBER(SEARCH($A28,'RR3 Player Stats'!$A$3:$A$50))),0)
+IFERROR(FILTER('RR4 Player Stats'!AM$3:AM$50, ISNUMBER(SEARCH($A28,'RR4 Player Stats'!$A$3:$A$50))),0)
+IFERROR(FILTER('RR5 Player Stats'!AM$3:AM$50, ISNUMBER(SEARCH($A28,'RR5 Player Stats'!$A$3:$A"&amp;"$50))),0))/B28"),0.375)</f>
        <v>0.375</v>
      </c>
      <c r="U28" s="55">
        <f>IFERROR(__xludf.DUMMYFUNCTION("MEDIAN(IFERROR(FILTER('RR1 Player Stats'!AH$3:AH$50, ISNUMBER(SEARCH($A28,'RR1 Player Stats'!$A$3:$A$50))),0),IFERROR(FILTER('RR2 Player Stats'!AH$3:AH$50, ISNUMBER(SEARCH($A28,'RR2 Player Stats'!$A$3:$A$50))),0),IFERROR(FILTER('RR3 Player Stats'!AH$3:AH$"&amp;"50, ISNUMBER(SEARCH($A28,'RR3 Player Stats'!$A$3:$A$50))),0),IFERROR(FILTER('RR4 Player Stats'!AH$3:AH$50, ISNUMBER(SEARCH($A28,'RR4 Player Stats'!$A$3:$A$50))),0),IFERROR(FILTER('RR5 Player Stats'!AH$3:AH$50, ISNUMBER(SEARCH($A28,'RR5 Player Stats'!$A$3:"&amp;"$A$50))),0))"),3.0)</f>
        <v>3</v>
      </c>
      <c r="V28" s="57">
        <f>IFERROR(__xludf.DUMMYFUNCTION("MEDIAN(IFERROR(FILTER('RR1 Player Stats'!AI$3:AI$50, ISNUMBER(SEARCH($A28,'RR1 Player Stats'!$A$3:$A$50))),0),IFERROR(FILTER('RR2 Player Stats'!AI$3:AI$50, ISNUMBER(SEARCH($A28,'RR2 Player Stats'!$A$3:$A$50))),0),IFERROR(FILTER('RR3 Player Stats'!AI$3:AI$"&amp;"50, ISNUMBER(SEARCH($A28,'RR3 Player Stats'!$A$3:$A$50))),0),IFERROR(FILTER('RR4 Player Stats'!AI$3:AI$50, ISNUMBER(SEARCH($A28,'RR4 Player Stats'!$A$3:$A$50))),0),IFERROR(FILTER('RR5 Player Stats'!AI$3:AI$50, ISNUMBER(SEARCH($A28,'RR5 Player Stats'!$A$3:"&amp;"$A$50))),0))"),3.0)</f>
        <v>3</v>
      </c>
      <c r="W28" s="57">
        <f>IFERROR(__xludf.DUMMYFUNCTION("MEDIAN(IFERROR(FILTER('RR1 Player Stats'!AJ$3:AJ$50, ISNUMBER(SEARCH($A28,'RR1 Player Stats'!$A$3:$A$50))),0),IFERROR(FILTER('RR2 Player Stats'!AJ$3:AJ$50, ISNUMBER(SEARCH($A28,'RR2 Player Stats'!$A$3:$A$50))),0),IFERROR(FILTER('RR3 Player Stats'!AJ$3:AJ$"&amp;"50, ISNUMBER(SEARCH($A28,'RR3 Player Stats'!$A$3:$A$50))),0),IFERROR(FILTER('RR4 Player Stats'!AJ$3:AJ$50, ISNUMBER(SEARCH($A28,'RR4 Player Stats'!$A$3:$A$50))),0),IFERROR(FILTER('RR5 Player Stats'!AJ$3:AJ$50, ISNUMBER(SEARCH($A28,'RR5 Player Stats'!$A$3:"&amp;"$A$50))),0))"),0.0)</f>
        <v>0</v>
      </c>
      <c r="X28" s="57">
        <f>IFERROR(__xludf.DUMMYFUNCTION("MEDIAN(IFERROR(FILTER('RR1 Player Stats'!AK$3:AK$50, ISNUMBER(SEARCH($A28,'RR1 Player Stats'!$A$3:$A$50))),0),IFERROR(FILTER('RR2 Player Stats'!AK$3:AK$50, ISNUMBER(SEARCH($A28,'RR2 Player Stats'!$A$3:$A$50))),0),IFERROR(FILTER('RR3 Player Stats'!AK$3:AK$"&amp;"50, ISNUMBER(SEARCH($A28,'RR3 Player Stats'!$A$3:$A$50))),0),IFERROR(FILTER('RR4 Player Stats'!AK$3:AK$50, ISNUMBER(SEARCH($A28,'RR4 Player Stats'!$A$3:$A$50))),0),IFERROR(FILTER('RR5 Player Stats'!AK$3:AK$50, ISNUMBER(SEARCH($A28,'RR5 Player Stats'!$A$3:"&amp;"$A$50))),0))"),30.0)</f>
        <v>30</v>
      </c>
      <c r="Y28" s="57">
        <f>IFERROR(__xludf.DUMMYFUNCTION("MEDIAN(IFERROR(FILTER('RR1 Player Stats'!AL$3:AL$50, ISNUMBER(SEARCH($A28,'RR1 Player Stats'!$A$3:$A$50))),0),IFERROR(FILTER('RR2 Player Stats'!AL$3:AL$50, ISNUMBER(SEARCH($A28,'RR2 Player Stats'!$A$3:$A$50))),0),IFERROR(FILTER('RR3 Player Stats'!AL$3:AL$"&amp;"50, ISNUMBER(SEARCH($A28,'RR3 Player Stats'!$A$3:$A$50))),0),IFERROR(FILTER('RR4 Player Stats'!AL$3:AL$50, ISNUMBER(SEARCH($A28,'RR4 Player Stats'!$A$3:$A$50))),0),IFERROR(FILTER('RR5 Player Stats'!AL$3:AL$50, ISNUMBER(SEARCH($A28,'RR5 Player Stats'!$A$3:"&amp;"$A$50))),0))"),30.0)</f>
        <v>30</v>
      </c>
      <c r="Z28" s="180">
        <f>IFERROR(__xludf.DUMMYFUNCTION("MEDIAN(IFERROR(FILTER('RR1 Player Stats'!AM$3:AM$50, ISNUMBER(SEARCH($A28,'RR1 Player Stats'!$A$3:$A$50))),0),IFERROR(FILTER('RR2 Player Stats'!AM$3:AM$50, ISNUMBER(SEARCH($A28,'RR2 Player Stats'!$A$3:$A$50))),0),IFERROR(FILTER('RR3 Player Stats'!AM$3:AM$"&amp;"50, ISNUMBER(SEARCH($A28,'RR3 Player Stats'!$A$3:$A$50))),0),IFERROR(FILTER('RR4 Player Stats'!AM$3:AM$50, ISNUMBER(SEARCH($A28,'RR4 Player Stats'!$A$3:$A$50))),0),IFERROR(FILTER('RR5 Player Stats'!AM$3:AM$50, ISNUMBER(SEARCH($A28,'RR5 Player Stats'!$A$3:"&amp;"$A$50))),0))"),0.3)</f>
        <v>0.3</v>
      </c>
    </row>
    <row r="29">
      <c r="A29" s="29" t="s">
        <v>48</v>
      </c>
      <c r="B29" s="48">
        <f>COUNTIF('RR1 Player Stats'!$A$3:$A$50,$A29)+COUNTIF('RR2 Player Stats'!$A$3:$A$50,$A29)+COUNTIF('RR3 Player Stats'!$A$3:$A$50,$A29)+COUNTIF('RR4 Player Stats'!$A$3:$A$50,$A29)+COUNTIF('RR5 Player Stats'!$A$3:$A$50,$A29)</f>
        <v>5</v>
      </c>
      <c r="C29" s="55">
        <f>IFERROR(__xludf.DUMMYFUNCTION("IFERROR(FILTER('RR1 Player Stats'!V$3:V$50, ISNUMBER(SEARCH($A29,'RR1 Player Stats'!$A$3:$A$50))),0)
+IFERROR(FILTER('RR2 Player Stats'!V$3:V$50, ISNUMBER(SEARCH($A29,'RR2 Player Stats'!$A$3:$A$50))),0)
+IFERROR(FILTER('RR3 Player Stats'!V$3:V$50, ISNUMBE"&amp;"R(SEARCH($A29,'RR3 Player Stats'!$A$3:$A$50))),0)
+IFERROR(FILTER('RR4 Player Stats'!V$3:V$50, ISNUMBER(SEARCH($A29,'RR4 Player Stats'!$A$3:$A$50))),0)
+IFERROR(FILTER('RR5 Player Stats'!V$3:V$50, ISNUMBER(SEARCH($A29,'RR5 Player Stats'!$A$3:$A$50))),0)"),10.0)</f>
        <v>10</v>
      </c>
      <c r="D29" s="57">
        <f>IFERROR(__xludf.DUMMYFUNCTION("IFERROR(FILTER('RR1 Player Stats'!W$3:W$50, ISNUMBER(SEARCH($A29,'RR1 Player Stats'!$A$3:$A$50))),0)
+IFERROR(FILTER('RR2 Player Stats'!W$3:W$50, ISNUMBER(SEARCH($A29,'RR2 Player Stats'!$A$3:$A$50))),0)
+IFERROR(FILTER('RR3 Player Stats'!W$3:W$50, ISNUMBE"&amp;"R(SEARCH($A29,'RR3 Player Stats'!$A$3:$A$50))),0)
+IFERROR(FILTER('RR4 Player Stats'!W$3:W$50, ISNUMBER(SEARCH($A29,'RR4 Player Stats'!$A$3:$A$50))),0)
+IFERROR(FILTER('RR5 Player Stats'!W$3:W$50, ISNUMBER(SEARCH($A29,'RR5 Player Stats'!$A$3:$A$50))),0)"),5.0)</f>
        <v>5</v>
      </c>
      <c r="E29" s="57">
        <f>IFERROR(__xludf.DUMMYFUNCTION("IFERROR(FILTER('RR1 Player Stats'!X$3:X$50, ISNUMBER(SEARCH($A29,'RR1 Player Stats'!$A$3:$A$50))),0)
+IFERROR(FILTER('RR2 Player Stats'!X$3:X$50, ISNUMBER(SEARCH($A29,'RR2 Player Stats'!$A$3:$A$50))),0)
+IFERROR(FILTER('RR3 Player Stats'!X$3:X$50, ISNUMBE"&amp;"R(SEARCH($A29,'RR3 Player Stats'!$A$3:$A$50))),0)
+IFERROR(FILTER('RR4 Player Stats'!X$3:X$50, ISNUMBER(SEARCH($A29,'RR4 Player Stats'!$A$3:$A$50))),0)
+IFERROR(FILTER('RR5 Player Stats'!X$3:X$50, ISNUMBER(SEARCH($A29,'RR5 Player Stats'!$A$3:$A$50))),0)"),4.0)</f>
        <v>4</v>
      </c>
      <c r="F29" s="57">
        <f>IFERROR(__xludf.DUMMYFUNCTION("IFERROR(FILTER('RR1 Player Stats'!Y$3:Y$50, ISNUMBER(SEARCH($A29,'RR1 Player Stats'!$A$3:$A$50))),0)
+IFERROR(FILTER('RR2 Player Stats'!Y$3:Y$50, ISNUMBER(SEARCH($A29,'RR2 Player Stats'!$A$3:$A$50))),0)
+IFERROR(FILTER('RR3 Player Stats'!Y$3:Y$50, ISNUMBE"&amp;"R(SEARCH($A29,'RR3 Player Stats'!$A$3:$A$50))),0)
+IFERROR(FILTER('RR4 Player Stats'!Y$3:Y$50, ISNUMBER(SEARCH($A29,'RR4 Player Stats'!$A$3:$A$50))),0)
+IFERROR(FILTER('RR5 Player Stats'!Y$3:Y$50, ISNUMBER(SEARCH($A29,'RR5 Player Stats'!$A$3:$A$50))),0)"),70.0)</f>
        <v>70</v>
      </c>
      <c r="G29" s="57">
        <f>IFERROR(__xludf.DUMMYFUNCTION("IFERROR(FILTER('RR1 Player Stats'!Z$3:Z$50, ISNUMBER(SEARCH($A29,'RR1 Player Stats'!$A$3:$A$50))),0)
+IFERROR(FILTER('RR2 Player Stats'!Z$3:Z$50, ISNUMBER(SEARCH($A29,'RR2 Player Stats'!$A$3:$A$50))),0)
+IFERROR(FILTER('RR3 Player Stats'!Z$3:Z$50, ISNUMBE"&amp;"R(SEARCH($A29,'RR3 Player Stats'!$A$3:$A$50))),0)
+IFERROR(FILTER('RR4 Player Stats'!Z$3:Z$50, ISNUMBER(SEARCH($A29,'RR4 Player Stats'!$A$3:$A$50))),0)
+IFERROR(FILTER('RR5 Player Stats'!Z$3:Z$50, ISNUMBER(SEARCH($A29,'RR5 Player Stats'!$A$3:$A$50))),0)"),54.0)</f>
        <v>54</v>
      </c>
      <c r="H29" s="180">
        <f>IFERROR(__xludf.DUMMYFUNCTION("(IFERROR(FILTER('RR1 Player Stats'!AA$3:AA$50, ISNUMBER(SEARCH($A29,'RR1 Player Stats'!$A$3:$A$50))),0)
+IFERROR(FILTER('RR2 Player Stats'!AA$3:AA$50, ISNUMBER(SEARCH($A29,'RR2 Player Stats'!$A$3:$A$50))),0)
+IFERROR(FILTER('RR3 Player Stats'!AA$3:AA$50, "&amp;"ISNUMBER(SEARCH($A29,'RR3 Player Stats'!$A$3:$A$50))),0)
+IFERROR(FILTER('RR4 Player Stats'!AA$3:AA$50, ISNUMBER(SEARCH($A29,'RR4 Player Stats'!$A$3:$A$50))),0)
+IFERROR(FILTER('RR5 Player Stats'!AA$3:AA$50, ISNUMBER(SEARCH($A29,'RR5 Player Stats'!$A$3:$A"&amp;"$50))),0))/5"),0.25)</f>
        <v>0.25</v>
      </c>
      <c r="I29" s="55">
        <f>IFERROR(__xludf.DUMMYFUNCTION("IFERROR(FILTER('RR1 Player Stats'!AB$3:AB$50, ISNUMBER(SEARCH($A29,'RR1 Player Stats'!$A$3:$A$50))),0)
+IFERROR(FILTER('RR2 Player Stats'!AB$3:AB$50, ISNUMBER(SEARCH($A29,'RR2 Player Stats'!$A$3:$A$50))),0)
+IFERROR(FILTER('RR3 Player Stats'!AB$3:AB$50, I"&amp;"SNUMBER(SEARCH($A29,'RR3 Player Stats'!$A$3:$A$50))),0)
+IFERROR(FILTER('RR4 Player Stats'!AB$3:AB$50, ISNUMBER(SEARCH($A29,'RR4 Player Stats'!$A$3:$A$50))),0)
+IFERROR(FILTER('RR5 Player Stats'!AB$3:AB$50, ISNUMBER(SEARCH($A29,'RR5 Player Stats'!$A$3:$A$"&amp;"50))),0)"),8.0)</f>
        <v>8</v>
      </c>
      <c r="J29" s="57">
        <f>IFERROR(__xludf.DUMMYFUNCTION("IFERROR(FILTER('RR1 Player Stats'!AC$3:AC$50, ISNUMBER(SEARCH($A29,'RR1 Player Stats'!$A$3:$A$50))),0)
+IFERROR(FILTER('RR2 Player Stats'!AC$3:AC$50, ISNUMBER(SEARCH($A29,'RR2 Player Stats'!$A$3:$A$50))),0)
+IFERROR(FILTER('RR3 Player Stats'!AC$3:AC$50, I"&amp;"SNUMBER(SEARCH($A29,'RR3 Player Stats'!$A$3:$A$50))),0)
+IFERROR(FILTER('RR4 Player Stats'!AC$3:AC$50, ISNUMBER(SEARCH($A29,'RR4 Player Stats'!$A$3:$A$50))),0)
+IFERROR(FILTER('RR5 Player Stats'!AC$3:AC$50, ISNUMBER(SEARCH($A29,'RR5 Player Stats'!$A$3:$A$"&amp;"50))),0)"),5.0)</f>
        <v>5</v>
      </c>
      <c r="K29" s="57">
        <f>IFERROR(__xludf.DUMMYFUNCTION("IFERROR(FILTER('RR1 Player Stats'!AD$3:AD$50, ISNUMBER(SEARCH($A29,'RR1 Player Stats'!$A$3:$A$50))),0)
+IFERROR(FILTER('RR2 Player Stats'!AD$3:AD$50, ISNUMBER(SEARCH($A29,'RR2 Player Stats'!$A$3:$A$50))),0)
+IFERROR(FILTER('RR3 Player Stats'!AD$3:AD$50, I"&amp;"SNUMBER(SEARCH($A29,'RR3 Player Stats'!$A$3:$A$50))),0)
+IFERROR(FILTER('RR4 Player Stats'!AD$3:AD$50, ISNUMBER(SEARCH($A29,'RR4 Player Stats'!$A$3:$A$50))),0)
+IFERROR(FILTER('RR5 Player Stats'!AD$3:AD$50, ISNUMBER(SEARCH($A29,'RR5 Player Stats'!$A$3:$A$"&amp;"50))),0)"),3.0)</f>
        <v>3</v>
      </c>
      <c r="L29" s="57">
        <f>IFERROR(__xludf.DUMMYFUNCTION("IFERROR(FILTER('RR1 Player Stats'!AE$3:AE$50, ISNUMBER(SEARCH($A29,'RR1 Player Stats'!$A$3:$A$50))),0)
+IFERROR(FILTER('RR2 Player Stats'!AE$3:AE$50, ISNUMBER(SEARCH($A29,'RR2 Player Stats'!$A$3:$A$50))),0)
+IFERROR(FILTER('RR3 Player Stats'!AE$3:AE$50, I"&amp;"SNUMBER(SEARCH($A29,'RR3 Player Stats'!$A$3:$A$50))),0)
+IFERROR(FILTER('RR4 Player Stats'!AE$3:AE$50, ISNUMBER(SEARCH($A29,'RR4 Player Stats'!$A$3:$A$50))),0)
+IFERROR(FILTER('RR5 Player Stats'!AE$3:AE$50, ISNUMBER(SEARCH($A29,'RR5 Player Stats'!$A$3:$A$"&amp;"50))),0)"),62.0)</f>
        <v>62</v>
      </c>
      <c r="M29" s="57">
        <f>IFERROR(__xludf.DUMMYFUNCTION("IFERROR(FILTER('RR1 Player Stats'!AF$3:AF$50, ISNUMBER(SEARCH($A29,'RR1 Player Stats'!$A$3:$A$50))),0)
+IFERROR(FILTER('RR2 Player Stats'!AF$3:AF$50, ISNUMBER(SEARCH($A29,'RR2 Player Stats'!$A$3:$A$50))),0)
+IFERROR(FILTER('RR3 Player Stats'!AF$3:AF$50, I"&amp;"SNUMBER(SEARCH($A29,'RR3 Player Stats'!$A$3:$A$50))),0)
+IFERROR(FILTER('RR4 Player Stats'!AF$3:AF$50, ISNUMBER(SEARCH($A29,'RR4 Player Stats'!$A$3:$A$50))),0)
+IFERROR(FILTER('RR5 Player Stats'!AF$3:AF$50, ISNUMBER(SEARCH($A29,'RR5 Player Stats'!$A$3:$A$"&amp;"50))),0)"),50.0)</f>
        <v>50</v>
      </c>
      <c r="N29" s="180">
        <f>IFERROR(__xludf.DUMMYFUNCTION("(IFERROR(FILTER('RR1 Player Stats'!AG$3:AG$50, ISNUMBER(SEARCH($A29,'RR1 Player Stats'!$A$3:$A$50))),0)
+IFERROR(FILTER('RR2 Player Stats'!AG$3:AG$50, ISNUMBER(SEARCH($A29,'RR2 Player Stats'!$A$3:$A$50))),0)
+IFERROR(FILTER('RR3 Player Stats'!AG$3:AG$50, "&amp;"ISNUMBER(SEARCH($A29,'RR3 Player Stats'!$A$3:$A$50))),0)
+IFERROR(FILTER('RR4 Player Stats'!AG$3:AG$50, ISNUMBER(SEARCH($A29,'RR4 Player Stats'!$A$3:$A$50))),0)
+IFERROR(FILTER('RR5 Player Stats'!AG$3:AG$50, ISNUMBER(SEARCH($A29,'RR5 Player Stats'!$A$3:$A"&amp;"$50))),0))/5"),0.328)</f>
        <v>0.328</v>
      </c>
      <c r="O29" s="55">
        <f>IFERROR(__xludf.DUMMYFUNCTION("IFERROR(FILTER('RR1 Player Stats'!AH$3:AH$50, ISNUMBER(SEARCH($A29,'RR1 Player Stats'!$A$3:$A$50))),0)
+IFERROR(FILTER('RR2 Player Stats'!AH$3:AH$50, ISNUMBER(SEARCH($A29,'RR2 Player Stats'!$A$3:$A$50))),0)
+IFERROR(FILTER('RR3 Player Stats'!AH$3:AH$50, I"&amp;"SNUMBER(SEARCH($A29,'RR3 Player Stats'!$A$3:$A$50))),0)
+IFERROR(FILTER('RR4 Player Stats'!AH$3:AH$50, ISNUMBER(SEARCH($A29,'RR4 Player Stats'!$A$3:$A$50))),0)
+IFERROR(FILTER('RR5 Player Stats'!AH$3:AH$50, ISNUMBER(SEARCH($A29,'RR5 Player Stats'!$A$3:$A$"&amp;"50))),0)"),18.0)</f>
        <v>18</v>
      </c>
      <c r="P29" s="57">
        <f>IFERROR(__xludf.DUMMYFUNCTION("IFERROR(FILTER('RR1 Player Stats'!AI$3:AI$50, ISNUMBER(SEARCH($A29,'RR1 Player Stats'!$A$3:$A$50))),0)
+IFERROR(FILTER('RR2 Player Stats'!AI$3:AI$50, ISNUMBER(SEARCH($A29,'RR2 Player Stats'!$A$3:$A$50))),0)
+IFERROR(FILTER('RR3 Player Stats'!AI$3:AI$50, I"&amp;"SNUMBER(SEARCH($A29,'RR3 Player Stats'!$A$3:$A$50))),0)
+IFERROR(FILTER('RR4 Player Stats'!AI$3:AI$50, ISNUMBER(SEARCH($A29,'RR4 Player Stats'!$A$3:$A$50))),0)
+IFERROR(FILTER('RR5 Player Stats'!AI$3:AI$50, ISNUMBER(SEARCH($A29,'RR5 Player Stats'!$A$3:$A$"&amp;"50))),0)"),10.0)</f>
        <v>10</v>
      </c>
      <c r="Q29" s="57">
        <f>IFERROR(__xludf.DUMMYFUNCTION("IFERROR(FILTER('RR1 Player Stats'!AJ$3:AJ$50, ISNUMBER(SEARCH($A29,'RR1 Player Stats'!$A$3:$A$50))),0)
+IFERROR(FILTER('RR2 Player Stats'!AJ$3:AJ$50, ISNUMBER(SEARCH($A29,'RR2 Player Stats'!$A$3:$A$50))),0)
+IFERROR(FILTER('RR3 Player Stats'!AJ$3:AJ$50, I"&amp;"SNUMBER(SEARCH($A29,'RR3 Player Stats'!$A$3:$A$50))),0)
+IFERROR(FILTER('RR4 Player Stats'!AJ$3:AJ$50, ISNUMBER(SEARCH($A29,'RR4 Player Stats'!$A$3:$A$50))),0)
+IFERROR(FILTER('RR5 Player Stats'!AJ$3:AJ$50, ISNUMBER(SEARCH($A29,'RR5 Player Stats'!$A$3:$A$"&amp;"50))),0)"),7.0)</f>
        <v>7</v>
      </c>
      <c r="R29" s="57">
        <f>IFERROR(__xludf.DUMMYFUNCTION("IFERROR(FILTER('RR1 Player Stats'!AK$3:AK$50, ISNUMBER(SEARCH($A29,'RR1 Player Stats'!$A$3:$A$50))),0)
+IFERROR(FILTER('RR2 Player Stats'!AK$3:AK$50, ISNUMBER(SEARCH($A29,'RR2 Player Stats'!$A$3:$A$50))),0)
+IFERROR(FILTER('RR3 Player Stats'!AK$3:AK$50, I"&amp;"SNUMBER(SEARCH($A29,'RR3 Player Stats'!$A$3:$A$50))),0)
+IFERROR(FILTER('RR4 Player Stats'!AK$3:AK$50, ISNUMBER(SEARCH($A29,'RR4 Player Stats'!$A$3:$A$50))),0)
+IFERROR(FILTER('RR5 Player Stats'!AK$3:AK$50, ISNUMBER(SEARCH($A29,'RR5 Player Stats'!$A$3:$A$"&amp;"50))),0)"),132.0)</f>
        <v>132</v>
      </c>
      <c r="S29" s="57">
        <f>IFERROR(__xludf.DUMMYFUNCTION("IFERROR(FILTER('RR1 Player Stats'!AL$3:AL$50, ISNUMBER(SEARCH($A29,'RR1 Player Stats'!$A$3:$A$50))),0)
+IFERROR(FILTER('RR2 Player Stats'!AL$3:AL$50, ISNUMBER(SEARCH($A29,'RR2 Player Stats'!$A$3:$A$50))),0)
+IFERROR(FILTER('RR3 Player Stats'!AL$3:AL$50, I"&amp;"SNUMBER(SEARCH($A29,'RR3 Player Stats'!$A$3:$A$50))),0)
+IFERROR(FILTER('RR4 Player Stats'!AL$3:AL$50, ISNUMBER(SEARCH($A29,'RR4 Player Stats'!$A$3:$A$50))),0)
+IFERROR(FILTER('RR5 Player Stats'!AL$3:AL$50, ISNUMBER(SEARCH($A29,'RR5 Player Stats'!$A$3:$A$"&amp;"50))),0)"),104.0)</f>
        <v>104</v>
      </c>
      <c r="T29" s="180">
        <f>IFERROR(__xludf.DUMMYFUNCTION("(IFERROR(FILTER('RR1 Player Stats'!AM$3:AM$50, ISNUMBER(SEARCH($A29,'RR1 Player Stats'!$A$3:$A$50))),0)
+IFERROR(FILTER('RR2 Player Stats'!AM$3:AM$50, ISNUMBER(SEARCH($A29,'RR2 Player Stats'!$A$3:$A$50))),0)
+IFERROR(FILTER('RR3 Player Stats'!AM$3:AM$50, "&amp;"ISNUMBER(SEARCH($A29,'RR3 Player Stats'!$A$3:$A$50))),0)
+IFERROR(FILTER('RR4 Player Stats'!AM$3:AM$50, ISNUMBER(SEARCH($A29,'RR4 Player Stats'!$A$3:$A$50))),0)
+IFERROR(FILTER('RR5 Player Stats'!AM$3:AM$50, ISNUMBER(SEARCH($A29,'RR5 Player Stats'!$A$3:$A"&amp;"$50))),0))/B29"),0.27999999999999997)</f>
        <v>0.28</v>
      </c>
      <c r="U29" s="55">
        <f>IFERROR(__xludf.DUMMYFUNCTION("MEDIAN(IFERROR(FILTER('RR1 Player Stats'!AH$3:AH$50, ISNUMBER(SEARCH($A29,'RR1 Player Stats'!$A$3:$A$50))),0),IFERROR(FILTER('RR2 Player Stats'!AH$3:AH$50, ISNUMBER(SEARCH($A29,'RR2 Player Stats'!$A$3:$A$50))),0),IFERROR(FILTER('RR3 Player Stats'!AH$3:AH$"&amp;"50, ISNUMBER(SEARCH($A29,'RR3 Player Stats'!$A$3:$A$50))),0),IFERROR(FILTER('RR4 Player Stats'!AH$3:AH$50, ISNUMBER(SEARCH($A29,'RR4 Player Stats'!$A$3:$A$50))),0),IFERROR(FILTER('RR5 Player Stats'!AH$3:AH$50, ISNUMBER(SEARCH($A29,'RR5 Player Stats'!$A$3:"&amp;"$A$50))),0))"),3.0)</f>
        <v>3</v>
      </c>
      <c r="V29" s="57">
        <f>IFERROR(__xludf.DUMMYFUNCTION("MEDIAN(IFERROR(FILTER('RR1 Player Stats'!AI$3:AI$50, ISNUMBER(SEARCH($A29,'RR1 Player Stats'!$A$3:$A$50))),0),IFERROR(FILTER('RR2 Player Stats'!AI$3:AI$50, ISNUMBER(SEARCH($A29,'RR2 Player Stats'!$A$3:$A$50))),0),IFERROR(FILTER('RR3 Player Stats'!AI$3:AI$"&amp;"50, ISNUMBER(SEARCH($A29,'RR3 Player Stats'!$A$3:$A$50))),0),IFERROR(FILTER('RR4 Player Stats'!AI$3:AI$50, ISNUMBER(SEARCH($A29,'RR4 Player Stats'!$A$3:$A$50))),0),IFERROR(FILTER('RR5 Player Stats'!AI$3:AI$50, ISNUMBER(SEARCH($A29,'RR5 Player Stats'!$A$3:"&amp;"$A$50))),0))"),2.0)</f>
        <v>2</v>
      </c>
      <c r="W29" s="57">
        <f>IFERROR(__xludf.DUMMYFUNCTION("MEDIAN(IFERROR(FILTER('RR1 Player Stats'!AJ$3:AJ$50, ISNUMBER(SEARCH($A29,'RR1 Player Stats'!$A$3:$A$50))),0),IFERROR(FILTER('RR2 Player Stats'!AJ$3:AJ$50, ISNUMBER(SEARCH($A29,'RR2 Player Stats'!$A$3:$A$50))),0),IFERROR(FILTER('RR3 Player Stats'!AJ$3:AJ$"&amp;"50, ISNUMBER(SEARCH($A29,'RR3 Player Stats'!$A$3:$A$50))),0),IFERROR(FILTER('RR4 Player Stats'!AJ$3:AJ$50, ISNUMBER(SEARCH($A29,'RR4 Player Stats'!$A$3:$A$50))),0),IFERROR(FILTER('RR5 Player Stats'!AJ$3:AJ$50, ISNUMBER(SEARCH($A29,'RR5 Player Stats'!$A$3:"&amp;"$A$50))),0))"),1.0)</f>
        <v>1</v>
      </c>
      <c r="X29" s="57">
        <f>IFERROR(__xludf.DUMMYFUNCTION("MEDIAN(IFERROR(FILTER('RR1 Player Stats'!AK$3:AK$50, ISNUMBER(SEARCH($A29,'RR1 Player Stats'!$A$3:$A$50))),0),IFERROR(FILTER('RR2 Player Stats'!AK$3:AK$50, ISNUMBER(SEARCH($A29,'RR2 Player Stats'!$A$3:$A$50))),0),IFERROR(FILTER('RR3 Player Stats'!AK$3:AK$"&amp;"50, ISNUMBER(SEARCH($A29,'RR3 Player Stats'!$A$3:$A$50))),0),IFERROR(FILTER('RR4 Player Stats'!AK$3:AK$50, ISNUMBER(SEARCH($A29,'RR4 Player Stats'!$A$3:$A$50))),0),IFERROR(FILTER('RR5 Player Stats'!AK$3:AK$50, ISNUMBER(SEARCH($A29,'RR5 Player Stats'!$A$3:"&amp;"$A$50))),0))"),28.0)</f>
        <v>28</v>
      </c>
      <c r="Y29" s="57">
        <f>IFERROR(__xludf.DUMMYFUNCTION("MEDIAN(IFERROR(FILTER('RR1 Player Stats'!AL$3:AL$50, ISNUMBER(SEARCH($A29,'RR1 Player Stats'!$A$3:$A$50))),0),IFERROR(FILTER('RR2 Player Stats'!AL$3:AL$50, ISNUMBER(SEARCH($A29,'RR2 Player Stats'!$A$3:$A$50))),0),IFERROR(FILTER('RR3 Player Stats'!AL$3:AL$"&amp;"50, ISNUMBER(SEARCH($A29,'RR3 Player Stats'!$A$3:$A$50))),0),IFERROR(FILTER('RR4 Player Stats'!AL$3:AL$50, ISNUMBER(SEARCH($A29,'RR4 Player Stats'!$A$3:$A$50))),0),IFERROR(FILTER('RR5 Player Stats'!AL$3:AL$50, ISNUMBER(SEARCH($A29,'RR5 Player Stats'!$A$3:"&amp;"$A$50))),0))"),24.0)</f>
        <v>24</v>
      </c>
      <c r="Z29" s="180">
        <f>IFERROR(__xludf.DUMMYFUNCTION("MEDIAN(IFERROR(FILTER('RR1 Player Stats'!AM$3:AM$50, ISNUMBER(SEARCH($A29,'RR1 Player Stats'!$A$3:$A$50))),0),IFERROR(FILTER('RR2 Player Stats'!AM$3:AM$50, ISNUMBER(SEARCH($A29,'RR2 Player Stats'!$A$3:$A$50))),0),IFERROR(FILTER('RR3 Player Stats'!AM$3:AM$"&amp;"50, ISNUMBER(SEARCH($A29,'RR3 Player Stats'!$A$3:$A$50))),0),IFERROR(FILTER('RR4 Player Stats'!AM$3:AM$50, ISNUMBER(SEARCH($A29,'RR4 Player Stats'!$A$3:$A$50))),0),IFERROR(FILTER('RR5 Player Stats'!AM$3:AM$50, ISNUMBER(SEARCH($A29,'RR5 Player Stats'!$A$3:"&amp;"$A$50))),0))"),0.35)</f>
        <v>0.35</v>
      </c>
    </row>
    <row r="30">
      <c r="A30" s="29" t="s">
        <v>42</v>
      </c>
      <c r="B30" s="48">
        <f>COUNTIF('RR1 Player Stats'!$A$3:$A$50,$A30)+COUNTIF('RR2 Player Stats'!$A$3:$A$50,$A30)+COUNTIF('RR3 Player Stats'!$A$3:$A$50,$A30)+COUNTIF('RR4 Player Stats'!$A$3:$A$50,$A30)+COUNTIF('RR5 Player Stats'!$A$3:$A$50,$A30)</f>
        <v>5</v>
      </c>
      <c r="C30" s="55">
        <f>IFERROR(__xludf.DUMMYFUNCTION("IFERROR(FILTER('RR1 Player Stats'!V$3:V$50, ISNUMBER(SEARCH($A30,'RR1 Player Stats'!$A$3:$A$50))),0)
+IFERROR(FILTER('RR2 Player Stats'!V$3:V$50, ISNUMBER(SEARCH($A30,'RR2 Player Stats'!$A$3:$A$50))),0)
+IFERROR(FILTER('RR3 Player Stats'!V$3:V$50, ISNUMBE"&amp;"R(SEARCH($A30,'RR3 Player Stats'!$A$3:$A$50))),0)
+IFERROR(FILTER('RR4 Player Stats'!V$3:V$50, ISNUMBER(SEARCH($A30,'RR4 Player Stats'!$A$3:$A$50))),0)
+IFERROR(FILTER('RR5 Player Stats'!V$3:V$50, ISNUMBER(SEARCH($A30,'RR5 Player Stats'!$A$3:$A$50))),0)"),14.0)</f>
        <v>14</v>
      </c>
      <c r="D30" s="57">
        <f>IFERROR(__xludf.DUMMYFUNCTION("IFERROR(FILTER('RR1 Player Stats'!W$3:W$50, ISNUMBER(SEARCH($A30,'RR1 Player Stats'!$A$3:$A$50))),0)
+IFERROR(FILTER('RR2 Player Stats'!W$3:W$50, ISNUMBER(SEARCH($A30,'RR2 Player Stats'!$A$3:$A$50))),0)
+IFERROR(FILTER('RR3 Player Stats'!W$3:W$50, ISNUMBE"&amp;"R(SEARCH($A30,'RR3 Player Stats'!$A$3:$A$50))),0)
+IFERROR(FILTER('RR4 Player Stats'!W$3:W$50, ISNUMBER(SEARCH($A30,'RR4 Player Stats'!$A$3:$A$50))),0)
+IFERROR(FILTER('RR5 Player Stats'!W$3:W$50, ISNUMBER(SEARCH($A30,'RR5 Player Stats'!$A$3:$A$50))),0)"),1.0)</f>
        <v>1</v>
      </c>
      <c r="E30" s="57">
        <f>IFERROR(__xludf.DUMMYFUNCTION("IFERROR(FILTER('RR1 Player Stats'!X$3:X$50, ISNUMBER(SEARCH($A30,'RR1 Player Stats'!$A$3:$A$50))),0)
+IFERROR(FILTER('RR2 Player Stats'!X$3:X$50, ISNUMBER(SEARCH($A30,'RR2 Player Stats'!$A$3:$A$50))),0)
+IFERROR(FILTER('RR3 Player Stats'!X$3:X$50, ISNUMBE"&amp;"R(SEARCH($A30,'RR3 Player Stats'!$A$3:$A$50))),0)
+IFERROR(FILTER('RR4 Player Stats'!X$3:X$50, ISNUMBER(SEARCH($A30,'RR4 Player Stats'!$A$3:$A$50))),0)
+IFERROR(FILTER('RR5 Player Stats'!X$3:X$50, ISNUMBER(SEARCH($A30,'RR5 Player Stats'!$A$3:$A$50))),0)"),2.0)</f>
        <v>2</v>
      </c>
      <c r="F30" s="57">
        <f>IFERROR(__xludf.DUMMYFUNCTION("IFERROR(FILTER('RR1 Player Stats'!Y$3:Y$50, ISNUMBER(SEARCH($A30,'RR1 Player Stats'!$A$3:$A$50))),0)
+IFERROR(FILTER('RR2 Player Stats'!Y$3:Y$50, ISNUMBER(SEARCH($A30,'RR2 Player Stats'!$A$3:$A$50))),0)
+IFERROR(FILTER('RR3 Player Stats'!Y$3:Y$50, ISNUMBE"&amp;"R(SEARCH($A30,'RR3 Player Stats'!$A$3:$A$50))),0)
+IFERROR(FILTER('RR4 Player Stats'!Y$3:Y$50, ISNUMBER(SEARCH($A30,'RR4 Player Stats'!$A$3:$A$50))),0)
+IFERROR(FILTER('RR5 Player Stats'!Y$3:Y$50, ISNUMBER(SEARCH($A30,'RR5 Player Stats'!$A$3:$A$50))),0)"),62.0)</f>
        <v>62</v>
      </c>
      <c r="G30" s="57">
        <f>IFERROR(__xludf.DUMMYFUNCTION("IFERROR(FILTER('RR1 Player Stats'!Z$3:Z$50, ISNUMBER(SEARCH($A30,'RR1 Player Stats'!$A$3:$A$50))),0)
+IFERROR(FILTER('RR2 Player Stats'!Z$3:Z$50, ISNUMBER(SEARCH($A30,'RR2 Player Stats'!$A$3:$A$50))),0)
+IFERROR(FILTER('RR3 Player Stats'!Z$3:Z$50, ISNUMBE"&amp;"R(SEARCH($A30,'RR3 Player Stats'!$A$3:$A$50))),0)
+IFERROR(FILTER('RR4 Player Stats'!Z$3:Z$50, ISNUMBER(SEARCH($A30,'RR4 Player Stats'!$A$3:$A$50))),0)
+IFERROR(FILTER('RR5 Player Stats'!Z$3:Z$50, ISNUMBER(SEARCH($A30,'RR5 Player Stats'!$A$3:$A$50))),0)"),54.0)</f>
        <v>54</v>
      </c>
      <c r="H30" s="180">
        <f>IFERROR(__xludf.DUMMYFUNCTION("(IFERROR(FILTER('RR1 Player Stats'!AA$3:AA$50, ISNUMBER(SEARCH($A30,'RR1 Player Stats'!$A$3:$A$50))),0)
+IFERROR(FILTER('RR2 Player Stats'!AA$3:AA$50, ISNUMBER(SEARCH($A30,'RR2 Player Stats'!$A$3:$A$50))),0)
+IFERROR(FILTER('RR3 Player Stats'!AA$3:AA$50, "&amp;"ISNUMBER(SEARCH($A30,'RR3 Player Stats'!$A$3:$A$50))),0)
+IFERROR(FILTER('RR4 Player Stats'!AA$3:AA$50, ISNUMBER(SEARCH($A30,'RR4 Player Stats'!$A$3:$A$50))),0)
+IFERROR(FILTER('RR5 Player Stats'!AA$3:AA$50, ISNUMBER(SEARCH($A30,'RR5 Player Stats'!$A$3:$A"&amp;"$50))),0))/5"),0.248)</f>
        <v>0.248</v>
      </c>
      <c r="I30" s="55">
        <f>IFERROR(__xludf.DUMMYFUNCTION("IFERROR(FILTER('RR1 Player Stats'!AB$3:AB$50, ISNUMBER(SEARCH($A30,'RR1 Player Stats'!$A$3:$A$50))),0)
+IFERROR(FILTER('RR2 Player Stats'!AB$3:AB$50, ISNUMBER(SEARCH($A30,'RR2 Player Stats'!$A$3:$A$50))),0)
+IFERROR(FILTER('RR3 Player Stats'!AB$3:AB$50, I"&amp;"SNUMBER(SEARCH($A30,'RR3 Player Stats'!$A$3:$A$50))),0)
+IFERROR(FILTER('RR4 Player Stats'!AB$3:AB$50, ISNUMBER(SEARCH($A30,'RR4 Player Stats'!$A$3:$A$50))),0)
+IFERROR(FILTER('RR5 Player Stats'!AB$3:AB$50, ISNUMBER(SEARCH($A30,'RR5 Player Stats'!$A$3:$A$"&amp;"50))),0)"),11.0)</f>
        <v>11</v>
      </c>
      <c r="J30" s="57">
        <f>IFERROR(__xludf.DUMMYFUNCTION("IFERROR(FILTER('RR1 Player Stats'!AC$3:AC$50, ISNUMBER(SEARCH($A30,'RR1 Player Stats'!$A$3:$A$50))),0)
+IFERROR(FILTER('RR2 Player Stats'!AC$3:AC$50, ISNUMBER(SEARCH($A30,'RR2 Player Stats'!$A$3:$A$50))),0)
+IFERROR(FILTER('RR3 Player Stats'!AC$3:AC$50, I"&amp;"SNUMBER(SEARCH($A30,'RR3 Player Stats'!$A$3:$A$50))),0)
+IFERROR(FILTER('RR4 Player Stats'!AC$3:AC$50, ISNUMBER(SEARCH($A30,'RR4 Player Stats'!$A$3:$A$50))),0)
+IFERROR(FILTER('RR5 Player Stats'!AC$3:AC$50, ISNUMBER(SEARCH($A30,'RR5 Player Stats'!$A$3:$A$"&amp;"50))),0)"),3.0)</f>
        <v>3</v>
      </c>
      <c r="K30" s="57">
        <f>IFERROR(__xludf.DUMMYFUNCTION("IFERROR(FILTER('RR1 Player Stats'!AD$3:AD$50, ISNUMBER(SEARCH($A30,'RR1 Player Stats'!$A$3:$A$50))),0)
+IFERROR(FILTER('RR2 Player Stats'!AD$3:AD$50, ISNUMBER(SEARCH($A30,'RR2 Player Stats'!$A$3:$A$50))),0)
+IFERROR(FILTER('RR3 Player Stats'!AD$3:AD$50, I"&amp;"SNUMBER(SEARCH($A30,'RR3 Player Stats'!$A$3:$A$50))),0)
+IFERROR(FILTER('RR4 Player Stats'!AD$3:AD$50, ISNUMBER(SEARCH($A30,'RR4 Player Stats'!$A$3:$A$50))),0)
+IFERROR(FILTER('RR5 Player Stats'!AD$3:AD$50, ISNUMBER(SEARCH($A30,'RR5 Player Stats'!$A$3:$A$"&amp;"50))),0)"),2.0)</f>
        <v>2</v>
      </c>
      <c r="L30" s="57">
        <f>IFERROR(__xludf.DUMMYFUNCTION("IFERROR(FILTER('RR1 Player Stats'!AE$3:AE$50, ISNUMBER(SEARCH($A30,'RR1 Player Stats'!$A$3:$A$50))),0)
+IFERROR(FILTER('RR2 Player Stats'!AE$3:AE$50, ISNUMBER(SEARCH($A30,'RR2 Player Stats'!$A$3:$A$50))),0)
+IFERROR(FILTER('RR3 Player Stats'!AE$3:AE$50, I"&amp;"SNUMBER(SEARCH($A30,'RR3 Player Stats'!$A$3:$A$50))),0)
+IFERROR(FILTER('RR4 Player Stats'!AE$3:AE$50, ISNUMBER(SEARCH($A30,'RR4 Player Stats'!$A$3:$A$50))),0)
+IFERROR(FILTER('RR5 Player Stats'!AE$3:AE$50, ISNUMBER(SEARCH($A30,'RR5 Player Stats'!$A$3:$A$"&amp;"50))),0)"),62.0)</f>
        <v>62</v>
      </c>
      <c r="M30" s="57">
        <f>IFERROR(__xludf.DUMMYFUNCTION("IFERROR(FILTER('RR1 Player Stats'!AF$3:AF$50, ISNUMBER(SEARCH($A30,'RR1 Player Stats'!$A$3:$A$50))),0)
+IFERROR(FILTER('RR2 Player Stats'!AF$3:AF$50, ISNUMBER(SEARCH($A30,'RR2 Player Stats'!$A$3:$A$50))),0)
+IFERROR(FILTER('RR3 Player Stats'!AF$3:AF$50, I"&amp;"SNUMBER(SEARCH($A30,'RR3 Player Stats'!$A$3:$A$50))),0)
+IFERROR(FILTER('RR4 Player Stats'!AF$3:AF$50, ISNUMBER(SEARCH($A30,'RR4 Player Stats'!$A$3:$A$50))),0)
+IFERROR(FILTER('RR5 Player Stats'!AF$3:AF$50, ISNUMBER(SEARCH($A30,'RR5 Player Stats'!$A$3:$A$"&amp;"50))),0)"),54.0)</f>
        <v>54</v>
      </c>
      <c r="N30" s="180">
        <f>IFERROR(__xludf.DUMMYFUNCTION("(IFERROR(FILTER('RR1 Player Stats'!AG$3:AG$50, ISNUMBER(SEARCH($A30,'RR1 Player Stats'!$A$3:$A$50))),0)
+IFERROR(FILTER('RR2 Player Stats'!AG$3:AG$50, ISNUMBER(SEARCH($A30,'RR2 Player Stats'!$A$3:$A$50))),0)
+IFERROR(FILTER('RR3 Player Stats'!AG$3:AG$50, "&amp;"ISNUMBER(SEARCH($A30,'RR3 Player Stats'!$A$3:$A$50))),0)
+IFERROR(FILTER('RR4 Player Stats'!AG$3:AG$50, ISNUMBER(SEARCH($A30,'RR4 Player Stats'!$A$3:$A$50))),0)
+IFERROR(FILTER('RR5 Player Stats'!AG$3:AG$50, ISNUMBER(SEARCH($A30,'RR5 Player Stats'!$A$3:$A"&amp;"$50))),0))/5"),0.352)</f>
        <v>0.352</v>
      </c>
      <c r="O30" s="55">
        <f>IFERROR(__xludf.DUMMYFUNCTION("IFERROR(FILTER('RR1 Player Stats'!AH$3:AH$50, ISNUMBER(SEARCH($A30,'RR1 Player Stats'!$A$3:$A$50))),0)
+IFERROR(FILTER('RR2 Player Stats'!AH$3:AH$50, ISNUMBER(SEARCH($A30,'RR2 Player Stats'!$A$3:$A$50))),0)
+IFERROR(FILTER('RR3 Player Stats'!AH$3:AH$50, I"&amp;"SNUMBER(SEARCH($A30,'RR3 Player Stats'!$A$3:$A$50))),0)
+IFERROR(FILTER('RR4 Player Stats'!AH$3:AH$50, ISNUMBER(SEARCH($A30,'RR4 Player Stats'!$A$3:$A$50))),0)
+IFERROR(FILTER('RR5 Player Stats'!AH$3:AH$50, ISNUMBER(SEARCH($A30,'RR5 Player Stats'!$A$3:$A$"&amp;"50))),0)"),25.0)</f>
        <v>25</v>
      </c>
      <c r="P30" s="57">
        <f>IFERROR(__xludf.DUMMYFUNCTION("IFERROR(FILTER('RR1 Player Stats'!AI$3:AI$50, ISNUMBER(SEARCH($A30,'RR1 Player Stats'!$A$3:$A$50))),0)
+IFERROR(FILTER('RR2 Player Stats'!AI$3:AI$50, ISNUMBER(SEARCH($A30,'RR2 Player Stats'!$A$3:$A$50))),0)
+IFERROR(FILTER('RR3 Player Stats'!AI$3:AI$50, I"&amp;"SNUMBER(SEARCH($A30,'RR3 Player Stats'!$A$3:$A$50))),0)
+IFERROR(FILTER('RR4 Player Stats'!AI$3:AI$50, ISNUMBER(SEARCH($A30,'RR4 Player Stats'!$A$3:$A$50))),0)
+IFERROR(FILTER('RR5 Player Stats'!AI$3:AI$50, ISNUMBER(SEARCH($A30,'RR5 Player Stats'!$A$3:$A$"&amp;"50))),0)"),4.0)</f>
        <v>4</v>
      </c>
      <c r="Q30" s="57">
        <f>IFERROR(__xludf.DUMMYFUNCTION("IFERROR(FILTER('RR1 Player Stats'!AJ$3:AJ$50, ISNUMBER(SEARCH($A30,'RR1 Player Stats'!$A$3:$A$50))),0)
+IFERROR(FILTER('RR2 Player Stats'!AJ$3:AJ$50, ISNUMBER(SEARCH($A30,'RR2 Player Stats'!$A$3:$A$50))),0)
+IFERROR(FILTER('RR3 Player Stats'!AJ$3:AJ$50, I"&amp;"SNUMBER(SEARCH($A30,'RR3 Player Stats'!$A$3:$A$50))),0)
+IFERROR(FILTER('RR4 Player Stats'!AJ$3:AJ$50, ISNUMBER(SEARCH($A30,'RR4 Player Stats'!$A$3:$A$50))),0)
+IFERROR(FILTER('RR5 Player Stats'!AJ$3:AJ$50, ISNUMBER(SEARCH($A30,'RR5 Player Stats'!$A$3:$A$"&amp;"50))),0)"),4.0)</f>
        <v>4</v>
      </c>
      <c r="R30" s="57">
        <f>IFERROR(__xludf.DUMMYFUNCTION("IFERROR(FILTER('RR1 Player Stats'!AK$3:AK$50, ISNUMBER(SEARCH($A30,'RR1 Player Stats'!$A$3:$A$50))),0)
+IFERROR(FILTER('RR2 Player Stats'!AK$3:AK$50, ISNUMBER(SEARCH($A30,'RR2 Player Stats'!$A$3:$A$50))),0)
+IFERROR(FILTER('RR3 Player Stats'!AK$3:AK$50, I"&amp;"SNUMBER(SEARCH($A30,'RR3 Player Stats'!$A$3:$A$50))),0)
+IFERROR(FILTER('RR4 Player Stats'!AK$3:AK$50, ISNUMBER(SEARCH($A30,'RR4 Player Stats'!$A$3:$A$50))),0)
+IFERROR(FILTER('RR5 Player Stats'!AK$3:AK$50, ISNUMBER(SEARCH($A30,'RR5 Player Stats'!$A$3:$A$"&amp;"50))),0)"),124.0)</f>
        <v>124</v>
      </c>
      <c r="S30" s="57">
        <f>IFERROR(__xludf.DUMMYFUNCTION("IFERROR(FILTER('RR1 Player Stats'!AL$3:AL$50, ISNUMBER(SEARCH($A30,'RR1 Player Stats'!$A$3:$A$50))),0)
+IFERROR(FILTER('RR2 Player Stats'!AL$3:AL$50, ISNUMBER(SEARCH($A30,'RR2 Player Stats'!$A$3:$A$50))),0)
+IFERROR(FILTER('RR3 Player Stats'!AL$3:AL$50, I"&amp;"SNUMBER(SEARCH($A30,'RR3 Player Stats'!$A$3:$A$50))),0)
+IFERROR(FILTER('RR4 Player Stats'!AL$3:AL$50, ISNUMBER(SEARCH($A30,'RR4 Player Stats'!$A$3:$A$50))),0)
+IFERROR(FILTER('RR5 Player Stats'!AL$3:AL$50, ISNUMBER(SEARCH($A30,'RR5 Player Stats'!$A$3:$A$"&amp;"50))),0)"),108.0)</f>
        <v>108</v>
      </c>
      <c r="T30" s="180">
        <f>IFERROR(__xludf.DUMMYFUNCTION("(IFERROR(FILTER('RR1 Player Stats'!AM$3:AM$50, ISNUMBER(SEARCH($A30,'RR1 Player Stats'!$A$3:$A$50))),0)
+IFERROR(FILTER('RR2 Player Stats'!AM$3:AM$50, ISNUMBER(SEARCH($A30,'RR2 Player Stats'!$A$3:$A$50))),0)
+IFERROR(FILTER('RR3 Player Stats'!AM$3:AM$50, "&amp;"ISNUMBER(SEARCH($A30,'RR3 Player Stats'!$A$3:$A$50))),0)
+IFERROR(FILTER('RR4 Player Stats'!AM$3:AM$50, ISNUMBER(SEARCH($A30,'RR4 Player Stats'!$A$3:$A$50))),0)
+IFERROR(FILTER('RR5 Player Stats'!AM$3:AM$50, ISNUMBER(SEARCH($A30,'RR5 Player Stats'!$A$3:$A"&amp;"$50))),0))/B30"),0.29000000000000004)</f>
        <v>0.29</v>
      </c>
      <c r="U30" s="55">
        <f>IFERROR(__xludf.DUMMYFUNCTION("MEDIAN(IFERROR(FILTER('RR1 Player Stats'!AH$3:AH$50, ISNUMBER(SEARCH($A30,'RR1 Player Stats'!$A$3:$A$50))),0),IFERROR(FILTER('RR2 Player Stats'!AH$3:AH$50, ISNUMBER(SEARCH($A30,'RR2 Player Stats'!$A$3:$A$50))),0),IFERROR(FILTER('RR3 Player Stats'!AH$3:AH$"&amp;"50, ISNUMBER(SEARCH($A30,'RR3 Player Stats'!$A$3:$A$50))),0),IFERROR(FILTER('RR4 Player Stats'!AH$3:AH$50, ISNUMBER(SEARCH($A30,'RR4 Player Stats'!$A$3:$A$50))),0),IFERROR(FILTER('RR5 Player Stats'!AH$3:AH$50, ISNUMBER(SEARCH($A30,'RR5 Player Stats'!$A$3:"&amp;"$A$50))),0))"),5.0)</f>
        <v>5</v>
      </c>
      <c r="V30" s="57">
        <f>IFERROR(__xludf.DUMMYFUNCTION("MEDIAN(IFERROR(FILTER('RR1 Player Stats'!AI$3:AI$50, ISNUMBER(SEARCH($A30,'RR1 Player Stats'!$A$3:$A$50))),0),IFERROR(FILTER('RR2 Player Stats'!AI$3:AI$50, ISNUMBER(SEARCH($A30,'RR2 Player Stats'!$A$3:$A$50))),0),IFERROR(FILTER('RR3 Player Stats'!AI$3:AI$"&amp;"50, ISNUMBER(SEARCH($A30,'RR3 Player Stats'!$A$3:$A$50))),0),IFERROR(FILTER('RR4 Player Stats'!AI$3:AI$50, ISNUMBER(SEARCH($A30,'RR4 Player Stats'!$A$3:$A$50))),0),IFERROR(FILTER('RR5 Player Stats'!AI$3:AI$50, ISNUMBER(SEARCH($A30,'RR5 Player Stats'!$A$3:"&amp;"$A$50))),0))"),1.0)</f>
        <v>1</v>
      </c>
      <c r="W30" s="57">
        <f>IFERROR(__xludf.DUMMYFUNCTION("MEDIAN(IFERROR(FILTER('RR1 Player Stats'!AJ$3:AJ$50, ISNUMBER(SEARCH($A30,'RR1 Player Stats'!$A$3:$A$50))),0),IFERROR(FILTER('RR2 Player Stats'!AJ$3:AJ$50, ISNUMBER(SEARCH($A30,'RR2 Player Stats'!$A$3:$A$50))),0),IFERROR(FILTER('RR3 Player Stats'!AJ$3:AJ$"&amp;"50, ISNUMBER(SEARCH($A30,'RR3 Player Stats'!$A$3:$A$50))),0),IFERROR(FILTER('RR4 Player Stats'!AJ$3:AJ$50, ISNUMBER(SEARCH($A30,'RR4 Player Stats'!$A$3:$A$50))),0),IFERROR(FILTER('RR5 Player Stats'!AJ$3:AJ$50, ISNUMBER(SEARCH($A30,'RR5 Player Stats'!$A$3:"&amp;"$A$50))),0))"),1.0)</f>
        <v>1</v>
      </c>
      <c r="X30" s="57">
        <f>IFERROR(__xludf.DUMMYFUNCTION("MEDIAN(IFERROR(FILTER('RR1 Player Stats'!AK$3:AK$50, ISNUMBER(SEARCH($A30,'RR1 Player Stats'!$A$3:$A$50))),0),IFERROR(FILTER('RR2 Player Stats'!AK$3:AK$50, ISNUMBER(SEARCH($A30,'RR2 Player Stats'!$A$3:$A$50))),0),IFERROR(FILTER('RR3 Player Stats'!AK$3:AK$"&amp;"50, ISNUMBER(SEARCH($A30,'RR3 Player Stats'!$A$3:$A$50))),0),IFERROR(FILTER('RR4 Player Stats'!AK$3:AK$50, ISNUMBER(SEARCH($A30,'RR4 Player Stats'!$A$3:$A$50))),0),IFERROR(FILTER('RR5 Player Stats'!AK$3:AK$50, ISNUMBER(SEARCH($A30,'RR5 Player Stats'!$A$3:"&amp;"$A$50))),0))"),26.0)</f>
        <v>26</v>
      </c>
      <c r="Y30" s="57">
        <f>IFERROR(__xludf.DUMMYFUNCTION("MEDIAN(IFERROR(FILTER('RR1 Player Stats'!AL$3:AL$50, ISNUMBER(SEARCH($A30,'RR1 Player Stats'!$A$3:$A$50))),0),IFERROR(FILTER('RR2 Player Stats'!AL$3:AL$50, ISNUMBER(SEARCH($A30,'RR2 Player Stats'!$A$3:$A$50))),0),IFERROR(FILTER('RR3 Player Stats'!AL$3:AL$"&amp;"50, ISNUMBER(SEARCH($A30,'RR3 Player Stats'!$A$3:$A$50))),0),IFERROR(FILTER('RR4 Player Stats'!AL$3:AL$50, ISNUMBER(SEARCH($A30,'RR4 Player Stats'!$A$3:$A$50))),0),IFERROR(FILTER('RR5 Player Stats'!AL$3:AL$50, ISNUMBER(SEARCH($A30,'RR5 Player Stats'!$A$3:"&amp;"$A$50))),0))"),22.0)</f>
        <v>22</v>
      </c>
      <c r="Z30" s="180">
        <f>IFERROR(__xludf.DUMMYFUNCTION("MEDIAN(IFERROR(FILTER('RR1 Player Stats'!AM$3:AM$50, ISNUMBER(SEARCH($A30,'RR1 Player Stats'!$A$3:$A$50))),0),IFERROR(FILTER('RR2 Player Stats'!AM$3:AM$50, ISNUMBER(SEARCH($A30,'RR2 Player Stats'!$A$3:$A$50))),0),IFERROR(FILTER('RR3 Player Stats'!AM$3:AM$"&amp;"50, ISNUMBER(SEARCH($A30,'RR3 Player Stats'!$A$3:$A$50))),0),IFERROR(FILTER('RR4 Player Stats'!AM$3:AM$50, ISNUMBER(SEARCH($A30,'RR4 Player Stats'!$A$3:$A$50))),0),IFERROR(FILTER('RR5 Player Stats'!AM$3:AM$50, ISNUMBER(SEARCH($A30,'RR5 Player Stats'!$A$3:"&amp;"$A$50))),0))"),0.3)</f>
        <v>0.3</v>
      </c>
    </row>
    <row r="31">
      <c r="A31" s="29" t="s">
        <v>65</v>
      </c>
      <c r="B31" s="48">
        <f>COUNTIF('RR1 Player Stats'!$A$3:$A$50,$A31)+COUNTIF('RR2 Player Stats'!$A$3:$A$50,$A31)+COUNTIF('RR3 Player Stats'!$A$3:$A$50,$A31)+COUNTIF('RR4 Player Stats'!$A$3:$A$50,$A31)+COUNTIF('RR5 Player Stats'!$A$3:$A$50,$A31)</f>
        <v>5</v>
      </c>
      <c r="C31" s="55">
        <f>IFERROR(__xludf.DUMMYFUNCTION("IFERROR(FILTER('RR1 Player Stats'!V$3:V$50, ISNUMBER(SEARCH($A31,'RR1 Player Stats'!$A$3:$A$50))),0)
+IFERROR(FILTER('RR2 Player Stats'!V$3:V$50, ISNUMBER(SEARCH($A31,'RR2 Player Stats'!$A$3:$A$50))),0)
+IFERROR(FILTER('RR3 Player Stats'!V$3:V$50, ISNUMBE"&amp;"R(SEARCH($A31,'RR3 Player Stats'!$A$3:$A$50))),0)
+IFERROR(FILTER('RR4 Player Stats'!V$3:V$50, ISNUMBER(SEARCH($A31,'RR4 Player Stats'!$A$3:$A$50))),0)
+IFERROR(FILTER('RR5 Player Stats'!V$3:V$50, ISNUMBER(SEARCH($A31,'RR5 Player Stats'!$A$3:$A$50))),0)"),9.0)</f>
        <v>9</v>
      </c>
      <c r="D31" s="57">
        <f>IFERROR(__xludf.DUMMYFUNCTION("IFERROR(FILTER('RR1 Player Stats'!W$3:W$50, ISNUMBER(SEARCH($A31,'RR1 Player Stats'!$A$3:$A$50))),0)
+IFERROR(FILTER('RR2 Player Stats'!W$3:W$50, ISNUMBER(SEARCH($A31,'RR2 Player Stats'!$A$3:$A$50))),0)
+IFERROR(FILTER('RR3 Player Stats'!W$3:W$50, ISNUMBE"&amp;"R(SEARCH($A31,'RR3 Player Stats'!$A$3:$A$50))),0)
+IFERROR(FILTER('RR4 Player Stats'!W$3:W$50, ISNUMBER(SEARCH($A31,'RR4 Player Stats'!$A$3:$A$50))),0)
+IFERROR(FILTER('RR5 Player Stats'!W$3:W$50, ISNUMBER(SEARCH($A31,'RR5 Player Stats'!$A$3:$A$50))),0)"),7.0)</f>
        <v>7</v>
      </c>
      <c r="E31" s="57">
        <f>IFERROR(__xludf.DUMMYFUNCTION("IFERROR(FILTER('RR1 Player Stats'!X$3:X$50, ISNUMBER(SEARCH($A31,'RR1 Player Stats'!$A$3:$A$50))),0)
+IFERROR(FILTER('RR2 Player Stats'!X$3:X$50, ISNUMBER(SEARCH($A31,'RR2 Player Stats'!$A$3:$A$50))),0)
+IFERROR(FILTER('RR3 Player Stats'!X$3:X$50, ISNUMBE"&amp;"R(SEARCH($A31,'RR3 Player Stats'!$A$3:$A$50))),0)
+IFERROR(FILTER('RR4 Player Stats'!X$3:X$50, ISNUMBER(SEARCH($A31,'RR4 Player Stats'!$A$3:$A$50))),0)
+IFERROR(FILTER('RR5 Player Stats'!X$3:X$50, ISNUMBER(SEARCH($A31,'RR5 Player Stats'!$A$3:$A$50))),0)"),6.0)</f>
        <v>6</v>
      </c>
      <c r="F31" s="57">
        <f>IFERROR(__xludf.DUMMYFUNCTION("IFERROR(FILTER('RR1 Player Stats'!Y$3:Y$50, ISNUMBER(SEARCH($A31,'RR1 Player Stats'!$A$3:$A$50))),0)
+IFERROR(FILTER('RR2 Player Stats'!Y$3:Y$50, ISNUMBER(SEARCH($A31,'RR2 Player Stats'!$A$3:$A$50))),0)
+IFERROR(FILTER('RR3 Player Stats'!Y$3:Y$50, ISNUMBE"&amp;"R(SEARCH($A31,'RR3 Player Stats'!$A$3:$A$50))),0)
+IFERROR(FILTER('RR4 Player Stats'!Y$3:Y$50, ISNUMBER(SEARCH($A31,'RR4 Player Stats'!$A$3:$A$50))),0)
+IFERROR(FILTER('RR5 Player Stats'!Y$3:Y$50, ISNUMBER(SEARCH($A31,'RR5 Player Stats'!$A$3:$A$50))),0)"),78.0)</f>
        <v>78</v>
      </c>
      <c r="G31" s="57">
        <f>IFERROR(__xludf.DUMMYFUNCTION("IFERROR(FILTER('RR1 Player Stats'!Z$3:Z$50, ISNUMBER(SEARCH($A31,'RR1 Player Stats'!$A$3:$A$50))),0)
+IFERROR(FILTER('RR2 Player Stats'!Z$3:Z$50, ISNUMBER(SEARCH($A31,'RR2 Player Stats'!$A$3:$A$50))),0)
+IFERROR(FILTER('RR3 Player Stats'!Z$3:Z$50, ISNUMBE"&amp;"R(SEARCH($A31,'RR3 Player Stats'!$A$3:$A$50))),0)
+IFERROR(FILTER('RR4 Player Stats'!Z$3:Z$50, ISNUMBER(SEARCH($A31,'RR4 Player Stats'!$A$3:$A$50))),0)
+IFERROR(FILTER('RR5 Player Stats'!Z$3:Z$50, ISNUMBER(SEARCH($A31,'RR5 Player Stats'!$A$3:$A$50))),0)"),54.0)</f>
        <v>54</v>
      </c>
      <c r="H31" s="180">
        <f>IFERROR(__xludf.DUMMYFUNCTION("(IFERROR(FILTER('RR1 Player Stats'!AA$3:AA$50, ISNUMBER(SEARCH($A31,'RR1 Player Stats'!$A$3:$A$50))),0)
+IFERROR(FILTER('RR2 Player Stats'!AA$3:AA$50, ISNUMBER(SEARCH($A31,'RR2 Player Stats'!$A$3:$A$50))),0)
+IFERROR(FILTER('RR3 Player Stats'!AA$3:AA$50, "&amp;"ISNUMBER(SEARCH($A31,'RR3 Player Stats'!$A$3:$A$50))),0)
+IFERROR(FILTER('RR4 Player Stats'!AA$3:AA$50, ISNUMBER(SEARCH($A31,'RR4 Player Stats'!$A$3:$A$50))),0)
+IFERROR(FILTER('RR5 Player Stats'!AA$3:AA$50, ISNUMBER(SEARCH($A31,'RR5 Player Stats'!$A$3:$A"&amp;"$50))),0))/5"),0.268)</f>
        <v>0.268</v>
      </c>
      <c r="I31" s="55">
        <f>IFERROR(__xludf.DUMMYFUNCTION("IFERROR(FILTER('RR1 Player Stats'!AB$3:AB$50, ISNUMBER(SEARCH($A31,'RR1 Player Stats'!$A$3:$A$50))),0)
+IFERROR(FILTER('RR2 Player Stats'!AB$3:AB$50, ISNUMBER(SEARCH($A31,'RR2 Player Stats'!$A$3:$A$50))),0)
+IFERROR(FILTER('RR3 Player Stats'!AB$3:AB$50, I"&amp;"SNUMBER(SEARCH($A31,'RR3 Player Stats'!$A$3:$A$50))),0)
+IFERROR(FILTER('RR4 Player Stats'!AB$3:AB$50, ISNUMBER(SEARCH($A31,'RR4 Player Stats'!$A$3:$A$50))),0)
+IFERROR(FILTER('RR5 Player Stats'!AB$3:AB$50, ISNUMBER(SEARCH($A31,'RR5 Player Stats'!$A$3:$A$"&amp;"50))),0)"),7.0)</f>
        <v>7</v>
      </c>
      <c r="J31" s="57">
        <f>IFERROR(__xludf.DUMMYFUNCTION("IFERROR(FILTER('RR1 Player Stats'!AC$3:AC$50, ISNUMBER(SEARCH($A31,'RR1 Player Stats'!$A$3:$A$50))),0)
+IFERROR(FILTER('RR2 Player Stats'!AC$3:AC$50, ISNUMBER(SEARCH($A31,'RR2 Player Stats'!$A$3:$A$50))),0)
+IFERROR(FILTER('RR3 Player Stats'!AC$3:AC$50, I"&amp;"SNUMBER(SEARCH($A31,'RR3 Player Stats'!$A$3:$A$50))),0)
+IFERROR(FILTER('RR4 Player Stats'!AC$3:AC$50, ISNUMBER(SEARCH($A31,'RR4 Player Stats'!$A$3:$A$50))),0)
+IFERROR(FILTER('RR5 Player Stats'!AC$3:AC$50, ISNUMBER(SEARCH($A31,'RR5 Player Stats'!$A$3:$A$"&amp;"50))),0)"),2.0)</f>
        <v>2</v>
      </c>
      <c r="K31" s="57">
        <f>IFERROR(__xludf.DUMMYFUNCTION("IFERROR(FILTER('RR1 Player Stats'!AD$3:AD$50, ISNUMBER(SEARCH($A31,'RR1 Player Stats'!$A$3:$A$50))),0)
+IFERROR(FILTER('RR2 Player Stats'!AD$3:AD$50, ISNUMBER(SEARCH($A31,'RR2 Player Stats'!$A$3:$A$50))),0)
+IFERROR(FILTER('RR3 Player Stats'!AD$3:AD$50, I"&amp;"SNUMBER(SEARCH($A31,'RR3 Player Stats'!$A$3:$A$50))),0)
+IFERROR(FILTER('RR4 Player Stats'!AD$3:AD$50, ISNUMBER(SEARCH($A31,'RR4 Player Stats'!$A$3:$A$50))),0)
+IFERROR(FILTER('RR5 Player Stats'!AD$3:AD$50, ISNUMBER(SEARCH($A31,'RR5 Player Stats'!$A$3:$A$"&amp;"50))),0)"),4.0)</f>
        <v>4</v>
      </c>
      <c r="L31" s="57">
        <f>IFERROR(__xludf.DUMMYFUNCTION("IFERROR(FILTER('RR1 Player Stats'!AE$3:AE$50, ISNUMBER(SEARCH($A31,'RR1 Player Stats'!$A$3:$A$50))),0)
+IFERROR(FILTER('RR2 Player Stats'!AE$3:AE$50, ISNUMBER(SEARCH($A31,'RR2 Player Stats'!$A$3:$A$50))),0)
+IFERROR(FILTER('RR3 Player Stats'!AE$3:AE$50, I"&amp;"SNUMBER(SEARCH($A31,'RR3 Player Stats'!$A$3:$A$50))),0)
+IFERROR(FILTER('RR4 Player Stats'!AE$3:AE$50, ISNUMBER(SEARCH($A31,'RR4 Player Stats'!$A$3:$A$50))),0)
+IFERROR(FILTER('RR5 Player Stats'!AE$3:AE$50, ISNUMBER(SEARCH($A31,'RR5 Player Stats'!$A$3:$A$"&amp;"50))),0)"),40.0)</f>
        <v>40</v>
      </c>
      <c r="M31" s="57">
        <f>IFERROR(__xludf.DUMMYFUNCTION("IFERROR(FILTER('RR1 Player Stats'!AF$3:AF$50, ISNUMBER(SEARCH($A31,'RR1 Player Stats'!$A$3:$A$50))),0)
+IFERROR(FILTER('RR2 Player Stats'!AF$3:AF$50, ISNUMBER(SEARCH($A31,'RR2 Player Stats'!$A$3:$A$50))),0)
+IFERROR(FILTER('RR3 Player Stats'!AF$3:AF$50, I"&amp;"SNUMBER(SEARCH($A31,'RR3 Player Stats'!$A$3:$A$50))),0)
+IFERROR(FILTER('RR4 Player Stats'!AF$3:AF$50, ISNUMBER(SEARCH($A31,'RR4 Player Stats'!$A$3:$A$50))),0)
+IFERROR(FILTER('RR5 Player Stats'!AF$3:AF$50, ISNUMBER(SEARCH($A31,'RR5 Player Stats'!$A$3:$A$"&amp;"50))),0)"),24.0)</f>
        <v>24</v>
      </c>
      <c r="N31" s="180">
        <f>IFERROR(__xludf.DUMMYFUNCTION("(IFERROR(FILTER('RR1 Player Stats'!AG$3:AG$50, ISNUMBER(SEARCH($A31,'RR1 Player Stats'!$A$3:$A$50))),0)
+IFERROR(FILTER('RR2 Player Stats'!AG$3:AG$50, ISNUMBER(SEARCH($A31,'RR2 Player Stats'!$A$3:$A$50))),0)
+IFERROR(FILTER('RR3 Player Stats'!AG$3:AG$50, "&amp;"ISNUMBER(SEARCH($A31,'RR3 Player Stats'!$A$3:$A$50))),0)
+IFERROR(FILTER('RR4 Player Stats'!AG$3:AG$50, ISNUMBER(SEARCH($A31,'RR4 Player Stats'!$A$3:$A$50))),0)
+IFERROR(FILTER('RR5 Player Stats'!AG$3:AG$50, ISNUMBER(SEARCH($A31,'RR5 Player Stats'!$A$3:$A"&amp;"$50))),0))/5"),0.22599999999999998)</f>
        <v>0.226</v>
      </c>
      <c r="O31" s="55">
        <f>IFERROR(__xludf.DUMMYFUNCTION("IFERROR(FILTER('RR1 Player Stats'!AH$3:AH$50, ISNUMBER(SEARCH($A31,'RR1 Player Stats'!$A$3:$A$50))),0)
+IFERROR(FILTER('RR2 Player Stats'!AH$3:AH$50, ISNUMBER(SEARCH($A31,'RR2 Player Stats'!$A$3:$A$50))),0)
+IFERROR(FILTER('RR3 Player Stats'!AH$3:AH$50, I"&amp;"SNUMBER(SEARCH($A31,'RR3 Player Stats'!$A$3:$A$50))),0)
+IFERROR(FILTER('RR4 Player Stats'!AH$3:AH$50, ISNUMBER(SEARCH($A31,'RR4 Player Stats'!$A$3:$A$50))),0)
+IFERROR(FILTER('RR5 Player Stats'!AH$3:AH$50, ISNUMBER(SEARCH($A31,'RR5 Player Stats'!$A$3:$A$"&amp;"50))),0)"),16.0)</f>
        <v>16</v>
      </c>
      <c r="P31" s="57">
        <f>IFERROR(__xludf.DUMMYFUNCTION("IFERROR(FILTER('RR1 Player Stats'!AI$3:AI$50, ISNUMBER(SEARCH($A31,'RR1 Player Stats'!$A$3:$A$50))),0)
+IFERROR(FILTER('RR2 Player Stats'!AI$3:AI$50, ISNUMBER(SEARCH($A31,'RR2 Player Stats'!$A$3:$A$50))),0)
+IFERROR(FILTER('RR3 Player Stats'!AI$3:AI$50, I"&amp;"SNUMBER(SEARCH($A31,'RR3 Player Stats'!$A$3:$A$50))),0)
+IFERROR(FILTER('RR4 Player Stats'!AI$3:AI$50, ISNUMBER(SEARCH($A31,'RR4 Player Stats'!$A$3:$A$50))),0)
+IFERROR(FILTER('RR5 Player Stats'!AI$3:AI$50, ISNUMBER(SEARCH($A31,'RR5 Player Stats'!$A$3:$A$"&amp;"50))),0)"),9.0)</f>
        <v>9</v>
      </c>
      <c r="Q31" s="57">
        <f>IFERROR(__xludf.DUMMYFUNCTION("IFERROR(FILTER('RR1 Player Stats'!AJ$3:AJ$50, ISNUMBER(SEARCH($A31,'RR1 Player Stats'!$A$3:$A$50))),0)
+IFERROR(FILTER('RR2 Player Stats'!AJ$3:AJ$50, ISNUMBER(SEARCH($A31,'RR2 Player Stats'!$A$3:$A$50))),0)
+IFERROR(FILTER('RR3 Player Stats'!AJ$3:AJ$50, I"&amp;"SNUMBER(SEARCH($A31,'RR3 Player Stats'!$A$3:$A$50))),0)
+IFERROR(FILTER('RR4 Player Stats'!AJ$3:AJ$50, ISNUMBER(SEARCH($A31,'RR4 Player Stats'!$A$3:$A$50))),0)
+IFERROR(FILTER('RR5 Player Stats'!AJ$3:AJ$50, ISNUMBER(SEARCH($A31,'RR5 Player Stats'!$A$3:$A$"&amp;"50))),0)"),10.0)</f>
        <v>10</v>
      </c>
      <c r="R31" s="57">
        <f>IFERROR(__xludf.DUMMYFUNCTION("IFERROR(FILTER('RR1 Player Stats'!AK$3:AK$50, ISNUMBER(SEARCH($A31,'RR1 Player Stats'!$A$3:$A$50))),0)
+IFERROR(FILTER('RR2 Player Stats'!AK$3:AK$50, ISNUMBER(SEARCH($A31,'RR2 Player Stats'!$A$3:$A$50))),0)
+IFERROR(FILTER('RR3 Player Stats'!AK$3:AK$50, I"&amp;"SNUMBER(SEARCH($A31,'RR3 Player Stats'!$A$3:$A$50))),0)
+IFERROR(FILTER('RR4 Player Stats'!AK$3:AK$50, ISNUMBER(SEARCH($A31,'RR4 Player Stats'!$A$3:$A$50))),0)
+IFERROR(FILTER('RR5 Player Stats'!AK$3:AK$50, ISNUMBER(SEARCH($A31,'RR5 Player Stats'!$A$3:$A$"&amp;"50))),0)"),118.0)</f>
        <v>118</v>
      </c>
      <c r="S31" s="57">
        <f>IFERROR(__xludf.DUMMYFUNCTION("IFERROR(FILTER('RR1 Player Stats'!AL$3:AL$50, ISNUMBER(SEARCH($A31,'RR1 Player Stats'!$A$3:$A$50))),0)
+IFERROR(FILTER('RR2 Player Stats'!AL$3:AL$50, ISNUMBER(SEARCH($A31,'RR2 Player Stats'!$A$3:$A$50))),0)
+IFERROR(FILTER('RR3 Player Stats'!AL$3:AL$50, I"&amp;"SNUMBER(SEARCH($A31,'RR3 Player Stats'!$A$3:$A$50))),0)
+IFERROR(FILTER('RR4 Player Stats'!AL$3:AL$50, ISNUMBER(SEARCH($A31,'RR4 Player Stats'!$A$3:$A$50))),0)
+IFERROR(FILTER('RR5 Player Stats'!AL$3:AL$50, ISNUMBER(SEARCH($A31,'RR5 Player Stats'!$A$3:$A$"&amp;"50))),0)"),78.0)</f>
        <v>78</v>
      </c>
      <c r="T31" s="180">
        <f>IFERROR(__xludf.DUMMYFUNCTION("(IFERROR(FILTER('RR1 Player Stats'!AM$3:AM$50, ISNUMBER(SEARCH($A31,'RR1 Player Stats'!$A$3:$A$50))),0)
+IFERROR(FILTER('RR2 Player Stats'!AM$3:AM$50, ISNUMBER(SEARCH($A31,'RR2 Player Stats'!$A$3:$A$50))),0)
+IFERROR(FILTER('RR3 Player Stats'!AM$3:AM$50, "&amp;"ISNUMBER(SEARCH($A31,'RR3 Player Stats'!$A$3:$A$50))),0)
+IFERROR(FILTER('RR4 Player Stats'!AM$3:AM$50, ISNUMBER(SEARCH($A31,'RR4 Player Stats'!$A$3:$A$50))),0)
+IFERROR(FILTER('RR5 Player Stats'!AM$3:AM$50, ISNUMBER(SEARCH($A31,'RR5 Player Stats'!$A$3:$A"&amp;"$50))),0))/B31"),0.25)</f>
        <v>0.25</v>
      </c>
      <c r="U31" s="55">
        <f>IFERROR(__xludf.DUMMYFUNCTION("MEDIAN(IFERROR(FILTER('RR1 Player Stats'!AH$3:AH$50, ISNUMBER(SEARCH($A31,'RR1 Player Stats'!$A$3:$A$50))),0),IFERROR(FILTER('RR2 Player Stats'!AH$3:AH$50, ISNUMBER(SEARCH($A31,'RR2 Player Stats'!$A$3:$A$50))),0),IFERROR(FILTER('RR3 Player Stats'!AH$3:AH$"&amp;"50, ISNUMBER(SEARCH($A31,'RR3 Player Stats'!$A$3:$A$50))),0),IFERROR(FILTER('RR4 Player Stats'!AH$3:AH$50, ISNUMBER(SEARCH($A31,'RR4 Player Stats'!$A$3:$A$50))),0),IFERROR(FILTER('RR5 Player Stats'!AH$3:AH$50, ISNUMBER(SEARCH($A31,'RR5 Player Stats'!$A$3:"&amp;"$A$50))),0))"),3.0)</f>
        <v>3</v>
      </c>
      <c r="V31" s="57">
        <f>IFERROR(__xludf.DUMMYFUNCTION("MEDIAN(IFERROR(FILTER('RR1 Player Stats'!AI$3:AI$50, ISNUMBER(SEARCH($A31,'RR1 Player Stats'!$A$3:$A$50))),0),IFERROR(FILTER('RR2 Player Stats'!AI$3:AI$50, ISNUMBER(SEARCH($A31,'RR2 Player Stats'!$A$3:$A$50))),0),IFERROR(FILTER('RR3 Player Stats'!AI$3:AI$"&amp;"50, ISNUMBER(SEARCH($A31,'RR3 Player Stats'!$A$3:$A$50))),0),IFERROR(FILTER('RR4 Player Stats'!AI$3:AI$50, ISNUMBER(SEARCH($A31,'RR4 Player Stats'!$A$3:$A$50))),0),IFERROR(FILTER('RR5 Player Stats'!AI$3:AI$50, ISNUMBER(SEARCH($A31,'RR5 Player Stats'!$A$3:"&amp;"$A$50))),0))"),2.0)</f>
        <v>2</v>
      </c>
      <c r="W31" s="57">
        <f>IFERROR(__xludf.DUMMYFUNCTION("MEDIAN(IFERROR(FILTER('RR1 Player Stats'!AJ$3:AJ$50, ISNUMBER(SEARCH($A31,'RR1 Player Stats'!$A$3:$A$50))),0),IFERROR(FILTER('RR2 Player Stats'!AJ$3:AJ$50, ISNUMBER(SEARCH($A31,'RR2 Player Stats'!$A$3:$A$50))),0),IFERROR(FILTER('RR3 Player Stats'!AJ$3:AJ$"&amp;"50, ISNUMBER(SEARCH($A31,'RR3 Player Stats'!$A$3:$A$50))),0),IFERROR(FILTER('RR4 Player Stats'!AJ$3:AJ$50, ISNUMBER(SEARCH($A31,'RR4 Player Stats'!$A$3:$A$50))),0),IFERROR(FILTER('RR5 Player Stats'!AJ$3:AJ$50, ISNUMBER(SEARCH($A31,'RR5 Player Stats'!$A$3:"&amp;"$A$50))),0))"),2.0)</f>
        <v>2</v>
      </c>
      <c r="X31" s="57">
        <f>IFERROR(__xludf.DUMMYFUNCTION("MEDIAN(IFERROR(FILTER('RR1 Player Stats'!AK$3:AK$50, ISNUMBER(SEARCH($A31,'RR1 Player Stats'!$A$3:$A$50))),0),IFERROR(FILTER('RR2 Player Stats'!AK$3:AK$50, ISNUMBER(SEARCH($A31,'RR2 Player Stats'!$A$3:$A$50))),0),IFERROR(FILTER('RR3 Player Stats'!AK$3:AK$"&amp;"50, ISNUMBER(SEARCH($A31,'RR3 Player Stats'!$A$3:$A$50))),0),IFERROR(FILTER('RR4 Player Stats'!AK$3:AK$50, ISNUMBER(SEARCH($A31,'RR4 Player Stats'!$A$3:$A$50))),0),IFERROR(FILTER('RR5 Player Stats'!AK$3:AK$50, ISNUMBER(SEARCH($A31,'RR5 Player Stats'!$A$3:"&amp;"$A$50))),0))"),24.0)</f>
        <v>24</v>
      </c>
      <c r="Y31" s="57">
        <f>IFERROR(__xludf.DUMMYFUNCTION("MEDIAN(IFERROR(FILTER('RR1 Player Stats'!AL$3:AL$50, ISNUMBER(SEARCH($A31,'RR1 Player Stats'!$A$3:$A$50))),0),IFERROR(FILTER('RR2 Player Stats'!AL$3:AL$50, ISNUMBER(SEARCH($A31,'RR2 Player Stats'!$A$3:$A$50))),0),IFERROR(FILTER('RR3 Player Stats'!AL$3:AL$"&amp;"50, ISNUMBER(SEARCH($A31,'RR3 Player Stats'!$A$3:$A$50))),0),IFERROR(FILTER('RR4 Player Stats'!AL$3:AL$50, ISNUMBER(SEARCH($A31,'RR4 Player Stats'!$A$3:$A$50))),0),IFERROR(FILTER('RR5 Player Stats'!AL$3:AL$50, ISNUMBER(SEARCH($A31,'RR5 Player Stats'!$A$3:"&amp;"$A$50))),0))"),20.0)</f>
        <v>20</v>
      </c>
      <c r="Z31" s="180">
        <f>IFERROR(__xludf.DUMMYFUNCTION("MEDIAN(IFERROR(FILTER('RR1 Player Stats'!AM$3:AM$50, ISNUMBER(SEARCH($A31,'RR1 Player Stats'!$A$3:$A$50))),0),IFERROR(FILTER('RR2 Player Stats'!AM$3:AM$50, ISNUMBER(SEARCH($A31,'RR2 Player Stats'!$A$3:$A$50))),0),IFERROR(FILTER('RR3 Player Stats'!AM$3:AM$"&amp;"50, ISNUMBER(SEARCH($A31,'RR3 Player Stats'!$A$3:$A$50))),0),IFERROR(FILTER('RR4 Player Stats'!AM$3:AM$50, ISNUMBER(SEARCH($A31,'RR4 Player Stats'!$A$3:$A$50))),0),IFERROR(FILTER('RR5 Player Stats'!AM$3:AM$50, ISNUMBER(SEARCH($A31,'RR5 Player Stats'!$A$3:"&amp;"$A$50))),0))"),0.25)</f>
        <v>0.25</v>
      </c>
    </row>
    <row r="32">
      <c r="A32" s="29" t="s">
        <v>77</v>
      </c>
      <c r="B32" s="48">
        <f>COUNTIF('RR1 Player Stats'!$A$3:$A$50,$A32)+COUNTIF('RR2 Player Stats'!$A$3:$A$50,$A32)+COUNTIF('RR3 Player Stats'!$A$3:$A$50,$A32)+COUNTIF('RR4 Player Stats'!$A$3:$A$50,$A32)+COUNTIF('RR5 Player Stats'!$A$3:$A$50,$A32)</f>
        <v>4</v>
      </c>
      <c r="C32" s="55">
        <f>IFERROR(__xludf.DUMMYFUNCTION("IFERROR(FILTER('RR1 Player Stats'!V$3:V$50, ISNUMBER(SEARCH($A32,'RR1 Player Stats'!$A$3:$A$50))),0)
+IFERROR(FILTER('RR2 Player Stats'!V$3:V$50, ISNUMBER(SEARCH($A32,'RR2 Player Stats'!$A$3:$A$50))),0)
+IFERROR(FILTER('RR3 Player Stats'!V$3:V$50, ISNUMBE"&amp;"R(SEARCH($A32,'RR3 Player Stats'!$A$3:$A$50))),0)
+IFERROR(FILTER('RR4 Player Stats'!V$3:V$50, ISNUMBER(SEARCH($A32,'RR4 Player Stats'!$A$3:$A$50))),0)
+IFERROR(FILTER('RR5 Player Stats'!V$3:V$50, ISNUMBER(SEARCH($A32,'RR5 Player Stats'!$A$3:$A$50))),0)"),5.0)</f>
        <v>5</v>
      </c>
      <c r="D32" s="57">
        <f>IFERROR(__xludf.DUMMYFUNCTION("IFERROR(FILTER('RR1 Player Stats'!W$3:W$50, ISNUMBER(SEARCH($A32,'RR1 Player Stats'!$A$3:$A$50))),0)
+IFERROR(FILTER('RR2 Player Stats'!W$3:W$50, ISNUMBER(SEARCH($A32,'RR2 Player Stats'!$A$3:$A$50))),0)
+IFERROR(FILTER('RR3 Player Stats'!W$3:W$50, ISNUMBE"&amp;"R(SEARCH($A32,'RR3 Player Stats'!$A$3:$A$50))),0)
+IFERROR(FILTER('RR4 Player Stats'!W$3:W$50, ISNUMBER(SEARCH($A32,'RR4 Player Stats'!$A$3:$A$50))),0)
+IFERROR(FILTER('RR5 Player Stats'!W$3:W$50, ISNUMBER(SEARCH($A32,'RR5 Player Stats'!$A$3:$A$50))),0)"),11.0)</f>
        <v>11</v>
      </c>
      <c r="E32" s="57">
        <f>IFERROR(__xludf.DUMMYFUNCTION("IFERROR(FILTER('RR1 Player Stats'!X$3:X$50, ISNUMBER(SEARCH($A32,'RR1 Player Stats'!$A$3:$A$50))),0)
+IFERROR(FILTER('RR2 Player Stats'!X$3:X$50, ISNUMBER(SEARCH($A32,'RR2 Player Stats'!$A$3:$A$50))),0)
+IFERROR(FILTER('RR3 Player Stats'!X$3:X$50, ISNUMBE"&amp;"R(SEARCH($A32,'RR3 Player Stats'!$A$3:$A$50))),0)
+IFERROR(FILTER('RR4 Player Stats'!X$3:X$50, ISNUMBER(SEARCH($A32,'RR4 Player Stats'!$A$3:$A$50))),0)
+IFERROR(FILTER('RR5 Player Stats'!X$3:X$50, ISNUMBER(SEARCH($A32,'RR5 Player Stats'!$A$3:$A$50))),0)"),4.0)</f>
        <v>4</v>
      </c>
      <c r="F32" s="57">
        <f>IFERROR(__xludf.DUMMYFUNCTION("IFERROR(FILTER('RR1 Player Stats'!Y$3:Y$50, ISNUMBER(SEARCH($A32,'RR1 Player Stats'!$A$3:$A$50))),0)
+IFERROR(FILTER('RR2 Player Stats'!Y$3:Y$50, ISNUMBER(SEARCH($A32,'RR2 Player Stats'!$A$3:$A$50))),0)
+IFERROR(FILTER('RR3 Player Stats'!Y$3:Y$50, ISNUMBE"&amp;"R(SEARCH($A32,'RR3 Player Stats'!$A$3:$A$50))),0)
+IFERROR(FILTER('RR4 Player Stats'!Y$3:Y$50, ISNUMBER(SEARCH($A32,'RR4 Player Stats'!$A$3:$A$50))),0)
+IFERROR(FILTER('RR5 Player Stats'!Y$3:Y$50, ISNUMBER(SEARCH($A32,'RR5 Player Stats'!$A$3:$A$50))),0)"),86.0)</f>
        <v>86</v>
      </c>
      <c r="G32" s="57">
        <f>IFERROR(__xludf.DUMMYFUNCTION("IFERROR(FILTER('RR1 Player Stats'!Z$3:Z$50, ISNUMBER(SEARCH($A32,'RR1 Player Stats'!$A$3:$A$50))),0)
+IFERROR(FILTER('RR2 Player Stats'!Z$3:Z$50, ISNUMBER(SEARCH($A32,'RR2 Player Stats'!$A$3:$A$50))),0)
+IFERROR(FILTER('RR3 Player Stats'!Z$3:Z$50, ISNUMBE"&amp;"R(SEARCH($A32,'RR3 Player Stats'!$A$3:$A$50))),0)
+IFERROR(FILTER('RR4 Player Stats'!Z$3:Z$50, ISNUMBER(SEARCH($A32,'RR4 Player Stats'!$A$3:$A$50))),0)
+IFERROR(FILTER('RR5 Player Stats'!Z$3:Z$50, ISNUMBER(SEARCH($A32,'RR5 Player Stats'!$A$3:$A$50))),0)"),70.0)</f>
        <v>70</v>
      </c>
      <c r="H32" s="180">
        <f>IFERROR(__xludf.DUMMYFUNCTION("(IFERROR(FILTER('RR1 Player Stats'!AA$3:AA$50, ISNUMBER(SEARCH($A32,'RR1 Player Stats'!$A$3:$A$50))),0)
+IFERROR(FILTER('RR2 Player Stats'!AA$3:AA$50, ISNUMBER(SEARCH($A32,'RR2 Player Stats'!$A$3:$A$50))),0)
+IFERROR(FILTER('RR3 Player Stats'!AA$3:AA$50, "&amp;"ISNUMBER(SEARCH($A32,'RR3 Player Stats'!$A$3:$A$50))),0)
+IFERROR(FILTER('RR4 Player Stats'!AA$3:AA$50, ISNUMBER(SEARCH($A32,'RR4 Player Stats'!$A$3:$A$50))),0)
+IFERROR(FILTER('RR5 Player Stats'!AA$3:AA$50, ISNUMBER(SEARCH($A32,'RR5 Player Stats'!$A$3:$A"&amp;"$50))),0))/5"),0.26799999999999996)</f>
        <v>0.268</v>
      </c>
      <c r="I32" s="55">
        <f>IFERROR(__xludf.DUMMYFUNCTION("IFERROR(FILTER('RR1 Player Stats'!AB$3:AB$50, ISNUMBER(SEARCH($A32,'RR1 Player Stats'!$A$3:$A$50))),0)
+IFERROR(FILTER('RR2 Player Stats'!AB$3:AB$50, ISNUMBER(SEARCH($A32,'RR2 Player Stats'!$A$3:$A$50))),0)
+IFERROR(FILTER('RR3 Player Stats'!AB$3:AB$50, I"&amp;"SNUMBER(SEARCH($A32,'RR3 Player Stats'!$A$3:$A$50))),0)
+IFERROR(FILTER('RR4 Player Stats'!AB$3:AB$50, ISNUMBER(SEARCH($A32,'RR4 Player Stats'!$A$3:$A$50))),0)
+IFERROR(FILTER('RR5 Player Stats'!AB$3:AB$50, ISNUMBER(SEARCH($A32,'RR5 Player Stats'!$A$3:$A$"&amp;"50))),0)"),4.0)</f>
        <v>4</v>
      </c>
      <c r="J32" s="57">
        <f>IFERROR(__xludf.DUMMYFUNCTION("IFERROR(FILTER('RR1 Player Stats'!AC$3:AC$50, ISNUMBER(SEARCH($A32,'RR1 Player Stats'!$A$3:$A$50))),0)
+IFERROR(FILTER('RR2 Player Stats'!AC$3:AC$50, ISNUMBER(SEARCH($A32,'RR2 Player Stats'!$A$3:$A$50))),0)
+IFERROR(FILTER('RR3 Player Stats'!AC$3:AC$50, I"&amp;"SNUMBER(SEARCH($A32,'RR3 Player Stats'!$A$3:$A$50))),0)
+IFERROR(FILTER('RR4 Player Stats'!AC$3:AC$50, ISNUMBER(SEARCH($A32,'RR4 Player Stats'!$A$3:$A$50))),0)
+IFERROR(FILTER('RR5 Player Stats'!AC$3:AC$50, ISNUMBER(SEARCH($A32,'RR5 Player Stats'!$A$3:$A$"&amp;"50))),0)"),2.0)</f>
        <v>2</v>
      </c>
      <c r="K32" s="57">
        <f>IFERROR(__xludf.DUMMYFUNCTION("IFERROR(FILTER('RR1 Player Stats'!AD$3:AD$50, ISNUMBER(SEARCH($A32,'RR1 Player Stats'!$A$3:$A$50))),0)
+IFERROR(FILTER('RR2 Player Stats'!AD$3:AD$50, ISNUMBER(SEARCH($A32,'RR2 Player Stats'!$A$3:$A$50))),0)
+IFERROR(FILTER('RR3 Player Stats'!AD$3:AD$50, I"&amp;"SNUMBER(SEARCH($A32,'RR3 Player Stats'!$A$3:$A$50))),0)
+IFERROR(FILTER('RR4 Player Stats'!AD$3:AD$50, ISNUMBER(SEARCH($A32,'RR4 Player Stats'!$A$3:$A$50))),0)
+IFERROR(FILTER('RR5 Player Stats'!AD$3:AD$50, ISNUMBER(SEARCH($A32,'RR5 Player Stats'!$A$3:$A$"&amp;"50))),0)"),3.0)</f>
        <v>3</v>
      </c>
      <c r="L32" s="57">
        <f>IFERROR(__xludf.DUMMYFUNCTION("IFERROR(FILTER('RR1 Player Stats'!AE$3:AE$50, ISNUMBER(SEARCH($A32,'RR1 Player Stats'!$A$3:$A$50))),0)
+IFERROR(FILTER('RR2 Player Stats'!AE$3:AE$50, ISNUMBER(SEARCH($A32,'RR2 Player Stats'!$A$3:$A$50))),0)
+IFERROR(FILTER('RR3 Player Stats'!AE$3:AE$50, I"&amp;"SNUMBER(SEARCH($A32,'RR3 Player Stats'!$A$3:$A$50))),0)
+IFERROR(FILTER('RR4 Player Stats'!AE$3:AE$50, ISNUMBER(SEARCH($A32,'RR4 Player Stats'!$A$3:$A$50))),0)
+IFERROR(FILTER('RR5 Player Stats'!AE$3:AE$50, ISNUMBER(SEARCH($A32,'RR5 Player Stats'!$A$3:$A$"&amp;"50))),0)"),28.0)</f>
        <v>28</v>
      </c>
      <c r="M32" s="57">
        <f>IFERROR(__xludf.DUMMYFUNCTION("IFERROR(FILTER('RR1 Player Stats'!AF$3:AF$50, ISNUMBER(SEARCH($A32,'RR1 Player Stats'!$A$3:$A$50))),0)
+IFERROR(FILTER('RR2 Player Stats'!AF$3:AF$50, ISNUMBER(SEARCH($A32,'RR2 Player Stats'!$A$3:$A$50))),0)
+IFERROR(FILTER('RR3 Player Stats'!AF$3:AF$50, I"&amp;"SNUMBER(SEARCH($A32,'RR3 Player Stats'!$A$3:$A$50))),0)
+IFERROR(FILTER('RR4 Player Stats'!AF$3:AF$50, ISNUMBER(SEARCH($A32,'RR4 Player Stats'!$A$3:$A$50))),0)
+IFERROR(FILTER('RR5 Player Stats'!AF$3:AF$50, ISNUMBER(SEARCH($A32,'RR5 Player Stats'!$A$3:$A$"&amp;"50))),0)"),16.0)</f>
        <v>16</v>
      </c>
      <c r="N32" s="180">
        <f>IFERROR(__xludf.DUMMYFUNCTION("(IFERROR(FILTER('RR1 Player Stats'!AG$3:AG$50, ISNUMBER(SEARCH($A32,'RR1 Player Stats'!$A$3:$A$50))),0)
+IFERROR(FILTER('RR2 Player Stats'!AG$3:AG$50, ISNUMBER(SEARCH($A32,'RR2 Player Stats'!$A$3:$A$50))),0)
+IFERROR(FILTER('RR3 Player Stats'!AG$3:AG$50, "&amp;"ISNUMBER(SEARCH($A32,'RR3 Player Stats'!$A$3:$A$50))),0)
+IFERROR(FILTER('RR4 Player Stats'!AG$3:AG$50, ISNUMBER(SEARCH($A32,'RR4 Player Stats'!$A$3:$A$50))),0)
+IFERROR(FILTER('RR5 Player Stats'!AG$3:AG$50, ISNUMBER(SEARCH($A32,'RR5 Player Stats'!$A$3:$A"&amp;"$50))),0))/5"),0.152)</f>
        <v>0.152</v>
      </c>
      <c r="O32" s="55">
        <f>IFERROR(__xludf.DUMMYFUNCTION("IFERROR(FILTER('RR1 Player Stats'!AH$3:AH$50, ISNUMBER(SEARCH($A32,'RR1 Player Stats'!$A$3:$A$50))),0)
+IFERROR(FILTER('RR2 Player Stats'!AH$3:AH$50, ISNUMBER(SEARCH($A32,'RR2 Player Stats'!$A$3:$A$50))),0)
+IFERROR(FILTER('RR3 Player Stats'!AH$3:AH$50, I"&amp;"SNUMBER(SEARCH($A32,'RR3 Player Stats'!$A$3:$A$50))),0)
+IFERROR(FILTER('RR4 Player Stats'!AH$3:AH$50, ISNUMBER(SEARCH($A32,'RR4 Player Stats'!$A$3:$A$50))),0)
+IFERROR(FILTER('RR5 Player Stats'!AH$3:AH$50, ISNUMBER(SEARCH($A32,'RR5 Player Stats'!$A$3:$A$"&amp;"50))),0)"),9.0)</f>
        <v>9</v>
      </c>
      <c r="P32" s="57">
        <f>IFERROR(__xludf.DUMMYFUNCTION("IFERROR(FILTER('RR1 Player Stats'!AI$3:AI$50, ISNUMBER(SEARCH($A32,'RR1 Player Stats'!$A$3:$A$50))),0)
+IFERROR(FILTER('RR2 Player Stats'!AI$3:AI$50, ISNUMBER(SEARCH($A32,'RR2 Player Stats'!$A$3:$A$50))),0)
+IFERROR(FILTER('RR3 Player Stats'!AI$3:AI$50, I"&amp;"SNUMBER(SEARCH($A32,'RR3 Player Stats'!$A$3:$A$50))),0)
+IFERROR(FILTER('RR4 Player Stats'!AI$3:AI$50, ISNUMBER(SEARCH($A32,'RR4 Player Stats'!$A$3:$A$50))),0)
+IFERROR(FILTER('RR5 Player Stats'!AI$3:AI$50, ISNUMBER(SEARCH($A32,'RR5 Player Stats'!$A$3:$A$"&amp;"50))),0)"),13.0)</f>
        <v>13</v>
      </c>
      <c r="Q32" s="57">
        <f>IFERROR(__xludf.DUMMYFUNCTION("IFERROR(FILTER('RR1 Player Stats'!AJ$3:AJ$50, ISNUMBER(SEARCH($A32,'RR1 Player Stats'!$A$3:$A$50))),0)
+IFERROR(FILTER('RR2 Player Stats'!AJ$3:AJ$50, ISNUMBER(SEARCH($A32,'RR2 Player Stats'!$A$3:$A$50))),0)
+IFERROR(FILTER('RR3 Player Stats'!AJ$3:AJ$50, I"&amp;"SNUMBER(SEARCH($A32,'RR3 Player Stats'!$A$3:$A$50))),0)
+IFERROR(FILTER('RR4 Player Stats'!AJ$3:AJ$50, ISNUMBER(SEARCH($A32,'RR4 Player Stats'!$A$3:$A$50))),0)
+IFERROR(FILTER('RR5 Player Stats'!AJ$3:AJ$50, ISNUMBER(SEARCH($A32,'RR5 Player Stats'!$A$3:$A$"&amp;"50))),0)"),7.0)</f>
        <v>7</v>
      </c>
      <c r="R32" s="57">
        <f>IFERROR(__xludf.DUMMYFUNCTION("IFERROR(FILTER('RR1 Player Stats'!AK$3:AK$50, ISNUMBER(SEARCH($A32,'RR1 Player Stats'!$A$3:$A$50))),0)
+IFERROR(FILTER('RR2 Player Stats'!AK$3:AK$50, ISNUMBER(SEARCH($A32,'RR2 Player Stats'!$A$3:$A$50))),0)
+IFERROR(FILTER('RR3 Player Stats'!AK$3:AK$50, I"&amp;"SNUMBER(SEARCH($A32,'RR3 Player Stats'!$A$3:$A$50))),0)
+IFERROR(FILTER('RR4 Player Stats'!AK$3:AK$50, ISNUMBER(SEARCH($A32,'RR4 Player Stats'!$A$3:$A$50))),0)
+IFERROR(FILTER('RR5 Player Stats'!AK$3:AK$50, ISNUMBER(SEARCH($A32,'RR5 Player Stats'!$A$3:$A$"&amp;"50))),0)"),114.0)</f>
        <v>114</v>
      </c>
      <c r="S32" s="57">
        <f>IFERROR(__xludf.DUMMYFUNCTION("IFERROR(FILTER('RR1 Player Stats'!AL$3:AL$50, ISNUMBER(SEARCH($A32,'RR1 Player Stats'!$A$3:$A$50))),0)
+IFERROR(FILTER('RR2 Player Stats'!AL$3:AL$50, ISNUMBER(SEARCH($A32,'RR2 Player Stats'!$A$3:$A$50))),0)
+IFERROR(FILTER('RR3 Player Stats'!AL$3:AL$50, I"&amp;"SNUMBER(SEARCH($A32,'RR3 Player Stats'!$A$3:$A$50))),0)
+IFERROR(FILTER('RR4 Player Stats'!AL$3:AL$50, ISNUMBER(SEARCH($A32,'RR4 Player Stats'!$A$3:$A$50))),0)
+IFERROR(FILTER('RR5 Player Stats'!AL$3:AL$50, ISNUMBER(SEARCH($A32,'RR5 Player Stats'!$A$3:$A$"&amp;"50))),0)"),86.0)</f>
        <v>86</v>
      </c>
      <c r="T32" s="180">
        <f>IFERROR(__xludf.DUMMYFUNCTION("(IFERROR(FILTER('RR1 Player Stats'!AM$3:AM$50, ISNUMBER(SEARCH($A32,'RR1 Player Stats'!$A$3:$A$50))),0)
+IFERROR(FILTER('RR2 Player Stats'!AM$3:AM$50, ISNUMBER(SEARCH($A32,'RR2 Player Stats'!$A$3:$A$50))),0)
+IFERROR(FILTER('RR3 Player Stats'!AM$3:AM$50, "&amp;"ISNUMBER(SEARCH($A32,'RR3 Player Stats'!$A$3:$A$50))),0)
+IFERROR(FILTER('RR4 Player Stats'!AM$3:AM$50, ISNUMBER(SEARCH($A32,'RR4 Player Stats'!$A$3:$A$50))),0)
+IFERROR(FILTER('RR5 Player Stats'!AM$3:AM$50, ISNUMBER(SEARCH($A32,'RR5 Player Stats'!$A$3:$A"&amp;"$50))),0))/B32"),0.275)</f>
        <v>0.275</v>
      </c>
      <c r="U32" s="55">
        <f>IFERROR(__xludf.DUMMYFUNCTION("MEDIAN(IFERROR(FILTER('RR1 Player Stats'!AH$3:AH$50, ISNUMBER(SEARCH($A32,'RR1 Player Stats'!$A$3:$A$50))),0),IFERROR(FILTER('RR2 Player Stats'!AH$3:AH$50, ISNUMBER(SEARCH($A32,'RR2 Player Stats'!$A$3:$A$50))),0),IFERROR(FILTER('RR3 Player Stats'!AH$3:AH$"&amp;"50, ISNUMBER(SEARCH($A32,'RR3 Player Stats'!$A$3:$A$50))),0),IFERROR(FILTER('RR4 Player Stats'!AH$3:AH$50, ISNUMBER(SEARCH($A32,'RR4 Player Stats'!$A$3:$A$50))),0),IFERROR(FILTER('RR5 Player Stats'!AH$3:AH$50, ISNUMBER(SEARCH($A32,'RR5 Player Stats'!$A$3:"&amp;"$A$50))),0))"),1.0)</f>
        <v>1</v>
      </c>
      <c r="V32" s="57">
        <f>IFERROR(__xludf.DUMMYFUNCTION("MEDIAN(IFERROR(FILTER('RR1 Player Stats'!AI$3:AI$50, ISNUMBER(SEARCH($A32,'RR1 Player Stats'!$A$3:$A$50))),0),IFERROR(FILTER('RR2 Player Stats'!AI$3:AI$50, ISNUMBER(SEARCH($A32,'RR2 Player Stats'!$A$3:$A$50))),0),IFERROR(FILTER('RR3 Player Stats'!AI$3:AI$"&amp;"50, ISNUMBER(SEARCH($A32,'RR3 Player Stats'!$A$3:$A$50))),0),IFERROR(FILTER('RR4 Player Stats'!AI$3:AI$50, ISNUMBER(SEARCH($A32,'RR4 Player Stats'!$A$3:$A$50))),0),IFERROR(FILTER('RR5 Player Stats'!AI$3:AI$50, ISNUMBER(SEARCH($A32,'RR5 Player Stats'!$A$3:"&amp;"$A$50))),0))"),3.0)</f>
        <v>3</v>
      </c>
      <c r="W32" s="57">
        <f>IFERROR(__xludf.DUMMYFUNCTION("MEDIAN(IFERROR(FILTER('RR1 Player Stats'!AJ$3:AJ$50, ISNUMBER(SEARCH($A32,'RR1 Player Stats'!$A$3:$A$50))),0),IFERROR(FILTER('RR2 Player Stats'!AJ$3:AJ$50, ISNUMBER(SEARCH($A32,'RR2 Player Stats'!$A$3:$A$50))),0),IFERROR(FILTER('RR3 Player Stats'!AJ$3:AJ$"&amp;"50, ISNUMBER(SEARCH($A32,'RR3 Player Stats'!$A$3:$A$50))),0),IFERROR(FILTER('RR4 Player Stats'!AJ$3:AJ$50, ISNUMBER(SEARCH($A32,'RR4 Player Stats'!$A$3:$A$50))),0),IFERROR(FILTER('RR5 Player Stats'!AJ$3:AJ$50, ISNUMBER(SEARCH($A32,'RR5 Player Stats'!$A$3:"&amp;"$A$50))),0))"),1.0)</f>
        <v>1</v>
      </c>
      <c r="X32" s="57">
        <f>IFERROR(__xludf.DUMMYFUNCTION("MEDIAN(IFERROR(FILTER('RR1 Player Stats'!AK$3:AK$50, ISNUMBER(SEARCH($A32,'RR1 Player Stats'!$A$3:$A$50))),0),IFERROR(FILTER('RR2 Player Stats'!AK$3:AK$50, ISNUMBER(SEARCH($A32,'RR2 Player Stats'!$A$3:$A$50))),0),IFERROR(FILTER('RR3 Player Stats'!AK$3:AK$"&amp;"50, ISNUMBER(SEARCH($A32,'RR3 Player Stats'!$A$3:$A$50))),0),IFERROR(FILTER('RR4 Player Stats'!AK$3:AK$50, ISNUMBER(SEARCH($A32,'RR4 Player Stats'!$A$3:$A$50))),0),IFERROR(FILTER('RR5 Player Stats'!AK$3:AK$50, ISNUMBER(SEARCH($A32,'RR5 Player Stats'!$A$3:"&amp;"$A$50))),0))"),24.0)</f>
        <v>24</v>
      </c>
      <c r="Y32" s="57">
        <f>IFERROR(__xludf.DUMMYFUNCTION("MEDIAN(IFERROR(FILTER('RR1 Player Stats'!AL$3:AL$50, ISNUMBER(SEARCH($A32,'RR1 Player Stats'!$A$3:$A$50))),0),IFERROR(FILTER('RR2 Player Stats'!AL$3:AL$50, ISNUMBER(SEARCH($A32,'RR2 Player Stats'!$A$3:$A$50))),0),IFERROR(FILTER('RR3 Player Stats'!AL$3:AL$"&amp;"50, ISNUMBER(SEARCH($A32,'RR3 Player Stats'!$A$3:$A$50))),0),IFERROR(FILTER('RR4 Player Stats'!AL$3:AL$50, ISNUMBER(SEARCH($A32,'RR4 Player Stats'!$A$3:$A$50))),0),IFERROR(FILTER('RR5 Player Stats'!AL$3:AL$50, ISNUMBER(SEARCH($A32,'RR5 Player Stats'!$A$3:"&amp;"$A$50))),0))"),18.0)</f>
        <v>18</v>
      </c>
      <c r="Z32" s="180">
        <f>IFERROR(__xludf.DUMMYFUNCTION("MEDIAN(IFERROR(FILTER('RR1 Player Stats'!AM$3:AM$50, ISNUMBER(SEARCH($A32,'RR1 Player Stats'!$A$3:$A$50))),0),IFERROR(FILTER('RR2 Player Stats'!AM$3:AM$50, ISNUMBER(SEARCH($A32,'RR2 Player Stats'!$A$3:$A$50))),0),IFERROR(FILTER('RR3 Player Stats'!AM$3:AM$"&amp;"50, ISNUMBER(SEARCH($A32,'RR3 Player Stats'!$A$3:$A$50))),0),IFERROR(FILTER('RR4 Player Stats'!AM$3:AM$50, ISNUMBER(SEARCH($A32,'RR4 Player Stats'!$A$3:$A$50))),0),IFERROR(FILTER('RR5 Player Stats'!AM$3:AM$50, ISNUMBER(SEARCH($A32,'RR5 Player Stats'!$A$3:"&amp;"$A$50))),0))"),0.2)</f>
        <v>0.2</v>
      </c>
    </row>
    <row r="33">
      <c r="A33" s="29" t="s">
        <v>57</v>
      </c>
      <c r="B33" s="48">
        <f>COUNTIF('RR1 Player Stats'!$A$3:$A$50,$A33)+COUNTIF('RR2 Player Stats'!$A$3:$A$50,$A33)+COUNTIF('RR3 Player Stats'!$A$3:$A$50,$A33)+COUNTIF('RR4 Player Stats'!$A$3:$A$50,$A33)+COUNTIF('RR5 Player Stats'!$A$3:$A$50,$A33)</f>
        <v>5</v>
      </c>
      <c r="C33" s="55">
        <f>IFERROR(__xludf.DUMMYFUNCTION("IFERROR(FILTER('RR1 Player Stats'!V$3:V$50, ISNUMBER(SEARCH($A33,'RR1 Player Stats'!$A$3:$A$50))),0)
+IFERROR(FILTER('RR2 Player Stats'!V$3:V$50, ISNUMBER(SEARCH($A33,'RR2 Player Stats'!$A$3:$A$50))),0)
+IFERROR(FILTER('RR3 Player Stats'!V$3:V$50, ISNUMBE"&amp;"R(SEARCH($A33,'RR3 Player Stats'!$A$3:$A$50))),0)
+IFERROR(FILTER('RR4 Player Stats'!V$3:V$50, ISNUMBER(SEARCH($A33,'RR4 Player Stats'!$A$3:$A$50))),0)
+IFERROR(FILTER('RR5 Player Stats'!V$3:V$50, ISNUMBER(SEARCH($A33,'RR5 Player Stats'!$A$3:$A$50))),0)"),2.0)</f>
        <v>2</v>
      </c>
      <c r="D33" s="57">
        <f>IFERROR(__xludf.DUMMYFUNCTION("IFERROR(FILTER('RR1 Player Stats'!W$3:W$50, ISNUMBER(SEARCH($A33,'RR1 Player Stats'!$A$3:$A$50))),0)
+IFERROR(FILTER('RR2 Player Stats'!W$3:W$50, ISNUMBER(SEARCH($A33,'RR2 Player Stats'!$A$3:$A$50))),0)
+IFERROR(FILTER('RR3 Player Stats'!W$3:W$50, ISNUMBE"&amp;"R(SEARCH($A33,'RR3 Player Stats'!$A$3:$A$50))),0)
+IFERROR(FILTER('RR4 Player Stats'!W$3:W$50, ISNUMBER(SEARCH($A33,'RR4 Player Stats'!$A$3:$A$50))),0)
+IFERROR(FILTER('RR5 Player Stats'!W$3:W$50, ISNUMBER(SEARCH($A33,'RR5 Player Stats'!$A$3:$A$50))),0)"),4.0)</f>
        <v>4</v>
      </c>
      <c r="E33" s="57">
        <f>IFERROR(__xludf.DUMMYFUNCTION("IFERROR(FILTER('RR1 Player Stats'!X$3:X$50, ISNUMBER(SEARCH($A33,'RR1 Player Stats'!$A$3:$A$50))),0)
+IFERROR(FILTER('RR2 Player Stats'!X$3:X$50, ISNUMBER(SEARCH($A33,'RR2 Player Stats'!$A$3:$A$50))),0)
+IFERROR(FILTER('RR3 Player Stats'!X$3:X$50, ISNUMBE"&amp;"R(SEARCH($A33,'RR3 Player Stats'!$A$3:$A$50))),0)
+IFERROR(FILTER('RR4 Player Stats'!X$3:X$50, ISNUMBER(SEARCH($A33,'RR4 Player Stats'!$A$3:$A$50))),0)
+IFERROR(FILTER('RR5 Player Stats'!X$3:X$50, ISNUMBER(SEARCH($A33,'RR5 Player Stats'!$A$3:$A$50))),0)"),11.0)</f>
        <v>11</v>
      </c>
      <c r="F33" s="57">
        <f>IFERROR(__xludf.DUMMYFUNCTION("IFERROR(FILTER('RR1 Player Stats'!Y$3:Y$50, ISNUMBER(SEARCH($A33,'RR1 Player Stats'!$A$3:$A$50))),0)
+IFERROR(FILTER('RR2 Player Stats'!Y$3:Y$50, ISNUMBER(SEARCH($A33,'RR2 Player Stats'!$A$3:$A$50))),0)
+IFERROR(FILTER('RR3 Player Stats'!Y$3:Y$50, ISNUMBE"&amp;"R(SEARCH($A33,'RR3 Player Stats'!$A$3:$A$50))),0)
+IFERROR(FILTER('RR4 Player Stats'!Y$3:Y$50, ISNUMBER(SEARCH($A33,'RR4 Player Stats'!$A$3:$A$50))),0)
+IFERROR(FILTER('RR5 Player Stats'!Y$3:Y$50, ISNUMBER(SEARCH($A33,'RR5 Player Stats'!$A$3:$A$50))),0)"),32.0)</f>
        <v>32</v>
      </c>
      <c r="G33" s="57">
        <f>IFERROR(__xludf.DUMMYFUNCTION("IFERROR(FILTER('RR1 Player Stats'!Z$3:Z$50, ISNUMBER(SEARCH($A33,'RR1 Player Stats'!$A$3:$A$50))),0)
+IFERROR(FILTER('RR2 Player Stats'!Z$3:Z$50, ISNUMBER(SEARCH($A33,'RR2 Player Stats'!$A$3:$A$50))),0)
+IFERROR(FILTER('RR3 Player Stats'!Z$3:Z$50, ISNUMBE"&amp;"R(SEARCH($A33,'RR3 Player Stats'!$A$3:$A$50))),0)
+IFERROR(FILTER('RR4 Player Stats'!Z$3:Z$50, ISNUMBER(SEARCH($A33,'RR4 Player Stats'!$A$3:$A$50))),0)
+IFERROR(FILTER('RR5 Player Stats'!Z$3:Z$50, ISNUMBER(SEARCH($A33,'RR5 Player Stats'!$A$3:$A$50))),0)"),-12.0)</f>
        <v>-12</v>
      </c>
      <c r="H33" s="180">
        <f>IFERROR(__xludf.DUMMYFUNCTION("(IFERROR(FILTER('RR1 Player Stats'!AA$3:AA$50, ISNUMBER(SEARCH($A33,'RR1 Player Stats'!$A$3:$A$50))),0)
+IFERROR(FILTER('RR2 Player Stats'!AA$3:AA$50, ISNUMBER(SEARCH($A33,'RR2 Player Stats'!$A$3:$A$50))),0)
+IFERROR(FILTER('RR3 Player Stats'!AA$3:AA$50, "&amp;"ISNUMBER(SEARCH($A33,'RR3 Player Stats'!$A$3:$A$50))),0)
+IFERROR(FILTER('RR4 Player Stats'!AA$3:AA$50, ISNUMBER(SEARCH($A33,'RR4 Player Stats'!$A$3:$A$50))),0)
+IFERROR(FILTER('RR5 Player Stats'!AA$3:AA$50, ISNUMBER(SEARCH($A33,'RR5 Player Stats'!$A$3:$A"&amp;"$50))),0))/5"),0.1)</f>
        <v>0.1</v>
      </c>
      <c r="I33" s="55">
        <f>IFERROR(__xludf.DUMMYFUNCTION("IFERROR(FILTER('RR1 Player Stats'!AB$3:AB$50, ISNUMBER(SEARCH($A33,'RR1 Player Stats'!$A$3:$A$50))),0)
+IFERROR(FILTER('RR2 Player Stats'!AB$3:AB$50, ISNUMBER(SEARCH($A33,'RR2 Player Stats'!$A$3:$A$50))),0)
+IFERROR(FILTER('RR3 Player Stats'!AB$3:AB$50, I"&amp;"SNUMBER(SEARCH($A33,'RR3 Player Stats'!$A$3:$A$50))),0)
+IFERROR(FILTER('RR4 Player Stats'!AB$3:AB$50, ISNUMBER(SEARCH($A33,'RR4 Player Stats'!$A$3:$A$50))),0)
+IFERROR(FILTER('RR5 Player Stats'!AB$3:AB$50, ISNUMBER(SEARCH($A33,'RR5 Player Stats'!$A$3:$A$"&amp;"50))),0)"),5.0)</f>
        <v>5</v>
      </c>
      <c r="J33" s="57">
        <f>IFERROR(__xludf.DUMMYFUNCTION("IFERROR(FILTER('RR1 Player Stats'!AC$3:AC$50, ISNUMBER(SEARCH($A33,'RR1 Player Stats'!$A$3:$A$50))),0)
+IFERROR(FILTER('RR2 Player Stats'!AC$3:AC$50, ISNUMBER(SEARCH($A33,'RR2 Player Stats'!$A$3:$A$50))),0)
+IFERROR(FILTER('RR3 Player Stats'!AC$3:AC$50, I"&amp;"SNUMBER(SEARCH($A33,'RR3 Player Stats'!$A$3:$A$50))),0)
+IFERROR(FILTER('RR4 Player Stats'!AC$3:AC$50, ISNUMBER(SEARCH($A33,'RR4 Player Stats'!$A$3:$A$50))),0)
+IFERROR(FILTER('RR5 Player Stats'!AC$3:AC$50, ISNUMBER(SEARCH($A33,'RR5 Player Stats'!$A$3:$A$"&amp;"50))),0)"),10.0)</f>
        <v>10</v>
      </c>
      <c r="K33" s="57">
        <f>IFERROR(__xludf.DUMMYFUNCTION("IFERROR(FILTER('RR1 Player Stats'!AD$3:AD$50, ISNUMBER(SEARCH($A33,'RR1 Player Stats'!$A$3:$A$50))),0)
+IFERROR(FILTER('RR2 Player Stats'!AD$3:AD$50, ISNUMBER(SEARCH($A33,'RR2 Player Stats'!$A$3:$A$50))),0)
+IFERROR(FILTER('RR3 Player Stats'!AD$3:AD$50, I"&amp;"SNUMBER(SEARCH($A33,'RR3 Player Stats'!$A$3:$A$50))),0)
+IFERROR(FILTER('RR4 Player Stats'!AD$3:AD$50, ISNUMBER(SEARCH($A33,'RR4 Player Stats'!$A$3:$A$50))),0)
+IFERROR(FILTER('RR5 Player Stats'!AD$3:AD$50, ISNUMBER(SEARCH($A33,'RR5 Player Stats'!$A$3:$A$"&amp;"50))),0)"),11.0)</f>
        <v>11</v>
      </c>
      <c r="L33" s="57">
        <f>IFERROR(__xludf.DUMMYFUNCTION("IFERROR(FILTER('RR1 Player Stats'!AE$3:AE$50, ISNUMBER(SEARCH($A33,'RR1 Player Stats'!$A$3:$A$50))),0)
+IFERROR(FILTER('RR2 Player Stats'!AE$3:AE$50, ISNUMBER(SEARCH($A33,'RR2 Player Stats'!$A$3:$A$50))),0)
+IFERROR(FILTER('RR3 Player Stats'!AE$3:AE$50, I"&amp;"SNUMBER(SEARCH($A33,'RR3 Player Stats'!$A$3:$A$50))),0)
+IFERROR(FILTER('RR4 Player Stats'!AE$3:AE$50, ISNUMBER(SEARCH($A33,'RR4 Player Stats'!$A$3:$A$50))),0)
+IFERROR(FILTER('RR5 Player Stats'!AE$3:AE$50, ISNUMBER(SEARCH($A33,'RR5 Player Stats'!$A$3:$A$"&amp;"50))),0)"),80.0)</f>
        <v>80</v>
      </c>
      <c r="M33" s="57">
        <f>IFERROR(__xludf.DUMMYFUNCTION("IFERROR(FILTER('RR1 Player Stats'!AF$3:AF$50, ISNUMBER(SEARCH($A33,'RR1 Player Stats'!$A$3:$A$50))),0)
+IFERROR(FILTER('RR2 Player Stats'!AF$3:AF$50, ISNUMBER(SEARCH($A33,'RR2 Player Stats'!$A$3:$A$50))),0)
+IFERROR(FILTER('RR3 Player Stats'!AF$3:AF$50, I"&amp;"SNUMBER(SEARCH($A33,'RR3 Player Stats'!$A$3:$A$50))),0)
+IFERROR(FILTER('RR4 Player Stats'!AF$3:AF$50, ISNUMBER(SEARCH($A33,'RR4 Player Stats'!$A$3:$A$50))),0)
+IFERROR(FILTER('RR5 Player Stats'!AF$3:AF$50, ISNUMBER(SEARCH($A33,'RR5 Player Stats'!$A$3:$A$"&amp;"50))),0)"),36.0)</f>
        <v>36</v>
      </c>
      <c r="N33" s="180">
        <f>IFERROR(__xludf.DUMMYFUNCTION("(IFERROR(FILTER('RR1 Player Stats'!AG$3:AG$50, ISNUMBER(SEARCH($A33,'RR1 Player Stats'!$A$3:$A$50))),0)
+IFERROR(FILTER('RR2 Player Stats'!AG$3:AG$50, ISNUMBER(SEARCH($A33,'RR2 Player Stats'!$A$3:$A$50))),0)
+IFERROR(FILTER('RR3 Player Stats'!AG$3:AG$50, "&amp;"ISNUMBER(SEARCH($A33,'RR3 Player Stats'!$A$3:$A$50))),0)
+IFERROR(FILTER('RR4 Player Stats'!AG$3:AG$50, ISNUMBER(SEARCH($A33,'RR4 Player Stats'!$A$3:$A$50))),0)
+IFERROR(FILTER('RR5 Player Stats'!AG$3:AG$50, ISNUMBER(SEARCH($A33,'RR5 Player Stats'!$A$3:$A"&amp;"$50))),0))/5"),0.37799999999999995)</f>
        <v>0.378</v>
      </c>
      <c r="O33" s="55">
        <f>IFERROR(__xludf.DUMMYFUNCTION("IFERROR(FILTER('RR1 Player Stats'!AH$3:AH$50, ISNUMBER(SEARCH($A33,'RR1 Player Stats'!$A$3:$A$50))),0)
+IFERROR(FILTER('RR2 Player Stats'!AH$3:AH$50, ISNUMBER(SEARCH($A33,'RR2 Player Stats'!$A$3:$A$50))),0)
+IFERROR(FILTER('RR3 Player Stats'!AH$3:AH$50, I"&amp;"SNUMBER(SEARCH($A33,'RR3 Player Stats'!$A$3:$A$50))),0)
+IFERROR(FILTER('RR4 Player Stats'!AH$3:AH$50, ISNUMBER(SEARCH($A33,'RR4 Player Stats'!$A$3:$A$50))),0)
+IFERROR(FILTER('RR5 Player Stats'!AH$3:AH$50, ISNUMBER(SEARCH($A33,'RR5 Player Stats'!$A$3:$A$"&amp;"50))),0)"),7.0)</f>
        <v>7</v>
      </c>
      <c r="P33" s="57">
        <f>IFERROR(__xludf.DUMMYFUNCTION("IFERROR(FILTER('RR1 Player Stats'!AI$3:AI$50, ISNUMBER(SEARCH($A33,'RR1 Player Stats'!$A$3:$A$50))),0)
+IFERROR(FILTER('RR2 Player Stats'!AI$3:AI$50, ISNUMBER(SEARCH($A33,'RR2 Player Stats'!$A$3:$A$50))),0)
+IFERROR(FILTER('RR3 Player Stats'!AI$3:AI$50, I"&amp;"SNUMBER(SEARCH($A33,'RR3 Player Stats'!$A$3:$A$50))),0)
+IFERROR(FILTER('RR4 Player Stats'!AI$3:AI$50, ISNUMBER(SEARCH($A33,'RR4 Player Stats'!$A$3:$A$50))),0)
+IFERROR(FILTER('RR5 Player Stats'!AI$3:AI$50, ISNUMBER(SEARCH($A33,'RR5 Player Stats'!$A$3:$A$"&amp;"50))),0)"),14.0)</f>
        <v>14</v>
      </c>
      <c r="Q33" s="57">
        <f>IFERROR(__xludf.DUMMYFUNCTION("IFERROR(FILTER('RR1 Player Stats'!AJ$3:AJ$50, ISNUMBER(SEARCH($A33,'RR1 Player Stats'!$A$3:$A$50))),0)
+IFERROR(FILTER('RR2 Player Stats'!AJ$3:AJ$50, ISNUMBER(SEARCH($A33,'RR2 Player Stats'!$A$3:$A$50))),0)
+IFERROR(FILTER('RR3 Player Stats'!AJ$3:AJ$50, I"&amp;"SNUMBER(SEARCH($A33,'RR3 Player Stats'!$A$3:$A$50))),0)
+IFERROR(FILTER('RR4 Player Stats'!AJ$3:AJ$50, ISNUMBER(SEARCH($A33,'RR4 Player Stats'!$A$3:$A$50))),0)
+IFERROR(FILTER('RR5 Player Stats'!AJ$3:AJ$50, ISNUMBER(SEARCH($A33,'RR5 Player Stats'!$A$3:$A$"&amp;"50))),0)"),22.0)</f>
        <v>22</v>
      </c>
      <c r="R33" s="57">
        <f>IFERROR(__xludf.DUMMYFUNCTION("IFERROR(FILTER('RR1 Player Stats'!AK$3:AK$50, ISNUMBER(SEARCH($A33,'RR1 Player Stats'!$A$3:$A$50))),0)
+IFERROR(FILTER('RR2 Player Stats'!AK$3:AK$50, ISNUMBER(SEARCH($A33,'RR2 Player Stats'!$A$3:$A$50))),0)
+IFERROR(FILTER('RR3 Player Stats'!AK$3:AK$50, I"&amp;"SNUMBER(SEARCH($A33,'RR3 Player Stats'!$A$3:$A$50))),0)
+IFERROR(FILTER('RR4 Player Stats'!AK$3:AK$50, ISNUMBER(SEARCH($A33,'RR4 Player Stats'!$A$3:$A$50))),0)
+IFERROR(FILTER('RR5 Player Stats'!AK$3:AK$50, ISNUMBER(SEARCH($A33,'RR5 Player Stats'!$A$3:$A$"&amp;"50))),0)"),112.0)</f>
        <v>112</v>
      </c>
      <c r="S33" s="57">
        <f>IFERROR(__xludf.DUMMYFUNCTION("IFERROR(FILTER('RR1 Player Stats'!AL$3:AL$50, ISNUMBER(SEARCH($A33,'RR1 Player Stats'!$A$3:$A$50))),0)
+IFERROR(FILTER('RR2 Player Stats'!AL$3:AL$50, ISNUMBER(SEARCH($A33,'RR2 Player Stats'!$A$3:$A$50))),0)
+IFERROR(FILTER('RR3 Player Stats'!AL$3:AL$50, I"&amp;"SNUMBER(SEARCH($A33,'RR3 Player Stats'!$A$3:$A$50))),0)
+IFERROR(FILTER('RR4 Player Stats'!AL$3:AL$50, ISNUMBER(SEARCH($A33,'RR4 Player Stats'!$A$3:$A$50))),0)
+IFERROR(FILTER('RR5 Player Stats'!AL$3:AL$50, ISNUMBER(SEARCH($A33,'RR5 Player Stats'!$A$3:$A$"&amp;"50))),0)"),24.0)</f>
        <v>24</v>
      </c>
      <c r="T33" s="180">
        <f>IFERROR(__xludf.DUMMYFUNCTION("(IFERROR(FILTER('RR1 Player Stats'!AM$3:AM$50, ISNUMBER(SEARCH($A33,'RR1 Player Stats'!$A$3:$A$50))),0)
+IFERROR(FILTER('RR2 Player Stats'!AM$3:AM$50, ISNUMBER(SEARCH($A33,'RR2 Player Stats'!$A$3:$A$50))),0)
+IFERROR(FILTER('RR3 Player Stats'!AM$3:AM$50, "&amp;"ISNUMBER(SEARCH($A33,'RR3 Player Stats'!$A$3:$A$50))),0)
+IFERROR(FILTER('RR4 Player Stats'!AM$3:AM$50, ISNUMBER(SEARCH($A33,'RR4 Player Stats'!$A$3:$A$50))),0)
+IFERROR(FILTER('RR5 Player Stats'!AM$3:AM$50, ISNUMBER(SEARCH($A33,'RR5 Player Stats'!$A$3:$A"&amp;"$50))),0))/B33"),0.21000000000000002)</f>
        <v>0.21</v>
      </c>
      <c r="U33" s="55">
        <f>IFERROR(__xludf.DUMMYFUNCTION("MEDIAN(IFERROR(FILTER('RR1 Player Stats'!AH$3:AH$50, ISNUMBER(SEARCH($A33,'RR1 Player Stats'!$A$3:$A$50))),0),IFERROR(FILTER('RR2 Player Stats'!AH$3:AH$50, ISNUMBER(SEARCH($A33,'RR2 Player Stats'!$A$3:$A$50))),0),IFERROR(FILTER('RR3 Player Stats'!AH$3:AH$"&amp;"50, ISNUMBER(SEARCH($A33,'RR3 Player Stats'!$A$3:$A$50))),0),IFERROR(FILTER('RR4 Player Stats'!AH$3:AH$50, ISNUMBER(SEARCH($A33,'RR4 Player Stats'!$A$3:$A$50))),0),IFERROR(FILTER('RR5 Player Stats'!AH$3:AH$50, ISNUMBER(SEARCH($A33,'RR5 Player Stats'!$A$3:"&amp;"$A$50))),0))"),2.0)</f>
        <v>2</v>
      </c>
      <c r="V33" s="57">
        <f>IFERROR(__xludf.DUMMYFUNCTION("MEDIAN(IFERROR(FILTER('RR1 Player Stats'!AI$3:AI$50, ISNUMBER(SEARCH($A33,'RR1 Player Stats'!$A$3:$A$50))),0),IFERROR(FILTER('RR2 Player Stats'!AI$3:AI$50, ISNUMBER(SEARCH($A33,'RR2 Player Stats'!$A$3:$A$50))),0),IFERROR(FILTER('RR3 Player Stats'!AI$3:AI$"&amp;"50, ISNUMBER(SEARCH($A33,'RR3 Player Stats'!$A$3:$A$50))),0),IFERROR(FILTER('RR4 Player Stats'!AI$3:AI$50, ISNUMBER(SEARCH($A33,'RR4 Player Stats'!$A$3:$A$50))),0),IFERROR(FILTER('RR5 Player Stats'!AI$3:AI$50, ISNUMBER(SEARCH($A33,'RR5 Player Stats'!$A$3:"&amp;"$A$50))),0))"),3.0)</f>
        <v>3</v>
      </c>
      <c r="W33" s="57">
        <f>IFERROR(__xludf.DUMMYFUNCTION("MEDIAN(IFERROR(FILTER('RR1 Player Stats'!AJ$3:AJ$50, ISNUMBER(SEARCH($A33,'RR1 Player Stats'!$A$3:$A$50))),0),IFERROR(FILTER('RR2 Player Stats'!AJ$3:AJ$50, ISNUMBER(SEARCH($A33,'RR2 Player Stats'!$A$3:$A$50))),0),IFERROR(FILTER('RR3 Player Stats'!AJ$3:AJ$"&amp;"50, ISNUMBER(SEARCH($A33,'RR3 Player Stats'!$A$3:$A$50))),0),IFERROR(FILTER('RR4 Player Stats'!AJ$3:AJ$50, ISNUMBER(SEARCH($A33,'RR4 Player Stats'!$A$3:$A$50))),0),IFERROR(FILTER('RR5 Player Stats'!AJ$3:AJ$50, ISNUMBER(SEARCH($A33,'RR5 Player Stats'!$A$3:"&amp;"$A$50))),0))"),2.0)</f>
        <v>2</v>
      </c>
      <c r="X33" s="57">
        <f>IFERROR(__xludf.DUMMYFUNCTION("MEDIAN(IFERROR(FILTER('RR1 Player Stats'!AK$3:AK$50, ISNUMBER(SEARCH($A33,'RR1 Player Stats'!$A$3:$A$50))),0),IFERROR(FILTER('RR2 Player Stats'!AK$3:AK$50, ISNUMBER(SEARCH($A33,'RR2 Player Stats'!$A$3:$A$50))),0),IFERROR(FILTER('RR3 Player Stats'!AK$3:AK$"&amp;"50, ISNUMBER(SEARCH($A33,'RR3 Player Stats'!$A$3:$A$50))),0),IFERROR(FILTER('RR4 Player Stats'!AK$3:AK$50, ISNUMBER(SEARCH($A33,'RR4 Player Stats'!$A$3:$A$50))),0),IFERROR(FILTER('RR5 Player Stats'!AK$3:AK$50, ISNUMBER(SEARCH($A33,'RR5 Player Stats'!$A$3:"&amp;"$A$50))),0))"),26.0)</f>
        <v>26</v>
      </c>
      <c r="Y33" s="57">
        <f>IFERROR(__xludf.DUMMYFUNCTION("MEDIAN(IFERROR(FILTER('RR1 Player Stats'!AL$3:AL$50, ISNUMBER(SEARCH($A33,'RR1 Player Stats'!$A$3:$A$50))),0),IFERROR(FILTER('RR2 Player Stats'!AL$3:AL$50, ISNUMBER(SEARCH($A33,'RR2 Player Stats'!$A$3:$A$50))),0),IFERROR(FILTER('RR3 Player Stats'!AL$3:AL$"&amp;"50, ISNUMBER(SEARCH($A33,'RR3 Player Stats'!$A$3:$A$50))),0),IFERROR(FILTER('RR4 Player Stats'!AL$3:AL$50, ISNUMBER(SEARCH($A33,'RR4 Player Stats'!$A$3:$A$50))),0),IFERROR(FILTER('RR5 Player Stats'!AL$3:AL$50, ISNUMBER(SEARCH($A33,'RR5 Player Stats'!$A$3:"&amp;"$A$50))),0))"),18.0)</f>
        <v>18</v>
      </c>
      <c r="Z33" s="180">
        <f>IFERROR(__xludf.DUMMYFUNCTION("MEDIAN(IFERROR(FILTER('RR1 Player Stats'!AM$3:AM$50, ISNUMBER(SEARCH($A33,'RR1 Player Stats'!$A$3:$A$50))),0),IFERROR(FILTER('RR2 Player Stats'!AM$3:AM$50, ISNUMBER(SEARCH($A33,'RR2 Player Stats'!$A$3:$A$50))),0),IFERROR(FILTER('RR3 Player Stats'!AM$3:AM$"&amp;"50, ISNUMBER(SEARCH($A33,'RR3 Player Stats'!$A$3:$A$50))),0),IFERROR(FILTER('RR4 Player Stats'!AM$3:AM$50, ISNUMBER(SEARCH($A33,'RR4 Player Stats'!$A$3:$A$50))),0),IFERROR(FILTER('RR5 Player Stats'!AM$3:AM$50, ISNUMBER(SEARCH($A33,'RR5 Player Stats'!$A$3:"&amp;"$A$50))),0))"),0.25)</f>
        <v>0.25</v>
      </c>
    </row>
    <row r="34">
      <c r="A34" s="29" t="s">
        <v>41</v>
      </c>
      <c r="B34" s="48">
        <f>COUNTIF('RR1 Player Stats'!$A$3:$A$50,$A34)+COUNTIF('RR2 Player Stats'!$A$3:$A$50,$A34)+COUNTIF('RR3 Player Stats'!$A$3:$A$50,$A34)+COUNTIF('RR4 Player Stats'!$A$3:$A$50,$A34)+COUNTIF('RR5 Player Stats'!$A$3:$A$50,$A34)</f>
        <v>5</v>
      </c>
      <c r="C34" s="55">
        <f>IFERROR(__xludf.DUMMYFUNCTION("IFERROR(FILTER('RR1 Player Stats'!V$3:V$50, ISNUMBER(SEARCH($A34,'RR1 Player Stats'!$A$3:$A$50))),0)
+IFERROR(FILTER('RR2 Player Stats'!V$3:V$50, ISNUMBER(SEARCH($A34,'RR2 Player Stats'!$A$3:$A$50))),0)
+IFERROR(FILTER('RR3 Player Stats'!V$3:V$50, ISNUMBE"&amp;"R(SEARCH($A34,'RR3 Player Stats'!$A$3:$A$50))),0)
+IFERROR(FILTER('RR4 Player Stats'!V$3:V$50, ISNUMBER(SEARCH($A34,'RR4 Player Stats'!$A$3:$A$50))),0)
+IFERROR(FILTER('RR5 Player Stats'!V$3:V$50, ISNUMBER(SEARCH($A34,'RR5 Player Stats'!$A$3:$A$50))),0)"),12.0)</f>
        <v>12</v>
      </c>
      <c r="D34" s="57">
        <f>IFERROR(__xludf.DUMMYFUNCTION("IFERROR(FILTER('RR1 Player Stats'!W$3:W$50, ISNUMBER(SEARCH($A34,'RR1 Player Stats'!$A$3:$A$50))),0)
+IFERROR(FILTER('RR2 Player Stats'!W$3:W$50, ISNUMBER(SEARCH($A34,'RR2 Player Stats'!$A$3:$A$50))),0)
+IFERROR(FILTER('RR3 Player Stats'!W$3:W$50, ISNUMBE"&amp;"R(SEARCH($A34,'RR3 Player Stats'!$A$3:$A$50))),0)
+IFERROR(FILTER('RR4 Player Stats'!W$3:W$50, ISNUMBER(SEARCH($A34,'RR4 Player Stats'!$A$3:$A$50))),0)
+IFERROR(FILTER('RR5 Player Stats'!W$3:W$50, ISNUMBER(SEARCH($A34,'RR5 Player Stats'!$A$3:$A$50))),0)"),4.0)</f>
        <v>4</v>
      </c>
      <c r="E34" s="57">
        <f>IFERROR(__xludf.DUMMYFUNCTION("IFERROR(FILTER('RR1 Player Stats'!X$3:X$50, ISNUMBER(SEARCH($A34,'RR1 Player Stats'!$A$3:$A$50))),0)
+IFERROR(FILTER('RR2 Player Stats'!X$3:X$50, ISNUMBER(SEARCH($A34,'RR2 Player Stats'!$A$3:$A$50))),0)
+IFERROR(FILTER('RR3 Player Stats'!X$3:X$50, ISNUMBE"&amp;"R(SEARCH($A34,'RR3 Player Stats'!$A$3:$A$50))),0)
+IFERROR(FILTER('RR4 Player Stats'!X$3:X$50, ISNUMBER(SEARCH($A34,'RR4 Player Stats'!$A$3:$A$50))),0)
+IFERROR(FILTER('RR5 Player Stats'!X$3:X$50, ISNUMBER(SEARCH($A34,'RR5 Player Stats'!$A$3:$A$50))),0)"),3.0)</f>
        <v>3</v>
      </c>
      <c r="F34" s="57">
        <f>IFERROR(__xludf.DUMMYFUNCTION("IFERROR(FILTER('RR1 Player Stats'!Y$3:Y$50, ISNUMBER(SEARCH($A34,'RR1 Player Stats'!$A$3:$A$50))),0)
+IFERROR(FILTER('RR2 Player Stats'!Y$3:Y$50, ISNUMBER(SEARCH($A34,'RR2 Player Stats'!$A$3:$A$50))),0)
+IFERROR(FILTER('RR3 Player Stats'!Y$3:Y$50, ISNUMBE"&amp;"R(SEARCH($A34,'RR3 Player Stats'!$A$3:$A$50))),0)
+IFERROR(FILTER('RR4 Player Stats'!Y$3:Y$50, ISNUMBER(SEARCH($A34,'RR4 Player Stats'!$A$3:$A$50))),0)
+IFERROR(FILTER('RR5 Player Stats'!Y$3:Y$50, ISNUMBER(SEARCH($A34,'RR5 Player Stats'!$A$3:$A$50))),0)"),72.0)</f>
        <v>72</v>
      </c>
      <c r="G34" s="57">
        <f>IFERROR(__xludf.DUMMYFUNCTION("IFERROR(FILTER('RR1 Player Stats'!Z$3:Z$50, ISNUMBER(SEARCH($A34,'RR1 Player Stats'!$A$3:$A$50))),0)
+IFERROR(FILTER('RR2 Player Stats'!Z$3:Z$50, ISNUMBER(SEARCH($A34,'RR2 Player Stats'!$A$3:$A$50))),0)
+IFERROR(FILTER('RR3 Player Stats'!Z$3:Z$50, ISNUMBE"&amp;"R(SEARCH($A34,'RR3 Player Stats'!$A$3:$A$50))),0)
+IFERROR(FILTER('RR4 Player Stats'!Z$3:Z$50, ISNUMBER(SEARCH($A34,'RR4 Player Stats'!$A$3:$A$50))),0)
+IFERROR(FILTER('RR5 Player Stats'!Z$3:Z$50, ISNUMBER(SEARCH($A34,'RR5 Player Stats'!$A$3:$A$50))),0)"),60.0)</f>
        <v>60</v>
      </c>
      <c r="H34" s="180">
        <f>IFERROR(__xludf.DUMMYFUNCTION("(IFERROR(FILTER('RR1 Player Stats'!AA$3:AA$50, ISNUMBER(SEARCH($A34,'RR1 Player Stats'!$A$3:$A$50))),0)
+IFERROR(FILTER('RR2 Player Stats'!AA$3:AA$50, ISNUMBER(SEARCH($A34,'RR2 Player Stats'!$A$3:$A$50))),0)
+IFERROR(FILTER('RR3 Player Stats'!AA$3:AA$50, "&amp;"ISNUMBER(SEARCH($A34,'RR3 Player Stats'!$A$3:$A$50))),0)
+IFERROR(FILTER('RR4 Player Stats'!AA$3:AA$50, ISNUMBER(SEARCH($A34,'RR4 Player Stats'!$A$3:$A$50))),0)
+IFERROR(FILTER('RR5 Player Stats'!AA$3:AA$50, ISNUMBER(SEARCH($A34,'RR5 Player Stats'!$A$3:$A"&amp;"$50))),0))/5"),0.266)</f>
        <v>0.266</v>
      </c>
      <c r="I34" s="55">
        <f>IFERROR(__xludf.DUMMYFUNCTION("IFERROR(FILTER('RR1 Player Stats'!AB$3:AB$50, ISNUMBER(SEARCH($A34,'RR1 Player Stats'!$A$3:$A$50))),0)
+IFERROR(FILTER('RR2 Player Stats'!AB$3:AB$50, ISNUMBER(SEARCH($A34,'RR2 Player Stats'!$A$3:$A$50))),0)
+IFERROR(FILTER('RR3 Player Stats'!AB$3:AB$50, I"&amp;"SNUMBER(SEARCH($A34,'RR3 Player Stats'!$A$3:$A$50))),0)
+IFERROR(FILTER('RR4 Player Stats'!AB$3:AB$50, ISNUMBER(SEARCH($A34,'RR4 Player Stats'!$A$3:$A$50))),0)
+IFERROR(FILTER('RR5 Player Stats'!AB$3:AB$50, ISNUMBER(SEARCH($A34,'RR5 Player Stats'!$A$3:$A$"&amp;"50))),0)"),8.0)</f>
        <v>8</v>
      </c>
      <c r="J34" s="57">
        <f>IFERROR(__xludf.DUMMYFUNCTION("IFERROR(FILTER('RR1 Player Stats'!AC$3:AC$50, ISNUMBER(SEARCH($A34,'RR1 Player Stats'!$A$3:$A$50))),0)
+IFERROR(FILTER('RR2 Player Stats'!AC$3:AC$50, ISNUMBER(SEARCH($A34,'RR2 Player Stats'!$A$3:$A$50))),0)
+IFERROR(FILTER('RR3 Player Stats'!AC$3:AC$50, I"&amp;"SNUMBER(SEARCH($A34,'RR3 Player Stats'!$A$3:$A$50))),0)
+IFERROR(FILTER('RR4 Player Stats'!AC$3:AC$50, ISNUMBER(SEARCH($A34,'RR4 Player Stats'!$A$3:$A$50))),0)
+IFERROR(FILTER('RR5 Player Stats'!AC$3:AC$50, ISNUMBER(SEARCH($A34,'RR5 Player Stats'!$A$3:$A$"&amp;"50))),0)"),1.0)</f>
        <v>1</v>
      </c>
      <c r="K34" s="57">
        <f>IFERROR(__xludf.DUMMYFUNCTION("IFERROR(FILTER('RR1 Player Stats'!AD$3:AD$50, ISNUMBER(SEARCH($A34,'RR1 Player Stats'!$A$3:$A$50))),0)
+IFERROR(FILTER('RR2 Player Stats'!AD$3:AD$50, ISNUMBER(SEARCH($A34,'RR2 Player Stats'!$A$3:$A$50))),0)
+IFERROR(FILTER('RR3 Player Stats'!AD$3:AD$50, I"&amp;"SNUMBER(SEARCH($A34,'RR3 Player Stats'!$A$3:$A$50))),0)
+IFERROR(FILTER('RR4 Player Stats'!AD$3:AD$50, ISNUMBER(SEARCH($A34,'RR4 Player Stats'!$A$3:$A$50))),0)
+IFERROR(FILTER('RR5 Player Stats'!AD$3:AD$50, ISNUMBER(SEARCH($A34,'RR5 Player Stats'!$A$3:$A$"&amp;"50))),0)"),1.0)</f>
        <v>1</v>
      </c>
      <c r="L34" s="57">
        <f>IFERROR(__xludf.DUMMYFUNCTION("IFERROR(FILTER('RR1 Player Stats'!AE$3:AE$50, ISNUMBER(SEARCH($A34,'RR1 Player Stats'!$A$3:$A$50))),0)
+IFERROR(FILTER('RR2 Player Stats'!AE$3:AE$50, ISNUMBER(SEARCH($A34,'RR2 Player Stats'!$A$3:$A$50))),0)
+IFERROR(FILTER('RR3 Player Stats'!AE$3:AE$50, I"&amp;"SNUMBER(SEARCH($A34,'RR3 Player Stats'!$A$3:$A$50))),0)
+IFERROR(FILTER('RR4 Player Stats'!AE$3:AE$50, ISNUMBER(SEARCH($A34,'RR4 Player Stats'!$A$3:$A$50))),0)
+IFERROR(FILTER('RR5 Player Stats'!AE$3:AE$50, ISNUMBER(SEARCH($A34,'RR5 Player Stats'!$A$3:$A$"&amp;"50))),0)"),38.0)</f>
        <v>38</v>
      </c>
      <c r="M34" s="57">
        <f>IFERROR(__xludf.DUMMYFUNCTION("IFERROR(FILTER('RR1 Player Stats'!AF$3:AF$50, ISNUMBER(SEARCH($A34,'RR1 Player Stats'!$A$3:$A$50))),0)
+IFERROR(FILTER('RR2 Player Stats'!AF$3:AF$50, ISNUMBER(SEARCH($A34,'RR2 Player Stats'!$A$3:$A$50))),0)
+IFERROR(FILTER('RR3 Player Stats'!AF$3:AF$50, I"&amp;"SNUMBER(SEARCH($A34,'RR3 Player Stats'!$A$3:$A$50))),0)
+IFERROR(FILTER('RR4 Player Stats'!AF$3:AF$50, ISNUMBER(SEARCH($A34,'RR4 Player Stats'!$A$3:$A$50))),0)
+IFERROR(FILTER('RR5 Player Stats'!AF$3:AF$50, ISNUMBER(SEARCH($A34,'RR5 Player Stats'!$A$3:$A$"&amp;"50))),0)"),34.0)</f>
        <v>34</v>
      </c>
      <c r="N34" s="180">
        <f>IFERROR(__xludf.DUMMYFUNCTION("(IFERROR(FILTER('RR1 Player Stats'!AG$3:AG$50, ISNUMBER(SEARCH($A34,'RR1 Player Stats'!$A$3:$A$50))),0)
+IFERROR(FILTER('RR2 Player Stats'!AG$3:AG$50, ISNUMBER(SEARCH($A34,'RR2 Player Stats'!$A$3:$A$50))),0)
+IFERROR(FILTER('RR3 Player Stats'!AG$3:AG$50, "&amp;"ISNUMBER(SEARCH($A34,'RR3 Player Stats'!$A$3:$A$50))),0)
+IFERROR(FILTER('RR4 Player Stats'!AG$3:AG$50, ISNUMBER(SEARCH($A34,'RR4 Player Stats'!$A$3:$A$50))),0)
+IFERROR(FILTER('RR5 Player Stats'!AG$3:AG$50, ISNUMBER(SEARCH($A34,'RR5 Player Stats'!$A$3:$A"&amp;"$50))),0))/5"),0.22599999999999998)</f>
        <v>0.226</v>
      </c>
      <c r="O34" s="55">
        <f>IFERROR(__xludf.DUMMYFUNCTION("IFERROR(FILTER('RR1 Player Stats'!AH$3:AH$50, ISNUMBER(SEARCH($A34,'RR1 Player Stats'!$A$3:$A$50))),0)
+IFERROR(FILTER('RR2 Player Stats'!AH$3:AH$50, ISNUMBER(SEARCH($A34,'RR2 Player Stats'!$A$3:$A$50))),0)
+IFERROR(FILTER('RR3 Player Stats'!AH$3:AH$50, I"&amp;"SNUMBER(SEARCH($A34,'RR3 Player Stats'!$A$3:$A$50))),0)
+IFERROR(FILTER('RR4 Player Stats'!AH$3:AH$50, ISNUMBER(SEARCH($A34,'RR4 Player Stats'!$A$3:$A$50))),0)
+IFERROR(FILTER('RR5 Player Stats'!AH$3:AH$50, ISNUMBER(SEARCH($A34,'RR5 Player Stats'!$A$3:$A$"&amp;"50))),0)"),20.0)</f>
        <v>20</v>
      </c>
      <c r="P34" s="57">
        <f>IFERROR(__xludf.DUMMYFUNCTION("IFERROR(FILTER('RR1 Player Stats'!AI$3:AI$50, ISNUMBER(SEARCH($A34,'RR1 Player Stats'!$A$3:$A$50))),0)
+IFERROR(FILTER('RR2 Player Stats'!AI$3:AI$50, ISNUMBER(SEARCH($A34,'RR2 Player Stats'!$A$3:$A$50))),0)
+IFERROR(FILTER('RR3 Player Stats'!AI$3:AI$50, I"&amp;"SNUMBER(SEARCH($A34,'RR3 Player Stats'!$A$3:$A$50))),0)
+IFERROR(FILTER('RR4 Player Stats'!AI$3:AI$50, ISNUMBER(SEARCH($A34,'RR4 Player Stats'!$A$3:$A$50))),0)
+IFERROR(FILTER('RR5 Player Stats'!AI$3:AI$50, ISNUMBER(SEARCH($A34,'RR5 Player Stats'!$A$3:$A$"&amp;"50))),0)"),5.0)</f>
        <v>5</v>
      </c>
      <c r="Q34" s="57">
        <f>IFERROR(__xludf.DUMMYFUNCTION("IFERROR(FILTER('RR1 Player Stats'!AJ$3:AJ$50, ISNUMBER(SEARCH($A34,'RR1 Player Stats'!$A$3:$A$50))),0)
+IFERROR(FILTER('RR2 Player Stats'!AJ$3:AJ$50, ISNUMBER(SEARCH($A34,'RR2 Player Stats'!$A$3:$A$50))),0)
+IFERROR(FILTER('RR3 Player Stats'!AJ$3:AJ$50, I"&amp;"SNUMBER(SEARCH($A34,'RR3 Player Stats'!$A$3:$A$50))),0)
+IFERROR(FILTER('RR4 Player Stats'!AJ$3:AJ$50, ISNUMBER(SEARCH($A34,'RR4 Player Stats'!$A$3:$A$50))),0)
+IFERROR(FILTER('RR5 Player Stats'!AJ$3:AJ$50, ISNUMBER(SEARCH($A34,'RR5 Player Stats'!$A$3:$A$"&amp;"50))),0)"),4.0)</f>
        <v>4</v>
      </c>
      <c r="R34" s="57">
        <f>IFERROR(__xludf.DUMMYFUNCTION("IFERROR(FILTER('RR1 Player Stats'!AK$3:AK$50, ISNUMBER(SEARCH($A34,'RR1 Player Stats'!$A$3:$A$50))),0)
+IFERROR(FILTER('RR2 Player Stats'!AK$3:AK$50, ISNUMBER(SEARCH($A34,'RR2 Player Stats'!$A$3:$A$50))),0)
+IFERROR(FILTER('RR3 Player Stats'!AK$3:AK$50, I"&amp;"SNUMBER(SEARCH($A34,'RR3 Player Stats'!$A$3:$A$50))),0)
+IFERROR(FILTER('RR4 Player Stats'!AK$3:AK$50, ISNUMBER(SEARCH($A34,'RR4 Player Stats'!$A$3:$A$50))),0)
+IFERROR(FILTER('RR5 Player Stats'!AK$3:AK$50, ISNUMBER(SEARCH($A34,'RR5 Player Stats'!$A$3:$A$"&amp;"50))),0)"),110.0)</f>
        <v>110</v>
      </c>
      <c r="S34" s="57">
        <f>IFERROR(__xludf.DUMMYFUNCTION("IFERROR(FILTER('RR1 Player Stats'!AL$3:AL$50, ISNUMBER(SEARCH($A34,'RR1 Player Stats'!$A$3:$A$50))),0)
+IFERROR(FILTER('RR2 Player Stats'!AL$3:AL$50, ISNUMBER(SEARCH($A34,'RR2 Player Stats'!$A$3:$A$50))),0)
+IFERROR(FILTER('RR3 Player Stats'!AL$3:AL$50, I"&amp;"SNUMBER(SEARCH($A34,'RR3 Player Stats'!$A$3:$A$50))),0)
+IFERROR(FILTER('RR4 Player Stats'!AL$3:AL$50, ISNUMBER(SEARCH($A34,'RR4 Player Stats'!$A$3:$A$50))),0)
+IFERROR(FILTER('RR5 Player Stats'!AL$3:AL$50, ISNUMBER(SEARCH($A34,'RR5 Player Stats'!$A$3:$A$"&amp;"50))),0)"),94.0)</f>
        <v>94</v>
      </c>
      <c r="T34" s="180">
        <f>IFERROR(__xludf.DUMMYFUNCTION("(IFERROR(FILTER('RR1 Player Stats'!AM$3:AM$50, ISNUMBER(SEARCH($A34,'RR1 Player Stats'!$A$3:$A$50))),0)
+IFERROR(FILTER('RR2 Player Stats'!AM$3:AM$50, ISNUMBER(SEARCH($A34,'RR2 Player Stats'!$A$3:$A$50))),0)
+IFERROR(FILTER('RR3 Player Stats'!AM$3:AM$50, "&amp;"ISNUMBER(SEARCH($A34,'RR3 Player Stats'!$A$3:$A$50))),0)
+IFERROR(FILTER('RR4 Player Stats'!AM$3:AM$50, ISNUMBER(SEARCH($A34,'RR4 Player Stats'!$A$3:$A$50))),0)
+IFERROR(FILTER('RR5 Player Stats'!AM$3:AM$50, ISNUMBER(SEARCH($A34,'RR5 Player Stats'!$A$3:$A"&amp;"$50))),0))/B34"),0.25)</f>
        <v>0.25</v>
      </c>
      <c r="U34" s="55">
        <f>IFERROR(__xludf.DUMMYFUNCTION("MEDIAN(IFERROR(FILTER('RR1 Player Stats'!AH$3:AH$50, ISNUMBER(SEARCH($A34,'RR1 Player Stats'!$A$3:$A$50))),0),IFERROR(FILTER('RR2 Player Stats'!AH$3:AH$50, ISNUMBER(SEARCH($A34,'RR2 Player Stats'!$A$3:$A$50))),0),IFERROR(FILTER('RR3 Player Stats'!AH$3:AH$"&amp;"50, ISNUMBER(SEARCH($A34,'RR3 Player Stats'!$A$3:$A$50))),0),IFERROR(FILTER('RR4 Player Stats'!AH$3:AH$50, ISNUMBER(SEARCH($A34,'RR4 Player Stats'!$A$3:$A$50))),0),IFERROR(FILTER('RR5 Player Stats'!AH$3:AH$50, ISNUMBER(SEARCH($A34,'RR5 Player Stats'!$A$3:"&amp;"$A$50))),0))"),3.0)</f>
        <v>3</v>
      </c>
      <c r="V34" s="57">
        <f>IFERROR(__xludf.DUMMYFUNCTION("MEDIAN(IFERROR(FILTER('RR1 Player Stats'!AI$3:AI$50, ISNUMBER(SEARCH($A34,'RR1 Player Stats'!$A$3:$A$50))),0),IFERROR(FILTER('RR2 Player Stats'!AI$3:AI$50, ISNUMBER(SEARCH($A34,'RR2 Player Stats'!$A$3:$A$50))),0),IFERROR(FILTER('RR3 Player Stats'!AI$3:AI$"&amp;"50, ISNUMBER(SEARCH($A34,'RR3 Player Stats'!$A$3:$A$50))),0),IFERROR(FILTER('RR4 Player Stats'!AI$3:AI$50, ISNUMBER(SEARCH($A34,'RR4 Player Stats'!$A$3:$A$50))),0),IFERROR(FILTER('RR5 Player Stats'!AI$3:AI$50, ISNUMBER(SEARCH($A34,'RR5 Player Stats'!$A$3:"&amp;"$A$50))),0))"),1.0)</f>
        <v>1</v>
      </c>
      <c r="W34" s="57">
        <f>IFERROR(__xludf.DUMMYFUNCTION("MEDIAN(IFERROR(FILTER('RR1 Player Stats'!AJ$3:AJ$50, ISNUMBER(SEARCH($A34,'RR1 Player Stats'!$A$3:$A$50))),0),IFERROR(FILTER('RR2 Player Stats'!AJ$3:AJ$50, ISNUMBER(SEARCH($A34,'RR2 Player Stats'!$A$3:$A$50))),0),IFERROR(FILTER('RR3 Player Stats'!AJ$3:AJ$"&amp;"50, ISNUMBER(SEARCH($A34,'RR3 Player Stats'!$A$3:$A$50))),0),IFERROR(FILTER('RR4 Player Stats'!AJ$3:AJ$50, ISNUMBER(SEARCH($A34,'RR4 Player Stats'!$A$3:$A$50))),0),IFERROR(FILTER('RR5 Player Stats'!AJ$3:AJ$50, ISNUMBER(SEARCH($A34,'RR5 Player Stats'!$A$3:"&amp;"$A$50))),0))"),1.0)</f>
        <v>1</v>
      </c>
      <c r="X34" s="57">
        <f>IFERROR(__xludf.DUMMYFUNCTION("MEDIAN(IFERROR(FILTER('RR1 Player Stats'!AK$3:AK$50, ISNUMBER(SEARCH($A34,'RR1 Player Stats'!$A$3:$A$50))),0),IFERROR(FILTER('RR2 Player Stats'!AK$3:AK$50, ISNUMBER(SEARCH($A34,'RR2 Player Stats'!$A$3:$A$50))),0),IFERROR(FILTER('RR3 Player Stats'!AK$3:AK$"&amp;"50, ISNUMBER(SEARCH($A34,'RR3 Player Stats'!$A$3:$A$50))),0),IFERROR(FILTER('RR4 Player Stats'!AK$3:AK$50, ISNUMBER(SEARCH($A34,'RR4 Player Stats'!$A$3:$A$50))),0),IFERROR(FILTER('RR5 Player Stats'!AK$3:AK$50, ISNUMBER(SEARCH($A34,'RR5 Player Stats'!$A$3:"&amp;"$A$50))),0))"),18.0)</f>
        <v>18</v>
      </c>
      <c r="Y34" s="57">
        <f>IFERROR(__xludf.DUMMYFUNCTION("MEDIAN(IFERROR(FILTER('RR1 Player Stats'!AL$3:AL$50, ISNUMBER(SEARCH($A34,'RR1 Player Stats'!$A$3:$A$50))),0),IFERROR(FILTER('RR2 Player Stats'!AL$3:AL$50, ISNUMBER(SEARCH($A34,'RR2 Player Stats'!$A$3:$A$50))),0),IFERROR(FILTER('RR3 Player Stats'!AL$3:AL$"&amp;"50, ISNUMBER(SEARCH($A34,'RR3 Player Stats'!$A$3:$A$50))),0),IFERROR(FILTER('RR4 Player Stats'!AL$3:AL$50, ISNUMBER(SEARCH($A34,'RR4 Player Stats'!$A$3:$A$50))),0),IFERROR(FILTER('RR5 Player Stats'!AL$3:AL$50, ISNUMBER(SEARCH($A34,'RR5 Player Stats'!$A$3:"&amp;"$A$50))),0))"),16.0)</f>
        <v>16</v>
      </c>
      <c r="Z34" s="180">
        <f>IFERROR(__xludf.DUMMYFUNCTION("MEDIAN(IFERROR(FILTER('RR1 Player Stats'!AM$3:AM$50, ISNUMBER(SEARCH($A34,'RR1 Player Stats'!$A$3:$A$50))),0),IFERROR(FILTER('RR2 Player Stats'!AM$3:AM$50, ISNUMBER(SEARCH($A34,'RR2 Player Stats'!$A$3:$A$50))),0),IFERROR(FILTER('RR3 Player Stats'!AM$3:AM$"&amp;"50, ISNUMBER(SEARCH($A34,'RR3 Player Stats'!$A$3:$A$50))),0),IFERROR(FILTER('RR4 Player Stats'!AM$3:AM$50, ISNUMBER(SEARCH($A34,'RR4 Player Stats'!$A$3:$A$50))),0),IFERROR(FILTER('RR5 Player Stats'!AM$3:AM$50, ISNUMBER(SEARCH($A34,'RR5 Player Stats'!$A$3:"&amp;"$A$50))),0))"),0.2)</f>
        <v>0.2</v>
      </c>
    </row>
    <row r="35">
      <c r="A35" s="29" t="s">
        <v>35</v>
      </c>
      <c r="B35" s="48">
        <f>COUNTIF('RR1 Player Stats'!$A$3:$A$50,$A35)+COUNTIF('RR2 Player Stats'!$A$3:$A$50,$A35)+COUNTIF('RR3 Player Stats'!$A$3:$A$50,$A35)+COUNTIF('RR4 Player Stats'!$A$3:$A$50,$A35)+COUNTIF('RR5 Player Stats'!$A$3:$A$50,$A35)</f>
        <v>5</v>
      </c>
      <c r="C35" s="55">
        <f>IFERROR(__xludf.DUMMYFUNCTION("IFERROR(FILTER('RR1 Player Stats'!V$3:V$50, ISNUMBER(SEARCH($A35,'RR1 Player Stats'!$A$3:$A$50))),0)
+IFERROR(FILTER('RR2 Player Stats'!V$3:V$50, ISNUMBER(SEARCH($A35,'RR2 Player Stats'!$A$3:$A$50))),0)
+IFERROR(FILTER('RR3 Player Stats'!V$3:V$50, ISNUMBE"&amp;"R(SEARCH($A35,'RR3 Player Stats'!$A$3:$A$50))),0)
+IFERROR(FILTER('RR4 Player Stats'!V$3:V$50, ISNUMBER(SEARCH($A35,'RR4 Player Stats'!$A$3:$A$50))),0)
+IFERROR(FILTER('RR5 Player Stats'!V$3:V$50, ISNUMBER(SEARCH($A35,'RR5 Player Stats'!$A$3:$A$50))),0)"),12.0)</f>
        <v>12</v>
      </c>
      <c r="D35" s="57">
        <f>IFERROR(__xludf.DUMMYFUNCTION("IFERROR(FILTER('RR1 Player Stats'!W$3:W$50, ISNUMBER(SEARCH($A35,'RR1 Player Stats'!$A$3:$A$50))),0)
+IFERROR(FILTER('RR2 Player Stats'!W$3:W$50, ISNUMBER(SEARCH($A35,'RR2 Player Stats'!$A$3:$A$50))),0)
+IFERROR(FILTER('RR3 Player Stats'!W$3:W$50, ISNUMBE"&amp;"R(SEARCH($A35,'RR3 Player Stats'!$A$3:$A$50))),0)
+IFERROR(FILTER('RR4 Player Stats'!W$3:W$50, ISNUMBER(SEARCH($A35,'RR4 Player Stats'!$A$3:$A$50))),0)
+IFERROR(FILTER('RR5 Player Stats'!W$3:W$50, ISNUMBER(SEARCH($A35,'RR5 Player Stats'!$A$3:$A$50))),0)"),4.0)</f>
        <v>4</v>
      </c>
      <c r="E35" s="57">
        <f>IFERROR(__xludf.DUMMYFUNCTION("IFERROR(FILTER('RR1 Player Stats'!X$3:X$50, ISNUMBER(SEARCH($A35,'RR1 Player Stats'!$A$3:$A$50))),0)
+IFERROR(FILTER('RR2 Player Stats'!X$3:X$50, ISNUMBER(SEARCH($A35,'RR2 Player Stats'!$A$3:$A$50))),0)
+IFERROR(FILTER('RR3 Player Stats'!X$3:X$50, ISNUMBE"&amp;"R(SEARCH($A35,'RR3 Player Stats'!$A$3:$A$50))),0)
+IFERROR(FILTER('RR4 Player Stats'!X$3:X$50, ISNUMBER(SEARCH($A35,'RR4 Player Stats'!$A$3:$A$50))),0)
+IFERROR(FILTER('RR5 Player Stats'!X$3:X$50, ISNUMBER(SEARCH($A35,'RR5 Player Stats'!$A$3:$A$50))),0)"),4.0)</f>
        <v>4</v>
      </c>
      <c r="F35" s="57">
        <f>IFERROR(__xludf.DUMMYFUNCTION("IFERROR(FILTER('RR1 Player Stats'!Y$3:Y$50, ISNUMBER(SEARCH($A35,'RR1 Player Stats'!$A$3:$A$50))),0)
+IFERROR(FILTER('RR2 Player Stats'!Y$3:Y$50, ISNUMBER(SEARCH($A35,'RR2 Player Stats'!$A$3:$A$50))),0)
+IFERROR(FILTER('RR3 Player Stats'!Y$3:Y$50, ISNUMBE"&amp;"R(SEARCH($A35,'RR3 Player Stats'!$A$3:$A$50))),0)
+IFERROR(FILTER('RR4 Player Stats'!Y$3:Y$50, ISNUMBER(SEARCH($A35,'RR4 Player Stats'!$A$3:$A$50))),0)
+IFERROR(FILTER('RR5 Player Stats'!Y$3:Y$50, ISNUMBER(SEARCH($A35,'RR5 Player Stats'!$A$3:$A$50))),0)"),72.0)</f>
        <v>72</v>
      </c>
      <c r="G35" s="57">
        <f>IFERROR(__xludf.DUMMYFUNCTION("IFERROR(FILTER('RR1 Player Stats'!Z$3:Z$50, ISNUMBER(SEARCH($A35,'RR1 Player Stats'!$A$3:$A$50))),0)
+IFERROR(FILTER('RR2 Player Stats'!Z$3:Z$50, ISNUMBER(SEARCH($A35,'RR2 Player Stats'!$A$3:$A$50))),0)
+IFERROR(FILTER('RR3 Player Stats'!Z$3:Z$50, ISNUMBE"&amp;"R(SEARCH($A35,'RR3 Player Stats'!$A$3:$A$50))),0)
+IFERROR(FILTER('RR4 Player Stats'!Z$3:Z$50, ISNUMBER(SEARCH($A35,'RR4 Player Stats'!$A$3:$A$50))),0)
+IFERROR(FILTER('RR5 Player Stats'!Z$3:Z$50, ISNUMBER(SEARCH($A35,'RR5 Player Stats'!$A$3:$A$50))),0)"),56.0)</f>
        <v>56</v>
      </c>
      <c r="H35" s="180">
        <f>IFERROR(__xludf.DUMMYFUNCTION("(IFERROR(FILTER('RR1 Player Stats'!AA$3:AA$50, ISNUMBER(SEARCH($A35,'RR1 Player Stats'!$A$3:$A$50))),0)
+IFERROR(FILTER('RR2 Player Stats'!AA$3:AA$50, ISNUMBER(SEARCH($A35,'RR2 Player Stats'!$A$3:$A$50))),0)
+IFERROR(FILTER('RR3 Player Stats'!AA$3:AA$50, "&amp;"ISNUMBER(SEARCH($A35,'RR3 Player Stats'!$A$3:$A$50))),0)
+IFERROR(FILTER('RR4 Player Stats'!AA$3:AA$50, ISNUMBER(SEARCH($A35,'RR4 Player Stats'!$A$3:$A$50))),0)
+IFERROR(FILTER('RR5 Player Stats'!AA$3:AA$50, ISNUMBER(SEARCH($A35,'RR5 Player Stats'!$A$3:$A"&amp;"$50))),0))/5"),0.26799999999999996)</f>
        <v>0.268</v>
      </c>
      <c r="I35" s="55">
        <f>IFERROR(__xludf.DUMMYFUNCTION("IFERROR(FILTER('RR1 Player Stats'!AB$3:AB$50, ISNUMBER(SEARCH($A35,'RR1 Player Stats'!$A$3:$A$50))),0)
+IFERROR(FILTER('RR2 Player Stats'!AB$3:AB$50, ISNUMBER(SEARCH($A35,'RR2 Player Stats'!$A$3:$A$50))),0)
+IFERROR(FILTER('RR3 Player Stats'!AB$3:AB$50, I"&amp;"SNUMBER(SEARCH($A35,'RR3 Player Stats'!$A$3:$A$50))),0)
+IFERROR(FILTER('RR4 Player Stats'!AB$3:AB$50, ISNUMBER(SEARCH($A35,'RR4 Player Stats'!$A$3:$A$50))),0)
+IFERROR(FILTER('RR5 Player Stats'!AB$3:AB$50, ISNUMBER(SEARCH($A35,'RR5 Player Stats'!$A$3:$A$"&amp;"50))),0)"),4.0)</f>
        <v>4</v>
      </c>
      <c r="J35" s="57">
        <f>IFERROR(__xludf.DUMMYFUNCTION("IFERROR(FILTER('RR1 Player Stats'!AC$3:AC$50, ISNUMBER(SEARCH($A35,'RR1 Player Stats'!$A$3:$A$50))),0)
+IFERROR(FILTER('RR2 Player Stats'!AC$3:AC$50, ISNUMBER(SEARCH($A35,'RR2 Player Stats'!$A$3:$A$50))),0)
+IFERROR(FILTER('RR3 Player Stats'!AC$3:AC$50, I"&amp;"SNUMBER(SEARCH($A35,'RR3 Player Stats'!$A$3:$A$50))),0)
+IFERROR(FILTER('RR4 Player Stats'!AC$3:AC$50, ISNUMBER(SEARCH($A35,'RR4 Player Stats'!$A$3:$A$50))),0)
+IFERROR(FILTER('RR5 Player Stats'!AC$3:AC$50, ISNUMBER(SEARCH($A35,'RR5 Player Stats'!$A$3:$A$"&amp;"50))),0)"),3.0)</f>
        <v>3</v>
      </c>
      <c r="K35" s="57">
        <f>IFERROR(__xludf.DUMMYFUNCTION("IFERROR(FILTER('RR1 Player Stats'!AD$3:AD$50, ISNUMBER(SEARCH($A35,'RR1 Player Stats'!$A$3:$A$50))),0)
+IFERROR(FILTER('RR2 Player Stats'!AD$3:AD$50, ISNUMBER(SEARCH($A35,'RR2 Player Stats'!$A$3:$A$50))),0)
+IFERROR(FILTER('RR3 Player Stats'!AD$3:AD$50, I"&amp;"SNUMBER(SEARCH($A35,'RR3 Player Stats'!$A$3:$A$50))),0)
+IFERROR(FILTER('RR4 Player Stats'!AD$3:AD$50, ISNUMBER(SEARCH($A35,'RR4 Player Stats'!$A$3:$A$50))),0)
+IFERROR(FILTER('RR5 Player Stats'!AD$3:AD$50, ISNUMBER(SEARCH($A35,'RR5 Player Stats'!$A$3:$A$"&amp;"50))),0)"),7.0)</f>
        <v>7</v>
      </c>
      <c r="L35" s="57">
        <f>IFERROR(__xludf.DUMMYFUNCTION("IFERROR(FILTER('RR1 Player Stats'!AE$3:AE$50, ISNUMBER(SEARCH($A35,'RR1 Player Stats'!$A$3:$A$50))),0)
+IFERROR(FILTER('RR2 Player Stats'!AE$3:AE$50, ISNUMBER(SEARCH($A35,'RR2 Player Stats'!$A$3:$A$50))),0)
+IFERROR(FILTER('RR3 Player Stats'!AE$3:AE$50, I"&amp;"SNUMBER(SEARCH($A35,'RR3 Player Stats'!$A$3:$A$50))),0)
+IFERROR(FILTER('RR4 Player Stats'!AE$3:AE$50, ISNUMBER(SEARCH($A35,'RR4 Player Stats'!$A$3:$A$50))),0)
+IFERROR(FILTER('RR5 Player Stats'!AE$3:AE$50, ISNUMBER(SEARCH($A35,'RR5 Player Stats'!$A$3:$A$"&amp;"50))),0)"),34.0)</f>
        <v>34</v>
      </c>
      <c r="M35" s="57">
        <f>IFERROR(__xludf.DUMMYFUNCTION("IFERROR(FILTER('RR1 Player Stats'!AF$3:AF$50, ISNUMBER(SEARCH($A35,'RR1 Player Stats'!$A$3:$A$50))),0)
+IFERROR(FILTER('RR2 Player Stats'!AF$3:AF$50, ISNUMBER(SEARCH($A35,'RR2 Player Stats'!$A$3:$A$50))),0)
+IFERROR(FILTER('RR3 Player Stats'!AF$3:AF$50, I"&amp;"SNUMBER(SEARCH($A35,'RR3 Player Stats'!$A$3:$A$50))),0)
+IFERROR(FILTER('RR4 Player Stats'!AF$3:AF$50, ISNUMBER(SEARCH($A35,'RR4 Player Stats'!$A$3:$A$50))),0)
+IFERROR(FILTER('RR5 Player Stats'!AF$3:AF$50, ISNUMBER(SEARCH($A35,'RR5 Player Stats'!$A$3:$A$"&amp;"50))),0)"),6.0)</f>
        <v>6</v>
      </c>
      <c r="N35" s="180">
        <f>IFERROR(__xludf.DUMMYFUNCTION("(IFERROR(FILTER('RR1 Player Stats'!AG$3:AG$50, ISNUMBER(SEARCH($A35,'RR1 Player Stats'!$A$3:$A$50))),0)
+IFERROR(FILTER('RR2 Player Stats'!AG$3:AG$50, ISNUMBER(SEARCH($A35,'RR2 Player Stats'!$A$3:$A$50))),0)
+IFERROR(FILTER('RR3 Player Stats'!AG$3:AG$50, "&amp;"ISNUMBER(SEARCH($A35,'RR3 Player Stats'!$A$3:$A$50))),0)
+IFERROR(FILTER('RR4 Player Stats'!AG$3:AG$50, ISNUMBER(SEARCH($A35,'RR4 Player Stats'!$A$3:$A$50))),0)
+IFERROR(FILTER('RR5 Player Stats'!AG$3:AG$50, ISNUMBER(SEARCH($A35,'RR5 Player Stats'!$A$3:$A"&amp;"$50))),0))/5"),0.176)</f>
        <v>0.176</v>
      </c>
      <c r="O35" s="55">
        <f>IFERROR(__xludf.DUMMYFUNCTION("IFERROR(FILTER('RR1 Player Stats'!AH$3:AH$50, ISNUMBER(SEARCH($A35,'RR1 Player Stats'!$A$3:$A$50))),0)
+IFERROR(FILTER('RR2 Player Stats'!AH$3:AH$50, ISNUMBER(SEARCH($A35,'RR2 Player Stats'!$A$3:$A$50))),0)
+IFERROR(FILTER('RR3 Player Stats'!AH$3:AH$50, I"&amp;"SNUMBER(SEARCH($A35,'RR3 Player Stats'!$A$3:$A$50))),0)
+IFERROR(FILTER('RR4 Player Stats'!AH$3:AH$50, ISNUMBER(SEARCH($A35,'RR4 Player Stats'!$A$3:$A$50))),0)
+IFERROR(FILTER('RR5 Player Stats'!AH$3:AH$50, ISNUMBER(SEARCH($A35,'RR5 Player Stats'!$A$3:$A$"&amp;"50))),0)"),16.0)</f>
        <v>16</v>
      </c>
      <c r="P35" s="57">
        <f>IFERROR(__xludf.DUMMYFUNCTION("IFERROR(FILTER('RR1 Player Stats'!AI$3:AI$50, ISNUMBER(SEARCH($A35,'RR1 Player Stats'!$A$3:$A$50))),0)
+IFERROR(FILTER('RR2 Player Stats'!AI$3:AI$50, ISNUMBER(SEARCH($A35,'RR2 Player Stats'!$A$3:$A$50))),0)
+IFERROR(FILTER('RR3 Player Stats'!AI$3:AI$50, I"&amp;"SNUMBER(SEARCH($A35,'RR3 Player Stats'!$A$3:$A$50))),0)
+IFERROR(FILTER('RR4 Player Stats'!AI$3:AI$50, ISNUMBER(SEARCH($A35,'RR4 Player Stats'!$A$3:$A$50))),0)
+IFERROR(FILTER('RR5 Player Stats'!AI$3:AI$50, ISNUMBER(SEARCH($A35,'RR5 Player Stats'!$A$3:$A$"&amp;"50))),0)"),7.0)</f>
        <v>7</v>
      </c>
      <c r="Q35" s="57">
        <f>IFERROR(__xludf.DUMMYFUNCTION("IFERROR(FILTER('RR1 Player Stats'!AJ$3:AJ$50, ISNUMBER(SEARCH($A35,'RR1 Player Stats'!$A$3:$A$50))),0)
+IFERROR(FILTER('RR2 Player Stats'!AJ$3:AJ$50, ISNUMBER(SEARCH($A35,'RR2 Player Stats'!$A$3:$A$50))),0)
+IFERROR(FILTER('RR3 Player Stats'!AJ$3:AJ$50, I"&amp;"SNUMBER(SEARCH($A35,'RR3 Player Stats'!$A$3:$A$50))),0)
+IFERROR(FILTER('RR4 Player Stats'!AJ$3:AJ$50, ISNUMBER(SEARCH($A35,'RR4 Player Stats'!$A$3:$A$50))),0)
+IFERROR(FILTER('RR5 Player Stats'!AJ$3:AJ$50, ISNUMBER(SEARCH($A35,'RR5 Player Stats'!$A$3:$A$"&amp;"50))),0)"),11.0)</f>
        <v>11</v>
      </c>
      <c r="R35" s="57">
        <f>IFERROR(__xludf.DUMMYFUNCTION("IFERROR(FILTER('RR1 Player Stats'!AK$3:AK$50, ISNUMBER(SEARCH($A35,'RR1 Player Stats'!$A$3:$A$50))),0)
+IFERROR(FILTER('RR2 Player Stats'!AK$3:AK$50, ISNUMBER(SEARCH($A35,'RR2 Player Stats'!$A$3:$A$50))),0)
+IFERROR(FILTER('RR3 Player Stats'!AK$3:AK$50, I"&amp;"SNUMBER(SEARCH($A35,'RR3 Player Stats'!$A$3:$A$50))),0)
+IFERROR(FILTER('RR4 Player Stats'!AK$3:AK$50, ISNUMBER(SEARCH($A35,'RR4 Player Stats'!$A$3:$A$50))),0)
+IFERROR(FILTER('RR5 Player Stats'!AK$3:AK$50, ISNUMBER(SEARCH($A35,'RR5 Player Stats'!$A$3:$A$"&amp;"50))),0)"),106.0)</f>
        <v>106</v>
      </c>
      <c r="S35" s="57">
        <f>IFERROR(__xludf.DUMMYFUNCTION("IFERROR(FILTER('RR1 Player Stats'!AL$3:AL$50, ISNUMBER(SEARCH($A35,'RR1 Player Stats'!$A$3:$A$50))),0)
+IFERROR(FILTER('RR2 Player Stats'!AL$3:AL$50, ISNUMBER(SEARCH($A35,'RR2 Player Stats'!$A$3:$A$50))),0)
+IFERROR(FILTER('RR3 Player Stats'!AL$3:AL$50, I"&amp;"SNUMBER(SEARCH($A35,'RR3 Player Stats'!$A$3:$A$50))),0)
+IFERROR(FILTER('RR4 Player Stats'!AL$3:AL$50, ISNUMBER(SEARCH($A35,'RR4 Player Stats'!$A$3:$A$50))),0)
+IFERROR(FILTER('RR5 Player Stats'!AL$3:AL$50, ISNUMBER(SEARCH($A35,'RR5 Player Stats'!$A$3:$A$"&amp;"50))),0)"),62.0)</f>
        <v>62</v>
      </c>
      <c r="T35" s="180">
        <f>IFERROR(__xludf.DUMMYFUNCTION("(IFERROR(FILTER('RR1 Player Stats'!AM$3:AM$50, ISNUMBER(SEARCH($A35,'RR1 Player Stats'!$A$3:$A$50))),0)
+IFERROR(FILTER('RR2 Player Stats'!AM$3:AM$50, ISNUMBER(SEARCH($A35,'RR2 Player Stats'!$A$3:$A$50))),0)
+IFERROR(FILTER('RR3 Player Stats'!AM$3:AM$50, "&amp;"ISNUMBER(SEARCH($A35,'RR3 Player Stats'!$A$3:$A$50))),0)
+IFERROR(FILTER('RR4 Player Stats'!AM$3:AM$50, ISNUMBER(SEARCH($A35,'RR4 Player Stats'!$A$3:$A$50))),0)
+IFERROR(FILTER('RR5 Player Stats'!AM$3:AM$50, ISNUMBER(SEARCH($A35,'RR5 Player Stats'!$A$3:$A"&amp;"$50))),0))/B35"),0.22999999999999998)</f>
        <v>0.23</v>
      </c>
      <c r="U35" s="55">
        <f>IFERROR(__xludf.DUMMYFUNCTION("MEDIAN(IFERROR(FILTER('RR1 Player Stats'!AH$3:AH$50, ISNUMBER(SEARCH($A35,'RR1 Player Stats'!$A$3:$A$50))),0),IFERROR(FILTER('RR2 Player Stats'!AH$3:AH$50, ISNUMBER(SEARCH($A35,'RR2 Player Stats'!$A$3:$A$50))),0),IFERROR(FILTER('RR3 Player Stats'!AH$3:AH$"&amp;"50, ISNUMBER(SEARCH($A35,'RR3 Player Stats'!$A$3:$A$50))),0),IFERROR(FILTER('RR4 Player Stats'!AH$3:AH$50, ISNUMBER(SEARCH($A35,'RR4 Player Stats'!$A$3:$A$50))),0),IFERROR(FILTER('RR5 Player Stats'!AH$3:AH$50, ISNUMBER(SEARCH($A35,'RR5 Player Stats'!$A$3:"&amp;"$A$50))),0))"),3.0)</f>
        <v>3</v>
      </c>
      <c r="V35" s="57">
        <f>IFERROR(__xludf.DUMMYFUNCTION("MEDIAN(IFERROR(FILTER('RR1 Player Stats'!AI$3:AI$50, ISNUMBER(SEARCH($A35,'RR1 Player Stats'!$A$3:$A$50))),0),IFERROR(FILTER('RR2 Player Stats'!AI$3:AI$50, ISNUMBER(SEARCH($A35,'RR2 Player Stats'!$A$3:$A$50))),0),IFERROR(FILTER('RR3 Player Stats'!AI$3:AI$"&amp;"50, ISNUMBER(SEARCH($A35,'RR3 Player Stats'!$A$3:$A$50))),0),IFERROR(FILTER('RR4 Player Stats'!AI$3:AI$50, ISNUMBER(SEARCH($A35,'RR4 Player Stats'!$A$3:$A$50))),0),IFERROR(FILTER('RR5 Player Stats'!AI$3:AI$50, ISNUMBER(SEARCH($A35,'RR5 Player Stats'!$A$3:"&amp;"$A$50))),0))"),1.0)</f>
        <v>1</v>
      </c>
      <c r="W35" s="57">
        <f>IFERROR(__xludf.DUMMYFUNCTION("MEDIAN(IFERROR(FILTER('RR1 Player Stats'!AJ$3:AJ$50, ISNUMBER(SEARCH($A35,'RR1 Player Stats'!$A$3:$A$50))),0),IFERROR(FILTER('RR2 Player Stats'!AJ$3:AJ$50, ISNUMBER(SEARCH($A35,'RR2 Player Stats'!$A$3:$A$50))),0),IFERROR(FILTER('RR3 Player Stats'!AJ$3:AJ$"&amp;"50, ISNUMBER(SEARCH($A35,'RR3 Player Stats'!$A$3:$A$50))),0),IFERROR(FILTER('RR4 Player Stats'!AJ$3:AJ$50, ISNUMBER(SEARCH($A35,'RR4 Player Stats'!$A$3:$A$50))),0),IFERROR(FILTER('RR5 Player Stats'!AJ$3:AJ$50, ISNUMBER(SEARCH($A35,'RR5 Player Stats'!$A$3:"&amp;"$A$50))),0))"),2.0)</f>
        <v>2</v>
      </c>
      <c r="X35" s="57">
        <f>IFERROR(__xludf.DUMMYFUNCTION("MEDIAN(IFERROR(FILTER('RR1 Player Stats'!AK$3:AK$50, ISNUMBER(SEARCH($A35,'RR1 Player Stats'!$A$3:$A$50))),0),IFERROR(FILTER('RR2 Player Stats'!AK$3:AK$50, ISNUMBER(SEARCH($A35,'RR2 Player Stats'!$A$3:$A$50))),0),IFERROR(FILTER('RR3 Player Stats'!AK$3:AK$"&amp;"50, ISNUMBER(SEARCH($A35,'RR3 Player Stats'!$A$3:$A$50))),0),IFERROR(FILTER('RR4 Player Stats'!AK$3:AK$50, ISNUMBER(SEARCH($A35,'RR4 Player Stats'!$A$3:$A$50))),0),IFERROR(FILTER('RR5 Player Stats'!AK$3:AK$50, ISNUMBER(SEARCH($A35,'RR5 Player Stats'!$A$3:"&amp;"$A$50))),0))"),20.0)</f>
        <v>20</v>
      </c>
      <c r="Y35" s="57">
        <f>IFERROR(__xludf.DUMMYFUNCTION("MEDIAN(IFERROR(FILTER('RR1 Player Stats'!AL$3:AL$50, ISNUMBER(SEARCH($A35,'RR1 Player Stats'!$A$3:$A$50))),0),IFERROR(FILTER('RR2 Player Stats'!AL$3:AL$50, ISNUMBER(SEARCH($A35,'RR2 Player Stats'!$A$3:$A$50))),0),IFERROR(FILTER('RR3 Player Stats'!AL$3:AL$"&amp;"50, ISNUMBER(SEARCH($A35,'RR3 Player Stats'!$A$3:$A$50))),0),IFERROR(FILTER('RR4 Player Stats'!AL$3:AL$50, ISNUMBER(SEARCH($A35,'RR4 Player Stats'!$A$3:$A$50))),0),IFERROR(FILTER('RR5 Player Stats'!AL$3:AL$50, ISNUMBER(SEARCH($A35,'RR5 Player Stats'!$A$3:"&amp;"$A$50))),0))"),12.0)</f>
        <v>12</v>
      </c>
      <c r="Z35" s="180">
        <f>IFERROR(__xludf.DUMMYFUNCTION("MEDIAN(IFERROR(FILTER('RR1 Player Stats'!AM$3:AM$50, ISNUMBER(SEARCH($A35,'RR1 Player Stats'!$A$3:$A$50))),0),IFERROR(FILTER('RR2 Player Stats'!AM$3:AM$50, ISNUMBER(SEARCH($A35,'RR2 Player Stats'!$A$3:$A$50))),0),IFERROR(FILTER('RR3 Player Stats'!AM$3:AM$"&amp;"50, ISNUMBER(SEARCH($A35,'RR3 Player Stats'!$A$3:$A$50))),0),IFERROR(FILTER('RR4 Player Stats'!AM$3:AM$50, ISNUMBER(SEARCH($A35,'RR4 Player Stats'!$A$3:$A$50))),0),IFERROR(FILTER('RR5 Player Stats'!AM$3:AM$50, ISNUMBER(SEARCH($A35,'RR5 Player Stats'!$A$3:"&amp;"$A$50))),0))"),0.2)</f>
        <v>0.2</v>
      </c>
    </row>
    <row r="36">
      <c r="A36" s="29" t="s">
        <v>63</v>
      </c>
      <c r="B36" s="48">
        <f>COUNTIF('RR1 Player Stats'!$A$3:$A$50,$A36)+COUNTIF('RR2 Player Stats'!$A$3:$A$50,$A36)+COUNTIF('RR3 Player Stats'!$A$3:$A$50,$A36)+COUNTIF('RR4 Player Stats'!$A$3:$A$50,$A36)+COUNTIF('RR5 Player Stats'!$A$3:$A$50,$A36)</f>
        <v>5</v>
      </c>
      <c r="C36" s="55">
        <f>IFERROR(__xludf.DUMMYFUNCTION("IFERROR(FILTER('RR1 Player Stats'!V$3:V$50, ISNUMBER(SEARCH($A36,'RR1 Player Stats'!$A$3:$A$50))),0)
+IFERROR(FILTER('RR2 Player Stats'!V$3:V$50, ISNUMBER(SEARCH($A36,'RR2 Player Stats'!$A$3:$A$50))),0)
+IFERROR(FILTER('RR3 Player Stats'!V$3:V$50, ISNUMBE"&amp;"R(SEARCH($A36,'RR3 Player Stats'!$A$3:$A$50))),0)
+IFERROR(FILTER('RR4 Player Stats'!V$3:V$50, ISNUMBER(SEARCH($A36,'RR4 Player Stats'!$A$3:$A$50))),0)
+IFERROR(FILTER('RR5 Player Stats'!V$3:V$50, ISNUMBER(SEARCH($A36,'RR5 Player Stats'!$A$3:$A$50))),0)"),11.0)</f>
        <v>11</v>
      </c>
      <c r="D36" s="57">
        <f>IFERROR(__xludf.DUMMYFUNCTION("IFERROR(FILTER('RR1 Player Stats'!W$3:W$50, ISNUMBER(SEARCH($A36,'RR1 Player Stats'!$A$3:$A$50))),0)
+IFERROR(FILTER('RR2 Player Stats'!W$3:W$50, ISNUMBER(SEARCH($A36,'RR2 Player Stats'!$A$3:$A$50))),0)
+IFERROR(FILTER('RR3 Player Stats'!W$3:W$50, ISNUMBE"&amp;"R(SEARCH($A36,'RR3 Player Stats'!$A$3:$A$50))),0)
+IFERROR(FILTER('RR4 Player Stats'!W$3:W$50, ISNUMBER(SEARCH($A36,'RR4 Player Stats'!$A$3:$A$50))),0)
+IFERROR(FILTER('RR5 Player Stats'!W$3:W$50, ISNUMBER(SEARCH($A36,'RR5 Player Stats'!$A$3:$A$50))),0)"),2.0)</f>
        <v>2</v>
      </c>
      <c r="E36" s="57">
        <f>IFERROR(__xludf.DUMMYFUNCTION("IFERROR(FILTER('RR1 Player Stats'!X$3:X$50, ISNUMBER(SEARCH($A36,'RR1 Player Stats'!$A$3:$A$50))),0)
+IFERROR(FILTER('RR2 Player Stats'!X$3:X$50, ISNUMBER(SEARCH($A36,'RR2 Player Stats'!$A$3:$A$50))),0)
+IFERROR(FILTER('RR3 Player Stats'!X$3:X$50, ISNUMBE"&amp;"R(SEARCH($A36,'RR3 Player Stats'!$A$3:$A$50))),0)
+IFERROR(FILTER('RR4 Player Stats'!X$3:X$50, ISNUMBER(SEARCH($A36,'RR4 Player Stats'!$A$3:$A$50))),0)
+IFERROR(FILTER('RR5 Player Stats'!X$3:X$50, ISNUMBER(SEARCH($A36,'RR5 Player Stats'!$A$3:$A$50))),0)"),4.0)</f>
        <v>4</v>
      </c>
      <c r="F36" s="57">
        <f>IFERROR(__xludf.DUMMYFUNCTION("IFERROR(FILTER('RR1 Player Stats'!Y$3:Y$50, ISNUMBER(SEARCH($A36,'RR1 Player Stats'!$A$3:$A$50))),0)
+IFERROR(FILTER('RR2 Player Stats'!Y$3:Y$50, ISNUMBER(SEARCH($A36,'RR2 Player Stats'!$A$3:$A$50))),0)
+IFERROR(FILTER('RR3 Player Stats'!Y$3:Y$50, ISNUMBE"&amp;"R(SEARCH($A36,'RR3 Player Stats'!$A$3:$A$50))),0)
+IFERROR(FILTER('RR4 Player Stats'!Y$3:Y$50, ISNUMBER(SEARCH($A36,'RR4 Player Stats'!$A$3:$A$50))),0)
+IFERROR(FILTER('RR5 Player Stats'!Y$3:Y$50, ISNUMBER(SEARCH($A36,'RR5 Player Stats'!$A$3:$A$50))),0)"),56.0)</f>
        <v>56</v>
      </c>
      <c r="G36" s="57">
        <f>IFERROR(__xludf.DUMMYFUNCTION("IFERROR(FILTER('RR1 Player Stats'!Z$3:Z$50, ISNUMBER(SEARCH($A36,'RR1 Player Stats'!$A$3:$A$50))),0)
+IFERROR(FILTER('RR2 Player Stats'!Z$3:Z$50, ISNUMBER(SEARCH($A36,'RR2 Player Stats'!$A$3:$A$50))),0)
+IFERROR(FILTER('RR3 Player Stats'!Z$3:Z$50, ISNUMBE"&amp;"R(SEARCH($A36,'RR3 Player Stats'!$A$3:$A$50))),0)
+IFERROR(FILTER('RR4 Player Stats'!Z$3:Z$50, ISNUMBER(SEARCH($A36,'RR4 Player Stats'!$A$3:$A$50))),0)
+IFERROR(FILTER('RR5 Player Stats'!Z$3:Z$50, ISNUMBER(SEARCH($A36,'RR5 Player Stats'!$A$3:$A$50))),0)"),40.0)</f>
        <v>40</v>
      </c>
      <c r="H36" s="180">
        <f>IFERROR(__xludf.DUMMYFUNCTION("(IFERROR(FILTER('RR1 Player Stats'!AA$3:AA$50, ISNUMBER(SEARCH($A36,'RR1 Player Stats'!$A$3:$A$50))),0)
+IFERROR(FILTER('RR2 Player Stats'!AA$3:AA$50, ISNUMBER(SEARCH($A36,'RR2 Player Stats'!$A$3:$A$50))),0)
+IFERROR(FILTER('RR3 Player Stats'!AA$3:AA$50, "&amp;"ISNUMBER(SEARCH($A36,'RR3 Player Stats'!$A$3:$A$50))),0)
+IFERROR(FILTER('RR4 Player Stats'!AA$3:AA$50, ISNUMBER(SEARCH($A36,'RR4 Player Stats'!$A$3:$A$50))),0)
+IFERROR(FILTER('RR5 Player Stats'!AA$3:AA$50, ISNUMBER(SEARCH($A36,'RR5 Player Stats'!$A$3:$A"&amp;"$50))),0))/5"),0.21799999999999997)</f>
        <v>0.218</v>
      </c>
      <c r="I36" s="55">
        <f>IFERROR(__xludf.DUMMYFUNCTION("IFERROR(FILTER('RR1 Player Stats'!AB$3:AB$50, ISNUMBER(SEARCH($A36,'RR1 Player Stats'!$A$3:$A$50))),0)
+IFERROR(FILTER('RR2 Player Stats'!AB$3:AB$50, ISNUMBER(SEARCH($A36,'RR2 Player Stats'!$A$3:$A$50))),0)
+IFERROR(FILTER('RR3 Player Stats'!AB$3:AB$50, I"&amp;"SNUMBER(SEARCH($A36,'RR3 Player Stats'!$A$3:$A$50))),0)
+IFERROR(FILTER('RR4 Player Stats'!AB$3:AB$50, ISNUMBER(SEARCH($A36,'RR4 Player Stats'!$A$3:$A$50))),0)
+IFERROR(FILTER('RR5 Player Stats'!AB$3:AB$50, ISNUMBER(SEARCH($A36,'RR5 Player Stats'!$A$3:$A$"&amp;"50))),0)"),6.0)</f>
        <v>6</v>
      </c>
      <c r="J36" s="57">
        <f>IFERROR(__xludf.DUMMYFUNCTION("IFERROR(FILTER('RR1 Player Stats'!AC$3:AC$50, ISNUMBER(SEARCH($A36,'RR1 Player Stats'!$A$3:$A$50))),0)
+IFERROR(FILTER('RR2 Player Stats'!AC$3:AC$50, ISNUMBER(SEARCH($A36,'RR2 Player Stats'!$A$3:$A$50))),0)
+IFERROR(FILTER('RR3 Player Stats'!AC$3:AC$50, I"&amp;"SNUMBER(SEARCH($A36,'RR3 Player Stats'!$A$3:$A$50))),0)
+IFERROR(FILTER('RR4 Player Stats'!AC$3:AC$50, ISNUMBER(SEARCH($A36,'RR4 Player Stats'!$A$3:$A$50))),0)
+IFERROR(FILTER('RR5 Player Stats'!AC$3:AC$50, ISNUMBER(SEARCH($A36,'RR5 Player Stats'!$A$3:$A$"&amp;"50))),0)"),3.0)</f>
        <v>3</v>
      </c>
      <c r="K36" s="57">
        <f>IFERROR(__xludf.DUMMYFUNCTION("IFERROR(FILTER('RR1 Player Stats'!AD$3:AD$50, ISNUMBER(SEARCH($A36,'RR1 Player Stats'!$A$3:$A$50))),0)
+IFERROR(FILTER('RR2 Player Stats'!AD$3:AD$50, ISNUMBER(SEARCH($A36,'RR2 Player Stats'!$A$3:$A$50))),0)
+IFERROR(FILTER('RR3 Player Stats'!AD$3:AD$50, I"&amp;"SNUMBER(SEARCH($A36,'RR3 Player Stats'!$A$3:$A$50))),0)
+IFERROR(FILTER('RR4 Player Stats'!AD$3:AD$50, ISNUMBER(SEARCH($A36,'RR4 Player Stats'!$A$3:$A$50))),0)
+IFERROR(FILTER('RR5 Player Stats'!AD$3:AD$50, ISNUMBER(SEARCH($A36,'RR5 Player Stats'!$A$3:$A$"&amp;"50))),0)"),2.0)</f>
        <v>2</v>
      </c>
      <c r="L36" s="57">
        <f>IFERROR(__xludf.DUMMYFUNCTION("IFERROR(FILTER('RR1 Player Stats'!AE$3:AE$50, ISNUMBER(SEARCH($A36,'RR1 Player Stats'!$A$3:$A$50))),0)
+IFERROR(FILTER('RR2 Player Stats'!AE$3:AE$50, ISNUMBER(SEARCH($A36,'RR2 Player Stats'!$A$3:$A$50))),0)
+IFERROR(FILTER('RR3 Player Stats'!AE$3:AE$50, I"&amp;"SNUMBER(SEARCH($A36,'RR3 Player Stats'!$A$3:$A$50))),0)
+IFERROR(FILTER('RR4 Player Stats'!AE$3:AE$50, ISNUMBER(SEARCH($A36,'RR4 Player Stats'!$A$3:$A$50))),0)
+IFERROR(FILTER('RR5 Player Stats'!AE$3:AE$50, ISNUMBER(SEARCH($A36,'RR5 Player Stats'!$A$3:$A$"&amp;"50))),0)"),42.0)</f>
        <v>42</v>
      </c>
      <c r="M36" s="57">
        <f>IFERROR(__xludf.DUMMYFUNCTION("IFERROR(FILTER('RR1 Player Stats'!AF$3:AF$50, ISNUMBER(SEARCH($A36,'RR1 Player Stats'!$A$3:$A$50))),0)
+IFERROR(FILTER('RR2 Player Stats'!AF$3:AF$50, ISNUMBER(SEARCH($A36,'RR2 Player Stats'!$A$3:$A$50))),0)
+IFERROR(FILTER('RR3 Player Stats'!AF$3:AF$50, I"&amp;"SNUMBER(SEARCH($A36,'RR3 Player Stats'!$A$3:$A$50))),0)
+IFERROR(FILTER('RR4 Player Stats'!AF$3:AF$50, ISNUMBER(SEARCH($A36,'RR4 Player Stats'!$A$3:$A$50))),0)
+IFERROR(FILTER('RR5 Player Stats'!AF$3:AF$50, ISNUMBER(SEARCH($A36,'RR5 Player Stats'!$A$3:$A$"&amp;"50))),0)"),34.0)</f>
        <v>34</v>
      </c>
      <c r="N36" s="180">
        <f>IFERROR(__xludf.DUMMYFUNCTION("(IFERROR(FILTER('RR1 Player Stats'!AG$3:AG$50, ISNUMBER(SEARCH($A36,'RR1 Player Stats'!$A$3:$A$50))),0)
+IFERROR(FILTER('RR2 Player Stats'!AG$3:AG$50, ISNUMBER(SEARCH($A36,'RR2 Player Stats'!$A$3:$A$50))),0)
+IFERROR(FILTER('RR3 Player Stats'!AG$3:AG$50, "&amp;"ISNUMBER(SEARCH($A36,'RR3 Player Stats'!$A$3:$A$50))),0)
+IFERROR(FILTER('RR4 Player Stats'!AG$3:AG$50, ISNUMBER(SEARCH($A36,'RR4 Player Stats'!$A$3:$A$50))),0)
+IFERROR(FILTER('RR5 Player Stats'!AG$3:AG$50, ISNUMBER(SEARCH($A36,'RR5 Player Stats'!$A$3:$A"&amp;"$50))),0))/5"),0.22599999999999998)</f>
        <v>0.226</v>
      </c>
      <c r="O36" s="55">
        <f>IFERROR(__xludf.DUMMYFUNCTION("IFERROR(FILTER('RR1 Player Stats'!AH$3:AH$50, ISNUMBER(SEARCH($A36,'RR1 Player Stats'!$A$3:$A$50))),0)
+IFERROR(FILTER('RR2 Player Stats'!AH$3:AH$50, ISNUMBER(SEARCH($A36,'RR2 Player Stats'!$A$3:$A$50))),0)
+IFERROR(FILTER('RR3 Player Stats'!AH$3:AH$50, I"&amp;"SNUMBER(SEARCH($A36,'RR3 Player Stats'!$A$3:$A$50))),0)
+IFERROR(FILTER('RR4 Player Stats'!AH$3:AH$50, ISNUMBER(SEARCH($A36,'RR4 Player Stats'!$A$3:$A$50))),0)
+IFERROR(FILTER('RR5 Player Stats'!AH$3:AH$50, ISNUMBER(SEARCH($A36,'RR5 Player Stats'!$A$3:$A$"&amp;"50))),0)"),17.0)</f>
        <v>17</v>
      </c>
      <c r="P36" s="57">
        <f>IFERROR(__xludf.DUMMYFUNCTION("IFERROR(FILTER('RR1 Player Stats'!AI$3:AI$50, ISNUMBER(SEARCH($A36,'RR1 Player Stats'!$A$3:$A$50))),0)
+IFERROR(FILTER('RR2 Player Stats'!AI$3:AI$50, ISNUMBER(SEARCH($A36,'RR2 Player Stats'!$A$3:$A$50))),0)
+IFERROR(FILTER('RR3 Player Stats'!AI$3:AI$50, I"&amp;"SNUMBER(SEARCH($A36,'RR3 Player Stats'!$A$3:$A$50))),0)
+IFERROR(FILTER('RR4 Player Stats'!AI$3:AI$50, ISNUMBER(SEARCH($A36,'RR4 Player Stats'!$A$3:$A$50))),0)
+IFERROR(FILTER('RR5 Player Stats'!AI$3:AI$50, ISNUMBER(SEARCH($A36,'RR5 Player Stats'!$A$3:$A$"&amp;"50))),0)"),5.0)</f>
        <v>5</v>
      </c>
      <c r="Q36" s="57">
        <f>IFERROR(__xludf.DUMMYFUNCTION("IFERROR(FILTER('RR1 Player Stats'!AJ$3:AJ$50, ISNUMBER(SEARCH($A36,'RR1 Player Stats'!$A$3:$A$50))),0)
+IFERROR(FILTER('RR2 Player Stats'!AJ$3:AJ$50, ISNUMBER(SEARCH($A36,'RR2 Player Stats'!$A$3:$A$50))),0)
+IFERROR(FILTER('RR3 Player Stats'!AJ$3:AJ$50, I"&amp;"SNUMBER(SEARCH($A36,'RR3 Player Stats'!$A$3:$A$50))),0)
+IFERROR(FILTER('RR4 Player Stats'!AJ$3:AJ$50, ISNUMBER(SEARCH($A36,'RR4 Player Stats'!$A$3:$A$50))),0)
+IFERROR(FILTER('RR5 Player Stats'!AJ$3:AJ$50, ISNUMBER(SEARCH($A36,'RR5 Player Stats'!$A$3:$A$"&amp;"50))),0)"),6.0)</f>
        <v>6</v>
      </c>
      <c r="R36" s="57">
        <f>IFERROR(__xludf.DUMMYFUNCTION("IFERROR(FILTER('RR1 Player Stats'!AK$3:AK$50, ISNUMBER(SEARCH($A36,'RR1 Player Stats'!$A$3:$A$50))),0)
+IFERROR(FILTER('RR2 Player Stats'!AK$3:AK$50, ISNUMBER(SEARCH($A36,'RR2 Player Stats'!$A$3:$A$50))),0)
+IFERROR(FILTER('RR3 Player Stats'!AK$3:AK$50, I"&amp;"SNUMBER(SEARCH($A36,'RR3 Player Stats'!$A$3:$A$50))),0)
+IFERROR(FILTER('RR4 Player Stats'!AK$3:AK$50, ISNUMBER(SEARCH($A36,'RR4 Player Stats'!$A$3:$A$50))),0)
+IFERROR(FILTER('RR5 Player Stats'!AK$3:AK$50, ISNUMBER(SEARCH($A36,'RR5 Player Stats'!$A$3:$A$"&amp;"50))),0)"),98.0)</f>
        <v>98</v>
      </c>
      <c r="S36" s="57">
        <f>IFERROR(__xludf.DUMMYFUNCTION("IFERROR(FILTER('RR1 Player Stats'!AL$3:AL$50, ISNUMBER(SEARCH($A36,'RR1 Player Stats'!$A$3:$A$50))),0)
+IFERROR(FILTER('RR2 Player Stats'!AL$3:AL$50, ISNUMBER(SEARCH($A36,'RR2 Player Stats'!$A$3:$A$50))),0)
+IFERROR(FILTER('RR3 Player Stats'!AL$3:AL$50, I"&amp;"SNUMBER(SEARCH($A36,'RR3 Player Stats'!$A$3:$A$50))),0)
+IFERROR(FILTER('RR4 Player Stats'!AL$3:AL$50, ISNUMBER(SEARCH($A36,'RR4 Player Stats'!$A$3:$A$50))),0)
+IFERROR(FILTER('RR5 Player Stats'!AL$3:AL$50, ISNUMBER(SEARCH($A36,'RR5 Player Stats'!$A$3:$A$"&amp;"50))),0)"),74.0)</f>
        <v>74</v>
      </c>
      <c r="T36" s="180">
        <f>IFERROR(__xludf.DUMMYFUNCTION("(IFERROR(FILTER('RR1 Player Stats'!AM$3:AM$50, ISNUMBER(SEARCH($A36,'RR1 Player Stats'!$A$3:$A$50))),0)
+IFERROR(FILTER('RR2 Player Stats'!AM$3:AM$50, ISNUMBER(SEARCH($A36,'RR2 Player Stats'!$A$3:$A$50))),0)
+IFERROR(FILTER('RR3 Player Stats'!AM$3:AM$50, "&amp;"ISNUMBER(SEARCH($A36,'RR3 Player Stats'!$A$3:$A$50))),0)
+IFERROR(FILTER('RR4 Player Stats'!AM$3:AM$50, ISNUMBER(SEARCH($A36,'RR4 Player Stats'!$A$3:$A$50))),0)
+IFERROR(FILTER('RR5 Player Stats'!AM$3:AM$50, ISNUMBER(SEARCH($A36,'RR5 Player Stats'!$A$3:$A"&amp;"$50))),0))/B36"),0.22000000000000003)</f>
        <v>0.22</v>
      </c>
      <c r="U36" s="55">
        <f>IFERROR(__xludf.DUMMYFUNCTION("MEDIAN(IFERROR(FILTER('RR1 Player Stats'!AH$3:AH$50, ISNUMBER(SEARCH($A36,'RR1 Player Stats'!$A$3:$A$50))),0),IFERROR(FILTER('RR2 Player Stats'!AH$3:AH$50, ISNUMBER(SEARCH($A36,'RR2 Player Stats'!$A$3:$A$50))),0),IFERROR(FILTER('RR3 Player Stats'!AH$3:AH$"&amp;"50, ISNUMBER(SEARCH($A36,'RR3 Player Stats'!$A$3:$A$50))),0),IFERROR(FILTER('RR4 Player Stats'!AH$3:AH$50, ISNUMBER(SEARCH($A36,'RR4 Player Stats'!$A$3:$A$50))),0),IFERROR(FILTER('RR5 Player Stats'!AH$3:AH$50, ISNUMBER(SEARCH($A36,'RR5 Player Stats'!$A$3:"&amp;"$A$50))),0))"),4.0)</f>
        <v>4</v>
      </c>
      <c r="V36" s="57">
        <f>IFERROR(__xludf.DUMMYFUNCTION("MEDIAN(IFERROR(FILTER('RR1 Player Stats'!AI$3:AI$50, ISNUMBER(SEARCH($A36,'RR1 Player Stats'!$A$3:$A$50))),0),IFERROR(FILTER('RR2 Player Stats'!AI$3:AI$50, ISNUMBER(SEARCH($A36,'RR2 Player Stats'!$A$3:$A$50))),0),IFERROR(FILTER('RR3 Player Stats'!AI$3:AI$"&amp;"50, ISNUMBER(SEARCH($A36,'RR3 Player Stats'!$A$3:$A$50))),0),IFERROR(FILTER('RR4 Player Stats'!AI$3:AI$50, ISNUMBER(SEARCH($A36,'RR4 Player Stats'!$A$3:$A$50))),0),IFERROR(FILTER('RR5 Player Stats'!AI$3:AI$50, ISNUMBER(SEARCH($A36,'RR5 Player Stats'!$A$3:"&amp;"$A$50))),0))"),1.0)</f>
        <v>1</v>
      </c>
      <c r="W36" s="57">
        <f>IFERROR(__xludf.DUMMYFUNCTION("MEDIAN(IFERROR(FILTER('RR1 Player Stats'!AJ$3:AJ$50, ISNUMBER(SEARCH($A36,'RR1 Player Stats'!$A$3:$A$50))),0),IFERROR(FILTER('RR2 Player Stats'!AJ$3:AJ$50, ISNUMBER(SEARCH($A36,'RR2 Player Stats'!$A$3:$A$50))),0),IFERROR(FILTER('RR3 Player Stats'!AJ$3:AJ$"&amp;"50, ISNUMBER(SEARCH($A36,'RR3 Player Stats'!$A$3:$A$50))),0),IFERROR(FILTER('RR4 Player Stats'!AJ$3:AJ$50, ISNUMBER(SEARCH($A36,'RR4 Player Stats'!$A$3:$A$50))),0),IFERROR(FILTER('RR5 Player Stats'!AJ$3:AJ$50, ISNUMBER(SEARCH($A36,'RR5 Player Stats'!$A$3:"&amp;"$A$50))),0))"),2.0)</f>
        <v>2</v>
      </c>
      <c r="X36" s="57">
        <f>IFERROR(__xludf.DUMMYFUNCTION("MEDIAN(IFERROR(FILTER('RR1 Player Stats'!AK$3:AK$50, ISNUMBER(SEARCH($A36,'RR1 Player Stats'!$A$3:$A$50))),0),IFERROR(FILTER('RR2 Player Stats'!AK$3:AK$50, ISNUMBER(SEARCH($A36,'RR2 Player Stats'!$A$3:$A$50))),0),IFERROR(FILTER('RR3 Player Stats'!AK$3:AK$"&amp;"50, ISNUMBER(SEARCH($A36,'RR3 Player Stats'!$A$3:$A$50))),0),IFERROR(FILTER('RR4 Player Stats'!AK$3:AK$50, ISNUMBER(SEARCH($A36,'RR4 Player Stats'!$A$3:$A$50))),0),IFERROR(FILTER('RR5 Player Stats'!AK$3:AK$50, ISNUMBER(SEARCH($A36,'RR5 Player Stats'!$A$3:"&amp;"$A$50))),0))"),22.0)</f>
        <v>22</v>
      </c>
      <c r="Y36" s="57">
        <f>IFERROR(__xludf.DUMMYFUNCTION("MEDIAN(IFERROR(FILTER('RR1 Player Stats'!AL$3:AL$50, ISNUMBER(SEARCH($A36,'RR1 Player Stats'!$A$3:$A$50))),0),IFERROR(FILTER('RR2 Player Stats'!AL$3:AL$50, ISNUMBER(SEARCH($A36,'RR2 Player Stats'!$A$3:$A$50))),0),IFERROR(FILTER('RR3 Player Stats'!AL$3:AL$"&amp;"50, ISNUMBER(SEARCH($A36,'RR3 Player Stats'!$A$3:$A$50))),0),IFERROR(FILTER('RR4 Player Stats'!AL$3:AL$50, ISNUMBER(SEARCH($A36,'RR4 Player Stats'!$A$3:$A$50))),0),IFERROR(FILTER('RR5 Player Stats'!AL$3:AL$50, ISNUMBER(SEARCH($A36,'RR5 Player Stats'!$A$3:"&amp;"$A$50))),0))"),14.0)</f>
        <v>14</v>
      </c>
      <c r="Z36" s="180">
        <f>IFERROR(__xludf.DUMMYFUNCTION("MEDIAN(IFERROR(FILTER('RR1 Player Stats'!AM$3:AM$50, ISNUMBER(SEARCH($A36,'RR1 Player Stats'!$A$3:$A$50))),0),IFERROR(FILTER('RR2 Player Stats'!AM$3:AM$50, ISNUMBER(SEARCH($A36,'RR2 Player Stats'!$A$3:$A$50))),0),IFERROR(FILTER('RR3 Player Stats'!AM$3:AM$"&amp;"50, ISNUMBER(SEARCH($A36,'RR3 Player Stats'!$A$3:$A$50))),0),IFERROR(FILTER('RR4 Player Stats'!AM$3:AM$50, ISNUMBER(SEARCH($A36,'RR4 Player Stats'!$A$3:$A$50))),0),IFERROR(FILTER('RR5 Player Stats'!AM$3:AM$50, ISNUMBER(SEARCH($A36,'RR5 Player Stats'!$A$3:"&amp;"$A$50))),0))"),0.25)</f>
        <v>0.25</v>
      </c>
    </row>
    <row r="37">
      <c r="A37" s="29" t="s">
        <v>59</v>
      </c>
      <c r="B37" s="48">
        <f>COUNTIF('RR1 Player Stats'!$A$3:$A$50,$A37)+COUNTIF('RR2 Player Stats'!$A$3:$A$50,$A37)+COUNTIF('RR3 Player Stats'!$A$3:$A$50,$A37)+COUNTIF('RR4 Player Stats'!$A$3:$A$50,$A37)+COUNTIF('RR5 Player Stats'!$A$3:$A$50,$A37)</f>
        <v>5</v>
      </c>
      <c r="C37" s="55">
        <f>IFERROR(__xludf.DUMMYFUNCTION("IFERROR(FILTER('RR1 Player Stats'!V$3:V$50, ISNUMBER(SEARCH($A37,'RR1 Player Stats'!$A$3:$A$50))),0)
+IFERROR(FILTER('RR2 Player Stats'!V$3:V$50, ISNUMBER(SEARCH($A37,'RR2 Player Stats'!$A$3:$A$50))),0)
+IFERROR(FILTER('RR3 Player Stats'!V$3:V$50, ISNUMBE"&amp;"R(SEARCH($A37,'RR3 Player Stats'!$A$3:$A$50))),0)
+IFERROR(FILTER('RR4 Player Stats'!V$3:V$50, ISNUMBER(SEARCH($A37,'RR4 Player Stats'!$A$3:$A$50))),0)
+IFERROR(FILTER('RR5 Player Stats'!V$3:V$50, ISNUMBER(SEARCH($A37,'RR5 Player Stats'!$A$3:$A$50))),0)"),9.0)</f>
        <v>9</v>
      </c>
      <c r="D37" s="57">
        <f>IFERROR(__xludf.DUMMYFUNCTION("IFERROR(FILTER('RR1 Player Stats'!W$3:W$50, ISNUMBER(SEARCH($A37,'RR1 Player Stats'!$A$3:$A$50))),0)
+IFERROR(FILTER('RR2 Player Stats'!W$3:W$50, ISNUMBER(SEARCH($A37,'RR2 Player Stats'!$A$3:$A$50))),0)
+IFERROR(FILTER('RR3 Player Stats'!W$3:W$50, ISNUMBE"&amp;"R(SEARCH($A37,'RR3 Player Stats'!$A$3:$A$50))),0)
+IFERROR(FILTER('RR4 Player Stats'!W$3:W$50, ISNUMBER(SEARCH($A37,'RR4 Player Stats'!$A$3:$A$50))),0)
+IFERROR(FILTER('RR5 Player Stats'!W$3:W$50, ISNUMBER(SEARCH($A37,'RR5 Player Stats'!$A$3:$A$50))),0)"),4.0)</f>
        <v>4</v>
      </c>
      <c r="E37" s="57">
        <f>IFERROR(__xludf.DUMMYFUNCTION("IFERROR(FILTER('RR1 Player Stats'!X$3:X$50, ISNUMBER(SEARCH($A37,'RR1 Player Stats'!$A$3:$A$50))),0)
+IFERROR(FILTER('RR2 Player Stats'!X$3:X$50, ISNUMBER(SEARCH($A37,'RR2 Player Stats'!$A$3:$A$50))),0)
+IFERROR(FILTER('RR3 Player Stats'!X$3:X$50, ISNUMBE"&amp;"R(SEARCH($A37,'RR3 Player Stats'!$A$3:$A$50))),0)
+IFERROR(FILTER('RR4 Player Stats'!X$3:X$50, ISNUMBER(SEARCH($A37,'RR4 Player Stats'!$A$3:$A$50))),0)
+IFERROR(FILTER('RR5 Player Stats'!X$3:X$50, ISNUMBER(SEARCH($A37,'RR5 Player Stats'!$A$3:$A$50))),0)"),8.0)</f>
        <v>8</v>
      </c>
      <c r="F37" s="57">
        <f>IFERROR(__xludf.DUMMYFUNCTION("IFERROR(FILTER('RR1 Player Stats'!Y$3:Y$50, ISNUMBER(SEARCH($A37,'RR1 Player Stats'!$A$3:$A$50))),0)
+IFERROR(FILTER('RR2 Player Stats'!Y$3:Y$50, ISNUMBER(SEARCH($A37,'RR2 Player Stats'!$A$3:$A$50))),0)
+IFERROR(FILTER('RR3 Player Stats'!Y$3:Y$50, ISNUMBE"&amp;"R(SEARCH($A37,'RR3 Player Stats'!$A$3:$A$50))),0)
+IFERROR(FILTER('RR4 Player Stats'!Y$3:Y$50, ISNUMBER(SEARCH($A37,'RR4 Player Stats'!$A$3:$A$50))),0)
+IFERROR(FILTER('RR5 Player Stats'!Y$3:Y$50, ISNUMBER(SEARCH($A37,'RR5 Player Stats'!$A$3:$A$50))),0)"),60.0)</f>
        <v>60</v>
      </c>
      <c r="G37" s="57">
        <f>IFERROR(__xludf.DUMMYFUNCTION("IFERROR(FILTER('RR1 Player Stats'!Z$3:Z$50, ISNUMBER(SEARCH($A37,'RR1 Player Stats'!$A$3:$A$50))),0)
+IFERROR(FILTER('RR2 Player Stats'!Z$3:Z$50, ISNUMBER(SEARCH($A37,'RR2 Player Stats'!$A$3:$A$50))),0)
+IFERROR(FILTER('RR3 Player Stats'!Z$3:Z$50, ISNUMBE"&amp;"R(SEARCH($A37,'RR3 Player Stats'!$A$3:$A$50))),0)
+IFERROR(FILTER('RR4 Player Stats'!Z$3:Z$50, ISNUMBER(SEARCH($A37,'RR4 Player Stats'!$A$3:$A$50))),0)
+IFERROR(FILTER('RR5 Player Stats'!Z$3:Z$50, ISNUMBER(SEARCH($A37,'RR5 Player Stats'!$A$3:$A$50))),0)"),28.0)</f>
        <v>28</v>
      </c>
      <c r="H37" s="180">
        <f>IFERROR(__xludf.DUMMYFUNCTION("(IFERROR(FILTER('RR1 Player Stats'!AA$3:AA$50, ISNUMBER(SEARCH($A37,'RR1 Player Stats'!$A$3:$A$50))),0)
+IFERROR(FILTER('RR2 Player Stats'!AA$3:AA$50, ISNUMBER(SEARCH($A37,'RR2 Player Stats'!$A$3:$A$50))),0)
+IFERROR(FILTER('RR3 Player Stats'!AA$3:AA$50, "&amp;"ISNUMBER(SEARCH($A37,'RR3 Player Stats'!$A$3:$A$50))),0)
+IFERROR(FILTER('RR4 Player Stats'!AA$3:AA$50, ISNUMBER(SEARCH($A37,'RR4 Player Stats'!$A$3:$A$50))),0)
+IFERROR(FILTER('RR5 Player Stats'!AA$3:AA$50, ISNUMBER(SEARCH($A37,'RR5 Player Stats'!$A$3:$A"&amp;"$50))),0))/5"),0.21800000000000003)</f>
        <v>0.218</v>
      </c>
      <c r="I37" s="55">
        <f>IFERROR(__xludf.DUMMYFUNCTION("IFERROR(FILTER('RR1 Player Stats'!AB$3:AB$50, ISNUMBER(SEARCH($A37,'RR1 Player Stats'!$A$3:$A$50))),0)
+IFERROR(FILTER('RR2 Player Stats'!AB$3:AB$50, ISNUMBER(SEARCH($A37,'RR2 Player Stats'!$A$3:$A$50))),0)
+IFERROR(FILTER('RR3 Player Stats'!AB$3:AB$50, I"&amp;"SNUMBER(SEARCH($A37,'RR3 Player Stats'!$A$3:$A$50))),0)
+IFERROR(FILTER('RR4 Player Stats'!AB$3:AB$50, ISNUMBER(SEARCH($A37,'RR4 Player Stats'!$A$3:$A$50))),0)
+IFERROR(FILTER('RR5 Player Stats'!AB$3:AB$50, ISNUMBER(SEARCH($A37,'RR5 Player Stats'!$A$3:$A$"&amp;"50))),0)"),6.0)</f>
        <v>6</v>
      </c>
      <c r="J37" s="57">
        <f>IFERROR(__xludf.DUMMYFUNCTION("IFERROR(FILTER('RR1 Player Stats'!AC$3:AC$50, ISNUMBER(SEARCH($A37,'RR1 Player Stats'!$A$3:$A$50))),0)
+IFERROR(FILTER('RR2 Player Stats'!AC$3:AC$50, ISNUMBER(SEARCH($A37,'RR2 Player Stats'!$A$3:$A$50))),0)
+IFERROR(FILTER('RR3 Player Stats'!AC$3:AC$50, I"&amp;"SNUMBER(SEARCH($A37,'RR3 Player Stats'!$A$3:$A$50))),0)
+IFERROR(FILTER('RR4 Player Stats'!AC$3:AC$50, ISNUMBER(SEARCH($A37,'RR4 Player Stats'!$A$3:$A$50))),0)
+IFERROR(FILTER('RR5 Player Stats'!AC$3:AC$50, ISNUMBER(SEARCH($A37,'RR5 Player Stats'!$A$3:$A$"&amp;"50))),0)"),1.0)</f>
        <v>1</v>
      </c>
      <c r="K37" s="57">
        <f>IFERROR(__xludf.DUMMYFUNCTION("IFERROR(FILTER('RR1 Player Stats'!AD$3:AD$50, ISNUMBER(SEARCH($A37,'RR1 Player Stats'!$A$3:$A$50))),0)
+IFERROR(FILTER('RR2 Player Stats'!AD$3:AD$50, ISNUMBER(SEARCH($A37,'RR2 Player Stats'!$A$3:$A$50))),0)
+IFERROR(FILTER('RR3 Player Stats'!AD$3:AD$50, I"&amp;"SNUMBER(SEARCH($A37,'RR3 Player Stats'!$A$3:$A$50))),0)
+IFERROR(FILTER('RR4 Player Stats'!AD$3:AD$50, ISNUMBER(SEARCH($A37,'RR4 Player Stats'!$A$3:$A$50))),0)
+IFERROR(FILTER('RR5 Player Stats'!AD$3:AD$50, ISNUMBER(SEARCH($A37,'RR5 Player Stats'!$A$3:$A$"&amp;"50))),0)"),2.0)</f>
        <v>2</v>
      </c>
      <c r="L37" s="57">
        <f>IFERROR(__xludf.DUMMYFUNCTION("IFERROR(FILTER('RR1 Player Stats'!AE$3:AE$50, ISNUMBER(SEARCH($A37,'RR1 Player Stats'!$A$3:$A$50))),0)
+IFERROR(FILTER('RR2 Player Stats'!AE$3:AE$50, ISNUMBER(SEARCH($A37,'RR2 Player Stats'!$A$3:$A$50))),0)
+IFERROR(FILTER('RR3 Player Stats'!AE$3:AE$50, I"&amp;"SNUMBER(SEARCH($A37,'RR3 Player Stats'!$A$3:$A$50))),0)
+IFERROR(FILTER('RR4 Player Stats'!AE$3:AE$50, ISNUMBER(SEARCH($A37,'RR4 Player Stats'!$A$3:$A$50))),0)
+IFERROR(FILTER('RR5 Player Stats'!AE$3:AE$50, ISNUMBER(SEARCH($A37,'RR5 Player Stats'!$A$3:$A$"&amp;"50))),0)"),30.0)</f>
        <v>30</v>
      </c>
      <c r="M37" s="57">
        <f>IFERROR(__xludf.DUMMYFUNCTION("IFERROR(FILTER('RR1 Player Stats'!AF$3:AF$50, ISNUMBER(SEARCH($A37,'RR1 Player Stats'!$A$3:$A$50))),0)
+IFERROR(FILTER('RR2 Player Stats'!AF$3:AF$50, ISNUMBER(SEARCH($A37,'RR2 Player Stats'!$A$3:$A$50))),0)
+IFERROR(FILTER('RR3 Player Stats'!AF$3:AF$50, I"&amp;"SNUMBER(SEARCH($A37,'RR3 Player Stats'!$A$3:$A$50))),0)
+IFERROR(FILTER('RR4 Player Stats'!AF$3:AF$50, ISNUMBER(SEARCH($A37,'RR4 Player Stats'!$A$3:$A$50))),0)
+IFERROR(FILTER('RR5 Player Stats'!AF$3:AF$50, ISNUMBER(SEARCH($A37,'RR5 Player Stats'!$A$3:$A$"&amp;"50))),0)"),22.0)</f>
        <v>22</v>
      </c>
      <c r="N37" s="180">
        <f>IFERROR(__xludf.DUMMYFUNCTION("(IFERROR(FILTER('RR1 Player Stats'!AG$3:AG$50, ISNUMBER(SEARCH($A37,'RR1 Player Stats'!$A$3:$A$50))),0)
+IFERROR(FILTER('RR2 Player Stats'!AG$3:AG$50, ISNUMBER(SEARCH($A37,'RR2 Player Stats'!$A$3:$A$50))),0)
+IFERROR(FILTER('RR3 Player Stats'!AG$3:AG$50, "&amp;"ISNUMBER(SEARCH($A37,'RR3 Player Stats'!$A$3:$A$50))),0)
+IFERROR(FILTER('RR4 Player Stats'!AG$3:AG$50, ISNUMBER(SEARCH($A37,'RR4 Player Stats'!$A$3:$A$50))),0)
+IFERROR(FILTER('RR5 Player Stats'!AG$3:AG$50, ISNUMBER(SEARCH($A37,'RR5 Player Stats'!$A$3:$A"&amp;"$50))),0))/5"),0.176)</f>
        <v>0.176</v>
      </c>
      <c r="O37" s="55">
        <f>IFERROR(__xludf.DUMMYFUNCTION("IFERROR(FILTER('RR1 Player Stats'!AH$3:AH$50, ISNUMBER(SEARCH($A37,'RR1 Player Stats'!$A$3:$A$50))),0)
+IFERROR(FILTER('RR2 Player Stats'!AH$3:AH$50, ISNUMBER(SEARCH($A37,'RR2 Player Stats'!$A$3:$A$50))),0)
+IFERROR(FILTER('RR3 Player Stats'!AH$3:AH$50, I"&amp;"SNUMBER(SEARCH($A37,'RR3 Player Stats'!$A$3:$A$50))),0)
+IFERROR(FILTER('RR4 Player Stats'!AH$3:AH$50, ISNUMBER(SEARCH($A37,'RR4 Player Stats'!$A$3:$A$50))),0)
+IFERROR(FILTER('RR5 Player Stats'!AH$3:AH$50, ISNUMBER(SEARCH($A37,'RR5 Player Stats'!$A$3:$A$"&amp;"50))),0)"),15.0)</f>
        <v>15</v>
      </c>
      <c r="P37" s="57">
        <f>IFERROR(__xludf.DUMMYFUNCTION("IFERROR(FILTER('RR1 Player Stats'!AI$3:AI$50, ISNUMBER(SEARCH($A37,'RR1 Player Stats'!$A$3:$A$50))),0)
+IFERROR(FILTER('RR2 Player Stats'!AI$3:AI$50, ISNUMBER(SEARCH($A37,'RR2 Player Stats'!$A$3:$A$50))),0)
+IFERROR(FILTER('RR3 Player Stats'!AI$3:AI$50, I"&amp;"SNUMBER(SEARCH($A37,'RR3 Player Stats'!$A$3:$A$50))),0)
+IFERROR(FILTER('RR4 Player Stats'!AI$3:AI$50, ISNUMBER(SEARCH($A37,'RR4 Player Stats'!$A$3:$A$50))),0)
+IFERROR(FILTER('RR5 Player Stats'!AI$3:AI$50, ISNUMBER(SEARCH($A37,'RR5 Player Stats'!$A$3:$A$"&amp;"50))),0)"),5.0)</f>
        <v>5</v>
      </c>
      <c r="Q37" s="57">
        <f>IFERROR(__xludf.DUMMYFUNCTION("IFERROR(FILTER('RR1 Player Stats'!AJ$3:AJ$50, ISNUMBER(SEARCH($A37,'RR1 Player Stats'!$A$3:$A$50))),0)
+IFERROR(FILTER('RR2 Player Stats'!AJ$3:AJ$50, ISNUMBER(SEARCH($A37,'RR2 Player Stats'!$A$3:$A$50))),0)
+IFERROR(FILTER('RR3 Player Stats'!AJ$3:AJ$50, I"&amp;"SNUMBER(SEARCH($A37,'RR3 Player Stats'!$A$3:$A$50))),0)
+IFERROR(FILTER('RR4 Player Stats'!AJ$3:AJ$50, ISNUMBER(SEARCH($A37,'RR4 Player Stats'!$A$3:$A$50))),0)
+IFERROR(FILTER('RR5 Player Stats'!AJ$3:AJ$50, ISNUMBER(SEARCH($A37,'RR5 Player Stats'!$A$3:$A$"&amp;"50))),0)"),10.0)</f>
        <v>10</v>
      </c>
      <c r="R37" s="57">
        <f>IFERROR(__xludf.DUMMYFUNCTION("IFERROR(FILTER('RR1 Player Stats'!AK$3:AK$50, ISNUMBER(SEARCH($A37,'RR1 Player Stats'!$A$3:$A$50))),0)
+IFERROR(FILTER('RR2 Player Stats'!AK$3:AK$50, ISNUMBER(SEARCH($A37,'RR2 Player Stats'!$A$3:$A$50))),0)
+IFERROR(FILTER('RR3 Player Stats'!AK$3:AK$50, I"&amp;"SNUMBER(SEARCH($A37,'RR3 Player Stats'!$A$3:$A$50))),0)
+IFERROR(FILTER('RR4 Player Stats'!AK$3:AK$50, ISNUMBER(SEARCH($A37,'RR4 Player Stats'!$A$3:$A$50))),0)
+IFERROR(FILTER('RR5 Player Stats'!AK$3:AK$50, ISNUMBER(SEARCH($A37,'RR5 Player Stats'!$A$3:$A$"&amp;"50))),0)"),90.0)</f>
        <v>90</v>
      </c>
      <c r="S37" s="57">
        <f>IFERROR(__xludf.DUMMYFUNCTION("IFERROR(FILTER('RR1 Player Stats'!AL$3:AL$50, ISNUMBER(SEARCH($A37,'RR1 Player Stats'!$A$3:$A$50))),0)
+IFERROR(FILTER('RR2 Player Stats'!AL$3:AL$50, ISNUMBER(SEARCH($A37,'RR2 Player Stats'!$A$3:$A$50))),0)
+IFERROR(FILTER('RR3 Player Stats'!AL$3:AL$50, I"&amp;"SNUMBER(SEARCH($A37,'RR3 Player Stats'!$A$3:$A$50))),0)
+IFERROR(FILTER('RR4 Player Stats'!AL$3:AL$50, ISNUMBER(SEARCH($A37,'RR4 Player Stats'!$A$3:$A$50))),0)
+IFERROR(FILTER('RR5 Player Stats'!AL$3:AL$50, ISNUMBER(SEARCH($A37,'RR5 Player Stats'!$A$3:$A$"&amp;"50))),0)"),50.0)</f>
        <v>50</v>
      </c>
      <c r="T37" s="180">
        <f>IFERROR(__xludf.DUMMYFUNCTION("(IFERROR(FILTER('RR1 Player Stats'!AM$3:AM$50, ISNUMBER(SEARCH($A37,'RR1 Player Stats'!$A$3:$A$50))),0)
+IFERROR(FILTER('RR2 Player Stats'!AM$3:AM$50, ISNUMBER(SEARCH($A37,'RR2 Player Stats'!$A$3:$A$50))),0)
+IFERROR(FILTER('RR3 Player Stats'!AM$3:AM$50, "&amp;"ISNUMBER(SEARCH($A37,'RR3 Player Stats'!$A$3:$A$50))),0)
+IFERROR(FILTER('RR4 Player Stats'!AM$3:AM$50, ISNUMBER(SEARCH($A37,'RR4 Player Stats'!$A$3:$A$50))),0)
+IFERROR(FILTER('RR5 Player Stats'!AM$3:AM$50, ISNUMBER(SEARCH($A37,'RR5 Player Stats'!$A$3:$A"&amp;"$50))),0))/B37"),0.2)</f>
        <v>0.2</v>
      </c>
      <c r="U37" s="55">
        <f>IFERROR(__xludf.DUMMYFUNCTION("MEDIAN(IFERROR(FILTER('RR1 Player Stats'!AH$3:AH$50, ISNUMBER(SEARCH($A37,'RR1 Player Stats'!$A$3:$A$50))),0),IFERROR(FILTER('RR2 Player Stats'!AH$3:AH$50, ISNUMBER(SEARCH($A37,'RR2 Player Stats'!$A$3:$A$50))),0),IFERROR(FILTER('RR3 Player Stats'!AH$3:AH$"&amp;"50, ISNUMBER(SEARCH($A37,'RR3 Player Stats'!$A$3:$A$50))),0),IFERROR(FILTER('RR4 Player Stats'!AH$3:AH$50, ISNUMBER(SEARCH($A37,'RR4 Player Stats'!$A$3:$A$50))),0),IFERROR(FILTER('RR5 Player Stats'!AH$3:AH$50, ISNUMBER(SEARCH($A37,'RR5 Player Stats'!$A$3:"&amp;"$A$50))),0))"),3.0)</f>
        <v>3</v>
      </c>
      <c r="V37" s="57">
        <f>IFERROR(__xludf.DUMMYFUNCTION("MEDIAN(IFERROR(FILTER('RR1 Player Stats'!AI$3:AI$50, ISNUMBER(SEARCH($A37,'RR1 Player Stats'!$A$3:$A$50))),0),IFERROR(FILTER('RR2 Player Stats'!AI$3:AI$50, ISNUMBER(SEARCH($A37,'RR2 Player Stats'!$A$3:$A$50))),0),IFERROR(FILTER('RR3 Player Stats'!AI$3:AI$"&amp;"50, ISNUMBER(SEARCH($A37,'RR3 Player Stats'!$A$3:$A$50))),0),IFERROR(FILTER('RR4 Player Stats'!AI$3:AI$50, ISNUMBER(SEARCH($A37,'RR4 Player Stats'!$A$3:$A$50))),0),IFERROR(FILTER('RR5 Player Stats'!AI$3:AI$50, ISNUMBER(SEARCH($A37,'RR5 Player Stats'!$A$3:"&amp;"$A$50))),0))"),1.0)</f>
        <v>1</v>
      </c>
      <c r="W37" s="57">
        <f>IFERROR(__xludf.DUMMYFUNCTION("MEDIAN(IFERROR(FILTER('RR1 Player Stats'!AJ$3:AJ$50, ISNUMBER(SEARCH($A37,'RR1 Player Stats'!$A$3:$A$50))),0),IFERROR(FILTER('RR2 Player Stats'!AJ$3:AJ$50, ISNUMBER(SEARCH($A37,'RR2 Player Stats'!$A$3:$A$50))),0),IFERROR(FILTER('RR3 Player Stats'!AJ$3:AJ$"&amp;"50, ISNUMBER(SEARCH($A37,'RR3 Player Stats'!$A$3:$A$50))),0),IFERROR(FILTER('RR4 Player Stats'!AJ$3:AJ$50, ISNUMBER(SEARCH($A37,'RR4 Player Stats'!$A$3:$A$50))),0),IFERROR(FILTER('RR5 Player Stats'!AJ$3:AJ$50, ISNUMBER(SEARCH($A37,'RR5 Player Stats'!$A$3:"&amp;"$A$50))),0))"),2.0)</f>
        <v>2</v>
      </c>
      <c r="X37" s="57">
        <f>IFERROR(__xludf.DUMMYFUNCTION("MEDIAN(IFERROR(FILTER('RR1 Player Stats'!AK$3:AK$50, ISNUMBER(SEARCH($A37,'RR1 Player Stats'!$A$3:$A$50))),0),IFERROR(FILTER('RR2 Player Stats'!AK$3:AK$50, ISNUMBER(SEARCH($A37,'RR2 Player Stats'!$A$3:$A$50))),0),IFERROR(FILTER('RR3 Player Stats'!AK$3:AK$"&amp;"50, ISNUMBER(SEARCH($A37,'RR3 Player Stats'!$A$3:$A$50))),0),IFERROR(FILTER('RR4 Player Stats'!AK$3:AK$50, ISNUMBER(SEARCH($A37,'RR4 Player Stats'!$A$3:$A$50))),0),IFERROR(FILTER('RR5 Player Stats'!AK$3:AK$50, ISNUMBER(SEARCH($A37,'RR5 Player Stats'!$A$3:"&amp;"$A$50))),0))"),18.0)</f>
        <v>18</v>
      </c>
      <c r="Y37" s="57">
        <f>IFERROR(__xludf.DUMMYFUNCTION("MEDIAN(IFERROR(FILTER('RR1 Player Stats'!AL$3:AL$50, ISNUMBER(SEARCH($A37,'RR1 Player Stats'!$A$3:$A$50))),0),IFERROR(FILTER('RR2 Player Stats'!AL$3:AL$50, ISNUMBER(SEARCH($A37,'RR2 Player Stats'!$A$3:$A$50))),0),IFERROR(FILTER('RR3 Player Stats'!AL$3:AL$"&amp;"50, ISNUMBER(SEARCH($A37,'RR3 Player Stats'!$A$3:$A$50))),0),IFERROR(FILTER('RR4 Player Stats'!AL$3:AL$50, ISNUMBER(SEARCH($A37,'RR4 Player Stats'!$A$3:$A$50))),0),IFERROR(FILTER('RR5 Player Stats'!AL$3:AL$50, ISNUMBER(SEARCH($A37,'RR5 Player Stats'!$A$3:"&amp;"$A$50))),0))"),10.0)</f>
        <v>10</v>
      </c>
      <c r="Z37" s="180">
        <f>IFERROR(__xludf.DUMMYFUNCTION("MEDIAN(IFERROR(FILTER('RR1 Player Stats'!AM$3:AM$50, ISNUMBER(SEARCH($A37,'RR1 Player Stats'!$A$3:$A$50))),0),IFERROR(FILTER('RR2 Player Stats'!AM$3:AM$50, ISNUMBER(SEARCH($A37,'RR2 Player Stats'!$A$3:$A$50))),0),IFERROR(FILTER('RR3 Player Stats'!AM$3:AM$"&amp;"50, ISNUMBER(SEARCH($A37,'RR3 Player Stats'!$A$3:$A$50))),0),IFERROR(FILTER('RR4 Player Stats'!AM$3:AM$50, ISNUMBER(SEARCH($A37,'RR4 Player Stats'!$A$3:$A$50))),0),IFERROR(FILTER('RR5 Player Stats'!AM$3:AM$50, ISNUMBER(SEARCH($A37,'RR5 Player Stats'!$A$3:"&amp;"$A$50))),0))"),0.2)</f>
        <v>0.2</v>
      </c>
    </row>
    <row r="38">
      <c r="A38" s="29" t="s">
        <v>38</v>
      </c>
      <c r="B38" s="48">
        <f>COUNTIF('RR1 Player Stats'!$A$3:$A$50,$A38)+COUNTIF('RR2 Player Stats'!$A$3:$A$50,$A38)+COUNTIF('RR3 Player Stats'!$A$3:$A$50,$A38)+COUNTIF('RR4 Player Stats'!$A$3:$A$50,$A38)+COUNTIF('RR5 Player Stats'!$A$3:$A$50,$A38)</f>
        <v>5</v>
      </c>
      <c r="C38" s="55">
        <f>IFERROR(__xludf.DUMMYFUNCTION("IFERROR(FILTER('RR1 Player Stats'!V$3:V$50, ISNUMBER(SEARCH($A38,'RR1 Player Stats'!$A$3:$A$50))),0)
+IFERROR(FILTER('RR2 Player Stats'!V$3:V$50, ISNUMBER(SEARCH($A38,'RR2 Player Stats'!$A$3:$A$50))),0)
+IFERROR(FILTER('RR3 Player Stats'!V$3:V$50, ISNUMBE"&amp;"R(SEARCH($A38,'RR3 Player Stats'!$A$3:$A$50))),0)
+IFERROR(FILTER('RR4 Player Stats'!V$3:V$50, ISNUMBER(SEARCH($A38,'RR4 Player Stats'!$A$3:$A$50))),0)
+IFERROR(FILTER('RR5 Player Stats'!V$3:V$50, ISNUMBER(SEARCH($A38,'RR5 Player Stats'!$A$3:$A$50))),0)"),14.0)</f>
        <v>14</v>
      </c>
      <c r="D38" s="57">
        <f>IFERROR(__xludf.DUMMYFUNCTION("IFERROR(FILTER('RR1 Player Stats'!W$3:W$50, ISNUMBER(SEARCH($A38,'RR1 Player Stats'!$A$3:$A$50))),0)
+IFERROR(FILTER('RR2 Player Stats'!W$3:W$50, ISNUMBER(SEARCH($A38,'RR2 Player Stats'!$A$3:$A$50))),0)
+IFERROR(FILTER('RR3 Player Stats'!W$3:W$50, ISNUMBE"&amp;"R(SEARCH($A38,'RR3 Player Stats'!$A$3:$A$50))),0)
+IFERROR(FILTER('RR4 Player Stats'!W$3:W$50, ISNUMBER(SEARCH($A38,'RR4 Player Stats'!$A$3:$A$50))),0)
+IFERROR(FILTER('RR5 Player Stats'!W$3:W$50, ISNUMBER(SEARCH($A38,'RR5 Player Stats'!$A$3:$A$50))),0)"),3.0)</f>
        <v>3</v>
      </c>
      <c r="E38" s="57">
        <f>IFERROR(__xludf.DUMMYFUNCTION("IFERROR(FILTER('RR1 Player Stats'!X$3:X$50, ISNUMBER(SEARCH($A38,'RR1 Player Stats'!$A$3:$A$50))),0)
+IFERROR(FILTER('RR2 Player Stats'!X$3:X$50, ISNUMBER(SEARCH($A38,'RR2 Player Stats'!$A$3:$A$50))),0)
+IFERROR(FILTER('RR3 Player Stats'!X$3:X$50, ISNUMBE"&amp;"R(SEARCH($A38,'RR3 Player Stats'!$A$3:$A$50))),0)
+IFERROR(FILTER('RR4 Player Stats'!X$3:X$50, ISNUMBER(SEARCH($A38,'RR4 Player Stats'!$A$3:$A$50))),0)
+IFERROR(FILTER('RR5 Player Stats'!X$3:X$50, ISNUMBER(SEARCH($A38,'RR5 Player Stats'!$A$3:$A$50))),0)"),2.0)</f>
        <v>2</v>
      </c>
      <c r="F38" s="57">
        <f>IFERROR(__xludf.DUMMYFUNCTION("IFERROR(FILTER('RR1 Player Stats'!Y$3:Y$50, ISNUMBER(SEARCH($A38,'RR1 Player Stats'!$A$3:$A$50))),0)
+IFERROR(FILTER('RR2 Player Stats'!Y$3:Y$50, ISNUMBER(SEARCH($A38,'RR2 Player Stats'!$A$3:$A$50))),0)
+IFERROR(FILTER('RR3 Player Stats'!Y$3:Y$50, ISNUMBE"&amp;"R(SEARCH($A38,'RR3 Player Stats'!$A$3:$A$50))),0)
+IFERROR(FILTER('RR4 Player Stats'!Y$3:Y$50, ISNUMBER(SEARCH($A38,'RR4 Player Stats'!$A$3:$A$50))),0)
+IFERROR(FILTER('RR5 Player Stats'!Y$3:Y$50, ISNUMBER(SEARCH($A38,'RR5 Player Stats'!$A$3:$A$50))),0)"),74.0)</f>
        <v>74</v>
      </c>
      <c r="G38" s="57">
        <f>IFERROR(__xludf.DUMMYFUNCTION("IFERROR(FILTER('RR1 Player Stats'!Z$3:Z$50, ISNUMBER(SEARCH($A38,'RR1 Player Stats'!$A$3:$A$50))),0)
+IFERROR(FILTER('RR2 Player Stats'!Z$3:Z$50, ISNUMBER(SEARCH($A38,'RR2 Player Stats'!$A$3:$A$50))),0)
+IFERROR(FILTER('RR3 Player Stats'!Z$3:Z$50, ISNUMBE"&amp;"R(SEARCH($A38,'RR3 Player Stats'!$A$3:$A$50))),0)
+IFERROR(FILTER('RR4 Player Stats'!Z$3:Z$50, ISNUMBER(SEARCH($A38,'RR4 Player Stats'!$A$3:$A$50))),0)
+IFERROR(FILTER('RR5 Player Stats'!Z$3:Z$50, ISNUMBER(SEARCH($A38,'RR5 Player Stats'!$A$3:$A$50))),0)"),66.0)</f>
        <v>66</v>
      </c>
      <c r="H38" s="180">
        <f>IFERROR(__xludf.DUMMYFUNCTION("(IFERROR(FILTER('RR1 Player Stats'!AA$3:AA$50, ISNUMBER(SEARCH($A38,'RR1 Player Stats'!$A$3:$A$50))),0)
+IFERROR(FILTER('RR2 Player Stats'!AA$3:AA$50, ISNUMBER(SEARCH($A38,'RR2 Player Stats'!$A$3:$A$50))),0)
+IFERROR(FILTER('RR3 Player Stats'!AA$3:AA$50, "&amp;"ISNUMBER(SEARCH($A38,'RR3 Player Stats'!$A$3:$A$50))),0)
+IFERROR(FILTER('RR4 Player Stats'!AA$3:AA$50, ISNUMBER(SEARCH($A38,'RR4 Player Stats'!$A$3:$A$50))),0)
+IFERROR(FILTER('RR5 Player Stats'!AA$3:AA$50, ISNUMBER(SEARCH($A38,'RR5 Player Stats'!$A$3:$A"&amp;"$50))),0))/5"),0.284)</f>
        <v>0.284</v>
      </c>
      <c r="I38" s="55">
        <f>IFERROR(__xludf.DUMMYFUNCTION("IFERROR(FILTER('RR1 Player Stats'!AB$3:AB$50, ISNUMBER(SEARCH($A38,'RR1 Player Stats'!$A$3:$A$50))),0)
+IFERROR(FILTER('RR2 Player Stats'!AB$3:AB$50, ISNUMBER(SEARCH($A38,'RR2 Player Stats'!$A$3:$A$50))),0)
+IFERROR(FILTER('RR3 Player Stats'!AB$3:AB$50, I"&amp;"SNUMBER(SEARCH($A38,'RR3 Player Stats'!$A$3:$A$50))),0)
+IFERROR(FILTER('RR4 Player Stats'!AB$3:AB$50, ISNUMBER(SEARCH($A38,'RR4 Player Stats'!$A$3:$A$50))),0)
+IFERROR(FILTER('RR5 Player Stats'!AB$3:AB$50, ISNUMBER(SEARCH($A38,'RR5 Player Stats'!$A$3:$A$"&amp;"50))),0)"),1.0)</f>
        <v>1</v>
      </c>
      <c r="J38" s="57">
        <f>IFERROR(__xludf.DUMMYFUNCTION("IFERROR(FILTER('RR1 Player Stats'!AC$3:AC$50, ISNUMBER(SEARCH($A38,'RR1 Player Stats'!$A$3:$A$50))),0)
+IFERROR(FILTER('RR2 Player Stats'!AC$3:AC$50, ISNUMBER(SEARCH($A38,'RR2 Player Stats'!$A$3:$A$50))),0)
+IFERROR(FILTER('RR3 Player Stats'!AC$3:AC$50, I"&amp;"SNUMBER(SEARCH($A38,'RR3 Player Stats'!$A$3:$A$50))),0)
+IFERROR(FILTER('RR4 Player Stats'!AC$3:AC$50, ISNUMBER(SEARCH($A38,'RR4 Player Stats'!$A$3:$A$50))),0)
+IFERROR(FILTER('RR5 Player Stats'!AC$3:AC$50, ISNUMBER(SEARCH($A38,'RR5 Player Stats'!$A$3:$A$"&amp;"50))),0)"),2.0)</f>
        <v>2</v>
      </c>
      <c r="K38" s="57">
        <f>IFERROR(__xludf.DUMMYFUNCTION("IFERROR(FILTER('RR1 Player Stats'!AD$3:AD$50, ISNUMBER(SEARCH($A38,'RR1 Player Stats'!$A$3:$A$50))),0)
+IFERROR(FILTER('RR2 Player Stats'!AD$3:AD$50, ISNUMBER(SEARCH($A38,'RR2 Player Stats'!$A$3:$A$50))),0)
+IFERROR(FILTER('RR3 Player Stats'!AD$3:AD$50, I"&amp;"SNUMBER(SEARCH($A38,'RR3 Player Stats'!$A$3:$A$50))),0)
+IFERROR(FILTER('RR4 Player Stats'!AD$3:AD$50, ISNUMBER(SEARCH($A38,'RR4 Player Stats'!$A$3:$A$50))),0)
+IFERROR(FILTER('RR5 Player Stats'!AD$3:AD$50, ISNUMBER(SEARCH($A38,'RR5 Player Stats'!$A$3:$A$"&amp;"50))),0)"),0.0)</f>
        <v>0</v>
      </c>
      <c r="L38" s="57">
        <f>IFERROR(__xludf.DUMMYFUNCTION("IFERROR(FILTER('RR1 Player Stats'!AE$3:AE$50, ISNUMBER(SEARCH($A38,'RR1 Player Stats'!$A$3:$A$50))),0)
+IFERROR(FILTER('RR2 Player Stats'!AE$3:AE$50, ISNUMBER(SEARCH($A38,'RR2 Player Stats'!$A$3:$A$50))),0)
+IFERROR(FILTER('RR3 Player Stats'!AE$3:AE$50, I"&amp;"SNUMBER(SEARCH($A38,'RR3 Player Stats'!$A$3:$A$50))),0)
+IFERROR(FILTER('RR4 Player Stats'!AE$3:AE$50, ISNUMBER(SEARCH($A38,'RR4 Player Stats'!$A$3:$A$50))),0)
+IFERROR(FILTER('RR5 Player Stats'!AE$3:AE$50, ISNUMBER(SEARCH($A38,'RR5 Player Stats'!$A$3:$A$"&amp;"50))),0)"),16.0)</f>
        <v>16</v>
      </c>
      <c r="M38" s="57">
        <f>IFERROR(__xludf.DUMMYFUNCTION("IFERROR(FILTER('RR1 Player Stats'!AF$3:AF$50, ISNUMBER(SEARCH($A38,'RR1 Player Stats'!$A$3:$A$50))),0)
+IFERROR(FILTER('RR2 Player Stats'!AF$3:AF$50, ISNUMBER(SEARCH($A38,'RR2 Player Stats'!$A$3:$A$50))),0)
+IFERROR(FILTER('RR3 Player Stats'!AF$3:AF$50, I"&amp;"SNUMBER(SEARCH($A38,'RR3 Player Stats'!$A$3:$A$50))),0)
+IFERROR(FILTER('RR4 Player Stats'!AF$3:AF$50, ISNUMBER(SEARCH($A38,'RR4 Player Stats'!$A$3:$A$50))),0)
+IFERROR(FILTER('RR5 Player Stats'!AF$3:AF$50, ISNUMBER(SEARCH($A38,'RR5 Player Stats'!$A$3:$A$"&amp;"50))),0)"),16.0)</f>
        <v>16</v>
      </c>
      <c r="N38" s="180">
        <f>IFERROR(__xludf.DUMMYFUNCTION("(IFERROR(FILTER('RR1 Player Stats'!AG$3:AG$50, ISNUMBER(SEARCH($A38,'RR1 Player Stats'!$A$3:$A$50))),0)
+IFERROR(FILTER('RR2 Player Stats'!AG$3:AG$50, ISNUMBER(SEARCH($A38,'RR2 Player Stats'!$A$3:$A$50))),0)
+IFERROR(FILTER('RR3 Player Stats'!AG$3:AG$50, "&amp;"ISNUMBER(SEARCH($A38,'RR3 Player Stats'!$A$3:$A$50))),0)
+IFERROR(FILTER('RR4 Player Stats'!AG$3:AG$50, ISNUMBER(SEARCH($A38,'RR4 Player Stats'!$A$3:$A$50))),0)
+IFERROR(FILTER('RR5 Player Stats'!AG$3:AG$50, ISNUMBER(SEARCH($A38,'RR5 Player Stats'!$A$3:$A"&amp;"$50))),0))/5"),0.076)</f>
        <v>0.076</v>
      </c>
      <c r="O38" s="55">
        <f>IFERROR(__xludf.DUMMYFUNCTION("IFERROR(FILTER('RR1 Player Stats'!AH$3:AH$50, ISNUMBER(SEARCH($A38,'RR1 Player Stats'!$A$3:$A$50))),0)
+IFERROR(FILTER('RR2 Player Stats'!AH$3:AH$50, ISNUMBER(SEARCH($A38,'RR2 Player Stats'!$A$3:$A$50))),0)
+IFERROR(FILTER('RR3 Player Stats'!AH$3:AH$50, I"&amp;"SNUMBER(SEARCH($A38,'RR3 Player Stats'!$A$3:$A$50))),0)
+IFERROR(FILTER('RR4 Player Stats'!AH$3:AH$50, ISNUMBER(SEARCH($A38,'RR4 Player Stats'!$A$3:$A$50))),0)
+IFERROR(FILTER('RR5 Player Stats'!AH$3:AH$50, ISNUMBER(SEARCH($A38,'RR5 Player Stats'!$A$3:$A$"&amp;"50))),0)"),15.0)</f>
        <v>15</v>
      </c>
      <c r="P38" s="57">
        <f>IFERROR(__xludf.DUMMYFUNCTION("IFERROR(FILTER('RR1 Player Stats'!AI$3:AI$50, ISNUMBER(SEARCH($A38,'RR1 Player Stats'!$A$3:$A$50))),0)
+IFERROR(FILTER('RR2 Player Stats'!AI$3:AI$50, ISNUMBER(SEARCH($A38,'RR2 Player Stats'!$A$3:$A$50))),0)
+IFERROR(FILTER('RR3 Player Stats'!AI$3:AI$50, I"&amp;"SNUMBER(SEARCH($A38,'RR3 Player Stats'!$A$3:$A$50))),0)
+IFERROR(FILTER('RR4 Player Stats'!AI$3:AI$50, ISNUMBER(SEARCH($A38,'RR4 Player Stats'!$A$3:$A$50))),0)
+IFERROR(FILTER('RR5 Player Stats'!AI$3:AI$50, ISNUMBER(SEARCH($A38,'RR5 Player Stats'!$A$3:$A$"&amp;"50))),0)"),5.0)</f>
        <v>5</v>
      </c>
      <c r="Q38" s="57">
        <f>IFERROR(__xludf.DUMMYFUNCTION("IFERROR(FILTER('RR1 Player Stats'!AJ$3:AJ$50, ISNUMBER(SEARCH($A38,'RR1 Player Stats'!$A$3:$A$50))),0)
+IFERROR(FILTER('RR2 Player Stats'!AJ$3:AJ$50, ISNUMBER(SEARCH($A38,'RR2 Player Stats'!$A$3:$A$50))),0)
+IFERROR(FILTER('RR3 Player Stats'!AJ$3:AJ$50, I"&amp;"SNUMBER(SEARCH($A38,'RR3 Player Stats'!$A$3:$A$50))),0)
+IFERROR(FILTER('RR4 Player Stats'!AJ$3:AJ$50, ISNUMBER(SEARCH($A38,'RR4 Player Stats'!$A$3:$A$50))),0)
+IFERROR(FILTER('RR5 Player Stats'!AJ$3:AJ$50, ISNUMBER(SEARCH($A38,'RR5 Player Stats'!$A$3:$A$"&amp;"50))),0)"),2.0)</f>
        <v>2</v>
      </c>
      <c r="R38" s="57">
        <f>IFERROR(__xludf.DUMMYFUNCTION("IFERROR(FILTER('RR1 Player Stats'!AK$3:AK$50, ISNUMBER(SEARCH($A38,'RR1 Player Stats'!$A$3:$A$50))),0)
+IFERROR(FILTER('RR2 Player Stats'!AK$3:AK$50, ISNUMBER(SEARCH($A38,'RR2 Player Stats'!$A$3:$A$50))),0)
+IFERROR(FILTER('RR3 Player Stats'!AK$3:AK$50, I"&amp;"SNUMBER(SEARCH($A38,'RR3 Player Stats'!$A$3:$A$50))),0)
+IFERROR(FILTER('RR4 Player Stats'!AK$3:AK$50, ISNUMBER(SEARCH($A38,'RR4 Player Stats'!$A$3:$A$50))),0)
+IFERROR(FILTER('RR5 Player Stats'!AK$3:AK$50, ISNUMBER(SEARCH($A38,'RR5 Player Stats'!$A$3:$A$"&amp;"50))),0)"),90.0)</f>
        <v>90</v>
      </c>
      <c r="S38" s="57">
        <f>IFERROR(__xludf.DUMMYFUNCTION("IFERROR(FILTER('RR1 Player Stats'!AL$3:AL$50, ISNUMBER(SEARCH($A38,'RR1 Player Stats'!$A$3:$A$50))),0)
+IFERROR(FILTER('RR2 Player Stats'!AL$3:AL$50, ISNUMBER(SEARCH($A38,'RR2 Player Stats'!$A$3:$A$50))),0)
+IFERROR(FILTER('RR3 Player Stats'!AL$3:AL$50, I"&amp;"SNUMBER(SEARCH($A38,'RR3 Player Stats'!$A$3:$A$50))),0)
+IFERROR(FILTER('RR4 Player Stats'!AL$3:AL$50, ISNUMBER(SEARCH($A38,'RR4 Player Stats'!$A$3:$A$50))),0)
+IFERROR(FILTER('RR5 Player Stats'!AL$3:AL$50, ISNUMBER(SEARCH($A38,'RR5 Player Stats'!$A$3:$A$"&amp;"50))),0)"),82.0)</f>
        <v>82</v>
      </c>
      <c r="T38" s="180">
        <f>IFERROR(__xludf.DUMMYFUNCTION("(IFERROR(FILTER('RR1 Player Stats'!AM$3:AM$50, ISNUMBER(SEARCH($A38,'RR1 Player Stats'!$A$3:$A$50))),0)
+IFERROR(FILTER('RR2 Player Stats'!AM$3:AM$50, ISNUMBER(SEARCH($A38,'RR2 Player Stats'!$A$3:$A$50))),0)
+IFERROR(FILTER('RR3 Player Stats'!AM$3:AM$50, "&amp;"ISNUMBER(SEARCH($A38,'RR3 Player Stats'!$A$3:$A$50))),0)
+IFERROR(FILTER('RR4 Player Stats'!AM$3:AM$50, ISNUMBER(SEARCH($A38,'RR4 Player Stats'!$A$3:$A$50))),0)
+IFERROR(FILTER('RR5 Player Stats'!AM$3:AM$50, ISNUMBER(SEARCH($A38,'RR5 Player Stats'!$A$3:$A"&amp;"$50))),0))/B38"),0.19999999999999998)</f>
        <v>0.2</v>
      </c>
      <c r="U38" s="55">
        <f>IFERROR(__xludf.DUMMYFUNCTION("MEDIAN(IFERROR(FILTER('RR1 Player Stats'!AH$3:AH$50, ISNUMBER(SEARCH($A38,'RR1 Player Stats'!$A$3:$A$50))),0),IFERROR(FILTER('RR2 Player Stats'!AH$3:AH$50, ISNUMBER(SEARCH($A38,'RR2 Player Stats'!$A$3:$A$50))),0),IFERROR(FILTER('RR3 Player Stats'!AH$3:AH$"&amp;"50, ISNUMBER(SEARCH($A38,'RR3 Player Stats'!$A$3:$A$50))),0),IFERROR(FILTER('RR4 Player Stats'!AH$3:AH$50, ISNUMBER(SEARCH($A38,'RR4 Player Stats'!$A$3:$A$50))),0),IFERROR(FILTER('RR5 Player Stats'!AH$3:AH$50, ISNUMBER(SEARCH($A38,'RR5 Player Stats'!$A$3:"&amp;"$A$50))),0))"),3.0)</f>
        <v>3</v>
      </c>
      <c r="V38" s="57">
        <f>IFERROR(__xludf.DUMMYFUNCTION("MEDIAN(IFERROR(FILTER('RR1 Player Stats'!AI$3:AI$50, ISNUMBER(SEARCH($A38,'RR1 Player Stats'!$A$3:$A$50))),0),IFERROR(FILTER('RR2 Player Stats'!AI$3:AI$50, ISNUMBER(SEARCH($A38,'RR2 Player Stats'!$A$3:$A$50))),0),IFERROR(FILTER('RR3 Player Stats'!AI$3:AI$"&amp;"50, ISNUMBER(SEARCH($A38,'RR3 Player Stats'!$A$3:$A$50))),0),IFERROR(FILTER('RR4 Player Stats'!AI$3:AI$50, ISNUMBER(SEARCH($A38,'RR4 Player Stats'!$A$3:$A$50))),0),IFERROR(FILTER('RR5 Player Stats'!AI$3:AI$50, ISNUMBER(SEARCH($A38,'RR5 Player Stats'!$A$3:"&amp;"$A$50))),0))"),1.0)</f>
        <v>1</v>
      </c>
      <c r="W38" s="57">
        <f>IFERROR(__xludf.DUMMYFUNCTION("MEDIAN(IFERROR(FILTER('RR1 Player Stats'!AJ$3:AJ$50, ISNUMBER(SEARCH($A38,'RR1 Player Stats'!$A$3:$A$50))),0),IFERROR(FILTER('RR2 Player Stats'!AJ$3:AJ$50, ISNUMBER(SEARCH($A38,'RR2 Player Stats'!$A$3:$A$50))),0),IFERROR(FILTER('RR3 Player Stats'!AJ$3:AJ$"&amp;"50, ISNUMBER(SEARCH($A38,'RR3 Player Stats'!$A$3:$A$50))),0),IFERROR(FILTER('RR4 Player Stats'!AJ$3:AJ$50, ISNUMBER(SEARCH($A38,'RR4 Player Stats'!$A$3:$A$50))),0),IFERROR(FILTER('RR5 Player Stats'!AJ$3:AJ$50, ISNUMBER(SEARCH($A38,'RR5 Player Stats'!$A$3:"&amp;"$A$50))),0))"),0.0)</f>
        <v>0</v>
      </c>
      <c r="X38" s="57">
        <f>IFERROR(__xludf.DUMMYFUNCTION("MEDIAN(IFERROR(FILTER('RR1 Player Stats'!AK$3:AK$50, ISNUMBER(SEARCH($A38,'RR1 Player Stats'!$A$3:$A$50))),0),IFERROR(FILTER('RR2 Player Stats'!AK$3:AK$50, ISNUMBER(SEARCH($A38,'RR2 Player Stats'!$A$3:$A$50))),0),IFERROR(FILTER('RR3 Player Stats'!AK$3:AK$"&amp;"50, ISNUMBER(SEARCH($A38,'RR3 Player Stats'!$A$3:$A$50))),0),IFERROR(FILTER('RR4 Player Stats'!AK$3:AK$50, ISNUMBER(SEARCH($A38,'RR4 Player Stats'!$A$3:$A$50))),0),IFERROR(FILTER('RR5 Player Stats'!AK$3:AK$50, ISNUMBER(SEARCH($A38,'RR5 Player Stats'!$A$3:"&amp;"$A$50))),0))"),18.0)</f>
        <v>18</v>
      </c>
      <c r="Y38" s="57">
        <f>IFERROR(__xludf.DUMMYFUNCTION("MEDIAN(IFERROR(FILTER('RR1 Player Stats'!AL$3:AL$50, ISNUMBER(SEARCH($A38,'RR1 Player Stats'!$A$3:$A$50))),0),IFERROR(FILTER('RR2 Player Stats'!AL$3:AL$50, ISNUMBER(SEARCH($A38,'RR2 Player Stats'!$A$3:$A$50))),0),IFERROR(FILTER('RR3 Player Stats'!AL$3:AL$"&amp;"50, ISNUMBER(SEARCH($A38,'RR3 Player Stats'!$A$3:$A$50))),0),IFERROR(FILTER('RR4 Player Stats'!AL$3:AL$50, ISNUMBER(SEARCH($A38,'RR4 Player Stats'!$A$3:$A$50))),0),IFERROR(FILTER('RR5 Player Stats'!AL$3:AL$50, ISNUMBER(SEARCH($A38,'RR5 Player Stats'!$A$3:"&amp;"$A$50))),0))"),18.0)</f>
        <v>18</v>
      </c>
      <c r="Z38" s="180">
        <f>IFERROR(__xludf.DUMMYFUNCTION("MEDIAN(IFERROR(FILTER('RR1 Player Stats'!AM$3:AM$50, ISNUMBER(SEARCH($A38,'RR1 Player Stats'!$A$3:$A$50))),0),IFERROR(FILTER('RR2 Player Stats'!AM$3:AM$50, ISNUMBER(SEARCH($A38,'RR2 Player Stats'!$A$3:$A$50))),0),IFERROR(FILTER('RR3 Player Stats'!AM$3:AM$"&amp;"50, ISNUMBER(SEARCH($A38,'RR3 Player Stats'!$A$3:$A$50))),0),IFERROR(FILTER('RR4 Player Stats'!AM$3:AM$50, ISNUMBER(SEARCH($A38,'RR4 Player Stats'!$A$3:$A$50))),0),IFERROR(FILTER('RR5 Player Stats'!AM$3:AM$50, ISNUMBER(SEARCH($A38,'RR5 Player Stats'!$A$3:"&amp;"$A$50))),0))"),0.2)</f>
        <v>0.2</v>
      </c>
    </row>
    <row r="39">
      <c r="A39" s="29" t="s">
        <v>76</v>
      </c>
      <c r="B39" s="48">
        <f>COUNTIF('RR1 Player Stats'!$A$3:$A$50,$A39)+COUNTIF('RR2 Player Stats'!$A$3:$A$50,$A39)+COUNTIF('RR3 Player Stats'!$A$3:$A$50,$A39)+COUNTIF('RR4 Player Stats'!$A$3:$A$50,$A39)+COUNTIF('RR5 Player Stats'!$A$3:$A$50,$A39)</f>
        <v>4</v>
      </c>
      <c r="C39" s="55">
        <f>IFERROR(__xludf.DUMMYFUNCTION("IFERROR(FILTER('RR1 Player Stats'!V$3:V$50, ISNUMBER(SEARCH($A39,'RR1 Player Stats'!$A$3:$A$50))),0)
+IFERROR(FILTER('RR2 Player Stats'!V$3:V$50, ISNUMBER(SEARCH($A39,'RR2 Player Stats'!$A$3:$A$50))),0)
+IFERROR(FILTER('RR3 Player Stats'!V$3:V$50, ISNUMBE"&amp;"R(SEARCH($A39,'RR3 Player Stats'!$A$3:$A$50))),0)
+IFERROR(FILTER('RR4 Player Stats'!V$3:V$50, ISNUMBER(SEARCH($A39,'RR4 Player Stats'!$A$3:$A$50))),0)
+IFERROR(FILTER('RR5 Player Stats'!V$3:V$50, ISNUMBER(SEARCH($A39,'RR5 Player Stats'!$A$3:$A$50))),0)"),10.0)</f>
        <v>10</v>
      </c>
      <c r="D39" s="57">
        <f>IFERROR(__xludf.DUMMYFUNCTION("IFERROR(FILTER('RR1 Player Stats'!W$3:W$50, ISNUMBER(SEARCH($A39,'RR1 Player Stats'!$A$3:$A$50))),0)
+IFERROR(FILTER('RR2 Player Stats'!W$3:W$50, ISNUMBER(SEARCH($A39,'RR2 Player Stats'!$A$3:$A$50))),0)
+IFERROR(FILTER('RR3 Player Stats'!W$3:W$50, ISNUMBE"&amp;"R(SEARCH($A39,'RR3 Player Stats'!$A$3:$A$50))),0)
+IFERROR(FILTER('RR4 Player Stats'!W$3:W$50, ISNUMBER(SEARCH($A39,'RR4 Player Stats'!$A$3:$A$50))),0)
+IFERROR(FILTER('RR5 Player Stats'!W$3:W$50, ISNUMBER(SEARCH($A39,'RR5 Player Stats'!$A$3:$A$50))),0)"),1.0)</f>
        <v>1</v>
      </c>
      <c r="E39" s="57">
        <f>IFERROR(__xludf.DUMMYFUNCTION("IFERROR(FILTER('RR1 Player Stats'!X$3:X$50, ISNUMBER(SEARCH($A39,'RR1 Player Stats'!$A$3:$A$50))),0)
+IFERROR(FILTER('RR2 Player Stats'!X$3:X$50, ISNUMBER(SEARCH($A39,'RR2 Player Stats'!$A$3:$A$50))),0)
+IFERROR(FILTER('RR3 Player Stats'!X$3:X$50, ISNUMBE"&amp;"R(SEARCH($A39,'RR3 Player Stats'!$A$3:$A$50))),0)
+IFERROR(FILTER('RR4 Player Stats'!X$3:X$50, ISNUMBER(SEARCH($A39,'RR4 Player Stats'!$A$3:$A$50))),0)
+IFERROR(FILTER('RR5 Player Stats'!X$3:X$50, ISNUMBER(SEARCH($A39,'RR5 Player Stats'!$A$3:$A$50))),0)"),2.0)</f>
        <v>2</v>
      </c>
      <c r="F39" s="57">
        <f>IFERROR(__xludf.DUMMYFUNCTION("IFERROR(FILTER('RR1 Player Stats'!Y$3:Y$50, ISNUMBER(SEARCH($A39,'RR1 Player Stats'!$A$3:$A$50))),0)
+IFERROR(FILTER('RR2 Player Stats'!Y$3:Y$50, ISNUMBER(SEARCH($A39,'RR2 Player Stats'!$A$3:$A$50))),0)
+IFERROR(FILTER('RR3 Player Stats'!Y$3:Y$50, ISNUMBE"&amp;"R(SEARCH($A39,'RR3 Player Stats'!$A$3:$A$50))),0)
+IFERROR(FILTER('RR4 Player Stats'!Y$3:Y$50, ISNUMBER(SEARCH($A39,'RR4 Player Stats'!$A$3:$A$50))),0)
+IFERROR(FILTER('RR5 Player Stats'!Y$3:Y$50, ISNUMBER(SEARCH($A39,'RR5 Player Stats'!$A$3:$A$50))),0)"),46.0)</f>
        <v>46</v>
      </c>
      <c r="G39" s="57">
        <f>IFERROR(__xludf.DUMMYFUNCTION("IFERROR(FILTER('RR1 Player Stats'!Z$3:Z$50, ISNUMBER(SEARCH($A39,'RR1 Player Stats'!$A$3:$A$50))),0)
+IFERROR(FILTER('RR2 Player Stats'!Z$3:Z$50, ISNUMBER(SEARCH($A39,'RR2 Player Stats'!$A$3:$A$50))),0)
+IFERROR(FILTER('RR3 Player Stats'!Z$3:Z$50, ISNUMBE"&amp;"R(SEARCH($A39,'RR3 Player Stats'!$A$3:$A$50))),0)
+IFERROR(FILTER('RR4 Player Stats'!Z$3:Z$50, ISNUMBER(SEARCH($A39,'RR4 Player Stats'!$A$3:$A$50))),0)
+IFERROR(FILTER('RR5 Player Stats'!Z$3:Z$50, ISNUMBER(SEARCH($A39,'RR5 Player Stats'!$A$3:$A$50))),0)"),38.0)</f>
        <v>38</v>
      </c>
      <c r="H39" s="180">
        <f>IFERROR(__xludf.DUMMYFUNCTION("(IFERROR(FILTER('RR1 Player Stats'!AA$3:AA$50, ISNUMBER(SEARCH($A39,'RR1 Player Stats'!$A$3:$A$50))),0)
+IFERROR(FILTER('RR2 Player Stats'!AA$3:AA$50, ISNUMBER(SEARCH($A39,'RR2 Player Stats'!$A$3:$A$50))),0)
+IFERROR(FILTER('RR3 Player Stats'!AA$3:AA$50, "&amp;"ISNUMBER(SEARCH($A39,'RR3 Player Stats'!$A$3:$A$50))),0)
+IFERROR(FILTER('RR4 Player Stats'!AA$3:AA$50, ISNUMBER(SEARCH($A39,'RR4 Player Stats'!$A$3:$A$50))),0)
+IFERROR(FILTER('RR5 Player Stats'!AA$3:AA$50, ISNUMBER(SEARCH($A39,'RR5 Player Stats'!$A$3:$A"&amp;"$50))),0))/5"),0.184)</f>
        <v>0.184</v>
      </c>
      <c r="I39" s="55">
        <f>IFERROR(__xludf.DUMMYFUNCTION("IFERROR(FILTER('RR1 Player Stats'!AB$3:AB$50, ISNUMBER(SEARCH($A39,'RR1 Player Stats'!$A$3:$A$50))),0)
+IFERROR(FILTER('RR2 Player Stats'!AB$3:AB$50, ISNUMBER(SEARCH($A39,'RR2 Player Stats'!$A$3:$A$50))),0)
+IFERROR(FILTER('RR3 Player Stats'!AB$3:AB$50, I"&amp;"SNUMBER(SEARCH($A39,'RR3 Player Stats'!$A$3:$A$50))),0)
+IFERROR(FILTER('RR4 Player Stats'!AB$3:AB$50, ISNUMBER(SEARCH($A39,'RR4 Player Stats'!$A$3:$A$50))),0)
+IFERROR(FILTER('RR5 Player Stats'!AB$3:AB$50, ISNUMBER(SEARCH($A39,'RR5 Player Stats'!$A$3:$A$"&amp;"50))),0)"),5.0)</f>
        <v>5</v>
      </c>
      <c r="J39" s="57">
        <f>IFERROR(__xludf.DUMMYFUNCTION("IFERROR(FILTER('RR1 Player Stats'!AC$3:AC$50, ISNUMBER(SEARCH($A39,'RR1 Player Stats'!$A$3:$A$50))),0)
+IFERROR(FILTER('RR2 Player Stats'!AC$3:AC$50, ISNUMBER(SEARCH($A39,'RR2 Player Stats'!$A$3:$A$50))),0)
+IFERROR(FILTER('RR3 Player Stats'!AC$3:AC$50, I"&amp;"SNUMBER(SEARCH($A39,'RR3 Player Stats'!$A$3:$A$50))),0)
+IFERROR(FILTER('RR4 Player Stats'!AC$3:AC$50, ISNUMBER(SEARCH($A39,'RR4 Player Stats'!$A$3:$A$50))),0)
+IFERROR(FILTER('RR5 Player Stats'!AC$3:AC$50, ISNUMBER(SEARCH($A39,'RR5 Player Stats'!$A$3:$A$"&amp;"50))),0)"),4.0)</f>
        <v>4</v>
      </c>
      <c r="K39" s="57">
        <f>IFERROR(__xludf.DUMMYFUNCTION("IFERROR(FILTER('RR1 Player Stats'!AD$3:AD$50, ISNUMBER(SEARCH($A39,'RR1 Player Stats'!$A$3:$A$50))),0)
+IFERROR(FILTER('RR2 Player Stats'!AD$3:AD$50, ISNUMBER(SEARCH($A39,'RR2 Player Stats'!$A$3:$A$50))),0)
+IFERROR(FILTER('RR3 Player Stats'!AD$3:AD$50, I"&amp;"SNUMBER(SEARCH($A39,'RR3 Player Stats'!$A$3:$A$50))),0)
+IFERROR(FILTER('RR4 Player Stats'!AD$3:AD$50, ISNUMBER(SEARCH($A39,'RR4 Player Stats'!$A$3:$A$50))),0)
+IFERROR(FILTER('RR5 Player Stats'!AD$3:AD$50, ISNUMBER(SEARCH($A39,'RR5 Player Stats'!$A$3:$A$"&amp;"50))),0)"),2.0)</f>
        <v>2</v>
      </c>
      <c r="L39" s="57">
        <f>IFERROR(__xludf.DUMMYFUNCTION("IFERROR(FILTER('RR1 Player Stats'!AE$3:AE$50, ISNUMBER(SEARCH($A39,'RR1 Player Stats'!$A$3:$A$50))),0)
+IFERROR(FILTER('RR2 Player Stats'!AE$3:AE$50, ISNUMBER(SEARCH($A39,'RR2 Player Stats'!$A$3:$A$50))),0)
+IFERROR(FILTER('RR3 Player Stats'!AE$3:AE$50, I"&amp;"SNUMBER(SEARCH($A39,'RR3 Player Stats'!$A$3:$A$50))),0)
+IFERROR(FILTER('RR4 Player Stats'!AE$3:AE$50, ISNUMBER(SEARCH($A39,'RR4 Player Stats'!$A$3:$A$50))),0)
+IFERROR(FILTER('RR5 Player Stats'!AE$3:AE$50, ISNUMBER(SEARCH($A39,'RR5 Player Stats'!$A$3:$A$"&amp;"50))),0)"),44.0)</f>
        <v>44</v>
      </c>
      <c r="M39" s="57">
        <f>IFERROR(__xludf.DUMMYFUNCTION("IFERROR(FILTER('RR1 Player Stats'!AF$3:AF$50, ISNUMBER(SEARCH($A39,'RR1 Player Stats'!$A$3:$A$50))),0)
+IFERROR(FILTER('RR2 Player Stats'!AF$3:AF$50, ISNUMBER(SEARCH($A39,'RR2 Player Stats'!$A$3:$A$50))),0)
+IFERROR(FILTER('RR3 Player Stats'!AF$3:AF$50, I"&amp;"SNUMBER(SEARCH($A39,'RR3 Player Stats'!$A$3:$A$50))),0)
+IFERROR(FILTER('RR4 Player Stats'!AF$3:AF$50, ISNUMBER(SEARCH($A39,'RR4 Player Stats'!$A$3:$A$50))),0)
+IFERROR(FILTER('RR5 Player Stats'!AF$3:AF$50, ISNUMBER(SEARCH($A39,'RR5 Player Stats'!$A$3:$A$"&amp;"50))),0)"),36.0)</f>
        <v>36</v>
      </c>
      <c r="N39" s="180">
        <f>IFERROR(__xludf.DUMMYFUNCTION("(IFERROR(FILTER('RR1 Player Stats'!AG$3:AG$50, ISNUMBER(SEARCH($A39,'RR1 Player Stats'!$A$3:$A$50))),0)
+IFERROR(FILTER('RR2 Player Stats'!AG$3:AG$50, ISNUMBER(SEARCH($A39,'RR2 Player Stats'!$A$3:$A$50))),0)
+IFERROR(FILTER('RR3 Player Stats'!AG$3:AG$50, "&amp;"ISNUMBER(SEARCH($A39,'RR3 Player Stats'!$A$3:$A$50))),0)
+IFERROR(FILTER('RR4 Player Stats'!AG$3:AG$50, ISNUMBER(SEARCH($A39,'RR4 Player Stats'!$A$3:$A$50))),0)
+IFERROR(FILTER('RR5 Player Stats'!AG$3:AG$50, ISNUMBER(SEARCH($A39,'RR5 Player Stats'!$A$3:$A"&amp;"$50))),0))/5"),0.22800000000000004)</f>
        <v>0.228</v>
      </c>
      <c r="O39" s="55">
        <f>IFERROR(__xludf.DUMMYFUNCTION("IFERROR(FILTER('RR1 Player Stats'!AH$3:AH$50, ISNUMBER(SEARCH($A39,'RR1 Player Stats'!$A$3:$A$50))),0)
+IFERROR(FILTER('RR2 Player Stats'!AH$3:AH$50, ISNUMBER(SEARCH($A39,'RR2 Player Stats'!$A$3:$A$50))),0)
+IFERROR(FILTER('RR3 Player Stats'!AH$3:AH$50, I"&amp;"SNUMBER(SEARCH($A39,'RR3 Player Stats'!$A$3:$A$50))),0)
+IFERROR(FILTER('RR4 Player Stats'!AH$3:AH$50, ISNUMBER(SEARCH($A39,'RR4 Player Stats'!$A$3:$A$50))),0)
+IFERROR(FILTER('RR5 Player Stats'!AH$3:AH$50, ISNUMBER(SEARCH($A39,'RR5 Player Stats'!$A$3:$A$"&amp;"50))),0)"),15.0)</f>
        <v>15</v>
      </c>
      <c r="P39" s="57">
        <f>IFERROR(__xludf.DUMMYFUNCTION("IFERROR(FILTER('RR1 Player Stats'!AI$3:AI$50, ISNUMBER(SEARCH($A39,'RR1 Player Stats'!$A$3:$A$50))),0)
+IFERROR(FILTER('RR2 Player Stats'!AI$3:AI$50, ISNUMBER(SEARCH($A39,'RR2 Player Stats'!$A$3:$A$50))),0)
+IFERROR(FILTER('RR3 Player Stats'!AI$3:AI$50, I"&amp;"SNUMBER(SEARCH($A39,'RR3 Player Stats'!$A$3:$A$50))),0)
+IFERROR(FILTER('RR4 Player Stats'!AI$3:AI$50, ISNUMBER(SEARCH($A39,'RR4 Player Stats'!$A$3:$A$50))),0)
+IFERROR(FILTER('RR5 Player Stats'!AI$3:AI$50, ISNUMBER(SEARCH($A39,'RR5 Player Stats'!$A$3:$A$"&amp;"50))),0)"),5.0)</f>
        <v>5</v>
      </c>
      <c r="Q39" s="57">
        <f>IFERROR(__xludf.DUMMYFUNCTION("IFERROR(FILTER('RR1 Player Stats'!AJ$3:AJ$50, ISNUMBER(SEARCH($A39,'RR1 Player Stats'!$A$3:$A$50))),0)
+IFERROR(FILTER('RR2 Player Stats'!AJ$3:AJ$50, ISNUMBER(SEARCH($A39,'RR2 Player Stats'!$A$3:$A$50))),0)
+IFERROR(FILTER('RR3 Player Stats'!AJ$3:AJ$50, I"&amp;"SNUMBER(SEARCH($A39,'RR3 Player Stats'!$A$3:$A$50))),0)
+IFERROR(FILTER('RR4 Player Stats'!AJ$3:AJ$50, ISNUMBER(SEARCH($A39,'RR4 Player Stats'!$A$3:$A$50))),0)
+IFERROR(FILTER('RR5 Player Stats'!AJ$3:AJ$50, ISNUMBER(SEARCH($A39,'RR5 Player Stats'!$A$3:$A$"&amp;"50))),0)"),4.0)</f>
        <v>4</v>
      </c>
      <c r="R39" s="57">
        <f>IFERROR(__xludf.DUMMYFUNCTION("IFERROR(FILTER('RR1 Player Stats'!AK$3:AK$50, ISNUMBER(SEARCH($A39,'RR1 Player Stats'!$A$3:$A$50))),0)
+IFERROR(FILTER('RR2 Player Stats'!AK$3:AK$50, ISNUMBER(SEARCH($A39,'RR2 Player Stats'!$A$3:$A$50))),0)
+IFERROR(FILTER('RR3 Player Stats'!AK$3:AK$50, I"&amp;"SNUMBER(SEARCH($A39,'RR3 Player Stats'!$A$3:$A$50))),0)
+IFERROR(FILTER('RR4 Player Stats'!AK$3:AK$50, ISNUMBER(SEARCH($A39,'RR4 Player Stats'!$A$3:$A$50))),0)
+IFERROR(FILTER('RR5 Player Stats'!AK$3:AK$50, ISNUMBER(SEARCH($A39,'RR5 Player Stats'!$A$3:$A$"&amp;"50))),0)"),90.0)</f>
        <v>90</v>
      </c>
      <c r="S39" s="57">
        <f>IFERROR(__xludf.DUMMYFUNCTION("IFERROR(FILTER('RR1 Player Stats'!AL$3:AL$50, ISNUMBER(SEARCH($A39,'RR1 Player Stats'!$A$3:$A$50))),0)
+IFERROR(FILTER('RR2 Player Stats'!AL$3:AL$50, ISNUMBER(SEARCH($A39,'RR2 Player Stats'!$A$3:$A$50))),0)
+IFERROR(FILTER('RR3 Player Stats'!AL$3:AL$50, I"&amp;"SNUMBER(SEARCH($A39,'RR3 Player Stats'!$A$3:$A$50))),0)
+IFERROR(FILTER('RR4 Player Stats'!AL$3:AL$50, ISNUMBER(SEARCH($A39,'RR4 Player Stats'!$A$3:$A$50))),0)
+IFERROR(FILTER('RR5 Player Stats'!AL$3:AL$50, ISNUMBER(SEARCH($A39,'RR5 Player Stats'!$A$3:$A$"&amp;"50))),0)"),74.0)</f>
        <v>74</v>
      </c>
      <c r="T39" s="180">
        <f>IFERROR(__xludf.DUMMYFUNCTION("(IFERROR(FILTER('RR1 Player Stats'!AM$3:AM$50, ISNUMBER(SEARCH($A39,'RR1 Player Stats'!$A$3:$A$50))),0)
+IFERROR(FILTER('RR2 Player Stats'!AM$3:AM$50, ISNUMBER(SEARCH($A39,'RR2 Player Stats'!$A$3:$A$50))),0)
+IFERROR(FILTER('RR3 Player Stats'!AM$3:AM$50, "&amp;"ISNUMBER(SEARCH($A39,'RR3 Player Stats'!$A$3:$A$50))),0)
+IFERROR(FILTER('RR4 Player Stats'!AM$3:AM$50, ISNUMBER(SEARCH($A39,'RR4 Player Stats'!$A$3:$A$50))),0)
+IFERROR(FILTER('RR5 Player Stats'!AM$3:AM$50, ISNUMBER(SEARCH($A39,'RR5 Player Stats'!$A$3:$A"&amp;"$50))),0))/B39"),0.25)</f>
        <v>0.25</v>
      </c>
      <c r="U39" s="55">
        <f>IFERROR(__xludf.DUMMYFUNCTION("MEDIAN(IFERROR(FILTER('RR1 Player Stats'!AH$3:AH$50, ISNUMBER(SEARCH($A39,'RR1 Player Stats'!$A$3:$A$50))),0),IFERROR(FILTER('RR2 Player Stats'!AH$3:AH$50, ISNUMBER(SEARCH($A39,'RR2 Player Stats'!$A$3:$A$50))),0),IFERROR(FILTER('RR3 Player Stats'!AH$3:AH$"&amp;"50, ISNUMBER(SEARCH($A39,'RR3 Player Stats'!$A$3:$A$50))),0),IFERROR(FILTER('RR4 Player Stats'!AH$3:AH$50, ISNUMBER(SEARCH($A39,'RR4 Player Stats'!$A$3:$A$50))),0),IFERROR(FILTER('RR5 Player Stats'!AH$3:AH$50, ISNUMBER(SEARCH($A39,'RR5 Player Stats'!$A$3:"&amp;"$A$50))),0))"),3.0)</f>
        <v>3</v>
      </c>
      <c r="V39" s="57">
        <f>IFERROR(__xludf.DUMMYFUNCTION("MEDIAN(IFERROR(FILTER('RR1 Player Stats'!AI$3:AI$50, ISNUMBER(SEARCH($A39,'RR1 Player Stats'!$A$3:$A$50))),0),IFERROR(FILTER('RR2 Player Stats'!AI$3:AI$50, ISNUMBER(SEARCH($A39,'RR2 Player Stats'!$A$3:$A$50))),0),IFERROR(FILTER('RR3 Player Stats'!AI$3:AI$"&amp;"50, ISNUMBER(SEARCH($A39,'RR3 Player Stats'!$A$3:$A$50))),0),IFERROR(FILTER('RR4 Player Stats'!AI$3:AI$50, ISNUMBER(SEARCH($A39,'RR4 Player Stats'!$A$3:$A$50))),0),IFERROR(FILTER('RR5 Player Stats'!AI$3:AI$50, ISNUMBER(SEARCH($A39,'RR5 Player Stats'!$A$3:"&amp;"$A$50))),0))"),0.0)</f>
        <v>0</v>
      </c>
      <c r="W39" s="57">
        <f>IFERROR(__xludf.DUMMYFUNCTION("MEDIAN(IFERROR(FILTER('RR1 Player Stats'!AJ$3:AJ$50, ISNUMBER(SEARCH($A39,'RR1 Player Stats'!$A$3:$A$50))),0),IFERROR(FILTER('RR2 Player Stats'!AJ$3:AJ$50, ISNUMBER(SEARCH($A39,'RR2 Player Stats'!$A$3:$A$50))),0),IFERROR(FILTER('RR3 Player Stats'!AJ$3:AJ$"&amp;"50, ISNUMBER(SEARCH($A39,'RR3 Player Stats'!$A$3:$A$50))),0),IFERROR(FILTER('RR4 Player Stats'!AJ$3:AJ$50, ISNUMBER(SEARCH($A39,'RR4 Player Stats'!$A$3:$A$50))),0),IFERROR(FILTER('RR5 Player Stats'!AJ$3:AJ$50, ISNUMBER(SEARCH($A39,'RR5 Player Stats'!$A$3:"&amp;"$A$50))),0))"),1.0)</f>
        <v>1</v>
      </c>
      <c r="X39" s="57">
        <f>IFERROR(__xludf.DUMMYFUNCTION("MEDIAN(IFERROR(FILTER('RR1 Player Stats'!AK$3:AK$50, ISNUMBER(SEARCH($A39,'RR1 Player Stats'!$A$3:$A$50))),0),IFERROR(FILTER('RR2 Player Stats'!AK$3:AK$50, ISNUMBER(SEARCH($A39,'RR2 Player Stats'!$A$3:$A$50))),0),IFERROR(FILTER('RR3 Player Stats'!AK$3:AK$"&amp;"50, ISNUMBER(SEARCH($A39,'RR3 Player Stats'!$A$3:$A$50))),0),IFERROR(FILTER('RR4 Player Stats'!AK$3:AK$50, ISNUMBER(SEARCH($A39,'RR4 Player Stats'!$A$3:$A$50))),0),IFERROR(FILTER('RR5 Player Stats'!AK$3:AK$50, ISNUMBER(SEARCH($A39,'RR5 Player Stats'!$A$3:"&amp;"$A$50))),0))"),16.0)</f>
        <v>16</v>
      </c>
      <c r="Y39" s="57">
        <f>IFERROR(__xludf.DUMMYFUNCTION("MEDIAN(IFERROR(FILTER('RR1 Player Stats'!AL$3:AL$50, ISNUMBER(SEARCH($A39,'RR1 Player Stats'!$A$3:$A$50))),0),IFERROR(FILTER('RR2 Player Stats'!AL$3:AL$50, ISNUMBER(SEARCH($A39,'RR2 Player Stats'!$A$3:$A$50))),0),IFERROR(FILTER('RR3 Player Stats'!AL$3:AL$"&amp;"50, ISNUMBER(SEARCH($A39,'RR3 Player Stats'!$A$3:$A$50))),0),IFERROR(FILTER('RR4 Player Stats'!AL$3:AL$50, ISNUMBER(SEARCH($A39,'RR4 Player Stats'!$A$3:$A$50))),0),IFERROR(FILTER('RR5 Player Stats'!AL$3:AL$50, ISNUMBER(SEARCH($A39,'RR5 Player Stats'!$A$3:"&amp;"$A$50))),0))"),12.0)</f>
        <v>12</v>
      </c>
      <c r="Z39" s="180">
        <f>IFERROR(__xludf.DUMMYFUNCTION("MEDIAN(IFERROR(FILTER('RR1 Player Stats'!AM$3:AM$50, ISNUMBER(SEARCH($A39,'RR1 Player Stats'!$A$3:$A$50))),0),IFERROR(FILTER('RR2 Player Stats'!AM$3:AM$50, ISNUMBER(SEARCH($A39,'RR2 Player Stats'!$A$3:$A$50))),0),IFERROR(FILTER('RR3 Player Stats'!AM$3:AM$"&amp;"50, ISNUMBER(SEARCH($A39,'RR3 Player Stats'!$A$3:$A$50))),0),IFERROR(FILTER('RR4 Player Stats'!AM$3:AM$50, ISNUMBER(SEARCH($A39,'RR4 Player Stats'!$A$3:$A$50))),0),IFERROR(FILTER('RR5 Player Stats'!AM$3:AM$50, ISNUMBER(SEARCH($A39,'RR5 Player Stats'!$A$3:"&amp;"$A$50))),0))"),0.2)</f>
        <v>0.2</v>
      </c>
    </row>
    <row r="40">
      <c r="A40" s="29" t="s">
        <v>37</v>
      </c>
      <c r="B40" s="48">
        <f>COUNTIF('RR1 Player Stats'!$A$3:$A$50,$A40)+COUNTIF('RR2 Player Stats'!$A$3:$A$50,$A40)+COUNTIF('RR3 Player Stats'!$A$3:$A$50,$A40)+COUNTIF('RR4 Player Stats'!$A$3:$A$50,$A40)+COUNTIF('RR5 Player Stats'!$A$3:$A$50,$A40)</f>
        <v>5</v>
      </c>
      <c r="C40" s="55">
        <f>IFERROR(__xludf.DUMMYFUNCTION("IFERROR(FILTER('RR1 Player Stats'!V$3:V$50, ISNUMBER(SEARCH($A40,'RR1 Player Stats'!$A$3:$A$50))),0)
+IFERROR(FILTER('RR2 Player Stats'!V$3:V$50, ISNUMBER(SEARCH($A40,'RR2 Player Stats'!$A$3:$A$50))),0)
+IFERROR(FILTER('RR3 Player Stats'!V$3:V$50, ISNUMBE"&amp;"R(SEARCH($A40,'RR3 Player Stats'!$A$3:$A$50))),0)
+IFERROR(FILTER('RR4 Player Stats'!V$3:V$50, ISNUMBER(SEARCH($A40,'RR4 Player Stats'!$A$3:$A$50))),0)
+IFERROR(FILTER('RR5 Player Stats'!V$3:V$50, ISNUMBER(SEARCH($A40,'RR5 Player Stats'!$A$3:$A$50))),0)"),8.0)</f>
        <v>8</v>
      </c>
      <c r="D40" s="57">
        <f>IFERROR(__xludf.DUMMYFUNCTION("IFERROR(FILTER('RR1 Player Stats'!W$3:W$50, ISNUMBER(SEARCH($A40,'RR1 Player Stats'!$A$3:$A$50))),0)
+IFERROR(FILTER('RR2 Player Stats'!W$3:W$50, ISNUMBER(SEARCH($A40,'RR2 Player Stats'!$A$3:$A$50))),0)
+IFERROR(FILTER('RR3 Player Stats'!W$3:W$50, ISNUMBE"&amp;"R(SEARCH($A40,'RR3 Player Stats'!$A$3:$A$50))),0)
+IFERROR(FILTER('RR4 Player Stats'!W$3:W$50, ISNUMBER(SEARCH($A40,'RR4 Player Stats'!$A$3:$A$50))),0)
+IFERROR(FILTER('RR5 Player Stats'!W$3:W$50, ISNUMBER(SEARCH($A40,'RR5 Player Stats'!$A$3:$A$50))),0)"),2.0)</f>
        <v>2</v>
      </c>
      <c r="E40" s="57">
        <f>IFERROR(__xludf.DUMMYFUNCTION("IFERROR(FILTER('RR1 Player Stats'!X$3:X$50, ISNUMBER(SEARCH($A40,'RR1 Player Stats'!$A$3:$A$50))),0)
+IFERROR(FILTER('RR2 Player Stats'!X$3:X$50, ISNUMBER(SEARCH($A40,'RR2 Player Stats'!$A$3:$A$50))),0)
+IFERROR(FILTER('RR3 Player Stats'!X$3:X$50, ISNUMBE"&amp;"R(SEARCH($A40,'RR3 Player Stats'!$A$3:$A$50))),0)
+IFERROR(FILTER('RR4 Player Stats'!X$3:X$50, ISNUMBER(SEARCH($A40,'RR4 Player Stats'!$A$3:$A$50))),0)
+IFERROR(FILTER('RR5 Player Stats'!X$3:X$50, ISNUMBER(SEARCH($A40,'RR5 Player Stats'!$A$3:$A$50))),0)"),4.0)</f>
        <v>4</v>
      </c>
      <c r="F40" s="57">
        <f>IFERROR(__xludf.DUMMYFUNCTION("IFERROR(FILTER('RR1 Player Stats'!Y$3:Y$50, ISNUMBER(SEARCH($A40,'RR1 Player Stats'!$A$3:$A$50))),0)
+IFERROR(FILTER('RR2 Player Stats'!Y$3:Y$50, ISNUMBER(SEARCH($A40,'RR2 Player Stats'!$A$3:$A$50))),0)
+IFERROR(FILTER('RR3 Player Stats'!Y$3:Y$50, ISNUMBE"&amp;"R(SEARCH($A40,'RR3 Player Stats'!$A$3:$A$50))),0)
+IFERROR(FILTER('RR4 Player Stats'!Y$3:Y$50, ISNUMBER(SEARCH($A40,'RR4 Player Stats'!$A$3:$A$50))),0)
+IFERROR(FILTER('RR5 Player Stats'!Y$3:Y$50, ISNUMBER(SEARCH($A40,'RR5 Player Stats'!$A$3:$A$50))),0)"),44.0)</f>
        <v>44</v>
      </c>
      <c r="G40" s="57">
        <f>IFERROR(__xludf.DUMMYFUNCTION("IFERROR(FILTER('RR1 Player Stats'!Z$3:Z$50, ISNUMBER(SEARCH($A40,'RR1 Player Stats'!$A$3:$A$50))),0)
+IFERROR(FILTER('RR2 Player Stats'!Z$3:Z$50, ISNUMBER(SEARCH($A40,'RR2 Player Stats'!$A$3:$A$50))),0)
+IFERROR(FILTER('RR3 Player Stats'!Z$3:Z$50, ISNUMBE"&amp;"R(SEARCH($A40,'RR3 Player Stats'!$A$3:$A$50))),0)
+IFERROR(FILTER('RR4 Player Stats'!Z$3:Z$50, ISNUMBER(SEARCH($A40,'RR4 Player Stats'!$A$3:$A$50))),0)
+IFERROR(FILTER('RR5 Player Stats'!Z$3:Z$50, ISNUMBER(SEARCH($A40,'RR5 Player Stats'!$A$3:$A$50))),0)"),28.0)</f>
        <v>28</v>
      </c>
      <c r="H40" s="180">
        <f>IFERROR(__xludf.DUMMYFUNCTION("(IFERROR(FILTER('RR1 Player Stats'!AA$3:AA$50, ISNUMBER(SEARCH($A40,'RR1 Player Stats'!$A$3:$A$50))),0)
+IFERROR(FILTER('RR2 Player Stats'!AA$3:AA$50, ISNUMBER(SEARCH($A40,'RR2 Player Stats'!$A$3:$A$50))),0)
+IFERROR(FILTER('RR3 Player Stats'!AA$3:AA$50, "&amp;"ISNUMBER(SEARCH($A40,'RR3 Player Stats'!$A$3:$A$50))),0)
+IFERROR(FILTER('RR4 Player Stats'!AA$3:AA$50, ISNUMBER(SEARCH($A40,'RR4 Player Stats'!$A$3:$A$50))),0)
+IFERROR(FILTER('RR5 Player Stats'!AA$3:AA$50, ISNUMBER(SEARCH($A40,'RR5 Player Stats'!$A$3:$A"&amp;"$50))),0))/5"),0.166)</f>
        <v>0.166</v>
      </c>
      <c r="I40" s="55">
        <f>IFERROR(__xludf.DUMMYFUNCTION("IFERROR(FILTER('RR1 Player Stats'!AB$3:AB$50, ISNUMBER(SEARCH($A40,'RR1 Player Stats'!$A$3:$A$50))),0)
+IFERROR(FILTER('RR2 Player Stats'!AB$3:AB$50, ISNUMBER(SEARCH($A40,'RR2 Player Stats'!$A$3:$A$50))),0)
+IFERROR(FILTER('RR3 Player Stats'!AB$3:AB$50, I"&amp;"SNUMBER(SEARCH($A40,'RR3 Player Stats'!$A$3:$A$50))),0)
+IFERROR(FILTER('RR4 Player Stats'!AB$3:AB$50, ISNUMBER(SEARCH($A40,'RR4 Player Stats'!$A$3:$A$50))),0)
+IFERROR(FILTER('RR5 Player Stats'!AB$3:AB$50, ISNUMBER(SEARCH($A40,'RR5 Player Stats'!$A$3:$A$"&amp;"50))),0)"),11.0)</f>
        <v>11</v>
      </c>
      <c r="J40" s="57">
        <f>IFERROR(__xludf.DUMMYFUNCTION("IFERROR(FILTER('RR1 Player Stats'!AC$3:AC$50, ISNUMBER(SEARCH($A40,'RR1 Player Stats'!$A$3:$A$50))),0)
+IFERROR(FILTER('RR2 Player Stats'!AC$3:AC$50, ISNUMBER(SEARCH($A40,'RR2 Player Stats'!$A$3:$A$50))),0)
+IFERROR(FILTER('RR3 Player Stats'!AC$3:AC$50, I"&amp;"SNUMBER(SEARCH($A40,'RR3 Player Stats'!$A$3:$A$50))),0)
+IFERROR(FILTER('RR4 Player Stats'!AC$3:AC$50, ISNUMBER(SEARCH($A40,'RR4 Player Stats'!$A$3:$A$50))),0)
+IFERROR(FILTER('RR5 Player Stats'!AC$3:AC$50, ISNUMBER(SEARCH($A40,'RR5 Player Stats'!$A$3:$A$"&amp;"50))),0)"),0.0)</f>
        <v>0</v>
      </c>
      <c r="K40" s="57">
        <f>IFERROR(__xludf.DUMMYFUNCTION("IFERROR(FILTER('RR1 Player Stats'!AD$3:AD$50, ISNUMBER(SEARCH($A40,'RR1 Player Stats'!$A$3:$A$50))),0)
+IFERROR(FILTER('RR2 Player Stats'!AD$3:AD$50, ISNUMBER(SEARCH($A40,'RR2 Player Stats'!$A$3:$A$50))),0)
+IFERROR(FILTER('RR3 Player Stats'!AD$3:AD$50, I"&amp;"SNUMBER(SEARCH($A40,'RR3 Player Stats'!$A$3:$A$50))),0)
+IFERROR(FILTER('RR4 Player Stats'!AD$3:AD$50, ISNUMBER(SEARCH($A40,'RR4 Player Stats'!$A$3:$A$50))),0)
+IFERROR(FILTER('RR5 Player Stats'!AD$3:AD$50, ISNUMBER(SEARCH($A40,'RR5 Player Stats'!$A$3:$A$"&amp;"50))),0)"),0.0)</f>
        <v>0</v>
      </c>
      <c r="L40" s="57">
        <f>IFERROR(__xludf.DUMMYFUNCTION("IFERROR(FILTER('RR1 Player Stats'!AE$3:AE$50, ISNUMBER(SEARCH($A40,'RR1 Player Stats'!$A$3:$A$50))),0)
+IFERROR(FILTER('RR2 Player Stats'!AE$3:AE$50, ISNUMBER(SEARCH($A40,'RR2 Player Stats'!$A$3:$A$50))),0)
+IFERROR(FILTER('RR3 Player Stats'!AE$3:AE$50, I"&amp;"SNUMBER(SEARCH($A40,'RR3 Player Stats'!$A$3:$A$50))),0)
+IFERROR(FILTER('RR4 Player Stats'!AE$3:AE$50, ISNUMBER(SEARCH($A40,'RR4 Player Stats'!$A$3:$A$50))),0)
+IFERROR(FILTER('RR5 Player Stats'!AE$3:AE$50, ISNUMBER(SEARCH($A40,'RR5 Player Stats'!$A$3:$A$"&amp;"50))),0)"),44.0)</f>
        <v>44</v>
      </c>
      <c r="M40" s="57">
        <f>IFERROR(__xludf.DUMMYFUNCTION("IFERROR(FILTER('RR1 Player Stats'!AF$3:AF$50, ISNUMBER(SEARCH($A40,'RR1 Player Stats'!$A$3:$A$50))),0)
+IFERROR(FILTER('RR2 Player Stats'!AF$3:AF$50, ISNUMBER(SEARCH($A40,'RR2 Player Stats'!$A$3:$A$50))),0)
+IFERROR(FILTER('RR3 Player Stats'!AF$3:AF$50, I"&amp;"SNUMBER(SEARCH($A40,'RR3 Player Stats'!$A$3:$A$50))),0)
+IFERROR(FILTER('RR4 Player Stats'!AF$3:AF$50, ISNUMBER(SEARCH($A40,'RR4 Player Stats'!$A$3:$A$50))),0)
+IFERROR(FILTER('RR5 Player Stats'!AF$3:AF$50, ISNUMBER(SEARCH($A40,'RR5 Player Stats'!$A$3:$A$"&amp;"50))),0)"),44.0)</f>
        <v>44</v>
      </c>
      <c r="N40" s="180">
        <f>IFERROR(__xludf.DUMMYFUNCTION("(IFERROR(FILTER('RR1 Player Stats'!AG$3:AG$50, ISNUMBER(SEARCH($A40,'RR1 Player Stats'!$A$3:$A$50))),0)
+IFERROR(FILTER('RR2 Player Stats'!AG$3:AG$50, ISNUMBER(SEARCH($A40,'RR2 Player Stats'!$A$3:$A$50))),0)
+IFERROR(FILTER('RR3 Player Stats'!AG$3:AG$50, "&amp;"ISNUMBER(SEARCH($A40,'RR3 Player Stats'!$A$3:$A$50))),0)
+IFERROR(FILTER('RR4 Player Stats'!AG$3:AG$50, ISNUMBER(SEARCH($A40,'RR4 Player Stats'!$A$3:$A$50))),0)
+IFERROR(FILTER('RR5 Player Stats'!AG$3:AG$50, ISNUMBER(SEARCH($A40,'RR5 Player Stats'!$A$3:$A"&amp;"$50))),0))/5"),0.278)</f>
        <v>0.278</v>
      </c>
      <c r="O40" s="55">
        <f>IFERROR(__xludf.DUMMYFUNCTION("IFERROR(FILTER('RR1 Player Stats'!AH$3:AH$50, ISNUMBER(SEARCH($A40,'RR1 Player Stats'!$A$3:$A$50))),0)
+IFERROR(FILTER('RR2 Player Stats'!AH$3:AH$50, ISNUMBER(SEARCH($A40,'RR2 Player Stats'!$A$3:$A$50))),0)
+IFERROR(FILTER('RR3 Player Stats'!AH$3:AH$50, I"&amp;"SNUMBER(SEARCH($A40,'RR3 Player Stats'!$A$3:$A$50))),0)
+IFERROR(FILTER('RR4 Player Stats'!AH$3:AH$50, ISNUMBER(SEARCH($A40,'RR4 Player Stats'!$A$3:$A$50))),0)
+IFERROR(FILTER('RR5 Player Stats'!AH$3:AH$50, ISNUMBER(SEARCH($A40,'RR5 Player Stats'!$A$3:$A$"&amp;"50))),0)"),19.0)</f>
        <v>19</v>
      </c>
      <c r="P40" s="57">
        <f>IFERROR(__xludf.DUMMYFUNCTION("IFERROR(FILTER('RR1 Player Stats'!AI$3:AI$50, ISNUMBER(SEARCH($A40,'RR1 Player Stats'!$A$3:$A$50))),0)
+IFERROR(FILTER('RR2 Player Stats'!AI$3:AI$50, ISNUMBER(SEARCH($A40,'RR2 Player Stats'!$A$3:$A$50))),0)
+IFERROR(FILTER('RR3 Player Stats'!AI$3:AI$50, I"&amp;"SNUMBER(SEARCH($A40,'RR3 Player Stats'!$A$3:$A$50))),0)
+IFERROR(FILTER('RR4 Player Stats'!AI$3:AI$50, ISNUMBER(SEARCH($A40,'RR4 Player Stats'!$A$3:$A$50))),0)
+IFERROR(FILTER('RR5 Player Stats'!AI$3:AI$50, ISNUMBER(SEARCH($A40,'RR5 Player Stats'!$A$3:$A$"&amp;"50))),0)"),2.0)</f>
        <v>2</v>
      </c>
      <c r="Q40" s="57">
        <f>IFERROR(__xludf.DUMMYFUNCTION("IFERROR(FILTER('RR1 Player Stats'!AJ$3:AJ$50, ISNUMBER(SEARCH($A40,'RR1 Player Stats'!$A$3:$A$50))),0)
+IFERROR(FILTER('RR2 Player Stats'!AJ$3:AJ$50, ISNUMBER(SEARCH($A40,'RR2 Player Stats'!$A$3:$A$50))),0)
+IFERROR(FILTER('RR3 Player Stats'!AJ$3:AJ$50, I"&amp;"SNUMBER(SEARCH($A40,'RR3 Player Stats'!$A$3:$A$50))),0)
+IFERROR(FILTER('RR4 Player Stats'!AJ$3:AJ$50, ISNUMBER(SEARCH($A40,'RR4 Player Stats'!$A$3:$A$50))),0)
+IFERROR(FILTER('RR5 Player Stats'!AJ$3:AJ$50, ISNUMBER(SEARCH($A40,'RR5 Player Stats'!$A$3:$A$"&amp;"50))),0)"),4.0)</f>
        <v>4</v>
      </c>
      <c r="R40" s="57">
        <f>IFERROR(__xludf.DUMMYFUNCTION("IFERROR(FILTER('RR1 Player Stats'!AK$3:AK$50, ISNUMBER(SEARCH($A40,'RR1 Player Stats'!$A$3:$A$50))),0)
+IFERROR(FILTER('RR2 Player Stats'!AK$3:AK$50, ISNUMBER(SEARCH($A40,'RR2 Player Stats'!$A$3:$A$50))),0)
+IFERROR(FILTER('RR3 Player Stats'!AK$3:AK$50, I"&amp;"SNUMBER(SEARCH($A40,'RR3 Player Stats'!$A$3:$A$50))),0)
+IFERROR(FILTER('RR4 Player Stats'!AK$3:AK$50, ISNUMBER(SEARCH($A40,'RR4 Player Stats'!$A$3:$A$50))),0)
+IFERROR(FILTER('RR5 Player Stats'!AK$3:AK$50, ISNUMBER(SEARCH($A40,'RR5 Player Stats'!$A$3:$A$"&amp;"50))),0)"),88.0)</f>
        <v>88</v>
      </c>
      <c r="S40" s="57">
        <f>IFERROR(__xludf.DUMMYFUNCTION("IFERROR(FILTER('RR1 Player Stats'!AL$3:AL$50, ISNUMBER(SEARCH($A40,'RR1 Player Stats'!$A$3:$A$50))),0)
+IFERROR(FILTER('RR2 Player Stats'!AL$3:AL$50, ISNUMBER(SEARCH($A40,'RR2 Player Stats'!$A$3:$A$50))),0)
+IFERROR(FILTER('RR3 Player Stats'!AL$3:AL$50, I"&amp;"SNUMBER(SEARCH($A40,'RR3 Player Stats'!$A$3:$A$50))),0)
+IFERROR(FILTER('RR4 Player Stats'!AL$3:AL$50, ISNUMBER(SEARCH($A40,'RR4 Player Stats'!$A$3:$A$50))),0)
+IFERROR(FILTER('RR5 Player Stats'!AL$3:AL$50, ISNUMBER(SEARCH($A40,'RR5 Player Stats'!$A$3:$A$"&amp;"50))),0)"),72.0)</f>
        <v>72</v>
      </c>
      <c r="T40" s="180">
        <f>IFERROR(__xludf.DUMMYFUNCTION("(IFERROR(FILTER('RR1 Player Stats'!AM$3:AM$50, ISNUMBER(SEARCH($A40,'RR1 Player Stats'!$A$3:$A$50))),0)
+IFERROR(FILTER('RR2 Player Stats'!AM$3:AM$50, ISNUMBER(SEARCH($A40,'RR2 Player Stats'!$A$3:$A$50))),0)
+IFERROR(FILTER('RR3 Player Stats'!AM$3:AM$50, "&amp;"ISNUMBER(SEARCH($A40,'RR3 Player Stats'!$A$3:$A$50))),0)
+IFERROR(FILTER('RR4 Player Stats'!AM$3:AM$50, ISNUMBER(SEARCH($A40,'RR4 Player Stats'!$A$3:$A$50))),0)
+IFERROR(FILTER('RR5 Player Stats'!AM$3:AM$50, ISNUMBER(SEARCH($A40,'RR5 Player Stats'!$A$3:$A"&amp;"$50))),0))/B40"),0.21000000000000002)</f>
        <v>0.21</v>
      </c>
      <c r="U40" s="55">
        <f>IFERROR(__xludf.DUMMYFUNCTION("MEDIAN(IFERROR(FILTER('RR1 Player Stats'!AH$3:AH$50, ISNUMBER(SEARCH($A40,'RR1 Player Stats'!$A$3:$A$50))),0),IFERROR(FILTER('RR2 Player Stats'!AH$3:AH$50, ISNUMBER(SEARCH($A40,'RR2 Player Stats'!$A$3:$A$50))),0),IFERROR(FILTER('RR3 Player Stats'!AH$3:AH$"&amp;"50, ISNUMBER(SEARCH($A40,'RR3 Player Stats'!$A$3:$A$50))),0),IFERROR(FILTER('RR4 Player Stats'!AH$3:AH$50, ISNUMBER(SEARCH($A40,'RR4 Player Stats'!$A$3:$A$50))),0),IFERROR(FILTER('RR5 Player Stats'!AH$3:AH$50, ISNUMBER(SEARCH($A40,'RR5 Player Stats'!$A$3:"&amp;"$A$50))),0))"),3.0)</f>
        <v>3</v>
      </c>
      <c r="V40" s="57">
        <f>IFERROR(__xludf.DUMMYFUNCTION("MEDIAN(IFERROR(FILTER('RR1 Player Stats'!AI$3:AI$50, ISNUMBER(SEARCH($A40,'RR1 Player Stats'!$A$3:$A$50))),0),IFERROR(FILTER('RR2 Player Stats'!AI$3:AI$50, ISNUMBER(SEARCH($A40,'RR2 Player Stats'!$A$3:$A$50))),0),IFERROR(FILTER('RR3 Player Stats'!AI$3:AI$"&amp;"50, ISNUMBER(SEARCH($A40,'RR3 Player Stats'!$A$3:$A$50))),0),IFERROR(FILTER('RR4 Player Stats'!AI$3:AI$50, ISNUMBER(SEARCH($A40,'RR4 Player Stats'!$A$3:$A$50))),0),IFERROR(FILTER('RR5 Player Stats'!AI$3:AI$50, ISNUMBER(SEARCH($A40,'RR5 Player Stats'!$A$3:"&amp;"$A$50))),0))"),0.0)</f>
        <v>0</v>
      </c>
      <c r="W40" s="57">
        <f>IFERROR(__xludf.DUMMYFUNCTION("MEDIAN(IFERROR(FILTER('RR1 Player Stats'!AJ$3:AJ$50, ISNUMBER(SEARCH($A40,'RR1 Player Stats'!$A$3:$A$50))),0),IFERROR(FILTER('RR2 Player Stats'!AJ$3:AJ$50, ISNUMBER(SEARCH($A40,'RR2 Player Stats'!$A$3:$A$50))),0),IFERROR(FILTER('RR3 Player Stats'!AJ$3:AJ$"&amp;"50, ISNUMBER(SEARCH($A40,'RR3 Player Stats'!$A$3:$A$50))),0),IFERROR(FILTER('RR4 Player Stats'!AJ$3:AJ$50, ISNUMBER(SEARCH($A40,'RR4 Player Stats'!$A$3:$A$50))),0),IFERROR(FILTER('RR5 Player Stats'!AJ$3:AJ$50, ISNUMBER(SEARCH($A40,'RR5 Player Stats'!$A$3:"&amp;"$A$50))),0))"),1.0)</f>
        <v>1</v>
      </c>
      <c r="X40" s="57">
        <f>IFERROR(__xludf.DUMMYFUNCTION("MEDIAN(IFERROR(FILTER('RR1 Player Stats'!AK$3:AK$50, ISNUMBER(SEARCH($A40,'RR1 Player Stats'!$A$3:$A$50))),0),IFERROR(FILTER('RR2 Player Stats'!AK$3:AK$50, ISNUMBER(SEARCH($A40,'RR2 Player Stats'!$A$3:$A$50))),0),IFERROR(FILTER('RR3 Player Stats'!AK$3:AK$"&amp;"50, ISNUMBER(SEARCH($A40,'RR3 Player Stats'!$A$3:$A$50))),0),IFERROR(FILTER('RR4 Player Stats'!AK$3:AK$50, ISNUMBER(SEARCH($A40,'RR4 Player Stats'!$A$3:$A$50))),0),IFERROR(FILTER('RR5 Player Stats'!AK$3:AK$50, ISNUMBER(SEARCH($A40,'RR5 Player Stats'!$A$3:"&amp;"$A$50))),0))"),14.0)</f>
        <v>14</v>
      </c>
      <c r="Y40" s="57">
        <f>IFERROR(__xludf.DUMMYFUNCTION("MEDIAN(IFERROR(FILTER('RR1 Player Stats'!AL$3:AL$50, ISNUMBER(SEARCH($A40,'RR1 Player Stats'!$A$3:$A$50))),0),IFERROR(FILTER('RR2 Player Stats'!AL$3:AL$50, ISNUMBER(SEARCH($A40,'RR2 Player Stats'!$A$3:$A$50))),0),IFERROR(FILTER('RR3 Player Stats'!AL$3:AL$"&amp;"50, ISNUMBER(SEARCH($A40,'RR3 Player Stats'!$A$3:$A$50))),0),IFERROR(FILTER('RR4 Player Stats'!AL$3:AL$50, ISNUMBER(SEARCH($A40,'RR4 Player Stats'!$A$3:$A$50))),0),IFERROR(FILTER('RR5 Player Stats'!AL$3:AL$50, ISNUMBER(SEARCH($A40,'RR5 Player Stats'!$A$3:"&amp;"$A$50))),0))"),14.0)</f>
        <v>14</v>
      </c>
      <c r="Z40" s="180">
        <f>IFERROR(__xludf.DUMMYFUNCTION("MEDIAN(IFERROR(FILTER('RR1 Player Stats'!AM$3:AM$50, ISNUMBER(SEARCH($A40,'RR1 Player Stats'!$A$3:$A$50))),0),IFERROR(FILTER('RR2 Player Stats'!AM$3:AM$50, ISNUMBER(SEARCH($A40,'RR2 Player Stats'!$A$3:$A$50))),0),IFERROR(FILTER('RR3 Player Stats'!AM$3:AM$"&amp;"50, ISNUMBER(SEARCH($A40,'RR3 Player Stats'!$A$3:$A$50))),0),IFERROR(FILTER('RR4 Player Stats'!AM$3:AM$50, ISNUMBER(SEARCH($A40,'RR4 Player Stats'!$A$3:$A$50))),0),IFERROR(FILTER('RR5 Player Stats'!AM$3:AM$50, ISNUMBER(SEARCH($A40,'RR5 Player Stats'!$A$3:"&amp;"$A$50))),0))"),0.15)</f>
        <v>0.15</v>
      </c>
    </row>
    <row r="41">
      <c r="A41" s="29" t="s">
        <v>46</v>
      </c>
      <c r="B41" s="48">
        <f>COUNTIF('RR1 Player Stats'!$A$3:$A$50,$A41)+COUNTIF('RR2 Player Stats'!$A$3:$A$50,$A41)+COUNTIF('RR3 Player Stats'!$A$3:$A$50,$A41)+COUNTIF('RR4 Player Stats'!$A$3:$A$50,$A41)+COUNTIF('RR5 Player Stats'!$A$3:$A$50,$A41)</f>
        <v>5</v>
      </c>
      <c r="C41" s="55">
        <f>IFERROR(__xludf.DUMMYFUNCTION("IFERROR(FILTER('RR1 Player Stats'!V$3:V$50, ISNUMBER(SEARCH($A41,'RR1 Player Stats'!$A$3:$A$50))),0)
+IFERROR(FILTER('RR2 Player Stats'!V$3:V$50, ISNUMBER(SEARCH($A41,'RR2 Player Stats'!$A$3:$A$50))),0)
+IFERROR(FILTER('RR3 Player Stats'!V$3:V$50, ISNUMBE"&amp;"R(SEARCH($A41,'RR3 Player Stats'!$A$3:$A$50))),0)
+IFERROR(FILTER('RR4 Player Stats'!V$3:V$50, ISNUMBER(SEARCH($A41,'RR4 Player Stats'!$A$3:$A$50))),0)
+IFERROR(FILTER('RR5 Player Stats'!V$3:V$50, ISNUMBER(SEARCH($A41,'RR5 Player Stats'!$A$3:$A$50))),0)"),9.0)</f>
        <v>9</v>
      </c>
      <c r="D41" s="57">
        <f>IFERROR(__xludf.DUMMYFUNCTION("IFERROR(FILTER('RR1 Player Stats'!W$3:W$50, ISNUMBER(SEARCH($A41,'RR1 Player Stats'!$A$3:$A$50))),0)
+IFERROR(FILTER('RR2 Player Stats'!W$3:W$50, ISNUMBER(SEARCH($A41,'RR2 Player Stats'!$A$3:$A$50))),0)
+IFERROR(FILTER('RR3 Player Stats'!W$3:W$50, ISNUMBE"&amp;"R(SEARCH($A41,'RR3 Player Stats'!$A$3:$A$50))),0)
+IFERROR(FILTER('RR4 Player Stats'!W$3:W$50, ISNUMBER(SEARCH($A41,'RR4 Player Stats'!$A$3:$A$50))),0)
+IFERROR(FILTER('RR5 Player Stats'!W$3:W$50, ISNUMBER(SEARCH($A41,'RR5 Player Stats'!$A$3:$A$50))),0)"),2.0)</f>
        <v>2</v>
      </c>
      <c r="E41" s="57">
        <f>IFERROR(__xludf.DUMMYFUNCTION("IFERROR(FILTER('RR1 Player Stats'!X$3:X$50, ISNUMBER(SEARCH($A41,'RR1 Player Stats'!$A$3:$A$50))),0)
+IFERROR(FILTER('RR2 Player Stats'!X$3:X$50, ISNUMBER(SEARCH($A41,'RR2 Player Stats'!$A$3:$A$50))),0)
+IFERROR(FILTER('RR3 Player Stats'!X$3:X$50, ISNUMBE"&amp;"R(SEARCH($A41,'RR3 Player Stats'!$A$3:$A$50))),0)
+IFERROR(FILTER('RR4 Player Stats'!X$3:X$50, ISNUMBER(SEARCH($A41,'RR4 Player Stats'!$A$3:$A$50))),0)
+IFERROR(FILTER('RR5 Player Stats'!X$3:X$50, ISNUMBER(SEARCH($A41,'RR5 Player Stats'!$A$3:$A$50))),0)"),1.0)</f>
        <v>1</v>
      </c>
      <c r="F41" s="57">
        <f>IFERROR(__xludf.DUMMYFUNCTION("IFERROR(FILTER('RR1 Player Stats'!Y$3:Y$50, ISNUMBER(SEARCH($A41,'RR1 Player Stats'!$A$3:$A$50))),0)
+IFERROR(FILTER('RR2 Player Stats'!Y$3:Y$50, ISNUMBER(SEARCH($A41,'RR2 Player Stats'!$A$3:$A$50))),0)
+IFERROR(FILTER('RR3 Player Stats'!Y$3:Y$50, ISNUMBE"&amp;"R(SEARCH($A41,'RR3 Player Stats'!$A$3:$A$50))),0)
+IFERROR(FILTER('RR4 Player Stats'!Y$3:Y$50, ISNUMBER(SEARCH($A41,'RR4 Player Stats'!$A$3:$A$50))),0)
+IFERROR(FILTER('RR5 Player Stats'!Y$3:Y$50, ISNUMBER(SEARCH($A41,'RR5 Player Stats'!$A$3:$A$50))),0)"),48.0)</f>
        <v>48</v>
      </c>
      <c r="G41" s="57">
        <f>IFERROR(__xludf.DUMMYFUNCTION("IFERROR(FILTER('RR1 Player Stats'!Z$3:Z$50, ISNUMBER(SEARCH($A41,'RR1 Player Stats'!$A$3:$A$50))),0)
+IFERROR(FILTER('RR2 Player Stats'!Z$3:Z$50, ISNUMBER(SEARCH($A41,'RR2 Player Stats'!$A$3:$A$50))),0)
+IFERROR(FILTER('RR3 Player Stats'!Z$3:Z$50, ISNUMBE"&amp;"R(SEARCH($A41,'RR3 Player Stats'!$A$3:$A$50))),0)
+IFERROR(FILTER('RR4 Player Stats'!Z$3:Z$50, ISNUMBER(SEARCH($A41,'RR4 Player Stats'!$A$3:$A$50))),0)
+IFERROR(FILTER('RR5 Player Stats'!Z$3:Z$50, ISNUMBER(SEARCH($A41,'RR5 Player Stats'!$A$3:$A$50))),0)"),44.0)</f>
        <v>44</v>
      </c>
      <c r="H41" s="180">
        <f>IFERROR(__xludf.DUMMYFUNCTION("(IFERROR(FILTER('RR1 Player Stats'!AA$3:AA$50, ISNUMBER(SEARCH($A41,'RR1 Player Stats'!$A$3:$A$50))),0)
+IFERROR(FILTER('RR2 Player Stats'!AA$3:AA$50, ISNUMBER(SEARCH($A41,'RR2 Player Stats'!$A$3:$A$50))),0)
+IFERROR(FILTER('RR3 Player Stats'!AA$3:AA$50, "&amp;"ISNUMBER(SEARCH($A41,'RR3 Player Stats'!$A$3:$A$50))),0)
+IFERROR(FILTER('RR4 Player Stats'!AA$3:AA$50, ISNUMBER(SEARCH($A41,'RR4 Player Stats'!$A$3:$A$50))),0)
+IFERROR(FILTER('RR5 Player Stats'!AA$3:AA$50, ISNUMBER(SEARCH($A41,'RR5 Player Stats'!$A$3:$A"&amp;"$50))),0))/5"),0.184)</f>
        <v>0.184</v>
      </c>
      <c r="I41" s="55">
        <f>IFERROR(__xludf.DUMMYFUNCTION("IFERROR(FILTER('RR1 Player Stats'!AB$3:AB$50, ISNUMBER(SEARCH($A41,'RR1 Player Stats'!$A$3:$A$50))),0)
+IFERROR(FILTER('RR2 Player Stats'!AB$3:AB$50, ISNUMBER(SEARCH($A41,'RR2 Player Stats'!$A$3:$A$50))),0)
+IFERROR(FILTER('RR3 Player Stats'!AB$3:AB$50, I"&amp;"SNUMBER(SEARCH($A41,'RR3 Player Stats'!$A$3:$A$50))),0)
+IFERROR(FILTER('RR4 Player Stats'!AB$3:AB$50, ISNUMBER(SEARCH($A41,'RR4 Player Stats'!$A$3:$A$50))),0)
+IFERROR(FILTER('RR5 Player Stats'!AB$3:AB$50, ISNUMBER(SEARCH($A41,'RR5 Player Stats'!$A$3:$A$"&amp;"50))),0)"),5.0)</f>
        <v>5</v>
      </c>
      <c r="J41" s="57">
        <f>IFERROR(__xludf.DUMMYFUNCTION("IFERROR(FILTER('RR1 Player Stats'!AC$3:AC$50, ISNUMBER(SEARCH($A41,'RR1 Player Stats'!$A$3:$A$50))),0)
+IFERROR(FILTER('RR2 Player Stats'!AC$3:AC$50, ISNUMBER(SEARCH($A41,'RR2 Player Stats'!$A$3:$A$50))),0)
+IFERROR(FILTER('RR3 Player Stats'!AC$3:AC$50, I"&amp;"SNUMBER(SEARCH($A41,'RR3 Player Stats'!$A$3:$A$50))),0)
+IFERROR(FILTER('RR4 Player Stats'!AC$3:AC$50, ISNUMBER(SEARCH($A41,'RR4 Player Stats'!$A$3:$A$50))),0)
+IFERROR(FILTER('RR5 Player Stats'!AC$3:AC$50, ISNUMBER(SEARCH($A41,'RR5 Player Stats'!$A$3:$A$"&amp;"50))),0)"),2.0)</f>
        <v>2</v>
      </c>
      <c r="K41" s="57">
        <f>IFERROR(__xludf.DUMMYFUNCTION("IFERROR(FILTER('RR1 Player Stats'!AD$3:AD$50, ISNUMBER(SEARCH($A41,'RR1 Player Stats'!$A$3:$A$50))),0)
+IFERROR(FILTER('RR2 Player Stats'!AD$3:AD$50, ISNUMBER(SEARCH($A41,'RR2 Player Stats'!$A$3:$A$50))),0)
+IFERROR(FILTER('RR3 Player Stats'!AD$3:AD$50, I"&amp;"SNUMBER(SEARCH($A41,'RR3 Player Stats'!$A$3:$A$50))),0)
+IFERROR(FILTER('RR4 Player Stats'!AD$3:AD$50, ISNUMBER(SEARCH($A41,'RR4 Player Stats'!$A$3:$A$50))),0)
+IFERROR(FILTER('RR5 Player Stats'!AD$3:AD$50, ISNUMBER(SEARCH($A41,'RR5 Player Stats'!$A$3:$A$"&amp;"50))),0)"),3.0)</f>
        <v>3</v>
      </c>
      <c r="L41" s="57">
        <f>IFERROR(__xludf.DUMMYFUNCTION("IFERROR(FILTER('RR1 Player Stats'!AE$3:AE$50, ISNUMBER(SEARCH($A41,'RR1 Player Stats'!$A$3:$A$50))),0)
+IFERROR(FILTER('RR2 Player Stats'!AE$3:AE$50, ISNUMBER(SEARCH($A41,'RR2 Player Stats'!$A$3:$A$50))),0)
+IFERROR(FILTER('RR3 Player Stats'!AE$3:AE$50, I"&amp;"SNUMBER(SEARCH($A41,'RR3 Player Stats'!$A$3:$A$50))),0)
+IFERROR(FILTER('RR4 Player Stats'!AE$3:AE$50, ISNUMBER(SEARCH($A41,'RR4 Player Stats'!$A$3:$A$50))),0)
+IFERROR(FILTER('RR5 Player Stats'!AE$3:AE$50, ISNUMBER(SEARCH($A41,'RR5 Player Stats'!$A$3:$A$"&amp;"50))),0)"),32.0)</f>
        <v>32</v>
      </c>
      <c r="M41" s="57">
        <f>IFERROR(__xludf.DUMMYFUNCTION("IFERROR(FILTER('RR1 Player Stats'!AF$3:AF$50, ISNUMBER(SEARCH($A41,'RR1 Player Stats'!$A$3:$A$50))),0)
+IFERROR(FILTER('RR2 Player Stats'!AF$3:AF$50, ISNUMBER(SEARCH($A41,'RR2 Player Stats'!$A$3:$A$50))),0)
+IFERROR(FILTER('RR3 Player Stats'!AF$3:AF$50, I"&amp;"SNUMBER(SEARCH($A41,'RR3 Player Stats'!$A$3:$A$50))),0)
+IFERROR(FILTER('RR4 Player Stats'!AF$3:AF$50, ISNUMBER(SEARCH($A41,'RR4 Player Stats'!$A$3:$A$50))),0)
+IFERROR(FILTER('RR5 Player Stats'!AF$3:AF$50, ISNUMBER(SEARCH($A41,'RR5 Player Stats'!$A$3:$A$"&amp;"50))),0)"),20.0)</f>
        <v>20</v>
      </c>
      <c r="N41" s="180">
        <f>IFERROR(__xludf.DUMMYFUNCTION("(IFERROR(FILTER('RR1 Player Stats'!AG$3:AG$50, ISNUMBER(SEARCH($A41,'RR1 Player Stats'!$A$3:$A$50))),0)
+IFERROR(FILTER('RR2 Player Stats'!AG$3:AG$50, ISNUMBER(SEARCH($A41,'RR2 Player Stats'!$A$3:$A$50))),0)
+IFERROR(FILTER('RR3 Player Stats'!AG$3:AG$50, "&amp;"ISNUMBER(SEARCH($A41,'RR3 Player Stats'!$A$3:$A$50))),0)
+IFERROR(FILTER('RR4 Player Stats'!AG$3:AG$50, ISNUMBER(SEARCH($A41,'RR4 Player Stats'!$A$3:$A$50))),0)
+IFERROR(FILTER('RR5 Player Stats'!AG$3:AG$50, ISNUMBER(SEARCH($A41,'RR5 Player Stats'!$A$3:$A"&amp;"$50))),0))/5"),0.178)</f>
        <v>0.178</v>
      </c>
      <c r="O41" s="55">
        <f>IFERROR(__xludf.DUMMYFUNCTION("IFERROR(FILTER('RR1 Player Stats'!AH$3:AH$50, ISNUMBER(SEARCH($A41,'RR1 Player Stats'!$A$3:$A$50))),0)
+IFERROR(FILTER('RR2 Player Stats'!AH$3:AH$50, ISNUMBER(SEARCH($A41,'RR2 Player Stats'!$A$3:$A$50))),0)
+IFERROR(FILTER('RR3 Player Stats'!AH$3:AH$50, I"&amp;"SNUMBER(SEARCH($A41,'RR3 Player Stats'!$A$3:$A$50))),0)
+IFERROR(FILTER('RR4 Player Stats'!AH$3:AH$50, ISNUMBER(SEARCH($A41,'RR4 Player Stats'!$A$3:$A$50))),0)
+IFERROR(FILTER('RR5 Player Stats'!AH$3:AH$50, ISNUMBER(SEARCH($A41,'RR5 Player Stats'!$A$3:$A$"&amp;"50))),0)"),14.0)</f>
        <v>14</v>
      </c>
      <c r="P41" s="57">
        <f>IFERROR(__xludf.DUMMYFUNCTION("IFERROR(FILTER('RR1 Player Stats'!AI$3:AI$50, ISNUMBER(SEARCH($A41,'RR1 Player Stats'!$A$3:$A$50))),0)
+IFERROR(FILTER('RR2 Player Stats'!AI$3:AI$50, ISNUMBER(SEARCH($A41,'RR2 Player Stats'!$A$3:$A$50))),0)
+IFERROR(FILTER('RR3 Player Stats'!AI$3:AI$50, I"&amp;"SNUMBER(SEARCH($A41,'RR3 Player Stats'!$A$3:$A$50))),0)
+IFERROR(FILTER('RR4 Player Stats'!AI$3:AI$50, ISNUMBER(SEARCH($A41,'RR4 Player Stats'!$A$3:$A$50))),0)
+IFERROR(FILTER('RR5 Player Stats'!AI$3:AI$50, ISNUMBER(SEARCH($A41,'RR5 Player Stats'!$A$3:$A$"&amp;"50))),0)"),4.0)</f>
        <v>4</v>
      </c>
      <c r="Q41" s="57">
        <f>IFERROR(__xludf.DUMMYFUNCTION("IFERROR(FILTER('RR1 Player Stats'!AJ$3:AJ$50, ISNUMBER(SEARCH($A41,'RR1 Player Stats'!$A$3:$A$50))),0)
+IFERROR(FILTER('RR2 Player Stats'!AJ$3:AJ$50, ISNUMBER(SEARCH($A41,'RR2 Player Stats'!$A$3:$A$50))),0)
+IFERROR(FILTER('RR3 Player Stats'!AJ$3:AJ$50, I"&amp;"SNUMBER(SEARCH($A41,'RR3 Player Stats'!$A$3:$A$50))),0)
+IFERROR(FILTER('RR4 Player Stats'!AJ$3:AJ$50, ISNUMBER(SEARCH($A41,'RR4 Player Stats'!$A$3:$A$50))),0)
+IFERROR(FILTER('RR5 Player Stats'!AJ$3:AJ$50, ISNUMBER(SEARCH($A41,'RR5 Player Stats'!$A$3:$A$"&amp;"50))),0)"),4.0)</f>
        <v>4</v>
      </c>
      <c r="R41" s="57">
        <f>IFERROR(__xludf.DUMMYFUNCTION("IFERROR(FILTER('RR1 Player Stats'!AK$3:AK$50, ISNUMBER(SEARCH($A41,'RR1 Player Stats'!$A$3:$A$50))),0)
+IFERROR(FILTER('RR2 Player Stats'!AK$3:AK$50, ISNUMBER(SEARCH($A41,'RR2 Player Stats'!$A$3:$A$50))),0)
+IFERROR(FILTER('RR3 Player Stats'!AK$3:AK$50, I"&amp;"SNUMBER(SEARCH($A41,'RR3 Player Stats'!$A$3:$A$50))),0)
+IFERROR(FILTER('RR4 Player Stats'!AK$3:AK$50, ISNUMBER(SEARCH($A41,'RR4 Player Stats'!$A$3:$A$50))),0)
+IFERROR(FILTER('RR5 Player Stats'!AK$3:AK$50, ISNUMBER(SEARCH($A41,'RR5 Player Stats'!$A$3:$A$"&amp;"50))),0)"),80.0)</f>
        <v>80</v>
      </c>
      <c r="S41" s="57">
        <f>IFERROR(__xludf.DUMMYFUNCTION("IFERROR(FILTER('RR1 Player Stats'!AL$3:AL$50, ISNUMBER(SEARCH($A41,'RR1 Player Stats'!$A$3:$A$50))),0)
+IFERROR(FILTER('RR2 Player Stats'!AL$3:AL$50, ISNUMBER(SEARCH($A41,'RR2 Player Stats'!$A$3:$A$50))),0)
+IFERROR(FILTER('RR3 Player Stats'!AL$3:AL$50, I"&amp;"SNUMBER(SEARCH($A41,'RR3 Player Stats'!$A$3:$A$50))),0)
+IFERROR(FILTER('RR4 Player Stats'!AL$3:AL$50, ISNUMBER(SEARCH($A41,'RR4 Player Stats'!$A$3:$A$50))),0)
+IFERROR(FILTER('RR5 Player Stats'!AL$3:AL$50, ISNUMBER(SEARCH($A41,'RR5 Player Stats'!$A$3:$A$"&amp;"50))),0)"),64.0)</f>
        <v>64</v>
      </c>
      <c r="T41" s="180">
        <f>IFERROR(__xludf.DUMMYFUNCTION("(IFERROR(FILTER('RR1 Player Stats'!AM$3:AM$50, ISNUMBER(SEARCH($A41,'RR1 Player Stats'!$A$3:$A$50))),0)
+IFERROR(FILTER('RR2 Player Stats'!AM$3:AM$50, ISNUMBER(SEARCH($A41,'RR2 Player Stats'!$A$3:$A$50))),0)
+IFERROR(FILTER('RR3 Player Stats'!AM$3:AM$50, "&amp;"ISNUMBER(SEARCH($A41,'RR3 Player Stats'!$A$3:$A$50))),0)
+IFERROR(FILTER('RR4 Player Stats'!AM$3:AM$50, ISNUMBER(SEARCH($A41,'RR4 Player Stats'!$A$3:$A$50))),0)
+IFERROR(FILTER('RR5 Player Stats'!AM$3:AM$50, ISNUMBER(SEARCH($A41,'RR5 Player Stats'!$A$3:$A"&amp;"$50))),0))/B41"),0.18000000000000002)</f>
        <v>0.18</v>
      </c>
      <c r="U41" s="55">
        <f>IFERROR(__xludf.DUMMYFUNCTION("MEDIAN(IFERROR(FILTER('RR1 Player Stats'!AH$3:AH$50, ISNUMBER(SEARCH($A41,'RR1 Player Stats'!$A$3:$A$50))),0),IFERROR(FILTER('RR2 Player Stats'!AH$3:AH$50, ISNUMBER(SEARCH($A41,'RR2 Player Stats'!$A$3:$A$50))),0),IFERROR(FILTER('RR3 Player Stats'!AH$3:AH$"&amp;"50, ISNUMBER(SEARCH($A41,'RR3 Player Stats'!$A$3:$A$50))),0),IFERROR(FILTER('RR4 Player Stats'!AH$3:AH$50, ISNUMBER(SEARCH($A41,'RR4 Player Stats'!$A$3:$A$50))),0),IFERROR(FILTER('RR5 Player Stats'!AH$3:AH$50, ISNUMBER(SEARCH($A41,'RR5 Player Stats'!$A$3:"&amp;"$A$50))),0))"),3.0)</f>
        <v>3</v>
      </c>
      <c r="V41" s="57">
        <f>IFERROR(__xludf.DUMMYFUNCTION("MEDIAN(IFERROR(FILTER('RR1 Player Stats'!AI$3:AI$50, ISNUMBER(SEARCH($A41,'RR1 Player Stats'!$A$3:$A$50))),0),IFERROR(FILTER('RR2 Player Stats'!AI$3:AI$50, ISNUMBER(SEARCH($A41,'RR2 Player Stats'!$A$3:$A$50))),0),IFERROR(FILTER('RR3 Player Stats'!AI$3:AI$"&amp;"50, ISNUMBER(SEARCH($A41,'RR3 Player Stats'!$A$3:$A$50))),0),IFERROR(FILTER('RR4 Player Stats'!AI$3:AI$50, ISNUMBER(SEARCH($A41,'RR4 Player Stats'!$A$3:$A$50))),0),IFERROR(FILTER('RR5 Player Stats'!AI$3:AI$50, ISNUMBER(SEARCH($A41,'RR5 Player Stats'!$A$3:"&amp;"$A$50))),0))"),1.0)</f>
        <v>1</v>
      </c>
      <c r="W41" s="57">
        <f>IFERROR(__xludf.DUMMYFUNCTION("MEDIAN(IFERROR(FILTER('RR1 Player Stats'!AJ$3:AJ$50, ISNUMBER(SEARCH($A41,'RR1 Player Stats'!$A$3:$A$50))),0),IFERROR(FILTER('RR2 Player Stats'!AJ$3:AJ$50, ISNUMBER(SEARCH($A41,'RR2 Player Stats'!$A$3:$A$50))),0),IFERROR(FILTER('RR3 Player Stats'!AJ$3:AJ$"&amp;"50, ISNUMBER(SEARCH($A41,'RR3 Player Stats'!$A$3:$A$50))),0),IFERROR(FILTER('RR4 Player Stats'!AJ$3:AJ$50, ISNUMBER(SEARCH($A41,'RR4 Player Stats'!$A$3:$A$50))),0),IFERROR(FILTER('RR5 Player Stats'!AJ$3:AJ$50, ISNUMBER(SEARCH($A41,'RR5 Player Stats'!$A$3:"&amp;"$A$50))),0))"),1.0)</f>
        <v>1</v>
      </c>
      <c r="X41" s="57">
        <f>IFERROR(__xludf.DUMMYFUNCTION("MEDIAN(IFERROR(FILTER('RR1 Player Stats'!AK$3:AK$50, ISNUMBER(SEARCH($A41,'RR1 Player Stats'!$A$3:$A$50))),0),IFERROR(FILTER('RR2 Player Stats'!AK$3:AK$50, ISNUMBER(SEARCH($A41,'RR2 Player Stats'!$A$3:$A$50))),0),IFERROR(FILTER('RR3 Player Stats'!AK$3:AK$"&amp;"50, ISNUMBER(SEARCH($A41,'RR3 Player Stats'!$A$3:$A$50))),0),IFERROR(FILTER('RR4 Player Stats'!AK$3:AK$50, ISNUMBER(SEARCH($A41,'RR4 Player Stats'!$A$3:$A$50))),0),IFERROR(FILTER('RR5 Player Stats'!AK$3:AK$50, ISNUMBER(SEARCH($A41,'RR5 Player Stats'!$A$3:"&amp;"$A$50))),0))"),18.0)</f>
        <v>18</v>
      </c>
      <c r="Y41" s="57">
        <f>IFERROR(__xludf.DUMMYFUNCTION("MEDIAN(IFERROR(FILTER('RR1 Player Stats'!AL$3:AL$50, ISNUMBER(SEARCH($A41,'RR1 Player Stats'!$A$3:$A$50))),0),IFERROR(FILTER('RR2 Player Stats'!AL$3:AL$50, ISNUMBER(SEARCH($A41,'RR2 Player Stats'!$A$3:$A$50))),0),IFERROR(FILTER('RR3 Player Stats'!AL$3:AL$"&amp;"50, ISNUMBER(SEARCH($A41,'RR3 Player Stats'!$A$3:$A$50))),0),IFERROR(FILTER('RR4 Player Stats'!AL$3:AL$50, ISNUMBER(SEARCH($A41,'RR4 Player Stats'!$A$3:$A$50))),0),IFERROR(FILTER('RR5 Player Stats'!AL$3:AL$50, ISNUMBER(SEARCH($A41,'RR5 Player Stats'!$A$3:"&amp;"$A$50))),0))"),14.0)</f>
        <v>14</v>
      </c>
      <c r="Z41" s="180">
        <f>IFERROR(__xludf.DUMMYFUNCTION("MEDIAN(IFERROR(FILTER('RR1 Player Stats'!AM$3:AM$50, ISNUMBER(SEARCH($A41,'RR1 Player Stats'!$A$3:$A$50))),0),IFERROR(FILTER('RR2 Player Stats'!AM$3:AM$50, ISNUMBER(SEARCH($A41,'RR2 Player Stats'!$A$3:$A$50))),0),IFERROR(FILTER('RR3 Player Stats'!AM$3:AM$"&amp;"50, ISNUMBER(SEARCH($A41,'RR3 Player Stats'!$A$3:$A$50))),0),IFERROR(FILTER('RR4 Player Stats'!AM$3:AM$50, ISNUMBER(SEARCH($A41,'RR4 Player Stats'!$A$3:$A$50))),0),IFERROR(FILTER('RR5 Player Stats'!AM$3:AM$50, ISNUMBER(SEARCH($A41,'RR5 Player Stats'!$A$3:"&amp;"$A$50))),0))"),0.2)</f>
        <v>0.2</v>
      </c>
    </row>
    <row r="42">
      <c r="A42" s="29" t="s">
        <v>66</v>
      </c>
      <c r="B42" s="48">
        <f>COUNTIF('RR1 Player Stats'!$A$3:$A$50,$A42)+COUNTIF('RR2 Player Stats'!$A$3:$A$50,$A42)+COUNTIF('RR3 Player Stats'!$A$3:$A$50,$A42)+COUNTIF('RR4 Player Stats'!$A$3:$A$50,$A42)+COUNTIF('RR5 Player Stats'!$A$3:$A$50,$A42)</f>
        <v>5</v>
      </c>
      <c r="C42" s="55">
        <f>IFERROR(__xludf.DUMMYFUNCTION("IFERROR(FILTER('RR1 Player Stats'!V$3:V$50, ISNUMBER(SEARCH($A42,'RR1 Player Stats'!$A$3:$A$50))),0)
+IFERROR(FILTER('RR2 Player Stats'!V$3:V$50, ISNUMBER(SEARCH($A42,'RR2 Player Stats'!$A$3:$A$50))),0)
+IFERROR(FILTER('RR3 Player Stats'!V$3:V$50, ISNUMBE"&amp;"R(SEARCH($A42,'RR3 Player Stats'!$A$3:$A$50))),0)
+IFERROR(FILTER('RR4 Player Stats'!V$3:V$50, ISNUMBER(SEARCH($A42,'RR4 Player Stats'!$A$3:$A$50))),0)
+IFERROR(FILTER('RR5 Player Stats'!V$3:V$50, ISNUMBER(SEARCH($A42,'RR5 Player Stats'!$A$3:$A$50))),0)"),10.0)</f>
        <v>10</v>
      </c>
      <c r="D42" s="57">
        <f>IFERROR(__xludf.DUMMYFUNCTION("IFERROR(FILTER('RR1 Player Stats'!W$3:W$50, ISNUMBER(SEARCH($A42,'RR1 Player Stats'!$A$3:$A$50))),0)
+IFERROR(FILTER('RR2 Player Stats'!W$3:W$50, ISNUMBER(SEARCH($A42,'RR2 Player Stats'!$A$3:$A$50))),0)
+IFERROR(FILTER('RR3 Player Stats'!W$3:W$50, ISNUMBE"&amp;"R(SEARCH($A42,'RR3 Player Stats'!$A$3:$A$50))),0)
+IFERROR(FILTER('RR4 Player Stats'!W$3:W$50, ISNUMBER(SEARCH($A42,'RR4 Player Stats'!$A$3:$A$50))),0)
+IFERROR(FILTER('RR5 Player Stats'!W$3:W$50, ISNUMBER(SEARCH($A42,'RR5 Player Stats'!$A$3:$A$50))),0)"),0.0)</f>
        <v>0</v>
      </c>
      <c r="E42" s="57">
        <f>IFERROR(__xludf.DUMMYFUNCTION("IFERROR(FILTER('RR1 Player Stats'!X$3:X$50, ISNUMBER(SEARCH($A42,'RR1 Player Stats'!$A$3:$A$50))),0)
+IFERROR(FILTER('RR2 Player Stats'!X$3:X$50, ISNUMBER(SEARCH($A42,'RR2 Player Stats'!$A$3:$A$50))),0)
+IFERROR(FILTER('RR3 Player Stats'!X$3:X$50, ISNUMBE"&amp;"R(SEARCH($A42,'RR3 Player Stats'!$A$3:$A$50))),0)
+IFERROR(FILTER('RR4 Player Stats'!X$3:X$50, ISNUMBER(SEARCH($A42,'RR4 Player Stats'!$A$3:$A$50))),0)
+IFERROR(FILTER('RR5 Player Stats'!X$3:X$50, ISNUMBER(SEARCH($A42,'RR5 Player Stats'!$A$3:$A$50))),0)"),1.0)</f>
        <v>1</v>
      </c>
      <c r="F42" s="57">
        <f>IFERROR(__xludf.DUMMYFUNCTION("IFERROR(FILTER('RR1 Player Stats'!Y$3:Y$50, ISNUMBER(SEARCH($A42,'RR1 Player Stats'!$A$3:$A$50))),0)
+IFERROR(FILTER('RR2 Player Stats'!Y$3:Y$50, ISNUMBER(SEARCH($A42,'RR2 Player Stats'!$A$3:$A$50))),0)
+IFERROR(FILTER('RR3 Player Stats'!Y$3:Y$50, ISNUMBE"&amp;"R(SEARCH($A42,'RR3 Player Stats'!$A$3:$A$50))),0)
+IFERROR(FILTER('RR4 Player Stats'!Y$3:Y$50, ISNUMBER(SEARCH($A42,'RR4 Player Stats'!$A$3:$A$50))),0)
+IFERROR(FILTER('RR5 Player Stats'!Y$3:Y$50, ISNUMBER(SEARCH($A42,'RR5 Player Stats'!$A$3:$A$50))),0)"),40.0)</f>
        <v>40</v>
      </c>
      <c r="G42" s="57">
        <f>IFERROR(__xludf.DUMMYFUNCTION("IFERROR(FILTER('RR1 Player Stats'!Z$3:Z$50, ISNUMBER(SEARCH($A42,'RR1 Player Stats'!$A$3:$A$50))),0)
+IFERROR(FILTER('RR2 Player Stats'!Z$3:Z$50, ISNUMBER(SEARCH($A42,'RR2 Player Stats'!$A$3:$A$50))),0)
+IFERROR(FILTER('RR3 Player Stats'!Z$3:Z$50, ISNUMBE"&amp;"R(SEARCH($A42,'RR3 Player Stats'!$A$3:$A$50))),0)
+IFERROR(FILTER('RR4 Player Stats'!Z$3:Z$50, ISNUMBER(SEARCH($A42,'RR4 Player Stats'!$A$3:$A$50))),0)
+IFERROR(FILTER('RR5 Player Stats'!Z$3:Z$50, ISNUMBER(SEARCH($A42,'RR5 Player Stats'!$A$3:$A$50))),0)"),36.0)</f>
        <v>36</v>
      </c>
      <c r="H42" s="180">
        <f>IFERROR(__xludf.DUMMYFUNCTION("(IFERROR(FILTER('RR1 Player Stats'!AA$3:AA$50, ISNUMBER(SEARCH($A42,'RR1 Player Stats'!$A$3:$A$50))),0)
+IFERROR(FILTER('RR2 Player Stats'!AA$3:AA$50, ISNUMBER(SEARCH($A42,'RR2 Player Stats'!$A$3:$A$50))),0)
+IFERROR(FILTER('RR3 Player Stats'!AA$3:AA$50, "&amp;"ISNUMBER(SEARCH($A42,'RR3 Player Stats'!$A$3:$A$50))),0)
+IFERROR(FILTER('RR4 Player Stats'!AA$3:AA$50, ISNUMBER(SEARCH($A42,'RR4 Player Stats'!$A$3:$A$50))),0)
+IFERROR(FILTER('RR5 Player Stats'!AA$3:AA$50, ISNUMBER(SEARCH($A42,'RR5 Player Stats'!$A$3:$A"&amp;"$50))),0))/5"),0.166)</f>
        <v>0.166</v>
      </c>
      <c r="I42" s="55">
        <f>IFERROR(__xludf.DUMMYFUNCTION("IFERROR(FILTER('RR1 Player Stats'!AB$3:AB$50, ISNUMBER(SEARCH($A42,'RR1 Player Stats'!$A$3:$A$50))),0)
+IFERROR(FILTER('RR2 Player Stats'!AB$3:AB$50, ISNUMBER(SEARCH($A42,'RR2 Player Stats'!$A$3:$A$50))),0)
+IFERROR(FILTER('RR3 Player Stats'!AB$3:AB$50, I"&amp;"SNUMBER(SEARCH($A42,'RR3 Player Stats'!$A$3:$A$50))),0)
+IFERROR(FILTER('RR4 Player Stats'!AB$3:AB$50, ISNUMBER(SEARCH($A42,'RR4 Player Stats'!$A$3:$A$50))),0)
+IFERROR(FILTER('RR5 Player Stats'!AB$3:AB$50, ISNUMBER(SEARCH($A42,'RR5 Player Stats'!$A$3:$A$"&amp;"50))),0)"),9.0)</f>
        <v>9</v>
      </c>
      <c r="J42" s="57">
        <f>IFERROR(__xludf.DUMMYFUNCTION("IFERROR(FILTER('RR1 Player Stats'!AC$3:AC$50, ISNUMBER(SEARCH($A42,'RR1 Player Stats'!$A$3:$A$50))),0)
+IFERROR(FILTER('RR2 Player Stats'!AC$3:AC$50, ISNUMBER(SEARCH($A42,'RR2 Player Stats'!$A$3:$A$50))),0)
+IFERROR(FILTER('RR3 Player Stats'!AC$3:AC$50, I"&amp;"SNUMBER(SEARCH($A42,'RR3 Player Stats'!$A$3:$A$50))),0)
+IFERROR(FILTER('RR4 Player Stats'!AC$3:AC$50, ISNUMBER(SEARCH($A42,'RR4 Player Stats'!$A$3:$A$50))),0)
+IFERROR(FILTER('RR5 Player Stats'!AC$3:AC$50, ISNUMBER(SEARCH($A42,'RR5 Player Stats'!$A$3:$A$"&amp;"50))),0)"),0.0)</f>
        <v>0</v>
      </c>
      <c r="K42" s="57">
        <f>IFERROR(__xludf.DUMMYFUNCTION("IFERROR(FILTER('RR1 Player Stats'!AD$3:AD$50, ISNUMBER(SEARCH($A42,'RR1 Player Stats'!$A$3:$A$50))),0)
+IFERROR(FILTER('RR2 Player Stats'!AD$3:AD$50, ISNUMBER(SEARCH($A42,'RR2 Player Stats'!$A$3:$A$50))),0)
+IFERROR(FILTER('RR3 Player Stats'!AD$3:AD$50, I"&amp;"SNUMBER(SEARCH($A42,'RR3 Player Stats'!$A$3:$A$50))),0)
+IFERROR(FILTER('RR4 Player Stats'!AD$3:AD$50, ISNUMBER(SEARCH($A42,'RR4 Player Stats'!$A$3:$A$50))),0)
+IFERROR(FILTER('RR5 Player Stats'!AD$3:AD$50, ISNUMBER(SEARCH($A42,'RR5 Player Stats'!$A$3:$A$"&amp;"50))),0)"),0.0)</f>
        <v>0</v>
      </c>
      <c r="L42" s="57">
        <f>IFERROR(__xludf.DUMMYFUNCTION("IFERROR(FILTER('RR1 Player Stats'!AE$3:AE$50, ISNUMBER(SEARCH($A42,'RR1 Player Stats'!$A$3:$A$50))),0)
+IFERROR(FILTER('RR2 Player Stats'!AE$3:AE$50, ISNUMBER(SEARCH($A42,'RR2 Player Stats'!$A$3:$A$50))),0)
+IFERROR(FILTER('RR3 Player Stats'!AE$3:AE$50, I"&amp;"SNUMBER(SEARCH($A42,'RR3 Player Stats'!$A$3:$A$50))),0)
+IFERROR(FILTER('RR4 Player Stats'!AE$3:AE$50, ISNUMBER(SEARCH($A42,'RR4 Player Stats'!$A$3:$A$50))),0)
+IFERROR(FILTER('RR5 Player Stats'!AE$3:AE$50, ISNUMBER(SEARCH($A42,'RR5 Player Stats'!$A$3:$A$"&amp;"50))),0)"),36.0)</f>
        <v>36</v>
      </c>
      <c r="M42" s="57">
        <f>IFERROR(__xludf.DUMMYFUNCTION("IFERROR(FILTER('RR1 Player Stats'!AF$3:AF$50, ISNUMBER(SEARCH($A42,'RR1 Player Stats'!$A$3:$A$50))),0)
+IFERROR(FILTER('RR2 Player Stats'!AF$3:AF$50, ISNUMBER(SEARCH($A42,'RR2 Player Stats'!$A$3:$A$50))),0)
+IFERROR(FILTER('RR3 Player Stats'!AF$3:AF$50, I"&amp;"SNUMBER(SEARCH($A42,'RR3 Player Stats'!$A$3:$A$50))),0)
+IFERROR(FILTER('RR4 Player Stats'!AF$3:AF$50, ISNUMBER(SEARCH($A42,'RR4 Player Stats'!$A$3:$A$50))),0)
+IFERROR(FILTER('RR5 Player Stats'!AF$3:AF$50, ISNUMBER(SEARCH($A42,'RR5 Player Stats'!$A$3:$A$"&amp;"50))),0)"),36.0)</f>
        <v>36</v>
      </c>
      <c r="N42" s="180">
        <f>IFERROR(__xludf.DUMMYFUNCTION("(IFERROR(FILTER('RR1 Player Stats'!AG$3:AG$50, ISNUMBER(SEARCH($A42,'RR1 Player Stats'!$A$3:$A$50))),0)
+IFERROR(FILTER('RR2 Player Stats'!AG$3:AG$50, ISNUMBER(SEARCH($A42,'RR2 Player Stats'!$A$3:$A$50))),0)
+IFERROR(FILTER('RR3 Player Stats'!AG$3:AG$50, "&amp;"ISNUMBER(SEARCH($A42,'RR3 Player Stats'!$A$3:$A$50))),0)
+IFERROR(FILTER('RR4 Player Stats'!AG$3:AG$50, ISNUMBER(SEARCH($A42,'RR4 Player Stats'!$A$3:$A$50))),0)
+IFERROR(FILTER('RR5 Player Stats'!AG$3:AG$50, ISNUMBER(SEARCH($A42,'RR5 Player Stats'!$A$3:$A"&amp;"$50))),0))/5"),0.22800000000000004)</f>
        <v>0.228</v>
      </c>
      <c r="O42" s="55">
        <f>IFERROR(__xludf.DUMMYFUNCTION("IFERROR(FILTER('RR1 Player Stats'!AH$3:AH$50, ISNUMBER(SEARCH($A42,'RR1 Player Stats'!$A$3:$A$50))),0)
+IFERROR(FILTER('RR2 Player Stats'!AH$3:AH$50, ISNUMBER(SEARCH($A42,'RR2 Player Stats'!$A$3:$A$50))),0)
+IFERROR(FILTER('RR3 Player Stats'!AH$3:AH$50, I"&amp;"SNUMBER(SEARCH($A42,'RR3 Player Stats'!$A$3:$A$50))),0)
+IFERROR(FILTER('RR4 Player Stats'!AH$3:AH$50, ISNUMBER(SEARCH($A42,'RR4 Player Stats'!$A$3:$A$50))),0)
+IFERROR(FILTER('RR5 Player Stats'!AH$3:AH$50, ISNUMBER(SEARCH($A42,'RR5 Player Stats'!$A$3:$A$"&amp;"50))),0)"),19.0)</f>
        <v>19</v>
      </c>
      <c r="P42" s="57">
        <f>IFERROR(__xludf.DUMMYFUNCTION("IFERROR(FILTER('RR1 Player Stats'!AI$3:AI$50, ISNUMBER(SEARCH($A42,'RR1 Player Stats'!$A$3:$A$50))),0)
+IFERROR(FILTER('RR2 Player Stats'!AI$3:AI$50, ISNUMBER(SEARCH($A42,'RR2 Player Stats'!$A$3:$A$50))),0)
+IFERROR(FILTER('RR3 Player Stats'!AI$3:AI$50, I"&amp;"SNUMBER(SEARCH($A42,'RR3 Player Stats'!$A$3:$A$50))),0)
+IFERROR(FILTER('RR4 Player Stats'!AI$3:AI$50, ISNUMBER(SEARCH($A42,'RR4 Player Stats'!$A$3:$A$50))),0)
+IFERROR(FILTER('RR5 Player Stats'!AI$3:AI$50, ISNUMBER(SEARCH($A42,'RR5 Player Stats'!$A$3:$A$"&amp;"50))),0)"),0.0)</f>
        <v>0</v>
      </c>
      <c r="Q42" s="57">
        <f>IFERROR(__xludf.DUMMYFUNCTION("IFERROR(FILTER('RR1 Player Stats'!AJ$3:AJ$50, ISNUMBER(SEARCH($A42,'RR1 Player Stats'!$A$3:$A$50))),0)
+IFERROR(FILTER('RR2 Player Stats'!AJ$3:AJ$50, ISNUMBER(SEARCH($A42,'RR2 Player Stats'!$A$3:$A$50))),0)
+IFERROR(FILTER('RR3 Player Stats'!AJ$3:AJ$50, I"&amp;"SNUMBER(SEARCH($A42,'RR3 Player Stats'!$A$3:$A$50))),0)
+IFERROR(FILTER('RR4 Player Stats'!AJ$3:AJ$50, ISNUMBER(SEARCH($A42,'RR4 Player Stats'!$A$3:$A$50))),0)
+IFERROR(FILTER('RR5 Player Stats'!AJ$3:AJ$50, ISNUMBER(SEARCH($A42,'RR5 Player Stats'!$A$3:$A$"&amp;"50))),0)"),1.0)</f>
        <v>1</v>
      </c>
      <c r="R42" s="57">
        <f>IFERROR(__xludf.DUMMYFUNCTION("IFERROR(FILTER('RR1 Player Stats'!AK$3:AK$50, ISNUMBER(SEARCH($A42,'RR1 Player Stats'!$A$3:$A$50))),0)
+IFERROR(FILTER('RR2 Player Stats'!AK$3:AK$50, ISNUMBER(SEARCH($A42,'RR2 Player Stats'!$A$3:$A$50))),0)
+IFERROR(FILTER('RR3 Player Stats'!AK$3:AK$50, I"&amp;"SNUMBER(SEARCH($A42,'RR3 Player Stats'!$A$3:$A$50))),0)
+IFERROR(FILTER('RR4 Player Stats'!AK$3:AK$50, ISNUMBER(SEARCH($A42,'RR4 Player Stats'!$A$3:$A$50))),0)
+IFERROR(FILTER('RR5 Player Stats'!AK$3:AK$50, ISNUMBER(SEARCH($A42,'RR5 Player Stats'!$A$3:$A$"&amp;"50))),0)"),76.0)</f>
        <v>76</v>
      </c>
      <c r="S42" s="57">
        <f>IFERROR(__xludf.DUMMYFUNCTION("IFERROR(FILTER('RR1 Player Stats'!AL$3:AL$50, ISNUMBER(SEARCH($A42,'RR1 Player Stats'!$A$3:$A$50))),0)
+IFERROR(FILTER('RR2 Player Stats'!AL$3:AL$50, ISNUMBER(SEARCH($A42,'RR2 Player Stats'!$A$3:$A$50))),0)
+IFERROR(FILTER('RR3 Player Stats'!AL$3:AL$50, I"&amp;"SNUMBER(SEARCH($A42,'RR3 Player Stats'!$A$3:$A$50))),0)
+IFERROR(FILTER('RR4 Player Stats'!AL$3:AL$50, ISNUMBER(SEARCH($A42,'RR4 Player Stats'!$A$3:$A$50))),0)
+IFERROR(FILTER('RR5 Player Stats'!AL$3:AL$50, ISNUMBER(SEARCH($A42,'RR5 Player Stats'!$A$3:$A$"&amp;"50))),0)"),72.0)</f>
        <v>72</v>
      </c>
      <c r="T42" s="180">
        <f>IFERROR(__xludf.DUMMYFUNCTION("(IFERROR(FILTER('RR1 Player Stats'!AM$3:AM$50, ISNUMBER(SEARCH($A42,'RR1 Player Stats'!$A$3:$A$50))),0)
+IFERROR(FILTER('RR2 Player Stats'!AM$3:AM$50, ISNUMBER(SEARCH($A42,'RR2 Player Stats'!$A$3:$A$50))),0)
+IFERROR(FILTER('RR3 Player Stats'!AM$3:AM$50, "&amp;"ISNUMBER(SEARCH($A42,'RR3 Player Stats'!$A$3:$A$50))),0)
+IFERROR(FILTER('RR4 Player Stats'!AM$3:AM$50, ISNUMBER(SEARCH($A42,'RR4 Player Stats'!$A$3:$A$50))),0)
+IFERROR(FILTER('RR5 Player Stats'!AM$3:AM$50, ISNUMBER(SEARCH($A42,'RR5 Player Stats'!$A$3:$A"&amp;"$50))),0))/B42"),0.19)</f>
        <v>0.19</v>
      </c>
      <c r="U42" s="55">
        <f>IFERROR(__xludf.DUMMYFUNCTION("MEDIAN(IFERROR(FILTER('RR1 Player Stats'!AH$3:AH$50, ISNUMBER(SEARCH($A42,'RR1 Player Stats'!$A$3:$A$50))),0),IFERROR(FILTER('RR2 Player Stats'!AH$3:AH$50, ISNUMBER(SEARCH($A42,'RR2 Player Stats'!$A$3:$A$50))),0),IFERROR(FILTER('RR3 Player Stats'!AH$3:AH$"&amp;"50, ISNUMBER(SEARCH($A42,'RR3 Player Stats'!$A$3:$A$50))),0),IFERROR(FILTER('RR4 Player Stats'!AH$3:AH$50, ISNUMBER(SEARCH($A42,'RR4 Player Stats'!$A$3:$A$50))),0),IFERROR(FILTER('RR5 Player Stats'!AH$3:AH$50, ISNUMBER(SEARCH($A42,'RR5 Player Stats'!$A$3:"&amp;"$A$50))),0))"),3.0)</f>
        <v>3</v>
      </c>
      <c r="V42" s="57">
        <f>IFERROR(__xludf.DUMMYFUNCTION("MEDIAN(IFERROR(FILTER('RR1 Player Stats'!AI$3:AI$50, ISNUMBER(SEARCH($A42,'RR1 Player Stats'!$A$3:$A$50))),0),IFERROR(FILTER('RR2 Player Stats'!AI$3:AI$50, ISNUMBER(SEARCH($A42,'RR2 Player Stats'!$A$3:$A$50))),0),IFERROR(FILTER('RR3 Player Stats'!AI$3:AI$"&amp;"50, ISNUMBER(SEARCH($A42,'RR3 Player Stats'!$A$3:$A$50))),0),IFERROR(FILTER('RR4 Player Stats'!AI$3:AI$50, ISNUMBER(SEARCH($A42,'RR4 Player Stats'!$A$3:$A$50))),0),IFERROR(FILTER('RR5 Player Stats'!AI$3:AI$50, ISNUMBER(SEARCH($A42,'RR5 Player Stats'!$A$3:"&amp;"$A$50))),0))"),0.0)</f>
        <v>0</v>
      </c>
      <c r="W42" s="57">
        <f>IFERROR(__xludf.DUMMYFUNCTION("MEDIAN(IFERROR(FILTER('RR1 Player Stats'!AJ$3:AJ$50, ISNUMBER(SEARCH($A42,'RR1 Player Stats'!$A$3:$A$50))),0),IFERROR(FILTER('RR2 Player Stats'!AJ$3:AJ$50, ISNUMBER(SEARCH($A42,'RR2 Player Stats'!$A$3:$A$50))),0),IFERROR(FILTER('RR3 Player Stats'!AJ$3:AJ$"&amp;"50, ISNUMBER(SEARCH($A42,'RR3 Player Stats'!$A$3:$A$50))),0),IFERROR(FILTER('RR4 Player Stats'!AJ$3:AJ$50, ISNUMBER(SEARCH($A42,'RR4 Player Stats'!$A$3:$A$50))),0),IFERROR(FILTER('RR5 Player Stats'!AJ$3:AJ$50, ISNUMBER(SEARCH($A42,'RR5 Player Stats'!$A$3:"&amp;"$A$50))),0))"),0.0)</f>
        <v>0</v>
      </c>
      <c r="X42" s="57">
        <f>IFERROR(__xludf.DUMMYFUNCTION("MEDIAN(IFERROR(FILTER('RR1 Player Stats'!AK$3:AK$50, ISNUMBER(SEARCH($A42,'RR1 Player Stats'!$A$3:$A$50))),0),IFERROR(FILTER('RR2 Player Stats'!AK$3:AK$50, ISNUMBER(SEARCH($A42,'RR2 Player Stats'!$A$3:$A$50))),0),IFERROR(FILTER('RR3 Player Stats'!AK$3:AK$"&amp;"50, ISNUMBER(SEARCH($A42,'RR3 Player Stats'!$A$3:$A$50))),0),IFERROR(FILTER('RR4 Player Stats'!AK$3:AK$50, ISNUMBER(SEARCH($A42,'RR4 Player Stats'!$A$3:$A$50))),0),IFERROR(FILTER('RR5 Player Stats'!AK$3:AK$50, ISNUMBER(SEARCH($A42,'RR5 Player Stats'!$A$3:"&amp;"$A$50))),0))"),12.0)</f>
        <v>12</v>
      </c>
      <c r="Y42" s="57">
        <f>IFERROR(__xludf.DUMMYFUNCTION("MEDIAN(IFERROR(FILTER('RR1 Player Stats'!AL$3:AL$50, ISNUMBER(SEARCH($A42,'RR1 Player Stats'!$A$3:$A$50))),0),IFERROR(FILTER('RR2 Player Stats'!AL$3:AL$50, ISNUMBER(SEARCH($A42,'RR2 Player Stats'!$A$3:$A$50))),0),IFERROR(FILTER('RR3 Player Stats'!AL$3:AL$"&amp;"50, ISNUMBER(SEARCH($A42,'RR3 Player Stats'!$A$3:$A$50))),0),IFERROR(FILTER('RR4 Player Stats'!AL$3:AL$50, ISNUMBER(SEARCH($A42,'RR4 Player Stats'!$A$3:$A$50))),0),IFERROR(FILTER('RR5 Player Stats'!AL$3:AL$50, ISNUMBER(SEARCH($A42,'RR5 Player Stats'!$A$3:"&amp;"$A$50))),0))"),12.0)</f>
        <v>12</v>
      </c>
      <c r="Z42" s="180">
        <f>IFERROR(__xludf.DUMMYFUNCTION("MEDIAN(IFERROR(FILTER('RR1 Player Stats'!AM$3:AM$50, ISNUMBER(SEARCH($A42,'RR1 Player Stats'!$A$3:$A$50))),0),IFERROR(FILTER('RR2 Player Stats'!AM$3:AM$50, ISNUMBER(SEARCH($A42,'RR2 Player Stats'!$A$3:$A$50))),0),IFERROR(FILTER('RR3 Player Stats'!AM$3:AM$"&amp;"50, ISNUMBER(SEARCH($A42,'RR3 Player Stats'!$A$3:$A$50))),0),IFERROR(FILTER('RR4 Player Stats'!AM$3:AM$50, ISNUMBER(SEARCH($A42,'RR4 Player Stats'!$A$3:$A$50))),0),IFERROR(FILTER('RR5 Player Stats'!AM$3:AM$50, ISNUMBER(SEARCH($A42,'RR5 Player Stats'!$A$3:"&amp;"$A$50))),0))"),0.15)</f>
        <v>0.15</v>
      </c>
    </row>
    <row r="43">
      <c r="A43" s="29" t="s">
        <v>68</v>
      </c>
      <c r="B43" s="48">
        <f>COUNTIF('RR1 Player Stats'!$A$3:$A$50,$A43)+COUNTIF('RR2 Player Stats'!$A$3:$A$50,$A43)+COUNTIF('RR3 Player Stats'!$A$3:$A$50,$A43)+COUNTIF('RR4 Player Stats'!$A$3:$A$50,$A43)+COUNTIF('RR5 Player Stats'!$A$3:$A$50,$A43)</f>
        <v>4</v>
      </c>
      <c r="C43" s="55">
        <f>IFERROR(__xludf.DUMMYFUNCTION("IFERROR(FILTER('RR1 Player Stats'!V$3:V$50, ISNUMBER(SEARCH($A43,'RR1 Player Stats'!$A$3:$A$50))),0)
+IFERROR(FILTER('RR2 Player Stats'!V$3:V$50, ISNUMBER(SEARCH($A43,'RR2 Player Stats'!$A$3:$A$50))),0)
+IFERROR(FILTER('RR3 Player Stats'!V$3:V$50, ISNUMBE"&amp;"R(SEARCH($A43,'RR3 Player Stats'!$A$3:$A$50))),0)
+IFERROR(FILTER('RR4 Player Stats'!V$3:V$50, ISNUMBER(SEARCH($A43,'RR4 Player Stats'!$A$3:$A$50))),0)
+IFERROR(FILTER('RR5 Player Stats'!V$3:V$50, ISNUMBER(SEARCH($A43,'RR5 Player Stats'!$A$3:$A$50))),0)"),9.0)</f>
        <v>9</v>
      </c>
      <c r="D43" s="57">
        <f>IFERROR(__xludf.DUMMYFUNCTION("IFERROR(FILTER('RR1 Player Stats'!W$3:W$50, ISNUMBER(SEARCH($A43,'RR1 Player Stats'!$A$3:$A$50))),0)
+IFERROR(FILTER('RR2 Player Stats'!W$3:W$50, ISNUMBER(SEARCH($A43,'RR2 Player Stats'!$A$3:$A$50))),0)
+IFERROR(FILTER('RR3 Player Stats'!W$3:W$50, ISNUMBE"&amp;"R(SEARCH($A43,'RR3 Player Stats'!$A$3:$A$50))),0)
+IFERROR(FILTER('RR4 Player Stats'!W$3:W$50, ISNUMBER(SEARCH($A43,'RR4 Player Stats'!$A$3:$A$50))),0)
+IFERROR(FILTER('RR5 Player Stats'!W$3:W$50, ISNUMBER(SEARCH($A43,'RR5 Player Stats'!$A$3:$A$50))),0)"),2.0)</f>
        <v>2</v>
      </c>
      <c r="E43" s="57">
        <f>IFERROR(__xludf.DUMMYFUNCTION("IFERROR(FILTER('RR1 Player Stats'!X$3:X$50, ISNUMBER(SEARCH($A43,'RR1 Player Stats'!$A$3:$A$50))),0)
+IFERROR(FILTER('RR2 Player Stats'!X$3:X$50, ISNUMBER(SEARCH($A43,'RR2 Player Stats'!$A$3:$A$50))),0)
+IFERROR(FILTER('RR3 Player Stats'!X$3:X$50, ISNUMBE"&amp;"R(SEARCH($A43,'RR3 Player Stats'!$A$3:$A$50))),0)
+IFERROR(FILTER('RR4 Player Stats'!X$3:X$50, ISNUMBER(SEARCH($A43,'RR4 Player Stats'!$A$3:$A$50))),0)
+IFERROR(FILTER('RR5 Player Stats'!X$3:X$50, ISNUMBER(SEARCH($A43,'RR5 Player Stats'!$A$3:$A$50))),0)"),15.0)</f>
        <v>15</v>
      </c>
      <c r="F43" s="57">
        <f>IFERROR(__xludf.DUMMYFUNCTION("IFERROR(FILTER('RR1 Player Stats'!Y$3:Y$50, ISNUMBER(SEARCH($A43,'RR1 Player Stats'!$A$3:$A$50))),0)
+IFERROR(FILTER('RR2 Player Stats'!Y$3:Y$50, ISNUMBER(SEARCH($A43,'RR2 Player Stats'!$A$3:$A$50))),0)
+IFERROR(FILTER('RR3 Player Stats'!Y$3:Y$50, ISNUMBE"&amp;"R(SEARCH($A43,'RR3 Player Stats'!$A$3:$A$50))),0)
+IFERROR(FILTER('RR4 Player Stats'!Y$3:Y$50, ISNUMBER(SEARCH($A43,'RR4 Player Stats'!$A$3:$A$50))),0)
+IFERROR(FILTER('RR5 Player Stats'!Y$3:Y$50, ISNUMBER(SEARCH($A43,'RR5 Player Stats'!$A$3:$A$50))),0)"),48.0)</f>
        <v>48</v>
      </c>
      <c r="G43" s="57">
        <f>IFERROR(__xludf.DUMMYFUNCTION("IFERROR(FILTER('RR1 Player Stats'!Z$3:Z$50, ISNUMBER(SEARCH($A43,'RR1 Player Stats'!$A$3:$A$50))),0)
+IFERROR(FILTER('RR2 Player Stats'!Z$3:Z$50, ISNUMBER(SEARCH($A43,'RR2 Player Stats'!$A$3:$A$50))),0)
+IFERROR(FILTER('RR3 Player Stats'!Z$3:Z$50, ISNUMBE"&amp;"R(SEARCH($A43,'RR3 Player Stats'!$A$3:$A$50))),0)
+IFERROR(FILTER('RR4 Player Stats'!Z$3:Z$50, ISNUMBER(SEARCH($A43,'RR4 Player Stats'!$A$3:$A$50))),0)
+IFERROR(FILTER('RR5 Player Stats'!Z$3:Z$50, ISNUMBER(SEARCH($A43,'RR5 Player Stats'!$A$3:$A$50))),0)"),-12.0)</f>
        <v>-12</v>
      </c>
      <c r="H43" s="180">
        <f>IFERROR(__xludf.DUMMYFUNCTION("(IFERROR(FILTER('RR1 Player Stats'!AA$3:AA$50, ISNUMBER(SEARCH($A43,'RR1 Player Stats'!$A$3:$A$50))),0)
+IFERROR(FILTER('RR2 Player Stats'!AA$3:AA$50, ISNUMBER(SEARCH($A43,'RR2 Player Stats'!$A$3:$A$50))),0)
+IFERROR(FILTER('RR3 Player Stats'!AA$3:AA$50, "&amp;"ISNUMBER(SEARCH($A43,'RR3 Player Stats'!$A$3:$A$50))),0)
+IFERROR(FILTER('RR4 Player Stats'!AA$3:AA$50, ISNUMBER(SEARCH($A43,'RR4 Player Stats'!$A$3:$A$50))),0)
+IFERROR(FILTER('RR5 Player Stats'!AA$3:AA$50, ISNUMBER(SEARCH($A43,'RR5 Player Stats'!$A$3:$A"&amp;"$50))),0))/5"),0.182)</f>
        <v>0.182</v>
      </c>
      <c r="I43" s="55">
        <f>IFERROR(__xludf.DUMMYFUNCTION("IFERROR(FILTER('RR1 Player Stats'!AB$3:AB$50, ISNUMBER(SEARCH($A43,'RR1 Player Stats'!$A$3:$A$50))),0)
+IFERROR(FILTER('RR2 Player Stats'!AB$3:AB$50, ISNUMBER(SEARCH($A43,'RR2 Player Stats'!$A$3:$A$50))),0)
+IFERROR(FILTER('RR3 Player Stats'!AB$3:AB$50, I"&amp;"SNUMBER(SEARCH($A43,'RR3 Player Stats'!$A$3:$A$50))),0)
+IFERROR(FILTER('RR4 Player Stats'!AB$3:AB$50, ISNUMBER(SEARCH($A43,'RR4 Player Stats'!$A$3:$A$50))),0)
+IFERROR(FILTER('RR5 Player Stats'!AB$3:AB$50, ISNUMBER(SEARCH($A43,'RR5 Player Stats'!$A$3:$A$"&amp;"50))),0)"),2.0)</f>
        <v>2</v>
      </c>
      <c r="J43" s="57">
        <f>IFERROR(__xludf.DUMMYFUNCTION("IFERROR(FILTER('RR1 Player Stats'!AC$3:AC$50, ISNUMBER(SEARCH($A43,'RR1 Player Stats'!$A$3:$A$50))),0)
+IFERROR(FILTER('RR2 Player Stats'!AC$3:AC$50, ISNUMBER(SEARCH($A43,'RR2 Player Stats'!$A$3:$A$50))),0)
+IFERROR(FILTER('RR3 Player Stats'!AC$3:AC$50, I"&amp;"SNUMBER(SEARCH($A43,'RR3 Player Stats'!$A$3:$A$50))),0)
+IFERROR(FILTER('RR4 Player Stats'!AC$3:AC$50, ISNUMBER(SEARCH($A43,'RR4 Player Stats'!$A$3:$A$50))),0)
+IFERROR(FILTER('RR5 Player Stats'!AC$3:AC$50, ISNUMBER(SEARCH($A43,'RR5 Player Stats'!$A$3:$A$"&amp;"50))),0)"),3.0)</f>
        <v>3</v>
      </c>
      <c r="K43" s="57">
        <f>IFERROR(__xludf.DUMMYFUNCTION("IFERROR(FILTER('RR1 Player Stats'!AD$3:AD$50, ISNUMBER(SEARCH($A43,'RR1 Player Stats'!$A$3:$A$50))),0)
+IFERROR(FILTER('RR2 Player Stats'!AD$3:AD$50, ISNUMBER(SEARCH($A43,'RR2 Player Stats'!$A$3:$A$50))),0)
+IFERROR(FILTER('RR3 Player Stats'!AD$3:AD$50, I"&amp;"SNUMBER(SEARCH($A43,'RR3 Player Stats'!$A$3:$A$50))),0)
+IFERROR(FILTER('RR4 Player Stats'!AD$3:AD$50, ISNUMBER(SEARCH($A43,'RR4 Player Stats'!$A$3:$A$50))),0)
+IFERROR(FILTER('RR5 Player Stats'!AD$3:AD$50, ISNUMBER(SEARCH($A43,'RR5 Player Stats'!$A$3:$A$"&amp;"50))),0)"),9.0)</f>
        <v>9</v>
      </c>
      <c r="L43" s="57">
        <f>IFERROR(__xludf.DUMMYFUNCTION("IFERROR(FILTER('RR1 Player Stats'!AE$3:AE$50, ISNUMBER(SEARCH($A43,'RR1 Player Stats'!$A$3:$A$50))),0)
+IFERROR(FILTER('RR2 Player Stats'!AE$3:AE$50, ISNUMBER(SEARCH($A43,'RR2 Player Stats'!$A$3:$A$50))),0)
+IFERROR(FILTER('RR3 Player Stats'!AE$3:AE$50, I"&amp;"SNUMBER(SEARCH($A43,'RR3 Player Stats'!$A$3:$A$50))),0)
+IFERROR(FILTER('RR4 Player Stats'!AE$3:AE$50, ISNUMBER(SEARCH($A43,'RR4 Player Stats'!$A$3:$A$50))),0)
+IFERROR(FILTER('RR5 Player Stats'!AE$3:AE$50, ISNUMBER(SEARCH($A43,'RR5 Player Stats'!$A$3:$A$"&amp;"50))),0)"),26.0)</f>
        <v>26</v>
      </c>
      <c r="M43" s="57">
        <f>IFERROR(__xludf.DUMMYFUNCTION("IFERROR(FILTER('RR1 Player Stats'!AF$3:AF$50, ISNUMBER(SEARCH($A43,'RR1 Player Stats'!$A$3:$A$50))),0)
+IFERROR(FILTER('RR2 Player Stats'!AF$3:AF$50, ISNUMBER(SEARCH($A43,'RR2 Player Stats'!$A$3:$A$50))),0)
+IFERROR(FILTER('RR3 Player Stats'!AF$3:AF$50, I"&amp;"SNUMBER(SEARCH($A43,'RR3 Player Stats'!$A$3:$A$50))),0)
+IFERROR(FILTER('RR4 Player Stats'!AF$3:AF$50, ISNUMBER(SEARCH($A43,'RR4 Player Stats'!$A$3:$A$50))),0)
+IFERROR(FILTER('RR5 Player Stats'!AF$3:AF$50, ISNUMBER(SEARCH($A43,'RR5 Player Stats'!$A$3:$A$"&amp;"50))),0)"),-10.0)</f>
        <v>-10</v>
      </c>
      <c r="N43" s="180">
        <f>IFERROR(__xludf.DUMMYFUNCTION("(IFERROR(FILTER('RR1 Player Stats'!AG$3:AG$50, ISNUMBER(SEARCH($A43,'RR1 Player Stats'!$A$3:$A$50))),0)
+IFERROR(FILTER('RR2 Player Stats'!AG$3:AG$50, ISNUMBER(SEARCH($A43,'RR2 Player Stats'!$A$3:$A$50))),0)
+IFERROR(FILTER('RR3 Player Stats'!AG$3:AG$50, "&amp;"ISNUMBER(SEARCH($A43,'RR3 Player Stats'!$A$3:$A$50))),0)
+IFERROR(FILTER('RR4 Player Stats'!AG$3:AG$50, ISNUMBER(SEARCH($A43,'RR4 Player Stats'!$A$3:$A$50))),0)
+IFERROR(FILTER('RR5 Player Stats'!AG$3:AG$50, ISNUMBER(SEARCH($A43,'RR5 Player Stats'!$A$3:$A"&amp;"$50))),0))/5"),0.128)</f>
        <v>0.128</v>
      </c>
      <c r="O43" s="55">
        <f>IFERROR(__xludf.DUMMYFUNCTION("IFERROR(FILTER('RR1 Player Stats'!AH$3:AH$50, ISNUMBER(SEARCH($A43,'RR1 Player Stats'!$A$3:$A$50))),0)
+IFERROR(FILTER('RR2 Player Stats'!AH$3:AH$50, ISNUMBER(SEARCH($A43,'RR2 Player Stats'!$A$3:$A$50))),0)
+IFERROR(FILTER('RR3 Player Stats'!AH$3:AH$50, I"&amp;"SNUMBER(SEARCH($A43,'RR3 Player Stats'!$A$3:$A$50))),0)
+IFERROR(FILTER('RR4 Player Stats'!AH$3:AH$50, ISNUMBER(SEARCH($A43,'RR4 Player Stats'!$A$3:$A$50))),0)
+IFERROR(FILTER('RR5 Player Stats'!AH$3:AH$50, ISNUMBER(SEARCH($A43,'RR5 Player Stats'!$A$3:$A$"&amp;"50))),0)"),11.0)</f>
        <v>11</v>
      </c>
      <c r="P43" s="57">
        <f>IFERROR(__xludf.DUMMYFUNCTION("IFERROR(FILTER('RR1 Player Stats'!AI$3:AI$50, ISNUMBER(SEARCH($A43,'RR1 Player Stats'!$A$3:$A$50))),0)
+IFERROR(FILTER('RR2 Player Stats'!AI$3:AI$50, ISNUMBER(SEARCH($A43,'RR2 Player Stats'!$A$3:$A$50))),0)
+IFERROR(FILTER('RR3 Player Stats'!AI$3:AI$50, I"&amp;"SNUMBER(SEARCH($A43,'RR3 Player Stats'!$A$3:$A$50))),0)
+IFERROR(FILTER('RR4 Player Stats'!AI$3:AI$50, ISNUMBER(SEARCH($A43,'RR4 Player Stats'!$A$3:$A$50))),0)
+IFERROR(FILTER('RR5 Player Stats'!AI$3:AI$50, ISNUMBER(SEARCH($A43,'RR5 Player Stats'!$A$3:$A$"&amp;"50))),0)"),5.0)</f>
        <v>5</v>
      </c>
      <c r="Q43" s="57">
        <f>IFERROR(__xludf.DUMMYFUNCTION("IFERROR(FILTER('RR1 Player Stats'!AJ$3:AJ$50, ISNUMBER(SEARCH($A43,'RR1 Player Stats'!$A$3:$A$50))),0)
+IFERROR(FILTER('RR2 Player Stats'!AJ$3:AJ$50, ISNUMBER(SEARCH($A43,'RR2 Player Stats'!$A$3:$A$50))),0)
+IFERROR(FILTER('RR3 Player Stats'!AJ$3:AJ$50, I"&amp;"SNUMBER(SEARCH($A43,'RR3 Player Stats'!$A$3:$A$50))),0)
+IFERROR(FILTER('RR4 Player Stats'!AJ$3:AJ$50, ISNUMBER(SEARCH($A43,'RR4 Player Stats'!$A$3:$A$50))),0)
+IFERROR(FILTER('RR5 Player Stats'!AJ$3:AJ$50, ISNUMBER(SEARCH($A43,'RR5 Player Stats'!$A$3:$A$"&amp;"50))),0)"),24.0)</f>
        <v>24</v>
      </c>
      <c r="R43" s="57">
        <f>IFERROR(__xludf.DUMMYFUNCTION("IFERROR(FILTER('RR1 Player Stats'!AK$3:AK$50, ISNUMBER(SEARCH($A43,'RR1 Player Stats'!$A$3:$A$50))),0)
+IFERROR(FILTER('RR2 Player Stats'!AK$3:AK$50, ISNUMBER(SEARCH($A43,'RR2 Player Stats'!$A$3:$A$50))),0)
+IFERROR(FILTER('RR3 Player Stats'!AK$3:AK$50, I"&amp;"SNUMBER(SEARCH($A43,'RR3 Player Stats'!$A$3:$A$50))),0)
+IFERROR(FILTER('RR4 Player Stats'!AK$3:AK$50, ISNUMBER(SEARCH($A43,'RR4 Player Stats'!$A$3:$A$50))),0)
+IFERROR(FILTER('RR5 Player Stats'!AK$3:AK$50, ISNUMBER(SEARCH($A43,'RR5 Player Stats'!$A$3:$A$"&amp;"50))),0)"),74.0)</f>
        <v>74</v>
      </c>
      <c r="S43" s="57">
        <f>IFERROR(__xludf.DUMMYFUNCTION("IFERROR(FILTER('RR1 Player Stats'!AL$3:AL$50, ISNUMBER(SEARCH($A43,'RR1 Player Stats'!$A$3:$A$50))),0)
+IFERROR(FILTER('RR2 Player Stats'!AL$3:AL$50, ISNUMBER(SEARCH($A43,'RR2 Player Stats'!$A$3:$A$50))),0)
+IFERROR(FILTER('RR3 Player Stats'!AL$3:AL$50, I"&amp;"SNUMBER(SEARCH($A43,'RR3 Player Stats'!$A$3:$A$50))),0)
+IFERROR(FILTER('RR4 Player Stats'!AL$3:AL$50, ISNUMBER(SEARCH($A43,'RR4 Player Stats'!$A$3:$A$50))),0)
+IFERROR(FILTER('RR5 Player Stats'!AL$3:AL$50, ISNUMBER(SEARCH($A43,'RR5 Player Stats'!$A$3:$A$"&amp;"50))),0)"),-22.0)</f>
        <v>-22</v>
      </c>
      <c r="T43" s="180">
        <f>IFERROR(__xludf.DUMMYFUNCTION("(IFERROR(FILTER('RR1 Player Stats'!AM$3:AM$50, ISNUMBER(SEARCH($A43,'RR1 Player Stats'!$A$3:$A$50))),0)
+IFERROR(FILTER('RR2 Player Stats'!AM$3:AM$50, ISNUMBER(SEARCH($A43,'RR2 Player Stats'!$A$3:$A$50))),0)
+IFERROR(FILTER('RR3 Player Stats'!AM$3:AM$50, "&amp;"ISNUMBER(SEARCH($A43,'RR3 Player Stats'!$A$3:$A$50))),0)
+IFERROR(FILTER('RR4 Player Stats'!AM$3:AM$50, ISNUMBER(SEARCH($A43,'RR4 Player Stats'!$A$3:$A$50))),0)
+IFERROR(FILTER('RR5 Player Stats'!AM$3:AM$50, ISNUMBER(SEARCH($A43,'RR5 Player Stats'!$A$3:$A"&amp;"$50))),0))/B43"),0.19999999999999998)</f>
        <v>0.2</v>
      </c>
      <c r="U43" s="55">
        <f>IFERROR(__xludf.DUMMYFUNCTION("MEDIAN(IFERROR(FILTER('RR1 Player Stats'!AH$3:AH$50, ISNUMBER(SEARCH($A43,'RR1 Player Stats'!$A$3:$A$50))),0),IFERROR(FILTER('RR2 Player Stats'!AH$3:AH$50, ISNUMBER(SEARCH($A43,'RR2 Player Stats'!$A$3:$A$50))),0),IFERROR(FILTER('RR3 Player Stats'!AH$3:AH$"&amp;"50, ISNUMBER(SEARCH($A43,'RR3 Player Stats'!$A$3:$A$50))),0),IFERROR(FILTER('RR4 Player Stats'!AH$3:AH$50, ISNUMBER(SEARCH($A43,'RR4 Player Stats'!$A$3:$A$50))),0),IFERROR(FILTER('RR5 Player Stats'!AH$3:AH$50, ISNUMBER(SEARCH($A43,'RR5 Player Stats'!$A$3:"&amp;"$A$50))),0))"),2.0)</f>
        <v>2</v>
      </c>
      <c r="V43" s="57">
        <f>IFERROR(__xludf.DUMMYFUNCTION("MEDIAN(IFERROR(FILTER('RR1 Player Stats'!AI$3:AI$50, ISNUMBER(SEARCH($A43,'RR1 Player Stats'!$A$3:$A$50))),0),IFERROR(FILTER('RR2 Player Stats'!AI$3:AI$50, ISNUMBER(SEARCH($A43,'RR2 Player Stats'!$A$3:$A$50))),0),IFERROR(FILTER('RR3 Player Stats'!AI$3:AI$"&amp;"50, ISNUMBER(SEARCH($A43,'RR3 Player Stats'!$A$3:$A$50))),0),IFERROR(FILTER('RR4 Player Stats'!AI$3:AI$50, ISNUMBER(SEARCH($A43,'RR4 Player Stats'!$A$3:$A$50))),0),IFERROR(FILTER('RR5 Player Stats'!AI$3:AI$50, ISNUMBER(SEARCH($A43,'RR5 Player Stats'!$A$3:"&amp;"$A$50))),0))"),1.0)</f>
        <v>1</v>
      </c>
      <c r="W43" s="57">
        <f>IFERROR(__xludf.DUMMYFUNCTION("MEDIAN(IFERROR(FILTER('RR1 Player Stats'!AJ$3:AJ$50, ISNUMBER(SEARCH($A43,'RR1 Player Stats'!$A$3:$A$50))),0),IFERROR(FILTER('RR2 Player Stats'!AJ$3:AJ$50, ISNUMBER(SEARCH($A43,'RR2 Player Stats'!$A$3:$A$50))),0),IFERROR(FILTER('RR3 Player Stats'!AJ$3:AJ$"&amp;"50, ISNUMBER(SEARCH($A43,'RR3 Player Stats'!$A$3:$A$50))),0),IFERROR(FILTER('RR4 Player Stats'!AJ$3:AJ$50, ISNUMBER(SEARCH($A43,'RR4 Player Stats'!$A$3:$A$50))),0),IFERROR(FILTER('RR5 Player Stats'!AJ$3:AJ$50, ISNUMBER(SEARCH($A43,'RR5 Player Stats'!$A$3:"&amp;"$A$50))),0))"),3.0)</f>
        <v>3</v>
      </c>
      <c r="X43" s="57">
        <f>IFERROR(__xludf.DUMMYFUNCTION("MEDIAN(IFERROR(FILTER('RR1 Player Stats'!AK$3:AK$50, ISNUMBER(SEARCH($A43,'RR1 Player Stats'!$A$3:$A$50))),0),IFERROR(FILTER('RR2 Player Stats'!AK$3:AK$50, ISNUMBER(SEARCH($A43,'RR2 Player Stats'!$A$3:$A$50))),0),IFERROR(FILTER('RR3 Player Stats'!AK$3:AK$"&amp;"50, ISNUMBER(SEARCH($A43,'RR3 Player Stats'!$A$3:$A$50))),0),IFERROR(FILTER('RR4 Player Stats'!AK$3:AK$50, ISNUMBER(SEARCH($A43,'RR4 Player Stats'!$A$3:$A$50))),0),IFERROR(FILTER('RR5 Player Stats'!AK$3:AK$50, ISNUMBER(SEARCH($A43,'RR5 Player Stats'!$A$3:"&amp;"$A$50))),0))"),14.0)</f>
        <v>14</v>
      </c>
      <c r="Y43" s="57">
        <f>IFERROR(__xludf.DUMMYFUNCTION("MEDIAN(IFERROR(FILTER('RR1 Player Stats'!AL$3:AL$50, ISNUMBER(SEARCH($A43,'RR1 Player Stats'!$A$3:$A$50))),0),IFERROR(FILTER('RR2 Player Stats'!AL$3:AL$50, ISNUMBER(SEARCH($A43,'RR2 Player Stats'!$A$3:$A$50))),0),IFERROR(FILTER('RR3 Player Stats'!AL$3:AL$"&amp;"50, ISNUMBER(SEARCH($A43,'RR3 Player Stats'!$A$3:$A$50))),0),IFERROR(FILTER('RR4 Player Stats'!AL$3:AL$50, ISNUMBER(SEARCH($A43,'RR4 Player Stats'!$A$3:$A$50))),0),IFERROR(FILTER('RR5 Player Stats'!AL$3:AL$50, ISNUMBER(SEARCH($A43,'RR5 Player Stats'!$A$3:"&amp;"$A$50))),0))"),0.0)</f>
        <v>0</v>
      </c>
      <c r="Z43" s="180">
        <f>IFERROR(__xludf.DUMMYFUNCTION("MEDIAN(IFERROR(FILTER('RR1 Player Stats'!AM$3:AM$50, ISNUMBER(SEARCH($A43,'RR1 Player Stats'!$A$3:$A$50))),0),IFERROR(FILTER('RR2 Player Stats'!AM$3:AM$50, ISNUMBER(SEARCH($A43,'RR2 Player Stats'!$A$3:$A$50))),0),IFERROR(FILTER('RR3 Player Stats'!AM$3:AM$"&amp;"50, ISNUMBER(SEARCH($A43,'RR3 Player Stats'!$A$3:$A$50))),0),IFERROR(FILTER('RR4 Player Stats'!AM$3:AM$50, ISNUMBER(SEARCH($A43,'RR4 Player Stats'!$A$3:$A$50))),0),IFERROR(FILTER('RR5 Player Stats'!AM$3:AM$50, ISNUMBER(SEARCH($A43,'RR5 Player Stats'!$A$3:"&amp;"$A$50))),0))"),0.15)</f>
        <v>0.15</v>
      </c>
    </row>
    <row r="44">
      <c r="A44" s="29" t="s">
        <v>44</v>
      </c>
      <c r="B44" s="48">
        <f>COUNTIF('RR1 Player Stats'!$A$3:$A$50,$A44)+COUNTIF('RR2 Player Stats'!$A$3:$A$50,$A44)+COUNTIF('RR3 Player Stats'!$A$3:$A$50,$A44)+COUNTIF('RR4 Player Stats'!$A$3:$A$50,$A44)+COUNTIF('RR5 Player Stats'!$A$3:$A$50,$A44)</f>
        <v>5</v>
      </c>
      <c r="C44" s="55">
        <f>IFERROR(__xludf.DUMMYFUNCTION("IFERROR(FILTER('RR1 Player Stats'!V$3:V$50, ISNUMBER(SEARCH($A44,'RR1 Player Stats'!$A$3:$A$50))),0)
+IFERROR(FILTER('RR2 Player Stats'!V$3:V$50, ISNUMBER(SEARCH($A44,'RR2 Player Stats'!$A$3:$A$50))),0)
+IFERROR(FILTER('RR3 Player Stats'!V$3:V$50, ISNUMBE"&amp;"R(SEARCH($A44,'RR3 Player Stats'!$A$3:$A$50))),0)
+IFERROR(FILTER('RR4 Player Stats'!V$3:V$50, ISNUMBER(SEARCH($A44,'RR4 Player Stats'!$A$3:$A$50))),0)
+IFERROR(FILTER('RR5 Player Stats'!V$3:V$50, ISNUMBER(SEARCH($A44,'RR5 Player Stats'!$A$3:$A$50))),0)"),10.0)</f>
        <v>10</v>
      </c>
      <c r="D44" s="57">
        <f>IFERROR(__xludf.DUMMYFUNCTION("IFERROR(FILTER('RR1 Player Stats'!W$3:W$50, ISNUMBER(SEARCH($A44,'RR1 Player Stats'!$A$3:$A$50))),0)
+IFERROR(FILTER('RR2 Player Stats'!W$3:W$50, ISNUMBER(SEARCH($A44,'RR2 Player Stats'!$A$3:$A$50))),0)
+IFERROR(FILTER('RR3 Player Stats'!W$3:W$50, ISNUMBE"&amp;"R(SEARCH($A44,'RR3 Player Stats'!$A$3:$A$50))),0)
+IFERROR(FILTER('RR4 Player Stats'!W$3:W$50, ISNUMBER(SEARCH($A44,'RR4 Player Stats'!$A$3:$A$50))),0)
+IFERROR(FILTER('RR5 Player Stats'!W$3:W$50, ISNUMBER(SEARCH($A44,'RR5 Player Stats'!$A$3:$A$50))),0)"),0.0)</f>
        <v>0</v>
      </c>
      <c r="E44" s="57">
        <f>IFERROR(__xludf.DUMMYFUNCTION("IFERROR(FILTER('RR1 Player Stats'!X$3:X$50, ISNUMBER(SEARCH($A44,'RR1 Player Stats'!$A$3:$A$50))),0)
+IFERROR(FILTER('RR2 Player Stats'!X$3:X$50, ISNUMBER(SEARCH($A44,'RR2 Player Stats'!$A$3:$A$50))),0)
+IFERROR(FILTER('RR3 Player Stats'!X$3:X$50, ISNUMBE"&amp;"R(SEARCH($A44,'RR3 Player Stats'!$A$3:$A$50))),0)
+IFERROR(FILTER('RR4 Player Stats'!X$3:X$50, ISNUMBER(SEARCH($A44,'RR4 Player Stats'!$A$3:$A$50))),0)
+IFERROR(FILTER('RR5 Player Stats'!X$3:X$50, ISNUMBER(SEARCH($A44,'RR5 Player Stats'!$A$3:$A$50))),0)"),1.0)</f>
        <v>1</v>
      </c>
      <c r="F44" s="57">
        <f>IFERROR(__xludf.DUMMYFUNCTION("IFERROR(FILTER('RR1 Player Stats'!Y$3:Y$50, ISNUMBER(SEARCH($A44,'RR1 Player Stats'!$A$3:$A$50))),0)
+IFERROR(FILTER('RR2 Player Stats'!Y$3:Y$50, ISNUMBER(SEARCH($A44,'RR2 Player Stats'!$A$3:$A$50))),0)
+IFERROR(FILTER('RR3 Player Stats'!Y$3:Y$50, ISNUMBE"&amp;"R(SEARCH($A44,'RR3 Player Stats'!$A$3:$A$50))),0)
+IFERROR(FILTER('RR4 Player Stats'!Y$3:Y$50, ISNUMBER(SEARCH($A44,'RR4 Player Stats'!$A$3:$A$50))),0)
+IFERROR(FILTER('RR5 Player Stats'!Y$3:Y$50, ISNUMBER(SEARCH($A44,'RR5 Player Stats'!$A$3:$A$50))),0)"),40.0)</f>
        <v>40</v>
      </c>
      <c r="G44" s="57">
        <f>IFERROR(__xludf.DUMMYFUNCTION("IFERROR(FILTER('RR1 Player Stats'!Z$3:Z$50, ISNUMBER(SEARCH($A44,'RR1 Player Stats'!$A$3:$A$50))),0)
+IFERROR(FILTER('RR2 Player Stats'!Z$3:Z$50, ISNUMBER(SEARCH($A44,'RR2 Player Stats'!$A$3:$A$50))),0)
+IFERROR(FILTER('RR3 Player Stats'!Z$3:Z$50, ISNUMBE"&amp;"R(SEARCH($A44,'RR3 Player Stats'!$A$3:$A$50))),0)
+IFERROR(FILTER('RR4 Player Stats'!Z$3:Z$50, ISNUMBER(SEARCH($A44,'RR4 Player Stats'!$A$3:$A$50))),0)
+IFERROR(FILTER('RR5 Player Stats'!Z$3:Z$50, ISNUMBER(SEARCH($A44,'RR5 Player Stats'!$A$3:$A$50))),0)"),36.0)</f>
        <v>36</v>
      </c>
      <c r="H44" s="180">
        <f>IFERROR(__xludf.DUMMYFUNCTION("(IFERROR(FILTER('RR1 Player Stats'!AA$3:AA$50, ISNUMBER(SEARCH($A44,'RR1 Player Stats'!$A$3:$A$50))),0)
+IFERROR(FILTER('RR2 Player Stats'!AA$3:AA$50, ISNUMBER(SEARCH($A44,'RR2 Player Stats'!$A$3:$A$50))),0)
+IFERROR(FILTER('RR3 Player Stats'!AA$3:AA$50, "&amp;"ISNUMBER(SEARCH($A44,'RR3 Player Stats'!$A$3:$A$50))),0)
+IFERROR(FILTER('RR4 Player Stats'!AA$3:AA$50, ISNUMBER(SEARCH($A44,'RR4 Player Stats'!$A$3:$A$50))),0)
+IFERROR(FILTER('RR5 Player Stats'!AA$3:AA$50, ISNUMBER(SEARCH($A44,'RR5 Player Stats'!$A$3:$A"&amp;"$50))),0))/5"),0.16599999999999998)</f>
        <v>0.166</v>
      </c>
      <c r="I44" s="55">
        <f>IFERROR(__xludf.DUMMYFUNCTION("IFERROR(FILTER('RR1 Player Stats'!AB$3:AB$50, ISNUMBER(SEARCH($A44,'RR1 Player Stats'!$A$3:$A$50))),0)
+IFERROR(FILTER('RR2 Player Stats'!AB$3:AB$50, ISNUMBER(SEARCH($A44,'RR2 Player Stats'!$A$3:$A$50))),0)
+IFERROR(FILTER('RR3 Player Stats'!AB$3:AB$50, I"&amp;"SNUMBER(SEARCH($A44,'RR3 Player Stats'!$A$3:$A$50))),0)
+IFERROR(FILTER('RR4 Player Stats'!AB$3:AB$50, ISNUMBER(SEARCH($A44,'RR4 Player Stats'!$A$3:$A$50))),0)
+IFERROR(FILTER('RR5 Player Stats'!AB$3:AB$50, ISNUMBER(SEARCH($A44,'RR5 Player Stats'!$A$3:$A$"&amp;"50))),0)"),8.0)</f>
        <v>8</v>
      </c>
      <c r="J44" s="57">
        <f>IFERROR(__xludf.DUMMYFUNCTION("IFERROR(FILTER('RR1 Player Stats'!AC$3:AC$50, ISNUMBER(SEARCH($A44,'RR1 Player Stats'!$A$3:$A$50))),0)
+IFERROR(FILTER('RR2 Player Stats'!AC$3:AC$50, ISNUMBER(SEARCH($A44,'RR2 Player Stats'!$A$3:$A$50))),0)
+IFERROR(FILTER('RR3 Player Stats'!AC$3:AC$50, I"&amp;"SNUMBER(SEARCH($A44,'RR3 Player Stats'!$A$3:$A$50))),0)
+IFERROR(FILTER('RR4 Player Stats'!AC$3:AC$50, ISNUMBER(SEARCH($A44,'RR4 Player Stats'!$A$3:$A$50))),0)
+IFERROR(FILTER('RR5 Player Stats'!AC$3:AC$50, ISNUMBER(SEARCH($A44,'RR5 Player Stats'!$A$3:$A$"&amp;"50))),0)"),0.0)</f>
        <v>0</v>
      </c>
      <c r="K44" s="57">
        <f>IFERROR(__xludf.DUMMYFUNCTION("IFERROR(FILTER('RR1 Player Stats'!AD$3:AD$50, ISNUMBER(SEARCH($A44,'RR1 Player Stats'!$A$3:$A$50))),0)
+IFERROR(FILTER('RR2 Player Stats'!AD$3:AD$50, ISNUMBER(SEARCH($A44,'RR2 Player Stats'!$A$3:$A$50))),0)
+IFERROR(FILTER('RR3 Player Stats'!AD$3:AD$50, I"&amp;"SNUMBER(SEARCH($A44,'RR3 Player Stats'!$A$3:$A$50))),0)
+IFERROR(FILTER('RR4 Player Stats'!AD$3:AD$50, ISNUMBER(SEARCH($A44,'RR4 Player Stats'!$A$3:$A$50))),0)
+IFERROR(FILTER('RR5 Player Stats'!AD$3:AD$50, ISNUMBER(SEARCH($A44,'RR5 Player Stats'!$A$3:$A$"&amp;"50))),0)"),2.0)</f>
        <v>2</v>
      </c>
      <c r="L44" s="57">
        <f>IFERROR(__xludf.DUMMYFUNCTION("IFERROR(FILTER('RR1 Player Stats'!AE$3:AE$50, ISNUMBER(SEARCH($A44,'RR1 Player Stats'!$A$3:$A$50))),0)
+IFERROR(FILTER('RR2 Player Stats'!AE$3:AE$50, ISNUMBER(SEARCH($A44,'RR2 Player Stats'!$A$3:$A$50))),0)
+IFERROR(FILTER('RR3 Player Stats'!AE$3:AE$50, I"&amp;"SNUMBER(SEARCH($A44,'RR3 Player Stats'!$A$3:$A$50))),0)
+IFERROR(FILTER('RR4 Player Stats'!AE$3:AE$50, ISNUMBER(SEARCH($A44,'RR4 Player Stats'!$A$3:$A$50))),0)
+IFERROR(FILTER('RR5 Player Stats'!AE$3:AE$50, ISNUMBER(SEARCH($A44,'RR5 Player Stats'!$A$3:$A$"&amp;"50))),0)"),32.0)</f>
        <v>32</v>
      </c>
      <c r="M44" s="57">
        <f>IFERROR(__xludf.DUMMYFUNCTION("IFERROR(FILTER('RR1 Player Stats'!AF$3:AF$50, ISNUMBER(SEARCH($A44,'RR1 Player Stats'!$A$3:$A$50))),0)
+IFERROR(FILTER('RR2 Player Stats'!AF$3:AF$50, ISNUMBER(SEARCH($A44,'RR2 Player Stats'!$A$3:$A$50))),0)
+IFERROR(FILTER('RR3 Player Stats'!AF$3:AF$50, I"&amp;"SNUMBER(SEARCH($A44,'RR3 Player Stats'!$A$3:$A$50))),0)
+IFERROR(FILTER('RR4 Player Stats'!AF$3:AF$50, ISNUMBER(SEARCH($A44,'RR4 Player Stats'!$A$3:$A$50))),0)
+IFERROR(FILTER('RR5 Player Stats'!AF$3:AF$50, ISNUMBER(SEARCH($A44,'RR5 Player Stats'!$A$3:$A$"&amp;"50))),0)"),24.0)</f>
        <v>24</v>
      </c>
      <c r="N44" s="180">
        <f>IFERROR(__xludf.DUMMYFUNCTION("(IFERROR(FILTER('RR1 Player Stats'!AG$3:AG$50, ISNUMBER(SEARCH($A44,'RR1 Player Stats'!$A$3:$A$50))),0)
+IFERROR(FILTER('RR2 Player Stats'!AG$3:AG$50, ISNUMBER(SEARCH($A44,'RR2 Player Stats'!$A$3:$A$50))),0)
+IFERROR(FILTER('RR3 Player Stats'!AG$3:AG$50, "&amp;"ISNUMBER(SEARCH($A44,'RR3 Player Stats'!$A$3:$A$50))),0)
+IFERROR(FILTER('RR4 Player Stats'!AG$3:AG$50, ISNUMBER(SEARCH($A44,'RR4 Player Stats'!$A$3:$A$50))),0)
+IFERROR(FILTER('RR5 Player Stats'!AG$3:AG$50, ISNUMBER(SEARCH($A44,'RR5 Player Stats'!$A$3:$A"&amp;"$50))),0))/5"),0.202)</f>
        <v>0.202</v>
      </c>
      <c r="O44" s="55">
        <f>IFERROR(__xludf.DUMMYFUNCTION("IFERROR(FILTER('RR1 Player Stats'!AH$3:AH$50, ISNUMBER(SEARCH($A44,'RR1 Player Stats'!$A$3:$A$50))),0)
+IFERROR(FILTER('RR2 Player Stats'!AH$3:AH$50, ISNUMBER(SEARCH($A44,'RR2 Player Stats'!$A$3:$A$50))),0)
+IFERROR(FILTER('RR3 Player Stats'!AH$3:AH$50, I"&amp;"SNUMBER(SEARCH($A44,'RR3 Player Stats'!$A$3:$A$50))),0)
+IFERROR(FILTER('RR4 Player Stats'!AH$3:AH$50, ISNUMBER(SEARCH($A44,'RR4 Player Stats'!$A$3:$A$50))),0)
+IFERROR(FILTER('RR5 Player Stats'!AH$3:AH$50, ISNUMBER(SEARCH($A44,'RR5 Player Stats'!$A$3:$A$"&amp;"50))),0)"),18.0)</f>
        <v>18</v>
      </c>
      <c r="P44" s="57">
        <f>IFERROR(__xludf.DUMMYFUNCTION("IFERROR(FILTER('RR1 Player Stats'!AI$3:AI$50, ISNUMBER(SEARCH($A44,'RR1 Player Stats'!$A$3:$A$50))),0)
+IFERROR(FILTER('RR2 Player Stats'!AI$3:AI$50, ISNUMBER(SEARCH($A44,'RR2 Player Stats'!$A$3:$A$50))),0)
+IFERROR(FILTER('RR3 Player Stats'!AI$3:AI$50, I"&amp;"SNUMBER(SEARCH($A44,'RR3 Player Stats'!$A$3:$A$50))),0)
+IFERROR(FILTER('RR4 Player Stats'!AI$3:AI$50, ISNUMBER(SEARCH($A44,'RR4 Player Stats'!$A$3:$A$50))),0)
+IFERROR(FILTER('RR5 Player Stats'!AI$3:AI$50, ISNUMBER(SEARCH($A44,'RR5 Player Stats'!$A$3:$A$"&amp;"50))),0)"),0.0)</f>
        <v>0</v>
      </c>
      <c r="Q44" s="57">
        <f>IFERROR(__xludf.DUMMYFUNCTION("IFERROR(FILTER('RR1 Player Stats'!AJ$3:AJ$50, ISNUMBER(SEARCH($A44,'RR1 Player Stats'!$A$3:$A$50))),0)
+IFERROR(FILTER('RR2 Player Stats'!AJ$3:AJ$50, ISNUMBER(SEARCH($A44,'RR2 Player Stats'!$A$3:$A$50))),0)
+IFERROR(FILTER('RR3 Player Stats'!AJ$3:AJ$50, I"&amp;"SNUMBER(SEARCH($A44,'RR3 Player Stats'!$A$3:$A$50))),0)
+IFERROR(FILTER('RR4 Player Stats'!AJ$3:AJ$50, ISNUMBER(SEARCH($A44,'RR4 Player Stats'!$A$3:$A$50))),0)
+IFERROR(FILTER('RR5 Player Stats'!AJ$3:AJ$50, ISNUMBER(SEARCH($A44,'RR5 Player Stats'!$A$3:$A$"&amp;"50))),0)"),3.0)</f>
        <v>3</v>
      </c>
      <c r="R44" s="57">
        <f>IFERROR(__xludf.DUMMYFUNCTION("IFERROR(FILTER('RR1 Player Stats'!AK$3:AK$50, ISNUMBER(SEARCH($A44,'RR1 Player Stats'!$A$3:$A$50))),0)
+IFERROR(FILTER('RR2 Player Stats'!AK$3:AK$50, ISNUMBER(SEARCH($A44,'RR2 Player Stats'!$A$3:$A$50))),0)
+IFERROR(FILTER('RR3 Player Stats'!AK$3:AK$50, I"&amp;"SNUMBER(SEARCH($A44,'RR3 Player Stats'!$A$3:$A$50))),0)
+IFERROR(FILTER('RR4 Player Stats'!AK$3:AK$50, ISNUMBER(SEARCH($A44,'RR4 Player Stats'!$A$3:$A$50))),0)
+IFERROR(FILTER('RR5 Player Stats'!AK$3:AK$50, ISNUMBER(SEARCH($A44,'RR5 Player Stats'!$A$3:$A$"&amp;"50))),0)"),72.0)</f>
        <v>72</v>
      </c>
      <c r="S44" s="57">
        <f>IFERROR(__xludf.DUMMYFUNCTION("IFERROR(FILTER('RR1 Player Stats'!AL$3:AL$50, ISNUMBER(SEARCH($A44,'RR1 Player Stats'!$A$3:$A$50))),0)
+IFERROR(FILTER('RR2 Player Stats'!AL$3:AL$50, ISNUMBER(SEARCH($A44,'RR2 Player Stats'!$A$3:$A$50))),0)
+IFERROR(FILTER('RR3 Player Stats'!AL$3:AL$50, I"&amp;"SNUMBER(SEARCH($A44,'RR3 Player Stats'!$A$3:$A$50))),0)
+IFERROR(FILTER('RR4 Player Stats'!AL$3:AL$50, ISNUMBER(SEARCH($A44,'RR4 Player Stats'!$A$3:$A$50))),0)
+IFERROR(FILTER('RR5 Player Stats'!AL$3:AL$50, ISNUMBER(SEARCH($A44,'RR5 Player Stats'!$A$3:$A$"&amp;"50))),0)"),60.0)</f>
        <v>60</v>
      </c>
      <c r="T44" s="180">
        <f>IFERROR(__xludf.DUMMYFUNCTION("(IFERROR(FILTER('RR1 Player Stats'!AM$3:AM$50, ISNUMBER(SEARCH($A44,'RR1 Player Stats'!$A$3:$A$50))),0)
+IFERROR(FILTER('RR2 Player Stats'!AM$3:AM$50, ISNUMBER(SEARCH($A44,'RR2 Player Stats'!$A$3:$A$50))),0)
+IFERROR(FILTER('RR3 Player Stats'!AM$3:AM$50, "&amp;"ISNUMBER(SEARCH($A44,'RR3 Player Stats'!$A$3:$A$50))),0)
+IFERROR(FILTER('RR4 Player Stats'!AM$3:AM$50, ISNUMBER(SEARCH($A44,'RR4 Player Stats'!$A$3:$A$50))),0)
+IFERROR(FILTER('RR5 Player Stats'!AM$3:AM$50, ISNUMBER(SEARCH($A44,'RR5 Player Stats'!$A$3:$A"&amp;"$50))),0))/B44"),0.18)</f>
        <v>0.18</v>
      </c>
      <c r="U44" s="55">
        <f>IFERROR(__xludf.DUMMYFUNCTION("MEDIAN(IFERROR(FILTER('RR1 Player Stats'!AH$3:AH$50, ISNUMBER(SEARCH($A44,'RR1 Player Stats'!$A$3:$A$50))),0),IFERROR(FILTER('RR2 Player Stats'!AH$3:AH$50, ISNUMBER(SEARCH($A44,'RR2 Player Stats'!$A$3:$A$50))),0),IFERROR(FILTER('RR3 Player Stats'!AH$3:AH$"&amp;"50, ISNUMBER(SEARCH($A44,'RR3 Player Stats'!$A$3:$A$50))),0),IFERROR(FILTER('RR4 Player Stats'!AH$3:AH$50, ISNUMBER(SEARCH($A44,'RR4 Player Stats'!$A$3:$A$50))),0),IFERROR(FILTER('RR5 Player Stats'!AH$3:AH$50, ISNUMBER(SEARCH($A44,'RR5 Player Stats'!$A$3:"&amp;"$A$50))),0))"),4.0)</f>
        <v>4</v>
      </c>
      <c r="V44" s="57">
        <f>IFERROR(__xludf.DUMMYFUNCTION("MEDIAN(IFERROR(FILTER('RR1 Player Stats'!AI$3:AI$50, ISNUMBER(SEARCH($A44,'RR1 Player Stats'!$A$3:$A$50))),0),IFERROR(FILTER('RR2 Player Stats'!AI$3:AI$50, ISNUMBER(SEARCH($A44,'RR2 Player Stats'!$A$3:$A$50))),0),IFERROR(FILTER('RR3 Player Stats'!AI$3:AI$"&amp;"50, ISNUMBER(SEARCH($A44,'RR3 Player Stats'!$A$3:$A$50))),0),IFERROR(FILTER('RR4 Player Stats'!AI$3:AI$50, ISNUMBER(SEARCH($A44,'RR4 Player Stats'!$A$3:$A$50))),0),IFERROR(FILTER('RR5 Player Stats'!AI$3:AI$50, ISNUMBER(SEARCH($A44,'RR5 Player Stats'!$A$3:"&amp;"$A$50))),0))"),0.0)</f>
        <v>0</v>
      </c>
      <c r="W44" s="57">
        <f>IFERROR(__xludf.DUMMYFUNCTION("MEDIAN(IFERROR(FILTER('RR1 Player Stats'!AJ$3:AJ$50, ISNUMBER(SEARCH($A44,'RR1 Player Stats'!$A$3:$A$50))),0),IFERROR(FILTER('RR2 Player Stats'!AJ$3:AJ$50, ISNUMBER(SEARCH($A44,'RR2 Player Stats'!$A$3:$A$50))),0),IFERROR(FILTER('RR3 Player Stats'!AJ$3:AJ$"&amp;"50, ISNUMBER(SEARCH($A44,'RR3 Player Stats'!$A$3:$A$50))),0),IFERROR(FILTER('RR4 Player Stats'!AJ$3:AJ$50, ISNUMBER(SEARCH($A44,'RR4 Player Stats'!$A$3:$A$50))),0),IFERROR(FILTER('RR5 Player Stats'!AJ$3:AJ$50, ISNUMBER(SEARCH($A44,'RR5 Player Stats'!$A$3:"&amp;"$A$50))),0))"),0.0)</f>
        <v>0</v>
      </c>
      <c r="X44" s="57">
        <f>IFERROR(__xludf.DUMMYFUNCTION("MEDIAN(IFERROR(FILTER('RR1 Player Stats'!AK$3:AK$50, ISNUMBER(SEARCH($A44,'RR1 Player Stats'!$A$3:$A$50))),0),IFERROR(FILTER('RR2 Player Stats'!AK$3:AK$50, ISNUMBER(SEARCH($A44,'RR2 Player Stats'!$A$3:$A$50))),0),IFERROR(FILTER('RR3 Player Stats'!AK$3:AK$"&amp;"50, ISNUMBER(SEARCH($A44,'RR3 Player Stats'!$A$3:$A$50))),0),IFERROR(FILTER('RR4 Player Stats'!AK$3:AK$50, ISNUMBER(SEARCH($A44,'RR4 Player Stats'!$A$3:$A$50))),0),IFERROR(FILTER('RR5 Player Stats'!AK$3:AK$50, ISNUMBER(SEARCH($A44,'RR5 Player Stats'!$A$3:"&amp;"$A$50))),0))"),16.0)</f>
        <v>16</v>
      </c>
      <c r="Y44" s="57">
        <f>IFERROR(__xludf.DUMMYFUNCTION("MEDIAN(IFERROR(FILTER('RR1 Player Stats'!AL$3:AL$50, ISNUMBER(SEARCH($A44,'RR1 Player Stats'!$A$3:$A$50))),0),IFERROR(FILTER('RR2 Player Stats'!AL$3:AL$50, ISNUMBER(SEARCH($A44,'RR2 Player Stats'!$A$3:$A$50))),0),IFERROR(FILTER('RR3 Player Stats'!AL$3:AL$"&amp;"50, ISNUMBER(SEARCH($A44,'RR3 Player Stats'!$A$3:$A$50))),0),IFERROR(FILTER('RR4 Player Stats'!AL$3:AL$50, ISNUMBER(SEARCH($A44,'RR4 Player Stats'!$A$3:$A$50))),0),IFERROR(FILTER('RR5 Player Stats'!AL$3:AL$50, ISNUMBER(SEARCH($A44,'RR5 Player Stats'!$A$3:"&amp;"$A$50))),0))"),12.0)</f>
        <v>12</v>
      </c>
      <c r="Z44" s="180">
        <f>IFERROR(__xludf.DUMMYFUNCTION("MEDIAN(IFERROR(FILTER('RR1 Player Stats'!AM$3:AM$50, ISNUMBER(SEARCH($A44,'RR1 Player Stats'!$A$3:$A$50))),0),IFERROR(FILTER('RR2 Player Stats'!AM$3:AM$50, ISNUMBER(SEARCH($A44,'RR2 Player Stats'!$A$3:$A$50))),0),IFERROR(FILTER('RR3 Player Stats'!AM$3:AM$"&amp;"50, ISNUMBER(SEARCH($A44,'RR3 Player Stats'!$A$3:$A$50))),0),IFERROR(FILTER('RR4 Player Stats'!AM$3:AM$50, ISNUMBER(SEARCH($A44,'RR4 Player Stats'!$A$3:$A$50))),0),IFERROR(FILTER('RR5 Player Stats'!AM$3:AM$50, ISNUMBER(SEARCH($A44,'RR5 Player Stats'!$A$3:"&amp;"$A$50))),0))"),0.2)</f>
        <v>0.2</v>
      </c>
    </row>
    <row r="45">
      <c r="A45" s="29" t="s">
        <v>64</v>
      </c>
      <c r="B45" s="48">
        <f>COUNTIF('RR1 Player Stats'!$A$3:$A$50,$A45)+COUNTIF('RR2 Player Stats'!$A$3:$A$50,$A45)+COUNTIF('RR3 Player Stats'!$A$3:$A$50,$A45)+COUNTIF('RR4 Player Stats'!$A$3:$A$50,$A45)+COUNTIF('RR5 Player Stats'!$A$3:$A$50,$A45)</f>
        <v>5</v>
      </c>
      <c r="C45" s="55">
        <f>IFERROR(__xludf.DUMMYFUNCTION("IFERROR(FILTER('RR1 Player Stats'!V$3:V$50, ISNUMBER(SEARCH($A45,'RR1 Player Stats'!$A$3:$A$50))),0)
+IFERROR(FILTER('RR2 Player Stats'!V$3:V$50, ISNUMBER(SEARCH($A45,'RR2 Player Stats'!$A$3:$A$50))),0)
+IFERROR(FILTER('RR3 Player Stats'!V$3:V$50, ISNUMBE"&amp;"R(SEARCH($A45,'RR3 Player Stats'!$A$3:$A$50))),0)
+IFERROR(FILTER('RR4 Player Stats'!V$3:V$50, ISNUMBER(SEARCH($A45,'RR4 Player Stats'!$A$3:$A$50))),0)
+IFERROR(FILTER('RR5 Player Stats'!V$3:V$50, ISNUMBER(SEARCH($A45,'RR5 Player Stats'!$A$3:$A$50))),0)"),3.0)</f>
        <v>3</v>
      </c>
      <c r="D45" s="57">
        <f>IFERROR(__xludf.DUMMYFUNCTION("IFERROR(FILTER('RR1 Player Stats'!W$3:W$50, ISNUMBER(SEARCH($A45,'RR1 Player Stats'!$A$3:$A$50))),0)
+IFERROR(FILTER('RR2 Player Stats'!W$3:W$50, ISNUMBER(SEARCH($A45,'RR2 Player Stats'!$A$3:$A$50))),0)
+IFERROR(FILTER('RR3 Player Stats'!W$3:W$50, ISNUMBE"&amp;"R(SEARCH($A45,'RR3 Player Stats'!$A$3:$A$50))),0)
+IFERROR(FILTER('RR4 Player Stats'!W$3:W$50, ISNUMBER(SEARCH($A45,'RR4 Player Stats'!$A$3:$A$50))),0)
+IFERROR(FILTER('RR5 Player Stats'!W$3:W$50, ISNUMBER(SEARCH($A45,'RR5 Player Stats'!$A$3:$A$50))),0)"),3.0)</f>
        <v>3</v>
      </c>
      <c r="E45" s="57">
        <f>IFERROR(__xludf.DUMMYFUNCTION("IFERROR(FILTER('RR1 Player Stats'!X$3:X$50, ISNUMBER(SEARCH($A45,'RR1 Player Stats'!$A$3:$A$50))),0)
+IFERROR(FILTER('RR2 Player Stats'!X$3:X$50, ISNUMBER(SEARCH($A45,'RR2 Player Stats'!$A$3:$A$50))),0)
+IFERROR(FILTER('RR3 Player Stats'!X$3:X$50, ISNUMBE"&amp;"R(SEARCH($A45,'RR3 Player Stats'!$A$3:$A$50))),0)
+IFERROR(FILTER('RR4 Player Stats'!X$3:X$50, ISNUMBER(SEARCH($A45,'RR4 Player Stats'!$A$3:$A$50))),0)
+IFERROR(FILTER('RR5 Player Stats'!X$3:X$50, ISNUMBER(SEARCH($A45,'RR5 Player Stats'!$A$3:$A$50))),0)"),1.0)</f>
        <v>1</v>
      </c>
      <c r="F45" s="57">
        <f>IFERROR(__xludf.DUMMYFUNCTION("IFERROR(FILTER('RR1 Player Stats'!Y$3:Y$50, ISNUMBER(SEARCH($A45,'RR1 Player Stats'!$A$3:$A$50))),0)
+IFERROR(FILTER('RR2 Player Stats'!Y$3:Y$50, ISNUMBER(SEARCH($A45,'RR2 Player Stats'!$A$3:$A$50))),0)
+IFERROR(FILTER('RR3 Player Stats'!Y$3:Y$50, ISNUMBE"&amp;"R(SEARCH($A45,'RR3 Player Stats'!$A$3:$A$50))),0)
+IFERROR(FILTER('RR4 Player Stats'!Y$3:Y$50, ISNUMBER(SEARCH($A45,'RR4 Player Stats'!$A$3:$A$50))),0)
+IFERROR(FILTER('RR5 Player Stats'!Y$3:Y$50, ISNUMBER(SEARCH($A45,'RR5 Player Stats'!$A$3:$A$50))),0)"),30.0)</f>
        <v>30</v>
      </c>
      <c r="G45" s="57">
        <f>IFERROR(__xludf.DUMMYFUNCTION("IFERROR(FILTER('RR1 Player Stats'!Z$3:Z$50, ISNUMBER(SEARCH($A45,'RR1 Player Stats'!$A$3:$A$50))),0)
+IFERROR(FILTER('RR2 Player Stats'!Z$3:Z$50, ISNUMBER(SEARCH($A45,'RR2 Player Stats'!$A$3:$A$50))),0)
+IFERROR(FILTER('RR3 Player Stats'!Z$3:Z$50, ISNUMBE"&amp;"R(SEARCH($A45,'RR3 Player Stats'!$A$3:$A$50))),0)
+IFERROR(FILTER('RR4 Player Stats'!Z$3:Z$50, ISNUMBER(SEARCH($A45,'RR4 Player Stats'!$A$3:$A$50))),0)
+IFERROR(FILTER('RR5 Player Stats'!Z$3:Z$50, ISNUMBER(SEARCH($A45,'RR5 Player Stats'!$A$3:$A$50))),0)"),26.0)</f>
        <v>26</v>
      </c>
      <c r="H45" s="180">
        <f>IFERROR(__xludf.DUMMYFUNCTION("(IFERROR(FILTER('RR1 Player Stats'!AA$3:AA$50, ISNUMBER(SEARCH($A45,'RR1 Player Stats'!$A$3:$A$50))),0)
+IFERROR(FILTER('RR2 Player Stats'!AA$3:AA$50, ISNUMBER(SEARCH($A45,'RR2 Player Stats'!$A$3:$A$50))),0)
+IFERROR(FILTER('RR3 Player Stats'!AA$3:AA$50, "&amp;"ISNUMBER(SEARCH($A45,'RR3 Player Stats'!$A$3:$A$50))),0)
+IFERROR(FILTER('RR4 Player Stats'!AA$3:AA$50, ISNUMBER(SEARCH($A45,'RR4 Player Stats'!$A$3:$A$50))),0)
+IFERROR(FILTER('RR5 Player Stats'!AA$3:AA$50, ISNUMBER(SEARCH($A45,'RR5 Player Stats'!$A$3:$A"&amp;"$50))),0))/5"),0.098)</f>
        <v>0.098</v>
      </c>
      <c r="I45" s="55">
        <f>IFERROR(__xludf.DUMMYFUNCTION("IFERROR(FILTER('RR1 Player Stats'!AB$3:AB$50, ISNUMBER(SEARCH($A45,'RR1 Player Stats'!$A$3:$A$50))),0)
+IFERROR(FILTER('RR2 Player Stats'!AB$3:AB$50, ISNUMBER(SEARCH($A45,'RR2 Player Stats'!$A$3:$A$50))),0)
+IFERROR(FILTER('RR3 Player Stats'!AB$3:AB$50, I"&amp;"SNUMBER(SEARCH($A45,'RR3 Player Stats'!$A$3:$A$50))),0)
+IFERROR(FILTER('RR4 Player Stats'!AB$3:AB$50, ISNUMBER(SEARCH($A45,'RR4 Player Stats'!$A$3:$A$50))),0)
+IFERROR(FILTER('RR5 Player Stats'!AB$3:AB$50, ISNUMBER(SEARCH($A45,'RR5 Player Stats'!$A$3:$A$"&amp;"50))),0)"),8.0)</f>
        <v>8</v>
      </c>
      <c r="J45" s="57">
        <f>IFERROR(__xludf.DUMMYFUNCTION("IFERROR(FILTER('RR1 Player Stats'!AC$3:AC$50, ISNUMBER(SEARCH($A45,'RR1 Player Stats'!$A$3:$A$50))),0)
+IFERROR(FILTER('RR2 Player Stats'!AC$3:AC$50, ISNUMBER(SEARCH($A45,'RR2 Player Stats'!$A$3:$A$50))),0)
+IFERROR(FILTER('RR3 Player Stats'!AC$3:AC$50, I"&amp;"SNUMBER(SEARCH($A45,'RR3 Player Stats'!$A$3:$A$50))),0)
+IFERROR(FILTER('RR4 Player Stats'!AC$3:AC$50, ISNUMBER(SEARCH($A45,'RR4 Player Stats'!$A$3:$A$50))),0)
+IFERROR(FILTER('RR5 Player Stats'!AC$3:AC$50, ISNUMBER(SEARCH($A45,'RR5 Player Stats'!$A$3:$A$"&amp;"50))),0)"),1.0)</f>
        <v>1</v>
      </c>
      <c r="K45" s="57">
        <f>IFERROR(__xludf.DUMMYFUNCTION("IFERROR(FILTER('RR1 Player Stats'!AD$3:AD$50, ISNUMBER(SEARCH($A45,'RR1 Player Stats'!$A$3:$A$50))),0)
+IFERROR(FILTER('RR2 Player Stats'!AD$3:AD$50, ISNUMBER(SEARCH($A45,'RR2 Player Stats'!$A$3:$A$50))),0)
+IFERROR(FILTER('RR3 Player Stats'!AD$3:AD$50, I"&amp;"SNUMBER(SEARCH($A45,'RR3 Player Stats'!$A$3:$A$50))),0)
+IFERROR(FILTER('RR4 Player Stats'!AD$3:AD$50, ISNUMBER(SEARCH($A45,'RR4 Player Stats'!$A$3:$A$50))),0)
+IFERROR(FILTER('RR5 Player Stats'!AD$3:AD$50, ISNUMBER(SEARCH($A45,'RR5 Player Stats'!$A$3:$A$"&amp;"50))),0)"),2.0)</f>
        <v>2</v>
      </c>
      <c r="L45" s="57">
        <f>IFERROR(__xludf.DUMMYFUNCTION("IFERROR(FILTER('RR1 Player Stats'!AE$3:AE$50, ISNUMBER(SEARCH($A45,'RR1 Player Stats'!$A$3:$A$50))),0)
+IFERROR(FILTER('RR2 Player Stats'!AE$3:AE$50, ISNUMBER(SEARCH($A45,'RR2 Player Stats'!$A$3:$A$50))),0)
+IFERROR(FILTER('RR3 Player Stats'!AE$3:AE$50, I"&amp;"SNUMBER(SEARCH($A45,'RR3 Player Stats'!$A$3:$A$50))),0)
+IFERROR(FILTER('RR4 Player Stats'!AE$3:AE$50, ISNUMBER(SEARCH($A45,'RR4 Player Stats'!$A$3:$A$50))),0)
+IFERROR(FILTER('RR5 Player Stats'!AE$3:AE$50, ISNUMBER(SEARCH($A45,'RR5 Player Stats'!$A$3:$A$"&amp;"50))),0)"),38.0)</f>
        <v>38</v>
      </c>
      <c r="M45" s="57">
        <f>IFERROR(__xludf.DUMMYFUNCTION("IFERROR(FILTER('RR1 Player Stats'!AF$3:AF$50, ISNUMBER(SEARCH($A45,'RR1 Player Stats'!$A$3:$A$50))),0)
+IFERROR(FILTER('RR2 Player Stats'!AF$3:AF$50, ISNUMBER(SEARCH($A45,'RR2 Player Stats'!$A$3:$A$50))),0)
+IFERROR(FILTER('RR3 Player Stats'!AF$3:AF$50, I"&amp;"SNUMBER(SEARCH($A45,'RR3 Player Stats'!$A$3:$A$50))),0)
+IFERROR(FILTER('RR4 Player Stats'!AF$3:AF$50, ISNUMBER(SEARCH($A45,'RR4 Player Stats'!$A$3:$A$50))),0)
+IFERROR(FILTER('RR5 Player Stats'!AF$3:AF$50, ISNUMBER(SEARCH($A45,'RR5 Player Stats'!$A$3:$A$"&amp;"50))),0)"),30.0)</f>
        <v>30</v>
      </c>
      <c r="N45" s="180">
        <f>IFERROR(__xludf.DUMMYFUNCTION("(IFERROR(FILTER('RR1 Player Stats'!AG$3:AG$50, ISNUMBER(SEARCH($A45,'RR1 Player Stats'!$A$3:$A$50))),0)
+IFERROR(FILTER('RR2 Player Stats'!AG$3:AG$50, ISNUMBER(SEARCH($A45,'RR2 Player Stats'!$A$3:$A$50))),0)
+IFERROR(FILTER('RR3 Player Stats'!AG$3:AG$50, "&amp;"ISNUMBER(SEARCH($A45,'RR3 Player Stats'!$A$3:$A$50))),0)
+IFERROR(FILTER('RR4 Player Stats'!AG$3:AG$50, ISNUMBER(SEARCH($A45,'RR4 Player Stats'!$A$3:$A$50))),0)
+IFERROR(FILTER('RR5 Player Stats'!AG$3:AG$50, ISNUMBER(SEARCH($A45,'RR5 Player Stats'!$A$3:$A"&amp;"$50))),0))/5"),0.22800000000000004)</f>
        <v>0.228</v>
      </c>
      <c r="O45" s="55">
        <f>IFERROR(__xludf.DUMMYFUNCTION("IFERROR(FILTER('RR1 Player Stats'!AH$3:AH$50, ISNUMBER(SEARCH($A45,'RR1 Player Stats'!$A$3:$A$50))),0)
+IFERROR(FILTER('RR2 Player Stats'!AH$3:AH$50, ISNUMBER(SEARCH($A45,'RR2 Player Stats'!$A$3:$A$50))),0)
+IFERROR(FILTER('RR3 Player Stats'!AH$3:AH$50, I"&amp;"SNUMBER(SEARCH($A45,'RR3 Player Stats'!$A$3:$A$50))),0)
+IFERROR(FILTER('RR4 Player Stats'!AH$3:AH$50, ISNUMBER(SEARCH($A45,'RR4 Player Stats'!$A$3:$A$50))),0)
+IFERROR(FILTER('RR5 Player Stats'!AH$3:AH$50, ISNUMBER(SEARCH($A45,'RR5 Player Stats'!$A$3:$A$"&amp;"50))),0)"),11.0)</f>
        <v>11</v>
      </c>
      <c r="P45" s="57">
        <f>IFERROR(__xludf.DUMMYFUNCTION("IFERROR(FILTER('RR1 Player Stats'!AI$3:AI$50, ISNUMBER(SEARCH($A45,'RR1 Player Stats'!$A$3:$A$50))),0)
+IFERROR(FILTER('RR2 Player Stats'!AI$3:AI$50, ISNUMBER(SEARCH($A45,'RR2 Player Stats'!$A$3:$A$50))),0)
+IFERROR(FILTER('RR3 Player Stats'!AI$3:AI$50, I"&amp;"SNUMBER(SEARCH($A45,'RR3 Player Stats'!$A$3:$A$50))),0)
+IFERROR(FILTER('RR4 Player Stats'!AI$3:AI$50, ISNUMBER(SEARCH($A45,'RR4 Player Stats'!$A$3:$A$50))),0)
+IFERROR(FILTER('RR5 Player Stats'!AI$3:AI$50, ISNUMBER(SEARCH($A45,'RR5 Player Stats'!$A$3:$A$"&amp;"50))),0)"),4.0)</f>
        <v>4</v>
      </c>
      <c r="Q45" s="57">
        <f>IFERROR(__xludf.DUMMYFUNCTION("IFERROR(FILTER('RR1 Player Stats'!AJ$3:AJ$50, ISNUMBER(SEARCH($A45,'RR1 Player Stats'!$A$3:$A$50))),0)
+IFERROR(FILTER('RR2 Player Stats'!AJ$3:AJ$50, ISNUMBER(SEARCH($A45,'RR2 Player Stats'!$A$3:$A$50))),0)
+IFERROR(FILTER('RR3 Player Stats'!AJ$3:AJ$50, I"&amp;"SNUMBER(SEARCH($A45,'RR3 Player Stats'!$A$3:$A$50))),0)
+IFERROR(FILTER('RR4 Player Stats'!AJ$3:AJ$50, ISNUMBER(SEARCH($A45,'RR4 Player Stats'!$A$3:$A$50))),0)
+IFERROR(FILTER('RR5 Player Stats'!AJ$3:AJ$50, ISNUMBER(SEARCH($A45,'RR5 Player Stats'!$A$3:$A$"&amp;"50))),0)"),3.0)</f>
        <v>3</v>
      </c>
      <c r="R45" s="57">
        <f>IFERROR(__xludf.DUMMYFUNCTION("IFERROR(FILTER('RR1 Player Stats'!AK$3:AK$50, ISNUMBER(SEARCH($A45,'RR1 Player Stats'!$A$3:$A$50))),0)
+IFERROR(FILTER('RR2 Player Stats'!AK$3:AK$50, ISNUMBER(SEARCH($A45,'RR2 Player Stats'!$A$3:$A$50))),0)
+IFERROR(FILTER('RR3 Player Stats'!AK$3:AK$50, I"&amp;"SNUMBER(SEARCH($A45,'RR3 Player Stats'!$A$3:$A$50))),0)
+IFERROR(FILTER('RR4 Player Stats'!AK$3:AK$50, ISNUMBER(SEARCH($A45,'RR4 Player Stats'!$A$3:$A$50))),0)
+IFERROR(FILTER('RR5 Player Stats'!AK$3:AK$50, ISNUMBER(SEARCH($A45,'RR5 Player Stats'!$A$3:$A$"&amp;"50))),0)"),68.0)</f>
        <v>68</v>
      </c>
      <c r="S45" s="57">
        <f>IFERROR(__xludf.DUMMYFUNCTION("IFERROR(FILTER('RR1 Player Stats'!AL$3:AL$50, ISNUMBER(SEARCH($A45,'RR1 Player Stats'!$A$3:$A$50))),0)
+IFERROR(FILTER('RR2 Player Stats'!AL$3:AL$50, ISNUMBER(SEARCH($A45,'RR2 Player Stats'!$A$3:$A$50))),0)
+IFERROR(FILTER('RR3 Player Stats'!AL$3:AL$50, I"&amp;"SNUMBER(SEARCH($A45,'RR3 Player Stats'!$A$3:$A$50))),0)
+IFERROR(FILTER('RR4 Player Stats'!AL$3:AL$50, ISNUMBER(SEARCH($A45,'RR4 Player Stats'!$A$3:$A$50))),0)
+IFERROR(FILTER('RR5 Player Stats'!AL$3:AL$50, ISNUMBER(SEARCH($A45,'RR5 Player Stats'!$A$3:$A$"&amp;"50))),0)"),56.0)</f>
        <v>56</v>
      </c>
      <c r="T45" s="180">
        <f>IFERROR(__xludf.DUMMYFUNCTION("(IFERROR(FILTER('RR1 Player Stats'!AM$3:AM$50, ISNUMBER(SEARCH($A45,'RR1 Player Stats'!$A$3:$A$50))),0)
+IFERROR(FILTER('RR2 Player Stats'!AM$3:AM$50, ISNUMBER(SEARCH($A45,'RR2 Player Stats'!$A$3:$A$50))),0)
+IFERROR(FILTER('RR3 Player Stats'!AM$3:AM$50, "&amp;"ISNUMBER(SEARCH($A45,'RR3 Player Stats'!$A$3:$A$50))),0)
+IFERROR(FILTER('RR4 Player Stats'!AM$3:AM$50, ISNUMBER(SEARCH($A45,'RR4 Player Stats'!$A$3:$A$50))),0)
+IFERROR(FILTER('RR5 Player Stats'!AM$3:AM$50, ISNUMBER(SEARCH($A45,'RR5 Player Stats'!$A$3:$A"&amp;"$50))),0))/B45"),0.15000000000000002)</f>
        <v>0.15</v>
      </c>
      <c r="U45" s="55">
        <f>IFERROR(__xludf.DUMMYFUNCTION("MEDIAN(IFERROR(FILTER('RR1 Player Stats'!AH$3:AH$50, ISNUMBER(SEARCH($A45,'RR1 Player Stats'!$A$3:$A$50))),0),IFERROR(FILTER('RR2 Player Stats'!AH$3:AH$50, ISNUMBER(SEARCH($A45,'RR2 Player Stats'!$A$3:$A$50))),0),IFERROR(FILTER('RR3 Player Stats'!AH$3:AH$"&amp;"50, ISNUMBER(SEARCH($A45,'RR3 Player Stats'!$A$3:$A$50))),0),IFERROR(FILTER('RR4 Player Stats'!AH$3:AH$50, ISNUMBER(SEARCH($A45,'RR4 Player Stats'!$A$3:$A$50))),0),IFERROR(FILTER('RR5 Player Stats'!AH$3:AH$50, ISNUMBER(SEARCH($A45,'RR5 Player Stats'!$A$3:"&amp;"$A$50))),0))"),3.0)</f>
        <v>3</v>
      </c>
      <c r="V45" s="57">
        <f>IFERROR(__xludf.DUMMYFUNCTION("MEDIAN(IFERROR(FILTER('RR1 Player Stats'!AI$3:AI$50, ISNUMBER(SEARCH($A45,'RR1 Player Stats'!$A$3:$A$50))),0),IFERROR(FILTER('RR2 Player Stats'!AI$3:AI$50, ISNUMBER(SEARCH($A45,'RR2 Player Stats'!$A$3:$A$50))),0),IFERROR(FILTER('RR3 Player Stats'!AI$3:AI$"&amp;"50, ISNUMBER(SEARCH($A45,'RR3 Player Stats'!$A$3:$A$50))),0),IFERROR(FILTER('RR4 Player Stats'!AI$3:AI$50, ISNUMBER(SEARCH($A45,'RR4 Player Stats'!$A$3:$A$50))),0),IFERROR(FILTER('RR5 Player Stats'!AI$3:AI$50, ISNUMBER(SEARCH($A45,'RR5 Player Stats'!$A$3:"&amp;"$A$50))),0))"),1.0)</f>
        <v>1</v>
      </c>
      <c r="W45" s="57">
        <f>IFERROR(__xludf.DUMMYFUNCTION("MEDIAN(IFERROR(FILTER('RR1 Player Stats'!AJ$3:AJ$50, ISNUMBER(SEARCH($A45,'RR1 Player Stats'!$A$3:$A$50))),0),IFERROR(FILTER('RR2 Player Stats'!AJ$3:AJ$50, ISNUMBER(SEARCH($A45,'RR2 Player Stats'!$A$3:$A$50))),0),IFERROR(FILTER('RR3 Player Stats'!AJ$3:AJ$"&amp;"50, ISNUMBER(SEARCH($A45,'RR3 Player Stats'!$A$3:$A$50))),0),IFERROR(FILTER('RR4 Player Stats'!AJ$3:AJ$50, ISNUMBER(SEARCH($A45,'RR4 Player Stats'!$A$3:$A$50))),0),IFERROR(FILTER('RR5 Player Stats'!AJ$3:AJ$50, ISNUMBER(SEARCH($A45,'RR5 Player Stats'!$A$3:"&amp;"$A$50))),0))"),0.0)</f>
        <v>0</v>
      </c>
      <c r="X45" s="57">
        <f>IFERROR(__xludf.DUMMYFUNCTION("MEDIAN(IFERROR(FILTER('RR1 Player Stats'!AK$3:AK$50, ISNUMBER(SEARCH($A45,'RR1 Player Stats'!$A$3:$A$50))),0),IFERROR(FILTER('RR2 Player Stats'!AK$3:AK$50, ISNUMBER(SEARCH($A45,'RR2 Player Stats'!$A$3:$A$50))),0),IFERROR(FILTER('RR3 Player Stats'!AK$3:AK$"&amp;"50, ISNUMBER(SEARCH($A45,'RR3 Player Stats'!$A$3:$A$50))),0),IFERROR(FILTER('RR4 Player Stats'!AK$3:AK$50, ISNUMBER(SEARCH($A45,'RR4 Player Stats'!$A$3:$A$50))),0),IFERROR(FILTER('RR5 Player Stats'!AK$3:AK$50, ISNUMBER(SEARCH($A45,'RR5 Player Stats'!$A$3:"&amp;"$A$50))),0))"),12.0)</f>
        <v>12</v>
      </c>
      <c r="Y45" s="57">
        <f>IFERROR(__xludf.DUMMYFUNCTION("MEDIAN(IFERROR(FILTER('RR1 Player Stats'!AL$3:AL$50, ISNUMBER(SEARCH($A45,'RR1 Player Stats'!$A$3:$A$50))),0),IFERROR(FILTER('RR2 Player Stats'!AL$3:AL$50, ISNUMBER(SEARCH($A45,'RR2 Player Stats'!$A$3:$A$50))),0),IFERROR(FILTER('RR3 Player Stats'!AL$3:AL$"&amp;"50, ISNUMBER(SEARCH($A45,'RR3 Player Stats'!$A$3:$A$50))),0),IFERROR(FILTER('RR4 Player Stats'!AL$3:AL$50, ISNUMBER(SEARCH($A45,'RR4 Player Stats'!$A$3:$A$50))),0),IFERROR(FILTER('RR5 Player Stats'!AL$3:AL$50, ISNUMBER(SEARCH($A45,'RR5 Player Stats'!$A$3:"&amp;"$A$50))),0))"),8.0)</f>
        <v>8</v>
      </c>
      <c r="Z45" s="180">
        <f>IFERROR(__xludf.DUMMYFUNCTION("MEDIAN(IFERROR(FILTER('RR1 Player Stats'!AM$3:AM$50, ISNUMBER(SEARCH($A45,'RR1 Player Stats'!$A$3:$A$50))),0),IFERROR(FILTER('RR2 Player Stats'!AM$3:AM$50, ISNUMBER(SEARCH($A45,'RR2 Player Stats'!$A$3:$A$50))),0),IFERROR(FILTER('RR3 Player Stats'!AM$3:AM$"&amp;"50, ISNUMBER(SEARCH($A45,'RR3 Player Stats'!$A$3:$A$50))),0),IFERROR(FILTER('RR4 Player Stats'!AM$3:AM$50, ISNUMBER(SEARCH($A45,'RR4 Player Stats'!$A$3:$A$50))),0),IFERROR(FILTER('RR5 Player Stats'!AM$3:AM$50, ISNUMBER(SEARCH($A45,'RR5 Player Stats'!$A$3:"&amp;"$A$50))),0))"),0.15)</f>
        <v>0.15</v>
      </c>
    </row>
    <row r="46">
      <c r="A46" s="29" t="s">
        <v>53</v>
      </c>
      <c r="B46" s="48">
        <f>COUNTIF('RR1 Player Stats'!$A$3:$A$50,$A46)+COUNTIF('RR2 Player Stats'!$A$3:$A$50,$A46)+COUNTIF('RR3 Player Stats'!$A$3:$A$50,$A46)+COUNTIF('RR4 Player Stats'!$A$3:$A$50,$A46)+COUNTIF('RR5 Player Stats'!$A$3:$A$50,$A46)</f>
        <v>5</v>
      </c>
      <c r="C46" s="55">
        <f>IFERROR(__xludf.DUMMYFUNCTION("IFERROR(FILTER('RR1 Player Stats'!V$3:V$50, ISNUMBER(SEARCH($A46,'RR1 Player Stats'!$A$3:$A$50))),0)
+IFERROR(FILTER('RR2 Player Stats'!V$3:V$50, ISNUMBER(SEARCH($A46,'RR2 Player Stats'!$A$3:$A$50))),0)
+IFERROR(FILTER('RR3 Player Stats'!V$3:V$50, ISNUMBE"&amp;"R(SEARCH($A46,'RR3 Player Stats'!$A$3:$A$50))),0)
+IFERROR(FILTER('RR4 Player Stats'!V$3:V$50, ISNUMBER(SEARCH($A46,'RR4 Player Stats'!$A$3:$A$50))),0)
+IFERROR(FILTER('RR5 Player Stats'!V$3:V$50, ISNUMBER(SEARCH($A46,'RR5 Player Stats'!$A$3:$A$50))),0)"),10.0)</f>
        <v>10</v>
      </c>
      <c r="D46" s="57">
        <f>IFERROR(__xludf.DUMMYFUNCTION("IFERROR(FILTER('RR1 Player Stats'!W$3:W$50, ISNUMBER(SEARCH($A46,'RR1 Player Stats'!$A$3:$A$50))),0)
+IFERROR(FILTER('RR2 Player Stats'!W$3:W$50, ISNUMBER(SEARCH($A46,'RR2 Player Stats'!$A$3:$A$50))),0)
+IFERROR(FILTER('RR3 Player Stats'!W$3:W$50, ISNUMBE"&amp;"R(SEARCH($A46,'RR3 Player Stats'!$A$3:$A$50))),0)
+IFERROR(FILTER('RR4 Player Stats'!W$3:W$50, ISNUMBER(SEARCH($A46,'RR4 Player Stats'!$A$3:$A$50))),0)
+IFERROR(FILTER('RR5 Player Stats'!W$3:W$50, ISNUMBER(SEARCH($A46,'RR5 Player Stats'!$A$3:$A$50))),0)"),1.0)</f>
        <v>1</v>
      </c>
      <c r="E46" s="57">
        <f>IFERROR(__xludf.DUMMYFUNCTION("IFERROR(FILTER('RR1 Player Stats'!X$3:X$50, ISNUMBER(SEARCH($A46,'RR1 Player Stats'!$A$3:$A$50))),0)
+IFERROR(FILTER('RR2 Player Stats'!X$3:X$50, ISNUMBER(SEARCH($A46,'RR2 Player Stats'!$A$3:$A$50))),0)
+IFERROR(FILTER('RR3 Player Stats'!X$3:X$50, ISNUMBE"&amp;"R(SEARCH($A46,'RR3 Player Stats'!$A$3:$A$50))),0)
+IFERROR(FILTER('RR4 Player Stats'!X$3:X$50, ISNUMBER(SEARCH($A46,'RR4 Player Stats'!$A$3:$A$50))),0)
+IFERROR(FILTER('RR5 Player Stats'!X$3:X$50, ISNUMBER(SEARCH($A46,'RR5 Player Stats'!$A$3:$A$50))),0)"),0.0)</f>
        <v>0</v>
      </c>
      <c r="F46" s="57">
        <f>IFERROR(__xludf.DUMMYFUNCTION("IFERROR(FILTER('RR1 Player Stats'!Y$3:Y$50, ISNUMBER(SEARCH($A46,'RR1 Player Stats'!$A$3:$A$50))),0)
+IFERROR(FILTER('RR2 Player Stats'!Y$3:Y$50, ISNUMBER(SEARCH($A46,'RR2 Player Stats'!$A$3:$A$50))),0)
+IFERROR(FILTER('RR3 Player Stats'!Y$3:Y$50, ISNUMBE"&amp;"R(SEARCH($A46,'RR3 Player Stats'!$A$3:$A$50))),0)
+IFERROR(FILTER('RR4 Player Stats'!Y$3:Y$50, ISNUMBER(SEARCH($A46,'RR4 Player Stats'!$A$3:$A$50))),0)
+IFERROR(FILTER('RR5 Player Stats'!Y$3:Y$50, ISNUMBER(SEARCH($A46,'RR5 Player Stats'!$A$3:$A$50))),0)"),46.0)</f>
        <v>46</v>
      </c>
      <c r="G46" s="57">
        <f>IFERROR(__xludf.DUMMYFUNCTION("IFERROR(FILTER('RR1 Player Stats'!Z$3:Z$50, ISNUMBER(SEARCH($A46,'RR1 Player Stats'!$A$3:$A$50))),0)
+IFERROR(FILTER('RR2 Player Stats'!Z$3:Z$50, ISNUMBER(SEARCH($A46,'RR2 Player Stats'!$A$3:$A$50))),0)
+IFERROR(FILTER('RR3 Player Stats'!Z$3:Z$50, ISNUMBE"&amp;"R(SEARCH($A46,'RR3 Player Stats'!$A$3:$A$50))),0)
+IFERROR(FILTER('RR4 Player Stats'!Z$3:Z$50, ISNUMBER(SEARCH($A46,'RR4 Player Stats'!$A$3:$A$50))),0)
+IFERROR(FILTER('RR5 Player Stats'!Z$3:Z$50, ISNUMBER(SEARCH($A46,'RR5 Player Stats'!$A$3:$A$50))),0)"),46.0)</f>
        <v>46</v>
      </c>
      <c r="H46" s="180">
        <f>IFERROR(__xludf.DUMMYFUNCTION("(IFERROR(FILTER('RR1 Player Stats'!AA$3:AA$50, ISNUMBER(SEARCH($A46,'RR1 Player Stats'!$A$3:$A$50))),0)
+IFERROR(FILTER('RR2 Player Stats'!AA$3:AA$50, ISNUMBER(SEARCH($A46,'RR2 Player Stats'!$A$3:$A$50))),0)
+IFERROR(FILTER('RR3 Player Stats'!AA$3:AA$50, "&amp;"ISNUMBER(SEARCH($A46,'RR3 Player Stats'!$A$3:$A$50))),0)
+IFERROR(FILTER('RR4 Player Stats'!AA$3:AA$50, ISNUMBER(SEARCH($A46,'RR4 Player Stats'!$A$3:$A$50))),0)
+IFERROR(FILTER('RR5 Player Stats'!AA$3:AA$50, ISNUMBER(SEARCH($A46,'RR5 Player Stats'!$A$3:$A"&amp;"$50))),0))/5"),0.184)</f>
        <v>0.184</v>
      </c>
      <c r="I46" s="55">
        <f>IFERROR(__xludf.DUMMYFUNCTION("IFERROR(FILTER('RR1 Player Stats'!AB$3:AB$50, ISNUMBER(SEARCH($A46,'RR1 Player Stats'!$A$3:$A$50))),0)
+IFERROR(FILTER('RR2 Player Stats'!AB$3:AB$50, ISNUMBER(SEARCH($A46,'RR2 Player Stats'!$A$3:$A$50))),0)
+IFERROR(FILTER('RR3 Player Stats'!AB$3:AB$50, I"&amp;"SNUMBER(SEARCH($A46,'RR3 Player Stats'!$A$3:$A$50))),0)
+IFERROR(FILTER('RR4 Player Stats'!AB$3:AB$50, ISNUMBER(SEARCH($A46,'RR4 Player Stats'!$A$3:$A$50))),0)
+IFERROR(FILTER('RR5 Player Stats'!AB$3:AB$50, ISNUMBER(SEARCH($A46,'RR5 Player Stats'!$A$3:$A$"&amp;"50))),0)"),5.0)</f>
        <v>5</v>
      </c>
      <c r="J46" s="57">
        <f>IFERROR(__xludf.DUMMYFUNCTION("IFERROR(FILTER('RR1 Player Stats'!AC$3:AC$50, ISNUMBER(SEARCH($A46,'RR1 Player Stats'!$A$3:$A$50))),0)
+IFERROR(FILTER('RR2 Player Stats'!AC$3:AC$50, ISNUMBER(SEARCH($A46,'RR2 Player Stats'!$A$3:$A$50))),0)
+IFERROR(FILTER('RR3 Player Stats'!AC$3:AC$50, I"&amp;"SNUMBER(SEARCH($A46,'RR3 Player Stats'!$A$3:$A$50))),0)
+IFERROR(FILTER('RR4 Player Stats'!AC$3:AC$50, ISNUMBER(SEARCH($A46,'RR4 Player Stats'!$A$3:$A$50))),0)
+IFERROR(FILTER('RR5 Player Stats'!AC$3:AC$50, ISNUMBER(SEARCH($A46,'RR5 Player Stats'!$A$3:$A$"&amp;"50))),0)"),0.0)</f>
        <v>0</v>
      </c>
      <c r="K46" s="57">
        <f>IFERROR(__xludf.DUMMYFUNCTION("IFERROR(FILTER('RR1 Player Stats'!AD$3:AD$50, ISNUMBER(SEARCH($A46,'RR1 Player Stats'!$A$3:$A$50))),0)
+IFERROR(FILTER('RR2 Player Stats'!AD$3:AD$50, ISNUMBER(SEARCH($A46,'RR2 Player Stats'!$A$3:$A$50))),0)
+IFERROR(FILTER('RR3 Player Stats'!AD$3:AD$50, I"&amp;"SNUMBER(SEARCH($A46,'RR3 Player Stats'!$A$3:$A$50))),0)
+IFERROR(FILTER('RR4 Player Stats'!AD$3:AD$50, ISNUMBER(SEARCH($A46,'RR4 Player Stats'!$A$3:$A$50))),0)
+IFERROR(FILTER('RR5 Player Stats'!AD$3:AD$50, ISNUMBER(SEARCH($A46,'RR5 Player Stats'!$A$3:$A$"&amp;"50))),0)"),1.0)</f>
        <v>1</v>
      </c>
      <c r="L46" s="57">
        <f>IFERROR(__xludf.DUMMYFUNCTION("IFERROR(FILTER('RR1 Player Stats'!AE$3:AE$50, ISNUMBER(SEARCH($A46,'RR1 Player Stats'!$A$3:$A$50))),0)
+IFERROR(FILTER('RR2 Player Stats'!AE$3:AE$50, ISNUMBER(SEARCH($A46,'RR2 Player Stats'!$A$3:$A$50))),0)
+IFERROR(FILTER('RR3 Player Stats'!AE$3:AE$50, I"&amp;"SNUMBER(SEARCH($A46,'RR3 Player Stats'!$A$3:$A$50))),0)
+IFERROR(FILTER('RR4 Player Stats'!AE$3:AE$50, ISNUMBER(SEARCH($A46,'RR4 Player Stats'!$A$3:$A$50))),0)
+IFERROR(FILTER('RR5 Player Stats'!AE$3:AE$50, ISNUMBER(SEARCH($A46,'RR5 Player Stats'!$A$3:$A$"&amp;"50))),0)"),20.0)</f>
        <v>20</v>
      </c>
      <c r="M46" s="57">
        <f>IFERROR(__xludf.DUMMYFUNCTION("IFERROR(FILTER('RR1 Player Stats'!AF$3:AF$50, ISNUMBER(SEARCH($A46,'RR1 Player Stats'!$A$3:$A$50))),0)
+IFERROR(FILTER('RR2 Player Stats'!AF$3:AF$50, ISNUMBER(SEARCH($A46,'RR2 Player Stats'!$A$3:$A$50))),0)
+IFERROR(FILTER('RR3 Player Stats'!AF$3:AF$50, I"&amp;"SNUMBER(SEARCH($A46,'RR3 Player Stats'!$A$3:$A$50))),0)
+IFERROR(FILTER('RR4 Player Stats'!AF$3:AF$50, ISNUMBER(SEARCH($A46,'RR4 Player Stats'!$A$3:$A$50))),0)
+IFERROR(FILTER('RR5 Player Stats'!AF$3:AF$50, ISNUMBER(SEARCH($A46,'RR5 Player Stats'!$A$3:$A$"&amp;"50))),0)"),16.0)</f>
        <v>16</v>
      </c>
      <c r="N46" s="180">
        <f>IFERROR(__xludf.DUMMYFUNCTION("(IFERROR(FILTER('RR1 Player Stats'!AG$3:AG$50, ISNUMBER(SEARCH($A46,'RR1 Player Stats'!$A$3:$A$50))),0)
+IFERROR(FILTER('RR2 Player Stats'!AG$3:AG$50, ISNUMBER(SEARCH($A46,'RR2 Player Stats'!$A$3:$A$50))),0)
+IFERROR(FILTER('RR3 Player Stats'!AG$3:AG$50, "&amp;"ISNUMBER(SEARCH($A46,'RR3 Player Stats'!$A$3:$A$50))),0)
+IFERROR(FILTER('RR4 Player Stats'!AG$3:AG$50, ISNUMBER(SEARCH($A46,'RR4 Player Stats'!$A$3:$A$50))),0)
+IFERROR(FILTER('RR5 Player Stats'!AG$3:AG$50, ISNUMBER(SEARCH($A46,'RR5 Player Stats'!$A$3:$A"&amp;"$50))),0))/5"),0.126)</f>
        <v>0.126</v>
      </c>
      <c r="O46" s="55">
        <f>IFERROR(__xludf.DUMMYFUNCTION("IFERROR(FILTER('RR1 Player Stats'!AH$3:AH$50, ISNUMBER(SEARCH($A46,'RR1 Player Stats'!$A$3:$A$50))),0)
+IFERROR(FILTER('RR2 Player Stats'!AH$3:AH$50, ISNUMBER(SEARCH($A46,'RR2 Player Stats'!$A$3:$A$50))),0)
+IFERROR(FILTER('RR3 Player Stats'!AH$3:AH$50, I"&amp;"SNUMBER(SEARCH($A46,'RR3 Player Stats'!$A$3:$A$50))),0)
+IFERROR(FILTER('RR4 Player Stats'!AH$3:AH$50, ISNUMBER(SEARCH($A46,'RR4 Player Stats'!$A$3:$A$50))),0)
+IFERROR(FILTER('RR5 Player Stats'!AH$3:AH$50, ISNUMBER(SEARCH($A46,'RR5 Player Stats'!$A$3:$A$"&amp;"50))),0)"),15.0)</f>
        <v>15</v>
      </c>
      <c r="P46" s="57">
        <f>IFERROR(__xludf.DUMMYFUNCTION("IFERROR(FILTER('RR1 Player Stats'!AI$3:AI$50, ISNUMBER(SEARCH($A46,'RR1 Player Stats'!$A$3:$A$50))),0)
+IFERROR(FILTER('RR2 Player Stats'!AI$3:AI$50, ISNUMBER(SEARCH($A46,'RR2 Player Stats'!$A$3:$A$50))),0)
+IFERROR(FILTER('RR3 Player Stats'!AI$3:AI$50, I"&amp;"SNUMBER(SEARCH($A46,'RR3 Player Stats'!$A$3:$A$50))),0)
+IFERROR(FILTER('RR4 Player Stats'!AI$3:AI$50, ISNUMBER(SEARCH($A46,'RR4 Player Stats'!$A$3:$A$50))),0)
+IFERROR(FILTER('RR5 Player Stats'!AI$3:AI$50, ISNUMBER(SEARCH($A46,'RR5 Player Stats'!$A$3:$A$"&amp;"50))),0)"),1.0)</f>
        <v>1</v>
      </c>
      <c r="Q46" s="57">
        <f>IFERROR(__xludf.DUMMYFUNCTION("IFERROR(FILTER('RR1 Player Stats'!AJ$3:AJ$50, ISNUMBER(SEARCH($A46,'RR1 Player Stats'!$A$3:$A$50))),0)
+IFERROR(FILTER('RR2 Player Stats'!AJ$3:AJ$50, ISNUMBER(SEARCH($A46,'RR2 Player Stats'!$A$3:$A$50))),0)
+IFERROR(FILTER('RR3 Player Stats'!AJ$3:AJ$50, I"&amp;"SNUMBER(SEARCH($A46,'RR3 Player Stats'!$A$3:$A$50))),0)
+IFERROR(FILTER('RR4 Player Stats'!AJ$3:AJ$50, ISNUMBER(SEARCH($A46,'RR4 Player Stats'!$A$3:$A$50))),0)
+IFERROR(FILTER('RR5 Player Stats'!AJ$3:AJ$50, ISNUMBER(SEARCH($A46,'RR5 Player Stats'!$A$3:$A$"&amp;"50))),0)"),1.0)</f>
        <v>1</v>
      </c>
      <c r="R46" s="57">
        <f>IFERROR(__xludf.DUMMYFUNCTION("IFERROR(FILTER('RR1 Player Stats'!AK$3:AK$50, ISNUMBER(SEARCH($A46,'RR1 Player Stats'!$A$3:$A$50))),0)
+IFERROR(FILTER('RR2 Player Stats'!AK$3:AK$50, ISNUMBER(SEARCH($A46,'RR2 Player Stats'!$A$3:$A$50))),0)
+IFERROR(FILTER('RR3 Player Stats'!AK$3:AK$50, I"&amp;"SNUMBER(SEARCH($A46,'RR3 Player Stats'!$A$3:$A$50))),0)
+IFERROR(FILTER('RR4 Player Stats'!AK$3:AK$50, ISNUMBER(SEARCH($A46,'RR4 Player Stats'!$A$3:$A$50))),0)
+IFERROR(FILTER('RR5 Player Stats'!AK$3:AK$50, ISNUMBER(SEARCH($A46,'RR5 Player Stats'!$A$3:$A$"&amp;"50))),0)"),66.0)</f>
        <v>66</v>
      </c>
      <c r="S46" s="57">
        <f>IFERROR(__xludf.DUMMYFUNCTION("IFERROR(FILTER('RR1 Player Stats'!AL$3:AL$50, ISNUMBER(SEARCH($A46,'RR1 Player Stats'!$A$3:$A$50))),0)
+IFERROR(FILTER('RR2 Player Stats'!AL$3:AL$50, ISNUMBER(SEARCH($A46,'RR2 Player Stats'!$A$3:$A$50))),0)
+IFERROR(FILTER('RR3 Player Stats'!AL$3:AL$50, I"&amp;"SNUMBER(SEARCH($A46,'RR3 Player Stats'!$A$3:$A$50))),0)
+IFERROR(FILTER('RR4 Player Stats'!AL$3:AL$50, ISNUMBER(SEARCH($A46,'RR4 Player Stats'!$A$3:$A$50))),0)
+IFERROR(FILTER('RR5 Player Stats'!AL$3:AL$50, ISNUMBER(SEARCH($A46,'RR5 Player Stats'!$A$3:$A$"&amp;"50))),0)"),62.0)</f>
        <v>62</v>
      </c>
      <c r="T46" s="180">
        <f>IFERROR(__xludf.DUMMYFUNCTION("(IFERROR(FILTER('RR1 Player Stats'!AM$3:AM$50, ISNUMBER(SEARCH($A46,'RR1 Player Stats'!$A$3:$A$50))),0)
+IFERROR(FILTER('RR2 Player Stats'!AM$3:AM$50, ISNUMBER(SEARCH($A46,'RR2 Player Stats'!$A$3:$A$50))),0)
+IFERROR(FILTER('RR3 Player Stats'!AM$3:AM$50, "&amp;"ISNUMBER(SEARCH($A46,'RR3 Player Stats'!$A$3:$A$50))),0)
+IFERROR(FILTER('RR4 Player Stats'!AM$3:AM$50, ISNUMBER(SEARCH($A46,'RR4 Player Stats'!$A$3:$A$50))),0)
+IFERROR(FILTER('RR5 Player Stats'!AM$3:AM$50, ISNUMBER(SEARCH($A46,'RR5 Player Stats'!$A$3:$A"&amp;"$50))),0))/B46"),0.16)</f>
        <v>0.16</v>
      </c>
      <c r="U46" s="55">
        <f>IFERROR(__xludf.DUMMYFUNCTION("MEDIAN(IFERROR(FILTER('RR1 Player Stats'!AH$3:AH$50, ISNUMBER(SEARCH($A46,'RR1 Player Stats'!$A$3:$A$50))),0),IFERROR(FILTER('RR2 Player Stats'!AH$3:AH$50, ISNUMBER(SEARCH($A46,'RR2 Player Stats'!$A$3:$A$50))),0),IFERROR(FILTER('RR3 Player Stats'!AH$3:AH$"&amp;"50, ISNUMBER(SEARCH($A46,'RR3 Player Stats'!$A$3:$A$50))),0),IFERROR(FILTER('RR4 Player Stats'!AH$3:AH$50, ISNUMBER(SEARCH($A46,'RR4 Player Stats'!$A$3:$A$50))),0),IFERROR(FILTER('RR5 Player Stats'!AH$3:AH$50, ISNUMBER(SEARCH($A46,'RR5 Player Stats'!$A$3:"&amp;"$A$50))),0))"),3.0)</f>
        <v>3</v>
      </c>
      <c r="V46" s="57">
        <f>IFERROR(__xludf.DUMMYFUNCTION("MEDIAN(IFERROR(FILTER('RR1 Player Stats'!AI$3:AI$50, ISNUMBER(SEARCH($A46,'RR1 Player Stats'!$A$3:$A$50))),0),IFERROR(FILTER('RR2 Player Stats'!AI$3:AI$50, ISNUMBER(SEARCH($A46,'RR2 Player Stats'!$A$3:$A$50))),0),IFERROR(FILTER('RR3 Player Stats'!AI$3:AI$"&amp;"50, ISNUMBER(SEARCH($A46,'RR3 Player Stats'!$A$3:$A$50))),0),IFERROR(FILTER('RR4 Player Stats'!AI$3:AI$50, ISNUMBER(SEARCH($A46,'RR4 Player Stats'!$A$3:$A$50))),0),IFERROR(FILTER('RR5 Player Stats'!AI$3:AI$50, ISNUMBER(SEARCH($A46,'RR5 Player Stats'!$A$3:"&amp;"$A$50))),0))"),0.0)</f>
        <v>0</v>
      </c>
      <c r="W46" s="57">
        <f>IFERROR(__xludf.DUMMYFUNCTION("MEDIAN(IFERROR(FILTER('RR1 Player Stats'!AJ$3:AJ$50, ISNUMBER(SEARCH($A46,'RR1 Player Stats'!$A$3:$A$50))),0),IFERROR(FILTER('RR2 Player Stats'!AJ$3:AJ$50, ISNUMBER(SEARCH($A46,'RR2 Player Stats'!$A$3:$A$50))),0),IFERROR(FILTER('RR3 Player Stats'!AJ$3:AJ$"&amp;"50, ISNUMBER(SEARCH($A46,'RR3 Player Stats'!$A$3:$A$50))),0),IFERROR(FILTER('RR4 Player Stats'!AJ$3:AJ$50, ISNUMBER(SEARCH($A46,'RR4 Player Stats'!$A$3:$A$50))),0),IFERROR(FILTER('RR5 Player Stats'!AJ$3:AJ$50, ISNUMBER(SEARCH($A46,'RR5 Player Stats'!$A$3:"&amp;"$A$50))),0))"),0.0)</f>
        <v>0</v>
      </c>
      <c r="X46" s="57">
        <f>IFERROR(__xludf.DUMMYFUNCTION("MEDIAN(IFERROR(FILTER('RR1 Player Stats'!AK$3:AK$50, ISNUMBER(SEARCH($A46,'RR1 Player Stats'!$A$3:$A$50))),0),IFERROR(FILTER('RR2 Player Stats'!AK$3:AK$50, ISNUMBER(SEARCH($A46,'RR2 Player Stats'!$A$3:$A$50))),0),IFERROR(FILTER('RR3 Player Stats'!AK$3:AK$"&amp;"50, ISNUMBER(SEARCH($A46,'RR3 Player Stats'!$A$3:$A$50))),0),IFERROR(FILTER('RR4 Player Stats'!AK$3:AK$50, ISNUMBER(SEARCH($A46,'RR4 Player Stats'!$A$3:$A$50))),0),IFERROR(FILTER('RR5 Player Stats'!AK$3:AK$50, ISNUMBER(SEARCH($A46,'RR5 Player Stats'!$A$3:"&amp;"$A$50))),0))"),12.0)</f>
        <v>12</v>
      </c>
      <c r="Y46" s="57">
        <f>IFERROR(__xludf.DUMMYFUNCTION("MEDIAN(IFERROR(FILTER('RR1 Player Stats'!AL$3:AL$50, ISNUMBER(SEARCH($A46,'RR1 Player Stats'!$A$3:$A$50))),0),IFERROR(FILTER('RR2 Player Stats'!AL$3:AL$50, ISNUMBER(SEARCH($A46,'RR2 Player Stats'!$A$3:$A$50))),0),IFERROR(FILTER('RR3 Player Stats'!AL$3:AL$"&amp;"50, ISNUMBER(SEARCH($A46,'RR3 Player Stats'!$A$3:$A$50))),0),IFERROR(FILTER('RR4 Player Stats'!AL$3:AL$50, ISNUMBER(SEARCH($A46,'RR4 Player Stats'!$A$3:$A$50))),0),IFERROR(FILTER('RR5 Player Stats'!AL$3:AL$50, ISNUMBER(SEARCH($A46,'RR5 Player Stats'!$A$3:"&amp;"$A$50))),0))"),12.0)</f>
        <v>12</v>
      </c>
      <c r="Z46" s="180">
        <f>IFERROR(__xludf.DUMMYFUNCTION("MEDIAN(IFERROR(FILTER('RR1 Player Stats'!AM$3:AM$50, ISNUMBER(SEARCH($A46,'RR1 Player Stats'!$A$3:$A$50))),0),IFERROR(FILTER('RR2 Player Stats'!AM$3:AM$50, ISNUMBER(SEARCH($A46,'RR2 Player Stats'!$A$3:$A$50))),0),IFERROR(FILTER('RR3 Player Stats'!AM$3:AM$"&amp;"50, ISNUMBER(SEARCH($A46,'RR3 Player Stats'!$A$3:$A$50))),0),IFERROR(FILTER('RR4 Player Stats'!AM$3:AM$50, ISNUMBER(SEARCH($A46,'RR4 Player Stats'!$A$3:$A$50))),0),IFERROR(FILTER('RR5 Player Stats'!AM$3:AM$50, ISNUMBER(SEARCH($A46,'RR5 Player Stats'!$A$3:"&amp;"$A$50))),0))"),0.15)</f>
        <v>0.15</v>
      </c>
    </row>
    <row r="47">
      <c r="A47" s="29" t="s">
        <v>56</v>
      </c>
      <c r="B47" s="48">
        <f>COUNTIF('RR1 Player Stats'!$A$3:$A$50,$A47)+COUNTIF('RR2 Player Stats'!$A$3:$A$50,$A47)+COUNTIF('RR3 Player Stats'!$A$3:$A$50,$A47)+COUNTIF('RR4 Player Stats'!$A$3:$A$50,$A47)+COUNTIF('RR5 Player Stats'!$A$3:$A$50,$A47)</f>
        <v>5</v>
      </c>
      <c r="C47" s="55">
        <f>IFERROR(__xludf.DUMMYFUNCTION("IFERROR(FILTER('RR1 Player Stats'!V$3:V$50, ISNUMBER(SEARCH($A47,'RR1 Player Stats'!$A$3:$A$50))),0)
+IFERROR(FILTER('RR2 Player Stats'!V$3:V$50, ISNUMBER(SEARCH($A47,'RR2 Player Stats'!$A$3:$A$50))),0)
+IFERROR(FILTER('RR3 Player Stats'!V$3:V$50, ISNUMBE"&amp;"R(SEARCH($A47,'RR3 Player Stats'!$A$3:$A$50))),0)
+IFERROR(FILTER('RR4 Player Stats'!V$3:V$50, ISNUMBER(SEARCH($A47,'RR4 Player Stats'!$A$3:$A$50))),0)
+IFERROR(FILTER('RR5 Player Stats'!V$3:V$50, ISNUMBER(SEARCH($A47,'RR5 Player Stats'!$A$3:$A$50))),0)"),8.0)</f>
        <v>8</v>
      </c>
      <c r="D47" s="57">
        <f>IFERROR(__xludf.DUMMYFUNCTION("IFERROR(FILTER('RR1 Player Stats'!W$3:W$50, ISNUMBER(SEARCH($A47,'RR1 Player Stats'!$A$3:$A$50))),0)
+IFERROR(FILTER('RR2 Player Stats'!W$3:W$50, ISNUMBER(SEARCH($A47,'RR2 Player Stats'!$A$3:$A$50))),0)
+IFERROR(FILTER('RR3 Player Stats'!W$3:W$50, ISNUMBE"&amp;"R(SEARCH($A47,'RR3 Player Stats'!$A$3:$A$50))),0)
+IFERROR(FILTER('RR4 Player Stats'!W$3:W$50, ISNUMBER(SEARCH($A47,'RR4 Player Stats'!$A$3:$A$50))),0)
+IFERROR(FILTER('RR5 Player Stats'!W$3:W$50, ISNUMBER(SEARCH($A47,'RR5 Player Stats'!$A$3:$A$50))),0)"),0.0)</f>
        <v>0</v>
      </c>
      <c r="E47" s="57">
        <f>IFERROR(__xludf.DUMMYFUNCTION("IFERROR(FILTER('RR1 Player Stats'!X$3:X$50, ISNUMBER(SEARCH($A47,'RR1 Player Stats'!$A$3:$A$50))),0)
+IFERROR(FILTER('RR2 Player Stats'!X$3:X$50, ISNUMBER(SEARCH($A47,'RR2 Player Stats'!$A$3:$A$50))),0)
+IFERROR(FILTER('RR3 Player Stats'!X$3:X$50, ISNUMBE"&amp;"R(SEARCH($A47,'RR3 Player Stats'!$A$3:$A$50))),0)
+IFERROR(FILTER('RR4 Player Stats'!X$3:X$50, ISNUMBER(SEARCH($A47,'RR4 Player Stats'!$A$3:$A$50))),0)
+IFERROR(FILTER('RR5 Player Stats'!X$3:X$50, ISNUMBER(SEARCH($A47,'RR5 Player Stats'!$A$3:$A$50))),0)"),0.0)</f>
        <v>0</v>
      </c>
      <c r="F47" s="57">
        <f>IFERROR(__xludf.DUMMYFUNCTION("IFERROR(FILTER('RR1 Player Stats'!Y$3:Y$50, ISNUMBER(SEARCH($A47,'RR1 Player Stats'!$A$3:$A$50))),0)
+IFERROR(FILTER('RR2 Player Stats'!Y$3:Y$50, ISNUMBER(SEARCH($A47,'RR2 Player Stats'!$A$3:$A$50))),0)
+IFERROR(FILTER('RR3 Player Stats'!Y$3:Y$50, ISNUMBE"&amp;"R(SEARCH($A47,'RR3 Player Stats'!$A$3:$A$50))),0)
+IFERROR(FILTER('RR4 Player Stats'!Y$3:Y$50, ISNUMBER(SEARCH($A47,'RR4 Player Stats'!$A$3:$A$50))),0)
+IFERROR(FILTER('RR5 Player Stats'!Y$3:Y$50, ISNUMBER(SEARCH($A47,'RR5 Player Stats'!$A$3:$A$50))),0)"),32.0)</f>
        <v>32</v>
      </c>
      <c r="G47" s="57">
        <f>IFERROR(__xludf.DUMMYFUNCTION("IFERROR(FILTER('RR1 Player Stats'!Z$3:Z$50, ISNUMBER(SEARCH($A47,'RR1 Player Stats'!$A$3:$A$50))),0)
+IFERROR(FILTER('RR2 Player Stats'!Z$3:Z$50, ISNUMBER(SEARCH($A47,'RR2 Player Stats'!$A$3:$A$50))),0)
+IFERROR(FILTER('RR3 Player Stats'!Z$3:Z$50, ISNUMBE"&amp;"R(SEARCH($A47,'RR3 Player Stats'!$A$3:$A$50))),0)
+IFERROR(FILTER('RR4 Player Stats'!Z$3:Z$50, ISNUMBER(SEARCH($A47,'RR4 Player Stats'!$A$3:$A$50))),0)
+IFERROR(FILTER('RR5 Player Stats'!Z$3:Z$50, ISNUMBER(SEARCH($A47,'RR5 Player Stats'!$A$3:$A$50))),0)"),32.0)</f>
        <v>32</v>
      </c>
      <c r="H47" s="180">
        <f>IFERROR(__xludf.DUMMYFUNCTION("(IFERROR(FILTER('RR1 Player Stats'!AA$3:AA$50, ISNUMBER(SEARCH($A47,'RR1 Player Stats'!$A$3:$A$50))),0)
+IFERROR(FILTER('RR2 Player Stats'!AA$3:AA$50, ISNUMBER(SEARCH($A47,'RR2 Player Stats'!$A$3:$A$50))),0)
+IFERROR(FILTER('RR3 Player Stats'!AA$3:AA$50, "&amp;"ISNUMBER(SEARCH($A47,'RR3 Player Stats'!$A$3:$A$50))),0)
+IFERROR(FILTER('RR4 Player Stats'!AA$3:AA$50, ISNUMBER(SEARCH($A47,'RR4 Player Stats'!$A$3:$A$50))),0)
+IFERROR(FILTER('RR5 Player Stats'!AA$3:AA$50, ISNUMBER(SEARCH($A47,'RR5 Player Stats'!$A$3:$A"&amp;"$50))),0))/5"),0.136)</f>
        <v>0.136</v>
      </c>
      <c r="I47" s="55">
        <f>IFERROR(__xludf.DUMMYFUNCTION("IFERROR(FILTER('RR1 Player Stats'!AB$3:AB$50, ISNUMBER(SEARCH($A47,'RR1 Player Stats'!$A$3:$A$50))),0)
+IFERROR(FILTER('RR2 Player Stats'!AB$3:AB$50, ISNUMBER(SEARCH($A47,'RR2 Player Stats'!$A$3:$A$50))),0)
+IFERROR(FILTER('RR3 Player Stats'!AB$3:AB$50, I"&amp;"SNUMBER(SEARCH($A47,'RR3 Player Stats'!$A$3:$A$50))),0)
+IFERROR(FILTER('RR4 Player Stats'!AB$3:AB$50, ISNUMBER(SEARCH($A47,'RR4 Player Stats'!$A$3:$A$50))),0)
+IFERROR(FILTER('RR5 Player Stats'!AB$3:AB$50, ISNUMBER(SEARCH($A47,'RR5 Player Stats'!$A$3:$A$"&amp;"50))),0)"),5.0)</f>
        <v>5</v>
      </c>
      <c r="J47" s="57">
        <f>IFERROR(__xludf.DUMMYFUNCTION("IFERROR(FILTER('RR1 Player Stats'!AC$3:AC$50, ISNUMBER(SEARCH($A47,'RR1 Player Stats'!$A$3:$A$50))),0)
+IFERROR(FILTER('RR2 Player Stats'!AC$3:AC$50, ISNUMBER(SEARCH($A47,'RR2 Player Stats'!$A$3:$A$50))),0)
+IFERROR(FILTER('RR3 Player Stats'!AC$3:AC$50, I"&amp;"SNUMBER(SEARCH($A47,'RR3 Player Stats'!$A$3:$A$50))),0)
+IFERROR(FILTER('RR4 Player Stats'!AC$3:AC$50, ISNUMBER(SEARCH($A47,'RR4 Player Stats'!$A$3:$A$50))),0)
+IFERROR(FILTER('RR5 Player Stats'!AC$3:AC$50, ISNUMBER(SEARCH($A47,'RR5 Player Stats'!$A$3:$A$"&amp;"50))),0)"),1.0)</f>
        <v>1</v>
      </c>
      <c r="K47" s="57">
        <f>IFERROR(__xludf.DUMMYFUNCTION("IFERROR(FILTER('RR1 Player Stats'!AD$3:AD$50, ISNUMBER(SEARCH($A47,'RR1 Player Stats'!$A$3:$A$50))),0)
+IFERROR(FILTER('RR2 Player Stats'!AD$3:AD$50, ISNUMBER(SEARCH($A47,'RR2 Player Stats'!$A$3:$A$50))),0)
+IFERROR(FILTER('RR3 Player Stats'!AD$3:AD$50, I"&amp;"SNUMBER(SEARCH($A47,'RR3 Player Stats'!$A$3:$A$50))),0)
+IFERROR(FILTER('RR4 Player Stats'!AD$3:AD$50, ISNUMBER(SEARCH($A47,'RR4 Player Stats'!$A$3:$A$50))),0)
+IFERROR(FILTER('RR5 Player Stats'!AD$3:AD$50, ISNUMBER(SEARCH($A47,'RR5 Player Stats'!$A$3:$A$"&amp;"50))),0)"),0.0)</f>
        <v>0</v>
      </c>
      <c r="L47" s="57">
        <f>IFERROR(__xludf.DUMMYFUNCTION("IFERROR(FILTER('RR1 Player Stats'!AE$3:AE$50, ISNUMBER(SEARCH($A47,'RR1 Player Stats'!$A$3:$A$50))),0)
+IFERROR(FILTER('RR2 Player Stats'!AE$3:AE$50, ISNUMBER(SEARCH($A47,'RR2 Player Stats'!$A$3:$A$50))),0)
+IFERROR(FILTER('RR3 Player Stats'!AE$3:AE$50, I"&amp;"SNUMBER(SEARCH($A47,'RR3 Player Stats'!$A$3:$A$50))),0)
+IFERROR(FILTER('RR4 Player Stats'!AE$3:AE$50, ISNUMBER(SEARCH($A47,'RR4 Player Stats'!$A$3:$A$50))),0)
+IFERROR(FILTER('RR5 Player Stats'!AE$3:AE$50, ISNUMBER(SEARCH($A47,'RR5 Player Stats'!$A$3:$A$"&amp;"50))),0)"),26.0)</f>
        <v>26</v>
      </c>
      <c r="M47" s="57">
        <f>IFERROR(__xludf.DUMMYFUNCTION("IFERROR(FILTER('RR1 Player Stats'!AF$3:AF$50, ISNUMBER(SEARCH($A47,'RR1 Player Stats'!$A$3:$A$50))),0)
+IFERROR(FILTER('RR2 Player Stats'!AF$3:AF$50, ISNUMBER(SEARCH($A47,'RR2 Player Stats'!$A$3:$A$50))),0)
+IFERROR(FILTER('RR3 Player Stats'!AF$3:AF$50, I"&amp;"SNUMBER(SEARCH($A47,'RR3 Player Stats'!$A$3:$A$50))),0)
+IFERROR(FILTER('RR4 Player Stats'!AF$3:AF$50, ISNUMBER(SEARCH($A47,'RR4 Player Stats'!$A$3:$A$50))),0)
+IFERROR(FILTER('RR5 Player Stats'!AF$3:AF$50, ISNUMBER(SEARCH($A47,'RR5 Player Stats'!$A$3:$A$"&amp;"50))),0)"),26.0)</f>
        <v>26</v>
      </c>
      <c r="N47" s="180">
        <f>IFERROR(__xludf.DUMMYFUNCTION("(IFERROR(FILTER('RR1 Player Stats'!AG$3:AG$50, ISNUMBER(SEARCH($A47,'RR1 Player Stats'!$A$3:$A$50))),0)
+IFERROR(FILTER('RR2 Player Stats'!AG$3:AG$50, ISNUMBER(SEARCH($A47,'RR2 Player Stats'!$A$3:$A$50))),0)
+IFERROR(FILTER('RR3 Player Stats'!AG$3:AG$50, "&amp;"ISNUMBER(SEARCH($A47,'RR3 Player Stats'!$A$3:$A$50))),0)
+IFERROR(FILTER('RR4 Player Stats'!AG$3:AG$50, ISNUMBER(SEARCH($A47,'RR4 Player Stats'!$A$3:$A$50))),0)
+IFERROR(FILTER('RR5 Player Stats'!AG$3:AG$50, ISNUMBER(SEARCH($A47,'RR5 Player Stats'!$A$3:$A"&amp;"$50))),0))/5"),0.152)</f>
        <v>0.152</v>
      </c>
      <c r="O47" s="55">
        <f>IFERROR(__xludf.DUMMYFUNCTION("IFERROR(FILTER('RR1 Player Stats'!AH$3:AH$50, ISNUMBER(SEARCH($A47,'RR1 Player Stats'!$A$3:$A$50))),0)
+IFERROR(FILTER('RR2 Player Stats'!AH$3:AH$50, ISNUMBER(SEARCH($A47,'RR2 Player Stats'!$A$3:$A$50))),0)
+IFERROR(FILTER('RR3 Player Stats'!AH$3:AH$50, I"&amp;"SNUMBER(SEARCH($A47,'RR3 Player Stats'!$A$3:$A$50))),0)
+IFERROR(FILTER('RR4 Player Stats'!AH$3:AH$50, ISNUMBER(SEARCH($A47,'RR4 Player Stats'!$A$3:$A$50))),0)
+IFERROR(FILTER('RR5 Player Stats'!AH$3:AH$50, ISNUMBER(SEARCH($A47,'RR5 Player Stats'!$A$3:$A$"&amp;"50))),0)"),13.0)</f>
        <v>13</v>
      </c>
      <c r="P47" s="57">
        <f>IFERROR(__xludf.DUMMYFUNCTION("IFERROR(FILTER('RR1 Player Stats'!AI$3:AI$50, ISNUMBER(SEARCH($A47,'RR1 Player Stats'!$A$3:$A$50))),0)
+IFERROR(FILTER('RR2 Player Stats'!AI$3:AI$50, ISNUMBER(SEARCH($A47,'RR2 Player Stats'!$A$3:$A$50))),0)
+IFERROR(FILTER('RR3 Player Stats'!AI$3:AI$50, I"&amp;"SNUMBER(SEARCH($A47,'RR3 Player Stats'!$A$3:$A$50))),0)
+IFERROR(FILTER('RR4 Player Stats'!AI$3:AI$50, ISNUMBER(SEARCH($A47,'RR4 Player Stats'!$A$3:$A$50))),0)
+IFERROR(FILTER('RR5 Player Stats'!AI$3:AI$50, ISNUMBER(SEARCH($A47,'RR5 Player Stats'!$A$3:$A$"&amp;"50))),0)"),1.0)</f>
        <v>1</v>
      </c>
      <c r="Q47" s="57">
        <f>IFERROR(__xludf.DUMMYFUNCTION("IFERROR(FILTER('RR1 Player Stats'!AJ$3:AJ$50, ISNUMBER(SEARCH($A47,'RR1 Player Stats'!$A$3:$A$50))),0)
+IFERROR(FILTER('RR2 Player Stats'!AJ$3:AJ$50, ISNUMBER(SEARCH($A47,'RR2 Player Stats'!$A$3:$A$50))),0)
+IFERROR(FILTER('RR3 Player Stats'!AJ$3:AJ$50, I"&amp;"SNUMBER(SEARCH($A47,'RR3 Player Stats'!$A$3:$A$50))),0)
+IFERROR(FILTER('RR4 Player Stats'!AJ$3:AJ$50, ISNUMBER(SEARCH($A47,'RR4 Player Stats'!$A$3:$A$50))),0)
+IFERROR(FILTER('RR5 Player Stats'!AJ$3:AJ$50, ISNUMBER(SEARCH($A47,'RR5 Player Stats'!$A$3:$A$"&amp;"50))),0)"),0.0)</f>
        <v>0</v>
      </c>
      <c r="R47" s="57">
        <f>IFERROR(__xludf.DUMMYFUNCTION("IFERROR(FILTER('RR1 Player Stats'!AK$3:AK$50, ISNUMBER(SEARCH($A47,'RR1 Player Stats'!$A$3:$A$50))),0)
+IFERROR(FILTER('RR2 Player Stats'!AK$3:AK$50, ISNUMBER(SEARCH($A47,'RR2 Player Stats'!$A$3:$A$50))),0)
+IFERROR(FILTER('RR3 Player Stats'!AK$3:AK$50, I"&amp;"SNUMBER(SEARCH($A47,'RR3 Player Stats'!$A$3:$A$50))),0)
+IFERROR(FILTER('RR4 Player Stats'!AK$3:AK$50, ISNUMBER(SEARCH($A47,'RR4 Player Stats'!$A$3:$A$50))),0)
+IFERROR(FILTER('RR5 Player Stats'!AK$3:AK$50, ISNUMBER(SEARCH($A47,'RR5 Player Stats'!$A$3:$A$"&amp;"50))),0)"),58.0)</f>
        <v>58</v>
      </c>
      <c r="S47" s="57">
        <f>IFERROR(__xludf.DUMMYFUNCTION("IFERROR(FILTER('RR1 Player Stats'!AL$3:AL$50, ISNUMBER(SEARCH($A47,'RR1 Player Stats'!$A$3:$A$50))),0)
+IFERROR(FILTER('RR2 Player Stats'!AL$3:AL$50, ISNUMBER(SEARCH($A47,'RR2 Player Stats'!$A$3:$A$50))),0)
+IFERROR(FILTER('RR3 Player Stats'!AL$3:AL$50, I"&amp;"SNUMBER(SEARCH($A47,'RR3 Player Stats'!$A$3:$A$50))),0)
+IFERROR(FILTER('RR4 Player Stats'!AL$3:AL$50, ISNUMBER(SEARCH($A47,'RR4 Player Stats'!$A$3:$A$50))),0)
+IFERROR(FILTER('RR5 Player Stats'!AL$3:AL$50, ISNUMBER(SEARCH($A47,'RR5 Player Stats'!$A$3:$A$"&amp;"50))),0)"),58.0)</f>
        <v>58</v>
      </c>
      <c r="T47" s="180">
        <f>IFERROR(__xludf.DUMMYFUNCTION("(IFERROR(FILTER('RR1 Player Stats'!AM$3:AM$50, ISNUMBER(SEARCH($A47,'RR1 Player Stats'!$A$3:$A$50))),0)
+IFERROR(FILTER('RR2 Player Stats'!AM$3:AM$50, ISNUMBER(SEARCH($A47,'RR2 Player Stats'!$A$3:$A$50))),0)
+IFERROR(FILTER('RR3 Player Stats'!AM$3:AM$50, "&amp;"ISNUMBER(SEARCH($A47,'RR3 Player Stats'!$A$3:$A$50))),0)
+IFERROR(FILTER('RR4 Player Stats'!AM$3:AM$50, ISNUMBER(SEARCH($A47,'RR4 Player Stats'!$A$3:$A$50))),0)
+IFERROR(FILTER('RR5 Player Stats'!AM$3:AM$50, ISNUMBER(SEARCH($A47,'RR5 Player Stats'!$A$3:$A"&amp;"$50))),0))/B47"),0.14)</f>
        <v>0.14</v>
      </c>
      <c r="U47" s="55">
        <f>IFERROR(__xludf.DUMMYFUNCTION("MEDIAN(IFERROR(FILTER('RR1 Player Stats'!AH$3:AH$50, ISNUMBER(SEARCH($A47,'RR1 Player Stats'!$A$3:$A$50))),0),IFERROR(FILTER('RR2 Player Stats'!AH$3:AH$50, ISNUMBER(SEARCH($A47,'RR2 Player Stats'!$A$3:$A$50))),0),IFERROR(FILTER('RR3 Player Stats'!AH$3:AH$"&amp;"50, ISNUMBER(SEARCH($A47,'RR3 Player Stats'!$A$3:$A$50))),0),IFERROR(FILTER('RR4 Player Stats'!AH$3:AH$50, ISNUMBER(SEARCH($A47,'RR4 Player Stats'!$A$3:$A$50))),0),IFERROR(FILTER('RR5 Player Stats'!AH$3:AH$50, ISNUMBER(SEARCH($A47,'RR5 Player Stats'!$A$3:"&amp;"$A$50))),0))"),3.0)</f>
        <v>3</v>
      </c>
      <c r="V47" s="57">
        <f>IFERROR(__xludf.DUMMYFUNCTION("MEDIAN(IFERROR(FILTER('RR1 Player Stats'!AI$3:AI$50, ISNUMBER(SEARCH($A47,'RR1 Player Stats'!$A$3:$A$50))),0),IFERROR(FILTER('RR2 Player Stats'!AI$3:AI$50, ISNUMBER(SEARCH($A47,'RR2 Player Stats'!$A$3:$A$50))),0),IFERROR(FILTER('RR3 Player Stats'!AI$3:AI$"&amp;"50, ISNUMBER(SEARCH($A47,'RR3 Player Stats'!$A$3:$A$50))),0),IFERROR(FILTER('RR4 Player Stats'!AI$3:AI$50, ISNUMBER(SEARCH($A47,'RR4 Player Stats'!$A$3:$A$50))),0),IFERROR(FILTER('RR5 Player Stats'!AI$3:AI$50, ISNUMBER(SEARCH($A47,'RR5 Player Stats'!$A$3:"&amp;"$A$50))),0))"),0.0)</f>
        <v>0</v>
      </c>
      <c r="W47" s="57">
        <f>IFERROR(__xludf.DUMMYFUNCTION("MEDIAN(IFERROR(FILTER('RR1 Player Stats'!AJ$3:AJ$50, ISNUMBER(SEARCH($A47,'RR1 Player Stats'!$A$3:$A$50))),0),IFERROR(FILTER('RR2 Player Stats'!AJ$3:AJ$50, ISNUMBER(SEARCH($A47,'RR2 Player Stats'!$A$3:$A$50))),0),IFERROR(FILTER('RR3 Player Stats'!AJ$3:AJ$"&amp;"50, ISNUMBER(SEARCH($A47,'RR3 Player Stats'!$A$3:$A$50))),0),IFERROR(FILTER('RR4 Player Stats'!AJ$3:AJ$50, ISNUMBER(SEARCH($A47,'RR4 Player Stats'!$A$3:$A$50))),0),IFERROR(FILTER('RR5 Player Stats'!AJ$3:AJ$50, ISNUMBER(SEARCH($A47,'RR5 Player Stats'!$A$3:"&amp;"$A$50))),0))"),0.0)</f>
        <v>0</v>
      </c>
      <c r="X47" s="57">
        <f>IFERROR(__xludf.DUMMYFUNCTION("MEDIAN(IFERROR(FILTER('RR1 Player Stats'!AK$3:AK$50, ISNUMBER(SEARCH($A47,'RR1 Player Stats'!$A$3:$A$50))),0),IFERROR(FILTER('RR2 Player Stats'!AK$3:AK$50, ISNUMBER(SEARCH($A47,'RR2 Player Stats'!$A$3:$A$50))),0),IFERROR(FILTER('RR3 Player Stats'!AK$3:AK$"&amp;"50, ISNUMBER(SEARCH($A47,'RR3 Player Stats'!$A$3:$A$50))),0),IFERROR(FILTER('RR4 Player Stats'!AK$3:AK$50, ISNUMBER(SEARCH($A47,'RR4 Player Stats'!$A$3:$A$50))),0),IFERROR(FILTER('RR5 Player Stats'!AK$3:AK$50, ISNUMBER(SEARCH($A47,'RR5 Player Stats'!$A$3:"&amp;"$A$50))),0))"),12.0)</f>
        <v>12</v>
      </c>
      <c r="Y47" s="57">
        <f>IFERROR(__xludf.DUMMYFUNCTION("MEDIAN(IFERROR(FILTER('RR1 Player Stats'!AL$3:AL$50, ISNUMBER(SEARCH($A47,'RR1 Player Stats'!$A$3:$A$50))),0),IFERROR(FILTER('RR2 Player Stats'!AL$3:AL$50, ISNUMBER(SEARCH($A47,'RR2 Player Stats'!$A$3:$A$50))),0),IFERROR(FILTER('RR3 Player Stats'!AL$3:AL$"&amp;"50, ISNUMBER(SEARCH($A47,'RR3 Player Stats'!$A$3:$A$50))),0),IFERROR(FILTER('RR4 Player Stats'!AL$3:AL$50, ISNUMBER(SEARCH($A47,'RR4 Player Stats'!$A$3:$A$50))),0),IFERROR(FILTER('RR5 Player Stats'!AL$3:AL$50, ISNUMBER(SEARCH($A47,'RR5 Player Stats'!$A$3:"&amp;"$A$50))),0))"),12.0)</f>
        <v>12</v>
      </c>
      <c r="Z47" s="180">
        <f>IFERROR(__xludf.DUMMYFUNCTION("MEDIAN(IFERROR(FILTER('RR1 Player Stats'!AM$3:AM$50, ISNUMBER(SEARCH($A47,'RR1 Player Stats'!$A$3:$A$50))),0),IFERROR(FILTER('RR2 Player Stats'!AM$3:AM$50, ISNUMBER(SEARCH($A47,'RR2 Player Stats'!$A$3:$A$50))),0),IFERROR(FILTER('RR3 Player Stats'!AM$3:AM$"&amp;"50, ISNUMBER(SEARCH($A47,'RR3 Player Stats'!$A$3:$A$50))),0),IFERROR(FILTER('RR4 Player Stats'!AM$3:AM$50, ISNUMBER(SEARCH($A47,'RR4 Player Stats'!$A$3:$A$50))),0),IFERROR(FILTER('RR5 Player Stats'!AM$3:AM$50, ISNUMBER(SEARCH($A47,'RR5 Player Stats'!$A$3:"&amp;"$A$50))),0))"),0.15)</f>
        <v>0.15</v>
      </c>
    </row>
    <row r="48">
      <c r="A48" s="29" t="s">
        <v>39</v>
      </c>
      <c r="B48" s="48">
        <f>COUNTIF('RR1 Player Stats'!$A$3:$A$50,$A48)+COUNTIF('RR2 Player Stats'!$A$3:$A$50,$A48)+COUNTIF('RR3 Player Stats'!$A$3:$A$50,$A48)+COUNTIF('RR4 Player Stats'!$A$3:$A$50,$A48)+COUNTIF('RR5 Player Stats'!$A$3:$A$50,$A48)</f>
        <v>3</v>
      </c>
      <c r="C48" s="55">
        <f>IFERROR(__xludf.DUMMYFUNCTION("IFERROR(FILTER('RR1 Player Stats'!V$3:V$50, ISNUMBER(SEARCH($A48,'RR1 Player Stats'!$A$3:$A$50))),0)
+IFERROR(FILTER('RR2 Player Stats'!V$3:V$50, ISNUMBER(SEARCH($A48,'RR2 Player Stats'!$A$3:$A$50))),0)
+IFERROR(FILTER('RR3 Player Stats'!V$3:V$50, ISNUMBE"&amp;"R(SEARCH($A48,'RR3 Player Stats'!$A$3:$A$50))),0)
+IFERROR(FILTER('RR4 Player Stats'!V$3:V$50, ISNUMBER(SEARCH($A48,'RR4 Player Stats'!$A$3:$A$50))),0)
+IFERROR(FILTER('RR5 Player Stats'!V$3:V$50, ISNUMBER(SEARCH($A48,'RR5 Player Stats'!$A$3:$A$50))),0)"),6.0)</f>
        <v>6</v>
      </c>
      <c r="D48" s="57">
        <f>IFERROR(__xludf.DUMMYFUNCTION("IFERROR(FILTER('RR1 Player Stats'!W$3:W$50, ISNUMBER(SEARCH($A48,'RR1 Player Stats'!$A$3:$A$50))),0)
+IFERROR(FILTER('RR2 Player Stats'!W$3:W$50, ISNUMBER(SEARCH($A48,'RR2 Player Stats'!$A$3:$A$50))),0)
+IFERROR(FILTER('RR3 Player Stats'!W$3:W$50, ISNUMBE"&amp;"R(SEARCH($A48,'RR3 Player Stats'!$A$3:$A$50))),0)
+IFERROR(FILTER('RR4 Player Stats'!W$3:W$50, ISNUMBER(SEARCH($A48,'RR4 Player Stats'!$A$3:$A$50))),0)
+IFERROR(FILTER('RR5 Player Stats'!W$3:W$50, ISNUMBER(SEARCH($A48,'RR5 Player Stats'!$A$3:$A$50))),0)"),1.0)</f>
        <v>1</v>
      </c>
      <c r="E48" s="57">
        <f>IFERROR(__xludf.DUMMYFUNCTION("IFERROR(FILTER('RR1 Player Stats'!X$3:X$50, ISNUMBER(SEARCH($A48,'RR1 Player Stats'!$A$3:$A$50))),0)
+IFERROR(FILTER('RR2 Player Stats'!X$3:X$50, ISNUMBER(SEARCH($A48,'RR2 Player Stats'!$A$3:$A$50))),0)
+IFERROR(FILTER('RR3 Player Stats'!X$3:X$50, ISNUMBE"&amp;"R(SEARCH($A48,'RR3 Player Stats'!$A$3:$A$50))),0)
+IFERROR(FILTER('RR4 Player Stats'!X$3:X$50, ISNUMBER(SEARCH($A48,'RR4 Player Stats'!$A$3:$A$50))),0)
+IFERROR(FILTER('RR5 Player Stats'!X$3:X$50, ISNUMBER(SEARCH($A48,'RR5 Player Stats'!$A$3:$A$50))),0)"),1.0)</f>
        <v>1</v>
      </c>
      <c r="F48" s="57">
        <f>IFERROR(__xludf.DUMMYFUNCTION("IFERROR(FILTER('RR1 Player Stats'!Y$3:Y$50, ISNUMBER(SEARCH($A48,'RR1 Player Stats'!$A$3:$A$50))),0)
+IFERROR(FILTER('RR2 Player Stats'!Y$3:Y$50, ISNUMBER(SEARCH($A48,'RR2 Player Stats'!$A$3:$A$50))),0)
+IFERROR(FILTER('RR3 Player Stats'!Y$3:Y$50, ISNUMBE"&amp;"R(SEARCH($A48,'RR3 Player Stats'!$A$3:$A$50))),0)
+IFERROR(FILTER('RR4 Player Stats'!Y$3:Y$50, ISNUMBER(SEARCH($A48,'RR4 Player Stats'!$A$3:$A$50))),0)
+IFERROR(FILTER('RR5 Player Stats'!Y$3:Y$50, ISNUMBER(SEARCH($A48,'RR5 Player Stats'!$A$3:$A$50))),0)"),30.0)</f>
        <v>30</v>
      </c>
      <c r="G48" s="57">
        <f>IFERROR(__xludf.DUMMYFUNCTION("IFERROR(FILTER('RR1 Player Stats'!Z$3:Z$50, ISNUMBER(SEARCH($A48,'RR1 Player Stats'!$A$3:$A$50))),0)
+IFERROR(FILTER('RR2 Player Stats'!Z$3:Z$50, ISNUMBER(SEARCH($A48,'RR2 Player Stats'!$A$3:$A$50))),0)
+IFERROR(FILTER('RR3 Player Stats'!Z$3:Z$50, ISNUMBE"&amp;"R(SEARCH($A48,'RR3 Player Stats'!$A$3:$A$50))),0)
+IFERROR(FILTER('RR4 Player Stats'!Z$3:Z$50, ISNUMBER(SEARCH($A48,'RR4 Player Stats'!$A$3:$A$50))),0)
+IFERROR(FILTER('RR5 Player Stats'!Z$3:Z$50, ISNUMBER(SEARCH($A48,'RR5 Player Stats'!$A$3:$A$50))),0)"),26.0)</f>
        <v>26</v>
      </c>
      <c r="H48" s="180">
        <f>IFERROR(__xludf.DUMMYFUNCTION("(IFERROR(FILTER('RR1 Player Stats'!AA$3:AA$50, ISNUMBER(SEARCH($A48,'RR1 Player Stats'!$A$3:$A$50))),0)
+IFERROR(FILTER('RR2 Player Stats'!AA$3:AA$50, ISNUMBER(SEARCH($A48,'RR2 Player Stats'!$A$3:$A$50))),0)
+IFERROR(FILTER('RR3 Player Stats'!AA$3:AA$50, "&amp;"ISNUMBER(SEARCH($A48,'RR3 Player Stats'!$A$3:$A$50))),0)
+IFERROR(FILTER('RR4 Player Stats'!AA$3:AA$50, ISNUMBER(SEARCH($A48,'RR4 Player Stats'!$A$3:$A$50))),0)
+IFERROR(FILTER('RR5 Player Stats'!AA$3:AA$50, ISNUMBER(SEARCH($A48,'RR5 Player Stats'!$A$3:$A"&amp;"$50))),0))/5"),0.11800000000000002)</f>
        <v>0.118</v>
      </c>
      <c r="I48" s="55">
        <f>IFERROR(__xludf.DUMMYFUNCTION("IFERROR(FILTER('RR1 Player Stats'!AB$3:AB$50, ISNUMBER(SEARCH($A48,'RR1 Player Stats'!$A$3:$A$50))),0)
+IFERROR(FILTER('RR2 Player Stats'!AB$3:AB$50, ISNUMBER(SEARCH($A48,'RR2 Player Stats'!$A$3:$A$50))),0)
+IFERROR(FILTER('RR3 Player Stats'!AB$3:AB$50, I"&amp;"SNUMBER(SEARCH($A48,'RR3 Player Stats'!$A$3:$A$50))),0)
+IFERROR(FILTER('RR4 Player Stats'!AB$3:AB$50, ISNUMBER(SEARCH($A48,'RR4 Player Stats'!$A$3:$A$50))),0)
+IFERROR(FILTER('RR5 Player Stats'!AB$3:AB$50, ISNUMBER(SEARCH($A48,'RR5 Player Stats'!$A$3:$A$"&amp;"50))),0)"),3.0)</f>
        <v>3</v>
      </c>
      <c r="J48" s="57">
        <f>IFERROR(__xludf.DUMMYFUNCTION("IFERROR(FILTER('RR1 Player Stats'!AC$3:AC$50, ISNUMBER(SEARCH($A48,'RR1 Player Stats'!$A$3:$A$50))),0)
+IFERROR(FILTER('RR2 Player Stats'!AC$3:AC$50, ISNUMBER(SEARCH($A48,'RR2 Player Stats'!$A$3:$A$50))),0)
+IFERROR(FILTER('RR3 Player Stats'!AC$3:AC$50, I"&amp;"SNUMBER(SEARCH($A48,'RR3 Player Stats'!$A$3:$A$50))),0)
+IFERROR(FILTER('RR4 Player Stats'!AC$3:AC$50, ISNUMBER(SEARCH($A48,'RR4 Player Stats'!$A$3:$A$50))),0)
+IFERROR(FILTER('RR5 Player Stats'!AC$3:AC$50, ISNUMBER(SEARCH($A48,'RR5 Player Stats'!$A$3:$A$"&amp;"50))),0)"),1.0)</f>
        <v>1</v>
      </c>
      <c r="K48" s="57">
        <f>IFERROR(__xludf.DUMMYFUNCTION("IFERROR(FILTER('RR1 Player Stats'!AD$3:AD$50, ISNUMBER(SEARCH($A48,'RR1 Player Stats'!$A$3:$A$50))),0)
+IFERROR(FILTER('RR2 Player Stats'!AD$3:AD$50, ISNUMBER(SEARCH($A48,'RR2 Player Stats'!$A$3:$A$50))),0)
+IFERROR(FILTER('RR3 Player Stats'!AD$3:AD$50, I"&amp;"SNUMBER(SEARCH($A48,'RR3 Player Stats'!$A$3:$A$50))),0)
+IFERROR(FILTER('RR4 Player Stats'!AD$3:AD$50, ISNUMBER(SEARCH($A48,'RR4 Player Stats'!$A$3:$A$50))),0)
+IFERROR(FILTER('RR5 Player Stats'!AD$3:AD$50, ISNUMBER(SEARCH($A48,'RR5 Player Stats'!$A$3:$A$"&amp;"50))),0)"),3.0)</f>
        <v>3</v>
      </c>
      <c r="L48" s="57">
        <f>IFERROR(__xludf.DUMMYFUNCTION("IFERROR(FILTER('RR1 Player Stats'!AE$3:AE$50, ISNUMBER(SEARCH($A48,'RR1 Player Stats'!$A$3:$A$50))),0)
+IFERROR(FILTER('RR2 Player Stats'!AE$3:AE$50, ISNUMBER(SEARCH($A48,'RR2 Player Stats'!$A$3:$A$50))),0)
+IFERROR(FILTER('RR3 Player Stats'!AE$3:AE$50, I"&amp;"SNUMBER(SEARCH($A48,'RR3 Player Stats'!$A$3:$A$50))),0)
+IFERROR(FILTER('RR4 Player Stats'!AE$3:AE$50, ISNUMBER(SEARCH($A48,'RR4 Player Stats'!$A$3:$A$50))),0)
+IFERROR(FILTER('RR5 Player Stats'!AE$3:AE$50, ISNUMBER(SEARCH($A48,'RR5 Player Stats'!$A$3:$A$"&amp;"50))),0)"),18.0)</f>
        <v>18</v>
      </c>
      <c r="M48" s="57">
        <f>IFERROR(__xludf.DUMMYFUNCTION("IFERROR(FILTER('RR1 Player Stats'!AF$3:AF$50, ISNUMBER(SEARCH($A48,'RR1 Player Stats'!$A$3:$A$50))),0)
+IFERROR(FILTER('RR2 Player Stats'!AF$3:AF$50, ISNUMBER(SEARCH($A48,'RR2 Player Stats'!$A$3:$A$50))),0)
+IFERROR(FILTER('RR3 Player Stats'!AF$3:AF$50, I"&amp;"SNUMBER(SEARCH($A48,'RR3 Player Stats'!$A$3:$A$50))),0)
+IFERROR(FILTER('RR4 Player Stats'!AF$3:AF$50, ISNUMBER(SEARCH($A48,'RR4 Player Stats'!$A$3:$A$50))),0)
+IFERROR(FILTER('RR5 Player Stats'!AF$3:AF$50, ISNUMBER(SEARCH($A48,'RR5 Player Stats'!$A$3:$A$"&amp;"50))),0)"),6.0)</f>
        <v>6</v>
      </c>
      <c r="N48" s="180">
        <f>IFERROR(__xludf.DUMMYFUNCTION("(IFERROR(FILTER('RR1 Player Stats'!AG$3:AG$50, ISNUMBER(SEARCH($A48,'RR1 Player Stats'!$A$3:$A$50))),0)
+IFERROR(FILTER('RR2 Player Stats'!AG$3:AG$50, ISNUMBER(SEARCH($A48,'RR2 Player Stats'!$A$3:$A$50))),0)
+IFERROR(FILTER('RR3 Player Stats'!AG$3:AG$50, "&amp;"ISNUMBER(SEARCH($A48,'RR3 Player Stats'!$A$3:$A$50))),0)
+IFERROR(FILTER('RR4 Player Stats'!AG$3:AG$50, ISNUMBER(SEARCH($A48,'RR4 Player Stats'!$A$3:$A$50))),0)
+IFERROR(FILTER('RR5 Player Stats'!AG$3:AG$50, ISNUMBER(SEARCH($A48,'RR5 Player Stats'!$A$3:$A"&amp;"$50))),0))/5"),0.1)</f>
        <v>0.1</v>
      </c>
      <c r="O48" s="55">
        <f>IFERROR(__xludf.DUMMYFUNCTION("IFERROR(FILTER('RR1 Player Stats'!AH$3:AH$50, ISNUMBER(SEARCH($A48,'RR1 Player Stats'!$A$3:$A$50))),0)
+IFERROR(FILTER('RR2 Player Stats'!AH$3:AH$50, ISNUMBER(SEARCH($A48,'RR2 Player Stats'!$A$3:$A$50))),0)
+IFERROR(FILTER('RR3 Player Stats'!AH$3:AH$50, I"&amp;"SNUMBER(SEARCH($A48,'RR3 Player Stats'!$A$3:$A$50))),0)
+IFERROR(FILTER('RR4 Player Stats'!AH$3:AH$50, ISNUMBER(SEARCH($A48,'RR4 Player Stats'!$A$3:$A$50))),0)
+IFERROR(FILTER('RR5 Player Stats'!AH$3:AH$50, ISNUMBER(SEARCH($A48,'RR5 Player Stats'!$A$3:$A$"&amp;"50))),0)"),9.0)</f>
        <v>9</v>
      </c>
      <c r="P48" s="57">
        <f>IFERROR(__xludf.DUMMYFUNCTION("IFERROR(FILTER('RR1 Player Stats'!AI$3:AI$50, ISNUMBER(SEARCH($A48,'RR1 Player Stats'!$A$3:$A$50))),0)
+IFERROR(FILTER('RR2 Player Stats'!AI$3:AI$50, ISNUMBER(SEARCH($A48,'RR2 Player Stats'!$A$3:$A$50))),0)
+IFERROR(FILTER('RR3 Player Stats'!AI$3:AI$50, I"&amp;"SNUMBER(SEARCH($A48,'RR3 Player Stats'!$A$3:$A$50))),0)
+IFERROR(FILTER('RR4 Player Stats'!AI$3:AI$50, ISNUMBER(SEARCH($A48,'RR4 Player Stats'!$A$3:$A$50))),0)
+IFERROR(FILTER('RR5 Player Stats'!AI$3:AI$50, ISNUMBER(SEARCH($A48,'RR5 Player Stats'!$A$3:$A$"&amp;"50))),0)"),2.0)</f>
        <v>2</v>
      </c>
      <c r="Q48" s="57">
        <f>IFERROR(__xludf.DUMMYFUNCTION("IFERROR(FILTER('RR1 Player Stats'!AJ$3:AJ$50, ISNUMBER(SEARCH($A48,'RR1 Player Stats'!$A$3:$A$50))),0)
+IFERROR(FILTER('RR2 Player Stats'!AJ$3:AJ$50, ISNUMBER(SEARCH($A48,'RR2 Player Stats'!$A$3:$A$50))),0)
+IFERROR(FILTER('RR3 Player Stats'!AJ$3:AJ$50, I"&amp;"SNUMBER(SEARCH($A48,'RR3 Player Stats'!$A$3:$A$50))),0)
+IFERROR(FILTER('RR4 Player Stats'!AJ$3:AJ$50, ISNUMBER(SEARCH($A48,'RR4 Player Stats'!$A$3:$A$50))),0)
+IFERROR(FILTER('RR5 Player Stats'!AJ$3:AJ$50, ISNUMBER(SEARCH($A48,'RR5 Player Stats'!$A$3:$A$"&amp;"50))),0)"),4.0)</f>
        <v>4</v>
      </c>
      <c r="R48" s="57">
        <f>IFERROR(__xludf.DUMMYFUNCTION("IFERROR(FILTER('RR1 Player Stats'!AK$3:AK$50, ISNUMBER(SEARCH($A48,'RR1 Player Stats'!$A$3:$A$50))),0)
+IFERROR(FILTER('RR2 Player Stats'!AK$3:AK$50, ISNUMBER(SEARCH($A48,'RR2 Player Stats'!$A$3:$A$50))),0)
+IFERROR(FILTER('RR3 Player Stats'!AK$3:AK$50, I"&amp;"SNUMBER(SEARCH($A48,'RR3 Player Stats'!$A$3:$A$50))),0)
+IFERROR(FILTER('RR4 Player Stats'!AK$3:AK$50, ISNUMBER(SEARCH($A48,'RR4 Player Stats'!$A$3:$A$50))),0)
+IFERROR(FILTER('RR5 Player Stats'!AK$3:AK$50, ISNUMBER(SEARCH($A48,'RR5 Player Stats'!$A$3:$A$"&amp;"50))),0)"),48.0)</f>
        <v>48</v>
      </c>
      <c r="S48" s="57">
        <f>IFERROR(__xludf.DUMMYFUNCTION("IFERROR(FILTER('RR1 Player Stats'!AL$3:AL$50, ISNUMBER(SEARCH($A48,'RR1 Player Stats'!$A$3:$A$50))),0)
+IFERROR(FILTER('RR2 Player Stats'!AL$3:AL$50, ISNUMBER(SEARCH($A48,'RR2 Player Stats'!$A$3:$A$50))),0)
+IFERROR(FILTER('RR3 Player Stats'!AL$3:AL$50, I"&amp;"SNUMBER(SEARCH($A48,'RR3 Player Stats'!$A$3:$A$50))),0)
+IFERROR(FILTER('RR4 Player Stats'!AL$3:AL$50, ISNUMBER(SEARCH($A48,'RR4 Player Stats'!$A$3:$A$50))),0)
+IFERROR(FILTER('RR5 Player Stats'!AL$3:AL$50, ISNUMBER(SEARCH($A48,'RR5 Player Stats'!$A$3:$A$"&amp;"50))),0)"),32.0)</f>
        <v>32</v>
      </c>
      <c r="T48" s="180">
        <f>IFERROR(__xludf.DUMMYFUNCTION("(IFERROR(FILTER('RR1 Player Stats'!AM$3:AM$50, ISNUMBER(SEARCH($A48,'RR1 Player Stats'!$A$3:$A$50))),0)
+IFERROR(FILTER('RR2 Player Stats'!AM$3:AM$50, ISNUMBER(SEARCH($A48,'RR2 Player Stats'!$A$3:$A$50))),0)
+IFERROR(FILTER('RR3 Player Stats'!AM$3:AM$50, "&amp;"ISNUMBER(SEARCH($A48,'RR3 Player Stats'!$A$3:$A$50))),0)
+IFERROR(FILTER('RR4 Player Stats'!AM$3:AM$50, ISNUMBER(SEARCH($A48,'RR4 Player Stats'!$A$3:$A$50))),0)
+IFERROR(FILTER('RR5 Player Stats'!AM$3:AM$50, ISNUMBER(SEARCH($A48,'RR5 Player Stats'!$A$3:$A"&amp;"$50))),0))/B48"),0.18333333333333335)</f>
        <v>0.1833333333</v>
      </c>
      <c r="U48" s="55">
        <f>IFERROR(__xludf.DUMMYFUNCTION("MEDIAN(IFERROR(FILTER('RR1 Player Stats'!AH$3:AH$50, ISNUMBER(SEARCH($A48,'RR1 Player Stats'!$A$3:$A$50))),0),IFERROR(FILTER('RR2 Player Stats'!AH$3:AH$50, ISNUMBER(SEARCH($A48,'RR2 Player Stats'!$A$3:$A$50))),0),IFERROR(FILTER('RR3 Player Stats'!AH$3:AH$"&amp;"50, ISNUMBER(SEARCH($A48,'RR3 Player Stats'!$A$3:$A$50))),0),IFERROR(FILTER('RR4 Player Stats'!AH$3:AH$50, ISNUMBER(SEARCH($A48,'RR4 Player Stats'!$A$3:$A$50))),0),IFERROR(FILTER('RR5 Player Stats'!AH$3:AH$50, ISNUMBER(SEARCH($A48,'RR5 Player Stats'!$A$3:"&amp;"$A$50))),0))"),2.0)</f>
        <v>2</v>
      </c>
      <c r="V48" s="57">
        <f>IFERROR(__xludf.DUMMYFUNCTION("MEDIAN(IFERROR(FILTER('RR1 Player Stats'!AI$3:AI$50, ISNUMBER(SEARCH($A48,'RR1 Player Stats'!$A$3:$A$50))),0),IFERROR(FILTER('RR2 Player Stats'!AI$3:AI$50, ISNUMBER(SEARCH($A48,'RR2 Player Stats'!$A$3:$A$50))),0),IFERROR(FILTER('RR3 Player Stats'!AI$3:AI$"&amp;"50, ISNUMBER(SEARCH($A48,'RR3 Player Stats'!$A$3:$A$50))),0),IFERROR(FILTER('RR4 Player Stats'!AI$3:AI$50, ISNUMBER(SEARCH($A48,'RR4 Player Stats'!$A$3:$A$50))),0),IFERROR(FILTER('RR5 Player Stats'!AI$3:AI$50, ISNUMBER(SEARCH($A48,'RR5 Player Stats'!$A$3:"&amp;"$A$50))),0))"),0.0)</f>
        <v>0</v>
      </c>
      <c r="W48" s="57">
        <f>IFERROR(__xludf.DUMMYFUNCTION("MEDIAN(IFERROR(FILTER('RR1 Player Stats'!AJ$3:AJ$50, ISNUMBER(SEARCH($A48,'RR1 Player Stats'!$A$3:$A$50))),0),IFERROR(FILTER('RR2 Player Stats'!AJ$3:AJ$50, ISNUMBER(SEARCH($A48,'RR2 Player Stats'!$A$3:$A$50))),0),IFERROR(FILTER('RR3 Player Stats'!AJ$3:AJ$"&amp;"50, ISNUMBER(SEARCH($A48,'RR3 Player Stats'!$A$3:$A$50))),0),IFERROR(FILTER('RR4 Player Stats'!AJ$3:AJ$50, ISNUMBER(SEARCH($A48,'RR4 Player Stats'!$A$3:$A$50))),0),IFERROR(FILTER('RR5 Player Stats'!AJ$3:AJ$50, ISNUMBER(SEARCH($A48,'RR5 Player Stats'!$A$3:"&amp;"$A$50))),0))"),0.0)</f>
        <v>0</v>
      </c>
      <c r="X48" s="57">
        <f>IFERROR(__xludf.DUMMYFUNCTION("MEDIAN(IFERROR(FILTER('RR1 Player Stats'!AK$3:AK$50, ISNUMBER(SEARCH($A48,'RR1 Player Stats'!$A$3:$A$50))),0),IFERROR(FILTER('RR2 Player Stats'!AK$3:AK$50, ISNUMBER(SEARCH($A48,'RR2 Player Stats'!$A$3:$A$50))),0),IFERROR(FILTER('RR3 Player Stats'!AK$3:AK$"&amp;"50, ISNUMBER(SEARCH($A48,'RR3 Player Stats'!$A$3:$A$50))),0),IFERROR(FILTER('RR4 Player Stats'!AK$3:AK$50, ISNUMBER(SEARCH($A48,'RR4 Player Stats'!$A$3:$A$50))),0),IFERROR(FILTER('RR5 Player Stats'!AK$3:AK$50, ISNUMBER(SEARCH($A48,'RR5 Player Stats'!$A$3:"&amp;"$A$50))),0))"),8.0)</f>
        <v>8</v>
      </c>
      <c r="Y48" s="57">
        <f>IFERROR(__xludf.DUMMYFUNCTION("MEDIAN(IFERROR(FILTER('RR1 Player Stats'!AL$3:AL$50, ISNUMBER(SEARCH($A48,'RR1 Player Stats'!$A$3:$A$50))),0),IFERROR(FILTER('RR2 Player Stats'!AL$3:AL$50, ISNUMBER(SEARCH($A48,'RR2 Player Stats'!$A$3:$A$50))),0),IFERROR(FILTER('RR3 Player Stats'!AL$3:AL$"&amp;"50, ISNUMBER(SEARCH($A48,'RR3 Player Stats'!$A$3:$A$50))),0),IFERROR(FILTER('RR4 Player Stats'!AL$3:AL$50, ISNUMBER(SEARCH($A48,'RR4 Player Stats'!$A$3:$A$50))),0),IFERROR(FILTER('RR5 Player Stats'!AL$3:AL$50, ISNUMBER(SEARCH($A48,'RR5 Player Stats'!$A$3:"&amp;"$A$50))),0))"),0.0)</f>
        <v>0</v>
      </c>
      <c r="Z48" s="180">
        <f>IFERROR(__xludf.DUMMYFUNCTION("MEDIAN(IFERROR(FILTER('RR1 Player Stats'!AM$3:AM$50, ISNUMBER(SEARCH($A48,'RR1 Player Stats'!$A$3:$A$50))),0),IFERROR(FILTER('RR2 Player Stats'!AM$3:AM$50, ISNUMBER(SEARCH($A48,'RR2 Player Stats'!$A$3:$A$50))),0),IFERROR(FILTER('RR3 Player Stats'!AM$3:AM$"&amp;"50, ISNUMBER(SEARCH($A48,'RR3 Player Stats'!$A$3:$A$50))),0),IFERROR(FILTER('RR4 Player Stats'!AM$3:AM$50, ISNUMBER(SEARCH($A48,'RR4 Player Stats'!$A$3:$A$50))),0),IFERROR(FILTER('RR5 Player Stats'!AM$3:AM$50, ISNUMBER(SEARCH($A48,'RR5 Player Stats'!$A$3:"&amp;"$A$50))),0))"),0.1)</f>
        <v>0.1</v>
      </c>
    </row>
    <row r="49">
      <c r="A49" s="29" t="s">
        <v>58</v>
      </c>
      <c r="B49" s="48">
        <f>COUNTIF('RR1 Player Stats'!$A$3:$A$50,$A49)+COUNTIF('RR2 Player Stats'!$A$3:$A$50,$A49)+COUNTIF('RR3 Player Stats'!$A$3:$A$50,$A49)+COUNTIF('RR4 Player Stats'!$A$3:$A$50,$A49)+COUNTIF('RR5 Player Stats'!$A$3:$A$50,$A49)</f>
        <v>5</v>
      </c>
      <c r="C49" s="55">
        <f>IFERROR(__xludf.DUMMYFUNCTION("IFERROR(FILTER('RR1 Player Stats'!V$3:V$50, ISNUMBER(SEARCH($A49,'RR1 Player Stats'!$A$3:$A$50))),0)
+IFERROR(FILTER('RR2 Player Stats'!V$3:V$50, ISNUMBER(SEARCH($A49,'RR2 Player Stats'!$A$3:$A$50))),0)
+IFERROR(FILTER('RR3 Player Stats'!V$3:V$50, ISNUMBE"&amp;"R(SEARCH($A49,'RR3 Player Stats'!$A$3:$A$50))),0)
+IFERROR(FILTER('RR4 Player Stats'!V$3:V$50, ISNUMBER(SEARCH($A49,'RR4 Player Stats'!$A$3:$A$50))),0)
+IFERROR(FILTER('RR5 Player Stats'!V$3:V$50, ISNUMBER(SEARCH($A49,'RR5 Player Stats'!$A$3:$A$50))),0)"),6.0)</f>
        <v>6</v>
      </c>
      <c r="D49" s="57">
        <f>IFERROR(__xludf.DUMMYFUNCTION("IFERROR(FILTER('RR1 Player Stats'!W$3:W$50, ISNUMBER(SEARCH($A49,'RR1 Player Stats'!$A$3:$A$50))),0)
+IFERROR(FILTER('RR2 Player Stats'!W$3:W$50, ISNUMBER(SEARCH($A49,'RR2 Player Stats'!$A$3:$A$50))),0)
+IFERROR(FILTER('RR3 Player Stats'!W$3:W$50, ISNUMBE"&amp;"R(SEARCH($A49,'RR3 Player Stats'!$A$3:$A$50))),0)
+IFERROR(FILTER('RR4 Player Stats'!W$3:W$50, ISNUMBER(SEARCH($A49,'RR4 Player Stats'!$A$3:$A$50))),0)
+IFERROR(FILTER('RR5 Player Stats'!W$3:W$50, ISNUMBER(SEARCH($A49,'RR5 Player Stats'!$A$3:$A$50))),0)"),0.0)</f>
        <v>0</v>
      </c>
      <c r="E49" s="57">
        <f>IFERROR(__xludf.DUMMYFUNCTION("IFERROR(FILTER('RR1 Player Stats'!X$3:X$50, ISNUMBER(SEARCH($A49,'RR1 Player Stats'!$A$3:$A$50))),0)
+IFERROR(FILTER('RR2 Player Stats'!X$3:X$50, ISNUMBER(SEARCH($A49,'RR2 Player Stats'!$A$3:$A$50))),0)
+IFERROR(FILTER('RR3 Player Stats'!X$3:X$50, ISNUMBE"&amp;"R(SEARCH($A49,'RR3 Player Stats'!$A$3:$A$50))),0)
+IFERROR(FILTER('RR4 Player Stats'!X$3:X$50, ISNUMBER(SEARCH($A49,'RR4 Player Stats'!$A$3:$A$50))),0)
+IFERROR(FILTER('RR5 Player Stats'!X$3:X$50, ISNUMBER(SEARCH($A49,'RR5 Player Stats'!$A$3:$A$50))),0)"),0.0)</f>
        <v>0</v>
      </c>
      <c r="F49" s="57">
        <f>IFERROR(__xludf.DUMMYFUNCTION("IFERROR(FILTER('RR1 Player Stats'!Y$3:Y$50, ISNUMBER(SEARCH($A49,'RR1 Player Stats'!$A$3:$A$50))),0)
+IFERROR(FILTER('RR2 Player Stats'!Y$3:Y$50, ISNUMBER(SEARCH($A49,'RR2 Player Stats'!$A$3:$A$50))),0)
+IFERROR(FILTER('RR3 Player Stats'!Y$3:Y$50, ISNUMBE"&amp;"R(SEARCH($A49,'RR3 Player Stats'!$A$3:$A$50))),0)
+IFERROR(FILTER('RR4 Player Stats'!Y$3:Y$50, ISNUMBER(SEARCH($A49,'RR4 Player Stats'!$A$3:$A$50))),0)
+IFERROR(FILTER('RR5 Player Stats'!Y$3:Y$50, ISNUMBER(SEARCH($A49,'RR5 Player Stats'!$A$3:$A$50))),0)"),24.0)</f>
        <v>24</v>
      </c>
      <c r="G49" s="57">
        <f>IFERROR(__xludf.DUMMYFUNCTION("IFERROR(FILTER('RR1 Player Stats'!Z$3:Z$50, ISNUMBER(SEARCH($A49,'RR1 Player Stats'!$A$3:$A$50))),0)
+IFERROR(FILTER('RR2 Player Stats'!Z$3:Z$50, ISNUMBER(SEARCH($A49,'RR2 Player Stats'!$A$3:$A$50))),0)
+IFERROR(FILTER('RR3 Player Stats'!Z$3:Z$50, ISNUMBE"&amp;"R(SEARCH($A49,'RR3 Player Stats'!$A$3:$A$50))),0)
+IFERROR(FILTER('RR4 Player Stats'!Z$3:Z$50, ISNUMBER(SEARCH($A49,'RR4 Player Stats'!$A$3:$A$50))),0)
+IFERROR(FILTER('RR5 Player Stats'!Z$3:Z$50, ISNUMBER(SEARCH($A49,'RR5 Player Stats'!$A$3:$A$50))),0)"),24.0)</f>
        <v>24</v>
      </c>
      <c r="H49" s="180">
        <f>IFERROR(__xludf.DUMMYFUNCTION("(IFERROR(FILTER('RR1 Player Stats'!AA$3:AA$50, ISNUMBER(SEARCH($A49,'RR1 Player Stats'!$A$3:$A$50))),0)
+IFERROR(FILTER('RR2 Player Stats'!AA$3:AA$50, ISNUMBER(SEARCH($A49,'RR2 Player Stats'!$A$3:$A$50))),0)
+IFERROR(FILTER('RR3 Player Stats'!AA$3:AA$50, "&amp;"ISNUMBER(SEARCH($A49,'RR3 Player Stats'!$A$3:$A$50))),0)
+IFERROR(FILTER('RR4 Player Stats'!AA$3:AA$50, ISNUMBER(SEARCH($A49,'RR4 Player Stats'!$A$3:$A$50))),0)
+IFERROR(FILTER('RR5 Player Stats'!AA$3:AA$50, ISNUMBER(SEARCH($A49,'RR5 Player Stats'!$A$3:$A"&amp;"$50))),0))/5"),0.1)</f>
        <v>0.1</v>
      </c>
      <c r="I49" s="55">
        <f>IFERROR(__xludf.DUMMYFUNCTION("IFERROR(FILTER('RR1 Player Stats'!AB$3:AB$50, ISNUMBER(SEARCH($A49,'RR1 Player Stats'!$A$3:$A$50))),0)
+IFERROR(FILTER('RR2 Player Stats'!AB$3:AB$50, ISNUMBER(SEARCH($A49,'RR2 Player Stats'!$A$3:$A$50))),0)
+IFERROR(FILTER('RR3 Player Stats'!AB$3:AB$50, I"&amp;"SNUMBER(SEARCH($A49,'RR3 Player Stats'!$A$3:$A$50))),0)
+IFERROR(FILTER('RR4 Player Stats'!AB$3:AB$50, ISNUMBER(SEARCH($A49,'RR4 Player Stats'!$A$3:$A$50))),0)
+IFERROR(FILTER('RR5 Player Stats'!AB$3:AB$50, ISNUMBER(SEARCH($A49,'RR5 Player Stats'!$A$3:$A$"&amp;"50))),0)"),3.0)</f>
        <v>3</v>
      </c>
      <c r="J49" s="57">
        <f>IFERROR(__xludf.DUMMYFUNCTION("IFERROR(FILTER('RR1 Player Stats'!AC$3:AC$50, ISNUMBER(SEARCH($A49,'RR1 Player Stats'!$A$3:$A$50))),0)
+IFERROR(FILTER('RR2 Player Stats'!AC$3:AC$50, ISNUMBER(SEARCH($A49,'RR2 Player Stats'!$A$3:$A$50))),0)
+IFERROR(FILTER('RR3 Player Stats'!AC$3:AC$50, I"&amp;"SNUMBER(SEARCH($A49,'RR3 Player Stats'!$A$3:$A$50))),0)
+IFERROR(FILTER('RR4 Player Stats'!AC$3:AC$50, ISNUMBER(SEARCH($A49,'RR4 Player Stats'!$A$3:$A$50))),0)
+IFERROR(FILTER('RR5 Player Stats'!AC$3:AC$50, ISNUMBER(SEARCH($A49,'RR5 Player Stats'!$A$3:$A$"&amp;"50))),0)"),0.0)</f>
        <v>0</v>
      </c>
      <c r="K49" s="57">
        <f>IFERROR(__xludf.DUMMYFUNCTION("IFERROR(FILTER('RR1 Player Stats'!AD$3:AD$50, ISNUMBER(SEARCH($A49,'RR1 Player Stats'!$A$3:$A$50))),0)
+IFERROR(FILTER('RR2 Player Stats'!AD$3:AD$50, ISNUMBER(SEARCH($A49,'RR2 Player Stats'!$A$3:$A$50))),0)
+IFERROR(FILTER('RR3 Player Stats'!AD$3:AD$50, I"&amp;"SNUMBER(SEARCH($A49,'RR3 Player Stats'!$A$3:$A$50))),0)
+IFERROR(FILTER('RR4 Player Stats'!AD$3:AD$50, ISNUMBER(SEARCH($A49,'RR4 Player Stats'!$A$3:$A$50))),0)
+IFERROR(FILTER('RR5 Player Stats'!AD$3:AD$50, ISNUMBER(SEARCH($A49,'RR5 Player Stats'!$A$3:$A$"&amp;"50))),0)"),0.0)</f>
        <v>0</v>
      </c>
      <c r="L49" s="57">
        <f>IFERROR(__xludf.DUMMYFUNCTION("IFERROR(FILTER('RR1 Player Stats'!AE$3:AE$50, ISNUMBER(SEARCH($A49,'RR1 Player Stats'!$A$3:$A$50))),0)
+IFERROR(FILTER('RR2 Player Stats'!AE$3:AE$50, ISNUMBER(SEARCH($A49,'RR2 Player Stats'!$A$3:$A$50))),0)
+IFERROR(FILTER('RR3 Player Stats'!AE$3:AE$50, I"&amp;"SNUMBER(SEARCH($A49,'RR3 Player Stats'!$A$3:$A$50))),0)
+IFERROR(FILTER('RR4 Player Stats'!AE$3:AE$50, ISNUMBER(SEARCH($A49,'RR4 Player Stats'!$A$3:$A$50))),0)
+IFERROR(FILTER('RR5 Player Stats'!AE$3:AE$50, ISNUMBER(SEARCH($A49,'RR5 Player Stats'!$A$3:$A$"&amp;"50))),0)"),12.0)</f>
        <v>12</v>
      </c>
      <c r="M49" s="57">
        <f>IFERROR(__xludf.DUMMYFUNCTION("IFERROR(FILTER('RR1 Player Stats'!AF$3:AF$50, ISNUMBER(SEARCH($A49,'RR1 Player Stats'!$A$3:$A$50))),0)
+IFERROR(FILTER('RR2 Player Stats'!AF$3:AF$50, ISNUMBER(SEARCH($A49,'RR2 Player Stats'!$A$3:$A$50))),0)
+IFERROR(FILTER('RR3 Player Stats'!AF$3:AF$50, I"&amp;"SNUMBER(SEARCH($A49,'RR3 Player Stats'!$A$3:$A$50))),0)
+IFERROR(FILTER('RR4 Player Stats'!AF$3:AF$50, ISNUMBER(SEARCH($A49,'RR4 Player Stats'!$A$3:$A$50))),0)
+IFERROR(FILTER('RR5 Player Stats'!AF$3:AF$50, ISNUMBER(SEARCH($A49,'RR5 Player Stats'!$A$3:$A$"&amp;"50))),0)"),12.0)</f>
        <v>12</v>
      </c>
      <c r="N49" s="180">
        <f>IFERROR(__xludf.DUMMYFUNCTION("(IFERROR(FILTER('RR1 Player Stats'!AG$3:AG$50, ISNUMBER(SEARCH($A49,'RR1 Player Stats'!$A$3:$A$50))),0)
+IFERROR(FILTER('RR2 Player Stats'!AG$3:AG$50, ISNUMBER(SEARCH($A49,'RR2 Player Stats'!$A$3:$A$50))),0)
+IFERROR(FILTER('RR3 Player Stats'!AG$3:AG$50, "&amp;"ISNUMBER(SEARCH($A49,'RR3 Player Stats'!$A$3:$A$50))),0)
+IFERROR(FILTER('RR4 Player Stats'!AG$3:AG$50, ISNUMBER(SEARCH($A49,'RR4 Player Stats'!$A$3:$A$50))),0)
+IFERROR(FILTER('RR5 Player Stats'!AG$3:AG$50, ISNUMBER(SEARCH($A49,'RR5 Player Stats'!$A$3:$A"&amp;"$50))),0))/5"),0.076)</f>
        <v>0.076</v>
      </c>
      <c r="O49" s="55">
        <f>IFERROR(__xludf.DUMMYFUNCTION("IFERROR(FILTER('RR1 Player Stats'!AH$3:AH$50, ISNUMBER(SEARCH($A49,'RR1 Player Stats'!$A$3:$A$50))),0)
+IFERROR(FILTER('RR2 Player Stats'!AH$3:AH$50, ISNUMBER(SEARCH($A49,'RR2 Player Stats'!$A$3:$A$50))),0)
+IFERROR(FILTER('RR3 Player Stats'!AH$3:AH$50, I"&amp;"SNUMBER(SEARCH($A49,'RR3 Player Stats'!$A$3:$A$50))),0)
+IFERROR(FILTER('RR4 Player Stats'!AH$3:AH$50, ISNUMBER(SEARCH($A49,'RR4 Player Stats'!$A$3:$A$50))),0)
+IFERROR(FILTER('RR5 Player Stats'!AH$3:AH$50, ISNUMBER(SEARCH($A49,'RR5 Player Stats'!$A$3:$A$"&amp;"50))),0)"),9.0)</f>
        <v>9</v>
      </c>
      <c r="P49" s="57">
        <f>IFERROR(__xludf.DUMMYFUNCTION("IFERROR(FILTER('RR1 Player Stats'!AI$3:AI$50, ISNUMBER(SEARCH($A49,'RR1 Player Stats'!$A$3:$A$50))),0)
+IFERROR(FILTER('RR2 Player Stats'!AI$3:AI$50, ISNUMBER(SEARCH($A49,'RR2 Player Stats'!$A$3:$A$50))),0)
+IFERROR(FILTER('RR3 Player Stats'!AI$3:AI$50, I"&amp;"SNUMBER(SEARCH($A49,'RR3 Player Stats'!$A$3:$A$50))),0)
+IFERROR(FILTER('RR4 Player Stats'!AI$3:AI$50, ISNUMBER(SEARCH($A49,'RR4 Player Stats'!$A$3:$A$50))),0)
+IFERROR(FILTER('RR5 Player Stats'!AI$3:AI$50, ISNUMBER(SEARCH($A49,'RR5 Player Stats'!$A$3:$A$"&amp;"50))),0)"),0.0)</f>
        <v>0</v>
      </c>
      <c r="Q49" s="57">
        <f>IFERROR(__xludf.DUMMYFUNCTION("IFERROR(FILTER('RR1 Player Stats'!AJ$3:AJ$50, ISNUMBER(SEARCH($A49,'RR1 Player Stats'!$A$3:$A$50))),0)
+IFERROR(FILTER('RR2 Player Stats'!AJ$3:AJ$50, ISNUMBER(SEARCH($A49,'RR2 Player Stats'!$A$3:$A$50))),0)
+IFERROR(FILTER('RR3 Player Stats'!AJ$3:AJ$50, I"&amp;"SNUMBER(SEARCH($A49,'RR3 Player Stats'!$A$3:$A$50))),0)
+IFERROR(FILTER('RR4 Player Stats'!AJ$3:AJ$50, ISNUMBER(SEARCH($A49,'RR4 Player Stats'!$A$3:$A$50))),0)
+IFERROR(FILTER('RR5 Player Stats'!AJ$3:AJ$50, ISNUMBER(SEARCH($A49,'RR5 Player Stats'!$A$3:$A$"&amp;"50))),0)"),0.0)</f>
        <v>0</v>
      </c>
      <c r="R49" s="57">
        <f>IFERROR(__xludf.DUMMYFUNCTION("IFERROR(FILTER('RR1 Player Stats'!AK$3:AK$50, ISNUMBER(SEARCH($A49,'RR1 Player Stats'!$A$3:$A$50))),0)
+IFERROR(FILTER('RR2 Player Stats'!AK$3:AK$50, ISNUMBER(SEARCH($A49,'RR2 Player Stats'!$A$3:$A$50))),0)
+IFERROR(FILTER('RR3 Player Stats'!AK$3:AK$50, I"&amp;"SNUMBER(SEARCH($A49,'RR3 Player Stats'!$A$3:$A$50))),0)
+IFERROR(FILTER('RR4 Player Stats'!AK$3:AK$50, ISNUMBER(SEARCH($A49,'RR4 Player Stats'!$A$3:$A$50))),0)
+IFERROR(FILTER('RR5 Player Stats'!AK$3:AK$50, ISNUMBER(SEARCH($A49,'RR5 Player Stats'!$A$3:$A$"&amp;"50))),0)"),36.0)</f>
        <v>36</v>
      </c>
      <c r="S49" s="57">
        <f>IFERROR(__xludf.DUMMYFUNCTION("IFERROR(FILTER('RR1 Player Stats'!AL$3:AL$50, ISNUMBER(SEARCH($A49,'RR1 Player Stats'!$A$3:$A$50))),0)
+IFERROR(FILTER('RR2 Player Stats'!AL$3:AL$50, ISNUMBER(SEARCH($A49,'RR2 Player Stats'!$A$3:$A$50))),0)
+IFERROR(FILTER('RR3 Player Stats'!AL$3:AL$50, I"&amp;"SNUMBER(SEARCH($A49,'RR3 Player Stats'!$A$3:$A$50))),0)
+IFERROR(FILTER('RR4 Player Stats'!AL$3:AL$50, ISNUMBER(SEARCH($A49,'RR4 Player Stats'!$A$3:$A$50))),0)
+IFERROR(FILTER('RR5 Player Stats'!AL$3:AL$50, ISNUMBER(SEARCH($A49,'RR5 Player Stats'!$A$3:$A$"&amp;"50))),0)"),36.0)</f>
        <v>36</v>
      </c>
      <c r="T49" s="180">
        <f>IFERROR(__xludf.DUMMYFUNCTION("(IFERROR(FILTER('RR1 Player Stats'!AM$3:AM$50, ISNUMBER(SEARCH($A49,'RR1 Player Stats'!$A$3:$A$50))),0)
+IFERROR(FILTER('RR2 Player Stats'!AM$3:AM$50, ISNUMBER(SEARCH($A49,'RR2 Player Stats'!$A$3:$A$50))),0)
+IFERROR(FILTER('RR3 Player Stats'!AM$3:AM$50, "&amp;"ISNUMBER(SEARCH($A49,'RR3 Player Stats'!$A$3:$A$50))),0)
+IFERROR(FILTER('RR4 Player Stats'!AM$3:AM$50, ISNUMBER(SEARCH($A49,'RR4 Player Stats'!$A$3:$A$50))),0)
+IFERROR(FILTER('RR5 Player Stats'!AM$3:AM$50, ISNUMBER(SEARCH($A49,'RR5 Player Stats'!$A$3:$A"&amp;"$50))),0))/B49"),0.09)</f>
        <v>0.09</v>
      </c>
      <c r="U49" s="55">
        <f>IFERROR(__xludf.DUMMYFUNCTION("MEDIAN(IFERROR(FILTER('RR1 Player Stats'!AH$3:AH$50, ISNUMBER(SEARCH($A49,'RR1 Player Stats'!$A$3:$A$50))),0),IFERROR(FILTER('RR2 Player Stats'!AH$3:AH$50, ISNUMBER(SEARCH($A49,'RR2 Player Stats'!$A$3:$A$50))),0),IFERROR(FILTER('RR3 Player Stats'!AH$3:AH$"&amp;"50, ISNUMBER(SEARCH($A49,'RR3 Player Stats'!$A$3:$A$50))),0),IFERROR(FILTER('RR4 Player Stats'!AH$3:AH$50, ISNUMBER(SEARCH($A49,'RR4 Player Stats'!$A$3:$A$50))),0),IFERROR(FILTER('RR5 Player Stats'!AH$3:AH$50, ISNUMBER(SEARCH($A49,'RR5 Player Stats'!$A$3:"&amp;"$A$50))),0))"),2.0)</f>
        <v>2</v>
      </c>
      <c r="V49" s="57">
        <f>IFERROR(__xludf.DUMMYFUNCTION("MEDIAN(IFERROR(FILTER('RR1 Player Stats'!AI$3:AI$50, ISNUMBER(SEARCH($A49,'RR1 Player Stats'!$A$3:$A$50))),0),IFERROR(FILTER('RR2 Player Stats'!AI$3:AI$50, ISNUMBER(SEARCH($A49,'RR2 Player Stats'!$A$3:$A$50))),0),IFERROR(FILTER('RR3 Player Stats'!AI$3:AI$"&amp;"50, ISNUMBER(SEARCH($A49,'RR3 Player Stats'!$A$3:$A$50))),0),IFERROR(FILTER('RR4 Player Stats'!AI$3:AI$50, ISNUMBER(SEARCH($A49,'RR4 Player Stats'!$A$3:$A$50))),0),IFERROR(FILTER('RR5 Player Stats'!AI$3:AI$50, ISNUMBER(SEARCH($A49,'RR5 Player Stats'!$A$3:"&amp;"$A$50))),0))"),0.0)</f>
        <v>0</v>
      </c>
      <c r="W49" s="57">
        <f>IFERROR(__xludf.DUMMYFUNCTION("MEDIAN(IFERROR(FILTER('RR1 Player Stats'!AJ$3:AJ$50, ISNUMBER(SEARCH($A49,'RR1 Player Stats'!$A$3:$A$50))),0),IFERROR(FILTER('RR2 Player Stats'!AJ$3:AJ$50, ISNUMBER(SEARCH($A49,'RR2 Player Stats'!$A$3:$A$50))),0),IFERROR(FILTER('RR3 Player Stats'!AJ$3:AJ$"&amp;"50, ISNUMBER(SEARCH($A49,'RR3 Player Stats'!$A$3:$A$50))),0),IFERROR(FILTER('RR4 Player Stats'!AJ$3:AJ$50, ISNUMBER(SEARCH($A49,'RR4 Player Stats'!$A$3:$A$50))),0),IFERROR(FILTER('RR5 Player Stats'!AJ$3:AJ$50, ISNUMBER(SEARCH($A49,'RR5 Player Stats'!$A$3:"&amp;"$A$50))),0))"),0.0)</f>
        <v>0</v>
      </c>
      <c r="X49" s="57">
        <f>IFERROR(__xludf.DUMMYFUNCTION("MEDIAN(IFERROR(FILTER('RR1 Player Stats'!AK$3:AK$50, ISNUMBER(SEARCH($A49,'RR1 Player Stats'!$A$3:$A$50))),0),IFERROR(FILTER('RR2 Player Stats'!AK$3:AK$50, ISNUMBER(SEARCH($A49,'RR2 Player Stats'!$A$3:$A$50))),0),IFERROR(FILTER('RR3 Player Stats'!AK$3:AK$"&amp;"50, ISNUMBER(SEARCH($A49,'RR3 Player Stats'!$A$3:$A$50))),0),IFERROR(FILTER('RR4 Player Stats'!AK$3:AK$50, ISNUMBER(SEARCH($A49,'RR4 Player Stats'!$A$3:$A$50))),0),IFERROR(FILTER('RR5 Player Stats'!AK$3:AK$50, ISNUMBER(SEARCH($A49,'RR5 Player Stats'!$A$3:"&amp;"$A$50))),0))"),8.0)</f>
        <v>8</v>
      </c>
      <c r="Y49" s="57">
        <f>IFERROR(__xludf.DUMMYFUNCTION("MEDIAN(IFERROR(FILTER('RR1 Player Stats'!AL$3:AL$50, ISNUMBER(SEARCH($A49,'RR1 Player Stats'!$A$3:$A$50))),0),IFERROR(FILTER('RR2 Player Stats'!AL$3:AL$50, ISNUMBER(SEARCH($A49,'RR2 Player Stats'!$A$3:$A$50))),0),IFERROR(FILTER('RR3 Player Stats'!AL$3:AL$"&amp;"50, ISNUMBER(SEARCH($A49,'RR3 Player Stats'!$A$3:$A$50))),0),IFERROR(FILTER('RR4 Player Stats'!AL$3:AL$50, ISNUMBER(SEARCH($A49,'RR4 Player Stats'!$A$3:$A$50))),0),IFERROR(FILTER('RR5 Player Stats'!AL$3:AL$50, ISNUMBER(SEARCH($A49,'RR5 Player Stats'!$A$3:"&amp;"$A$50))),0))"),8.0)</f>
        <v>8</v>
      </c>
      <c r="Z49" s="180">
        <f>IFERROR(__xludf.DUMMYFUNCTION("MEDIAN(IFERROR(FILTER('RR1 Player Stats'!AM$3:AM$50, ISNUMBER(SEARCH($A49,'RR1 Player Stats'!$A$3:$A$50))),0),IFERROR(FILTER('RR2 Player Stats'!AM$3:AM$50, ISNUMBER(SEARCH($A49,'RR2 Player Stats'!$A$3:$A$50))),0),IFERROR(FILTER('RR3 Player Stats'!AM$3:AM$"&amp;"50, ISNUMBER(SEARCH($A49,'RR3 Player Stats'!$A$3:$A$50))),0),IFERROR(FILTER('RR4 Player Stats'!AM$3:AM$50, ISNUMBER(SEARCH($A49,'RR4 Player Stats'!$A$3:$A$50))),0),IFERROR(FILTER('RR5 Player Stats'!AM$3:AM$50, ISNUMBER(SEARCH($A49,'RR5 Player Stats'!$A$3:"&amp;"$A$50))),0))"),0.1)</f>
        <v>0.1</v>
      </c>
    </row>
    <row r="50">
      <c r="A50" s="222" t="s">
        <v>79</v>
      </c>
      <c r="B50" s="259">
        <f>COUNTIF('RR1 Player Stats'!$A$3:$A$50,$A50)+COUNTIF('RR2 Player Stats'!$A$3:$A$50,$A50)+COUNTIF('RR3 Player Stats'!$A$3:$A$50,$A50)+COUNTIF('RR4 Player Stats'!$A$3:$A$50,$A50)+COUNTIF('RR5 Player Stats'!$A$3:$A$50,$A50)</f>
        <v>2</v>
      </c>
      <c r="C50" s="260">
        <f>IFERROR(__xludf.DUMMYFUNCTION("IFERROR(FILTER('RR1 Player Stats'!V$3:V$50, ISNUMBER(SEARCH($A50,'RR1 Player Stats'!$A$3:$A$50))),0)
+IFERROR(FILTER('RR2 Player Stats'!V$3:V$50, ISNUMBER(SEARCH($A50,'RR2 Player Stats'!$A$3:$A$50))),0)
+IFERROR(FILTER('RR3 Player Stats'!V$3:V$50, ISNUMBE"&amp;"R(SEARCH($A50,'RR3 Player Stats'!$A$3:$A$50))),0)
+IFERROR(FILTER('RR4 Player Stats'!V$3:V$50, ISNUMBER(SEARCH($A50,'RR4 Player Stats'!$A$3:$A$50))),0)
+IFERROR(FILTER('RR5 Player Stats'!V$3:V$50, ISNUMBER(SEARCH($A50,'RR5 Player Stats'!$A$3:$A$50))),0)"),4.0)</f>
        <v>4</v>
      </c>
      <c r="D50" s="225">
        <f>IFERROR(__xludf.DUMMYFUNCTION("IFERROR(FILTER('RR1 Player Stats'!W$3:W$50, ISNUMBER(SEARCH($A50,'RR1 Player Stats'!$A$3:$A$50))),0)
+IFERROR(FILTER('RR2 Player Stats'!W$3:W$50, ISNUMBER(SEARCH($A50,'RR2 Player Stats'!$A$3:$A$50))),0)
+IFERROR(FILTER('RR3 Player Stats'!W$3:W$50, ISNUMBE"&amp;"R(SEARCH($A50,'RR3 Player Stats'!$A$3:$A$50))),0)
+IFERROR(FILTER('RR4 Player Stats'!W$3:W$50, ISNUMBER(SEARCH($A50,'RR4 Player Stats'!$A$3:$A$50))),0)
+IFERROR(FILTER('RR5 Player Stats'!W$3:W$50, ISNUMBER(SEARCH($A50,'RR5 Player Stats'!$A$3:$A$50))),0)"),1.0)</f>
        <v>1</v>
      </c>
      <c r="E50" s="225">
        <f>IFERROR(__xludf.DUMMYFUNCTION("IFERROR(FILTER('RR1 Player Stats'!X$3:X$50, ISNUMBER(SEARCH($A50,'RR1 Player Stats'!$A$3:$A$50))),0)
+IFERROR(FILTER('RR2 Player Stats'!X$3:X$50, ISNUMBER(SEARCH($A50,'RR2 Player Stats'!$A$3:$A$50))),0)
+IFERROR(FILTER('RR3 Player Stats'!X$3:X$50, ISNUMBE"&amp;"R(SEARCH($A50,'RR3 Player Stats'!$A$3:$A$50))),0)
+IFERROR(FILTER('RR4 Player Stats'!X$3:X$50, ISNUMBER(SEARCH($A50,'RR4 Player Stats'!$A$3:$A$50))),0)
+IFERROR(FILTER('RR5 Player Stats'!X$3:X$50, ISNUMBER(SEARCH($A50,'RR5 Player Stats'!$A$3:$A$50))),0)"),1.0)</f>
        <v>1</v>
      </c>
      <c r="F50" s="225">
        <f>IFERROR(__xludf.DUMMYFUNCTION("IFERROR(FILTER('RR1 Player Stats'!Y$3:Y$50, ISNUMBER(SEARCH($A50,'RR1 Player Stats'!$A$3:$A$50))),0)
+IFERROR(FILTER('RR2 Player Stats'!Y$3:Y$50, ISNUMBER(SEARCH($A50,'RR2 Player Stats'!$A$3:$A$50))),0)
+IFERROR(FILTER('RR3 Player Stats'!Y$3:Y$50, ISNUMBE"&amp;"R(SEARCH($A50,'RR3 Player Stats'!$A$3:$A$50))),0)
+IFERROR(FILTER('RR4 Player Stats'!Y$3:Y$50, ISNUMBER(SEARCH($A50,'RR4 Player Stats'!$A$3:$A$50))),0)
+IFERROR(FILTER('RR5 Player Stats'!Y$3:Y$50, ISNUMBER(SEARCH($A50,'RR5 Player Stats'!$A$3:$A$50))),0)"),22.0)</f>
        <v>22</v>
      </c>
      <c r="G50" s="225">
        <f>IFERROR(__xludf.DUMMYFUNCTION("IFERROR(FILTER('RR1 Player Stats'!Z$3:Z$50, ISNUMBER(SEARCH($A50,'RR1 Player Stats'!$A$3:$A$50))),0)
+IFERROR(FILTER('RR2 Player Stats'!Z$3:Z$50, ISNUMBER(SEARCH($A50,'RR2 Player Stats'!$A$3:$A$50))),0)
+IFERROR(FILTER('RR3 Player Stats'!Z$3:Z$50, ISNUMBE"&amp;"R(SEARCH($A50,'RR3 Player Stats'!$A$3:$A$50))),0)
+IFERROR(FILTER('RR4 Player Stats'!Z$3:Z$50, ISNUMBER(SEARCH($A50,'RR4 Player Stats'!$A$3:$A$50))),0)
+IFERROR(FILTER('RR5 Player Stats'!Z$3:Z$50, ISNUMBER(SEARCH($A50,'RR5 Player Stats'!$A$3:$A$50))),0)"),18.0)</f>
        <v>18</v>
      </c>
      <c r="H50" s="261">
        <f>IFERROR(__xludf.DUMMYFUNCTION("(IFERROR(FILTER('RR1 Player Stats'!AA$3:AA$50, ISNUMBER(SEARCH($A50,'RR1 Player Stats'!$A$3:$A$50))),0)
+IFERROR(FILTER('RR2 Player Stats'!AA$3:AA$50, ISNUMBER(SEARCH($A50,'RR2 Player Stats'!$A$3:$A$50))),0)
+IFERROR(FILTER('RR3 Player Stats'!AA$3:AA$50, "&amp;"ISNUMBER(SEARCH($A50,'RR3 Player Stats'!$A$3:$A$50))),0)
+IFERROR(FILTER('RR4 Player Stats'!AA$3:AA$50, ISNUMBER(SEARCH($A50,'RR4 Player Stats'!$A$3:$A$50))),0)
+IFERROR(FILTER('RR5 Player Stats'!AA$3:AA$50, ISNUMBER(SEARCH($A50,'RR5 Player Stats'!$A$3:$A"&amp;"$50))),0))/5"),0.082)</f>
        <v>0.082</v>
      </c>
      <c r="I50" s="260">
        <f>IFERROR(__xludf.DUMMYFUNCTION("IFERROR(FILTER('RR1 Player Stats'!AB$3:AB$50, ISNUMBER(SEARCH($A50,'RR1 Player Stats'!$A$3:$A$50))),0)
+IFERROR(FILTER('RR2 Player Stats'!AB$3:AB$50, ISNUMBER(SEARCH($A50,'RR2 Player Stats'!$A$3:$A$50))),0)
+IFERROR(FILTER('RR3 Player Stats'!AB$3:AB$50, I"&amp;"SNUMBER(SEARCH($A50,'RR3 Player Stats'!$A$3:$A$50))),0)
+IFERROR(FILTER('RR4 Player Stats'!AB$3:AB$50, ISNUMBER(SEARCH($A50,'RR4 Player Stats'!$A$3:$A$50))),0)
+IFERROR(FILTER('RR5 Player Stats'!AB$3:AB$50, ISNUMBER(SEARCH($A50,'RR5 Player Stats'!$A$3:$A$"&amp;"50))),0)"),1.0)</f>
        <v>1</v>
      </c>
      <c r="J50" s="225">
        <f>IFERROR(__xludf.DUMMYFUNCTION("IFERROR(FILTER('RR1 Player Stats'!AC$3:AC$50, ISNUMBER(SEARCH($A50,'RR1 Player Stats'!$A$3:$A$50))),0)
+IFERROR(FILTER('RR2 Player Stats'!AC$3:AC$50, ISNUMBER(SEARCH($A50,'RR2 Player Stats'!$A$3:$A$50))),0)
+IFERROR(FILTER('RR3 Player Stats'!AC$3:AC$50, I"&amp;"SNUMBER(SEARCH($A50,'RR3 Player Stats'!$A$3:$A$50))),0)
+IFERROR(FILTER('RR4 Player Stats'!AC$3:AC$50, ISNUMBER(SEARCH($A50,'RR4 Player Stats'!$A$3:$A$50))),0)
+IFERROR(FILTER('RR5 Player Stats'!AC$3:AC$50, ISNUMBER(SEARCH($A50,'RR5 Player Stats'!$A$3:$A$"&amp;"50))),0)"),0.0)</f>
        <v>0</v>
      </c>
      <c r="K50" s="225">
        <f>IFERROR(__xludf.DUMMYFUNCTION("IFERROR(FILTER('RR1 Player Stats'!AD$3:AD$50, ISNUMBER(SEARCH($A50,'RR1 Player Stats'!$A$3:$A$50))),0)
+IFERROR(FILTER('RR2 Player Stats'!AD$3:AD$50, ISNUMBER(SEARCH($A50,'RR2 Player Stats'!$A$3:$A$50))),0)
+IFERROR(FILTER('RR3 Player Stats'!AD$3:AD$50, I"&amp;"SNUMBER(SEARCH($A50,'RR3 Player Stats'!$A$3:$A$50))),0)
+IFERROR(FILTER('RR4 Player Stats'!AD$3:AD$50, ISNUMBER(SEARCH($A50,'RR4 Player Stats'!$A$3:$A$50))),0)
+IFERROR(FILTER('RR5 Player Stats'!AD$3:AD$50, ISNUMBER(SEARCH($A50,'RR5 Player Stats'!$A$3:$A$"&amp;"50))),0)"),1.0)</f>
        <v>1</v>
      </c>
      <c r="L50" s="225">
        <f>IFERROR(__xludf.DUMMYFUNCTION("IFERROR(FILTER('RR1 Player Stats'!AE$3:AE$50, ISNUMBER(SEARCH($A50,'RR1 Player Stats'!$A$3:$A$50))),0)
+IFERROR(FILTER('RR2 Player Stats'!AE$3:AE$50, ISNUMBER(SEARCH($A50,'RR2 Player Stats'!$A$3:$A$50))),0)
+IFERROR(FILTER('RR3 Player Stats'!AE$3:AE$50, I"&amp;"SNUMBER(SEARCH($A50,'RR3 Player Stats'!$A$3:$A$50))),0)
+IFERROR(FILTER('RR4 Player Stats'!AE$3:AE$50, ISNUMBER(SEARCH($A50,'RR4 Player Stats'!$A$3:$A$50))),0)
+IFERROR(FILTER('RR5 Player Stats'!AE$3:AE$50, ISNUMBER(SEARCH($A50,'RR5 Player Stats'!$A$3:$A$"&amp;"50))),0)"),4.0)</f>
        <v>4</v>
      </c>
      <c r="M50" s="225">
        <f>IFERROR(__xludf.DUMMYFUNCTION("IFERROR(FILTER('RR1 Player Stats'!AF$3:AF$50, ISNUMBER(SEARCH($A50,'RR1 Player Stats'!$A$3:$A$50))),0)
+IFERROR(FILTER('RR2 Player Stats'!AF$3:AF$50, ISNUMBER(SEARCH($A50,'RR2 Player Stats'!$A$3:$A$50))),0)
+IFERROR(FILTER('RR3 Player Stats'!AF$3:AF$50, I"&amp;"SNUMBER(SEARCH($A50,'RR3 Player Stats'!$A$3:$A$50))),0)
+IFERROR(FILTER('RR4 Player Stats'!AF$3:AF$50, ISNUMBER(SEARCH($A50,'RR4 Player Stats'!$A$3:$A$50))),0)
+IFERROR(FILTER('RR5 Player Stats'!AF$3:AF$50, ISNUMBER(SEARCH($A50,'RR5 Player Stats'!$A$3:$A$"&amp;"50))),0)"),0.0)</f>
        <v>0</v>
      </c>
      <c r="N50" s="261">
        <f>IFERROR(__xludf.DUMMYFUNCTION("(IFERROR(FILTER('RR1 Player Stats'!AG$3:AG$50, ISNUMBER(SEARCH($A50,'RR1 Player Stats'!$A$3:$A$50))),0)
+IFERROR(FILTER('RR2 Player Stats'!AG$3:AG$50, ISNUMBER(SEARCH($A50,'RR2 Player Stats'!$A$3:$A$50))),0)
+IFERROR(FILTER('RR3 Player Stats'!AG$3:AG$50, "&amp;"ISNUMBER(SEARCH($A50,'RR3 Player Stats'!$A$3:$A$50))),0)
+IFERROR(FILTER('RR4 Player Stats'!AG$3:AG$50, ISNUMBER(SEARCH($A50,'RR4 Player Stats'!$A$3:$A$50))),0)
+IFERROR(FILTER('RR5 Player Stats'!AG$3:AG$50, ISNUMBER(SEARCH($A50,'RR5 Player Stats'!$A$3:$A"&amp;"$50))),0))/5"),0.026000000000000002)</f>
        <v>0.026</v>
      </c>
      <c r="O50" s="260">
        <f>IFERROR(__xludf.DUMMYFUNCTION("IFERROR(FILTER('RR1 Player Stats'!AH$3:AH$50, ISNUMBER(SEARCH($A50,'RR1 Player Stats'!$A$3:$A$50))),0)
+IFERROR(FILTER('RR2 Player Stats'!AH$3:AH$50, ISNUMBER(SEARCH($A50,'RR2 Player Stats'!$A$3:$A$50))),0)
+IFERROR(FILTER('RR3 Player Stats'!AH$3:AH$50, I"&amp;"SNUMBER(SEARCH($A50,'RR3 Player Stats'!$A$3:$A$50))),0)
+IFERROR(FILTER('RR4 Player Stats'!AH$3:AH$50, ISNUMBER(SEARCH($A50,'RR4 Player Stats'!$A$3:$A$50))),0)
+IFERROR(FILTER('RR5 Player Stats'!AH$3:AH$50, ISNUMBER(SEARCH($A50,'RR5 Player Stats'!$A$3:$A$"&amp;"50))),0)"),5.0)</f>
        <v>5</v>
      </c>
      <c r="P50" s="225">
        <f>IFERROR(__xludf.DUMMYFUNCTION("IFERROR(FILTER('RR1 Player Stats'!AI$3:AI$50, ISNUMBER(SEARCH($A50,'RR1 Player Stats'!$A$3:$A$50))),0)
+IFERROR(FILTER('RR2 Player Stats'!AI$3:AI$50, ISNUMBER(SEARCH($A50,'RR2 Player Stats'!$A$3:$A$50))),0)
+IFERROR(FILTER('RR3 Player Stats'!AI$3:AI$50, I"&amp;"SNUMBER(SEARCH($A50,'RR3 Player Stats'!$A$3:$A$50))),0)
+IFERROR(FILTER('RR4 Player Stats'!AI$3:AI$50, ISNUMBER(SEARCH($A50,'RR4 Player Stats'!$A$3:$A$50))),0)
+IFERROR(FILTER('RR5 Player Stats'!AI$3:AI$50, ISNUMBER(SEARCH($A50,'RR5 Player Stats'!$A$3:$A$"&amp;"50))),0)"),1.0)</f>
        <v>1</v>
      </c>
      <c r="Q50" s="225">
        <f>IFERROR(__xludf.DUMMYFUNCTION("IFERROR(FILTER('RR1 Player Stats'!AJ$3:AJ$50, ISNUMBER(SEARCH($A50,'RR1 Player Stats'!$A$3:$A$50))),0)
+IFERROR(FILTER('RR2 Player Stats'!AJ$3:AJ$50, ISNUMBER(SEARCH($A50,'RR2 Player Stats'!$A$3:$A$50))),0)
+IFERROR(FILTER('RR3 Player Stats'!AJ$3:AJ$50, I"&amp;"SNUMBER(SEARCH($A50,'RR3 Player Stats'!$A$3:$A$50))),0)
+IFERROR(FILTER('RR4 Player Stats'!AJ$3:AJ$50, ISNUMBER(SEARCH($A50,'RR4 Player Stats'!$A$3:$A$50))),0)
+IFERROR(FILTER('RR5 Player Stats'!AJ$3:AJ$50, ISNUMBER(SEARCH($A50,'RR5 Player Stats'!$A$3:$A$"&amp;"50))),0)"),2.0)</f>
        <v>2</v>
      </c>
      <c r="R50" s="225">
        <f>IFERROR(__xludf.DUMMYFUNCTION("IFERROR(FILTER('RR1 Player Stats'!AK$3:AK$50, ISNUMBER(SEARCH($A50,'RR1 Player Stats'!$A$3:$A$50))),0)
+IFERROR(FILTER('RR2 Player Stats'!AK$3:AK$50, ISNUMBER(SEARCH($A50,'RR2 Player Stats'!$A$3:$A$50))),0)
+IFERROR(FILTER('RR3 Player Stats'!AK$3:AK$50, I"&amp;"SNUMBER(SEARCH($A50,'RR3 Player Stats'!$A$3:$A$50))),0)
+IFERROR(FILTER('RR4 Player Stats'!AK$3:AK$50, ISNUMBER(SEARCH($A50,'RR4 Player Stats'!$A$3:$A$50))),0)
+IFERROR(FILTER('RR5 Player Stats'!AK$3:AK$50, ISNUMBER(SEARCH($A50,'RR5 Player Stats'!$A$3:$A$"&amp;"50))),0)"),26.0)</f>
        <v>26</v>
      </c>
      <c r="S50" s="225">
        <f>IFERROR(__xludf.DUMMYFUNCTION("IFERROR(FILTER('RR1 Player Stats'!AL$3:AL$50, ISNUMBER(SEARCH($A50,'RR1 Player Stats'!$A$3:$A$50))),0)
+IFERROR(FILTER('RR2 Player Stats'!AL$3:AL$50, ISNUMBER(SEARCH($A50,'RR2 Player Stats'!$A$3:$A$50))),0)
+IFERROR(FILTER('RR3 Player Stats'!AL$3:AL$50, I"&amp;"SNUMBER(SEARCH($A50,'RR3 Player Stats'!$A$3:$A$50))),0)
+IFERROR(FILTER('RR4 Player Stats'!AL$3:AL$50, ISNUMBER(SEARCH($A50,'RR4 Player Stats'!$A$3:$A$50))),0)
+IFERROR(FILTER('RR5 Player Stats'!AL$3:AL$50, ISNUMBER(SEARCH($A50,'RR5 Player Stats'!$A$3:$A$"&amp;"50))),0)"),18.0)</f>
        <v>18</v>
      </c>
      <c r="T50" s="261">
        <f>IFERROR(__xludf.DUMMYFUNCTION("(IFERROR(FILTER('RR1 Player Stats'!AM$3:AM$50, ISNUMBER(SEARCH($A50,'RR1 Player Stats'!$A$3:$A$50))),0)
+IFERROR(FILTER('RR2 Player Stats'!AM$3:AM$50, ISNUMBER(SEARCH($A50,'RR2 Player Stats'!$A$3:$A$50))),0)
+IFERROR(FILTER('RR3 Player Stats'!AM$3:AM$50, "&amp;"ISNUMBER(SEARCH($A50,'RR3 Player Stats'!$A$3:$A$50))),0)
+IFERROR(FILTER('RR4 Player Stats'!AM$3:AM$50, ISNUMBER(SEARCH($A50,'RR4 Player Stats'!$A$3:$A$50))),0)
+IFERROR(FILTER('RR5 Player Stats'!AM$3:AM$50, ISNUMBER(SEARCH($A50,'RR5 Player Stats'!$A$3:$A"&amp;"$50))),0))/B50"),0.15)</f>
        <v>0.15</v>
      </c>
      <c r="U50" s="260">
        <f>IFERROR(__xludf.DUMMYFUNCTION("MEDIAN(IFERROR(FILTER('RR1 Player Stats'!AH$3:AH$50, ISNUMBER(SEARCH($A50,'RR1 Player Stats'!$A$3:$A$50))),0),IFERROR(FILTER('RR2 Player Stats'!AH$3:AH$50, ISNUMBER(SEARCH($A50,'RR2 Player Stats'!$A$3:$A$50))),0),IFERROR(FILTER('RR3 Player Stats'!AH$3:AH$"&amp;"50, ISNUMBER(SEARCH($A50,'RR3 Player Stats'!$A$3:$A$50))),0),IFERROR(FILTER('RR4 Player Stats'!AH$3:AH$50, ISNUMBER(SEARCH($A50,'RR4 Player Stats'!$A$3:$A$50))),0),IFERROR(FILTER('RR5 Player Stats'!AH$3:AH$50, ISNUMBER(SEARCH($A50,'RR5 Player Stats'!$A$3:"&amp;"$A$50))),0))"),0.0)</f>
        <v>0</v>
      </c>
      <c r="V50" s="225">
        <f>IFERROR(__xludf.DUMMYFUNCTION("MEDIAN(IFERROR(FILTER('RR1 Player Stats'!AI$3:AI$50, ISNUMBER(SEARCH($A50,'RR1 Player Stats'!$A$3:$A$50))),0),IFERROR(FILTER('RR2 Player Stats'!AI$3:AI$50, ISNUMBER(SEARCH($A50,'RR2 Player Stats'!$A$3:$A$50))),0),IFERROR(FILTER('RR3 Player Stats'!AI$3:AI$"&amp;"50, ISNUMBER(SEARCH($A50,'RR3 Player Stats'!$A$3:$A$50))),0),IFERROR(FILTER('RR4 Player Stats'!AI$3:AI$50, ISNUMBER(SEARCH($A50,'RR4 Player Stats'!$A$3:$A$50))),0),IFERROR(FILTER('RR5 Player Stats'!AI$3:AI$50, ISNUMBER(SEARCH($A50,'RR5 Player Stats'!$A$3:"&amp;"$A$50))),0))"),0.0)</f>
        <v>0</v>
      </c>
      <c r="W50" s="225">
        <f>IFERROR(__xludf.DUMMYFUNCTION("MEDIAN(IFERROR(FILTER('RR1 Player Stats'!AJ$3:AJ$50, ISNUMBER(SEARCH($A50,'RR1 Player Stats'!$A$3:$A$50))),0),IFERROR(FILTER('RR2 Player Stats'!AJ$3:AJ$50, ISNUMBER(SEARCH($A50,'RR2 Player Stats'!$A$3:$A$50))),0),IFERROR(FILTER('RR3 Player Stats'!AJ$3:AJ$"&amp;"50, ISNUMBER(SEARCH($A50,'RR3 Player Stats'!$A$3:$A$50))),0),IFERROR(FILTER('RR4 Player Stats'!AJ$3:AJ$50, ISNUMBER(SEARCH($A50,'RR4 Player Stats'!$A$3:$A$50))),0),IFERROR(FILTER('RR5 Player Stats'!AJ$3:AJ$50, ISNUMBER(SEARCH($A50,'RR5 Player Stats'!$A$3:"&amp;"$A$50))),0))"),0.0)</f>
        <v>0</v>
      </c>
      <c r="X50" s="225">
        <f>IFERROR(__xludf.DUMMYFUNCTION("MEDIAN(IFERROR(FILTER('RR1 Player Stats'!AK$3:AK$50, ISNUMBER(SEARCH($A50,'RR1 Player Stats'!$A$3:$A$50))),0),IFERROR(FILTER('RR2 Player Stats'!AK$3:AK$50, ISNUMBER(SEARCH($A50,'RR2 Player Stats'!$A$3:$A$50))),0),IFERROR(FILTER('RR3 Player Stats'!AK$3:AK$"&amp;"50, ISNUMBER(SEARCH($A50,'RR3 Player Stats'!$A$3:$A$50))),0),IFERROR(FILTER('RR4 Player Stats'!AK$3:AK$50, ISNUMBER(SEARCH($A50,'RR4 Player Stats'!$A$3:$A$50))),0),IFERROR(FILTER('RR5 Player Stats'!AK$3:AK$50, ISNUMBER(SEARCH($A50,'RR5 Player Stats'!$A$3:"&amp;"$A$50))),0))"),0.0)</f>
        <v>0</v>
      </c>
      <c r="Y50" s="225">
        <f>IFERROR(__xludf.DUMMYFUNCTION("MEDIAN(IFERROR(FILTER('RR1 Player Stats'!AL$3:AL$50, ISNUMBER(SEARCH($A50,'RR1 Player Stats'!$A$3:$A$50))),0),IFERROR(FILTER('RR2 Player Stats'!AL$3:AL$50, ISNUMBER(SEARCH($A50,'RR2 Player Stats'!$A$3:$A$50))),0),IFERROR(FILTER('RR3 Player Stats'!AL$3:AL$"&amp;"50, ISNUMBER(SEARCH($A50,'RR3 Player Stats'!$A$3:$A$50))),0),IFERROR(FILTER('RR4 Player Stats'!AL$3:AL$50, ISNUMBER(SEARCH($A50,'RR4 Player Stats'!$A$3:$A$50))),0),IFERROR(FILTER('RR5 Player Stats'!AL$3:AL$50, ISNUMBER(SEARCH($A50,'RR5 Player Stats'!$A$3:"&amp;"$A$50))),0))"),0.0)</f>
        <v>0</v>
      </c>
      <c r="Z50" s="261">
        <f>IFERROR(__xludf.DUMMYFUNCTION("MEDIAN(IFERROR(FILTER('RR1 Player Stats'!AM$3:AM$50, ISNUMBER(SEARCH($A50,'RR1 Player Stats'!$A$3:$A$50))),0),IFERROR(FILTER('RR2 Player Stats'!AM$3:AM$50, ISNUMBER(SEARCH($A50,'RR2 Player Stats'!$A$3:$A$50))),0),IFERROR(FILTER('RR3 Player Stats'!AM$3:AM$"&amp;"50, ISNUMBER(SEARCH($A50,'RR3 Player Stats'!$A$3:$A$50))),0),IFERROR(FILTER('RR4 Player Stats'!AM$3:AM$50, ISNUMBER(SEARCH($A50,'RR4 Player Stats'!$A$3:$A$50))),0),IFERROR(FILTER('RR5 Player Stats'!AM$3:AM$50, ISNUMBER(SEARCH($A50,'RR5 Player Stats'!$A$3:"&amp;"$A$50))),0))"),0.0)</f>
        <v>0</v>
      </c>
    </row>
  </sheetData>
  <mergeCells count="5">
    <mergeCell ref="A1:B1"/>
    <mergeCell ref="C1:H1"/>
    <mergeCell ref="I1:N1"/>
    <mergeCell ref="O1:T1"/>
    <mergeCell ref="U1:Z1"/>
  </mergeCells>
  <conditionalFormatting sqref="F3:F50">
    <cfRule type="colorScale" priority="1">
      <colorScale>
        <cfvo type="min"/>
        <cfvo type="max"/>
        <color rgb="FFFFFFFF"/>
        <color rgb="FF57BB8A"/>
      </colorScale>
    </cfRule>
  </conditionalFormatting>
  <conditionalFormatting sqref="L3:L50">
    <cfRule type="colorScale" priority="2">
      <colorScale>
        <cfvo type="min"/>
        <cfvo type="max"/>
        <color rgb="FFFFFFFF"/>
        <color rgb="FF57BB8A"/>
      </colorScale>
    </cfRule>
  </conditionalFormatting>
  <conditionalFormatting sqref="R3:R50">
    <cfRule type="colorScale" priority="3">
      <colorScale>
        <cfvo type="min"/>
        <cfvo type="max"/>
        <color rgb="FFFFFFFF"/>
        <color rgb="FF57BB8A"/>
      </colorScale>
    </cfRule>
  </conditionalFormatting>
  <conditionalFormatting sqref="G3:G50">
    <cfRule type="colorScale" priority="4">
      <colorScale>
        <cfvo type="min"/>
        <cfvo type="max"/>
        <color rgb="FFFFFFFF"/>
        <color rgb="FF6D9EEB"/>
      </colorScale>
    </cfRule>
  </conditionalFormatting>
  <conditionalFormatting sqref="M3:M50">
    <cfRule type="colorScale" priority="5">
      <colorScale>
        <cfvo type="min"/>
        <cfvo type="max"/>
        <color rgb="FFFFFFFF"/>
        <color rgb="FF6D9EEB"/>
      </colorScale>
    </cfRule>
  </conditionalFormatting>
  <conditionalFormatting sqref="S3:S50">
    <cfRule type="colorScale" priority="6">
      <colorScale>
        <cfvo type="min"/>
        <cfvo type="max"/>
        <color rgb="FFFFFFFF"/>
        <color rgb="FF6D9EEB"/>
      </colorScale>
    </cfRule>
  </conditionalFormatting>
  <conditionalFormatting sqref="Y3:Y50">
    <cfRule type="colorScale" priority="7">
      <colorScale>
        <cfvo type="min"/>
        <cfvo type="max"/>
        <color rgb="FFFFFFFF"/>
        <color rgb="FF6D9EEB"/>
      </colorScale>
    </cfRule>
  </conditionalFormatting>
  <conditionalFormatting sqref="X3:X50">
    <cfRule type="colorScale" priority="8">
      <colorScale>
        <cfvo type="min"/>
        <cfvo type="max"/>
        <color rgb="FFFFFFFF"/>
        <color rgb="FF57BB8A"/>
      </colorScale>
    </cfRule>
  </conditionalFormatting>
  <conditionalFormatting sqref="H3:H50">
    <cfRule type="colorScale" priority="9">
      <colorScale>
        <cfvo type="min"/>
        <cfvo type="max"/>
        <color rgb="FFFFFFFF"/>
        <color rgb="FF8E7CC3"/>
      </colorScale>
    </cfRule>
  </conditionalFormatting>
  <conditionalFormatting sqref="N3:N50">
    <cfRule type="colorScale" priority="10">
      <colorScale>
        <cfvo type="min"/>
        <cfvo type="max"/>
        <color rgb="FFFFFFFF"/>
        <color rgb="FF8E7CC3"/>
      </colorScale>
    </cfRule>
  </conditionalFormatting>
  <conditionalFormatting sqref="T3:T50">
    <cfRule type="colorScale" priority="11">
      <colorScale>
        <cfvo type="min"/>
        <cfvo type="max"/>
        <color rgb="FFFFFFFF"/>
        <color rgb="FF8E7CC3"/>
      </colorScale>
    </cfRule>
  </conditionalFormatting>
  <conditionalFormatting sqref="Z3:Z50">
    <cfRule type="colorScale" priority="12">
      <colorScale>
        <cfvo type="min"/>
        <cfvo type="max"/>
        <color rgb="FFFFFFFF"/>
        <color rgb="FF8E7CC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39" width="5.13"/>
  </cols>
  <sheetData>
    <row r="1" ht="53.25" customHeight="1">
      <c r="A1" s="1"/>
      <c r="B1" s="3" t="s">
        <v>0</v>
      </c>
      <c r="C1" s="5" t="s">
        <v>1</v>
      </c>
      <c r="D1" s="5" t="s">
        <v>0</v>
      </c>
      <c r="E1" s="5" t="s">
        <v>0</v>
      </c>
      <c r="F1" s="5" t="s">
        <v>1</v>
      </c>
      <c r="G1" s="5" t="s">
        <v>0</v>
      </c>
      <c r="H1" s="5" t="s">
        <v>1</v>
      </c>
      <c r="I1" s="5" t="s">
        <v>0</v>
      </c>
      <c r="J1" s="5" t="s">
        <v>1</v>
      </c>
      <c r="K1" s="5" t="s">
        <v>0</v>
      </c>
      <c r="L1" s="5" t="s">
        <v>1</v>
      </c>
      <c r="M1" s="5" t="s">
        <v>0</v>
      </c>
      <c r="N1" s="5" t="s">
        <v>0</v>
      </c>
      <c r="O1" s="5" t="s">
        <v>1</v>
      </c>
      <c r="P1" s="5" t="s">
        <v>0</v>
      </c>
      <c r="Q1" s="5" t="s">
        <v>0</v>
      </c>
      <c r="R1" s="5" t="s">
        <v>1</v>
      </c>
      <c r="S1" s="5" t="s">
        <v>1</v>
      </c>
      <c r="T1" s="5" t="s">
        <v>0</v>
      </c>
      <c r="U1" s="5" t="s">
        <v>0</v>
      </c>
      <c r="V1" s="4" t="s">
        <v>0</v>
      </c>
      <c r="W1" s="6"/>
      <c r="X1" s="6"/>
      <c r="Y1" s="6"/>
      <c r="Z1" s="6"/>
      <c r="AA1" s="7"/>
      <c r="AB1" s="4" t="s">
        <v>1</v>
      </c>
      <c r="AC1" s="6"/>
      <c r="AD1" s="6"/>
      <c r="AE1" s="6"/>
      <c r="AF1" s="6"/>
      <c r="AG1" s="7"/>
      <c r="AH1" s="4" t="s">
        <v>2</v>
      </c>
      <c r="AI1" s="6"/>
      <c r="AJ1" s="6"/>
      <c r="AK1" s="6"/>
      <c r="AL1" s="6"/>
      <c r="AM1" s="7"/>
    </row>
    <row r="2">
      <c r="A2" s="16" t="s">
        <v>4</v>
      </c>
      <c r="B2" s="19" t="s">
        <v>12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1" t="s">
        <v>18</v>
      </c>
      <c r="I2" s="21" t="s">
        <v>19</v>
      </c>
      <c r="J2" s="21" t="s">
        <v>20</v>
      </c>
      <c r="K2" s="21" t="s">
        <v>21</v>
      </c>
      <c r="L2" s="21" t="s">
        <v>22</v>
      </c>
      <c r="M2" s="21" t="s">
        <v>23</v>
      </c>
      <c r="N2" s="21" t="s">
        <v>24</v>
      </c>
      <c r="O2" s="21" t="s">
        <v>25</v>
      </c>
      <c r="P2" s="21" t="s">
        <v>26</v>
      </c>
      <c r="Q2" s="21" t="s">
        <v>27</v>
      </c>
      <c r="R2" s="21" t="s">
        <v>28</v>
      </c>
      <c r="S2" s="21" t="s">
        <v>29</v>
      </c>
      <c r="T2" s="21" t="s">
        <v>30</v>
      </c>
      <c r="U2" s="21" t="s">
        <v>31</v>
      </c>
      <c r="V2" s="27" t="s">
        <v>6</v>
      </c>
      <c r="W2" s="16" t="s">
        <v>7</v>
      </c>
      <c r="X2" s="16" t="s">
        <v>8</v>
      </c>
      <c r="Y2" s="16" t="s">
        <v>9</v>
      </c>
      <c r="Z2" s="16" t="s">
        <v>10</v>
      </c>
      <c r="AA2" s="31" t="s">
        <v>11</v>
      </c>
      <c r="AB2" s="32" t="s">
        <v>6</v>
      </c>
      <c r="AC2" s="33" t="s">
        <v>7</v>
      </c>
      <c r="AD2" s="33" t="s">
        <v>8</v>
      </c>
      <c r="AE2" s="33" t="s">
        <v>9</v>
      </c>
      <c r="AF2" s="33" t="s">
        <v>10</v>
      </c>
      <c r="AG2" s="34" t="s">
        <v>11</v>
      </c>
      <c r="AH2" s="32" t="s">
        <v>6</v>
      </c>
      <c r="AI2" s="33" t="s">
        <v>7</v>
      </c>
      <c r="AJ2" s="33" t="s">
        <v>8</v>
      </c>
      <c r="AK2" s="33" t="s">
        <v>9</v>
      </c>
      <c r="AL2" s="33" t="s">
        <v>10</v>
      </c>
      <c r="AM2" s="34" t="s">
        <v>11</v>
      </c>
    </row>
    <row r="3">
      <c r="A3" s="35" t="s">
        <v>33</v>
      </c>
      <c r="B3" s="36" t="s">
        <v>7</v>
      </c>
      <c r="C3" s="37" t="s">
        <v>6</v>
      </c>
      <c r="D3" s="37" t="s">
        <v>7</v>
      </c>
      <c r="E3" s="38"/>
      <c r="F3" s="37" t="s">
        <v>7</v>
      </c>
      <c r="G3" s="37" t="s">
        <v>6</v>
      </c>
      <c r="H3" s="37" t="s">
        <v>7</v>
      </c>
      <c r="I3" s="37" t="s">
        <v>7</v>
      </c>
      <c r="J3" s="38"/>
      <c r="K3" s="38"/>
      <c r="L3" s="38"/>
      <c r="M3" s="37" t="s">
        <v>8</v>
      </c>
      <c r="N3" s="37" t="s">
        <v>6</v>
      </c>
      <c r="O3" s="38"/>
      <c r="P3" s="37" t="s">
        <v>7</v>
      </c>
      <c r="Q3" s="37" t="s">
        <v>8</v>
      </c>
      <c r="R3" s="37" t="s">
        <v>6</v>
      </c>
      <c r="S3" s="37" t="s">
        <v>7</v>
      </c>
      <c r="T3" s="38"/>
      <c r="U3" s="37" t="s">
        <v>6</v>
      </c>
      <c r="V3" s="36">
        <v>3.0</v>
      </c>
      <c r="W3" s="37">
        <v>4.0</v>
      </c>
      <c r="X3" s="37">
        <v>2.0</v>
      </c>
      <c r="Y3" s="37">
        <v>36.0</v>
      </c>
      <c r="Z3" s="37">
        <v>28.0</v>
      </c>
      <c r="AA3" s="42">
        <v>0.58</v>
      </c>
      <c r="AB3" s="44">
        <v>2.0</v>
      </c>
      <c r="AC3" s="45">
        <v>3.0</v>
      </c>
      <c r="AD3" s="45">
        <v>0.0</v>
      </c>
      <c r="AE3" s="47">
        <v>26.0</v>
      </c>
      <c r="AF3" s="49">
        <v>26.0</v>
      </c>
      <c r="AG3" s="51">
        <v>0.63</v>
      </c>
      <c r="AH3" s="44">
        <v>5.0</v>
      </c>
      <c r="AI3" s="45">
        <v>7.0</v>
      </c>
      <c r="AJ3" s="45">
        <v>2.0</v>
      </c>
      <c r="AK3" s="47">
        <v>62.0</v>
      </c>
      <c r="AL3" s="49">
        <v>54.0</v>
      </c>
      <c r="AM3" s="51">
        <v>0.6</v>
      </c>
    </row>
    <row r="4">
      <c r="A4" s="29" t="s">
        <v>35</v>
      </c>
      <c r="B4" s="55"/>
      <c r="C4" s="57"/>
      <c r="D4" s="57"/>
      <c r="E4" s="57"/>
      <c r="F4" s="2" t="s">
        <v>8</v>
      </c>
      <c r="G4" s="57"/>
      <c r="H4" s="57"/>
      <c r="I4" s="57"/>
      <c r="J4" s="2" t="s">
        <v>6</v>
      </c>
      <c r="K4" s="2" t="s">
        <v>6</v>
      </c>
      <c r="L4" s="57"/>
      <c r="M4" s="57"/>
      <c r="N4" s="57"/>
      <c r="O4" s="57"/>
      <c r="P4" s="57"/>
      <c r="Q4" s="2" t="s">
        <v>7</v>
      </c>
      <c r="R4" s="57"/>
      <c r="S4" s="57"/>
      <c r="T4" s="57"/>
      <c r="U4" s="57"/>
      <c r="V4" s="60">
        <v>1.0</v>
      </c>
      <c r="W4" s="2">
        <v>1.0</v>
      </c>
      <c r="X4" s="2">
        <v>0.0</v>
      </c>
      <c r="Y4" s="2">
        <v>10.0</v>
      </c>
      <c r="Z4" s="2">
        <v>10.0</v>
      </c>
      <c r="AA4" s="62">
        <v>0.17</v>
      </c>
      <c r="AB4" s="63">
        <v>1.0</v>
      </c>
      <c r="AC4" s="52">
        <v>0.0</v>
      </c>
      <c r="AD4" s="52">
        <v>1.0</v>
      </c>
      <c r="AE4" s="66">
        <v>4.0</v>
      </c>
      <c r="AF4" s="68">
        <v>0.0</v>
      </c>
      <c r="AG4" s="70">
        <v>0.13</v>
      </c>
      <c r="AH4" s="63">
        <v>2.0</v>
      </c>
      <c r="AI4" s="52">
        <v>1.0</v>
      </c>
      <c r="AJ4" s="52">
        <v>1.0</v>
      </c>
      <c r="AK4" s="66">
        <v>14.0</v>
      </c>
      <c r="AL4" s="68">
        <v>10.0</v>
      </c>
      <c r="AM4" s="70">
        <v>0.15</v>
      </c>
    </row>
    <row r="5">
      <c r="A5" s="29" t="s">
        <v>37</v>
      </c>
      <c r="B5" s="55"/>
      <c r="C5" s="57"/>
      <c r="D5" s="57"/>
      <c r="E5" s="57"/>
      <c r="F5" s="2" t="s">
        <v>6</v>
      </c>
      <c r="G5" s="57"/>
      <c r="H5" s="2" t="s">
        <v>6</v>
      </c>
      <c r="I5" s="57"/>
      <c r="J5" s="57"/>
      <c r="K5" s="57"/>
      <c r="L5" s="57"/>
      <c r="M5" s="2" t="s">
        <v>8</v>
      </c>
      <c r="N5" s="2" t="s">
        <v>6</v>
      </c>
      <c r="O5" s="57"/>
      <c r="P5" s="57"/>
      <c r="Q5" s="57"/>
      <c r="R5" s="2" t="s">
        <v>6</v>
      </c>
      <c r="S5" s="57"/>
      <c r="T5" s="2" t="s">
        <v>6</v>
      </c>
      <c r="U5" s="2" t="s">
        <v>6</v>
      </c>
      <c r="V5" s="60">
        <v>3.0</v>
      </c>
      <c r="W5" s="2">
        <v>0.0</v>
      </c>
      <c r="X5" s="2">
        <v>1.0</v>
      </c>
      <c r="Y5" s="2">
        <v>12.0</v>
      </c>
      <c r="Z5" s="2">
        <v>8.0</v>
      </c>
      <c r="AA5" s="62">
        <v>0.25</v>
      </c>
      <c r="AB5" s="63">
        <v>3.0</v>
      </c>
      <c r="AC5" s="52">
        <v>0.0</v>
      </c>
      <c r="AD5" s="52">
        <v>0.0</v>
      </c>
      <c r="AE5" s="72">
        <v>12.0</v>
      </c>
      <c r="AF5" s="74">
        <v>12.0</v>
      </c>
      <c r="AG5" s="75">
        <v>0.38</v>
      </c>
      <c r="AH5" s="63">
        <v>6.0</v>
      </c>
      <c r="AI5" s="52">
        <v>0.0</v>
      </c>
      <c r="AJ5" s="52">
        <v>1.0</v>
      </c>
      <c r="AK5" s="72">
        <v>24.0</v>
      </c>
      <c r="AL5" s="74">
        <v>20.0</v>
      </c>
      <c r="AM5" s="75">
        <v>0.3</v>
      </c>
    </row>
    <row r="6">
      <c r="A6" s="29" t="s">
        <v>39</v>
      </c>
      <c r="B6" s="60" t="s">
        <v>7</v>
      </c>
      <c r="C6" s="57"/>
      <c r="D6" s="2" t="s">
        <v>6</v>
      </c>
      <c r="E6" s="2" t="s">
        <v>6</v>
      </c>
      <c r="F6" s="57"/>
      <c r="G6" s="57"/>
      <c r="H6" s="2" t="s">
        <v>8</v>
      </c>
      <c r="I6" s="57"/>
      <c r="J6" s="2" t="s">
        <v>8</v>
      </c>
      <c r="K6" s="57"/>
      <c r="L6" s="2" t="s">
        <v>6</v>
      </c>
      <c r="M6" s="57"/>
      <c r="N6" s="57"/>
      <c r="O6" s="57"/>
      <c r="P6" s="57"/>
      <c r="Q6" s="57"/>
      <c r="R6" s="57"/>
      <c r="S6" s="2" t="s">
        <v>7</v>
      </c>
      <c r="T6" s="57"/>
      <c r="U6" s="57"/>
      <c r="V6" s="60">
        <v>2.0</v>
      </c>
      <c r="W6" s="2">
        <v>1.0</v>
      </c>
      <c r="X6" s="2">
        <v>0.0</v>
      </c>
      <c r="Y6" s="2">
        <v>14.0</v>
      </c>
      <c r="Z6" s="2">
        <v>14.0</v>
      </c>
      <c r="AA6" s="62">
        <v>0.25</v>
      </c>
      <c r="AB6" s="63">
        <v>1.0</v>
      </c>
      <c r="AC6" s="52">
        <v>1.0</v>
      </c>
      <c r="AD6" s="52">
        <v>2.0</v>
      </c>
      <c r="AE6" s="80">
        <v>10.0</v>
      </c>
      <c r="AF6" s="81">
        <v>2.0</v>
      </c>
      <c r="AG6" s="75">
        <v>0.25</v>
      </c>
      <c r="AH6" s="63">
        <v>3.0</v>
      </c>
      <c r="AI6" s="52">
        <v>2.0</v>
      </c>
      <c r="AJ6" s="52">
        <v>2.0</v>
      </c>
      <c r="AK6" s="80">
        <v>24.0</v>
      </c>
      <c r="AL6" s="81">
        <v>16.0</v>
      </c>
      <c r="AM6" s="75">
        <v>0.25</v>
      </c>
    </row>
    <row r="7">
      <c r="A7" s="29" t="s">
        <v>42</v>
      </c>
      <c r="B7" s="55"/>
      <c r="C7" s="2" t="s">
        <v>6</v>
      </c>
      <c r="D7" s="57"/>
      <c r="E7" s="57"/>
      <c r="F7" s="57"/>
      <c r="G7" s="57"/>
      <c r="H7" s="2" t="s">
        <v>8</v>
      </c>
      <c r="I7" s="57"/>
      <c r="J7" s="2" t="s">
        <v>6</v>
      </c>
      <c r="K7" s="2" t="s">
        <v>6</v>
      </c>
      <c r="L7" s="2" t="s">
        <v>6</v>
      </c>
      <c r="M7" s="57"/>
      <c r="N7" s="57"/>
      <c r="O7" s="57"/>
      <c r="P7" s="57"/>
      <c r="Q7" s="57"/>
      <c r="R7" s="57"/>
      <c r="S7" s="57"/>
      <c r="T7" s="57"/>
      <c r="U7" s="57"/>
      <c r="V7" s="60">
        <v>1.0</v>
      </c>
      <c r="W7" s="2">
        <v>0.0</v>
      </c>
      <c r="X7" s="2">
        <v>0.0</v>
      </c>
      <c r="Y7" s="2">
        <v>4.0</v>
      </c>
      <c r="Z7" s="2">
        <v>4.0</v>
      </c>
      <c r="AA7" s="62">
        <v>0.08</v>
      </c>
      <c r="AB7" s="63">
        <v>3.0</v>
      </c>
      <c r="AC7" s="52">
        <v>0.0</v>
      </c>
      <c r="AD7" s="52">
        <v>1.0</v>
      </c>
      <c r="AE7" s="85">
        <v>12.0</v>
      </c>
      <c r="AF7" s="86">
        <v>8.0</v>
      </c>
      <c r="AG7" s="87">
        <v>0.38</v>
      </c>
      <c r="AH7" s="63">
        <v>4.0</v>
      </c>
      <c r="AI7" s="52">
        <v>0.0</v>
      </c>
      <c r="AJ7" s="52">
        <v>1.0</v>
      </c>
      <c r="AK7" s="85">
        <v>16.0</v>
      </c>
      <c r="AL7" s="86">
        <v>12.0</v>
      </c>
      <c r="AM7" s="87">
        <v>0.2</v>
      </c>
    </row>
    <row r="8">
      <c r="A8" s="29" t="s">
        <v>44</v>
      </c>
      <c r="B8" s="60" t="s">
        <v>6</v>
      </c>
      <c r="C8" s="57"/>
      <c r="D8" s="2" t="s">
        <v>6</v>
      </c>
      <c r="E8" s="2" t="s">
        <v>6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60">
        <v>3.0</v>
      </c>
      <c r="W8" s="2">
        <v>0.0</v>
      </c>
      <c r="X8" s="2">
        <v>0.0</v>
      </c>
      <c r="Y8" s="2">
        <v>12.0</v>
      </c>
      <c r="Z8" s="2">
        <v>12.0</v>
      </c>
      <c r="AA8" s="62">
        <v>0.25</v>
      </c>
      <c r="AB8" s="63">
        <v>0.0</v>
      </c>
      <c r="AC8" s="52">
        <v>0.0</v>
      </c>
      <c r="AD8" s="52">
        <v>0.0</v>
      </c>
      <c r="AE8" s="72">
        <v>0.0</v>
      </c>
      <c r="AF8" s="93">
        <v>0.0</v>
      </c>
      <c r="AG8" s="75">
        <v>0.0</v>
      </c>
      <c r="AH8" s="63">
        <v>3.0</v>
      </c>
      <c r="AI8" s="52">
        <v>0.0</v>
      </c>
      <c r="AJ8" s="52">
        <v>0.0</v>
      </c>
      <c r="AK8" s="72">
        <v>12.0</v>
      </c>
      <c r="AL8" s="93">
        <v>12.0</v>
      </c>
      <c r="AM8" s="75">
        <v>0.15</v>
      </c>
    </row>
    <row r="9">
      <c r="A9" s="29" t="s">
        <v>46</v>
      </c>
      <c r="B9" s="60" t="s">
        <v>7</v>
      </c>
      <c r="C9" s="57"/>
      <c r="D9" s="57"/>
      <c r="E9" s="57"/>
      <c r="F9" s="57"/>
      <c r="G9" s="57"/>
      <c r="H9" s="57"/>
      <c r="I9" s="57"/>
      <c r="J9" s="2" t="s">
        <v>8</v>
      </c>
      <c r="K9" s="57"/>
      <c r="L9" s="57"/>
      <c r="M9" s="2" t="s">
        <v>6</v>
      </c>
      <c r="N9" s="57"/>
      <c r="O9" s="57"/>
      <c r="P9" s="57"/>
      <c r="Q9" s="57"/>
      <c r="R9" s="57"/>
      <c r="S9" s="57"/>
      <c r="T9" s="57"/>
      <c r="U9" s="57"/>
      <c r="V9" s="60">
        <v>1.0</v>
      </c>
      <c r="W9" s="2">
        <v>1.0</v>
      </c>
      <c r="X9" s="2">
        <v>0.0</v>
      </c>
      <c r="Y9" s="2">
        <v>10.0</v>
      </c>
      <c r="Z9" s="2">
        <v>10.0</v>
      </c>
      <c r="AA9" s="62">
        <v>0.17</v>
      </c>
      <c r="AB9" s="63">
        <v>0.0</v>
      </c>
      <c r="AC9" s="52">
        <v>0.0</v>
      </c>
      <c r="AD9" s="52">
        <v>1.0</v>
      </c>
      <c r="AE9" s="66">
        <v>0.0</v>
      </c>
      <c r="AF9" s="68">
        <v>-4.0</v>
      </c>
      <c r="AG9" s="70">
        <v>0.0</v>
      </c>
      <c r="AH9" s="63">
        <v>1.0</v>
      </c>
      <c r="AI9" s="52">
        <v>1.0</v>
      </c>
      <c r="AJ9" s="52">
        <v>1.0</v>
      </c>
      <c r="AK9" s="66">
        <v>10.0</v>
      </c>
      <c r="AL9" s="68">
        <v>6.0</v>
      </c>
      <c r="AM9" s="70">
        <v>0.1</v>
      </c>
    </row>
    <row r="10">
      <c r="A10" s="29" t="s">
        <v>47</v>
      </c>
      <c r="B10" s="55"/>
      <c r="C10" s="57"/>
      <c r="D10" s="2" t="s">
        <v>7</v>
      </c>
      <c r="E10" s="57"/>
      <c r="F10" s="2" t="s">
        <v>6</v>
      </c>
      <c r="G10" s="2" t="s">
        <v>6</v>
      </c>
      <c r="H10" s="2" t="s">
        <v>7</v>
      </c>
      <c r="I10" s="2" t="s">
        <v>6</v>
      </c>
      <c r="J10" s="57"/>
      <c r="K10" s="2" t="s">
        <v>8</v>
      </c>
      <c r="L10" s="57"/>
      <c r="M10" s="57"/>
      <c r="N10" s="57"/>
      <c r="O10" s="57"/>
      <c r="P10" s="2" t="s">
        <v>6</v>
      </c>
      <c r="Q10" s="2" t="s">
        <v>7</v>
      </c>
      <c r="R10" s="57"/>
      <c r="S10" s="2" t="s">
        <v>6</v>
      </c>
      <c r="T10" s="2" t="s">
        <v>6</v>
      </c>
      <c r="U10" s="2" t="s">
        <v>7</v>
      </c>
      <c r="V10" s="60">
        <v>4.0</v>
      </c>
      <c r="W10" s="2">
        <v>3.0</v>
      </c>
      <c r="X10" s="2">
        <v>1.0</v>
      </c>
      <c r="Y10" s="2">
        <v>34.0</v>
      </c>
      <c r="Z10" s="2">
        <v>30.0</v>
      </c>
      <c r="AA10" s="62">
        <v>0.58</v>
      </c>
      <c r="AB10" s="63">
        <v>2.0</v>
      </c>
      <c r="AC10" s="52">
        <v>1.0</v>
      </c>
      <c r="AD10" s="52">
        <v>0.0</v>
      </c>
      <c r="AE10" s="97">
        <v>14.0</v>
      </c>
      <c r="AF10" s="99">
        <v>14.0</v>
      </c>
      <c r="AG10" s="100">
        <v>0.38</v>
      </c>
      <c r="AH10" s="63">
        <v>6.0</v>
      </c>
      <c r="AI10" s="52">
        <v>4.0</v>
      </c>
      <c r="AJ10" s="52">
        <v>1.0</v>
      </c>
      <c r="AK10" s="97">
        <v>48.0</v>
      </c>
      <c r="AL10" s="99">
        <v>44.0</v>
      </c>
      <c r="AM10" s="100">
        <v>0.5</v>
      </c>
    </row>
    <row r="11">
      <c r="A11" s="29" t="s">
        <v>49</v>
      </c>
      <c r="B11" s="55"/>
      <c r="C11" s="2" t="s">
        <v>6</v>
      </c>
      <c r="D11" s="2" t="s">
        <v>7</v>
      </c>
      <c r="E11" s="2" t="s">
        <v>8</v>
      </c>
      <c r="F11" s="57"/>
      <c r="G11" s="2" t="s">
        <v>7</v>
      </c>
      <c r="H11" s="2" t="s">
        <v>6</v>
      </c>
      <c r="I11" s="2" t="s">
        <v>6</v>
      </c>
      <c r="J11" s="57"/>
      <c r="K11" s="57"/>
      <c r="L11" s="2" t="s">
        <v>8</v>
      </c>
      <c r="M11" s="2" t="s">
        <v>6</v>
      </c>
      <c r="N11" s="2" t="s">
        <v>6</v>
      </c>
      <c r="O11" s="57"/>
      <c r="P11" s="2" t="s">
        <v>6</v>
      </c>
      <c r="Q11" s="2" t="s">
        <v>7</v>
      </c>
      <c r="R11" s="2" t="s">
        <v>6</v>
      </c>
      <c r="S11" s="57"/>
      <c r="T11" s="57"/>
      <c r="U11" s="57"/>
      <c r="V11" s="60">
        <v>4.0</v>
      </c>
      <c r="W11" s="2">
        <v>3.0</v>
      </c>
      <c r="X11" s="2">
        <v>1.0</v>
      </c>
      <c r="Y11" s="2">
        <v>34.0</v>
      </c>
      <c r="Z11" s="2">
        <v>30.0</v>
      </c>
      <c r="AA11" s="62">
        <v>0.58</v>
      </c>
      <c r="AB11" s="63">
        <v>3.0</v>
      </c>
      <c r="AC11" s="52">
        <v>0.0</v>
      </c>
      <c r="AD11" s="52">
        <v>1.0</v>
      </c>
      <c r="AE11" s="97">
        <v>12.0</v>
      </c>
      <c r="AF11" s="99">
        <v>8.0</v>
      </c>
      <c r="AG11" s="100">
        <v>0.38</v>
      </c>
      <c r="AH11" s="63">
        <v>7.0</v>
      </c>
      <c r="AI11" s="52">
        <v>3.0</v>
      </c>
      <c r="AJ11" s="52">
        <v>2.0</v>
      </c>
      <c r="AK11" s="97">
        <v>46.0</v>
      </c>
      <c r="AL11" s="99">
        <v>38.0</v>
      </c>
      <c r="AM11" s="100">
        <v>0.5</v>
      </c>
    </row>
    <row r="12">
      <c r="A12" s="29" t="s">
        <v>50</v>
      </c>
      <c r="B12" s="60" t="s">
        <v>7</v>
      </c>
      <c r="C12" s="57"/>
      <c r="D12" s="57"/>
      <c r="E12" s="57"/>
      <c r="F12" s="2" t="s">
        <v>6</v>
      </c>
      <c r="G12" s="57"/>
      <c r="H12" s="57"/>
      <c r="I12" s="57"/>
      <c r="J12" s="2" t="s">
        <v>6</v>
      </c>
      <c r="K12" s="2" t="s">
        <v>7</v>
      </c>
      <c r="L12" s="57"/>
      <c r="M12" s="57"/>
      <c r="N12" s="57"/>
      <c r="O12" s="57"/>
      <c r="P12" s="57"/>
      <c r="Q12" s="57"/>
      <c r="R12" s="57"/>
      <c r="S12" s="2" t="s">
        <v>7</v>
      </c>
      <c r="T12" s="57"/>
      <c r="U12" s="2" t="s">
        <v>6</v>
      </c>
      <c r="V12" s="60">
        <v>1.0</v>
      </c>
      <c r="W12" s="2">
        <v>2.0</v>
      </c>
      <c r="X12" s="2">
        <v>0.0</v>
      </c>
      <c r="Y12" s="2">
        <v>16.0</v>
      </c>
      <c r="Z12" s="2">
        <v>16.0</v>
      </c>
      <c r="AA12" s="62">
        <v>0.25</v>
      </c>
      <c r="AB12" s="63">
        <v>2.0</v>
      </c>
      <c r="AC12" s="52">
        <v>1.0</v>
      </c>
      <c r="AD12" s="52">
        <v>0.0</v>
      </c>
      <c r="AE12" s="106">
        <v>14.0</v>
      </c>
      <c r="AF12" s="108">
        <v>14.0</v>
      </c>
      <c r="AG12" s="75">
        <v>0.38</v>
      </c>
      <c r="AH12" s="63">
        <v>3.0</v>
      </c>
      <c r="AI12" s="52">
        <v>3.0</v>
      </c>
      <c r="AJ12" s="52">
        <v>0.0</v>
      </c>
      <c r="AK12" s="106">
        <v>30.0</v>
      </c>
      <c r="AL12" s="108">
        <v>30.0</v>
      </c>
      <c r="AM12" s="75">
        <v>0.3</v>
      </c>
    </row>
    <row r="13">
      <c r="A13" s="29" t="s">
        <v>52</v>
      </c>
      <c r="B13" s="60" t="s">
        <v>8</v>
      </c>
      <c r="C13" s="57"/>
      <c r="D13" s="2" t="s">
        <v>6</v>
      </c>
      <c r="E13" s="57"/>
      <c r="F13" s="2" t="s">
        <v>6</v>
      </c>
      <c r="G13" s="2" t="s">
        <v>8</v>
      </c>
      <c r="H13" s="2" t="s">
        <v>6</v>
      </c>
      <c r="I13" s="57"/>
      <c r="J13" s="57"/>
      <c r="K13" s="2" t="s">
        <v>6</v>
      </c>
      <c r="L13" s="2" t="s">
        <v>7</v>
      </c>
      <c r="M13" s="57"/>
      <c r="N13" s="2" t="s">
        <v>6</v>
      </c>
      <c r="O13" s="57"/>
      <c r="P13" s="2" t="s">
        <v>7</v>
      </c>
      <c r="Q13" s="2" t="s">
        <v>8</v>
      </c>
      <c r="R13" s="2" t="s">
        <v>6</v>
      </c>
      <c r="S13" s="2" t="s">
        <v>7</v>
      </c>
      <c r="T13" s="2" t="s">
        <v>6</v>
      </c>
      <c r="U13" s="2" t="s">
        <v>7</v>
      </c>
      <c r="V13" s="60">
        <v>4.0</v>
      </c>
      <c r="W13" s="2">
        <v>2.0</v>
      </c>
      <c r="X13" s="2">
        <v>3.0</v>
      </c>
      <c r="Y13" s="2">
        <v>28.0</v>
      </c>
      <c r="Z13" s="2">
        <v>16.0</v>
      </c>
      <c r="AA13" s="62">
        <v>0.5</v>
      </c>
      <c r="AB13" s="63">
        <v>3.0</v>
      </c>
      <c r="AC13" s="52">
        <v>2.0</v>
      </c>
      <c r="AD13" s="52">
        <v>0.0</v>
      </c>
      <c r="AE13" s="114">
        <v>24.0</v>
      </c>
      <c r="AF13" s="108">
        <v>24.0</v>
      </c>
      <c r="AG13" s="116">
        <v>0.63</v>
      </c>
      <c r="AH13" s="63">
        <v>7.0</v>
      </c>
      <c r="AI13" s="52">
        <v>4.0</v>
      </c>
      <c r="AJ13" s="52">
        <v>3.0</v>
      </c>
      <c r="AK13" s="114">
        <v>52.0</v>
      </c>
      <c r="AL13" s="108">
        <v>40.0</v>
      </c>
      <c r="AM13" s="116">
        <v>0.55</v>
      </c>
    </row>
    <row r="14">
      <c r="A14" s="29" t="s">
        <v>53</v>
      </c>
      <c r="B14" s="60" t="s">
        <v>6</v>
      </c>
      <c r="C14" s="57"/>
      <c r="D14" s="57"/>
      <c r="E14" s="57"/>
      <c r="F14" s="57"/>
      <c r="G14" s="2" t="s">
        <v>6</v>
      </c>
      <c r="H14" s="57"/>
      <c r="I14" s="57"/>
      <c r="J14" s="57"/>
      <c r="K14" s="57"/>
      <c r="L14" s="57"/>
      <c r="M14" s="2" t="s">
        <v>6</v>
      </c>
      <c r="N14" s="57"/>
      <c r="O14" s="57"/>
      <c r="P14" s="57"/>
      <c r="Q14" s="57"/>
      <c r="R14" s="57"/>
      <c r="S14" s="57"/>
      <c r="T14" s="57"/>
      <c r="U14" s="57"/>
      <c r="V14" s="60">
        <v>3.0</v>
      </c>
      <c r="W14" s="2">
        <v>0.0</v>
      </c>
      <c r="X14" s="2">
        <v>0.0</v>
      </c>
      <c r="Y14" s="2">
        <v>12.0</v>
      </c>
      <c r="Z14" s="2">
        <v>12.0</v>
      </c>
      <c r="AA14" s="62">
        <v>0.25</v>
      </c>
      <c r="AB14" s="63">
        <v>0.0</v>
      </c>
      <c r="AC14" s="52">
        <v>0.0</v>
      </c>
      <c r="AD14" s="52">
        <v>0.0</v>
      </c>
      <c r="AE14" s="72">
        <v>0.0</v>
      </c>
      <c r="AF14" s="93">
        <v>0.0</v>
      </c>
      <c r="AG14" s="75">
        <v>0.0</v>
      </c>
      <c r="AH14" s="63">
        <v>3.0</v>
      </c>
      <c r="AI14" s="52">
        <v>0.0</v>
      </c>
      <c r="AJ14" s="52">
        <v>0.0</v>
      </c>
      <c r="AK14" s="72">
        <v>12.0</v>
      </c>
      <c r="AL14" s="93">
        <v>12.0</v>
      </c>
      <c r="AM14" s="75">
        <v>0.15</v>
      </c>
    </row>
    <row r="15">
      <c r="A15" s="29" t="s">
        <v>54</v>
      </c>
      <c r="B15" s="60" t="s">
        <v>6</v>
      </c>
      <c r="C15" s="57"/>
      <c r="D15" s="2" t="s">
        <v>6</v>
      </c>
      <c r="E15" s="57"/>
      <c r="F15" s="2" t="s">
        <v>6</v>
      </c>
      <c r="G15" s="2" t="s">
        <v>6</v>
      </c>
      <c r="H15" s="57"/>
      <c r="I15" s="2" t="s">
        <v>6</v>
      </c>
      <c r="J15" s="57"/>
      <c r="K15" s="57"/>
      <c r="L15" s="2" t="s">
        <v>6</v>
      </c>
      <c r="M15" s="2" t="s">
        <v>6</v>
      </c>
      <c r="N15" s="57"/>
      <c r="O15" s="2" t="s">
        <v>8</v>
      </c>
      <c r="P15" s="2" t="s">
        <v>6</v>
      </c>
      <c r="Q15" s="57"/>
      <c r="R15" s="2" t="s">
        <v>6</v>
      </c>
      <c r="S15" s="2" t="s">
        <v>7</v>
      </c>
      <c r="T15" s="2" t="s">
        <v>6</v>
      </c>
      <c r="U15" s="57"/>
      <c r="V15" s="60">
        <v>7.0</v>
      </c>
      <c r="W15" s="2">
        <v>0.0</v>
      </c>
      <c r="X15" s="2">
        <v>0.0</v>
      </c>
      <c r="Y15" s="2">
        <v>28.0</v>
      </c>
      <c r="Z15" s="2">
        <v>28.0</v>
      </c>
      <c r="AA15" s="62">
        <v>0.58</v>
      </c>
      <c r="AB15" s="63">
        <v>3.0</v>
      </c>
      <c r="AC15" s="52">
        <v>1.0</v>
      </c>
      <c r="AD15" s="52">
        <v>1.0</v>
      </c>
      <c r="AE15" s="114">
        <v>18.0</v>
      </c>
      <c r="AF15" s="120">
        <v>14.0</v>
      </c>
      <c r="AG15" s="100">
        <v>0.5</v>
      </c>
      <c r="AH15" s="63">
        <v>10.0</v>
      </c>
      <c r="AI15" s="52">
        <v>1.0</v>
      </c>
      <c r="AJ15" s="52">
        <v>1.0</v>
      </c>
      <c r="AK15" s="114">
        <v>46.0</v>
      </c>
      <c r="AL15" s="120">
        <v>42.0</v>
      </c>
      <c r="AM15" s="100">
        <v>0.55</v>
      </c>
    </row>
    <row r="16">
      <c r="A16" s="29" t="s">
        <v>56</v>
      </c>
      <c r="B16" s="55"/>
      <c r="C16" s="2" t="s">
        <v>6</v>
      </c>
      <c r="D16" s="57"/>
      <c r="E16" s="57"/>
      <c r="F16" s="57"/>
      <c r="G16" s="57"/>
      <c r="H16" s="2" t="s">
        <v>6</v>
      </c>
      <c r="I16" s="57"/>
      <c r="J16" s="57"/>
      <c r="K16" s="57"/>
      <c r="L16" s="57"/>
      <c r="M16" s="57"/>
      <c r="N16" s="57"/>
      <c r="O16" s="57"/>
      <c r="P16" s="57"/>
      <c r="Q16" s="2" t="s">
        <v>6</v>
      </c>
      <c r="R16" s="57"/>
      <c r="S16" s="57"/>
      <c r="T16" s="57"/>
      <c r="U16" s="2" t="s">
        <v>6</v>
      </c>
      <c r="V16" s="60">
        <v>2.0</v>
      </c>
      <c r="W16" s="2">
        <v>0.0</v>
      </c>
      <c r="X16" s="2">
        <v>0.0</v>
      </c>
      <c r="Y16" s="2">
        <v>8.0</v>
      </c>
      <c r="Z16" s="2">
        <v>8.0</v>
      </c>
      <c r="AA16" s="62">
        <v>0.17</v>
      </c>
      <c r="AB16" s="63">
        <v>2.0</v>
      </c>
      <c r="AC16" s="52">
        <v>0.0</v>
      </c>
      <c r="AD16" s="52">
        <v>0.0</v>
      </c>
      <c r="AE16" s="122">
        <v>8.0</v>
      </c>
      <c r="AF16" s="74">
        <v>8.0</v>
      </c>
      <c r="AG16" s="70">
        <v>0.25</v>
      </c>
      <c r="AH16" s="63">
        <v>4.0</v>
      </c>
      <c r="AI16" s="52">
        <v>0.0</v>
      </c>
      <c r="AJ16" s="52">
        <v>0.0</v>
      </c>
      <c r="AK16" s="122">
        <v>16.0</v>
      </c>
      <c r="AL16" s="74">
        <v>16.0</v>
      </c>
      <c r="AM16" s="70">
        <v>0.2</v>
      </c>
    </row>
    <row r="17">
      <c r="A17" s="29" t="s">
        <v>58</v>
      </c>
      <c r="B17" s="55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2" t="s">
        <v>6</v>
      </c>
      <c r="V17" s="60">
        <v>1.0</v>
      </c>
      <c r="W17" s="2">
        <v>0.0</v>
      </c>
      <c r="X17" s="2">
        <v>0.0</v>
      </c>
      <c r="Y17" s="2">
        <v>4.0</v>
      </c>
      <c r="Z17" s="2">
        <v>4.0</v>
      </c>
      <c r="AA17" s="62">
        <v>0.08</v>
      </c>
      <c r="AB17" s="63">
        <v>0.0</v>
      </c>
      <c r="AC17" s="52">
        <v>0.0</v>
      </c>
      <c r="AD17" s="52">
        <v>0.0</v>
      </c>
      <c r="AE17" s="85">
        <v>0.0</v>
      </c>
      <c r="AF17" s="86">
        <v>0.0</v>
      </c>
      <c r="AG17" s="87">
        <v>0.0</v>
      </c>
      <c r="AH17" s="63">
        <v>1.0</v>
      </c>
      <c r="AI17" s="52">
        <v>0.0</v>
      </c>
      <c r="AJ17" s="52">
        <v>0.0</v>
      </c>
      <c r="AK17" s="85">
        <v>4.0</v>
      </c>
      <c r="AL17" s="86">
        <v>4.0</v>
      </c>
      <c r="AM17" s="87">
        <v>0.05</v>
      </c>
    </row>
    <row r="18">
      <c r="A18" s="29" t="s">
        <v>59</v>
      </c>
      <c r="B18" s="60" t="s">
        <v>8</v>
      </c>
      <c r="C18" s="2" t="s">
        <v>6</v>
      </c>
      <c r="D18" s="2" t="s">
        <v>6</v>
      </c>
      <c r="E18" s="2" t="s">
        <v>6</v>
      </c>
      <c r="F18" s="57"/>
      <c r="G18" s="57"/>
      <c r="H18" s="2" t="s">
        <v>6</v>
      </c>
      <c r="I18" s="57"/>
      <c r="J18" s="57"/>
      <c r="K18" s="57"/>
      <c r="L18" s="2" t="s">
        <v>6</v>
      </c>
      <c r="M18" s="57"/>
      <c r="N18" s="57"/>
      <c r="O18" s="57"/>
      <c r="P18" s="57"/>
      <c r="Q18" s="57"/>
      <c r="R18" s="57"/>
      <c r="S18" s="57"/>
      <c r="T18" s="57"/>
      <c r="U18" s="57"/>
      <c r="V18" s="60">
        <v>2.0</v>
      </c>
      <c r="W18" s="2">
        <v>0.0</v>
      </c>
      <c r="X18" s="2">
        <v>1.0</v>
      </c>
      <c r="Y18" s="2">
        <v>8.0</v>
      </c>
      <c r="Z18" s="2">
        <v>4.0</v>
      </c>
      <c r="AA18" s="62">
        <v>0.17</v>
      </c>
      <c r="AB18" s="63">
        <v>3.0</v>
      </c>
      <c r="AC18" s="52">
        <v>0.0</v>
      </c>
      <c r="AD18" s="52">
        <v>0.0</v>
      </c>
      <c r="AE18" s="122">
        <v>12.0</v>
      </c>
      <c r="AF18" s="86">
        <v>12.0</v>
      </c>
      <c r="AG18" s="70">
        <v>0.38</v>
      </c>
      <c r="AH18" s="63">
        <v>5.0</v>
      </c>
      <c r="AI18" s="52">
        <v>0.0</v>
      </c>
      <c r="AJ18" s="52">
        <v>1.0</v>
      </c>
      <c r="AK18" s="122">
        <v>20.0</v>
      </c>
      <c r="AL18" s="86">
        <v>16.0</v>
      </c>
      <c r="AM18" s="70">
        <v>0.25</v>
      </c>
    </row>
    <row r="19">
      <c r="A19" s="29" t="s">
        <v>34</v>
      </c>
      <c r="B19" s="60" t="s">
        <v>7</v>
      </c>
      <c r="C19" s="2" t="s">
        <v>6</v>
      </c>
      <c r="D19" s="2" t="s">
        <v>8</v>
      </c>
      <c r="E19" s="2" t="s">
        <v>8</v>
      </c>
      <c r="F19" s="57"/>
      <c r="G19" s="2" t="s">
        <v>6</v>
      </c>
      <c r="H19" s="2" t="s">
        <v>7</v>
      </c>
      <c r="I19" s="2" t="s">
        <v>6</v>
      </c>
      <c r="J19" s="2" t="s">
        <v>8</v>
      </c>
      <c r="K19" s="57"/>
      <c r="L19" s="2" t="s">
        <v>7</v>
      </c>
      <c r="M19" s="57"/>
      <c r="N19" s="57"/>
      <c r="O19" s="2" t="s">
        <v>6</v>
      </c>
      <c r="P19" s="2" t="s">
        <v>7</v>
      </c>
      <c r="Q19" s="2" t="s">
        <v>7</v>
      </c>
      <c r="R19" s="2" t="s">
        <v>6</v>
      </c>
      <c r="S19" s="2" t="s">
        <v>7</v>
      </c>
      <c r="T19" s="57"/>
      <c r="U19" s="57"/>
      <c r="V19" s="60">
        <v>2.0</v>
      </c>
      <c r="W19" s="2">
        <v>3.0</v>
      </c>
      <c r="X19" s="2">
        <v>2.0</v>
      </c>
      <c r="Y19" s="2">
        <v>26.0</v>
      </c>
      <c r="Z19" s="2">
        <v>18.0</v>
      </c>
      <c r="AA19" s="62">
        <v>0.42</v>
      </c>
      <c r="AB19" s="63">
        <v>3.0</v>
      </c>
      <c r="AC19" s="52">
        <v>3.0</v>
      </c>
      <c r="AD19" s="52">
        <v>1.0</v>
      </c>
      <c r="AE19" s="131">
        <v>30.0</v>
      </c>
      <c r="AF19" s="132">
        <v>26.0</v>
      </c>
      <c r="AG19" s="134">
        <v>0.75</v>
      </c>
      <c r="AH19" s="63">
        <v>5.0</v>
      </c>
      <c r="AI19" s="52">
        <v>6.0</v>
      </c>
      <c r="AJ19" s="52">
        <v>3.0</v>
      </c>
      <c r="AK19" s="131">
        <v>56.0</v>
      </c>
      <c r="AL19" s="132">
        <v>44.0</v>
      </c>
      <c r="AM19" s="134">
        <v>0.55</v>
      </c>
    </row>
    <row r="20">
      <c r="A20" s="29" t="s">
        <v>62</v>
      </c>
      <c r="B20" s="60" t="s">
        <v>8</v>
      </c>
      <c r="C20" s="57"/>
      <c r="D20" s="2" t="s">
        <v>6</v>
      </c>
      <c r="E20" s="57"/>
      <c r="F20" s="2" t="s">
        <v>7</v>
      </c>
      <c r="G20" s="2" t="s">
        <v>8</v>
      </c>
      <c r="H20" s="57"/>
      <c r="I20" s="2" t="s">
        <v>8</v>
      </c>
      <c r="J20" s="2" t="s">
        <v>6</v>
      </c>
      <c r="K20" s="2" t="s">
        <v>7</v>
      </c>
      <c r="L20" s="2" t="s">
        <v>8</v>
      </c>
      <c r="M20" s="2" t="s">
        <v>6</v>
      </c>
      <c r="N20" s="57"/>
      <c r="O20" s="57"/>
      <c r="P20" s="57"/>
      <c r="Q20" s="57"/>
      <c r="R20" s="57"/>
      <c r="S20" s="57"/>
      <c r="T20" s="2" t="s">
        <v>8</v>
      </c>
      <c r="U20" s="2" t="s">
        <v>6</v>
      </c>
      <c r="V20" s="60">
        <v>3.0</v>
      </c>
      <c r="W20" s="2">
        <v>1.0</v>
      </c>
      <c r="X20" s="2">
        <v>4.0</v>
      </c>
      <c r="Y20" s="2">
        <v>18.0</v>
      </c>
      <c r="Z20" s="2">
        <v>2.0</v>
      </c>
      <c r="AA20" s="62">
        <v>0.33</v>
      </c>
      <c r="AB20" s="63">
        <v>1.0</v>
      </c>
      <c r="AC20" s="52">
        <v>1.0</v>
      </c>
      <c r="AD20" s="52">
        <v>1.0</v>
      </c>
      <c r="AE20" s="139">
        <v>10.0</v>
      </c>
      <c r="AF20" s="85">
        <v>6.0</v>
      </c>
      <c r="AG20" s="140">
        <v>0.25</v>
      </c>
      <c r="AH20" s="63">
        <v>4.0</v>
      </c>
      <c r="AI20" s="52">
        <v>2.0</v>
      </c>
      <c r="AJ20" s="52">
        <v>5.0</v>
      </c>
      <c r="AK20" s="139">
        <v>28.0</v>
      </c>
      <c r="AL20" s="85">
        <v>8.0</v>
      </c>
      <c r="AM20" s="140">
        <v>0.3</v>
      </c>
    </row>
    <row r="21">
      <c r="A21" s="29" t="s">
        <v>64</v>
      </c>
      <c r="B21" s="55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2" t="s">
        <v>7</v>
      </c>
      <c r="N21" s="57"/>
      <c r="O21" s="57"/>
      <c r="P21" s="57"/>
      <c r="Q21" s="57"/>
      <c r="R21" s="57"/>
      <c r="S21" s="57"/>
      <c r="T21" s="57"/>
      <c r="U21" s="57"/>
      <c r="V21" s="60">
        <v>0.0</v>
      </c>
      <c r="W21" s="2">
        <v>1.0</v>
      </c>
      <c r="X21" s="2">
        <v>0.0</v>
      </c>
      <c r="Y21" s="2">
        <v>6.0</v>
      </c>
      <c r="Z21" s="2">
        <v>6.0</v>
      </c>
      <c r="AA21" s="62">
        <v>0.08</v>
      </c>
      <c r="AB21" s="63">
        <v>0.0</v>
      </c>
      <c r="AC21" s="52">
        <v>0.0</v>
      </c>
      <c r="AD21" s="52">
        <v>0.0</v>
      </c>
      <c r="AE21" s="143">
        <v>0.0</v>
      </c>
      <c r="AF21" s="144">
        <v>0.0</v>
      </c>
      <c r="AG21" s="87">
        <v>0.0</v>
      </c>
      <c r="AH21" s="63">
        <v>0.0</v>
      </c>
      <c r="AI21" s="52">
        <v>1.0</v>
      </c>
      <c r="AJ21" s="52">
        <v>0.0</v>
      </c>
      <c r="AK21" s="143">
        <v>6.0</v>
      </c>
      <c r="AL21" s="144">
        <v>6.0</v>
      </c>
      <c r="AM21" s="87">
        <v>0.05</v>
      </c>
    </row>
    <row r="22">
      <c r="A22" s="29" t="s">
        <v>36</v>
      </c>
      <c r="B22" s="60" t="s">
        <v>7</v>
      </c>
      <c r="C22" s="2" t="s">
        <v>7</v>
      </c>
      <c r="D22" s="2" t="s">
        <v>7</v>
      </c>
      <c r="E22" s="2" t="s">
        <v>6</v>
      </c>
      <c r="F22" s="2" t="s">
        <v>6</v>
      </c>
      <c r="G22" s="2" t="s">
        <v>7</v>
      </c>
      <c r="H22" s="57"/>
      <c r="I22" s="2" t="s">
        <v>6</v>
      </c>
      <c r="J22" s="2" t="s">
        <v>6</v>
      </c>
      <c r="K22" s="2" t="s">
        <v>6</v>
      </c>
      <c r="L22" s="2" t="s">
        <v>8</v>
      </c>
      <c r="M22" s="57"/>
      <c r="N22" s="2" t="s">
        <v>6</v>
      </c>
      <c r="O22" s="57"/>
      <c r="P22" s="2" t="s">
        <v>7</v>
      </c>
      <c r="Q22" s="2" t="s">
        <v>6</v>
      </c>
      <c r="R22" s="2" t="s">
        <v>6</v>
      </c>
      <c r="S22" s="2" t="s">
        <v>7</v>
      </c>
      <c r="T22" s="2" t="s">
        <v>6</v>
      </c>
      <c r="U22" s="2" t="s">
        <v>7</v>
      </c>
      <c r="V22" s="60">
        <v>6.0</v>
      </c>
      <c r="W22" s="2">
        <v>5.0</v>
      </c>
      <c r="X22" s="2">
        <v>0.0</v>
      </c>
      <c r="Y22" s="2">
        <v>54.0</v>
      </c>
      <c r="Z22" s="2">
        <v>54.0</v>
      </c>
      <c r="AA22" s="62">
        <v>0.92</v>
      </c>
      <c r="AB22" s="63">
        <v>3.0</v>
      </c>
      <c r="AC22" s="52">
        <v>2.0</v>
      </c>
      <c r="AD22" s="52">
        <v>1.0</v>
      </c>
      <c r="AE22" s="128">
        <v>24.0</v>
      </c>
      <c r="AF22" s="129">
        <v>20.0</v>
      </c>
      <c r="AG22" s="130">
        <v>0.63</v>
      </c>
      <c r="AH22" s="63">
        <v>9.0</v>
      </c>
      <c r="AI22" s="52">
        <v>7.0</v>
      </c>
      <c r="AJ22" s="52">
        <v>1.0</v>
      </c>
      <c r="AK22" s="128">
        <v>78.0</v>
      </c>
      <c r="AL22" s="129">
        <v>74.0</v>
      </c>
      <c r="AM22" s="130">
        <v>0.8</v>
      </c>
    </row>
    <row r="23">
      <c r="A23" s="29" t="s">
        <v>61</v>
      </c>
      <c r="B23" s="55"/>
      <c r="C23" s="2" t="s">
        <v>7</v>
      </c>
      <c r="D23" s="2" t="s">
        <v>8</v>
      </c>
      <c r="E23" s="57"/>
      <c r="F23" s="2" t="s">
        <v>8</v>
      </c>
      <c r="G23" s="2" t="s">
        <v>7</v>
      </c>
      <c r="H23" s="2" t="s">
        <v>7</v>
      </c>
      <c r="I23" s="2" t="s">
        <v>7</v>
      </c>
      <c r="J23" s="2" t="s">
        <v>8</v>
      </c>
      <c r="K23" s="57"/>
      <c r="L23" s="2" t="s">
        <v>7</v>
      </c>
      <c r="M23" s="57"/>
      <c r="N23" s="2" t="s">
        <v>6</v>
      </c>
      <c r="O23" s="57"/>
      <c r="P23" s="2" t="s">
        <v>7</v>
      </c>
      <c r="Q23" s="2" t="s">
        <v>7</v>
      </c>
      <c r="R23" s="2" t="s">
        <v>7</v>
      </c>
      <c r="S23" s="2" t="s">
        <v>7</v>
      </c>
      <c r="T23" s="57"/>
      <c r="U23" s="2" t="s">
        <v>7</v>
      </c>
      <c r="V23" s="60">
        <v>1.0</v>
      </c>
      <c r="W23" s="2">
        <v>5.0</v>
      </c>
      <c r="X23" s="2">
        <v>1.0</v>
      </c>
      <c r="Y23" s="2">
        <v>34.0</v>
      </c>
      <c r="Z23" s="2">
        <v>30.0</v>
      </c>
      <c r="AA23" s="62">
        <v>0.5</v>
      </c>
      <c r="AB23" s="63">
        <v>0.0</v>
      </c>
      <c r="AC23" s="52">
        <v>5.0</v>
      </c>
      <c r="AD23" s="52">
        <v>2.0</v>
      </c>
      <c r="AE23" s="97">
        <v>30.0</v>
      </c>
      <c r="AF23" s="99">
        <v>22.0</v>
      </c>
      <c r="AG23" s="116">
        <v>0.63</v>
      </c>
      <c r="AH23" s="63">
        <v>1.0</v>
      </c>
      <c r="AI23" s="52">
        <v>10.0</v>
      </c>
      <c r="AJ23" s="52">
        <v>3.0</v>
      </c>
      <c r="AK23" s="97">
        <v>64.0</v>
      </c>
      <c r="AL23" s="99">
        <v>52.0</v>
      </c>
      <c r="AM23" s="116">
        <v>0.55</v>
      </c>
    </row>
    <row r="24">
      <c r="A24" s="29" t="s">
        <v>65</v>
      </c>
      <c r="B24" s="60" t="s">
        <v>7</v>
      </c>
      <c r="C24" s="57"/>
      <c r="D24" s="2" t="s">
        <v>6</v>
      </c>
      <c r="E24" s="2" t="s">
        <v>6</v>
      </c>
      <c r="F24" s="2" t="s">
        <v>6</v>
      </c>
      <c r="G24" s="57"/>
      <c r="H24" s="57"/>
      <c r="I24" s="57"/>
      <c r="J24" s="57"/>
      <c r="K24" s="57"/>
      <c r="L24" s="57"/>
      <c r="M24" s="57"/>
      <c r="N24" s="57"/>
      <c r="O24" s="2" t="s">
        <v>8</v>
      </c>
      <c r="P24" s="57"/>
      <c r="Q24" s="57"/>
      <c r="R24" s="57"/>
      <c r="S24" s="57"/>
      <c r="T24" s="2" t="s">
        <v>7</v>
      </c>
      <c r="U24" s="57"/>
      <c r="V24" s="60">
        <v>2.0</v>
      </c>
      <c r="W24" s="2">
        <v>2.0</v>
      </c>
      <c r="X24" s="2">
        <v>0.0</v>
      </c>
      <c r="Y24" s="2">
        <v>20.0</v>
      </c>
      <c r="Z24" s="2">
        <v>20.0</v>
      </c>
      <c r="AA24" s="62">
        <v>0.33</v>
      </c>
      <c r="AB24" s="63">
        <v>1.0</v>
      </c>
      <c r="AC24" s="52">
        <v>0.0</v>
      </c>
      <c r="AD24" s="52">
        <v>1.0</v>
      </c>
      <c r="AE24" s="158">
        <v>4.0</v>
      </c>
      <c r="AF24" s="159">
        <v>0.0</v>
      </c>
      <c r="AG24" s="140">
        <v>0.13</v>
      </c>
      <c r="AH24" s="63">
        <v>3.0</v>
      </c>
      <c r="AI24" s="52">
        <v>2.0</v>
      </c>
      <c r="AJ24" s="52">
        <v>1.0</v>
      </c>
      <c r="AK24" s="158">
        <v>24.0</v>
      </c>
      <c r="AL24" s="159">
        <v>20.0</v>
      </c>
      <c r="AM24" s="140">
        <v>0.25</v>
      </c>
    </row>
    <row r="25">
      <c r="A25" s="29" t="s">
        <v>41</v>
      </c>
      <c r="B25" s="60" t="s">
        <v>6</v>
      </c>
      <c r="C25" s="57"/>
      <c r="D25" s="57"/>
      <c r="E25" s="57"/>
      <c r="F25" s="2" t="s">
        <v>6</v>
      </c>
      <c r="G25" s="57"/>
      <c r="H25" s="57"/>
      <c r="I25" s="2" t="s">
        <v>6</v>
      </c>
      <c r="J25" s="2" t="s">
        <v>8</v>
      </c>
      <c r="K25" s="2" t="s">
        <v>6</v>
      </c>
      <c r="L25" s="2" t="s">
        <v>6</v>
      </c>
      <c r="M25" s="2" t="s">
        <v>7</v>
      </c>
      <c r="N25" s="2" t="s">
        <v>6</v>
      </c>
      <c r="O25" s="57"/>
      <c r="P25" s="57"/>
      <c r="Q25" s="57"/>
      <c r="R25" s="57"/>
      <c r="S25" s="57"/>
      <c r="T25" s="57"/>
      <c r="U25" s="2" t="s">
        <v>6</v>
      </c>
      <c r="V25" s="60">
        <v>5.0</v>
      </c>
      <c r="W25" s="2">
        <v>1.0</v>
      </c>
      <c r="X25" s="2">
        <v>0.0</v>
      </c>
      <c r="Y25" s="2">
        <v>26.0</v>
      </c>
      <c r="Z25" s="2">
        <v>26.0</v>
      </c>
      <c r="AA25" s="62">
        <v>0.5</v>
      </c>
      <c r="AB25" s="63">
        <v>2.0</v>
      </c>
      <c r="AC25" s="52">
        <v>0.0</v>
      </c>
      <c r="AD25" s="52">
        <v>1.0</v>
      </c>
      <c r="AE25" s="131">
        <v>8.0</v>
      </c>
      <c r="AF25" s="162">
        <v>4.0</v>
      </c>
      <c r="AG25" s="116">
        <v>0.25</v>
      </c>
      <c r="AH25" s="63">
        <v>7.0</v>
      </c>
      <c r="AI25" s="52">
        <v>1.0</v>
      </c>
      <c r="AJ25" s="52">
        <v>1.0</v>
      </c>
      <c r="AK25" s="131">
        <v>34.0</v>
      </c>
      <c r="AL25" s="162">
        <v>30.0</v>
      </c>
      <c r="AM25" s="116">
        <v>0.4</v>
      </c>
    </row>
    <row r="26">
      <c r="A26" s="29" t="s">
        <v>38</v>
      </c>
      <c r="B26" s="55"/>
      <c r="C26" s="57"/>
      <c r="D26" s="2" t="s">
        <v>6</v>
      </c>
      <c r="E26" s="57"/>
      <c r="F26" s="57"/>
      <c r="G26" s="2" t="s">
        <v>6</v>
      </c>
      <c r="H26" s="57"/>
      <c r="I26" s="57"/>
      <c r="J26" s="57"/>
      <c r="K26" s="57"/>
      <c r="L26" s="57"/>
      <c r="M26" s="57"/>
      <c r="N26" s="57"/>
      <c r="O26" s="57"/>
      <c r="P26" s="2" t="s">
        <v>6</v>
      </c>
      <c r="Q26" s="2" t="s">
        <v>7</v>
      </c>
      <c r="R26" s="57"/>
      <c r="S26" s="57"/>
      <c r="T26" s="57"/>
      <c r="U26" s="57"/>
      <c r="V26" s="60">
        <v>3.0</v>
      </c>
      <c r="W26" s="2">
        <v>1.0</v>
      </c>
      <c r="X26" s="2">
        <v>0.0</v>
      </c>
      <c r="Y26" s="2">
        <v>18.0</v>
      </c>
      <c r="Z26" s="2">
        <v>18.0</v>
      </c>
      <c r="AA26" s="62">
        <v>0.33</v>
      </c>
      <c r="AB26" s="63">
        <v>0.0</v>
      </c>
      <c r="AC26" s="52">
        <v>0.0</v>
      </c>
      <c r="AD26" s="52">
        <v>0.0</v>
      </c>
      <c r="AE26" s="139">
        <v>0.0</v>
      </c>
      <c r="AF26" s="132">
        <v>0.0</v>
      </c>
      <c r="AG26" s="140">
        <v>0.0</v>
      </c>
      <c r="AH26" s="63">
        <v>3.0</v>
      </c>
      <c r="AI26" s="52">
        <v>1.0</v>
      </c>
      <c r="AJ26" s="52">
        <v>0.0</v>
      </c>
      <c r="AK26" s="139">
        <v>18.0</v>
      </c>
      <c r="AL26" s="132">
        <v>18.0</v>
      </c>
      <c r="AM26" s="140">
        <v>0.2</v>
      </c>
    </row>
    <row r="27">
      <c r="A27" s="29" t="s">
        <v>40</v>
      </c>
      <c r="B27" s="55"/>
      <c r="C27" s="57"/>
      <c r="D27" s="2" t="s">
        <v>7</v>
      </c>
      <c r="E27" s="2" t="s">
        <v>6</v>
      </c>
      <c r="F27" s="57"/>
      <c r="G27" s="2" t="s">
        <v>6</v>
      </c>
      <c r="H27" s="57"/>
      <c r="I27" s="57"/>
      <c r="J27" s="2" t="s">
        <v>6</v>
      </c>
      <c r="K27" s="57"/>
      <c r="L27" s="57"/>
      <c r="M27" s="2" t="s">
        <v>6</v>
      </c>
      <c r="N27" s="2" t="s">
        <v>6</v>
      </c>
      <c r="O27" s="57"/>
      <c r="P27" s="57"/>
      <c r="Q27" s="57"/>
      <c r="R27" s="57"/>
      <c r="S27" s="57"/>
      <c r="T27" s="57"/>
      <c r="U27" s="2" t="s">
        <v>6</v>
      </c>
      <c r="V27" s="60">
        <v>5.0</v>
      </c>
      <c r="W27" s="2">
        <v>1.0</v>
      </c>
      <c r="X27" s="2">
        <v>0.0</v>
      </c>
      <c r="Y27" s="2">
        <v>26.0</v>
      </c>
      <c r="Z27" s="2">
        <v>26.0</v>
      </c>
      <c r="AA27" s="62">
        <v>0.5</v>
      </c>
      <c r="AB27" s="63">
        <v>1.0</v>
      </c>
      <c r="AC27" s="52">
        <v>0.0</v>
      </c>
      <c r="AD27" s="52">
        <v>0.0</v>
      </c>
      <c r="AE27" s="131">
        <v>4.0</v>
      </c>
      <c r="AF27" s="162">
        <v>4.0</v>
      </c>
      <c r="AG27" s="116">
        <v>0.13</v>
      </c>
      <c r="AH27" s="63">
        <v>6.0</v>
      </c>
      <c r="AI27" s="52">
        <v>1.0</v>
      </c>
      <c r="AJ27" s="52">
        <v>0.0</v>
      </c>
      <c r="AK27" s="131">
        <v>30.0</v>
      </c>
      <c r="AL27" s="162">
        <v>30.0</v>
      </c>
      <c r="AM27" s="116">
        <v>0.35</v>
      </c>
    </row>
    <row r="28">
      <c r="A28" s="29" t="s">
        <v>43</v>
      </c>
      <c r="B28" s="60" t="s">
        <v>7</v>
      </c>
      <c r="C28" s="2" t="s">
        <v>6</v>
      </c>
      <c r="D28" s="57"/>
      <c r="E28" s="57"/>
      <c r="F28" s="2" t="s">
        <v>7</v>
      </c>
      <c r="G28" s="57"/>
      <c r="H28" s="2" t="s">
        <v>6</v>
      </c>
      <c r="I28" s="57"/>
      <c r="J28" s="57"/>
      <c r="K28" s="2" t="s">
        <v>6</v>
      </c>
      <c r="L28" s="2" t="s">
        <v>7</v>
      </c>
      <c r="M28" s="57"/>
      <c r="N28" s="57"/>
      <c r="O28" s="2" t="s">
        <v>7</v>
      </c>
      <c r="P28" s="2" t="s">
        <v>6</v>
      </c>
      <c r="Q28" s="2" t="s">
        <v>7</v>
      </c>
      <c r="R28" s="2" t="s">
        <v>7</v>
      </c>
      <c r="S28" s="57"/>
      <c r="T28" s="2" t="s">
        <v>6</v>
      </c>
      <c r="U28" s="2" t="s">
        <v>8</v>
      </c>
      <c r="V28" s="60">
        <v>3.0</v>
      </c>
      <c r="W28" s="2">
        <v>2.0</v>
      </c>
      <c r="X28" s="2">
        <v>1.0</v>
      </c>
      <c r="Y28" s="2">
        <v>24.0</v>
      </c>
      <c r="Z28" s="2">
        <v>20.0</v>
      </c>
      <c r="AA28" s="62">
        <v>0.42</v>
      </c>
      <c r="AB28" s="63">
        <v>2.0</v>
      </c>
      <c r="AC28" s="52">
        <v>4.0</v>
      </c>
      <c r="AD28" s="52">
        <v>0.0</v>
      </c>
      <c r="AE28" s="173">
        <v>32.0</v>
      </c>
      <c r="AF28" s="159">
        <v>32.0</v>
      </c>
      <c r="AG28" s="134">
        <v>0.75</v>
      </c>
      <c r="AH28" s="63">
        <v>5.0</v>
      </c>
      <c r="AI28" s="52">
        <v>6.0</v>
      </c>
      <c r="AJ28" s="52">
        <v>1.0</v>
      </c>
      <c r="AK28" s="173">
        <v>56.0</v>
      </c>
      <c r="AL28" s="159">
        <v>52.0</v>
      </c>
      <c r="AM28" s="134">
        <v>0.55</v>
      </c>
    </row>
    <row r="29">
      <c r="A29" s="29" t="s">
        <v>69</v>
      </c>
      <c r="B29" s="55"/>
      <c r="C29" s="57"/>
      <c r="D29" s="2" t="s">
        <v>6</v>
      </c>
      <c r="E29" s="57"/>
      <c r="F29" s="2" t="s">
        <v>6</v>
      </c>
      <c r="G29" s="57"/>
      <c r="H29" s="2" t="s">
        <v>7</v>
      </c>
      <c r="I29" s="57"/>
      <c r="J29" s="2" t="s">
        <v>7</v>
      </c>
      <c r="K29" s="57"/>
      <c r="L29" s="2" t="s">
        <v>7</v>
      </c>
      <c r="M29" s="57"/>
      <c r="N29" s="57"/>
      <c r="O29" s="57"/>
      <c r="P29" s="2" t="s">
        <v>6</v>
      </c>
      <c r="Q29" s="2" t="s">
        <v>7</v>
      </c>
      <c r="R29" s="2" t="s">
        <v>8</v>
      </c>
      <c r="S29" s="2" t="s">
        <v>8</v>
      </c>
      <c r="T29" s="57"/>
      <c r="U29" s="2" t="s">
        <v>6</v>
      </c>
      <c r="V29" s="60">
        <v>3.0</v>
      </c>
      <c r="W29" s="2">
        <v>1.0</v>
      </c>
      <c r="X29" s="2">
        <v>0.0</v>
      </c>
      <c r="Y29" s="2">
        <v>18.0</v>
      </c>
      <c r="Z29" s="2">
        <v>18.0</v>
      </c>
      <c r="AA29" s="62">
        <v>0.33</v>
      </c>
      <c r="AB29" s="63">
        <v>1.0</v>
      </c>
      <c r="AC29" s="52">
        <v>3.0</v>
      </c>
      <c r="AD29" s="52">
        <v>2.0</v>
      </c>
      <c r="AE29" s="139">
        <v>22.0</v>
      </c>
      <c r="AF29" s="132">
        <v>14.0</v>
      </c>
      <c r="AG29" s="140">
        <v>0.5</v>
      </c>
      <c r="AH29" s="63">
        <v>4.0</v>
      </c>
      <c r="AI29" s="52">
        <v>4.0</v>
      </c>
      <c r="AJ29" s="52">
        <v>2.0</v>
      </c>
      <c r="AK29" s="139">
        <v>40.0</v>
      </c>
      <c r="AL29" s="132">
        <v>32.0</v>
      </c>
      <c r="AM29" s="140">
        <v>0.4</v>
      </c>
    </row>
    <row r="30">
      <c r="A30" s="29" t="s">
        <v>71</v>
      </c>
      <c r="B30" s="60" t="s">
        <v>7</v>
      </c>
      <c r="C30" s="57"/>
      <c r="D30" s="57"/>
      <c r="E30" s="57"/>
      <c r="F30" s="57"/>
      <c r="G30" s="57"/>
      <c r="H30" s="57"/>
      <c r="I30" s="57"/>
      <c r="J30" s="57"/>
      <c r="K30" s="2" t="s">
        <v>6</v>
      </c>
      <c r="L30" s="57"/>
      <c r="M30" s="57"/>
      <c r="N30" s="2" t="s">
        <v>6</v>
      </c>
      <c r="O30" s="57"/>
      <c r="P30" s="57"/>
      <c r="Q30" s="57"/>
      <c r="R30" s="57"/>
      <c r="S30" s="57"/>
      <c r="T30" s="57"/>
      <c r="U30" s="57"/>
      <c r="V30" s="60">
        <v>2.0</v>
      </c>
      <c r="W30" s="2">
        <v>1.0</v>
      </c>
      <c r="X30" s="2">
        <v>0.0</v>
      </c>
      <c r="Y30" s="2">
        <v>14.0</v>
      </c>
      <c r="Z30" s="2">
        <v>14.0</v>
      </c>
      <c r="AA30" s="62">
        <v>0.25</v>
      </c>
      <c r="AB30" s="63">
        <v>0.0</v>
      </c>
      <c r="AC30" s="52">
        <v>0.0</v>
      </c>
      <c r="AD30" s="52">
        <v>0.0</v>
      </c>
      <c r="AE30" s="80">
        <v>0.0</v>
      </c>
      <c r="AF30" s="81">
        <v>0.0</v>
      </c>
      <c r="AG30" s="75">
        <v>0.0</v>
      </c>
      <c r="AH30" s="63">
        <v>2.0</v>
      </c>
      <c r="AI30" s="52">
        <v>1.0</v>
      </c>
      <c r="AJ30" s="52">
        <v>0.0</v>
      </c>
      <c r="AK30" s="80">
        <v>14.0</v>
      </c>
      <c r="AL30" s="81">
        <v>14.0</v>
      </c>
      <c r="AM30" s="75">
        <v>0.15</v>
      </c>
    </row>
    <row r="31">
      <c r="A31" s="29" t="s">
        <v>66</v>
      </c>
      <c r="B31" s="55"/>
      <c r="C31" s="2" t="s">
        <v>6</v>
      </c>
      <c r="D31" s="57"/>
      <c r="E31" s="57"/>
      <c r="F31" s="57"/>
      <c r="G31" s="2" t="s">
        <v>6</v>
      </c>
      <c r="H31" s="57"/>
      <c r="I31" s="57"/>
      <c r="J31" s="57"/>
      <c r="K31" s="2" t="s">
        <v>6</v>
      </c>
      <c r="L31" s="57"/>
      <c r="M31" s="57"/>
      <c r="N31" s="57"/>
      <c r="O31" s="57"/>
      <c r="P31" s="57"/>
      <c r="Q31" s="2" t="s">
        <v>6</v>
      </c>
      <c r="R31" s="57"/>
      <c r="S31" s="2" t="s">
        <v>6</v>
      </c>
      <c r="T31" s="2" t="s">
        <v>6</v>
      </c>
      <c r="U31" s="57"/>
      <c r="V31" s="60">
        <v>4.0</v>
      </c>
      <c r="W31" s="2">
        <v>0.0</v>
      </c>
      <c r="X31" s="2">
        <v>0.0</v>
      </c>
      <c r="Y31" s="2">
        <v>16.0</v>
      </c>
      <c r="Z31" s="2">
        <v>16.0</v>
      </c>
      <c r="AA31" s="62">
        <v>0.33</v>
      </c>
      <c r="AB31" s="63">
        <v>2.0</v>
      </c>
      <c r="AC31" s="52">
        <v>0.0</v>
      </c>
      <c r="AD31" s="52">
        <v>0.0</v>
      </c>
      <c r="AE31" s="106">
        <v>8.0</v>
      </c>
      <c r="AF31" s="108">
        <v>8.0</v>
      </c>
      <c r="AG31" s="140">
        <v>0.25</v>
      </c>
      <c r="AH31" s="63">
        <v>6.0</v>
      </c>
      <c r="AI31" s="52">
        <v>0.0</v>
      </c>
      <c r="AJ31" s="52">
        <v>0.0</v>
      </c>
      <c r="AK31" s="106">
        <v>24.0</v>
      </c>
      <c r="AL31" s="108">
        <v>24.0</v>
      </c>
      <c r="AM31" s="140">
        <v>0.3</v>
      </c>
    </row>
    <row r="32">
      <c r="A32" s="29" t="s">
        <v>63</v>
      </c>
      <c r="B32" s="60" t="s">
        <v>7</v>
      </c>
      <c r="C32" s="57"/>
      <c r="D32" s="2" t="s">
        <v>6</v>
      </c>
      <c r="E32" s="57"/>
      <c r="F32" s="2" t="s">
        <v>7</v>
      </c>
      <c r="G32" s="57"/>
      <c r="H32" s="2" t="s">
        <v>6</v>
      </c>
      <c r="I32" s="57"/>
      <c r="J32" s="2" t="s">
        <v>6</v>
      </c>
      <c r="K32" s="57"/>
      <c r="L32" s="57"/>
      <c r="M32" s="57"/>
      <c r="N32" s="2" t="s">
        <v>6</v>
      </c>
      <c r="O32" s="57"/>
      <c r="P32" s="2" t="s">
        <v>6</v>
      </c>
      <c r="Q32" s="57"/>
      <c r="R32" s="57"/>
      <c r="S32" s="57"/>
      <c r="T32" s="57"/>
      <c r="U32" s="2" t="s">
        <v>6</v>
      </c>
      <c r="V32" s="60">
        <v>4.0</v>
      </c>
      <c r="W32" s="2">
        <v>1.0</v>
      </c>
      <c r="X32" s="2">
        <v>0.0</v>
      </c>
      <c r="Y32" s="2">
        <v>22.0</v>
      </c>
      <c r="Z32" s="2">
        <v>22.0</v>
      </c>
      <c r="AA32" s="62">
        <v>0.42</v>
      </c>
      <c r="AB32" s="63">
        <v>2.0</v>
      </c>
      <c r="AC32" s="52">
        <v>1.0</v>
      </c>
      <c r="AD32" s="52">
        <v>0.0</v>
      </c>
      <c r="AE32" s="183">
        <v>14.0</v>
      </c>
      <c r="AF32" s="184">
        <v>14.0</v>
      </c>
      <c r="AG32" s="134">
        <v>0.38</v>
      </c>
      <c r="AH32" s="63">
        <v>6.0</v>
      </c>
      <c r="AI32" s="52">
        <v>2.0</v>
      </c>
      <c r="AJ32" s="52">
        <v>0.0</v>
      </c>
      <c r="AK32" s="183">
        <v>36.0</v>
      </c>
      <c r="AL32" s="184">
        <v>36.0</v>
      </c>
      <c r="AM32" s="134">
        <v>0.4</v>
      </c>
    </row>
    <row r="33">
      <c r="A33" s="29" t="s">
        <v>72</v>
      </c>
      <c r="B33" s="60" t="s">
        <v>7</v>
      </c>
      <c r="C33" s="2" t="s">
        <v>7</v>
      </c>
      <c r="D33" s="2" t="s">
        <v>7</v>
      </c>
      <c r="E33" s="2" t="s">
        <v>6</v>
      </c>
      <c r="F33" s="2" t="s">
        <v>6</v>
      </c>
      <c r="G33" s="57"/>
      <c r="H33" s="2" t="s">
        <v>6</v>
      </c>
      <c r="I33" s="2" t="s">
        <v>7</v>
      </c>
      <c r="J33" s="2" t="s">
        <v>7</v>
      </c>
      <c r="K33" s="2" t="s">
        <v>6</v>
      </c>
      <c r="L33" s="57"/>
      <c r="M33" s="57"/>
      <c r="N33" s="57"/>
      <c r="O33" s="57"/>
      <c r="P33" s="57"/>
      <c r="Q33" s="2" t="s">
        <v>8</v>
      </c>
      <c r="R33" s="57"/>
      <c r="S33" s="57"/>
      <c r="T33" s="2" t="s">
        <v>6</v>
      </c>
      <c r="U33" s="57"/>
      <c r="V33" s="60">
        <v>3.0</v>
      </c>
      <c r="W33" s="2">
        <v>3.0</v>
      </c>
      <c r="X33" s="2">
        <v>1.0</v>
      </c>
      <c r="Y33" s="2">
        <v>30.0</v>
      </c>
      <c r="Z33" s="2">
        <v>26.0</v>
      </c>
      <c r="AA33" s="62">
        <v>0.5</v>
      </c>
      <c r="AB33" s="63">
        <v>2.0</v>
      </c>
      <c r="AC33" s="52">
        <v>2.0</v>
      </c>
      <c r="AD33" s="52">
        <v>0.0</v>
      </c>
      <c r="AE33" s="190">
        <v>20.0</v>
      </c>
      <c r="AF33" s="162">
        <v>20.0</v>
      </c>
      <c r="AG33" s="116">
        <v>0.5</v>
      </c>
      <c r="AH33" s="63">
        <v>5.0</v>
      </c>
      <c r="AI33" s="52">
        <v>5.0</v>
      </c>
      <c r="AJ33" s="52">
        <v>1.0</v>
      </c>
      <c r="AK33" s="190">
        <v>50.0</v>
      </c>
      <c r="AL33" s="162">
        <v>46.0</v>
      </c>
      <c r="AM33" s="116">
        <v>0.5</v>
      </c>
    </row>
    <row r="34">
      <c r="A34" s="29" t="s">
        <v>51</v>
      </c>
      <c r="B34" s="55"/>
      <c r="C34" s="57"/>
      <c r="D34" s="57"/>
      <c r="E34" s="57"/>
      <c r="F34" s="2" t="s">
        <v>8</v>
      </c>
      <c r="G34" s="2" t="s">
        <v>7</v>
      </c>
      <c r="H34" s="2" t="s">
        <v>8</v>
      </c>
      <c r="I34" s="57"/>
      <c r="J34" s="57"/>
      <c r="K34" s="2" t="s">
        <v>8</v>
      </c>
      <c r="L34" s="2" t="s">
        <v>8</v>
      </c>
      <c r="M34" s="2" t="s">
        <v>7</v>
      </c>
      <c r="N34" s="2" t="s">
        <v>6</v>
      </c>
      <c r="O34" s="57"/>
      <c r="P34" s="2" t="s">
        <v>7</v>
      </c>
      <c r="Q34" s="2" t="s">
        <v>7</v>
      </c>
      <c r="R34" s="2" t="s">
        <v>6</v>
      </c>
      <c r="S34" s="2" t="s">
        <v>7</v>
      </c>
      <c r="T34" s="57"/>
      <c r="U34" s="2" t="s">
        <v>7</v>
      </c>
      <c r="V34" s="60">
        <v>1.0</v>
      </c>
      <c r="W34" s="2">
        <v>5.0</v>
      </c>
      <c r="X34" s="2">
        <v>1.0</v>
      </c>
      <c r="Y34" s="2">
        <v>34.0</v>
      </c>
      <c r="Z34" s="2">
        <v>30.0</v>
      </c>
      <c r="AA34" s="62">
        <v>0.5</v>
      </c>
      <c r="AB34" s="63">
        <v>1.0</v>
      </c>
      <c r="AC34" s="52">
        <v>1.0</v>
      </c>
      <c r="AD34" s="52">
        <v>3.0</v>
      </c>
      <c r="AE34" s="97">
        <v>10.0</v>
      </c>
      <c r="AF34" s="99">
        <v>-2.0</v>
      </c>
      <c r="AG34" s="116">
        <v>0.25</v>
      </c>
      <c r="AH34" s="63">
        <v>2.0</v>
      </c>
      <c r="AI34" s="52">
        <v>6.0</v>
      </c>
      <c r="AJ34" s="52">
        <v>4.0</v>
      </c>
      <c r="AK34" s="97">
        <v>44.0</v>
      </c>
      <c r="AL34" s="99">
        <v>28.0</v>
      </c>
      <c r="AM34" s="116">
        <v>0.4</v>
      </c>
    </row>
    <row r="35">
      <c r="A35" s="29" t="s">
        <v>74</v>
      </c>
      <c r="B35" s="55"/>
      <c r="C35" s="57"/>
      <c r="D35" s="2" t="s">
        <v>7</v>
      </c>
      <c r="E35" s="57"/>
      <c r="F35" s="2" t="s">
        <v>6</v>
      </c>
      <c r="G35" s="57"/>
      <c r="H35" s="57"/>
      <c r="I35" s="57"/>
      <c r="J35" s="57"/>
      <c r="K35" s="2" t="s">
        <v>6</v>
      </c>
      <c r="L35" s="2" t="s">
        <v>6</v>
      </c>
      <c r="M35" s="2" t="s">
        <v>7</v>
      </c>
      <c r="N35" s="57"/>
      <c r="O35" s="57"/>
      <c r="P35" s="2" t="s">
        <v>7</v>
      </c>
      <c r="Q35" s="2" t="s">
        <v>6</v>
      </c>
      <c r="R35" s="2" t="s">
        <v>6</v>
      </c>
      <c r="S35" s="2" t="s">
        <v>7</v>
      </c>
      <c r="T35" s="57"/>
      <c r="U35" s="2" t="s">
        <v>6</v>
      </c>
      <c r="V35" s="60">
        <v>3.0</v>
      </c>
      <c r="W35" s="2">
        <v>3.0</v>
      </c>
      <c r="X35" s="2">
        <v>0.0</v>
      </c>
      <c r="Y35" s="2">
        <v>30.0</v>
      </c>
      <c r="Z35" s="2">
        <v>30.0</v>
      </c>
      <c r="AA35" s="62">
        <v>0.5</v>
      </c>
      <c r="AB35" s="63">
        <v>3.0</v>
      </c>
      <c r="AC35" s="52">
        <v>1.0</v>
      </c>
      <c r="AD35" s="52">
        <v>0.0</v>
      </c>
      <c r="AE35" s="190">
        <v>18.0</v>
      </c>
      <c r="AF35" s="99">
        <v>18.0</v>
      </c>
      <c r="AG35" s="116">
        <v>0.5</v>
      </c>
      <c r="AH35" s="63">
        <v>6.0</v>
      </c>
      <c r="AI35" s="52">
        <v>4.0</v>
      </c>
      <c r="AJ35" s="52">
        <v>0.0</v>
      </c>
      <c r="AK35" s="190">
        <v>48.0</v>
      </c>
      <c r="AL35" s="99">
        <v>48.0</v>
      </c>
      <c r="AM35" s="116">
        <v>0.5</v>
      </c>
    </row>
    <row r="36">
      <c r="A36" s="29" t="s">
        <v>55</v>
      </c>
      <c r="B36" s="60" t="s">
        <v>7</v>
      </c>
      <c r="C36" s="57"/>
      <c r="D36" s="57"/>
      <c r="E36" s="57"/>
      <c r="F36" s="57"/>
      <c r="G36" s="57"/>
      <c r="H36" s="2" t="s">
        <v>7</v>
      </c>
      <c r="I36" s="2" t="s">
        <v>6</v>
      </c>
      <c r="J36" s="57"/>
      <c r="K36" s="57"/>
      <c r="L36" s="57"/>
      <c r="M36" s="57"/>
      <c r="N36" s="57"/>
      <c r="O36" s="57"/>
      <c r="P36" s="57"/>
      <c r="Q36" s="2" t="s">
        <v>8</v>
      </c>
      <c r="R36" s="57"/>
      <c r="S36" s="57"/>
      <c r="T36" s="2" t="s">
        <v>6</v>
      </c>
      <c r="U36" s="2" t="s">
        <v>8</v>
      </c>
      <c r="V36" s="60">
        <v>2.0</v>
      </c>
      <c r="W36" s="2">
        <v>1.0</v>
      </c>
      <c r="X36" s="2">
        <v>2.0</v>
      </c>
      <c r="Y36" s="2">
        <v>14.0</v>
      </c>
      <c r="Z36" s="2">
        <v>6.0</v>
      </c>
      <c r="AA36" s="62">
        <v>0.25</v>
      </c>
      <c r="AB36" s="63">
        <v>0.0</v>
      </c>
      <c r="AC36" s="52">
        <v>1.0</v>
      </c>
      <c r="AD36" s="52">
        <v>0.0</v>
      </c>
      <c r="AE36" s="80">
        <v>6.0</v>
      </c>
      <c r="AF36" s="144">
        <v>6.0</v>
      </c>
      <c r="AG36" s="75">
        <v>0.13</v>
      </c>
      <c r="AH36" s="63">
        <v>2.0</v>
      </c>
      <c r="AI36" s="52">
        <v>2.0</v>
      </c>
      <c r="AJ36" s="52">
        <v>2.0</v>
      </c>
      <c r="AK36" s="80">
        <v>20.0</v>
      </c>
      <c r="AL36" s="144">
        <v>12.0</v>
      </c>
      <c r="AM36" s="75">
        <v>0.2</v>
      </c>
    </row>
    <row r="37">
      <c r="A37" s="29" t="s">
        <v>73</v>
      </c>
      <c r="B37" s="55"/>
      <c r="C37" s="57"/>
      <c r="D37" s="2" t="s">
        <v>8</v>
      </c>
      <c r="E37" s="2" t="s">
        <v>6</v>
      </c>
      <c r="F37" s="2" t="s">
        <v>6</v>
      </c>
      <c r="G37" s="57"/>
      <c r="H37" s="2" t="s">
        <v>7</v>
      </c>
      <c r="I37" s="2" t="s">
        <v>7</v>
      </c>
      <c r="J37" s="2" t="s">
        <v>8</v>
      </c>
      <c r="K37" s="2" t="s">
        <v>8</v>
      </c>
      <c r="L37" s="57"/>
      <c r="M37" s="57"/>
      <c r="N37" s="57"/>
      <c r="O37" s="2" t="s">
        <v>8</v>
      </c>
      <c r="P37" s="57"/>
      <c r="Q37" s="2" t="s">
        <v>8</v>
      </c>
      <c r="R37" s="2" t="s">
        <v>7</v>
      </c>
      <c r="S37" s="2" t="s">
        <v>7</v>
      </c>
      <c r="T37" s="2" t="s">
        <v>6</v>
      </c>
      <c r="U37" s="57"/>
      <c r="V37" s="60">
        <v>2.0</v>
      </c>
      <c r="W37" s="2">
        <v>1.0</v>
      </c>
      <c r="X37" s="2">
        <v>3.0</v>
      </c>
      <c r="Y37" s="2">
        <v>14.0</v>
      </c>
      <c r="Z37" s="2">
        <v>2.0</v>
      </c>
      <c r="AA37" s="62">
        <v>0.25</v>
      </c>
      <c r="AB37" s="63">
        <v>1.0</v>
      </c>
      <c r="AC37" s="52">
        <v>3.0</v>
      </c>
      <c r="AD37" s="52">
        <v>2.0</v>
      </c>
      <c r="AE37" s="80">
        <v>22.0</v>
      </c>
      <c r="AF37" s="85">
        <v>14.0</v>
      </c>
      <c r="AG37" s="75">
        <v>0.5</v>
      </c>
      <c r="AH37" s="63">
        <v>3.0</v>
      </c>
      <c r="AI37" s="52">
        <v>4.0</v>
      </c>
      <c r="AJ37" s="52">
        <v>5.0</v>
      </c>
      <c r="AK37" s="80">
        <v>36.0</v>
      </c>
      <c r="AL37" s="85">
        <v>16.0</v>
      </c>
      <c r="AM37" s="75">
        <v>0.35</v>
      </c>
    </row>
    <row r="38">
      <c r="A38" s="29" t="s">
        <v>70</v>
      </c>
      <c r="B38" s="60" t="s">
        <v>7</v>
      </c>
      <c r="C38" s="57"/>
      <c r="D38" s="57"/>
      <c r="E38" s="57"/>
      <c r="F38" s="2" t="s">
        <v>8</v>
      </c>
      <c r="G38" s="2" t="s">
        <v>6</v>
      </c>
      <c r="H38" s="57"/>
      <c r="I38" s="57"/>
      <c r="J38" s="57"/>
      <c r="K38" s="57"/>
      <c r="L38" s="2" t="s">
        <v>7</v>
      </c>
      <c r="M38" s="2" t="s">
        <v>6</v>
      </c>
      <c r="N38" s="2" t="s">
        <v>6</v>
      </c>
      <c r="O38" s="57"/>
      <c r="P38" s="2" t="s">
        <v>7</v>
      </c>
      <c r="Q38" s="57"/>
      <c r="R38" s="57"/>
      <c r="S38" s="57"/>
      <c r="T38" s="57"/>
      <c r="U38" s="2" t="s">
        <v>6</v>
      </c>
      <c r="V38" s="60">
        <v>4.0</v>
      </c>
      <c r="W38" s="2">
        <v>2.0</v>
      </c>
      <c r="X38" s="2">
        <v>0.0</v>
      </c>
      <c r="Y38" s="2">
        <v>28.0</v>
      </c>
      <c r="Z38" s="2">
        <v>28.0</v>
      </c>
      <c r="AA38" s="62">
        <v>0.5</v>
      </c>
      <c r="AB38" s="63">
        <v>0.0</v>
      </c>
      <c r="AC38" s="52">
        <v>1.0</v>
      </c>
      <c r="AD38" s="52">
        <v>1.0</v>
      </c>
      <c r="AE38" s="114">
        <v>6.0</v>
      </c>
      <c r="AF38" s="120">
        <v>2.0</v>
      </c>
      <c r="AG38" s="116">
        <v>0.13</v>
      </c>
      <c r="AH38" s="63">
        <v>4.0</v>
      </c>
      <c r="AI38" s="52">
        <v>3.0</v>
      </c>
      <c r="AJ38" s="52">
        <v>1.0</v>
      </c>
      <c r="AK38" s="114">
        <v>34.0</v>
      </c>
      <c r="AL38" s="120">
        <v>30.0</v>
      </c>
      <c r="AM38" s="116">
        <v>0.35</v>
      </c>
    </row>
    <row r="39">
      <c r="A39" s="29" t="s">
        <v>32</v>
      </c>
      <c r="B39" s="60" t="s">
        <v>7</v>
      </c>
      <c r="C39" s="2" t="s">
        <v>7</v>
      </c>
      <c r="D39" s="2" t="s">
        <v>7</v>
      </c>
      <c r="E39" s="2" t="s">
        <v>8</v>
      </c>
      <c r="F39" s="2" t="s">
        <v>7</v>
      </c>
      <c r="G39" s="2" t="s">
        <v>6</v>
      </c>
      <c r="H39" s="2" t="s">
        <v>6</v>
      </c>
      <c r="I39" s="2" t="s">
        <v>6</v>
      </c>
      <c r="J39" s="2" t="s">
        <v>8</v>
      </c>
      <c r="K39" s="2" t="s">
        <v>7</v>
      </c>
      <c r="L39" s="2" t="s">
        <v>7</v>
      </c>
      <c r="M39" s="2" t="s">
        <v>8</v>
      </c>
      <c r="N39" s="2" t="s">
        <v>8</v>
      </c>
      <c r="O39" s="2" t="s">
        <v>8</v>
      </c>
      <c r="P39" s="2" t="s">
        <v>7</v>
      </c>
      <c r="Q39" s="2" t="s">
        <v>7</v>
      </c>
      <c r="R39" s="2" t="s">
        <v>7</v>
      </c>
      <c r="S39" s="2" t="s">
        <v>7</v>
      </c>
      <c r="T39" s="57"/>
      <c r="U39" s="2" t="s">
        <v>7</v>
      </c>
      <c r="V39" s="60">
        <v>2.0</v>
      </c>
      <c r="W39" s="2">
        <v>6.0</v>
      </c>
      <c r="X39" s="2">
        <v>3.0</v>
      </c>
      <c r="Y39" s="2">
        <v>44.0</v>
      </c>
      <c r="Z39" s="2">
        <v>32.0</v>
      </c>
      <c r="AA39" s="62">
        <v>0.67</v>
      </c>
      <c r="AB39" s="63">
        <v>1.0</v>
      </c>
      <c r="AC39" s="52">
        <v>5.0</v>
      </c>
      <c r="AD39" s="52">
        <v>2.0</v>
      </c>
      <c r="AE39" s="204">
        <v>34.0</v>
      </c>
      <c r="AF39" s="206">
        <v>26.0</v>
      </c>
      <c r="AG39" s="207">
        <v>0.75</v>
      </c>
      <c r="AH39" s="63">
        <v>3.0</v>
      </c>
      <c r="AI39" s="52">
        <v>11.0</v>
      </c>
      <c r="AJ39" s="52">
        <v>5.0</v>
      </c>
      <c r="AK39" s="204">
        <v>78.0</v>
      </c>
      <c r="AL39" s="206">
        <v>58.0</v>
      </c>
      <c r="AM39" s="207">
        <v>0.7</v>
      </c>
    </row>
    <row r="40">
      <c r="A40" s="29" t="s">
        <v>76</v>
      </c>
      <c r="B40" s="55"/>
      <c r="C40" s="57"/>
      <c r="D40" s="57"/>
      <c r="E40" s="2" t="s">
        <v>6</v>
      </c>
      <c r="F40" s="57"/>
      <c r="G40" s="57"/>
      <c r="H40" s="57"/>
      <c r="I40" s="57"/>
      <c r="J40" s="2" t="s">
        <v>6</v>
      </c>
      <c r="K40" s="57"/>
      <c r="L40" s="57"/>
      <c r="M40" s="2" t="s">
        <v>8</v>
      </c>
      <c r="N40" s="57"/>
      <c r="O40" s="57"/>
      <c r="P40" s="57"/>
      <c r="Q40" s="57"/>
      <c r="R40" s="57"/>
      <c r="S40" s="57"/>
      <c r="T40" s="2" t="s">
        <v>6</v>
      </c>
      <c r="U40" s="57"/>
      <c r="V40" s="60">
        <v>2.0</v>
      </c>
      <c r="W40" s="2">
        <v>0.0</v>
      </c>
      <c r="X40" s="2">
        <v>1.0</v>
      </c>
      <c r="Y40" s="2">
        <v>8.0</v>
      </c>
      <c r="Z40" s="2">
        <v>4.0</v>
      </c>
      <c r="AA40" s="62">
        <v>0.17</v>
      </c>
      <c r="AB40" s="63">
        <v>1.0</v>
      </c>
      <c r="AC40" s="52">
        <v>0.0</v>
      </c>
      <c r="AD40" s="52">
        <v>0.0</v>
      </c>
      <c r="AE40" s="122">
        <v>4.0</v>
      </c>
      <c r="AF40" s="86">
        <v>4.0</v>
      </c>
      <c r="AG40" s="70">
        <v>0.13</v>
      </c>
      <c r="AH40" s="63">
        <v>3.0</v>
      </c>
      <c r="AI40" s="52">
        <v>0.0</v>
      </c>
      <c r="AJ40" s="52">
        <v>1.0</v>
      </c>
      <c r="AK40" s="122">
        <v>12.0</v>
      </c>
      <c r="AL40" s="86">
        <v>8.0</v>
      </c>
      <c r="AM40" s="70">
        <v>0.15</v>
      </c>
    </row>
    <row r="41">
      <c r="A41" s="29" t="s">
        <v>78</v>
      </c>
      <c r="B41" s="55"/>
      <c r="C41" s="2" t="s">
        <v>6</v>
      </c>
      <c r="D41" s="57"/>
      <c r="E41" s="57"/>
      <c r="F41" s="2" t="s">
        <v>6</v>
      </c>
      <c r="G41" s="2" t="s">
        <v>7</v>
      </c>
      <c r="H41" s="2" t="s">
        <v>7</v>
      </c>
      <c r="I41" s="2" t="s">
        <v>7</v>
      </c>
      <c r="J41" s="2" t="s">
        <v>7</v>
      </c>
      <c r="K41" s="2" t="s">
        <v>7</v>
      </c>
      <c r="L41" s="2" t="s">
        <v>7</v>
      </c>
      <c r="M41" s="2" t="s">
        <v>7</v>
      </c>
      <c r="N41" s="2" t="s">
        <v>6</v>
      </c>
      <c r="O41" s="2" t="s">
        <v>8</v>
      </c>
      <c r="P41" s="2" t="s">
        <v>6</v>
      </c>
      <c r="Q41" s="57"/>
      <c r="R41" s="57"/>
      <c r="S41" s="2" t="s">
        <v>7</v>
      </c>
      <c r="T41" s="57"/>
      <c r="U41" s="2" t="s">
        <v>7</v>
      </c>
      <c r="V41" s="60">
        <v>2.0</v>
      </c>
      <c r="W41" s="2">
        <v>5.0</v>
      </c>
      <c r="X41" s="2">
        <v>0.0</v>
      </c>
      <c r="Y41" s="2">
        <v>38.0</v>
      </c>
      <c r="Z41" s="2">
        <v>38.0</v>
      </c>
      <c r="AA41" s="62">
        <v>0.58</v>
      </c>
      <c r="AB41" s="63">
        <v>2.0</v>
      </c>
      <c r="AC41" s="52">
        <v>4.0</v>
      </c>
      <c r="AD41" s="52">
        <v>1.0</v>
      </c>
      <c r="AE41" s="209">
        <v>32.0</v>
      </c>
      <c r="AF41" s="210">
        <v>28.0</v>
      </c>
      <c r="AG41" s="100">
        <v>0.75</v>
      </c>
      <c r="AH41" s="63">
        <v>4.0</v>
      </c>
      <c r="AI41" s="52">
        <v>9.0</v>
      </c>
      <c r="AJ41" s="52">
        <v>1.0</v>
      </c>
      <c r="AK41" s="209">
        <v>70.0</v>
      </c>
      <c r="AL41" s="210">
        <v>66.0</v>
      </c>
      <c r="AM41" s="100">
        <v>0.65</v>
      </c>
    </row>
    <row r="42">
      <c r="A42" s="29" t="s">
        <v>77</v>
      </c>
      <c r="B42" s="60" t="s">
        <v>7</v>
      </c>
      <c r="C42" s="57"/>
      <c r="D42" s="2" t="s">
        <v>7</v>
      </c>
      <c r="E42" s="57"/>
      <c r="F42" s="57"/>
      <c r="G42" s="2" t="s">
        <v>8</v>
      </c>
      <c r="H42" s="57"/>
      <c r="I42" s="57"/>
      <c r="J42" s="2" t="s">
        <v>8</v>
      </c>
      <c r="K42" s="57"/>
      <c r="L42" s="57"/>
      <c r="M42" s="57"/>
      <c r="N42" s="2" t="s">
        <v>8</v>
      </c>
      <c r="O42" s="57"/>
      <c r="P42" s="57"/>
      <c r="Q42" s="2" t="s">
        <v>7</v>
      </c>
      <c r="R42" s="2" t="s">
        <v>7</v>
      </c>
      <c r="S42" s="57"/>
      <c r="T42" s="57"/>
      <c r="U42" s="57"/>
      <c r="V42" s="60">
        <v>0.0</v>
      </c>
      <c r="W42" s="2">
        <v>3.0</v>
      </c>
      <c r="X42" s="2">
        <v>2.0</v>
      </c>
      <c r="Y42" s="2">
        <v>18.0</v>
      </c>
      <c r="Z42" s="2">
        <v>10.0</v>
      </c>
      <c r="AA42" s="62">
        <v>0.25</v>
      </c>
      <c r="AB42" s="63">
        <v>0.0</v>
      </c>
      <c r="AC42" s="52">
        <v>1.0</v>
      </c>
      <c r="AD42" s="52">
        <v>1.0</v>
      </c>
      <c r="AE42" s="139">
        <v>6.0</v>
      </c>
      <c r="AF42" s="68">
        <v>2.0</v>
      </c>
      <c r="AG42" s="75">
        <v>0.13</v>
      </c>
      <c r="AH42" s="63">
        <v>0.0</v>
      </c>
      <c r="AI42" s="52">
        <v>4.0</v>
      </c>
      <c r="AJ42" s="52">
        <v>3.0</v>
      </c>
      <c r="AK42" s="139">
        <v>24.0</v>
      </c>
      <c r="AL42" s="68">
        <v>12.0</v>
      </c>
      <c r="AM42" s="75">
        <v>0.2</v>
      </c>
    </row>
    <row r="43">
      <c r="A43" s="29" t="s">
        <v>57</v>
      </c>
      <c r="B43" s="55"/>
      <c r="C43" s="57"/>
      <c r="D43" s="57"/>
      <c r="E43" s="57"/>
      <c r="F43" s="2" t="s">
        <v>6</v>
      </c>
      <c r="G43" s="57"/>
      <c r="H43" s="2" t="s">
        <v>7</v>
      </c>
      <c r="I43" s="57"/>
      <c r="J43" s="2" t="s">
        <v>8</v>
      </c>
      <c r="K43" s="57"/>
      <c r="L43" s="57"/>
      <c r="M43" s="57"/>
      <c r="N43" s="57"/>
      <c r="O43" s="57"/>
      <c r="P43" s="57"/>
      <c r="Q43" s="57"/>
      <c r="R43" s="57"/>
      <c r="S43" s="2" t="s">
        <v>7</v>
      </c>
      <c r="T43" s="57"/>
      <c r="U43" s="2" t="s">
        <v>7</v>
      </c>
      <c r="V43" s="60">
        <v>0.0</v>
      </c>
      <c r="W43" s="2">
        <v>1.0</v>
      </c>
      <c r="X43" s="2">
        <v>0.0</v>
      </c>
      <c r="Y43" s="2">
        <v>6.0</v>
      </c>
      <c r="Z43" s="2">
        <v>6.0</v>
      </c>
      <c r="AA43" s="62">
        <v>0.08</v>
      </c>
      <c r="AB43" s="63">
        <v>1.0</v>
      </c>
      <c r="AC43" s="52">
        <v>2.0</v>
      </c>
      <c r="AD43" s="52">
        <v>1.0</v>
      </c>
      <c r="AE43" s="143">
        <v>16.0</v>
      </c>
      <c r="AF43" s="144">
        <v>12.0</v>
      </c>
      <c r="AG43" s="87">
        <v>0.38</v>
      </c>
      <c r="AH43" s="63">
        <v>1.0</v>
      </c>
      <c r="AI43" s="52">
        <v>3.0</v>
      </c>
      <c r="AJ43" s="52">
        <v>1.0</v>
      </c>
      <c r="AK43" s="143">
        <v>22.0</v>
      </c>
      <c r="AL43" s="144">
        <v>18.0</v>
      </c>
      <c r="AM43" s="87">
        <v>0.2</v>
      </c>
    </row>
    <row r="44">
      <c r="A44" s="29" t="s">
        <v>79</v>
      </c>
      <c r="B44" s="60" t="s">
        <v>7</v>
      </c>
      <c r="C44" s="57"/>
      <c r="D44" s="2" t="s">
        <v>6</v>
      </c>
      <c r="E44" s="57"/>
      <c r="F44" s="57"/>
      <c r="G44" s="57"/>
      <c r="H44" s="57"/>
      <c r="I44" s="57"/>
      <c r="J44" s="57"/>
      <c r="K44" s="2" t="s">
        <v>6</v>
      </c>
      <c r="L44" s="57"/>
      <c r="M44" s="57"/>
      <c r="N44" s="57"/>
      <c r="O44" s="57"/>
      <c r="P44" s="2" t="s">
        <v>6</v>
      </c>
      <c r="Q44" s="57"/>
      <c r="R44" s="2" t="s">
        <v>6</v>
      </c>
      <c r="S44" s="57"/>
      <c r="T44" s="57"/>
      <c r="U44" s="57"/>
      <c r="V44" s="60">
        <v>3.0</v>
      </c>
      <c r="W44" s="2">
        <v>1.0</v>
      </c>
      <c r="X44" s="2">
        <v>0.0</v>
      </c>
      <c r="Y44" s="2">
        <v>18.0</v>
      </c>
      <c r="Z44" s="2">
        <v>18.0</v>
      </c>
      <c r="AA44" s="62">
        <v>0.33</v>
      </c>
      <c r="AB44" s="63">
        <v>1.0</v>
      </c>
      <c r="AC44" s="52">
        <v>0.0</v>
      </c>
      <c r="AD44" s="52">
        <v>0.0</v>
      </c>
      <c r="AE44" s="139">
        <v>4.0</v>
      </c>
      <c r="AF44" s="132">
        <v>4.0</v>
      </c>
      <c r="AG44" s="140">
        <v>0.13</v>
      </c>
      <c r="AH44" s="63">
        <v>4.0</v>
      </c>
      <c r="AI44" s="52">
        <v>1.0</v>
      </c>
      <c r="AJ44" s="52">
        <v>0.0</v>
      </c>
      <c r="AK44" s="139">
        <v>22.0</v>
      </c>
      <c r="AL44" s="132">
        <v>22.0</v>
      </c>
      <c r="AM44" s="140">
        <v>0.25</v>
      </c>
    </row>
    <row r="45">
      <c r="A45" s="29" t="s">
        <v>75</v>
      </c>
      <c r="B45" s="60" t="s">
        <v>7</v>
      </c>
      <c r="C45" s="2" t="s">
        <v>6</v>
      </c>
      <c r="D45" s="2" t="s">
        <v>8</v>
      </c>
      <c r="E45" s="2" t="s">
        <v>6</v>
      </c>
      <c r="F45" s="57"/>
      <c r="G45" s="2" t="s">
        <v>6</v>
      </c>
      <c r="H45" s="57"/>
      <c r="I45" s="2" t="s">
        <v>6</v>
      </c>
      <c r="J45" s="2" t="s">
        <v>6</v>
      </c>
      <c r="K45" s="57"/>
      <c r="L45" s="57"/>
      <c r="M45" s="2" t="s">
        <v>6</v>
      </c>
      <c r="N45" s="2" t="s">
        <v>7</v>
      </c>
      <c r="O45" s="57"/>
      <c r="P45" s="2" t="s">
        <v>8</v>
      </c>
      <c r="Q45" s="57"/>
      <c r="R45" s="57"/>
      <c r="S45" s="2" t="s">
        <v>7</v>
      </c>
      <c r="T45" s="2" t="s">
        <v>6</v>
      </c>
      <c r="U45" s="2" t="s">
        <v>6</v>
      </c>
      <c r="V45" s="60">
        <v>6.0</v>
      </c>
      <c r="W45" s="2">
        <v>2.0</v>
      </c>
      <c r="X45" s="2">
        <v>2.0</v>
      </c>
      <c r="Y45" s="2">
        <v>36.0</v>
      </c>
      <c r="Z45" s="2">
        <v>28.0</v>
      </c>
      <c r="AA45" s="62">
        <v>0.67</v>
      </c>
      <c r="AB45" s="63">
        <v>2.0</v>
      </c>
      <c r="AC45" s="52">
        <v>1.0</v>
      </c>
      <c r="AD45" s="52">
        <v>0.0</v>
      </c>
      <c r="AE45" s="218">
        <v>14.0</v>
      </c>
      <c r="AF45" s="120">
        <v>14.0</v>
      </c>
      <c r="AG45" s="207">
        <v>0.38</v>
      </c>
      <c r="AH45" s="63">
        <v>8.0</v>
      </c>
      <c r="AI45" s="52">
        <v>3.0</v>
      </c>
      <c r="AJ45" s="52">
        <v>2.0</v>
      </c>
      <c r="AK45" s="218">
        <v>50.0</v>
      </c>
      <c r="AL45" s="120">
        <v>42.0</v>
      </c>
      <c r="AM45" s="207">
        <v>0.55</v>
      </c>
    </row>
    <row r="46">
      <c r="A46" s="29" t="s">
        <v>45</v>
      </c>
      <c r="B46" s="55"/>
      <c r="C46" s="2" t="s">
        <v>8</v>
      </c>
      <c r="D46" s="2" t="s">
        <v>6</v>
      </c>
      <c r="E46" s="57"/>
      <c r="F46" s="2" t="s">
        <v>6</v>
      </c>
      <c r="G46" s="57"/>
      <c r="H46" s="2" t="s">
        <v>7</v>
      </c>
      <c r="I46" s="57"/>
      <c r="J46" s="2" t="s">
        <v>8</v>
      </c>
      <c r="K46" s="2" t="s">
        <v>6</v>
      </c>
      <c r="L46" s="2" t="s">
        <v>6</v>
      </c>
      <c r="M46" s="2" t="s">
        <v>8</v>
      </c>
      <c r="N46" s="57"/>
      <c r="O46" s="57"/>
      <c r="P46" s="57"/>
      <c r="Q46" s="2" t="s">
        <v>6</v>
      </c>
      <c r="R46" s="2" t="s">
        <v>6</v>
      </c>
      <c r="S46" s="57"/>
      <c r="T46" s="57"/>
      <c r="U46" s="57"/>
      <c r="V46" s="60">
        <v>3.0</v>
      </c>
      <c r="W46" s="2">
        <v>0.0</v>
      </c>
      <c r="X46" s="2">
        <v>1.0</v>
      </c>
      <c r="Y46" s="2">
        <v>12.0</v>
      </c>
      <c r="Z46" s="2">
        <v>8.0</v>
      </c>
      <c r="AA46" s="62">
        <v>0.25</v>
      </c>
      <c r="AB46" s="63">
        <v>3.0</v>
      </c>
      <c r="AC46" s="52">
        <v>1.0</v>
      </c>
      <c r="AD46" s="52">
        <v>2.0</v>
      </c>
      <c r="AE46" s="72">
        <v>18.0</v>
      </c>
      <c r="AF46" s="74">
        <v>10.0</v>
      </c>
      <c r="AG46" s="75">
        <v>0.5</v>
      </c>
      <c r="AH46" s="63">
        <v>6.0</v>
      </c>
      <c r="AI46" s="52">
        <v>1.0</v>
      </c>
      <c r="AJ46" s="52">
        <v>3.0</v>
      </c>
      <c r="AK46" s="72">
        <v>30.0</v>
      </c>
      <c r="AL46" s="74">
        <v>18.0</v>
      </c>
      <c r="AM46" s="75">
        <v>0.35</v>
      </c>
    </row>
    <row r="47">
      <c r="A47" s="29" t="s">
        <v>48</v>
      </c>
      <c r="B47" s="60" t="s">
        <v>6</v>
      </c>
      <c r="C47" s="57"/>
      <c r="D47" s="2" t="s">
        <v>6</v>
      </c>
      <c r="E47" s="57"/>
      <c r="F47" s="2" t="s">
        <v>6</v>
      </c>
      <c r="G47" s="2" t="s">
        <v>6</v>
      </c>
      <c r="H47" s="2" t="s">
        <v>7</v>
      </c>
      <c r="I47" s="57"/>
      <c r="J47" s="57"/>
      <c r="K47" s="57"/>
      <c r="L47" s="2" t="s">
        <v>6</v>
      </c>
      <c r="M47" s="57"/>
      <c r="N47" s="2" t="s">
        <v>6</v>
      </c>
      <c r="O47" s="57"/>
      <c r="P47" s="57"/>
      <c r="Q47" s="57"/>
      <c r="R47" s="57"/>
      <c r="S47" s="2" t="s">
        <v>7</v>
      </c>
      <c r="T47" s="57"/>
      <c r="U47" s="2" t="s">
        <v>7</v>
      </c>
      <c r="V47" s="60">
        <v>4.0</v>
      </c>
      <c r="W47" s="2">
        <v>1.0</v>
      </c>
      <c r="X47" s="2">
        <v>0.0</v>
      </c>
      <c r="Y47" s="2">
        <v>22.0</v>
      </c>
      <c r="Z47" s="2">
        <v>22.0</v>
      </c>
      <c r="AA47" s="62">
        <v>0.42</v>
      </c>
      <c r="AB47" s="63">
        <v>2.0</v>
      </c>
      <c r="AC47" s="52">
        <v>2.0</v>
      </c>
      <c r="AD47" s="52">
        <v>0.0</v>
      </c>
      <c r="AE47" s="183">
        <v>20.0</v>
      </c>
      <c r="AF47" s="184">
        <v>20.0</v>
      </c>
      <c r="AG47" s="134">
        <v>0.5</v>
      </c>
      <c r="AH47" s="63">
        <v>6.0</v>
      </c>
      <c r="AI47" s="52">
        <v>3.0</v>
      </c>
      <c r="AJ47" s="52">
        <v>0.0</v>
      </c>
      <c r="AK47" s="183">
        <v>42.0</v>
      </c>
      <c r="AL47" s="184">
        <v>42.0</v>
      </c>
      <c r="AM47" s="134">
        <v>0.45</v>
      </c>
    </row>
    <row r="48">
      <c r="A48" s="29" t="s">
        <v>68</v>
      </c>
      <c r="B48" s="55"/>
      <c r="C48" s="57"/>
      <c r="D48" s="57"/>
      <c r="E48" s="2" t="s">
        <v>6</v>
      </c>
      <c r="F48" s="2" t="s">
        <v>8</v>
      </c>
      <c r="G48" s="57"/>
      <c r="H48" s="57"/>
      <c r="I48" s="57"/>
      <c r="J48" s="57"/>
      <c r="K48" s="2" t="s">
        <v>6</v>
      </c>
      <c r="L48" s="57"/>
      <c r="M48" s="2" t="s">
        <v>6</v>
      </c>
      <c r="N48" s="57"/>
      <c r="O48" s="57"/>
      <c r="P48" s="57"/>
      <c r="Q48" s="2" t="s">
        <v>6</v>
      </c>
      <c r="R48" s="2" t="s">
        <v>7</v>
      </c>
      <c r="S48" s="57"/>
      <c r="T48" s="57"/>
      <c r="U48" s="57"/>
      <c r="V48" s="60">
        <v>4.0</v>
      </c>
      <c r="W48" s="2">
        <v>0.0</v>
      </c>
      <c r="X48" s="2">
        <v>0.0</v>
      </c>
      <c r="Y48" s="2">
        <v>16.0</v>
      </c>
      <c r="Z48" s="2">
        <v>16.0</v>
      </c>
      <c r="AA48" s="62">
        <v>0.33</v>
      </c>
      <c r="AB48" s="63">
        <v>0.0</v>
      </c>
      <c r="AC48" s="52">
        <v>1.0</v>
      </c>
      <c r="AD48" s="52">
        <v>1.0</v>
      </c>
      <c r="AE48" s="106">
        <v>6.0</v>
      </c>
      <c r="AF48" s="108">
        <v>2.0</v>
      </c>
      <c r="AG48" s="140">
        <v>0.13</v>
      </c>
      <c r="AH48" s="63">
        <v>4.0</v>
      </c>
      <c r="AI48" s="52">
        <v>1.0</v>
      </c>
      <c r="AJ48" s="52">
        <v>1.0</v>
      </c>
      <c r="AK48" s="106">
        <v>22.0</v>
      </c>
      <c r="AL48" s="108">
        <v>18.0</v>
      </c>
      <c r="AM48" s="140">
        <v>0.25</v>
      </c>
    </row>
    <row r="49">
      <c r="A49" s="29" t="s">
        <v>60</v>
      </c>
      <c r="B49" s="55"/>
      <c r="C49" s="2" t="s">
        <v>6</v>
      </c>
      <c r="D49" s="2" t="s">
        <v>7</v>
      </c>
      <c r="E49" s="2" t="s">
        <v>8</v>
      </c>
      <c r="F49" s="2" t="s">
        <v>6</v>
      </c>
      <c r="G49" s="2" t="s">
        <v>7</v>
      </c>
      <c r="H49" s="57"/>
      <c r="I49" s="57"/>
      <c r="J49" s="2" t="s">
        <v>8</v>
      </c>
      <c r="K49" s="2" t="s">
        <v>6</v>
      </c>
      <c r="L49" s="2" t="s">
        <v>8</v>
      </c>
      <c r="M49" s="57"/>
      <c r="N49" s="57"/>
      <c r="O49" s="2" t="s">
        <v>8</v>
      </c>
      <c r="P49" s="2" t="s">
        <v>7</v>
      </c>
      <c r="Q49" s="57"/>
      <c r="R49" s="2" t="s">
        <v>6</v>
      </c>
      <c r="S49" s="57"/>
      <c r="T49" s="2" t="s">
        <v>6</v>
      </c>
      <c r="U49" s="2" t="s">
        <v>7</v>
      </c>
      <c r="V49" s="60">
        <v>2.0</v>
      </c>
      <c r="W49" s="2">
        <v>4.0</v>
      </c>
      <c r="X49" s="2">
        <v>1.0</v>
      </c>
      <c r="Y49" s="2">
        <v>32.0</v>
      </c>
      <c r="Z49" s="2">
        <v>28.0</v>
      </c>
      <c r="AA49" s="62">
        <v>0.5</v>
      </c>
      <c r="AB49" s="63">
        <v>3.0</v>
      </c>
      <c r="AC49" s="52">
        <v>0.0</v>
      </c>
      <c r="AD49" s="52">
        <v>3.0</v>
      </c>
      <c r="AE49" s="221">
        <v>12.0</v>
      </c>
      <c r="AF49" s="120">
        <v>0.0</v>
      </c>
      <c r="AG49" s="116">
        <v>0.38</v>
      </c>
      <c r="AH49" s="63">
        <v>5.0</v>
      </c>
      <c r="AI49" s="52">
        <v>4.0</v>
      </c>
      <c r="AJ49" s="52">
        <v>4.0</v>
      </c>
      <c r="AK49" s="221">
        <v>44.0</v>
      </c>
      <c r="AL49" s="120">
        <v>28.0</v>
      </c>
      <c r="AM49" s="116">
        <v>0.45</v>
      </c>
    </row>
    <row r="50">
      <c r="A50" s="222" t="s">
        <v>67</v>
      </c>
      <c r="B50" s="224" t="s">
        <v>7</v>
      </c>
      <c r="C50" s="225"/>
      <c r="D50" s="225"/>
      <c r="E50" s="225"/>
      <c r="F50" s="225"/>
      <c r="G50" s="225"/>
      <c r="H50" s="226" t="s">
        <v>6</v>
      </c>
      <c r="I50" s="226" t="s">
        <v>7</v>
      </c>
      <c r="J50" s="226" t="s">
        <v>6</v>
      </c>
      <c r="K50" s="225"/>
      <c r="L50" s="226" t="s">
        <v>6</v>
      </c>
      <c r="M50" s="226" t="s">
        <v>7</v>
      </c>
      <c r="N50" s="226" t="s">
        <v>6</v>
      </c>
      <c r="O50" s="225"/>
      <c r="P50" s="225"/>
      <c r="Q50" s="226" t="s">
        <v>7</v>
      </c>
      <c r="R50" s="225"/>
      <c r="S50" s="226" t="s">
        <v>7</v>
      </c>
      <c r="T50" s="225"/>
      <c r="U50" s="225"/>
      <c r="V50" s="224">
        <v>1.0</v>
      </c>
      <c r="W50" s="226">
        <v>4.0</v>
      </c>
      <c r="X50" s="226">
        <v>0.0</v>
      </c>
      <c r="Y50" s="226">
        <v>28.0</v>
      </c>
      <c r="Z50" s="226">
        <v>28.0</v>
      </c>
      <c r="AA50" s="227">
        <v>0.42</v>
      </c>
      <c r="AB50" s="228">
        <v>3.0</v>
      </c>
      <c r="AC50" s="230">
        <v>1.0</v>
      </c>
      <c r="AD50" s="230">
        <v>0.0</v>
      </c>
      <c r="AE50" s="231">
        <v>18.0</v>
      </c>
      <c r="AF50" s="232">
        <v>18.0</v>
      </c>
      <c r="AG50" s="234">
        <v>0.5</v>
      </c>
      <c r="AH50" s="228">
        <v>4.0</v>
      </c>
      <c r="AI50" s="230">
        <v>5.0</v>
      </c>
      <c r="AJ50" s="230">
        <v>0.0</v>
      </c>
      <c r="AK50" s="231">
        <v>46.0</v>
      </c>
      <c r="AL50" s="232">
        <v>46.0</v>
      </c>
      <c r="AM50" s="234">
        <v>0.45</v>
      </c>
    </row>
  </sheetData>
  <mergeCells count="3">
    <mergeCell ref="V1:AA1"/>
    <mergeCell ref="AB1:AG1"/>
    <mergeCell ref="AH1:AM1"/>
  </mergeCells>
  <conditionalFormatting sqref="AA3:AA50 AG3:AG26 AM3:AM26">
    <cfRule type="colorScale" priority="1">
      <colorScale>
        <cfvo type="min"/>
        <cfvo type="max"/>
        <color rgb="FFFFFFFF"/>
        <color rgb="FF8E7CC3"/>
      </colorScale>
    </cfRule>
  </conditionalFormatting>
  <conditionalFormatting sqref="B3:U50">
    <cfRule type="cellIs" dxfId="0" priority="2" operator="equal">
      <formula>"IC"</formula>
    </cfRule>
  </conditionalFormatting>
  <conditionalFormatting sqref="B3:U50">
    <cfRule type="cellIs" dxfId="1" priority="3" operator="equal">
      <formula>"C"</formula>
    </cfRule>
  </conditionalFormatting>
  <conditionalFormatting sqref="B3:U50">
    <cfRule type="cellIs" dxfId="2" priority="4" operator="equal">
      <formula>"P"</formula>
    </cfRule>
  </conditionalFormatting>
  <conditionalFormatting sqref="Z3:Z50">
    <cfRule type="colorScale" priority="5">
      <colorScale>
        <cfvo type="min"/>
        <cfvo type="max"/>
        <color rgb="FFFFFFFF"/>
        <color rgb="FF6D9EEB"/>
      </colorScale>
    </cfRule>
  </conditionalFormatting>
  <conditionalFormatting sqref="Y3:Y50">
    <cfRule type="colorScale" priority="6">
      <colorScale>
        <cfvo type="min"/>
        <cfvo type="max"/>
        <color rgb="FFFFFFFF"/>
        <color rgb="FF57BB8A"/>
      </colorScale>
    </cfRule>
  </conditionalFormatting>
  <conditionalFormatting sqref="AE3:AE50">
    <cfRule type="colorScale" priority="7">
      <colorScale>
        <cfvo type="min"/>
        <cfvo type="max"/>
        <color rgb="FFFFFFFF"/>
        <color rgb="FF57BB8A"/>
      </colorScale>
    </cfRule>
  </conditionalFormatting>
  <conditionalFormatting sqref="AF3:AF50">
    <cfRule type="colorScale" priority="8">
      <colorScale>
        <cfvo type="min"/>
        <cfvo type="max"/>
        <color rgb="FFFFFFFF"/>
        <color rgb="FF6D9EEB"/>
      </colorScale>
    </cfRule>
  </conditionalFormatting>
  <conditionalFormatting sqref="AL3:AL50">
    <cfRule type="colorScale" priority="9">
      <colorScale>
        <cfvo type="min"/>
        <cfvo type="max"/>
        <color rgb="FFFFFFFF"/>
        <color rgb="FF3C78D8"/>
      </colorScale>
    </cfRule>
  </conditionalFormatting>
  <conditionalFormatting sqref="AK3:AK50">
    <cfRule type="colorScale" priority="10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39" width="5.13"/>
  </cols>
  <sheetData>
    <row r="1" ht="53.25" customHeight="1">
      <c r="A1" s="8"/>
      <c r="B1" s="11" t="s">
        <v>0</v>
      </c>
      <c r="C1" s="11" t="s">
        <v>0</v>
      </c>
      <c r="D1" s="11" t="s">
        <v>0</v>
      </c>
      <c r="E1" s="11" t="s">
        <v>1</v>
      </c>
      <c r="F1" s="11" t="s">
        <v>1</v>
      </c>
      <c r="G1" s="11" t="s">
        <v>0</v>
      </c>
      <c r="H1" s="11" t="s">
        <v>0</v>
      </c>
      <c r="I1" s="11" t="s">
        <v>1</v>
      </c>
      <c r="J1" s="11" t="s">
        <v>1</v>
      </c>
      <c r="K1" s="11" t="s">
        <v>0</v>
      </c>
      <c r="L1" s="11" t="s">
        <v>0</v>
      </c>
      <c r="M1" s="11" t="s">
        <v>1</v>
      </c>
      <c r="N1" s="11" t="s">
        <v>1</v>
      </c>
      <c r="O1" s="11" t="s">
        <v>0</v>
      </c>
      <c r="P1" s="11" t="s">
        <v>0</v>
      </c>
      <c r="Q1" s="11" t="s">
        <v>0</v>
      </c>
      <c r="R1" s="11" t="s">
        <v>1</v>
      </c>
      <c r="S1" s="11" t="s">
        <v>1</v>
      </c>
      <c r="T1" s="11" t="s">
        <v>0</v>
      </c>
      <c r="U1" s="18" t="s">
        <v>0</v>
      </c>
      <c r="V1" s="22" t="s">
        <v>0</v>
      </c>
      <c r="W1" s="6"/>
      <c r="X1" s="6"/>
      <c r="Y1" s="6"/>
      <c r="Z1" s="6"/>
      <c r="AA1" s="7"/>
      <c r="AB1" s="22" t="s">
        <v>1</v>
      </c>
      <c r="AC1" s="6"/>
      <c r="AD1" s="6"/>
      <c r="AE1" s="6"/>
      <c r="AF1" s="6"/>
      <c r="AG1" s="7"/>
      <c r="AH1" s="22" t="s">
        <v>2</v>
      </c>
      <c r="AI1" s="6"/>
      <c r="AJ1" s="6"/>
      <c r="AK1" s="6"/>
      <c r="AL1" s="6"/>
      <c r="AM1" s="7"/>
    </row>
    <row r="2">
      <c r="A2" s="28" t="s">
        <v>4</v>
      </c>
      <c r="B2" s="30" t="s">
        <v>12</v>
      </c>
      <c r="C2" s="30" t="s">
        <v>13</v>
      </c>
      <c r="D2" s="30" t="s">
        <v>14</v>
      </c>
      <c r="E2" s="30" t="s">
        <v>15</v>
      </c>
      <c r="F2" s="30" t="s">
        <v>16</v>
      </c>
      <c r="G2" s="30" t="s">
        <v>17</v>
      </c>
      <c r="H2" s="30" t="s">
        <v>18</v>
      </c>
      <c r="I2" s="30" t="s">
        <v>19</v>
      </c>
      <c r="J2" s="30" t="s">
        <v>20</v>
      </c>
      <c r="K2" s="30" t="s">
        <v>21</v>
      </c>
      <c r="L2" s="30" t="s">
        <v>22</v>
      </c>
      <c r="M2" s="30" t="s">
        <v>23</v>
      </c>
      <c r="N2" s="30" t="s">
        <v>24</v>
      </c>
      <c r="O2" s="30" t="s">
        <v>25</v>
      </c>
      <c r="P2" s="30" t="s">
        <v>26</v>
      </c>
      <c r="Q2" s="30" t="s">
        <v>27</v>
      </c>
      <c r="R2" s="30" t="s">
        <v>28</v>
      </c>
      <c r="S2" s="30" t="s">
        <v>29</v>
      </c>
      <c r="T2" s="30" t="s">
        <v>30</v>
      </c>
      <c r="U2" s="28" t="s">
        <v>31</v>
      </c>
      <c r="V2" s="30" t="s">
        <v>6</v>
      </c>
      <c r="W2" s="30" t="s">
        <v>7</v>
      </c>
      <c r="X2" s="30" t="s">
        <v>8</v>
      </c>
      <c r="Y2" s="30" t="s">
        <v>9</v>
      </c>
      <c r="Z2" s="30" t="s">
        <v>10</v>
      </c>
      <c r="AA2" s="28" t="s">
        <v>11</v>
      </c>
      <c r="AB2" s="30" t="s">
        <v>6</v>
      </c>
      <c r="AC2" s="30" t="s">
        <v>7</v>
      </c>
      <c r="AD2" s="30" t="s">
        <v>8</v>
      </c>
      <c r="AE2" s="30" t="s">
        <v>9</v>
      </c>
      <c r="AF2" s="30" t="s">
        <v>10</v>
      </c>
      <c r="AG2" s="28" t="s">
        <v>11</v>
      </c>
      <c r="AH2" s="30" t="s">
        <v>6</v>
      </c>
      <c r="AI2" s="30" t="s">
        <v>7</v>
      </c>
      <c r="AJ2" s="30" t="s">
        <v>8</v>
      </c>
      <c r="AK2" s="30" t="s">
        <v>9</v>
      </c>
      <c r="AL2" s="30" t="s">
        <v>10</v>
      </c>
      <c r="AM2" s="28" t="s">
        <v>11</v>
      </c>
    </row>
    <row r="3">
      <c r="A3" s="39" t="s">
        <v>34</v>
      </c>
      <c r="B3" s="40"/>
      <c r="C3" s="41" t="s">
        <v>7</v>
      </c>
      <c r="D3" s="40"/>
      <c r="E3" s="41" t="s">
        <v>7</v>
      </c>
      <c r="F3" s="43" t="s">
        <v>6</v>
      </c>
      <c r="G3" s="41" t="s">
        <v>7</v>
      </c>
      <c r="H3" s="43" t="s">
        <v>6</v>
      </c>
      <c r="I3" s="40"/>
      <c r="J3" s="43" t="s">
        <v>6</v>
      </c>
      <c r="K3" s="41" t="s">
        <v>7</v>
      </c>
      <c r="L3" s="46"/>
      <c r="M3" s="41" t="s">
        <v>7</v>
      </c>
      <c r="N3" s="40"/>
      <c r="O3" s="46"/>
      <c r="P3" s="40"/>
      <c r="Q3" s="41" t="s">
        <v>7</v>
      </c>
      <c r="R3" s="40"/>
      <c r="S3" s="40"/>
      <c r="T3" s="46"/>
      <c r="U3" s="50"/>
      <c r="V3" s="52">
        <v>1.0</v>
      </c>
      <c r="W3" s="52">
        <v>4.0</v>
      </c>
      <c r="X3" s="52">
        <v>0.0</v>
      </c>
      <c r="Y3" s="53">
        <v>28.0</v>
      </c>
      <c r="Z3" s="54">
        <v>28.0</v>
      </c>
      <c r="AA3" s="56">
        <v>0.42</v>
      </c>
      <c r="AB3" s="52">
        <v>2.0</v>
      </c>
      <c r="AC3" s="52">
        <v>2.0</v>
      </c>
      <c r="AD3" s="52">
        <v>0.0</v>
      </c>
      <c r="AE3" s="58">
        <v>20.0</v>
      </c>
      <c r="AF3" s="59">
        <v>20.0</v>
      </c>
      <c r="AG3" s="61">
        <v>0.5</v>
      </c>
      <c r="AH3" s="52">
        <v>3.0</v>
      </c>
      <c r="AI3" s="52">
        <v>6.0</v>
      </c>
      <c r="AJ3" s="52">
        <v>0.0</v>
      </c>
      <c r="AK3" s="64">
        <v>48.0</v>
      </c>
      <c r="AL3" s="67">
        <v>48.0</v>
      </c>
      <c r="AM3" s="69">
        <v>0.45</v>
      </c>
    </row>
    <row r="4">
      <c r="A4" s="39" t="s">
        <v>36</v>
      </c>
      <c r="B4" s="41" t="s">
        <v>7</v>
      </c>
      <c r="C4" s="46"/>
      <c r="D4" s="43" t="s">
        <v>6</v>
      </c>
      <c r="E4" s="46"/>
      <c r="F4" s="40"/>
      <c r="G4" s="46"/>
      <c r="H4" s="46"/>
      <c r="I4" s="41" t="s">
        <v>7</v>
      </c>
      <c r="J4" s="40"/>
      <c r="K4" s="71" t="s">
        <v>8</v>
      </c>
      <c r="L4" s="41" t="s">
        <v>7</v>
      </c>
      <c r="M4" s="46"/>
      <c r="N4" s="41" t="s">
        <v>7</v>
      </c>
      <c r="O4" s="46"/>
      <c r="P4" s="43" t="s">
        <v>6</v>
      </c>
      <c r="Q4" s="40"/>
      <c r="R4" s="43" t="s">
        <v>6</v>
      </c>
      <c r="S4" s="43" t="s">
        <v>6</v>
      </c>
      <c r="T4" s="43" t="s">
        <v>6</v>
      </c>
      <c r="U4" s="73" t="s">
        <v>7</v>
      </c>
      <c r="V4" s="52">
        <v>3.0</v>
      </c>
      <c r="W4" s="52">
        <v>3.0</v>
      </c>
      <c r="X4" s="52">
        <v>1.0</v>
      </c>
      <c r="Y4" s="76">
        <v>30.0</v>
      </c>
      <c r="Z4" s="77">
        <v>26.0</v>
      </c>
      <c r="AA4" s="61">
        <v>0.5</v>
      </c>
      <c r="AB4" s="52">
        <v>2.0</v>
      </c>
      <c r="AC4" s="52">
        <v>2.0</v>
      </c>
      <c r="AD4" s="52">
        <v>0.0</v>
      </c>
      <c r="AE4" s="58">
        <v>20.0</v>
      </c>
      <c r="AF4" s="59">
        <v>20.0</v>
      </c>
      <c r="AG4" s="61">
        <v>0.5</v>
      </c>
      <c r="AH4" s="52">
        <v>5.0</v>
      </c>
      <c r="AI4" s="52">
        <v>5.0</v>
      </c>
      <c r="AJ4" s="52">
        <v>1.0</v>
      </c>
      <c r="AK4" s="78">
        <v>50.0</v>
      </c>
      <c r="AL4" s="79">
        <v>46.0</v>
      </c>
      <c r="AM4" s="61">
        <v>0.5</v>
      </c>
    </row>
    <row r="5">
      <c r="A5" s="39" t="s">
        <v>41</v>
      </c>
      <c r="B5" s="46"/>
      <c r="C5" s="43" t="s">
        <v>6</v>
      </c>
      <c r="D5" s="43" t="s">
        <v>6</v>
      </c>
      <c r="E5" s="46"/>
      <c r="F5" s="40"/>
      <c r="G5" s="46"/>
      <c r="H5" s="43" t="s">
        <v>6</v>
      </c>
      <c r="I5" s="46"/>
      <c r="J5" s="46"/>
      <c r="K5" s="46"/>
      <c r="L5" s="41" t="s">
        <v>7</v>
      </c>
      <c r="M5" s="40"/>
      <c r="N5" s="40"/>
      <c r="O5" s="46"/>
      <c r="P5" s="46"/>
      <c r="Q5" s="71" t="s">
        <v>8</v>
      </c>
      <c r="R5" s="40"/>
      <c r="S5" s="46"/>
      <c r="T5" s="40"/>
      <c r="U5" s="50"/>
      <c r="V5" s="52">
        <v>3.0</v>
      </c>
      <c r="W5" s="52">
        <v>1.0</v>
      </c>
      <c r="X5" s="52">
        <v>1.0</v>
      </c>
      <c r="Y5" s="82">
        <v>18.0</v>
      </c>
      <c r="Z5" s="83">
        <v>14.0</v>
      </c>
      <c r="AA5" s="84">
        <v>0.33</v>
      </c>
      <c r="AB5" s="52">
        <v>0.0</v>
      </c>
      <c r="AC5" s="52">
        <v>0.0</v>
      </c>
      <c r="AD5" s="52">
        <v>0.0</v>
      </c>
      <c r="AE5" s="85">
        <v>0.0</v>
      </c>
      <c r="AF5" s="88">
        <v>0.0</v>
      </c>
      <c r="AG5" s="89">
        <v>0.0</v>
      </c>
      <c r="AH5" s="52">
        <v>3.0</v>
      </c>
      <c r="AI5" s="52">
        <v>1.0</v>
      </c>
      <c r="AJ5" s="52">
        <v>1.0</v>
      </c>
      <c r="AK5" s="90">
        <v>18.0</v>
      </c>
      <c r="AL5" s="91">
        <v>14.0</v>
      </c>
      <c r="AM5" s="92">
        <v>0.2</v>
      </c>
    </row>
    <row r="6">
      <c r="A6" s="39" t="s">
        <v>40</v>
      </c>
      <c r="B6" s="41" t="s">
        <v>7</v>
      </c>
      <c r="C6" s="46"/>
      <c r="D6" s="40"/>
      <c r="E6" s="40"/>
      <c r="F6" s="46"/>
      <c r="G6" s="43" t="s">
        <v>6</v>
      </c>
      <c r="H6" s="40"/>
      <c r="I6" s="43" t="s">
        <v>6</v>
      </c>
      <c r="J6" s="40"/>
      <c r="K6" s="41" t="s">
        <v>7</v>
      </c>
      <c r="L6" s="40"/>
      <c r="M6" s="43" t="s">
        <v>6</v>
      </c>
      <c r="N6" s="43" t="s">
        <v>6</v>
      </c>
      <c r="O6" s="46"/>
      <c r="P6" s="46"/>
      <c r="Q6" s="43" t="s">
        <v>6</v>
      </c>
      <c r="R6" s="46"/>
      <c r="S6" s="40"/>
      <c r="T6" s="43" t="s">
        <v>6</v>
      </c>
      <c r="U6" s="95" t="s">
        <v>6</v>
      </c>
      <c r="V6" s="52">
        <v>4.0</v>
      </c>
      <c r="W6" s="52">
        <v>2.0</v>
      </c>
      <c r="X6" s="52">
        <v>0.0</v>
      </c>
      <c r="Y6" s="53">
        <v>28.0</v>
      </c>
      <c r="Z6" s="54">
        <v>28.0</v>
      </c>
      <c r="AA6" s="61">
        <v>0.5</v>
      </c>
      <c r="AB6" s="52">
        <v>3.0</v>
      </c>
      <c r="AC6" s="52">
        <v>0.0</v>
      </c>
      <c r="AD6" s="52">
        <v>0.0</v>
      </c>
      <c r="AE6" s="96">
        <v>12.0</v>
      </c>
      <c r="AF6" s="98">
        <v>12.0</v>
      </c>
      <c r="AG6" s="101">
        <v>0.38</v>
      </c>
      <c r="AH6" s="52">
        <v>7.0</v>
      </c>
      <c r="AI6" s="52">
        <v>2.0</v>
      </c>
      <c r="AJ6" s="52">
        <v>0.0</v>
      </c>
      <c r="AK6" s="102">
        <v>40.0</v>
      </c>
      <c r="AL6" s="103">
        <v>40.0</v>
      </c>
      <c r="AM6" s="69">
        <v>0.45</v>
      </c>
    </row>
    <row r="7">
      <c r="A7" s="39" t="s">
        <v>38</v>
      </c>
      <c r="B7" s="71" t="s">
        <v>8</v>
      </c>
      <c r="C7" s="43" t="s">
        <v>6</v>
      </c>
      <c r="D7" s="43" t="s">
        <v>6</v>
      </c>
      <c r="E7" s="46"/>
      <c r="F7" s="46"/>
      <c r="G7" s="46"/>
      <c r="H7" s="40"/>
      <c r="I7" s="46"/>
      <c r="J7" s="40"/>
      <c r="K7" s="40"/>
      <c r="L7" s="43" t="s">
        <v>6</v>
      </c>
      <c r="M7" s="43" t="s">
        <v>6</v>
      </c>
      <c r="N7" s="46"/>
      <c r="O7" s="43" t="s">
        <v>6</v>
      </c>
      <c r="P7" s="46"/>
      <c r="Q7" s="46"/>
      <c r="R7" s="46"/>
      <c r="S7" s="41" t="s">
        <v>7</v>
      </c>
      <c r="T7" s="46"/>
      <c r="U7" s="104"/>
      <c r="V7" s="52">
        <v>4.0</v>
      </c>
      <c r="W7" s="52">
        <v>0.0</v>
      </c>
      <c r="X7" s="52">
        <v>1.0</v>
      </c>
      <c r="Y7" s="105">
        <v>16.0</v>
      </c>
      <c r="Z7" s="107">
        <v>12.0</v>
      </c>
      <c r="AA7" s="84">
        <v>0.33</v>
      </c>
      <c r="AB7" s="52">
        <v>1.0</v>
      </c>
      <c r="AC7" s="52">
        <v>1.0</v>
      </c>
      <c r="AD7" s="52">
        <v>0.0</v>
      </c>
      <c r="AE7" s="109">
        <v>10.0</v>
      </c>
      <c r="AF7" s="110">
        <v>10.0</v>
      </c>
      <c r="AG7" s="111">
        <v>0.25</v>
      </c>
      <c r="AH7" s="52">
        <v>5.0</v>
      </c>
      <c r="AI7" s="52">
        <v>1.0</v>
      </c>
      <c r="AJ7" s="52">
        <v>1.0</v>
      </c>
      <c r="AK7" s="112">
        <v>26.0</v>
      </c>
      <c r="AL7" s="113">
        <v>22.0</v>
      </c>
      <c r="AM7" s="115">
        <v>0.3</v>
      </c>
    </row>
    <row r="8">
      <c r="A8" s="39" t="s">
        <v>45</v>
      </c>
      <c r="B8" s="40"/>
      <c r="C8" s="46"/>
      <c r="D8" s="40"/>
      <c r="E8" s="41" t="s">
        <v>7</v>
      </c>
      <c r="F8" s="43" t="s">
        <v>6</v>
      </c>
      <c r="G8" s="43" t="s">
        <v>6</v>
      </c>
      <c r="H8" s="46"/>
      <c r="I8" s="46"/>
      <c r="J8" s="43" t="s">
        <v>6</v>
      </c>
      <c r="K8" s="43" t="s">
        <v>6</v>
      </c>
      <c r="L8" s="46"/>
      <c r="M8" s="46"/>
      <c r="N8" s="41" t="s">
        <v>7</v>
      </c>
      <c r="O8" s="46"/>
      <c r="P8" s="46"/>
      <c r="Q8" s="41" t="s">
        <v>7</v>
      </c>
      <c r="R8" s="46"/>
      <c r="S8" s="46"/>
      <c r="T8" s="71" t="s">
        <v>8</v>
      </c>
      <c r="U8" s="104"/>
      <c r="V8" s="52">
        <v>2.0</v>
      </c>
      <c r="W8" s="52">
        <v>1.0</v>
      </c>
      <c r="X8" s="52">
        <v>1.0</v>
      </c>
      <c r="Y8" s="117">
        <v>14.0</v>
      </c>
      <c r="Z8" s="118">
        <v>10.0</v>
      </c>
      <c r="AA8" s="111">
        <v>0.25</v>
      </c>
      <c r="AB8" s="52">
        <v>2.0</v>
      </c>
      <c r="AC8" s="52">
        <v>2.0</v>
      </c>
      <c r="AD8" s="52">
        <v>0.0</v>
      </c>
      <c r="AE8" s="58">
        <v>20.0</v>
      </c>
      <c r="AF8" s="59">
        <v>20.0</v>
      </c>
      <c r="AG8" s="61">
        <v>0.5</v>
      </c>
      <c r="AH8" s="52">
        <v>4.0</v>
      </c>
      <c r="AI8" s="52">
        <v>3.0</v>
      </c>
      <c r="AJ8" s="52">
        <v>1.0</v>
      </c>
      <c r="AK8" s="82">
        <v>34.0</v>
      </c>
      <c r="AL8" s="119">
        <v>30.0</v>
      </c>
      <c r="AM8" s="121">
        <v>0.35</v>
      </c>
    </row>
    <row r="9">
      <c r="A9" s="39" t="s">
        <v>48</v>
      </c>
      <c r="B9" s="40"/>
      <c r="C9" s="46"/>
      <c r="D9" s="46"/>
      <c r="E9" s="41" t="s">
        <v>7</v>
      </c>
      <c r="F9" s="46"/>
      <c r="G9" s="46"/>
      <c r="H9" s="46"/>
      <c r="I9" s="46"/>
      <c r="J9" s="40"/>
      <c r="K9" s="46"/>
      <c r="L9" s="46"/>
      <c r="M9" s="40"/>
      <c r="N9" s="41" t="s">
        <v>7</v>
      </c>
      <c r="O9" s="46"/>
      <c r="P9" s="71" t="s">
        <v>8</v>
      </c>
      <c r="Q9" s="46"/>
      <c r="R9" s="46"/>
      <c r="S9" s="43" t="s">
        <v>6</v>
      </c>
      <c r="T9" s="46"/>
      <c r="U9" s="104"/>
      <c r="V9" s="52">
        <v>0.0</v>
      </c>
      <c r="W9" s="52">
        <v>0.0</v>
      </c>
      <c r="X9" s="52">
        <v>1.0</v>
      </c>
      <c r="Y9" s="85">
        <v>0.0</v>
      </c>
      <c r="Z9" s="85">
        <v>-4.0</v>
      </c>
      <c r="AA9" s="89">
        <v>0.0</v>
      </c>
      <c r="AB9" s="52">
        <v>1.0</v>
      </c>
      <c r="AC9" s="52">
        <v>2.0</v>
      </c>
      <c r="AD9" s="52">
        <v>0.0</v>
      </c>
      <c r="AE9" s="123">
        <v>16.0</v>
      </c>
      <c r="AF9" s="124">
        <v>16.0</v>
      </c>
      <c r="AG9" s="101">
        <v>0.38</v>
      </c>
      <c r="AH9" s="52">
        <v>1.0</v>
      </c>
      <c r="AI9" s="52">
        <v>2.0</v>
      </c>
      <c r="AJ9" s="52">
        <v>1.0</v>
      </c>
      <c r="AK9" s="125">
        <v>16.0</v>
      </c>
      <c r="AL9" s="126">
        <v>12.0</v>
      </c>
      <c r="AM9" s="127">
        <v>0.15</v>
      </c>
    </row>
    <row r="10">
      <c r="A10" s="39" t="s">
        <v>60</v>
      </c>
      <c r="B10" s="41" t="s">
        <v>7</v>
      </c>
      <c r="C10" s="41" t="s">
        <v>7</v>
      </c>
      <c r="D10" s="43" t="s">
        <v>6</v>
      </c>
      <c r="E10" s="46"/>
      <c r="F10" s="41" t="s">
        <v>7</v>
      </c>
      <c r="G10" s="41" t="s">
        <v>7</v>
      </c>
      <c r="H10" s="71" t="s">
        <v>8</v>
      </c>
      <c r="I10" s="40"/>
      <c r="J10" s="41" t="s">
        <v>7</v>
      </c>
      <c r="K10" s="41" t="s">
        <v>7</v>
      </c>
      <c r="L10" s="41" t="s">
        <v>7</v>
      </c>
      <c r="M10" s="41" t="s">
        <v>7</v>
      </c>
      <c r="N10" s="46"/>
      <c r="O10" s="71" t="s">
        <v>8</v>
      </c>
      <c r="P10" s="40"/>
      <c r="Q10" s="41" t="s">
        <v>7</v>
      </c>
      <c r="R10" s="43" t="s">
        <v>6</v>
      </c>
      <c r="S10" s="71" t="s">
        <v>8</v>
      </c>
      <c r="T10" s="41" t="s">
        <v>7</v>
      </c>
      <c r="U10" s="73" t="s">
        <v>7</v>
      </c>
      <c r="V10" s="52">
        <v>1.0</v>
      </c>
      <c r="W10" s="52">
        <v>8.0</v>
      </c>
      <c r="X10" s="52">
        <v>2.0</v>
      </c>
      <c r="Y10" s="128">
        <v>52.0</v>
      </c>
      <c r="Z10" s="129">
        <v>44.0</v>
      </c>
      <c r="AA10" s="130">
        <v>0.75</v>
      </c>
      <c r="AB10" s="52">
        <v>1.0</v>
      </c>
      <c r="AC10" s="52">
        <v>3.0</v>
      </c>
      <c r="AD10" s="52">
        <v>1.0</v>
      </c>
      <c r="AE10" s="133">
        <v>22.0</v>
      </c>
      <c r="AF10" s="135">
        <v>18.0</v>
      </c>
      <c r="AG10" s="61">
        <v>0.5</v>
      </c>
      <c r="AH10" s="52">
        <v>2.0</v>
      </c>
      <c r="AI10" s="52">
        <v>11.0</v>
      </c>
      <c r="AJ10" s="52">
        <v>3.0</v>
      </c>
      <c r="AK10" s="136">
        <v>74.0</v>
      </c>
      <c r="AL10" s="137">
        <v>62.0</v>
      </c>
      <c r="AM10" s="138">
        <v>0.65</v>
      </c>
    </row>
    <row r="11">
      <c r="A11" s="39" t="s">
        <v>63</v>
      </c>
      <c r="B11" s="46"/>
      <c r="C11" s="40"/>
      <c r="D11" s="40"/>
      <c r="E11" s="40"/>
      <c r="F11" s="46"/>
      <c r="G11" s="43" t="s">
        <v>6</v>
      </c>
      <c r="H11" s="40"/>
      <c r="I11" s="40"/>
      <c r="J11" s="43" t="s">
        <v>6</v>
      </c>
      <c r="K11" s="46"/>
      <c r="L11" s="43" t="s">
        <v>6</v>
      </c>
      <c r="M11" s="40"/>
      <c r="N11" s="40"/>
      <c r="O11" s="46"/>
      <c r="P11" s="40"/>
      <c r="Q11" s="43" t="s">
        <v>6</v>
      </c>
      <c r="R11" s="40"/>
      <c r="S11" s="41" t="s">
        <v>7</v>
      </c>
      <c r="T11" s="46"/>
      <c r="U11" s="104"/>
      <c r="V11" s="52">
        <v>3.0</v>
      </c>
      <c r="W11" s="52">
        <v>0.0</v>
      </c>
      <c r="X11" s="52">
        <v>0.0</v>
      </c>
      <c r="Y11" s="141">
        <v>12.0</v>
      </c>
      <c r="Z11" s="107">
        <v>12.0</v>
      </c>
      <c r="AA11" s="111">
        <v>0.25</v>
      </c>
      <c r="AB11" s="52">
        <v>1.0</v>
      </c>
      <c r="AC11" s="52">
        <v>1.0</v>
      </c>
      <c r="AD11" s="52">
        <v>0.0</v>
      </c>
      <c r="AE11" s="109">
        <v>10.0</v>
      </c>
      <c r="AF11" s="110">
        <v>10.0</v>
      </c>
      <c r="AG11" s="111">
        <v>0.25</v>
      </c>
      <c r="AH11" s="52">
        <v>4.0</v>
      </c>
      <c r="AI11" s="52">
        <v>1.0</v>
      </c>
      <c r="AJ11" s="52">
        <v>0.0</v>
      </c>
      <c r="AK11" s="142">
        <v>22.0</v>
      </c>
      <c r="AL11" s="113">
        <v>22.0</v>
      </c>
      <c r="AM11" s="111">
        <v>0.25</v>
      </c>
    </row>
    <row r="12">
      <c r="A12" s="39" t="s">
        <v>47</v>
      </c>
      <c r="B12" s="41" t="s">
        <v>7</v>
      </c>
      <c r="C12" s="41" t="s">
        <v>7</v>
      </c>
      <c r="D12" s="43" t="s">
        <v>6</v>
      </c>
      <c r="E12" s="41" t="s">
        <v>7</v>
      </c>
      <c r="F12" s="43" t="s">
        <v>6</v>
      </c>
      <c r="G12" s="46"/>
      <c r="H12" s="43" t="s">
        <v>6</v>
      </c>
      <c r="I12" s="46"/>
      <c r="J12" s="40"/>
      <c r="K12" s="41" t="s">
        <v>7</v>
      </c>
      <c r="L12" s="46"/>
      <c r="M12" s="46"/>
      <c r="N12" s="43" t="s">
        <v>6</v>
      </c>
      <c r="O12" s="46"/>
      <c r="P12" s="46"/>
      <c r="Q12" s="46"/>
      <c r="R12" s="43" t="s">
        <v>6</v>
      </c>
      <c r="S12" s="40"/>
      <c r="T12" s="41" t="s">
        <v>7</v>
      </c>
      <c r="U12" s="73" t="s">
        <v>7</v>
      </c>
      <c r="V12" s="52">
        <v>2.0</v>
      </c>
      <c r="W12" s="52">
        <v>5.0</v>
      </c>
      <c r="X12" s="52">
        <v>0.0</v>
      </c>
      <c r="Y12" s="145">
        <v>38.0</v>
      </c>
      <c r="Z12" s="146">
        <v>38.0</v>
      </c>
      <c r="AA12" s="147">
        <v>0.58</v>
      </c>
      <c r="AB12" s="52">
        <v>3.0</v>
      </c>
      <c r="AC12" s="52">
        <v>1.0</v>
      </c>
      <c r="AD12" s="52">
        <v>0.0</v>
      </c>
      <c r="AE12" s="148">
        <v>18.0</v>
      </c>
      <c r="AF12" s="135">
        <v>18.0</v>
      </c>
      <c r="AG12" s="61">
        <v>0.5</v>
      </c>
      <c r="AH12" s="52">
        <v>5.0</v>
      </c>
      <c r="AI12" s="52">
        <v>6.0</v>
      </c>
      <c r="AJ12" s="52">
        <v>0.0</v>
      </c>
      <c r="AK12" s="149">
        <v>56.0</v>
      </c>
      <c r="AL12" s="150">
        <v>56.0</v>
      </c>
      <c r="AM12" s="151">
        <v>0.55</v>
      </c>
    </row>
    <row r="13">
      <c r="A13" s="39" t="s">
        <v>37</v>
      </c>
      <c r="B13" s="40"/>
      <c r="C13" s="46"/>
      <c r="D13" s="40"/>
      <c r="E13" s="46"/>
      <c r="F13" s="40"/>
      <c r="G13" s="40"/>
      <c r="H13" s="40"/>
      <c r="I13" s="46"/>
      <c r="J13" s="46"/>
      <c r="K13" s="41" t="s">
        <v>7</v>
      </c>
      <c r="L13" s="40"/>
      <c r="M13" s="46"/>
      <c r="N13" s="40"/>
      <c r="O13" s="46"/>
      <c r="P13" s="40"/>
      <c r="Q13" s="43" t="s">
        <v>6</v>
      </c>
      <c r="R13" s="43" t="s">
        <v>6</v>
      </c>
      <c r="S13" s="40"/>
      <c r="T13" s="40"/>
      <c r="U13" s="50"/>
      <c r="V13" s="52">
        <v>1.0</v>
      </c>
      <c r="W13" s="52">
        <v>1.0</v>
      </c>
      <c r="X13" s="52">
        <v>0.0</v>
      </c>
      <c r="Y13" s="152">
        <v>10.0</v>
      </c>
      <c r="Z13" s="118">
        <v>10.0</v>
      </c>
      <c r="AA13" s="153">
        <v>0.17</v>
      </c>
      <c r="AB13" s="52">
        <v>1.0</v>
      </c>
      <c r="AC13" s="52">
        <v>0.0</v>
      </c>
      <c r="AD13" s="52">
        <v>0.0</v>
      </c>
      <c r="AE13" s="154">
        <v>4.0</v>
      </c>
      <c r="AF13" s="155">
        <v>4.0</v>
      </c>
      <c r="AG13" s="156">
        <v>0.13</v>
      </c>
      <c r="AH13" s="52">
        <v>2.0</v>
      </c>
      <c r="AI13" s="52">
        <v>1.0</v>
      </c>
      <c r="AJ13" s="52">
        <v>0.0</v>
      </c>
      <c r="AK13" s="157">
        <v>14.0</v>
      </c>
      <c r="AL13" s="91">
        <v>14.0</v>
      </c>
      <c r="AM13" s="127">
        <v>0.15</v>
      </c>
    </row>
    <row r="14">
      <c r="A14" s="39" t="s">
        <v>67</v>
      </c>
      <c r="B14" s="41" t="s">
        <v>7</v>
      </c>
      <c r="C14" s="43" t="s">
        <v>6</v>
      </c>
      <c r="D14" s="43" t="s">
        <v>6</v>
      </c>
      <c r="E14" s="46"/>
      <c r="F14" s="43" t="s">
        <v>6</v>
      </c>
      <c r="G14" s="43" t="s">
        <v>6</v>
      </c>
      <c r="H14" s="46"/>
      <c r="I14" s="46"/>
      <c r="J14" s="46"/>
      <c r="K14" s="46"/>
      <c r="L14" s="43" t="s">
        <v>6</v>
      </c>
      <c r="M14" s="43" t="s">
        <v>6</v>
      </c>
      <c r="N14" s="41" t="s">
        <v>7</v>
      </c>
      <c r="O14" s="46"/>
      <c r="P14" s="46"/>
      <c r="Q14" s="46"/>
      <c r="R14" s="46"/>
      <c r="S14" s="43" t="s">
        <v>6</v>
      </c>
      <c r="T14" s="41" t="s">
        <v>7</v>
      </c>
      <c r="U14" s="95" t="s">
        <v>6</v>
      </c>
      <c r="V14" s="52">
        <v>5.0</v>
      </c>
      <c r="W14" s="52">
        <v>2.0</v>
      </c>
      <c r="X14" s="52">
        <v>0.0</v>
      </c>
      <c r="Y14" s="160">
        <v>32.0</v>
      </c>
      <c r="Z14" s="161">
        <v>32.0</v>
      </c>
      <c r="AA14" s="147">
        <v>0.58</v>
      </c>
      <c r="AB14" s="52">
        <v>3.0</v>
      </c>
      <c r="AC14" s="52">
        <v>1.0</v>
      </c>
      <c r="AD14" s="52">
        <v>0.0</v>
      </c>
      <c r="AE14" s="148">
        <v>18.0</v>
      </c>
      <c r="AF14" s="135">
        <v>18.0</v>
      </c>
      <c r="AG14" s="61">
        <v>0.5</v>
      </c>
      <c r="AH14" s="52">
        <v>8.0</v>
      </c>
      <c r="AI14" s="52">
        <v>3.0</v>
      </c>
      <c r="AJ14" s="52">
        <v>0.0</v>
      </c>
      <c r="AK14" s="78">
        <v>50.0</v>
      </c>
      <c r="AL14" s="163">
        <v>50.0</v>
      </c>
      <c r="AM14" s="151">
        <v>0.55</v>
      </c>
    </row>
    <row r="15">
      <c r="A15" s="39" t="s">
        <v>51</v>
      </c>
      <c r="B15" s="41" t="s">
        <v>7</v>
      </c>
      <c r="C15" s="41" t="s">
        <v>7</v>
      </c>
      <c r="D15" s="41" t="s">
        <v>7</v>
      </c>
      <c r="E15" s="46"/>
      <c r="F15" s="43" t="s">
        <v>6</v>
      </c>
      <c r="G15" s="40"/>
      <c r="H15" s="43" t="s">
        <v>6</v>
      </c>
      <c r="I15" s="40"/>
      <c r="J15" s="46"/>
      <c r="K15" s="41" t="s">
        <v>7</v>
      </c>
      <c r="L15" s="71" t="s">
        <v>8</v>
      </c>
      <c r="M15" s="43" t="s">
        <v>6</v>
      </c>
      <c r="N15" s="41" t="s">
        <v>7</v>
      </c>
      <c r="O15" s="40"/>
      <c r="P15" s="40"/>
      <c r="Q15" s="41" t="s">
        <v>7</v>
      </c>
      <c r="R15" s="43" t="s">
        <v>6</v>
      </c>
      <c r="S15" s="41" t="s">
        <v>7</v>
      </c>
      <c r="T15" s="43" t="s">
        <v>6</v>
      </c>
      <c r="U15" s="73" t="s">
        <v>7</v>
      </c>
      <c r="V15" s="52">
        <v>2.0</v>
      </c>
      <c r="W15" s="52">
        <v>6.0</v>
      </c>
      <c r="X15" s="52">
        <v>1.0</v>
      </c>
      <c r="Y15" s="164">
        <v>44.0</v>
      </c>
      <c r="Z15" s="165">
        <v>40.0</v>
      </c>
      <c r="AA15" s="166">
        <v>0.67</v>
      </c>
      <c r="AB15" s="52">
        <v>3.0</v>
      </c>
      <c r="AC15" s="52">
        <v>2.0</v>
      </c>
      <c r="AD15" s="52">
        <v>0.0</v>
      </c>
      <c r="AE15" s="167">
        <v>24.0</v>
      </c>
      <c r="AF15" s="168">
        <v>24.0</v>
      </c>
      <c r="AG15" s="169">
        <v>0.63</v>
      </c>
      <c r="AH15" s="52">
        <v>5.0</v>
      </c>
      <c r="AI15" s="52">
        <v>8.0</v>
      </c>
      <c r="AJ15" s="52">
        <v>1.0</v>
      </c>
      <c r="AK15" s="170">
        <v>68.0</v>
      </c>
      <c r="AL15" s="171">
        <v>64.0</v>
      </c>
      <c r="AM15" s="138">
        <v>0.65</v>
      </c>
    </row>
    <row r="16">
      <c r="A16" s="39" t="s">
        <v>56</v>
      </c>
      <c r="B16" s="46"/>
      <c r="C16" s="40"/>
      <c r="D16" s="46"/>
      <c r="E16" s="41" t="s">
        <v>7</v>
      </c>
      <c r="F16" s="46"/>
      <c r="G16" s="46"/>
      <c r="H16" s="40"/>
      <c r="I16" s="43" t="s">
        <v>6</v>
      </c>
      <c r="J16" s="46"/>
      <c r="K16" s="46"/>
      <c r="L16" s="46"/>
      <c r="M16" s="46"/>
      <c r="N16" s="46"/>
      <c r="O16" s="46"/>
      <c r="P16" s="46"/>
      <c r="Q16" s="40"/>
      <c r="R16" s="46"/>
      <c r="S16" s="46"/>
      <c r="T16" s="46"/>
      <c r="U16" s="50"/>
      <c r="V16" s="52">
        <v>0.0</v>
      </c>
      <c r="W16" s="52">
        <v>0.0</v>
      </c>
      <c r="X16" s="52">
        <v>0.0</v>
      </c>
      <c r="Y16" s="85">
        <v>0.0</v>
      </c>
      <c r="Z16" s="172">
        <v>0.0</v>
      </c>
      <c r="AA16" s="89">
        <v>0.0</v>
      </c>
      <c r="AB16" s="52">
        <v>1.0</v>
      </c>
      <c r="AC16" s="52">
        <v>1.0</v>
      </c>
      <c r="AD16" s="52">
        <v>0.0</v>
      </c>
      <c r="AE16" s="109">
        <v>10.0</v>
      </c>
      <c r="AF16" s="110">
        <v>10.0</v>
      </c>
      <c r="AG16" s="111">
        <v>0.25</v>
      </c>
      <c r="AH16" s="52">
        <v>1.0</v>
      </c>
      <c r="AI16" s="52">
        <v>1.0</v>
      </c>
      <c r="AJ16" s="52">
        <v>0.0</v>
      </c>
      <c r="AK16" s="174">
        <v>10.0</v>
      </c>
      <c r="AL16" s="175">
        <v>10.0</v>
      </c>
      <c r="AM16" s="176">
        <v>0.1</v>
      </c>
    </row>
    <row r="17">
      <c r="A17" s="39" t="s">
        <v>33</v>
      </c>
      <c r="B17" s="41" t="s">
        <v>7</v>
      </c>
      <c r="C17" s="46"/>
      <c r="D17" s="43" t="s">
        <v>6</v>
      </c>
      <c r="E17" s="43" t="s">
        <v>6</v>
      </c>
      <c r="F17" s="43" t="s">
        <v>6</v>
      </c>
      <c r="G17" s="41" t="s">
        <v>7</v>
      </c>
      <c r="H17" s="46"/>
      <c r="I17" s="46"/>
      <c r="J17" s="43" t="s">
        <v>6</v>
      </c>
      <c r="K17" s="46"/>
      <c r="L17" s="46"/>
      <c r="M17" s="43" t="s">
        <v>6</v>
      </c>
      <c r="N17" s="46"/>
      <c r="O17" s="46"/>
      <c r="P17" s="46"/>
      <c r="Q17" s="46"/>
      <c r="R17" s="46"/>
      <c r="S17" s="46"/>
      <c r="T17" s="43" t="s">
        <v>6</v>
      </c>
      <c r="U17" s="73" t="s">
        <v>7</v>
      </c>
      <c r="V17" s="52">
        <v>2.0</v>
      </c>
      <c r="W17" s="52">
        <v>3.0</v>
      </c>
      <c r="X17" s="52">
        <v>0.0</v>
      </c>
      <c r="Y17" s="177">
        <v>26.0</v>
      </c>
      <c r="Z17" s="77">
        <v>26.0</v>
      </c>
      <c r="AA17" s="56">
        <v>0.42</v>
      </c>
      <c r="AB17" s="52">
        <v>4.0</v>
      </c>
      <c r="AC17" s="52">
        <v>0.0</v>
      </c>
      <c r="AD17" s="52">
        <v>0.0</v>
      </c>
      <c r="AE17" s="123">
        <v>16.0</v>
      </c>
      <c r="AF17" s="124">
        <v>16.0</v>
      </c>
      <c r="AG17" s="61">
        <v>0.5</v>
      </c>
      <c r="AH17" s="52">
        <v>6.0</v>
      </c>
      <c r="AI17" s="52">
        <v>3.0</v>
      </c>
      <c r="AJ17" s="52">
        <v>0.0</v>
      </c>
      <c r="AK17" s="178">
        <v>42.0</v>
      </c>
      <c r="AL17" s="179">
        <v>42.0</v>
      </c>
      <c r="AM17" s="69">
        <v>0.45</v>
      </c>
    </row>
    <row r="18">
      <c r="A18" s="39" t="s">
        <v>64</v>
      </c>
      <c r="B18" s="40"/>
      <c r="C18" s="41" t="s">
        <v>7</v>
      </c>
      <c r="D18" s="40"/>
      <c r="E18" s="40"/>
      <c r="F18" s="46"/>
      <c r="G18" s="46"/>
      <c r="H18" s="40"/>
      <c r="I18" s="43" t="s">
        <v>6</v>
      </c>
      <c r="J18" s="46"/>
      <c r="K18" s="46"/>
      <c r="L18" s="40"/>
      <c r="M18" s="46"/>
      <c r="N18" s="43" t="s">
        <v>6</v>
      </c>
      <c r="O18" s="46"/>
      <c r="P18" s="46"/>
      <c r="Q18" s="46"/>
      <c r="R18" s="43" t="s">
        <v>6</v>
      </c>
      <c r="S18" s="46"/>
      <c r="T18" s="46"/>
      <c r="U18" s="104"/>
      <c r="V18" s="52">
        <v>0.0</v>
      </c>
      <c r="W18" s="52">
        <v>1.0</v>
      </c>
      <c r="X18" s="52">
        <v>0.0</v>
      </c>
      <c r="Y18" s="157">
        <v>6.0</v>
      </c>
      <c r="Z18" s="155">
        <v>6.0</v>
      </c>
      <c r="AA18" s="181">
        <v>0.08</v>
      </c>
      <c r="AB18" s="52">
        <v>3.0</v>
      </c>
      <c r="AC18" s="52">
        <v>0.0</v>
      </c>
      <c r="AD18" s="52">
        <v>0.0</v>
      </c>
      <c r="AE18" s="96">
        <v>12.0</v>
      </c>
      <c r="AF18" s="98">
        <v>12.0</v>
      </c>
      <c r="AG18" s="101">
        <v>0.38</v>
      </c>
      <c r="AH18" s="52">
        <v>3.0</v>
      </c>
      <c r="AI18" s="52">
        <v>1.0</v>
      </c>
      <c r="AJ18" s="52">
        <v>0.0</v>
      </c>
      <c r="AK18" s="90">
        <v>18.0</v>
      </c>
      <c r="AL18" s="182">
        <v>18.0</v>
      </c>
      <c r="AM18" s="92">
        <v>0.2</v>
      </c>
    </row>
    <row r="19">
      <c r="A19" s="39" t="s">
        <v>72</v>
      </c>
      <c r="B19" s="40"/>
      <c r="C19" s="71" t="s">
        <v>8</v>
      </c>
      <c r="D19" s="40"/>
      <c r="E19" s="40"/>
      <c r="F19" s="71" t="s">
        <v>8</v>
      </c>
      <c r="G19" s="40"/>
      <c r="H19" s="40"/>
      <c r="I19" s="40"/>
      <c r="J19" s="71" t="s">
        <v>8</v>
      </c>
      <c r="K19" s="71" t="s">
        <v>8</v>
      </c>
      <c r="L19" s="71" t="s">
        <v>8</v>
      </c>
      <c r="M19" s="46"/>
      <c r="N19" s="46"/>
      <c r="O19" s="40"/>
      <c r="P19" s="40"/>
      <c r="Q19" s="40"/>
      <c r="R19" s="43" t="s">
        <v>6</v>
      </c>
      <c r="S19" s="43" t="s">
        <v>6</v>
      </c>
      <c r="T19" s="41" t="s">
        <v>7</v>
      </c>
      <c r="U19" s="73" t="s">
        <v>7</v>
      </c>
      <c r="V19" s="52">
        <v>0.0</v>
      </c>
      <c r="W19" s="52">
        <v>2.0</v>
      </c>
      <c r="X19" s="52">
        <v>3.0</v>
      </c>
      <c r="Y19" s="141">
        <v>12.0</v>
      </c>
      <c r="Z19" s="172">
        <v>0.0</v>
      </c>
      <c r="AA19" s="153">
        <v>0.17</v>
      </c>
      <c r="AB19" s="52">
        <v>2.0</v>
      </c>
      <c r="AC19" s="52">
        <v>0.0</v>
      </c>
      <c r="AD19" s="52">
        <v>2.0</v>
      </c>
      <c r="AE19" s="142">
        <v>8.0</v>
      </c>
      <c r="AF19" s="88">
        <v>0.0</v>
      </c>
      <c r="AG19" s="111">
        <v>0.25</v>
      </c>
      <c r="AH19" s="52">
        <v>2.0</v>
      </c>
      <c r="AI19" s="52">
        <v>2.0</v>
      </c>
      <c r="AJ19" s="52">
        <v>5.0</v>
      </c>
      <c r="AK19" s="185">
        <v>20.0</v>
      </c>
      <c r="AL19" s="186">
        <v>0.0</v>
      </c>
      <c r="AM19" s="92">
        <v>0.2</v>
      </c>
    </row>
    <row r="20">
      <c r="A20" s="39" t="s">
        <v>52</v>
      </c>
      <c r="B20" s="41" t="s">
        <v>7</v>
      </c>
      <c r="C20" s="46"/>
      <c r="D20" s="43" t="s">
        <v>6</v>
      </c>
      <c r="E20" s="41" t="s">
        <v>7</v>
      </c>
      <c r="F20" s="43" t="s">
        <v>6</v>
      </c>
      <c r="G20" s="43" t="s">
        <v>6</v>
      </c>
      <c r="H20" s="46"/>
      <c r="I20" s="40"/>
      <c r="J20" s="71" t="s">
        <v>8</v>
      </c>
      <c r="K20" s="43" t="s">
        <v>6</v>
      </c>
      <c r="L20" s="43" t="s">
        <v>6</v>
      </c>
      <c r="M20" s="40"/>
      <c r="N20" s="41" t="s">
        <v>7</v>
      </c>
      <c r="O20" s="46"/>
      <c r="P20" s="46"/>
      <c r="Q20" s="41" t="s">
        <v>7</v>
      </c>
      <c r="R20" s="46"/>
      <c r="S20" s="71" t="s">
        <v>8</v>
      </c>
      <c r="T20" s="40"/>
      <c r="U20" s="50"/>
      <c r="V20" s="52">
        <v>4.0</v>
      </c>
      <c r="W20" s="52">
        <v>2.0</v>
      </c>
      <c r="X20" s="52">
        <v>0.0</v>
      </c>
      <c r="Y20" s="53">
        <v>28.0</v>
      </c>
      <c r="Z20" s="54">
        <v>28.0</v>
      </c>
      <c r="AA20" s="61">
        <v>0.5</v>
      </c>
      <c r="AB20" s="52">
        <v>1.0</v>
      </c>
      <c r="AC20" s="52">
        <v>2.0</v>
      </c>
      <c r="AD20" s="52">
        <v>2.0</v>
      </c>
      <c r="AE20" s="123">
        <v>16.0</v>
      </c>
      <c r="AF20" s="187">
        <v>8.0</v>
      </c>
      <c r="AG20" s="101">
        <v>0.38</v>
      </c>
      <c r="AH20" s="52">
        <v>5.0</v>
      </c>
      <c r="AI20" s="52">
        <v>4.0</v>
      </c>
      <c r="AJ20" s="52">
        <v>2.0</v>
      </c>
      <c r="AK20" s="188">
        <v>44.0</v>
      </c>
      <c r="AL20" s="189">
        <v>36.0</v>
      </c>
      <c r="AM20" s="69">
        <v>0.45</v>
      </c>
    </row>
    <row r="21">
      <c r="A21" s="39" t="s">
        <v>54</v>
      </c>
      <c r="B21" s="46"/>
      <c r="C21" s="41" t="s">
        <v>7</v>
      </c>
      <c r="D21" s="46"/>
      <c r="E21" s="41" t="s">
        <v>7</v>
      </c>
      <c r="F21" s="43" t="s">
        <v>6</v>
      </c>
      <c r="G21" s="41" t="s">
        <v>7</v>
      </c>
      <c r="H21" s="43" t="s">
        <v>6</v>
      </c>
      <c r="I21" s="46"/>
      <c r="J21" s="46"/>
      <c r="K21" s="43" t="s">
        <v>6</v>
      </c>
      <c r="L21" s="46"/>
      <c r="M21" s="43" t="s">
        <v>6</v>
      </c>
      <c r="N21" s="43" t="s">
        <v>6</v>
      </c>
      <c r="O21" s="46"/>
      <c r="P21" s="46"/>
      <c r="Q21" s="43" t="s">
        <v>6</v>
      </c>
      <c r="R21" s="46"/>
      <c r="S21" s="43" t="s">
        <v>6</v>
      </c>
      <c r="T21" s="41" t="s">
        <v>7</v>
      </c>
      <c r="U21" s="73" t="s">
        <v>7</v>
      </c>
      <c r="V21" s="52">
        <v>3.0</v>
      </c>
      <c r="W21" s="52">
        <v>4.0</v>
      </c>
      <c r="X21" s="52">
        <v>0.0</v>
      </c>
      <c r="Y21" s="191">
        <v>36.0</v>
      </c>
      <c r="Z21" s="192">
        <v>36.0</v>
      </c>
      <c r="AA21" s="147">
        <v>0.58</v>
      </c>
      <c r="AB21" s="52">
        <v>4.0</v>
      </c>
      <c r="AC21" s="52">
        <v>1.0</v>
      </c>
      <c r="AD21" s="52">
        <v>0.0</v>
      </c>
      <c r="AE21" s="133">
        <v>22.0</v>
      </c>
      <c r="AF21" s="193">
        <v>22.0</v>
      </c>
      <c r="AG21" s="169">
        <v>0.63</v>
      </c>
      <c r="AH21" s="52">
        <v>7.0</v>
      </c>
      <c r="AI21" s="52">
        <v>5.0</v>
      </c>
      <c r="AJ21" s="52">
        <v>0.0</v>
      </c>
      <c r="AK21" s="194">
        <v>58.0</v>
      </c>
      <c r="AL21" s="195">
        <v>58.0</v>
      </c>
      <c r="AM21" s="196">
        <v>0.6</v>
      </c>
    </row>
    <row r="22">
      <c r="A22" s="39" t="s">
        <v>53</v>
      </c>
      <c r="B22" s="41" t="s">
        <v>7</v>
      </c>
      <c r="C22" s="40"/>
      <c r="D22" s="40"/>
      <c r="E22" s="40"/>
      <c r="F22" s="40"/>
      <c r="G22" s="40"/>
      <c r="H22" s="46"/>
      <c r="I22" s="40"/>
      <c r="J22" s="43" t="s">
        <v>6</v>
      </c>
      <c r="K22" s="40"/>
      <c r="L22" s="40"/>
      <c r="M22" s="46"/>
      <c r="N22" s="40"/>
      <c r="O22" s="46"/>
      <c r="P22" s="40"/>
      <c r="Q22" s="40"/>
      <c r="R22" s="43" t="s">
        <v>6</v>
      </c>
      <c r="S22" s="71" t="s">
        <v>8</v>
      </c>
      <c r="T22" s="40"/>
      <c r="U22" s="50"/>
      <c r="V22" s="52">
        <v>0.0</v>
      </c>
      <c r="W22" s="52">
        <v>1.0</v>
      </c>
      <c r="X22" s="52">
        <v>0.0</v>
      </c>
      <c r="Y22" s="157">
        <v>6.0</v>
      </c>
      <c r="Z22" s="155">
        <v>6.0</v>
      </c>
      <c r="AA22" s="181">
        <v>0.08</v>
      </c>
      <c r="AB22" s="52">
        <v>2.0</v>
      </c>
      <c r="AC22" s="52">
        <v>0.0</v>
      </c>
      <c r="AD22" s="52">
        <v>1.0</v>
      </c>
      <c r="AE22" s="142">
        <v>8.0</v>
      </c>
      <c r="AF22" s="155">
        <v>4.0</v>
      </c>
      <c r="AG22" s="111">
        <v>0.25</v>
      </c>
      <c r="AH22" s="52">
        <v>2.0</v>
      </c>
      <c r="AI22" s="52">
        <v>1.0</v>
      </c>
      <c r="AJ22" s="52">
        <v>1.0</v>
      </c>
      <c r="AK22" s="157">
        <v>14.0</v>
      </c>
      <c r="AL22" s="175">
        <v>10.0</v>
      </c>
      <c r="AM22" s="127">
        <v>0.15</v>
      </c>
    </row>
    <row r="23">
      <c r="A23" s="39" t="s">
        <v>35</v>
      </c>
      <c r="B23" s="43" t="s">
        <v>6</v>
      </c>
      <c r="C23" s="40"/>
      <c r="D23" s="40"/>
      <c r="E23" s="46"/>
      <c r="F23" s="40"/>
      <c r="G23" s="40"/>
      <c r="H23" s="40"/>
      <c r="I23" s="40"/>
      <c r="J23" s="40"/>
      <c r="K23" s="46"/>
      <c r="L23" s="71" t="s">
        <v>8</v>
      </c>
      <c r="M23" s="46"/>
      <c r="N23" s="40"/>
      <c r="O23" s="46"/>
      <c r="P23" s="40"/>
      <c r="Q23" s="43" t="s">
        <v>6</v>
      </c>
      <c r="R23" s="43" t="s">
        <v>6</v>
      </c>
      <c r="S23" s="41" t="s">
        <v>7</v>
      </c>
      <c r="T23" s="46"/>
      <c r="U23" s="50"/>
      <c r="V23" s="52">
        <v>2.0</v>
      </c>
      <c r="W23" s="52">
        <v>0.0</v>
      </c>
      <c r="X23" s="52">
        <v>1.0</v>
      </c>
      <c r="Y23" s="197">
        <v>8.0</v>
      </c>
      <c r="Z23" s="198">
        <v>4.0</v>
      </c>
      <c r="AA23" s="153">
        <v>0.17</v>
      </c>
      <c r="AB23" s="52">
        <v>1.0</v>
      </c>
      <c r="AC23" s="52">
        <v>1.0</v>
      </c>
      <c r="AD23" s="52">
        <v>0.0</v>
      </c>
      <c r="AE23" s="109">
        <v>10.0</v>
      </c>
      <c r="AF23" s="110">
        <v>10.0</v>
      </c>
      <c r="AG23" s="111">
        <v>0.25</v>
      </c>
      <c r="AH23" s="52">
        <v>3.0</v>
      </c>
      <c r="AI23" s="52">
        <v>1.0</v>
      </c>
      <c r="AJ23" s="52">
        <v>1.0</v>
      </c>
      <c r="AK23" s="90">
        <v>18.0</v>
      </c>
      <c r="AL23" s="91">
        <v>14.0</v>
      </c>
      <c r="AM23" s="92">
        <v>0.2</v>
      </c>
    </row>
    <row r="24">
      <c r="A24" s="39" t="s">
        <v>62</v>
      </c>
      <c r="B24" s="71" t="s">
        <v>8</v>
      </c>
      <c r="C24" s="41" t="s">
        <v>7</v>
      </c>
      <c r="D24" s="40"/>
      <c r="E24" s="43" t="s">
        <v>6</v>
      </c>
      <c r="F24" s="43" t="s">
        <v>6</v>
      </c>
      <c r="G24" s="43" t="s">
        <v>6</v>
      </c>
      <c r="H24" s="43" t="s">
        <v>6</v>
      </c>
      <c r="I24" s="43" t="s">
        <v>6</v>
      </c>
      <c r="J24" s="43" t="s">
        <v>6</v>
      </c>
      <c r="K24" s="71" t="s">
        <v>8</v>
      </c>
      <c r="L24" s="46"/>
      <c r="M24" s="46"/>
      <c r="N24" s="41" t="s">
        <v>7</v>
      </c>
      <c r="O24" s="40"/>
      <c r="P24" s="46"/>
      <c r="Q24" s="71" t="s">
        <v>8</v>
      </c>
      <c r="R24" s="46"/>
      <c r="S24" s="46"/>
      <c r="T24" s="43" t="s">
        <v>6</v>
      </c>
      <c r="U24" s="95" t="s">
        <v>6</v>
      </c>
      <c r="V24" s="52">
        <v>4.0</v>
      </c>
      <c r="W24" s="52">
        <v>1.0</v>
      </c>
      <c r="X24" s="52">
        <v>3.0</v>
      </c>
      <c r="Y24" s="199">
        <v>22.0</v>
      </c>
      <c r="Z24" s="118">
        <v>10.0</v>
      </c>
      <c r="AA24" s="56">
        <v>0.42</v>
      </c>
      <c r="AB24" s="52">
        <v>4.0</v>
      </c>
      <c r="AC24" s="52">
        <v>1.0</v>
      </c>
      <c r="AD24" s="52">
        <v>0.0</v>
      </c>
      <c r="AE24" s="133">
        <v>22.0</v>
      </c>
      <c r="AF24" s="193">
        <v>22.0</v>
      </c>
      <c r="AG24" s="169">
        <v>0.63</v>
      </c>
      <c r="AH24" s="52">
        <v>8.0</v>
      </c>
      <c r="AI24" s="52">
        <v>2.0</v>
      </c>
      <c r="AJ24" s="52">
        <v>3.0</v>
      </c>
      <c r="AK24" s="188">
        <v>44.0</v>
      </c>
      <c r="AL24" s="200">
        <v>32.0</v>
      </c>
      <c r="AM24" s="61">
        <v>0.5</v>
      </c>
    </row>
    <row r="25">
      <c r="A25" s="39" t="s">
        <v>69</v>
      </c>
      <c r="B25" s="40"/>
      <c r="C25" s="41" t="s">
        <v>7</v>
      </c>
      <c r="D25" s="46"/>
      <c r="E25" s="71" t="s">
        <v>8</v>
      </c>
      <c r="F25" s="40"/>
      <c r="G25" s="41" t="s">
        <v>7</v>
      </c>
      <c r="H25" s="46"/>
      <c r="I25" s="40"/>
      <c r="J25" s="43" t="s">
        <v>6</v>
      </c>
      <c r="K25" s="71" t="s">
        <v>8</v>
      </c>
      <c r="L25" s="71" t="s">
        <v>8</v>
      </c>
      <c r="M25" s="40"/>
      <c r="N25" s="41" t="s">
        <v>7</v>
      </c>
      <c r="O25" s="46"/>
      <c r="P25" s="46"/>
      <c r="Q25" s="43" t="s">
        <v>6</v>
      </c>
      <c r="R25" s="46"/>
      <c r="S25" s="41" t="s">
        <v>7</v>
      </c>
      <c r="T25" s="46"/>
      <c r="U25" s="73" t="s">
        <v>7</v>
      </c>
      <c r="V25" s="52">
        <v>1.0</v>
      </c>
      <c r="W25" s="52">
        <v>3.0</v>
      </c>
      <c r="X25" s="52">
        <v>2.0</v>
      </c>
      <c r="Y25" s="199">
        <v>22.0</v>
      </c>
      <c r="Z25" s="83">
        <v>14.0</v>
      </c>
      <c r="AA25" s="84">
        <v>0.33</v>
      </c>
      <c r="AB25" s="52">
        <v>1.0</v>
      </c>
      <c r="AC25" s="52">
        <v>2.0</v>
      </c>
      <c r="AD25" s="52">
        <v>1.0</v>
      </c>
      <c r="AE25" s="123">
        <v>16.0</v>
      </c>
      <c r="AF25" s="98">
        <v>12.0</v>
      </c>
      <c r="AG25" s="101">
        <v>0.38</v>
      </c>
      <c r="AH25" s="52">
        <v>2.0</v>
      </c>
      <c r="AI25" s="52">
        <v>5.0</v>
      </c>
      <c r="AJ25" s="52">
        <v>3.0</v>
      </c>
      <c r="AK25" s="201">
        <v>38.0</v>
      </c>
      <c r="AL25" s="202">
        <v>26.0</v>
      </c>
      <c r="AM25" s="121">
        <v>0.35</v>
      </c>
    </row>
    <row r="26">
      <c r="A26" s="39" t="s">
        <v>59</v>
      </c>
      <c r="B26" s="41" t="s">
        <v>7</v>
      </c>
      <c r="C26" s="46"/>
      <c r="D26" s="40"/>
      <c r="E26" s="43" t="s">
        <v>6</v>
      </c>
      <c r="F26" s="46"/>
      <c r="G26" s="40"/>
      <c r="H26" s="46"/>
      <c r="I26" s="46"/>
      <c r="J26" s="46"/>
      <c r="K26" s="41" t="s">
        <v>7</v>
      </c>
      <c r="L26" s="71" t="s">
        <v>8</v>
      </c>
      <c r="M26" s="43" t="s">
        <v>6</v>
      </c>
      <c r="N26" s="46"/>
      <c r="O26" s="43" t="s">
        <v>6</v>
      </c>
      <c r="P26" s="40"/>
      <c r="Q26" s="40"/>
      <c r="R26" s="46"/>
      <c r="S26" s="46"/>
      <c r="T26" s="46"/>
      <c r="U26" s="104"/>
      <c r="V26" s="52">
        <v>1.0</v>
      </c>
      <c r="W26" s="52">
        <v>2.0</v>
      </c>
      <c r="X26" s="52">
        <v>1.0</v>
      </c>
      <c r="Y26" s="105">
        <v>16.0</v>
      </c>
      <c r="Z26" s="107">
        <v>12.0</v>
      </c>
      <c r="AA26" s="111">
        <v>0.25</v>
      </c>
      <c r="AB26" s="52">
        <v>2.0</v>
      </c>
      <c r="AC26" s="52">
        <v>0.0</v>
      </c>
      <c r="AD26" s="52">
        <v>0.0</v>
      </c>
      <c r="AE26" s="142">
        <v>8.0</v>
      </c>
      <c r="AF26" s="187">
        <v>8.0</v>
      </c>
      <c r="AG26" s="111">
        <v>0.25</v>
      </c>
      <c r="AH26" s="52">
        <v>3.0</v>
      </c>
      <c r="AI26" s="52">
        <v>2.0</v>
      </c>
      <c r="AJ26" s="52">
        <v>1.0</v>
      </c>
      <c r="AK26" s="203">
        <v>24.0</v>
      </c>
      <c r="AL26" s="205">
        <v>20.0</v>
      </c>
      <c r="AM26" s="111">
        <v>0.25</v>
      </c>
    </row>
    <row r="27">
      <c r="A27" s="39" t="s">
        <v>55</v>
      </c>
      <c r="B27" s="41" t="s">
        <v>7</v>
      </c>
      <c r="C27" s="71" t="s">
        <v>8</v>
      </c>
      <c r="D27" s="40"/>
      <c r="E27" s="43" t="s">
        <v>6</v>
      </c>
      <c r="F27" s="43" t="s">
        <v>6</v>
      </c>
      <c r="G27" s="43" t="s">
        <v>6</v>
      </c>
      <c r="H27" s="46"/>
      <c r="I27" s="46"/>
      <c r="J27" s="43" t="s">
        <v>6</v>
      </c>
      <c r="K27" s="43" t="s">
        <v>6</v>
      </c>
      <c r="L27" s="46"/>
      <c r="M27" s="40"/>
      <c r="N27" s="41" t="s">
        <v>7</v>
      </c>
      <c r="O27" s="46"/>
      <c r="P27" s="46"/>
      <c r="Q27" s="43" t="s">
        <v>6</v>
      </c>
      <c r="R27" s="43" t="s">
        <v>6</v>
      </c>
      <c r="S27" s="46"/>
      <c r="T27" s="43" t="s">
        <v>6</v>
      </c>
      <c r="U27" s="73" t="s">
        <v>7</v>
      </c>
      <c r="V27" s="52">
        <v>4.0</v>
      </c>
      <c r="W27" s="52">
        <v>2.0</v>
      </c>
      <c r="X27" s="52">
        <v>1.0</v>
      </c>
      <c r="Y27" s="53">
        <v>28.0</v>
      </c>
      <c r="Z27" s="208">
        <v>24.0</v>
      </c>
      <c r="AA27" s="61">
        <v>0.5</v>
      </c>
      <c r="AB27" s="52">
        <v>4.0</v>
      </c>
      <c r="AC27" s="52">
        <v>1.0</v>
      </c>
      <c r="AD27" s="52">
        <v>0.0</v>
      </c>
      <c r="AE27" s="133">
        <v>22.0</v>
      </c>
      <c r="AF27" s="193">
        <v>22.0</v>
      </c>
      <c r="AG27" s="116">
        <v>0.63</v>
      </c>
      <c r="AH27" s="52">
        <v>8.0</v>
      </c>
      <c r="AI27" s="52">
        <v>3.0</v>
      </c>
      <c r="AJ27" s="52">
        <v>1.0</v>
      </c>
      <c r="AK27" s="78">
        <v>50.0</v>
      </c>
      <c r="AL27" s="79">
        <v>46.0</v>
      </c>
      <c r="AM27" s="116">
        <v>0.55</v>
      </c>
    </row>
    <row r="28">
      <c r="A28" s="39" t="s">
        <v>76</v>
      </c>
      <c r="B28" s="40"/>
      <c r="C28" s="41" t="s">
        <v>7</v>
      </c>
      <c r="D28" s="46"/>
      <c r="E28" s="46"/>
      <c r="F28" s="40"/>
      <c r="G28" s="46"/>
      <c r="H28" s="40"/>
      <c r="I28" s="41" t="s">
        <v>7</v>
      </c>
      <c r="J28" s="46"/>
      <c r="K28" s="40"/>
      <c r="L28" s="40"/>
      <c r="M28" s="43" t="s">
        <v>6</v>
      </c>
      <c r="N28" s="46"/>
      <c r="O28" s="40"/>
      <c r="P28" s="40"/>
      <c r="Q28" s="40"/>
      <c r="R28" s="40"/>
      <c r="S28" s="41" t="s">
        <v>7</v>
      </c>
      <c r="T28" s="40"/>
      <c r="U28" s="50"/>
      <c r="V28" s="52">
        <v>0.0</v>
      </c>
      <c r="W28" s="52">
        <v>1.0</v>
      </c>
      <c r="X28" s="52">
        <v>0.0</v>
      </c>
      <c r="Y28" s="157">
        <v>6.0</v>
      </c>
      <c r="Z28" s="155">
        <v>6.0</v>
      </c>
      <c r="AA28" s="181">
        <v>0.08</v>
      </c>
      <c r="AB28" s="52">
        <v>1.0</v>
      </c>
      <c r="AC28" s="52">
        <v>2.0</v>
      </c>
      <c r="AD28" s="52">
        <v>0.0</v>
      </c>
      <c r="AE28" s="123">
        <v>16.0</v>
      </c>
      <c r="AF28" s="124">
        <v>16.0</v>
      </c>
      <c r="AG28" s="134">
        <v>0.38</v>
      </c>
      <c r="AH28" s="52">
        <v>1.0</v>
      </c>
      <c r="AI28" s="52">
        <v>3.0</v>
      </c>
      <c r="AJ28" s="52">
        <v>0.0</v>
      </c>
      <c r="AK28" s="142">
        <v>22.0</v>
      </c>
      <c r="AL28" s="113">
        <v>22.0</v>
      </c>
      <c r="AM28" s="134">
        <v>0.2</v>
      </c>
    </row>
    <row r="29">
      <c r="A29" s="39" t="s">
        <v>66</v>
      </c>
      <c r="B29" s="46"/>
      <c r="C29" s="46"/>
      <c r="D29" s="40"/>
      <c r="E29" s="46"/>
      <c r="F29" s="40"/>
      <c r="G29" s="46"/>
      <c r="H29" s="43" t="s">
        <v>6</v>
      </c>
      <c r="I29" s="46"/>
      <c r="J29" s="43" t="s">
        <v>6</v>
      </c>
      <c r="K29" s="46"/>
      <c r="L29" s="71" t="s">
        <v>8</v>
      </c>
      <c r="M29" s="46"/>
      <c r="N29" s="46"/>
      <c r="O29" s="46"/>
      <c r="P29" s="40"/>
      <c r="Q29" s="40"/>
      <c r="R29" s="40"/>
      <c r="S29" s="40"/>
      <c r="T29" s="46"/>
      <c r="U29" s="50"/>
      <c r="V29" s="52">
        <v>1.0</v>
      </c>
      <c r="W29" s="52">
        <v>0.0</v>
      </c>
      <c r="X29" s="52">
        <v>1.0</v>
      </c>
      <c r="Y29" s="211">
        <v>4.0</v>
      </c>
      <c r="Z29" s="172">
        <v>0.0</v>
      </c>
      <c r="AA29" s="181">
        <v>0.08</v>
      </c>
      <c r="AB29" s="52">
        <v>1.0</v>
      </c>
      <c r="AC29" s="52">
        <v>0.0</v>
      </c>
      <c r="AD29" s="52">
        <v>0.0</v>
      </c>
      <c r="AE29" s="154">
        <v>4.0</v>
      </c>
      <c r="AF29" s="155">
        <v>4.0</v>
      </c>
      <c r="AG29" s="140">
        <v>0.13</v>
      </c>
      <c r="AH29" s="52">
        <v>2.0</v>
      </c>
      <c r="AI29" s="52">
        <v>0.0</v>
      </c>
      <c r="AJ29" s="52">
        <v>1.0</v>
      </c>
      <c r="AK29" s="212">
        <v>8.0</v>
      </c>
      <c r="AL29" s="213">
        <v>4.0</v>
      </c>
      <c r="AM29" s="140">
        <v>0.1</v>
      </c>
    </row>
    <row r="30">
      <c r="A30" s="39" t="s">
        <v>73</v>
      </c>
      <c r="B30" s="43" t="s">
        <v>6</v>
      </c>
      <c r="C30" s="43" t="s">
        <v>6</v>
      </c>
      <c r="D30" s="46"/>
      <c r="E30" s="41" t="s">
        <v>7</v>
      </c>
      <c r="F30" s="43" t="s">
        <v>6</v>
      </c>
      <c r="G30" s="41" t="s">
        <v>7</v>
      </c>
      <c r="H30" s="46"/>
      <c r="I30" s="46"/>
      <c r="J30" s="71" t="s">
        <v>8</v>
      </c>
      <c r="K30" s="40"/>
      <c r="L30" s="46"/>
      <c r="M30" s="43" t="s">
        <v>6</v>
      </c>
      <c r="N30" s="41" t="s">
        <v>7</v>
      </c>
      <c r="O30" s="46"/>
      <c r="P30" s="71" t="s">
        <v>8</v>
      </c>
      <c r="Q30" s="43" t="s">
        <v>6</v>
      </c>
      <c r="R30" s="43" t="s">
        <v>6</v>
      </c>
      <c r="S30" s="43" t="s">
        <v>6</v>
      </c>
      <c r="T30" s="46"/>
      <c r="U30" s="73" t="s">
        <v>7</v>
      </c>
      <c r="V30" s="52">
        <v>3.0</v>
      </c>
      <c r="W30" s="52">
        <v>2.0</v>
      </c>
      <c r="X30" s="52">
        <v>1.0</v>
      </c>
      <c r="Y30" s="214">
        <v>24.0</v>
      </c>
      <c r="Z30" s="120">
        <v>20.0</v>
      </c>
      <c r="AA30" s="56">
        <v>0.42</v>
      </c>
      <c r="AB30" s="52">
        <v>4.0</v>
      </c>
      <c r="AC30" s="52">
        <v>2.0</v>
      </c>
      <c r="AD30" s="52">
        <v>1.0</v>
      </c>
      <c r="AE30" s="215">
        <v>28.0</v>
      </c>
      <c r="AF30" s="168">
        <v>24.0</v>
      </c>
      <c r="AG30" s="75">
        <v>0.75</v>
      </c>
      <c r="AH30" s="52">
        <v>7.0</v>
      </c>
      <c r="AI30" s="52">
        <v>4.0</v>
      </c>
      <c r="AJ30" s="52">
        <v>2.0</v>
      </c>
      <c r="AK30" s="216">
        <v>52.0</v>
      </c>
      <c r="AL30" s="217">
        <v>44.0</v>
      </c>
      <c r="AM30" s="75">
        <v>0.55</v>
      </c>
    </row>
    <row r="31">
      <c r="A31" s="39" t="s">
        <v>32</v>
      </c>
      <c r="B31" s="41" t="s">
        <v>7</v>
      </c>
      <c r="C31" s="41" t="s">
        <v>7</v>
      </c>
      <c r="D31" s="41" t="s">
        <v>7</v>
      </c>
      <c r="E31" s="41" t="s">
        <v>7</v>
      </c>
      <c r="F31" s="71" t="s">
        <v>8</v>
      </c>
      <c r="G31" s="41" t="s">
        <v>7</v>
      </c>
      <c r="H31" s="43" t="s">
        <v>6</v>
      </c>
      <c r="I31" s="41" t="s">
        <v>7</v>
      </c>
      <c r="J31" s="41" t="s">
        <v>7</v>
      </c>
      <c r="K31" s="71" t="s">
        <v>8</v>
      </c>
      <c r="L31" s="41" t="s">
        <v>7</v>
      </c>
      <c r="M31" s="43" t="s">
        <v>6</v>
      </c>
      <c r="N31" s="41" t="s">
        <v>7</v>
      </c>
      <c r="O31" s="46"/>
      <c r="P31" s="41" t="s">
        <v>7</v>
      </c>
      <c r="Q31" s="71" t="s">
        <v>8</v>
      </c>
      <c r="R31" s="43" t="s">
        <v>6</v>
      </c>
      <c r="S31" s="41" t="s">
        <v>7</v>
      </c>
      <c r="T31" s="41" t="s">
        <v>7</v>
      </c>
      <c r="U31" s="73" t="s">
        <v>7</v>
      </c>
      <c r="V31" s="52">
        <v>1.0</v>
      </c>
      <c r="W31" s="52">
        <v>8.0</v>
      </c>
      <c r="X31" s="52">
        <v>2.0</v>
      </c>
      <c r="Y31" s="128">
        <v>52.0</v>
      </c>
      <c r="Z31" s="129">
        <v>44.0</v>
      </c>
      <c r="AA31" s="130">
        <v>0.75</v>
      </c>
      <c r="AB31" s="52">
        <v>2.0</v>
      </c>
      <c r="AC31" s="52">
        <v>5.0</v>
      </c>
      <c r="AD31" s="52">
        <v>1.0</v>
      </c>
      <c r="AE31" s="128">
        <v>38.0</v>
      </c>
      <c r="AF31" s="129">
        <v>34.0</v>
      </c>
      <c r="AG31" s="140">
        <v>0.88</v>
      </c>
      <c r="AH31" s="52">
        <v>3.0</v>
      </c>
      <c r="AI31" s="52">
        <v>13.0</v>
      </c>
      <c r="AJ31" s="52">
        <v>3.0</v>
      </c>
      <c r="AK31" s="128">
        <v>90.0</v>
      </c>
      <c r="AL31" s="219">
        <v>78.0</v>
      </c>
      <c r="AM31" s="140">
        <v>0.8</v>
      </c>
    </row>
    <row r="32">
      <c r="A32" s="39" t="s">
        <v>79</v>
      </c>
      <c r="B32" s="40"/>
      <c r="C32" s="46"/>
      <c r="D32" s="40"/>
      <c r="E32" s="46"/>
      <c r="F32" s="40"/>
      <c r="G32" s="46"/>
      <c r="H32" s="40"/>
      <c r="I32" s="46"/>
      <c r="J32" s="40"/>
      <c r="K32" s="46"/>
      <c r="L32" s="46"/>
      <c r="M32" s="46"/>
      <c r="N32" s="40"/>
      <c r="O32" s="43" t="s">
        <v>6</v>
      </c>
      <c r="P32" s="40"/>
      <c r="Q32" s="46"/>
      <c r="R32" s="46"/>
      <c r="S32" s="71" t="s">
        <v>8</v>
      </c>
      <c r="T32" s="46"/>
      <c r="U32" s="220" t="s">
        <v>8</v>
      </c>
      <c r="V32" s="52">
        <v>1.0</v>
      </c>
      <c r="W32" s="52">
        <v>0.0</v>
      </c>
      <c r="X32" s="52">
        <v>1.0</v>
      </c>
      <c r="Y32" s="211">
        <v>4.0</v>
      </c>
      <c r="Z32" s="172">
        <v>0.0</v>
      </c>
      <c r="AA32" s="181">
        <v>0.08</v>
      </c>
      <c r="AB32" s="52">
        <v>0.0</v>
      </c>
      <c r="AC32" s="52">
        <v>0.0</v>
      </c>
      <c r="AD32" s="52">
        <v>1.0</v>
      </c>
      <c r="AE32" s="85">
        <v>0.0</v>
      </c>
      <c r="AF32" s="85">
        <v>-4.0</v>
      </c>
      <c r="AG32" s="134">
        <v>0.0</v>
      </c>
      <c r="AH32" s="52">
        <v>1.0</v>
      </c>
      <c r="AI32" s="52">
        <v>0.0</v>
      </c>
      <c r="AJ32" s="52">
        <v>2.0</v>
      </c>
      <c r="AK32" s="85">
        <v>4.0</v>
      </c>
      <c r="AL32" s="85">
        <v>-4.0</v>
      </c>
      <c r="AM32" s="134">
        <v>0.05</v>
      </c>
    </row>
    <row r="33">
      <c r="A33" s="39" t="s">
        <v>74</v>
      </c>
      <c r="B33" s="41" t="s">
        <v>7</v>
      </c>
      <c r="C33" s="41" t="s">
        <v>7</v>
      </c>
      <c r="D33" s="40"/>
      <c r="E33" s="43" t="s">
        <v>6</v>
      </c>
      <c r="F33" s="40"/>
      <c r="G33" s="41" t="s">
        <v>7</v>
      </c>
      <c r="H33" s="40"/>
      <c r="I33" s="40"/>
      <c r="J33" s="40"/>
      <c r="K33" s="40"/>
      <c r="L33" s="46"/>
      <c r="M33" s="46"/>
      <c r="N33" s="46"/>
      <c r="O33" s="46"/>
      <c r="P33" s="46"/>
      <c r="Q33" s="41" t="s">
        <v>7</v>
      </c>
      <c r="R33" s="43" t="s">
        <v>6</v>
      </c>
      <c r="S33" s="46"/>
      <c r="T33" s="41" t="s">
        <v>7</v>
      </c>
      <c r="U33" s="73" t="s">
        <v>7</v>
      </c>
      <c r="V33" s="52">
        <v>0.0</v>
      </c>
      <c r="W33" s="52">
        <v>6.0</v>
      </c>
      <c r="X33" s="52">
        <v>0.0</v>
      </c>
      <c r="Y33" s="191">
        <v>36.0</v>
      </c>
      <c r="Z33" s="192">
        <v>36.0</v>
      </c>
      <c r="AA33" s="61">
        <v>0.5</v>
      </c>
      <c r="AB33" s="52">
        <v>2.0</v>
      </c>
      <c r="AC33" s="52">
        <v>0.0</v>
      </c>
      <c r="AD33" s="52">
        <v>0.0</v>
      </c>
      <c r="AE33" s="142">
        <v>8.0</v>
      </c>
      <c r="AF33" s="187">
        <v>8.0</v>
      </c>
      <c r="AG33" s="116">
        <v>0.25</v>
      </c>
      <c r="AH33" s="52">
        <v>2.0</v>
      </c>
      <c r="AI33" s="52">
        <v>6.0</v>
      </c>
      <c r="AJ33" s="52">
        <v>0.0</v>
      </c>
      <c r="AK33" s="188">
        <v>44.0</v>
      </c>
      <c r="AL33" s="217">
        <v>44.0</v>
      </c>
      <c r="AM33" s="116">
        <v>0.4</v>
      </c>
    </row>
    <row r="34">
      <c r="A34" s="39" t="s">
        <v>57</v>
      </c>
      <c r="B34" s="46"/>
      <c r="C34" s="46"/>
      <c r="D34" s="46"/>
      <c r="E34" s="71" t="s">
        <v>8</v>
      </c>
      <c r="F34" s="41" t="s">
        <v>7</v>
      </c>
      <c r="G34" s="40"/>
      <c r="H34" s="40"/>
      <c r="I34" s="46"/>
      <c r="J34" s="43" t="s">
        <v>6</v>
      </c>
      <c r="K34" s="43" t="s">
        <v>6</v>
      </c>
      <c r="L34" s="40"/>
      <c r="M34" s="40"/>
      <c r="N34" s="41" t="s">
        <v>7</v>
      </c>
      <c r="O34" s="46"/>
      <c r="P34" s="71" t="s">
        <v>8</v>
      </c>
      <c r="Q34" s="40"/>
      <c r="R34" s="40"/>
      <c r="S34" s="41" t="s">
        <v>7</v>
      </c>
      <c r="T34" s="46"/>
      <c r="U34" s="50"/>
      <c r="V34" s="52">
        <v>1.0</v>
      </c>
      <c r="W34" s="52">
        <v>0.0</v>
      </c>
      <c r="X34" s="52">
        <v>1.0</v>
      </c>
      <c r="Y34" s="211">
        <v>4.0</v>
      </c>
      <c r="Z34" s="172">
        <v>0.0</v>
      </c>
      <c r="AA34" s="181">
        <v>0.08</v>
      </c>
      <c r="AB34" s="52">
        <v>1.0</v>
      </c>
      <c r="AC34" s="52">
        <v>3.0</v>
      </c>
      <c r="AD34" s="52">
        <v>1.0</v>
      </c>
      <c r="AE34" s="133">
        <v>22.0</v>
      </c>
      <c r="AF34" s="135">
        <v>18.0</v>
      </c>
      <c r="AG34" s="116">
        <v>0.5</v>
      </c>
      <c r="AH34" s="52">
        <v>2.0</v>
      </c>
      <c r="AI34" s="52">
        <v>3.0</v>
      </c>
      <c r="AJ34" s="52">
        <v>2.0</v>
      </c>
      <c r="AK34" s="112">
        <v>26.0</v>
      </c>
      <c r="AL34" s="182">
        <v>18.0</v>
      </c>
      <c r="AM34" s="116">
        <v>0.25</v>
      </c>
    </row>
    <row r="35">
      <c r="A35" s="39" t="s">
        <v>50</v>
      </c>
      <c r="B35" s="41" t="s">
        <v>7</v>
      </c>
      <c r="C35" s="46"/>
      <c r="D35" s="40"/>
      <c r="E35" s="43" t="s">
        <v>6</v>
      </c>
      <c r="F35" s="43" t="s">
        <v>6</v>
      </c>
      <c r="G35" s="71" t="s">
        <v>8</v>
      </c>
      <c r="H35" s="43" t="s">
        <v>6</v>
      </c>
      <c r="I35" s="46"/>
      <c r="J35" s="43" t="s">
        <v>6</v>
      </c>
      <c r="K35" s="43" t="s">
        <v>6</v>
      </c>
      <c r="L35" s="43" t="s">
        <v>6</v>
      </c>
      <c r="M35" s="43" t="s">
        <v>6</v>
      </c>
      <c r="N35" s="41" t="s">
        <v>7</v>
      </c>
      <c r="O35" s="46"/>
      <c r="P35" s="40"/>
      <c r="Q35" s="40"/>
      <c r="R35" s="40"/>
      <c r="S35" s="40"/>
      <c r="T35" s="46"/>
      <c r="U35" s="50"/>
      <c r="V35" s="52">
        <v>3.0</v>
      </c>
      <c r="W35" s="52">
        <v>1.0</v>
      </c>
      <c r="X35" s="52">
        <v>1.0</v>
      </c>
      <c r="Y35" s="82">
        <v>18.0</v>
      </c>
      <c r="Z35" s="83">
        <v>14.0</v>
      </c>
      <c r="AA35" s="84">
        <v>0.33</v>
      </c>
      <c r="AB35" s="52">
        <v>4.0</v>
      </c>
      <c r="AC35" s="52">
        <v>1.0</v>
      </c>
      <c r="AD35" s="52">
        <v>0.0</v>
      </c>
      <c r="AE35" s="133">
        <v>22.0</v>
      </c>
      <c r="AF35" s="193">
        <v>22.0</v>
      </c>
      <c r="AG35" s="116">
        <v>0.63</v>
      </c>
      <c r="AH35" s="52">
        <v>7.0</v>
      </c>
      <c r="AI35" s="52">
        <v>2.0</v>
      </c>
      <c r="AJ35" s="52">
        <v>1.0</v>
      </c>
      <c r="AK35" s="102">
        <v>40.0</v>
      </c>
      <c r="AL35" s="189">
        <v>36.0</v>
      </c>
      <c r="AM35" s="116">
        <v>0.45</v>
      </c>
    </row>
    <row r="36">
      <c r="A36" s="39" t="s">
        <v>65</v>
      </c>
      <c r="B36" s="40"/>
      <c r="C36" s="41" t="s">
        <v>7</v>
      </c>
      <c r="D36" s="46"/>
      <c r="E36" s="46"/>
      <c r="F36" s="46"/>
      <c r="G36" s="46"/>
      <c r="H36" s="40"/>
      <c r="I36" s="40"/>
      <c r="J36" s="46"/>
      <c r="K36" s="46"/>
      <c r="L36" s="46"/>
      <c r="M36" s="46"/>
      <c r="N36" s="46"/>
      <c r="O36" s="46"/>
      <c r="P36" s="46"/>
      <c r="Q36" s="40"/>
      <c r="R36" s="41" t="s">
        <v>7</v>
      </c>
      <c r="S36" s="41" t="s">
        <v>7</v>
      </c>
      <c r="T36" s="40"/>
      <c r="U36" s="73" t="s">
        <v>7</v>
      </c>
      <c r="V36" s="52">
        <v>0.0</v>
      </c>
      <c r="W36" s="52">
        <v>2.0</v>
      </c>
      <c r="X36" s="52">
        <v>0.0</v>
      </c>
      <c r="Y36" s="141">
        <v>12.0</v>
      </c>
      <c r="Z36" s="107">
        <v>12.0</v>
      </c>
      <c r="AA36" s="153">
        <v>0.17</v>
      </c>
      <c r="AB36" s="52">
        <v>0.0</v>
      </c>
      <c r="AC36" s="52">
        <v>2.0</v>
      </c>
      <c r="AD36" s="52">
        <v>0.0</v>
      </c>
      <c r="AE36" s="96">
        <v>12.0</v>
      </c>
      <c r="AF36" s="98">
        <v>12.0</v>
      </c>
      <c r="AG36" s="75">
        <v>0.25</v>
      </c>
      <c r="AH36" s="52">
        <v>0.0</v>
      </c>
      <c r="AI36" s="52">
        <v>4.0</v>
      </c>
      <c r="AJ36" s="52">
        <v>0.0</v>
      </c>
      <c r="AK36" s="203">
        <v>24.0</v>
      </c>
      <c r="AL36" s="223">
        <v>24.0</v>
      </c>
      <c r="AM36" s="75">
        <v>0.2</v>
      </c>
    </row>
    <row r="37">
      <c r="A37" s="39" t="s">
        <v>61</v>
      </c>
      <c r="B37" s="41" t="s">
        <v>7</v>
      </c>
      <c r="C37" s="41" t="s">
        <v>7</v>
      </c>
      <c r="D37" s="40"/>
      <c r="E37" s="41" t="s">
        <v>7</v>
      </c>
      <c r="F37" s="43" t="s">
        <v>6</v>
      </c>
      <c r="G37" s="41" t="s">
        <v>7</v>
      </c>
      <c r="H37" s="40"/>
      <c r="I37" s="71" t="s">
        <v>8</v>
      </c>
      <c r="J37" s="41" t="s">
        <v>7</v>
      </c>
      <c r="K37" s="41" t="s">
        <v>7</v>
      </c>
      <c r="L37" s="71" t="s">
        <v>8</v>
      </c>
      <c r="M37" s="41" t="s">
        <v>7</v>
      </c>
      <c r="N37" s="41" t="s">
        <v>7</v>
      </c>
      <c r="O37" s="71" t="s">
        <v>8</v>
      </c>
      <c r="P37" s="71" t="s">
        <v>8</v>
      </c>
      <c r="Q37" s="41" t="s">
        <v>7</v>
      </c>
      <c r="R37" s="71" t="s">
        <v>8</v>
      </c>
      <c r="S37" s="71" t="s">
        <v>8</v>
      </c>
      <c r="T37" s="71" t="s">
        <v>8</v>
      </c>
      <c r="U37" s="220" t="s">
        <v>8</v>
      </c>
      <c r="V37" s="52">
        <v>0.0</v>
      </c>
      <c r="W37" s="52">
        <v>5.0</v>
      </c>
      <c r="X37" s="52">
        <v>5.0</v>
      </c>
      <c r="Y37" s="76">
        <v>30.0</v>
      </c>
      <c r="Z37" s="118">
        <v>10.0</v>
      </c>
      <c r="AA37" s="56">
        <v>0.42</v>
      </c>
      <c r="AB37" s="52">
        <v>1.0</v>
      </c>
      <c r="AC37" s="52">
        <v>4.0</v>
      </c>
      <c r="AD37" s="52">
        <v>3.0</v>
      </c>
      <c r="AE37" s="215">
        <v>28.0</v>
      </c>
      <c r="AF37" s="124">
        <v>16.0</v>
      </c>
      <c r="AG37" s="75">
        <v>0.63</v>
      </c>
      <c r="AH37" s="52">
        <v>1.0</v>
      </c>
      <c r="AI37" s="52">
        <v>9.0</v>
      </c>
      <c r="AJ37" s="52">
        <v>8.0</v>
      </c>
      <c r="AK37" s="194">
        <v>58.0</v>
      </c>
      <c r="AL37" s="202">
        <v>26.0</v>
      </c>
      <c r="AM37" s="75">
        <v>0.5</v>
      </c>
    </row>
    <row r="38">
      <c r="A38" s="39" t="s">
        <v>44</v>
      </c>
      <c r="B38" s="40"/>
      <c r="C38" s="46"/>
      <c r="D38" s="46"/>
      <c r="E38" s="46"/>
      <c r="F38" s="40"/>
      <c r="G38" s="40"/>
      <c r="H38" s="43" t="s">
        <v>6</v>
      </c>
      <c r="I38" s="71" t="s">
        <v>8</v>
      </c>
      <c r="J38" s="46"/>
      <c r="K38" s="46"/>
      <c r="L38" s="40"/>
      <c r="M38" s="40"/>
      <c r="N38" s="40"/>
      <c r="O38" s="46"/>
      <c r="P38" s="71" t="s">
        <v>8</v>
      </c>
      <c r="Q38" s="46"/>
      <c r="R38" s="43" t="s">
        <v>6</v>
      </c>
      <c r="S38" s="43" t="s">
        <v>6</v>
      </c>
      <c r="T38" s="46"/>
      <c r="U38" s="50"/>
      <c r="V38" s="52">
        <v>1.0</v>
      </c>
      <c r="W38" s="52">
        <v>0.0</v>
      </c>
      <c r="X38" s="52">
        <v>1.0</v>
      </c>
      <c r="Y38" s="211">
        <v>4.0</v>
      </c>
      <c r="Z38" s="172">
        <v>0.0</v>
      </c>
      <c r="AA38" s="181">
        <v>0.08</v>
      </c>
      <c r="AB38" s="52">
        <v>2.0</v>
      </c>
      <c r="AC38" s="52">
        <v>0.0</v>
      </c>
      <c r="AD38" s="52">
        <v>1.0</v>
      </c>
      <c r="AE38" s="142">
        <v>8.0</v>
      </c>
      <c r="AF38" s="155">
        <v>4.0</v>
      </c>
      <c r="AG38" s="116">
        <v>0.25</v>
      </c>
      <c r="AH38" s="52">
        <v>3.0</v>
      </c>
      <c r="AI38" s="52">
        <v>0.0</v>
      </c>
      <c r="AJ38" s="52">
        <v>2.0</v>
      </c>
      <c r="AK38" s="229">
        <v>12.0</v>
      </c>
      <c r="AL38" s="213">
        <v>4.0</v>
      </c>
      <c r="AM38" s="116">
        <v>0.15</v>
      </c>
    </row>
    <row r="39">
      <c r="A39" s="39" t="s">
        <v>46</v>
      </c>
      <c r="B39" s="40"/>
      <c r="C39" s="40"/>
      <c r="D39" s="40"/>
      <c r="E39" s="40"/>
      <c r="F39" s="40"/>
      <c r="G39" s="40"/>
      <c r="H39" s="40"/>
      <c r="I39" s="40"/>
      <c r="J39" s="43" t="s">
        <v>6</v>
      </c>
      <c r="K39" s="40"/>
      <c r="L39" s="43" t="s">
        <v>6</v>
      </c>
      <c r="M39" s="40"/>
      <c r="N39" s="40"/>
      <c r="O39" s="40"/>
      <c r="P39" s="40"/>
      <c r="Q39" s="71" t="s">
        <v>8</v>
      </c>
      <c r="R39" s="43" t="s">
        <v>6</v>
      </c>
      <c r="S39" s="41" t="s">
        <v>7</v>
      </c>
      <c r="T39" s="46"/>
      <c r="U39" s="50"/>
      <c r="V39" s="52">
        <v>1.0</v>
      </c>
      <c r="W39" s="52">
        <v>0.0</v>
      </c>
      <c r="X39" s="52">
        <v>1.0</v>
      </c>
      <c r="Y39" s="211">
        <v>4.0</v>
      </c>
      <c r="Z39" s="172">
        <v>0.0</v>
      </c>
      <c r="AA39" s="181">
        <v>0.08</v>
      </c>
      <c r="AB39" s="52">
        <v>2.0</v>
      </c>
      <c r="AC39" s="52">
        <v>1.0</v>
      </c>
      <c r="AD39" s="52">
        <v>0.0</v>
      </c>
      <c r="AE39" s="233">
        <v>14.0</v>
      </c>
      <c r="AF39" s="235">
        <v>14.0</v>
      </c>
      <c r="AG39" s="207">
        <v>0.38</v>
      </c>
      <c r="AH39" s="52">
        <v>3.0</v>
      </c>
      <c r="AI39" s="52">
        <v>1.0</v>
      </c>
      <c r="AJ39" s="52">
        <v>1.0</v>
      </c>
      <c r="AK39" s="90">
        <v>18.0</v>
      </c>
      <c r="AL39" s="91">
        <v>14.0</v>
      </c>
      <c r="AM39" s="207">
        <v>0.2</v>
      </c>
    </row>
    <row r="40">
      <c r="A40" s="39" t="s">
        <v>70</v>
      </c>
      <c r="B40" s="41" t="s">
        <v>7</v>
      </c>
      <c r="C40" s="41" t="s">
        <v>7</v>
      </c>
      <c r="D40" s="43" t="s">
        <v>6</v>
      </c>
      <c r="E40" s="41" t="s">
        <v>7</v>
      </c>
      <c r="F40" s="43" t="s">
        <v>6</v>
      </c>
      <c r="G40" s="43" t="s">
        <v>6</v>
      </c>
      <c r="H40" s="46"/>
      <c r="I40" s="43" t="s">
        <v>6</v>
      </c>
      <c r="J40" s="40"/>
      <c r="K40" s="41" t="s">
        <v>7</v>
      </c>
      <c r="L40" s="46"/>
      <c r="M40" s="40"/>
      <c r="N40" s="41" t="s">
        <v>7</v>
      </c>
      <c r="O40" s="41" t="s">
        <v>7</v>
      </c>
      <c r="P40" s="46"/>
      <c r="Q40" s="41" t="s">
        <v>7</v>
      </c>
      <c r="R40" s="46"/>
      <c r="S40" s="46"/>
      <c r="T40" s="71" t="s">
        <v>8</v>
      </c>
      <c r="U40" s="73" t="s">
        <v>7</v>
      </c>
      <c r="V40" s="52">
        <v>2.0</v>
      </c>
      <c r="W40" s="52">
        <v>6.0</v>
      </c>
      <c r="X40" s="52">
        <v>1.0</v>
      </c>
      <c r="Y40" s="164">
        <v>44.0</v>
      </c>
      <c r="Z40" s="165">
        <v>40.0</v>
      </c>
      <c r="AA40" s="166">
        <v>0.67</v>
      </c>
      <c r="AB40" s="52">
        <v>2.0</v>
      </c>
      <c r="AC40" s="52">
        <v>2.0</v>
      </c>
      <c r="AD40" s="52">
        <v>0.0</v>
      </c>
      <c r="AE40" s="58">
        <v>20.0</v>
      </c>
      <c r="AF40" s="59">
        <v>20.0</v>
      </c>
      <c r="AG40" s="70">
        <v>0.5</v>
      </c>
      <c r="AH40" s="52">
        <v>4.0</v>
      </c>
      <c r="AI40" s="52">
        <v>8.0</v>
      </c>
      <c r="AJ40" s="52">
        <v>1.0</v>
      </c>
      <c r="AK40" s="236">
        <v>64.0</v>
      </c>
      <c r="AL40" s="237">
        <v>60.0</v>
      </c>
      <c r="AM40" s="70">
        <v>0.6</v>
      </c>
    </row>
    <row r="41">
      <c r="A41" s="39" t="s">
        <v>49</v>
      </c>
      <c r="B41" s="46"/>
      <c r="C41" s="40"/>
      <c r="D41" s="41" t="s">
        <v>7</v>
      </c>
      <c r="E41" s="41" t="s">
        <v>7</v>
      </c>
      <c r="F41" s="71" t="s">
        <v>8</v>
      </c>
      <c r="G41" s="40"/>
      <c r="H41" s="40"/>
      <c r="I41" s="40"/>
      <c r="J41" s="41" t="s">
        <v>7</v>
      </c>
      <c r="K41" s="40"/>
      <c r="L41" s="43" t="s">
        <v>6</v>
      </c>
      <c r="M41" s="40"/>
      <c r="N41" s="43" t="s">
        <v>6</v>
      </c>
      <c r="O41" s="40"/>
      <c r="P41" s="40"/>
      <c r="Q41" s="46"/>
      <c r="R41" s="46"/>
      <c r="S41" s="40"/>
      <c r="T41" s="46"/>
      <c r="U41" s="73" t="s">
        <v>7</v>
      </c>
      <c r="V41" s="52">
        <v>1.0</v>
      </c>
      <c r="W41" s="52">
        <v>2.0</v>
      </c>
      <c r="X41" s="52">
        <v>0.0</v>
      </c>
      <c r="Y41" s="105">
        <v>16.0</v>
      </c>
      <c r="Z41" s="238">
        <v>16.0</v>
      </c>
      <c r="AA41" s="111">
        <v>0.25</v>
      </c>
      <c r="AB41" s="52">
        <v>1.0</v>
      </c>
      <c r="AC41" s="52">
        <v>2.0</v>
      </c>
      <c r="AD41" s="52">
        <v>1.0</v>
      </c>
      <c r="AE41" s="123">
        <v>16.0</v>
      </c>
      <c r="AF41" s="98">
        <v>12.0</v>
      </c>
      <c r="AG41" s="100">
        <v>0.38</v>
      </c>
      <c r="AH41" s="52">
        <v>2.0</v>
      </c>
      <c r="AI41" s="52">
        <v>4.0</v>
      </c>
      <c r="AJ41" s="52">
        <v>1.0</v>
      </c>
      <c r="AK41" s="239">
        <v>32.0</v>
      </c>
      <c r="AL41" s="240">
        <v>28.0</v>
      </c>
      <c r="AM41" s="100">
        <v>0.3</v>
      </c>
    </row>
    <row r="42">
      <c r="A42" s="39" t="s">
        <v>42</v>
      </c>
      <c r="B42" s="43" t="s">
        <v>6</v>
      </c>
      <c r="C42" s="43" t="s">
        <v>6</v>
      </c>
      <c r="D42" s="40"/>
      <c r="E42" s="46"/>
      <c r="F42" s="46"/>
      <c r="G42" s="43" t="s">
        <v>6</v>
      </c>
      <c r="H42" s="46"/>
      <c r="I42" s="43" t="s">
        <v>6</v>
      </c>
      <c r="J42" s="40"/>
      <c r="K42" s="46"/>
      <c r="L42" s="46"/>
      <c r="M42" s="43" t="s">
        <v>6</v>
      </c>
      <c r="N42" s="40"/>
      <c r="O42" s="46"/>
      <c r="P42" s="46"/>
      <c r="Q42" s="40"/>
      <c r="R42" s="43" t="s">
        <v>6</v>
      </c>
      <c r="S42" s="41" t="s">
        <v>7</v>
      </c>
      <c r="T42" s="43" t="s">
        <v>6</v>
      </c>
      <c r="U42" s="104"/>
      <c r="V42" s="52">
        <v>4.0</v>
      </c>
      <c r="W42" s="52">
        <v>0.0</v>
      </c>
      <c r="X42" s="52">
        <v>0.0</v>
      </c>
      <c r="Y42" s="105">
        <v>16.0</v>
      </c>
      <c r="Z42" s="238">
        <v>16.0</v>
      </c>
      <c r="AA42" s="84">
        <v>0.33</v>
      </c>
      <c r="AB42" s="52">
        <v>3.0</v>
      </c>
      <c r="AC42" s="52">
        <v>1.0</v>
      </c>
      <c r="AD42" s="52">
        <v>0.0</v>
      </c>
      <c r="AE42" s="148">
        <v>18.0</v>
      </c>
      <c r="AF42" s="135">
        <v>18.0</v>
      </c>
      <c r="AG42" s="75">
        <v>0.5</v>
      </c>
      <c r="AH42" s="52">
        <v>7.0</v>
      </c>
      <c r="AI42" s="52">
        <v>1.0</v>
      </c>
      <c r="AJ42" s="52">
        <v>0.0</v>
      </c>
      <c r="AK42" s="82">
        <v>34.0</v>
      </c>
      <c r="AL42" s="241">
        <v>34.0</v>
      </c>
      <c r="AM42" s="75">
        <v>0.4</v>
      </c>
    </row>
    <row r="43">
      <c r="A43" s="39" t="s">
        <v>77</v>
      </c>
      <c r="B43" s="46"/>
      <c r="C43" s="46"/>
      <c r="D43" s="46"/>
      <c r="E43" s="71" t="s">
        <v>8</v>
      </c>
      <c r="F43" s="40"/>
      <c r="G43" s="41" t="s">
        <v>7</v>
      </c>
      <c r="H43" s="40"/>
      <c r="I43" s="46"/>
      <c r="J43" s="40"/>
      <c r="K43" s="46"/>
      <c r="L43" s="46"/>
      <c r="M43" s="46"/>
      <c r="N43" s="46"/>
      <c r="O43" s="46"/>
      <c r="P43" s="46"/>
      <c r="Q43" s="43" t="s">
        <v>6</v>
      </c>
      <c r="R43" s="46"/>
      <c r="S43" s="41" t="s">
        <v>7</v>
      </c>
      <c r="T43" s="41" t="s">
        <v>7</v>
      </c>
      <c r="U43" s="50"/>
      <c r="V43" s="52">
        <v>1.0</v>
      </c>
      <c r="W43" s="52">
        <v>2.0</v>
      </c>
      <c r="X43" s="52">
        <v>0.0</v>
      </c>
      <c r="Y43" s="105">
        <v>16.0</v>
      </c>
      <c r="Z43" s="238">
        <v>16.0</v>
      </c>
      <c r="AA43" s="111">
        <v>0.25</v>
      </c>
      <c r="AB43" s="52">
        <v>0.0</v>
      </c>
      <c r="AC43" s="52">
        <v>1.0</v>
      </c>
      <c r="AD43" s="52">
        <v>1.0</v>
      </c>
      <c r="AE43" s="72">
        <v>6.0</v>
      </c>
      <c r="AF43" s="242">
        <v>2.0</v>
      </c>
      <c r="AG43" s="87">
        <v>0.13</v>
      </c>
      <c r="AH43" s="52">
        <v>1.0</v>
      </c>
      <c r="AI43" s="52">
        <v>3.0</v>
      </c>
      <c r="AJ43" s="52">
        <v>1.0</v>
      </c>
      <c r="AK43" s="142">
        <v>22.0</v>
      </c>
      <c r="AL43" s="182">
        <v>18.0</v>
      </c>
      <c r="AM43" s="87">
        <v>0.2</v>
      </c>
    </row>
    <row r="44">
      <c r="A44" s="39" t="s">
        <v>71</v>
      </c>
      <c r="B44" s="41" t="s">
        <v>7</v>
      </c>
      <c r="C44" s="41" t="s">
        <v>7</v>
      </c>
      <c r="D44" s="40"/>
      <c r="E44" s="43" t="s">
        <v>6</v>
      </c>
      <c r="F44" s="43" t="s">
        <v>6</v>
      </c>
      <c r="G44" s="46"/>
      <c r="H44" s="43" t="s">
        <v>6</v>
      </c>
      <c r="I44" s="46"/>
      <c r="J44" s="46"/>
      <c r="K44" s="43" t="s">
        <v>6</v>
      </c>
      <c r="L44" s="41" t="s">
        <v>7</v>
      </c>
      <c r="M44" s="46"/>
      <c r="N44" s="43" t="s">
        <v>6</v>
      </c>
      <c r="O44" s="46"/>
      <c r="P44" s="43" t="s">
        <v>6</v>
      </c>
      <c r="Q44" s="46"/>
      <c r="R44" s="40"/>
      <c r="S44" s="46"/>
      <c r="T44" s="46"/>
      <c r="U44" s="95" t="s">
        <v>6</v>
      </c>
      <c r="V44" s="52">
        <v>4.0</v>
      </c>
      <c r="W44" s="52">
        <v>3.0</v>
      </c>
      <c r="X44" s="52">
        <v>0.0</v>
      </c>
      <c r="Y44" s="244">
        <v>34.0</v>
      </c>
      <c r="Z44" s="245">
        <v>34.0</v>
      </c>
      <c r="AA44" s="147">
        <v>0.58</v>
      </c>
      <c r="AB44" s="52">
        <v>3.0</v>
      </c>
      <c r="AC44" s="52">
        <v>0.0</v>
      </c>
      <c r="AD44" s="52">
        <v>0.0</v>
      </c>
      <c r="AE44" s="96">
        <v>12.0</v>
      </c>
      <c r="AF44" s="98">
        <v>12.0</v>
      </c>
      <c r="AG44" s="140">
        <v>0.38</v>
      </c>
      <c r="AH44" s="52">
        <v>7.0</v>
      </c>
      <c r="AI44" s="52">
        <v>3.0</v>
      </c>
      <c r="AJ44" s="52">
        <v>0.0</v>
      </c>
      <c r="AK44" s="246">
        <v>46.0</v>
      </c>
      <c r="AL44" s="79">
        <v>46.0</v>
      </c>
      <c r="AM44" s="140">
        <v>0.5</v>
      </c>
    </row>
    <row r="45">
      <c r="A45" s="39" t="s">
        <v>78</v>
      </c>
      <c r="B45" s="71" t="s">
        <v>8</v>
      </c>
      <c r="C45" s="71" t="s">
        <v>8</v>
      </c>
      <c r="D45" s="41" t="s">
        <v>7</v>
      </c>
      <c r="E45" s="41" t="s">
        <v>7</v>
      </c>
      <c r="F45" s="41" t="s">
        <v>7</v>
      </c>
      <c r="G45" s="40"/>
      <c r="H45" s="46"/>
      <c r="I45" s="40"/>
      <c r="J45" s="40"/>
      <c r="K45" s="46"/>
      <c r="L45" s="41" t="s">
        <v>7</v>
      </c>
      <c r="M45" s="40"/>
      <c r="N45" s="41" t="s">
        <v>7</v>
      </c>
      <c r="O45" s="46"/>
      <c r="P45" s="40"/>
      <c r="Q45" s="41" t="s">
        <v>7</v>
      </c>
      <c r="R45" s="43" t="s">
        <v>6</v>
      </c>
      <c r="S45" s="71" t="s">
        <v>8</v>
      </c>
      <c r="T45" s="40"/>
      <c r="U45" s="73" t="s">
        <v>7</v>
      </c>
      <c r="V45" s="52">
        <v>0.0</v>
      </c>
      <c r="W45" s="52">
        <v>4.0</v>
      </c>
      <c r="X45" s="52">
        <v>2.0</v>
      </c>
      <c r="Y45" s="214">
        <v>24.0</v>
      </c>
      <c r="Z45" s="238">
        <v>16.0</v>
      </c>
      <c r="AA45" s="84">
        <v>0.33</v>
      </c>
      <c r="AB45" s="52">
        <v>1.0</v>
      </c>
      <c r="AC45" s="52">
        <v>3.0</v>
      </c>
      <c r="AD45" s="52">
        <v>1.0</v>
      </c>
      <c r="AE45" s="133">
        <v>22.0</v>
      </c>
      <c r="AF45" s="135">
        <v>18.0</v>
      </c>
      <c r="AG45" s="207">
        <v>0.5</v>
      </c>
      <c r="AH45" s="52">
        <v>1.0</v>
      </c>
      <c r="AI45" s="52">
        <v>7.0</v>
      </c>
      <c r="AJ45" s="52">
        <v>3.0</v>
      </c>
      <c r="AK45" s="246">
        <v>46.0</v>
      </c>
      <c r="AL45" s="241">
        <v>34.0</v>
      </c>
      <c r="AM45" s="207">
        <v>0.4</v>
      </c>
    </row>
    <row r="46">
      <c r="A46" s="39" t="s">
        <v>58</v>
      </c>
      <c r="B46" s="46"/>
      <c r="C46" s="43" t="s">
        <v>6</v>
      </c>
      <c r="D46" s="40"/>
      <c r="E46" s="46"/>
      <c r="F46" s="40"/>
      <c r="G46" s="46"/>
      <c r="H46" s="40"/>
      <c r="I46" s="46"/>
      <c r="J46" s="40"/>
      <c r="K46" s="43" t="s">
        <v>6</v>
      </c>
      <c r="L46" s="40"/>
      <c r="M46" s="40"/>
      <c r="N46" s="46"/>
      <c r="O46" s="46"/>
      <c r="P46" s="46"/>
      <c r="Q46" s="40"/>
      <c r="R46" s="40"/>
      <c r="S46" s="46"/>
      <c r="T46" s="46"/>
      <c r="U46" s="104"/>
      <c r="V46" s="52">
        <v>2.0</v>
      </c>
      <c r="W46" s="52">
        <v>0.0</v>
      </c>
      <c r="X46" s="52">
        <v>0.0</v>
      </c>
      <c r="Y46" s="197">
        <v>8.0</v>
      </c>
      <c r="Z46" s="248">
        <v>8.0</v>
      </c>
      <c r="AA46" s="153">
        <v>0.17</v>
      </c>
      <c r="AB46" s="52">
        <v>0.0</v>
      </c>
      <c r="AC46" s="52">
        <v>0.0</v>
      </c>
      <c r="AD46" s="52">
        <v>0.0</v>
      </c>
      <c r="AE46" s="85">
        <v>0.0</v>
      </c>
      <c r="AF46" s="88">
        <v>0.0</v>
      </c>
      <c r="AG46" s="75">
        <v>0.0</v>
      </c>
      <c r="AH46" s="52">
        <v>2.0</v>
      </c>
      <c r="AI46" s="52">
        <v>0.0</v>
      </c>
      <c r="AJ46" s="52">
        <v>0.0</v>
      </c>
      <c r="AK46" s="212">
        <v>8.0</v>
      </c>
      <c r="AL46" s="249">
        <v>8.0</v>
      </c>
      <c r="AM46" s="75">
        <v>0.1</v>
      </c>
    </row>
    <row r="47">
      <c r="A47" s="39" t="s">
        <v>75</v>
      </c>
      <c r="B47" s="40"/>
      <c r="C47" s="43" t="s">
        <v>6</v>
      </c>
      <c r="D47" s="40"/>
      <c r="E47" s="46"/>
      <c r="F47" s="40"/>
      <c r="G47" s="40"/>
      <c r="H47" s="40"/>
      <c r="I47" s="46"/>
      <c r="J47" s="46"/>
      <c r="K47" s="71" t="s">
        <v>8</v>
      </c>
      <c r="L47" s="40"/>
      <c r="M47" s="43" t="s">
        <v>6</v>
      </c>
      <c r="N47" s="40"/>
      <c r="O47" s="46"/>
      <c r="P47" s="41" t="s">
        <v>7</v>
      </c>
      <c r="Q47" s="46"/>
      <c r="R47" s="46"/>
      <c r="S47" s="40"/>
      <c r="T47" s="46"/>
      <c r="U47" s="50"/>
      <c r="V47" s="52">
        <v>1.0</v>
      </c>
      <c r="W47" s="52">
        <v>1.0</v>
      </c>
      <c r="X47" s="52">
        <v>1.0</v>
      </c>
      <c r="Y47" s="152">
        <v>10.0</v>
      </c>
      <c r="Z47" s="155">
        <v>6.0</v>
      </c>
      <c r="AA47" s="153">
        <v>0.17</v>
      </c>
      <c r="AB47" s="52">
        <v>1.0</v>
      </c>
      <c r="AC47" s="52">
        <v>0.0</v>
      </c>
      <c r="AD47" s="52">
        <v>0.0</v>
      </c>
      <c r="AE47" s="154">
        <v>4.0</v>
      </c>
      <c r="AF47" s="155">
        <v>4.0</v>
      </c>
      <c r="AG47" s="134">
        <v>0.13</v>
      </c>
      <c r="AH47" s="52">
        <v>2.0</v>
      </c>
      <c r="AI47" s="52">
        <v>1.0</v>
      </c>
      <c r="AJ47" s="52">
        <v>1.0</v>
      </c>
      <c r="AK47" s="157">
        <v>14.0</v>
      </c>
      <c r="AL47" s="175">
        <v>10.0</v>
      </c>
      <c r="AM47" s="134">
        <v>0.15</v>
      </c>
    </row>
    <row r="48">
      <c r="A48" s="39" t="s">
        <v>43</v>
      </c>
      <c r="B48" s="41" t="s">
        <v>7</v>
      </c>
      <c r="C48" s="46"/>
      <c r="D48" s="43" t="s">
        <v>6</v>
      </c>
      <c r="E48" s="40"/>
      <c r="F48" s="43" t="s">
        <v>6</v>
      </c>
      <c r="G48" s="46"/>
      <c r="H48" s="43" t="s">
        <v>6</v>
      </c>
      <c r="I48" s="43" t="s">
        <v>6</v>
      </c>
      <c r="J48" s="46"/>
      <c r="K48" s="40"/>
      <c r="L48" s="41" t="s">
        <v>7</v>
      </c>
      <c r="M48" s="40"/>
      <c r="N48" s="41" t="s">
        <v>7</v>
      </c>
      <c r="O48" s="71" t="s">
        <v>8</v>
      </c>
      <c r="P48" s="46"/>
      <c r="Q48" s="43" t="s">
        <v>6</v>
      </c>
      <c r="R48" s="43" t="s">
        <v>6</v>
      </c>
      <c r="S48" s="41" t="s">
        <v>7</v>
      </c>
      <c r="T48" s="41" t="s">
        <v>7</v>
      </c>
      <c r="U48" s="73" t="s">
        <v>7</v>
      </c>
      <c r="V48" s="52">
        <v>3.0</v>
      </c>
      <c r="W48" s="52">
        <v>4.0</v>
      </c>
      <c r="X48" s="52">
        <v>1.0</v>
      </c>
      <c r="Y48" s="191">
        <v>36.0</v>
      </c>
      <c r="Z48" s="161">
        <v>32.0</v>
      </c>
      <c r="AA48" s="147">
        <v>0.58</v>
      </c>
      <c r="AB48" s="52">
        <v>3.0</v>
      </c>
      <c r="AC48" s="52">
        <v>2.0</v>
      </c>
      <c r="AD48" s="52">
        <v>0.0</v>
      </c>
      <c r="AE48" s="167">
        <v>24.0</v>
      </c>
      <c r="AF48" s="168">
        <v>24.0</v>
      </c>
      <c r="AG48" s="140">
        <v>0.63</v>
      </c>
      <c r="AH48" s="52">
        <v>6.0</v>
      </c>
      <c r="AI48" s="52">
        <v>6.0</v>
      </c>
      <c r="AJ48" s="52">
        <v>1.0</v>
      </c>
      <c r="AK48" s="244">
        <v>60.0</v>
      </c>
      <c r="AL48" s="150">
        <v>56.0</v>
      </c>
      <c r="AM48" s="140">
        <v>0.6</v>
      </c>
    </row>
    <row r="49">
      <c r="A49" s="252"/>
      <c r="B49" s="46"/>
      <c r="C49" s="40"/>
      <c r="D49" s="40"/>
      <c r="E49" s="40"/>
      <c r="F49" s="40"/>
      <c r="G49" s="40"/>
      <c r="H49" s="46"/>
      <c r="I49" s="46"/>
      <c r="J49" s="40"/>
      <c r="K49" s="40"/>
      <c r="L49" s="40"/>
      <c r="M49" s="46"/>
      <c r="N49" s="46"/>
      <c r="O49" s="40"/>
      <c r="P49" s="40"/>
      <c r="Q49" s="46"/>
      <c r="R49" s="40"/>
      <c r="S49" s="46"/>
      <c r="T49" s="40"/>
      <c r="U49" s="50"/>
      <c r="V49" s="40"/>
      <c r="W49" s="40"/>
      <c r="X49" s="40"/>
      <c r="Y49" s="40"/>
      <c r="Z49" s="40"/>
      <c r="AA49" s="253"/>
      <c r="AB49" s="40"/>
      <c r="AC49" s="40"/>
      <c r="AD49" s="40"/>
      <c r="AE49" s="40"/>
      <c r="AF49" s="40"/>
      <c r="AG49" s="253"/>
      <c r="AH49" s="40"/>
      <c r="AI49" s="40"/>
      <c r="AJ49" s="40"/>
      <c r="AK49" s="40"/>
      <c r="AL49" s="40"/>
      <c r="AM49" s="253"/>
    </row>
    <row r="50">
      <c r="A50" s="254"/>
      <c r="B50" s="255"/>
      <c r="C50" s="256"/>
      <c r="D50" s="256"/>
      <c r="E50" s="256"/>
      <c r="F50" s="256"/>
      <c r="G50" s="256"/>
      <c r="H50" s="255"/>
      <c r="I50" s="255"/>
      <c r="J50" s="255"/>
      <c r="K50" s="256"/>
      <c r="L50" s="255"/>
      <c r="M50" s="255"/>
      <c r="N50" s="255"/>
      <c r="O50" s="256"/>
      <c r="P50" s="256"/>
      <c r="Q50" s="255"/>
      <c r="R50" s="256"/>
      <c r="S50" s="255"/>
      <c r="T50" s="256"/>
      <c r="U50" s="257"/>
      <c r="V50" s="255"/>
      <c r="W50" s="255"/>
      <c r="X50" s="255"/>
      <c r="Y50" s="255"/>
      <c r="Z50" s="255"/>
      <c r="AA50" s="258"/>
      <c r="AB50" s="255"/>
      <c r="AC50" s="255"/>
      <c r="AD50" s="255"/>
      <c r="AE50" s="255"/>
      <c r="AF50" s="255"/>
      <c r="AG50" s="258"/>
      <c r="AH50" s="255"/>
      <c r="AI50" s="255"/>
      <c r="AJ50" s="255"/>
      <c r="AK50" s="255"/>
      <c r="AL50" s="255"/>
      <c r="AM50" s="258"/>
    </row>
  </sheetData>
  <mergeCells count="3">
    <mergeCell ref="V1:AA1"/>
    <mergeCell ref="AB1:AG1"/>
    <mergeCell ref="AH1:AM1"/>
  </mergeCells>
  <conditionalFormatting sqref="AA3:AA50 AG3:AG26 AM3:AM26">
    <cfRule type="colorScale" priority="1">
      <colorScale>
        <cfvo type="min"/>
        <cfvo type="max"/>
        <color rgb="FFFFFFFF"/>
        <color rgb="FF8E7CC3"/>
      </colorScale>
    </cfRule>
  </conditionalFormatting>
  <conditionalFormatting sqref="B3:U50">
    <cfRule type="cellIs" dxfId="0" priority="2" operator="equal">
      <formula>"IC"</formula>
    </cfRule>
  </conditionalFormatting>
  <conditionalFormatting sqref="B3:U50">
    <cfRule type="cellIs" dxfId="1" priority="3" operator="equal">
      <formula>"C"</formula>
    </cfRule>
  </conditionalFormatting>
  <conditionalFormatting sqref="B3:U50">
    <cfRule type="cellIs" dxfId="2" priority="4" operator="equal">
      <formula>"P"</formula>
    </cfRule>
  </conditionalFormatting>
  <conditionalFormatting sqref="Z3:Z50">
    <cfRule type="colorScale" priority="5">
      <colorScale>
        <cfvo type="min"/>
        <cfvo type="max"/>
        <color rgb="FFFFFFFF"/>
        <color rgb="FF6D9EEB"/>
      </colorScale>
    </cfRule>
  </conditionalFormatting>
  <conditionalFormatting sqref="Y3:Y50">
    <cfRule type="colorScale" priority="6">
      <colorScale>
        <cfvo type="min"/>
        <cfvo type="max"/>
        <color rgb="FFFFFFFF"/>
        <color rgb="FF57BB8A"/>
      </colorScale>
    </cfRule>
  </conditionalFormatting>
  <conditionalFormatting sqref="AE3:AE50">
    <cfRule type="colorScale" priority="7">
      <colorScale>
        <cfvo type="min"/>
        <cfvo type="max"/>
        <color rgb="FFFFFFFF"/>
        <color rgb="FF57BB8A"/>
      </colorScale>
    </cfRule>
  </conditionalFormatting>
  <conditionalFormatting sqref="AF3:AF50">
    <cfRule type="colorScale" priority="8">
      <colorScale>
        <cfvo type="min"/>
        <cfvo type="max"/>
        <color rgb="FFFFFFFF"/>
        <color rgb="FF6D9EEB"/>
      </colorScale>
    </cfRule>
  </conditionalFormatting>
  <conditionalFormatting sqref="AL3:AL50">
    <cfRule type="colorScale" priority="9">
      <colorScale>
        <cfvo type="min"/>
        <cfvo type="max"/>
        <color rgb="FFFFFFFF"/>
        <color rgb="FF3C78D8"/>
      </colorScale>
    </cfRule>
  </conditionalFormatting>
  <conditionalFormatting sqref="AK3:AK50">
    <cfRule type="colorScale" priority="10">
      <colorScale>
        <cfvo type="min"/>
        <cfvo type="max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39" width="5.13"/>
  </cols>
  <sheetData>
    <row r="1" ht="53.25" customHeight="1">
      <c r="A1" s="1"/>
      <c r="B1" s="9" t="s">
        <v>1</v>
      </c>
      <c r="C1" s="9" t="s">
        <v>0</v>
      </c>
      <c r="D1" s="9" t="s">
        <v>0</v>
      </c>
      <c r="E1" s="9" t="s">
        <v>0</v>
      </c>
      <c r="F1" s="9" t="s">
        <v>1</v>
      </c>
      <c r="G1" s="9" t="s">
        <v>0</v>
      </c>
      <c r="H1" s="9" t="s">
        <v>1</v>
      </c>
      <c r="I1" s="9" t="s">
        <v>0</v>
      </c>
      <c r="J1" s="9" t="s">
        <v>0</v>
      </c>
      <c r="K1" s="9" t="s">
        <v>1</v>
      </c>
      <c r="L1" s="9" t="s">
        <v>0</v>
      </c>
      <c r="M1" s="9" t="s">
        <v>1</v>
      </c>
      <c r="N1" s="9" t="s">
        <v>0</v>
      </c>
      <c r="O1" s="9" t="s">
        <v>1</v>
      </c>
      <c r="P1" s="9" t="s">
        <v>0</v>
      </c>
      <c r="Q1" s="9" t="s">
        <v>1</v>
      </c>
      <c r="R1" s="9" t="s">
        <v>0</v>
      </c>
      <c r="S1" s="9" t="s">
        <v>0</v>
      </c>
      <c r="T1" s="9" t="s">
        <v>1</v>
      </c>
      <c r="U1" s="9" t="s">
        <v>0</v>
      </c>
      <c r="V1" s="4" t="s">
        <v>0</v>
      </c>
      <c r="W1" s="20"/>
      <c r="X1" s="20"/>
      <c r="Y1" s="20"/>
      <c r="Z1" s="20"/>
      <c r="AA1" s="23"/>
      <c r="AB1" s="4" t="s">
        <v>1</v>
      </c>
      <c r="AC1" s="25"/>
      <c r="AD1" s="25"/>
      <c r="AE1" s="25"/>
      <c r="AF1" s="25"/>
      <c r="AG1" s="26"/>
      <c r="AH1" s="4" t="s">
        <v>2</v>
      </c>
      <c r="AI1" s="25"/>
      <c r="AJ1" s="25"/>
      <c r="AK1" s="25"/>
      <c r="AL1" s="25"/>
      <c r="AM1" s="26"/>
    </row>
    <row r="2">
      <c r="A2" s="16" t="s">
        <v>4</v>
      </c>
      <c r="B2" s="19" t="s">
        <v>12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1" t="s">
        <v>18</v>
      </c>
      <c r="I2" s="21" t="s">
        <v>19</v>
      </c>
      <c r="J2" s="21" t="s">
        <v>20</v>
      </c>
      <c r="K2" s="21" t="s">
        <v>21</v>
      </c>
      <c r="L2" s="21" t="s">
        <v>22</v>
      </c>
      <c r="M2" s="21" t="s">
        <v>23</v>
      </c>
      <c r="N2" s="21" t="s">
        <v>24</v>
      </c>
      <c r="O2" s="21" t="s">
        <v>25</v>
      </c>
      <c r="P2" s="21" t="s">
        <v>26</v>
      </c>
      <c r="Q2" s="21" t="s">
        <v>27</v>
      </c>
      <c r="R2" s="21" t="s">
        <v>28</v>
      </c>
      <c r="S2" s="21" t="s">
        <v>29</v>
      </c>
      <c r="T2" s="21" t="s">
        <v>30</v>
      </c>
      <c r="U2" s="21" t="s">
        <v>31</v>
      </c>
      <c r="V2" s="27" t="s">
        <v>6</v>
      </c>
      <c r="W2" s="16" t="s">
        <v>7</v>
      </c>
      <c r="X2" s="16" t="s">
        <v>8</v>
      </c>
      <c r="Y2" s="16" t="s">
        <v>9</v>
      </c>
      <c r="Z2" s="16" t="s">
        <v>10</v>
      </c>
      <c r="AA2" s="31" t="s">
        <v>11</v>
      </c>
      <c r="AB2" s="32" t="s">
        <v>6</v>
      </c>
      <c r="AC2" s="33" t="s">
        <v>7</v>
      </c>
      <c r="AD2" s="33" t="s">
        <v>8</v>
      </c>
      <c r="AE2" s="33" t="s">
        <v>9</v>
      </c>
      <c r="AF2" s="33" t="s">
        <v>10</v>
      </c>
      <c r="AG2" s="34" t="s">
        <v>11</v>
      </c>
      <c r="AH2" s="32" t="s">
        <v>6</v>
      </c>
      <c r="AI2" s="33" t="s">
        <v>7</v>
      </c>
      <c r="AJ2" s="33" t="s">
        <v>8</v>
      </c>
      <c r="AK2" s="33" t="s">
        <v>9</v>
      </c>
      <c r="AL2" s="33" t="s">
        <v>10</v>
      </c>
      <c r="AM2" s="34" t="s">
        <v>11</v>
      </c>
    </row>
    <row r="3">
      <c r="A3" s="35" t="s">
        <v>33</v>
      </c>
      <c r="B3" s="36"/>
      <c r="C3" s="37"/>
      <c r="D3" s="37"/>
      <c r="E3" s="37" t="s">
        <v>7</v>
      </c>
      <c r="F3" s="37"/>
      <c r="G3" s="37"/>
      <c r="H3" s="37" t="s">
        <v>6</v>
      </c>
      <c r="I3" s="37" t="s">
        <v>7</v>
      </c>
      <c r="J3" s="38"/>
      <c r="K3" s="38"/>
      <c r="L3" s="38"/>
      <c r="M3" s="37"/>
      <c r="N3" s="37"/>
      <c r="O3" s="38"/>
      <c r="P3" s="37"/>
      <c r="Q3" s="37" t="s">
        <v>8</v>
      </c>
      <c r="R3" s="37"/>
      <c r="S3" s="37"/>
      <c r="T3" s="38"/>
      <c r="U3" s="37" t="s">
        <v>6</v>
      </c>
      <c r="V3" s="36">
        <v>1.0</v>
      </c>
      <c r="W3" s="37">
        <v>2.0</v>
      </c>
      <c r="X3" s="37">
        <v>0.0</v>
      </c>
      <c r="Y3" s="37">
        <v>16.0</v>
      </c>
      <c r="Z3" s="37">
        <v>16.0</v>
      </c>
      <c r="AA3" s="42">
        <v>0.25</v>
      </c>
      <c r="AB3" s="44">
        <v>1.0</v>
      </c>
      <c r="AC3" s="45">
        <v>0.0</v>
      </c>
      <c r="AD3" s="45">
        <v>1.0</v>
      </c>
      <c r="AE3" s="47">
        <v>4.0</v>
      </c>
      <c r="AF3" s="49">
        <v>0.0</v>
      </c>
      <c r="AG3" s="51">
        <v>0.13</v>
      </c>
      <c r="AH3" s="44">
        <v>2.0</v>
      </c>
      <c r="AI3" s="45">
        <v>2.0</v>
      </c>
      <c r="AJ3" s="45">
        <v>1.0</v>
      </c>
      <c r="AK3" s="47">
        <v>20.0</v>
      </c>
      <c r="AL3" s="49">
        <v>16.0</v>
      </c>
      <c r="AM3" s="51">
        <v>0.2</v>
      </c>
    </row>
    <row r="4">
      <c r="A4" s="29" t="s">
        <v>34</v>
      </c>
      <c r="B4" s="60" t="s">
        <v>7</v>
      </c>
      <c r="C4" s="2" t="s">
        <v>8</v>
      </c>
      <c r="D4" s="2" t="s">
        <v>6</v>
      </c>
      <c r="E4" s="57"/>
      <c r="F4" s="2" t="s">
        <v>7</v>
      </c>
      <c r="G4" s="2" t="s">
        <v>6</v>
      </c>
      <c r="H4" s="57"/>
      <c r="I4" s="57"/>
      <c r="J4" s="2" t="s">
        <v>7</v>
      </c>
      <c r="K4" s="2"/>
      <c r="L4" s="2" t="s">
        <v>7</v>
      </c>
      <c r="M4" s="57"/>
      <c r="N4" s="2" t="s">
        <v>6</v>
      </c>
      <c r="O4" s="2" t="s">
        <v>8</v>
      </c>
      <c r="P4" s="2" t="s">
        <v>7</v>
      </c>
      <c r="Q4" s="2" t="s">
        <v>6</v>
      </c>
      <c r="R4" s="2" t="s">
        <v>6</v>
      </c>
      <c r="S4" s="2" t="s">
        <v>6</v>
      </c>
      <c r="T4" s="57"/>
      <c r="U4" s="2" t="s">
        <v>8</v>
      </c>
      <c r="V4" s="60">
        <v>5.0</v>
      </c>
      <c r="W4" s="2">
        <v>3.0</v>
      </c>
      <c r="X4" s="2">
        <v>2.0</v>
      </c>
      <c r="Y4" s="2">
        <v>38.0</v>
      </c>
      <c r="Z4" s="2">
        <v>30.0</v>
      </c>
      <c r="AA4" s="62">
        <v>0.67</v>
      </c>
      <c r="AB4" s="63">
        <v>1.0</v>
      </c>
      <c r="AC4" s="52">
        <v>2.0</v>
      </c>
      <c r="AD4" s="52">
        <v>1.0</v>
      </c>
      <c r="AE4" s="66">
        <v>16.0</v>
      </c>
      <c r="AF4" s="68">
        <v>12.0</v>
      </c>
      <c r="AG4" s="70">
        <v>0.38</v>
      </c>
      <c r="AH4" s="63">
        <v>6.0</v>
      </c>
      <c r="AI4" s="52">
        <v>5.0</v>
      </c>
      <c r="AJ4" s="52">
        <v>3.0</v>
      </c>
      <c r="AK4" s="66">
        <v>54.0</v>
      </c>
      <c r="AL4" s="68">
        <v>42.0</v>
      </c>
      <c r="AM4" s="70">
        <v>0.55</v>
      </c>
    </row>
    <row r="5">
      <c r="A5" s="29" t="s">
        <v>38</v>
      </c>
      <c r="B5" s="55"/>
      <c r="C5" s="57"/>
      <c r="D5" s="57"/>
      <c r="E5" s="57"/>
      <c r="F5" s="2"/>
      <c r="G5" s="57"/>
      <c r="H5" s="2"/>
      <c r="I5" s="57"/>
      <c r="J5" s="57"/>
      <c r="K5" s="57"/>
      <c r="L5" s="57"/>
      <c r="M5" s="2"/>
      <c r="N5" s="2"/>
      <c r="O5" s="57"/>
      <c r="P5" s="2" t="s">
        <v>7</v>
      </c>
      <c r="Q5" s="57"/>
      <c r="R5" s="2" t="s">
        <v>6</v>
      </c>
      <c r="S5" s="57"/>
      <c r="T5" s="2"/>
      <c r="U5" s="2"/>
      <c r="V5" s="60">
        <v>1.0</v>
      </c>
      <c r="W5" s="2">
        <v>1.0</v>
      </c>
      <c r="X5" s="2">
        <v>0.0</v>
      </c>
      <c r="Y5" s="2">
        <v>10.0</v>
      </c>
      <c r="Z5" s="2">
        <v>10.0</v>
      </c>
      <c r="AA5" s="62">
        <v>0.17</v>
      </c>
      <c r="AB5" s="63">
        <v>0.0</v>
      </c>
      <c r="AC5" s="52">
        <v>0.0</v>
      </c>
      <c r="AD5" s="52">
        <v>0.0</v>
      </c>
      <c r="AE5" s="72">
        <v>0.0</v>
      </c>
      <c r="AF5" s="74">
        <v>0.0</v>
      </c>
      <c r="AG5" s="75">
        <v>0.0</v>
      </c>
      <c r="AH5" s="63">
        <v>1.0</v>
      </c>
      <c r="AI5" s="52">
        <v>1.0</v>
      </c>
      <c r="AJ5" s="52">
        <v>0.0</v>
      </c>
      <c r="AK5" s="72">
        <v>10.0</v>
      </c>
      <c r="AL5" s="74">
        <v>10.0</v>
      </c>
      <c r="AM5" s="75">
        <v>0.1</v>
      </c>
    </row>
    <row r="6">
      <c r="A6" s="29" t="s">
        <v>40</v>
      </c>
      <c r="B6" s="60"/>
      <c r="C6" s="2" t="s">
        <v>7</v>
      </c>
      <c r="D6" s="2" t="s">
        <v>6</v>
      </c>
      <c r="E6" s="2" t="s">
        <v>6</v>
      </c>
      <c r="F6" s="57"/>
      <c r="G6" s="2" t="s">
        <v>6</v>
      </c>
      <c r="H6" s="2"/>
      <c r="I6" s="2" t="s">
        <v>6</v>
      </c>
      <c r="J6" s="2" t="s">
        <v>7</v>
      </c>
      <c r="K6" s="57"/>
      <c r="L6" s="2" t="s">
        <v>6</v>
      </c>
      <c r="M6" s="57"/>
      <c r="N6" s="2" t="s">
        <v>6</v>
      </c>
      <c r="O6" s="57"/>
      <c r="P6" s="2" t="s">
        <v>8</v>
      </c>
      <c r="Q6" s="57"/>
      <c r="R6" s="57"/>
      <c r="S6" s="2"/>
      <c r="T6" s="57"/>
      <c r="U6" s="2" t="s">
        <v>6</v>
      </c>
      <c r="V6" s="60">
        <v>7.0</v>
      </c>
      <c r="W6" s="2">
        <v>2.0</v>
      </c>
      <c r="X6" s="2">
        <v>1.0</v>
      </c>
      <c r="Y6" s="2">
        <v>40.0</v>
      </c>
      <c r="Z6" s="2">
        <v>36.0</v>
      </c>
      <c r="AA6" s="62">
        <v>0.75</v>
      </c>
      <c r="AB6" s="63">
        <v>0.0</v>
      </c>
      <c r="AC6" s="52">
        <v>0.0</v>
      </c>
      <c r="AD6" s="52">
        <v>0.0</v>
      </c>
      <c r="AE6" s="80">
        <v>0.0</v>
      </c>
      <c r="AF6" s="81">
        <v>0.0</v>
      </c>
      <c r="AG6" s="75">
        <v>0.0</v>
      </c>
      <c r="AH6" s="63">
        <v>7.0</v>
      </c>
      <c r="AI6" s="52">
        <v>2.0</v>
      </c>
      <c r="AJ6" s="52">
        <v>1.0</v>
      </c>
      <c r="AK6" s="80">
        <v>40.0</v>
      </c>
      <c r="AL6" s="81">
        <v>36.0</v>
      </c>
      <c r="AM6" s="75">
        <v>0.45</v>
      </c>
    </row>
    <row r="7">
      <c r="A7" s="29" t="s">
        <v>43</v>
      </c>
      <c r="B7" s="55"/>
      <c r="C7" s="2" t="s">
        <v>7</v>
      </c>
      <c r="D7" s="57"/>
      <c r="E7" s="2" t="s">
        <v>7</v>
      </c>
      <c r="F7" s="57"/>
      <c r="G7" s="2" t="s">
        <v>6</v>
      </c>
      <c r="H7" s="2" t="s">
        <v>6</v>
      </c>
      <c r="I7" s="2" t="s">
        <v>6</v>
      </c>
      <c r="J7" s="2" t="s">
        <v>7</v>
      </c>
      <c r="K7" s="2"/>
      <c r="L7" s="2" t="s">
        <v>8</v>
      </c>
      <c r="M7" s="57"/>
      <c r="N7" s="2" t="s">
        <v>7</v>
      </c>
      <c r="O7" s="57"/>
      <c r="P7" s="2" t="s">
        <v>7</v>
      </c>
      <c r="Q7" s="2" t="s">
        <v>6</v>
      </c>
      <c r="R7" s="2" t="s">
        <v>6</v>
      </c>
      <c r="S7" s="57"/>
      <c r="T7" s="57"/>
      <c r="U7" s="2" t="s">
        <v>7</v>
      </c>
      <c r="V7" s="60">
        <v>3.0</v>
      </c>
      <c r="W7" s="2">
        <v>6.0</v>
      </c>
      <c r="X7" s="2">
        <v>1.0</v>
      </c>
      <c r="Y7" s="2">
        <v>48.0</v>
      </c>
      <c r="Z7" s="2">
        <v>44.0</v>
      </c>
      <c r="AA7" s="62">
        <v>0.75</v>
      </c>
      <c r="AB7" s="63">
        <v>2.0</v>
      </c>
      <c r="AC7" s="52">
        <v>0.0</v>
      </c>
      <c r="AD7" s="52">
        <v>0.0</v>
      </c>
      <c r="AE7" s="85">
        <v>8.0</v>
      </c>
      <c r="AF7" s="86">
        <v>8.0</v>
      </c>
      <c r="AG7" s="87">
        <v>0.25</v>
      </c>
      <c r="AH7" s="63">
        <v>5.0</v>
      </c>
      <c r="AI7" s="52">
        <v>6.0</v>
      </c>
      <c r="AJ7" s="52">
        <v>1.0</v>
      </c>
      <c r="AK7" s="85">
        <v>56.0</v>
      </c>
      <c r="AL7" s="86">
        <v>52.0</v>
      </c>
      <c r="AM7" s="87">
        <v>0.55</v>
      </c>
    </row>
    <row r="8">
      <c r="A8" s="29" t="s">
        <v>45</v>
      </c>
      <c r="B8" s="60" t="s">
        <v>7</v>
      </c>
      <c r="C8" s="57"/>
      <c r="D8" s="2" t="s">
        <v>6</v>
      </c>
      <c r="E8" s="2"/>
      <c r="F8" s="57"/>
      <c r="G8" s="57"/>
      <c r="H8" s="57"/>
      <c r="I8" s="57"/>
      <c r="J8" s="57"/>
      <c r="K8" s="2" t="s">
        <v>8</v>
      </c>
      <c r="L8" s="57"/>
      <c r="M8" s="2" t="s">
        <v>8</v>
      </c>
      <c r="N8" s="2" t="s">
        <v>8</v>
      </c>
      <c r="O8" s="57"/>
      <c r="P8" s="57"/>
      <c r="Q8" s="57"/>
      <c r="R8" s="57"/>
      <c r="S8" s="57"/>
      <c r="T8" s="57"/>
      <c r="U8" s="57"/>
      <c r="V8" s="60">
        <v>1.0</v>
      </c>
      <c r="W8" s="2">
        <v>0.0</v>
      </c>
      <c r="X8" s="2">
        <v>1.0</v>
      </c>
      <c r="Y8" s="2">
        <v>4.0</v>
      </c>
      <c r="Z8" s="2">
        <v>0.0</v>
      </c>
      <c r="AA8" s="62">
        <v>0.08</v>
      </c>
      <c r="AB8" s="63">
        <v>0.0</v>
      </c>
      <c r="AC8" s="52">
        <v>1.0</v>
      </c>
      <c r="AD8" s="52">
        <v>2.0</v>
      </c>
      <c r="AE8" s="72">
        <v>6.0</v>
      </c>
      <c r="AF8" s="93">
        <v>-2.0</v>
      </c>
      <c r="AG8" s="75">
        <v>0.13</v>
      </c>
      <c r="AH8" s="63">
        <v>1.0</v>
      </c>
      <c r="AI8" s="52">
        <v>1.0</v>
      </c>
      <c r="AJ8" s="52">
        <v>3.0</v>
      </c>
      <c r="AK8" s="72">
        <v>10.0</v>
      </c>
      <c r="AL8" s="93">
        <v>-2.0</v>
      </c>
      <c r="AM8" s="75">
        <v>0.1</v>
      </c>
    </row>
    <row r="9">
      <c r="A9" s="29" t="s">
        <v>48</v>
      </c>
      <c r="B9" s="60" t="s">
        <v>6</v>
      </c>
      <c r="C9" s="57"/>
      <c r="D9" s="2" t="s">
        <v>6</v>
      </c>
      <c r="E9" s="57"/>
      <c r="F9" s="57"/>
      <c r="G9" s="57"/>
      <c r="H9" s="2" t="s">
        <v>6</v>
      </c>
      <c r="I9" s="57"/>
      <c r="J9" s="2" t="s">
        <v>6</v>
      </c>
      <c r="K9" s="2" t="s">
        <v>6</v>
      </c>
      <c r="L9" s="57"/>
      <c r="M9" s="2"/>
      <c r="N9" s="57"/>
      <c r="O9" s="57"/>
      <c r="P9" s="2" t="s">
        <v>8</v>
      </c>
      <c r="Q9" s="57"/>
      <c r="R9" s="2" t="s">
        <v>6</v>
      </c>
      <c r="S9" s="57"/>
      <c r="T9" s="57"/>
      <c r="U9" s="2" t="s">
        <v>6</v>
      </c>
      <c r="V9" s="60">
        <v>4.0</v>
      </c>
      <c r="W9" s="2">
        <v>0.0</v>
      </c>
      <c r="X9" s="2">
        <v>1.0</v>
      </c>
      <c r="Y9" s="2">
        <v>16.0</v>
      </c>
      <c r="Z9" s="2">
        <v>12.0</v>
      </c>
      <c r="AA9" s="62">
        <v>0.33</v>
      </c>
      <c r="AB9" s="63">
        <v>3.0</v>
      </c>
      <c r="AC9" s="52">
        <v>0.0</v>
      </c>
      <c r="AD9" s="52">
        <v>0.0</v>
      </c>
      <c r="AE9" s="66">
        <v>12.0</v>
      </c>
      <c r="AF9" s="68">
        <v>12.0</v>
      </c>
      <c r="AG9" s="70">
        <v>0.38</v>
      </c>
      <c r="AH9" s="63">
        <v>7.0</v>
      </c>
      <c r="AI9" s="52">
        <v>0.0</v>
      </c>
      <c r="AJ9" s="52">
        <v>1.0</v>
      </c>
      <c r="AK9" s="66">
        <v>28.0</v>
      </c>
      <c r="AL9" s="68">
        <v>24.0</v>
      </c>
      <c r="AM9" s="70">
        <v>0.35</v>
      </c>
    </row>
    <row r="10">
      <c r="A10" s="29" t="s">
        <v>37</v>
      </c>
      <c r="B10" s="55"/>
      <c r="C10" s="57"/>
      <c r="D10" s="2"/>
      <c r="E10" s="2" t="s">
        <v>8</v>
      </c>
      <c r="F10" s="2"/>
      <c r="G10" s="2"/>
      <c r="H10" s="2"/>
      <c r="I10" s="2"/>
      <c r="J10" s="2" t="s">
        <v>8</v>
      </c>
      <c r="K10" s="2"/>
      <c r="L10" s="57"/>
      <c r="M10" s="2" t="s">
        <v>6</v>
      </c>
      <c r="N10" s="57"/>
      <c r="O10" s="57"/>
      <c r="P10" s="2" t="s">
        <v>6</v>
      </c>
      <c r="Q10" s="2" t="s">
        <v>6</v>
      </c>
      <c r="R10" s="57"/>
      <c r="S10" s="2"/>
      <c r="T10" s="2"/>
      <c r="U10" s="2"/>
      <c r="V10" s="60">
        <v>1.0</v>
      </c>
      <c r="W10" s="2">
        <v>0.0</v>
      </c>
      <c r="X10" s="2">
        <v>2.0</v>
      </c>
      <c r="Y10" s="2">
        <v>4.0</v>
      </c>
      <c r="Z10" s="2">
        <v>-4.0</v>
      </c>
      <c r="AA10" s="62">
        <v>0.08</v>
      </c>
      <c r="AB10" s="63">
        <v>2.0</v>
      </c>
      <c r="AC10" s="52">
        <v>0.0</v>
      </c>
      <c r="AD10" s="52">
        <v>0.0</v>
      </c>
      <c r="AE10" s="97">
        <v>8.0</v>
      </c>
      <c r="AF10" s="99">
        <v>8.0</v>
      </c>
      <c r="AG10" s="100">
        <v>0.25</v>
      </c>
      <c r="AH10" s="63">
        <v>3.0</v>
      </c>
      <c r="AI10" s="52">
        <v>0.0</v>
      </c>
      <c r="AJ10" s="52">
        <v>2.0</v>
      </c>
      <c r="AK10" s="97">
        <v>12.0</v>
      </c>
      <c r="AL10" s="99">
        <v>4.0</v>
      </c>
      <c r="AM10" s="100">
        <v>0.15</v>
      </c>
    </row>
    <row r="11">
      <c r="A11" s="29" t="s">
        <v>51</v>
      </c>
      <c r="B11" s="60" t="s">
        <v>8</v>
      </c>
      <c r="C11" s="2" t="s">
        <v>7</v>
      </c>
      <c r="D11" s="2"/>
      <c r="E11" s="2"/>
      <c r="F11" s="2" t="s">
        <v>7</v>
      </c>
      <c r="G11" s="2" t="s">
        <v>7</v>
      </c>
      <c r="H11" s="2" t="s">
        <v>7</v>
      </c>
      <c r="I11" s="2" t="s">
        <v>7</v>
      </c>
      <c r="J11" s="57"/>
      <c r="K11" s="57"/>
      <c r="L11" s="2" t="s">
        <v>6</v>
      </c>
      <c r="M11" s="2" t="s">
        <v>6</v>
      </c>
      <c r="N11" s="2" t="s">
        <v>7</v>
      </c>
      <c r="O11" s="2" t="s">
        <v>6</v>
      </c>
      <c r="P11" s="2" t="s">
        <v>7</v>
      </c>
      <c r="Q11" s="2" t="s">
        <v>6</v>
      </c>
      <c r="R11" s="2" t="s">
        <v>6</v>
      </c>
      <c r="S11" s="2" t="s">
        <v>6</v>
      </c>
      <c r="T11" s="57"/>
      <c r="U11" s="2" t="s">
        <v>8</v>
      </c>
      <c r="V11" s="60">
        <v>3.0</v>
      </c>
      <c r="W11" s="2">
        <v>5.0</v>
      </c>
      <c r="X11" s="2">
        <v>1.0</v>
      </c>
      <c r="Y11" s="2">
        <v>42.0</v>
      </c>
      <c r="Z11" s="2">
        <v>38.0</v>
      </c>
      <c r="AA11" s="62">
        <v>0.67</v>
      </c>
      <c r="AB11" s="63">
        <v>3.0</v>
      </c>
      <c r="AC11" s="52">
        <v>2.0</v>
      </c>
      <c r="AD11" s="52">
        <v>1.0</v>
      </c>
      <c r="AE11" s="97">
        <v>24.0</v>
      </c>
      <c r="AF11" s="99">
        <v>20.0</v>
      </c>
      <c r="AG11" s="100">
        <v>0.63</v>
      </c>
      <c r="AH11" s="63">
        <v>6.0</v>
      </c>
      <c r="AI11" s="52">
        <v>7.0</v>
      </c>
      <c r="AJ11" s="52">
        <v>2.0</v>
      </c>
      <c r="AK11" s="97">
        <v>66.0</v>
      </c>
      <c r="AL11" s="99">
        <v>58.0</v>
      </c>
      <c r="AM11" s="100">
        <v>0.65</v>
      </c>
    </row>
    <row r="12">
      <c r="A12" s="29" t="s">
        <v>52</v>
      </c>
      <c r="B12" s="60" t="s">
        <v>7</v>
      </c>
      <c r="C12" s="57"/>
      <c r="D12" s="2" t="s">
        <v>6</v>
      </c>
      <c r="E12" s="2" t="s">
        <v>7</v>
      </c>
      <c r="F12" s="2"/>
      <c r="G12" s="57"/>
      <c r="H12" s="57"/>
      <c r="I12" s="57"/>
      <c r="J12" s="2"/>
      <c r="K12" s="2" t="s">
        <v>8</v>
      </c>
      <c r="L12" s="57"/>
      <c r="M12" s="57"/>
      <c r="N12" s="57"/>
      <c r="O12" s="57"/>
      <c r="P12" s="2" t="s">
        <v>8</v>
      </c>
      <c r="Q12" s="57"/>
      <c r="R12" s="57"/>
      <c r="S12" s="2"/>
      <c r="T12" s="57"/>
      <c r="U12" s="2" t="s">
        <v>8</v>
      </c>
      <c r="V12" s="60">
        <v>1.0</v>
      </c>
      <c r="W12" s="2">
        <v>1.0</v>
      </c>
      <c r="X12" s="2">
        <v>2.0</v>
      </c>
      <c r="Y12" s="2">
        <v>10.0</v>
      </c>
      <c r="Z12" s="2">
        <v>2.0</v>
      </c>
      <c r="AA12" s="62">
        <v>0.17</v>
      </c>
      <c r="AB12" s="63">
        <v>0.0</v>
      </c>
      <c r="AC12" s="52">
        <v>1.0</v>
      </c>
      <c r="AD12" s="52">
        <v>1.0</v>
      </c>
      <c r="AE12" s="106">
        <v>6.0</v>
      </c>
      <c r="AF12" s="108">
        <v>2.0</v>
      </c>
      <c r="AG12" s="75">
        <v>0.13</v>
      </c>
      <c r="AH12" s="63">
        <v>1.0</v>
      </c>
      <c r="AI12" s="52">
        <v>2.0</v>
      </c>
      <c r="AJ12" s="52">
        <v>3.0</v>
      </c>
      <c r="AK12" s="106">
        <v>16.0</v>
      </c>
      <c r="AL12" s="108">
        <v>4.0</v>
      </c>
      <c r="AM12" s="75">
        <v>0.15</v>
      </c>
    </row>
    <row r="13">
      <c r="A13" s="29" t="s">
        <v>55</v>
      </c>
      <c r="B13" s="60"/>
      <c r="C13" s="2" t="s">
        <v>7</v>
      </c>
      <c r="D13" s="2" t="s">
        <v>6</v>
      </c>
      <c r="E13" s="2" t="s">
        <v>6</v>
      </c>
      <c r="F13" s="2" t="s">
        <v>6</v>
      </c>
      <c r="G13" s="2" t="s">
        <v>6</v>
      </c>
      <c r="H13" s="2"/>
      <c r="I13" s="57"/>
      <c r="J13" s="2" t="s">
        <v>7</v>
      </c>
      <c r="K13" s="2"/>
      <c r="L13" s="2"/>
      <c r="M13" s="57"/>
      <c r="N13" s="2" t="s">
        <v>7</v>
      </c>
      <c r="O13" s="57"/>
      <c r="P13" s="2" t="s">
        <v>7</v>
      </c>
      <c r="Q13" s="2"/>
      <c r="R13" s="2" t="s">
        <v>6</v>
      </c>
      <c r="S13" s="2"/>
      <c r="T13" s="2"/>
      <c r="U13" s="2"/>
      <c r="V13" s="60">
        <v>4.0</v>
      </c>
      <c r="W13" s="2">
        <v>4.0</v>
      </c>
      <c r="X13" s="2">
        <v>0.0</v>
      </c>
      <c r="Y13" s="2">
        <v>40.0</v>
      </c>
      <c r="Z13" s="2">
        <v>40.0</v>
      </c>
      <c r="AA13" s="62">
        <v>0.67</v>
      </c>
      <c r="AB13" s="63">
        <v>1.0</v>
      </c>
      <c r="AC13" s="52">
        <v>0.0</v>
      </c>
      <c r="AD13" s="52">
        <v>0.0</v>
      </c>
      <c r="AE13" s="114">
        <v>4.0</v>
      </c>
      <c r="AF13" s="108">
        <v>4.0</v>
      </c>
      <c r="AG13" s="116">
        <v>0.13</v>
      </c>
      <c r="AH13" s="63">
        <v>5.0</v>
      </c>
      <c r="AI13" s="52">
        <v>4.0</v>
      </c>
      <c r="AJ13" s="52">
        <v>0.0</v>
      </c>
      <c r="AK13" s="114">
        <v>44.0</v>
      </c>
      <c r="AL13" s="108">
        <v>44.0</v>
      </c>
      <c r="AM13" s="116">
        <v>0.45</v>
      </c>
    </row>
    <row r="14">
      <c r="A14" s="29" t="s">
        <v>57</v>
      </c>
      <c r="B14" s="60" t="s">
        <v>8</v>
      </c>
      <c r="C14" s="57"/>
      <c r="D14" s="57"/>
      <c r="E14" s="57"/>
      <c r="F14" s="57"/>
      <c r="G14" s="2"/>
      <c r="H14" s="57"/>
      <c r="I14" s="57"/>
      <c r="J14" s="57"/>
      <c r="K14" s="2" t="s">
        <v>6</v>
      </c>
      <c r="L14" s="57"/>
      <c r="M14" s="2" t="s">
        <v>8</v>
      </c>
      <c r="N14" s="57"/>
      <c r="O14" s="2" t="s">
        <v>8</v>
      </c>
      <c r="P14" s="57"/>
      <c r="Q14" s="2" t="s">
        <v>6</v>
      </c>
      <c r="R14" s="57"/>
      <c r="S14" s="57"/>
      <c r="T14" s="57"/>
      <c r="U14" s="57"/>
      <c r="V14" s="60">
        <v>0.0</v>
      </c>
      <c r="W14" s="2">
        <v>0.0</v>
      </c>
      <c r="X14" s="2">
        <v>0.0</v>
      </c>
      <c r="Y14" s="2">
        <v>0.0</v>
      </c>
      <c r="Z14" s="2">
        <v>0.0</v>
      </c>
      <c r="AA14" s="62">
        <v>0.0</v>
      </c>
      <c r="AB14" s="63">
        <v>2.0</v>
      </c>
      <c r="AC14" s="52">
        <v>0.0</v>
      </c>
      <c r="AD14" s="52">
        <v>3.0</v>
      </c>
      <c r="AE14" s="72">
        <v>8.0</v>
      </c>
      <c r="AF14" s="93">
        <v>-4.0</v>
      </c>
      <c r="AG14" s="75">
        <v>0.25</v>
      </c>
      <c r="AH14" s="63">
        <v>2.0</v>
      </c>
      <c r="AI14" s="52">
        <v>0.0</v>
      </c>
      <c r="AJ14" s="52">
        <v>3.0</v>
      </c>
      <c r="AK14" s="72">
        <v>8.0</v>
      </c>
      <c r="AL14" s="93">
        <v>-4.0</v>
      </c>
      <c r="AM14" s="75">
        <v>0.1</v>
      </c>
    </row>
    <row r="15">
      <c r="A15" s="29" t="s">
        <v>49</v>
      </c>
      <c r="B15" s="60" t="s">
        <v>7</v>
      </c>
      <c r="C15" s="57"/>
      <c r="D15" s="2"/>
      <c r="E15" s="2" t="s">
        <v>7</v>
      </c>
      <c r="F15" s="2"/>
      <c r="G15" s="2"/>
      <c r="H15" s="57"/>
      <c r="I15" s="2"/>
      <c r="J15" s="57"/>
      <c r="K15" s="2" t="s">
        <v>6</v>
      </c>
      <c r="L15" s="2"/>
      <c r="M15" s="2" t="s">
        <v>6</v>
      </c>
      <c r="N15" s="2" t="s">
        <v>7</v>
      </c>
      <c r="O15" s="2"/>
      <c r="P15" s="2" t="s">
        <v>7</v>
      </c>
      <c r="Q15" s="2" t="s">
        <v>6</v>
      </c>
      <c r="R15" s="2"/>
      <c r="S15" s="2"/>
      <c r="T15" s="2"/>
      <c r="U15" s="2" t="s">
        <v>6</v>
      </c>
      <c r="V15" s="60">
        <v>1.0</v>
      </c>
      <c r="W15" s="2">
        <v>3.0</v>
      </c>
      <c r="X15" s="2">
        <v>0.0</v>
      </c>
      <c r="Y15" s="2">
        <v>22.0</v>
      </c>
      <c r="Z15" s="2">
        <v>22.0</v>
      </c>
      <c r="AA15" s="62">
        <v>0.33</v>
      </c>
      <c r="AB15" s="63">
        <v>3.0</v>
      </c>
      <c r="AC15" s="52">
        <v>1.0</v>
      </c>
      <c r="AD15" s="52">
        <v>0.0</v>
      </c>
      <c r="AE15" s="114">
        <v>18.0</v>
      </c>
      <c r="AF15" s="120">
        <v>18.0</v>
      </c>
      <c r="AG15" s="100">
        <v>0.5</v>
      </c>
      <c r="AH15" s="63">
        <v>4.0</v>
      </c>
      <c r="AI15" s="52">
        <v>4.0</v>
      </c>
      <c r="AJ15" s="52">
        <v>0.0</v>
      </c>
      <c r="AK15" s="114">
        <v>40.0</v>
      </c>
      <c r="AL15" s="120">
        <v>40.0</v>
      </c>
      <c r="AM15" s="100">
        <v>0.4</v>
      </c>
    </row>
    <row r="16">
      <c r="A16" s="29" t="s">
        <v>61</v>
      </c>
      <c r="B16" s="60" t="s">
        <v>8</v>
      </c>
      <c r="C16" s="2" t="s">
        <v>7</v>
      </c>
      <c r="D16" s="2" t="s">
        <v>7</v>
      </c>
      <c r="E16" s="57"/>
      <c r="F16" s="57"/>
      <c r="G16" s="2" t="s">
        <v>6</v>
      </c>
      <c r="H16" s="2" t="s">
        <v>6</v>
      </c>
      <c r="I16" s="57"/>
      <c r="J16" s="2" t="s">
        <v>7</v>
      </c>
      <c r="K16" s="57"/>
      <c r="L16" s="57"/>
      <c r="M16" s="57"/>
      <c r="N16" s="57"/>
      <c r="O16" s="2" t="s">
        <v>8</v>
      </c>
      <c r="P16" s="57"/>
      <c r="Q16" s="2"/>
      <c r="R16" s="2" t="s">
        <v>8</v>
      </c>
      <c r="S16" s="2" t="s">
        <v>6</v>
      </c>
      <c r="T16" s="57"/>
      <c r="U16" s="2"/>
      <c r="V16" s="60">
        <v>2.0</v>
      </c>
      <c r="W16" s="2">
        <v>3.0</v>
      </c>
      <c r="X16" s="2">
        <v>1.0</v>
      </c>
      <c r="Y16" s="2">
        <v>26.0</v>
      </c>
      <c r="Z16" s="2">
        <v>22.0</v>
      </c>
      <c r="AA16" s="62">
        <v>0.42</v>
      </c>
      <c r="AB16" s="63">
        <v>1.0</v>
      </c>
      <c r="AC16" s="52">
        <v>0.0</v>
      </c>
      <c r="AD16" s="52">
        <v>2.0</v>
      </c>
      <c r="AE16" s="122">
        <v>4.0</v>
      </c>
      <c r="AF16" s="74">
        <v>-4.0</v>
      </c>
      <c r="AG16" s="70">
        <v>0.13</v>
      </c>
      <c r="AH16" s="63">
        <v>3.0</v>
      </c>
      <c r="AI16" s="52">
        <v>3.0</v>
      </c>
      <c r="AJ16" s="52">
        <v>3.0</v>
      </c>
      <c r="AK16" s="122">
        <v>30.0</v>
      </c>
      <c r="AL16" s="74">
        <v>18.0</v>
      </c>
      <c r="AM16" s="70">
        <v>0.3</v>
      </c>
    </row>
    <row r="17">
      <c r="A17" s="29" t="s">
        <v>35</v>
      </c>
      <c r="B17" s="60" t="s">
        <v>8</v>
      </c>
      <c r="C17" s="57"/>
      <c r="D17" s="57"/>
      <c r="E17" s="2" t="s">
        <v>7</v>
      </c>
      <c r="F17" s="57"/>
      <c r="G17" s="57"/>
      <c r="H17" s="57"/>
      <c r="I17" s="57"/>
      <c r="J17" s="2" t="s">
        <v>7</v>
      </c>
      <c r="K17" s="57"/>
      <c r="L17" s="2" t="s">
        <v>6</v>
      </c>
      <c r="M17" s="2" t="s">
        <v>8</v>
      </c>
      <c r="N17" s="57"/>
      <c r="O17" s="2" t="s">
        <v>8</v>
      </c>
      <c r="P17" s="2" t="s">
        <v>7</v>
      </c>
      <c r="Q17" s="57"/>
      <c r="R17" s="2" t="s">
        <v>6</v>
      </c>
      <c r="S17" s="2" t="s">
        <v>6</v>
      </c>
      <c r="T17" s="57"/>
      <c r="U17" s="2" t="s">
        <v>6</v>
      </c>
      <c r="V17" s="60">
        <v>4.0</v>
      </c>
      <c r="W17" s="2">
        <v>3.0</v>
      </c>
      <c r="X17" s="2">
        <v>0.0</v>
      </c>
      <c r="Y17" s="2">
        <v>34.0</v>
      </c>
      <c r="Z17" s="2">
        <v>34.0</v>
      </c>
      <c r="AA17" s="62">
        <v>0.58</v>
      </c>
      <c r="AB17" s="63">
        <v>0.0</v>
      </c>
      <c r="AC17" s="52">
        <v>0.0</v>
      </c>
      <c r="AD17" s="52">
        <v>3.0</v>
      </c>
      <c r="AE17" s="85">
        <v>0.0</v>
      </c>
      <c r="AF17" s="86">
        <v>-12.0</v>
      </c>
      <c r="AG17" s="87">
        <v>0.0</v>
      </c>
      <c r="AH17" s="63">
        <v>4.0</v>
      </c>
      <c r="AI17" s="52">
        <v>3.0</v>
      </c>
      <c r="AJ17" s="52">
        <v>3.0</v>
      </c>
      <c r="AK17" s="85">
        <v>34.0</v>
      </c>
      <c r="AL17" s="86">
        <v>22.0</v>
      </c>
      <c r="AM17" s="87">
        <v>0.35</v>
      </c>
    </row>
    <row r="18">
      <c r="A18" s="29" t="s">
        <v>64</v>
      </c>
      <c r="B18" s="60"/>
      <c r="C18" s="2" t="s">
        <v>6</v>
      </c>
      <c r="D18" s="2"/>
      <c r="E18" s="2"/>
      <c r="F18" s="57"/>
      <c r="G18" s="57"/>
      <c r="H18" s="2" t="s">
        <v>6</v>
      </c>
      <c r="I18" s="57"/>
      <c r="J18" s="2" t="s">
        <v>8</v>
      </c>
      <c r="K18" s="57"/>
      <c r="L18" s="2"/>
      <c r="M18" s="57"/>
      <c r="N18" s="57"/>
      <c r="O18" s="2" t="s">
        <v>6</v>
      </c>
      <c r="P18" s="57"/>
      <c r="Q18" s="57"/>
      <c r="R18" s="57"/>
      <c r="S18" s="57"/>
      <c r="T18" s="57"/>
      <c r="U18" s="57"/>
      <c r="V18" s="60">
        <v>1.0</v>
      </c>
      <c r="W18" s="2">
        <v>0.0</v>
      </c>
      <c r="X18" s="2">
        <v>1.0</v>
      </c>
      <c r="Y18" s="2">
        <v>4.0</v>
      </c>
      <c r="Z18" s="2">
        <v>0.0</v>
      </c>
      <c r="AA18" s="62">
        <v>0.08</v>
      </c>
      <c r="AB18" s="63">
        <v>2.0</v>
      </c>
      <c r="AC18" s="52">
        <v>0.0</v>
      </c>
      <c r="AD18" s="52">
        <v>0.0</v>
      </c>
      <c r="AE18" s="122">
        <v>8.0</v>
      </c>
      <c r="AF18" s="86">
        <v>8.0</v>
      </c>
      <c r="AG18" s="70">
        <v>0.25</v>
      </c>
      <c r="AH18" s="63">
        <v>3.0</v>
      </c>
      <c r="AI18" s="52">
        <v>0.0</v>
      </c>
      <c r="AJ18" s="52">
        <v>1.0</v>
      </c>
      <c r="AK18" s="122">
        <v>12.0</v>
      </c>
      <c r="AL18" s="86">
        <v>8.0</v>
      </c>
      <c r="AM18" s="70">
        <v>0.15</v>
      </c>
    </row>
    <row r="19">
      <c r="A19" s="29" t="s">
        <v>50</v>
      </c>
      <c r="B19" s="60"/>
      <c r="C19" s="2"/>
      <c r="D19" s="2"/>
      <c r="E19" s="2" t="s">
        <v>7</v>
      </c>
      <c r="F19" s="57"/>
      <c r="G19" s="2" t="s">
        <v>6</v>
      </c>
      <c r="H19" s="2"/>
      <c r="I19" s="2" t="s">
        <v>6</v>
      </c>
      <c r="J19" s="2" t="s">
        <v>7</v>
      </c>
      <c r="K19" s="57"/>
      <c r="L19" s="2" t="s">
        <v>8</v>
      </c>
      <c r="M19" s="57"/>
      <c r="N19" s="2" t="s">
        <v>6</v>
      </c>
      <c r="O19" s="2"/>
      <c r="P19" s="2" t="s">
        <v>7</v>
      </c>
      <c r="Q19" s="2"/>
      <c r="R19" s="2" t="s">
        <v>6</v>
      </c>
      <c r="S19" s="2"/>
      <c r="T19" s="57"/>
      <c r="U19" s="2" t="s">
        <v>6</v>
      </c>
      <c r="V19" s="60">
        <v>5.0</v>
      </c>
      <c r="W19" s="2">
        <v>3.0</v>
      </c>
      <c r="X19" s="2">
        <v>1.0</v>
      </c>
      <c r="Y19" s="2">
        <v>38.0</v>
      </c>
      <c r="Z19" s="2">
        <v>34.0</v>
      </c>
      <c r="AA19" s="62">
        <v>0.67</v>
      </c>
      <c r="AB19" s="63">
        <v>0.0</v>
      </c>
      <c r="AC19" s="52">
        <v>0.0</v>
      </c>
      <c r="AD19" s="52">
        <v>0.0</v>
      </c>
      <c r="AE19" s="131">
        <v>0.0</v>
      </c>
      <c r="AF19" s="132">
        <v>0.0</v>
      </c>
      <c r="AG19" s="134">
        <v>0.0</v>
      </c>
      <c r="AH19" s="63">
        <v>5.0</v>
      </c>
      <c r="AI19" s="52">
        <v>3.0</v>
      </c>
      <c r="AJ19" s="52">
        <v>1.0</v>
      </c>
      <c r="AK19" s="131">
        <v>38.0</v>
      </c>
      <c r="AL19" s="132">
        <v>34.0</v>
      </c>
      <c r="AM19" s="134">
        <v>0.4</v>
      </c>
    </row>
    <row r="20">
      <c r="A20" s="29" t="s">
        <v>42</v>
      </c>
      <c r="B20" s="60" t="s">
        <v>6</v>
      </c>
      <c r="C20" s="2" t="s">
        <v>6</v>
      </c>
      <c r="D20" s="2"/>
      <c r="E20" s="57"/>
      <c r="F20" s="2"/>
      <c r="G20" s="2"/>
      <c r="H20" s="57"/>
      <c r="I20" s="2"/>
      <c r="J20" s="2"/>
      <c r="K20" s="2" t="s">
        <v>6</v>
      </c>
      <c r="L20" s="2"/>
      <c r="M20" s="2"/>
      <c r="N20" s="57"/>
      <c r="O20" s="57"/>
      <c r="P20" s="57"/>
      <c r="Q20" s="57"/>
      <c r="R20" s="57"/>
      <c r="S20" s="57"/>
      <c r="T20" s="2"/>
      <c r="U20" s="2" t="s">
        <v>8</v>
      </c>
      <c r="V20" s="60">
        <v>1.0</v>
      </c>
      <c r="W20" s="2">
        <v>0.0</v>
      </c>
      <c r="X20" s="2">
        <v>1.0</v>
      </c>
      <c r="Y20" s="2">
        <v>4.0</v>
      </c>
      <c r="Z20" s="2">
        <v>0.0</v>
      </c>
      <c r="AA20" s="62">
        <v>0.08</v>
      </c>
      <c r="AB20" s="63">
        <v>2.0</v>
      </c>
      <c r="AC20" s="52">
        <v>0.0</v>
      </c>
      <c r="AD20" s="52">
        <v>0.0</v>
      </c>
      <c r="AE20" s="139">
        <v>8.0</v>
      </c>
      <c r="AF20" s="85">
        <v>8.0</v>
      </c>
      <c r="AG20" s="140">
        <v>0.25</v>
      </c>
      <c r="AH20" s="63">
        <v>3.0</v>
      </c>
      <c r="AI20" s="52">
        <v>0.0</v>
      </c>
      <c r="AJ20" s="52">
        <v>1.0</v>
      </c>
      <c r="AK20" s="139">
        <v>12.0</v>
      </c>
      <c r="AL20" s="85">
        <v>8.0</v>
      </c>
      <c r="AM20" s="140">
        <v>0.15</v>
      </c>
    </row>
    <row r="21">
      <c r="A21" s="29" t="s">
        <v>66</v>
      </c>
      <c r="B21" s="55"/>
      <c r="C21" s="57"/>
      <c r="D21" s="57"/>
      <c r="E21" s="2" t="s">
        <v>6</v>
      </c>
      <c r="F21" s="57"/>
      <c r="G21" s="57"/>
      <c r="H21" s="57"/>
      <c r="I21" s="57"/>
      <c r="J21" s="57"/>
      <c r="K21" s="2" t="s">
        <v>6</v>
      </c>
      <c r="L21" s="57"/>
      <c r="M21" s="2"/>
      <c r="N21" s="57"/>
      <c r="O21" s="57"/>
      <c r="P21" s="57"/>
      <c r="Q21" s="57"/>
      <c r="R21" s="57"/>
      <c r="S21" s="2" t="s">
        <v>6</v>
      </c>
      <c r="T21" s="57"/>
      <c r="U21" s="57"/>
      <c r="V21" s="60">
        <v>2.0</v>
      </c>
      <c r="W21" s="2">
        <v>0.0</v>
      </c>
      <c r="X21" s="2">
        <v>0.0</v>
      </c>
      <c r="Y21" s="2">
        <v>8.0</v>
      </c>
      <c r="Z21" s="2">
        <v>8.0</v>
      </c>
      <c r="AA21" s="62">
        <v>0.17</v>
      </c>
      <c r="AB21" s="63">
        <v>1.0</v>
      </c>
      <c r="AC21" s="52">
        <v>0.0</v>
      </c>
      <c r="AD21" s="52">
        <v>0.0</v>
      </c>
      <c r="AE21" s="143">
        <v>4.0</v>
      </c>
      <c r="AF21" s="144">
        <v>4.0</v>
      </c>
      <c r="AG21" s="87">
        <v>0.13</v>
      </c>
      <c r="AH21" s="63">
        <v>3.0</v>
      </c>
      <c r="AI21" s="52">
        <v>0.0</v>
      </c>
      <c r="AJ21" s="52">
        <v>0.0</v>
      </c>
      <c r="AK21" s="143">
        <v>12.0</v>
      </c>
      <c r="AL21" s="144">
        <v>12.0</v>
      </c>
      <c r="AM21" s="87">
        <v>0.15</v>
      </c>
    </row>
    <row r="22">
      <c r="A22" s="29" t="s">
        <v>46</v>
      </c>
      <c r="B22" s="60" t="s">
        <v>7</v>
      </c>
      <c r="C22" s="2"/>
      <c r="D22" s="2"/>
      <c r="E22" s="2"/>
      <c r="F22" s="2" t="s">
        <v>8</v>
      </c>
      <c r="G22" s="2"/>
      <c r="H22" s="57"/>
      <c r="I22" s="2"/>
      <c r="J22" s="2" t="s">
        <v>6</v>
      </c>
      <c r="K22" s="2"/>
      <c r="L22" s="2"/>
      <c r="M22" s="57"/>
      <c r="N22" s="2"/>
      <c r="O22" s="57"/>
      <c r="P22" s="2"/>
      <c r="Q22" s="2"/>
      <c r="R22" s="2" t="s">
        <v>6</v>
      </c>
      <c r="S22" s="2"/>
      <c r="T22" s="2"/>
      <c r="U22" s="2"/>
      <c r="V22" s="60">
        <v>2.0</v>
      </c>
      <c r="W22" s="2">
        <v>0.0</v>
      </c>
      <c r="X22" s="2">
        <v>0.0</v>
      </c>
      <c r="Y22" s="2">
        <v>8.0</v>
      </c>
      <c r="Z22" s="2">
        <v>8.0</v>
      </c>
      <c r="AA22" s="62">
        <v>0.17</v>
      </c>
      <c r="AB22" s="63">
        <v>0.0</v>
      </c>
      <c r="AC22" s="52">
        <v>1.0</v>
      </c>
      <c r="AD22" s="52">
        <v>1.0</v>
      </c>
      <c r="AE22" s="128">
        <v>6.0</v>
      </c>
      <c r="AF22" s="129">
        <v>2.0</v>
      </c>
      <c r="AG22" s="130">
        <v>0.13</v>
      </c>
      <c r="AH22" s="63">
        <v>2.0</v>
      </c>
      <c r="AI22" s="52">
        <v>1.0</v>
      </c>
      <c r="AJ22" s="52">
        <v>1.0</v>
      </c>
      <c r="AK22" s="128">
        <v>14.0</v>
      </c>
      <c r="AL22" s="129">
        <v>10.0</v>
      </c>
      <c r="AM22" s="130">
        <v>0.15</v>
      </c>
    </row>
    <row r="23">
      <c r="A23" s="29" t="s">
        <v>68</v>
      </c>
      <c r="B23" s="60" t="s">
        <v>8</v>
      </c>
      <c r="C23" s="2"/>
      <c r="D23" s="2" t="s">
        <v>8</v>
      </c>
      <c r="E23" s="2" t="s">
        <v>8</v>
      </c>
      <c r="F23" s="2"/>
      <c r="G23" s="2" t="s">
        <v>7</v>
      </c>
      <c r="H23" s="2"/>
      <c r="I23" s="2"/>
      <c r="J23" s="2" t="s">
        <v>6</v>
      </c>
      <c r="K23" s="57"/>
      <c r="L23" s="2"/>
      <c r="M23" s="2" t="s">
        <v>8</v>
      </c>
      <c r="N23" s="2"/>
      <c r="O23" s="57"/>
      <c r="P23" s="2"/>
      <c r="Q23" s="2" t="s">
        <v>6</v>
      </c>
      <c r="R23" s="2"/>
      <c r="S23" s="2"/>
      <c r="T23" s="57"/>
      <c r="U23" s="2"/>
      <c r="V23" s="60">
        <v>1.0</v>
      </c>
      <c r="W23" s="2">
        <v>1.0</v>
      </c>
      <c r="X23" s="2">
        <v>2.0</v>
      </c>
      <c r="Y23" s="2">
        <v>10.0</v>
      </c>
      <c r="Z23" s="2">
        <v>2.0</v>
      </c>
      <c r="AA23" s="62">
        <v>0.17</v>
      </c>
      <c r="AB23" s="63">
        <v>1.0</v>
      </c>
      <c r="AC23" s="52">
        <v>0.0</v>
      </c>
      <c r="AD23" s="52">
        <v>2.0</v>
      </c>
      <c r="AE23" s="97">
        <v>4.0</v>
      </c>
      <c r="AF23" s="99">
        <v>-4.0</v>
      </c>
      <c r="AG23" s="116">
        <v>0.13</v>
      </c>
      <c r="AH23" s="63">
        <v>2.0</v>
      </c>
      <c r="AI23" s="52">
        <v>1.0</v>
      </c>
      <c r="AJ23" s="52">
        <v>4.0</v>
      </c>
      <c r="AK23" s="97">
        <v>14.0</v>
      </c>
      <c r="AL23" s="99">
        <v>-2.0</v>
      </c>
      <c r="AM23" s="116">
        <v>0.15</v>
      </c>
    </row>
    <row r="24">
      <c r="A24" s="29" t="s">
        <v>60</v>
      </c>
      <c r="B24" s="60" t="s">
        <v>7</v>
      </c>
      <c r="C24" s="2" t="s">
        <v>7</v>
      </c>
      <c r="D24" s="2" t="s">
        <v>6</v>
      </c>
      <c r="E24" s="2" t="s">
        <v>6</v>
      </c>
      <c r="F24" s="2" t="s">
        <v>8</v>
      </c>
      <c r="G24" s="2" t="s">
        <v>8</v>
      </c>
      <c r="H24" s="2" t="s">
        <v>6</v>
      </c>
      <c r="I24" s="57"/>
      <c r="J24" s="2" t="s">
        <v>8</v>
      </c>
      <c r="K24" s="2" t="s">
        <v>8</v>
      </c>
      <c r="L24" s="2" t="s">
        <v>6</v>
      </c>
      <c r="M24" s="2" t="s">
        <v>6</v>
      </c>
      <c r="N24" s="2" t="s">
        <v>7</v>
      </c>
      <c r="O24" s="2" t="s">
        <v>6</v>
      </c>
      <c r="P24" s="2" t="s">
        <v>6</v>
      </c>
      <c r="Q24" s="57"/>
      <c r="R24" s="2" t="s">
        <v>6</v>
      </c>
      <c r="S24" s="2" t="s">
        <v>6</v>
      </c>
      <c r="T24" s="2"/>
      <c r="U24" s="2" t="s">
        <v>7</v>
      </c>
      <c r="V24" s="60">
        <v>6.0</v>
      </c>
      <c r="W24" s="2">
        <v>3.0</v>
      </c>
      <c r="X24" s="2">
        <v>2.0</v>
      </c>
      <c r="Y24" s="2">
        <v>42.0</v>
      </c>
      <c r="Z24" s="2">
        <v>34.0</v>
      </c>
      <c r="AA24" s="62">
        <v>0.75</v>
      </c>
      <c r="AB24" s="63">
        <v>3.0</v>
      </c>
      <c r="AC24" s="52">
        <v>1.0</v>
      </c>
      <c r="AD24" s="52">
        <v>2.0</v>
      </c>
      <c r="AE24" s="158">
        <v>18.0</v>
      </c>
      <c r="AF24" s="159">
        <v>10.0</v>
      </c>
      <c r="AG24" s="140">
        <v>0.5</v>
      </c>
      <c r="AH24" s="63">
        <v>9.0</v>
      </c>
      <c r="AI24" s="52">
        <v>4.0</v>
      </c>
      <c r="AJ24" s="52">
        <v>4.0</v>
      </c>
      <c r="AK24" s="158">
        <v>60.0</v>
      </c>
      <c r="AL24" s="159">
        <v>44.0</v>
      </c>
      <c r="AM24" s="140">
        <v>0.65</v>
      </c>
    </row>
    <row r="25">
      <c r="A25" s="29" t="s">
        <v>70</v>
      </c>
      <c r="B25" s="60" t="s">
        <v>7</v>
      </c>
      <c r="C25" s="2" t="s">
        <v>7</v>
      </c>
      <c r="D25" s="57"/>
      <c r="E25" s="2" t="s">
        <v>6</v>
      </c>
      <c r="F25" s="2"/>
      <c r="G25" s="2" t="s">
        <v>7</v>
      </c>
      <c r="H25" s="2" t="s">
        <v>7</v>
      </c>
      <c r="I25" s="2" t="s">
        <v>7</v>
      </c>
      <c r="J25" s="2" t="s">
        <v>7</v>
      </c>
      <c r="K25" s="2" t="s">
        <v>6</v>
      </c>
      <c r="L25" s="2"/>
      <c r="M25" s="2"/>
      <c r="N25" s="2" t="s">
        <v>7</v>
      </c>
      <c r="O25" s="57"/>
      <c r="P25" s="2" t="s">
        <v>7</v>
      </c>
      <c r="Q25" s="2" t="s">
        <v>6</v>
      </c>
      <c r="R25" s="57"/>
      <c r="S25" s="2" t="s">
        <v>8</v>
      </c>
      <c r="T25" s="57"/>
      <c r="U25" s="2" t="s">
        <v>6</v>
      </c>
      <c r="V25" s="60">
        <v>2.0</v>
      </c>
      <c r="W25" s="2">
        <v>6.0</v>
      </c>
      <c r="X25" s="2">
        <v>1.0</v>
      </c>
      <c r="Y25" s="2">
        <v>44.0</v>
      </c>
      <c r="Z25" s="2">
        <v>40.0</v>
      </c>
      <c r="AA25" s="62">
        <v>0.67</v>
      </c>
      <c r="AB25" s="63">
        <v>2.0</v>
      </c>
      <c r="AC25" s="52">
        <v>2.0</v>
      </c>
      <c r="AD25" s="52">
        <v>0.0</v>
      </c>
      <c r="AE25" s="131">
        <v>20.0</v>
      </c>
      <c r="AF25" s="162">
        <v>20.0</v>
      </c>
      <c r="AG25" s="116">
        <v>0.5</v>
      </c>
      <c r="AH25" s="63">
        <v>4.0</v>
      </c>
      <c r="AI25" s="52">
        <v>8.0</v>
      </c>
      <c r="AJ25" s="52">
        <v>1.0</v>
      </c>
      <c r="AK25" s="131">
        <v>64.0</v>
      </c>
      <c r="AL25" s="162">
        <v>60.0</v>
      </c>
      <c r="AM25" s="116">
        <v>0.6</v>
      </c>
    </row>
    <row r="26">
      <c r="A26" s="29" t="s">
        <v>47</v>
      </c>
      <c r="B26" s="55"/>
      <c r="C26" s="57"/>
      <c r="D26" s="2" t="s">
        <v>6</v>
      </c>
      <c r="E26" s="57"/>
      <c r="F26" s="2" t="s">
        <v>7</v>
      </c>
      <c r="G26" s="2"/>
      <c r="H26" s="57"/>
      <c r="I26" s="57"/>
      <c r="J26" s="57"/>
      <c r="K26" s="57"/>
      <c r="L26" s="57"/>
      <c r="M26" s="57"/>
      <c r="N26" s="57"/>
      <c r="O26" s="2" t="s">
        <v>8</v>
      </c>
      <c r="P26" s="2" t="s">
        <v>8</v>
      </c>
      <c r="Q26" s="2"/>
      <c r="R26" s="57"/>
      <c r="S26" s="2" t="s">
        <v>8</v>
      </c>
      <c r="T26" s="57"/>
      <c r="U26" s="57"/>
      <c r="V26" s="60">
        <v>1.0</v>
      </c>
      <c r="W26" s="2">
        <v>0.0</v>
      </c>
      <c r="X26" s="2">
        <v>2.0</v>
      </c>
      <c r="Y26" s="2">
        <v>4.0</v>
      </c>
      <c r="Z26" s="2">
        <v>-4.0</v>
      </c>
      <c r="AA26" s="62">
        <v>0.08</v>
      </c>
      <c r="AB26" s="63">
        <v>0.0</v>
      </c>
      <c r="AC26" s="52">
        <v>1.0</v>
      </c>
      <c r="AD26" s="52">
        <v>1.0</v>
      </c>
      <c r="AE26" s="139">
        <v>6.0</v>
      </c>
      <c r="AF26" s="132">
        <v>2.0</v>
      </c>
      <c r="AG26" s="140">
        <v>0.13</v>
      </c>
      <c r="AH26" s="63">
        <v>1.0</v>
      </c>
      <c r="AI26" s="52">
        <v>1.0</v>
      </c>
      <c r="AJ26" s="52">
        <v>3.0</v>
      </c>
      <c r="AK26" s="139">
        <v>10.0</v>
      </c>
      <c r="AL26" s="132">
        <v>-2.0</v>
      </c>
      <c r="AM26" s="140">
        <v>0.1</v>
      </c>
    </row>
    <row r="27">
      <c r="A27" s="29" t="s">
        <v>36</v>
      </c>
      <c r="B27" s="60" t="s">
        <v>8</v>
      </c>
      <c r="C27" s="2" t="s">
        <v>7</v>
      </c>
      <c r="D27" s="2"/>
      <c r="E27" s="2"/>
      <c r="F27" s="57"/>
      <c r="G27" s="2"/>
      <c r="H27" s="57"/>
      <c r="I27" s="57"/>
      <c r="J27" s="2"/>
      <c r="K27" s="57"/>
      <c r="L27" s="2" t="s">
        <v>8</v>
      </c>
      <c r="M27" s="2"/>
      <c r="N27" s="2"/>
      <c r="O27" s="2" t="s">
        <v>8</v>
      </c>
      <c r="P27" s="2" t="s">
        <v>7</v>
      </c>
      <c r="Q27" s="2" t="s">
        <v>6</v>
      </c>
      <c r="R27" s="57"/>
      <c r="S27" s="57"/>
      <c r="T27" s="57"/>
      <c r="U27" s="2" t="s">
        <v>6</v>
      </c>
      <c r="V27" s="60">
        <v>1.0</v>
      </c>
      <c r="W27" s="2">
        <v>2.0</v>
      </c>
      <c r="X27" s="2">
        <v>1.0</v>
      </c>
      <c r="Y27" s="2">
        <v>16.0</v>
      </c>
      <c r="Z27" s="2">
        <v>12.0</v>
      </c>
      <c r="AA27" s="62">
        <v>0.25</v>
      </c>
      <c r="AB27" s="63">
        <v>1.0</v>
      </c>
      <c r="AC27" s="52">
        <v>0.0</v>
      </c>
      <c r="AD27" s="52">
        <v>2.0</v>
      </c>
      <c r="AE27" s="131">
        <v>4.0</v>
      </c>
      <c r="AF27" s="162">
        <v>-4.0</v>
      </c>
      <c r="AG27" s="116">
        <v>0.13</v>
      </c>
      <c r="AH27" s="63">
        <v>2.0</v>
      </c>
      <c r="AI27" s="52">
        <v>2.0</v>
      </c>
      <c r="AJ27" s="52">
        <v>3.0</v>
      </c>
      <c r="AK27" s="131">
        <v>20.0</v>
      </c>
      <c r="AL27" s="162">
        <v>8.0</v>
      </c>
      <c r="AM27" s="116">
        <v>0.2</v>
      </c>
    </row>
    <row r="28">
      <c r="A28" s="29" t="s">
        <v>62</v>
      </c>
      <c r="B28" s="60" t="s">
        <v>6</v>
      </c>
      <c r="C28" s="2"/>
      <c r="D28" s="2" t="s">
        <v>7</v>
      </c>
      <c r="E28" s="2" t="s">
        <v>8</v>
      </c>
      <c r="F28" s="2"/>
      <c r="G28" s="2" t="s">
        <v>6</v>
      </c>
      <c r="H28" s="2" t="s">
        <v>6</v>
      </c>
      <c r="I28" s="2" t="s">
        <v>8</v>
      </c>
      <c r="J28" s="2" t="s">
        <v>7</v>
      </c>
      <c r="K28" s="2" t="s">
        <v>6</v>
      </c>
      <c r="L28" s="2"/>
      <c r="M28" s="2" t="s">
        <v>8</v>
      </c>
      <c r="N28" s="2" t="s">
        <v>7</v>
      </c>
      <c r="O28" s="2"/>
      <c r="P28" s="2" t="s">
        <v>8</v>
      </c>
      <c r="Q28" s="2"/>
      <c r="R28" s="2"/>
      <c r="S28" s="57"/>
      <c r="T28" s="2"/>
      <c r="U28" s="2"/>
      <c r="V28" s="60">
        <v>1.0</v>
      </c>
      <c r="W28" s="2">
        <v>3.0</v>
      </c>
      <c r="X28" s="2">
        <v>3.0</v>
      </c>
      <c r="Y28" s="2">
        <v>22.0</v>
      </c>
      <c r="Z28" s="2">
        <v>10.0</v>
      </c>
      <c r="AA28" s="62">
        <v>0.33</v>
      </c>
      <c r="AB28" s="63">
        <v>3.0</v>
      </c>
      <c r="AC28" s="52">
        <v>0.0</v>
      </c>
      <c r="AD28" s="52">
        <v>1.0</v>
      </c>
      <c r="AE28" s="173">
        <v>12.0</v>
      </c>
      <c r="AF28" s="159">
        <v>8.0</v>
      </c>
      <c r="AG28" s="134">
        <v>0.38</v>
      </c>
      <c r="AH28" s="63">
        <v>4.0</v>
      </c>
      <c r="AI28" s="52">
        <v>3.0</v>
      </c>
      <c r="AJ28" s="52">
        <v>4.0</v>
      </c>
      <c r="AK28" s="173">
        <v>34.0</v>
      </c>
      <c r="AL28" s="159">
        <v>18.0</v>
      </c>
      <c r="AM28" s="134">
        <v>0.35</v>
      </c>
    </row>
    <row r="29">
      <c r="A29" s="29" t="s">
        <v>63</v>
      </c>
      <c r="B29" s="60" t="s">
        <v>8</v>
      </c>
      <c r="C29" s="57"/>
      <c r="D29" s="2"/>
      <c r="E29" s="57"/>
      <c r="F29" s="2"/>
      <c r="G29" s="57"/>
      <c r="H29" s="2" t="s">
        <v>6</v>
      </c>
      <c r="I29" s="57"/>
      <c r="J29" s="2"/>
      <c r="K29" s="57"/>
      <c r="L29" s="2"/>
      <c r="M29" s="2" t="s">
        <v>6</v>
      </c>
      <c r="N29" s="57"/>
      <c r="O29" s="57"/>
      <c r="P29" s="2" t="s">
        <v>8</v>
      </c>
      <c r="Q29" s="2"/>
      <c r="R29" s="2"/>
      <c r="S29" s="2"/>
      <c r="T29" s="57"/>
      <c r="U29" s="2"/>
      <c r="V29" s="60">
        <v>0.0</v>
      </c>
      <c r="W29" s="2">
        <v>0.0</v>
      </c>
      <c r="X29" s="2">
        <v>1.0</v>
      </c>
      <c r="Y29" s="2">
        <v>0.0</v>
      </c>
      <c r="Z29" s="2">
        <v>-4.0</v>
      </c>
      <c r="AA29" s="62">
        <v>0.0</v>
      </c>
      <c r="AB29" s="63">
        <v>2.0</v>
      </c>
      <c r="AC29" s="52">
        <v>0.0</v>
      </c>
      <c r="AD29" s="52">
        <v>1.0</v>
      </c>
      <c r="AE29" s="139">
        <v>8.0</v>
      </c>
      <c r="AF29" s="132">
        <v>4.0</v>
      </c>
      <c r="AG29" s="140">
        <v>0.25</v>
      </c>
      <c r="AH29" s="63">
        <v>2.0</v>
      </c>
      <c r="AI29" s="52">
        <v>0.0</v>
      </c>
      <c r="AJ29" s="52">
        <v>2.0</v>
      </c>
      <c r="AK29" s="139">
        <v>8.0</v>
      </c>
      <c r="AL29" s="132">
        <v>0.0</v>
      </c>
      <c r="AM29" s="140">
        <v>0.1</v>
      </c>
    </row>
    <row r="30">
      <c r="A30" s="29" t="s">
        <v>73</v>
      </c>
      <c r="B30" s="60" t="s">
        <v>6</v>
      </c>
      <c r="C30" s="2" t="s">
        <v>6</v>
      </c>
      <c r="D30" s="2" t="s">
        <v>6</v>
      </c>
      <c r="E30" s="2" t="s">
        <v>6</v>
      </c>
      <c r="F30" s="2" t="s">
        <v>7</v>
      </c>
      <c r="G30" s="2" t="s">
        <v>6</v>
      </c>
      <c r="H30" s="57"/>
      <c r="I30" s="57"/>
      <c r="J30" s="2" t="s">
        <v>7</v>
      </c>
      <c r="K30" s="2" t="s">
        <v>8</v>
      </c>
      <c r="L30" s="57"/>
      <c r="M30" s="57"/>
      <c r="N30" s="2"/>
      <c r="O30" s="2" t="s">
        <v>8</v>
      </c>
      <c r="P30" s="2" t="s">
        <v>6</v>
      </c>
      <c r="Q30" s="2" t="s">
        <v>6</v>
      </c>
      <c r="R30" s="57"/>
      <c r="S30" s="57"/>
      <c r="T30" s="57"/>
      <c r="U30" s="2" t="s">
        <v>8</v>
      </c>
      <c r="V30" s="60">
        <v>5.0</v>
      </c>
      <c r="W30" s="2">
        <v>1.0</v>
      </c>
      <c r="X30" s="2">
        <v>1.0</v>
      </c>
      <c r="Y30" s="2">
        <v>26.0</v>
      </c>
      <c r="Z30" s="2">
        <v>22.0</v>
      </c>
      <c r="AA30" s="62">
        <v>0.5</v>
      </c>
      <c r="AB30" s="63">
        <v>2.0</v>
      </c>
      <c r="AC30" s="52">
        <v>1.0</v>
      </c>
      <c r="AD30" s="52">
        <v>2.0</v>
      </c>
      <c r="AE30" s="80">
        <v>14.0</v>
      </c>
      <c r="AF30" s="81">
        <v>6.0</v>
      </c>
      <c r="AG30" s="75">
        <v>0.38</v>
      </c>
      <c r="AH30" s="63">
        <v>7.0</v>
      </c>
      <c r="AI30" s="52">
        <v>2.0</v>
      </c>
      <c r="AJ30" s="52">
        <v>3.0</v>
      </c>
      <c r="AK30" s="80">
        <v>40.0</v>
      </c>
      <c r="AL30" s="81">
        <v>28.0</v>
      </c>
      <c r="AM30" s="75">
        <v>0.45</v>
      </c>
    </row>
    <row r="31">
      <c r="A31" s="29" t="s">
        <v>72</v>
      </c>
      <c r="B31" s="60" t="s">
        <v>6</v>
      </c>
      <c r="C31" s="2" t="s">
        <v>6</v>
      </c>
      <c r="D31" s="57"/>
      <c r="E31" s="57"/>
      <c r="F31" s="57"/>
      <c r="G31" s="2"/>
      <c r="H31" s="2" t="s">
        <v>6</v>
      </c>
      <c r="I31" s="57"/>
      <c r="J31" s="2" t="s">
        <v>7</v>
      </c>
      <c r="K31" s="2"/>
      <c r="L31" s="57"/>
      <c r="M31" s="57"/>
      <c r="N31" s="2" t="s">
        <v>7</v>
      </c>
      <c r="O31" s="2" t="s">
        <v>8</v>
      </c>
      <c r="P31" s="2" t="s">
        <v>6</v>
      </c>
      <c r="Q31" s="2" t="s">
        <v>8</v>
      </c>
      <c r="R31" s="2" t="s">
        <v>6</v>
      </c>
      <c r="S31" s="2"/>
      <c r="T31" s="2"/>
      <c r="U31" s="57"/>
      <c r="V31" s="60">
        <v>3.0</v>
      </c>
      <c r="W31" s="2">
        <v>2.0</v>
      </c>
      <c r="X31" s="2">
        <v>0.0</v>
      </c>
      <c r="Y31" s="2">
        <v>24.0</v>
      </c>
      <c r="Z31" s="2">
        <v>24.0</v>
      </c>
      <c r="AA31" s="62">
        <v>0.42</v>
      </c>
      <c r="AB31" s="63">
        <v>2.0</v>
      </c>
      <c r="AC31" s="52">
        <v>0.0</v>
      </c>
      <c r="AD31" s="52">
        <v>2.0</v>
      </c>
      <c r="AE31" s="106">
        <v>8.0</v>
      </c>
      <c r="AF31" s="108">
        <v>0.0</v>
      </c>
      <c r="AG31" s="140">
        <v>0.25</v>
      </c>
      <c r="AH31" s="63">
        <v>5.0</v>
      </c>
      <c r="AI31" s="52">
        <v>2.0</v>
      </c>
      <c r="AJ31" s="52">
        <v>2.0</v>
      </c>
      <c r="AK31" s="106">
        <v>32.0</v>
      </c>
      <c r="AL31" s="108">
        <v>24.0</v>
      </c>
      <c r="AM31" s="140">
        <v>0.35</v>
      </c>
    </row>
    <row r="32">
      <c r="A32" s="29" t="s">
        <v>54</v>
      </c>
      <c r="B32" s="60"/>
      <c r="C32" s="57"/>
      <c r="D32" s="2" t="s">
        <v>6</v>
      </c>
      <c r="E32" s="57"/>
      <c r="F32" s="2"/>
      <c r="G32" s="2" t="s">
        <v>6</v>
      </c>
      <c r="H32" s="2"/>
      <c r="I32" s="2" t="s">
        <v>6</v>
      </c>
      <c r="J32" s="2"/>
      <c r="K32" s="57"/>
      <c r="L32" s="57"/>
      <c r="M32" s="2" t="s">
        <v>6</v>
      </c>
      <c r="N32" s="2"/>
      <c r="O32" s="2" t="s">
        <v>6</v>
      </c>
      <c r="P32" s="2" t="s">
        <v>8</v>
      </c>
      <c r="Q32" s="2" t="s">
        <v>6</v>
      </c>
      <c r="R32" s="57"/>
      <c r="S32" s="2" t="s">
        <v>6</v>
      </c>
      <c r="T32" s="57"/>
      <c r="U32" s="2" t="s">
        <v>7</v>
      </c>
      <c r="V32" s="60">
        <v>4.0</v>
      </c>
      <c r="W32" s="2">
        <v>1.0</v>
      </c>
      <c r="X32" s="2">
        <v>1.0</v>
      </c>
      <c r="Y32" s="2">
        <v>22.0</v>
      </c>
      <c r="Z32" s="2">
        <v>18.0</v>
      </c>
      <c r="AA32" s="62">
        <v>0.42</v>
      </c>
      <c r="AB32" s="63">
        <v>3.0</v>
      </c>
      <c r="AC32" s="52">
        <v>0.0</v>
      </c>
      <c r="AD32" s="52">
        <v>0.0</v>
      </c>
      <c r="AE32" s="183">
        <v>12.0</v>
      </c>
      <c r="AF32" s="184">
        <v>12.0</v>
      </c>
      <c r="AG32" s="134">
        <v>0.38</v>
      </c>
      <c r="AH32" s="63">
        <v>7.0</v>
      </c>
      <c r="AI32" s="52">
        <v>1.0</v>
      </c>
      <c r="AJ32" s="52">
        <v>1.0</v>
      </c>
      <c r="AK32" s="183">
        <v>34.0</v>
      </c>
      <c r="AL32" s="184">
        <v>30.0</v>
      </c>
      <c r="AM32" s="134">
        <v>0.4</v>
      </c>
    </row>
    <row r="33">
      <c r="A33" s="29" t="s">
        <v>41</v>
      </c>
      <c r="B33" s="60" t="s">
        <v>6</v>
      </c>
      <c r="C33" s="2" t="s">
        <v>8</v>
      </c>
      <c r="D33" s="2"/>
      <c r="E33" s="2"/>
      <c r="F33" s="2"/>
      <c r="G33" s="57"/>
      <c r="H33" s="2"/>
      <c r="I33" s="2" t="s">
        <v>6</v>
      </c>
      <c r="J33" s="2"/>
      <c r="K33" s="2" t="s">
        <v>6</v>
      </c>
      <c r="L33" s="57"/>
      <c r="M33" s="57"/>
      <c r="N33" s="57"/>
      <c r="O33" s="57"/>
      <c r="P33" s="2" t="s">
        <v>8</v>
      </c>
      <c r="Q33" s="2"/>
      <c r="R33" s="57"/>
      <c r="S33" s="57"/>
      <c r="T33" s="2"/>
      <c r="U33" s="57"/>
      <c r="V33" s="60">
        <v>1.0</v>
      </c>
      <c r="W33" s="2">
        <v>0.0</v>
      </c>
      <c r="X33" s="2">
        <v>2.0</v>
      </c>
      <c r="Y33" s="2">
        <v>4.0</v>
      </c>
      <c r="Z33" s="2">
        <v>-4.0</v>
      </c>
      <c r="AA33" s="62">
        <v>0.08</v>
      </c>
      <c r="AB33" s="63">
        <v>2.0</v>
      </c>
      <c r="AC33" s="52">
        <v>0.0</v>
      </c>
      <c r="AD33" s="52">
        <v>0.0</v>
      </c>
      <c r="AE33" s="190">
        <v>8.0</v>
      </c>
      <c r="AF33" s="162">
        <v>8.0</v>
      </c>
      <c r="AG33" s="116">
        <v>0.25</v>
      </c>
      <c r="AH33" s="63">
        <v>3.0</v>
      </c>
      <c r="AI33" s="52">
        <v>0.0</v>
      </c>
      <c r="AJ33" s="52">
        <v>2.0</v>
      </c>
      <c r="AK33" s="190">
        <v>12.0</v>
      </c>
      <c r="AL33" s="162">
        <v>4.0</v>
      </c>
      <c r="AM33" s="116">
        <v>0.15</v>
      </c>
    </row>
    <row r="34">
      <c r="A34" s="29" t="s">
        <v>75</v>
      </c>
      <c r="B34" s="55"/>
      <c r="C34" s="2" t="s">
        <v>7</v>
      </c>
      <c r="D34" s="2" t="s">
        <v>6</v>
      </c>
      <c r="E34" s="2" t="s">
        <v>7</v>
      </c>
      <c r="F34" s="2"/>
      <c r="G34" s="2" t="s">
        <v>6</v>
      </c>
      <c r="H34" s="2" t="s">
        <v>6</v>
      </c>
      <c r="I34" s="57"/>
      <c r="J34" s="2" t="s">
        <v>7</v>
      </c>
      <c r="K34" s="2"/>
      <c r="L34" s="2" t="s">
        <v>6</v>
      </c>
      <c r="M34" s="2"/>
      <c r="N34" s="2" t="s">
        <v>6</v>
      </c>
      <c r="O34" s="57"/>
      <c r="P34" s="2" t="s">
        <v>6</v>
      </c>
      <c r="Q34" s="2"/>
      <c r="R34" s="2" t="s">
        <v>6</v>
      </c>
      <c r="S34" s="2"/>
      <c r="T34" s="57"/>
      <c r="U34" s="2"/>
      <c r="V34" s="60">
        <v>6.0</v>
      </c>
      <c r="W34" s="2">
        <v>3.0</v>
      </c>
      <c r="X34" s="2">
        <v>0.0</v>
      </c>
      <c r="Y34" s="2">
        <v>42.0</v>
      </c>
      <c r="Z34" s="2">
        <v>42.0</v>
      </c>
      <c r="AA34" s="62">
        <v>0.75</v>
      </c>
      <c r="AB34" s="63">
        <v>1.0</v>
      </c>
      <c r="AC34" s="52">
        <v>0.0</v>
      </c>
      <c r="AD34" s="52">
        <v>0.0</v>
      </c>
      <c r="AE34" s="97">
        <v>4.0</v>
      </c>
      <c r="AF34" s="99">
        <v>4.0</v>
      </c>
      <c r="AG34" s="116">
        <v>0.13</v>
      </c>
      <c r="AH34" s="63">
        <v>7.0</v>
      </c>
      <c r="AI34" s="52">
        <v>3.0</v>
      </c>
      <c r="AJ34" s="52">
        <v>0.0</v>
      </c>
      <c r="AK34" s="97">
        <v>46.0</v>
      </c>
      <c r="AL34" s="99">
        <v>46.0</v>
      </c>
      <c r="AM34" s="116">
        <v>0.5</v>
      </c>
    </row>
    <row r="35">
      <c r="A35" s="29" t="s">
        <v>77</v>
      </c>
      <c r="B35" s="60" t="s">
        <v>6</v>
      </c>
      <c r="C35" s="57"/>
      <c r="D35" s="2"/>
      <c r="E35" s="2" t="s">
        <v>7</v>
      </c>
      <c r="F35" s="2"/>
      <c r="G35" s="57"/>
      <c r="H35" s="57"/>
      <c r="I35" s="57"/>
      <c r="J35" s="2" t="s">
        <v>7</v>
      </c>
      <c r="K35" s="2"/>
      <c r="L35" s="2"/>
      <c r="M35" s="2" t="s">
        <v>6</v>
      </c>
      <c r="N35" s="2" t="s">
        <v>7</v>
      </c>
      <c r="O35" s="57"/>
      <c r="P35" s="2" t="s">
        <v>8</v>
      </c>
      <c r="Q35" s="2"/>
      <c r="R35" s="2"/>
      <c r="S35" s="2" t="s">
        <v>6</v>
      </c>
      <c r="T35" s="57"/>
      <c r="U35" s="2" t="s">
        <v>7</v>
      </c>
      <c r="V35" s="60">
        <v>1.0</v>
      </c>
      <c r="W35" s="2">
        <v>4.0</v>
      </c>
      <c r="X35" s="2">
        <v>1.0</v>
      </c>
      <c r="Y35" s="2">
        <v>28.0</v>
      </c>
      <c r="Z35" s="2">
        <v>24.0</v>
      </c>
      <c r="AA35" s="62">
        <v>0.42</v>
      </c>
      <c r="AB35" s="63">
        <v>2.0</v>
      </c>
      <c r="AC35" s="52">
        <v>0.0</v>
      </c>
      <c r="AD35" s="52">
        <v>0.0</v>
      </c>
      <c r="AE35" s="190">
        <v>8.0</v>
      </c>
      <c r="AF35" s="99">
        <v>8.0</v>
      </c>
      <c r="AG35" s="116">
        <v>0.25</v>
      </c>
      <c r="AH35" s="63">
        <v>3.0</v>
      </c>
      <c r="AI35" s="52">
        <v>4.0</v>
      </c>
      <c r="AJ35" s="52">
        <v>1.0</v>
      </c>
      <c r="AK35" s="190">
        <v>36.0</v>
      </c>
      <c r="AL35" s="99">
        <v>32.0</v>
      </c>
      <c r="AM35" s="116">
        <v>0.35</v>
      </c>
    </row>
    <row r="36">
      <c r="A36" s="29" t="s">
        <v>58</v>
      </c>
      <c r="B36" s="60"/>
      <c r="C36" s="57"/>
      <c r="D36" s="57"/>
      <c r="E36" s="57"/>
      <c r="F36" s="57"/>
      <c r="G36" s="57"/>
      <c r="H36" s="2"/>
      <c r="I36" s="2"/>
      <c r="J36" s="57"/>
      <c r="K36" s="57"/>
      <c r="L36" s="57"/>
      <c r="M36" s="57"/>
      <c r="N36" s="57"/>
      <c r="O36" s="57"/>
      <c r="P36" s="2" t="s">
        <v>6</v>
      </c>
      <c r="Q36" s="2"/>
      <c r="R36" s="2" t="s">
        <v>6</v>
      </c>
      <c r="S36" s="57"/>
      <c r="T36" s="2"/>
      <c r="U36" s="2"/>
      <c r="V36" s="60">
        <v>2.0</v>
      </c>
      <c r="W36" s="2">
        <v>0.0</v>
      </c>
      <c r="X36" s="2">
        <v>0.0</v>
      </c>
      <c r="Y36" s="2">
        <v>8.0</v>
      </c>
      <c r="Z36" s="2">
        <v>8.0</v>
      </c>
      <c r="AA36" s="62">
        <v>0.17</v>
      </c>
      <c r="AB36" s="63">
        <v>0.0</v>
      </c>
      <c r="AC36" s="52">
        <v>0.0</v>
      </c>
      <c r="AD36" s="52">
        <v>0.0</v>
      </c>
      <c r="AE36" s="80">
        <v>0.0</v>
      </c>
      <c r="AF36" s="144">
        <v>0.0</v>
      </c>
      <c r="AG36" s="75">
        <v>0.0</v>
      </c>
      <c r="AH36" s="63">
        <v>2.0</v>
      </c>
      <c r="AI36" s="52">
        <v>0.0</v>
      </c>
      <c r="AJ36" s="52">
        <v>0.0</v>
      </c>
      <c r="AK36" s="80">
        <v>8.0</v>
      </c>
      <c r="AL36" s="144">
        <v>8.0</v>
      </c>
      <c r="AM36" s="75">
        <v>0.1</v>
      </c>
    </row>
    <row r="37">
      <c r="A37" s="29" t="s">
        <v>44</v>
      </c>
      <c r="B37" s="55"/>
      <c r="C37" s="57"/>
      <c r="D37" s="2"/>
      <c r="E37" s="2"/>
      <c r="F37" s="2"/>
      <c r="G37" s="57"/>
      <c r="H37" s="2"/>
      <c r="I37" s="2"/>
      <c r="J37" s="2"/>
      <c r="K37" s="2" t="s">
        <v>6</v>
      </c>
      <c r="L37" s="57"/>
      <c r="M37" s="57"/>
      <c r="N37" s="57"/>
      <c r="O37" s="2" t="s">
        <v>6</v>
      </c>
      <c r="P37" s="2" t="s">
        <v>6</v>
      </c>
      <c r="Q37" s="2"/>
      <c r="R37" s="2"/>
      <c r="S37" s="2"/>
      <c r="T37" s="2"/>
      <c r="U37" s="2" t="s">
        <v>6</v>
      </c>
      <c r="V37" s="60">
        <v>2.0</v>
      </c>
      <c r="W37" s="2">
        <v>0.0</v>
      </c>
      <c r="X37" s="2">
        <v>0.0</v>
      </c>
      <c r="Y37" s="2">
        <v>8.0</v>
      </c>
      <c r="Z37" s="2">
        <v>8.0</v>
      </c>
      <c r="AA37" s="62">
        <v>0.17</v>
      </c>
      <c r="AB37" s="63">
        <v>2.0</v>
      </c>
      <c r="AC37" s="52">
        <v>0.0</v>
      </c>
      <c r="AD37" s="52">
        <v>0.0</v>
      </c>
      <c r="AE37" s="80">
        <v>8.0</v>
      </c>
      <c r="AF37" s="85">
        <v>8.0</v>
      </c>
      <c r="AG37" s="75">
        <v>0.25</v>
      </c>
      <c r="AH37" s="63">
        <v>4.0</v>
      </c>
      <c r="AI37" s="52">
        <v>0.0</v>
      </c>
      <c r="AJ37" s="52">
        <v>0.0</v>
      </c>
      <c r="AK37" s="80">
        <v>16.0</v>
      </c>
      <c r="AL37" s="85">
        <v>16.0</v>
      </c>
      <c r="AM37" s="75">
        <v>0.2</v>
      </c>
    </row>
    <row r="38">
      <c r="A38" s="29" t="s">
        <v>65</v>
      </c>
      <c r="B38" s="60" t="s">
        <v>6</v>
      </c>
      <c r="C38" s="2" t="s">
        <v>7</v>
      </c>
      <c r="D38" s="57"/>
      <c r="E38" s="57"/>
      <c r="F38" s="2"/>
      <c r="G38" s="2" t="s">
        <v>6</v>
      </c>
      <c r="H38" s="2" t="s">
        <v>6</v>
      </c>
      <c r="I38" s="57"/>
      <c r="J38" s="57"/>
      <c r="K38" s="57"/>
      <c r="L38" s="2"/>
      <c r="M38" s="2"/>
      <c r="N38" s="2" t="s">
        <v>8</v>
      </c>
      <c r="O38" s="57"/>
      <c r="P38" s="2" t="s">
        <v>8</v>
      </c>
      <c r="Q38" s="57"/>
      <c r="R38" s="57"/>
      <c r="S38" s="57"/>
      <c r="T38" s="57"/>
      <c r="U38" s="2"/>
      <c r="V38" s="60">
        <v>1.0</v>
      </c>
      <c r="W38" s="2">
        <v>1.0</v>
      </c>
      <c r="X38" s="2">
        <v>2.0</v>
      </c>
      <c r="Y38" s="2">
        <v>10.0</v>
      </c>
      <c r="Z38" s="2">
        <v>2.0</v>
      </c>
      <c r="AA38" s="62">
        <v>0.17</v>
      </c>
      <c r="AB38" s="63">
        <v>2.0</v>
      </c>
      <c r="AC38" s="52">
        <v>0.0</v>
      </c>
      <c r="AD38" s="52">
        <v>0.0</v>
      </c>
      <c r="AE38" s="114">
        <v>8.0</v>
      </c>
      <c r="AF38" s="120">
        <v>8.0</v>
      </c>
      <c r="AG38" s="116">
        <v>0.25</v>
      </c>
      <c r="AH38" s="63">
        <v>3.0</v>
      </c>
      <c r="AI38" s="52">
        <v>1.0</v>
      </c>
      <c r="AJ38" s="52">
        <v>2.0</v>
      </c>
      <c r="AK38" s="114">
        <v>18.0</v>
      </c>
      <c r="AL38" s="120">
        <v>10.0</v>
      </c>
      <c r="AM38" s="116">
        <v>0.2</v>
      </c>
    </row>
    <row r="39">
      <c r="A39" s="29" t="s">
        <v>59</v>
      </c>
      <c r="B39" s="60" t="s">
        <v>8</v>
      </c>
      <c r="C39" s="2"/>
      <c r="D39" s="2" t="s">
        <v>6</v>
      </c>
      <c r="E39" s="2" t="s">
        <v>8</v>
      </c>
      <c r="F39" s="2"/>
      <c r="G39" s="2"/>
      <c r="H39" s="2"/>
      <c r="I39" s="2"/>
      <c r="J39" s="2" t="s">
        <v>7</v>
      </c>
      <c r="K39" s="2"/>
      <c r="L39" s="2"/>
      <c r="M39" s="2"/>
      <c r="N39" s="2"/>
      <c r="O39" s="2"/>
      <c r="P39" s="2"/>
      <c r="Q39" s="2"/>
      <c r="R39" s="2"/>
      <c r="S39" s="2"/>
      <c r="T39" s="57"/>
      <c r="U39" s="2"/>
      <c r="V39" s="60">
        <v>1.0</v>
      </c>
      <c r="W39" s="2">
        <v>1.0</v>
      </c>
      <c r="X39" s="2">
        <v>1.0</v>
      </c>
      <c r="Y39" s="2">
        <v>10.0</v>
      </c>
      <c r="Z39" s="2">
        <v>6.0</v>
      </c>
      <c r="AA39" s="62">
        <v>0.17</v>
      </c>
      <c r="AB39" s="63">
        <v>0.0</v>
      </c>
      <c r="AC39" s="52">
        <v>0.0</v>
      </c>
      <c r="AD39" s="52">
        <v>1.0</v>
      </c>
      <c r="AE39" s="204">
        <v>0.0</v>
      </c>
      <c r="AF39" s="206">
        <v>-4.0</v>
      </c>
      <c r="AG39" s="207">
        <v>0.0</v>
      </c>
      <c r="AH39" s="63">
        <v>1.0</v>
      </c>
      <c r="AI39" s="52">
        <v>1.0</v>
      </c>
      <c r="AJ39" s="52">
        <v>2.0</v>
      </c>
      <c r="AK39" s="204">
        <v>10.0</v>
      </c>
      <c r="AL39" s="206">
        <v>2.0</v>
      </c>
      <c r="AM39" s="207">
        <v>0.1</v>
      </c>
    </row>
    <row r="40">
      <c r="A40" s="29" t="s">
        <v>71</v>
      </c>
      <c r="B40" s="60" t="s">
        <v>6</v>
      </c>
      <c r="C40" s="2" t="s">
        <v>6</v>
      </c>
      <c r="D40" s="57"/>
      <c r="E40" s="2"/>
      <c r="F40" s="57"/>
      <c r="G40" s="2" t="s">
        <v>6</v>
      </c>
      <c r="H40" s="57"/>
      <c r="I40" s="2" t="s">
        <v>6</v>
      </c>
      <c r="J40" s="2"/>
      <c r="K40" s="57"/>
      <c r="L40" s="57"/>
      <c r="M40" s="2"/>
      <c r="N40" s="57"/>
      <c r="O40" s="57"/>
      <c r="P40" s="2" t="s">
        <v>7</v>
      </c>
      <c r="Q40" s="57"/>
      <c r="R40" s="2" t="s">
        <v>6</v>
      </c>
      <c r="S40" s="57"/>
      <c r="T40" s="2"/>
      <c r="U40" s="2" t="s">
        <v>6</v>
      </c>
      <c r="V40" s="60">
        <v>5.0</v>
      </c>
      <c r="W40" s="2">
        <v>1.0</v>
      </c>
      <c r="X40" s="2">
        <v>0.0</v>
      </c>
      <c r="Y40" s="2">
        <v>26.0</v>
      </c>
      <c r="Z40" s="2">
        <v>26.0</v>
      </c>
      <c r="AA40" s="62">
        <v>0.5</v>
      </c>
      <c r="AB40" s="63">
        <v>1.0</v>
      </c>
      <c r="AC40" s="52">
        <v>0.0</v>
      </c>
      <c r="AD40" s="52">
        <v>0.0</v>
      </c>
      <c r="AE40" s="122">
        <v>4.0</v>
      </c>
      <c r="AF40" s="86">
        <v>4.0</v>
      </c>
      <c r="AG40" s="70">
        <v>0.13</v>
      </c>
      <c r="AH40" s="63">
        <v>6.0</v>
      </c>
      <c r="AI40" s="52">
        <v>1.0</v>
      </c>
      <c r="AJ40" s="52">
        <v>0.0</v>
      </c>
      <c r="AK40" s="122">
        <v>30.0</v>
      </c>
      <c r="AL40" s="86">
        <v>30.0</v>
      </c>
      <c r="AM40" s="70">
        <v>0.35</v>
      </c>
    </row>
    <row r="41">
      <c r="A41" s="29" t="s">
        <v>53</v>
      </c>
      <c r="B41" s="55"/>
      <c r="C41" s="2" t="s">
        <v>6</v>
      </c>
      <c r="D41" s="57"/>
      <c r="E41" s="2" t="s">
        <v>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57"/>
      <c r="R41" s="57"/>
      <c r="S41" s="2"/>
      <c r="T41" s="57"/>
      <c r="U41" s="2"/>
      <c r="V41" s="60">
        <v>2.0</v>
      </c>
      <c r="W41" s="2">
        <v>0.0</v>
      </c>
      <c r="X41" s="2">
        <v>0.0</v>
      </c>
      <c r="Y41" s="2">
        <v>8.0</v>
      </c>
      <c r="Z41" s="2">
        <v>8.0</v>
      </c>
      <c r="AA41" s="62">
        <v>0.17</v>
      </c>
      <c r="AB41" s="63">
        <v>0.0</v>
      </c>
      <c r="AC41" s="52">
        <v>0.0</v>
      </c>
      <c r="AD41" s="52">
        <v>0.0</v>
      </c>
      <c r="AE41" s="209">
        <v>0.0</v>
      </c>
      <c r="AF41" s="210">
        <v>0.0</v>
      </c>
      <c r="AG41" s="100">
        <v>0.0</v>
      </c>
      <c r="AH41" s="63">
        <v>2.0</v>
      </c>
      <c r="AI41" s="52">
        <v>0.0</v>
      </c>
      <c r="AJ41" s="52">
        <v>0.0</v>
      </c>
      <c r="AK41" s="209">
        <v>8.0</v>
      </c>
      <c r="AL41" s="210">
        <v>8.0</v>
      </c>
      <c r="AM41" s="100">
        <v>0.1</v>
      </c>
    </row>
    <row r="42">
      <c r="A42" s="29" t="s">
        <v>56</v>
      </c>
      <c r="B42" s="60"/>
      <c r="C42" s="57"/>
      <c r="D42" s="2"/>
      <c r="E42" s="57"/>
      <c r="F42" s="57"/>
      <c r="G42" s="2"/>
      <c r="H42" s="57"/>
      <c r="I42" s="57"/>
      <c r="J42" s="2"/>
      <c r="K42" s="57"/>
      <c r="L42" s="57"/>
      <c r="M42" s="57"/>
      <c r="N42" s="2"/>
      <c r="O42" s="57"/>
      <c r="P42" s="2" t="s">
        <v>6</v>
      </c>
      <c r="Q42" s="2"/>
      <c r="R42" s="2" t="s">
        <v>6</v>
      </c>
      <c r="S42" s="57"/>
      <c r="T42" s="57"/>
      <c r="U42" s="57"/>
      <c r="V42" s="60">
        <v>2.0</v>
      </c>
      <c r="W42" s="2">
        <v>0.0</v>
      </c>
      <c r="X42" s="2">
        <v>0.0</v>
      </c>
      <c r="Y42" s="2">
        <v>8.0</v>
      </c>
      <c r="Z42" s="2">
        <v>8.0</v>
      </c>
      <c r="AA42" s="62">
        <v>0.17</v>
      </c>
      <c r="AB42" s="63">
        <v>0.0</v>
      </c>
      <c r="AC42" s="52">
        <v>0.0</v>
      </c>
      <c r="AD42" s="52">
        <v>0.0</v>
      </c>
      <c r="AE42" s="139">
        <v>0.0</v>
      </c>
      <c r="AF42" s="68">
        <v>0.0</v>
      </c>
      <c r="AG42" s="75">
        <v>0.0</v>
      </c>
      <c r="AH42" s="63">
        <v>2.0</v>
      </c>
      <c r="AI42" s="52">
        <v>0.0</v>
      </c>
      <c r="AJ42" s="52">
        <v>0.0</v>
      </c>
      <c r="AK42" s="139">
        <v>8.0</v>
      </c>
      <c r="AL42" s="68">
        <v>8.0</v>
      </c>
      <c r="AM42" s="75">
        <v>0.1</v>
      </c>
    </row>
    <row r="43">
      <c r="A43" s="29" t="s">
        <v>74</v>
      </c>
      <c r="B43" s="55"/>
      <c r="C43" s="57"/>
      <c r="D43" s="57"/>
      <c r="E43" s="2" t="s">
        <v>7</v>
      </c>
      <c r="F43" s="2"/>
      <c r="G43" s="57"/>
      <c r="H43" s="2" t="s">
        <v>6</v>
      </c>
      <c r="I43" s="2" t="s">
        <v>6</v>
      </c>
      <c r="J43" s="2" t="s">
        <v>6</v>
      </c>
      <c r="K43" s="57"/>
      <c r="L43" s="57"/>
      <c r="M43" s="57"/>
      <c r="N43" s="57"/>
      <c r="O43" s="57"/>
      <c r="P43" s="2" t="s">
        <v>8</v>
      </c>
      <c r="Q43" s="2" t="s">
        <v>6</v>
      </c>
      <c r="R43" s="2" t="s">
        <v>7</v>
      </c>
      <c r="S43" s="2"/>
      <c r="T43" s="57"/>
      <c r="U43" s="2" t="s">
        <v>6</v>
      </c>
      <c r="V43" s="60">
        <v>3.0</v>
      </c>
      <c r="W43" s="2">
        <v>2.0</v>
      </c>
      <c r="X43" s="2">
        <v>1.0</v>
      </c>
      <c r="Y43" s="2">
        <v>24.0</v>
      </c>
      <c r="Z43" s="2">
        <v>20.0</v>
      </c>
      <c r="AA43" s="62">
        <v>0.42</v>
      </c>
      <c r="AB43" s="63">
        <v>2.0</v>
      </c>
      <c r="AC43" s="52">
        <v>0.0</v>
      </c>
      <c r="AD43" s="52">
        <v>0.0</v>
      </c>
      <c r="AE43" s="143">
        <v>8.0</v>
      </c>
      <c r="AF43" s="144">
        <v>8.0</v>
      </c>
      <c r="AG43" s="87">
        <v>0.25</v>
      </c>
      <c r="AH43" s="63">
        <v>5.0</v>
      </c>
      <c r="AI43" s="52">
        <v>2.0</v>
      </c>
      <c r="AJ43" s="52">
        <v>1.0</v>
      </c>
      <c r="AK43" s="143">
        <v>32.0</v>
      </c>
      <c r="AL43" s="144">
        <v>28.0</v>
      </c>
      <c r="AM43" s="87">
        <v>0.35</v>
      </c>
    </row>
    <row r="44">
      <c r="A44" s="29" t="s">
        <v>32</v>
      </c>
      <c r="B44" s="60" t="s">
        <v>7</v>
      </c>
      <c r="C44" s="2" t="s">
        <v>7</v>
      </c>
      <c r="D44" s="2" t="s">
        <v>7</v>
      </c>
      <c r="E44" s="57"/>
      <c r="F44" s="2" t="s">
        <v>7</v>
      </c>
      <c r="G44" s="2" t="s">
        <v>7</v>
      </c>
      <c r="H44" s="2" t="s">
        <v>8</v>
      </c>
      <c r="I44" s="2" t="s">
        <v>8</v>
      </c>
      <c r="J44" s="2" t="s">
        <v>8</v>
      </c>
      <c r="K44" s="2" t="s">
        <v>7</v>
      </c>
      <c r="L44" s="2" t="s">
        <v>8</v>
      </c>
      <c r="M44" s="2" t="s">
        <v>7</v>
      </c>
      <c r="N44" s="2" t="s">
        <v>8</v>
      </c>
      <c r="O44" s="2" t="s">
        <v>8</v>
      </c>
      <c r="P44" s="2" t="s">
        <v>7</v>
      </c>
      <c r="Q44" s="57"/>
      <c r="R44" s="2" t="s">
        <v>8</v>
      </c>
      <c r="S44" s="2" t="s">
        <v>6</v>
      </c>
      <c r="T44" s="2" t="s">
        <v>6</v>
      </c>
      <c r="U44" s="2" t="s">
        <v>8</v>
      </c>
      <c r="V44" s="60">
        <v>1.0</v>
      </c>
      <c r="W44" s="2">
        <v>4.0</v>
      </c>
      <c r="X44" s="2">
        <v>6.0</v>
      </c>
      <c r="Y44" s="2">
        <v>28.0</v>
      </c>
      <c r="Z44" s="2">
        <v>4.0</v>
      </c>
      <c r="AA44" s="62">
        <v>0.42</v>
      </c>
      <c r="AB44" s="63">
        <v>1.0</v>
      </c>
      <c r="AC44" s="52">
        <v>4.0</v>
      </c>
      <c r="AD44" s="52">
        <v>2.0</v>
      </c>
      <c r="AE44" s="139">
        <v>28.0</v>
      </c>
      <c r="AF44" s="132">
        <v>20.0</v>
      </c>
      <c r="AG44" s="140">
        <v>0.63</v>
      </c>
      <c r="AH44" s="63">
        <v>2.0</v>
      </c>
      <c r="AI44" s="52">
        <v>8.0</v>
      </c>
      <c r="AJ44" s="52">
        <v>8.0</v>
      </c>
      <c r="AK44" s="139">
        <v>56.0</v>
      </c>
      <c r="AL44" s="132">
        <v>24.0</v>
      </c>
      <c r="AM44" s="140">
        <v>0.5</v>
      </c>
    </row>
    <row r="45">
      <c r="A45" s="29" t="s">
        <v>67</v>
      </c>
      <c r="B45" s="60" t="s">
        <v>8</v>
      </c>
      <c r="C45" s="2" t="s">
        <v>7</v>
      </c>
      <c r="D45" s="2"/>
      <c r="E45" s="2"/>
      <c r="F45" s="57"/>
      <c r="G45" s="2"/>
      <c r="H45" s="57"/>
      <c r="I45" s="2" t="s">
        <v>7</v>
      </c>
      <c r="J45" s="2" t="s">
        <v>7</v>
      </c>
      <c r="K45" s="57"/>
      <c r="L45" s="57"/>
      <c r="M45" s="2"/>
      <c r="N45" s="2" t="s">
        <v>7</v>
      </c>
      <c r="O45" s="2" t="s">
        <v>6</v>
      </c>
      <c r="P45" s="2" t="s">
        <v>7</v>
      </c>
      <c r="Q45" s="2" t="s">
        <v>6</v>
      </c>
      <c r="R45" s="2" t="s">
        <v>6</v>
      </c>
      <c r="S45" s="2" t="s">
        <v>6</v>
      </c>
      <c r="T45" s="2"/>
      <c r="U45" s="2"/>
      <c r="V45" s="60">
        <v>2.0</v>
      </c>
      <c r="W45" s="2">
        <v>5.0</v>
      </c>
      <c r="X45" s="2">
        <v>0.0</v>
      </c>
      <c r="Y45" s="2">
        <v>38.0</v>
      </c>
      <c r="Z45" s="2">
        <v>38.0</v>
      </c>
      <c r="AA45" s="62">
        <v>0.58</v>
      </c>
      <c r="AB45" s="63">
        <v>2.0</v>
      </c>
      <c r="AC45" s="52">
        <v>0.0</v>
      </c>
      <c r="AD45" s="52">
        <v>1.0</v>
      </c>
      <c r="AE45" s="218">
        <v>8.0</v>
      </c>
      <c r="AF45" s="120">
        <v>4.0</v>
      </c>
      <c r="AG45" s="207">
        <v>0.25</v>
      </c>
      <c r="AH45" s="63">
        <v>4.0</v>
      </c>
      <c r="AI45" s="52">
        <v>5.0</v>
      </c>
      <c r="AJ45" s="52">
        <v>1.0</v>
      </c>
      <c r="AK45" s="218">
        <v>46.0</v>
      </c>
      <c r="AL45" s="120">
        <v>42.0</v>
      </c>
      <c r="AM45" s="207">
        <v>0.45</v>
      </c>
    </row>
    <row r="46">
      <c r="A46" s="29" t="s">
        <v>39</v>
      </c>
      <c r="B46" s="55"/>
      <c r="C46" s="2"/>
      <c r="D46" s="2"/>
      <c r="E46" s="57"/>
      <c r="F46" s="2" t="s">
        <v>8</v>
      </c>
      <c r="G46" s="57"/>
      <c r="H46" s="2"/>
      <c r="I46" s="57"/>
      <c r="J46" s="2"/>
      <c r="K46" s="2"/>
      <c r="L46" s="2" t="s">
        <v>6</v>
      </c>
      <c r="M46" s="2"/>
      <c r="N46" s="57"/>
      <c r="O46" s="57"/>
      <c r="P46" s="2" t="s">
        <v>8</v>
      </c>
      <c r="Q46" s="2"/>
      <c r="R46" s="2"/>
      <c r="S46" s="57"/>
      <c r="T46" s="57"/>
      <c r="U46" s="2" t="s">
        <v>6</v>
      </c>
      <c r="V46" s="60">
        <v>2.0</v>
      </c>
      <c r="W46" s="2">
        <v>0.0</v>
      </c>
      <c r="X46" s="2">
        <v>1.0</v>
      </c>
      <c r="Y46" s="2">
        <v>8.0</v>
      </c>
      <c r="Z46" s="2">
        <v>4.0</v>
      </c>
      <c r="AA46" s="62">
        <v>0.17</v>
      </c>
      <c r="AB46" s="63">
        <v>0.0</v>
      </c>
      <c r="AC46" s="52">
        <v>0.0</v>
      </c>
      <c r="AD46" s="52">
        <v>1.0</v>
      </c>
      <c r="AE46" s="72">
        <v>0.0</v>
      </c>
      <c r="AF46" s="74">
        <v>-4.0</v>
      </c>
      <c r="AG46" s="75">
        <v>0.0</v>
      </c>
      <c r="AH46" s="63">
        <v>2.0</v>
      </c>
      <c r="AI46" s="52">
        <v>0.0</v>
      </c>
      <c r="AJ46" s="52">
        <v>2.0</v>
      </c>
      <c r="AK46" s="72">
        <v>8.0</v>
      </c>
      <c r="AL46" s="74">
        <v>0.0</v>
      </c>
      <c r="AM46" s="75">
        <v>0.1</v>
      </c>
    </row>
    <row r="47">
      <c r="A47" s="29" t="s">
        <v>80</v>
      </c>
      <c r="B47" s="60" t="s">
        <v>8</v>
      </c>
      <c r="C47" s="2" t="s">
        <v>7</v>
      </c>
      <c r="D47" s="2" t="s">
        <v>6</v>
      </c>
      <c r="E47" s="2" t="s">
        <v>8</v>
      </c>
      <c r="F47" s="2" t="s">
        <v>8</v>
      </c>
      <c r="G47" s="2"/>
      <c r="H47" s="2"/>
      <c r="I47" s="2" t="s">
        <v>6</v>
      </c>
      <c r="J47" s="2" t="s">
        <v>7</v>
      </c>
      <c r="K47" s="2" t="s">
        <v>7</v>
      </c>
      <c r="L47" s="2"/>
      <c r="M47" s="2" t="s">
        <v>8</v>
      </c>
      <c r="N47" s="2"/>
      <c r="O47" s="57"/>
      <c r="P47" s="2" t="s">
        <v>7</v>
      </c>
      <c r="Q47" s="2" t="s">
        <v>7</v>
      </c>
      <c r="R47" s="2" t="s">
        <v>6</v>
      </c>
      <c r="S47" s="2"/>
      <c r="T47" s="57"/>
      <c r="U47" s="2"/>
      <c r="V47" s="60">
        <v>3.0</v>
      </c>
      <c r="W47" s="2">
        <v>3.0</v>
      </c>
      <c r="X47" s="2">
        <v>1.0</v>
      </c>
      <c r="Y47" s="2">
        <v>30.0</v>
      </c>
      <c r="Z47" s="2">
        <v>26.0</v>
      </c>
      <c r="AA47" s="62">
        <v>0.5</v>
      </c>
      <c r="AB47" s="63">
        <v>0.0</v>
      </c>
      <c r="AC47" s="52">
        <v>2.0</v>
      </c>
      <c r="AD47" s="52">
        <v>3.0</v>
      </c>
      <c r="AE47" s="183">
        <v>12.0</v>
      </c>
      <c r="AF47" s="184">
        <v>0.0</v>
      </c>
      <c r="AG47" s="134">
        <v>0.25</v>
      </c>
      <c r="AH47" s="63">
        <v>3.0</v>
      </c>
      <c r="AI47" s="52">
        <v>5.0</v>
      </c>
      <c r="AJ47" s="52">
        <v>4.0</v>
      </c>
      <c r="AK47" s="183">
        <v>42.0</v>
      </c>
      <c r="AL47" s="184">
        <v>26.0</v>
      </c>
      <c r="AM47" s="134">
        <v>0.4</v>
      </c>
    </row>
    <row r="48">
      <c r="A48" s="29" t="s">
        <v>69</v>
      </c>
      <c r="B48" s="55"/>
      <c r="C48" s="57"/>
      <c r="D48" s="57"/>
      <c r="E48" s="2" t="s">
        <v>8</v>
      </c>
      <c r="F48" s="2" t="s">
        <v>6</v>
      </c>
      <c r="G48" s="57"/>
      <c r="H48" s="2" t="s">
        <v>6</v>
      </c>
      <c r="I48" s="57"/>
      <c r="J48" s="57"/>
      <c r="K48" s="2"/>
      <c r="L48" s="57"/>
      <c r="M48" s="2" t="s">
        <v>7</v>
      </c>
      <c r="N48" s="2" t="s">
        <v>7</v>
      </c>
      <c r="O48" s="2" t="s">
        <v>8</v>
      </c>
      <c r="P48" s="57"/>
      <c r="Q48" s="2"/>
      <c r="R48" s="2"/>
      <c r="S48" s="2" t="s">
        <v>6</v>
      </c>
      <c r="T48" s="57"/>
      <c r="U48" s="2" t="s">
        <v>7</v>
      </c>
      <c r="V48" s="60">
        <v>1.0</v>
      </c>
      <c r="W48" s="2">
        <v>2.0</v>
      </c>
      <c r="X48" s="2">
        <v>1.0</v>
      </c>
      <c r="Y48" s="2">
        <v>16.0</v>
      </c>
      <c r="Z48" s="2">
        <v>12.0</v>
      </c>
      <c r="AA48" s="62">
        <v>0.25</v>
      </c>
      <c r="AB48" s="63">
        <v>2.0</v>
      </c>
      <c r="AC48" s="52">
        <v>1.0</v>
      </c>
      <c r="AD48" s="52">
        <v>1.0</v>
      </c>
      <c r="AE48" s="106">
        <v>14.0</v>
      </c>
      <c r="AF48" s="108">
        <v>10.0</v>
      </c>
      <c r="AG48" s="140">
        <v>0.38</v>
      </c>
      <c r="AH48" s="63">
        <v>3.0</v>
      </c>
      <c r="AI48" s="52">
        <v>3.0</v>
      </c>
      <c r="AJ48" s="52">
        <v>2.0</v>
      </c>
      <c r="AK48" s="106">
        <v>30.0</v>
      </c>
      <c r="AL48" s="108">
        <v>22.0</v>
      </c>
      <c r="AM48" s="140">
        <v>0.3</v>
      </c>
    </row>
    <row r="49">
      <c r="A49" s="29"/>
      <c r="B49" s="55"/>
      <c r="C49" s="2"/>
      <c r="D49" s="2"/>
      <c r="E49" s="2"/>
      <c r="F49" s="2"/>
      <c r="G49" s="2"/>
      <c r="H49" s="57"/>
      <c r="I49" s="57"/>
      <c r="J49" s="2"/>
      <c r="K49" s="2"/>
      <c r="L49" s="2"/>
      <c r="M49" s="57"/>
      <c r="N49" s="57"/>
      <c r="O49" s="2"/>
      <c r="P49" s="2"/>
      <c r="Q49" s="57"/>
      <c r="R49" s="2"/>
      <c r="S49" s="57"/>
      <c r="T49" s="2"/>
      <c r="U49" s="2"/>
      <c r="V49" s="60"/>
      <c r="W49" s="2"/>
      <c r="X49" s="2"/>
      <c r="Y49" s="2"/>
      <c r="Z49" s="2"/>
      <c r="AA49" s="62"/>
      <c r="AB49" s="63"/>
      <c r="AC49" s="52"/>
      <c r="AD49" s="52"/>
      <c r="AE49" s="52"/>
      <c r="AF49" s="52"/>
      <c r="AG49" s="243"/>
      <c r="AH49" s="63"/>
      <c r="AI49" s="52"/>
      <c r="AJ49" s="52"/>
      <c r="AK49" s="52"/>
      <c r="AL49" s="52"/>
      <c r="AM49" s="243"/>
    </row>
    <row r="50">
      <c r="A50" s="222"/>
      <c r="B50" s="224"/>
      <c r="C50" s="225"/>
      <c r="D50" s="225"/>
      <c r="E50" s="225"/>
      <c r="F50" s="225"/>
      <c r="G50" s="225"/>
      <c r="H50" s="226"/>
      <c r="I50" s="226"/>
      <c r="J50" s="226"/>
      <c r="K50" s="225"/>
      <c r="L50" s="226"/>
      <c r="M50" s="226"/>
      <c r="N50" s="226"/>
      <c r="O50" s="225"/>
      <c r="P50" s="225"/>
      <c r="Q50" s="226"/>
      <c r="R50" s="225"/>
      <c r="S50" s="226"/>
      <c r="T50" s="225"/>
      <c r="U50" s="225"/>
      <c r="V50" s="224"/>
      <c r="W50" s="226"/>
      <c r="X50" s="226"/>
      <c r="Y50" s="226"/>
      <c r="Z50" s="226"/>
      <c r="AA50" s="227"/>
      <c r="AB50" s="228"/>
      <c r="AC50" s="230"/>
      <c r="AD50" s="230"/>
      <c r="AE50" s="230"/>
      <c r="AF50" s="230"/>
      <c r="AG50" s="247"/>
      <c r="AH50" s="228"/>
      <c r="AI50" s="230"/>
      <c r="AJ50" s="230"/>
      <c r="AK50" s="230"/>
      <c r="AL50" s="230"/>
      <c r="AM50" s="247"/>
    </row>
  </sheetData>
  <conditionalFormatting sqref="AA3:AA50 AG3:AG26 AM3:AM26">
    <cfRule type="colorScale" priority="1">
      <colorScale>
        <cfvo type="min"/>
        <cfvo type="max"/>
        <color rgb="FFFFFFFF"/>
        <color rgb="FF8E7CC3"/>
      </colorScale>
    </cfRule>
  </conditionalFormatting>
  <conditionalFormatting sqref="B3:U50">
    <cfRule type="cellIs" dxfId="0" priority="2" operator="equal">
      <formula>"IC"</formula>
    </cfRule>
  </conditionalFormatting>
  <conditionalFormatting sqref="B3:U50">
    <cfRule type="cellIs" dxfId="1" priority="3" operator="equal">
      <formula>"C"</formula>
    </cfRule>
  </conditionalFormatting>
  <conditionalFormatting sqref="B3:U50">
    <cfRule type="cellIs" dxfId="2" priority="4" operator="equal">
      <formula>"P"</formula>
    </cfRule>
  </conditionalFormatting>
  <conditionalFormatting sqref="Z3:Z50">
    <cfRule type="colorScale" priority="5">
      <colorScale>
        <cfvo type="min"/>
        <cfvo type="max"/>
        <color rgb="FFFFFFFF"/>
        <color rgb="FF6D9EEB"/>
      </colorScale>
    </cfRule>
  </conditionalFormatting>
  <conditionalFormatting sqref="Y3:Y50">
    <cfRule type="colorScale" priority="6">
      <colorScale>
        <cfvo type="min"/>
        <cfvo type="max"/>
        <color rgb="FFFFFFFF"/>
        <color rgb="FF57BB8A"/>
      </colorScale>
    </cfRule>
  </conditionalFormatting>
  <conditionalFormatting sqref="AE3:AE50">
    <cfRule type="colorScale" priority="7">
      <colorScale>
        <cfvo type="min"/>
        <cfvo type="max"/>
        <color rgb="FFFFFFFF"/>
        <color rgb="FF57BB8A"/>
      </colorScale>
    </cfRule>
  </conditionalFormatting>
  <conditionalFormatting sqref="AF3:AF50">
    <cfRule type="colorScale" priority="8">
      <colorScale>
        <cfvo type="min"/>
        <cfvo type="max"/>
        <color rgb="FFFFFFFF"/>
        <color rgb="FF6D9EEB"/>
      </colorScale>
    </cfRule>
  </conditionalFormatting>
  <conditionalFormatting sqref="AL3:AL50">
    <cfRule type="colorScale" priority="9">
      <colorScale>
        <cfvo type="min"/>
        <cfvo type="max"/>
        <color rgb="FFFFFFFF"/>
        <color rgb="FF3C78D8"/>
      </colorScale>
    </cfRule>
  </conditionalFormatting>
  <conditionalFormatting sqref="AK3:AK50">
    <cfRule type="colorScale" priority="10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39" width="5.13"/>
  </cols>
  <sheetData>
    <row r="1" ht="53.25" customHeight="1">
      <c r="A1" s="1"/>
      <c r="B1" s="250" t="s">
        <v>0</v>
      </c>
      <c r="C1" s="251" t="s">
        <v>0</v>
      </c>
      <c r="D1" s="251" t="s">
        <v>1</v>
      </c>
      <c r="E1" s="251" t="s">
        <v>1</v>
      </c>
      <c r="F1" s="251" t="s">
        <v>0</v>
      </c>
      <c r="G1" s="251" t="s">
        <v>0</v>
      </c>
      <c r="H1" s="251" t="s">
        <v>1</v>
      </c>
      <c r="I1" s="251" t="s">
        <v>0</v>
      </c>
      <c r="J1" s="251" t="s">
        <v>1</v>
      </c>
      <c r="K1" s="251" t="s">
        <v>0</v>
      </c>
      <c r="L1" s="251" t="s">
        <v>0</v>
      </c>
      <c r="M1" s="251" t="s">
        <v>0</v>
      </c>
      <c r="N1" s="251" t="s">
        <v>1</v>
      </c>
      <c r="O1" s="251" t="s">
        <v>1</v>
      </c>
      <c r="P1" s="251" t="s">
        <v>0</v>
      </c>
      <c r="Q1" s="251" t="s">
        <v>1</v>
      </c>
      <c r="R1" s="251" t="s">
        <v>0</v>
      </c>
      <c r="S1" s="251" t="s">
        <v>0</v>
      </c>
      <c r="T1" s="251" t="s">
        <v>1</v>
      </c>
      <c r="U1" s="251" t="s">
        <v>0</v>
      </c>
      <c r="V1" s="4" t="s">
        <v>0</v>
      </c>
      <c r="W1" s="6"/>
      <c r="X1" s="6"/>
      <c r="Y1" s="6"/>
      <c r="Z1" s="6"/>
      <c r="AA1" s="7"/>
      <c r="AB1" s="4" t="s">
        <v>1</v>
      </c>
      <c r="AC1" s="6"/>
      <c r="AD1" s="6"/>
      <c r="AE1" s="6"/>
      <c r="AF1" s="6"/>
      <c r="AG1" s="7"/>
      <c r="AH1" s="4" t="s">
        <v>2</v>
      </c>
      <c r="AI1" s="6"/>
      <c r="AJ1" s="6"/>
      <c r="AK1" s="6"/>
      <c r="AL1" s="6"/>
      <c r="AM1" s="7"/>
    </row>
    <row r="2">
      <c r="A2" s="16" t="s">
        <v>4</v>
      </c>
      <c r="B2" s="19" t="s">
        <v>12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1" t="s">
        <v>18</v>
      </c>
      <c r="I2" s="21" t="s">
        <v>19</v>
      </c>
      <c r="J2" s="21" t="s">
        <v>20</v>
      </c>
      <c r="K2" s="21" t="s">
        <v>21</v>
      </c>
      <c r="L2" s="21" t="s">
        <v>22</v>
      </c>
      <c r="M2" s="21" t="s">
        <v>23</v>
      </c>
      <c r="N2" s="21" t="s">
        <v>24</v>
      </c>
      <c r="O2" s="21" t="s">
        <v>25</v>
      </c>
      <c r="P2" s="21" t="s">
        <v>26</v>
      </c>
      <c r="Q2" s="21" t="s">
        <v>27</v>
      </c>
      <c r="R2" s="21" t="s">
        <v>28</v>
      </c>
      <c r="S2" s="21" t="s">
        <v>29</v>
      </c>
      <c r="T2" s="21" t="s">
        <v>30</v>
      </c>
      <c r="U2" s="21" t="s">
        <v>31</v>
      </c>
      <c r="V2" s="27" t="s">
        <v>6</v>
      </c>
      <c r="W2" s="16" t="s">
        <v>7</v>
      </c>
      <c r="X2" s="16" t="s">
        <v>8</v>
      </c>
      <c r="Y2" s="16" t="s">
        <v>9</v>
      </c>
      <c r="Z2" s="16" t="s">
        <v>10</v>
      </c>
      <c r="AA2" s="31" t="s">
        <v>11</v>
      </c>
      <c r="AB2" s="32" t="s">
        <v>6</v>
      </c>
      <c r="AC2" s="33" t="s">
        <v>7</v>
      </c>
      <c r="AD2" s="33" t="s">
        <v>8</v>
      </c>
      <c r="AE2" s="33" t="s">
        <v>9</v>
      </c>
      <c r="AF2" s="33" t="s">
        <v>10</v>
      </c>
      <c r="AG2" s="34" t="s">
        <v>11</v>
      </c>
      <c r="AH2" s="32" t="s">
        <v>6</v>
      </c>
      <c r="AI2" s="33" t="s">
        <v>7</v>
      </c>
      <c r="AJ2" s="33" t="s">
        <v>8</v>
      </c>
      <c r="AK2" s="33" t="s">
        <v>9</v>
      </c>
      <c r="AL2" s="33" t="s">
        <v>10</v>
      </c>
      <c r="AM2" s="34" t="s">
        <v>11</v>
      </c>
    </row>
    <row r="3">
      <c r="A3" s="35" t="s">
        <v>49</v>
      </c>
      <c r="B3" s="36" t="s">
        <v>6</v>
      </c>
      <c r="C3" s="37" t="s">
        <v>7</v>
      </c>
      <c r="D3" s="37"/>
      <c r="E3" s="37" t="s">
        <v>7</v>
      </c>
      <c r="F3" s="37"/>
      <c r="G3" s="37" t="s">
        <v>8</v>
      </c>
      <c r="H3" s="37" t="s">
        <v>8</v>
      </c>
      <c r="I3" s="37" t="s">
        <v>6</v>
      </c>
      <c r="J3" s="38"/>
      <c r="K3" s="38"/>
      <c r="L3" s="37" t="s">
        <v>8</v>
      </c>
      <c r="M3" s="37" t="s">
        <v>6</v>
      </c>
      <c r="N3" s="37"/>
      <c r="O3" s="37" t="s">
        <v>7</v>
      </c>
      <c r="P3" s="37"/>
      <c r="Q3" s="37"/>
      <c r="R3" s="37" t="s">
        <v>8</v>
      </c>
      <c r="S3" s="37"/>
      <c r="T3" s="38"/>
      <c r="U3" s="37" t="s">
        <v>7</v>
      </c>
      <c r="V3" s="36">
        <v>3.0</v>
      </c>
      <c r="W3" s="37">
        <v>2.0</v>
      </c>
      <c r="X3" s="37">
        <v>3.0</v>
      </c>
      <c r="Y3" s="37">
        <v>24.0</v>
      </c>
      <c r="Z3" s="37">
        <v>12.0</v>
      </c>
      <c r="AA3" s="42">
        <v>0.42</v>
      </c>
      <c r="AB3" s="44">
        <v>0.0</v>
      </c>
      <c r="AC3" s="45">
        <v>2.0</v>
      </c>
      <c r="AD3" s="45">
        <v>1.0</v>
      </c>
      <c r="AE3" s="47">
        <v>12.0</v>
      </c>
      <c r="AF3" s="49">
        <v>8.0</v>
      </c>
      <c r="AG3" s="51">
        <v>0.25</v>
      </c>
      <c r="AH3" s="44">
        <v>3.0</v>
      </c>
      <c r="AI3" s="45">
        <v>4.0</v>
      </c>
      <c r="AJ3" s="45">
        <v>4.0</v>
      </c>
      <c r="AK3" s="47">
        <v>36.0</v>
      </c>
      <c r="AL3" s="49">
        <v>20.0</v>
      </c>
      <c r="AM3" s="51">
        <v>0.35</v>
      </c>
    </row>
    <row r="4">
      <c r="A4" s="29" t="s">
        <v>44</v>
      </c>
      <c r="B4" s="55"/>
      <c r="C4" s="57"/>
      <c r="D4" s="2" t="s">
        <v>6</v>
      </c>
      <c r="E4" s="57"/>
      <c r="F4" s="2"/>
      <c r="G4" s="57"/>
      <c r="H4" s="57"/>
      <c r="I4" s="57"/>
      <c r="J4" s="2" t="s">
        <v>6</v>
      </c>
      <c r="K4" s="2" t="s">
        <v>6</v>
      </c>
      <c r="L4" s="57"/>
      <c r="M4" s="57"/>
      <c r="N4" s="57"/>
      <c r="O4" s="57"/>
      <c r="P4" s="57"/>
      <c r="Q4" s="2" t="s">
        <v>6</v>
      </c>
      <c r="R4" s="57"/>
      <c r="S4" s="57"/>
      <c r="T4" s="57"/>
      <c r="U4" s="57"/>
      <c r="V4" s="60">
        <v>1.0</v>
      </c>
      <c r="W4" s="2">
        <v>0.0</v>
      </c>
      <c r="X4" s="2">
        <v>0.0</v>
      </c>
      <c r="Y4" s="2">
        <v>4.0</v>
      </c>
      <c r="Z4" s="2">
        <v>4.0</v>
      </c>
      <c r="AA4" s="62">
        <v>0.08</v>
      </c>
      <c r="AB4" s="63">
        <v>3.0</v>
      </c>
      <c r="AC4" s="52">
        <v>0.0</v>
      </c>
      <c r="AD4" s="52">
        <v>0.0</v>
      </c>
      <c r="AE4" s="66">
        <v>12.0</v>
      </c>
      <c r="AF4" s="68">
        <v>12.0</v>
      </c>
      <c r="AG4" s="70">
        <v>0.38</v>
      </c>
      <c r="AH4" s="63">
        <v>4.0</v>
      </c>
      <c r="AI4" s="52">
        <v>0.0</v>
      </c>
      <c r="AJ4" s="52">
        <v>0.0</v>
      </c>
      <c r="AK4" s="66">
        <v>16.0</v>
      </c>
      <c r="AL4" s="68">
        <v>16.0</v>
      </c>
      <c r="AM4" s="70">
        <v>0.2</v>
      </c>
    </row>
    <row r="5">
      <c r="A5" s="29" t="s">
        <v>73</v>
      </c>
      <c r="B5" s="60" t="s">
        <v>7</v>
      </c>
      <c r="C5" s="57"/>
      <c r="D5" s="2" t="s">
        <v>7</v>
      </c>
      <c r="E5" s="2" t="s">
        <v>7</v>
      </c>
      <c r="F5" s="2"/>
      <c r="G5" s="57"/>
      <c r="H5" s="2" t="s">
        <v>6</v>
      </c>
      <c r="I5" s="57"/>
      <c r="J5" s="2" t="s">
        <v>7</v>
      </c>
      <c r="K5" s="2" t="s">
        <v>6</v>
      </c>
      <c r="L5" s="57"/>
      <c r="M5" s="2"/>
      <c r="N5" s="2"/>
      <c r="O5" s="2" t="s">
        <v>7</v>
      </c>
      <c r="P5" s="2" t="s">
        <v>6</v>
      </c>
      <c r="Q5" s="2" t="s">
        <v>7</v>
      </c>
      <c r="R5" s="2"/>
      <c r="S5" s="2" t="s">
        <v>8</v>
      </c>
      <c r="T5" s="2" t="s">
        <v>6</v>
      </c>
      <c r="U5" s="2"/>
      <c r="V5" s="60">
        <v>2.0</v>
      </c>
      <c r="W5" s="2">
        <v>1.0</v>
      </c>
      <c r="X5" s="2">
        <v>1.0</v>
      </c>
      <c r="Y5" s="2">
        <v>14.0</v>
      </c>
      <c r="Z5" s="2">
        <v>10.0</v>
      </c>
      <c r="AA5" s="62">
        <v>0.25</v>
      </c>
      <c r="AB5" s="63">
        <v>2.0</v>
      </c>
      <c r="AC5" s="52">
        <v>5.0</v>
      </c>
      <c r="AD5" s="52">
        <v>0.0</v>
      </c>
      <c r="AE5" s="72">
        <v>38.0</v>
      </c>
      <c r="AF5" s="74">
        <v>38.0</v>
      </c>
      <c r="AG5" s="75">
        <v>0.88</v>
      </c>
      <c r="AH5" s="63">
        <v>4.0</v>
      </c>
      <c r="AI5" s="52">
        <v>6.0</v>
      </c>
      <c r="AJ5" s="52">
        <v>1.0</v>
      </c>
      <c r="AK5" s="72">
        <v>52.0</v>
      </c>
      <c r="AL5" s="74">
        <v>48.0</v>
      </c>
      <c r="AM5" s="75">
        <v>0.5</v>
      </c>
    </row>
    <row r="6">
      <c r="A6" s="29" t="s">
        <v>47</v>
      </c>
      <c r="B6" s="60"/>
      <c r="C6" s="57"/>
      <c r="D6" s="2"/>
      <c r="E6" s="2"/>
      <c r="F6" s="2" t="s">
        <v>6</v>
      </c>
      <c r="G6" s="57"/>
      <c r="H6" s="2" t="s">
        <v>8</v>
      </c>
      <c r="I6" s="57"/>
      <c r="J6" s="2"/>
      <c r="K6" s="57"/>
      <c r="L6" s="2" t="s">
        <v>8</v>
      </c>
      <c r="M6" s="2" t="s">
        <v>6</v>
      </c>
      <c r="N6" s="57"/>
      <c r="O6" s="57"/>
      <c r="P6" s="57"/>
      <c r="Q6" s="57"/>
      <c r="R6" s="2" t="s">
        <v>8</v>
      </c>
      <c r="S6" s="2"/>
      <c r="T6" s="57"/>
      <c r="U6" s="2" t="s">
        <v>7</v>
      </c>
      <c r="V6" s="60">
        <v>2.0</v>
      </c>
      <c r="W6" s="2">
        <v>1.0</v>
      </c>
      <c r="X6" s="2">
        <v>2.0</v>
      </c>
      <c r="Y6" s="2">
        <v>14.0</v>
      </c>
      <c r="Z6" s="2">
        <v>6.0</v>
      </c>
      <c r="AA6" s="62">
        <v>0.25</v>
      </c>
      <c r="AB6" s="63">
        <v>0.0</v>
      </c>
      <c r="AC6" s="52">
        <v>0.0</v>
      </c>
      <c r="AD6" s="52">
        <v>1.0</v>
      </c>
      <c r="AE6" s="80">
        <v>0.0</v>
      </c>
      <c r="AF6" s="81">
        <v>-4.0</v>
      </c>
      <c r="AG6" s="75">
        <v>0.0</v>
      </c>
      <c r="AH6" s="63">
        <v>2.0</v>
      </c>
      <c r="AI6" s="52">
        <v>1.0</v>
      </c>
      <c r="AJ6" s="52">
        <v>3.0</v>
      </c>
      <c r="AK6" s="80">
        <v>14.0</v>
      </c>
      <c r="AL6" s="81">
        <v>2.0</v>
      </c>
      <c r="AM6" s="75">
        <v>0.15</v>
      </c>
    </row>
    <row r="7">
      <c r="A7" s="29" t="s">
        <v>35</v>
      </c>
      <c r="B7" s="60" t="s">
        <v>8</v>
      </c>
      <c r="C7" s="2"/>
      <c r="D7" s="57"/>
      <c r="E7" s="57"/>
      <c r="F7" s="57"/>
      <c r="G7" s="57"/>
      <c r="H7" s="2"/>
      <c r="I7" s="2" t="s">
        <v>6</v>
      </c>
      <c r="J7" s="2" t="s">
        <v>8</v>
      </c>
      <c r="K7" s="2"/>
      <c r="L7" s="2"/>
      <c r="M7" s="57"/>
      <c r="N7" s="57"/>
      <c r="O7" s="2" t="s">
        <v>7</v>
      </c>
      <c r="P7" s="2" t="s">
        <v>6</v>
      </c>
      <c r="Q7" s="2" t="s">
        <v>7</v>
      </c>
      <c r="R7" s="57"/>
      <c r="S7" s="57"/>
      <c r="T7" s="57"/>
      <c r="U7" s="57"/>
      <c r="V7" s="60">
        <v>2.0</v>
      </c>
      <c r="W7" s="2">
        <v>0.0</v>
      </c>
      <c r="X7" s="2">
        <v>1.0</v>
      </c>
      <c r="Y7" s="2">
        <v>8.0</v>
      </c>
      <c r="Z7" s="2">
        <v>4.0</v>
      </c>
      <c r="AA7" s="62">
        <v>0.17</v>
      </c>
      <c r="AB7" s="63">
        <v>0.0</v>
      </c>
      <c r="AC7" s="52">
        <v>2.0</v>
      </c>
      <c r="AD7" s="52">
        <v>1.0</v>
      </c>
      <c r="AE7" s="85">
        <v>12.0</v>
      </c>
      <c r="AF7" s="86">
        <v>8.0</v>
      </c>
      <c r="AG7" s="87">
        <v>0.25</v>
      </c>
      <c r="AH7" s="63">
        <v>2.0</v>
      </c>
      <c r="AI7" s="52">
        <v>2.0</v>
      </c>
      <c r="AJ7" s="52">
        <v>2.0</v>
      </c>
      <c r="AK7" s="85">
        <v>20.0</v>
      </c>
      <c r="AL7" s="86">
        <v>12.0</v>
      </c>
      <c r="AM7" s="87">
        <v>0.2</v>
      </c>
    </row>
    <row r="8">
      <c r="A8" s="29" t="s">
        <v>34</v>
      </c>
      <c r="B8" s="60" t="s">
        <v>6</v>
      </c>
      <c r="C8" s="2" t="s">
        <v>7</v>
      </c>
      <c r="D8" s="2" t="s">
        <v>7</v>
      </c>
      <c r="E8" s="2"/>
      <c r="F8" s="2" t="s">
        <v>6</v>
      </c>
      <c r="G8" s="2" t="s">
        <v>8</v>
      </c>
      <c r="H8" s="2" t="s">
        <v>7</v>
      </c>
      <c r="I8" s="57"/>
      <c r="J8" s="2" t="s">
        <v>6</v>
      </c>
      <c r="K8" s="57"/>
      <c r="L8" s="2" t="s">
        <v>6</v>
      </c>
      <c r="M8" s="2" t="s">
        <v>7</v>
      </c>
      <c r="N8" s="57"/>
      <c r="O8" s="57"/>
      <c r="P8" s="2" t="s">
        <v>8</v>
      </c>
      <c r="Q8" s="57"/>
      <c r="R8" s="2" t="s">
        <v>7</v>
      </c>
      <c r="S8" s="2" t="s">
        <v>7</v>
      </c>
      <c r="T8" s="57"/>
      <c r="U8" s="2" t="s">
        <v>7</v>
      </c>
      <c r="V8" s="60">
        <v>3.0</v>
      </c>
      <c r="W8" s="2">
        <v>5.0</v>
      </c>
      <c r="X8" s="2">
        <v>2.0</v>
      </c>
      <c r="Y8" s="2">
        <v>42.0</v>
      </c>
      <c r="Z8" s="2">
        <v>34.0</v>
      </c>
      <c r="AA8" s="62">
        <v>0.67</v>
      </c>
      <c r="AB8" s="63">
        <v>1.0</v>
      </c>
      <c r="AC8" s="52">
        <v>2.0</v>
      </c>
      <c r="AD8" s="52">
        <v>0.0</v>
      </c>
      <c r="AE8" s="72">
        <v>16.0</v>
      </c>
      <c r="AF8" s="93">
        <v>16.0</v>
      </c>
      <c r="AG8" s="75">
        <v>0.38</v>
      </c>
      <c r="AH8" s="63">
        <v>4.0</v>
      </c>
      <c r="AI8" s="52">
        <v>7.0</v>
      </c>
      <c r="AJ8" s="52">
        <v>2.0</v>
      </c>
      <c r="AK8" s="72">
        <v>58.0</v>
      </c>
      <c r="AL8" s="93">
        <v>50.0</v>
      </c>
      <c r="AM8" s="75">
        <v>0.55</v>
      </c>
    </row>
    <row r="9">
      <c r="A9" s="29" t="s">
        <v>50</v>
      </c>
      <c r="B9" s="60"/>
      <c r="C9" s="2" t="s">
        <v>7</v>
      </c>
      <c r="D9" s="57"/>
      <c r="E9" s="57"/>
      <c r="F9" s="57"/>
      <c r="G9" s="57"/>
      <c r="H9" s="57"/>
      <c r="I9" s="2" t="s">
        <v>7</v>
      </c>
      <c r="J9" s="2" t="s">
        <v>7</v>
      </c>
      <c r="K9" s="2" t="s">
        <v>6</v>
      </c>
      <c r="L9" s="2" t="s">
        <v>8</v>
      </c>
      <c r="M9" s="2"/>
      <c r="N9" s="57"/>
      <c r="O9" s="2" t="s">
        <v>7</v>
      </c>
      <c r="P9" s="57"/>
      <c r="Q9" s="2" t="s">
        <v>7</v>
      </c>
      <c r="R9" s="2" t="s">
        <v>6</v>
      </c>
      <c r="S9" s="2" t="s">
        <v>6</v>
      </c>
      <c r="T9" s="57"/>
      <c r="U9" s="2" t="s">
        <v>7</v>
      </c>
      <c r="V9" s="60">
        <v>3.0</v>
      </c>
      <c r="W9" s="2">
        <v>3.0</v>
      </c>
      <c r="X9" s="2">
        <v>1.0</v>
      </c>
      <c r="Y9" s="2">
        <v>30.0</v>
      </c>
      <c r="Z9" s="2">
        <v>26.0</v>
      </c>
      <c r="AA9" s="62">
        <v>0.46</v>
      </c>
      <c r="AB9" s="63">
        <v>0.0</v>
      </c>
      <c r="AC9" s="52">
        <v>3.0</v>
      </c>
      <c r="AD9" s="52">
        <v>0.0</v>
      </c>
      <c r="AE9" s="66">
        <v>18.0</v>
      </c>
      <c r="AF9" s="68">
        <v>18.0</v>
      </c>
      <c r="AG9" s="70">
        <v>0.43</v>
      </c>
      <c r="AH9" s="63">
        <v>3.0</v>
      </c>
      <c r="AI9" s="52">
        <v>6.0</v>
      </c>
      <c r="AJ9" s="52">
        <v>1.0</v>
      </c>
      <c r="AK9" s="66">
        <v>48.0</v>
      </c>
      <c r="AL9" s="68">
        <v>44.0</v>
      </c>
      <c r="AM9" s="70">
        <v>0.45</v>
      </c>
    </row>
    <row r="10">
      <c r="A10" s="29" t="s">
        <v>61</v>
      </c>
      <c r="B10" s="60" t="s">
        <v>7</v>
      </c>
      <c r="C10" s="2" t="s">
        <v>8</v>
      </c>
      <c r="D10" s="2" t="s">
        <v>7</v>
      </c>
      <c r="E10" s="2" t="s">
        <v>7</v>
      </c>
      <c r="F10" s="2" t="s">
        <v>7</v>
      </c>
      <c r="G10" s="2"/>
      <c r="H10" s="2" t="s">
        <v>7</v>
      </c>
      <c r="I10" s="2" t="s">
        <v>8</v>
      </c>
      <c r="J10" s="57"/>
      <c r="K10" s="2"/>
      <c r="L10" s="57"/>
      <c r="M10" s="2" t="s">
        <v>6</v>
      </c>
      <c r="N10" s="2" t="s">
        <v>6</v>
      </c>
      <c r="O10" s="2" t="s">
        <v>8</v>
      </c>
      <c r="P10" s="2" t="s">
        <v>6</v>
      </c>
      <c r="Q10" s="2" t="s">
        <v>8</v>
      </c>
      <c r="R10" s="57"/>
      <c r="S10" s="2"/>
      <c r="T10" s="2" t="s">
        <v>7</v>
      </c>
      <c r="U10" s="2"/>
      <c r="V10" s="60">
        <v>2.0</v>
      </c>
      <c r="W10" s="2">
        <v>3.0</v>
      </c>
      <c r="X10" s="2">
        <v>2.0</v>
      </c>
      <c r="Y10" s="2">
        <v>26.0</v>
      </c>
      <c r="Z10" s="2">
        <v>18.0</v>
      </c>
      <c r="AA10" s="62">
        <v>0.38</v>
      </c>
      <c r="AB10" s="63">
        <v>1.0</v>
      </c>
      <c r="AC10" s="52">
        <v>3.0</v>
      </c>
      <c r="AD10" s="52">
        <v>2.0</v>
      </c>
      <c r="AE10" s="97">
        <v>22.0</v>
      </c>
      <c r="AF10" s="99">
        <v>14.0</v>
      </c>
      <c r="AG10" s="100">
        <v>0.57</v>
      </c>
      <c r="AH10" s="63">
        <v>3.0</v>
      </c>
      <c r="AI10" s="52">
        <v>6.0</v>
      </c>
      <c r="AJ10" s="52">
        <v>4.0</v>
      </c>
      <c r="AK10" s="97">
        <v>48.0</v>
      </c>
      <c r="AL10" s="99">
        <v>32.0</v>
      </c>
      <c r="AM10" s="100">
        <v>0.45</v>
      </c>
    </row>
    <row r="11">
      <c r="A11" s="29" t="s">
        <v>58</v>
      </c>
      <c r="B11" s="55"/>
      <c r="C11" s="2"/>
      <c r="D11" s="2"/>
      <c r="E11" s="2"/>
      <c r="F11" s="57"/>
      <c r="G11" s="2"/>
      <c r="H11" s="2" t="s">
        <v>6</v>
      </c>
      <c r="I11" s="2"/>
      <c r="J11" s="57"/>
      <c r="K11" s="57"/>
      <c r="L11" s="2"/>
      <c r="M11" s="2"/>
      <c r="N11" s="2"/>
      <c r="O11" s="57"/>
      <c r="P11" s="2"/>
      <c r="Q11" s="2"/>
      <c r="R11" s="2" t="s">
        <v>6</v>
      </c>
      <c r="S11" s="57"/>
      <c r="T11" s="57"/>
      <c r="U11" s="57"/>
      <c r="V11" s="60">
        <v>1.0</v>
      </c>
      <c r="W11" s="2">
        <v>0.0</v>
      </c>
      <c r="X11" s="2">
        <v>0.0</v>
      </c>
      <c r="Y11" s="2">
        <v>4.0</v>
      </c>
      <c r="Z11" s="2">
        <v>4.0</v>
      </c>
      <c r="AA11" s="62">
        <v>0.08</v>
      </c>
      <c r="AB11" s="63">
        <v>1.0</v>
      </c>
      <c r="AC11" s="52">
        <v>0.0</v>
      </c>
      <c r="AD11" s="52">
        <v>0.0</v>
      </c>
      <c r="AE11" s="97">
        <v>4.0</v>
      </c>
      <c r="AF11" s="99">
        <v>4.0</v>
      </c>
      <c r="AG11" s="100">
        <v>0.13</v>
      </c>
      <c r="AH11" s="63">
        <v>2.0</v>
      </c>
      <c r="AI11" s="52">
        <v>0.0</v>
      </c>
      <c r="AJ11" s="52">
        <v>0.0</v>
      </c>
      <c r="AK11" s="97">
        <v>8.0</v>
      </c>
      <c r="AL11" s="99">
        <v>8.0</v>
      </c>
      <c r="AM11" s="100">
        <v>0.1</v>
      </c>
    </row>
    <row r="12">
      <c r="A12" s="29" t="s">
        <v>71</v>
      </c>
      <c r="B12" s="60" t="s">
        <v>6</v>
      </c>
      <c r="C12" s="2" t="s">
        <v>6</v>
      </c>
      <c r="D12" s="57"/>
      <c r="E12" s="57"/>
      <c r="F12" s="2" t="s">
        <v>6</v>
      </c>
      <c r="G12" s="2" t="s">
        <v>6</v>
      </c>
      <c r="H12" s="57"/>
      <c r="I12" s="2" t="s">
        <v>6</v>
      </c>
      <c r="J12" s="2"/>
      <c r="K12" s="2" t="s">
        <v>6</v>
      </c>
      <c r="L12" s="2" t="s">
        <v>6</v>
      </c>
      <c r="M12" s="2" t="s">
        <v>6</v>
      </c>
      <c r="N12" s="57"/>
      <c r="O12" s="2" t="s">
        <v>6</v>
      </c>
      <c r="P12" s="2" t="s">
        <v>6</v>
      </c>
      <c r="Q12" s="57"/>
      <c r="R12" s="57"/>
      <c r="S12" s="2"/>
      <c r="T12" s="57"/>
      <c r="U12" s="2" t="s">
        <v>6</v>
      </c>
      <c r="V12" s="60">
        <v>10.0</v>
      </c>
      <c r="W12" s="2">
        <v>0.0</v>
      </c>
      <c r="X12" s="2">
        <v>0.0</v>
      </c>
      <c r="Y12" s="2">
        <v>40.0</v>
      </c>
      <c r="Z12" s="2">
        <v>40.0</v>
      </c>
      <c r="AA12" s="62">
        <v>0.83</v>
      </c>
      <c r="AB12" s="63">
        <v>1.0</v>
      </c>
      <c r="AC12" s="52">
        <v>0.0</v>
      </c>
      <c r="AD12" s="52">
        <v>0.0</v>
      </c>
      <c r="AE12" s="106">
        <v>4.0</v>
      </c>
      <c r="AF12" s="108">
        <v>4.0</v>
      </c>
      <c r="AG12" s="75">
        <v>0.13</v>
      </c>
      <c r="AH12" s="63">
        <v>11.0</v>
      </c>
      <c r="AI12" s="52">
        <v>0.0</v>
      </c>
      <c r="AJ12" s="52">
        <v>0.0</v>
      </c>
      <c r="AK12" s="106">
        <v>44.0</v>
      </c>
      <c r="AL12" s="108">
        <v>44.0</v>
      </c>
      <c r="AM12" s="75">
        <v>0.55</v>
      </c>
    </row>
    <row r="13">
      <c r="A13" s="29" t="s">
        <v>42</v>
      </c>
      <c r="B13" s="60" t="s">
        <v>6</v>
      </c>
      <c r="C13" s="57"/>
      <c r="D13" s="2" t="s">
        <v>6</v>
      </c>
      <c r="E13" s="57"/>
      <c r="F13" s="2"/>
      <c r="G13" s="2"/>
      <c r="H13" s="2"/>
      <c r="I13" s="57"/>
      <c r="J13" s="2" t="s">
        <v>6</v>
      </c>
      <c r="K13" s="2"/>
      <c r="L13" s="2" t="s">
        <v>6</v>
      </c>
      <c r="M13" s="57"/>
      <c r="N13" s="2"/>
      <c r="O13" s="2" t="s">
        <v>7</v>
      </c>
      <c r="P13" s="2" t="s">
        <v>6</v>
      </c>
      <c r="Q13" s="2"/>
      <c r="R13" s="2" t="s">
        <v>6</v>
      </c>
      <c r="S13" s="2" t="s">
        <v>8</v>
      </c>
      <c r="T13" s="2"/>
      <c r="U13" s="2" t="s">
        <v>7</v>
      </c>
      <c r="V13" s="60">
        <v>4.0</v>
      </c>
      <c r="W13" s="2">
        <v>1.0</v>
      </c>
      <c r="X13" s="2">
        <v>1.0</v>
      </c>
      <c r="Y13" s="2">
        <v>22.0</v>
      </c>
      <c r="Z13" s="2">
        <v>18.0</v>
      </c>
      <c r="AA13" s="62">
        <v>0.42</v>
      </c>
      <c r="AB13" s="63">
        <v>2.0</v>
      </c>
      <c r="AC13" s="52">
        <v>1.0</v>
      </c>
      <c r="AD13" s="52">
        <v>0.0</v>
      </c>
      <c r="AE13" s="114">
        <v>14.0</v>
      </c>
      <c r="AF13" s="108">
        <v>14.0</v>
      </c>
      <c r="AG13" s="116">
        <v>0.38</v>
      </c>
      <c r="AH13" s="63">
        <v>6.0</v>
      </c>
      <c r="AI13" s="52">
        <v>2.0</v>
      </c>
      <c r="AJ13" s="52">
        <v>1.0</v>
      </c>
      <c r="AK13" s="114">
        <v>36.0</v>
      </c>
      <c r="AL13" s="108">
        <v>32.0</v>
      </c>
      <c r="AM13" s="116">
        <v>0.4</v>
      </c>
    </row>
    <row r="14">
      <c r="A14" s="29" t="s">
        <v>65</v>
      </c>
      <c r="B14" s="60"/>
      <c r="C14" s="2" t="s">
        <v>6</v>
      </c>
      <c r="D14" s="57"/>
      <c r="E14" s="57"/>
      <c r="F14" s="2" t="s">
        <v>8</v>
      </c>
      <c r="G14" s="2"/>
      <c r="H14" s="2" t="s">
        <v>8</v>
      </c>
      <c r="I14" s="2" t="s">
        <v>6</v>
      </c>
      <c r="J14" s="57"/>
      <c r="K14" s="2" t="s">
        <v>6</v>
      </c>
      <c r="L14" s="2" t="s">
        <v>8</v>
      </c>
      <c r="M14" s="2"/>
      <c r="N14" s="2" t="s">
        <v>6</v>
      </c>
      <c r="O14" s="57"/>
      <c r="P14" s="57"/>
      <c r="Q14" s="2" t="s">
        <v>6</v>
      </c>
      <c r="R14" s="2" t="s">
        <v>8</v>
      </c>
      <c r="S14" s="57"/>
      <c r="T14" s="57"/>
      <c r="U14" s="57"/>
      <c r="V14" s="60">
        <v>3.0</v>
      </c>
      <c r="W14" s="2">
        <v>0.0</v>
      </c>
      <c r="X14" s="2">
        <v>3.0</v>
      </c>
      <c r="Y14" s="2">
        <v>12.0</v>
      </c>
      <c r="Z14" s="2">
        <v>0.0</v>
      </c>
      <c r="AA14" s="62">
        <v>0.25</v>
      </c>
      <c r="AB14" s="63">
        <v>2.0</v>
      </c>
      <c r="AC14" s="52">
        <v>0.0</v>
      </c>
      <c r="AD14" s="52">
        <v>1.0</v>
      </c>
      <c r="AE14" s="72">
        <v>8.0</v>
      </c>
      <c r="AF14" s="93">
        <v>4.0</v>
      </c>
      <c r="AG14" s="75">
        <v>0.25</v>
      </c>
      <c r="AH14" s="63">
        <v>5.0</v>
      </c>
      <c r="AI14" s="52">
        <v>0.0</v>
      </c>
      <c r="AJ14" s="52">
        <v>4.0</v>
      </c>
      <c r="AK14" s="72">
        <v>20.0</v>
      </c>
      <c r="AL14" s="93">
        <v>4.0</v>
      </c>
      <c r="AM14" s="75">
        <v>0.25</v>
      </c>
    </row>
    <row r="15">
      <c r="A15" s="29" t="s">
        <v>48</v>
      </c>
      <c r="B15" s="60" t="s">
        <v>8</v>
      </c>
      <c r="C15" s="57"/>
      <c r="D15" s="2"/>
      <c r="E15" s="57"/>
      <c r="F15" s="2"/>
      <c r="G15" s="2"/>
      <c r="H15" s="57"/>
      <c r="I15" s="2"/>
      <c r="J15" s="2" t="s">
        <v>6</v>
      </c>
      <c r="K15" s="57"/>
      <c r="L15" s="2"/>
      <c r="M15" s="2"/>
      <c r="N15" s="57"/>
      <c r="O15" s="2"/>
      <c r="P15" s="2"/>
      <c r="Q15" s="57"/>
      <c r="R15" s="2"/>
      <c r="S15" s="2" t="s">
        <v>7</v>
      </c>
      <c r="T15" s="2" t="s">
        <v>8</v>
      </c>
      <c r="U15" s="57"/>
      <c r="V15" s="60">
        <v>0.0</v>
      </c>
      <c r="W15" s="2">
        <v>1.0</v>
      </c>
      <c r="X15" s="2">
        <v>1.0</v>
      </c>
      <c r="Y15" s="2">
        <v>6.0</v>
      </c>
      <c r="Z15" s="2">
        <v>2.0</v>
      </c>
      <c r="AA15" s="62">
        <v>0.08</v>
      </c>
      <c r="AB15" s="63">
        <v>1.0</v>
      </c>
      <c r="AC15" s="52">
        <v>0.0</v>
      </c>
      <c r="AD15" s="52">
        <v>1.0</v>
      </c>
      <c r="AE15" s="114">
        <v>4.0</v>
      </c>
      <c r="AF15" s="120">
        <v>0.0</v>
      </c>
      <c r="AG15" s="100">
        <v>0.13</v>
      </c>
      <c r="AH15" s="63">
        <v>1.0</v>
      </c>
      <c r="AI15" s="52">
        <v>1.0</v>
      </c>
      <c r="AJ15" s="52">
        <v>2.0</v>
      </c>
      <c r="AK15" s="114">
        <v>10.0</v>
      </c>
      <c r="AL15" s="120">
        <v>2.0</v>
      </c>
      <c r="AM15" s="100">
        <v>0.1</v>
      </c>
    </row>
    <row r="16">
      <c r="A16" s="29" t="s">
        <v>67</v>
      </c>
      <c r="B16" s="60" t="s">
        <v>6</v>
      </c>
      <c r="C16" s="2" t="s">
        <v>6</v>
      </c>
      <c r="D16" s="2" t="s">
        <v>6</v>
      </c>
      <c r="E16" s="57"/>
      <c r="F16" s="2" t="s">
        <v>6</v>
      </c>
      <c r="G16" s="2" t="s">
        <v>8</v>
      </c>
      <c r="H16" s="2"/>
      <c r="I16" s="2" t="s">
        <v>6</v>
      </c>
      <c r="J16" s="57"/>
      <c r="K16" s="57"/>
      <c r="L16" s="57"/>
      <c r="M16" s="57"/>
      <c r="N16" s="57"/>
      <c r="O16" s="2" t="s">
        <v>7</v>
      </c>
      <c r="P16" s="2" t="s">
        <v>6</v>
      </c>
      <c r="Q16" s="2" t="s">
        <v>6</v>
      </c>
      <c r="R16" s="2" t="s">
        <v>6</v>
      </c>
      <c r="S16" s="57"/>
      <c r="T16" s="2" t="s">
        <v>6</v>
      </c>
      <c r="U16" s="2" t="s">
        <v>7</v>
      </c>
      <c r="V16" s="60">
        <v>6.0</v>
      </c>
      <c r="W16" s="2">
        <v>1.0</v>
      </c>
      <c r="X16" s="2">
        <v>1.0</v>
      </c>
      <c r="Y16" s="2">
        <v>30.0</v>
      </c>
      <c r="Z16" s="2">
        <v>26.0</v>
      </c>
      <c r="AA16" s="62">
        <v>0.58</v>
      </c>
      <c r="AB16" s="63">
        <v>3.0</v>
      </c>
      <c r="AC16" s="52">
        <v>1.0</v>
      </c>
      <c r="AD16" s="52">
        <v>0.0</v>
      </c>
      <c r="AE16" s="122">
        <v>18.0</v>
      </c>
      <c r="AF16" s="74">
        <v>18.0</v>
      </c>
      <c r="AG16" s="70">
        <v>0.5</v>
      </c>
      <c r="AH16" s="63">
        <v>9.0</v>
      </c>
      <c r="AI16" s="52">
        <v>2.0</v>
      </c>
      <c r="AJ16" s="52">
        <v>1.0</v>
      </c>
      <c r="AK16" s="122">
        <v>48.0</v>
      </c>
      <c r="AL16" s="74">
        <v>44.0</v>
      </c>
      <c r="AM16" s="70">
        <v>0.55</v>
      </c>
    </row>
    <row r="17">
      <c r="A17" s="29" t="s">
        <v>41</v>
      </c>
      <c r="B17" s="55"/>
      <c r="C17" s="2" t="s">
        <v>7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2" t="s">
        <v>7</v>
      </c>
      <c r="P17" s="57"/>
      <c r="Q17" s="57"/>
      <c r="R17" s="57"/>
      <c r="S17" s="2" t="s">
        <v>6</v>
      </c>
      <c r="T17" s="57"/>
      <c r="U17" s="2"/>
      <c r="V17" s="60">
        <v>1.0</v>
      </c>
      <c r="W17" s="2">
        <v>1.0</v>
      </c>
      <c r="X17" s="2">
        <v>0.0</v>
      </c>
      <c r="Y17" s="2">
        <v>10.0</v>
      </c>
      <c r="Z17" s="2">
        <v>10.0</v>
      </c>
      <c r="AA17" s="62">
        <v>0.17</v>
      </c>
      <c r="AB17" s="63">
        <v>0.0</v>
      </c>
      <c r="AC17" s="52">
        <v>1.0</v>
      </c>
      <c r="AD17" s="52">
        <v>0.0</v>
      </c>
      <c r="AE17" s="85">
        <v>6.0</v>
      </c>
      <c r="AF17" s="86">
        <v>6.0</v>
      </c>
      <c r="AG17" s="87">
        <v>0.13</v>
      </c>
      <c r="AH17" s="63">
        <v>1.0</v>
      </c>
      <c r="AI17" s="52">
        <v>2.0</v>
      </c>
      <c r="AJ17" s="52">
        <v>0.0</v>
      </c>
      <c r="AK17" s="85">
        <v>16.0</v>
      </c>
      <c r="AL17" s="86">
        <v>16.0</v>
      </c>
      <c r="AM17" s="87">
        <v>0.15</v>
      </c>
    </row>
    <row r="18">
      <c r="A18" s="29" t="s">
        <v>43</v>
      </c>
      <c r="B18" s="60" t="s">
        <v>7</v>
      </c>
      <c r="C18" s="2"/>
      <c r="D18" s="2" t="s">
        <v>6</v>
      </c>
      <c r="E18" s="2"/>
      <c r="F18" s="2" t="s">
        <v>6</v>
      </c>
      <c r="G18" s="57"/>
      <c r="H18" s="2" t="s">
        <v>6</v>
      </c>
      <c r="I18" s="2" t="s">
        <v>6</v>
      </c>
      <c r="J18" s="57"/>
      <c r="K18" s="2" t="s">
        <v>6</v>
      </c>
      <c r="L18" s="2" t="s">
        <v>6</v>
      </c>
      <c r="M18" s="2" t="s">
        <v>6</v>
      </c>
      <c r="N18" s="57"/>
      <c r="O18" s="57"/>
      <c r="P18" s="2" t="s">
        <v>7</v>
      </c>
      <c r="Q18" s="2" t="s">
        <v>6</v>
      </c>
      <c r="R18" s="2" t="s">
        <v>8</v>
      </c>
      <c r="S18" s="2" t="s">
        <v>8</v>
      </c>
      <c r="T18" s="57"/>
      <c r="U18" s="2" t="s">
        <v>7</v>
      </c>
      <c r="V18" s="60">
        <v>5.0</v>
      </c>
      <c r="W18" s="2">
        <v>3.0</v>
      </c>
      <c r="X18" s="2">
        <v>2.0</v>
      </c>
      <c r="Y18" s="2">
        <v>38.0</v>
      </c>
      <c r="Z18" s="2">
        <v>30.0</v>
      </c>
      <c r="AA18" s="62">
        <v>0.67</v>
      </c>
      <c r="AB18" s="63">
        <v>3.0</v>
      </c>
      <c r="AC18" s="52">
        <v>0.0</v>
      </c>
      <c r="AD18" s="52">
        <v>0.0</v>
      </c>
      <c r="AE18" s="122">
        <v>12.0</v>
      </c>
      <c r="AF18" s="86">
        <v>12.0</v>
      </c>
      <c r="AG18" s="70">
        <v>0.38</v>
      </c>
      <c r="AH18" s="63">
        <v>8.0</v>
      </c>
      <c r="AI18" s="52">
        <v>3.0</v>
      </c>
      <c r="AJ18" s="52">
        <v>2.0</v>
      </c>
      <c r="AK18" s="122">
        <v>50.0</v>
      </c>
      <c r="AL18" s="86">
        <v>42.0</v>
      </c>
      <c r="AM18" s="70">
        <v>0.55</v>
      </c>
    </row>
    <row r="19">
      <c r="A19" s="29" t="s">
        <v>68</v>
      </c>
      <c r="B19" s="60" t="s">
        <v>8</v>
      </c>
      <c r="C19" s="2" t="s">
        <v>6</v>
      </c>
      <c r="D19" s="2"/>
      <c r="E19" s="2" t="s">
        <v>7</v>
      </c>
      <c r="F19" s="2" t="s">
        <v>6</v>
      </c>
      <c r="G19" s="2"/>
      <c r="H19" s="2"/>
      <c r="I19" s="2" t="s">
        <v>6</v>
      </c>
      <c r="J19" s="2" t="s">
        <v>8</v>
      </c>
      <c r="K19" s="2" t="s">
        <v>6</v>
      </c>
      <c r="L19" s="2"/>
      <c r="M19" s="57"/>
      <c r="N19" s="57"/>
      <c r="O19" s="2" t="s">
        <v>6</v>
      </c>
      <c r="P19" s="2"/>
      <c r="Q19" s="2"/>
      <c r="R19" s="2"/>
      <c r="S19" s="2" t="s">
        <v>8</v>
      </c>
      <c r="T19" s="57"/>
      <c r="U19" s="57"/>
      <c r="V19" s="60">
        <v>4.0</v>
      </c>
      <c r="W19" s="2">
        <v>0.0</v>
      </c>
      <c r="X19" s="2">
        <v>2.0</v>
      </c>
      <c r="Y19" s="2">
        <v>16.0</v>
      </c>
      <c r="Z19" s="2">
        <v>8.0</v>
      </c>
      <c r="AA19" s="62">
        <v>0.33</v>
      </c>
      <c r="AB19" s="63">
        <v>1.0</v>
      </c>
      <c r="AC19" s="52">
        <v>1.0</v>
      </c>
      <c r="AD19" s="52">
        <v>1.0</v>
      </c>
      <c r="AE19" s="131">
        <v>10.0</v>
      </c>
      <c r="AF19" s="132">
        <v>6.0</v>
      </c>
      <c r="AG19" s="134">
        <v>0.25</v>
      </c>
      <c r="AH19" s="63">
        <v>5.0</v>
      </c>
      <c r="AI19" s="52">
        <v>1.0</v>
      </c>
      <c r="AJ19" s="52">
        <v>3.0</v>
      </c>
      <c r="AK19" s="131">
        <v>26.0</v>
      </c>
      <c r="AL19" s="132">
        <v>14.0</v>
      </c>
      <c r="AM19" s="134">
        <v>0.3</v>
      </c>
    </row>
    <row r="20">
      <c r="A20" s="29" t="s">
        <v>37</v>
      </c>
      <c r="B20" s="60" t="s">
        <v>6</v>
      </c>
      <c r="C20" s="57"/>
      <c r="D20" s="2" t="s">
        <v>6</v>
      </c>
      <c r="E20" s="57"/>
      <c r="F20" s="2"/>
      <c r="G20" s="2"/>
      <c r="H20" s="2" t="s">
        <v>6</v>
      </c>
      <c r="I20" s="2"/>
      <c r="J20" s="2" t="s">
        <v>6</v>
      </c>
      <c r="K20" s="2"/>
      <c r="L20" s="2"/>
      <c r="M20" s="2"/>
      <c r="N20" s="57"/>
      <c r="O20" s="57"/>
      <c r="P20" s="2" t="s">
        <v>6</v>
      </c>
      <c r="Q20" s="2" t="s">
        <v>6</v>
      </c>
      <c r="R20" s="2" t="s">
        <v>6</v>
      </c>
      <c r="S20" s="57"/>
      <c r="T20" s="2"/>
      <c r="U20" s="2" t="s">
        <v>7</v>
      </c>
      <c r="V20" s="60">
        <v>3.0</v>
      </c>
      <c r="W20" s="2">
        <v>1.0</v>
      </c>
      <c r="X20" s="2">
        <v>0.0</v>
      </c>
      <c r="Y20" s="2">
        <v>18.0</v>
      </c>
      <c r="Z20" s="2">
        <v>18.0</v>
      </c>
      <c r="AA20" s="62">
        <v>0.33</v>
      </c>
      <c r="AB20" s="63">
        <v>4.0</v>
      </c>
      <c r="AC20" s="52">
        <v>0.0</v>
      </c>
      <c r="AD20" s="52">
        <v>0.0</v>
      </c>
      <c r="AE20" s="139">
        <v>16.0</v>
      </c>
      <c r="AF20" s="85">
        <v>16.0</v>
      </c>
      <c r="AG20" s="140">
        <v>0.5</v>
      </c>
      <c r="AH20" s="63">
        <v>7.0</v>
      </c>
      <c r="AI20" s="52">
        <v>1.0</v>
      </c>
      <c r="AJ20" s="52">
        <v>0.0</v>
      </c>
      <c r="AK20" s="139">
        <v>34.0</v>
      </c>
      <c r="AL20" s="85">
        <v>34.0</v>
      </c>
      <c r="AM20" s="140">
        <v>0.4</v>
      </c>
    </row>
    <row r="21">
      <c r="A21" s="29" t="s">
        <v>57</v>
      </c>
      <c r="B21" s="55"/>
      <c r="C21" s="2" t="s">
        <v>6</v>
      </c>
      <c r="D21" s="57"/>
      <c r="E21" s="2" t="s">
        <v>7</v>
      </c>
      <c r="F21" s="57"/>
      <c r="G21" s="57"/>
      <c r="H21" s="57"/>
      <c r="I21" s="57"/>
      <c r="J21" s="2" t="s">
        <v>7</v>
      </c>
      <c r="K21" s="57"/>
      <c r="L21" s="57"/>
      <c r="M21" s="2"/>
      <c r="N21" s="57"/>
      <c r="O21" s="2" t="s">
        <v>6</v>
      </c>
      <c r="P21" s="57"/>
      <c r="Q21" s="2" t="s">
        <v>8</v>
      </c>
      <c r="R21" s="57"/>
      <c r="S21" s="57"/>
      <c r="T21" s="2" t="s">
        <v>8</v>
      </c>
      <c r="U21" s="2" t="s">
        <v>7</v>
      </c>
      <c r="V21" s="60">
        <v>1.0</v>
      </c>
      <c r="W21" s="2">
        <v>1.0</v>
      </c>
      <c r="X21" s="2">
        <v>0.0</v>
      </c>
      <c r="Y21" s="2">
        <v>10.0</v>
      </c>
      <c r="Z21" s="2">
        <v>10.0</v>
      </c>
      <c r="AA21" s="62">
        <v>0.17</v>
      </c>
      <c r="AB21" s="63">
        <v>1.0</v>
      </c>
      <c r="AC21" s="52">
        <v>2.0</v>
      </c>
      <c r="AD21" s="52">
        <v>2.0</v>
      </c>
      <c r="AE21" s="143">
        <v>16.0</v>
      </c>
      <c r="AF21" s="144">
        <v>8.0</v>
      </c>
      <c r="AG21" s="87">
        <v>0.38</v>
      </c>
      <c r="AH21" s="63">
        <v>2.0</v>
      </c>
      <c r="AI21" s="52">
        <v>3.0</v>
      </c>
      <c r="AJ21" s="52">
        <v>2.0</v>
      </c>
      <c r="AK21" s="143">
        <v>26.0</v>
      </c>
      <c r="AL21" s="144">
        <v>18.0</v>
      </c>
      <c r="AM21" s="87">
        <v>0.25</v>
      </c>
    </row>
    <row r="22">
      <c r="A22" s="29" t="s">
        <v>76</v>
      </c>
      <c r="B22" s="60" t="s">
        <v>6</v>
      </c>
      <c r="C22" s="2"/>
      <c r="D22" s="2" t="s">
        <v>7</v>
      </c>
      <c r="E22" s="2"/>
      <c r="F22" s="2"/>
      <c r="G22" s="2" t="s">
        <v>6</v>
      </c>
      <c r="H22" s="2" t="s">
        <v>6</v>
      </c>
      <c r="I22" s="2" t="s">
        <v>6</v>
      </c>
      <c r="J22" s="2"/>
      <c r="K22" s="2"/>
      <c r="L22" s="2" t="s">
        <v>6</v>
      </c>
      <c r="M22" s="57"/>
      <c r="N22" s="2"/>
      <c r="O22" s="2" t="s">
        <v>8</v>
      </c>
      <c r="P22" s="2" t="s">
        <v>6</v>
      </c>
      <c r="Q22" s="2"/>
      <c r="R22" s="2" t="s">
        <v>8</v>
      </c>
      <c r="S22" s="2" t="s">
        <v>6</v>
      </c>
      <c r="T22" s="2" t="s">
        <v>7</v>
      </c>
      <c r="U22" s="2"/>
      <c r="V22" s="60">
        <v>6.0</v>
      </c>
      <c r="W22" s="2">
        <v>0.0</v>
      </c>
      <c r="X22" s="2">
        <v>1.0</v>
      </c>
      <c r="Y22" s="2">
        <v>24.0</v>
      </c>
      <c r="Z22" s="2">
        <v>20.0</v>
      </c>
      <c r="AA22" s="62">
        <v>0.5</v>
      </c>
      <c r="AB22" s="63">
        <v>1.0</v>
      </c>
      <c r="AC22" s="52">
        <v>2.0</v>
      </c>
      <c r="AD22" s="52">
        <v>1.0</v>
      </c>
      <c r="AE22" s="128">
        <v>16.0</v>
      </c>
      <c r="AF22" s="129">
        <v>12.0</v>
      </c>
      <c r="AG22" s="130">
        <v>0.38</v>
      </c>
      <c r="AH22" s="63">
        <v>7.0</v>
      </c>
      <c r="AI22" s="52">
        <v>2.0</v>
      </c>
      <c r="AJ22" s="52">
        <v>2.0</v>
      </c>
      <c r="AK22" s="128">
        <v>40.0</v>
      </c>
      <c r="AL22" s="129">
        <v>32.0</v>
      </c>
      <c r="AM22" s="130">
        <v>0.45</v>
      </c>
    </row>
    <row r="23">
      <c r="A23" s="29" t="s">
        <v>40</v>
      </c>
      <c r="B23" s="55"/>
      <c r="C23" s="2" t="s">
        <v>7</v>
      </c>
      <c r="D23" s="2"/>
      <c r="E23" s="57"/>
      <c r="F23" s="2" t="s">
        <v>6</v>
      </c>
      <c r="G23" s="2"/>
      <c r="H23" s="2"/>
      <c r="I23" s="2" t="s">
        <v>6</v>
      </c>
      <c r="J23" s="2" t="s">
        <v>6</v>
      </c>
      <c r="K23" s="57"/>
      <c r="L23" s="2"/>
      <c r="M23" s="57"/>
      <c r="N23" s="2"/>
      <c r="O23" s="2" t="s">
        <v>7</v>
      </c>
      <c r="P23" s="2" t="s">
        <v>6</v>
      </c>
      <c r="Q23" s="2"/>
      <c r="R23" s="2"/>
      <c r="S23" s="2"/>
      <c r="T23" s="57"/>
      <c r="U23" s="2" t="s">
        <v>6</v>
      </c>
      <c r="V23" s="60">
        <v>4.0</v>
      </c>
      <c r="W23" s="2">
        <v>1.0</v>
      </c>
      <c r="X23" s="2">
        <v>0.0</v>
      </c>
      <c r="Y23" s="2">
        <v>22.0</v>
      </c>
      <c r="Z23" s="2">
        <v>22.0</v>
      </c>
      <c r="AA23" s="62">
        <v>0.42</v>
      </c>
      <c r="AB23" s="63">
        <v>1.0</v>
      </c>
      <c r="AC23" s="52">
        <v>1.0</v>
      </c>
      <c r="AD23" s="52">
        <v>0.0</v>
      </c>
      <c r="AE23" s="97">
        <v>10.0</v>
      </c>
      <c r="AF23" s="99">
        <v>10.0</v>
      </c>
      <c r="AG23" s="116">
        <v>0.25</v>
      </c>
      <c r="AH23" s="63">
        <v>5.0</v>
      </c>
      <c r="AI23" s="52">
        <v>2.0</v>
      </c>
      <c r="AJ23" s="52">
        <v>0.0</v>
      </c>
      <c r="AK23" s="97">
        <v>32.0</v>
      </c>
      <c r="AL23" s="99">
        <v>32.0</v>
      </c>
      <c r="AM23" s="116">
        <v>0.35</v>
      </c>
    </row>
    <row r="24">
      <c r="A24" s="29" t="s">
        <v>45</v>
      </c>
      <c r="B24" s="60" t="s">
        <v>6</v>
      </c>
      <c r="C24" s="57"/>
      <c r="D24" s="2" t="s">
        <v>7</v>
      </c>
      <c r="E24" s="2" t="s">
        <v>6</v>
      </c>
      <c r="F24" s="2" t="s">
        <v>8</v>
      </c>
      <c r="G24" s="2" t="s">
        <v>6</v>
      </c>
      <c r="H24" s="2" t="s">
        <v>7</v>
      </c>
      <c r="I24" s="57"/>
      <c r="J24" s="57"/>
      <c r="K24" s="57"/>
      <c r="L24" s="2" t="s">
        <v>6</v>
      </c>
      <c r="M24" s="57"/>
      <c r="N24" s="2" t="s">
        <v>8</v>
      </c>
      <c r="O24" s="2"/>
      <c r="P24" s="57"/>
      <c r="Q24" s="2" t="s">
        <v>6</v>
      </c>
      <c r="R24" s="2" t="s">
        <v>7</v>
      </c>
      <c r="S24" s="2" t="s">
        <v>6</v>
      </c>
      <c r="T24" s="2" t="s">
        <v>8</v>
      </c>
      <c r="U24" s="57"/>
      <c r="V24" s="60">
        <v>4.0</v>
      </c>
      <c r="W24" s="2">
        <v>1.0</v>
      </c>
      <c r="X24" s="2">
        <v>1.0</v>
      </c>
      <c r="Y24" s="2">
        <v>22.0</v>
      </c>
      <c r="Z24" s="2">
        <v>18.0</v>
      </c>
      <c r="AA24" s="62">
        <v>0.42</v>
      </c>
      <c r="AB24" s="63">
        <v>2.0</v>
      </c>
      <c r="AC24" s="52">
        <v>2.0</v>
      </c>
      <c r="AD24" s="52">
        <v>2.0</v>
      </c>
      <c r="AE24" s="158">
        <v>20.0</v>
      </c>
      <c r="AF24" s="159">
        <v>12.0</v>
      </c>
      <c r="AG24" s="140">
        <v>0.5</v>
      </c>
      <c r="AH24" s="63">
        <v>6.0</v>
      </c>
      <c r="AI24" s="52">
        <v>3.0</v>
      </c>
      <c r="AJ24" s="52">
        <v>3.0</v>
      </c>
      <c r="AK24" s="158">
        <v>42.0</v>
      </c>
      <c r="AL24" s="159">
        <v>30.0</v>
      </c>
      <c r="AM24" s="140">
        <v>0.45</v>
      </c>
    </row>
    <row r="25">
      <c r="A25" s="29" t="s">
        <v>63</v>
      </c>
      <c r="B25" s="60" t="s">
        <v>8</v>
      </c>
      <c r="C25" s="2" t="s">
        <v>6</v>
      </c>
      <c r="D25" s="2" t="s">
        <v>6</v>
      </c>
      <c r="E25" s="57"/>
      <c r="F25" s="2" t="s">
        <v>6</v>
      </c>
      <c r="G25" s="57"/>
      <c r="H25" s="57"/>
      <c r="I25" s="2" t="s">
        <v>6</v>
      </c>
      <c r="J25" s="2"/>
      <c r="K25" s="2"/>
      <c r="L25" s="2"/>
      <c r="M25" s="2"/>
      <c r="N25" s="2"/>
      <c r="O25" s="2" t="s">
        <v>7</v>
      </c>
      <c r="P25" s="57"/>
      <c r="Q25" s="57"/>
      <c r="R25" s="2" t="s">
        <v>8</v>
      </c>
      <c r="S25" s="57"/>
      <c r="T25" s="57"/>
      <c r="U25" s="2"/>
      <c r="V25" s="60">
        <v>3.0</v>
      </c>
      <c r="W25" s="2">
        <v>0.0</v>
      </c>
      <c r="X25" s="2">
        <v>2.0</v>
      </c>
      <c r="Y25" s="2">
        <v>12.0</v>
      </c>
      <c r="Z25" s="2">
        <v>4.0</v>
      </c>
      <c r="AA25" s="62">
        <v>0.25</v>
      </c>
      <c r="AB25" s="63">
        <v>1.0</v>
      </c>
      <c r="AC25" s="52">
        <v>1.0</v>
      </c>
      <c r="AD25" s="52">
        <v>0.0</v>
      </c>
      <c r="AE25" s="131">
        <v>10.0</v>
      </c>
      <c r="AF25" s="162">
        <v>10.0</v>
      </c>
      <c r="AG25" s="116">
        <v>0.25</v>
      </c>
      <c r="AH25" s="63">
        <v>4.0</v>
      </c>
      <c r="AI25" s="52">
        <v>1.0</v>
      </c>
      <c r="AJ25" s="52">
        <v>2.0</v>
      </c>
      <c r="AK25" s="131">
        <v>22.0</v>
      </c>
      <c r="AL25" s="162">
        <v>14.0</v>
      </c>
      <c r="AM25" s="116">
        <v>0.25</v>
      </c>
    </row>
    <row r="26">
      <c r="A26" s="29" t="s">
        <v>46</v>
      </c>
      <c r="B26" s="60" t="s">
        <v>6</v>
      </c>
      <c r="C26" s="57"/>
      <c r="D26" s="2"/>
      <c r="E26" s="57"/>
      <c r="F26" s="57"/>
      <c r="G26" s="2"/>
      <c r="H26" s="57"/>
      <c r="I26" s="57"/>
      <c r="J26" s="57"/>
      <c r="K26" s="57"/>
      <c r="L26" s="57"/>
      <c r="M26" s="57"/>
      <c r="N26" s="57"/>
      <c r="O26" s="57"/>
      <c r="P26" s="2" t="s">
        <v>6</v>
      </c>
      <c r="Q26" s="2"/>
      <c r="R26" s="57"/>
      <c r="S26" s="57"/>
      <c r="T26" s="2" t="s">
        <v>6</v>
      </c>
      <c r="U26" s="2" t="s">
        <v>7</v>
      </c>
      <c r="V26" s="60">
        <v>2.0</v>
      </c>
      <c r="W26" s="2">
        <v>1.0</v>
      </c>
      <c r="X26" s="2">
        <v>0.0</v>
      </c>
      <c r="Y26" s="2">
        <v>14.0</v>
      </c>
      <c r="Z26" s="2">
        <v>14.0</v>
      </c>
      <c r="AA26" s="62">
        <v>0.25</v>
      </c>
      <c r="AB26" s="63">
        <v>1.0</v>
      </c>
      <c r="AC26" s="52">
        <v>0.0</v>
      </c>
      <c r="AD26" s="52">
        <v>0.0</v>
      </c>
      <c r="AE26" s="139">
        <v>4.0</v>
      </c>
      <c r="AF26" s="132">
        <v>4.0</v>
      </c>
      <c r="AG26" s="140">
        <v>0.13</v>
      </c>
      <c r="AH26" s="63">
        <v>3.0</v>
      </c>
      <c r="AI26" s="52">
        <v>1.0</v>
      </c>
      <c r="AJ26" s="52">
        <v>0.0</v>
      </c>
      <c r="AK26" s="139">
        <v>18.0</v>
      </c>
      <c r="AL26" s="132">
        <v>18.0</v>
      </c>
      <c r="AM26" s="140">
        <v>0.2</v>
      </c>
    </row>
    <row r="27">
      <c r="A27" s="29" t="s">
        <v>52</v>
      </c>
      <c r="B27" s="60" t="s">
        <v>7</v>
      </c>
      <c r="C27" s="2" t="s">
        <v>7</v>
      </c>
      <c r="D27" s="2" t="s">
        <v>8</v>
      </c>
      <c r="E27" s="2" t="s">
        <v>7</v>
      </c>
      <c r="F27" s="57"/>
      <c r="G27" s="2" t="s">
        <v>6</v>
      </c>
      <c r="H27" s="2" t="s">
        <v>6</v>
      </c>
      <c r="I27" s="2" t="s">
        <v>6</v>
      </c>
      <c r="J27" s="2"/>
      <c r="K27" s="57"/>
      <c r="L27" s="2" t="s">
        <v>8</v>
      </c>
      <c r="M27" s="2" t="s">
        <v>6</v>
      </c>
      <c r="N27" s="2" t="s">
        <v>7</v>
      </c>
      <c r="O27" s="2" t="s">
        <v>6</v>
      </c>
      <c r="P27" s="57"/>
      <c r="Q27" s="2" t="s">
        <v>8</v>
      </c>
      <c r="R27" s="2" t="s">
        <v>8</v>
      </c>
      <c r="S27" s="2" t="s">
        <v>6</v>
      </c>
      <c r="T27" s="2" t="s">
        <v>8</v>
      </c>
      <c r="U27" s="2"/>
      <c r="V27" s="60">
        <v>4.0</v>
      </c>
      <c r="W27" s="2">
        <v>2.0</v>
      </c>
      <c r="X27" s="2">
        <v>2.0</v>
      </c>
      <c r="Y27" s="2">
        <v>28.0</v>
      </c>
      <c r="Z27" s="2">
        <v>20.0</v>
      </c>
      <c r="AA27" s="62">
        <v>0.5</v>
      </c>
      <c r="AB27" s="63">
        <v>2.0</v>
      </c>
      <c r="AC27" s="52">
        <v>2.0</v>
      </c>
      <c r="AD27" s="52">
        <v>3.0</v>
      </c>
      <c r="AE27" s="131">
        <v>20.0</v>
      </c>
      <c r="AF27" s="162">
        <v>8.0</v>
      </c>
      <c r="AG27" s="116">
        <v>0.5</v>
      </c>
      <c r="AH27" s="63">
        <v>6.0</v>
      </c>
      <c r="AI27" s="52">
        <v>4.0</v>
      </c>
      <c r="AJ27" s="52">
        <v>5.0</v>
      </c>
      <c r="AK27" s="131">
        <v>48.0</v>
      </c>
      <c r="AL27" s="162">
        <v>28.0</v>
      </c>
      <c r="AM27" s="116">
        <v>0.5</v>
      </c>
    </row>
    <row r="28">
      <c r="A28" s="29" t="s">
        <v>56</v>
      </c>
      <c r="B28" s="60"/>
      <c r="C28" s="2"/>
      <c r="D28" s="57"/>
      <c r="E28" s="57"/>
      <c r="F28" s="2"/>
      <c r="G28" s="57"/>
      <c r="H28" s="2"/>
      <c r="I28" s="57"/>
      <c r="J28" s="57"/>
      <c r="K28" s="2"/>
      <c r="L28" s="2" t="s">
        <v>6</v>
      </c>
      <c r="M28" s="57"/>
      <c r="N28" s="57"/>
      <c r="O28" s="2"/>
      <c r="P28" s="2"/>
      <c r="Q28" s="2" t="s">
        <v>6</v>
      </c>
      <c r="R28" s="2"/>
      <c r="S28" s="57"/>
      <c r="T28" s="2"/>
      <c r="U28" s="2" t="s">
        <v>6</v>
      </c>
      <c r="V28" s="60">
        <v>2.0</v>
      </c>
      <c r="W28" s="2">
        <v>0.0</v>
      </c>
      <c r="X28" s="2">
        <v>0.0</v>
      </c>
      <c r="Y28" s="2">
        <v>8.0</v>
      </c>
      <c r="Z28" s="2">
        <v>8.0</v>
      </c>
      <c r="AA28" s="62">
        <v>0.17</v>
      </c>
      <c r="AB28" s="63">
        <v>1.0</v>
      </c>
      <c r="AC28" s="52">
        <v>0.0</v>
      </c>
      <c r="AD28" s="52">
        <v>0.0</v>
      </c>
      <c r="AE28" s="173">
        <v>4.0</v>
      </c>
      <c r="AF28" s="159">
        <v>4.0</v>
      </c>
      <c r="AG28" s="134">
        <v>0.13</v>
      </c>
      <c r="AH28" s="63">
        <v>3.0</v>
      </c>
      <c r="AI28" s="52">
        <v>0.0</v>
      </c>
      <c r="AJ28" s="52">
        <v>0.0</v>
      </c>
      <c r="AK28" s="173">
        <v>12.0</v>
      </c>
      <c r="AL28" s="159">
        <v>12.0</v>
      </c>
      <c r="AM28" s="134">
        <v>0.15</v>
      </c>
    </row>
    <row r="29">
      <c r="A29" s="29" t="s">
        <v>66</v>
      </c>
      <c r="B29" s="55"/>
      <c r="C29" s="2" t="s">
        <v>6</v>
      </c>
      <c r="D29" s="2"/>
      <c r="E29" s="57"/>
      <c r="F29" s="2"/>
      <c r="G29" s="57"/>
      <c r="H29" s="2"/>
      <c r="I29" s="57"/>
      <c r="J29" s="2" t="s">
        <v>6</v>
      </c>
      <c r="K29" s="57"/>
      <c r="L29" s="2"/>
      <c r="M29" s="57"/>
      <c r="N29" s="57"/>
      <c r="O29" s="57"/>
      <c r="P29" s="2"/>
      <c r="Q29" s="2" t="s">
        <v>6</v>
      </c>
      <c r="R29" s="2"/>
      <c r="S29" s="2"/>
      <c r="T29" s="57"/>
      <c r="U29" s="2"/>
      <c r="V29" s="60">
        <v>1.0</v>
      </c>
      <c r="W29" s="2">
        <v>0.0</v>
      </c>
      <c r="X29" s="2">
        <v>0.0</v>
      </c>
      <c r="Y29" s="2">
        <v>4.0</v>
      </c>
      <c r="Z29" s="2">
        <v>4.0</v>
      </c>
      <c r="AA29" s="62">
        <v>0.08</v>
      </c>
      <c r="AB29" s="63">
        <v>2.0</v>
      </c>
      <c r="AC29" s="52">
        <v>0.0</v>
      </c>
      <c r="AD29" s="52">
        <v>0.0</v>
      </c>
      <c r="AE29" s="139">
        <v>8.0</v>
      </c>
      <c r="AF29" s="132">
        <v>8.0</v>
      </c>
      <c r="AG29" s="140">
        <v>0.25</v>
      </c>
      <c r="AH29" s="63">
        <v>3.0</v>
      </c>
      <c r="AI29" s="52">
        <v>0.0</v>
      </c>
      <c r="AJ29" s="52">
        <v>0.0</v>
      </c>
      <c r="AK29" s="139">
        <v>12.0</v>
      </c>
      <c r="AL29" s="132">
        <v>12.0</v>
      </c>
      <c r="AM29" s="140">
        <v>0.15</v>
      </c>
    </row>
    <row r="30">
      <c r="A30" s="29" t="s">
        <v>70</v>
      </c>
      <c r="B30" s="60" t="s">
        <v>7</v>
      </c>
      <c r="C30" s="2" t="s">
        <v>8</v>
      </c>
      <c r="D30" s="2" t="s">
        <v>6</v>
      </c>
      <c r="E30" s="2" t="s">
        <v>6</v>
      </c>
      <c r="F30" s="2" t="s">
        <v>6</v>
      </c>
      <c r="G30" s="2" t="s">
        <v>6</v>
      </c>
      <c r="H30" s="2" t="s">
        <v>6</v>
      </c>
      <c r="I30" s="2" t="s">
        <v>6</v>
      </c>
      <c r="J30" s="57"/>
      <c r="K30" s="2"/>
      <c r="L30" s="2" t="s">
        <v>6</v>
      </c>
      <c r="M30" s="2" t="s">
        <v>7</v>
      </c>
      <c r="N30" s="2"/>
      <c r="O30" s="2" t="s">
        <v>7</v>
      </c>
      <c r="P30" s="57"/>
      <c r="Q30" s="57"/>
      <c r="R30" s="2" t="s">
        <v>6</v>
      </c>
      <c r="S30" s="2" t="s">
        <v>6</v>
      </c>
      <c r="T30" s="57"/>
      <c r="U30" s="2" t="s">
        <v>7</v>
      </c>
      <c r="V30" s="60">
        <v>6.0</v>
      </c>
      <c r="W30" s="2">
        <v>3.0</v>
      </c>
      <c r="X30" s="2">
        <v>1.0</v>
      </c>
      <c r="Y30" s="2">
        <v>42.0</v>
      </c>
      <c r="Z30" s="2">
        <v>38.0</v>
      </c>
      <c r="AA30" s="62">
        <v>0.75</v>
      </c>
      <c r="AB30" s="63">
        <v>3.0</v>
      </c>
      <c r="AC30" s="52">
        <v>1.0</v>
      </c>
      <c r="AD30" s="52">
        <v>0.0</v>
      </c>
      <c r="AE30" s="80">
        <v>18.0</v>
      </c>
      <c r="AF30" s="81">
        <v>18.0</v>
      </c>
      <c r="AG30" s="75">
        <v>0.5</v>
      </c>
      <c r="AH30" s="63">
        <v>9.0</v>
      </c>
      <c r="AI30" s="52">
        <v>4.0</v>
      </c>
      <c r="AJ30" s="52">
        <v>1.0</v>
      </c>
      <c r="AK30" s="80">
        <v>60.0</v>
      </c>
      <c r="AL30" s="81">
        <v>56.0</v>
      </c>
      <c r="AM30" s="75">
        <v>0.65</v>
      </c>
    </row>
    <row r="31">
      <c r="A31" s="29" t="s">
        <v>51</v>
      </c>
      <c r="B31" s="60" t="s">
        <v>7</v>
      </c>
      <c r="C31" s="2" t="s">
        <v>7</v>
      </c>
      <c r="D31" s="2" t="s">
        <v>6</v>
      </c>
      <c r="E31" s="2" t="s">
        <v>6</v>
      </c>
      <c r="F31" s="2" t="s">
        <v>6</v>
      </c>
      <c r="G31" s="2"/>
      <c r="H31" s="2" t="s">
        <v>8</v>
      </c>
      <c r="I31" s="2" t="s">
        <v>6</v>
      </c>
      <c r="J31" s="2" t="s">
        <v>6</v>
      </c>
      <c r="K31" s="2" t="s">
        <v>6</v>
      </c>
      <c r="L31" s="2" t="s">
        <v>8</v>
      </c>
      <c r="M31" s="2" t="s">
        <v>6</v>
      </c>
      <c r="N31" s="2" t="s">
        <v>7</v>
      </c>
      <c r="O31" s="2" t="s">
        <v>7</v>
      </c>
      <c r="P31" s="57"/>
      <c r="Q31" s="2"/>
      <c r="R31" s="2" t="s">
        <v>7</v>
      </c>
      <c r="S31" s="2" t="s">
        <v>7</v>
      </c>
      <c r="T31" s="2"/>
      <c r="U31" s="2" t="s">
        <v>7</v>
      </c>
      <c r="V31" s="60">
        <v>4.0</v>
      </c>
      <c r="W31" s="2">
        <v>5.0</v>
      </c>
      <c r="X31" s="2">
        <v>1.0</v>
      </c>
      <c r="Y31" s="2">
        <v>46.0</v>
      </c>
      <c r="Z31" s="2">
        <v>42.0</v>
      </c>
      <c r="AA31" s="62">
        <v>0.75</v>
      </c>
      <c r="AB31" s="63">
        <v>3.0</v>
      </c>
      <c r="AC31" s="52">
        <v>2.0</v>
      </c>
      <c r="AD31" s="52">
        <v>1.0</v>
      </c>
      <c r="AE31" s="106">
        <v>24.0</v>
      </c>
      <c r="AF31" s="108">
        <v>20.0</v>
      </c>
      <c r="AG31" s="140">
        <v>0.63</v>
      </c>
      <c r="AH31" s="63">
        <v>7.0</v>
      </c>
      <c r="AI31" s="52">
        <v>7.0</v>
      </c>
      <c r="AJ31" s="52">
        <v>2.0</v>
      </c>
      <c r="AK31" s="106">
        <v>70.0</v>
      </c>
      <c r="AL31" s="108">
        <v>62.0</v>
      </c>
      <c r="AM31" s="140">
        <v>0.7</v>
      </c>
    </row>
    <row r="32">
      <c r="A32" s="29" t="s">
        <v>54</v>
      </c>
      <c r="B32" s="60"/>
      <c r="C32" s="57"/>
      <c r="D32" s="2"/>
      <c r="E32" s="57"/>
      <c r="F32" s="2"/>
      <c r="G32" s="57"/>
      <c r="H32" s="2" t="s">
        <v>6</v>
      </c>
      <c r="I32" s="57"/>
      <c r="J32" s="2"/>
      <c r="K32" s="57"/>
      <c r="L32" s="2" t="s">
        <v>6</v>
      </c>
      <c r="M32" s="57"/>
      <c r="N32" s="2"/>
      <c r="O32" s="57"/>
      <c r="P32" s="2" t="s">
        <v>6</v>
      </c>
      <c r="Q32" s="2" t="s">
        <v>6</v>
      </c>
      <c r="R32" s="57"/>
      <c r="S32" s="57"/>
      <c r="T32" s="57"/>
      <c r="U32" s="2"/>
      <c r="V32" s="60">
        <v>2.0</v>
      </c>
      <c r="W32" s="2">
        <v>0.0</v>
      </c>
      <c r="X32" s="2">
        <v>0.0</v>
      </c>
      <c r="Y32" s="2">
        <v>8.0</v>
      </c>
      <c r="Z32" s="2">
        <v>8.0</v>
      </c>
      <c r="AA32" s="62">
        <v>0.17</v>
      </c>
      <c r="AB32" s="63">
        <v>2.0</v>
      </c>
      <c r="AC32" s="52">
        <v>0.0</v>
      </c>
      <c r="AD32" s="52">
        <v>0.0</v>
      </c>
      <c r="AE32" s="183">
        <v>8.0</v>
      </c>
      <c r="AF32" s="184">
        <v>8.0</v>
      </c>
      <c r="AG32" s="134">
        <v>0.25</v>
      </c>
      <c r="AH32" s="63">
        <v>4.0</v>
      </c>
      <c r="AI32" s="52">
        <v>0.0</v>
      </c>
      <c r="AJ32" s="52">
        <v>0.0</v>
      </c>
      <c r="AK32" s="183">
        <v>16.0</v>
      </c>
      <c r="AL32" s="184">
        <v>16.0</v>
      </c>
      <c r="AM32" s="134">
        <v>0.2</v>
      </c>
    </row>
    <row r="33">
      <c r="A33" s="29" t="s">
        <v>64</v>
      </c>
      <c r="B33" s="60"/>
      <c r="C33" s="2"/>
      <c r="D33" s="2"/>
      <c r="E33" s="2"/>
      <c r="F33" s="2"/>
      <c r="G33" s="57"/>
      <c r="H33" s="2" t="s">
        <v>6</v>
      </c>
      <c r="I33" s="2"/>
      <c r="J33" s="2"/>
      <c r="K33" s="2"/>
      <c r="L33" s="57"/>
      <c r="M33" s="57"/>
      <c r="N33" s="2" t="s">
        <v>6</v>
      </c>
      <c r="O33" s="57"/>
      <c r="P33" s="57"/>
      <c r="Q33" s="2" t="s">
        <v>7</v>
      </c>
      <c r="R33" s="57"/>
      <c r="S33" s="2" t="s">
        <v>7</v>
      </c>
      <c r="T33" s="2"/>
      <c r="U33" s="57"/>
      <c r="V33" s="60">
        <v>0.0</v>
      </c>
      <c r="W33" s="2">
        <v>1.0</v>
      </c>
      <c r="X33" s="2">
        <v>0.0</v>
      </c>
      <c r="Y33" s="2">
        <v>6.0</v>
      </c>
      <c r="Z33" s="2">
        <v>6.0</v>
      </c>
      <c r="AA33" s="62">
        <v>0.08</v>
      </c>
      <c r="AB33" s="63">
        <v>2.0</v>
      </c>
      <c r="AC33" s="52">
        <v>1.0</v>
      </c>
      <c r="AD33" s="52">
        <v>0.0</v>
      </c>
      <c r="AE33" s="190">
        <v>14.0</v>
      </c>
      <c r="AF33" s="162">
        <v>14.0</v>
      </c>
      <c r="AG33" s="116">
        <v>0.38</v>
      </c>
      <c r="AH33" s="63">
        <v>2.0</v>
      </c>
      <c r="AI33" s="52">
        <v>2.0</v>
      </c>
      <c r="AJ33" s="52">
        <v>0.0</v>
      </c>
      <c r="AK33" s="190">
        <v>20.0</v>
      </c>
      <c r="AL33" s="162">
        <v>20.0</v>
      </c>
      <c r="AM33" s="116">
        <v>0.2</v>
      </c>
    </row>
    <row r="34">
      <c r="A34" s="29" t="s">
        <v>62</v>
      </c>
      <c r="B34" s="60" t="s">
        <v>7</v>
      </c>
      <c r="C34" s="2" t="s">
        <v>7</v>
      </c>
      <c r="D34" s="2" t="s">
        <v>6</v>
      </c>
      <c r="E34" s="2" t="s">
        <v>8</v>
      </c>
      <c r="F34" s="2" t="s">
        <v>7</v>
      </c>
      <c r="G34" s="2"/>
      <c r="H34" s="2"/>
      <c r="I34" s="57"/>
      <c r="J34" s="2" t="s">
        <v>6</v>
      </c>
      <c r="K34" s="2" t="s">
        <v>7</v>
      </c>
      <c r="L34" s="2"/>
      <c r="M34" s="2" t="s">
        <v>7</v>
      </c>
      <c r="N34" s="2"/>
      <c r="O34" s="2" t="s">
        <v>7</v>
      </c>
      <c r="P34" s="2"/>
      <c r="Q34" s="2"/>
      <c r="R34" s="2"/>
      <c r="S34" s="2" t="s">
        <v>8</v>
      </c>
      <c r="T34" s="2" t="s">
        <v>6</v>
      </c>
      <c r="U34" s="2" t="s">
        <v>7</v>
      </c>
      <c r="V34" s="60">
        <v>0.0</v>
      </c>
      <c r="W34" s="2">
        <v>6.0</v>
      </c>
      <c r="X34" s="2">
        <v>1.0</v>
      </c>
      <c r="Y34" s="2">
        <v>36.0</v>
      </c>
      <c r="Z34" s="2">
        <v>32.0</v>
      </c>
      <c r="AA34" s="62">
        <v>0.5</v>
      </c>
      <c r="AB34" s="63">
        <v>3.0</v>
      </c>
      <c r="AC34" s="52">
        <v>1.0</v>
      </c>
      <c r="AD34" s="52">
        <v>1.0</v>
      </c>
      <c r="AE34" s="97">
        <v>18.0</v>
      </c>
      <c r="AF34" s="99">
        <v>14.0</v>
      </c>
      <c r="AG34" s="116">
        <v>0.5</v>
      </c>
      <c r="AH34" s="63">
        <v>3.0</v>
      </c>
      <c r="AI34" s="52">
        <v>7.0</v>
      </c>
      <c r="AJ34" s="52">
        <v>2.0</v>
      </c>
      <c r="AK34" s="97">
        <v>54.0</v>
      </c>
      <c r="AL34" s="99">
        <v>46.0</v>
      </c>
      <c r="AM34" s="116">
        <v>0.5</v>
      </c>
    </row>
    <row r="35">
      <c r="A35" s="29" t="s">
        <v>33</v>
      </c>
      <c r="B35" s="60" t="s">
        <v>6</v>
      </c>
      <c r="C35" s="57"/>
      <c r="D35" s="2"/>
      <c r="E35" s="57"/>
      <c r="F35" s="2"/>
      <c r="G35" s="2" t="s">
        <v>6</v>
      </c>
      <c r="H35" s="57"/>
      <c r="I35" s="57"/>
      <c r="J35" s="2" t="s">
        <v>6</v>
      </c>
      <c r="K35" s="2"/>
      <c r="L35" s="2"/>
      <c r="M35" s="2" t="s">
        <v>7</v>
      </c>
      <c r="N35" s="57"/>
      <c r="O35" s="57"/>
      <c r="P35" s="2"/>
      <c r="Q35" s="2"/>
      <c r="R35" s="2"/>
      <c r="S35" s="2"/>
      <c r="T35" s="2" t="s">
        <v>6</v>
      </c>
      <c r="U35" s="2" t="s">
        <v>7</v>
      </c>
      <c r="V35" s="60">
        <v>2.0</v>
      </c>
      <c r="W35" s="2">
        <v>2.0</v>
      </c>
      <c r="X35" s="2">
        <v>0.0</v>
      </c>
      <c r="Y35" s="2">
        <v>20.0</v>
      </c>
      <c r="Z35" s="2">
        <v>20.0</v>
      </c>
      <c r="AA35" s="62">
        <v>0.33</v>
      </c>
      <c r="AB35" s="63">
        <v>2.0</v>
      </c>
      <c r="AC35" s="52">
        <v>0.0</v>
      </c>
      <c r="AD35" s="52">
        <v>0.0</v>
      </c>
      <c r="AE35" s="190">
        <v>8.0</v>
      </c>
      <c r="AF35" s="99">
        <v>8.0</v>
      </c>
      <c r="AG35" s="116">
        <v>0.25</v>
      </c>
      <c r="AH35" s="63">
        <v>4.0</v>
      </c>
      <c r="AI35" s="52">
        <v>2.0</v>
      </c>
      <c r="AJ35" s="52">
        <v>0.0</v>
      </c>
      <c r="AK35" s="190">
        <v>28.0</v>
      </c>
      <c r="AL35" s="99">
        <v>28.0</v>
      </c>
      <c r="AM35" s="116">
        <v>0.3</v>
      </c>
    </row>
    <row r="36">
      <c r="A36" s="29" t="s">
        <v>36</v>
      </c>
      <c r="B36" s="60" t="s">
        <v>8</v>
      </c>
      <c r="C36" s="2" t="s">
        <v>7</v>
      </c>
      <c r="D36" s="2" t="s">
        <v>7</v>
      </c>
      <c r="E36" s="2" t="s">
        <v>7</v>
      </c>
      <c r="F36" s="2" t="s">
        <v>6</v>
      </c>
      <c r="G36" s="2" t="s">
        <v>8</v>
      </c>
      <c r="H36" s="2" t="s">
        <v>6</v>
      </c>
      <c r="I36" s="2" t="s">
        <v>6</v>
      </c>
      <c r="J36" s="2" t="s">
        <v>8</v>
      </c>
      <c r="K36" s="2" t="s">
        <v>6</v>
      </c>
      <c r="L36" s="2" t="s">
        <v>7</v>
      </c>
      <c r="M36" s="57"/>
      <c r="N36" s="57"/>
      <c r="O36" s="2" t="s">
        <v>7</v>
      </c>
      <c r="P36" s="2" t="s">
        <v>6</v>
      </c>
      <c r="Q36" s="2" t="s">
        <v>6</v>
      </c>
      <c r="R36" s="2" t="s">
        <v>7</v>
      </c>
      <c r="S36" s="2" t="s">
        <v>8</v>
      </c>
      <c r="T36" s="2"/>
      <c r="U36" s="2"/>
      <c r="V36" s="60">
        <v>4.0</v>
      </c>
      <c r="W36" s="2">
        <v>3.0</v>
      </c>
      <c r="X36" s="2">
        <v>3.0</v>
      </c>
      <c r="Y36" s="2">
        <v>34.0</v>
      </c>
      <c r="Z36" s="2">
        <v>22.0</v>
      </c>
      <c r="AA36" s="62">
        <v>0.58</v>
      </c>
      <c r="AB36" s="63">
        <v>2.0</v>
      </c>
      <c r="AC36" s="52">
        <v>3.0</v>
      </c>
      <c r="AD36" s="52">
        <v>1.0</v>
      </c>
      <c r="AE36" s="80">
        <v>26.0</v>
      </c>
      <c r="AF36" s="144">
        <v>22.0</v>
      </c>
      <c r="AG36" s="75">
        <v>0.63</v>
      </c>
      <c r="AH36" s="63">
        <v>6.0</v>
      </c>
      <c r="AI36" s="52">
        <v>6.0</v>
      </c>
      <c r="AJ36" s="52">
        <v>4.0</v>
      </c>
      <c r="AK36" s="80">
        <v>60.0</v>
      </c>
      <c r="AL36" s="144">
        <v>44.0</v>
      </c>
      <c r="AM36" s="75">
        <v>0.6</v>
      </c>
    </row>
    <row r="37">
      <c r="A37" s="29" t="s">
        <v>55</v>
      </c>
      <c r="B37" s="55"/>
      <c r="C37" s="57"/>
      <c r="D37" s="2" t="s">
        <v>7</v>
      </c>
      <c r="E37" s="2"/>
      <c r="F37" s="2"/>
      <c r="G37" s="57"/>
      <c r="H37" s="2"/>
      <c r="I37" s="2"/>
      <c r="J37" s="2" t="s">
        <v>6</v>
      </c>
      <c r="K37" s="2"/>
      <c r="L37" s="57"/>
      <c r="M37" s="57"/>
      <c r="N37" s="57"/>
      <c r="O37" s="2" t="s">
        <v>6</v>
      </c>
      <c r="P37" s="57"/>
      <c r="Q37" s="2"/>
      <c r="R37" s="2" t="s">
        <v>7</v>
      </c>
      <c r="S37" s="2" t="s">
        <v>6</v>
      </c>
      <c r="T37" s="2"/>
      <c r="U37" s="2" t="s">
        <v>7</v>
      </c>
      <c r="V37" s="60">
        <v>1.0</v>
      </c>
      <c r="W37" s="2">
        <v>2.0</v>
      </c>
      <c r="X37" s="2">
        <v>0.0</v>
      </c>
      <c r="Y37" s="2">
        <v>16.0</v>
      </c>
      <c r="Z37" s="2">
        <v>16.0</v>
      </c>
      <c r="AA37" s="62">
        <v>0.25</v>
      </c>
      <c r="AB37" s="63">
        <v>2.0</v>
      </c>
      <c r="AC37" s="52">
        <v>1.0</v>
      </c>
      <c r="AD37" s="52">
        <v>0.0</v>
      </c>
      <c r="AE37" s="80">
        <v>14.0</v>
      </c>
      <c r="AF37" s="85">
        <v>14.0</v>
      </c>
      <c r="AG37" s="75">
        <v>0.38</v>
      </c>
      <c r="AH37" s="63">
        <v>3.0</v>
      </c>
      <c r="AI37" s="52">
        <v>3.0</v>
      </c>
      <c r="AJ37" s="52">
        <v>0.0</v>
      </c>
      <c r="AK37" s="80">
        <v>30.0</v>
      </c>
      <c r="AL37" s="85">
        <v>30.0</v>
      </c>
      <c r="AM37" s="75">
        <v>0.3</v>
      </c>
    </row>
    <row r="38">
      <c r="A38" s="29" t="s">
        <v>32</v>
      </c>
      <c r="B38" s="60" t="s">
        <v>7</v>
      </c>
      <c r="C38" s="2" t="s">
        <v>7</v>
      </c>
      <c r="D38" s="57"/>
      <c r="E38" s="2" t="s">
        <v>7</v>
      </c>
      <c r="F38" s="2" t="s">
        <v>7</v>
      </c>
      <c r="G38" s="2" t="s">
        <v>7</v>
      </c>
      <c r="H38" s="57"/>
      <c r="I38" s="2" t="s">
        <v>6</v>
      </c>
      <c r="J38" s="2" t="s">
        <v>8</v>
      </c>
      <c r="K38" s="2" t="s">
        <v>8</v>
      </c>
      <c r="L38" s="2" t="s">
        <v>8</v>
      </c>
      <c r="M38" s="2" t="s">
        <v>7</v>
      </c>
      <c r="N38" s="2" t="s">
        <v>6</v>
      </c>
      <c r="O38" s="2" t="s">
        <v>8</v>
      </c>
      <c r="P38" s="2" t="s">
        <v>6</v>
      </c>
      <c r="Q38" s="2" t="s">
        <v>6</v>
      </c>
      <c r="R38" s="57"/>
      <c r="S38" s="2" t="s">
        <v>8</v>
      </c>
      <c r="T38" s="2" t="s">
        <v>7</v>
      </c>
      <c r="U38" s="2" t="s">
        <v>8</v>
      </c>
      <c r="V38" s="60">
        <v>2.0</v>
      </c>
      <c r="W38" s="2">
        <v>5.0</v>
      </c>
      <c r="X38" s="2">
        <v>4.0</v>
      </c>
      <c r="Y38" s="2">
        <v>38.0</v>
      </c>
      <c r="Z38" s="2">
        <v>22.0</v>
      </c>
      <c r="AA38" s="62">
        <v>0.58</v>
      </c>
      <c r="AB38" s="63">
        <v>2.0</v>
      </c>
      <c r="AC38" s="52">
        <v>2.0</v>
      </c>
      <c r="AD38" s="52">
        <v>2.0</v>
      </c>
      <c r="AE38" s="114">
        <v>20.0</v>
      </c>
      <c r="AF38" s="120">
        <v>12.0</v>
      </c>
      <c r="AG38" s="116">
        <v>0.5</v>
      </c>
      <c r="AH38" s="63">
        <v>4.0</v>
      </c>
      <c r="AI38" s="52">
        <v>7.0</v>
      </c>
      <c r="AJ38" s="52">
        <v>6.0</v>
      </c>
      <c r="AK38" s="114">
        <v>58.0</v>
      </c>
      <c r="AL38" s="120">
        <v>34.0</v>
      </c>
      <c r="AM38" s="116">
        <v>0.55</v>
      </c>
    </row>
    <row r="39">
      <c r="A39" s="29" t="s">
        <v>38</v>
      </c>
      <c r="B39" s="60" t="s">
        <v>8</v>
      </c>
      <c r="C39" s="2"/>
      <c r="D39" s="2"/>
      <c r="E39" s="2"/>
      <c r="F39" s="2" t="s">
        <v>6</v>
      </c>
      <c r="G39" s="2" t="s">
        <v>6</v>
      </c>
      <c r="H39" s="2"/>
      <c r="I39" s="2" t="s">
        <v>6</v>
      </c>
      <c r="J39" s="2"/>
      <c r="K39" s="2"/>
      <c r="L39" s="2"/>
      <c r="M39" s="2" t="s">
        <v>6</v>
      </c>
      <c r="N39" s="2"/>
      <c r="O39" s="2" t="s">
        <v>7</v>
      </c>
      <c r="P39" s="2"/>
      <c r="Q39" s="2"/>
      <c r="R39" s="2"/>
      <c r="S39" s="2"/>
      <c r="T39" s="57"/>
      <c r="U39" s="2" t="s">
        <v>6</v>
      </c>
      <c r="V39" s="60">
        <v>5.0</v>
      </c>
      <c r="W39" s="2">
        <v>0.0</v>
      </c>
      <c r="X39" s="2">
        <v>1.0</v>
      </c>
      <c r="Y39" s="2">
        <v>20.0</v>
      </c>
      <c r="Z39" s="2">
        <v>16.0</v>
      </c>
      <c r="AA39" s="62">
        <v>0.42</v>
      </c>
      <c r="AB39" s="63">
        <v>0.0</v>
      </c>
      <c r="AC39" s="52">
        <v>1.0</v>
      </c>
      <c r="AD39" s="52">
        <v>0.0</v>
      </c>
      <c r="AE39" s="204">
        <v>6.0</v>
      </c>
      <c r="AF39" s="206">
        <v>6.0</v>
      </c>
      <c r="AG39" s="207">
        <v>0.13</v>
      </c>
      <c r="AH39" s="63">
        <v>5.0</v>
      </c>
      <c r="AI39" s="52">
        <v>1.0</v>
      </c>
      <c r="AJ39" s="52">
        <v>1.0</v>
      </c>
      <c r="AK39" s="204">
        <v>26.0</v>
      </c>
      <c r="AL39" s="206">
        <v>22.0</v>
      </c>
      <c r="AM39" s="207">
        <v>0.3</v>
      </c>
    </row>
    <row r="40">
      <c r="A40" s="29" t="s">
        <v>75</v>
      </c>
      <c r="B40" s="60" t="s">
        <v>6</v>
      </c>
      <c r="C40" s="2" t="s">
        <v>7</v>
      </c>
      <c r="D40" s="2" t="s">
        <v>6</v>
      </c>
      <c r="E40" s="2" t="s">
        <v>6</v>
      </c>
      <c r="F40" s="57"/>
      <c r="G40" s="57"/>
      <c r="H40" s="2" t="s">
        <v>6</v>
      </c>
      <c r="I40" s="57"/>
      <c r="J40" s="2" t="s">
        <v>6</v>
      </c>
      <c r="K40" s="57"/>
      <c r="L40" s="2" t="s">
        <v>6</v>
      </c>
      <c r="M40" s="2"/>
      <c r="N40" s="2" t="s">
        <v>6</v>
      </c>
      <c r="O40" s="57"/>
      <c r="P40" s="57"/>
      <c r="Q40" s="57"/>
      <c r="R40" s="2" t="s">
        <v>6</v>
      </c>
      <c r="S40" s="2" t="s">
        <v>6</v>
      </c>
      <c r="T40" s="2"/>
      <c r="U40" s="2" t="s">
        <v>8</v>
      </c>
      <c r="V40" s="60">
        <v>4.0</v>
      </c>
      <c r="W40" s="2">
        <v>1.0</v>
      </c>
      <c r="X40" s="2">
        <v>1.0</v>
      </c>
      <c r="Y40" s="2">
        <v>22.0</v>
      </c>
      <c r="Z40" s="2">
        <v>18.0</v>
      </c>
      <c r="AA40" s="62">
        <v>0.42</v>
      </c>
      <c r="AB40" s="63">
        <v>5.0</v>
      </c>
      <c r="AC40" s="52">
        <v>0.0</v>
      </c>
      <c r="AD40" s="52">
        <v>0.0</v>
      </c>
      <c r="AE40" s="122">
        <v>20.0</v>
      </c>
      <c r="AF40" s="86">
        <v>20.0</v>
      </c>
      <c r="AG40" s="70">
        <v>0.63</v>
      </c>
      <c r="AH40" s="63">
        <v>9.0</v>
      </c>
      <c r="AI40" s="52">
        <v>1.0</v>
      </c>
      <c r="AJ40" s="52">
        <v>1.0</v>
      </c>
      <c r="AK40" s="122">
        <v>42.0</v>
      </c>
      <c r="AL40" s="86">
        <v>38.0</v>
      </c>
      <c r="AM40" s="70">
        <v>0.5</v>
      </c>
    </row>
    <row r="41">
      <c r="A41" s="29" t="s">
        <v>72</v>
      </c>
      <c r="B41" s="60" t="s">
        <v>6</v>
      </c>
      <c r="C41" s="2" t="s">
        <v>7</v>
      </c>
      <c r="D41" s="2" t="s">
        <v>7</v>
      </c>
      <c r="E41" s="2" t="s">
        <v>6</v>
      </c>
      <c r="F41" s="2"/>
      <c r="G41" s="2" t="s">
        <v>7</v>
      </c>
      <c r="H41" s="2" t="s">
        <v>8</v>
      </c>
      <c r="I41" s="2"/>
      <c r="J41" s="2"/>
      <c r="K41" s="2"/>
      <c r="L41" s="2" t="s">
        <v>6</v>
      </c>
      <c r="M41" s="2" t="s">
        <v>6</v>
      </c>
      <c r="N41" s="2"/>
      <c r="O41" s="2" t="s">
        <v>7</v>
      </c>
      <c r="P41" s="2"/>
      <c r="Q41" s="57"/>
      <c r="R41" s="57"/>
      <c r="S41" s="2" t="s">
        <v>6</v>
      </c>
      <c r="T41" s="57"/>
      <c r="U41" s="2" t="s">
        <v>8</v>
      </c>
      <c r="V41" s="60">
        <v>4.0</v>
      </c>
      <c r="W41" s="2">
        <v>2.0</v>
      </c>
      <c r="X41" s="2">
        <v>1.0</v>
      </c>
      <c r="Y41" s="2">
        <v>28.0</v>
      </c>
      <c r="Z41" s="2">
        <v>24.0</v>
      </c>
      <c r="AA41" s="62">
        <v>0.5</v>
      </c>
      <c r="AB41" s="63">
        <v>1.0</v>
      </c>
      <c r="AC41" s="52">
        <v>2.0</v>
      </c>
      <c r="AD41" s="52">
        <v>1.0</v>
      </c>
      <c r="AE41" s="209">
        <v>16.0</v>
      </c>
      <c r="AF41" s="210">
        <v>12.0</v>
      </c>
      <c r="AG41" s="100">
        <v>0.38</v>
      </c>
      <c r="AH41" s="63">
        <v>5.0</v>
      </c>
      <c r="AI41" s="52">
        <v>4.0</v>
      </c>
      <c r="AJ41" s="52">
        <v>2.0</v>
      </c>
      <c r="AK41" s="209">
        <v>44.0</v>
      </c>
      <c r="AL41" s="210">
        <v>36.0</v>
      </c>
      <c r="AM41" s="100">
        <v>0.45</v>
      </c>
    </row>
    <row r="42">
      <c r="A42" s="29" t="s">
        <v>53</v>
      </c>
      <c r="B42" s="60"/>
      <c r="C42" s="57"/>
      <c r="D42" s="2"/>
      <c r="E42" s="57"/>
      <c r="F42" s="2" t="s">
        <v>6</v>
      </c>
      <c r="G42" s="2"/>
      <c r="H42" s="57"/>
      <c r="I42" s="57"/>
      <c r="J42" s="2" t="s">
        <v>6</v>
      </c>
      <c r="K42" s="2" t="s">
        <v>6</v>
      </c>
      <c r="L42" s="57"/>
      <c r="M42" s="57"/>
      <c r="N42" s="2"/>
      <c r="O42" s="57"/>
      <c r="P42" s="57"/>
      <c r="Q42" s="2" t="s">
        <v>6</v>
      </c>
      <c r="R42" s="2" t="s">
        <v>6</v>
      </c>
      <c r="S42" s="57"/>
      <c r="T42" s="57"/>
      <c r="U42" s="57"/>
      <c r="V42" s="60">
        <v>3.0</v>
      </c>
      <c r="W42" s="2">
        <v>0.0</v>
      </c>
      <c r="X42" s="2">
        <v>0.0</v>
      </c>
      <c r="Y42" s="2">
        <v>12.0</v>
      </c>
      <c r="Z42" s="2">
        <v>12.0</v>
      </c>
      <c r="AA42" s="62">
        <v>0.25</v>
      </c>
      <c r="AB42" s="63">
        <v>2.0</v>
      </c>
      <c r="AC42" s="52">
        <v>0.0</v>
      </c>
      <c r="AD42" s="52">
        <v>0.0</v>
      </c>
      <c r="AE42" s="139">
        <v>8.0</v>
      </c>
      <c r="AF42" s="68">
        <v>8.0</v>
      </c>
      <c r="AG42" s="75">
        <v>0.25</v>
      </c>
      <c r="AH42" s="63">
        <v>5.0</v>
      </c>
      <c r="AI42" s="52">
        <v>0.0</v>
      </c>
      <c r="AJ42" s="52">
        <v>0.0</v>
      </c>
      <c r="AK42" s="139">
        <v>20.0</v>
      </c>
      <c r="AL42" s="68">
        <v>20.0</v>
      </c>
      <c r="AM42" s="75">
        <v>0.25</v>
      </c>
    </row>
    <row r="43">
      <c r="A43" s="29" t="s">
        <v>78</v>
      </c>
      <c r="B43" s="60" t="s">
        <v>7</v>
      </c>
      <c r="C43" s="2" t="s">
        <v>7</v>
      </c>
      <c r="D43" s="57"/>
      <c r="E43" s="2" t="s">
        <v>6</v>
      </c>
      <c r="F43" s="2" t="s">
        <v>7</v>
      </c>
      <c r="G43" s="2" t="s">
        <v>7</v>
      </c>
      <c r="H43" s="2" t="s">
        <v>6</v>
      </c>
      <c r="I43" s="2" t="s">
        <v>7</v>
      </c>
      <c r="J43" s="2" t="s">
        <v>7</v>
      </c>
      <c r="K43" s="2" t="s">
        <v>8</v>
      </c>
      <c r="L43" s="2" t="s">
        <v>8</v>
      </c>
      <c r="M43" s="2" t="s">
        <v>7</v>
      </c>
      <c r="N43" s="57"/>
      <c r="O43" s="2" t="s">
        <v>7</v>
      </c>
      <c r="P43" s="57"/>
      <c r="Q43" s="57"/>
      <c r="R43" s="2" t="s">
        <v>8</v>
      </c>
      <c r="S43" s="2" t="s">
        <v>7</v>
      </c>
      <c r="T43" s="2" t="s">
        <v>6</v>
      </c>
      <c r="U43" s="2" t="s">
        <v>7</v>
      </c>
      <c r="V43" s="60">
        <v>0.0</v>
      </c>
      <c r="W43" s="2">
        <v>8.0</v>
      </c>
      <c r="X43" s="2">
        <v>3.0</v>
      </c>
      <c r="Y43" s="2">
        <v>48.0</v>
      </c>
      <c r="Z43" s="2">
        <v>36.0</v>
      </c>
      <c r="AA43" s="62">
        <v>0.67</v>
      </c>
      <c r="AB43" s="63">
        <v>3.0</v>
      </c>
      <c r="AC43" s="52">
        <v>2.0</v>
      </c>
      <c r="AD43" s="52">
        <v>0.0</v>
      </c>
      <c r="AE43" s="143">
        <v>24.0</v>
      </c>
      <c r="AF43" s="144">
        <v>24.0</v>
      </c>
      <c r="AG43" s="87">
        <v>0.63</v>
      </c>
      <c r="AH43" s="63">
        <v>3.0</v>
      </c>
      <c r="AI43" s="52">
        <v>10.0</v>
      </c>
      <c r="AJ43" s="52">
        <v>3.0</v>
      </c>
      <c r="AK43" s="143">
        <v>72.0</v>
      </c>
      <c r="AL43" s="144">
        <v>60.0</v>
      </c>
      <c r="AM43" s="87">
        <v>0.65</v>
      </c>
    </row>
    <row r="44">
      <c r="A44" s="29" t="s">
        <v>59</v>
      </c>
      <c r="B44" s="60"/>
      <c r="C44" s="57"/>
      <c r="D44" s="2" t="s">
        <v>7</v>
      </c>
      <c r="E44" s="57"/>
      <c r="F44" s="2" t="s">
        <v>8</v>
      </c>
      <c r="G44" s="2" t="s">
        <v>8</v>
      </c>
      <c r="H44" s="57"/>
      <c r="I44" s="57"/>
      <c r="J44" s="57"/>
      <c r="K44" s="2" t="s">
        <v>6</v>
      </c>
      <c r="L44" s="2" t="s">
        <v>8</v>
      </c>
      <c r="M44" s="57"/>
      <c r="N44" s="2" t="s">
        <v>6</v>
      </c>
      <c r="O44" s="57"/>
      <c r="P44" s="2"/>
      <c r="Q44" s="57"/>
      <c r="R44" s="2" t="s">
        <v>6</v>
      </c>
      <c r="S44" s="57"/>
      <c r="T44" s="57"/>
      <c r="U44" s="2" t="s">
        <v>8</v>
      </c>
      <c r="V44" s="60">
        <v>2.0</v>
      </c>
      <c r="W44" s="2">
        <v>0.0</v>
      </c>
      <c r="X44" s="2">
        <v>4.0</v>
      </c>
      <c r="Y44" s="2">
        <v>8.0</v>
      </c>
      <c r="Z44" s="2">
        <v>-8.0</v>
      </c>
      <c r="AA44" s="62">
        <v>0.17</v>
      </c>
      <c r="AB44" s="63">
        <v>1.0</v>
      </c>
      <c r="AC44" s="52">
        <v>1.0</v>
      </c>
      <c r="AD44" s="52">
        <v>0.0</v>
      </c>
      <c r="AE44" s="139">
        <v>10.0</v>
      </c>
      <c r="AF44" s="132">
        <v>10.0</v>
      </c>
      <c r="AG44" s="140">
        <v>0.25</v>
      </c>
      <c r="AH44" s="63">
        <v>3.0</v>
      </c>
      <c r="AI44" s="52">
        <v>1.0</v>
      </c>
      <c r="AJ44" s="52">
        <v>4.0</v>
      </c>
      <c r="AK44" s="139">
        <v>18.0</v>
      </c>
      <c r="AL44" s="132">
        <v>2.0</v>
      </c>
      <c r="AM44" s="140">
        <v>0.2</v>
      </c>
    </row>
    <row r="45">
      <c r="A45" s="29" t="s">
        <v>81</v>
      </c>
      <c r="B45" s="60" t="s">
        <v>8</v>
      </c>
      <c r="C45" s="2"/>
      <c r="D45" s="2" t="s">
        <v>7</v>
      </c>
      <c r="E45" s="2" t="s">
        <v>7</v>
      </c>
      <c r="F45" s="57"/>
      <c r="G45" s="2" t="s">
        <v>7</v>
      </c>
      <c r="H45" s="57"/>
      <c r="I45" s="2"/>
      <c r="J45" s="2"/>
      <c r="K45" s="57"/>
      <c r="L45" s="57"/>
      <c r="M45" s="2" t="s">
        <v>7</v>
      </c>
      <c r="N45" s="2"/>
      <c r="O45" s="2" t="s">
        <v>7</v>
      </c>
      <c r="P45" s="2" t="s">
        <v>8</v>
      </c>
      <c r="Q45" s="2" t="s">
        <v>7</v>
      </c>
      <c r="R45" s="2" t="s">
        <v>6</v>
      </c>
      <c r="S45" s="2"/>
      <c r="T45" s="2"/>
      <c r="U45" s="2" t="s">
        <v>8</v>
      </c>
      <c r="V45" s="60">
        <v>1.0</v>
      </c>
      <c r="W45" s="2">
        <v>2.0</v>
      </c>
      <c r="X45" s="2">
        <v>3.0</v>
      </c>
      <c r="Y45" s="2">
        <v>16.0</v>
      </c>
      <c r="Z45" s="2">
        <v>4.0</v>
      </c>
      <c r="AA45" s="62">
        <v>0.25</v>
      </c>
      <c r="AB45" s="63">
        <v>0.0</v>
      </c>
      <c r="AC45" s="52">
        <v>4.0</v>
      </c>
      <c r="AD45" s="52">
        <v>0.0</v>
      </c>
      <c r="AE45" s="218">
        <v>24.0</v>
      </c>
      <c r="AF45" s="120">
        <v>24.0</v>
      </c>
      <c r="AG45" s="207">
        <v>0.5</v>
      </c>
      <c r="AH45" s="63">
        <v>1.0</v>
      </c>
      <c r="AI45" s="52">
        <v>6.0</v>
      </c>
      <c r="AJ45" s="52">
        <v>3.0</v>
      </c>
      <c r="AK45" s="218">
        <v>40.0</v>
      </c>
      <c r="AL45" s="120">
        <v>28.0</v>
      </c>
      <c r="AM45" s="207">
        <v>0.35</v>
      </c>
    </row>
    <row r="46">
      <c r="A46" s="29" t="s">
        <v>69</v>
      </c>
      <c r="B46" s="60" t="s">
        <v>6</v>
      </c>
      <c r="C46" s="2" t="s">
        <v>7</v>
      </c>
      <c r="D46" s="2"/>
      <c r="E46" s="2" t="s">
        <v>8</v>
      </c>
      <c r="F46" s="2" t="s">
        <v>6</v>
      </c>
      <c r="G46" s="57"/>
      <c r="H46" s="2"/>
      <c r="I46" s="2" t="s">
        <v>6</v>
      </c>
      <c r="J46" s="2" t="s">
        <v>7</v>
      </c>
      <c r="K46" s="2" t="s">
        <v>6</v>
      </c>
      <c r="L46" s="2" t="s">
        <v>7</v>
      </c>
      <c r="M46" s="2"/>
      <c r="N46" s="57"/>
      <c r="O46" s="57"/>
      <c r="P46" s="2" t="s">
        <v>6</v>
      </c>
      <c r="Q46" s="2"/>
      <c r="R46" s="2"/>
      <c r="S46" s="57"/>
      <c r="T46" s="2" t="s">
        <v>6</v>
      </c>
      <c r="U46" s="2" t="s">
        <v>8</v>
      </c>
      <c r="V46" s="60">
        <v>5.0</v>
      </c>
      <c r="W46" s="2">
        <v>2.0</v>
      </c>
      <c r="X46" s="2">
        <v>1.0</v>
      </c>
      <c r="Y46" s="2">
        <v>32.0</v>
      </c>
      <c r="Z46" s="2">
        <v>28.0</v>
      </c>
      <c r="AA46" s="62">
        <v>0.58</v>
      </c>
      <c r="AB46" s="63">
        <v>1.0</v>
      </c>
      <c r="AC46" s="52">
        <v>1.0</v>
      </c>
      <c r="AD46" s="52">
        <v>1.0</v>
      </c>
      <c r="AE46" s="72">
        <v>10.0</v>
      </c>
      <c r="AF46" s="74">
        <v>6.0</v>
      </c>
      <c r="AG46" s="75">
        <v>0.25</v>
      </c>
      <c r="AH46" s="63">
        <v>6.0</v>
      </c>
      <c r="AI46" s="52">
        <v>3.0</v>
      </c>
      <c r="AJ46" s="52">
        <v>2.0</v>
      </c>
      <c r="AK46" s="72">
        <v>42.0</v>
      </c>
      <c r="AL46" s="74">
        <v>34.0</v>
      </c>
      <c r="AM46" s="75">
        <v>0.45</v>
      </c>
    </row>
    <row r="47">
      <c r="A47" s="29"/>
      <c r="B47" s="60"/>
      <c r="C47" s="57"/>
      <c r="D47" s="2"/>
      <c r="E47" s="57"/>
      <c r="F47" s="2"/>
      <c r="G47" s="2"/>
      <c r="H47" s="2"/>
      <c r="I47" s="57"/>
      <c r="J47" s="57"/>
      <c r="K47" s="57"/>
      <c r="L47" s="2"/>
      <c r="M47" s="57"/>
      <c r="N47" s="2"/>
      <c r="O47" s="57"/>
      <c r="P47" s="57"/>
      <c r="Q47" s="57"/>
      <c r="R47" s="57"/>
      <c r="S47" s="2"/>
      <c r="T47" s="57"/>
      <c r="U47" s="2"/>
      <c r="V47" s="60"/>
      <c r="W47" s="2"/>
      <c r="X47" s="2"/>
      <c r="Y47" s="2"/>
      <c r="Z47" s="2"/>
      <c r="AA47" s="62"/>
      <c r="AB47" s="63"/>
      <c r="AC47" s="52"/>
      <c r="AD47" s="52"/>
      <c r="AE47" s="52"/>
      <c r="AF47" s="52"/>
      <c r="AG47" s="243"/>
      <c r="AH47" s="63"/>
      <c r="AI47" s="52"/>
      <c r="AJ47" s="52"/>
      <c r="AK47" s="52"/>
      <c r="AL47" s="52"/>
      <c r="AM47" s="243"/>
    </row>
    <row r="48">
      <c r="A48" s="29"/>
      <c r="B48" s="55"/>
      <c r="C48" s="57"/>
      <c r="D48" s="57"/>
      <c r="E48" s="2"/>
      <c r="F48" s="2"/>
      <c r="G48" s="57"/>
      <c r="H48" s="57"/>
      <c r="I48" s="57"/>
      <c r="J48" s="57"/>
      <c r="K48" s="2"/>
      <c r="L48" s="57"/>
      <c r="M48" s="2"/>
      <c r="N48" s="57"/>
      <c r="O48" s="57"/>
      <c r="P48" s="57"/>
      <c r="Q48" s="2"/>
      <c r="R48" s="2"/>
      <c r="S48" s="57"/>
      <c r="T48" s="57"/>
      <c r="U48" s="57"/>
      <c r="V48" s="60"/>
      <c r="W48" s="2"/>
      <c r="X48" s="2"/>
      <c r="Y48" s="2"/>
      <c r="Z48" s="2"/>
      <c r="AA48" s="62"/>
      <c r="AB48" s="63"/>
      <c r="AC48" s="52"/>
      <c r="AD48" s="52"/>
      <c r="AE48" s="52"/>
      <c r="AF48" s="52"/>
      <c r="AG48" s="243"/>
      <c r="AH48" s="63"/>
      <c r="AI48" s="52"/>
      <c r="AJ48" s="52"/>
      <c r="AK48" s="52"/>
      <c r="AL48" s="52"/>
      <c r="AM48" s="243"/>
    </row>
    <row r="49">
      <c r="A49" s="29"/>
      <c r="B49" s="55"/>
      <c r="C49" s="2"/>
      <c r="D49" s="2"/>
      <c r="E49" s="2"/>
      <c r="F49" s="2"/>
      <c r="G49" s="2"/>
      <c r="H49" s="57"/>
      <c r="I49" s="57"/>
      <c r="J49" s="2"/>
      <c r="K49" s="2"/>
      <c r="L49" s="2"/>
      <c r="M49" s="57"/>
      <c r="N49" s="57"/>
      <c r="O49" s="2"/>
      <c r="P49" s="2"/>
      <c r="Q49" s="57"/>
      <c r="R49" s="2"/>
      <c r="S49" s="57"/>
      <c r="T49" s="2"/>
      <c r="U49" s="2"/>
      <c r="V49" s="60"/>
      <c r="W49" s="2"/>
      <c r="X49" s="2"/>
      <c r="Y49" s="2"/>
      <c r="Z49" s="2"/>
      <c r="AA49" s="62"/>
      <c r="AB49" s="63"/>
      <c r="AC49" s="52"/>
      <c r="AD49" s="52"/>
      <c r="AE49" s="52"/>
      <c r="AF49" s="52"/>
      <c r="AG49" s="243"/>
      <c r="AH49" s="63"/>
      <c r="AI49" s="52"/>
      <c r="AJ49" s="52"/>
      <c r="AK49" s="52"/>
      <c r="AL49" s="52"/>
      <c r="AM49" s="243"/>
    </row>
    <row r="50">
      <c r="A50" s="222"/>
      <c r="B50" s="224"/>
      <c r="C50" s="225"/>
      <c r="D50" s="225"/>
      <c r="E50" s="225"/>
      <c r="F50" s="225"/>
      <c r="G50" s="225"/>
      <c r="H50" s="226"/>
      <c r="I50" s="226"/>
      <c r="J50" s="226"/>
      <c r="K50" s="225"/>
      <c r="L50" s="226"/>
      <c r="M50" s="226"/>
      <c r="N50" s="226"/>
      <c r="O50" s="225"/>
      <c r="P50" s="225"/>
      <c r="Q50" s="226"/>
      <c r="R50" s="225"/>
      <c r="S50" s="226"/>
      <c r="T50" s="225"/>
      <c r="U50" s="225"/>
      <c r="V50" s="224"/>
      <c r="W50" s="226"/>
      <c r="X50" s="226"/>
      <c r="Y50" s="226"/>
      <c r="Z50" s="226"/>
      <c r="AA50" s="227"/>
      <c r="AB50" s="228"/>
      <c r="AC50" s="230"/>
      <c r="AD50" s="230"/>
      <c r="AE50" s="230"/>
      <c r="AF50" s="230"/>
      <c r="AG50" s="247"/>
      <c r="AH50" s="228"/>
      <c r="AI50" s="230"/>
      <c r="AJ50" s="230"/>
      <c r="AK50" s="230"/>
      <c r="AL50" s="230"/>
      <c r="AM50" s="247"/>
    </row>
  </sheetData>
  <mergeCells count="3">
    <mergeCell ref="V1:AA1"/>
    <mergeCell ref="AB1:AG1"/>
    <mergeCell ref="AH1:AM1"/>
  </mergeCells>
  <conditionalFormatting sqref="AA3:AA50 AG3:AG26 AM3:AM26">
    <cfRule type="colorScale" priority="1">
      <colorScale>
        <cfvo type="min"/>
        <cfvo type="max"/>
        <color rgb="FFFFFFFF"/>
        <color rgb="FF8E7CC3"/>
      </colorScale>
    </cfRule>
  </conditionalFormatting>
  <conditionalFormatting sqref="B3:U50">
    <cfRule type="cellIs" dxfId="0" priority="2" operator="equal">
      <formula>"IC"</formula>
    </cfRule>
  </conditionalFormatting>
  <conditionalFormatting sqref="B3:U50">
    <cfRule type="cellIs" dxfId="1" priority="3" operator="equal">
      <formula>"C"</formula>
    </cfRule>
  </conditionalFormatting>
  <conditionalFormatting sqref="B3:U50">
    <cfRule type="cellIs" dxfId="2" priority="4" operator="equal">
      <formula>"P"</formula>
    </cfRule>
  </conditionalFormatting>
  <conditionalFormatting sqref="Z3:Z50">
    <cfRule type="colorScale" priority="5">
      <colorScale>
        <cfvo type="min"/>
        <cfvo type="max"/>
        <color rgb="FFFFFFFF"/>
        <color rgb="FF6D9EEB"/>
      </colorScale>
    </cfRule>
  </conditionalFormatting>
  <conditionalFormatting sqref="Y3:Y50">
    <cfRule type="colorScale" priority="6">
      <colorScale>
        <cfvo type="min"/>
        <cfvo type="max"/>
        <color rgb="FFFFFFFF"/>
        <color rgb="FF57BB8A"/>
      </colorScale>
    </cfRule>
  </conditionalFormatting>
  <conditionalFormatting sqref="AE3:AE50">
    <cfRule type="colorScale" priority="7">
      <colorScale>
        <cfvo type="min"/>
        <cfvo type="max"/>
        <color rgb="FFFFFFFF"/>
        <color rgb="FF57BB8A"/>
      </colorScale>
    </cfRule>
  </conditionalFormatting>
  <conditionalFormatting sqref="AF3:AF50">
    <cfRule type="colorScale" priority="8">
      <colorScale>
        <cfvo type="min"/>
        <cfvo type="max"/>
        <color rgb="FFFFFFFF"/>
        <color rgb="FF6D9EEB"/>
      </colorScale>
    </cfRule>
  </conditionalFormatting>
  <conditionalFormatting sqref="AL3:AL50">
    <cfRule type="colorScale" priority="9">
      <colorScale>
        <cfvo type="min"/>
        <cfvo type="max"/>
        <color rgb="FFFFFFFF"/>
        <color rgb="FF3C78D8"/>
      </colorScale>
    </cfRule>
  </conditionalFormatting>
  <conditionalFormatting sqref="AK3:AK50">
    <cfRule type="colorScale" priority="10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39" width="5.13"/>
  </cols>
  <sheetData>
    <row r="1" ht="53.25" customHeight="1">
      <c r="A1" s="1"/>
      <c r="B1" s="250" t="s">
        <v>1</v>
      </c>
      <c r="C1" s="251" t="s">
        <v>0</v>
      </c>
      <c r="D1" s="251" t="s">
        <v>1</v>
      </c>
      <c r="E1" s="251" t="s">
        <v>0</v>
      </c>
      <c r="F1" s="251" t="s">
        <v>0</v>
      </c>
      <c r="G1" s="251" t="s">
        <v>0</v>
      </c>
      <c r="H1" s="251" t="s">
        <v>0</v>
      </c>
      <c r="I1" s="251" t="s">
        <v>1</v>
      </c>
      <c r="J1" s="251" t="s">
        <v>0</v>
      </c>
      <c r="K1" s="251" t="s">
        <v>1</v>
      </c>
      <c r="L1" s="251" t="s">
        <v>0</v>
      </c>
      <c r="M1" s="251" t="s">
        <v>1</v>
      </c>
      <c r="N1" s="251" t="s">
        <v>0</v>
      </c>
      <c r="O1" s="251" t="s">
        <v>0</v>
      </c>
      <c r="P1" s="251" t="s">
        <v>0</v>
      </c>
      <c r="Q1" s="251" t="s">
        <v>1</v>
      </c>
      <c r="R1" s="251" t="s">
        <v>1</v>
      </c>
      <c r="S1" s="251" t="s">
        <v>0</v>
      </c>
      <c r="T1" s="251" t="s">
        <v>1</v>
      </c>
      <c r="U1" s="251" t="s">
        <v>0</v>
      </c>
      <c r="V1" s="4" t="s">
        <v>0</v>
      </c>
      <c r="W1" s="6"/>
      <c r="X1" s="6"/>
      <c r="Y1" s="6"/>
      <c r="Z1" s="6"/>
      <c r="AA1" s="7"/>
      <c r="AB1" s="4" t="s">
        <v>1</v>
      </c>
      <c r="AC1" s="6"/>
      <c r="AD1" s="6"/>
      <c r="AE1" s="6"/>
      <c r="AF1" s="6"/>
      <c r="AG1" s="7"/>
      <c r="AH1" s="4" t="s">
        <v>2</v>
      </c>
      <c r="AI1" s="6"/>
      <c r="AJ1" s="6"/>
      <c r="AK1" s="6"/>
      <c r="AL1" s="6"/>
      <c r="AM1" s="7"/>
    </row>
    <row r="2">
      <c r="A2" s="16" t="s">
        <v>4</v>
      </c>
      <c r="B2" s="19" t="s">
        <v>12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1" t="s">
        <v>18</v>
      </c>
      <c r="I2" s="21" t="s">
        <v>19</v>
      </c>
      <c r="J2" s="21" t="s">
        <v>20</v>
      </c>
      <c r="K2" s="21" t="s">
        <v>21</v>
      </c>
      <c r="L2" s="21" t="s">
        <v>22</v>
      </c>
      <c r="M2" s="21" t="s">
        <v>23</v>
      </c>
      <c r="N2" s="21" t="s">
        <v>24</v>
      </c>
      <c r="O2" s="21" t="s">
        <v>25</v>
      </c>
      <c r="P2" s="21" t="s">
        <v>26</v>
      </c>
      <c r="Q2" s="21" t="s">
        <v>27</v>
      </c>
      <c r="R2" s="21" t="s">
        <v>28</v>
      </c>
      <c r="S2" s="21" t="s">
        <v>29</v>
      </c>
      <c r="T2" s="21" t="s">
        <v>30</v>
      </c>
      <c r="U2" s="21" t="s">
        <v>31</v>
      </c>
      <c r="V2" s="27" t="s">
        <v>6</v>
      </c>
      <c r="W2" s="16" t="s">
        <v>7</v>
      </c>
      <c r="X2" s="16" t="s">
        <v>8</v>
      </c>
      <c r="Y2" s="16" t="s">
        <v>9</v>
      </c>
      <c r="Z2" s="16" t="s">
        <v>10</v>
      </c>
      <c r="AA2" s="31" t="s">
        <v>11</v>
      </c>
      <c r="AB2" s="32" t="s">
        <v>6</v>
      </c>
      <c r="AC2" s="33" t="s">
        <v>7</v>
      </c>
      <c r="AD2" s="33" t="s">
        <v>8</v>
      </c>
      <c r="AE2" s="33" t="s">
        <v>9</v>
      </c>
      <c r="AF2" s="33" t="s">
        <v>10</v>
      </c>
      <c r="AG2" s="34" t="s">
        <v>11</v>
      </c>
      <c r="AH2" s="32" t="s">
        <v>6</v>
      </c>
      <c r="AI2" s="33" t="s">
        <v>7</v>
      </c>
      <c r="AJ2" s="33" t="s">
        <v>8</v>
      </c>
      <c r="AK2" s="33" t="s">
        <v>9</v>
      </c>
      <c r="AL2" s="33" t="s">
        <v>10</v>
      </c>
      <c r="AM2" s="34" t="s">
        <v>11</v>
      </c>
    </row>
    <row r="3">
      <c r="A3" s="35" t="s">
        <v>40</v>
      </c>
      <c r="B3" s="36"/>
      <c r="C3" s="37"/>
      <c r="D3" s="37"/>
      <c r="E3" s="38"/>
      <c r="F3" s="37"/>
      <c r="G3" s="37"/>
      <c r="H3" s="37" t="s">
        <v>7</v>
      </c>
      <c r="I3" s="37"/>
      <c r="J3" s="37" t="s">
        <v>6</v>
      </c>
      <c r="K3" s="38"/>
      <c r="L3" s="37" t="s">
        <v>6</v>
      </c>
      <c r="M3" s="37"/>
      <c r="N3" s="37"/>
      <c r="O3" s="38"/>
      <c r="P3" s="37" t="s">
        <v>6</v>
      </c>
      <c r="Q3" s="37"/>
      <c r="R3" s="37" t="s">
        <v>6</v>
      </c>
      <c r="S3" s="37" t="s">
        <v>6</v>
      </c>
      <c r="T3" s="38"/>
      <c r="U3" s="37" t="s">
        <v>6</v>
      </c>
      <c r="V3" s="36">
        <v>5.0</v>
      </c>
      <c r="W3" s="37">
        <v>1.0</v>
      </c>
      <c r="X3" s="37">
        <v>0.0</v>
      </c>
      <c r="Y3" s="37">
        <v>26.0</v>
      </c>
      <c r="Z3" s="37">
        <v>26.0</v>
      </c>
      <c r="AA3" s="42">
        <v>0.5</v>
      </c>
      <c r="AB3" s="44">
        <v>1.0</v>
      </c>
      <c r="AC3" s="45">
        <v>0.0</v>
      </c>
      <c r="AD3" s="45">
        <v>0.0</v>
      </c>
      <c r="AE3" s="47">
        <v>4.0</v>
      </c>
      <c r="AF3" s="49">
        <v>4.0</v>
      </c>
      <c r="AG3" s="51">
        <v>0.13</v>
      </c>
      <c r="AH3" s="44">
        <v>6.0</v>
      </c>
      <c r="AI3" s="45">
        <v>1.0</v>
      </c>
      <c r="AJ3" s="45">
        <v>0.0</v>
      </c>
      <c r="AK3" s="47">
        <v>30.0</v>
      </c>
      <c r="AL3" s="49">
        <v>30.0</v>
      </c>
      <c r="AM3" s="51">
        <v>0.35</v>
      </c>
    </row>
    <row r="4">
      <c r="A4" s="29" t="s">
        <v>75</v>
      </c>
      <c r="B4" s="55"/>
      <c r="C4" s="2" t="s">
        <v>6</v>
      </c>
      <c r="D4" s="2" t="s">
        <v>6</v>
      </c>
      <c r="E4" s="2" t="s">
        <v>6</v>
      </c>
      <c r="F4" s="2" t="s">
        <v>6</v>
      </c>
      <c r="G4" s="2" t="s">
        <v>7</v>
      </c>
      <c r="H4" s="57"/>
      <c r="I4" s="2" t="s">
        <v>6</v>
      </c>
      <c r="J4" s="2"/>
      <c r="K4" s="2"/>
      <c r="L4" s="57"/>
      <c r="M4" s="57"/>
      <c r="N4" s="2" t="s">
        <v>7</v>
      </c>
      <c r="O4" s="2" t="s">
        <v>6</v>
      </c>
      <c r="P4" s="57"/>
      <c r="Q4" s="2"/>
      <c r="R4" s="57"/>
      <c r="S4" s="57"/>
      <c r="T4" s="57"/>
      <c r="U4" s="57"/>
      <c r="V4" s="60">
        <v>4.0</v>
      </c>
      <c r="W4" s="2">
        <v>2.0</v>
      </c>
      <c r="X4" s="2">
        <v>0.0</v>
      </c>
      <c r="Y4" s="2">
        <v>28.0</v>
      </c>
      <c r="Z4" s="2">
        <v>28.0</v>
      </c>
      <c r="AA4" s="62">
        <v>0.5</v>
      </c>
      <c r="AB4" s="63">
        <v>2.0</v>
      </c>
      <c r="AC4" s="52">
        <v>0.0</v>
      </c>
      <c r="AD4" s="52">
        <v>0.0</v>
      </c>
      <c r="AE4" s="66">
        <v>8.0</v>
      </c>
      <c r="AF4" s="68">
        <v>8.0</v>
      </c>
      <c r="AG4" s="70">
        <v>0.25</v>
      </c>
      <c r="AH4" s="63">
        <v>6.0</v>
      </c>
      <c r="AI4" s="52">
        <v>2.0</v>
      </c>
      <c r="AJ4" s="52">
        <v>0.0</v>
      </c>
      <c r="AK4" s="66">
        <v>36.0</v>
      </c>
      <c r="AL4" s="68">
        <v>36.0</v>
      </c>
      <c r="AM4" s="70">
        <v>0.4</v>
      </c>
    </row>
    <row r="5">
      <c r="A5" s="29" t="s">
        <v>48</v>
      </c>
      <c r="B5" s="60" t="s">
        <v>6</v>
      </c>
      <c r="C5" s="57"/>
      <c r="D5" s="57"/>
      <c r="E5" s="2" t="s">
        <v>6</v>
      </c>
      <c r="F5" s="2"/>
      <c r="G5" s="2" t="s">
        <v>7</v>
      </c>
      <c r="H5" s="2" t="s">
        <v>7</v>
      </c>
      <c r="I5" s="57"/>
      <c r="J5" s="57"/>
      <c r="K5" s="57"/>
      <c r="L5" s="57"/>
      <c r="M5" s="2" t="s">
        <v>8</v>
      </c>
      <c r="N5" s="2" t="s">
        <v>7</v>
      </c>
      <c r="O5" s="57"/>
      <c r="P5" s="2" t="s">
        <v>6</v>
      </c>
      <c r="Q5" s="2" t="s">
        <v>7</v>
      </c>
      <c r="R5" s="2"/>
      <c r="S5" s="57"/>
      <c r="T5" s="2" t="s">
        <v>8</v>
      </c>
      <c r="U5" s="2" t="s">
        <v>8</v>
      </c>
      <c r="V5" s="60">
        <v>2.0</v>
      </c>
      <c r="W5" s="2">
        <v>3.0</v>
      </c>
      <c r="X5" s="2">
        <v>1.0</v>
      </c>
      <c r="Y5" s="2">
        <v>26.0</v>
      </c>
      <c r="Z5" s="2">
        <v>22.0</v>
      </c>
      <c r="AA5" s="62">
        <v>0.42</v>
      </c>
      <c r="AB5" s="63">
        <v>1.0</v>
      </c>
      <c r="AC5" s="52">
        <v>1.0</v>
      </c>
      <c r="AD5" s="52">
        <v>2.0</v>
      </c>
      <c r="AE5" s="72">
        <v>10.0</v>
      </c>
      <c r="AF5" s="74">
        <v>2.0</v>
      </c>
      <c r="AG5" s="75">
        <v>0.25</v>
      </c>
      <c r="AH5" s="63">
        <v>3.0</v>
      </c>
      <c r="AI5" s="52">
        <v>4.0</v>
      </c>
      <c r="AJ5" s="52">
        <v>3.0</v>
      </c>
      <c r="AK5" s="72">
        <v>36.0</v>
      </c>
      <c r="AL5" s="74">
        <v>24.0</v>
      </c>
      <c r="AM5" s="75">
        <v>0.35</v>
      </c>
    </row>
    <row r="6">
      <c r="A6" s="29" t="s">
        <v>39</v>
      </c>
      <c r="B6" s="60"/>
      <c r="C6" s="57"/>
      <c r="D6" s="2"/>
      <c r="E6" s="2"/>
      <c r="F6" s="57"/>
      <c r="G6" s="57"/>
      <c r="H6" s="2"/>
      <c r="I6" s="57"/>
      <c r="J6" s="2"/>
      <c r="K6" s="57"/>
      <c r="L6" s="2"/>
      <c r="M6" s="2" t="s">
        <v>6</v>
      </c>
      <c r="N6" s="57"/>
      <c r="O6" s="2" t="s">
        <v>6</v>
      </c>
      <c r="P6" s="57"/>
      <c r="Q6" s="57"/>
      <c r="R6" s="2" t="s">
        <v>6</v>
      </c>
      <c r="S6" s="2"/>
      <c r="T6" s="57"/>
      <c r="U6" s="2" t="s">
        <v>6</v>
      </c>
      <c r="V6" s="60">
        <v>2.0</v>
      </c>
      <c r="W6" s="2">
        <v>0.0</v>
      </c>
      <c r="X6" s="2">
        <v>0.0</v>
      </c>
      <c r="Y6" s="2">
        <v>8.0</v>
      </c>
      <c r="Z6" s="2">
        <v>8.0</v>
      </c>
      <c r="AA6" s="62">
        <v>0.17</v>
      </c>
      <c r="AB6" s="63">
        <v>2.0</v>
      </c>
      <c r="AC6" s="52">
        <v>0.0</v>
      </c>
      <c r="AD6" s="52">
        <v>0.0</v>
      </c>
      <c r="AE6" s="80">
        <v>8.0</v>
      </c>
      <c r="AF6" s="81">
        <v>8.0</v>
      </c>
      <c r="AG6" s="75">
        <v>0.25</v>
      </c>
      <c r="AH6" s="63">
        <v>4.0</v>
      </c>
      <c r="AI6" s="52">
        <v>0.0</v>
      </c>
      <c r="AJ6" s="52">
        <v>0.0</v>
      </c>
      <c r="AK6" s="80">
        <v>16.0</v>
      </c>
      <c r="AL6" s="81">
        <v>16.0</v>
      </c>
      <c r="AM6" s="75">
        <v>0.2</v>
      </c>
    </row>
    <row r="7">
      <c r="A7" s="29" t="s">
        <v>41</v>
      </c>
      <c r="B7" s="60" t="s">
        <v>6</v>
      </c>
      <c r="C7" s="2"/>
      <c r="D7" s="2" t="s">
        <v>6</v>
      </c>
      <c r="E7" s="57"/>
      <c r="F7" s="2" t="s">
        <v>6</v>
      </c>
      <c r="G7" s="57"/>
      <c r="H7" s="2" t="s">
        <v>6</v>
      </c>
      <c r="I7" s="57"/>
      <c r="J7" s="2"/>
      <c r="K7" s="2"/>
      <c r="L7" s="2" t="s">
        <v>7</v>
      </c>
      <c r="M7" s="2" t="s">
        <v>6</v>
      </c>
      <c r="N7" s="57"/>
      <c r="O7" s="57"/>
      <c r="P7" s="57"/>
      <c r="Q7" s="2" t="s">
        <v>6</v>
      </c>
      <c r="R7" s="57"/>
      <c r="S7" s="57"/>
      <c r="T7" s="57"/>
      <c r="U7" s="57"/>
      <c r="V7" s="60">
        <v>2.0</v>
      </c>
      <c r="W7" s="2">
        <v>1.0</v>
      </c>
      <c r="X7" s="2">
        <v>0.0</v>
      </c>
      <c r="Y7" s="2">
        <v>14.0</v>
      </c>
      <c r="Z7" s="2">
        <v>14.0</v>
      </c>
      <c r="AA7" s="62">
        <v>0.25</v>
      </c>
      <c r="AB7" s="63">
        <v>4.0</v>
      </c>
      <c r="AC7" s="52">
        <v>0.0</v>
      </c>
      <c r="AD7" s="52">
        <v>0.0</v>
      </c>
      <c r="AE7" s="85">
        <v>16.0</v>
      </c>
      <c r="AF7" s="86">
        <v>16.0</v>
      </c>
      <c r="AG7" s="87">
        <v>0.5</v>
      </c>
      <c r="AH7" s="63">
        <v>6.0</v>
      </c>
      <c r="AI7" s="52">
        <v>1.0</v>
      </c>
      <c r="AJ7" s="52">
        <v>0.0</v>
      </c>
      <c r="AK7" s="85">
        <v>30.0</v>
      </c>
      <c r="AL7" s="86">
        <v>30.0</v>
      </c>
      <c r="AM7" s="87">
        <v>0.35</v>
      </c>
    </row>
    <row r="8">
      <c r="A8" s="29" t="s">
        <v>45</v>
      </c>
      <c r="B8" s="60" t="s">
        <v>8</v>
      </c>
      <c r="C8" s="2" t="s">
        <v>6</v>
      </c>
      <c r="D8" s="2"/>
      <c r="E8" s="2" t="s">
        <v>6</v>
      </c>
      <c r="F8" s="57"/>
      <c r="G8" s="57"/>
      <c r="H8" s="57"/>
      <c r="I8" s="57"/>
      <c r="J8" s="57"/>
      <c r="K8" s="2" t="s">
        <v>7</v>
      </c>
      <c r="L8" s="57"/>
      <c r="M8" s="2" t="s">
        <v>8</v>
      </c>
      <c r="N8" s="2" t="s">
        <v>6</v>
      </c>
      <c r="O8" s="2" t="s">
        <v>6</v>
      </c>
      <c r="P8" s="2" t="s">
        <v>6</v>
      </c>
      <c r="Q8" s="2" t="s">
        <v>8</v>
      </c>
      <c r="R8" s="57"/>
      <c r="S8" s="57"/>
      <c r="T8" s="2" t="s">
        <v>7</v>
      </c>
      <c r="U8" s="2" t="s">
        <v>6</v>
      </c>
      <c r="V8" s="60">
        <v>6.0</v>
      </c>
      <c r="W8" s="2">
        <v>0.0</v>
      </c>
      <c r="X8" s="2">
        <v>0.0</v>
      </c>
      <c r="Y8" s="2">
        <v>24.0</v>
      </c>
      <c r="Z8" s="2">
        <v>24.0</v>
      </c>
      <c r="AA8" s="62">
        <v>0.5</v>
      </c>
      <c r="AB8" s="63">
        <v>0.0</v>
      </c>
      <c r="AC8" s="52">
        <v>2.0</v>
      </c>
      <c r="AD8" s="52">
        <v>3.0</v>
      </c>
      <c r="AE8" s="72">
        <v>12.0</v>
      </c>
      <c r="AF8" s="93">
        <v>0.0</v>
      </c>
      <c r="AG8" s="75">
        <v>0.25</v>
      </c>
      <c r="AH8" s="63">
        <v>6.0</v>
      </c>
      <c r="AI8" s="52">
        <v>2.0</v>
      </c>
      <c r="AJ8" s="52">
        <v>3.0</v>
      </c>
      <c r="AK8" s="72">
        <v>36.0</v>
      </c>
      <c r="AL8" s="93">
        <v>24.0</v>
      </c>
      <c r="AM8" s="75">
        <v>0.4</v>
      </c>
    </row>
    <row r="9">
      <c r="A9" s="29" t="s">
        <v>50</v>
      </c>
      <c r="B9" s="60" t="s">
        <v>7</v>
      </c>
      <c r="C9" s="2" t="s">
        <v>6</v>
      </c>
      <c r="D9" s="2" t="s">
        <v>6</v>
      </c>
      <c r="E9" s="2" t="s">
        <v>6</v>
      </c>
      <c r="F9" s="2" t="s">
        <v>6</v>
      </c>
      <c r="G9" s="57"/>
      <c r="H9" s="2" t="s">
        <v>7</v>
      </c>
      <c r="I9" s="57"/>
      <c r="J9" s="2"/>
      <c r="K9" s="2" t="s">
        <v>6</v>
      </c>
      <c r="L9" s="57"/>
      <c r="M9" s="2"/>
      <c r="N9" s="57"/>
      <c r="O9" s="2" t="s">
        <v>8</v>
      </c>
      <c r="P9" s="57"/>
      <c r="Q9" s="2" t="s">
        <v>8</v>
      </c>
      <c r="R9" s="57"/>
      <c r="S9" s="2" t="s">
        <v>6</v>
      </c>
      <c r="T9" s="2" t="s">
        <v>6</v>
      </c>
      <c r="U9" s="2" t="s">
        <v>7</v>
      </c>
      <c r="V9" s="60">
        <v>4.0</v>
      </c>
      <c r="W9" s="2">
        <v>2.0</v>
      </c>
      <c r="X9" s="2">
        <v>1.0</v>
      </c>
      <c r="Y9" s="2">
        <v>28.0</v>
      </c>
      <c r="Z9" s="2">
        <v>24.0</v>
      </c>
      <c r="AA9" s="62">
        <v>0.5</v>
      </c>
      <c r="AB9" s="63">
        <v>3.0</v>
      </c>
      <c r="AC9" s="52">
        <v>1.0</v>
      </c>
      <c r="AD9" s="52">
        <v>1.0</v>
      </c>
      <c r="AE9" s="66">
        <v>18.0</v>
      </c>
      <c r="AF9" s="68">
        <v>14.0</v>
      </c>
      <c r="AG9" s="70">
        <v>0.5</v>
      </c>
      <c r="AH9" s="63">
        <v>7.0</v>
      </c>
      <c r="AI9" s="52">
        <v>3.0</v>
      </c>
      <c r="AJ9" s="52">
        <v>2.0</v>
      </c>
      <c r="AK9" s="66">
        <v>46.0</v>
      </c>
      <c r="AL9" s="68">
        <v>38.0</v>
      </c>
      <c r="AM9" s="70">
        <v>0.5</v>
      </c>
    </row>
    <row r="10">
      <c r="A10" s="29" t="s">
        <v>44</v>
      </c>
      <c r="B10" s="55"/>
      <c r="C10" s="57"/>
      <c r="D10" s="2"/>
      <c r="E10" s="57"/>
      <c r="F10" s="2"/>
      <c r="G10" s="2"/>
      <c r="H10" s="2"/>
      <c r="I10" s="2"/>
      <c r="J10" s="2" t="s">
        <v>6</v>
      </c>
      <c r="K10" s="2"/>
      <c r="L10" s="57"/>
      <c r="M10" s="57"/>
      <c r="N10" s="2" t="s">
        <v>6</v>
      </c>
      <c r="O10" s="57"/>
      <c r="P10" s="2" t="s">
        <v>6</v>
      </c>
      <c r="Q10" s="2" t="s">
        <v>8</v>
      </c>
      <c r="R10" s="2" t="s">
        <v>6</v>
      </c>
      <c r="S10" s="2"/>
      <c r="T10" s="2"/>
      <c r="U10" s="2"/>
      <c r="V10" s="60">
        <v>3.0</v>
      </c>
      <c r="W10" s="2">
        <v>0.0</v>
      </c>
      <c r="X10" s="2">
        <v>0.0</v>
      </c>
      <c r="Y10" s="2">
        <v>12.0</v>
      </c>
      <c r="Z10" s="2">
        <v>12.0</v>
      </c>
      <c r="AA10" s="62">
        <v>0.25</v>
      </c>
      <c r="AB10" s="63">
        <v>1.0</v>
      </c>
      <c r="AC10" s="52">
        <v>0.0</v>
      </c>
      <c r="AD10" s="52">
        <v>1.0</v>
      </c>
      <c r="AE10" s="97">
        <v>4.0</v>
      </c>
      <c r="AF10" s="99">
        <v>0.0</v>
      </c>
      <c r="AG10" s="100">
        <v>0.13</v>
      </c>
      <c r="AH10" s="63">
        <v>4.0</v>
      </c>
      <c r="AI10" s="52">
        <v>0.0</v>
      </c>
      <c r="AJ10" s="52">
        <v>1.0</v>
      </c>
      <c r="AK10" s="97">
        <v>16.0</v>
      </c>
      <c r="AL10" s="99">
        <v>12.0</v>
      </c>
      <c r="AM10" s="100">
        <v>0.2</v>
      </c>
    </row>
    <row r="11">
      <c r="A11" s="29" t="s">
        <v>60</v>
      </c>
      <c r="B11" s="60" t="s">
        <v>7</v>
      </c>
      <c r="C11" s="2" t="s">
        <v>7</v>
      </c>
      <c r="D11" s="2"/>
      <c r="E11" s="2" t="s">
        <v>7</v>
      </c>
      <c r="F11" s="2" t="s">
        <v>7</v>
      </c>
      <c r="G11" s="2" t="s">
        <v>7</v>
      </c>
      <c r="H11" s="2" t="s">
        <v>7</v>
      </c>
      <c r="I11" s="2" t="s">
        <v>6</v>
      </c>
      <c r="J11" s="2" t="s">
        <v>7</v>
      </c>
      <c r="K11" s="2" t="s">
        <v>8</v>
      </c>
      <c r="L11" s="2" t="s">
        <v>6</v>
      </c>
      <c r="M11" s="2" t="s">
        <v>7</v>
      </c>
      <c r="N11" s="2" t="s">
        <v>7</v>
      </c>
      <c r="O11" s="2" t="s">
        <v>8</v>
      </c>
      <c r="P11" s="2" t="s">
        <v>6</v>
      </c>
      <c r="Q11" s="2" t="s">
        <v>8</v>
      </c>
      <c r="R11" s="2" t="s">
        <v>6</v>
      </c>
      <c r="S11" s="2" t="s">
        <v>6</v>
      </c>
      <c r="T11" s="2" t="s">
        <v>7</v>
      </c>
      <c r="U11" s="2" t="s">
        <v>7</v>
      </c>
      <c r="V11" s="60">
        <v>3.0</v>
      </c>
      <c r="W11" s="2">
        <v>8.0</v>
      </c>
      <c r="X11" s="2">
        <v>1.0</v>
      </c>
      <c r="Y11" s="2">
        <v>60.0</v>
      </c>
      <c r="Z11" s="2">
        <v>56.0</v>
      </c>
      <c r="AA11" s="62">
        <v>0.92</v>
      </c>
      <c r="AB11" s="63">
        <v>2.0</v>
      </c>
      <c r="AC11" s="52">
        <v>3.0</v>
      </c>
      <c r="AD11" s="52">
        <v>2.0</v>
      </c>
      <c r="AE11" s="97">
        <v>26.0</v>
      </c>
      <c r="AF11" s="99">
        <v>18.0</v>
      </c>
      <c r="AG11" s="100">
        <v>0.63</v>
      </c>
      <c r="AH11" s="63">
        <v>5.0</v>
      </c>
      <c r="AI11" s="52">
        <v>11.0</v>
      </c>
      <c r="AJ11" s="52">
        <v>3.0</v>
      </c>
      <c r="AK11" s="97">
        <v>86.0</v>
      </c>
      <c r="AL11" s="99">
        <v>74.0</v>
      </c>
      <c r="AM11" s="100">
        <v>0.8</v>
      </c>
    </row>
    <row r="12">
      <c r="A12" s="29" t="s">
        <v>37</v>
      </c>
      <c r="B12" s="60"/>
      <c r="C12" s="57"/>
      <c r="D12" s="57"/>
      <c r="E12" s="57"/>
      <c r="F12" s="2"/>
      <c r="G12" s="57"/>
      <c r="H12" s="57"/>
      <c r="I12" s="57"/>
      <c r="J12" s="2"/>
      <c r="K12" s="2"/>
      <c r="L12" s="2" t="s">
        <v>8</v>
      </c>
      <c r="M12" s="57"/>
      <c r="N12" s="57"/>
      <c r="O12" s="57"/>
      <c r="P12" s="57"/>
      <c r="Q12" s="2" t="s">
        <v>6</v>
      </c>
      <c r="R12" s="57"/>
      <c r="S12" s="2"/>
      <c r="T12" s="57"/>
      <c r="U12" s="2"/>
      <c r="V12" s="60">
        <v>0.0</v>
      </c>
      <c r="W12" s="2">
        <v>0.0</v>
      </c>
      <c r="X12" s="2">
        <v>1.0</v>
      </c>
      <c r="Y12" s="2">
        <v>0.0</v>
      </c>
      <c r="Z12" s="2">
        <v>-4.0</v>
      </c>
      <c r="AA12" s="62">
        <v>0.0</v>
      </c>
      <c r="AB12" s="63">
        <v>1.0</v>
      </c>
      <c r="AC12" s="52">
        <v>0.0</v>
      </c>
      <c r="AD12" s="52">
        <v>0.0</v>
      </c>
      <c r="AE12" s="106">
        <v>4.0</v>
      </c>
      <c r="AF12" s="108">
        <v>4.0</v>
      </c>
      <c r="AG12" s="75">
        <v>0.13</v>
      </c>
      <c r="AH12" s="63">
        <v>1.0</v>
      </c>
      <c r="AI12" s="52">
        <v>0.0</v>
      </c>
      <c r="AJ12" s="52">
        <v>1.0</v>
      </c>
      <c r="AK12" s="106">
        <v>4.0</v>
      </c>
      <c r="AL12" s="108">
        <v>0.0</v>
      </c>
      <c r="AM12" s="75">
        <v>0.05</v>
      </c>
    </row>
    <row r="13">
      <c r="A13" s="29" t="s">
        <v>64</v>
      </c>
      <c r="B13" s="60" t="s">
        <v>8</v>
      </c>
      <c r="C13" s="57"/>
      <c r="D13" s="2"/>
      <c r="E13" s="57"/>
      <c r="F13" s="2" t="s">
        <v>6</v>
      </c>
      <c r="G13" s="2"/>
      <c r="H13" s="2"/>
      <c r="I13" s="2" t="s">
        <v>6</v>
      </c>
      <c r="J13" s="57"/>
      <c r="K13" s="2"/>
      <c r="L13" s="2" t="s">
        <v>6</v>
      </c>
      <c r="M13" s="57"/>
      <c r="N13" s="2"/>
      <c r="O13" s="57"/>
      <c r="P13" s="2"/>
      <c r="Q13" s="2" t="s">
        <v>8</v>
      </c>
      <c r="R13" s="2"/>
      <c r="S13" s="2"/>
      <c r="T13" s="2"/>
      <c r="U13" s="2"/>
      <c r="V13" s="60">
        <v>2.0</v>
      </c>
      <c r="W13" s="2">
        <v>0.0</v>
      </c>
      <c r="X13" s="2">
        <v>0.0</v>
      </c>
      <c r="Y13" s="2">
        <v>8.0</v>
      </c>
      <c r="Z13" s="2">
        <v>8.0</v>
      </c>
      <c r="AA13" s="62">
        <v>0.17</v>
      </c>
      <c r="AB13" s="63">
        <v>1.0</v>
      </c>
      <c r="AC13" s="52">
        <v>0.0</v>
      </c>
      <c r="AD13" s="52">
        <v>2.0</v>
      </c>
      <c r="AE13" s="114">
        <v>4.0</v>
      </c>
      <c r="AF13" s="108">
        <v>-4.0</v>
      </c>
      <c r="AG13" s="116">
        <v>0.13</v>
      </c>
      <c r="AH13" s="63">
        <v>3.0</v>
      </c>
      <c r="AI13" s="52">
        <v>0.0</v>
      </c>
      <c r="AJ13" s="52">
        <v>2.0</v>
      </c>
      <c r="AK13" s="114">
        <v>12.0</v>
      </c>
      <c r="AL13" s="108">
        <v>4.0</v>
      </c>
      <c r="AM13" s="116">
        <v>0.15</v>
      </c>
    </row>
    <row r="14">
      <c r="A14" s="29" t="s">
        <v>34</v>
      </c>
      <c r="B14" s="60" t="s">
        <v>6</v>
      </c>
      <c r="C14" s="2" t="s">
        <v>7</v>
      </c>
      <c r="D14" s="2" t="s">
        <v>6</v>
      </c>
      <c r="E14" s="57"/>
      <c r="F14" s="57"/>
      <c r="G14" s="2"/>
      <c r="H14" s="2" t="s">
        <v>7</v>
      </c>
      <c r="I14" s="57"/>
      <c r="J14" s="57"/>
      <c r="K14" s="57"/>
      <c r="L14" s="2" t="s">
        <v>8</v>
      </c>
      <c r="M14" s="2"/>
      <c r="N14" s="2" t="s">
        <v>7</v>
      </c>
      <c r="O14" s="2" t="s">
        <v>6</v>
      </c>
      <c r="P14" s="2" t="s">
        <v>6</v>
      </c>
      <c r="Q14" s="2" t="s">
        <v>6</v>
      </c>
      <c r="R14" s="2" t="s">
        <v>6</v>
      </c>
      <c r="S14" s="2" t="s">
        <v>7</v>
      </c>
      <c r="T14" s="57"/>
      <c r="U14" s="2" t="s">
        <v>7</v>
      </c>
      <c r="V14" s="60">
        <v>2.0</v>
      </c>
      <c r="W14" s="2">
        <v>5.0</v>
      </c>
      <c r="X14" s="2">
        <v>1.0</v>
      </c>
      <c r="Y14" s="2">
        <v>38.0</v>
      </c>
      <c r="Z14" s="2">
        <v>34.0</v>
      </c>
      <c r="AA14" s="62">
        <v>0.58</v>
      </c>
      <c r="AB14" s="63">
        <v>4.0</v>
      </c>
      <c r="AC14" s="52">
        <v>0.0</v>
      </c>
      <c r="AD14" s="52">
        <v>0.0</v>
      </c>
      <c r="AE14" s="72">
        <v>16.0</v>
      </c>
      <c r="AF14" s="93">
        <v>16.0</v>
      </c>
      <c r="AG14" s="75">
        <v>0.5</v>
      </c>
      <c r="AH14" s="63">
        <v>6.0</v>
      </c>
      <c r="AI14" s="52">
        <v>5.0</v>
      </c>
      <c r="AJ14" s="52">
        <v>1.0</v>
      </c>
      <c r="AK14" s="72">
        <v>54.0</v>
      </c>
      <c r="AL14" s="93">
        <v>50.0</v>
      </c>
      <c r="AM14" s="75">
        <v>0.55</v>
      </c>
    </row>
    <row r="15">
      <c r="A15" s="29" t="s">
        <v>57</v>
      </c>
      <c r="B15" s="60" t="s">
        <v>8</v>
      </c>
      <c r="C15" s="2" t="s">
        <v>7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57"/>
      <c r="L15" s="2" t="s">
        <v>8</v>
      </c>
      <c r="M15" s="2" t="s">
        <v>7</v>
      </c>
      <c r="N15" s="2" t="s">
        <v>8</v>
      </c>
      <c r="O15" s="2" t="s">
        <v>8</v>
      </c>
      <c r="P15" s="2" t="s">
        <v>8</v>
      </c>
      <c r="Q15" s="2" t="s">
        <v>7</v>
      </c>
      <c r="R15" s="2" t="s">
        <v>8</v>
      </c>
      <c r="S15" s="2" t="s">
        <v>8</v>
      </c>
      <c r="T15" s="2" t="s">
        <v>7</v>
      </c>
      <c r="U15" s="2" t="s">
        <v>7</v>
      </c>
      <c r="V15" s="60">
        <v>0.0</v>
      </c>
      <c r="W15" s="2">
        <v>2.0</v>
      </c>
      <c r="X15" s="2">
        <v>10.0</v>
      </c>
      <c r="Y15" s="2">
        <v>12.0</v>
      </c>
      <c r="Z15" s="2">
        <v>-28.0</v>
      </c>
      <c r="AA15" s="62">
        <v>0.17</v>
      </c>
      <c r="AB15" s="63">
        <v>0.0</v>
      </c>
      <c r="AC15" s="52">
        <v>3.0</v>
      </c>
      <c r="AD15" s="52">
        <v>4.0</v>
      </c>
      <c r="AE15" s="114">
        <v>18.0</v>
      </c>
      <c r="AF15" s="120">
        <v>2.0</v>
      </c>
      <c r="AG15" s="100">
        <v>0.38</v>
      </c>
      <c r="AH15" s="63">
        <v>0.0</v>
      </c>
      <c r="AI15" s="52">
        <v>5.0</v>
      </c>
      <c r="AJ15" s="52">
        <v>14.0</v>
      </c>
      <c r="AK15" s="114">
        <v>30.0</v>
      </c>
      <c r="AL15" s="120">
        <v>-26.0</v>
      </c>
      <c r="AM15" s="100">
        <v>0.25</v>
      </c>
    </row>
    <row r="16">
      <c r="A16" s="29" t="s">
        <v>32</v>
      </c>
      <c r="B16" s="60" t="s">
        <v>8</v>
      </c>
      <c r="C16" s="2"/>
      <c r="D16" s="2" t="s">
        <v>8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8</v>
      </c>
      <c r="J16" s="2" t="s">
        <v>7</v>
      </c>
      <c r="K16" s="2" t="s">
        <v>8</v>
      </c>
      <c r="L16" s="2" t="s">
        <v>8</v>
      </c>
      <c r="M16" s="2" t="s">
        <v>8</v>
      </c>
      <c r="N16" s="2" t="s">
        <v>7</v>
      </c>
      <c r="O16" s="2" t="s">
        <v>7</v>
      </c>
      <c r="P16" s="2" t="s">
        <v>6</v>
      </c>
      <c r="Q16" s="2" t="s">
        <v>8</v>
      </c>
      <c r="R16" s="2" t="s">
        <v>7</v>
      </c>
      <c r="S16" s="2" t="s">
        <v>7</v>
      </c>
      <c r="T16" s="2" t="s">
        <v>8</v>
      </c>
      <c r="U16" s="2"/>
      <c r="V16" s="60">
        <v>1.0</v>
      </c>
      <c r="W16" s="2">
        <v>8.0</v>
      </c>
      <c r="X16" s="2">
        <v>1.0</v>
      </c>
      <c r="Y16" s="2">
        <v>52.0</v>
      </c>
      <c r="Z16" s="2">
        <v>48.0</v>
      </c>
      <c r="AA16" s="62">
        <v>0.75</v>
      </c>
      <c r="AB16" s="63">
        <v>0.0</v>
      </c>
      <c r="AC16" s="52">
        <v>1.0</v>
      </c>
      <c r="AD16" s="52">
        <v>7.0</v>
      </c>
      <c r="AE16" s="122">
        <v>6.0</v>
      </c>
      <c r="AF16" s="74">
        <v>-22.0</v>
      </c>
      <c r="AG16" s="70">
        <v>0.13</v>
      </c>
      <c r="AH16" s="63">
        <v>1.0</v>
      </c>
      <c r="AI16" s="52">
        <v>9.0</v>
      </c>
      <c r="AJ16" s="52">
        <v>8.0</v>
      </c>
      <c r="AK16" s="122">
        <v>58.0</v>
      </c>
      <c r="AL16" s="74">
        <v>26.0</v>
      </c>
      <c r="AM16" s="70">
        <v>0.5</v>
      </c>
    </row>
    <row r="17">
      <c r="A17" s="29" t="s">
        <v>35</v>
      </c>
      <c r="B17" s="60" t="s">
        <v>8</v>
      </c>
      <c r="C17" s="57"/>
      <c r="D17" s="57"/>
      <c r="E17" s="57"/>
      <c r="F17" s="2" t="s">
        <v>6</v>
      </c>
      <c r="G17" s="2" t="s">
        <v>8</v>
      </c>
      <c r="H17" s="2" t="s">
        <v>6</v>
      </c>
      <c r="I17" s="2" t="s">
        <v>6</v>
      </c>
      <c r="J17" s="2" t="s">
        <v>6</v>
      </c>
      <c r="K17" s="57"/>
      <c r="L17" s="57"/>
      <c r="M17" s="2" t="s">
        <v>8</v>
      </c>
      <c r="N17" s="57"/>
      <c r="O17" s="2" t="s">
        <v>8</v>
      </c>
      <c r="P17" s="57"/>
      <c r="Q17" s="57"/>
      <c r="R17" s="2" t="s">
        <v>6</v>
      </c>
      <c r="S17" s="57"/>
      <c r="T17" s="57"/>
      <c r="U17" s="2"/>
      <c r="V17" s="60">
        <v>3.0</v>
      </c>
      <c r="W17" s="2">
        <v>0.0</v>
      </c>
      <c r="X17" s="2">
        <v>2.0</v>
      </c>
      <c r="Y17" s="2">
        <v>12.0</v>
      </c>
      <c r="Z17" s="2">
        <v>4.0</v>
      </c>
      <c r="AA17" s="62">
        <v>0.25</v>
      </c>
      <c r="AB17" s="63">
        <v>2.0</v>
      </c>
      <c r="AC17" s="52">
        <v>0.0</v>
      </c>
      <c r="AD17" s="52">
        <v>2.0</v>
      </c>
      <c r="AE17" s="85">
        <v>8.0</v>
      </c>
      <c r="AF17" s="86">
        <v>0.0</v>
      </c>
      <c r="AG17" s="87">
        <v>0.25</v>
      </c>
      <c r="AH17" s="63">
        <v>5.0</v>
      </c>
      <c r="AI17" s="52">
        <v>0.0</v>
      </c>
      <c r="AJ17" s="52">
        <v>4.0</v>
      </c>
      <c r="AK17" s="85">
        <v>20.0</v>
      </c>
      <c r="AL17" s="86">
        <v>4.0</v>
      </c>
      <c r="AM17" s="87">
        <v>0.25</v>
      </c>
    </row>
    <row r="18">
      <c r="A18" s="29" t="s">
        <v>36</v>
      </c>
      <c r="B18" s="60" t="s">
        <v>8</v>
      </c>
      <c r="C18" s="2" t="s">
        <v>7</v>
      </c>
      <c r="D18" s="2" t="s">
        <v>6</v>
      </c>
      <c r="E18" s="2"/>
      <c r="F18" s="57"/>
      <c r="G18" s="2" t="s">
        <v>8</v>
      </c>
      <c r="H18" s="2" t="s">
        <v>8</v>
      </c>
      <c r="I18" s="57"/>
      <c r="J18" s="57"/>
      <c r="K18" s="2" t="s">
        <v>6</v>
      </c>
      <c r="L18" s="2" t="s">
        <v>7</v>
      </c>
      <c r="M18" s="2" t="s">
        <v>7</v>
      </c>
      <c r="N18" s="2" t="s">
        <v>7</v>
      </c>
      <c r="O18" s="2" t="s">
        <v>8</v>
      </c>
      <c r="P18" s="2" t="s">
        <v>6</v>
      </c>
      <c r="Q18" s="2" t="s">
        <v>7</v>
      </c>
      <c r="R18" s="57"/>
      <c r="S18" s="2" t="s">
        <v>6</v>
      </c>
      <c r="T18" s="2" t="s">
        <v>7</v>
      </c>
      <c r="U18" s="2" t="s">
        <v>7</v>
      </c>
      <c r="V18" s="60">
        <v>2.0</v>
      </c>
      <c r="W18" s="2">
        <v>4.0</v>
      </c>
      <c r="X18" s="2">
        <v>3.0</v>
      </c>
      <c r="Y18" s="2">
        <v>32.0</v>
      </c>
      <c r="Z18" s="2">
        <v>20.0</v>
      </c>
      <c r="AA18" s="62">
        <v>0.5</v>
      </c>
      <c r="AB18" s="63">
        <v>2.0</v>
      </c>
      <c r="AC18" s="52">
        <v>3.0</v>
      </c>
      <c r="AD18" s="52">
        <v>1.0</v>
      </c>
      <c r="AE18" s="122">
        <v>26.0</v>
      </c>
      <c r="AF18" s="86">
        <v>22.0</v>
      </c>
      <c r="AG18" s="70">
        <v>0.63</v>
      </c>
      <c r="AH18" s="63">
        <v>4.0</v>
      </c>
      <c r="AI18" s="52">
        <v>7.0</v>
      </c>
      <c r="AJ18" s="52">
        <v>4.0</v>
      </c>
      <c r="AK18" s="122">
        <v>58.0</v>
      </c>
      <c r="AL18" s="86">
        <v>42.0</v>
      </c>
      <c r="AM18" s="70">
        <v>0.55</v>
      </c>
    </row>
    <row r="19">
      <c r="A19" s="29" t="s">
        <v>73</v>
      </c>
      <c r="B19" s="60" t="s">
        <v>7</v>
      </c>
      <c r="C19" s="2" t="s">
        <v>6</v>
      </c>
      <c r="D19" s="2"/>
      <c r="E19" s="2"/>
      <c r="F19" s="57"/>
      <c r="G19" s="2"/>
      <c r="H19" s="2"/>
      <c r="I19" s="2"/>
      <c r="J19" s="2" t="s">
        <v>6</v>
      </c>
      <c r="K19" s="2" t="s">
        <v>7</v>
      </c>
      <c r="L19" s="2"/>
      <c r="M19" s="57"/>
      <c r="N19" s="57"/>
      <c r="O19" s="2"/>
      <c r="P19" s="2"/>
      <c r="Q19" s="2" t="s">
        <v>7</v>
      </c>
      <c r="R19" s="2" t="s">
        <v>6</v>
      </c>
      <c r="S19" s="2"/>
      <c r="T19" s="57"/>
      <c r="U19" s="2" t="s">
        <v>6</v>
      </c>
      <c r="V19" s="60">
        <v>3.0</v>
      </c>
      <c r="W19" s="2">
        <v>0.0</v>
      </c>
      <c r="X19" s="2">
        <v>0.0</v>
      </c>
      <c r="Y19" s="2">
        <v>12.0</v>
      </c>
      <c r="Z19" s="2">
        <v>12.0</v>
      </c>
      <c r="AA19" s="62">
        <v>0.25</v>
      </c>
      <c r="AB19" s="63">
        <v>1.0</v>
      </c>
      <c r="AC19" s="52">
        <v>3.0</v>
      </c>
      <c r="AD19" s="52">
        <v>0.0</v>
      </c>
      <c r="AE19" s="131">
        <v>22.0</v>
      </c>
      <c r="AF19" s="132">
        <v>22.0</v>
      </c>
      <c r="AG19" s="134">
        <v>0.5</v>
      </c>
      <c r="AH19" s="63">
        <v>4.0</v>
      </c>
      <c r="AI19" s="52">
        <v>3.0</v>
      </c>
      <c r="AJ19" s="52">
        <v>0.0</v>
      </c>
      <c r="AK19" s="131">
        <v>34.0</v>
      </c>
      <c r="AL19" s="132">
        <v>34.0</v>
      </c>
      <c r="AM19" s="134">
        <v>0.35</v>
      </c>
    </row>
    <row r="20">
      <c r="A20" s="29" t="s">
        <v>46</v>
      </c>
      <c r="B20" s="60"/>
      <c r="C20" s="57"/>
      <c r="D20" s="2" t="s">
        <v>6</v>
      </c>
      <c r="E20" s="57"/>
      <c r="F20" s="2"/>
      <c r="G20" s="2" t="s">
        <v>6</v>
      </c>
      <c r="H20" s="2" t="s">
        <v>6</v>
      </c>
      <c r="I20" s="2"/>
      <c r="J20" s="2"/>
      <c r="K20" s="2"/>
      <c r="L20" s="2"/>
      <c r="M20" s="2" t="s">
        <v>6</v>
      </c>
      <c r="N20" s="2" t="s">
        <v>6</v>
      </c>
      <c r="O20" s="57"/>
      <c r="P20" s="57"/>
      <c r="Q20" s="2" t="s">
        <v>8</v>
      </c>
      <c r="R20" s="57"/>
      <c r="S20" s="57"/>
      <c r="T20" s="2"/>
      <c r="U20" s="2"/>
      <c r="V20" s="60">
        <v>3.0</v>
      </c>
      <c r="W20" s="2">
        <v>0.0</v>
      </c>
      <c r="X20" s="2">
        <v>0.0</v>
      </c>
      <c r="Y20" s="2">
        <v>12.0</v>
      </c>
      <c r="Z20" s="2">
        <v>12.0</v>
      </c>
      <c r="AA20" s="62">
        <v>0.25</v>
      </c>
      <c r="AB20" s="63">
        <v>2.0</v>
      </c>
      <c r="AC20" s="52">
        <v>0.0</v>
      </c>
      <c r="AD20" s="52">
        <v>1.0</v>
      </c>
      <c r="AE20" s="139">
        <v>8.0</v>
      </c>
      <c r="AF20" s="85">
        <v>4.0</v>
      </c>
      <c r="AG20" s="140">
        <v>0.25</v>
      </c>
      <c r="AH20" s="63">
        <v>5.0</v>
      </c>
      <c r="AI20" s="52">
        <v>0.0</v>
      </c>
      <c r="AJ20" s="52">
        <v>1.0</v>
      </c>
      <c r="AK20" s="139">
        <v>20.0</v>
      </c>
      <c r="AL20" s="85">
        <v>16.0</v>
      </c>
      <c r="AM20" s="140">
        <v>0.25</v>
      </c>
    </row>
    <row r="21">
      <c r="A21" s="29" t="s">
        <v>66</v>
      </c>
      <c r="B21" s="60" t="s">
        <v>6</v>
      </c>
      <c r="C21" s="57"/>
      <c r="D21" s="57"/>
      <c r="E21" s="57"/>
      <c r="F21" s="57"/>
      <c r="G21" s="57"/>
      <c r="H21" s="57"/>
      <c r="I21" s="2" t="s">
        <v>6</v>
      </c>
      <c r="J21" s="2" t="s">
        <v>6</v>
      </c>
      <c r="K21" s="2" t="s">
        <v>6</v>
      </c>
      <c r="L21" s="2" t="s">
        <v>6</v>
      </c>
      <c r="M21" s="2"/>
      <c r="N21" s="57"/>
      <c r="O21" s="57"/>
      <c r="P21" s="57"/>
      <c r="Q21" s="57"/>
      <c r="R21" s="57"/>
      <c r="S21" s="57"/>
      <c r="T21" s="57"/>
      <c r="U21" s="57"/>
      <c r="V21" s="60">
        <v>2.0</v>
      </c>
      <c r="W21" s="2">
        <v>0.0</v>
      </c>
      <c r="X21" s="2">
        <v>0.0</v>
      </c>
      <c r="Y21" s="2">
        <v>8.0</v>
      </c>
      <c r="Z21" s="2">
        <v>8.0</v>
      </c>
      <c r="AA21" s="62">
        <v>0.17</v>
      </c>
      <c r="AB21" s="63">
        <v>3.0</v>
      </c>
      <c r="AC21" s="52">
        <v>0.0</v>
      </c>
      <c r="AD21" s="52">
        <v>0.0</v>
      </c>
      <c r="AE21" s="143">
        <v>12.0</v>
      </c>
      <c r="AF21" s="144">
        <v>12.0</v>
      </c>
      <c r="AG21" s="87">
        <v>0.38</v>
      </c>
      <c r="AH21" s="63">
        <v>5.0</v>
      </c>
      <c r="AI21" s="52">
        <v>0.0</v>
      </c>
      <c r="AJ21" s="52">
        <v>0.0</v>
      </c>
      <c r="AK21" s="143">
        <v>20.0</v>
      </c>
      <c r="AL21" s="144">
        <v>20.0</v>
      </c>
      <c r="AM21" s="87">
        <v>0.25</v>
      </c>
    </row>
    <row r="22">
      <c r="A22" s="29" t="s">
        <v>47</v>
      </c>
      <c r="B22" s="60" t="s">
        <v>8</v>
      </c>
      <c r="C22" s="2" t="s">
        <v>6</v>
      </c>
      <c r="D22" s="2" t="s">
        <v>6</v>
      </c>
      <c r="E22" s="2"/>
      <c r="F22" s="2" t="s">
        <v>6</v>
      </c>
      <c r="G22" s="2"/>
      <c r="H22" s="2" t="s">
        <v>7</v>
      </c>
      <c r="I22" s="2"/>
      <c r="J22" s="2"/>
      <c r="K22" s="2" t="s">
        <v>8</v>
      </c>
      <c r="L22" s="2"/>
      <c r="M22" s="2" t="s">
        <v>7</v>
      </c>
      <c r="N22" s="2" t="s">
        <v>8</v>
      </c>
      <c r="O22" s="2" t="s">
        <v>6</v>
      </c>
      <c r="P22" s="2"/>
      <c r="Q22" s="2"/>
      <c r="R22" s="2" t="s">
        <v>6</v>
      </c>
      <c r="S22" s="2" t="s">
        <v>6</v>
      </c>
      <c r="T22" s="2" t="s">
        <v>6</v>
      </c>
      <c r="U22" s="2" t="s">
        <v>7</v>
      </c>
      <c r="V22" s="60">
        <v>4.0</v>
      </c>
      <c r="W22" s="2">
        <v>2.0</v>
      </c>
      <c r="X22" s="2">
        <v>1.0</v>
      </c>
      <c r="Y22" s="2">
        <v>28.0</v>
      </c>
      <c r="Z22" s="2">
        <v>24.0</v>
      </c>
      <c r="AA22" s="62">
        <v>0.5</v>
      </c>
      <c r="AB22" s="63">
        <v>3.0</v>
      </c>
      <c r="AC22" s="52">
        <v>1.0</v>
      </c>
      <c r="AD22" s="52">
        <v>2.0</v>
      </c>
      <c r="AE22" s="128">
        <v>18.0</v>
      </c>
      <c r="AF22" s="129">
        <v>10.0</v>
      </c>
      <c r="AG22" s="130">
        <v>0.5</v>
      </c>
      <c r="AH22" s="63">
        <v>7.0</v>
      </c>
      <c r="AI22" s="52">
        <v>3.0</v>
      </c>
      <c r="AJ22" s="52">
        <v>3.0</v>
      </c>
      <c r="AK22" s="128">
        <v>46.0</v>
      </c>
      <c r="AL22" s="129">
        <v>34.0</v>
      </c>
      <c r="AM22" s="130">
        <v>0.5</v>
      </c>
    </row>
    <row r="23">
      <c r="A23" s="29" t="s">
        <v>42</v>
      </c>
      <c r="B23" s="60" t="s">
        <v>8</v>
      </c>
      <c r="C23" s="2"/>
      <c r="D23" s="2" t="s">
        <v>6</v>
      </c>
      <c r="E23" s="57"/>
      <c r="F23" s="2" t="s">
        <v>6</v>
      </c>
      <c r="G23" s="2"/>
      <c r="H23" s="2"/>
      <c r="I23" s="2"/>
      <c r="J23" s="2" t="s">
        <v>6</v>
      </c>
      <c r="K23" s="57"/>
      <c r="L23" s="2"/>
      <c r="M23" s="57"/>
      <c r="N23" s="2" t="s">
        <v>6</v>
      </c>
      <c r="O23" s="57"/>
      <c r="P23" s="2" t="s">
        <v>6</v>
      </c>
      <c r="Q23" s="2" t="s">
        <v>7</v>
      </c>
      <c r="R23" s="2"/>
      <c r="S23" s="2"/>
      <c r="T23" s="57"/>
      <c r="U23" s="2"/>
      <c r="V23" s="60">
        <v>4.0</v>
      </c>
      <c r="W23" s="2">
        <v>0.0</v>
      </c>
      <c r="X23" s="2">
        <v>0.0</v>
      </c>
      <c r="Y23" s="2">
        <v>16.0</v>
      </c>
      <c r="Z23" s="2">
        <v>16.0</v>
      </c>
      <c r="AA23" s="62">
        <v>0.33</v>
      </c>
      <c r="AB23" s="63">
        <v>1.0</v>
      </c>
      <c r="AC23" s="52">
        <v>1.0</v>
      </c>
      <c r="AD23" s="52">
        <v>1.0</v>
      </c>
      <c r="AE23" s="97">
        <v>10.0</v>
      </c>
      <c r="AF23" s="99">
        <v>6.0</v>
      </c>
      <c r="AG23" s="116">
        <v>0.25</v>
      </c>
      <c r="AH23" s="63">
        <v>5.0</v>
      </c>
      <c r="AI23" s="52">
        <v>1.0</v>
      </c>
      <c r="AJ23" s="52">
        <v>1.0</v>
      </c>
      <c r="AK23" s="97">
        <v>26.0</v>
      </c>
      <c r="AL23" s="99">
        <v>22.0</v>
      </c>
      <c r="AM23" s="116">
        <v>0.3</v>
      </c>
    </row>
    <row r="24">
      <c r="A24" s="29" t="s">
        <v>61</v>
      </c>
      <c r="B24" s="60" t="s">
        <v>7</v>
      </c>
      <c r="C24" s="2" t="s">
        <v>7</v>
      </c>
      <c r="D24" s="2" t="s">
        <v>8</v>
      </c>
      <c r="E24" s="2" t="s">
        <v>8</v>
      </c>
      <c r="F24" s="2"/>
      <c r="G24" s="2" t="s">
        <v>8</v>
      </c>
      <c r="H24" s="2" t="s">
        <v>7</v>
      </c>
      <c r="I24" s="2" t="s">
        <v>8</v>
      </c>
      <c r="J24" s="57"/>
      <c r="K24" s="57"/>
      <c r="L24" s="2" t="s">
        <v>7</v>
      </c>
      <c r="M24" s="2" t="s">
        <v>8</v>
      </c>
      <c r="N24" s="57"/>
      <c r="O24" s="2" t="s">
        <v>7</v>
      </c>
      <c r="P24" s="57"/>
      <c r="Q24" s="2" t="s">
        <v>8</v>
      </c>
      <c r="R24" s="2" t="s">
        <v>6</v>
      </c>
      <c r="S24" s="2" t="s">
        <v>6</v>
      </c>
      <c r="T24" s="2" t="s">
        <v>8</v>
      </c>
      <c r="U24" s="2" t="s">
        <v>7</v>
      </c>
      <c r="V24" s="60">
        <v>1.0</v>
      </c>
      <c r="W24" s="2">
        <v>5.0</v>
      </c>
      <c r="X24" s="2">
        <v>2.0</v>
      </c>
      <c r="Y24" s="2">
        <v>34.0</v>
      </c>
      <c r="Z24" s="2">
        <v>26.0</v>
      </c>
      <c r="AA24" s="62">
        <v>0.5</v>
      </c>
      <c r="AB24" s="63">
        <v>1.0</v>
      </c>
      <c r="AC24" s="52">
        <v>1.0</v>
      </c>
      <c r="AD24" s="52">
        <v>5.0</v>
      </c>
      <c r="AE24" s="158">
        <v>10.0</v>
      </c>
      <c r="AF24" s="159">
        <v>-10.0</v>
      </c>
      <c r="AG24" s="140">
        <v>0.25</v>
      </c>
      <c r="AH24" s="63">
        <v>2.0</v>
      </c>
      <c r="AI24" s="52">
        <v>6.0</v>
      </c>
      <c r="AJ24" s="52">
        <v>7.0</v>
      </c>
      <c r="AK24" s="158">
        <v>44.0</v>
      </c>
      <c r="AL24" s="159">
        <v>16.0</v>
      </c>
      <c r="AM24" s="140">
        <v>0.4</v>
      </c>
    </row>
    <row r="25">
      <c r="A25" s="29" t="s">
        <v>58</v>
      </c>
      <c r="B25" s="60"/>
      <c r="C25" s="57"/>
      <c r="D25" s="57"/>
      <c r="E25" s="57"/>
      <c r="F25" s="2"/>
      <c r="G25" s="57"/>
      <c r="H25" s="57"/>
      <c r="I25" s="2"/>
      <c r="J25" s="2"/>
      <c r="K25" s="2"/>
      <c r="L25" s="2"/>
      <c r="M25" s="2" t="s">
        <v>6</v>
      </c>
      <c r="N25" s="2"/>
      <c r="O25" s="57"/>
      <c r="P25" s="57"/>
      <c r="Q25" s="57"/>
      <c r="R25" s="2" t="s">
        <v>6</v>
      </c>
      <c r="S25" s="57"/>
      <c r="T25" s="57"/>
      <c r="U25" s="2"/>
      <c r="V25" s="60">
        <v>0.0</v>
      </c>
      <c r="W25" s="2">
        <v>0.0</v>
      </c>
      <c r="X25" s="2">
        <v>0.0</v>
      </c>
      <c r="Y25" s="2">
        <v>0.0</v>
      </c>
      <c r="Z25" s="2">
        <v>0.0</v>
      </c>
      <c r="AA25" s="62">
        <v>0.0</v>
      </c>
      <c r="AB25" s="63">
        <v>2.0</v>
      </c>
      <c r="AC25" s="52">
        <v>0.0</v>
      </c>
      <c r="AD25" s="52">
        <v>0.0</v>
      </c>
      <c r="AE25" s="131">
        <v>8.0</v>
      </c>
      <c r="AF25" s="162">
        <v>8.0</v>
      </c>
      <c r="AG25" s="116">
        <v>0.25</v>
      </c>
      <c r="AH25" s="63">
        <v>2.0</v>
      </c>
      <c r="AI25" s="52">
        <v>0.0</v>
      </c>
      <c r="AJ25" s="52">
        <v>0.0</v>
      </c>
      <c r="AK25" s="131">
        <v>8.0</v>
      </c>
      <c r="AL25" s="162">
        <v>8.0</v>
      </c>
      <c r="AM25" s="116">
        <v>0.1</v>
      </c>
    </row>
    <row r="26">
      <c r="A26" s="29" t="s">
        <v>69</v>
      </c>
      <c r="B26" s="60" t="s">
        <v>8</v>
      </c>
      <c r="C26" s="57"/>
      <c r="D26" s="2"/>
      <c r="E26" s="57"/>
      <c r="F26" s="57"/>
      <c r="G26" s="2"/>
      <c r="H26" s="2" t="s">
        <v>6</v>
      </c>
      <c r="I26" s="57"/>
      <c r="J26" s="57"/>
      <c r="K26" s="2" t="s">
        <v>6</v>
      </c>
      <c r="L26" s="2" t="s">
        <v>7</v>
      </c>
      <c r="M26" s="2" t="s">
        <v>8</v>
      </c>
      <c r="N26" s="2" t="s">
        <v>7</v>
      </c>
      <c r="O26" s="2" t="s">
        <v>6</v>
      </c>
      <c r="P26" s="2"/>
      <c r="Q26" s="2" t="s">
        <v>8</v>
      </c>
      <c r="R26" s="57"/>
      <c r="S26" s="57"/>
      <c r="T26" s="57"/>
      <c r="U26" s="2" t="s">
        <v>7</v>
      </c>
      <c r="V26" s="60">
        <v>2.0</v>
      </c>
      <c r="W26" s="2">
        <v>3.0</v>
      </c>
      <c r="X26" s="2">
        <v>0.0</v>
      </c>
      <c r="Y26" s="2">
        <v>26.0</v>
      </c>
      <c r="Z26" s="2">
        <v>26.0</v>
      </c>
      <c r="AA26" s="62">
        <v>0.42</v>
      </c>
      <c r="AB26" s="63">
        <v>1.0</v>
      </c>
      <c r="AC26" s="52">
        <v>0.0</v>
      </c>
      <c r="AD26" s="52">
        <v>3.0</v>
      </c>
      <c r="AE26" s="139">
        <v>4.0</v>
      </c>
      <c r="AF26" s="132">
        <v>-8.0</v>
      </c>
      <c r="AG26" s="140">
        <v>0.13</v>
      </c>
      <c r="AH26" s="63">
        <v>3.0</v>
      </c>
      <c r="AI26" s="52">
        <v>3.0</v>
      </c>
      <c r="AJ26" s="52">
        <v>3.0</v>
      </c>
      <c r="AK26" s="139">
        <v>30.0</v>
      </c>
      <c r="AL26" s="132">
        <v>18.0</v>
      </c>
      <c r="AM26" s="140">
        <v>0.3</v>
      </c>
    </row>
    <row r="27">
      <c r="A27" s="29" t="s">
        <v>49</v>
      </c>
      <c r="B27" s="60" t="s">
        <v>8</v>
      </c>
      <c r="C27" s="2" t="s">
        <v>7</v>
      </c>
      <c r="D27" s="2" t="s">
        <v>7</v>
      </c>
      <c r="E27" s="2"/>
      <c r="F27" s="2" t="s">
        <v>8</v>
      </c>
      <c r="G27" s="2"/>
      <c r="H27" s="2" t="s">
        <v>8</v>
      </c>
      <c r="I27" s="57"/>
      <c r="J27" s="2" t="s">
        <v>6</v>
      </c>
      <c r="K27" s="57"/>
      <c r="L27" s="2" t="s">
        <v>6</v>
      </c>
      <c r="M27" s="2" t="s">
        <v>6</v>
      </c>
      <c r="N27" s="2"/>
      <c r="O27" s="57"/>
      <c r="P27" s="57"/>
      <c r="Q27" s="2" t="s">
        <v>8</v>
      </c>
      <c r="R27" s="2" t="s">
        <v>6</v>
      </c>
      <c r="S27" s="57"/>
      <c r="T27" s="57"/>
      <c r="U27" s="2" t="s">
        <v>8</v>
      </c>
      <c r="V27" s="60">
        <v>2.0</v>
      </c>
      <c r="W27" s="2">
        <v>1.0</v>
      </c>
      <c r="X27" s="2">
        <v>3.0</v>
      </c>
      <c r="Y27" s="2">
        <v>14.0</v>
      </c>
      <c r="Z27" s="2">
        <v>2.0</v>
      </c>
      <c r="AA27" s="62">
        <v>0.25</v>
      </c>
      <c r="AB27" s="63">
        <v>2.0</v>
      </c>
      <c r="AC27" s="52">
        <v>1.0</v>
      </c>
      <c r="AD27" s="52">
        <v>2.0</v>
      </c>
      <c r="AE27" s="131">
        <v>14.0</v>
      </c>
      <c r="AF27" s="162">
        <v>6.0</v>
      </c>
      <c r="AG27" s="116">
        <v>0.38</v>
      </c>
      <c r="AH27" s="63">
        <v>4.0</v>
      </c>
      <c r="AI27" s="52">
        <v>2.0</v>
      </c>
      <c r="AJ27" s="52">
        <v>5.0</v>
      </c>
      <c r="AK27" s="131">
        <v>28.0</v>
      </c>
      <c r="AL27" s="162">
        <v>8.0</v>
      </c>
      <c r="AM27" s="116">
        <v>0.3</v>
      </c>
    </row>
    <row r="28">
      <c r="A28" s="29" t="s">
        <v>65</v>
      </c>
      <c r="B28" s="60"/>
      <c r="C28" s="2"/>
      <c r="D28" s="2" t="s">
        <v>8</v>
      </c>
      <c r="E28" s="57"/>
      <c r="F28" s="2" t="s">
        <v>6</v>
      </c>
      <c r="G28" s="2" t="s">
        <v>7</v>
      </c>
      <c r="H28" s="2"/>
      <c r="I28" s="57"/>
      <c r="J28" s="57"/>
      <c r="K28" s="2"/>
      <c r="L28" s="2"/>
      <c r="M28" s="2" t="s">
        <v>8</v>
      </c>
      <c r="N28" s="2" t="s">
        <v>8</v>
      </c>
      <c r="O28" s="2" t="s">
        <v>6</v>
      </c>
      <c r="P28" s="2" t="s">
        <v>7</v>
      </c>
      <c r="Q28" s="2" t="s">
        <v>6</v>
      </c>
      <c r="R28" s="2"/>
      <c r="S28" s="2" t="s">
        <v>6</v>
      </c>
      <c r="T28" s="2" t="s">
        <v>6</v>
      </c>
      <c r="U28" s="2"/>
      <c r="V28" s="60">
        <v>3.0</v>
      </c>
      <c r="W28" s="2">
        <v>2.0</v>
      </c>
      <c r="X28" s="2">
        <v>1.0</v>
      </c>
      <c r="Y28" s="2">
        <v>24.0</v>
      </c>
      <c r="Z28" s="2">
        <v>20.0</v>
      </c>
      <c r="AA28" s="62">
        <v>0.42</v>
      </c>
      <c r="AB28" s="63">
        <v>2.0</v>
      </c>
      <c r="AC28" s="52">
        <v>0.0</v>
      </c>
      <c r="AD28" s="52">
        <v>2.0</v>
      </c>
      <c r="AE28" s="173">
        <v>8.0</v>
      </c>
      <c r="AF28" s="159">
        <v>0.0</v>
      </c>
      <c r="AG28" s="134">
        <v>0.25</v>
      </c>
      <c r="AH28" s="63">
        <v>5.0</v>
      </c>
      <c r="AI28" s="52">
        <v>2.0</v>
      </c>
      <c r="AJ28" s="52">
        <v>3.0</v>
      </c>
      <c r="AK28" s="173">
        <v>32.0</v>
      </c>
      <c r="AL28" s="159">
        <v>20.0</v>
      </c>
      <c r="AM28" s="134">
        <v>0.35</v>
      </c>
    </row>
    <row r="29">
      <c r="A29" s="29" t="s">
        <v>38</v>
      </c>
      <c r="B29" s="55"/>
      <c r="C29" s="57"/>
      <c r="D29" s="2"/>
      <c r="E29" s="57"/>
      <c r="F29" s="2" t="s">
        <v>6</v>
      </c>
      <c r="G29" s="57"/>
      <c r="H29" s="2"/>
      <c r="I29" s="57"/>
      <c r="J29" s="2"/>
      <c r="K29" s="57"/>
      <c r="L29" s="2" t="s">
        <v>7</v>
      </c>
      <c r="M29" s="57"/>
      <c r="N29" s="57"/>
      <c r="O29" s="57"/>
      <c r="P29" s="2"/>
      <c r="Q29" s="2"/>
      <c r="R29" s="2"/>
      <c r="S29" s="2"/>
      <c r="T29" s="57"/>
      <c r="U29" s="2"/>
      <c r="V29" s="60">
        <v>1.0</v>
      </c>
      <c r="W29" s="2">
        <v>1.0</v>
      </c>
      <c r="X29" s="2">
        <v>0.0</v>
      </c>
      <c r="Y29" s="2">
        <v>10.0</v>
      </c>
      <c r="Z29" s="2">
        <v>10.0</v>
      </c>
      <c r="AA29" s="62">
        <v>0.17</v>
      </c>
      <c r="AB29" s="63">
        <v>0.0</v>
      </c>
      <c r="AC29" s="52">
        <v>0.0</v>
      </c>
      <c r="AD29" s="52">
        <v>0.0</v>
      </c>
      <c r="AE29" s="139">
        <v>0.0</v>
      </c>
      <c r="AF29" s="132">
        <v>0.0</v>
      </c>
      <c r="AG29" s="140">
        <v>0.0</v>
      </c>
      <c r="AH29" s="63">
        <v>1.0</v>
      </c>
      <c r="AI29" s="52">
        <v>1.0</v>
      </c>
      <c r="AJ29" s="52">
        <v>0.0</v>
      </c>
      <c r="AK29" s="139">
        <v>10.0</v>
      </c>
      <c r="AL29" s="132">
        <v>10.0</v>
      </c>
      <c r="AM29" s="140">
        <v>0.1</v>
      </c>
    </row>
    <row r="30">
      <c r="A30" s="29" t="s">
        <v>43</v>
      </c>
      <c r="B30" s="60" t="s">
        <v>7</v>
      </c>
      <c r="C30" s="2" t="s">
        <v>7</v>
      </c>
      <c r="D30" s="57"/>
      <c r="E30" s="2" t="s">
        <v>7</v>
      </c>
      <c r="F30" s="57"/>
      <c r="G30" s="2" t="s">
        <v>6</v>
      </c>
      <c r="H30" s="2" t="s">
        <v>7</v>
      </c>
      <c r="I30" s="57"/>
      <c r="J30" s="2" t="s">
        <v>6</v>
      </c>
      <c r="K30" s="2"/>
      <c r="L30" s="2" t="s">
        <v>8</v>
      </c>
      <c r="M30" s="2" t="s">
        <v>6</v>
      </c>
      <c r="N30" s="2" t="s">
        <v>8</v>
      </c>
      <c r="O30" s="2" t="s">
        <v>6</v>
      </c>
      <c r="P30" s="2" t="s">
        <v>7</v>
      </c>
      <c r="Q30" s="57"/>
      <c r="R30" s="57"/>
      <c r="S30" s="2" t="s">
        <v>6</v>
      </c>
      <c r="T30" s="57"/>
      <c r="U30" s="2" t="s">
        <v>7</v>
      </c>
      <c r="V30" s="60">
        <v>4.0</v>
      </c>
      <c r="W30" s="2">
        <v>5.0</v>
      </c>
      <c r="X30" s="2">
        <v>2.0</v>
      </c>
      <c r="Y30" s="2">
        <v>46.0</v>
      </c>
      <c r="Z30" s="2">
        <v>38.0</v>
      </c>
      <c r="AA30" s="62">
        <v>0.75</v>
      </c>
      <c r="AB30" s="63">
        <v>1.0</v>
      </c>
      <c r="AC30" s="52">
        <v>1.0</v>
      </c>
      <c r="AD30" s="52">
        <v>0.0</v>
      </c>
      <c r="AE30" s="80">
        <v>10.0</v>
      </c>
      <c r="AF30" s="81">
        <v>10.0</v>
      </c>
      <c r="AG30" s="75">
        <v>0.25</v>
      </c>
      <c r="AH30" s="63">
        <v>5.0</v>
      </c>
      <c r="AI30" s="52">
        <v>6.0</v>
      </c>
      <c r="AJ30" s="52">
        <v>2.0</v>
      </c>
      <c r="AK30" s="80">
        <v>56.0</v>
      </c>
      <c r="AL30" s="81">
        <v>48.0</v>
      </c>
      <c r="AM30" s="75">
        <v>0.55</v>
      </c>
    </row>
    <row r="31">
      <c r="A31" s="29" t="s">
        <v>77</v>
      </c>
      <c r="B31" s="55"/>
      <c r="C31" s="2" t="s">
        <v>7</v>
      </c>
      <c r="D31" s="2" t="s">
        <v>6</v>
      </c>
      <c r="E31" s="2" t="s">
        <v>7</v>
      </c>
      <c r="F31" s="57"/>
      <c r="G31" s="2"/>
      <c r="H31" s="57"/>
      <c r="I31" s="57"/>
      <c r="J31" s="2" t="s">
        <v>6</v>
      </c>
      <c r="K31" s="2"/>
      <c r="L31" s="2" t="s">
        <v>8</v>
      </c>
      <c r="M31" s="2" t="s">
        <v>8</v>
      </c>
      <c r="N31" s="57"/>
      <c r="O31" s="2" t="s">
        <v>6</v>
      </c>
      <c r="P31" s="57"/>
      <c r="Q31" s="2"/>
      <c r="R31" s="2" t="s">
        <v>6</v>
      </c>
      <c r="S31" s="2"/>
      <c r="T31" s="2"/>
      <c r="U31" s="2" t="s">
        <v>6</v>
      </c>
      <c r="V31" s="60">
        <v>3.0</v>
      </c>
      <c r="W31" s="2">
        <v>2.0</v>
      </c>
      <c r="X31" s="2">
        <v>1.0</v>
      </c>
      <c r="Y31" s="2">
        <v>24.0</v>
      </c>
      <c r="Z31" s="2">
        <v>20.0</v>
      </c>
      <c r="AA31" s="62">
        <v>0.42</v>
      </c>
      <c r="AB31" s="63">
        <v>2.0</v>
      </c>
      <c r="AC31" s="52">
        <v>0.0</v>
      </c>
      <c r="AD31" s="52">
        <v>1.0</v>
      </c>
      <c r="AE31" s="106">
        <v>8.0</v>
      </c>
      <c r="AF31" s="108">
        <v>4.0</v>
      </c>
      <c r="AG31" s="140">
        <v>0.25</v>
      </c>
      <c r="AH31" s="63">
        <v>5.0</v>
      </c>
      <c r="AI31" s="52">
        <v>2.0</v>
      </c>
      <c r="AJ31" s="52">
        <v>2.0</v>
      </c>
      <c r="AK31" s="106">
        <v>32.0</v>
      </c>
      <c r="AL31" s="108">
        <v>24.0</v>
      </c>
      <c r="AM31" s="140">
        <v>0.35</v>
      </c>
    </row>
    <row r="32">
      <c r="A32" s="29" t="s">
        <v>59</v>
      </c>
      <c r="B32" s="60"/>
      <c r="C32" s="57"/>
      <c r="D32" s="2"/>
      <c r="E32" s="57"/>
      <c r="F32" s="2"/>
      <c r="G32" s="2" t="s">
        <v>6</v>
      </c>
      <c r="H32" s="2" t="s">
        <v>7</v>
      </c>
      <c r="I32" s="57"/>
      <c r="J32" s="2"/>
      <c r="K32" s="57"/>
      <c r="L32" s="57"/>
      <c r="M32" s="2" t="s">
        <v>8</v>
      </c>
      <c r="N32" s="2" t="s">
        <v>6</v>
      </c>
      <c r="O32" s="57"/>
      <c r="P32" s="2" t="s">
        <v>6</v>
      </c>
      <c r="Q32" s="57"/>
      <c r="R32" s="57"/>
      <c r="S32" s="57"/>
      <c r="T32" s="57"/>
      <c r="U32" s="2" t="s">
        <v>8</v>
      </c>
      <c r="V32" s="60">
        <v>3.0</v>
      </c>
      <c r="W32" s="2">
        <v>1.0</v>
      </c>
      <c r="X32" s="2">
        <v>1.0</v>
      </c>
      <c r="Y32" s="2">
        <v>18.0</v>
      </c>
      <c r="Z32" s="2">
        <v>14.0</v>
      </c>
      <c r="AA32" s="62">
        <v>0.33</v>
      </c>
      <c r="AB32" s="63">
        <v>0.0</v>
      </c>
      <c r="AC32" s="52">
        <v>0.0</v>
      </c>
      <c r="AD32" s="52">
        <v>1.0</v>
      </c>
      <c r="AE32" s="183">
        <v>0.0</v>
      </c>
      <c r="AF32" s="184">
        <v>-4.0</v>
      </c>
      <c r="AG32" s="134">
        <v>0.0</v>
      </c>
      <c r="AH32" s="63">
        <v>3.0</v>
      </c>
      <c r="AI32" s="52">
        <v>1.0</v>
      </c>
      <c r="AJ32" s="52">
        <v>2.0</v>
      </c>
      <c r="AK32" s="183">
        <v>18.0</v>
      </c>
      <c r="AL32" s="184">
        <v>10.0</v>
      </c>
      <c r="AM32" s="134">
        <v>0.2</v>
      </c>
    </row>
    <row r="33">
      <c r="A33" s="29" t="s">
        <v>52</v>
      </c>
      <c r="B33" s="60" t="s">
        <v>8</v>
      </c>
      <c r="C33" s="2" t="s">
        <v>7</v>
      </c>
      <c r="D33" s="2"/>
      <c r="E33" s="2"/>
      <c r="F33" s="2" t="s">
        <v>7</v>
      </c>
      <c r="G33" s="2" t="s">
        <v>8</v>
      </c>
      <c r="H33" s="2" t="s">
        <v>8</v>
      </c>
      <c r="I33" s="2"/>
      <c r="J33" s="2"/>
      <c r="K33" s="2" t="s">
        <v>8</v>
      </c>
      <c r="L33" s="2" t="s">
        <v>6</v>
      </c>
      <c r="M33" s="2" t="s">
        <v>6</v>
      </c>
      <c r="N33" s="2" t="s">
        <v>6</v>
      </c>
      <c r="O33" s="2" t="s">
        <v>6</v>
      </c>
      <c r="P33" s="2" t="s">
        <v>6</v>
      </c>
      <c r="Q33" s="2"/>
      <c r="R33" s="57"/>
      <c r="S33" s="57"/>
      <c r="T33" s="2" t="s">
        <v>7</v>
      </c>
      <c r="U33" s="2" t="s">
        <v>8</v>
      </c>
      <c r="V33" s="60">
        <v>4.0</v>
      </c>
      <c r="W33" s="2">
        <v>2.0</v>
      </c>
      <c r="X33" s="2">
        <v>3.0</v>
      </c>
      <c r="Y33" s="2">
        <v>28.0</v>
      </c>
      <c r="Z33" s="2">
        <v>16.0</v>
      </c>
      <c r="AA33" s="62">
        <v>0.5</v>
      </c>
      <c r="AB33" s="63">
        <v>1.0</v>
      </c>
      <c r="AC33" s="52">
        <v>1.0</v>
      </c>
      <c r="AD33" s="52">
        <v>2.0</v>
      </c>
      <c r="AE33" s="190">
        <v>10.0</v>
      </c>
      <c r="AF33" s="162">
        <v>2.0</v>
      </c>
      <c r="AG33" s="116">
        <v>0.25</v>
      </c>
      <c r="AH33" s="63">
        <v>5.0</v>
      </c>
      <c r="AI33" s="52">
        <v>3.0</v>
      </c>
      <c r="AJ33" s="52">
        <v>5.0</v>
      </c>
      <c r="AK33" s="190">
        <v>38.0</v>
      </c>
      <c r="AL33" s="162">
        <v>18.0</v>
      </c>
      <c r="AM33" s="116">
        <v>0.4</v>
      </c>
    </row>
    <row r="34">
      <c r="A34" s="29" t="s">
        <v>54</v>
      </c>
      <c r="B34" s="55"/>
      <c r="C34" s="57"/>
      <c r="D34" s="2" t="s">
        <v>6</v>
      </c>
      <c r="E34" s="2" t="s">
        <v>6</v>
      </c>
      <c r="F34" s="2"/>
      <c r="G34" s="2"/>
      <c r="H34" s="2" t="s">
        <v>7</v>
      </c>
      <c r="I34" s="2" t="s">
        <v>6</v>
      </c>
      <c r="J34" s="2" t="s">
        <v>6</v>
      </c>
      <c r="K34" s="2"/>
      <c r="L34" s="2"/>
      <c r="M34" s="2"/>
      <c r="N34" s="2"/>
      <c r="O34" s="57"/>
      <c r="P34" s="2"/>
      <c r="Q34" s="2" t="s">
        <v>6</v>
      </c>
      <c r="R34" s="2" t="s">
        <v>6</v>
      </c>
      <c r="S34" s="2"/>
      <c r="T34" s="57"/>
      <c r="U34" s="2" t="s">
        <v>6</v>
      </c>
      <c r="V34" s="60">
        <v>3.0</v>
      </c>
      <c r="W34" s="2">
        <v>1.0</v>
      </c>
      <c r="X34" s="2">
        <v>0.0</v>
      </c>
      <c r="Y34" s="2">
        <v>18.0</v>
      </c>
      <c r="Z34" s="2">
        <v>18.0</v>
      </c>
      <c r="AA34" s="62">
        <v>0.33</v>
      </c>
      <c r="AB34" s="63">
        <v>4.0</v>
      </c>
      <c r="AC34" s="52">
        <v>0.0</v>
      </c>
      <c r="AD34" s="52">
        <v>0.0</v>
      </c>
      <c r="AE34" s="97">
        <v>16.0</v>
      </c>
      <c r="AF34" s="99">
        <v>16.0</v>
      </c>
      <c r="AG34" s="116">
        <v>0.5</v>
      </c>
      <c r="AH34" s="63">
        <v>7.0</v>
      </c>
      <c r="AI34" s="52">
        <v>1.0</v>
      </c>
      <c r="AJ34" s="52">
        <v>0.0</v>
      </c>
      <c r="AK34" s="97">
        <v>34.0</v>
      </c>
      <c r="AL34" s="99">
        <v>34.0</v>
      </c>
      <c r="AM34" s="116">
        <v>0.4</v>
      </c>
    </row>
    <row r="35">
      <c r="A35" s="29" t="s">
        <v>63</v>
      </c>
      <c r="B35" s="55"/>
      <c r="C35" s="57"/>
      <c r="D35" s="2"/>
      <c r="E35" s="2" t="s">
        <v>8</v>
      </c>
      <c r="F35" s="2"/>
      <c r="G35" s="57"/>
      <c r="H35" s="2" t="s">
        <v>7</v>
      </c>
      <c r="I35" s="57"/>
      <c r="J35" s="57"/>
      <c r="K35" s="2"/>
      <c r="L35" s="2" t="s">
        <v>6</v>
      </c>
      <c r="M35" s="2"/>
      <c r="N35" s="57"/>
      <c r="O35" s="57"/>
      <c r="P35" s="2"/>
      <c r="Q35" s="2" t="s">
        <v>8</v>
      </c>
      <c r="R35" s="2"/>
      <c r="S35" s="2"/>
      <c r="T35" s="57"/>
      <c r="U35" s="2"/>
      <c r="V35" s="60">
        <v>1.0</v>
      </c>
      <c r="W35" s="2">
        <v>1.0</v>
      </c>
      <c r="X35" s="2">
        <v>1.0</v>
      </c>
      <c r="Y35" s="2">
        <v>10.0</v>
      </c>
      <c r="Z35" s="2">
        <v>6.0</v>
      </c>
      <c r="AA35" s="62">
        <v>0.17</v>
      </c>
      <c r="AB35" s="63">
        <v>0.0</v>
      </c>
      <c r="AC35" s="52">
        <v>0.0</v>
      </c>
      <c r="AD35" s="52">
        <v>1.0</v>
      </c>
      <c r="AE35" s="190">
        <v>0.0</v>
      </c>
      <c r="AF35" s="99">
        <v>-4.0</v>
      </c>
      <c r="AG35" s="116">
        <v>0.0</v>
      </c>
      <c r="AH35" s="63">
        <v>1.0</v>
      </c>
      <c r="AI35" s="52">
        <v>1.0</v>
      </c>
      <c r="AJ35" s="52">
        <v>2.0</v>
      </c>
      <c r="AK35" s="190">
        <v>10.0</v>
      </c>
      <c r="AL35" s="99">
        <v>2.0</v>
      </c>
      <c r="AM35" s="116">
        <v>0.1</v>
      </c>
    </row>
    <row r="36">
      <c r="A36" s="29" t="s">
        <v>70</v>
      </c>
      <c r="B36" s="60" t="s">
        <v>7</v>
      </c>
      <c r="C36" s="2" t="s">
        <v>6</v>
      </c>
      <c r="D36" s="2" t="s">
        <v>7</v>
      </c>
      <c r="E36" s="2" t="s">
        <v>6</v>
      </c>
      <c r="F36" s="57"/>
      <c r="G36" s="57"/>
      <c r="H36" s="2"/>
      <c r="I36" s="2" t="s">
        <v>6</v>
      </c>
      <c r="J36" s="2" t="s">
        <v>6</v>
      </c>
      <c r="K36" s="2" t="s">
        <v>6</v>
      </c>
      <c r="L36" s="2" t="s">
        <v>8</v>
      </c>
      <c r="M36" s="2" t="s">
        <v>7</v>
      </c>
      <c r="N36" s="2" t="s">
        <v>7</v>
      </c>
      <c r="O36" s="2" t="s">
        <v>6</v>
      </c>
      <c r="P36" s="2" t="s">
        <v>6</v>
      </c>
      <c r="Q36" s="2"/>
      <c r="R36" s="2" t="s">
        <v>6</v>
      </c>
      <c r="S36" s="2" t="s">
        <v>6</v>
      </c>
      <c r="T36" s="2" t="s">
        <v>7</v>
      </c>
      <c r="U36" s="2" t="s">
        <v>6</v>
      </c>
      <c r="V36" s="60">
        <v>7.0</v>
      </c>
      <c r="W36" s="2">
        <v>1.0</v>
      </c>
      <c r="X36" s="2">
        <v>1.0</v>
      </c>
      <c r="Y36" s="2">
        <v>34.0</v>
      </c>
      <c r="Z36" s="2">
        <v>30.0</v>
      </c>
      <c r="AA36" s="62">
        <v>0.67</v>
      </c>
      <c r="AB36" s="63">
        <v>3.0</v>
      </c>
      <c r="AC36" s="52">
        <v>4.0</v>
      </c>
      <c r="AD36" s="52">
        <v>0.0</v>
      </c>
      <c r="AE36" s="80">
        <v>36.0</v>
      </c>
      <c r="AF36" s="144">
        <v>36.0</v>
      </c>
      <c r="AG36" s="75">
        <v>0.88</v>
      </c>
      <c r="AH36" s="63">
        <v>10.0</v>
      </c>
      <c r="AI36" s="52">
        <v>5.0</v>
      </c>
      <c r="AJ36" s="52">
        <v>1.0</v>
      </c>
      <c r="AK36" s="80">
        <v>70.0</v>
      </c>
      <c r="AL36" s="144">
        <v>66.0</v>
      </c>
      <c r="AM36" s="75">
        <v>0.75</v>
      </c>
    </row>
    <row r="37">
      <c r="A37" s="29" t="s">
        <v>33</v>
      </c>
      <c r="B37" s="60" t="s">
        <v>6</v>
      </c>
      <c r="C37" s="57"/>
      <c r="D37" s="2"/>
      <c r="E37" s="2"/>
      <c r="F37" s="2"/>
      <c r="G37" s="57"/>
      <c r="H37" s="2"/>
      <c r="I37" s="2"/>
      <c r="J37" s="2"/>
      <c r="K37" s="2"/>
      <c r="L37" s="2" t="s">
        <v>8</v>
      </c>
      <c r="M37" s="57"/>
      <c r="N37" s="57"/>
      <c r="O37" s="2" t="s">
        <v>6</v>
      </c>
      <c r="P37" s="57"/>
      <c r="Q37" s="2"/>
      <c r="R37" s="2"/>
      <c r="S37" s="2" t="s">
        <v>6</v>
      </c>
      <c r="T37" s="2" t="s">
        <v>6</v>
      </c>
      <c r="U37" s="2" t="s">
        <v>6</v>
      </c>
      <c r="V37" s="60">
        <v>3.0</v>
      </c>
      <c r="W37" s="2">
        <v>0.0</v>
      </c>
      <c r="X37" s="2">
        <v>1.0</v>
      </c>
      <c r="Y37" s="2">
        <v>12.0</v>
      </c>
      <c r="Z37" s="2">
        <v>8.0</v>
      </c>
      <c r="AA37" s="62">
        <v>0.25</v>
      </c>
      <c r="AB37" s="63">
        <v>2.0</v>
      </c>
      <c r="AC37" s="52">
        <v>0.0</v>
      </c>
      <c r="AD37" s="52">
        <v>0.0</v>
      </c>
      <c r="AE37" s="80">
        <v>8.0</v>
      </c>
      <c r="AF37" s="85">
        <v>8.0</v>
      </c>
      <c r="AG37" s="75">
        <v>0.25</v>
      </c>
      <c r="AH37" s="63">
        <v>5.0</v>
      </c>
      <c r="AI37" s="52">
        <v>0.0</v>
      </c>
      <c r="AJ37" s="52">
        <v>1.0</v>
      </c>
      <c r="AK37" s="80">
        <v>20.0</v>
      </c>
      <c r="AL37" s="85">
        <v>16.0</v>
      </c>
      <c r="AM37" s="75">
        <v>0.25</v>
      </c>
    </row>
    <row r="38">
      <c r="A38" s="29" t="s">
        <v>62</v>
      </c>
      <c r="B38" s="60" t="s">
        <v>8</v>
      </c>
      <c r="C38" s="2" t="s">
        <v>6</v>
      </c>
      <c r="D38" s="2" t="s">
        <v>6</v>
      </c>
      <c r="E38" s="2" t="s">
        <v>6</v>
      </c>
      <c r="F38" s="2" t="s">
        <v>7</v>
      </c>
      <c r="G38" s="2" t="s">
        <v>8</v>
      </c>
      <c r="H38" s="2" t="s">
        <v>6</v>
      </c>
      <c r="I38" s="57"/>
      <c r="J38" s="2" t="s">
        <v>7</v>
      </c>
      <c r="K38" s="57"/>
      <c r="L38" s="2"/>
      <c r="M38" s="2" t="s">
        <v>8</v>
      </c>
      <c r="N38" s="2" t="s">
        <v>7</v>
      </c>
      <c r="O38" s="57"/>
      <c r="P38" s="2" t="s">
        <v>6</v>
      </c>
      <c r="Q38" s="2" t="s">
        <v>6</v>
      </c>
      <c r="R38" s="2" t="s">
        <v>7</v>
      </c>
      <c r="S38" s="57"/>
      <c r="T38" s="57"/>
      <c r="U38" s="2"/>
      <c r="V38" s="60">
        <v>4.0</v>
      </c>
      <c r="W38" s="2">
        <v>3.0</v>
      </c>
      <c r="X38" s="2">
        <v>1.0</v>
      </c>
      <c r="Y38" s="2">
        <v>34.0</v>
      </c>
      <c r="Z38" s="2">
        <v>30.0</v>
      </c>
      <c r="AA38" s="62">
        <v>0.58</v>
      </c>
      <c r="AB38" s="63">
        <v>2.0</v>
      </c>
      <c r="AC38" s="52">
        <v>1.0</v>
      </c>
      <c r="AD38" s="52">
        <v>2.0</v>
      </c>
      <c r="AE38" s="114">
        <v>14.0</v>
      </c>
      <c r="AF38" s="120">
        <v>6.0</v>
      </c>
      <c r="AG38" s="116">
        <v>0.38</v>
      </c>
      <c r="AH38" s="63">
        <v>6.0</v>
      </c>
      <c r="AI38" s="52">
        <v>4.0</v>
      </c>
      <c r="AJ38" s="52">
        <v>3.0</v>
      </c>
      <c r="AK38" s="114">
        <v>48.0</v>
      </c>
      <c r="AL38" s="120">
        <v>36.0</v>
      </c>
      <c r="AM38" s="116">
        <v>0.5</v>
      </c>
    </row>
    <row r="39">
      <c r="A39" s="29" t="s">
        <v>51</v>
      </c>
      <c r="B39" s="60"/>
      <c r="C39" s="2"/>
      <c r="D39" s="2"/>
      <c r="E39" s="2" t="s">
        <v>7</v>
      </c>
      <c r="F39" s="2" t="s">
        <v>8</v>
      </c>
      <c r="G39" s="2" t="s">
        <v>7</v>
      </c>
      <c r="H39" s="2" t="s">
        <v>7</v>
      </c>
      <c r="I39" s="2" t="s">
        <v>7</v>
      </c>
      <c r="J39" s="2" t="s">
        <v>6</v>
      </c>
      <c r="K39" s="2"/>
      <c r="L39" s="2" t="s">
        <v>8</v>
      </c>
      <c r="M39" s="2" t="s">
        <v>7</v>
      </c>
      <c r="N39" s="2" t="s">
        <v>7</v>
      </c>
      <c r="O39" s="2" t="s">
        <v>6</v>
      </c>
      <c r="P39" s="2" t="s">
        <v>7</v>
      </c>
      <c r="Q39" s="2" t="s">
        <v>8</v>
      </c>
      <c r="R39" s="2"/>
      <c r="S39" s="2"/>
      <c r="T39" s="2" t="s">
        <v>7</v>
      </c>
      <c r="U39" s="2" t="s">
        <v>7</v>
      </c>
      <c r="V39" s="60">
        <v>2.0</v>
      </c>
      <c r="W39" s="2">
        <v>6.0</v>
      </c>
      <c r="X39" s="2">
        <v>2.0</v>
      </c>
      <c r="Y39" s="2">
        <v>44.0</v>
      </c>
      <c r="Z39" s="2">
        <v>36.0</v>
      </c>
      <c r="AA39" s="62">
        <v>0.67</v>
      </c>
      <c r="AB39" s="63">
        <v>0.0</v>
      </c>
      <c r="AC39" s="52">
        <v>3.0</v>
      </c>
      <c r="AD39" s="52">
        <v>1.0</v>
      </c>
      <c r="AE39" s="204">
        <v>18.0</v>
      </c>
      <c r="AF39" s="206">
        <v>14.0</v>
      </c>
      <c r="AG39" s="207">
        <v>0.38</v>
      </c>
      <c r="AH39" s="63">
        <v>2.0</v>
      </c>
      <c r="AI39" s="52">
        <v>9.0</v>
      </c>
      <c r="AJ39" s="52">
        <v>3.0</v>
      </c>
      <c r="AK39" s="204">
        <v>62.0</v>
      </c>
      <c r="AL39" s="206">
        <v>50.0</v>
      </c>
      <c r="AM39" s="207">
        <v>0.55</v>
      </c>
    </row>
    <row r="40">
      <c r="A40" s="29" t="s">
        <v>53</v>
      </c>
      <c r="B40" s="60" t="s">
        <v>6</v>
      </c>
      <c r="C40" s="57"/>
      <c r="D40" s="57"/>
      <c r="E40" s="2"/>
      <c r="F40" s="57"/>
      <c r="G40" s="57"/>
      <c r="H40" s="57"/>
      <c r="I40" s="57"/>
      <c r="J40" s="2"/>
      <c r="K40" s="57"/>
      <c r="L40" s="2" t="s">
        <v>6</v>
      </c>
      <c r="M40" s="2"/>
      <c r="N40" s="57"/>
      <c r="O40" s="57"/>
      <c r="P40" s="57"/>
      <c r="Q40" s="57"/>
      <c r="R40" s="57"/>
      <c r="S40" s="2" t="s">
        <v>6</v>
      </c>
      <c r="T40" s="2"/>
      <c r="U40" s="57"/>
      <c r="V40" s="60">
        <v>2.0</v>
      </c>
      <c r="W40" s="2">
        <v>0.0</v>
      </c>
      <c r="X40" s="2">
        <v>0.0</v>
      </c>
      <c r="Y40" s="2">
        <v>8.0</v>
      </c>
      <c r="Z40" s="2">
        <v>8.0</v>
      </c>
      <c r="AA40" s="62">
        <v>0.17</v>
      </c>
      <c r="AB40" s="63">
        <v>1.0</v>
      </c>
      <c r="AC40" s="52">
        <v>0.0</v>
      </c>
      <c r="AD40" s="52">
        <v>0.0</v>
      </c>
      <c r="AE40" s="122">
        <v>4.0</v>
      </c>
      <c r="AF40" s="86">
        <v>4.0</v>
      </c>
      <c r="AG40" s="70">
        <v>0.13</v>
      </c>
      <c r="AH40" s="63">
        <v>3.0</v>
      </c>
      <c r="AI40" s="52">
        <v>0.0</v>
      </c>
      <c r="AJ40" s="52">
        <v>0.0</v>
      </c>
      <c r="AK40" s="122">
        <v>12.0</v>
      </c>
      <c r="AL40" s="86">
        <v>12.0</v>
      </c>
      <c r="AM40" s="70">
        <v>0.15</v>
      </c>
    </row>
    <row r="41">
      <c r="A41" s="29" t="s">
        <v>78</v>
      </c>
      <c r="B41" s="55"/>
      <c r="C41" s="2"/>
      <c r="D41" s="2" t="s">
        <v>6</v>
      </c>
      <c r="E41" s="2" t="s">
        <v>7</v>
      </c>
      <c r="F41" s="2" t="s">
        <v>8</v>
      </c>
      <c r="G41" s="2" t="s">
        <v>7</v>
      </c>
      <c r="H41" s="2"/>
      <c r="I41" s="2" t="s">
        <v>8</v>
      </c>
      <c r="J41" s="2"/>
      <c r="K41" s="2"/>
      <c r="L41" s="2" t="s">
        <v>7</v>
      </c>
      <c r="M41" s="2" t="s">
        <v>7</v>
      </c>
      <c r="N41" s="2" t="s">
        <v>8</v>
      </c>
      <c r="O41" s="2"/>
      <c r="P41" s="2" t="s">
        <v>6</v>
      </c>
      <c r="Q41" s="2" t="s">
        <v>8</v>
      </c>
      <c r="R41" s="2" t="s">
        <v>6</v>
      </c>
      <c r="S41" s="2" t="s">
        <v>6</v>
      </c>
      <c r="T41" s="2" t="s">
        <v>6</v>
      </c>
      <c r="U41" s="2"/>
      <c r="V41" s="60">
        <v>2.0</v>
      </c>
      <c r="W41" s="2">
        <v>3.0</v>
      </c>
      <c r="X41" s="2">
        <v>2.0</v>
      </c>
      <c r="Y41" s="2">
        <v>26.0</v>
      </c>
      <c r="Z41" s="2">
        <v>18.0</v>
      </c>
      <c r="AA41" s="62">
        <v>0.42</v>
      </c>
      <c r="AB41" s="63">
        <v>3.0</v>
      </c>
      <c r="AC41" s="52">
        <v>1.0</v>
      </c>
      <c r="AD41" s="52">
        <v>2.0</v>
      </c>
      <c r="AE41" s="209">
        <v>18.0</v>
      </c>
      <c r="AF41" s="210">
        <v>10.0</v>
      </c>
      <c r="AG41" s="100">
        <v>0.5</v>
      </c>
      <c r="AH41" s="63">
        <v>5.0</v>
      </c>
      <c r="AI41" s="52">
        <v>4.0</v>
      </c>
      <c r="AJ41" s="52">
        <v>4.0</v>
      </c>
      <c r="AK41" s="209">
        <v>44.0</v>
      </c>
      <c r="AL41" s="210">
        <v>28.0</v>
      </c>
      <c r="AM41" s="100">
        <v>0.45</v>
      </c>
    </row>
    <row r="42">
      <c r="A42" s="29" t="s">
        <v>71</v>
      </c>
      <c r="B42" s="60" t="s">
        <v>6</v>
      </c>
      <c r="C42" s="57"/>
      <c r="D42" s="2"/>
      <c r="E42" s="57"/>
      <c r="F42" s="57"/>
      <c r="G42" s="2"/>
      <c r="H42" s="2" t="s">
        <v>6</v>
      </c>
      <c r="I42" s="57"/>
      <c r="J42" s="2"/>
      <c r="K42" s="57"/>
      <c r="L42" s="57"/>
      <c r="M42" s="57"/>
      <c r="N42" s="2" t="s">
        <v>6</v>
      </c>
      <c r="O42" s="2" t="s">
        <v>6</v>
      </c>
      <c r="P42" s="57"/>
      <c r="Q42" s="2"/>
      <c r="R42" s="2"/>
      <c r="S42" s="57"/>
      <c r="T42" s="57"/>
      <c r="U42" s="2" t="s">
        <v>6</v>
      </c>
      <c r="V42" s="60">
        <v>4.0</v>
      </c>
      <c r="W42" s="2">
        <v>0.0</v>
      </c>
      <c r="X42" s="2">
        <v>0.0</v>
      </c>
      <c r="Y42" s="2">
        <v>16.0</v>
      </c>
      <c r="Z42" s="2">
        <v>16.0</v>
      </c>
      <c r="AA42" s="62">
        <v>0.33</v>
      </c>
      <c r="AB42" s="63">
        <v>1.0</v>
      </c>
      <c r="AC42" s="52">
        <v>0.0</v>
      </c>
      <c r="AD42" s="52">
        <v>0.0</v>
      </c>
      <c r="AE42" s="139">
        <v>4.0</v>
      </c>
      <c r="AF42" s="68">
        <v>4.0</v>
      </c>
      <c r="AG42" s="75">
        <v>0.13</v>
      </c>
      <c r="AH42" s="63">
        <v>5.0</v>
      </c>
      <c r="AI42" s="52">
        <v>0.0</v>
      </c>
      <c r="AJ42" s="52">
        <v>0.0</v>
      </c>
      <c r="AK42" s="139">
        <v>20.0</v>
      </c>
      <c r="AL42" s="68">
        <v>20.0</v>
      </c>
      <c r="AM42" s="75">
        <v>0.25</v>
      </c>
    </row>
    <row r="43">
      <c r="A43" s="29" t="s">
        <v>68</v>
      </c>
      <c r="B43" s="55"/>
      <c r="C43" s="2" t="s">
        <v>8</v>
      </c>
      <c r="D43" s="57"/>
      <c r="E43" s="2" t="s">
        <v>8</v>
      </c>
      <c r="F43" s="2" t="s">
        <v>7</v>
      </c>
      <c r="G43" s="2" t="s">
        <v>8</v>
      </c>
      <c r="H43" s="2" t="s">
        <v>8</v>
      </c>
      <c r="I43" s="2" t="s">
        <v>8</v>
      </c>
      <c r="J43" s="2" t="s">
        <v>8</v>
      </c>
      <c r="K43" s="2" t="s">
        <v>8</v>
      </c>
      <c r="L43" s="2" t="s">
        <v>8</v>
      </c>
      <c r="M43" s="2" t="s">
        <v>8</v>
      </c>
      <c r="N43" s="2" t="s">
        <v>8</v>
      </c>
      <c r="O43" s="2" t="s">
        <v>8</v>
      </c>
      <c r="P43" s="2" t="s">
        <v>8</v>
      </c>
      <c r="Q43" s="2" t="s">
        <v>7</v>
      </c>
      <c r="R43" s="2" t="s">
        <v>8</v>
      </c>
      <c r="S43" s="2" t="s">
        <v>8</v>
      </c>
      <c r="T43" s="2" t="s">
        <v>8</v>
      </c>
      <c r="U43" s="2" t="s">
        <v>8</v>
      </c>
      <c r="V43" s="60">
        <v>0.0</v>
      </c>
      <c r="W43" s="2">
        <v>1.0</v>
      </c>
      <c r="X43" s="2">
        <v>11.0</v>
      </c>
      <c r="Y43" s="2">
        <v>6.0</v>
      </c>
      <c r="Z43" s="2">
        <v>-38.0</v>
      </c>
      <c r="AA43" s="62">
        <v>0.08</v>
      </c>
      <c r="AB43" s="63">
        <v>0.0</v>
      </c>
      <c r="AC43" s="52">
        <v>1.0</v>
      </c>
      <c r="AD43" s="52">
        <v>5.0</v>
      </c>
      <c r="AE43" s="143">
        <v>6.0</v>
      </c>
      <c r="AF43" s="144">
        <v>-14.0</v>
      </c>
      <c r="AG43" s="87">
        <v>0.13</v>
      </c>
      <c r="AH43" s="63">
        <v>0.0</v>
      </c>
      <c r="AI43" s="52">
        <v>2.0</v>
      </c>
      <c r="AJ43" s="52">
        <v>16.0</v>
      </c>
      <c r="AK43" s="143">
        <v>12.0</v>
      </c>
      <c r="AL43" s="144">
        <v>-52.0</v>
      </c>
      <c r="AM43" s="87">
        <v>0.1</v>
      </c>
    </row>
    <row r="44">
      <c r="A44" s="29" t="s">
        <v>67</v>
      </c>
      <c r="B44" s="60" t="s">
        <v>6</v>
      </c>
      <c r="C44" s="2" t="s">
        <v>6</v>
      </c>
      <c r="D44" s="2"/>
      <c r="E44" s="2" t="s">
        <v>7</v>
      </c>
      <c r="F44" s="57"/>
      <c r="G44" s="2" t="s">
        <v>6</v>
      </c>
      <c r="H44" s="2" t="s">
        <v>7</v>
      </c>
      <c r="I44" s="57"/>
      <c r="J44" s="57"/>
      <c r="K44" s="2"/>
      <c r="L44" s="2" t="s">
        <v>8</v>
      </c>
      <c r="M44" s="57"/>
      <c r="N44" s="57"/>
      <c r="O44" s="57"/>
      <c r="P44" s="2" t="s">
        <v>6</v>
      </c>
      <c r="Q44" s="57"/>
      <c r="R44" s="2" t="s">
        <v>6</v>
      </c>
      <c r="S44" s="2" t="s">
        <v>6</v>
      </c>
      <c r="T44" s="57"/>
      <c r="U44" s="2" t="s">
        <v>6</v>
      </c>
      <c r="V44" s="60">
        <v>5.0</v>
      </c>
      <c r="W44" s="2">
        <v>2.0</v>
      </c>
      <c r="X44" s="2">
        <v>1.0</v>
      </c>
      <c r="Y44" s="2">
        <v>32.0</v>
      </c>
      <c r="Z44" s="2">
        <v>28.0</v>
      </c>
      <c r="AA44" s="62">
        <v>0.58</v>
      </c>
      <c r="AB44" s="63">
        <v>2.0</v>
      </c>
      <c r="AC44" s="52">
        <v>0.0</v>
      </c>
      <c r="AD44" s="52">
        <v>0.0</v>
      </c>
      <c r="AE44" s="139">
        <v>8.0</v>
      </c>
      <c r="AF44" s="132">
        <v>8.0</v>
      </c>
      <c r="AG44" s="140">
        <v>0.25</v>
      </c>
      <c r="AH44" s="63">
        <v>7.0</v>
      </c>
      <c r="AI44" s="52">
        <v>2.0</v>
      </c>
      <c r="AJ44" s="52">
        <v>1.0</v>
      </c>
      <c r="AK44" s="139">
        <v>40.0</v>
      </c>
      <c r="AL44" s="132">
        <v>36.0</v>
      </c>
      <c r="AM44" s="140">
        <v>0.45</v>
      </c>
    </row>
    <row r="45">
      <c r="A45" s="29" t="s">
        <v>72</v>
      </c>
      <c r="B45" s="60"/>
      <c r="C45" s="2" t="s">
        <v>6</v>
      </c>
      <c r="D45" s="2"/>
      <c r="E45" s="2" t="s">
        <v>8</v>
      </c>
      <c r="F45" s="57"/>
      <c r="G45" s="2"/>
      <c r="H45" s="2" t="s">
        <v>6</v>
      </c>
      <c r="I45" s="2"/>
      <c r="J45" s="2" t="s">
        <v>7</v>
      </c>
      <c r="K45" s="57"/>
      <c r="L45" s="2" t="s">
        <v>8</v>
      </c>
      <c r="M45" s="2" t="s">
        <v>8</v>
      </c>
      <c r="N45" s="2"/>
      <c r="O45" s="2" t="s">
        <v>6</v>
      </c>
      <c r="P45" s="2"/>
      <c r="Q45" s="2" t="s">
        <v>8</v>
      </c>
      <c r="R45" s="2" t="s">
        <v>6</v>
      </c>
      <c r="S45" s="2"/>
      <c r="T45" s="2" t="s">
        <v>6</v>
      </c>
      <c r="U45" s="2" t="s">
        <v>6</v>
      </c>
      <c r="V45" s="60">
        <v>4.0</v>
      </c>
      <c r="W45" s="2">
        <v>1.0</v>
      </c>
      <c r="X45" s="2">
        <v>2.0</v>
      </c>
      <c r="Y45" s="2">
        <v>22.0</v>
      </c>
      <c r="Z45" s="2">
        <v>14.0</v>
      </c>
      <c r="AA45" s="62">
        <v>0.42</v>
      </c>
      <c r="AB45" s="63">
        <v>2.0</v>
      </c>
      <c r="AC45" s="52">
        <v>0.0</v>
      </c>
      <c r="AD45" s="52">
        <v>2.0</v>
      </c>
      <c r="AE45" s="218">
        <v>8.0</v>
      </c>
      <c r="AF45" s="120">
        <v>0.0</v>
      </c>
      <c r="AG45" s="207">
        <v>0.25</v>
      </c>
      <c r="AH45" s="63">
        <v>6.0</v>
      </c>
      <c r="AI45" s="52">
        <v>1.0</v>
      </c>
      <c r="AJ45" s="52">
        <v>4.0</v>
      </c>
      <c r="AK45" s="218">
        <v>30.0</v>
      </c>
      <c r="AL45" s="120">
        <v>14.0</v>
      </c>
      <c r="AM45" s="207">
        <v>0.35</v>
      </c>
    </row>
    <row r="46">
      <c r="A46" s="29" t="s">
        <v>56</v>
      </c>
      <c r="B46" s="55"/>
      <c r="C46" s="2"/>
      <c r="D46" s="2"/>
      <c r="E46" s="57"/>
      <c r="F46" s="2"/>
      <c r="G46" s="57"/>
      <c r="H46" s="2"/>
      <c r="I46" s="57"/>
      <c r="J46" s="2"/>
      <c r="K46" s="2"/>
      <c r="L46" s="2" t="s">
        <v>6</v>
      </c>
      <c r="M46" s="2" t="s">
        <v>6</v>
      </c>
      <c r="N46" s="57"/>
      <c r="O46" s="57"/>
      <c r="P46" s="2" t="s">
        <v>6</v>
      </c>
      <c r="Q46" s="2"/>
      <c r="R46" s="2"/>
      <c r="S46" s="57"/>
      <c r="T46" s="57"/>
      <c r="U46" s="57"/>
      <c r="V46" s="60">
        <v>2.0</v>
      </c>
      <c r="W46" s="2">
        <v>0.0</v>
      </c>
      <c r="X46" s="2">
        <v>0.0</v>
      </c>
      <c r="Y46" s="2">
        <v>8.0</v>
      </c>
      <c r="Z46" s="2">
        <v>8.0</v>
      </c>
      <c r="AA46" s="62">
        <v>0.17</v>
      </c>
      <c r="AB46" s="63">
        <v>1.0</v>
      </c>
      <c r="AC46" s="52">
        <v>0.0</v>
      </c>
      <c r="AD46" s="52">
        <v>0.0</v>
      </c>
      <c r="AE46" s="72">
        <v>4.0</v>
      </c>
      <c r="AF46" s="74">
        <v>4.0</v>
      </c>
      <c r="AG46" s="75">
        <v>0.13</v>
      </c>
      <c r="AH46" s="63">
        <v>3.0</v>
      </c>
      <c r="AI46" s="52">
        <v>0.0</v>
      </c>
      <c r="AJ46" s="52">
        <v>0.0</v>
      </c>
      <c r="AK46" s="72">
        <v>12.0</v>
      </c>
      <c r="AL46" s="74">
        <v>12.0</v>
      </c>
      <c r="AM46" s="75">
        <v>0.15</v>
      </c>
    </row>
    <row r="47">
      <c r="A47" s="29" t="s">
        <v>74</v>
      </c>
      <c r="B47" s="60"/>
      <c r="C47" s="2" t="s">
        <v>6</v>
      </c>
      <c r="D47" s="2" t="s">
        <v>6</v>
      </c>
      <c r="E47" s="2" t="s">
        <v>6</v>
      </c>
      <c r="F47" s="2"/>
      <c r="G47" s="2"/>
      <c r="H47" s="2"/>
      <c r="I47" s="57"/>
      <c r="J47" s="57"/>
      <c r="K47" s="57"/>
      <c r="L47" s="2"/>
      <c r="M47" s="2" t="s">
        <v>8</v>
      </c>
      <c r="N47" s="2" t="s">
        <v>6</v>
      </c>
      <c r="O47" s="2" t="s">
        <v>6</v>
      </c>
      <c r="P47" s="2" t="s">
        <v>6</v>
      </c>
      <c r="Q47" s="2" t="s">
        <v>7</v>
      </c>
      <c r="R47" s="2" t="s">
        <v>6</v>
      </c>
      <c r="S47" s="2" t="s">
        <v>6</v>
      </c>
      <c r="T47" s="57"/>
      <c r="U47" s="2" t="s">
        <v>6</v>
      </c>
      <c r="V47" s="60">
        <v>7.0</v>
      </c>
      <c r="W47" s="2">
        <v>0.0</v>
      </c>
      <c r="X47" s="2">
        <v>0.0</v>
      </c>
      <c r="Y47" s="2">
        <v>28.0</v>
      </c>
      <c r="Z47" s="2">
        <v>28.0</v>
      </c>
      <c r="AA47" s="62">
        <v>0.58</v>
      </c>
      <c r="AB47" s="63">
        <v>2.0</v>
      </c>
      <c r="AC47" s="52">
        <v>1.0</v>
      </c>
      <c r="AD47" s="52">
        <v>1.0</v>
      </c>
      <c r="AE47" s="183">
        <v>14.0</v>
      </c>
      <c r="AF47" s="184">
        <v>10.0</v>
      </c>
      <c r="AG47" s="134">
        <v>0.38</v>
      </c>
      <c r="AH47" s="63">
        <v>9.0</v>
      </c>
      <c r="AI47" s="52">
        <v>1.0</v>
      </c>
      <c r="AJ47" s="52">
        <v>1.0</v>
      </c>
      <c r="AK47" s="183">
        <v>42.0</v>
      </c>
      <c r="AL47" s="184">
        <v>38.0</v>
      </c>
      <c r="AM47" s="134">
        <v>0.5</v>
      </c>
    </row>
    <row r="48">
      <c r="A48" s="29" t="s">
        <v>76</v>
      </c>
      <c r="B48" s="60" t="s">
        <v>6</v>
      </c>
      <c r="C48" s="57"/>
      <c r="D48" s="57"/>
      <c r="E48" s="2"/>
      <c r="F48" s="2" t="s">
        <v>6</v>
      </c>
      <c r="G48" s="57"/>
      <c r="H48" s="57"/>
      <c r="I48" s="57"/>
      <c r="J48" s="2" t="s">
        <v>6</v>
      </c>
      <c r="K48" s="2" t="s">
        <v>6</v>
      </c>
      <c r="L48" s="57"/>
      <c r="M48" s="2" t="s">
        <v>8</v>
      </c>
      <c r="N48" s="57"/>
      <c r="O48" s="57"/>
      <c r="P48" s="57"/>
      <c r="Q48" s="2"/>
      <c r="R48" s="2"/>
      <c r="S48" s="57"/>
      <c r="T48" s="57"/>
      <c r="U48" s="57"/>
      <c r="V48" s="60">
        <v>2.0</v>
      </c>
      <c r="W48" s="2">
        <v>0.0</v>
      </c>
      <c r="X48" s="2">
        <v>0.0</v>
      </c>
      <c r="Y48" s="2">
        <v>8.0</v>
      </c>
      <c r="Z48" s="2">
        <v>8.0</v>
      </c>
      <c r="AA48" s="62">
        <v>0.17</v>
      </c>
      <c r="AB48" s="63">
        <v>2.0</v>
      </c>
      <c r="AC48" s="52">
        <v>0.0</v>
      </c>
      <c r="AD48" s="52">
        <v>1.0</v>
      </c>
      <c r="AE48" s="106">
        <v>8.0</v>
      </c>
      <c r="AF48" s="108">
        <v>4.0</v>
      </c>
      <c r="AG48" s="140">
        <v>0.25</v>
      </c>
      <c r="AH48" s="63">
        <v>4.0</v>
      </c>
      <c r="AI48" s="52">
        <v>0.0</v>
      </c>
      <c r="AJ48" s="52">
        <v>1.0</v>
      </c>
      <c r="AK48" s="106">
        <v>16.0</v>
      </c>
      <c r="AL48" s="108">
        <v>12.0</v>
      </c>
      <c r="AM48" s="140">
        <v>0.2</v>
      </c>
    </row>
    <row r="49">
      <c r="A49" s="29"/>
      <c r="B49" s="55"/>
      <c r="C49" s="2"/>
      <c r="D49" s="2"/>
      <c r="E49" s="2"/>
      <c r="F49" s="2"/>
      <c r="G49" s="2"/>
      <c r="H49" s="57"/>
      <c r="I49" s="57"/>
      <c r="J49" s="2"/>
      <c r="K49" s="2"/>
      <c r="L49" s="2"/>
      <c r="M49" s="57"/>
      <c r="N49" s="57"/>
      <c r="O49" s="2"/>
      <c r="P49" s="2"/>
      <c r="Q49" s="57"/>
      <c r="R49" s="2"/>
      <c r="S49" s="57"/>
      <c r="T49" s="2"/>
      <c r="U49" s="2"/>
      <c r="V49" s="60"/>
      <c r="W49" s="2"/>
      <c r="X49" s="2"/>
      <c r="Y49" s="2"/>
      <c r="Z49" s="2"/>
      <c r="AA49" s="62"/>
      <c r="AB49" s="63"/>
      <c r="AC49" s="52"/>
      <c r="AD49" s="52"/>
      <c r="AE49" s="52"/>
      <c r="AF49" s="52"/>
      <c r="AG49" s="243"/>
      <c r="AH49" s="63"/>
      <c r="AI49" s="52"/>
      <c r="AJ49" s="52"/>
      <c r="AK49" s="52"/>
      <c r="AL49" s="52"/>
      <c r="AM49" s="243"/>
    </row>
    <row r="50">
      <c r="A50" s="222"/>
      <c r="B50" s="224"/>
      <c r="C50" s="225"/>
      <c r="D50" s="225"/>
      <c r="E50" s="225"/>
      <c r="F50" s="225"/>
      <c r="G50" s="225"/>
      <c r="H50" s="226"/>
      <c r="I50" s="226"/>
      <c r="J50" s="226"/>
      <c r="K50" s="225"/>
      <c r="L50" s="226"/>
      <c r="M50" s="226"/>
      <c r="N50" s="226"/>
      <c r="O50" s="225"/>
      <c r="P50" s="225"/>
      <c r="Q50" s="226"/>
      <c r="R50" s="225"/>
      <c r="S50" s="226"/>
      <c r="T50" s="225"/>
      <c r="U50" s="225"/>
      <c r="V50" s="224"/>
      <c r="W50" s="226"/>
      <c r="X50" s="226"/>
      <c r="Y50" s="226"/>
      <c r="Z50" s="226"/>
      <c r="AA50" s="227"/>
      <c r="AB50" s="228"/>
      <c r="AC50" s="230"/>
      <c r="AD50" s="230"/>
      <c r="AE50" s="230"/>
      <c r="AF50" s="230"/>
      <c r="AG50" s="247"/>
      <c r="AH50" s="228"/>
      <c r="AI50" s="230"/>
      <c r="AJ50" s="230"/>
      <c r="AK50" s="230"/>
      <c r="AL50" s="230"/>
      <c r="AM50" s="247"/>
    </row>
  </sheetData>
  <mergeCells count="3">
    <mergeCell ref="V1:AA1"/>
    <mergeCell ref="AB1:AG1"/>
    <mergeCell ref="AH1:AM1"/>
  </mergeCells>
  <conditionalFormatting sqref="AA3:AA50 AG3:AG26 AM3:AM26">
    <cfRule type="colorScale" priority="1">
      <colorScale>
        <cfvo type="min"/>
        <cfvo type="max"/>
        <color rgb="FFFFFFFF"/>
        <color rgb="FF8E7CC3"/>
      </colorScale>
    </cfRule>
  </conditionalFormatting>
  <conditionalFormatting sqref="B3:U50">
    <cfRule type="cellIs" dxfId="0" priority="2" operator="equal">
      <formula>"IC"</formula>
    </cfRule>
  </conditionalFormatting>
  <conditionalFormatting sqref="B3:U50">
    <cfRule type="cellIs" dxfId="1" priority="3" operator="equal">
      <formula>"C"</formula>
    </cfRule>
  </conditionalFormatting>
  <conditionalFormatting sqref="B3:U50">
    <cfRule type="cellIs" dxfId="2" priority="4" operator="equal">
      <formula>"P"</formula>
    </cfRule>
  </conditionalFormatting>
  <conditionalFormatting sqref="Z3:Z50">
    <cfRule type="colorScale" priority="5">
      <colorScale>
        <cfvo type="min"/>
        <cfvo type="max"/>
        <color rgb="FFFFFFFF"/>
        <color rgb="FF6D9EEB"/>
      </colorScale>
    </cfRule>
  </conditionalFormatting>
  <conditionalFormatting sqref="Y3:Y50">
    <cfRule type="colorScale" priority="6">
      <colorScale>
        <cfvo type="min"/>
        <cfvo type="max"/>
        <color rgb="FFFFFFFF"/>
        <color rgb="FF57BB8A"/>
      </colorScale>
    </cfRule>
  </conditionalFormatting>
  <conditionalFormatting sqref="AE3:AE50">
    <cfRule type="colorScale" priority="7">
      <colorScale>
        <cfvo type="min"/>
        <cfvo type="max"/>
        <color rgb="FFFFFFFF"/>
        <color rgb="FF57BB8A"/>
      </colorScale>
    </cfRule>
  </conditionalFormatting>
  <conditionalFormatting sqref="AF3:AF50">
    <cfRule type="colorScale" priority="8">
      <colorScale>
        <cfvo type="min"/>
        <cfvo type="max"/>
        <color rgb="FFFFFFFF"/>
        <color rgb="FF6D9EEB"/>
      </colorScale>
    </cfRule>
  </conditionalFormatting>
  <conditionalFormatting sqref="AL3:AL50">
    <cfRule type="colorScale" priority="9">
      <colorScale>
        <cfvo type="min"/>
        <cfvo type="max"/>
        <color rgb="FFFFFFFF"/>
        <color rgb="FF3C78D8"/>
      </colorScale>
    </cfRule>
  </conditionalFormatting>
  <conditionalFormatting sqref="AK3:AK50">
    <cfRule type="colorScale" priority="10">
      <colorScale>
        <cfvo type="min"/>
        <cfvo type="max"/>
        <color rgb="FFFFFFFF"/>
        <color rgb="FF57BB8A"/>
      </colorScale>
    </cfRule>
  </conditionalFormatting>
  <drawing r:id="rId1"/>
</worksheet>
</file>