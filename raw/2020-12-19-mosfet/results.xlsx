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iant and Global Elite" sheetId="1" r:id="rId5"/>
    <sheet state="visible" name="Grandmaster" sheetId="2" r:id="rId6"/>
    <sheet state="visible" name="Legend" sheetId="3" r:id="rId7"/>
    <sheet state="visible" name="Conqueror" sheetId="4" r:id="rId8"/>
    <sheet state="visible" name="Challenger" sheetId="5" r:id="rId9"/>
  </sheets>
  <definedNames/>
  <calcPr/>
</workbook>
</file>

<file path=xl/sharedStrings.xml><?xml version="1.0" encoding="utf-8"?>
<sst xmlns="http://schemas.openxmlformats.org/spreadsheetml/2006/main" count="221" uniqueCount="92">
  <si>
    <t>Division Radiant</t>
  </si>
  <si>
    <t>Division Grandmaster</t>
  </si>
  <si>
    <t>Division Legend</t>
  </si>
  <si>
    <t>Seed</t>
  </si>
  <si>
    <t>Division Conqueror</t>
  </si>
  <si>
    <t>Round</t>
  </si>
  <si>
    <t>Team Name</t>
  </si>
  <si>
    <t>Room 1</t>
  </si>
  <si>
    <t>Room 2</t>
  </si>
  <si>
    <t>Dulles</t>
  </si>
  <si>
    <t>Room 3</t>
  </si>
  <si>
    <t>Van Nuys</t>
  </si>
  <si>
    <t>1v2</t>
  </si>
  <si>
    <t>Pirates A</t>
  </si>
  <si>
    <t>3v6</t>
  </si>
  <si>
    <t>Tesla STEM</t>
  </si>
  <si>
    <t>4v5</t>
  </si>
  <si>
    <t>MLK</t>
  </si>
  <si>
    <t>Westview A</t>
  </si>
  <si>
    <t>3v4</t>
  </si>
  <si>
    <t>2v5</t>
  </si>
  <si>
    <t>1v6</t>
  </si>
  <si>
    <t>1v5</t>
  </si>
  <si>
    <t>4v6</t>
  </si>
  <si>
    <t>2v3</t>
  </si>
  <si>
    <t>Dulles A</t>
  </si>
  <si>
    <t>2v6</t>
  </si>
  <si>
    <t>1v4</t>
  </si>
  <si>
    <t>3v5</t>
  </si>
  <si>
    <t>5v6</t>
  </si>
  <si>
    <t>1v3</t>
  </si>
  <si>
    <t>2v4</t>
  </si>
  <si>
    <t>Westview B</t>
  </si>
  <si>
    <t>Island Trees</t>
  </si>
  <si>
    <t>Van Nuys A</t>
  </si>
  <si>
    <t>Westminster A</t>
  </si>
  <si>
    <t>Lynbrook</t>
  </si>
  <si>
    <t>Hopkins</t>
  </si>
  <si>
    <t>Livingston A</t>
  </si>
  <si>
    <t>Fossil Ridge</t>
  </si>
  <si>
    <t>Quail Valley</t>
  </si>
  <si>
    <t>Centennial</t>
  </si>
  <si>
    <t>Walton</t>
  </si>
  <si>
    <t>Kromrey</t>
  </si>
  <si>
    <t>Los Alamos A</t>
  </si>
  <si>
    <t>Day 1 Points</t>
  </si>
  <si>
    <t>Day 2 Points</t>
  </si>
  <si>
    <t>Livingston B</t>
  </si>
  <si>
    <t>Island Trees A</t>
  </si>
  <si>
    <t>Timberline</t>
  </si>
  <si>
    <t>Shenendehowa</t>
  </si>
  <si>
    <t>Lynbrook A</t>
  </si>
  <si>
    <t>Middleton A</t>
  </si>
  <si>
    <t>Westminster B</t>
  </si>
  <si>
    <t>KJ B</t>
  </si>
  <si>
    <t>Hopkins A</t>
  </si>
  <si>
    <t>Fossil Ridge A</t>
  </si>
  <si>
    <t>Quail Valley MS</t>
  </si>
  <si>
    <t>Record:</t>
  </si>
  <si>
    <t>Tesla Stem A</t>
  </si>
  <si>
    <t>MLK A</t>
  </si>
  <si>
    <t>Timberline A</t>
  </si>
  <si>
    <t>Shenendehowa A</t>
  </si>
  <si>
    <t>Centennial A</t>
  </si>
  <si>
    <t>Walton A</t>
  </si>
  <si>
    <t>2.5-2.5</t>
  </si>
  <si>
    <t>5-0</t>
  </si>
  <si>
    <t>Kromrey MS A</t>
  </si>
  <si>
    <t>Division Global Elite</t>
  </si>
  <si>
    <t>Churchill</t>
  </si>
  <si>
    <t>KJ A</t>
  </si>
  <si>
    <t>LACES B</t>
  </si>
  <si>
    <t>LACES A</t>
  </si>
  <si>
    <t>Middleton B</t>
  </si>
  <si>
    <t>Shaker</t>
  </si>
  <si>
    <t>Churchill A</t>
  </si>
  <si>
    <t>Shaker A</t>
  </si>
  <si>
    <t xml:space="preserve">Record: </t>
  </si>
  <si>
    <t>Division Challenger</t>
  </si>
  <si>
    <t>Ward Melville</t>
  </si>
  <si>
    <t>Los Alamos B</t>
  </si>
  <si>
    <t>Ames</t>
  </si>
  <si>
    <t>Pirates B</t>
  </si>
  <si>
    <t>Beckman</t>
  </si>
  <si>
    <t>Newtown</t>
  </si>
  <si>
    <t>Ward Melville A</t>
  </si>
  <si>
    <t>Ames A</t>
  </si>
  <si>
    <t>WWPHSS B</t>
  </si>
  <si>
    <t>Beckman A</t>
  </si>
  <si>
    <t>Newtown A</t>
  </si>
  <si>
    <t>0-5</t>
  </si>
  <si>
    <t>.5-4.5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</si>
</sst>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readingOrder="0"/>
    </xf>
    <xf borderId="0" fillId="2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3" width="8.5"/>
  </cols>
  <sheetData>
    <row r="1">
      <c r="A1" s="1" t="s">
        <v>0</v>
      </c>
      <c r="F1" s="3" t="s">
        <v>3</v>
      </c>
      <c r="G1" s="5" t="s">
        <v>6</v>
      </c>
      <c r="H1" s="6" t="s">
        <v>9</v>
      </c>
      <c r="I1" s="6" t="s">
        <v>11</v>
      </c>
      <c r="J1" s="6" t="s">
        <v>13</v>
      </c>
      <c r="K1" s="6" t="s">
        <v>15</v>
      </c>
      <c r="L1" s="6" t="s">
        <v>17</v>
      </c>
      <c r="M1" s="6" t="s">
        <v>18</v>
      </c>
    </row>
    <row r="2">
      <c r="A2" s="4" t="s">
        <v>5</v>
      </c>
      <c r="B2" s="4" t="s">
        <v>7</v>
      </c>
      <c r="C2" s="4" t="s">
        <v>8</v>
      </c>
      <c r="D2" s="4" t="s">
        <v>10</v>
      </c>
      <c r="F2" s="4">
        <v>1.0</v>
      </c>
      <c r="G2" s="5" t="s">
        <v>25</v>
      </c>
      <c r="H2" s="7"/>
      <c r="I2" s="6">
        <v>0.0</v>
      </c>
      <c r="J2" s="6">
        <v>1.0</v>
      </c>
      <c r="K2" s="6">
        <v>0.0</v>
      </c>
      <c r="L2" s="6">
        <v>0.0</v>
      </c>
      <c r="M2" s="6">
        <v>0.0</v>
      </c>
    </row>
    <row r="3">
      <c r="A3" s="4">
        <v>1.0</v>
      </c>
      <c r="B3" s="4" t="s">
        <v>12</v>
      </c>
      <c r="C3" s="4" t="s">
        <v>14</v>
      </c>
      <c r="D3" s="4" t="s">
        <v>16</v>
      </c>
      <c r="F3" s="4">
        <v>2.0</v>
      </c>
      <c r="G3" s="5" t="s">
        <v>34</v>
      </c>
      <c r="H3" s="6">
        <v>1.0</v>
      </c>
      <c r="I3" s="7"/>
      <c r="J3" s="6">
        <v>1.0</v>
      </c>
      <c r="K3" s="6">
        <v>1.0</v>
      </c>
      <c r="L3" s="6">
        <v>1.0</v>
      </c>
      <c r="M3" s="6">
        <v>1.0</v>
      </c>
    </row>
    <row r="4">
      <c r="A4" s="4">
        <v>2.0</v>
      </c>
      <c r="B4" s="4" t="s">
        <v>19</v>
      </c>
      <c r="C4" s="4" t="s">
        <v>20</v>
      </c>
      <c r="D4" s="4" t="s">
        <v>21</v>
      </c>
      <c r="F4" s="4">
        <v>3.0</v>
      </c>
      <c r="G4" s="11" t="s">
        <v>13</v>
      </c>
      <c r="H4" s="6">
        <v>0.0</v>
      </c>
      <c r="I4" s="6">
        <v>0.0</v>
      </c>
      <c r="J4" s="7"/>
      <c r="K4" s="6">
        <v>0.0</v>
      </c>
      <c r="L4" s="6">
        <v>0.0</v>
      </c>
      <c r="M4" s="6">
        <v>0.0</v>
      </c>
    </row>
    <row r="5">
      <c r="A5" s="4">
        <v>3.0</v>
      </c>
      <c r="B5" s="4" t="s">
        <v>22</v>
      </c>
      <c r="C5" s="4" t="s">
        <v>23</v>
      </c>
      <c r="D5" s="4" t="s">
        <v>24</v>
      </c>
      <c r="F5" s="4">
        <v>4.0</v>
      </c>
      <c r="G5" s="5" t="s">
        <v>59</v>
      </c>
      <c r="H5" s="6">
        <v>1.0</v>
      </c>
      <c r="I5" s="6">
        <v>0.0</v>
      </c>
      <c r="J5" s="6">
        <v>1.0</v>
      </c>
      <c r="K5" s="7"/>
      <c r="L5" s="6">
        <v>1.0</v>
      </c>
      <c r="M5" s="6">
        <v>1.0</v>
      </c>
    </row>
    <row r="6">
      <c r="A6" s="4">
        <v>4.0</v>
      </c>
      <c r="B6" s="4" t="s">
        <v>26</v>
      </c>
      <c r="C6" s="4" t="s">
        <v>27</v>
      </c>
      <c r="D6" s="4" t="s">
        <v>28</v>
      </c>
      <c r="F6" s="4">
        <v>5.0</v>
      </c>
      <c r="G6" s="5" t="s">
        <v>60</v>
      </c>
      <c r="H6" s="6">
        <v>1.0</v>
      </c>
      <c r="I6" s="6">
        <v>0.0</v>
      </c>
      <c r="J6" s="6">
        <v>1.0</v>
      </c>
      <c r="K6" s="6">
        <v>0.0</v>
      </c>
      <c r="L6" s="7"/>
      <c r="M6" s="6">
        <v>0.0</v>
      </c>
    </row>
    <row r="7">
      <c r="A7" s="4">
        <v>5.0</v>
      </c>
      <c r="B7" s="4" t="s">
        <v>29</v>
      </c>
      <c r="C7" s="4" t="s">
        <v>30</v>
      </c>
      <c r="D7" s="4" t="s">
        <v>31</v>
      </c>
      <c r="F7" s="4">
        <v>6.0</v>
      </c>
      <c r="G7" s="5" t="s">
        <v>18</v>
      </c>
      <c r="H7" s="6">
        <v>1.0</v>
      </c>
      <c r="I7" s="6">
        <v>0.0</v>
      </c>
      <c r="J7" s="6">
        <v>1.0</v>
      </c>
      <c r="K7" s="6">
        <v>0.0</v>
      </c>
      <c r="L7" s="6">
        <v>1.0</v>
      </c>
      <c r="M7" s="7"/>
    </row>
    <row r="8">
      <c r="A8" s="4"/>
      <c r="B8" s="4"/>
      <c r="C8" s="5"/>
      <c r="D8" s="4"/>
      <c r="F8" s="6" t="s">
        <v>58</v>
      </c>
      <c r="H8" s="13">
        <f t="shared" ref="H8:M8" si="1">SUM(H2:H7)</f>
        <v>4</v>
      </c>
      <c r="I8" s="13">
        <f t="shared" si="1"/>
        <v>0</v>
      </c>
      <c r="J8" s="13">
        <f t="shared" si="1"/>
        <v>5</v>
      </c>
      <c r="K8" s="13">
        <f t="shared" si="1"/>
        <v>1</v>
      </c>
      <c r="L8" s="13">
        <f t="shared" si="1"/>
        <v>3</v>
      </c>
      <c r="M8" s="13">
        <f t="shared" si="1"/>
        <v>2</v>
      </c>
    </row>
    <row r="9">
      <c r="H9" s="14">
        <v>43922.0</v>
      </c>
      <c r="I9" s="14">
        <v>43892.0</v>
      </c>
      <c r="J9" s="15" t="s">
        <v>66</v>
      </c>
      <c r="K9" s="14">
        <v>43892.0</v>
      </c>
      <c r="L9" s="15" t="s">
        <v>66</v>
      </c>
      <c r="M9" s="14">
        <v>43892.0</v>
      </c>
    </row>
    <row r="10">
      <c r="A10" s="2"/>
      <c r="B10" s="2"/>
      <c r="C10" s="2"/>
      <c r="D10" s="2"/>
      <c r="F10" s="3"/>
      <c r="G10" s="5"/>
      <c r="H10" s="6"/>
      <c r="I10" s="6"/>
      <c r="J10" s="6"/>
      <c r="K10" s="6"/>
      <c r="L10" s="6"/>
      <c r="M10" s="6"/>
    </row>
    <row r="11">
      <c r="A11" s="2" t="s">
        <v>68</v>
      </c>
      <c r="F11" s="3" t="s">
        <v>3</v>
      </c>
      <c r="G11" s="5" t="s">
        <v>6</v>
      </c>
      <c r="H11" s="6" t="s">
        <v>69</v>
      </c>
      <c r="I11" s="6" t="s">
        <v>70</v>
      </c>
      <c r="J11" s="6" t="s">
        <v>71</v>
      </c>
      <c r="K11" s="6" t="s">
        <v>72</v>
      </c>
      <c r="L11" s="6" t="s">
        <v>73</v>
      </c>
      <c r="M11" s="6" t="s">
        <v>74</v>
      </c>
    </row>
    <row r="12">
      <c r="A12" s="4" t="s">
        <v>5</v>
      </c>
      <c r="B12" s="4" t="s">
        <v>7</v>
      </c>
      <c r="C12" s="4" t="s">
        <v>8</v>
      </c>
      <c r="D12" s="4" t="s">
        <v>10</v>
      </c>
      <c r="F12" s="4">
        <v>1.0</v>
      </c>
      <c r="G12" s="5" t="s">
        <v>75</v>
      </c>
      <c r="H12" s="7"/>
      <c r="I12" s="6">
        <v>0.0</v>
      </c>
      <c r="J12" s="6">
        <v>1.0</v>
      </c>
      <c r="K12" s="6">
        <v>1.0</v>
      </c>
      <c r="L12" s="6">
        <v>1.0</v>
      </c>
      <c r="M12" s="6">
        <v>1.0</v>
      </c>
    </row>
    <row r="13">
      <c r="A13" s="4">
        <v>1.0</v>
      </c>
      <c r="B13" s="4" t="s">
        <v>12</v>
      </c>
      <c r="C13" s="4" t="s">
        <v>14</v>
      </c>
      <c r="D13" s="4" t="s">
        <v>16</v>
      </c>
      <c r="F13" s="4">
        <v>2.0</v>
      </c>
      <c r="G13" s="5" t="s">
        <v>70</v>
      </c>
      <c r="H13" s="6">
        <v>1.0</v>
      </c>
      <c r="I13" s="7"/>
      <c r="J13" s="6">
        <v>1.0</v>
      </c>
      <c r="K13" s="6">
        <v>0.0</v>
      </c>
      <c r="L13" s="6">
        <v>1.0</v>
      </c>
      <c r="M13" s="6">
        <v>0.0</v>
      </c>
    </row>
    <row r="14">
      <c r="A14" s="4">
        <v>2.0</v>
      </c>
      <c r="B14" s="4" t="s">
        <v>19</v>
      </c>
      <c r="C14" s="4" t="s">
        <v>20</v>
      </c>
      <c r="D14" s="4" t="s">
        <v>21</v>
      </c>
      <c r="F14" s="4">
        <v>3.0</v>
      </c>
      <c r="G14" s="5" t="s">
        <v>71</v>
      </c>
      <c r="H14" s="6">
        <v>0.0</v>
      </c>
      <c r="I14" s="6">
        <v>0.0</v>
      </c>
      <c r="J14" s="7"/>
      <c r="K14" s="6">
        <v>1.0</v>
      </c>
      <c r="L14" s="6">
        <v>0.0</v>
      </c>
      <c r="M14" s="6">
        <v>1.0</v>
      </c>
    </row>
    <row r="15">
      <c r="A15" s="4">
        <v>3.0</v>
      </c>
      <c r="B15" s="4" t="s">
        <v>22</v>
      </c>
      <c r="C15" s="4" t="s">
        <v>23</v>
      </c>
      <c r="D15" s="4" t="s">
        <v>24</v>
      </c>
      <c r="F15" s="4">
        <v>4.0</v>
      </c>
      <c r="G15" s="5" t="s">
        <v>72</v>
      </c>
      <c r="H15" s="6">
        <v>0.0</v>
      </c>
      <c r="I15" s="6">
        <v>1.0</v>
      </c>
      <c r="J15" s="6">
        <v>0.0</v>
      </c>
      <c r="K15" s="7"/>
      <c r="L15" s="6">
        <v>1.0</v>
      </c>
      <c r="M15" s="6">
        <v>0.0</v>
      </c>
    </row>
    <row r="16">
      <c r="A16" s="4">
        <v>4.0</v>
      </c>
      <c r="B16" s="4" t="s">
        <v>26</v>
      </c>
      <c r="C16" s="4" t="s">
        <v>27</v>
      </c>
      <c r="D16" s="4" t="s">
        <v>28</v>
      </c>
      <c r="F16" s="4">
        <v>5.0</v>
      </c>
      <c r="G16" s="5" t="s">
        <v>73</v>
      </c>
      <c r="H16" s="6">
        <v>0.0</v>
      </c>
      <c r="I16" s="6">
        <v>0.0</v>
      </c>
      <c r="J16" s="6">
        <v>1.0</v>
      </c>
      <c r="K16" s="6">
        <v>0.0</v>
      </c>
      <c r="L16" s="7"/>
      <c r="M16" s="6">
        <v>0.0</v>
      </c>
    </row>
    <row r="17">
      <c r="A17" s="4">
        <v>5.0</v>
      </c>
      <c r="B17" s="4" t="s">
        <v>29</v>
      </c>
      <c r="C17" s="4" t="s">
        <v>30</v>
      </c>
      <c r="D17" s="4" t="s">
        <v>31</v>
      </c>
      <c r="F17" s="4">
        <v>6.0</v>
      </c>
      <c r="G17" s="5" t="s">
        <v>76</v>
      </c>
      <c r="H17" s="6">
        <v>0.0</v>
      </c>
      <c r="I17" s="6">
        <v>1.0</v>
      </c>
      <c r="J17" s="6">
        <v>0.0</v>
      </c>
      <c r="K17" s="6">
        <v>1.0</v>
      </c>
      <c r="L17" s="6">
        <v>1.0</v>
      </c>
      <c r="M17" s="7"/>
    </row>
    <row r="18">
      <c r="F18" s="6" t="s">
        <v>77</v>
      </c>
      <c r="H18" s="13">
        <f t="shared" ref="H18:M18" si="2">SUM(H12:H17)</f>
        <v>1</v>
      </c>
      <c r="I18" s="13">
        <f t="shared" si="2"/>
        <v>2</v>
      </c>
      <c r="J18" s="13">
        <f t="shared" si="2"/>
        <v>3</v>
      </c>
      <c r="K18" s="13">
        <f t="shared" si="2"/>
        <v>3</v>
      </c>
      <c r="L18" s="13">
        <f t="shared" si="2"/>
        <v>4</v>
      </c>
      <c r="M18" s="13">
        <f t="shared" si="2"/>
        <v>2</v>
      </c>
    </row>
    <row r="19">
      <c r="H19" s="14">
        <v>43922.0</v>
      </c>
      <c r="I19" s="15" t="s">
        <v>66</v>
      </c>
      <c r="J19" s="14">
        <v>43892.0</v>
      </c>
      <c r="K19" s="15" t="s">
        <v>66</v>
      </c>
      <c r="L19" s="16">
        <v>43892.0</v>
      </c>
      <c r="M19" s="15" t="s">
        <v>66</v>
      </c>
    </row>
    <row r="25">
      <c r="A25" s="4"/>
      <c r="B25" s="4"/>
      <c r="C25" s="5"/>
      <c r="D25" s="4"/>
    </row>
  </sheetData>
  <mergeCells count="4">
    <mergeCell ref="A1:D1"/>
    <mergeCell ref="F8:G8"/>
    <mergeCell ref="A11:D11"/>
    <mergeCell ref="F18:G18"/>
  </mergeCells>
  <conditionalFormatting sqref="H2:M7">
    <cfRule type="cellIs" dxfId="1" priority="1" operator="equal">
      <formula>1</formula>
    </cfRule>
  </conditionalFormatting>
  <conditionalFormatting sqref="H12:M17">
    <cfRule type="cellIs" dxfId="1" priority="2" operator="equal">
      <formula>1</formula>
    </cfRule>
  </conditionalFormatting>
  <conditionalFormatting sqref="H12:M17">
    <cfRule type="cellIs" dxfId="0" priority="3" operator="equal">
      <formula>0</formula>
    </cfRule>
  </conditionalFormatting>
  <conditionalFormatting sqref="H2:M7">
    <cfRule type="cellIs" dxfId="0" priority="4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 t="s">
        <v>5</v>
      </c>
      <c r="B2" s="4" t="s">
        <v>7</v>
      </c>
      <c r="C2" s="4" t="s">
        <v>8</v>
      </c>
      <c r="D2" s="4" t="s">
        <v>10</v>
      </c>
    </row>
    <row r="3">
      <c r="A3" s="4">
        <v>1.0</v>
      </c>
      <c r="B3" s="4" t="s">
        <v>12</v>
      </c>
      <c r="C3" s="4" t="s">
        <v>14</v>
      </c>
      <c r="D3" s="4" t="s">
        <v>16</v>
      </c>
    </row>
    <row r="4">
      <c r="A4" s="4">
        <v>2.0</v>
      </c>
      <c r="B4" s="4" t="s">
        <v>19</v>
      </c>
      <c r="C4" s="4" t="s">
        <v>20</v>
      </c>
      <c r="D4" s="4" t="s">
        <v>21</v>
      </c>
    </row>
    <row r="5">
      <c r="A5" s="4">
        <v>3.0</v>
      </c>
      <c r="B5" s="4" t="s">
        <v>22</v>
      </c>
      <c r="C5" s="4" t="s">
        <v>23</v>
      </c>
      <c r="D5" s="4" t="s">
        <v>24</v>
      </c>
    </row>
    <row r="6">
      <c r="A6" s="4">
        <v>4.0</v>
      </c>
      <c r="B6" s="4" t="s">
        <v>26</v>
      </c>
      <c r="C6" s="4" t="s">
        <v>27</v>
      </c>
      <c r="D6" s="4" t="s">
        <v>28</v>
      </c>
    </row>
    <row r="7">
      <c r="A7" s="4">
        <v>5.0</v>
      </c>
      <c r="B7" s="4" t="s">
        <v>29</v>
      </c>
      <c r="C7" s="4" t="s">
        <v>30</v>
      </c>
      <c r="D7" s="4" t="s">
        <v>31</v>
      </c>
    </row>
    <row r="8">
      <c r="A8" s="4"/>
      <c r="B8" s="4"/>
      <c r="C8" s="5"/>
      <c r="D8" s="4"/>
    </row>
    <row r="9">
      <c r="A9" s="3" t="s">
        <v>3</v>
      </c>
      <c r="B9" s="5" t="s">
        <v>6</v>
      </c>
      <c r="C9" s="6" t="s">
        <v>32</v>
      </c>
      <c r="D9" s="6" t="s">
        <v>33</v>
      </c>
      <c r="E9" s="6" t="s">
        <v>35</v>
      </c>
      <c r="F9" s="6" t="s">
        <v>37</v>
      </c>
      <c r="G9" s="6" t="s">
        <v>39</v>
      </c>
      <c r="H9" s="6" t="s">
        <v>40</v>
      </c>
    </row>
    <row r="10">
      <c r="A10" s="4">
        <v>1.0</v>
      </c>
      <c r="B10" s="5" t="s">
        <v>32</v>
      </c>
      <c r="C10" s="7"/>
      <c r="D10" s="6">
        <v>0.0</v>
      </c>
      <c r="E10" s="6">
        <v>1.0</v>
      </c>
      <c r="F10" s="6">
        <v>0.0</v>
      </c>
      <c r="G10" s="6">
        <v>1.0</v>
      </c>
      <c r="H10" s="6">
        <v>0.0</v>
      </c>
    </row>
    <row r="11">
      <c r="A11" s="4">
        <v>2.0</v>
      </c>
      <c r="B11" s="5" t="s">
        <v>48</v>
      </c>
      <c r="C11" s="6">
        <v>1.0</v>
      </c>
      <c r="D11" s="7"/>
      <c r="E11" s="6">
        <v>1.0</v>
      </c>
      <c r="F11" s="6">
        <v>1.0</v>
      </c>
      <c r="G11" s="6">
        <v>1.0</v>
      </c>
      <c r="H11" s="6">
        <v>0.0</v>
      </c>
    </row>
    <row r="12">
      <c r="A12" s="4">
        <v>3.0</v>
      </c>
      <c r="B12" s="5" t="s">
        <v>35</v>
      </c>
      <c r="C12" s="6">
        <v>0.0</v>
      </c>
      <c r="D12" s="6">
        <v>0.0</v>
      </c>
      <c r="E12" s="7"/>
      <c r="F12" s="6">
        <v>0.0</v>
      </c>
      <c r="G12" s="6">
        <v>1.0</v>
      </c>
      <c r="H12" s="6">
        <v>1.0</v>
      </c>
    </row>
    <row r="13">
      <c r="A13" s="4">
        <v>4.0</v>
      </c>
      <c r="B13" s="5" t="s">
        <v>55</v>
      </c>
      <c r="C13" s="6">
        <v>1.0</v>
      </c>
      <c r="D13" s="6">
        <v>0.0</v>
      </c>
      <c r="E13" s="6">
        <v>1.0</v>
      </c>
      <c r="F13" s="7"/>
      <c r="G13" s="6">
        <v>1.0</v>
      </c>
      <c r="H13" s="6">
        <v>0.0</v>
      </c>
    </row>
    <row r="14">
      <c r="A14" s="4">
        <v>5.0</v>
      </c>
      <c r="B14" s="5" t="s">
        <v>56</v>
      </c>
      <c r="C14" s="6">
        <v>0.0</v>
      </c>
      <c r="D14" s="6">
        <v>0.0</v>
      </c>
      <c r="E14" s="6">
        <v>0.0</v>
      </c>
      <c r="F14" s="6">
        <v>0.0</v>
      </c>
      <c r="G14" s="7"/>
      <c r="H14" s="6">
        <v>0.0</v>
      </c>
    </row>
    <row r="15">
      <c r="A15" s="4">
        <v>6.0</v>
      </c>
      <c r="B15" s="5" t="s">
        <v>57</v>
      </c>
      <c r="C15" s="6">
        <v>1.0</v>
      </c>
      <c r="D15" s="6">
        <v>1.0</v>
      </c>
      <c r="E15" s="6">
        <v>0.0</v>
      </c>
      <c r="F15" s="6">
        <v>1.0</v>
      </c>
      <c r="G15" s="6">
        <v>1.0</v>
      </c>
      <c r="H15" s="7"/>
    </row>
    <row r="16">
      <c r="A16" s="6" t="s">
        <v>58</v>
      </c>
      <c r="C16" s="13">
        <f t="shared" ref="C16:H16" si="1">SUM(C10:C15)</f>
        <v>3</v>
      </c>
      <c r="D16" s="13">
        <f t="shared" si="1"/>
        <v>1</v>
      </c>
      <c r="E16" s="13">
        <f t="shared" si="1"/>
        <v>3</v>
      </c>
      <c r="F16" s="13">
        <f t="shared" si="1"/>
        <v>2</v>
      </c>
      <c r="G16" s="13">
        <f t="shared" si="1"/>
        <v>5</v>
      </c>
      <c r="H16" s="13">
        <f t="shared" si="1"/>
        <v>1</v>
      </c>
    </row>
    <row r="17">
      <c r="C17" s="14">
        <v>43892.0</v>
      </c>
      <c r="D17" s="15" t="s">
        <v>65</v>
      </c>
      <c r="E17" s="14">
        <v>43892.0</v>
      </c>
      <c r="F17" s="14">
        <v>43892.0</v>
      </c>
      <c r="G17" s="14">
        <v>43892.0</v>
      </c>
      <c r="H17" s="14">
        <v>43864.0</v>
      </c>
    </row>
  </sheetData>
  <mergeCells count="2">
    <mergeCell ref="A1:D1"/>
    <mergeCell ref="A16:B16"/>
  </mergeCells>
  <conditionalFormatting sqref="C10:H15">
    <cfRule type="cellIs" dxfId="0" priority="1" operator="equal">
      <formula>0</formula>
    </cfRule>
  </conditionalFormatting>
  <conditionalFormatting sqref="C10:H15">
    <cfRule type="cellIs" dxfId="1" priority="2" operator="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4" t="s">
        <v>5</v>
      </c>
      <c r="B2" s="4" t="s">
        <v>7</v>
      </c>
      <c r="C2" s="4" t="s">
        <v>8</v>
      </c>
      <c r="D2" s="4" t="s">
        <v>10</v>
      </c>
    </row>
    <row r="3">
      <c r="A3" s="4">
        <v>1.0</v>
      </c>
      <c r="B3" s="4" t="s">
        <v>12</v>
      </c>
      <c r="C3" s="4" t="s">
        <v>14</v>
      </c>
      <c r="D3" s="4" t="s">
        <v>16</v>
      </c>
    </row>
    <row r="4">
      <c r="A4" s="4">
        <v>2.0</v>
      </c>
      <c r="B4" s="4" t="s">
        <v>19</v>
      </c>
      <c r="C4" s="4" t="s">
        <v>20</v>
      </c>
      <c r="D4" s="4" t="s">
        <v>21</v>
      </c>
    </row>
    <row r="5">
      <c r="A5" s="4">
        <v>3.0</v>
      </c>
      <c r="B5" s="4" t="s">
        <v>22</v>
      </c>
      <c r="C5" s="4" t="s">
        <v>23</v>
      </c>
      <c r="D5" s="4" t="s">
        <v>24</v>
      </c>
    </row>
    <row r="6">
      <c r="A6" s="4">
        <v>4.0</v>
      </c>
      <c r="B6" s="4" t="s">
        <v>26</v>
      </c>
      <c r="C6" s="4" t="s">
        <v>27</v>
      </c>
      <c r="D6" s="4" t="s">
        <v>28</v>
      </c>
    </row>
    <row r="7">
      <c r="A7" s="4">
        <v>5.0</v>
      </c>
      <c r="B7" s="4" t="s">
        <v>29</v>
      </c>
      <c r="C7" s="4" t="s">
        <v>30</v>
      </c>
      <c r="D7" s="4" t="s">
        <v>31</v>
      </c>
    </row>
    <row r="8">
      <c r="A8" s="4"/>
      <c r="B8" s="4"/>
      <c r="C8" s="5"/>
      <c r="D8" s="4"/>
    </row>
    <row r="9">
      <c r="A9" s="3" t="s">
        <v>3</v>
      </c>
      <c r="B9" s="5" t="s">
        <v>6</v>
      </c>
      <c r="C9" s="6" t="s">
        <v>36</v>
      </c>
      <c r="D9" s="6" t="s">
        <v>38</v>
      </c>
      <c r="E9" s="6" t="s">
        <v>41</v>
      </c>
      <c r="F9" s="6" t="s">
        <v>42</v>
      </c>
      <c r="G9" s="6" t="s">
        <v>43</v>
      </c>
      <c r="H9" s="6" t="s">
        <v>44</v>
      </c>
      <c r="I9" s="6" t="s">
        <v>45</v>
      </c>
      <c r="J9" s="8" t="s">
        <v>46</v>
      </c>
    </row>
    <row r="10">
      <c r="A10" s="4">
        <v>1.0</v>
      </c>
      <c r="B10" s="5" t="s">
        <v>51</v>
      </c>
      <c r="C10" s="9"/>
      <c r="D10" s="10">
        <v>1.0</v>
      </c>
      <c r="E10" s="10">
        <v>0.0</v>
      </c>
      <c r="F10" s="10">
        <v>1.0</v>
      </c>
      <c r="G10" s="10">
        <v>1.0</v>
      </c>
      <c r="H10" s="10">
        <v>1.0</v>
      </c>
      <c r="I10" s="6">
        <v>2.0</v>
      </c>
      <c r="J10" s="12">
        <f t="shared" ref="J10:J15" si="1">SUM(C10:H10)</f>
        <v>4</v>
      </c>
    </row>
    <row r="11">
      <c r="A11" s="4">
        <v>2.0</v>
      </c>
      <c r="B11" s="5" t="s">
        <v>38</v>
      </c>
      <c r="C11" s="10">
        <v>0.0</v>
      </c>
      <c r="D11" s="9"/>
      <c r="E11" s="10">
        <v>0.0</v>
      </c>
      <c r="F11" s="10">
        <v>0.0</v>
      </c>
      <c r="G11" s="10">
        <v>0.0</v>
      </c>
      <c r="H11" s="10">
        <v>0.0</v>
      </c>
      <c r="I11" s="6">
        <v>2.5</v>
      </c>
      <c r="J11" s="12">
        <f t="shared" si="1"/>
        <v>0</v>
      </c>
    </row>
    <row r="12">
      <c r="A12" s="4">
        <v>3.0</v>
      </c>
      <c r="B12" s="5" t="s">
        <v>63</v>
      </c>
      <c r="C12" s="10">
        <v>1.0</v>
      </c>
      <c r="D12" s="10">
        <v>1.0</v>
      </c>
      <c r="E12" s="9"/>
      <c r="F12" s="10">
        <v>1.0</v>
      </c>
      <c r="G12" s="10">
        <v>0.0</v>
      </c>
      <c r="H12" s="10">
        <v>1.0</v>
      </c>
      <c r="I12" s="6">
        <v>2.5</v>
      </c>
      <c r="J12" s="12">
        <f t="shared" si="1"/>
        <v>4</v>
      </c>
    </row>
    <row r="13">
      <c r="A13" s="4">
        <v>4.0</v>
      </c>
      <c r="B13" s="5" t="s">
        <v>64</v>
      </c>
      <c r="C13" s="10">
        <v>0.0</v>
      </c>
      <c r="D13" s="10">
        <v>1.0</v>
      </c>
      <c r="E13" s="10">
        <v>0.0</v>
      </c>
      <c r="F13" s="9"/>
      <c r="G13" s="10">
        <v>0.0</v>
      </c>
      <c r="H13" s="10">
        <v>0.0</v>
      </c>
      <c r="I13" s="6">
        <v>3.0</v>
      </c>
      <c r="J13" s="12">
        <f t="shared" si="1"/>
        <v>1</v>
      </c>
    </row>
    <row r="14">
      <c r="A14" s="4">
        <v>5.0</v>
      </c>
      <c r="B14" s="5" t="s">
        <v>67</v>
      </c>
      <c r="C14" s="10">
        <v>0.0</v>
      </c>
      <c r="D14" s="10">
        <v>1.0</v>
      </c>
      <c r="E14" s="10">
        <v>1.0</v>
      </c>
      <c r="F14" s="10">
        <v>1.0</v>
      </c>
      <c r="G14" s="9"/>
      <c r="H14" s="10">
        <v>1.0</v>
      </c>
      <c r="I14" s="6">
        <v>2.5</v>
      </c>
      <c r="J14" s="12">
        <f t="shared" si="1"/>
        <v>4</v>
      </c>
    </row>
    <row r="15">
      <c r="A15" s="4">
        <v>6.0</v>
      </c>
      <c r="B15" s="5" t="s">
        <v>44</v>
      </c>
      <c r="C15" s="10">
        <v>0.0</v>
      </c>
      <c r="D15" s="10">
        <v>1.0</v>
      </c>
      <c r="E15" s="10">
        <v>0.0</v>
      </c>
      <c r="F15" s="10">
        <v>1.0</v>
      </c>
      <c r="G15" s="10">
        <v>0.0</v>
      </c>
      <c r="H15" s="9"/>
      <c r="I15" s="6">
        <v>2.0</v>
      </c>
      <c r="J15" s="12">
        <f t="shared" si="1"/>
        <v>2</v>
      </c>
    </row>
    <row r="16">
      <c r="C16" s="13">
        <f t="shared" ref="C16:H16" si="2">SUM(C11:C15)</f>
        <v>1</v>
      </c>
      <c r="D16" s="13">
        <f t="shared" si="2"/>
        <v>4</v>
      </c>
      <c r="E16" s="13">
        <f t="shared" si="2"/>
        <v>1</v>
      </c>
      <c r="F16" s="13">
        <f t="shared" si="2"/>
        <v>3</v>
      </c>
      <c r="G16" s="13">
        <f t="shared" si="2"/>
        <v>0</v>
      </c>
      <c r="H16" s="13">
        <f t="shared" si="2"/>
        <v>2</v>
      </c>
    </row>
    <row r="17">
      <c r="C17" s="16"/>
      <c r="D17" s="15"/>
      <c r="E17" s="15"/>
      <c r="F17" s="15"/>
      <c r="G17" s="15"/>
      <c r="H17" s="16"/>
    </row>
  </sheetData>
  <mergeCells count="2">
    <mergeCell ref="A1:D1"/>
    <mergeCell ref="A16:B16"/>
  </mergeCells>
  <conditionalFormatting sqref="C10:H15">
    <cfRule type="cellIs" dxfId="1" priority="1" operator="equal">
      <formula>1</formula>
    </cfRule>
  </conditionalFormatting>
  <conditionalFormatting sqref="C10:H15">
    <cfRule type="cellIs" dxfId="0" priority="2" operator="equal">
      <formula>0</formula>
    </cfRule>
  </conditionalFormatting>
  <conditionalFormatting sqref="C10:H15">
    <cfRule type="cellIs" dxfId="2" priority="3" operator="equal">
      <formula>0.5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</row>
    <row r="2">
      <c r="A2" s="4" t="s">
        <v>5</v>
      </c>
      <c r="B2" s="4" t="s">
        <v>7</v>
      </c>
      <c r="C2" s="4" t="s">
        <v>8</v>
      </c>
      <c r="D2" s="4" t="s">
        <v>10</v>
      </c>
    </row>
    <row r="3">
      <c r="A3" s="4">
        <v>1.0</v>
      </c>
      <c r="B3" s="4" t="s">
        <v>12</v>
      </c>
      <c r="C3" s="4" t="s">
        <v>14</v>
      </c>
      <c r="D3" s="4" t="s">
        <v>16</v>
      </c>
    </row>
    <row r="4">
      <c r="A4" s="4">
        <v>2.0</v>
      </c>
      <c r="B4" s="4" t="s">
        <v>19</v>
      </c>
      <c r="C4" s="4" t="s">
        <v>20</v>
      </c>
      <c r="D4" s="4" t="s">
        <v>21</v>
      </c>
    </row>
    <row r="5">
      <c r="A5" s="4">
        <v>3.0</v>
      </c>
      <c r="B5" s="4" t="s">
        <v>22</v>
      </c>
      <c r="C5" s="4" t="s">
        <v>23</v>
      </c>
      <c r="D5" s="4" t="s">
        <v>24</v>
      </c>
    </row>
    <row r="6">
      <c r="A6" s="4">
        <v>4.0</v>
      </c>
      <c r="B6" s="4" t="s">
        <v>26</v>
      </c>
      <c r="C6" s="4" t="s">
        <v>27</v>
      </c>
      <c r="D6" s="4" t="s">
        <v>28</v>
      </c>
    </row>
    <row r="7">
      <c r="A7" s="4">
        <v>5.0</v>
      </c>
      <c r="B7" s="4" t="s">
        <v>29</v>
      </c>
      <c r="C7" s="4" t="s">
        <v>30</v>
      </c>
      <c r="D7" s="4" t="s">
        <v>31</v>
      </c>
    </row>
    <row r="8">
      <c r="A8" s="4"/>
      <c r="B8" s="4"/>
      <c r="C8" s="5"/>
      <c r="D8" s="4"/>
    </row>
    <row r="9">
      <c r="A9" s="3" t="s">
        <v>3</v>
      </c>
      <c r="B9" s="5" t="s">
        <v>6</v>
      </c>
      <c r="C9" s="6" t="s">
        <v>47</v>
      </c>
      <c r="D9" s="6" t="s">
        <v>49</v>
      </c>
      <c r="E9" s="6" t="s">
        <v>50</v>
      </c>
      <c r="F9" s="6" t="s">
        <v>52</v>
      </c>
      <c r="G9" s="6" t="s">
        <v>53</v>
      </c>
      <c r="H9" s="6" t="s">
        <v>54</v>
      </c>
      <c r="I9" s="6" t="s">
        <v>45</v>
      </c>
      <c r="J9" s="8" t="s">
        <v>46</v>
      </c>
    </row>
    <row r="10">
      <c r="A10" s="4">
        <v>1.0</v>
      </c>
      <c r="B10" s="5" t="s">
        <v>47</v>
      </c>
      <c r="C10" s="7"/>
      <c r="D10" s="6">
        <v>1.0</v>
      </c>
      <c r="E10" s="6">
        <v>1.0</v>
      </c>
      <c r="F10" s="6">
        <v>1.0</v>
      </c>
      <c r="G10" s="6">
        <v>1.0</v>
      </c>
      <c r="H10" s="6">
        <v>1.0</v>
      </c>
      <c r="I10" s="6">
        <v>1.0</v>
      </c>
      <c r="J10" s="12">
        <f t="shared" ref="J10:J15" si="1">SUM(B10:H10)</f>
        <v>5</v>
      </c>
    </row>
    <row r="11">
      <c r="A11" s="4">
        <v>2.0</v>
      </c>
      <c r="B11" s="5" t="s">
        <v>61</v>
      </c>
      <c r="C11" s="6">
        <v>0.0</v>
      </c>
      <c r="D11" s="7"/>
      <c r="E11" s="6">
        <v>0.0</v>
      </c>
      <c r="F11" s="6">
        <v>0.0</v>
      </c>
      <c r="G11" s="6">
        <v>0.0</v>
      </c>
      <c r="H11" s="6">
        <v>0.0</v>
      </c>
      <c r="I11" s="6">
        <v>1.0</v>
      </c>
      <c r="J11" s="12">
        <f t="shared" si="1"/>
        <v>0</v>
      </c>
    </row>
    <row r="12">
      <c r="A12" s="4">
        <v>3.0</v>
      </c>
      <c r="B12" s="5" t="s">
        <v>62</v>
      </c>
      <c r="C12" s="6">
        <v>0.0</v>
      </c>
      <c r="D12" s="6">
        <v>1.0</v>
      </c>
      <c r="E12" s="7"/>
      <c r="F12" s="6">
        <v>1.0</v>
      </c>
      <c r="G12" s="6">
        <v>1.0</v>
      </c>
      <c r="H12" s="6">
        <v>1.0</v>
      </c>
      <c r="I12" s="15">
        <v>1.5</v>
      </c>
      <c r="J12" s="12">
        <f t="shared" si="1"/>
        <v>4</v>
      </c>
    </row>
    <row r="13">
      <c r="A13" s="4">
        <v>4.0</v>
      </c>
      <c r="B13" s="5" t="s">
        <v>52</v>
      </c>
      <c r="C13" s="6">
        <v>0.0</v>
      </c>
      <c r="D13" s="6">
        <v>1.0</v>
      </c>
      <c r="E13" s="6">
        <v>0.0</v>
      </c>
      <c r="F13" s="7"/>
      <c r="G13" s="6">
        <v>1.0</v>
      </c>
      <c r="H13" s="6">
        <v>1.0</v>
      </c>
      <c r="I13" s="6">
        <v>1.0</v>
      </c>
      <c r="J13" s="12">
        <f t="shared" si="1"/>
        <v>3</v>
      </c>
    </row>
    <row r="14">
      <c r="A14" s="4">
        <v>5.0</v>
      </c>
      <c r="B14" s="5" t="s">
        <v>53</v>
      </c>
      <c r="C14" s="6">
        <v>0.0</v>
      </c>
      <c r="D14" s="6">
        <v>1.0</v>
      </c>
      <c r="E14" s="6">
        <v>0.0</v>
      </c>
      <c r="F14" s="6">
        <v>0.0</v>
      </c>
      <c r="G14" s="7"/>
      <c r="H14" s="6">
        <v>0.5</v>
      </c>
      <c r="I14" s="6">
        <v>1.0</v>
      </c>
      <c r="J14" s="12">
        <f t="shared" si="1"/>
        <v>1.5</v>
      </c>
    </row>
    <row r="15">
      <c r="A15" s="4">
        <v>6.0</v>
      </c>
      <c r="B15" s="5" t="s">
        <v>54</v>
      </c>
      <c r="C15" s="6">
        <v>0.0</v>
      </c>
      <c r="D15" s="6">
        <v>1.0</v>
      </c>
      <c r="E15" s="6">
        <v>0.0</v>
      </c>
      <c r="F15" s="6">
        <v>0.0</v>
      </c>
      <c r="G15" s="6">
        <v>0.5</v>
      </c>
      <c r="H15" s="7"/>
      <c r="I15" s="6">
        <v>2.0</v>
      </c>
      <c r="J15" s="12">
        <f t="shared" si="1"/>
        <v>1.5</v>
      </c>
    </row>
    <row r="16">
      <c r="C16" s="13">
        <f t="shared" ref="C16:H16" si="2">SUM(C11:C15)</f>
        <v>0</v>
      </c>
      <c r="D16" s="13">
        <f t="shared" si="2"/>
        <v>4</v>
      </c>
      <c r="E16" s="13">
        <f t="shared" si="2"/>
        <v>0</v>
      </c>
      <c r="F16" s="13">
        <f t="shared" si="2"/>
        <v>1</v>
      </c>
      <c r="G16" s="13">
        <f t="shared" si="2"/>
        <v>2.5</v>
      </c>
      <c r="H16" s="13">
        <f t="shared" si="2"/>
        <v>2.5</v>
      </c>
    </row>
    <row r="17">
      <c r="C17" s="16"/>
      <c r="D17" s="16"/>
      <c r="E17" s="15"/>
      <c r="F17" s="16"/>
      <c r="G17" s="16"/>
      <c r="H17" s="16"/>
    </row>
  </sheetData>
  <mergeCells count="2">
    <mergeCell ref="A1:D1"/>
    <mergeCell ref="A16:B16"/>
  </mergeCells>
  <conditionalFormatting sqref="C10:H15">
    <cfRule type="cellIs" dxfId="1" priority="1" operator="equal">
      <formula>1</formula>
    </cfRule>
  </conditionalFormatting>
  <conditionalFormatting sqref="C10:H15">
    <cfRule type="cellIs" dxfId="2" priority="2" operator="equal">
      <formula>0.5</formula>
    </cfRule>
  </conditionalFormatting>
  <conditionalFormatting sqref="C10:H15">
    <cfRule type="cellIs" dxfId="0" priority="3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78</v>
      </c>
    </row>
    <row r="2">
      <c r="A2" s="4" t="s">
        <v>5</v>
      </c>
      <c r="B2" s="4" t="s">
        <v>7</v>
      </c>
      <c r="C2" s="4" t="s">
        <v>8</v>
      </c>
      <c r="D2" s="4" t="s">
        <v>10</v>
      </c>
    </row>
    <row r="3">
      <c r="A3" s="4">
        <v>1.0</v>
      </c>
      <c r="B3" s="4" t="s">
        <v>12</v>
      </c>
      <c r="C3" s="4" t="s">
        <v>14</v>
      </c>
      <c r="D3" s="4" t="s">
        <v>16</v>
      </c>
    </row>
    <row r="4">
      <c r="A4" s="4">
        <v>2.0</v>
      </c>
      <c r="B4" s="4" t="s">
        <v>19</v>
      </c>
      <c r="C4" s="4" t="s">
        <v>20</v>
      </c>
      <c r="D4" s="4" t="s">
        <v>21</v>
      </c>
    </row>
    <row r="5">
      <c r="A5" s="4">
        <v>3.0</v>
      </c>
      <c r="B5" s="4" t="s">
        <v>22</v>
      </c>
      <c r="C5" s="4" t="s">
        <v>23</v>
      </c>
      <c r="D5" s="4" t="s">
        <v>24</v>
      </c>
    </row>
    <row r="6">
      <c r="A6" s="4">
        <v>4.0</v>
      </c>
      <c r="B6" s="4" t="s">
        <v>26</v>
      </c>
      <c r="C6" s="4" t="s">
        <v>27</v>
      </c>
      <c r="D6" s="4" t="s">
        <v>28</v>
      </c>
    </row>
    <row r="7">
      <c r="A7" s="4">
        <v>5.0</v>
      </c>
      <c r="B7" s="4" t="s">
        <v>29</v>
      </c>
      <c r="C7" s="4" t="s">
        <v>30</v>
      </c>
      <c r="D7" s="4" t="s">
        <v>31</v>
      </c>
    </row>
    <row r="8">
      <c r="A8" s="4"/>
      <c r="B8" s="4"/>
      <c r="C8" s="5"/>
      <c r="D8" s="4"/>
    </row>
    <row r="9">
      <c r="A9" s="3" t="s">
        <v>3</v>
      </c>
      <c r="B9" s="5" t="s">
        <v>6</v>
      </c>
      <c r="C9" s="6" t="s">
        <v>79</v>
      </c>
      <c r="D9" s="6" t="s">
        <v>80</v>
      </c>
      <c r="E9" s="6" t="s">
        <v>81</v>
      </c>
      <c r="F9" s="6" t="s">
        <v>82</v>
      </c>
      <c r="G9" s="6" t="s">
        <v>83</v>
      </c>
      <c r="H9" s="6" t="s">
        <v>84</v>
      </c>
    </row>
    <row r="10">
      <c r="A10" s="4">
        <v>1.0</v>
      </c>
      <c r="B10" s="5" t="s">
        <v>85</v>
      </c>
      <c r="C10" s="7"/>
      <c r="D10" s="6">
        <v>0.0</v>
      </c>
      <c r="G10" s="6">
        <v>0.0</v>
      </c>
      <c r="H10" s="6">
        <v>0.0</v>
      </c>
    </row>
    <row r="11">
      <c r="A11" s="4">
        <v>2.0</v>
      </c>
      <c r="B11" s="5" t="s">
        <v>80</v>
      </c>
      <c r="C11" s="6">
        <v>1.0</v>
      </c>
      <c r="D11" s="7"/>
      <c r="F11" s="6">
        <v>1.0</v>
      </c>
      <c r="G11" s="6">
        <v>1.0</v>
      </c>
      <c r="H11" s="6">
        <v>1.0</v>
      </c>
    </row>
    <row r="12">
      <c r="A12" s="4">
        <v>3.0</v>
      </c>
      <c r="B12" s="5" t="s">
        <v>86</v>
      </c>
      <c r="E12" s="7"/>
      <c r="F12" s="6">
        <v>0.0</v>
      </c>
      <c r="G12" s="6">
        <v>0.0</v>
      </c>
      <c r="H12" s="6">
        <v>0.0</v>
      </c>
    </row>
    <row r="13">
      <c r="A13" s="4">
        <v>4.0</v>
      </c>
      <c r="B13" s="5" t="s">
        <v>87</v>
      </c>
      <c r="D13" s="6">
        <v>0.0</v>
      </c>
      <c r="E13" s="6">
        <v>1.0</v>
      </c>
      <c r="F13" s="7"/>
      <c r="G13" s="6">
        <v>1.0</v>
      </c>
      <c r="H13" s="6">
        <v>1.0</v>
      </c>
    </row>
    <row r="14">
      <c r="A14" s="4">
        <v>5.0</v>
      </c>
      <c r="B14" s="5" t="s">
        <v>88</v>
      </c>
      <c r="C14" s="6">
        <v>1.0</v>
      </c>
      <c r="D14" s="6">
        <v>0.0</v>
      </c>
      <c r="E14" s="6">
        <v>1.0</v>
      </c>
      <c r="F14" s="6">
        <v>0.0</v>
      </c>
      <c r="G14" s="7"/>
      <c r="H14" s="6">
        <v>9.0</v>
      </c>
    </row>
    <row r="15">
      <c r="A15" s="4">
        <v>6.0</v>
      </c>
      <c r="B15" s="5" t="s">
        <v>89</v>
      </c>
      <c r="C15" s="6">
        <v>1.0</v>
      </c>
      <c r="D15" s="6">
        <v>0.0</v>
      </c>
      <c r="E15" s="6">
        <v>1.0</v>
      </c>
      <c r="F15" s="6">
        <v>0.0</v>
      </c>
      <c r="G15" s="6">
        <v>1.0</v>
      </c>
      <c r="H15" s="7"/>
    </row>
    <row r="16">
      <c r="A16" s="6" t="s">
        <v>58</v>
      </c>
      <c r="C16" s="13">
        <f t="shared" ref="C16:H16" si="1">SUM(C10:C15)</f>
        <v>3</v>
      </c>
      <c r="D16" s="13">
        <f t="shared" si="1"/>
        <v>0</v>
      </c>
      <c r="E16" s="13">
        <f t="shared" si="1"/>
        <v>3</v>
      </c>
      <c r="F16" s="13">
        <f t="shared" si="1"/>
        <v>1</v>
      </c>
      <c r="G16" s="13">
        <f t="shared" si="1"/>
        <v>3</v>
      </c>
      <c r="H16" s="13">
        <f t="shared" si="1"/>
        <v>11</v>
      </c>
    </row>
    <row r="17">
      <c r="C17" s="16">
        <v>43834.0</v>
      </c>
      <c r="D17" s="16">
        <v>43834.0</v>
      </c>
      <c r="E17" s="15" t="s">
        <v>65</v>
      </c>
      <c r="F17" s="15" t="s">
        <v>90</v>
      </c>
      <c r="G17" s="15" t="s">
        <v>91</v>
      </c>
      <c r="H17" s="16">
        <v>43834.0</v>
      </c>
    </row>
  </sheetData>
  <mergeCells count="2">
    <mergeCell ref="A1:D1"/>
    <mergeCell ref="A16:B16"/>
  </mergeCells>
  <drawing r:id="rId1"/>
</worksheet>
</file>