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R Schedule" sheetId="1" r:id="rId5"/>
    <sheet state="visible" name="Double Elimination" sheetId="2" r:id="rId6"/>
    <sheet state="visible" name="Round Robin" sheetId="3" r:id="rId7"/>
    <sheet state="hidden" name="Seeding" sheetId="4" r:id="rId8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$&quot;#,##0"/>
  </numFmts>
  <fonts count="28">
    <font>
      <sz val="10.0"/>
      <color rgb="FF000000"/>
      <name val="Arial"/>
      <scheme val="minor"/>
    </font>
    <font>
      <sz val="14.0"/>
      <color theme="1"/>
      <name val="Calibri"/>
    </font>
    <font>
      <b/>
      <sz val="12.0"/>
      <color theme="1"/>
      <name val="Asap"/>
    </font>
    <font>
      <b/>
      <sz val="14.0"/>
      <color theme="1"/>
      <name val="Calibri"/>
    </font>
    <font>
      <sz val="14.0"/>
      <color theme="1"/>
      <name val="Arial"/>
      <scheme val="minor"/>
    </font>
    <font>
      <b/>
      <sz val="14.0"/>
      <color theme="1"/>
      <name val="Asap"/>
    </font>
    <font>
      <sz val="12.0"/>
      <color theme="1"/>
      <name val="Asap"/>
    </font>
    <font>
      <b/>
      <sz val="16.0"/>
      <color theme="1"/>
      <name val="Asap"/>
    </font>
    <font/>
    <font>
      <sz val="10.0"/>
      <color theme="1"/>
      <name val="Asap"/>
    </font>
    <font>
      <color theme="1"/>
      <name val="Arial"/>
    </font>
    <font>
      <sz val="14.0"/>
      <color theme="1"/>
      <name val="Asap"/>
    </font>
    <font>
      <i/>
      <sz val="12.0"/>
      <color theme="1"/>
      <name val="Asap"/>
    </font>
    <font>
      <sz val="18.0"/>
      <color theme="1"/>
      <name val="Asap"/>
    </font>
    <font>
      <sz val="9.0"/>
      <color theme="1"/>
      <name val="Asap"/>
    </font>
    <font>
      <sz val="8.0"/>
      <color theme="1"/>
      <name val="Asap"/>
    </font>
    <font>
      <sz val="16.0"/>
      <color theme="1"/>
      <name val="Asap"/>
    </font>
    <font>
      <b/>
      <sz val="10.0"/>
      <color theme="1"/>
      <name val="Asap"/>
    </font>
    <font>
      <sz val="12.0"/>
      <color rgb="FFE06666"/>
      <name val="Asap"/>
    </font>
    <font>
      <sz val="12.0"/>
      <color rgb="FF000000"/>
      <name val="Asap"/>
    </font>
    <font>
      <color theme="1"/>
      <name val="Asap"/>
    </font>
    <font>
      <sz val="12.0"/>
      <color rgb="FFF4CCCC"/>
      <name val="Asap"/>
    </font>
    <font>
      <sz val="12.0"/>
      <color rgb="FFFFFFFF"/>
      <name val="Asap"/>
    </font>
    <font>
      <sz val="10.0"/>
      <color rgb="FF000000"/>
      <name val="Asap"/>
    </font>
    <font>
      <sz val="11.0"/>
      <color rgb="FF000000"/>
      <name val="Inconsolata"/>
    </font>
    <font>
      <b/>
      <sz val="18.0"/>
      <color rgb="FF000000"/>
      <name val="Asap"/>
    </font>
    <font>
      <b/>
      <color rgb="FF000000"/>
      <name val="Arial"/>
      <scheme val="minor"/>
    </font>
    <font>
      <color rgb="FF000000"/>
      <name val="Asap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8CAC5"/>
        <bgColor rgb="FFF8CAC5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48">
    <border/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D9D9D9"/>
      </right>
      <top style="double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double">
        <color rgb="FF000000"/>
      </top>
      <bottom style="thin">
        <color rgb="FF000000"/>
      </bottom>
    </border>
    <border>
      <left style="thin">
        <color rgb="FFD9D9D9"/>
      </left>
      <top style="double">
        <color rgb="FF000000"/>
      </top>
      <bottom style="thin">
        <color rgb="FF000000"/>
      </bottom>
    </border>
    <border>
      <left style="thin">
        <color rgb="FFD9D9D9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medium">
        <color rgb="FF000000"/>
      </right>
      <top style="thin">
        <color rgb="FFB7B7B7"/>
      </top>
      <bottom style="thin">
        <color rgb="FFB7B7B7"/>
      </bottom>
    </border>
    <border>
      <right style="double">
        <color rgb="FF000000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double">
        <color rgb="FF000000"/>
      </right>
      <bottom style="thin">
        <color rgb="FFB7B7B7"/>
      </bottom>
    </border>
    <border>
      <bottom style="double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medium">
        <color rgb="FF000000"/>
      </right>
      <bottom style="thin">
        <color rgb="FFB7B7B7"/>
      </bottom>
    </border>
    <border>
      <left style="double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FFFFFF"/>
      </bottom>
    </border>
    <border>
      <right style="double">
        <color rgb="FF000000"/>
      </right>
      <bottom style="thin">
        <color rgb="FFFFFFFF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EA9999"/>
      </right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left style="double">
        <color rgb="FF000000"/>
      </left>
      <right style="medium">
        <color rgb="FF000000"/>
      </right>
      <top style="thin">
        <color rgb="FFB7B7B7"/>
      </top>
      <bottom style="double">
        <color rgb="FF000000"/>
      </bottom>
    </border>
    <border>
      <left style="thin">
        <color rgb="FFB7B7B7"/>
      </left>
      <right style="thin">
        <color rgb="FFB7B7B7"/>
      </right>
      <bottom style="double">
        <color rgb="FF000000"/>
      </bottom>
    </border>
    <border>
      <left style="thin">
        <color rgb="FFB7B7B7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top style="thin">
        <color rgb="FF000000"/>
      </top>
      <bottom style="thin">
        <color rgb="FFB7B7B7"/>
      </bottom>
    </border>
    <border>
      <right style="thin">
        <color rgb="FFCCCCCC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hair">
        <color rgb="FFB7B7B7"/>
      </right>
      <top style="thin">
        <color rgb="FFB7B7B7"/>
      </top>
      <bottom style="thin">
        <color rgb="FFB7B7B7"/>
      </bottom>
    </border>
    <border>
      <left style="hair">
        <color rgb="FFCCCCCC"/>
      </left>
      <right style="thin">
        <color rgb="FFCCCCCC"/>
      </right>
      <bottom style="thin">
        <color rgb="FFB7B7B7"/>
      </bottom>
    </border>
    <border>
      <left style="hair">
        <color rgb="FFCCCCCC"/>
      </left>
      <bottom style="thin">
        <color rgb="FFB7B7B7"/>
      </bottom>
    </border>
    <border>
      <right style="hair">
        <color rgb="FFB7B7B7"/>
      </right>
      <top style="thin">
        <color rgb="FFCCCCCC"/>
      </top>
    </border>
    <border>
      <left style="hair">
        <color rgb="FFCCCCCC"/>
      </left>
      <right style="thin">
        <color rgb="FFCCCCCC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B7B7B7"/>
      </top>
      <bottom style="thin">
        <color rgb="FFB7B7B7"/>
      </bottom>
    </border>
    <border>
      <left style="hair">
        <color rgb="FFCCCCCC"/>
      </left>
      <top style="thin">
        <color rgb="FFB7B7B7"/>
      </top>
      <bottom style="thin">
        <color rgb="FFB7B7B7"/>
      </bottom>
    </border>
    <border>
      <left style="thin">
        <color rgb="FFCCCCCC"/>
      </left>
      <right style="hair">
        <color rgb="FFB7B7B7"/>
      </right>
      <top style="thin">
        <color rgb="FFCCCCCC"/>
      </top>
    </border>
    <border>
      <left style="hair">
        <color rgb="FFCCCCCC"/>
      </left>
      <right style="thin">
        <color rgb="FFCCCCCC"/>
      </right>
      <top style="thin">
        <color rgb="FFB7B7B7"/>
      </top>
    </border>
    <border>
      <top style="thin">
        <color rgb="FFB7B7B7"/>
      </top>
    </border>
    <border>
      <right style="thin">
        <color rgb="FFCCCCCC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double">
        <color rgb="FF000000"/>
      </left>
      <bottom style="double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/>
    </xf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vertical="bottom"/>
    </xf>
    <xf borderId="6" fillId="0" fontId="2" numFmtId="0" xfId="0" applyAlignment="1" applyBorder="1" applyFont="1">
      <alignment horizontal="center" readingOrder="0" vertical="bottom"/>
    </xf>
    <xf borderId="7" fillId="0" fontId="8" numFmtId="0" xfId="0" applyBorder="1" applyFont="1"/>
    <xf borderId="0" fillId="0" fontId="1" numFmtId="164" xfId="0" applyAlignment="1" applyFont="1" applyNumberFormat="1">
      <alignment horizontal="center" vertical="bottom"/>
    </xf>
    <xf borderId="8" fillId="0" fontId="2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center" wrapText="0"/>
    </xf>
    <xf borderId="9" fillId="0" fontId="2" numFmtId="0" xfId="0" applyAlignment="1" applyBorder="1" applyFont="1">
      <alignment readingOrder="0" shrinkToFit="0" vertical="bottom" wrapText="0"/>
    </xf>
    <xf borderId="10" fillId="0" fontId="7" numFmtId="0" xfId="0" applyAlignment="1" applyBorder="1" applyFont="1">
      <alignment horizontal="center" vertical="center"/>
    </xf>
    <xf borderId="10" fillId="0" fontId="8" numFmtId="0" xfId="0" applyBorder="1" applyFont="1"/>
    <xf borderId="0" fillId="0" fontId="9" numFmtId="0" xfId="0" applyAlignment="1" applyFont="1">
      <alignment shrinkToFit="0" vertical="bottom" wrapText="0"/>
    </xf>
    <xf borderId="8" fillId="0" fontId="6" numFmtId="0" xfId="0" applyAlignment="1" applyBorder="1" applyFont="1">
      <alignment readingOrder="0" shrinkToFit="0" vertical="bottom" wrapText="0"/>
    </xf>
    <xf borderId="9" fillId="0" fontId="6" numFmtId="0" xfId="0" applyAlignment="1" applyBorder="1" applyFont="1">
      <alignment readingOrder="0" shrinkToFit="0" vertical="bottom" wrapText="0"/>
    </xf>
    <xf borderId="11" fillId="0" fontId="10" numFmtId="0" xfId="0" applyAlignment="1" applyBorder="1" applyFont="1">
      <alignment vertical="bottom"/>
    </xf>
    <xf borderId="12" fillId="0" fontId="2" numFmtId="0" xfId="0" applyAlignment="1" applyBorder="1" applyFont="1">
      <alignment horizontal="center" vertical="bottom"/>
    </xf>
    <xf borderId="0" fillId="0" fontId="11" numFmtId="0" xfId="0" applyAlignment="1" applyFont="1">
      <alignment shrinkToFit="0" wrapText="0"/>
    </xf>
    <xf borderId="13" fillId="0" fontId="2" numFmtId="0" xfId="0" applyAlignment="1" applyBorder="1" applyFont="1">
      <alignment horizontal="center" vertical="bottom"/>
    </xf>
    <xf borderId="0" fillId="0" fontId="11" numFmtId="0" xfId="0" applyAlignment="1" applyFont="1">
      <alignment horizontal="left" shrinkToFit="0" wrapText="0"/>
    </xf>
    <xf borderId="14" fillId="0" fontId="2" numFmtId="0" xfId="0" applyAlignment="1" applyBorder="1" applyFont="1">
      <alignment horizontal="center" vertical="bottom"/>
    </xf>
    <xf borderId="15" fillId="0" fontId="2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readingOrder="0" shrinkToFit="0" vertical="center" wrapText="0"/>
    </xf>
    <xf borderId="16" fillId="0" fontId="2" numFmtId="0" xfId="0" applyAlignment="1" applyBorder="1" applyFont="1">
      <alignment horizontal="center" vertical="bottom"/>
    </xf>
    <xf borderId="17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0" fillId="0" fontId="6" numFmtId="0" xfId="0" applyFont="1"/>
    <xf borderId="0" fillId="0" fontId="12" numFmtId="0" xfId="0" applyAlignment="1" applyFont="1">
      <alignment shrinkToFit="0" vertical="center" wrapText="0"/>
    </xf>
    <xf borderId="17" fillId="0" fontId="6" numFmtId="0" xfId="0" applyAlignment="1" applyBorder="1" applyFont="1">
      <alignment horizontal="center" vertical="bottom"/>
    </xf>
    <xf borderId="18" fillId="0" fontId="6" numFmtId="0" xfId="0" applyAlignment="1" applyBorder="1" applyFont="1">
      <alignment horizontal="center" vertical="bottom"/>
    </xf>
    <xf borderId="0" fillId="0" fontId="13" numFmtId="0" xfId="0" applyAlignment="1" applyFont="1">
      <alignment readingOrder="0"/>
    </xf>
    <xf borderId="19" fillId="0" fontId="6" numFmtId="0" xfId="0" applyAlignment="1" applyBorder="1" applyFont="1">
      <alignment horizontal="center" vertical="bottom"/>
    </xf>
    <xf borderId="0" fillId="0" fontId="14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 shrinkToFit="0" wrapText="0"/>
    </xf>
    <xf borderId="0" fillId="0" fontId="9" numFmtId="0" xfId="0" applyAlignment="1" applyFont="1">
      <alignment horizontal="center" readingOrder="0" shrinkToFit="0" vertical="center" wrapText="0"/>
    </xf>
    <xf borderId="20" fillId="0" fontId="2" numFmtId="0" xfId="0" applyAlignment="1" applyBorder="1" applyFont="1">
      <alignment horizontal="center" vertical="bottom"/>
    </xf>
    <xf borderId="0" fillId="0" fontId="9" numFmtId="0" xfId="0" applyAlignment="1" applyFont="1">
      <alignment readingOrder="0" shrinkToFit="0" wrapText="0"/>
    </xf>
    <xf borderId="21" fillId="0" fontId="6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10" fillId="0" fontId="6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/>
    </xf>
    <xf borderId="0" fillId="0" fontId="9" numFmtId="0" xfId="0" applyAlignment="1" applyFont="1">
      <alignment shrinkToFit="0" wrapText="0"/>
    </xf>
    <xf borderId="22" fillId="0" fontId="6" numFmtId="0" xfId="0" applyAlignment="1" applyBorder="1" applyFont="1">
      <alignment horizontal="center" vertical="bottom"/>
    </xf>
    <xf borderId="0" fillId="0" fontId="9" numFmtId="0" xfId="0" applyAlignment="1" applyFont="1">
      <alignment horizontal="center" shrinkToFit="0" wrapText="0"/>
    </xf>
    <xf borderId="0" fillId="0" fontId="10" numFmtId="0" xfId="0" applyAlignment="1" applyFont="1">
      <alignment vertical="bottom"/>
    </xf>
    <xf borderId="0" fillId="0" fontId="9" numFmtId="0" xfId="0" applyAlignment="1" applyFont="1">
      <alignment horizontal="left" shrinkToFit="0" wrapText="0"/>
    </xf>
    <xf borderId="0" fillId="2" fontId="9" numFmtId="0" xfId="0" applyAlignment="1" applyFill="1" applyFont="1">
      <alignment horizontal="left" readingOrder="0" shrinkToFit="0" wrapText="0"/>
    </xf>
    <xf borderId="0" fillId="3" fontId="9" numFmtId="0" xfId="0" applyAlignment="1" applyFill="1" applyFont="1">
      <alignment horizontal="center" readingOrder="0" shrinkToFit="0" vertical="center" wrapText="0"/>
    </xf>
    <xf borderId="0" fillId="0" fontId="6" numFmtId="0" xfId="0" applyAlignment="1" applyFont="1">
      <alignment readingOrder="0" vertical="bottom"/>
    </xf>
    <xf borderId="0" fillId="0" fontId="6" numFmtId="1" xfId="0" applyFont="1" applyNumberFormat="1"/>
    <xf borderId="0" fillId="0" fontId="17" numFmtId="0" xfId="0" applyAlignment="1" applyFont="1">
      <alignment horizontal="center" readingOrder="0" shrinkToFit="0" vertical="center" wrapText="0"/>
    </xf>
    <xf borderId="0" fillId="0" fontId="6" numFmtId="49" xfId="0" applyFont="1" applyNumberFormat="1"/>
    <xf borderId="0" fillId="4" fontId="18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vertical="bottom"/>
    </xf>
    <xf borderId="23" fillId="0" fontId="8" numFmtId="0" xfId="0" applyBorder="1" applyFont="1"/>
    <xf borderId="0" fillId="0" fontId="6" numFmtId="0" xfId="0" applyAlignment="1" applyFont="1">
      <alignment vertical="bottom"/>
    </xf>
    <xf borderId="0" fillId="2" fontId="9" numFmtId="0" xfId="0" applyAlignment="1" applyFill="1" applyFont="1">
      <alignment readingOrder="0" shrinkToFit="0" wrapText="0"/>
    </xf>
    <xf borderId="16" fillId="0" fontId="2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  <xf borderId="0" fillId="3" fontId="9" numFmtId="0" xfId="0" applyAlignment="1" applyFill="1" applyFont="1">
      <alignment horizontal="center" readingOrder="0" shrinkToFit="0" wrapText="0"/>
    </xf>
    <xf borderId="0" fillId="0" fontId="5" numFmtId="0" xfId="0" applyAlignment="1" applyFont="1">
      <alignment horizontal="left" readingOrder="0" vertical="bottom"/>
    </xf>
    <xf borderId="0" fillId="0" fontId="6" numFmtId="1" xfId="0" applyAlignment="1" applyFont="1" applyNumberFormat="1">
      <alignment vertical="bottom"/>
    </xf>
    <xf borderId="0" fillId="0" fontId="9" numFmtId="0" xfId="0" applyAlignment="1" applyFont="1">
      <alignment horizontal="center" shrinkToFit="0" vertical="center" wrapText="0"/>
    </xf>
    <xf borderId="0" fillId="0" fontId="6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3" fontId="9" numFmtId="0" xfId="0" applyAlignment="1" applyFill="1" applyFont="1">
      <alignment horizontal="center" shrinkToFit="0" wrapText="0"/>
    </xf>
    <xf borderId="24" fillId="2" fontId="6" numFmtId="0" xfId="0" applyBorder="1" applyFill="1" applyFont="1"/>
    <xf borderId="0" fillId="0" fontId="1" numFmtId="0" xfId="0" applyAlignment="1" applyFont="1">
      <alignment horizontal="center"/>
    </xf>
    <xf borderId="25" fillId="2" fontId="6" numFmtId="0" xfId="0" applyBorder="1" applyFill="1" applyFont="1"/>
    <xf borderId="26" fillId="0" fontId="2" numFmtId="0" xfId="0" applyAlignment="1" applyBorder="1" applyFont="1">
      <alignment horizontal="center" readingOrder="0" vertical="bottom"/>
    </xf>
    <xf borderId="25" fillId="0" fontId="8" numFmtId="0" xfId="0" applyBorder="1" applyFont="1"/>
    <xf borderId="27" fillId="0" fontId="6" numFmtId="0" xfId="0" applyAlignment="1" applyBorder="1" applyFont="1">
      <alignment readingOrder="0" shrinkToFit="0" vertical="bottom" wrapText="0"/>
    </xf>
    <xf borderId="28" fillId="0" fontId="6" numFmtId="0" xfId="0" applyAlignment="1" applyBorder="1" applyFont="1">
      <alignment readingOrder="0" shrinkToFit="0" vertical="bottom" wrapText="0"/>
    </xf>
    <xf borderId="29" fillId="0" fontId="8" numFmtId="0" xfId="0" applyBorder="1" applyFont="1"/>
    <xf borderId="0" fillId="0" fontId="2" numFmtId="0" xfId="0" applyAlignment="1" applyFont="1">
      <alignment horizontal="center"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 shrinkToFit="0" vertical="bottom" wrapText="0"/>
    </xf>
    <xf borderId="30" fillId="0" fontId="8" numFmtId="0" xfId="0" applyBorder="1" applyFont="1"/>
    <xf borderId="12" fillId="0" fontId="6" numFmtId="0" xfId="0" applyAlignment="1" applyBorder="1" applyFont="1">
      <alignment horizontal="center" readingOrder="0"/>
    </xf>
    <xf borderId="0" fillId="0" fontId="20" numFmtId="0" xfId="0" applyAlignment="1" applyFont="1">
      <alignment shrinkToFit="0" wrapText="0"/>
    </xf>
    <xf borderId="13" fillId="0" fontId="6" numFmtId="0" xfId="0" applyAlignment="1" applyBorder="1" applyFont="1">
      <alignment readingOrder="0"/>
    </xf>
    <xf borderId="13" fillId="0" fontId="8" numFmtId="0" xfId="0" applyBorder="1" applyFont="1"/>
    <xf borderId="0" fillId="2" fontId="6" numFmtId="0" xfId="0" applyFill="1" applyFont="1"/>
    <xf borderId="13" fillId="0" fontId="6" numFmtId="0" xfId="0" applyAlignment="1" applyBorder="1" applyFont="1">
      <alignment horizontal="center" readingOrder="0"/>
    </xf>
    <xf borderId="13" fillId="0" fontId="6" numFmtId="1" xfId="0" applyAlignment="1" applyBorder="1" applyFont="1" applyNumberFormat="1">
      <alignment horizontal="center" readingOrder="0"/>
    </xf>
    <xf borderId="13" fillId="0" fontId="6" numFmtId="49" xfId="0" applyAlignment="1" applyBorder="1" applyFont="1" applyNumberFormat="1">
      <alignment horizontal="center" readingOrder="0"/>
    </xf>
    <xf borderId="7" fillId="2" fontId="6" numFmtId="0" xfId="0" applyBorder="1" applyFill="1" applyFont="1"/>
    <xf borderId="0" fillId="0" fontId="19" numFmtId="0" xfId="0" applyAlignment="1" applyFont="1">
      <alignment horizontal="left"/>
    </xf>
    <xf borderId="17" fillId="5" fontId="19" numFmtId="0" xfId="0" applyAlignment="1" applyBorder="1" applyFill="1" applyFont="1">
      <alignment horizontal="left"/>
    </xf>
    <xf borderId="31" fillId="6" fontId="6" numFmtId="0" xfId="0" applyAlignment="1" applyBorder="1" applyFill="1" applyFont="1">
      <alignment horizontal="center" readingOrder="0"/>
    </xf>
    <xf borderId="32" fillId="0" fontId="8" numFmtId="0" xfId="0" applyBorder="1" applyFont="1"/>
    <xf borderId="33" fillId="0" fontId="6" numFmtId="0" xfId="0" applyAlignment="1" applyBorder="1" applyFont="1">
      <alignment readingOrder="0"/>
    </xf>
    <xf borderId="34" fillId="0" fontId="6" numFmtId="0" xfId="0" applyAlignment="1" applyBorder="1" applyFont="1">
      <alignment readingOrder="0"/>
    </xf>
    <xf borderId="35" fillId="0" fontId="6" numFmtId="0" xfId="0" applyAlignment="1" applyBorder="1" applyFont="1">
      <alignment readingOrder="0"/>
    </xf>
    <xf borderId="0" fillId="0" fontId="6" numFmtId="1" xfId="0" applyAlignment="1" applyFont="1" applyNumberFormat="1">
      <alignment horizontal="center"/>
    </xf>
    <xf borderId="0" fillId="5" fontId="19" numFmtId="0" xfId="0" applyAlignment="1" applyFill="1" applyFont="1">
      <alignment horizontal="center"/>
    </xf>
    <xf borderId="0" fillId="5" fontId="19" numFmtId="1" xfId="0" applyAlignment="1" applyFill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0" fillId="0" fontId="6" numFmtId="49" xfId="0" applyAlignment="1" applyFont="1" applyNumberFormat="1">
      <alignment horizontal="center" readingOrder="0"/>
    </xf>
    <xf borderId="7" fillId="2" fontId="21" numFmtId="0" xfId="0" applyAlignment="1" applyBorder="1" applyFill="1" applyFont="1">
      <alignment shrinkToFit="0" wrapText="0"/>
    </xf>
    <xf borderId="0" fillId="0" fontId="22" numFmtId="164" xfId="0" applyFont="1" applyNumberFormat="1"/>
    <xf borderId="0" fillId="0" fontId="23" numFmtId="0" xfId="0" applyAlignment="1" applyFont="1">
      <alignment horizontal="left" shrinkToFit="0" wrapText="0"/>
    </xf>
    <xf borderId="0" fillId="5" fontId="24" numFmtId="0" xfId="0" applyAlignment="1" applyFill="1" applyFont="1">
      <alignment readingOrder="0"/>
    </xf>
    <xf borderId="17" fillId="0" fontId="6" numFmtId="0" xfId="0" applyAlignment="1" applyBorder="1" applyFont="1">
      <alignment readingOrder="0"/>
    </xf>
    <xf borderId="36" fillId="0" fontId="6" numFmtId="0" xfId="0" applyAlignment="1" applyBorder="1" applyFont="1">
      <alignment readingOrder="0"/>
    </xf>
    <xf borderId="37" fillId="0" fontId="6" numFmtId="0" xfId="0" applyAlignment="1" applyBorder="1" applyFont="1">
      <alignment readingOrder="0"/>
    </xf>
    <xf borderId="38" fillId="6" fontId="6" numFmtId="0" xfId="0" applyAlignment="1" applyBorder="1" applyFill="1" applyFont="1">
      <alignment horizontal="center" readingOrder="0"/>
    </xf>
    <xf borderId="39" fillId="0" fontId="8" numFmtId="0" xfId="0" applyBorder="1" applyFont="1"/>
    <xf borderId="40" fillId="0" fontId="6" numFmtId="0" xfId="0" applyAlignment="1" applyBorder="1" applyFont="1">
      <alignment readingOrder="0"/>
    </xf>
    <xf borderId="0" fillId="0" fontId="25" numFmtId="0" xfId="0" applyAlignment="1" applyFont="1">
      <alignment horizontal="center" readingOrder="0" shrinkToFit="0" vertical="center" wrapText="0"/>
    </xf>
    <xf borderId="41" fillId="0" fontId="6" numFmtId="0" xfId="0" applyAlignment="1" applyBorder="1" applyFont="1">
      <alignment readingOrder="0"/>
    </xf>
    <xf borderId="0" fillId="0" fontId="26" numFmtId="165" xfId="0" applyFont="1" applyNumberFormat="1"/>
    <xf borderId="0" fillId="5" fontId="27" numFmtId="0" xfId="0" applyAlignment="1" applyFill="1" applyFont="1">
      <alignment readingOrder="0" shrinkToFit="0" wrapText="0"/>
    </xf>
    <xf borderId="0" fillId="2" fontId="9" numFmtId="0" xfId="0" applyAlignment="1" applyFill="1" applyFont="1">
      <alignment shrinkToFit="0" wrapText="0"/>
    </xf>
    <xf borderId="0" fillId="0" fontId="26" numFmtId="0" xfId="0" applyFont="1"/>
    <xf borderId="42" fillId="0" fontId="6" numFmtId="0" xfId="0" applyAlignment="1" applyBorder="1" applyFont="1">
      <alignment readingOrder="0"/>
    </xf>
    <xf borderId="43" fillId="6" fontId="6" numFmtId="0" xfId="0" applyAlignment="1" applyBorder="1" applyFill="1" applyFont="1">
      <alignment horizontal="center" readingOrder="0"/>
    </xf>
    <xf borderId="44" fillId="0" fontId="8" numFmtId="0" xfId="0" applyBorder="1" applyFont="1"/>
    <xf borderId="0" fillId="0" fontId="6" numFmtId="49" xfId="0" applyAlignment="1" applyFont="1" applyNumberFormat="1">
      <alignment horizontal="center"/>
    </xf>
    <xf borderId="45" fillId="6" fontId="6" numFmtId="0" xfId="0" applyAlignment="1" applyBorder="1" applyFill="1" applyFont="1">
      <alignment horizontal="center" readingOrder="0"/>
    </xf>
    <xf borderId="46" fillId="0" fontId="8" numFmtId="0" xfId="0" applyBorder="1" applyFont="1"/>
    <xf borderId="47" fillId="0" fontId="8" numFmtId="0" xfId="0" applyBorder="1" applyFont="1"/>
    <xf borderId="10" fillId="2" fontId="6" numFmtId="0" xfId="0" applyBorder="1" applyFill="1" applyFont="1"/>
    <xf borderId="22" fillId="0" fontId="8" numFmtId="0" xfId="0" applyBorder="1" applyFont="1"/>
    <xf borderId="0" fillId="2" fontId="9" numFmtId="0" xfId="0" applyAlignment="1" applyFill="1" applyFont="1">
      <alignment shrinkToFit="0" wrapText="0"/>
    </xf>
    <xf borderId="0" fillId="0" fontId="6" numFmtId="1" xfId="0" applyAlignment="1" applyFont="1" applyNumberFormat="1">
      <alignment readingOrder="0"/>
    </xf>
    <xf borderId="0" fillId="0" fontId="9" numFmtId="0" xfId="0" applyAlignment="1" applyFont="1">
      <alignment shrinkToFit="0" wrapText="0"/>
    </xf>
    <xf borderId="0" fillId="0" fontId="20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7F6000"/>
      </font>
      <fill>
        <patternFill patternType="solid">
          <fgColor theme="0"/>
          <bgColor theme="0"/>
        </patternFill>
      </fill>
      <border/>
    </dxf>
    <dxf>
      <font>
        <color rgb="FF66666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63"/>
    <col customWidth="1" min="2" max="7" width="16.38"/>
    <col customWidth="1" min="8" max="8" width="6.38"/>
    <col customWidth="1" min="9" max="9" width="10.13"/>
    <col customWidth="1" min="10" max="10" width="15.13"/>
    <col customWidth="1" min="11" max="13" width="10.13"/>
    <col customWidth="1" min="14" max="14" width="12.63"/>
  </cols>
  <sheetData>
    <row r="1" ht="22.5" customHeight="1">
      <c r="A1" s="2" t="str">
        <f>IFERROR(__xludf.DUMMYFUNCTION("importrange(""https://docs.google.com/spreadsheets/d/12IzKdE78PZ-ibDG550MiOi4Nyf49AANMRCUCOwqVMIY/edit?usp=sharing"",""East RR Schedule!A1:N"")"),"")</f>
        <v/>
      </c>
      <c r="B1" s="4">
        <f>IFERROR(__xludf.DUMMYFUNCTION("""COMPUTED_VALUE"""),1.0)</f>
        <v>1</v>
      </c>
      <c r="C1" s="5">
        <f>IFERROR(__xludf.DUMMYFUNCTION("""COMPUTED_VALUE"""),2.0)</f>
        <v>2</v>
      </c>
      <c r="D1" s="5">
        <f>IFERROR(__xludf.DUMMYFUNCTION("""COMPUTED_VALUE"""),3.0)</f>
        <v>3</v>
      </c>
      <c r="E1" s="5">
        <f>IFERROR(__xludf.DUMMYFUNCTION("""COMPUTED_VALUE"""),4.0)</f>
        <v>4</v>
      </c>
      <c r="F1" s="7">
        <f>IFERROR(__xludf.DUMMYFUNCTION("""COMPUTED_VALUE"""),5.0)</f>
        <v>5</v>
      </c>
      <c r="G1" s="8">
        <f>IFERROR(__xludf.DUMMYFUNCTION("""COMPUTED_VALUE"""),6.0)</f>
        <v>6</v>
      </c>
      <c r="H1" s="10"/>
      <c r="I1" s="11" t="str">
        <f>IFERROR(__xludf.DUMMYFUNCTION("""COMPUTED_VALUE"""),"All times are in Eastern Standard Time.")</f>
        <v>All times are in Eastern Standard Time.</v>
      </c>
      <c r="N1" s="12"/>
    </row>
    <row r="2" ht="22.5" customHeight="1">
      <c r="A2" s="13" t="str">
        <f>IFERROR(__xludf.DUMMYFUNCTION("""COMPUTED_VALUE"""),"Ampere")</f>
        <v>Ampere</v>
      </c>
      <c r="B2" s="16" t="str">
        <f>IFERROR(__xludf.DUMMYFUNCTION("""COMPUTED_VALUE"""),"BOW A")</f>
        <v>BOW A</v>
      </c>
      <c r="C2" s="16" t="str">
        <f>IFERROR(__xludf.DUMMYFUNCTION("""COMPUTED_VALUE"""),"Brooklyn Tech D")</f>
        <v>Brooklyn Tech D</v>
      </c>
      <c r="D2" s="16" t="str">
        <f>IFERROR(__xludf.DUMMYFUNCTION("""COMPUTED_VALUE"""),"Buchholz A")</f>
        <v>Buchholz A</v>
      </c>
      <c r="E2" s="16" t="str">
        <f>IFERROR(__xludf.DUMMYFUNCTION("""COMPUTED_VALUE"""),"MCA")</f>
        <v>MCA</v>
      </c>
      <c r="F2" s="16" t="str">
        <f>IFERROR(__xludf.DUMMYFUNCTION("""COMPUTED_VALUE"""),"Poolesville B")</f>
        <v>Poolesville B</v>
      </c>
      <c r="G2" s="18" t="str">
        <f>IFERROR(__xludf.DUMMYFUNCTION("""COMPUTED_VALUE"""),"RMHS B")</f>
        <v>RMHS B</v>
      </c>
      <c r="H2" s="10"/>
      <c r="I2" s="19" t="str">
        <f>IFERROR(__xludf.DUMMYFUNCTION("""COMPUTED_VALUE"""),"Schedule for divisions with 6 teams:")</f>
        <v>Schedule for divisions with 6 teams:</v>
      </c>
      <c r="J2" s="20"/>
      <c r="K2" s="20"/>
      <c r="L2" s="20"/>
      <c r="M2" s="20"/>
      <c r="N2" s="21"/>
    </row>
    <row r="3" ht="22.5" customHeight="1">
      <c r="A3" s="13" t="str">
        <f>IFERROR(__xludf.DUMMYFUNCTION("""COMPUTED_VALUE"""),"Bohr")</f>
        <v>Bohr</v>
      </c>
      <c r="B3" s="22" t="str">
        <f>IFERROR(__xludf.DUMMYFUNCTION("""COMPUTED_VALUE"""),"AMSA B")</f>
        <v>AMSA B</v>
      </c>
      <c r="C3" s="22" t="str">
        <f>IFERROR(__xludf.DUMMYFUNCTION("""COMPUTED_VALUE"""),"BOW B")</f>
        <v>BOW B</v>
      </c>
      <c r="D3" s="22" t="str">
        <f>IFERROR(__xludf.DUMMYFUNCTION("""COMPUTED_VALUE"""),"Lindbergh A")</f>
        <v>Lindbergh A</v>
      </c>
      <c r="E3" s="22" t="str">
        <f>IFERROR(__xludf.DUMMYFUNCTION("""COMPUTED_VALUE"""),"Tupelo")</f>
        <v>Tupelo</v>
      </c>
      <c r="F3" s="22" t="str">
        <f>IFERROR(__xludf.DUMMYFUNCTION("""COMPUTED_VALUE"""),"Westminster")</f>
        <v>Westminster</v>
      </c>
      <c r="G3" s="23" t="str">
        <f>IFERROR(__xludf.DUMMYFUNCTION("""COMPUTED_VALUE"""),"BYE")</f>
        <v>BYE</v>
      </c>
      <c r="H3" s="10"/>
      <c r="I3" s="24"/>
      <c r="J3" s="25" t="str">
        <f>IFERROR(__xludf.DUMMYFUNCTION("""COMPUTED_VALUE"""),"Time")</f>
        <v>Time</v>
      </c>
      <c r="K3" s="27" t="str">
        <f>IFERROR(__xludf.DUMMYFUNCTION("""COMPUTED_VALUE"""),"Room 1")</f>
        <v>Room 1</v>
      </c>
      <c r="L3" s="27" t="str">
        <f>IFERROR(__xludf.DUMMYFUNCTION("""COMPUTED_VALUE"""),"Room 2")</f>
        <v>Room 2</v>
      </c>
      <c r="M3" s="29" t="str">
        <f>IFERROR(__xludf.DUMMYFUNCTION("""COMPUTED_VALUE"""),"Room 3")</f>
        <v>Room 3</v>
      </c>
      <c r="N3" s="21"/>
    </row>
    <row r="4" ht="22.5" customHeight="1">
      <c r="A4" s="30" t="str">
        <f>IFERROR(__xludf.DUMMYFUNCTION("""COMPUTED_VALUE"""),"Curie")</f>
        <v>Curie</v>
      </c>
      <c r="B4" s="22" t="str">
        <f>IFERROR(__xludf.DUMMYFUNCTION("""COMPUTED_VALUE"""),"AHS Broward A")</f>
        <v>AHS Broward A</v>
      </c>
      <c r="C4" s="22" t="str">
        <f>IFERROR(__xludf.DUMMYFUNCTION("""COMPUTED_VALUE"""),"Glastonbury B")</f>
        <v>Glastonbury B</v>
      </c>
      <c r="D4" s="22" t="str">
        <f>IFERROR(__xludf.DUMMYFUNCTION("""COMPUTED_VALUE"""),"Lexington A")</f>
        <v>Lexington A</v>
      </c>
      <c r="E4" s="22" t="str">
        <f>IFERROR(__xludf.DUMMYFUNCTION("""COMPUTED_VALUE"""),"Lindbergh B")</f>
        <v>Lindbergh B</v>
      </c>
      <c r="F4" s="22" t="str">
        <f>IFERROR(__xludf.DUMMYFUNCTION("""COMPUTED_VALUE"""),"SCDS")</f>
        <v>SCDS</v>
      </c>
      <c r="G4" s="23" t="str">
        <f>IFERROR(__xludf.DUMMYFUNCTION("""COMPUTED_VALUE"""),"BYE")</f>
        <v>BYE</v>
      </c>
      <c r="H4" s="10"/>
      <c r="I4" s="32" t="str">
        <f>IFERROR(__xludf.DUMMYFUNCTION("""COMPUTED_VALUE"""),"Round 1")</f>
        <v>Round 1</v>
      </c>
      <c r="J4" s="33" t="str">
        <f>IFERROR(__xludf.DUMMYFUNCTION("""COMPUTED_VALUE"""),"9:00-9:40")</f>
        <v>9:00-9:40</v>
      </c>
      <c r="K4" s="12" t="str">
        <f>IFERROR(__xludf.DUMMYFUNCTION("""COMPUTED_VALUE"""),"1 vs 2")</f>
        <v>1 vs 2</v>
      </c>
      <c r="L4" s="12" t="str">
        <f>IFERROR(__xludf.DUMMYFUNCTION("""COMPUTED_VALUE"""),"4 vs 5")</f>
        <v>4 vs 5</v>
      </c>
      <c r="M4" s="34" t="str">
        <f>IFERROR(__xludf.DUMMYFUNCTION("""COMPUTED_VALUE"""),"3 vs 6")</f>
        <v>3 vs 6</v>
      </c>
      <c r="N4" s="21"/>
    </row>
    <row r="5" ht="22.5" customHeight="1">
      <c r="A5" s="13" t="str">
        <f>IFERROR(__xludf.DUMMYFUNCTION("""COMPUTED_VALUE"""),"Darwin")</f>
        <v>Darwin</v>
      </c>
      <c r="B5" s="22" t="str">
        <f>IFERROR(__xludf.DUMMYFUNCTION("""COMPUTED_VALUE"""),"AHS Broward B")</f>
        <v>AHS Broward B</v>
      </c>
      <c r="C5" s="22" t="str">
        <f>IFERROR(__xludf.DUMMYFUNCTION("""COMPUTED_VALUE"""),"Brooklyn Tech B")</f>
        <v>Brooklyn Tech B</v>
      </c>
      <c r="D5" s="22" t="str">
        <f>IFERROR(__xludf.DUMMYFUNCTION("""COMPUTED_VALUE"""),"Centennial")</f>
        <v>Centennial</v>
      </c>
      <c r="E5" s="22" t="str">
        <f>IFERROR(__xludf.DUMMYFUNCTION("""COMPUTED_VALUE"""),"Longwood")</f>
        <v>Longwood</v>
      </c>
      <c r="F5" s="22" t="str">
        <f>IFERROR(__xludf.DUMMYFUNCTION("""COMPUTED_VALUE"""),"Rickards")</f>
        <v>Rickards</v>
      </c>
      <c r="G5" s="23" t="str">
        <f>IFERROR(__xludf.DUMMYFUNCTION("""COMPUTED_VALUE"""),"BYE")</f>
        <v>BYE</v>
      </c>
      <c r="H5" s="35"/>
      <c r="I5" s="32" t="str">
        <f>IFERROR(__xludf.DUMMYFUNCTION("""COMPUTED_VALUE"""),"Round 2")</f>
        <v>Round 2</v>
      </c>
      <c r="J5" s="37" t="str">
        <f>IFERROR(__xludf.DUMMYFUNCTION("""COMPUTED_VALUE"""),"9:40-10:20")</f>
        <v>9:40-10:20</v>
      </c>
      <c r="K5" s="38" t="str">
        <f>IFERROR(__xludf.DUMMYFUNCTION("""COMPUTED_VALUE"""),"3 vs 4")</f>
        <v>3 vs 4</v>
      </c>
      <c r="L5" s="38" t="str">
        <f>IFERROR(__xludf.DUMMYFUNCTION("""COMPUTED_VALUE"""),"1 vs 6")</f>
        <v>1 vs 6</v>
      </c>
      <c r="M5" s="40" t="str">
        <f>IFERROR(__xludf.DUMMYFUNCTION("""COMPUTED_VALUE"""),"2 vs 5")</f>
        <v>2 vs 5</v>
      </c>
      <c r="N5" s="21"/>
    </row>
    <row r="6" ht="22.5" customHeight="1">
      <c r="A6" s="30" t="str">
        <f>IFERROR(__xludf.DUMMYFUNCTION("""COMPUTED_VALUE"""),"Einstein")</f>
        <v>Einstein</v>
      </c>
      <c r="B6" s="22" t="str">
        <f>IFERROR(__xludf.DUMMYFUNCTION("""COMPUTED_VALUE"""),"ASFA A")</f>
        <v>ASFA A</v>
      </c>
      <c r="C6" s="22" t="str">
        <f>IFERROR(__xludf.DUMMYFUNCTION("""COMPUTED_VALUE"""),"Blair A")</f>
        <v>Blair A</v>
      </c>
      <c r="D6" s="22" t="str">
        <f>IFERROR(__xludf.DUMMYFUNCTION("""COMPUTED_VALUE"""),"Iolani B")</f>
        <v>Iolani B</v>
      </c>
      <c r="E6" s="22" t="str">
        <f>IFERROR(__xludf.DUMMYFUNCTION("""COMPUTED_VALUE"""),"Maryville A")</f>
        <v>Maryville A</v>
      </c>
      <c r="F6" s="22" t="str">
        <f>IFERROR(__xludf.DUMMYFUNCTION("""COMPUTED_VALUE"""),"Wayland B")</f>
        <v>Wayland B</v>
      </c>
      <c r="G6" s="23" t="str">
        <f>IFERROR(__xludf.DUMMYFUNCTION("""COMPUTED_VALUE"""),"BYE")</f>
        <v>BYE</v>
      </c>
      <c r="H6" s="35"/>
      <c r="I6" s="32" t="str">
        <f>IFERROR(__xludf.DUMMYFUNCTION("""COMPUTED_VALUE"""),"Round 3")</f>
        <v>Round 3</v>
      </c>
      <c r="J6" s="37" t="str">
        <f>IFERROR(__xludf.DUMMYFUNCTION("""COMPUTED_VALUE"""),"10:20-11:00")</f>
        <v>10:20-11:00</v>
      </c>
      <c r="K6" s="43" t="str">
        <f>IFERROR(__xludf.DUMMYFUNCTION("""COMPUTED_VALUE"""),"4 vs 6")</f>
        <v>4 vs 6</v>
      </c>
      <c r="L6" s="43" t="str">
        <f>IFERROR(__xludf.DUMMYFUNCTION("""COMPUTED_VALUE"""),"2 vs 3")</f>
        <v>2 vs 3</v>
      </c>
      <c r="M6" s="34" t="str">
        <f>IFERROR(__xludf.DUMMYFUNCTION("""COMPUTED_VALUE"""),"1 vs 5")</f>
        <v>1 vs 5</v>
      </c>
      <c r="N6" s="21"/>
    </row>
    <row r="7" ht="22.5" customHeight="1">
      <c r="A7" s="13" t="str">
        <f>IFERROR(__xludf.DUMMYFUNCTION("""COMPUTED_VALUE"""),"Franklin")</f>
        <v>Franklin</v>
      </c>
      <c r="B7" s="22" t="str">
        <f>IFERROR(__xludf.DUMMYFUNCTION("""COMPUTED_VALUE"""),"Dulles A")</f>
        <v>Dulles A</v>
      </c>
      <c r="C7" s="22" t="str">
        <f>IFERROR(__xludf.DUMMYFUNCTION("""COMPUTED_VALUE"""),"Grand Oaks")</f>
        <v>Grand Oaks</v>
      </c>
      <c r="D7" s="22" t="str">
        <f>IFERROR(__xludf.DUMMYFUNCTION("""COMPUTED_VALUE"""),"Green Hope B")</f>
        <v>Green Hope B</v>
      </c>
      <c r="E7" s="22" t="str">
        <f>IFERROR(__xludf.DUMMYFUNCTION("""COMPUTED_VALUE"""),"Maryville B")</f>
        <v>Maryville B</v>
      </c>
      <c r="F7" s="22" t="str">
        <f>IFERROR(__xludf.DUMMYFUNCTION("""COMPUTED_VALUE"""),"Princeton")</f>
        <v>Princeton</v>
      </c>
      <c r="G7" s="23" t="str">
        <f>IFERROR(__xludf.DUMMYFUNCTION("""COMPUTED_VALUE"""),"BYE")</f>
        <v>BYE</v>
      </c>
      <c r="H7" s="35"/>
      <c r="I7" s="32" t="str">
        <f>IFERROR(__xludf.DUMMYFUNCTION("""COMPUTED_VALUE"""),"Round 4")</f>
        <v>Round 4</v>
      </c>
      <c r="J7" s="37" t="str">
        <f>IFERROR(__xludf.DUMMYFUNCTION("""COMPUTED_VALUE"""),"11:00-11:40")</f>
        <v>11:00-11:40</v>
      </c>
      <c r="K7" s="43" t="str">
        <f>IFERROR(__xludf.DUMMYFUNCTION("""COMPUTED_VALUE"""),"3 vs 5")</f>
        <v>3 vs 5</v>
      </c>
      <c r="L7" s="43" t="str">
        <f>IFERROR(__xludf.DUMMYFUNCTION("""COMPUTED_VALUE"""),"1 vs 4")</f>
        <v>1 vs 4</v>
      </c>
      <c r="M7" s="34" t="str">
        <f>IFERROR(__xludf.DUMMYFUNCTION("""COMPUTED_VALUE"""),"2 vs 6")</f>
        <v>2 vs 6</v>
      </c>
      <c r="N7" s="21"/>
    </row>
    <row r="8" ht="22.5" customHeight="1">
      <c r="A8" s="30" t="str">
        <f>IFERROR(__xludf.DUMMYFUNCTION("""COMPUTED_VALUE"""),"Goodall")</f>
        <v>Goodall</v>
      </c>
      <c r="B8" s="22" t="str">
        <f>IFERROR(__xludf.DUMMYFUNCTION("""COMPUTED_VALUE"""),"BRHS")</f>
        <v>BRHS</v>
      </c>
      <c r="C8" s="22" t="str">
        <f>IFERROR(__xludf.DUMMYFUNCTION("""COMPUTED_VALUE"""),"Edison B")</f>
        <v>Edison B</v>
      </c>
      <c r="D8" s="22" t="str">
        <f>IFERROR(__xludf.DUMMYFUNCTION("""COMPUTED_VALUE"""),"John Adams")</f>
        <v>John Adams</v>
      </c>
      <c r="E8" s="22" t="str">
        <f>IFERROR(__xludf.DUMMYFUNCTION("""COMPUTED_VALUE"""),"JP Stevens A")</f>
        <v>JP Stevens A</v>
      </c>
      <c r="F8" s="22" t="str">
        <f>IFERROR(__xludf.DUMMYFUNCTION("""COMPUTED_VALUE"""),"Wayland A")</f>
        <v>Wayland A</v>
      </c>
      <c r="G8" s="23" t="str">
        <f>IFERROR(__xludf.DUMMYFUNCTION("""COMPUTED_VALUE"""),"BYE")</f>
        <v>BYE</v>
      </c>
      <c r="H8" s="35"/>
      <c r="I8" s="47" t="str">
        <f>IFERROR(__xludf.DUMMYFUNCTION("""COMPUTED_VALUE"""),"Round 5")</f>
        <v>Round 5</v>
      </c>
      <c r="J8" s="49" t="str">
        <f>IFERROR(__xludf.DUMMYFUNCTION("""COMPUTED_VALUE"""),"11:40-12:20")</f>
        <v>11:40-12:20</v>
      </c>
      <c r="K8" s="51" t="str">
        <f>IFERROR(__xludf.DUMMYFUNCTION("""COMPUTED_VALUE"""),"2 vs 4")</f>
        <v>2 vs 4</v>
      </c>
      <c r="L8" s="51" t="str">
        <f>IFERROR(__xludf.DUMMYFUNCTION("""COMPUTED_VALUE"""),"5 vs 6")</f>
        <v>5 vs 6</v>
      </c>
      <c r="M8" s="55" t="str">
        <f>IFERROR(__xludf.DUMMYFUNCTION("""COMPUTED_VALUE"""),"1 vs 3")</f>
        <v>1 vs 3</v>
      </c>
      <c r="N8" s="10"/>
    </row>
    <row r="9" ht="22.5" customHeight="1">
      <c r="A9" s="13" t="str">
        <f>IFERROR(__xludf.DUMMYFUNCTION("""COMPUTED_VALUE"""),"Hawking")</f>
        <v>Hawking</v>
      </c>
      <c r="B9" s="22" t="str">
        <f>IFERROR(__xludf.DUMMYFUNCTION("""COMPUTED_VALUE"""),"AMSA A")</f>
        <v>AMSA A</v>
      </c>
      <c r="C9" s="22" t="str">
        <f>IFERROR(__xludf.DUMMYFUNCTION("""COMPUTED_VALUE"""),"Blair C")</f>
        <v>Blair C</v>
      </c>
      <c r="D9" s="22" t="str">
        <f>IFERROR(__xludf.DUMMYFUNCTION("""COMPUTED_VALUE"""),"duPont Manual")</f>
        <v>duPont Manual</v>
      </c>
      <c r="E9" s="22" t="str">
        <f>IFERROR(__xludf.DUMMYFUNCTION("""COMPUTED_VALUE"""),"Fayetteville")</f>
        <v>Fayetteville</v>
      </c>
      <c r="F9" s="22" t="str">
        <f>IFERROR(__xludf.DUMMYFUNCTION("""COMPUTED_VALUE"""),"Liberty A")</f>
        <v>Liberty A</v>
      </c>
      <c r="G9" s="23" t="str">
        <f>IFERROR(__xludf.DUMMYFUNCTION("""COMPUTED_VALUE"""),"BYE")</f>
        <v>BYE</v>
      </c>
      <c r="H9" s="35"/>
      <c r="I9" s="57"/>
      <c r="J9" s="57"/>
      <c r="K9" s="57"/>
      <c r="L9" s="57"/>
      <c r="M9" s="57"/>
      <c r="N9" s="10"/>
    </row>
    <row r="10" ht="22.5" customHeight="1">
      <c r="A10" s="30" t="str">
        <f>IFERROR(__xludf.DUMMYFUNCTION("""COMPUTED_VALUE"""),"Ising")</f>
        <v>Ising</v>
      </c>
      <c r="B10" s="22" t="str">
        <f>IFERROR(__xludf.DUMMYFUNCTION("""COMPUTED_VALUE"""),"JP Stevens B")</f>
        <v>JP Stevens B</v>
      </c>
      <c r="C10" s="22" t="str">
        <f>IFERROR(__xludf.DUMMYFUNCTION("""COMPUTED_VALUE"""),"Liberty B")</f>
        <v>Liberty B</v>
      </c>
      <c r="D10" s="22" t="str">
        <f>IFERROR(__xludf.DUMMYFUNCTION("""COMPUTED_VALUE"""),"Naperville North A")</f>
        <v>Naperville North A</v>
      </c>
      <c r="E10" s="22" t="str">
        <f>IFERROR(__xludf.DUMMYFUNCTION("""COMPUTED_VALUE"""),"POBJFK")</f>
        <v>POBJFK</v>
      </c>
      <c r="F10" s="22" t="str">
        <f>IFERROR(__xludf.DUMMYFUNCTION("""COMPUTED_VALUE"""),"RMHS A")</f>
        <v>RMHS A</v>
      </c>
      <c r="G10" s="23" t="str">
        <f>IFERROR(__xludf.DUMMYFUNCTION("""COMPUTED_VALUE"""),"BYE")</f>
        <v>BYE</v>
      </c>
      <c r="H10" s="35"/>
      <c r="I10" s="19" t="str">
        <f>IFERROR(__xludf.DUMMYFUNCTION("""COMPUTED_VALUE"""),"Schedule for divisions with 5 teams:")</f>
        <v>Schedule for divisions with 5 teams:</v>
      </c>
      <c r="J10" s="20"/>
      <c r="K10" s="20"/>
      <c r="L10" s="20"/>
      <c r="M10" s="20"/>
      <c r="N10" s="10"/>
    </row>
    <row r="11" ht="22.5" customHeight="1">
      <c r="A11" s="13" t="str">
        <f>IFERROR(__xludf.DUMMYFUNCTION("""COMPUTED_VALUE"""),"Joule")</f>
        <v>Joule</v>
      </c>
      <c r="B11" s="22" t="str">
        <f>IFERROR(__xludf.DUMMYFUNCTION("""COMPUTED_VALUE"""),"Collierville")</f>
        <v>Collierville</v>
      </c>
      <c r="C11" s="22" t="str">
        <f>IFERROR(__xludf.DUMMYFUNCTION("""COMPUTED_VALUE"""),"Edison A")</f>
        <v>Edison A</v>
      </c>
      <c r="D11" s="22" t="str">
        <f>IFERROR(__xludf.DUMMYFUNCTION("""COMPUTED_VALUE"""),"Green Hope A")</f>
        <v>Green Hope A</v>
      </c>
      <c r="E11" s="22" t="str">
        <f>IFERROR(__xludf.DUMMYFUNCTION("""COMPUTED_VALUE"""),"Naperville North B")</f>
        <v>Naperville North B</v>
      </c>
      <c r="F11" s="22" t="str">
        <f>IFERROR(__xludf.DUMMYFUNCTION("""COMPUTED_VALUE"""),"RMHS C")</f>
        <v>RMHS C</v>
      </c>
      <c r="G11" s="23" t="str">
        <f>IFERROR(__xludf.DUMMYFUNCTION("""COMPUTED_VALUE"""),"BYE")</f>
        <v>BYE</v>
      </c>
      <c r="H11" s="61"/>
      <c r="I11" s="24"/>
      <c r="J11" s="25" t="str">
        <f>IFERROR(__xludf.DUMMYFUNCTION("""COMPUTED_VALUE"""),"Time")</f>
        <v>Time</v>
      </c>
      <c r="K11" s="27" t="str">
        <f>IFERROR(__xludf.DUMMYFUNCTION("""COMPUTED_VALUE"""),"Room 1")</f>
        <v>Room 1</v>
      </c>
      <c r="L11" s="27" t="str">
        <f>IFERROR(__xludf.DUMMYFUNCTION("""COMPUTED_VALUE"""),"Room 2")</f>
        <v>Room 2</v>
      </c>
      <c r="M11" s="29" t="str">
        <f>IFERROR(__xludf.DUMMYFUNCTION("""COMPUTED_VALUE"""),"Bye")</f>
        <v>Bye</v>
      </c>
      <c r="N11" s="10"/>
    </row>
    <row r="12" ht="22.5" customHeight="1">
      <c r="A12" s="30" t="str">
        <f>IFERROR(__xludf.DUMMYFUNCTION("""COMPUTED_VALUE"""),"Kepler")</f>
        <v>Kepler</v>
      </c>
      <c r="B12" s="16" t="str">
        <f>IFERROR(__xludf.DUMMYFUNCTION("""COMPUTED_VALUE"""),"ASFA B")</f>
        <v>ASFA B</v>
      </c>
      <c r="C12" s="16" t="str">
        <f>IFERROR(__xludf.DUMMYFUNCTION("""COMPUTED_VALUE"""),"Brooklyn Tech C")</f>
        <v>Brooklyn Tech C</v>
      </c>
      <c r="D12" s="22" t="str">
        <f>IFERROR(__xludf.DUMMYFUNCTION("""COMPUTED_VALUE"""),"Iolani A")</f>
        <v>Iolani A</v>
      </c>
      <c r="E12" s="22" t="str">
        <f>IFERROR(__xludf.DUMMYFUNCTION("""COMPUTED_VALUE"""),"MSMS")</f>
        <v>MSMS</v>
      </c>
      <c r="F12" s="22" t="str">
        <f>IFERROR(__xludf.DUMMYFUNCTION("""COMPUTED_VALUE"""),"New Canaan")</f>
        <v>New Canaan</v>
      </c>
      <c r="G12" s="23" t="str">
        <f>IFERROR(__xludf.DUMMYFUNCTION("""COMPUTED_VALUE"""),"BYE")</f>
        <v>BYE</v>
      </c>
      <c r="H12" s="61"/>
      <c r="I12" s="70" t="str">
        <f>IFERROR(__xludf.DUMMYFUNCTION("""COMPUTED_VALUE"""),"Round 1")</f>
        <v>Round 1</v>
      </c>
      <c r="J12" s="37" t="str">
        <f>IFERROR(__xludf.DUMMYFUNCTION("""COMPUTED_VALUE"""),"9:00-9:40")</f>
        <v>9:00-9:40</v>
      </c>
      <c r="K12" s="43" t="str">
        <f>IFERROR(__xludf.DUMMYFUNCTION("""COMPUTED_VALUE"""),"1 vs 2")</f>
        <v>1 vs 2</v>
      </c>
      <c r="L12" s="43" t="str">
        <f>IFERROR(__xludf.DUMMYFUNCTION("""COMPUTED_VALUE"""),"4 vs 5")</f>
        <v>4 vs 5</v>
      </c>
      <c r="M12" s="34">
        <f>IFERROR(__xludf.DUMMYFUNCTION("""COMPUTED_VALUE"""),3.0)</f>
        <v>3</v>
      </c>
      <c r="N12" s="10"/>
    </row>
    <row r="13" ht="22.5" customHeight="1">
      <c r="A13" s="13" t="str">
        <f>IFERROR(__xludf.DUMMYFUNCTION("""COMPUTED_VALUE"""),"Lehmann")</f>
        <v>Lehmann</v>
      </c>
      <c r="B13" s="22" t="str">
        <f>IFERROR(__xludf.DUMMYFUNCTION("""COMPUTED_VALUE"""),"Blair B")</f>
        <v>Blair B</v>
      </c>
      <c r="C13" s="22" t="str">
        <f>IFERROR(__xludf.DUMMYFUNCTION("""COMPUTED_VALUE"""),"Bob Jones")</f>
        <v>Bob Jones</v>
      </c>
      <c r="D13" s="22" t="str">
        <f>IFERROR(__xludf.DUMMYFUNCTION("""COMPUTED_VALUE"""),"Canterbury")</f>
        <v>Canterbury</v>
      </c>
      <c r="E13" s="22" t="str">
        <f>IFERROR(__xludf.DUMMYFUNCTION("""COMPUTED_VALUE"""),"JP Stevens C")</f>
        <v>JP Stevens C</v>
      </c>
      <c r="F13" s="22" t="str">
        <f>IFERROR(__xludf.DUMMYFUNCTION("""COMPUTED_VALUE"""),"Ladue")</f>
        <v>Ladue</v>
      </c>
      <c r="G13" s="23" t="str">
        <f>IFERROR(__xludf.DUMMYFUNCTION("""COMPUTED_VALUE"""),"BYE")</f>
        <v>BYE</v>
      </c>
      <c r="H13" s="10"/>
      <c r="I13" s="70" t="str">
        <f>IFERROR(__xludf.DUMMYFUNCTION("""COMPUTED_VALUE"""),"Round 2")</f>
        <v>Round 2</v>
      </c>
      <c r="J13" s="37" t="str">
        <f>IFERROR(__xludf.DUMMYFUNCTION("""COMPUTED_VALUE"""),"9:40-10:20")</f>
        <v>9:40-10:20</v>
      </c>
      <c r="K13" s="38" t="str">
        <f>IFERROR(__xludf.DUMMYFUNCTION("""COMPUTED_VALUE"""),"3 vs 4")</f>
        <v>3 vs 4</v>
      </c>
      <c r="L13" s="38" t="str">
        <f>IFERROR(__xludf.DUMMYFUNCTION("""COMPUTED_VALUE"""),"2 vs 5")</f>
        <v>2 vs 5</v>
      </c>
      <c r="M13" s="40">
        <f>IFERROR(__xludf.DUMMYFUNCTION("""COMPUTED_VALUE"""),1.0)</f>
        <v>1</v>
      </c>
      <c r="N13" s="10"/>
    </row>
    <row r="14" ht="22.5" customHeight="1">
      <c r="A14" s="30" t="str">
        <f>IFERROR(__xludf.DUMMYFUNCTION("""COMPUTED_VALUE"""),"Mendel")</f>
        <v>Mendel</v>
      </c>
      <c r="B14" s="22" t="str">
        <f>IFERROR(__xludf.DUMMYFUNCTION("""COMPUTED_VALUE"""),"AMSA C")</f>
        <v>AMSA C</v>
      </c>
      <c r="C14" s="16" t="str">
        <f>IFERROR(__xludf.DUMMYFUNCTION("""COMPUTED_VALUE"""),"Lexington B")</f>
        <v>Lexington B</v>
      </c>
      <c r="D14" s="16" t="str">
        <f>IFERROR(__xludf.DUMMYFUNCTION("""COMPUTED_VALUE"""),"Northville")</f>
        <v>Northville</v>
      </c>
      <c r="E14" s="22" t="str">
        <f>IFERROR(__xludf.DUMMYFUNCTION("""COMPUTED_VALUE"""),"Poolesville A")</f>
        <v>Poolesville A</v>
      </c>
      <c r="F14" s="22" t="str">
        <f>IFERROR(__xludf.DUMMYFUNCTION("""COMPUTED_VALUE"""),"PRISMS")</f>
        <v>PRISMS</v>
      </c>
      <c r="G14" s="23" t="str">
        <f>IFERROR(__xludf.DUMMYFUNCTION("""COMPUTED_VALUE"""),"BYE")</f>
        <v>BYE</v>
      </c>
      <c r="H14" s="10"/>
      <c r="I14" s="32" t="str">
        <f>IFERROR(__xludf.DUMMYFUNCTION("""COMPUTED_VALUE"""),"Round 3")</f>
        <v>Round 3</v>
      </c>
      <c r="J14" s="37" t="str">
        <f>IFERROR(__xludf.DUMMYFUNCTION("""COMPUTED_VALUE"""),"10:20-11:00")</f>
        <v>10:20-11:00</v>
      </c>
      <c r="K14" s="43" t="str">
        <f>IFERROR(__xludf.DUMMYFUNCTION("""COMPUTED_VALUE"""),"1 vs 5")</f>
        <v>1 vs 5</v>
      </c>
      <c r="L14" s="43" t="str">
        <f>IFERROR(__xludf.DUMMYFUNCTION("""COMPUTED_VALUE"""),"2 vs 3")</f>
        <v>2 vs 3</v>
      </c>
      <c r="M14" s="34">
        <f>IFERROR(__xludf.DUMMYFUNCTION("""COMPUTED_VALUE"""),4.0)</f>
        <v>4</v>
      </c>
      <c r="N14" s="77"/>
    </row>
    <row r="15" ht="22.5" customHeight="1">
      <c r="A15" s="13" t="str">
        <f>IFERROR(__xludf.DUMMYFUNCTION("""COMPUTED_VALUE"""),"Newton")</f>
        <v>Newton</v>
      </c>
      <c r="B15" s="22" t="str">
        <f>IFERROR(__xludf.DUMMYFUNCTION("""COMPUTED_VALUE"""),"Brooklyn Tech A")</f>
        <v>Brooklyn Tech A</v>
      </c>
      <c r="C15" s="22" t="str">
        <f>IFERROR(__xludf.DUMMYFUNCTION("""COMPUTED_VALUE"""),"Buchholz B")</f>
        <v>Buchholz B</v>
      </c>
      <c r="D15" s="22" t="str">
        <f>IFERROR(__xludf.DUMMYFUNCTION("""COMPUTED_VALUE"""),"Glastonbury A")</f>
        <v>Glastonbury A</v>
      </c>
      <c r="E15" s="22" t="str">
        <f>IFERROR(__xludf.DUMMYFUNCTION("""COMPUTED_VALUE"""),"Maryville C")</f>
        <v>Maryville C</v>
      </c>
      <c r="F15" s="22" t="str">
        <f>IFERROR(__xludf.DUMMYFUNCTION("""COMPUTED_VALUE"""),"Quail Valley")</f>
        <v>Quail Valley</v>
      </c>
      <c r="G15" s="23" t="str">
        <f>IFERROR(__xludf.DUMMYFUNCTION("""COMPUTED_VALUE"""),"BYE")</f>
        <v>BYE</v>
      </c>
      <c r="H15" s="10"/>
      <c r="I15" s="32" t="str">
        <f>IFERROR(__xludf.DUMMYFUNCTION("""COMPUTED_VALUE"""),"Round 4")</f>
        <v>Round 4</v>
      </c>
      <c r="J15" s="37" t="str">
        <f>IFERROR(__xludf.DUMMYFUNCTION("""COMPUTED_VALUE"""),"11:00-11:40")</f>
        <v>11:00-11:40</v>
      </c>
      <c r="K15" s="43" t="str">
        <f>IFERROR(__xludf.DUMMYFUNCTION("""COMPUTED_VALUE"""),"3 vs 5")</f>
        <v>3 vs 5</v>
      </c>
      <c r="L15" s="43" t="str">
        <f>IFERROR(__xludf.DUMMYFUNCTION("""COMPUTED_VALUE"""),"1 vs 4")</f>
        <v>1 vs 4</v>
      </c>
      <c r="M15" s="34">
        <f>IFERROR(__xludf.DUMMYFUNCTION("""COMPUTED_VALUE"""),2.0)</f>
        <v>2</v>
      </c>
      <c r="N15" s="77"/>
    </row>
    <row r="16" ht="22.5" customHeight="1">
      <c r="A16" s="30" t="str">
        <f>IFERROR(__xludf.DUMMYFUNCTION("""COMPUTED_VALUE"""),"Ohm")</f>
        <v>Ohm</v>
      </c>
      <c r="B16" s="22" t="str">
        <f>IFERROR(__xludf.DUMMYFUNCTION("""COMPUTED_VALUE"""),"--")</f>
        <v>--</v>
      </c>
      <c r="C16" s="22" t="str">
        <f>IFERROR(__xludf.DUMMYFUNCTION("""COMPUTED_VALUE"""),"--")</f>
        <v>--</v>
      </c>
      <c r="D16" s="22" t="str">
        <f>IFERROR(__xludf.DUMMYFUNCTION("""COMPUTED_VALUE"""),"--")</f>
        <v>--</v>
      </c>
      <c r="E16" s="22" t="str">
        <f>IFERROR(__xludf.DUMMYFUNCTION("""COMPUTED_VALUE"""),"--")</f>
        <v>--</v>
      </c>
      <c r="F16" s="22" t="str">
        <f>IFERROR(__xludf.DUMMYFUNCTION("""COMPUTED_VALUE"""),"--")</f>
        <v>--</v>
      </c>
      <c r="G16" s="23" t="str">
        <f>IFERROR(__xludf.DUMMYFUNCTION("""COMPUTED_VALUE"""),"--")</f>
        <v>--</v>
      </c>
      <c r="H16" s="10"/>
      <c r="I16" s="47" t="str">
        <f>IFERROR(__xludf.DUMMYFUNCTION("""COMPUTED_VALUE"""),"Round 5")</f>
        <v>Round 5</v>
      </c>
      <c r="J16" s="49" t="str">
        <f>IFERROR(__xludf.DUMMYFUNCTION("""COMPUTED_VALUE"""),"11:40-12:20")</f>
        <v>11:40-12:20</v>
      </c>
      <c r="K16" s="51" t="str">
        <f>IFERROR(__xludf.DUMMYFUNCTION("""COMPUTED_VALUE"""),"2 vs 4")</f>
        <v>2 vs 4</v>
      </c>
      <c r="L16" s="51" t="str">
        <f>IFERROR(__xludf.DUMMYFUNCTION("""COMPUTED_VALUE"""),"1 vs 3")</f>
        <v>1 vs 3</v>
      </c>
      <c r="M16" s="55">
        <f>IFERROR(__xludf.DUMMYFUNCTION("""COMPUTED_VALUE"""),5.0)</f>
        <v>5</v>
      </c>
      <c r="N16" s="10"/>
    </row>
    <row r="17" ht="22.5" customHeight="1">
      <c r="A17" s="83" t="str">
        <f>IFERROR(__xludf.DUMMYFUNCTION("""COMPUTED_VALUE"""),"Planck")</f>
        <v>Planck</v>
      </c>
      <c r="B17" s="85" t="str">
        <f>IFERROR(__xludf.DUMMYFUNCTION("""COMPUTED_VALUE"""),"--")</f>
        <v>--</v>
      </c>
      <c r="C17" s="85" t="str">
        <f>IFERROR(__xludf.DUMMYFUNCTION("""COMPUTED_VALUE"""),"--")</f>
        <v>--</v>
      </c>
      <c r="D17" s="85" t="str">
        <f>IFERROR(__xludf.DUMMYFUNCTION("""COMPUTED_VALUE"""),"--")</f>
        <v>--</v>
      </c>
      <c r="E17" s="85" t="str">
        <f>IFERROR(__xludf.DUMMYFUNCTION("""COMPUTED_VALUE"""),"--")</f>
        <v>--</v>
      </c>
      <c r="F17" s="85" t="str">
        <f>IFERROR(__xludf.DUMMYFUNCTION("""COMPUTED_VALUE"""),"--")</f>
        <v>--</v>
      </c>
      <c r="G17" s="86" t="str">
        <f>IFERROR(__xludf.DUMMYFUNCTION("""COMPUTED_VALUE"""),"--")</f>
        <v>--</v>
      </c>
      <c r="H17" s="10"/>
      <c r="I17" s="71"/>
      <c r="J17" s="71"/>
      <c r="K17" s="57"/>
      <c r="L17" s="57"/>
      <c r="M17" s="57"/>
      <c r="N17" s="10"/>
    </row>
    <row r="18" ht="22.5" customHeight="1">
      <c r="A18" s="88"/>
      <c r="B18" s="89"/>
      <c r="C18" s="89"/>
      <c r="D18" s="89"/>
      <c r="E18" s="89"/>
      <c r="F18" s="89"/>
      <c r="G18" s="89"/>
      <c r="H18" s="10"/>
      <c r="I18" s="10"/>
      <c r="J18" s="91"/>
      <c r="K18" s="91"/>
      <c r="L18" s="91"/>
      <c r="M18" s="77"/>
      <c r="N18" s="10"/>
    </row>
    <row r="19" ht="22.5" customHeight="1">
      <c r="A19" s="88"/>
      <c r="B19" s="93" t="str">
        <f>IFERROR(__xludf.DUMMYFUNCTION("""COMPUTED_VALUE"""),"Bolded spots have been changed since the original release.")</f>
        <v>Bolded spots have been changed since the original release.</v>
      </c>
      <c r="C19" s="89"/>
      <c r="D19" s="89"/>
      <c r="E19" s="89"/>
      <c r="F19" s="89"/>
      <c r="G19" s="89"/>
      <c r="H19" s="10"/>
      <c r="I19" s="10"/>
      <c r="J19" s="91"/>
      <c r="K19" s="91"/>
      <c r="L19" s="91"/>
      <c r="M19" s="77"/>
      <c r="N19" s="10"/>
    </row>
    <row r="20" ht="22.5" customHeight="1">
      <c r="A20" s="88"/>
      <c r="B20" s="89"/>
      <c r="C20" s="89"/>
      <c r="D20" s="89"/>
      <c r="E20" s="89"/>
      <c r="F20" s="89"/>
      <c r="G20" s="89"/>
      <c r="H20" s="10"/>
      <c r="I20" s="10"/>
      <c r="J20" s="91"/>
      <c r="K20" s="91"/>
      <c r="L20" s="91"/>
      <c r="M20" s="77"/>
      <c r="N20" s="10"/>
    </row>
  </sheetData>
  <mergeCells count="3">
    <mergeCell ref="I1:M1"/>
    <mergeCell ref="I2:M2"/>
    <mergeCell ref="I10:M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5"/>
    <col customWidth="1" min="2" max="2" width="3.63"/>
    <col customWidth="1" min="3" max="3" width="14.5"/>
    <col customWidth="1" min="4" max="4" width="3.63"/>
    <col customWidth="1" min="5" max="5" width="13.88"/>
    <col customWidth="1" min="6" max="6" width="3.63"/>
    <col customWidth="1" min="7" max="7" width="13.88"/>
    <col customWidth="1" min="8" max="8" width="3.63"/>
    <col customWidth="1" min="9" max="9" width="13.88"/>
    <col customWidth="1" min="10" max="10" width="3.63"/>
    <col customWidth="1" min="11" max="11" width="13.88"/>
    <col customWidth="1" min="12" max="12" width="3.63"/>
    <col customWidth="1" min="13" max="13" width="13.88"/>
    <col customWidth="1" min="14" max="14" width="3.63"/>
    <col customWidth="1" min="15" max="15" width="13.88"/>
    <col customWidth="1" min="16" max="16" width="3.63"/>
    <col customWidth="1" min="17" max="17" width="13.88"/>
    <col customWidth="1" min="18" max="19" width="3.63"/>
    <col customWidth="1" min="20" max="20" width="14.5"/>
    <col customWidth="1" min="21" max="21" width="12.63"/>
  </cols>
  <sheetData>
    <row r="1" ht="22.5" customHeight="1">
      <c r="A1" s="9" t="str">
        <f>IFERROR(__xludf.DUMMYFUNCTION("importrange(""https://docs.google.com/spreadsheets/d/12IzKdE78PZ-ibDG550MiOi4Nyf49AANMRCUCOwqVMIY/edit?usp=sharing"",""East DE!A1:W"")"),"ROUND 1")</f>
        <v>ROUND 1</v>
      </c>
      <c r="B1" s="14"/>
      <c r="C1" s="17" t="str">
        <f>IFERROR(__xludf.DUMMYFUNCTION("""COMPUTED_VALUE"""),"ROUND 2")</f>
        <v>ROUND 2</v>
      </c>
      <c r="D1" s="14"/>
      <c r="E1" s="17" t="str">
        <f>IFERROR(__xludf.DUMMYFUNCTION("""COMPUTED_VALUE"""),"ROUND 3")</f>
        <v>ROUND 3</v>
      </c>
      <c r="F1" s="14"/>
      <c r="G1" s="17" t="str">
        <f>IFERROR(__xludf.DUMMYFUNCTION("""COMPUTED_VALUE"""),"ROUND 4")</f>
        <v>ROUND 4</v>
      </c>
      <c r="H1" s="14"/>
      <c r="I1" s="17" t="str">
        <f>IFERROR(__xludf.DUMMYFUNCTION("""COMPUTED_VALUE"""),"ROUND 5")</f>
        <v>ROUND 5</v>
      </c>
      <c r="J1" s="14"/>
      <c r="K1" s="17" t="str">
        <f>IFERROR(__xludf.DUMMYFUNCTION("""COMPUTED_VALUE"""),"ROUND 6")</f>
        <v>ROUND 6</v>
      </c>
      <c r="L1" s="14"/>
      <c r="M1" s="17" t="str">
        <f>IFERROR(__xludf.DUMMYFUNCTION("""COMPUTED_VALUE"""),"ROUND 7")</f>
        <v>ROUND 7</v>
      </c>
      <c r="N1" s="14"/>
      <c r="O1" s="17" t="str">
        <f>IFERROR(__xludf.DUMMYFUNCTION("""COMPUTED_VALUE"""),"ROUND 8")</f>
        <v>ROUND 8</v>
      </c>
      <c r="P1" s="14"/>
      <c r="Q1" s="17" t="str">
        <f>IFERROR(__xludf.DUMMYFUNCTION("""COMPUTED_VALUE"""),"FINALS")</f>
        <v>FINALS</v>
      </c>
      <c r="S1" s="14"/>
      <c r="T1" s="26"/>
      <c r="U1" s="28"/>
      <c r="V1" s="26"/>
      <c r="W1" s="26"/>
      <c r="X1" s="26"/>
      <c r="Y1" s="26"/>
      <c r="Z1" s="26"/>
    </row>
    <row r="2" ht="22.5" customHeight="1">
      <c r="A2" s="31" t="str">
        <f>IFERROR(__xludf.DUMMYFUNCTION("""COMPUTED_VALUE"""),"1:00-1:40 PM")</f>
        <v>1:00-1:40 PM</v>
      </c>
      <c r="B2" s="14"/>
      <c r="C2" s="31" t="str">
        <f>IFERROR(__xludf.DUMMYFUNCTION("""COMPUTED_VALUE"""),"1:50-2:20 PM")</f>
        <v>1:50-2:20 PM</v>
      </c>
      <c r="D2" s="14"/>
      <c r="E2" s="31" t="str">
        <f>IFERROR(__xludf.DUMMYFUNCTION("""COMPUTED_VALUE"""),"2:30-3:10 PM")</f>
        <v>2:30-3:10 PM</v>
      </c>
      <c r="F2" s="14"/>
      <c r="G2" s="31" t="str">
        <f>IFERROR(__xludf.DUMMYFUNCTION("""COMPUTED_VALUE"""),"3:10-3:50 PM")</f>
        <v>3:10-3:50 PM</v>
      </c>
      <c r="H2" s="14"/>
      <c r="I2" s="31" t="str">
        <f>IFERROR(__xludf.DUMMYFUNCTION("""COMPUTED_VALUE"""),"3:50-4:30 PM")</f>
        <v>3:50-4:30 PM</v>
      </c>
      <c r="J2" s="14"/>
      <c r="K2" s="31" t="str">
        <f>IFERROR(__xludf.DUMMYFUNCTION("""COMPUTED_VALUE"""),"4:40-5:20 PM")</f>
        <v>4:40-5:20 PM</v>
      </c>
      <c r="L2" s="14"/>
      <c r="M2" s="31" t="str">
        <f>IFERROR(__xludf.DUMMYFUNCTION("""COMPUTED_VALUE"""),"5:30-6:10 PM")</f>
        <v>5:30-6:10 PM</v>
      </c>
      <c r="N2" s="14"/>
      <c r="O2" s="31" t="str">
        <f>IFERROR(__xludf.DUMMYFUNCTION("""COMPUTED_VALUE"""),"6:10-6:50 PM")</f>
        <v>6:10-6:50 PM</v>
      </c>
      <c r="P2" s="14"/>
      <c r="Q2" s="31" t="str">
        <f>IFERROR(__xludf.DUMMYFUNCTION("""COMPUTED_VALUE"""),"6:50-8:00 PM")</f>
        <v>6:50-8:00 PM</v>
      </c>
      <c r="S2" s="14"/>
      <c r="T2" s="36"/>
      <c r="U2" s="28"/>
      <c r="V2" s="26"/>
      <c r="W2" s="26"/>
      <c r="X2" s="26"/>
      <c r="Y2" s="26"/>
      <c r="Z2" s="26"/>
    </row>
    <row r="3" ht="15.0" customHeight="1">
      <c r="A3" s="41" t="str">
        <f>IFERROR(__xludf.DUMMYFUNCTION("""COMPUTED_VALUE"""),"32 teams")</f>
        <v>32 teams</v>
      </c>
      <c r="B3" s="14"/>
      <c r="C3" s="42" t="str">
        <f>IFERROR(__xludf.DUMMYFUNCTION("""COMPUTED_VALUE"""),"24 teams (16 playing)")</f>
        <v>24 teams (16 playing)</v>
      </c>
      <c r="D3" s="14"/>
      <c r="E3" s="41" t="str">
        <f>IFERROR(__xludf.DUMMYFUNCTION("""COMPUTED_VALUE"""),"16 teams")</f>
        <v>16 teams</v>
      </c>
      <c r="F3" s="14"/>
      <c r="G3" s="41" t="str">
        <f>IFERROR(__xludf.DUMMYFUNCTION("""COMPUTED_VALUE"""),"12 teams (8 playing)")</f>
        <v>12 teams (8 playing)</v>
      </c>
      <c r="H3" s="14"/>
      <c r="I3" s="41" t="str">
        <f>IFERROR(__xludf.DUMMYFUNCTION("""COMPUTED_VALUE"""),"8 teams")</f>
        <v>8 teams</v>
      </c>
      <c r="J3" s="14"/>
      <c r="K3" s="41" t="str">
        <f>IFERROR(__xludf.DUMMYFUNCTION("""COMPUTED_VALUE"""),"6 teams (4 playing)")</f>
        <v>6 teams (4 playing)</v>
      </c>
      <c r="L3" s="14"/>
      <c r="M3" s="41" t="str">
        <f>IFERROR(__xludf.DUMMYFUNCTION("""COMPUTED_VALUE"""),"4 teams")</f>
        <v>4 teams</v>
      </c>
      <c r="N3" s="14"/>
      <c r="O3" s="41" t="str">
        <f>IFERROR(__xludf.DUMMYFUNCTION("""COMPUTED_VALUE"""),"3 teams (2 playing)")</f>
        <v>3 teams (2 playing)</v>
      </c>
      <c r="P3" s="14"/>
      <c r="Q3" s="41" t="str">
        <f>IFERROR(__xludf.DUMMYFUNCTION("""COMPUTED_VALUE"""),"2 teams")</f>
        <v>2 teams</v>
      </c>
      <c r="S3" s="14"/>
      <c r="T3" s="26"/>
      <c r="U3" s="28"/>
      <c r="V3" s="26"/>
      <c r="W3" s="26"/>
      <c r="X3" s="26"/>
      <c r="Y3" s="26"/>
      <c r="Z3" s="26"/>
    </row>
    <row r="4" ht="18.75" customHeight="1">
      <c r="A4" s="45"/>
      <c r="B4" s="46"/>
      <c r="C4" s="48"/>
      <c r="D4" s="52"/>
      <c r="E4" s="54"/>
      <c r="F4" s="56"/>
      <c r="G4" s="54"/>
      <c r="H4" s="56"/>
      <c r="I4" s="54"/>
      <c r="J4" s="56"/>
      <c r="K4" s="54"/>
      <c r="L4" s="56"/>
      <c r="M4" s="54"/>
      <c r="N4" s="56"/>
      <c r="O4" s="54"/>
      <c r="P4" s="56"/>
      <c r="Q4" s="54"/>
      <c r="R4" s="56"/>
      <c r="S4" s="56"/>
      <c r="T4" s="54"/>
      <c r="U4" s="58"/>
      <c r="V4" s="54"/>
      <c r="W4" s="54"/>
      <c r="X4" s="54"/>
      <c r="Y4" s="54"/>
      <c r="Z4" s="54"/>
    </row>
    <row r="5" ht="18.75" customHeight="1">
      <c r="A5" s="59" t="str">
        <f>IFERROR(__xludf.DUMMYFUNCTION("""COMPUTED_VALUE"""),"Blair A")</f>
        <v>Blair A</v>
      </c>
      <c r="B5" s="60">
        <f>IFERROR(__xludf.DUMMYFUNCTION("""COMPUTED_VALUE"""),154.0)</f>
        <v>154</v>
      </c>
      <c r="C5" s="48"/>
      <c r="D5" s="52"/>
      <c r="E5" s="54"/>
      <c r="F5" s="56"/>
      <c r="G5" s="54"/>
      <c r="H5" s="56"/>
      <c r="I5" s="54"/>
      <c r="J5" s="56"/>
      <c r="K5" s="54"/>
      <c r="L5" s="56"/>
      <c r="M5" s="54"/>
      <c r="N5" s="56"/>
      <c r="O5" s="54"/>
      <c r="P5" s="56"/>
      <c r="Q5" s="54"/>
      <c r="R5" s="56"/>
      <c r="S5" s="56"/>
      <c r="T5" s="54"/>
      <c r="U5" s="58"/>
      <c r="V5" s="54"/>
      <c r="W5" s="54"/>
      <c r="X5" s="54"/>
      <c r="Y5" s="54"/>
      <c r="Z5" s="54"/>
    </row>
    <row r="6" ht="18.75" customHeight="1">
      <c r="A6" s="63" t="str">
        <f>IFERROR(__xludf.DUMMYFUNCTION("""COMPUTED_VALUE"""),"Ampere")</f>
        <v>Ampere</v>
      </c>
      <c r="B6" s="60"/>
      <c r="C6" s="65" t="str">
        <f>IFERROR(__xludf.DUMMYFUNCTION("""COMPUTED_VALUE"""),"BYE")</f>
        <v>BYE</v>
      </c>
      <c r="D6" s="67"/>
      <c r="E6" s="69" t="str">
        <f>IFERROR(__xludf.DUMMYFUNCTION("""COMPUTED_VALUE"""),"Blair A")</f>
        <v>Blair A</v>
      </c>
      <c r="F6" s="72">
        <f>IFERROR(__xludf.DUMMYFUNCTION("""COMPUTED_VALUE"""),222.0)</f>
        <v>222</v>
      </c>
      <c r="G6" s="54"/>
      <c r="H6" s="56"/>
      <c r="I6" s="54"/>
      <c r="J6" s="56"/>
      <c r="K6" s="54"/>
      <c r="L6" s="56"/>
      <c r="M6" s="54"/>
      <c r="N6" s="56"/>
      <c r="O6" s="54"/>
      <c r="P6" s="56"/>
      <c r="Q6" s="54"/>
      <c r="R6" s="56"/>
      <c r="S6" s="56"/>
      <c r="T6" s="54"/>
      <c r="U6" s="58"/>
      <c r="V6" s="54"/>
      <c r="W6" s="54"/>
      <c r="X6" s="54"/>
      <c r="Y6" s="54"/>
      <c r="Z6" s="54"/>
    </row>
    <row r="7" ht="18.75" customHeight="1">
      <c r="A7" s="59" t="str">
        <f>IFERROR(__xludf.DUMMYFUNCTION("""COMPUTED_VALUE"""),"Blair B")</f>
        <v>Blair B</v>
      </c>
      <c r="B7" s="60">
        <f>IFERROR(__xludf.DUMMYFUNCTION("""COMPUTED_VALUE"""),110.0)</f>
        <v>110</v>
      </c>
      <c r="C7" s="48"/>
      <c r="D7" s="52"/>
      <c r="E7" s="54"/>
      <c r="F7" s="72"/>
      <c r="G7" s="54"/>
      <c r="H7" s="56"/>
      <c r="I7" s="48"/>
      <c r="J7" s="56"/>
      <c r="K7" s="54"/>
      <c r="L7" s="56"/>
      <c r="M7" s="54"/>
      <c r="N7" s="56"/>
      <c r="O7" s="54"/>
      <c r="P7" s="56"/>
      <c r="Q7" s="54"/>
      <c r="R7" s="56"/>
      <c r="S7" s="56"/>
      <c r="T7" s="54"/>
      <c r="U7" s="58"/>
      <c r="V7" s="54"/>
      <c r="W7" s="54"/>
      <c r="X7" s="54"/>
      <c r="Y7" s="54"/>
      <c r="Z7" s="54"/>
    </row>
    <row r="8" ht="18.75" customHeight="1">
      <c r="A8" s="54"/>
      <c r="B8" s="75"/>
      <c r="C8" s="54"/>
      <c r="D8" s="56"/>
      <c r="E8" s="63" t="str">
        <f>IFERROR(__xludf.DUMMYFUNCTION("""COMPUTED_VALUE"""),"Ampere")</f>
        <v>Ampere</v>
      </c>
      <c r="G8" s="65" t="str">
        <f>IFERROR(__xludf.DUMMYFUNCTION("""COMPUTED_VALUE"""),"BYE")</f>
        <v>BYE</v>
      </c>
      <c r="I8" s="69" t="str">
        <f>IFERROR(__xludf.DUMMYFUNCTION("""COMPUTED_VALUE"""),"Blair A")</f>
        <v>Blair A</v>
      </c>
      <c r="J8" s="72">
        <f>IFERROR(__xludf.DUMMYFUNCTION("""COMPUTED_VALUE"""),150.0)</f>
        <v>150</v>
      </c>
      <c r="K8" s="52"/>
      <c r="L8" s="56"/>
      <c r="M8" s="52"/>
      <c r="N8" s="56"/>
      <c r="O8" s="52"/>
      <c r="P8" s="56"/>
      <c r="Q8" s="52"/>
      <c r="R8" s="56"/>
      <c r="S8" s="56"/>
      <c r="T8" s="54"/>
      <c r="U8" s="58"/>
      <c r="V8" s="54"/>
      <c r="W8" s="54"/>
      <c r="X8" s="54"/>
      <c r="Y8" s="54"/>
      <c r="Z8" s="54"/>
    </row>
    <row r="9" ht="18.75" customHeight="1">
      <c r="A9" s="59" t="str">
        <f>IFERROR(__xludf.DUMMYFUNCTION("""COMPUTED_VALUE"""),"Green Hope A")</f>
        <v>Green Hope A</v>
      </c>
      <c r="B9" s="60">
        <f>IFERROR(__xludf.DUMMYFUNCTION("""COMPUTED_VALUE"""),120.0)</f>
        <v>120</v>
      </c>
      <c r="C9" s="48"/>
      <c r="D9" s="52"/>
      <c r="E9" s="54"/>
      <c r="G9" s="54"/>
      <c r="H9" s="56"/>
      <c r="I9" s="54"/>
      <c r="J9" s="79"/>
      <c r="K9" s="54"/>
      <c r="L9" s="56"/>
      <c r="M9" s="54"/>
      <c r="N9" s="56"/>
      <c r="O9" s="54"/>
      <c r="P9" s="56"/>
      <c r="Q9" s="54"/>
      <c r="R9" s="56"/>
      <c r="S9" s="56"/>
      <c r="T9" s="54"/>
      <c r="U9" s="58"/>
      <c r="V9" s="54"/>
      <c r="W9" s="54"/>
      <c r="X9" s="54"/>
      <c r="Y9" s="54"/>
      <c r="Z9" s="54"/>
    </row>
    <row r="10" ht="18.75" customHeight="1">
      <c r="A10" s="63" t="str">
        <f>IFERROR(__xludf.DUMMYFUNCTION("""COMPUTED_VALUE"""),"Bohr")</f>
        <v>Bohr</v>
      </c>
      <c r="B10" s="60"/>
      <c r="C10" s="65" t="str">
        <f>IFERROR(__xludf.DUMMYFUNCTION("""COMPUTED_VALUE"""),"BYE")</f>
        <v>BYE</v>
      </c>
      <c r="D10" s="67"/>
      <c r="E10" s="69" t="str">
        <f>IFERROR(__xludf.DUMMYFUNCTION("""COMPUTED_VALUE"""),"Green Hope A")</f>
        <v>Green Hope A</v>
      </c>
      <c r="F10" s="72">
        <f>IFERROR(__xludf.DUMMYFUNCTION("""COMPUTED_VALUE"""),62.0)</f>
        <v>62</v>
      </c>
      <c r="G10" s="54"/>
      <c r="H10" s="56"/>
      <c r="I10" s="54"/>
      <c r="K10" s="54"/>
      <c r="L10" s="56"/>
      <c r="M10" s="54"/>
      <c r="N10" s="56"/>
      <c r="O10" s="54"/>
      <c r="P10" s="56"/>
      <c r="Q10" s="54"/>
      <c r="R10" s="56"/>
      <c r="S10" s="56"/>
      <c r="T10" s="54"/>
      <c r="U10" s="58"/>
      <c r="V10" s="54"/>
      <c r="W10" s="54"/>
      <c r="X10" s="54"/>
      <c r="Y10" s="54"/>
      <c r="Z10" s="54"/>
    </row>
    <row r="11" ht="18.75" customHeight="1">
      <c r="A11" s="59" t="str">
        <f>IFERROR(__xludf.DUMMYFUNCTION("""COMPUTED_VALUE"""),"Ladue")</f>
        <v>Ladue</v>
      </c>
      <c r="B11" s="60">
        <f>IFERROR(__xludf.DUMMYFUNCTION("""COMPUTED_VALUE"""),62.0)</f>
        <v>62</v>
      </c>
      <c r="C11" s="48"/>
      <c r="D11" s="52"/>
      <c r="E11" s="54"/>
      <c r="F11" s="56"/>
      <c r="G11" s="54"/>
      <c r="H11" s="56"/>
      <c r="I11" s="54"/>
      <c r="K11" s="54"/>
      <c r="L11" s="56"/>
      <c r="M11" s="54"/>
      <c r="N11" s="56"/>
      <c r="O11" s="54"/>
      <c r="P11" s="56"/>
      <c r="Q11" s="54"/>
      <c r="R11" s="56"/>
      <c r="S11" s="56"/>
      <c r="T11" s="54"/>
      <c r="U11" s="58"/>
      <c r="V11" s="54"/>
      <c r="W11" s="54"/>
      <c r="X11" s="54"/>
      <c r="Y11" s="54"/>
      <c r="Z11" s="54"/>
    </row>
    <row r="12" ht="18.75" customHeight="1">
      <c r="A12" s="54"/>
      <c r="B12" s="75"/>
      <c r="C12" s="54"/>
      <c r="D12" s="56"/>
      <c r="E12" s="54"/>
      <c r="F12" s="56"/>
      <c r="G12" s="54"/>
      <c r="H12" s="56"/>
      <c r="I12" s="63" t="str">
        <f>IFERROR(__xludf.DUMMYFUNCTION("""COMPUTED_VALUE"""),"Ampere")</f>
        <v>Ampere</v>
      </c>
      <c r="K12" s="65" t="str">
        <f>IFERROR(__xludf.DUMMYFUNCTION("""COMPUTED_VALUE"""),"BYE")</f>
        <v>BYE</v>
      </c>
      <c r="M12" s="69" t="str">
        <f>IFERROR(__xludf.DUMMYFUNCTION("""COMPUTED_VALUE"""),"Blair A")</f>
        <v>Blair A</v>
      </c>
      <c r="N12" s="72">
        <f>IFERROR(__xludf.DUMMYFUNCTION("""COMPUTED_VALUE"""),76.0)</f>
        <v>76</v>
      </c>
      <c r="O12" s="54"/>
      <c r="P12" s="56"/>
      <c r="Q12" s="54"/>
      <c r="R12" s="56"/>
      <c r="S12" s="56"/>
      <c r="T12" s="54"/>
      <c r="U12" s="58"/>
      <c r="V12" s="54"/>
      <c r="W12" s="54"/>
      <c r="X12" s="54"/>
      <c r="Y12" s="54"/>
      <c r="Z12" s="54"/>
    </row>
    <row r="13" ht="18.75" customHeight="1">
      <c r="A13" s="59" t="str">
        <f>IFERROR(__xludf.DUMMYFUNCTION("""COMPUTED_VALUE"""),"Centennial")</f>
        <v>Centennial</v>
      </c>
      <c r="B13" s="60">
        <f>IFERROR(__xludf.DUMMYFUNCTION("""COMPUTED_VALUE"""),198.0)</f>
        <v>198</v>
      </c>
      <c r="C13" s="48"/>
      <c r="D13" s="52"/>
      <c r="E13" s="54"/>
      <c r="F13" s="56"/>
      <c r="G13" s="96"/>
      <c r="H13" s="56"/>
      <c r="I13" s="54"/>
      <c r="K13" s="54"/>
      <c r="L13" s="56"/>
      <c r="M13" s="54"/>
      <c r="N13" s="79"/>
      <c r="O13" s="54"/>
      <c r="P13" s="56"/>
      <c r="Q13" s="54"/>
      <c r="R13" s="56"/>
      <c r="S13" s="56"/>
      <c r="T13" s="54"/>
      <c r="U13" s="58"/>
      <c r="V13" s="54"/>
      <c r="W13" s="54"/>
      <c r="X13" s="54"/>
      <c r="Y13" s="54"/>
      <c r="Z13" s="54"/>
    </row>
    <row r="14" ht="18.75" customHeight="1">
      <c r="A14" s="63" t="str">
        <f>IFERROR(__xludf.DUMMYFUNCTION("""COMPUTED_VALUE"""),"Curie")</f>
        <v>Curie</v>
      </c>
      <c r="B14" s="60"/>
      <c r="C14" s="65" t="str">
        <f>IFERROR(__xludf.DUMMYFUNCTION("""COMPUTED_VALUE"""),"BYE")</f>
        <v>BYE</v>
      </c>
      <c r="D14" s="67"/>
      <c r="E14" s="69" t="str">
        <f>IFERROR(__xludf.DUMMYFUNCTION("""COMPUTED_VALUE"""),"Centennial")</f>
        <v>Centennial</v>
      </c>
      <c r="F14" s="72">
        <f>IFERROR(__xludf.DUMMYFUNCTION("""COMPUTED_VALUE"""),112.0)</f>
        <v>112</v>
      </c>
      <c r="G14" s="54"/>
      <c r="H14" s="56"/>
      <c r="I14" s="54"/>
      <c r="K14" s="54"/>
      <c r="L14" s="56"/>
      <c r="M14" s="54"/>
      <c r="O14" s="54"/>
      <c r="P14" s="56"/>
      <c r="Q14" s="54"/>
      <c r="R14" s="56"/>
      <c r="S14" s="56"/>
      <c r="T14" s="54"/>
      <c r="U14" s="58"/>
      <c r="V14" s="54"/>
      <c r="W14" s="54"/>
      <c r="X14" s="54"/>
      <c r="Y14" s="54"/>
      <c r="Z14" s="54"/>
    </row>
    <row r="15" ht="18.75" customHeight="1">
      <c r="A15" s="59" t="str">
        <f>IFERROR(__xludf.DUMMYFUNCTION("""COMPUTED_VALUE"""),"duPont Manual")</f>
        <v>duPont Manual</v>
      </c>
      <c r="B15" s="60">
        <f>IFERROR(__xludf.DUMMYFUNCTION("""COMPUTED_VALUE"""),60.0)</f>
        <v>60</v>
      </c>
      <c r="C15" s="48"/>
      <c r="D15" s="52"/>
      <c r="E15" s="54"/>
      <c r="F15" s="72"/>
      <c r="G15" s="54"/>
      <c r="H15" s="56"/>
      <c r="I15" s="54"/>
      <c r="K15" s="54"/>
      <c r="L15" s="56"/>
      <c r="M15" s="54"/>
      <c r="O15" s="54"/>
      <c r="P15" s="56"/>
      <c r="Q15" s="54"/>
      <c r="R15" s="56"/>
      <c r="S15" s="56"/>
      <c r="T15" s="54"/>
      <c r="U15" s="58"/>
      <c r="V15" s="54"/>
      <c r="W15" s="54"/>
      <c r="X15" s="54"/>
      <c r="Y15" s="54"/>
      <c r="Z15" s="54"/>
    </row>
    <row r="16" ht="18.75" customHeight="1">
      <c r="A16" s="58"/>
      <c r="B16" s="75"/>
      <c r="C16" s="54"/>
      <c r="D16" s="56"/>
      <c r="E16" s="63" t="str">
        <f>IFERROR(__xludf.DUMMYFUNCTION("""COMPUTED_VALUE"""),"Curie")</f>
        <v>Curie</v>
      </c>
      <c r="G16" s="65" t="str">
        <f>IFERROR(__xludf.DUMMYFUNCTION("""COMPUTED_VALUE"""),"BYE")</f>
        <v>BYE</v>
      </c>
      <c r="I16" s="69" t="str">
        <f>IFERROR(__xludf.DUMMYFUNCTION("""COMPUTED_VALUE"""),"Lexington A")</f>
        <v>Lexington A</v>
      </c>
      <c r="J16" s="72">
        <f>IFERROR(__xludf.DUMMYFUNCTION("""COMPUTED_VALUE"""),110.0)</f>
        <v>110</v>
      </c>
      <c r="K16" s="52"/>
      <c r="L16" s="56"/>
      <c r="M16" s="52"/>
      <c r="O16" s="52"/>
      <c r="P16" s="56"/>
      <c r="Q16" s="52"/>
      <c r="R16" s="56"/>
      <c r="S16" s="56"/>
      <c r="T16" s="54"/>
      <c r="U16" s="58"/>
      <c r="V16" s="54"/>
      <c r="W16" s="54"/>
      <c r="X16" s="54"/>
      <c r="Y16" s="54"/>
      <c r="Z16" s="54"/>
    </row>
    <row r="17" ht="18.75" customHeight="1">
      <c r="A17" s="59" t="str">
        <f>IFERROR(__xludf.DUMMYFUNCTION("""COMPUTED_VALUE"""),"Lexington A")</f>
        <v>Lexington A</v>
      </c>
      <c r="B17" s="60">
        <f>IFERROR(__xludf.DUMMYFUNCTION("""COMPUTED_VALUE"""),134.0)</f>
        <v>134</v>
      </c>
      <c r="C17" s="48"/>
      <c r="D17" s="52"/>
      <c r="E17" s="54"/>
      <c r="G17" s="54"/>
      <c r="H17" s="56"/>
      <c r="I17" s="48"/>
      <c r="J17" s="56"/>
      <c r="K17" s="54"/>
      <c r="L17" s="56"/>
      <c r="M17" s="54"/>
      <c r="O17" s="54"/>
      <c r="P17" s="56"/>
      <c r="Q17" s="54"/>
      <c r="R17" s="56"/>
      <c r="S17" s="56"/>
      <c r="T17" s="54"/>
      <c r="U17" s="58"/>
      <c r="V17" s="54"/>
      <c r="W17" s="54"/>
      <c r="X17" s="54"/>
      <c r="Y17" s="54"/>
      <c r="Z17" s="54"/>
    </row>
    <row r="18" ht="18.75" customHeight="1">
      <c r="A18" s="63" t="str">
        <f>IFERROR(__xludf.DUMMYFUNCTION("""COMPUTED_VALUE"""),"Darwin")</f>
        <v>Darwin</v>
      </c>
      <c r="B18" s="60"/>
      <c r="C18" s="65" t="str">
        <f>IFERROR(__xludf.DUMMYFUNCTION("""COMPUTED_VALUE"""),"BYE")</f>
        <v>BYE</v>
      </c>
      <c r="D18" s="67"/>
      <c r="E18" s="69" t="str">
        <f>IFERROR(__xludf.DUMMYFUNCTION("""COMPUTED_VALUE"""),"Lexington A")</f>
        <v>Lexington A</v>
      </c>
      <c r="F18" s="72">
        <f>IFERROR(__xludf.DUMMYFUNCTION("""COMPUTED_VALUE"""),146.0)</f>
        <v>146</v>
      </c>
      <c r="G18" s="54"/>
      <c r="H18" s="56"/>
      <c r="I18" s="54"/>
      <c r="J18" s="56"/>
      <c r="K18" s="54"/>
      <c r="L18" s="56"/>
      <c r="M18" s="54"/>
      <c r="O18" s="54"/>
      <c r="P18" s="56"/>
      <c r="Q18" s="54"/>
      <c r="R18" s="56"/>
      <c r="S18" s="56"/>
      <c r="T18" s="54"/>
      <c r="U18" s="58"/>
      <c r="V18" s="54"/>
      <c r="W18" s="54"/>
      <c r="X18" s="54"/>
      <c r="Y18" s="54"/>
      <c r="Z18" s="54"/>
    </row>
    <row r="19" ht="18.75" customHeight="1">
      <c r="A19" s="59" t="str">
        <f>IFERROR(__xludf.DUMMYFUNCTION("""COMPUTED_VALUE"""),"PRISMS")</f>
        <v>PRISMS</v>
      </c>
      <c r="B19" s="60">
        <f>IFERROR(__xludf.DUMMYFUNCTION("""COMPUTED_VALUE"""),78.0)</f>
        <v>78</v>
      </c>
      <c r="C19" s="48"/>
      <c r="D19" s="52"/>
      <c r="E19" s="54"/>
      <c r="F19" s="56"/>
      <c r="G19" s="54"/>
      <c r="H19" s="56"/>
      <c r="I19" s="54"/>
      <c r="J19" s="56"/>
      <c r="K19" s="54"/>
      <c r="L19" s="56"/>
      <c r="M19" s="54"/>
      <c r="O19" s="54"/>
      <c r="P19" s="56"/>
      <c r="Q19" s="54"/>
      <c r="R19" s="52"/>
      <c r="S19" s="52"/>
      <c r="T19" s="54"/>
      <c r="U19" s="58"/>
      <c r="V19" s="54"/>
      <c r="W19" s="54"/>
      <c r="X19" s="54"/>
      <c r="Y19" s="54"/>
      <c r="Z19" s="54"/>
    </row>
    <row r="20" ht="18.75" customHeight="1">
      <c r="A20" s="58"/>
      <c r="B20" s="75"/>
      <c r="C20" s="54"/>
      <c r="D20" s="56"/>
      <c r="E20" s="54"/>
      <c r="F20" s="56"/>
      <c r="G20" s="54"/>
      <c r="H20" s="56"/>
      <c r="I20" s="52"/>
      <c r="J20" s="56"/>
      <c r="K20" s="54"/>
      <c r="L20" s="56"/>
      <c r="M20" s="63" t="str">
        <f>IFERROR(__xludf.DUMMYFUNCTION("""COMPUTED_VALUE"""),"Ampere")</f>
        <v>Ampere</v>
      </c>
      <c r="O20" s="65" t="str">
        <f>IFERROR(__xludf.DUMMYFUNCTION("""COMPUTED_VALUE"""),"BYE")</f>
        <v>BYE</v>
      </c>
      <c r="Q20" s="69" t="str">
        <f>IFERROR(__xludf.DUMMYFUNCTION("""COMPUTED_VALUE"""),"Dulles A")</f>
        <v>Dulles A</v>
      </c>
      <c r="R20" s="72">
        <f>IFERROR(__xludf.DUMMYFUNCTION("""COMPUTED_VALUE"""),72.0)</f>
        <v>72</v>
      </c>
      <c r="S20" s="72">
        <f>IFERROR(__xludf.DUMMYFUNCTION("""COMPUTED_VALUE"""),118.0)</f>
        <v>118</v>
      </c>
      <c r="T20" s="54"/>
      <c r="U20" s="58"/>
      <c r="V20" s="54"/>
      <c r="W20" s="54"/>
      <c r="X20" s="54"/>
      <c r="Y20" s="54"/>
      <c r="Z20" s="54"/>
    </row>
    <row r="21" ht="18.75" customHeight="1">
      <c r="A21" s="59" t="str">
        <f>IFERROR(__xludf.DUMMYFUNCTION("""COMPUTED_VALUE"""),"Buchholz A")</f>
        <v>Buchholz A</v>
      </c>
      <c r="B21" s="60">
        <f>IFERROR(__xludf.DUMMYFUNCTION("""COMPUTED_VALUE"""),180.0)</f>
        <v>180</v>
      </c>
      <c r="C21" s="48"/>
      <c r="D21" s="52"/>
      <c r="E21" s="54"/>
      <c r="F21" s="56"/>
      <c r="G21" s="54"/>
      <c r="H21" s="56"/>
      <c r="I21" s="54"/>
      <c r="J21" s="56"/>
      <c r="K21" s="54"/>
      <c r="L21" s="56"/>
      <c r="M21" s="54"/>
      <c r="O21" s="54"/>
      <c r="P21" s="56"/>
      <c r="Q21" s="54"/>
      <c r="R21" s="79"/>
      <c r="S21" s="79"/>
      <c r="T21" s="54"/>
      <c r="U21" s="58"/>
      <c r="V21" s="54"/>
      <c r="W21" s="54"/>
      <c r="X21" s="54"/>
      <c r="Y21" s="54"/>
      <c r="Z21" s="54"/>
    </row>
    <row r="22" ht="18.75" customHeight="1">
      <c r="A22" s="63" t="str">
        <f>IFERROR(__xludf.DUMMYFUNCTION("""COMPUTED_VALUE"""),"Einstein")</f>
        <v>Einstein</v>
      </c>
      <c r="B22" s="60"/>
      <c r="C22" s="65" t="str">
        <f>IFERROR(__xludf.DUMMYFUNCTION("""COMPUTED_VALUE"""),"BYE")</f>
        <v>BYE</v>
      </c>
      <c r="D22" s="67"/>
      <c r="E22" s="69" t="str">
        <f>IFERROR(__xludf.DUMMYFUNCTION("""COMPUTED_VALUE"""),"Buchholz A")</f>
        <v>Buchholz A</v>
      </c>
      <c r="F22" s="72">
        <f>IFERROR(__xludf.DUMMYFUNCTION("""COMPUTED_VALUE"""),192.0)</f>
        <v>192</v>
      </c>
      <c r="G22" s="54"/>
      <c r="H22" s="56"/>
      <c r="I22" s="54"/>
      <c r="J22" s="56"/>
      <c r="K22" s="54"/>
      <c r="L22" s="56"/>
      <c r="M22" s="54"/>
      <c r="O22" s="54"/>
      <c r="P22" s="56"/>
      <c r="Q22" s="54"/>
      <c r="S22" s="79"/>
      <c r="T22" s="54"/>
      <c r="U22" s="58"/>
      <c r="V22" s="54"/>
      <c r="W22" s="54"/>
      <c r="X22" s="54"/>
      <c r="Y22" s="54"/>
      <c r="Z22" s="54"/>
    </row>
    <row r="23" ht="18.75" customHeight="1">
      <c r="A23" s="59" t="str">
        <f>IFERROR(__xludf.DUMMYFUNCTION("""COMPUTED_VALUE"""),"Lexington B")</f>
        <v>Lexington B</v>
      </c>
      <c r="B23" s="60">
        <f>IFERROR(__xludf.DUMMYFUNCTION("""COMPUTED_VALUE"""),84.0)</f>
        <v>84</v>
      </c>
      <c r="C23" s="48"/>
      <c r="D23" s="52"/>
      <c r="E23" s="54"/>
      <c r="F23" s="72"/>
      <c r="G23" s="54"/>
      <c r="H23" s="56"/>
      <c r="I23" s="48"/>
      <c r="J23" s="56"/>
      <c r="K23" s="54"/>
      <c r="L23" s="56"/>
      <c r="M23" s="54"/>
      <c r="O23" s="54"/>
      <c r="P23" s="56"/>
      <c r="Q23" s="54"/>
      <c r="S23" s="79"/>
      <c r="T23" s="54"/>
      <c r="U23" s="58"/>
      <c r="V23" s="54"/>
      <c r="W23" s="54"/>
      <c r="X23" s="54"/>
      <c r="Y23" s="54"/>
      <c r="Z23" s="54"/>
    </row>
    <row r="24" ht="18.75" customHeight="1">
      <c r="A24" s="54"/>
      <c r="B24" s="75"/>
      <c r="C24" s="54"/>
      <c r="D24" s="56"/>
      <c r="E24" s="63" t="str">
        <f>IFERROR(__xludf.DUMMYFUNCTION("""COMPUTED_VALUE"""),"Einstein")</f>
        <v>Einstein</v>
      </c>
      <c r="G24" s="65" t="str">
        <f>IFERROR(__xludf.DUMMYFUNCTION("""COMPUTED_VALUE"""),"BYE")</f>
        <v>BYE</v>
      </c>
      <c r="I24" s="69" t="str">
        <f>IFERROR(__xludf.DUMMYFUNCTION("""COMPUTED_VALUE"""),"Buchholz A")</f>
        <v>Buchholz A</v>
      </c>
      <c r="J24" s="72">
        <f>IFERROR(__xludf.DUMMYFUNCTION("""COMPUTED_VALUE"""),86.0)</f>
        <v>86</v>
      </c>
      <c r="K24" s="52"/>
      <c r="L24" s="56"/>
      <c r="M24" s="52"/>
      <c r="O24" s="52"/>
      <c r="P24" s="56"/>
      <c r="Q24" s="52"/>
      <c r="S24" s="79"/>
      <c r="T24" s="54"/>
      <c r="U24" s="119"/>
      <c r="V24" s="54"/>
      <c r="W24" s="54"/>
      <c r="X24" s="54"/>
      <c r="Y24" s="54"/>
      <c r="Z24" s="54"/>
    </row>
    <row r="25" ht="18.75" customHeight="1">
      <c r="A25" s="59" t="str">
        <f>IFERROR(__xludf.DUMMYFUNCTION("""COMPUTED_VALUE"""),"JP Stevens A")</f>
        <v>JP Stevens A</v>
      </c>
      <c r="B25" s="60">
        <f>IFERROR(__xludf.DUMMYFUNCTION("""COMPUTED_VALUE"""),100.0)</f>
        <v>100</v>
      </c>
      <c r="C25" s="48"/>
      <c r="D25" s="52"/>
      <c r="E25" s="54"/>
      <c r="G25" s="54"/>
      <c r="H25" s="56"/>
      <c r="I25" s="54"/>
      <c r="J25" s="79"/>
      <c r="K25" s="54"/>
      <c r="L25" s="56"/>
      <c r="M25" s="54"/>
      <c r="O25" s="54"/>
      <c r="P25" s="56"/>
      <c r="Q25" s="54"/>
      <c r="S25" s="79"/>
      <c r="T25" s="54"/>
      <c r="U25" s="119"/>
      <c r="V25" s="54"/>
      <c r="W25" s="54"/>
      <c r="X25" s="54"/>
      <c r="Y25" s="54"/>
      <c r="Z25" s="54"/>
    </row>
    <row r="26" ht="18.75" customHeight="1">
      <c r="A26" s="63" t="str">
        <f>IFERROR(__xludf.DUMMYFUNCTION("""COMPUTED_VALUE"""),"Franklin")</f>
        <v>Franklin</v>
      </c>
      <c r="B26" s="60"/>
      <c r="C26" s="65" t="str">
        <f>IFERROR(__xludf.DUMMYFUNCTION("""COMPUTED_VALUE"""),"BYE")</f>
        <v>BYE</v>
      </c>
      <c r="D26" s="67"/>
      <c r="E26" s="69" t="str">
        <f>IFERROR(__xludf.DUMMYFUNCTION("""COMPUTED_VALUE"""),"JP Stevens A")</f>
        <v>JP Stevens A</v>
      </c>
      <c r="F26" s="72">
        <f>IFERROR(__xludf.DUMMYFUNCTION("""COMPUTED_VALUE"""),42.0)</f>
        <v>42</v>
      </c>
      <c r="G26" s="54"/>
      <c r="H26" s="56"/>
      <c r="I26" s="54"/>
      <c r="K26" s="54"/>
      <c r="L26" s="56"/>
      <c r="M26" s="54"/>
      <c r="O26" s="54"/>
      <c r="P26" s="56"/>
      <c r="Q26" s="54"/>
      <c r="S26" s="79"/>
      <c r="T26" s="54"/>
      <c r="U26" s="127"/>
      <c r="V26" s="54"/>
      <c r="W26" s="54"/>
      <c r="X26" s="54"/>
      <c r="Y26" s="54"/>
      <c r="Z26" s="54"/>
    </row>
    <row r="27" ht="18.75" customHeight="1">
      <c r="A27" s="59" t="str">
        <f>IFERROR(__xludf.DUMMYFUNCTION("""COMPUTED_VALUE"""),"MSMS")</f>
        <v>MSMS</v>
      </c>
      <c r="B27" s="60">
        <f>IFERROR(__xludf.DUMMYFUNCTION("""COMPUTED_VALUE"""),72.0)</f>
        <v>72</v>
      </c>
      <c r="C27" s="48"/>
      <c r="D27" s="52"/>
      <c r="E27" s="54"/>
      <c r="F27" s="56"/>
      <c r="G27" s="54"/>
      <c r="H27" s="56"/>
      <c r="I27" s="54"/>
      <c r="K27" s="54"/>
      <c r="L27" s="56"/>
      <c r="M27" s="54"/>
      <c r="O27" s="54"/>
      <c r="P27" s="56"/>
      <c r="Q27" s="48"/>
      <c r="S27" s="79"/>
      <c r="T27" s="54"/>
      <c r="V27" s="54"/>
      <c r="W27" s="54"/>
      <c r="X27" s="54"/>
      <c r="Y27" s="54"/>
      <c r="Z27" s="54"/>
    </row>
    <row r="28" ht="18.75" customHeight="1">
      <c r="A28" s="54"/>
      <c r="B28" s="75"/>
      <c r="C28" s="54"/>
      <c r="D28" s="56"/>
      <c r="E28" s="54"/>
      <c r="F28" s="56"/>
      <c r="G28" s="54"/>
      <c r="H28" s="56"/>
      <c r="I28" s="63" t="str">
        <f>IFERROR(__xludf.DUMMYFUNCTION("""COMPUTED_VALUE"""),"Curie")</f>
        <v>Curie</v>
      </c>
      <c r="K28" s="65" t="str">
        <f>IFERROR(__xludf.DUMMYFUNCTION("""COMPUTED_VALUE"""),"BYE")</f>
        <v>BYE</v>
      </c>
      <c r="M28" s="69" t="str">
        <f>IFERROR(__xludf.DUMMYFUNCTION("""COMPUTED_VALUE"""),"Dulles A")</f>
        <v>Dulles A</v>
      </c>
      <c r="N28" s="72">
        <f>IFERROR(__xludf.DUMMYFUNCTION("""COMPUTED_VALUE"""),104.0)</f>
        <v>104</v>
      </c>
      <c r="O28" s="54"/>
      <c r="P28" s="56"/>
      <c r="Q28" s="54"/>
      <c r="S28" s="79"/>
      <c r="T28" s="54"/>
      <c r="U28" s="129"/>
      <c r="V28" s="54"/>
      <c r="W28" s="54"/>
      <c r="X28" s="54"/>
      <c r="Y28" s="54"/>
      <c r="Z28" s="54"/>
    </row>
    <row r="29" ht="18.75" customHeight="1">
      <c r="A29" s="59" t="str">
        <f>IFERROR(__xludf.DUMMYFUNCTION("""COMPUTED_VALUE"""),"Westminster")</f>
        <v>Westminster</v>
      </c>
      <c r="B29" s="60">
        <f>IFERROR(__xludf.DUMMYFUNCTION("""COMPUTED_VALUE"""),192.0)</f>
        <v>192</v>
      </c>
      <c r="C29" s="48"/>
      <c r="D29" s="52"/>
      <c r="E29" s="96"/>
      <c r="F29" s="56"/>
      <c r="G29" s="54"/>
      <c r="H29" s="56"/>
      <c r="I29" s="54"/>
      <c r="K29" s="54"/>
      <c r="L29" s="56"/>
      <c r="M29" s="54"/>
      <c r="N29" s="56"/>
      <c r="O29" s="54"/>
      <c r="P29" s="56"/>
      <c r="Q29" s="54"/>
      <c r="S29" s="79"/>
      <c r="T29" s="54"/>
      <c r="U29" s="127"/>
      <c r="V29" s="48"/>
      <c r="W29" s="54"/>
      <c r="X29" s="54"/>
      <c r="Y29" s="54"/>
      <c r="Z29" s="54"/>
    </row>
    <row r="30" ht="18.75" customHeight="1">
      <c r="A30" s="63" t="str">
        <f>IFERROR(__xludf.DUMMYFUNCTION("""COMPUTED_VALUE"""),"Goodall")</f>
        <v>Goodall</v>
      </c>
      <c r="B30" s="60"/>
      <c r="C30" s="65" t="str">
        <f>IFERROR(__xludf.DUMMYFUNCTION("""COMPUTED_VALUE"""),"BYE")</f>
        <v>BYE</v>
      </c>
      <c r="D30" s="67"/>
      <c r="E30" s="69" t="str">
        <f>IFERROR(__xludf.DUMMYFUNCTION("""COMPUTED_VALUE"""),"Westminster")</f>
        <v>Westminster</v>
      </c>
      <c r="F30" s="72">
        <f>IFERROR(__xludf.DUMMYFUNCTION("""COMPUTED_VALUE"""),124.0)</f>
        <v>124</v>
      </c>
      <c r="G30" s="54"/>
      <c r="H30" s="56"/>
      <c r="I30" s="54"/>
      <c r="K30" s="54"/>
      <c r="L30" s="56"/>
      <c r="M30" s="54"/>
      <c r="N30" s="56"/>
      <c r="O30" s="54"/>
      <c r="P30" s="56"/>
      <c r="Q30" s="52"/>
      <c r="S30" s="79"/>
      <c r="T30" s="54"/>
      <c r="V30" s="130"/>
      <c r="W30" s="54"/>
      <c r="X30" s="54"/>
      <c r="Y30" s="54"/>
      <c r="Z30" s="54"/>
    </row>
    <row r="31" ht="18.75" customHeight="1">
      <c r="A31" s="59" t="str">
        <f>IFERROR(__xludf.DUMMYFUNCTION("""COMPUTED_VALUE"""),"Buchholz B")</f>
        <v>Buchholz B</v>
      </c>
      <c r="B31" s="60">
        <f>IFERROR(__xludf.DUMMYFUNCTION("""COMPUTED_VALUE"""),68.0)</f>
        <v>68</v>
      </c>
      <c r="C31" s="48"/>
      <c r="D31" s="52"/>
      <c r="E31" s="54"/>
      <c r="F31" s="72"/>
      <c r="G31" s="54"/>
      <c r="H31" s="56"/>
      <c r="I31" s="54"/>
      <c r="K31" s="54"/>
      <c r="L31" s="56"/>
      <c r="M31" s="54"/>
      <c r="N31" s="56"/>
      <c r="O31" s="54"/>
      <c r="P31" s="56"/>
      <c r="Q31" s="63" t="str">
        <f>IFERROR(__xludf.DUMMYFUNCTION("""COMPUTED_VALUE"""),"MAIN")</f>
        <v>MAIN</v>
      </c>
      <c r="S31" s="79"/>
      <c r="T31" s="131" t="str">
        <f>IFERROR(__xludf.DUMMYFUNCTION("""COMPUTED_VALUE"""),"Dulles A")</f>
        <v>Dulles A</v>
      </c>
      <c r="U31" s="132"/>
      <c r="V31" s="54"/>
      <c r="W31" s="54"/>
      <c r="X31" s="54"/>
      <c r="Y31" s="54"/>
      <c r="Z31" s="54"/>
    </row>
    <row r="32" ht="18.75" customHeight="1">
      <c r="A32" s="58"/>
      <c r="B32" s="75"/>
      <c r="C32" s="54"/>
      <c r="D32" s="56"/>
      <c r="E32" s="63" t="str">
        <f>IFERROR(__xludf.DUMMYFUNCTION("""COMPUTED_VALUE"""),"Goodall")</f>
        <v>Goodall</v>
      </c>
      <c r="G32" s="65" t="str">
        <f>IFERROR(__xludf.DUMMYFUNCTION("""COMPUTED_VALUE"""),"BYE")</f>
        <v>BYE</v>
      </c>
      <c r="I32" s="69" t="str">
        <f>IFERROR(__xludf.DUMMYFUNCTION("""COMPUTED_VALUE"""),"Dulles A")</f>
        <v>Dulles A</v>
      </c>
      <c r="J32" s="72">
        <f>IFERROR(__xludf.DUMMYFUNCTION("""COMPUTED_VALUE"""),142.0)</f>
        <v>142</v>
      </c>
      <c r="K32" s="52"/>
      <c r="L32" s="56"/>
      <c r="M32" s="52"/>
      <c r="N32" s="56"/>
      <c r="O32" s="52"/>
      <c r="P32" s="56"/>
      <c r="Q32" s="52"/>
      <c r="S32" s="79"/>
      <c r="T32" s="54"/>
      <c r="U32" s="127"/>
      <c r="V32" s="54"/>
      <c r="W32" s="54"/>
      <c r="X32" s="54"/>
      <c r="Y32" s="54"/>
      <c r="Z32" s="54"/>
    </row>
    <row r="33" ht="18.75" customHeight="1">
      <c r="A33" s="59" t="str">
        <f>IFERROR(__xludf.DUMMYFUNCTION("""COMPUTED_VALUE"""),"Dulles A")</f>
        <v>Dulles A</v>
      </c>
      <c r="B33" s="60">
        <f>IFERROR(__xludf.DUMMYFUNCTION("""COMPUTED_VALUE"""),180.0)</f>
        <v>180</v>
      </c>
      <c r="C33" s="48"/>
      <c r="D33" s="52"/>
      <c r="E33" s="54"/>
      <c r="G33" s="54"/>
      <c r="H33" s="56"/>
      <c r="I33" s="48"/>
      <c r="J33" s="56"/>
      <c r="K33" s="54"/>
      <c r="L33" s="56"/>
      <c r="M33" s="54"/>
      <c r="N33" s="56"/>
      <c r="O33" s="54"/>
      <c r="P33" s="56"/>
      <c r="Q33" s="48"/>
      <c r="S33" s="79"/>
      <c r="T33" s="54"/>
      <c r="V33" s="54"/>
      <c r="W33" s="54"/>
      <c r="X33" s="54"/>
      <c r="Y33" s="54"/>
      <c r="Z33" s="54"/>
    </row>
    <row r="34" ht="18.75" customHeight="1">
      <c r="A34" s="63" t="str">
        <f>IFERROR(__xludf.DUMMYFUNCTION("""COMPUTED_VALUE"""),"Hawking")</f>
        <v>Hawking</v>
      </c>
      <c r="B34" s="60"/>
      <c r="C34" s="65" t="str">
        <f>IFERROR(__xludf.DUMMYFUNCTION("""COMPUTED_VALUE"""),"BYE")</f>
        <v>BYE</v>
      </c>
      <c r="D34" s="67"/>
      <c r="E34" s="69" t="str">
        <f>IFERROR(__xludf.DUMMYFUNCTION("""COMPUTED_VALUE"""),"Dulles A")</f>
        <v>Dulles A</v>
      </c>
      <c r="F34" s="72">
        <f>IFERROR(__xludf.DUMMYFUNCTION("""COMPUTED_VALUE"""),164.0)</f>
        <v>164</v>
      </c>
      <c r="G34" s="54"/>
      <c r="H34" s="56"/>
      <c r="I34" s="54"/>
      <c r="J34" s="56"/>
      <c r="K34" s="54"/>
      <c r="L34" s="56"/>
      <c r="M34" s="54"/>
      <c r="N34" s="56"/>
      <c r="O34" s="54"/>
      <c r="P34" s="56"/>
      <c r="Q34" s="54"/>
      <c r="S34" s="79"/>
      <c r="T34" s="54"/>
      <c r="U34" s="129"/>
      <c r="V34" s="54"/>
      <c r="W34" s="54"/>
      <c r="X34" s="54"/>
      <c r="Y34" s="54"/>
      <c r="Z34" s="54"/>
    </row>
    <row r="35" ht="18.75" customHeight="1">
      <c r="A35" s="59" t="str">
        <f>IFERROR(__xludf.DUMMYFUNCTION("""COMPUTED_VALUE"""),"RMHS A")</f>
        <v>RMHS A</v>
      </c>
      <c r="B35" s="60">
        <f>IFERROR(__xludf.DUMMYFUNCTION("""COMPUTED_VALUE"""),34.0)</f>
        <v>34</v>
      </c>
      <c r="C35" s="48"/>
      <c r="D35" s="52"/>
      <c r="E35" s="54"/>
      <c r="F35" s="56"/>
      <c r="G35" s="54"/>
      <c r="H35" s="56"/>
      <c r="I35" s="54"/>
      <c r="J35" s="56"/>
      <c r="K35" s="54"/>
      <c r="L35" s="56"/>
      <c r="M35" s="54"/>
      <c r="N35" s="56"/>
      <c r="O35" s="54"/>
      <c r="P35" s="56"/>
      <c r="Q35" s="54"/>
      <c r="S35" s="79"/>
      <c r="T35" s="58"/>
      <c r="U35" s="127"/>
      <c r="V35" s="54"/>
      <c r="W35" s="54"/>
      <c r="X35" s="54"/>
      <c r="Y35" s="54"/>
      <c r="Z35" s="54"/>
    </row>
    <row r="36" ht="18.75" customHeight="1">
      <c r="A36" s="48"/>
      <c r="B36" s="75"/>
      <c r="C36" s="54"/>
      <c r="D36" s="56"/>
      <c r="E36" s="54"/>
      <c r="F36" s="56"/>
      <c r="G36" s="54"/>
      <c r="H36" s="56"/>
      <c r="I36" s="54"/>
      <c r="J36" s="56"/>
      <c r="K36" s="54"/>
      <c r="L36" s="56"/>
      <c r="M36" s="54"/>
      <c r="N36" s="56"/>
      <c r="O36" s="69" t="str">
        <f>IFERROR(__xludf.DUMMYFUNCTION("""COMPUTED_VALUE"""),"Blair A")</f>
        <v>Blair A</v>
      </c>
      <c r="P36" s="72">
        <f>IFERROR(__xludf.DUMMYFUNCTION("""COMPUTED_VALUE"""),90.0)</f>
        <v>90</v>
      </c>
      <c r="Q36" s="54"/>
      <c r="S36" s="79"/>
      <c r="T36" s="54"/>
      <c r="V36" s="54"/>
      <c r="W36" s="54"/>
      <c r="X36" s="54"/>
      <c r="Y36" s="54"/>
      <c r="Z36" s="54"/>
    </row>
    <row r="37" ht="18.75" customHeight="1">
      <c r="A37" s="48"/>
      <c r="B37" s="75"/>
      <c r="C37" s="54"/>
      <c r="D37" s="56"/>
      <c r="E37" s="54"/>
      <c r="F37" s="56"/>
      <c r="G37" s="69" t="str">
        <f>IFERROR(__xludf.DUMMYFUNCTION("""COMPUTED_VALUE"""),"Westminster")</f>
        <v>Westminster</v>
      </c>
      <c r="H37" s="72">
        <f>IFERROR(__xludf.DUMMYFUNCTION("""COMPUTED_VALUE"""),116.0)</f>
        <v>116</v>
      </c>
      <c r="I37" s="54"/>
      <c r="J37" s="56"/>
      <c r="K37" s="69" t="str">
        <f>IFERROR(__xludf.DUMMYFUNCTION("""COMPUTED_VALUE"""),"Lexington A")</f>
        <v>Lexington A</v>
      </c>
      <c r="L37" s="72">
        <f>IFERROR(__xludf.DUMMYFUNCTION("""COMPUTED_VALUE"""),190.0)</f>
        <v>190</v>
      </c>
      <c r="M37" s="54"/>
      <c r="N37" s="56"/>
      <c r="O37" s="54"/>
      <c r="P37" s="79"/>
      <c r="Q37" s="54"/>
      <c r="S37" s="79"/>
      <c r="T37" s="54"/>
      <c r="U37" s="58"/>
      <c r="V37" s="54"/>
      <c r="W37" s="54"/>
      <c r="X37" s="54"/>
      <c r="Y37" s="54"/>
      <c r="Z37" s="54"/>
    </row>
    <row r="38" ht="18.75" customHeight="1">
      <c r="A38" s="48"/>
      <c r="B38" s="75"/>
      <c r="C38" s="69" t="str">
        <f>IFERROR(__xludf.DUMMYFUNCTION("""COMPUTED_VALUE"""),"Blair B")</f>
        <v>Blair B</v>
      </c>
      <c r="D38" s="72">
        <f>IFERROR(__xludf.DUMMYFUNCTION("""COMPUTED_VALUE"""),128.0)</f>
        <v>128</v>
      </c>
      <c r="E38" s="54"/>
      <c r="F38" s="56"/>
      <c r="G38" s="63" t="str">
        <f>IFERROR(__xludf.DUMMYFUNCTION("""COMPUTED_VALUE"""),"Ampere")</f>
        <v>Ampere</v>
      </c>
      <c r="H38" s="72"/>
      <c r="I38" s="54"/>
      <c r="J38" s="56"/>
      <c r="K38" s="54"/>
      <c r="L38" s="79"/>
      <c r="M38" s="54"/>
      <c r="N38" s="56"/>
      <c r="O38" s="54"/>
      <c r="Q38" s="54"/>
      <c r="S38" s="79"/>
      <c r="T38" s="54"/>
      <c r="U38" s="58"/>
      <c r="V38" s="54"/>
      <c r="W38" s="54"/>
      <c r="X38" s="54"/>
      <c r="Y38" s="54"/>
      <c r="Z38" s="54"/>
    </row>
    <row r="39" ht="7.5" customHeight="1">
      <c r="A39" s="48"/>
      <c r="B39" s="75"/>
      <c r="C39" s="63" t="str">
        <f>IFERROR(__xludf.DUMMYFUNCTION("""COMPUTED_VALUE"""),"Ampere")</f>
        <v>Ampere</v>
      </c>
      <c r="D39" s="72"/>
      <c r="E39" s="54"/>
      <c r="F39" s="56"/>
      <c r="I39" s="54"/>
      <c r="J39" s="56"/>
      <c r="K39" s="54"/>
      <c r="M39" s="54"/>
      <c r="N39" s="56"/>
      <c r="O39" s="54"/>
      <c r="Q39" s="54"/>
      <c r="S39" s="79"/>
      <c r="T39" s="54"/>
      <c r="U39" s="58"/>
      <c r="V39" s="54"/>
      <c r="W39" s="54"/>
      <c r="X39" s="54"/>
      <c r="Y39" s="54"/>
      <c r="Z39" s="54"/>
    </row>
    <row r="40" ht="18.75" customHeight="1">
      <c r="A40" s="59" t="str">
        <f>IFERROR(__xludf.DUMMYFUNCTION("""COMPUTED_VALUE"""),"AHS Broward A")</f>
        <v>AHS Broward A</v>
      </c>
      <c r="B40" s="60">
        <f>IFERROR(__xludf.DUMMYFUNCTION("""COMPUTED_VALUE"""),132.0)</f>
        <v>132</v>
      </c>
      <c r="D40" s="72"/>
      <c r="E40" s="142" t="str">
        <f>IFERROR(__xludf.DUMMYFUNCTION("""COMPUTED_VALUE"""),"Blair B")</f>
        <v>Blair B</v>
      </c>
      <c r="F40" s="72">
        <f>IFERROR(__xludf.DUMMYFUNCTION("""COMPUTED_VALUE"""),82.0)</f>
        <v>82</v>
      </c>
      <c r="I40" s="142" t="str">
        <f>IFERROR(__xludf.DUMMYFUNCTION("""COMPUTED_VALUE"""),"Westminster")</f>
        <v>Westminster</v>
      </c>
      <c r="J40" s="72">
        <f>IFERROR(__xludf.DUMMYFUNCTION("""COMPUTED_VALUE"""),110.0)</f>
        <v>110</v>
      </c>
      <c r="K40" s="48"/>
      <c r="M40" s="54"/>
      <c r="N40" s="56"/>
      <c r="O40" s="48"/>
      <c r="Q40" s="54"/>
      <c r="S40" s="79"/>
      <c r="T40" s="54"/>
      <c r="U40" s="58"/>
      <c r="V40" s="54"/>
      <c r="W40" s="54"/>
      <c r="X40" s="54"/>
      <c r="Y40" s="54"/>
      <c r="Z40" s="54"/>
    </row>
    <row r="41" ht="18.75" customHeight="1">
      <c r="A41" s="63" t="str">
        <f>IFERROR(__xludf.DUMMYFUNCTION("""COMPUTED_VALUE"""),"Ising")</f>
        <v>Ising</v>
      </c>
      <c r="B41" s="60"/>
      <c r="C41" s="142" t="str">
        <f>IFERROR(__xludf.DUMMYFUNCTION("""COMPUTED_VALUE"""),"AHS Broward A")</f>
        <v>AHS Broward A</v>
      </c>
      <c r="D41" s="72">
        <f>IFERROR(__xludf.DUMMYFUNCTION("""COMPUTED_VALUE"""),84.0)</f>
        <v>84</v>
      </c>
      <c r="E41" s="63" t="str">
        <f>IFERROR(__xludf.DUMMYFUNCTION("""COMPUTED_VALUE"""),"Ising")</f>
        <v>Ising</v>
      </c>
      <c r="F41" s="72"/>
      <c r="I41" s="54"/>
      <c r="J41" s="79"/>
      <c r="K41" s="63" t="str">
        <f>IFERROR(__xludf.DUMMYFUNCTION("""COMPUTED_VALUE"""),"Ampere")</f>
        <v>Ampere</v>
      </c>
      <c r="M41" s="142" t="str">
        <f>IFERROR(__xludf.DUMMYFUNCTION("""COMPUTED_VALUE"""),"Lexington A")</f>
        <v>Lexington A</v>
      </c>
      <c r="N41" s="72">
        <f>IFERROR(__xludf.DUMMYFUNCTION("""COMPUTED_VALUE"""),120.0)</f>
        <v>120</v>
      </c>
      <c r="O41" s="54"/>
      <c r="Q41" s="54"/>
      <c r="S41" s="79"/>
      <c r="T41" s="54"/>
      <c r="U41" s="58"/>
      <c r="V41" s="54"/>
      <c r="W41" s="54"/>
      <c r="X41" s="54"/>
      <c r="Y41" s="54"/>
      <c r="Z41" s="54"/>
    </row>
    <row r="42" ht="18.75" customHeight="1">
      <c r="A42" s="59" t="str">
        <f>IFERROR(__xludf.DUMMYFUNCTION("""COMPUTED_VALUE"""),"Maryville B")</f>
        <v>Maryville B</v>
      </c>
      <c r="B42" s="60">
        <f>IFERROR(__xludf.DUMMYFUNCTION("""COMPUTED_VALUE"""),20.0)</f>
        <v>20</v>
      </c>
      <c r="C42" s="54"/>
      <c r="D42" s="56"/>
      <c r="G42" s="142" t="str">
        <f>IFERROR(__xludf.DUMMYFUNCTION("""COMPUTED_VALUE"""),"Ladue")</f>
        <v>Ladue</v>
      </c>
      <c r="H42" s="72">
        <f>IFERROR(__xludf.DUMMYFUNCTION("""COMPUTED_VALUE"""),62.0)</f>
        <v>62</v>
      </c>
      <c r="I42" s="48"/>
      <c r="K42" s="52"/>
      <c r="M42" s="48"/>
      <c r="N42" s="72"/>
      <c r="O42" s="54"/>
      <c r="Q42" s="54"/>
      <c r="S42" s="79"/>
      <c r="T42" s="54"/>
      <c r="U42" s="58"/>
      <c r="V42" s="54"/>
      <c r="W42" s="54"/>
      <c r="X42" s="54"/>
      <c r="Y42" s="54"/>
      <c r="Z42" s="54"/>
    </row>
    <row r="43" ht="7.5" customHeight="1">
      <c r="A43" s="54"/>
      <c r="B43" s="75"/>
      <c r="C43" s="48"/>
      <c r="D43" s="52"/>
      <c r="G43" s="48"/>
      <c r="H43" s="52"/>
      <c r="I43" s="54"/>
      <c r="K43" s="54"/>
      <c r="M43" s="54"/>
      <c r="O43" s="63"/>
      <c r="Q43" s="48"/>
      <c r="R43" s="72"/>
      <c r="S43" s="72"/>
      <c r="T43" s="54"/>
      <c r="U43" s="58"/>
      <c r="V43" s="54"/>
      <c r="W43" s="54"/>
      <c r="X43" s="54"/>
      <c r="Y43" s="54"/>
      <c r="Z43" s="54"/>
    </row>
    <row r="44" ht="18.75" customHeight="1">
      <c r="A44" s="54"/>
      <c r="B44" s="75"/>
      <c r="C44" s="69" t="str">
        <f>IFERROR(__xludf.DUMMYFUNCTION("""COMPUTED_VALUE"""),"Ladue")</f>
        <v>Ladue</v>
      </c>
      <c r="D44" s="72">
        <f>IFERROR(__xludf.DUMMYFUNCTION("""COMPUTED_VALUE"""),128.0)</f>
        <v>128</v>
      </c>
      <c r="G44" s="48"/>
      <c r="H44" s="52"/>
      <c r="I44" s="54"/>
      <c r="K44" s="54"/>
      <c r="M44" s="54"/>
      <c r="O44" s="63" t="str">
        <f>IFERROR(__xludf.DUMMYFUNCTION("""COMPUTED_VALUE"""),"Ampere")</f>
        <v>Ampere</v>
      </c>
      <c r="Q44" s="142" t="str">
        <f>IFERROR(__xludf.DUMMYFUNCTION("""COMPUTED_VALUE"""),"Lexington A")</f>
        <v>Lexington A</v>
      </c>
      <c r="R44" s="72">
        <f>IFERROR(__xludf.DUMMYFUNCTION("""COMPUTED_VALUE"""),98.0)</f>
        <v>98</v>
      </c>
      <c r="S44" s="72">
        <f>IFERROR(__xludf.DUMMYFUNCTION("""COMPUTED_VALUE"""),72.0)</f>
        <v>72</v>
      </c>
      <c r="T44" s="54"/>
      <c r="U44" s="58"/>
      <c r="V44" s="54"/>
      <c r="W44" s="54"/>
      <c r="X44" s="54"/>
      <c r="Y44" s="54"/>
      <c r="Z44" s="54"/>
    </row>
    <row r="45" ht="7.5" customHeight="1">
      <c r="A45" s="54"/>
      <c r="B45" s="75"/>
      <c r="C45" s="63" t="str">
        <f>IFERROR(__xludf.DUMMYFUNCTION("""COMPUTED_VALUE"""),"Curie")</f>
        <v>Curie</v>
      </c>
      <c r="D45" s="72"/>
      <c r="F45" s="72"/>
      <c r="G45" s="48"/>
      <c r="H45" s="52"/>
      <c r="I45" s="54"/>
      <c r="K45" s="54"/>
      <c r="L45" s="79"/>
      <c r="M45" s="54"/>
      <c r="O45" s="63"/>
      <c r="Q45" s="48"/>
      <c r="R45" s="52"/>
      <c r="S45" s="52"/>
      <c r="T45" s="54"/>
      <c r="U45" s="58"/>
      <c r="V45" s="54"/>
      <c r="W45" s="54"/>
      <c r="X45" s="54"/>
      <c r="Y45" s="54"/>
      <c r="Z45" s="54"/>
    </row>
    <row r="46" ht="18.75" customHeight="1">
      <c r="A46" s="59" t="str">
        <f>IFERROR(__xludf.DUMMYFUNCTION("""COMPUTED_VALUE"""),"Green Hope B")</f>
        <v>Green Hope B</v>
      </c>
      <c r="B46" s="60">
        <f>IFERROR(__xludf.DUMMYFUNCTION("""COMPUTED_VALUE"""),36.0)</f>
        <v>36</v>
      </c>
      <c r="D46" s="72"/>
      <c r="E46" s="142" t="str">
        <f>IFERROR(__xludf.DUMMYFUNCTION("""COMPUTED_VALUE"""),"Ladue")</f>
        <v>Ladue</v>
      </c>
      <c r="F46" s="72">
        <f>IFERROR(__xludf.DUMMYFUNCTION("""COMPUTED_VALUE"""),158.0)</f>
        <v>158</v>
      </c>
      <c r="G46" s="54"/>
      <c r="H46" s="56"/>
      <c r="I46" s="63" t="str">
        <f>IFERROR(__xludf.DUMMYFUNCTION("""COMPUTED_VALUE"""),"Einstein")</f>
        <v>Einstein</v>
      </c>
      <c r="K46" s="142" t="str">
        <f>IFERROR(__xludf.DUMMYFUNCTION("""COMPUTED_VALUE"""),"Westminster")</f>
        <v>Westminster</v>
      </c>
      <c r="L46" s="72">
        <f>IFERROR(__xludf.DUMMYFUNCTION("""COMPUTED_VALUE"""),48.0)</f>
        <v>48</v>
      </c>
      <c r="M46" s="54"/>
      <c r="O46" s="54"/>
      <c r="Q46" s="54"/>
      <c r="R46" s="56"/>
      <c r="S46" s="56"/>
      <c r="T46" s="54"/>
      <c r="U46" s="58"/>
      <c r="V46" s="54"/>
      <c r="W46" s="54"/>
      <c r="X46" s="54"/>
      <c r="Y46" s="54"/>
      <c r="Z46" s="54"/>
    </row>
    <row r="47" ht="18.75" customHeight="1">
      <c r="A47" s="63" t="str">
        <f>IFERROR(__xludf.DUMMYFUNCTION("""COMPUTED_VALUE"""),"Joule")</f>
        <v>Joule</v>
      </c>
      <c r="B47" s="60"/>
      <c r="C47" s="142" t="str">
        <f>IFERROR(__xludf.DUMMYFUNCTION("""COMPUTED_VALUE"""),"AHS Broward B")</f>
        <v>AHS Broward B</v>
      </c>
      <c r="D47" s="72">
        <f>IFERROR(__xludf.DUMMYFUNCTION("""COMPUTED_VALUE"""),40.0)</f>
        <v>40</v>
      </c>
      <c r="E47" s="54"/>
      <c r="F47" s="56"/>
      <c r="G47" s="48"/>
      <c r="H47" s="52"/>
      <c r="I47" s="54"/>
      <c r="K47" s="54"/>
      <c r="L47" s="56"/>
      <c r="M47" s="54"/>
      <c r="O47" s="48"/>
      <c r="Q47" s="54"/>
      <c r="R47" s="56"/>
      <c r="S47" s="56"/>
      <c r="T47" s="54"/>
      <c r="U47" s="58"/>
      <c r="V47" s="54"/>
      <c r="W47" s="54"/>
      <c r="X47" s="54"/>
      <c r="Y47" s="54"/>
      <c r="Z47" s="54"/>
    </row>
    <row r="48" ht="18.75" customHeight="1">
      <c r="A48" s="59" t="str">
        <f>IFERROR(__xludf.DUMMYFUNCTION("""COMPUTED_VALUE"""),"AHS Broward B")</f>
        <v>AHS Broward B</v>
      </c>
      <c r="B48" s="60">
        <f>IFERROR(__xludf.DUMMYFUNCTION("""COMPUTED_VALUE"""),70.0)</f>
        <v>70</v>
      </c>
      <c r="C48" s="54"/>
      <c r="D48" s="56"/>
      <c r="E48" s="48"/>
      <c r="F48" s="52"/>
      <c r="G48" s="69" t="str">
        <f>IFERROR(__xludf.DUMMYFUNCTION("""COMPUTED_VALUE"""),"JP Stevens A")</f>
        <v>JP Stevens A</v>
      </c>
      <c r="H48" s="72">
        <f>IFERROR(__xludf.DUMMYFUNCTION("""COMPUTED_VALUE"""),88.0)</f>
        <v>88</v>
      </c>
      <c r="I48" s="144"/>
      <c r="K48" s="54"/>
      <c r="L48" s="56"/>
      <c r="M48" s="52"/>
      <c r="O48" s="145"/>
      <c r="Q48" s="54"/>
      <c r="R48" s="56"/>
      <c r="S48" s="56"/>
      <c r="T48" s="54"/>
      <c r="U48" s="58"/>
      <c r="V48" s="54"/>
      <c r="W48" s="54"/>
      <c r="X48" s="54"/>
      <c r="Y48" s="54"/>
      <c r="Z48" s="54"/>
    </row>
    <row r="49" ht="7.5" customHeight="1">
      <c r="A49" s="54"/>
      <c r="B49" s="75"/>
      <c r="C49" s="48"/>
      <c r="D49" s="52"/>
      <c r="E49" s="52"/>
      <c r="F49" s="52"/>
      <c r="G49" s="63" t="str">
        <f>IFERROR(__xludf.DUMMYFUNCTION("""COMPUTED_VALUE"""),"Curie")</f>
        <v>Curie</v>
      </c>
      <c r="H49" s="72"/>
      <c r="I49" s="54"/>
      <c r="K49" s="54"/>
      <c r="L49" s="56"/>
      <c r="M49" s="54"/>
      <c r="O49" s="54"/>
      <c r="Q49" s="54"/>
      <c r="R49" s="56"/>
      <c r="S49" s="56"/>
      <c r="T49" s="54"/>
      <c r="U49" s="58"/>
      <c r="V49" s="54"/>
      <c r="W49" s="54"/>
      <c r="X49" s="54"/>
      <c r="Y49" s="54"/>
      <c r="Z49" s="54"/>
    </row>
    <row r="50" ht="18.75" customHeight="1">
      <c r="A50" s="54"/>
      <c r="B50" s="75"/>
      <c r="C50" s="69" t="str">
        <f>IFERROR(__xludf.DUMMYFUNCTION("""COMPUTED_VALUE"""),"duPont Manual")</f>
        <v>duPont Manual</v>
      </c>
      <c r="D50" s="72">
        <f>IFERROR(__xludf.DUMMYFUNCTION("""COMPUTED_VALUE"""),62.0)</f>
        <v>62</v>
      </c>
      <c r="E50" s="52"/>
      <c r="F50" s="52"/>
      <c r="H50" s="72"/>
      <c r="I50" s="54"/>
      <c r="K50" s="54"/>
      <c r="L50" s="56"/>
      <c r="M50" s="54"/>
      <c r="O50" s="54"/>
      <c r="Q50" s="54"/>
      <c r="R50" s="56"/>
      <c r="S50" s="56"/>
      <c r="T50" s="54"/>
      <c r="U50" s="58"/>
      <c r="V50" s="54"/>
      <c r="W50" s="54"/>
      <c r="X50" s="54"/>
      <c r="Y50" s="54"/>
      <c r="Z50" s="54"/>
    </row>
    <row r="51" ht="7.5" customHeight="1">
      <c r="A51" s="54"/>
      <c r="B51" s="75"/>
      <c r="C51" s="63" t="str">
        <f>IFERROR(__xludf.DUMMYFUNCTION("""COMPUTED_VALUE"""),"Einstein")</f>
        <v>Einstein</v>
      </c>
      <c r="D51" s="72"/>
      <c r="E51" s="52"/>
      <c r="F51" s="52"/>
      <c r="I51" s="54"/>
      <c r="J51" s="79"/>
      <c r="K51" s="54"/>
      <c r="L51" s="56"/>
      <c r="M51" s="54"/>
      <c r="O51" s="54"/>
      <c r="Q51" s="54"/>
      <c r="R51" s="56"/>
      <c r="S51" s="56"/>
      <c r="T51" s="54"/>
      <c r="U51" s="58"/>
      <c r="V51" s="54"/>
      <c r="W51" s="54"/>
      <c r="X51" s="54"/>
      <c r="Y51" s="54"/>
      <c r="Z51" s="54"/>
    </row>
    <row r="52" ht="18.75" customHeight="1">
      <c r="A52" s="59" t="str">
        <f>IFERROR(__xludf.DUMMYFUNCTION("""COMPUTED_VALUE"""),"Blair C")</f>
        <v>Blair C</v>
      </c>
      <c r="B52" s="60">
        <f>IFERROR(__xludf.DUMMYFUNCTION("""COMPUTED_VALUE"""),100.0)</f>
        <v>100</v>
      </c>
      <c r="D52" s="72"/>
      <c r="E52" s="142" t="str">
        <f>IFERROR(__xludf.DUMMYFUNCTION("""COMPUTED_VALUE"""),"Blair C")</f>
        <v>Blair C</v>
      </c>
      <c r="F52" s="72">
        <f>IFERROR(__xludf.DUMMYFUNCTION("""COMPUTED_VALUE"""),94.0)</f>
        <v>94</v>
      </c>
      <c r="I52" s="142" t="str">
        <f>IFERROR(__xludf.DUMMYFUNCTION("""COMPUTED_VALUE"""),"JP Stevens A")</f>
        <v>JP Stevens A</v>
      </c>
      <c r="J52" s="72">
        <f>IFERROR(__xludf.DUMMYFUNCTION("""COMPUTED_VALUE"""),110.0)</f>
        <v>110</v>
      </c>
      <c r="K52" s="48"/>
      <c r="L52" s="52"/>
      <c r="M52" s="54"/>
      <c r="O52" s="54"/>
      <c r="Q52" s="54"/>
      <c r="R52" s="56"/>
      <c r="S52" s="56"/>
      <c r="T52" s="54"/>
      <c r="U52" s="58"/>
      <c r="V52" s="54"/>
      <c r="W52" s="54"/>
      <c r="X52" s="54"/>
      <c r="Y52" s="54"/>
      <c r="Z52" s="54"/>
    </row>
    <row r="53" ht="18.75" customHeight="1">
      <c r="A53" s="63" t="str">
        <f>IFERROR(__xludf.DUMMYFUNCTION("""COMPUTED_VALUE"""),"Kepler")</f>
        <v>Kepler</v>
      </c>
      <c r="B53" s="60"/>
      <c r="C53" s="142" t="str">
        <f>IFERROR(__xludf.DUMMYFUNCTION("""COMPUTED_VALUE"""),"Blair C")</f>
        <v>Blair C</v>
      </c>
      <c r="D53" s="72">
        <f>IFERROR(__xludf.DUMMYFUNCTION("""COMPUTED_VALUE"""),66.0)</f>
        <v>66</v>
      </c>
      <c r="E53" s="63" t="str">
        <f>IFERROR(__xludf.DUMMYFUNCTION("""COMPUTED_VALUE"""),"Kepler")</f>
        <v>Kepler</v>
      </c>
      <c r="F53" s="72"/>
      <c r="I53" s="54"/>
      <c r="J53" s="56"/>
      <c r="K53" s="54"/>
      <c r="L53" s="56"/>
      <c r="M53" s="63" t="str">
        <f>IFERROR(__xludf.DUMMYFUNCTION("""COMPUTED_VALUE"""),"Curie")</f>
        <v>Curie</v>
      </c>
      <c r="O53" s="142" t="str">
        <f>IFERROR(__xludf.DUMMYFUNCTION("""COMPUTED_VALUE"""),"Lexington A")</f>
        <v>Lexington A</v>
      </c>
      <c r="P53" s="72">
        <f>IFERROR(__xludf.DUMMYFUNCTION("""COMPUTED_VALUE"""),106.0)</f>
        <v>106</v>
      </c>
      <c r="Q53" s="54"/>
      <c r="R53" s="56"/>
      <c r="S53" s="56"/>
      <c r="T53" s="54"/>
      <c r="U53" s="58"/>
      <c r="V53" s="54"/>
      <c r="W53" s="54"/>
      <c r="X53" s="54"/>
      <c r="Y53" s="54"/>
      <c r="Z53" s="54"/>
    </row>
    <row r="54" ht="18.75" customHeight="1">
      <c r="A54" s="59" t="str">
        <f>IFERROR(__xludf.DUMMYFUNCTION("""COMPUTED_VALUE"""),"Poolesville A")</f>
        <v>Poolesville A</v>
      </c>
      <c r="B54" s="60">
        <f>IFERROR(__xludf.DUMMYFUNCTION("""COMPUTED_VALUE"""),64.0)</f>
        <v>64</v>
      </c>
      <c r="C54" s="54"/>
      <c r="D54" s="56"/>
      <c r="G54" s="142" t="str">
        <f>IFERROR(__xludf.DUMMYFUNCTION("""COMPUTED_VALUE"""),"Blair C")</f>
        <v>Blair C</v>
      </c>
      <c r="H54" s="72">
        <f>IFERROR(__xludf.DUMMYFUNCTION("""COMPUTED_VALUE"""),48.0)</f>
        <v>48</v>
      </c>
      <c r="I54" s="48"/>
      <c r="J54" s="52"/>
      <c r="K54" s="52"/>
      <c r="L54" s="56"/>
      <c r="M54" s="48"/>
      <c r="O54" s="54"/>
      <c r="P54" s="56"/>
      <c r="Q54" s="54"/>
      <c r="R54" s="56"/>
      <c r="S54" s="56"/>
      <c r="T54" s="54"/>
      <c r="U54" s="58"/>
      <c r="V54" s="54"/>
      <c r="W54" s="54"/>
      <c r="X54" s="54"/>
      <c r="Y54" s="54"/>
      <c r="Z54" s="54"/>
    </row>
    <row r="55" ht="7.5" customHeight="1">
      <c r="A55" s="58"/>
      <c r="B55" s="75"/>
      <c r="C55" s="48"/>
      <c r="D55" s="52"/>
      <c r="G55" s="48"/>
      <c r="H55" s="52"/>
      <c r="I55" s="54"/>
      <c r="J55" s="56"/>
      <c r="K55" s="54"/>
      <c r="L55" s="56"/>
      <c r="M55" s="54"/>
      <c r="O55" s="54"/>
      <c r="P55" s="56"/>
      <c r="Q55" s="54"/>
      <c r="R55" s="56"/>
      <c r="S55" s="56"/>
      <c r="T55" s="54"/>
      <c r="U55" s="58"/>
      <c r="V55" s="54"/>
      <c r="W55" s="54"/>
      <c r="X55" s="54"/>
      <c r="Y55" s="54"/>
      <c r="Z55" s="54"/>
    </row>
    <row r="56" ht="18.75" customHeight="1">
      <c r="A56" s="58"/>
      <c r="B56" s="75"/>
      <c r="C56" s="69" t="str">
        <f>IFERROR(__xludf.DUMMYFUNCTION("""COMPUTED_VALUE"""),"PRISMS")</f>
        <v>PRISMS</v>
      </c>
      <c r="D56" s="72">
        <f>IFERROR(__xludf.DUMMYFUNCTION("""COMPUTED_VALUE"""),128.0)</f>
        <v>128</v>
      </c>
      <c r="G56" s="48"/>
      <c r="H56" s="52"/>
      <c r="I56" s="54"/>
      <c r="J56" s="56"/>
      <c r="K56" s="54"/>
      <c r="L56" s="56"/>
      <c r="M56" s="54"/>
      <c r="O56" s="54"/>
      <c r="P56" s="56"/>
      <c r="Q56" s="54"/>
      <c r="R56" s="56"/>
      <c r="S56" s="56"/>
      <c r="T56" s="54"/>
      <c r="U56" s="58"/>
      <c r="V56" s="54"/>
      <c r="W56" s="54"/>
      <c r="X56" s="54"/>
      <c r="Y56" s="54"/>
      <c r="Z56" s="54"/>
    </row>
    <row r="57" ht="7.5" customHeight="1">
      <c r="A57" s="58"/>
      <c r="B57" s="75"/>
      <c r="C57" s="63" t="str">
        <f>IFERROR(__xludf.DUMMYFUNCTION("""COMPUTED_VALUE"""),"Goodall")</f>
        <v>Goodall</v>
      </c>
      <c r="D57" s="72"/>
      <c r="F57" s="72"/>
      <c r="G57" s="48"/>
      <c r="H57" s="52"/>
      <c r="I57" s="54"/>
      <c r="J57" s="56"/>
      <c r="K57" s="54"/>
      <c r="L57" s="56"/>
      <c r="M57" s="54"/>
      <c r="O57" s="54"/>
      <c r="P57" s="56"/>
      <c r="Q57" s="54"/>
      <c r="R57" s="56"/>
      <c r="S57" s="56"/>
      <c r="T57" s="54"/>
      <c r="U57" s="58"/>
      <c r="V57" s="54"/>
      <c r="W57" s="54"/>
      <c r="X57" s="54"/>
      <c r="Y57" s="54"/>
      <c r="Z57" s="54"/>
    </row>
    <row r="58" ht="18.75" customHeight="1">
      <c r="A58" s="59" t="str">
        <f>IFERROR(__xludf.DUMMYFUNCTION("""COMPUTED_VALUE"""),"MCA")</f>
        <v>MCA</v>
      </c>
      <c r="B58" s="60">
        <f>IFERROR(__xludf.DUMMYFUNCTION("""COMPUTED_VALUE"""),38.0)</f>
        <v>38</v>
      </c>
      <c r="D58" s="72"/>
      <c r="E58" s="142" t="str">
        <f>IFERROR(__xludf.DUMMYFUNCTION("""COMPUTED_VALUE"""),"PRISMS")</f>
        <v>PRISMS</v>
      </c>
      <c r="F58" s="72">
        <f>IFERROR(__xludf.DUMMYFUNCTION("""COMPUTED_VALUE"""),72.0)</f>
        <v>72</v>
      </c>
      <c r="G58" s="54"/>
      <c r="H58" s="56"/>
      <c r="I58" s="52"/>
      <c r="J58" s="56"/>
      <c r="K58" s="48"/>
      <c r="L58" s="52"/>
      <c r="M58" s="54"/>
      <c r="O58" s="54"/>
      <c r="P58" s="56"/>
      <c r="Q58" s="54"/>
      <c r="R58" s="56"/>
      <c r="S58" s="56"/>
      <c r="T58" s="54"/>
      <c r="U58" s="58"/>
      <c r="V58" s="54"/>
      <c r="W58" s="54"/>
      <c r="X58" s="54"/>
      <c r="Y58" s="54"/>
      <c r="Z58" s="54"/>
    </row>
    <row r="59" ht="18.75" customHeight="1">
      <c r="A59" s="63" t="str">
        <f>IFERROR(__xludf.DUMMYFUNCTION("""COMPUTED_VALUE"""),"Lehmann")</f>
        <v>Lehmann</v>
      </c>
      <c r="B59" s="60"/>
      <c r="C59" s="142" t="str">
        <f>IFERROR(__xludf.DUMMYFUNCTION("""COMPUTED_VALUE"""),"Naperville North A")</f>
        <v>Naperville North A</v>
      </c>
      <c r="D59" s="72">
        <f>IFERROR(__xludf.DUMMYFUNCTION("""COMPUTED_VALUE"""),16.0)</f>
        <v>16</v>
      </c>
      <c r="E59" s="54"/>
      <c r="F59" s="56"/>
      <c r="G59" s="48"/>
      <c r="H59" s="52"/>
      <c r="I59" s="54"/>
      <c r="J59" s="56"/>
      <c r="K59" s="54"/>
      <c r="L59" s="56"/>
      <c r="M59" s="54"/>
      <c r="O59" s="54"/>
      <c r="P59" s="56"/>
      <c r="Q59" s="54"/>
      <c r="R59" s="56"/>
      <c r="S59" s="56"/>
      <c r="T59" s="54"/>
      <c r="U59" s="58"/>
      <c r="V59" s="54"/>
      <c r="W59" s="54"/>
      <c r="X59" s="54"/>
      <c r="Y59" s="54"/>
      <c r="Z59" s="54"/>
    </row>
    <row r="60" ht="18.75" customHeight="1">
      <c r="A60" s="59" t="str">
        <f>IFERROR(__xludf.DUMMYFUNCTION("""COMPUTED_VALUE"""),"Naperville North A")</f>
        <v>Naperville North A</v>
      </c>
      <c r="B60" s="60">
        <f>IFERROR(__xludf.DUMMYFUNCTION("""COMPUTED_VALUE"""),68.0)</f>
        <v>68</v>
      </c>
      <c r="C60" s="54"/>
      <c r="D60" s="56"/>
      <c r="E60" s="48"/>
      <c r="F60" s="52"/>
      <c r="G60" s="69" t="str">
        <f>IFERROR(__xludf.DUMMYFUNCTION("""COMPUTED_VALUE"""),"Centennial")</f>
        <v>Centennial</v>
      </c>
      <c r="H60" s="72">
        <f>IFERROR(__xludf.DUMMYFUNCTION("""COMPUTED_VALUE"""),150.0)</f>
        <v>150</v>
      </c>
      <c r="I60" s="48"/>
      <c r="J60" s="52"/>
      <c r="K60" s="69" t="str">
        <f>IFERROR(__xludf.DUMMYFUNCTION("""COMPUTED_VALUE"""),"Buchholz A")</f>
        <v>Buchholz A</v>
      </c>
      <c r="L60" s="72">
        <f>IFERROR(__xludf.DUMMYFUNCTION("""COMPUTED_VALUE"""),100.0)</f>
        <v>100</v>
      </c>
      <c r="M60" s="54"/>
      <c r="O60" s="54"/>
      <c r="P60" s="56"/>
      <c r="Q60" s="54"/>
      <c r="R60" s="56"/>
      <c r="S60" s="56"/>
      <c r="T60" s="54"/>
      <c r="U60" s="58"/>
      <c r="V60" s="54"/>
      <c r="W60" s="54"/>
      <c r="X60" s="54"/>
      <c r="Y60" s="54"/>
      <c r="Z60" s="54"/>
    </row>
    <row r="61" ht="7.5" customHeight="1">
      <c r="A61" s="45"/>
      <c r="B61" s="75"/>
      <c r="C61" s="48"/>
      <c r="D61" s="52"/>
      <c r="E61" s="52"/>
      <c r="F61" s="52"/>
      <c r="G61" s="63" t="str">
        <f>IFERROR(__xludf.DUMMYFUNCTION("""COMPUTED_VALUE"""),"Einstein")</f>
        <v>Einstein</v>
      </c>
      <c r="H61" s="72"/>
      <c r="I61" s="54"/>
      <c r="J61" s="56"/>
      <c r="K61" s="54"/>
      <c r="L61" s="79"/>
      <c r="M61" s="54"/>
      <c r="O61" s="54"/>
      <c r="P61" s="56"/>
      <c r="Q61" s="54"/>
      <c r="R61" s="56"/>
      <c r="S61" s="56"/>
      <c r="T61" s="54"/>
      <c r="U61" s="58"/>
      <c r="V61" s="54"/>
      <c r="W61" s="54"/>
      <c r="X61" s="54"/>
      <c r="Y61" s="54"/>
      <c r="Z61" s="54"/>
    </row>
    <row r="62" ht="18.75" customHeight="1">
      <c r="A62" s="58"/>
      <c r="B62" s="75"/>
      <c r="C62" s="69" t="str">
        <f>IFERROR(__xludf.DUMMYFUNCTION("""COMPUTED_VALUE"""),"Lexington B")</f>
        <v>Lexington B</v>
      </c>
      <c r="D62" s="72">
        <f>IFERROR(__xludf.DUMMYFUNCTION("""COMPUTED_VALUE"""),120.0)</f>
        <v>120</v>
      </c>
      <c r="E62" s="52"/>
      <c r="F62" s="52"/>
      <c r="H62" s="72"/>
      <c r="I62" s="54"/>
      <c r="J62" s="56"/>
      <c r="K62" s="54"/>
      <c r="L62" s="79"/>
      <c r="M62" s="54"/>
      <c r="O62" s="54"/>
      <c r="P62" s="56"/>
      <c r="Q62" s="54"/>
      <c r="R62" s="56"/>
      <c r="S62" s="56"/>
      <c r="T62" s="54"/>
      <c r="U62" s="58"/>
      <c r="V62" s="54"/>
      <c r="W62" s="54"/>
      <c r="X62" s="54"/>
      <c r="Y62" s="54"/>
      <c r="Z62" s="54"/>
    </row>
    <row r="63" ht="7.5" customHeight="1">
      <c r="A63" s="58"/>
      <c r="B63" s="75"/>
      <c r="C63" s="63" t="str">
        <f>IFERROR(__xludf.DUMMYFUNCTION("""COMPUTED_VALUE"""),"Ising")</f>
        <v>Ising</v>
      </c>
      <c r="D63" s="72"/>
      <c r="E63" s="52"/>
      <c r="F63" s="52"/>
      <c r="I63" s="54"/>
      <c r="J63" s="56"/>
      <c r="K63" s="54"/>
      <c r="M63" s="54"/>
      <c r="O63" s="54"/>
      <c r="P63" s="56"/>
      <c r="Q63" s="54"/>
      <c r="R63" s="56"/>
      <c r="S63" s="56"/>
      <c r="T63" s="54"/>
      <c r="U63" s="58"/>
      <c r="V63" s="54"/>
      <c r="W63" s="54"/>
      <c r="X63" s="54"/>
      <c r="Y63" s="54"/>
      <c r="Z63" s="54"/>
    </row>
    <row r="64" ht="18.75" customHeight="1">
      <c r="A64" s="59" t="str">
        <f>IFERROR(__xludf.DUMMYFUNCTION("""COMPUTED_VALUE"""),"Iolani A")</f>
        <v>Iolani A</v>
      </c>
      <c r="B64" s="60">
        <f>IFERROR(__xludf.DUMMYFUNCTION("""COMPUTED_VALUE"""),106.0)</f>
        <v>106</v>
      </c>
      <c r="D64" s="72"/>
      <c r="E64" s="142" t="str">
        <f>IFERROR(__xludf.DUMMYFUNCTION("""COMPUTED_VALUE"""),"Lexington B")</f>
        <v>Lexington B</v>
      </c>
      <c r="F64" s="72">
        <f>IFERROR(__xludf.DUMMYFUNCTION("""COMPUTED_VALUE"""),68.0)</f>
        <v>68</v>
      </c>
      <c r="I64" s="142" t="str">
        <f>IFERROR(__xludf.DUMMYFUNCTION("""COMPUTED_VALUE"""),"Centennial")</f>
        <v>Centennial</v>
      </c>
      <c r="J64" s="72">
        <f>IFERROR(__xludf.DUMMYFUNCTION("""COMPUTED_VALUE"""),120.0)</f>
        <v>120</v>
      </c>
      <c r="K64" s="48"/>
      <c r="M64" s="54"/>
      <c r="O64" s="54"/>
      <c r="P64" s="56"/>
      <c r="Q64" s="54"/>
      <c r="R64" s="56"/>
      <c r="S64" s="56"/>
      <c r="T64" s="54"/>
      <c r="U64" s="58"/>
      <c r="V64" s="54"/>
      <c r="W64" s="54"/>
      <c r="X64" s="54"/>
      <c r="Y64" s="54"/>
      <c r="Z64" s="54"/>
    </row>
    <row r="65" ht="18.75" customHeight="1">
      <c r="A65" s="63" t="str">
        <f>IFERROR(__xludf.DUMMYFUNCTION("""COMPUTED_VALUE"""),"Mendel")</f>
        <v>Mendel</v>
      </c>
      <c r="B65" s="60"/>
      <c r="C65" s="142" t="str">
        <f>IFERROR(__xludf.DUMMYFUNCTION("""COMPUTED_VALUE"""),"Iolani A")</f>
        <v>Iolani A</v>
      </c>
      <c r="D65" s="72">
        <f>IFERROR(__xludf.DUMMYFUNCTION("""COMPUTED_VALUE"""),106.0)</f>
        <v>106</v>
      </c>
      <c r="E65" s="63" t="str">
        <f>IFERROR(__xludf.DUMMYFUNCTION("""COMPUTED_VALUE"""),"Mendel")</f>
        <v>Mendel</v>
      </c>
      <c r="F65" s="72"/>
      <c r="I65" s="54"/>
      <c r="J65" s="79"/>
      <c r="K65" s="63" t="str">
        <f>IFERROR(__xludf.DUMMYFUNCTION("""COMPUTED_VALUE"""),"Curie")</f>
        <v>Curie</v>
      </c>
      <c r="M65" s="142" t="str">
        <f>IFERROR(__xludf.DUMMYFUNCTION("""COMPUTED_VALUE"""),"Centennial")</f>
        <v>Centennial</v>
      </c>
      <c r="N65" s="72">
        <f>IFERROR(__xludf.DUMMYFUNCTION("""COMPUTED_VALUE"""),78.0)</f>
        <v>78</v>
      </c>
      <c r="O65" s="48"/>
      <c r="P65" s="56"/>
      <c r="Q65" s="54"/>
      <c r="R65" s="56"/>
      <c r="S65" s="56"/>
      <c r="T65" s="54"/>
      <c r="U65" s="58"/>
      <c r="V65" s="54"/>
      <c r="W65" s="54"/>
      <c r="X65" s="54"/>
      <c r="Y65" s="54"/>
      <c r="Z65" s="54"/>
    </row>
    <row r="66" ht="18.75" customHeight="1">
      <c r="A66" s="59" t="str">
        <f>IFERROR(__xludf.DUMMYFUNCTION("""COMPUTED_VALUE"""),"Tupelo")</f>
        <v>Tupelo</v>
      </c>
      <c r="B66" s="60">
        <f>IFERROR(__xludf.DUMMYFUNCTION("""COMPUTED_VALUE"""),80.0)</f>
        <v>80</v>
      </c>
      <c r="C66" s="54"/>
      <c r="D66" s="56"/>
      <c r="G66" s="142" t="str">
        <f>IFERROR(__xludf.DUMMYFUNCTION("""COMPUTED_VALUE"""),"ASFA A")</f>
        <v>ASFA A</v>
      </c>
      <c r="H66" s="72">
        <f>IFERROR(__xludf.DUMMYFUNCTION("""COMPUTED_VALUE"""),56.0)</f>
        <v>56</v>
      </c>
      <c r="I66" s="48"/>
      <c r="K66" s="52"/>
      <c r="M66" s="54"/>
      <c r="N66" s="56"/>
      <c r="O66" s="54"/>
      <c r="P66" s="56"/>
      <c r="Q66" s="54"/>
      <c r="R66" s="56"/>
      <c r="S66" s="56"/>
      <c r="T66" s="54"/>
      <c r="U66" s="58"/>
      <c r="V66" s="54"/>
      <c r="W66" s="54"/>
      <c r="X66" s="54"/>
      <c r="Y66" s="54"/>
      <c r="Z66" s="54"/>
    </row>
    <row r="67" ht="7.5" customHeight="1">
      <c r="A67" s="54"/>
      <c r="B67" s="75"/>
      <c r="C67" s="48"/>
      <c r="D67" s="52"/>
      <c r="G67" s="54"/>
      <c r="H67" s="56"/>
      <c r="I67" s="54"/>
      <c r="K67" s="54"/>
      <c r="M67" s="54"/>
      <c r="N67" s="56"/>
      <c r="O67" s="54"/>
      <c r="P67" s="56"/>
      <c r="Q67" s="54"/>
      <c r="R67" s="56"/>
      <c r="S67" s="56"/>
      <c r="T67" s="54"/>
      <c r="U67" s="58"/>
      <c r="V67" s="54"/>
      <c r="W67" s="54"/>
      <c r="X67" s="54"/>
      <c r="Y67" s="54"/>
      <c r="Z67" s="54"/>
    </row>
    <row r="68" ht="18.75" customHeight="1">
      <c r="A68" s="54"/>
      <c r="B68" s="75"/>
      <c r="C68" s="69" t="str">
        <f>IFERROR(__xludf.DUMMYFUNCTION("""COMPUTED_VALUE"""),"MSMS")</f>
        <v>MSMS</v>
      </c>
      <c r="D68" s="72">
        <f>IFERROR(__xludf.DUMMYFUNCTION("""COMPUTED_VALUE"""),66.0)</f>
        <v>66</v>
      </c>
      <c r="G68" s="54"/>
      <c r="H68" s="56"/>
      <c r="I68" s="54"/>
      <c r="K68" s="54"/>
      <c r="M68" s="54"/>
      <c r="N68" s="56"/>
      <c r="O68" s="54"/>
      <c r="P68" s="56"/>
      <c r="Q68" s="54"/>
      <c r="R68" s="56"/>
      <c r="S68" s="56"/>
      <c r="T68" s="54"/>
      <c r="U68" s="58"/>
      <c r="V68" s="54"/>
      <c r="W68" s="54"/>
      <c r="X68" s="54"/>
      <c r="Y68" s="54"/>
      <c r="Z68" s="54"/>
    </row>
    <row r="69" ht="7.5" customHeight="1">
      <c r="A69" s="54"/>
      <c r="B69" s="75"/>
      <c r="C69" s="63" t="str">
        <f>IFERROR(__xludf.DUMMYFUNCTION("""COMPUTED_VALUE"""),"Kepler")</f>
        <v>Kepler</v>
      </c>
      <c r="D69" s="72"/>
      <c r="F69" s="72"/>
      <c r="G69" s="54"/>
      <c r="H69" s="56"/>
      <c r="I69" s="54"/>
      <c r="K69" s="54"/>
      <c r="L69" s="79"/>
      <c r="M69" s="54"/>
      <c r="N69" s="56"/>
      <c r="O69" s="54"/>
      <c r="P69" s="56"/>
      <c r="Q69" s="54"/>
      <c r="R69" s="56"/>
      <c r="S69" s="56"/>
      <c r="T69" s="54"/>
      <c r="U69" s="58"/>
      <c r="V69" s="54"/>
      <c r="W69" s="54"/>
      <c r="X69" s="54"/>
      <c r="Y69" s="54"/>
      <c r="Z69" s="54"/>
    </row>
    <row r="70" ht="18.75" customHeight="1">
      <c r="A70" s="59" t="str">
        <f>IFERROR(__xludf.DUMMYFUNCTION("""COMPUTED_VALUE"""),"ASFA A")</f>
        <v>ASFA A</v>
      </c>
      <c r="B70" s="60">
        <f>IFERROR(__xludf.DUMMYFUNCTION("""COMPUTED_VALUE"""),136.0)</f>
        <v>136</v>
      </c>
      <c r="D70" s="72"/>
      <c r="E70" s="142" t="str">
        <f>IFERROR(__xludf.DUMMYFUNCTION("""COMPUTED_VALUE"""),"ASFA A")</f>
        <v>ASFA A</v>
      </c>
      <c r="F70" s="72">
        <f>IFERROR(__xludf.DUMMYFUNCTION("""COMPUTED_VALUE"""),80.0)</f>
        <v>80</v>
      </c>
      <c r="G70" s="54"/>
      <c r="H70" s="56"/>
      <c r="I70" s="63" t="str">
        <f>IFERROR(__xludf.DUMMYFUNCTION("""COMPUTED_VALUE"""),"Goodall")</f>
        <v>Goodall</v>
      </c>
      <c r="K70" s="142" t="str">
        <f>IFERROR(__xludf.DUMMYFUNCTION("""COMPUTED_VALUE"""),"Centennial")</f>
        <v>Centennial</v>
      </c>
      <c r="L70" s="72">
        <f>IFERROR(__xludf.DUMMYFUNCTION("""COMPUTED_VALUE"""),118.0)</f>
        <v>118</v>
      </c>
      <c r="M70" s="54"/>
      <c r="N70" s="56"/>
      <c r="O70" s="54"/>
      <c r="P70" s="56"/>
      <c r="Q70" s="54"/>
      <c r="R70" s="56"/>
      <c r="S70" s="56"/>
      <c r="T70" s="54"/>
      <c r="U70" s="58"/>
      <c r="V70" s="54"/>
      <c r="W70" s="54"/>
      <c r="X70" s="54"/>
      <c r="Y70" s="54"/>
      <c r="Z70" s="54"/>
    </row>
    <row r="71" ht="18.75" customHeight="1">
      <c r="A71" s="63" t="str">
        <f>IFERROR(__xludf.DUMMYFUNCTION("""COMPUTED_VALUE"""),"Newton")</f>
        <v>Newton</v>
      </c>
      <c r="B71" s="60"/>
      <c r="C71" s="142" t="str">
        <f>IFERROR(__xludf.DUMMYFUNCTION("""COMPUTED_VALUE"""),"ASFA A")</f>
        <v>ASFA A</v>
      </c>
      <c r="D71" s="72">
        <f>IFERROR(__xludf.DUMMYFUNCTION("""COMPUTED_VALUE"""),148.0)</f>
        <v>148</v>
      </c>
      <c r="E71" s="54"/>
      <c r="F71" s="56"/>
      <c r="G71" s="54"/>
      <c r="H71" s="56"/>
      <c r="I71" s="54"/>
      <c r="K71" s="54"/>
      <c r="L71" s="56"/>
      <c r="M71" s="54"/>
      <c r="N71" s="56"/>
      <c r="O71" s="54"/>
      <c r="P71" s="56"/>
      <c r="Q71" s="54"/>
      <c r="R71" s="56"/>
      <c r="S71" s="56"/>
      <c r="T71" s="54"/>
      <c r="U71" s="58"/>
      <c r="V71" s="54"/>
      <c r="W71" s="54"/>
      <c r="X71" s="54"/>
      <c r="Y71" s="54"/>
      <c r="Z71" s="54"/>
    </row>
    <row r="72" ht="18.75" customHeight="1">
      <c r="A72" s="59" t="str">
        <f>IFERROR(__xludf.DUMMYFUNCTION("""COMPUTED_VALUE"""),"Lindbergh A")</f>
        <v>Lindbergh A</v>
      </c>
      <c r="B72" s="60">
        <f>IFERROR(__xludf.DUMMYFUNCTION("""COMPUTED_VALUE"""),22.0)</f>
        <v>22</v>
      </c>
      <c r="C72" s="54"/>
      <c r="D72" s="56"/>
      <c r="E72" s="54"/>
      <c r="F72" s="56"/>
      <c r="G72" s="69" t="str">
        <f>IFERROR(__xludf.DUMMYFUNCTION("""COMPUTED_VALUE"""),"Green Hope A")</f>
        <v>Green Hope A</v>
      </c>
      <c r="H72" s="72">
        <f>IFERROR(__xludf.DUMMYFUNCTION("""COMPUTED_VALUE"""),68.0)</f>
        <v>68</v>
      </c>
      <c r="I72" s="144"/>
      <c r="K72" s="54"/>
      <c r="L72" s="56"/>
      <c r="M72" s="54"/>
      <c r="N72" s="56"/>
      <c r="O72" s="54"/>
      <c r="P72" s="56"/>
      <c r="Q72" s="54"/>
      <c r="R72" s="56"/>
      <c r="S72" s="56"/>
      <c r="T72" s="54"/>
      <c r="U72" s="58"/>
      <c r="V72" s="54"/>
      <c r="W72" s="54"/>
      <c r="X72" s="54"/>
      <c r="Y72" s="54"/>
      <c r="Z72" s="54"/>
    </row>
    <row r="73" ht="7.5" customHeight="1">
      <c r="A73" s="54"/>
      <c r="B73" s="75"/>
      <c r="C73" s="48"/>
      <c r="D73" s="52"/>
      <c r="E73" s="54"/>
      <c r="F73" s="56"/>
      <c r="G73" s="63" t="str">
        <f>IFERROR(__xludf.DUMMYFUNCTION("""COMPUTED_VALUE"""),"Goodall")</f>
        <v>Goodall</v>
      </c>
      <c r="H73" s="72"/>
      <c r="I73" s="54"/>
      <c r="K73" s="54"/>
      <c r="L73" s="56"/>
      <c r="M73" s="54"/>
      <c r="N73" s="56"/>
      <c r="O73" s="54"/>
      <c r="P73" s="56"/>
      <c r="Q73" s="54"/>
      <c r="R73" s="56"/>
      <c r="S73" s="56"/>
      <c r="T73" s="54"/>
      <c r="U73" s="58"/>
      <c r="V73" s="54"/>
      <c r="W73" s="54"/>
      <c r="X73" s="54"/>
      <c r="Y73" s="54"/>
      <c r="Z73" s="54"/>
    </row>
    <row r="74" ht="18.75" customHeight="1">
      <c r="A74" s="54"/>
      <c r="B74" s="75"/>
      <c r="C74" s="69" t="str">
        <f>IFERROR(__xludf.DUMMYFUNCTION("""COMPUTED_VALUE"""),"Buchholz B")</f>
        <v>Buchholz B</v>
      </c>
      <c r="D74" s="72">
        <f>IFERROR(__xludf.DUMMYFUNCTION("""COMPUTED_VALUE"""),104.0)</f>
        <v>104</v>
      </c>
      <c r="E74" s="54"/>
      <c r="F74" s="56"/>
      <c r="H74" s="72"/>
      <c r="I74" s="54"/>
      <c r="K74" s="54"/>
      <c r="L74" s="56"/>
      <c r="M74" s="54"/>
      <c r="N74" s="56"/>
      <c r="O74" s="54"/>
      <c r="P74" s="56"/>
      <c r="Q74" s="54"/>
      <c r="R74" s="56"/>
      <c r="S74" s="56"/>
      <c r="T74" s="54"/>
      <c r="U74" s="58"/>
      <c r="V74" s="54"/>
      <c r="W74" s="54"/>
      <c r="X74" s="54"/>
      <c r="Y74" s="54"/>
      <c r="Z74" s="54"/>
    </row>
    <row r="75" ht="7.5" customHeight="1">
      <c r="A75" s="54"/>
      <c r="B75" s="75"/>
      <c r="C75" s="63" t="str">
        <f>IFERROR(__xludf.DUMMYFUNCTION("""COMPUTED_VALUE"""),"Mendel")</f>
        <v>Mendel</v>
      </c>
      <c r="D75" s="72"/>
      <c r="E75" s="54"/>
      <c r="F75" s="56"/>
      <c r="I75" s="54"/>
      <c r="J75" s="79"/>
      <c r="K75" s="54"/>
      <c r="L75" s="56"/>
      <c r="M75" s="54"/>
      <c r="N75" s="56"/>
      <c r="O75" s="54"/>
      <c r="P75" s="56"/>
      <c r="Q75" s="54"/>
      <c r="R75" s="56"/>
      <c r="S75" s="56"/>
      <c r="T75" s="54"/>
      <c r="U75" s="58"/>
      <c r="V75" s="54"/>
      <c r="W75" s="54"/>
      <c r="X75" s="54"/>
      <c r="Y75" s="54"/>
      <c r="Z75" s="54"/>
    </row>
    <row r="76" ht="18.75" customHeight="1">
      <c r="A76" s="59" t="str">
        <f>IFERROR(__xludf.DUMMYFUNCTION("""COMPUTED_VALUE"""),"Glastonbury A")</f>
        <v>Glastonbury A</v>
      </c>
      <c r="B76" s="60">
        <f>IFERROR(__xludf.DUMMYFUNCTION("""COMPUTED_VALUE"""),94.0)</f>
        <v>94</v>
      </c>
      <c r="D76" s="72"/>
      <c r="E76" s="142" t="str">
        <f>IFERROR(__xludf.DUMMYFUNCTION("""COMPUTED_VALUE"""),"Buchholz B")</f>
        <v>Buchholz B</v>
      </c>
      <c r="F76" s="72">
        <f>IFERROR(__xludf.DUMMYFUNCTION("""COMPUTED_VALUE"""),62.0)</f>
        <v>62</v>
      </c>
      <c r="I76" s="142" t="str">
        <f>IFERROR(__xludf.DUMMYFUNCTION("""COMPUTED_VALUE"""),"Collierville")</f>
        <v>Collierville</v>
      </c>
      <c r="J76" s="72">
        <f>IFERROR(__xludf.DUMMYFUNCTION("""COMPUTED_VALUE"""),24.0)</f>
        <v>24</v>
      </c>
      <c r="K76" s="54"/>
      <c r="L76" s="56"/>
      <c r="M76" s="54"/>
      <c r="N76" s="56"/>
      <c r="O76" s="54"/>
      <c r="P76" s="56"/>
      <c r="Q76" s="54"/>
      <c r="R76" s="56"/>
      <c r="S76" s="56"/>
      <c r="T76" s="54"/>
      <c r="U76" s="58"/>
      <c r="V76" s="54"/>
      <c r="W76" s="54"/>
      <c r="X76" s="54"/>
      <c r="Y76" s="54"/>
      <c r="Z76" s="54"/>
    </row>
    <row r="77" ht="18.75" customHeight="1">
      <c r="A77" s="63" t="str">
        <f>IFERROR(__xludf.DUMMYFUNCTION("""COMPUTED_VALUE"""),"Ohm")</f>
        <v>Ohm</v>
      </c>
      <c r="B77" s="60"/>
      <c r="C77" s="142" t="str">
        <f>IFERROR(__xludf.DUMMYFUNCTION("""COMPUTED_VALUE"""),"Glastonbury A")</f>
        <v>Glastonbury A</v>
      </c>
      <c r="D77" s="72">
        <f>IFERROR(__xludf.DUMMYFUNCTION("""COMPUTED_VALUE"""),76.0)</f>
        <v>76</v>
      </c>
      <c r="E77" s="63" t="str">
        <f>IFERROR(__xludf.DUMMYFUNCTION("""COMPUTED_VALUE"""),"Ohm")</f>
        <v>Ohm</v>
      </c>
      <c r="F77" s="72"/>
      <c r="I77" s="54"/>
      <c r="J77" s="56"/>
      <c r="K77" s="54"/>
      <c r="L77" s="56"/>
      <c r="M77" s="54"/>
      <c r="N77" s="56"/>
      <c r="O77" s="54"/>
      <c r="P77" s="56"/>
      <c r="Q77" s="54"/>
      <c r="R77" s="56"/>
      <c r="S77" s="56"/>
      <c r="T77" s="54"/>
      <c r="U77" s="58"/>
      <c r="V77" s="54"/>
      <c r="W77" s="54"/>
      <c r="X77" s="54"/>
      <c r="Y77" s="54"/>
      <c r="Z77" s="54"/>
    </row>
    <row r="78" ht="18.75" customHeight="1">
      <c r="A78" s="59" t="str">
        <f>IFERROR(__xludf.DUMMYFUNCTION("""COMPUTED_VALUE"""),"Bob Jones")</f>
        <v>Bob Jones</v>
      </c>
      <c r="B78" s="60">
        <f>IFERROR(__xludf.DUMMYFUNCTION("""COMPUTED_VALUE"""),46.0)</f>
        <v>46</v>
      </c>
      <c r="C78" s="54"/>
      <c r="D78" s="56"/>
      <c r="G78" s="142" t="str">
        <f>IFERROR(__xludf.DUMMYFUNCTION("""COMPUTED_VALUE"""),"Collierville")</f>
        <v>Collierville</v>
      </c>
      <c r="H78" s="72">
        <f>IFERROR(__xludf.DUMMYFUNCTION("""COMPUTED_VALUE"""),70.0)</f>
        <v>70</v>
      </c>
      <c r="I78" s="54"/>
      <c r="J78" s="56"/>
      <c r="K78" s="54"/>
      <c r="L78" s="56"/>
      <c r="M78" s="54"/>
      <c r="N78" s="56"/>
      <c r="O78" s="54"/>
      <c r="P78" s="56"/>
      <c r="Q78" s="54"/>
      <c r="R78" s="56"/>
      <c r="S78" s="56"/>
      <c r="T78" s="54"/>
      <c r="U78" s="58"/>
      <c r="V78" s="54"/>
      <c r="W78" s="54"/>
      <c r="X78" s="54"/>
      <c r="Y78" s="54"/>
      <c r="Z78" s="54"/>
    </row>
    <row r="79" ht="7.5" customHeight="1">
      <c r="A79" s="58"/>
      <c r="B79" s="75"/>
      <c r="C79" s="48"/>
      <c r="D79" s="52"/>
      <c r="G79" s="54"/>
      <c r="H79" s="56"/>
      <c r="I79" s="54"/>
      <c r="J79" s="56"/>
      <c r="K79" s="54"/>
      <c r="L79" s="56"/>
      <c r="M79" s="54"/>
      <c r="N79" s="56"/>
      <c r="O79" s="54"/>
      <c r="P79" s="56"/>
      <c r="Q79" s="54"/>
      <c r="R79" s="56"/>
      <c r="S79" s="56"/>
      <c r="T79" s="54"/>
      <c r="U79" s="58"/>
      <c r="V79" s="54"/>
      <c r="W79" s="54"/>
      <c r="X79" s="54"/>
      <c r="Y79" s="54"/>
      <c r="Z79" s="54"/>
    </row>
    <row r="80" ht="18.75" customHeight="1">
      <c r="A80" s="58"/>
      <c r="B80" s="75"/>
      <c r="C80" s="69" t="str">
        <f>IFERROR(__xludf.DUMMYFUNCTION("""COMPUTED_VALUE"""),"RMHS A")</f>
        <v>RMHS A</v>
      </c>
      <c r="D80" s="72">
        <f>IFERROR(__xludf.DUMMYFUNCTION("""COMPUTED_VALUE"""),68.0)</f>
        <v>68</v>
      </c>
      <c r="G80" s="54"/>
      <c r="H80" s="56"/>
      <c r="I80" s="54"/>
      <c r="J80" s="56"/>
      <c r="K80" s="54"/>
      <c r="L80" s="56"/>
      <c r="M80" s="54"/>
      <c r="N80" s="56"/>
      <c r="O80" s="54"/>
      <c r="P80" s="56"/>
      <c r="Q80" s="54"/>
      <c r="R80" s="56"/>
      <c r="S80" s="56"/>
      <c r="T80" s="54"/>
      <c r="U80" s="58"/>
      <c r="V80" s="54"/>
      <c r="W80" s="54"/>
      <c r="X80" s="54"/>
      <c r="Y80" s="54"/>
      <c r="Z80" s="54"/>
    </row>
    <row r="81" ht="7.5" customHeight="1">
      <c r="A81" s="58"/>
      <c r="B81" s="75"/>
      <c r="C81" s="63" t="str">
        <f>IFERROR(__xludf.DUMMYFUNCTION("""COMPUTED_VALUE"""),"Ohm")</f>
        <v>Ohm</v>
      </c>
      <c r="D81" s="72"/>
      <c r="F81" s="72"/>
      <c r="G81" s="54"/>
      <c r="H81" s="56"/>
      <c r="I81" s="54"/>
      <c r="J81" s="56"/>
      <c r="K81" s="54"/>
      <c r="L81" s="56"/>
      <c r="M81" s="54"/>
      <c r="N81" s="56"/>
      <c r="O81" s="54"/>
      <c r="P81" s="56"/>
      <c r="Q81" s="54"/>
      <c r="R81" s="56"/>
      <c r="S81" s="56"/>
      <c r="T81" s="54"/>
      <c r="U81" s="58"/>
      <c r="V81" s="54"/>
      <c r="W81" s="54"/>
      <c r="X81" s="54"/>
      <c r="Y81" s="54"/>
      <c r="Z81" s="54"/>
    </row>
    <row r="82" ht="18.75" customHeight="1">
      <c r="A82" s="59" t="str">
        <f>IFERROR(__xludf.DUMMYFUNCTION("""COMPUTED_VALUE"""),"Collierville")</f>
        <v>Collierville</v>
      </c>
      <c r="B82" s="60">
        <f>IFERROR(__xludf.DUMMYFUNCTION("""COMPUTED_VALUE"""),68.0)</f>
        <v>68</v>
      </c>
      <c r="D82" s="72"/>
      <c r="E82" s="142" t="str">
        <f>IFERROR(__xludf.DUMMYFUNCTION("""COMPUTED_VALUE"""),"Collierville")</f>
        <v>Collierville</v>
      </c>
      <c r="F82" s="72">
        <f>IFERROR(__xludf.DUMMYFUNCTION("""COMPUTED_VALUE"""),84.0)</f>
        <v>84</v>
      </c>
      <c r="G82" s="54"/>
      <c r="H82" s="56"/>
      <c r="I82" s="54"/>
      <c r="J82" s="56"/>
      <c r="K82" s="54"/>
      <c r="L82" s="56"/>
      <c r="M82" s="54"/>
      <c r="N82" s="56"/>
      <c r="O82" s="54"/>
      <c r="P82" s="56"/>
      <c r="Q82" s="54"/>
      <c r="R82" s="56"/>
      <c r="S82" s="56"/>
      <c r="T82" s="54"/>
      <c r="U82" s="58"/>
      <c r="V82" s="54"/>
      <c r="W82" s="54"/>
      <c r="X82" s="54"/>
      <c r="Y82" s="54"/>
      <c r="Z82" s="54"/>
    </row>
    <row r="83" ht="18.75" customHeight="1">
      <c r="A83" s="63" t="str">
        <f>IFERROR(__xludf.DUMMYFUNCTION("""COMPUTED_VALUE"""),"Planck")</f>
        <v>Planck</v>
      </c>
      <c r="B83" s="60"/>
      <c r="C83" s="142" t="str">
        <f>IFERROR(__xludf.DUMMYFUNCTION("""COMPUTED_VALUE"""),"Collierville")</f>
        <v>Collierville</v>
      </c>
      <c r="D83" s="72">
        <f>IFERROR(__xludf.DUMMYFUNCTION("""COMPUTED_VALUE"""),86.0)</f>
        <v>86</v>
      </c>
      <c r="E83" s="54"/>
      <c r="F83" s="56"/>
      <c r="G83" s="54"/>
      <c r="H83" s="56"/>
      <c r="I83" s="54"/>
      <c r="J83" s="56"/>
      <c r="K83" s="54"/>
      <c r="L83" s="56"/>
      <c r="M83" s="54"/>
      <c r="N83" s="56"/>
      <c r="O83" s="54"/>
      <c r="P83" s="56"/>
      <c r="Q83" s="54"/>
      <c r="R83" s="56"/>
      <c r="S83" s="56"/>
      <c r="T83" s="54"/>
      <c r="U83" s="58"/>
      <c r="V83" s="54"/>
      <c r="W83" s="54"/>
      <c r="X83" s="54"/>
      <c r="Y83" s="54"/>
      <c r="Z83" s="54"/>
    </row>
    <row r="84" ht="18.75" customHeight="1">
      <c r="A84" s="59" t="str">
        <f>IFERROR(__xludf.DUMMYFUNCTION("""COMPUTED_VALUE"""),"Edison B")</f>
        <v>Edison B</v>
      </c>
      <c r="B84" s="60">
        <f>IFERROR(__xludf.DUMMYFUNCTION("""COMPUTED_VALUE"""),30.0)</f>
        <v>30</v>
      </c>
      <c r="C84" s="54"/>
      <c r="D84" s="56"/>
      <c r="E84" s="54"/>
      <c r="F84" s="56"/>
      <c r="G84" s="54"/>
      <c r="H84" s="56"/>
      <c r="I84" s="54"/>
      <c r="J84" s="56"/>
      <c r="K84" s="54"/>
      <c r="L84" s="56"/>
      <c r="M84" s="54"/>
      <c r="N84" s="56"/>
      <c r="O84" s="54"/>
      <c r="P84" s="56"/>
      <c r="Q84" s="54"/>
      <c r="R84" s="56"/>
      <c r="S84" s="56"/>
      <c r="T84" s="54"/>
      <c r="U84" s="58"/>
      <c r="V84" s="54"/>
      <c r="W84" s="54"/>
      <c r="X84" s="54"/>
      <c r="Y84" s="54"/>
      <c r="Z84" s="54"/>
    </row>
    <row r="85">
      <c r="A85" s="54"/>
      <c r="B85" s="75"/>
      <c r="C85" s="54"/>
      <c r="D85" s="56"/>
      <c r="E85" s="54"/>
      <c r="F85" s="56"/>
      <c r="G85" s="54"/>
      <c r="H85" s="56"/>
      <c r="I85" s="54"/>
      <c r="J85" s="56"/>
      <c r="K85" s="54"/>
      <c r="L85" s="56"/>
      <c r="M85" s="54"/>
      <c r="N85" s="56"/>
      <c r="O85" s="54"/>
      <c r="P85" s="56"/>
      <c r="Q85" s="54"/>
      <c r="R85" s="56"/>
      <c r="S85" s="56"/>
      <c r="T85" s="54"/>
      <c r="U85" s="58"/>
      <c r="V85" s="54"/>
      <c r="W85" s="54"/>
      <c r="X85" s="54"/>
      <c r="Y85" s="54"/>
      <c r="Z85" s="54"/>
    </row>
    <row r="86">
      <c r="A86" s="54"/>
      <c r="B86" s="75"/>
      <c r="C86" s="54"/>
      <c r="D86" s="56"/>
      <c r="E86" s="54"/>
      <c r="F86" s="56"/>
      <c r="G86" s="54"/>
      <c r="H86" s="56"/>
      <c r="I86" s="54"/>
      <c r="J86" s="56"/>
      <c r="K86" s="54"/>
      <c r="L86" s="56"/>
      <c r="M86" s="54"/>
      <c r="N86" s="56"/>
      <c r="O86" s="54"/>
      <c r="P86" s="56"/>
      <c r="Q86" s="54"/>
      <c r="R86" s="56"/>
      <c r="S86" s="56"/>
      <c r="T86" s="54"/>
      <c r="U86" s="58"/>
      <c r="V86" s="54"/>
      <c r="W86" s="54"/>
      <c r="X86" s="54"/>
      <c r="Y86" s="54"/>
      <c r="Z86" s="54"/>
    </row>
    <row r="87">
      <c r="A87" s="54"/>
      <c r="B87" s="75"/>
      <c r="C87" s="54"/>
      <c r="D87" s="56"/>
      <c r="E87" s="54"/>
      <c r="F87" s="56"/>
      <c r="G87" s="54"/>
      <c r="H87" s="56"/>
      <c r="I87" s="54"/>
      <c r="J87" s="56"/>
      <c r="K87" s="54"/>
      <c r="L87" s="56"/>
      <c r="M87" s="54"/>
      <c r="N87" s="56"/>
      <c r="O87" s="54"/>
      <c r="P87" s="56"/>
      <c r="Q87" s="54"/>
      <c r="R87" s="56"/>
      <c r="S87" s="56"/>
      <c r="T87" s="54"/>
      <c r="U87" s="58"/>
      <c r="V87" s="54"/>
      <c r="W87" s="54"/>
      <c r="X87" s="54"/>
      <c r="Y87" s="54"/>
      <c r="Z87" s="54"/>
    </row>
    <row r="88">
      <c r="A88" s="54"/>
      <c r="B88" s="75"/>
      <c r="C88" s="54"/>
      <c r="D88" s="56"/>
      <c r="E88" s="54"/>
      <c r="F88" s="56"/>
      <c r="G88" s="54"/>
      <c r="H88" s="56"/>
      <c r="I88" s="54"/>
      <c r="J88" s="56"/>
      <c r="K88" s="54"/>
      <c r="L88" s="56"/>
      <c r="M88" s="54"/>
      <c r="N88" s="56"/>
      <c r="O88" s="54"/>
      <c r="P88" s="56"/>
      <c r="Q88" s="54"/>
      <c r="R88" s="56"/>
      <c r="S88" s="56"/>
      <c r="T88" s="54"/>
      <c r="U88" s="58"/>
      <c r="V88" s="54"/>
      <c r="W88" s="54"/>
      <c r="X88" s="54"/>
      <c r="Y88" s="54"/>
      <c r="Z88" s="54"/>
    </row>
    <row r="89">
      <c r="A89" s="54"/>
      <c r="B89" s="75"/>
      <c r="C89" s="54"/>
      <c r="D89" s="56"/>
      <c r="E89" s="54"/>
      <c r="F89" s="56"/>
      <c r="G89" s="54"/>
      <c r="H89" s="56"/>
      <c r="I89" s="54"/>
      <c r="J89" s="56"/>
      <c r="K89" s="54"/>
      <c r="L89" s="56"/>
      <c r="M89" s="54"/>
      <c r="N89" s="56"/>
      <c r="O89" s="54"/>
      <c r="P89" s="56"/>
      <c r="Q89" s="54"/>
      <c r="R89" s="56"/>
      <c r="S89" s="56"/>
      <c r="T89" s="54"/>
      <c r="U89" s="58"/>
      <c r="V89" s="54"/>
      <c r="W89" s="54"/>
      <c r="X89" s="54"/>
      <c r="Y89" s="54"/>
      <c r="Z89" s="54"/>
    </row>
    <row r="90">
      <c r="A90" s="54"/>
      <c r="B90" s="75"/>
      <c r="C90" s="54"/>
      <c r="D90" s="56"/>
      <c r="E90" s="54"/>
      <c r="F90" s="56"/>
      <c r="G90" s="54"/>
      <c r="H90" s="56"/>
      <c r="I90" s="54"/>
      <c r="J90" s="56"/>
      <c r="K90" s="54"/>
      <c r="L90" s="56"/>
      <c r="M90" s="54"/>
      <c r="N90" s="56"/>
      <c r="O90" s="54"/>
      <c r="P90" s="56"/>
      <c r="Q90" s="54"/>
      <c r="R90" s="56"/>
      <c r="S90" s="56"/>
      <c r="T90" s="54"/>
      <c r="U90" s="58"/>
      <c r="V90" s="54"/>
      <c r="W90" s="54"/>
      <c r="X90" s="54"/>
      <c r="Y90" s="54"/>
      <c r="Z90" s="54"/>
    </row>
    <row r="91">
      <c r="A91" s="54"/>
      <c r="B91" s="75"/>
      <c r="C91" s="54"/>
      <c r="D91" s="56"/>
      <c r="E91" s="54"/>
      <c r="F91" s="56"/>
      <c r="G91" s="54"/>
      <c r="H91" s="56"/>
      <c r="I91" s="54"/>
      <c r="J91" s="56"/>
      <c r="K91" s="54"/>
      <c r="L91" s="56"/>
      <c r="M91" s="54"/>
      <c r="N91" s="56"/>
      <c r="O91" s="54"/>
      <c r="P91" s="56"/>
      <c r="Q91" s="54"/>
      <c r="R91" s="56"/>
      <c r="S91" s="56"/>
      <c r="T91" s="54"/>
      <c r="U91" s="58"/>
      <c r="V91" s="54"/>
      <c r="W91" s="54"/>
      <c r="X91" s="54"/>
      <c r="Y91" s="54"/>
      <c r="Z91" s="54"/>
    </row>
    <row r="92">
      <c r="A92" s="54"/>
      <c r="B92" s="75"/>
      <c r="C92" s="54"/>
      <c r="D92" s="56"/>
      <c r="E92" s="54"/>
      <c r="F92" s="56"/>
      <c r="G92" s="54"/>
      <c r="H92" s="56"/>
      <c r="I92" s="54"/>
      <c r="J92" s="56"/>
      <c r="K92" s="54"/>
      <c r="L92" s="56"/>
      <c r="M92" s="54"/>
      <c r="N92" s="56"/>
      <c r="O92" s="54"/>
      <c r="P92" s="56"/>
      <c r="Q92" s="54"/>
      <c r="R92" s="56"/>
      <c r="S92" s="56"/>
      <c r="T92" s="54"/>
      <c r="U92" s="58"/>
      <c r="V92" s="54"/>
      <c r="W92" s="54"/>
      <c r="X92" s="54"/>
      <c r="Y92" s="54"/>
      <c r="Z92" s="54"/>
    </row>
    <row r="93">
      <c r="A93" s="54"/>
      <c r="B93" s="75"/>
      <c r="C93" s="54"/>
      <c r="D93" s="56"/>
      <c r="E93" s="54"/>
      <c r="F93" s="56"/>
      <c r="G93" s="54"/>
      <c r="H93" s="56"/>
      <c r="I93" s="54"/>
      <c r="J93" s="56"/>
      <c r="K93" s="54"/>
      <c r="L93" s="56"/>
      <c r="M93" s="54"/>
      <c r="N93" s="56"/>
      <c r="O93" s="54"/>
      <c r="P93" s="56"/>
      <c r="Q93" s="54"/>
      <c r="R93" s="56"/>
      <c r="S93" s="56"/>
      <c r="T93" s="54"/>
      <c r="U93" s="58"/>
      <c r="V93" s="54"/>
      <c r="W93" s="54"/>
      <c r="X93" s="54"/>
      <c r="Y93" s="54"/>
      <c r="Z93" s="54"/>
    </row>
    <row r="94">
      <c r="A94" s="54"/>
      <c r="B94" s="75"/>
      <c r="C94" s="54"/>
      <c r="D94" s="56"/>
      <c r="E94" s="54"/>
      <c r="F94" s="56"/>
      <c r="G94" s="54"/>
      <c r="H94" s="56"/>
      <c r="I94" s="54"/>
      <c r="J94" s="56"/>
      <c r="K94" s="54"/>
      <c r="L94" s="56"/>
      <c r="M94" s="54"/>
      <c r="N94" s="56"/>
      <c r="O94" s="54"/>
      <c r="P94" s="56"/>
      <c r="Q94" s="54"/>
      <c r="R94" s="56"/>
      <c r="S94" s="56"/>
      <c r="T94" s="54"/>
      <c r="U94" s="58"/>
      <c r="V94" s="54"/>
      <c r="W94" s="54"/>
      <c r="X94" s="54"/>
      <c r="Y94" s="54"/>
      <c r="Z94" s="54"/>
    </row>
    <row r="95">
      <c r="A95" s="54"/>
      <c r="B95" s="75"/>
      <c r="C95" s="54"/>
      <c r="D95" s="56"/>
      <c r="E95" s="54"/>
      <c r="F95" s="56"/>
      <c r="G95" s="54"/>
      <c r="H95" s="56"/>
      <c r="I95" s="54"/>
      <c r="J95" s="56"/>
      <c r="K95" s="54"/>
      <c r="L95" s="56"/>
      <c r="M95" s="54"/>
      <c r="N95" s="56"/>
      <c r="O95" s="54"/>
      <c r="P95" s="56"/>
      <c r="Q95" s="54"/>
      <c r="R95" s="56"/>
      <c r="S95" s="56"/>
      <c r="T95" s="54"/>
      <c r="U95" s="58"/>
      <c r="V95" s="54"/>
      <c r="W95" s="54"/>
      <c r="X95" s="54"/>
      <c r="Y95" s="54"/>
      <c r="Z95" s="54"/>
    </row>
    <row r="96">
      <c r="A96" s="54"/>
      <c r="B96" s="75"/>
      <c r="C96" s="54"/>
      <c r="D96" s="56"/>
      <c r="E96" s="54"/>
      <c r="F96" s="56"/>
      <c r="G96" s="54"/>
      <c r="H96" s="56"/>
      <c r="I96" s="54"/>
      <c r="J96" s="56"/>
      <c r="K96" s="54"/>
      <c r="L96" s="56"/>
      <c r="M96" s="54"/>
      <c r="N96" s="56"/>
      <c r="O96" s="54"/>
      <c r="P96" s="56"/>
      <c r="Q96" s="54"/>
      <c r="R96" s="56"/>
      <c r="S96" s="56"/>
      <c r="T96" s="54"/>
      <c r="U96" s="58"/>
      <c r="V96" s="54"/>
      <c r="W96" s="54"/>
      <c r="X96" s="54"/>
      <c r="Y96" s="54"/>
      <c r="Z96" s="54"/>
    </row>
    <row r="97">
      <c r="A97" s="54"/>
      <c r="B97" s="75"/>
      <c r="C97" s="54"/>
      <c r="D97" s="56"/>
      <c r="E97" s="54"/>
      <c r="F97" s="56"/>
      <c r="G97" s="54"/>
      <c r="H97" s="56"/>
      <c r="I97" s="54"/>
      <c r="J97" s="56"/>
      <c r="K97" s="54"/>
      <c r="L97" s="56"/>
      <c r="M97" s="54"/>
      <c r="N97" s="56"/>
      <c r="O97" s="54"/>
      <c r="P97" s="56"/>
      <c r="Q97" s="54"/>
      <c r="R97" s="56"/>
      <c r="S97" s="56"/>
      <c r="T97" s="54"/>
      <c r="U97" s="58"/>
      <c r="V97" s="54"/>
      <c r="W97" s="54"/>
      <c r="X97" s="54"/>
      <c r="Y97" s="54"/>
      <c r="Z97" s="54"/>
    </row>
    <row r="98">
      <c r="A98" s="54"/>
      <c r="B98" s="75"/>
      <c r="C98" s="54"/>
      <c r="D98" s="56"/>
      <c r="E98" s="54"/>
      <c r="F98" s="56"/>
      <c r="G98" s="54"/>
      <c r="H98" s="56"/>
      <c r="I98" s="54"/>
      <c r="J98" s="56"/>
      <c r="K98" s="54"/>
      <c r="L98" s="56"/>
      <c r="M98" s="54"/>
      <c r="N98" s="56"/>
      <c r="O98" s="54"/>
      <c r="P98" s="56"/>
      <c r="Q98" s="54"/>
      <c r="R98" s="56"/>
      <c r="S98" s="56"/>
      <c r="T98" s="54"/>
      <c r="U98" s="58"/>
      <c r="V98" s="54"/>
      <c r="W98" s="54"/>
      <c r="X98" s="54"/>
      <c r="Y98" s="54"/>
      <c r="Z98" s="54"/>
    </row>
    <row r="99">
      <c r="A99" s="54"/>
      <c r="B99" s="75"/>
      <c r="C99" s="54"/>
      <c r="D99" s="56"/>
      <c r="E99" s="54"/>
      <c r="F99" s="56"/>
      <c r="G99" s="54"/>
      <c r="H99" s="56"/>
      <c r="I99" s="54"/>
      <c r="J99" s="56"/>
      <c r="K99" s="54"/>
      <c r="L99" s="56"/>
      <c r="M99" s="54"/>
      <c r="N99" s="56"/>
      <c r="O99" s="54"/>
      <c r="P99" s="56"/>
      <c r="Q99" s="54"/>
      <c r="R99" s="56"/>
      <c r="S99" s="56"/>
      <c r="T99" s="54"/>
      <c r="U99" s="58"/>
      <c r="V99" s="54"/>
      <c r="W99" s="54"/>
      <c r="X99" s="54"/>
      <c r="Y99" s="54"/>
      <c r="Z99" s="54"/>
    </row>
    <row r="100">
      <c r="A100" s="54"/>
      <c r="B100" s="75"/>
      <c r="C100" s="54"/>
      <c r="D100" s="56"/>
      <c r="E100" s="54"/>
      <c r="F100" s="56"/>
      <c r="G100" s="54"/>
      <c r="H100" s="56"/>
      <c r="I100" s="54"/>
      <c r="J100" s="56"/>
      <c r="K100" s="54"/>
      <c r="L100" s="56"/>
      <c r="M100" s="54"/>
      <c r="N100" s="56"/>
      <c r="O100" s="54"/>
      <c r="P100" s="56"/>
      <c r="Q100" s="54"/>
      <c r="R100" s="56"/>
      <c r="S100" s="56"/>
      <c r="T100" s="54"/>
      <c r="U100" s="58"/>
      <c r="V100" s="54"/>
      <c r="W100" s="54"/>
      <c r="X100" s="54"/>
      <c r="Y100" s="54"/>
      <c r="Z100" s="54"/>
    </row>
  </sheetData>
  <mergeCells count="84">
    <mergeCell ref="E3:F3"/>
    <mergeCell ref="F7:F9"/>
    <mergeCell ref="G8:H8"/>
    <mergeCell ref="J9:J15"/>
    <mergeCell ref="C10:D10"/>
    <mergeCell ref="K12:L12"/>
    <mergeCell ref="C14:D14"/>
    <mergeCell ref="F15:F17"/>
    <mergeCell ref="G16:H16"/>
    <mergeCell ref="C18:D18"/>
    <mergeCell ref="C22:D22"/>
    <mergeCell ref="F23:F25"/>
    <mergeCell ref="G24:H24"/>
    <mergeCell ref="C26:D26"/>
    <mergeCell ref="H38:H41"/>
    <mergeCell ref="L38:L44"/>
    <mergeCell ref="F41:F44"/>
    <mergeCell ref="J25:J31"/>
    <mergeCell ref="K28:L28"/>
    <mergeCell ref="C30:D30"/>
    <mergeCell ref="F31:F33"/>
    <mergeCell ref="G32:H32"/>
    <mergeCell ref="C34:D34"/>
    <mergeCell ref="G38:G41"/>
    <mergeCell ref="C39:C40"/>
    <mergeCell ref="E41:E45"/>
    <mergeCell ref="E53:E57"/>
    <mergeCell ref="F53:F56"/>
    <mergeCell ref="U32:U33"/>
    <mergeCell ref="U35:U36"/>
    <mergeCell ref="J41:J50"/>
    <mergeCell ref="C45:C46"/>
    <mergeCell ref="G49:G53"/>
    <mergeCell ref="H50:H53"/>
    <mergeCell ref="C51:C52"/>
    <mergeCell ref="N13:N27"/>
    <mergeCell ref="N42:N64"/>
    <mergeCell ref="C57:C58"/>
    <mergeCell ref="G61:G65"/>
    <mergeCell ref="H62:H65"/>
    <mergeCell ref="L62:L68"/>
    <mergeCell ref="C63:C64"/>
    <mergeCell ref="E65:E69"/>
    <mergeCell ref="F65:F68"/>
    <mergeCell ref="J65:J74"/>
    <mergeCell ref="C69:C70"/>
    <mergeCell ref="G73:G77"/>
    <mergeCell ref="H74:H77"/>
    <mergeCell ref="C75:C76"/>
    <mergeCell ref="O1:P1"/>
    <mergeCell ref="Q1:S1"/>
    <mergeCell ref="A1:B1"/>
    <mergeCell ref="C1:D1"/>
    <mergeCell ref="E1:F1"/>
    <mergeCell ref="G1:H1"/>
    <mergeCell ref="I1:J1"/>
    <mergeCell ref="K1:L1"/>
    <mergeCell ref="M1:N1"/>
    <mergeCell ref="O2:P2"/>
    <mergeCell ref="Q2:S2"/>
    <mergeCell ref="A2:B2"/>
    <mergeCell ref="C2:D2"/>
    <mergeCell ref="E2:F2"/>
    <mergeCell ref="G2:H2"/>
    <mergeCell ref="I2:J2"/>
    <mergeCell ref="K2:L2"/>
    <mergeCell ref="M2:N2"/>
    <mergeCell ref="A3:B3"/>
    <mergeCell ref="C3:D3"/>
    <mergeCell ref="G3:H3"/>
    <mergeCell ref="I3:J3"/>
    <mergeCell ref="K3:L3"/>
    <mergeCell ref="M3:N3"/>
    <mergeCell ref="C6:D6"/>
    <mergeCell ref="O3:P3"/>
    <mergeCell ref="Q3:S3"/>
    <mergeCell ref="O20:P20"/>
    <mergeCell ref="R21:R42"/>
    <mergeCell ref="U26:U27"/>
    <mergeCell ref="U29:U30"/>
    <mergeCell ref="P37:P52"/>
    <mergeCell ref="E77:E81"/>
    <mergeCell ref="F77:F80"/>
    <mergeCell ref="C81:C8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25"/>
    <col customWidth="1" min="3" max="3" width="16.0"/>
    <col customWidth="1" min="4" max="4" width="6.38"/>
    <col customWidth="1" min="5" max="5" width="3.25"/>
    <col customWidth="1" min="6" max="6" width="6.38"/>
    <col customWidth="1" min="7" max="7" width="3.25"/>
    <col customWidth="1" min="8" max="8" width="6.38"/>
    <col customWidth="1" min="9" max="9" width="3.25"/>
    <col customWidth="1" min="10" max="10" width="6.38"/>
    <col customWidth="1" min="11" max="11" width="3.25"/>
    <col customWidth="1" min="12" max="12" width="6.38"/>
    <col customWidth="1" min="13" max="13" width="3.25"/>
    <col customWidth="1" min="14" max="14" width="6.38"/>
    <col customWidth="1" min="15" max="16" width="3.25"/>
    <col customWidth="1" min="17" max="19" width="5.13"/>
    <col customWidth="1" min="20" max="20" width="9.63"/>
    <col customWidth="1" min="21" max="21" width="6.38"/>
    <col customWidth="1" min="22" max="22" width="10.25"/>
    <col customWidth="1" min="23" max="23" width="6.38"/>
    <col customWidth="1" min="24" max="24" width="3.25"/>
    <col customWidth="1" min="35" max="35" width="16.75"/>
  </cols>
  <sheetData>
    <row r="1" ht="27.75" customHeight="1">
      <c r="A1" s="39"/>
      <c r="B1" s="39"/>
      <c r="C1" s="44" t="str">
        <f>IFERROR(__xludf.DUMMYFUNCTION("importrange(""https://docs.google.com/spreadsheets/d/12IzKdE78PZ-ibDG550MiOi4Nyf49AANMRCUCOwqVMIY/edit?usp=sharing"",""East RR!A1:W"")"),"Each row shows a team's scores and results. The column name is the team they played against.")</f>
        <v>Each row shows a team's scores and results. The column name is the team they played against.</v>
      </c>
      <c r="Y1" s="39"/>
      <c r="Z1" s="39"/>
      <c r="AA1" s="39"/>
      <c r="AB1" s="39"/>
      <c r="AC1" s="50"/>
      <c r="AD1" s="53"/>
      <c r="AE1" s="53"/>
      <c r="AF1" s="53"/>
      <c r="AG1" s="35"/>
      <c r="AH1" s="50"/>
      <c r="AI1" s="53"/>
      <c r="AJ1" s="53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ht="18.75" customHeight="1">
      <c r="A2" s="53"/>
      <c r="B2" s="53"/>
      <c r="C2" s="53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62"/>
      <c r="U2" s="35"/>
      <c r="V2" s="35"/>
      <c r="W2" s="64"/>
      <c r="X2" s="35"/>
      <c r="Y2" s="50"/>
      <c r="Z2" s="50"/>
      <c r="AA2" s="50"/>
      <c r="AB2" s="50"/>
      <c r="AC2" s="66"/>
      <c r="AD2" s="68"/>
      <c r="AE2" s="68"/>
      <c r="AF2" s="68"/>
      <c r="AG2" s="71"/>
      <c r="AH2" s="66"/>
      <c r="AI2" s="68"/>
      <c r="AJ2" s="68"/>
      <c r="AK2" s="35"/>
      <c r="AL2" s="53"/>
      <c r="AM2" s="35"/>
      <c r="AN2" s="53"/>
      <c r="AO2" s="35"/>
      <c r="AP2" s="35"/>
      <c r="AQ2" s="35"/>
      <c r="AR2" s="35"/>
      <c r="AS2" s="35"/>
      <c r="AT2" s="35"/>
    </row>
    <row r="3" ht="18.75" customHeight="1">
      <c r="A3" s="73"/>
      <c r="B3" s="73"/>
      <c r="C3" s="73" t="str">
        <f>IFERROR(__xludf.DUMMYFUNCTION("""COMPUTED_VALUE"""),"Ampere")</f>
        <v>Ampere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74"/>
      <c r="U3" s="10"/>
      <c r="V3" s="10"/>
      <c r="W3" s="76"/>
      <c r="X3" s="10"/>
      <c r="Y3" s="10"/>
      <c r="Z3" s="10"/>
      <c r="AA3" s="10"/>
      <c r="AB3" s="10"/>
      <c r="AC3" s="10"/>
      <c r="AD3" s="10"/>
      <c r="AE3" s="61"/>
      <c r="AF3" s="61"/>
      <c r="AG3" s="10"/>
      <c r="AH3" s="61"/>
      <c r="AI3" s="10"/>
      <c r="AJ3" s="78"/>
      <c r="AK3" s="10"/>
      <c r="AL3" s="10"/>
      <c r="AM3" s="10"/>
      <c r="AN3" s="10"/>
      <c r="AO3" s="10"/>
      <c r="AP3" s="10"/>
      <c r="AQ3" s="10"/>
      <c r="AR3" s="10"/>
      <c r="AS3" s="10"/>
      <c r="AT3" s="10"/>
    </row>
    <row r="4" ht="18.75" customHeight="1">
      <c r="A4" s="35"/>
      <c r="B4" s="80"/>
      <c r="C4" s="82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7"/>
      <c r="Y4" s="35"/>
      <c r="Z4" s="35"/>
      <c r="AA4" s="35"/>
      <c r="AB4" s="35"/>
      <c r="AC4" s="35"/>
      <c r="AD4" s="10"/>
      <c r="AE4" s="53"/>
      <c r="AF4" s="53"/>
      <c r="AG4" s="35"/>
      <c r="AH4" s="53"/>
      <c r="AI4" s="35"/>
      <c r="AJ4" s="90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ht="18.75" customHeight="1">
      <c r="A5" s="92"/>
      <c r="B5" s="94"/>
      <c r="C5" s="95" t="str">
        <f>IFERROR(__xludf.DUMMYFUNCTION("""COMPUTED_VALUE"""),"Team")</f>
        <v>Team</v>
      </c>
      <c r="D5" s="53" t="str">
        <f>IFERROR(__xludf.DUMMYFUNCTION("""COMPUTED_VALUE"""),"BOW A")</f>
        <v>BOW A</v>
      </c>
      <c r="F5" s="97" t="str">
        <f>IFERROR(__xludf.DUMMYFUNCTION("""COMPUTED_VALUE"""),"Brooklyn Tech D")</f>
        <v>Brooklyn Tech D</v>
      </c>
      <c r="G5" s="98"/>
      <c r="H5" s="97" t="str">
        <f>IFERROR(__xludf.DUMMYFUNCTION("""COMPUTED_VALUE"""),"Buchholz A")</f>
        <v>Buchholz A</v>
      </c>
      <c r="I5" s="98"/>
      <c r="J5" s="97" t="str">
        <f>IFERROR(__xludf.DUMMYFUNCTION("""COMPUTED_VALUE"""),"MCA")</f>
        <v>MCA</v>
      </c>
      <c r="K5" s="98"/>
      <c r="L5" s="97" t="str">
        <f>IFERROR(__xludf.DUMMYFUNCTION("""COMPUTED_VALUE"""),"Poolesville B")</f>
        <v>Poolesville B</v>
      </c>
      <c r="M5" s="98"/>
      <c r="N5" s="97" t="str">
        <f>IFERROR(__xludf.DUMMYFUNCTION("""COMPUTED_VALUE"""),"RMHS B")</f>
        <v>RMHS B</v>
      </c>
      <c r="O5" s="98"/>
      <c r="P5" s="99"/>
      <c r="Q5" s="100" t="str">
        <f>IFERROR(__xludf.DUMMYFUNCTION("""COMPUTED_VALUE"""),"W")</f>
        <v>W</v>
      </c>
      <c r="R5" s="100" t="str">
        <f>IFERROR(__xludf.DUMMYFUNCTION("""COMPUTED_VALUE"""),"T")</f>
        <v>T</v>
      </c>
      <c r="S5" s="100" t="str">
        <f>IFERROR(__xludf.DUMMYFUNCTION("""COMPUTED_VALUE"""),"L")</f>
        <v>L</v>
      </c>
      <c r="T5" s="101" t="str">
        <f>IFERROR(__xludf.DUMMYFUNCTION("""COMPUTED_VALUE"""),"W/L Score")</f>
        <v>W/L Score</v>
      </c>
      <c r="U5" s="100" t="str">
        <f>IFERROR(__xludf.DUMMYFUNCTION("""COMPUTED_VALUE"""),"Points")</f>
        <v>Points</v>
      </c>
      <c r="V5" s="100" t="str">
        <f>IFERROR(__xludf.DUMMYFUNCTION("""COMPUTED_VALUE"""),"Average")</f>
        <v>Average</v>
      </c>
      <c r="W5" s="102" t="str">
        <f>IFERROR(__xludf.DUMMYFUNCTION("""COMPUTED_VALUE"""),"Rank")</f>
        <v>Rank</v>
      </c>
      <c r="X5" s="103"/>
      <c r="Y5" s="35"/>
      <c r="Z5" s="35"/>
      <c r="AA5" s="35"/>
      <c r="AB5" s="35"/>
      <c r="AC5" s="35"/>
      <c r="AD5" s="10"/>
      <c r="AE5" s="53"/>
      <c r="AF5" s="53"/>
      <c r="AG5" s="35"/>
      <c r="AH5" s="53"/>
      <c r="AI5" s="35"/>
      <c r="AJ5" s="90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ht="18.75" customHeight="1">
      <c r="A6" s="104"/>
      <c r="B6" s="94"/>
      <c r="C6" s="105" t="str">
        <f>IFERROR(__xludf.DUMMYFUNCTION("""COMPUTED_VALUE"""),"BOW A")</f>
        <v>BOW A</v>
      </c>
      <c r="D6" s="106"/>
      <c r="E6" s="107"/>
      <c r="F6" s="108">
        <f>IFERROR(__xludf.DUMMYFUNCTION("""COMPUTED_VALUE"""),44.0)</f>
        <v>44</v>
      </c>
      <c r="G6" s="109" t="str">
        <f>IFERROR(__xludf.DUMMYFUNCTION("""COMPUTED_VALUE"""),"W")</f>
        <v>W</v>
      </c>
      <c r="H6" s="108">
        <f>IFERROR(__xludf.DUMMYFUNCTION("""COMPUTED_VALUE"""),12.0)</f>
        <v>12</v>
      </c>
      <c r="I6" s="109" t="str">
        <f>IFERROR(__xludf.DUMMYFUNCTION("""COMPUTED_VALUE"""),"L")</f>
        <v>L</v>
      </c>
      <c r="J6" s="108">
        <f>IFERROR(__xludf.DUMMYFUNCTION("""COMPUTED_VALUE"""),26.0)</f>
        <v>26</v>
      </c>
      <c r="K6" s="109" t="str">
        <f>IFERROR(__xludf.DUMMYFUNCTION("""COMPUTED_VALUE"""),"L")</f>
        <v>L</v>
      </c>
      <c r="L6" s="108">
        <f>IFERROR(__xludf.DUMMYFUNCTION("""COMPUTED_VALUE"""),62.0)</f>
        <v>62</v>
      </c>
      <c r="M6" s="110" t="str">
        <f>IFERROR(__xludf.DUMMYFUNCTION("""COMPUTED_VALUE"""),"W")</f>
        <v>W</v>
      </c>
      <c r="N6" s="108">
        <f>IFERROR(__xludf.DUMMYFUNCTION("""COMPUTED_VALUE"""),66.0)</f>
        <v>66</v>
      </c>
      <c r="O6" s="110" t="str">
        <f>IFERROR(__xludf.DUMMYFUNCTION("""COMPUTED_VALUE"""),"W")</f>
        <v>W</v>
      </c>
      <c r="Q6" s="111">
        <f>IFERROR(__xludf.DUMMYFUNCTION("""COMPUTED_VALUE"""),3.0)</f>
        <v>3</v>
      </c>
      <c r="R6" s="112">
        <f>IFERROR(__xludf.DUMMYFUNCTION("""COMPUTED_VALUE"""),0.0)</f>
        <v>0</v>
      </c>
      <c r="S6" s="112">
        <f>IFERROR(__xludf.DUMMYFUNCTION("""COMPUTED_VALUE"""),2.0)</f>
        <v>2</v>
      </c>
      <c r="T6" s="113">
        <f>IFERROR(__xludf.DUMMYFUNCTION("""COMPUTED_VALUE"""),3.0)</f>
        <v>3</v>
      </c>
      <c r="U6" s="114">
        <f>IFERROR(__xludf.DUMMYFUNCTION("""COMPUTED_VALUE"""),210.0)</f>
        <v>210</v>
      </c>
      <c r="V6" s="115">
        <f>IFERROR(__xludf.DUMMYFUNCTION("""COMPUTED_VALUE"""),42.0)</f>
        <v>42</v>
      </c>
      <c r="W6" s="116" t="str">
        <f>IFERROR(__xludf.DUMMYFUNCTION("""COMPUTED_VALUE"""),"3")</f>
        <v>3</v>
      </c>
      <c r="X6" s="117" t="str">
        <f>IFERROR(__xludf.DUMMYFUNCTION("""COMPUTED_VALUE"""),"BOW A")</f>
        <v>BOW A</v>
      </c>
      <c r="Y6" s="118">
        <f>IFERROR(__xludf.DUMMYFUNCTION("""COMPUTED_VALUE"""),42.0)</f>
        <v>42</v>
      </c>
      <c r="Z6" s="35"/>
      <c r="AA6" s="35"/>
      <c r="AB6" s="35"/>
      <c r="AC6" s="35"/>
      <c r="AD6" s="10"/>
      <c r="AE6" s="53"/>
      <c r="AF6" s="53"/>
      <c r="AG6" s="35"/>
      <c r="AH6" s="53"/>
      <c r="AI6" s="35"/>
      <c r="AJ6" s="90"/>
      <c r="AK6" s="120"/>
      <c r="AL6" s="35"/>
      <c r="AM6" s="35"/>
      <c r="AN6" s="35"/>
      <c r="AO6" s="35"/>
      <c r="AP6" s="35"/>
      <c r="AQ6" s="35"/>
      <c r="AR6" s="35"/>
      <c r="AS6" s="35"/>
      <c r="AT6" s="35"/>
    </row>
    <row r="7" ht="18.75" customHeight="1">
      <c r="A7" s="53"/>
      <c r="B7" s="94"/>
      <c r="C7" s="121" t="str">
        <f>IFERROR(__xludf.DUMMYFUNCTION("""COMPUTED_VALUE"""),"Brooklyn Tech D")</f>
        <v>Brooklyn Tech D</v>
      </c>
      <c r="D7" s="122">
        <f>IFERROR(__xludf.DUMMYFUNCTION("""COMPUTED_VALUE"""),30.0)</f>
        <v>30</v>
      </c>
      <c r="E7" s="123" t="str">
        <f>IFERROR(__xludf.DUMMYFUNCTION("""COMPUTED_VALUE"""),"L")</f>
        <v>L</v>
      </c>
      <c r="F7" s="124"/>
      <c r="G7" s="125"/>
      <c r="H7" s="108">
        <f>IFERROR(__xludf.DUMMYFUNCTION("""COMPUTED_VALUE"""),4.0)</f>
        <v>4</v>
      </c>
      <c r="I7" s="123" t="str">
        <f>IFERROR(__xludf.DUMMYFUNCTION("""COMPUTED_VALUE"""),"L")</f>
        <v>L</v>
      </c>
      <c r="J7" s="108">
        <f>IFERROR(__xludf.DUMMYFUNCTION("""COMPUTED_VALUE"""),8.0)</f>
        <v>8</v>
      </c>
      <c r="K7" s="123" t="str">
        <f>IFERROR(__xludf.DUMMYFUNCTION("""COMPUTED_VALUE"""),"L")</f>
        <v>L</v>
      </c>
      <c r="L7" s="108">
        <f>IFERROR(__xludf.DUMMYFUNCTION("""COMPUTED_VALUE"""),8.0)</f>
        <v>8</v>
      </c>
      <c r="M7" s="126" t="str">
        <f>IFERROR(__xludf.DUMMYFUNCTION("""COMPUTED_VALUE"""),"L")</f>
        <v>L</v>
      </c>
      <c r="N7" s="108">
        <f>IFERROR(__xludf.DUMMYFUNCTION("""COMPUTED_VALUE"""),20.0)</f>
        <v>20</v>
      </c>
      <c r="O7" s="110" t="str">
        <f>IFERROR(__xludf.DUMMYFUNCTION("""COMPUTED_VALUE"""),"L")</f>
        <v>L</v>
      </c>
      <c r="Q7" s="111">
        <f>IFERROR(__xludf.DUMMYFUNCTION("""COMPUTED_VALUE"""),0.0)</f>
        <v>0</v>
      </c>
      <c r="R7" s="112">
        <f>IFERROR(__xludf.DUMMYFUNCTION("""COMPUTED_VALUE"""),0.0)</f>
        <v>0</v>
      </c>
      <c r="S7" s="112">
        <f>IFERROR(__xludf.DUMMYFUNCTION("""COMPUTED_VALUE"""),5.0)</f>
        <v>5</v>
      </c>
      <c r="T7" s="113">
        <f>IFERROR(__xludf.DUMMYFUNCTION("""COMPUTED_VALUE"""),0.0)</f>
        <v>0</v>
      </c>
      <c r="U7" s="114">
        <f>IFERROR(__xludf.DUMMYFUNCTION("""COMPUTED_VALUE"""),70.0)</f>
        <v>70</v>
      </c>
      <c r="V7" s="115">
        <f>IFERROR(__xludf.DUMMYFUNCTION("""COMPUTED_VALUE"""),14.0)</f>
        <v>14</v>
      </c>
      <c r="W7" s="116" t="str">
        <f>IFERROR(__xludf.DUMMYFUNCTION("""COMPUTED_VALUE"""),"6")</f>
        <v>6</v>
      </c>
      <c r="X7" s="117" t="str">
        <f>IFERROR(__xludf.DUMMYFUNCTION("""COMPUTED_VALUE"""),"Brooklyn Tech D")</f>
        <v>Brooklyn Tech D</v>
      </c>
      <c r="Y7" s="118">
        <f>IFERROR(__xludf.DUMMYFUNCTION("""COMPUTED_VALUE"""),14.0)</f>
        <v>14</v>
      </c>
      <c r="Z7" s="35"/>
      <c r="AA7" s="35"/>
      <c r="AB7" s="35"/>
      <c r="AC7" s="35"/>
      <c r="AD7" s="10"/>
      <c r="AE7" s="53"/>
      <c r="AF7" s="53"/>
      <c r="AG7" s="35"/>
      <c r="AH7" s="53"/>
      <c r="AI7" s="35"/>
      <c r="AJ7" s="90"/>
      <c r="AK7" s="35"/>
      <c r="AL7" s="35"/>
      <c r="AM7" s="35"/>
      <c r="AN7" s="35"/>
      <c r="AO7" s="35"/>
      <c r="AP7" s="35"/>
      <c r="AQ7" s="35"/>
      <c r="AR7" s="35"/>
      <c r="AS7" s="35"/>
      <c r="AT7" s="35"/>
    </row>
    <row r="8" ht="18.75" customHeight="1">
      <c r="A8" s="53"/>
      <c r="B8" s="94"/>
      <c r="C8" s="121" t="str">
        <f>IFERROR(__xludf.DUMMYFUNCTION("""COMPUTED_VALUE"""),"Buchholz A")</f>
        <v>Buchholz A</v>
      </c>
      <c r="D8" s="122">
        <f>IFERROR(__xludf.DUMMYFUNCTION("""COMPUTED_VALUE"""),244.0)</f>
        <v>244</v>
      </c>
      <c r="E8" s="123" t="str">
        <f>IFERROR(__xludf.DUMMYFUNCTION("""COMPUTED_VALUE"""),"W")</f>
        <v>W</v>
      </c>
      <c r="F8" s="128">
        <f>IFERROR(__xludf.DUMMYFUNCTION("""COMPUTED_VALUE"""),212.0)</f>
        <v>212</v>
      </c>
      <c r="G8" s="123" t="str">
        <f>IFERROR(__xludf.DUMMYFUNCTION("""COMPUTED_VALUE"""),"W")</f>
        <v>W</v>
      </c>
      <c r="H8" s="124"/>
      <c r="I8" s="125"/>
      <c r="J8" s="108">
        <f>IFERROR(__xludf.DUMMYFUNCTION("""COMPUTED_VALUE"""),246.0)</f>
        <v>246</v>
      </c>
      <c r="K8" s="123" t="str">
        <f>IFERROR(__xludf.DUMMYFUNCTION("""COMPUTED_VALUE"""),"W")</f>
        <v>W</v>
      </c>
      <c r="L8" s="108">
        <f>IFERROR(__xludf.DUMMYFUNCTION("""COMPUTED_VALUE"""),222.0)</f>
        <v>222</v>
      </c>
      <c r="M8" s="126" t="str">
        <f>IFERROR(__xludf.DUMMYFUNCTION("""COMPUTED_VALUE"""),"W")</f>
        <v>W</v>
      </c>
      <c r="N8" s="108">
        <f>IFERROR(__xludf.DUMMYFUNCTION("""COMPUTED_VALUE"""),212.0)</f>
        <v>212</v>
      </c>
      <c r="O8" s="110" t="str">
        <f>IFERROR(__xludf.DUMMYFUNCTION("""COMPUTED_VALUE"""),"W")</f>
        <v>W</v>
      </c>
      <c r="Q8" s="111">
        <f>IFERROR(__xludf.DUMMYFUNCTION("""COMPUTED_VALUE"""),5.0)</f>
        <v>5</v>
      </c>
      <c r="R8" s="112">
        <f>IFERROR(__xludf.DUMMYFUNCTION("""COMPUTED_VALUE"""),0.0)</f>
        <v>0</v>
      </c>
      <c r="S8" s="112">
        <f>IFERROR(__xludf.DUMMYFUNCTION("""COMPUTED_VALUE"""),0.0)</f>
        <v>0</v>
      </c>
      <c r="T8" s="113">
        <f>IFERROR(__xludf.DUMMYFUNCTION("""COMPUTED_VALUE"""),5.0)</f>
        <v>5</v>
      </c>
      <c r="U8" s="114">
        <f>IFERROR(__xludf.DUMMYFUNCTION("""COMPUTED_VALUE"""),1136.0)</f>
        <v>1136</v>
      </c>
      <c r="V8" s="115">
        <f>IFERROR(__xludf.DUMMYFUNCTION("""COMPUTED_VALUE"""),227.2)</f>
        <v>227.2</v>
      </c>
      <c r="W8" s="116" t="str">
        <f>IFERROR(__xludf.DUMMYFUNCTION("""COMPUTED_VALUE"""),"1")</f>
        <v>1</v>
      </c>
      <c r="X8" s="117" t="str">
        <f>IFERROR(__xludf.DUMMYFUNCTION("""COMPUTED_VALUE"""),"Buchholz A")</f>
        <v>Buchholz A</v>
      </c>
      <c r="Y8" s="118">
        <f>IFERROR(__xludf.DUMMYFUNCTION("""COMPUTED_VALUE"""),227.2)</f>
        <v>227.2</v>
      </c>
      <c r="Z8" s="35"/>
      <c r="AA8" s="35"/>
      <c r="AB8" s="35"/>
      <c r="AC8" s="35"/>
      <c r="AD8" s="10"/>
      <c r="AE8" s="53"/>
      <c r="AF8" s="53"/>
      <c r="AG8" s="35"/>
      <c r="AH8" s="53"/>
      <c r="AI8" s="35"/>
      <c r="AJ8" s="90"/>
      <c r="AK8" s="35"/>
      <c r="AL8" s="35"/>
      <c r="AM8" s="35"/>
      <c r="AN8" s="35"/>
      <c r="AO8" s="35"/>
      <c r="AP8" s="35"/>
      <c r="AQ8" s="35"/>
      <c r="AR8" s="35"/>
      <c r="AS8" s="35"/>
      <c r="AT8" s="35"/>
    </row>
    <row r="9" ht="18.75" customHeight="1">
      <c r="A9" s="53"/>
      <c r="B9" s="94"/>
      <c r="C9" s="121" t="str">
        <f>IFERROR(__xludf.DUMMYFUNCTION("""COMPUTED_VALUE"""),"MCA")</f>
        <v>MCA</v>
      </c>
      <c r="D9" s="122">
        <f>IFERROR(__xludf.DUMMYFUNCTION("""COMPUTED_VALUE"""),138.0)</f>
        <v>138</v>
      </c>
      <c r="E9" s="123" t="str">
        <f>IFERROR(__xludf.DUMMYFUNCTION("""COMPUTED_VALUE"""),"W")</f>
        <v>W</v>
      </c>
      <c r="F9" s="128">
        <f>IFERROR(__xludf.DUMMYFUNCTION("""COMPUTED_VALUE"""),100.0)</f>
        <v>100</v>
      </c>
      <c r="G9" s="123" t="str">
        <f>IFERROR(__xludf.DUMMYFUNCTION("""COMPUTED_VALUE"""),"W")</f>
        <v>W</v>
      </c>
      <c r="H9" s="128">
        <f>IFERROR(__xludf.DUMMYFUNCTION("""COMPUTED_VALUE"""),50.0)</f>
        <v>50</v>
      </c>
      <c r="I9" s="123" t="str">
        <f>IFERROR(__xludf.DUMMYFUNCTION("""COMPUTED_VALUE"""),"L")</f>
        <v>L</v>
      </c>
      <c r="J9" s="124"/>
      <c r="K9" s="125"/>
      <c r="L9" s="108">
        <f>IFERROR(__xludf.DUMMYFUNCTION("""COMPUTED_VALUE"""),170.0)</f>
        <v>170</v>
      </c>
      <c r="M9" s="126" t="str">
        <f>IFERROR(__xludf.DUMMYFUNCTION("""COMPUTED_VALUE"""),"W")</f>
        <v>W</v>
      </c>
      <c r="N9" s="108">
        <f>IFERROR(__xludf.DUMMYFUNCTION("""COMPUTED_VALUE"""),136.0)</f>
        <v>136</v>
      </c>
      <c r="O9" s="110" t="str">
        <f>IFERROR(__xludf.DUMMYFUNCTION("""COMPUTED_VALUE"""),"W")</f>
        <v>W</v>
      </c>
      <c r="Q9" s="111">
        <f>IFERROR(__xludf.DUMMYFUNCTION("""COMPUTED_VALUE"""),4.0)</f>
        <v>4</v>
      </c>
      <c r="R9" s="112">
        <f>IFERROR(__xludf.DUMMYFUNCTION("""COMPUTED_VALUE"""),0.0)</f>
        <v>0</v>
      </c>
      <c r="S9" s="112">
        <f>IFERROR(__xludf.DUMMYFUNCTION("""COMPUTED_VALUE"""),1.0)</f>
        <v>1</v>
      </c>
      <c r="T9" s="113">
        <f>IFERROR(__xludf.DUMMYFUNCTION("""COMPUTED_VALUE"""),4.0)</f>
        <v>4</v>
      </c>
      <c r="U9" s="114">
        <f>IFERROR(__xludf.DUMMYFUNCTION("""COMPUTED_VALUE"""),594.0)</f>
        <v>594</v>
      </c>
      <c r="V9" s="115">
        <f>IFERROR(__xludf.DUMMYFUNCTION("""COMPUTED_VALUE"""),118.8)</f>
        <v>118.8</v>
      </c>
      <c r="W9" s="116" t="str">
        <f>IFERROR(__xludf.DUMMYFUNCTION("""COMPUTED_VALUE"""),"2")</f>
        <v>2</v>
      </c>
      <c r="X9" s="117" t="str">
        <f>IFERROR(__xludf.DUMMYFUNCTION("""COMPUTED_VALUE"""),"MCA")</f>
        <v>MCA</v>
      </c>
      <c r="Y9" s="118">
        <f>IFERROR(__xludf.DUMMYFUNCTION("""COMPUTED_VALUE"""),118.8)</f>
        <v>118.8</v>
      </c>
      <c r="Z9" s="35"/>
      <c r="AA9" s="35"/>
      <c r="AB9" s="35"/>
      <c r="AC9" s="35"/>
      <c r="AD9" s="10"/>
      <c r="AE9" s="53"/>
      <c r="AF9" s="53"/>
      <c r="AG9" s="35"/>
      <c r="AH9" s="53"/>
      <c r="AI9" s="35"/>
      <c r="AJ9" s="90"/>
      <c r="AK9" s="35"/>
      <c r="AL9" s="35"/>
      <c r="AM9" s="35"/>
      <c r="AN9" s="35"/>
      <c r="AO9" s="35"/>
      <c r="AP9" s="35"/>
      <c r="AQ9" s="35"/>
      <c r="AR9" s="35"/>
      <c r="AS9" s="35"/>
      <c r="AT9" s="35"/>
    </row>
    <row r="10" ht="18.75" customHeight="1">
      <c r="A10" s="53"/>
      <c r="B10" s="94"/>
      <c r="C10" s="121" t="str">
        <f>IFERROR(__xludf.DUMMYFUNCTION("""COMPUTED_VALUE"""),"Poolesville B")</f>
        <v>Poolesville B</v>
      </c>
      <c r="D10" s="122">
        <f>IFERROR(__xludf.DUMMYFUNCTION("""COMPUTED_VALUE"""),58.0)</f>
        <v>58</v>
      </c>
      <c r="E10" s="133" t="str">
        <f>IFERROR(__xludf.DUMMYFUNCTION("""COMPUTED_VALUE"""),"L")</f>
        <v>L</v>
      </c>
      <c r="F10" s="128">
        <f>IFERROR(__xludf.DUMMYFUNCTION("""COMPUTED_VALUE"""),108.0)</f>
        <v>108</v>
      </c>
      <c r="G10" s="133" t="str">
        <f>IFERROR(__xludf.DUMMYFUNCTION("""COMPUTED_VALUE"""),"W")</f>
        <v>W</v>
      </c>
      <c r="H10" s="128">
        <f>IFERROR(__xludf.DUMMYFUNCTION("""COMPUTED_VALUE"""),44.0)</f>
        <v>44</v>
      </c>
      <c r="I10" s="133" t="str">
        <f>IFERROR(__xludf.DUMMYFUNCTION("""COMPUTED_VALUE"""),"L")</f>
        <v>L</v>
      </c>
      <c r="J10" s="128">
        <f>IFERROR(__xludf.DUMMYFUNCTION("""COMPUTED_VALUE"""),50.0)</f>
        <v>50</v>
      </c>
      <c r="K10" s="133" t="str">
        <f>IFERROR(__xludf.DUMMYFUNCTION("""COMPUTED_VALUE"""),"L")</f>
        <v>L</v>
      </c>
      <c r="L10" s="134"/>
      <c r="M10" s="135"/>
      <c r="N10" s="108">
        <f>IFERROR(__xludf.DUMMYFUNCTION("""COMPUTED_VALUE"""),26.0)</f>
        <v>26</v>
      </c>
      <c r="O10" s="110" t="str">
        <f>IFERROR(__xludf.DUMMYFUNCTION("""COMPUTED_VALUE"""),"L")</f>
        <v>L</v>
      </c>
      <c r="Q10" s="111">
        <f>IFERROR(__xludf.DUMMYFUNCTION("""COMPUTED_VALUE"""),1.0)</f>
        <v>1</v>
      </c>
      <c r="R10" s="112">
        <f>IFERROR(__xludf.DUMMYFUNCTION("""COMPUTED_VALUE"""),0.0)</f>
        <v>0</v>
      </c>
      <c r="S10" s="112">
        <f>IFERROR(__xludf.DUMMYFUNCTION("""COMPUTED_VALUE"""),4.0)</f>
        <v>4</v>
      </c>
      <c r="T10" s="113">
        <f>IFERROR(__xludf.DUMMYFUNCTION("""COMPUTED_VALUE"""),1.0)</f>
        <v>1</v>
      </c>
      <c r="U10" s="114">
        <f>IFERROR(__xludf.DUMMYFUNCTION("""COMPUTED_VALUE"""),286.0)</f>
        <v>286</v>
      </c>
      <c r="V10" s="115">
        <f>IFERROR(__xludf.DUMMYFUNCTION("""COMPUTED_VALUE"""),57.2)</f>
        <v>57.2</v>
      </c>
      <c r="W10" s="136" t="str">
        <f>IFERROR(__xludf.DUMMYFUNCTION("""COMPUTED_VALUE"""),"5")</f>
        <v>5</v>
      </c>
      <c r="X10" s="117" t="str">
        <f>IFERROR(__xludf.DUMMYFUNCTION("""COMPUTED_VALUE"""),"Poolesville B")</f>
        <v>Poolesville B</v>
      </c>
      <c r="Y10" s="118">
        <f>IFERROR(__xludf.DUMMYFUNCTION("""COMPUTED_VALUE"""),57.2)</f>
        <v>57.2</v>
      </c>
      <c r="Z10" s="35"/>
      <c r="AA10" s="35"/>
      <c r="AB10" s="35"/>
      <c r="AC10" s="35"/>
      <c r="AD10" s="10"/>
      <c r="AE10" s="53"/>
      <c r="AF10" s="53"/>
      <c r="AG10" s="35"/>
      <c r="AH10" s="53"/>
      <c r="AI10" s="35"/>
      <c r="AJ10" s="90"/>
      <c r="AK10" s="35"/>
      <c r="AL10" s="35"/>
      <c r="AM10" s="35"/>
      <c r="AN10" s="35"/>
      <c r="AO10" s="35"/>
      <c r="AP10" s="35"/>
      <c r="AQ10" s="35"/>
      <c r="AR10" s="35"/>
      <c r="AS10" s="35"/>
      <c r="AT10" s="35"/>
    </row>
    <row r="11" ht="18.75" customHeight="1">
      <c r="A11" s="53"/>
      <c r="B11" s="94"/>
      <c r="C11" s="121" t="str">
        <f>IFERROR(__xludf.DUMMYFUNCTION("""COMPUTED_VALUE"""),"RMHS B")</f>
        <v>RMHS B</v>
      </c>
      <c r="D11" s="122">
        <f>IFERROR(__xludf.DUMMYFUNCTION("""COMPUTED_VALUE"""),60.0)</f>
        <v>60</v>
      </c>
      <c r="E11" s="133" t="str">
        <f>IFERROR(__xludf.DUMMYFUNCTION("""COMPUTED_VALUE"""),"L")</f>
        <v>L</v>
      </c>
      <c r="F11" s="128">
        <f>IFERROR(__xludf.DUMMYFUNCTION("""COMPUTED_VALUE"""),48.0)</f>
        <v>48</v>
      </c>
      <c r="G11" s="133" t="str">
        <f>IFERROR(__xludf.DUMMYFUNCTION("""COMPUTED_VALUE"""),"W")</f>
        <v>W</v>
      </c>
      <c r="H11" s="128">
        <f>IFERROR(__xludf.DUMMYFUNCTION("""COMPUTED_VALUE"""),36.0)</f>
        <v>36</v>
      </c>
      <c r="I11" s="123" t="str">
        <f>IFERROR(__xludf.DUMMYFUNCTION("""COMPUTED_VALUE"""),"L")</f>
        <v>L</v>
      </c>
      <c r="J11" s="128">
        <f>IFERROR(__xludf.DUMMYFUNCTION("""COMPUTED_VALUE"""),22.0)</f>
        <v>22</v>
      </c>
      <c r="K11" s="133" t="str">
        <f>IFERROR(__xludf.DUMMYFUNCTION("""COMPUTED_VALUE"""),"L")</f>
        <v>L</v>
      </c>
      <c r="L11" s="128">
        <f>IFERROR(__xludf.DUMMYFUNCTION("""COMPUTED_VALUE"""),88.0)</f>
        <v>88</v>
      </c>
      <c r="M11" s="133" t="str">
        <f>IFERROR(__xludf.DUMMYFUNCTION("""COMPUTED_VALUE"""),"W")</f>
        <v>W</v>
      </c>
      <c r="N11" s="137"/>
      <c r="O11" s="138"/>
      <c r="P11" s="99"/>
      <c r="Q11" s="111">
        <f>IFERROR(__xludf.DUMMYFUNCTION("""COMPUTED_VALUE"""),2.0)</f>
        <v>2</v>
      </c>
      <c r="R11" s="112">
        <f>IFERROR(__xludf.DUMMYFUNCTION("""COMPUTED_VALUE"""),0.0)</f>
        <v>0</v>
      </c>
      <c r="S11" s="112">
        <f>IFERROR(__xludf.DUMMYFUNCTION("""COMPUTED_VALUE"""),3.0)</f>
        <v>3</v>
      </c>
      <c r="T11" s="113">
        <f>IFERROR(__xludf.DUMMYFUNCTION("""COMPUTED_VALUE"""),2.0)</f>
        <v>2</v>
      </c>
      <c r="U11" s="114">
        <f>IFERROR(__xludf.DUMMYFUNCTION("""COMPUTED_VALUE"""),254.0)</f>
        <v>254</v>
      </c>
      <c r="V11" s="115">
        <f>IFERROR(__xludf.DUMMYFUNCTION("""COMPUTED_VALUE"""),50.8)</f>
        <v>50.8</v>
      </c>
      <c r="W11" s="136" t="str">
        <f>IFERROR(__xludf.DUMMYFUNCTION("""COMPUTED_VALUE"""),"4")</f>
        <v>4</v>
      </c>
      <c r="X11" s="117" t="str">
        <f>IFERROR(__xludf.DUMMYFUNCTION("""COMPUTED_VALUE"""),"RMHS B")</f>
        <v>RMHS B</v>
      </c>
      <c r="Y11" s="118">
        <f>IFERROR(__xludf.DUMMYFUNCTION("""COMPUTED_VALUE"""),50.8)</f>
        <v>50.8</v>
      </c>
      <c r="Z11" s="35"/>
      <c r="AA11" s="35"/>
      <c r="AB11" s="35"/>
      <c r="AC11" s="35"/>
      <c r="AD11" s="68"/>
      <c r="AE11" s="53"/>
      <c r="AF11" s="53"/>
      <c r="AG11" s="35"/>
      <c r="AH11" s="53"/>
      <c r="AI11" s="35"/>
      <c r="AJ11" s="90"/>
      <c r="AK11" s="35"/>
      <c r="AL11" s="35"/>
      <c r="AM11" s="35"/>
      <c r="AN11" s="35"/>
      <c r="AO11" s="35"/>
      <c r="AP11" s="35"/>
      <c r="AQ11" s="35"/>
      <c r="AR11" s="35"/>
      <c r="AS11" s="35"/>
      <c r="AT11" s="35"/>
    </row>
    <row r="12" ht="18.75" customHeight="1">
      <c r="A12" s="35"/>
      <c r="B12" s="139"/>
      <c r="C12" s="14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141"/>
      <c r="Y12" s="35"/>
      <c r="Z12" s="35"/>
      <c r="AA12" s="35"/>
      <c r="AB12" s="35"/>
      <c r="AC12" s="35"/>
      <c r="AD12" s="10"/>
      <c r="AE12" s="53"/>
      <c r="AF12" s="53"/>
      <c r="AG12" s="35"/>
      <c r="AH12" s="53"/>
      <c r="AI12" s="35"/>
      <c r="AJ12" s="90"/>
      <c r="AK12" s="35"/>
      <c r="AL12" s="35"/>
      <c r="AM12" s="35"/>
      <c r="AN12" s="35"/>
      <c r="AO12" s="35"/>
      <c r="AP12" s="35"/>
      <c r="AQ12" s="35"/>
      <c r="AR12" s="35"/>
      <c r="AS12" s="35"/>
      <c r="AT12" s="35"/>
    </row>
    <row r="13" ht="18.7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62"/>
      <c r="U13" s="35"/>
      <c r="V13" s="35"/>
      <c r="W13" s="64"/>
      <c r="X13" s="35"/>
      <c r="Y13" s="35"/>
      <c r="Z13" s="35"/>
      <c r="AA13" s="35"/>
      <c r="AB13" s="35"/>
      <c r="AC13" s="35"/>
      <c r="AD13" s="10"/>
      <c r="AE13" s="53"/>
      <c r="AF13" s="53"/>
      <c r="AG13" s="35"/>
      <c r="AH13" s="53"/>
      <c r="AI13" s="35"/>
      <c r="AJ13" s="90"/>
      <c r="AK13" s="35"/>
      <c r="AL13" s="35"/>
      <c r="AM13" s="35"/>
      <c r="AN13" s="35"/>
      <c r="AO13" s="35"/>
      <c r="AP13" s="35"/>
      <c r="AQ13" s="35"/>
      <c r="AR13" s="35"/>
      <c r="AS13" s="35"/>
      <c r="AT13" s="35"/>
    </row>
    <row r="14" ht="18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143"/>
      <c r="U14" s="35"/>
      <c r="V14" s="35"/>
      <c r="W14" s="64"/>
      <c r="X14" s="35"/>
      <c r="Y14" s="35"/>
      <c r="Z14" s="35"/>
      <c r="AA14" s="35"/>
      <c r="AB14" s="35"/>
      <c r="AC14" s="35"/>
      <c r="AD14" s="68"/>
      <c r="AE14" s="53"/>
      <c r="AF14" s="53"/>
      <c r="AG14" s="35"/>
      <c r="AH14" s="53"/>
      <c r="AI14" s="35"/>
      <c r="AJ14" s="90"/>
      <c r="AK14" s="35"/>
      <c r="AL14" s="35"/>
      <c r="AM14" s="35"/>
      <c r="AN14" s="35"/>
      <c r="AO14" s="35"/>
      <c r="AP14" s="35"/>
      <c r="AQ14" s="35"/>
      <c r="AR14" s="35"/>
      <c r="AS14" s="35"/>
      <c r="AT14" s="35"/>
    </row>
    <row r="15" ht="18.75" customHeight="1">
      <c r="A15" s="73"/>
      <c r="B15" s="73"/>
      <c r="C15" s="73" t="str">
        <f>IFERROR(__xludf.DUMMYFUNCTION("""COMPUTED_VALUE"""),"Bohr")</f>
        <v>Bohr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74"/>
      <c r="U15" s="10"/>
      <c r="V15" s="10"/>
      <c r="W15" s="76"/>
      <c r="X15" s="10"/>
      <c r="Y15" s="35"/>
      <c r="Z15" s="35"/>
      <c r="AA15" s="35"/>
      <c r="AB15" s="35"/>
      <c r="AC15" s="35"/>
      <c r="AD15" s="68"/>
      <c r="AE15" s="53"/>
      <c r="AF15" s="53"/>
      <c r="AG15" s="35"/>
      <c r="AH15" s="53"/>
      <c r="AI15" s="35"/>
      <c r="AJ15" s="90"/>
      <c r="AK15" s="35"/>
      <c r="AL15" s="35"/>
      <c r="AM15" s="35"/>
      <c r="AN15" s="35"/>
      <c r="AO15" s="35"/>
      <c r="AP15" s="35"/>
      <c r="AQ15" s="35"/>
      <c r="AR15" s="35"/>
      <c r="AS15" s="35"/>
      <c r="AT15" s="35"/>
    </row>
    <row r="16" ht="18.75" customHeight="1">
      <c r="A16" s="35"/>
      <c r="B16" s="80"/>
      <c r="C16" s="82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7"/>
      <c r="Y16" s="35"/>
      <c r="Z16" s="35"/>
      <c r="AA16" s="35"/>
      <c r="AB16" s="35"/>
      <c r="AC16" s="35"/>
      <c r="AD16" s="68"/>
      <c r="AE16" s="53"/>
      <c r="AF16" s="53"/>
      <c r="AG16" s="35"/>
      <c r="AH16" s="53"/>
      <c r="AI16" s="35"/>
      <c r="AJ16" s="90"/>
      <c r="AK16" s="35"/>
      <c r="AL16" s="35"/>
      <c r="AM16" s="35"/>
      <c r="AN16" s="35"/>
      <c r="AO16" s="35"/>
      <c r="AP16" s="35"/>
      <c r="AQ16" s="35"/>
      <c r="AR16" s="35"/>
      <c r="AS16" s="35"/>
      <c r="AT16" s="35"/>
    </row>
    <row r="17" ht="18.75" customHeight="1">
      <c r="A17" s="92"/>
      <c r="B17" s="94"/>
      <c r="C17" s="95" t="str">
        <f>IFERROR(__xludf.DUMMYFUNCTION("""COMPUTED_VALUE"""),"Team")</f>
        <v>Team</v>
      </c>
      <c r="D17" s="53" t="str">
        <f>IFERROR(__xludf.DUMMYFUNCTION("""COMPUTED_VALUE"""),"AMSA B")</f>
        <v>AMSA B</v>
      </c>
      <c r="F17" s="97" t="str">
        <f>IFERROR(__xludf.DUMMYFUNCTION("""COMPUTED_VALUE"""),"BOW B")</f>
        <v>BOW B</v>
      </c>
      <c r="G17" s="98"/>
      <c r="H17" s="97" t="str">
        <f>IFERROR(__xludf.DUMMYFUNCTION("""COMPUTED_VALUE"""),"Lindbergh A")</f>
        <v>Lindbergh A</v>
      </c>
      <c r="I17" s="98"/>
      <c r="J17" s="97" t="str">
        <f>IFERROR(__xludf.DUMMYFUNCTION("""COMPUTED_VALUE"""),"Tupelo")</f>
        <v>Tupelo</v>
      </c>
      <c r="K17" s="98"/>
      <c r="L17" s="97" t="str">
        <f>IFERROR(__xludf.DUMMYFUNCTION("""COMPUTED_VALUE"""),"Westminster")</f>
        <v>Westminster</v>
      </c>
      <c r="M17" s="98"/>
      <c r="N17" s="97" t="str">
        <f>IFERROR(__xludf.DUMMYFUNCTION("""COMPUTED_VALUE"""),"BYE")</f>
        <v>BYE</v>
      </c>
      <c r="O17" s="98"/>
      <c r="P17" s="99"/>
      <c r="Q17" s="100" t="str">
        <f>IFERROR(__xludf.DUMMYFUNCTION("""COMPUTED_VALUE"""),"W")</f>
        <v>W</v>
      </c>
      <c r="R17" s="100" t="str">
        <f>IFERROR(__xludf.DUMMYFUNCTION("""COMPUTED_VALUE"""),"T")</f>
        <v>T</v>
      </c>
      <c r="S17" s="100" t="str">
        <f>IFERROR(__xludf.DUMMYFUNCTION("""COMPUTED_VALUE"""),"L")</f>
        <v>L</v>
      </c>
      <c r="T17" s="101" t="str">
        <f>IFERROR(__xludf.DUMMYFUNCTION("""COMPUTED_VALUE"""),"W/L Score")</f>
        <v>W/L Score</v>
      </c>
      <c r="U17" s="100" t="str">
        <f>IFERROR(__xludf.DUMMYFUNCTION("""COMPUTED_VALUE"""),"Points")</f>
        <v>Points</v>
      </c>
      <c r="V17" s="100" t="str">
        <f>IFERROR(__xludf.DUMMYFUNCTION("""COMPUTED_VALUE"""),"Average")</f>
        <v>Average</v>
      </c>
      <c r="W17" s="102" t="str">
        <f>IFERROR(__xludf.DUMMYFUNCTION("""COMPUTED_VALUE"""),"Rank")</f>
        <v>Rank</v>
      </c>
      <c r="X17" s="103"/>
      <c r="Y17" s="35"/>
      <c r="Z17" s="35"/>
      <c r="AA17" s="35"/>
      <c r="AB17" s="35"/>
      <c r="AC17" s="35"/>
      <c r="AD17" s="68"/>
      <c r="AE17" s="53"/>
      <c r="AF17" s="53"/>
      <c r="AG17" s="35"/>
      <c r="AH17" s="53"/>
      <c r="AI17" s="35"/>
      <c r="AJ17" s="90"/>
      <c r="AK17" s="35"/>
      <c r="AL17" s="35"/>
      <c r="AM17" s="35"/>
      <c r="AN17" s="35"/>
      <c r="AO17" s="35"/>
      <c r="AP17" s="35"/>
      <c r="AQ17" s="35"/>
      <c r="AR17" s="35"/>
      <c r="AS17" s="35"/>
      <c r="AT17" s="35"/>
    </row>
    <row r="18" ht="18.75" customHeight="1">
      <c r="A18" s="104"/>
      <c r="B18" s="94"/>
      <c r="C18" s="105" t="str">
        <f>IFERROR(__xludf.DUMMYFUNCTION("""COMPUTED_VALUE"""),"AMSA B")</f>
        <v>AMSA B</v>
      </c>
      <c r="D18" s="106"/>
      <c r="E18" s="107"/>
      <c r="F18" s="108">
        <f>IFERROR(__xludf.DUMMYFUNCTION("""COMPUTED_VALUE"""),70.0)</f>
        <v>70</v>
      </c>
      <c r="G18" s="109" t="str">
        <f>IFERROR(__xludf.DUMMYFUNCTION("""COMPUTED_VALUE"""),"W")</f>
        <v>W</v>
      </c>
      <c r="H18" s="108">
        <f>IFERROR(__xludf.DUMMYFUNCTION("""COMPUTED_VALUE"""),30.0)</f>
        <v>30</v>
      </c>
      <c r="I18" s="109" t="str">
        <f>IFERROR(__xludf.DUMMYFUNCTION("""COMPUTED_VALUE"""),"L")</f>
        <v>L</v>
      </c>
      <c r="J18" s="108">
        <f>IFERROR(__xludf.DUMMYFUNCTION("""COMPUTED_VALUE"""),26.0)</f>
        <v>26</v>
      </c>
      <c r="K18" s="109" t="str">
        <f>IFERROR(__xludf.DUMMYFUNCTION("""COMPUTED_VALUE"""),"L")</f>
        <v>L</v>
      </c>
      <c r="L18" s="108">
        <f>IFERROR(__xludf.DUMMYFUNCTION("""COMPUTED_VALUE"""),12.0)</f>
        <v>12</v>
      </c>
      <c r="M18" s="110" t="str">
        <f>IFERROR(__xludf.DUMMYFUNCTION("""COMPUTED_VALUE"""),"L")</f>
        <v>L</v>
      </c>
      <c r="N18" s="108" t="str">
        <f>IFERROR(__xludf.DUMMYFUNCTION("""COMPUTED_VALUE"""),"")</f>
        <v/>
      </c>
      <c r="O18" s="110" t="str">
        <f>IFERROR(__xludf.DUMMYFUNCTION("""COMPUTED_VALUE"""),"")</f>
        <v/>
      </c>
      <c r="Q18" s="111">
        <f>IFERROR(__xludf.DUMMYFUNCTION("""COMPUTED_VALUE"""),1.0)</f>
        <v>1</v>
      </c>
      <c r="R18" s="112">
        <f>IFERROR(__xludf.DUMMYFUNCTION("""COMPUTED_VALUE"""),0.0)</f>
        <v>0</v>
      </c>
      <c r="S18" s="112">
        <f>IFERROR(__xludf.DUMMYFUNCTION("""COMPUTED_VALUE"""),3.0)</f>
        <v>3</v>
      </c>
      <c r="T18" s="113">
        <f>IFERROR(__xludf.DUMMYFUNCTION("""COMPUTED_VALUE"""),1.0)</f>
        <v>1</v>
      </c>
      <c r="U18" s="114">
        <f>IFERROR(__xludf.DUMMYFUNCTION("""COMPUTED_VALUE"""),138.0)</f>
        <v>138</v>
      </c>
      <c r="V18" s="115">
        <f>IFERROR(__xludf.DUMMYFUNCTION("""COMPUTED_VALUE"""),34.5)</f>
        <v>34.5</v>
      </c>
      <c r="W18" s="136" t="str">
        <f>IFERROR(__xludf.DUMMYFUNCTION("""COMPUTED_VALUE"""),"4")</f>
        <v>4</v>
      </c>
      <c r="X18" s="117" t="str">
        <f>IFERROR(__xludf.DUMMYFUNCTION("""COMPUTED_VALUE"""),"AMSA B")</f>
        <v>AMSA B</v>
      </c>
      <c r="Y18" s="118">
        <f>IFERROR(__xludf.DUMMYFUNCTION("""COMPUTED_VALUE"""),34.5)</f>
        <v>34.5</v>
      </c>
      <c r="Z18" s="35"/>
      <c r="AA18" s="35"/>
      <c r="AB18" s="35"/>
      <c r="AC18" s="35"/>
      <c r="AD18" s="10"/>
      <c r="AE18" s="53"/>
      <c r="AF18" s="53"/>
      <c r="AG18" s="35"/>
      <c r="AH18" s="53"/>
      <c r="AI18" s="35"/>
      <c r="AJ18" s="90"/>
      <c r="AK18" s="35"/>
      <c r="AL18" s="35"/>
      <c r="AM18" s="35"/>
      <c r="AN18" s="35"/>
      <c r="AO18" s="35"/>
      <c r="AP18" s="35"/>
      <c r="AQ18" s="35"/>
      <c r="AR18" s="35"/>
      <c r="AS18" s="35"/>
      <c r="AT18" s="35"/>
    </row>
    <row r="19" ht="18.75" customHeight="1">
      <c r="A19" s="53"/>
      <c r="B19" s="94"/>
      <c r="C19" s="121" t="str">
        <f>IFERROR(__xludf.DUMMYFUNCTION("""COMPUTED_VALUE"""),"BOW B")</f>
        <v>BOW B</v>
      </c>
      <c r="D19" s="122">
        <f>IFERROR(__xludf.DUMMYFUNCTION("""COMPUTED_VALUE"""),4.0)</f>
        <v>4</v>
      </c>
      <c r="E19" s="123" t="str">
        <f>IFERROR(__xludf.DUMMYFUNCTION("""COMPUTED_VALUE"""),"L")</f>
        <v>L</v>
      </c>
      <c r="F19" s="124"/>
      <c r="G19" s="125"/>
      <c r="H19" s="108">
        <f>IFERROR(__xludf.DUMMYFUNCTION("""COMPUTED_VALUE"""),26.0)</f>
        <v>26</v>
      </c>
      <c r="I19" s="123" t="str">
        <f>IFERROR(__xludf.DUMMYFUNCTION("""COMPUTED_VALUE"""),"L")</f>
        <v>L</v>
      </c>
      <c r="J19" s="108">
        <f>IFERROR(__xludf.DUMMYFUNCTION("""COMPUTED_VALUE"""),4.0)</f>
        <v>4</v>
      </c>
      <c r="K19" s="123" t="str">
        <f>IFERROR(__xludf.DUMMYFUNCTION("""COMPUTED_VALUE"""),"L")</f>
        <v>L</v>
      </c>
      <c r="L19" s="108">
        <f>IFERROR(__xludf.DUMMYFUNCTION("""COMPUTED_VALUE"""),0.0)</f>
        <v>0</v>
      </c>
      <c r="M19" s="126" t="str">
        <f>IFERROR(__xludf.DUMMYFUNCTION("""COMPUTED_VALUE"""),"L")</f>
        <v>L</v>
      </c>
      <c r="N19" s="108" t="str">
        <f>IFERROR(__xludf.DUMMYFUNCTION("""COMPUTED_VALUE"""),"")</f>
        <v/>
      </c>
      <c r="O19" s="110" t="str">
        <f>IFERROR(__xludf.DUMMYFUNCTION("""COMPUTED_VALUE"""),"")</f>
        <v/>
      </c>
      <c r="Q19" s="111">
        <f>IFERROR(__xludf.DUMMYFUNCTION("""COMPUTED_VALUE"""),0.0)</f>
        <v>0</v>
      </c>
      <c r="R19" s="112">
        <f>IFERROR(__xludf.DUMMYFUNCTION("""COMPUTED_VALUE"""),0.0)</f>
        <v>0</v>
      </c>
      <c r="S19" s="112">
        <f>IFERROR(__xludf.DUMMYFUNCTION("""COMPUTED_VALUE"""),4.0)</f>
        <v>4</v>
      </c>
      <c r="T19" s="113">
        <f>IFERROR(__xludf.DUMMYFUNCTION("""COMPUTED_VALUE"""),0.0)</f>
        <v>0</v>
      </c>
      <c r="U19" s="114">
        <f>IFERROR(__xludf.DUMMYFUNCTION("""COMPUTED_VALUE"""),34.0)</f>
        <v>34</v>
      </c>
      <c r="V19" s="115">
        <f>IFERROR(__xludf.DUMMYFUNCTION("""COMPUTED_VALUE"""),8.5)</f>
        <v>8.5</v>
      </c>
      <c r="W19" s="116" t="str">
        <f>IFERROR(__xludf.DUMMYFUNCTION("""COMPUTED_VALUE"""),"5")</f>
        <v>5</v>
      </c>
      <c r="X19" s="117" t="str">
        <f>IFERROR(__xludf.DUMMYFUNCTION("""COMPUTED_VALUE"""),"BOW B")</f>
        <v>BOW B</v>
      </c>
      <c r="Y19" s="118">
        <f>IFERROR(__xludf.DUMMYFUNCTION("""COMPUTED_VALUE"""),8.5)</f>
        <v>8.5</v>
      </c>
      <c r="Z19" s="35"/>
      <c r="AA19" s="35"/>
      <c r="AB19" s="35"/>
      <c r="AC19" s="35"/>
      <c r="AD19" s="35"/>
      <c r="AE19" s="53"/>
      <c r="AF19" s="53"/>
      <c r="AG19" s="35"/>
      <c r="AH19" s="53"/>
      <c r="AI19" s="35"/>
      <c r="AJ19" s="90"/>
      <c r="AK19" s="35"/>
      <c r="AL19" s="35"/>
      <c r="AM19" s="35"/>
      <c r="AN19" s="35"/>
      <c r="AO19" s="35"/>
      <c r="AP19" s="35"/>
      <c r="AQ19" s="35"/>
      <c r="AR19" s="35"/>
      <c r="AS19" s="35"/>
      <c r="AT19" s="35"/>
    </row>
    <row r="20" ht="18.75" customHeight="1">
      <c r="A20" s="53"/>
      <c r="B20" s="94"/>
      <c r="C20" s="121" t="str">
        <f>IFERROR(__xludf.DUMMYFUNCTION("""COMPUTED_VALUE"""),"Lindbergh A")</f>
        <v>Lindbergh A</v>
      </c>
      <c r="D20" s="122">
        <f>IFERROR(__xludf.DUMMYFUNCTION("""COMPUTED_VALUE"""),70.0)</f>
        <v>70</v>
      </c>
      <c r="E20" s="123" t="str">
        <f>IFERROR(__xludf.DUMMYFUNCTION("""COMPUTED_VALUE"""),"W")</f>
        <v>W</v>
      </c>
      <c r="F20" s="128">
        <f>IFERROR(__xludf.DUMMYFUNCTION("""COMPUTED_VALUE"""),146.0)</f>
        <v>146</v>
      </c>
      <c r="G20" s="123" t="str">
        <f>IFERROR(__xludf.DUMMYFUNCTION("""COMPUTED_VALUE"""),"W")</f>
        <v>W</v>
      </c>
      <c r="H20" s="124"/>
      <c r="I20" s="125"/>
      <c r="J20" s="108">
        <f>IFERROR(__xludf.DUMMYFUNCTION("""COMPUTED_VALUE"""),112.0)</f>
        <v>112</v>
      </c>
      <c r="K20" s="123" t="str">
        <f>IFERROR(__xludf.DUMMYFUNCTION("""COMPUTED_VALUE"""),"W")</f>
        <v>W</v>
      </c>
      <c r="L20" s="108">
        <f>IFERROR(__xludf.DUMMYFUNCTION("""COMPUTED_VALUE"""),32.0)</f>
        <v>32</v>
      </c>
      <c r="M20" s="126" t="str">
        <f>IFERROR(__xludf.DUMMYFUNCTION("""COMPUTED_VALUE"""),"L")</f>
        <v>L</v>
      </c>
      <c r="N20" s="108" t="str">
        <f>IFERROR(__xludf.DUMMYFUNCTION("""COMPUTED_VALUE"""),"")</f>
        <v/>
      </c>
      <c r="O20" s="110" t="str">
        <f>IFERROR(__xludf.DUMMYFUNCTION("""COMPUTED_VALUE"""),"")</f>
        <v/>
      </c>
      <c r="Q20" s="111">
        <f>IFERROR(__xludf.DUMMYFUNCTION("""COMPUTED_VALUE"""),3.0)</f>
        <v>3</v>
      </c>
      <c r="R20" s="112">
        <f>IFERROR(__xludf.DUMMYFUNCTION("""COMPUTED_VALUE"""),0.0)</f>
        <v>0</v>
      </c>
      <c r="S20" s="112">
        <f>IFERROR(__xludf.DUMMYFUNCTION("""COMPUTED_VALUE"""),1.0)</f>
        <v>1</v>
      </c>
      <c r="T20" s="113">
        <f>IFERROR(__xludf.DUMMYFUNCTION("""COMPUTED_VALUE"""),3.0)</f>
        <v>3</v>
      </c>
      <c r="U20" s="114">
        <f>IFERROR(__xludf.DUMMYFUNCTION("""COMPUTED_VALUE"""),360.0)</f>
        <v>360</v>
      </c>
      <c r="V20" s="115">
        <f>IFERROR(__xludf.DUMMYFUNCTION("""COMPUTED_VALUE"""),90.0)</f>
        <v>90</v>
      </c>
      <c r="W20" s="136" t="str">
        <f>IFERROR(__xludf.DUMMYFUNCTION("""COMPUTED_VALUE"""),"2")</f>
        <v>2</v>
      </c>
      <c r="X20" s="117" t="str">
        <f>IFERROR(__xludf.DUMMYFUNCTION("""COMPUTED_VALUE"""),"Lindbergh A")</f>
        <v>Lindbergh A</v>
      </c>
      <c r="Y20" s="118">
        <f>IFERROR(__xludf.DUMMYFUNCTION("""COMPUTED_VALUE"""),90.0)</f>
        <v>90</v>
      </c>
      <c r="Z20" s="35"/>
      <c r="AA20" s="35"/>
      <c r="AB20" s="35"/>
      <c r="AC20" s="35"/>
      <c r="AD20" s="35"/>
      <c r="AE20" s="53"/>
      <c r="AF20" s="53"/>
      <c r="AG20" s="35"/>
      <c r="AH20" s="53"/>
      <c r="AI20" s="35"/>
      <c r="AJ20" s="90"/>
      <c r="AK20" s="35"/>
      <c r="AL20" s="35"/>
      <c r="AM20" s="35"/>
      <c r="AN20" s="35"/>
      <c r="AO20" s="35"/>
      <c r="AP20" s="35"/>
      <c r="AQ20" s="35"/>
      <c r="AR20" s="35"/>
      <c r="AS20" s="35"/>
      <c r="AT20" s="35"/>
    </row>
    <row r="21" ht="18.75" customHeight="1">
      <c r="A21" s="53"/>
      <c r="B21" s="94"/>
      <c r="C21" s="121" t="str">
        <f>IFERROR(__xludf.DUMMYFUNCTION("""COMPUTED_VALUE"""),"Tupelo")</f>
        <v>Tupelo</v>
      </c>
      <c r="D21" s="122">
        <f>IFERROR(__xludf.DUMMYFUNCTION("""COMPUTED_VALUE"""),100.0)</f>
        <v>100</v>
      </c>
      <c r="E21" s="123" t="str">
        <f>IFERROR(__xludf.DUMMYFUNCTION("""COMPUTED_VALUE"""),"W")</f>
        <v>W</v>
      </c>
      <c r="F21" s="128">
        <f>IFERROR(__xludf.DUMMYFUNCTION("""COMPUTED_VALUE"""),154.0)</f>
        <v>154</v>
      </c>
      <c r="G21" s="123" t="str">
        <f>IFERROR(__xludf.DUMMYFUNCTION("""COMPUTED_VALUE"""),"W")</f>
        <v>W</v>
      </c>
      <c r="H21" s="128">
        <f>IFERROR(__xludf.DUMMYFUNCTION("""COMPUTED_VALUE"""),68.0)</f>
        <v>68</v>
      </c>
      <c r="I21" s="123" t="str">
        <f>IFERROR(__xludf.DUMMYFUNCTION("""COMPUTED_VALUE"""),"L")</f>
        <v>L</v>
      </c>
      <c r="J21" s="124"/>
      <c r="K21" s="125"/>
      <c r="L21" s="108">
        <f>IFERROR(__xludf.DUMMYFUNCTION("""COMPUTED_VALUE"""),80.0)</f>
        <v>80</v>
      </c>
      <c r="M21" s="126" t="str">
        <f>IFERROR(__xludf.DUMMYFUNCTION("""COMPUTED_VALUE"""),"L")</f>
        <v>L</v>
      </c>
      <c r="N21" s="108" t="str">
        <f>IFERROR(__xludf.DUMMYFUNCTION("""COMPUTED_VALUE"""),"")</f>
        <v/>
      </c>
      <c r="O21" s="110" t="str">
        <f>IFERROR(__xludf.DUMMYFUNCTION("""COMPUTED_VALUE"""),"")</f>
        <v/>
      </c>
      <c r="Q21" s="111">
        <f>IFERROR(__xludf.DUMMYFUNCTION("""COMPUTED_VALUE"""),2.0)</f>
        <v>2</v>
      </c>
      <c r="R21" s="112">
        <f>IFERROR(__xludf.DUMMYFUNCTION("""COMPUTED_VALUE"""),0.0)</f>
        <v>0</v>
      </c>
      <c r="S21" s="112">
        <f>IFERROR(__xludf.DUMMYFUNCTION("""COMPUTED_VALUE"""),2.0)</f>
        <v>2</v>
      </c>
      <c r="T21" s="113">
        <f>IFERROR(__xludf.DUMMYFUNCTION("""COMPUTED_VALUE"""),2.0)</f>
        <v>2</v>
      </c>
      <c r="U21" s="114">
        <f>IFERROR(__xludf.DUMMYFUNCTION("""COMPUTED_VALUE"""),402.0)</f>
        <v>402</v>
      </c>
      <c r="V21" s="115">
        <f>IFERROR(__xludf.DUMMYFUNCTION("""COMPUTED_VALUE"""),100.5)</f>
        <v>100.5</v>
      </c>
      <c r="W21" s="116" t="str">
        <f>IFERROR(__xludf.DUMMYFUNCTION("""COMPUTED_VALUE"""),"3")</f>
        <v>3</v>
      </c>
      <c r="X21" s="117" t="str">
        <f>IFERROR(__xludf.DUMMYFUNCTION("""COMPUTED_VALUE"""),"Tupelo")</f>
        <v>Tupelo</v>
      </c>
      <c r="Y21" s="118">
        <f>IFERROR(__xludf.DUMMYFUNCTION("""COMPUTED_VALUE"""),100.5)</f>
        <v>100.5</v>
      </c>
      <c r="Z21" s="35"/>
      <c r="AA21" s="35"/>
      <c r="AB21" s="35"/>
      <c r="AC21" s="35"/>
      <c r="AD21" s="35"/>
      <c r="AE21" s="53"/>
      <c r="AF21" s="53"/>
      <c r="AG21" s="35"/>
      <c r="AH21" s="53"/>
      <c r="AI21" s="35"/>
      <c r="AJ21" s="90"/>
      <c r="AK21" s="35"/>
      <c r="AL21" s="35"/>
      <c r="AM21" s="35"/>
      <c r="AN21" s="35"/>
      <c r="AO21" s="35"/>
      <c r="AP21" s="35"/>
      <c r="AQ21" s="35"/>
      <c r="AR21" s="35"/>
      <c r="AS21" s="35"/>
      <c r="AT21" s="35"/>
    </row>
    <row r="22" ht="18.75" customHeight="1">
      <c r="A22" s="53"/>
      <c r="B22" s="94"/>
      <c r="C22" s="121" t="str">
        <f>IFERROR(__xludf.DUMMYFUNCTION("""COMPUTED_VALUE"""),"Westminster")</f>
        <v>Westminster</v>
      </c>
      <c r="D22" s="122">
        <f>IFERROR(__xludf.DUMMYFUNCTION("""COMPUTED_VALUE"""),242.0)</f>
        <v>242</v>
      </c>
      <c r="E22" s="133" t="str">
        <f>IFERROR(__xludf.DUMMYFUNCTION("""COMPUTED_VALUE"""),"W")</f>
        <v>W</v>
      </c>
      <c r="F22" s="128">
        <f>IFERROR(__xludf.DUMMYFUNCTION("""COMPUTED_VALUE"""),278.0)</f>
        <v>278</v>
      </c>
      <c r="G22" s="133" t="str">
        <f>IFERROR(__xludf.DUMMYFUNCTION("""COMPUTED_VALUE"""),"W")</f>
        <v>W</v>
      </c>
      <c r="H22" s="128">
        <f>IFERROR(__xludf.DUMMYFUNCTION("""COMPUTED_VALUE"""),210.0)</f>
        <v>210</v>
      </c>
      <c r="I22" s="133" t="str">
        <f>IFERROR(__xludf.DUMMYFUNCTION("""COMPUTED_VALUE"""),"W")</f>
        <v>W</v>
      </c>
      <c r="J22" s="128">
        <f>IFERROR(__xludf.DUMMYFUNCTION("""COMPUTED_VALUE"""),176.0)</f>
        <v>176</v>
      </c>
      <c r="K22" s="133" t="str">
        <f>IFERROR(__xludf.DUMMYFUNCTION("""COMPUTED_VALUE"""),"W")</f>
        <v>W</v>
      </c>
      <c r="L22" s="134"/>
      <c r="M22" s="135"/>
      <c r="N22" s="108" t="str">
        <f>IFERROR(__xludf.DUMMYFUNCTION("""COMPUTED_VALUE"""),"")</f>
        <v/>
      </c>
      <c r="O22" s="110" t="str">
        <f>IFERROR(__xludf.DUMMYFUNCTION("""COMPUTED_VALUE"""),"")</f>
        <v/>
      </c>
      <c r="Q22" s="111">
        <f>IFERROR(__xludf.DUMMYFUNCTION("""COMPUTED_VALUE"""),4.0)</f>
        <v>4</v>
      </c>
      <c r="R22" s="112">
        <f>IFERROR(__xludf.DUMMYFUNCTION("""COMPUTED_VALUE"""),0.0)</f>
        <v>0</v>
      </c>
      <c r="S22" s="112">
        <f>IFERROR(__xludf.DUMMYFUNCTION("""COMPUTED_VALUE"""),0.0)</f>
        <v>0</v>
      </c>
      <c r="T22" s="113">
        <f>IFERROR(__xludf.DUMMYFUNCTION("""COMPUTED_VALUE"""),4.0)</f>
        <v>4</v>
      </c>
      <c r="U22" s="114">
        <f>IFERROR(__xludf.DUMMYFUNCTION("""COMPUTED_VALUE"""),906.0)</f>
        <v>906</v>
      </c>
      <c r="V22" s="115">
        <f>IFERROR(__xludf.DUMMYFUNCTION("""COMPUTED_VALUE"""),226.5)</f>
        <v>226.5</v>
      </c>
      <c r="W22" s="136" t="str">
        <f>IFERROR(__xludf.DUMMYFUNCTION("""COMPUTED_VALUE"""),"1")</f>
        <v>1</v>
      </c>
      <c r="X22" s="117" t="str">
        <f>IFERROR(__xludf.DUMMYFUNCTION("""COMPUTED_VALUE"""),"Westminster")</f>
        <v>Westminster</v>
      </c>
      <c r="Y22" s="118">
        <f>IFERROR(__xludf.DUMMYFUNCTION("""COMPUTED_VALUE"""),226.5)</f>
        <v>226.5</v>
      </c>
      <c r="Z22" s="35"/>
      <c r="AA22" s="35"/>
      <c r="AB22" s="35"/>
      <c r="AC22" s="35"/>
      <c r="AD22" s="35"/>
      <c r="AE22" s="53"/>
      <c r="AF22" s="53"/>
      <c r="AG22" s="35"/>
      <c r="AH22" s="53"/>
      <c r="AI22" s="35"/>
      <c r="AJ22" s="90"/>
      <c r="AK22" s="35"/>
      <c r="AL22" s="35"/>
      <c r="AM22" s="35"/>
      <c r="AN22" s="35"/>
      <c r="AO22" s="35"/>
      <c r="AP22" s="35"/>
      <c r="AQ22" s="35"/>
      <c r="AR22" s="35"/>
      <c r="AS22" s="35"/>
      <c r="AT22" s="35"/>
    </row>
    <row r="23" ht="18.75" customHeight="1">
      <c r="A23" s="53"/>
      <c r="B23" s="94"/>
      <c r="C23" s="121" t="str">
        <f>IFERROR(__xludf.DUMMYFUNCTION("""COMPUTED_VALUE"""),"BYE")</f>
        <v>BYE</v>
      </c>
      <c r="D23" s="122" t="str">
        <f>IFERROR(__xludf.DUMMYFUNCTION("""COMPUTED_VALUE"""),"")</f>
        <v/>
      </c>
      <c r="E23" s="133" t="str">
        <f>IFERROR(__xludf.DUMMYFUNCTION("""COMPUTED_VALUE"""),"")</f>
        <v/>
      </c>
      <c r="F23" s="128" t="str">
        <f>IFERROR(__xludf.DUMMYFUNCTION("""COMPUTED_VALUE"""),"")</f>
        <v/>
      </c>
      <c r="G23" s="133" t="str">
        <f>IFERROR(__xludf.DUMMYFUNCTION("""COMPUTED_VALUE"""),"")</f>
        <v/>
      </c>
      <c r="H23" s="128" t="str">
        <f>IFERROR(__xludf.DUMMYFUNCTION("""COMPUTED_VALUE"""),"")</f>
        <v/>
      </c>
      <c r="I23" s="123" t="str">
        <f>IFERROR(__xludf.DUMMYFUNCTION("""COMPUTED_VALUE"""),"")</f>
        <v/>
      </c>
      <c r="J23" s="128" t="str">
        <f>IFERROR(__xludf.DUMMYFUNCTION("""COMPUTED_VALUE"""),"")</f>
        <v/>
      </c>
      <c r="K23" s="133" t="str">
        <f>IFERROR(__xludf.DUMMYFUNCTION("""COMPUTED_VALUE"""),"")</f>
        <v/>
      </c>
      <c r="L23" s="128" t="str">
        <f>IFERROR(__xludf.DUMMYFUNCTION("""COMPUTED_VALUE"""),"")</f>
        <v/>
      </c>
      <c r="M23" s="133" t="str">
        <f>IFERROR(__xludf.DUMMYFUNCTION("""COMPUTED_VALUE"""),"")</f>
        <v/>
      </c>
      <c r="N23" s="137"/>
      <c r="O23" s="138"/>
      <c r="P23" s="99"/>
      <c r="Q23" s="111">
        <f>IFERROR(__xludf.DUMMYFUNCTION("""COMPUTED_VALUE"""),0.0)</f>
        <v>0</v>
      </c>
      <c r="R23" s="112">
        <f>IFERROR(__xludf.DUMMYFUNCTION("""COMPUTED_VALUE"""),0.0)</f>
        <v>0</v>
      </c>
      <c r="S23" s="112">
        <f>IFERROR(__xludf.DUMMYFUNCTION("""COMPUTED_VALUE"""),0.0)</f>
        <v>0</v>
      </c>
      <c r="T23" s="113">
        <f>IFERROR(__xludf.DUMMYFUNCTION("""COMPUTED_VALUE"""),0.0)</f>
        <v>0</v>
      </c>
      <c r="U23" s="114">
        <f>IFERROR(__xludf.DUMMYFUNCTION("""COMPUTED_VALUE"""),0.0)</f>
        <v>0</v>
      </c>
      <c r="V23" s="115" t="str">
        <f>IFERROR(__xludf.DUMMYFUNCTION("""COMPUTED_VALUE"""),"")</f>
        <v/>
      </c>
      <c r="W23" s="136"/>
      <c r="X23" s="117" t="str">
        <f>IFERROR(__xludf.DUMMYFUNCTION("""COMPUTED_VALUE"""),"BYE")</f>
        <v>BYE</v>
      </c>
      <c r="Y23" s="118" t="str">
        <f>IFERROR(__xludf.DUMMYFUNCTION("""COMPUTED_VALUE"""),"")</f>
        <v/>
      </c>
      <c r="Z23" s="35"/>
      <c r="AA23" s="53"/>
      <c r="AB23" s="53"/>
      <c r="AC23" s="35"/>
      <c r="AD23" s="35"/>
      <c r="AE23" s="53"/>
      <c r="AF23" s="53"/>
      <c r="AG23" s="35"/>
      <c r="AH23" s="53"/>
      <c r="AI23" s="35"/>
      <c r="AJ23" s="90"/>
      <c r="AK23" s="35"/>
      <c r="AL23" s="35"/>
      <c r="AM23" s="35"/>
      <c r="AN23" s="35"/>
      <c r="AO23" s="35"/>
      <c r="AP23" s="35"/>
      <c r="AQ23" s="35"/>
      <c r="AR23" s="35"/>
      <c r="AS23" s="35"/>
      <c r="AT23" s="35"/>
    </row>
    <row r="24" ht="18.75" customHeight="1">
      <c r="A24" s="35"/>
      <c r="B24" s="139"/>
      <c r="C24" s="14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141"/>
      <c r="Y24" s="35"/>
      <c r="Z24" s="35"/>
      <c r="AA24" s="35"/>
      <c r="AB24" s="35"/>
      <c r="AC24" s="35"/>
      <c r="AD24" s="35"/>
      <c r="AE24" s="53"/>
      <c r="AF24" s="53"/>
      <c r="AG24" s="35"/>
      <c r="AH24" s="53"/>
      <c r="AI24" s="35"/>
      <c r="AJ24" s="90"/>
      <c r="AK24" s="35"/>
      <c r="AL24" s="35"/>
      <c r="AM24" s="35"/>
      <c r="AN24" s="35"/>
      <c r="AO24" s="35"/>
      <c r="AP24" s="35"/>
      <c r="AQ24" s="35"/>
      <c r="AR24" s="35"/>
      <c r="AS24" s="35"/>
      <c r="AT24" s="35"/>
    </row>
    <row r="25" ht="18.75" customHeight="1">
      <c r="A25" s="53"/>
      <c r="B25" s="53"/>
      <c r="C25" s="53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143"/>
      <c r="U25" s="35"/>
      <c r="V25" s="35"/>
      <c r="W25" s="64"/>
      <c r="X25" s="35"/>
      <c r="Y25" s="35"/>
      <c r="Z25" s="35"/>
      <c r="AA25" s="35"/>
      <c r="AB25" s="35"/>
      <c r="AC25" s="35"/>
      <c r="AD25" s="35"/>
      <c r="AE25" s="53"/>
      <c r="AF25" s="53"/>
      <c r="AG25" s="35"/>
      <c r="AH25" s="53"/>
      <c r="AI25" s="35"/>
      <c r="AJ25" s="90"/>
      <c r="AK25" s="35"/>
      <c r="AL25" s="35"/>
      <c r="AM25" s="35"/>
      <c r="AN25" s="35"/>
      <c r="AO25" s="35"/>
      <c r="AP25" s="35"/>
      <c r="AQ25" s="35"/>
      <c r="AR25" s="35"/>
      <c r="AS25" s="35"/>
      <c r="AT25" s="35"/>
    </row>
    <row r="26" ht="18.75" customHeight="1">
      <c r="A26" s="53"/>
      <c r="B26" s="53"/>
      <c r="C26" s="53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143"/>
      <c r="U26" s="35"/>
      <c r="V26" s="35"/>
      <c r="W26" s="64"/>
      <c r="X26" s="35"/>
      <c r="Y26" s="35"/>
      <c r="Z26" s="35"/>
      <c r="AA26" s="35"/>
      <c r="AB26" s="35"/>
      <c r="AC26" s="35"/>
      <c r="AD26" s="35"/>
      <c r="AE26" s="53"/>
      <c r="AF26" s="53"/>
      <c r="AG26" s="35"/>
      <c r="AH26" s="53"/>
      <c r="AI26" s="35"/>
      <c r="AJ26" s="90"/>
      <c r="AK26" s="35"/>
      <c r="AL26" s="35"/>
      <c r="AM26" s="35"/>
      <c r="AN26" s="35"/>
      <c r="AO26" s="35"/>
      <c r="AP26" s="35"/>
      <c r="AQ26" s="35"/>
      <c r="AR26" s="35"/>
      <c r="AS26" s="35"/>
      <c r="AT26" s="35"/>
    </row>
    <row r="27" ht="18.75" customHeight="1">
      <c r="A27" s="73"/>
      <c r="B27" s="73"/>
      <c r="C27" s="73" t="str">
        <f>IFERROR(__xludf.DUMMYFUNCTION("""COMPUTED_VALUE"""),"Curie")</f>
        <v>Curie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74"/>
      <c r="U27" s="10"/>
      <c r="V27" s="10"/>
      <c r="W27" s="76"/>
      <c r="X27" s="10"/>
      <c r="Y27" s="35"/>
      <c r="Z27" s="35"/>
      <c r="AA27" s="35"/>
      <c r="AB27" s="35"/>
      <c r="AC27" s="35"/>
      <c r="AD27" s="35"/>
      <c r="AE27" s="53"/>
      <c r="AF27" s="53"/>
      <c r="AG27" s="35"/>
      <c r="AH27" s="53"/>
      <c r="AI27" s="35"/>
      <c r="AJ27" s="90"/>
      <c r="AK27" s="35"/>
      <c r="AL27" s="35"/>
      <c r="AM27" s="35"/>
      <c r="AN27" s="35"/>
      <c r="AO27" s="35"/>
      <c r="AP27" s="35"/>
      <c r="AQ27" s="35"/>
      <c r="AR27" s="35"/>
      <c r="AS27" s="35"/>
      <c r="AT27" s="35"/>
    </row>
    <row r="28" ht="18.75" customHeight="1">
      <c r="A28" s="35"/>
      <c r="B28" s="80"/>
      <c r="C28" s="82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7"/>
      <c r="Y28" s="35"/>
      <c r="Z28" s="35"/>
      <c r="AA28" s="35"/>
      <c r="AB28" s="35"/>
      <c r="AC28" s="35"/>
      <c r="AD28" s="35"/>
      <c r="AE28" s="53"/>
      <c r="AF28" s="53"/>
      <c r="AG28" s="35"/>
      <c r="AH28" s="53"/>
      <c r="AI28" s="35"/>
      <c r="AJ28" s="90"/>
      <c r="AK28" s="35"/>
      <c r="AL28" s="35"/>
      <c r="AM28" s="35"/>
      <c r="AN28" s="35"/>
      <c r="AO28" s="35"/>
      <c r="AP28" s="35"/>
      <c r="AQ28" s="35"/>
      <c r="AR28" s="35"/>
      <c r="AS28" s="35"/>
      <c r="AT28" s="35"/>
    </row>
    <row r="29" ht="18.75" customHeight="1">
      <c r="A29" s="92"/>
      <c r="B29" s="94"/>
      <c r="C29" s="95" t="str">
        <f>IFERROR(__xludf.DUMMYFUNCTION("""COMPUTED_VALUE"""),"Team")</f>
        <v>Team</v>
      </c>
      <c r="D29" s="53" t="str">
        <f>IFERROR(__xludf.DUMMYFUNCTION("""COMPUTED_VALUE"""),"AHS Broward A")</f>
        <v>AHS Broward A</v>
      </c>
      <c r="F29" s="97" t="str">
        <f>IFERROR(__xludf.DUMMYFUNCTION("""COMPUTED_VALUE"""),"Glastonbury B")</f>
        <v>Glastonbury B</v>
      </c>
      <c r="G29" s="98"/>
      <c r="H29" s="97" t="str">
        <f>IFERROR(__xludf.DUMMYFUNCTION("""COMPUTED_VALUE"""),"Lexington A")</f>
        <v>Lexington A</v>
      </c>
      <c r="I29" s="98"/>
      <c r="J29" s="97" t="str">
        <f>IFERROR(__xludf.DUMMYFUNCTION("""COMPUTED_VALUE"""),"Lindbergh B")</f>
        <v>Lindbergh B</v>
      </c>
      <c r="K29" s="98"/>
      <c r="L29" s="97" t="str">
        <f>IFERROR(__xludf.DUMMYFUNCTION("""COMPUTED_VALUE"""),"SCDS")</f>
        <v>SCDS</v>
      </c>
      <c r="M29" s="98"/>
      <c r="N29" s="97" t="str">
        <f>IFERROR(__xludf.DUMMYFUNCTION("""COMPUTED_VALUE"""),"BYE")</f>
        <v>BYE</v>
      </c>
      <c r="O29" s="98"/>
      <c r="P29" s="99"/>
      <c r="Q29" s="100" t="str">
        <f>IFERROR(__xludf.DUMMYFUNCTION("""COMPUTED_VALUE"""),"W")</f>
        <v>W</v>
      </c>
      <c r="R29" s="100" t="str">
        <f>IFERROR(__xludf.DUMMYFUNCTION("""COMPUTED_VALUE"""),"T")</f>
        <v>T</v>
      </c>
      <c r="S29" s="100" t="str">
        <f>IFERROR(__xludf.DUMMYFUNCTION("""COMPUTED_VALUE"""),"L")</f>
        <v>L</v>
      </c>
      <c r="T29" s="101" t="str">
        <f>IFERROR(__xludf.DUMMYFUNCTION("""COMPUTED_VALUE"""),"W/L Score")</f>
        <v>W/L Score</v>
      </c>
      <c r="U29" s="100" t="str">
        <f>IFERROR(__xludf.DUMMYFUNCTION("""COMPUTED_VALUE"""),"Points")</f>
        <v>Points</v>
      </c>
      <c r="V29" s="100" t="str">
        <f>IFERROR(__xludf.DUMMYFUNCTION("""COMPUTED_VALUE"""),"Average")</f>
        <v>Average</v>
      </c>
      <c r="W29" s="102" t="str">
        <f>IFERROR(__xludf.DUMMYFUNCTION("""COMPUTED_VALUE"""),"Rank")</f>
        <v>Rank</v>
      </c>
      <c r="X29" s="103"/>
      <c r="Y29" s="35"/>
      <c r="Z29" s="35"/>
      <c r="AA29" s="35"/>
      <c r="AB29" s="35"/>
      <c r="AC29" s="35"/>
      <c r="AD29" s="35"/>
      <c r="AE29" s="53"/>
      <c r="AF29" s="53"/>
      <c r="AG29" s="35"/>
      <c r="AH29" s="53"/>
      <c r="AI29" s="35"/>
      <c r="AJ29" s="90"/>
      <c r="AK29" s="35"/>
      <c r="AL29" s="35"/>
      <c r="AM29" s="35"/>
      <c r="AN29" s="35"/>
      <c r="AO29" s="35"/>
      <c r="AP29" s="35"/>
      <c r="AQ29" s="35"/>
      <c r="AR29" s="35"/>
      <c r="AS29" s="35"/>
      <c r="AT29" s="35"/>
    </row>
    <row r="30" ht="18.75" customHeight="1">
      <c r="A30" s="104"/>
      <c r="B30" s="94"/>
      <c r="C30" s="105" t="str">
        <f>IFERROR(__xludf.DUMMYFUNCTION("""COMPUTED_VALUE"""),"AHS Broward A")</f>
        <v>AHS Broward A</v>
      </c>
      <c r="D30" s="106"/>
      <c r="E30" s="107"/>
      <c r="F30" s="108">
        <f>IFERROR(__xludf.DUMMYFUNCTION("""COMPUTED_VALUE"""),196.0)</f>
        <v>196</v>
      </c>
      <c r="G30" s="109" t="str">
        <f>IFERROR(__xludf.DUMMYFUNCTION("""COMPUTED_VALUE"""),"W")</f>
        <v>W</v>
      </c>
      <c r="H30" s="108">
        <f>IFERROR(__xludf.DUMMYFUNCTION("""COMPUTED_VALUE"""),36.0)</f>
        <v>36</v>
      </c>
      <c r="I30" s="109" t="str">
        <f>IFERROR(__xludf.DUMMYFUNCTION("""COMPUTED_VALUE"""),"L")</f>
        <v>L</v>
      </c>
      <c r="J30" s="108">
        <f>IFERROR(__xludf.DUMMYFUNCTION("""COMPUTED_VALUE"""),162.0)</f>
        <v>162</v>
      </c>
      <c r="K30" s="109" t="str">
        <f>IFERROR(__xludf.DUMMYFUNCTION("""COMPUTED_VALUE"""),"W")</f>
        <v>W</v>
      </c>
      <c r="L30" s="108">
        <f>IFERROR(__xludf.DUMMYFUNCTION("""COMPUTED_VALUE"""),148.0)</f>
        <v>148</v>
      </c>
      <c r="M30" s="110" t="str">
        <f>IFERROR(__xludf.DUMMYFUNCTION("""COMPUTED_VALUE"""),"W")</f>
        <v>W</v>
      </c>
      <c r="N30" s="108" t="str">
        <f>IFERROR(__xludf.DUMMYFUNCTION("""COMPUTED_VALUE"""),"")</f>
        <v/>
      </c>
      <c r="O30" s="110" t="str">
        <f>IFERROR(__xludf.DUMMYFUNCTION("""COMPUTED_VALUE"""),"")</f>
        <v/>
      </c>
      <c r="Q30" s="111">
        <f>IFERROR(__xludf.DUMMYFUNCTION("""COMPUTED_VALUE"""),3.0)</f>
        <v>3</v>
      </c>
      <c r="R30" s="112">
        <f>IFERROR(__xludf.DUMMYFUNCTION("""COMPUTED_VALUE"""),0.0)</f>
        <v>0</v>
      </c>
      <c r="S30" s="112">
        <f>IFERROR(__xludf.DUMMYFUNCTION("""COMPUTED_VALUE"""),1.0)</f>
        <v>1</v>
      </c>
      <c r="T30" s="113">
        <f>IFERROR(__xludf.DUMMYFUNCTION("""COMPUTED_VALUE"""),3.0)</f>
        <v>3</v>
      </c>
      <c r="U30" s="114">
        <f>IFERROR(__xludf.DUMMYFUNCTION("""COMPUTED_VALUE"""),542.0)</f>
        <v>542</v>
      </c>
      <c r="V30" s="115">
        <f>IFERROR(__xludf.DUMMYFUNCTION("""COMPUTED_VALUE"""),135.5)</f>
        <v>135.5</v>
      </c>
      <c r="W30" s="136" t="str">
        <f>IFERROR(__xludf.DUMMYFUNCTION("""COMPUTED_VALUE"""),"2")</f>
        <v>2</v>
      </c>
      <c r="X30" s="117" t="str">
        <f>IFERROR(__xludf.DUMMYFUNCTION("""COMPUTED_VALUE"""),"AHS Broward A")</f>
        <v>AHS Broward A</v>
      </c>
      <c r="Y30" s="118">
        <f>IFERROR(__xludf.DUMMYFUNCTION("""COMPUTED_VALUE"""),135.5)</f>
        <v>135.5</v>
      </c>
      <c r="Z30" s="35"/>
      <c r="AA30" s="35"/>
      <c r="AB30" s="35"/>
      <c r="AC30" s="35"/>
      <c r="AD30" s="35"/>
      <c r="AE30" s="53"/>
      <c r="AF30" s="53"/>
      <c r="AG30" s="35"/>
      <c r="AH30" s="53"/>
      <c r="AI30" s="35"/>
      <c r="AJ30" s="90"/>
      <c r="AK30" s="35"/>
      <c r="AL30" s="35"/>
      <c r="AM30" s="35"/>
      <c r="AN30" s="35"/>
      <c r="AO30" s="35"/>
      <c r="AP30" s="35"/>
      <c r="AQ30" s="35"/>
      <c r="AR30" s="35"/>
      <c r="AS30" s="35"/>
      <c r="AT30" s="35"/>
    </row>
    <row r="31" ht="18.75" customHeight="1">
      <c r="A31" s="53"/>
      <c r="B31" s="94"/>
      <c r="C31" s="121" t="str">
        <f>IFERROR(__xludf.DUMMYFUNCTION("""COMPUTED_VALUE"""),"Glastonbury B")</f>
        <v>Glastonbury B</v>
      </c>
      <c r="D31" s="122">
        <f>IFERROR(__xludf.DUMMYFUNCTION("""COMPUTED_VALUE"""),0.0)</f>
        <v>0</v>
      </c>
      <c r="E31" s="123" t="str">
        <f>IFERROR(__xludf.DUMMYFUNCTION("""COMPUTED_VALUE"""),"L")</f>
        <v>L</v>
      </c>
      <c r="F31" s="124"/>
      <c r="G31" s="125"/>
      <c r="H31" s="108">
        <f>IFERROR(__xludf.DUMMYFUNCTION("""COMPUTED_VALUE"""),34.0)</f>
        <v>34</v>
      </c>
      <c r="I31" s="123" t="str">
        <f>IFERROR(__xludf.DUMMYFUNCTION("""COMPUTED_VALUE"""),"L")</f>
        <v>L</v>
      </c>
      <c r="J31" s="108">
        <f>IFERROR(__xludf.DUMMYFUNCTION("""COMPUTED_VALUE"""),50.0)</f>
        <v>50</v>
      </c>
      <c r="K31" s="123" t="str">
        <f>IFERROR(__xludf.DUMMYFUNCTION("""COMPUTED_VALUE"""),"W")</f>
        <v>W</v>
      </c>
      <c r="L31" s="108">
        <f>IFERROR(__xludf.DUMMYFUNCTION("""COMPUTED_VALUE"""),16.0)</f>
        <v>16</v>
      </c>
      <c r="M31" s="126" t="str">
        <f>IFERROR(__xludf.DUMMYFUNCTION("""COMPUTED_VALUE"""),"L")</f>
        <v>L</v>
      </c>
      <c r="N31" s="108" t="str">
        <f>IFERROR(__xludf.DUMMYFUNCTION("""COMPUTED_VALUE"""),"")</f>
        <v/>
      </c>
      <c r="O31" s="110" t="str">
        <f>IFERROR(__xludf.DUMMYFUNCTION("""COMPUTED_VALUE"""),"")</f>
        <v/>
      </c>
      <c r="Q31" s="111">
        <f>IFERROR(__xludf.DUMMYFUNCTION("""COMPUTED_VALUE"""),1.0)</f>
        <v>1</v>
      </c>
      <c r="R31" s="112">
        <f>IFERROR(__xludf.DUMMYFUNCTION("""COMPUTED_VALUE"""),0.0)</f>
        <v>0</v>
      </c>
      <c r="S31" s="112">
        <f>IFERROR(__xludf.DUMMYFUNCTION("""COMPUTED_VALUE"""),3.0)</f>
        <v>3</v>
      </c>
      <c r="T31" s="113">
        <f>IFERROR(__xludf.DUMMYFUNCTION("""COMPUTED_VALUE"""),1.0)</f>
        <v>1</v>
      </c>
      <c r="U31" s="114">
        <f>IFERROR(__xludf.DUMMYFUNCTION("""COMPUTED_VALUE"""),100.0)</f>
        <v>100</v>
      </c>
      <c r="V31" s="115">
        <f>IFERROR(__xludf.DUMMYFUNCTION("""COMPUTED_VALUE"""),25.0)</f>
        <v>25</v>
      </c>
      <c r="W31" s="116" t="str">
        <f>IFERROR(__xludf.DUMMYFUNCTION("""COMPUTED_VALUE"""),"4")</f>
        <v>4</v>
      </c>
      <c r="X31" s="117" t="str">
        <f>IFERROR(__xludf.DUMMYFUNCTION("""COMPUTED_VALUE"""),"Glastonbury B")</f>
        <v>Glastonbury B</v>
      </c>
      <c r="Y31" s="118">
        <f>IFERROR(__xludf.DUMMYFUNCTION("""COMPUTED_VALUE"""),25.0)</f>
        <v>25</v>
      </c>
      <c r="Z31" s="35"/>
      <c r="AA31" s="35"/>
      <c r="AB31" s="35"/>
      <c r="AC31" s="35"/>
      <c r="AD31" s="35"/>
      <c r="AE31" s="53"/>
      <c r="AF31" s="53"/>
      <c r="AG31" s="35"/>
      <c r="AH31" s="53"/>
      <c r="AI31" s="35"/>
      <c r="AJ31" s="90"/>
      <c r="AK31" s="35"/>
      <c r="AL31" s="35"/>
      <c r="AM31" s="35"/>
      <c r="AN31" s="35"/>
      <c r="AO31" s="35"/>
      <c r="AP31" s="35"/>
      <c r="AQ31" s="35"/>
      <c r="AR31" s="35"/>
      <c r="AS31" s="35"/>
      <c r="AT31" s="35"/>
    </row>
    <row r="32" ht="18.75" customHeight="1">
      <c r="A32" s="53"/>
      <c r="B32" s="94"/>
      <c r="C32" s="121" t="str">
        <f>IFERROR(__xludf.DUMMYFUNCTION("""COMPUTED_VALUE"""),"Lexington A")</f>
        <v>Lexington A</v>
      </c>
      <c r="D32" s="122">
        <f>IFERROR(__xludf.DUMMYFUNCTION("""COMPUTED_VALUE"""),216.0)</f>
        <v>216</v>
      </c>
      <c r="E32" s="123" t="str">
        <f>IFERROR(__xludf.DUMMYFUNCTION("""COMPUTED_VALUE"""),"W")</f>
        <v>W</v>
      </c>
      <c r="F32" s="128">
        <f>IFERROR(__xludf.DUMMYFUNCTION("""COMPUTED_VALUE"""),176.0)</f>
        <v>176</v>
      </c>
      <c r="G32" s="123" t="str">
        <f>IFERROR(__xludf.DUMMYFUNCTION("""COMPUTED_VALUE"""),"W")</f>
        <v>W</v>
      </c>
      <c r="H32" s="124"/>
      <c r="I32" s="125"/>
      <c r="J32" s="108">
        <f>IFERROR(__xludf.DUMMYFUNCTION("""COMPUTED_VALUE"""),260.0)</f>
        <v>260</v>
      </c>
      <c r="K32" s="123" t="str">
        <f>IFERROR(__xludf.DUMMYFUNCTION("""COMPUTED_VALUE"""),"W")</f>
        <v>W</v>
      </c>
      <c r="L32" s="108">
        <f>IFERROR(__xludf.DUMMYFUNCTION("""COMPUTED_VALUE"""),212.0)</f>
        <v>212</v>
      </c>
      <c r="M32" s="126" t="str">
        <f>IFERROR(__xludf.DUMMYFUNCTION("""COMPUTED_VALUE"""),"W")</f>
        <v>W</v>
      </c>
      <c r="N32" s="108" t="str">
        <f>IFERROR(__xludf.DUMMYFUNCTION("""COMPUTED_VALUE"""),"")</f>
        <v/>
      </c>
      <c r="O32" s="110" t="str">
        <f>IFERROR(__xludf.DUMMYFUNCTION("""COMPUTED_VALUE"""),"")</f>
        <v/>
      </c>
      <c r="Q32" s="111">
        <f>IFERROR(__xludf.DUMMYFUNCTION("""COMPUTED_VALUE"""),4.0)</f>
        <v>4</v>
      </c>
      <c r="R32" s="112">
        <f>IFERROR(__xludf.DUMMYFUNCTION("""COMPUTED_VALUE"""),0.0)</f>
        <v>0</v>
      </c>
      <c r="S32" s="112">
        <f>IFERROR(__xludf.DUMMYFUNCTION("""COMPUTED_VALUE"""),0.0)</f>
        <v>0</v>
      </c>
      <c r="T32" s="113">
        <f>IFERROR(__xludf.DUMMYFUNCTION("""COMPUTED_VALUE"""),4.0)</f>
        <v>4</v>
      </c>
      <c r="U32" s="114">
        <f>IFERROR(__xludf.DUMMYFUNCTION("""COMPUTED_VALUE"""),864.0)</f>
        <v>864</v>
      </c>
      <c r="V32" s="115">
        <f>IFERROR(__xludf.DUMMYFUNCTION("""COMPUTED_VALUE"""),216.0)</f>
        <v>216</v>
      </c>
      <c r="W32" s="136" t="str">
        <f>IFERROR(__xludf.DUMMYFUNCTION("""COMPUTED_VALUE"""),"1")</f>
        <v>1</v>
      </c>
      <c r="X32" s="117" t="str">
        <f>IFERROR(__xludf.DUMMYFUNCTION("""COMPUTED_VALUE"""),"Lexington A")</f>
        <v>Lexington A</v>
      </c>
      <c r="Y32" s="118">
        <f>IFERROR(__xludf.DUMMYFUNCTION("""COMPUTED_VALUE"""),216.0)</f>
        <v>216</v>
      </c>
      <c r="Z32" s="35"/>
      <c r="AA32" s="35"/>
      <c r="AB32" s="35"/>
      <c r="AC32" s="35"/>
      <c r="AD32" s="35"/>
      <c r="AE32" s="53"/>
      <c r="AF32" s="53"/>
      <c r="AG32" s="35"/>
      <c r="AH32" s="53"/>
      <c r="AI32" s="35"/>
      <c r="AJ32" s="90"/>
      <c r="AK32" s="35"/>
      <c r="AL32" s="35"/>
      <c r="AM32" s="35"/>
      <c r="AN32" s="35"/>
      <c r="AO32" s="35"/>
      <c r="AP32" s="35"/>
      <c r="AQ32" s="35"/>
      <c r="AR32" s="35"/>
      <c r="AS32" s="35"/>
      <c r="AT32" s="35"/>
    </row>
    <row r="33" ht="18.75" customHeight="1">
      <c r="A33" s="53"/>
      <c r="B33" s="94"/>
      <c r="C33" s="121" t="str">
        <f>IFERROR(__xludf.DUMMYFUNCTION("""COMPUTED_VALUE"""),"Lindbergh B")</f>
        <v>Lindbergh B</v>
      </c>
      <c r="D33" s="122">
        <f>IFERROR(__xludf.DUMMYFUNCTION("""COMPUTED_VALUE"""),36.0)</f>
        <v>36</v>
      </c>
      <c r="E33" s="123" t="str">
        <f>IFERROR(__xludf.DUMMYFUNCTION("""COMPUTED_VALUE"""),"L")</f>
        <v>L</v>
      </c>
      <c r="F33" s="128">
        <f>IFERROR(__xludf.DUMMYFUNCTION("""COMPUTED_VALUE"""),44.0)</f>
        <v>44</v>
      </c>
      <c r="G33" s="123" t="str">
        <f>IFERROR(__xludf.DUMMYFUNCTION("""COMPUTED_VALUE"""),"L")</f>
        <v>L</v>
      </c>
      <c r="H33" s="128">
        <f>IFERROR(__xludf.DUMMYFUNCTION("""COMPUTED_VALUE"""),0.0)</f>
        <v>0</v>
      </c>
      <c r="I33" s="123" t="str">
        <f>IFERROR(__xludf.DUMMYFUNCTION("""COMPUTED_VALUE"""),"L")</f>
        <v>L</v>
      </c>
      <c r="J33" s="124"/>
      <c r="K33" s="125"/>
      <c r="L33" s="108">
        <f>IFERROR(__xludf.DUMMYFUNCTION("""COMPUTED_VALUE"""),30.0)</f>
        <v>30</v>
      </c>
      <c r="M33" s="126" t="str">
        <f>IFERROR(__xludf.DUMMYFUNCTION("""COMPUTED_VALUE"""),"L")</f>
        <v>L</v>
      </c>
      <c r="N33" s="108" t="str">
        <f>IFERROR(__xludf.DUMMYFUNCTION("""COMPUTED_VALUE"""),"")</f>
        <v/>
      </c>
      <c r="O33" s="110" t="str">
        <f>IFERROR(__xludf.DUMMYFUNCTION("""COMPUTED_VALUE"""),"")</f>
        <v/>
      </c>
      <c r="Q33" s="111">
        <f>IFERROR(__xludf.DUMMYFUNCTION("""COMPUTED_VALUE"""),0.0)</f>
        <v>0</v>
      </c>
      <c r="R33" s="112">
        <f>IFERROR(__xludf.DUMMYFUNCTION("""COMPUTED_VALUE"""),0.0)</f>
        <v>0</v>
      </c>
      <c r="S33" s="112">
        <f>IFERROR(__xludf.DUMMYFUNCTION("""COMPUTED_VALUE"""),4.0)</f>
        <v>4</v>
      </c>
      <c r="T33" s="113">
        <f>IFERROR(__xludf.DUMMYFUNCTION("""COMPUTED_VALUE"""),0.0)</f>
        <v>0</v>
      </c>
      <c r="U33" s="114">
        <f>IFERROR(__xludf.DUMMYFUNCTION("""COMPUTED_VALUE"""),110.0)</f>
        <v>110</v>
      </c>
      <c r="V33" s="115">
        <f>IFERROR(__xludf.DUMMYFUNCTION("""COMPUTED_VALUE"""),27.5)</f>
        <v>27.5</v>
      </c>
      <c r="W33" s="116" t="str">
        <f>IFERROR(__xludf.DUMMYFUNCTION("""COMPUTED_VALUE"""),"5")</f>
        <v>5</v>
      </c>
      <c r="X33" s="117" t="str">
        <f>IFERROR(__xludf.DUMMYFUNCTION("""COMPUTED_VALUE"""),"Lindbergh B")</f>
        <v>Lindbergh B</v>
      </c>
      <c r="Y33" s="118">
        <f>IFERROR(__xludf.DUMMYFUNCTION("""COMPUTED_VALUE"""),27.5)</f>
        <v>27.5</v>
      </c>
      <c r="Z33" s="35"/>
      <c r="AA33" s="35"/>
      <c r="AB33" s="35"/>
      <c r="AC33" s="35"/>
      <c r="AD33" s="35"/>
      <c r="AE33" s="53"/>
      <c r="AF33" s="53"/>
      <c r="AG33" s="35"/>
      <c r="AH33" s="53"/>
      <c r="AI33" s="35"/>
      <c r="AJ33" s="90"/>
      <c r="AK33" s="35"/>
      <c r="AL33" s="35"/>
      <c r="AM33" s="35"/>
      <c r="AN33" s="35"/>
      <c r="AO33" s="35"/>
      <c r="AP33" s="35"/>
      <c r="AQ33" s="35"/>
      <c r="AR33" s="35"/>
      <c r="AS33" s="35"/>
      <c r="AT33" s="35"/>
    </row>
    <row r="34" ht="18.75" customHeight="1">
      <c r="A34" s="53"/>
      <c r="B34" s="94"/>
      <c r="C34" s="121" t="str">
        <f>IFERROR(__xludf.DUMMYFUNCTION("""COMPUTED_VALUE"""),"SCDS")</f>
        <v>SCDS</v>
      </c>
      <c r="D34" s="122">
        <f>IFERROR(__xludf.DUMMYFUNCTION("""COMPUTED_VALUE"""),102.0)</f>
        <v>102</v>
      </c>
      <c r="E34" s="133" t="str">
        <f>IFERROR(__xludf.DUMMYFUNCTION("""COMPUTED_VALUE"""),"L")</f>
        <v>L</v>
      </c>
      <c r="F34" s="128">
        <f>IFERROR(__xludf.DUMMYFUNCTION("""COMPUTED_VALUE"""),130.0)</f>
        <v>130</v>
      </c>
      <c r="G34" s="133" t="str">
        <f>IFERROR(__xludf.DUMMYFUNCTION("""COMPUTED_VALUE"""),"W")</f>
        <v>W</v>
      </c>
      <c r="H34" s="128">
        <f>IFERROR(__xludf.DUMMYFUNCTION("""COMPUTED_VALUE"""),44.0)</f>
        <v>44</v>
      </c>
      <c r="I34" s="133" t="str">
        <f>IFERROR(__xludf.DUMMYFUNCTION("""COMPUTED_VALUE"""),"L")</f>
        <v>L</v>
      </c>
      <c r="J34" s="128">
        <f>IFERROR(__xludf.DUMMYFUNCTION("""COMPUTED_VALUE"""),74.0)</f>
        <v>74</v>
      </c>
      <c r="K34" s="133" t="str">
        <f>IFERROR(__xludf.DUMMYFUNCTION("""COMPUTED_VALUE"""),"W")</f>
        <v>W</v>
      </c>
      <c r="L34" s="134"/>
      <c r="M34" s="135"/>
      <c r="N34" s="108" t="str">
        <f>IFERROR(__xludf.DUMMYFUNCTION("""COMPUTED_VALUE"""),"")</f>
        <v/>
      </c>
      <c r="O34" s="110" t="str">
        <f>IFERROR(__xludf.DUMMYFUNCTION("""COMPUTED_VALUE"""),"")</f>
        <v/>
      </c>
      <c r="Q34" s="111">
        <f>IFERROR(__xludf.DUMMYFUNCTION("""COMPUTED_VALUE"""),2.0)</f>
        <v>2</v>
      </c>
      <c r="R34" s="112">
        <f>IFERROR(__xludf.DUMMYFUNCTION("""COMPUTED_VALUE"""),0.0)</f>
        <v>0</v>
      </c>
      <c r="S34" s="112">
        <f>IFERROR(__xludf.DUMMYFUNCTION("""COMPUTED_VALUE"""),2.0)</f>
        <v>2</v>
      </c>
      <c r="T34" s="113">
        <f>IFERROR(__xludf.DUMMYFUNCTION("""COMPUTED_VALUE"""),2.0)</f>
        <v>2</v>
      </c>
      <c r="U34" s="114">
        <f>IFERROR(__xludf.DUMMYFUNCTION("""COMPUTED_VALUE"""),350.0)</f>
        <v>350</v>
      </c>
      <c r="V34" s="115">
        <f>IFERROR(__xludf.DUMMYFUNCTION("""COMPUTED_VALUE"""),87.5)</f>
        <v>87.5</v>
      </c>
      <c r="W34" s="136" t="str">
        <f>IFERROR(__xludf.DUMMYFUNCTION("""COMPUTED_VALUE"""),"3")</f>
        <v>3</v>
      </c>
      <c r="X34" s="117" t="str">
        <f>IFERROR(__xludf.DUMMYFUNCTION("""COMPUTED_VALUE"""),"SCDS")</f>
        <v>SCDS</v>
      </c>
      <c r="Y34" s="118">
        <f>IFERROR(__xludf.DUMMYFUNCTION("""COMPUTED_VALUE"""),87.5)</f>
        <v>87.5</v>
      </c>
      <c r="Z34" s="35"/>
      <c r="AA34" s="35"/>
      <c r="AB34" s="35"/>
      <c r="AC34" s="35"/>
      <c r="AD34" s="35"/>
      <c r="AE34" s="53"/>
      <c r="AF34" s="53"/>
      <c r="AG34" s="35"/>
      <c r="AH34" s="53"/>
      <c r="AI34" s="35"/>
      <c r="AJ34" s="90"/>
      <c r="AK34" s="35"/>
      <c r="AL34" s="35"/>
      <c r="AM34" s="35"/>
      <c r="AN34" s="35"/>
      <c r="AO34" s="35"/>
      <c r="AP34" s="35"/>
      <c r="AQ34" s="35"/>
      <c r="AR34" s="35"/>
      <c r="AS34" s="35"/>
      <c r="AT34" s="35"/>
    </row>
    <row r="35" ht="18.75" customHeight="1">
      <c r="A35" s="53"/>
      <c r="B35" s="94"/>
      <c r="C35" s="121" t="str">
        <f>IFERROR(__xludf.DUMMYFUNCTION("""COMPUTED_VALUE"""),"BYE")</f>
        <v>BYE</v>
      </c>
      <c r="D35" s="122" t="str">
        <f>IFERROR(__xludf.DUMMYFUNCTION("""COMPUTED_VALUE"""),"")</f>
        <v/>
      </c>
      <c r="E35" s="133" t="str">
        <f>IFERROR(__xludf.DUMMYFUNCTION("""COMPUTED_VALUE"""),"")</f>
        <v/>
      </c>
      <c r="F35" s="128" t="str">
        <f>IFERROR(__xludf.DUMMYFUNCTION("""COMPUTED_VALUE"""),"")</f>
        <v/>
      </c>
      <c r="G35" s="133" t="str">
        <f>IFERROR(__xludf.DUMMYFUNCTION("""COMPUTED_VALUE"""),"")</f>
        <v/>
      </c>
      <c r="H35" s="128" t="str">
        <f>IFERROR(__xludf.DUMMYFUNCTION("""COMPUTED_VALUE"""),"")</f>
        <v/>
      </c>
      <c r="I35" s="123" t="str">
        <f>IFERROR(__xludf.DUMMYFUNCTION("""COMPUTED_VALUE"""),"")</f>
        <v/>
      </c>
      <c r="J35" s="128" t="str">
        <f>IFERROR(__xludf.DUMMYFUNCTION("""COMPUTED_VALUE"""),"")</f>
        <v/>
      </c>
      <c r="K35" s="133" t="str">
        <f>IFERROR(__xludf.DUMMYFUNCTION("""COMPUTED_VALUE"""),"")</f>
        <v/>
      </c>
      <c r="L35" s="128" t="str">
        <f>IFERROR(__xludf.DUMMYFUNCTION("""COMPUTED_VALUE"""),"")</f>
        <v/>
      </c>
      <c r="M35" s="133" t="str">
        <f>IFERROR(__xludf.DUMMYFUNCTION("""COMPUTED_VALUE"""),"")</f>
        <v/>
      </c>
      <c r="N35" s="137"/>
      <c r="O35" s="138"/>
      <c r="P35" s="99"/>
      <c r="Q35" s="111">
        <f>IFERROR(__xludf.DUMMYFUNCTION("""COMPUTED_VALUE"""),0.0)</f>
        <v>0</v>
      </c>
      <c r="R35" s="112">
        <f>IFERROR(__xludf.DUMMYFUNCTION("""COMPUTED_VALUE"""),0.0)</f>
        <v>0</v>
      </c>
      <c r="S35" s="112">
        <f>IFERROR(__xludf.DUMMYFUNCTION("""COMPUTED_VALUE"""),0.0)</f>
        <v>0</v>
      </c>
      <c r="T35" s="113">
        <f>IFERROR(__xludf.DUMMYFUNCTION("""COMPUTED_VALUE"""),0.0)</f>
        <v>0</v>
      </c>
      <c r="U35" s="114">
        <f>IFERROR(__xludf.DUMMYFUNCTION("""COMPUTED_VALUE"""),0.0)</f>
        <v>0</v>
      </c>
      <c r="V35" s="115" t="str">
        <f>IFERROR(__xludf.DUMMYFUNCTION("""COMPUTED_VALUE"""),"")</f>
        <v/>
      </c>
      <c r="W35" s="136"/>
      <c r="X35" s="117" t="str">
        <f>IFERROR(__xludf.DUMMYFUNCTION("""COMPUTED_VALUE"""),"BYE")</f>
        <v>BYE</v>
      </c>
      <c r="Y35" s="118" t="str">
        <f>IFERROR(__xludf.DUMMYFUNCTION("""COMPUTED_VALUE"""),"")</f>
        <v/>
      </c>
      <c r="Z35" s="35"/>
      <c r="AA35" s="35"/>
      <c r="AB35" s="35"/>
      <c r="AC35" s="35"/>
      <c r="AD35" s="35"/>
      <c r="AE35" s="53"/>
      <c r="AF35" s="53"/>
      <c r="AG35" s="35"/>
      <c r="AH35" s="53"/>
      <c r="AI35" s="35"/>
      <c r="AJ35" s="90"/>
      <c r="AK35" s="35"/>
      <c r="AL35" s="35"/>
      <c r="AM35" s="35"/>
      <c r="AN35" s="35"/>
      <c r="AO35" s="35"/>
      <c r="AP35" s="35"/>
      <c r="AQ35" s="35"/>
      <c r="AR35" s="35"/>
      <c r="AS35" s="35"/>
      <c r="AT35" s="35"/>
    </row>
    <row r="36" ht="18.75" customHeight="1">
      <c r="A36" s="35"/>
      <c r="B36" s="139"/>
      <c r="C36" s="14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141"/>
      <c r="Y36" s="35"/>
      <c r="Z36" s="35"/>
      <c r="AA36" s="35"/>
      <c r="AB36" s="35"/>
      <c r="AC36" s="35"/>
      <c r="AD36" s="35"/>
      <c r="AE36" s="53"/>
      <c r="AF36" s="53"/>
      <c r="AG36" s="35"/>
      <c r="AH36" s="53"/>
      <c r="AI36" s="35"/>
      <c r="AJ36" s="90"/>
      <c r="AK36" s="35"/>
      <c r="AL36" s="35"/>
      <c r="AM36" s="35"/>
      <c r="AN36" s="35"/>
      <c r="AO36" s="35"/>
      <c r="AP36" s="35"/>
      <c r="AQ36" s="35"/>
      <c r="AR36" s="35"/>
      <c r="AS36" s="35"/>
      <c r="AT36" s="35"/>
    </row>
    <row r="37" ht="18.75" customHeight="1">
      <c r="A37" s="53"/>
      <c r="B37" s="53"/>
      <c r="C37" s="53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143"/>
      <c r="U37" s="35"/>
      <c r="V37" s="35"/>
      <c r="W37" s="64"/>
      <c r="X37" s="35"/>
      <c r="Y37" s="35"/>
      <c r="Z37" s="35"/>
      <c r="AA37" s="35"/>
      <c r="AB37" s="35"/>
      <c r="AC37" s="35"/>
      <c r="AD37" s="35"/>
      <c r="AE37" s="53"/>
      <c r="AF37" s="53"/>
      <c r="AG37" s="35"/>
      <c r="AH37" s="53"/>
      <c r="AI37" s="35"/>
      <c r="AJ37" s="90"/>
      <c r="AK37" s="35"/>
      <c r="AL37" s="35"/>
      <c r="AM37" s="35"/>
      <c r="AN37" s="35"/>
      <c r="AO37" s="35"/>
      <c r="AP37" s="35"/>
      <c r="AQ37" s="35"/>
      <c r="AR37" s="35"/>
      <c r="AS37" s="35"/>
      <c r="AT37" s="35"/>
    </row>
    <row r="38" ht="18.75" customHeight="1">
      <c r="A38" s="53"/>
      <c r="B38" s="53"/>
      <c r="C38" s="53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143"/>
      <c r="U38" s="35"/>
      <c r="V38" s="35"/>
      <c r="W38" s="64"/>
      <c r="X38" s="35"/>
      <c r="Y38" s="35"/>
      <c r="Z38" s="35"/>
      <c r="AA38" s="35"/>
      <c r="AB38" s="35"/>
      <c r="AC38" s="35"/>
      <c r="AD38" s="35"/>
      <c r="AE38" s="53"/>
      <c r="AF38" s="53"/>
      <c r="AG38" s="35"/>
      <c r="AH38" s="53"/>
      <c r="AI38" s="35"/>
      <c r="AJ38" s="90"/>
      <c r="AK38" s="35"/>
      <c r="AL38" s="35"/>
      <c r="AM38" s="35"/>
      <c r="AN38" s="35"/>
      <c r="AO38" s="35"/>
      <c r="AP38" s="35"/>
      <c r="AQ38" s="35"/>
      <c r="AR38" s="35"/>
      <c r="AS38" s="35"/>
      <c r="AT38" s="35"/>
    </row>
    <row r="39" ht="18.75" customHeight="1">
      <c r="A39" s="73"/>
      <c r="B39" s="73"/>
      <c r="C39" s="73" t="str">
        <f>IFERROR(__xludf.DUMMYFUNCTION("""COMPUTED_VALUE"""),"Darwin")</f>
        <v>Darwin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74"/>
      <c r="U39" s="10"/>
      <c r="V39" s="10"/>
      <c r="W39" s="76"/>
      <c r="X39" s="10"/>
      <c r="Y39" s="35"/>
      <c r="Z39" s="35"/>
      <c r="AA39" s="35"/>
      <c r="AB39" s="35"/>
      <c r="AC39" s="35"/>
      <c r="AD39" s="35"/>
      <c r="AE39" s="53"/>
      <c r="AF39" s="53"/>
      <c r="AG39" s="35"/>
      <c r="AH39" s="53"/>
      <c r="AI39" s="35"/>
      <c r="AJ39" s="90"/>
      <c r="AK39" s="35"/>
      <c r="AL39" s="35"/>
      <c r="AM39" s="35"/>
      <c r="AN39" s="35"/>
      <c r="AO39" s="35"/>
      <c r="AP39" s="35"/>
      <c r="AQ39" s="35"/>
      <c r="AR39" s="35"/>
      <c r="AS39" s="35"/>
      <c r="AT39" s="35"/>
    </row>
    <row r="40" ht="18.75" customHeight="1">
      <c r="A40" s="35"/>
      <c r="B40" s="80"/>
      <c r="C40" s="82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7"/>
      <c r="Y40" s="35"/>
      <c r="Z40" s="35"/>
      <c r="AA40" s="35"/>
      <c r="AB40" s="35"/>
      <c r="AC40" s="35"/>
      <c r="AD40" s="35"/>
      <c r="AE40" s="53"/>
      <c r="AF40" s="53"/>
      <c r="AG40" s="35"/>
      <c r="AH40" s="53"/>
      <c r="AI40" s="35"/>
      <c r="AJ40" s="90"/>
      <c r="AK40" s="35"/>
      <c r="AL40" s="35"/>
      <c r="AM40" s="35"/>
      <c r="AN40" s="35"/>
      <c r="AO40" s="35"/>
      <c r="AP40" s="35"/>
      <c r="AQ40" s="35"/>
      <c r="AR40" s="35"/>
      <c r="AS40" s="35"/>
      <c r="AT40" s="35"/>
    </row>
    <row r="41" ht="18.75" customHeight="1">
      <c r="A41" s="92"/>
      <c r="B41" s="94"/>
      <c r="C41" s="95" t="str">
        <f>IFERROR(__xludf.DUMMYFUNCTION("""COMPUTED_VALUE"""),"Team")</f>
        <v>Team</v>
      </c>
      <c r="D41" s="53" t="str">
        <f>IFERROR(__xludf.DUMMYFUNCTION("""COMPUTED_VALUE"""),"AHS Broward B")</f>
        <v>AHS Broward B</v>
      </c>
      <c r="F41" s="97" t="str">
        <f>IFERROR(__xludf.DUMMYFUNCTION("""COMPUTED_VALUE"""),"Brooklyn Tech B")</f>
        <v>Brooklyn Tech B</v>
      </c>
      <c r="G41" s="98"/>
      <c r="H41" s="97" t="str">
        <f>IFERROR(__xludf.DUMMYFUNCTION("""COMPUTED_VALUE"""),"Centennial")</f>
        <v>Centennial</v>
      </c>
      <c r="I41" s="98"/>
      <c r="J41" s="97" t="str">
        <f>IFERROR(__xludf.DUMMYFUNCTION("""COMPUTED_VALUE"""),"Longwood")</f>
        <v>Longwood</v>
      </c>
      <c r="K41" s="98"/>
      <c r="L41" s="97" t="str">
        <f>IFERROR(__xludf.DUMMYFUNCTION("""COMPUTED_VALUE"""),"Rickards")</f>
        <v>Rickards</v>
      </c>
      <c r="M41" s="98"/>
      <c r="N41" s="97" t="str">
        <f>IFERROR(__xludf.DUMMYFUNCTION("""COMPUTED_VALUE"""),"BYE")</f>
        <v>BYE</v>
      </c>
      <c r="O41" s="98"/>
      <c r="P41" s="99"/>
      <c r="Q41" s="100" t="str">
        <f>IFERROR(__xludf.DUMMYFUNCTION("""COMPUTED_VALUE"""),"W")</f>
        <v>W</v>
      </c>
      <c r="R41" s="100" t="str">
        <f>IFERROR(__xludf.DUMMYFUNCTION("""COMPUTED_VALUE"""),"T")</f>
        <v>T</v>
      </c>
      <c r="S41" s="100" t="str">
        <f>IFERROR(__xludf.DUMMYFUNCTION("""COMPUTED_VALUE"""),"L")</f>
        <v>L</v>
      </c>
      <c r="T41" s="101" t="str">
        <f>IFERROR(__xludf.DUMMYFUNCTION("""COMPUTED_VALUE"""),"W/L Score")</f>
        <v>W/L Score</v>
      </c>
      <c r="U41" s="100" t="str">
        <f>IFERROR(__xludf.DUMMYFUNCTION("""COMPUTED_VALUE"""),"Points")</f>
        <v>Points</v>
      </c>
      <c r="V41" s="100" t="str">
        <f>IFERROR(__xludf.DUMMYFUNCTION("""COMPUTED_VALUE"""),"Average")</f>
        <v>Average</v>
      </c>
      <c r="W41" s="102" t="str">
        <f>IFERROR(__xludf.DUMMYFUNCTION("""COMPUTED_VALUE"""),"Rank")</f>
        <v>Rank</v>
      </c>
      <c r="X41" s="103"/>
      <c r="Y41" s="35"/>
      <c r="Z41" s="35"/>
      <c r="AA41" s="35"/>
      <c r="AB41" s="35"/>
      <c r="AC41" s="35"/>
      <c r="AD41" s="35"/>
      <c r="AE41" s="53"/>
      <c r="AF41" s="53"/>
      <c r="AG41" s="35"/>
      <c r="AH41" s="53"/>
      <c r="AI41" s="35"/>
      <c r="AJ41" s="90"/>
      <c r="AK41" s="35"/>
      <c r="AL41" s="35"/>
      <c r="AM41" s="35"/>
      <c r="AN41" s="35"/>
      <c r="AO41" s="35"/>
      <c r="AP41" s="35"/>
      <c r="AQ41" s="35"/>
      <c r="AR41" s="35"/>
      <c r="AS41" s="35"/>
      <c r="AT41" s="35"/>
    </row>
    <row r="42" ht="18.75" customHeight="1">
      <c r="A42" s="104"/>
      <c r="B42" s="94"/>
      <c r="C42" s="105" t="str">
        <f>IFERROR(__xludf.DUMMYFUNCTION("""COMPUTED_VALUE"""),"AHS Broward B")</f>
        <v>AHS Broward B</v>
      </c>
      <c r="D42" s="106"/>
      <c r="E42" s="107"/>
      <c r="F42" s="108">
        <f>IFERROR(__xludf.DUMMYFUNCTION("""COMPUTED_VALUE"""),146.0)</f>
        <v>146</v>
      </c>
      <c r="G42" s="109" t="str">
        <f>IFERROR(__xludf.DUMMYFUNCTION("""COMPUTED_VALUE"""),"W")</f>
        <v>W</v>
      </c>
      <c r="H42" s="108">
        <f>IFERROR(__xludf.DUMMYFUNCTION("""COMPUTED_VALUE"""),74.0)</f>
        <v>74</v>
      </c>
      <c r="I42" s="109" t="str">
        <f>IFERROR(__xludf.DUMMYFUNCTION("""COMPUTED_VALUE"""),"L")</f>
        <v>L</v>
      </c>
      <c r="J42" s="108">
        <f>IFERROR(__xludf.DUMMYFUNCTION("""COMPUTED_VALUE"""),86.0)</f>
        <v>86</v>
      </c>
      <c r="K42" s="109" t="str">
        <f>IFERROR(__xludf.DUMMYFUNCTION("""COMPUTED_VALUE"""),"W")</f>
        <v>W</v>
      </c>
      <c r="L42" s="108">
        <f>IFERROR(__xludf.DUMMYFUNCTION("""COMPUTED_VALUE"""),86.0)</f>
        <v>86</v>
      </c>
      <c r="M42" s="110" t="str">
        <f>IFERROR(__xludf.DUMMYFUNCTION("""COMPUTED_VALUE"""),"W")</f>
        <v>W</v>
      </c>
      <c r="N42" s="108" t="str">
        <f>IFERROR(__xludf.DUMMYFUNCTION("""COMPUTED_VALUE"""),"")</f>
        <v/>
      </c>
      <c r="O42" s="110" t="str">
        <f>IFERROR(__xludf.DUMMYFUNCTION("""COMPUTED_VALUE"""),"")</f>
        <v/>
      </c>
      <c r="Q42" s="111">
        <f>IFERROR(__xludf.DUMMYFUNCTION("""COMPUTED_VALUE"""),3.0)</f>
        <v>3</v>
      </c>
      <c r="R42" s="112">
        <f>IFERROR(__xludf.DUMMYFUNCTION("""COMPUTED_VALUE"""),0.0)</f>
        <v>0</v>
      </c>
      <c r="S42" s="112">
        <f>IFERROR(__xludf.DUMMYFUNCTION("""COMPUTED_VALUE"""),1.0)</f>
        <v>1</v>
      </c>
      <c r="T42" s="113">
        <f>IFERROR(__xludf.DUMMYFUNCTION("""COMPUTED_VALUE"""),3.0)</f>
        <v>3</v>
      </c>
      <c r="U42" s="114">
        <f>IFERROR(__xludf.DUMMYFUNCTION("""COMPUTED_VALUE"""),392.0)</f>
        <v>392</v>
      </c>
      <c r="V42" s="115">
        <f>IFERROR(__xludf.DUMMYFUNCTION("""COMPUTED_VALUE"""),98.0)</f>
        <v>98</v>
      </c>
      <c r="W42" s="136" t="str">
        <f>IFERROR(__xludf.DUMMYFUNCTION("""COMPUTED_VALUE"""),"2")</f>
        <v>2</v>
      </c>
      <c r="X42" s="117" t="str">
        <f>IFERROR(__xludf.DUMMYFUNCTION("""COMPUTED_VALUE"""),"AHS Broward B")</f>
        <v>AHS Broward B</v>
      </c>
      <c r="Y42" s="118">
        <f>IFERROR(__xludf.DUMMYFUNCTION("""COMPUTED_VALUE"""),98.0)</f>
        <v>98</v>
      </c>
      <c r="Z42" s="35"/>
      <c r="AA42" s="35"/>
      <c r="AB42" s="35"/>
      <c r="AC42" s="35"/>
      <c r="AD42" s="35"/>
      <c r="AE42" s="53"/>
      <c r="AF42" s="53"/>
      <c r="AG42" s="35"/>
      <c r="AH42" s="53"/>
      <c r="AI42" s="35"/>
      <c r="AJ42" s="90"/>
      <c r="AK42" s="35"/>
      <c r="AL42" s="35"/>
      <c r="AM42" s="35"/>
      <c r="AN42" s="35"/>
      <c r="AO42" s="35"/>
      <c r="AP42" s="35"/>
      <c r="AQ42" s="35"/>
      <c r="AR42" s="35"/>
      <c r="AS42" s="35"/>
      <c r="AT42" s="35"/>
    </row>
    <row r="43" ht="18.75" customHeight="1">
      <c r="A43" s="53"/>
      <c r="B43" s="94"/>
      <c r="C43" s="121" t="str">
        <f>IFERROR(__xludf.DUMMYFUNCTION("""COMPUTED_VALUE"""),"Brooklyn Tech B")</f>
        <v>Brooklyn Tech B</v>
      </c>
      <c r="D43" s="122">
        <f>IFERROR(__xludf.DUMMYFUNCTION("""COMPUTED_VALUE"""),34.0)</f>
        <v>34</v>
      </c>
      <c r="E43" s="123" t="str">
        <f>IFERROR(__xludf.DUMMYFUNCTION("""COMPUTED_VALUE"""),"L")</f>
        <v>L</v>
      </c>
      <c r="F43" s="124"/>
      <c r="G43" s="125"/>
      <c r="H43" s="108">
        <f>IFERROR(__xludf.DUMMYFUNCTION("""COMPUTED_VALUE"""),8.0)</f>
        <v>8</v>
      </c>
      <c r="I43" s="123" t="str">
        <f>IFERROR(__xludf.DUMMYFUNCTION("""COMPUTED_VALUE"""),"L")</f>
        <v>L</v>
      </c>
      <c r="J43" s="108">
        <f>IFERROR(__xludf.DUMMYFUNCTION("""COMPUTED_VALUE"""),24.0)</f>
        <v>24</v>
      </c>
      <c r="K43" s="123" t="str">
        <f>IFERROR(__xludf.DUMMYFUNCTION("""COMPUTED_VALUE"""),"L")</f>
        <v>L</v>
      </c>
      <c r="L43" s="108">
        <f>IFERROR(__xludf.DUMMYFUNCTION("""COMPUTED_VALUE"""),22.0)</f>
        <v>22</v>
      </c>
      <c r="M43" s="126" t="str">
        <f>IFERROR(__xludf.DUMMYFUNCTION("""COMPUTED_VALUE"""),"L")</f>
        <v>L</v>
      </c>
      <c r="N43" s="108" t="str">
        <f>IFERROR(__xludf.DUMMYFUNCTION("""COMPUTED_VALUE"""),"")</f>
        <v/>
      </c>
      <c r="O43" s="110" t="str">
        <f>IFERROR(__xludf.DUMMYFUNCTION("""COMPUTED_VALUE"""),"")</f>
        <v/>
      </c>
      <c r="Q43" s="111">
        <f>IFERROR(__xludf.DUMMYFUNCTION("""COMPUTED_VALUE"""),0.0)</f>
        <v>0</v>
      </c>
      <c r="R43" s="112">
        <f>IFERROR(__xludf.DUMMYFUNCTION("""COMPUTED_VALUE"""),0.0)</f>
        <v>0</v>
      </c>
      <c r="S43" s="112">
        <f>IFERROR(__xludf.DUMMYFUNCTION("""COMPUTED_VALUE"""),4.0)</f>
        <v>4</v>
      </c>
      <c r="T43" s="113">
        <f>IFERROR(__xludf.DUMMYFUNCTION("""COMPUTED_VALUE"""),0.0)</f>
        <v>0</v>
      </c>
      <c r="U43" s="114">
        <f>IFERROR(__xludf.DUMMYFUNCTION("""COMPUTED_VALUE"""),88.0)</f>
        <v>88</v>
      </c>
      <c r="V43" s="115">
        <f>IFERROR(__xludf.DUMMYFUNCTION("""COMPUTED_VALUE"""),22.0)</f>
        <v>22</v>
      </c>
      <c r="W43" s="116" t="str">
        <f>IFERROR(__xludf.DUMMYFUNCTION("""COMPUTED_VALUE"""),"5")</f>
        <v>5</v>
      </c>
      <c r="X43" s="117" t="str">
        <f>IFERROR(__xludf.DUMMYFUNCTION("""COMPUTED_VALUE"""),"Brooklyn Tech B")</f>
        <v>Brooklyn Tech B</v>
      </c>
      <c r="Y43" s="118">
        <f>IFERROR(__xludf.DUMMYFUNCTION("""COMPUTED_VALUE"""),22.0)</f>
        <v>22</v>
      </c>
      <c r="Z43" s="35"/>
      <c r="AA43" s="35"/>
      <c r="AB43" s="35"/>
      <c r="AC43" s="35"/>
      <c r="AD43" s="35"/>
      <c r="AE43" s="53"/>
      <c r="AF43" s="53"/>
      <c r="AG43" s="35"/>
      <c r="AH43" s="53"/>
      <c r="AI43" s="35"/>
      <c r="AJ43" s="90"/>
      <c r="AK43" s="35"/>
      <c r="AL43" s="35"/>
      <c r="AM43" s="35"/>
      <c r="AN43" s="35"/>
      <c r="AO43" s="35"/>
      <c r="AP43" s="35"/>
      <c r="AQ43" s="35"/>
      <c r="AR43" s="35"/>
      <c r="AS43" s="35"/>
      <c r="AT43" s="35"/>
    </row>
    <row r="44" ht="18.75" customHeight="1">
      <c r="A44" s="53"/>
      <c r="B44" s="94"/>
      <c r="C44" s="121" t="str">
        <f>IFERROR(__xludf.DUMMYFUNCTION("""COMPUTED_VALUE"""),"Centennial")</f>
        <v>Centennial</v>
      </c>
      <c r="D44" s="122">
        <f>IFERROR(__xludf.DUMMYFUNCTION("""COMPUTED_VALUE"""),184.0)</f>
        <v>184</v>
      </c>
      <c r="E44" s="123" t="str">
        <f>IFERROR(__xludf.DUMMYFUNCTION("""COMPUTED_VALUE"""),"W")</f>
        <v>W</v>
      </c>
      <c r="F44" s="128">
        <f>IFERROR(__xludf.DUMMYFUNCTION("""COMPUTED_VALUE"""),246.0)</f>
        <v>246</v>
      </c>
      <c r="G44" s="123" t="str">
        <f>IFERROR(__xludf.DUMMYFUNCTION("""COMPUTED_VALUE"""),"W")</f>
        <v>W</v>
      </c>
      <c r="H44" s="124"/>
      <c r="I44" s="125"/>
      <c r="J44" s="108">
        <f>IFERROR(__xludf.DUMMYFUNCTION("""COMPUTED_VALUE"""),250.0)</f>
        <v>250</v>
      </c>
      <c r="K44" s="123" t="str">
        <f>IFERROR(__xludf.DUMMYFUNCTION("""COMPUTED_VALUE"""),"W")</f>
        <v>W</v>
      </c>
      <c r="L44" s="108">
        <f>IFERROR(__xludf.DUMMYFUNCTION("""COMPUTED_VALUE"""),216.0)</f>
        <v>216</v>
      </c>
      <c r="M44" s="126" t="str">
        <f>IFERROR(__xludf.DUMMYFUNCTION("""COMPUTED_VALUE"""),"W")</f>
        <v>W</v>
      </c>
      <c r="N44" s="108" t="str">
        <f>IFERROR(__xludf.DUMMYFUNCTION("""COMPUTED_VALUE"""),"")</f>
        <v/>
      </c>
      <c r="O44" s="110" t="str">
        <f>IFERROR(__xludf.DUMMYFUNCTION("""COMPUTED_VALUE"""),"")</f>
        <v/>
      </c>
      <c r="Q44" s="111">
        <f>IFERROR(__xludf.DUMMYFUNCTION("""COMPUTED_VALUE"""),4.0)</f>
        <v>4</v>
      </c>
      <c r="R44" s="112">
        <f>IFERROR(__xludf.DUMMYFUNCTION("""COMPUTED_VALUE"""),0.0)</f>
        <v>0</v>
      </c>
      <c r="S44" s="112">
        <f>IFERROR(__xludf.DUMMYFUNCTION("""COMPUTED_VALUE"""),0.0)</f>
        <v>0</v>
      </c>
      <c r="T44" s="113">
        <f>IFERROR(__xludf.DUMMYFUNCTION("""COMPUTED_VALUE"""),4.0)</f>
        <v>4</v>
      </c>
      <c r="U44" s="114">
        <f>IFERROR(__xludf.DUMMYFUNCTION("""COMPUTED_VALUE"""),896.0)</f>
        <v>896</v>
      </c>
      <c r="V44" s="115">
        <f>IFERROR(__xludf.DUMMYFUNCTION("""COMPUTED_VALUE"""),224.0)</f>
        <v>224</v>
      </c>
      <c r="W44" s="136" t="str">
        <f>IFERROR(__xludf.DUMMYFUNCTION("""COMPUTED_VALUE"""),"1")</f>
        <v>1</v>
      </c>
      <c r="X44" s="117" t="str">
        <f>IFERROR(__xludf.DUMMYFUNCTION("""COMPUTED_VALUE"""),"Centennial")</f>
        <v>Centennial</v>
      </c>
      <c r="Y44" s="118">
        <f>IFERROR(__xludf.DUMMYFUNCTION("""COMPUTED_VALUE"""),224.0)</f>
        <v>224</v>
      </c>
      <c r="Z44" s="35"/>
      <c r="AA44" s="35"/>
      <c r="AB44" s="35"/>
      <c r="AC44" s="35"/>
      <c r="AD44" s="35"/>
      <c r="AE44" s="53"/>
      <c r="AF44" s="53"/>
      <c r="AG44" s="35"/>
      <c r="AH44" s="53"/>
      <c r="AI44" s="35"/>
      <c r="AJ44" s="90"/>
      <c r="AK44" s="35"/>
      <c r="AL44" s="35"/>
      <c r="AM44" s="35"/>
      <c r="AN44" s="35"/>
      <c r="AO44" s="35"/>
      <c r="AP44" s="35"/>
      <c r="AQ44" s="35"/>
      <c r="AR44" s="35"/>
      <c r="AS44" s="35"/>
      <c r="AT44" s="35"/>
    </row>
    <row r="45" ht="18.75" customHeight="1">
      <c r="A45" s="53"/>
      <c r="B45" s="94"/>
      <c r="C45" s="121" t="str">
        <f>IFERROR(__xludf.DUMMYFUNCTION("""COMPUTED_VALUE"""),"Longwood")</f>
        <v>Longwood</v>
      </c>
      <c r="D45" s="122">
        <f>IFERROR(__xludf.DUMMYFUNCTION("""COMPUTED_VALUE"""),48.0)</f>
        <v>48</v>
      </c>
      <c r="E45" s="123" t="str">
        <f>IFERROR(__xludf.DUMMYFUNCTION("""COMPUTED_VALUE"""),"L")</f>
        <v>L</v>
      </c>
      <c r="F45" s="128">
        <f>IFERROR(__xludf.DUMMYFUNCTION("""COMPUTED_VALUE"""),66.0)</f>
        <v>66</v>
      </c>
      <c r="G45" s="123" t="str">
        <f>IFERROR(__xludf.DUMMYFUNCTION("""COMPUTED_VALUE"""),"W")</f>
        <v>W</v>
      </c>
      <c r="H45" s="128">
        <f>IFERROR(__xludf.DUMMYFUNCTION("""COMPUTED_VALUE"""),22.0)</f>
        <v>22</v>
      </c>
      <c r="I45" s="123" t="str">
        <f>IFERROR(__xludf.DUMMYFUNCTION("""COMPUTED_VALUE"""),"L")</f>
        <v>L</v>
      </c>
      <c r="J45" s="124"/>
      <c r="K45" s="125"/>
      <c r="L45" s="108">
        <f>IFERROR(__xludf.DUMMYFUNCTION("""COMPUTED_VALUE"""),38.0)</f>
        <v>38</v>
      </c>
      <c r="M45" s="126" t="str">
        <f>IFERROR(__xludf.DUMMYFUNCTION("""COMPUTED_VALUE"""),"L")</f>
        <v>L</v>
      </c>
      <c r="N45" s="108" t="str">
        <f>IFERROR(__xludf.DUMMYFUNCTION("""COMPUTED_VALUE"""),"")</f>
        <v/>
      </c>
      <c r="O45" s="110" t="str">
        <f>IFERROR(__xludf.DUMMYFUNCTION("""COMPUTED_VALUE"""),"")</f>
        <v/>
      </c>
      <c r="Q45" s="111">
        <f>IFERROR(__xludf.DUMMYFUNCTION("""COMPUTED_VALUE"""),1.0)</f>
        <v>1</v>
      </c>
      <c r="R45" s="112">
        <f>IFERROR(__xludf.DUMMYFUNCTION("""COMPUTED_VALUE"""),0.0)</f>
        <v>0</v>
      </c>
      <c r="S45" s="112">
        <f>IFERROR(__xludf.DUMMYFUNCTION("""COMPUTED_VALUE"""),3.0)</f>
        <v>3</v>
      </c>
      <c r="T45" s="113">
        <f>IFERROR(__xludf.DUMMYFUNCTION("""COMPUTED_VALUE"""),1.0)</f>
        <v>1</v>
      </c>
      <c r="U45" s="114">
        <f>IFERROR(__xludf.DUMMYFUNCTION("""COMPUTED_VALUE"""),174.0)</f>
        <v>174</v>
      </c>
      <c r="V45" s="115">
        <f>IFERROR(__xludf.DUMMYFUNCTION("""COMPUTED_VALUE"""),43.5)</f>
        <v>43.5</v>
      </c>
      <c r="W45" s="116" t="str">
        <f>IFERROR(__xludf.DUMMYFUNCTION("""COMPUTED_VALUE"""),"4")</f>
        <v>4</v>
      </c>
      <c r="X45" s="117" t="str">
        <f>IFERROR(__xludf.DUMMYFUNCTION("""COMPUTED_VALUE"""),"Longwood")</f>
        <v>Longwood</v>
      </c>
      <c r="Y45" s="118">
        <f>IFERROR(__xludf.DUMMYFUNCTION("""COMPUTED_VALUE"""),43.5)</f>
        <v>43.5</v>
      </c>
      <c r="Z45" s="35"/>
      <c r="AA45" s="35"/>
      <c r="AB45" s="35"/>
      <c r="AC45" s="35"/>
      <c r="AD45" s="35"/>
      <c r="AE45" s="53"/>
      <c r="AF45" s="53"/>
      <c r="AG45" s="35"/>
      <c r="AH45" s="53"/>
      <c r="AI45" s="35"/>
      <c r="AJ45" s="90"/>
      <c r="AK45" s="35"/>
      <c r="AL45" s="35"/>
      <c r="AM45" s="35"/>
      <c r="AN45" s="35"/>
      <c r="AO45" s="35"/>
      <c r="AP45" s="35"/>
      <c r="AQ45" s="35"/>
      <c r="AR45" s="35"/>
      <c r="AS45" s="35"/>
      <c r="AT45" s="35"/>
    </row>
    <row r="46" ht="18.75" customHeight="1">
      <c r="A46" s="53"/>
      <c r="B46" s="94"/>
      <c r="C46" s="121" t="str">
        <f>IFERROR(__xludf.DUMMYFUNCTION("""COMPUTED_VALUE"""),"Rickards")</f>
        <v>Rickards</v>
      </c>
      <c r="D46" s="122">
        <f>IFERROR(__xludf.DUMMYFUNCTION("""COMPUTED_VALUE"""),52.0)</f>
        <v>52</v>
      </c>
      <c r="E46" s="133" t="str">
        <f>IFERROR(__xludf.DUMMYFUNCTION("""COMPUTED_VALUE"""),"L")</f>
        <v>L</v>
      </c>
      <c r="F46" s="128">
        <f>IFERROR(__xludf.DUMMYFUNCTION("""COMPUTED_VALUE"""),150.0)</f>
        <v>150</v>
      </c>
      <c r="G46" s="133" t="str">
        <f>IFERROR(__xludf.DUMMYFUNCTION("""COMPUTED_VALUE"""),"W")</f>
        <v>W</v>
      </c>
      <c r="H46" s="128">
        <f>IFERROR(__xludf.DUMMYFUNCTION("""COMPUTED_VALUE"""),26.0)</f>
        <v>26</v>
      </c>
      <c r="I46" s="133" t="str">
        <f>IFERROR(__xludf.DUMMYFUNCTION("""COMPUTED_VALUE"""),"L")</f>
        <v>L</v>
      </c>
      <c r="J46" s="128">
        <f>IFERROR(__xludf.DUMMYFUNCTION("""COMPUTED_VALUE"""),94.0)</f>
        <v>94</v>
      </c>
      <c r="K46" s="133" t="str">
        <f>IFERROR(__xludf.DUMMYFUNCTION("""COMPUTED_VALUE"""),"W")</f>
        <v>W</v>
      </c>
      <c r="L46" s="134"/>
      <c r="M46" s="135"/>
      <c r="N46" s="108" t="str">
        <f>IFERROR(__xludf.DUMMYFUNCTION("""COMPUTED_VALUE"""),"")</f>
        <v/>
      </c>
      <c r="O46" s="110" t="str">
        <f>IFERROR(__xludf.DUMMYFUNCTION("""COMPUTED_VALUE"""),"")</f>
        <v/>
      </c>
      <c r="Q46" s="111">
        <f>IFERROR(__xludf.DUMMYFUNCTION("""COMPUTED_VALUE"""),2.0)</f>
        <v>2</v>
      </c>
      <c r="R46" s="112">
        <f>IFERROR(__xludf.DUMMYFUNCTION("""COMPUTED_VALUE"""),0.0)</f>
        <v>0</v>
      </c>
      <c r="S46" s="112">
        <f>IFERROR(__xludf.DUMMYFUNCTION("""COMPUTED_VALUE"""),2.0)</f>
        <v>2</v>
      </c>
      <c r="T46" s="113">
        <f>IFERROR(__xludf.DUMMYFUNCTION("""COMPUTED_VALUE"""),2.0)</f>
        <v>2</v>
      </c>
      <c r="U46" s="114">
        <f>IFERROR(__xludf.DUMMYFUNCTION("""COMPUTED_VALUE"""),322.0)</f>
        <v>322</v>
      </c>
      <c r="V46" s="115">
        <f>IFERROR(__xludf.DUMMYFUNCTION("""COMPUTED_VALUE"""),80.5)</f>
        <v>80.5</v>
      </c>
      <c r="W46" s="136" t="str">
        <f>IFERROR(__xludf.DUMMYFUNCTION("""COMPUTED_VALUE"""),"3")</f>
        <v>3</v>
      </c>
      <c r="X46" s="117" t="str">
        <f>IFERROR(__xludf.DUMMYFUNCTION("""COMPUTED_VALUE"""),"Rickards")</f>
        <v>Rickards</v>
      </c>
      <c r="Y46" s="118">
        <f>IFERROR(__xludf.DUMMYFUNCTION("""COMPUTED_VALUE"""),80.5)</f>
        <v>80.5</v>
      </c>
      <c r="Z46" s="35"/>
      <c r="AA46" s="35"/>
      <c r="AB46" s="35"/>
      <c r="AC46" s="35"/>
      <c r="AD46" s="35"/>
      <c r="AE46" s="53"/>
      <c r="AF46" s="53"/>
      <c r="AG46" s="35"/>
      <c r="AH46" s="53"/>
      <c r="AI46" s="35"/>
      <c r="AJ46" s="90"/>
      <c r="AK46" s="35"/>
      <c r="AL46" s="35"/>
      <c r="AM46" s="35"/>
      <c r="AN46" s="35"/>
      <c r="AO46" s="35"/>
      <c r="AP46" s="35"/>
      <c r="AQ46" s="35"/>
      <c r="AR46" s="35"/>
      <c r="AS46" s="35"/>
      <c r="AT46" s="35"/>
    </row>
    <row r="47" ht="18.75" customHeight="1">
      <c r="A47" s="53"/>
      <c r="B47" s="94"/>
      <c r="C47" s="121" t="str">
        <f>IFERROR(__xludf.DUMMYFUNCTION("""COMPUTED_VALUE"""),"BYE")</f>
        <v>BYE</v>
      </c>
      <c r="D47" s="122" t="str">
        <f>IFERROR(__xludf.DUMMYFUNCTION("""COMPUTED_VALUE"""),"")</f>
        <v/>
      </c>
      <c r="E47" s="133" t="str">
        <f>IFERROR(__xludf.DUMMYFUNCTION("""COMPUTED_VALUE"""),"")</f>
        <v/>
      </c>
      <c r="F47" s="128" t="str">
        <f>IFERROR(__xludf.DUMMYFUNCTION("""COMPUTED_VALUE"""),"")</f>
        <v/>
      </c>
      <c r="G47" s="133" t="str">
        <f>IFERROR(__xludf.DUMMYFUNCTION("""COMPUTED_VALUE"""),"")</f>
        <v/>
      </c>
      <c r="H47" s="128" t="str">
        <f>IFERROR(__xludf.DUMMYFUNCTION("""COMPUTED_VALUE"""),"")</f>
        <v/>
      </c>
      <c r="I47" s="123" t="str">
        <f>IFERROR(__xludf.DUMMYFUNCTION("""COMPUTED_VALUE"""),"")</f>
        <v/>
      </c>
      <c r="J47" s="128" t="str">
        <f>IFERROR(__xludf.DUMMYFUNCTION("""COMPUTED_VALUE"""),"")</f>
        <v/>
      </c>
      <c r="K47" s="133" t="str">
        <f>IFERROR(__xludf.DUMMYFUNCTION("""COMPUTED_VALUE"""),"")</f>
        <v/>
      </c>
      <c r="L47" s="128" t="str">
        <f>IFERROR(__xludf.DUMMYFUNCTION("""COMPUTED_VALUE"""),"")</f>
        <v/>
      </c>
      <c r="M47" s="133" t="str">
        <f>IFERROR(__xludf.DUMMYFUNCTION("""COMPUTED_VALUE"""),"")</f>
        <v/>
      </c>
      <c r="N47" s="137"/>
      <c r="O47" s="138"/>
      <c r="P47" s="99"/>
      <c r="Q47" s="111">
        <f>IFERROR(__xludf.DUMMYFUNCTION("""COMPUTED_VALUE"""),0.0)</f>
        <v>0</v>
      </c>
      <c r="R47" s="112">
        <f>IFERROR(__xludf.DUMMYFUNCTION("""COMPUTED_VALUE"""),0.0)</f>
        <v>0</v>
      </c>
      <c r="S47" s="112">
        <f>IFERROR(__xludf.DUMMYFUNCTION("""COMPUTED_VALUE"""),0.0)</f>
        <v>0</v>
      </c>
      <c r="T47" s="113">
        <f>IFERROR(__xludf.DUMMYFUNCTION("""COMPUTED_VALUE"""),0.0)</f>
        <v>0</v>
      </c>
      <c r="U47" s="114">
        <f>IFERROR(__xludf.DUMMYFUNCTION("""COMPUTED_VALUE"""),0.0)</f>
        <v>0</v>
      </c>
      <c r="V47" s="115" t="str">
        <f>IFERROR(__xludf.DUMMYFUNCTION("""COMPUTED_VALUE"""),"")</f>
        <v/>
      </c>
      <c r="W47" s="136"/>
      <c r="X47" s="117" t="str">
        <f>IFERROR(__xludf.DUMMYFUNCTION("""COMPUTED_VALUE"""),"BYE")</f>
        <v>BYE</v>
      </c>
      <c r="Y47" s="118" t="str">
        <f>IFERROR(__xludf.DUMMYFUNCTION("""COMPUTED_VALUE"""),"")</f>
        <v/>
      </c>
      <c r="Z47" s="35"/>
      <c r="AA47" s="35"/>
      <c r="AB47" s="35"/>
      <c r="AC47" s="35"/>
      <c r="AD47" s="35"/>
      <c r="AE47" s="53"/>
      <c r="AF47" s="53"/>
      <c r="AG47" s="35"/>
      <c r="AH47" s="53"/>
      <c r="AI47" s="35"/>
      <c r="AJ47" s="90"/>
      <c r="AK47" s="35"/>
      <c r="AL47" s="35"/>
      <c r="AM47" s="35"/>
      <c r="AN47" s="35"/>
      <c r="AO47" s="35"/>
      <c r="AP47" s="35"/>
      <c r="AQ47" s="35"/>
      <c r="AR47" s="35"/>
      <c r="AS47" s="35"/>
      <c r="AT47" s="35"/>
    </row>
    <row r="48" ht="18.75" customHeight="1">
      <c r="A48" s="35"/>
      <c r="B48" s="139"/>
      <c r="C48" s="14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141"/>
      <c r="Y48" s="35"/>
      <c r="Z48" s="35"/>
      <c r="AA48" s="35"/>
      <c r="AB48" s="35"/>
      <c r="AC48" s="35"/>
      <c r="AD48" s="35"/>
      <c r="AE48" s="53"/>
      <c r="AF48" s="53"/>
      <c r="AG48" s="35"/>
      <c r="AH48" s="53"/>
      <c r="AI48" s="35"/>
      <c r="AJ48" s="90"/>
      <c r="AK48" s="35"/>
      <c r="AL48" s="35"/>
      <c r="AM48" s="35"/>
      <c r="AN48" s="35"/>
      <c r="AO48" s="35"/>
      <c r="AP48" s="35"/>
      <c r="AQ48" s="35"/>
      <c r="AR48" s="35"/>
      <c r="AS48" s="35"/>
      <c r="AT48" s="35"/>
    </row>
    <row r="49" ht="18.75" customHeight="1">
      <c r="A49" s="53"/>
      <c r="B49" s="53"/>
      <c r="C49" s="53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143"/>
      <c r="U49" s="35"/>
      <c r="V49" s="35"/>
      <c r="W49" s="64"/>
      <c r="X49" s="35"/>
      <c r="Y49" s="35"/>
      <c r="Z49" s="35"/>
      <c r="AA49" s="35"/>
      <c r="AB49" s="35"/>
      <c r="AC49" s="35"/>
      <c r="AD49" s="35"/>
      <c r="AE49" s="53"/>
      <c r="AF49" s="53"/>
      <c r="AG49" s="35"/>
      <c r="AH49" s="53"/>
      <c r="AI49" s="35"/>
      <c r="AJ49" s="90"/>
      <c r="AK49" s="35"/>
      <c r="AL49" s="35"/>
      <c r="AM49" s="35"/>
      <c r="AN49" s="35"/>
      <c r="AO49" s="35"/>
      <c r="AP49" s="35"/>
      <c r="AQ49" s="35"/>
      <c r="AR49" s="35"/>
      <c r="AS49" s="35"/>
      <c r="AT49" s="35"/>
    </row>
    <row r="50" ht="18.75" customHeight="1">
      <c r="A50" s="53"/>
      <c r="B50" s="53"/>
      <c r="C50" s="53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143"/>
      <c r="U50" s="35"/>
      <c r="V50" s="35"/>
      <c r="W50" s="64"/>
      <c r="X50" s="35"/>
      <c r="Y50" s="35"/>
      <c r="Z50" s="35"/>
      <c r="AA50" s="35"/>
      <c r="AB50" s="35"/>
      <c r="AC50" s="35"/>
      <c r="AD50" s="35"/>
      <c r="AE50" s="53"/>
      <c r="AF50" s="53"/>
      <c r="AG50" s="35"/>
      <c r="AH50" s="53"/>
      <c r="AI50" s="35"/>
      <c r="AJ50" s="90"/>
      <c r="AK50" s="35"/>
      <c r="AL50" s="35"/>
      <c r="AM50" s="35"/>
      <c r="AN50" s="35"/>
      <c r="AO50" s="35"/>
      <c r="AP50" s="35"/>
      <c r="AQ50" s="35"/>
      <c r="AR50" s="35"/>
      <c r="AS50" s="35"/>
      <c r="AT50" s="35"/>
    </row>
    <row r="51" ht="18.75" customHeight="1">
      <c r="A51" s="73"/>
      <c r="B51" s="73"/>
      <c r="C51" s="73" t="str">
        <f>IFERROR(__xludf.DUMMYFUNCTION("""COMPUTED_VALUE"""),"Einstein")</f>
        <v>Einstein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74"/>
      <c r="U51" s="10"/>
      <c r="V51" s="10"/>
      <c r="W51" s="76"/>
      <c r="X51" s="10"/>
      <c r="Y51" s="35"/>
      <c r="Z51" s="35"/>
      <c r="AA51" s="35"/>
      <c r="AB51" s="35"/>
      <c r="AC51" s="35"/>
      <c r="AD51" s="35"/>
      <c r="AE51" s="53"/>
      <c r="AF51" s="53"/>
      <c r="AG51" s="35"/>
      <c r="AH51" s="53"/>
      <c r="AI51" s="35"/>
      <c r="AJ51" s="90"/>
      <c r="AK51" s="35"/>
      <c r="AL51" s="35"/>
      <c r="AM51" s="35"/>
      <c r="AN51" s="35"/>
      <c r="AO51" s="35"/>
      <c r="AP51" s="35"/>
      <c r="AQ51" s="35"/>
      <c r="AR51" s="35"/>
      <c r="AS51" s="35"/>
      <c r="AT51" s="35"/>
    </row>
    <row r="52" ht="18.75" customHeight="1">
      <c r="A52" s="35"/>
      <c r="B52" s="80"/>
      <c r="C52" s="82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7"/>
      <c r="Y52" s="35"/>
      <c r="Z52" s="35"/>
      <c r="AA52" s="35"/>
      <c r="AB52" s="35"/>
      <c r="AC52" s="35"/>
      <c r="AD52" s="35"/>
      <c r="AE52" s="53"/>
      <c r="AF52" s="53"/>
      <c r="AG52" s="35"/>
      <c r="AH52" s="53"/>
      <c r="AI52" s="35"/>
      <c r="AJ52" s="90"/>
      <c r="AK52" s="35"/>
      <c r="AL52" s="35"/>
      <c r="AM52" s="35"/>
      <c r="AN52" s="35"/>
      <c r="AO52" s="35"/>
      <c r="AP52" s="35"/>
      <c r="AQ52" s="35"/>
      <c r="AR52" s="35"/>
      <c r="AS52" s="35"/>
      <c r="AT52" s="35"/>
    </row>
    <row r="53" ht="18.75" customHeight="1">
      <c r="A53" s="92"/>
      <c r="B53" s="94"/>
      <c r="C53" s="95" t="str">
        <f>IFERROR(__xludf.DUMMYFUNCTION("""COMPUTED_VALUE"""),"Team")</f>
        <v>Team</v>
      </c>
      <c r="D53" s="53" t="str">
        <f>IFERROR(__xludf.DUMMYFUNCTION("""COMPUTED_VALUE"""),"ASFA A")</f>
        <v>ASFA A</v>
      </c>
      <c r="F53" s="97" t="str">
        <f>IFERROR(__xludf.DUMMYFUNCTION("""COMPUTED_VALUE"""),"Blair A")</f>
        <v>Blair A</v>
      </c>
      <c r="G53" s="98"/>
      <c r="H53" s="97" t="str">
        <f>IFERROR(__xludf.DUMMYFUNCTION("""COMPUTED_VALUE"""),"Iolani B")</f>
        <v>Iolani B</v>
      </c>
      <c r="I53" s="98"/>
      <c r="J53" s="97" t="str">
        <f>IFERROR(__xludf.DUMMYFUNCTION("""COMPUTED_VALUE"""),"Maryville A")</f>
        <v>Maryville A</v>
      </c>
      <c r="K53" s="98"/>
      <c r="L53" s="97" t="str">
        <f>IFERROR(__xludf.DUMMYFUNCTION("""COMPUTED_VALUE"""),"Wayland B")</f>
        <v>Wayland B</v>
      </c>
      <c r="M53" s="98"/>
      <c r="N53" s="97" t="str">
        <f>IFERROR(__xludf.DUMMYFUNCTION("""COMPUTED_VALUE"""),"BYE")</f>
        <v>BYE</v>
      </c>
      <c r="O53" s="98"/>
      <c r="P53" s="99"/>
      <c r="Q53" s="100" t="str">
        <f>IFERROR(__xludf.DUMMYFUNCTION("""COMPUTED_VALUE"""),"W")</f>
        <v>W</v>
      </c>
      <c r="R53" s="100" t="str">
        <f>IFERROR(__xludf.DUMMYFUNCTION("""COMPUTED_VALUE"""),"T")</f>
        <v>T</v>
      </c>
      <c r="S53" s="100" t="str">
        <f>IFERROR(__xludf.DUMMYFUNCTION("""COMPUTED_VALUE"""),"L")</f>
        <v>L</v>
      </c>
      <c r="T53" s="101" t="str">
        <f>IFERROR(__xludf.DUMMYFUNCTION("""COMPUTED_VALUE"""),"W/L Score")</f>
        <v>W/L Score</v>
      </c>
      <c r="U53" s="100" t="str">
        <f>IFERROR(__xludf.DUMMYFUNCTION("""COMPUTED_VALUE"""),"Points")</f>
        <v>Points</v>
      </c>
      <c r="V53" s="100" t="str">
        <f>IFERROR(__xludf.DUMMYFUNCTION("""COMPUTED_VALUE"""),"Average")</f>
        <v>Average</v>
      </c>
      <c r="W53" s="102" t="str">
        <f>IFERROR(__xludf.DUMMYFUNCTION("""COMPUTED_VALUE"""),"Rank")</f>
        <v>Rank</v>
      </c>
      <c r="X53" s="103"/>
      <c r="Y53" s="35"/>
      <c r="Z53" s="35"/>
      <c r="AA53" s="35"/>
      <c r="AB53" s="35"/>
      <c r="AC53" s="35"/>
      <c r="AD53" s="35"/>
      <c r="AE53" s="53"/>
      <c r="AF53" s="53"/>
      <c r="AG53" s="35"/>
      <c r="AH53" s="53"/>
      <c r="AI53" s="35"/>
      <c r="AJ53" s="90"/>
      <c r="AK53" s="35"/>
      <c r="AL53" s="35"/>
      <c r="AM53" s="35"/>
      <c r="AN53" s="35"/>
      <c r="AO53" s="35"/>
      <c r="AP53" s="35"/>
      <c r="AQ53" s="35"/>
      <c r="AR53" s="35"/>
      <c r="AS53" s="35"/>
      <c r="AT53" s="35"/>
    </row>
    <row r="54" ht="18.75" customHeight="1">
      <c r="A54" s="104"/>
      <c r="B54" s="94"/>
      <c r="C54" s="105" t="str">
        <f>IFERROR(__xludf.DUMMYFUNCTION("""COMPUTED_VALUE"""),"ASFA A")</f>
        <v>ASFA A</v>
      </c>
      <c r="D54" s="106"/>
      <c r="E54" s="107"/>
      <c r="F54" s="108">
        <f>IFERROR(__xludf.DUMMYFUNCTION("""COMPUTED_VALUE"""),46.0)</f>
        <v>46</v>
      </c>
      <c r="G54" s="109" t="str">
        <f>IFERROR(__xludf.DUMMYFUNCTION("""COMPUTED_VALUE"""),"L")</f>
        <v>L</v>
      </c>
      <c r="H54" s="108">
        <f>IFERROR(__xludf.DUMMYFUNCTION("""COMPUTED_VALUE"""),140.0)</f>
        <v>140</v>
      </c>
      <c r="I54" s="109" t="str">
        <f>IFERROR(__xludf.DUMMYFUNCTION("""COMPUTED_VALUE"""),"W")</f>
        <v>W</v>
      </c>
      <c r="J54" s="108">
        <f>IFERROR(__xludf.DUMMYFUNCTION("""COMPUTED_VALUE"""),100.0)</f>
        <v>100</v>
      </c>
      <c r="K54" s="109" t="str">
        <f>IFERROR(__xludf.DUMMYFUNCTION("""COMPUTED_VALUE"""),"W")</f>
        <v>W</v>
      </c>
      <c r="L54" s="108">
        <f>IFERROR(__xludf.DUMMYFUNCTION("""COMPUTED_VALUE"""),134.0)</f>
        <v>134</v>
      </c>
      <c r="M54" s="110" t="str">
        <f>IFERROR(__xludf.DUMMYFUNCTION("""COMPUTED_VALUE"""),"W")</f>
        <v>W</v>
      </c>
      <c r="N54" s="108" t="str">
        <f>IFERROR(__xludf.DUMMYFUNCTION("""COMPUTED_VALUE"""),"")</f>
        <v/>
      </c>
      <c r="O54" s="110" t="str">
        <f>IFERROR(__xludf.DUMMYFUNCTION("""COMPUTED_VALUE"""),"")</f>
        <v/>
      </c>
      <c r="Q54" s="111">
        <f>IFERROR(__xludf.DUMMYFUNCTION("""COMPUTED_VALUE"""),3.0)</f>
        <v>3</v>
      </c>
      <c r="R54" s="112">
        <f>IFERROR(__xludf.DUMMYFUNCTION("""COMPUTED_VALUE"""),0.0)</f>
        <v>0</v>
      </c>
      <c r="S54" s="112">
        <f>IFERROR(__xludf.DUMMYFUNCTION("""COMPUTED_VALUE"""),1.0)</f>
        <v>1</v>
      </c>
      <c r="T54" s="113">
        <f>IFERROR(__xludf.DUMMYFUNCTION("""COMPUTED_VALUE"""),3.0)</f>
        <v>3</v>
      </c>
      <c r="U54" s="114">
        <f>IFERROR(__xludf.DUMMYFUNCTION("""COMPUTED_VALUE"""),420.0)</f>
        <v>420</v>
      </c>
      <c r="V54" s="115">
        <f>IFERROR(__xludf.DUMMYFUNCTION("""COMPUTED_VALUE"""),105.0)</f>
        <v>105</v>
      </c>
      <c r="W54" s="136" t="str">
        <f>IFERROR(__xludf.DUMMYFUNCTION("""COMPUTED_VALUE"""),"2")</f>
        <v>2</v>
      </c>
      <c r="X54" s="117" t="str">
        <f>IFERROR(__xludf.DUMMYFUNCTION("""COMPUTED_VALUE"""),"ASFA A")</f>
        <v>ASFA A</v>
      </c>
      <c r="Y54" s="118">
        <f>IFERROR(__xludf.DUMMYFUNCTION("""COMPUTED_VALUE"""),105.0)</f>
        <v>105</v>
      </c>
      <c r="Z54" s="35"/>
      <c r="AA54" s="35"/>
      <c r="AB54" s="35"/>
      <c r="AC54" s="35"/>
      <c r="AD54" s="35"/>
      <c r="AE54" s="53"/>
      <c r="AF54" s="53"/>
      <c r="AG54" s="35"/>
      <c r="AH54" s="53"/>
      <c r="AI54" s="35"/>
      <c r="AJ54" s="90"/>
      <c r="AK54" s="35"/>
      <c r="AL54" s="35"/>
      <c r="AM54" s="35"/>
      <c r="AN54" s="35"/>
      <c r="AO54" s="35"/>
      <c r="AP54" s="35"/>
      <c r="AQ54" s="35"/>
      <c r="AR54" s="35"/>
      <c r="AS54" s="35"/>
      <c r="AT54" s="35"/>
    </row>
    <row r="55" ht="18.75" customHeight="1">
      <c r="A55" s="53"/>
      <c r="B55" s="94"/>
      <c r="C55" s="121" t="str">
        <f>IFERROR(__xludf.DUMMYFUNCTION("""COMPUTED_VALUE"""),"Blair A")</f>
        <v>Blair A</v>
      </c>
      <c r="D55" s="122">
        <f>IFERROR(__xludf.DUMMYFUNCTION("""COMPUTED_VALUE"""),260.0)</f>
        <v>260</v>
      </c>
      <c r="E55" s="123" t="str">
        <f>IFERROR(__xludf.DUMMYFUNCTION("""COMPUTED_VALUE"""),"W")</f>
        <v>W</v>
      </c>
      <c r="F55" s="124"/>
      <c r="G55" s="125"/>
      <c r="H55" s="108">
        <f>IFERROR(__xludf.DUMMYFUNCTION("""COMPUTED_VALUE"""),210.0)</f>
        <v>210</v>
      </c>
      <c r="I55" s="123" t="str">
        <f>IFERROR(__xludf.DUMMYFUNCTION("""COMPUTED_VALUE"""),"W")</f>
        <v>W</v>
      </c>
      <c r="J55" s="108">
        <f>IFERROR(__xludf.DUMMYFUNCTION("""COMPUTED_VALUE"""),218.0)</f>
        <v>218</v>
      </c>
      <c r="K55" s="123" t="str">
        <f>IFERROR(__xludf.DUMMYFUNCTION("""COMPUTED_VALUE"""),"W")</f>
        <v>W</v>
      </c>
      <c r="L55" s="108">
        <f>IFERROR(__xludf.DUMMYFUNCTION("""COMPUTED_VALUE"""),266.0)</f>
        <v>266</v>
      </c>
      <c r="M55" s="126" t="str">
        <f>IFERROR(__xludf.DUMMYFUNCTION("""COMPUTED_VALUE"""),"W")</f>
        <v>W</v>
      </c>
      <c r="N55" s="108" t="str">
        <f>IFERROR(__xludf.DUMMYFUNCTION("""COMPUTED_VALUE"""),"")</f>
        <v/>
      </c>
      <c r="O55" s="110" t="str">
        <f>IFERROR(__xludf.DUMMYFUNCTION("""COMPUTED_VALUE"""),"")</f>
        <v/>
      </c>
      <c r="Q55" s="111">
        <f>IFERROR(__xludf.DUMMYFUNCTION("""COMPUTED_VALUE"""),4.0)</f>
        <v>4</v>
      </c>
      <c r="R55" s="112">
        <f>IFERROR(__xludf.DUMMYFUNCTION("""COMPUTED_VALUE"""),0.0)</f>
        <v>0</v>
      </c>
      <c r="S55" s="112">
        <f>IFERROR(__xludf.DUMMYFUNCTION("""COMPUTED_VALUE"""),0.0)</f>
        <v>0</v>
      </c>
      <c r="T55" s="113">
        <f>IFERROR(__xludf.DUMMYFUNCTION("""COMPUTED_VALUE"""),4.0)</f>
        <v>4</v>
      </c>
      <c r="U55" s="114">
        <f>IFERROR(__xludf.DUMMYFUNCTION("""COMPUTED_VALUE"""),954.0)</f>
        <v>954</v>
      </c>
      <c r="V55" s="115">
        <f>IFERROR(__xludf.DUMMYFUNCTION("""COMPUTED_VALUE"""),238.5)</f>
        <v>238.5</v>
      </c>
      <c r="W55" s="116" t="str">
        <f>IFERROR(__xludf.DUMMYFUNCTION("""COMPUTED_VALUE"""),"1")</f>
        <v>1</v>
      </c>
      <c r="X55" s="117" t="str">
        <f>IFERROR(__xludf.DUMMYFUNCTION("""COMPUTED_VALUE"""),"Blair A")</f>
        <v>Blair A</v>
      </c>
      <c r="Y55" s="118">
        <f>IFERROR(__xludf.DUMMYFUNCTION("""COMPUTED_VALUE"""),238.5)</f>
        <v>238.5</v>
      </c>
      <c r="Z55" s="35"/>
      <c r="AA55" s="35"/>
      <c r="AB55" s="35"/>
      <c r="AC55" s="35"/>
      <c r="AD55" s="35"/>
      <c r="AE55" s="53"/>
      <c r="AF55" s="53"/>
      <c r="AG55" s="35"/>
      <c r="AH55" s="53"/>
      <c r="AI55" s="35"/>
      <c r="AJ55" s="90"/>
      <c r="AK55" s="35"/>
      <c r="AL55" s="35"/>
      <c r="AM55" s="35"/>
      <c r="AN55" s="35"/>
      <c r="AO55" s="35"/>
      <c r="AP55" s="35"/>
      <c r="AQ55" s="35"/>
      <c r="AR55" s="35"/>
      <c r="AS55" s="35"/>
      <c r="AT55" s="35"/>
    </row>
    <row r="56" ht="18.75" customHeight="1">
      <c r="A56" s="53"/>
      <c r="B56" s="94"/>
      <c r="C56" s="121" t="str">
        <f>IFERROR(__xludf.DUMMYFUNCTION("""COMPUTED_VALUE"""),"Iolani B")</f>
        <v>Iolani B</v>
      </c>
      <c r="D56" s="122">
        <f>IFERROR(__xludf.DUMMYFUNCTION("""COMPUTED_VALUE"""),40.0)</f>
        <v>40</v>
      </c>
      <c r="E56" s="123" t="str">
        <f>IFERROR(__xludf.DUMMYFUNCTION("""COMPUTED_VALUE"""),"L")</f>
        <v>L</v>
      </c>
      <c r="F56" s="128">
        <f>IFERROR(__xludf.DUMMYFUNCTION("""COMPUTED_VALUE"""),54.0)</f>
        <v>54</v>
      </c>
      <c r="G56" s="123" t="str">
        <f>IFERROR(__xludf.DUMMYFUNCTION("""COMPUTED_VALUE"""),"L")</f>
        <v>L</v>
      </c>
      <c r="H56" s="124"/>
      <c r="I56" s="125"/>
      <c r="J56" s="108">
        <f>IFERROR(__xludf.DUMMYFUNCTION("""COMPUTED_VALUE"""),76.0)</f>
        <v>76</v>
      </c>
      <c r="K56" s="123" t="str">
        <f>IFERROR(__xludf.DUMMYFUNCTION("""COMPUTED_VALUE"""),"L")</f>
        <v>L</v>
      </c>
      <c r="L56" s="108">
        <f>IFERROR(__xludf.DUMMYFUNCTION("""COMPUTED_VALUE"""),58.0)</f>
        <v>58</v>
      </c>
      <c r="M56" s="126" t="str">
        <f>IFERROR(__xludf.DUMMYFUNCTION("""COMPUTED_VALUE"""),"W")</f>
        <v>W</v>
      </c>
      <c r="N56" s="108" t="str">
        <f>IFERROR(__xludf.DUMMYFUNCTION("""COMPUTED_VALUE"""),"")</f>
        <v/>
      </c>
      <c r="O56" s="110" t="str">
        <f>IFERROR(__xludf.DUMMYFUNCTION("""COMPUTED_VALUE"""),"")</f>
        <v/>
      </c>
      <c r="Q56" s="111">
        <f>IFERROR(__xludf.DUMMYFUNCTION("""COMPUTED_VALUE"""),1.0)</f>
        <v>1</v>
      </c>
      <c r="R56" s="112">
        <f>IFERROR(__xludf.DUMMYFUNCTION("""COMPUTED_VALUE"""),0.0)</f>
        <v>0</v>
      </c>
      <c r="S56" s="112">
        <f>IFERROR(__xludf.DUMMYFUNCTION("""COMPUTED_VALUE"""),3.0)</f>
        <v>3</v>
      </c>
      <c r="T56" s="113">
        <f>IFERROR(__xludf.DUMMYFUNCTION("""COMPUTED_VALUE"""),1.0)</f>
        <v>1</v>
      </c>
      <c r="U56" s="114">
        <f>IFERROR(__xludf.DUMMYFUNCTION("""COMPUTED_VALUE"""),228.0)</f>
        <v>228</v>
      </c>
      <c r="V56" s="115">
        <f>IFERROR(__xludf.DUMMYFUNCTION("""COMPUTED_VALUE"""),57.0)</f>
        <v>57</v>
      </c>
      <c r="W56" s="136" t="str">
        <f>IFERROR(__xludf.DUMMYFUNCTION("""COMPUTED_VALUE"""),"4")</f>
        <v>4</v>
      </c>
      <c r="X56" s="117" t="str">
        <f>IFERROR(__xludf.DUMMYFUNCTION("""COMPUTED_VALUE"""),"Iolani B")</f>
        <v>Iolani B</v>
      </c>
      <c r="Y56" s="118">
        <f>IFERROR(__xludf.DUMMYFUNCTION("""COMPUTED_VALUE"""),57.0)</f>
        <v>57</v>
      </c>
      <c r="Z56" s="35"/>
      <c r="AA56" s="35"/>
      <c r="AB56" s="35"/>
      <c r="AC56" s="35"/>
      <c r="AD56" s="35"/>
      <c r="AE56" s="53"/>
      <c r="AF56" s="53"/>
      <c r="AG56" s="35"/>
      <c r="AH56" s="53"/>
      <c r="AI56" s="35"/>
      <c r="AJ56" s="90"/>
      <c r="AK56" s="35"/>
      <c r="AL56" s="35"/>
      <c r="AM56" s="35"/>
      <c r="AN56" s="35"/>
      <c r="AO56" s="35"/>
      <c r="AP56" s="35"/>
      <c r="AQ56" s="35"/>
      <c r="AR56" s="35"/>
      <c r="AS56" s="35"/>
      <c r="AT56" s="35"/>
    </row>
    <row r="57" ht="18.75" customHeight="1">
      <c r="A57" s="53"/>
      <c r="B57" s="94"/>
      <c r="C57" s="121" t="str">
        <f>IFERROR(__xludf.DUMMYFUNCTION("""COMPUTED_VALUE"""),"Maryville A")</f>
        <v>Maryville A</v>
      </c>
      <c r="D57" s="122">
        <f>IFERROR(__xludf.DUMMYFUNCTION("""COMPUTED_VALUE"""),54.0)</f>
        <v>54</v>
      </c>
      <c r="E57" s="123" t="str">
        <f>IFERROR(__xludf.DUMMYFUNCTION("""COMPUTED_VALUE"""),"L")</f>
        <v>L</v>
      </c>
      <c r="F57" s="128">
        <f>IFERROR(__xludf.DUMMYFUNCTION("""COMPUTED_VALUE"""),16.0)</f>
        <v>16</v>
      </c>
      <c r="G57" s="123" t="str">
        <f>IFERROR(__xludf.DUMMYFUNCTION("""COMPUTED_VALUE"""),"L")</f>
        <v>L</v>
      </c>
      <c r="H57" s="128">
        <f>IFERROR(__xludf.DUMMYFUNCTION("""COMPUTED_VALUE"""),92.0)</f>
        <v>92</v>
      </c>
      <c r="I57" s="123" t="str">
        <f>IFERROR(__xludf.DUMMYFUNCTION("""COMPUTED_VALUE"""),"W")</f>
        <v>W</v>
      </c>
      <c r="J57" s="124"/>
      <c r="K57" s="125"/>
      <c r="L57" s="108">
        <f>IFERROR(__xludf.DUMMYFUNCTION("""COMPUTED_VALUE"""),78.0)</f>
        <v>78</v>
      </c>
      <c r="M57" s="126" t="str">
        <f>IFERROR(__xludf.DUMMYFUNCTION("""COMPUTED_VALUE"""),"W")</f>
        <v>W</v>
      </c>
      <c r="N57" s="108" t="str">
        <f>IFERROR(__xludf.DUMMYFUNCTION("""COMPUTED_VALUE"""),"")</f>
        <v/>
      </c>
      <c r="O57" s="110" t="str">
        <f>IFERROR(__xludf.DUMMYFUNCTION("""COMPUTED_VALUE"""),"")</f>
        <v/>
      </c>
      <c r="Q57" s="111">
        <f>IFERROR(__xludf.DUMMYFUNCTION("""COMPUTED_VALUE"""),2.0)</f>
        <v>2</v>
      </c>
      <c r="R57" s="112">
        <f>IFERROR(__xludf.DUMMYFUNCTION("""COMPUTED_VALUE"""),0.0)</f>
        <v>0</v>
      </c>
      <c r="S57" s="112">
        <f>IFERROR(__xludf.DUMMYFUNCTION("""COMPUTED_VALUE"""),2.0)</f>
        <v>2</v>
      </c>
      <c r="T57" s="113">
        <f>IFERROR(__xludf.DUMMYFUNCTION("""COMPUTED_VALUE"""),2.0)</f>
        <v>2</v>
      </c>
      <c r="U57" s="114">
        <f>IFERROR(__xludf.DUMMYFUNCTION("""COMPUTED_VALUE"""),240.0)</f>
        <v>240</v>
      </c>
      <c r="V57" s="115">
        <f>IFERROR(__xludf.DUMMYFUNCTION("""COMPUTED_VALUE"""),60.0)</f>
        <v>60</v>
      </c>
      <c r="W57" s="116" t="str">
        <f>IFERROR(__xludf.DUMMYFUNCTION("""COMPUTED_VALUE"""),"3")</f>
        <v>3</v>
      </c>
      <c r="X57" s="117" t="str">
        <f>IFERROR(__xludf.DUMMYFUNCTION("""COMPUTED_VALUE"""),"Maryville A")</f>
        <v>Maryville A</v>
      </c>
      <c r="Y57" s="118">
        <f>IFERROR(__xludf.DUMMYFUNCTION("""COMPUTED_VALUE"""),60.0)</f>
        <v>60</v>
      </c>
      <c r="Z57" s="35"/>
      <c r="AA57" s="35"/>
      <c r="AB57" s="35"/>
      <c r="AC57" s="35"/>
      <c r="AD57" s="35"/>
      <c r="AE57" s="53"/>
      <c r="AF57" s="53"/>
      <c r="AG57" s="35"/>
      <c r="AH57" s="53"/>
      <c r="AI57" s="35"/>
      <c r="AJ57" s="90"/>
      <c r="AK57" s="35"/>
      <c r="AL57" s="35"/>
      <c r="AM57" s="35"/>
      <c r="AN57" s="35"/>
      <c r="AO57" s="35"/>
      <c r="AP57" s="35"/>
      <c r="AQ57" s="35"/>
      <c r="AR57" s="35"/>
      <c r="AS57" s="35"/>
      <c r="AT57" s="35"/>
    </row>
    <row r="58" ht="18.75" customHeight="1">
      <c r="A58" s="53"/>
      <c r="B58" s="94"/>
      <c r="C58" s="121" t="str">
        <f>IFERROR(__xludf.DUMMYFUNCTION("""COMPUTED_VALUE"""),"Wayland B")</f>
        <v>Wayland B</v>
      </c>
      <c r="D58" s="122">
        <f>IFERROR(__xludf.DUMMYFUNCTION("""COMPUTED_VALUE"""),40.0)</f>
        <v>40</v>
      </c>
      <c r="E58" s="133" t="str">
        <f>IFERROR(__xludf.DUMMYFUNCTION("""COMPUTED_VALUE"""),"L")</f>
        <v>L</v>
      </c>
      <c r="F58" s="128">
        <f>IFERROR(__xludf.DUMMYFUNCTION("""COMPUTED_VALUE"""),20.0)</f>
        <v>20</v>
      </c>
      <c r="G58" s="133" t="str">
        <f>IFERROR(__xludf.DUMMYFUNCTION("""COMPUTED_VALUE"""),"L")</f>
        <v>L</v>
      </c>
      <c r="H58" s="128">
        <f>IFERROR(__xludf.DUMMYFUNCTION("""COMPUTED_VALUE"""),28.0)</f>
        <v>28</v>
      </c>
      <c r="I58" s="133" t="str">
        <f>IFERROR(__xludf.DUMMYFUNCTION("""COMPUTED_VALUE"""),"L")</f>
        <v>L</v>
      </c>
      <c r="J58" s="128">
        <f>IFERROR(__xludf.DUMMYFUNCTION("""COMPUTED_VALUE"""),16.0)</f>
        <v>16</v>
      </c>
      <c r="K58" s="133" t="str">
        <f>IFERROR(__xludf.DUMMYFUNCTION("""COMPUTED_VALUE"""),"L")</f>
        <v>L</v>
      </c>
      <c r="L58" s="134"/>
      <c r="M58" s="135"/>
      <c r="N58" s="108" t="str">
        <f>IFERROR(__xludf.DUMMYFUNCTION("""COMPUTED_VALUE"""),"")</f>
        <v/>
      </c>
      <c r="O58" s="110" t="str">
        <f>IFERROR(__xludf.DUMMYFUNCTION("""COMPUTED_VALUE"""),"")</f>
        <v/>
      </c>
      <c r="Q58" s="111">
        <f>IFERROR(__xludf.DUMMYFUNCTION("""COMPUTED_VALUE"""),0.0)</f>
        <v>0</v>
      </c>
      <c r="R58" s="112">
        <f>IFERROR(__xludf.DUMMYFUNCTION("""COMPUTED_VALUE"""),0.0)</f>
        <v>0</v>
      </c>
      <c r="S58" s="112">
        <f>IFERROR(__xludf.DUMMYFUNCTION("""COMPUTED_VALUE"""),4.0)</f>
        <v>4</v>
      </c>
      <c r="T58" s="113">
        <f>IFERROR(__xludf.DUMMYFUNCTION("""COMPUTED_VALUE"""),0.0)</f>
        <v>0</v>
      </c>
      <c r="U58" s="114">
        <f>IFERROR(__xludf.DUMMYFUNCTION("""COMPUTED_VALUE"""),104.0)</f>
        <v>104</v>
      </c>
      <c r="V58" s="115">
        <f>IFERROR(__xludf.DUMMYFUNCTION("""COMPUTED_VALUE"""),26.0)</f>
        <v>26</v>
      </c>
      <c r="W58" s="136" t="str">
        <f>IFERROR(__xludf.DUMMYFUNCTION("""COMPUTED_VALUE"""),"5")</f>
        <v>5</v>
      </c>
      <c r="X58" s="117" t="str">
        <f>IFERROR(__xludf.DUMMYFUNCTION("""COMPUTED_VALUE"""),"Wayland B")</f>
        <v>Wayland B</v>
      </c>
      <c r="Y58" s="118">
        <f>IFERROR(__xludf.DUMMYFUNCTION("""COMPUTED_VALUE"""),26.0)</f>
        <v>26</v>
      </c>
      <c r="Z58" s="35"/>
      <c r="AA58" s="35"/>
      <c r="AB58" s="35"/>
      <c r="AC58" s="35"/>
      <c r="AD58" s="35"/>
      <c r="AE58" s="53"/>
      <c r="AF58" s="53"/>
      <c r="AG58" s="35"/>
      <c r="AH58" s="53"/>
      <c r="AI58" s="35"/>
      <c r="AJ58" s="90"/>
      <c r="AK58" s="35"/>
      <c r="AL58" s="35"/>
      <c r="AM58" s="35"/>
      <c r="AN58" s="35"/>
      <c r="AO58" s="35"/>
      <c r="AP58" s="35"/>
      <c r="AQ58" s="35"/>
      <c r="AR58" s="35"/>
      <c r="AS58" s="35"/>
      <c r="AT58" s="35"/>
    </row>
    <row r="59" ht="18.75" customHeight="1">
      <c r="A59" s="53"/>
      <c r="B59" s="94"/>
      <c r="C59" s="121" t="str">
        <f>IFERROR(__xludf.DUMMYFUNCTION("""COMPUTED_VALUE"""),"BYE")</f>
        <v>BYE</v>
      </c>
      <c r="D59" s="122" t="str">
        <f>IFERROR(__xludf.DUMMYFUNCTION("""COMPUTED_VALUE"""),"")</f>
        <v/>
      </c>
      <c r="E59" s="133" t="str">
        <f>IFERROR(__xludf.DUMMYFUNCTION("""COMPUTED_VALUE"""),"")</f>
        <v/>
      </c>
      <c r="F59" s="128" t="str">
        <f>IFERROR(__xludf.DUMMYFUNCTION("""COMPUTED_VALUE"""),"")</f>
        <v/>
      </c>
      <c r="G59" s="133" t="str">
        <f>IFERROR(__xludf.DUMMYFUNCTION("""COMPUTED_VALUE"""),"")</f>
        <v/>
      </c>
      <c r="H59" s="128" t="str">
        <f>IFERROR(__xludf.DUMMYFUNCTION("""COMPUTED_VALUE"""),"")</f>
        <v/>
      </c>
      <c r="I59" s="123" t="str">
        <f>IFERROR(__xludf.DUMMYFUNCTION("""COMPUTED_VALUE"""),"")</f>
        <v/>
      </c>
      <c r="J59" s="128" t="str">
        <f>IFERROR(__xludf.DUMMYFUNCTION("""COMPUTED_VALUE"""),"")</f>
        <v/>
      </c>
      <c r="K59" s="133" t="str">
        <f>IFERROR(__xludf.DUMMYFUNCTION("""COMPUTED_VALUE"""),"")</f>
        <v/>
      </c>
      <c r="L59" s="128" t="str">
        <f>IFERROR(__xludf.DUMMYFUNCTION("""COMPUTED_VALUE"""),"")</f>
        <v/>
      </c>
      <c r="M59" s="133" t="str">
        <f>IFERROR(__xludf.DUMMYFUNCTION("""COMPUTED_VALUE"""),"")</f>
        <v/>
      </c>
      <c r="N59" s="137"/>
      <c r="O59" s="138"/>
      <c r="P59" s="99"/>
      <c r="Q59" s="111">
        <f>IFERROR(__xludf.DUMMYFUNCTION("""COMPUTED_VALUE"""),0.0)</f>
        <v>0</v>
      </c>
      <c r="R59" s="112">
        <f>IFERROR(__xludf.DUMMYFUNCTION("""COMPUTED_VALUE"""),0.0)</f>
        <v>0</v>
      </c>
      <c r="S59" s="112">
        <f>IFERROR(__xludf.DUMMYFUNCTION("""COMPUTED_VALUE"""),0.0)</f>
        <v>0</v>
      </c>
      <c r="T59" s="113">
        <f>IFERROR(__xludf.DUMMYFUNCTION("""COMPUTED_VALUE"""),0.0)</f>
        <v>0</v>
      </c>
      <c r="U59" s="114">
        <f>IFERROR(__xludf.DUMMYFUNCTION("""COMPUTED_VALUE"""),0.0)</f>
        <v>0</v>
      </c>
      <c r="V59" s="115" t="str">
        <f>IFERROR(__xludf.DUMMYFUNCTION("""COMPUTED_VALUE"""),"")</f>
        <v/>
      </c>
      <c r="W59" s="136"/>
      <c r="X59" s="117" t="str">
        <f>IFERROR(__xludf.DUMMYFUNCTION("""COMPUTED_VALUE"""),"BYE")</f>
        <v>BYE</v>
      </c>
      <c r="Y59" s="118" t="str">
        <f>IFERROR(__xludf.DUMMYFUNCTION("""COMPUTED_VALUE"""),"")</f>
        <v/>
      </c>
      <c r="Z59" s="35"/>
      <c r="AA59" s="35"/>
      <c r="AB59" s="35"/>
      <c r="AC59" s="35"/>
      <c r="AD59" s="35"/>
      <c r="AE59" s="53"/>
      <c r="AF59" s="53"/>
      <c r="AG59" s="35"/>
      <c r="AH59" s="53"/>
      <c r="AI59" s="35"/>
      <c r="AJ59" s="90"/>
      <c r="AK59" s="35"/>
      <c r="AL59" s="35"/>
      <c r="AM59" s="35"/>
      <c r="AN59" s="35"/>
      <c r="AO59" s="35"/>
      <c r="AP59" s="35"/>
      <c r="AQ59" s="35"/>
      <c r="AR59" s="35"/>
      <c r="AS59" s="35"/>
      <c r="AT59" s="35"/>
    </row>
    <row r="60" ht="18.75" customHeight="1">
      <c r="A60" s="35"/>
      <c r="B60" s="139"/>
      <c r="C60" s="14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141"/>
      <c r="Y60" s="35"/>
      <c r="Z60" s="35"/>
      <c r="AA60" s="35"/>
      <c r="AB60" s="35"/>
      <c r="AC60" s="35"/>
      <c r="AD60" s="35"/>
      <c r="AE60" s="53"/>
      <c r="AF60" s="53"/>
      <c r="AG60" s="35"/>
      <c r="AH60" s="53"/>
      <c r="AI60" s="35"/>
      <c r="AJ60" s="90"/>
      <c r="AK60" s="35"/>
      <c r="AL60" s="35"/>
      <c r="AM60" s="35"/>
      <c r="AN60" s="35"/>
      <c r="AO60" s="35"/>
      <c r="AP60" s="35"/>
      <c r="AQ60" s="35"/>
      <c r="AR60" s="35"/>
      <c r="AS60" s="35"/>
      <c r="AT60" s="35"/>
    </row>
    <row r="61" ht="18.75" customHeight="1">
      <c r="A61" s="53"/>
      <c r="B61" s="53"/>
      <c r="C61" s="53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143"/>
      <c r="U61" s="35"/>
      <c r="V61" s="35"/>
      <c r="W61" s="64"/>
      <c r="X61" s="35"/>
      <c r="Y61" s="35"/>
      <c r="Z61" s="35"/>
      <c r="AA61" s="35"/>
      <c r="AB61" s="35"/>
      <c r="AC61" s="35"/>
      <c r="AD61" s="35"/>
      <c r="AE61" s="53"/>
      <c r="AF61" s="53"/>
      <c r="AG61" s="35"/>
      <c r="AH61" s="53"/>
      <c r="AI61" s="35"/>
      <c r="AJ61" s="90"/>
      <c r="AK61" s="35"/>
      <c r="AL61" s="35"/>
      <c r="AM61" s="35"/>
      <c r="AN61" s="35"/>
      <c r="AO61" s="35"/>
      <c r="AP61" s="35"/>
      <c r="AQ61" s="35"/>
      <c r="AR61" s="35"/>
      <c r="AS61" s="35"/>
      <c r="AT61" s="35"/>
    </row>
    <row r="62" ht="18.75" customHeight="1">
      <c r="A62" s="53"/>
      <c r="B62" s="53"/>
      <c r="C62" s="53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143"/>
      <c r="U62" s="35"/>
      <c r="V62" s="35"/>
      <c r="W62" s="64"/>
      <c r="X62" s="35"/>
      <c r="Y62" s="35"/>
      <c r="Z62" s="35"/>
      <c r="AA62" s="35"/>
      <c r="AB62" s="35"/>
      <c r="AC62" s="35"/>
      <c r="AD62" s="35"/>
      <c r="AE62" s="53"/>
      <c r="AF62" s="53"/>
      <c r="AG62" s="35"/>
      <c r="AH62" s="53"/>
      <c r="AI62" s="35"/>
      <c r="AJ62" s="90"/>
      <c r="AK62" s="35"/>
      <c r="AL62" s="35"/>
      <c r="AM62" s="35"/>
      <c r="AN62" s="35"/>
      <c r="AO62" s="35"/>
      <c r="AP62" s="35"/>
      <c r="AQ62" s="35"/>
      <c r="AR62" s="35"/>
      <c r="AS62" s="35"/>
      <c r="AT62" s="35"/>
    </row>
    <row r="63" ht="18.75" customHeight="1">
      <c r="A63" s="73"/>
      <c r="B63" s="73"/>
      <c r="C63" s="73" t="str">
        <f>IFERROR(__xludf.DUMMYFUNCTION("""COMPUTED_VALUE"""),"Franklin")</f>
        <v>Franklin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74"/>
      <c r="U63" s="10"/>
      <c r="V63" s="10"/>
      <c r="W63" s="76"/>
      <c r="X63" s="10"/>
      <c r="Y63" s="35"/>
      <c r="Z63" s="35"/>
      <c r="AA63" s="35"/>
      <c r="AB63" s="35"/>
      <c r="AC63" s="35"/>
      <c r="AD63" s="35"/>
      <c r="AE63" s="53"/>
      <c r="AF63" s="53"/>
      <c r="AG63" s="35"/>
      <c r="AH63" s="53"/>
      <c r="AI63" s="35"/>
      <c r="AJ63" s="90"/>
      <c r="AK63" s="35"/>
      <c r="AL63" s="35"/>
      <c r="AM63" s="35"/>
      <c r="AN63" s="35"/>
      <c r="AO63" s="35"/>
      <c r="AP63" s="35"/>
      <c r="AQ63" s="35"/>
      <c r="AR63" s="35"/>
      <c r="AS63" s="35"/>
      <c r="AT63" s="35"/>
    </row>
    <row r="64" ht="18.75" customHeight="1">
      <c r="A64" s="35"/>
      <c r="B64" s="80"/>
      <c r="C64" s="82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7"/>
      <c r="Y64" s="35"/>
      <c r="Z64" s="35"/>
      <c r="AA64" s="35"/>
      <c r="AB64" s="35"/>
      <c r="AC64" s="35"/>
      <c r="AD64" s="35"/>
      <c r="AE64" s="53"/>
      <c r="AF64" s="53"/>
      <c r="AG64" s="35"/>
      <c r="AH64" s="53"/>
      <c r="AI64" s="35"/>
      <c r="AJ64" s="90"/>
      <c r="AK64" s="35"/>
      <c r="AL64" s="35"/>
      <c r="AM64" s="35"/>
      <c r="AN64" s="35"/>
      <c r="AO64" s="35"/>
      <c r="AP64" s="35"/>
      <c r="AQ64" s="35"/>
      <c r="AR64" s="35"/>
      <c r="AS64" s="35"/>
      <c r="AT64" s="35"/>
    </row>
    <row r="65" ht="18.75" customHeight="1">
      <c r="A65" s="92"/>
      <c r="B65" s="94"/>
      <c r="C65" s="95" t="str">
        <f>IFERROR(__xludf.DUMMYFUNCTION("""COMPUTED_VALUE"""),"Team")</f>
        <v>Team</v>
      </c>
      <c r="D65" s="53" t="str">
        <f>IFERROR(__xludf.DUMMYFUNCTION("""COMPUTED_VALUE"""),"Dulles A")</f>
        <v>Dulles A</v>
      </c>
      <c r="F65" s="97" t="str">
        <f>IFERROR(__xludf.DUMMYFUNCTION("""COMPUTED_VALUE"""),"Grand Oaks")</f>
        <v>Grand Oaks</v>
      </c>
      <c r="G65" s="98"/>
      <c r="H65" s="97" t="str">
        <f>IFERROR(__xludf.DUMMYFUNCTION("""COMPUTED_VALUE"""),"Green Hope B")</f>
        <v>Green Hope B</v>
      </c>
      <c r="I65" s="98"/>
      <c r="J65" s="97" t="str">
        <f>IFERROR(__xludf.DUMMYFUNCTION("""COMPUTED_VALUE"""),"Maryville B")</f>
        <v>Maryville B</v>
      </c>
      <c r="K65" s="98"/>
      <c r="L65" s="97" t="str">
        <f>IFERROR(__xludf.DUMMYFUNCTION("""COMPUTED_VALUE"""),"Princeton")</f>
        <v>Princeton</v>
      </c>
      <c r="M65" s="98"/>
      <c r="N65" s="97" t="str">
        <f>IFERROR(__xludf.DUMMYFUNCTION("""COMPUTED_VALUE"""),"BYE")</f>
        <v>BYE</v>
      </c>
      <c r="O65" s="98"/>
      <c r="P65" s="99"/>
      <c r="Q65" s="100" t="str">
        <f>IFERROR(__xludf.DUMMYFUNCTION("""COMPUTED_VALUE"""),"W")</f>
        <v>W</v>
      </c>
      <c r="R65" s="100" t="str">
        <f>IFERROR(__xludf.DUMMYFUNCTION("""COMPUTED_VALUE"""),"T")</f>
        <v>T</v>
      </c>
      <c r="S65" s="100" t="str">
        <f>IFERROR(__xludf.DUMMYFUNCTION("""COMPUTED_VALUE"""),"L")</f>
        <v>L</v>
      </c>
      <c r="T65" s="101" t="str">
        <f>IFERROR(__xludf.DUMMYFUNCTION("""COMPUTED_VALUE"""),"W/L Score")</f>
        <v>W/L Score</v>
      </c>
      <c r="U65" s="100" t="str">
        <f>IFERROR(__xludf.DUMMYFUNCTION("""COMPUTED_VALUE"""),"Points")</f>
        <v>Points</v>
      </c>
      <c r="V65" s="100" t="str">
        <f>IFERROR(__xludf.DUMMYFUNCTION("""COMPUTED_VALUE"""),"Average")</f>
        <v>Average</v>
      </c>
      <c r="W65" s="102" t="str">
        <f>IFERROR(__xludf.DUMMYFUNCTION("""COMPUTED_VALUE"""),"Rank")</f>
        <v>Rank</v>
      </c>
      <c r="X65" s="103"/>
      <c r="Y65" s="35"/>
      <c r="Z65" s="35"/>
      <c r="AA65" s="35"/>
      <c r="AB65" s="35"/>
      <c r="AC65" s="35"/>
      <c r="AD65" s="35"/>
      <c r="AE65" s="53"/>
      <c r="AF65" s="53"/>
      <c r="AG65" s="35"/>
      <c r="AH65" s="53"/>
      <c r="AI65" s="35"/>
      <c r="AJ65" s="90"/>
      <c r="AK65" s="35"/>
      <c r="AL65" s="35"/>
      <c r="AM65" s="35"/>
      <c r="AN65" s="35"/>
      <c r="AO65" s="35"/>
      <c r="AP65" s="35"/>
      <c r="AQ65" s="35"/>
      <c r="AR65" s="35"/>
      <c r="AS65" s="35"/>
      <c r="AT65" s="35"/>
    </row>
    <row r="66" ht="18.75" customHeight="1">
      <c r="A66" s="104"/>
      <c r="B66" s="94"/>
      <c r="C66" s="105" t="str">
        <f>IFERROR(__xludf.DUMMYFUNCTION("""COMPUTED_VALUE"""),"Dulles A")</f>
        <v>Dulles A</v>
      </c>
      <c r="D66" s="106"/>
      <c r="E66" s="107"/>
      <c r="F66" s="108">
        <f>IFERROR(__xludf.DUMMYFUNCTION("""COMPUTED_VALUE"""),254.0)</f>
        <v>254</v>
      </c>
      <c r="G66" s="109" t="str">
        <f>IFERROR(__xludf.DUMMYFUNCTION("""COMPUTED_VALUE"""),"W")</f>
        <v>W</v>
      </c>
      <c r="H66" s="108">
        <f>IFERROR(__xludf.DUMMYFUNCTION("""COMPUTED_VALUE"""),188.0)</f>
        <v>188</v>
      </c>
      <c r="I66" s="109" t="str">
        <f>IFERROR(__xludf.DUMMYFUNCTION("""COMPUTED_VALUE"""),"W")</f>
        <v>W</v>
      </c>
      <c r="J66" s="108">
        <f>IFERROR(__xludf.DUMMYFUNCTION("""COMPUTED_VALUE"""),126.0)</f>
        <v>126</v>
      </c>
      <c r="K66" s="109" t="str">
        <f>IFERROR(__xludf.DUMMYFUNCTION("""COMPUTED_VALUE"""),"W")</f>
        <v>W</v>
      </c>
      <c r="L66" s="108">
        <f>IFERROR(__xludf.DUMMYFUNCTION("""COMPUTED_VALUE"""),208.0)</f>
        <v>208</v>
      </c>
      <c r="M66" s="110" t="str">
        <f>IFERROR(__xludf.DUMMYFUNCTION("""COMPUTED_VALUE"""),"W")</f>
        <v>W</v>
      </c>
      <c r="N66" s="108" t="str">
        <f>IFERROR(__xludf.DUMMYFUNCTION("""COMPUTED_VALUE"""),"")</f>
        <v/>
      </c>
      <c r="O66" s="110" t="str">
        <f>IFERROR(__xludf.DUMMYFUNCTION("""COMPUTED_VALUE"""),"")</f>
        <v/>
      </c>
      <c r="Q66" s="111">
        <f>IFERROR(__xludf.DUMMYFUNCTION("""COMPUTED_VALUE"""),4.0)</f>
        <v>4</v>
      </c>
      <c r="R66" s="112">
        <f>IFERROR(__xludf.DUMMYFUNCTION("""COMPUTED_VALUE"""),0.0)</f>
        <v>0</v>
      </c>
      <c r="S66" s="112">
        <f>IFERROR(__xludf.DUMMYFUNCTION("""COMPUTED_VALUE"""),0.0)</f>
        <v>0</v>
      </c>
      <c r="T66" s="113">
        <f>IFERROR(__xludf.DUMMYFUNCTION("""COMPUTED_VALUE"""),4.0)</f>
        <v>4</v>
      </c>
      <c r="U66" s="114">
        <f>IFERROR(__xludf.DUMMYFUNCTION("""COMPUTED_VALUE"""),776.0)</f>
        <v>776</v>
      </c>
      <c r="V66" s="115">
        <f>IFERROR(__xludf.DUMMYFUNCTION("""COMPUTED_VALUE"""),194.0)</f>
        <v>194</v>
      </c>
      <c r="W66" s="136" t="str">
        <f>IFERROR(__xludf.DUMMYFUNCTION("""COMPUTED_VALUE"""),"1")</f>
        <v>1</v>
      </c>
      <c r="X66" s="117" t="str">
        <f>IFERROR(__xludf.DUMMYFUNCTION("""COMPUTED_VALUE"""),"Dulles A")</f>
        <v>Dulles A</v>
      </c>
      <c r="Y66" s="118">
        <f>IFERROR(__xludf.DUMMYFUNCTION("""COMPUTED_VALUE"""),194.0)</f>
        <v>194</v>
      </c>
      <c r="Z66" s="35"/>
      <c r="AA66" s="35"/>
      <c r="AB66" s="35"/>
      <c r="AC66" s="35"/>
      <c r="AD66" s="35"/>
      <c r="AE66" s="53"/>
      <c r="AF66" s="53"/>
      <c r="AG66" s="35"/>
      <c r="AH66" s="53"/>
      <c r="AI66" s="35"/>
      <c r="AJ66" s="90"/>
      <c r="AK66" s="35"/>
      <c r="AL66" s="35"/>
      <c r="AM66" s="35"/>
      <c r="AN66" s="35"/>
      <c r="AO66" s="35"/>
      <c r="AP66" s="35"/>
      <c r="AQ66" s="35"/>
      <c r="AR66" s="35"/>
      <c r="AS66" s="35"/>
      <c r="AT66" s="35"/>
    </row>
    <row r="67" ht="18.75" customHeight="1">
      <c r="A67" s="53"/>
      <c r="B67" s="94"/>
      <c r="C67" s="121" t="str">
        <f>IFERROR(__xludf.DUMMYFUNCTION("""COMPUTED_VALUE"""),"Grand Oaks")</f>
        <v>Grand Oaks</v>
      </c>
      <c r="D67" s="122">
        <f>IFERROR(__xludf.DUMMYFUNCTION("""COMPUTED_VALUE"""),12.0)</f>
        <v>12</v>
      </c>
      <c r="E67" s="123" t="str">
        <f>IFERROR(__xludf.DUMMYFUNCTION("""COMPUTED_VALUE"""),"L")</f>
        <v>L</v>
      </c>
      <c r="F67" s="124"/>
      <c r="G67" s="125"/>
      <c r="H67" s="108">
        <f>IFERROR(__xludf.DUMMYFUNCTION("""COMPUTED_VALUE"""),54.0)</f>
        <v>54</v>
      </c>
      <c r="I67" s="123" t="str">
        <f>IFERROR(__xludf.DUMMYFUNCTION("""COMPUTED_VALUE"""),"L")</f>
        <v>L</v>
      </c>
      <c r="J67" s="108">
        <f>IFERROR(__xludf.DUMMYFUNCTION("""COMPUTED_VALUE"""),48.0)</f>
        <v>48</v>
      </c>
      <c r="K67" s="123" t="str">
        <f>IFERROR(__xludf.DUMMYFUNCTION("""COMPUTED_VALUE"""),"L")</f>
        <v>L</v>
      </c>
      <c r="L67" s="108">
        <f>IFERROR(__xludf.DUMMYFUNCTION("""COMPUTED_VALUE"""),46.0)</f>
        <v>46</v>
      </c>
      <c r="M67" s="126" t="str">
        <f>IFERROR(__xludf.DUMMYFUNCTION("""COMPUTED_VALUE"""),"L")</f>
        <v>L</v>
      </c>
      <c r="N67" s="108" t="str">
        <f>IFERROR(__xludf.DUMMYFUNCTION("""COMPUTED_VALUE"""),"")</f>
        <v/>
      </c>
      <c r="O67" s="110" t="str">
        <f>IFERROR(__xludf.DUMMYFUNCTION("""COMPUTED_VALUE"""),"")</f>
        <v/>
      </c>
      <c r="Q67" s="111">
        <f>IFERROR(__xludf.DUMMYFUNCTION("""COMPUTED_VALUE"""),0.0)</f>
        <v>0</v>
      </c>
      <c r="R67" s="112">
        <f>IFERROR(__xludf.DUMMYFUNCTION("""COMPUTED_VALUE"""),0.0)</f>
        <v>0</v>
      </c>
      <c r="S67" s="112">
        <f>IFERROR(__xludf.DUMMYFUNCTION("""COMPUTED_VALUE"""),4.0)</f>
        <v>4</v>
      </c>
      <c r="T67" s="113">
        <f>IFERROR(__xludf.DUMMYFUNCTION("""COMPUTED_VALUE"""),0.0)</f>
        <v>0</v>
      </c>
      <c r="U67" s="114">
        <f>IFERROR(__xludf.DUMMYFUNCTION("""COMPUTED_VALUE"""),160.0)</f>
        <v>160</v>
      </c>
      <c r="V67" s="115">
        <f>IFERROR(__xludf.DUMMYFUNCTION("""COMPUTED_VALUE"""),40.0)</f>
        <v>40</v>
      </c>
      <c r="W67" s="116" t="str">
        <f>IFERROR(__xludf.DUMMYFUNCTION("""COMPUTED_VALUE"""),"5")</f>
        <v>5</v>
      </c>
      <c r="X67" s="117" t="str">
        <f>IFERROR(__xludf.DUMMYFUNCTION("""COMPUTED_VALUE"""),"Grand Oaks")</f>
        <v>Grand Oaks</v>
      </c>
      <c r="Y67" s="118">
        <f>IFERROR(__xludf.DUMMYFUNCTION("""COMPUTED_VALUE"""),40.0)</f>
        <v>40</v>
      </c>
      <c r="Z67" s="35"/>
      <c r="AA67" s="35"/>
      <c r="AB67" s="35"/>
      <c r="AC67" s="35"/>
      <c r="AD67" s="35"/>
      <c r="AE67" s="53"/>
      <c r="AF67" s="53"/>
      <c r="AG67" s="35"/>
      <c r="AH67" s="53"/>
      <c r="AI67" s="35"/>
      <c r="AJ67" s="90"/>
      <c r="AK67" s="35"/>
      <c r="AL67" s="35"/>
      <c r="AM67" s="35"/>
      <c r="AN67" s="35"/>
      <c r="AO67" s="35"/>
      <c r="AP67" s="35"/>
      <c r="AQ67" s="35"/>
      <c r="AR67" s="35"/>
      <c r="AS67" s="35"/>
      <c r="AT67" s="35"/>
    </row>
    <row r="68" ht="18.75" customHeight="1">
      <c r="A68" s="53"/>
      <c r="B68" s="94"/>
      <c r="C68" s="121" t="str">
        <f>IFERROR(__xludf.DUMMYFUNCTION("""COMPUTED_VALUE"""),"Green Hope B")</f>
        <v>Green Hope B</v>
      </c>
      <c r="D68" s="122">
        <f>IFERROR(__xludf.DUMMYFUNCTION("""COMPUTED_VALUE"""),72.0)</f>
        <v>72</v>
      </c>
      <c r="E68" s="123" t="str">
        <f>IFERROR(__xludf.DUMMYFUNCTION("""COMPUTED_VALUE"""),"L")</f>
        <v>L</v>
      </c>
      <c r="F68" s="128">
        <f>IFERROR(__xludf.DUMMYFUNCTION("""COMPUTED_VALUE"""),100.0)</f>
        <v>100</v>
      </c>
      <c r="G68" s="123" t="str">
        <f>IFERROR(__xludf.DUMMYFUNCTION("""COMPUTED_VALUE"""),"W")</f>
        <v>W</v>
      </c>
      <c r="H68" s="124"/>
      <c r="I68" s="125"/>
      <c r="J68" s="108">
        <f>IFERROR(__xludf.DUMMYFUNCTION("""COMPUTED_VALUE"""),144.0)</f>
        <v>144</v>
      </c>
      <c r="K68" s="123" t="str">
        <f>IFERROR(__xludf.DUMMYFUNCTION("""COMPUTED_VALUE"""),"W")</f>
        <v>W</v>
      </c>
      <c r="L68" s="108">
        <f>IFERROR(__xludf.DUMMYFUNCTION("""COMPUTED_VALUE"""),98.0)</f>
        <v>98</v>
      </c>
      <c r="M68" s="126" t="str">
        <f>IFERROR(__xludf.DUMMYFUNCTION("""COMPUTED_VALUE"""),"W")</f>
        <v>W</v>
      </c>
      <c r="N68" s="108" t="str">
        <f>IFERROR(__xludf.DUMMYFUNCTION("""COMPUTED_VALUE"""),"")</f>
        <v/>
      </c>
      <c r="O68" s="110" t="str">
        <f>IFERROR(__xludf.DUMMYFUNCTION("""COMPUTED_VALUE"""),"")</f>
        <v/>
      </c>
      <c r="Q68" s="111">
        <f>IFERROR(__xludf.DUMMYFUNCTION("""COMPUTED_VALUE"""),3.0)</f>
        <v>3</v>
      </c>
      <c r="R68" s="112">
        <f>IFERROR(__xludf.DUMMYFUNCTION("""COMPUTED_VALUE"""),0.0)</f>
        <v>0</v>
      </c>
      <c r="S68" s="112">
        <f>IFERROR(__xludf.DUMMYFUNCTION("""COMPUTED_VALUE"""),1.0)</f>
        <v>1</v>
      </c>
      <c r="T68" s="113">
        <f>IFERROR(__xludf.DUMMYFUNCTION("""COMPUTED_VALUE"""),3.0)</f>
        <v>3</v>
      </c>
      <c r="U68" s="114">
        <f>IFERROR(__xludf.DUMMYFUNCTION("""COMPUTED_VALUE"""),414.0)</f>
        <v>414</v>
      </c>
      <c r="V68" s="115">
        <f>IFERROR(__xludf.DUMMYFUNCTION("""COMPUTED_VALUE"""),103.5)</f>
        <v>103.5</v>
      </c>
      <c r="W68" s="136" t="str">
        <f>IFERROR(__xludf.DUMMYFUNCTION("""COMPUTED_VALUE"""),"2")</f>
        <v>2</v>
      </c>
      <c r="X68" s="117" t="str">
        <f>IFERROR(__xludf.DUMMYFUNCTION("""COMPUTED_VALUE"""),"Green Hope B")</f>
        <v>Green Hope B</v>
      </c>
      <c r="Y68" s="118">
        <f>IFERROR(__xludf.DUMMYFUNCTION("""COMPUTED_VALUE"""),103.5)</f>
        <v>103.5</v>
      </c>
      <c r="Z68" s="35"/>
      <c r="AA68" s="35"/>
      <c r="AB68" s="35"/>
      <c r="AC68" s="35"/>
      <c r="AD68" s="35"/>
      <c r="AE68" s="53"/>
      <c r="AF68" s="53"/>
      <c r="AG68" s="35"/>
      <c r="AH68" s="53"/>
      <c r="AI68" s="35"/>
      <c r="AJ68" s="90"/>
      <c r="AK68" s="35"/>
      <c r="AL68" s="35"/>
      <c r="AM68" s="35"/>
      <c r="AN68" s="35"/>
      <c r="AO68" s="35"/>
      <c r="AP68" s="35"/>
      <c r="AQ68" s="35"/>
      <c r="AR68" s="35"/>
      <c r="AS68" s="35"/>
      <c r="AT68" s="35"/>
    </row>
    <row r="69" ht="18.75" customHeight="1">
      <c r="A69" s="53"/>
      <c r="B69" s="94"/>
      <c r="C69" s="121" t="str">
        <f>IFERROR(__xludf.DUMMYFUNCTION("""COMPUTED_VALUE"""),"Maryville B")</f>
        <v>Maryville B</v>
      </c>
      <c r="D69" s="122">
        <f>IFERROR(__xludf.DUMMYFUNCTION("""COMPUTED_VALUE"""),94.0)</f>
        <v>94</v>
      </c>
      <c r="E69" s="123" t="str">
        <f>IFERROR(__xludf.DUMMYFUNCTION("""COMPUTED_VALUE"""),"L")</f>
        <v>L</v>
      </c>
      <c r="F69" s="128">
        <f>IFERROR(__xludf.DUMMYFUNCTION("""COMPUTED_VALUE"""),74.0)</f>
        <v>74</v>
      </c>
      <c r="G69" s="123" t="str">
        <f>IFERROR(__xludf.DUMMYFUNCTION("""COMPUTED_VALUE"""),"W")</f>
        <v>W</v>
      </c>
      <c r="H69" s="128">
        <f>IFERROR(__xludf.DUMMYFUNCTION("""COMPUTED_VALUE"""),86.0)</f>
        <v>86</v>
      </c>
      <c r="I69" s="123" t="str">
        <f>IFERROR(__xludf.DUMMYFUNCTION("""COMPUTED_VALUE"""),"L")</f>
        <v>L</v>
      </c>
      <c r="J69" s="124"/>
      <c r="K69" s="125"/>
      <c r="L69" s="108">
        <f>IFERROR(__xludf.DUMMYFUNCTION("""COMPUTED_VALUE"""),142.0)</f>
        <v>142</v>
      </c>
      <c r="M69" s="126" t="str">
        <f>IFERROR(__xludf.DUMMYFUNCTION("""COMPUTED_VALUE"""),"W")</f>
        <v>W</v>
      </c>
      <c r="N69" s="108" t="str">
        <f>IFERROR(__xludf.DUMMYFUNCTION("""COMPUTED_VALUE"""),"")</f>
        <v/>
      </c>
      <c r="O69" s="110" t="str">
        <f>IFERROR(__xludf.DUMMYFUNCTION("""COMPUTED_VALUE"""),"")</f>
        <v/>
      </c>
      <c r="Q69" s="111">
        <f>IFERROR(__xludf.DUMMYFUNCTION("""COMPUTED_VALUE"""),2.0)</f>
        <v>2</v>
      </c>
      <c r="R69" s="112">
        <f>IFERROR(__xludf.DUMMYFUNCTION("""COMPUTED_VALUE"""),0.0)</f>
        <v>0</v>
      </c>
      <c r="S69" s="112">
        <f>IFERROR(__xludf.DUMMYFUNCTION("""COMPUTED_VALUE"""),2.0)</f>
        <v>2</v>
      </c>
      <c r="T69" s="113">
        <f>IFERROR(__xludf.DUMMYFUNCTION("""COMPUTED_VALUE"""),2.0)</f>
        <v>2</v>
      </c>
      <c r="U69" s="114">
        <f>IFERROR(__xludf.DUMMYFUNCTION("""COMPUTED_VALUE"""),396.0)</f>
        <v>396</v>
      </c>
      <c r="V69" s="115">
        <f>IFERROR(__xludf.DUMMYFUNCTION("""COMPUTED_VALUE"""),99.0)</f>
        <v>99</v>
      </c>
      <c r="W69" s="116" t="str">
        <f>IFERROR(__xludf.DUMMYFUNCTION("""COMPUTED_VALUE"""),"3")</f>
        <v>3</v>
      </c>
      <c r="X69" s="117" t="str">
        <f>IFERROR(__xludf.DUMMYFUNCTION("""COMPUTED_VALUE"""),"Maryville B")</f>
        <v>Maryville B</v>
      </c>
      <c r="Y69" s="118">
        <f>IFERROR(__xludf.DUMMYFUNCTION("""COMPUTED_VALUE"""),99.0)</f>
        <v>99</v>
      </c>
      <c r="Z69" s="35"/>
      <c r="AA69" s="35"/>
      <c r="AB69" s="35"/>
      <c r="AC69" s="35"/>
      <c r="AD69" s="35"/>
      <c r="AE69" s="53"/>
      <c r="AF69" s="53"/>
      <c r="AG69" s="35"/>
      <c r="AH69" s="53"/>
      <c r="AI69" s="35"/>
      <c r="AJ69" s="90"/>
      <c r="AK69" s="35"/>
      <c r="AL69" s="35"/>
      <c r="AM69" s="35"/>
      <c r="AN69" s="35"/>
      <c r="AO69" s="35"/>
      <c r="AP69" s="35"/>
      <c r="AQ69" s="35"/>
      <c r="AR69" s="35"/>
      <c r="AS69" s="35"/>
      <c r="AT69" s="35"/>
    </row>
    <row r="70" ht="18.75" customHeight="1">
      <c r="A70" s="53"/>
      <c r="B70" s="94"/>
      <c r="C70" s="121" t="str">
        <f>IFERROR(__xludf.DUMMYFUNCTION("""COMPUTED_VALUE"""),"Princeton")</f>
        <v>Princeton</v>
      </c>
      <c r="D70" s="122">
        <f>IFERROR(__xludf.DUMMYFUNCTION("""COMPUTED_VALUE"""),68.0)</f>
        <v>68</v>
      </c>
      <c r="E70" s="133" t="str">
        <f>IFERROR(__xludf.DUMMYFUNCTION("""COMPUTED_VALUE"""),"L")</f>
        <v>L</v>
      </c>
      <c r="F70" s="128">
        <f>IFERROR(__xludf.DUMMYFUNCTION("""COMPUTED_VALUE"""),152.0)</f>
        <v>152</v>
      </c>
      <c r="G70" s="133" t="str">
        <f>IFERROR(__xludf.DUMMYFUNCTION("""COMPUTED_VALUE"""),"W")</f>
        <v>W</v>
      </c>
      <c r="H70" s="128">
        <f>IFERROR(__xludf.DUMMYFUNCTION("""COMPUTED_VALUE"""),38.0)</f>
        <v>38</v>
      </c>
      <c r="I70" s="133" t="str">
        <f>IFERROR(__xludf.DUMMYFUNCTION("""COMPUTED_VALUE"""),"L")</f>
        <v>L</v>
      </c>
      <c r="J70" s="128">
        <f>IFERROR(__xludf.DUMMYFUNCTION("""COMPUTED_VALUE"""),66.0)</f>
        <v>66</v>
      </c>
      <c r="K70" s="133" t="str">
        <f>IFERROR(__xludf.DUMMYFUNCTION("""COMPUTED_VALUE"""),"L")</f>
        <v>L</v>
      </c>
      <c r="L70" s="134"/>
      <c r="M70" s="135"/>
      <c r="N70" s="108" t="str">
        <f>IFERROR(__xludf.DUMMYFUNCTION("""COMPUTED_VALUE"""),"")</f>
        <v/>
      </c>
      <c r="O70" s="110" t="str">
        <f>IFERROR(__xludf.DUMMYFUNCTION("""COMPUTED_VALUE"""),"")</f>
        <v/>
      </c>
      <c r="Q70" s="111">
        <f>IFERROR(__xludf.DUMMYFUNCTION("""COMPUTED_VALUE"""),1.0)</f>
        <v>1</v>
      </c>
      <c r="R70" s="112">
        <f>IFERROR(__xludf.DUMMYFUNCTION("""COMPUTED_VALUE"""),0.0)</f>
        <v>0</v>
      </c>
      <c r="S70" s="112">
        <f>IFERROR(__xludf.DUMMYFUNCTION("""COMPUTED_VALUE"""),3.0)</f>
        <v>3</v>
      </c>
      <c r="T70" s="113">
        <f>IFERROR(__xludf.DUMMYFUNCTION("""COMPUTED_VALUE"""),1.0)</f>
        <v>1</v>
      </c>
      <c r="U70" s="114">
        <f>IFERROR(__xludf.DUMMYFUNCTION("""COMPUTED_VALUE"""),324.0)</f>
        <v>324</v>
      </c>
      <c r="V70" s="115">
        <f>IFERROR(__xludf.DUMMYFUNCTION("""COMPUTED_VALUE"""),81.0)</f>
        <v>81</v>
      </c>
      <c r="W70" s="136" t="str">
        <f>IFERROR(__xludf.DUMMYFUNCTION("""COMPUTED_VALUE"""),"4")</f>
        <v>4</v>
      </c>
      <c r="X70" s="117" t="str">
        <f>IFERROR(__xludf.DUMMYFUNCTION("""COMPUTED_VALUE"""),"Princeton")</f>
        <v>Princeton</v>
      </c>
      <c r="Y70" s="118">
        <f>IFERROR(__xludf.DUMMYFUNCTION("""COMPUTED_VALUE"""),81.0)</f>
        <v>81</v>
      </c>
      <c r="Z70" s="35"/>
      <c r="AA70" s="35"/>
      <c r="AB70" s="35"/>
      <c r="AC70" s="35"/>
      <c r="AD70" s="35"/>
      <c r="AE70" s="53"/>
      <c r="AF70" s="53"/>
      <c r="AG70" s="35"/>
      <c r="AH70" s="53"/>
      <c r="AI70" s="35"/>
      <c r="AJ70" s="90"/>
      <c r="AK70" s="35"/>
      <c r="AL70" s="35"/>
      <c r="AM70" s="35"/>
      <c r="AN70" s="35"/>
      <c r="AO70" s="35"/>
      <c r="AP70" s="35"/>
      <c r="AQ70" s="35"/>
      <c r="AR70" s="35"/>
      <c r="AS70" s="35"/>
      <c r="AT70" s="35"/>
    </row>
    <row r="71" ht="18.75" customHeight="1">
      <c r="A71" s="53"/>
      <c r="B71" s="94"/>
      <c r="C71" s="121" t="str">
        <f>IFERROR(__xludf.DUMMYFUNCTION("""COMPUTED_VALUE"""),"BYE")</f>
        <v>BYE</v>
      </c>
      <c r="D71" s="122" t="str">
        <f>IFERROR(__xludf.DUMMYFUNCTION("""COMPUTED_VALUE"""),"")</f>
        <v/>
      </c>
      <c r="E71" s="133" t="str">
        <f>IFERROR(__xludf.DUMMYFUNCTION("""COMPUTED_VALUE"""),"")</f>
        <v/>
      </c>
      <c r="F71" s="128" t="str">
        <f>IFERROR(__xludf.DUMMYFUNCTION("""COMPUTED_VALUE"""),"")</f>
        <v/>
      </c>
      <c r="G71" s="133" t="str">
        <f>IFERROR(__xludf.DUMMYFUNCTION("""COMPUTED_VALUE"""),"")</f>
        <v/>
      </c>
      <c r="H71" s="128" t="str">
        <f>IFERROR(__xludf.DUMMYFUNCTION("""COMPUTED_VALUE"""),"")</f>
        <v/>
      </c>
      <c r="I71" s="123" t="str">
        <f>IFERROR(__xludf.DUMMYFUNCTION("""COMPUTED_VALUE"""),"")</f>
        <v/>
      </c>
      <c r="J71" s="128" t="str">
        <f>IFERROR(__xludf.DUMMYFUNCTION("""COMPUTED_VALUE"""),"")</f>
        <v/>
      </c>
      <c r="K71" s="133" t="str">
        <f>IFERROR(__xludf.DUMMYFUNCTION("""COMPUTED_VALUE"""),"")</f>
        <v/>
      </c>
      <c r="L71" s="128" t="str">
        <f>IFERROR(__xludf.DUMMYFUNCTION("""COMPUTED_VALUE"""),"")</f>
        <v/>
      </c>
      <c r="M71" s="133" t="str">
        <f>IFERROR(__xludf.DUMMYFUNCTION("""COMPUTED_VALUE"""),"")</f>
        <v/>
      </c>
      <c r="N71" s="137"/>
      <c r="O71" s="138"/>
      <c r="P71" s="99"/>
      <c r="Q71" s="111">
        <f>IFERROR(__xludf.DUMMYFUNCTION("""COMPUTED_VALUE"""),0.0)</f>
        <v>0</v>
      </c>
      <c r="R71" s="112">
        <f>IFERROR(__xludf.DUMMYFUNCTION("""COMPUTED_VALUE"""),0.0)</f>
        <v>0</v>
      </c>
      <c r="S71" s="112">
        <f>IFERROR(__xludf.DUMMYFUNCTION("""COMPUTED_VALUE"""),0.0)</f>
        <v>0</v>
      </c>
      <c r="T71" s="113">
        <f>IFERROR(__xludf.DUMMYFUNCTION("""COMPUTED_VALUE"""),0.0)</f>
        <v>0</v>
      </c>
      <c r="U71" s="114">
        <f>IFERROR(__xludf.DUMMYFUNCTION("""COMPUTED_VALUE"""),0.0)</f>
        <v>0</v>
      </c>
      <c r="V71" s="115" t="str">
        <f>IFERROR(__xludf.DUMMYFUNCTION("""COMPUTED_VALUE"""),"")</f>
        <v/>
      </c>
      <c r="W71" s="136"/>
      <c r="X71" s="117" t="str">
        <f>IFERROR(__xludf.DUMMYFUNCTION("""COMPUTED_VALUE"""),"BYE")</f>
        <v>BYE</v>
      </c>
      <c r="Y71" s="118" t="str">
        <f>IFERROR(__xludf.DUMMYFUNCTION("""COMPUTED_VALUE"""),"")</f>
        <v/>
      </c>
      <c r="Z71" s="35"/>
      <c r="AA71" s="35"/>
      <c r="AB71" s="35"/>
      <c r="AC71" s="35"/>
      <c r="AD71" s="35"/>
      <c r="AE71" s="53"/>
      <c r="AF71" s="53"/>
      <c r="AG71" s="35"/>
      <c r="AH71" s="53"/>
      <c r="AI71" s="35"/>
      <c r="AJ71" s="90"/>
      <c r="AK71" s="35"/>
      <c r="AL71" s="35"/>
      <c r="AM71" s="35"/>
      <c r="AN71" s="35"/>
      <c r="AO71" s="35"/>
      <c r="AP71" s="35"/>
      <c r="AQ71" s="35"/>
      <c r="AR71" s="35"/>
      <c r="AS71" s="35"/>
      <c r="AT71" s="35"/>
    </row>
    <row r="72" ht="18.75" customHeight="1">
      <c r="A72" s="35"/>
      <c r="B72" s="139"/>
      <c r="C72" s="14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141"/>
      <c r="Y72" s="35"/>
      <c r="Z72" s="35"/>
      <c r="AA72" s="35"/>
      <c r="AB72" s="35"/>
      <c r="AC72" s="35"/>
      <c r="AD72" s="35"/>
      <c r="AE72" s="53"/>
      <c r="AF72" s="53"/>
      <c r="AG72" s="35"/>
      <c r="AH72" s="53"/>
      <c r="AI72" s="35"/>
      <c r="AJ72" s="90"/>
      <c r="AK72" s="35"/>
      <c r="AL72" s="35"/>
      <c r="AM72" s="35"/>
      <c r="AN72" s="35"/>
      <c r="AO72" s="35"/>
      <c r="AP72" s="35"/>
      <c r="AQ72" s="35"/>
      <c r="AR72" s="35"/>
      <c r="AS72" s="35"/>
      <c r="AT72" s="35"/>
    </row>
    <row r="73" ht="18.75" customHeight="1">
      <c r="A73" s="53"/>
      <c r="B73" s="53"/>
      <c r="C73" s="53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143"/>
      <c r="U73" s="35"/>
      <c r="V73" s="35"/>
      <c r="W73" s="64"/>
      <c r="X73" s="35"/>
      <c r="Y73" s="35"/>
      <c r="Z73" s="35"/>
      <c r="AA73" s="35"/>
      <c r="AB73" s="35"/>
      <c r="AC73" s="35"/>
      <c r="AD73" s="35"/>
      <c r="AE73" s="53"/>
      <c r="AF73" s="53"/>
      <c r="AG73" s="35"/>
      <c r="AH73" s="53"/>
      <c r="AI73" s="35"/>
      <c r="AJ73" s="90"/>
      <c r="AK73" s="35"/>
      <c r="AL73" s="35"/>
      <c r="AM73" s="35"/>
      <c r="AN73" s="35"/>
      <c r="AO73" s="35"/>
      <c r="AP73" s="35"/>
      <c r="AQ73" s="35"/>
      <c r="AR73" s="35"/>
      <c r="AS73" s="35"/>
      <c r="AT73" s="35"/>
    </row>
    <row r="74" ht="18.75" customHeight="1">
      <c r="A74" s="53"/>
      <c r="B74" s="53"/>
      <c r="C74" s="53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143"/>
      <c r="U74" s="35"/>
      <c r="V74" s="35"/>
      <c r="W74" s="64"/>
      <c r="X74" s="35"/>
      <c r="Y74" s="35"/>
      <c r="Z74" s="35"/>
      <c r="AA74" s="35"/>
      <c r="AB74" s="35"/>
      <c r="AC74" s="35"/>
      <c r="AD74" s="35"/>
      <c r="AE74" s="53"/>
      <c r="AF74" s="53"/>
      <c r="AG74" s="35"/>
      <c r="AH74" s="53"/>
      <c r="AI74" s="35"/>
      <c r="AJ74" s="90"/>
      <c r="AK74" s="35"/>
      <c r="AL74" s="35"/>
      <c r="AM74" s="35"/>
      <c r="AN74" s="35"/>
      <c r="AO74" s="35"/>
      <c r="AP74" s="35"/>
      <c r="AQ74" s="35"/>
      <c r="AR74" s="35"/>
      <c r="AS74" s="35"/>
      <c r="AT74" s="35"/>
    </row>
    <row r="75" ht="18.75" customHeight="1">
      <c r="A75" s="73"/>
      <c r="B75" s="73"/>
      <c r="C75" s="73" t="str">
        <f>IFERROR(__xludf.DUMMYFUNCTION("""COMPUTED_VALUE"""),"Goodall")</f>
        <v>Goodall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74"/>
      <c r="U75" s="10"/>
      <c r="V75" s="10"/>
      <c r="W75" s="76"/>
      <c r="X75" s="10"/>
      <c r="Y75" s="35"/>
      <c r="Z75" s="35"/>
      <c r="AA75" s="35"/>
      <c r="AB75" s="35"/>
      <c r="AC75" s="35"/>
      <c r="AD75" s="35"/>
      <c r="AE75" s="53"/>
      <c r="AF75" s="53"/>
      <c r="AG75" s="35"/>
      <c r="AH75" s="53"/>
      <c r="AI75" s="35"/>
      <c r="AJ75" s="90"/>
      <c r="AK75" s="35"/>
      <c r="AL75" s="35"/>
      <c r="AM75" s="35"/>
      <c r="AN75" s="35"/>
      <c r="AO75" s="35"/>
      <c r="AP75" s="35"/>
      <c r="AQ75" s="35"/>
      <c r="AR75" s="35"/>
      <c r="AS75" s="35"/>
      <c r="AT75" s="35"/>
    </row>
    <row r="76" ht="18.75" customHeight="1">
      <c r="A76" s="35"/>
      <c r="B76" s="80"/>
      <c r="C76" s="82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7"/>
      <c r="Y76" s="35"/>
      <c r="Z76" s="35"/>
      <c r="AA76" s="35"/>
      <c r="AB76" s="35"/>
      <c r="AC76" s="35"/>
      <c r="AD76" s="35"/>
      <c r="AE76" s="53"/>
      <c r="AF76" s="53"/>
      <c r="AG76" s="35"/>
      <c r="AH76" s="53"/>
      <c r="AI76" s="35"/>
      <c r="AJ76" s="90"/>
      <c r="AK76" s="35"/>
      <c r="AL76" s="35"/>
      <c r="AM76" s="35"/>
      <c r="AN76" s="35"/>
      <c r="AO76" s="35"/>
      <c r="AP76" s="35"/>
      <c r="AQ76" s="35"/>
      <c r="AR76" s="35"/>
      <c r="AS76" s="35"/>
      <c r="AT76" s="35"/>
    </row>
    <row r="77" ht="18.75" customHeight="1">
      <c r="A77" s="92"/>
      <c r="B77" s="94"/>
      <c r="C77" s="95" t="str">
        <f>IFERROR(__xludf.DUMMYFUNCTION("""COMPUTED_VALUE"""),"Team")</f>
        <v>Team</v>
      </c>
      <c r="D77" s="53" t="str">
        <f>IFERROR(__xludf.DUMMYFUNCTION("""COMPUTED_VALUE"""),"BRHS")</f>
        <v>BRHS</v>
      </c>
      <c r="F77" s="97" t="str">
        <f>IFERROR(__xludf.DUMMYFUNCTION("""COMPUTED_VALUE"""),"Edison B")</f>
        <v>Edison B</v>
      </c>
      <c r="G77" s="98"/>
      <c r="H77" s="97" t="str">
        <f>IFERROR(__xludf.DUMMYFUNCTION("""COMPUTED_VALUE"""),"John Adams")</f>
        <v>John Adams</v>
      </c>
      <c r="I77" s="98"/>
      <c r="J77" s="97" t="str">
        <f>IFERROR(__xludf.DUMMYFUNCTION("""COMPUTED_VALUE"""),"JP Stevens A")</f>
        <v>JP Stevens A</v>
      </c>
      <c r="K77" s="98"/>
      <c r="L77" s="97" t="str">
        <f>IFERROR(__xludf.DUMMYFUNCTION("""COMPUTED_VALUE"""),"Wayland A")</f>
        <v>Wayland A</v>
      </c>
      <c r="M77" s="98"/>
      <c r="N77" s="97" t="str">
        <f>IFERROR(__xludf.DUMMYFUNCTION("""COMPUTED_VALUE"""),"BYE")</f>
        <v>BYE</v>
      </c>
      <c r="O77" s="98"/>
      <c r="P77" s="99"/>
      <c r="Q77" s="100" t="str">
        <f>IFERROR(__xludf.DUMMYFUNCTION("""COMPUTED_VALUE"""),"W")</f>
        <v>W</v>
      </c>
      <c r="R77" s="100" t="str">
        <f>IFERROR(__xludf.DUMMYFUNCTION("""COMPUTED_VALUE"""),"T")</f>
        <v>T</v>
      </c>
      <c r="S77" s="100" t="str">
        <f>IFERROR(__xludf.DUMMYFUNCTION("""COMPUTED_VALUE"""),"L")</f>
        <v>L</v>
      </c>
      <c r="T77" s="101" t="str">
        <f>IFERROR(__xludf.DUMMYFUNCTION("""COMPUTED_VALUE"""),"W/L Score")</f>
        <v>W/L Score</v>
      </c>
      <c r="U77" s="100" t="str">
        <f>IFERROR(__xludf.DUMMYFUNCTION("""COMPUTED_VALUE"""),"Points")</f>
        <v>Points</v>
      </c>
      <c r="V77" s="100" t="str">
        <f>IFERROR(__xludf.DUMMYFUNCTION("""COMPUTED_VALUE"""),"Average")</f>
        <v>Average</v>
      </c>
      <c r="W77" s="102" t="str">
        <f>IFERROR(__xludf.DUMMYFUNCTION("""COMPUTED_VALUE"""),"Rank")</f>
        <v>Rank</v>
      </c>
      <c r="X77" s="103"/>
      <c r="Y77" s="35"/>
      <c r="Z77" s="35"/>
      <c r="AA77" s="35"/>
      <c r="AB77" s="35"/>
      <c r="AC77" s="35"/>
      <c r="AD77" s="35"/>
      <c r="AE77" s="53"/>
      <c r="AF77" s="53"/>
      <c r="AG77" s="35"/>
      <c r="AH77" s="53"/>
      <c r="AI77" s="35"/>
      <c r="AJ77" s="90"/>
      <c r="AK77" s="35"/>
      <c r="AL77" s="35"/>
      <c r="AM77" s="35"/>
      <c r="AN77" s="35"/>
      <c r="AO77" s="35"/>
      <c r="AP77" s="35"/>
      <c r="AQ77" s="35"/>
      <c r="AR77" s="35"/>
      <c r="AS77" s="35"/>
      <c r="AT77" s="35"/>
    </row>
    <row r="78" ht="18.75" customHeight="1">
      <c r="A78" s="104"/>
      <c r="B78" s="94"/>
      <c r="C78" s="105" t="str">
        <f>IFERROR(__xludf.DUMMYFUNCTION("""COMPUTED_VALUE"""),"BRHS")</f>
        <v>BRHS</v>
      </c>
      <c r="D78" s="106"/>
      <c r="E78" s="107"/>
      <c r="F78" s="108">
        <f>IFERROR(__xludf.DUMMYFUNCTION("""COMPUTED_VALUE"""),110.0)</f>
        <v>110</v>
      </c>
      <c r="G78" s="109" t="str">
        <f>IFERROR(__xludf.DUMMYFUNCTION("""COMPUTED_VALUE"""),"W")</f>
        <v>W</v>
      </c>
      <c r="H78" s="108">
        <f>IFERROR(__xludf.DUMMYFUNCTION("""COMPUTED_VALUE"""),30.0)</f>
        <v>30</v>
      </c>
      <c r="I78" s="109" t="str">
        <f>IFERROR(__xludf.DUMMYFUNCTION("""COMPUTED_VALUE"""),"L")</f>
        <v>L</v>
      </c>
      <c r="J78" s="108">
        <f>IFERROR(__xludf.DUMMYFUNCTION("""COMPUTED_VALUE"""),28.0)</f>
        <v>28</v>
      </c>
      <c r="K78" s="109" t="str">
        <f>IFERROR(__xludf.DUMMYFUNCTION("""COMPUTED_VALUE"""),"L")</f>
        <v>L</v>
      </c>
      <c r="L78" s="108">
        <f>IFERROR(__xludf.DUMMYFUNCTION("""COMPUTED_VALUE"""),86.0)</f>
        <v>86</v>
      </c>
      <c r="M78" s="110" t="str">
        <f>IFERROR(__xludf.DUMMYFUNCTION("""COMPUTED_VALUE"""),"L")</f>
        <v>L</v>
      </c>
      <c r="N78" s="108" t="str">
        <f>IFERROR(__xludf.DUMMYFUNCTION("""COMPUTED_VALUE"""),"")</f>
        <v/>
      </c>
      <c r="O78" s="110" t="str">
        <f>IFERROR(__xludf.DUMMYFUNCTION("""COMPUTED_VALUE"""),"")</f>
        <v/>
      </c>
      <c r="Q78" s="111">
        <f>IFERROR(__xludf.DUMMYFUNCTION("""COMPUTED_VALUE"""),1.0)</f>
        <v>1</v>
      </c>
      <c r="R78" s="112">
        <f>IFERROR(__xludf.DUMMYFUNCTION("""COMPUTED_VALUE"""),0.0)</f>
        <v>0</v>
      </c>
      <c r="S78" s="112">
        <f>IFERROR(__xludf.DUMMYFUNCTION("""COMPUTED_VALUE"""),3.0)</f>
        <v>3</v>
      </c>
      <c r="T78" s="113">
        <f>IFERROR(__xludf.DUMMYFUNCTION("""COMPUTED_VALUE"""),1.0)</f>
        <v>1</v>
      </c>
      <c r="U78" s="114">
        <f>IFERROR(__xludf.DUMMYFUNCTION("""COMPUTED_VALUE"""),254.0)</f>
        <v>254</v>
      </c>
      <c r="V78" s="115">
        <f>IFERROR(__xludf.DUMMYFUNCTION("""COMPUTED_VALUE"""),63.5)</f>
        <v>63.5</v>
      </c>
      <c r="W78" s="136" t="str">
        <f>IFERROR(__xludf.DUMMYFUNCTION("""COMPUTED_VALUE"""),"4")</f>
        <v>4</v>
      </c>
      <c r="X78" s="117" t="str">
        <f>IFERROR(__xludf.DUMMYFUNCTION("""COMPUTED_VALUE"""),"BRHS")</f>
        <v>BRHS</v>
      </c>
      <c r="Y78" s="118">
        <f>IFERROR(__xludf.DUMMYFUNCTION("""COMPUTED_VALUE"""),63.5)</f>
        <v>63.5</v>
      </c>
      <c r="Z78" s="35"/>
      <c r="AA78" s="35"/>
      <c r="AB78" s="35"/>
      <c r="AC78" s="35"/>
      <c r="AD78" s="35"/>
      <c r="AE78" s="53"/>
      <c r="AF78" s="53"/>
      <c r="AG78" s="35"/>
      <c r="AH78" s="53"/>
      <c r="AI78" s="35"/>
      <c r="AJ78" s="90"/>
      <c r="AK78" s="35"/>
      <c r="AL78" s="35"/>
      <c r="AM78" s="35"/>
      <c r="AN78" s="35"/>
      <c r="AO78" s="35"/>
      <c r="AP78" s="35"/>
      <c r="AQ78" s="35"/>
      <c r="AR78" s="35"/>
      <c r="AS78" s="35"/>
      <c r="AT78" s="35"/>
    </row>
    <row r="79" ht="18.75" customHeight="1">
      <c r="A79" s="53"/>
      <c r="B79" s="94"/>
      <c r="C79" s="121" t="str">
        <f>IFERROR(__xludf.DUMMYFUNCTION("""COMPUTED_VALUE"""),"Edison B")</f>
        <v>Edison B</v>
      </c>
      <c r="D79" s="122">
        <f>IFERROR(__xludf.DUMMYFUNCTION("""COMPUTED_VALUE"""),84.0)</f>
        <v>84</v>
      </c>
      <c r="E79" s="123" t="str">
        <f>IFERROR(__xludf.DUMMYFUNCTION("""COMPUTED_VALUE"""),"L")</f>
        <v>L</v>
      </c>
      <c r="F79" s="124"/>
      <c r="G79" s="125"/>
      <c r="H79" s="108">
        <f>IFERROR(__xludf.DUMMYFUNCTION("""COMPUTED_VALUE"""),118.0)</f>
        <v>118</v>
      </c>
      <c r="I79" s="123" t="str">
        <f>IFERROR(__xludf.DUMMYFUNCTION("""COMPUTED_VALUE"""),"W")</f>
        <v>W</v>
      </c>
      <c r="J79" s="108">
        <f>IFERROR(__xludf.DUMMYFUNCTION("""COMPUTED_VALUE"""),52.0)</f>
        <v>52</v>
      </c>
      <c r="K79" s="123" t="str">
        <f>IFERROR(__xludf.DUMMYFUNCTION("""COMPUTED_VALUE"""),"L")</f>
        <v>L</v>
      </c>
      <c r="L79" s="108">
        <f>IFERROR(__xludf.DUMMYFUNCTION("""COMPUTED_VALUE"""),100.0)</f>
        <v>100</v>
      </c>
      <c r="M79" s="126" t="str">
        <f>IFERROR(__xludf.DUMMYFUNCTION("""COMPUTED_VALUE"""),"W")</f>
        <v>W</v>
      </c>
      <c r="N79" s="108" t="str">
        <f>IFERROR(__xludf.DUMMYFUNCTION("""COMPUTED_VALUE"""),"")</f>
        <v/>
      </c>
      <c r="O79" s="110" t="str">
        <f>IFERROR(__xludf.DUMMYFUNCTION("""COMPUTED_VALUE"""),"")</f>
        <v/>
      </c>
      <c r="Q79" s="111">
        <f>IFERROR(__xludf.DUMMYFUNCTION("""COMPUTED_VALUE"""),2.0)</f>
        <v>2</v>
      </c>
      <c r="R79" s="112">
        <f>IFERROR(__xludf.DUMMYFUNCTION("""COMPUTED_VALUE"""),0.0)</f>
        <v>0</v>
      </c>
      <c r="S79" s="112">
        <f>IFERROR(__xludf.DUMMYFUNCTION("""COMPUTED_VALUE"""),2.0)</f>
        <v>2</v>
      </c>
      <c r="T79" s="113">
        <f>IFERROR(__xludf.DUMMYFUNCTION("""COMPUTED_VALUE"""),2.0)</f>
        <v>2</v>
      </c>
      <c r="U79" s="114">
        <f>IFERROR(__xludf.DUMMYFUNCTION("""COMPUTED_VALUE"""),354.0)</f>
        <v>354</v>
      </c>
      <c r="V79" s="115">
        <f>IFERROR(__xludf.DUMMYFUNCTION("""COMPUTED_VALUE"""),88.5)</f>
        <v>88.5</v>
      </c>
      <c r="W79" s="116" t="str">
        <f>IFERROR(__xludf.DUMMYFUNCTION("""COMPUTED_VALUE"""),"2")</f>
        <v>2</v>
      </c>
      <c r="X79" s="117" t="str">
        <f>IFERROR(__xludf.DUMMYFUNCTION("""COMPUTED_VALUE"""),"Edison B")</f>
        <v>Edison B</v>
      </c>
      <c r="Y79" s="118">
        <f>IFERROR(__xludf.DUMMYFUNCTION("""COMPUTED_VALUE"""),88.5)</f>
        <v>88.5</v>
      </c>
      <c r="Z79" s="35"/>
      <c r="AA79" s="35"/>
      <c r="AB79" s="35"/>
      <c r="AC79" s="35"/>
      <c r="AD79" s="35"/>
      <c r="AE79" s="53"/>
      <c r="AF79" s="53"/>
      <c r="AG79" s="35"/>
      <c r="AH79" s="53"/>
      <c r="AI79" s="35"/>
      <c r="AJ79" s="90"/>
      <c r="AK79" s="35"/>
      <c r="AL79" s="35"/>
      <c r="AM79" s="35"/>
      <c r="AN79" s="35"/>
      <c r="AO79" s="35"/>
      <c r="AP79" s="35"/>
      <c r="AQ79" s="35"/>
      <c r="AR79" s="35"/>
      <c r="AS79" s="35"/>
      <c r="AT79" s="35"/>
    </row>
    <row r="80" ht="18.75" customHeight="1">
      <c r="A80" s="53"/>
      <c r="B80" s="94"/>
      <c r="C80" s="121" t="str">
        <f>IFERROR(__xludf.DUMMYFUNCTION("""COMPUTED_VALUE"""),"John Adams")</f>
        <v>John Adams</v>
      </c>
      <c r="D80" s="122">
        <f>IFERROR(__xludf.DUMMYFUNCTION("""COMPUTED_VALUE"""),84.0)</f>
        <v>84</v>
      </c>
      <c r="E80" s="123" t="str">
        <f>IFERROR(__xludf.DUMMYFUNCTION("""COMPUTED_VALUE"""),"W")</f>
        <v>W</v>
      </c>
      <c r="F80" s="128">
        <f>IFERROR(__xludf.DUMMYFUNCTION("""COMPUTED_VALUE"""),44.0)</f>
        <v>44</v>
      </c>
      <c r="G80" s="123" t="str">
        <f>IFERROR(__xludf.DUMMYFUNCTION("""COMPUTED_VALUE"""),"L")</f>
        <v>L</v>
      </c>
      <c r="H80" s="124"/>
      <c r="I80" s="125"/>
      <c r="J80" s="108">
        <f>IFERROR(__xludf.DUMMYFUNCTION("""COMPUTED_VALUE"""),12.0)</f>
        <v>12</v>
      </c>
      <c r="K80" s="123" t="str">
        <f>IFERROR(__xludf.DUMMYFUNCTION("""COMPUTED_VALUE"""),"L")</f>
        <v>L</v>
      </c>
      <c r="L80" s="108">
        <f>IFERROR(__xludf.DUMMYFUNCTION("""COMPUTED_VALUE"""),72.0)</f>
        <v>72</v>
      </c>
      <c r="M80" s="126" t="str">
        <f>IFERROR(__xludf.DUMMYFUNCTION("""COMPUTED_VALUE"""),"L")</f>
        <v>L</v>
      </c>
      <c r="N80" s="108" t="str">
        <f>IFERROR(__xludf.DUMMYFUNCTION("""COMPUTED_VALUE"""),"")</f>
        <v/>
      </c>
      <c r="O80" s="110" t="str">
        <f>IFERROR(__xludf.DUMMYFUNCTION("""COMPUTED_VALUE"""),"")</f>
        <v/>
      </c>
      <c r="Q80" s="111">
        <f>IFERROR(__xludf.DUMMYFUNCTION("""COMPUTED_VALUE"""),1.0)</f>
        <v>1</v>
      </c>
      <c r="R80" s="112">
        <f>IFERROR(__xludf.DUMMYFUNCTION("""COMPUTED_VALUE"""),0.0)</f>
        <v>0</v>
      </c>
      <c r="S80" s="112">
        <f>IFERROR(__xludf.DUMMYFUNCTION("""COMPUTED_VALUE"""),3.0)</f>
        <v>3</v>
      </c>
      <c r="T80" s="113">
        <f>IFERROR(__xludf.DUMMYFUNCTION("""COMPUTED_VALUE"""),1.0)</f>
        <v>1</v>
      </c>
      <c r="U80" s="114">
        <f>IFERROR(__xludf.DUMMYFUNCTION("""COMPUTED_VALUE"""),212.0)</f>
        <v>212</v>
      </c>
      <c r="V80" s="115">
        <f>IFERROR(__xludf.DUMMYFUNCTION("""COMPUTED_VALUE"""),53.0)</f>
        <v>53</v>
      </c>
      <c r="W80" s="136" t="str">
        <f>IFERROR(__xludf.DUMMYFUNCTION("""COMPUTED_VALUE"""),"5")</f>
        <v>5</v>
      </c>
      <c r="X80" s="117" t="str">
        <f>IFERROR(__xludf.DUMMYFUNCTION("""COMPUTED_VALUE"""),"John Adams")</f>
        <v>John Adams</v>
      </c>
      <c r="Y80" s="118">
        <f>IFERROR(__xludf.DUMMYFUNCTION("""COMPUTED_VALUE"""),53.0)</f>
        <v>53</v>
      </c>
      <c r="Z80" s="35"/>
      <c r="AA80" s="35"/>
      <c r="AB80" s="35"/>
      <c r="AC80" s="35"/>
      <c r="AD80" s="35"/>
      <c r="AE80" s="53"/>
      <c r="AF80" s="53"/>
      <c r="AG80" s="35"/>
      <c r="AH80" s="53"/>
      <c r="AI80" s="35"/>
      <c r="AJ80" s="90"/>
      <c r="AK80" s="35"/>
      <c r="AL80" s="35"/>
      <c r="AM80" s="35"/>
      <c r="AN80" s="35"/>
      <c r="AO80" s="35"/>
      <c r="AP80" s="35"/>
      <c r="AQ80" s="35"/>
      <c r="AR80" s="35"/>
      <c r="AS80" s="35"/>
      <c r="AT80" s="35"/>
    </row>
    <row r="81" ht="18.75" customHeight="1">
      <c r="A81" s="53"/>
      <c r="B81" s="94"/>
      <c r="C81" s="121" t="str">
        <f>IFERROR(__xludf.DUMMYFUNCTION("""COMPUTED_VALUE"""),"JP Stevens A")</f>
        <v>JP Stevens A</v>
      </c>
      <c r="D81" s="122">
        <f>IFERROR(__xludf.DUMMYFUNCTION("""COMPUTED_VALUE"""),188.0)</f>
        <v>188</v>
      </c>
      <c r="E81" s="123" t="str">
        <f>IFERROR(__xludf.DUMMYFUNCTION("""COMPUTED_VALUE"""),"W")</f>
        <v>W</v>
      </c>
      <c r="F81" s="128">
        <f>IFERROR(__xludf.DUMMYFUNCTION("""COMPUTED_VALUE"""),152.0)</f>
        <v>152</v>
      </c>
      <c r="G81" s="123" t="str">
        <f>IFERROR(__xludf.DUMMYFUNCTION("""COMPUTED_VALUE"""),"W")</f>
        <v>W</v>
      </c>
      <c r="H81" s="128">
        <f>IFERROR(__xludf.DUMMYFUNCTION("""COMPUTED_VALUE"""),226.0)</f>
        <v>226</v>
      </c>
      <c r="I81" s="123" t="str">
        <f>IFERROR(__xludf.DUMMYFUNCTION("""COMPUTED_VALUE"""),"W")</f>
        <v>W</v>
      </c>
      <c r="J81" s="124"/>
      <c r="K81" s="125"/>
      <c r="L81" s="108">
        <f>IFERROR(__xludf.DUMMYFUNCTION("""COMPUTED_VALUE"""),206.0)</f>
        <v>206</v>
      </c>
      <c r="M81" s="126" t="str">
        <f>IFERROR(__xludf.DUMMYFUNCTION("""COMPUTED_VALUE"""),"W")</f>
        <v>W</v>
      </c>
      <c r="N81" s="108" t="str">
        <f>IFERROR(__xludf.DUMMYFUNCTION("""COMPUTED_VALUE"""),"")</f>
        <v/>
      </c>
      <c r="O81" s="110" t="str">
        <f>IFERROR(__xludf.DUMMYFUNCTION("""COMPUTED_VALUE"""),"")</f>
        <v/>
      </c>
      <c r="Q81" s="111">
        <f>IFERROR(__xludf.DUMMYFUNCTION("""COMPUTED_VALUE"""),4.0)</f>
        <v>4</v>
      </c>
      <c r="R81" s="112">
        <f>IFERROR(__xludf.DUMMYFUNCTION("""COMPUTED_VALUE"""),0.0)</f>
        <v>0</v>
      </c>
      <c r="S81" s="112">
        <f>IFERROR(__xludf.DUMMYFUNCTION("""COMPUTED_VALUE"""),0.0)</f>
        <v>0</v>
      </c>
      <c r="T81" s="113">
        <f>IFERROR(__xludf.DUMMYFUNCTION("""COMPUTED_VALUE"""),4.0)</f>
        <v>4</v>
      </c>
      <c r="U81" s="114">
        <f>IFERROR(__xludf.DUMMYFUNCTION("""COMPUTED_VALUE"""),772.0)</f>
        <v>772</v>
      </c>
      <c r="V81" s="115">
        <f>IFERROR(__xludf.DUMMYFUNCTION("""COMPUTED_VALUE"""),193.0)</f>
        <v>193</v>
      </c>
      <c r="W81" s="116" t="str">
        <f>IFERROR(__xludf.DUMMYFUNCTION("""COMPUTED_VALUE"""),"1")</f>
        <v>1</v>
      </c>
      <c r="X81" s="117" t="str">
        <f>IFERROR(__xludf.DUMMYFUNCTION("""COMPUTED_VALUE"""),"JP Stevens A")</f>
        <v>JP Stevens A</v>
      </c>
      <c r="Y81" s="118">
        <f>IFERROR(__xludf.DUMMYFUNCTION("""COMPUTED_VALUE"""),193.0)</f>
        <v>193</v>
      </c>
      <c r="Z81" s="35"/>
      <c r="AA81" s="35"/>
      <c r="AB81" s="35"/>
      <c r="AC81" s="35"/>
      <c r="AD81" s="35"/>
      <c r="AE81" s="53"/>
      <c r="AF81" s="53"/>
      <c r="AG81" s="35"/>
      <c r="AH81" s="53"/>
      <c r="AI81" s="35"/>
      <c r="AJ81" s="90"/>
      <c r="AK81" s="35"/>
      <c r="AL81" s="35"/>
      <c r="AM81" s="35"/>
      <c r="AN81" s="35"/>
      <c r="AO81" s="35"/>
      <c r="AP81" s="35"/>
      <c r="AQ81" s="35"/>
      <c r="AR81" s="35"/>
      <c r="AS81" s="35"/>
      <c r="AT81" s="35"/>
    </row>
    <row r="82" ht="18.75" customHeight="1">
      <c r="A82" s="53"/>
      <c r="B82" s="94"/>
      <c r="C82" s="121" t="str">
        <f>IFERROR(__xludf.DUMMYFUNCTION("""COMPUTED_VALUE"""),"Wayland A")</f>
        <v>Wayland A</v>
      </c>
      <c r="D82" s="122">
        <f>IFERROR(__xludf.DUMMYFUNCTION("""COMPUTED_VALUE"""),96.0)</f>
        <v>96</v>
      </c>
      <c r="E82" s="133" t="str">
        <f>IFERROR(__xludf.DUMMYFUNCTION("""COMPUTED_VALUE"""),"W")</f>
        <v>W</v>
      </c>
      <c r="F82" s="128">
        <f>IFERROR(__xludf.DUMMYFUNCTION("""COMPUTED_VALUE"""),68.0)</f>
        <v>68</v>
      </c>
      <c r="G82" s="133" t="str">
        <f>IFERROR(__xludf.DUMMYFUNCTION("""COMPUTED_VALUE"""),"L")</f>
        <v>L</v>
      </c>
      <c r="H82" s="128">
        <f>IFERROR(__xludf.DUMMYFUNCTION("""COMPUTED_VALUE"""),74.0)</f>
        <v>74</v>
      </c>
      <c r="I82" s="133" t="str">
        <f>IFERROR(__xludf.DUMMYFUNCTION("""COMPUTED_VALUE"""),"W")</f>
        <v>W</v>
      </c>
      <c r="J82" s="128">
        <f>IFERROR(__xludf.DUMMYFUNCTION("""COMPUTED_VALUE"""),40.0)</f>
        <v>40</v>
      </c>
      <c r="K82" s="133" t="str">
        <f>IFERROR(__xludf.DUMMYFUNCTION("""COMPUTED_VALUE"""),"L")</f>
        <v>L</v>
      </c>
      <c r="L82" s="134"/>
      <c r="M82" s="135"/>
      <c r="N82" s="108" t="str">
        <f>IFERROR(__xludf.DUMMYFUNCTION("""COMPUTED_VALUE"""),"")</f>
        <v/>
      </c>
      <c r="O82" s="110" t="str">
        <f>IFERROR(__xludf.DUMMYFUNCTION("""COMPUTED_VALUE"""),"")</f>
        <v/>
      </c>
      <c r="Q82" s="111">
        <f>IFERROR(__xludf.DUMMYFUNCTION("""COMPUTED_VALUE"""),2.0)</f>
        <v>2</v>
      </c>
      <c r="R82" s="112">
        <f>IFERROR(__xludf.DUMMYFUNCTION("""COMPUTED_VALUE"""),0.0)</f>
        <v>0</v>
      </c>
      <c r="S82" s="112">
        <f>IFERROR(__xludf.DUMMYFUNCTION("""COMPUTED_VALUE"""),2.0)</f>
        <v>2</v>
      </c>
      <c r="T82" s="113">
        <f>IFERROR(__xludf.DUMMYFUNCTION("""COMPUTED_VALUE"""),2.0)</f>
        <v>2</v>
      </c>
      <c r="U82" s="114">
        <f>IFERROR(__xludf.DUMMYFUNCTION("""COMPUTED_VALUE"""),278.0)</f>
        <v>278</v>
      </c>
      <c r="V82" s="115">
        <f>IFERROR(__xludf.DUMMYFUNCTION("""COMPUTED_VALUE"""),69.5)</f>
        <v>69.5</v>
      </c>
      <c r="W82" s="136" t="str">
        <f>IFERROR(__xludf.DUMMYFUNCTION("""COMPUTED_VALUE"""),"3")</f>
        <v>3</v>
      </c>
      <c r="X82" s="117" t="str">
        <f>IFERROR(__xludf.DUMMYFUNCTION("""COMPUTED_VALUE"""),"Wayland A")</f>
        <v>Wayland A</v>
      </c>
      <c r="Y82" s="118">
        <f>IFERROR(__xludf.DUMMYFUNCTION("""COMPUTED_VALUE"""),69.5)</f>
        <v>69.5</v>
      </c>
      <c r="Z82" s="35"/>
      <c r="AA82" s="35"/>
      <c r="AB82" s="35"/>
      <c r="AC82" s="35"/>
      <c r="AD82" s="35"/>
      <c r="AE82" s="53"/>
      <c r="AF82" s="53"/>
      <c r="AG82" s="35"/>
      <c r="AH82" s="53"/>
      <c r="AI82" s="35"/>
      <c r="AJ82" s="90"/>
      <c r="AK82" s="35"/>
      <c r="AL82" s="35"/>
      <c r="AM82" s="35"/>
      <c r="AN82" s="35"/>
      <c r="AO82" s="35"/>
      <c r="AP82" s="35"/>
      <c r="AQ82" s="35"/>
      <c r="AR82" s="35"/>
      <c r="AS82" s="35"/>
      <c r="AT82" s="35"/>
    </row>
    <row r="83" ht="18.75" customHeight="1">
      <c r="A83" s="53"/>
      <c r="B83" s="94"/>
      <c r="C83" s="121" t="str">
        <f>IFERROR(__xludf.DUMMYFUNCTION("""COMPUTED_VALUE"""),"BYE")</f>
        <v>BYE</v>
      </c>
      <c r="D83" s="122" t="str">
        <f>IFERROR(__xludf.DUMMYFUNCTION("""COMPUTED_VALUE"""),"")</f>
        <v/>
      </c>
      <c r="E83" s="133" t="str">
        <f>IFERROR(__xludf.DUMMYFUNCTION("""COMPUTED_VALUE"""),"")</f>
        <v/>
      </c>
      <c r="F83" s="128" t="str">
        <f>IFERROR(__xludf.DUMMYFUNCTION("""COMPUTED_VALUE"""),"")</f>
        <v/>
      </c>
      <c r="G83" s="133" t="str">
        <f>IFERROR(__xludf.DUMMYFUNCTION("""COMPUTED_VALUE"""),"")</f>
        <v/>
      </c>
      <c r="H83" s="128" t="str">
        <f>IFERROR(__xludf.DUMMYFUNCTION("""COMPUTED_VALUE"""),"")</f>
        <v/>
      </c>
      <c r="I83" s="123" t="str">
        <f>IFERROR(__xludf.DUMMYFUNCTION("""COMPUTED_VALUE"""),"")</f>
        <v/>
      </c>
      <c r="J83" s="128" t="str">
        <f>IFERROR(__xludf.DUMMYFUNCTION("""COMPUTED_VALUE"""),"")</f>
        <v/>
      </c>
      <c r="K83" s="133" t="str">
        <f>IFERROR(__xludf.DUMMYFUNCTION("""COMPUTED_VALUE"""),"")</f>
        <v/>
      </c>
      <c r="L83" s="128" t="str">
        <f>IFERROR(__xludf.DUMMYFUNCTION("""COMPUTED_VALUE"""),"")</f>
        <v/>
      </c>
      <c r="M83" s="133" t="str">
        <f>IFERROR(__xludf.DUMMYFUNCTION("""COMPUTED_VALUE"""),"")</f>
        <v/>
      </c>
      <c r="N83" s="137"/>
      <c r="O83" s="138"/>
      <c r="P83" s="99"/>
      <c r="Q83" s="111">
        <f>IFERROR(__xludf.DUMMYFUNCTION("""COMPUTED_VALUE"""),0.0)</f>
        <v>0</v>
      </c>
      <c r="R83" s="112">
        <f>IFERROR(__xludf.DUMMYFUNCTION("""COMPUTED_VALUE"""),0.0)</f>
        <v>0</v>
      </c>
      <c r="S83" s="112">
        <f>IFERROR(__xludf.DUMMYFUNCTION("""COMPUTED_VALUE"""),0.0)</f>
        <v>0</v>
      </c>
      <c r="T83" s="113">
        <f>IFERROR(__xludf.DUMMYFUNCTION("""COMPUTED_VALUE"""),0.0)</f>
        <v>0</v>
      </c>
      <c r="U83" s="114">
        <f>IFERROR(__xludf.DUMMYFUNCTION("""COMPUTED_VALUE"""),0.0)</f>
        <v>0</v>
      </c>
      <c r="V83" s="115" t="str">
        <f>IFERROR(__xludf.DUMMYFUNCTION("""COMPUTED_VALUE"""),"")</f>
        <v/>
      </c>
      <c r="W83" s="136"/>
      <c r="X83" s="117" t="str">
        <f>IFERROR(__xludf.DUMMYFUNCTION("""COMPUTED_VALUE"""),"BYE")</f>
        <v>BYE</v>
      </c>
      <c r="Y83" s="118" t="str">
        <f>IFERROR(__xludf.DUMMYFUNCTION("""COMPUTED_VALUE"""),"")</f>
        <v/>
      </c>
      <c r="Z83" s="35"/>
      <c r="AA83" s="35"/>
      <c r="AB83" s="35"/>
      <c r="AC83" s="35"/>
      <c r="AD83" s="35"/>
      <c r="AE83" s="53"/>
      <c r="AF83" s="53"/>
      <c r="AG83" s="35"/>
      <c r="AH83" s="53"/>
      <c r="AI83" s="35"/>
      <c r="AJ83" s="90"/>
      <c r="AK83" s="35"/>
      <c r="AL83" s="35"/>
      <c r="AM83" s="35"/>
      <c r="AN83" s="35"/>
      <c r="AO83" s="35"/>
      <c r="AP83" s="35"/>
      <c r="AQ83" s="35"/>
      <c r="AR83" s="35"/>
      <c r="AS83" s="35"/>
      <c r="AT83" s="35"/>
    </row>
    <row r="84" ht="18.75" customHeight="1">
      <c r="A84" s="35"/>
      <c r="B84" s="139"/>
      <c r="C84" s="14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141"/>
      <c r="Y84" s="35"/>
      <c r="Z84" s="35"/>
      <c r="AA84" s="35"/>
      <c r="AB84" s="35"/>
      <c r="AC84" s="35"/>
      <c r="AD84" s="35"/>
      <c r="AE84" s="53"/>
      <c r="AF84" s="53"/>
      <c r="AG84" s="35"/>
      <c r="AH84" s="53"/>
      <c r="AI84" s="35"/>
      <c r="AJ84" s="90"/>
      <c r="AK84" s="35"/>
      <c r="AL84" s="35"/>
      <c r="AM84" s="35"/>
      <c r="AN84" s="35"/>
      <c r="AO84" s="35"/>
      <c r="AP84" s="35"/>
      <c r="AQ84" s="35"/>
      <c r="AR84" s="35"/>
      <c r="AS84" s="35"/>
      <c r="AT84" s="35"/>
    </row>
    <row r="85" ht="18.75" customHeight="1">
      <c r="A85" s="53"/>
      <c r="B85" s="53"/>
      <c r="C85" s="53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143"/>
      <c r="U85" s="35"/>
      <c r="V85" s="35"/>
      <c r="W85" s="64"/>
      <c r="X85" s="35"/>
      <c r="Y85" s="35"/>
      <c r="Z85" s="35"/>
      <c r="AA85" s="35"/>
      <c r="AB85" s="35"/>
      <c r="AC85" s="35"/>
      <c r="AD85" s="35"/>
      <c r="AE85" s="53"/>
      <c r="AF85" s="53"/>
      <c r="AG85" s="35"/>
      <c r="AH85" s="53"/>
      <c r="AI85" s="35"/>
      <c r="AJ85" s="90"/>
      <c r="AK85" s="35"/>
      <c r="AL85" s="35"/>
      <c r="AM85" s="35"/>
      <c r="AN85" s="35"/>
      <c r="AO85" s="35"/>
      <c r="AP85" s="35"/>
      <c r="AQ85" s="35"/>
      <c r="AR85" s="35"/>
      <c r="AS85" s="35"/>
      <c r="AT85" s="35"/>
    </row>
    <row r="86" ht="18.75" customHeight="1">
      <c r="A86" s="53"/>
      <c r="B86" s="53"/>
      <c r="C86" s="53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143"/>
      <c r="U86" s="35"/>
      <c r="V86" s="35"/>
      <c r="W86" s="64"/>
      <c r="X86" s="35"/>
      <c r="Y86" s="35"/>
      <c r="Z86" s="35"/>
      <c r="AA86" s="35"/>
      <c r="AB86" s="35"/>
      <c r="AC86" s="35"/>
      <c r="AD86" s="35"/>
      <c r="AE86" s="53"/>
      <c r="AF86" s="53"/>
      <c r="AG86" s="35"/>
      <c r="AH86" s="53"/>
      <c r="AI86" s="35"/>
      <c r="AJ86" s="90"/>
      <c r="AK86" s="35"/>
      <c r="AL86" s="35"/>
      <c r="AM86" s="35"/>
      <c r="AN86" s="35"/>
      <c r="AO86" s="35"/>
      <c r="AP86" s="35"/>
      <c r="AQ86" s="35"/>
      <c r="AR86" s="35"/>
      <c r="AS86" s="35"/>
      <c r="AT86" s="35"/>
    </row>
    <row r="87" ht="18.75" customHeight="1">
      <c r="A87" s="73"/>
      <c r="B87" s="73"/>
      <c r="C87" s="73" t="str">
        <f>IFERROR(__xludf.DUMMYFUNCTION("""COMPUTED_VALUE"""),"Hawking")</f>
        <v>Hawking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74"/>
      <c r="U87" s="10"/>
      <c r="V87" s="10"/>
      <c r="W87" s="76"/>
      <c r="X87" s="10"/>
      <c r="Y87" s="35"/>
      <c r="Z87" s="35"/>
      <c r="AA87" s="35"/>
      <c r="AB87" s="35"/>
      <c r="AC87" s="35"/>
      <c r="AD87" s="35"/>
      <c r="AE87" s="53"/>
      <c r="AF87" s="53"/>
      <c r="AG87" s="35"/>
      <c r="AH87" s="53"/>
      <c r="AI87" s="35"/>
      <c r="AJ87" s="90"/>
      <c r="AK87" s="35"/>
      <c r="AL87" s="35"/>
      <c r="AM87" s="35"/>
      <c r="AN87" s="35"/>
      <c r="AO87" s="35"/>
      <c r="AP87" s="35"/>
      <c r="AQ87" s="35"/>
      <c r="AR87" s="35"/>
      <c r="AS87" s="35"/>
      <c r="AT87" s="35"/>
    </row>
    <row r="88" ht="18.75" customHeight="1">
      <c r="A88" s="35"/>
      <c r="B88" s="80"/>
      <c r="C88" s="82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7"/>
      <c r="Y88" s="35"/>
      <c r="Z88" s="35"/>
      <c r="AA88" s="35"/>
      <c r="AB88" s="35"/>
      <c r="AC88" s="35"/>
      <c r="AD88" s="35"/>
      <c r="AE88" s="53"/>
      <c r="AF88" s="53"/>
      <c r="AG88" s="35"/>
      <c r="AH88" s="53"/>
      <c r="AI88" s="35"/>
      <c r="AJ88" s="90"/>
      <c r="AK88" s="35"/>
      <c r="AL88" s="35"/>
      <c r="AM88" s="35"/>
      <c r="AN88" s="35"/>
      <c r="AO88" s="35"/>
      <c r="AP88" s="35"/>
      <c r="AQ88" s="35"/>
      <c r="AR88" s="35"/>
      <c r="AS88" s="35"/>
      <c r="AT88" s="35"/>
    </row>
    <row r="89" ht="18.75" customHeight="1">
      <c r="A89" s="92"/>
      <c r="B89" s="94"/>
      <c r="C89" s="95" t="str">
        <f>IFERROR(__xludf.DUMMYFUNCTION("""COMPUTED_VALUE"""),"Team")</f>
        <v>Team</v>
      </c>
      <c r="D89" s="53" t="str">
        <f>IFERROR(__xludf.DUMMYFUNCTION("""COMPUTED_VALUE"""),"AMSA A")</f>
        <v>AMSA A</v>
      </c>
      <c r="F89" s="97" t="str">
        <f>IFERROR(__xludf.DUMMYFUNCTION("""COMPUTED_VALUE"""),"Blair C")</f>
        <v>Blair C</v>
      </c>
      <c r="G89" s="98"/>
      <c r="H89" s="97" t="str">
        <f>IFERROR(__xludf.DUMMYFUNCTION("""COMPUTED_VALUE"""),"duPont Manual")</f>
        <v>duPont Manual</v>
      </c>
      <c r="I89" s="98"/>
      <c r="J89" s="97" t="str">
        <f>IFERROR(__xludf.DUMMYFUNCTION("""COMPUTED_VALUE"""),"Fayetteville")</f>
        <v>Fayetteville</v>
      </c>
      <c r="K89" s="98"/>
      <c r="L89" s="97" t="str">
        <f>IFERROR(__xludf.DUMMYFUNCTION("""COMPUTED_VALUE"""),"Liberty A")</f>
        <v>Liberty A</v>
      </c>
      <c r="M89" s="98"/>
      <c r="N89" s="97" t="str">
        <f>IFERROR(__xludf.DUMMYFUNCTION("""COMPUTED_VALUE"""),"BYE")</f>
        <v>BYE</v>
      </c>
      <c r="O89" s="98"/>
      <c r="P89" s="99"/>
      <c r="Q89" s="100" t="str">
        <f>IFERROR(__xludf.DUMMYFUNCTION("""COMPUTED_VALUE"""),"W")</f>
        <v>W</v>
      </c>
      <c r="R89" s="100" t="str">
        <f>IFERROR(__xludf.DUMMYFUNCTION("""COMPUTED_VALUE"""),"T")</f>
        <v>T</v>
      </c>
      <c r="S89" s="100" t="str">
        <f>IFERROR(__xludf.DUMMYFUNCTION("""COMPUTED_VALUE"""),"L")</f>
        <v>L</v>
      </c>
      <c r="T89" s="101" t="str">
        <f>IFERROR(__xludf.DUMMYFUNCTION("""COMPUTED_VALUE"""),"W/L Score")</f>
        <v>W/L Score</v>
      </c>
      <c r="U89" s="100" t="str">
        <f>IFERROR(__xludf.DUMMYFUNCTION("""COMPUTED_VALUE"""),"Points")</f>
        <v>Points</v>
      </c>
      <c r="V89" s="100" t="str">
        <f>IFERROR(__xludf.DUMMYFUNCTION("""COMPUTED_VALUE"""),"Average")</f>
        <v>Average</v>
      </c>
      <c r="W89" s="102" t="str">
        <f>IFERROR(__xludf.DUMMYFUNCTION("""COMPUTED_VALUE"""),"Rank")</f>
        <v>Rank</v>
      </c>
      <c r="X89" s="103"/>
      <c r="Y89" s="35"/>
      <c r="Z89" s="35"/>
      <c r="AA89" s="35"/>
      <c r="AB89" s="35"/>
      <c r="AC89" s="35"/>
      <c r="AD89" s="35"/>
      <c r="AE89" s="53"/>
      <c r="AF89" s="53"/>
      <c r="AG89" s="35"/>
      <c r="AH89" s="53"/>
      <c r="AI89" s="35"/>
      <c r="AJ89" s="90"/>
      <c r="AK89" s="35"/>
      <c r="AL89" s="35"/>
      <c r="AM89" s="35"/>
      <c r="AN89" s="35"/>
      <c r="AO89" s="35"/>
      <c r="AP89" s="35"/>
      <c r="AQ89" s="35"/>
      <c r="AR89" s="35"/>
      <c r="AS89" s="35"/>
      <c r="AT89" s="35"/>
    </row>
    <row r="90" ht="18.75" customHeight="1">
      <c r="A90" s="104"/>
      <c r="B90" s="94"/>
      <c r="C90" s="105" t="str">
        <f>IFERROR(__xludf.DUMMYFUNCTION("""COMPUTED_VALUE"""),"AMSA A")</f>
        <v>AMSA A</v>
      </c>
      <c r="D90" s="106"/>
      <c r="E90" s="107"/>
      <c r="F90" s="108">
        <f>IFERROR(__xludf.DUMMYFUNCTION("""COMPUTED_VALUE"""),26.0)</f>
        <v>26</v>
      </c>
      <c r="G90" s="109" t="str">
        <f>IFERROR(__xludf.DUMMYFUNCTION("""COMPUTED_VALUE"""),"L")</f>
        <v>L</v>
      </c>
      <c r="H90" s="108">
        <f>IFERROR(__xludf.DUMMYFUNCTION("""COMPUTED_VALUE"""),40.0)</f>
        <v>40</v>
      </c>
      <c r="I90" s="109" t="str">
        <f>IFERROR(__xludf.DUMMYFUNCTION("""COMPUTED_VALUE"""),"L")</f>
        <v>L</v>
      </c>
      <c r="J90" s="108">
        <f>IFERROR(__xludf.DUMMYFUNCTION("""COMPUTED_VALUE"""),20.0)</f>
        <v>20</v>
      </c>
      <c r="K90" s="109" t="str">
        <f>IFERROR(__xludf.DUMMYFUNCTION("""COMPUTED_VALUE"""),"L")</f>
        <v>L</v>
      </c>
      <c r="L90" s="108">
        <f>IFERROR(__xludf.DUMMYFUNCTION("""COMPUTED_VALUE"""),16.0)</f>
        <v>16</v>
      </c>
      <c r="M90" s="110" t="str">
        <f>IFERROR(__xludf.DUMMYFUNCTION("""COMPUTED_VALUE"""),"L")</f>
        <v>L</v>
      </c>
      <c r="N90" s="108" t="str">
        <f>IFERROR(__xludf.DUMMYFUNCTION("""COMPUTED_VALUE"""),"")</f>
        <v/>
      </c>
      <c r="O90" s="110" t="str">
        <f>IFERROR(__xludf.DUMMYFUNCTION("""COMPUTED_VALUE"""),"")</f>
        <v/>
      </c>
      <c r="Q90" s="111">
        <f>IFERROR(__xludf.DUMMYFUNCTION("""COMPUTED_VALUE"""),0.0)</f>
        <v>0</v>
      </c>
      <c r="R90" s="112">
        <f>IFERROR(__xludf.DUMMYFUNCTION("""COMPUTED_VALUE"""),0.0)</f>
        <v>0</v>
      </c>
      <c r="S90" s="112">
        <f>IFERROR(__xludf.DUMMYFUNCTION("""COMPUTED_VALUE"""),4.0)</f>
        <v>4</v>
      </c>
      <c r="T90" s="113">
        <f>IFERROR(__xludf.DUMMYFUNCTION("""COMPUTED_VALUE"""),0.0)</f>
        <v>0</v>
      </c>
      <c r="U90" s="114">
        <f>IFERROR(__xludf.DUMMYFUNCTION("""COMPUTED_VALUE"""),102.0)</f>
        <v>102</v>
      </c>
      <c r="V90" s="115">
        <f>IFERROR(__xludf.DUMMYFUNCTION("""COMPUTED_VALUE"""),25.5)</f>
        <v>25.5</v>
      </c>
      <c r="W90" s="136" t="str">
        <f>IFERROR(__xludf.DUMMYFUNCTION("""COMPUTED_VALUE"""),"5")</f>
        <v>5</v>
      </c>
      <c r="X90" s="117" t="str">
        <f>IFERROR(__xludf.DUMMYFUNCTION("""COMPUTED_VALUE"""),"AMSA A")</f>
        <v>AMSA A</v>
      </c>
      <c r="Y90" s="118">
        <f>IFERROR(__xludf.DUMMYFUNCTION("""COMPUTED_VALUE"""),25.5)</f>
        <v>25.5</v>
      </c>
      <c r="Z90" s="35"/>
      <c r="AA90" s="35"/>
      <c r="AB90" s="35"/>
      <c r="AC90" s="35"/>
      <c r="AD90" s="35"/>
      <c r="AE90" s="53"/>
      <c r="AF90" s="53"/>
      <c r="AG90" s="35"/>
      <c r="AH90" s="53"/>
      <c r="AI90" s="35"/>
      <c r="AJ90" s="90"/>
      <c r="AK90" s="35"/>
      <c r="AL90" s="35"/>
      <c r="AM90" s="35"/>
      <c r="AN90" s="35"/>
      <c r="AO90" s="35"/>
      <c r="AP90" s="35"/>
      <c r="AQ90" s="35"/>
      <c r="AR90" s="35"/>
      <c r="AS90" s="35"/>
      <c r="AT90" s="35"/>
    </row>
    <row r="91" ht="18.75" customHeight="1">
      <c r="A91" s="53"/>
      <c r="B91" s="94"/>
      <c r="C91" s="121" t="str">
        <f>IFERROR(__xludf.DUMMYFUNCTION("""COMPUTED_VALUE"""),"Blair C")</f>
        <v>Blair C</v>
      </c>
      <c r="D91" s="122">
        <f>IFERROR(__xludf.DUMMYFUNCTION("""COMPUTED_VALUE"""),164.0)</f>
        <v>164</v>
      </c>
      <c r="E91" s="123" t="str">
        <f>IFERROR(__xludf.DUMMYFUNCTION("""COMPUTED_VALUE"""),"W")</f>
        <v>W</v>
      </c>
      <c r="F91" s="124"/>
      <c r="G91" s="125"/>
      <c r="H91" s="108">
        <f>IFERROR(__xludf.DUMMYFUNCTION("""COMPUTED_VALUE"""),88.0)</f>
        <v>88</v>
      </c>
      <c r="I91" s="123" t="str">
        <f>IFERROR(__xludf.DUMMYFUNCTION("""COMPUTED_VALUE"""),"L")</f>
        <v>L</v>
      </c>
      <c r="J91" s="108">
        <f>IFERROR(__xludf.DUMMYFUNCTION("""COMPUTED_VALUE"""),82.0)</f>
        <v>82</v>
      </c>
      <c r="K91" s="123" t="str">
        <f>IFERROR(__xludf.DUMMYFUNCTION("""COMPUTED_VALUE"""),"W")</f>
        <v>W</v>
      </c>
      <c r="L91" s="108">
        <f>IFERROR(__xludf.DUMMYFUNCTION("""COMPUTED_VALUE"""),152.0)</f>
        <v>152</v>
      </c>
      <c r="M91" s="126" t="str">
        <f>IFERROR(__xludf.DUMMYFUNCTION("""COMPUTED_VALUE"""),"W")</f>
        <v>W</v>
      </c>
      <c r="N91" s="108" t="str">
        <f>IFERROR(__xludf.DUMMYFUNCTION("""COMPUTED_VALUE"""),"")</f>
        <v/>
      </c>
      <c r="O91" s="110" t="str">
        <f>IFERROR(__xludf.DUMMYFUNCTION("""COMPUTED_VALUE"""),"")</f>
        <v/>
      </c>
      <c r="Q91" s="111">
        <f>IFERROR(__xludf.DUMMYFUNCTION("""COMPUTED_VALUE"""),3.0)</f>
        <v>3</v>
      </c>
      <c r="R91" s="112">
        <f>IFERROR(__xludf.DUMMYFUNCTION("""COMPUTED_VALUE"""),0.0)</f>
        <v>0</v>
      </c>
      <c r="S91" s="112">
        <f>IFERROR(__xludf.DUMMYFUNCTION("""COMPUTED_VALUE"""),1.0)</f>
        <v>1</v>
      </c>
      <c r="T91" s="113">
        <f>IFERROR(__xludf.DUMMYFUNCTION("""COMPUTED_VALUE"""),3.0)</f>
        <v>3</v>
      </c>
      <c r="U91" s="114">
        <f>IFERROR(__xludf.DUMMYFUNCTION("""COMPUTED_VALUE"""),486.0)</f>
        <v>486</v>
      </c>
      <c r="V91" s="115">
        <f>IFERROR(__xludf.DUMMYFUNCTION("""COMPUTED_VALUE"""),121.5)</f>
        <v>121.5</v>
      </c>
      <c r="W91" s="116" t="str">
        <f>IFERROR(__xludf.DUMMYFUNCTION("""COMPUTED_VALUE"""),"2")</f>
        <v>2</v>
      </c>
      <c r="X91" s="117" t="str">
        <f>IFERROR(__xludf.DUMMYFUNCTION("""COMPUTED_VALUE"""),"Blair C")</f>
        <v>Blair C</v>
      </c>
      <c r="Y91" s="118">
        <f>IFERROR(__xludf.DUMMYFUNCTION("""COMPUTED_VALUE"""),121.5)</f>
        <v>121.5</v>
      </c>
      <c r="Z91" s="35"/>
      <c r="AA91" s="35"/>
      <c r="AB91" s="35"/>
      <c r="AC91" s="35"/>
      <c r="AD91" s="35"/>
      <c r="AE91" s="53"/>
      <c r="AF91" s="53"/>
      <c r="AG91" s="35"/>
      <c r="AH91" s="53"/>
      <c r="AI91" s="35"/>
      <c r="AJ91" s="90"/>
      <c r="AK91" s="35"/>
      <c r="AL91" s="35"/>
      <c r="AM91" s="35"/>
      <c r="AN91" s="35"/>
      <c r="AO91" s="35"/>
      <c r="AP91" s="35"/>
      <c r="AQ91" s="35"/>
      <c r="AR91" s="35"/>
      <c r="AS91" s="35"/>
      <c r="AT91" s="35"/>
    </row>
    <row r="92" ht="18.75" customHeight="1">
      <c r="A92" s="53"/>
      <c r="B92" s="94"/>
      <c r="C92" s="121" t="str">
        <f>IFERROR(__xludf.DUMMYFUNCTION("""COMPUTED_VALUE"""),"duPont Manual")</f>
        <v>duPont Manual</v>
      </c>
      <c r="D92" s="122">
        <f>IFERROR(__xludf.DUMMYFUNCTION("""COMPUTED_VALUE"""),108.0)</f>
        <v>108</v>
      </c>
      <c r="E92" s="123" t="str">
        <f>IFERROR(__xludf.DUMMYFUNCTION("""COMPUTED_VALUE"""),"W")</f>
        <v>W</v>
      </c>
      <c r="F92" s="128">
        <f>IFERROR(__xludf.DUMMYFUNCTION("""COMPUTED_VALUE"""),160.0)</f>
        <v>160</v>
      </c>
      <c r="G92" s="123" t="str">
        <f>IFERROR(__xludf.DUMMYFUNCTION("""COMPUTED_VALUE"""),"W")</f>
        <v>W</v>
      </c>
      <c r="H92" s="124"/>
      <c r="I92" s="125"/>
      <c r="J92" s="108">
        <f>IFERROR(__xludf.DUMMYFUNCTION("""COMPUTED_VALUE"""),154.0)</f>
        <v>154</v>
      </c>
      <c r="K92" s="123" t="str">
        <f>IFERROR(__xludf.DUMMYFUNCTION("""COMPUTED_VALUE"""),"W")</f>
        <v>W</v>
      </c>
      <c r="L92" s="108">
        <f>IFERROR(__xludf.DUMMYFUNCTION("""COMPUTED_VALUE"""),150.0)</f>
        <v>150</v>
      </c>
      <c r="M92" s="126" t="str">
        <f>IFERROR(__xludf.DUMMYFUNCTION("""COMPUTED_VALUE"""),"W")</f>
        <v>W</v>
      </c>
      <c r="N92" s="108" t="str">
        <f>IFERROR(__xludf.DUMMYFUNCTION("""COMPUTED_VALUE"""),"")</f>
        <v/>
      </c>
      <c r="O92" s="110" t="str">
        <f>IFERROR(__xludf.DUMMYFUNCTION("""COMPUTED_VALUE"""),"")</f>
        <v/>
      </c>
      <c r="Q92" s="111">
        <f>IFERROR(__xludf.DUMMYFUNCTION("""COMPUTED_VALUE"""),4.0)</f>
        <v>4</v>
      </c>
      <c r="R92" s="112">
        <f>IFERROR(__xludf.DUMMYFUNCTION("""COMPUTED_VALUE"""),0.0)</f>
        <v>0</v>
      </c>
      <c r="S92" s="112">
        <f>IFERROR(__xludf.DUMMYFUNCTION("""COMPUTED_VALUE"""),0.0)</f>
        <v>0</v>
      </c>
      <c r="T92" s="113">
        <f>IFERROR(__xludf.DUMMYFUNCTION("""COMPUTED_VALUE"""),4.0)</f>
        <v>4</v>
      </c>
      <c r="U92" s="114">
        <f>IFERROR(__xludf.DUMMYFUNCTION("""COMPUTED_VALUE"""),572.0)</f>
        <v>572</v>
      </c>
      <c r="V92" s="115">
        <f>IFERROR(__xludf.DUMMYFUNCTION("""COMPUTED_VALUE"""),143.0)</f>
        <v>143</v>
      </c>
      <c r="W92" s="136" t="str">
        <f>IFERROR(__xludf.DUMMYFUNCTION("""COMPUTED_VALUE"""),"1")</f>
        <v>1</v>
      </c>
      <c r="X92" s="117" t="str">
        <f>IFERROR(__xludf.DUMMYFUNCTION("""COMPUTED_VALUE"""),"duPont Manual")</f>
        <v>duPont Manual</v>
      </c>
      <c r="Y92" s="118">
        <f>IFERROR(__xludf.DUMMYFUNCTION("""COMPUTED_VALUE"""),143.0)</f>
        <v>143</v>
      </c>
      <c r="Z92" s="35"/>
      <c r="AA92" s="35"/>
      <c r="AB92" s="35"/>
      <c r="AC92" s="35"/>
      <c r="AD92" s="35"/>
      <c r="AE92" s="53"/>
      <c r="AF92" s="53"/>
      <c r="AG92" s="35"/>
      <c r="AH92" s="53"/>
      <c r="AI92" s="35"/>
      <c r="AJ92" s="90"/>
      <c r="AK92" s="35"/>
      <c r="AL92" s="35"/>
      <c r="AM92" s="35"/>
      <c r="AN92" s="35"/>
      <c r="AO92" s="35"/>
      <c r="AP92" s="35"/>
      <c r="AQ92" s="35"/>
      <c r="AR92" s="35"/>
      <c r="AS92" s="35"/>
      <c r="AT92" s="35"/>
    </row>
    <row r="93" ht="18.75" customHeight="1">
      <c r="A93" s="53"/>
      <c r="B93" s="94"/>
      <c r="C93" s="121" t="str">
        <f>IFERROR(__xludf.DUMMYFUNCTION("""COMPUTED_VALUE"""),"Fayetteville")</f>
        <v>Fayetteville</v>
      </c>
      <c r="D93" s="122">
        <f>IFERROR(__xludf.DUMMYFUNCTION("""COMPUTED_VALUE"""),98.0)</f>
        <v>98</v>
      </c>
      <c r="E93" s="123" t="str">
        <f>IFERROR(__xludf.DUMMYFUNCTION("""COMPUTED_VALUE"""),"W")</f>
        <v>W</v>
      </c>
      <c r="F93" s="128">
        <f>IFERROR(__xludf.DUMMYFUNCTION("""COMPUTED_VALUE"""),48.0)</f>
        <v>48</v>
      </c>
      <c r="G93" s="123" t="str">
        <f>IFERROR(__xludf.DUMMYFUNCTION("""COMPUTED_VALUE"""),"L")</f>
        <v>L</v>
      </c>
      <c r="H93" s="128">
        <f>IFERROR(__xludf.DUMMYFUNCTION("""COMPUTED_VALUE"""),82.0)</f>
        <v>82</v>
      </c>
      <c r="I93" s="123" t="str">
        <f>IFERROR(__xludf.DUMMYFUNCTION("""COMPUTED_VALUE"""),"L")</f>
        <v>L</v>
      </c>
      <c r="J93" s="124"/>
      <c r="K93" s="125"/>
      <c r="L93" s="108">
        <f>IFERROR(__xludf.DUMMYFUNCTION("""COMPUTED_VALUE"""),142.0)</f>
        <v>142</v>
      </c>
      <c r="M93" s="126" t="str">
        <f>IFERROR(__xludf.DUMMYFUNCTION("""COMPUTED_VALUE"""),"W")</f>
        <v>W</v>
      </c>
      <c r="N93" s="108" t="str">
        <f>IFERROR(__xludf.DUMMYFUNCTION("""COMPUTED_VALUE"""),"")</f>
        <v/>
      </c>
      <c r="O93" s="110" t="str">
        <f>IFERROR(__xludf.DUMMYFUNCTION("""COMPUTED_VALUE"""),"")</f>
        <v/>
      </c>
      <c r="Q93" s="111">
        <f>IFERROR(__xludf.DUMMYFUNCTION("""COMPUTED_VALUE"""),2.0)</f>
        <v>2</v>
      </c>
      <c r="R93" s="112">
        <f>IFERROR(__xludf.DUMMYFUNCTION("""COMPUTED_VALUE"""),0.0)</f>
        <v>0</v>
      </c>
      <c r="S93" s="112">
        <f>IFERROR(__xludf.DUMMYFUNCTION("""COMPUTED_VALUE"""),2.0)</f>
        <v>2</v>
      </c>
      <c r="T93" s="113">
        <f>IFERROR(__xludf.DUMMYFUNCTION("""COMPUTED_VALUE"""),2.0)</f>
        <v>2</v>
      </c>
      <c r="U93" s="114">
        <f>IFERROR(__xludf.DUMMYFUNCTION("""COMPUTED_VALUE"""),370.0)</f>
        <v>370</v>
      </c>
      <c r="V93" s="115">
        <f>IFERROR(__xludf.DUMMYFUNCTION("""COMPUTED_VALUE"""),92.5)</f>
        <v>92.5</v>
      </c>
      <c r="W93" s="116" t="str">
        <f>IFERROR(__xludf.DUMMYFUNCTION("""COMPUTED_VALUE"""),"3")</f>
        <v>3</v>
      </c>
      <c r="X93" s="117" t="str">
        <f>IFERROR(__xludf.DUMMYFUNCTION("""COMPUTED_VALUE"""),"Fayetteville")</f>
        <v>Fayetteville</v>
      </c>
      <c r="Y93" s="118">
        <f>IFERROR(__xludf.DUMMYFUNCTION("""COMPUTED_VALUE"""),92.5)</f>
        <v>92.5</v>
      </c>
      <c r="Z93" s="35"/>
      <c r="AA93" s="35"/>
      <c r="AB93" s="35"/>
      <c r="AC93" s="35"/>
      <c r="AD93" s="35"/>
      <c r="AE93" s="53"/>
      <c r="AF93" s="53"/>
      <c r="AG93" s="35"/>
      <c r="AH93" s="53"/>
      <c r="AI93" s="35"/>
      <c r="AJ93" s="90"/>
      <c r="AK93" s="35"/>
      <c r="AL93" s="35"/>
      <c r="AM93" s="35"/>
      <c r="AN93" s="35"/>
      <c r="AO93" s="35"/>
      <c r="AP93" s="35"/>
      <c r="AQ93" s="35"/>
      <c r="AR93" s="35"/>
      <c r="AS93" s="35"/>
      <c r="AT93" s="35"/>
    </row>
    <row r="94" ht="18.75" customHeight="1">
      <c r="A94" s="53"/>
      <c r="B94" s="94"/>
      <c r="C94" s="121" t="str">
        <f>IFERROR(__xludf.DUMMYFUNCTION("""COMPUTED_VALUE"""),"Liberty A")</f>
        <v>Liberty A</v>
      </c>
      <c r="D94" s="122">
        <f>IFERROR(__xludf.DUMMYFUNCTION("""COMPUTED_VALUE"""),62.0)</f>
        <v>62</v>
      </c>
      <c r="E94" s="133" t="str">
        <f>IFERROR(__xludf.DUMMYFUNCTION("""COMPUTED_VALUE"""),"W")</f>
        <v>W</v>
      </c>
      <c r="F94" s="128">
        <f>IFERROR(__xludf.DUMMYFUNCTION("""COMPUTED_VALUE"""),48.0)</f>
        <v>48</v>
      </c>
      <c r="G94" s="133" t="str">
        <f>IFERROR(__xludf.DUMMYFUNCTION("""COMPUTED_VALUE"""),"L")</f>
        <v>L</v>
      </c>
      <c r="H94" s="128">
        <f>IFERROR(__xludf.DUMMYFUNCTION("""COMPUTED_VALUE"""),60.0)</f>
        <v>60</v>
      </c>
      <c r="I94" s="133" t="str">
        <f>IFERROR(__xludf.DUMMYFUNCTION("""COMPUTED_VALUE"""),"L")</f>
        <v>L</v>
      </c>
      <c r="J94" s="128">
        <f>IFERROR(__xludf.DUMMYFUNCTION("""COMPUTED_VALUE"""),72.0)</f>
        <v>72</v>
      </c>
      <c r="K94" s="133" t="str">
        <f>IFERROR(__xludf.DUMMYFUNCTION("""COMPUTED_VALUE"""),"L")</f>
        <v>L</v>
      </c>
      <c r="L94" s="134"/>
      <c r="M94" s="135"/>
      <c r="N94" s="108" t="str">
        <f>IFERROR(__xludf.DUMMYFUNCTION("""COMPUTED_VALUE"""),"")</f>
        <v/>
      </c>
      <c r="O94" s="110" t="str">
        <f>IFERROR(__xludf.DUMMYFUNCTION("""COMPUTED_VALUE"""),"")</f>
        <v/>
      </c>
      <c r="Q94" s="111">
        <f>IFERROR(__xludf.DUMMYFUNCTION("""COMPUTED_VALUE"""),1.0)</f>
        <v>1</v>
      </c>
      <c r="R94" s="112">
        <f>IFERROR(__xludf.DUMMYFUNCTION("""COMPUTED_VALUE"""),0.0)</f>
        <v>0</v>
      </c>
      <c r="S94" s="112">
        <f>IFERROR(__xludf.DUMMYFUNCTION("""COMPUTED_VALUE"""),3.0)</f>
        <v>3</v>
      </c>
      <c r="T94" s="113">
        <f>IFERROR(__xludf.DUMMYFUNCTION("""COMPUTED_VALUE"""),1.0)</f>
        <v>1</v>
      </c>
      <c r="U94" s="114">
        <f>IFERROR(__xludf.DUMMYFUNCTION("""COMPUTED_VALUE"""),242.0)</f>
        <v>242</v>
      </c>
      <c r="V94" s="115">
        <f>IFERROR(__xludf.DUMMYFUNCTION("""COMPUTED_VALUE"""),60.5)</f>
        <v>60.5</v>
      </c>
      <c r="W94" s="136" t="str">
        <f>IFERROR(__xludf.DUMMYFUNCTION("""COMPUTED_VALUE"""),"4")</f>
        <v>4</v>
      </c>
      <c r="X94" s="117" t="str">
        <f>IFERROR(__xludf.DUMMYFUNCTION("""COMPUTED_VALUE"""),"Liberty A")</f>
        <v>Liberty A</v>
      </c>
      <c r="Y94" s="118">
        <f>IFERROR(__xludf.DUMMYFUNCTION("""COMPUTED_VALUE"""),60.5)</f>
        <v>60.5</v>
      </c>
      <c r="Z94" s="35"/>
      <c r="AA94" s="35"/>
      <c r="AB94" s="35"/>
      <c r="AC94" s="35"/>
      <c r="AD94" s="35"/>
      <c r="AE94" s="53"/>
      <c r="AF94" s="53"/>
      <c r="AG94" s="35"/>
      <c r="AH94" s="53"/>
      <c r="AI94" s="35"/>
      <c r="AJ94" s="90"/>
      <c r="AK94" s="35"/>
      <c r="AL94" s="35"/>
      <c r="AM94" s="35"/>
      <c r="AN94" s="35"/>
      <c r="AO94" s="35"/>
      <c r="AP94" s="35"/>
      <c r="AQ94" s="35"/>
      <c r="AR94" s="35"/>
      <c r="AS94" s="35"/>
      <c r="AT94" s="35"/>
    </row>
    <row r="95" ht="18.75" customHeight="1">
      <c r="A95" s="53"/>
      <c r="B95" s="94"/>
      <c r="C95" s="121" t="str">
        <f>IFERROR(__xludf.DUMMYFUNCTION("""COMPUTED_VALUE"""),"BYE")</f>
        <v>BYE</v>
      </c>
      <c r="D95" s="122" t="str">
        <f>IFERROR(__xludf.DUMMYFUNCTION("""COMPUTED_VALUE"""),"")</f>
        <v/>
      </c>
      <c r="E95" s="133" t="str">
        <f>IFERROR(__xludf.DUMMYFUNCTION("""COMPUTED_VALUE"""),"")</f>
        <v/>
      </c>
      <c r="F95" s="128" t="str">
        <f>IFERROR(__xludf.DUMMYFUNCTION("""COMPUTED_VALUE"""),"")</f>
        <v/>
      </c>
      <c r="G95" s="133" t="str">
        <f>IFERROR(__xludf.DUMMYFUNCTION("""COMPUTED_VALUE"""),"")</f>
        <v/>
      </c>
      <c r="H95" s="128" t="str">
        <f>IFERROR(__xludf.DUMMYFUNCTION("""COMPUTED_VALUE"""),"")</f>
        <v/>
      </c>
      <c r="I95" s="123" t="str">
        <f>IFERROR(__xludf.DUMMYFUNCTION("""COMPUTED_VALUE"""),"")</f>
        <v/>
      </c>
      <c r="J95" s="128" t="str">
        <f>IFERROR(__xludf.DUMMYFUNCTION("""COMPUTED_VALUE"""),"")</f>
        <v/>
      </c>
      <c r="K95" s="133" t="str">
        <f>IFERROR(__xludf.DUMMYFUNCTION("""COMPUTED_VALUE"""),"")</f>
        <v/>
      </c>
      <c r="L95" s="128" t="str">
        <f>IFERROR(__xludf.DUMMYFUNCTION("""COMPUTED_VALUE"""),"")</f>
        <v/>
      </c>
      <c r="M95" s="133" t="str">
        <f>IFERROR(__xludf.DUMMYFUNCTION("""COMPUTED_VALUE"""),"")</f>
        <v/>
      </c>
      <c r="N95" s="137"/>
      <c r="O95" s="138"/>
      <c r="P95" s="99"/>
      <c r="Q95" s="111">
        <f>IFERROR(__xludf.DUMMYFUNCTION("""COMPUTED_VALUE"""),0.0)</f>
        <v>0</v>
      </c>
      <c r="R95" s="112">
        <f>IFERROR(__xludf.DUMMYFUNCTION("""COMPUTED_VALUE"""),0.0)</f>
        <v>0</v>
      </c>
      <c r="S95" s="112">
        <f>IFERROR(__xludf.DUMMYFUNCTION("""COMPUTED_VALUE"""),0.0)</f>
        <v>0</v>
      </c>
      <c r="T95" s="113">
        <f>IFERROR(__xludf.DUMMYFUNCTION("""COMPUTED_VALUE"""),0.0)</f>
        <v>0</v>
      </c>
      <c r="U95" s="114">
        <f>IFERROR(__xludf.DUMMYFUNCTION("""COMPUTED_VALUE"""),0.0)</f>
        <v>0</v>
      </c>
      <c r="V95" s="115" t="str">
        <f>IFERROR(__xludf.DUMMYFUNCTION("""COMPUTED_VALUE"""),"")</f>
        <v/>
      </c>
      <c r="W95" s="136"/>
      <c r="X95" s="117" t="str">
        <f>IFERROR(__xludf.DUMMYFUNCTION("""COMPUTED_VALUE"""),"BYE")</f>
        <v>BYE</v>
      </c>
      <c r="Y95" s="118" t="str">
        <f>IFERROR(__xludf.DUMMYFUNCTION("""COMPUTED_VALUE"""),"")</f>
        <v/>
      </c>
      <c r="Z95" s="35"/>
      <c r="AA95" s="35"/>
      <c r="AB95" s="35"/>
      <c r="AC95" s="35"/>
      <c r="AD95" s="35"/>
      <c r="AE95" s="53"/>
      <c r="AF95" s="53"/>
      <c r="AG95" s="35"/>
      <c r="AH95" s="53"/>
      <c r="AI95" s="35"/>
      <c r="AJ95" s="90"/>
      <c r="AK95" s="35"/>
      <c r="AL95" s="35"/>
      <c r="AM95" s="35"/>
      <c r="AN95" s="35"/>
      <c r="AO95" s="35"/>
      <c r="AP95" s="35"/>
      <c r="AQ95" s="35"/>
      <c r="AR95" s="35"/>
      <c r="AS95" s="35"/>
      <c r="AT95" s="35"/>
    </row>
    <row r="96" ht="18.75" customHeight="1">
      <c r="A96" s="35"/>
      <c r="B96" s="139"/>
      <c r="C96" s="14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141"/>
      <c r="Y96" s="35"/>
      <c r="Z96" s="35"/>
      <c r="AA96" s="35"/>
      <c r="AB96" s="35"/>
      <c r="AC96" s="35"/>
      <c r="AD96" s="35"/>
      <c r="AE96" s="53"/>
      <c r="AF96" s="53"/>
      <c r="AG96" s="35"/>
      <c r="AH96" s="53"/>
      <c r="AI96" s="35"/>
      <c r="AJ96" s="90"/>
      <c r="AK96" s="35"/>
      <c r="AL96" s="35"/>
      <c r="AM96" s="35"/>
      <c r="AN96" s="35"/>
      <c r="AO96" s="35"/>
      <c r="AP96" s="35"/>
      <c r="AQ96" s="35"/>
      <c r="AR96" s="35"/>
      <c r="AS96" s="35"/>
      <c r="AT96" s="35"/>
    </row>
    <row r="97" ht="18.75" customHeight="1">
      <c r="A97" s="53"/>
      <c r="B97" s="53"/>
      <c r="C97" s="53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143"/>
      <c r="U97" s="35"/>
      <c r="V97" s="35"/>
      <c r="W97" s="64"/>
      <c r="X97" s="35"/>
      <c r="Y97" s="35"/>
      <c r="Z97" s="35"/>
      <c r="AA97" s="35"/>
      <c r="AB97" s="35"/>
      <c r="AC97" s="35"/>
      <c r="AD97" s="35"/>
      <c r="AE97" s="53"/>
      <c r="AF97" s="53"/>
      <c r="AG97" s="35"/>
      <c r="AH97" s="53"/>
      <c r="AI97" s="35"/>
      <c r="AJ97" s="90"/>
      <c r="AK97" s="35"/>
      <c r="AL97" s="35"/>
      <c r="AM97" s="35"/>
      <c r="AN97" s="35"/>
      <c r="AO97" s="35"/>
      <c r="AP97" s="35"/>
      <c r="AQ97" s="35"/>
      <c r="AR97" s="35"/>
      <c r="AS97" s="35"/>
      <c r="AT97" s="35"/>
    </row>
    <row r="98" ht="18.75" customHeight="1">
      <c r="A98" s="53"/>
      <c r="B98" s="53"/>
      <c r="C98" s="53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143"/>
      <c r="U98" s="35"/>
      <c r="V98" s="35"/>
      <c r="W98" s="64"/>
      <c r="X98" s="35"/>
      <c r="Y98" s="35"/>
      <c r="Z98" s="35"/>
      <c r="AA98" s="35"/>
      <c r="AB98" s="35"/>
      <c r="AC98" s="35"/>
      <c r="AD98" s="35"/>
      <c r="AE98" s="53"/>
      <c r="AF98" s="53"/>
      <c r="AG98" s="35"/>
      <c r="AH98" s="53"/>
      <c r="AI98" s="35"/>
      <c r="AJ98" s="90"/>
      <c r="AK98" s="35"/>
      <c r="AL98" s="35"/>
      <c r="AM98" s="35"/>
      <c r="AN98" s="35"/>
      <c r="AO98" s="35"/>
      <c r="AP98" s="35"/>
      <c r="AQ98" s="35"/>
      <c r="AR98" s="35"/>
      <c r="AS98" s="35"/>
      <c r="AT98" s="35"/>
    </row>
    <row r="99" ht="18.75" customHeight="1">
      <c r="A99" s="73"/>
      <c r="B99" s="73"/>
      <c r="C99" s="73" t="str">
        <f>IFERROR(__xludf.DUMMYFUNCTION("""COMPUTED_VALUE"""),"Ising")</f>
        <v>Ising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74"/>
      <c r="U99" s="10"/>
      <c r="V99" s="10"/>
      <c r="W99" s="76"/>
      <c r="X99" s="10"/>
      <c r="Y99" s="35"/>
      <c r="Z99" s="35"/>
      <c r="AA99" s="35"/>
      <c r="AB99" s="35"/>
      <c r="AC99" s="35"/>
      <c r="AD99" s="35"/>
      <c r="AE99" s="53"/>
      <c r="AF99" s="53"/>
      <c r="AG99" s="35"/>
      <c r="AH99" s="53"/>
      <c r="AI99" s="35"/>
      <c r="AJ99" s="90"/>
      <c r="AK99" s="35"/>
      <c r="AL99" s="35"/>
      <c r="AM99" s="35"/>
      <c r="AN99" s="35"/>
      <c r="AO99" s="35"/>
      <c r="AP99" s="35"/>
      <c r="AQ99" s="35"/>
      <c r="AR99" s="35"/>
      <c r="AS99" s="35"/>
      <c r="AT99" s="35"/>
    </row>
    <row r="100" ht="18.75" customHeight="1">
      <c r="A100" s="35"/>
      <c r="B100" s="80"/>
      <c r="C100" s="82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7"/>
      <c r="Y100" s="35"/>
      <c r="Z100" s="35"/>
      <c r="AA100" s="35"/>
      <c r="AB100" s="35"/>
      <c r="AC100" s="35"/>
      <c r="AD100" s="35"/>
      <c r="AE100" s="53"/>
      <c r="AF100" s="53"/>
      <c r="AG100" s="35"/>
      <c r="AH100" s="53"/>
      <c r="AI100" s="35"/>
      <c r="AJ100" s="90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</row>
    <row r="101" ht="18.75" customHeight="1">
      <c r="A101" s="92"/>
      <c r="B101" s="94"/>
      <c r="C101" s="95" t="str">
        <f>IFERROR(__xludf.DUMMYFUNCTION("""COMPUTED_VALUE"""),"Team")</f>
        <v>Team</v>
      </c>
      <c r="D101" s="53" t="str">
        <f>IFERROR(__xludf.DUMMYFUNCTION("""COMPUTED_VALUE"""),"JP Stevens B")</f>
        <v>JP Stevens B</v>
      </c>
      <c r="F101" s="97" t="str">
        <f>IFERROR(__xludf.DUMMYFUNCTION("""COMPUTED_VALUE"""),"Liberty B")</f>
        <v>Liberty B</v>
      </c>
      <c r="G101" s="98"/>
      <c r="H101" s="97" t="str">
        <f>IFERROR(__xludf.DUMMYFUNCTION("""COMPUTED_VALUE"""),"Naperville North A")</f>
        <v>Naperville North A</v>
      </c>
      <c r="I101" s="98"/>
      <c r="J101" s="97" t="str">
        <f>IFERROR(__xludf.DUMMYFUNCTION("""COMPUTED_VALUE"""),"POBJFK")</f>
        <v>POBJFK</v>
      </c>
      <c r="K101" s="98"/>
      <c r="L101" s="97" t="str">
        <f>IFERROR(__xludf.DUMMYFUNCTION("""COMPUTED_VALUE"""),"RMHS A")</f>
        <v>RMHS A</v>
      </c>
      <c r="M101" s="98"/>
      <c r="N101" s="97" t="str">
        <f>IFERROR(__xludf.DUMMYFUNCTION("""COMPUTED_VALUE"""),"BYE")</f>
        <v>BYE</v>
      </c>
      <c r="O101" s="98"/>
      <c r="P101" s="99"/>
      <c r="Q101" s="100" t="str">
        <f>IFERROR(__xludf.DUMMYFUNCTION("""COMPUTED_VALUE"""),"W")</f>
        <v>W</v>
      </c>
      <c r="R101" s="100" t="str">
        <f>IFERROR(__xludf.DUMMYFUNCTION("""COMPUTED_VALUE"""),"T")</f>
        <v>T</v>
      </c>
      <c r="S101" s="100" t="str">
        <f>IFERROR(__xludf.DUMMYFUNCTION("""COMPUTED_VALUE"""),"L")</f>
        <v>L</v>
      </c>
      <c r="T101" s="101" t="str">
        <f>IFERROR(__xludf.DUMMYFUNCTION("""COMPUTED_VALUE"""),"W/L Score")</f>
        <v>W/L Score</v>
      </c>
      <c r="U101" s="100" t="str">
        <f>IFERROR(__xludf.DUMMYFUNCTION("""COMPUTED_VALUE"""),"Points")</f>
        <v>Points</v>
      </c>
      <c r="V101" s="100" t="str">
        <f>IFERROR(__xludf.DUMMYFUNCTION("""COMPUTED_VALUE"""),"Average")</f>
        <v>Average</v>
      </c>
      <c r="W101" s="102" t="str">
        <f>IFERROR(__xludf.DUMMYFUNCTION("""COMPUTED_VALUE"""),"Rank")</f>
        <v>Rank</v>
      </c>
      <c r="X101" s="103"/>
      <c r="Y101" s="35"/>
      <c r="Z101" s="35"/>
      <c r="AA101" s="35"/>
      <c r="AB101" s="35"/>
      <c r="AC101" s="35"/>
      <c r="AD101" s="35"/>
      <c r="AE101" s="53"/>
      <c r="AF101" s="53"/>
      <c r="AG101" s="35"/>
      <c r="AH101" s="53"/>
      <c r="AI101" s="35"/>
      <c r="AJ101" s="90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</row>
    <row r="102" ht="18.75" customHeight="1">
      <c r="A102" s="104"/>
      <c r="B102" s="94"/>
      <c r="C102" s="105" t="str">
        <f>IFERROR(__xludf.DUMMYFUNCTION("""COMPUTED_VALUE"""),"JP Stevens B")</f>
        <v>JP Stevens B</v>
      </c>
      <c r="D102" s="106"/>
      <c r="E102" s="107"/>
      <c r="F102" s="108">
        <f>IFERROR(__xludf.DUMMYFUNCTION("""COMPUTED_VALUE"""),76.0)</f>
        <v>76</v>
      </c>
      <c r="G102" s="109" t="str">
        <f>IFERROR(__xludf.DUMMYFUNCTION("""COMPUTED_VALUE"""),"W")</f>
        <v>W</v>
      </c>
      <c r="H102" s="108">
        <f>IFERROR(__xludf.DUMMYFUNCTION("""COMPUTED_VALUE"""),70.0)</f>
        <v>70</v>
      </c>
      <c r="I102" s="109" t="str">
        <f>IFERROR(__xludf.DUMMYFUNCTION("""COMPUTED_VALUE"""),"L")</f>
        <v>L</v>
      </c>
      <c r="J102" s="108">
        <f>IFERROR(__xludf.DUMMYFUNCTION("""COMPUTED_VALUE"""),40.0)</f>
        <v>40</v>
      </c>
      <c r="K102" s="109" t="str">
        <f>IFERROR(__xludf.DUMMYFUNCTION("""COMPUTED_VALUE"""),"L")</f>
        <v>L</v>
      </c>
      <c r="L102" s="108">
        <f>IFERROR(__xludf.DUMMYFUNCTION("""COMPUTED_VALUE"""),42.0)</f>
        <v>42</v>
      </c>
      <c r="M102" s="110" t="str">
        <f>IFERROR(__xludf.DUMMYFUNCTION("""COMPUTED_VALUE"""),"L")</f>
        <v>L</v>
      </c>
      <c r="N102" s="108" t="str">
        <f>IFERROR(__xludf.DUMMYFUNCTION("""COMPUTED_VALUE"""),"")</f>
        <v/>
      </c>
      <c r="O102" s="110" t="str">
        <f>IFERROR(__xludf.DUMMYFUNCTION("""COMPUTED_VALUE"""),"")</f>
        <v/>
      </c>
      <c r="Q102" s="111">
        <f>IFERROR(__xludf.DUMMYFUNCTION("""COMPUTED_VALUE"""),1.0)</f>
        <v>1</v>
      </c>
      <c r="R102" s="112">
        <f>IFERROR(__xludf.DUMMYFUNCTION("""COMPUTED_VALUE"""),0.0)</f>
        <v>0</v>
      </c>
      <c r="S102" s="112">
        <f>IFERROR(__xludf.DUMMYFUNCTION("""COMPUTED_VALUE"""),3.0)</f>
        <v>3</v>
      </c>
      <c r="T102" s="113">
        <f>IFERROR(__xludf.DUMMYFUNCTION("""COMPUTED_VALUE"""),1.0)</f>
        <v>1</v>
      </c>
      <c r="U102" s="114">
        <f>IFERROR(__xludf.DUMMYFUNCTION("""COMPUTED_VALUE"""),228.0)</f>
        <v>228</v>
      </c>
      <c r="V102" s="115">
        <f>IFERROR(__xludf.DUMMYFUNCTION("""COMPUTED_VALUE"""),57.0)</f>
        <v>57</v>
      </c>
      <c r="W102" s="136" t="str">
        <f>IFERROR(__xludf.DUMMYFUNCTION("""COMPUTED_VALUE"""),"4")</f>
        <v>4</v>
      </c>
      <c r="X102" s="117" t="str">
        <f>IFERROR(__xludf.DUMMYFUNCTION("""COMPUTED_VALUE"""),"JP Stevens B")</f>
        <v>JP Stevens B</v>
      </c>
      <c r="Y102" s="118">
        <f>IFERROR(__xludf.DUMMYFUNCTION("""COMPUTED_VALUE"""),57.0)</f>
        <v>57</v>
      </c>
      <c r="Z102" s="35"/>
      <c r="AA102" s="35"/>
      <c r="AB102" s="35"/>
      <c r="AC102" s="35"/>
      <c r="AD102" s="35"/>
      <c r="AE102" s="53"/>
      <c r="AF102" s="53"/>
      <c r="AG102" s="35"/>
      <c r="AH102" s="53"/>
      <c r="AI102" s="35"/>
      <c r="AJ102" s="90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</row>
    <row r="103" ht="18.75" customHeight="1">
      <c r="A103" s="53"/>
      <c r="B103" s="94"/>
      <c r="C103" s="121" t="str">
        <f>IFERROR(__xludf.DUMMYFUNCTION("""COMPUTED_VALUE"""),"Liberty B")</f>
        <v>Liberty B</v>
      </c>
      <c r="D103" s="122">
        <f>IFERROR(__xludf.DUMMYFUNCTION("""COMPUTED_VALUE"""),32.0)</f>
        <v>32</v>
      </c>
      <c r="E103" s="123" t="str">
        <f>IFERROR(__xludf.DUMMYFUNCTION("""COMPUTED_VALUE"""),"L")</f>
        <v>L</v>
      </c>
      <c r="F103" s="124"/>
      <c r="G103" s="125"/>
      <c r="H103" s="108">
        <f>IFERROR(__xludf.DUMMYFUNCTION("""COMPUTED_VALUE"""),24.0)</f>
        <v>24</v>
      </c>
      <c r="I103" s="123" t="str">
        <f>IFERROR(__xludf.DUMMYFUNCTION("""COMPUTED_VALUE"""),"L")</f>
        <v>L</v>
      </c>
      <c r="J103" s="108">
        <f>IFERROR(__xludf.DUMMYFUNCTION("""COMPUTED_VALUE"""),16.0)</f>
        <v>16</v>
      </c>
      <c r="K103" s="123" t="str">
        <f>IFERROR(__xludf.DUMMYFUNCTION("""COMPUTED_VALUE"""),"L")</f>
        <v>L</v>
      </c>
      <c r="L103" s="108">
        <f>IFERROR(__xludf.DUMMYFUNCTION("""COMPUTED_VALUE"""),4.0)</f>
        <v>4</v>
      </c>
      <c r="M103" s="126" t="str">
        <f>IFERROR(__xludf.DUMMYFUNCTION("""COMPUTED_VALUE"""),"L")</f>
        <v>L</v>
      </c>
      <c r="N103" s="108" t="str">
        <f>IFERROR(__xludf.DUMMYFUNCTION("""COMPUTED_VALUE"""),"")</f>
        <v/>
      </c>
      <c r="O103" s="110" t="str">
        <f>IFERROR(__xludf.DUMMYFUNCTION("""COMPUTED_VALUE"""),"")</f>
        <v/>
      </c>
      <c r="Q103" s="111">
        <f>IFERROR(__xludf.DUMMYFUNCTION("""COMPUTED_VALUE"""),0.0)</f>
        <v>0</v>
      </c>
      <c r="R103" s="112">
        <f>IFERROR(__xludf.DUMMYFUNCTION("""COMPUTED_VALUE"""),0.0)</f>
        <v>0</v>
      </c>
      <c r="S103" s="112">
        <f>IFERROR(__xludf.DUMMYFUNCTION("""COMPUTED_VALUE"""),4.0)</f>
        <v>4</v>
      </c>
      <c r="T103" s="113">
        <f>IFERROR(__xludf.DUMMYFUNCTION("""COMPUTED_VALUE"""),0.0)</f>
        <v>0</v>
      </c>
      <c r="U103" s="114">
        <f>IFERROR(__xludf.DUMMYFUNCTION("""COMPUTED_VALUE"""),76.0)</f>
        <v>76</v>
      </c>
      <c r="V103" s="115">
        <f>IFERROR(__xludf.DUMMYFUNCTION("""COMPUTED_VALUE"""),19.0)</f>
        <v>19</v>
      </c>
      <c r="W103" s="116" t="str">
        <f>IFERROR(__xludf.DUMMYFUNCTION("""COMPUTED_VALUE"""),"5")</f>
        <v>5</v>
      </c>
      <c r="X103" s="117" t="str">
        <f>IFERROR(__xludf.DUMMYFUNCTION("""COMPUTED_VALUE"""),"Liberty B")</f>
        <v>Liberty B</v>
      </c>
      <c r="Y103" s="118">
        <f>IFERROR(__xludf.DUMMYFUNCTION("""COMPUTED_VALUE"""),19.0)</f>
        <v>19</v>
      </c>
      <c r="Z103" s="35"/>
      <c r="AA103" s="35"/>
      <c r="AB103" s="35"/>
      <c r="AC103" s="35"/>
      <c r="AD103" s="35"/>
      <c r="AE103" s="53"/>
      <c r="AF103" s="53"/>
      <c r="AG103" s="35"/>
      <c r="AH103" s="53"/>
      <c r="AI103" s="35"/>
      <c r="AJ103" s="90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</row>
    <row r="104" ht="18.75" customHeight="1">
      <c r="A104" s="53"/>
      <c r="B104" s="94"/>
      <c r="C104" s="121" t="str">
        <f>IFERROR(__xludf.DUMMYFUNCTION("""COMPUTED_VALUE"""),"Naperville North A")</f>
        <v>Naperville North A</v>
      </c>
      <c r="D104" s="122">
        <f>IFERROR(__xludf.DUMMYFUNCTION("""COMPUTED_VALUE"""),72.0)</f>
        <v>72</v>
      </c>
      <c r="E104" s="123" t="str">
        <f>IFERROR(__xludf.DUMMYFUNCTION("""COMPUTED_VALUE"""),"W")</f>
        <v>W</v>
      </c>
      <c r="F104" s="128">
        <f>IFERROR(__xludf.DUMMYFUNCTION("""COMPUTED_VALUE"""),66.0)</f>
        <v>66</v>
      </c>
      <c r="G104" s="123" t="str">
        <f>IFERROR(__xludf.DUMMYFUNCTION("""COMPUTED_VALUE"""),"W")</f>
        <v>W</v>
      </c>
      <c r="H104" s="124"/>
      <c r="I104" s="125"/>
      <c r="J104" s="108">
        <f>IFERROR(__xludf.DUMMYFUNCTION("""COMPUTED_VALUE"""),82.0)</f>
        <v>82</v>
      </c>
      <c r="K104" s="123" t="str">
        <f>IFERROR(__xludf.DUMMYFUNCTION("""COMPUTED_VALUE"""),"W")</f>
        <v>W</v>
      </c>
      <c r="L104" s="108">
        <f>IFERROR(__xludf.DUMMYFUNCTION("""COMPUTED_VALUE"""),44.0)</f>
        <v>44</v>
      </c>
      <c r="M104" s="126" t="str">
        <f>IFERROR(__xludf.DUMMYFUNCTION("""COMPUTED_VALUE"""),"L")</f>
        <v>L</v>
      </c>
      <c r="N104" s="108" t="str">
        <f>IFERROR(__xludf.DUMMYFUNCTION("""COMPUTED_VALUE"""),"")</f>
        <v/>
      </c>
      <c r="O104" s="110" t="str">
        <f>IFERROR(__xludf.DUMMYFUNCTION("""COMPUTED_VALUE"""),"")</f>
        <v/>
      </c>
      <c r="Q104" s="111">
        <f>IFERROR(__xludf.DUMMYFUNCTION("""COMPUTED_VALUE"""),3.0)</f>
        <v>3</v>
      </c>
      <c r="R104" s="112">
        <f>IFERROR(__xludf.DUMMYFUNCTION("""COMPUTED_VALUE"""),0.0)</f>
        <v>0</v>
      </c>
      <c r="S104" s="112">
        <f>IFERROR(__xludf.DUMMYFUNCTION("""COMPUTED_VALUE"""),1.0)</f>
        <v>1</v>
      </c>
      <c r="T104" s="113">
        <f>IFERROR(__xludf.DUMMYFUNCTION("""COMPUTED_VALUE"""),3.0)</f>
        <v>3</v>
      </c>
      <c r="U104" s="114">
        <f>IFERROR(__xludf.DUMMYFUNCTION("""COMPUTED_VALUE"""),264.0)</f>
        <v>264</v>
      </c>
      <c r="V104" s="115">
        <f>IFERROR(__xludf.DUMMYFUNCTION("""COMPUTED_VALUE"""),66.0)</f>
        <v>66</v>
      </c>
      <c r="W104" s="136" t="str">
        <f>IFERROR(__xludf.DUMMYFUNCTION("""COMPUTED_VALUE"""),"2")</f>
        <v>2</v>
      </c>
      <c r="X104" s="117" t="str">
        <f>IFERROR(__xludf.DUMMYFUNCTION("""COMPUTED_VALUE"""),"Naperville North A")</f>
        <v>Naperville North A</v>
      </c>
      <c r="Y104" s="118">
        <f>IFERROR(__xludf.DUMMYFUNCTION("""COMPUTED_VALUE"""),66.0)</f>
        <v>66</v>
      </c>
      <c r="Z104" s="35"/>
      <c r="AA104" s="35"/>
      <c r="AB104" s="35"/>
      <c r="AC104" s="35"/>
      <c r="AD104" s="35"/>
      <c r="AE104" s="53"/>
      <c r="AF104" s="53"/>
      <c r="AG104" s="35"/>
      <c r="AH104" s="53"/>
      <c r="AI104" s="35"/>
      <c r="AJ104" s="90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</row>
    <row r="105" ht="18.75" customHeight="1">
      <c r="A105" s="53"/>
      <c r="B105" s="94"/>
      <c r="C105" s="121" t="str">
        <f>IFERROR(__xludf.DUMMYFUNCTION("""COMPUTED_VALUE"""),"POBJFK")</f>
        <v>POBJFK</v>
      </c>
      <c r="D105" s="122">
        <f>IFERROR(__xludf.DUMMYFUNCTION("""COMPUTED_VALUE"""),74.0)</f>
        <v>74</v>
      </c>
      <c r="E105" s="123" t="str">
        <f>IFERROR(__xludf.DUMMYFUNCTION("""COMPUTED_VALUE"""),"W")</f>
        <v>W</v>
      </c>
      <c r="F105" s="128">
        <f>IFERROR(__xludf.DUMMYFUNCTION("""COMPUTED_VALUE"""),58.0)</f>
        <v>58</v>
      </c>
      <c r="G105" s="123" t="str">
        <f>IFERROR(__xludf.DUMMYFUNCTION("""COMPUTED_VALUE"""),"W")</f>
        <v>W</v>
      </c>
      <c r="H105" s="128">
        <f>IFERROR(__xludf.DUMMYFUNCTION("""COMPUTED_VALUE"""),68.0)</f>
        <v>68</v>
      </c>
      <c r="I105" s="123" t="str">
        <f>IFERROR(__xludf.DUMMYFUNCTION("""COMPUTED_VALUE"""),"L")</f>
        <v>L</v>
      </c>
      <c r="J105" s="124"/>
      <c r="K105" s="125"/>
      <c r="L105" s="108">
        <f>IFERROR(__xludf.DUMMYFUNCTION("""COMPUTED_VALUE"""),42.0)</f>
        <v>42</v>
      </c>
      <c r="M105" s="126" t="str">
        <f>IFERROR(__xludf.DUMMYFUNCTION("""COMPUTED_VALUE"""),"L")</f>
        <v>L</v>
      </c>
      <c r="N105" s="108" t="str">
        <f>IFERROR(__xludf.DUMMYFUNCTION("""COMPUTED_VALUE"""),"")</f>
        <v/>
      </c>
      <c r="O105" s="110" t="str">
        <f>IFERROR(__xludf.DUMMYFUNCTION("""COMPUTED_VALUE"""),"")</f>
        <v/>
      </c>
      <c r="Q105" s="111">
        <f>IFERROR(__xludf.DUMMYFUNCTION("""COMPUTED_VALUE"""),2.0)</f>
        <v>2</v>
      </c>
      <c r="R105" s="112">
        <f>IFERROR(__xludf.DUMMYFUNCTION("""COMPUTED_VALUE"""),0.0)</f>
        <v>0</v>
      </c>
      <c r="S105" s="112">
        <f>IFERROR(__xludf.DUMMYFUNCTION("""COMPUTED_VALUE"""),2.0)</f>
        <v>2</v>
      </c>
      <c r="T105" s="113">
        <f>IFERROR(__xludf.DUMMYFUNCTION("""COMPUTED_VALUE"""),2.0)</f>
        <v>2</v>
      </c>
      <c r="U105" s="114">
        <f>IFERROR(__xludf.DUMMYFUNCTION("""COMPUTED_VALUE"""),242.0)</f>
        <v>242</v>
      </c>
      <c r="V105" s="115">
        <f>IFERROR(__xludf.DUMMYFUNCTION("""COMPUTED_VALUE"""),60.5)</f>
        <v>60.5</v>
      </c>
      <c r="W105" s="116" t="str">
        <f>IFERROR(__xludf.DUMMYFUNCTION("""COMPUTED_VALUE"""),"3")</f>
        <v>3</v>
      </c>
      <c r="X105" s="117" t="str">
        <f>IFERROR(__xludf.DUMMYFUNCTION("""COMPUTED_VALUE"""),"POBJFK")</f>
        <v>POBJFK</v>
      </c>
      <c r="Y105" s="118">
        <f>IFERROR(__xludf.DUMMYFUNCTION("""COMPUTED_VALUE"""),60.5)</f>
        <v>60.5</v>
      </c>
      <c r="Z105" s="35"/>
      <c r="AA105" s="35"/>
      <c r="AB105" s="35"/>
      <c r="AC105" s="35"/>
      <c r="AD105" s="35"/>
      <c r="AE105" s="53"/>
      <c r="AF105" s="53"/>
      <c r="AG105" s="35"/>
      <c r="AH105" s="53"/>
      <c r="AI105" s="35"/>
      <c r="AJ105" s="90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</row>
    <row r="106" ht="18.75" customHeight="1">
      <c r="A106" s="53"/>
      <c r="B106" s="94"/>
      <c r="C106" s="121" t="str">
        <f>IFERROR(__xludf.DUMMYFUNCTION("""COMPUTED_VALUE"""),"RMHS A")</f>
        <v>RMHS A</v>
      </c>
      <c r="D106" s="122">
        <f>IFERROR(__xludf.DUMMYFUNCTION("""COMPUTED_VALUE"""),124.0)</f>
        <v>124</v>
      </c>
      <c r="E106" s="133" t="str">
        <f>IFERROR(__xludf.DUMMYFUNCTION("""COMPUTED_VALUE"""),"W")</f>
        <v>W</v>
      </c>
      <c r="F106" s="128">
        <f>IFERROR(__xludf.DUMMYFUNCTION("""COMPUTED_VALUE"""),200.0)</f>
        <v>200</v>
      </c>
      <c r="G106" s="133" t="str">
        <f>IFERROR(__xludf.DUMMYFUNCTION("""COMPUTED_VALUE"""),"W")</f>
        <v>W</v>
      </c>
      <c r="H106" s="128">
        <f>IFERROR(__xludf.DUMMYFUNCTION("""COMPUTED_VALUE"""),118.0)</f>
        <v>118</v>
      </c>
      <c r="I106" s="133" t="str">
        <f>IFERROR(__xludf.DUMMYFUNCTION("""COMPUTED_VALUE"""),"W")</f>
        <v>W</v>
      </c>
      <c r="J106" s="128">
        <f>IFERROR(__xludf.DUMMYFUNCTION("""COMPUTED_VALUE"""),152.0)</f>
        <v>152</v>
      </c>
      <c r="K106" s="133" t="str">
        <f>IFERROR(__xludf.DUMMYFUNCTION("""COMPUTED_VALUE"""),"W")</f>
        <v>W</v>
      </c>
      <c r="L106" s="134"/>
      <c r="M106" s="135"/>
      <c r="N106" s="108" t="str">
        <f>IFERROR(__xludf.DUMMYFUNCTION("""COMPUTED_VALUE"""),"")</f>
        <v/>
      </c>
      <c r="O106" s="110" t="str">
        <f>IFERROR(__xludf.DUMMYFUNCTION("""COMPUTED_VALUE"""),"")</f>
        <v/>
      </c>
      <c r="Q106" s="111">
        <f>IFERROR(__xludf.DUMMYFUNCTION("""COMPUTED_VALUE"""),4.0)</f>
        <v>4</v>
      </c>
      <c r="R106" s="112">
        <f>IFERROR(__xludf.DUMMYFUNCTION("""COMPUTED_VALUE"""),0.0)</f>
        <v>0</v>
      </c>
      <c r="S106" s="112">
        <f>IFERROR(__xludf.DUMMYFUNCTION("""COMPUTED_VALUE"""),0.0)</f>
        <v>0</v>
      </c>
      <c r="T106" s="113">
        <f>IFERROR(__xludf.DUMMYFUNCTION("""COMPUTED_VALUE"""),4.0)</f>
        <v>4</v>
      </c>
      <c r="U106" s="114">
        <f>IFERROR(__xludf.DUMMYFUNCTION("""COMPUTED_VALUE"""),594.0)</f>
        <v>594</v>
      </c>
      <c r="V106" s="115">
        <f>IFERROR(__xludf.DUMMYFUNCTION("""COMPUTED_VALUE"""),148.5)</f>
        <v>148.5</v>
      </c>
      <c r="W106" s="136" t="str">
        <f>IFERROR(__xludf.DUMMYFUNCTION("""COMPUTED_VALUE"""),"1")</f>
        <v>1</v>
      </c>
      <c r="X106" s="117" t="str">
        <f>IFERROR(__xludf.DUMMYFUNCTION("""COMPUTED_VALUE"""),"RMHS A")</f>
        <v>RMHS A</v>
      </c>
      <c r="Y106" s="118">
        <f>IFERROR(__xludf.DUMMYFUNCTION("""COMPUTED_VALUE"""),148.5)</f>
        <v>148.5</v>
      </c>
      <c r="Z106" s="35"/>
      <c r="AA106" s="35"/>
      <c r="AB106" s="35"/>
      <c r="AC106" s="35"/>
      <c r="AD106" s="35"/>
      <c r="AE106" s="53"/>
      <c r="AF106" s="53"/>
      <c r="AG106" s="35"/>
      <c r="AH106" s="53"/>
      <c r="AI106" s="35"/>
      <c r="AJ106" s="90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</row>
    <row r="107" ht="18.75" customHeight="1">
      <c r="A107" s="53"/>
      <c r="B107" s="94"/>
      <c r="C107" s="121" t="str">
        <f>IFERROR(__xludf.DUMMYFUNCTION("""COMPUTED_VALUE"""),"BYE")</f>
        <v>BYE</v>
      </c>
      <c r="D107" s="122" t="str">
        <f>IFERROR(__xludf.DUMMYFUNCTION("""COMPUTED_VALUE"""),"")</f>
        <v/>
      </c>
      <c r="E107" s="133" t="str">
        <f>IFERROR(__xludf.DUMMYFUNCTION("""COMPUTED_VALUE"""),"")</f>
        <v/>
      </c>
      <c r="F107" s="128" t="str">
        <f>IFERROR(__xludf.DUMMYFUNCTION("""COMPUTED_VALUE"""),"")</f>
        <v/>
      </c>
      <c r="G107" s="133" t="str">
        <f>IFERROR(__xludf.DUMMYFUNCTION("""COMPUTED_VALUE"""),"")</f>
        <v/>
      </c>
      <c r="H107" s="128" t="str">
        <f>IFERROR(__xludf.DUMMYFUNCTION("""COMPUTED_VALUE"""),"")</f>
        <v/>
      </c>
      <c r="I107" s="123" t="str">
        <f>IFERROR(__xludf.DUMMYFUNCTION("""COMPUTED_VALUE"""),"")</f>
        <v/>
      </c>
      <c r="J107" s="128" t="str">
        <f>IFERROR(__xludf.DUMMYFUNCTION("""COMPUTED_VALUE"""),"")</f>
        <v/>
      </c>
      <c r="K107" s="133" t="str">
        <f>IFERROR(__xludf.DUMMYFUNCTION("""COMPUTED_VALUE"""),"")</f>
        <v/>
      </c>
      <c r="L107" s="128" t="str">
        <f>IFERROR(__xludf.DUMMYFUNCTION("""COMPUTED_VALUE"""),"")</f>
        <v/>
      </c>
      <c r="M107" s="133" t="str">
        <f>IFERROR(__xludf.DUMMYFUNCTION("""COMPUTED_VALUE"""),"")</f>
        <v/>
      </c>
      <c r="N107" s="137"/>
      <c r="O107" s="138"/>
      <c r="P107" s="99"/>
      <c r="Q107" s="111">
        <f>IFERROR(__xludf.DUMMYFUNCTION("""COMPUTED_VALUE"""),0.0)</f>
        <v>0</v>
      </c>
      <c r="R107" s="112">
        <f>IFERROR(__xludf.DUMMYFUNCTION("""COMPUTED_VALUE"""),0.0)</f>
        <v>0</v>
      </c>
      <c r="S107" s="112">
        <f>IFERROR(__xludf.DUMMYFUNCTION("""COMPUTED_VALUE"""),0.0)</f>
        <v>0</v>
      </c>
      <c r="T107" s="113">
        <f>IFERROR(__xludf.DUMMYFUNCTION("""COMPUTED_VALUE"""),0.0)</f>
        <v>0</v>
      </c>
      <c r="U107" s="114">
        <f>IFERROR(__xludf.DUMMYFUNCTION("""COMPUTED_VALUE"""),0.0)</f>
        <v>0</v>
      </c>
      <c r="V107" s="115" t="str">
        <f>IFERROR(__xludf.DUMMYFUNCTION("""COMPUTED_VALUE"""),"")</f>
        <v/>
      </c>
      <c r="W107" s="136"/>
      <c r="X107" s="117" t="str">
        <f>IFERROR(__xludf.DUMMYFUNCTION("""COMPUTED_VALUE"""),"BYE")</f>
        <v>BYE</v>
      </c>
      <c r="Y107" s="118" t="str">
        <f>IFERROR(__xludf.DUMMYFUNCTION("""COMPUTED_VALUE"""),"")</f>
        <v/>
      </c>
      <c r="Z107" s="35"/>
      <c r="AA107" s="35"/>
      <c r="AB107" s="35"/>
      <c r="AC107" s="35"/>
      <c r="AD107" s="35"/>
      <c r="AE107" s="53"/>
      <c r="AF107" s="53"/>
      <c r="AG107" s="35"/>
      <c r="AH107" s="53"/>
      <c r="AI107" s="35"/>
      <c r="AJ107" s="90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</row>
    <row r="108" ht="18.75" customHeight="1">
      <c r="A108" s="35"/>
      <c r="B108" s="139"/>
      <c r="C108" s="14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141"/>
      <c r="Y108" s="35"/>
      <c r="Z108" s="35"/>
      <c r="AA108" s="35"/>
      <c r="AB108" s="35"/>
      <c r="AC108" s="35"/>
      <c r="AD108" s="35"/>
      <c r="AE108" s="53"/>
      <c r="AF108" s="53"/>
      <c r="AG108" s="35"/>
      <c r="AH108" s="53"/>
      <c r="AI108" s="35"/>
      <c r="AJ108" s="90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</row>
    <row r="109" ht="18.75" customHeight="1">
      <c r="A109" s="53"/>
      <c r="B109" s="53"/>
      <c r="C109" s="53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143"/>
      <c r="U109" s="35"/>
      <c r="V109" s="35"/>
      <c r="W109" s="64"/>
      <c r="X109" s="35"/>
      <c r="Y109" s="35"/>
      <c r="Z109" s="35"/>
      <c r="AA109" s="35"/>
      <c r="AB109" s="35"/>
      <c r="AC109" s="35"/>
      <c r="AD109" s="35"/>
      <c r="AE109" s="53"/>
      <c r="AF109" s="53"/>
      <c r="AG109" s="35"/>
      <c r="AH109" s="53"/>
      <c r="AI109" s="35"/>
      <c r="AJ109" s="90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</row>
    <row r="110" ht="18.75" customHeight="1">
      <c r="A110" s="53"/>
      <c r="B110" s="53"/>
      <c r="C110" s="53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143"/>
      <c r="U110" s="35"/>
      <c r="V110" s="35"/>
      <c r="W110" s="64"/>
      <c r="X110" s="35"/>
      <c r="Y110" s="35"/>
      <c r="Z110" s="35"/>
      <c r="AA110" s="35"/>
      <c r="AB110" s="35"/>
      <c r="AC110" s="35"/>
      <c r="AD110" s="35"/>
      <c r="AE110" s="53"/>
      <c r="AF110" s="53"/>
      <c r="AG110" s="35"/>
      <c r="AH110" s="53"/>
      <c r="AI110" s="35"/>
      <c r="AJ110" s="90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</row>
    <row r="111" ht="18.75" customHeight="1">
      <c r="A111" s="73"/>
      <c r="B111" s="73"/>
      <c r="C111" s="73" t="str">
        <f>IFERROR(__xludf.DUMMYFUNCTION("""COMPUTED_VALUE"""),"Joule")</f>
        <v>Joule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74"/>
      <c r="U111" s="10"/>
      <c r="V111" s="10"/>
      <c r="W111" s="76"/>
      <c r="X111" s="10"/>
      <c r="Y111" s="35"/>
      <c r="Z111" s="35"/>
      <c r="AA111" s="35"/>
      <c r="AB111" s="35"/>
      <c r="AC111" s="35"/>
      <c r="AD111" s="35"/>
      <c r="AE111" s="53"/>
      <c r="AF111" s="53"/>
      <c r="AG111" s="35"/>
      <c r="AH111" s="53"/>
      <c r="AI111" s="35"/>
      <c r="AJ111" s="90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</row>
    <row r="112" ht="18.75" customHeight="1">
      <c r="A112" s="35"/>
      <c r="B112" s="80"/>
      <c r="C112" s="82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7"/>
      <c r="Y112" s="35"/>
      <c r="Z112" s="35"/>
      <c r="AA112" s="35"/>
      <c r="AB112" s="35"/>
      <c r="AC112" s="35"/>
      <c r="AD112" s="35"/>
      <c r="AE112" s="53"/>
      <c r="AF112" s="53"/>
      <c r="AG112" s="35"/>
      <c r="AH112" s="53"/>
      <c r="AI112" s="35"/>
      <c r="AJ112" s="90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</row>
    <row r="113" ht="18.75" customHeight="1">
      <c r="A113" s="92"/>
      <c r="B113" s="94"/>
      <c r="C113" s="95" t="str">
        <f>IFERROR(__xludf.DUMMYFUNCTION("""COMPUTED_VALUE"""),"Team")</f>
        <v>Team</v>
      </c>
      <c r="D113" s="53" t="str">
        <f>IFERROR(__xludf.DUMMYFUNCTION("""COMPUTED_VALUE"""),"Collierville")</f>
        <v>Collierville</v>
      </c>
      <c r="F113" s="97" t="str">
        <f>IFERROR(__xludf.DUMMYFUNCTION("""COMPUTED_VALUE"""),"Edison A")</f>
        <v>Edison A</v>
      </c>
      <c r="G113" s="98"/>
      <c r="H113" s="97" t="str">
        <f>IFERROR(__xludf.DUMMYFUNCTION("""COMPUTED_VALUE"""),"Green Hope A")</f>
        <v>Green Hope A</v>
      </c>
      <c r="I113" s="98"/>
      <c r="J113" s="97" t="str">
        <f>IFERROR(__xludf.DUMMYFUNCTION("""COMPUTED_VALUE"""),"Naperville North B")</f>
        <v>Naperville North B</v>
      </c>
      <c r="K113" s="98"/>
      <c r="L113" s="97" t="str">
        <f>IFERROR(__xludf.DUMMYFUNCTION("""COMPUTED_VALUE"""),"RMHS C")</f>
        <v>RMHS C</v>
      </c>
      <c r="M113" s="98"/>
      <c r="N113" s="97" t="str">
        <f>IFERROR(__xludf.DUMMYFUNCTION("""COMPUTED_VALUE"""),"BYE")</f>
        <v>BYE</v>
      </c>
      <c r="O113" s="98"/>
      <c r="P113" s="99"/>
      <c r="Q113" s="100" t="str">
        <f>IFERROR(__xludf.DUMMYFUNCTION("""COMPUTED_VALUE"""),"W")</f>
        <v>W</v>
      </c>
      <c r="R113" s="100" t="str">
        <f>IFERROR(__xludf.DUMMYFUNCTION("""COMPUTED_VALUE"""),"T")</f>
        <v>T</v>
      </c>
      <c r="S113" s="100" t="str">
        <f>IFERROR(__xludf.DUMMYFUNCTION("""COMPUTED_VALUE"""),"L")</f>
        <v>L</v>
      </c>
      <c r="T113" s="101" t="str">
        <f>IFERROR(__xludf.DUMMYFUNCTION("""COMPUTED_VALUE"""),"W/L Score")</f>
        <v>W/L Score</v>
      </c>
      <c r="U113" s="100" t="str">
        <f>IFERROR(__xludf.DUMMYFUNCTION("""COMPUTED_VALUE"""),"Points")</f>
        <v>Points</v>
      </c>
      <c r="V113" s="100" t="str">
        <f>IFERROR(__xludf.DUMMYFUNCTION("""COMPUTED_VALUE"""),"Average")</f>
        <v>Average</v>
      </c>
      <c r="W113" s="102" t="str">
        <f>IFERROR(__xludf.DUMMYFUNCTION("""COMPUTED_VALUE"""),"Rank")</f>
        <v>Rank</v>
      </c>
      <c r="X113" s="103"/>
      <c r="Y113" s="35"/>
      <c r="Z113" s="35"/>
      <c r="AA113" s="35"/>
      <c r="AB113" s="35"/>
      <c r="AC113" s="35"/>
      <c r="AD113" s="35"/>
      <c r="AE113" s="53"/>
      <c r="AF113" s="53"/>
      <c r="AG113" s="35"/>
      <c r="AH113" s="53"/>
      <c r="AI113" s="35"/>
      <c r="AJ113" s="90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</row>
    <row r="114" ht="18.75" customHeight="1">
      <c r="A114" s="104"/>
      <c r="B114" s="94"/>
      <c r="C114" s="105" t="str">
        <f>IFERROR(__xludf.DUMMYFUNCTION("""COMPUTED_VALUE"""),"Collierville")</f>
        <v>Collierville</v>
      </c>
      <c r="D114" s="106"/>
      <c r="E114" s="107"/>
      <c r="F114" s="108">
        <f>IFERROR(__xludf.DUMMYFUNCTION("""COMPUTED_VALUE"""),200.0)</f>
        <v>200</v>
      </c>
      <c r="G114" s="109" t="str">
        <f>IFERROR(__xludf.DUMMYFUNCTION("""COMPUTED_VALUE"""),"W")</f>
        <v>W</v>
      </c>
      <c r="H114" s="108">
        <f>IFERROR(__xludf.DUMMYFUNCTION("""COMPUTED_VALUE"""),32.0)</f>
        <v>32</v>
      </c>
      <c r="I114" s="109" t="str">
        <f>IFERROR(__xludf.DUMMYFUNCTION("""COMPUTED_VALUE"""),"L")</f>
        <v>L</v>
      </c>
      <c r="J114" s="108">
        <f>IFERROR(__xludf.DUMMYFUNCTION("""COMPUTED_VALUE"""),130.0)</f>
        <v>130</v>
      </c>
      <c r="K114" s="109" t="str">
        <f>IFERROR(__xludf.DUMMYFUNCTION("""COMPUTED_VALUE"""),"W")</f>
        <v>W</v>
      </c>
      <c r="L114" s="108">
        <f>IFERROR(__xludf.DUMMYFUNCTION("""COMPUTED_VALUE"""),86.0)</f>
        <v>86</v>
      </c>
      <c r="M114" s="110" t="str">
        <f>IFERROR(__xludf.DUMMYFUNCTION("""COMPUTED_VALUE"""),"W")</f>
        <v>W</v>
      </c>
      <c r="N114" s="108" t="str">
        <f>IFERROR(__xludf.DUMMYFUNCTION("""COMPUTED_VALUE"""),"")</f>
        <v/>
      </c>
      <c r="O114" s="110" t="str">
        <f>IFERROR(__xludf.DUMMYFUNCTION("""COMPUTED_VALUE"""),"")</f>
        <v/>
      </c>
      <c r="Q114" s="111">
        <f>IFERROR(__xludf.DUMMYFUNCTION("""COMPUTED_VALUE"""),3.0)</f>
        <v>3</v>
      </c>
      <c r="R114" s="112">
        <f>IFERROR(__xludf.DUMMYFUNCTION("""COMPUTED_VALUE"""),0.0)</f>
        <v>0</v>
      </c>
      <c r="S114" s="112">
        <f>IFERROR(__xludf.DUMMYFUNCTION("""COMPUTED_VALUE"""),1.0)</f>
        <v>1</v>
      </c>
      <c r="T114" s="113">
        <f>IFERROR(__xludf.DUMMYFUNCTION("""COMPUTED_VALUE"""),3.0)</f>
        <v>3</v>
      </c>
      <c r="U114" s="114">
        <f>IFERROR(__xludf.DUMMYFUNCTION("""COMPUTED_VALUE"""),448.0)</f>
        <v>448</v>
      </c>
      <c r="V114" s="115">
        <f>IFERROR(__xludf.DUMMYFUNCTION("""COMPUTED_VALUE"""),112.0)</f>
        <v>112</v>
      </c>
      <c r="W114" s="136" t="str">
        <f>IFERROR(__xludf.DUMMYFUNCTION("""COMPUTED_VALUE"""),"2")</f>
        <v>2</v>
      </c>
      <c r="X114" s="117" t="str">
        <f>IFERROR(__xludf.DUMMYFUNCTION("""COMPUTED_VALUE"""),"Collierville")</f>
        <v>Collierville</v>
      </c>
      <c r="Y114" s="118">
        <f>IFERROR(__xludf.DUMMYFUNCTION("""COMPUTED_VALUE"""),112.0)</f>
        <v>112</v>
      </c>
      <c r="Z114" s="35"/>
      <c r="AA114" s="35"/>
      <c r="AB114" s="35"/>
      <c r="AC114" s="35"/>
      <c r="AD114" s="35"/>
      <c r="AE114" s="53"/>
      <c r="AF114" s="53"/>
      <c r="AG114" s="35"/>
      <c r="AH114" s="53"/>
      <c r="AI114" s="35"/>
      <c r="AJ114" s="90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</row>
    <row r="115" ht="18.75" customHeight="1">
      <c r="A115" s="53"/>
      <c r="B115" s="94"/>
      <c r="C115" s="121" t="str">
        <f>IFERROR(__xludf.DUMMYFUNCTION("""COMPUTED_VALUE"""),"Edison A")</f>
        <v>Edison A</v>
      </c>
      <c r="D115" s="122">
        <f>IFERROR(__xludf.DUMMYFUNCTION("""COMPUTED_VALUE"""),40.0)</f>
        <v>40</v>
      </c>
      <c r="E115" s="123" t="str">
        <f>IFERROR(__xludf.DUMMYFUNCTION("""COMPUTED_VALUE"""),"L")</f>
        <v>L</v>
      </c>
      <c r="F115" s="124"/>
      <c r="G115" s="125"/>
      <c r="H115" s="108">
        <f>IFERROR(__xludf.DUMMYFUNCTION("""COMPUTED_VALUE"""),36.0)</f>
        <v>36</v>
      </c>
      <c r="I115" s="123" t="str">
        <f>IFERROR(__xludf.DUMMYFUNCTION("""COMPUTED_VALUE"""),"L")</f>
        <v>L</v>
      </c>
      <c r="J115" s="108">
        <f>IFERROR(__xludf.DUMMYFUNCTION("""COMPUTED_VALUE"""),62.0)</f>
        <v>62</v>
      </c>
      <c r="K115" s="123" t="str">
        <f>IFERROR(__xludf.DUMMYFUNCTION("""COMPUTED_VALUE"""),"L")</f>
        <v>L</v>
      </c>
      <c r="L115" s="108">
        <f>IFERROR(__xludf.DUMMYFUNCTION("""COMPUTED_VALUE"""),126.0)</f>
        <v>126</v>
      </c>
      <c r="M115" s="126" t="str">
        <f>IFERROR(__xludf.DUMMYFUNCTION("""COMPUTED_VALUE"""),"W")</f>
        <v>W</v>
      </c>
      <c r="N115" s="108" t="str">
        <f>IFERROR(__xludf.DUMMYFUNCTION("""COMPUTED_VALUE"""),"")</f>
        <v/>
      </c>
      <c r="O115" s="110" t="str">
        <f>IFERROR(__xludf.DUMMYFUNCTION("""COMPUTED_VALUE"""),"")</f>
        <v/>
      </c>
      <c r="Q115" s="111">
        <f>IFERROR(__xludf.DUMMYFUNCTION("""COMPUTED_VALUE"""),1.0)</f>
        <v>1</v>
      </c>
      <c r="R115" s="112">
        <f>IFERROR(__xludf.DUMMYFUNCTION("""COMPUTED_VALUE"""),0.0)</f>
        <v>0</v>
      </c>
      <c r="S115" s="112">
        <f>IFERROR(__xludf.DUMMYFUNCTION("""COMPUTED_VALUE"""),3.0)</f>
        <v>3</v>
      </c>
      <c r="T115" s="113">
        <f>IFERROR(__xludf.DUMMYFUNCTION("""COMPUTED_VALUE"""),1.0)</f>
        <v>1</v>
      </c>
      <c r="U115" s="114">
        <f>IFERROR(__xludf.DUMMYFUNCTION("""COMPUTED_VALUE"""),264.0)</f>
        <v>264</v>
      </c>
      <c r="V115" s="115">
        <f>IFERROR(__xludf.DUMMYFUNCTION("""COMPUTED_VALUE"""),66.0)</f>
        <v>66</v>
      </c>
      <c r="W115" s="116" t="str">
        <f>IFERROR(__xludf.DUMMYFUNCTION("""COMPUTED_VALUE"""),"4")</f>
        <v>4</v>
      </c>
      <c r="X115" s="117" t="str">
        <f>IFERROR(__xludf.DUMMYFUNCTION("""COMPUTED_VALUE"""),"Edison A")</f>
        <v>Edison A</v>
      </c>
      <c r="Y115" s="118">
        <f>IFERROR(__xludf.DUMMYFUNCTION("""COMPUTED_VALUE"""),66.0)</f>
        <v>66</v>
      </c>
      <c r="Z115" s="35"/>
      <c r="AA115" s="35"/>
      <c r="AB115" s="35"/>
      <c r="AC115" s="35"/>
      <c r="AD115" s="35"/>
      <c r="AE115" s="53"/>
      <c r="AF115" s="53"/>
      <c r="AG115" s="35"/>
      <c r="AH115" s="53"/>
      <c r="AI115" s="35"/>
      <c r="AJ115" s="90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</row>
    <row r="116" ht="18.75" customHeight="1">
      <c r="A116" s="53"/>
      <c r="B116" s="94"/>
      <c r="C116" s="121" t="str">
        <f>IFERROR(__xludf.DUMMYFUNCTION("""COMPUTED_VALUE"""),"Green Hope A")</f>
        <v>Green Hope A</v>
      </c>
      <c r="D116" s="122">
        <f>IFERROR(__xludf.DUMMYFUNCTION("""COMPUTED_VALUE"""),230.0)</f>
        <v>230</v>
      </c>
      <c r="E116" s="123" t="str">
        <f>IFERROR(__xludf.DUMMYFUNCTION("""COMPUTED_VALUE"""),"W")</f>
        <v>W</v>
      </c>
      <c r="F116" s="128">
        <f>IFERROR(__xludf.DUMMYFUNCTION("""COMPUTED_VALUE"""),180.0)</f>
        <v>180</v>
      </c>
      <c r="G116" s="123" t="str">
        <f>IFERROR(__xludf.DUMMYFUNCTION("""COMPUTED_VALUE"""),"W")</f>
        <v>W</v>
      </c>
      <c r="H116" s="124"/>
      <c r="I116" s="125"/>
      <c r="J116" s="108">
        <f>IFERROR(__xludf.DUMMYFUNCTION("""COMPUTED_VALUE"""),196.0)</f>
        <v>196</v>
      </c>
      <c r="K116" s="123" t="str">
        <f>IFERROR(__xludf.DUMMYFUNCTION("""COMPUTED_VALUE"""),"W")</f>
        <v>W</v>
      </c>
      <c r="L116" s="108">
        <f>IFERROR(__xludf.DUMMYFUNCTION("""COMPUTED_VALUE"""),154.0)</f>
        <v>154</v>
      </c>
      <c r="M116" s="126" t="str">
        <f>IFERROR(__xludf.DUMMYFUNCTION("""COMPUTED_VALUE"""),"W")</f>
        <v>W</v>
      </c>
      <c r="N116" s="108" t="str">
        <f>IFERROR(__xludf.DUMMYFUNCTION("""COMPUTED_VALUE"""),"")</f>
        <v/>
      </c>
      <c r="O116" s="110" t="str">
        <f>IFERROR(__xludf.DUMMYFUNCTION("""COMPUTED_VALUE"""),"")</f>
        <v/>
      </c>
      <c r="Q116" s="111">
        <f>IFERROR(__xludf.DUMMYFUNCTION("""COMPUTED_VALUE"""),4.0)</f>
        <v>4</v>
      </c>
      <c r="R116" s="112">
        <f>IFERROR(__xludf.DUMMYFUNCTION("""COMPUTED_VALUE"""),0.0)</f>
        <v>0</v>
      </c>
      <c r="S116" s="112">
        <f>IFERROR(__xludf.DUMMYFUNCTION("""COMPUTED_VALUE"""),0.0)</f>
        <v>0</v>
      </c>
      <c r="T116" s="113">
        <f>IFERROR(__xludf.DUMMYFUNCTION("""COMPUTED_VALUE"""),4.0)</f>
        <v>4</v>
      </c>
      <c r="U116" s="114">
        <f>IFERROR(__xludf.DUMMYFUNCTION("""COMPUTED_VALUE"""),760.0)</f>
        <v>760</v>
      </c>
      <c r="V116" s="115">
        <f>IFERROR(__xludf.DUMMYFUNCTION("""COMPUTED_VALUE"""),190.0)</f>
        <v>190</v>
      </c>
      <c r="W116" s="136" t="str">
        <f>IFERROR(__xludf.DUMMYFUNCTION("""COMPUTED_VALUE"""),"1")</f>
        <v>1</v>
      </c>
      <c r="X116" s="117" t="str">
        <f>IFERROR(__xludf.DUMMYFUNCTION("""COMPUTED_VALUE"""),"Green Hope A")</f>
        <v>Green Hope A</v>
      </c>
      <c r="Y116" s="118">
        <f>IFERROR(__xludf.DUMMYFUNCTION("""COMPUTED_VALUE"""),190.0)</f>
        <v>190</v>
      </c>
      <c r="Z116" s="35"/>
      <c r="AA116" s="35"/>
      <c r="AB116" s="35"/>
      <c r="AC116" s="35"/>
      <c r="AD116" s="35"/>
      <c r="AE116" s="53"/>
      <c r="AF116" s="53"/>
      <c r="AG116" s="35"/>
      <c r="AH116" s="53"/>
      <c r="AI116" s="35"/>
      <c r="AJ116" s="90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</row>
    <row r="117" ht="18.75" customHeight="1">
      <c r="A117" s="53"/>
      <c r="B117" s="94"/>
      <c r="C117" s="121" t="str">
        <f>IFERROR(__xludf.DUMMYFUNCTION("""COMPUTED_VALUE"""),"Naperville North B")</f>
        <v>Naperville North B</v>
      </c>
      <c r="D117" s="122">
        <f>IFERROR(__xludf.DUMMYFUNCTION("""COMPUTED_VALUE"""),72.0)</f>
        <v>72</v>
      </c>
      <c r="E117" s="123" t="str">
        <f>IFERROR(__xludf.DUMMYFUNCTION("""COMPUTED_VALUE"""),"L")</f>
        <v>L</v>
      </c>
      <c r="F117" s="128">
        <f>IFERROR(__xludf.DUMMYFUNCTION("""COMPUTED_VALUE"""),112.0)</f>
        <v>112</v>
      </c>
      <c r="G117" s="123" t="str">
        <f>IFERROR(__xludf.DUMMYFUNCTION("""COMPUTED_VALUE"""),"W")</f>
        <v>W</v>
      </c>
      <c r="H117" s="128">
        <f>IFERROR(__xludf.DUMMYFUNCTION("""COMPUTED_VALUE"""),0.0)</f>
        <v>0</v>
      </c>
      <c r="I117" s="123" t="str">
        <f>IFERROR(__xludf.DUMMYFUNCTION("""COMPUTED_VALUE"""),"L")</f>
        <v>L</v>
      </c>
      <c r="J117" s="124"/>
      <c r="K117" s="125"/>
      <c r="L117" s="108">
        <f>IFERROR(__xludf.DUMMYFUNCTION("""COMPUTED_VALUE"""),44.0)</f>
        <v>44</v>
      </c>
      <c r="M117" s="126" t="str">
        <f>IFERROR(__xludf.DUMMYFUNCTION("""COMPUTED_VALUE"""),"W")</f>
        <v>W</v>
      </c>
      <c r="N117" s="108" t="str">
        <f>IFERROR(__xludf.DUMMYFUNCTION("""COMPUTED_VALUE"""),"")</f>
        <v/>
      </c>
      <c r="O117" s="110" t="str">
        <f>IFERROR(__xludf.DUMMYFUNCTION("""COMPUTED_VALUE"""),"")</f>
        <v/>
      </c>
      <c r="Q117" s="111">
        <f>IFERROR(__xludf.DUMMYFUNCTION("""COMPUTED_VALUE"""),2.0)</f>
        <v>2</v>
      </c>
      <c r="R117" s="112">
        <f>IFERROR(__xludf.DUMMYFUNCTION("""COMPUTED_VALUE"""),0.0)</f>
        <v>0</v>
      </c>
      <c r="S117" s="112">
        <f>IFERROR(__xludf.DUMMYFUNCTION("""COMPUTED_VALUE"""),2.0)</f>
        <v>2</v>
      </c>
      <c r="T117" s="113">
        <f>IFERROR(__xludf.DUMMYFUNCTION("""COMPUTED_VALUE"""),2.0)</f>
        <v>2</v>
      </c>
      <c r="U117" s="114">
        <f>IFERROR(__xludf.DUMMYFUNCTION("""COMPUTED_VALUE"""),228.0)</f>
        <v>228</v>
      </c>
      <c r="V117" s="115">
        <f>IFERROR(__xludf.DUMMYFUNCTION("""COMPUTED_VALUE"""),57.0)</f>
        <v>57</v>
      </c>
      <c r="W117" s="116" t="str">
        <f>IFERROR(__xludf.DUMMYFUNCTION("""COMPUTED_VALUE"""),"3")</f>
        <v>3</v>
      </c>
      <c r="X117" s="117" t="str">
        <f>IFERROR(__xludf.DUMMYFUNCTION("""COMPUTED_VALUE"""),"Naperville North B")</f>
        <v>Naperville North B</v>
      </c>
      <c r="Y117" s="118">
        <f>IFERROR(__xludf.DUMMYFUNCTION("""COMPUTED_VALUE"""),57.0)</f>
        <v>57</v>
      </c>
      <c r="Z117" s="35"/>
      <c r="AA117" s="35"/>
      <c r="AB117" s="35"/>
      <c r="AC117" s="35"/>
      <c r="AD117" s="35"/>
      <c r="AE117" s="53"/>
      <c r="AF117" s="53"/>
      <c r="AG117" s="35"/>
      <c r="AH117" s="53"/>
      <c r="AI117" s="35"/>
      <c r="AJ117" s="90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</row>
    <row r="118" ht="18.75" customHeight="1">
      <c r="A118" s="53"/>
      <c r="B118" s="94"/>
      <c r="C118" s="121" t="str">
        <f>IFERROR(__xludf.DUMMYFUNCTION("""COMPUTED_VALUE"""),"RMHS C")</f>
        <v>RMHS C</v>
      </c>
      <c r="D118" s="122">
        <f>IFERROR(__xludf.DUMMYFUNCTION("""COMPUTED_VALUE"""),24.0)</f>
        <v>24</v>
      </c>
      <c r="E118" s="133" t="str">
        <f>IFERROR(__xludf.DUMMYFUNCTION("""COMPUTED_VALUE"""),"L")</f>
        <v>L</v>
      </c>
      <c r="F118" s="128">
        <f>IFERROR(__xludf.DUMMYFUNCTION("""COMPUTED_VALUE"""),22.0)</f>
        <v>22</v>
      </c>
      <c r="G118" s="133" t="str">
        <f>IFERROR(__xludf.DUMMYFUNCTION("""COMPUTED_VALUE"""),"L")</f>
        <v>L</v>
      </c>
      <c r="H118" s="128">
        <f>IFERROR(__xludf.DUMMYFUNCTION("""COMPUTED_VALUE"""),22.0)</f>
        <v>22</v>
      </c>
      <c r="I118" s="133" t="str">
        <f>IFERROR(__xludf.DUMMYFUNCTION("""COMPUTED_VALUE"""),"L")</f>
        <v>L</v>
      </c>
      <c r="J118" s="128">
        <f>IFERROR(__xludf.DUMMYFUNCTION("""COMPUTED_VALUE"""),38.0)</f>
        <v>38</v>
      </c>
      <c r="K118" s="133" t="str">
        <f>IFERROR(__xludf.DUMMYFUNCTION("""COMPUTED_VALUE"""),"L")</f>
        <v>L</v>
      </c>
      <c r="L118" s="134"/>
      <c r="M118" s="135"/>
      <c r="N118" s="108" t="str">
        <f>IFERROR(__xludf.DUMMYFUNCTION("""COMPUTED_VALUE"""),"")</f>
        <v/>
      </c>
      <c r="O118" s="110" t="str">
        <f>IFERROR(__xludf.DUMMYFUNCTION("""COMPUTED_VALUE"""),"")</f>
        <v/>
      </c>
      <c r="Q118" s="111">
        <f>IFERROR(__xludf.DUMMYFUNCTION("""COMPUTED_VALUE"""),0.0)</f>
        <v>0</v>
      </c>
      <c r="R118" s="112">
        <f>IFERROR(__xludf.DUMMYFUNCTION("""COMPUTED_VALUE"""),0.0)</f>
        <v>0</v>
      </c>
      <c r="S118" s="112">
        <f>IFERROR(__xludf.DUMMYFUNCTION("""COMPUTED_VALUE"""),4.0)</f>
        <v>4</v>
      </c>
      <c r="T118" s="113">
        <f>IFERROR(__xludf.DUMMYFUNCTION("""COMPUTED_VALUE"""),0.0)</f>
        <v>0</v>
      </c>
      <c r="U118" s="114">
        <f>IFERROR(__xludf.DUMMYFUNCTION("""COMPUTED_VALUE"""),106.0)</f>
        <v>106</v>
      </c>
      <c r="V118" s="115">
        <f>IFERROR(__xludf.DUMMYFUNCTION("""COMPUTED_VALUE"""),26.5)</f>
        <v>26.5</v>
      </c>
      <c r="W118" s="136" t="str">
        <f>IFERROR(__xludf.DUMMYFUNCTION("""COMPUTED_VALUE"""),"5")</f>
        <v>5</v>
      </c>
      <c r="X118" s="117" t="str">
        <f>IFERROR(__xludf.DUMMYFUNCTION("""COMPUTED_VALUE"""),"RMHS C")</f>
        <v>RMHS C</v>
      </c>
      <c r="Y118" s="118">
        <f>IFERROR(__xludf.DUMMYFUNCTION("""COMPUTED_VALUE"""),26.5)</f>
        <v>26.5</v>
      </c>
      <c r="Z118" s="35"/>
      <c r="AA118" s="35"/>
      <c r="AB118" s="35"/>
      <c r="AC118" s="35"/>
      <c r="AD118" s="35"/>
      <c r="AE118" s="53"/>
      <c r="AF118" s="53"/>
      <c r="AG118" s="35"/>
      <c r="AH118" s="53"/>
      <c r="AI118" s="35"/>
      <c r="AJ118" s="90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</row>
    <row r="119" ht="18.75" customHeight="1">
      <c r="A119" s="53"/>
      <c r="B119" s="94"/>
      <c r="C119" s="121" t="str">
        <f>IFERROR(__xludf.DUMMYFUNCTION("""COMPUTED_VALUE"""),"BYE")</f>
        <v>BYE</v>
      </c>
      <c r="D119" s="122" t="str">
        <f>IFERROR(__xludf.DUMMYFUNCTION("""COMPUTED_VALUE"""),"")</f>
        <v/>
      </c>
      <c r="E119" s="133" t="str">
        <f>IFERROR(__xludf.DUMMYFUNCTION("""COMPUTED_VALUE"""),"")</f>
        <v/>
      </c>
      <c r="F119" s="128" t="str">
        <f>IFERROR(__xludf.DUMMYFUNCTION("""COMPUTED_VALUE"""),"")</f>
        <v/>
      </c>
      <c r="G119" s="133" t="str">
        <f>IFERROR(__xludf.DUMMYFUNCTION("""COMPUTED_VALUE"""),"")</f>
        <v/>
      </c>
      <c r="H119" s="128" t="str">
        <f>IFERROR(__xludf.DUMMYFUNCTION("""COMPUTED_VALUE"""),"")</f>
        <v/>
      </c>
      <c r="I119" s="123" t="str">
        <f>IFERROR(__xludf.DUMMYFUNCTION("""COMPUTED_VALUE"""),"")</f>
        <v/>
      </c>
      <c r="J119" s="128" t="str">
        <f>IFERROR(__xludf.DUMMYFUNCTION("""COMPUTED_VALUE"""),"")</f>
        <v/>
      </c>
      <c r="K119" s="133" t="str">
        <f>IFERROR(__xludf.DUMMYFUNCTION("""COMPUTED_VALUE"""),"")</f>
        <v/>
      </c>
      <c r="L119" s="128" t="str">
        <f>IFERROR(__xludf.DUMMYFUNCTION("""COMPUTED_VALUE"""),"")</f>
        <v/>
      </c>
      <c r="M119" s="133" t="str">
        <f>IFERROR(__xludf.DUMMYFUNCTION("""COMPUTED_VALUE"""),"")</f>
        <v/>
      </c>
      <c r="N119" s="137"/>
      <c r="O119" s="138"/>
      <c r="P119" s="99"/>
      <c r="Q119" s="111">
        <f>IFERROR(__xludf.DUMMYFUNCTION("""COMPUTED_VALUE"""),0.0)</f>
        <v>0</v>
      </c>
      <c r="R119" s="112">
        <f>IFERROR(__xludf.DUMMYFUNCTION("""COMPUTED_VALUE"""),0.0)</f>
        <v>0</v>
      </c>
      <c r="S119" s="112">
        <f>IFERROR(__xludf.DUMMYFUNCTION("""COMPUTED_VALUE"""),0.0)</f>
        <v>0</v>
      </c>
      <c r="T119" s="113">
        <f>IFERROR(__xludf.DUMMYFUNCTION("""COMPUTED_VALUE"""),0.0)</f>
        <v>0</v>
      </c>
      <c r="U119" s="114">
        <f>IFERROR(__xludf.DUMMYFUNCTION("""COMPUTED_VALUE"""),0.0)</f>
        <v>0</v>
      </c>
      <c r="V119" s="115" t="str">
        <f>IFERROR(__xludf.DUMMYFUNCTION("""COMPUTED_VALUE"""),"")</f>
        <v/>
      </c>
      <c r="W119" s="136"/>
      <c r="X119" s="117" t="str">
        <f>IFERROR(__xludf.DUMMYFUNCTION("""COMPUTED_VALUE"""),"BYE")</f>
        <v>BYE</v>
      </c>
      <c r="Y119" s="118" t="str">
        <f>IFERROR(__xludf.DUMMYFUNCTION("""COMPUTED_VALUE"""),"")</f>
        <v/>
      </c>
      <c r="Z119" s="35"/>
      <c r="AA119" s="35"/>
      <c r="AB119" s="35"/>
      <c r="AC119" s="35"/>
      <c r="AD119" s="35"/>
      <c r="AE119" s="53"/>
      <c r="AF119" s="53"/>
      <c r="AG119" s="35"/>
      <c r="AH119" s="53"/>
      <c r="AI119" s="35"/>
      <c r="AJ119" s="90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</row>
    <row r="120" ht="18.75" customHeight="1">
      <c r="A120" s="35"/>
      <c r="B120" s="139"/>
      <c r="C120" s="14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141"/>
      <c r="Y120" s="35"/>
      <c r="Z120" s="35"/>
      <c r="AA120" s="35"/>
      <c r="AB120" s="35"/>
      <c r="AC120" s="35"/>
      <c r="AD120" s="35"/>
      <c r="AE120" s="53"/>
      <c r="AF120" s="53"/>
      <c r="AG120" s="35"/>
      <c r="AH120" s="53"/>
      <c r="AI120" s="35"/>
      <c r="AJ120" s="90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</row>
    <row r="121" ht="18.75" customHeight="1">
      <c r="A121" s="53"/>
      <c r="B121" s="53"/>
      <c r="C121" s="53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143"/>
      <c r="U121" s="35"/>
      <c r="V121" s="35"/>
      <c r="W121" s="64"/>
      <c r="X121" s="35"/>
      <c r="Y121" s="35"/>
      <c r="Z121" s="35"/>
      <c r="AA121" s="35"/>
      <c r="AB121" s="35"/>
      <c r="AC121" s="35"/>
      <c r="AD121" s="35"/>
      <c r="AE121" s="53"/>
      <c r="AF121" s="53"/>
      <c r="AG121" s="35"/>
      <c r="AH121" s="53"/>
      <c r="AI121" s="35"/>
      <c r="AJ121" s="90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</row>
    <row r="122" ht="18.75" customHeight="1">
      <c r="A122" s="53"/>
      <c r="B122" s="53"/>
      <c r="C122" s="53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143"/>
      <c r="U122" s="35"/>
      <c r="V122" s="35"/>
      <c r="W122" s="64"/>
      <c r="X122" s="35"/>
      <c r="Y122" s="35"/>
      <c r="Z122" s="35"/>
      <c r="AA122" s="35"/>
      <c r="AB122" s="35"/>
      <c r="AC122" s="35"/>
      <c r="AD122" s="35"/>
      <c r="AE122" s="53"/>
      <c r="AF122" s="53"/>
      <c r="AG122" s="35"/>
      <c r="AH122" s="53"/>
      <c r="AI122" s="35"/>
      <c r="AJ122" s="90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</row>
    <row r="123" ht="18.75" customHeight="1">
      <c r="A123" s="73"/>
      <c r="B123" s="73"/>
      <c r="C123" s="73" t="str">
        <f>IFERROR(__xludf.DUMMYFUNCTION("""COMPUTED_VALUE"""),"Kepler")</f>
        <v>Kepler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74"/>
      <c r="U123" s="10"/>
      <c r="V123" s="10"/>
      <c r="W123" s="76"/>
      <c r="X123" s="10"/>
      <c r="Y123" s="35"/>
      <c r="Z123" s="35"/>
      <c r="AA123" s="35"/>
      <c r="AB123" s="35"/>
      <c r="AC123" s="35"/>
      <c r="AD123" s="35"/>
      <c r="AE123" s="53"/>
      <c r="AF123" s="53"/>
      <c r="AG123" s="35"/>
      <c r="AH123" s="53"/>
      <c r="AI123" s="35"/>
      <c r="AJ123" s="90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</row>
    <row r="124" ht="18.75" customHeight="1">
      <c r="A124" s="35"/>
      <c r="B124" s="80"/>
      <c r="C124" s="82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7"/>
      <c r="Y124" s="35"/>
      <c r="Z124" s="35"/>
      <c r="AA124" s="35"/>
      <c r="AB124" s="35"/>
      <c r="AC124" s="35"/>
      <c r="AD124" s="35"/>
      <c r="AE124" s="53"/>
      <c r="AF124" s="53"/>
      <c r="AG124" s="35"/>
      <c r="AH124" s="53"/>
      <c r="AI124" s="35"/>
      <c r="AJ124" s="90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</row>
    <row r="125" ht="18.75" customHeight="1">
      <c r="A125" s="92"/>
      <c r="B125" s="94"/>
      <c r="C125" s="95" t="str">
        <f>IFERROR(__xludf.DUMMYFUNCTION("""COMPUTED_VALUE"""),"Team")</f>
        <v>Team</v>
      </c>
      <c r="D125" s="53" t="str">
        <f>IFERROR(__xludf.DUMMYFUNCTION("""COMPUTED_VALUE"""),"ASFA B")</f>
        <v>ASFA B</v>
      </c>
      <c r="F125" s="97" t="str">
        <f>IFERROR(__xludf.DUMMYFUNCTION("""COMPUTED_VALUE"""),"Brooklyn Tech C")</f>
        <v>Brooklyn Tech C</v>
      </c>
      <c r="G125" s="98"/>
      <c r="H125" s="97" t="str">
        <f>IFERROR(__xludf.DUMMYFUNCTION("""COMPUTED_VALUE"""),"Iolani A")</f>
        <v>Iolani A</v>
      </c>
      <c r="I125" s="98"/>
      <c r="J125" s="97" t="str">
        <f>IFERROR(__xludf.DUMMYFUNCTION("""COMPUTED_VALUE"""),"MSMS")</f>
        <v>MSMS</v>
      </c>
      <c r="K125" s="98"/>
      <c r="L125" s="97" t="str">
        <f>IFERROR(__xludf.DUMMYFUNCTION("""COMPUTED_VALUE"""),"New Canaan")</f>
        <v>New Canaan</v>
      </c>
      <c r="M125" s="98"/>
      <c r="N125" s="97" t="str">
        <f>IFERROR(__xludf.DUMMYFUNCTION("""COMPUTED_VALUE"""),"BYE")</f>
        <v>BYE</v>
      </c>
      <c r="O125" s="98"/>
      <c r="P125" s="99"/>
      <c r="Q125" s="100" t="str">
        <f>IFERROR(__xludf.DUMMYFUNCTION("""COMPUTED_VALUE"""),"W")</f>
        <v>W</v>
      </c>
      <c r="R125" s="100" t="str">
        <f>IFERROR(__xludf.DUMMYFUNCTION("""COMPUTED_VALUE"""),"T")</f>
        <v>T</v>
      </c>
      <c r="S125" s="100" t="str">
        <f>IFERROR(__xludf.DUMMYFUNCTION("""COMPUTED_VALUE"""),"L")</f>
        <v>L</v>
      </c>
      <c r="T125" s="101" t="str">
        <f>IFERROR(__xludf.DUMMYFUNCTION("""COMPUTED_VALUE"""),"W/L Score")</f>
        <v>W/L Score</v>
      </c>
      <c r="U125" s="100" t="str">
        <f>IFERROR(__xludf.DUMMYFUNCTION("""COMPUTED_VALUE"""),"Points")</f>
        <v>Points</v>
      </c>
      <c r="V125" s="100" t="str">
        <f>IFERROR(__xludf.DUMMYFUNCTION("""COMPUTED_VALUE"""),"Average")</f>
        <v>Average</v>
      </c>
      <c r="W125" s="102" t="str">
        <f>IFERROR(__xludf.DUMMYFUNCTION("""COMPUTED_VALUE"""),"Rank")</f>
        <v>Rank</v>
      </c>
      <c r="X125" s="103"/>
      <c r="Y125" s="35"/>
      <c r="Z125" s="35"/>
      <c r="AA125" s="35"/>
      <c r="AB125" s="35"/>
      <c r="AC125" s="35"/>
      <c r="AD125" s="35"/>
      <c r="AE125" s="53"/>
      <c r="AF125" s="53"/>
      <c r="AG125" s="35"/>
      <c r="AH125" s="53"/>
      <c r="AI125" s="35"/>
      <c r="AJ125" s="90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</row>
    <row r="126" ht="18.75" customHeight="1">
      <c r="A126" s="104"/>
      <c r="B126" s="94"/>
      <c r="C126" s="105" t="str">
        <f>IFERROR(__xludf.DUMMYFUNCTION("""COMPUTED_VALUE"""),"ASFA B")</f>
        <v>ASFA B</v>
      </c>
      <c r="D126" s="106"/>
      <c r="E126" s="107"/>
      <c r="F126" s="108">
        <f>IFERROR(__xludf.DUMMYFUNCTION("""COMPUTED_VALUE"""),74.0)</f>
        <v>74</v>
      </c>
      <c r="G126" s="109" t="str">
        <f>IFERROR(__xludf.DUMMYFUNCTION("""COMPUTED_VALUE"""),"W")</f>
        <v>W</v>
      </c>
      <c r="H126" s="108">
        <f>IFERROR(__xludf.DUMMYFUNCTION("""COMPUTED_VALUE"""),114.0)</f>
        <v>114</v>
      </c>
      <c r="I126" s="109" t="str">
        <f>IFERROR(__xludf.DUMMYFUNCTION("""COMPUTED_VALUE"""),"W")</f>
        <v>W</v>
      </c>
      <c r="J126" s="108">
        <f>IFERROR(__xludf.DUMMYFUNCTION("""COMPUTED_VALUE"""),62.0)</f>
        <v>62</v>
      </c>
      <c r="K126" s="109" t="str">
        <f>IFERROR(__xludf.DUMMYFUNCTION("""COMPUTED_VALUE"""),"L")</f>
        <v>L</v>
      </c>
      <c r="L126" s="108">
        <f>IFERROR(__xludf.DUMMYFUNCTION("""COMPUTED_VALUE"""),72.0)</f>
        <v>72</v>
      </c>
      <c r="M126" s="110" t="str">
        <f>IFERROR(__xludf.DUMMYFUNCTION("""COMPUTED_VALUE"""),"L")</f>
        <v>L</v>
      </c>
      <c r="N126" s="108" t="str">
        <f>IFERROR(__xludf.DUMMYFUNCTION("""COMPUTED_VALUE"""),"")</f>
        <v/>
      </c>
      <c r="O126" s="110" t="str">
        <f>IFERROR(__xludf.DUMMYFUNCTION("""COMPUTED_VALUE"""),"")</f>
        <v/>
      </c>
      <c r="Q126" s="111">
        <f>IFERROR(__xludf.DUMMYFUNCTION("""COMPUTED_VALUE"""),2.0)</f>
        <v>2</v>
      </c>
      <c r="R126" s="112">
        <f>IFERROR(__xludf.DUMMYFUNCTION("""COMPUTED_VALUE"""),0.0)</f>
        <v>0</v>
      </c>
      <c r="S126" s="112">
        <f>IFERROR(__xludf.DUMMYFUNCTION("""COMPUTED_VALUE"""),2.0)</f>
        <v>2</v>
      </c>
      <c r="T126" s="113">
        <f>IFERROR(__xludf.DUMMYFUNCTION("""COMPUTED_VALUE"""),2.0)</f>
        <v>2</v>
      </c>
      <c r="U126" s="114">
        <f>IFERROR(__xludf.DUMMYFUNCTION("""COMPUTED_VALUE"""),322.0)</f>
        <v>322</v>
      </c>
      <c r="V126" s="115">
        <f>IFERROR(__xludf.DUMMYFUNCTION("""COMPUTED_VALUE"""),80.5)</f>
        <v>80.5</v>
      </c>
      <c r="W126" s="136" t="str">
        <f>IFERROR(__xludf.DUMMYFUNCTION("""COMPUTED_VALUE"""),"3")</f>
        <v>3</v>
      </c>
      <c r="X126" s="117" t="str">
        <f>IFERROR(__xludf.DUMMYFUNCTION("""COMPUTED_VALUE"""),"ASFA B")</f>
        <v>ASFA B</v>
      </c>
      <c r="Y126" s="118">
        <f>IFERROR(__xludf.DUMMYFUNCTION("""COMPUTED_VALUE"""),80.5)</f>
        <v>80.5</v>
      </c>
      <c r="Z126" s="35"/>
      <c r="AA126" s="35"/>
      <c r="AB126" s="35"/>
      <c r="AC126" s="35"/>
      <c r="AD126" s="35"/>
      <c r="AE126" s="53"/>
      <c r="AF126" s="53"/>
      <c r="AG126" s="35"/>
      <c r="AH126" s="53"/>
      <c r="AI126" s="35"/>
      <c r="AJ126" s="90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</row>
    <row r="127" ht="18.75" customHeight="1">
      <c r="A127" s="53"/>
      <c r="B127" s="94"/>
      <c r="C127" s="121" t="str">
        <f>IFERROR(__xludf.DUMMYFUNCTION("""COMPUTED_VALUE"""),"Brooklyn Tech C")</f>
        <v>Brooklyn Tech C</v>
      </c>
      <c r="D127" s="122">
        <f>IFERROR(__xludf.DUMMYFUNCTION("""COMPUTED_VALUE"""),50.0)</f>
        <v>50</v>
      </c>
      <c r="E127" s="123" t="str">
        <f>IFERROR(__xludf.DUMMYFUNCTION("""COMPUTED_VALUE"""),"L")</f>
        <v>L</v>
      </c>
      <c r="F127" s="124"/>
      <c r="G127" s="125"/>
      <c r="H127" s="108">
        <f>IFERROR(__xludf.DUMMYFUNCTION("""COMPUTED_VALUE"""),12.0)</f>
        <v>12</v>
      </c>
      <c r="I127" s="123" t="str">
        <f>IFERROR(__xludf.DUMMYFUNCTION("""COMPUTED_VALUE"""),"L")</f>
        <v>L</v>
      </c>
      <c r="J127" s="108">
        <f>IFERROR(__xludf.DUMMYFUNCTION("""COMPUTED_VALUE"""),12.0)</f>
        <v>12</v>
      </c>
      <c r="K127" s="123" t="str">
        <f>IFERROR(__xludf.DUMMYFUNCTION("""COMPUTED_VALUE"""),"L")</f>
        <v>L</v>
      </c>
      <c r="L127" s="108">
        <f>IFERROR(__xludf.DUMMYFUNCTION("""COMPUTED_VALUE"""),40.0)</f>
        <v>40</v>
      </c>
      <c r="M127" s="126" t="str">
        <f>IFERROR(__xludf.DUMMYFUNCTION("""COMPUTED_VALUE"""),"L")</f>
        <v>L</v>
      </c>
      <c r="N127" s="108" t="str">
        <f>IFERROR(__xludf.DUMMYFUNCTION("""COMPUTED_VALUE"""),"")</f>
        <v/>
      </c>
      <c r="O127" s="110" t="str">
        <f>IFERROR(__xludf.DUMMYFUNCTION("""COMPUTED_VALUE"""),"")</f>
        <v/>
      </c>
      <c r="Q127" s="111">
        <f>IFERROR(__xludf.DUMMYFUNCTION("""COMPUTED_VALUE"""),0.0)</f>
        <v>0</v>
      </c>
      <c r="R127" s="112">
        <f>IFERROR(__xludf.DUMMYFUNCTION("""COMPUTED_VALUE"""),0.0)</f>
        <v>0</v>
      </c>
      <c r="S127" s="112">
        <f>IFERROR(__xludf.DUMMYFUNCTION("""COMPUTED_VALUE"""),4.0)</f>
        <v>4</v>
      </c>
      <c r="T127" s="113">
        <f>IFERROR(__xludf.DUMMYFUNCTION("""COMPUTED_VALUE"""),0.0)</f>
        <v>0</v>
      </c>
      <c r="U127" s="114">
        <f>IFERROR(__xludf.DUMMYFUNCTION("""COMPUTED_VALUE"""),114.0)</f>
        <v>114</v>
      </c>
      <c r="V127" s="115">
        <f>IFERROR(__xludf.DUMMYFUNCTION("""COMPUTED_VALUE"""),28.5)</f>
        <v>28.5</v>
      </c>
      <c r="W127" s="116" t="str">
        <f>IFERROR(__xludf.DUMMYFUNCTION("""COMPUTED_VALUE"""),"5")</f>
        <v>5</v>
      </c>
      <c r="X127" s="117" t="str">
        <f>IFERROR(__xludf.DUMMYFUNCTION("""COMPUTED_VALUE"""),"Brooklyn Tech C")</f>
        <v>Brooklyn Tech C</v>
      </c>
      <c r="Y127" s="118">
        <f>IFERROR(__xludf.DUMMYFUNCTION("""COMPUTED_VALUE"""),28.5)</f>
        <v>28.5</v>
      </c>
      <c r="Z127" s="35"/>
      <c r="AA127" s="35"/>
      <c r="AB127" s="35"/>
      <c r="AC127" s="35"/>
      <c r="AD127" s="35"/>
      <c r="AE127" s="53"/>
      <c r="AF127" s="53"/>
      <c r="AG127" s="35"/>
      <c r="AH127" s="53"/>
      <c r="AI127" s="35"/>
      <c r="AJ127" s="90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</row>
    <row r="128" ht="18.75" customHeight="1">
      <c r="A128" s="53"/>
      <c r="B128" s="94"/>
      <c r="C128" s="121" t="str">
        <f>IFERROR(__xludf.DUMMYFUNCTION("""COMPUTED_VALUE"""),"Iolani A")</f>
        <v>Iolani A</v>
      </c>
      <c r="D128" s="122">
        <f>IFERROR(__xludf.DUMMYFUNCTION("""COMPUTED_VALUE"""),90.0)</f>
        <v>90</v>
      </c>
      <c r="E128" s="123" t="str">
        <f>IFERROR(__xludf.DUMMYFUNCTION("""COMPUTED_VALUE"""),"L")</f>
        <v>L</v>
      </c>
      <c r="F128" s="128">
        <f>IFERROR(__xludf.DUMMYFUNCTION("""COMPUTED_VALUE"""),170.0)</f>
        <v>170</v>
      </c>
      <c r="G128" s="123" t="str">
        <f>IFERROR(__xludf.DUMMYFUNCTION("""COMPUTED_VALUE"""),"W")</f>
        <v>W</v>
      </c>
      <c r="H128" s="124"/>
      <c r="I128" s="125"/>
      <c r="J128" s="108">
        <f>IFERROR(__xludf.DUMMYFUNCTION("""COMPUTED_VALUE"""),120.0)</f>
        <v>120</v>
      </c>
      <c r="K128" s="123" t="str">
        <f>IFERROR(__xludf.DUMMYFUNCTION("""COMPUTED_VALUE"""),"L")</f>
        <v>L</v>
      </c>
      <c r="L128" s="108">
        <f>IFERROR(__xludf.DUMMYFUNCTION("""COMPUTED_VALUE"""),138.0)</f>
        <v>138</v>
      </c>
      <c r="M128" s="126" t="str">
        <f>IFERROR(__xludf.DUMMYFUNCTION("""COMPUTED_VALUE"""),"W")</f>
        <v>W</v>
      </c>
      <c r="N128" s="108" t="str">
        <f>IFERROR(__xludf.DUMMYFUNCTION("""COMPUTED_VALUE"""),"")</f>
        <v/>
      </c>
      <c r="O128" s="110" t="str">
        <f>IFERROR(__xludf.DUMMYFUNCTION("""COMPUTED_VALUE"""),"")</f>
        <v/>
      </c>
      <c r="Q128" s="111">
        <f>IFERROR(__xludf.DUMMYFUNCTION("""COMPUTED_VALUE"""),2.0)</f>
        <v>2</v>
      </c>
      <c r="R128" s="112">
        <f>IFERROR(__xludf.DUMMYFUNCTION("""COMPUTED_VALUE"""),0.0)</f>
        <v>0</v>
      </c>
      <c r="S128" s="112">
        <f>IFERROR(__xludf.DUMMYFUNCTION("""COMPUTED_VALUE"""),2.0)</f>
        <v>2</v>
      </c>
      <c r="T128" s="113">
        <f>IFERROR(__xludf.DUMMYFUNCTION("""COMPUTED_VALUE"""),2.0)</f>
        <v>2</v>
      </c>
      <c r="U128" s="114">
        <f>IFERROR(__xludf.DUMMYFUNCTION("""COMPUTED_VALUE"""),518.0)</f>
        <v>518</v>
      </c>
      <c r="V128" s="115">
        <f>IFERROR(__xludf.DUMMYFUNCTION("""COMPUTED_VALUE"""),129.5)</f>
        <v>129.5</v>
      </c>
      <c r="W128" s="136" t="str">
        <f>IFERROR(__xludf.DUMMYFUNCTION("""COMPUTED_VALUE"""),"2")</f>
        <v>2</v>
      </c>
      <c r="X128" s="117" t="str">
        <f>IFERROR(__xludf.DUMMYFUNCTION("""COMPUTED_VALUE"""),"Iolani A")</f>
        <v>Iolani A</v>
      </c>
      <c r="Y128" s="118">
        <f>IFERROR(__xludf.DUMMYFUNCTION("""COMPUTED_VALUE"""),129.5)</f>
        <v>129.5</v>
      </c>
      <c r="Z128" s="35"/>
      <c r="AA128" s="35"/>
      <c r="AB128" s="35"/>
      <c r="AC128" s="35"/>
      <c r="AD128" s="35"/>
      <c r="AE128" s="53"/>
      <c r="AF128" s="53"/>
      <c r="AG128" s="35"/>
      <c r="AH128" s="53"/>
      <c r="AI128" s="35"/>
      <c r="AJ128" s="90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</row>
    <row r="129" ht="18.75" customHeight="1">
      <c r="A129" s="53"/>
      <c r="B129" s="94"/>
      <c r="C129" s="121" t="str">
        <f>IFERROR(__xludf.DUMMYFUNCTION("""COMPUTED_VALUE"""),"MSMS")</f>
        <v>MSMS</v>
      </c>
      <c r="D129" s="122">
        <f>IFERROR(__xludf.DUMMYFUNCTION("""COMPUTED_VALUE"""),126.0)</f>
        <v>126</v>
      </c>
      <c r="E129" s="123" t="str">
        <f>IFERROR(__xludf.DUMMYFUNCTION("""COMPUTED_VALUE"""),"W")</f>
        <v>W</v>
      </c>
      <c r="F129" s="128">
        <f>IFERROR(__xludf.DUMMYFUNCTION("""COMPUTED_VALUE"""),132.0)</f>
        <v>132</v>
      </c>
      <c r="G129" s="123" t="str">
        <f>IFERROR(__xludf.DUMMYFUNCTION("""COMPUTED_VALUE"""),"W")</f>
        <v>W</v>
      </c>
      <c r="H129" s="128">
        <f>IFERROR(__xludf.DUMMYFUNCTION("""COMPUTED_VALUE"""),146.0)</f>
        <v>146</v>
      </c>
      <c r="I129" s="123" t="str">
        <f>IFERROR(__xludf.DUMMYFUNCTION("""COMPUTED_VALUE"""),"W")</f>
        <v>W</v>
      </c>
      <c r="J129" s="124"/>
      <c r="K129" s="125"/>
      <c r="L129" s="108">
        <f>IFERROR(__xludf.DUMMYFUNCTION("""COMPUTED_VALUE"""),212.0)</f>
        <v>212</v>
      </c>
      <c r="M129" s="126" t="str">
        <f>IFERROR(__xludf.DUMMYFUNCTION("""COMPUTED_VALUE"""),"W")</f>
        <v>W</v>
      </c>
      <c r="N129" s="108" t="str">
        <f>IFERROR(__xludf.DUMMYFUNCTION("""COMPUTED_VALUE"""),"")</f>
        <v/>
      </c>
      <c r="O129" s="110" t="str">
        <f>IFERROR(__xludf.DUMMYFUNCTION("""COMPUTED_VALUE"""),"")</f>
        <v/>
      </c>
      <c r="Q129" s="111">
        <f>IFERROR(__xludf.DUMMYFUNCTION("""COMPUTED_VALUE"""),4.0)</f>
        <v>4</v>
      </c>
      <c r="R129" s="112">
        <f>IFERROR(__xludf.DUMMYFUNCTION("""COMPUTED_VALUE"""),0.0)</f>
        <v>0</v>
      </c>
      <c r="S129" s="112">
        <f>IFERROR(__xludf.DUMMYFUNCTION("""COMPUTED_VALUE"""),0.0)</f>
        <v>0</v>
      </c>
      <c r="T129" s="113">
        <f>IFERROR(__xludf.DUMMYFUNCTION("""COMPUTED_VALUE"""),4.0)</f>
        <v>4</v>
      </c>
      <c r="U129" s="114">
        <f>IFERROR(__xludf.DUMMYFUNCTION("""COMPUTED_VALUE"""),616.0)</f>
        <v>616</v>
      </c>
      <c r="V129" s="115">
        <f>IFERROR(__xludf.DUMMYFUNCTION("""COMPUTED_VALUE"""),154.0)</f>
        <v>154</v>
      </c>
      <c r="W129" s="116" t="str">
        <f>IFERROR(__xludf.DUMMYFUNCTION("""COMPUTED_VALUE"""),"1")</f>
        <v>1</v>
      </c>
      <c r="X129" s="117" t="str">
        <f>IFERROR(__xludf.DUMMYFUNCTION("""COMPUTED_VALUE"""),"MSMS")</f>
        <v>MSMS</v>
      </c>
      <c r="Y129" s="118">
        <f>IFERROR(__xludf.DUMMYFUNCTION("""COMPUTED_VALUE"""),154.0)</f>
        <v>154</v>
      </c>
      <c r="Z129" s="35"/>
      <c r="AA129" s="35"/>
      <c r="AB129" s="35"/>
      <c r="AC129" s="35"/>
      <c r="AD129" s="35"/>
      <c r="AE129" s="53"/>
      <c r="AF129" s="53"/>
      <c r="AG129" s="35"/>
      <c r="AH129" s="53"/>
      <c r="AI129" s="35"/>
      <c r="AJ129" s="90"/>
      <c r="AK129" s="53"/>
      <c r="AL129" s="35"/>
      <c r="AM129" s="35"/>
      <c r="AN129" s="35"/>
      <c r="AO129" s="35"/>
      <c r="AP129" s="35"/>
      <c r="AQ129" s="35"/>
      <c r="AR129" s="35"/>
      <c r="AS129" s="35"/>
      <c r="AT129" s="35"/>
    </row>
    <row r="130" ht="18.75" customHeight="1">
      <c r="A130" s="53"/>
      <c r="B130" s="94"/>
      <c r="C130" s="121" t="str">
        <f>IFERROR(__xludf.DUMMYFUNCTION("""COMPUTED_VALUE"""),"New Canaan")</f>
        <v>New Canaan</v>
      </c>
      <c r="D130" s="122">
        <f>IFERROR(__xludf.DUMMYFUNCTION("""COMPUTED_VALUE"""),80.0)</f>
        <v>80</v>
      </c>
      <c r="E130" s="133" t="str">
        <f>IFERROR(__xludf.DUMMYFUNCTION("""COMPUTED_VALUE"""),"W")</f>
        <v>W</v>
      </c>
      <c r="F130" s="128">
        <f>IFERROR(__xludf.DUMMYFUNCTION("""COMPUTED_VALUE"""),92.0)</f>
        <v>92</v>
      </c>
      <c r="G130" s="133" t="str">
        <f>IFERROR(__xludf.DUMMYFUNCTION("""COMPUTED_VALUE"""),"W")</f>
        <v>W</v>
      </c>
      <c r="H130" s="128">
        <f>IFERROR(__xludf.DUMMYFUNCTION("""COMPUTED_VALUE"""),30.0)</f>
        <v>30</v>
      </c>
      <c r="I130" s="133" t="str">
        <f>IFERROR(__xludf.DUMMYFUNCTION("""COMPUTED_VALUE"""),"L")</f>
        <v>L</v>
      </c>
      <c r="J130" s="128">
        <f>IFERROR(__xludf.DUMMYFUNCTION("""COMPUTED_VALUE"""),36.0)</f>
        <v>36</v>
      </c>
      <c r="K130" s="133" t="str">
        <f>IFERROR(__xludf.DUMMYFUNCTION("""COMPUTED_VALUE"""),"L")</f>
        <v>L</v>
      </c>
      <c r="L130" s="134"/>
      <c r="M130" s="135"/>
      <c r="N130" s="108" t="str">
        <f>IFERROR(__xludf.DUMMYFUNCTION("""COMPUTED_VALUE"""),"")</f>
        <v/>
      </c>
      <c r="O130" s="110" t="str">
        <f>IFERROR(__xludf.DUMMYFUNCTION("""COMPUTED_VALUE"""),"")</f>
        <v/>
      </c>
      <c r="Q130" s="111">
        <f>IFERROR(__xludf.DUMMYFUNCTION("""COMPUTED_VALUE"""),2.0)</f>
        <v>2</v>
      </c>
      <c r="R130" s="112">
        <f>IFERROR(__xludf.DUMMYFUNCTION("""COMPUTED_VALUE"""),0.0)</f>
        <v>0</v>
      </c>
      <c r="S130" s="112">
        <f>IFERROR(__xludf.DUMMYFUNCTION("""COMPUTED_VALUE"""),2.0)</f>
        <v>2</v>
      </c>
      <c r="T130" s="113">
        <f>IFERROR(__xludf.DUMMYFUNCTION("""COMPUTED_VALUE"""),2.0)</f>
        <v>2</v>
      </c>
      <c r="U130" s="114">
        <f>IFERROR(__xludf.DUMMYFUNCTION("""COMPUTED_VALUE"""),238.0)</f>
        <v>238</v>
      </c>
      <c r="V130" s="115">
        <f>IFERROR(__xludf.DUMMYFUNCTION("""COMPUTED_VALUE"""),59.5)</f>
        <v>59.5</v>
      </c>
      <c r="W130" s="136" t="str">
        <f>IFERROR(__xludf.DUMMYFUNCTION("""COMPUTED_VALUE"""),"4")</f>
        <v>4</v>
      </c>
      <c r="X130" s="117" t="str">
        <f>IFERROR(__xludf.DUMMYFUNCTION("""COMPUTED_VALUE"""),"New Canaan")</f>
        <v>New Canaan</v>
      </c>
      <c r="Y130" s="118">
        <f>IFERROR(__xludf.DUMMYFUNCTION("""COMPUTED_VALUE"""),59.5)</f>
        <v>59.5</v>
      </c>
      <c r="Z130" s="35"/>
      <c r="AA130" s="35"/>
      <c r="AB130" s="35"/>
      <c r="AC130" s="35"/>
      <c r="AD130" s="35"/>
      <c r="AE130" s="53"/>
      <c r="AF130" s="53"/>
      <c r="AG130" s="35"/>
      <c r="AH130" s="53"/>
      <c r="AI130" s="35"/>
      <c r="AJ130" s="90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</row>
    <row r="131" ht="18.75" customHeight="1">
      <c r="A131" s="53"/>
      <c r="B131" s="94"/>
      <c r="C131" s="121" t="str">
        <f>IFERROR(__xludf.DUMMYFUNCTION("""COMPUTED_VALUE"""),"BYE")</f>
        <v>BYE</v>
      </c>
      <c r="D131" s="122" t="str">
        <f>IFERROR(__xludf.DUMMYFUNCTION("""COMPUTED_VALUE"""),"")</f>
        <v/>
      </c>
      <c r="E131" s="133" t="str">
        <f>IFERROR(__xludf.DUMMYFUNCTION("""COMPUTED_VALUE"""),"")</f>
        <v/>
      </c>
      <c r="F131" s="128" t="str">
        <f>IFERROR(__xludf.DUMMYFUNCTION("""COMPUTED_VALUE"""),"")</f>
        <v/>
      </c>
      <c r="G131" s="133" t="str">
        <f>IFERROR(__xludf.DUMMYFUNCTION("""COMPUTED_VALUE"""),"")</f>
        <v/>
      </c>
      <c r="H131" s="128" t="str">
        <f>IFERROR(__xludf.DUMMYFUNCTION("""COMPUTED_VALUE"""),"")</f>
        <v/>
      </c>
      <c r="I131" s="123" t="str">
        <f>IFERROR(__xludf.DUMMYFUNCTION("""COMPUTED_VALUE"""),"")</f>
        <v/>
      </c>
      <c r="J131" s="128" t="str">
        <f>IFERROR(__xludf.DUMMYFUNCTION("""COMPUTED_VALUE"""),"")</f>
        <v/>
      </c>
      <c r="K131" s="133" t="str">
        <f>IFERROR(__xludf.DUMMYFUNCTION("""COMPUTED_VALUE"""),"")</f>
        <v/>
      </c>
      <c r="L131" s="128" t="str">
        <f>IFERROR(__xludf.DUMMYFUNCTION("""COMPUTED_VALUE"""),"")</f>
        <v/>
      </c>
      <c r="M131" s="133" t="str">
        <f>IFERROR(__xludf.DUMMYFUNCTION("""COMPUTED_VALUE"""),"")</f>
        <v/>
      </c>
      <c r="N131" s="137"/>
      <c r="O131" s="138"/>
      <c r="P131" s="99"/>
      <c r="Q131" s="111">
        <f>IFERROR(__xludf.DUMMYFUNCTION("""COMPUTED_VALUE"""),0.0)</f>
        <v>0</v>
      </c>
      <c r="R131" s="112">
        <f>IFERROR(__xludf.DUMMYFUNCTION("""COMPUTED_VALUE"""),0.0)</f>
        <v>0</v>
      </c>
      <c r="S131" s="112">
        <f>IFERROR(__xludf.DUMMYFUNCTION("""COMPUTED_VALUE"""),0.0)</f>
        <v>0</v>
      </c>
      <c r="T131" s="113">
        <f>IFERROR(__xludf.DUMMYFUNCTION("""COMPUTED_VALUE"""),0.0)</f>
        <v>0</v>
      </c>
      <c r="U131" s="114">
        <f>IFERROR(__xludf.DUMMYFUNCTION("""COMPUTED_VALUE"""),0.0)</f>
        <v>0</v>
      </c>
      <c r="V131" s="115" t="str">
        <f>IFERROR(__xludf.DUMMYFUNCTION("""COMPUTED_VALUE"""),"")</f>
        <v/>
      </c>
      <c r="W131" s="136"/>
      <c r="X131" s="117" t="str">
        <f>IFERROR(__xludf.DUMMYFUNCTION("""COMPUTED_VALUE"""),"BYE")</f>
        <v>BYE</v>
      </c>
      <c r="Y131" s="118" t="str">
        <f>IFERROR(__xludf.DUMMYFUNCTION("""COMPUTED_VALUE"""),"")</f>
        <v/>
      </c>
      <c r="Z131" s="35"/>
      <c r="AA131" s="35"/>
      <c r="AB131" s="35"/>
      <c r="AC131" s="35"/>
      <c r="AD131" s="35"/>
      <c r="AE131" s="53"/>
      <c r="AF131" s="53"/>
      <c r="AG131" s="35"/>
      <c r="AH131" s="53"/>
      <c r="AI131" s="35"/>
      <c r="AJ131" s="90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</row>
    <row r="132" ht="18.75" customHeight="1">
      <c r="A132" s="35"/>
      <c r="B132" s="139"/>
      <c r="C132" s="14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141"/>
      <c r="Y132" s="35"/>
      <c r="Z132" s="35"/>
      <c r="AA132" s="35"/>
      <c r="AB132" s="35"/>
      <c r="AC132" s="35"/>
      <c r="AD132" s="35"/>
      <c r="AE132" s="53"/>
      <c r="AF132" s="53"/>
      <c r="AG132" s="35"/>
      <c r="AH132" s="53"/>
      <c r="AI132" s="35"/>
      <c r="AJ132" s="90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</row>
    <row r="133" ht="18.75" customHeight="1">
      <c r="A133" s="53"/>
      <c r="B133" s="53"/>
      <c r="C133" s="53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143"/>
      <c r="U133" s="35"/>
      <c r="V133" s="35"/>
      <c r="W133" s="64"/>
      <c r="X133" s="35"/>
      <c r="Y133" s="35"/>
      <c r="Z133" s="35"/>
      <c r="AA133" s="35"/>
      <c r="AB133" s="35"/>
      <c r="AC133" s="35"/>
      <c r="AD133" s="35"/>
      <c r="AE133" s="53"/>
      <c r="AF133" s="53"/>
      <c r="AG133" s="35"/>
      <c r="AH133" s="53"/>
      <c r="AI133" s="35"/>
      <c r="AJ133" s="90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</row>
    <row r="134" ht="18.75" customHeight="1">
      <c r="A134" s="53"/>
      <c r="B134" s="53"/>
      <c r="C134" s="53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143"/>
      <c r="U134" s="35"/>
      <c r="V134" s="35"/>
      <c r="W134" s="64"/>
      <c r="X134" s="35"/>
      <c r="Y134" s="35"/>
      <c r="Z134" s="35"/>
      <c r="AA134" s="35"/>
      <c r="AB134" s="35"/>
      <c r="AC134" s="35"/>
      <c r="AD134" s="35"/>
      <c r="AE134" s="53"/>
      <c r="AF134" s="53"/>
      <c r="AG134" s="35"/>
      <c r="AH134" s="53"/>
      <c r="AI134" s="35"/>
      <c r="AJ134" s="90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</row>
    <row r="135" ht="18.75" customHeight="1">
      <c r="A135" s="73"/>
      <c r="B135" s="73"/>
      <c r="C135" s="73" t="str">
        <f>IFERROR(__xludf.DUMMYFUNCTION("""COMPUTED_VALUE"""),"Lehmann")</f>
        <v>Lehmann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74"/>
      <c r="U135" s="10"/>
      <c r="V135" s="10"/>
      <c r="W135" s="76"/>
      <c r="X135" s="10"/>
      <c r="Y135" s="35"/>
      <c r="Z135" s="35"/>
      <c r="AA135" s="35"/>
      <c r="AB135" s="35"/>
      <c r="AC135" s="35"/>
      <c r="AD135" s="35"/>
      <c r="AE135" s="53"/>
      <c r="AF135" s="53"/>
      <c r="AG135" s="35"/>
      <c r="AH135" s="53"/>
      <c r="AI135" s="35"/>
      <c r="AJ135" s="90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</row>
    <row r="136" ht="18.75" customHeight="1">
      <c r="A136" s="35"/>
      <c r="B136" s="80"/>
      <c r="C136" s="82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7"/>
      <c r="Y136" s="35"/>
      <c r="Z136" s="35"/>
      <c r="AA136" s="35"/>
      <c r="AB136" s="35"/>
      <c r="AC136" s="35"/>
      <c r="AD136" s="35"/>
      <c r="AE136" s="53"/>
      <c r="AF136" s="53"/>
      <c r="AG136" s="35"/>
      <c r="AH136" s="53"/>
      <c r="AI136" s="35"/>
      <c r="AJ136" s="90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</row>
    <row r="137" ht="18.75" customHeight="1">
      <c r="A137" s="92"/>
      <c r="B137" s="94"/>
      <c r="C137" s="95" t="str">
        <f>IFERROR(__xludf.DUMMYFUNCTION("""COMPUTED_VALUE"""),"Team")</f>
        <v>Team</v>
      </c>
      <c r="D137" s="53" t="str">
        <f>IFERROR(__xludf.DUMMYFUNCTION("""COMPUTED_VALUE"""),"Blair B")</f>
        <v>Blair B</v>
      </c>
      <c r="F137" s="97" t="str">
        <f>IFERROR(__xludf.DUMMYFUNCTION("""COMPUTED_VALUE"""),"Bob Jones")</f>
        <v>Bob Jones</v>
      </c>
      <c r="G137" s="98"/>
      <c r="H137" s="97" t="str">
        <f>IFERROR(__xludf.DUMMYFUNCTION("""COMPUTED_VALUE"""),"Canterbury")</f>
        <v>Canterbury</v>
      </c>
      <c r="I137" s="98"/>
      <c r="J137" s="97" t="str">
        <f>IFERROR(__xludf.DUMMYFUNCTION("""COMPUTED_VALUE"""),"JP Stevens C")</f>
        <v>JP Stevens C</v>
      </c>
      <c r="K137" s="98"/>
      <c r="L137" s="97" t="str">
        <f>IFERROR(__xludf.DUMMYFUNCTION("""COMPUTED_VALUE"""),"Ladue")</f>
        <v>Ladue</v>
      </c>
      <c r="M137" s="98"/>
      <c r="N137" s="97" t="str">
        <f>IFERROR(__xludf.DUMMYFUNCTION("""COMPUTED_VALUE"""),"BYE")</f>
        <v>BYE</v>
      </c>
      <c r="O137" s="98"/>
      <c r="P137" s="99"/>
      <c r="Q137" s="100" t="str">
        <f>IFERROR(__xludf.DUMMYFUNCTION("""COMPUTED_VALUE"""),"W")</f>
        <v>W</v>
      </c>
      <c r="R137" s="100" t="str">
        <f>IFERROR(__xludf.DUMMYFUNCTION("""COMPUTED_VALUE"""),"T")</f>
        <v>T</v>
      </c>
      <c r="S137" s="100" t="str">
        <f>IFERROR(__xludf.DUMMYFUNCTION("""COMPUTED_VALUE"""),"L")</f>
        <v>L</v>
      </c>
      <c r="T137" s="101" t="str">
        <f>IFERROR(__xludf.DUMMYFUNCTION("""COMPUTED_VALUE"""),"W/L Score")</f>
        <v>W/L Score</v>
      </c>
      <c r="U137" s="100" t="str">
        <f>IFERROR(__xludf.DUMMYFUNCTION("""COMPUTED_VALUE"""),"Points")</f>
        <v>Points</v>
      </c>
      <c r="V137" s="100" t="str">
        <f>IFERROR(__xludf.DUMMYFUNCTION("""COMPUTED_VALUE"""),"Average")</f>
        <v>Average</v>
      </c>
      <c r="W137" s="102" t="str">
        <f>IFERROR(__xludf.DUMMYFUNCTION("""COMPUTED_VALUE"""),"Rank")</f>
        <v>Rank</v>
      </c>
      <c r="X137" s="103"/>
      <c r="Y137" s="35"/>
      <c r="Z137" s="35"/>
      <c r="AA137" s="35"/>
      <c r="AB137" s="35"/>
      <c r="AC137" s="35"/>
      <c r="AD137" s="35"/>
      <c r="AE137" s="53"/>
      <c r="AF137" s="53"/>
      <c r="AG137" s="35"/>
      <c r="AH137" s="53"/>
      <c r="AI137" s="35"/>
      <c r="AJ137" s="90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</row>
    <row r="138" ht="18.75" customHeight="1">
      <c r="A138" s="104"/>
      <c r="B138" s="94"/>
      <c r="C138" s="105" t="str">
        <f>IFERROR(__xludf.DUMMYFUNCTION("""COMPUTED_VALUE"""),"Blair B")</f>
        <v>Blair B</v>
      </c>
      <c r="D138" s="106"/>
      <c r="E138" s="107"/>
      <c r="F138" s="108">
        <f>IFERROR(__xludf.DUMMYFUNCTION("""COMPUTED_VALUE"""),148.0)</f>
        <v>148</v>
      </c>
      <c r="G138" s="109" t="str">
        <f>IFERROR(__xludf.DUMMYFUNCTION("""COMPUTED_VALUE"""),"W")</f>
        <v>W</v>
      </c>
      <c r="H138" s="108">
        <f>IFERROR(__xludf.DUMMYFUNCTION("""COMPUTED_VALUE"""),216.0)</f>
        <v>216</v>
      </c>
      <c r="I138" s="109" t="str">
        <f>IFERROR(__xludf.DUMMYFUNCTION("""COMPUTED_VALUE"""),"W")</f>
        <v>W</v>
      </c>
      <c r="J138" s="108">
        <f>IFERROR(__xludf.DUMMYFUNCTION("""COMPUTED_VALUE"""),160.0)</f>
        <v>160</v>
      </c>
      <c r="K138" s="109" t="str">
        <f>IFERROR(__xludf.DUMMYFUNCTION("""COMPUTED_VALUE"""),"W")</f>
        <v>W</v>
      </c>
      <c r="L138" s="108">
        <f>IFERROR(__xludf.DUMMYFUNCTION("""COMPUTED_VALUE"""),106.0)</f>
        <v>106</v>
      </c>
      <c r="M138" s="110" t="str">
        <f>IFERROR(__xludf.DUMMYFUNCTION("""COMPUTED_VALUE"""),"L")</f>
        <v>L</v>
      </c>
      <c r="N138" s="108" t="str">
        <f>IFERROR(__xludf.DUMMYFUNCTION("""COMPUTED_VALUE"""),"")</f>
        <v/>
      </c>
      <c r="O138" s="110" t="str">
        <f>IFERROR(__xludf.DUMMYFUNCTION("""COMPUTED_VALUE"""),"")</f>
        <v/>
      </c>
      <c r="Q138" s="111">
        <f>IFERROR(__xludf.DUMMYFUNCTION("""COMPUTED_VALUE"""),3.0)</f>
        <v>3</v>
      </c>
      <c r="R138" s="112">
        <f>IFERROR(__xludf.DUMMYFUNCTION("""COMPUTED_VALUE"""),0.0)</f>
        <v>0</v>
      </c>
      <c r="S138" s="112">
        <f>IFERROR(__xludf.DUMMYFUNCTION("""COMPUTED_VALUE"""),1.0)</f>
        <v>1</v>
      </c>
      <c r="T138" s="113">
        <f>IFERROR(__xludf.DUMMYFUNCTION("""COMPUTED_VALUE"""),3.0)</f>
        <v>3</v>
      </c>
      <c r="U138" s="114">
        <f>IFERROR(__xludf.DUMMYFUNCTION("""COMPUTED_VALUE"""),630.0)</f>
        <v>630</v>
      </c>
      <c r="V138" s="115">
        <f>IFERROR(__xludf.DUMMYFUNCTION("""COMPUTED_VALUE"""),157.5)</f>
        <v>157.5</v>
      </c>
      <c r="W138" s="136" t="str">
        <f>IFERROR(__xludf.DUMMYFUNCTION("""COMPUTED_VALUE"""),"2")</f>
        <v>2</v>
      </c>
      <c r="X138" s="117" t="str">
        <f>IFERROR(__xludf.DUMMYFUNCTION("""COMPUTED_VALUE"""),"Blair B")</f>
        <v>Blair B</v>
      </c>
      <c r="Y138" s="118">
        <f>IFERROR(__xludf.DUMMYFUNCTION("""COMPUTED_VALUE"""),157.5)</f>
        <v>157.5</v>
      </c>
      <c r="Z138" s="35"/>
      <c r="AA138" s="35"/>
      <c r="AB138" s="35"/>
      <c r="AC138" s="35"/>
      <c r="AD138" s="35"/>
      <c r="AE138" s="53"/>
      <c r="AF138" s="53"/>
      <c r="AG138" s="35"/>
      <c r="AH138" s="53"/>
      <c r="AI138" s="35"/>
      <c r="AJ138" s="90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</row>
    <row r="139" ht="18.75" customHeight="1">
      <c r="A139" s="53"/>
      <c r="B139" s="94"/>
      <c r="C139" s="121" t="str">
        <f>IFERROR(__xludf.DUMMYFUNCTION("""COMPUTED_VALUE"""),"Bob Jones")</f>
        <v>Bob Jones</v>
      </c>
      <c r="D139" s="122">
        <f>IFERROR(__xludf.DUMMYFUNCTION("""COMPUTED_VALUE"""),98.0)</f>
        <v>98</v>
      </c>
      <c r="E139" s="123" t="str">
        <f>IFERROR(__xludf.DUMMYFUNCTION("""COMPUTED_VALUE"""),"L")</f>
        <v>L</v>
      </c>
      <c r="F139" s="124"/>
      <c r="G139" s="125"/>
      <c r="H139" s="108">
        <f>IFERROR(__xludf.DUMMYFUNCTION("""COMPUTED_VALUE"""),152.0)</f>
        <v>152</v>
      </c>
      <c r="I139" s="123" t="str">
        <f>IFERROR(__xludf.DUMMYFUNCTION("""COMPUTED_VALUE"""),"W")</f>
        <v>W</v>
      </c>
      <c r="J139" s="108">
        <f>IFERROR(__xludf.DUMMYFUNCTION("""COMPUTED_VALUE"""),84.0)</f>
        <v>84</v>
      </c>
      <c r="K139" s="123" t="str">
        <f>IFERROR(__xludf.DUMMYFUNCTION("""COMPUTED_VALUE"""),"W")</f>
        <v>W</v>
      </c>
      <c r="L139" s="108">
        <f>IFERROR(__xludf.DUMMYFUNCTION("""COMPUTED_VALUE"""),136.0)</f>
        <v>136</v>
      </c>
      <c r="M139" s="126" t="str">
        <f>IFERROR(__xludf.DUMMYFUNCTION("""COMPUTED_VALUE"""),"L")</f>
        <v>L</v>
      </c>
      <c r="N139" s="108" t="str">
        <f>IFERROR(__xludf.DUMMYFUNCTION("""COMPUTED_VALUE"""),"")</f>
        <v/>
      </c>
      <c r="O139" s="110" t="str">
        <f>IFERROR(__xludf.DUMMYFUNCTION("""COMPUTED_VALUE"""),"")</f>
        <v/>
      </c>
      <c r="Q139" s="111">
        <f>IFERROR(__xludf.DUMMYFUNCTION("""COMPUTED_VALUE"""),2.0)</f>
        <v>2</v>
      </c>
      <c r="R139" s="112">
        <f>IFERROR(__xludf.DUMMYFUNCTION("""COMPUTED_VALUE"""),0.0)</f>
        <v>0</v>
      </c>
      <c r="S139" s="112">
        <f>IFERROR(__xludf.DUMMYFUNCTION("""COMPUTED_VALUE"""),2.0)</f>
        <v>2</v>
      </c>
      <c r="T139" s="113">
        <f>IFERROR(__xludf.DUMMYFUNCTION("""COMPUTED_VALUE"""),2.0)</f>
        <v>2</v>
      </c>
      <c r="U139" s="114">
        <f>IFERROR(__xludf.DUMMYFUNCTION("""COMPUTED_VALUE"""),470.0)</f>
        <v>470</v>
      </c>
      <c r="V139" s="115">
        <f>IFERROR(__xludf.DUMMYFUNCTION("""COMPUTED_VALUE"""),117.5)</f>
        <v>117.5</v>
      </c>
      <c r="W139" s="116" t="str">
        <f>IFERROR(__xludf.DUMMYFUNCTION("""COMPUTED_VALUE"""),"3")</f>
        <v>3</v>
      </c>
      <c r="X139" s="117" t="str">
        <f>IFERROR(__xludf.DUMMYFUNCTION("""COMPUTED_VALUE"""),"Bob Jones")</f>
        <v>Bob Jones</v>
      </c>
      <c r="Y139" s="118">
        <f>IFERROR(__xludf.DUMMYFUNCTION("""COMPUTED_VALUE"""),117.5)</f>
        <v>117.5</v>
      </c>
      <c r="Z139" s="35"/>
      <c r="AA139" s="35"/>
      <c r="AB139" s="35"/>
      <c r="AC139" s="35"/>
      <c r="AD139" s="35"/>
      <c r="AE139" s="53"/>
      <c r="AF139" s="53"/>
      <c r="AG139" s="35"/>
      <c r="AH139" s="53"/>
      <c r="AI139" s="35"/>
      <c r="AJ139" s="90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</row>
    <row r="140" ht="18.75" customHeight="1">
      <c r="A140" s="53"/>
      <c r="B140" s="94"/>
      <c r="C140" s="121" t="str">
        <f>IFERROR(__xludf.DUMMYFUNCTION("""COMPUTED_VALUE"""),"Canterbury")</f>
        <v>Canterbury</v>
      </c>
      <c r="D140" s="122">
        <f>IFERROR(__xludf.DUMMYFUNCTION("""COMPUTED_VALUE"""),12.0)</f>
        <v>12</v>
      </c>
      <c r="E140" s="123" t="str">
        <f>IFERROR(__xludf.DUMMYFUNCTION("""COMPUTED_VALUE"""),"L")</f>
        <v>L</v>
      </c>
      <c r="F140" s="128">
        <f>IFERROR(__xludf.DUMMYFUNCTION("""COMPUTED_VALUE"""),36.0)</f>
        <v>36</v>
      </c>
      <c r="G140" s="123" t="str">
        <f>IFERROR(__xludf.DUMMYFUNCTION("""COMPUTED_VALUE"""),"L")</f>
        <v>L</v>
      </c>
      <c r="H140" s="124"/>
      <c r="I140" s="125"/>
      <c r="J140" s="108">
        <f>IFERROR(__xludf.DUMMYFUNCTION("""COMPUTED_VALUE"""),30.0)</f>
        <v>30</v>
      </c>
      <c r="K140" s="123" t="str">
        <f>IFERROR(__xludf.DUMMYFUNCTION("""COMPUTED_VALUE"""),"L")</f>
        <v>L</v>
      </c>
      <c r="L140" s="108">
        <f>IFERROR(__xludf.DUMMYFUNCTION("""COMPUTED_VALUE"""),26.0)</f>
        <v>26</v>
      </c>
      <c r="M140" s="126" t="str">
        <f>IFERROR(__xludf.DUMMYFUNCTION("""COMPUTED_VALUE"""),"L")</f>
        <v>L</v>
      </c>
      <c r="N140" s="108" t="str">
        <f>IFERROR(__xludf.DUMMYFUNCTION("""COMPUTED_VALUE"""),"")</f>
        <v/>
      </c>
      <c r="O140" s="110" t="str">
        <f>IFERROR(__xludf.DUMMYFUNCTION("""COMPUTED_VALUE"""),"")</f>
        <v/>
      </c>
      <c r="Q140" s="111">
        <f>IFERROR(__xludf.DUMMYFUNCTION("""COMPUTED_VALUE"""),0.0)</f>
        <v>0</v>
      </c>
      <c r="R140" s="112">
        <f>IFERROR(__xludf.DUMMYFUNCTION("""COMPUTED_VALUE"""),0.0)</f>
        <v>0</v>
      </c>
      <c r="S140" s="112">
        <f>IFERROR(__xludf.DUMMYFUNCTION("""COMPUTED_VALUE"""),4.0)</f>
        <v>4</v>
      </c>
      <c r="T140" s="113">
        <f>IFERROR(__xludf.DUMMYFUNCTION("""COMPUTED_VALUE"""),0.0)</f>
        <v>0</v>
      </c>
      <c r="U140" s="114">
        <f>IFERROR(__xludf.DUMMYFUNCTION("""COMPUTED_VALUE"""),104.0)</f>
        <v>104</v>
      </c>
      <c r="V140" s="115">
        <f>IFERROR(__xludf.DUMMYFUNCTION("""COMPUTED_VALUE"""),26.0)</f>
        <v>26</v>
      </c>
      <c r="W140" s="136" t="str">
        <f>IFERROR(__xludf.DUMMYFUNCTION("""COMPUTED_VALUE"""),"5")</f>
        <v>5</v>
      </c>
      <c r="X140" s="117" t="str">
        <f>IFERROR(__xludf.DUMMYFUNCTION("""COMPUTED_VALUE"""),"Canterbury")</f>
        <v>Canterbury</v>
      </c>
      <c r="Y140" s="118">
        <f>IFERROR(__xludf.DUMMYFUNCTION("""COMPUTED_VALUE"""),26.0)</f>
        <v>26</v>
      </c>
      <c r="Z140" s="35"/>
      <c r="AA140" s="35"/>
      <c r="AB140" s="35"/>
      <c r="AC140" s="35"/>
      <c r="AD140" s="35"/>
      <c r="AE140" s="53"/>
      <c r="AF140" s="53"/>
      <c r="AG140" s="35"/>
      <c r="AH140" s="53"/>
      <c r="AI140" s="35"/>
      <c r="AJ140" s="90"/>
      <c r="AK140" s="53"/>
      <c r="AL140" s="35"/>
      <c r="AM140" s="35"/>
      <c r="AN140" s="35"/>
      <c r="AO140" s="35"/>
      <c r="AP140" s="35"/>
      <c r="AQ140" s="35"/>
      <c r="AR140" s="35"/>
      <c r="AS140" s="35"/>
      <c r="AT140" s="35"/>
    </row>
    <row r="141" ht="18.75" customHeight="1">
      <c r="A141" s="53"/>
      <c r="B141" s="94"/>
      <c r="C141" s="121" t="str">
        <f>IFERROR(__xludf.DUMMYFUNCTION("""COMPUTED_VALUE"""),"JP Stevens C")</f>
        <v>JP Stevens C</v>
      </c>
      <c r="D141" s="122">
        <f>IFERROR(__xludf.DUMMYFUNCTION("""COMPUTED_VALUE"""),52.0)</f>
        <v>52</v>
      </c>
      <c r="E141" s="123" t="str">
        <f>IFERROR(__xludf.DUMMYFUNCTION("""COMPUTED_VALUE"""),"L")</f>
        <v>L</v>
      </c>
      <c r="F141" s="128">
        <f>IFERROR(__xludf.DUMMYFUNCTION("""COMPUTED_VALUE"""),24.0)</f>
        <v>24</v>
      </c>
      <c r="G141" s="123" t="str">
        <f>IFERROR(__xludf.DUMMYFUNCTION("""COMPUTED_VALUE"""),"L")</f>
        <v>L</v>
      </c>
      <c r="H141" s="128">
        <f>IFERROR(__xludf.DUMMYFUNCTION("""COMPUTED_VALUE"""),48.0)</f>
        <v>48</v>
      </c>
      <c r="I141" s="123" t="str">
        <f>IFERROR(__xludf.DUMMYFUNCTION("""COMPUTED_VALUE"""),"W")</f>
        <v>W</v>
      </c>
      <c r="J141" s="124"/>
      <c r="K141" s="125"/>
      <c r="L141" s="108">
        <f>IFERROR(__xludf.DUMMYFUNCTION("""COMPUTED_VALUE"""),36.0)</f>
        <v>36</v>
      </c>
      <c r="M141" s="126" t="str">
        <f>IFERROR(__xludf.DUMMYFUNCTION("""COMPUTED_VALUE"""),"L")</f>
        <v>L</v>
      </c>
      <c r="N141" s="108" t="str">
        <f>IFERROR(__xludf.DUMMYFUNCTION("""COMPUTED_VALUE"""),"")</f>
        <v/>
      </c>
      <c r="O141" s="110" t="str">
        <f>IFERROR(__xludf.DUMMYFUNCTION("""COMPUTED_VALUE"""),"")</f>
        <v/>
      </c>
      <c r="Q141" s="111">
        <f>IFERROR(__xludf.DUMMYFUNCTION("""COMPUTED_VALUE"""),1.0)</f>
        <v>1</v>
      </c>
      <c r="R141" s="112">
        <f>IFERROR(__xludf.DUMMYFUNCTION("""COMPUTED_VALUE"""),0.0)</f>
        <v>0</v>
      </c>
      <c r="S141" s="112">
        <f>IFERROR(__xludf.DUMMYFUNCTION("""COMPUTED_VALUE"""),3.0)</f>
        <v>3</v>
      </c>
      <c r="T141" s="113">
        <f>IFERROR(__xludf.DUMMYFUNCTION("""COMPUTED_VALUE"""),1.0)</f>
        <v>1</v>
      </c>
      <c r="U141" s="114">
        <f>IFERROR(__xludf.DUMMYFUNCTION("""COMPUTED_VALUE"""),160.0)</f>
        <v>160</v>
      </c>
      <c r="V141" s="115">
        <f>IFERROR(__xludf.DUMMYFUNCTION("""COMPUTED_VALUE"""),40.0)</f>
        <v>40</v>
      </c>
      <c r="W141" s="116" t="str">
        <f>IFERROR(__xludf.DUMMYFUNCTION("""COMPUTED_VALUE"""),"4")</f>
        <v>4</v>
      </c>
      <c r="X141" s="117" t="str">
        <f>IFERROR(__xludf.DUMMYFUNCTION("""COMPUTED_VALUE"""),"JP Stevens C")</f>
        <v>JP Stevens C</v>
      </c>
      <c r="Y141" s="118">
        <f>IFERROR(__xludf.DUMMYFUNCTION("""COMPUTED_VALUE"""),40.0)</f>
        <v>40</v>
      </c>
      <c r="Z141" s="35"/>
      <c r="AA141" s="35"/>
      <c r="AB141" s="35"/>
      <c r="AC141" s="35"/>
      <c r="AD141" s="35"/>
      <c r="AE141" s="53"/>
      <c r="AF141" s="53"/>
      <c r="AG141" s="35"/>
      <c r="AH141" s="53"/>
      <c r="AI141" s="35"/>
      <c r="AJ141" s="90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</row>
    <row r="142" ht="18.75" customHeight="1">
      <c r="A142" s="53"/>
      <c r="B142" s="94"/>
      <c r="C142" s="121" t="str">
        <f>IFERROR(__xludf.DUMMYFUNCTION("""COMPUTED_VALUE"""),"Ladue")</f>
        <v>Ladue</v>
      </c>
      <c r="D142" s="122">
        <f>IFERROR(__xludf.DUMMYFUNCTION("""COMPUTED_VALUE"""),150.0)</f>
        <v>150</v>
      </c>
      <c r="E142" s="133" t="str">
        <f>IFERROR(__xludf.DUMMYFUNCTION("""COMPUTED_VALUE"""),"W")</f>
        <v>W</v>
      </c>
      <c r="F142" s="128">
        <f>IFERROR(__xludf.DUMMYFUNCTION("""COMPUTED_VALUE"""),148.0)</f>
        <v>148</v>
      </c>
      <c r="G142" s="133" t="str">
        <f>IFERROR(__xludf.DUMMYFUNCTION("""COMPUTED_VALUE"""),"W")</f>
        <v>W</v>
      </c>
      <c r="H142" s="128">
        <f>IFERROR(__xludf.DUMMYFUNCTION("""COMPUTED_VALUE"""),168.0)</f>
        <v>168</v>
      </c>
      <c r="I142" s="133" t="str">
        <f>IFERROR(__xludf.DUMMYFUNCTION("""COMPUTED_VALUE"""),"W")</f>
        <v>W</v>
      </c>
      <c r="J142" s="128">
        <f>IFERROR(__xludf.DUMMYFUNCTION("""COMPUTED_VALUE"""),186.0)</f>
        <v>186</v>
      </c>
      <c r="K142" s="133" t="str">
        <f>IFERROR(__xludf.DUMMYFUNCTION("""COMPUTED_VALUE"""),"W")</f>
        <v>W</v>
      </c>
      <c r="L142" s="134"/>
      <c r="M142" s="135"/>
      <c r="N142" s="108" t="str">
        <f>IFERROR(__xludf.DUMMYFUNCTION("""COMPUTED_VALUE"""),"")</f>
        <v/>
      </c>
      <c r="O142" s="110" t="str">
        <f>IFERROR(__xludf.DUMMYFUNCTION("""COMPUTED_VALUE"""),"")</f>
        <v/>
      </c>
      <c r="Q142" s="111">
        <f>IFERROR(__xludf.DUMMYFUNCTION("""COMPUTED_VALUE"""),4.0)</f>
        <v>4</v>
      </c>
      <c r="R142" s="112">
        <f>IFERROR(__xludf.DUMMYFUNCTION("""COMPUTED_VALUE"""),0.0)</f>
        <v>0</v>
      </c>
      <c r="S142" s="112">
        <f>IFERROR(__xludf.DUMMYFUNCTION("""COMPUTED_VALUE"""),0.0)</f>
        <v>0</v>
      </c>
      <c r="T142" s="113">
        <f>IFERROR(__xludf.DUMMYFUNCTION("""COMPUTED_VALUE"""),4.0)</f>
        <v>4</v>
      </c>
      <c r="U142" s="114">
        <f>IFERROR(__xludf.DUMMYFUNCTION("""COMPUTED_VALUE"""),652.0)</f>
        <v>652</v>
      </c>
      <c r="V142" s="115">
        <f>IFERROR(__xludf.DUMMYFUNCTION("""COMPUTED_VALUE"""),163.0)</f>
        <v>163</v>
      </c>
      <c r="W142" s="136" t="str">
        <f>IFERROR(__xludf.DUMMYFUNCTION("""COMPUTED_VALUE"""),"1")</f>
        <v>1</v>
      </c>
      <c r="X142" s="117" t="str">
        <f>IFERROR(__xludf.DUMMYFUNCTION("""COMPUTED_VALUE"""),"Ladue")</f>
        <v>Ladue</v>
      </c>
      <c r="Y142" s="118">
        <f>IFERROR(__xludf.DUMMYFUNCTION("""COMPUTED_VALUE"""),163.0)</f>
        <v>163</v>
      </c>
      <c r="Z142" s="35"/>
      <c r="AA142" s="35"/>
      <c r="AB142" s="35"/>
      <c r="AC142" s="35"/>
      <c r="AD142" s="35"/>
      <c r="AE142" s="53"/>
      <c r="AF142" s="53"/>
      <c r="AG142" s="35"/>
      <c r="AH142" s="53"/>
      <c r="AI142" s="35"/>
      <c r="AJ142" s="90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</row>
    <row r="143" ht="18.75" customHeight="1">
      <c r="A143" s="53"/>
      <c r="B143" s="94"/>
      <c r="C143" s="121" t="str">
        <f>IFERROR(__xludf.DUMMYFUNCTION("""COMPUTED_VALUE"""),"BYE")</f>
        <v>BYE</v>
      </c>
      <c r="D143" s="122" t="str">
        <f>IFERROR(__xludf.DUMMYFUNCTION("""COMPUTED_VALUE"""),"")</f>
        <v/>
      </c>
      <c r="E143" s="133" t="str">
        <f>IFERROR(__xludf.DUMMYFUNCTION("""COMPUTED_VALUE"""),"")</f>
        <v/>
      </c>
      <c r="F143" s="128" t="str">
        <f>IFERROR(__xludf.DUMMYFUNCTION("""COMPUTED_VALUE"""),"")</f>
        <v/>
      </c>
      <c r="G143" s="133" t="str">
        <f>IFERROR(__xludf.DUMMYFUNCTION("""COMPUTED_VALUE"""),"")</f>
        <v/>
      </c>
      <c r="H143" s="128" t="str">
        <f>IFERROR(__xludf.DUMMYFUNCTION("""COMPUTED_VALUE"""),"")</f>
        <v/>
      </c>
      <c r="I143" s="123" t="str">
        <f>IFERROR(__xludf.DUMMYFUNCTION("""COMPUTED_VALUE"""),"")</f>
        <v/>
      </c>
      <c r="J143" s="128" t="str">
        <f>IFERROR(__xludf.DUMMYFUNCTION("""COMPUTED_VALUE"""),"")</f>
        <v/>
      </c>
      <c r="K143" s="133" t="str">
        <f>IFERROR(__xludf.DUMMYFUNCTION("""COMPUTED_VALUE"""),"")</f>
        <v/>
      </c>
      <c r="L143" s="128" t="str">
        <f>IFERROR(__xludf.DUMMYFUNCTION("""COMPUTED_VALUE"""),"")</f>
        <v/>
      </c>
      <c r="M143" s="133" t="str">
        <f>IFERROR(__xludf.DUMMYFUNCTION("""COMPUTED_VALUE"""),"")</f>
        <v/>
      </c>
      <c r="N143" s="137"/>
      <c r="O143" s="138"/>
      <c r="P143" s="99"/>
      <c r="Q143" s="111">
        <f>IFERROR(__xludf.DUMMYFUNCTION("""COMPUTED_VALUE"""),0.0)</f>
        <v>0</v>
      </c>
      <c r="R143" s="112">
        <f>IFERROR(__xludf.DUMMYFUNCTION("""COMPUTED_VALUE"""),0.0)</f>
        <v>0</v>
      </c>
      <c r="S143" s="112">
        <f>IFERROR(__xludf.DUMMYFUNCTION("""COMPUTED_VALUE"""),0.0)</f>
        <v>0</v>
      </c>
      <c r="T143" s="113">
        <f>IFERROR(__xludf.DUMMYFUNCTION("""COMPUTED_VALUE"""),0.0)</f>
        <v>0</v>
      </c>
      <c r="U143" s="114">
        <f>IFERROR(__xludf.DUMMYFUNCTION("""COMPUTED_VALUE"""),0.0)</f>
        <v>0</v>
      </c>
      <c r="V143" s="115" t="str">
        <f>IFERROR(__xludf.DUMMYFUNCTION("""COMPUTED_VALUE"""),"")</f>
        <v/>
      </c>
      <c r="W143" s="136"/>
      <c r="X143" s="117" t="str">
        <f>IFERROR(__xludf.DUMMYFUNCTION("""COMPUTED_VALUE"""),"BYE")</f>
        <v>BYE</v>
      </c>
      <c r="Y143" s="118" t="str">
        <f>IFERROR(__xludf.DUMMYFUNCTION("""COMPUTED_VALUE"""),"")</f>
        <v/>
      </c>
      <c r="Z143" s="35"/>
      <c r="AA143" s="35"/>
      <c r="AB143" s="35"/>
      <c r="AC143" s="35"/>
      <c r="AD143" s="35"/>
      <c r="AE143" s="53"/>
      <c r="AF143" s="53"/>
      <c r="AG143" s="35"/>
      <c r="AH143" s="53"/>
      <c r="AI143" s="35"/>
      <c r="AJ143" s="90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</row>
    <row r="144" ht="18.75" customHeight="1">
      <c r="A144" s="35"/>
      <c r="B144" s="139"/>
      <c r="C144" s="14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141"/>
      <c r="Y144" s="35"/>
      <c r="Z144" s="35"/>
      <c r="AA144" s="35"/>
      <c r="AB144" s="35"/>
      <c r="AC144" s="35"/>
      <c r="AD144" s="35"/>
      <c r="AE144" s="53"/>
      <c r="AF144" s="53"/>
      <c r="AG144" s="35"/>
      <c r="AH144" s="53"/>
      <c r="AI144" s="35"/>
      <c r="AJ144" s="90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</row>
    <row r="145" ht="18.75" customHeight="1">
      <c r="A145" s="53"/>
      <c r="B145" s="53"/>
      <c r="C145" s="53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143"/>
      <c r="U145" s="35"/>
      <c r="V145" s="35"/>
      <c r="W145" s="64"/>
      <c r="X145" s="35"/>
      <c r="Y145" s="35"/>
      <c r="Z145" s="35"/>
      <c r="AA145" s="35"/>
      <c r="AB145" s="35"/>
      <c r="AC145" s="35"/>
      <c r="AD145" s="35"/>
      <c r="AE145" s="53"/>
      <c r="AF145" s="53"/>
      <c r="AG145" s="35"/>
      <c r="AH145" s="53"/>
      <c r="AI145" s="35"/>
      <c r="AJ145" s="90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</row>
    <row r="146" ht="18.75" customHeight="1">
      <c r="A146" s="53"/>
      <c r="B146" s="53"/>
      <c r="C146" s="53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143"/>
      <c r="U146" s="35"/>
      <c r="V146" s="35"/>
      <c r="W146" s="64"/>
      <c r="X146" s="35"/>
      <c r="Y146" s="35"/>
      <c r="Z146" s="35"/>
      <c r="AA146" s="35"/>
      <c r="AB146" s="35"/>
      <c r="AC146" s="35"/>
      <c r="AD146" s="35"/>
      <c r="AE146" s="53"/>
      <c r="AF146" s="53"/>
      <c r="AG146" s="35"/>
      <c r="AH146" s="53"/>
      <c r="AI146" s="35"/>
      <c r="AJ146" s="90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</row>
    <row r="147" ht="18.75" customHeight="1">
      <c r="A147" s="73"/>
      <c r="B147" s="73"/>
      <c r="C147" s="73" t="str">
        <f>IFERROR(__xludf.DUMMYFUNCTION("""COMPUTED_VALUE"""),"Mendel")</f>
        <v>Mendel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74"/>
      <c r="U147" s="10"/>
      <c r="V147" s="10"/>
      <c r="W147" s="76"/>
      <c r="X147" s="10"/>
      <c r="Y147" s="35"/>
      <c r="Z147" s="35"/>
      <c r="AA147" s="35"/>
      <c r="AB147" s="35"/>
      <c r="AC147" s="35"/>
      <c r="AD147" s="35"/>
      <c r="AE147" s="53"/>
      <c r="AF147" s="53"/>
      <c r="AG147" s="35"/>
      <c r="AH147" s="53"/>
      <c r="AI147" s="35"/>
      <c r="AJ147" s="90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</row>
    <row r="148" ht="18.75" customHeight="1">
      <c r="A148" s="35"/>
      <c r="B148" s="80"/>
      <c r="C148" s="82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7"/>
      <c r="Y148" s="35"/>
      <c r="Z148" s="35"/>
      <c r="AA148" s="35"/>
      <c r="AB148" s="35"/>
      <c r="AC148" s="35"/>
      <c r="AD148" s="35"/>
      <c r="AE148" s="53"/>
      <c r="AF148" s="53"/>
      <c r="AG148" s="35"/>
      <c r="AH148" s="53"/>
      <c r="AI148" s="35"/>
      <c r="AJ148" s="90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</row>
    <row r="149" ht="18.75" customHeight="1">
      <c r="A149" s="92"/>
      <c r="B149" s="94"/>
      <c r="C149" s="95" t="str">
        <f>IFERROR(__xludf.DUMMYFUNCTION("""COMPUTED_VALUE"""),"Team")</f>
        <v>Team</v>
      </c>
      <c r="D149" s="53" t="str">
        <f>IFERROR(__xludf.DUMMYFUNCTION("""COMPUTED_VALUE"""),"AMSA C")</f>
        <v>AMSA C</v>
      </c>
      <c r="F149" s="97" t="str">
        <f>IFERROR(__xludf.DUMMYFUNCTION("""COMPUTED_VALUE"""),"Lexington B")</f>
        <v>Lexington B</v>
      </c>
      <c r="G149" s="98"/>
      <c r="H149" s="97" t="str">
        <f>IFERROR(__xludf.DUMMYFUNCTION("""COMPUTED_VALUE"""),"Northville")</f>
        <v>Northville</v>
      </c>
      <c r="I149" s="98"/>
      <c r="J149" s="97" t="str">
        <f>IFERROR(__xludf.DUMMYFUNCTION("""COMPUTED_VALUE"""),"Poolesville A")</f>
        <v>Poolesville A</v>
      </c>
      <c r="K149" s="98"/>
      <c r="L149" s="97" t="str">
        <f>IFERROR(__xludf.DUMMYFUNCTION("""COMPUTED_VALUE"""),"PRISMS")</f>
        <v>PRISMS</v>
      </c>
      <c r="M149" s="98"/>
      <c r="N149" s="97" t="str">
        <f>IFERROR(__xludf.DUMMYFUNCTION("""COMPUTED_VALUE"""),"BYE")</f>
        <v>BYE</v>
      </c>
      <c r="O149" s="98"/>
      <c r="P149" s="99"/>
      <c r="Q149" s="100" t="str">
        <f>IFERROR(__xludf.DUMMYFUNCTION("""COMPUTED_VALUE"""),"W")</f>
        <v>W</v>
      </c>
      <c r="R149" s="100" t="str">
        <f>IFERROR(__xludf.DUMMYFUNCTION("""COMPUTED_VALUE"""),"T")</f>
        <v>T</v>
      </c>
      <c r="S149" s="100" t="str">
        <f>IFERROR(__xludf.DUMMYFUNCTION("""COMPUTED_VALUE"""),"L")</f>
        <v>L</v>
      </c>
      <c r="T149" s="101" t="str">
        <f>IFERROR(__xludf.DUMMYFUNCTION("""COMPUTED_VALUE"""),"W/L Score")</f>
        <v>W/L Score</v>
      </c>
      <c r="U149" s="100" t="str">
        <f>IFERROR(__xludf.DUMMYFUNCTION("""COMPUTED_VALUE"""),"Points")</f>
        <v>Points</v>
      </c>
      <c r="V149" s="100" t="str">
        <f>IFERROR(__xludf.DUMMYFUNCTION("""COMPUTED_VALUE"""),"Average")</f>
        <v>Average</v>
      </c>
      <c r="W149" s="102" t="str">
        <f>IFERROR(__xludf.DUMMYFUNCTION("""COMPUTED_VALUE"""),"Rank")</f>
        <v>Rank</v>
      </c>
      <c r="X149" s="103"/>
      <c r="Y149" s="35"/>
      <c r="Z149" s="35"/>
      <c r="AA149" s="35"/>
      <c r="AB149" s="35"/>
      <c r="AC149" s="35"/>
      <c r="AD149" s="35"/>
      <c r="AE149" s="53"/>
      <c r="AF149" s="53"/>
      <c r="AG149" s="35"/>
      <c r="AH149" s="53"/>
      <c r="AI149" s="35"/>
      <c r="AJ149" s="90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</row>
    <row r="150" ht="18.75" customHeight="1">
      <c r="A150" s="104"/>
      <c r="B150" s="94"/>
      <c r="C150" s="105" t="str">
        <f>IFERROR(__xludf.DUMMYFUNCTION("""COMPUTED_VALUE"""),"AMSA C")</f>
        <v>AMSA C</v>
      </c>
      <c r="D150" s="106"/>
      <c r="E150" s="107"/>
      <c r="F150" s="108">
        <f>IFERROR(__xludf.DUMMYFUNCTION("""COMPUTED_VALUE"""),0.0)</f>
        <v>0</v>
      </c>
      <c r="G150" s="109" t="str">
        <f>IFERROR(__xludf.DUMMYFUNCTION("""COMPUTED_VALUE"""),"L")</f>
        <v>L</v>
      </c>
      <c r="H150" s="108">
        <f>IFERROR(__xludf.DUMMYFUNCTION("""COMPUTED_VALUE"""),16.0)</f>
        <v>16</v>
      </c>
      <c r="I150" s="109" t="str">
        <f>IFERROR(__xludf.DUMMYFUNCTION("""COMPUTED_VALUE"""),"L")</f>
        <v>L</v>
      </c>
      <c r="J150" s="108">
        <f>IFERROR(__xludf.DUMMYFUNCTION("""COMPUTED_VALUE"""),26.0)</f>
        <v>26</v>
      </c>
      <c r="K150" s="109" t="str">
        <f>IFERROR(__xludf.DUMMYFUNCTION("""COMPUTED_VALUE"""),"L")</f>
        <v>L</v>
      </c>
      <c r="L150" s="108">
        <f>IFERROR(__xludf.DUMMYFUNCTION("""COMPUTED_VALUE"""),12.0)</f>
        <v>12</v>
      </c>
      <c r="M150" s="110" t="str">
        <f>IFERROR(__xludf.DUMMYFUNCTION("""COMPUTED_VALUE"""),"L")</f>
        <v>L</v>
      </c>
      <c r="N150" s="108" t="str">
        <f>IFERROR(__xludf.DUMMYFUNCTION("""COMPUTED_VALUE"""),"")</f>
        <v/>
      </c>
      <c r="O150" s="110" t="str">
        <f>IFERROR(__xludf.DUMMYFUNCTION("""COMPUTED_VALUE"""),"")</f>
        <v/>
      </c>
      <c r="Q150" s="111">
        <f>IFERROR(__xludf.DUMMYFUNCTION("""COMPUTED_VALUE"""),0.0)</f>
        <v>0</v>
      </c>
      <c r="R150" s="112">
        <f>IFERROR(__xludf.DUMMYFUNCTION("""COMPUTED_VALUE"""),0.0)</f>
        <v>0</v>
      </c>
      <c r="S150" s="112">
        <f>IFERROR(__xludf.DUMMYFUNCTION("""COMPUTED_VALUE"""),4.0)</f>
        <v>4</v>
      </c>
      <c r="T150" s="113">
        <f>IFERROR(__xludf.DUMMYFUNCTION("""COMPUTED_VALUE"""),0.0)</f>
        <v>0</v>
      </c>
      <c r="U150" s="114">
        <f>IFERROR(__xludf.DUMMYFUNCTION("""COMPUTED_VALUE"""),54.0)</f>
        <v>54</v>
      </c>
      <c r="V150" s="115">
        <f>IFERROR(__xludf.DUMMYFUNCTION("""COMPUTED_VALUE"""),13.5)</f>
        <v>13.5</v>
      </c>
      <c r="W150" s="136" t="str">
        <f>IFERROR(__xludf.DUMMYFUNCTION("""COMPUTED_VALUE"""),"5")</f>
        <v>5</v>
      </c>
      <c r="X150" s="117" t="str">
        <f>IFERROR(__xludf.DUMMYFUNCTION("""COMPUTED_VALUE"""),"AMSA C")</f>
        <v>AMSA C</v>
      </c>
      <c r="Y150" s="118">
        <f>IFERROR(__xludf.DUMMYFUNCTION("""COMPUTED_VALUE"""),13.5)</f>
        <v>13.5</v>
      </c>
      <c r="Z150" s="35"/>
      <c r="AA150" s="35"/>
      <c r="AB150" s="35"/>
      <c r="AC150" s="35"/>
      <c r="AD150" s="35"/>
      <c r="AE150" s="53"/>
      <c r="AF150" s="53"/>
      <c r="AG150" s="35"/>
      <c r="AH150" s="53"/>
      <c r="AI150" s="35"/>
      <c r="AJ150" s="90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</row>
    <row r="151" ht="18.75" customHeight="1">
      <c r="A151" s="53"/>
      <c r="B151" s="94"/>
      <c r="C151" s="121" t="str">
        <f>IFERROR(__xludf.DUMMYFUNCTION("""COMPUTED_VALUE"""),"Lexington B")</f>
        <v>Lexington B</v>
      </c>
      <c r="D151" s="122">
        <f>IFERROR(__xludf.DUMMYFUNCTION("""COMPUTED_VALUE"""),240.0)</f>
        <v>240</v>
      </c>
      <c r="E151" s="123" t="str">
        <f>IFERROR(__xludf.DUMMYFUNCTION("""COMPUTED_VALUE"""),"W")</f>
        <v>W</v>
      </c>
      <c r="F151" s="124"/>
      <c r="G151" s="125"/>
      <c r="H151" s="108">
        <f>IFERROR(__xludf.DUMMYFUNCTION("""COMPUTED_VALUE"""),214.0)</f>
        <v>214</v>
      </c>
      <c r="I151" s="123" t="str">
        <f>IFERROR(__xludf.DUMMYFUNCTION("""COMPUTED_VALUE"""),"W")</f>
        <v>W</v>
      </c>
      <c r="J151" s="108">
        <f>IFERROR(__xludf.DUMMYFUNCTION("""COMPUTED_VALUE"""),186.0)</f>
        <v>186</v>
      </c>
      <c r="K151" s="123" t="str">
        <f>IFERROR(__xludf.DUMMYFUNCTION("""COMPUTED_VALUE"""),"W")</f>
        <v>W</v>
      </c>
      <c r="L151" s="108">
        <f>IFERROR(__xludf.DUMMYFUNCTION("""COMPUTED_VALUE"""),86.0)</f>
        <v>86</v>
      </c>
      <c r="M151" s="126" t="str">
        <f>IFERROR(__xludf.DUMMYFUNCTION("""COMPUTED_VALUE"""),"L")</f>
        <v>L</v>
      </c>
      <c r="N151" s="108" t="str">
        <f>IFERROR(__xludf.DUMMYFUNCTION("""COMPUTED_VALUE"""),"")</f>
        <v/>
      </c>
      <c r="O151" s="110" t="str">
        <f>IFERROR(__xludf.DUMMYFUNCTION("""COMPUTED_VALUE"""),"")</f>
        <v/>
      </c>
      <c r="Q151" s="111">
        <f>IFERROR(__xludf.DUMMYFUNCTION("""COMPUTED_VALUE"""),3.0)</f>
        <v>3</v>
      </c>
      <c r="R151" s="112">
        <f>IFERROR(__xludf.DUMMYFUNCTION("""COMPUTED_VALUE"""),0.0)</f>
        <v>0</v>
      </c>
      <c r="S151" s="112">
        <f>IFERROR(__xludf.DUMMYFUNCTION("""COMPUTED_VALUE"""),1.0)</f>
        <v>1</v>
      </c>
      <c r="T151" s="113">
        <f>IFERROR(__xludf.DUMMYFUNCTION("""COMPUTED_VALUE"""),3.0)</f>
        <v>3</v>
      </c>
      <c r="U151" s="114">
        <f>IFERROR(__xludf.DUMMYFUNCTION("""COMPUTED_VALUE"""),726.0)</f>
        <v>726</v>
      </c>
      <c r="V151" s="115">
        <f>IFERROR(__xludf.DUMMYFUNCTION("""COMPUTED_VALUE"""),181.5)</f>
        <v>181.5</v>
      </c>
      <c r="W151" s="116" t="str">
        <f>IFERROR(__xludf.DUMMYFUNCTION("""COMPUTED_VALUE"""),"2")</f>
        <v>2</v>
      </c>
      <c r="X151" s="117" t="str">
        <f>IFERROR(__xludf.DUMMYFUNCTION("""COMPUTED_VALUE"""),"Lexington B")</f>
        <v>Lexington B</v>
      </c>
      <c r="Y151" s="118">
        <f>IFERROR(__xludf.DUMMYFUNCTION("""COMPUTED_VALUE"""),181.5)</f>
        <v>181.5</v>
      </c>
      <c r="Z151" s="35"/>
      <c r="AA151" s="35"/>
      <c r="AB151" s="35"/>
      <c r="AC151" s="35"/>
      <c r="AD151" s="35"/>
      <c r="AE151" s="53"/>
      <c r="AF151" s="53"/>
      <c r="AG151" s="35"/>
      <c r="AH151" s="53"/>
      <c r="AI151" s="35"/>
      <c r="AJ151" s="90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</row>
    <row r="152" ht="18.75" customHeight="1">
      <c r="A152" s="53"/>
      <c r="B152" s="94"/>
      <c r="C152" s="121" t="str">
        <f>IFERROR(__xludf.DUMMYFUNCTION("""COMPUTED_VALUE"""),"Northville")</f>
        <v>Northville</v>
      </c>
      <c r="D152" s="122">
        <f>IFERROR(__xludf.DUMMYFUNCTION("""COMPUTED_VALUE"""),150.0)</f>
        <v>150</v>
      </c>
      <c r="E152" s="123" t="str">
        <f>IFERROR(__xludf.DUMMYFUNCTION("""COMPUTED_VALUE"""),"W")</f>
        <v>W</v>
      </c>
      <c r="F152" s="128">
        <f>IFERROR(__xludf.DUMMYFUNCTION("""COMPUTED_VALUE"""),40.0)</f>
        <v>40</v>
      </c>
      <c r="G152" s="123" t="str">
        <f>IFERROR(__xludf.DUMMYFUNCTION("""COMPUTED_VALUE"""),"L")</f>
        <v>L</v>
      </c>
      <c r="H152" s="124"/>
      <c r="I152" s="125"/>
      <c r="J152" s="108">
        <f>IFERROR(__xludf.DUMMYFUNCTION("""COMPUTED_VALUE"""),48.0)</f>
        <v>48</v>
      </c>
      <c r="K152" s="123" t="str">
        <f>IFERROR(__xludf.DUMMYFUNCTION("""COMPUTED_VALUE"""),"L")</f>
        <v>L</v>
      </c>
      <c r="L152" s="108">
        <f>IFERROR(__xludf.DUMMYFUNCTION("""COMPUTED_VALUE"""),64.0)</f>
        <v>64</v>
      </c>
      <c r="M152" s="126" t="str">
        <f>IFERROR(__xludf.DUMMYFUNCTION("""COMPUTED_VALUE"""),"L")</f>
        <v>L</v>
      </c>
      <c r="N152" s="108" t="str">
        <f>IFERROR(__xludf.DUMMYFUNCTION("""COMPUTED_VALUE"""),"")</f>
        <v/>
      </c>
      <c r="O152" s="110" t="str">
        <f>IFERROR(__xludf.DUMMYFUNCTION("""COMPUTED_VALUE"""),"")</f>
        <v/>
      </c>
      <c r="Q152" s="111">
        <f>IFERROR(__xludf.DUMMYFUNCTION("""COMPUTED_VALUE"""),1.0)</f>
        <v>1</v>
      </c>
      <c r="R152" s="112">
        <f>IFERROR(__xludf.DUMMYFUNCTION("""COMPUTED_VALUE"""),0.0)</f>
        <v>0</v>
      </c>
      <c r="S152" s="112">
        <f>IFERROR(__xludf.DUMMYFUNCTION("""COMPUTED_VALUE"""),3.0)</f>
        <v>3</v>
      </c>
      <c r="T152" s="113">
        <f>IFERROR(__xludf.DUMMYFUNCTION("""COMPUTED_VALUE"""),1.0)</f>
        <v>1</v>
      </c>
      <c r="U152" s="114">
        <f>IFERROR(__xludf.DUMMYFUNCTION("""COMPUTED_VALUE"""),302.0)</f>
        <v>302</v>
      </c>
      <c r="V152" s="115">
        <f>IFERROR(__xludf.DUMMYFUNCTION("""COMPUTED_VALUE"""),75.5)</f>
        <v>75.5</v>
      </c>
      <c r="W152" s="136" t="str">
        <f>IFERROR(__xludf.DUMMYFUNCTION("""COMPUTED_VALUE"""),"4")</f>
        <v>4</v>
      </c>
      <c r="X152" s="117" t="str">
        <f>IFERROR(__xludf.DUMMYFUNCTION("""COMPUTED_VALUE"""),"Northville")</f>
        <v>Northville</v>
      </c>
      <c r="Y152" s="118">
        <f>IFERROR(__xludf.DUMMYFUNCTION("""COMPUTED_VALUE"""),75.5)</f>
        <v>75.5</v>
      </c>
      <c r="Z152" s="35"/>
      <c r="AA152" s="35"/>
      <c r="AB152" s="35"/>
      <c r="AC152" s="35"/>
      <c r="AD152" s="35"/>
      <c r="AE152" s="53"/>
      <c r="AF152" s="53"/>
      <c r="AG152" s="35"/>
      <c r="AH152" s="53"/>
      <c r="AI152" s="35"/>
      <c r="AJ152" s="90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</row>
    <row r="153" ht="18.75" customHeight="1">
      <c r="A153" s="53"/>
      <c r="B153" s="94"/>
      <c r="C153" s="121" t="str">
        <f>IFERROR(__xludf.DUMMYFUNCTION("""COMPUTED_VALUE"""),"Poolesville A")</f>
        <v>Poolesville A</v>
      </c>
      <c r="D153" s="122">
        <f>IFERROR(__xludf.DUMMYFUNCTION("""COMPUTED_VALUE"""),168.0)</f>
        <v>168</v>
      </c>
      <c r="E153" s="123" t="str">
        <f>IFERROR(__xludf.DUMMYFUNCTION("""COMPUTED_VALUE"""),"W")</f>
        <v>W</v>
      </c>
      <c r="F153" s="128">
        <f>IFERROR(__xludf.DUMMYFUNCTION("""COMPUTED_VALUE"""),64.0)</f>
        <v>64</v>
      </c>
      <c r="G153" s="123" t="str">
        <f>IFERROR(__xludf.DUMMYFUNCTION("""COMPUTED_VALUE"""),"L")</f>
        <v>L</v>
      </c>
      <c r="H153" s="128">
        <f>IFERROR(__xludf.DUMMYFUNCTION("""COMPUTED_VALUE"""),174.0)</f>
        <v>174</v>
      </c>
      <c r="I153" s="123" t="str">
        <f>IFERROR(__xludf.DUMMYFUNCTION("""COMPUTED_VALUE"""),"W")</f>
        <v>W</v>
      </c>
      <c r="J153" s="124"/>
      <c r="K153" s="125"/>
      <c r="L153" s="108">
        <f>IFERROR(__xludf.DUMMYFUNCTION("""COMPUTED_VALUE"""),86.0)</f>
        <v>86</v>
      </c>
      <c r="M153" s="126" t="str">
        <f>IFERROR(__xludf.DUMMYFUNCTION("""COMPUTED_VALUE"""),"L")</f>
        <v>L</v>
      </c>
      <c r="N153" s="108" t="str">
        <f>IFERROR(__xludf.DUMMYFUNCTION("""COMPUTED_VALUE"""),"")</f>
        <v/>
      </c>
      <c r="O153" s="110" t="str">
        <f>IFERROR(__xludf.DUMMYFUNCTION("""COMPUTED_VALUE"""),"")</f>
        <v/>
      </c>
      <c r="Q153" s="111">
        <f>IFERROR(__xludf.DUMMYFUNCTION("""COMPUTED_VALUE"""),2.0)</f>
        <v>2</v>
      </c>
      <c r="R153" s="112">
        <f>IFERROR(__xludf.DUMMYFUNCTION("""COMPUTED_VALUE"""),0.0)</f>
        <v>0</v>
      </c>
      <c r="S153" s="112">
        <f>IFERROR(__xludf.DUMMYFUNCTION("""COMPUTED_VALUE"""),2.0)</f>
        <v>2</v>
      </c>
      <c r="T153" s="113">
        <f>IFERROR(__xludf.DUMMYFUNCTION("""COMPUTED_VALUE"""),2.0)</f>
        <v>2</v>
      </c>
      <c r="U153" s="114">
        <f>IFERROR(__xludf.DUMMYFUNCTION("""COMPUTED_VALUE"""),492.0)</f>
        <v>492</v>
      </c>
      <c r="V153" s="115">
        <f>IFERROR(__xludf.DUMMYFUNCTION("""COMPUTED_VALUE"""),123.0)</f>
        <v>123</v>
      </c>
      <c r="W153" s="116" t="str">
        <f>IFERROR(__xludf.DUMMYFUNCTION("""COMPUTED_VALUE"""),"3")</f>
        <v>3</v>
      </c>
      <c r="X153" s="117" t="str">
        <f>IFERROR(__xludf.DUMMYFUNCTION("""COMPUTED_VALUE"""),"Poolesville A")</f>
        <v>Poolesville A</v>
      </c>
      <c r="Y153" s="118">
        <f>IFERROR(__xludf.DUMMYFUNCTION("""COMPUTED_VALUE"""),123.0)</f>
        <v>123</v>
      </c>
      <c r="Z153" s="35"/>
      <c r="AA153" s="53"/>
      <c r="AB153" s="53"/>
      <c r="AC153" s="35"/>
      <c r="AD153" s="35"/>
      <c r="AE153" s="53"/>
      <c r="AF153" s="53"/>
      <c r="AG153" s="35"/>
      <c r="AH153" s="53"/>
      <c r="AI153" s="35"/>
      <c r="AJ153" s="90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</row>
    <row r="154" ht="18.75" customHeight="1">
      <c r="A154" s="53"/>
      <c r="B154" s="94"/>
      <c r="C154" s="121" t="str">
        <f>IFERROR(__xludf.DUMMYFUNCTION("""COMPUTED_VALUE"""),"PRISMS")</f>
        <v>PRISMS</v>
      </c>
      <c r="D154" s="122">
        <f>IFERROR(__xludf.DUMMYFUNCTION("""COMPUTED_VALUE"""),170.0)</f>
        <v>170</v>
      </c>
      <c r="E154" s="133" t="str">
        <f>IFERROR(__xludf.DUMMYFUNCTION("""COMPUTED_VALUE"""),"W")</f>
        <v>W</v>
      </c>
      <c r="F154" s="128">
        <f>IFERROR(__xludf.DUMMYFUNCTION("""COMPUTED_VALUE"""),126.0)</f>
        <v>126</v>
      </c>
      <c r="G154" s="133" t="str">
        <f>IFERROR(__xludf.DUMMYFUNCTION("""COMPUTED_VALUE"""),"W")</f>
        <v>W</v>
      </c>
      <c r="H154" s="128">
        <f>IFERROR(__xludf.DUMMYFUNCTION("""COMPUTED_VALUE"""),162.0)</f>
        <v>162</v>
      </c>
      <c r="I154" s="133" t="str">
        <f>IFERROR(__xludf.DUMMYFUNCTION("""COMPUTED_VALUE"""),"W")</f>
        <v>W</v>
      </c>
      <c r="J154" s="128">
        <f>IFERROR(__xludf.DUMMYFUNCTION("""COMPUTED_VALUE"""),136.0)</f>
        <v>136</v>
      </c>
      <c r="K154" s="133" t="str">
        <f>IFERROR(__xludf.DUMMYFUNCTION("""COMPUTED_VALUE"""),"W")</f>
        <v>W</v>
      </c>
      <c r="L154" s="134"/>
      <c r="M154" s="135"/>
      <c r="N154" s="108" t="str">
        <f>IFERROR(__xludf.DUMMYFUNCTION("""COMPUTED_VALUE"""),"")</f>
        <v/>
      </c>
      <c r="O154" s="110" t="str">
        <f>IFERROR(__xludf.DUMMYFUNCTION("""COMPUTED_VALUE"""),"")</f>
        <v/>
      </c>
      <c r="Q154" s="111">
        <f>IFERROR(__xludf.DUMMYFUNCTION("""COMPUTED_VALUE"""),4.0)</f>
        <v>4</v>
      </c>
      <c r="R154" s="112">
        <f>IFERROR(__xludf.DUMMYFUNCTION("""COMPUTED_VALUE"""),0.0)</f>
        <v>0</v>
      </c>
      <c r="S154" s="112">
        <f>IFERROR(__xludf.DUMMYFUNCTION("""COMPUTED_VALUE"""),0.0)</f>
        <v>0</v>
      </c>
      <c r="T154" s="113">
        <f>IFERROR(__xludf.DUMMYFUNCTION("""COMPUTED_VALUE"""),4.0)</f>
        <v>4</v>
      </c>
      <c r="U154" s="114">
        <f>IFERROR(__xludf.DUMMYFUNCTION("""COMPUTED_VALUE"""),594.0)</f>
        <v>594</v>
      </c>
      <c r="V154" s="115">
        <f>IFERROR(__xludf.DUMMYFUNCTION("""COMPUTED_VALUE"""),148.5)</f>
        <v>148.5</v>
      </c>
      <c r="W154" s="136" t="str">
        <f>IFERROR(__xludf.DUMMYFUNCTION("""COMPUTED_VALUE"""),"1")</f>
        <v>1</v>
      </c>
      <c r="X154" s="117" t="str">
        <f>IFERROR(__xludf.DUMMYFUNCTION("""COMPUTED_VALUE"""),"PRISMS")</f>
        <v>PRISMS</v>
      </c>
      <c r="Y154" s="118">
        <f>IFERROR(__xludf.DUMMYFUNCTION("""COMPUTED_VALUE"""),148.5)</f>
        <v>148.5</v>
      </c>
      <c r="Z154" s="35"/>
      <c r="AA154" s="35"/>
      <c r="AB154" s="35"/>
      <c r="AC154" s="35"/>
      <c r="AD154" s="35"/>
      <c r="AE154" s="53"/>
      <c r="AF154" s="53"/>
      <c r="AG154" s="35"/>
      <c r="AH154" s="53"/>
      <c r="AI154" s="35"/>
      <c r="AJ154" s="90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</row>
    <row r="155" ht="18.75" customHeight="1">
      <c r="A155" s="53"/>
      <c r="B155" s="94"/>
      <c r="C155" s="121" t="str">
        <f>IFERROR(__xludf.DUMMYFUNCTION("""COMPUTED_VALUE"""),"BYE")</f>
        <v>BYE</v>
      </c>
      <c r="D155" s="122" t="str">
        <f>IFERROR(__xludf.DUMMYFUNCTION("""COMPUTED_VALUE"""),"")</f>
        <v/>
      </c>
      <c r="E155" s="133" t="str">
        <f>IFERROR(__xludf.DUMMYFUNCTION("""COMPUTED_VALUE"""),"")</f>
        <v/>
      </c>
      <c r="F155" s="128" t="str">
        <f>IFERROR(__xludf.DUMMYFUNCTION("""COMPUTED_VALUE"""),"")</f>
        <v/>
      </c>
      <c r="G155" s="133" t="str">
        <f>IFERROR(__xludf.DUMMYFUNCTION("""COMPUTED_VALUE"""),"")</f>
        <v/>
      </c>
      <c r="H155" s="128" t="str">
        <f>IFERROR(__xludf.DUMMYFUNCTION("""COMPUTED_VALUE"""),"")</f>
        <v/>
      </c>
      <c r="I155" s="123" t="str">
        <f>IFERROR(__xludf.DUMMYFUNCTION("""COMPUTED_VALUE"""),"")</f>
        <v/>
      </c>
      <c r="J155" s="128" t="str">
        <f>IFERROR(__xludf.DUMMYFUNCTION("""COMPUTED_VALUE"""),"")</f>
        <v/>
      </c>
      <c r="K155" s="133" t="str">
        <f>IFERROR(__xludf.DUMMYFUNCTION("""COMPUTED_VALUE"""),"")</f>
        <v/>
      </c>
      <c r="L155" s="128" t="str">
        <f>IFERROR(__xludf.DUMMYFUNCTION("""COMPUTED_VALUE"""),"")</f>
        <v/>
      </c>
      <c r="M155" s="133" t="str">
        <f>IFERROR(__xludf.DUMMYFUNCTION("""COMPUTED_VALUE"""),"")</f>
        <v/>
      </c>
      <c r="N155" s="137"/>
      <c r="O155" s="138"/>
      <c r="P155" s="99"/>
      <c r="Q155" s="111">
        <f>IFERROR(__xludf.DUMMYFUNCTION("""COMPUTED_VALUE"""),0.0)</f>
        <v>0</v>
      </c>
      <c r="R155" s="112">
        <f>IFERROR(__xludf.DUMMYFUNCTION("""COMPUTED_VALUE"""),0.0)</f>
        <v>0</v>
      </c>
      <c r="S155" s="112">
        <f>IFERROR(__xludf.DUMMYFUNCTION("""COMPUTED_VALUE"""),0.0)</f>
        <v>0</v>
      </c>
      <c r="T155" s="113">
        <f>IFERROR(__xludf.DUMMYFUNCTION("""COMPUTED_VALUE"""),0.0)</f>
        <v>0</v>
      </c>
      <c r="U155" s="114">
        <f>IFERROR(__xludf.DUMMYFUNCTION("""COMPUTED_VALUE"""),0.0)</f>
        <v>0</v>
      </c>
      <c r="V155" s="115" t="str">
        <f>IFERROR(__xludf.DUMMYFUNCTION("""COMPUTED_VALUE"""),"")</f>
        <v/>
      </c>
      <c r="W155" s="136"/>
      <c r="X155" s="117" t="str">
        <f>IFERROR(__xludf.DUMMYFUNCTION("""COMPUTED_VALUE"""),"BYE")</f>
        <v>BYE</v>
      </c>
      <c r="Y155" s="118" t="str">
        <f>IFERROR(__xludf.DUMMYFUNCTION("""COMPUTED_VALUE"""),"")</f>
        <v/>
      </c>
      <c r="Z155" s="35"/>
      <c r="AA155" s="35"/>
      <c r="AB155" s="35"/>
      <c r="AC155" s="35"/>
      <c r="AD155" s="35"/>
      <c r="AE155" s="53"/>
      <c r="AF155" s="53"/>
      <c r="AG155" s="35"/>
      <c r="AH155" s="53"/>
      <c r="AI155" s="35"/>
      <c r="AJ155" s="90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</row>
    <row r="156" ht="18.75" customHeight="1">
      <c r="A156" s="35"/>
      <c r="B156" s="139"/>
      <c r="C156" s="14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141"/>
      <c r="Y156" s="35"/>
      <c r="Z156" s="35"/>
      <c r="AA156" s="35"/>
      <c r="AB156" s="35"/>
      <c r="AC156" s="35"/>
      <c r="AD156" s="35"/>
      <c r="AE156" s="53"/>
      <c r="AF156" s="53"/>
      <c r="AG156" s="35"/>
      <c r="AH156" s="53"/>
      <c r="AI156" s="35"/>
      <c r="AJ156" s="90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</row>
    <row r="157" ht="18.75" customHeight="1">
      <c r="A157" s="53"/>
      <c r="B157" s="53"/>
      <c r="C157" s="53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143"/>
      <c r="U157" s="35"/>
      <c r="V157" s="35"/>
      <c r="W157" s="64"/>
      <c r="X157" s="35"/>
      <c r="Y157" s="35"/>
      <c r="Z157" s="35"/>
      <c r="AA157" s="35"/>
      <c r="AB157" s="35"/>
      <c r="AC157" s="35"/>
      <c r="AD157" s="35"/>
      <c r="AE157" s="53"/>
      <c r="AF157" s="53"/>
      <c r="AG157" s="35"/>
      <c r="AH157" s="53"/>
      <c r="AI157" s="35"/>
      <c r="AJ157" s="90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</row>
    <row r="158" ht="18.75" customHeight="1">
      <c r="A158" s="53"/>
      <c r="B158" s="53"/>
      <c r="C158" s="53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143"/>
      <c r="U158" s="35"/>
      <c r="V158" s="35"/>
      <c r="W158" s="64"/>
      <c r="X158" s="35"/>
      <c r="Y158" s="35"/>
      <c r="Z158" s="35"/>
      <c r="AA158" s="35"/>
      <c r="AB158" s="35"/>
      <c r="AC158" s="35"/>
      <c r="AD158" s="35"/>
      <c r="AE158" s="53"/>
      <c r="AF158" s="53"/>
      <c r="AG158" s="35"/>
      <c r="AH158" s="53"/>
      <c r="AI158" s="35"/>
      <c r="AJ158" s="90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</row>
    <row r="159" ht="18.75" customHeight="1">
      <c r="A159" s="73"/>
      <c r="B159" s="73"/>
      <c r="C159" s="73" t="str">
        <f>IFERROR(__xludf.DUMMYFUNCTION("""COMPUTED_VALUE"""),"Newton")</f>
        <v>Newton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74"/>
      <c r="U159" s="10"/>
      <c r="V159" s="10"/>
      <c r="W159" s="76"/>
      <c r="X159" s="10"/>
      <c r="Y159" s="35"/>
      <c r="Z159" s="35"/>
      <c r="AA159" s="35"/>
      <c r="AB159" s="35"/>
      <c r="AC159" s="35"/>
      <c r="AD159" s="35"/>
      <c r="AE159" s="53"/>
      <c r="AF159" s="53"/>
      <c r="AG159" s="35"/>
      <c r="AH159" s="53"/>
      <c r="AI159" s="35"/>
      <c r="AJ159" s="90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</row>
    <row r="160" ht="18.75" customHeight="1">
      <c r="A160" s="35"/>
      <c r="B160" s="80"/>
      <c r="C160" s="82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7"/>
      <c r="Y160" s="35"/>
      <c r="Z160" s="35"/>
      <c r="AA160" s="35"/>
      <c r="AB160" s="35"/>
      <c r="AC160" s="35"/>
      <c r="AD160" s="35"/>
      <c r="AE160" s="53"/>
      <c r="AF160" s="53"/>
      <c r="AG160" s="35"/>
      <c r="AH160" s="53"/>
      <c r="AI160" s="35"/>
      <c r="AJ160" s="90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</row>
    <row r="161" ht="18.75" customHeight="1">
      <c r="A161" s="92"/>
      <c r="B161" s="94"/>
      <c r="C161" s="95" t="str">
        <f>IFERROR(__xludf.DUMMYFUNCTION("""COMPUTED_VALUE"""),"Team")</f>
        <v>Team</v>
      </c>
      <c r="D161" s="53" t="str">
        <f>IFERROR(__xludf.DUMMYFUNCTION("""COMPUTED_VALUE"""),"Brooklyn Tech A")</f>
        <v>Brooklyn Tech A</v>
      </c>
      <c r="F161" s="97" t="str">
        <f>IFERROR(__xludf.DUMMYFUNCTION("""COMPUTED_VALUE"""),"Buchholz B")</f>
        <v>Buchholz B</v>
      </c>
      <c r="G161" s="98"/>
      <c r="H161" s="97" t="str">
        <f>IFERROR(__xludf.DUMMYFUNCTION("""COMPUTED_VALUE"""),"Glastonbury A")</f>
        <v>Glastonbury A</v>
      </c>
      <c r="I161" s="98"/>
      <c r="J161" s="97" t="str">
        <f>IFERROR(__xludf.DUMMYFUNCTION("""COMPUTED_VALUE"""),"Maryville C")</f>
        <v>Maryville C</v>
      </c>
      <c r="K161" s="98"/>
      <c r="L161" s="97" t="str">
        <f>IFERROR(__xludf.DUMMYFUNCTION("""COMPUTED_VALUE"""),"Quail Valley")</f>
        <v>Quail Valley</v>
      </c>
      <c r="M161" s="98"/>
      <c r="N161" s="97" t="str">
        <f>IFERROR(__xludf.DUMMYFUNCTION("""COMPUTED_VALUE"""),"BYE")</f>
        <v>BYE</v>
      </c>
      <c r="O161" s="98"/>
      <c r="P161" s="99"/>
      <c r="Q161" s="100" t="str">
        <f>IFERROR(__xludf.DUMMYFUNCTION("""COMPUTED_VALUE"""),"W")</f>
        <v>W</v>
      </c>
      <c r="R161" s="100" t="str">
        <f>IFERROR(__xludf.DUMMYFUNCTION("""COMPUTED_VALUE"""),"T")</f>
        <v>T</v>
      </c>
      <c r="S161" s="100" t="str">
        <f>IFERROR(__xludf.DUMMYFUNCTION("""COMPUTED_VALUE"""),"L")</f>
        <v>L</v>
      </c>
      <c r="T161" s="101" t="str">
        <f>IFERROR(__xludf.DUMMYFUNCTION("""COMPUTED_VALUE"""),"W/L Score")</f>
        <v>W/L Score</v>
      </c>
      <c r="U161" s="100" t="str">
        <f>IFERROR(__xludf.DUMMYFUNCTION("""COMPUTED_VALUE"""),"Points")</f>
        <v>Points</v>
      </c>
      <c r="V161" s="100" t="str">
        <f>IFERROR(__xludf.DUMMYFUNCTION("""COMPUTED_VALUE"""),"Average")</f>
        <v>Average</v>
      </c>
      <c r="W161" s="102" t="str">
        <f>IFERROR(__xludf.DUMMYFUNCTION("""COMPUTED_VALUE"""),"Rank")</f>
        <v>Rank</v>
      </c>
      <c r="X161" s="103"/>
      <c r="Y161" s="35"/>
      <c r="Z161" s="35"/>
      <c r="AA161" s="35"/>
      <c r="AB161" s="35"/>
      <c r="AC161" s="35"/>
      <c r="AD161" s="35"/>
      <c r="AE161" s="53"/>
      <c r="AF161" s="53"/>
      <c r="AG161" s="35"/>
      <c r="AH161" s="53"/>
      <c r="AI161" s="35"/>
      <c r="AJ161" s="90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</row>
    <row r="162" ht="18.75" customHeight="1">
      <c r="A162" s="104"/>
      <c r="B162" s="94"/>
      <c r="C162" s="105" t="str">
        <f>IFERROR(__xludf.DUMMYFUNCTION("""COMPUTED_VALUE"""),"Brooklyn Tech A")</f>
        <v>Brooklyn Tech A</v>
      </c>
      <c r="D162" s="106"/>
      <c r="E162" s="107"/>
      <c r="F162" s="108">
        <f>IFERROR(__xludf.DUMMYFUNCTION("""COMPUTED_VALUE"""),62.0)</f>
        <v>62</v>
      </c>
      <c r="G162" s="109" t="str">
        <f>IFERROR(__xludf.DUMMYFUNCTION("""COMPUTED_VALUE"""),"L")</f>
        <v>L</v>
      </c>
      <c r="H162" s="108">
        <f>IFERROR(__xludf.DUMMYFUNCTION("""COMPUTED_VALUE"""),40.0)</f>
        <v>40</v>
      </c>
      <c r="I162" s="109" t="str">
        <f>IFERROR(__xludf.DUMMYFUNCTION("""COMPUTED_VALUE"""),"L")</f>
        <v>L</v>
      </c>
      <c r="J162" s="108">
        <f>IFERROR(__xludf.DUMMYFUNCTION("""COMPUTED_VALUE"""),72.0)</f>
        <v>72</v>
      </c>
      <c r="K162" s="109" t="str">
        <f>IFERROR(__xludf.DUMMYFUNCTION("""COMPUTED_VALUE"""),"W")</f>
        <v>W</v>
      </c>
      <c r="L162" s="108">
        <f>IFERROR(__xludf.DUMMYFUNCTION("""COMPUTED_VALUE"""),76.0)</f>
        <v>76</v>
      </c>
      <c r="M162" s="110" t="str">
        <f>IFERROR(__xludf.DUMMYFUNCTION("""COMPUTED_VALUE"""),"W")</f>
        <v>W</v>
      </c>
      <c r="N162" s="108" t="str">
        <f>IFERROR(__xludf.DUMMYFUNCTION("""COMPUTED_VALUE"""),"")</f>
        <v/>
      </c>
      <c r="O162" s="110" t="str">
        <f>IFERROR(__xludf.DUMMYFUNCTION("""COMPUTED_VALUE"""),"")</f>
        <v/>
      </c>
      <c r="Q162" s="111">
        <f>IFERROR(__xludf.DUMMYFUNCTION("""COMPUTED_VALUE"""),2.0)</f>
        <v>2</v>
      </c>
      <c r="R162" s="112">
        <f>IFERROR(__xludf.DUMMYFUNCTION("""COMPUTED_VALUE"""),0.0)</f>
        <v>0</v>
      </c>
      <c r="S162" s="112">
        <f>IFERROR(__xludf.DUMMYFUNCTION("""COMPUTED_VALUE"""),2.0)</f>
        <v>2</v>
      </c>
      <c r="T162" s="113">
        <f>IFERROR(__xludf.DUMMYFUNCTION("""COMPUTED_VALUE"""),2.0)</f>
        <v>2</v>
      </c>
      <c r="U162" s="114">
        <f>IFERROR(__xludf.DUMMYFUNCTION("""COMPUTED_VALUE"""),250.0)</f>
        <v>250</v>
      </c>
      <c r="V162" s="115">
        <f>IFERROR(__xludf.DUMMYFUNCTION("""COMPUTED_VALUE"""),62.5)</f>
        <v>62.5</v>
      </c>
      <c r="W162" s="136" t="str">
        <f>IFERROR(__xludf.DUMMYFUNCTION("""COMPUTED_VALUE"""),"3")</f>
        <v>3</v>
      </c>
      <c r="X162" s="117" t="str">
        <f>IFERROR(__xludf.DUMMYFUNCTION("""COMPUTED_VALUE"""),"Brooklyn Tech A")</f>
        <v>Brooklyn Tech A</v>
      </c>
      <c r="Y162" s="118">
        <f>IFERROR(__xludf.DUMMYFUNCTION("""COMPUTED_VALUE"""),62.5)</f>
        <v>62.5</v>
      </c>
      <c r="Z162" s="35"/>
      <c r="AA162" s="35"/>
      <c r="AB162" s="35"/>
      <c r="AC162" s="35"/>
      <c r="AD162" s="35"/>
      <c r="AE162" s="53"/>
      <c r="AF162" s="53"/>
      <c r="AG162" s="35"/>
      <c r="AH162" s="53"/>
      <c r="AI162" s="35"/>
      <c r="AJ162" s="90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</row>
    <row r="163" ht="18.75" customHeight="1">
      <c r="A163" s="53"/>
      <c r="B163" s="94"/>
      <c r="C163" s="121" t="str">
        <f>IFERROR(__xludf.DUMMYFUNCTION("""COMPUTED_VALUE"""),"Buchholz B")</f>
        <v>Buchholz B</v>
      </c>
      <c r="D163" s="122">
        <f>IFERROR(__xludf.DUMMYFUNCTION("""COMPUTED_VALUE"""),112.0)</f>
        <v>112</v>
      </c>
      <c r="E163" s="123" t="str">
        <f>IFERROR(__xludf.DUMMYFUNCTION("""COMPUTED_VALUE"""),"W")</f>
        <v>W</v>
      </c>
      <c r="F163" s="124"/>
      <c r="G163" s="125"/>
      <c r="H163" s="108">
        <f>IFERROR(__xludf.DUMMYFUNCTION("""COMPUTED_VALUE"""),138.0)</f>
        <v>138</v>
      </c>
      <c r="I163" s="123" t="str">
        <f>IFERROR(__xludf.DUMMYFUNCTION("""COMPUTED_VALUE"""),"W")</f>
        <v>W</v>
      </c>
      <c r="J163" s="108">
        <f>IFERROR(__xludf.DUMMYFUNCTION("""COMPUTED_VALUE"""),146.0)</f>
        <v>146</v>
      </c>
      <c r="K163" s="123" t="str">
        <f>IFERROR(__xludf.DUMMYFUNCTION("""COMPUTED_VALUE"""),"W")</f>
        <v>W</v>
      </c>
      <c r="L163" s="108">
        <f>IFERROR(__xludf.DUMMYFUNCTION("""COMPUTED_VALUE"""),146.0)</f>
        <v>146</v>
      </c>
      <c r="M163" s="126" t="str">
        <f>IFERROR(__xludf.DUMMYFUNCTION("""COMPUTED_VALUE"""),"W")</f>
        <v>W</v>
      </c>
      <c r="N163" s="108" t="str">
        <f>IFERROR(__xludf.DUMMYFUNCTION("""COMPUTED_VALUE"""),"")</f>
        <v/>
      </c>
      <c r="O163" s="110" t="str">
        <f>IFERROR(__xludf.DUMMYFUNCTION("""COMPUTED_VALUE"""),"")</f>
        <v/>
      </c>
      <c r="Q163" s="111">
        <f>IFERROR(__xludf.DUMMYFUNCTION("""COMPUTED_VALUE"""),4.0)</f>
        <v>4</v>
      </c>
      <c r="R163" s="112">
        <f>IFERROR(__xludf.DUMMYFUNCTION("""COMPUTED_VALUE"""),0.0)</f>
        <v>0</v>
      </c>
      <c r="S163" s="112">
        <f>IFERROR(__xludf.DUMMYFUNCTION("""COMPUTED_VALUE"""),0.0)</f>
        <v>0</v>
      </c>
      <c r="T163" s="113">
        <f>IFERROR(__xludf.DUMMYFUNCTION("""COMPUTED_VALUE"""),4.0)</f>
        <v>4</v>
      </c>
      <c r="U163" s="114">
        <f>IFERROR(__xludf.DUMMYFUNCTION("""COMPUTED_VALUE"""),542.0)</f>
        <v>542</v>
      </c>
      <c r="V163" s="115">
        <f>IFERROR(__xludf.DUMMYFUNCTION("""COMPUTED_VALUE"""),135.5)</f>
        <v>135.5</v>
      </c>
      <c r="W163" s="116" t="str">
        <f>IFERROR(__xludf.DUMMYFUNCTION("""COMPUTED_VALUE"""),"1")</f>
        <v>1</v>
      </c>
      <c r="X163" s="117" t="str">
        <f>IFERROR(__xludf.DUMMYFUNCTION("""COMPUTED_VALUE"""),"Buchholz B")</f>
        <v>Buchholz B</v>
      </c>
      <c r="Y163" s="118">
        <f>IFERROR(__xludf.DUMMYFUNCTION("""COMPUTED_VALUE"""),135.5)</f>
        <v>135.5</v>
      </c>
      <c r="Z163" s="35"/>
      <c r="AA163" s="35"/>
      <c r="AB163" s="35"/>
      <c r="AC163" s="35"/>
      <c r="AD163" s="35"/>
      <c r="AE163" s="53"/>
      <c r="AF163" s="53"/>
      <c r="AG163" s="35"/>
      <c r="AH163" s="53"/>
      <c r="AI163" s="35"/>
      <c r="AJ163" s="90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</row>
    <row r="164" ht="18.75" customHeight="1">
      <c r="A164" s="53"/>
      <c r="B164" s="94"/>
      <c r="C164" s="121" t="str">
        <f>IFERROR(__xludf.DUMMYFUNCTION("""COMPUTED_VALUE"""),"Glastonbury A")</f>
        <v>Glastonbury A</v>
      </c>
      <c r="D164" s="122">
        <f>IFERROR(__xludf.DUMMYFUNCTION("""COMPUTED_VALUE"""),128.0)</f>
        <v>128</v>
      </c>
      <c r="E164" s="123" t="str">
        <f>IFERROR(__xludf.DUMMYFUNCTION("""COMPUTED_VALUE"""),"W")</f>
        <v>W</v>
      </c>
      <c r="F164" s="128">
        <f>IFERROR(__xludf.DUMMYFUNCTION("""COMPUTED_VALUE"""),96.0)</f>
        <v>96</v>
      </c>
      <c r="G164" s="123" t="str">
        <f>IFERROR(__xludf.DUMMYFUNCTION("""COMPUTED_VALUE"""),"L")</f>
        <v>L</v>
      </c>
      <c r="H164" s="124"/>
      <c r="I164" s="125"/>
      <c r="J164" s="108">
        <f>IFERROR(__xludf.DUMMYFUNCTION("""COMPUTED_VALUE"""),140.0)</f>
        <v>140</v>
      </c>
      <c r="K164" s="123" t="str">
        <f>IFERROR(__xludf.DUMMYFUNCTION("""COMPUTED_VALUE"""),"W")</f>
        <v>W</v>
      </c>
      <c r="L164" s="108">
        <f>IFERROR(__xludf.DUMMYFUNCTION("""COMPUTED_VALUE"""),152.0)</f>
        <v>152</v>
      </c>
      <c r="M164" s="126" t="str">
        <f>IFERROR(__xludf.DUMMYFUNCTION("""COMPUTED_VALUE"""),"W")</f>
        <v>W</v>
      </c>
      <c r="N164" s="108" t="str">
        <f>IFERROR(__xludf.DUMMYFUNCTION("""COMPUTED_VALUE"""),"")</f>
        <v/>
      </c>
      <c r="O164" s="110" t="str">
        <f>IFERROR(__xludf.DUMMYFUNCTION("""COMPUTED_VALUE"""),"")</f>
        <v/>
      </c>
      <c r="Q164" s="111">
        <f>IFERROR(__xludf.DUMMYFUNCTION("""COMPUTED_VALUE"""),3.0)</f>
        <v>3</v>
      </c>
      <c r="R164" s="112">
        <f>IFERROR(__xludf.DUMMYFUNCTION("""COMPUTED_VALUE"""),0.0)</f>
        <v>0</v>
      </c>
      <c r="S164" s="112">
        <f>IFERROR(__xludf.DUMMYFUNCTION("""COMPUTED_VALUE"""),1.0)</f>
        <v>1</v>
      </c>
      <c r="T164" s="113">
        <f>IFERROR(__xludf.DUMMYFUNCTION("""COMPUTED_VALUE"""),3.0)</f>
        <v>3</v>
      </c>
      <c r="U164" s="114">
        <f>IFERROR(__xludf.DUMMYFUNCTION("""COMPUTED_VALUE"""),516.0)</f>
        <v>516</v>
      </c>
      <c r="V164" s="115">
        <f>IFERROR(__xludf.DUMMYFUNCTION("""COMPUTED_VALUE"""),129.0)</f>
        <v>129</v>
      </c>
      <c r="W164" s="136" t="str">
        <f>IFERROR(__xludf.DUMMYFUNCTION("""COMPUTED_VALUE"""),"2")</f>
        <v>2</v>
      </c>
      <c r="X164" s="117" t="str">
        <f>IFERROR(__xludf.DUMMYFUNCTION("""COMPUTED_VALUE"""),"Glastonbury A")</f>
        <v>Glastonbury A</v>
      </c>
      <c r="Y164" s="118">
        <f>IFERROR(__xludf.DUMMYFUNCTION("""COMPUTED_VALUE"""),129.0)</f>
        <v>129</v>
      </c>
      <c r="Z164" s="35"/>
      <c r="AA164" s="35"/>
      <c r="AB164" s="35"/>
      <c r="AC164" s="35"/>
      <c r="AD164" s="35"/>
      <c r="AE164" s="53"/>
      <c r="AF164" s="53"/>
      <c r="AG164" s="35"/>
      <c r="AH164" s="53"/>
      <c r="AI164" s="35"/>
      <c r="AJ164" s="90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</row>
    <row r="165" ht="18.75" customHeight="1">
      <c r="A165" s="53"/>
      <c r="B165" s="94"/>
      <c r="C165" s="121" t="str">
        <f>IFERROR(__xludf.DUMMYFUNCTION("""COMPUTED_VALUE"""),"Maryville C")</f>
        <v>Maryville C</v>
      </c>
      <c r="D165" s="122">
        <f>IFERROR(__xludf.DUMMYFUNCTION("""COMPUTED_VALUE"""),32.0)</f>
        <v>32</v>
      </c>
      <c r="E165" s="123" t="str">
        <f>IFERROR(__xludf.DUMMYFUNCTION("""COMPUTED_VALUE"""),"L")</f>
        <v>L</v>
      </c>
      <c r="F165" s="128">
        <f>IFERROR(__xludf.DUMMYFUNCTION("""COMPUTED_VALUE"""),12.0)</f>
        <v>12</v>
      </c>
      <c r="G165" s="123" t="str">
        <f>IFERROR(__xludf.DUMMYFUNCTION("""COMPUTED_VALUE"""),"L")</f>
        <v>L</v>
      </c>
      <c r="H165" s="128">
        <f>IFERROR(__xludf.DUMMYFUNCTION("""COMPUTED_VALUE"""),30.0)</f>
        <v>30</v>
      </c>
      <c r="I165" s="123" t="str">
        <f>IFERROR(__xludf.DUMMYFUNCTION("""COMPUTED_VALUE"""),"L")</f>
        <v>L</v>
      </c>
      <c r="J165" s="124"/>
      <c r="K165" s="125"/>
      <c r="L165" s="108">
        <f>IFERROR(__xludf.DUMMYFUNCTION("""COMPUTED_VALUE"""),140.0)</f>
        <v>140</v>
      </c>
      <c r="M165" s="126" t="str">
        <f>IFERROR(__xludf.DUMMYFUNCTION("""COMPUTED_VALUE"""),"W")</f>
        <v>W</v>
      </c>
      <c r="N165" s="108" t="str">
        <f>IFERROR(__xludf.DUMMYFUNCTION("""COMPUTED_VALUE"""),"")</f>
        <v/>
      </c>
      <c r="O165" s="110" t="str">
        <f>IFERROR(__xludf.DUMMYFUNCTION("""COMPUTED_VALUE"""),"")</f>
        <v/>
      </c>
      <c r="Q165" s="111">
        <f>IFERROR(__xludf.DUMMYFUNCTION("""COMPUTED_VALUE"""),1.0)</f>
        <v>1</v>
      </c>
      <c r="R165" s="112">
        <f>IFERROR(__xludf.DUMMYFUNCTION("""COMPUTED_VALUE"""),0.0)</f>
        <v>0</v>
      </c>
      <c r="S165" s="112">
        <f>IFERROR(__xludf.DUMMYFUNCTION("""COMPUTED_VALUE"""),3.0)</f>
        <v>3</v>
      </c>
      <c r="T165" s="113">
        <f>IFERROR(__xludf.DUMMYFUNCTION("""COMPUTED_VALUE"""),1.0)</f>
        <v>1</v>
      </c>
      <c r="U165" s="114">
        <f>IFERROR(__xludf.DUMMYFUNCTION("""COMPUTED_VALUE"""),214.0)</f>
        <v>214</v>
      </c>
      <c r="V165" s="115">
        <f>IFERROR(__xludf.DUMMYFUNCTION("""COMPUTED_VALUE"""),53.5)</f>
        <v>53.5</v>
      </c>
      <c r="W165" s="116" t="str">
        <f>IFERROR(__xludf.DUMMYFUNCTION("""COMPUTED_VALUE"""),"4")</f>
        <v>4</v>
      </c>
      <c r="X165" s="117" t="str">
        <f>IFERROR(__xludf.DUMMYFUNCTION("""COMPUTED_VALUE"""),"Maryville C")</f>
        <v>Maryville C</v>
      </c>
      <c r="Y165" s="118">
        <f>IFERROR(__xludf.DUMMYFUNCTION("""COMPUTED_VALUE"""),53.5)</f>
        <v>53.5</v>
      </c>
      <c r="Z165" s="35"/>
      <c r="AA165" s="35"/>
      <c r="AB165" s="35"/>
      <c r="AC165" s="35"/>
      <c r="AD165" s="35"/>
      <c r="AE165" s="53"/>
      <c r="AF165" s="53"/>
      <c r="AG165" s="35"/>
      <c r="AH165" s="53"/>
      <c r="AI165" s="35"/>
      <c r="AJ165" s="90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</row>
    <row r="166" ht="18.75" customHeight="1">
      <c r="A166" s="53"/>
      <c r="B166" s="94"/>
      <c r="C166" s="121" t="str">
        <f>IFERROR(__xludf.DUMMYFUNCTION("""COMPUTED_VALUE"""),"Quail Valley")</f>
        <v>Quail Valley</v>
      </c>
      <c r="D166" s="122">
        <f>IFERROR(__xludf.DUMMYFUNCTION("""COMPUTED_VALUE"""),52.0)</f>
        <v>52</v>
      </c>
      <c r="E166" s="133" t="str">
        <f>IFERROR(__xludf.DUMMYFUNCTION("""COMPUTED_VALUE"""),"L")</f>
        <v>L</v>
      </c>
      <c r="F166" s="128">
        <f>IFERROR(__xludf.DUMMYFUNCTION("""COMPUTED_VALUE"""),68.0)</f>
        <v>68</v>
      </c>
      <c r="G166" s="133" t="str">
        <f>IFERROR(__xludf.DUMMYFUNCTION("""COMPUTED_VALUE"""),"L")</f>
        <v>L</v>
      </c>
      <c r="H166" s="128">
        <f>IFERROR(__xludf.DUMMYFUNCTION("""COMPUTED_VALUE"""),44.0)</f>
        <v>44</v>
      </c>
      <c r="I166" s="133" t="str">
        <f>IFERROR(__xludf.DUMMYFUNCTION("""COMPUTED_VALUE"""),"L")</f>
        <v>L</v>
      </c>
      <c r="J166" s="128">
        <f>IFERROR(__xludf.DUMMYFUNCTION("""COMPUTED_VALUE"""),36.0)</f>
        <v>36</v>
      </c>
      <c r="K166" s="133" t="str">
        <f>IFERROR(__xludf.DUMMYFUNCTION("""COMPUTED_VALUE"""),"L")</f>
        <v>L</v>
      </c>
      <c r="L166" s="134"/>
      <c r="M166" s="135"/>
      <c r="N166" s="108" t="str">
        <f>IFERROR(__xludf.DUMMYFUNCTION("""COMPUTED_VALUE"""),"")</f>
        <v/>
      </c>
      <c r="O166" s="110" t="str">
        <f>IFERROR(__xludf.DUMMYFUNCTION("""COMPUTED_VALUE"""),"")</f>
        <v/>
      </c>
      <c r="Q166" s="111">
        <f>IFERROR(__xludf.DUMMYFUNCTION("""COMPUTED_VALUE"""),0.0)</f>
        <v>0</v>
      </c>
      <c r="R166" s="112">
        <f>IFERROR(__xludf.DUMMYFUNCTION("""COMPUTED_VALUE"""),0.0)</f>
        <v>0</v>
      </c>
      <c r="S166" s="112">
        <f>IFERROR(__xludf.DUMMYFUNCTION("""COMPUTED_VALUE"""),4.0)</f>
        <v>4</v>
      </c>
      <c r="T166" s="113">
        <f>IFERROR(__xludf.DUMMYFUNCTION("""COMPUTED_VALUE"""),0.0)</f>
        <v>0</v>
      </c>
      <c r="U166" s="114">
        <f>IFERROR(__xludf.DUMMYFUNCTION("""COMPUTED_VALUE"""),200.0)</f>
        <v>200</v>
      </c>
      <c r="V166" s="115">
        <f>IFERROR(__xludf.DUMMYFUNCTION("""COMPUTED_VALUE"""),50.0)</f>
        <v>50</v>
      </c>
      <c r="W166" s="136" t="str">
        <f>IFERROR(__xludf.DUMMYFUNCTION("""COMPUTED_VALUE"""),"5")</f>
        <v>5</v>
      </c>
      <c r="X166" s="117" t="str">
        <f>IFERROR(__xludf.DUMMYFUNCTION("""COMPUTED_VALUE"""),"Quail Valley")</f>
        <v>Quail Valley</v>
      </c>
      <c r="Y166" s="118">
        <f>IFERROR(__xludf.DUMMYFUNCTION("""COMPUTED_VALUE"""),50.0)</f>
        <v>50</v>
      </c>
      <c r="Z166" s="35"/>
      <c r="AA166" s="35"/>
      <c r="AB166" s="35"/>
      <c r="AC166" s="35"/>
      <c r="AD166" s="35"/>
      <c r="AE166" s="53"/>
      <c r="AF166" s="53"/>
      <c r="AG166" s="35"/>
      <c r="AH166" s="53"/>
      <c r="AI166" s="35"/>
      <c r="AJ166" s="90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</row>
    <row r="167" ht="18.75" customHeight="1">
      <c r="A167" s="53"/>
      <c r="B167" s="94"/>
      <c r="C167" s="121" t="str">
        <f>IFERROR(__xludf.DUMMYFUNCTION("""COMPUTED_VALUE"""),"BYE")</f>
        <v>BYE</v>
      </c>
      <c r="D167" s="122" t="str">
        <f>IFERROR(__xludf.DUMMYFUNCTION("""COMPUTED_VALUE"""),"")</f>
        <v/>
      </c>
      <c r="E167" s="133" t="str">
        <f>IFERROR(__xludf.DUMMYFUNCTION("""COMPUTED_VALUE"""),"")</f>
        <v/>
      </c>
      <c r="F167" s="128" t="str">
        <f>IFERROR(__xludf.DUMMYFUNCTION("""COMPUTED_VALUE"""),"")</f>
        <v/>
      </c>
      <c r="G167" s="133" t="str">
        <f>IFERROR(__xludf.DUMMYFUNCTION("""COMPUTED_VALUE"""),"")</f>
        <v/>
      </c>
      <c r="H167" s="128" t="str">
        <f>IFERROR(__xludf.DUMMYFUNCTION("""COMPUTED_VALUE"""),"")</f>
        <v/>
      </c>
      <c r="I167" s="123" t="str">
        <f>IFERROR(__xludf.DUMMYFUNCTION("""COMPUTED_VALUE"""),"")</f>
        <v/>
      </c>
      <c r="J167" s="128" t="str">
        <f>IFERROR(__xludf.DUMMYFUNCTION("""COMPUTED_VALUE"""),"")</f>
        <v/>
      </c>
      <c r="K167" s="133" t="str">
        <f>IFERROR(__xludf.DUMMYFUNCTION("""COMPUTED_VALUE"""),"")</f>
        <v/>
      </c>
      <c r="L167" s="128" t="str">
        <f>IFERROR(__xludf.DUMMYFUNCTION("""COMPUTED_VALUE"""),"")</f>
        <v/>
      </c>
      <c r="M167" s="133" t="str">
        <f>IFERROR(__xludf.DUMMYFUNCTION("""COMPUTED_VALUE"""),"")</f>
        <v/>
      </c>
      <c r="N167" s="137"/>
      <c r="O167" s="138"/>
      <c r="P167" s="99"/>
      <c r="Q167" s="111">
        <f>IFERROR(__xludf.DUMMYFUNCTION("""COMPUTED_VALUE"""),0.0)</f>
        <v>0</v>
      </c>
      <c r="R167" s="112">
        <f>IFERROR(__xludf.DUMMYFUNCTION("""COMPUTED_VALUE"""),0.0)</f>
        <v>0</v>
      </c>
      <c r="S167" s="112">
        <f>IFERROR(__xludf.DUMMYFUNCTION("""COMPUTED_VALUE"""),0.0)</f>
        <v>0</v>
      </c>
      <c r="T167" s="113">
        <f>IFERROR(__xludf.DUMMYFUNCTION("""COMPUTED_VALUE"""),0.0)</f>
        <v>0</v>
      </c>
      <c r="U167" s="114">
        <f>IFERROR(__xludf.DUMMYFUNCTION("""COMPUTED_VALUE"""),0.0)</f>
        <v>0</v>
      </c>
      <c r="V167" s="115" t="str">
        <f>IFERROR(__xludf.DUMMYFUNCTION("""COMPUTED_VALUE"""),"")</f>
        <v/>
      </c>
      <c r="W167" s="136"/>
      <c r="X167" s="117" t="str">
        <f>IFERROR(__xludf.DUMMYFUNCTION("""COMPUTED_VALUE"""),"BYE")</f>
        <v>BYE</v>
      </c>
      <c r="Y167" s="118" t="str">
        <f>IFERROR(__xludf.DUMMYFUNCTION("""COMPUTED_VALUE"""),"")</f>
        <v/>
      </c>
      <c r="Z167" s="35"/>
      <c r="AA167" s="35"/>
      <c r="AB167" s="35"/>
      <c r="AC167" s="35"/>
      <c r="AD167" s="35"/>
      <c r="AE167" s="53"/>
      <c r="AF167" s="53"/>
      <c r="AG167" s="35"/>
      <c r="AH167" s="53"/>
      <c r="AI167" s="35"/>
      <c r="AJ167" s="90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</row>
    <row r="168" ht="18.75" customHeight="1">
      <c r="A168" s="35"/>
      <c r="B168" s="139"/>
      <c r="C168" s="14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141"/>
      <c r="Y168" s="35"/>
      <c r="Z168" s="35"/>
      <c r="AA168" s="35"/>
      <c r="AB168" s="35"/>
      <c r="AC168" s="35"/>
      <c r="AD168" s="35"/>
      <c r="AE168" s="53"/>
      <c r="AF168" s="53"/>
      <c r="AG168" s="35"/>
      <c r="AH168" s="53"/>
      <c r="AI168" s="35"/>
      <c r="AJ168" s="90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</row>
    <row r="169" ht="18.75" customHeight="1">
      <c r="A169" s="53"/>
      <c r="B169" s="53"/>
      <c r="C169" s="53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143"/>
      <c r="U169" s="35"/>
      <c r="V169" s="35"/>
      <c r="W169" s="64"/>
      <c r="X169" s="35"/>
      <c r="Y169" s="35"/>
      <c r="Z169" s="35"/>
      <c r="AA169" s="35"/>
      <c r="AB169" s="35"/>
      <c r="AC169" s="35"/>
      <c r="AD169" s="35"/>
      <c r="AE169" s="53"/>
      <c r="AF169" s="53"/>
      <c r="AG169" s="35"/>
      <c r="AH169" s="53"/>
      <c r="AI169" s="35"/>
      <c r="AJ169" s="90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</row>
    <row r="170" ht="18.75" customHeight="1">
      <c r="A170" s="53"/>
      <c r="B170" s="53"/>
      <c r="C170" s="53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143"/>
      <c r="U170" s="35"/>
      <c r="V170" s="35"/>
      <c r="W170" s="64"/>
      <c r="X170" s="35"/>
      <c r="Y170" s="35"/>
      <c r="Z170" s="35"/>
      <c r="AA170" s="35"/>
      <c r="AB170" s="35"/>
      <c r="AC170" s="35"/>
      <c r="AD170" s="35"/>
      <c r="AE170" s="53"/>
      <c r="AF170" s="53"/>
      <c r="AG170" s="35"/>
      <c r="AH170" s="53"/>
      <c r="AI170" s="35"/>
      <c r="AJ170" s="90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</row>
    <row r="171" ht="18.75" customHeight="1">
      <c r="A171" s="73"/>
      <c r="B171" s="73"/>
      <c r="C171" s="73" t="str">
        <f>IFERROR(__xludf.DUMMYFUNCTION("""COMPUTED_VALUE"""),"Ohm")</f>
        <v>Ohm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74"/>
      <c r="U171" s="10"/>
      <c r="V171" s="10"/>
      <c r="W171" s="76"/>
      <c r="X171" s="10"/>
      <c r="Y171" s="35"/>
      <c r="Z171" s="35"/>
      <c r="AA171" s="35"/>
      <c r="AB171" s="35"/>
      <c r="AC171" s="35"/>
      <c r="AD171" s="35"/>
      <c r="AE171" s="53"/>
      <c r="AF171" s="53"/>
      <c r="AG171" s="35"/>
      <c r="AH171" s="53"/>
      <c r="AI171" s="35"/>
      <c r="AJ171" s="90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</row>
    <row r="172" ht="18.75" customHeight="1">
      <c r="A172" s="35"/>
      <c r="B172" s="80"/>
      <c r="C172" s="82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7"/>
      <c r="Y172" s="35"/>
      <c r="Z172" s="35"/>
      <c r="AA172" s="35"/>
      <c r="AB172" s="35"/>
      <c r="AC172" s="35"/>
      <c r="AD172" s="35"/>
      <c r="AE172" s="53"/>
      <c r="AF172" s="53"/>
      <c r="AG172" s="35"/>
      <c r="AH172" s="53"/>
      <c r="AI172" s="35"/>
      <c r="AJ172" s="90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</row>
    <row r="173" ht="18.75" customHeight="1">
      <c r="A173" s="92"/>
      <c r="B173" s="94"/>
      <c r="C173" s="95" t="str">
        <f>IFERROR(__xludf.DUMMYFUNCTION("""COMPUTED_VALUE"""),"Team")</f>
        <v>Team</v>
      </c>
      <c r="D173" s="53" t="str">
        <f>IFERROR(__xludf.DUMMYFUNCTION("""COMPUTED_VALUE"""),"--")</f>
        <v>--</v>
      </c>
      <c r="F173" s="97" t="str">
        <f>IFERROR(__xludf.DUMMYFUNCTION("""COMPUTED_VALUE"""),"--")</f>
        <v>--</v>
      </c>
      <c r="G173" s="98"/>
      <c r="H173" s="97" t="str">
        <f>IFERROR(__xludf.DUMMYFUNCTION("""COMPUTED_VALUE"""),"--")</f>
        <v>--</v>
      </c>
      <c r="I173" s="98"/>
      <c r="J173" s="97" t="str">
        <f>IFERROR(__xludf.DUMMYFUNCTION("""COMPUTED_VALUE"""),"--")</f>
        <v>--</v>
      </c>
      <c r="K173" s="98"/>
      <c r="L173" s="97" t="str">
        <f>IFERROR(__xludf.DUMMYFUNCTION("""COMPUTED_VALUE"""),"--")</f>
        <v>--</v>
      </c>
      <c r="M173" s="98"/>
      <c r="N173" s="97" t="str">
        <f>IFERROR(__xludf.DUMMYFUNCTION("""COMPUTED_VALUE"""),"--")</f>
        <v>--</v>
      </c>
      <c r="O173" s="98"/>
      <c r="P173" s="99"/>
      <c r="Q173" s="100" t="str">
        <f>IFERROR(__xludf.DUMMYFUNCTION("""COMPUTED_VALUE"""),"W")</f>
        <v>W</v>
      </c>
      <c r="R173" s="100" t="str">
        <f>IFERROR(__xludf.DUMMYFUNCTION("""COMPUTED_VALUE"""),"T")</f>
        <v>T</v>
      </c>
      <c r="S173" s="100" t="str">
        <f>IFERROR(__xludf.DUMMYFUNCTION("""COMPUTED_VALUE"""),"L")</f>
        <v>L</v>
      </c>
      <c r="T173" s="101" t="str">
        <f>IFERROR(__xludf.DUMMYFUNCTION("""COMPUTED_VALUE"""),"W/L Score")</f>
        <v>W/L Score</v>
      </c>
      <c r="U173" s="100" t="str">
        <f>IFERROR(__xludf.DUMMYFUNCTION("""COMPUTED_VALUE"""),"Points")</f>
        <v>Points</v>
      </c>
      <c r="V173" s="100" t="str">
        <f>IFERROR(__xludf.DUMMYFUNCTION("""COMPUTED_VALUE"""),"Average")</f>
        <v>Average</v>
      </c>
      <c r="W173" s="102" t="str">
        <f>IFERROR(__xludf.DUMMYFUNCTION("""COMPUTED_VALUE"""),"Rank")</f>
        <v>Rank</v>
      </c>
      <c r="X173" s="103"/>
      <c r="Y173" s="35"/>
      <c r="Z173" s="35"/>
      <c r="AA173" s="35"/>
      <c r="AB173" s="35"/>
      <c r="AC173" s="35"/>
      <c r="AD173" s="35"/>
      <c r="AE173" s="53"/>
      <c r="AF173" s="53"/>
      <c r="AG173" s="35"/>
      <c r="AH173" s="53"/>
      <c r="AI173" s="35"/>
      <c r="AJ173" s="90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</row>
    <row r="174" ht="18.75" customHeight="1">
      <c r="A174" s="104"/>
      <c r="B174" s="94"/>
      <c r="C174" s="105" t="str">
        <f>IFERROR(__xludf.DUMMYFUNCTION("""COMPUTED_VALUE"""),"--")</f>
        <v>--</v>
      </c>
      <c r="D174" s="106"/>
      <c r="E174" s="107"/>
      <c r="F174" s="108" t="str">
        <f>IFERROR(__xludf.DUMMYFUNCTION("""COMPUTED_VALUE"""),"")</f>
        <v/>
      </c>
      <c r="G174" s="109" t="str">
        <f>IFERROR(__xludf.DUMMYFUNCTION("""COMPUTED_VALUE"""),"")</f>
        <v/>
      </c>
      <c r="H174" s="108" t="str">
        <f>IFERROR(__xludf.DUMMYFUNCTION("""COMPUTED_VALUE"""),"")</f>
        <v/>
      </c>
      <c r="I174" s="109" t="str">
        <f>IFERROR(__xludf.DUMMYFUNCTION("""COMPUTED_VALUE"""),"")</f>
        <v/>
      </c>
      <c r="J174" s="108" t="str">
        <f>IFERROR(__xludf.DUMMYFUNCTION("""COMPUTED_VALUE"""),"")</f>
        <v/>
      </c>
      <c r="K174" s="109" t="str">
        <f>IFERROR(__xludf.DUMMYFUNCTION("""COMPUTED_VALUE"""),"")</f>
        <v/>
      </c>
      <c r="L174" s="108" t="str">
        <f>IFERROR(__xludf.DUMMYFUNCTION("""COMPUTED_VALUE"""),"")</f>
        <v/>
      </c>
      <c r="M174" s="110" t="str">
        <f>IFERROR(__xludf.DUMMYFUNCTION("""COMPUTED_VALUE"""),"")</f>
        <v/>
      </c>
      <c r="N174" s="108" t="str">
        <f>IFERROR(__xludf.DUMMYFUNCTION("""COMPUTED_VALUE"""),"")</f>
        <v/>
      </c>
      <c r="O174" s="110" t="str">
        <f>IFERROR(__xludf.DUMMYFUNCTION("""COMPUTED_VALUE"""),"")</f>
        <v/>
      </c>
      <c r="Q174" s="111">
        <f>IFERROR(__xludf.DUMMYFUNCTION("""COMPUTED_VALUE"""),0.0)</f>
        <v>0</v>
      </c>
      <c r="R174" s="112">
        <f>IFERROR(__xludf.DUMMYFUNCTION("""COMPUTED_VALUE"""),0.0)</f>
        <v>0</v>
      </c>
      <c r="S174" s="112">
        <f>IFERROR(__xludf.DUMMYFUNCTION("""COMPUTED_VALUE"""),0.0)</f>
        <v>0</v>
      </c>
      <c r="T174" s="113">
        <f>IFERROR(__xludf.DUMMYFUNCTION("""COMPUTED_VALUE"""),0.0)</f>
        <v>0</v>
      </c>
      <c r="U174" s="114">
        <f>IFERROR(__xludf.DUMMYFUNCTION("""COMPUTED_VALUE"""),0.0)</f>
        <v>0</v>
      </c>
      <c r="V174" s="115" t="str">
        <f>IFERROR(__xludf.DUMMYFUNCTION("""COMPUTED_VALUE"""),"")</f>
        <v/>
      </c>
      <c r="W174" s="136"/>
      <c r="X174" s="117" t="str">
        <f>IFERROR(__xludf.DUMMYFUNCTION("""COMPUTED_VALUE"""),"--")</f>
        <v>--</v>
      </c>
      <c r="Y174" s="118" t="str">
        <f>IFERROR(__xludf.DUMMYFUNCTION("""COMPUTED_VALUE"""),"")</f>
        <v/>
      </c>
      <c r="Z174" s="35"/>
      <c r="AA174" s="35"/>
      <c r="AB174" s="35"/>
      <c r="AC174" s="35"/>
      <c r="AD174" s="35"/>
      <c r="AE174" s="53"/>
      <c r="AF174" s="53"/>
      <c r="AG174" s="35"/>
      <c r="AH174" s="53"/>
      <c r="AI174" s="35"/>
      <c r="AJ174" s="90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</row>
    <row r="175" ht="18.75" customHeight="1">
      <c r="A175" s="53"/>
      <c r="B175" s="94"/>
      <c r="C175" s="121" t="str">
        <f>IFERROR(__xludf.DUMMYFUNCTION("""COMPUTED_VALUE"""),"--")</f>
        <v>--</v>
      </c>
      <c r="D175" s="122" t="str">
        <f>IFERROR(__xludf.DUMMYFUNCTION("""COMPUTED_VALUE"""),"")</f>
        <v/>
      </c>
      <c r="E175" s="123" t="str">
        <f>IFERROR(__xludf.DUMMYFUNCTION("""COMPUTED_VALUE"""),"")</f>
        <v/>
      </c>
      <c r="F175" s="124"/>
      <c r="G175" s="125"/>
      <c r="H175" s="108" t="str">
        <f>IFERROR(__xludf.DUMMYFUNCTION("""COMPUTED_VALUE"""),"")</f>
        <v/>
      </c>
      <c r="I175" s="123" t="str">
        <f>IFERROR(__xludf.DUMMYFUNCTION("""COMPUTED_VALUE"""),"")</f>
        <v/>
      </c>
      <c r="J175" s="108" t="str">
        <f>IFERROR(__xludf.DUMMYFUNCTION("""COMPUTED_VALUE"""),"")</f>
        <v/>
      </c>
      <c r="K175" s="123" t="str">
        <f>IFERROR(__xludf.DUMMYFUNCTION("""COMPUTED_VALUE"""),"")</f>
        <v/>
      </c>
      <c r="L175" s="108" t="str">
        <f>IFERROR(__xludf.DUMMYFUNCTION("""COMPUTED_VALUE"""),"")</f>
        <v/>
      </c>
      <c r="M175" s="126" t="str">
        <f>IFERROR(__xludf.DUMMYFUNCTION("""COMPUTED_VALUE"""),"")</f>
        <v/>
      </c>
      <c r="N175" s="108" t="str">
        <f>IFERROR(__xludf.DUMMYFUNCTION("""COMPUTED_VALUE"""),"")</f>
        <v/>
      </c>
      <c r="O175" s="110" t="str">
        <f>IFERROR(__xludf.DUMMYFUNCTION("""COMPUTED_VALUE"""),"")</f>
        <v/>
      </c>
      <c r="Q175" s="111">
        <f>IFERROR(__xludf.DUMMYFUNCTION("""COMPUTED_VALUE"""),0.0)</f>
        <v>0</v>
      </c>
      <c r="R175" s="112">
        <f>IFERROR(__xludf.DUMMYFUNCTION("""COMPUTED_VALUE"""),0.0)</f>
        <v>0</v>
      </c>
      <c r="S175" s="112">
        <f>IFERROR(__xludf.DUMMYFUNCTION("""COMPUTED_VALUE"""),0.0)</f>
        <v>0</v>
      </c>
      <c r="T175" s="113">
        <f>IFERROR(__xludf.DUMMYFUNCTION("""COMPUTED_VALUE"""),0.0)</f>
        <v>0</v>
      </c>
      <c r="U175" s="114">
        <f>IFERROR(__xludf.DUMMYFUNCTION("""COMPUTED_VALUE"""),0.0)</f>
        <v>0</v>
      </c>
      <c r="V175" s="115" t="str">
        <f>IFERROR(__xludf.DUMMYFUNCTION("""COMPUTED_VALUE"""),"")</f>
        <v/>
      </c>
      <c r="W175" s="116"/>
      <c r="X175" s="117" t="str">
        <f>IFERROR(__xludf.DUMMYFUNCTION("""COMPUTED_VALUE"""),"--")</f>
        <v>--</v>
      </c>
      <c r="Y175" s="118" t="str">
        <f>IFERROR(__xludf.DUMMYFUNCTION("""COMPUTED_VALUE"""),"")</f>
        <v/>
      </c>
      <c r="Z175" s="35"/>
      <c r="AA175" s="35"/>
      <c r="AB175" s="35"/>
      <c r="AC175" s="35"/>
      <c r="AD175" s="35"/>
      <c r="AE175" s="53"/>
      <c r="AF175" s="53"/>
      <c r="AG175" s="35"/>
      <c r="AH175" s="53"/>
      <c r="AI175" s="35"/>
      <c r="AJ175" s="90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</row>
    <row r="176" ht="18.75" customHeight="1">
      <c r="A176" s="53"/>
      <c r="B176" s="94"/>
      <c r="C176" s="121" t="str">
        <f>IFERROR(__xludf.DUMMYFUNCTION("""COMPUTED_VALUE"""),"--")</f>
        <v>--</v>
      </c>
      <c r="D176" s="122" t="str">
        <f>IFERROR(__xludf.DUMMYFUNCTION("""COMPUTED_VALUE"""),"")</f>
        <v/>
      </c>
      <c r="E176" s="123" t="str">
        <f>IFERROR(__xludf.DUMMYFUNCTION("""COMPUTED_VALUE"""),"")</f>
        <v/>
      </c>
      <c r="F176" s="128" t="str">
        <f>IFERROR(__xludf.DUMMYFUNCTION("""COMPUTED_VALUE"""),"")</f>
        <v/>
      </c>
      <c r="G176" s="123" t="str">
        <f>IFERROR(__xludf.DUMMYFUNCTION("""COMPUTED_VALUE"""),"")</f>
        <v/>
      </c>
      <c r="H176" s="124"/>
      <c r="I176" s="125"/>
      <c r="J176" s="108" t="str">
        <f>IFERROR(__xludf.DUMMYFUNCTION("""COMPUTED_VALUE"""),"")</f>
        <v/>
      </c>
      <c r="K176" s="123" t="str">
        <f>IFERROR(__xludf.DUMMYFUNCTION("""COMPUTED_VALUE"""),"")</f>
        <v/>
      </c>
      <c r="L176" s="108" t="str">
        <f>IFERROR(__xludf.DUMMYFUNCTION("""COMPUTED_VALUE"""),"")</f>
        <v/>
      </c>
      <c r="M176" s="126" t="str">
        <f>IFERROR(__xludf.DUMMYFUNCTION("""COMPUTED_VALUE"""),"")</f>
        <v/>
      </c>
      <c r="N176" s="108" t="str">
        <f>IFERROR(__xludf.DUMMYFUNCTION("""COMPUTED_VALUE"""),"")</f>
        <v/>
      </c>
      <c r="O176" s="110" t="str">
        <f>IFERROR(__xludf.DUMMYFUNCTION("""COMPUTED_VALUE"""),"")</f>
        <v/>
      </c>
      <c r="Q176" s="111">
        <f>IFERROR(__xludf.DUMMYFUNCTION("""COMPUTED_VALUE"""),0.0)</f>
        <v>0</v>
      </c>
      <c r="R176" s="112">
        <f>IFERROR(__xludf.DUMMYFUNCTION("""COMPUTED_VALUE"""),0.0)</f>
        <v>0</v>
      </c>
      <c r="S176" s="112">
        <f>IFERROR(__xludf.DUMMYFUNCTION("""COMPUTED_VALUE"""),0.0)</f>
        <v>0</v>
      </c>
      <c r="T176" s="113">
        <f>IFERROR(__xludf.DUMMYFUNCTION("""COMPUTED_VALUE"""),0.0)</f>
        <v>0</v>
      </c>
      <c r="U176" s="114">
        <f>IFERROR(__xludf.DUMMYFUNCTION("""COMPUTED_VALUE"""),0.0)</f>
        <v>0</v>
      </c>
      <c r="V176" s="115" t="str">
        <f>IFERROR(__xludf.DUMMYFUNCTION("""COMPUTED_VALUE"""),"")</f>
        <v/>
      </c>
      <c r="W176" s="136"/>
      <c r="X176" s="117" t="str">
        <f>IFERROR(__xludf.DUMMYFUNCTION("""COMPUTED_VALUE"""),"--")</f>
        <v>--</v>
      </c>
      <c r="Y176" s="118" t="str">
        <f>IFERROR(__xludf.DUMMYFUNCTION("""COMPUTED_VALUE"""),"")</f>
        <v/>
      </c>
      <c r="Z176" s="35"/>
      <c r="AA176" s="35"/>
      <c r="AB176" s="35"/>
      <c r="AC176" s="35"/>
      <c r="AD176" s="35"/>
      <c r="AE176" s="53"/>
      <c r="AF176" s="53"/>
      <c r="AG176" s="35"/>
      <c r="AH176" s="53"/>
      <c r="AI176" s="35"/>
      <c r="AJ176" s="90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</row>
    <row r="177" ht="18.75" customHeight="1">
      <c r="A177" s="53"/>
      <c r="B177" s="94"/>
      <c r="C177" s="121" t="str">
        <f>IFERROR(__xludf.DUMMYFUNCTION("""COMPUTED_VALUE"""),"--")</f>
        <v>--</v>
      </c>
      <c r="D177" s="122" t="str">
        <f>IFERROR(__xludf.DUMMYFUNCTION("""COMPUTED_VALUE"""),"")</f>
        <v/>
      </c>
      <c r="E177" s="123" t="str">
        <f>IFERROR(__xludf.DUMMYFUNCTION("""COMPUTED_VALUE"""),"")</f>
        <v/>
      </c>
      <c r="F177" s="128" t="str">
        <f>IFERROR(__xludf.DUMMYFUNCTION("""COMPUTED_VALUE"""),"")</f>
        <v/>
      </c>
      <c r="G177" s="123" t="str">
        <f>IFERROR(__xludf.DUMMYFUNCTION("""COMPUTED_VALUE"""),"")</f>
        <v/>
      </c>
      <c r="H177" s="128" t="str">
        <f>IFERROR(__xludf.DUMMYFUNCTION("""COMPUTED_VALUE"""),"")</f>
        <v/>
      </c>
      <c r="I177" s="123" t="str">
        <f>IFERROR(__xludf.DUMMYFUNCTION("""COMPUTED_VALUE"""),"")</f>
        <v/>
      </c>
      <c r="J177" s="124"/>
      <c r="K177" s="125"/>
      <c r="L177" s="108" t="str">
        <f>IFERROR(__xludf.DUMMYFUNCTION("""COMPUTED_VALUE"""),"")</f>
        <v/>
      </c>
      <c r="M177" s="126" t="str">
        <f>IFERROR(__xludf.DUMMYFUNCTION("""COMPUTED_VALUE"""),"")</f>
        <v/>
      </c>
      <c r="N177" s="108" t="str">
        <f>IFERROR(__xludf.DUMMYFUNCTION("""COMPUTED_VALUE"""),"")</f>
        <v/>
      </c>
      <c r="O177" s="110" t="str">
        <f>IFERROR(__xludf.DUMMYFUNCTION("""COMPUTED_VALUE"""),"")</f>
        <v/>
      </c>
      <c r="Q177" s="111">
        <f>IFERROR(__xludf.DUMMYFUNCTION("""COMPUTED_VALUE"""),0.0)</f>
        <v>0</v>
      </c>
      <c r="R177" s="112">
        <f>IFERROR(__xludf.DUMMYFUNCTION("""COMPUTED_VALUE"""),0.0)</f>
        <v>0</v>
      </c>
      <c r="S177" s="112">
        <f>IFERROR(__xludf.DUMMYFUNCTION("""COMPUTED_VALUE"""),0.0)</f>
        <v>0</v>
      </c>
      <c r="T177" s="113">
        <f>IFERROR(__xludf.DUMMYFUNCTION("""COMPUTED_VALUE"""),0.0)</f>
        <v>0</v>
      </c>
      <c r="U177" s="114">
        <f>IFERROR(__xludf.DUMMYFUNCTION("""COMPUTED_VALUE"""),0.0)</f>
        <v>0</v>
      </c>
      <c r="V177" s="115" t="str">
        <f>IFERROR(__xludf.DUMMYFUNCTION("""COMPUTED_VALUE"""),"")</f>
        <v/>
      </c>
      <c r="W177" s="116"/>
      <c r="X177" s="117" t="str">
        <f>IFERROR(__xludf.DUMMYFUNCTION("""COMPUTED_VALUE"""),"--")</f>
        <v>--</v>
      </c>
      <c r="Y177" s="118" t="str">
        <f>IFERROR(__xludf.DUMMYFUNCTION("""COMPUTED_VALUE"""),"")</f>
        <v/>
      </c>
      <c r="Z177" s="35"/>
      <c r="AA177" s="35"/>
      <c r="AB177" s="35"/>
      <c r="AC177" s="35"/>
      <c r="AD177" s="35"/>
      <c r="AE177" s="53"/>
      <c r="AF177" s="53"/>
      <c r="AG177" s="35"/>
      <c r="AH177" s="53"/>
      <c r="AI177" s="35"/>
      <c r="AJ177" s="90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</row>
    <row r="178" ht="18.75" customHeight="1">
      <c r="A178" s="53"/>
      <c r="B178" s="94"/>
      <c r="C178" s="121" t="str">
        <f>IFERROR(__xludf.DUMMYFUNCTION("""COMPUTED_VALUE"""),"--")</f>
        <v>--</v>
      </c>
      <c r="D178" s="122" t="str">
        <f>IFERROR(__xludf.DUMMYFUNCTION("""COMPUTED_VALUE"""),"")</f>
        <v/>
      </c>
      <c r="E178" s="133" t="str">
        <f>IFERROR(__xludf.DUMMYFUNCTION("""COMPUTED_VALUE"""),"")</f>
        <v/>
      </c>
      <c r="F178" s="128" t="str">
        <f>IFERROR(__xludf.DUMMYFUNCTION("""COMPUTED_VALUE"""),"")</f>
        <v/>
      </c>
      <c r="G178" s="133" t="str">
        <f>IFERROR(__xludf.DUMMYFUNCTION("""COMPUTED_VALUE"""),"")</f>
        <v/>
      </c>
      <c r="H178" s="128" t="str">
        <f>IFERROR(__xludf.DUMMYFUNCTION("""COMPUTED_VALUE"""),"")</f>
        <v/>
      </c>
      <c r="I178" s="133" t="str">
        <f>IFERROR(__xludf.DUMMYFUNCTION("""COMPUTED_VALUE"""),"")</f>
        <v/>
      </c>
      <c r="J178" s="128" t="str">
        <f>IFERROR(__xludf.DUMMYFUNCTION("""COMPUTED_VALUE"""),"")</f>
        <v/>
      </c>
      <c r="K178" s="133" t="str">
        <f>IFERROR(__xludf.DUMMYFUNCTION("""COMPUTED_VALUE"""),"")</f>
        <v/>
      </c>
      <c r="L178" s="134"/>
      <c r="M178" s="135"/>
      <c r="N178" s="108" t="str">
        <f>IFERROR(__xludf.DUMMYFUNCTION("""COMPUTED_VALUE"""),"")</f>
        <v/>
      </c>
      <c r="O178" s="110" t="str">
        <f>IFERROR(__xludf.DUMMYFUNCTION("""COMPUTED_VALUE"""),"")</f>
        <v/>
      </c>
      <c r="Q178" s="111">
        <f>IFERROR(__xludf.DUMMYFUNCTION("""COMPUTED_VALUE"""),0.0)</f>
        <v>0</v>
      </c>
      <c r="R178" s="112">
        <f>IFERROR(__xludf.DUMMYFUNCTION("""COMPUTED_VALUE"""),0.0)</f>
        <v>0</v>
      </c>
      <c r="S178" s="112">
        <f>IFERROR(__xludf.DUMMYFUNCTION("""COMPUTED_VALUE"""),0.0)</f>
        <v>0</v>
      </c>
      <c r="T178" s="113">
        <f>IFERROR(__xludf.DUMMYFUNCTION("""COMPUTED_VALUE"""),0.0)</f>
        <v>0</v>
      </c>
      <c r="U178" s="114">
        <f>IFERROR(__xludf.DUMMYFUNCTION("""COMPUTED_VALUE"""),0.0)</f>
        <v>0</v>
      </c>
      <c r="V178" s="115" t="str">
        <f>IFERROR(__xludf.DUMMYFUNCTION("""COMPUTED_VALUE"""),"")</f>
        <v/>
      </c>
      <c r="W178" s="136"/>
      <c r="X178" s="117" t="str">
        <f>IFERROR(__xludf.DUMMYFUNCTION("""COMPUTED_VALUE"""),"--")</f>
        <v>--</v>
      </c>
      <c r="Y178" s="118" t="str">
        <f>IFERROR(__xludf.DUMMYFUNCTION("""COMPUTED_VALUE"""),"")</f>
        <v/>
      </c>
      <c r="Z178" s="35"/>
      <c r="AA178" s="35"/>
      <c r="AB178" s="35"/>
      <c r="AC178" s="35"/>
      <c r="AD178" s="35"/>
      <c r="AE178" s="53"/>
      <c r="AF178" s="53"/>
      <c r="AG178" s="35"/>
      <c r="AH178" s="53"/>
      <c r="AI178" s="35"/>
      <c r="AJ178" s="90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</row>
    <row r="179" ht="18.75" customHeight="1">
      <c r="A179" s="53"/>
      <c r="B179" s="94"/>
      <c r="C179" s="121" t="str">
        <f>IFERROR(__xludf.DUMMYFUNCTION("""COMPUTED_VALUE"""),"--")</f>
        <v>--</v>
      </c>
      <c r="D179" s="122" t="str">
        <f>IFERROR(__xludf.DUMMYFUNCTION("""COMPUTED_VALUE"""),"")</f>
        <v/>
      </c>
      <c r="E179" s="133" t="str">
        <f>IFERROR(__xludf.DUMMYFUNCTION("""COMPUTED_VALUE"""),"")</f>
        <v/>
      </c>
      <c r="F179" s="128" t="str">
        <f>IFERROR(__xludf.DUMMYFUNCTION("""COMPUTED_VALUE"""),"")</f>
        <v/>
      </c>
      <c r="G179" s="133" t="str">
        <f>IFERROR(__xludf.DUMMYFUNCTION("""COMPUTED_VALUE"""),"")</f>
        <v/>
      </c>
      <c r="H179" s="128" t="str">
        <f>IFERROR(__xludf.DUMMYFUNCTION("""COMPUTED_VALUE"""),"")</f>
        <v/>
      </c>
      <c r="I179" s="123" t="str">
        <f>IFERROR(__xludf.DUMMYFUNCTION("""COMPUTED_VALUE"""),"")</f>
        <v/>
      </c>
      <c r="J179" s="128" t="str">
        <f>IFERROR(__xludf.DUMMYFUNCTION("""COMPUTED_VALUE"""),"")</f>
        <v/>
      </c>
      <c r="K179" s="133" t="str">
        <f>IFERROR(__xludf.DUMMYFUNCTION("""COMPUTED_VALUE"""),"")</f>
        <v/>
      </c>
      <c r="L179" s="128" t="str">
        <f>IFERROR(__xludf.DUMMYFUNCTION("""COMPUTED_VALUE"""),"")</f>
        <v/>
      </c>
      <c r="M179" s="133" t="str">
        <f>IFERROR(__xludf.DUMMYFUNCTION("""COMPUTED_VALUE"""),"")</f>
        <v/>
      </c>
      <c r="N179" s="137"/>
      <c r="O179" s="138"/>
      <c r="P179" s="99"/>
      <c r="Q179" s="111">
        <f>IFERROR(__xludf.DUMMYFUNCTION("""COMPUTED_VALUE"""),0.0)</f>
        <v>0</v>
      </c>
      <c r="R179" s="112">
        <f>IFERROR(__xludf.DUMMYFUNCTION("""COMPUTED_VALUE"""),0.0)</f>
        <v>0</v>
      </c>
      <c r="S179" s="112">
        <f>IFERROR(__xludf.DUMMYFUNCTION("""COMPUTED_VALUE"""),0.0)</f>
        <v>0</v>
      </c>
      <c r="T179" s="113">
        <f>IFERROR(__xludf.DUMMYFUNCTION("""COMPUTED_VALUE"""),0.0)</f>
        <v>0</v>
      </c>
      <c r="U179" s="114">
        <f>IFERROR(__xludf.DUMMYFUNCTION("""COMPUTED_VALUE"""),0.0)</f>
        <v>0</v>
      </c>
      <c r="V179" s="115" t="str">
        <f>IFERROR(__xludf.DUMMYFUNCTION("""COMPUTED_VALUE"""),"")</f>
        <v/>
      </c>
      <c r="W179" s="136"/>
      <c r="X179" s="117" t="str">
        <f>IFERROR(__xludf.DUMMYFUNCTION("""COMPUTED_VALUE"""),"--")</f>
        <v>--</v>
      </c>
      <c r="Y179" s="118" t="str">
        <f>IFERROR(__xludf.DUMMYFUNCTION("""COMPUTED_VALUE"""),"")</f>
        <v/>
      </c>
      <c r="Z179" s="35"/>
      <c r="AA179" s="35"/>
      <c r="AB179" s="35"/>
      <c r="AC179" s="35"/>
      <c r="AD179" s="35"/>
      <c r="AE179" s="53"/>
      <c r="AF179" s="53"/>
      <c r="AG179" s="35"/>
      <c r="AH179" s="53"/>
      <c r="AI179" s="35"/>
      <c r="AJ179" s="90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</row>
    <row r="180" ht="18.75" customHeight="1">
      <c r="A180" s="35"/>
      <c r="B180" s="139"/>
      <c r="C180" s="14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141"/>
      <c r="Y180" s="35"/>
      <c r="Z180" s="35"/>
      <c r="AA180" s="35"/>
      <c r="AB180" s="35"/>
      <c r="AC180" s="35"/>
      <c r="AD180" s="35"/>
      <c r="AE180" s="53"/>
      <c r="AF180" s="53"/>
      <c r="AG180" s="35"/>
      <c r="AH180" s="53"/>
      <c r="AI180" s="35"/>
      <c r="AJ180" s="90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</row>
    <row r="181" ht="18.75" customHeight="1">
      <c r="A181" s="53"/>
      <c r="B181" s="53"/>
      <c r="C181" s="53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143"/>
      <c r="U181" s="35"/>
      <c r="V181" s="35"/>
      <c r="W181" s="64"/>
      <c r="X181" s="35"/>
      <c r="Y181" s="35"/>
      <c r="Z181" s="35"/>
      <c r="AA181" s="35"/>
      <c r="AB181" s="35"/>
      <c r="AC181" s="35"/>
      <c r="AD181" s="35"/>
      <c r="AE181" s="53"/>
      <c r="AF181" s="53"/>
      <c r="AG181" s="35"/>
      <c r="AH181" s="53"/>
      <c r="AI181" s="35"/>
      <c r="AJ181" s="90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</row>
    <row r="182" ht="18.75" customHeight="1">
      <c r="A182" s="53"/>
      <c r="B182" s="53"/>
      <c r="C182" s="53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143"/>
      <c r="U182" s="35"/>
      <c r="V182" s="35"/>
      <c r="W182" s="64"/>
      <c r="X182" s="35"/>
      <c r="Y182" s="35"/>
      <c r="Z182" s="35"/>
      <c r="AA182" s="35"/>
      <c r="AB182" s="35"/>
      <c r="AC182" s="35"/>
      <c r="AD182" s="35"/>
      <c r="AE182" s="53"/>
      <c r="AF182" s="53"/>
      <c r="AG182" s="35"/>
      <c r="AH182" s="53"/>
      <c r="AI182" s="35"/>
      <c r="AJ182" s="90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</row>
    <row r="183" ht="18.75" customHeight="1">
      <c r="A183" s="73"/>
      <c r="B183" s="73"/>
      <c r="C183" s="73" t="str">
        <f>IFERROR(__xludf.DUMMYFUNCTION("""COMPUTED_VALUE"""),"Planck")</f>
        <v>Planck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74"/>
      <c r="U183" s="10"/>
      <c r="V183" s="10"/>
      <c r="W183" s="76"/>
      <c r="X183" s="10"/>
      <c r="Y183" s="35"/>
      <c r="Z183" s="35"/>
      <c r="AA183" s="35"/>
      <c r="AB183" s="35"/>
      <c r="AC183" s="35"/>
      <c r="AD183" s="35"/>
      <c r="AE183" s="53"/>
      <c r="AF183" s="53"/>
      <c r="AG183" s="35"/>
      <c r="AH183" s="53"/>
      <c r="AI183" s="35"/>
      <c r="AJ183" s="90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</row>
    <row r="184" ht="18.75" customHeight="1">
      <c r="A184" s="35"/>
      <c r="B184" s="80"/>
      <c r="C184" s="82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7"/>
      <c r="Y184" s="35"/>
      <c r="Z184" s="35"/>
      <c r="AA184" s="35"/>
      <c r="AB184" s="35"/>
      <c r="AC184" s="35"/>
      <c r="AD184" s="35"/>
      <c r="AE184" s="53"/>
      <c r="AF184" s="53"/>
      <c r="AG184" s="35"/>
      <c r="AH184" s="53"/>
      <c r="AI184" s="35"/>
      <c r="AJ184" s="90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</row>
    <row r="185" ht="18.75" customHeight="1">
      <c r="A185" s="92"/>
      <c r="B185" s="94"/>
      <c r="C185" s="95" t="str">
        <f>IFERROR(__xludf.DUMMYFUNCTION("""COMPUTED_VALUE"""),"Team")</f>
        <v>Team</v>
      </c>
      <c r="D185" s="53" t="str">
        <f>IFERROR(__xludf.DUMMYFUNCTION("""COMPUTED_VALUE"""),"--")</f>
        <v>--</v>
      </c>
      <c r="F185" s="97" t="str">
        <f>IFERROR(__xludf.DUMMYFUNCTION("""COMPUTED_VALUE"""),"--")</f>
        <v>--</v>
      </c>
      <c r="G185" s="98"/>
      <c r="H185" s="97" t="str">
        <f>IFERROR(__xludf.DUMMYFUNCTION("""COMPUTED_VALUE"""),"--")</f>
        <v>--</v>
      </c>
      <c r="I185" s="98"/>
      <c r="J185" s="97" t="str">
        <f>IFERROR(__xludf.DUMMYFUNCTION("""COMPUTED_VALUE"""),"--")</f>
        <v>--</v>
      </c>
      <c r="K185" s="98"/>
      <c r="L185" s="97" t="str">
        <f>IFERROR(__xludf.DUMMYFUNCTION("""COMPUTED_VALUE"""),"--")</f>
        <v>--</v>
      </c>
      <c r="M185" s="98"/>
      <c r="N185" s="97" t="str">
        <f>IFERROR(__xludf.DUMMYFUNCTION("""COMPUTED_VALUE"""),"--")</f>
        <v>--</v>
      </c>
      <c r="O185" s="98"/>
      <c r="P185" s="99"/>
      <c r="Q185" s="100" t="str">
        <f>IFERROR(__xludf.DUMMYFUNCTION("""COMPUTED_VALUE"""),"W")</f>
        <v>W</v>
      </c>
      <c r="R185" s="100" t="str">
        <f>IFERROR(__xludf.DUMMYFUNCTION("""COMPUTED_VALUE"""),"T")</f>
        <v>T</v>
      </c>
      <c r="S185" s="100" t="str">
        <f>IFERROR(__xludf.DUMMYFUNCTION("""COMPUTED_VALUE"""),"L")</f>
        <v>L</v>
      </c>
      <c r="T185" s="101" t="str">
        <f>IFERROR(__xludf.DUMMYFUNCTION("""COMPUTED_VALUE"""),"W/L Score")</f>
        <v>W/L Score</v>
      </c>
      <c r="U185" s="100" t="str">
        <f>IFERROR(__xludf.DUMMYFUNCTION("""COMPUTED_VALUE"""),"Points")</f>
        <v>Points</v>
      </c>
      <c r="V185" s="100" t="str">
        <f>IFERROR(__xludf.DUMMYFUNCTION("""COMPUTED_VALUE"""),"Average")</f>
        <v>Average</v>
      </c>
      <c r="W185" s="102" t="str">
        <f>IFERROR(__xludf.DUMMYFUNCTION("""COMPUTED_VALUE"""),"Rank")</f>
        <v>Rank</v>
      </c>
      <c r="X185" s="103"/>
      <c r="Y185" s="35"/>
      <c r="Z185" s="35"/>
      <c r="AA185" s="35"/>
      <c r="AB185" s="35"/>
      <c r="AC185" s="35"/>
      <c r="AD185" s="35"/>
      <c r="AE185" s="53"/>
      <c r="AF185" s="53"/>
      <c r="AG185" s="35"/>
      <c r="AH185" s="53"/>
      <c r="AI185" s="35"/>
      <c r="AJ185" s="90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</row>
    <row r="186" ht="18.75" customHeight="1">
      <c r="A186" s="104"/>
      <c r="B186" s="94"/>
      <c r="C186" s="105" t="str">
        <f>IFERROR(__xludf.DUMMYFUNCTION("""COMPUTED_VALUE"""),"--")</f>
        <v>--</v>
      </c>
      <c r="D186" s="106"/>
      <c r="E186" s="107"/>
      <c r="F186" s="108" t="str">
        <f>IFERROR(__xludf.DUMMYFUNCTION("""COMPUTED_VALUE"""),"")</f>
        <v/>
      </c>
      <c r="G186" s="109" t="str">
        <f>IFERROR(__xludf.DUMMYFUNCTION("""COMPUTED_VALUE"""),"")</f>
        <v/>
      </c>
      <c r="H186" s="108" t="str">
        <f>IFERROR(__xludf.DUMMYFUNCTION("""COMPUTED_VALUE"""),"")</f>
        <v/>
      </c>
      <c r="I186" s="109" t="str">
        <f>IFERROR(__xludf.DUMMYFUNCTION("""COMPUTED_VALUE"""),"")</f>
        <v/>
      </c>
      <c r="J186" s="108" t="str">
        <f>IFERROR(__xludf.DUMMYFUNCTION("""COMPUTED_VALUE"""),"")</f>
        <v/>
      </c>
      <c r="K186" s="109" t="str">
        <f>IFERROR(__xludf.DUMMYFUNCTION("""COMPUTED_VALUE"""),"")</f>
        <v/>
      </c>
      <c r="L186" s="108" t="str">
        <f>IFERROR(__xludf.DUMMYFUNCTION("""COMPUTED_VALUE"""),"")</f>
        <v/>
      </c>
      <c r="M186" s="110" t="str">
        <f>IFERROR(__xludf.DUMMYFUNCTION("""COMPUTED_VALUE"""),"")</f>
        <v/>
      </c>
      <c r="N186" s="108" t="str">
        <f>IFERROR(__xludf.DUMMYFUNCTION("""COMPUTED_VALUE"""),"")</f>
        <v/>
      </c>
      <c r="O186" s="110" t="str">
        <f>IFERROR(__xludf.DUMMYFUNCTION("""COMPUTED_VALUE"""),"")</f>
        <v/>
      </c>
      <c r="Q186" s="111">
        <f>IFERROR(__xludf.DUMMYFUNCTION("""COMPUTED_VALUE"""),0.0)</f>
        <v>0</v>
      </c>
      <c r="R186" s="112">
        <f>IFERROR(__xludf.DUMMYFUNCTION("""COMPUTED_VALUE"""),0.0)</f>
        <v>0</v>
      </c>
      <c r="S186" s="112">
        <f>IFERROR(__xludf.DUMMYFUNCTION("""COMPUTED_VALUE"""),0.0)</f>
        <v>0</v>
      </c>
      <c r="T186" s="113">
        <f>IFERROR(__xludf.DUMMYFUNCTION("""COMPUTED_VALUE"""),0.0)</f>
        <v>0</v>
      </c>
      <c r="U186" s="114">
        <f>IFERROR(__xludf.DUMMYFUNCTION("""COMPUTED_VALUE"""),0.0)</f>
        <v>0</v>
      </c>
      <c r="V186" s="115" t="str">
        <f>IFERROR(__xludf.DUMMYFUNCTION("""COMPUTED_VALUE"""),"")</f>
        <v/>
      </c>
      <c r="W186" s="136"/>
      <c r="X186" s="117" t="str">
        <f>IFERROR(__xludf.DUMMYFUNCTION("""COMPUTED_VALUE"""),"--")</f>
        <v>--</v>
      </c>
      <c r="Y186" s="118" t="str">
        <f>IFERROR(__xludf.DUMMYFUNCTION("""COMPUTED_VALUE"""),"")</f>
        <v/>
      </c>
      <c r="Z186" s="35"/>
      <c r="AA186" s="35"/>
      <c r="AB186" s="35"/>
      <c r="AC186" s="35"/>
      <c r="AD186" s="35"/>
      <c r="AE186" s="53"/>
      <c r="AF186" s="53"/>
      <c r="AG186" s="35"/>
      <c r="AH186" s="53"/>
      <c r="AI186" s="35"/>
      <c r="AJ186" s="90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</row>
    <row r="187" ht="18.75" customHeight="1">
      <c r="A187" s="53"/>
      <c r="B187" s="94"/>
      <c r="C187" s="121" t="str">
        <f>IFERROR(__xludf.DUMMYFUNCTION("""COMPUTED_VALUE"""),"--")</f>
        <v>--</v>
      </c>
      <c r="D187" s="122" t="str">
        <f>IFERROR(__xludf.DUMMYFUNCTION("""COMPUTED_VALUE"""),"")</f>
        <v/>
      </c>
      <c r="E187" s="123" t="str">
        <f>IFERROR(__xludf.DUMMYFUNCTION("""COMPUTED_VALUE"""),"")</f>
        <v/>
      </c>
      <c r="F187" s="124"/>
      <c r="G187" s="125"/>
      <c r="H187" s="108" t="str">
        <f>IFERROR(__xludf.DUMMYFUNCTION("""COMPUTED_VALUE"""),"")</f>
        <v/>
      </c>
      <c r="I187" s="123" t="str">
        <f>IFERROR(__xludf.DUMMYFUNCTION("""COMPUTED_VALUE"""),"")</f>
        <v/>
      </c>
      <c r="J187" s="108" t="str">
        <f>IFERROR(__xludf.DUMMYFUNCTION("""COMPUTED_VALUE"""),"")</f>
        <v/>
      </c>
      <c r="K187" s="123" t="str">
        <f>IFERROR(__xludf.DUMMYFUNCTION("""COMPUTED_VALUE"""),"")</f>
        <v/>
      </c>
      <c r="L187" s="108" t="str">
        <f>IFERROR(__xludf.DUMMYFUNCTION("""COMPUTED_VALUE"""),"")</f>
        <v/>
      </c>
      <c r="M187" s="126" t="str">
        <f>IFERROR(__xludf.DUMMYFUNCTION("""COMPUTED_VALUE"""),"")</f>
        <v/>
      </c>
      <c r="N187" s="108" t="str">
        <f>IFERROR(__xludf.DUMMYFUNCTION("""COMPUTED_VALUE"""),"")</f>
        <v/>
      </c>
      <c r="O187" s="110" t="str">
        <f>IFERROR(__xludf.DUMMYFUNCTION("""COMPUTED_VALUE"""),"")</f>
        <v/>
      </c>
      <c r="Q187" s="111">
        <f>IFERROR(__xludf.DUMMYFUNCTION("""COMPUTED_VALUE"""),0.0)</f>
        <v>0</v>
      </c>
      <c r="R187" s="112">
        <f>IFERROR(__xludf.DUMMYFUNCTION("""COMPUTED_VALUE"""),0.0)</f>
        <v>0</v>
      </c>
      <c r="S187" s="112">
        <f>IFERROR(__xludf.DUMMYFUNCTION("""COMPUTED_VALUE"""),0.0)</f>
        <v>0</v>
      </c>
      <c r="T187" s="113">
        <f>IFERROR(__xludf.DUMMYFUNCTION("""COMPUTED_VALUE"""),0.0)</f>
        <v>0</v>
      </c>
      <c r="U187" s="114">
        <f>IFERROR(__xludf.DUMMYFUNCTION("""COMPUTED_VALUE"""),0.0)</f>
        <v>0</v>
      </c>
      <c r="V187" s="115" t="str">
        <f>IFERROR(__xludf.DUMMYFUNCTION("""COMPUTED_VALUE"""),"")</f>
        <v/>
      </c>
      <c r="W187" s="116"/>
      <c r="X187" s="117" t="str">
        <f>IFERROR(__xludf.DUMMYFUNCTION("""COMPUTED_VALUE"""),"--")</f>
        <v>--</v>
      </c>
      <c r="Y187" s="118" t="str">
        <f>IFERROR(__xludf.DUMMYFUNCTION("""COMPUTED_VALUE"""),"")</f>
        <v/>
      </c>
      <c r="Z187" s="35"/>
      <c r="AA187" s="35"/>
      <c r="AB187" s="35"/>
      <c r="AC187" s="35"/>
      <c r="AD187" s="35"/>
      <c r="AE187" s="53"/>
      <c r="AF187" s="53"/>
      <c r="AG187" s="35"/>
      <c r="AH187" s="53"/>
      <c r="AI187" s="35"/>
      <c r="AJ187" s="90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</row>
    <row r="188" ht="18.75" customHeight="1">
      <c r="A188" s="53"/>
      <c r="B188" s="94"/>
      <c r="C188" s="121" t="str">
        <f>IFERROR(__xludf.DUMMYFUNCTION("""COMPUTED_VALUE"""),"--")</f>
        <v>--</v>
      </c>
      <c r="D188" s="122" t="str">
        <f>IFERROR(__xludf.DUMMYFUNCTION("""COMPUTED_VALUE"""),"")</f>
        <v/>
      </c>
      <c r="E188" s="123" t="str">
        <f>IFERROR(__xludf.DUMMYFUNCTION("""COMPUTED_VALUE"""),"")</f>
        <v/>
      </c>
      <c r="F188" s="128" t="str">
        <f>IFERROR(__xludf.DUMMYFUNCTION("""COMPUTED_VALUE"""),"")</f>
        <v/>
      </c>
      <c r="G188" s="123" t="str">
        <f>IFERROR(__xludf.DUMMYFUNCTION("""COMPUTED_VALUE"""),"")</f>
        <v/>
      </c>
      <c r="H188" s="124"/>
      <c r="I188" s="125"/>
      <c r="J188" s="108" t="str">
        <f>IFERROR(__xludf.DUMMYFUNCTION("""COMPUTED_VALUE"""),"")</f>
        <v/>
      </c>
      <c r="K188" s="123" t="str">
        <f>IFERROR(__xludf.DUMMYFUNCTION("""COMPUTED_VALUE"""),"")</f>
        <v/>
      </c>
      <c r="L188" s="108" t="str">
        <f>IFERROR(__xludf.DUMMYFUNCTION("""COMPUTED_VALUE"""),"")</f>
        <v/>
      </c>
      <c r="M188" s="126" t="str">
        <f>IFERROR(__xludf.DUMMYFUNCTION("""COMPUTED_VALUE"""),"")</f>
        <v/>
      </c>
      <c r="N188" s="108" t="str">
        <f>IFERROR(__xludf.DUMMYFUNCTION("""COMPUTED_VALUE"""),"")</f>
        <v/>
      </c>
      <c r="O188" s="110" t="str">
        <f>IFERROR(__xludf.DUMMYFUNCTION("""COMPUTED_VALUE"""),"")</f>
        <v/>
      </c>
      <c r="Q188" s="111">
        <f>IFERROR(__xludf.DUMMYFUNCTION("""COMPUTED_VALUE"""),0.0)</f>
        <v>0</v>
      </c>
      <c r="R188" s="112">
        <f>IFERROR(__xludf.DUMMYFUNCTION("""COMPUTED_VALUE"""),0.0)</f>
        <v>0</v>
      </c>
      <c r="S188" s="112">
        <f>IFERROR(__xludf.DUMMYFUNCTION("""COMPUTED_VALUE"""),0.0)</f>
        <v>0</v>
      </c>
      <c r="T188" s="113">
        <f>IFERROR(__xludf.DUMMYFUNCTION("""COMPUTED_VALUE"""),0.0)</f>
        <v>0</v>
      </c>
      <c r="U188" s="114">
        <f>IFERROR(__xludf.DUMMYFUNCTION("""COMPUTED_VALUE"""),0.0)</f>
        <v>0</v>
      </c>
      <c r="V188" s="115" t="str">
        <f>IFERROR(__xludf.DUMMYFUNCTION("""COMPUTED_VALUE"""),"")</f>
        <v/>
      </c>
      <c r="W188" s="136"/>
      <c r="X188" s="117" t="str">
        <f>IFERROR(__xludf.DUMMYFUNCTION("""COMPUTED_VALUE"""),"--")</f>
        <v>--</v>
      </c>
      <c r="Y188" s="118" t="str">
        <f>IFERROR(__xludf.DUMMYFUNCTION("""COMPUTED_VALUE"""),"")</f>
        <v/>
      </c>
      <c r="Z188" s="35"/>
      <c r="AA188" s="35"/>
      <c r="AB188" s="35"/>
      <c r="AC188" s="35"/>
      <c r="AD188" s="35"/>
      <c r="AE188" s="53"/>
      <c r="AF188" s="53"/>
      <c r="AG188" s="35"/>
      <c r="AH188" s="53"/>
      <c r="AI188" s="35"/>
      <c r="AJ188" s="90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</row>
    <row r="189" ht="18.75" customHeight="1">
      <c r="A189" s="53"/>
      <c r="B189" s="94"/>
      <c r="C189" s="121" t="str">
        <f>IFERROR(__xludf.DUMMYFUNCTION("""COMPUTED_VALUE"""),"--")</f>
        <v>--</v>
      </c>
      <c r="D189" s="122" t="str">
        <f>IFERROR(__xludf.DUMMYFUNCTION("""COMPUTED_VALUE"""),"")</f>
        <v/>
      </c>
      <c r="E189" s="123" t="str">
        <f>IFERROR(__xludf.DUMMYFUNCTION("""COMPUTED_VALUE"""),"")</f>
        <v/>
      </c>
      <c r="F189" s="128" t="str">
        <f>IFERROR(__xludf.DUMMYFUNCTION("""COMPUTED_VALUE"""),"")</f>
        <v/>
      </c>
      <c r="G189" s="123" t="str">
        <f>IFERROR(__xludf.DUMMYFUNCTION("""COMPUTED_VALUE"""),"")</f>
        <v/>
      </c>
      <c r="H189" s="128" t="str">
        <f>IFERROR(__xludf.DUMMYFUNCTION("""COMPUTED_VALUE"""),"")</f>
        <v/>
      </c>
      <c r="I189" s="123" t="str">
        <f>IFERROR(__xludf.DUMMYFUNCTION("""COMPUTED_VALUE"""),"")</f>
        <v/>
      </c>
      <c r="J189" s="124"/>
      <c r="K189" s="125"/>
      <c r="L189" s="108" t="str">
        <f>IFERROR(__xludf.DUMMYFUNCTION("""COMPUTED_VALUE"""),"")</f>
        <v/>
      </c>
      <c r="M189" s="126" t="str">
        <f>IFERROR(__xludf.DUMMYFUNCTION("""COMPUTED_VALUE"""),"")</f>
        <v/>
      </c>
      <c r="N189" s="108" t="str">
        <f>IFERROR(__xludf.DUMMYFUNCTION("""COMPUTED_VALUE"""),"")</f>
        <v/>
      </c>
      <c r="O189" s="110" t="str">
        <f>IFERROR(__xludf.DUMMYFUNCTION("""COMPUTED_VALUE"""),"")</f>
        <v/>
      </c>
      <c r="Q189" s="111">
        <f>IFERROR(__xludf.DUMMYFUNCTION("""COMPUTED_VALUE"""),0.0)</f>
        <v>0</v>
      </c>
      <c r="R189" s="112">
        <f>IFERROR(__xludf.DUMMYFUNCTION("""COMPUTED_VALUE"""),0.0)</f>
        <v>0</v>
      </c>
      <c r="S189" s="112">
        <f>IFERROR(__xludf.DUMMYFUNCTION("""COMPUTED_VALUE"""),0.0)</f>
        <v>0</v>
      </c>
      <c r="T189" s="113">
        <f>IFERROR(__xludf.DUMMYFUNCTION("""COMPUTED_VALUE"""),0.0)</f>
        <v>0</v>
      </c>
      <c r="U189" s="114">
        <f>IFERROR(__xludf.DUMMYFUNCTION("""COMPUTED_VALUE"""),0.0)</f>
        <v>0</v>
      </c>
      <c r="V189" s="115" t="str">
        <f>IFERROR(__xludf.DUMMYFUNCTION("""COMPUTED_VALUE"""),"")</f>
        <v/>
      </c>
      <c r="W189" s="116"/>
      <c r="X189" s="117" t="str">
        <f>IFERROR(__xludf.DUMMYFUNCTION("""COMPUTED_VALUE"""),"--")</f>
        <v>--</v>
      </c>
      <c r="Y189" s="118" t="str">
        <f>IFERROR(__xludf.DUMMYFUNCTION("""COMPUTED_VALUE"""),"")</f>
        <v/>
      </c>
      <c r="Z189" s="35"/>
      <c r="AA189" s="35"/>
      <c r="AB189" s="35"/>
      <c r="AC189" s="35"/>
      <c r="AD189" s="35"/>
      <c r="AE189" s="53"/>
      <c r="AF189" s="53"/>
      <c r="AG189" s="35"/>
      <c r="AH189" s="53"/>
      <c r="AI189" s="35"/>
      <c r="AJ189" s="90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</row>
    <row r="190" ht="18.75" customHeight="1">
      <c r="A190" s="53"/>
      <c r="B190" s="94"/>
      <c r="C190" s="121" t="str">
        <f>IFERROR(__xludf.DUMMYFUNCTION("""COMPUTED_VALUE"""),"--")</f>
        <v>--</v>
      </c>
      <c r="D190" s="122" t="str">
        <f>IFERROR(__xludf.DUMMYFUNCTION("""COMPUTED_VALUE"""),"")</f>
        <v/>
      </c>
      <c r="E190" s="133" t="str">
        <f>IFERROR(__xludf.DUMMYFUNCTION("""COMPUTED_VALUE"""),"")</f>
        <v/>
      </c>
      <c r="F190" s="128" t="str">
        <f>IFERROR(__xludf.DUMMYFUNCTION("""COMPUTED_VALUE"""),"")</f>
        <v/>
      </c>
      <c r="G190" s="133" t="str">
        <f>IFERROR(__xludf.DUMMYFUNCTION("""COMPUTED_VALUE"""),"")</f>
        <v/>
      </c>
      <c r="H190" s="128" t="str">
        <f>IFERROR(__xludf.DUMMYFUNCTION("""COMPUTED_VALUE"""),"")</f>
        <v/>
      </c>
      <c r="I190" s="133" t="str">
        <f>IFERROR(__xludf.DUMMYFUNCTION("""COMPUTED_VALUE"""),"")</f>
        <v/>
      </c>
      <c r="J190" s="128" t="str">
        <f>IFERROR(__xludf.DUMMYFUNCTION("""COMPUTED_VALUE"""),"")</f>
        <v/>
      </c>
      <c r="K190" s="133" t="str">
        <f>IFERROR(__xludf.DUMMYFUNCTION("""COMPUTED_VALUE"""),"")</f>
        <v/>
      </c>
      <c r="L190" s="134"/>
      <c r="M190" s="135"/>
      <c r="N190" s="108" t="str">
        <f>IFERROR(__xludf.DUMMYFUNCTION("""COMPUTED_VALUE"""),"")</f>
        <v/>
      </c>
      <c r="O190" s="110" t="str">
        <f>IFERROR(__xludf.DUMMYFUNCTION("""COMPUTED_VALUE"""),"")</f>
        <v/>
      </c>
      <c r="Q190" s="111">
        <f>IFERROR(__xludf.DUMMYFUNCTION("""COMPUTED_VALUE"""),0.0)</f>
        <v>0</v>
      </c>
      <c r="R190" s="112">
        <f>IFERROR(__xludf.DUMMYFUNCTION("""COMPUTED_VALUE"""),0.0)</f>
        <v>0</v>
      </c>
      <c r="S190" s="112">
        <f>IFERROR(__xludf.DUMMYFUNCTION("""COMPUTED_VALUE"""),0.0)</f>
        <v>0</v>
      </c>
      <c r="T190" s="113">
        <f>IFERROR(__xludf.DUMMYFUNCTION("""COMPUTED_VALUE"""),0.0)</f>
        <v>0</v>
      </c>
      <c r="U190" s="114">
        <f>IFERROR(__xludf.DUMMYFUNCTION("""COMPUTED_VALUE"""),0.0)</f>
        <v>0</v>
      </c>
      <c r="V190" s="115" t="str">
        <f>IFERROR(__xludf.DUMMYFUNCTION("""COMPUTED_VALUE"""),"")</f>
        <v/>
      </c>
      <c r="W190" s="136"/>
      <c r="X190" s="117" t="str">
        <f>IFERROR(__xludf.DUMMYFUNCTION("""COMPUTED_VALUE"""),"--")</f>
        <v>--</v>
      </c>
      <c r="Y190" s="118" t="str">
        <f>IFERROR(__xludf.DUMMYFUNCTION("""COMPUTED_VALUE"""),"")</f>
        <v/>
      </c>
      <c r="Z190" s="35"/>
      <c r="AA190" s="35"/>
      <c r="AB190" s="35"/>
      <c r="AC190" s="35"/>
      <c r="AD190" s="35"/>
      <c r="AE190" s="53"/>
      <c r="AF190" s="53"/>
      <c r="AG190" s="35"/>
      <c r="AH190" s="53"/>
      <c r="AI190" s="35"/>
      <c r="AJ190" s="90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</row>
    <row r="191" ht="18.75" customHeight="1">
      <c r="A191" s="53"/>
      <c r="B191" s="94"/>
      <c r="C191" s="121" t="str">
        <f>IFERROR(__xludf.DUMMYFUNCTION("""COMPUTED_VALUE"""),"--")</f>
        <v>--</v>
      </c>
      <c r="D191" s="122" t="str">
        <f>IFERROR(__xludf.DUMMYFUNCTION("""COMPUTED_VALUE"""),"")</f>
        <v/>
      </c>
      <c r="E191" s="133" t="str">
        <f>IFERROR(__xludf.DUMMYFUNCTION("""COMPUTED_VALUE"""),"")</f>
        <v/>
      </c>
      <c r="F191" s="128" t="str">
        <f>IFERROR(__xludf.DUMMYFUNCTION("""COMPUTED_VALUE"""),"")</f>
        <v/>
      </c>
      <c r="G191" s="133" t="str">
        <f>IFERROR(__xludf.DUMMYFUNCTION("""COMPUTED_VALUE"""),"")</f>
        <v/>
      </c>
      <c r="H191" s="128" t="str">
        <f>IFERROR(__xludf.DUMMYFUNCTION("""COMPUTED_VALUE"""),"")</f>
        <v/>
      </c>
      <c r="I191" s="123" t="str">
        <f>IFERROR(__xludf.DUMMYFUNCTION("""COMPUTED_VALUE"""),"")</f>
        <v/>
      </c>
      <c r="J191" s="128" t="str">
        <f>IFERROR(__xludf.DUMMYFUNCTION("""COMPUTED_VALUE"""),"")</f>
        <v/>
      </c>
      <c r="K191" s="133" t="str">
        <f>IFERROR(__xludf.DUMMYFUNCTION("""COMPUTED_VALUE"""),"")</f>
        <v/>
      </c>
      <c r="L191" s="128" t="str">
        <f>IFERROR(__xludf.DUMMYFUNCTION("""COMPUTED_VALUE"""),"")</f>
        <v/>
      </c>
      <c r="M191" s="133" t="str">
        <f>IFERROR(__xludf.DUMMYFUNCTION("""COMPUTED_VALUE"""),"")</f>
        <v/>
      </c>
      <c r="N191" s="137"/>
      <c r="O191" s="138"/>
      <c r="P191" s="99"/>
      <c r="Q191" s="111">
        <f>IFERROR(__xludf.DUMMYFUNCTION("""COMPUTED_VALUE"""),0.0)</f>
        <v>0</v>
      </c>
      <c r="R191" s="112">
        <f>IFERROR(__xludf.DUMMYFUNCTION("""COMPUTED_VALUE"""),0.0)</f>
        <v>0</v>
      </c>
      <c r="S191" s="112">
        <f>IFERROR(__xludf.DUMMYFUNCTION("""COMPUTED_VALUE"""),0.0)</f>
        <v>0</v>
      </c>
      <c r="T191" s="113">
        <f>IFERROR(__xludf.DUMMYFUNCTION("""COMPUTED_VALUE"""),0.0)</f>
        <v>0</v>
      </c>
      <c r="U191" s="114">
        <f>IFERROR(__xludf.DUMMYFUNCTION("""COMPUTED_VALUE"""),0.0)</f>
        <v>0</v>
      </c>
      <c r="V191" s="115" t="str">
        <f>IFERROR(__xludf.DUMMYFUNCTION("""COMPUTED_VALUE"""),"")</f>
        <v/>
      </c>
      <c r="W191" s="136"/>
      <c r="X191" s="117" t="str">
        <f>IFERROR(__xludf.DUMMYFUNCTION("""COMPUTED_VALUE"""),"--")</f>
        <v>--</v>
      </c>
      <c r="Y191" s="118" t="str">
        <f>IFERROR(__xludf.DUMMYFUNCTION("""COMPUTED_VALUE"""),"")</f>
        <v/>
      </c>
      <c r="Z191" s="35"/>
      <c r="AA191" s="35"/>
      <c r="AB191" s="35"/>
      <c r="AC191" s="35"/>
      <c r="AD191" s="35"/>
      <c r="AE191" s="53"/>
      <c r="AF191" s="53"/>
      <c r="AG191" s="35"/>
      <c r="AH191" s="53"/>
      <c r="AI191" s="35"/>
      <c r="AJ191" s="90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</row>
    <row r="192" ht="18.75" customHeight="1">
      <c r="A192" s="35"/>
      <c r="B192" s="139"/>
      <c r="C192" s="14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141"/>
      <c r="Y192" s="35"/>
      <c r="Z192" s="35"/>
      <c r="AA192" s="35"/>
      <c r="AB192" s="35"/>
      <c r="AC192" s="35"/>
      <c r="AD192" s="35"/>
      <c r="AE192" s="53"/>
      <c r="AF192" s="53"/>
      <c r="AG192" s="35"/>
      <c r="AH192" s="53"/>
      <c r="AI192" s="35"/>
      <c r="AJ192" s="90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</row>
    <row r="193" ht="18.75" customHeight="1">
      <c r="A193" s="53"/>
      <c r="B193" s="53"/>
      <c r="C193" s="53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143"/>
      <c r="U193" s="35"/>
      <c r="V193" s="35"/>
      <c r="W193" s="64"/>
      <c r="X193" s="35"/>
      <c r="Y193" s="35"/>
      <c r="Z193" s="35"/>
      <c r="AA193" s="35"/>
      <c r="AB193" s="35"/>
      <c r="AC193" s="35"/>
      <c r="AD193" s="35"/>
      <c r="AE193" s="53"/>
      <c r="AF193" s="53"/>
      <c r="AG193" s="35"/>
      <c r="AH193" s="53"/>
      <c r="AI193" s="35"/>
      <c r="AJ193" s="90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</row>
    <row r="194" ht="18.75" customHeight="1">
      <c r="A194" s="53"/>
      <c r="B194" s="53"/>
      <c r="C194" s="53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143"/>
      <c r="U194" s="35"/>
      <c r="V194" s="35"/>
      <c r="W194" s="64"/>
      <c r="X194" s="35"/>
      <c r="Y194" s="35"/>
      <c r="Z194" s="35"/>
      <c r="AA194" s="35"/>
      <c r="AB194" s="35"/>
      <c r="AC194" s="35"/>
      <c r="AD194" s="35"/>
      <c r="AE194" s="53"/>
      <c r="AF194" s="53"/>
      <c r="AG194" s="35"/>
      <c r="AH194" s="53"/>
      <c r="AI194" s="35"/>
      <c r="AJ194" s="90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</row>
    <row r="195" ht="18.75" customHeight="1">
      <c r="A195" s="53"/>
      <c r="B195" s="53"/>
      <c r="C195" s="53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143"/>
      <c r="U195" s="35"/>
      <c r="V195" s="35"/>
      <c r="W195" s="64"/>
      <c r="X195" s="35"/>
      <c r="Y195" s="35"/>
      <c r="Z195" s="35"/>
      <c r="AA195" s="35"/>
      <c r="AB195" s="35"/>
      <c r="AC195" s="35"/>
      <c r="AD195" s="35"/>
      <c r="AE195" s="53"/>
      <c r="AF195" s="53"/>
      <c r="AG195" s="35"/>
      <c r="AH195" s="53"/>
      <c r="AI195" s="35"/>
      <c r="AJ195" s="90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</row>
    <row r="196" ht="18.75" customHeight="1">
      <c r="A196" s="53"/>
      <c r="B196" s="53"/>
      <c r="C196" s="53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143"/>
      <c r="U196" s="35"/>
      <c r="V196" s="35"/>
      <c r="W196" s="64"/>
      <c r="X196" s="35"/>
      <c r="Y196" s="35"/>
      <c r="Z196" s="35"/>
      <c r="AA196" s="35"/>
      <c r="AB196" s="35"/>
      <c r="AC196" s="35"/>
      <c r="AD196" s="35"/>
      <c r="AE196" s="53"/>
      <c r="AF196" s="53"/>
      <c r="AG196" s="35"/>
      <c r="AH196" s="53"/>
      <c r="AI196" s="35"/>
      <c r="AJ196" s="90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</row>
    <row r="197" ht="18.75" customHeight="1">
      <c r="A197" s="53"/>
      <c r="B197" s="53"/>
      <c r="C197" s="53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143"/>
      <c r="U197" s="35"/>
      <c r="V197" s="35"/>
      <c r="W197" s="64"/>
      <c r="X197" s="35"/>
      <c r="Y197" s="35"/>
      <c r="Z197" s="35"/>
      <c r="AA197" s="35"/>
      <c r="AB197" s="35"/>
      <c r="AC197" s="35"/>
      <c r="AD197" s="35"/>
      <c r="AE197" s="53"/>
      <c r="AF197" s="53"/>
      <c r="AG197" s="35"/>
      <c r="AH197" s="53"/>
      <c r="AI197" s="35"/>
      <c r="AJ197" s="90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</row>
    <row r="198" ht="18.75" customHeight="1">
      <c r="A198" s="53"/>
      <c r="B198" s="53"/>
      <c r="C198" s="53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143"/>
      <c r="U198" s="35"/>
      <c r="V198" s="35"/>
      <c r="W198" s="64"/>
      <c r="X198" s="35"/>
      <c r="Y198" s="35"/>
      <c r="Z198" s="35"/>
      <c r="AA198" s="35"/>
      <c r="AB198" s="35"/>
      <c r="AC198" s="35"/>
      <c r="AD198" s="35"/>
      <c r="AE198" s="53"/>
      <c r="AF198" s="53"/>
      <c r="AG198" s="35"/>
      <c r="AH198" s="53"/>
      <c r="AI198" s="35"/>
      <c r="AJ198" s="90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</row>
    <row r="199" ht="18.75" customHeight="1">
      <c r="A199" s="53"/>
      <c r="B199" s="53"/>
      <c r="C199" s="53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143"/>
      <c r="U199" s="35"/>
      <c r="V199" s="35"/>
      <c r="W199" s="64"/>
      <c r="X199" s="35"/>
      <c r="Y199" s="35"/>
      <c r="Z199" s="35"/>
      <c r="AA199" s="35"/>
      <c r="AB199" s="35"/>
      <c r="AC199" s="35"/>
      <c r="AD199" s="35"/>
      <c r="AE199" s="53"/>
      <c r="AF199" s="53"/>
      <c r="AG199" s="35"/>
      <c r="AH199" s="53"/>
      <c r="AI199" s="35"/>
      <c r="AJ199" s="90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</row>
    <row r="200" ht="18.75" customHeight="1">
      <c r="A200" s="53"/>
      <c r="B200" s="53"/>
      <c r="C200" s="53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143"/>
      <c r="U200" s="35"/>
      <c r="V200" s="35"/>
      <c r="W200" s="64"/>
      <c r="X200" s="35"/>
      <c r="Y200" s="35"/>
      <c r="Z200" s="35"/>
      <c r="AA200" s="35"/>
      <c r="AB200" s="35"/>
      <c r="AC200" s="35"/>
      <c r="AD200" s="35"/>
      <c r="AE200" s="53"/>
      <c r="AF200" s="53"/>
      <c r="AG200" s="35"/>
      <c r="AH200" s="53"/>
      <c r="AI200" s="35"/>
      <c r="AJ200" s="90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</row>
    <row r="201" ht="18.75" customHeight="1">
      <c r="A201" s="53"/>
      <c r="B201" s="53"/>
      <c r="C201" s="53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143"/>
      <c r="U201" s="35"/>
      <c r="V201" s="35"/>
      <c r="W201" s="64"/>
      <c r="X201" s="35"/>
      <c r="Y201" s="35"/>
      <c r="Z201" s="35"/>
      <c r="AA201" s="35"/>
      <c r="AB201" s="35"/>
      <c r="AC201" s="35"/>
      <c r="AD201" s="35"/>
      <c r="AE201" s="53"/>
      <c r="AF201" s="53"/>
      <c r="AG201" s="35"/>
      <c r="AH201" s="53"/>
      <c r="AI201" s="35"/>
      <c r="AJ201" s="90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</row>
    <row r="202" ht="18.75" customHeight="1">
      <c r="A202" s="53"/>
      <c r="B202" s="53"/>
      <c r="C202" s="53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143"/>
      <c r="U202" s="35"/>
      <c r="V202" s="35"/>
      <c r="W202" s="64"/>
      <c r="X202" s="35"/>
      <c r="Y202" s="35"/>
      <c r="Z202" s="35"/>
      <c r="AA202" s="35"/>
      <c r="AB202" s="35"/>
      <c r="AC202" s="35"/>
      <c r="AD202" s="35"/>
      <c r="AE202" s="53"/>
      <c r="AF202" s="53"/>
      <c r="AG202" s="35"/>
      <c r="AH202" s="53"/>
      <c r="AI202" s="35"/>
      <c r="AJ202" s="90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</row>
    <row r="203" ht="18.75" customHeight="1">
      <c r="A203" s="53"/>
      <c r="B203" s="53"/>
      <c r="C203" s="53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143"/>
      <c r="U203" s="35"/>
      <c r="V203" s="35"/>
      <c r="W203" s="64"/>
      <c r="X203" s="35"/>
      <c r="Y203" s="35"/>
      <c r="Z203" s="35"/>
      <c r="AA203" s="35"/>
      <c r="AB203" s="35"/>
      <c r="AC203" s="35"/>
      <c r="AD203" s="35"/>
      <c r="AE203" s="53"/>
      <c r="AF203" s="53"/>
      <c r="AG203" s="35"/>
      <c r="AH203" s="53"/>
      <c r="AI203" s="35"/>
      <c r="AJ203" s="90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</row>
    <row r="204" ht="18.75" customHeight="1">
      <c r="A204" s="53"/>
      <c r="B204" s="53"/>
      <c r="C204" s="53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143"/>
      <c r="U204" s="35"/>
      <c r="V204" s="35"/>
      <c r="W204" s="64"/>
      <c r="X204" s="35"/>
      <c r="Y204" s="35"/>
      <c r="Z204" s="35"/>
      <c r="AA204" s="35"/>
      <c r="AB204" s="35"/>
      <c r="AC204" s="35"/>
      <c r="AD204" s="35"/>
      <c r="AE204" s="53"/>
      <c r="AF204" s="53"/>
      <c r="AG204" s="35"/>
      <c r="AH204" s="53"/>
      <c r="AI204" s="35"/>
      <c r="AJ204" s="90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</row>
    <row r="205" ht="18.75" customHeight="1">
      <c r="A205" s="53"/>
      <c r="B205" s="53"/>
      <c r="C205" s="53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143"/>
      <c r="U205" s="35"/>
      <c r="V205" s="35"/>
      <c r="W205" s="64"/>
      <c r="X205" s="35"/>
      <c r="Y205" s="35"/>
      <c r="Z205" s="35"/>
      <c r="AA205" s="35"/>
      <c r="AB205" s="35"/>
      <c r="AC205" s="35"/>
      <c r="AD205" s="35"/>
      <c r="AE205" s="53"/>
      <c r="AF205" s="53"/>
      <c r="AG205" s="35"/>
      <c r="AH205" s="53"/>
      <c r="AI205" s="35"/>
      <c r="AJ205" s="90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</row>
    <row r="206" ht="18.75" customHeight="1">
      <c r="A206" s="53"/>
      <c r="B206" s="53"/>
      <c r="C206" s="53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143"/>
      <c r="U206" s="35"/>
      <c r="V206" s="35"/>
      <c r="W206" s="64"/>
      <c r="X206" s="35"/>
      <c r="Y206" s="35"/>
      <c r="Z206" s="35"/>
      <c r="AA206" s="35"/>
      <c r="AB206" s="35"/>
      <c r="AC206" s="35"/>
      <c r="AD206" s="35"/>
      <c r="AE206" s="53"/>
      <c r="AF206" s="53"/>
      <c r="AG206" s="35"/>
      <c r="AH206" s="53"/>
      <c r="AI206" s="35"/>
      <c r="AJ206" s="90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</row>
    <row r="207" ht="18.75" customHeight="1">
      <c r="A207" s="53"/>
      <c r="B207" s="53"/>
      <c r="C207" s="53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143"/>
      <c r="U207" s="35"/>
      <c r="V207" s="35"/>
      <c r="W207" s="64"/>
      <c r="X207" s="35"/>
      <c r="Y207" s="35"/>
      <c r="Z207" s="35"/>
      <c r="AA207" s="35"/>
      <c r="AB207" s="35"/>
      <c r="AC207" s="35"/>
      <c r="AD207" s="35"/>
      <c r="AE207" s="53"/>
      <c r="AF207" s="53"/>
      <c r="AG207" s="35"/>
      <c r="AH207" s="53"/>
      <c r="AI207" s="35"/>
      <c r="AJ207" s="90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</row>
    <row r="208" ht="18.75" customHeight="1">
      <c r="A208" s="53"/>
      <c r="B208" s="53"/>
      <c r="C208" s="53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143"/>
      <c r="U208" s="35"/>
      <c r="V208" s="35"/>
      <c r="W208" s="64"/>
      <c r="X208" s="35"/>
      <c r="Y208" s="35"/>
      <c r="Z208" s="35"/>
      <c r="AA208" s="35"/>
      <c r="AB208" s="35"/>
      <c r="AC208" s="35"/>
      <c r="AD208" s="35"/>
      <c r="AE208" s="53"/>
      <c r="AF208" s="53"/>
      <c r="AG208" s="35"/>
      <c r="AH208" s="53"/>
      <c r="AI208" s="35"/>
      <c r="AJ208" s="90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</row>
    <row r="209" ht="18.75" customHeight="1">
      <c r="A209" s="53"/>
      <c r="B209" s="53"/>
      <c r="C209" s="53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143"/>
      <c r="U209" s="35"/>
      <c r="V209" s="35"/>
      <c r="W209" s="64"/>
      <c r="X209" s="35"/>
      <c r="Y209" s="35"/>
      <c r="Z209" s="35"/>
      <c r="AA209" s="35"/>
      <c r="AB209" s="35"/>
      <c r="AC209" s="35"/>
      <c r="AD209" s="35"/>
      <c r="AE209" s="53"/>
      <c r="AF209" s="53"/>
      <c r="AG209" s="35"/>
      <c r="AH209" s="53"/>
      <c r="AI209" s="35"/>
      <c r="AJ209" s="90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</row>
    <row r="210" ht="18.75" customHeight="1">
      <c r="A210" s="53"/>
      <c r="B210" s="53"/>
      <c r="C210" s="53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143"/>
      <c r="U210" s="35"/>
      <c r="V210" s="35"/>
      <c r="W210" s="64"/>
      <c r="X210" s="35"/>
      <c r="Y210" s="35"/>
      <c r="Z210" s="35"/>
      <c r="AA210" s="35"/>
      <c r="AB210" s="35"/>
      <c r="AC210" s="35"/>
      <c r="AD210" s="35"/>
      <c r="AE210" s="53"/>
      <c r="AF210" s="53"/>
      <c r="AG210" s="35"/>
      <c r="AH210" s="53"/>
      <c r="AI210" s="35"/>
      <c r="AJ210" s="90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</row>
    <row r="211" ht="18.75" customHeight="1">
      <c r="A211" s="53"/>
      <c r="B211" s="53"/>
      <c r="C211" s="53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143"/>
      <c r="U211" s="35"/>
      <c r="V211" s="35"/>
      <c r="W211" s="64"/>
      <c r="X211" s="35"/>
      <c r="Y211" s="35"/>
      <c r="Z211" s="35"/>
      <c r="AA211" s="35"/>
      <c r="AB211" s="35"/>
      <c r="AC211" s="35"/>
      <c r="AD211" s="35"/>
      <c r="AE211" s="53"/>
      <c r="AF211" s="53"/>
      <c r="AG211" s="35"/>
      <c r="AH211" s="53"/>
      <c r="AI211" s="35"/>
      <c r="AJ211" s="90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</row>
    <row r="212" ht="18.75" customHeight="1">
      <c r="A212" s="53"/>
      <c r="B212" s="53"/>
      <c r="C212" s="53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143"/>
      <c r="U212" s="35"/>
      <c r="V212" s="35"/>
      <c r="W212" s="64"/>
      <c r="X212" s="35"/>
      <c r="Y212" s="35"/>
      <c r="Z212" s="35"/>
      <c r="AA212" s="35"/>
      <c r="AB212" s="35"/>
      <c r="AC212" s="35"/>
      <c r="AD212" s="35"/>
      <c r="AE212" s="53"/>
      <c r="AF212" s="53"/>
      <c r="AG212" s="35"/>
      <c r="AH212" s="53"/>
      <c r="AI212" s="35"/>
      <c r="AJ212" s="90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</row>
    <row r="213" ht="18.75" customHeight="1">
      <c r="A213" s="53"/>
      <c r="B213" s="53"/>
      <c r="C213" s="53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143"/>
      <c r="U213" s="35"/>
      <c r="V213" s="35"/>
      <c r="W213" s="64"/>
      <c r="X213" s="35"/>
      <c r="Y213" s="35"/>
      <c r="Z213" s="35"/>
      <c r="AA213" s="35"/>
      <c r="AB213" s="35"/>
      <c r="AC213" s="35"/>
      <c r="AD213" s="35"/>
      <c r="AE213" s="53"/>
      <c r="AF213" s="53"/>
      <c r="AG213" s="35"/>
      <c r="AH213" s="53"/>
      <c r="AI213" s="35"/>
      <c r="AJ213" s="90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</row>
    <row r="214" ht="18.75" customHeight="1">
      <c r="A214" s="53"/>
      <c r="B214" s="53"/>
      <c r="C214" s="53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143"/>
      <c r="U214" s="35"/>
      <c r="V214" s="35"/>
      <c r="W214" s="64"/>
      <c r="X214" s="35"/>
      <c r="Y214" s="35"/>
      <c r="Z214" s="35"/>
      <c r="AA214" s="35"/>
      <c r="AB214" s="35"/>
      <c r="AC214" s="35"/>
      <c r="AD214" s="35"/>
      <c r="AE214" s="53"/>
      <c r="AF214" s="53"/>
      <c r="AG214" s="35"/>
      <c r="AH214" s="53"/>
      <c r="AI214" s="35"/>
      <c r="AJ214" s="90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</row>
    <row r="215" ht="18.75" customHeight="1">
      <c r="A215" s="53"/>
      <c r="B215" s="53"/>
      <c r="C215" s="53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143"/>
      <c r="U215" s="35"/>
      <c r="V215" s="35"/>
      <c r="W215" s="64"/>
      <c r="X215" s="35"/>
      <c r="Y215" s="35"/>
      <c r="Z215" s="35"/>
      <c r="AA215" s="35"/>
      <c r="AB215" s="35"/>
      <c r="AC215" s="35"/>
      <c r="AD215" s="35"/>
      <c r="AE215" s="53"/>
      <c r="AF215" s="53"/>
      <c r="AG215" s="35"/>
      <c r="AH215" s="53"/>
      <c r="AI215" s="35"/>
      <c r="AJ215" s="90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</row>
    <row r="216" ht="18.75" customHeight="1">
      <c r="A216" s="53"/>
      <c r="B216" s="53"/>
      <c r="C216" s="53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143"/>
      <c r="U216" s="35"/>
      <c r="V216" s="35"/>
      <c r="W216" s="64"/>
      <c r="X216" s="35"/>
      <c r="Y216" s="35"/>
      <c r="Z216" s="35"/>
      <c r="AA216" s="35"/>
      <c r="AB216" s="35"/>
      <c r="AC216" s="35"/>
      <c r="AD216" s="35"/>
      <c r="AE216" s="53"/>
      <c r="AF216" s="53"/>
      <c r="AG216" s="35"/>
      <c r="AH216" s="53"/>
      <c r="AI216" s="35"/>
      <c r="AJ216" s="90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</row>
    <row r="217" ht="18.75" customHeight="1">
      <c r="A217" s="53"/>
      <c r="B217" s="53"/>
      <c r="C217" s="53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143"/>
      <c r="U217" s="35"/>
      <c r="V217" s="35"/>
      <c r="W217" s="64"/>
      <c r="X217" s="35"/>
      <c r="Y217" s="35"/>
      <c r="Z217" s="35"/>
      <c r="AA217" s="35"/>
      <c r="AB217" s="35"/>
      <c r="AC217" s="35"/>
      <c r="AD217" s="35"/>
      <c r="AE217" s="53"/>
      <c r="AF217" s="53"/>
      <c r="AG217" s="35"/>
      <c r="AH217" s="53"/>
      <c r="AI217" s="35"/>
      <c r="AJ217" s="90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</row>
    <row r="218" ht="18.75" customHeight="1">
      <c r="A218" s="53"/>
      <c r="B218" s="53"/>
      <c r="C218" s="53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143"/>
      <c r="U218" s="35"/>
      <c r="V218" s="35"/>
      <c r="W218" s="64"/>
      <c r="X218" s="35"/>
      <c r="Y218" s="35"/>
      <c r="Z218" s="35"/>
      <c r="AA218" s="35"/>
      <c r="AB218" s="35"/>
      <c r="AC218" s="35"/>
      <c r="AD218" s="35"/>
      <c r="AE218" s="53"/>
      <c r="AF218" s="53"/>
      <c r="AG218" s="35"/>
      <c r="AH218" s="53"/>
      <c r="AI218" s="35"/>
      <c r="AJ218" s="90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</row>
    <row r="219" ht="18.75" customHeight="1">
      <c r="A219" s="53"/>
      <c r="B219" s="53"/>
      <c r="C219" s="53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143"/>
      <c r="U219" s="35"/>
      <c r="V219" s="35"/>
      <c r="W219" s="64"/>
      <c r="X219" s="35"/>
      <c r="Y219" s="35"/>
      <c r="Z219" s="35"/>
      <c r="AA219" s="35"/>
      <c r="AB219" s="35"/>
      <c r="AC219" s="35"/>
      <c r="AD219" s="35"/>
      <c r="AE219" s="53"/>
      <c r="AF219" s="53"/>
      <c r="AG219" s="35"/>
      <c r="AH219" s="53"/>
      <c r="AI219" s="35"/>
      <c r="AJ219" s="90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</row>
    <row r="220" ht="18.75" customHeight="1">
      <c r="A220" s="53"/>
      <c r="B220" s="53"/>
      <c r="C220" s="53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143"/>
      <c r="U220" s="35"/>
      <c r="V220" s="35"/>
      <c r="W220" s="64"/>
      <c r="X220" s="35"/>
      <c r="Y220" s="35"/>
      <c r="Z220" s="35"/>
      <c r="AA220" s="35"/>
      <c r="AB220" s="35"/>
      <c r="AC220" s="35"/>
      <c r="AD220" s="35"/>
      <c r="AE220" s="53"/>
      <c r="AF220" s="53"/>
      <c r="AG220" s="35"/>
      <c r="AH220" s="53"/>
      <c r="AI220" s="35"/>
      <c r="AJ220" s="90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</row>
    <row r="221" ht="18.75" customHeight="1">
      <c r="A221" s="53"/>
      <c r="B221" s="53"/>
      <c r="C221" s="53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143"/>
      <c r="U221" s="35"/>
      <c r="V221" s="35"/>
      <c r="W221" s="64"/>
      <c r="X221" s="35"/>
      <c r="Y221" s="35"/>
      <c r="Z221" s="35"/>
      <c r="AA221" s="35"/>
      <c r="AB221" s="35"/>
      <c r="AC221" s="35"/>
      <c r="AD221" s="35"/>
      <c r="AE221" s="53"/>
      <c r="AF221" s="53"/>
      <c r="AG221" s="35"/>
      <c r="AH221" s="53"/>
      <c r="AI221" s="35"/>
      <c r="AJ221" s="90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</row>
    <row r="222" ht="18.75" customHeight="1">
      <c r="A222" s="53"/>
      <c r="B222" s="53"/>
      <c r="C222" s="53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143"/>
      <c r="U222" s="35"/>
      <c r="V222" s="35"/>
      <c r="W222" s="64"/>
      <c r="X222" s="35"/>
      <c r="Y222" s="35"/>
      <c r="Z222" s="35"/>
      <c r="AA222" s="35"/>
      <c r="AB222" s="35"/>
      <c r="AC222" s="35"/>
      <c r="AD222" s="35"/>
      <c r="AE222" s="53"/>
      <c r="AF222" s="53"/>
      <c r="AG222" s="35"/>
      <c r="AH222" s="53"/>
      <c r="AI222" s="35"/>
      <c r="AJ222" s="90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</row>
    <row r="223" ht="18.75" customHeight="1">
      <c r="A223" s="53"/>
      <c r="B223" s="53"/>
      <c r="C223" s="53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143"/>
      <c r="U223" s="35"/>
      <c r="V223" s="35"/>
      <c r="W223" s="64"/>
      <c r="X223" s="35"/>
      <c r="Y223" s="35"/>
      <c r="Z223" s="35"/>
      <c r="AA223" s="35"/>
      <c r="AB223" s="35"/>
      <c r="AC223" s="35"/>
      <c r="AD223" s="35"/>
      <c r="AE223" s="53"/>
      <c r="AF223" s="53"/>
      <c r="AG223" s="35"/>
      <c r="AH223" s="53"/>
      <c r="AI223" s="35"/>
      <c r="AJ223" s="90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</row>
    <row r="224" ht="18.75" customHeight="1">
      <c r="A224" s="53"/>
      <c r="B224" s="53"/>
      <c r="C224" s="53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143"/>
      <c r="U224" s="35"/>
      <c r="V224" s="35"/>
      <c r="W224" s="64"/>
      <c r="X224" s="35"/>
      <c r="Y224" s="35"/>
      <c r="Z224" s="35"/>
      <c r="AA224" s="35"/>
      <c r="AB224" s="35"/>
      <c r="AC224" s="35"/>
      <c r="AD224" s="35"/>
      <c r="AE224" s="53"/>
      <c r="AF224" s="53"/>
      <c r="AG224" s="35"/>
      <c r="AH224" s="53"/>
      <c r="AI224" s="35"/>
      <c r="AJ224" s="90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</row>
    <row r="225" ht="18.75" customHeight="1">
      <c r="A225" s="53"/>
      <c r="B225" s="53"/>
      <c r="C225" s="53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143"/>
      <c r="U225" s="35"/>
      <c r="V225" s="35"/>
      <c r="W225" s="64"/>
      <c r="X225" s="35"/>
      <c r="Y225" s="35"/>
      <c r="Z225" s="35"/>
      <c r="AA225" s="35"/>
      <c r="AB225" s="35"/>
      <c r="AC225" s="35"/>
      <c r="AD225" s="35"/>
      <c r="AE225" s="53"/>
      <c r="AF225" s="53"/>
      <c r="AG225" s="35"/>
      <c r="AH225" s="53"/>
      <c r="AI225" s="35"/>
      <c r="AJ225" s="90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</row>
    <row r="226" ht="18.75" customHeight="1">
      <c r="A226" s="53"/>
      <c r="B226" s="53"/>
      <c r="C226" s="53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143"/>
      <c r="U226" s="35"/>
      <c r="V226" s="35"/>
      <c r="W226" s="64"/>
      <c r="X226" s="35"/>
      <c r="Y226" s="35"/>
      <c r="Z226" s="35"/>
      <c r="AA226" s="35"/>
      <c r="AB226" s="35"/>
      <c r="AC226" s="35"/>
      <c r="AD226" s="35"/>
      <c r="AE226" s="53"/>
      <c r="AF226" s="53"/>
      <c r="AG226" s="35"/>
      <c r="AH226" s="53"/>
      <c r="AI226" s="35"/>
      <c r="AJ226" s="90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</row>
    <row r="227" ht="18.75" customHeight="1">
      <c r="A227" s="53"/>
      <c r="B227" s="53"/>
      <c r="C227" s="53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143"/>
      <c r="U227" s="35"/>
      <c r="V227" s="35"/>
      <c r="W227" s="64"/>
      <c r="X227" s="35"/>
      <c r="Y227" s="35"/>
      <c r="Z227" s="35"/>
      <c r="AA227" s="35"/>
      <c r="AB227" s="35"/>
      <c r="AC227" s="35"/>
      <c r="AD227" s="35"/>
      <c r="AE227" s="53"/>
      <c r="AF227" s="53"/>
      <c r="AG227" s="35"/>
      <c r="AH227" s="53"/>
      <c r="AI227" s="35"/>
      <c r="AJ227" s="90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</row>
    <row r="228" ht="18.75" customHeight="1">
      <c r="A228" s="53"/>
      <c r="B228" s="53"/>
      <c r="C228" s="53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143"/>
      <c r="U228" s="35"/>
      <c r="V228" s="35"/>
      <c r="W228" s="64"/>
      <c r="X228" s="35"/>
      <c r="Y228" s="35"/>
      <c r="Z228" s="35"/>
      <c r="AA228" s="35"/>
      <c r="AB228" s="35"/>
      <c r="AC228" s="35"/>
      <c r="AD228" s="35"/>
      <c r="AE228" s="53"/>
      <c r="AF228" s="53"/>
      <c r="AG228" s="35"/>
      <c r="AH228" s="53"/>
      <c r="AI228" s="35"/>
      <c r="AJ228" s="90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</row>
    <row r="229" ht="18.75" customHeight="1">
      <c r="A229" s="53"/>
      <c r="B229" s="53"/>
      <c r="C229" s="53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143"/>
      <c r="U229" s="35"/>
      <c r="V229" s="35"/>
      <c r="W229" s="64"/>
      <c r="X229" s="35"/>
      <c r="Y229" s="35"/>
      <c r="Z229" s="35"/>
      <c r="AA229" s="35"/>
      <c r="AB229" s="35"/>
      <c r="AC229" s="35"/>
      <c r="AD229" s="35"/>
      <c r="AE229" s="53"/>
      <c r="AF229" s="53"/>
      <c r="AG229" s="35"/>
      <c r="AH229" s="53"/>
      <c r="AI229" s="35"/>
      <c r="AJ229" s="90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</row>
    <row r="230" ht="18.75" customHeight="1">
      <c r="A230" s="53"/>
      <c r="B230" s="53"/>
      <c r="C230" s="53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143"/>
      <c r="U230" s="35"/>
      <c r="V230" s="35"/>
      <c r="W230" s="64"/>
      <c r="X230" s="35"/>
      <c r="Y230" s="35"/>
      <c r="Z230" s="35"/>
      <c r="AA230" s="35"/>
      <c r="AB230" s="35"/>
      <c r="AC230" s="35"/>
      <c r="AD230" s="35"/>
      <c r="AE230" s="53"/>
      <c r="AF230" s="53"/>
      <c r="AG230" s="35"/>
      <c r="AH230" s="53"/>
      <c r="AI230" s="35"/>
      <c r="AJ230" s="90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</row>
    <row r="231" ht="18.75" customHeight="1">
      <c r="A231" s="53"/>
      <c r="B231" s="53"/>
      <c r="C231" s="53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143"/>
      <c r="U231" s="35"/>
      <c r="V231" s="35"/>
      <c r="W231" s="64"/>
      <c r="X231" s="35"/>
      <c r="Y231" s="35"/>
      <c r="Z231" s="35"/>
      <c r="AA231" s="35"/>
      <c r="AB231" s="35"/>
      <c r="AC231" s="35"/>
      <c r="AD231" s="35"/>
      <c r="AE231" s="53"/>
      <c r="AF231" s="53"/>
      <c r="AG231" s="35"/>
      <c r="AH231" s="53"/>
      <c r="AI231" s="35"/>
      <c r="AJ231" s="90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</row>
    <row r="232" ht="18.75" customHeight="1">
      <c r="A232" s="53"/>
      <c r="B232" s="53"/>
      <c r="C232" s="53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143"/>
      <c r="U232" s="35"/>
      <c r="V232" s="35"/>
      <c r="W232" s="64"/>
      <c r="X232" s="35"/>
      <c r="Y232" s="35"/>
      <c r="Z232" s="35"/>
      <c r="AA232" s="35"/>
      <c r="AB232" s="35"/>
      <c r="AC232" s="35"/>
      <c r="AD232" s="35"/>
      <c r="AE232" s="53"/>
      <c r="AF232" s="53"/>
      <c r="AG232" s="35"/>
      <c r="AH232" s="53"/>
      <c r="AI232" s="35"/>
      <c r="AJ232" s="90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</row>
    <row r="233" ht="18.75" customHeight="1">
      <c r="A233" s="53"/>
      <c r="B233" s="53"/>
      <c r="C233" s="53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143"/>
      <c r="U233" s="35"/>
      <c r="V233" s="35"/>
      <c r="W233" s="64"/>
      <c r="X233" s="35"/>
      <c r="Y233" s="35"/>
      <c r="Z233" s="35"/>
      <c r="AA233" s="35"/>
      <c r="AB233" s="35"/>
      <c r="AC233" s="35"/>
      <c r="AD233" s="35"/>
      <c r="AE233" s="53"/>
      <c r="AF233" s="53"/>
      <c r="AG233" s="35"/>
      <c r="AH233" s="53"/>
      <c r="AI233" s="35"/>
      <c r="AJ233" s="90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</row>
    <row r="234" ht="18.75" customHeight="1">
      <c r="A234" s="53"/>
      <c r="B234" s="53"/>
      <c r="C234" s="53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143"/>
      <c r="U234" s="35"/>
      <c r="V234" s="35"/>
      <c r="W234" s="64"/>
      <c r="X234" s="35"/>
      <c r="Y234" s="35"/>
      <c r="Z234" s="35"/>
      <c r="AA234" s="35"/>
      <c r="AB234" s="35"/>
      <c r="AC234" s="35"/>
      <c r="AD234" s="35"/>
      <c r="AE234" s="53"/>
      <c r="AF234" s="53"/>
      <c r="AG234" s="35"/>
      <c r="AH234" s="53"/>
      <c r="AI234" s="35"/>
      <c r="AJ234" s="90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</row>
    <row r="235" ht="18.75" customHeight="1">
      <c r="A235" s="53"/>
      <c r="B235" s="53"/>
      <c r="C235" s="53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143"/>
      <c r="U235" s="35"/>
      <c r="V235" s="35"/>
      <c r="W235" s="64"/>
      <c r="X235" s="35"/>
      <c r="Y235" s="35"/>
      <c r="Z235" s="35"/>
      <c r="AA235" s="35"/>
      <c r="AB235" s="35"/>
      <c r="AC235" s="35"/>
      <c r="AD235" s="35"/>
      <c r="AE235" s="53"/>
      <c r="AF235" s="53"/>
      <c r="AG235" s="35"/>
      <c r="AH235" s="53"/>
      <c r="AI235" s="35"/>
      <c r="AJ235" s="90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</row>
    <row r="236" ht="18.75" customHeight="1">
      <c r="A236" s="53"/>
      <c r="B236" s="53"/>
      <c r="C236" s="53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143"/>
      <c r="U236" s="35"/>
      <c r="V236" s="35"/>
      <c r="W236" s="64"/>
      <c r="X236" s="35"/>
      <c r="Y236" s="35"/>
      <c r="Z236" s="35"/>
      <c r="AA236" s="35"/>
      <c r="AB236" s="35"/>
      <c r="AC236" s="35"/>
      <c r="AD236" s="35"/>
      <c r="AE236" s="53"/>
      <c r="AF236" s="53"/>
      <c r="AG236" s="35"/>
      <c r="AH236" s="53"/>
      <c r="AI236" s="35"/>
      <c r="AJ236" s="90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</row>
    <row r="237" ht="18.75" customHeight="1">
      <c r="A237" s="53"/>
      <c r="B237" s="53"/>
      <c r="C237" s="53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143"/>
      <c r="U237" s="35"/>
      <c r="V237" s="35"/>
      <c r="W237" s="64"/>
      <c r="X237" s="35"/>
      <c r="Y237" s="35"/>
      <c r="Z237" s="35"/>
      <c r="AA237" s="35"/>
      <c r="AB237" s="35"/>
      <c r="AC237" s="35"/>
      <c r="AD237" s="35"/>
      <c r="AE237" s="53"/>
      <c r="AF237" s="53"/>
      <c r="AG237" s="35"/>
      <c r="AH237" s="53"/>
      <c r="AI237" s="35"/>
      <c r="AJ237" s="90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</row>
    <row r="238" ht="18.75" customHeight="1">
      <c r="A238" s="53"/>
      <c r="B238" s="53"/>
      <c r="C238" s="53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143"/>
      <c r="U238" s="35"/>
      <c r="V238" s="35"/>
      <c r="W238" s="64"/>
      <c r="X238" s="35"/>
      <c r="Y238" s="35"/>
      <c r="Z238" s="35"/>
      <c r="AA238" s="35"/>
      <c r="AB238" s="35"/>
      <c r="AC238" s="35"/>
      <c r="AD238" s="35"/>
      <c r="AE238" s="53"/>
      <c r="AF238" s="53"/>
      <c r="AG238" s="35"/>
      <c r="AH238" s="53"/>
      <c r="AI238" s="35"/>
      <c r="AJ238" s="90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</row>
    <row r="239" ht="18.75" customHeight="1">
      <c r="A239" s="53"/>
      <c r="B239" s="53"/>
      <c r="C239" s="53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143"/>
      <c r="U239" s="35"/>
      <c r="V239" s="35"/>
      <c r="W239" s="64"/>
      <c r="X239" s="35"/>
      <c r="Y239" s="35"/>
      <c r="Z239" s="35"/>
      <c r="AA239" s="35"/>
      <c r="AB239" s="35"/>
      <c r="AC239" s="35"/>
      <c r="AD239" s="35"/>
      <c r="AE239" s="53"/>
      <c r="AF239" s="53"/>
      <c r="AG239" s="35"/>
      <c r="AH239" s="53"/>
      <c r="AI239" s="35"/>
      <c r="AJ239" s="90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</row>
    <row r="240" ht="18.75" customHeight="1">
      <c r="A240" s="53"/>
      <c r="B240" s="53"/>
      <c r="C240" s="53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143"/>
      <c r="U240" s="35"/>
      <c r="V240" s="35"/>
      <c r="W240" s="64"/>
      <c r="X240" s="35"/>
      <c r="Y240" s="35"/>
      <c r="Z240" s="35"/>
      <c r="AA240" s="35"/>
      <c r="AB240" s="35"/>
      <c r="AC240" s="35"/>
      <c r="AD240" s="35"/>
      <c r="AE240" s="53"/>
      <c r="AF240" s="53"/>
      <c r="AG240" s="35"/>
      <c r="AH240" s="53"/>
      <c r="AI240" s="35"/>
      <c r="AJ240" s="90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</row>
    <row r="241" ht="18.75" customHeight="1">
      <c r="A241" s="53"/>
      <c r="B241" s="53"/>
      <c r="C241" s="53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143"/>
      <c r="U241" s="35"/>
      <c r="V241" s="35"/>
      <c r="W241" s="64"/>
      <c r="X241" s="35"/>
      <c r="Y241" s="35"/>
      <c r="Z241" s="35"/>
      <c r="AA241" s="35"/>
      <c r="AB241" s="35"/>
      <c r="AC241" s="35"/>
      <c r="AD241" s="35"/>
      <c r="AE241" s="53"/>
      <c r="AF241" s="53"/>
      <c r="AG241" s="35"/>
      <c r="AH241" s="53"/>
      <c r="AI241" s="35"/>
      <c r="AJ241" s="90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</row>
    <row r="242" ht="18.75" customHeight="1">
      <c r="A242" s="53"/>
      <c r="B242" s="53"/>
      <c r="C242" s="53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143"/>
      <c r="U242" s="35"/>
      <c r="V242" s="35"/>
      <c r="W242" s="64"/>
      <c r="X242" s="35"/>
      <c r="Y242" s="35"/>
      <c r="Z242" s="35"/>
      <c r="AA242" s="35"/>
      <c r="AB242" s="35"/>
      <c r="AC242" s="35"/>
      <c r="AD242" s="35"/>
      <c r="AE242" s="53"/>
      <c r="AF242" s="53"/>
      <c r="AG242" s="35"/>
      <c r="AH242" s="53"/>
      <c r="AI242" s="35"/>
      <c r="AJ242" s="90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</row>
    <row r="243" ht="18.75" customHeight="1">
      <c r="A243" s="53"/>
      <c r="B243" s="53"/>
      <c r="C243" s="53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143"/>
      <c r="U243" s="35"/>
      <c r="V243" s="35"/>
      <c r="W243" s="64"/>
      <c r="X243" s="35"/>
      <c r="Y243" s="35"/>
      <c r="Z243" s="35"/>
      <c r="AA243" s="35"/>
      <c r="AB243" s="35"/>
      <c r="AC243" s="35"/>
      <c r="AD243" s="35"/>
      <c r="AE243" s="53"/>
      <c r="AF243" s="53"/>
      <c r="AG243" s="35"/>
      <c r="AH243" s="53"/>
      <c r="AI243" s="35"/>
      <c r="AJ243" s="90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</row>
    <row r="244" ht="18.75" customHeight="1">
      <c r="A244" s="53"/>
      <c r="B244" s="53"/>
      <c r="C244" s="53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143"/>
      <c r="U244" s="35"/>
      <c r="V244" s="35"/>
      <c r="W244" s="64"/>
      <c r="X244" s="35"/>
      <c r="Y244" s="35"/>
      <c r="Z244" s="35"/>
      <c r="AA244" s="35"/>
      <c r="AB244" s="35"/>
      <c r="AC244" s="35"/>
      <c r="AD244" s="35"/>
      <c r="AE244" s="53"/>
      <c r="AF244" s="53"/>
      <c r="AG244" s="35"/>
      <c r="AH244" s="53"/>
      <c r="AI244" s="35"/>
      <c r="AJ244" s="90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</row>
    <row r="245" ht="18.75" customHeight="1">
      <c r="A245" s="53"/>
      <c r="B245" s="53"/>
      <c r="C245" s="53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143"/>
      <c r="U245" s="35"/>
      <c r="V245" s="35"/>
      <c r="W245" s="64"/>
      <c r="X245" s="35"/>
      <c r="Y245" s="35"/>
      <c r="Z245" s="35"/>
      <c r="AA245" s="35"/>
      <c r="AB245" s="35"/>
      <c r="AC245" s="35"/>
      <c r="AD245" s="35"/>
      <c r="AE245" s="53"/>
      <c r="AF245" s="53"/>
      <c r="AG245" s="35"/>
      <c r="AH245" s="53"/>
      <c r="AI245" s="35"/>
      <c r="AJ245" s="90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</row>
    <row r="246" ht="18.75" customHeight="1">
      <c r="A246" s="53"/>
      <c r="B246" s="53"/>
      <c r="C246" s="53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143"/>
      <c r="U246" s="35"/>
      <c r="V246" s="35"/>
      <c r="W246" s="64"/>
      <c r="X246" s="35"/>
      <c r="Y246" s="35"/>
      <c r="Z246" s="35"/>
      <c r="AA246" s="35"/>
      <c r="AB246" s="35"/>
      <c r="AC246" s="35"/>
      <c r="AD246" s="35"/>
      <c r="AE246" s="53"/>
      <c r="AF246" s="53"/>
      <c r="AG246" s="35"/>
      <c r="AH246" s="53"/>
      <c r="AI246" s="35"/>
      <c r="AJ246" s="90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</row>
    <row r="247" ht="18.75" customHeight="1">
      <c r="A247" s="53"/>
      <c r="B247" s="53"/>
      <c r="C247" s="53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143"/>
      <c r="U247" s="35"/>
      <c r="V247" s="35"/>
      <c r="W247" s="64"/>
      <c r="X247" s="35"/>
      <c r="Y247" s="35"/>
      <c r="Z247" s="35"/>
      <c r="AA247" s="35"/>
      <c r="AB247" s="35"/>
      <c r="AC247" s="35"/>
      <c r="AD247" s="35"/>
      <c r="AE247" s="53"/>
      <c r="AF247" s="53"/>
      <c r="AG247" s="35"/>
      <c r="AH247" s="53"/>
      <c r="AI247" s="35"/>
      <c r="AJ247" s="90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</row>
    <row r="248" ht="18.75" customHeight="1">
      <c r="A248" s="53"/>
      <c r="B248" s="53"/>
      <c r="C248" s="53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143"/>
      <c r="U248" s="35"/>
      <c r="V248" s="35"/>
      <c r="W248" s="64"/>
      <c r="X248" s="35"/>
      <c r="Y248" s="35"/>
      <c r="Z248" s="35"/>
      <c r="AA248" s="35"/>
      <c r="AB248" s="35"/>
      <c r="AC248" s="35"/>
      <c r="AD248" s="35"/>
      <c r="AE248" s="53"/>
      <c r="AF248" s="53"/>
      <c r="AG248" s="35"/>
      <c r="AH248" s="53"/>
      <c r="AI248" s="35"/>
      <c r="AJ248" s="90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</row>
    <row r="249" ht="18.75" customHeight="1">
      <c r="A249" s="53"/>
      <c r="B249" s="53"/>
      <c r="C249" s="53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143"/>
      <c r="U249" s="35"/>
      <c r="V249" s="35"/>
      <c r="W249" s="64"/>
      <c r="X249" s="35"/>
      <c r="Y249" s="35"/>
      <c r="Z249" s="35"/>
      <c r="AA249" s="35"/>
      <c r="AB249" s="35"/>
      <c r="AC249" s="35"/>
      <c r="AD249" s="35"/>
      <c r="AE249" s="53"/>
      <c r="AF249" s="53"/>
      <c r="AG249" s="35"/>
      <c r="AH249" s="53"/>
      <c r="AI249" s="35"/>
      <c r="AJ249" s="90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</row>
    <row r="250" ht="18.75" customHeight="1">
      <c r="A250" s="53"/>
      <c r="B250" s="53"/>
      <c r="C250" s="53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143"/>
      <c r="U250" s="35"/>
      <c r="V250" s="35"/>
      <c r="W250" s="64"/>
      <c r="X250" s="35"/>
      <c r="Y250" s="35"/>
      <c r="Z250" s="35"/>
      <c r="AA250" s="35"/>
      <c r="AB250" s="35"/>
      <c r="AC250" s="35"/>
      <c r="AD250" s="35"/>
      <c r="AE250" s="53"/>
      <c r="AF250" s="53"/>
      <c r="AG250" s="35"/>
      <c r="AH250" s="53"/>
      <c r="AI250" s="35"/>
      <c r="AJ250" s="90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</row>
    <row r="251" ht="18.75" customHeight="1">
      <c r="A251" s="53"/>
      <c r="B251" s="53"/>
      <c r="C251" s="53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143"/>
      <c r="U251" s="35"/>
      <c r="V251" s="35"/>
      <c r="W251" s="64"/>
      <c r="X251" s="35"/>
      <c r="Y251" s="35"/>
      <c r="Z251" s="35"/>
      <c r="AA251" s="35"/>
      <c r="AB251" s="35"/>
      <c r="AC251" s="35"/>
      <c r="AD251" s="35"/>
      <c r="AE251" s="53"/>
      <c r="AF251" s="53"/>
      <c r="AG251" s="35"/>
      <c r="AH251" s="53"/>
      <c r="AI251" s="35"/>
      <c r="AJ251" s="90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</row>
    <row r="252" ht="18.75" customHeight="1">
      <c r="A252" s="53"/>
      <c r="B252" s="53"/>
      <c r="C252" s="53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143"/>
      <c r="U252" s="35"/>
      <c r="V252" s="35"/>
      <c r="W252" s="64"/>
      <c r="X252" s="35"/>
      <c r="Y252" s="35"/>
      <c r="Z252" s="35"/>
      <c r="AA252" s="35"/>
      <c r="AB252" s="35"/>
      <c r="AC252" s="35"/>
      <c r="AD252" s="35"/>
      <c r="AE252" s="53"/>
      <c r="AF252" s="53"/>
      <c r="AG252" s="35"/>
      <c r="AH252" s="53"/>
      <c r="AI252" s="35"/>
      <c r="AJ252" s="90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</row>
    <row r="253" ht="18.75" customHeight="1">
      <c r="A253" s="53"/>
      <c r="B253" s="53"/>
      <c r="C253" s="53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143"/>
      <c r="U253" s="35"/>
      <c r="V253" s="35"/>
      <c r="W253" s="64"/>
      <c r="X253" s="35"/>
      <c r="Y253" s="35"/>
      <c r="Z253" s="35"/>
      <c r="AA253" s="35"/>
      <c r="AB253" s="35"/>
      <c r="AC253" s="35"/>
      <c r="AD253" s="35"/>
      <c r="AE253" s="53"/>
      <c r="AF253" s="53"/>
      <c r="AG253" s="35"/>
      <c r="AH253" s="53"/>
      <c r="AI253" s="35"/>
      <c r="AJ253" s="90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</row>
    <row r="254" ht="18.75" customHeight="1">
      <c r="A254" s="53"/>
      <c r="B254" s="53"/>
      <c r="C254" s="53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143"/>
      <c r="U254" s="35"/>
      <c r="V254" s="35"/>
      <c r="W254" s="64"/>
      <c r="X254" s="35"/>
      <c r="Y254" s="35"/>
      <c r="Z254" s="35"/>
      <c r="AA254" s="35"/>
      <c r="AB254" s="35"/>
      <c r="AC254" s="35"/>
      <c r="AD254" s="35"/>
      <c r="AE254" s="53"/>
      <c r="AF254" s="53"/>
      <c r="AG254" s="35"/>
      <c r="AH254" s="53"/>
      <c r="AI254" s="35"/>
      <c r="AJ254" s="90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</row>
    <row r="255" ht="18.75" customHeight="1">
      <c r="A255" s="53"/>
      <c r="B255" s="53"/>
      <c r="C255" s="53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143"/>
      <c r="U255" s="35"/>
      <c r="V255" s="35"/>
      <c r="W255" s="64"/>
      <c r="X255" s="35"/>
      <c r="Y255" s="35"/>
      <c r="Z255" s="35"/>
      <c r="AA255" s="35"/>
      <c r="AB255" s="35"/>
      <c r="AC255" s="35"/>
      <c r="AD255" s="35"/>
      <c r="AE255" s="53"/>
      <c r="AF255" s="53"/>
      <c r="AG255" s="35"/>
      <c r="AH255" s="53"/>
      <c r="AI255" s="35"/>
      <c r="AJ255" s="90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</row>
    <row r="256" ht="18.75" customHeight="1">
      <c r="A256" s="53"/>
      <c r="B256" s="53"/>
      <c r="C256" s="53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143"/>
      <c r="U256" s="35"/>
      <c r="V256" s="35"/>
      <c r="W256" s="64"/>
      <c r="X256" s="35"/>
      <c r="Y256" s="35"/>
      <c r="Z256" s="35"/>
      <c r="AA256" s="35"/>
      <c r="AB256" s="35"/>
      <c r="AC256" s="35"/>
      <c r="AD256" s="35"/>
      <c r="AE256" s="53"/>
      <c r="AF256" s="53"/>
      <c r="AG256" s="35"/>
      <c r="AH256" s="53"/>
      <c r="AI256" s="35"/>
      <c r="AJ256" s="90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</row>
    <row r="257" ht="18.75" customHeight="1">
      <c r="A257" s="53"/>
      <c r="B257" s="53"/>
      <c r="C257" s="53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143"/>
      <c r="U257" s="35"/>
      <c r="V257" s="35"/>
      <c r="W257" s="64"/>
      <c r="X257" s="35"/>
      <c r="Y257" s="35"/>
      <c r="Z257" s="35"/>
      <c r="AA257" s="35"/>
      <c r="AB257" s="35"/>
      <c r="AC257" s="35"/>
      <c r="AD257" s="35"/>
      <c r="AE257" s="53"/>
      <c r="AF257" s="53"/>
      <c r="AG257" s="35"/>
      <c r="AH257" s="53"/>
      <c r="AI257" s="35"/>
      <c r="AJ257" s="90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</row>
    <row r="258" ht="18.75" customHeight="1">
      <c r="A258" s="53"/>
      <c r="B258" s="53"/>
      <c r="C258" s="53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143"/>
      <c r="U258" s="35"/>
      <c r="V258" s="35"/>
      <c r="W258" s="64"/>
      <c r="X258" s="35"/>
      <c r="Y258" s="35"/>
      <c r="Z258" s="35"/>
      <c r="AA258" s="35"/>
      <c r="AB258" s="35"/>
      <c r="AC258" s="35"/>
      <c r="AD258" s="35"/>
      <c r="AE258" s="53"/>
      <c r="AF258" s="53"/>
      <c r="AG258" s="35"/>
      <c r="AH258" s="53"/>
      <c r="AI258" s="35"/>
      <c r="AJ258" s="90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</row>
    <row r="259" ht="18.75" customHeight="1">
      <c r="A259" s="53"/>
      <c r="B259" s="53"/>
      <c r="C259" s="53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143"/>
      <c r="U259" s="35"/>
      <c r="V259" s="35"/>
      <c r="W259" s="64"/>
      <c r="X259" s="35"/>
      <c r="Y259" s="35"/>
      <c r="Z259" s="35"/>
      <c r="AA259" s="35"/>
      <c r="AB259" s="35"/>
      <c r="AC259" s="35"/>
      <c r="AD259" s="35"/>
      <c r="AE259" s="53"/>
      <c r="AF259" s="53"/>
      <c r="AG259" s="35"/>
      <c r="AH259" s="53"/>
      <c r="AI259" s="35"/>
      <c r="AJ259" s="90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</row>
    <row r="260" ht="18.75" customHeight="1">
      <c r="A260" s="53"/>
      <c r="B260" s="53"/>
      <c r="C260" s="53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143"/>
      <c r="U260" s="35"/>
      <c r="V260" s="35"/>
      <c r="W260" s="64"/>
      <c r="X260" s="35"/>
      <c r="Y260" s="35"/>
      <c r="Z260" s="35"/>
      <c r="AA260" s="35"/>
      <c r="AB260" s="35"/>
      <c r="AC260" s="35"/>
      <c r="AD260" s="35"/>
      <c r="AE260" s="53"/>
      <c r="AF260" s="53"/>
      <c r="AG260" s="35"/>
      <c r="AH260" s="53"/>
      <c r="AI260" s="35"/>
      <c r="AJ260" s="90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</row>
    <row r="261" ht="18.75" customHeight="1">
      <c r="A261" s="53"/>
      <c r="B261" s="53"/>
      <c r="C261" s="53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143"/>
      <c r="U261" s="35"/>
      <c r="V261" s="35"/>
      <c r="W261" s="64"/>
      <c r="X261" s="35"/>
      <c r="Y261" s="35"/>
      <c r="Z261" s="35"/>
      <c r="AA261" s="35"/>
      <c r="AB261" s="35"/>
      <c r="AC261" s="35"/>
      <c r="AD261" s="35"/>
      <c r="AE261" s="53"/>
      <c r="AF261" s="53"/>
      <c r="AG261" s="35"/>
      <c r="AH261" s="53"/>
      <c r="AI261" s="35"/>
      <c r="AJ261" s="90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</row>
    <row r="262" ht="18.75" customHeight="1">
      <c r="A262" s="53"/>
      <c r="B262" s="53"/>
      <c r="C262" s="53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143"/>
      <c r="U262" s="35"/>
      <c r="V262" s="35"/>
      <c r="W262" s="64"/>
      <c r="X262" s="35"/>
      <c r="Y262" s="35"/>
      <c r="Z262" s="35"/>
      <c r="AA262" s="35"/>
      <c r="AB262" s="35"/>
      <c r="AC262" s="35"/>
      <c r="AD262" s="35"/>
      <c r="AE262" s="53"/>
      <c r="AF262" s="53"/>
      <c r="AG262" s="35"/>
      <c r="AH262" s="53"/>
      <c r="AI262" s="35"/>
      <c r="AJ262" s="90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</row>
    <row r="263" ht="18.75" customHeight="1">
      <c r="A263" s="53"/>
      <c r="B263" s="53"/>
      <c r="C263" s="53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143"/>
      <c r="U263" s="35"/>
      <c r="V263" s="35"/>
      <c r="W263" s="64"/>
      <c r="X263" s="35"/>
      <c r="Y263" s="35"/>
      <c r="Z263" s="35"/>
      <c r="AA263" s="35"/>
      <c r="AB263" s="35"/>
      <c r="AC263" s="35"/>
      <c r="AD263" s="35"/>
      <c r="AE263" s="53"/>
      <c r="AF263" s="53"/>
      <c r="AG263" s="35"/>
      <c r="AH263" s="53"/>
      <c r="AI263" s="35"/>
      <c r="AJ263" s="90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</row>
    <row r="264" ht="18.75" customHeight="1">
      <c r="A264" s="53"/>
      <c r="B264" s="53"/>
      <c r="C264" s="53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143"/>
      <c r="U264" s="35"/>
      <c r="V264" s="35"/>
      <c r="W264" s="64"/>
      <c r="X264" s="35"/>
      <c r="Y264" s="35"/>
      <c r="Z264" s="35"/>
      <c r="AA264" s="35"/>
      <c r="AB264" s="35"/>
      <c r="AC264" s="35"/>
      <c r="AD264" s="35"/>
      <c r="AE264" s="53"/>
      <c r="AF264" s="53"/>
      <c r="AG264" s="35"/>
      <c r="AH264" s="53"/>
      <c r="AI264" s="35"/>
      <c r="AJ264" s="90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</row>
    <row r="265" ht="18.75" customHeight="1">
      <c r="A265" s="53"/>
      <c r="B265" s="53"/>
      <c r="C265" s="53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143"/>
      <c r="U265" s="35"/>
      <c r="V265" s="35"/>
      <c r="W265" s="64"/>
      <c r="X265" s="35"/>
      <c r="Y265" s="35"/>
      <c r="Z265" s="35"/>
      <c r="AA265" s="35"/>
      <c r="AB265" s="35"/>
      <c r="AC265" s="35"/>
      <c r="AD265" s="35"/>
      <c r="AE265" s="53"/>
      <c r="AF265" s="53"/>
      <c r="AG265" s="35"/>
      <c r="AH265" s="53"/>
      <c r="AI265" s="35"/>
      <c r="AJ265" s="90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</row>
    <row r="266" ht="18.75" customHeight="1">
      <c r="A266" s="53"/>
      <c r="B266" s="53"/>
      <c r="C266" s="53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143"/>
      <c r="U266" s="35"/>
      <c r="V266" s="35"/>
      <c r="W266" s="64"/>
      <c r="X266" s="35"/>
      <c r="Y266" s="35"/>
      <c r="Z266" s="35"/>
      <c r="AA266" s="35"/>
      <c r="AB266" s="35"/>
      <c r="AC266" s="35"/>
      <c r="AD266" s="35"/>
      <c r="AE266" s="53"/>
      <c r="AF266" s="53"/>
      <c r="AG266" s="35"/>
      <c r="AH266" s="53"/>
      <c r="AI266" s="35"/>
      <c r="AJ266" s="90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</row>
    <row r="267" ht="18.75" customHeight="1">
      <c r="A267" s="53"/>
      <c r="B267" s="53"/>
      <c r="C267" s="53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143"/>
      <c r="U267" s="35"/>
      <c r="V267" s="35"/>
      <c r="W267" s="64"/>
      <c r="X267" s="35"/>
      <c r="Y267" s="35"/>
      <c r="Z267" s="35"/>
      <c r="AA267" s="35"/>
      <c r="AB267" s="35"/>
      <c r="AC267" s="35"/>
      <c r="AD267" s="35"/>
      <c r="AE267" s="53"/>
      <c r="AF267" s="53"/>
      <c r="AG267" s="35"/>
      <c r="AH267" s="53"/>
      <c r="AI267" s="35"/>
      <c r="AJ267" s="90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</row>
    <row r="268" ht="18.75" customHeight="1">
      <c r="A268" s="53"/>
      <c r="B268" s="53"/>
      <c r="C268" s="53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143"/>
      <c r="U268" s="35"/>
      <c r="V268" s="35"/>
      <c r="W268" s="64"/>
      <c r="X268" s="35"/>
      <c r="Y268" s="35"/>
      <c r="Z268" s="35"/>
      <c r="AA268" s="35"/>
      <c r="AB268" s="35"/>
      <c r="AC268" s="35"/>
      <c r="AD268" s="35"/>
      <c r="AE268" s="53"/>
      <c r="AF268" s="53"/>
      <c r="AG268" s="35"/>
      <c r="AH268" s="53"/>
      <c r="AI268" s="35"/>
      <c r="AJ268" s="90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</row>
    <row r="269" ht="18.75" customHeight="1">
      <c r="A269" s="53"/>
      <c r="B269" s="53"/>
      <c r="C269" s="53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143"/>
      <c r="U269" s="35"/>
      <c r="V269" s="35"/>
      <c r="W269" s="64"/>
      <c r="X269" s="35"/>
      <c r="Y269" s="35"/>
      <c r="Z269" s="35"/>
      <c r="AA269" s="35"/>
      <c r="AB269" s="35"/>
      <c r="AC269" s="35"/>
      <c r="AD269" s="35"/>
      <c r="AE269" s="53"/>
      <c r="AF269" s="53"/>
      <c r="AG269" s="35"/>
      <c r="AH269" s="53"/>
      <c r="AI269" s="35"/>
      <c r="AJ269" s="90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</row>
    <row r="270" ht="18.75" customHeight="1">
      <c r="A270" s="53"/>
      <c r="B270" s="53"/>
      <c r="C270" s="53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143"/>
      <c r="U270" s="35"/>
      <c r="V270" s="35"/>
      <c r="W270" s="64"/>
      <c r="X270" s="35"/>
      <c r="Y270" s="35"/>
      <c r="Z270" s="35"/>
      <c r="AA270" s="35"/>
      <c r="AB270" s="35"/>
      <c r="AC270" s="35"/>
      <c r="AD270" s="35"/>
      <c r="AE270" s="53"/>
      <c r="AF270" s="53"/>
      <c r="AG270" s="35"/>
      <c r="AH270" s="53"/>
      <c r="AI270" s="35"/>
      <c r="AJ270" s="90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</row>
    <row r="271" ht="18.75" customHeight="1">
      <c r="A271" s="53"/>
      <c r="B271" s="53"/>
      <c r="C271" s="53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143"/>
      <c r="U271" s="35"/>
      <c r="V271" s="35"/>
      <c r="W271" s="64"/>
      <c r="X271" s="35"/>
      <c r="Y271" s="35"/>
      <c r="Z271" s="35"/>
      <c r="AA271" s="35"/>
      <c r="AB271" s="35"/>
      <c r="AC271" s="35"/>
      <c r="AD271" s="35"/>
      <c r="AE271" s="53"/>
      <c r="AF271" s="53"/>
      <c r="AG271" s="35"/>
      <c r="AH271" s="53"/>
      <c r="AI271" s="35"/>
      <c r="AJ271" s="90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</row>
    <row r="272" ht="18.75" customHeight="1">
      <c r="A272" s="53"/>
      <c r="B272" s="53"/>
      <c r="C272" s="53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143"/>
      <c r="U272" s="35"/>
      <c r="V272" s="35"/>
      <c r="W272" s="64"/>
      <c r="X272" s="35"/>
      <c r="Y272" s="35"/>
      <c r="Z272" s="35"/>
      <c r="AA272" s="35"/>
      <c r="AB272" s="35"/>
      <c r="AC272" s="35"/>
      <c r="AD272" s="35"/>
      <c r="AE272" s="53"/>
      <c r="AF272" s="53"/>
      <c r="AG272" s="35"/>
      <c r="AH272" s="53"/>
      <c r="AI272" s="35"/>
      <c r="AJ272" s="90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</row>
    <row r="273" ht="18.75" customHeight="1">
      <c r="A273" s="53"/>
      <c r="B273" s="53"/>
      <c r="C273" s="53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143"/>
      <c r="U273" s="35"/>
      <c r="V273" s="35"/>
      <c r="W273" s="64"/>
      <c r="X273" s="35"/>
      <c r="Y273" s="35"/>
      <c r="Z273" s="35"/>
      <c r="AA273" s="35"/>
      <c r="AB273" s="35"/>
      <c r="AC273" s="35"/>
      <c r="AD273" s="35"/>
      <c r="AE273" s="53"/>
      <c r="AF273" s="53"/>
      <c r="AG273" s="35"/>
      <c r="AH273" s="53"/>
      <c r="AI273" s="35"/>
      <c r="AJ273" s="90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</row>
    <row r="274" ht="18.75" customHeight="1">
      <c r="A274" s="53"/>
      <c r="B274" s="53"/>
      <c r="C274" s="53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143"/>
      <c r="U274" s="35"/>
      <c r="V274" s="35"/>
      <c r="W274" s="64"/>
      <c r="X274" s="35"/>
      <c r="Y274" s="35"/>
      <c r="Z274" s="35"/>
      <c r="AA274" s="35"/>
      <c r="AB274" s="35"/>
      <c r="AC274" s="35"/>
      <c r="AD274" s="35"/>
      <c r="AE274" s="53"/>
      <c r="AF274" s="53"/>
      <c r="AG274" s="35"/>
      <c r="AH274" s="53"/>
      <c r="AI274" s="35"/>
      <c r="AJ274" s="90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</row>
    <row r="275" ht="18.75" customHeight="1">
      <c r="A275" s="53"/>
      <c r="B275" s="53"/>
      <c r="C275" s="53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143"/>
      <c r="U275" s="35"/>
      <c r="V275" s="35"/>
      <c r="W275" s="64"/>
      <c r="X275" s="35"/>
      <c r="Y275" s="35"/>
      <c r="Z275" s="35"/>
      <c r="AA275" s="35"/>
      <c r="AB275" s="35"/>
      <c r="AC275" s="35"/>
      <c r="AD275" s="35"/>
      <c r="AE275" s="53"/>
      <c r="AF275" s="53"/>
      <c r="AG275" s="35"/>
      <c r="AH275" s="53"/>
      <c r="AI275" s="35"/>
      <c r="AJ275" s="90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</row>
    <row r="276" ht="18.75" customHeight="1">
      <c r="A276" s="53"/>
      <c r="B276" s="53"/>
      <c r="C276" s="53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143"/>
      <c r="U276" s="35"/>
      <c r="V276" s="35"/>
      <c r="W276" s="64"/>
      <c r="X276" s="35"/>
      <c r="Y276" s="35"/>
      <c r="Z276" s="35"/>
      <c r="AA276" s="35"/>
      <c r="AB276" s="35"/>
      <c r="AC276" s="35"/>
      <c r="AD276" s="35"/>
      <c r="AE276" s="53"/>
      <c r="AF276" s="53"/>
      <c r="AG276" s="35"/>
      <c r="AH276" s="53"/>
      <c r="AI276" s="35"/>
      <c r="AJ276" s="90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</row>
    <row r="277" ht="18.75" customHeight="1">
      <c r="A277" s="53"/>
      <c r="B277" s="53"/>
      <c r="C277" s="53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143"/>
      <c r="U277" s="35"/>
      <c r="V277" s="35"/>
      <c r="W277" s="64"/>
      <c r="X277" s="35"/>
      <c r="Y277" s="35"/>
      <c r="Z277" s="35"/>
      <c r="AA277" s="35"/>
      <c r="AB277" s="35"/>
      <c r="AC277" s="35"/>
      <c r="AD277" s="35"/>
      <c r="AE277" s="53"/>
      <c r="AF277" s="53"/>
      <c r="AG277" s="35"/>
      <c r="AH277" s="53"/>
      <c r="AI277" s="35"/>
      <c r="AJ277" s="90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</row>
    <row r="278" ht="18.75" customHeight="1">
      <c r="A278" s="53"/>
      <c r="B278" s="53"/>
      <c r="C278" s="53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143"/>
      <c r="U278" s="35"/>
      <c r="V278" s="35"/>
      <c r="W278" s="64"/>
      <c r="X278" s="35"/>
      <c r="Y278" s="35"/>
      <c r="Z278" s="35"/>
      <c r="AA278" s="35"/>
      <c r="AB278" s="35"/>
      <c r="AC278" s="35"/>
      <c r="AD278" s="35"/>
      <c r="AE278" s="53"/>
      <c r="AF278" s="53"/>
      <c r="AG278" s="35"/>
      <c r="AH278" s="53"/>
      <c r="AI278" s="35"/>
      <c r="AJ278" s="90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</row>
    <row r="279" ht="18.75" customHeight="1">
      <c r="A279" s="53"/>
      <c r="B279" s="53"/>
      <c r="C279" s="53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143"/>
      <c r="U279" s="35"/>
      <c r="V279" s="35"/>
      <c r="W279" s="64"/>
      <c r="X279" s="35"/>
      <c r="Y279" s="35"/>
      <c r="Z279" s="35"/>
      <c r="AA279" s="35"/>
      <c r="AB279" s="35"/>
      <c r="AC279" s="35"/>
      <c r="AD279" s="35"/>
      <c r="AE279" s="53"/>
      <c r="AF279" s="53"/>
      <c r="AG279" s="35"/>
      <c r="AH279" s="53"/>
      <c r="AI279" s="35"/>
      <c r="AJ279" s="90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</row>
    <row r="280" ht="18.75" customHeight="1">
      <c r="A280" s="53"/>
      <c r="B280" s="53"/>
      <c r="C280" s="53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143"/>
      <c r="U280" s="35"/>
      <c r="V280" s="35"/>
      <c r="W280" s="64"/>
      <c r="X280" s="35"/>
      <c r="Y280" s="35"/>
      <c r="Z280" s="35"/>
      <c r="AA280" s="35"/>
      <c r="AB280" s="35"/>
      <c r="AC280" s="35"/>
      <c r="AD280" s="35"/>
      <c r="AE280" s="53"/>
      <c r="AF280" s="53"/>
      <c r="AG280" s="35"/>
      <c r="AH280" s="53"/>
      <c r="AI280" s="35"/>
      <c r="AJ280" s="90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</row>
    <row r="281" ht="18.75" customHeight="1">
      <c r="A281" s="53"/>
      <c r="B281" s="53"/>
      <c r="C281" s="53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143"/>
      <c r="U281" s="35"/>
      <c r="V281" s="35"/>
      <c r="W281" s="64"/>
      <c r="X281" s="35"/>
      <c r="Y281" s="35"/>
      <c r="Z281" s="35"/>
      <c r="AA281" s="35"/>
      <c r="AB281" s="35"/>
      <c r="AC281" s="35"/>
      <c r="AD281" s="35"/>
      <c r="AE281" s="53"/>
      <c r="AF281" s="53"/>
      <c r="AG281" s="35"/>
      <c r="AH281" s="53"/>
      <c r="AI281" s="35"/>
      <c r="AJ281" s="90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</row>
    <row r="282" ht="18.75" customHeight="1">
      <c r="A282" s="53"/>
      <c r="B282" s="53"/>
      <c r="C282" s="53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143"/>
      <c r="U282" s="35"/>
      <c r="V282" s="35"/>
      <c r="W282" s="64"/>
      <c r="X282" s="35"/>
      <c r="Y282" s="35"/>
      <c r="Z282" s="35"/>
      <c r="AA282" s="35"/>
      <c r="AB282" s="35"/>
      <c r="AC282" s="35"/>
      <c r="AD282" s="35"/>
      <c r="AE282" s="53"/>
      <c r="AF282" s="53"/>
      <c r="AG282" s="35"/>
      <c r="AH282" s="53"/>
      <c r="AI282" s="35"/>
      <c r="AJ282" s="90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</row>
    <row r="283" ht="18.75" customHeight="1">
      <c r="A283" s="53"/>
      <c r="B283" s="53"/>
      <c r="C283" s="53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143"/>
      <c r="U283" s="35"/>
      <c r="V283" s="35"/>
      <c r="W283" s="64"/>
      <c r="X283" s="35"/>
      <c r="Y283" s="35"/>
      <c r="Z283" s="35"/>
      <c r="AA283" s="35"/>
      <c r="AB283" s="35"/>
      <c r="AC283" s="35"/>
      <c r="AD283" s="35"/>
      <c r="AE283" s="53"/>
      <c r="AF283" s="53"/>
      <c r="AG283" s="35"/>
      <c r="AH283" s="53"/>
      <c r="AI283" s="35"/>
      <c r="AJ283" s="90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</row>
    <row r="284" ht="18.75" customHeight="1">
      <c r="A284" s="53"/>
      <c r="B284" s="53"/>
      <c r="C284" s="53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143"/>
      <c r="U284" s="35"/>
      <c r="V284" s="35"/>
      <c r="W284" s="64"/>
      <c r="X284" s="35"/>
      <c r="Y284" s="35"/>
      <c r="Z284" s="35"/>
      <c r="AA284" s="35"/>
      <c r="AB284" s="35"/>
      <c r="AC284" s="35"/>
      <c r="AD284" s="35"/>
      <c r="AE284" s="53"/>
      <c r="AF284" s="53"/>
      <c r="AG284" s="35"/>
      <c r="AH284" s="53"/>
      <c r="AI284" s="35"/>
      <c r="AJ284" s="90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</row>
    <row r="285" ht="18.75" customHeight="1">
      <c r="A285" s="53"/>
      <c r="B285" s="53"/>
      <c r="C285" s="53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143"/>
      <c r="U285" s="35"/>
      <c r="V285" s="35"/>
      <c r="W285" s="64"/>
      <c r="X285" s="35"/>
      <c r="Y285" s="35"/>
      <c r="Z285" s="35"/>
      <c r="AA285" s="35"/>
      <c r="AB285" s="35"/>
      <c r="AC285" s="35"/>
      <c r="AD285" s="35"/>
      <c r="AE285" s="53"/>
      <c r="AF285" s="53"/>
      <c r="AG285" s="35"/>
      <c r="AH285" s="53"/>
      <c r="AI285" s="35"/>
      <c r="AJ285" s="90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</row>
    <row r="286" ht="18.75" customHeight="1">
      <c r="A286" s="53"/>
      <c r="B286" s="53"/>
      <c r="C286" s="53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143"/>
      <c r="U286" s="35"/>
      <c r="V286" s="35"/>
      <c r="W286" s="64"/>
      <c r="X286" s="35"/>
      <c r="Y286" s="35"/>
      <c r="Z286" s="35"/>
      <c r="AA286" s="35"/>
      <c r="AB286" s="35"/>
      <c r="AC286" s="35"/>
      <c r="AD286" s="35"/>
      <c r="AE286" s="53"/>
      <c r="AF286" s="53"/>
      <c r="AG286" s="35"/>
      <c r="AH286" s="53"/>
      <c r="AI286" s="35"/>
      <c r="AJ286" s="90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</row>
    <row r="287" ht="18.75" customHeight="1">
      <c r="A287" s="53"/>
      <c r="B287" s="53"/>
      <c r="C287" s="53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143"/>
      <c r="U287" s="35"/>
      <c r="V287" s="35"/>
      <c r="W287" s="64"/>
      <c r="X287" s="35"/>
      <c r="Y287" s="35"/>
      <c r="Z287" s="35"/>
      <c r="AA287" s="35"/>
      <c r="AB287" s="35"/>
      <c r="AC287" s="35"/>
      <c r="AD287" s="35"/>
      <c r="AE287" s="53"/>
      <c r="AF287" s="53"/>
      <c r="AG287" s="35"/>
      <c r="AH287" s="53"/>
      <c r="AI287" s="35"/>
      <c r="AJ287" s="90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</row>
    <row r="288" ht="18.75" customHeight="1">
      <c r="A288" s="53"/>
      <c r="B288" s="53"/>
      <c r="C288" s="53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143"/>
      <c r="U288" s="35"/>
      <c r="V288" s="35"/>
      <c r="W288" s="64"/>
      <c r="X288" s="35"/>
      <c r="Y288" s="35"/>
      <c r="Z288" s="35"/>
      <c r="AA288" s="35"/>
      <c r="AB288" s="35"/>
      <c r="AC288" s="35"/>
      <c r="AD288" s="35"/>
      <c r="AE288" s="53"/>
      <c r="AF288" s="53"/>
      <c r="AG288" s="35"/>
      <c r="AH288" s="53"/>
      <c r="AI288" s="35"/>
      <c r="AJ288" s="90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</row>
    <row r="289" ht="18.75" customHeight="1">
      <c r="A289" s="53"/>
      <c r="B289" s="53"/>
      <c r="C289" s="53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143"/>
      <c r="U289" s="35"/>
      <c r="V289" s="35"/>
      <c r="W289" s="64"/>
      <c r="X289" s="35"/>
      <c r="Y289" s="35"/>
      <c r="Z289" s="35"/>
      <c r="AA289" s="35"/>
      <c r="AB289" s="35"/>
      <c r="AC289" s="35"/>
      <c r="AD289" s="35"/>
      <c r="AE289" s="53"/>
      <c r="AF289" s="53"/>
      <c r="AG289" s="35"/>
      <c r="AH289" s="53"/>
      <c r="AI289" s="35"/>
      <c r="AJ289" s="90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</row>
    <row r="290" ht="18.75" customHeight="1">
      <c r="A290" s="53"/>
      <c r="B290" s="53"/>
      <c r="C290" s="53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143"/>
      <c r="U290" s="35"/>
      <c r="V290" s="35"/>
      <c r="W290" s="64"/>
      <c r="X290" s="35"/>
      <c r="Y290" s="35"/>
      <c r="Z290" s="35"/>
      <c r="AA290" s="35"/>
      <c r="AB290" s="35"/>
      <c r="AC290" s="35"/>
      <c r="AD290" s="35"/>
      <c r="AE290" s="53"/>
      <c r="AF290" s="53"/>
      <c r="AG290" s="35"/>
      <c r="AH290" s="53"/>
      <c r="AI290" s="35"/>
      <c r="AJ290" s="90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</row>
    <row r="291" ht="18.75" customHeight="1">
      <c r="A291" s="53"/>
      <c r="B291" s="53"/>
      <c r="C291" s="53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143"/>
      <c r="U291" s="35"/>
      <c r="V291" s="35"/>
      <c r="W291" s="64"/>
      <c r="X291" s="35"/>
      <c r="Y291" s="35"/>
      <c r="Z291" s="35"/>
      <c r="AA291" s="35"/>
      <c r="AB291" s="35"/>
      <c r="AC291" s="35"/>
      <c r="AD291" s="35"/>
      <c r="AE291" s="53"/>
      <c r="AF291" s="53"/>
      <c r="AG291" s="35"/>
      <c r="AH291" s="53"/>
      <c r="AI291" s="35"/>
      <c r="AJ291" s="90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</row>
    <row r="292" ht="18.75" customHeight="1">
      <c r="A292" s="53"/>
      <c r="B292" s="53"/>
      <c r="C292" s="53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143"/>
      <c r="U292" s="35"/>
      <c r="V292" s="35"/>
      <c r="W292" s="64"/>
      <c r="X292" s="35"/>
      <c r="Y292" s="35"/>
      <c r="Z292" s="35"/>
      <c r="AA292" s="35"/>
      <c r="AB292" s="35"/>
      <c r="AC292" s="35"/>
      <c r="AD292" s="35"/>
      <c r="AE292" s="53"/>
      <c r="AF292" s="53"/>
      <c r="AG292" s="35"/>
      <c r="AH292" s="53"/>
      <c r="AI292" s="35"/>
      <c r="AJ292" s="90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</row>
    <row r="293" ht="18.75" customHeight="1">
      <c r="A293" s="53"/>
      <c r="B293" s="53"/>
      <c r="C293" s="53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143"/>
      <c r="U293" s="35"/>
      <c r="V293" s="35"/>
      <c r="W293" s="64"/>
      <c r="X293" s="35"/>
      <c r="Y293" s="35"/>
      <c r="Z293" s="35"/>
      <c r="AA293" s="35"/>
      <c r="AB293" s="35"/>
      <c r="AC293" s="35"/>
      <c r="AD293" s="35"/>
      <c r="AE293" s="53"/>
      <c r="AF293" s="53"/>
      <c r="AG293" s="35"/>
      <c r="AH293" s="53"/>
      <c r="AI293" s="35"/>
      <c r="AJ293" s="90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</row>
    <row r="294" ht="18.75" customHeight="1">
      <c r="A294" s="53"/>
      <c r="B294" s="53"/>
      <c r="C294" s="53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143"/>
      <c r="U294" s="35"/>
      <c r="V294" s="35"/>
      <c r="W294" s="64"/>
      <c r="X294" s="35"/>
      <c r="Y294" s="35"/>
      <c r="Z294" s="35"/>
      <c r="AA294" s="35"/>
      <c r="AB294" s="35"/>
      <c r="AC294" s="35"/>
      <c r="AD294" s="35"/>
      <c r="AE294" s="53"/>
      <c r="AF294" s="53"/>
      <c r="AG294" s="35"/>
      <c r="AH294" s="53"/>
      <c r="AI294" s="35"/>
      <c r="AJ294" s="90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</row>
    <row r="295" ht="18.75" customHeight="1">
      <c r="A295" s="53"/>
      <c r="B295" s="53"/>
      <c r="C295" s="53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143"/>
      <c r="U295" s="35"/>
      <c r="V295" s="35"/>
      <c r="W295" s="64"/>
      <c r="X295" s="35"/>
      <c r="Y295" s="35"/>
      <c r="Z295" s="35"/>
      <c r="AA295" s="35"/>
      <c r="AB295" s="35"/>
      <c r="AC295" s="35"/>
      <c r="AD295" s="35"/>
      <c r="AE295" s="53"/>
      <c r="AF295" s="53"/>
      <c r="AG295" s="35"/>
      <c r="AH295" s="53"/>
      <c r="AI295" s="35"/>
      <c r="AJ295" s="90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</row>
    <row r="296" ht="18.75" customHeight="1">
      <c r="A296" s="53"/>
      <c r="B296" s="53"/>
      <c r="C296" s="53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143"/>
      <c r="U296" s="35"/>
      <c r="V296" s="35"/>
      <c r="W296" s="64"/>
      <c r="X296" s="35"/>
      <c r="Y296" s="35"/>
      <c r="Z296" s="35"/>
      <c r="AA296" s="35"/>
      <c r="AB296" s="35"/>
      <c r="AC296" s="35"/>
      <c r="AD296" s="35"/>
      <c r="AE296" s="53"/>
      <c r="AF296" s="53"/>
      <c r="AG296" s="35"/>
      <c r="AH296" s="53"/>
      <c r="AI296" s="35"/>
      <c r="AJ296" s="90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</row>
    <row r="297" ht="18.75" customHeight="1">
      <c r="A297" s="53"/>
      <c r="B297" s="53"/>
      <c r="C297" s="53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143"/>
      <c r="U297" s="35"/>
      <c r="V297" s="35"/>
      <c r="W297" s="64"/>
      <c r="X297" s="35"/>
      <c r="Y297" s="35"/>
      <c r="Z297" s="35"/>
      <c r="AA297" s="35"/>
      <c r="AB297" s="35"/>
      <c r="AC297" s="35"/>
      <c r="AD297" s="35"/>
      <c r="AE297" s="53"/>
      <c r="AF297" s="53"/>
      <c r="AG297" s="35"/>
      <c r="AH297" s="53"/>
      <c r="AI297" s="35"/>
      <c r="AJ297" s="90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</row>
    <row r="298" ht="18.75" customHeight="1">
      <c r="A298" s="53"/>
      <c r="B298" s="53"/>
      <c r="C298" s="53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143"/>
      <c r="U298" s="35"/>
      <c r="V298" s="35"/>
      <c r="W298" s="64"/>
      <c r="X298" s="35"/>
      <c r="Y298" s="35"/>
      <c r="Z298" s="35"/>
      <c r="AA298" s="35"/>
      <c r="AB298" s="35"/>
      <c r="AC298" s="35"/>
      <c r="AD298" s="35"/>
      <c r="AE298" s="53"/>
      <c r="AF298" s="53"/>
      <c r="AG298" s="35"/>
      <c r="AH298" s="53"/>
      <c r="AI298" s="35"/>
      <c r="AJ298" s="90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</row>
    <row r="299" ht="18.75" customHeight="1">
      <c r="A299" s="53"/>
      <c r="B299" s="53"/>
      <c r="C299" s="53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143"/>
      <c r="U299" s="35"/>
      <c r="V299" s="35"/>
      <c r="W299" s="64"/>
      <c r="X299" s="35"/>
      <c r="Y299" s="35"/>
      <c r="Z299" s="35"/>
      <c r="AA299" s="35"/>
      <c r="AB299" s="35"/>
      <c r="AC299" s="35"/>
      <c r="AD299" s="35"/>
      <c r="AE299" s="53"/>
      <c r="AF299" s="53"/>
      <c r="AG299" s="35"/>
      <c r="AH299" s="53"/>
      <c r="AI299" s="35"/>
      <c r="AJ299" s="90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</row>
    <row r="300" ht="18.75" customHeight="1">
      <c r="A300" s="53"/>
      <c r="B300" s="53"/>
      <c r="C300" s="53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143"/>
      <c r="U300" s="35"/>
      <c r="V300" s="35"/>
      <c r="W300" s="64"/>
      <c r="X300" s="35"/>
      <c r="Y300" s="35"/>
      <c r="Z300" s="35"/>
      <c r="AA300" s="35"/>
      <c r="AB300" s="35"/>
      <c r="AC300" s="35"/>
      <c r="AD300" s="35"/>
      <c r="AE300" s="53"/>
      <c r="AF300" s="53"/>
      <c r="AG300" s="35"/>
      <c r="AH300" s="53"/>
      <c r="AI300" s="35"/>
      <c r="AJ300" s="90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</row>
  </sheetData>
  <mergeCells count="273">
    <mergeCell ref="F113:G113"/>
    <mergeCell ref="F115:G115"/>
    <mergeCell ref="D101:E101"/>
    <mergeCell ref="F101:G101"/>
    <mergeCell ref="D102:E102"/>
    <mergeCell ref="F103:G103"/>
    <mergeCell ref="C111:E111"/>
    <mergeCell ref="D113:E113"/>
    <mergeCell ref="D114:E114"/>
    <mergeCell ref="F137:G137"/>
    <mergeCell ref="F139:G139"/>
    <mergeCell ref="C123:E123"/>
    <mergeCell ref="D125:E125"/>
    <mergeCell ref="F125:G125"/>
    <mergeCell ref="C135:E135"/>
    <mergeCell ref="D137:E137"/>
    <mergeCell ref="D138:E138"/>
    <mergeCell ref="C147:E147"/>
    <mergeCell ref="C159:E159"/>
    <mergeCell ref="D161:E161"/>
    <mergeCell ref="B136:B144"/>
    <mergeCell ref="B148:B156"/>
    <mergeCell ref="D149:E149"/>
    <mergeCell ref="F149:G149"/>
    <mergeCell ref="D150:E150"/>
    <mergeCell ref="F151:G151"/>
    <mergeCell ref="F163:G163"/>
    <mergeCell ref="B172:B180"/>
    <mergeCell ref="B184:B192"/>
    <mergeCell ref="D185:E185"/>
    <mergeCell ref="F185:G185"/>
    <mergeCell ref="D186:E186"/>
    <mergeCell ref="F187:G187"/>
    <mergeCell ref="B160:B168"/>
    <mergeCell ref="C171:E171"/>
    <mergeCell ref="D173:E173"/>
    <mergeCell ref="F173:G173"/>
    <mergeCell ref="D174:E174"/>
    <mergeCell ref="F175:G175"/>
    <mergeCell ref="C183:E183"/>
    <mergeCell ref="F5:G5"/>
    <mergeCell ref="F7:G7"/>
    <mergeCell ref="C15:E15"/>
    <mergeCell ref="D17:E17"/>
    <mergeCell ref="F17:G17"/>
    <mergeCell ref="D18:E18"/>
    <mergeCell ref="C27:E27"/>
    <mergeCell ref="F41:G41"/>
    <mergeCell ref="F43:G43"/>
    <mergeCell ref="D29:E29"/>
    <mergeCell ref="F29:G29"/>
    <mergeCell ref="D30:E30"/>
    <mergeCell ref="F31:G31"/>
    <mergeCell ref="C39:E39"/>
    <mergeCell ref="D41:E41"/>
    <mergeCell ref="D42:E42"/>
    <mergeCell ref="C51:E51"/>
    <mergeCell ref="D53:E53"/>
    <mergeCell ref="F53:G53"/>
    <mergeCell ref="D54:E54"/>
    <mergeCell ref="F55:G55"/>
    <mergeCell ref="C63:E63"/>
    <mergeCell ref="F65:G65"/>
    <mergeCell ref="D65:E65"/>
    <mergeCell ref="D66:E66"/>
    <mergeCell ref="F67:G67"/>
    <mergeCell ref="C75:E75"/>
    <mergeCell ref="D77:E77"/>
    <mergeCell ref="F77:G77"/>
    <mergeCell ref="F79:G79"/>
    <mergeCell ref="D78:E78"/>
    <mergeCell ref="C87:E87"/>
    <mergeCell ref="D89:E89"/>
    <mergeCell ref="F89:G89"/>
    <mergeCell ref="D90:E90"/>
    <mergeCell ref="F91:G91"/>
    <mergeCell ref="C99:E99"/>
    <mergeCell ref="F161:G161"/>
    <mergeCell ref="D162:E162"/>
    <mergeCell ref="H149:I149"/>
    <mergeCell ref="H152:I152"/>
    <mergeCell ref="J153:K153"/>
    <mergeCell ref="L154:M154"/>
    <mergeCell ref="C156:X156"/>
    <mergeCell ref="C160:X160"/>
    <mergeCell ref="H161:I161"/>
    <mergeCell ref="N161:O161"/>
    <mergeCell ref="J161:K161"/>
    <mergeCell ref="L161:M161"/>
    <mergeCell ref="H164:I164"/>
    <mergeCell ref="J165:K165"/>
    <mergeCell ref="L166:M166"/>
    <mergeCell ref="C168:X168"/>
    <mergeCell ref="C172:X172"/>
    <mergeCell ref="C96:X96"/>
    <mergeCell ref="C100:X100"/>
    <mergeCell ref="H101:I101"/>
    <mergeCell ref="J101:K101"/>
    <mergeCell ref="L101:M101"/>
    <mergeCell ref="N101:O101"/>
    <mergeCell ref="H104:I104"/>
    <mergeCell ref="J105:K105"/>
    <mergeCell ref="L106:M106"/>
    <mergeCell ref="C108:X108"/>
    <mergeCell ref="C112:X112"/>
    <mergeCell ref="J113:K113"/>
    <mergeCell ref="L113:M113"/>
    <mergeCell ref="N113:O113"/>
    <mergeCell ref="H113:I113"/>
    <mergeCell ref="H116:I116"/>
    <mergeCell ref="J117:K117"/>
    <mergeCell ref="L118:M118"/>
    <mergeCell ref="C120:X120"/>
    <mergeCell ref="C124:X124"/>
    <mergeCell ref="H125:I125"/>
    <mergeCell ref="N125:O125"/>
    <mergeCell ref="J125:K125"/>
    <mergeCell ref="L125:M125"/>
    <mergeCell ref="D126:E126"/>
    <mergeCell ref="F127:G127"/>
    <mergeCell ref="H128:I128"/>
    <mergeCell ref="J129:K129"/>
    <mergeCell ref="L130:M130"/>
    <mergeCell ref="C132:X132"/>
    <mergeCell ref="C136:X136"/>
    <mergeCell ref="H137:I137"/>
    <mergeCell ref="J137:K137"/>
    <mergeCell ref="L137:M137"/>
    <mergeCell ref="N137:O137"/>
    <mergeCell ref="H140:I140"/>
    <mergeCell ref="J141:K141"/>
    <mergeCell ref="L142:M142"/>
    <mergeCell ref="C144:X144"/>
    <mergeCell ref="C148:X148"/>
    <mergeCell ref="J149:K149"/>
    <mergeCell ref="L149:M149"/>
    <mergeCell ref="N149:O149"/>
    <mergeCell ref="H173:I173"/>
    <mergeCell ref="J173:K173"/>
    <mergeCell ref="L173:M173"/>
    <mergeCell ref="N173:O173"/>
    <mergeCell ref="H176:I176"/>
    <mergeCell ref="J177:K177"/>
    <mergeCell ref="L178:M178"/>
    <mergeCell ref="F19:G19"/>
    <mergeCell ref="H20:I20"/>
    <mergeCell ref="J21:K21"/>
    <mergeCell ref="L22:M22"/>
    <mergeCell ref="C24:X24"/>
    <mergeCell ref="C28:X28"/>
    <mergeCell ref="H29:I29"/>
    <mergeCell ref="N29:O29"/>
    <mergeCell ref="J29:K29"/>
    <mergeCell ref="L29:M29"/>
    <mergeCell ref="H32:I32"/>
    <mergeCell ref="J33:K33"/>
    <mergeCell ref="L34:M34"/>
    <mergeCell ref="C36:X36"/>
    <mergeCell ref="C40:X40"/>
    <mergeCell ref="N5:O5"/>
    <mergeCell ref="P5:P10"/>
    <mergeCell ref="P17:P22"/>
    <mergeCell ref="N23:O23"/>
    <mergeCell ref="P29:P34"/>
    <mergeCell ref="N35:O35"/>
    <mergeCell ref="N47:O47"/>
    <mergeCell ref="P125:P130"/>
    <mergeCell ref="P137:P142"/>
    <mergeCell ref="P149:P154"/>
    <mergeCell ref="P161:P166"/>
    <mergeCell ref="P173:P178"/>
    <mergeCell ref="P185:P190"/>
    <mergeCell ref="P41:P46"/>
    <mergeCell ref="P53:P58"/>
    <mergeCell ref="P65:P70"/>
    <mergeCell ref="P77:P82"/>
    <mergeCell ref="P89:P94"/>
    <mergeCell ref="P101:P106"/>
    <mergeCell ref="P113:P118"/>
    <mergeCell ref="N143:O143"/>
    <mergeCell ref="N155:O155"/>
    <mergeCell ref="N167:O167"/>
    <mergeCell ref="N179:O179"/>
    <mergeCell ref="N191:O191"/>
    <mergeCell ref="N59:O59"/>
    <mergeCell ref="N71:O71"/>
    <mergeCell ref="N83:O83"/>
    <mergeCell ref="N95:O95"/>
    <mergeCell ref="N107:O107"/>
    <mergeCell ref="N119:O119"/>
    <mergeCell ref="N131:O131"/>
    <mergeCell ref="C48:X48"/>
    <mergeCell ref="C52:X52"/>
    <mergeCell ref="H53:I53"/>
    <mergeCell ref="J53:K53"/>
    <mergeCell ref="L53:M53"/>
    <mergeCell ref="N53:O53"/>
    <mergeCell ref="H56:I56"/>
    <mergeCell ref="J57:K57"/>
    <mergeCell ref="L58:M58"/>
    <mergeCell ref="C60:X60"/>
    <mergeCell ref="C64:X64"/>
    <mergeCell ref="J65:K65"/>
    <mergeCell ref="L65:M65"/>
    <mergeCell ref="N65:O65"/>
    <mergeCell ref="H65:I65"/>
    <mergeCell ref="H68:I68"/>
    <mergeCell ref="J69:K69"/>
    <mergeCell ref="L70:M70"/>
    <mergeCell ref="C72:X72"/>
    <mergeCell ref="C76:X76"/>
    <mergeCell ref="H77:I77"/>
    <mergeCell ref="N77:O77"/>
    <mergeCell ref="J77:K77"/>
    <mergeCell ref="L77:M77"/>
    <mergeCell ref="H80:I80"/>
    <mergeCell ref="J81:K81"/>
    <mergeCell ref="L82:M82"/>
    <mergeCell ref="C84:X84"/>
    <mergeCell ref="C88:X88"/>
    <mergeCell ref="J5:K5"/>
    <mergeCell ref="L5:M5"/>
    <mergeCell ref="H8:I8"/>
    <mergeCell ref="J9:K9"/>
    <mergeCell ref="L10:M10"/>
    <mergeCell ref="N11:O11"/>
    <mergeCell ref="C12:X12"/>
    <mergeCell ref="C16:X16"/>
    <mergeCell ref="H17:I17"/>
    <mergeCell ref="J17:K17"/>
    <mergeCell ref="L17:M17"/>
    <mergeCell ref="N17:O17"/>
    <mergeCell ref="C1:X1"/>
    <mergeCell ref="C3:E3"/>
    <mergeCell ref="B4:B12"/>
    <mergeCell ref="C4:X4"/>
    <mergeCell ref="D5:E5"/>
    <mergeCell ref="H5:I5"/>
    <mergeCell ref="D6:E6"/>
    <mergeCell ref="H41:I41"/>
    <mergeCell ref="J41:K41"/>
    <mergeCell ref="L41:M41"/>
    <mergeCell ref="N41:O41"/>
    <mergeCell ref="H44:I44"/>
    <mergeCell ref="J45:K45"/>
    <mergeCell ref="L46:M46"/>
    <mergeCell ref="H89:I89"/>
    <mergeCell ref="J89:K89"/>
    <mergeCell ref="L89:M89"/>
    <mergeCell ref="N89:O89"/>
    <mergeCell ref="H92:I92"/>
    <mergeCell ref="J93:K93"/>
    <mergeCell ref="L94:M94"/>
    <mergeCell ref="B100:B108"/>
    <mergeCell ref="B112:B120"/>
    <mergeCell ref="B124:B132"/>
    <mergeCell ref="B16:B24"/>
    <mergeCell ref="B28:B36"/>
    <mergeCell ref="B40:B48"/>
    <mergeCell ref="B52:B60"/>
    <mergeCell ref="B64:B72"/>
    <mergeCell ref="B76:B84"/>
    <mergeCell ref="B88:B96"/>
    <mergeCell ref="J189:K189"/>
    <mergeCell ref="L190:M190"/>
    <mergeCell ref="C192:X192"/>
    <mergeCell ref="C180:X180"/>
    <mergeCell ref="C184:X184"/>
    <mergeCell ref="H185:I185"/>
    <mergeCell ref="J185:K185"/>
    <mergeCell ref="L185:M185"/>
    <mergeCell ref="N185:O185"/>
    <mergeCell ref="H188:I188"/>
  </mergeCells>
  <conditionalFormatting sqref="E6:E11 F6 G6:G11 H6:H7 I6:I11 J6:J8 K6:K11 L6:L9 M6:O11 F18:G18 H18:I19 J18:K20 L18:M21 N18:O23 E19:E23 G20:G23 I21:I23 K22:K23 M23 F30:G30 H30:I31 J30:K32 L30:M33 N30:O35 E31:E35 G32:G35 I33:I35 K34:K35 M35 F42:G42 H42:I43 J42:K44 L42:M45 N42:O47 E43:E47 G44:G47 I45:I47 K46:K47 M47 F54:G54 H54:I55 J54:K56 L54:M57 N54:O59 E55:E59 G56:G59 I57:I59 K58:K59 M59 F66:G66 H66:I67 J66:K68 L66:M69 N66:O71 E67:E71 G68:G71 I69:I71 K70:K71 M71 F78:G78 H78:I79 J78:K80 L78:M81 N78:O83 E79:E83 G80:G83 I81:I83 K82:K83 M83 F90:G90 H90:I91 J90:K92 L90:M93 N90:O95 E91:E95 G92:G95 I93:I95 K94:K95 M95 F102:G102 H102:I103 J102:K104 L102:M105 N102:O107 E103:E107 G104:G107 I105:I107 K106:K107 M107 F114:G114 H114:I115 J114:K116 L114:M117 N114:O119 E115:E119 G116:G119 I117:I119 K118:K119 M119 F126:G126 H126:I127 J126:K128 L126:M129 N126:O131 E127:E131 G128:G131 I129:I131 K130:K131 M131 F138:G138 H138:I139 J138:K140 L138:M141 N138:O143 E139:E143 G140:G143 I141:I143 K142:K143 M143 F150:G150 H150:I151 J150:K152 L150:M153 N150:O155 E151:E155 G152:G155 I153:I155 K154:K155 M155 F162:G162 H162:I163 J162:K164 L162:M165 N162:O167 E163:E167 G164:G167 I165:I167 K166:K167 M167 F174:G174 H174:I175 J174:K176 L174:M177 N174:O179 E175:E179 G176:G179 I177:I179 K178:K179 M179 F186 G186 H186:H187 I186:I187 J186:J188 K186:K188 L186:L189 M186:O189 E187:E191 G188:G191 I189:I191 K190:K191 N190:O190 M191:O191">
    <cfRule type="cellIs" dxfId="0" priority="1" operator="equal">
      <formula>"W"</formula>
    </cfRule>
  </conditionalFormatting>
  <conditionalFormatting sqref="E6:E11 F6 G6:G11 H6:H7 I6:I11 J6:J8 K6:K11 L6:L9 M6:O11 F18:G18 H18:I19 J18:K20 L18:M21 N18:O23 E19:E23 G20:G23 I21:I23 K22:K23 M23 F30:G30 H30:I31 J30:K32 L30:M33 N30:O35 E31:E35 G32:G35 I33:I35 K34:K35 M35 F42:G42 H42:I43 J42:K44 L42:M45 N42:O47 E43:E47 G44:G47 I45:I47 K46:K47 M47 F54:G54 H54:I55 J54:K56 L54:M57 N54:O59 E55:E59 G56:G59 I57:I59 K58:K59 M59 F66:G66 H66:I67 J66:K68 L66:M69 N66:O71 E67:E71 G68:G71 I69:I71 K70:K71 M71 F78:G78 H78:I79 J78:K80 L78:M81 N78:O83 E79:E83 G80:G83 I81:I83 K82:K83 M83 F90:G90 H90:I91 J90:K92 L90:M93 N90:O95 E91:E95 G92:G95 I93:I95 K94:K95 M95 F102:G102 H102:I103 J102:K104 L102:M105 N102:O107 E103:E107 G104:G107 I105:I107 K106:K107 M107 F114:G114 H114:I115 J114:K116 L114:M117 N114:O119 E115:E119 G116:G119 I117:I119 K118:K119 M119 F126:G126 H126:I127 J126:K128 L126:M129 N126:O131 E127:E131 G128:G131 I129:I131 K130:K131 M131 F138:G138 H138:I139 J138:K140 L138:M141 N138:O143 E139:E143 G140:G143 I141:I143 K142:K143 M143 F150:G150 H150:I151 J150:K152 L150:M153 N150:O155 E151:E155 G152:G155 I153:I155 K154:K155 M155 F162:G162 H162:I163 J162:K164 L162:M165 N162:O167 E163:E167 G164:G167 I165:I167 K166:K167 M167 F174:G174 H174:I175 J174:K176 L174:M177 N174:O179 E175:E179 G176:G179 I177:I179 K178:K179 M179 F186 G186 H186:H187 I186:I187 J186:J188 K186:K188 L186:L189 M186:O189 E187:E191 G188:G191 I189:I191 K190:K191 N190:O190 M191:O191">
    <cfRule type="cellIs" dxfId="1" priority="2" operator="equal">
      <formula>"T"</formula>
    </cfRule>
  </conditionalFormatting>
  <conditionalFormatting sqref="E6:E11 F6 G6:G11 H6:H7 I6:I11 J6:J8 K6:K11 L6:L9 M6:O11 F18:G18 H18:I19 J18:K20 L18:M21 N18:O23 E19:E23 G20:G23 I21:I23 K22:K23 M23 F30:G30 H30:I31 J30:K32 L30:M33 N30:O35 E31:E35 G32:G35 I33:I35 K34:K35 M35 F42:G42 H42:I43 J42:K44 L42:M45 N42:O47 E43:E47 G44:G47 I45:I47 K46:K47 M47 F54:G54 H54:I55 J54:K56 L54:M57 N54:O59 E55:E59 G56:G59 I57:I59 K58:K59 M59 F66:G66 H66:I67 J66:K68 L66:M69 N66:O71 E67:E71 G68:G71 I69:I71 K70:K71 M71 F78:G78 H78:I79 J78:K80 L78:M81 N78:O83 E79:E83 G80:G83 I81:I83 K82:K83 M83 F90:G90 H90:I91 J90:K92 L90:M93 N90:O95 E91:E95 G92:G95 I93:I95 K94:K95 M95 F102:G102 H102:I103 J102:K104 L102:M105 N102:O107 E103:E107 G104:G107 I105:I107 K106:K107 M107 F114:G114 H114:I115 J114:K116 L114:M117 N114:O119 E115:E119 G116:G119 I117:I119 K118:K119 M119 F126:G126 H126:I127 J126:K128 L126:M129 N126:O131 E127:E131 G128:G131 I129:I131 K130:K131 M131 F138:G138 H138:I139 J138:K140 L138:M141 N138:O143 E139:E143 G140:G143 I141:I143 K142:K143 M143 F150:G150 H150:I151 J150:K152 L150:M153 N150:O155 E151:E155 G152:G155 I153:I155 K154:K155 M155 F162:G162 H162:I163 J162:K164 L162:M165 N162:O167 E163:E167 G164:G167 I165:I167 K166:K167 M167 F174:G174 H174:I175 J174:K176 L174:M177 N174:O179 E175:E179 G176:G179 I177:I179 K178:K179 M179 F186 G186 H186:H187 I186:I187 J186:J188 K186:K188 L186:L189 M186:O189 E187:E191 G188:G191 I189:I191 K190:K191 N190:O190 M191:O191">
    <cfRule type="cellIs" dxfId="2" priority="3" operator="equal">
      <formula>"L"</formula>
    </cfRule>
  </conditionalFormatting>
  <conditionalFormatting sqref="V2:W15 V17:W23 V25:W27 V29:W35 V37:W39 V41:W47 V49:W51 V53:W59 V61:W63 V65:W71 V73:W75 V77:W83 V85:W87 V89:W95 V97:W99 V101:W107 V109:W111 V113:W119 V121:W123 V125:W131 V133:W135 V137:W143 V145:W147 V149:W155 V157:W159 V161:W167 V169:W171 V173:W179 V181:W183 V185:W191 V193:W300">
    <cfRule type="cellIs" dxfId="3" priority="4" operator="equal">
      <formula>1</formula>
    </cfRule>
  </conditionalFormatting>
  <conditionalFormatting sqref="V2:W15 V17:W23 V25:W27 V29:W35 V37:W39 V41:W47 V49:W51 V53:W59 V61:W63 V65:W71 V73:W75 V77:W83 V85:W87 V89:W95 V97:W99 V101:W107 V109:W111 V113:W119 V121:W123 V125:W131 V133:W135 V137:W143 V145:W147 V149:W155 V157:W159 V161:W167 V169:W171 V173:W179 V181:W183 V185:W191 V193:W300">
    <cfRule type="cellIs" dxfId="4" priority="5" operator="equal">
      <formula>2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3" width="21.75"/>
    <col customWidth="1" min="5" max="6" width="6.38"/>
    <col customWidth="1" min="7" max="8" width="18.88"/>
    <col customWidth="1" min="10" max="11" width="6.38"/>
  </cols>
  <sheetData>
    <row r="1" ht="30.0" customHeight="1">
      <c r="A1" s="1" t="str">
        <f>IFERROR(__xludf.DUMMYFUNCTION("importrange(""https://docs.google.com/spreadsheets/d/12IzKdE78PZ-ibDG550MiOi4Nyf49AANMRCUCOwqVMIY/edit#gid=1716042840"",""'East Seeding'!A1:O36"")"),"")</f>
        <v/>
      </c>
      <c r="B1" s="3" t="str">
        <f>IFERROR(__xludf.DUMMYFUNCTION("""COMPUTED_VALUE"""),"Winners Bracket")</f>
        <v>Winners Bracket</v>
      </c>
      <c r="F1" s="1"/>
      <c r="G1" s="3" t="str">
        <f>IFERROR(__xludf.DUMMYFUNCTION("""COMPUTED_VALUE"""),"Losers Bracket")</f>
        <v>Losers Bracket</v>
      </c>
      <c r="K1" s="1"/>
      <c r="L1" s="1"/>
      <c r="M1" s="1"/>
      <c r="N1" s="1"/>
      <c r="O1" s="1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B2" s="3" t="str">
        <f>IFERROR(__xludf.DUMMYFUNCTION("""COMPUTED_VALUE"""),"Division")</f>
        <v>Division</v>
      </c>
      <c r="C2" s="3" t="str">
        <f>IFERROR(__xludf.DUMMYFUNCTION("""COMPUTED_VALUE"""),"Name")</f>
        <v>Name</v>
      </c>
      <c r="D2" s="3" t="str">
        <f>IFERROR(__xludf.DUMMYFUNCTION("""COMPUTED_VALUE"""),"Avg. Score")</f>
        <v>Avg. Score</v>
      </c>
      <c r="E2" s="3" t="str">
        <f>IFERROR(__xludf.DUMMYFUNCTION("""COMPUTED_VALUE"""),"Seed")</f>
        <v>Seed</v>
      </c>
      <c r="G2" s="3" t="str">
        <f>IFERROR(__xludf.DUMMYFUNCTION("""COMPUTED_VALUE"""),"Division")</f>
        <v>Division</v>
      </c>
      <c r="H2" s="3" t="str">
        <f>IFERROR(__xludf.DUMMYFUNCTION("""COMPUTED_VALUE"""),"Name")</f>
        <v>Name</v>
      </c>
      <c r="I2" s="3" t="str">
        <f>IFERROR(__xludf.DUMMYFUNCTION("""COMPUTED_VALUE"""),"Avg. Score")</f>
        <v>Avg. Score</v>
      </c>
      <c r="J2" s="3" t="str">
        <f>IFERROR(__xludf.DUMMYFUNCTION("""COMPUTED_VALUE"""),"Seed")</f>
        <v>Seed</v>
      </c>
      <c r="L2" s="1"/>
      <c r="M2" s="1"/>
      <c r="N2" s="1"/>
      <c r="O2" s="1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1"/>
      <c r="B3" s="1" t="str">
        <f>IFERROR(__xludf.DUMMYFUNCTION("""COMPUTED_VALUE"""),"Einstein")</f>
        <v>Einstein</v>
      </c>
      <c r="C3" s="1" t="str">
        <f>IFERROR(__xludf.DUMMYFUNCTION("""COMPUTED_VALUE"""),"Blair A")</f>
        <v>Blair A</v>
      </c>
      <c r="D3" s="15">
        <f>IFERROR(__xludf.DUMMYFUNCTION("""COMPUTED_VALUE"""),238.5)</f>
        <v>238.5</v>
      </c>
      <c r="E3" s="1">
        <f>IFERROR(__xludf.DUMMYFUNCTION("""COMPUTED_VALUE"""),1.0)</f>
        <v>1</v>
      </c>
      <c r="F3" s="1"/>
      <c r="G3" s="1" t="str">
        <f>IFERROR(__xludf.DUMMYFUNCTION("""COMPUTED_VALUE"""),"Curie")</f>
        <v>Curie</v>
      </c>
      <c r="H3" s="1" t="str">
        <f>IFERROR(__xludf.DUMMYFUNCTION("""COMPUTED_VALUE"""),"AHS Broward A")</f>
        <v>AHS Broward A</v>
      </c>
      <c r="I3" s="15">
        <f>IFERROR(__xludf.DUMMYFUNCTION("""COMPUTED_VALUE"""),135.5)</f>
        <v>135.5</v>
      </c>
      <c r="J3" s="1">
        <f>IFERROR(__xludf.DUMMYFUNCTION("""COMPUTED_VALUE"""),17.0)</f>
        <v>17</v>
      </c>
      <c r="K3" s="1"/>
      <c r="L3" s="1"/>
      <c r="M3" s="1"/>
      <c r="N3" s="1"/>
      <c r="O3" s="1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>
      <c r="B4" s="1" t="str">
        <f>IFERROR(__xludf.DUMMYFUNCTION("""COMPUTED_VALUE"""),"Ampere")</f>
        <v>Ampere</v>
      </c>
      <c r="C4" s="1" t="str">
        <f>IFERROR(__xludf.DUMMYFUNCTION("""COMPUTED_VALUE"""),"Buchholz A")</f>
        <v>Buchholz A</v>
      </c>
      <c r="D4" s="15">
        <f>IFERROR(__xludf.DUMMYFUNCTION("""COMPUTED_VALUE"""),227.2)</f>
        <v>227.2</v>
      </c>
      <c r="E4" s="1">
        <f>IFERROR(__xludf.DUMMYFUNCTION("""COMPUTED_VALUE"""),2.0)</f>
        <v>2</v>
      </c>
      <c r="G4" s="1" t="str">
        <f>IFERROR(__xludf.DUMMYFUNCTION("""COMPUTED_VALUE"""),"Kepler")</f>
        <v>Kepler</v>
      </c>
      <c r="H4" s="1" t="str">
        <f>IFERROR(__xludf.DUMMYFUNCTION("""COMPUTED_VALUE"""),"Iolani A")</f>
        <v>Iolani A</v>
      </c>
      <c r="I4" s="15">
        <f>IFERROR(__xludf.DUMMYFUNCTION("""COMPUTED_VALUE"""),129.5)</f>
        <v>129.5</v>
      </c>
      <c r="J4" s="1">
        <f>IFERROR(__xludf.DUMMYFUNCTION("""COMPUTED_VALUE"""),18.0)</f>
        <v>18</v>
      </c>
      <c r="L4" s="1"/>
      <c r="M4" s="1"/>
      <c r="N4" s="1"/>
      <c r="O4" s="1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B5" s="1" t="str">
        <f>IFERROR(__xludf.DUMMYFUNCTION("""COMPUTED_VALUE"""),"Bohr")</f>
        <v>Bohr</v>
      </c>
      <c r="C5" s="1" t="str">
        <f>IFERROR(__xludf.DUMMYFUNCTION("""COMPUTED_VALUE"""),"Westminster")</f>
        <v>Westminster</v>
      </c>
      <c r="D5" s="15">
        <f>IFERROR(__xludf.DUMMYFUNCTION("""COMPUTED_VALUE"""),226.5)</f>
        <v>226.5</v>
      </c>
      <c r="E5" s="1">
        <f>IFERROR(__xludf.DUMMYFUNCTION("""COMPUTED_VALUE"""),3.0)</f>
        <v>3</v>
      </c>
      <c r="G5" s="1" t="str">
        <f>IFERROR(__xludf.DUMMYFUNCTION("""COMPUTED_VALUE"""),"Newton")</f>
        <v>Newton</v>
      </c>
      <c r="H5" s="1" t="str">
        <f>IFERROR(__xludf.DUMMYFUNCTION("""COMPUTED_VALUE"""),"Glastonbury A")</f>
        <v>Glastonbury A</v>
      </c>
      <c r="I5" s="15">
        <f>IFERROR(__xludf.DUMMYFUNCTION("""COMPUTED_VALUE"""),129.0)</f>
        <v>129</v>
      </c>
      <c r="J5" s="1">
        <f>IFERROR(__xludf.DUMMYFUNCTION("""COMPUTED_VALUE"""),19.0)</f>
        <v>19</v>
      </c>
      <c r="L5" s="1"/>
      <c r="M5" s="1"/>
      <c r="N5" s="1"/>
      <c r="O5" s="1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>
      <c r="B6" s="1" t="str">
        <f>IFERROR(__xludf.DUMMYFUNCTION("""COMPUTED_VALUE"""),"Darwin")</f>
        <v>Darwin</v>
      </c>
      <c r="C6" s="1" t="str">
        <f>IFERROR(__xludf.DUMMYFUNCTION("""COMPUTED_VALUE"""),"Centennial")</f>
        <v>Centennial</v>
      </c>
      <c r="D6" s="15">
        <f>IFERROR(__xludf.DUMMYFUNCTION("""COMPUTED_VALUE"""),224.0)</f>
        <v>224</v>
      </c>
      <c r="E6" s="1">
        <f>IFERROR(__xludf.DUMMYFUNCTION("""COMPUTED_VALUE"""),4.0)</f>
        <v>4</v>
      </c>
      <c r="G6" s="1" t="str">
        <f>IFERROR(__xludf.DUMMYFUNCTION("""COMPUTED_VALUE"""),"Hawking")</f>
        <v>Hawking</v>
      </c>
      <c r="H6" s="1" t="str">
        <f>IFERROR(__xludf.DUMMYFUNCTION("""COMPUTED_VALUE"""),"Blair C")</f>
        <v>Blair C</v>
      </c>
      <c r="I6" s="15">
        <f>IFERROR(__xludf.DUMMYFUNCTION("""COMPUTED_VALUE"""),121.5)</f>
        <v>121.5</v>
      </c>
      <c r="J6" s="1">
        <f>IFERROR(__xludf.DUMMYFUNCTION("""COMPUTED_VALUE"""),20.0)</f>
        <v>20</v>
      </c>
      <c r="L6" s="1"/>
      <c r="M6" s="1"/>
      <c r="N6" s="1"/>
      <c r="O6" s="1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>
      <c r="B7" s="1" t="str">
        <f>IFERROR(__xludf.DUMMYFUNCTION("""COMPUTED_VALUE"""),"Curie")</f>
        <v>Curie</v>
      </c>
      <c r="C7" s="1" t="str">
        <f>IFERROR(__xludf.DUMMYFUNCTION("""COMPUTED_VALUE"""),"Lexington A")</f>
        <v>Lexington A</v>
      </c>
      <c r="D7" s="15">
        <f>IFERROR(__xludf.DUMMYFUNCTION("""COMPUTED_VALUE"""),216.0)</f>
        <v>216</v>
      </c>
      <c r="E7" s="1">
        <f>IFERROR(__xludf.DUMMYFUNCTION("""COMPUTED_VALUE"""),5.0)</f>
        <v>5</v>
      </c>
      <c r="G7" s="1" t="str">
        <f>IFERROR(__xludf.DUMMYFUNCTION("""COMPUTED_VALUE"""),"Ampere")</f>
        <v>Ampere</v>
      </c>
      <c r="H7" s="1" t="str">
        <f>IFERROR(__xludf.DUMMYFUNCTION("""COMPUTED_VALUE"""),"MCA")</f>
        <v>MCA</v>
      </c>
      <c r="I7" s="15">
        <f>IFERROR(__xludf.DUMMYFUNCTION("""COMPUTED_VALUE"""),118.8)</f>
        <v>118.8</v>
      </c>
      <c r="J7" s="1">
        <f>IFERROR(__xludf.DUMMYFUNCTION("""COMPUTED_VALUE"""),21.0)</f>
        <v>21</v>
      </c>
      <c r="L7" s="1"/>
      <c r="M7" s="1"/>
      <c r="N7" s="1"/>
      <c r="O7" s="1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>
      <c r="B8" s="1" t="str">
        <f>IFERROR(__xludf.DUMMYFUNCTION("""COMPUTED_VALUE"""),"Franklin")</f>
        <v>Franklin</v>
      </c>
      <c r="C8" s="1" t="str">
        <f>IFERROR(__xludf.DUMMYFUNCTION("""COMPUTED_VALUE"""),"Dulles A")</f>
        <v>Dulles A</v>
      </c>
      <c r="D8" s="15">
        <f>IFERROR(__xludf.DUMMYFUNCTION("""COMPUTED_VALUE"""),194.0)</f>
        <v>194</v>
      </c>
      <c r="E8" s="1">
        <f>IFERROR(__xludf.DUMMYFUNCTION("""COMPUTED_VALUE"""),6.0)</f>
        <v>6</v>
      </c>
      <c r="G8" s="1" t="str">
        <f>IFERROR(__xludf.DUMMYFUNCTION("""COMPUTED_VALUE"""),"Joule")</f>
        <v>Joule</v>
      </c>
      <c r="H8" s="1" t="str">
        <f>IFERROR(__xludf.DUMMYFUNCTION("""COMPUTED_VALUE"""),"Collierville")</f>
        <v>Collierville</v>
      </c>
      <c r="I8" s="15">
        <f>IFERROR(__xludf.DUMMYFUNCTION("""COMPUTED_VALUE"""),112.0)</f>
        <v>112</v>
      </c>
      <c r="J8" s="1">
        <f>IFERROR(__xludf.DUMMYFUNCTION("""COMPUTED_VALUE"""),22.0)</f>
        <v>22</v>
      </c>
      <c r="L8" s="1"/>
      <c r="M8" s="1"/>
      <c r="N8" s="1"/>
      <c r="O8" s="1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>
      <c r="B9" s="1" t="str">
        <f>IFERROR(__xludf.DUMMYFUNCTION("""COMPUTED_VALUE"""),"Goodall")</f>
        <v>Goodall</v>
      </c>
      <c r="C9" s="1" t="str">
        <f>IFERROR(__xludf.DUMMYFUNCTION("""COMPUTED_VALUE"""),"JP Stevens A")</f>
        <v>JP Stevens A</v>
      </c>
      <c r="D9" s="15">
        <f>IFERROR(__xludf.DUMMYFUNCTION("""COMPUTED_VALUE"""),193.0)</f>
        <v>193</v>
      </c>
      <c r="E9" s="1">
        <f>IFERROR(__xludf.DUMMYFUNCTION("""COMPUTED_VALUE"""),7.0)</f>
        <v>7</v>
      </c>
      <c r="G9" s="1" t="str">
        <f>IFERROR(__xludf.DUMMYFUNCTION("""COMPUTED_VALUE"""),"Einstein")</f>
        <v>Einstein</v>
      </c>
      <c r="H9" s="1" t="str">
        <f>IFERROR(__xludf.DUMMYFUNCTION("""COMPUTED_VALUE"""),"ASFA A")</f>
        <v>ASFA A</v>
      </c>
      <c r="I9" s="15">
        <f>IFERROR(__xludf.DUMMYFUNCTION("""COMPUTED_VALUE"""),105.0)</f>
        <v>105</v>
      </c>
      <c r="J9" s="1">
        <f>IFERROR(__xludf.DUMMYFUNCTION("""COMPUTED_VALUE"""),23.0)</f>
        <v>23</v>
      </c>
      <c r="L9" s="1"/>
      <c r="M9" s="1"/>
      <c r="N9" s="1"/>
      <c r="O9" s="1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>
      <c r="B10" s="1" t="str">
        <f>IFERROR(__xludf.DUMMYFUNCTION("""COMPUTED_VALUE"""),"Joule")</f>
        <v>Joule</v>
      </c>
      <c r="C10" s="1" t="str">
        <f>IFERROR(__xludf.DUMMYFUNCTION("""COMPUTED_VALUE"""),"Green Hope A")</f>
        <v>Green Hope A</v>
      </c>
      <c r="D10" s="15">
        <f>IFERROR(__xludf.DUMMYFUNCTION("""COMPUTED_VALUE"""),190.0)</f>
        <v>190</v>
      </c>
      <c r="E10" s="1">
        <f>IFERROR(__xludf.DUMMYFUNCTION("""COMPUTED_VALUE"""),8.0)</f>
        <v>8</v>
      </c>
      <c r="G10" s="1" t="str">
        <f>IFERROR(__xludf.DUMMYFUNCTION("""COMPUTED_VALUE"""),"Franklin")</f>
        <v>Franklin</v>
      </c>
      <c r="H10" s="1" t="str">
        <f>IFERROR(__xludf.DUMMYFUNCTION("""COMPUTED_VALUE"""),"Green Hope B")</f>
        <v>Green Hope B</v>
      </c>
      <c r="I10" s="15">
        <f>IFERROR(__xludf.DUMMYFUNCTION("""COMPUTED_VALUE"""),103.5)</f>
        <v>103.5</v>
      </c>
      <c r="J10" s="1">
        <f>IFERROR(__xludf.DUMMYFUNCTION("""COMPUTED_VALUE"""),24.0)</f>
        <v>24</v>
      </c>
      <c r="L10" s="1"/>
      <c r="M10" s="1"/>
      <c r="N10" s="1"/>
      <c r="O10" s="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>
      <c r="B11" s="1" t="str">
        <f>IFERROR(__xludf.DUMMYFUNCTION("""COMPUTED_VALUE"""),"Lehmann")</f>
        <v>Lehmann</v>
      </c>
      <c r="C11" s="1" t="str">
        <f>IFERROR(__xludf.DUMMYFUNCTION("""COMPUTED_VALUE"""),"Ladue")</f>
        <v>Ladue</v>
      </c>
      <c r="D11" s="15">
        <f>IFERROR(__xludf.DUMMYFUNCTION("""COMPUTED_VALUE"""),163.0)</f>
        <v>163</v>
      </c>
      <c r="E11" s="1">
        <f>IFERROR(__xludf.DUMMYFUNCTION("""COMPUTED_VALUE"""),9.0)</f>
        <v>9</v>
      </c>
      <c r="G11" s="1" t="str">
        <f>IFERROR(__xludf.DUMMYFUNCTION("""COMPUTED_VALUE"""),"Darwin")</f>
        <v>Darwin</v>
      </c>
      <c r="H11" s="1" t="str">
        <f>IFERROR(__xludf.DUMMYFUNCTION("""COMPUTED_VALUE"""),"AHS Broward B")</f>
        <v>AHS Broward B</v>
      </c>
      <c r="I11" s="15">
        <f>IFERROR(__xludf.DUMMYFUNCTION("""COMPUTED_VALUE"""),98.0)</f>
        <v>98</v>
      </c>
      <c r="J11" s="1">
        <f>IFERROR(__xludf.DUMMYFUNCTION("""COMPUTED_VALUE"""),25.0)</f>
        <v>25</v>
      </c>
      <c r="L11" s="1"/>
      <c r="M11" s="1"/>
      <c r="N11" s="1"/>
      <c r="O11" s="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>
      <c r="B12" s="1" t="str">
        <f>IFERROR(__xludf.DUMMYFUNCTION("""COMPUTED_VALUE"""),"Kepler")</f>
        <v>Kepler</v>
      </c>
      <c r="C12" s="1" t="str">
        <f>IFERROR(__xludf.DUMMYFUNCTION("""COMPUTED_VALUE"""),"MSMS")</f>
        <v>MSMS</v>
      </c>
      <c r="D12" s="15">
        <f>IFERROR(__xludf.DUMMYFUNCTION("""COMPUTED_VALUE"""),154.0)</f>
        <v>154</v>
      </c>
      <c r="E12" s="1">
        <f>IFERROR(__xludf.DUMMYFUNCTION("""COMPUTED_VALUE"""),10.0)</f>
        <v>10</v>
      </c>
      <c r="G12" s="1" t="str">
        <f>IFERROR(__xludf.DUMMYFUNCTION("""COMPUTED_VALUE"""),"Bohr")</f>
        <v>Bohr</v>
      </c>
      <c r="H12" s="1" t="str">
        <f>IFERROR(__xludf.DUMMYFUNCTION("""COMPUTED_VALUE"""),"Lindbergh A")</f>
        <v>Lindbergh A</v>
      </c>
      <c r="I12" s="15">
        <f>IFERROR(__xludf.DUMMYFUNCTION("""COMPUTED_VALUE"""),90.0)</f>
        <v>90</v>
      </c>
      <c r="J12" s="1">
        <f>IFERROR(__xludf.DUMMYFUNCTION("""COMPUTED_VALUE"""),26.0)</f>
        <v>26</v>
      </c>
      <c r="L12" s="1"/>
      <c r="M12" s="1"/>
      <c r="N12" s="1"/>
      <c r="O12" s="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>
      <c r="B13" s="1" t="str">
        <f>IFERROR(__xludf.DUMMYFUNCTION("""COMPUTED_VALUE"""),"Ising")</f>
        <v>Ising</v>
      </c>
      <c r="C13" s="1" t="str">
        <f>IFERROR(__xludf.DUMMYFUNCTION("""COMPUTED_VALUE"""),"RMHS A")</f>
        <v>RMHS A</v>
      </c>
      <c r="D13" s="15">
        <f>IFERROR(__xludf.DUMMYFUNCTION("""COMPUTED_VALUE"""),148.5)</f>
        <v>148.5</v>
      </c>
      <c r="E13" s="1">
        <f>IFERROR(__xludf.DUMMYFUNCTION("""COMPUTED_VALUE"""),11.0)</f>
        <v>11</v>
      </c>
      <c r="G13" s="1" t="str">
        <f>IFERROR(__xludf.DUMMYFUNCTION("""COMPUTED_VALUE"""),"Goodall")</f>
        <v>Goodall</v>
      </c>
      <c r="H13" s="1" t="str">
        <f>IFERROR(__xludf.DUMMYFUNCTION("""COMPUTED_VALUE"""),"Edison B")</f>
        <v>Edison B</v>
      </c>
      <c r="I13" s="15">
        <f>IFERROR(__xludf.DUMMYFUNCTION("""COMPUTED_VALUE"""),88.5)</f>
        <v>88.5</v>
      </c>
      <c r="J13" s="1">
        <f>IFERROR(__xludf.DUMMYFUNCTION("""COMPUTED_VALUE"""),27.0)</f>
        <v>27</v>
      </c>
      <c r="L13" s="1"/>
      <c r="M13" s="1"/>
      <c r="N13" s="1"/>
      <c r="O13" s="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>
      <c r="B14" s="1" t="str">
        <f>IFERROR(__xludf.DUMMYFUNCTION("""COMPUTED_VALUE"""),"Mendel")</f>
        <v>Mendel</v>
      </c>
      <c r="C14" s="1" t="str">
        <f>IFERROR(__xludf.DUMMYFUNCTION("""COMPUTED_VALUE"""),"PRISMS")</f>
        <v>PRISMS</v>
      </c>
      <c r="D14" s="15">
        <f>IFERROR(__xludf.DUMMYFUNCTION("""COMPUTED_VALUE"""),148.5)</f>
        <v>148.5</v>
      </c>
      <c r="E14" s="1">
        <f>IFERROR(__xludf.DUMMYFUNCTION("""COMPUTED_VALUE"""),12.0)</f>
        <v>12</v>
      </c>
      <c r="G14" s="1" t="str">
        <f>IFERROR(__xludf.DUMMYFUNCTION("""COMPUTED_VALUE"""),"Ising")</f>
        <v>Ising</v>
      </c>
      <c r="H14" s="1" t="str">
        <f>IFERROR(__xludf.DUMMYFUNCTION("""COMPUTED_VALUE"""),"Naperville North A")</f>
        <v>Naperville North A</v>
      </c>
      <c r="I14" s="15">
        <f>IFERROR(__xludf.DUMMYFUNCTION("""COMPUTED_VALUE"""),66.0)</f>
        <v>66</v>
      </c>
      <c r="J14" s="1">
        <f>IFERROR(__xludf.DUMMYFUNCTION("""COMPUTED_VALUE"""),28.0)</f>
        <v>28</v>
      </c>
      <c r="L14" s="1"/>
      <c r="M14" s="1"/>
      <c r="N14" s="1"/>
      <c r="O14" s="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B15" s="1" t="str">
        <f>IFERROR(__xludf.DUMMYFUNCTION("""COMPUTED_VALUE"""),"Hawking")</f>
        <v>Hawking</v>
      </c>
      <c r="C15" s="1" t="str">
        <f>IFERROR(__xludf.DUMMYFUNCTION("""COMPUTED_VALUE"""),"duPont Manual")</f>
        <v>duPont Manual</v>
      </c>
      <c r="D15" s="15">
        <f>IFERROR(__xludf.DUMMYFUNCTION("""COMPUTED_VALUE"""),143.0)</f>
        <v>143</v>
      </c>
      <c r="E15" s="1">
        <f>IFERROR(__xludf.DUMMYFUNCTION("""COMPUTED_VALUE"""),13.0)</f>
        <v>13</v>
      </c>
      <c r="G15" s="1" t="str">
        <f>IFERROR(__xludf.DUMMYFUNCTION("""COMPUTED_VALUE"""),"Mendel")</f>
        <v>Mendel</v>
      </c>
      <c r="H15" s="1" t="str">
        <f>IFERROR(__xludf.DUMMYFUNCTION("""COMPUTED_VALUE"""),"Poolesville A")</f>
        <v>Poolesville A</v>
      </c>
      <c r="I15" s="15">
        <f>IFERROR(__xludf.DUMMYFUNCTION("""COMPUTED_VALUE"""),123.0)</f>
        <v>123</v>
      </c>
      <c r="J15" s="1">
        <f>IFERROR(__xludf.DUMMYFUNCTION("""COMPUTED_VALUE"""),29.0)</f>
        <v>29</v>
      </c>
      <c r="L15" s="1"/>
      <c r="M15" s="1"/>
      <c r="N15" s="1"/>
      <c r="O15" s="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>
      <c r="B16" s="1" t="str">
        <f>IFERROR(__xludf.DUMMYFUNCTION("""COMPUTED_VALUE"""),"Newton")</f>
        <v>Newton</v>
      </c>
      <c r="C16" s="1" t="str">
        <f>IFERROR(__xludf.DUMMYFUNCTION("""COMPUTED_VALUE"""),"Buchholz B")</f>
        <v>Buchholz B</v>
      </c>
      <c r="D16" s="15">
        <f>IFERROR(__xludf.DUMMYFUNCTION("""COMPUTED_VALUE"""),135.5)</f>
        <v>135.5</v>
      </c>
      <c r="E16" s="1">
        <f>IFERROR(__xludf.DUMMYFUNCTION("""COMPUTED_VALUE"""),14.0)</f>
        <v>14</v>
      </c>
      <c r="G16" s="1" t="str">
        <f>IFERROR(__xludf.DUMMYFUNCTION("""COMPUTED_VALUE"""),"Lehmann")</f>
        <v>Lehmann</v>
      </c>
      <c r="H16" s="1" t="str">
        <f>IFERROR(__xludf.DUMMYFUNCTION("""COMPUTED_VALUE"""),"Bob Jones")</f>
        <v>Bob Jones</v>
      </c>
      <c r="I16" s="15">
        <f>IFERROR(__xludf.DUMMYFUNCTION("""COMPUTED_VALUE"""),117.5)</f>
        <v>117.5</v>
      </c>
      <c r="J16" s="1">
        <f>IFERROR(__xludf.DUMMYFUNCTION("""COMPUTED_VALUE"""),30.0)</f>
        <v>30</v>
      </c>
      <c r="L16" s="1"/>
      <c r="M16" s="1"/>
      <c r="N16" s="1"/>
      <c r="O16" s="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>
      <c r="B17" s="1" t="str">
        <f>IFERROR(__xludf.DUMMYFUNCTION("""COMPUTED_VALUE"""),"Mendel")</f>
        <v>Mendel</v>
      </c>
      <c r="C17" s="1" t="str">
        <f>IFERROR(__xludf.DUMMYFUNCTION("""COMPUTED_VALUE"""),"Lexington B")</f>
        <v>Lexington B</v>
      </c>
      <c r="D17" s="15">
        <f>IFERROR(__xludf.DUMMYFUNCTION("""COMPUTED_VALUE"""),181.5)</f>
        <v>181.5</v>
      </c>
      <c r="E17" s="1">
        <f>IFERROR(__xludf.DUMMYFUNCTION("""COMPUTED_VALUE"""),15.0)</f>
        <v>15</v>
      </c>
      <c r="G17" s="1" t="str">
        <f>IFERROR(__xludf.DUMMYFUNCTION("""COMPUTED_VALUE"""),"Bohr")</f>
        <v>Bohr</v>
      </c>
      <c r="H17" s="1" t="str">
        <f>IFERROR(__xludf.DUMMYFUNCTION("""COMPUTED_VALUE"""),"Tupelo")</f>
        <v>Tupelo</v>
      </c>
      <c r="I17" s="15">
        <f>IFERROR(__xludf.DUMMYFUNCTION("""COMPUTED_VALUE"""),100.5)</f>
        <v>100.5</v>
      </c>
      <c r="J17" s="1">
        <f>IFERROR(__xludf.DUMMYFUNCTION("""COMPUTED_VALUE"""),31.0)</f>
        <v>31</v>
      </c>
      <c r="L17" s="1"/>
      <c r="M17" s="1"/>
      <c r="N17" s="1"/>
      <c r="O17" s="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>
      <c r="B18" s="1" t="str">
        <f>IFERROR(__xludf.DUMMYFUNCTION("""COMPUTED_VALUE"""),"Lehmann")</f>
        <v>Lehmann</v>
      </c>
      <c r="C18" s="1" t="str">
        <f>IFERROR(__xludf.DUMMYFUNCTION("""COMPUTED_VALUE"""),"Blair B")</f>
        <v>Blair B</v>
      </c>
      <c r="D18" s="15">
        <f>IFERROR(__xludf.DUMMYFUNCTION("""COMPUTED_VALUE"""),157.5)</f>
        <v>157.5</v>
      </c>
      <c r="E18" s="1">
        <f>IFERROR(__xludf.DUMMYFUNCTION("""COMPUTED_VALUE"""),16.0)</f>
        <v>16</v>
      </c>
      <c r="G18" s="1" t="str">
        <f>IFERROR(__xludf.DUMMYFUNCTION("""COMPUTED_VALUE"""),"Franklin")</f>
        <v>Franklin</v>
      </c>
      <c r="H18" s="1" t="str">
        <f>IFERROR(__xludf.DUMMYFUNCTION("""COMPUTED_VALUE"""),"Maryville B")</f>
        <v>Maryville B</v>
      </c>
      <c r="I18" s="15">
        <f>IFERROR(__xludf.DUMMYFUNCTION("""COMPUTED_VALUE"""),99.0)</f>
        <v>99</v>
      </c>
      <c r="J18" s="1">
        <f>IFERROR(__xludf.DUMMYFUNCTION("""COMPUTED_VALUE"""),32.0)</f>
        <v>32</v>
      </c>
      <c r="L18" s="1"/>
      <c r="M18" s="1"/>
      <c r="N18" s="1"/>
      <c r="O18" s="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ht="37.5" customHeight="1">
      <c r="B19" s="81"/>
      <c r="G19" s="81"/>
      <c r="L19" s="1"/>
      <c r="M19" s="1"/>
      <c r="N19" s="1"/>
      <c r="O19" s="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1"/>
      <c r="B20" s="1"/>
      <c r="C20" s="1"/>
      <c r="D20" s="1"/>
      <c r="E20" s="1"/>
      <c r="G20" s="1"/>
      <c r="H20" s="1"/>
      <c r="I20" s="1"/>
      <c r="J20" s="1"/>
      <c r="L20" s="1"/>
      <c r="M20" s="1"/>
      <c r="N20" s="1"/>
      <c r="O20" s="1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>
      <c r="A21" s="1"/>
      <c r="B21" s="3" t="str">
        <f>IFERROR(__xludf.DUMMYFUNCTION("""COMPUTED_VALUE"""),"1st in Division")</f>
        <v>1st in Division</v>
      </c>
      <c r="G21" s="3" t="str">
        <f>IFERROR(__xludf.DUMMYFUNCTION("""COMPUTED_VALUE"""),"2nd in Division")</f>
        <v>2nd in Division</v>
      </c>
      <c r="L21" s="3" t="str">
        <f>IFERROR(__xludf.DUMMYFUNCTION("""COMPUTED_VALUE"""),"3rd in Division")</f>
        <v>3rd in Division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>
      <c r="A22" s="1"/>
      <c r="B22" s="3" t="str">
        <f>IFERROR(__xludf.DUMMYFUNCTION("""COMPUTED_VALUE"""),"Division")</f>
        <v>Division</v>
      </c>
      <c r="C22" s="3" t="str">
        <f>IFERROR(__xludf.DUMMYFUNCTION("""COMPUTED_VALUE"""),"Name")</f>
        <v>Name</v>
      </c>
      <c r="D22" s="3" t="str">
        <f>IFERROR(__xludf.DUMMYFUNCTION("""COMPUTED_VALUE"""),"Avg. Score")</f>
        <v>Avg. Score</v>
      </c>
      <c r="E22" s="3"/>
      <c r="G22" s="3" t="str">
        <f>IFERROR(__xludf.DUMMYFUNCTION("""COMPUTED_VALUE"""),"Division")</f>
        <v>Division</v>
      </c>
      <c r="H22" s="3" t="str">
        <f>IFERROR(__xludf.DUMMYFUNCTION("""COMPUTED_VALUE"""),"Name")</f>
        <v>Name</v>
      </c>
      <c r="I22" s="3" t="str">
        <f>IFERROR(__xludf.DUMMYFUNCTION("""COMPUTED_VALUE"""),"Avg. Score")</f>
        <v>Avg. Score</v>
      </c>
      <c r="J22" s="3"/>
      <c r="L22" s="3" t="str">
        <f>IFERROR(__xludf.DUMMYFUNCTION("""COMPUTED_VALUE"""),"Division")</f>
        <v>Division</v>
      </c>
      <c r="M22" s="3" t="str">
        <f>IFERROR(__xludf.DUMMYFUNCTION("""COMPUTED_VALUE"""),"Name")</f>
        <v>Name</v>
      </c>
      <c r="N22" s="3" t="str">
        <f>IFERROR(__xludf.DUMMYFUNCTION("""COMPUTED_VALUE"""),"Avg. Score")</f>
        <v>Avg. Score</v>
      </c>
      <c r="O22" s="3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>
      <c r="A23" s="1"/>
      <c r="B23" s="1" t="str">
        <f>IFERROR(__xludf.DUMMYFUNCTION("""COMPUTED_VALUE"""),"Ampere")</f>
        <v>Ampere</v>
      </c>
      <c r="C23" s="1" t="str">
        <f>IFERROR(__xludf.DUMMYFUNCTION("""COMPUTED_VALUE"""),"Buchholz A")</f>
        <v>Buchholz A</v>
      </c>
      <c r="D23" s="15">
        <f>IFERROR(__xludf.DUMMYFUNCTION("""COMPUTED_VALUE"""),227.2)</f>
        <v>227.2</v>
      </c>
      <c r="E23" s="1"/>
      <c r="G23" s="1" t="str">
        <f>IFERROR(__xludf.DUMMYFUNCTION("""COMPUTED_VALUE"""),"Ampere")</f>
        <v>Ampere</v>
      </c>
      <c r="H23" s="1" t="str">
        <f>IFERROR(__xludf.DUMMYFUNCTION("""COMPUTED_VALUE"""),"MCA")</f>
        <v>MCA</v>
      </c>
      <c r="I23" s="15">
        <f>IFERROR(__xludf.DUMMYFUNCTION("""COMPUTED_VALUE"""),118.8)</f>
        <v>118.8</v>
      </c>
      <c r="J23" s="1"/>
      <c r="L23" s="1" t="str">
        <f>IFERROR(__xludf.DUMMYFUNCTION("""COMPUTED_VALUE"""),"Ampere")</f>
        <v>Ampere</v>
      </c>
      <c r="M23" s="1" t="str">
        <f>IFERROR(__xludf.DUMMYFUNCTION("""COMPUTED_VALUE"""),"BOW A")</f>
        <v>BOW A</v>
      </c>
      <c r="N23" s="15">
        <f>IFERROR(__xludf.DUMMYFUNCTION("""COMPUTED_VALUE"""),42.0)</f>
        <v>42</v>
      </c>
      <c r="O23" s="1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>
      <c r="A24" s="1"/>
      <c r="B24" s="1" t="str">
        <f>IFERROR(__xludf.DUMMYFUNCTION("""COMPUTED_VALUE"""),"Bohr")</f>
        <v>Bohr</v>
      </c>
      <c r="C24" s="1" t="str">
        <f>IFERROR(__xludf.DUMMYFUNCTION("""COMPUTED_VALUE"""),"Westminster")</f>
        <v>Westminster</v>
      </c>
      <c r="D24" s="15">
        <f>IFERROR(__xludf.DUMMYFUNCTION("""COMPUTED_VALUE"""),226.5)</f>
        <v>226.5</v>
      </c>
      <c r="E24" s="1"/>
      <c r="G24" s="1" t="str">
        <f>IFERROR(__xludf.DUMMYFUNCTION("""COMPUTED_VALUE"""),"Bohr")</f>
        <v>Bohr</v>
      </c>
      <c r="H24" s="1" t="str">
        <f>IFERROR(__xludf.DUMMYFUNCTION("""COMPUTED_VALUE"""),"Lindbergh A")</f>
        <v>Lindbergh A</v>
      </c>
      <c r="I24" s="15">
        <f>IFERROR(__xludf.DUMMYFUNCTION("""COMPUTED_VALUE"""),90.0)</f>
        <v>90</v>
      </c>
      <c r="J24" s="1"/>
      <c r="L24" s="1" t="str">
        <f>IFERROR(__xludf.DUMMYFUNCTION("""COMPUTED_VALUE"""),"Bohr")</f>
        <v>Bohr</v>
      </c>
      <c r="M24" s="1" t="str">
        <f>IFERROR(__xludf.DUMMYFUNCTION("""COMPUTED_VALUE"""),"Tupelo")</f>
        <v>Tupelo</v>
      </c>
      <c r="N24" s="15">
        <f>IFERROR(__xludf.DUMMYFUNCTION("""COMPUTED_VALUE"""),100.5)</f>
        <v>100.5</v>
      </c>
      <c r="O24" s="1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1"/>
      <c r="B25" s="1" t="str">
        <f>IFERROR(__xludf.DUMMYFUNCTION("""COMPUTED_VALUE"""),"Curie")</f>
        <v>Curie</v>
      </c>
      <c r="C25" s="1" t="str">
        <f>IFERROR(__xludf.DUMMYFUNCTION("""COMPUTED_VALUE"""),"Lexington A")</f>
        <v>Lexington A</v>
      </c>
      <c r="D25" s="15">
        <f>IFERROR(__xludf.DUMMYFUNCTION("""COMPUTED_VALUE"""),216.0)</f>
        <v>216</v>
      </c>
      <c r="E25" s="1"/>
      <c r="G25" s="1" t="str">
        <f>IFERROR(__xludf.DUMMYFUNCTION("""COMPUTED_VALUE"""),"Curie")</f>
        <v>Curie</v>
      </c>
      <c r="H25" s="1" t="str">
        <f>IFERROR(__xludf.DUMMYFUNCTION("""COMPUTED_VALUE"""),"AHS Broward A")</f>
        <v>AHS Broward A</v>
      </c>
      <c r="I25" s="15">
        <f>IFERROR(__xludf.DUMMYFUNCTION("""COMPUTED_VALUE"""),135.5)</f>
        <v>135.5</v>
      </c>
      <c r="J25" s="1"/>
      <c r="L25" s="1" t="str">
        <f>IFERROR(__xludf.DUMMYFUNCTION("""COMPUTED_VALUE"""),"Curie")</f>
        <v>Curie</v>
      </c>
      <c r="M25" s="1" t="str">
        <f>IFERROR(__xludf.DUMMYFUNCTION("""COMPUTED_VALUE"""),"SCDS")</f>
        <v>SCDS</v>
      </c>
      <c r="N25" s="15">
        <f>IFERROR(__xludf.DUMMYFUNCTION("""COMPUTED_VALUE"""),87.5)</f>
        <v>87.5</v>
      </c>
      <c r="O25" s="1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>
      <c r="A26" s="1"/>
      <c r="B26" s="1" t="str">
        <f>IFERROR(__xludf.DUMMYFUNCTION("""COMPUTED_VALUE"""),"Darwin")</f>
        <v>Darwin</v>
      </c>
      <c r="C26" s="1" t="str">
        <f>IFERROR(__xludf.DUMMYFUNCTION("""COMPUTED_VALUE"""),"Centennial")</f>
        <v>Centennial</v>
      </c>
      <c r="D26" s="15">
        <f>IFERROR(__xludf.DUMMYFUNCTION("""COMPUTED_VALUE"""),224.0)</f>
        <v>224</v>
      </c>
      <c r="E26" s="1"/>
      <c r="G26" s="1" t="str">
        <f>IFERROR(__xludf.DUMMYFUNCTION("""COMPUTED_VALUE"""),"Darwin")</f>
        <v>Darwin</v>
      </c>
      <c r="H26" s="1" t="str">
        <f>IFERROR(__xludf.DUMMYFUNCTION("""COMPUTED_VALUE"""),"AHS Broward B")</f>
        <v>AHS Broward B</v>
      </c>
      <c r="I26" s="15">
        <f>IFERROR(__xludf.DUMMYFUNCTION("""COMPUTED_VALUE"""),98.0)</f>
        <v>98</v>
      </c>
      <c r="J26" s="1"/>
      <c r="L26" s="1" t="str">
        <f>IFERROR(__xludf.DUMMYFUNCTION("""COMPUTED_VALUE"""),"Darwin")</f>
        <v>Darwin</v>
      </c>
      <c r="M26" s="1" t="str">
        <f>IFERROR(__xludf.DUMMYFUNCTION("""COMPUTED_VALUE"""),"Rickards")</f>
        <v>Rickards</v>
      </c>
      <c r="N26" s="15">
        <f>IFERROR(__xludf.DUMMYFUNCTION("""COMPUTED_VALUE"""),80.5)</f>
        <v>80.5</v>
      </c>
      <c r="O26" s="1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>
      <c r="A27" s="1"/>
      <c r="B27" s="1" t="str">
        <f>IFERROR(__xludf.DUMMYFUNCTION("""COMPUTED_VALUE"""),"Einstein")</f>
        <v>Einstein</v>
      </c>
      <c r="C27" s="1" t="str">
        <f>IFERROR(__xludf.DUMMYFUNCTION("""COMPUTED_VALUE"""),"Blair A")</f>
        <v>Blair A</v>
      </c>
      <c r="D27" s="15">
        <f>IFERROR(__xludf.DUMMYFUNCTION("""COMPUTED_VALUE"""),238.5)</f>
        <v>238.5</v>
      </c>
      <c r="E27" s="1"/>
      <c r="G27" s="1" t="str">
        <f>IFERROR(__xludf.DUMMYFUNCTION("""COMPUTED_VALUE"""),"Einstein")</f>
        <v>Einstein</v>
      </c>
      <c r="H27" s="1" t="str">
        <f>IFERROR(__xludf.DUMMYFUNCTION("""COMPUTED_VALUE"""),"ASFA A")</f>
        <v>ASFA A</v>
      </c>
      <c r="I27" s="15">
        <f>IFERROR(__xludf.DUMMYFUNCTION("""COMPUTED_VALUE"""),105.0)</f>
        <v>105</v>
      </c>
      <c r="J27" s="1"/>
      <c r="L27" s="1" t="str">
        <f>IFERROR(__xludf.DUMMYFUNCTION("""COMPUTED_VALUE"""),"Einstein")</f>
        <v>Einstein</v>
      </c>
      <c r="M27" s="1" t="str">
        <f>IFERROR(__xludf.DUMMYFUNCTION("""COMPUTED_VALUE"""),"Maryville A")</f>
        <v>Maryville A</v>
      </c>
      <c r="N27" s="15">
        <f>IFERROR(__xludf.DUMMYFUNCTION("""COMPUTED_VALUE"""),60.0)</f>
        <v>60</v>
      </c>
      <c r="O27" s="1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>
      <c r="A28" s="1"/>
      <c r="B28" s="1" t="str">
        <f>IFERROR(__xludf.DUMMYFUNCTION("""COMPUTED_VALUE"""),"Franklin")</f>
        <v>Franklin</v>
      </c>
      <c r="C28" s="1" t="str">
        <f>IFERROR(__xludf.DUMMYFUNCTION("""COMPUTED_VALUE"""),"Dulles A")</f>
        <v>Dulles A</v>
      </c>
      <c r="D28" s="15">
        <f>IFERROR(__xludf.DUMMYFUNCTION("""COMPUTED_VALUE"""),194.0)</f>
        <v>194</v>
      </c>
      <c r="E28" s="1"/>
      <c r="G28" s="1" t="str">
        <f>IFERROR(__xludf.DUMMYFUNCTION("""COMPUTED_VALUE"""),"Franklin")</f>
        <v>Franklin</v>
      </c>
      <c r="H28" s="1" t="str">
        <f>IFERROR(__xludf.DUMMYFUNCTION("""COMPUTED_VALUE"""),"Green Hope B")</f>
        <v>Green Hope B</v>
      </c>
      <c r="I28" s="15">
        <f>IFERROR(__xludf.DUMMYFUNCTION("""COMPUTED_VALUE"""),103.5)</f>
        <v>103.5</v>
      </c>
      <c r="J28" s="1"/>
      <c r="L28" s="1" t="str">
        <f>IFERROR(__xludf.DUMMYFUNCTION("""COMPUTED_VALUE"""),"Franklin")</f>
        <v>Franklin</v>
      </c>
      <c r="M28" s="1" t="str">
        <f>IFERROR(__xludf.DUMMYFUNCTION("""COMPUTED_VALUE"""),"Maryville B")</f>
        <v>Maryville B</v>
      </c>
      <c r="N28" s="15">
        <f>IFERROR(__xludf.DUMMYFUNCTION("""COMPUTED_VALUE"""),99.0)</f>
        <v>99</v>
      </c>
      <c r="O28" s="1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>
      <c r="A29" s="1"/>
      <c r="B29" s="1" t="str">
        <f>IFERROR(__xludf.DUMMYFUNCTION("""COMPUTED_VALUE"""),"Goodall")</f>
        <v>Goodall</v>
      </c>
      <c r="C29" s="1" t="str">
        <f>IFERROR(__xludf.DUMMYFUNCTION("""COMPUTED_VALUE"""),"JP Stevens A")</f>
        <v>JP Stevens A</v>
      </c>
      <c r="D29" s="15">
        <f>IFERROR(__xludf.DUMMYFUNCTION("""COMPUTED_VALUE"""),193.0)</f>
        <v>193</v>
      </c>
      <c r="E29" s="1"/>
      <c r="G29" s="1" t="str">
        <f>IFERROR(__xludf.DUMMYFUNCTION("""COMPUTED_VALUE"""),"Goodall")</f>
        <v>Goodall</v>
      </c>
      <c r="H29" s="1" t="str">
        <f>IFERROR(__xludf.DUMMYFUNCTION("""COMPUTED_VALUE"""),"Edison B")</f>
        <v>Edison B</v>
      </c>
      <c r="I29" s="15">
        <f>IFERROR(__xludf.DUMMYFUNCTION("""COMPUTED_VALUE"""),88.5)</f>
        <v>88.5</v>
      </c>
      <c r="J29" s="1"/>
      <c r="L29" s="1" t="str">
        <f>IFERROR(__xludf.DUMMYFUNCTION("""COMPUTED_VALUE"""),"Goodall")</f>
        <v>Goodall</v>
      </c>
      <c r="M29" s="1" t="str">
        <f>IFERROR(__xludf.DUMMYFUNCTION("""COMPUTED_VALUE"""),"Wayland A")</f>
        <v>Wayland A</v>
      </c>
      <c r="N29" s="15">
        <f>IFERROR(__xludf.DUMMYFUNCTION("""COMPUTED_VALUE"""),69.5)</f>
        <v>69.5</v>
      </c>
      <c r="O29" s="1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>
      <c r="A30" s="1"/>
      <c r="B30" s="1" t="str">
        <f>IFERROR(__xludf.DUMMYFUNCTION("""COMPUTED_VALUE"""),"Hawking")</f>
        <v>Hawking</v>
      </c>
      <c r="C30" s="1" t="str">
        <f>IFERROR(__xludf.DUMMYFUNCTION("""COMPUTED_VALUE"""),"duPont Manual")</f>
        <v>duPont Manual</v>
      </c>
      <c r="D30" s="15">
        <f>IFERROR(__xludf.DUMMYFUNCTION("""COMPUTED_VALUE"""),143.0)</f>
        <v>143</v>
      </c>
      <c r="E30" s="1"/>
      <c r="G30" s="1" t="str">
        <f>IFERROR(__xludf.DUMMYFUNCTION("""COMPUTED_VALUE"""),"Hawking")</f>
        <v>Hawking</v>
      </c>
      <c r="H30" s="1" t="str">
        <f>IFERROR(__xludf.DUMMYFUNCTION("""COMPUTED_VALUE"""),"Blair C")</f>
        <v>Blair C</v>
      </c>
      <c r="I30" s="15">
        <f>IFERROR(__xludf.DUMMYFUNCTION("""COMPUTED_VALUE"""),121.5)</f>
        <v>121.5</v>
      </c>
      <c r="J30" s="1"/>
      <c r="L30" s="1" t="str">
        <f>IFERROR(__xludf.DUMMYFUNCTION("""COMPUTED_VALUE"""),"Hawking")</f>
        <v>Hawking</v>
      </c>
      <c r="M30" s="1" t="str">
        <f>IFERROR(__xludf.DUMMYFUNCTION("""COMPUTED_VALUE"""),"Fayetteville")</f>
        <v>Fayetteville</v>
      </c>
      <c r="N30" s="15">
        <f>IFERROR(__xludf.DUMMYFUNCTION("""COMPUTED_VALUE"""),92.5)</f>
        <v>92.5</v>
      </c>
      <c r="O30" s="1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>
      <c r="A31" s="1"/>
      <c r="B31" s="1" t="str">
        <f>IFERROR(__xludf.DUMMYFUNCTION("""COMPUTED_VALUE"""),"Ising")</f>
        <v>Ising</v>
      </c>
      <c r="C31" s="1" t="str">
        <f>IFERROR(__xludf.DUMMYFUNCTION("""COMPUTED_VALUE"""),"RMHS A")</f>
        <v>RMHS A</v>
      </c>
      <c r="D31" s="15">
        <f>IFERROR(__xludf.DUMMYFUNCTION("""COMPUTED_VALUE"""),148.5)</f>
        <v>148.5</v>
      </c>
      <c r="E31" s="1"/>
      <c r="G31" s="1" t="str">
        <f>IFERROR(__xludf.DUMMYFUNCTION("""COMPUTED_VALUE"""),"Ising")</f>
        <v>Ising</v>
      </c>
      <c r="H31" s="1" t="str">
        <f>IFERROR(__xludf.DUMMYFUNCTION("""COMPUTED_VALUE"""),"Naperville North A")</f>
        <v>Naperville North A</v>
      </c>
      <c r="I31" s="15">
        <f>IFERROR(__xludf.DUMMYFUNCTION("""COMPUTED_VALUE"""),66.0)</f>
        <v>66</v>
      </c>
      <c r="J31" s="1"/>
      <c r="L31" s="1" t="str">
        <f>IFERROR(__xludf.DUMMYFUNCTION("""COMPUTED_VALUE"""),"Ising")</f>
        <v>Ising</v>
      </c>
      <c r="M31" s="1" t="str">
        <f>IFERROR(__xludf.DUMMYFUNCTION("""COMPUTED_VALUE"""),"POBJFK")</f>
        <v>POBJFK</v>
      </c>
      <c r="N31" s="15">
        <f>IFERROR(__xludf.DUMMYFUNCTION("""COMPUTED_VALUE"""),60.5)</f>
        <v>60.5</v>
      </c>
      <c r="O31" s="1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>
      <c r="A32" s="1"/>
      <c r="B32" s="1" t="str">
        <f>IFERROR(__xludf.DUMMYFUNCTION("""COMPUTED_VALUE"""),"Joule")</f>
        <v>Joule</v>
      </c>
      <c r="C32" s="1" t="str">
        <f>IFERROR(__xludf.DUMMYFUNCTION("""COMPUTED_VALUE"""),"Green Hope A")</f>
        <v>Green Hope A</v>
      </c>
      <c r="D32" s="15">
        <f>IFERROR(__xludf.DUMMYFUNCTION("""COMPUTED_VALUE"""),190.0)</f>
        <v>190</v>
      </c>
      <c r="E32" s="1"/>
      <c r="G32" s="1" t="str">
        <f>IFERROR(__xludf.DUMMYFUNCTION("""COMPUTED_VALUE"""),"Joule")</f>
        <v>Joule</v>
      </c>
      <c r="H32" s="1" t="str">
        <f>IFERROR(__xludf.DUMMYFUNCTION("""COMPUTED_VALUE"""),"Collierville")</f>
        <v>Collierville</v>
      </c>
      <c r="I32" s="15">
        <f>IFERROR(__xludf.DUMMYFUNCTION("""COMPUTED_VALUE"""),112.0)</f>
        <v>112</v>
      </c>
      <c r="J32" s="1"/>
      <c r="L32" s="1" t="str">
        <f>IFERROR(__xludf.DUMMYFUNCTION("""COMPUTED_VALUE"""),"Joule")</f>
        <v>Joule</v>
      </c>
      <c r="M32" s="1" t="str">
        <f>IFERROR(__xludf.DUMMYFUNCTION("""COMPUTED_VALUE"""),"Naperville North B")</f>
        <v>Naperville North B</v>
      </c>
      <c r="N32" s="15">
        <f>IFERROR(__xludf.DUMMYFUNCTION("""COMPUTED_VALUE"""),57.0)</f>
        <v>57</v>
      </c>
      <c r="O32" s="1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>
      <c r="A33" s="1"/>
      <c r="B33" s="1" t="str">
        <f>IFERROR(__xludf.DUMMYFUNCTION("""COMPUTED_VALUE"""),"Kepler")</f>
        <v>Kepler</v>
      </c>
      <c r="C33" s="1" t="str">
        <f>IFERROR(__xludf.DUMMYFUNCTION("""COMPUTED_VALUE"""),"MSMS")</f>
        <v>MSMS</v>
      </c>
      <c r="D33" s="15">
        <f>IFERROR(__xludf.DUMMYFUNCTION("""COMPUTED_VALUE"""),154.0)</f>
        <v>154</v>
      </c>
      <c r="E33" s="1"/>
      <c r="G33" s="1" t="str">
        <f>IFERROR(__xludf.DUMMYFUNCTION("""COMPUTED_VALUE"""),"Kepler")</f>
        <v>Kepler</v>
      </c>
      <c r="H33" s="1" t="str">
        <f>IFERROR(__xludf.DUMMYFUNCTION("""COMPUTED_VALUE"""),"Iolani A")</f>
        <v>Iolani A</v>
      </c>
      <c r="I33" s="15">
        <f>IFERROR(__xludf.DUMMYFUNCTION("""COMPUTED_VALUE"""),129.5)</f>
        <v>129.5</v>
      </c>
      <c r="J33" s="1"/>
      <c r="L33" s="1" t="str">
        <f>IFERROR(__xludf.DUMMYFUNCTION("""COMPUTED_VALUE"""),"Kepler")</f>
        <v>Kepler</v>
      </c>
      <c r="M33" s="1" t="str">
        <f>IFERROR(__xludf.DUMMYFUNCTION("""COMPUTED_VALUE"""),"ASFA B")</f>
        <v>ASFA B</v>
      </c>
      <c r="N33" s="15">
        <f>IFERROR(__xludf.DUMMYFUNCTION("""COMPUTED_VALUE"""),80.5)</f>
        <v>80.5</v>
      </c>
      <c r="O33" s="1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>
      <c r="A34" s="1"/>
      <c r="B34" s="1" t="str">
        <f>IFERROR(__xludf.DUMMYFUNCTION("""COMPUTED_VALUE"""),"Lehmann")</f>
        <v>Lehmann</v>
      </c>
      <c r="C34" s="1" t="str">
        <f>IFERROR(__xludf.DUMMYFUNCTION("""COMPUTED_VALUE"""),"Ladue")</f>
        <v>Ladue</v>
      </c>
      <c r="D34" s="15">
        <f>IFERROR(__xludf.DUMMYFUNCTION("""COMPUTED_VALUE"""),163.0)</f>
        <v>163</v>
      </c>
      <c r="E34" s="1"/>
      <c r="G34" s="1" t="str">
        <f>IFERROR(__xludf.DUMMYFUNCTION("""COMPUTED_VALUE"""),"Lehmann")</f>
        <v>Lehmann</v>
      </c>
      <c r="H34" s="1" t="str">
        <f>IFERROR(__xludf.DUMMYFUNCTION("""COMPUTED_VALUE"""),"Blair B")</f>
        <v>Blair B</v>
      </c>
      <c r="I34" s="15">
        <f>IFERROR(__xludf.DUMMYFUNCTION("""COMPUTED_VALUE"""),157.5)</f>
        <v>157.5</v>
      </c>
      <c r="J34" s="1"/>
      <c r="L34" s="1" t="str">
        <f>IFERROR(__xludf.DUMMYFUNCTION("""COMPUTED_VALUE"""),"Lehmann")</f>
        <v>Lehmann</v>
      </c>
      <c r="M34" s="1" t="str">
        <f>IFERROR(__xludf.DUMMYFUNCTION("""COMPUTED_VALUE"""),"Bob Jones")</f>
        <v>Bob Jones</v>
      </c>
      <c r="N34" s="15">
        <f>IFERROR(__xludf.DUMMYFUNCTION("""COMPUTED_VALUE"""),117.5)</f>
        <v>117.5</v>
      </c>
      <c r="O34" s="1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>
      <c r="A35" s="1"/>
      <c r="B35" s="1" t="str">
        <f>IFERROR(__xludf.DUMMYFUNCTION("""COMPUTED_VALUE"""),"Mendel")</f>
        <v>Mendel</v>
      </c>
      <c r="C35" s="1" t="str">
        <f>IFERROR(__xludf.DUMMYFUNCTION("""COMPUTED_VALUE"""),"PRISMS")</f>
        <v>PRISMS</v>
      </c>
      <c r="D35" s="15">
        <f>IFERROR(__xludf.DUMMYFUNCTION("""COMPUTED_VALUE"""),148.5)</f>
        <v>148.5</v>
      </c>
      <c r="E35" s="1"/>
      <c r="G35" s="1" t="str">
        <f>IFERROR(__xludf.DUMMYFUNCTION("""COMPUTED_VALUE"""),"Mendel")</f>
        <v>Mendel</v>
      </c>
      <c r="H35" s="1" t="str">
        <f>IFERROR(__xludf.DUMMYFUNCTION("""COMPUTED_VALUE"""),"Lexington B")</f>
        <v>Lexington B</v>
      </c>
      <c r="I35" s="15">
        <f>IFERROR(__xludf.DUMMYFUNCTION("""COMPUTED_VALUE"""),181.5)</f>
        <v>181.5</v>
      </c>
      <c r="J35" s="1"/>
      <c r="L35" s="1" t="str">
        <f>IFERROR(__xludf.DUMMYFUNCTION("""COMPUTED_VALUE"""),"Mendel")</f>
        <v>Mendel</v>
      </c>
      <c r="M35" s="1" t="str">
        <f>IFERROR(__xludf.DUMMYFUNCTION("""COMPUTED_VALUE"""),"Poolesville A")</f>
        <v>Poolesville A</v>
      </c>
      <c r="N35" s="15">
        <f>IFERROR(__xludf.DUMMYFUNCTION("""COMPUTED_VALUE"""),123.0)</f>
        <v>123</v>
      </c>
      <c r="O35" s="1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>
      <c r="A36" s="1"/>
      <c r="B36" s="1" t="str">
        <f>IFERROR(__xludf.DUMMYFUNCTION("""COMPUTED_VALUE"""),"Newton")</f>
        <v>Newton</v>
      </c>
      <c r="C36" s="1" t="str">
        <f>IFERROR(__xludf.DUMMYFUNCTION("""COMPUTED_VALUE"""),"Buchholz B")</f>
        <v>Buchholz B</v>
      </c>
      <c r="D36" s="15">
        <f>IFERROR(__xludf.DUMMYFUNCTION("""COMPUTED_VALUE"""),135.5)</f>
        <v>135.5</v>
      </c>
      <c r="E36" s="1"/>
      <c r="G36" s="1" t="str">
        <f>IFERROR(__xludf.DUMMYFUNCTION("""COMPUTED_VALUE"""),"Newton")</f>
        <v>Newton</v>
      </c>
      <c r="H36" s="1" t="str">
        <f>IFERROR(__xludf.DUMMYFUNCTION("""COMPUTED_VALUE"""),"Glastonbury A")</f>
        <v>Glastonbury A</v>
      </c>
      <c r="I36" s="15">
        <f>IFERROR(__xludf.DUMMYFUNCTION("""COMPUTED_VALUE"""),129.0)</f>
        <v>129</v>
      </c>
      <c r="J36" s="1"/>
      <c r="L36" s="1" t="str">
        <f>IFERROR(__xludf.DUMMYFUNCTION("""COMPUTED_VALUE"""),"Newton")</f>
        <v>Newton</v>
      </c>
      <c r="M36" s="1" t="str">
        <f>IFERROR(__xludf.DUMMYFUNCTION("""COMPUTED_VALUE"""),"Brooklyn Tech A")</f>
        <v>Brooklyn Tech A</v>
      </c>
      <c r="N36" s="15">
        <f>IFERROR(__xludf.DUMMYFUNCTION("""COMPUTED_VALUE"""),62.5)</f>
        <v>62.5</v>
      </c>
      <c r="O36" s="1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>
      <c r="A37" s="1"/>
      <c r="B37" s="1"/>
      <c r="C37" s="81"/>
      <c r="G37" s="1"/>
      <c r="H37" s="81"/>
      <c r="L37" s="1"/>
      <c r="M37" s="1"/>
      <c r="N37" s="1"/>
      <c r="O37" s="1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</sheetData>
  <mergeCells count="15">
    <mergeCell ref="A3:A19"/>
    <mergeCell ref="B19:E19"/>
    <mergeCell ref="G19:J19"/>
    <mergeCell ref="B21:E21"/>
    <mergeCell ref="G21:J21"/>
    <mergeCell ref="L21:O21"/>
    <mergeCell ref="C37:E37"/>
    <mergeCell ref="H37:J37"/>
    <mergeCell ref="A1:A2"/>
    <mergeCell ref="B1:E1"/>
    <mergeCell ref="F1:F2"/>
    <mergeCell ref="G1:J1"/>
    <mergeCell ref="K1:K2"/>
    <mergeCell ref="F3:F37"/>
    <mergeCell ref="K3:K37"/>
  </mergeCells>
  <drawing r:id="rId1"/>
</worksheet>
</file>