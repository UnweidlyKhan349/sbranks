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RR" sheetId="1" r:id="rId5"/>
    <sheet state="visible" name="Standard DE Bracket" sheetId="2" r:id="rId6"/>
    <sheet state="visible" name="Standard RR Schedule" sheetId="3" r:id="rId7"/>
    <sheet state="visible" name="Competitive DE Bracket" sheetId="4" r:id="rId8"/>
    <sheet state="visible" name="Competitive RR" sheetId="5" r:id="rId9"/>
    <sheet state="visible" name="Competitive RR Schedule" sheetId="6" r:id="rId10"/>
  </sheets>
  <definedNames/>
  <calcPr/>
</workbook>
</file>

<file path=xl/sharedStrings.xml><?xml version="1.0" encoding="utf-8"?>
<sst xmlns="http://schemas.openxmlformats.org/spreadsheetml/2006/main" count="992" uniqueCount="132">
  <si>
    <t>Winner's Bracket</t>
  </si>
  <si>
    <t>Room 245</t>
  </si>
  <si>
    <t>Odle MS</t>
  </si>
  <si>
    <t>Braik Divison</t>
  </si>
  <si>
    <t>Mira Loma A</t>
  </si>
  <si>
    <t>Room 236</t>
  </si>
  <si>
    <t>Carter Divison</t>
  </si>
  <si>
    <t>Guisti Divison</t>
  </si>
  <si>
    <t>Redmond</t>
  </si>
  <si>
    <t>NoHo B</t>
  </si>
  <si>
    <t>RR1 (8:00 PST)</t>
  </si>
  <si>
    <t>Tahoe Room</t>
  </si>
  <si>
    <t>Dulles A</t>
  </si>
  <si>
    <t>Clovis North A</t>
  </si>
  <si>
    <t>Venice A</t>
  </si>
  <si>
    <t>JTB 100</t>
  </si>
  <si>
    <t>Miller MS</t>
  </si>
  <si>
    <t>MSJ A</t>
  </si>
  <si>
    <t>Room 234</t>
  </si>
  <si>
    <t>Room 225</t>
  </si>
  <si>
    <t>Dulles B</t>
  </si>
  <si>
    <t>Reader/Score</t>
  </si>
  <si>
    <t>Team #1</t>
  </si>
  <si>
    <t>Team #2</t>
  </si>
  <si>
    <t>Temple City A</t>
  </si>
  <si>
    <t>Buchholz</t>
  </si>
  <si>
    <t>Dallin</t>
  </si>
  <si>
    <t>Team</t>
  </si>
  <si>
    <t>Odle</t>
  </si>
  <si>
    <t>Van Nuys</t>
  </si>
  <si>
    <t>Emmy</t>
  </si>
  <si>
    <t>Peter</t>
  </si>
  <si>
    <t>Whitney</t>
  </si>
  <si>
    <t>Akshansh</t>
  </si>
  <si>
    <t>Miller</t>
  </si>
  <si>
    <t>Nathan/Swarm</t>
  </si>
  <si>
    <t>Falmouth B</t>
  </si>
  <si>
    <t>WWPN B</t>
  </si>
  <si>
    <t>Shenendehowa A</t>
  </si>
  <si>
    <t>RR1</t>
  </si>
  <si>
    <t>Brijesh/Arnesh</t>
  </si>
  <si>
    <t>Venice B</t>
  </si>
  <si>
    <t>Los Alamos B</t>
  </si>
  <si>
    <t>Cave</t>
  </si>
  <si>
    <t>RR2</t>
  </si>
  <si>
    <t>Nikesh/Ray</t>
  </si>
  <si>
    <t>George Whittell</t>
  </si>
  <si>
    <t>Clovis North B</t>
  </si>
  <si>
    <t>RR3</t>
  </si>
  <si>
    <t>Country Day</t>
  </si>
  <si>
    <t>RR2 (8:45 PST)</t>
  </si>
  <si>
    <t>Shenendehowa</t>
  </si>
  <si>
    <t>Wins</t>
  </si>
  <si>
    <t>Losses</t>
  </si>
  <si>
    <t>Westview</t>
  </si>
  <si>
    <t>Loser's Bracket</t>
  </si>
  <si>
    <t>Total Pts</t>
  </si>
  <si>
    <t>Rank</t>
  </si>
  <si>
    <t>Mission San Jose A</t>
  </si>
  <si>
    <t>Temple City B</t>
  </si>
  <si>
    <t>W</t>
  </si>
  <si>
    <t>Clements</t>
  </si>
  <si>
    <t>Guinevere</t>
  </si>
  <si>
    <t>Tahoe</t>
  </si>
  <si>
    <t>Hailey/Alan</t>
  </si>
  <si>
    <t>Room 244</t>
  </si>
  <si>
    <t>Whitney Young A</t>
  </si>
  <si>
    <t>Room 239</t>
  </si>
  <si>
    <t>Huron</t>
  </si>
  <si>
    <t>RR3 (9:30 PST)</t>
  </si>
  <si>
    <t>Room 206</t>
  </si>
  <si>
    <t>Churchill MS</t>
  </si>
  <si>
    <t>Coronado</t>
  </si>
  <si>
    <t>Enloe A</t>
  </si>
  <si>
    <t>Geo</t>
  </si>
  <si>
    <t>WWPN</t>
  </si>
  <si>
    <t>Griffin</t>
  </si>
  <si>
    <t>Mira Loma B</t>
  </si>
  <si>
    <t>Marshall Divison</t>
  </si>
  <si>
    <t>Fossil Ridge</t>
  </si>
  <si>
    <t>Ripley Divison</t>
  </si>
  <si>
    <t>Walenta Divison</t>
  </si>
  <si>
    <t>WWPN A</t>
  </si>
  <si>
    <t>Foothill</t>
  </si>
  <si>
    <t>Buchholz A</t>
  </si>
  <si>
    <t>L</t>
  </si>
  <si>
    <t>D</t>
  </si>
  <si>
    <t>Courtyard</t>
  </si>
  <si>
    <t>Ethan/Ahana</t>
  </si>
  <si>
    <t>Megan/Alex</t>
  </si>
  <si>
    <t>Foothill B</t>
  </si>
  <si>
    <t>Pullman</t>
  </si>
  <si>
    <t>Churchill</t>
  </si>
  <si>
    <t>Jonathan/Nicholas</t>
  </si>
  <si>
    <t>Whitney Young B</t>
  </si>
  <si>
    <t>Punahou A</t>
  </si>
  <si>
    <t>Mt Ararat</t>
  </si>
  <si>
    <t>Fayetteville B</t>
  </si>
  <si>
    <t>Yarmouth</t>
  </si>
  <si>
    <t>Punahou B</t>
  </si>
  <si>
    <t>North Hollywood B</t>
  </si>
  <si>
    <t>Mt. Ararat</t>
  </si>
  <si>
    <t>Seeding</t>
  </si>
  <si>
    <t>Coral B</t>
  </si>
  <si>
    <t>Pts</t>
  </si>
  <si>
    <t>Seed</t>
  </si>
  <si>
    <t>Los Alamos</t>
  </si>
  <si>
    <t>Kevin/Alan</t>
  </si>
  <si>
    <t>Lakeside B</t>
  </si>
  <si>
    <t>Los Alamos A</t>
  </si>
  <si>
    <t>Riley/Ashley</t>
  </si>
  <si>
    <t>Falmouth A</t>
  </si>
  <si>
    <t>MSJ B</t>
  </si>
  <si>
    <t>Derek</t>
  </si>
  <si>
    <t>Richard</t>
  </si>
  <si>
    <t>Clark</t>
  </si>
  <si>
    <t>DNQ</t>
  </si>
  <si>
    <t>Derek/Swarm</t>
  </si>
  <si>
    <t>Daniel/Evan</t>
  </si>
  <si>
    <t>Jason/Sophie</t>
  </si>
  <si>
    <t>Gwen</t>
  </si>
  <si>
    <t>Punahou</t>
  </si>
  <si>
    <t>Lawhead Divison</t>
  </si>
  <si>
    <t>Coral A</t>
  </si>
  <si>
    <t>Foothill A</t>
  </si>
  <si>
    <t>Fayetteville A</t>
  </si>
  <si>
    <t>Enloe B</t>
  </si>
  <si>
    <t>Mission San Jose B</t>
  </si>
  <si>
    <t>Geoffrey</t>
  </si>
  <si>
    <t>Lakside A</t>
  </si>
  <si>
    <t>Iolani</t>
  </si>
  <si>
    <t>Lakeside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</si>
</sst>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8.0"/>
      <color theme="1"/>
      <name val="Playfair Display"/>
    </font>
    <font>
      <color theme="1"/>
      <name val="Amiri"/>
    </font>
    <font>
      <sz val="12.0"/>
      <color theme="1"/>
      <name val="Amiri"/>
    </font>
    <font>
      <b/>
      <sz val="28.0"/>
      <color rgb="FFA61C00"/>
      <name val="Playfair Display"/>
    </font>
    <font>
      <color theme="1"/>
      <name val="Arial"/>
      <scheme val="minor"/>
    </font>
    <font>
      <b/>
      <sz val="28.0"/>
      <color rgb="FFE69138"/>
      <name val="Playfair Display"/>
    </font>
    <font>
      <b/>
      <sz val="28.0"/>
      <color rgb="FF6AA84F"/>
      <name val="Playfair Display"/>
    </font>
    <font>
      <b/>
      <sz val="14.0"/>
      <color theme="1"/>
      <name val="Amiri"/>
    </font>
    <font/>
    <font>
      <color theme="1"/>
      <name val="Arial"/>
    </font>
    <font>
      <b/>
      <color theme="1"/>
      <name val="Arial"/>
      <scheme val="minor"/>
    </font>
    <font>
      <b/>
      <sz val="28.0"/>
      <color rgb="FF3C78D8"/>
      <name val="Playfair Display"/>
    </font>
    <font>
      <b/>
      <sz val="28.0"/>
      <color rgb="FF674EA7"/>
      <name val="Playfair Display"/>
    </font>
    <font>
      <b/>
      <sz val="28.0"/>
      <color rgb="FFA64D79"/>
      <name val="Playfair Display"/>
    </font>
    <font>
      <b/>
      <color theme="1"/>
      <name val="Arial"/>
    </font>
    <font>
      <b/>
      <sz val="28.0"/>
      <color rgb="FFF1C232"/>
      <name val="Playfair Display"/>
    </font>
  </fonts>
  <fills count="4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999999"/>
        <bgColor rgb="FF999999"/>
      </patternFill>
    </fill>
  </fills>
  <borders count="1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/>
    </xf>
    <xf borderId="5" fillId="0" fontId="9" numFmtId="0" xfId="0" applyBorder="1" applyFont="1"/>
    <xf borderId="6" fillId="0" fontId="9" numFmtId="0" xfId="0" applyBorder="1" applyFont="1"/>
    <xf borderId="1" fillId="0" fontId="5" numFmtId="0" xfId="0" applyBorder="1" applyFont="1"/>
    <xf borderId="1" fillId="0" fontId="10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2" fillId="0" fontId="10" numFmtId="0" xfId="0" applyAlignment="1" applyBorder="1" applyFont="1">
      <alignment vertical="bottom"/>
    </xf>
    <xf borderId="3" fillId="0" fontId="10" numFmtId="0" xfId="0" applyAlignment="1" applyBorder="1" applyFont="1">
      <alignment readingOrder="0" vertical="bottom"/>
    </xf>
    <xf borderId="0" fillId="0" fontId="11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6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9" fillId="0" fontId="10" numFmtId="0" xfId="0" applyAlignment="1" applyBorder="1" applyFont="1">
      <alignment vertical="bottom"/>
    </xf>
    <xf borderId="10" fillId="0" fontId="14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readingOrder="0" vertical="bottom"/>
    </xf>
    <xf borderId="12" fillId="0" fontId="3" numFmtId="0" xfId="0" applyAlignment="1" applyBorder="1" applyFont="1">
      <alignment horizontal="center"/>
    </xf>
    <xf borderId="8" fillId="2" fontId="3" numFmtId="0" xfId="0" applyAlignment="1" applyBorder="1" applyFill="1" applyFont="1">
      <alignment horizontal="center" vertical="bottom"/>
    </xf>
    <xf borderId="0" fillId="0" fontId="15" numFmtId="0" xfId="0" applyAlignment="1" applyFon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/>
    </xf>
    <xf borderId="1" fillId="0" fontId="9" numFmtId="0" xfId="0" applyBorder="1" applyFont="1"/>
    <xf borderId="3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0" fillId="0" fontId="14" numFmtId="0" xfId="0" applyAlignment="1" applyFont="1">
      <alignment shrinkToFit="0" vertical="bottom" wrapText="0"/>
    </xf>
    <xf borderId="8" fillId="3" fontId="3" numFmtId="0" xfId="0" applyAlignment="1" applyBorder="1" applyFill="1" applyFont="1">
      <alignment horizontal="center" vertical="bottom"/>
    </xf>
    <xf borderId="0" fillId="0" fontId="8" numFmtId="0" xfId="0" applyAlignment="1" applyFont="1">
      <alignment horizontal="center" readingOrder="0"/>
    </xf>
    <xf borderId="8" fillId="0" fontId="8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14" fillId="0" fontId="8" numFmtId="0" xfId="0" applyAlignment="1" applyBorder="1" applyFont="1">
      <alignment horizontal="center" readingOrder="0"/>
    </xf>
    <xf borderId="7" fillId="0" fontId="9" numFmtId="0" xfId="0" applyBorder="1" applyFont="1"/>
    <xf borderId="15" fillId="0" fontId="9" numFmtId="0" xfId="0" applyBorder="1" applyFont="1"/>
    <xf borderId="15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2" fillId="0" fontId="9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3" fillId="0" fontId="9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16" fillId="0" fontId="8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readingOrder="0" vertical="bottom"/>
    </xf>
    <xf borderId="10" fillId="0" fontId="10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16" fillId="0" fontId="8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8" fillId="3" fontId="3" numFmtId="0" xfId="0" applyAlignment="1" applyBorder="1" applyFill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75"/>
    <col customWidth="1" min="3" max="3" width="0.38"/>
    <col customWidth="1" min="4" max="11" width="7.63"/>
  </cols>
  <sheetData>
    <row r="1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27</v>
      </c>
      <c r="B2" s="11"/>
      <c r="C2" s="11"/>
      <c r="D2" s="10" t="s">
        <v>39</v>
      </c>
      <c r="E2" s="12"/>
      <c r="F2" s="10" t="s">
        <v>44</v>
      </c>
      <c r="G2" s="12"/>
      <c r="H2" s="10" t="s">
        <v>48</v>
      </c>
      <c r="I2" s="12"/>
      <c r="J2" s="10" t="s">
        <v>52</v>
      </c>
      <c r="K2" s="23" t="s">
        <v>53</v>
      </c>
      <c r="L2" s="24" t="s">
        <v>56</v>
      </c>
      <c r="M2" s="25" t="s">
        <v>57</v>
      </c>
    </row>
    <row r="3">
      <c r="A3" s="26" t="s">
        <v>2</v>
      </c>
      <c r="D3" s="26" t="s">
        <v>60</v>
      </c>
      <c r="E3" s="27">
        <v>194.0</v>
      </c>
      <c r="F3" s="26" t="s">
        <v>60</v>
      </c>
      <c r="G3" s="27">
        <v>124.0</v>
      </c>
      <c r="H3" s="26" t="s">
        <v>60</v>
      </c>
      <c r="I3" s="27">
        <v>90.0</v>
      </c>
      <c r="J3" s="28">
        <f>countif(D3:I3,"W")</f>
        <v>3</v>
      </c>
      <c r="K3" s="29">
        <f t="shared" ref="K3:K6" si="1">countif(D3:I3,"L")</f>
        <v>0</v>
      </c>
      <c r="L3" s="35">
        <f t="shared" ref="L3:L6" si="2">SUM(E3,G3,I3)</f>
        <v>408</v>
      </c>
      <c r="M3" s="36">
        <v>1.0</v>
      </c>
      <c r="O3" s="37"/>
    </row>
    <row r="4">
      <c r="A4" s="26" t="s">
        <v>29</v>
      </c>
      <c r="D4" s="26" t="s">
        <v>85</v>
      </c>
      <c r="E4" s="27">
        <v>28.0</v>
      </c>
      <c r="F4" s="26" t="s">
        <v>85</v>
      </c>
      <c r="G4" s="27">
        <v>40.0</v>
      </c>
      <c r="H4" s="26" t="s">
        <v>86</v>
      </c>
      <c r="I4" s="27">
        <v>26.0</v>
      </c>
      <c r="J4" s="28">
        <f t="shared" ref="J4:J5" si="3">countif(D4:I4,"W") + countif(D4:I4, "D") / 2</f>
        <v>0.5</v>
      </c>
      <c r="K4" s="29">
        <f t="shared" si="1"/>
        <v>2</v>
      </c>
      <c r="L4" s="35">
        <f t="shared" si="2"/>
        <v>94</v>
      </c>
      <c r="M4" s="38">
        <v>3.0</v>
      </c>
      <c r="O4" s="15"/>
    </row>
    <row r="5">
      <c r="A5" s="26" t="s">
        <v>36</v>
      </c>
      <c r="D5" s="26" t="s">
        <v>85</v>
      </c>
      <c r="E5" s="27">
        <v>24.0</v>
      </c>
      <c r="F5" s="26" t="s">
        <v>85</v>
      </c>
      <c r="G5" s="27">
        <v>4.0</v>
      </c>
      <c r="H5" s="26" t="s">
        <v>86</v>
      </c>
      <c r="I5" s="27">
        <v>26.0</v>
      </c>
      <c r="J5" s="28">
        <f t="shared" si="3"/>
        <v>0.5</v>
      </c>
      <c r="K5" s="29">
        <f t="shared" si="1"/>
        <v>2</v>
      </c>
      <c r="L5" s="35">
        <f t="shared" si="2"/>
        <v>54</v>
      </c>
      <c r="M5" s="38">
        <v>4.0</v>
      </c>
      <c r="O5" s="37"/>
    </row>
    <row r="6">
      <c r="A6" s="39" t="s">
        <v>37</v>
      </c>
      <c r="B6" s="40"/>
      <c r="C6" s="40"/>
      <c r="D6" s="39" t="s">
        <v>60</v>
      </c>
      <c r="E6" s="41">
        <v>122.0</v>
      </c>
      <c r="F6" s="39" t="s">
        <v>60</v>
      </c>
      <c r="G6" s="41">
        <v>66.0</v>
      </c>
      <c r="H6" s="39" t="s">
        <v>85</v>
      </c>
      <c r="I6" s="41">
        <v>48.0</v>
      </c>
      <c r="J6" s="42">
        <f>countif(D6:I6,"W")</f>
        <v>2</v>
      </c>
      <c r="K6" s="43">
        <f t="shared" si="1"/>
        <v>1</v>
      </c>
      <c r="L6" s="44">
        <f t="shared" si="2"/>
        <v>236</v>
      </c>
      <c r="M6" s="46">
        <v>2.0</v>
      </c>
    </row>
    <row r="9">
      <c r="A9" s="6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10" t="s">
        <v>27</v>
      </c>
      <c r="B10" s="11"/>
      <c r="C10" s="11"/>
      <c r="D10" s="10" t="s">
        <v>39</v>
      </c>
      <c r="E10" s="12"/>
      <c r="F10" s="10" t="s">
        <v>44</v>
      </c>
      <c r="G10" s="12"/>
      <c r="H10" s="10" t="s">
        <v>48</v>
      </c>
      <c r="I10" s="12"/>
      <c r="J10" s="10" t="s">
        <v>52</v>
      </c>
      <c r="K10" s="23" t="s">
        <v>53</v>
      </c>
      <c r="L10" s="24" t="s">
        <v>56</v>
      </c>
      <c r="M10" s="48" t="s">
        <v>57</v>
      </c>
    </row>
    <row r="11">
      <c r="A11" s="26" t="s">
        <v>31</v>
      </c>
      <c r="D11" s="26" t="s">
        <v>60</v>
      </c>
      <c r="E11" s="27">
        <v>152.0</v>
      </c>
      <c r="F11" s="26" t="s">
        <v>60</v>
      </c>
      <c r="G11" s="27">
        <v>98.0</v>
      </c>
      <c r="H11" s="26" t="s">
        <v>60</v>
      </c>
      <c r="I11" s="27">
        <v>110.0</v>
      </c>
      <c r="J11" s="28">
        <f t="shared" ref="J11:J14" si="4">countif(D11:I11,"W")</f>
        <v>3</v>
      </c>
      <c r="K11" s="29">
        <f t="shared" ref="K11:K14" si="5">countif(D11:I11,"L")</f>
        <v>0</v>
      </c>
      <c r="L11" s="35">
        <f t="shared" ref="L11:L14" si="6">SUM(E11,G11,I11)</f>
        <v>360</v>
      </c>
      <c r="M11" s="36">
        <v>1.0</v>
      </c>
    </row>
    <row r="12">
      <c r="A12" s="26" t="s">
        <v>24</v>
      </c>
      <c r="D12" s="26" t="s">
        <v>85</v>
      </c>
      <c r="E12" s="27">
        <v>68.0</v>
      </c>
      <c r="F12" s="26" t="s">
        <v>60</v>
      </c>
      <c r="G12" s="27">
        <v>136.0</v>
      </c>
      <c r="H12" s="26" t="s">
        <v>60</v>
      </c>
      <c r="I12" s="27">
        <v>122.0</v>
      </c>
      <c r="J12" s="28">
        <f t="shared" si="4"/>
        <v>2</v>
      </c>
      <c r="K12" s="29">
        <f t="shared" si="5"/>
        <v>1</v>
      </c>
      <c r="L12" s="35">
        <f t="shared" si="6"/>
        <v>326</v>
      </c>
      <c r="M12" s="46">
        <v>2.0</v>
      </c>
    </row>
    <row r="13">
      <c r="A13" s="26" t="s">
        <v>41</v>
      </c>
      <c r="D13" s="26" t="s">
        <v>85</v>
      </c>
      <c r="E13" s="27">
        <v>30.0</v>
      </c>
      <c r="F13" s="26" t="s">
        <v>85</v>
      </c>
      <c r="G13" s="27">
        <v>22.0</v>
      </c>
      <c r="H13" s="26" t="s">
        <v>85</v>
      </c>
      <c r="I13" s="27">
        <v>12.0</v>
      </c>
      <c r="J13" s="28">
        <f t="shared" si="4"/>
        <v>0</v>
      </c>
      <c r="K13" s="29">
        <f t="shared" si="5"/>
        <v>3</v>
      </c>
      <c r="L13" s="35">
        <f t="shared" si="6"/>
        <v>64</v>
      </c>
      <c r="M13" s="38">
        <v>4.0</v>
      </c>
    </row>
    <row r="14">
      <c r="A14" s="39" t="s">
        <v>42</v>
      </c>
      <c r="B14" s="40"/>
      <c r="C14" s="40"/>
      <c r="D14" s="39" t="s">
        <v>60</v>
      </c>
      <c r="E14" s="41">
        <v>98.0</v>
      </c>
      <c r="F14" s="39" t="s">
        <v>85</v>
      </c>
      <c r="G14" s="41">
        <v>8.0</v>
      </c>
      <c r="H14" s="39" t="s">
        <v>85</v>
      </c>
      <c r="I14" s="41">
        <v>22.0</v>
      </c>
      <c r="J14" s="42">
        <f t="shared" si="4"/>
        <v>1</v>
      </c>
      <c r="K14" s="43">
        <f t="shared" si="5"/>
        <v>2</v>
      </c>
      <c r="L14" s="44">
        <f t="shared" si="6"/>
        <v>128</v>
      </c>
      <c r="M14" s="38">
        <v>3.0</v>
      </c>
    </row>
    <row r="17">
      <c r="A17" s="8" t="s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10" t="s">
        <v>27</v>
      </c>
      <c r="B18" s="11"/>
      <c r="C18" s="11"/>
      <c r="D18" s="10" t="s">
        <v>39</v>
      </c>
      <c r="E18" s="12"/>
      <c r="F18" s="10" t="s">
        <v>44</v>
      </c>
      <c r="G18" s="12"/>
      <c r="H18" s="10" t="s">
        <v>48</v>
      </c>
      <c r="I18" s="12"/>
      <c r="J18" s="10" t="s">
        <v>52</v>
      </c>
      <c r="K18" s="23" t="s">
        <v>53</v>
      </c>
      <c r="L18" s="24" t="s">
        <v>56</v>
      </c>
      <c r="M18" s="25" t="s">
        <v>57</v>
      </c>
    </row>
    <row r="19">
      <c r="A19" s="26" t="s">
        <v>34</v>
      </c>
      <c r="D19" s="26" t="s">
        <v>85</v>
      </c>
      <c r="E19" s="27">
        <v>110.0</v>
      </c>
      <c r="F19" s="26" t="s">
        <v>60</v>
      </c>
      <c r="G19" s="27">
        <v>118.0</v>
      </c>
      <c r="H19" s="26" t="s">
        <v>60</v>
      </c>
      <c r="I19" s="27">
        <v>76.0</v>
      </c>
      <c r="J19" s="28">
        <f t="shared" ref="J19:J22" si="7">countif(D19:I19,"W")</f>
        <v>2</v>
      </c>
      <c r="K19" s="29">
        <f t="shared" ref="K19:K22" si="8">countif(D19:I19,"L")</f>
        <v>1</v>
      </c>
      <c r="L19" s="35">
        <f t="shared" ref="L19:L22" si="9">SUM(E19,G19,I19)</f>
        <v>304</v>
      </c>
      <c r="M19" s="46">
        <v>2.0</v>
      </c>
    </row>
    <row r="20">
      <c r="A20" s="26" t="s">
        <v>14</v>
      </c>
      <c r="D20" s="26" t="s">
        <v>60</v>
      </c>
      <c r="E20" s="27">
        <v>130.0</v>
      </c>
      <c r="F20" s="26" t="s">
        <v>60</v>
      </c>
      <c r="G20" s="27">
        <v>84.0</v>
      </c>
      <c r="H20" s="26" t="s">
        <v>60</v>
      </c>
      <c r="I20" s="27">
        <v>98.0</v>
      </c>
      <c r="J20" s="28">
        <f t="shared" si="7"/>
        <v>3</v>
      </c>
      <c r="K20" s="29">
        <f t="shared" si="8"/>
        <v>0</v>
      </c>
      <c r="L20" s="35">
        <f t="shared" si="9"/>
        <v>312</v>
      </c>
      <c r="M20" s="36">
        <v>1.0</v>
      </c>
    </row>
    <row r="21">
      <c r="A21" s="26" t="s">
        <v>46</v>
      </c>
      <c r="D21" s="26" t="s">
        <v>85</v>
      </c>
      <c r="E21" s="27">
        <v>0.0</v>
      </c>
      <c r="F21" s="26" t="s">
        <v>85</v>
      </c>
      <c r="G21" s="27">
        <v>26.0</v>
      </c>
      <c r="H21" s="26" t="s">
        <v>85</v>
      </c>
      <c r="I21" s="27">
        <v>8.0</v>
      </c>
      <c r="J21" s="28">
        <f t="shared" si="7"/>
        <v>0</v>
      </c>
      <c r="K21" s="29">
        <f t="shared" si="8"/>
        <v>3</v>
      </c>
      <c r="L21" s="35">
        <f t="shared" si="9"/>
        <v>34</v>
      </c>
      <c r="M21" s="38">
        <v>4.0</v>
      </c>
    </row>
    <row r="22">
      <c r="A22" s="39" t="s">
        <v>47</v>
      </c>
      <c r="B22" s="40"/>
      <c r="C22" s="40"/>
      <c r="D22" s="39" t="s">
        <v>60</v>
      </c>
      <c r="E22" s="41">
        <v>98.0</v>
      </c>
      <c r="F22" s="39" t="s">
        <v>85</v>
      </c>
      <c r="G22" s="41">
        <v>44.0</v>
      </c>
      <c r="H22" s="39" t="s">
        <v>85</v>
      </c>
      <c r="I22" s="41">
        <v>46.0</v>
      </c>
      <c r="J22" s="42">
        <f t="shared" si="7"/>
        <v>1</v>
      </c>
      <c r="K22" s="43">
        <f t="shared" si="8"/>
        <v>2</v>
      </c>
      <c r="L22" s="44">
        <f t="shared" si="9"/>
        <v>188</v>
      </c>
      <c r="M22" s="38">
        <v>3.0</v>
      </c>
    </row>
    <row r="25">
      <c r="A25" s="30" t="s">
        <v>78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10" t="s">
        <v>27</v>
      </c>
      <c r="B26" s="11"/>
      <c r="C26" s="11"/>
      <c r="D26" s="10" t="s">
        <v>39</v>
      </c>
      <c r="E26" s="12"/>
      <c r="F26" s="10" t="s">
        <v>44</v>
      </c>
      <c r="G26" s="12"/>
      <c r="H26" s="10" t="s">
        <v>48</v>
      </c>
      <c r="I26" s="12"/>
      <c r="J26" s="10" t="s">
        <v>52</v>
      </c>
      <c r="K26" s="23" t="s">
        <v>53</v>
      </c>
      <c r="L26" s="24" t="s">
        <v>56</v>
      </c>
      <c r="M26" s="25" t="s">
        <v>57</v>
      </c>
    </row>
    <row r="27">
      <c r="A27" s="26" t="s">
        <v>49</v>
      </c>
      <c r="D27" s="26" t="s">
        <v>60</v>
      </c>
      <c r="E27" s="27">
        <v>96.0</v>
      </c>
      <c r="F27" s="26" t="s">
        <v>60</v>
      </c>
      <c r="G27" s="27">
        <v>104.0</v>
      </c>
      <c r="H27" s="26" t="s">
        <v>60</v>
      </c>
      <c r="I27" s="27">
        <v>70.0</v>
      </c>
      <c r="J27" s="28">
        <f t="shared" ref="J27:J30" si="10">countif(D27:I27,"W")</f>
        <v>3</v>
      </c>
      <c r="K27" s="29">
        <f t="shared" ref="K27:K30" si="11">countif(D27:I27,"L")</f>
        <v>0</v>
      </c>
      <c r="L27" s="35">
        <f t="shared" ref="L27:L30" si="12">SUM(E27,G27,I27)</f>
        <v>270</v>
      </c>
      <c r="M27" s="36">
        <v>1.0</v>
      </c>
    </row>
    <row r="28">
      <c r="A28" s="26" t="s">
        <v>72</v>
      </c>
      <c r="D28" s="26" t="s">
        <v>85</v>
      </c>
      <c r="E28" s="27">
        <v>62.0</v>
      </c>
      <c r="F28" s="26" t="s">
        <v>85</v>
      </c>
      <c r="G28" s="27">
        <v>34.0</v>
      </c>
      <c r="H28" s="26" t="s">
        <v>60</v>
      </c>
      <c r="I28" s="27">
        <v>52.0</v>
      </c>
      <c r="J28" s="28">
        <f t="shared" si="10"/>
        <v>1</v>
      </c>
      <c r="K28" s="29">
        <f t="shared" si="11"/>
        <v>2</v>
      </c>
      <c r="L28" s="35">
        <f t="shared" si="12"/>
        <v>148</v>
      </c>
      <c r="M28" s="46">
        <v>2.0</v>
      </c>
    </row>
    <row r="29">
      <c r="A29" s="26" t="s">
        <v>59</v>
      </c>
      <c r="D29" s="26" t="s">
        <v>60</v>
      </c>
      <c r="E29" s="27">
        <v>66.0</v>
      </c>
      <c r="F29" s="26" t="s">
        <v>85</v>
      </c>
      <c r="G29" s="27">
        <v>22.0</v>
      </c>
      <c r="H29" s="26" t="s">
        <v>85</v>
      </c>
      <c r="I29" s="27">
        <v>32.0</v>
      </c>
      <c r="J29" s="28">
        <f t="shared" si="10"/>
        <v>1</v>
      </c>
      <c r="K29" s="29">
        <f t="shared" si="11"/>
        <v>2</v>
      </c>
      <c r="L29" s="35">
        <f t="shared" si="12"/>
        <v>120</v>
      </c>
      <c r="M29" s="49">
        <v>3.0</v>
      </c>
    </row>
    <row r="30">
      <c r="A30" s="39" t="s">
        <v>94</v>
      </c>
      <c r="B30" s="40"/>
      <c r="C30" s="40"/>
      <c r="D30" s="39" t="s">
        <v>85</v>
      </c>
      <c r="E30" s="41">
        <v>52.0</v>
      </c>
      <c r="F30" s="39" t="s">
        <v>60</v>
      </c>
      <c r="G30" s="41">
        <v>38.0</v>
      </c>
      <c r="H30" s="39" t="s">
        <v>85</v>
      </c>
      <c r="I30" s="41">
        <v>18.0</v>
      </c>
      <c r="J30" s="42">
        <f t="shared" si="10"/>
        <v>1</v>
      </c>
      <c r="K30" s="43">
        <f t="shared" si="11"/>
        <v>2</v>
      </c>
      <c r="L30" s="44">
        <f t="shared" si="12"/>
        <v>108</v>
      </c>
      <c r="M30" s="49">
        <v>4.0</v>
      </c>
    </row>
    <row r="33">
      <c r="A33" s="31" t="s">
        <v>80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A34" s="10" t="s">
        <v>27</v>
      </c>
      <c r="B34" s="11"/>
      <c r="C34" s="11"/>
      <c r="D34" s="10" t="s">
        <v>39</v>
      </c>
      <c r="E34" s="12"/>
      <c r="F34" s="10" t="s">
        <v>44</v>
      </c>
      <c r="G34" s="12"/>
      <c r="H34" s="10" t="s">
        <v>48</v>
      </c>
      <c r="I34" s="12"/>
      <c r="J34" s="10" t="s">
        <v>52</v>
      </c>
      <c r="K34" s="23" t="s">
        <v>53</v>
      </c>
      <c r="L34" s="24" t="s">
        <v>56</v>
      </c>
      <c r="M34" s="25" t="s">
        <v>57</v>
      </c>
    </row>
    <row r="35">
      <c r="A35" s="26" t="s">
        <v>32</v>
      </c>
      <c r="D35" s="26" t="s">
        <v>60</v>
      </c>
      <c r="E35" s="27">
        <v>90.0</v>
      </c>
      <c r="F35" s="26" t="s">
        <v>60</v>
      </c>
      <c r="G35" s="27">
        <v>110.0</v>
      </c>
      <c r="H35" s="26" t="s">
        <v>60</v>
      </c>
      <c r="I35" s="27">
        <v>82.0</v>
      </c>
      <c r="J35" s="28">
        <f t="shared" ref="J35:J38" si="13">countif(D35:I35,"W")</f>
        <v>3</v>
      </c>
      <c r="K35" s="29">
        <f t="shared" ref="K35:K38" si="14">countif(D35:I35,"L")</f>
        <v>0</v>
      </c>
      <c r="L35" s="35">
        <f t="shared" ref="L35:L38" si="15">SUM(E35,G35,I35)</f>
        <v>282</v>
      </c>
      <c r="M35" s="36">
        <v>1.0</v>
      </c>
    </row>
    <row r="36">
      <c r="A36" s="26" t="s">
        <v>90</v>
      </c>
      <c r="D36" s="26" t="s">
        <v>85</v>
      </c>
      <c r="E36" s="27">
        <v>70.0</v>
      </c>
      <c r="F36" s="26" t="s">
        <v>60</v>
      </c>
      <c r="G36" s="27">
        <v>72.0</v>
      </c>
      <c r="H36" s="26" t="s">
        <v>85</v>
      </c>
      <c r="I36" s="27">
        <v>28.0</v>
      </c>
      <c r="J36" s="28">
        <f t="shared" si="13"/>
        <v>1</v>
      </c>
      <c r="K36" s="29">
        <f t="shared" si="14"/>
        <v>2</v>
      </c>
      <c r="L36" s="35">
        <f t="shared" si="15"/>
        <v>170</v>
      </c>
      <c r="M36" s="38">
        <v>3.0</v>
      </c>
    </row>
    <row r="37">
      <c r="A37" s="26" t="s">
        <v>100</v>
      </c>
      <c r="D37" s="26" t="s">
        <v>60</v>
      </c>
      <c r="E37" s="27">
        <v>104.0</v>
      </c>
      <c r="F37" s="26" t="s">
        <v>85</v>
      </c>
      <c r="G37" s="27">
        <v>80.0</v>
      </c>
      <c r="H37" s="26" t="s">
        <v>60</v>
      </c>
      <c r="I37" s="27">
        <v>62.0</v>
      </c>
      <c r="J37" s="28">
        <f t="shared" si="13"/>
        <v>2</v>
      </c>
      <c r="K37" s="29">
        <f t="shared" si="14"/>
        <v>1</v>
      </c>
      <c r="L37" s="35">
        <f t="shared" si="15"/>
        <v>246</v>
      </c>
      <c r="M37" s="46">
        <v>2.0</v>
      </c>
    </row>
    <row r="38">
      <c r="A38" s="39" t="s">
        <v>101</v>
      </c>
      <c r="B38" s="40"/>
      <c r="C38" s="40"/>
      <c r="D38" s="39" t="s">
        <v>85</v>
      </c>
      <c r="E38" s="41">
        <v>48.0</v>
      </c>
      <c r="F38" s="39" t="s">
        <v>85</v>
      </c>
      <c r="G38" s="41">
        <v>20.0</v>
      </c>
      <c r="H38" s="39" t="s">
        <v>85</v>
      </c>
      <c r="I38" s="41">
        <v>26.0</v>
      </c>
      <c r="J38" s="42">
        <f t="shared" si="13"/>
        <v>0</v>
      </c>
      <c r="K38" s="43">
        <f t="shared" si="14"/>
        <v>3</v>
      </c>
      <c r="L38" s="44">
        <f t="shared" si="15"/>
        <v>94</v>
      </c>
      <c r="M38" s="49">
        <v>4.0</v>
      </c>
    </row>
    <row r="41">
      <c r="A41" s="33" t="s">
        <v>81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50" t="s">
        <v>27</v>
      </c>
      <c r="B42" s="51"/>
      <c r="C42" s="51"/>
      <c r="D42" s="50" t="s">
        <v>39</v>
      </c>
      <c r="E42" s="52"/>
      <c r="F42" s="50" t="s">
        <v>44</v>
      </c>
      <c r="G42" s="52"/>
      <c r="H42" s="50" t="s">
        <v>48</v>
      </c>
      <c r="I42" s="52"/>
      <c r="J42" s="50" t="s">
        <v>52</v>
      </c>
      <c r="K42" s="53" t="s">
        <v>53</v>
      </c>
      <c r="L42" s="54" t="s">
        <v>56</v>
      </c>
      <c r="M42" s="25" t="s">
        <v>57</v>
      </c>
    </row>
    <row r="43">
      <c r="A43" s="55" t="s">
        <v>20</v>
      </c>
      <c r="B43" s="51"/>
      <c r="C43" s="52"/>
      <c r="D43" s="55" t="s">
        <v>60</v>
      </c>
      <c r="E43" s="56">
        <v>124.0</v>
      </c>
      <c r="F43" s="55" t="s">
        <v>60</v>
      </c>
      <c r="G43" s="56">
        <v>114.0</v>
      </c>
      <c r="H43" s="55" t="s">
        <v>60</v>
      </c>
      <c r="I43" s="56">
        <v>44.0</v>
      </c>
      <c r="J43" s="57">
        <f>countif(D43:I43,"W")</f>
        <v>3</v>
      </c>
      <c r="K43" s="58">
        <f t="shared" ref="K43:K48" si="16">countif(D43:I43,"L")</f>
        <v>0</v>
      </c>
      <c r="L43" s="59">
        <f t="shared" ref="L43:L48" si="17">SUM(E43,G43,I43)</f>
        <v>282</v>
      </c>
      <c r="M43" s="36">
        <v>1.0</v>
      </c>
    </row>
    <row r="44">
      <c r="A44" s="26" t="s">
        <v>92</v>
      </c>
      <c r="C44" s="60"/>
      <c r="D44" s="26" t="s">
        <v>85</v>
      </c>
      <c r="E44" s="61">
        <v>64.0</v>
      </c>
      <c r="F44" s="26" t="s">
        <v>60</v>
      </c>
      <c r="G44" s="61">
        <v>42.0</v>
      </c>
      <c r="H44" s="26" t="s">
        <v>60</v>
      </c>
      <c r="I44" s="61">
        <v>52.0</v>
      </c>
      <c r="J44" s="28">
        <f>countif(D44:I44,"W") + countif(D44:I44, "D") / 2</f>
        <v>2</v>
      </c>
      <c r="K44" s="62">
        <f t="shared" si="16"/>
        <v>1</v>
      </c>
      <c r="L44" s="35">
        <f t="shared" si="17"/>
        <v>158</v>
      </c>
      <c r="M44" s="38">
        <v>3.0</v>
      </c>
    </row>
    <row r="45">
      <c r="A45" s="26" t="s">
        <v>97</v>
      </c>
      <c r="C45" s="60"/>
      <c r="D45" s="26" t="s">
        <v>60</v>
      </c>
      <c r="E45" s="61">
        <v>36.0</v>
      </c>
      <c r="F45" s="26" t="s">
        <v>85</v>
      </c>
      <c r="G45" s="61">
        <v>28.0</v>
      </c>
      <c r="H45" s="26" t="s">
        <v>85</v>
      </c>
      <c r="I45" s="61">
        <v>34.0</v>
      </c>
      <c r="J45" s="28">
        <f t="shared" ref="J45:J46" si="18">countif(D45:I45,"W")</f>
        <v>1</v>
      </c>
      <c r="K45" s="62">
        <f t="shared" si="16"/>
        <v>2</v>
      </c>
      <c r="L45" s="35">
        <f t="shared" si="17"/>
        <v>98</v>
      </c>
      <c r="M45" s="38">
        <v>5.0</v>
      </c>
    </row>
    <row r="46">
      <c r="A46" s="26" t="s">
        <v>98</v>
      </c>
      <c r="C46" s="60"/>
      <c r="D46" s="26" t="s">
        <v>85</v>
      </c>
      <c r="E46" s="61">
        <v>4.0</v>
      </c>
      <c r="F46" s="26" t="s">
        <v>85</v>
      </c>
      <c r="G46" s="61">
        <v>32.0</v>
      </c>
      <c r="H46" s="26" t="s">
        <v>85</v>
      </c>
      <c r="I46" s="61">
        <v>36.0</v>
      </c>
      <c r="J46" s="28">
        <f t="shared" si="18"/>
        <v>0</v>
      </c>
      <c r="K46" s="62">
        <f t="shared" si="16"/>
        <v>3</v>
      </c>
      <c r="L46" s="35">
        <f t="shared" si="17"/>
        <v>72</v>
      </c>
      <c r="M46" s="38">
        <v>6.0</v>
      </c>
    </row>
    <row r="47">
      <c r="A47" s="26" t="s">
        <v>99</v>
      </c>
      <c r="C47" s="60"/>
      <c r="D47" s="26" t="s">
        <v>85</v>
      </c>
      <c r="E47" s="61">
        <v>28.0</v>
      </c>
      <c r="F47" s="26" t="s">
        <v>60</v>
      </c>
      <c r="G47" s="61">
        <v>48.0</v>
      </c>
      <c r="H47" s="26" t="s">
        <v>85</v>
      </c>
      <c r="I47" s="61">
        <v>40.0</v>
      </c>
      <c r="J47" s="28">
        <f>countif(D47:I47,"W") + countif(D47:I47, "D") / 2</f>
        <v>1</v>
      </c>
      <c r="K47" s="62">
        <f t="shared" si="16"/>
        <v>2</v>
      </c>
      <c r="L47" s="35">
        <f t="shared" si="17"/>
        <v>116</v>
      </c>
      <c r="M47" s="38">
        <v>4.0</v>
      </c>
    </row>
    <row r="48">
      <c r="A48" s="39" t="s">
        <v>66</v>
      </c>
      <c r="B48" s="40"/>
      <c r="C48" s="63"/>
      <c r="D48" s="39" t="s">
        <v>60</v>
      </c>
      <c r="E48" s="64">
        <v>78.0</v>
      </c>
      <c r="F48" s="39" t="s">
        <v>85</v>
      </c>
      <c r="G48" s="64">
        <v>36.0</v>
      </c>
      <c r="H48" s="39" t="s">
        <v>60</v>
      </c>
      <c r="I48" s="64">
        <v>86.0</v>
      </c>
      <c r="J48" s="42">
        <f>countif(D48:I48,"W")</f>
        <v>2</v>
      </c>
      <c r="K48" s="65">
        <f t="shared" si="16"/>
        <v>1</v>
      </c>
      <c r="L48" s="44">
        <f t="shared" si="17"/>
        <v>200</v>
      </c>
      <c r="M48" s="46">
        <v>2.0</v>
      </c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</row>
    <row r="51">
      <c r="A51" s="68" t="s">
        <v>102</v>
      </c>
    </row>
    <row r="52">
      <c r="A52" s="50" t="s">
        <v>27</v>
      </c>
      <c r="B52" s="51"/>
      <c r="C52" s="51"/>
      <c r="D52" s="50" t="s">
        <v>52</v>
      </c>
      <c r="E52" s="53" t="s">
        <v>53</v>
      </c>
      <c r="F52" s="54" t="s">
        <v>104</v>
      </c>
      <c r="G52" s="25" t="s">
        <v>105</v>
      </c>
    </row>
    <row r="53">
      <c r="A53" s="55" t="s">
        <v>2</v>
      </c>
      <c r="B53" s="51"/>
      <c r="C53" s="52"/>
      <c r="D53" s="57">
        <v>3.0</v>
      </c>
      <c r="E53" s="58">
        <v>0.0</v>
      </c>
      <c r="F53" s="59">
        <v>408.0</v>
      </c>
      <c r="G53" s="36">
        <v>1.0</v>
      </c>
    </row>
    <row r="54">
      <c r="A54" s="70" t="s">
        <v>14</v>
      </c>
      <c r="C54" s="60"/>
      <c r="D54" s="71">
        <v>3.0</v>
      </c>
      <c r="E54" s="66">
        <v>0.0</v>
      </c>
      <c r="F54" s="72">
        <v>312.0</v>
      </c>
      <c r="G54" s="46">
        <v>2.0</v>
      </c>
    </row>
    <row r="55">
      <c r="A55" s="70" t="s">
        <v>20</v>
      </c>
      <c r="C55" s="60"/>
      <c r="D55" s="71">
        <v>3.0</v>
      </c>
      <c r="E55" s="66">
        <v>0.0</v>
      </c>
      <c r="F55" s="72">
        <v>282.0</v>
      </c>
      <c r="G55" s="49">
        <v>3.0</v>
      </c>
    </row>
    <row r="56">
      <c r="A56" s="73" t="s">
        <v>32</v>
      </c>
      <c r="C56" s="60"/>
      <c r="D56" s="71">
        <v>3.0</v>
      </c>
      <c r="E56" s="66">
        <v>0.0</v>
      </c>
      <c r="F56" s="72">
        <v>282.0</v>
      </c>
      <c r="G56" s="49">
        <v>4.0</v>
      </c>
    </row>
    <row r="57">
      <c r="A57" s="70" t="s">
        <v>49</v>
      </c>
      <c r="C57" s="60"/>
      <c r="D57" s="71">
        <v>3.0</v>
      </c>
      <c r="E57" s="66">
        <v>0.0</v>
      </c>
      <c r="F57" s="72">
        <v>270.0</v>
      </c>
      <c r="G57" s="49">
        <v>5.0</v>
      </c>
    </row>
    <row r="58">
      <c r="A58" s="70" t="s">
        <v>24</v>
      </c>
      <c r="C58" s="60"/>
      <c r="D58" s="71">
        <v>2.0</v>
      </c>
      <c r="E58" s="66">
        <v>1.0</v>
      </c>
      <c r="F58" s="72">
        <v>326.0</v>
      </c>
      <c r="G58" s="49">
        <v>6.0</v>
      </c>
    </row>
    <row r="59">
      <c r="A59" s="70" t="s">
        <v>34</v>
      </c>
      <c r="C59" s="60"/>
      <c r="D59" s="71">
        <v>2.0</v>
      </c>
      <c r="E59" s="66">
        <v>1.0</v>
      </c>
      <c r="F59" s="72">
        <v>304.0</v>
      </c>
      <c r="G59" s="49">
        <v>7.0</v>
      </c>
    </row>
    <row r="60">
      <c r="A60" s="70" t="s">
        <v>100</v>
      </c>
      <c r="C60" s="60"/>
      <c r="D60" s="71">
        <v>2.0</v>
      </c>
      <c r="E60" s="66">
        <v>1.0</v>
      </c>
      <c r="F60" s="72">
        <v>246.0</v>
      </c>
      <c r="G60" s="49">
        <v>8.0</v>
      </c>
    </row>
    <row r="61">
      <c r="A61" s="70" t="s">
        <v>37</v>
      </c>
      <c r="C61" s="60"/>
      <c r="D61" s="71">
        <v>2.0</v>
      </c>
      <c r="E61" s="66">
        <v>1.0</v>
      </c>
      <c r="F61" s="72">
        <v>236.0</v>
      </c>
      <c r="G61" s="49">
        <v>9.0</v>
      </c>
    </row>
    <row r="62">
      <c r="A62" s="70" t="s">
        <v>66</v>
      </c>
      <c r="C62" s="60"/>
      <c r="D62" s="71">
        <v>2.0</v>
      </c>
      <c r="E62" s="66">
        <v>1.0</v>
      </c>
      <c r="F62" s="72">
        <v>200.0</v>
      </c>
      <c r="G62" s="49">
        <v>10.0</v>
      </c>
    </row>
    <row r="63">
      <c r="A63" s="70" t="s">
        <v>92</v>
      </c>
      <c r="C63" s="60"/>
      <c r="D63" s="71">
        <v>2.0</v>
      </c>
      <c r="E63" s="66">
        <v>1.0</v>
      </c>
      <c r="F63" s="72">
        <v>158.0</v>
      </c>
      <c r="G63" s="49">
        <v>11.0</v>
      </c>
    </row>
    <row r="64">
      <c r="A64" s="70" t="s">
        <v>47</v>
      </c>
      <c r="C64" s="60"/>
      <c r="D64" s="71">
        <v>1.0</v>
      </c>
      <c r="E64" s="66">
        <v>2.0</v>
      </c>
      <c r="F64" s="72">
        <v>188.0</v>
      </c>
      <c r="G64" s="49">
        <v>12.0</v>
      </c>
    </row>
    <row r="65">
      <c r="A65" s="70" t="s">
        <v>90</v>
      </c>
      <c r="C65" s="60"/>
      <c r="D65" s="71">
        <v>1.0</v>
      </c>
      <c r="E65" s="66">
        <v>2.0</v>
      </c>
      <c r="F65" s="72">
        <v>170.0</v>
      </c>
      <c r="G65" s="49">
        <v>13.0</v>
      </c>
    </row>
    <row r="66">
      <c r="A66" s="70" t="s">
        <v>72</v>
      </c>
      <c r="C66" s="60"/>
      <c r="D66" s="71">
        <v>1.0</v>
      </c>
      <c r="E66" s="66">
        <v>2.0</v>
      </c>
      <c r="F66" s="72">
        <v>148.0</v>
      </c>
      <c r="G66" s="49">
        <v>14.0</v>
      </c>
    </row>
    <row r="67">
      <c r="A67" s="70" t="s">
        <v>42</v>
      </c>
      <c r="C67" s="60"/>
      <c r="D67" s="71">
        <v>1.0</v>
      </c>
      <c r="E67" s="66">
        <v>2.0</v>
      </c>
      <c r="F67" s="72">
        <v>128.0</v>
      </c>
      <c r="G67" s="49">
        <v>15.0</v>
      </c>
    </row>
    <row r="68">
      <c r="A68" s="70" t="s">
        <v>59</v>
      </c>
      <c r="C68" s="60"/>
      <c r="D68" s="71">
        <v>1.0</v>
      </c>
      <c r="E68" s="66">
        <v>2.0</v>
      </c>
      <c r="F68" s="72">
        <v>120.0</v>
      </c>
      <c r="G68" s="49">
        <v>16.0</v>
      </c>
    </row>
    <row r="69">
      <c r="A69" s="70" t="s">
        <v>99</v>
      </c>
      <c r="C69" s="60"/>
      <c r="D69" s="71">
        <v>1.0</v>
      </c>
      <c r="E69" s="66">
        <v>2.0</v>
      </c>
      <c r="F69" s="72">
        <v>116.0</v>
      </c>
      <c r="G69" s="49" t="s">
        <v>116</v>
      </c>
    </row>
    <row r="70">
      <c r="A70" s="70" t="s">
        <v>94</v>
      </c>
      <c r="C70" s="60"/>
      <c r="D70" s="71">
        <v>1.0</v>
      </c>
      <c r="E70" s="66">
        <v>2.0</v>
      </c>
      <c r="F70" s="72">
        <v>108.0</v>
      </c>
      <c r="G70" s="49" t="s">
        <v>116</v>
      </c>
    </row>
    <row r="71">
      <c r="A71" s="70" t="s">
        <v>97</v>
      </c>
      <c r="C71" s="60"/>
      <c r="D71" s="71">
        <v>1.0</v>
      </c>
      <c r="E71" s="66">
        <v>2.0</v>
      </c>
      <c r="F71" s="72">
        <v>98.0</v>
      </c>
      <c r="G71" s="49" t="s">
        <v>116</v>
      </c>
    </row>
    <row r="72">
      <c r="A72" s="70" t="s">
        <v>29</v>
      </c>
      <c r="C72" s="60"/>
      <c r="D72" s="71">
        <v>0.5</v>
      </c>
      <c r="E72" s="66">
        <v>2.0</v>
      </c>
      <c r="F72" s="72">
        <v>94.0</v>
      </c>
      <c r="G72" s="49" t="s">
        <v>116</v>
      </c>
    </row>
    <row r="73">
      <c r="A73" s="70" t="s">
        <v>36</v>
      </c>
      <c r="C73" s="60"/>
      <c r="D73" s="71">
        <v>0.5</v>
      </c>
      <c r="E73" s="66">
        <v>2.0</v>
      </c>
      <c r="F73" s="72">
        <v>54.0</v>
      </c>
      <c r="G73" s="49" t="s">
        <v>116</v>
      </c>
    </row>
    <row r="74">
      <c r="A74" s="70" t="s">
        <v>101</v>
      </c>
      <c r="C74" s="60"/>
      <c r="D74" s="71">
        <v>0.0</v>
      </c>
      <c r="E74" s="66">
        <v>3.0</v>
      </c>
      <c r="F74" s="72">
        <v>94.0</v>
      </c>
      <c r="G74" s="49" t="s">
        <v>116</v>
      </c>
    </row>
    <row r="75">
      <c r="A75" s="70" t="s">
        <v>98</v>
      </c>
      <c r="C75" s="60"/>
      <c r="D75" s="71">
        <v>0.0</v>
      </c>
      <c r="E75" s="66">
        <v>3.0</v>
      </c>
      <c r="F75" s="72">
        <v>72.0</v>
      </c>
      <c r="G75" s="49" t="s">
        <v>116</v>
      </c>
    </row>
    <row r="76">
      <c r="A76" s="70" t="s">
        <v>41</v>
      </c>
      <c r="C76" s="60"/>
      <c r="D76" s="71">
        <v>0.0</v>
      </c>
      <c r="E76" s="66">
        <v>3.0</v>
      </c>
      <c r="F76" s="72">
        <v>64.0</v>
      </c>
      <c r="G76" s="49" t="s">
        <v>116</v>
      </c>
    </row>
    <row r="77">
      <c r="A77" s="70" t="s">
        <v>46</v>
      </c>
      <c r="C77" s="60"/>
      <c r="D77" s="71">
        <v>0.0</v>
      </c>
      <c r="E77" s="66">
        <v>3.0</v>
      </c>
      <c r="F77" s="72">
        <v>34.0</v>
      </c>
      <c r="G77" s="49" t="s">
        <v>116</v>
      </c>
    </row>
    <row r="78">
      <c r="A78" s="74" t="s">
        <v>31</v>
      </c>
      <c r="B78" s="40"/>
      <c r="C78" s="63"/>
      <c r="D78" s="75">
        <v>3.0</v>
      </c>
      <c r="E78" s="76">
        <v>0.0</v>
      </c>
      <c r="F78" s="77">
        <v>360.0</v>
      </c>
      <c r="G78" s="49" t="s">
        <v>116</v>
      </c>
    </row>
    <row r="79">
      <c r="A79" s="66"/>
      <c r="D79" s="66"/>
      <c r="E79" s="66"/>
      <c r="F79" s="66"/>
    </row>
  </sheetData>
  <mergeCells count="79">
    <mergeCell ref="A43:C43"/>
    <mergeCell ref="A44:C44"/>
    <mergeCell ref="A45:C45"/>
    <mergeCell ref="A46:C46"/>
    <mergeCell ref="A47:C47"/>
    <mergeCell ref="A48:C48"/>
    <mergeCell ref="A51:G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73:C73"/>
    <mergeCell ref="A74:C74"/>
    <mergeCell ref="A75:C75"/>
    <mergeCell ref="A76:C76"/>
    <mergeCell ref="A77:C77"/>
    <mergeCell ref="A78:C78"/>
    <mergeCell ref="A79:C79"/>
    <mergeCell ref="A66:C66"/>
    <mergeCell ref="A67:C67"/>
    <mergeCell ref="A68:C68"/>
    <mergeCell ref="A69:C69"/>
    <mergeCell ref="A70:C70"/>
    <mergeCell ref="A71:C71"/>
    <mergeCell ref="A72:C72"/>
    <mergeCell ref="A2:C2"/>
    <mergeCell ref="D2:E2"/>
    <mergeCell ref="F2:G2"/>
    <mergeCell ref="H2:I2"/>
    <mergeCell ref="A3:C3"/>
    <mergeCell ref="A4:C4"/>
    <mergeCell ref="A5:C5"/>
    <mergeCell ref="A6:C6"/>
    <mergeCell ref="A10:C10"/>
    <mergeCell ref="D10:E10"/>
    <mergeCell ref="F10:G10"/>
    <mergeCell ref="H10:I10"/>
    <mergeCell ref="A11:C11"/>
    <mergeCell ref="A12:C12"/>
    <mergeCell ref="A13:C13"/>
    <mergeCell ref="A14:C14"/>
    <mergeCell ref="A18:C18"/>
    <mergeCell ref="D18:E18"/>
    <mergeCell ref="F18:G18"/>
    <mergeCell ref="H18:I18"/>
    <mergeCell ref="A19:C19"/>
    <mergeCell ref="A20:C20"/>
    <mergeCell ref="A21:C21"/>
    <mergeCell ref="A22:C22"/>
    <mergeCell ref="A26:C26"/>
    <mergeCell ref="D26:E26"/>
    <mergeCell ref="F26:G26"/>
    <mergeCell ref="H26:I26"/>
    <mergeCell ref="A27:C27"/>
    <mergeCell ref="A28:C28"/>
    <mergeCell ref="A29:C29"/>
    <mergeCell ref="A30:C30"/>
    <mergeCell ref="D34:E34"/>
    <mergeCell ref="F34:G34"/>
    <mergeCell ref="H34:I34"/>
    <mergeCell ref="F42:G42"/>
    <mergeCell ref="H42:I42"/>
    <mergeCell ref="A34:C34"/>
    <mergeCell ref="A35:C35"/>
    <mergeCell ref="A36:C36"/>
    <mergeCell ref="A37:C37"/>
    <mergeCell ref="A38:C38"/>
    <mergeCell ref="A42:C42"/>
    <mergeCell ref="D42:E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5">
        <v>84.0</v>
      </c>
      <c r="C3" s="2" t="s">
        <v>5</v>
      </c>
    </row>
    <row r="4">
      <c r="B4" s="7"/>
      <c r="C4" s="3" t="s">
        <v>2</v>
      </c>
      <c r="D4" s="5">
        <v>62.0</v>
      </c>
    </row>
    <row r="5">
      <c r="A5" s="3" t="s">
        <v>9</v>
      </c>
      <c r="B5" s="9">
        <v>66.0</v>
      </c>
      <c r="D5" s="7"/>
    </row>
    <row r="6">
      <c r="D6" s="7"/>
      <c r="E6" s="2" t="s">
        <v>1</v>
      </c>
    </row>
    <row r="7">
      <c r="A7" s="2" t="s">
        <v>11</v>
      </c>
      <c r="D7" s="7"/>
      <c r="E7" s="3" t="s">
        <v>2</v>
      </c>
      <c r="F7" s="5">
        <v>106.0</v>
      </c>
    </row>
    <row r="8">
      <c r="A8" s="3" t="s">
        <v>14</v>
      </c>
      <c r="B8" s="5">
        <v>66.0</v>
      </c>
      <c r="D8" s="7"/>
      <c r="F8" s="7"/>
    </row>
    <row r="9">
      <c r="B9" s="7"/>
      <c r="C9" s="3" t="s">
        <v>14</v>
      </c>
      <c r="D9" s="9">
        <v>50.0</v>
      </c>
      <c r="F9" s="7"/>
    </row>
    <row r="10">
      <c r="A10" s="3" t="s">
        <v>16</v>
      </c>
      <c r="B10" s="9">
        <v>66.0</v>
      </c>
      <c r="F10" s="7"/>
    </row>
    <row r="11">
      <c r="F11" s="7"/>
      <c r="M11" s="2" t="s">
        <v>15</v>
      </c>
    </row>
    <row r="12">
      <c r="F12" s="7"/>
      <c r="G12" s="13"/>
      <c r="H12" s="13"/>
      <c r="I12" s="13"/>
      <c r="J12" s="13"/>
      <c r="K12" s="13"/>
      <c r="L12" s="13"/>
      <c r="M12" s="3" t="s">
        <v>2</v>
      </c>
      <c r="N12" s="5">
        <v>72.0</v>
      </c>
    </row>
    <row r="13">
      <c r="A13" s="2" t="s">
        <v>18</v>
      </c>
      <c r="F13" s="7"/>
      <c r="N13" s="7"/>
    </row>
    <row r="14">
      <c r="A14" s="3" t="s">
        <v>20</v>
      </c>
      <c r="B14" s="14">
        <v>44.0</v>
      </c>
      <c r="C14" s="2" t="s">
        <v>19</v>
      </c>
      <c r="D14" s="15"/>
      <c r="F14" s="7"/>
      <c r="N14" s="7"/>
    </row>
    <row r="15">
      <c r="A15" s="15"/>
      <c r="B15" s="17"/>
      <c r="C15" s="3" t="s">
        <v>24</v>
      </c>
      <c r="D15" s="14">
        <v>36.0</v>
      </c>
      <c r="F15" s="7"/>
      <c r="N15" s="7"/>
    </row>
    <row r="16">
      <c r="A16" s="3" t="s">
        <v>24</v>
      </c>
      <c r="B16" s="18">
        <v>102.0</v>
      </c>
      <c r="C16" s="15"/>
      <c r="D16" s="17"/>
      <c r="F16" s="7"/>
      <c r="N16" s="7"/>
    </row>
    <row r="17">
      <c r="D17" s="7"/>
      <c r="F17" s="7"/>
      <c r="N17" s="7"/>
    </row>
    <row r="18">
      <c r="D18" s="7"/>
      <c r="E18" s="3" t="s">
        <v>32</v>
      </c>
      <c r="F18" s="9">
        <v>16.0</v>
      </c>
      <c r="N18" s="7"/>
    </row>
    <row r="19">
      <c r="A19" s="2" t="s">
        <v>5</v>
      </c>
      <c r="D19" s="7"/>
      <c r="N19" s="7"/>
    </row>
    <row r="20">
      <c r="A20" s="3" t="s">
        <v>32</v>
      </c>
      <c r="B20" s="14">
        <v>96.0</v>
      </c>
      <c r="C20" s="15"/>
      <c r="D20" s="17"/>
      <c r="N20" s="7"/>
      <c r="O20" s="13"/>
      <c r="P20" s="3" t="s">
        <v>2</v>
      </c>
      <c r="Q20" s="13"/>
    </row>
    <row r="21">
      <c r="A21" s="15"/>
      <c r="B21" s="17"/>
      <c r="C21" s="3" t="s">
        <v>32</v>
      </c>
      <c r="D21" s="18">
        <v>74.0</v>
      </c>
      <c r="N21" s="7"/>
    </row>
    <row r="22">
      <c r="A22" s="3" t="s">
        <v>49</v>
      </c>
      <c r="B22" s="18">
        <v>42.0</v>
      </c>
      <c r="C22" s="15"/>
      <c r="D22" s="15"/>
      <c r="K22" s="2" t="s">
        <v>15</v>
      </c>
      <c r="N22" s="7"/>
    </row>
    <row r="23">
      <c r="K23" s="3" t="s">
        <v>32</v>
      </c>
      <c r="L23" s="5">
        <v>44.0</v>
      </c>
      <c r="N23" s="7"/>
    </row>
    <row r="24">
      <c r="L24" s="7"/>
      <c r="N24" s="7"/>
    </row>
    <row r="25">
      <c r="A25" s="1" t="s">
        <v>55</v>
      </c>
      <c r="G25" s="2" t="s">
        <v>1</v>
      </c>
      <c r="L25" s="7"/>
      <c r="N25" s="7"/>
    </row>
    <row r="26">
      <c r="C26" s="2" t="s">
        <v>11</v>
      </c>
      <c r="G26" s="3" t="s">
        <v>14</v>
      </c>
      <c r="H26" s="5">
        <v>38.0</v>
      </c>
      <c r="L26" s="7"/>
      <c r="N26" s="7"/>
    </row>
    <row r="27">
      <c r="A27" s="2" t="s">
        <v>19</v>
      </c>
      <c r="C27" s="3" t="s">
        <v>9</v>
      </c>
      <c r="D27" s="14">
        <v>76.0</v>
      </c>
      <c r="E27" s="2" t="s">
        <v>19</v>
      </c>
      <c r="F27" s="15"/>
      <c r="H27" s="7"/>
      <c r="L27" s="7"/>
      <c r="N27" s="7"/>
    </row>
    <row r="28">
      <c r="A28" s="3" t="s">
        <v>37</v>
      </c>
      <c r="B28" s="14">
        <v>42.0</v>
      </c>
      <c r="C28" s="15"/>
      <c r="D28" s="17"/>
      <c r="E28" s="3" t="s">
        <v>9</v>
      </c>
      <c r="F28" s="14">
        <v>34.0</v>
      </c>
      <c r="H28" s="7"/>
      <c r="I28" s="2" t="s">
        <v>15</v>
      </c>
      <c r="L28" s="7"/>
      <c r="N28" s="7"/>
    </row>
    <row r="29">
      <c r="A29" s="15"/>
      <c r="B29" s="17"/>
      <c r="C29" s="3" t="s">
        <v>37</v>
      </c>
      <c r="D29" s="18">
        <v>30.0</v>
      </c>
      <c r="E29" s="15"/>
      <c r="F29" s="17"/>
      <c r="H29" s="7"/>
      <c r="I29" s="3" t="s">
        <v>16</v>
      </c>
      <c r="J29" s="5">
        <v>24.0</v>
      </c>
      <c r="L29" s="7"/>
      <c r="M29" s="3" t="s">
        <v>24</v>
      </c>
      <c r="N29" s="9">
        <v>44.0</v>
      </c>
    </row>
    <row r="30">
      <c r="A30" s="3" t="s">
        <v>59</v>
      </c>
      <c r="B30" s="18">
        <v>30.0</v>
      </c>
      <c r="C30" s="15"/>
      <c r="D30" s="15"/>
      <c r="F30" s="7"/>
      <c r="H30" s="7"/>
      <c r="J30" s="7"/>
      <c r="L30" s="7"/>
    </row>
    <row r="31">
      <c r="F31" s="7"/>
      <c r="H31" s="7"/>
      <c r="J31" s="7"/>
      <c r="L31" s="7"/>
    </row>
    <row r="32">
      <c r="F32" s="7"/>
      <c r="G32" s="3" t="s">
        <v>16</v>
      </c>
      <c r="H32" s="9">
        <v>62.0</v>
      </c>
      <c r="J32" s="7"/>
      <c r="L32" s="7"/>
    </row>
    <row r="33">
      <c r="A33" s="2" t="s">
        <v>65</v>
      </c>
      <c r="F33" s="7"/>
      <c r="J33" s="7"/>
      <c r="L33" s="7"/>
    </row>
    <row r="34">
      <c r="A34" s="3" t="s">
        <v>66</v>
      </c>
      <c r="B34" s="14">
        <v>38.0</v>
      </c>
      <c r="C34" s="2" t="s">
        <v>67</v>
      </c>
      <c r="D34" s="15"/>
      <c r="F34" s="7"/>
      <c r="J34" s="7"/>
      <c r="L34" s="7"/>
    </row>
    <row r="35">
      <c r="A35" s="15"/>
      <c r="B35" s="17"/>
      <c r="C35" s="3" t="s">
        <v>66</v>
      </c>
      <c r="D35" s="14">
        <v>16.0</v>
      </c>
      <c r="E35" s="15"/>
      <c r="F35" s="17"/>
      <c r="J35" s="7"/>
      <c r="L35" s="7"/>
    </row>
    <row r="36">
      <c r="A36" s="3" t="s">
        <v>42</v>
      </c>
      <c r="B36" s="18">
        <v>30.0</v>
      </c>
      <c r="C36" s="15"/>
      <c r="D36" s="17"/>
      <c r="E36" s="3" t="s">
        <v>16</v>
      </c>
      <c r="F36" s="18">
        <v>66.0</v>
      </c>
      <c r="J36" s="7"/>
      <c r="K36" s="3" t="s">
        <v>24</v>
      </c>
      <c r="L36" s="9">
        <v>52.0</v>
      </c>
    </row>
    <row r="37">
      <c r="C37" s="3" t="s">
        <v>16</v>
      </c>
      <c r="D37" s="18">
        <v>44.0</v>
      </c>
      <c r="E37" s="15"/>
      <c r="F37" s="15"/>
      <c r="J37" s="7"/>
    </row>
    <row r="38">
      <c r="J38" s="7"/>
    </row>
    <row r="39">
      <c r="A39" s="2" t="s">
        <v>70</v>
      </c>
      <c r="G39" s="2" t="s">
        <v>5</v>
      </c>
      <c r="J39" s="7"/>
    </row>
    <row r="40">
      <c r="A40" s="3" t="s">
        <v>71</v>
      </c>
      <c r="B40" s="14">
        <v>16.0</v>
      </c>
      <c r="C40" s="2" t="s">
        <v>1</v>
      </c>
      <c r="D40" s="15"/>
      <c r="G40" s="3" t="s">
        <v>24</v>
      </c>
      <c r="H40" s="5">
        <v>74.0</v>
      </c>
      <c r="J40" s="7"/>
    </row>
    <row r="41">
      <c r="A41" s="15"/>
      <c r="B41" s="17"/>
      <c r="C41" s="3" t="s">
        <v>72</v>
      </c>
      <c r="D41" s="14">
        <v>22.0</v>
      </c>
      <c r="E41" s="2" t="s">
        <v>5</v>
      </c>
      <c r="F41" s="15"/>
      <c r="H41" s="7"/>
      <c r="J41" s="7"/>
    </row>
    <row r="42">
      <c r="A42" s="3" t="s">
        <v>72</v>
      </c>
      <c r="B42" s="18">
        <v>38.0</v>
      </c>
      <c r="C42" s="15"/>
      <c r="D42" s="17"/>
      <c r="E42" s="3" t="s">
        <v>20</v>
      </c>
      <c r="F42" s="14">
        <v>48.0</v>
      </c>
      <c r="H42" s="7"/>
      <c r="J42" s="7"/>
    </row>
    <row r="43">
      <c r="C43" s="14" t="s">
        <v>20</v>
      </c>
      <c r="D43" s="18">
        <v>64.0</v>
      </c>
      <c r="E43" s="15"/>
      <c r="F43" s="17"/>
      <c r="H43" s="7"/>
      <c r="I43" s="3" t="s">
        <v>24</v>
      </c>
      <c r="J43" s="9">
        <v>62.0</v>
      </c>
    </row>
    <row r="44">
      <c r="F44" s="7"/>
      <c r="H44" s="7"/>
    </row>
    <row r="45">
      <c r="F45" s="7"/>
      <c r="H45" s="7"/>
    </row>
    <row r="46">
      <c r="A46" s="2" t="s">
        <v>67</v>
      </c>
      <c r="F46" s="7"/>
      <c r="G46" s="3" t="s">
        <v>47</v>
      </c>
      <c r="H46" s="9">
        <v>22.0</v>
      </c>
    </row>
    <row r="47">
      <c r="A47" s="3" t="s">
        <v>47</v>
      </c>
      <c r="B47" s="14">
        <v>50.0</v>
      </c>
      <c r="C47" s="2" t="s">
        <v>18</v>
      </c>
      <c r="D47" s="15"/>
      <c r="F47" s="7"/>
    </row>
    <row r="48">
      <c r="A48" s="32"/>
      <c r="B48" s="17"/>
      <c r="C48" s="34" t="s">
        <v>47</v>
      </c>
      <c r="D48" s="14">
        <v>54.0</v>
      </c>
      <c r="E48" s="15"/>
      <c r="F48" s="17"/>
    </row>
    <row r="49">
      <c r="A49" s="3" t="s">
        <v>83</v>
      </c>
      <c r="B49" s="18">
        <v>12.0</v>
      </c>
      <c r="C49" s="32"/>
      <c r="D49" s="17"/>
      <c r="E49" s="3" t="s">
        <v>47</v>
      </c>
      <c r="F49" s="18">
        <v>52.0</v>
      </c>
    </row>
    <row r="50">
      <c r="C50" s="3" t="s">
        <v>49</v>
      </c>
      <c r="D50" s="18">
        <v>40.0</v>
      </c>
      <c r="E50" s="15"/>
      <c r="F5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/>
      <c r="F1" s="6" t="s">
        <v>6</v>
      </c>
      <c r="G1" s="4"/>
      <c r="K1" s="8" t="s">
        <v>7</v>
      </c>
      <c r="L1" s="4"/>
    </row>
    <row r="2">
      <c r="A2" s="10" t="s">
        <v>10</v>
      </c>
      <c r="B2" s="11"/>
      <c r="C2" s="11"/>
      <c r="D2" s="12"/>
      <c r="F2" s="10" t="s">
        <v>10</v>
      </c>
      <c r="G2" s="11"/>
      <c r="H2" s="11"/>
      <c r="I2" s="12"/>
      <c r="K2" s="10" t="s">
        <v>10</v>
      </c>
      <c r="L2" s="11"/>
      <c r="M2" s="11"/>
      <c r="N2" s="12"/>
    </row>
    <row r="3">
      <c r="A3" s="16"/>
      <c r="B3" s="16" t="s">
        <v>21</v>
      </c>
      <c r="C3" s="16" t="s">
        <v>22</v>
      </c>
      <c r="D3" s="16" t="s">
        <v>23</v>
      </c>
      <c r="F3" s="16"/>
      <c r="G3" s="16" t="s">
        <v>21</v>
      </c>
      <c r="H3" s="16" t="s">
        <v>22</v>
      </c>
      <c r="I3" s="16" t="s">
        <v>23</v>
      </c>
      <c r="K3" s="16"/>
      <c r="L3" s="16" t="s">
        <v>21</v>
      </c>
      <c r="M3" s="16" t="s">
        <v>22</v>
      </c>
      <c r="N3" s="16" t="s">
        <v>23</v>
      </c>
    </row>
    <row r="4">
      <c r="A4" s="19">
        <v>239.0</v>
      </c>
      <c r="B4" s="20" t="s">
        <v>26</v>
      </c>
      <c r="C4" s="20" t="s">
        <v>28</v>
      </c>
      <c r="D4" s="20" t="s">
        <v>29</v>
      </c>
      <c r="F4" s="16">
        <v>203.0</v>
      </c>
      <c r="G4" s="20" t="s">
        <v>30</v>
      </c>
      <c r="H4" s="20" t="s">
        <v>31</v>
      </c>
      <c r="I4" s="20" t="s">
        <v>24</v>
      </c>
      <c r="K4" s="16">
        <v>244.0</v>
      </c>
      <c r="L4" s="20" t="s">
        <v>33</v>
      </c>
      <c r="M4" s="20" t="s">
        <v>34</v>
      </c>
      <c r="N4" s="20" t="s">
        <v>14</v>
      </c>
    </row>
    <row r="5">
      <c r="A5" s="16">
        <v>233.0</v>
      </c>
      <c r="B5" s="20" t="s">
        <v>35</v>
      </c>
      <c r="C5" s="20" t="s">
        <v>36</v>
      </c>
      <c r="D5" s="20" t="s">
        <v>37</v>
      </c>
      <c r="F5" s="16">
        <v>234.0</v>
      </c>
      <c r="G5" s="20" t="s">
        <v>40</v>
      </c>
      <c r="H5" s="20" t="s">
        <v>41</v>
      </c>
      <c r="I5" s="20" t="s">
        <v>42</v>
      </c>
      <c r="K5" s="19" t="s">
        <v>43</v>
      </c>
      <c r="L5" s="20" t="s">
        <v>45</v>
      </c>
      <c r="M5" s="20" t="s">
        <v>46</v>
      </c>
      <c r="N5" s="20" t="s">
        <v>47</v>
      </c>
    </row>
    <row r="7">
      <c r="A7" s="10" t="s">
        <v>50</v>
      </c>
      <c r="B7" s="11"/>
      <c r="C7" s="11"/>
      <c r="D7" s="12"/>
      <c r="F7" s="10" t="s">
        <v>50</v>
      </c>
      <c r="G7" s="11"/>
      <c r="H7" s="11"/>
      <c r="I7" s="12"/>
      <c r="K7" s="10" t="s">
        <v>50</v>
      </c>
      <c r="L7" s="11"/>
      <c r="M7" s="11"/>
      <c r="N7" s="12"/>
    </row>
    <row r="8">
      <c r="A8" s="16"/>
      <c r="B8" s="16" t="s">
        <v>21</v>
      </c>
      <c r="C8" s="16" t="s">
        <v>22</v>
      </c>
      <c r="D8" s="16" t="s">
        <v>23</v>
      </c>
      <c r="F8" s="16"/>
      <c r="G8" s="16" t="s">
        <v>21</v>
      </c>
      <c r="H8" s="16" t="s">
        <v>22</v>
      </c>
      <c r="I8" s="16" t="s">
        <v>23</v>
      </c>
      <c r="K8" s="16"/>
      <c r="L8" s="16" t="s">
        <v>21</v>
      </c>
      <c r="M8" s="16" t="s">
        <v>22</v>
      </c>
      <c r="N8" s="16" t="s">
        <v>23</v>
      </c>
    </row>
    <row r="9">
      <c r="A9" s="16">
        <v>244.0</v>
      </c>
      <c r="B9" s="20" t="s">
        <v>33</v>
      </c>
      <c r="C9" s="20" t="s">
        <v>28</v>
      </c>
      <c r="D9" s="20" t="s">
        <v>36</v>
      </c>
      <c r="F9" s="16">
        <v>204.0</v>
      </c>
      <c r="G9" s="20" t="s">
        <v>62</v>
      </c>
      <c r="H9" s="20" t="s">
        <v>31</v>
      </c>
      <c r="I9" s="20" t="s">
        <v>41</v>
      </c>
      <c r="K9" s="19" t="s">
        <v>63</v>
      </c>
      <c r="L9" s="20" t="s">
        <v>64</v>
      </c>
      <c r="M9" s="20" t="s">
        <v>34</v>
      </c>
      <c r="N9" s="20" t="s">
        <v>46</v>
      </c>
    </row>
    <row r="10">
      <c r="A10" s="19" t="s">
        <v>43</v>
      </c>
      <c r="B10" s="20" t="s">
        <v>45</v>
      </c>
      <c r="C10" s="20" t="s">
        <v>29</v>
      </c>
      <c r="D10" s="20" t="s">
        <v>37</v>
      </c>
      <c r="F10" s="16">
        <v>239.0</v>
      </c>
      <c r="G10" s="20" t="s">
        <v>26</v>
      </c>
      <c r="H10" s="20" t="s">
        <v>24</v>
      </c>
      <c r="I10" s="20" t="s">
        <v>42</v>
      </c>
      <c r="K10" s="19">
        <v>203.0</v>
      </c>
      <c r="L10" s="20" t="s">
        <v>30</v>
      </c>
      <c r="M10" s="20" t="s">
        <v>14</v>
      </c>
      <c r="N10" s="20" t="s">
        <v>47</v>
      </c>
    </row>
    <row r="12">
      <c r="A12" s="10" t="s">
        <v>69</v>
      </c>
      <c r="B12" s="11"/>
      <c r="C12" s="11"/>
      <c r="D12" s="12"/>
      <c r="F12" s="10" t="s">
        <v>69</v>
      </c>
      <c r="G12" s="11"/>
      <c r="H12" s="11"/>
      <c r="I12" s="12"/>
      <c r="K12" s="10" t="s">
        <v>69</v>
      </c>
      <c r="L12" s="11"/>
      <c r="M12" s="11"/>
      <c r="N12" s="12"/>
    </row>
    <row r="13">
      <c r="A13" s="16"/>
      <c r="B13" s="16" t="s">
        <v>21</v>
      </c>
      <c r="C13" s="16" t="s">
        <v>22</v>
      </c>
      <c r="D13" s="16" t="s">
        <v>23</v>
      </c>
      <c r="F13" s="16"/>
      <c r="G13" s="16" t="s">
        <v>21</v>
      </c>
      <c r="H13" s="16" t="s">
        <v>22</v>
      </c>
      <c r="I13" s="16" t="s">
        <v>23</v>
      </c>
      <c r="K13" s="16"/>
      <c r="L13" s="16" t="s">
        <v>21</v>
      </c>
      <c r="M13" s="16" t="s">
        <v>22</v>
      </c>
      <c r="N13" s="16" t="s">
        <v>23</v>
      </c>
    </row>
    <row r="14">
      <c r="A14" s="16">
        <v>205.0</v>
      </c>
      <c r="B14" s="20" t="s">
        <v>74</v>
      </c>
      <c r="C14" s="20" t="s">
        <v>28</v>
      </c>
      <c r="D14" s="20" t="s">
        <v>75</v>
      </c>
      <c r="F14" s="19">
        <v>236.0</v>
      </c>
      <c r="G14" s="20" t="s">
        <v>76</v>
      </c>
      <c r="H14" s="20" t="s">
        <v>31</v>
      </c>
      <c r="I14" s="20" t="s">
        <v>42</v>
      </c>
      <c r="K14" s="19">
        <v>239.0</v>
      </c>
      <c r="L14" s="20" t="s">
        <v>26</v>
      </c>
      <c r="M14" s="20" t="s">
        <v>34</v>
      </c>
      <c r="N14" s="20" t="s">
        <v>47</v>
      </c>
    </row>
    <row r="15">
      <c r="A15" s="16">
        <v>204.0</v>
      </c>
      <c r="B15" s="20" t="s">
        <v>62</v>
      </c>
      <c r="C15" s="20" t="s">
        <v>29</v>
      </c>
      <c r="D15" s="20" t="s">
        <v>36</v>
      </c>
      <c r="F15" s="16">
        <v>233.0</v>
      </c>
      <c r="G15" s="20" t="s">
        <v>35</v>
      </c>
      <c r="H15" s="20" t="s">
        <v>24</v>
      </c>
      <c r="I15" s="20" t="s">
        <v>41</v>
      </c>
      <c r="K15" s="19" t="s">
        <v>63</v>
      </c>
      <c r="L15" s="20" t="s">
        <v>64</v>
      </c>
      <c r="M15" s="20" t="s">
        <v>14</v>
      </c>
      <c r="N15" s="20" t="s">
        <v>46</v>
      </c>
    </row>
    <row r="18">
      <c r="A18" s="30" t="s">
        <v>78</v>
      </c>
      <c r="B18" s="4"/>
      <c r="F18" s="31" t="s">
        <v>80</v>
      </c>
      <c r="G18" s="4"/>
      <c r="K18" s="33" t="s">
        <v>81</v>
      </c>
      <c r="L18" s="4"/>
    </row>
    <row r="19">
      <c r="A19" s="10" t="s">
        <v>10</v>
      </c>
      <c r="B19" s="11"/>
      <c r="C19" s="11"/>
      <c r="D19" s="12"/>
      <c r="F19" s="10" t="s">
        <v>10</v>
      </c>
      <c r="G19" s="11"/>
      <c r="H19" s="11"/>
      <c r="I19" s="12"/>
      <c r="K19" s="10" t="s">
        <v>10</v>
      </c>
      <c r="L19" s="11"/>
      <c r="M19" s="11"/>
      <c r="N19" s="12"/>
    </row>
    <row r="20">
      <c r="A20" s="16"/>
      <c r="B20" s="16" t="s">
        <v>21</v>
      </c>
      <c r="C20" s="16" t="s">
        <v>22</v>
      </c>
      <c r="D20" s="16" t="s">
        <v>23</v>
      </c>
      <c r="F20" s="16"/>
      <c r="G20" s="16" t="s">
        <v>21</v>
      </c>
      <c r="H20" s="16" t="s">
        <v>22</v>
      </c>
      <c r="I20" s="16" t="s">
        <v>23</v>
      </c>
      <c r="K20" s="16"/>
      <c r="L20" s="16" t="s">
        <v>21</v>
      </c>
      <c r="M20" s="16" t="s">
        <v>22</v>
      </c>
      <c r="N20" s="16" t="s">
        <v>23</v>
      </c>
    </row>
    <row r="21">
      <c r="A21" s="19" t="s">
        <v>87</v>
      </c>
      <c r="B21" s="20" t="s">
        <v>88</v>
      </c>
      <c r="C21" s="20" t="s">
        <v>49</v>
      </c>
      <c r="D21" s="20" t="s">
        <v>72</v>
      </c>
      <c r="F21" s="16">
        <v>206.0</v>
      </c>
      <c r="G21" s="20" t="s">
        <v>89</v>
      </c>
      <c r="H21" s="20" t="s">
        <v>32</v>
      </c>
      <c r="I21" s="20" t="s">
        <v>90</v>
      </c>
      <c r="K21" s="19">
        <v>236.0</v>
      </c>
      <c r="L21" s="20" t="s">
        <v>76</v>
      </c>
      <c r="M21" s="20" t="s">
        <v>20</v>
      </c>
      <c r="N21" s="20" t="s">
        <v>92</v>
      </c>
    </row>
    <row r="22">
      <c r="A22" s="16">
        <v>225.0</v>
      </c>
      <c r="B22" s="20" t="s">
        <v>93</v>
      </c>
      <c r="C22" s="20" t="s">
        <v>59</v>
      </c>
      <c r="D22" s="20" t="s">
        <v>94</v>
      </c>
      <c r="F22" s="16">
        <v>205.0</v>
      </c>
      <c r="G22" s="20" t="s">
        <v>74</v>
      </c>
      <c r="H22" s="20" t="s">
        <v>9</v>
      </c>
      <c r="I22" s="20" t="s">
        <v>96</v>
      </c>
      <c r="K22" s="19" t="s">
        <v>63</v>
      </c>
      <c r="L22" s="20" t="s">
        <v>64</v>
      </c>
      <c r="M22" s="20" t="s">
        <v>97</v>
      </c>
      <c r="N22" s="20" t="s">
        <v>98</v>
      </c>
    </row>
    <row r="23">
      <c r="K23" s="16">
        <v>204.0</v>
      </c>
      <c r="L23" s="20" t="s">
        <v>62</v>
      </c>
      <c r="M23" s="20" t="s">
        <v>99</v>
      </c>
      <c r="N23" s="20" t="s">
        <v>66</v>
      </c>
    </row>
    <row r="24">
      <c r="A24" s="10" t="s">
        <v>50</v>
      </c>
      <c r="B24" s="11"/>
      <c r="C24" s="11"/>
      <c r="D24" s="12"/>
      <c r="F24" s="10" t="s">
        <v>50</v>
      </c>
      <c r="G24" s="11"/>
      <c r="H24" s="11"/>
      <c r="I24" s="12"/>
      <c r="K24" s="10" t="s">
        <v>50</v>
      </c>
      <c r="L24" s="11"/>
      <c r="M24" s="11"/>
      <c r="N24" s="12"/>
    </row>
    <row r="25">
      <c r="A25" s="16"/>
      <c r="B25" s="16" t="s">
        <v>21</v>
      </c>
      <c r="C25" s="16" t="s">
        <v>22</v>
      </c>
      <c r="D25" s="16" t="s">
        <v>23</v>
      </c>
      <c r="F25" s="16"/>
      <c r="G25" s="16" t="s">
        <v>21</v>
      </c>
      <c r="H25" s="16" t="s">
        <v>22</v>
      </c>
      <c r="I25" s="16" t="s">
        <v>23</v>
      </c>
      <c r="K25" s="16"/>
      <c r="L25" s="16" t="s">
        <v>21</v>
      </c>
      <c r="M25" s="16" t="s">
        <v>22</v>
      </c>
      <c r="N25" s="16" t="s">
        <v>23</v>
      </c>
    </row>
    <row r="26">
      <c r="A26" s="16">
        <v>206.0</v>
      </c>
      <c r="B26" s="20" t="s">
        <v>89</v>
      </c>
      <c r="C26" s="20" t="s">
        <v>49</v>
      </c>
      <c r="D26" s="20" t="s">
        <v>59</v>
      </c>
      <c r="F26" s="19">
        <v>225.0</v>
      </c>
      <c r="G26" s="20" t="s">
        <v>93</v>
      </c>
      <c r="H26" s="20" t="s">
        <v>32</v>
      </c>
      <c r="I26" s="20" t="s">
        <v>9</v>
      </c>
      <c r="K26" s="16">
        <v>233.0</v>
      </c>
      <c r="L26" s="20" t="s">
        <v>35</v>
      </c>
      <c r="M26" s="20" t="s">
        <v>20</v>
      </c>
      <c r="N26" s="20" t="s">
        <v>66</v>
      </c>
    </row>
    <row r="27">
      <c r="A27" s="19" t="s">
        <v>87</v>
      </c>
      <c r="B27" s="20" t="s">
        <v>88</v>
      </c>
      <c r="C27" s="20" t="s">
        <v>72</v>
      </c>
      <c r="D27" s="20" t="s">
        <v>94</v>
      </c>
      <c r="F27" s="16">
        <v>236.0</v>
      </c>
      <c r="G27" s="20" t="s">
        <v>76</v>
      </c>
      <c r="H27" s="20" t="s">
        <v>90</v>
      </c>
      <c r="I27" s="20" t="s">
        <v>96</v>
      </c>
      <c r="K27" s="16">
        <v>234.0</v>
      </c>
      <c r="L27" s="20" t="s">
        <v>40</v>
      </c>
      <c r="M27" s="20" t="s">
        <v>92</v>
      </c>
      <c r="N27" s="20" t="s">
        <v>97</v>
      </c>
    </row>
    <row r="28">
      <c r="K28" s="16">
        <v>205.0</v>
      </c>
      <c r="L28" s="20" t="s">
        <v>74</v>
      </c>
      <c r="M28" s="20" t="s">
        <v>98</v>
      </c>
      <c r="N28" s="20" t="s">
        <v>99</v>
      </c>
    </row>
    <row r="29">
      <c r="A29" s="10" t="s">
        <v>69</v>
      </c>
      <c r="B29" s="11"/>
      <c r="C29" s="11"/>
      <c r="D29" s="12"/>
      <c r="F29" s="10" t="s">
        <v>69</v>
      </c>
      <c r="G29" s="11"/>
      <c r="H29" s="11"/>
      <c r="I29" s="12"/>
      <c r="K29" s="10" t="s">
        <v>69</v>
      </c>
      <c r="L29" s="11"/>
      <c r="M29" s="11"/>
      <c r="N29" s="12"/>
    </row>
    <row r="30">
      <c r="A30" s="16"/>
      <c r="B30" s="16" t="s">
        <v>21</v>
      </c>
      <c r="C30" s="16" t="s">
        <v>22</v>
      </c>
      <c r="D30" s="16" t="s">
        <v>23</v>
      </c>
      <c r="F30" s="16"/>
      <c r="G30" s="16" t="s">
        <v>21</v>
      </c>
      <c r="H30" s="16" t="s">
        <v>22</v>
      </c>
      <c r="I30" s="16" t="s">
        <v>23</v>
      </c>
      <c r="K30" s="16"/>
      <c r="L30" s="16" t="s">
        <v>21</v>
      </c>
      <c r="M30" s="16" t="s">
        <v>22</v>
      </c>
      <c r="N30" s="16" t="s">
        <v>23</v>
      </c>
    </row>
    <row r="31">
      <c r="A31" s="16">
        <v>234.0</v>
      </c>
      <c r="B31" s="20" t="s">
        <v>40</v>
      </c>
      <c r="C31" s="20" t="s">
        <v>49</v>
      </c>
      <c r="D31" s="20" t="s">
        <v>94</v>
      </c>
      <c r="F31" s="16">
        <v>225.0</v>
      </c>
      <c r="G31" s="20" t="s">
        <v>93</v>
      </c>
      <c r="H31" s="20" t="s">
        <v>32</v>
      </c>
      <c r="I31" s="20" t="s">
        <v>96</v>
      </c>
      <c r="K31" s="16">
        <v>206.0</v>
      </c>
      <c r="L31" s="20" t="s">
        <v>89</v>
      </c>
      <c r="M31" s="20" t="s">
        <v>20</v>
      </c>
      <c r="N31" s="20" t="s">
        <v>98</v>
      </c>
    </row>
    <row r="32">
      <c r="A32" s="19" t="s">
        <v>87</v>
      </c>
      <c r="B32" s="20" t="s">
        <v>88</v>
      </c>
      <c r="C32" s="20" t="s">
        <v>72</v>
      </c>
      <c r="D32" s="20" t="s">
        <v>59</v>
      </c>
      <c r="F32" s="19">
        <v>203.0</v>
      </c>
      <c r="G32" s="20" t="s">
        <v>30</v>
      </c>
      <c r="H32" s="20" t="s">
        <v>90</v>
      </c>
      <c r="I32" s="20" t="s">
        <v>9</v>
      </c>
      <c r="K32" s="19" t="s">
        <v>43</v>
      </c>
      <c r="L32" s="20" t="s">
        <v>45</v>
      </c>
      <c r="M32" s="20" t="s">
        <v>92</v>
      </c>
      <c r="N32" s="20" t="s">
        <v>99</v>
      </c>
    </row>
    <row r="33">
      <c r="K33" s="16">
        <v>244.0</v>
      </c>
      <c r="L33" s="20" t="s">
        <v>33</v>
      </c>
      <c r="M33" s="20" t="s">
        <v>97</v>
      </c>
      <c r="N33" s="20" t="s">
        <v>66</v>
      </c>
    </row>
    <row r="35">
      <c r="A35" s="45"/>
      <c r="B35" s="4"/>
    </row>
    <row r="36">
      <c r="A36" s="47"/>
    </row>
    <row r="37">
      <c r="A37" s="16"/>
      <c r="B37" s="16"/>
      <c r="C37" s="16"/>
      <c r="D37" s="16"/>
    </row>
    <row r="38">
      <c r="A38" s="16"/>
    </row>
    <row r="39">
      <c r="A39" s="16"/>
    </row>
    <row r="41">
      <c r="A41" s="47"/>
    </row>
    <row r="42">
      <c r="A42" s="16"/>
      <c r="B42" s="16"/>
      <c r="C42" s="16"/>
      <c r="D42" s="16"/>
    </row>
    <row r="43">
      <c r="A43" s="19"/>
    </row>
    <row r="44">
      <c r="A44" s="16"/>
    </row>
    <row r="46">
      <c r="A46" s="47"/>
    </row>
    <row r="47">
      <c r="A47" s="16"/>
      <c r="B47" s="16"/>
      <c r="C47" s="16"/>
      <c r="D47" s="16"/>
    </row>
    <row r="48">
      <c r="A48" s="16"/>
    </row>
    <row r="49">
      <c r="A49" s="16"/>
    </row>
  </sheetData>
  <mergeCells count="21">
    <mergeCell ref="F12:I12"/>
    <mergeCell ref="K12:N12"/>
    <mergeCell ref="A2:D2"/>
    <mergeCell ref="F2:I2"/>
    <mergeCell ref="K2:N2"/>
    <mergeCell ref="A7:D7"/>
    <mergeCell ref="F7:I7"/>
    <mergeCell ref="K7:N7"/>
    <mergeCell ref="A12:D12"/>
    <mergeCell ref="F29:I29"/>
    <mergeCell ref="K29:N29"/>
    <mergeCell ref="A36:D36"/>
    <mergeCell ref="A41:D41"/>
    <mergeCell ref="A46:D46"/>
    <mergeCell ref="A19:D19"/>
    <mergeCell ref="F19:I19"/>
    <mergeCell ref="K19:N19"/>
    <mergeCell ref="A24:D24"/>
    <mergeCell ref="F24:I24"/>
    <mergeCell ref="K24:N24"/>
    <mergeCell ref="A29:D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4</v>
      </c>
      <c r="B3" s="5">
        <v>116.0</v>
      </c>
      <c r="C3" s="2" t="s">
        <v>5</v>
      </c>
    </row>
    <row r="4">
      <c r="B4" s="7"/>
      <c r="C4" s="3" t="s">
        <v>4</v>
      </c>
      <c r="D4" s="5">
        <v>34.0</v>
      </c>
    </row>
    <row r="5">
      <c r="A5" s="3" t="s">
        <v>8</v>
      </c>
      <c r="B5" s="9">
        <v>44.0</v>
      </c>
      <c r="D5" s="7"/>
    </row>
    <row r="6">
      <c r="D6" s="7"/>
      <c r="E6" s="2" t="s">
        <v>1</v>
      </c>
    </row>
    <row r="7">
      <c r="A7" s="2" t="s">
        <v>11</v>
      </c>
      <c r="D7" s="7"/>
      <c r="E7" s="3" t="s">
        <v>12</v>
      </c>
      <c r="F7" s="5">
        <v>56.0</v>
      </c>
    </row>
    <row r="8">
      <c r="A8" s="3" t="s">
        <v>12</v>
      </c>
      <c r="B8" s="5">
        <v>130.0</v>
      </c>
      <c r="D8" s="7"/>
      <c r="F8" s="7"/>
    </row>
    <row r="9">
      <c r="B9" s="7"/>
      <c r="C9" s="3" t="s">
        <v>12</v>
      </c>
      <c r="D9" s="9">
        <v>88.0</v>
      </c>
      <c r="F9" s="7"/>
    </row>
    <row r="10">
      <c r="A10" s="3" t="s">
        <v>13</v>
      </c>
      <c r="B10" s="9">
        <v>38.0</v>
      </c>
      <c r="F10" s="7"/>
    </row>
    <row r="11">
      <c r="F11" s="7"/>
      <c r="M11" s="2" t="s">
        <v>15</v>
      </c>
    </row>
    <row r="12">
      <c r="F12" s="7"/>
      <c r="G12" s="13"/>
      <c r="H12" s="13"/>
      <c r="I12" s="13"/>
      <c r="J12" s="13"/>
      <c r="K12" s="13"/>
      <c r="L12" s="13"/>
      <c r="M12" s="3" t="s">
        <v>17</v>
      </c>
      <c r="N12" s="5">
        <v>42.0</v>
      </c>
    </row>
    <row r="13">
      <c r="A13" s="2" t="s">
        <v>18</v>
      </c>
      <c r="F13" s="7"/>
      <c r="N13" s="7"/>
    </row>
    <row r="14">
      <c r="A14" s="3" t="s">
        <v>17</v>
      </c>
      <c r="B14" s="14">
        <v>128.0</v>
      </c>
      <c r="C14" s="2" t="s">
        <v>19</v>
      </c>
      <c r="D14" s="15"/>
      <c r="F14" s="7"/>
      <c r="N14" s="7"/>
    </row>
    <row r="15">
      <c r="A15" s="15"/>
      <c r="B15" s="17"/>
      <c r="C15" s="3" t="s">
        <v>17</v>
      </c>
      <c r="D15" s="14">
        <v>114.0</v>
      </c>
      <c r="F15" s="7"/>
      <c r="N15" s="7"/>
    </row>
    <row r="16">
      <c r="A16" s="3" t="s">
        <v>25</v>
      </c>
      <c r="B16" s="18">
        <v>26.0</v>
      </c>
      <c r="C16" s="15"/>
      <c r="D16" s="17"/>
      <c r="F16" s="7"/>
      <c r="N16" s="7"/>
    </row>
    <row r="17">
      <c r="D17" s="7"/>
      <c r="F17" s="7"/>
      <c r="N17" s="7"/>
    </row>
    <row r="18">
      <c r="D18" s="7"/>
      <c r="E18" s="3" t="s">
        <v>17</v>
      </c>
      <c r="F18" s="9">
        <v>98.0</v>
      </c>
      <c r="N18" s="7"/>
    </row>
    <row r="19">
      <c r="A19" s="2" t="s">
        <v>5</v>
      </c>
      <c r="D19" s="7"/>
      <c r="N19" s="7"/>
      <c r="P19" s="2" t="s">
        <v>15</v>
      </c>
    </row>
    <row r="20">
      <c r="A20" s="3" t="s">
        <v>38</v>
      </c>
      <c r="B20" s="14">
        <v>34.0</v>
      </c>
      <c r="C20" s="15"/>
      <c r="D20" s="17"/>
      <c r="N20" s="7"/>
      <c r="O20" s="13"/>
      <c r="P20" s="21" t="s">
        <v>12</v>
      </c>
      <c r="Q20" s="5">
        <v>42.0</v>
      </c>
    </row>
    <row r="21">
      <c r="A21" s="15"/>
      <c r="B21" s="17"/>
      <c r="C21" s="3" t="s">
        <v>51</v>
      </c>
      <c r="D21" s="18">
        <v>40.0</v>
      </c>
      <c r="N21" s="7"/>
      <c r="P21" s="22"/>
      <c r="Q21" s="7"/>
    </row>
    <row r="22">
      <c r="A22" s="3" t="s">
        <v>54</v>
      </c>
      <c r="B22" s="18">
        <v>30.0</v>
      </c>
      <c r="C22" s="15"/>
      <c r="D22" s="15"/>
      <c r="K22" s="2" t="s">
        <v>15</v>
      </c>
      <c r="N22" s="7"/>
      <c r="Q22" s="7"/>
    </row>
    <row r="23">
      <c r="K23" s="3" t="s">
        <v>12</v>
      </c>
      <c r="L23" s="5">
        <v>50.0</v>
      </c>
      <c r="N23" s="7"/>
      <c r="Q23" s="7"/>
    </row>
    <row r="24">
      <c r="L24" s="7"/>
      <c r="N24" s="7"/>
      <c r="Q24" s="7"/>
    </row>
    <row r="25">
      <c r="A25" s="1" t="s">
        <v>55</v>
      </c>
      <c r="G25" s="2" t="s">
        <v>1</v>
      </c>
      <c r="L25" s="7"/>
      <c r="N25" s="7"/>
      <c r="Q25" s="7"/>
    </row>
    <row r="26">
      <c r="C26" s="2" t="s">
        <v>11</v>
      </c>
      <c r="G26" s="3" t="s">
        <v>4</v>
      </c>
      <c r="H26" s="5">
        <v>80.0</v>
      </c>
      <c r="L26" s="7"/>
      <c r="N26" s="7"/>
      <c r="Q26" s="7"/>
      <c r="R26" s="3" t="s">
        <v>58</v>
      </c>
      <c r="S26" s="13"/>
    </row>
    <row r="27">
      <c r="A27" s="2" t="s">
        <v>19</v>
      </c>
      <c r="C27" s="3" t="s">
        <v>8</v>
      </c>
      <c r="D27" s="14">
        <v>22.0</v>
      </c>
      <c r="E27" s="2" t="s">
        <v>19</v>
      </c>
      <c r="F27" s="15"/>
      <c r="H27" s="7"/>
      <c r="L27" s="7"/>
      <c r="N27" s="7"/>
      <c r="Q27" s="7"/>
    </row>
    <row r="28">
      <c r="A28" s="3" t="s">
        <v>61</v>
      </c>
      <c r="B28" s="14">
        <v>30.0</v>
      </c>
      <c r="C28" s="15"/>
      <c r="D28" s="17"/>
      <c r="E28" s="3" t="s">
        <v>8</v>
      </c>
      <c r="F28" s="14">
        <v>20.0</v>
      </c>
      <c r="H28" s="7"/>
      <c r="I28" s="2" t="s">
        <v>15</v>
      </c>
      <c r="L28" s="7"/>
      <c r="N28" s="7"/>
      <c r="Q28" s="7"/>
    </row>
    <row r="29">
      <c r="A29" s="15"/>
      <c r="B29" s="17"/>
      <c r="C29" s="3" t="s">
        <v>68</v>
      </c>
      <c r="D29" s="18">
        <v>16.0</v>
      </c>
      <c r="E29" s="15"/>
      <c r="F29" s="17"/>
      <c r="H29" s="7"/>
      <c r="I29" s="3" t="s">
        <v>4</v>
      </c>
      <c r="J29" s="5">
        <v>52.0</v>
      </c>
      <c r="L29" s="7"/>
      <c r="M29" s="3" t="s">
        <v>12</v>
      </c>
      <c r="N29" s="9">
        <v>98.0</v>
      </c>
      <c r="Q29" s="7"/>
    </row>
    <row r="30">
      <c r="A30" s="3" t="s">
        <v>68</v>
      </c>
      <c r="B30" s="18">
        <v>48.0</v>
      </c>
      <c r="C30" s="15"/>
      <c r="D30" s="15"/>
      <c r="F30" s="7"/>
      <c r="H30" s="7"/>
      <c r="J30" s="7"/>
      <c r="L30" s="7"/>
      <c r="Q30" s="7"/>
    </row>
    <row r="31">
      <c r="F31" s="7"/>
      <c r="H31" s="7"/>
      <c r="J31" s="7"/>
      <c r="L31" s="7"/>
      <c r="Q31" s="7"/>
    </row>
    <row r="32">
      <c r="F32" s="7"/>
      <c r="G32" s="3" t="s">
        <v>13</v>
      </c>
      <c r="H32" s="9">
        <v>28.0</v>
      </c>
      <c r="J32" s="7"/>
      <c r="L32" s="7"/>
      <c r="Q32" s="7"/>
    </row>
    <row r="33">
      <c r="A33" s="2" t="s">
        <v>65</v>
      </c>
      <c r="F33" s="7"/>
      <c r="J33" s="7"/>
      <c r="L33" s="7"/>
      <c r="P33" s="3" t="s">
        <v>17</v>
      </c>
      <c r="Q33" s="9">
        <v>70.0</v>
      </c>
    </row>
    <row r="34">
      <c r="A34" s="3" t="s">
        <v>73</v>
      </c>
      <c r="B34" s="14">
        <v>58.0</v>
      </c>
      <c r="C34" s="2" t="s">
        <v>67</v>
      </c>
      <c r="D34" s="15"/>
      <c r="F34" s="7"/>
      <c r="J34" s="7"/>
      <c r="L34" s="7"/>
    </row>
    <row r="35">
      <c r="A35" s="15"/>
      <c r="B35" s="17"/>
      <c r="C35" s="3" t="s">
        <v>73</v>
      </c>
      <c r="D35" s="14">
        <v>62.0</v>
      </c>
      <c r="E35" s="15"/>
      <c r="F35" s="17"/>
      <c r="J35" s="7"/>
      <c r="L35" s="7"/>
    </row>
    <row r="36">
      <c r="A36" s="3" t="s">
        <v>77</v>
      </c>
      <c r="B36" s="18">
        <v>20.0</v>
      </c>
      <c r="C36" s="15"/>
      <c r="D36" s="17"/>
      <c r="E36" s="3" t="s">
        <v>13</v>
      </c>
      <c r="F36" s="18">
        <v>40.0</v>
      </c>
      <c r="J36" s="7"/>
      <c r="K36" s="3" t="s">
        <v>79</v>
      </c>
      <c r="L36" s="9">
        <v>50.0</v>
      </c>
    </row>
    <row r="37">
      <c r="C37" s="3" t="s">
        <v>13</v>
      </c>
      <c r="D37" s="18">
        <v>84.0</v>
      </c>
      <c r="E37" s="15"/>
      <c r="F37" s="15"/>
      <c r="J37" s="7"/>
    </row>
    <row r="38">
      <c r="J38" s="7"/>
    </row>
    <row r="39">
      <c r="A39" s="2" t="s">
        <v>70</v>
      </c>
      <c r="G39" s="2" t="s">
        <v>5</v>
      </c>
      <c r="J39" s="7"/>
    </row>
    <row r="40">
      <c r="A40" s="3" t="s">
        <v>82</v>
      </c>
      <c r="B40" s="14">
        <v>58.0</v>
      </c>
      <c r="C40" s="2" t="s">
        <v>1</v>
      </c>
      <c r="D40" s="15"/>
      <c r="G40" s="3" t="s">
        <v>51</v>
      </c>
      <c r="H40" s="5">
        <v>32.0</v>
      </c>
      <c r="J40" s="7"/>
    </row>
    <row r="41">
      <c r="A41" s="15"/>
      <c r="B41" s="17"/>
      <c r="C41" s="3" t="s">
        <v>79</v>
      </c>
      <c r="D41" s="14">
        <v>76.0</v>
      </c>
      <c r="E41" s="2" t="s">
        <v>5</v>
      </c>
      <c r="F41" s="15"/>
      <c r="H41" s="7"/>
      <c r="J41" s="7"/>
    </row>
    <row r="42">
      <c r="A42" s="3" t="s">
        <v>79</v>
      </c>
      <c r="B42" s="18">
        <v>86.0</v>
      </c>
      <c r="C42" s="15"/>
      <c r="D42" s="17"/>
      <c r="E42" s="3" t="s">
        <v>79</v>
      </c>
      <c r="F42" s="14">
        <v>94.0</v>
      </c>
      <c r="H42" s="7"/>
      <c r="J42" s="7"/>
    </row>
    <row r="43">
      <c r="C43" s="14" t="s">
        <v>84</v>
      </c>
      <c r="D43" s="18">
        <v>56.0</v>
      </c>
      <c r="E43" s="15"/>
      <c r="F43" s="17"/>
      <c r="H43" s="7"/>
      <c r="I43" s="3" t="s">
        <v>79</v>
      </c>
      <c r="J43" s="9">
        <v>56.0</v>
      </c>
    </row>
    <row r="44">
      <c r="F44" s="7"/>
      <c r="H44" s="7"/>
    </row>
    <row r="45">
      <c r="F45" s="7"/>
      <c r="H45" s="7"/>
    </row>
    <row r="46">
      <c r="A46" s="2" t="s">
        <v>67</v>
      </c>
      <c r="F46" s="7"/>
      <c r="G46" s="3" t="s">
        <v>79</v>
      </c>
      <c r="H46" s="9">
        <v>56.0</v>
      </c>
    </row>
    <row r="47">
      <c r="A47" s="3" t="s">
        <v>91</v>
      </c>
      <c r="B47" s="14">
        <v>20.0</v>
      </c>
      <c r="C47" s="2" t="s">
        <v>18</v>
      </c>
      <c r="D47" s="15"/>
      <c r="F47" s="7"/>
    </row>
    <row r="48">
      <c r="A48" s="32"/>
      <c r="B48" s="17"/>
      <c r="C48" s="3" t="s">
        <v>95</v>
      </c>
      <c r="D48" s="14">
        <v>36.0</v>
      </c>
      <c r="E48" s="15"/>
      <c r="F48" s="17"/>
    </row>
    <row r="49">
      <c r="A49" s="3" t="s">
        <v>95</v>
      </c>
      <c r="B49" s="18">
        <v>38.0</v>
      </c>
      <c r="C49" s="32"/>
      <c r="D49" s="17"/>
      <c r="E49" s="3" t="s">
        <v>95</v>
      </c>
      <c r="F49" s="18">
        <v>30.0</v>
      </c>
    </row>
    <row r="50">
      <c r="C50" s="3" t="s">
        <v>54</v>
      </c>
      <c r="D50" s="18">
        <v>30.0</v>
      </c>
      <c r="E50" s="15"/>
      <c r="F5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75"/>
    <col customWidth="1" min="3" max="3" width="0.38"/>
    <col customWidth="1" min="4" max="11" width="7.63"/>
  </cols>
  <sheetData>
    <row r="1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27</v>
      </c>
      <c r="B2" s="11"/>
      <c r="C2" s="11"/>
      <c r="D2" s="10" t="s">
        <v>39</v>
      </c>
      <c r="E2" s="12"/>
      <c r="F2" s="10" t="s">
        <v>44</v>
      </c>
      <c r="G2" s="12"/>
      <c r="H2" s="10" t="s">
        <v>48</v>
      </c>
      <c r="I2" s="12"/>
      <c r="J2" s="10" t="s">
        <v>52</v>
      </c>
      <c r="K2" s="23" t="s">
        <v>53</v>
      </c>
      <c r="L2" s="24" t="s">
        <v>56</v>
      </c>
      <c r="M2" s="67" t="s">
        <v>57</v>
      </c>
    </row>
    <row r="3">
      <c r="A3" s="26" t="s">
        <v>103</v>
      </c>
      <c r="D3" s="26" t="s">
        <v>85</v>
      </c>
      <c r="E3" s="27">
        <v>16.0</v>
      </c>
      <c r="F3" s="26" t="s">
        <v>85</v>
      </c>
      <c r="G3" s="27">
        <v>12.0</v>
      </c>
      <c r="H3" s="26" t="s">
        <v>60</v>
      </c>
      <c r="I3" s="27">
        <v>30.0</v>
      </c>
      <c r="J3" s="28">
        <f t="shared" ref="J3:J6" si="1">countif(D3:I3,"W")</f>
        <v>1</v>
      </c>
      <c r="K3" s="29">
        <f t="shared" ref="K3:K6" si="2">countif(D3:I3,"L")</f>
        <v>2</v>
      </c>
      <c r="L3" s="35">
        <f t="shared" ref="L3:L6" si="3">SUM(E3,G3,I3)</f>
        <v>58</v>
      </c>
      <c r="M3" s="38">
        <v>4.0</v>
      </c>
      <c r="O3" s="37"/>
    </row>
    <row r="4">
      <c r="A4" s="26" t="s">
        <v>109</v>
      </c>
      <c r="D4" s="26" t="s">
        <v>60</v>
      </c>
      <c r="E4" s="27">
        <v>42.0</v>
      </c>
      <c r="F4" s="26" t="s">
        <v>85</v>
      </c>
      <c r="G4" s="27">
        <v>30.0</v>
      </c>
      <c r="H4" s="26" t="s">
        <v>85</v>
      </c>
      <c r="I4" s="27">
        <v>34.0</v>
      </c>
      <c r="J4" s="28">
        <f t="shared" si="1"/>
        <v>1</v>
      </c>
      <c r="K4" s="29">
        <f t="shared" si="2"/>
        <v>2</v>
      </c>
      <c r="L4" s="35">
        <f t="shared" si="3"/>
        <v>106</v>
      </c>
      <c r="M4" s="38">
        <v>3.0</v>
      </c>
      <c r="O4" s="15"/>
    </row>
    <row r="5">
      <c r="A5" s="26" t="s">
        <v>12</v>
      </c>
      <c r="D5" s="26" t="s">
        <v>60</v>
      </c>
      <c r="E5" s="27">
        <v>86.0</v>
      </c>
      <c r="F5" s="26" t="s">
        <v>60</v>
      </c>
      <c r="G5" s="27">
        <v>106.0</v>
      </c>
      <c r="H5" s="26" t="s">
        <v>60</v>
      </c>
      <c r="I5" s="27">
        <v>100.0</v>
      </c>
      <c r="J5" s="28">
        <f t="shared" si="1"/>
        <v>3</v>
      </c>
      <c r="K5" s="29">
        <f t="shared" si="2"/>
        <v>0</v>
      </c>
      <c r="L5" s="35">
        <f t="shared" si="3"/>
        <v>292</v>
      </c>
      <c r="M5" s="36">
        <v>1.0</v>
      </c>
      <c r="O5" s="37"/>
    </row>
    <row r="6">
      <c r="A6" s="39" t="s">
        <v>68</v>
      </c>
      <c r="B6" s="40"/>
      <c r="C6" s="40"/>
      <c r="D6" s="39" t="s">
        <v>85</v>
      </c>
      <c r="E6" s="41">
        <v>62.0</v>
      </c>
      <c r="F6" s="39" t="s">
        <v>60</v>
      </c>
      <c r="G6" s="41">
        <v>46.0</v>
      </c>
      <c r="H6" s="39" t="s">
        <v>85</v>
      </c>
      <c r="I6" s="41">
        <v>28.0</v>
      </c>
      <c r="J6" s="42">
        <f t="shared" si="1"/>
        <v>1</v>
      </c>
      <c r="K6" s="43">
        <f t="shared" si="2"/>
        <v>2</v>
      </c>
      <c r="L6" s="44">
        <f t="shared" si="3"/>
        <v>136</v>
      </c>
      <c r="M6" s="46">
        <v>2.0</v>
      </c>
    </row>
    <row r="9">
      <c r="A9" s="6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10" t="s">
        <v>27</v>
      </c>
      <c r="B10" s="11"/>
      <c r="C10" s="11"/>
      <c r="D10" s="10" t="s">
        <v>39</v>
      </c>
      <c r="E10" s="12"/>
      <c r="F10" s="10" t="s">
        <v>44</v>
      </c>
      <c r="G10" s="12"/>
      <c r="H10" s="10" t="s">
        <v>48</v>
      </c>
      <c r="I10" s="12"/>
      <c r="J10" s="10" t="s">
        <v>52</v>
      </c>
      <c r="K10" s="23" t="s">
        <v>53</v>
      </c>
      <c r="L10" s="24" t="s">
        <v>56</v>
      </c>
      <c r="M10" s="67" t="s">
        <v>57</v>
      </c>
    </row>
    <row r="11">
      <c r="A11" s="26" t="s">
        <v>108</v>
      </c>
      <c r="D11" s="26" t="s">
        <v>85</v>
      </c>
      <c r="E11" s="27">
        <v>22.0</v>
      </c>
      <c r="F11" s="26" t="s">
        <v>85</v>
      </c>
      <c r="G11" s="27">
        <v>54.0</v>
      </c>
      <c r="H11" s="26" t="s">
        <v>60</v>
      </c>
      <c r="I11" s="27">
        <v>24.0</v>
      </c>
      <c r="J11" s="28">
        <f t="shared" ref="J11:J14" si="4">countif(D11:I11,"W")</f>
        <v>1</v>
      </c>
      <c r="K11" s="29">
        <f t="shared" ref="K11:K14" si="5">countif(D11:I11,"L")</f>
        <v>2</v>
      </c>
      <c r="L11" s="35">
        <f t="shared" ref="L11:L14" si="6">SUM(E11,G11,I11)</f>
        <v>100</v>
      </c>
      <c r="M11" s="38">
        <v>3.0</v>
      </c>
    </row>
    <row r="12">
      <c r="A12" s="26" t="s">
        <v>58</v>
      </c>
      <c r="D12" s="26" t="s">
        <v>60</v>
      </c>
      <c r="E12" s="27">
        <v>98.0</v>
      </c>
      <c r="F12" s="26" t="s">
        <v>60</v>
      </c>
      <c r="G12" s="27">
        <v>74.0</v>
      </c>
      <c r="H12" s="26" t="s">
        <v>60</v>
      </c>
      <c r="I12" s="27">
        <v>84.0</v>
      </c>
      <c r="J12" s="28">
        <f t="shared" si="4"/>
        <v>3</v>
      </c>
      <c r="K12" s="29">
        <f t="shared" si="5"/>
        <v>0</v>
      </c>
      <c r="L12" s="35">
        <f t="shared" si="6"/>
        <v>256</v>
      </c>
      <c r="M12" s="36">
        <v>1.0</v>
      </c>
    </row>
    <row r="13">
      <c r="A13" s="26" t="s">
        <v>61</v>
      </c>
      <c r="D13" s="26" t="s">
        <v>60</v>
      </c>
      <c r="E13" s="27">
        <v>76.0</v>
      </c>
      <c r="F13" s="26" t="s">
        <v>60</v>
      </c>
      <c r="G13" s="27">
        <v>58.0</v>
      </c>
      <c r="H13" s="26" t="s">
        <v>85</v>
      </c>
      <c r="I13" s="27">
        <v>44.0</v>
      </c>
      <c r="J13" s="28">
        <f t="shared" si="4"/>
        <v>2</v>
      </c>
      <c r="K13" s="29">
        <f t="shared" si="5"/>
        <v>1</v>
      </c>
      <c r="L13" s="35">
        <f t="shared" si="6"/>
        <v>178</v>
      </c>
      <c r="M13" s="46">
        <v>2.0</v>
      </c>
    </row>
    <row r="14">
      <c r="A14" s="39" t="s">
        <v>115</v>
      </c>
      <c r="B14" s="40"/>
      <c r="C14" s="40"/>
      <c r="D14" s="39" t="s">
        <v>85</v>
      </c>
      <c r="E14" s="41">
        <v>46.0</v>
      </c>
      <c r="F14" s="39" t="s">
        <v>85</v>
      </c>
      <c r="G14" s="41">
        <v>38.0</v>
      </c>
      <c r="H14" s="39" t="s">
        <v>85</v>
      </c>
      <c r="I14" s="41">
        <v>16.0</v>
      </c>
      <c r="J14" s="42">
        <f t="shared" si="4"/>
        <v>0</v>
      </c>
      <c r="K14" s="43">
        <f t="shared" si="5"/>
        <v>3</v>
      </c>
      <c r="L14" s="44">
        <f t="shared" si="6"/>
        <v>100</v>
      </c>
      <c r="M14" s="49">
        <v>4.0</v>
      </c>
    </row>
    <row r="17">
      <c r="A17" s="69" t="s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10" t="s">
        <v>27</v>
      </c>
      <c r="B18" s="11"/>
      <c r="C18" s="11"/>
      <c r="D18" s="10" t="s">
        <v>39</v>
      </c>
      <c r="E18" s="12"/>
      <c r="F18" s="10" t="s">
        <v>44</v>
      </c>
      <c r="G18" s="12"/>
      <c r="H18" s="10" t="s">
        <v>48</v>
      </c>
      <c r="I18" s="12"/>
      <c r="J18" s="10" t="s">
        <v>52</v>
      </c>
      <c r="K18" s="23" t="s">
        <v>53</v>
      </c>
      <c r="L18" s="24" t="s">
        <v>56</v>
      </c>
      <c r="M18" s="67" t="s">
        <v>57</v>
      </c>
    </row>
    <row r="19">
      <c r="A19" s="26" t="s">
        <v>111</v>
      </c>
      <c r="D19" s="26" t="s">
        <v>85</v>
      </c>
      <c r="E19" s="27">
        <v>8.0</v>
      </c>
      <c r="F19" s="26" t="s">
        <v>85</v>
      </c>
      <c r="G19" s="27">
        <v>8.0</v>
      </c>
      <c r="H19" s="26" t="s">
        <v>85</v>
      </c>
      <c r="I19" s="27">
        <v>32.0</v>
      </c>
      <c r="J19" s="28">
        <f t="shared" ref="J19:J22" si="7">countif(D19:I19,"W")</f>
        <v>0</v>
      </c>
      <c r="K19" s="29">
        <f t="shared" ref="K19:K22" si="8">countif(D19:I19,"L")</f>
        <v>3</v>
      </c>
      <c r="L19" s="35">
        <f t="shared" ref="L19:L22" si="9">SUM(E19,G19,I19)</f>
        <v>48</v>
      </c>
      <c r="M19" s="38">
        <v>4.0</v>
      </c>
    </row>
    <row r="20">
      <c r="A20" s="26" t="s">
        <v>127</v>
      </c>
      <c r="D20" s="26" t="s">
        <v>60</v>
      </c>
      <c r="E20" s="27">
        <v>48.0</v>
      </c>
      <c r="F20" s="26" t="s">
        <v>85</v>
      </c>
      <c r="G20" s="27">
        <v>26.0</v>
      </c>
      <c r="H20" s="26" t="s">
        <v>85</v>
      </c>
      <c r="I20" s="27">
        <v>22.0</v>
      </c>
      <c r="J20" s="28">
        <f t="shared" si="7"/>
        <v>1</v>
      </c>
      <c r="K20" s="29">
        <f t="shared" si="8"/>
        <v>2</v>
      </c>
      <c r="L20" s="35">
        <f t="shared" si="9"/>
        <v>96</v>
      </c>
      <c r="M20" s="38">
        <v>3.0</v>
      </c>
    </row>
    <row r="21">
      <c r="A21" s="26" t="s">
        <v>95</v>
      </c>
      <c r="D21" s="26" t="s">
        <v>85</v>
      </c>
      <c r="E21" s="27">
        <v>38.0</v>
      </c>
      <c r="F21" s="26" t="s">
        <v>60</v>
      </c>
      <c r="G21" s="27">
        <v>26.0</v>
      </c>
      <c r="H21" s="26" t="s">
        <v>60</v>
      </c>
      <c r="I21" s="27">
        <v>24.0</v>
      </c>
      <c r="J21" s="28">
        <f t="shared" si="7"/>
        <v>2</v>
      </c>
      <c r="K21" s="29">
        <f t="shared" si="8"/>
        <v>1</v>
      </c>
      <c r="L21" s="35">
        <f t="shared" si="9"/>
        <v>88</v>
      </c>
      <c r="M21" s="46">
        <v>2.0</v>
      </c>
    </row>
    <row r="22">
      <c r="A22" s="39" t="s">
        <v>54</v>
      </c>
      <c r="B22" s="40"/>
      <c r="C22" s="40"/>
      <c r="D22" s="39" t="s">
        <v>60</v>
      </c>
      <c r="E22" s="41">
        <v>84.0</v>
      </c>
      <c r="F22" s="39" t="s">
        <v>60</v>
      </c>
      <c r="G22" s="41">
        <v>46.0</v>
      </c>
      <c r="H22" s="39" t="s">
        <v>60</v>
      </c>
      <c r="I22" s="41">
        <v>40.0</v>
      </c>
      <c r="J22" s="42">
        <f t="shared" si="7"/>
        <v>3</v>
      </c>
      <c r="K22" s="43">
        <f t="shared" si="8"/>
        <v>0</v>
      </c>
      <c r="L22" s="44">
        <f t="shared" si="9"/>
        <v>170</v>
      </c>
      <c r="M22" s="36">
        <v>1.0</v>
      </c>
    </row>
    <row r="25">
      <c r="A25" s="8" t="s">
        <v>122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10" t="s">
        <v>27</v>
      </c>
      <c r="B26" s="11"/>
      <c r="C26" s="11"/>
      <c r="D26" s="10" t="s">
        <v>39</v>
      </c>
      <c r="E26" s="12"/>
      <c r="F26" s="10" t="s">
        <v>44</v>
      </c>
      <c r="G26" s="12"/>
      <c r="H26" s="10" t="s">
        <v>48</v>
      </c>
      <c r="I26" s="12"/>
      <c r="J26" s="10" t="s">
        <v>52</v>
      </c>
      <c r="K26" s="23" t="s">
        <v>53</v>
      </c>
      <c r="L26" s="24" t="s">
        <v>56</v>
      </c>
      <c r="M26" s="67" t="s">
        <v>57</v>
      </c>
    </row>
    <row r="27">
      <c r="A27" s="26" t="s">
        <v>13</v>
      </c>
      <c r="D27" s="26" t="s">
        <v>60</v>
      </c>
      <c r="E27" s="27">
        <v>78.0</v>
      </c>
      <c r="F27" s="26" t="s">
        <v>85</v>
      </c>
      <c r="G27" s="27">
        <v>44.0</v>
      </c>
      <c r="H27" s="26" t="s">
        <v>60</v>
      </c>
      <c r="I27" s="27">
        <v>60.0</v>
      </c>
      <c r="J27" s="28">
        <f t="shared" ref="J27:J30" si="10">countif(D27:I27,"W")</f>
        <v>2</v>
      </c>
      <c r="K27" s="29">
        <f t="shared" ref="K27:K30" si="11">countif(D27:I27,"L")</f>
        <v>1</v>
      </c>
      <c r="L27" s="35">
        <f t="shared" ref="L27:L30" si="12">SUM(E27,G27,I27)</f>
        <v>182</v>
      </c>
      <c r="M27" s="46">
        <v>2.0</v>
      </c>
    </row>
    <row r="28">
      <c r="A28" s="26" t="s">
        <v>123</v>
      </c>
      <c r="D28" s="26" t="s">
        <v>85</v>
      </c>
      <c r="E28" s="27">
        <v>26.0</v>
      </c>
      <c r="F28" s="26" t="s">
        <v>85</v>
      </c>
      <c r="G28" s="27">
        <v>12.0</v>
      </c>
      <c r="H28" s="26" t="s">
        <v>85</v>
      </c>
      <c r="I28" s="27">
        <v>20.0</v>
      </c>
      <c r="J28" s="28">
        <f t="shared" si="10"/>
        <v>0</v>
      </c>
      <c r="K28" s="29">
        <f t="shared" si="11"/>
        <v>3</v>
      </c>
      <c r="L28" s="35">
        <f t="shared" si="12"/>
        <v>58</v>
      </c>
      <c r="M28" s="38">
        <v>4.0</v>
      </c>
    </row>
    <row r="29">
      <c r="A29" s="26" t="s">
        <v>4</v>
      </c>
      <c r="D29" s="26" t="s">
        <v>60</v>
      </c>
      <c r="E29" s="27">
        <v>130.0</v>
      </c>
      <c r="F29" s="26" t="s">
        <v>60</v>
      </c>
      <c r="G29" s="27">
        <v>142.0</v>
      </c>
      <c r="H29" s="26" t="s">
        <v>60</v>
      </c>
      <c r="I29" s="27">
        <v>86.0</v>
      </c>
      <c r="J29" s="28">
        <f t="shared" si="10"/>
        <v>3</v>
      </c>
      <c r="K29" s="29">
        <f t="shared" si="11"/>
        <v>0</v>
      </c>
      <c r="L29" s="35">
        <f t="shared" si="12"/>
        <v>358</v>
      </c>
      <c r="M29" s="36">
        <v>1.0</v>
      </c>
    </row>
    <row r="30">
      <c r="A30" s="39" t="s">
        <v>124</v>
      </c>
      <c r="B30" s="40"/>
      <c r="C30" s="40"/>
      <c r="D30" s="39" t="s">
        <v>85</v>
      </c>
      <c r="E30" s="41">
        <v>42.0</v>
      </c>
      <c r="F30" s="39" t="s">
        <v>60</v>
      </c>
      <c r="G30" s="41">
        <v>54.0</v>
      </c>
      <c r="H30" s="39" t="s">
        <v>85</v>
      </c>
      <c r="I30" s="41">
        <v>30.0</v>
      </c>
      <c r="J30" s="42">
        <f t="shared" si="10"/>
        <v>1</v>
      </c>
      <c r="K30" s="43">
        <f t="shared" si="11"/>
        <v>2</v>
      </c>
      <c r="L30" s="44">
        <f t="shared" si="12"/>
        <v>126</v>
      </c>
      <c r="M30" s="38">
        <v>3.0</v>
      </c>
    </row>
    <row r="33">
      <c r="A33" s="30" t="s">
        <v>78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A34" s="10" t="s">
        <v>27</v>
      </c>
      <c r="B34" s="11"/>
      <c r="C34" s="11"/>
      <c r="D34" s="10" t="s">
        <v>39</v>
      </c>
      <c r="E34" s="12"/>
      <c r="F34" s="10" t="s">
        <v>44</v>
      </c>
      <c r="G34" s="12"/>
      <c r="H34" s="10" t="s">
        <v>48</v>
      </c>
      <c r="I34" s="12"/>
      <c r="J34" s="10" t="s">
        <v>52</v>
      </c>
      <c r="K34" s="23" t="s">
        <v>53</v>
      </c>
      <c r="L34" s="24" t="s">
        <v>56</v>
      </c>
      <c r="M34" s="67" t="s">
        <v>57</v>
      </c>
    </row>
    <row r="35">
      <c r="A35" s="26" t="s">
        <v>77</v>
      </c>
      <c r="D35" s="26" t="s">
        <v>85</v>
      </c>
      <c r="E35" s="27">
        <v>68.0</v>
      </c>
      <c r="F35" s="26" t="s">
        <v>60</v>
      </c>
      <c r="G35" s="27">
        <v>92.0</v>
      </c>
      <c r="H35" s="26" t="s">
        <v>85</v>
      </c>
      <c r="I35" s="27">
        <v>40.0</v>
      </c>
      <c r="J35" s="28">
        <f t="shared" ref="J35:J38" si="13">countif(D35:I35,"W")</f>
        <v>1</v>
      </c>
      <c r="K35" s="29">
        <f t="shared" ref="K35:K38" si="14">countif(D35:I35,"L")</f>
        <v>2</v>
      </c>
      <c r="L35" s="35">
        <f t="shared" ref="L35:L38" si="15">SUM(E35,G35,I35)</f>
        <v>200</v>
      </c>
      <c r="M35" s="38">
        <v>3.0</v>
      </c>
    </row>
    <row r="36">
      <c r="A36" s="26" t="s">
        <v>8</v>
      </c>
      <c r="D36" s="26" t="s">
        <v>60</v>
      </c>
      <c r="E36" s="27">
        <v>72.0</v>
      </c>
      <c r="F36" s="26" t="s">
        <v>85</v>
      </c>
      <c r="G36" s="27">
        <v>52.0</v>
      </c>
      <c r="H36" s="26" t="s">
        <v>60</v>
      </c>
      <c r="I36" s="27">
        <v>56.0</v>
      </c>
      <c r="J36" s="28">
        <f t="shared" si="13"/>
        <v>2</v>
      </c>
      <c r="K36" s="29">
        <f t="shared" si="14"/>
        <v>1</v>
      </c>
      <c r="L36" s="35">
        <f t="shared" si="15"/>
        <v>180</v>
      </c>
      <c r="M36" s="36">
        <v>1.0</v>
      </c>
    </row>
    <row r="37">
      <c r="A37" s="26" t="s">
        <v>125</v>
      </c>
      <c r="D37" s="26" t="s">
        <v>60</v>
      </c>
      <c r="E37" s="27">
        <v>32.0</v>
      </c>
      <c r="F37" s="26" t="s">
        <v>85</v>
      </c>
      <c r="G37" s="27">
        <v>4.0</v>
      </c>
      <c r="H37" s="26" t="s">
        <v>85</v>
      </c>
      <c r="I37" s="27">
        <v>34.0</v>
      </c>
      <c r="J37" s="28">
        <f t="shared" si="13"/>
        <v>1</v>
      </c>
      <c r="K37" s="29">
        <f t="shared" si="14"/>
        <v>2</v>
      </c>
      <c r="L37" s="35">
        <f t="shared" si="15"/>
        <v>70</v>
      </c>
      <c r="M37" s="38">
        <v>4.0</v>
      </c>
    </row>
    <row r="38">
      <c r="A38" s="39" t="s">
        <v>82</v>
      </c>
      <c r="B38" s="40"/>
      <c r="C38" s="40"/>
      <c r="D38" s="39" t="s">
        <v>85</v>
      </c>
      <c r="E38" s="41">
        <v>26.0</v>
      </c>
      <c r="F38" s="39" t="s">
        <v>60</v>
      </c>
      <c r="G38" s="41">
        <v>54.0</v>
      </c>
      <c r="H38" s="39" t="s">
        <v>60</v>
      </c>
      <c r="I38" s="41">
        <v>66.0</v>
      </c>
      <c r="J38" s="42">
        <f t="shared" si="13"/>
        <v>2</v>
      </c>
      <c r="K38" s="43">
        <f t="shared" si="14"/>
        <v>1</v>
      </c>
      <c r="L38" s="44">
        <f t="shared" si="15"/>
        <v>146</v>
      </c>
      <c r="M38" s="46">
        <v>2.0</v>
      </c>
    </row>
    <row r="41">
      <c r="A41" s="31" t="s">
        <v>80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10" t="s">
        <v>27</v>
      </c>
      <c r="B42" s="11"/>
      <c r="C42" s="11"/>
      <c r="D42" s="10" t="s">
        <v>39</v>
      </c>
      <c r="E42" s="12"/>
      <c r="F42" s="10" t="s">
        <v>44</v>
      </c>
      <c r="G42" s="12"/>
      <c r="H42" s="10" t="s">
        <v>48</v>
      </c>
      <c r="I42" s="12"/>
      <c r="J42" s="10" t="s">
        <v>52</v>
      </c>
      <c r="K42" s="23" t="s">
        <v>53</v>
      </c>
      <c r="L42" s="24" t="s">
        <v>56</v>
      </c>
      <c r="M42" s="67" t="s">
        <v>57</v>
      </c>
    </row>
    <row r="43">
      <c r="A43" s="26" t="s">
        <v>25</v>
      </c>
      <c r="D43" s="26" t="s">
        <v>85</v>
      </c>
      <c r="E43" s="27">
        <v>80.0</v>
      </c>
      <c r="F43" s="26" t="s">
        <v>60</v>
      </c>
      <c r="G43" s="27">
        <v>112.0</v>
      </c>
      <c r="H43" s="26" t="s">
        <v>60</v>
      </c>
      <c r="I43" s="27">
        <v>110.0</v>
      </c>
      <c r="J43" s="28">
        <f t="shared" ref="J43:J46" si="16">countif(D43:I43,"W")</f>
        <v>2</v>
      </c>
      <c r="K43" s="29">
        <f t="shared" ref="K43:K46" si="17">countif(D43:I43,"L")</f>
        <v>1</v>
      </c>
      <c r="L43" s="35">
        <f t="shared" ref="L43:L46" si="18">SUM(E43,G43,I43)</f>
        <v>302</v>
      </c>
      <c r="M43" s="46">
        <v>2.0</v>
      </c>
    </row>
    <row r="44">
      <c r="A44" s="26" t="s">
        <v>38</v>
      </c>
      <c r="D44" s="26" t="s">
        <v>60</v>
      </c>
      <c r="E44" s="27">
        <v>92.0</v>
      </c>
      <c r="F44" s="26" t="s">
        <v>60</v>
      </c>
      <c r="G44" s="27">
        <v>70.0</v>
      </c>
      <c r="H44" s="26" t="s">
        <v>60</v>
      </c>
      <c r="I44" s="27">
        <v>80.0</v>
      </c>
      <c r="J44" s="28">
        <f t="shared" si="16"/>
        <v>3</v>
      </c>
      <c r="K44" s="29">
        <f t="shared" si="17"/>
        <v>0</v>
      </c>
      <c r="L44" s="35">
        <f t="shared" si="18"/>
        <v>242</v>
      </c>
      <c r="M44" s="36">
        <v>1.0</v>
      </c>
    </row>
    <row r="45">
      <c r="A45" s="26" t="s">
        <v>126</v>
      </c>
      <c r="D45" s="26" t="s">
        <v>85</v>
      </c>
      <c r="E45" s="27">
        <v>48.0</v>
      </c>
      <c r="F45" s="26" t="s">
        <v>85</v>
      </c>
      <c r="G45" s="27">
        <v>44.0</v>
      </c>
      <c r="H45" s="26" t="s">
        <v>85</v>
      </c>
      <c r="I45" s="27">
        <v>62.0</v>
      </c>
      <c r="J45" s="28">
        <f t="shared" si="16"/>
        <v>0</v>
      </c>
      <c r="K45" s="29">
        <f t="shared" si="17"/>
        <v>3</v>
      </c>
      <c r="L45" s="35">
        <f t="shared" si="18"/>
        <v>154</v>
      </c>
      <c r="M45" s="38">
        <v>4.0</v>
      </c>
    </row>
    <row r="46">
      <c r="A46" s="39" t="s">
        <v>79</v>
      </c>
      <c r="B46" s="40"/>
      <c r="C46" s="40"/>
      <c r="D46" s="39" t="s">
        <v>60</v>
      </c>
      <c r="E46" s="41">
        <v>118.0</v>
      </c>
      <c r="F46" s="39" t="s">
        <v>85</v>
      </c>
      <c r="G46" s="41">
        <v>66.0</v>
      </c>
      <c r="H46" s="39" t="s">
        <v>85</v>
      </c>
      <c r="I46" s="41">
        <v>72.0</v>
      </c>
      <c r="J46" s="42">
        <f t="shared" si="16"/>
        <v>1</v>
      </c>
      <c r="K46" s="43">
        <f t="shared" si="17"/>
        <v>2</v>
      </c>
      <c r="L46" s="44">
        <f t="shared" si="18"/>
        <v>256</v>
      </c>
      <c r="M46" s="38">
        <v>3.0</v>
      </c>
    </row>
    <row r="49">
      <c r="A49" s="33" t="s">
        <v>81</v>
      </c>
      <c r="B49" s="78"/>
      <c r="C49" s="78"/>
      <c r="D49" s="78"/>
      <c r="E49" s="79"/>
      <c r="F49" s="79"/>
      <c r="G49" s="79"/>
      <c r="H49" s="79"/>
      <c r="I49" s="79"/>
      <c r="J49" s="79"/>
      <c r="K49" s="79"/>
      <c r="L49" s="79"/>
      <c r="M49" s="15"/>
    </row>
    <row r="50">
      <c r="A50" s="80" t="s">
        <v>27</v>
      </c>
      <c r="B50" s="40"/>
      <c r="C50" s="63"/>
      <c r="D50" s="81" t="s">
        <v>39</v>
      </c>
      <c r="E50" s="63"/>
      <c r="F50" s="81" t="s">
        <v>44</v>
      </c>
      <c r="G50" s="63"/>
      <c r="H50" s="81" t="s">
        <v>48</v>
      </c>
      <c r="I50" s="63"/>
      <c r="J50" s="81" t="s">
        <v>52</v>
      </c>
      <c r="K50" s="82" t="s">
        <v>53</v>
      </c>
      <c r="L50" s="48" t="s">
        <v>56</v>
      </c>
      <c r="M50" s="83" t="s">
        <v>57</v>
      </c>
    </row>
    <row r="51">
      <c r="A51" s="73" t="s">
        <v>91</v>
      </c>
      <c r="C51" s="60"/>
      <c r="D51" s="84" t="s">
        <v>60</v>
      </c>
      <c r="E51" s="85">
        <v>38.0</v>
      </c>
      <c r="F51" s="84" t="s">
        <v>85</v>
      </c>
      <c r="G51" s="85">
        <v>30.0</v>
      </c>
      <c r="H51" s="84" t="s">
        <v>60</v>
      </c>
      <c r="I51" s="85">
        <v>42.0</v>
      </c>
      <c r="J51" s="66">
        <f t="shared" ref="J51:J54" si="19">countif(D51:I51,"W")</f>
        <v>2</v>
      </c>
      <c r="K51" s="86">
        <f t="shared" ref="K51:K54" si="20">countif(D51:I51,"L")</f>
        <v>1</v>
      </c>
      <c r="L51" s="72">
        <f t="shared" ref="L51:L54" si="21">SUM(E51,G51,I51)</f>
        <v>110</v>
      </c>
      <c r="M51" s="87">
        <v>2.0</v>
      </c>
    </row>
    <row r="52">
      <c r="A52" s="73" t="s">
        <v>131</v>
      </c>
      <c r="C52" s="60"/>
      <c r="D52" s="84" t="s">
        <v>85</v>
      </c>
      <c r="E52" s="85">
        <v>28.0</v>
      </c>
      <c r="F52" s="84" t="s">
        <v>85</v>
      </c>
      <c r="G52" s="85">
        <v>20.0</v>
      </c>
      <c r="H52" s="84" t="s">
        <v>60</v>
      </c>
      <c r="I52" s="85">
        <v>52.0</v>
      </c>
      <c r="J52" s="66">
        <f t="shared" si="19"/>
        <v>1</v>
      </c>
      <c r="K52" s="86">
        <f t="shared" si="20"/>
        <v>2</v>
      </c>
      <c r="L52" s="72">
        <f t="shared" si="21"/>
        <v>100</v>
      </c>
      <c r="M52" s="38">
        <v>4.0</v>
      </c>
    </row>
    <row r="53">
      <c r="A53" s="73" t="s">
        <v>130</v>
      </c>
      <c r="C53" s="60"/>
      <c r="D53" s="84" t="s">
        <v>85</v>
      </c>
      <c r="E53" s="85">
        <v>44.0</v>
      </c>
      <c r="F53" s="84" t="s">
        <v>60</v>
      </c>
      <c r="G53" s="85">
        <v>40.0</v>
      </c>
      <c r="H53" s="84" t="s">
        <v>85</v>
      </c>
      <c r="I53" s="85">
        <v>46.0</v>
      </c>
      <c r="J53" s="66">
        <f t="shared" si="19"/>
        <v>1</v>
      </c>
      <c r="K53" s="86">
        <f t="shared" si="20"/>
        <v>2</v>
      </c>
      <c r="L53" s="72">
        <f t="shared" si="21"/>
        <v>130</v>
      </c>
      <c r="M53" s="88">
        <v>3.0</v>
      </c>
    </row>
    <row r="54">
      <c r="A54" s="89" t="s">
        <v>73</v>
      </c>
      <c r="B54" s="40"/>
      <c r="C54" s="63"/>
      <c r="D54" s="90" t="s">
        <v>60</v>
      </c>
      <c r="E54" s="91">
        <v>62.0</v>
      </c>
      <c r="F54" s="90" t="s">
        <v>60</v>
      </c>
      <c r="G54" s="91">
        <v>70.0</v>
      </c>
      <c r="H54" s="90" t="s">
        <v>85</v>
      </c>
      <c r="I54" s="91">
        <v>38.0</v>
      </c>
      <c r="J54" s="76">
        <f t="shared" si="19"/>
        <v>2</v>
      </c>
      <c r="K54" s="92">
        <f t="shared" si="20"/>
        <v>1</v>
      </c>
      <c r="L54" s="93">
        <f t="shared" si="21"/>
        <v>170</v>
      </c>
      <c r="M54" s="94">
        <v>1.0</v>
      </c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</row>
    <row r="56">
      <c r="A56" s="68" t="s">
        <v>102</v>
      </c>
    </row>
    <row r="57">
      <c r="A57" s="50" t="s">
        <v>27</v>
      </c>
      <c r="B57" s="51"/>
      <c r="C57" s="51"/>
      <c r="D57" s="50" t="s">
        <v>52</v>
      </c>
      <c r="E57" s="53" t="s">
        <v>53</v>
      </c>
      <c r="F57" s="54" t="s">
        <v>104</v>
      </c>
      <c r="G57" s="25" t="s">
        <v>105</v>
      </c>
    </row>
    <row r="58">
      <c r="A58" s="55" t="s">
        <v>4</v>
      </c>
      <c r="B58" s="51"/>
      <c r="C58" s="52"/>
      <c r="D58" s="57">
        <v>3.0</v>
      </c>
      <c r="E58" s="58">
        <v>0.0</v>
      </c>
      <c r="F58" s="59">
        <v>358.0</v>
      </c>
      <c r="G58" s="36">
        <v>1.0</v>
      </c>
    </row>
    <row r="59">
      <c r="A59" s="26" t="s">
        <v>12</v>
      </c>
      <c r="C59" s="60"/>
      <c r="D59" s="28">
        <v>3.0</v>
      </c>
      <c r="E59" s="62">
        <v>0.0</v>
      </c>
      <c r="F59" s="35">
        <v>292.0</v>
      </c>
      <c r="G59" s="46">
        <v>2.0</v>
      </c>
    </row>
    <row r="60">
      <c r="A60" s="26" t="s">
        <v>58</v>
      </c>
      <c r="C60" s="60"/>
      <c r="D60" s="28">
        <v>3.0</v>
      </c>
      <c r="E60" s="62">
        <v>0.0</v>
      </c>
      <c r="F60" s="35">
        <v>256.0</v>
      </c>
      <c r="G60" s="49">
        <v>3.0</v>
      </c>
    </row>
    <row r="61">
      <c r="A61" s="26" t="s">
        <v>38</v>
      </c>
      <c r="C61" s="60"/>
      <c r="D61" s="28">
        <v>3.0</v>
      </c>
      <c r="E61" s="62">
        <v>0.0</v>
      </c>
      <c r="F61" s="35">
        <v>242.0</v>
      </c>
      <c r="G61" s="49">
        <v>4.0</v>
      </c>
    </row>
    <row r="62">
      <c r="A62" s="26" t="s">
        <v>54</v>
      </c>
      <c r="C62" s="60"/>
      <c r="D62" s="28">
        <v>3.0</v>
      </c>
      <c r="E62" s="62">
        <v>0.0</v>
      </c>
      <c r="F62" s="35">
        <v>170.0</v>
      </c>
      <c r="G62" s="49">
        <v>5.0</v>
      </c>
    </row>
    <row r="63">
      <c r="A63" s="26" t="s">
        <v>25</v>
      </c>
      <c r="C63" s="60"/>
      <c r="D63" s="28">
        <v>2.0</v>
      </c>
      <c r="E63" s="62">
        <v>1.0</v>
      </c>
      <c r="F63" s="35">
        <v>302.0</v>
      </c>
      <c r="G63" s="49">
        <v>6.0</v>
      </c>
    </row>
    <row r="64">
      <c r="A64" s="26" t="s">
        <v>13</v>
      </c>
      <c r="C64" s="60"/>
      <c r="D64" s="28">
        <v>2.0</v>
      </c>
      <c r="E64" s="62">
        <v>1.0</v>
      </c>
      <c r="F64" s="35">
        <v>182.0</v>
      </c>
      <c r="G64" s="49">
        <v>7.0</v>
      </c>
    </row>
    <row r="65">
      <c r="A65" s="26" t="s">
        <v>8</v>
      </c>
      <c r="C65" s="60"/>
      <c r="D65" s="28">
        <v>2.0</v>
      </c>
      <c r="E65" s="62">
        <v>1.0</v>
      </c>
      <c r="F65" s="35">
        <v>180.0</v>
      </c>
      <c r="G65" s="49">
        <v>8.0</v>
      </c>
    </row>
    <row r="66">
      <c r="A66" s="26" t="s">
        <v>61</v>
      </c>
      <c r="C66" s="60"/>
      <c r="D66" s="28">
        <v>2.0</v>
      </c>
      <c r="E66" s="62">
        <v>1.0</v>
      </c>
      <c r="F66" s="35">
        <v>178.0</v>
      </c>
      <c r="G66" s="49">
        <v>9.0</v>
      </c>
    </row>
    <row r="67">
      <c r="A67" s="26" t="s">
        <v>73</v>
      </c>
      <c r="C67" s="60"/>
      <c r="D67" s="28">
        <v>2.0</v>
      </c>
      <c r="E67" s="62">
        <v>1.0</v>
      </c>
      <c r="F67" s="35">
        <v>170.0</v>
      </c>
      <c r="G67" s="49">
        <v>10.0</v>
      </c>
    </row>
    <row r="68">
      <c r="A68" s="26" t="s">
        <v>82</v>
      </c>
      <c r="C68" s="60"/>
      <c r="D68" s="28">
        <v>2.0</v>
      </c>
      <c r="E68" s="62">
        <v>1.0</v>
      </c>
      <c r="F68" s="35">
        <v>146.0</v>
      </c>
      <c r="G68" s="49">
        <v>11.0</v>
      </c>
    </row>
    <row r="69">
      <c r="A69" s="26" t="s">
        <v>91</v>
      </c>
      <c r="C69" s="60"/>
      <c r="D69" s="28">
        <v>2.0</v>
      </c>
      <c r="E69" s="62">
        <v>1.0</v>
      </c>
      <c r="F69" s="35">
        <v>110.0</v>
      </c>
      <c r="G69" s="49">
        <v>12.0</v>
      </c>
    </row>
    <row r="70">
      <c r="A70" s="26" t="s">
        <v>95</v>
      </c>
      <c r="C70" s="60"/>
      <c r="D70" s="28">
        <v>2.0</v>
      </c>
      <c r="E70" s="62">
        <v>1.0</v>
      </c>
      <c r="F70" s="35">
        <v>88.0</v>
      </c>
      <c r="G70" s="49">
        <v>13.0</v>
      </c>
    </row>
    <row r="71">
      <c r="A71" s="26" t="s">
        <v>79</v>
      </c>
      <c r="C71" s="60"/>
      <c r="D71" s="28">
        <v>1.0</v>
      </c>
      <c r="E71" s="62">
        <v>2.0</v>
      </c>
      <c r="F71" s="35">
        <v>256.0</v>
      </c>
      <c r="G71" s="49">
        <v>14.0</v>
      </c>
    </row>
    <row r="72">
      <c r="A72" s="26" t="s">
        <v>77</v>
      </c>
      <c r="C72" s="60"/>
      <c r="D72" s="28">
        <v>1.0</v>
      </c>
      <c r="E72" s="62">
        <v>2.0</v>
      </c>
      <c r="F72" s="35">
        <v>200.0</v>
      </c>
      <c r="G72" s="49">
        <v>15.0</v>
      </c>
    </row>
    <row r="73">
      <c r="A73" s="26" t="s">
        <v>68</v>
      </c>
      <c r="C73" s="60"/>
      <c r="D73" s="28">
        <v>1.0</v>
      </c>
      <c r="E73" s="62">
        <v>2.0</v>
      </c>
      <c r="F73" s="35">
        <v>136.0</v>
      </c>
      <c r="G73" s="49">
        <v>16.0</v>
      </c>
    </row>
    <row r="74">
      <c r="A74" s="26" t="s">
        <v>130</v>
      </c>
      <c r="C74" s="60"/>
      <c r="D74" s="28">
        <v>1.0</v>
      </c>
      <c r="E74" s="62">
        <v>2.0</v>
      </c>
      <c r="F74" s="35">
        <v>130.0</v>
      </c>
      <c r="G74" s="49" t="s">
        <v>116</v>
      </c>
    </row>
    <row r="75">
      <c r="A75" s="26" t="s">
        <v>124</v>
      </c>
      <c r="C75" s="60"/>
      <c r="D75" s="28">
        <v>1.0</v>
      </c>
      <c r="E75" s="62">
        <v>2.0</v>
      </c>
      <c r="F75" s="35">
        <v>126.0</v>
      </c>
      <c r="G75" s="49" t="s">
        <v>116</v>
      </c>
    </row>
    <row r="76">
      <c r="A76" s="26" t="s">
        <v>109</v>
      </c>
      <c r="C76" s="60"/>
      <c r="D76" s="28">
        <v>1.0</v>
      </c>
      <c r="E76" s="62">
        <v>2.0</v>
      </c>
      <c r="F76" s="35">
        <v>106.0</v>
      </c>
      <c r="G76" s="49" t="s">
        <v>116</v>
      </c>
    </row>
    <row r="77">
      <c r="A77" s="26" t="s">
        <v>108</v>
      </c>
      <c r="C77" s="60"/>
      <c r="D77" s="28">
        <v>1.0</v>
      </c>
      <c r="E77" s="62">
        <v>2.0</v>
      </c>
      <c r="F77" s="35">
        <v>100.0</v>
      </c>
      <c r="G77" s="49" t="s">
        <v>116</v>
      </c>
    </row>
    <row r="78">
      <c r="A78" s="26" t="s">
        <v>131</v>
      </c>
      <c r="C78" s="60"/>
      <c r="D78" s="28">
        <v>1.0</v>
      </c>
      <c r="E78" s="62">
        <v>2.0</v>
      </c>
      <c r="F78" s="35">
        <v>100.0</v>
      </c>
      <c r="G78" s="49" t="s">
        <v>116</v>
      </c>
    </row>
    <row r="79">
      <c r="A79" s="26" t="s">
        <v>127</v>
      </c>
      <c r="C79" s="60"/>
      <c r="D79" s="28">
        <v>1.0</v>
      </c>
      <c r="E79" s="62">
        <v>2.0</v>
      </c>
      <c r="F79" s="35">
        <v>96.0</v>
      </c>
      <c r="G79" s="49" t="s">
        <v>116</v>
      </c>
    </row>
    <row r="80">
      <c r="A80" s="26" t="s">
        <v>125</v>
      </c>
      <c r="C80" s="60"/>
      <c r="D80" s="28">
        <v>1.0</v>
      </c>
      <c r="E80" s="62">
        <v>2.0</v>
      </c>
      <c r="F80" s="35">
        <v>70.0</v>
      </c>
      <c r="G80" s="49" t="s">
        <v>116</v>
      </c>
    </row>
    <row r="81">
      <c r="A81" s="26" t="s">
        <v>103</v>
      </c>
      <c r="C81" s="60"/>
      <c r="D81" s="28">
        <v>1.0</v>
      </c>
      <c r="E81" s="62">
        <v>2.0</v>
      </c>
      <c r="F81" s="35">
        <v>58.0</v>
      </c>
      <c r="G81" s="49" t="s">
        <v>116</v>
      </c>
    </row>
    <row r="82">
      <c r="A82" s="26" t="s">
        <v>126</v>
      </c>
      <c r="C82" s="60"/>
      <c r="D82" s="28">
        <v>0.0</v>
      </c>
      <c r="E82" s="62">
        <v>3.0</v>
      </c>
      <c r="F82" s="35">
        <v>154.0</v>
      </c>
      <c r="G82" s="49" t="s">
        <v>116</v>
      </c>
    </row>
    <row r="83">
      <c r="A83" s="26" t="s">
        <v>115</v>
      </c>
      <c r="C83" s="60"/>
      <c r="D83" s="28">
        <v>0.0</v>
      </c>
      <c r="E83" s="62">
        <v>3.0</v>
      </c>
      <c r="F83" s="35">
        <v>100.0</v>
      </c>
      <c r="G83" s="49" t="s">
        <v>116</v>
      </c>
    </row>
    <row r="84">
      <c r="A84" s="26" t="s">
        <v>123</v>
      </c>
      <c r="C84" s="60"/>
      <c r="D84" s="28">
        <v>0.0</v>
      </c>
      <c r="E84" s="62">
        <v>3.0</v>
      </c>
      <c r="F84" s="35">
        <v>58.0</v>
      </c>
      <c r="G84" s="49" t="s">
        <v>116</v>
      </c>
    </row>
    <row r="85">
      <c r="A85" s="39" t="s">
        <v>111</v>
      </c>
      <c r="B85" s="40"/>
      <c r="C85" s="63"/>
      <c r="D85" s="42">
        <v>0.0</v>
      </c>
      <c r="E85" s="65">
        <v>3.0</v>
      </c>
      <c r="F85" s="44">
        <v>48.0</v>
      </c>
      <c r="G85" s="49" t="s">
        <v>116</v>
      </c>
    </row>
  </sheetData>
  <mergeCells count="86">
    <mergeCell ref="A43:C43"/>
    <mergeCell ref="A44:C44"/>
    <mergeCell ref="A45:C45"/>
    <mergeCell ref="A46:C46"/>
    <mergeCell ref="D50:E50"/>
    <mergeCell ref="F50:G50"/>
    <mergeCell ref="H50:I50"/>
    <mergeCell ref="A50:C50"/>
    <mergeCell ref="A51:C51"/>
    <mergeCell ref="A52:C52"/>
    <mergeCell ref="A53:C53"/>
    <mergeCell ref="A54:C54"/>
    <mergeCell ref="A56:G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9:C79"/>
    <mergeCell ref="A80:C80"/>
    <mergeCell ref="A81:C81"/>
    <mergeCell ref="A82:C82"/>
    <mergeCell ref="A83:C83"/>
    <mergeCell ref="A84:C84"/>
    <mergeCell ref="A85:C85"/>
    <mergeCell ref="A72:C72"/>
    <mergeCell ref="A73:C73"/>
    <mergeCell ref="A74:C74"/>
    <mergeCell ref="A75:C75"/>
    <mergeCell ref="A76:C76"/>
    <mergeCell ref="A77:C77"/>
    <mergeCell ref="A78:C78"/>
    <mergeCell ref="A2:C2"/>
    <mergeCell ref="D2:E2"/>
    <mergeCell ref="F2:G2"/>
    <mergeCell ref="H2:I2"/>
    <mergeCell ref="A3:C3"/>
    <mergeCell ref="A4:C4"/>
    <mergeCell ref="A5:C5"/>
    <mergeCell ref="A6:C6"/>
    <mergeCell ref="A10:C10"/>
    <mergeCell ref="D10:E10"/>
    <mergeCell ref="F10:G10"/>
    <mergeCell ref="H10:I10"/>
    <mergeCell ref="A11:C11"/>
    <mergeCell ref="A12:C12"/>
    <mergeCell ref="A13:C13"/>
    <mergeCell ref="A14:C14"/>
    <mergeCell ref="A18:C18"/>
    <mergeCell ref="D18:E18"/>
    <mergeCell ref="F18:G18"/>
    <mergeCell ref="H18:I18"/>
    <mergeCell ref="A19:C19"/>
    <mergeCell ref="A20:C20"/>
    <mergeCell ref="A21:C21"/>
    <mergeCell ref="A22:C22"/>
    <mergeCell ref="A26:C26"/>
    <mergeCell ref="D26:E26"/>
    <mergeCell ref="F26:G26"/>
    <mergeCell ref="H26:I26"/>
    <mergeCell ref="A27:C27"/>
    <mergeCell ref="A28:C28"/>
    <mergeCell ref="A29:C29"/>
    <mergeCell ref="A30:C30"/>
    <mergeCell ref="D34:E34"/>
    <mergeCell ref="F34:G34"/>
    <mergeCell ref="H34:I34"/>
    <mergeCell ref="F42:G42"/>
    <mergeCell ref="H42:I42"/>
    <mergeCell ref="A34:C34"/>
    <mergeCell ref="A35:C35"/>
    <mergeCell ref="A36:C36"/>
    <mergeCell ref="A37:C37"/>
    <mergeCell ref="A38:C38"/>
    <mergeCell ref="A42:C42"/>
    <mergeCell ref="D42:E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/>
      <c r="F1" s="6" t="s">
        <v>6</v>
      </c>
      <c r="G1" s="4"/>
      <c r="K1" s="69" t="s">
        <v>7</v>
      </c>
      <c r="L1" s="4"/>
    </row>
    <row r="2">
      <c r="A2" s="10" t="s">
        <v>10</v>
      </c>
      <c r="B2" s="11"/>
      <c r="C2" s="11"/>
      <c r="D2" s="12"/>
      <c r="F2" s="10" t="s">
        <v>10</v>
      </c>
      <c r="G2" s="11"/>
      <c r="H2" s="11"/>
      <c r="I2" s="12"/>
      <c r="K2" s="10" t="s">
        <v>10</v>
      </c>
      <c r="L2" s="11"/>
      <c r="M2" s="11"/>
      <c r="N2" s="12"/>
    </row>
    <row r="3">
      <c r="A3" s="16"/>
      <c r="B3" s="16" t="s">
        <v>21</v>
      </c>
      <c r="C3" s="16" t="s">
        <v>22</v>
      </c>
      <c r="D3" s="16" t="s">
        <v>23</v>
      </c>
      <c r="F3" s="16"/>
      <c r="G3" s="16" t="s">
        <v>21</v>
      </c>
      <c r="H3" s="16" t="s">
        <v>22</v>
      </c>
      <c r="I3" s="16" t="s">
        <v>23</v>
      </c>
      <c r="K3" s="16"/>
      <c r="L3" s="16" t="s">
        <v>21</v>
      </c>
      <c r="M3" s="16" t="s">
        <v>22</v>
      </c>
      <c r="N3" s="16" t="s">
        <v>23</v>
      </c>
    </row>
    <row r="4">
      <c r="A4" s="19">
        <v>244.0</v>
      </c>
      <c r="B4" s="20" t="s">
        <v>74</v>
      </c>
      <c r="C4" s="20" t="s">
        <v>103</v>
      </c>
      <c r="D4" s="20" t="s">
        <v>106</v>
      </c>
      <c r="F4" s="16">
        <v>205.0</v>
      </c>
      <c r="G4" s="20" t="s">
        <v>107</v>
      </c>
      <c r="H4" s="20" t="s">
        <v>108</v>
      </c>
      <c r="I4" s="20" t="s">
        <v>17</v>
      </c>
      <c r="K4" s="16">
        <v>239.0</v>
      </c>
      <c r="L4" s="20" t="s">
        <v>110</v>
      </c>
      <c r="M4" s="20" t="s">
        <v>111</v>
      </c>
      <c r="N4" s="20" t="s">
        <v>112</v>
      </c>
    </row>
    <row r="5">
      <c r="A5" s="16">
        <v>236.0</v>
      </c>
      <c r="B5" s="20" t="s">
        <v>113</v>
      </c>
      <c r="C5" s="20" t="s">
        <v>12</v>
      </c>
      <c r="D5" s="20" t="s">
        <v>68</v>
      </c>
      <c r="F5" s="16">
        <v>203.0</v>
      </c>
      <c r="G5" s="20" t="s">
        <v>114</v>
      </c>
      <c r="H5" s="20" t="s">
        <v>61</v>
      </c>
      <c r="I5" s="20" t="s">
        <v>115</v>
      </c>
      <c r="K5" s="16">
        <v>206.0</v>
      </c>
      <c r="L5" s="20" t="s">
        <v>89</v>
      </c>
      <c r="M5" s="20" t="s">
        <v>95</v>
      </c>
      <c r="N5" s="20" t="s">
        <v>54</v>
      </c>
    </row>
    <row r="7">
      <c r="A7" s="10" t="s">
        <v>50</v>
      </c>
      <c r="B7" s="11"/>
      <c r="C7" s="11"/>
      <c r="D7" s="12"/>
      <c r="F7" s="10" t="s">
        <v>50</v>
      </c>
      <c r="G7" s="11"/>
      <c r="H7" s="11"/>
      <c r="I7" s="12"/>
      <c r="K7" s="10" t="s">
        <v>50</v>
      </c>
      <c r="L7" s="11"/>
      <c r="M7" s="11"/>
      <c r="N7" s="12"/>
    </row>
    <row r="8">
      <c r="A8" s="16"/>
      <c r="B8" s="16" t="s">
        <v>21</v>
      </c>
      <c r="C8" s="16" t="s">
        <v>22</v>
      </c>
      <c r="D8" s="16" t="s">
        <v>23</v>
      </c>
      <c r="F8" s="16"/>
      <c r="G8" s="16" t="s">
        <v>21</v>
      </c>
      <c r="H8" s="16" t="s">
        <v>22</v>
      </c>
      <c r="I8" s="16" t="s">
        <v>23</v>
      </c>
      <c r="K8" s="16"/>
      <c r="L8" s="16" t="s">
        <v>21</v>
      </c>
      <c r="M8" s="16" t="s">
        <v>22</v>
      </c>
      <c r="N8" s="16" t="s">
        <v>23</v>
      </c>
    </row>
    <row r="9">
      <c r="A9" s="16">
        <v>239.0</v>
      </c>
      <c r="B9" s="20" t="s">
        <v>110</v>
      </c>
      <c r="C9" s="20" t="s">
        <v>103</v>
      </c>
      <c r="D9" s="20" t="s">
        <v>12</v>
      </c>
      <c r="F9" s="16">
        <v>206.0</v>
      </c>
      <c r="G9" s="20" t="s">
        <v>89</v>
      </c>
      <c r="H9" s="20" t="s">
        <v>108</v>
      </c>
      <c r="I9" s="20" t="s">
        <v>61</v>
      </c>
      <c r="K9" s="16">
        <v>236.0</v>
      </c>
      <c r="L9" s="20" t="s">
        <v>117</v>
      </c>
      <c r="M9" s="20" t="s">
        <v>111</v>
      </c>
      <c r="N9" s="20" t="s">
        <v>95</v>
      </c>
    </row>
    <row r="10">
      <c r="A10" s="16">
        <v>225.0</v>
      </c>
      <c r="B10" s="20" t="s">
        <v>93</v>
      </c>
      <c r="C10" s="20" t="s">
        <v>109</v>
      </c>
      <c r="D10" s="20" t="s">
        <v>68</v>
      </c>
      <c r="F10" s="16">
        <v>204.0</v>
      </c>
      <c r="G10" s="20" t="s">
        <v>118</v>
      </c>
      <c r="H10" s="20" t="s">
        <v>17</v>
      </c>
      <c r="I10" s="20" t="s">
        <v>115</v>
      </c>
      <c r="K10" s="19" t="s">
        <v>43</v>
      </c>
      <c r="L10" s="20" t="s">
        <v>119</v>
      </c>
      <c r="M10" s="20" t="s">
        <v>112</v>
      </c>
      <c r="N10" s="20" t="s">
        <v>54</v>
      </c>
    </row>
    <row r="12">
      <c r="A12" s="10" t="s">
        <v>69</v>
      </c>
      <c r="B12" s="11"/>
      <c r="C12" s="11"/>
      <c r="D12" s="12"/>
      <c r="F12" s="10" t="s">
        <v>69</v>
      </c>
      <c r="G12" s="11"/>
      <c r="H12" s="11"/>
      <c r="I12" s="12"/>
      <c r="K12" s="10" t="s">
        <v>69</v>
      </c>
      <c r="L12" s="11"/>
      <c r="M12" s="11"/>
      <c r="N12" s="12"/>
    </row>
    <row r="13">
      <c r="A13" s="16"/>
      <c r="B13" s="16" t="s">
        <v>21</v>
      </c>
      <c r="C13" s="16" t="s">
        <v>22</v>
      </c>
      <c r="D13" s="16" t="s">
        <v>23</v>
      </c>
      <c r="F13" s="16"/>
      <c r="G13" s="16" t="s">
        <v>21</v>
      </c>
      <c r="H13" s="16" t="s">
        <v>22</v>
      </c>
      <c r="I13" s="16" t="s">
        <v>23</v>
      </c>
      <c r="K13" s="16"/>
      <c r="L13" s="16" t="s">
        <v>21</v>
      </c>
      <c r="M13" s="16" t="s">
        <v>22</v>
      </c>
      <c r="N13" s="16" t="s">
        <v>23</v>
      </c>
    </row>
    <row r="14">
      <c r="A14" s="16">
        <v>206.0</v>
      </c>
      <c r="B14" s="20" t="s">
        <v>89</v>
      </c>
      <c r="C14" s="20" t="s">
        <v>103</v>
      </c>
      <c r="D14" s="20" t="s">
        <v>68</v>
      </c>
      <c r="F14" s="16">
        <v>225.0</v>
      </c>
      <c r="G14" s="20" t="s">
        <v>93</v>
      </c>
      <c r="H14" s="20" t="s">
        <v>108</v>
      </c>
      <c r="I14" s="20" t="s">
        <v>115</v>
      </c>
      <c r="K14" s="19">
        <v>245.0</v>
      </c>
      <c r="L14" s="20" t="s">
        <v>33</v>
      </c>
      <c r="M14" s="20" t="s">
        <v>111</v>
      </c>
      <c r="N14" s="20" t="s">
        <v>54</v>
      </c>
    </row>
    <row r="15">
      <c r="A15" s="16">
        <v>234.0</v>
      </c>
      <c r="B15" s="20" t="s">
        <v>76</v>
      </c>
      <c r="C15" s="20" t="s">
        <v>109</v>
      </c>
      <c r="D15" s="20" t="s">
        <v>12</v>
      </c>
      <c r="F15" s="16">
        <v>233.0</v>
      </c>
      <c r="G15" s="20" t="s">
        <v>30</v>
      </c>
      <c r="H15" s="20" t="s">
        <v>17</v>
      </c>
      <c r="I15" s="20" t="s">
        <v>61</v>
      </c>
      <c r="K15" s="19" t="s">
        <v>63</v>
      </c>
      <c r="L15" s="20" t="s">
        <v>120</v>
      </c>
      <c r="M15" s="20" t="s">
        <v>112</v>
      </c>
      <c r="N15" s="20" t="s">
        <v>121</v>
      </c>
    </row>
    <row r="18">
      <c r="A18" s="8" t="s">
        <v>122</v>
      </c>
      <c r="B18" s="4"/>
      <c r="F18" s="30" t="s">
        <v>78</v>
      </c>
      <c r="G18" s="4"/>
      <c r="K18" s="31" t="s">
        <v>80</v>
      </c>
      <c r="L18" s="4"/>
    </row>
    <row r="19">
      <c r="A19" s="10" t="s">
        <v>10</v>
      </c>
      <c r="B19" s="11"/>
      <c r="C19" s="11"/>
      <c r="D19" s="12"/>
      <c r="F19" s="10" t="s">
        <v>10</v>
      </c>
      <c r="G19" s="11"/>
      <c r="H19" s="11"/>
      <c r="I19" s="12"/>
      <c r="K19" s="10" t="s">
        <v>10</v>
      </c>
      <c r="L19" s="11"/>
      <c r="M19" s="11"/>
      <c r="N19" s="12"/>
    </row>
    <row r="20">
      <c r="A20" s="16"/>
      <c r="B20" s="16" t="s">
        <v>21</v>
      </c>
      <c r="C20" s="16" t="s">
        <v>22</v>
      </c>
      <c r="D20" s="16" t="s">
        <v>23</v>
      </c>
      <c r="F20" s="16"/>
      <c r="G20" s="16" t="s">
        <v>21</v>
      </c>
      <c r="H20" s="16" t="s">
        <v>22</v>
      </c>
      <c r="I20" s="16" t="s">
        <v>23</v>
      </c>
      <c r="K20" s="16"/>
      <c r="L20" s="16" t="s">
        <v>21</v>
      </c>
      <c r="M20" s="16" t="s">
        <v>22</v>
      </c>
      <c r="N20" s="16" t="s">
        <v>23</v>
      </c>
    </row>
    <row r="21">
      <c r="A21" s="16">
        <v>225.0</v>
      </c>
      <c r="B21" s="20" t="s">
        <v>93</v>
      </c>
      <c r="C21" s="20" t="s">
        <v>13</v>
      </c>
      <c r="D21" s="20" t="s">
        <v>123</v>
      </c>
      <c r="F21" s="16">
        <v>204.0</v>
      </c>
      <c r="G21" s="20" t="s">
        <v>118</v>
      </c>
      <c r="H21" s="20" t="s">
        <v>77</v>
      </c>
      <c r="I21" s="20" t="s">
        <v>8</v>
      </c>
      <c r="K21" s="19" t="s">
        <v>63</v>
      </c>
      <c r="L21" s="20" t="s">
        <v>120</v>
      </c>
      <c r="M21" s="20" t="s">
        <v>25</v>
      </c>
      <c r="N21" s="20" t="s">
        <v>38</v>
      </c>
    </row>
    <row r="22">
      <c r="A22" s="16">
        <v>234.0</v>
      </c>
      <c r="B22" s="20" t="s">
        <v>76</v>
      </c>
      <c r="C22" s="20" t="s">
        <v>4</v>
      </c>
      <c r="D22" s="20" t="s">
        <v>124</v>
      </c>
      <c r="F22" s="16">
        <v>245.0</v>
      </c>
      <c r="G22" s="20" t="s">
        <v>33</v>
      </c>
      <c r="H22" s="20" t="s">
        <v>125</v>
      </c>
      <c r="I22" s="20" t="s">
        <v>82</v>
      </c>
      <c r="K22" s="19" t="s">
        <v>43</v>
      </c>
      <c r="L22" s="20" t="s">
        <v>119</v>
      </c>
      <c r="M22" s="20" t="s">
        <v>126</v>
      </c>
      <c r="N22" s="20" t="s">
        <v>79</v>
      </c>
    </row>
    <row r="24">
      <c r="A24" s="10" t="s">
        <v>50</v>
      </c>
      <c r="B24" s="11"/>
      <c r="C24" s="11"/>
      <c r="D24" s="12"/>
      <c r="F24" s="10" t="s">
        <v>50</v>
      </c>
      <c r="G24" s="11"/>
      <c r="H24" s="11"/>
      <c r="I24" s="12"/>
      <c r="K24" s="10" t="s">
        <v>50</v>
      </c>
      <c r="L24" s="11"/>
      <c r="M24" s="11"/>
      <c r="N24" s="12"/>
    </row>
    <row r="25">
      <c r="A25" s="16"/>
      <c r="B25" s="16" t="s">
        <v>21</v>
      </c>
      <c r="C25" s="16" t="s">
        <v>22</v>
      </c>
      <c r="D25" s="16" t="s">
        <v>23</v>
      </c>
      <c r="F25" s="16"/>
      <c r="G25" s="16" t="s">
        <v>21</v>
      </c>
      <c r="H25" s="16" t="s">
        <v>22</v>
      </c>
      <c r="I25" s="16" t="s">
        <v>23</v>
      </c>
      <c r="K25" s="16"/>
      <c r="L25" s="16" t="s">
        <v>21</v>
      </c>
      <c r="M25" s="16" t="s">
        <v>22</v>
      </c>
      <c r="N25" s="16" t="s">
        <v>23</v>
      </c>
    </row>
    <row r="26">
      <c r="A26" s="16">
        <v>203.0</v>
      </c>
      <c r="B26" s="20" t="s">
        <v>114</v>
      </c>
      <c r="C26" s="20" t="s">
        <v>13</v>
      </c>
      <c r="D26" s="20" t="s">
        <v>4</v>
      </c>
      <c r="F26" s="19">
        <v>205.0</v>
      </c>
      <c r="G26" s="20" t="s">
        <v>107</v>
      </c>
      <c r="H26" s="20" t="s">
        <v>77</v>
      </c>
      <c r="I26" s="20" t="s">
        <v>125</v>
      </c>
      <c r="K26" s="16">
        <v>245.0</v>
      </c>
      <c r="L26" s="20" t="s">
        <v>33</v>
      </c>
      <c r="M26" s="20" t="s">
        <v>25</v>
      </c>
      <c r="N26" s="20" t="s">
        <v>126</v>
      </c>
    </row>
    <row r="27">
      <c r="A27" s="16">
        <v>233.0</v>
      </c>
      <c r="B27" s="20" t="s">
        <v>30</v>
      </c>
      <c r="C27" s="20" t="s">
        <v>123</v>
      </c>
      <c r="D27" s="20" t="s">
        <v>124</v>
      </c>
      <c r="F27" s="16">
        <v>244.0</v>
      </c>
      <c r="G27" s="20" t="s">
        <v>128</v>
      </c>
      <c r="H27" s="20" t="s">
        <v>8</v>
      </c>
      <c r="I27" s="20" t="s">
        <v>82</v>
      </c>
      <c r="K27" s="16">
        <v>234.0</v>
      </c>
      <c r="L27" s="20" t="s">
        <v>76</v>
      </c>
      <c r="M27" s="20" t="s">
        <v>38</v>
      </c>
      <c r="N27" s="20" t="s">
        <v>79</v>
      </c>
    </row>
    <row r="29">
      <c r="A29" s="10" t="s">
        <v>69</v>
      </c>
      <c r="B29" s="11"/>
      <c r="C29" s="11"/>
      <c r="D29" s="12"/>
      <c r="F29" s="10" t="s">
        <v>69</v>
      </c>
      <c r="G29" s="11"/>
      <c r="H29" s="11"/>
      <c r="I29" s="12"/>
      <c r="K29" s="10" t="s">
        <v>69</v>
      </c>
      <c r="L29" s="11"/>
      <c r="M29" s="11"/>
      <c r="N29" s="12"/>
    </row>
    <row r="30">
      <c r="A30" s="16"/>
      <c r="B30" s="16" t="s">
        <v>21</v>
      </c>
      <c r="C30" s="16" t="s">
        <v>22</v>
      </c>
      <c r="D30" s="16" t="s">
        <v>23</v>
      </c>
      <c r="F30" s="16"/>
      <c r="G30" s="16" t="s">
        <v>21</v>
      </c>
      <c r="H30" s="16" t="s">
        <v>22</v>
      </c>
      <c r="I30" s="16" t="s">
        <v>23</v>
      </c>
      <c r="K30" s="16"/>
      <c r="L30" s="16" t="s">
        <v>21</v>
      </c>
      <c r="M30" s="16" t="s">
        <v>22</v>
      </c>
      <c r="N30" s="16" t="s">
        <v>23</v>
      </c>
    </row>
    <row r="31">
      <c r="A31" s="16">
        <v>205.0</v>
      </c>
      <c r="B31" s="20" t="s">
        <v>107</v>
      </c>
      <c r="C31" s="20" t="s">
        <v>13</v>
      </c>
      <c r="D31" s="20" t="s">
        <v>124</v>
      </c>
      <c r="F31" s="16">
        <v>239.0</v>
      </c>
      <c r="G31" s="20" t="s">
        <v>110</v>
      </c>
      <c r="H31" s="20" t="s">
        <v>77</v>
      </c>
      <c r="I31" s="20" t="s">
        <v>82</v>
      </c>
      <c r="K31" s="16">
        <v>244.0</v>
      </c>
      <c r="L31" s="20" t="s">
        <v>128</v>
      </c>
      <c r="M31" s="20" t="s">
        <v>25</v>
      </c>
      <c r="N31" s="20" t="s">
        <v>79</v>
      </c>
    </row>
    <row r="32">
      <c r="A32" s="16">
        <v>236.0</v>
      </c>
      <c r="B32" s="20" t="s">
        <v>117</v>
      </c>
      <c r="C32" s="20" t="s">
        <v>123</v>
      </c>
      <c r="D32" s="20" t="s">
        <v>4</v>
      </c>
      <c r="F32" s="19" t="s">
        <v>43</v>
      </c>
      <c r="G32" s="20" t="s">
        <v>119</v>
      </c>
      <c r="H32" s="20" t="s">
        <v>8</v>
      </c>
      <c r="I32" s="20" t="s">
        <v>125</v>
      </c>
      <c r="K32" s="16">
        <v>203.0</v>
      </c>
      <c r="L32" s="20" t="s">
        <v>114</v>
      </c>
      <c r="M32" s="20" t="s">
        <v>38</v>
      </c>
      <c r="N32" s="20" t="s">
        <v>126</v>
      </c>
    </row>
    <row r="35">
      <c r="A35" s="33" t="s">
        <v>81</v>
      </c>
      <c r="B35" s="4"/>
    </row>
    <row r="36">
      <c r="A36" s="10" t="s">
        <v>10</v>
      </c>
      <c r="B36" s="11"/>
      <c r="C36" s="11"/>
      <c r="D36" s="12"/>
    </row>
    <row r="37">
      <c r="A37" s="16"/>
      <c r="B37" s="16" t="s">
        <v>21</v>
      </c>
      <c r="C37" s="16" t="s">
        <v>22</v>
      </c>
      <c r="D37" s="16" t="s">
        <v>23</v>
      </c>
    </row>
    <row r="38">
      <c r="A38" s="16" t="s">
        <v>87</v>
      </c>
      <c r="B38" s="20" t="s">
        <v>88</v>
      </c>
      <c r="C38" s="20" t="s">
        <v>91</v>
      </c>
      <c r="D38" s="20" t="s">
        <v>129</v>
      </c>
    </row>
    <row r="39">
      <c r="A39" s="16">
        <v>233.0</v>
      </c>
      <c r="B39" s="20" t="s">
        <v>30</v>
      </c>
      <c r="C39" s="20" t="s">
        <v>130</v>
      </c>
      <c r="D39" s="20" t="s">
        <v>73</v>
      </c>
    </row>
    <row r="41">
      <c r="A41" s="10" t="s">
        <v>50</v>
      </c>
      <c r="B41" s="11"/>
      <c r="C41" s="11"/>
      <c r="D41" s="12"/>
    </row>
    <row r="42">
      <c r="A42" s="16"/>
      <c r="B42" s="16" t="s">
        <v>21</v>
      </c>
      <c r="C42" s="16" t="s">
        <v>22</v>
      </c>
      <c r="D42" s="16" t="s">
        <v>23</v>
      </c>
    </row>
    <row r="43">
      <c r="A43" s="19" t="s">
        <v>63</v>
      </c>
      <c r="B43" s="20" t="s">
        <v>120</v>
      </c>
      <c r="C43" s="20" t="s">
        <v>91</v>
      </c>
      <c r="D43" s="20" t="s">
        <v>130</v>
      </c>
    </row>
    <row r="44">
      <c r="A44" s="16" t="s">
        <v>87</v>
      </c>
      <c r="B44" s="20" t="s">
        <v>88</v>
      </c>
      <c r="C44" s="20" t="s">
        <v>131</v>
      </c>
      <c r="D44" s="20" t="s">
        <v>73</v>
      </c>
    </row>
    <row r="46">
      <c r="A46" s="10" t="s">
        <v>69</v>
      </c>
      <c r="B46" s="11"/>
      <c r="C46" s="11"/>
      <c r="D46" s="12"/>
    </row>
    <row r="47">
      <c r="A47" s="16"/>
      <c r="B47" s="16" t="s">
        <v>21</v>
      </c>
      <c r="C47" s="16" t="s">
        <v>22</v>
      </c>
      <c r="D47" s="16" t="s">
        <v>23</v>
      </c>
    </row>
    <row r="48">
      <c r="A48" s="16">
        <v>204.0</v>
      </c>
      <c r="B48" s="20" t="s">
        <v>118</v>
      </c>
      <c r="C48" s="20" t="s">
        <v>91</v>
      </c>
      <c r="D48" s="20" t="s">
        <v>73</v>
      </c>
    </row>
    <row r="49">
      <c r="A49" s="16" t="s">
        <v>87</v>
      </c>
      <c r="B49" s="20" t="s">
        <v>88</v>
      </c>
      <c r="C49" s="20" t="s">
        <v>131</v>
      </c>
      <c r="D49" s="20" t="s">
        <v>130</v>
      </c>
    </row>
  </sheetData>
  <mergeCells count="21">
    <mergeCell ref="F12:I12"/>
    <mergeCell ref="K12:N12"/>
    <mergeCell ref="A2:D2"/>
    <mergeCell ref="F2:I2"/>
    <mergeCell ref="K2:N2"/>
    <mergeCell ref="A7:D7"/>
    <mergeCell ref="F7:I7"/>
    <mergeCell ref="K7:N7"/>
    <mergeCell ref="A12:D12"/>
    <mergeCell ref="F29:I29"/>
    <mergeCell ref="K29:N29"/>
    <mergeCell ref="A36:D36"/>
    <mergeCell ref="A41:D41"/>
    <mergeCell ref="A46:D46"/>
    <mergeCell ref="A19:D19"/>
    <mergeCell ref="F19:I19"/>
    <mergeCell ref="K19:N19"/>
    <mergeCell ref="A24:D24"/>
    <mergeCell ref="F24:I24"/>
    <mergeCell ref="K24:N24"/>
    <mergeCell ref="A29:D29"/>
  </mergeCells>
  <drawing r:id="rId1"/>
</worksheet>
</file>