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Double Elimination" sheetId="2" r:id="rId6"/>
    <sheet state="visible" name="Wildcard" sheetId="3" r:id="rId7"/>
  </sheets>
  <definedNames/>
  <calcPr/>
</workbook>
</file>

<file path=xl/sharedStrings.xml><?xml version="1.0" encoding="utf-8"?>
<sst xmlns="http://schemas.openxmlformats.org/spreadsheetml/2006/main" count="366" uniqueCount="185">
  <si>
    <t>Round</t>
  </si>
  <si>
    <t>Note: A score of "2" means that the team to the left of the "2" won that round; A score of "1" means that the team to the left of the "1" tied in that round; A score of "0" means that the team to the left of the "0" lost that round.</t>
  </si>
  <si>
    <t>Double Elimination 1</t>
  </si>
  <si>
    <t>Scroll down to see more divisions</t>
  </si>
  <si>
    <t>Double Elimination 2</t>
  </si>
  <si>
    <t>Double Elimination 3</t>
  </si>
  <si>
    <t>Double Elimination 4</t>
  </si>
  <si>
    <t>Double Elimination 5</t>
  </si>
  <si>
    <t>Group X</t>
  </si>
  <si>
    <t>Double Elimination 6</t>
  </si>
  <si>
    <t>Group A</t>
  </si>
  <si>
    <t>Double Elimination 7</t>
  </si>
  <si>
    <t>Double Elimination 8</t>
  </si>
  <si>
    <t>Double Elimination 9</t>
  </si>
  <si>
    <t>Placement</t>
  </si>
  <si>
    <t>Wildcard Final</t>
  </si>
  <si>
    <t>Time</t>
  </si>
  <si>
    <t>1:00 - 1:40 PM</t>
  </si>
  <si>
    <t>Opponent</t>
  </si>
  <si>
    <t>Team Name</t>
  </si>
  <si>
    <t>1:40 - 2:20 PM</t>
  </si>
  <si>
    <t>A1</t>
  </si>
  <si>
    <t>2:20 - 3:00 PM</t>
  </si>
  <si>
    <t>3:30 - 4:00 PM</t>
  </si>
  <si>
    <t>A2</t>
  </si>
  <si>
    <t>A3</t>
  </si>
  <si>
    <t>A4</t>
  </si>
  <si>
    <t>A5</t>
  </si>
  <si>
    <t>3:00 - 3:30 PM</t>
  </si>
  <si>
    <t>A6</t>
  </si>
  <si>
    <t>X1</t>
  </si>
  <si>
    <t>Total</t>
  </si>
  <si>
    <t>X2</t>
  </si>
  <si>
    <t>X3</t>
  </si>
  <si>
    <t>4:00 - 4:30 PM</t>
  </si>
  <si>
    <t>X4</t>
  </si>
  <si>
    <t>X5</t>
  </si>
  <si>
    <t>X6</t>
  </si>
  <si>
    <t>Cape Elizabeth</t>
  </si>
  <si>
    <t>4:30 - 5:00 PM</t>
  </si>
  <si>
    <t>East Lyme</t>
  </si>
  <si>
    <t>5:00 - 5:30 PM</t>
  </si>
  <si>
    <t>5:30PM - 6:00 PM</t>
  </si>
  <si>
    <t>Sci Tech</t>
  </si>
  <si>
    <t>Stanford Online</t>
  </si>
  <si>
    <t>W1</t>
  </si>
  <si>
    <t>Enloe</t>
  </si>
  <si>
    <t>5*</t>
  </si>
  <si>
    <t>Falmouth</t>
  </si>
  <si>
    <t>W9</t>
  </si>
  <si>
    <t>BYE</t>
  </si>
  <si>
    <t>PRISMS</t>
  </si>
  <si>
    <t>Z1</t>
  </si>
  <si>
    <t>Irvington</t>
  </si>
  <si>
    <t>Toga</t>
  </si>
  <si>
    <t>Sharon</t>
  </si>
  <si>
    <t>Farmington</t>
  </si>
  <si>
    <t>Natick</t>
  </si>
  <si>
    <t>4*</t>
  </si>
  <si>
    <t>W2</t>
  </si>
  <si>
    <t>Yarmouth</t>
  </si>
  <si>
    <t>Shenendehowa</t>
  </si>
  <si>
    <t>Phillips Exeter 1</t>
  </si>
  <si>
    <t>Group B</t>
  </si>
  <si>
    <t>W13 : 26-210</t>
  </si>
  <si>
    <t>Group Y</t>
  </si>
  <si>
    <t>Montgomery Blair</t>
  </si>
  <si>
    <t>ASFA</t>
  </si>
  <si>
    <t>W3</t>
  </si>
  <si>
    <t>Westminster</t>
  </si>
  <si>
    <t>Y1</t>
  </si>
  <si>
    <t>B1</t>
  </si>
  <si>
    <t>Y2</t>
  </si>
  <si>
    <t>Y3</t>
  </si>
  <si>
    <t>Y4</t>
  </si>
  <si>
    <t>Y5</t>
  </si>
  <si>
    <t>B2</t>
  </si>
  <si>
    <t>Y6</t>
  </si>
  <si>
    <t>B3</t>
  </si>
  <si>
    <t>B4</t>
  </si>
  <si>
    <t>B5</t>
  </si>
  <si>
    <t>B6</t>
  </si>
  <si>
    <t>W10</t>
  </si>
  <si>
    <t>Phillips Exeter 2</t>
  </si>
  <si>
    <t>BASIS Silicon Valley</t>
  </si>
  <si>
    <t>W4</t>
  </si>
  <si>
    <t>Mission San Jose</t>
  </si>
  <si>
    <t>R1</t>
  </si>
  <si>
    <t>Niskayuna</t>
  </si>
  <si>
    <t>R2</t>
  </si>
  <si>
    <t>Nashua High North</t>
  </si>
  <si>
    <t>W15 : 8-119</t>
  </si>
  <si>
    <t>ASD</t>
  </si>
  <si>
    <t>Palo Alto</t>
  </si>
  <si>
    <t>Johnson</t>
  </si>
  <si>
    <t>AMSA</t>
  </si>
  <si>
    <t>Phillips Andover</t>
  </si>
  <si>
    <t>W5</t>
  </si>
  <si>
    <t>Belmont Hill</t>
  </si>
  <si>
    <t>Plainsboro</t>
  </si>
  <si>
    <t>W11</t>
  </si>
  <si>
    <t>North Hollywood</t>
  </si>
  <si>
    <t>Group C</t>
  </si>
  <si>
    <t>W6</t>
  </si>
  <si>
    <t>Lexington 2</t>
  </si>
  <si>
    <t>C1</t>
  </si>
  <si>
    <t>C2</t>
  </si>
  <si>
    <t>C3</t>
  </si>
  <si>
    <t>C4</t>
  </si>
  <si>
    <t>W14 : 26-204</t>
  </si>
  <si>
    <t>C5</t>
  </si>
  <si>
    <t>C6</t>
  </si>
  <si>
    <t>Lexington 1</t>
  </si>
  <si>
    <t>Davidson Academy</t>
  </si>
  <si>
    <t>W7</t>
  </si>
  <si>
    <t>F1 : 26-100</t>
  </si>
  <si>
    <t>F2</t>
  </si>
  <si>
    <t>CHAMPIONS!</t>
  </si>
  <si>
    <t>1*</t>
  </si>
  <si>
    <t>Commonwealth</t>
  </si>
  <si>
    <t>W12</t>
  </si>
  <si>
    <t>2*</t>
  </si>
  <si>
    <t>Greenwich 2</t>
  </si>
  <si>
    <t>W8</t>
  </si>
  <si>
    <t>Group D</t>
  </si>
  <si>
    <t>L5 : 26-210</t>
  </si>
  <si>
    <t>Davidson</t>
  </si>
  <si>
    <t>L12 : 26-142</t>
  </si>
  <si>
    <t>D1</t>
  </si>
  <si>
    <t>D2</t>
  </si>
  <si>
    <t>D3</t>
  </si>
  <si>
    <t>D4</t>
  </si>
  <si>
    <t>D5</t>
  </si>
  <si>
    <t>L1</t>
  </si>
  <si>
    <t>D6</t>
  </si>
  <si>
    <t>L15 : 26-100</t>
  </si>
  <si>
    <t>Hopkins School</t>
  </si>
  <si>
    <t>L9 : 26-142</t>
  </si>
  <si>
    <t>L6 : 26-204</t>
  </si>
  <si>
    <t>L14 : 26-142</t>
  </si>
  <si>
    <t>L2</t>
  </si>
  <si>
    <t>Nashua High South 1</t>
  </si>
  <si>
    <t>L7 : 26-142</t>
  </si>
  <si>
    <t>Woodstock</t>
  </si>
  <si>
    <t>L13 : 8-119</t>
  </si>
  <si>
    <t>L3</t>
  </si>
  <si>
    <t>L10 : 8-119</t>
  </si>
  <si>
    <t>Group E</t>
  </si>
  <si>
    <t>L8 : 8-119</t>
  </si>
  <si>
    <t>L4</t>
  </si>
  <si>
    <t>E1</t>
  </si>
  <si>
    <t>E2</t>
  </si>
  <si>
    <t>E3</t>
  </si>
  <si>
    <t>E4</t>
  </si>
  <si>
    <t>E5</t>
  </si>
  <si>
    <t>E6</t>
  </si>
  <si>
    <t>Concord Academy</t>
  </si>
  <si>
    <t>Ivy Math Academy</t>
  </si>
  <si>
    <t>Group F</t>
  </si>
  <si>
    <t>F1</t>
  </si>
  <si>
    <t>F3</t>
  </si>
  <si>
    <t>F4</t>
  </si>
  <si>
    <t>F5</t>
  </si>
  <si>
    <t>F6</t>
  </si>
  <si>
    <t>Gatton Academy</t>
  </si>
  <si>
    <t>Greenwich 1</t>
  </si>
  <si>
    <t>Portsmouth</t>
  </si>
  <si>
    <t>Group G</t>
  </si>
  <si>
    <t>G1</t>
  </si>
  <si>
    <t>G2</t>
  </si>
  <si>
    <t>G3</t>
  </si>
  <si>
    <t>G4</t>
  </si>
  <si>
    <t>G5</t>
  </si>
  <si>
    <t>G6</t>
  </si>
  <si>
    <t>Nashua High South 2</t>
  </si>
  <si>
    <t>Group H</t>
  </si>
  <si>
    <t>H1</t>
  </si>
  <si>
    <t>H2</t>
  </si>
  <si>
    <t>H3</t>
  </si>
  <si>
    <t>H4</t>
  </si>
  <si>
    <t>H5</t>
  </si>
  <si>
    <t>H6</t>
  </si>
  <si>
    <t>BTA</t>
  </si>
  <si>
    <t>Cupertino</t>
  </si>
  <si>
    <t>Joel Barlow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</si>
</sst>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i/>
      <color theme="1"/>
      <name val="Arial"/>
    </font>
    <font/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1F1F1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A9999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bottom style="thin">
        <color rgb="FFB6D7A8"/>
      </bottom>
    </border>
    <border>
      <top style="dotted">
        <color rgb="FF000000"/>
      </top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bottom style="thin">
        <color rgb="FF6D9EEB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000000"/>
      </left>
      <top style="thin">
        <color rgb="FF000000"/>
      </top>
    </border>
    <border>
      <bottom style="thin">
        <color rgb="FFF6B26B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top style="thin">
        <color rgb="FFEAD1DC"/>
      </top>
      <bottom style="thin">
        <color rgb="FFEAD1DC"/>
      </bottom>
    </border>
    <border>
      <top style="thin">
        <color rgb="FFEAD1DC"/>
      </top>
      <bottom style="thin">
        <color rgb="FFEAD1DC"/>
      </bottom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0" fontId="4" numFmtId="0" xfId="0" applyBorder="1" applyFont="1"/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vertical="bottom"/>
    </xf>
    <xf borderId="3" fillId="3" fontId="6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3" fillId="0" fontId="7" numFmtId="0" xfId="0" applyAlignment="1" applyBorder="1" applyFont="1">
      <alignment vertical="bottom"/>
    </xf>
    <xf borderId="5" fillId="0" fontId="4" numFmtId="0" xfId="0" applyBorder="1" applyFont="1"/>
    <xf borderId="3" fillId="0" fontId="6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6" fillId="2" fontId="2" numFmtId="0" xfId="0" applyAlignment="1" applyBorder="1" applyFill="1" applyFont="1">
      <alignment horizontal="center" readingOrder="0" vertical="bottom"/>
    </xf>
    <xf borderId="3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shrinkToFit="0" wrapText="1"/>
    </xf>
    <xf borderId="6" fillId="4" fontId="5" numFmtId="0" xfId="0" applyAlignment="1" applyBorder="1" applyFill="1" applyFont="1">
      <alignment readingOrder="0" vertical="bottom"/>
    </xf>
    <xf borderId="6" fillId="0" fontId="4" numFmtId="0" xfId="0" applyBorder="1" applyFont="1"/>
    <xf borderId="3" fillId="5" fontId="7" numFmtId="0" xfId="0" applyAlignment="1" applyBorder="1" applyFill="1" applyFont="1">
      <alignment vertical="bottom"/>
    </xf>
    <xf borderId="0" fillId="3" fontId="5" numFmtId="0" xfId="0" applyAlignment="1" applyFill="1" applyFont="1">
      <alignment horizontal="right" vertical="bottom"/>
    </xf>
    <xf borderId="0" fillId="4" fontId="5" numFmtId="0" xfId="0" applyAlignment="1" applyFill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9" numFmtId="0" xfId="0" applyAlignment="1" applyFont="1">
      <alignment readingOrder="0"/>
    </xf>
    <xf borderId="0" fillId="3" fontId="5" numFmtId="0" xfId="0" applyAlignment="1" applyFill="1" applyFont="1">
      <alignment vertical="bottom"/>
    </xf>
    <xf borderId="8" fillId="0" fontId="5" numFmtId="0" xfId="0" applyAlignment="1" applyBorder="1" applyFont="1">
      <alignment horizontal="center" readingOrder="0" vertical="bottom"/>
    </xf>
    <xf borderId="9" fillId="3" fontId="5" numFmtId="0" xfId="0" applyAlignment="1" applyBorder="1" applyFill="1" applyFont="1">
      <alignment vertical="bottom"/>
    </xf>
    <xf borderId="5" fillId="3" fontId="5" numFmtId="0" xfId="0" applyAlignment="1" applyBorder="1" applyFill="1" applyFont="1">
      <alignment horizontal="right" vertical="bottom"/>
    </xf>
    <xf borderId="8" fillId="0" fontId="5" numFmtId="0" xfId="0" applyAlignment="1" applyBorder="1" applyFont="1">
      <alignment vertical="bottom"/>
    </xf>
    <xf borderId="3" fillId="3" fontId="7" numFmtId="0" xfId="0" applyAlignment="1" applyBorder="1" applyFill="1" applyFont="1">
      <alignment horizontal="right"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horizontal="center" readingOrder="0" vertical="bottom"/>
    </xf>
    <xf borderId="10" fillId="3" fontId="5" numFmtId="0" xfId="0" applyAlignment="1" applyBorder="1" applyFill="1" applyFont="1">
      <alignment vertical="bottom"/>
    </xf>
    <xf borderId="0" fillId="0" fontId="5" numFmtId="0" xfId="0" applyAlignment="1" applyFont="1">
      <alignment horizontal="center" vertical="bottom"/>
    </xf>
    <xf borderId="11" fillId="3" fontId="5" numFmtId="0" xfId="0" applyAlignment="1" applyBorder="1" applyFill="1" applyFont="1">
      <alignment vertical="bottom"/>
    </xf>
    <xf borderId="0" fillId="3" fontId="5" numFmtId="0" xfId="0" applyAlignment="1" applyFill="1" applyFont="1">
      <alignment horizontal="right" vertical="bottom"/>
    </xf>
    <xf borderId="12" fillId="0" fontId="5" numFmtId="0" xfId="0" applyAlignment="1" applyBorder="1" applyFont="1">
      <alignment vertical="bottom"/>
    </xf>
    <xf borderId="13" fillId="0" fontId="7" numFmtId="0" xfId="0" applyAlignment="1" applyBorder="1" applyFont="1">
      <alignment readingOrder="0" vertical="bottom"/>
    </xf>
    <xf borderId="10" fillId="3" fontId="5" numFmtId="0" xfId="0" applyAlignment="1" applyBorder="1" applyFill="1" applyFont="1">
      <alignment horizontal="right" vertical="bottom"/>
    </xf>
    <xf borderId="13" fillId="0" fontId="7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8" fillId="3" fontId="5" numFmtId="0" xfId="0" applyAlignment="1" applyBorder="1" applyFill="1" applyFont="1">
      <alignment vertical="bottom"/>
    </xf>
    <xf borderId="13" fillId="0" fontId="7" numFmtId="0" xfId="0" applyAlignment="1" applyBorder="1" applyFont="1">
      <alignment vertical="bottom"/>
    </xf>
    <xf borderId="11" fillId="0" fontId="5" numFmtId="0" xfId="0" applyAlignment="1" applyBorder="1" applyFont="1">
      <alignment horizontal="center" vertical="bottom"/>
    </xf>
    <xf borderId="13" fillId="6" fontId="6" numFmtId="0" xfId="0" applyAlignment="1" applyBorder="1" applyFill="1" applyFont="1">
      <alignment horizontal="center" vertical="bottom"/>
    </xf>
    <xf borderId="13" fillId="6" fontId="6" numFmtId="0" xfId="0" applyAlignment="1" applyBorder="1" applyFill="1" applyFont="1">
      <alignment horizontal="center" readingOrder="0" vertical="bottom"/>
    </xf>
    <xf borderId="13" fillId="0" fontId="4" numFmtId="0" xfId="0" applyBorder="1" applyFont="1"/>
    <xf borderId="14" fillId="3" fontId="5" numFmtId="0" xfId="0" applyAlignment="1" applyBorder="1" applyFill="1" applyFont="1">
      <alignment vertical="bottom"/>
    </xf>
    <xf borderId="13" fillId="0" fontId="6" numFmtId="0" xfId="0" applyAlignment="1" applyBorder="1" applyFont="1">
      <alignment horizontal="center" vertical="bottom"/>
    </xf>
    <xf borderId="5" fillId="3" fontId="5" numFmtId="0" xfId="0" applyAlignment="1" applyBorder="1" applyFill="1" applyFont="1">
      <alignment horizontal="right" vertical="bottom"/>
    </xf>
    <xf borderId="13" fillId="0" fontId="7" numFmtId="0" xfId="0" applyAlignment="1" applyBorder="1" applyFont="1">
      <alignment horizontal="center" vertical="bottom"/>
    </xf>
    <xf borderId="13" fillId="5" fontId="7" numFmtId="0" xfId="0" applyAlignment="1" applyBorder="1" applyFill="1" applyFont="1">
      <alignment vertical="bottom"/>
    </xf>
    <xf borderId="15" fillId="0" fontId="8" numFmtId="0" xfId="0" applyAlignment="1" applyBorder="1" applyFont="1">
      <alignment horizontal="center" readingOrder="0" shrinkToFit="0" wrapText="1"/>
    </xf>
    <xf borderId="10" fillId="3" fontId="5" numFmtId="0" xfId="0" applyAlignment="1" applyBorder="1" applyFill="1" applyFont="1">
      <alignment horizontal="right" vertical="bottom"/>
    </xf>
    <xf borderId="13" fillId="6" fontId="7" numFmtId="0" xfId="0" applyAlignment="1" applyBorder="1" applyFill="1" applyFont="1">
      <alignment horizontal="right" vertical="bottom"/>
    </xf>
    <xf borderId="8" fillId="3" fontId="5" numFmtId="0" xfId="0" applyAlignment="1" applyBorder="1" applyFill="1" applyFont="1">
      <alignment vertical="bottom"/>
    </xf>
    <xf borderId="9" fillId="3" fontId="5" numFmtId="0" xfId="0" applyAlignment="1" applyBorder="1" applyFill="1" applyFont="1">
      <alignment horizontal="right" vertical="bottom"/>
    </xf>
    <xf borderId="9" fillId="3" fontId="5" numFmtId="0" xfId="0" applyAlignment="1" applyBorder="1" applyFill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6" fillId="0" fontId="7" numFmtId="0" xfId="0" applyAlignment="1" applyBorder="1" applyFont="1">
      <alignment vertical="bottom"/>
    </xf>
    <xf borderId="16" fillId="7" fontId="6" numFmtId="0" xfId="0" applyAlignment="1" applyBorder="1" applyFill="1" applyFont="1">
      <alignment horizontal="center" vertical="bottom"/>
    </xf>
    <xf borderId="10" fillId="3" fontId="5" numFmtId="0" xfId="0" applyAlignment="1" applyBorder="1" applyFill="1" applyFont="1">
      <alignment vertical="bottom"/>
    </xf>
    <xf borderId="16" fillId="0" fontId="4" numFmtId="0" xfId="0" applyBorder="1" applyFont="1"/>
    <xf borderId="16" fillId="0" fontId="6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readingOrder="0" vertical="bottom"/>
    </xf>
    <xf borderId="17" fillId="0" fontId="8" numFmtId="0" xfId="0" applyAlignment="1" applyBorder="1" applyFont="1">
      <alignment horizontal="center" readingOrder="0" shrinkToFit="0" wrapText="1"/>
    </xf>
    <xf borderId="0" fillId="4" fontId="5" numFmtId="0" xfId="0" applyAlignment="1" applyFill="1" applyFont="1">
      <alignment vertical="bottom"/>
    </xf>
    <xf borderId="16" fillId="5" fontId="7" numFmtId="0" xfId="0" applyAlignment="1" applyBorder="1" applyFill="1" applyFont="1">
      <alignment vertical="bottom"/>
    </xf>
    <xf borderId="0" fillId="3" fontId="5" numFmtId="0" xfId="0" applyAlignment="1" applyFill="1" applyFont="1">
      <alignment readingOrder="0" vertical="bottom"/>
    </xf>
    <xf borderId="18" fillId="0" fontId="2" numFmtId="0" xfId="0" applyAlignment="1" applyBorder="1" applyFont="1">
      <alignment horizontal="center" vertical="bottom"/>
    </xf>
    <xf borderId="16" fillId="7" fontId="7" numFmtId="0" xfId="0" applyAlignment="1" applyBorder="1" applyFill="1" applyFont="1">
      <alignment horizontal="right" vertical="bottom"/>
    </xf>
    <xf borderId="8" fillId="0" fontId="4" numFmtId="0" xfId="0" applyBorder="1" applyFont="1"/>
    <xf borderId="12" fillId="0" fontId="5" numFmtId="0" xfId="0" applyAlignment="1" applyBorder="1" applyFont="1">
      <alignment vertical="bottom"/>
    </xf>
    <xf borderId="18" fillId="0" fontId="5" numFmtId="0" xfId="0" applyAlignment="1" applyBorder="1" applyFont="1">
      <alignment horizontal="center" readingOrder="0" vertical="bottom"/>
    </xf>
    <xf borderId="19" fillId="0" fontId="7" numFmtId="0" xfId="0" applyAlignment="1" applyBorder="1" applyFont="1">
      <alignment vertical="bottom"/>
    </xf>
    <xf borderId="19" fillId="8" fontId="6" numFmtId="0" xfId="0" applyAlignment="1" applyBorder="1" applyFill="1" applyFont="1">
      <alignment horizontal="center" vertical="bottom"/>
    </xf>
    <xf borderId="19" fillId="0" fontId="4" numFmtId="0" xfId="0" applyBorder="1" applyFont="1"/>
    <xf borderId="19" fillId="0" fontId="6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readingOrder="0" vertical="bottom"/>
    </xf>
    <xf borderId="20" fillId="0" fontId="8" numFmtId="0" xfId="0" applyAlignment="1" applyBorder="1" applyFont="1">
      <alignment horizontal="center" readingOrder="0" shrinkToFit="0" wrapText="1"/>
    </xf>
    <xf borderId="19" fillId="5" fontId="7" numFmtId="0" xfId="0" applyAlignment="1" applyBorder="1" applyFill="1" applyFont="1">
      <alignment vertical="bottom"/>
    </xf>
    <xf borderId="19" fillId="8" fontId="7" numFmtId="0" xfId="0" applyAlignment="1" applyBorder="1" applyFill="1" applyFont="1">
      <alignment horizontal="right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4" fontId="6" numFmtId="0" xfId="0" applyAlignment="1" applyFill="1" applyFont="1">
      <alignment horizontal="center" readingOrder="0" vertical="bottom"/>
    </xf>
    <xf borderId="21" fillId="0" fontId="7" numFmtId="0" xfId="0" applyAlignment="1" applyBorder="1" applyFont="1">
      <alignment vertical="bottom"/>
    </xf>
    <xf borderId="22" fillId="0" fontId="6" numFmtId="0" xfId="0" applyAlignment="1" applyBorder="1" applyFont="1">
      <alignment horizontal="center" vertical="bottom"/>
    </xf>
    <xf borderId="23" fillId="0" fontId="4" numFmtId="0" xfId="0" applyBorder="1" applyFont="1"/>
    <xf borderId="24" fillId="0" fontId="4" numFmtId="0" xfId="0" applyBorder="1" applyFont="1"/>
    <xf borderId="21" fillId="0" fontId="6" numFmtId="0" xfId="0" applyAlignment="1" applyBorder="1" applyFont="1">
      <alignment horizontal="center" vertical="bottom"/>
    </xf>
    <xf borderId="21" fillId="0" fontId="9" numFmtId="0" xfId="0" applyBorder="1" applyFont="1"/>
    <xf borderId="25" fillId="0" fontId="7" numFmtId="0" xfId="0" applyAlignment="1" applyBorder="1" applyFont="1">
      <alignment vertical="bottom"/>
    </xf>
    <xf borderId="21" fillId="0" fontId="7" numFmtId="0" xfId="0" applyAlignment="1" applyBorder="1" applyFont="1">
      <alignment horizontal="center" readingOrder="0" vertical="bottom"/>
    </xf>
    <xf borderId="21" fillId="0" fontId="7" numFmtId="0" xfId="0" applyAlignment="1" applyBorder="1" applyFont="1">
      <alignment horizontal="center" readingOrder="0" vertical="bottom"/>
    </xf>
    <xf borderId="21" fillId="0" fontId="2" numFmtId="0" xfId="0" applyAlignment="1" applyBorder="1" applyFont="1">
      <alignment horizontal="center" vertical="bottom"/>
    </xf>
    <xf borderId="22" fillId="0" fontId="7" numFmtId="0" xfId="0" applyAlignment="1" applyBorder="1" applyFont="1">
      <alignment readingOrder="0" vertical="bottom"/>
    </xf>
    <xf borderId="26" fillId="0" fontId="5" numFmtId="0" xfId="0" applyAlignment="1" applyBorder="1" applyFont="1">
      <alignment horizontal="center" shrinkToFit="0" vertical="bottom" wrapText="1"/>
    </xf>
    <xf borderId="24" fillId="5" fontId="7" numFmtId="0" xfId="0" applyAlignment="1" applyBorder="1" applyFill="1" applyFont="1">
      <alignment horizontal="center" vertical="bottom"/>
    </xf>
    <xf borderId="21" fillId="4" fontId="7" numFmtId="0" xfId="0" applyAlignment="1" applyBorder="1" applyFill="1" applyFont="1">
      <alignment horizontal="right" vertical="bottom"/>
    </xf>
    <xf borderId="24" fillId="0" fontId="7" numFmtId="0" xfId="0" applyAlignment="1" applyBorder="1" applyFont="1">
      <alignment horizontal="center" readingOrder="0" vertical="bottom"/>
    </xf>
    <xf borderId="21" fillId="5" fontId="7" numFmtId="0" xfId="0" applyAlignment="1" applyBorder="1" applyFill="1" applyFont="1">
      <alignment horizontal="center" vertical="bottom"/>
    </xf>
    <xf borderId="22" fillId="0" fontId="7" numFmtId="0" xfId="0" applyAlignment="1" applyBorder="1" applyFont="1">
      <alignment readingOrder="0"/>
    </xf>
    <xf borderId="24" fillId="0" fontId="7" numFmtId="0" xfId="0" applyAlignment="1" applyBorder="1" applyFont="1">
      <alignment horizontal="center" readingOrder="0"/>
    </xf>
    <xf borderId="21" fillId="0" fontId="7" numFmtId="0" xfId="0" applyAlignment="1" applyBorder="1" applyFont="1">
      <alignment horizontal="center" readingOrder="0"/>
    </xf>
    <xf borderId="0" fillId="9" fontId="6" numFmtId="0" xfId="0" applyAlignment="1" applyFill="1" applyFont="1">
      <alignment horizontal="center" readingOrder="0" vertical="bottom"/>
    </xf>
    <xf borderId="27" fillId="0" fontId="8" numFmtId="0" xfId="0" applyAlignment="1" applyBorder="1" applyFont="1">
      <alignment horizontal="center" readingOrder="0" shrinkToFit="0" wrapText="1"/>
    </xf>
    <xf borderId="21" fillId="9" fontId="7" numFmtId="0" xfId="0" applyAlignment="1" applyBorder="1" applyFill="1" applyFont="1">
      <alignment horizontal="right" vertical="bottom"/>
    </xf>
    <xf borderId="27" fillId="10" fontId="10" numFmtId="0" xfId="0" applyAlignment="1" applyBorder="1" applyFill="1" applyFont="1">
      <alignment horizontal="center" readingOrder="0" shrinkToFit="0" wrapText="1"/>
    </xf>
    <xf borderId="0" fillId="11" fontId="6" numFmtId="0" xfId="0" applyAlignment="1" applyFill="1" applyFont="1">
      <alignment horizontal="center" readingOrder="0" vertical="bottom"/>
    </xf>
    <xf borderId="28" fillId="0" fontId="8" numFmtId="0" xfId="0" applyAlignment="1" applyBorder="1" applyFont="1">
      <alignment horizontal="center" readingOrder="0" shrinkToFit="0" wrapText="1"/>
    </xf>
    <xf borderId="21" fillId="11" fontId="7" numFmtId="0" xfId="0" applyAlignment="1" applyBorder="1" applyFill="1" applyFont="1">
      <alignment horizontal="right" vertical="bottom"/>
    </xf>
    <xf borderId="0" fillId="2" fontId="6" numFmtId="0" xfId="0" applyAlignment="1" applyFill="1" applyFont="1">
      <alignment horizontal="center" readingOrder="0" vertical="bottom"/>
    </xf>
    <xf borderId="29" fillId="0" fontId="8" numFmtId="0" xfId="0" applyAlignment="1" applyBorder="1" applyFont="1">
      <alignment horizontal="center" readingOrder="0" shrinkToFit="0" wrapText="1"/>
    </xf>
    <xf borderId="24" fillId="5" fontId="7" numFmtId="0" xfId="0" applyAlignment="1" applyBorder="1" applyFill="1" applyFont="1">
      <alignment vertical="bottom"/>
    </xf>
    <xf borderId="21" fillId="2" fontId="7" numFmtId="0" xfId="0" applyAlignment="1" applyBorder="1" applyFill="1" applyFont="1">
      <alignment horizontal="right" vertical="bottom"/>
    </xf>
    <xf borderId="21" fillId="5" fontId="7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63"/>
  </cols>
  <sheetData>
    <row r="1">
      <c r="A1" s="2" t="s">
        <v>1</v>
      </c>
    </row>
    <row r="2">
      <c r="A2" s="4" t="s">
        <v>3</v>
      </c>
    </row>
    <row r="3">
      <c r="A3" s="6"/>
      <c r="B3" s="4"/>
      <c r="C3" s="4"/>
      <c r="D3" s="4"/>
      <c r="E3" s="4"/>
      <c r="F3" s="4"/>
      <c r="G3" s="4"/>
      <c r="H3" s="4"/>
      <c r="I3" s="4"/>
    </row>
    <row r="4">
      <c r="A4" s="7"/>
      <c r="B4" s="7"/>
      <c r="C4" s="7"/>
      <c r="D4" s="7"/>
      <c r="E4" s="7"/>
      <c r="F4" s="7"/>
      <c r="G4" s="7"/>
      <c r="H4" s="7"/>
      <c r="I4" s="7"/>
    </row>
    <row r="5">
      <c r="A5" s="9" t="s">
        <v>10</v>
      </c>
      <c r="B5" s="10"/>
      <c r="C5" s="10"/>
      <c r="D5" s="10"/>
      <c r="E5" s="10"/>
      <c r="F5" s="10"/>
      <c r="G5" s="10"/>
      <c r="H5" s="10"/>
      <c r="I5" s="10"/>
      <c r="J5" s="1" t="s">
        <v>14</v>
      </c>
    </row>
    <row r="6">
      <c r="A6" s="7"/>
      <c r="B6" s="7"/>
      <c r="C6" s="12" t="s">
        <v>18</v>
      </c>
      <c r="D6" s="10"/>
      <c r="E6" s="10"/>
      <c r="F6" s="10"/>
      <c r="G6" s="10"/>
      <c r="H6" s="10"/>
      <c r="I6" s="10"/>
    </row>
    <row r="7">
      <c r="A7" s="13"/>
      <c r="B7" s="16" t="s">
        <v>19</v>
      </c>
      <c r="C7" s="18" t="s">
        <v>21</v>
      </c>
      <c r="D7" s="18" t="s">
        <v>24</v>
      </c>
      <c r="E7" s="18" t="s">
        <v>25</v>
      </c>
      <c r="F7" s="18" t="s">
        <v>26</v>
      </c>
      <c r="G7" s="18" t="s">
        <v>27</v>
      </c>
      <c r="H7" s="19" t="s">
        <v>29</v>
      </c>
      <c r="I7" s="15" t="s">
        <v>31</v>
      </c>
    </row>
    <row r="8">
      <c r="A8" s="13" t="s">
        <v>21</v>
      </c>
      <c r="B8" s="20" t="s">
        <v>38</v>
      </c>
      <c r="C8" s="23"/>
      <c r="D8" s="19">
        <v>2.0</v>
      </c>
      <c r="E8" s="19">
        <v>0.0</v>
      </c>
      <c r="F8" s="19">
        <v>0.0</v>
      </c>
      <c r="G8" s="19">
        <v>1.0</v>
      </c>
      <c r="H8" s="19">
        <v>0.0</v>
      </c>
      <c r="I8" s="34">
        <f t="shared" ref="I8:I12" si="1">SUM(C8:H8)</f>
        <v>3</v>
      </c>
      <c r="J8" s="28" t="s">
        <v>47</v>
      </c>
    </row>
    <row r="9">
      <c r="A9" s="13" t="s">
        <v>24</v>
      </c>
      <c r="B9" s="20" t="s">
        <v>48</v>
      </c>
      <c r="C9" s="19">
        <v>0.0</v>
      </c>
      <c r="D9" s="23"/>
      <c r="E9" s="19">
        <v>0.0</v>
      </c>
      <c r="F9" s="19">
        <v>0.0</v>
      </c>
      <c r="G9" s="19">
        <v>0.0</v>
      </c>
      <c r="H9" s="19">
        <v>2.0</v>
      </c>
      <c r="I9" s="34">
        <f t="shared" si="1"/>
        <v>2</v>
      </c>
      <c r="J9" s="28">
        <v>6.0</v>
      </c>
    </row>
    <row r="10">
      <c r="A10" s="13" t="s">
        <v>25</v>
      </c>
      <c r="B10" s="20" t="s">
        <v>51</v>
      </c>
      <c r="C10" s="19">
        <v>2.0</v>
      </c>
      <c r="D10" s="19">
        <v>2.0</v>
      </c>
      <c r="E10" s="23"/>
      <c r="F10" s="19">
        <v>0.0</v>
      </c>
      <c r="G10" s="19">
        <v>2.0</v>
      </c>
      <c r="H10" s="19">
        <v>2.0</v>
      </c>
      <c r="I10" s="34">
        <f t="shared" si="1"/>
        <v>8</v>
      </c>
      <c r="J10" s="1">
        <v>2.0</v>
      </c>
    </row>
    <row r="11">
      <c r="A11" s="13" t="s">
        <v>26</v>
      </c>
      <c r="B11" s="20" t="s">
        <v>43</v>
      </c>
      <c r="C11" s="19">
        <v>2.0</v>
      </c>
      <c r="D11" s="19">
        <v>2.0</v>
      </c>
      <c r="E11" s="19">
        <v>2.0</v>
      </c>
      <c r="F11" s="23"/>
      <c r="G11" s="19">
        <v>2.0</v>
      </c>
      <c r="H11" s="19">
        <v>2.0</v>
      </c>
      <c r="I11" s="34">
        <f t="shared" si="1"/>
        <v>10</v>
      </c>
      <c r="J11" s="1">
        <v>1.0</v>
      </c>
    </row>
    <row r="12">
      <c r="A12" s="13" t="s">
        <v>27</v>
      </c>
      <c r="B12" s="20" t="s">
        <v>55</v>
      </c>
      <c r="C12" s="19">
        <v>1.0</v>
      </c>
      <c r="D12" s="19">
        <v>2.0</v>
      </c>
      <c r="E12" s="19">
        <v>0.0</v>
      </c>
      <c r="F12" s="19">
        <v>0.0</v>
      </c>
      <c r="G12" s="23"/>
      <c r="H12" s="19">
        <v>0.0</v>
      </c>
      <c r="I12" s="34">
        <f t="shared" si="1"/>
        <v>3</v>
      </c>
      <c r="J12" s="28" t="s">
        <v>58</v>
      </c>
    </row>
    <row r="13">
      <c r="A13" s="43" t="s">
        <v>29</v>
      </c>
      <c r="B13" s="20" t="s">
        <v>44</v>
      </c>
      <c r="C13" s="45">
        <v>2.0</v>
      </c>
      <c r="D13" s="45">
        <v>0.0</v>
      </c>
      <c r="E13" s="45">
        <v>0.0</v>
      </c>
      <c r="F13" s="45">
        <v>0.0</v>
      </c>
      <c r="G13" s="45">
        <v>2.0</v>
      </c>
      <c r="H13" s="23"/>
      <c r="I13" s="34">
        <f>SUM(C13:G13)</f>
        <v>4</v>
      </c>
      <c r="J13" s="47">
        <v>3.0</v>
      </c>
    </row>
    <row r="14">
      <c r="A14" s="49"/>
      <c r="B14" s="49"/>
      <c r="C14" s="49"/>
      <c r="D14" s="49"/>
      <c r="E14" s="49"/>
      <c r="F14" s="49"/>
      <c r="G14" s="49"/>
      <c r="H14" s="49"/>
      <c r="I14" s="49"/>
    </row>
    <row r="15">
      <c r="A15" s="51" t="s">
        <v>63</v>
      </c>
      <c r="B15" s="53"/>
      <c r="C15" s="53"/>
      <c r="D15" s="53"/>
      <c r="E15" s="53"/>
      <c r="F15" s="53"/>
      <c r="G15" s="53"/>
      <c r="H15" s="53"/>
      <c r="I15" s="53"/>
      <c r="J15" s="1" t="s">
        <v>14</v>
      </c>
    </row>
    <row r="16">
      <c r="A16" s="49"/>
      <c r="B16" s="49"/>
      <c r="C16" s="55" t="s">
        <v>18</v>
      </c>
      <c r="D16" s="53"/>
      <c r="E16" s="53"/>
      <c r="F16" s="53"/>
      <c r="G16" s="53"/>
      <c r="H16" s="53"/>
      <c r="I16" s="53"/>
    </row>
    <row r="17">
      <c r="A17" s="49"/>
      <c r="B17" s="16" t="s">
        <v>19</v>
      </c>
      <c r="C17" s="57" t="s">
        <v>71</v>
      </c>
      <c r="D17" s="57" t="s">
        <v>76</v>
      </c>
      <c r="E17" s="57" t="s">
        <v>78</v>
      </c>
      <c r="F17" s="57" t="s">
        <v>79</v>
      </c>
      <c r="G17" s="57" t="s">
        <v>80</v>
      </c>
      <c r="H17" s="45" t="s">
        <v>81</v>
      </c>
      <c r="I17" s="55" t="s">
        <v>31</v>
      </c>
    </row>
    <row r="18">
      <c r="A18" s="49" t="s">
        <v>71</v>
      </c>
      <c r="B18" s="59" t="s">
        <v>84</v>
      </c>
      <c r="C18" s="58"/>
      <c r="D18" s="45">
        <v>2.0</v>
      </c>
      <c r="E18" s="45">
        <v>2.0</v>
      </c>
      <c r="F18" s="45">
        <v>0.0</v>
      </c>
      <c r="G18" s="45">
        <v>2.0</v>
      </c>
      <c r="H18" s="45">
        <v>0.0</v>
      </c>
      <c r="I18" s="61">
        <f t="shared" ref="I18:I22" si="2">sum(C18:H18)</f>
        <v>6</v>
      </c>
      <c r="J18" s="28">
        <v>3.0</v>
      </c>
    </row>
    <row r="19">
      <c r="A19" s="49" t="s">
        <v>76</v>
      </c>
      <c r="B19" s="59" t="s">
        <v>40</v>
      </c>
      <c r="C19" s="45">
        <v>0.0</v>
      </c>
      <c r="D19" s="58"/>
      <c r="E19" s="45">
        <v>2.0</v>
      </c>
      <c r="F19" s="45">
        <v>0.0</v>
      </c>
      <c r="G19" s="45">
        <v>2.0</v>
      </c>
      <c r="H19" s="45">
        <v>0.0</v>
      </c>
      <c r="I19" s="61">
        <f t="shared" si="2"/>
        <v>4</v>
      </c>
      <c r="J19" s="28">
        <v>4.0</v>
      </c>
    </row>
    <row r="20">
      <c r="A20" s="49" t="s">
        <v>78</v>
      </c>
      <c r="B20" s="59" t="s">
        <v>90</v>
      </c>
      <c r="C20" s="45">
        <v>0.0</v>
      </c>
      <c r="D20" s="45">
        <v>0.0</v>
      </c>
      <c r="E20" s="58"/>
      <c r="F20" s="45">
        <v>0.0</v>
      </c>
      <c r="G20" s="45">
        <v>0.0</v>
      </c>
      <c r="H20" s="45">
        <v>0.0</v>
      </c>
      <c r="I20" s="61">
        <f t="shared" si="2"/>
        <v>0</v>
      </c>
      <c r="J20" s="28">
        <v>6.0</v>
      </c>
    </row>
    <row r="21">
      <c r="A21" s="49" t="s">
        <v>79</v>
      </c>
      <c r="B21" s="59" t="s">
        <v>93</v>
      </c>
      <c r="C21" s="45">
        <v>2.0</v>
      </c>
      <c r="D21" s="45">
        <v>2.0</v>
      </c>
      <c r="E21" s="45">
        <v>2.0</v>
      </c>
      <c r="F21" s="58"/>
      <c r="G21" s="45">
        <v>2.0</v>
      </c>
      <c r="H21" s="45">
        <v>0.0</v>
      </c>
      <c r="I21" s="61">
        <f t="shared" si="2"/>
        <v>8</v>
      </c>
      <c r="J21" s="1">
        <v>2.0</v>
      </c>
    </row>
    <row r="22">
      <c r="A22" s="49" t="s">
        <v>80</v>
      </c>
      <c r="B22" s="59" t="s">
        <v>96</v>
      </c>
      <c r="C22" s="45">
        <v>0.0</v>
      </c>
      <c r="D22" s="45">
        <v>0.0</v>
      </c>
      <c r="E22" s="45">
        <v>2.0</v>
      </c>
      <c r="F22" s="45">
        <v>0.0</v>
      </c>
      <c r="G22" s="58"/>
      <c r="H22" s="45">
        <v>0.0</v>
      </c>
      <c r="I22" s="61">
        <f t="shared" si="2"/>
        <v>2</v>
      </c>
      <c r="J22" s="1">
        <v>5.0</v>
      </c>
    </row>
    <row r="23">
      <c r="A23" s="66" t="s">
        <v>81</v>
      </c>
      <c r="B23" s="59" t="s">
        <v>54</v>
      </c>
      <c r="C23" s="65">
        <v>2.0</v>
      </c>
      <c r="D23" s="65">
        <v>2.0</v>
      </c>
      <c r="E23" s="65">
        <v>2.0</v>
      </c>
      <c r="F23" s="65">
        <v>2.0</v>
      </c>
      <c r="G23" s="65">
        <v>2.0</v>
      </c>
      <c r="H23" s="58"/>
      <c r="I23" s="61">
        <f>sum(C23:G23)</f>
        <v>10</v>
      </c>
      <c r="J23" s="1">
        <v>1.0</v>
      </c>
    </row>
    <row r="24">
      <c r="A24" s="67"/>
      <c r="B24" s="67"/>
      <c r="C24" s="67"/>
      <c r="D24" s="67"/>
      <c r="E24" s="67"/>
      <c r="F24" s="67"/>
      <c r="G24" s="67"/>
      <c r="H24" s="67"/>
      <c r="I24" s="67"/>
    </row>
    <row r="25">
      <c r="A25" s="68" t="s">
        <v>102</v>
      </c>
      <c r="B25" s="70"/>
      <c r="C25" s="70"/>
      <c r="D25" s="70"/>
      <c r="E25" s="70"/>
      <c r="F25" s="70"/>
      <c r="G25" s="70"/>
      <c r="H25" s="70"/>
      <c r="I25" s="70"/>
      <c r="J25" s="1" t="s">
        <v>14</v>
      </c>
    </row>
    <row r="26">
      <c r="A26" s="67"/>
      <c r="B26" s="67"/>
      <c r="C26" s="71" t="s">
        <v>18</v>
      </c>
      <c r="D26" s="70"/>
      <c r="E26" s="70"/>
      <c r="F26" s="70"/>
      <c r="G26" s="70"/>
      <c r="H26" s="70"/>
      <c r="I26" s="70"/>
    </row>
    <row r="27">
      <c r="A27" s="67"/>
      <c r="B27" s="16" t="s">
        <v>19</v>
      </c>
      <c r="C27" s="72" t="s">
        <v>105</v>
      </c>
      <c r="D27" s="72" t="s">
        <v>106</v>
      </c>
      <c r="E27" s="72" t="s">
        <v>107</v>
      </c>
      <c r="F27" s="72" t="s">
        <v>108</v>
      </c>
      <c r="G27" s="72" t="s">
        <v>110</v>
      </c>
      <c r="H27" s="73" t="s">
        <v>111</v>
      </c>
      <c r="I27" s="71" t="s">
        <v>31</v>
      </c>
    </row>
    <row r="28">
      <c r="A28" s="67" t="s">
        <v>105</v>
      </c>
      <c r="B28" s="74" t="s">
        <v>67</v>
      </c>
      <c r="C28" s="76"/>
      <c r="D28" s="73">
        <v>2.0</v>
      </c>
      <c r="E28" s="73">
        <v>2.0</v>
      </c>
      <c r="F28" s="73">
        <v>1.0</v>
      </c>
      <c r="G28" s="73">
        <v>2.0</v>
      </c>
      <c r="H28" s="73">
        <v>2.0</v>
      </c>
      <c r="I28" s="79">
        <f t="shared" ref="I28:I32" si="3">sum(C28:H28)</f>
        <v>9</v>
      </c>
      <c r="J28" s="1" t="s">
        <v>118</v>
      </c>
    </row>
    <row r="29">
      <c r="A29" s="67" t="s">
        <v>106</v>
      </c>
      <c r="B29" s="74" t="s">
        <v>119</v>
      </c>
      <c r="C29" s="73">
        <v>0.0</v>
      </c>
      <c r="D29" s="76"/>
      <c r="E29" s="73">
        <v>0.0</v>
      </c>
      <c r="F29" s="73">
        <v>0.0</v>
      </c>
      <c r="G29" s="73">
        <v>0.0</v>
      </c>
      <c r="H29" s="73">
        <v>0.0</v>
      </c>
      <c r="I29" s="79">
        <f t="shared" si="3"/>
        <v>0</v>
      </c>
      <c r="J29" s="28">
        <v>6.0</v>
      </c>
    </row>
    <row r="30">
      <c r="A30" s="67" t="s">
        <v>107</v>
      </c>
      <c r="B30" s="74" t="s">
        <v>53</v>
      </c>
      <c r="C30" s="73">
        <v>0.0</v>
      </c>
      <c r="D30" s="73">
        <v>2.0</v>
      </c>
      <c r="E30" s="76"/>
      <c r="F30" s="73">
        <v>0.0</v>
      </c>
      <c r="G30" s="73">
        <v>2.0</v>
      </c>
      <c r="H30" s="73">
        <v>2.0</v>
      </c>
      <c r="I30" s="79">
        <f t="shared" si="3"/>
        <v>6</v>
      </c>
      <c r="J30" s="28">
        <v>3.0</v>
      </c>
    </row>
    <row r="31">
      <c r="A31" s="67" t="s">
        <v>108</v>
      </c>
      <c r="B31" s="74" t="s">
        <v>104</v>
      </c>
      <c r="C31" s="73">
        <v>1.0</v>
      </c>
      <c r="D31" s="73">
        <v>2.0</v>
      </c>
      <c r="E31" s="73">
        <v>2.0</v>
      </c>
      <c r="F31" s="76"/>
      <c r="G31" s="73">
        <v>2.0</v>
      </c>
      <c r="H31" s="73">
        <v>2.0</v>
      </c>
      <c r="I31" s="79">
        <f t="shared" si="3"/>
        <v>9</v>
      </c>
      <c r="J31" s="1" t="s">
        <v>121</v>
      </c>
    </row>
    <row r="32">
      <c r="A32" s="67" t="s">
        <v>110</v>
      </c>
      <c r="B32" s="74" t="s">
        <v>122</v>
      </c>
      <c r="C32" s="73">
        <v>0.0</v>
      </c>
      <c r="D32" s="73">
        <v>2.0</v>
      </c>
      <c r="E32" s="73">
        <v>0.0</v>
      </c>
      <c r="F32" s="73">
        <v>0.0</v>
      </c>
      <c r="G32" s="76"/>
      <c r="H32" s="73">
        <v>0.0</v>
      </c>
      <c r="I32" s="79">
        <f t="shared" si="3"/>
        <v>2</v>
      </c>
      <c r="J32" s="28">
        <v>5.0</v>
      </c>
    </row>
    <row r="33">
      <c r="A33" s="66" t="s">
        <v>111</v>
      </c>
      <c r="B33" s="74" t="s">
        <v>60</v>
      </c>
      <c r="C33" s="65">
        <v>0.0</v>
      </c>
      <c r="D33" s="65">
        <v>2.0</v>
      </c>
      <c r="E33" s="65">
        <v>0.0</v>
      </c>
      <c r="F33" s="65">
        <v>0.0</v>
      </c>
      <c r="G33" s="65">
        <v>2.0</v>
      </c>
      <c r="H33" s="76"/>
      <c r="I33" s="79">
        <f>sum(C33:G33)</f>
        <v>4</v>
      </c>
      <c r="J33" s="28">
        <v>4.0</v>
      </c>
    </row>
    <row r="34">
      <c r="A34" s="83"/>
      <c r="B34" s="83"/>
      <c r="C34" s="83"/>
      <c r="D34" s="83"/>
      <c r="E34" s="83"/>
      <c r="F34" s="83"/>
      <c r="G34" s="83"/>
      <c r="H34" s="83"/>
      <c r="I34" s="83"/>
    </row>
    <row r="35">
      <c r="A35" s="84" t="s">
        <v>124</v>
      </c>
      <c r="B35" s="85"/>
      <c r="C35" s="85"/>
      <c r="D35" s="85"/>
      <c r="E35" s="85"/>
      <c r="F35" s="85"/>
      <c r="G35" s="85"/>
      <c r="H35" s="85"/>
      <c r="I35" s="85"/>
      <c r="J35" s="1" t="s">
        <v>14</v>
      </c>
    </row>
    <row r="36">
      <c r="A36" s="83"/>
      <c r="B36" s="83"/>
      <c r="C36" s="86" t="s">
        <v>18</v>
      </c>
      <c r="D36" s="85"/>
      <c r="E36" s="85"/>
      <c r="F36" s="85"/>
      <c r="G36" s="85"/>
      <c r="H36" s="86"/>
      <c r="I36" s="86"/>
    </row>
    <row r="37">
      <c r="A37" s="83"/>
      <c r="B37" s="16" t="s">
        <v>19</v>
      </c>
      <c r="C37" s="87" t="s">
        <v>128</v>
      </c>
      <c r="D37" s="87" t="s">
        <v>129</v>
      </c>
      <c r="E37" s="87" t="s">
        <v>130</v>
      </c>
      <c r="F37" s="87" t="s">
        <v>131</v>
      </c>
      <c r="G37" s="87" t="s">
        <v>132</v>
      </c>
      <c r="H37" s="88" t="s">
        <v>134</v>
      </c>
      <c r="I37" s="86" t="s">
        <v>31</v>
      </c>
    </row>
    <row r="38">
      <c r="A38" s="83" t="s">
        <v>128</v>
      </c>
      <c r="B38" s="89" t="s">
        <v>136</v>
      </c>
      <c r="C38" s="90"/>
      <c r="D38" s="88">
        <v>0.0</v>
      </c>
      <c r="E38" s="88">
        <v>0.0</v>
      </c>
      <c r="F38" s="88">
        <v>0.0</v>
      </c>
      <c r="G38" s="88">
        <v>0.0</v>
      </c>
      <c r="H38" s="88">
        <v>2.0</v>
      </c>
      <c r="I38" s="91">
        <f t="shared" ref="I38:I42" si="4">sum(C38:H38)</f>
        <v>2</v>
      </c>
      <c r="J38" s="28">
        <v>5.0</v>
      </c>
    </row>
    <row r="39">
      <c r="A39" s="83" t="s">
        <v>129</v>
      </c>
      <c r="B39" s="89" t="s">
        <v>66</v>
      </c>
      <c r="C39" s="88">
        <v>2.0</v>
      </c>
      <c r="D39" s="90"/>
      <c r="E39" s="88">
        <v>2.0</v>
      </c>
      <c r="F39" s="88">
        <v>2.0</v>
      </c>
      <c r="G39" s="88">
        <v>2.0</v>
      </c>
      <c r="H39" s="88">
        <v>2.0</v>
      </c>
      <c r="I39" s="91">
        <f t="shared" si="4"/>
        <v>10</v>
      </c>
      <c r="J39" s="1">
        <v>1.0</v>
      </c>
    </row>
    <row r="40">
      <c r="A40" s="83" t="s">
        <v>130</v>
      </c>
      <c r="B40" s="89" t="s">
        <v>141</v>
      </c>
      <c r="C40" s="88">
        <v>2.0</v>
      </c>
      <c r="D40" s="88">
        <v>0.0</v>
      </c>
      <c r="E40" s="90"/>
      <c r="F40" s="88">
        <v>0.0</v>
      </c>
      <c r="G40" s="88">
        <v>0.0</v>
      </c>
      <c r="H40" s="88">
        <v>2.0</v>
      </c>
      <c r="I40" s="91">
        <f t="shared" si="4"/>
        <v>4</v>
      </c>
      <c r="J40" s="47">
        <v>4.0</v>
      </c>
    </row>
    <row r="41">
      <c r="A41" s="83" t="s">
        <v>131</v>
      </c>
      <c r="B41" s="89" t="s">
        <v>83</v>
      </c>
      <c r="C41" s="88">
        <v>2.0</v>
      </c>
      <c r="D41" s="88">
        <v>0.0</v>
      </c>
      <c r="E41" s="88">
        <v>2.0</v>
      </c>
      <c r="F41" s="90"/>
      <c r="G41" s="88">
        <v>0.0</v>
      </c>
      <c r="H41" s="88">
        <v>2.0</v>
      </c>
      <c r="I41" s="91">
        <f t="shared" si="4"/>
        <v>6</v>
      </c>
      <c r="J41" s="28">
        <v>3.0</v>
      </c>
    </row>
    <row r="42">
      <c r="A42" s="83" t="s">
        <v>132</v>
      </c>
      <c r="B42" s="89" t="s">
        <v>99</v>
      </c>
      <c r="C42" s="88">
        <v>2.0</v>
      </c>
      <c r="D42" s="88">
        <v>0.0</v>
      </c>
      <c r="E42" s="88">
        <v>2.0</v>
      </c>
      <c r="F42" s="88">
        <v>2.0</v>
      </c>
      <c r="G42" s="90"/>
      <c r="H42" s="88">
        <v>2.0</v>
      </c>
      <c r="I42" s="91">
        <f t="shared" si="4"/>
        <v>8</v>
      </c>
      <c r="J42" s="1">
        <v>2.0</v>
      </c>
    </row>
    <row r="43">
      <c r="A43" s="92" t="s">
        <v>134</v>
      </c>
      <c r="B43" s="89" t="s">
        <v>143</v>
      </c>
      <c r="C43" s="93">
        <v>0.0</v>
      </c>
      <c r="D43" s="93">
        <v>0.0</v>
      </c>
      <c r="E43" s="93">
        <v>0.0</v>
      </c>
      <c r="F43" s="93">
        <v>0.0</v>
      </c>
      <c r="G43" s="93">
        <v>0.0</v>
      </c>
      <c r="H43" s="90"/>
      <c r="I43" s="91">
        <f>sum(C43:G43)</f>
        <v>0</v>
      </c>
      <c r="J43" s="28">
        <v>6.0</v>
      </c>
    </row>
    <row r="44">
      <c r="A44" s="94"/>
      <c r="B44" s="94"/>
      <c r="C44" s="94"/>
      <c r="D44" s="94"/>
      <c r="E44" s="94"/>
      <c r="F44" s="94"/>
      <c r="G44" s="94"/>
      <c r="H44" s="94"/>
      <c r="I44" s="94"/>
    </row>
    <row r="45">
      <c r="A45" s="95" t="s">
        <v>147</v>
      </c>
      <c r="J45" s="1" t="s">
        <v>14</v>
      </c>
    </row>
    <row r="46">
      <c r="A46" s="96"/>
      <c r="B46" s="96"/>
      <c r="C46" s="97" t="s">
        <v>18</v>
      </c>
      <c r="D46" s="98"/>
      <c r="E46" s="98"/>
      <c r="F46" s="98"/>
      <c r="G46" s="99"/>
      <c r="H46" s="100"/>
      <c r="I46" s="100"/>
      <c r="J46" s="101"/>
    </row>
    <row r="47">
      <c r="A47" s="96"/>
      <c r="B47" s="102" t="s">
        <v>19</v>
      </c>
      <c r="C47" s="103" t="s">
        <v>150</v>
      </c>
      <c r="D47" s="103" t="s">
        <v>151</v>
      </c>
      <c r="E47" s="103" t="s">
        <v>152</v>
      </c>
      <c r="F47" s="103" t="s">
        <v>153</v>
      </c>
      <c r="G47" s="103" t="s">
        <v>154</v>
      </c>
      <c r="H47" s="104" t="s">
        <v>155</v>
      </c>
      <c r="I47" s="100" t="s">
        <v>31</v>
      </c>
      <c r="J47" s="105"/>
    </row>
    <row r="48">
      <c r="A48" s="106" t="s">
        <v>150</v>
      </c>
      <c r="B48" s="107" t="s">
        <v>156</v>
      </c>
      <c r="C48" s="108"/>
      <c r="D48" s="103">
        <v>0.0</v>
      </c>
      <c r="E48" s="103">
        <v>0.0</v>
      </c>
      <c r="F48" s="103">
        <v>0.0</v>
      </c>
      <c r="G48" s="103">
        <v>0.0</v>
      </c>
      <c r="H48" s="103">
        <v>0.0</v>
      </c>
      <c r="I48" s="109">
        <f t="shared" ref="I48:I53" si="5">sum(B48:H48)</f>
        <v>0</v>
      </c>
      <c r="J48" s="28">
        <v>6.0</v>
      </c>
    </row>
    <row r="49">
      <c r="A49" s="106" t="s">
        <v>151</v>
      </c>
      <c r="B49" s="107" t="s">
        <v>56</v>
      </c>
      <c r="C49" s="110">
        <v>2.0</v>
      </c>
      <c r="D49" s="111"/>
      <c r="E49" s="103">
        <v>2.0</v>
      </c>
      <c r="F49" s="103">
        <v>0.0</v>
      </c>
      <c r="G49" s="103">
        <v>0.0</v>
      </c>
      <c r="H49" s="103">
        <v>2.0</v>
      </c>
      <c r="I49" s="109">
        <f t="shared" si="5"/>
        <v>6</v>
      </c>
      <c r="J49" s="28">
        <v>3.0</v>
      </c>
    </row>
    <row r="50">
      <c r="A50" s="106" t="s">
        <v>152</v>
      </c>
      <c r="B50" s="107" t="s">
        <v>157</v>
      </c>
      <c r="C50" s="110">
        <v>2.0</v>
      </c>
      <c r="D50" s="103">
        <v>0.0</v>
      </c>
      <c r="E50" s="111"/>
      <c r="F50" s="103">
        <v>0.0</v>
      </c>
      <c r="G50" s="103">
        <v>0.0</v>
      </c>
      <c r="H50" s="103">
        <v>0.0</v>
      </c>
      <c r="I50" s="109">
        <f t="shared" si="5"/>
        <v>2</v>
      </c>
      <c r="J50" s="28">
        <v>5.0</v>
      </c>
    </row>
    <row r="51">
      <c r="A51" s="106" t="s">
        <v>153</v>
      </c>
      <c r="B51" s="107" t="s">
        <v>94</v>
      </c>
      <c r="C51" s="110">
        <v>2.0</v>
      </c>
      <c r="D51" s="103">
        <v>2.0</v>
      </c>
      <c r="E51" s="103">
        <v>2.0</v>
      </c>
      <c r="F51" s="111"/>
      <c r="G51" s="103">
        <v>2.0</v>
      </c>
      <c r="H51" s="103">
        <v>2.0</v>
      </c>
      <c r="I51" s="109">
        <f t="shared" si="5"/>
        <v>10</v>
      </c>
      <c r="J51" s="1">
        <v>1.0</v>
      </c>
    </row>
    <row r="52">
      <c r="A52" s="106" t="s">
        <v>154</v>
      </c>
      <c r="B52" s="107" t="s">
        <v>86</v>
      </c>
      <c r="C52" s="110">
        <v>2.0</v>
      </c>
      <c r="D52" s="103">
        <v>2.0</v>
      </c>
      <c r="E52" s="103">
        <v>2.0</v>
      </c>
      <c r="F52" s="103">
        <v>0.0</v>
      </c>
      <c r="G52" s="111"/>
      <c r="H52" s="103">
        <v>2.0</v>
      </c>
      <c r="I52" s="109">
        <f t="shared" si="5"/>
        <v>8</v>
      </c>
      <c r="J52" s="1">
        <v>2.0</v>
      </c>
    </row>
    <row r="53">
      <c r="A53" s="112" t="s">
        <v>155</v>
      </c>
      <c r="B53" s="107" t="s">
        <v>61</v>
      </c>
      <c r="C53" s="113">
        <v>2.0</v>
      </c>
      <c r="D53" s="114">
        <v>0.0</v>
      </c>
      <c r="E53" s="114">
        <v>2.0</v>
      </c>
      <c r="F53" s="114">
        <v>0.0</v>
      </c>
      <c r="G53" s="114">
        <v>0.0</v>
      </c>
      <c r="H53" s="111"/>
      <c r="I53" s="109">
        <f t="shared" si="5"/>
        <v>4</v>
      </c>
      <c r="J53" s="28">
        <v>4.0</v>
      </c>
    </row>
    <row r="54">
      <c r="A54" s="94"/>
      <c r="B54" s="94"/>
      <c r="C54" s="94"/>
      <c r="D54" s="94"/>
      <c r="E54" s="94"/>
      <c r="F54" s="94"/>
      <c r="G54" s="94"/>
      <c r="H54" s="94"/>
      <c r="I54" s="94"/>
    </row>
    <row r="55">
      <c r="A55" s="115" t="s">
        <v>158</v>
      </c>
      <c r="J55" s="1" t="s">
        <v>14</v>
      </c>
    </row>
    <row r="56">
      <c r="A56" s="96"/>
      <c r="B56" s="96"/>
      <c r="C56" s="97" t="s">
        <v>18</v>
      </c>
      <c r="D56" s="98"/>
      <c r="E56" s="98"/>
      <c r="F56" s="98"/>
      <c r="G56" s="99"/>
      <c r="H56" s="100"/>
      <c r="I56" s="100"/>
    </row>
    <row r="57">
      <c r="A57" s="96"/>
      <c r="B57" s="102" t="s">
        <v>19</v>
      </c>
      <c r="C57" s="103" t="s">
        <v>159</v>
      </c>
      <c r="D57" s="103" t="s">
        <v>116</v>
      </c>
      <c r="E57" s="103" t="s">
        <v>160</v>
      </c>
      <c r="F57" s="103" t="s">
        <v>161</v>
      </c>
      <c r="G57" s="103" t="s">
        <v>162</v>
      </c>
      <c r="H57" s="104" t="s">
        <v>163</v>
      </c>
      <c r="I57" s="100" t="s">
        <v>31</v>
      </c>
    </row>
    <row r="58">
      <c r="A58" s="106" t="s">
        <v>159</v>
      </c>
      <c r="B58" s="116" t="s">
        <v>92</v>
      </c>
      <c r="C58" s="108"/>
      <c r="D58" s="103">
        <v>0.0</v>
      </c>
      <c r="E58" s="103">
        <v>2.0</v>
      </c>
      <c r="F58" s="103">
        <v>0.0</v>
      </c>
      <c r="G58" s="103">
        <v>2.0</v>
      </c>
      <c r="H58" s="103">
        <v>0.0</v>
      </c>
      <c r="I58" s="117">
        <f t="shared" ref="I58:I63" si="6">sum(B58:H58)</f>
        <v>4</v>
      </c>
      <c r="J58" s="28">
        <v>4.0</v>
      </c>
    </row>
    <row r="59">
      <c r="A59" s="106" t="s">
        <v>116</v>
      </c>
      <c r="B59" s="116" t="s">
        <v>164</v>
      </c>
      <c r="C59" s="110">
        <v>2.0</v>
      </c>
      <c r="D59" s="111"/>
      <c r="E59" s="103">
        <v>2.0</v>
      </c>
      <c r="F59" s="103">
        <v>0.0</v>
      </c>
      <c r="G59" s="103">
        <v>2.0</v>
      </c>
      <c r="H59" s="103">
        <v>0.0</v>
      </c>
      <c r="I59" s="117">
        <f t="shared" si="6"/>
        <v>6</v>
      </c>
      <c r="J59" s="28">
        <v>3.0</v>
      </c>
    </row>
    <row r="60">
      <c r="A60" s="106" t="s">
        <v>160</v>
      </c>
      <c r="B60" s="116" t="s">
        <v>165</v>
      </c>
      <c r="C60" s="110">
        <v>0.0</v>
      </c>
      <c r="D60" s="103">
        <v>0.0</v>
      </c>
      <c r="E60" s="111"/>
      <c r="F60" s="103">
        <v>0.0</v>
      </c>
      <c r="G60" s="103">
        <v>2.0</v>
      </c>
      <c r="H60" s="103">
        <v>0.0</v>
      </c>
      <c r="I60" s="117">
        <f t="shared" si="6"/>
        <v>2</v>
      </c>
      <c r="J60" s="28">
        <v>5.0</v>
      </c>
    </row>
    <row r="61">
      <c r="A61" s="106" t="s">
        <v>161</v>
      </c>
      <c r="B61" s="118" t="s">
        <v>101</v>
      </c>
      <c r="C61" s="110">
        <v>2.0</v>
      </c>
      <c r="D61" s="103">
        <v>2.0</v>
      </c>
      <c r="E61" s="103">
        <v>2.0</v>
      </c>
      <c r="F61" s="111"/>
      <c r="G61" s="103">
        <v>2.0</v>
      </c>
      <c r="H61" s="103">
        <v>2.0</v>
      </c>
      <c r="I61" s="117">
        <f t="shared" si="6"/>
        <v>10</v>
      </c>
      <c r="J61" s="1">
        <v>1.0</v>
      </c>
    </row>
    <row r="62">
      <c r="A62" s="106" t="s">
        <v>162</v>
      </c>
      <c r="B62" s="116" t="s">
        <v>166</v>
      </c>
      <c r="C62" s="110">
        <v>0.0</v>
      </c>
      <c r="D62" s="103">
        <v>0.0</v>
      </c>
      <c r="E62" s="103">
        <v>0.0</v>
      </c>
      <c r="F62" s="103">
        <v>0.0</v>
      </c>
      <c r="G62" s="111"/>
      <c r="H62" s="103">
        <v>0.0</v>
      </c>
      <c r="I62" s="117">
        <f t="shared" si="6"/>
        <v>0</v>
      </c>
      <c r="J62" s="28">
        <v>6.0</v>
      </c>
    </row>
    <row r="63">
      <c r="A63" s="112" t="s">
        <v>163</v>
      </c>
      <c r="B63" s="116" t="s">
        <v>69</v>
      </c>
      <c r="C63" s="113">
        <v>2.0</v>
      </c>
      <c r="D63" s="114">
        <v>2.0</v>
      </c>
      <c r="E63" s="114">
        <v>2.0</v>
      </c>
      <c r="F63" s="114">
        <v>0.0</v>
      </c>
      <c r="G63" s="114">
        <v>2.0</v>
      </c>
      <c r="H63" s="111"/>
      <c r="I63" s="117">
        <f t="shared" si="6"/>
        <v>8</v>
      </c>
      <c r="J63" s="1">
        <v>2.0</v>
      </c>
    </row>
    <row r="64">
      <c r="A64" s="94"/>
      <c r="B64" s="94"/>
      <c r="C64" s="94"/>
      <c r="D64" s="94"/>
      <c r="E64" s="94"/>
      <c r="F64" s="94"/>
      <c r="G64" s="94"/>
      <c r="H64" s="94"/>
      <c r="I64" s="94"/>
    </row>
    <row r="65">
      <c r="A65" s="119" t="s">
        <v>167</v>
      </c>
      <c r="J65" s="1" t="s">
        <v>14</v>
      </c>
    </row>
    <row r="66">
      <c r="A66" s="96"/>
      <c r="B66" s="96"/>
      <c r="C66" s="97" t="s">
        <v>18</v>
      </c>
      <c r="D66" s="98"/>
      <c r="E66" s="98"/>
      <c r="F66" s="98"/>
      <c r="G66" s="99"/>
      <c r="H66" s="100"/>
      <c r="I66" s="100"/>
    </row>
    <row r="67">
      <c r="A67" s="96"/>
      <c r="B67" s="102" t="s">
        <v>19</v>
      </c>
      <c r="C67" s="103" t="s">
        <v>168</v>
      </c>
      <c r="D67" s="103" t="s">
        <v>169</v>
      </c>
      <c r="E67" s="103" t="s">
        <v>170</v>
      </c>
      <c r="F67" s="103" t="s">
        <v>171</v>
      </c>
      <c r="G67" s="103" t="s">
        <v>172</v>
      </c>
      <c r="H67" s="103" t="s">
        <v>173</v>
      </c>
      <c r="I67" s="100" t="s">
        <v>31</v>
      </c>
    </row>
    <row r="68">
      <c r="A68" s="106" t="s">
        <v>168</v>
      </c>
      <c r="B68" s="120" t="s">
        <v>95</v>
      </c>
      <c r="C68" s="108"/>
      <c r="D68" s="103">
        <v>2.0</v>
      </c>
      <c r="E68" s="103">
        <v>0.0</v>
      </c>
      <c r="F68" s="103">
        <v>2.0</v>
      </c>
      <c r="G68" s="103">
        <v>0.0</v>
      </c>
      <c r="H68" s="103">
        <v>0.0</v>
      </c>
      <c r="I68" s="121">
        <f t="shared" ref="I68:I73" si="7">sum(B68:H68)</f>
        <v>4</v>
      </c>
      <c r="J68" s="28">
        <v>4.0</v>
      </c>
    </row>
    <row r="69">
      <c r="A69" s="106" t="s">
        <v>169</v>
      </c>
      <c r="B69" s="120" t="s">
        <v>98</v>
      </c>
      <c r="C69" s="110">
        <v>0.0</v>
      </c>
      <c r="D69" s="111"/>
      <c r="E69" s="103">
        <v>0.0</v>
      </c>
      <c r="F69" s="103">
        <v>2.0</v>
      </c>
      <c r="G69" s="103">
        <v>0.0</v>
      </c>
      <c r="H69" s="103">
        <v>0.0</v>
      </c>
      <c r="I69" s="121">
        <f t="shared" si="7"/>
        <v>2</v>
      </c>
      <c r="J69" s="28">
        <v>5.0</v>
      </c>
    </row>
    <row r="70">
      <c r="A70" s="106" t="s">
        <v>170</v>
      </c>
      <c r="B70" s="120" t="s">
        <v>113</v>
      </c>
      <c r="C70" s="110">
        <v>2.0</v>
      </c>
      <c r="D70" s="103">
        <v>2.0</v>
      </c>
      <c r="E70" s="111"/>
      <c r="F70" s="103">
        <v>2.0</v>
      </c>
      <c r="G70" s="103">
        <v>2.0</v>
      </c>
      <c r="H70" s="103">
        <v>2.0</v>
      </c>
      <c r="I70" s="121">
        <f t="shared" si="7"/>
        <v>10</v>
      </c>
      <c r="J70" s="1">
        <v>1.0</v>
      </c>
    </row>
    <row r="71">
      <c r="A71" s="106" t="s">
        <v>171</v>
      </c>
      <c r="B71" s="120" t="s">
        <v>174</v>
      </c>
      <c r="C71" s="110">
        <v>0.0</v>
      </c>
      <c r="D71" s="103">
        <v>0.0</v>
      </c>
      <c r="E71" s="103">
        <v>0.0</v>
      </c>
      <c r="F71" s="111"/>
      <c r="G71" s="103">
        <v>0.0</v>
      </c>
      <c r="H71" s="103">
        <v>0.0</v>
      </c>
      <c r="I71" s="121">
        <f t="shared" si="7"/>
        <v>0</v>
      </c>
      <c r="J71" s="28">
        <v>6.0</v>
      </c>
    </row>
    <row r="72">
      <c r="A72" s="106" t="s">
        <v>172</v>
      </c>
      <c r="B72" s="120" t="s">
        <v>88</v>
      </c>
      <c r="C72" s="110">
        <v>2.0</v>
      </c>
      <c r="D72" s="103">
        <v>2.0</v>
      </c>
      <c r="E72" s="103">
        <v>0.0</v>
      </c>
      <c r="F72" s="103">
        <v>2.0</v>
      </c>
      <c r="G72" s="111"/>
      <c r="H72" s="103">
        <v>0.0</v>
      </c>
      <c r="I72" s="121">
        <f t="shared" si="7"/>
        <v>6</v>
      </c>
      <c r="J72" s="28">
        <v>3.0</v>
      </c>
    </row>
    <row r="73">
      <c r="A73" s="106" t="s">
        <v>173</v>
      </c>
      <c r="B73" s="120" t="s">
        <v>62</v>
      </c>
      <c r="C73" s="113">
        <v>2.0</v>
      </c>
      <c r="D73" s="114">
        <v>2.0</v>
      </c>
      <c r="E73" s="114">
        <v>0.0</v>
      </c>
      <c r="F73" s="114">
        <v>2.0</v>
      </c>
      <c r="G73" s="114">
        <v>2.0</v>
      </c>
      <c r="H73" s="111"/>
      <c r="I73" s="121">
        <f t="shared" si="7"/>
        <v>8</v>
      </c>
      <c r="J73" s="1">
        <v>2.0</v>
      </c>
    </row>
    <row r="74">
      <c r="A74" s="94"/>
      <c r="B74" s="94"/>
      <c r="C74" s="94"/>
      <c r="D74" s="94"/>
      <c r="E74" s="94"/>
      <c r="F74" s="94"/>
      <c r="G74" s="94"/>
      <c r="H74" s="94"/>
      <c r="I74" s="94"/>
    </row>
    <row r="75">
      <c r="A75" s="122" t="s">
        <v>175</v>
      </c>
      <c r="J75" s="1" t="s">
        <v>14</v>
      </c>
    </row>
    <row r="76">
      <c r="A76" s="96"/>
      <c r="B76" s="96"/>
      <c r="C76" s="97" t="s">
        <v>18</v>
      </c>
      <c r="D76" s="98"/>
      <c r="E76" s="98"/>
      <c r="F76" s="98"/>
      <c r="G76" s="99"/>
      <c r="H76" s="96"/>
      <c r="I76" s="96"/>
    </row>
    <row r="77">
      <c r="A77" s="96"/>
      <c r="B77" s="102" t="s">
        <v>19</v>
      </c>
      <c r="C77" s="103" t="s">
        <v>176</v>
      </c>
      <c r="D77" s="103" t="s">
        <v>177</v>
      </c>
      <c r="E77" s="103" t="s">
        <v>178</v>
      </c>
      <c r="F77" s="103" t="s">
        <v>179</v>
      </c>
      <c r="G77" s="103" t="s">
        <v>180</v>
      </c>
      <c r="H77" s="103" t="s">
        <v>181</v>
      </c>
      <c r="I77" s="100" t="s">
        <v>31</v>
      </c>
    </row>
    <row r="78">
      <c r="A78" s="106" t="s">
        <v>176</v>
      </c>
      <c r="B78" s="123" t="s">
        <v>182</v>
      </c>
      <c r="C78" s="124"/>
      <c r="D78" s="103">
        <v>0.0</v>
      </c>
      <c r="E78" s="103">
        <v>0.0</v>
      </c>
      <c r="F78" s="103">
        <v>2.0</v>
      </c>
      <c r="G78" s="103">
        <v>0.0</v>
      </c>
      <c r="H78" s="103">
        <v>0.0</v>
      </c>
      <c r="I78" s="125">
        <f t="shared" ref="I78:I83" si="8">sum(B78:H78)</f>
        <v>2</v>
      </c>
      <c r="J78" s="28">
        <v>5.0</v>
      </c>
    </row>
    <row r="79">
      <c r="A79" s="106" t="s">
        <v>177</v>
      </c>
      <c r="B79" s="123" t="s">
        <v>183</v>
      </c>
      <c r="C79" s="110">
        <v>2.0</v>
      </c>
      <c r="D79" s="126"/>
      <c r="E79" s="103">
        <v>0.0</v>
      </c>
      <c r="F79" s="103">
        <v>2.0</v>
      </c>
      <c r="G79" s="103">
        <v>0.0</v>
      </c>
      <c r="H79" s="103">
        <v>0.0</v>
      </c>
      <c r="I79" s="125">
        <f t="shared" si="8"/>
        <v>4</v>
      </c>
      <c r="J79" s="28">
        <v>4.0</v>
      </c>
    </row>
    <row r="80">
      <c r="A80" s="106" t="s">
        <v>178</v>
      </c>
      <c r="B80" s="123" t="s">
        <v>46</v>
      </c>
      <c r="C80" s="110">
        <v>2.0</v>
      </c>
      <c r="D80" s="103">
        <v>2.0</v>
      </c>
      <c r="E80" s="126"/>
      <c r="F80" s="103">
        <v>2.0</v>
      </c>
      <c r="G80" s="103">
        <v>0.0</v>
      </c>
      <c r="H80" s="103">
        <v>2.0</v>
      </c>
      <c r="I80" s="125">
        <f t="shared" si="8"/>
        <v>8</v>
      </c>
      <c r="J80" s="1">
        <v>2.0</v>
      </c>
    </row>
    <row r="81">
      <c r="A81" s="106" t="s">
        <v>179</v>
      </c>
      <c r="B81" s="123" t="s">
        <v>184</v>
      </c>
      <c r="C81" s="110">
        <v>0.0</v>
      </c>
      <c r="D81" s="103">
        <v>0.0</v>
      </c>
      <c r="E81" s="103">
        <v>0.0</v>
      </c>
      <c r="F81" s="126"/>
      <c r="G81" s="103">
        <v>0.0</v>
      </c>
      <c r="H81" s="103">
        <v>0.0</v>
      </c>
      <c r="I81" s="125">
        <f t="shared" si="8"/>
        <v>0</v>
      </c>
      <c r="J81" s="28">
        <v>6.0</v>
      </c>
    </row>
    <row r="82">
      <c r="A82" s="106" t="s">
        <v>180</v>
      </c>
      <c r="B82" s="123" t="s">
        <v>112</v>
      </c>
      <c r="C82" s="110">
        <v>2.0</v>
      </c>
      <c r="D82" s="103">
        <v>2.0</v>
      </c>
      <c r="E82" s="103">
        <v>2.0</v>
      </c>
      <c r="F82" s="103">
        <v>2.0</v>
      </c>
      <c r="G82" s="126"/>
      <c r="H82" s="103">
        <v>2.0</v>
      </c>
      <c r="I82" s="125">
        <f t="shared" si="8"/>
        <v>10</v>
      </c>
      <c r="J82" s="1">
        <v>1.0</v>
      </c>
    </row>
    <row r="83">
      <c r="A83" s="106" t="s">
        <v>181</v>
      </c>
      <c r="B83" s="123" t="s">
        <v>57</v>
      </c>
      <c r="C83" s="110">
        <v>2.0</v>
      </c>
      <c r="D83" s="103">
        <v>2.0</v>
      </c>
      <c r="E83" s="103">
        <v>0.0</v>
      </c>
      <c r="F83" s="103">
        <v>2.0</v>
      </c>
      <c r="G83" s="103">
        <v>0.0</v>
      </c>
      <c r="H83" s="126"/>
      <c r="I83" s="125">
        <f t="shared" si="8"/>
        <v>6</v>
      </c>
      <c r="J83" s="28">
        <v>3.0</v>
      </c>
    </row>
  </sheetData>
  <mergeCells count="18">
    <mergeCell ref="A1:I1"/>
    <mergeCell ref="A2:I2"/>
    <mergeCell ref="A5:I5"/>
    <mergeCell ref="C6:I6"/>
    <mergeCell ref="A15:I15"/>
    <mergeCell ref="C16:I16"/>
    <mergeCell ref="A25:I25"/>
    <mergeCell ref="A65:I65"/>
    <mergeCell ref="C66:G66"/>
    <mergeCell ref="A75:I75"/>
    <mergeCell ref="C76:G76"/>
    <mergeCell ref="C26:I26"/>
    <mergeCell ref="A35:I35"/>
    <mergeCell ref="C36:G36"/>
    <mergeCell ref="A45:I45"/>
    <mergeCell ref="C46:G46"/>
    <mergeCell ref="A55:I55"/>
    <mergeCell ref="C56:G5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2.0"/>
    <col customWidth="1" min="3" max="3" width="27.13"/>
    <col customWidth="1" min="4" max="4" width="25.88"/>
    <col customWidth="1" min="5" max="5" width="22.38"/>
    <col customWidth="1" min="6" max="6" width="22.5"/>
    <col customWidth="1" min="7" max="7" width="24.25"/>
    <col customWidth="1" min="8" max="8" width="24.5"/>
  </cols>
  <sheetData>
    <row r="1">
      <c r="A1" s="1" t="s">
        <v>0</v>
      </c>
      <c r="B1" s="3" t="s">
        <v>2</v>
      </c>
      <c r="C1" s="5"/>
      <c r="D1" s="3" t="s">
        <v>4</v>
      </c>
      <c r="E1" s="5"/>
      <c r="F1" s="3" t="s">
        <v>5</v>
      </c>
      <c r="G1" s="5"/>
      <c r="H1" s="3" t="s">
        <v>6</v>
      </c>
      <c r="I1" s="5"/>
      <c r="J1" s="3" t="s">
        <v>7</v>
      </c>
      <c r="K1" s="5"/>
      <c r="L1" s="3" t="s">
        <v>9</v>
      </c>
      <c r="M1" s="5"/>
      <c r="N1" s="3" t="s">
        <v>11</v>
      </c>
      <c r="O1" s="5"/>
      <c r="P1" s="3" t="s">
        <v>12</v>
      </c>
      <c r="Q1" s="5"/>
      <c r="R1" s="3" t="s">
        <v>13</v>
      </c>
      <c r="S1" s="5"/>
    </row>
    <row r="2">
      <c r="A2" s="1" t="s">
        <v>16</v>
      </c>
      <c r="B2" s="11" t="s">
        <v>17</v>
      </c>
      <c r="C2" s="14"/>
      <c r="D2" s="17" t="s">
        <v>20</v>
      </c>
      <c r="E2" s="14"/>
      <c r="F2" s="17" t="s">
        <v>22</v>
      </c>
      <c r="G2" s="14"/>
      <c r="H2" s="17" t="s">
        <v>28</v>
      </c>
      <c r="I2" s="14"/>
      <c r="J2" s="17" t="s">
        <v>23</v>
      </c>
      <c r="K2" s="14"/>
      <c r="L2" s="17" t="s">
        <v>34</v>
      </c>
      <c r="M2" s="14"/>
      <c r="N2" s="17" t="s">
        <v>39</v>
      </c>
      <c r="O2" s="22"/>
      <c r="P2" s="17" t="s">
        <v>41</v>
      </c>
      <c r="Q2" s="14"/>
      <c r="R2" s="17" t="s">
        <v>42</v>
      </c>
      <c r="S2" s="14"/>
    </row>
    <row r="3">
      <c r="B3" s="25" t="s">
        <v>43</v>
      </c>
      <c r="C3" s="24"/>
      <c r="D3" s="27"/>
      <c r="E3" s="29"/>
      <c r="F3" s="27"/>
      <c r="G3" s="29"/>
      <c r="H3" s="27"/>
      <c r="I3" s="29"/>
      <c r="J3" s="27"/>
      <c r="K3" s="29"/>
      <c r="L3" s="27"/>
      <c r="M3" s="29"/>
      <c r="N3" s="27"/>
      <c r="O3" s="29"/>
      <c r="P3" s="27"/>
      <c r="Q3" s="29"/>
      <c r="R3" s="29"/>
      <c r="S3" s="27"/>
    </row>
    <row r="4">
      <c r="A4" s="27"/>
      <c r="B4" s="30" t="s">
        <v>45</v>
      </c>
      <c r="C4" s="31"/>
      <c r="D4" s="21" t="s">
        <v>46</v>
      </c>
      <c r="E4" s="24"/>
      <c r="F4" s="27"/>
      <c r="G4" s="29"/>
      <c r="H4" s="27"/>
      <c r="I4" s="29"/>
      <c r="J4" s="27"/>
      <c r="K4" s="29"/>
      <c r="L4" s="27"/>
      <c r="M4" s="29"/>
      <c r="N4" s="27"/>
      <c r="O4" s="29"/>
      <c r="P4" s="27"/>
      <c r="Q4" s="29"/>
      <c r="R4" s="29"/>
      <c r="S4" s="27"/>
    </row>
    <row r="5">
      <c r="A5" s="27"/>
      <c r="B5" s="21" t="s">
        <v>46</v>
      </c>
      <c r="C5" s="32"/>
      <c r="D5" s="33"/>
      <c r="E5" s="31"/>
      <c r="F5" s="27"/>
      <c r="G5" s="29"/>
      <c r="H5" s="27"/>
      <c r="I5" s="29"/>
      <c r="J5" s="27"/>
      <c r="K5" s="29"/>
      <c r="L5" s="27"/>
      <c r="M5" s="29"/>
      <c r="N5" s="27"/>
      <c r="O5" s="29"/>
      <c r="P5" s="27"/>
      <c r="Q5" s="29"/>
      <c r="R5" s="29"/>
      <c r="S5" s="27"/>
    </row>
    <row r="6">
      <c r="A6" s="27"/>
      <c r="B6" s="35"/>
      <c r="C6" s="36"/>
      <c r="D6" s="37" t="s">
        <v>49</v>
      </c>
      <c r="E6" s="38"/>
      <c r="F6" s="39" t="s">
        <v>50</v>
      </c>
      <c r="G6" s="40"/>
      <c r="H6" s="21" t="s">
        <v>46</v>
      </c>
      <c r="I6" s="24"/>
      <c r="J6" s="27"/>
      <c r="K6" s="29"/>
      <c r="L6" s="27"/>
      <c r="M6" s="29"/>
      <c r="N6" s="27"/>
      <c r="O6" s="29"/>
      <c r="P6" s="27"/>
      <c r="Q6" s="29"/>
      <c r="R6" s="29"/>
      <c r="S6" s="27"/>
    </row>
    <row r="7">
      <c r="A7" s="27"/>
      <c r="B7" s="25" t="s">
        <v>54</v>
      </c>
      <c r="C7" s="41"/>
      <c r="D7" s="27"/>
      <c r="E7" s="29"/>
      <c r="F7" s="42"/>
      <c r="G7" s="29"/>
      <c r="H7" s="27"/>
      <c r="I7" s="31"/>
      <c r="J7" s="27"/>
      <c r="K7" s="29"/>
      <c r="L7" s="27"/>
      <c r="M7" s="29"/>
      <c r="N7" s="27"/>
      <c r="O7" s="29"/>
      <c r="P7" s="27"/>
      <c r="Q7" s="29"/>
      <c r="R7" s="29"/>
      <c r="S7" s="27"/>
    </row>
    <row r="8">
      <c r="A8" s="27"/>
      <c r="B8" s="30" t="s">
        <v>59</v>
      </c>
      <c r="C8" s="31"/>
      <c r="D8" s="21" t="s">
        <v>54</v>
      </c>
      <c r="E8" s="44"/>
      <c r="F8" s="27"/>
      <c r="G8" s="29"/>
      <c r="H8" s="27"/>
      <c r="I8" s="38"/>
      <c r="J8" s="27"/>
      <c r="K8" s="29"/>
      <c r="L8" s="27"/>
      <c r="M8" s="29"/>
      <c r="N8" s="27"/>
      <c r="O8" s="29"/>
      <c r="P8" s="27"/>
      <c r="Q8" s="29"/>
      <c r="R8" s="29"/>
      <c r="S8" s="27"/>
    </row>
    <row r="9">
      <c r="A9" s="27"/>
      <c r="B9" s="21" t="s">
        <v>62</v>
      </c>
      <c r="C9" s="32"/>
      <c r="D9" s="46"/>
      <c r="E9" s="48"/>
      <c r="F9" s="27"/>
      <c r="G9" s="29"/>
      <c r="H9" s="27"/>
      <c r="I9" s="38"/>
      <c r="J9" s="27"/>
      <c r="K9" s="29"/>
      <c r="L9" s="27"/>
      <c r="M9" s="29"/>
      <c r="N9" s="27"/>
      <c r="O9" s="29"/>
      <c r="P9" s="27"/>
      <c r="Q9" s="29"/>
      <c r="R9" s="29"/>
      <c r="S9" s="27"/>
    </row>
    <row r="10">
      <c r="A10" s="27"/>
      <c r="B10" s="35"/>
      <c r="C10" s="29"/>
      <c r="D10" s="27"/>
      <c r="E10" s="29"/>
      <c r="F10" s="27"/>
      <c r="G10" s="29"/>
      <c r="H10" s="37" t="s">
        <v>64</v>
      </c>
      <c r="I10" s="38"/>
      <c r="J10" s="50" t="s">
        <v>50</v>
      </c>
      <c r="K10" s="29"/>
      <c r="L10" s="21" t="s">
        <v>66</v>
      </c>
      <c r="M10" s="24"/>
      <c r="N10" s="27"/>
      <c r="O10" s="29"/>
      <c r="P10" s="27"/>
      <c r="Q10" s="29"/>
      <c r="R10" s="29"/>
      <c r="S10" s="27"/>
    </row>
    <row r="11">
      <c r="A11" s="27"/>
      <c r="B11" s="25" t="s">
        <v>67</v>
      </c>
      <c r="C11" s="41"/>
      <c r="D11" s="27"/>
      <c r="E11" s="29"/>
      <c r="F11" s="27"/>
      <c r="G11" s="29"/>
      <c r="H11" s="27"/>
      <c r="I11" s="38"/>
      <c r="J11" s="27"/>
      <c r="K11" s="54"/>
      <c r="L11" s="33"/>
      <c r="M11" s="31"/>
      <c r="N11" s="27"/>
      <c r="O11" s="29"/>
      <c r="P11" s="27"/>
      <c r="Q11" s="29"/>
      <c r="R11" s="29"/>
      <c r="S11" s="27"/>
    </row>
    <row r="12">
      <c r="A12" s="27"/>
      <c r="B12" s="30" t="s">
        <v>68</v>
      </c>
      <c r="C12" s="31"/>
      <c r="D12" s="21" t="s">
        <v>69</v>
      </c>
      <c r="E12" s="24"/>
      <c r="F12" s="27"/>
      <c r="G12" s="29"/>
      <c r="H12" s="27"/>
      <c r="I12" s="38"/>
      <c r="J12" s="27"/>
      <c r="K12" s="29"/>
      <c r="L12" s="27"/>
      <c r="M12" s="38"/>
      <c r="N12" s="27"/>
      <c r="O12" s="29"/>
      <c r="P12" s="27"/>
      <c r="Q12" s="29"/>
      <c r="R12" s="29"/>
      <c r="S12" s="27"/>
    </row>
    <row r="13">
      <c r="A13" s="27"/>
      <c r="B13" s="21" t="s">
        <v>69</v>
      </c>
      <c r="C13" s="56"/>
      <c r="D13" s="33"/>
      <c r="E13" s="31"/>
      <c r="F13" s="27"/>
      <c r="G13" s="29"/>
      <c r="H13" s="27"/>
      <c r="I13" s="38"/>
      <c r="J13" s="27"/>
      <c r="K13" s="29"/>
      <c r="L13" s="27"/>
      <c r="M13" s="38"/>
      <c r="N13" s="27"/>
      <c r="O13" s="29"/>
      <c r="P13" s="27"/>
      <c r="Q13" s="29"/>
      <c r="R13" s="29"/>
      <c r="S13" s="27"/>
    </row>
    <row r="14">
      <c r="A14" s="27"/>
      <c r="B14" s="35"/>
      <c r="C14" s="29"/>
      <c r="D14" s="37" t="s">
        <v>82</v>
      </c>
      <c r="E14" s="38"/>
      <c r="F14" s="39" t="s">
        <v>50</v>
      </c>
      <c r="G14" s="40"/>
      <c r="H14" s="21" t="s">
        <v>66</v>
      </c>
      <c r="I14" s="32"/>
      <c r="J14" s="27"/>
      <c r="K14" s="29"/>
      <c r="L14" s="27"/>
      <c r="M14" s="38"/>
      <c r="N14" s="27"/>
      <c r="O14" s="29"/>
      <c r="P14" s="27"/>
      <c r="Q14" s="29"/>
      <c r="R14" s="29"/>
      <c r="S14" s="27"/>
    </row>
    <row r="15">
      <c r="A15" s="27"/>
      <c r="B15" s="25" t="s">
        <v>66</v>
      </c>
      <c r="C15" s="24"/>
      <c r="D15" s="27"/>
      <c r="E15" s="38"/>
      <c r="F15" s="42"/>
      <c r="G15" s="29"/>
      <c r="H15" s="27"/>
      <c r="I15" s="29"/>
      <c r="J15" s="27"/>
      <c r="K15" s="29"/>
      <c r="L15" s="27"/>
      <c r="M15" s="38"/>
      <c r="N15" s="27"/>
      <c r="O15" s="29"/>
      <c r="P15" s="27"/>
      <c r="Q15" s="29"/>
      <c r="R15" s="29"/>
      <c r="S15" s="27"/>
    </row>
    <row r="16">
      <c r="A16" s="27"/>
      <c r="B16" s="30" t="s">
        <v>85</v>
      </c>
      <c r="C16" s="31"/>
      <c r="D16" s="21" t="s">
        <v>66</v>
      </c>
      <c r="E16" s="60"/>
      <c r="F16" s="35"/>
      <c r="G16" s="29"/>
      <c r="H16" s="27"/>
      <c r="I16" s="29"/>
      <c r="J16" s="27"/>
      <c r="K16" s="29"/>
      <c r="L16" s="27"/>
      <c r="M16" s="38"/>
      <c r="N16" s="27"/>
      <c r="O16" s="29"/>
      <c r="P16" s="27"/>
      <c r="Q16" s="29"/>
      <c r="R16" s="29"/>
      <c r="S16" s="27"/>
    </row>
    <row r="17">
      <c r="A17" s="27"/>
      <c r="B17" s="21" t="s">
        <v>86</v>
      </c>
      <c r="C17" s="32"/>
      <c r="D17" s="33"/>
      <c r="E17" s="62"/>
      <c r="F17" s="27"/>
      <c r="G17" s="29"/>
      <c r="H17" s="27"/>
      <c r="I17" s="29"/>
      <c r="J17" s="27"/>
      <c r="K17" s="29"/>
      <c r="L17" s="27"/>
      <c r="M17" s="38"/>
      <c r="N17" s="27"/>
      <c r="O17" s="29"/>
      <c r="P17" s="27"/>
      <c r="Q17" s="29" t="s">
        <v>87</v>
      </c>
      <c r="R17" s="29" t="s">
        <v>89</v>
      </c>
      <c r="S17" s="27"/>
    </row>
    <row r="18">
      <c r="A18" s="27"/>
      <c r="B18" s="35"/>
      <c r="C18" s="29"/>
      <c r="D18" s="27"/>
      <c r="E18" s="29"/>
      <c r="F18" s="27"/>
      <c r="G18" s="29"/>
      <c r="H18" s="27"/>
      <c r="I18" s="29"/>
      <c r="J18" s="27"/>
      <c r="K18" s="29"/>
      <c r="L18" s="37" t="s">
        <v>91</v>
      </c>
      <c r="M18" s="38"/>
      <c r="N18" s="50" t="s">
        <v>50</v>
      </c>
      <c r="O18" s="40"/>
      <c r="P18" s="25" t="s">
        <v>66</v>
      </c>
      <c r="Q18" s="63"/>
      <c r="R18" s="62"/>
      <c r="S18" s="27"/>
    </row>
    <row r="19">
      <c r="A19" s="27"/>
      <c r="B19" s="25" t="s">
        <v>94</v>
      </c>
      <c r="C19" s="24"/>
      <c r="D19" s="27"/>
      <c r="E19" s="29"/>
      <c r="F19" s="27"/>
      <c r="G19" s="29"/>
      <c r="H19" s="27"/>
      <c r="I19" s="29"/>
      <c r="J19" s="27"/>
      <c r="K19" s="29"/>
      <c r="L19" s="27"/>
      <c r="M19" s="38"/>
      <c r="N19" s="27"/>
      <c r="O19" s="29"/>
      <c r="P19" s="33"/>
      <c r="Q19" s="31"/>
      <c r="R19" s="62"/>
      <c r="S19" s="27"/>
    </row>
    <row r="20">
      <c r="A20" s="27"/>
      <c r="B20" s="30" t="s">
        <v>97</v>
      </c>
      <c r="C20" s="64"/>
      <c r="D20" s="21" t="s">
        <v>94</v>
      </c>
      <c r="E20" s="24"/>
      <c r="F20" s="27"/>
      <c r="G20" s="29"/>
      <c r="H20" s="27"/>
      <c r="I20" s="29"/>
      <c r="J20" s="27"/>
      <c r="K20" s="29"/>
      <c r="L20" s="27"/>
      <c r="M20" s="38"/>
      <c r="N20" s="27"/>
      <c r="O20" s="29"/>
      <c r="P20" s="27"/>
      <c r="Q20" s="38"/>
      <c r="R20" s="29"/>
      <c r="S20" s="27"/>
    </row>
    <row r="21">
      <c r="A21" s="27"/>
      <c r="B21" s="21" t="s">
        <v>99</v>
      </c>
      <c r="C21" s="56"/>
      <c r="D21" s="33"/>
      <c r="E21" s="31"/>
      <c r="F21" s="35"/>
      <c r="G21" s="29"/>
      <c r="H21" s="27"/>
      <c r="I21" s="29"/>
      <c r="J21" s="27"/>
      <c r="K21" s="29"/>
      <c r="L21" s="27"/>
      <c r="M21" s="38"/>
      <c r="N21" s="27"/>
      <c r="O21" s="29"/>
      <c r="P21" s="27"/>
      <c r="Q21" s="38"/>
      <c r="R21" s="29"/>
      <c r="S21" s="27"/>
    </row>
    <row r="22">
      <c r="A22" s="27"/>
      <c r="B22" s="35"/>
      <c r="C22" s="29"/>
      <c r="D22" s="37" t="s">
        <v>100</v>
      </c>
      <c r="E22" s="38"/>
      <c r="F22" s="39" t="s">
        <v>50</v>
      </c>
      <c r="G22" s="40"/>
      <c r="H22" s="21" t="s">
        <v>101</v>
      </c>
      <c r="I22" s="24"/>
      <c r="J22" s="27"/>
      <c r="K22" s="29"/>
      <c r="L22" s="27"/>
      <c r="M22" s="38"/>
      <c r="N22" s="27"/>
      <c r="O22" s="29"/>
      <c r="P22" s="27"/>
      <c r="Q22" s="38"/>
      <c r="R22" s="29"/>
      <c r="S22" s="27"/>
    </row>
    <row r="23">
      <c r="A23" s="27"/>
      <c r="B23" s="25" t="s">
        <v>101</v>
      </c>
      <c r="C23" s="24"/>
      <c r="D23" s="35"/>
      <c r="E23" s="69"/>
      <c r="F23" s="42"/>
      <c r="G23" s="29"/>
      <c r="H23" s="27"/>
      <c r="I23" s="31"/>
      <c r="J23" s="27"/>
      <c r="K23" s="29"/>
      <c r="L23" s="27"/>
      <c r="M23" s="38"/>
      <c r="N23" s="27"/>
      <c r="O23" s="29"/>
      <c r="P23" s="27"/>
      <c r="Q23" s="38"/>
      <c r="R23" s="29"/>
      <c r="S23" s="27"/>
    </row>
    <row r="24">
      <c r="A24" s="27"/>
      <c r="B24" s="30" t="s">
        <v>103</v>
      </c>
      <c r="C24" s="31"/>
      <c r="D24" s="21" t="s">
        <v>101</v>
      </c>
      <c r="E24" s="44"/>
      <c r="F24" s="27"/>
      <c r="G24" s="29"/>
      <c r="H24" s="27"/>
      <c r="I24" s="38"/>
      <c r="J24" s="27"/>
      <c r="K24" s="29"/>
      <c r="L24" s="27"/>
      <c r="M24" s="38"/>
      <c r="N24" s="27"/>
      <c r="O24" s="29"/>
      <c r="P24" s="27"/>
      <c r="Q24" s="38"/>
      <c r="R24" s="29"/>
      <c r="S24" s="27"/>
    </row>
    <row r="25">
      <c r="A25" s="27"/>
      <c r="B25" s="21" t="s">
        <v>104</v>
      </c>
      <c r="C25" s="56"/>
      <c r="D25" s="33"/>
      <c r="E25" s="62"/>
      <c r="F25" s="27"/>
      <c r="G25" s="29"/>
      <c r="H25" s="27"/>
      <c r="I25" s="38"/>
      <c r="J25" s="27"/>
      <c r="K25" s="29"/>
      <c r="L25" s="27"/>
      <c r="M25" s="38"/>
      <c r="N25" s="27"/>
      <c r="O25" s="29"/>
      <c r="P25" s="27"/>
      <c r="Q25" s="38"/>
      <c r="R25" s="29"/>
      <c r="S25" s="27"/>
    </row>
    <row r="26">
      <c r="A26" s="27"/>
      <c r="B26" s="35"/>
      <c r="C26" s="29"/>
      <c r="D26" s="35"/>
      <c r="E26" s="29"/>
      <c r="F26" s="27"/>
      <c r="G26" s="29"/>
      <c r="H26" s="37" t="s">
        <v>109</v>
      </c>
      <c r="I26" s="38"/>
      <c r="J26" s="50" t="s">
        <v>50</v>
      </c>
      <c r="K26" s="29"/>
      <c r="L26" s="21" t="s">
        <v>112</v>
      </c>
      <c r="M26" s="44"/>
      <c r="N26" s="27"/>
      <c r="O26" s="29"/>
      <c r="P26" s="27"/>
      <c r="Q26" s="38"/>
      <c r="R26" s="29"/>
      <c r="S26" s="27"/>
    </row>
    <row r="27">
      <c r="A27" s="27"/>
      <c r="B27" s="25" t="s">
        <v>113</v>
      </c>
      <c r="C27" s="41"/>
      <c r="D27" s="27"/>
      <c r="E27" s="29"/>
      <c r="F27" s="27"/>
      <c r="G27" s="29"/>
      <c r="H27" s="35"/>
      <c r="I27" s="69"/>
      <c r="J27" s="35"/>
      <c r="K27" s="54"/>
      <c r="L27" s="33"/>
      <c r="M27" s="62"/>
      <c r="N27" s="27"/>
      <c r="O27" s="29"/>
      <c r="P27" s="27"/>
      <c r="Q27" s="38"/>
      <c r="R27" s="25" t="s">
        <v>66</v>
      </c>
      <c r="S27" s="75"/>
    </row>
    <row r="28">
      <c r="A28" s="27"/>
      <c r="B28" s="30" t="s">
        <v>114</v>
      </c>
      <c r="C28" s="31"/>
      <c r="D28" s="21" t="s">
        <v>113</v>
      </c>
      <c r="E28" s="24"/>
      <c r="F28" s="27"/>
      <c r="G28" s="29"/>
      <c r="H28" s="27"/>
      <c r="I28" s="38"/>
      <c r="J28" s="27"/>
      <c r="K28" s="29"/>
      <c r="L28" s="27"/>
      <c r="M28" s="29"/>
      <c r="N28" s="27"/>
      <c r="O28" s="29"/>
      <c r="P28" s="37" t="s">
        <v>115</v>
      </c>
      <c r="Q28" s="77" t="s">
        <v>116</v>
      </c>
      <c r="R28" s="78" t="s">
        <v>117</v>
      </c>
      <c r="S28" s="80"/>
    </row>
    <row r="29">
      <c r="A29" s="27"/>
      <c r="B29" s="21" t="s">
        <v>93</v>
      </c>
      <c r="C29" s="32"/>
      <c r="D29" s="33"/>
      <c r="E29" s="31"/>
      <c r="F29" s="27"/>
      <c r="G29" s="29"/>
      <c r="H29" s="27"/>
      <c r="I29" s="38"/>
      <c r="J29" s="27"/>
      <c r="K29" s="29"/>
      <c r="L29" s="27"/>
      <c r="M29" s="29"/>
      <c r="N29" s="27"/>
      <c r="O29" s="29"/>
      <c r="P29" s="27"/>
      <c r="Q29" s="38"/>
      <c r="R29" s="27"/>
      <c r="S29" s="27"/>
    </row>
    <row r="30">
      <c r="A30" s="27"/>
      <c r="B30" s="27"/>
      <c r="C30" s="29"/>
      <c r="D30" s="37" t="s">
        <v>120</v>
      </c>
      <c r="E30" s="38"/>
      <c r="F30" s="39" t="s">
        <v>50</v>
      </c>
      <c r="G30" s="40"/>
      <c r="H30" s="21" t="s">
        <v>112</v>
      </c>
      <c r="I30" s="32"/>
      <c r="J30" s="27"/>
      <c r="K30" s="29"/>
      <c r="L30" s="27"/>
      <c r="M30" s="29"/>
      <c r="N30" s="27"/>
      <c r="O30" s="29"/>
      <c r="P30" s="27"/>
      <c r="Q30" s="38"/>
      <c r="R30" s="27"/>
      <c r="S30" s="27"/>
    </row>
    <row r="31">
      <c r="A31" s="27"/>
      <c r="B31" s="25" t="s">
        <v>112</v>
      </c>
      <c r="C31" s="24"/>
      <c r="D31" s="27"/>
      <c r="E31" s="69"/>
      <c r="F31" s="81"/>
      <c r="G31" s="29"/>
      <c r="H31" s="27"/>
      <c r="I31" s="29"/>
      <c r="J31" s="27"/>
      <c r="K31" s="29"/>
      <c r="L31" s="27"/>
      <c r="M31" s="29"/>
      <c r="N31" s="27"/>
      <c r="O31" s="29"/>
      <c r="P31" s="27"/>
      <c r="Q31" s="38"/>
      <c r="R31" s="27"/>
      <c r="S31" s="27"/>
    </row>
    <row r="32">
      <c r="A32" s="27"/>
      <c r="B32" s="82" t="s">
        <v>123</v>
      </c>
      <c r="C32" s="31"/>
      <c r="D32" s="21" t="s">
        <v>112</v>
      </c>
      <c r="E32" s="32"/>
      <c r="F32" s="27"/>
      <c r="G32" s="29"/>
      <c r="H32" s="27"/>
      <c r="I32" s="29"/>
      <c r="J32" s="27"/>
      <c r="K32" s="29"/>
      <c r="L32" s="27"/>
      <c r="M32" s="29"/>
      <c r="N32" s="27"/>
      <c r="O32" s="29"/>
      <c r="P32" s="27"/>
      <c r="Q32" s="38"/>
      <c r="R32" s="27"/>
      <c r="S32" s="27"/>
    </row>
    <row r="33">
      <c r="A33" s="27"/>
      <c r="B33" s="21" t="s">
        <v>51</v>
      </c>
      <c r="C33" s="32"/>
      <c r="D33" s="33"/>
      <c r="E33" s="36"/>
      <c r="F33" s="27"/>
      <c r="G33" s="29"/>
      <c r="H33" s="27"/>
      <c r="I33" s="29"/>
      <c r="J33" s="27"/>
      <c r="K33" s="29"/>
      <c r="L33" s="27"/>
      <c r="M33" s="29"/>
      <c r="N33" s="27"/>
      <c r="O33" s="29"/>
      <c r="P33" s="27"/>
      <c r="Q33" s="38"/>
      <c r="R33" s="27"/>
      <c r="S33" s="27"/>
    </row>
    <row r="34">
      <c r="A34" s="27"/>
      <c r="B34" s="27"/>
      <c r="C34" s="27"/>
      <c r="D34" s="27"/>
      <c r="E34" s="29"/>
      <c r="F34" s="35"/>
      <c r="G34" s="36"/>
      <c r="H34" s="27"/>
      <c r="I34" s="29"/>
      <c r="J34" s="27"/>
      <c r="K34" s="29"/>
      <c r="L34" s="27"/>
      <c r="M34" s="29"/>
      <c r="N34" s="27"/>
      <c r="O34" s="29"/>
      <c r="P34" s="27"/>
      <c r="Q34" s="38"/>
      <c r="R34" s="27"/>
      <c r="S34" s="27"/>
    </row>
    <row r="35">
      <c r="A35" s="27"/>
      <c r="B35" s="27"/>
      <c r="C35" s="35"/>
      <c r="D35" s="27"/>
      <c r="E35" s="36"/>
      <c r="F35" s="27"/>
      <c r="G35" s="29"/>
      <c r="H35" s="27"/>
      <c r="I35" s="29"/>
      <c r="J35" s="25" t="s">
        <v>46</v>
      </c>
      <c r="K35" s="24"/>
      <c r="L35" s="27"/>
      <c r="M35" s="29"/>
      <c r="N35" s="25" t="s">
        <v>112</v>
      </c>
      <c r="O35" s="24"/>
      <c r="P35" s="27"/>
      <c r="Q35" s="38"/>
      <c r="R35" s="27"/>
      <c r="S35" s="27"/>
    </row>
    <row r="36">
      <c r="A36" s="27"/>
      <c r="B36" s="27"/>
      <c r="C36" s="35"/>
      <c r="D36" s="35"/>
      <c r="E36" s="36"/>
      <c r="F36" s="21" t="s">
        <v>113</v>
      </c>
      <c r="G36" s="24"/>
      <c r="H36" s="27"/>
      <c r="I36" s="29"/>
      <c r="J36" s="33"/>
      <c r="K36" s="31"/>
      <c r="L36" s="27"/>
      <c r="M36" s="29"/>
      <c r="N36" s="33"/>
      <c r="O36" s="31"/>
      <c r="P36" s="27"/>
      <c r="Q36" s="38"/>
      <c r="R36" s="27"/>
      <c r="S36" s="27"/>
    </row>
    <row r="37">
      <c r="A37" s="27"/>
      <c r="B37" s="27"/>
      <c r="C37" s="35"/>
      <c r="D37" s="21" t="s">
        <v>43</v>
      </c>
      <c r="E37" s="24"/>
      <c r="F37" s="30" t="s">
        <v>125</v>
      </c>
      <c r="G37" s="31"/>
      <c r="H37" s="25" t="s">
        <v>126</v>
      </c>
      <c r="I37" s="24"/>
      <c r="J37" s="37" t="s">
        <v>127</v>
      </c>
      <c r="K37" s="38"/>
      <c r="L37" s="25" t="s">
        <v>86</v>
      </c>
      <c r="M37" s="24"/>
      <c r="N37" s="27"/>
      <c r="O37" s="38"/>
      <c r="P37" s="27"/>
      <c r="Q37" s="38"/>
      <c r="R37" s="27"/>
      <c r="S37" s="27"/>
    </row>
    <row r="38">
      <c r="A38" s="27"/>
      <c r="B38" s="27"/>
      <c r="C38" s="27"/>
      <c r="D38" s="30" t="s">
        <v>133</v>
      </c>
      <c r="E38" s="64"/>
      <c r="F38" s="21" t="s">
        <v>43</v>
      </c>
      <c r="G38" s="44"/>
      <c r="H38" s="33"/>
      <c r="I38" s="31"/>
      <c r="J38" s="27"/>
      <c r="K38" s="38"/>
      <c r="L38" s="33"/>
      <c r="M38" s="31"/>
      <c r="N38" s="37" t="s">
        <v>135</v>
      </c>
      <c r="O38" s="38"/>
      <c r="P38" s="25" t="s">
        <v>86</v>
      </c>
      <c r="Q38" s="44"/>
      <c r="R38" s="27"/>
      <c r="S38" s="27"/>
    </row>
    <row r="39">
      <c r="A39" s="27"/>
      <c r="B39" s="27"/>
      <c r="C39" s="35"/>
      <c r="D39" s="21" t="s">
        <v>62</v>
      </c>
      <c r="E39" s="44"/>
      <c r="F39" s="46"/>
      <c r="G39" s="62"/>
      <c r="H39" s="37" t="s">
        <v>137</v>
      </c>
      <c r="I39" s="38"/>
      <c r="J39" s="25" t="s">
        <v>86</v>
      </c>
      <c r="K39" s="44"/>
      <c r="L39" s="27"/>
      <c r="M39" s="38"/>
      <c r="N39" s="27"/>
      <c r="O39" s="38"/>
      <c r="P39" s="33"/>
      <c r="Q39" s="62"/>
      <c r="R39" s="33"/>
      <c r="S39" s="27"/>
    </row>
    <row r="40">
      <c r="A40" s="27"/>
      <c r="B40" s="27"/>
      <c r="C40" s="35"/>
      <c r="D40" s="35"/>
      <c r="E40" s="62"/>
      <c r="F40" s="21" t="s">
        <v>94</v>
      </c>
      <c r="G40" s="24"/>
      <c r="H40" s="27"/>
      <c r="I40" s="38"/>
      <c r="J40" s="33"/>
      <c r="K40" s="62"/>
      <c r="L40" s="27"/>
      <c r="M40" s="38"/>
      <c r="N40" s="27"/>
      <c r="O40" s="38"/>
      <c r="P40" s="27"/>
      <c r="Q40" s="29"/>
      <c r="R40" s="27"/>
      <c r="S40" s="27"/>
    </row>
    <row r="41">
      <c r="A41" s="27"/>
      <c r="B41" s="27"/>
      <c r="C41" s="35"/>
      <c r="D41" s="21" t="s">
        <v>67</v>
      </c>
      <c r="E41" s="24"/>
      <c r="F41" s="30" t="s">
        <v>138</v>
      </c>
      <c r="G41" s="31"/>
      <c r="H41" s="21" t="s">
        <v>86</v>
      </c>
      <c r="I41" s="44"/>
      <c r="J41" s="27"/>
      <c r="K41" s="29"/>
      <c r="L41" s="37" t="s">
        <v>139</v>
      </c>
      <c r="M41" s="38"/>
      <c r="N41" s="25" t="s">
        <v>86</v>
      </c>
      <c r="O41" s="44"/>
      <c r="P41" s="27"/>
      <c r="Q41" s="29"/>
      <c r="R41" s="27"/>
      <c r="S41" s="27"/>
    </row>
    <row r="42">
      <c r="B42" s="27"/>
      <c r="C42" s="27"/>
      <c r="D42" s="30" t="s">
        <v>140</v>
      </c>
      <c r="E42" s="31"/>
      <c r="F42" s="21" t="s">
        <v>86</v>
      </c>
      <c r="G42" s="44"/>
      <c r="H42" s="33"/>
      <c r="I42" s="62"/>
      <c r="J42" s="27"/>
      <c r="K42" s="29"/>
      <c r="L42" s="27"/>
      <c r="M42" s="38"/>
      <c r="N42" s="33"/>
      <c r="O42" s="62"/>
      <c r="P42" s="27"/>
      <c r="Q42" s="29"/>
      <c r="R42" s="27"/>
      <c r="S42" s="27"/>
    </row>
    <row r="43">
      <c r="B43" s="27"/>
      <c r="C43" s="27"/>
      <c r="D43" s="21" t="s">
        <v>86</v>
      </c>
      <c r="E43" s="60"/>
      <c r="F43" s="33"/>
      <c r="G43" s="48"/>
      <c r="H43" s="35"/>
      <c r="I43" s="29"/>
      <c r="J43" s="25" t="s">
        <v>101</v>
      </c>
      <c r="K43" s="24"/>
      <c r="L43" s="27"/>
      <c r="M43" s="38"/>
      <c r="N43" s="27"/>
      <c r="O43" s="29"/>
      <c r="P43" s="27"/>
      <c r="Q43" s="29"/>
      <c r="R43" s="27"/>
      <c r="S43" s="27"/>
    </row>
    <row r="44">
      <c r="B44" s="27"/>
      <c r="C44" s="27"/>
      <c r="D44" s="35"/>
      <c r="E44" s="48"/>
      <c r="F44" s="25" t="s">
        <v>69</v>
      </c>
      <c r="G44" s="24"/>
      <c r="H44" s="27"/>
      <c r="I44" s="29"/>
      <c r="J44" s="33"/>
      <c r="K44" s="31"/>
      <c r="L44" s="27"/>
      <c r="M44" s="38"/>
      <c r="N44" s="27"/>
      <c r="O44" s="29"/>
      <c r="P44" s="27"/>
      <c r="Q44" s="29"/>
      <c r="R44" s="27"/>
      <c r="S44" s="27"/>
    </row>
    <row r="45">
      <c r="B45" s="27"/>
      <c r="C45" s="27"/>
      <c r="D45" s="21" t="s">
        <v>99</v>
      </c>
      <c r="E45" s="24"/>
      <c r="F45" s="30" t="s">
        <v>142</v>
      </c>
      <c r="G45" s="31"/>
      <c r="H45" s="25" t="s">
        <v>99</v>
      </c>
      <c r="I45" s="24"/>
      <c r="J45" s="37" t="s">
        <v>144</v>
      </c>
      <c r="K45" s="38"/>
      <c r="L45" s="25" t="s">
        <v>99</v>
      </c>
      <c r="M45" s="44"/>
      <c r="N45" s="27"/>
      <c r="O45" s="29"/>
      <c r="P45" s="27"/>
      <c r="Q45" s="29"/>
      <c r="R45" s="27"/>
      <c r="S45" s="27"/>
    </row>
    <row r="46">
      <c r="B46" s="27"/>
      <c r="C46" s="27"/>
      <c r="D46" s="30" t="s">
        <v>145</v>
      </c>
      <c r="E46" s="31"/>
      <c r="F46" s="21" t="s">
        <v>99</v>
      </c>
      <c r="G46" s="44"/>
      <c r="H46" s="33"/>
      <c r="I46" s="31"/>
      <c r="J46" s="27"/>
      <c r="K46" s="38"/>
      <c r="L46" s="33"/>
      <c r="M46" s="62"/>
      <c r="N46" s="27"/>
      <c r="O46" s="29"/>
      <c r="P46" s="27"/>
      <c r="Q46" s="29"/>
      <c r="R46" s="27"/>
      <c r="S46" s="27"/>
    </row>
    <row r="47">
      <c r="B47" s="27"/>
      <c r="C47" s="27"/>
      <c r="D47" s="21" t="s">
        <v>104</v>
      </c>
      <c r="E47" s="60"/>
      <c r="F47" s="46"/>
      <c r="G47" s="62"/>
      <c r="H47" s="37" t="s">
        <v>146</v>
      </c>
      <c r="I47" s="38"/>
      <c r="J47" s="25" t="s">
        <v>99</v>
      </c>
      <c r="K47" s="44"/>
      <c r="L47" s="27"/>
      <c r="M47" s="29"/>
      <c r="N47" s="27"/>
      <c r="O47" s="29"/>
      <c r="P47" s="27"/>
      <c r="Q47" s="29"/>
      <c r="R47" s="27"/>
      <c r="S47" s="27"/>
    </row>
    <row r="48">
      <c r="B48" s="27"/>
      <c r="C48" s="27"/>
      <c r="D48" s="35"/>
      <c r="E48" s="62"/>
      <c r="F48" s="21" t="s">
        <v>54</v>
      </c>
      <c r="G48" s="24"/>
      <c r="H48" s="27"/>
      <c r="I48" s="38"/>
      <c r="J48" s="33"/>
      <c r="K48" s="62"/>
      <c r="L48" s="27"/>
      <c r="M48" s="29"/>
      <c r="N48" s="27"/>
      <c r="O48" s="29"/>
      <c r="P48" s="27"/>
      <c r="Q48" s="29"/>
      <c r="R48" s="27"/>
      <c r="S48" s="27"/>
    </row>
    <row r="49">
      <c r="B49" s="27"/>
      <c r="C49" s="27"/>
      <c r="D49" s="21" t="s">
        <v>93</v>
      </c>
      <c r="E49" s="41"/>
      <c r="F49" s="30" t="s">
        <v>148</v>
      </c>
      <c r="G49" s="31"/>
      <c r="H49" s="25" t="s">
        <v>93</v>
      </c>
      <c r="I49" s="44"/>
      <c r="J49" s="27"/>
      <c r="K49" s="29"/>
      <c r="L49" s="27"/>
      <c r="M49" s="29"/>
      <c r="N49" s="27"/>
      <c r="O49" s="29"/>
      <c r="P49" s="27"/>
      <c r="Q49" s="29"/>
      <c r="R49" s="27"/>
      <c r="S49" s="27"/>
    </row>
    <row r="50">
      <c r="B50" s="27"/>
      <c r="C50" s="27"/>
      <c r="D50" s="30" t="s">
        <v>149</v>
      </c>
      <c r="E50" s="31"/>
      <c r="F50" s="21" t="s">
        <v>93</v>
      </c>
      <c r="G50" s="60"/>
      <c r="H50" s="33"/>
      <c r="I50" s="62"/>
      <c r="J50" s="27"/>
      <c r="K50" s="29"/>
      <c r="L50" s="27"/>
      <c r="M50" s="29"/>
      <c r="N50" s="27"/>
      <c r="O50" s="29"/>
      <c r="P50" s="27"/>
      <c r="Q50" s="29"/>
      <c r="R50" s="27"/>
      <c r="S50" s="27"/>
    </row>
    <row r="51">
      <c r="B51" s="27"/>
      <c r="C51" s="27"/>
      <c r="D51" s="21" t="s">
        <v>51</v>
      </c>
      <c r="E51" s="44"/>
      <c r="F51" s="33"/>
      <c r="G51" s="62"/>
      <c r="H51" s="27"/>
      <c r="I51" s="29"/>
      <c r="J51" s="27"/>
      <c r="K51" s="29"/>
      <c r="L51" s="27"/>
      <c r="M51" s="29"/>
      <c r="N51" s="27"/>
      <c r="O51" s="29"/>
      <c r="P51" s="27"/>
      <c r="Q51" s="29"/>
      <c r="R51" s="27"/>
      <c r="S51" s="27"/>
    </row>
    <row r="53">
      <c r="E53" s="1"/>
    </row>
  </sheetData>
  <mergeCells count="19">
    <mergeCell ref="P1:Q1"/>
    <mergeCell ref="R1:S1"/>
    <mergeCell ref="B1:C1"/>
    <mergeCell ref="D1:E1"/>
    <mergeCell ref="F1:G1"/>
    <mergeCell ref="H1:I1"/>
    <mergeCell ref="J1:K1"/>
    <mergeCell ref="L1:M1"/>
    <mergeCell ref="N1:O1"/>
    <mergeCell ref="P2:Q2"/>
    <mergeCell ref="R2:S2"/>
    <mergeCell ref="R28:S28"/>
    <mergeCell ref="B2:C2"/>
    <mergeCell ref="D2:E2"/>
    <mergeCell ref="F2:G2"/>
    <mergeCell ref="H2:I2"/>
    <mergeCell ref="J2:K2"/>
    <mergeCell ref="L2:M2"/>
    <mergeCell ref="N2:O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4" t="s">
        <v>3</v>
      </c>
    </row>
    <row r="3">
      <c r="A3" s="6"/>
      <c r="B3" s="4"/>
      <c r="C3" s="4"/>
      <c r="D3" s="4"/>
      <c r="E3" s="4"/>
      <c r="F3" s="4"/>
      <c r="G3" s="4"/>
      <c r="H3" s="4"/>
      <c r="I3" s="4"/>
    </row>
    <row r="4">
      <c r="A4" s="7"/>
      <c r="B4" s="7"/>
      <c r="C4" s="7"/>
      <c r="D4" s="7"/>
      <c r="E4" s="7"/>
      <c r="F4" s="7"/>
      <c r="G4" s="7"/>
      <c r="H4" s="7"/>
      <c r="I4" s="7"/>
    </row>
    <row r="5">
      <c r="A5" s="8" t="s">
        <v>8</v>
      </c>
      <c r="B5" s="10"/>
      <c r="C5" s="10"/>
      <c r="D5" s="10"/>
      <c r="E5" s="10"/>
      <c r="F5" s="10"/>
      <c r="G5" s="10"/>
      <c r="H5" s="10"/>
      <c r="I5" s="10"/>
      <c r="J5" s="1" t="s">
        <v>14</v>
      </c>
      <c r="L5" s="3" t="s">
        <v>15</v>
      </c>
      <c r="M5" s="5"/>
    </row>
    <row r="6">
      <c r="A6" s="13"/>
      <c r="B6" s="13"/>
      <c r="C6" s="15" t="s">
        <v>18</v>
      </c>
      <c r="D6" s="10"/>
      <c r="E6" s="10"/>
      <c r="F6" s="10"/>
      <c r="G6" s="10"/>
      <c r="H6" s="10"/>
      <c r="I6" s="10"/>
      <c r="L6" s="17" t="s">
        <v>23</v>
      </c>
      <c r="M6" s="14"/>
    </row>
    <row r="7">
      <c r="A7" s="13"/>
      <c r="B7" s="16" t="s">
        <v>19</v>
      </c>
      <c r="C7" s="19" t="s">
        <v>30</v>
      </c>
      <c r="D7" s="19" t="s">
        <v>32</v>
      </c>
      <c r="E7" s="19" t="s">
        <v>33</v>
      </c>
      <c r="F7" s="19" t="s">
        <v>35</v>
      </c>
      <c r="G7" s="19" t="s">
        <v>36</v>
      </c>
      <c r="H7" s="19" t="s">
        <v>37</v>
      </c>
      <c r="I7" s="15" t="s">
        <v>31</v>
      </c>
      <c r="L7" s="21" t="s">
        <v>40</v>
      </c>
      <c r="M7" s="24"/>
    </row>
    <row r="8">
      <c r="A8" s="26" t="s">
        <v>30</v>
      </c>
      <c r="B8" s="28" t="s">
        <v>44</v>
      </c>
      <c r="C8" s="23"/>
      <c r="D8" s="19">
        <v>0.0</v>
      </c>
      <c r="E8" s="19">
        <v>2.0</v>
      </c>
      <c r="F8" s="19">
        <v>0.0</v>
      </c>
      <c r="G8" s="19">
        <v>2.0</v>
      </c>
      <c r="H8" s="19">
        <v>2.0</v>
      </c>
      <c r="I8" s="34">
        <f t="shared" ref="I8:I12" si="1">SUM(C8:H8)</f>
        <v>6</v>
      </c>
      <c r="L8" s="33"/>
      <c r="M8" s="31"/>
    </row>
    <row r="9">
      <c r="A9" s="26" t="s">
        <v>32</v>
      </c>
      <c r="B9" s="28" t="s">
        <v>40</v>
      </c>
      <c r="C9" s="19">
        <v>2.0</v>
      </c>
      <c r="D9" s="23"/>
      <c r="E9" s="19">
        <v>2.0</v>
      </c>
      <c r="F9" s="19">
        <v>2.0</v>
      </c>
      <c r="G9" s="19">
        <v>2.0</v>
      </c>
      <c r="H9" s="19">
        <v>2.0</v>
      </c>
      <c r="I9" s="34">
        <f t="shared" si="1"/>
        <v>10</v>
      </c>
      <c r="J9" s="1">
        <v>1.0</v>
      </c>
      <c r="L9" s="37" t="s">
        <v>52</v>
      </c>
      <c r="M9" s="29"/>
    </row>
    <row r="10">
      <c r="A10" s="26" t="s">
        <v>33</v>
      </c>
      <c r="B10" s="28" t="s">
        <v>53</v>
      </c>
      <c r="C10" s="19">
        <v>0.0</v>
      </c>
      <c r="D10" s="19">
        <v>0.0</v>
      </c>
      <c r="E10" s="23"/>
      <c r="F10" s="19">
        <v>2.0</v>
      </c>
      <c r="G10" s="19">
        <v>2.0</v>
      </c>
      <c r="H10" s="19">
        <v>0.0</v>
      </c>
      <c r="I10" s="34">
        <f t="shared" si="1"/>
        <v>4</v>
      </c>
      <c r="L10" s="27"/>
      <c r="M10" s="29"/>
      <c r="N10" s="21" t="s">
        <v>56</v>
      </c>
    </row>
    <row r="11">
      <c r="A11" s="26" t="s">
        <v>35</v>
      </c>
      <c r="B11" s="28" t="s">
        <v>57</v>
      </c>
      <c r="C11" s="19">
        <v>2.0</v>
      </c>
      <c r="D11" s="19">
        <v>0.0</v>
      </c>
      <c r="E11" s="19">
        <v>0.0</v>
      </c>
      <c r="F11" s="23"/>
      <c r="G11" s="19">
        <v>2.0</v>
      </c>
      <c r="H11" s="19">
        <v>2.0</v>
      </c>
      <c r="I11" s="34">
        <f t="shared" si="1"/>
        <v>6</v>
      </c>
      <c r="L11" s="21" t="s">
        <v>56</v>
      </c>
      <c r="M11" s="32"/>
    </row>
    <row r="12">
      <c r="A12" s="26" t="s">
        <v>36</v>
      </c>
      <c r="B12" s="28" t="s">
        <v>60</v>
      </c>
      <c r="C12" s="19">
        <v>0.0</v>
      </c>
      <c r="D12" s="19">
        <v>0.0</v>
      </c>
      <c r="E12" s="19">
        <v>0.0</v>
      </c>
      <c r="F12" s="19">
        <v>0.0</v>
      </c>
      <c r="G12" s="23"/>
      <c r="H12" s="19">
        <v>0.0</v>
      </c>
      <c r="I12" s="34">
        <f t="shared" si="1"/>
        <v>0</v>
      </c>
    </row>
    <row r="13">
      <c r="A13" s="26" t="s">
        <v>37</v>
      </c>
      <c r="B13" s="28" t="s">
        <v>61</v>
      </c>
      <c r="C13" s="45">
        <v>0.0</v>
      </c>
      <c r="D13" s="45">
        <v>0.0</v>
      </c>
      <c r="E13" s="45">
        <v>2.0</v>
      </c>
      <c r="F13" s="45">
        <v>0.0</v>
      </c>
      <c r="G13" s="45">
        <v>2.0</v>
      </c>
      <c r="H13" s="23"/>
      <c r="I13" s="34">
        <f>SUM(C13:G13)</f>
        <v>4</v>
      </c>
    </row>
    <row r="14">
      <c r="A14" s="49"/>
      <c r="B14" s="49"/>
      <c r="C14" s="49"/>
      <c r="D14" s="49"/>
      <c r="E14" s="49"/>
      <c r="F14" s="49"/>
      <c r="G14" s="49"/>
      <c r="H14" s="49"/>
      <c r="I14" s="49"/>
    </row>
    <row r="15">
      <c r="A15" s="52" t="s">
        <v>65</v>
      </c>
      <c r="B15" s="53"/>
      <c r="C15" s="53"/>
      <c r="D15" s="53"/>
      <c r="E15" s="53"/>
      <c r="F15" s="53"/>
      <c r="G15" s="53"/>
      <c r="H15" s="53"/>
      <c r="I15" s="53"/>
      <c r="J15" s="1" t="s">
        <v>14</v>
      </c>
    </row>
    <row r="16">
      <c r="A16" s="49"/>
      <c r="B16" s="49"/>
      <c r="C16" s="55" t="s">
        <v>18</v>
      </c>
      <c r="D16" s="53"/>
      <c r="E16" s="53"/>
      <c r="F16" s="53"/>
      <c r="G16" s="53"/>
      <c r="H16" s="53"/>
      <c r="I16" s="53"/>
    </row>
    <row r="17">
      <c r="A17" s="49"/>
      <c r="B17" s="16" t="s">
        <v>19</v>
      </c>
      <c r="C17" s="45" t="s">
        <v>70</v>
      </c>
      <c r="D17" s="45" t="s">
        <v>72</v>
      </c>
      <c r="E17" s="45" t="s">
        <v>73</v>
      </c>
      <c r="F17" s="45" t="s">
        <v>74</v>
      </c>
      <c r="G17" s="45" t="s">
        <v>75</v>
      </c>
      <c r="H17" s="45" t="s">
        <v>77</v>
      </c>
      <c r="I17" s="55" t="s">
        <v>31</v>
      </c>
    </row>
    <row r="18">
      <c r="A18" s="43" t="s">
        <v>70</v>
      </c>
      <c r="B18" s="28" t="s">
        <v>83</v>
      </c>
      <c r="C18" s="58"/>
      <c r="D18" s="45">
        <v>0.0</v>
      </c>
      <c r="E18" s="45">
        <v>0.0</v>
      </c>
      <c r="F18" s="45">
        <v>2.0</v>
      </c>
      <c r="G18" s="45">
        <v>2.0</v>
      </c>
      <c r="H18" s="45">
        <v>2.0</v>
      </c>
      <c r="I18" s="61">
        <f t="shared" ref="I18:I22" si="2">sum(C18:H18)</f>
        <v>6</v>
      </c>
    </row>
    <row r="19">
      <c r="A19" s="43" t="s">
        <v>72</v>
      </c>
      <c r="B19" s="28" t="s">
        <v>56</v>
      </c>
      <c r="C19" s="45">
        <v>2.0</v>
      </c>
      <c r="D19" s="58"/>
      <c r="E19" s="45">
        <v>2.0</v>
      </c>
      <c r="F19" s="45">
        <v>2.0</v>
      </c>
      <c r="G19" s="45">
        <v>2.0</v>
      </c>
      <c r="H19" s="45">
        <v>2.0</v>
      </c>
      <c r="I19" s="61">
        <f t="shared" si="2"/>
        <v>10</v>
      </c>
      <c r="J19" s="1">
        <v>1.0</v>
      </c>
    </row>
    <row r="20">
      <c r="A20" s="43" t="s">
        <v>73</v>
      </c>
      <c r="B20" s="28" t="s">
        <v>88</v>
      </c>
      <c r="C20" s="45">
        <v>2.0</v>
      </c>
      <c r="D20" s="45">
        <v>0.0</v>
      </c>
      <c r="E20" s="58"/>
      <c r="F20" s="45">
        <v>2.0</v>
      </c>
      <c r="G20" s="45">
        <v>2.0</v>
      </c>
      <c r="H20" s="45">
        <v>2.0</v>
      </c>
      <c r="I20" s="61">
        <f t="shared" si="2"/>
        <v>8</v>
      </c>
    </row>
    <row r="21">
      <c r="A21" s="43" t="s">
        <v>74</v>
      </c>
      <c r="B21" s="28" t="s">
        <v>92</v>
      </c>
      <c r="C21" s="45">
        <v>0.0</v>
      </c>
      <c r="D21" s="45">
        <v>0.0</v>
      </c>
      <c r="E21" s="45">
        <v>0.0</v>
      </c>
      <c r="F21" s="58"/>
      <c r="G21" s="45">
        <v>2.0</v>
      </c>
      <c r="H21" s="45">
        <v>2.0</v>
      </c>
      <c r="I21" s="61">
        <f t="shared" si="2"/>
        <v>4</v>
      </c>
    </row>
    <row r="22">
      <c r="A22" s="43" t="s">
        <v>75</v>
      </c>
      <c r="B22" s="28" t="s">
        <v>95</v>
      </c>
      <c r="C22" s="45">
        <v>0.0</v>
      </c>
      <c r="D22" s="45">
        <v>0.0</v>
      </c>
      <c r="E22" s="45">
        <v>0.0</v>
      </c>
      <c r="F22" s="45">
        <v>0.0</v>
      </c>
      <c r="G22" s="58"/>
      <c r="H22" s="45">
        <v>2.0</v>
      </c>
      <c r="I22" s="61">
        <f t="shared" si="2"/>
        <v>2</v>
      </c>
    </row>
    <row r="23">
      <c r="A23" s="43" t="s">
        <v>77</v>
      </c>
      <c r="B23" s="28" t="s">
        <v>98</v>
      </c>
      <c r="C23" s="65">
        <v>0.0</v>
      </c>
      <c r="D23" s="65">
        <v>0.0</v>
      </c>
      <c r="E23" s="65">
        <v>0.0</v>
      </c>
      <c r="F23" s="65">
        <v>0.0</v>
      </c>
      <c r="G23" s="65">
        <v>0.0</v>
      </c>
      <c r="H23" s="58"/>
      <c r="I23" s="61">
        <f>sum(C23:G23)</f>
        <v>0</v>
      </c>
    </row>
  </sheetData>
  <mergeCells count="8">
    <mergeCell ref="A1:I1"/>
    <mergeCell ref="A2:I2"/>
    <mergeCell ref="A5:I5"/>
    <mergeCell ref="L5:M5"/>
    <mergeCell ref="C6:I6"/>
    <mergeCell ref="L6:M6"/>
    <mergeCell ref="A15:I15"/>
    <mergeCell ref="C16:I16"/>
  </mergeCells>
  <drawing r:id="rId1"/>
</worksheet>
</file>