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" sheetId="1" r:id="rId5"/>
    <sheet state="visible" name="RR Groups" sheetId="2" r:id="rId6"/>
    <sheet state="visible" name="Schedule + Room Assignments" sheetId="3" r:id="rId7"/>
    <sheet state="visible" name="RR Scores" sheetId="4" r:id="rId8"/>
    <sheet state="visible" name="DE Seeding" sheetId="5" r:id="rId9"/>
    <sheet state="visible" name="DE Bracket" sheetId="6" r:id="rId10"/>
  </sheets>
  <definedNames/>
  <calcPr/>
</workbook>
</file>

<file path=xl/sharedStrings.xml><?xml version="1.0" encoding="utf-8"?>
<sst xmlns="http://schemas.openxmlformats.org/spreadsheetml/2006/main" count="525" uniqueCount="236">
  <si>
    <t>code</t>
  </si>
  <si>
    <t>Room</t>
  </si>
  <si>
    <t>Bohr</t>
  </si>
  <si>
    <t>RR 1</t>
  </si>
  <si>
    <t>RR 2</t>
  </si>
  <si>
    <t>RR 3</t>
  </si>
  <si>
    <t>RR 4</t>
  </si>
  <si>
    <t>RR 5</t>
  </si>
  <si>
    <t>Time (PDT)</t>
  </si>
  <si>
    <t>Event</t>
  </si>
  <si>
    <t>Bohr 1</t>
  </si>
  <si>
    <t>Teams</t>
  </si>
  <si>
    <t>Payment Status</t>
  </si>
  <si>
    <t>Collierville</t>
  </si>
  <si>
    <t>Round Robin Groups</t>
  </si>
  <si>
    <t>B1–B6</t>
  </si>
  <si>
    <t>B2–B3</t>
  </si>
  <si>
    <t>B5–B3</t>
  </si>
  <si>
    <t>B4–B2</t>
  </si>
  <si>
    <t>B3–B6</t>
  </si>
  <si>
    <t>7:45 - 8:00 AM</t>
  </si>
  <si>
    <t>Opening Ceremony</t>
  </si>
  <si>
    <t>Patel Family</t>
  </si>
  <si>
    <t>b1</t>
  </si>
  <si>
    <t>Bohr 2</t>
  </si>
  <si>
    <t>B2–B5</t>
  </si>
  <si>
    <t>B6–B4</t>
  </si>
  <si>
    <t>B1–B4</t>
  </si>
  <si>
    <t>B5–B6</t>
  </si>
  <si>
    <t>B1–B2</t>
  </si>
  <si>
    <t>Blair 1</t>
  </si>
  <si>
    <t>Frazer</t>
  </si>
  <si>
    <t>8:00 - 8:30 AM</t>
  </si>
  <si>
    <t>Round Robin 1</t>
  </si>
  <si>
    <t>Amador Valley</t>
  </si>
  <si>
    <t>Bohr 3</t>
  </si>
  <si>
    <t>B3–B4</t>
  </si>
  <si>
    <t>JP Stevens 1</t>
  </si>
  <si>
    <t>B1–B5</t>
  </si>
  <si>
    <t>B6–B2</t>
  </si>
  <si>
    <t>B1–B3</t>
  </si>
  <si>
    <t>B4–B5</t>
  </si>
  <si>
    <t>Coral Academy 2</t>
  </si>
  <si>
    <t>BISV</t>
  </si>
  <si>
    <t>8:35-9:05 AM</t>
  </si>
  <si>
    <t>Round Robin 2</t>
  </si>
  <si>
    <t>Princeton</t>
  </si>
  <si>
    <t>Wins</t>
  </si>
  <si>
    <t>b2</t>
  </si>
  <si>
    <t>Noho 1</t>
  </si>
  <si>
    <t>Curie 1</t>
  </si>
  <si>
    <t>Ties</t>
  </si>
  <si>
    <t>Noho 2</t>
  </si>
  <si>
    <t>Lubbock 1</t>
  </si>
  <si>
    <t>Losses</t>
  </si>
  <si>
    <t>Points</t>
  </si>
  <si>
    <t>PPG</t>
  </si>
  <si>
    <t>Lynbrook 1</t>
  </si>
  <si>
    <t>RR Score</t>
  </si>
  <si>
    <t>b3</t>
  </si>
  <si>
    <t>C1–C6</t>
  </si>
  <si>
    <t>Lynbrook 2</t>
  </si>
  <si>
    <t>C2–C3</t>
  </si>
  <si>
    <t>C5–C3</t>
  </si>
  <si>
    <t>C4–C2</t>
  </si>
  <si>
    <t>C3–C6</t>
  </si>
  <si>
    <t>9:10- 9:40 AM</t>
  </si>
  <si>
    <t>Round Robin 3</t>
  </si>
  <si>
    <t>Lynbrook 3</t>
  </si>
  <si>
    <t>Curie</t>
  </si>
  <si>
    <t>Euler</t>
  </si>
  <si>
    <t>Feynman</t>
  </si>
  <si>
    <t>Gauss</t>
  </si>
  <si>
    <t>Curie 2</t>
  </si>
  <si>
    <t>C2–C5</t>
  </si>
  <si>
    <t>C6–C4</t>
  </si>
  <si>
    <t>C1–C4</t>
  </si>
  <si>
    <t>C5–C6</t>
  </si>
  <si>
    <t>C1–C2</t>
  </si>
  <si>
    <t>9:45-10:15 AM</t>
  </si>
  <si>
    <t>Round Robin 4</t>
  </si>
  <si>
    <t>b4</t>
  </si>
  <si>
    <t>Temple City</t>
  </si>
  <si>
    <t>Curie 3</t>
  </si>
  <si>
    <t>C3–C4</t>
  </si>
  <si>
    <t>C1–C5</t>
  </si>
  <si>
    <t>C6–C2</t>
  </si>
  <si>
    <t>C1–C3</t>
  </si>
  <si>
    <t>C4–C5</t>
  </si>
  <si>
    <t>10:20-10:50 AM</t>
  </si>
  <si>
    <t>Round Robin 5</t>
  </si>
  <si>
    <t>Euler 1</t>
  </si>
  <si>
    <t>Clements 2</t>
  </si>
  <si>
    <t>Palo Alto</t>
  </si>
  <si>
    <t>Vista del Lago</t>
  </si>
  <si>
    <t>MSJ 1</t>
  </si>
  <si>
    <t>NOHO 1</t>
  </si>
  <si>
    <t>E1–E6</t>
  </si>
  <si>
    <t>E2–E3</t>
  </si>
  <si>
    <t>E5–E3</t>
  </si>
  <si>
    <t>E4–E2</t>
  </si>
  <si>
    <t>E3–E6</t>
  </si>
  <si>
    <t>10:55 - 11:55 AM</t>
  </si>
  <si>
    <t>Lunch Break</t>
  </si>
  <si>
    <t>Coral Academy 1</t>
  </si>
  <si>
    <t>b5</t>
  </si>
  <si>
    <t>Euler 2</t>
  </si>
  <si>
    <t>E2–E5</t>
  </si>
  <si>
    <t>E6–E4</t>
  </si>
  <si>
    <t>E1–E4</t>
  </si>
  <si>
    <t>E5–E6</t>
  </si>
  <si>
    <t>E1–E2</t>
  </si>
  <si>
    <t>Chattahoochee</t>
  </si>
  <si>
    <t>12:00 - 12:30 PM</t>
  </si>
  <si>
    <t>Double Elimination 1</t>
  </si>
  <si>
    <t>MSJ 2</t>
  </si>
  <si>
    <t>Euler 3</t>
  </si>
  <si>
    <t>E3–E4</t>
  </si>
  <si>
    <t>E1–E5</t>
  </si>
  <si>
    <t>E6–E2</t>
  </si>
  <si>
    <t>E1–E3</t>
  </si>
  <si>
    <t>E4–E5</t>
  </si>
  <si>
    <t>Hunter</t>
  </si>
  <si>
    <t>12:35 - 1:05 PM</t>
  </si>
  <si>
    <t>b6</t>
  </si>
  <si>
    <t xml:space="preserve">Double Elimination 2 </t>
  </si>
  <si>
    <t>Feynman 1</t>
  </si>
  <si>
    <t>F2-F5</t>
  </si>
  <si>
    <t>F1-F5</t>
  </si>
  <si>
    <t>F1-F4</t>
  </si>
  <si>
    <t>F1-F3</t>
  </si>
  <si>
    <t>F1-F2</t>
  </si>
  <si>
    <t>1:10 - 1:40 PM</t>
  </si>
  <si>
    <t>Double Elimination 3</t>
  </si>
  <si>
    <t>Feynman 2</t>
  </si>
  <si>
    <t>F3-F4</t>
  </si>
  <si>
    <t>F2-F3</t>
  </si>
  <si>
    <t>F5-F3</t>
  </si>
  <si>
    <t>F4-F2</t>
  </si>
  <si>
    <t>Lynbrook Argon</t>
  </si>
  <si>
    <t>F4-F5</t>
  </si>
  <si>
    <t>1:45 - 2:15 PM</t>
  </si>
  <si>
    <t xml:space="preserve">Double Elimination 4 </t>
  </si>
  <si>
    <t>Blair 2</t>
  </si>
  <si>
    <t>VMATHS</t>
  </si>
  <si>
    <t>BYE</t>
  </si>
  <si>
    <t>Lexington</t>
  </si>
  <si>
    <t>F1-BYE</t>
  </si>
  <si>
    <t>F4-BYE</t>
  </si>
  <si>
    <t>F2-BYE</t>
  </si>
  <si>
    <t>F5-BYE</t>
  </si>
  <si>
    <t>F3-BYE</t>
  </si>
  <si>
    <t>2:20 - 2:50 PM</t>
  </si>
  <si>
    <t xml:space="preserve">Double Elimination 5 </t>
  </si>
  <si>
    <t>Gauss 1</t>
  </si>
  <si>
    <t>JP Stevens 2</t>
  </si>
  <si>
    <t>G1–G6</t>
  </si>
  <si>
    <t>G2–G3</t>
  </si>
  <si>
    <t>G5–G3</t>
  </si>
  <si>
    <t>G4–G2</t>
  </si>
  <si>
    <t>G3–G6</t>
  </si>
  <si>
    <t>2:55 - 3:25 PM</t>
  </si>
  <si>
    <t>Double Elimination 6</t>
  </si>
  <si>
    <t>Gauss 2</t>
  </si>
  <si>
    <t>G2–G5</t>
  </si>
  <si>
    <t>G6–G4</t>
  </si>
  <si>
    <t>G1–G4</t>
  </si>
  <si>
    <t>G5–G6</t>
  </si>
  <si>
    <t>G1–G2</t>
  </si>
  <si>
    <t>3:30 - 4:00 PM</t>
  </si>
  <si>
    <t>Double Elimination 7</t>
  </si>
  <si>
    <t>Gauss 3</t>
  </si>
  <si>
    <t>G3–G4</t>
  </si>
  <si>
    <t>G1–G5</t>
  </si>
  <si>
    <t>G6–G2</t>
  </si>
  <si>
    <t>G1–G3</t>
  </si>
  <si>
    <t>G4–G5</t>
  </si>
  <si>
    <t>NOHO 2</t>
  </si>
  <si>
    <t>4:05- 4:35 PM</t>
  </si>
  <si>
    <t>Clements 1</t>
  </si>
  <si>
    <t>Double Elimination 8</t>
  </si>
  <si>
    <t>Lynbrook Carbon</t>
  </si>
  <si>
    <t>c1</t>
  </si>
  <si>
    <t>4:40-5:00 PM</t>
  </si>
  <si>
    <t>Closing Ceremony</t>
  </si>
  <si>
    <t>Lynbrook Boron</t>
  </si>
  <si>
    <t>Lubbock</t>
  </si>
  <si>
    <t>c2</t>
  </si>
  <si>
    <t>c3</t>
  </si>
  <si>
    <t>c4</t>
  </si>
  <si>
    <t>c5</t>
  </si>
  <si>
    <t>c6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</si>
  <si>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</si>
  <si>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</si>
  <si>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</si>
  <si>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</si>
  <si>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</si>
  <si>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</si>
  <si>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</si>
  <si>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</si>
  <si>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</si>
  <si>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</si>
  <si>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</si>
  <si>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g1</t>
  </si>
  <si>
    <t>g2</t>
  </si>
  <si>
    <t>g3</t>
  </si>
  <si>
    <t>g4</t>
  </si>
  <si>
    <t>g5</t>
  </si>
  <si>
    <t>g6</t>
  </si>
  <si>
    <t>roshanannamalaiisgoat</t>
  </si>
  <si>
    <t>5/4 * RR Score</t>
  </si>
  <si>
    <t>Team</t>
  </si>
  <si>
    <t>DE Seed</t>
  </si>
  <si>
    <t>12:00-12:30</t>
  </si>
  <si>
    <t>12:30-1:00</t>
  </si>
  <si>
    <t>1:00-1:30</t>
  </si>
  <si>
    <t>1:30-2:00</t>
  </si>
  <si>
    <t>2:00-2:30</t>
  </si>
  <si>
    <t>2:30-3:00</t>
  </si>
  <si>
    <t>3:00-3:30</t>
  </si>
  <si>
    <t>3:30-4:00</t>
  </si>
  <si>
    <t>TIMES IN PST</t>
  </si>
  <si>
    <r>
      <rPr>
        <rFont val="Cambria"/>
        <b/>
        <sz val="15.0"/>
      </rPr>
      <t xml:space="preserve">Bracket from ISCBT 2: </t>
    </r>
    <r>
      <rPr>
        <rFont val="Cambria"/>
        <b/>
        <color rgb="FF1155CC"/>
        <sz val="15.0"/>
        <u/>
      </rPr>
      <t xml:space="preserve">ICSBT2 Tournament Hub </t>
    </r>
    <r>
      <rPr>
        <rFont val="Cambria"/>
        <b/>
        <sz val="15.0"/>
      </rPr>
      <t xml:space="preserve"> </t>
    </r>
  </si>
  <si>
    <t>ROOM 1</t>
  </si>
  <si>
    <t>ROOM 2</t>
  </si>
  <si>
    <t>STAGE 1</t>
  </si>
  <si>
    <t>NOHO 1 30</t>
  </si>
  <si>
    <t>ROOM 3</t>
  </si>
  <si>
    <t>NOHO 1 IS VICTORIUS!</t>
  </si>
  <si>
    <t>ROOM 4</t>
  </si>
  <si>
    <t>ROOM 5</t>
  </si>
  <si>
    <t>MSJ 1 18</t>
  </si>
  <si>
    <t>STAGE 2</t>
  </si>
  <si>
    <t>ROOM 6</t>
  </si>
  <si>
    <t>ROOM 7</t>
  </si>
  <si>
    <t>ROOM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</si>
</sst>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0.0000"/>
    <numFmt numFmtId="166" formatCode="0.000"/>
  </numFmts>
  <fonts count="18">
    <font>
      <sz val="10.0"/>
      <color rgb="FF000000"/>
      <name val="Arial"/>
      <scheme val="minor"/>
    </font>
    <font>
      <color theme="1"/>
      <name val="Cambria Math"/>
    </font>
    <font>
      <b/>
      <color theme="1"/>
      <name val="Cambria"/>
    </font>
    <font>
      <b/>
      <color theme="1"/>
      <name val="Cambria Math"/>
    </font>
    <font>
      <sz val="25.0"/>
      <color theme="1"/>
      <name val="Cambria Math"/>
    </font>
    <font/>
    <font>
      <color theme="1"/>
      <name val="Cambria"/>
    </font>
    <font>
      <sz val="48.0"/>
      <color theme="1"/>
      <name val="Cambria"/>
    </font>
    <font>
      <color theme="1"/>
      <name val="Arial"/>
    </font>
    <font>
      <sz val="10.0"/>
      <color rgb="FF000000"/>
      <name val="Cambria"/>
    </font>
    <font>
      <sz val="12.0"/>
      <color rgb="FF000000"/>
      <name val="Cambria"/>
    </font>
    <font>
      <color rgb="FF000000"/>
      <name val="Cambria Math"/>
    </font>
    <font>
      <color theme="1"/>
      <name val="Arial"/>
      <scheme val="minor"/>
    </font>
    <font>
      <sz val="15.0"/>
      <color theme="1"/>
      <name val="Cambria"/>
    </font>
    <font>
      <b/>
      <sz val="15.0"/>
      <color rgb="FFF1C232"/>
      <name val="Cambria"/>
    </font>
    <font>
      <b/>
      <u/>
      <sz val="15.0"/>
      <color rgb="FF0000FF"/>
      <name val="Cambria"/>
    </font>
    <font>
      <color rgb="FFFFFFFF"/>
      <name val="Cambria"/>
    </font>
    <font>
      <b/>
      <color rgb="FFFFFFFF"/>
      <name val="Cambria"/>
    </font>
  </fonts>
  <fills count="1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right"/>
    </xf>
    <xf borderId="2" fillId="0" fontId="3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3" fillId="2" fontId="2" numFmtId="0" xfId="0" applyAlignment="1" applyBorder="1" applyFill="1" applyFont="1">
      <alignment horizontal="center" readingOrder="0" vertical="bottom"/>
    </xf>
    <xf borderId="4" fillId="0" fontId="5" numFmtId="0" xfId="0" applyBorder="1" applyFont="1"/>
    <xf borderId="5" fillId="2" fontId="3" numFmtId="0" xfId="0" applyAlignment="1" applyBorder="1" applyFill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6" fillId="0" fontId="5" numFmtId="0" xfId="0" applyBorder="1" applyFont="1"/>
    <xf borderId="0" fillId="0" fontId="6" numFmtId="0" xfId="0" applyFont="1"/>
    <xf borderId="7" fillId="0" fontId="5" numFmtId="0" xfId="0" applyBorder="1" applyFont="1"/>
    <xf borderId="0" fillId="0" fontId="6" numFmtId="0" xfId="0" applyAlignment="1" applyFont="1">
      <alignment horizontal="right"/>
    </xf>
    <xf borderId="0" fillId="2" fontId="1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0" fillId="2" fontId="8" numFmtId="0" xfId="0" applyAlignment="1" applyFill="1" applyFont="1">
      <alignment vertical="bottom"/>
    </xf>
    <xf borderId="0" fillId="0" fontId="1" numFmtId="0" xfId="0" applyAlignment="1" applyFont="1">
      <alignment horizontal="right" readingOrder="0"/>
    </xf>
    <xf borderId="0" fillId="0" fontId="6" numFmtId="0" xfId="0" applyAlignment="1" applyFont="1">
      <alignment shrinkToFit="0" vertical="bottom" wrapText="1"/>
    </xf>
    <xf borderId="8" fillId="2" fontId="6" numFmtId="0" xfId="0" applyAlignment="1" applyBorder="1" applyFill="1" applyFont="1">
      <alignment horizontal="center" readingOrder="0" vertical="bottom"/>
    </xf>
    <xf borderId="9" fillId="0" fontId="1" numFmtId="0" xfId="0" applyAlignment="1" applyBorder="1" applyFont="1">
      <alignment horizontal="center"/>
    </xf>
    <xf borderId="0" fillId="2" fontId="6" numFmtId="0" xfId="0" applyAlignment="1" applyFill="1" applyFont="1">
      <alignment vertical="bottom"/>
    </xf>
    <xf borderId="6" fillId="0" fontId="1" numFmtId="0" xfId="0" applyAlignment="1" applyBorder="1" applyFont="1">
      <alignment horizontal="center" readingOrder="0"/>
    </xf>
    <xf borderId="10" fillId="0" fontId="5" numFmtId="0" xfId="0" applyBorder="1" applyFont="1"/>
    <xf borderId="7" fillId="0" fontId="1" numFmtId="0" xfId="0" applyAlignment="1" applyBorder="1" applyFont="1">
      <alignment horizontal="center" readingOrder="0"/>
    </xf>
    <xf borderId="5" fillId="3" fontId="3" numFmtId="0" xfId="0" applyAlignment="1" applyBorder="1" applyFill="1" applyFont="1">
      <alignment horizontal="center" readingOrder="0"/>
    </xf>
    <xf borderId="11" fillId="2" fontId="6" numFmtId="0" xfId="0" applyAlignment="1" applyBorder="1" applyFill="1" applyFont="1">
      <alignment horizontal="center" vertical="bottom"/>
    </xf>
    <xf borderId="6" fillId="3" fontId="3" numFmtId="0" xfId="0" applyAlignment="1" applyBorder="1" applyFill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0" fillId="4" fontId="1" numFmtId="0" xfId="0" applyAlignment="1" applyFill="1" applyFont="1">
      <alignment readingOrder="0"/>
    </xf>
    <xf borderId="7" fillId="0" fontId="3" numFmtId="0" xfId="0" applyAlignment="1" applyBorder="1" applyFont="1">
      <alignment horizontal="center" readingOrder="0"/>
    </xf>
    <xf borderId="0" fillId="4" fontId="8" numFmtId="0" xfId="0" applyAlignment="1" applyFill="1" applyFont="1">
      <alignment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2" fillId="5" fontId="1" numFmtId="0" xfId="0" applyAlignment="1" applyBorder="1" applyFill="1" applyFont="1">
      <alignment horizontal="center"/>
    </xf>
    <xf borderId="0" fillId="3" fontId="1" numFmtId="0" xfId="0" applyAlignment="1" applyFill="1" applyFont="1">
      <alignment horizontal="center" readingOrder="0"/>
    </xf>
    <xf borderId="0" fillId="0" fontId="6" numFmtId="0" xfId="0" applyAlignment="1" applyFont="1">
      <alignment horizontal="right" readingOrder="0"/>
    </xf>
    <xf borderId="13" fillId="0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right" readingOrder="0"/>
    </xf>
    <xf borderId="1" fillId="0" fontId="6" numFmtId="0" xfId="0" applyAlignment="1" applyBorder="1" applyFont="1">
      <alignment vertical="bottom"/>
    </xf>
    <xf borderId="0" fillId="6" fontId="1" numFmtId="0" xfId="0" applyAlignment="1" applyFill="1" applyFont="1">
      <alignment readingOrder="0"/>
    </xf>
    <xf borderId="0" fillId="6" fontId="8" numFmtId="0" xfId="0" applyAlignment="1" applyFill="1" applyFont="1">
      <alignment vertical="bottom"/>
    </xf>
    <xf borderId="0" fillId="0" fontId="6" numFmtId="0" xfId="0" applyAlignment="1" applyFont="1">
      <alignment horizontal="center"/>
    </xf>
    <xf borderId="0" fillId="3" fontId="1" numFmtId="0" xfId="0" applyAlignment="1" applyFill="1" applyFont="1">
      <alignment horizontal="center" vertical="bottom"/>
    </xf>
    <xf borderId="10" fillId="3" fontId="1" numFmtId="0" xfId="0" applyAlignment="1" applyBorder="1" applyFill="1" applyFont="1">
      <alignment horizontal="center" vertical="bottom"/>
    </xf>
    <xf borderId="14" fillId="2" fontId="6" numFmtId="0" xfId="0" applyAlignment="1" applyBorder="1" applyFill="1" applyFont="1">
      <alignment horizontal="center" vertical="bottom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horizontal="center"/>
    </xf>
    <xf borderId="15" fillId="2" fontId="6" numFmtId="0" xfId="0" applyAlignment="1" applyBorder="1" applyFill="1" applyFont="1">
      <alignment vertical="bottom"/>
    </xf>
    <xf borderId="0" fillId="7" fontId="8" numFmtId="0" xfId="0" applyAlignment="1" applyFill="1" applyFont="1">
      <alignment vertical="bottom"/>
    </xf>
    <xf borderId="16" fillId="0" fontId="5" numFmtId="0" xfId="0" applyBorder="1" applyFont="1"/>
    <xf borderId="0" fillId="0" fontId="6" numFmtId="0" xfId="0" applyAlignment="1" applyFont="1">
      <alignment readingOrder="0" shrinkToFit="0" vertical="bottom" wrapText="1"/>
    </xf>
    <xf borderId="1" fillId="0" fontId="6" numFmtId="164" xfId="0" applyAlignment="1" applyBorder="1" applyFont="1" applyNumberFormat="1">
      <alignment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9" fontId="1" numFmtId="0" xfId="0" applyAlignment="1" applyFill="1" applyFont="1">
      <alignment readingOrder="0"/>
    </xf>
    <xf borderId="0" fillId="9" fontId="8" numFmtId="0" xfId="0" applyAlignment="1" applyFill="1" applyFont="1">
      <alignment vertical="bottom"/>
    </xf>
    <xf borderId="1" fillId="6" fontId="2" numFmtId="0" xfId="0" applyAlignment="1" applyBorder="1" applyFill="1" applyFont="1">
      <alignment horizontal="center" readingOrder="0" vertical="bottom"/>
    </xf>
    <xf borderId="3" fillId="6" fontId="2" numFmtId="0" xfId="0" applyAlignment="1" applyBorder="1" applyFill="1" applyFont="1">
      <alignment horizontal="center" readingOrder="0" vertical="bottom"/>
    </xf>
    <xf borderId="13" fillId="8" fontId="1" numFmtId="165" xfId="0" applyAlignment="1" applyBorder="1" applyFill="1" applyFont="1" applyNumberFormat="1">
      <alignment horizontal="center" readingOrder="0"/>
    </xf>
    <xf borderId="0" fillId="0" fontId="1" numFmtId="0" xfId="0" applyAlignment="1" applyFont="1">
      <alignment readingOrder="0"/>
    </xf>
    <xf borderId="8" fillId="6" fontId="6" numFmtId="0" xfId="0" applyAlignment="1" applyBorder="1" applyFill="1" applyFont="1">
      <alignment horizontal="center" vertical="bottom"/>
    </xf>
    <xf borderId="12" fillId="3" fontId="1" numFmtId="0" xfId="0" applyAlignment="1" applyBorder="1" applyFill="1" applyFont="1">
      <alignment horizontal="center" readingOrder="0"/>
    </xf>
    <xf borderId="0" fillId="0" fontId="9" numFmtId="0" xfId="0" applyAlignment="1" applyFont="1">
      <alignment horizontal="left" readingOrder="0" shrinkToFit="0" wrapText="1"/>
    </xf>
    <xf borderId="0" fillId="5" fontId="1" numFmtId="0" xfId="0" applyAlignment="1" applyFill="1" applyFont="1">
      <alignment horizontal="center"/>
    </xf>
    <xf borderId="0" fillId="6" fontId="6" numFmtId="0" xfId="0" applyAlignment="1" applyFill="1" applyFont="1">
      <alignment vertical="bottom"/>
    </xf>
    <xf borderId="13" fillId="3" fontId="1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0" fontId="10" numFmtId="0" xfId="0" applyAlignment="1" applyFont="1">
      <alignment horizontal="left" readingOrder="0" shrinkToFit="0" wrapText="1"/>
    </xf>
    <xf borderId="11" fillId="6" fontId="6" numFmtId="0" xfId="0" applyAlignment="1" applyBorder="1" applyFill="1" applyFont="1">
      <alignment horizontal="center" vertical="bottom"/>
    </xf>
    <xf borderId="0" fillId="6" fontId="6" numFmtId="0" xfId="0" applyAlignment="1" applyFill="1" applyFont="1">
      <alignment readingOrder="0" vertical="bottom"/>
    </xf>
    <xf borderId="14" fillId="6" fontId="6" numFmtId="0" xfId="0" applyAlignment="1" applyBorder="1" applyFill="1" applyFont="1">
      <alignment horizontal="center" vertical="bottom"/>
    </xf>
    <xf borderId="15" fillId="6" fontId="6" numFmtId="0" xfId="0" applyAlignment="1" applyBorder="1" applyFill="1" applyFont="1">
      <alignment vertical="bottom"/>
    </xf>
    <xf borderId="1" fillId="7" fontId="2" numFmtId="0" xfId="0" applyAlignment="1" applyBorder="1" applyFill="1" applyFont="1">
      <alignment horizontal="center" readingOrder="0" vertical="bottom"/>
    </xf>
    <xf borderId="3" fillId="7" fontId="2" numFmtId="0" xfId="0" applyAlignment="1" applyBorder="1" applyFill="1" applyFont="1">
      <alignment horizontal="center" readingOrder="0" vertical="bottom"/>
    </xf>
    <xf borderId="8" fillId="7" fontId="6" numFmtId="0" xfId="0" applyAlignment="1" applyBorder="1" applyFill="1" applyFont="1">
      <alignment horizontal="center" vertical="bottom"/>
    </xf>
    <xf borderId="0" fillId="7" fontId="6" numFmtId="0" xfId="0" applyAlignment="1" applyFill="1" applyFont="1">
      <alignment vertical="bottom"/>
    </xf>
    <xf borderId="11" fillId="7" fontId="6" numFmtId="0" xfId="0" applyAlignment="1" applyBorder="1" applyFill="1" applyFont="1">
      <alignment horizontal="center" vertical="bottom"/>
    </xf>
    <xf borderId="17" fillId="0" fontId="1" numFmtId="0" xfId="0" applyAlignment="1" applyBorder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8" fillId="5" fontId="1" numFmtId="0" xfId="0" applyAlignment="1" applyBorder="1" applyFill="1" applyFont="1">
      <alignment horizontal="center"/>
    </xf>
    <xf borderId="15" fillId="3" fontId="1" numFmtId="0" xfId="0" applyAlignment="1" applyBorder="1" applyFill="1" applyFont="1">
      <alignment horizontal="center" vertical="bottom"/>
    </xf>
    <xf borderId="14" fillId="7" fontId="6" numFmtId="0" xfId="0" applyAlignment="1" applyBorder="1" applyFill="1" applyFont="1">
      <alignment horizontal="center" vertical="bottom"/>
    </xf>
    <xf borderId="16" fillId="3" fontId="1" numFmtId="0" xfId="0" applyAlignment="1" applyBorder="1" applyFill="1" applyFont="1">
      <alignment horizontal="center" vertical="bottom"/>
    </xf>
    <xf borderId="2" fillId="8" fontId="1" numFmtId="0" xfId="0" applyAlignment="1" applyBorder="1" applyFill="1" applyFont="1">
      <alignment horizontal="center"/>
    </xf>
    <xf borderId="15" fillId="7" fontId="6" numFmtId="0" xfId="0" applyAlignment="1" applyBorder="1" applyFill="1" applyFont="1">
      <alignment readingOrder="0" vertical="bottom"/>
    </xf>
    <xf borderId="1" fillId="9" fontId="2" numFmtId="0" xfId="0" applyAlignment="1" applyBorder="1" applyFill="1" applyFont="1">
      <alignment horizontal="center" readingOrder="0" vertical="bottom"/>
    </xf>
    <xf borderId="18" fillId="8" fontId="1" numFmtId="165" xfId="0" applyAlignment="1" applyBorder="1" applyFill="1" applyFont="1" applyNumberFormat="1">
      <alignment horizontal="center" readingOrder="0"/>
    </xf>
    <xf borderId="3" fillId="9" fontId="2" numFmtId="0" xfId="0" applyAlignment="1" applyBorder="1" applyFill="1" applyFont="1">
      <alignment horizontal="center" readingOrder="0" vertical="bottom"/>
    </xf>
    <xf borderId="0" fillId="3" fontId="1" numFmtId="0" xfId="0" applyAlignment="1" applyFill="1" applyFont="1">
      <alignment horizontal="center"/>
    </xf>
    <xf borderId="8" fillId="9" fontId="6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readingOrder="0"/>
    </xf>
    <xf borderId="0" fillId="9" fontId="6" numFmtId="0" xfId="0" applyAlignment="1" applyFill="1" applyFont="1">
      <alignment vertical="bottom"/>
    </xf>
    <xf borderId="11" fillId="9" fontId="6" numFmtId="0" xfId="0" applyAlignment="1" applyBorder="1" applyFill="1" applyFont="1">
      <alignment horizontal="center" vertical="bottom"/>
    </xf>
    <xf borderId="14" fillId="9" fontId="6" numFmtId="0" xfId="0" applyAlignment="1" applyBorder="1" applyFill="1" applyFont="1">
      <alignment horizontal="center" vertical="bottom"/>
    </xf>
    <xf borderId="15" fillId="9" fontId="6" numFmtId="0" xfId="0" applyAlignment="1" applyBorder="1" applyFill="1" applyFont="1">
      <alignment vertical="bottom"/>
    </xf>
    <xf borderId="1" fillId="10" fontId="2" numFmtId="0" xfId="0" applyAlignment="1" applyBorder="1" applyFill="1" applyFont="1">
      <alignment horizontal="center" readingOrder="0" vertical="bottom"/>
    </xf>
    <xf borderId="3" fillId="10" fontId="2" numFmtId="0" xfId="0" applyAlignment="1" applyBorder="1" applyFill="1" applyFont="1">
      <alignment horizontal="center" readingOrder="0" vertical="bottom"/>
    </xf>
    <xf borderId="8" fillId="10" fontId="6" numFmtId="0" xfId="0" applyAlignment="1" applyBorder="1" applyFill="1" applyFont="1">
      <alignment horizontal="center" vertical="bottom"/>
    </xf>
    <xf borderId="0" fillId="10" fontId="6" numFmtId="0" xfId="0" applyAlignment="1" applyFill="1" applyFont="1">
      <alignment vertical="bottom"/>
    </xf>
    <xf borderId="11" fillId="10" fontId="6" numFmtId="0" xfId="0" applyAlignment="1" applyBorder="1" applyFill="1" applyFont="1">
      <alignment horizontal="center" vertical="bottom"/>
    </xf>
    <xf borderId="0" fillId="8" fontId="1" numFmtId="166" xfId="0" applyAlignment="1" applyFill="1" applyFont="1" applyNumberFormat="1">
      <alignment horizontal="center"/>
    </xf>
    <xf borderId="0" fillId="10" fontId="6" numFmtId="0" xfId="0" applyAlignment="1" applyFill="1" applyFont="1">
      <alignment readingOrder="0" vertical="bottom"/>
    </xf>
    <xf borderId="14" fillId="10" fontId="6" numFmtId="0" xfId="0" applyAlignment="1" applyBorder="1" applyFill="1" applyFont="1">
      <alignment horizontal="center" vertical="bottom"/>
    </xf>
    <xf borderId="15" fillId="10" fontId="6" numFmtId="0" xfId="0" applyAlignment="1" applyBorder="1" applyFill="1" applyFont="1">
      <alignment readingOrder="0" vertical="bottom"/>
    </xf>
    <xf borderId="5" fillId="6" fontId="3" numFmtId="0" xfId="0" applyAlignment="1" applyBorder="1" applyFill="1" applyFont="1">
      <alignment horizontal="center" readingOrder="0"/>
    </xf>
    <xf borderId="0" fillId="0" fontId="6" numFmtId="0" xfId="0" applyAlignment="1" applyFont="1">
      <alignment readingOrder="0"/>
    </xf>
    <xf borderId="17" fillId="3" fontId="1" numFmtId="0" xfId="0" applyAlignment="1" applyBorder="1" applyFill="1" applyFont="1">
      <alignment horizontal="center" readingOrder="0"/>
    </xf>
    <xf borderId="5" fillId="7" fontId="3" numFmtId="0" xfId="0" applyAlignment="1" applyBorder="1" applyFill="1" applyFont="1">
      <alignment horizontal="center" readingOrder="0"/>
    </xf>
    <xf borderId="13" fillId="5" fontId="1" numFmtId="0" xfId="0" applyAlignment="1" applyBorder="1" applyFill="1" applyFont="1">
      <alignment horizontal="center" readingOrder="0"/>
    </xf>
    <xf borderId="17" fillId="5" fontId="11" numFmtId="0" xfId="0" applyAlignment="1" applyBorder="1" applyFill="1" applyFont="1">
      <alignment horizontal="center" readingOrder="0"/>
    </xf>
    <xf borderId="2" fillId="5" fontId="11" numFmtId="0" xfId="0" applyAlignment="1" applyBorder="1" applyFill="1" applyFont="1">
      <alignment horizontal="center" readingOrder="0"/>
    </xf>
    <xf borderId="18" fillId="5" fontId="11" numFmtId="0" xfId="0" applyAlignment="1" applyBorder="1" applyFill="1" applyFont="1">
      <alignment horizontal="center"/>
    </xf>
    <xf borderId="17" fillId="3" fontId="1" numFmtId="0" xfId="0" applyAlignment="1" applyBorder="1" applyFill="1" applyFont="1">
      <alignment horizontal="center"/>
    </xf>
    <xf borderId="2" fillId="8" fontId="1" numFmtId="0" xfId="0" applyAlignment="1" applyBorder="1" applyFill="1" applyFont="1">
      <alignment horizontal="center" readingOrder="0"/>
    </xf>
    <xf borderId="18" fillId="8" fontId="1" numFmtId="0" xfId="0" applyAlignment="1" applyBorder="1" applyFill="1" applyFont="1">
      <alignment horizontal="center" readingOrder="0"/>
    </xf>
    <xf borderId="5" fillId="9" fontId="3" numFmtId="0" xfId="0" applyAlignment="1" applyBorder="1" applyFill="1" applyFont="1">
      <alignment horizontal="center" readingOrder="0"/>
    </xf>
    <xf borderId="19" fillId="8" fontId="1" numFmtId="0" xfId="0" applyAlignment="1" applyBorder="1" applyFill="1" applyFont="1">
      <alignment horizontal="center" readingOrder="0"/>
    </xf>
    <xf borderId="15" fillId="3" fontId="1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5" fontId="8" numFmtId="0" xfId="0" applyAlignment="1" applyFill="1" applyFont="1">
      <alignment vertical="bottom"/>
    </xf>
    <xf borderId="0" fillId="0" fontId="6" numFmtId="0" xfId="0" applyAlignment="1" applyFont="1">
      <alignment horizontal="center" vertical="bottom"/>
    </xf>
    <xf borderId="0" fillId="0" fontId="12" numFmtId="0" xfId="0" applyFont="1"/>
    <xf borderId="0" fillId="11" fontId="1" numFmtId="0" xfId="0" applyFill="1" applyFont="1"/>
    <xf borderId="2" fillId="11" fontId="3" numFmtId="0" xfId="0" applyAlignment="1" applyBorder="1" applyFill="1" applyFont="1">
      <alignment readingOrder="0"/>
    </xf>
    <xf borderId="0" fillId="11" fontId="3" numFmtId="0" xfId="0" applyAlignment="1" applyFill="1" applyFont="1">
      <alignment readingOrder="0"/>
    </xf>
    <xf borderId="0" fillId="11" fontId="1" numFmtId="165" xfId="0" applyFill="1" applyFont="1" applyNumberFormat="1"/>
    <xf borderId="0" fillId="11" fontId="1" numFmtId="0" xfId="0" applyAlignment="1" applyFill="1" applyFont="1">
      <alignment readingOrder="0"/>
    </xf>
    <xf borderId="0" fillId="5" fontId="1" numFmtId="0" xfId="0" applyFill="1" applyFont="1"/>
    <xf borderId="0" fillId="5" fontId="1" numFmtId="165" xfId="0" applyFill="1" applyFont="1" applyNumberFormat="1"/>
    <xf borderId="0" fillId="12" fontId="1" numFmtId="0" xfId="0" applyFill="1" applyFont="1"/>
    <xf borderId="0" fillId="12" fontId="1" numFmtId="165" xfId="0" applyFill="1" applyFont="1" applyNumberFormat="1"/>
    <xf borderId="0" fillId="12" fontId="1" numFmtId="0" xfId="0" applyAlignment="1" applyFill="1" applyFont="1">
      <alignment readingOrder="0"/>
    </xf>
    <xf borderId="0" fillId="12" fontId="12" numFmtId="0" xfId="0" applyAlignment="1" applyFill="1" applyFont="1">
      <alignment readingOrder="0"/>
    </xf>
    <xf borderId="5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readingOrder="0" vertical="bottom"/>
    </xf>
    <xf borderId="7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13" fontId="6" numFmtId="0" xfId="0" applyAlignment="1" applyFill="1" applyFont="1">
      <alignment horizontal="center" readingOrder="0" vertical="bottom"/>
    </xf>
    <xf borderId="0" fillId="14" fontId="16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14" fontId="6" numFmtId="0" xfId="0" applyAlignment="1" applyFill="1" applyFont="1">
      <alignment vertical="bottom"/>
    </xf>
    <xf borderId="0" fillId="8" fontId="6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  <xf borderId="0" fillId="14" fontId="6" numFmtId="0" xfId="0" applyAlignment="1" applyFill="1" applyFont="1">
      <alignment vertical="bottom"/>
    </xf>
    <xf borderId="0" fillId="0" fontId="2" numFmtId="0" xfId="0" applyAlignment="1" applyFont="1">
      <alignment horizontal="center" vertical="bottom"/>
    </xf>
    <xf borderId="0" fillId="14" fontId="16" numFmtId="0" xfId="0" applyAlignment="1" applyFill="1" applyFont="1">
      <alignment horizontal="right" readingOrder="0" vertical="bottom"/>
    </xf>
    <xf borderId="0" fillId="0" fontId="17" numFmtId="0" xfId="0" applyAlignment="1" applyFont="1">
      <alignment horizontal="center" vertical="bottom"/>
    </xf>
    <xf borderId="0" fillId="13" fontId="6" numFmtId="0" xfId="0" applyAlignment="1" applyFill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165" xfId="0" applyFont="1" applyNumberFormat="1"/>
    <xf borderId="0" fillId="14" fontId="16" numFmtId="0" xfId="0" applyAlignment="1" applyFill="1" applyFont="1">
      <alignment horizontal="center" vertical="bottom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pzth5l9JiNwdXNbkZcg76Tc1fol22Jl9mq6xBOGksw/edit?gid=204270256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0"/>
    <col customWidth="1" min="3" max="3" width="13.5"/>
    <col customWidth="1" min="5" max="5" width="16.0"/>
    <col customWidth="1" min="6" max="6" width="13.38"/>
    <col customWidth="1" min="7" max="7" width="17.88"/>
    <col customWidth="1" min="8" max="8" width="17.75"/>
    <col customWidth="1" min="9" max="9" width="15.63"/>
    <col customWidth="1" min="10" max="10" width="14.63"/>
  </cols>
  <sheetData>
    <row r="1">
      <c r="A1" s="2"/>
      <c r="B1" s="1"/>
      <c r="C1" s="1"/>
      <c r="D1" s="5"/>
      <c r="E1" s="7"/>
      <c r="F1" s="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1" t="s">
        <v>11</v>
      </c>
      <c r="C2" s="11" t="s">
        <v>12</v>
      </c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2"/>
      <c r="B3" s="2" t="s">
        <v>13</v>
      </c>
      <c r="C3" s="2" t="b">
        <v>1</v>
      </c>
      <c r="D3" s="19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2" t="s">
        <v>22</v>
      </c>
      <c r="C4" s="2" t="b">
        <v>1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2" t="s">
        <v>31</v>
      </c>
      <c r="C5" s="2" t="b">
        <v>1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2" t="s">
        <v>34</v>
      </c>
      <c r="C6" s="2" t="b">
        <v>1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2"/>
      <c r="B7" s="2" t="s">
        <v>43</v>
      </c>
      <c r="C7" s="2" t="b">
        <v>1</v>
      </c>
      <c r="M7" s="1"/>
      <c r="N7" s="1"/>
      <c r="O7" s="1"/>
      <c r="P7" s="1"/>
      <c r="Q7" s="1"/>
      <c r="R7" s="1"/>
      <c r="S7" s="1"/>
      <c r="T7" s="1"/>
    </row>
    <row r="8">
      <c r="A8" s="1"/>
      <c r="B8" s="2" t="s">
        <v>49</v>
      </c>
      <c r="C8" s="2" t="b">
        <v>1</v>
      </c>
      <c r="K8" s="1"/>
      <c r="L8" s="1"/>
      <c r="M8" s="1"/>
      <c r="N8" s="1"/>
      <c r="O8" s="1"/>
      <c r="P8" s="1"/>
      <c r="Q8" s="1"/>
      <c r="R8" s="1"/>
    </row>
    <row r="9">
      <c r="A9" s="1"/>
      <c r="B9" s="2" t="s">
        <v>52</v>
      </c>
      <c r="C9" s="2" t="b">
        <v>1</v>
      </c>
      <c r="K9" s="1"/>
      <c r="L9" s="1"/>
      <c r="M9" s="1"/>
      <c r="N9" s="1"/>
      <c r="O9" s="1"/>
      <c r="P9" s="1"/>
      <c r="Q9" s="1"/>
      <c r="R9" s="1"/>
    </row>
    <row r="10">
      <c r="A10" s="1"/>
      <c r="B10" s="2" t="s">
        <v>53</v>
      </c>
      <c r="C10" s="2" t="b">
        <v>1</v>
      </c>
      <c r="K10" s="1"/>
      <c r="L10" s="1"/>
      <c r="M10" s="1"/>
      <c r="N10" s="1"/>
      <c r="O10" s="1"/>
      <c r="P10" s="1"/>
      <c r="Q10" s="1"/>
      <c r="R10" s="1"/>
    </row>
    <row r="11">
      <c r="A11" s="2"/>
      <c r="B11" s="2" t="s">
        <v>57</v>
      </c>
      <c r="C11" s="2" t="b">
        <v>1</v>
      </c>
      <c r="K11" s="1"/>
      <c r="L11" s="1"/>
      <c r="M11" s="1"/>
      <c r="N11" s="1"/>
      <c r="O11" s="1"/>
      <c r="P11" s="1"/>
      <c r="Q11" s="1"/>
      <c r="R11" s="1"/>
    </row>
    <row r="12">
      <c r="A12" s="2"/>
      <c r="B12" s="2" t="s">
        <v>61</v>
      </c>
      <c r="C12" s="2" t="b">
        <v>1</v>
      </c>
      <c r="K12" s="1"/>
      <c r="L12" s="1"/>
      <c r="M12" s="1"/>
      <c r="N12" s="1"/>
      <c r="O12" s="1"/>
      <c r="P12" s="1"/>
      <c r="Q12" s="1"/>
      <c r="R12" s="1"/>
    </row>
    <row r="13">
      <c r="A13" s="2"/>
      <c r="B13" s="2" t="s">
        <v>68</v>
      </c>
      <c r="C13" s="2" t="b">
        <v>1</v>
      </c>
      <c r="K13" s="1"/>
      <c r="L13" s="1"/>
      <c r="M13" s="1"/>
      <c r="N13" s="1"/>
      <c r="O13" s="1"/>
      <c r="P13" s="1"/>
      <c r="Q13" s="1"/>
      <c r="R13" s="1"/>
    </row>
    <row r="14">
      <c r="A14" s="1"/>
      <c r="B14" s="2" t="s">
        <v>46</v>
      </c>
      <c r="C14" s="2" t="b">
        <v>1</v>
      </c>
      <c r="D14" s="5"/>
      <c r="J14" s="1"/>
      <c r="K14" s="1"/>
      <c r="L14" s="1"/>
    </row>
    <row r="15">
      <c r="A15" s="1"/>
      <c r="B15" s="2" t="s">
        <v>82</v>
      </c>
      <c r="C15" s="2" t="b">
        <v>1</v>
      </c>
      <c r="D15" s="41"/>
      <c r="E15" s="1"/>
      <c r="F15" s="1"/>
      <c r="G15" s="1"/>
      <c r="H15" s="1"/>
      <c r="I15" s="1"/>
      <c r="J15" s="1"/>
      <c r="K15" s="1"/>
      <c r="L15" s="1"/>
    </row>
    <row r="16">
      <c r="A16" s="1"/>
      <c r="B16" s="2" t="s">
        <v>94</v>
      </c>
      <c r="C16" s="2" t="b">
        <v>1</v>
      </c>
      <c r="D16" s="1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2" t="s">
        <v>104</v>
      </c>
      <c r="C17" s="2" t="b">
        <v>1</v>
      </c>
      <c r="D17" s="1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2" t="s">
        <v>42</v>
      </c>
      <c r="C18" s="2" t="b">
        <v>1</v>
      </c>
      <c r="D18" s="1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2" t="s">
        <v>122</v>
      </c>
      <c r="C19" s="2" t="b">
        <v>1</v>
      </c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2" t="s">
        <v>95</v>
      </c>
      <c r="C20" s="2" t="b">
        <v>1</v>
      </c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2" t="s">
        <v>115</v>
      </c>
      <c r="C21" s="2" t="b">
        <v>1</v>
      </c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2" t="s">
        <v>30</v>
      </c>
      <c r="C22" s="2" t="b">
        <v>1</v>
      </c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2" t="s">
        <v>143</v>
      </c>
      <c r="C23" s="2" t="b">
        <v>1</v>
      </c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2" t="s">
        <v>37</v>
      </c>
      <c r="C24" s="2" t="b">
        <v>1</v>
      </c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2" t="s">
        <v>155</v>
      </c>
      <c r="C25" s="2" t="b">
        <v>1</v>
      </c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2" t="s">
        <v>144</v>
      </c>
      <c r="C26" s="2" t="b">
        <v>1</v>
      </c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2" t="s">
        <v>112</v>
      </c>
      <c r="C27" s="2" t="b">
        <v>1</v>
      </c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2" t="s">
        <v>93</v>
      </c>
      <c r="C28" s="2" t="b">
        <v>1</v>
      </c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2" t="s">
        <v>179</v>
      </c>
      <c r="C29" s="2" t="b">
        <v>1</v>
      </c>
      <c r="D29" s="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2" t="s">
        <v>92</v>
      </c>
      <c r="C30" s="2" t="b">
        <v>1</v>
      </c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2"/>
      <c r="B31" s="2" t="s">
        <v>146</v>
      </c>
      <c r="C31" s="2" t="b">
        <v>1</v>
      </c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2"/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2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2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2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2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2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2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2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2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2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2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2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2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2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2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2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2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2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2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2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2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"/>
      <c r="C228" s="1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"/>
      <c r="C229" s="1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"/>
      <c r="C230" s="1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"/>
      <c r="C231" s="1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"/>
      <c r="C232" s="1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"/>
      <c r="C233" s="1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"/>
      <c r="C234" s="1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"/>
      <c r="C235" s="1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"/>
      <c r="C237" s="1"/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"/>
      <c r="C238" s="1"/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"/>
      <c r="C239" s="1"/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"/>
      <c r="C240" s="1"/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"/>
      <c r="C242" s="1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"/>
      <c r="C244" s="1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"/>
      <c r="C245" s="1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"/>
      <c r="C246" s="1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"/>
      <c r="C247" s="1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"/>
      <c r="C248" s="1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"/>
      <c r="C255" s="1"/>
      <c r="D255" s="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"/>
      <c r="C256" s="1"/>
      <c r="D256" s="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"/>
      <c r="C257" s="1"/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"/>
      <c r="C258" s="1"/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"/>
      <c r="C259" s="1"/>
      <c r="D259" s="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"/>
      <c r="C260" s="1"/>
      <c r="D260" s="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"/>
      <c r="C261" s="1"/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"/>
      <c r="C262" s="1"/>
      <c r="D262" s="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"/>
      <c r="C263" s="1"/>
      <c r="D263" s="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"/>
      <c r="C264" s="1"/>
      <c r="D264" s="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"/>
      <c r="C265" s="1"/>
      <c r="D265" s="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"/>
      <c r="C266" s="1"/>
      <c r="D266" s="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"/>
      <c r="C267" s="1"/>
      <c r="D267" s="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"/>
      <c r="C268" s="1"/>
      <c r="D268" s="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"/>
      <c r="C269" s="1"/>
      <c r="D269" s="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"/>
      <c r="C270" s="1"/>
      <c r="D270" s="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"/>
      <c r="C271" s="1"/>
      <c r="D271" s="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"/>
      <c r="C272" s="1"/>
      <c r="D272" s="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"/>
      <c r="C273" s="1"/>
      <c r="D273" s="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"/>
      <c r="C274" s="1"/>
      <c r="D274" s="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"/>
      <c r="C275" s="1"/>
      <c r="D275" s="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"/>
      <c r="C276" s="1"/>
      <c r="D276" s="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"/>
      <c r="C277" s="1"/>
      <c r="D277" s="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"/>
      <c r="C278" s="1"/>
      <c r="D278" s="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"/>
      <c r="C279" s="1"/>
      <c r="D279" s="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"/>
      <c r="C280" s="1"/>
      <c r="D280" s="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"/>
      <c r="C281" s="1"/>
      <c r="D281" s="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"/>
      <c r="C282" s="1"/>
      <c r="D282" s="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"/>
      <c r="C283" s="1"/>
      <c r="D283" s="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"/>
      <c r="C284" s="1"/>
      <c r="D284" s="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"/>
      <c r="C285" s="1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"/>
      <c r="C286" s="1"/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"/>
      <c r="C287" s="1"/>
      <c r="D287" s="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"/>
      <c r="C288" s="1"/>
      <c r="D288" s="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"/>
      <c r="C289" s="1"/>
      <c r="D289" s="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"/>
      <c r="C290" s="1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"/>
      <c r="C291" s="1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"/>
      <c r="C292" s="1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"/>
      <c r="C293" s="1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"/>
      <c r="C294" s="1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"/>
      <c r="C295" s="1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"/>
      <c r="C296" s="1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"/>
      <c r="C297" s="1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"/>
      <c r="C298" s="1"/>
      <c r="D298" s="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"/>
      <c r="C299" s="1"/>
      <c r="D299" s="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"/>
      <c r="C300" s="1"/>
      <c r="D300" s="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"/>
      <c r="C301" s="1"/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"/>
      <c r="C302" s="1"/>
      <c r="D302" s="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"/>
      <c r="C303" s="1"/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"/>
      <c r="C304" s="1"/>
      <c r="D304" s="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"/>
      <c r="C305" s="1"/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"/>
      <c r="C306" s="1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"/>
      <c r="C307" s="1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"/>
      <c r="C308" s="1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"/>
      <c r="C309" s="1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"/>
      <c r="C310" s="1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"/>
      <c r="C311" s="1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"/>
      <c r="C312" s="1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"/>
      <c r="C313" s="1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"/>
      <c r="C314" s="1"/>
      <c r="D314" s="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"/>
      <c r="C315" s="1"/>
      <c r="D315" s="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"/>
      <c r="C316" s="1"/>
      <c r="D316" s="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"/>
      <c r="C317" s="1"/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"/>
      <c r="C318" s="1"/>
      <c r="D318" s="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"/>
      <c r="C319" s="1"/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"/>
      <c r="C320" s="1"/>
      <c r="D320" s="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"/>
      <c r="C321" s="1"/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"/>
      <c r="C322" s="1"/>
      <c r="D322" s="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"/>
      <c r="C323" s="1"/>
      <c r="D323" s="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"/>
      <c r="C324" s="1"/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"/>
      <c r="C325" s="1"/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"/>
      <c r="C326" s="1"/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"/>
      <c r="C327" s="1"/>
      <c r="D327" s="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"/>
      <c r="C328" s="1"/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"/>
      <c r="C329" s="1"/>
      <c r="D329" s="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"/>
      <c r="C330" s="1"/>
      <c r="D330" s="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"/>
      <c r="C331" s="1"/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"/>
      <c r="C332" s="1"/>
      <c r="D332" s="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"/>
      <c r="C333" s="1"/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"/>
      <c r="C334" s="1"/>
      <c r="D334" s="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"/>
      <c r="C335" s="1"/>
      <c r="D335" s="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"/>
      <c r="C336" s="1"/>
      <c r="D336" s="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"/>
      <c r="C337" s="1"/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"/>
      <c r="C338" s="1"/>
      <c r="D338" s="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"/>
      <c r="C339" s="1"/>
      <c r="D339" s="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"/>
      <c r="C340" s="1"/>
      <c r="D340" s="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"/>
      <c r="C341" s="1"/>
      <c r="D341" s="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"/>
      <c r="C342" s="1"/>
      <c r="D342" s="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"/>
      <c r="C343" s="1"/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"/>
      <c r="C344" s="1"/>
      <c r="D344" s="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"/>
      <c r="C345" s="1"/>
      <c r="D345" s="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"/>
      <c r="C346" s="1"/>
      <c r="D346" s="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"/>
      <c r="C347" s="1"/>
      <c r="D347" s="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"/>
      <c r="C348" s="1"/>
      <c r="D348" s="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"/>
      <c r="C349" s="1"/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"/>
      <c r="C350" s="1"/>
      <c r="D350" s="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"/>
      <c r="C351" s="1"/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"/>
      <c r="C352" s="1"/>
      <c r="D352" s="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"/>
      <c r="C353" s="1"/>
      <c r="D353" s="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"/>
      <c r="C354" s="1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"/>
      <c r="C355" s="1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"/>
      <c r="C356" s="1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"/>
      <c r="C358" s="1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"/>
      <c r="C359" s="1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"/>
      <c r="C360" s="1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"/>
      <c r="C361" s="1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"/>
      <c r="C362" s="1"/>
      <c r="D362" s="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"/>
      <c r="C363" s="1"/>
      <c r="D363" s="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"/>
      <c r="C364" s="1"/>
      <c r="D364" s="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"/>
      <c r="C365" s="1"/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"/>
      <c r="C366" s="1"/>
      <c r="D366" s="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"/>
      <c r="C367" s="1"/>
      <c r="D367" s="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"/>
      <c r="C368" s="1"/>
      <c r="D368" s="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"/>
      <c r="C369" s="1"/>
      <c r="D369" s="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"/>
      <c r="C370" s="1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"/>
      <c r="C371" s="1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"/>
      <c r="C372" s="1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"/>
      <c r="C374" s="1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"/>
      <c r="C376" s="1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"/>
      <c r="C378" s="1"/>
      <c r="D378" s="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"/>
      <c r="C379" s="1"/>
      <c r="D379" s="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"/>
      <c r="C380" s="1"/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"/>
      <c r="C381" s="1"/>
      <c r="D381" s="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"/>
      <c r="C382" s="1"/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"/>
      <c r="C383" s="1"/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"/>
      <c r="C384" s="1"/>
      <c r="D384" s="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"/>
      <c r="C385" s="1"/>
      <c r="D385" s="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"/>
      <c r="C386" s="1"/>
      <c r="D386" s="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"/>
      <c r="C387" s="1"/>
      <c r="D387" s="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"/>
      <c r="C388" s="1"/>
      <c r="D388" s="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"/>
      <c r="C389" s="1"/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"/>
      <c r="C390" s="1"/>
      <c r="D390" s="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"/>
      <c r="C391" s="1"/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"/>
      <c r="C393" s="1"/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"/>
      <c r="C394" s="1"/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"/>
      <c r="C395" s="1"/>
      <c r="D395" s="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"/>
      <c r="C396" s="1"/>
      <c r="D396" s="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"/>
      <c r="C397" s="1"/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"/>
      <c r="C398" s="1"/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"/>
      <c r="C399" s="1"/>
      <c r="D399" s="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"/>
      <c r="C400" s="1"/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"/>
      <c r="C401" s="1"/>
      <c r="D401" s="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"/>
      <c r="C402" s="1"/>
      <c r="D402" s="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"/>
      <c r="C403" s="1"/>
      <c r="D403" s="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"/>
      <c r="C404" s="1"/>
      <c r="D404" s="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"/>
      <c r="C405" s="1"/>
      <c r="D405" s="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"/>
      <c r="C406" s="1"/>
      <c r="D406" s="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"/>
      <c r="C407" s="1"/>
      <c r="D407" s="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/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"/>
      <c r="C409" s="1"/>
      <c r="D409" s="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"/>
      <c r="C410" s="1"/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"/>
      <c r="C411" s="1"/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"/>
      <c r="C412" s="1"/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"/>
      <c r="C414" s="1"/>
      <c r="D414" s="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"/>
      <c r="C415" s="1"/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"/>
      <c r="C416" s="1"/>
      <c r="D416" s="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"/>
      <c r="C417" s="1"/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"/>
      <c r="C418" s="1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"/>
      <c r="C419" s="1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"/>
      <c r="C420" s="1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"/>
      <c r="C421" s="1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"/>
      <c r="C422" s="1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"/>
      <c r="C423" s="1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"/>
      <c r="C424" s="1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"/>
      <c r="C425" s="1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"/>
      <c r="C426" s="1"/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"/>
      <c r="C427" s="1"/>
      <c r="D427" s="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"/>
      <c r="C428" s="1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"/>
      <c r="C429" s="1"/>
      <c r="D429" s="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"/>
      <c r="C430" s="1"/>
      <c r="D430" s="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"/>
      <c r="C431" s="1"/>
      <c r="D431" s="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"/>
      <c r="C432" s="1"/>
      <c r="D432" s="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"/>
      <c r="C434" s="1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"/>
      <c r="C435" s="1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"/>
      <c r="C437" s="1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"/>
      <c r="C439" s="1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"/>
      <c r="C442" s="1"/>
      <c r="D442" s="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"/>
      <c r="C443" s="1"/>
      <c r="D443" s="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"/>
      <c r="C445" s="1"/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"/>
      <c r="C446" s="1"/>
      <c r="D446" s="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"/>
      <c r="C447" s="1"/>
      <c r="D447" s="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"/>
      <c r="C448" s="1"/>
      <c r="D448" s="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"/>
      <c r="C449" s="1"/>
      <c r="D449" s="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"/>
      <c r="C450" s="1"/>
      <c r="D450" s="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"/>
      <c r="C451" s="1"/>
      <c r="D451" s="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"/>
      <c r="C453" s="1"/>
      <c r="D453" s="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"/>
      <c r="C457" s="1"/>
      <c r="D457" s="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"/>
      <c r="C459" s="1"/>
      <c r="D459" s="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"/>
      <c r="C460" s="1"/>
      <c r="D460" s="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"/>
      <c r="C461" s="1"/>
      <c r="D461" s="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"/>
      <c r="C463" s="1"/>
      <c r="D463" s="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"/>
      <c r="C465" s="1"/>
      <c r="D465" s="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"/>
      <c r="C466" s="1"/>
      <c r="D466" s="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"/>
      <c r="C469" s="1"/>
      <c r="D469" s="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"/>
      <c r="C471" s="1"/>
      <c r="D471" s="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"/>
      <c r="C472" s="1"/>
      <c r="D472" s="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"/>
      <c r="C473" s="1"/>
      <c r="D473" s="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"/>
      <c r="C474" s="1"/>
      <c r="D474" s="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"/>
      <c r="C475" s="1"/>
      <c r="D475" s="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"/>
      <c r="C478" s="1"/>
      <c r="D478" s="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"/>
      <c r="C479" s="1"/>
      <c r="D479" s="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"/>
      <c r="C480" s="1"/>
      <c r="D480" s="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"/>
      <c r="C482" s="1"/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"/>
      <c r="C483" s="1"/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"/>
      <c r="C484" s="1"/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"/>
      <c r="C486" s="1"/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"/>
      <c r="C493" s="1"/>
      <c r="D493" s="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"/>
      <c r="C494" s="1"/>
      <c r="D494" s="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"/>
      <c r="C495" s="1"/>
      <c r="D495" s="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"/>
      <c r="C496" s="1"/>
      <c r="D496" s="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"/>
      <c r="C497" s="1"/>
      <c r="D497" s="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"/>
      <c r="C498" s="1"/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"/>
      <c r="C499" s="1"/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"/>
      <c r="C500" s="1"/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"/>
      <c r="C502" s="1"/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"/>
      <c r="C503" s="1"/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"/>
      <c r="C504" s="1"/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"/>
      <c r="C505" s="1"/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"/>
      <c r="C506" s="1"/>
      <c r="D506" s="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"/>
      <c r="C507" s="1"/>
      <c r="D507" s="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"/>
      <c r="C508" s="1"/>
      <c r="D508" s="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"/>
      <c r="C509" s="1"/>
      <c r="D509" s="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"/>
      <c r="C510" s="1"/>
      <c r="D510" s="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"/>
      <c r="C511" s="1"/>
      <c r="D511" s="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"/>
      <c r="C512" s="1"/>
      <c r="D512" s="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"/>
      <c r="C514" s="1"/>
      <c r="D514" s="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"/>
      <c r="C515" s="1"/>
      <c r="D515" s="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"/>
      <c r="C517" s="1"/>
      <c r="D517" s="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"/>
      <c r="C518" s="1"/>
      <c r="D518" s="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"/>
      <c r="C519" s="1"/>
      <c r="D519" s="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"/>
      <c r="C520" s="1"/>
      <c r="D520" s="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"/>
      <c r="C521" s="1"/>
      <c r="D521" s="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"/>
      <c r="C522" s="1"/>
      <c r="D522" s="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"/>
      <c r="C523" s="1"/>
      <c r="D523" s="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"/>
      <c r="C524" s="1"/>
      <c r="D524" s="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"/>
      <c r="C525" s="1"/>
      <c r="D525" s="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"/>
      <c r="C526" s="1"/>
      <c r="D526" s="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"/>
      <c r="C527" s="1"/>
      <c r="D527" s="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"/>
      <c r="C528" s="1"/>
      <c r="D528" s="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"/>
      <c r="C529" s="1"/>
      <c r="D529" s="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"/>
      <c r="C530" s="1"/>
      <c r="D530" s="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"/>
      <c r="C531" s="1"/>
      <c r="D531" s="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"/>
      <c r="C532" s="1"/>
      <c r="D532" s="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"/>
      <c r="C533" s="1"/>
      <c r="D533" s="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"/>
      <c r="C534" s="1"/>
      <c r="D534" s="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"/>
      <c r="C535" s="1"/>
      <c r="D535" s="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"/>
      <c r="C536" s="1"/>
      <c r="D536" s="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"/>
      <c r="C537" s="1"/>
      <c r="D537" s="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"/>
      <c r="C538" s="1"/>
      <c r="D538" s="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"/>
      <c r="C539" s="1"/>
      <c r="D539" s="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"/>
      <c r="C540" s="1"/>
      <c r="D540" s="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"/>
      <c r="C541" s="1"/>
      <c r="D541" s="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"/>
      <c r="C543" s="1"/>
      <c r="D543" s="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"/>
      <c r="C544" s="1"/>
      <c r="D544" s="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"/>
      <c r="C545" s="1"/>
      <c r="D545" s="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"/>
      <c r="C546" s="1"/>
      <c r="D546" s="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"/>
      <c r="C547" s="1"/>
      <c r="D547" s="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"/>
      <c r="D548" s="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"/>
      <c r="C549" s="1"/>
      <c r="D549" s="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"/>
      <c r="C550" s="1"/>
      <c r="D550" s="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"/>
      <c r="C551" s="1"/>
      <c r="D551" s="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"/>
      <c r="C552" s="1"/>
      <c r="D552" s="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"/>
      <c r="C553" s="1"/>
      <c r="D553" s="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"/>
      <c r="C554" s="1"/>
      <c r="D554" s="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"/>
      <c r="C555" s="1"/>
      <c r="D555" s="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"/>
      <c r="C556" s="1"/>
      <c r="D556" s="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"/>
      <c r="C557" s="1"/>
      <c r="D557" s="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"/>
      <c r="C558" s="1"/>
      <c r="D558" s="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"/>
      <c r="C559" s="1"/>
      <c r="D559" s="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"/>
      <c r="C560" s="1"/>
      <c r="D560" s="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"/>
      <c r="C562" s="1"/>
      <c r="D562" s="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"/>
      <c r="C563" s="1"/>
      <c r="D563" s="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"/>
      <c r="C564" s="1"/>
      <c r="D564" s="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"/>
      <c r="C565" s="1"/>
      <c r="D565" s="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"/>
      <c r="C566" s="1"/>
      <c r="D566" s="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"/>
      <c r="C567" s="1"/>
      <c r="D567" s="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"/>
      <c r="C568" s="1"/>
      <c r="D568" s="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"/>
      <c r="C569" s="1"/>
      <c r="D569" s="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"/>
      <c r="C570" s="1"/>
      <c r="D570" s="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"/>
      <c r="C571" s="1"/>
      <c r="D571" s="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"/>
      <c r="C572" s="1"/>
      <c r="D572" s="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"/>
      <c r="C573" s="1"/>
      <c r="D573" s="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"/>
      <c r="C574" s="1"/>
      <c r="D574" s="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"/>
      <c r="C575" s="1"/>
      <c r="D575" s="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"/>
      <c r="C576" s="1"/>
      <c r="D576" s="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"/>
      <c r="C577" s="1"/>
      <c r="D577" s="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"/>
      <c r="C578" s="1"/>
      <c r="D578" s="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"/>
      <c r="C579" s="1"/>
      <c r="D579" s="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"/>
      <c r="C580" s="1"/>
      <c r="D580" s="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"/>
      <c r="C581" s="1"/>
      <c r="D581" s="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"/>
      <c r="C582" s="1"/>
      <c r="D582" s="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"/>
      <c r="C583" s="1"/>
      <c r="D583" s="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"/>
      <c r="C584" s="1"/>
      <c r="D584" s="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"/>
      <c r="C585" s="1"/>
      <c r="D585" s="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"/>
      <c r="C586" s="1"/>
      <c r="D586" s="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"/>
      <c r="C587" s="1"/>
      <c r="D587" s="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"/>
      <c r="C588" s="1"/>
      <c r="D588" s="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"/>
      <c r="C589" s="1"/>
      <c r="D589" s="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"/>
      <c r="C590" s="1"/>
      <c r="D590" s="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"/>
      <c r="C591" s="1"/>
      <c r="D591" s="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"/>
      <c r="C592" s="1"/>
      <c r="D592" s="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"/>
      <c r="C593" s="1"/>
      <c r="D593" s="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"/>
      <c r="C594" s="1"/>
      <c r="D594" s="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"/>
      <c r="C595" s="1"/>
      <c r="D595" s="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"/>
      <c r="C596" s="1"/>
      <c r="D596" s="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"/>
      <c r="C597" s="1"/>
      <c r="D597" s="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"/>
      <c r="C598" s="1"/>
      <c r="D598" s="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"/>
      <c r="C599" s="1"/>
      <c r="D599" s="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"/>
      <c r="C600" s="1"/>
      <c r="D600" s="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"/>
      <c r="C601" s="1"/>
      <c r="D601" s="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"/>
      <c r="C602" s="1"/>
      <c r="D602" s="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"/>
      <c r="C603" s="1"/>
      <c r="D603" s="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"/>
      <c r="C604" s="1"/>
      <c r="D604" s="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"/>
      <c r="C605" s="1"/>
      <c r="D605" s="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"/>
      <c r="C606" s="1"/>
      <c r="D606" s="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"/>
      <c r="C607" s="1"/>
      <c r="D607" s="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"/>
      <c r="C608" s="1"/>
      <c r="D608" s="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"/>
      <c r="C609" s="1"/>
      <c r="D609" s="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"/>
      <c r="C610" s="1"/>
      <c r="D610" s="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"/>
      <c r="C611" s="1"/>
      <c r="D611" s="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"/>
      <c r="C612" s="1"/>
      <c r="D612" s="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"/>
      <c r="C613" s="1"/>
      <c r="D613" s="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"/>
      <c r="C614" s="1"/>
      <c r="D614" s="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"/>
      <c r="C615" s="1"/>
      <c r="D615" s="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"/>
      <c r="C616" s="1"/>
      <c r="D616" s="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"/>
      <c r="C617" s="1"/>
      <c r="D617" s="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"/>
      <c r="C618" s="1"/>
      <c r="D618" s="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"/>
      <c r="C619" s="1"/>
      <c r="D619" s="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"/>
      <c r="C620" s="1"/>
      <c r="D620" s="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"/>
      <c r="C621" s="1"/>
      <c r="D621" s="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"/>
      <c r="C622" s="1"/>
      <c r="D622" s="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"/>
      <c r="C623" s="1"/>
      <c r="D623" s="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"/>
      <c r="C624" s="1"/>
      <c r="D624" s="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"/>
      <c r="C625" s="1"/>
      <c r="D625" s="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"/>
      <c r="C626" s="1"/>
      <c r="D626" s="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"/>
      <c r="C627" s="1"/>
      <c r="D627" s="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"/>
      <c r="C628" s="1"/>
      <c r="D628" s="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"/>
      <c r="C629" s="1"/>
      <c r="D629" s="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"/>
      <c r="C630" s="1"/>
      <c r="D630" s="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"/>
      <c r="C631" s="1"/>
      <c r="D631" s="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"/>
      <c r="C632" s="1"/>
      <c r="D632" s="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"/>
      <c r="C633" s="1"/>
      <c r="D633" s="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"/>
      <c r="C634" s="1"/>
      <c r="D634" s="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"/>
      <c r="C635" s="1"/>
      <c r="D635" s="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"/>
      <c r="C636" s="1"/>
      <c r="D636" s="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"/>
      <c r="C637" s="1"/>
      <c r="D637" s="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"/>
      <c r="C638" s="1"/>
      <c r="D638" s="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"/>
      <c r="C639" s="1"/>
      <c r="D639" s="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"/>
      <c r="C640" s="1"/>
      <c r="D640" s="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"/>
      <c r="C641" s="1"/>
      <c r="D641" s="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"/>
      <c r="C642" s="1"/>
      <c r="D642" s="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"/>
      <c r="C643" s="1"/>
      <c r="D643" s="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"/>
      <c r="C644" s="1"/>
      <c r="D644" s="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"/>
      <c r="C645" s="1"/>
      <c r="D645" s="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"/>
      <c r="C646" s="1"/>
      <c r="D646" s="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"/>
      <c r="C647" s="1"/>
      <c r="D647" s="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"/>
      <c r="C648" s="1"/>
      <c r="D648" s="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"/>
      <c r="C649" s="1"/>
      <c r="D649" s="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"/>
      <c r="C650" s="1"/>
      <c r="D650" s="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"/>
      <c r="C651" s="1"/>
      <c r="D651" s="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"/>
      <c r="C652" s="1"/>
      <c r="D652" s="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"/>
      <c r="C653" s="1"/>
      <c r="D653" s="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"/>
      <c r="C654" s="1"/>
      <c r="D654" s="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"/>
      <c r="C655" s="1"/>
      <c r="D655" s="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"/>
      <c r="C656" s="1"/>
      <c r="D656" s="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"/>
      <c r="C657" s="1"/>
      <c r="D657" s="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"/>
      <c r="C658" s="1"/>
      <c r="D658" s="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"/>
      <c r="C659" s="1"/>
      <c r="D659" s="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"/>
      <c r="C660" s="1"/>
      <c r="D660" s="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"/>
      <c r="C661" s="1"/>
      <c r="D661" s="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"/>
      <c r="C662" s="1"/>
      <c r="D662" s="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"/>
      <c r="C663" s="1"/>
      <c r="D663" s="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"/>
      <c r="C664" s="1"/>
      <c r="D664" s="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"/>
      <c r="C665" s="1"/>
      <c r="D665" s="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"/>
      <c r="C666" s="1"/>
      <c r="D666" s="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"/>
      <c r="C667" s="1"/>
      <c r="D667" s="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"/>
      <c r="C668" s="1"/>
      <c r="D668" s="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"/>
      <c r="C669" s="1"/>
      <c r="D669" s="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"/>
      <c r="C670" s="1"/>
      <c r="D670" s="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"/>
      <c r="C671" s="1"/>
      <c r="D671" s="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"/>
      <c r="C672" s="1"/>
      <c r="D672" s="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"/>
      <c r="C673" s="1"/>
      <c r="D673" s="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"/>
      <c r="C674" s="1"/>
      <c r="D674" s="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"/>
      <c r="C675" s="1"/>
      <c r="D675" s="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"/>
      <c r="C676" s="1"/>
      <c r="D676" s="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"/>
      <c r="C677" s="1"/>
      <c r="D677" s="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"/>
      <c r="C678" s="1"/>
      <c r="D678" s="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"/>
      <c r="C679" s="1"/>
      <c r="D679" s="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"/>
      <c r="C680" s="1"/>
      <c r="D680" s="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"/>
      <c r="C681" s="1"/>
      <c r="D681" s="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"/>
      <c r="C682" s="1"/>
      <c r="D682" s="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"/>
      <c r="C683" s="1"/>
      <c r="D683" s="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"/>
      <c r="C684" s="1"/>
      <c r="D684" s="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"/>
      <c r="C685" s="1"/>
      <c r="D685" s="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"/>
      <c r="C686" s="1"/>
      <c r="D686" s="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"/>
      <c r="C687" s="1"/>
      <c r="D687" s="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"/>
      <c r="C688" s="1"/>
      <c r="D688" s="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"/>
      <c r="C689" s="1"/>
      <c r="D689" s="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"/>
      <c r="C690" s="1"/>
      <c r="D690" s="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"/>
      <c r="C691" s="1"/>
      <c r="D691" s="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"/>
      <c r="C692" s="1"/>
      <c r="D692" s="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"/>
      <c r="C693" s="1"/>
      <c r="D693" s="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"/>
      <c r="C694" s="1"/>
      <c r="D694" s="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"/>
      <c r="C695" s="1"/>
      <c r="D695" s="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"/>
      <c r="C696" s="1"/>
      <c r="D696" s="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"/>
      <c r="C697" s="1"/>
      <c r="D697" s="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"/>
      <c r="C698" s="1"/>
      <c r="D698" s="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"/>
      <c r="C699" s="1"/>
      <c r="D699" s="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"/>
      <c r="C700" s="1"/>
      <c r="D700" s="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"/>
      <c r="C701" s="1"/>
      <c r="D701" s="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"/>
      <c r="C702" s="1"/>
      <c r="D702" s="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"/>
      <c r="C703" s="1"/>
      <c r="D703" s="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"/>
      <c r="C704" s="1"/>
      <c r="D704" s="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"/>
      <c r="C705" s="1"/>
      <c r="D705" s="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"/>
      <c r="C706" s="1"/>
      <c r="D706" s="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"/>
      <c r="C707" s="1"/>
      <c r="D707" s="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"/>
      <c r="C708" s="1"/>
      <c r="D708" s="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"/>
      <c r="C709" s="1"/>
      <c r="D709" s="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"/>
      <c r="C710" s="1"/>
      <c r="D710" s="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"/>
      <c r="C711" s="1"/>
      <c r="D711" s="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"/>
      <c r="C712" s="1"/>
      <c r="D712" s="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"/>
      <c r="C713" s="1"/>
      <c r="D713" s="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"/>
      <c r="C714" s="1"/>
      <c r="D714" s="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"/>
      <c r="C715" s="1"/>
      <c r="D715" s="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"/>
      <c r="C716" s="1"/>
      <c r="D716" s="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"/>
      <c r="C717" s="1"/>
      <c r="D717" s="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"/>
      <c r="C718" s="1"/>
      <c r="D718" s="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"/>
      <c r="C719" s="1"/>
      <c r="D719" s="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"/>
      <c r="C720" s="1"/>
      <c r="D720" s="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"/>
      <c r="C721" s="1"/>
      <c r="D721" s="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"/>
      <c r="C722" s="1"/>
      <c r="D722" s="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"/>
      <c r="C723" s="1"/>
      <c r="D723" s="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"/>
      <c r="C724" s="1"/>
      <c r="D724" s="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"/>
      <c r="C725" s="1"/>
      <c r="D725" s="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"/>
      <c r="C726" s="1"/>
      <c r="D726" s="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"/>
      <c r="C727" s="1"/>
      <c r="D727" s="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"/>
      <c r="C728" s="1"/>
      <c r="D728" s="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"/>
      <c r="C729" s="1"/>
      <c r="D729" s="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"/>
      <c r="C730" s="1"/>
      <c r="D730" s="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"/>
      <c r="C731" s="1"/>
      <c r="D731" s="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"/>
      <c r="C732" s="1"/>
      <c r="D732" s="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"/>
      <c r="C733" s="1"/>
      <c r="D733" s="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"/>
      <c r="C734" s="1"/>
      <c r="D734" s="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"/>
      <c r="C735" s="1"/>
      <c r="D735" s="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"/>
      <c r="C736" s="1"/>
      <c r="D736" s="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"/>
      <c r="C737" s="1"/>
      <c r="D737" s="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"/>
      <c r="C738" s="1"/>
      <c r="D738" s="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"/>
      <c r="C739" s="1"/>
      <c r="D739" s="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"/>
      <c r="C740" s="1"/>
      <c r="D740" s="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"/>
      <c r="C741" s="1"/>
      <c r="D741" s="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"/>
      <c r="C742" s="1"/>
      <c r="D742" s="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"/>
      <c r="C743" s="1"/>
      <c r="D743" s="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"/>
      <c r="C744" s="1"/>
      <c r="D744" s="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"/>
      <c r="C745" s="1"/>
      <c r="D745" s="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"/>
      <c r="C746" s="1"/>
      <c r="D746" s="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"/>
      <c r="C747" s="1"/>
      <c r="D747" s="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"/>
      <c r="C748" s="1"/>
      <c r="D748" s="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"/>
      <c r="C749" s="1"/>
      <c r="D749" s="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"/>
      <c r="C750" s="1"/>
      <c r="D750" s="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"/>
      <c r="C751" s="1"/>
      <c r="D751" s="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"/>
      <c r="C752" s="1"/>
      <c r="D752" s="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"/>
      <c r="C753" s="1"/>
      <c r="D753" s="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"/>
      <c r="C754" s="1"/>
      <c r="D754" s="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"/>
      <c r="C755" s="1"/>
      <c r="D755" s="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"/>
      <c r="C756" s="1"/>
      <c r="D756" s="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"/>
      <c r="C757" s="1"/>
      <c r="D757" s="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"/>
      <c r="C758" s="1"/>
      <c r="D758" s="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"/>
      <c r="C759" s="1"/>
      <c r="D759" s="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"/>
      <c r="C760" s="1"/>
      <c r="D760" s="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"/>
      <c r="C761" s="1"/>
      <c r="D761" s="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"/>
      <c r="C762" s="1"/>
      <c r="D762" s="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"/>
      <c r="C763" s="1"/>
      <c r="D763" s="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"/>
      <c r="C764" s="1"/>
      <c r="D764" s="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"/>
      <c r="C765" s="1"/>
      <c r="D765" s="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"/>
      <c r="C766" s="1"/>
      <c r="D766" s="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"/>
      <c r="C767" s="1"/>
      <c r="D767" s="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"/>
      <c r="C768" s="1"/>
      <c r="D768" s="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"/>
      <c r="C769" s="1"/>
      <c r="D769" s="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"/>
      <c r="C770" s="1"/>
      <c r="D770" s="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"/>
      <c r="C771" s="1"/>
      <c r="D771" s="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"/>
      <c r="C772" s="1"/>
      <c r="D772" s="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"/>
      <c r="C773" s="1"/>
      <c r="D773" s="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"/>
      <c r="C774" s="1"/>
      <c r="D774" s="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"/>
      <c r="C775" s="1"/>
      <c r="D775" s="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"/>
      <c r="C776" s="1"/>
      <c r="D776" s="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"/>
      <c r="C777" s="1"/>
      <c r="D777" s="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"/>
      <c r="C778" s="1"/>
      <c r="D778" s="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"/>
      <c r="C779" s="1"/>
      <c r="D779" s="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"/>
      <c r="C780" s="1"/>
      <c r="D780" s="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"/>
      <c r="C781" s="1"/>
      <c r="D781" s="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"/>
      <c r="C782" s="1"/>
      <c r="D782" s="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"/>
      <c r="C783" s="1"/>
      <c r="D783" s="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"/>
      <c r="C784" s="1"/>
      <c r="D784" s="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"/>
      <c r="C785" s="1"/>
      <c r="D785" s="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"/>
      <c r="C786" s="1"/>
      <c r="D786" s="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"/>
      <c r="C787" s="1"/>
      <c r="D787" s="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"/>
      <c r="C788" s="1"/>
      <c r="D788" s="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"/>
      <c r="C789" s="1"/>
      <c r="D789" s="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"/>
      <c r="C790" s="1"/>
      <c r="D790" s="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"/>
      <c r="C791" s="1"/>
      <c r="D791" s="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"/>
      <c r="C792" s="1"/>
      <c r="D792" s="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"/>
      <c r="C793" s="1"/>
      <c r="D793" s="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"/>
      <c r="C794" s="1"/>
      <c r="D794" s="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"/>
      <c r="C795" s="1"/>
      <c r="D795" s="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"/>
      <c r="C796" s="1"/>
      <c r="D796" s="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"/>
      <c r="C797" s="1"/>
      <c r="D797" s="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"/>
      <c r="C798" s="1"/>
      <c r="D798" s="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"/>
      <c r="C799" s="1"/>
      <c r="D799" s="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"/>
      <c r="C800" s="1"/>
      <c r="D800" s="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"/>
      <c r="C801" s="1"/>
      <c r="D801" s="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"/>
      <c r="C802" s="1"/>
      <c r="D802" s="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"/>
      <c r="C803" s="1"/>
      <c r="D803" s="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"/>
      <c r="C804" s="1"/>
      <c r="D804" s="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"/>
      <c r="C805" s="1"/>
      <c r="D805" s="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"/>
      <c r="C806" s="1"/>
      <c r="D806" s="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"/>
      <c r="C807" s="1"/>
      <c r="D807" s="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"/>
      <c r="C808" s="1"/>
      <c r="D808" s="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"/>
      <c r="C809" s="1"/>
      <c r="D809" s="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"/>
      <c r="C810" s="1"/>
      <c r="D810" s="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"/>
      <c r="C811" s="1"/>
      <c r="D811" s="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"/>
      <c r="C812" s="1"/>
      <c r="D812" s="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"/>
      <c r="C813" s="1"/>
      <c r="D813" s="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"/>
      <c r="C814" s="1"/>
      <c r="D814" s="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"/>
      <c r="C815" s="1"/>
      <c r="D815" s="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"/>
      <c r="C816" s="1"/>
      <c r="D816" s="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"/>
      <c r="C817" s="1"/>
      <c r="D817" s="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"/>
      <c r="C818" s="1"/>
      <c r="D818" s="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"/>
      <c r="C819" s="1"/>
      <c r="D819" s="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"/>
      <c r="C820" s="1"/>
      <c r="D820" s="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"/>
      <c r="C821" s="1"/>
      <c r="D821" s="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"/>
      <c r="C822" s="1"/>
      <c r="D822" s="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"/>
      <c r="C823" s="1"/>
      <c r="D823" s="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"/>
      <c r="C824" s="1"/>
      <c r="D824" s="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"/>
      <c r="C825" s="1"/>
      <c r="D825" s="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"/>
      <c r="C826" s="1"/>
      <c r="D826" s="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"/>
      <c r="C827" s="1"/>
      <c r="D827" s="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"/>
      <c r="C828" s="1"/>
      <c r="D828" s="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"/>
      <c r="C829" s="1"/>
      <c r="D829" s="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"/>
      <c r="C830" s="1"/>
      <c r="D830" s="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"/>
      <c r="C831" s="1"/>
      <c r="D831" s="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"/>
      <c r="C832" s="1"/>
      <c r="D832" s="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"/>
      <c r="C833" s="1"/>
      <c r="D833" s="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"/>
      <c r="C834" s="1"/>
      <c r="D834" s="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"/>
      <c r="C835" s="1"/>
      <c r="D835" s="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"/>
      <c r="C836" s="1"/>
      <c r="D836" s="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"/>
      <c r="C837" s="1"/>
      <c r="D837" s="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"/>
      <c r="C838" s="1"/>
      <c r="D838" s="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"/>
      <c r="C839" s="1"/>
      <c r="D839" s="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"/>
      <c r="C840" s="1"/>
      <c r="D840" s="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"/>
      <c r="C841" s="1"/>
      <c r="D841" s="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"/>
      <c r="C842" s="1"/>
      <c r="D842" s="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"/>
      <c r="C843" s="1"/>
      <c r="D843" s="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"/>
      <c r="C844" s="1"/>
      <c r="D844" s="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"/>
      <c r="C845" s="1"/>
      <c r="D845" s="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"/>
      <c r="C846" s="1"/>
      <c r="D846" s="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"/>
      <c r="C847" s="1"/>
      <c r="D847" s="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"/>
      <c r="C848" s="1"/>
      <c r="D848" s="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"/>
      <c r="C849" s="1"/>
      <c r="D849" s="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"/>
      <c r="C851" s="1"/>
      <c r="D851" s="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"/>
      <c r="C852" s="1"/>
      <c r="D852" s="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"/>
      <c r="C853" s="1"/>
      <c r="D853" s="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"/>
      <c r="C854" s="1"/>
      <c r="D854" s="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"/>
      <c r="C855" s="1"/>
      <c r="D855" s="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"/>
      <c r="C856" s="1"/>
      <c r="D856" s="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"/>
      <c r="C857" s="1"/>
      <c r="D857" s="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"/>
      <c r="C858" s="1"/>
      <c r="D858" s="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"/>
      <c r="C859" s="1"/>
      <c r="D859" s="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"/>
      <c r="C860" s="1"/>
      <c r="D860" s="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"/>
      <c r="C861" s="1"/>
      <c r="D861" s="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"/>
      <c r="C862" s="1"/>
      <c r="D862" s="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"/>
      <c r="C863" s="1"/>
      <c r="D863" s="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"/>
      <c r="C864" s="1"/>
      <c r="D864" s="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"/>
      <c r="C865" s="1"/>
      <c r="D865" s="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"/>
      <c r="C866" s="1"/>
      <c r="D866" s="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"/>
      <c r="C867" s="1"/>
      <c r="D867" s="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"/>
      <c r="C868" s="1"/>
      <c r="D868" s="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"/>
      <c r="C869" s="1"/>
      <c r="D869" s="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"/>
      <c r="C870" s="1"/>
      <c r="D870" s="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"/>
      <c r="C871" s="1"/>
      <c r="D871" s="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"/>
      <c r="C872" s="1"/>
      <c r="D872" s="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"/>
      <c r="C873" s="1"/>
      <c r="D873" s="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"/>
      <c r="C874" s="1"/>
      <c r="D874" s="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"/>
      <c r="C875" s="1"/>
      <c r="D875" s="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"/>
      <c r="C876" s="1"/>
      <c r="D876" s="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"/>
      <c r="C877" s="1"/>
      <c r="D877" s="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"/>
      <c r="C878" s="1"/>
      <c r="D878" s="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"/>
      <c r="C879" s="1"/>
      <c r="D879" s="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"/>
      <c r="C880" s="1"/>
      <c r="D880" s="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"/>
      <c r="C881" s="1"/>
      <c r="D881" s="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"/>
      <c r="C882" s="1"/>
      <c r="D882" s="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"/>
      <c r="C883" s="1"/>
      <c r="D883" s="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"/>
      <c r="C884" s="1"/>
      <c r="D884" s="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"/>
      <c r="C885" s="1"/>
      <c r="D885" s="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"/>
      <c r="C886" s="1"/>
      <c r="D886" s="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"/>
      <c r="C887" s="1"/>
      <c r="D887" s="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"/>
      <c r="C889" s="1"/>
      <c r="D889" s="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"/>
      <c r="C890" s="1"/>
      <c r="D890" s="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"/>
      <c r="C891" s="1"/>
      <c r="D891" s="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"/>
      <c r="C893" s="1"/>
      <c r="D893" s="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"/>
      <c r="C894" s="1"/>
      <c r="D894" s="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"/>
      <c r="C895" s="1"/>
      <c r="D895" s="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"/>
      <c r="C896" s="1"/>
      <c r="D896" s="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"/>
      <c r="C897" s="1"/>
      <c r="D897" s="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"/>
      <c r="C898" s="1"/>
      <c r="D898" s="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"/>
      <c r="C899" s="1"/>
      <c r="D899" s="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"/>
      <c r="C900" s="1"/>
      <c r="D900" s="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"/>
      <c r="C901" s="1"/>
      <c r="D901" s="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"/>
      <c r="C902" s="1"/>
      <c r="D902" s="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"/>
      <c r="C903" s="1"/>
      <c r="D903" s="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"/>
      <c r="C904" s="1"/>
      <c r="D904" s="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"/>
      <c r="C905" s="1"/>
      <c r="D905" s="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"/>
      <c r="C906" s="1"/>
      <c r="D906" s="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"/>
      <c r="C907" s="1"/>
      <c r="D907" s="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"/>
      <c r="C908" s="1"/>
      <c r="D908" s="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"/>
      <c r="C909" s="1"/>
      <c r="D909" s="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"/>
      <c r="C910" s="1"/>
      <c r="D910" s="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"/>
      <c r="C911" s="1"/>
      <c r="D911" s="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"/>
      <c r="C912" s="1"/>
      <c r="D912" s="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"/>
      <c r="C913" s="1"/>
      <c r="D913" s="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"/>
      <c r="C914" s="1"/>
      <c r="D914" s="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"/>
      <c r="C915" s="1"/>
      <c r="D915" s="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"/>
      <c r="C916" s="1"/>
      <c r="D916" s="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"/>
      <c r="C917" s="1"/>
      <c r="D917" s="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"/>
      <c r="C918" s="1"/>
      <c r="D918" s="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"/>
      <c r="C919" s="1"/>
      <c r="D919" s="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"/>
      <c r="C920" s="1"/>
      <c r="D920" s="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"/>
      <c r="C921" s="1"/>
      <c r="D921" s="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"/>
      <c r="C922" s="1"/>
      <c r="D922" s="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"/>
      <c r="C923" s="1"/>
      <c r="D923" s="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"/>
      <c r="C924" s="1"/>
      <c r="D924" s="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"/>
      <c r="C925" s="1"/>
      <c r="D925" s="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"/>
      <c r="C926" s="1"/>
      <c r="D926" s="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"/>
      <c r="C927" s="1"/>
      <c r="D927" s="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"/>
      <c r="C928" s="1"/>
      <c r="D928" s="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"/>
      <c r="C929" s="1"/>
      <c r="D929" s="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"/>
      <c r="C930" s="1"/>
      <c r="D930" s="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"/>
      <c r="C931" s="1"/>
      <c r="D931" s="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"/>
      <c r="C932" s="1"/>
      <c r="D932" s="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"/>
      <c r="C933" s="1"/>
      <c r="D933" s="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"/>
      <c r="C934" s="1"/>
      <c r="D934" s="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"/>
      <c r="C935" s="1"/>
      <c r="D935" s="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"/>
      <c r="C936" s="1"/>
      <c r="D936" s="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"/>
      <c r="C937" s="1"/>
      <c r="D937" s="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"/>
      <c r="C938" s="1"/>
      <c r="D938" s="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"/>
      <c r="C939" s="1"/>
      <c r="D939" s="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"/>
      <c r="C940" s="1"/>
      <c r="D940" s="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"/>
      <c r="C941" s="1"/>
      <c r="D941" s="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"/>
      <c r="C942" s="1"/>
      <c r="D942" s="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"/>
      <c r="C943" s="1"/>
      <c r="D943" s="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"/>
      <c r="C944" s="1"/>
      <c r="D944" s="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"/>
      <c r="C945" s="1"/>
      <c r="D945" s="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"/>
      <c r="C946" s="1"/>
      <c r="D946" s="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"/>
      <c r="C947" s="1"/>
      <c r="D947" s="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"/>
      <c r="C948" s="1"/>
      <c r="D948" s="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"/>
      <c r="C949" s="1"/>
      <c r="D949" s="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"/>
      <c r="C950" s="1"/>
      <c r="D950" s="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"/>
      <c r="C951" s="1"/>
      <c r="D951" s="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"/>
      <c r="C952" s="1"/>
      <c r="D952" s="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"/>
      <c r="C953" s="1"/>
      <c r="D953" s="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"/>
      <c r="C954" s="1"/>
      <c r="D954" s="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"/>
      <c r="C955" s="1"/>
      <c r="D955" s="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"/>
      <c r="C957" s="1"/>
      <c r="D957" s="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"/>
      <c r="C958" s="1"/>
      <c r="D958" s="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"/>
      <c r="C959" s="1"/>
      <c r="D959" s="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"/>
      <c r="C960" s="1"/>
      <c r="D960" s="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"/>
      <c r="C961" s="1"/>
      <c r="D961" s="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"/>
      <c r="C962" s="1"/>
      <c r="D962" s="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"/>
      <c r="C963" s="1"/>
      <c r="D963" s="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"/>
      <c r="C964" s="1"/>
      <c r="D964" s="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"/>
      <c r="C965" s="1"/>
      <c r="D965" s="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"/>
      <c r="C966" s="1"/>
      <c r="D966" s="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"/>
      <c r="C967" s="1"/>
      <c r="D967" s="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"/>
      <c r="C968" s="1"/>
      <c r="D968" s="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"/>
      <c r="C969" s="1"/>
      <c r="D969" s="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"/>
      <c r="C970" s="1"/>
      <c r="D970" s="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"/>
      <c r="C971" s="1"/>
      <c r="D971" s="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"/>
      <c r="C972" s="1"/>
      <c r="D972" s="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"/>
      <c r="C973" s="1"/>
      <c r="D973" s="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"/>
      <c r="C974" s="1"/>
      <c r="D974" s="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"/>
      <c r="C975" s="1"/>
      <c r="D975" s="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"/>
      <c r="C976" s="1"/>
      <c r="D976" s="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"/>
      <c r="C977" s="1"/>
      <c r="D977" s="5"/>
      <c r="E977" s="1"/>
      <c r="F977" s="1"/>
      <c r="G977" s="1"/>
      <c r="H977" s="1"/>
      <c r="I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"/>
      <c r="C978" s="1"/>
      <c r="D978" s="5"/>
      <c r="E978" s="1"/>
      <c r="F978" s="1"/>
      <c r="G978" s="1"/>
      <c r="H978" s="1"/>
      <c r="I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"/>
      <c r="C979" s="1"/>
      <c r="D979" s="5"/>
      <c r="E979" s="1"/>
      <c r="F979" s="1"/>
      <c r="G979" s="1"/>
      <c r="H979" s="1"/>
      <c r="I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"/>
      <c r="C980" s="1"/>
      <c r="D980" s="5"/>
      <c r="E980" s="1"/>
      <c r="F980" s="1"/>
      <c r="G980" s="1"/>
      <c r="H980" s="1"/>
      <c r="I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"/>
      <c r="C981" s="1"/>
      <c r="D981" s="5"/>
      <c r="E981" s="1"/>
      <c r="F981" s="1"/>
      <c r="G981" s="1"/>
      <c r="H981" s="1"/>
      <c r="I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"/>
      <c r="C982" s="1"/>
      <c r="D982" s="5"/>
      <c r="E982" s="1"/>
      <c r="F982" s="1"/>
      <c r="G982" s="1"/>
      <c r="H982" s="1"/>
      <c r="I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"/>
      <c r="C983" s="1"/>
      <c r="D983" s="5"/>
      <c r="E983" s="1"/>
      <c r="F983" s="1"/>
      <c r="G983" s="1"/>
      <c r="H983" s="1"/>
      <c r="I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"/>
      <c r="C984" s="1"/>
      <c r="D984" s="5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"/>
      <c r="C985" s="1"/>
      <c r="D985" s="5"/>
      <c r="M985" s="1"/>
      <c r="N985" s="1"/>
      <c r="O985" s="1"/>
      <c r="P985" s="1"/>
      <c r="Q985" s="1"/>
      <c r="R985" s="1"/>
      <c r="S985" s="1"/>
      <c r="T985" s="1"/>
    </row>
    <row r="986">
      <c r="A986" s="1"/>
      <c r="D986" s="5"/>
      <c r="M986" s="1"/>
      <c r="N986" s="1"/>
      <c r="O986" s="1"/>
      <c r="P986" s="1"/>
      <c r="Q986" s="1"/>
      <c r="R986" s="1"/>
      <c r="S986" s="1"/>
      <c r="T986" s="1"/>
    </row>
    <row r="987">
      <c r="A987" s="1"/>
      <c r="D987" s="5"/>
      <c r="M987" s="1"/>
      <c r="N987" s="1"/>
      <c r="O987" s="1"/>
      <c r="P987" s="1"/>
      <c r="Q987" s="1"/>
      <c r="R987" s="1"/>
      <c r="S987" s="1"/>
      <c r="T987" s="1"/>
    </row>
    <row r="988">
      <c r="A988" s="1"/>
      <c r="D988" s="5"/>
      <c r="M988" s="1"/>
      <c r="N988" s="1"/>
      <c r="O988" s="1"/>
      <c r="P988" s="1"/>
      <c r="Q988" s="1"/>
      <c r="R988" s="1"/>
      <c r="S988" s="1"/>
      <c r="T988" s="1"/>
    </row>
    <row r="989">
      <c r="M989" s="1"/>
      <c r="N989" s="1"/>
      <c r="O989" s="1"/>
      <c r="P989" s="1"/>
      <c r="Q989" s="1"/>
      <c r="R989" s="1"/>
      <c r="S989" s="1"/>
      <c r="T989" s="1"/>
    </row>
    <row r="990">
      <c r="M990" s="1"/>
      <c r="N990" s="1"/>
      <c r="O990" s="1"/>
      <c r="P990" s="1"/>
      <c r="Q990" s="1"/>
      <c r="R990" s="1"/>
      <c r="S990" s="1"/>
      <c r="T99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8" t="s">
        <v>2</v>
      </c>
      <c r="C1" s="9"/>
      <c r="D1" s="13"/>
      <c r="E1" s="15"/>
      <c r="F1" s="17" t="s">
        <v>14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1" t="s">
        <v>23</v>
      </c>
      <c r="B2" s="23" t="s">
        <v>30</v>
      </c>
      <c r="C2" s="25"/>
      <c r="D2" s="13"/>
      <c r="E2" s="15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8" t="s">
        <v>48</v>
      </c>
      <c r="B3" s="23" t="s">
        <v>31</v>
      </c>
      <c r="C3" s="25"/>
      <c r="D3" s="13"/>
      <c r="E3" s="15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8" t="s">
        <v>59</v>
      </c>
      <c r="B4" s="23" t="s">
        <v>37</v>
      </c>
      <c r="C4" s="25"/>
      <c r="D4" s="13"/>
      <c r="E4" s="13"/>
      <c r="F4" s="35" t="s">
        <v>2</v>
      </c>
      <c r="G4" s="35" t="s">
        <v>69</v>
      </c>
      <c r="H4" s="35" t="s">
        <v>70</v>
      </c>
      <c r="I4" s="35" t="s">
        <v>71</v>
      </c>
      <c r="J4" s="35" t="s">
        <v>72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8" t="s">
        <v>81</v>
      </c>
      <c r="B5" s="23" t="s">
        <v>34</v>
      </c>
      <c r="C5" s="25"/>
      <c r="D5" s="13"/>
      <c r="E5" s="39">
        <v>1.0</v>
      </c>
      <c r="F5" s="42" t="s">
        <v>30</v>
      </c>
      <c r="G5" s="42" t="s">
        <v>92</v>
      </c>
      <c r="H5" s="42" t="s">
        <v>93</v>
      </c>
      <c r="I5" s="42" t="s">
        <v>95</v>
      </c>
      <c r="J5" s="42" t="s">
        <v>96</v>
      </c>
      <c r="K5" s="45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28" t="s">
        <v>105</v>
      </c>
      <c r="B6" s="23" t="s">
        <v>42</v>
      </c>
      <c r="C6" s="25"/>
      <c r="D6" s="13"/>
      <c r="E6" s="39">
        <v>2.0</v>
      </c>
      <c r="F6" s="42" t="s">
        <v>31</v>
      </c>
      <c r="G6" s="42" t="s">
        <v>112</v>
      </c>
      <c r="H6" s="42" t="s">
        <v>22</v>
      </c>
      <c r="I6" s="42" t="s">
        <v>94</v>
      </c>
      <c r="J6" s="42" t="s">
        <v>115</v>
      </c>
      <c r="K6" s="45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48" t="s">
        <v>124</v>
      </c>
      <c r="B7" s="51" t="s">
        <v>46</v>
      </c>
      <c r="C7" s="53"/>
      <c r="D7" s="13"/>
      <c r="E7" s="39">
        <v>3.0</v>
      </c>
      <c r="F7" s="55" t="s">
        <v>37</v>
      </c>
      <c r="G7" s="56" t="s">
        <v>139</v>
      </c>
      <c r="H7" s="57" t="s">
        <v>144</v>
      </c>
      <c r="I7" s="57" t="s">
        <v>146</v>
      </c>
      <c r="J7" s="57" t="s">
        <v>13</v>
      </c>
      <c r="K7" s="4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58"/>
      <c r="B8" s="58"/>
      <c r="C8" s="58"/>
      <c r="D8" s="13"/>
      <c r="E8" s="39">
        <v>4.0</v>
      </c>
      <c r="F8" s="57" t="s">
        <v>34</v>
      </c>
      <c r="G8" s="57" t="s">
        <v>143</v>
      </c>
      <c r="H8" s="42" t="s">
        <v>122</v>
      </c>
      <c r="I8" s="42" t="s">
        <v>155</v>
      </c>
      <c r="J8" s="42" t="s">
        <v>43</v>
      </c>
      <c r="K8" s="45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61" t="s">
        <v>0</v>
      </c>
      <c r="B9" s="62" t="s">
        <v>69</v>
      </c>
      <c r="C9" s="9"/>
      <c r="D9" s="13"/>
      <c r="E9" s="39">
        <v>5.0</v>
      </c>
      <c r="F9" s="57" t="s">
        <v>42</v>
      </c>
      <c r="G9" s="57" t="s">
        <v>82</v>
      </c>
      <c r="H9" s="42" t="s">
        <v>177</v>
      </c>
      <c r="I9" s="42" t="s">
        <v>179</v>
      </c>
      <c r="J9" s="56" t="s">
        <v>181</v>
      </c>
      <c r="K9" s="45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65" t="s">
        <v>182</v>
      </c>
      <c r="B10" s="69" t="s">
        <v>92</v>
      </c>
      <c r="C10" s="25"/>
      <c r="D10" s="13"/>
      <c r="E10" s="39">
        <v>6.0</v>
      </c>
      <c r="F10" s="57" t="s">
        <v>46</v>
      </c>
      <c r="G10" s="57" t="s">
        <v>104</v>
      </c>
      <c r="H10" s="56" t="s">
        <v>185</v>
      </c>
      <c r="I10" s="71" t="s">
        <v>145</v>
      </c>
      <c r="J10" s="56" t="s">
        <v>186</v>
      </c>
      <c r="K10" s="45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73" t="s">
        <v>187</v>
      </c>
      <c r="B11" s="69" t="s">
        <v>112</v>
      </c>
      <c r="C11" s="25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73" t="s">
        <v>188</v>
      </c>
      <c r="B12" s="74" t="s">
        <v>139</v>
      </c>
      <c r="C12" s="25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73" t="s">
        <v>189</v>
      </c>
      <c r="B13" s="69" t="s">
        <v>143</v>
      </c>
      <c r="C13" s="25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73" t="s">
        <v>190</v>
      </c>
      <c r="B14" s="69" t="s">
        <v>82</v>
      </c>
      <c r="C14" s="25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75" t="s">
        <v>191</v>
      </c>
      <c r="B15" s="76" t="s">
        <v>104</v>
      </c>
      <c r="C15" s="5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58"/>
      <c r="B16" s="58"/>
      <c r="C16" s="58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77" t="s">
        <v>0</v>
      </c>
      <c r="B17" s="78" t="s">
        <v>70</v>
      </c>
      <c r="C17" s="9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79" t="s">
        <v>192</v>
      </c>
      <c r="B18" s="80" t="s">
        <v>93</v>
      </c>
      <c r="C18" s="25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81" t="s">
        <v>193</v>
      </c>
      <c r="B19" s="80" t="s">
        <v>22</v>
      </c>
      <c r="C19" s="25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81" t="s">
        <v>194</v>
      </c>
      <c r="B20" s="80" t="s">
        <v>144</v>
      </c>
      <c r="C20" s="25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81" t="s">
        <v>195</v>
      </c>
      <c r="B21" s="80" t="s">
        <v>122</v>
      </c>
      <c r="C21" s="25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81" t="s">
        <v>196</v>
      </c>
      <c r="B22" s="80" t="s">
        <v>177</v>
      </c>
      <c r="C22" s="25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87" t="s">
        <v>197</v>
      </c>
      <c r="B23" s="90" t="s">
        <v>185</v>
      </c>
      <c r="C23" s="5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58"/>
      <c r="B24" s="58"/>
      <c r="C24" s="5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91" t="s">
        <v>0</v>
      </c>
      <c r="B25" s="93" t="s">
        <v>71</v>
      </c>
      <c r="C25" s="9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5" t="s">
        <v>198</v>
      </c>
      <c r="B26" s="97" t="s">
        <v>95</v>
      </c>
      <c r="C26" s="25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8" t="s">
        <v>199</v>
      </c>
      <c r="B27" s="97" t="s">
        <v>94</v>
      </c>
      <c r="C27" s="25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8" t="s">
        <v>200</v>
      </c>
      <c r="B28" s="97" t="s">
        <v>146</v>
      </c>
      <c r="C28" s="25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98" t="s">
        <v>201</v>
      </c>
      <c r="B29" s="97" t="s">
        <v>155</v>
      </c>
      <c r="C29" s="25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8" t="s">
        <v>202</v>
      </c>
      <c r="B30" s="97" t="s">
        <v>179</v>
      </c>
      <c r="C30" s="25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99" t="s">
        <v>145</v>
      </c>
      <c r="B31" s="100" t="s">
        <v>145</v>
      </c>
      <c r="C31" s="5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58"/>
      <c r="B32" s="58"/>
      <c r="C32" s="58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01" t="s">
        <v>0</v>
      </c>
      <c r="B33" s="102" t="s">
        <v>72</v>
      </c>
      <c r="C33" s="9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03" t="s">
        <v>203</v>
      </c>
      <c r="B34" s="104" t="s">
        <v>96</v>
      </c>
      <c r="C34" s="25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05" t="s">
        <v>204</v>
      </c>
      <c r="B35" s="104" t="s">
        <v>115</v>
      </c>
      <c r="C35" s="25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05" t="s">
        <v>205</v>
      </c>
      <c r="B36" s="104" t="s">
        <v>13</v>
      </c>
      <c r="C36" s="25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05" t="s">
        <v>206</v>
      </c>
      <c r="B37" s="104" t="s">
        <v>43</v>
      </c>
      <c r="C37" s="25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05" t="s">
        <v>207</v>
      </c>
      <c r="B38" s="107" t="s">
        <v>181</v>
      </c>
      <c r="C38" s="25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08" t="s">
        <v>208</v>
      </c>
      <c r="B39" s="109" t="s">
        <v>186</v>
      </c>
      <c r="C39" s="5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11" t="s">
        <v>209</v>
      </c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36">
    <mergeCell ref="B1:C1"/>
    <mergeCell ref="F1:K3"/>
    <mergeCell ref="B2:C2"/>
    <mergeCell ref="B3:C3"/>
    <mergeCell ref="B4:C4"/>
    <mergeCell ref="B5:C5"/>
    <mergeCell ref="B6:C6"/>
    <mergeCell ref="B7:C7"/>
    <mergeCell ref="B9:C9"/>
    <mergeCell ref="B10:C10"/>
    <mergeCell ref="B11:C11"/>
    <mergeCell ref="B12:C12"/>
    <mergeCell ref="B13:C13"/>
    <mergeCell ref="B14:C14"/>
    <mergeCell ref="B15:C15"/>
    <mergeCell ref="B17:C17"/>
    <mergeCell ref="B18:C18"/>
    <mergeCell ref="B19:C19"/>
    <mergeCell ref="B20:C20"/>
    <mergeCell ref="B21:C21"/>
    <mergeCell ref="B22:C22"/>
    <mergeCell ref="B31:C31"/>
    <mergeCell ref="B33:C33"/>
    <mergeCell ref="B34:C34"/>
    <mergeCell ref="B35:C35"/>
    <mergeCell ref="B36:C36"/>
    <mergeCell ref="B37:C37"/>
    <mergeCell ref="B38:C38"/>
    <mergeCell ref="B39:C39"/>
    <mergeCell ref="B23:C23"/>
    <mergeCell ref="B25:C25"/>
    <mergeCell ref="B26:C26"/>
    <mergeCell ref="B27:C27"/>
    <mergeCell ref="B28:C28"/>
    <mergeCell ref="B29:C29"/>
    <mergeCell ref="B30:C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7" width="13.88"/>
    <col customWidth="1" min="9" max="9" width="16.75"/>
    <col customWidth="1" min="10" max="10" width="18.13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6" t="s">
        <v>1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3"/>
      <c r="I2" s="6" t="s">
        <v>8</v>
      </c>
      <c r="J2" s="6" t="s">
        <v>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6" t="s">
        <v>10</v>
      </c>
      <c r="C3" s="18" t="s">
        <v>15</v>
      </c>
      <c r="D3" s="18" t="s">
        <v>16</v>
      </c>
      <c r="E3" s="18" t="s">
        <v>17</v>
      </c>
      <c r="F3" s="18" t="s">
        <v>18</v>
      </c>
      <c r="G3" s="18" t="s">
        <v>19</v>
      </c>
      <c r="H3" s="3"/>
      <c r="I3" s="20" t="s">
        <v>20</v>
      </c>
      <c r="J3" s="20" t="s">
        <v>21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6" t="s">
        <v>24</v>
      </c>
      <c r="C4" s="18" t="s">
        <v>25</v>
      </c>
      <c r="D4" s="18" t="s">
        <v>26</v>
      </c>
      <c r="E4" s="18" t="s">
        <v>27</v>
      </c>
      <c r="F4" s="18" t="s">
        <v>28</v>
      </c>
      <c r="G4" s="18" t="s">
        <v>29</v>
      </c>
      <c r="H4" s="3"/>
      <c r="I4" s="20" t="s">
        <v>32</v>
      </c>
      <c r="J4" s="20" t="s">
        <v>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6" t="s">
        <v>35</v>
      </c>
      <c r="C5" s="18" t="s">
        <v>36</v>
      </c>
      <c r="D5" s="18" t="s">
        <v>38</v>
      </c>
      <c r="E5" s="18" t="s">
        <v>39</v>
      </c>
      <c r="F5" s="18" t="s">
        <v>40</v>
      </c>
      <c r="G5" s="18" t="s">
        <v>41</v>
      </c>
      <c r="H5" s="3"/>
      <c r="I5" s="20" t="s">
        <v>44</v>
      </c>
      <c r="J5" s="20" t="s">
        <v>45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1" t="s">
        <v>50</v>
      </c>
      <c r="C6" s="33" t="s">
        <v>60</v>
      </c>
      <c r="D6" s="33" t="s">
        <v>62</v>
      </c>
      <c r="E6" s="33" t="s">
        <v>63</v>
      </c>
      <c r="F6" s="33" t="s">
        <v>64</v>
      </c>
      <c r="G6" s="33" t="s">
        <v>65</v>
      </c>
      <c r="H6" s="3"/>
      <c r="I6" s="20" t="s">
        <v>66</v>
      </c>
      <c r="J6" s="20" t="s">
        <v>67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1" t="s">
        <v>73</v>
      </c>
      <c r="C7" s="33" t="s">
        <v>74</v>
      </c>
      <c r="D7" s="33" t="s">
        <v>75</v>
      </c>
      <c r="E7" s="33" t="s">
        <v>76</v>
      </c>
      <c r="F7" s="33" t="s">
        <v>77</v>
      </c>
      <c r="G7" s="33" t="s">
        <v>78</v>
      </c>
      <c r="H7" s="3"/>
      <c r="I7" s="20" t="s">
        <v>79</v>
      </c>
      <c r="J7" s="20" t="s">
        <v>80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1" t="s">
        <v>83</v>
      </c>
      <c r="C8" s="33" t="s">
        <v>84</v>
      </c>
      <c r="D8" s="33" t="s">
        <v>85</v>
      </c>
      <c r="E8" s="33" t="s">
        <v>86</v>
      </c>
      <c r="F8" s="33" t="s">
        <v>87</v>
      </c>
      <c r="G8" s="33" t="s">
        <v>88</v>
      </c>
      <c r="H8" s="3"/>
      <c r="I8" s="20" t="s">
        <v>89</v>
      </c>
      <c r="J8" s="20" t="s">
        <v>90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3" t="s">
        <v>91</v>
      </c>
      <c r="C9" s="44" t="s">
        <v>97</v>
      </c>
      <c r="D9" s="44" t="s">
        <v>98</v>
      </c>
      <c r="E9" s="44" t="s">
        <v>99</v>
      </c>
      <c r="F9" s="44" t="s">
        <v>100</v>
      </c>
      <c r="G9" s="44" t="s">
        <v>101</v>
      </c>
      <c r="H9" s="3"/>
      <c r="I9" s="20" t="s">
        <v>102</v>
      </c>
      <c r="J9" s="20" t="s">
        <v>103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3" t="s">
        <v>106</v>
      </c>
      <c r="C10" s="44" t="s">
        <v>107</v>
      </c>
      <c r="D10" s="44" t="s">
        <v>108</v>
      </c>
      <c r="E10" s="44" t="s">
        <v>109</v>
      </c>
      <c r="F10" s="44" t="s">
        <v>110</v>
      </c>
      <c r="G10" s="44" t="s">
        <v>111</v>
      </c>
      <c r="H10" s="3"/>
      <c r="I10" s="20" t="s">
        <v>113</v>
      </c>
      <c r="J10" s="20" t="s">
        <v>114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3" t="s">
        <v>116</v>
      </c>
      <c r="C11" s="44" t="s">
        <v>117</v>
      </c>
      <c r="D11" s="44" t="s">
        <v>118</v>
      </c>
      <c r="E11" s="44" t="s">
        <v>119</v>
      </c>
      <c r="F11" s="44" t="s">
        <v>120</v>
      </c>
      <c r="G11" s="44" t="s">
        <v>121</v>
      </c>
      <c r="H11" s="3"/>
      <c r="I11" s="20" t="s">
        <v>123</v>
      </c>
      <c r="J11" s="20" t="s">
        <v>125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9" t="s">
        <v>126</v>
      </c>
      <c r="C12" s="52" t="s">
        <v>127</v>
      </c>
      <c r="D12" s="52" t="s">
        <v>128</v>
      </c>
      <c r="E12" s="52" t="s">
        <v>129</v>
      </c>
      <c r="F12" s="52" t="s">
        <v>130</v>
      </c>
      <c r="G12" s="52" t="s">
        <v>131</v>
      </c>
      <c r="H12" s="3"/>
      <c r="I12" s="54" t="s">
        <v>132</v>
      </c>
      <c r="J12" s="20" t="s">
        <v>133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9" t="s">
        <v>134</v>
      </c>
      <c r="C13" s="52" t="s">
        <v>135</v>
      </c>
      <c r="D13" s="52" t="s">
        <v>136</v>
      </c>
      <c r="E13" s="52" t="s">
        <v>137</v>
      </c>
      <c r="F13" s="52" t="s">
        <v>138</v>
      </c>
      <c r="G13" s="52" t="s">
        <v>140</v>
      </c>
      <c r="H13" s="3"/>
      <c r="I13" s="54" t="s">
        <v>141</v>
      </c>
      <c r="J13" s="20" t="s">
        <v>142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9" t="s">
        <v>145</v>
      </c>
      <c r="C14" s="52" t="s">
        <v>147</v>
      </c>
      <c r="D14" s="52" t="s">
        <v>148</v>
      </c>
      <c r="E14" s="52" t="s">
        <v>149</v>
      </c>
      <c r="F14" s="52" t="s">
        <v>150</v>
      </c>
      <c r="G14" s="52" t="s">
        <v>151</v>
      </c>
      <c r="H14" s="3"/>
      <c r="I14" s="54" t="s">
        <v>152</v>
      </c>
      <c r="J14" s="20" t="s">
        <v>153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9" t="s">
        <v>154</v>
      </c>
      <c r="C15" s="60" t="s">
        <v>156</v>
      </c>
      <c r="D15" s="60" t="s">
        <v>157</v>
      </c>
      <c r="E15" s="60" t="s">
        <v>158</v>
      </c>
      <c r="F15" s="60" t="s">
        <v>159</v>
      </c>
      <c r="G15" s="60" t="s">
        <v>160</v>
      </c>
      <c r="H15" s="3"/>
      <c r="I15" s="54" t="s">
        <v>161</v>
      </c>
      <c r="J15" s="20" t="s">
        <v>162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9" t="s">
        <v>163</v>
      </c>
      <c r="C16" s="60" t="s">
        <v>164</v>
      </c>
      <c r="D16" s="60" t="s">
        <v>165</v>
      </c>
      <c r="E16" s="60" t="s">
        <v>166</v>
      </c>
      <c r="F16" s="60" t="s">
        <v>167</v>
      </c>
      <c r="G16" s="60" t="s">
        <v>168</v>
      </c>
      <c r="H16" s="3"/>
      <c r="I16" s="54" t="s">
        <v>169</v>
      </c>
      <c r="J16" s="20" t="s">
        <v>170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9" t="s">
        <v>171</v>
      </c>
      <c r="C17" s="60" t="s">
        <v>172</v>
      </c>
      <c r="D17" s="60" t="s">
        <v>173</v>
      </c>
      <c r="E17" s="60" t="s">
        <v>174</v>
      </c>
      <c r="F17" s="60" t="s">
        <v>175</v>
      </c>
      <c r="G17" s="60" t="s">
        <v>176</v>
      </c>
      <c r="H17" s="3"/>
      <c r="I17" s="54" t="s">
        <v>178</v>
      </c>
      <c r="J17" s="20" t="s">
        <v>180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64"/>
      <c r="F18" s="3"/>
      <c r="G18" s="3"/>
      <c r="H18" s="3"/>
      <c r="I18" s="67" t="s">
        <v>183</v>
      </c>
      <c r="J18" s="67" t="s">
        <v>184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64"/>
      <c r="J19" s="7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64"/>
      <c r="J20" s="6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64"/>
      <c r="J21" s="6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19.5"/>
    <col customWidth="1" min="4" max="7" width="18.75"/>
    <col customWidth="1" min="8" max="8" width="1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/>
      <c r="B2" s="10" t="s">
        <v>2</v>
      </c>
      <c r="C2" s="12"/>
      <c r="D2" s="12"/>
      <c r="E2" s="12"/>
      <c r="F2" s="12"/>
      <c r="G2" s="12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>
      <c r="A3" s="1"/>
      <c r="B3" s="22">
        <f>AVERAGE(M4:M9)</f>
        <v>70.53333333</v>
      </c>
      <c r="C3" s="24" t="s">
        <v>30</v>
      </c>
      <c r="D3" s="24" t="s">
        <v>31</v>
      </c>
      <c r="E3" s="24" t="s">
        <v>37</v>
      </c>
      <c r="F3" s="24" t="s">
        <v>34</v>
      </c>
      <c r="G3" s="24" t="s">
        <v>42</v>
      </c>
      <c r="H3" s="26" t="s">
        <v>46</v>
      </c>
      <c r="I3" s="27" t="s">
        <v>47</v>
      </c>
      <c r="J3" s="29" t="s">
        <v>51</v>
      </c>
      <c r="K3" s="30" t="s">
        <v>54</v>
      </c>
      <c r="L3" s="30" t="s">
        <v>55</v>
      </c>
      <c r="M3" s="30" t="s">
        <v>56</v>
      </c>
      <c r="N3" s="32" t="s">
        <v>58</v>
      </c>
      <c r="O3" s="1"/>
      <c r="P3" s="34"/>
      <c r="Q3" s="1"/>
      <c r="R3" s="1"/>
      <c r="S3" s="1"/>
      <c r="T3" s="1"/>
      <c r="U3" s="1"/>
      <c r="V3" s="1"/>
      <c r="W3" s="1"/>
      <c r="X3" s="1"/>
      <c r="Y3" s="1"/>
      <c r="Z3" s="1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>
      <c r="A4" s="1"/>
      <c r="B4" s="36" t="s">
        <v>30</v>
      </c>
      <c r="C4" s="37"/>
      <c r="D4" s="38">
        <v>90.0</v>
      </c>
      <c r="E4" s="2">
        <v>180.0</v>
      </c>
      <c r="F4" s="2">
        <v>150.0</v>
      </c>
      <c r="G4" s="2">
        <v>146.0</v>
      </c>
      <c r="H4" s="40">
        <v>238.0</v>
      </c>
      <c r="I4" s="46">
        <f t="shared" ref="I4:I9" si="1">COUNTIF(K68:Q68,1)</f>
        <v>5</v>
      </c>
      <c r="J4" s="47">
        <f t="shared" ref="J4:J9" si="2">COUNTIF(K68:Q68,0.5)</f>
        <v>0</v>
      </c>
      <c r="K4" s="50">
        <f t="shared" ref="K4:K9" si="3">COUNTIF(K68:Q68,0)</f>
        <v>0</v>
      </c>
      <c r="L4" s="50">
        <f t="shared" ref="L4:L9" si="4">I4+0.5*J4</f>
        <v>5</v>
      </c>
      <c r="M4" s="50">
        <f t="shared" ref="M4:M9" si="5">AVERAGE(C4:H4)</f>
        <v>160.8</v>
      </c>
      <c r="N4" s="63">
        <f>(L4*500+M4*2*B3/(IF(AVERAGE($B$3, $B$12, $B$21, $B$30, $B$39)=0, 1, AVERAGE($B$3, $B$12, $B$21, $B$30, $B$39))))</f>
        <v>2813.915306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>
      <c r="A5" s="1"/>
      <c r="B5" s="36" t="s">
        <v>31</v>
      </c>
      <c r="C5" s="66">
        <v>80.0</v>
      </c>
      <c r="D5" s="68"/>
      <c r="E5" s="38">
        <v>130.0</v>
      </c>
      <c r="F5" s="38">
        <v>116.0</v>
      </c>
      <c r="G5" s="38">
        <v>206.0</v>
      </c>
      <c r="H5" s="70">
        <v>166.0</v>
      </c>
      <c r="I5" s="46">
        <f t="shared" si="1"/>
        <v>4</v>
      </c>
      <c r="J5" s="47">
        <f t="shared" si="2"/>
        <v>0</v>
      </c>
      <c r="K5" s="50">
        <f t="shared" si="3"/>
        <v>1</v>
      </c>
      <c r="L5" s="50">
        <f t="shared" si="4"/>
        <v>4</v>
      </c>
      <c r="M5" s="50">
        <f t="shared" si="5"/>
        <v>139.6</v>
      </c>
      <c r="N5" s="63">
        <f>(L5*500+M5*2*B3/(IF(AVERAGE($B$3, $B$12, $B$21, $B$30, $B$39)=0, 1, AVERAGE($B$3, $B$12, $B$21, $B$30, $B$39))))</f>
        <v>2272.528462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>
      <c r="A6" s="1"/>
      <c r="B6" s="36" t="s">
        <v>37</v>
      </c>
      <c r="C6" s="36">
        <v>0.0</v>
      </c>
      <c r="D6" s="38">
        <v>46.0</v>
      </c>
      <c r="E6" s="68"/>
      <c r="F6" s="2">
        <v>60.0</v>
      </c>
      <c r="G6" s="2">
        <v>34.0</v>
      </c>
      <c r="H6" s="40">
        <v>44.0</v>
      </c>
      <c r="I6" s="46">
        <f t="shared" si="1"/>
        <v>2</v>
      </c>
      <c r="J6" s="47">
        <f t="shared" si="2"/>
        <v>0</v>
      </c>
      <c r="K6" s="50">
        <f t="shared" si="3"/>
        <v>3</v>
      </c>
      <c r="L6" s="50">
        <f t="shared" si="4"/>
        <v>2</v>
      </c>
      <c r="M6" s="50">
        <f t="shared" si="5"/>
        <v>36.8</v>
      </c>
      <c r="N6" s="63">
        <f>(L6*500+M6*2*B3/(IF(AVERAGE($B$3, $B$12, $B$21, $B$30, $B$39)=0, 1, AVERAGE($B$3, $B$12, $B$21, $B$30, $B$39))))</f>
        <v>1071.841314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>
      <c r="A7" s="1"/>
      <c r="B7" s="36" t="s">
        <v>34</v>
      </c>
      <c r="C7" s="36">
        <v>22.0</v>
      </c>
      <c r="D7" s="38">
        <v>22.0</v>
      </c>
      <c r="E7" s="2">
        <v>82.0</v>
      </c>
      <c r="F7" s="68"/>
      <c r="G7" s="2">
        <v>44.0</v>
      </c>
      <c r="H7" s="40">
        <v>70.0</v>
      </c>
      <c r="I7" s="46">
        <f t="shared" si="1"/>
        <v>3</v>
      </c>
      <c r="J7" s="47">
        <f t="shared" si="2"/>
        <v>0</v>
      </c>
      <c r="K7" s="50">
        <f t="shared" si="3"/>
        <v>2</v>
      </c>
      <c r="L7" s="50">
        <f t="shared" si="4"/>
        <v>3</v>
      </c>
      <c r="M7" s="50">
        <f t="shared" si="5"/>
        <v>48</v>
      </c>
      <c r="N7" s="63">
        <f>(L7*500+M7*2*B3/(IF(AVERAGE($B$3, $B$12, $B$21, $B$30, $B$39)=0, 1, AVERAGE($B$3, $B$12, $B$21, $B$30, $B$39))))</f>
        <v>1593.706061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>
      <c r="A8" s="1"/>
      <c r="B8" s="36" t="s">
        <v>42</v>
      </c>
      <c r="C8" s="36">
        <v>0.0</v>
      </c>
      <c r="D8" s="38">
        <v>-4.0</v>
      </c>
      <c r="E8" s="2">
        <v>8.0</v>
      </c>
      <c r="F8" s="2">
        <v>12.0</v>
      </c>
      <c r="G8" s="68"/>
      <c r="H8" s="40">
        <v>2.0</v>
      </c>
      <c r="I8" s="46">
        <f t="shared" si="1"/>
        <v>0</v>
      </c>
      <c r="J8" s="47">
        <f t="shared" si="2"/>
        <v>0</v>
      </c>
      <c r="K8" s="50">
        <f t="shared" si="3"/>
        <v>5</v>
      </c>
      <c r="L8" s="50">
        <f t="shared" si="4"/>
        <v>0</v>
      </c>
      <c r="M8" s="50">
        <f t="shared" si="5"/>
        <v>3.6</v>
      </c>
      <c r="N8" s="63">
        <f>(L8*500+M8*2*B3/(IF(AVERAGE($B$3, $B$12, $B$21, $B$30, $B$39)=0, 1, AVERAGE($B$3, $B$12, $B$21, $B$30, $B$39))))</f>
        <v>7.027954608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>
      <c r="A9" s="1"/>
      <c r="B9" s="82" t="s">
        <v>46</v>
      </c>
      <c r="C9" s="82">
        <v>-4.0</v>
      </c>
      <c r="D9" s="83">
        <v>28.0</v>
      </c>
      <c r="E9" s="84">
        <v>26.0</v>
      </c>
      <c r="F9" s="84">
        <v>60.0</v>
      </c>
      <c r="G9" s="84">
        <v>62.0</v>
      </c>
      <c r="H9" s="85"/>
      <c r="I9" s="86">
        <f t="shared" si="1"/>
        <v>1</v>
      </c>
      <c r="J9" s="88">
        <f t="shared" si="2"/>
        <v>0</v>
      </c>
      <c r="K9" s="89">
        <f t="shared" si="3"/>
        <v>4</v>
      </c>
      <c r="L9" s="89">
        <f t="shared" si="4"/>
        <v>1</v>
      </c>
      <c r="M9" s="89">
        <f t="shared" si="5"/>
        <v>34.4</v>
      </c>
      <c r="N9" s="92">
        <f>(L9*500+M9*2*B3/(IF(AVERAGE($B$3, $B$12, $B$21, $B$30, $B$39)=0, 1, AVERAGE($B$3, $B$12, $B$21, $B$30, $B$39))))</f>
        <v>567.1560107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>
      <c r="A10" s="1"/>
      <c r="B10" s="1"/>
      <c r="C10" s="1"/>
      <c r="D10" s="1"/>
      <c r="E10" s="1"/>
      <c r="F10" s="1"/>
      <c r="G10" s="1"/>
      <c r="H10" s="1"/>
      <c r="I10" s="94"/>
      <c r="J10" s="9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>
      <c r="A11" s="1"/>
      <c r="B11" s="96" t="s">
        <v>69</v>
      </c>
      <c r="C11" s="12"/>
      <c r="D11" s="12"/>
      <c r="E11" s="12"/>
      <c r="F11" s="12"/>
      <c r="G11" s="12"/>
      <c r="H11" s="14"/>
      <c r="I11" s="94"/>
      <c r="J11" s="9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>
      <c r="A12" s="1"/>
      <c r="B12" s="22">
        <f>AVERAGE(M13:M18)</f>
        <v>69.4</v>
      </c>
      <c r="C12" s="24" t="s">
        <v>92</v>
      </c>
      <c r="D12" s="24" t="s">
        <v>112</v>
      </c>
      <c r="E12" s="24" t="s">
        <v>139</v>
      </c>
      <c r="F12" s="24" t="s">
        <v>143</v>
      </c>
      <c r="G12" s="24" t="s">
        <v>82</v>
      </c>
      <c r="H12" s="26" t="s">
        <v>104</v>
      </c>
      <c r="I12" s="27" t="s">
        <v>47</v>
      </c>
      <c r="J12" s="29" t="s">
        <v>51</v>
      </c>
      <c r="K12" s="30" t="s">
        <v>54</v>
      </c>
      <c r="L12" s="30" t="s">
        <v>55</v>
      </c>
      <c r="M12" s="30" t="s">
        <v>56</v>
      </c>
      <c r="N12" s="32" t="s">
        <v>58</v>
      </c>
      <c r="O12" s="1"/>
      <c r="P12" s="34"/>
      <c r="Q12" s="1"/>
      <c r="R12" s="1"/>
      <c r="S12" s="1"/>
      <c r="T12" s="1"/>
      <c r="U12" s="1"/>
      <c r="V12" s="1"/>
      <c r="W12" s="1"/>
      <c r="X12" s="1"/>
      <c r="Y12" s="1"/>
      <c r="Z12" s="1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>
      <c r="A13" s="1"/>
      <c r="B13" s="36" t="s">
        <v>92</v>
      </c>
      <c r="C13" s="37"/>
      <c r="D13" s="2">
        <v>28.0</v>
      </c>
      <c r="E13" s="2">
        <v>0.0</v>
      </c>
      <c r="F13" s="2">
        <v>32.0</v>
      </c>
      <c r="G13" s="2">
        <v>64.0</v>
      </c>
      <c r="H13" s="40">
        <v>122.0</v>
      </c>
      <c r="I13" s="46">
        <f t="shared" ref="I13:I18" si="6">COUNTIF(K77:Q77,1)</f>
        <v>1</v>
      </c>
      <c r="J13" s="47">
        <f t="shared" ref="J13:J18" si="7">COUNTIF(K77:Q77,0.5)</f>
        <v>0</v>
      </c>
      <c r="K13" s="50">
        <f t="shared" ref="K13:K18" si="8">COUNTIF(K77:Q77,0)</f>
        <v>4</v>
      </c>
      <c r="L13" s="50">
        <f t="shared" ref="L13:L18" si="9">I13+0.5*J13</f>
        <v>1</v>
      </c>
      <c r="M13" s="50">
        <f t="shared" ref="M13:M18" si="10">AVERAGE(C13:H13)</f>
        <v>49.2</v>
      </c>
      <c r="N13" s="63">
        <f>L13*500+M13*2*B12/(IF(AVERAGE($B$3, $B$12, $B$21, $B$30, $B$39)=0, 1, AVERAGE($B$3, $B$12, $B$21, $B$30, $B$39)))</f>
        <v>594.5053972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>
      <c r="A14" s="1"/>
      <c r="B14" s="36" t="s">
        <v>112</v>
      </c>
      <c r="C14" s="36">
        <v>50.0</v>
      </c>
      <c r="D14" s="68"/>
      <c r="E14" s="2">
        <v>48.0</v>
      </c>
      <c r="F14" s="2">
        <v>48.0</v>
      </c>
      <c r="G14" s="2">
        <v>34.0</v>
      </c>
      <c r="H14" s="40">
        <v>76.0</v>
      </c>
      <c r="I14" s="46">
        <f t="shared" si="6"/>
        <v>2</v>
      </c>
      <c r="J14" s="47">
        <f t="shared" si="7"/>
        <v>0</v>
      </c>
      <c r="K14" s="50">
        <f t="shared" si="8"/>
        <v>3</v>
      </c>
      <c r="L14" s="50">
        <f t="shared" si="9"/>
        <v>2</v>
      </c>
      <c r="M14" s="106">
        <f t="shared" si="10"/>
        <v>51.2</v>
      </c>
      <c r="N14" s="63">
        <f>L14*500+M14*2*B12/(IF(AVERAGE($B$3, $B$12, $B$21, $B$30, $B$39)=0, 1, AVERAGE($B$3, $B$12, $B$21, $B$30, $B$39)))</f>
        <v>1098.34708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>
      <c r="A15" s="1"/>
      <c r="B15" s="36" t="s">
        <v>139</v>
      </c>
      <c r="C15" s="36">
        <v>142.0</v>
      </c>
      <c r="D15" s="2">
        <v>120.0</v>
      </c>
      <c r="E15" s="68"/>
      <c r="F15" s="2">
        <v>140.0</v>
      </c>
      <c r="G15" s="2">
        <v>120.0</v>
      </c>
      <c r="H15" s="40">
        <v>180.0</v>
      </c>
      <c r="I15" s="46">
        <f t="shared" si="6"/>
        <v>5</v>
      </c>
      <c r="J15" s="47">
        <f t="shared" si="7"/>
        <v>0</v>
      </c>
      <c r="K15" s="50">
        <f t="shared" si="8"/>
        <v>0</v>
      </c>
      <c r="L15" s="50">
        <f t="shared" si="9"/>
        <v>5</v>
      </c>
      <c r="M15" s="50">
        <f t="shared" si="10"/>
        <v>140.4</v>
      </c>
      <c r="N15" s="63">
        <f>L15*500+M15*2*B12/(IF(AVERAGE($B$3, $B$12, $B$21, $B$30, $B$39)=0, 1, AVERAGE($B$3, $B$12, $B$21, $B$30, $B$39)))</f>
        <v>2769.686133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>
      <c r="A16" s="1"/>
      <c r="B16" s="36" t="s">
        <v>143</v>
      </c>
      <c r="C16" s="36">
        <v>92.0</v>
      </c>
      <c r="D16" s="2">
        <v>50.0</v>
      </c>
      <c r="E16" s="2">
        <v>84.0</v>
      </c>
      <c r="F16" s="68"/>
      <c r="G16" s="2">
        <v>20.0</v>
      </c>
      <c r="H16" s="40">
        <v>112.0</v>
      </c>
      <c r="I16" s="46">
        <f t="shared" si="6"/>
        <v>3</v>
      </c>
      <c r="J16" s="47">
        <f t="shared" si="7"/>
        <v>0</v>
      </c>
      <c r="K16" s="50">
        <f t="shared" si="8"/>
        <v>2</v>
      </c>
      <c r="L16" s="50">
        <f t="shared" si="9"/>
        <v>3</v>
      </c>
      <c r="M16" s="50">
        <f t="shared" si="10"/>
        <v>71.6</v>
      </c>
      <c r="N16" s="63">
        <f>L16*500+M16*2*B12/(IF(AVERAGE($B$3, $B$12, $B$21, $B$30, $B$39)=0, 1, AVERAGE($B$3, $B$12, $B$21, $B$30, $B$39)))</f>
        <v>1637.532245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>
      <c r="A17" s="1"/>
      <c r="B17" s="36" t="s">
        <v>82</v>
      </c>
      <c r="C17" s="36">
        <v>104.0</v>
      </c>
      <c r="D17" s="2">
        <v>138.0</v>
      </c>
      <c r="E17" s="2">
        <v>52.0</v>
      </c>
      <c r="F17" s="2">
        <v>80.0</v>
      </c>
      <c r="G17" s="68"/>
      <c r="H17" s="40">
        <v>90.0</v>
      </c>
      <c r="I17" s="46">
        <f t="shared" si="6"/>
        <v>4</v>
      </c>
      <c r="J17" s="47">
        <f t="shared" si="7"/>
        <v>0</v>
      </c>
      <c r="K17" s="50">
        <f t="shared" si="8"/>
        <v>1</v>
      </c>
      <c r="L17" s="50">
        <f t="shared" si="9"/>
        <v>4</v>
      </c>
      <c r="M17" s="50">
        <f t="shared" si="10"/>
        <v>92.8</v>
      </c>
      <c r="N17" s="63">
        <f>L17*500+M17*2*B12/(IF(AVERAGE($B$3, $B$12, $B$21, $B$30, $B$39)=0, 1, AVERAGE($B$3, $B$12, $B$21, $B$30, $B$39)))</f>
        <v>2178.254082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>
      <c r="A18" s="1"/>
      <c r="B18" s="82" t="s">
        <v>104</v>
      </c>
      <c r="C18" s="82">
        <v>10.0</v>
      </c>
      <c r="D18" s="84">
        <v>20.0</v>
      </c>
      <c r="E18" s="84">
        <v>0.0</v>
      </c>
      <c r="F18" s="84">
        <v>22.0</v>
      </c>
      <c r="G18" s="84">
        <v>4.0</v>
      </c>
      <c r="H18" s="85"/>
      <c r="I18" s="86">
        <f t="shared" si="6"/>
        <v>0</v>
      </c>
      <c r="J18" s="88">
        <f t="shared" si="7"/>
        <v>0</v>
      </c>
      <c r="K18" s="89">
        <f t="shared" si="8"/>
        <v>5</v>
      </c>
      <c r="L18" s="89">
        <f t="shared" si="9"/>
        <v>0</v>
      </c>
      <c r="M18" s="89">
        <f t="shared" si="10"/>
        <v>11.2</v>
      </c>
      <c r="N18" s="92">
        <f>L18*500+M18*2*B12/(IF(AVERAGE($B$3, $B$12, $B$21, $B$30, $B$39)=0, 1, AVERAGE($B$3, $B$12, $B$21, $B$30, $B$39)))</f>
        <v>21.51342375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>
      <c r="A19" s="1"/>
      <c r="B19" s="1"/>
      <c r="C19" s="1"/>
      <c r="D19" s="1"/>
      <c r="E19" s="1"/>
      <c r="F19" s="1"/>
      <c r="G19" s="1"/>
      <c r="H19" s="1"/>
      <c r="I19" s="94"/>
      <c r="J19" s="9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>
      <c r="A20" s="1"/>
      <c r="B20" s="110" t="s">
        <v>70</v>
      </c>
      <c r="C20" s="12"/>
      <c r="D20" s="12"/>
      <c r="E20" s="12"/>
      <c r="F20" s="12"/>
      <c r="G20" s="12"/>
      <c r="H20" s="14"/>
      <c r="I20" s="94"/>
      <c r="J20" s="9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>
      <c r="A21" s="1"/>
      <c r="B21" s="22">
        <f>AVERAGE(M22:M27)</f>
        <v>79.46666667</v>
      </c>
      <c r="C21" s="24" t="s">
        <v>93</v>
      </c>
      <c r="D21" s="24" t="s">
        <v>22</v>
      </c>
      <c r="E21" s="24" t="s">
        <v>144</v>
      </c>
      <c r="F21" s="24" t="s">
        <v>122</v>
      </c>
      <c r="G21" s="24" t="s">
        <v>177</v>
      </c>
      <c r="H21" s="26" t="s">
        <v>185</v>
      </c>
      <c r="I21" s="27" t="s">
        <v>47</v>
      </c>
      <c r="J21" s="29" t="s">
        <v>51</v>
      </c>
      <c r="K21" s="30" t="s">
        <v>54</v>
      </c>
      <c r="L21" s="30" t="s">
        <v>55</v>
      </c>
      <c r="M21" s="30" t="s">
        <v>56</v>
      </c>
      <c r="N21" s="32" t="s">
        <v>58</v>
      </c>
      <c r="O21" s="1"/>
      <c r="P21" s="34"/>
      <c r="Q21" s="1"/>
      <c r="R21" s="1"/>
      <c r="S21" s="1"/>
      <c r="T21" s="1"/>
      <c r="U21" s="1"/>
      <c r="V21" s="1"/>
      <c r="W21" s="1"/>
      <c r="X21" s="1"/>
      <c r="Y21" s="1"/>
      <c r="Z21" s="1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>
      <c r="A22" s="1"/>
      <c r="B22" s="36" t="s">
        <v>93</v>
      </c>
      <c r="C22" s="37"/>
      <c r="D22" s="2">
        <v>30.0</v>
      </c>
      <c r="E22" s="2">
        <v>76.0</v>
      </c>
      <c r="F22" s="2">
        <v>60.0</v>
      </c>
      <c r="G22" s="2">
        <v>102.0</v>
      </c>
      <c r="H22" s="70">
        <v>124.0</v>
      </c>
      <c r="I22" s="46">
        <f t="shared" ref="I22:I27" si="11">COUNTIF(K86:Q86,1)</f>
        <v>3</v>
      </c>
      <c r="J22" s="47">
        <f t="shared" ref="J22:J27" si="12">COUNTIF(K86:Q86,0.5)</f>
        <v>1</v>
      </c>
      <c r="K22" s="50">
        <f t="shared" ref="K22:K27" si="13">COUNTIF(K86:Q86,0)</f>
        <v>1</v>
      </c>
      <c r="L22" s="50">
        <f t="shared" ref="L22:L27" si="14">I22+0.5*J22</f>
        <v>3.5</v>
      </c>
      <c r="M22" s="50">
        <f t="shared" ref="M22:M27" si="15">AVERAGE(C22:H22)</f>
        <v>78.4</v>
      </c>
      <c r="N22" s="63">
        <f>(L22*500+M22*2*B21/(IF(AVERAGE($B$3, $B$12, $B$21, $B$30, $B$39)=0, 1, AVERAGE($B$3, $B$12, $B$21, $B$30, $B$39))))</f>
        <v>1922.438048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>
      <c r="A23" s="1"/>
      <c r="B23" s="36" t="s">
        <v>22</v>
      </c>
      <c r="C23" s="36">
        <v>110.0</v>
      </c>
      <c r="D23" s="68"/>
      <c r="E23" s="2">
        <v>118.0</v>
      </c>
      <c r="F23" s="2">
        <v>136.0</v>
      </c>
      <c r="G23" s="2">
        <v>98.0</v>
      </c>
      <c r="H23" s="70">
        <v>120.0</v>
      </c>
      <c r="I23" s="46">
        <f t="shared" si="11"/>
        <v>4</v>
      </c>
      <c r="J23" s="47">
        <f t="shared" si="12"/>
        <v>0</v>
      </c>
      <c r="K23" s="50">
        <f t="shared" si="13"/>
        <v>1</v>
      </c>
      <c r="L23" s="50">
        <f t="shared" si="14"/>
        <v>4</v>
      </c>
      <c r="M23" s="50">
        <f t="shared" si="15"/>
        <v>116.4</v>
      </c>
      <c r="N23" s="63">
        <f>(L23*500+M23*2*B21/(IF(AVERAGE($B$3, $B$12, $B$21, $B$30, $B$39)=0, 1, AVERAGE($B$3, $B$12, $B$21, $B$30, $B$39))))</f>
        <v>2256.017714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>
      <c r="A24" s="1"/>
      <c r="B24" s="36" t="s">
        <v>144</v>
      </c>
      <c r="C24" s="36">
        <v>28.0</v>
      </c>
      <c r="D24" s="2">
        <v>56.0</v>
      </c>
      <c r="E24" s="68"/>
      <c r="F24" s="2">
        <v>86.0</v>
      </c>
      <c r="G24" s="2">
        <v>0.0</v>
      </c>
      <c r="H24" s="70">
        <v>70.0</v>
      </c>
      <c r="I24" s="46">
        <f t="shared" si="11"/>
        <v>0</v>
      </c>
      <c r="J24" s="47">
        <f t="shared" si="12"/>
        <v>0</v>
      </c>
      <c r="K24" s="50">
        <f t="shared" si="13"/>
        <v>5</v>
      </c>
      <c r="L24" s="50">
        <f t="shared" si="14"/>
        <v>0</v>
      </c>
      <c r="M24" s="50">
        <f t="shared" si="15"/>
        <v>48</v>
      </c>
      <c r="N24" s="63">
        <f>(L24*500+M24*2*B21/(IF(AVERAGE($B$3, $B$12, $B$21, $B$30, $B$39)=0, 1, AVERAGE($B$3, $B$12, $B$21, $B$30, $B$39))))</f>
        <v>105.574315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>
      <c r="A25" s="1"/>
      <c r="B25" s="36" t="s">
        <v>122</v>
      </c>
      <c r="C25" s="36">
        <v>60.0</v>
      </c>
      <c r="D25" s="2">
        <v>50.0</v>
      </c>
      <c r="E25" s="2">
        <v>98.0</v>
      </c>
      <c r="F25" s="68"/>
      <c r="G25" s="2">
        <v>54.0</v>
      </c>
      <c r="H25" s="70">
        <v>102.0</v>
      </c>
      <c r="I25" s="46">
        <f t="shared" si="11"/>
        <v>2</v>
      </c>
      <c r="J25" s="47">
        <f t="shared" si="12"/>
        <v>1</v>
      </c>
      <c r="K25" s="50">
        <f t="shared" si="13"/>
        <v>2</v>
      </c>
      <c r="L25" s="50">
        <f t="shared" si="14"/>
        <v>2.5</v>
      </c>
      <c r="M25" s="50">
        <f t="shared" si="15"/>
        <v>72.8</v>
      </c>
      <c r="N25" s="63">
        <f>(L25*500+M25*2*B21/(IF(AVERAGE($B$3, $B$12, $B$21, $B$30, $B$39)=0, 1, AVERAGE($B$3, $B$12, $B$21, $B$30, $B$39))))</f>
        <v>1410.121044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>
      <c r="A26" s="1"/>
      <c r="B26" s="36" t="s">
        <v>177</v>
      </c>
      <c r="C26" s="36">
        <v>64.0</v>
      </c>
      <c r="D26" s="2">
        <v>112.0</v>
      </c>
      <c r="E26" s="2">
        <v>98.0</v>
      </c>
      <c r="F26" s="2">
        <v>80.0</v>
      </c>
      <c r="G26" s="68"/>
      <c r="H26" s="70">
        <v>92.0</v>
      </c>
      <c r="I26" s="46">
        <f t="shared" si="11"/>
        <v>4</v>
      </c>
      <c r="J26" s="47">
        <f t="shared" si="12"/>
        <v>0</v>
      </c>
      <c r="K26" s="50">
        <f t="shared" si="13"/>
        <v>1</v>
      </c>
      <c r="L26" s="50">
        <f t="shared" si="14"/>
        <v>4</v>
      </c>
      <c r="M26" s="50">
        <f t="shared" si="15"/>
        <v>89.2</v>
      </c>
      <c r="N26" s="63">
        <f>(L26*500+M26*2*B21/(IF(AVERAGE($B$3, $B$12, $B$21, $B$30, $B$39)=0, 1, AVERAGE($B$3, $B$12, $B$21, $B$30, $B$39))))</f>
        <v>2196.192269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>
      <c r="A27" s="1"/>
      <c r="B27" s="82" t="s">
        <v>185</v>
      </c>
      <c r="C27" s="112">
        <v>78.0</v>
      </c>
      <c r="D27" s="83">
        <v>42.0</v>
      </c>
      <c r="E27" s="83">
        <v>92.0</v>
      </c>
      <c r="F27" s="83">
        <v>92.0</v>
      </c>
      <c r="G27" s="83">
        <v>56.0</v>
      </c>
      <c r="H27" s="85"/>
      <c r="I27" s="86">
        <f t="shared" si="11"/>
        <v>1</v>
      </c>
      <c r="J27" s="88">
        <f t="shared" si="12"/>
        <v>0</v>
      </c>
      <c r="K27" s="89">
        <f t="shared" si="13"/>
        <v>4</v>
      </c>
      <c r="L27" s="89">
        <f t="shared" si="14"/>
        <v>1</v>
      </c>
      <c r="M27" s="89">
        <f t="shared" si="15"/>
        <v>72</v>
      </c>
      <c r="N27" s="92">
        <f>(L27*500+M27*2*B21/(IF(AVERAGE($B$3, $B$12, $B$21, $B$30, $B$39)=0, 1, AVERAGE($B$3, $B$12, $B$21, $B$30, $B$39))))</f>
        <v>658.3614725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>
      <c r="A28" s="1"/>
      <c r="B28" s="1"/>
      <c r="C28" s="1"/>
      <c r="D28" s="1"/>
      <c r="E28" s="1"/>
      <c r="F28" s="1"/>
      <c r="G28" s="1"/>
      <c r="H28" s="1"/>
      <c r="I28" s="94"/>
      <c r="J28" s="9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>
      <c r="A29" s="1"/>
      <c r="B29" s="113" t="s">
        <v>71</v>
      </c>
      <c r="C29" s="12"/>
      <c r="D29" s="12"/>
      <c r="E29" s="12"/>
      <c r="F29" s="12"/>
      <c r="G29" s="12"/>
      <c r="H29" s="14"/>
      <c r="I29" s="94"/>
      <c r="J29" s="9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>
      <c r="A30" s="1"/>
      <c r="B30" s="22">
        <f>AVERAGE(M31:M35)</f>
        <v>70.9</v>
      </c>
      <c r="C30" s="24" t="s">
        <v>95</v>
      </c>
      <c r="D30" s="24" t="s">
        <v>94</v>
      </c>
      <c r="E30" s="24" t="s">
        <v>146</v>
      </c>
      <c r="F30" s="24" t="s">
        <v>155</v>
      </c>
      <c r="G30" s="24" t="s">
        <v>179</v>
      </c>
      <c r="H30" s="26" t="s">
        <v>145</v>
      </c>
      <c r="I30" s="27" t="s">
        <v>47</v>
      </c>
      <c r="J30" s="29" t="s">
        <v>51</v>
      </c>
      <c r="K30" s="30" t="s">
        <v>54</v>
      </c>
      <c r="L30" s="30" t="s">
        <v>55</v>
      </c>
      <c r="M30" s="30" t="s">
        <v>56</v>
      </c>
      <c r="N30" s="32" t="s">
        <v>210</v>
      </c>
      <c r="O30" s="1"/>
      <c r="P30" s="34"/>
      <c r="Q30" s="1"/>
      <c r="R30" s="1"/>
      <c r="S30" s="1"/>
      <c r="T30" s="1"/>
      <c r="U30" s="1"/>
      <c r="V30" s="1"/>
      <c r="W30" s="1"/>
      <c r="X30" s="1"/>
      <c r="Y30" s="1"/>
      <c r="Z30" s="1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>
      <c r="A31" s="1"/>
      <c r="B31" s="36" t="s">
        <v>95</v>
      </c>
      <c r="C31" s="37"/>
      <c r="D31" s="2">
        <v>168.0</v>
      </c>
      <c r="E31" s="2">
        <v>114.0</v>
      </c>
      <c r="F31" s="2">
        <v>148.0</v>
      </c>
      <c r="G31" s="2">
        <v>108.0</v>
      </c>
      <c r="H31" s="114"/>
      <c r="I31" s="46">
        <f t="shared" ref="I31:I36" si="16">COUNTIF(K95:P95,1)</f>
        <v>3</v>
      </c>
      <c r="J31" s="47">
        <f t="shared" ref="J31:J35" si="17">COUNTIF(K95:P95,0.5)</f>
        <v>1</v>
      </c>
      <c r="K31" s="50">
        <f t="shared" ref="K31:K36" si="18">COUNTIF(K95:P95,0)</f>
        <v>0</v>
      </c>
      <c r="L31" s="50">
        <f t="shared" ref="L31:L36" si="19">I31+0.5*J31</f>
        <v>3.5</v>
      </c>
      <c r="M31" s="50">
        <f t="shared" ref="M31:M35" si="20">AVERAGE(C31:G31)</f>
        <v>134.5</v>
      </c>
      <c r="N31" s="63">
        <f>(L31*500+M31*2*B30/(IF(AVERAGE($B$3, $B$12, $B$21, $B$30, $B$39)=0, 1, AVERAGE($B$3, $B$12, $B$21, $B$30, $B$39))))*5/4</f>
        <v>2517.421464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>
      <c r="A32" s="1"/>
      <c r="B32" s="36" t="s">
        <v>94</v>
      </c>
      <c r="C32" s="36">
        <v>0.0</v>
      </c>
      <c r="D32" s="68"/>
      <c r="E32" s="2">
        <v>78.0</v>
      </c>
      <c r="F32" s="2">
        <v>62.0</v>
      </c>
      <c r="G32" s="2">
        <v>60.0</v>
      </c>
      <c r="H32" s="114"/>
      <c r="I32" s="46">
        <f t="shared" si="16"/>
        <v>2</v>
      </c>
      <c r="J32" s="47">
        <f t="shared" si="17"/>
        <v>0</v>
      </c>
      <c r="K32" s="50">
        <f t="shared" si="18"/>
        <v>2</v>
      </c>
      <c r="L32" s="50">
        <f t="shared" si="19"/>
        <v>2</v>
      </c>
      <c r="M32" s="50">
        <f t="shared" si="20"/>
        <v>50</v>
      </c>
      <c r="N32" s="63">
        <f>(L32*500+M32*2*B30/(IF(AVERAGE($B$3, $B$12, $B$21, $B$30, $B$39)=0, 1, AVERAGE($B$3, $B$12, $B$21, $B$30, $B$39))))*5/4</f>
        <v>1372.647384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>
      <c r="A33" s="1"/>
      <c r="B33" s="36" t="s">
        <v>146</v>
      </c>
      <c r="C33" s="36">
        <v>0.0</v>
      </c>
      <c r="D33" s="2">
        <v>36.0</v>
      </c>
      <c r="E33" s="68"/>
      <c r="F33" s="2">
        <v>46.0</v>
      </c>
      <c r="G33" s="2">
        <v>8.0</v>
      </c>
      <c r="H33" s="114"/>
      <c r="I33" s="46">
        <f t="shared" si="16"/>
        <v>0</v>
      </c>
      <c r="J33" s="47">
        <f t="shared" si="17"/>
        <v>0</v>
      </c>
      <c r="K33" s="50">
        <f t="shared" si="18"/>
        <v>4</v>
      </c>
      <c r="L33" s="50">
        <f t="shared" si="19"/>
        <v>0</v>
      </c>
      <c r="M33" s="50">
        <f t="shared" si="20"/>
        <v>22.5</v>
      </c>
      <c r="N33" s="63">
        <f>(L33*500+M33*2*B30/(IF(AVERAGE($B$3, $B$12, $B$21, $B$30, $B$39)=0, 1, AVERAGE($B$3, $B$12, $B$21, $B$30, $B$39))))*5/4</f>
        <v>55.191323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>
      <c r="A34" s="1"/>
      <c r="B34" s="36" t="s">
        <v>155</v>
      </c>
      <c r="C34" s="36">
        <v>-4.0</v>
      </c>
      <c r="D34" s="2">
        <v>26.0</v>
      </c>
      <c r="E34" s="2">
        <v>96.0</v>
      </c>
      <c r="F34" s="68"/>
      <c r="G34" s="2">
        <v>16.0</v>
      </c>
      <c r="H34" s="114"/>
      <c r="I34" s="46">
        <f t="shared" si="16"/>
        <v>1</v>
      </c>
      <c r="J34" s="47">
        <f t="shared" si="17"/>
        <v>0</v>
      </c>
      <c r="K34" s="50">
        <f t="shared" si="18"/>
        <v>3</v>
      </c>
      <c r="L34" s="50">
        <f t="shared" si="19"/>
        <v>1</v>
      </c>
      <c r="M34" s="106">
        <f t="shared" si="20"/>
        <v>33.5</v>
      </c>
      <c r="N34" s="63">
        <f>(L34*500+M34*2*B30/(IF(AVERAGE($B$3, $B$12, $B$21, $B$30, $B$39)=0, 1, AVERAGE($B$3, $B$12, $B$21, $B$30, $B$39))))*5/4</f>
        <v>707.1737476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>
      <c r="A35" s="1"/>
      <c r="B35" s="36" t="s">
        <v>179</v>
      </c>
      <c r="C35" s="36">
        <v>108.0</v>
      </c>
      <c r="D35" s="2">
        <v>148.0</v>
      </c>
      <c r="E35" s="2">
        <v>80.0</v>
      </c>
      <c r="F35" s="2">
        <v>120.0</v>
      </c>
      <c r="G35" s="68"/>
      <c r="H35" s="114"/>
      <c r="I35" s="46">
        <f t="shared" si="16"/>
        <v>3</v>
      </c>
      <c r="J35" s="47">
        <f t="shared" si="17"/>
        <v>1</v>
      </c>
      <c r="K35" s="50">
        <f t="shared" si="18"/>
        <v>0</v>
      </c>
      <c r="L35" s="50">
        <f t="shared" si="19"/>
        <v>3.5</v>
      </c>
      <c r="M35" s="50">
        <f t="shared" si="20"/>
        <v>114</v>
      </c>
      <c r="N35" s="63">
        <f>(L35*500+M35*2*B30/(IF(AVERAGE($B$3, $B$12, $B$21, $B$30, $B$39)=0, 1, AVERAGE($B$3, $B$12, $B$21, $B$30, $B$39))))*5/4</f>
        <v>2467.136037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>
      <c r="A36" s="1"/>
      <c r="B36" s="82" t="s">
        <v>145</v>
      </c>
      <c r="C36" s="115"/>
      <c r="D36" s="116"/>
      <c r="E36" s="116"/>
      <c r="F36" s="116"/>
      <c r="G36" s="116"/>
      <c r="H36" s="117"/>
      <c r="I36" s="118">
        <f t="shared" si="16"/>
        <v>0</v>
      </c>
      <c r="J36" s="83">
        <v>0.0</v>
      </c>
      <c r="K36" s="119">
        <f t="shared" si="18"/>
        <v>0</v>
      </c>
      <c r="L36" s="119">
        <f t="shared" si="19"/>
        <v>0</v>
      </c>
      <c r="M36" s="119">
        <v>0.0</v>
      </c>
      <c r="N36" s="120">
        <f>(L36*500+M36*2*B30/(IF(AVERAGE($B$3, $B$12, $B$21, $B$30, $B$39)=0, 1, AVERAGE($B$3, $B$12, $B$21, $B$30, $B$39))))*5/4</f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>
      <c r="A37" s="1"/>
      <c r="B37" s="1"/>
      <c r="C37" s="1"/>
      <c r="D37" s="1"/>
      <c r="E37" s="1"/>
      <c r="F37" s="1"/>
      <c r="G37" s="1"/>
      <c r="H37" s="1"/>
      <c r="I37" s="94"/>
      <c r="J37" s="9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>
      <c r="A38" s="1"/>
      <c r="B38" s="121" t="s">
        <v>72</v>
      </c>
      <c r="C38" s="12"/>
      <c r="D38" s="12"/>
      <c r="E38" s="12"/>
      <c r="F38" s="12"/>
      <c r="G38" s="12"/>
      <c r="H38" s="14"/>
      <c r="I38" s="94"/>
      <c r="J38" s="9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>
      <c r="A39" s="1"/>
      <c r="B39" s="22">
        <f>AVERAGE(M40:M45)</f>
        <v>71</v>
      </c>
      <c r="C39" s="24" t="s">
        <v>96</v>
      </c>
      <c r="D39" s="24" t="s">
        <v>115</v>
      </c>
      <c r="E39" s="24" t="s">
        <v>13</v>
      </c>
      <c r="F39" s="24" t="s">
        <v>43</v>
      </c>
      <c r="G39" s="24" t="s">
        <v>181</v>
      </c>
      <c r="H39" s="26" t="s">
        <v>186</v>
      </c>
      <c r="I39" s="27" t="s">
        <v>47</v>
      </c>
      <c r="J39" s="29" t="s">
        <v>51</v>
      </c>
      <c r="K39" s="30" t="s">
        <v>54</v>
      </c>
      <c r="L39" s="30" t="s">
        <v>55</v>
      </c>
      <c r="M39" s="30" t="s">
        <v>56</v>
      </c>
      <c r="N39" s="32" t="s">
        <v>58</v>
      </c>
      <c r="O39" s="1"/>
      <c r="P39" s="34"/>
      <c r="Q39" s="1"/>
      <c r="R39" s="1"/>
      <c r="S39" s="1"/>
      <c r="T39" s="1"/>
      <c r="U39" s="1"/>
      <c r="V39" s="1"/>
      <c r="W39" s="1"/>
      <c r="X39" s="1"/>
      <c r="Y39" s="1"/>
      <c r="Z39" s="1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>
      <c r="A40" s="1"/>
      <c r="B40" s="36" t="s">
        <v>96</v>
      </c>
      <c r="C40" s="37"/>
      <c r="D40" s="38">
        <v>112.0</v>
      </c>
      <c r="E40" s="2">
        <v>122.0</v>
      </c>
      <c r="F40" s="2">
        <v>114.0</v>
      </c>
      <c r="G40" s="2">
        <v>96.0</v>
      </c>
      <c r="H40" s="40">
        <v>106.0</v>
      </c>
      <c r="I40" s="46">
        <f t="shared" ref="I40:I41" si="21">COUNTIF(K104:Q104,1)</f>
        <v>5</v>
      </c>
      <c r="J40" s="47">
        <f t="shared" ref="J40:J45" si="22">COUNTIF(K104:Q104,0.5)</f>
        <v>0</v>
      </c>
      <c r="K40" s="50">
        <f t="shared" ref="K40:K41" si="23">COUNTIF(K104:Q104,0)</f>
        <v>0</v>
      </c>
      <c r="L40" s="50">
        <f t="shared" ref="L40:L45" si="24">I40+0.5*J40</f>
        <v>5</v>
      </c>
      <c r="M40" s="50">
        <f t="shared" ref="M40:M45" si="25">AVERAGE(C40:H40)</f>
        <v>110</v>
      </c>
      <c r="N40" s="63">
        <f>L40*500+M40*2*B39/(IF(AVERAGE($B$3, $B$12, $B$21, $B$30, $B$39)=0, 1, AVERAGE($B$3, $B$12, $B$21, $B$30, $B$39)))</f>
        <v>2716.163853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>
      <c r="A41" s="1"/>
      <c r="B41" s="36" t="s">
        <v>115</v>
      </c>
      <c r="C41" s="66">
        <v>36.0</v>
      </c>
      <c r="D41" s="68"/>
      <c r="E41" s="2">
        <v>120.0</v>
      </c>
      <c r="F41" s="2">
        <v>112.0</v>
      </c>
      <c r="G41" s="2">
        <v>208.0</v>
      </c>
      <c r="H41" s="40">
        <v>124.0</v>
      </c>
      <c r="I41" s="46">
        <f t="shared" si="21"/>
        <v>4</v>
      </c>
      <c r="J41" s="47">
        <f t="shared" si="22"/>
        <v>0</v>
      </c>
      <c r="K41" s="50">
        <f t="shared" si="23"/>
        <v>1</v>
      </c>
      <c r="L41" s="50">
        <f t="shared" si="24"/>
        <v>4</v>
      </c>
      <c r="M41" s="50">
        <f t="shared" si="25"/>
        <v>120</v>
      </c>
      <c r="N41" s="63">
        <f>L41*500+M41*2*B39/(IF(AVERAGE($B$3, $B$12, $B$21, $B$30, $B$39)=0, 1, AVERAGE($B$3, $B$12, $B$21, $B$30, $B$39)))</f>
        <v>2235.815112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>
      <c r="A42" s="1"/>
      <c r="B42" s="36" t="s">
        <v>13</v>
      </c>
      <c r="C42" s="36">
        <v>24.0</v>
      </c>
      <c r="D42" s="2">
        <v>42.0</v>
      </c>
      <c r="E42" s="68"/>
      <c r="F42" s="2">
        <v>42.0</v>
      </c>
      <c r="G42" s="2">
        <v>54.0</v>
      </c>
      <c r="H42" s="40">
        <v>34.0</v>
      </c>
      <c r="I42" s="38">
        <v>1.0</v>
      </c>
      <c r="J42" s="94">
        <f t="shared" si="22"/>
        <v>0</v>
      </c>
      <c r="K42" s="122">
        <v>4.0</v>
      </c>
      <c r="L42" s="50">
        <f t="shared" si="24"/>
        <v>1</v>
      </c>
      <c r="M42" s="50">
        <f t="shared" si="25"/>
        <v>39.2</v>
      </c>
      <c r="N42" s="63">
        <f>L42*500+M42*2*B39/(IF(AVERAGE($B$3, $B$12, $B$21, $B$30, $B$39)=0, 1, AVERAGE($B$3, $B$12, $B$21, $B$30, $B$39)))</f>
        <v>577.0329366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>
      <c r="A43" s="1"/>
      <c r="B43" s="36" t="s">
        <v>43</v>
      </c>
      <c r="C43" s="36">
        <v>12.0</v>
      </c>
      <c r="D43" s="2">
        <v>42.0</v>
      </c>
      <c r="E43" s="2">
        <v>84.0</v>
      </c>
      <c r="F43" s="68"/>
      <c r="G43" s="2">
        <v>74.0</v>
      </c>
      <c r="H43" s="40">
        <v>44.0</v>
      </c>
      <c r="I43" s="46">
        <f t="shared" ref="I43:I44" si="26">COUNTIF(K107:Q107,1)</f>
        <v>2</v>
      </c>
      <c r="J43" s="47">
        <f t="shared" si="22"/>
        <v>0</v>
      </c>
      <c r="K43" s="50">
        <f t="shared" ref="K43:K44" si="27">COUNTIF(K107:Q107,0)</f>
        <v>3</v>
      </c>
      <c r="L43" s="50">
        <f t="shared" si="24"/>
        <v>2</v>
      </c>
      <c r="M43" s="50">
        <f t="shared" si="25"/>
        <v>51.2</v>
      </c>
      <c r="N43" s="63">
        <f>L43*500+M43*2*B39/(IF(AVERAGE($B$3, $B$12, $B$21, $B$30, $B$39)=0, 1, AVERAGE($B$3, $B$12, $B$21, $B$30, $B$39)))</f>
        <v>1100.614448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>
      <c r="A44" s="1"/>
      <c r="B44" s="36" t="s">
        <v>181</v>
      </c>
      <c r="C44" s="36">
        <v>74.0</v>
      </c>
      <c r="D44" s="2">
        <v>24.0</v>
      </c>
      <c r="E44" s="2">
        <v>40.0</v>
      </c>
      <c r="F44" s="2">
        <v>54.0</v>
      </c>
      <c r="G44" s="68"/>
      <c r="H44" s="40">
        <v>76.0</v>
      </c>
      <c r="I44" s="46">
        <f t="shared" si="26"/>
        <v>1</v>
      </c>
      <c r="J44" s="47">
        <f t="shared" si="22"/>
        <v>0</v>
      </c>
      <c r="K44" s="50">
        <f t="shared" si="27"/>
        <v>4</v>
      </c>
      <c r="L44" s="50">
        <f t="shared" si="24"/>
        <v>1</v>
      </c>
      <c r="M44" s="50">
        <f t="shared" si="25"/>
        <v>53.6</v>
      </c>
      <c r="N44" s="63">
        <f>L44*500+M44*2*B39/(IF(AVERAGE($B$3, $B$12, $B$21, $B$30, $B$39)=0, 1, AVERAGE($B$3, $B$12, $B$21, $B$30, $B$39)))</f>
        <v>605.3307501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>
      <c r="A45" s="1"/>
      <c r="B45" s="82" t="s">
        <v>186</v>
      </c>
      <c r="C45" s="82">
        <v>70.0</v>
      </c>
      <c r="D45" s="84">
        <v>24.0</v>
      </c>
      <c r="E45" s="84">
        <v>48.0</v>
      </c>
      <c r="F45" s="84">
        <v>66.0</v>
      </c>
      <c r="G45" s="84">
        <v>52.0</v>
      </c>
      <c r="H45" s="85"/>
      <c r="I45" s="123">
        <v>2.0</v>
      </c>
      <c r="J45" s="88">
        <f t="shared" si="22"/>
        <v>0</v>
      </c>
      <c r="K45" s="119">
        <v>3.0</v>
      </c>
      <c r="L45" s="89">
        <f t="shared" si="24"/>
        <v>2</v>
      </c>
      <c r="M45" s="89">
        <f t="shared" si="25"/>
        <v>52</v>
      </c>
      <c r="N45" s="92">
        <f>L45*500+M45*2*B39/(IF(AVERAGE($B$3, $B$12, $B$21, $B$30, $B$39)=0, 1, AVERAGE($B$3, $B$12, $B$21, $B$30, $B$39)))</f>
        <v>1102.186549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34"/>
      <c r="Q48" s="1"/>
      <c r="R48" s="1"/>
      <c r="S48" s="1"/>
      <c r="T48" s="1"/>
      <c r="U48" s="1"/>
      <c r="V48" s="1"/>
      <c r="W48" s="1"/>
      <c r="X48" s="1"/>
      <c r="Y48" s="1"/>
      <c r="Z48" s="1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hidden="1">
      <c r="A67" s="1"/>
      <c r="B67" s="1"/>
      <c r="C67" s="124">
        <f t="shared" ref="C67:C73" si="28">B3</f>
        <v>70.53333333</v>
      </c>
      <c r="D67" s="124" t="str">
        <f t="array" ref="D67:I67">TRANSPOSE(C68:C73)</f>
        <v>Blair 1</v>
      </c>
      <c r="E67" s="124" t="s">
        <v>31</v>
      </c>
      <c r="F67" s="124" t="s">
        <v>37</v>
      </c>
      <c r="G67" s="124" t="s">
        <v>34</v>
      </c>
      <c r="H67" s="124" t="s">
        <v>42</v>
      </c>
      <c r="I67" s="124" t="s">
        <v>46</v>
      </c>
      <c r="J67" s="125"/>
      <c r="K67" s="125"/>
      <c r="L67" s="124" t="str">
        <f t="array" ref="L67:Q67">transpose(K68:K73)</f>
        <v>Blair 1</v>
      </c>
      <c r="M67" s="124" t="s">
        <v>31</v>
      </c>
      <c r="N67" s="124" t="s">
        <v>37</v>
      </c>
      <c r="O67" s="124" t="s">
        <v>34</v>
      </c>
      <c r="P67" s="124" t="s">
        <v>42</v>
      </c>
      <c r="Q67" s="124" t="s">
        <v>46</v>
      </c>
      <c r="R67" s="1"/>
      <c r="S67" s="1"/>
      <c r="T67" s="1"/>
      <c r="U67" s="1"/>
      <c r="V67" s="1"/>
      <c r="W67" s="1"/>
      <c r="X67" s="1"/>
      <c r="Y67" s="1"/>
      <c r="Z67" s="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hidden="1">
      <c r="A68" s="1"/>
      <c r="B68" s="1"/>
      <c r="C68" s="124" t="str">
        <f t="shared" si="28"/>
        <v>Blair 1</v>
      </c>
      <c r="D68" s="126" t="str">
        <f t="shared" ref="D68:I68" si="29">C4</f>
        <v/>
      </c>
      <c r="E68" s="125">
        <f t="shared" si="29"/>
        <v>90</v>
      </c>
      <c r="F68" s="124">
        <f t="shared" si="29"/>
        <v>180</v>
      </c>
      <c r="G68" s="124">
        <f t="shared" si="29"/>
        <v>150</v>
      </c>
      <c r="H68" s="124">
        <f t="shared" si="29"/>
        <v>146</v>
      </c>
      <c r="I68" s="124">
        <f t="shared" si="29"/>
        <v>238</v>
      </c>
      <c r="J68" s="125"/>
      <c r="K68" s="124" t="str">
        <f t="shared" ref="K68:K73" si="31">C68</f>
        <v>Blair 1</v>
      </c>
      <c r="L68" s="126"/>
      <c r="M68" s="124">
        <f>IF(E68&gt;D69, 1, IF(E68=D69, 0.5, 0))</f>
        <v>1</v>
      </c>
      <c r="N68" s="124">
        <f>IF(F68&gt;D70, 1, IF(F68=D70, 0.5, 0))</f>
        <v>1</v>
      </c>
      <c r="O68" s="124">
        <f>IF(G68&gt;D71, 1, IF(G68=D71, 0.5, 0))</f>
        <v>1</v>
      </c>
      <c r="P68" s="124">
        <f>IF(H68&gt;D72, 1, IF(H68=D72, 0.5, 0))</f>
        <v>1</v>
      </c>
      <c r="Q68" s="124">
        <f>IF(I68&gt;D73, 1, IF(I68=D73, 0.5, 0))</f>
        <v>1</v>
      </c>
      <c r="R68" s="1"/>
      <c r="S68" s="1"/>
      <c r="T68" s="1"/>
      <c r="U68" s="1"/>
      <c r="V68" s="1"/>
      <c r="W68" s="1"/>
      <c r="X68" s="1"/>
      <c r="Y68" s="1"/>
      <c r="Z68" s="1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hidden="1">
      <c r="A69" s="1"/>
      <c r="B69" s="1"/>
      <c r="C69" s="124" t="str">
        <f t="shared" si="28"/>
        <v>Frazer</v>
      </c>
      <c r="D69" s="125">
        <f t="shared" ref="D69:I69" si="30">C5</f>
        <v>80</v>
      </c>
      <c r="E69" s="126" t="str">
        <f t="shared" si="30"/>
        <v/>
      </c>
      <c r="F69" s="125">
        <f t="shared" si="30"/>
        <v>130</v>
      </c>
      <c r="G69" s="125">
        <f t="shared" si="30"/>
        <v>116</v>
      </c>
      <c r="H69" s="125">
        <f t="shared" si="30"/>
        <v>206</v>
      </c>
      <c r="I69" s="125">
        <f t="shared" si="30"/>
        <v>166</v>
      </c>
      <c r="J69" s="125"/>
      <c r="K69" s="124" t="str">
        <f t="shared" si="31"/>
        <v>Frazer</v>
      </c>
      <c r="L69" s="124">
        <f>1-M68</f>
        <v>0</v>
      </c>
      <c r="M69" s="126"/>
      <c r="N69" s="124">
        <f>IF(F69&gt;E70, 1, IF(F69=E70, 0.5, 0))</f>
        <v>1</v>
      </c>
      <c r="O69" s="124">
        <f>IF(G69&gt;E71, 1, IF(G69=E71, 0.5, 0))</f>
        <v>1</v>
      </c>
      <c r="P69" s="124">
        <f>IF(H69&gt;E72, 1, IF(H69=E72, 0.5, 0))</f>
        <v>1</v>
      </c>
      <c r="Q69" s="124">
        <f>IF(I69&gt;E73, 1, IF(I69=E73, 0.5, 0))</f>
        <v>1</v>
      </c>
      <c r="R69" s="1"/>
      <c r="S69" s="1"/>
      <c r="T69" s="1"/>
      <c r="U69" s="1"/>
      <c r="V69" s="1"/>
      <c r="W69" s="1"/>
      <c r="X69" s="1"/>
      <c r="Y69" s="1"/>
      <c r="Z69" s="1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hidden="1">
      <c r="A70" s="1"/>
      <c r="B70" s="1"/>
      <c r="C70" s="124" t="str">
        <f t="shared" si="28"/>
        <v>JP Stevens 1</v>
      </c>
      <c r="D70" s="124">
        <f t="shared" ref="D70:I70" si="32">C6</f>
        <v>0</v>
      </c>
      <c r="E70" s="125">
        <f t="shared" si="32"/>
        <v>46</v>
      </c>
      <c r="F70" s="126" t="str">
        <f t="shared" si="32"/>
        <v/>
      </c>
      <c r="G70" s="124">
        <f t="shared" si="32"/>
        <v>60</v>
      </c>
      <c r="H70" s="124">
        <f t="shared" si="32"/>
        <v>34</v>
      </c>
      <c r="I70" s="124">
        <f t="shared" si="32"/>
        <v>44</v>
      </c>
      <c r="J70" s="125"/>
      <c r="K70" s="124" t="str">
        <f t="shared" si="31"/>
        <v>JP Stevens 1</v>
      </c>
      <c r="L70" s="124">
        <f>1-N68</f>
        <v>0</v>
      </c>
      <c r="M70" s="124">
        <f>1-N69</f>
        <v>0</v>
      </c>
      <c r="N70" s="126"/>
      <c r="O70" s="124">
        <f>IF(G70&gt;F71, 1, IF(G70=F71, 0.5, 0))</f>
        <v>0</v>
      </c>
      <c r="P70" s="124">
        <f>IF(H70&gt;F72, 1, IF(H70=F72, 0.5, 0))</f>
        <v>1</v>
      </c>
      <c r="Q70" s="124">
        <f>IF(I70&gt;F74, 1, IF(I70=F74, 0.5, 0))</f>
        <v>1</v>
      </c>
      <c r="R70" s="1"/>
      <c r="S70" s="1"/>
      <c r="T70" s="1"/>
      <c r="U70" s="1"/>
      <c r="V70" s="1"/>
      <c r="W70" s="1"/>
      <c r="X70" s="1"/>
      <c r="Y70" s="1"/>
      <c r="Z70" s="1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hidden="1">
      <c r="A71" s="1"/>
      <c r="B71" s="1"/>
      <c r="C71" s="124" t="str">
        <f t="shared" si="28"/>
        <v>Amador Valley</v>
      </c>
      <c r="D71" s="124">
        <f t="shared" ref="D71:I71" si="33">C7</f>
        <v>22</v>
      </c>
      <c r="E71" s="125">
        <f t="shared" si="33"/>
        <v>22</v>
      </c>
      <c r="F71" s="124">
        <f t="shared" si="33"/>
        <v>82</v>
      </c>
      <c r="G71" s="126" t="str">
        <f t="shared" si="33"/>
        <v/>
      </c>
      <c r="H71" s="124">
        <f t="shared" si="33"/>
        <v>44</v>
      </c>
      <c r="I71" s="124">
        <f t="shared" si="33"/>
        <v>70</v>
      </c>
      <c r="J71" s="125"/>
      <c r="K71" s="124" t="str">
        <f t="shared" si="31"/>
        <v>Amador Valley</v>
      </c>
      <c r="L71" s="124">
        <f>1-O68</f>
        <v>0</v>
      </c>
      <c r="M71" s="124">
        <f>1-O69</f>
        <v>0</v>
      </c>
      <c r="N71" s="124">
        <f>1-O70</f>
        <v>1</v>
      </c>
      <c r="O71" s="126"/>
      <c r="P71" s="124">
        <f>IF(H71&gt;G72, 1, IF(H71=G72, 0.5, 0))</f>
        <v>1</v>
      </c>
      <c r="Q71" s="124">
        <f>IF(I71&gt;G73, 1, IF(I71=G73, 0.5, 0))</f>
        <v>1</v>
      </c>
      <c r="R71" s="1"/>
      <c r="S71" s="1"/>
      <c r="T71" s="1"/>
      <c r="U71" s="1"/>
      <c r="V71" s="1"/>
      <c r="W71" s="1"/>
      <c r="X71" s="1"/>
      <c r="Y71" s="1"/>
      <c r="Z71" s="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hidden="1">
      <c r="A72" s="1"/>
      <c r="B72" s="1"/>
      <c r="C72" s="124" t="str">
        <f t="shared" si="28"/>
        <v>Coral Academy 2</v>
      </c>
      <c r="D72" s="124">
        <f t="shared" ref="D72:I72" si="34">C8</f>
        <v>0</v>
      </c>
      <c r="E72" s="125">
        <f t="shared" si="34"/>
        <v>-4</v>
      </c>
      <c r="F72" s="124">
        <f t="shared" si="34"/>
        <v>8</v>
      </c>
      <c r="G72" s="124">
        <f t="shared" si="34"/>
        <v>12</v>
      </c>
      <c r="H72" s="126" t="str">
        <f t="shared" si="34"/>
        <v/>
      </c>
      <c r="I72" s="124">
        <f t="shared" si="34"/>
        <v>2</v>
      </c>
      <c r="J72" s="125"/>
      <c r="K72" s="124" t="str">
        <f t="shared" si="31"/>
        <v>Coral Academy 2</v>
      </c>
      <c r="L72" s="124">
        <f>1-P68</f>
        <v>0</v>
      </c>
      <c r="M72" s="124">
        <f>1-P69</f>
        <v>0</v>
      </c>
      <c r="N72" s="124">
        <f>1-P70</f>
        <v>0</v>
      </c>
      <c r="O72" s="124">
        <f>1-P71</f>
        <v>0</v>
      </c>
      <c r="P72" s="126"/>
      <c r="Q72" s="124">
        <f>IF(I72&gt;H73, 1, IF(I72=H73, 0.5, 0))</f>
        <v>0</v>
      </c>
      <c r="R72" s="1"/>
      <c r="S72" s="1"/>
      <c r="T72" s="1"/>
      <c r="U72" s="1"/>
      <c r="V72" s="1"/>
      <c r="W72" s="1"/>
      <c r="X72" s="1"/>
      <c r="Y72" s="1"/>
      <c r="Z72" s="1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hidden="1">
      <c r="A73" s="1"/>
      <c r="B73" s="1"/>
      <c r="C73" s="124" t="str">
        <f t="shared" si="28"/>
        <v>Princeton</v>
      </c>
      <c r="D73" s="124">
        <f t="shared" ref="D73:I73" si="35">C9</f>
        <v>-4</v>
      </c>
      <c r="E73" s="125">
        <f t="shared" si="35"/>
        <v>28</v>
      </c>
      <c r="F73" s="124">
        <f t="shared" si="35"/>
        <v>26</v>
      </c>
      <c r="G73" s="124">
        <f t="shared" si="35"/>
        <v>60</v>
      </c>
      <c r="H73" s="124">
        <f t="shared" si="35"/>
        <v>62</v>
      </c>
      <c r="I73" s="126" t="str">
        <f t="shared" si="35"/>
        <v/>
      </c>
      <c r="J73" s="125"/>
      <c r="K73" s="124" t="str">
        <f t="shared" si="31"/>
        <v>Princeton</v>
      </c>
      <c r="L73" s="124">
        <f>1-Q68</f>
        <v>0</v>
      </c>
      <c r="M73" s="124">
        <f>1-Q69</f>
        <v>0</v>
      </c>
      <c r="N73" s="124">
        <f>1-Q70</f>
        <v>0</v>
      </c>
      <c r="O73" s="124">
        <f>1-Q71</f>
        <v>0</v>
      </c>
      <c r="P73" s="124">
        <f>1-Q72</f>
        <v>1</v>
      </c>
      <c r="Q73" s="126"/>
      <c r="R73" s="1"/>
      <c r="S73" s="1"/>
      <c r="T73" s="1"/>
      <c r="U73" s="1"/>
      <c r="V73" s="1"/>
      <c r="W73" s="1"/>
      <c r="X73" s="1"/>
      <c r="Y73" s="1"/>
      <c r="Z73" s="1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hidden="1">
      <c r="A74" s="1"/>
      <c r="B74" s="1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"/>
      <c r="S74" s="1"/>
      <c r="T74" s="1"/>
      <c r="U74" s="1"/>
      <c r="V74" s="1"/>
      <c r="W74" s="1"/>
      <c r="X74" s="1"/>
      <c r="Y74" s="1"/>
      <c r="Z74" s="1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hidden="1">
      <c r="A75" s="1"/>
      <c r="B75" s="1"/>
      <c r="C75" s="124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"/>
      <c r="S75" s="1"/>
      <c r="T75" s="1"/>
      <c r="U75" s="1"/>
      <c r="V75" s="1"/>
      <c r="W75" s="1"/>
      <c r="X75" s="1"/>
      <c r="Y75" s="1"/>
      <c r="Z75" s="1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hidden="1">
      <c r="A76" s="1"/>
      <c r="B76" s="1"/>
      <c r="C76" s="124"/>
      <c r="D76" s="124" t="str">
        <f t="array" ref="D76:I76">TRANSPOSE(C77:C82)</f>
        <v>Clements 2</v>
      </c>
      <c r="E76" s="124" t="s">
        <v>112</v>
      </c>
      <c r="F76" s="124" t="s">
        <v>139</v>
      </c>
      <c r="G76" s="124" t="s">
        <v>143</v>
      </c>
      <c r="H76" s="124" t="s">
        <v>82</v>
      </c>
      <c r="I76" s="124" t="s">
        <v>104</v>
      </c>
      <c r="J76" s="125"/>
      <c r="K76" s="125"/>
      <c r="L76" s="124" t="str">
        <f t="array" ref="L76:Q76">transpose(K77:K82)</f>
        <v>Clements 2</v>
      </c>
      <c r="M76" s="124" t="s">
        <v>112</v>
      </c>
      <c r="N76" s="124" t="s">
        <v>139</v>
      </c>
      <c r="O76" s="124" t="s">
        <v>143</v>
      </c>
      <c r="P76" s="124" t="s">
        <v>82</v>
      </c>
      <c r="Q76" s="124" t="s">
        <v>104</v>
      </c>
      <c r="R76" s="1"/>
      <c r="S76" s="1"/>
      <c r="T76" s="1"/>
      <c r="U76" s="1"/>
      <c r="V76" s="1"/>
      <c r="W76" s="1"/>
      <c r="X76" s="1"/>
      <c r="Y76" s="1"/>
      <c r="Z76" s="1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hidden="1">
      <c r="A77" s="1"/>
      <c r="B77" s="1"/>
      <c r="C77" s="124" t="str">
        <f t="shared" ref="C77:I77" si="36">B13</f>
        <v>Clements 2</v>
      </c>
      <c r="D77" s="125" t="str">
        <f t="shared" si="36"/>
        <v/>
      </c>
      <c r="E77" s="124">
        <f t="shared" si="36"/>
        <v>28</v>
      </c>
      <c r="F77" s="124">
        <f t="shared" si="36"/>
        <v>0</v>
      </c>
      <c r="G77" s="124">
        <f t="shared" si="36"/>
        <v>32</v>
      </c>
      <c r="H77" s="124">
        <f t="shared" si="36"/>
        <v>64</v>
      </c>
      <c r="I77" s="124">
        <f t="shared" si="36"/>
        <v>122</v>
      </c>
      <c r="J77" s="125"/>
      <c r="K77" s="124" t="str">
        <f t="shared" ref="K77:K82" si="38">C77</f>
        <v>Clements 2</v>
      </c>
      <c r="L77" s="126"/>
      <c r="M77" s="124">
        <f>IF(E77&gt;D78, 1, IF(E77=D78, 0.5, 0))</f>
        <v>0</v>
      </c>
      <c r="N77" s="124">
        <f>IF(F77&gt;D79, 1, IF(F77=D79, 0.5, 0))</f>
        <v>0</v>
      </c>
      <c r="O77" s="124">
        <f>IF(G77&gt;D80, 1, IF(G77=D80, 0.5, 0))</f>
        <v>0</v>
      </c>
      <c r="P77" s="124">
        <f>IF(H77&gt;D81, 1, IF(H77=D81, 0.5, 0))</f>
        <v>0</v>
      </c>
      <c r="Q77" s="124">
        <f>IF(I77&gt;D82, 1, IF(I77=D82, 0.5, 0))</f>
        <v>1</v>
      </c>
      <c r="R77" s="1"/>
      <c r="S77" s="1"/>
      <c r="T77" s="1"/>
      <c r="U77" s="1"/>
      <c r="V77" s="1"/>
      <c r="W77" s="1"/>
      <c r="X77" s="1"/>
      <c r="Y77" s="1"/>
      <c r="Z77" s="1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hidden="1">
      <c r="A78" s="1"/>
      <c r="B78" s="1"/>
      <c r="C78" s="124" t="str">
        <f t="shared" ref="C78:I78" si="37">B14</f>
        <v>Chattahoochee</v>
      </c>
      <c r="D78" s="124">
        <f t="shared" si="37"/>
        <v>50</v>
      </c>
      <c r="E78" s="125" t="str">
        <f t="shared" si="37"/>
        <v/>
      </c>
      <c r="F78" s="124">
        <f t="shared" si="37"/>
        <v>48</v>
      </c>
      <c r="G78" s="124">
        <f t="shared" si="37"/>
        <v>48</v>
      </c>
      <c r="H78" s="124">
        <f t="shared" si="37"/>
        <v>34</v>
      </c>
      <c r="I78" s="124">
        <f t="shared" si="37"/>
        <v>76</v>
      </c>
      <c r="J78" s="125"/>
      <c r="K78" s="124" t="str">
        <f t="shared" si="38"/>
        <v>Chattahoochee</v>
      </c>
      <c r="L78" s="124">
        <f>1-M77</f>
        <v>1</v>
      </c>
      <c r="M78" s="126"/>
      <c r="N78" s="124">
        <f>IF(F78&gt;E79, 1, IF(F78=E79, 0.5, 0))</f>
        <v>0</v>
      </c>
      <c r="O78" s="124">
        <f>IF(G78&gt;E80, 1, IF(G78=E80, 0.5, 0))</f>
        <v>0</v>
      </c>
      <c r="P78" s="124">
        <f>IF(H78&gt;E81, 1, IF(H78=E81, 0.5, 0))</f>
        <v>0</v>
      </c>
      <c r="Q78" s="124">
        <f>IF(I78&gt;E82, 1, IF(I78=E82, 0.5, 0))</f>
        <v>1</v>
      </c>
      <c r="R78" s="1"/>
      <c r="S78" s="1"/>
      <c r="T78" s="1"/>
      <c r="U78" s="1"/>
      <c r="V78" s="1"/>
      <c r="W78" s="1"/>
      <c r="X78" s="1"/>
      <c r="Y78" s="1"/>
      <c r="Z78" s="1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hidden="1">
      <c r="A79" s="1"/>
      <c r="B79" s="1"/>
      <c r="C79" s="124" t="str">
        <f t="shared" ref="C79:I79" si="39">B15</f>
        <v>Lynbrook Argon</v>
      </c>
      <c r="D79" s="124">
        <f t="shared" si="39"/>
        <v>142</v>
      </c>
      <c r="E79" s="124">
        <f t="shared" si="39"/>
        <v>120</v>
      </c>
      <c r="F79" s="125" t="str">
        <f t="shared" si="39"/>
        <v/>
      </c>
      <c r="G79" s="124">
        <f t="shared" si="39"/>
        <v>140</v>
      </c>
      <c r="H79" s="124">
        <f t="shared" si="39"/>
        <v>120</v>
      </c>
      <c r="I79" s="124">
        <f t="shared" si="39"/>
        <v>180</v>
      </c>
      <c r="J79" s="125"/>
      <c r="K79" s="124" t="str">
        <f t="shared" si="38"/>
        <v>Lynbrook Argon</v>
      </c>
      <c r="L79" s="124">
        <f>1-N77</f>
        <v>1</v>
      </c>
      <c r="M79" s="124">
        <f>1-N78</f>
        <v>1</v>
      </c>
      <c r="N79" s="126"/>
      <c r="O79" s="124">
        <f>IF(G79&gt;F80, 1, IF(G79=F80, 0.5, 0))</f>
        <v>1</v>
      </c>
      <c r="P79" s="124">
        <f>IF(H79&gt;F81, 1, IF(H79=F81, 0.5, 0))</f>
        <v>1</v>
      </c>
      <c r="Q79" s="124">
        <f>IF(I79&gt;F83, 1, IF(I79=F83, 0.5, 0))</f>
        <v>1</v>
      </c>
      <c r="R79" s="1"/>
      <c r="S79" s="1"/>
      <c r="T79" s="1"/>
      <c r="U79" s="1"/>
      <c r="V79" s="1"/>
      <c r="W79" s="1"/>
      <c r="X79" s="1"/>
      <c r="Y79" s="1"/>
      <c r="Z79" s="1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hidden="1">
      <c r="A80" s="1"/>
      <c r="B80" s="1"/>
      <c r="C80" s="124" t="str">
        <f t="shared" ref="C80:I80" si="40">B16</f>
        <v>Blair 2</v>
      </c>
      <c r="D80" s="124">
        <f t="shared" si="40"/>
        <v>92</v>
      </c>
      <c r="E80" s="124">
        <f t="shared" si="40"/>
        <v>50</v>
      </c>
      <c r="F80" s="124">
        <f t="shared" si="40"/>
        <v>84</v>
      </c>
      <c r="G80" s="125" t="str">
        <f t="shared" si="40"/>
        <v/>
      </c>
      <c r="H80" s="124">
        <f t="shared" si="40"/>
        <v>20</v>
      </c>
      <c r="I80" s="124">
        <f t="shared" si="40"/>
        <v>112</v>
      </c>
      <c r="J80" s="125"/>
      <c r="K80" s="124" t="str">
        <f t="shared" si="38"/>
        <v>Blair 2</v>
      </c>
      <c r="L80" s="124">
        <f>1-O77</f>
        <v>1</v>
      </c>
      <c r="M80" s="124">
        <f>1-O78</f>
        <v>1</v>
      </c>
      <c r="N80" s="124">
        <f>1-O79</f>
        <v>0</v>
      </c>
      <c r="O80" s="126"/>
      <c r="P80" s="124">
        <f>IF(H80&gt;G81, 1, IF(H80=G81, 0.5, 0))</f>
        <v>0</v>
      </c>
      <c r="Q80" s="124">
        <f>IF(I80&gt;G82, 1, IF(I80=G82, 0.5, 0))</f>
        <v>1</v>
      </c>
      <c r="R80" s="1"/>
      <c r="S80" s="1"/>
      <c r="T80" s="1"/>
      <c r="U80" s="1"/>
      <c r="V80" s="1"/>
      <c r="W80" s="1"/>
      <c r="X80" s="1"/>
      <c r="Y80" s="1"/>
      <c r="Z80" s="1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hidden="1">
      <c r="A81" s="1"/>
      <c r="B81" s="1"/>
      <c r="C81" s="124" t="str">
        <f t="shared" ref="C81:I81" si="41">B17</f>
        <v>Temple City</v>
      </c>
      <c r="D81" s="124">
        <f t="shared" si="41"/>
        <v>104</v>
      </c>
      <c r="E81" s="124">
        <f t="shared" si="41"/>
        <v>138</v>
      </c>
      <c r="F81" s="124">
        <f t="shared" si="41"/>
        <v>52</v>
      </c>
      <c r="G81" s="124">
        <f t="shared" si="41"/>
        <v>80</v>
      </c>
      <c r="H81" s="125" t="str">
        <f t="shared" si="41"/>
        <v/>
      </c>
      <c r="I81" s="124">
        <f t="shared" si="41"/>
        <v>90</v>
      </c>
      <c r="J81" s="125"/>
      <c r="K81" s="124" t="str">
        <f t="shared" si="38"/>
        <v>Temple City</v>
      </c>
      <c r="L81" s="124">
        <f>1-P77</f>
        <v>1</v>
      </c>
      <c r="M81" s="124">
        <f>1-P78</f>
        <v>1</v>
      </c>
      <c r="N81" s="124">
        <f>1-P79</f>
        <v>0</v>
      </c>
      <c r="O81" s="124">
        <f>1-P80</f>
        <v>1</v>
      </c>
      <c r="P81" s="126"/>
      <c r="Q81" s="124">
        <f>IF(I81&gt;H82, 1, IF(I81=H82, 0.5, 0))</f>
        <v>1</v>
      </c>
      <c r="R81" s="1"/>
      <c r="S81" s="1"/>
      <c r="T81" s="1"/>
      <c r="U81" s="1"/>
      <c r="V81" s="1"/>
      <c r="W81" s="1"/>
      <c r="X81" s="1"/>
      <c r="Y81" s="1"/>
      <c r="Z81" s="1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hidden="1">
      <c r="A82" s="1"/>
      <c r="B82" s="1"/>
      <c r="C82" s="124" t="str">
        <f t="shared" ref="C82:I82" si="42">B18</f>
        <v>Coral Academy 1</v>
      </c>
      <c r="D82" s="124">
        <f t="shared" si="42"/>
        <v>10</v>
      </c>
      <c r="E82" s="124">
        <f t="shared" si="42"/>
        <v>20</v>
      </c>
      <c r="F82" s="124">
        <f t="shared" si="42"/>
        <v>0</v>
      </c>
      <c r="G82" s="124">
        <f t="shared" si="42"/>
        <v>22</v>
      </c>
      <c r="H82" s="124">
        <f t="shared" si="42"/>
        <v>4</v>
      </c>
      <c r="I82" s="125" t="str">
        <f t="shared" si="42"/>
        <v/>
      </c>
      <c r="J82" s="125"/>
      <c r="K82" s="124" t="str">
        <f t="shared" si="38"/>
        <v>Coral Academy 1</v>
      </c>
      <c r="L82" s="124">
        <f>1-Q77</f>
        <v>0</v>
      </c>
      <c r="M82" s="124">
        <f>1-Q78</f>
        <v>0</v>
      </c>
      <c r="N82" s="124">
        <f>1-Q79</f>
        <v>0</v>
      </c>
      <c r="O82" s="124">
        <f>1-Q80</f>
        <v>0</v>
      </c>
      <c r="P82" s="124">
        <f>1-Q81</f>
        <v>0</v>
      </c>
      <c r="Q82" s="126"/>
      <c r="R82" s="1"/>
      <c r="S82" s="1"/>
      <c r="T82" s="1"/>
      <c r="U82" s="1"/>
      <c r="V82" s="1"/>
      <c r="W82" s="1"/>
      <c r="X82" s="1"/>
      <c r="Y82" s="1"/>
      <c r="Z82" s="1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hidden="1">
      <c r="A83" s="1"/>
      <c r="B83" s="1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"/>
      <c r="S83" s="1"/>
      <c r="T83" s="1"/>
      <c r="U83" s="1"/>
      <c r="V83" s="1"/>
      <c r="W83" s="1"/>
      <c r="X83" s="1"/>
      <c r="Y83" s="1"/>
      <c r="Z83" s="1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hidden="1">
      <c r="A84" s="1"/>
      <c r="B84" s="1"/>
      <c r="C84" s="124" t="str">
        <f>C20</f>
        <v/>
      </c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"/>
      <c r="S84" s="1"/>
      <c r="T84" s="1"/>
      <c r="U84" s="1"/>
      <c r="V84" s="1"/>
      <c r="W84" s="1"/>
      <c r="X84" s="1"/>
      <c r="Y84" s="1"/>
      <c r="Z84" s="1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hidden="1">
      <c r="A85" s="1"/>
      <c r="B85" s="1"/>
      <c r="C85" s="124">
        <f t="shared" ref="C85:C91" si="43">B21</f>
        <v>79.46666667</v>
      </c>
      <c r="D85" s="124" t="str">
        <f t="array" ref="D85:I85">TRANSPOSE(C86:C91)</f>
        <v>Palo Alto</v>
      </c>
      <c r="E85" s="124" t="s">
        <v>22</v>
      </c>
      <c r="F85" s="124" t="s">
        <v>144</v>
      </c>
      <c r="G85" s="124" t="s">
        <v>122</v>
      </c>
      <c r="H85" s="124" t="s">
        <v>177</v>
      </c>
      <c r="I85" s="124" t="s">
        <v>185</v>
      </c>
      <c r="J85" s="125"/>
      <c r="K85" s="125"/>
      <c r="L85" s="124" t="str">
        <f t="array" ref="L85:Q85">transpose(K86:K91)</f>
        <v>Palo Alto</v>
      </c>
      <c r="M85" s="124" t="s">
        <v>22</v>
      </c>
      <c r="N85" s="124" t="s">
        <v>144</v>
      </c>
      <c r="O85" s="124" t="s">
        <v>122</v>
      </c>
      <c r="P85" s="124" t="s">
        <v>177</v>
      </c>
      <c r="Q85" s="124" t="s">
        <v>185</v>
      </c>
      <c r="R85" s="1"/>
      <c r="S85" s="1"/>
      <c r="T85" s="1"/>
      <c r="U85" s="1"/>
      <c r="V85" s="1"/>
      <c r="W85" s="1"/>
      <c r="X85" s="1"/>
      <c r="Y85" s="1"/>
      <c r="Z85" s="1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hidden="1">
      <c r="A86" s="1"/>
      <c r="B86" s="1"/>
      <c r="C86" s="124" t="str">
        <f t="shared" si="43"/>
        <v>Palo Alto</v>
      </c>
      <c r="D86" s="125" t="str">
        <f t="shared" ref="D86:I86" si="44">C22</f>
        <v/>
      </c>
      <c r="E86" s="124">
        <f t="shared" si="44"/>
        <v>30</v>
      </c>
      <c r="F86" s="124">
        <f t="shared" si="44"/>
        <v>76</v>
      </c>
      <c r="G86" s="124">
        <f t="shared" si="44"/>
        <v>60</v>
      </c>
      <c r="H86" s="124">
        <f t="shared" si="44"/>
        <v>102</v>
      </c>
      <c r="I86" s="124">
        <f t="shared" si="44"/>
        <v>124</v>
      </c>
      <c r="J86" s="125"/>
      <c r="K86" s="124" t="str">
        <f t="shared" ref="K86:K91" si="46">C86</f>
        <v>Palo Alto</v>
      </c>
      <c r="L86" s="126"/>
      <c r="M86" s="124">
        <f>IF(E86&gt;D87, 1, IF(E86=D87, 0.5, 0))</f>
        <v>0</v>
      </c>
      <c r="N86" s="124">
        <f>IF(F86&gt;D88, 1, IF(F86=D88, 0.5, 0))</f>
        <v>1</v>
      </c>
      <c r="O86" s="124">
        <f>IF(G86&gt;D89, 1, IF(G86=D89, 0.5, 0))</f>
        <v>0.5</v>
      </c>
      <c r="P86" s="124">
        <f>IF(H86&gt;D90, 1, IF(H86=D90, 0.5, 0))</f>
        <v>1</v>
      </c>
      <c r="Q86" s="124">
        <f>IF(I86&gt;D91, 1, IF(I86=D91, 0.5, 0))</f>
        <v>1</v>
      </c>
      <c r="R86" s="1"/>
      <c r="S86" s="1"/>
      <c r="T86" s="1"/>
      <c r="U86" s="1"/>
      <c r="V86" s="1"/>
      <c r="W86" s="1"/>
      <c r="X86" s="1"/>
      <c r="Y86" s="1"/>
      <c r="Z86" s="1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hidden="1">
      <c r="A87" s="1"/>
      <c r="B87" s="1"/>
      <c r="C87" s="124" t="str">
        <f t="shared" si="43"/>
        <v>Patel Family</v>
      </c>
      <c r="D87" s="124">
        <f t="shared" ref="D87:I87" si="45">C23</f>
        <v>110</v>
      </c>
      <c r="E87" s="125" t="str">
        <f t="shared" si="45"/>
        <v/>
      </c>
      <c r="F87" s="124">
        <f t="shared" si="45"/>
        <v>118</v>
      </c>
      <c r="G87" s="124">
        <f t="shared" si="45"/>
        <v>136</v>
      </c>
      <c r="H87" s="124">
        <f t="shared" si="45"/>
        <v>98</v>
      </c>
      <c r="I87" s="124">
        <f t="shared" si="45"/>
        <v>120</v>
      </c>
      <c r="J87" s="125"/>
      <c r="K87" s="124" t="str">
        <f t="shared" si="46"/>
        <v>Patel Family</v>
      </c>
      <c r="L87" s="124">
        <f>1-M86</f>
        <v>1</v>
      </c>
      <c r="M87" s="126"/>
      <c r="N87" s="124">
        <f>IF(F87&gt;E88, 1, IF(F87=E88, 0.5, 0))</f>
        <v>1</v>
      </c>
      <c r="O87" s="124">
        <f>IF(G87&gt;E89, 1, IF(G87=E89, 0.5, 0))</f>
        <v>1</v>
      </c>
      <c r="P87" s="124">
        <f>IF(H87&gt;E90, 1, IF(H87=E90, 0.5, 0))</f>
        <v>0</v>
      </c>
      <c r="Q87" s="124">
        <f>IF(I87&gt;E91, 1, IF(I87=E91, 0.5, 0))</f>
        <v>1</v>
      </c>
      <c r="R87" s="1"/>
      <c r="S87" s="1"/>
      <c r="T87" s="1"/>
      <c r="U87" s="1"/>
      <c r="V87" s="1"/>
      <c r="W87" s="1"/>
      <c r="X87" s="1"/>
      <c r="Y87" s="1"/>
      <c r="Z87" s="1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hidden="1">
      <c r="A88" s="1"/>
      <c r="B88" s="1"/>
      <c r="C88" s="124" t="str">
        <f t="shared" si="43"/>
        <v>VMATHS</v>
      </c>
      <c r="D88" s="124">
        <f t="shared" ref="D88:I88" si="47">C24</f>
        <v>28</v>
      </c>
      <c r="E88" s="124">
        <f t="shared" si="47"/>
        <v>56</v>
      </c>
      <c r="F88" s="125" t="str">
        <f t="shared" si="47"/>
        <v/>
      </c>
      <c r="G88" s="124">
        <f t="shared" si="47"/>
        <v>86</v>
      </c>
      <c r="H88" s="124">
        <f t="shared" si="47"/>
        <v>0</v>
      </c>
      <c r="I88" s="124">
        <f t="shared" si="47"/>
        <v>70</v>
      </c>
      <c r="J88" s="125"/>
      <c r="K88" s="124" t="str">
        <f t="shared" si="46"/>
        <v>VMATHS</v>
      </c>
      <c r="L88" s="124">
        <f>1-N86</f>
        <v>0</v>
      </c>
      <c r="M88" s="124">
        <f>1-N87</f>
        <v>0</v>
      </c>
      <c r="N88" s="126"/>
      <c r="O88" s="124">
        <f>IF(G88&gt;F89, 1, IF(G88=F89, 0.5, 0))</f>
        <v>0</v>
      </c>
      <c r="P88" s="124">
        <f>IF(H88&gt;F90, 1, IF(H88=F90, 0.5, 0))</f>
        <v>0</v>
      </c>
      <c r="Q88" s="124">
        <f>IF(I88&gt;F91, 1, IF(I88=F91, 0.5, 0))</f>
        <v>0</v>
      </c>
      <c r="R88" s="1"/>
      <c r="S88" s="1"/>
      <c r="T88" s="1"/>
      <c r="U88" s="1"/>
      <c r="V88" s="1"/>
      <c r="W88" s="1"/>
      <c r="X88" s="1"/>
      <c r="Y88" s="1"/>
      <c r="Z88" s="1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hidden="1">
      <c r="A89" s="1"/>
      <c r="B89" s="1"/>
      <c r="C89" s="124" t="str">
        <f t="shared" si="43"/>
        <v>Hunter</v>
      </c>
      <c r="D89" s="124">
        <f t="shared" ref="D89:I89" si="48">C25</f>
        <v>60</v>
      </c>
      <c r="E89" s="124">
        <f t="shared" si="48"/>
        <v>50</v>
      </c>
      <c r="F89" s="124">
        <f t="shared" si="48"/>
        <v>98</v>
      </c>
      <c r="G89" s="125" t="str">
        <f t="shared" si="48"/>
        <v/>
      </c>
      <c r="H89" s="124">
        <f t="shared" si="48"/>
        <v>54</v>
      </c>
      <c r="I89" s="124">
        <f t="shared" si="48"/>
        <v>102</v>
      </c>
      <c r="J89" s="125"/>
      <c r="K89" s="124" t="str">
        <f t="shared" si="46"/>
        <v>Hunter</v>
      </c>
      <c r="L89" s="124">
        <f>1-O86</f>
        <v>0.5</v>
      </c>
      <c r="M89" s="124">
        <f>1-O87</f>
        <v>0</v>
      </c>
      <c r="N89" s="124">
        <f>1-O88</f>
        <v>1</v>
      </c>
      <c r="O89" s="126"/>
      <c r="P89" s="124">
        <f>IF(H89&gt;G90, 1, IF(H89=G90, 0.5, 0))</f>
        <v>0</v>
      </c>
      <c r="Q89" s="124">
        <f>IF(I89&gt;G91, 1, IF(I89=G91, 0.5, 0))</f>
        <v>1</v>
      </c>
      <c r="R89" s="1"/>
      <c r="S89" s="1"/>
      <c r="T89" s="1"/>
      <c r="U89" s="1"/>
      <c r="V89" s="1"/>
      <c r="W89" s="1"/>
      <c r="X89" s="1"/>
      <c r="Y89" s="1"/>
      <c r="Z89" s="1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hidden="1">
      <c r="A90" s="1"/>
      <c r="B90" s="1"/>
      <c r="C90" s="124" t="str">
        <f t="shared" si="43"/>
        <v>NOHO 2</v>
      </c>
      <c r="D90" s="124">
        <f t="shared" ref="D90:I90" si="49">C26</f>
        <v>64</v>
      </c>
      <c r="E90" s="124">
        <f t="shared" si="49"/>
        <v>112</v>
      </c>
      <c r="F90" s="124">
        <f t="shared" si="49"/>
        <v>98</v>
      </c>
      <c r="G90" s="124">
        <f t="shared" si="49"/>
        <v>80</v>
      </c>
      <c r="H90" s="125" t="str">
        <f t="shared" si="49"/>
        <v/>
      </c>
      <c r="I90" s="124">
        <f t="shared" si="49"/>
        <v>92</v>
      </c>
      <c r="J90" s="125"/>
      <c r="K90" s="124" t="str">
        <f t="shared" si="46"/>
        <v>NOHO 2</v>
      </c>
      <c r="L90" s="124">
        <f>1-P86</f>
        <v>0</v>
      </c>
      <c r="M90" s="124">
        <f>1-P87</f>
        <v>1</v>
      </c>
      <c r="N90" s="124">
        <f>1-P88</f>
        <v>1</v>
      </c>
      <c r="O90" s="124">
        <f>1-P89</f>
        <v>1</v>
      </c>
      <c r="P90" s="126"/>
      <c r="Q90" s="124">
        <f>IF(I90&gt;H91, 1, IF(I90=H91, 0.5, 0))</f>
        <v>1</v>
      </c>
      <c r="R90" s="1"/>
      <c r="S90" s="1"/>
      <c r="T90" s="1"/>
      <c r="U90" s="1"/>
      <c r="V90" s="1"/>
      <c r="W90" s="1"/>
      <c r="X90" s="1"/>
      <c r="Y90" s="1"/>
      <c r="Z90" s="1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hidden="1">
      <c r="A91" s="1"/>
      <c r="B91" s="1"/>
      <c r="C91" s="124" t="str">
        <f t="shared" si="43"/>
        <v>Lynbrook Boron</v>
      </c>
      <c r="D91" s="124">
        <f t="shared" ref="D91:I91" si="50">C27</f>
        <v>78</v>
      </c>
      <c r="E91" s="124">
        <f t="shared" si="50"/>
        <v>42</v>
      </c>
      <c r="F91" s="124">
        <f t="shared" si="50"/>
        <v>92</v>
      </c>
      <c r="G91" s="124">
        <f t="shared" si="50"/>
        <v>92</v>
      </c>
      <c r="H91" s="124">
        <f t="shared" si="50"/>
        <v>56</v>
      </c>
      <c r="I91" s="125" t="str">
        <f t="shared" si="50"/>
        <v/>
      </c>
      <c r="J91" s="125"/>
      <c r="K91" s="124" t="str">
        <f t="shared" si="46"/>
        <v>Lynbrook Boron</v>
      </c>
      <c r="L91" s="124">
        <f>1-Q86</f>
        <v>0</v>
      </c>
      <c r="M91" s="124">
        <f>1-Q87</f>
        <v>0</v>
      </c>
      <c r="N91" s="124">
        <f>1-Q88</f>
        <v>1</v>
      </c>
      <c r="O91" s="124">
        <f>1-Q89</f>
        <v>0</v>
      </c>
      <c r="P91" s="124">
        <f>1-Q90</f>
        <v>0</v>
      </c>
      <c r="Q91" s="126"/>
      <c r="R91" s="1"/>
      <c r="S91" s="1"/>
      <c r="T91" s="1"/>
      <c r="U91" s="1"/>
      <c r="V91" s="1"/>
      <c r="W91" s="1"/>
      <c r="X91" s="1"/>
      <c r="Y91" s="1"/>
      <c r="Z91" s="1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hidden="1">
      <c r="A92" s="1"/>
      <c r="B92" s="1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"/>
      <c r="S92" s="1"/>
      <c r="T92" s="1"/>
      <c r="U92" s="1"/>
      <c r="V92" s="1"/>
      <c r="W92" s="1"/>
      <c r="X92" s="1"/>
      <c r="Y92" s="1"/>
      <c r="Z92" s="1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hidden="1">
      <c r="A93" s="1"/>
      <c r="B93" s="1"/>
      <c r="C93" s="124" t="str">
        <f>C29</f>
        <v/>
      </c>
      <c r="D93" s="127"/>
      <c r="E93" s="127"/>
      <c r="F93" s="127"/>
      <c r="G93" s="127"/>
      <c r="H93" s="127"/>
      <c r="I93" s="127"/>
      <c r="J93" s="125"/>
      <c r="K93" s="125"/>
      <c r="L93" s="125"/>
      <c r="M93" s="125"/>
      <c r="N93" s="125"/>
      <c r="O93" s="125"/>
      <c r="P93" s="125"/>
      <c r="Q93" s="125"/>
      <c r="R93" s="1"/>
      <c r="S93" s="1"/>
      <c r="T93" s="1"/>
      <c r="U93" s="1"/>
      <c r="V93" s="1"/>
      <c r="W93" s="1"/>
      <c r="X93" s="1"/>
      <c r="Y93" s="1"/>
      <c r="Z93" s="1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hidden="1">
      <c r="A94" s="1"/>
      <c r="B94" s="1"/>
      <c r="C94" s="124"/>
      <c r="D94" s="124" t="str">
        <f t="array" ref="D94:I94">TRANSPOSE(C95:C100)</f>
        <v>MSJ 1</v>
      </c>
      <c r="E94" s="124" t="s">
        <v>94</v>
      </c>
      <c r="F94" s="124" t="s">
        <v>146</v>
      </c>
      <c r="G94" s="124" t="s">
        <v>155</v>
      </c>
      <c r="H94" s="124" t="s">
        <v>179</v>
      </c>
      <c r="I94" s="124" t="s">
        <v>145</v>
      </c>
      <c r="J94" s="125"/>
      <c r="K94" s="125"/>
      <c r="L94" s="124" t="str">
        <f t="array" ref="L94:Q94">transpose(K95:K100)</f>
        <v>MSJ 1</v>
      </c>
      <c r="M94" s="124" t="s">
        <v>94</v>
      </c>
      <c r="N94" s="124" t="s">
        <v>146</v>
      </c>
      <c r="O94" s="124" t="s">
        <v>155</v>
      </c>
      <c r="P94" s="124" t="s">
        <v>179</v>
      </c>
      <c r="Q94" s="124" t="s">
        <v>145</v>
      </c>
      <c r="R94" s="1"/>
      <c r="S94" s="1"/>
      <c r="T94" s="1"/>
      <c r="U94" s="1"/>
      <c r="V94" s="1"/>
      <c r="W94" s="1"/>
      <c r="X94" s="1"/>
      <c r="Y94" s="1"/>
      <c r="Z94" s="1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hidden="1">
      <c r="A95" s="1"/>
      <c r="B95" s="1"/>
      <c r="C95" s="124" t="str">
        <f t="shared" ref="C95:I95" si="51">B31</f>
        <v>MSJ 1</v>
      </c>
      <c r="D95" s="128" t="str">
        <f t="shared" si="51"/>
        <v/>
      </c>
      <c r="E95" s="124">
        <f t="shared" si="51"/>
        <v>168</v>
      </c>
      <c r="F95" s="124">
        <f t="shared" si="51"/>
        <v>114</v>
      </c>
      <c r="G95" s="124">
        <f t="shared" si="51"/>
        <v>148</v>
      </c>
      <c r="H95" s="124">
        <f t="shared" si="51"/>
        <v>108</v>
      </c>
      <c r="I95" s="125" t="str">
        <f t="shared" si="51"/>
        <v/>
      </c>
      <c r="J95" s="125"/>
      <c r="K95" s="124" t="str">
        <f t="shared" ref="K95:K100" si="53">C95</f>
        <v>MSJ 1</v>
      </c>
      <c r="L95" s="126"/>
      <c r="M95" s="124">
        <f>IF(E95&gt;D96, 1, IF(E95=D96, 0.5, 0))</f>
        <v>1</v>
      </c>
      <c r="N95" s="124">
        <f>IF(F95&gt;D97, 1, IF(F95=D97, 0.5, 0))</f>
        <v>1</v>
      </c>
      <c r="O95" s="124">
        <f>IF(G95&gt;D98, 1, IF(G95=D98, 0.5, 0))</f>
        <v>1</v>
      </c>
      <c r="P95" s="124">
        <f>IF(H95&gt;D99, 1, IF(H95=D99, 0.5, 0))</f>
        <v>0.5</v>
      </c>
      <c r="Q95" s="124">
        <f>IF(I95&gt;D100, 1, IF(I95=D100, 0.5, 0))</f>
        <v>0.5</v>
      </c>
      <c r="R95" s="1"/>
      <c r="S95" s="1"/>
      <c r="T95" s="1"/>
      <c r="U95" s="1"/>
      <c r="V95" s="1"/>
      <c r="W95" s="1"/>
      <c r="X95" s="1"/>
      <c r="Y95" s="1"/>
      <c r="Z95" s="1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hidden="1">
      <c r="A96" s="1"/>
      <c r="B96" s="1"/>
      <c r="C96" s="124" t="str">
        <f t="shared" ref="C96:I96" si="52">B32</f>
        <v>Vista del Lago</v>
      </c>
      <c r="D96" s="124">
        <f t="shared" si="52"/>
        <v>0</v>
      </c>
      <c r="E96" s="125" t="str">
        <f t="shared" si="52"/>
        <v/>
      </c>
      <c r="F96" s="124">
        <f t="shared" si="52"/>
        <v>78</v>
      </c>
      <c r="G96" s="124">
        <f t="shared" si="52"/>
        <v>62</v>
      </c>
      <c r="H96" s="124">
        <f t="shared" si="52"/>
        <v>60</v>
      </c>
      <c r="I96" s="125" t="str">
        <f t="shared" si="52"/>
        <v/>
      </c>
      <c r="J96" s="125"/>
      <c r="K96" s="124" t="str">
        <f t="shared" si="53"/>
        <v>Vista del Lago</v>
      </c>
      <c r="L96" s="124">
        <f>1-M95</f>
        <v>0</v>
      </c>
      <c r="M96" s="126"/>
      <c r="N96" s="124">
        <f>IF(F96&gt;E97, 1, IF(F96=E97, 0.5, 0))</f>
        <v>1</v>
      </c>
      <c r="O96" s="124">
        <f>IF(G96&gt;E98, 1, IF(G96=E98, 0.5, 0))</f>
        <v>1</v>
      </c>
      <c r="P96" s="124">
        <f>IF(H96&gt;E99, 1, IF(H96=E99, 0.5, 0))</f>
        <v>0</v>
      </c>
      <c r="Q96" s="124">
        <f>IF(I96&gt;E100, 1, IF(I96=E100, 0.5, 0))</f>
        <v>0.5</v>
      </c>
      <c r="R96" s="1"/>
      <c r="S96" s="1"/>
      <c r="T96" s="1"/>
      <c r="U96" s="1"/>
      <c r="V96" s="1"/>
      <c r="W96" s="1"/>
      <c r="X96" s="1"/>
      <c r="Y96" s="1"/>
      <c r="Z96" s="1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hidden="1">
      <c r="A97" s="1"/>
      <c r="B97" s="1"/>
      <c r="C97" s="124" t="str">
        <f t="shared" ref="C97:I97" si="54">B33</f>
        <v>Lexington</v>
      </c>
      <c r="D97" s="124">
        <f t="shared" si="54"/>
        <v>0</v>
      </c>
      <c r="E97" s="124">
        <f t="shared" si="54"/>
        <v>36</v>
      </c>
      <c r="F97" s="125" t="str">
        <f t="shared" si="54"/>
        <v/>
      </c>
      <c r="G97" s="124">
        <f t="shared" si="54"/>
        <v>46</v>
      </c>
      <c r="H97" s="124">
        <f t="shared" si="54"/>
        <v>8</v>
      </c>
      <c r="I97" s="125" t="str">
        <f t="shared" si="54"/>
        <v/>
      </c>
      <c r="J97" s="125"/>
      <c r="K97" s="124" t="str">
        <f t="shared" si="53"/>
        <v>Lexington</v>
      </c>
      <c r="L97" s="124">
        <f>1-N95</f>
        <v>0</v>
      </c>
      <c r="M97" s="124">
        <f>1-N96</f>
        <v>0</v>
      </c>
      <c r="N97" s="126"/>
      <c r="O97" s="124">
        <f>IF(G97&gt;F98, 1, IF(G97=F98, 0.5, 0))</f>
        <v>0</v>
      </c>
      <c r="P97" s="124">
        <f>IF(H97&gt;F99, 1, IF(H97=F99, 0.5, 0))</f>
        <v>0</v>
      </c>
      <c r="Q97" s="124">
        <f>IF(I97&gt;F100, 1, IF(I97=F100, 0.5, 0))</f>
        <v>0.5</v>
      </c>
      <c r="R97" s="1"/>
      <c r="S97" s="1"/>
      <c r="T97" s="1"/>
      <c r="U97" s="1"/>
      <c r="V97" s="1"/>
      <c r="W97" s="1"/>
      <c r="X97" s="1"/>
      <c r="Y97" s="1"/>
      <c r="Z97" s="1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hidden="1">
      <c r="A98" s="1"/>
      <c r="B98" s="1"/>
      <c r="C98" s="124" t="str">
        <f t="shared" ref="C98:I98" si="55">B34</f>
        <v>JP Stevens 2</v>
      </c>
      <c r="D98" s="124">
        <f t="shared" si="55"/>
        <v>-4</v>
      </c>
      <c r="E98" s="124">
        <f t="shared" si="55"/>
        <v>26</v>
      </c>
      <c r="F98" s="124">
        <f t="shared" si="55"/>
        <v>96</v>
      </c>
      <c r="G98" s="125" t="str">
        <f t="shared" si="55"/>
        <v/>
      </c>
      <c r="H98" s="124">
        <f t="shared" si="55"/>
        <v>16</v>
      </c>
      <c r="I98" s="125" t="str">
        <f t="shared" si="55"/>
        <v/>
      </c>
      <c r="J98" s="125"/>
      <c r="K98" s="124" t="str">
        <f t="shared" si="53"/>
        <v>JP Stevens 2</v>
      </c>
      <c r="L98" s="124">
        <f>1-O95</f>
        <v>0</v>
      </c>
      <c r="M98" s="124">
        <f>1-O96</f>
        <v>0</v>
      </c>
      <c r="N98" s="124">
        <f>1-O97</f>
        <v>1</v>
      </c>
      <c r="O98" s="126"/>
      <c r="P98" s="124">
        <f>IF(H98&gt;G99, 1, IF(H98=G99, 0.5, 0))</f>
        <v>0</v>
      </c>
      <c r="Q98" s="124">
        <f>IF(I98&gt;G100, 1, IF(I98=G100, 0.5, 0))</f>
        <v>0.5</v>
      </c>
      <c r="R98" s="1"/>
      <c r="S98" s="1"/>
      <c r="T98" s="1"/>
      <c r="U98" s="1"/>
      <c r="V98" s="1"/>
      <c r="W98" s="1"/>
      <c r="X98" s="1"/>
      <c r="Y98" s="1"/>
      <c r="Z98" s="1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hidden="1">
      <c r="A99" s="1"/>
      <c r="B99" s="1"/>
      <c r="C99" s="124" t="str">
        <f t="shared" ref="C99:I99" si="56">B35</f>
        <v>Clements 1</v>
      </c>
      <c r="D99" s="124">
        <f t="shared" si="56"/>
        <v>108</v>
      </c>
      <c r="E99" s="124">
        <f t="shared" si="56"/>
        <v>148</v>
      </c>
      <c r="F99" s="124">
        <f t="shared" si="56"/>
        <v>80</v>
      </c>
      <c r="G99" s="124">
        <f t="shared" si="56"/>
        <v>120</v>
      </c>
      <c r="H99" s="125" t="str">
        <f t="shared" si="56"/>
        <v/>
      </c>
      <c r="I99" s="125" t="str">
        <f t="shared" si="56"/>
        <v/>
      </c>
      <c r="J99" s="125"/>
      <c r="K99" s="124" t="str">
        <f t="shared" si="53"/>
        <v>Clements 1</v>
      </c>
      <c r="L99" s="124">
        <f>1-P95</f>
        <v>0.5</v>
      </c>
      <c r="M99" s="124">
        <f>1-P96</f>
        <v>1</v>
      </c>
      <c r="N99" s="124">
        <f>1-P97</f>
        <v>1</v>
      </c>
      <c r="O99" s="124">
        <f>1-P98</f>
        <v>1</v>
      </c>
      <c r="P99" s="126"/>
      <c r="Q99" s="124">
        <f>IF(I99&gt;H100, 1, IF(I99=H100, 0.5, 0))</f>
        <v>0.5</v>
      </c>
      <c r="R99" s="1"/>
      <c r="S99" s="1"/>
      <c r="T99" s="1"/>
      <c r="U99" s="1"/>
      <c r="V99" s="1"/>
      <c r="W99" s="1"/>
      <c r="X99" s="1"/>
      <c r="Y99" s="1"/>
      <c r="Z99" s="1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hidden="1">
      <c r="A100" s="1"/>
      <c r="B100" s="1"/>
      <c r="C100" s="124" t="str">
        <f t="shared" ref="C100:I100" si="57">B36</f>
        <v>BYE</v>
      </c>
      <c r="D100" s="125" t="str">
        <f t="shared" si="57"/>
        <v/>
      </c>
      <c r="E100" s="125" t="str">
        <f t="shared" si="57"/>
        <v/>
      </c>
      <c r="F100" s="125" t="str">
        <f t="shared" si="57"/>
        <v/>
      </c>
      <c r="G100" s="125" t="str">
        <f t="shared" si="57"/>
        <v/>
      </c>
      <c r="H100" s="125" t="str">
        <f t="shared" si="57"/>
        <v/>
      </c>
      <c r="I100" s="125" t="str">
        <f t="shared" si="57"/>
        <v/>
      </c>
      <c r="J100" s="125"/>
      <c r="K100" s="124" t="str">
        <f t="shared" si="53"/>
        <v>BYE</v>
      </c>
      <c r="L100" s="124">
        <f>1-Q95</f>
        <v>0.5</v>
      </c>
      <c r="M100" s="124">
        <f>1-Q96</f>
        <v>0.5</v>
      </c>
      <c r="N100" s="124">
        <f>1-Q97</f>
        <v>0.5</v>
      </c>
      <c r="O100" s="124">
        <f>1-Q98</f>
        <v>0.5</v>
      </c>
      <c r="P100" s="124">
        <f>1-Q99</f>
        <v>0.5</v>
      </c>
      <c r="Q100" s="126"/>
      <c r="R100" s="1"/>
      <c r="S100" s="1"/>
      <c r="T100" s="1"/>
      <c r="U100" s="1"/>
      <c r="V100" s="1"/>
      <c r="W100" s="1"/>
      <c r="X100" s="1"/>
      <c r="Y100" s="1"/>
      <c r="Z100" s="1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hidden="1">
      <c r="A101" s="1"/>
      <c r="B101" s="1"/>
      <c r="C101" s="125" t="str">
        <f>C37</f>
        <v/>
      </c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"/>
      <c r="S101" s="1"/>
      <c r="T101" s="1"/>
      <c r="U101" s="1"/>
      <c r="V101" s="1"/>
      <c r="W101" s="1"/>
      <c r="X101" s="1"/>
      <c r="Y101" s="1"/>
      <c r="Z101" s="1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hidden="1">
      <c r="A102" s="1"/>
      <c r="B102" s="1"/>
      <c r="C102" s="124"/>
      <c r="D102" s="127"/>
      <c r="E102" s="127"/>
      <c r="F102" s="127"/>
      <c r="G102" s="127"/>
      <c r="H102" s="127"/>
      <c r="I102" s="127"/>
      <c r="J102" s="125"/>
      <c r="K102" s="125"/>
      <c r="L102" s="125"/>
      <c r="M102" s="125"/>
      <c r="N102" s="125"/>
      <c r="O102" s="125"/>
      <c r="P102" s="125"/>
      <c r="Q102" s="125"/>
      <c r="R102" s="1"/>
      <c r="S102" s="1"/>
      <c r="T102" s="1"/>
      <c r="U102" s="1"/>
      <c r="V102" s="1"/>
      <c r="W102" s="1"/>
      <c r="X102" s="1"/>
      <c r="Y102" s="1"/>
      <c r="Z102" s="1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hidden="1">
      <c r="A103" s="1"/>
      <c r="B103" s="1"/>
      <c r="C103" s="124"/>
      <c r="D103" s="124" t="str">
        <f t="array" ref="D103:I103">Transpose(C104:C109)</f>
        <v>NOHO 1</v>
      </c>
      <c r="E103" s="124" t="s">
        <v>115</v>
      </c>
      <c r="F103" s="124" t="s">
        <v>13</v>
      </c>
      <c r="G103" s="124" t="s">
        <v>43</v>
      </c>
      <c r="H103" s="124" t="s">
        <v>181</v>
      </c>
      <c r="I103" s="124" t="s">
        <v>186</v>
      </c>
      <c r="J103" s="125"/>
      <c r="K103" s="125"/>
      <c r="L103" s="124" t="str">
        <f t="array" ref="L103:Q103">transpose(K104:K109)</f>
        <v>NOHO 1</v>
      </c>
      <c r="M103" s="124" t="s">
        <v>115</v>
      </c>
      <c r="N103" s="124" t="s">
        <v>13</v>
      </c>
      <c r="O103" s="124" t="s">
        <v>43</v>
      </c>
      <c r="P103" s="124" t="s">
        <v>181</v>
      </c>
      <c r="Q103" s="124" t="s">
        <v>186</v>
      </c>
      <c r="R103" s="1"/>
      <c r="S103" s="1"/>
      <c r="T103" s="1"/>
      <c r="U103" s="1"/>
      <c r="V103" s="1"/>
      <c r="W103" s="1"/>
      <c r="X103" s="1"/>
      <c r="Y103" s="1"/>
      <c r="Z103" s="1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hidden="1">
      <c r="A104" s="1"/>
      <c r="B104" s="1"/>
      <c r="C104" s="124" t="str">
        <f t="shared" ref="C104:I104" si="58">B40</f>
        <v>NOHO 1</v>
      </c>
      <c r="D104" s="125" t="str">
        <f t="shared" si="58"/>
        <v/>
      </c>
      <c r="E104" s="124">
        <f t="shared" si="58"/>
        <v>112</v>
      </c>
      <c r="F104" s="124">
        <f t="shared" si="58"/>
        <v>122</v>
      </c>
      <c r="G104" s="124">
        <f t="shared" si="58"/>
        <v>114</v>
      </c>
      <c r="H104" s="124">
        <f t="shared" si="58"/>
        <v>96</v>
      </c>
      <c r="I104" s="124">
        <f t="shared" si="58"/>
        <v>106</v>
      </c>
      <c r="J104" s="125"/>
      <c r="K104" s="124" t="str">
        <f t="shared" ref="K104:K109" si="60">C104</f>
        <v>NOHO 1</v>
      </c>
      <c r="L104" s="126"/>
      <c r="M104" s="124">
        <f>IF(E104&gt;D105, 1, IF(E104=D105, 0.5, 0))</f>
        <v>1</v>
      </c>
      <c r="N104" s="124">
        <f>IF(F104&gt;D106, 1, IF(F104=D106, 0.5, 0))</f>
        <v>1</v>
      </c>
      <c r="O104" s="124">
        <f>IF(G104&gt;D107, 1, IF(G104=D107, 0.5, 0))</f>
        <v>1</v>
      </c>
      <c r="P104" s="124">
        <f>IF(H104&gt;D108, 1, IF(H104=D108, 0.5, 0))</f>
        <v>1</v>
      </c>
      <c r="Q104" s="124">
        <f>IF(I104&gt;D109, 1, IF(I104=D109, 0.5, 0))</f>
        <v>1</v>
      </c>
      <c r="R104" s="1"/>
      <c r="S104" s="1"/>
      <c r="T104" s="1"/>
      <c r="U104" s="1"/>
      <c r="V104" s="1"/>
      <c r="W104" s="1"/>
      <c r="X104" s="1"/>
      <c r="Y104" s="1"/>
      <c r="Z104" s="1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hidden="1">
      <c r="A105" s="1"/>
      <c r="B105" s="1"/>
      <c r="C105" s="124" t="str">
        <f t="shared" ref="C105:I105" si="59">B41</f>
        <v>MSJ 2</v>
      </c>
      <c r="D105" s="124">
        <f t="shared" si="59"/>
        <v>36</v>
      </c>
      <c r="E105" s="125" t="str">
        <f t="shared" si="59"/>
        <v/>
      </c>
      <c r="F105" s="124">
        <f t="shared" si="59"/>
        <v>120</v>
      </c>
      <c r="G105" s="124">
        <f t="shared" si="59"/>
        <v>112</v>
      </c>
      <c r="H105" s="124">
        <f t="shared" si="59"/>
        <v>208</v>
      </c>
      <c r="I105" s="124">
        <f t="shared" si="59"/>
        <v>124</v>
      </c>
      <c r="J105" s="125"/>
      <c r="K105" s="124" t="str">
        <f t="shared" si="60"/>
        <v>MSJ 2</v>
      </c>
      <c r="L105" s="124">
        <f>1-M104</f>
        <v>0</v>
      </c>
      <c r="M105" s="126"/>
      <c r="N105" s="124">
        <f>IF(F105&gt;E106, 1, IF(F105=E106, 0.5, 0))</f>
        <v>1</v>
      </c>
      <c r="O105" s="124">
        <f>IF(G105&gt;E107, 1, IF(G105=E107, 0.5, 0))</f>
        <v>1</v>
      </c>
      <c r="P105" s="124">
        <f>IF(H105&gt;E108, 1, IF(H105=E108, 0.5, 0))</f>
        <v>1</v>
      </c>
      <c r="Q105" s="124">
        <f>IF(I105&gt;E109, 1, IF(I105=E109, 0.5, 0))</f>
        <v>1</v>
      </c>
      <c r="R105" s="1"/>
      <c r="S105" s="1"/>
      <c r="T105" s="1"/>
      <c r="U105" s="1"/>
      <c r="V105" s="1"/>
      <c r="W105" s="1"/>
      <c r="X105" s="1"/>
      <c r="Y105" s="1"/>
      <c r="Z105" s="1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hidden="1">
      <c r="A106" s="1"/>
      <c r="B106" s="1"/>
      <c r="C106" s="124" t="str">
        <f t="shared" ref="C106:I106" si="61">B42</f>
        <v>Collierville</v>
      </c>
      <c r="D106" s="124">
        <f t="shared" si="61"/>
        <v>24</v>
      </c>
      <c r="E106" s="124">
        <f t="shared" si="61"/>
        <v>42</v>
      </c>
      <c r="F106" s="125" t="str">
        <f t="shared" si="61"/>
        <v/>
      </c>
      <c r="G106" s="124">
        <f t="shared" si="61"/>
        <v>42</v>
      </c>
      <c r="H106" s="124">
        <f t="shared" si="61"/>
        <v>54</v>
      </c>
      <c r="I106" s="124">
        <f t="shared" si="61"/>
        <v>34</v>
      </c>
      <c r="J106" s="125"/>
      <c r="K106" s="124" t="str">
        <f t="shared" si="60"/>
        <v>Collierville</v>
      </c>
      <c r="L106" s="124">
        <f>1-N104</f>
        <v>0</v>
      </c>
      <c r="M106" s="124">
        <f>1-N105</f>
        <v>0</v>
      </c>
      <c r="N106" s="126"/>
      <c r="O106" s="124">
        <f>IF(G106&gt;F107, 1, IF(G106=F107, 0.5, 0))</f>
        <v>0</v>
      </c>
      <c r="P106" s="124">
        <f>IF(H106&gt;F108, 1, IF(H106=F108, 0.5, 0))</f>
        <v>1</v>
      </c>
      <c r="Q106" s="124">
        <f>IF(I106&gt;F110, 1, IF(I106=F110, 0.5, 0))</f>
        <v>1</v>
      </c>
      <c r="R106" s="1"/>
      <c r="S106" s="1"/>
      <c r="T106" s="1"/>
      <c r="U106" s="1"/>
      <c r="V106" s="1"/>
      <c r="W106" s="1"/>
      <c r="X106" s="1"/>
      <c r="Y106" s="1"/>
      <c r="Z106" s="1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hidden="1">
      <c r="A107" s="1"/>
      <c r="B107" s="1"/>
      <c r="C107" s="124" t="str">
        <f t="shared" ref="C107:I107" si="62">B43</f>
        <v>BISV</v>
      </c>
      <c r="D107" s="124">
        <f t="shared" si="62"/>
        <v>12</v>
      </c>
      <c r="E107" s="124">
        <f t="shared" si="62"/>
        <v>42</v>
      </c>
      <c r="F107" s="124">
        <f t="shared" si="62"/>
        <v>84</v>
      </c>
      <c r="G107" s="125" t="str">
        <f t="shared" si="62"/>
        <v/>
      </c>
      <c r="H107" s="124">
        <f t="shared" si="62"/>
        <v>74</v>
      </c>
      <c r="I107" s="124">
        <f t="shared" si="62"/>
        <v>44</v>
      </c>
      <c r="J107" s="125"/>
      <c r="K107" s="124" t="str">
        <f t="shared" si="60"/>
        <v>BISV</v>
      </c>
      <c r="L107" s="124">
        <f>1-O104</f>
        <v>0</v>
      </c>
      <c r="M107" s="124">
        <f>1-O105</f>
        <v>0</v>
      </c>
      <c r="N107" s="124">
        <f>1-O106</f>
        <v>1</v>
      </c>
      <c r="O107" s="126"/>
      <c r="P107" s="124">
        <f>IF(H107&gt;G108, 1, IF(H107=G108, 0.5, 0))</f>
        <v>1</v>
      </c>
      <c r="Q107" s="124">
        <f>IF(I107&gt;G109, 1, IF(I107=G109, 0.5, 0))</f>
        <v>0</v>
      </c>
      <c r="R107" s="1"/>
      <c r="S107" s="1"/>
      <c r="T107" s="1"/>
      <c r="U107" s="1"/>
      <c r="V107" s="1"/>
      <c r="W107" s="1"/>
      <c r="X107" s="1"/>
      <c r="Y107" s="1"/>
      <c r="Z107" s="1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hidden="1">
      <c r="A108" s="1"/>
      <c r="B108" s="1"/>
      <c r="C108" s="124" t="str">
        <f t="shared" ref="C108:I108" si="63">B44</f>
        <v>Lynbrook Carbon</v>
      </c>
      <c r="D108" s="124">
        <f t="shared" si="63"/>
        <v>74</v>
      </c>
      <c r="E108" s="124">
        <f t="shared" si="63"/>
        <v>24</v>
      </c>
      <c r="F108" s="124">
        <f t="shared" si="63"/>
        <v>40</v>
      </c>
      <c r="G108" s="124">
        <f t="shared" si="63"/>
        <v>54</v>
      </c>
      <c r="H108" s="125" t="str">
        <f t="shared" si="63"/>
        <v/>
      </c>
      <c r="I108" s="124">
        <f t="shared" si="63"/>
        <v>76</v>
      </c>
      <c r="J108" s="125"/>
      <c r="K108" s="124" t="str">
        <f t="shared" si="60"/>
        <v>Lynbrook Carbon</v>
      </c>
      <c r="L108" s="124">
        <f>1-P104</f>
        <v>0</v>
      </c>
      <c r="M108" s="124">
        <f>1-P105</f>
        <v>0</v>
      </c>
      <c r="N108" s="124">
        <f>1-P106</f>
        <v>0</v>
      </c>
      <c r="O108" s="124">
        <f>1-P107</f>
        <v>0</v>
      </c>
      <c r="P108" s="126"/>
      <c r="Q108" s="124">
        <f>IF(I108&gt;H109, 1, IF(I108=H109, 0.5, 0))</f>
        <v>1</v>
      </c>
      <c r="R108" s="1"/>
      <c r="S108" s="1"/>
      <c r="T108" s="1"/>
      <c r="U108" s="1"/>
      <c r="V108" s="1"/>
      <c r="W108" s="1"/>
      <c r="X108" s="1"/>
      <c r="Y108" s="1"/>
      <c r="Z108" s="1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hidden="1">
      <c r="A109" s="1"/>
      <c r="B109" s="1"/>
      <c r="C109" s="124" t="str">
        <f t="shared" ref="C109:I109" si="64">B45</f>
        <v>Lubbock</v>
      </c>
      <c r="D109" s="124">
        <f t="shared" si="64"/>
        <v>70</v>
      </c>
      <c r="E109" s="124">
        <f t="shared" si="64"/>
        <v>24</v>
      </c>
      <c r="F109" s="124">
        <f t="shared" si="64"/>
        <v>48</v>
      </c>
      <c r="G109" s="124">
        <f t="shared" si="64"/>
        <v>66</v>
      </c>
      <c r="H109" s="124">
        <f t="shared" si="64"/>
        <v>52</v>
      </c>
      <c r="I109" s="125" t="str">
        <f t="shared" si="64"/>
        <v/>
      </c>
      <c r="J109" s="125"/>
      <c r="K109" s="124" t="str">
        <f t="shared" si="60"/>
        <v>Lubbock</v>
      </c>
      <c r="L109" s="124">
        <f>1-Q104</f>
        <v>0</v>
      </c>
      <c r="M109" s="124">
        <f>1-Q105</f>
        <v>0</v>
      </c>
      <c r="N109" s="124">
        <f>1-Q106</f>
        <v>0</v>
      </c>
      <c r="O109" s="124">
        <f>1-Q107</f>
        <v>1</v>
      </c>
      <c r="P109" s="124">
        <f>1-Q108</f>
        <v>0</v>
      </c>
      <c r="Q109" s="126"/>
      <c r="R109" s="1"/>
      <c r="S109" s="1"/>
      <c r="T109" s="1"/>
      <c r="U109" s="1"/>
      <c r="V109" s="1"/>
      <c r="W109" s="1"/>
      <c r="X109" s="1"/>
      <c r="Y109" s="1"/>
      <c r="Z109" s="1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A110" s="1"/>
      <c r="B110" s="1"/>
      <c r="C110" s="125" t="str">
        <f t="shared" ref="C110:C118" si="65">C46</f>
        <v/>
      </c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"/>
      <c r="S110" s="1"/>
      <c r="T110" s="1"/>
      <c r="U110" s="1"/>
      <c r="V110" s="1"/>
      <c r="W110" s="1"/>
      <c r="X110" s="1"/>
      <c r="Y110" s="1"/>
      <c r="Z110" s="1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A111" s="1"/>
      <c r="B111" s="1"/>
      <c r="C111" s="124" t="str">
        <f t="shared" si="65"/>
        <v/>
      </c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"/>
      <c r="S111" s="1"/>
      <c r="T111" s="1"/>
      <c r="U111" s="1"/>
      <c r="V111" s="1"/>
      <c r="W111" s="1"/>
      <c r="X111" s="1"/>
      <c r="Y111" s="1"/>
      <c r="Z111" s="1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A112" s="1"/>
      <c r="B112" s="1"/>
      <c r="C112" s="124" t="str">
        <f t="shared" si="65"/>
        <v/>
      </c>
      <c r="D112" s="124" t="str">
        <f t="array" ref="D112:I112">TRANSPOSE(C113:C118)</f>
        <v/>
      </c>
      <c r="E112" s="124"/>
      <c r="F112" s="124"/>
      <c r="G112" s="124"/>
      <c r="H112" s="124"/>
      <c r="I112" s="124"/>
      <c r="J112" s="125"/>
      <c r="K112" s="125"/>
      <c r="L112" s="124"/>
      <c r="M112" s="124"/>
      <c r="N112" s="124"/>
      <c r="O112" s="124"/>
      <c r="P112" s="124"/>
      <c r="Q112" s="124"/>
      <c r="R112" s="1"/>
      <c r="S112" s="1"/>
      <c r="T112" s="1"/>
      <c r="U112" s="1"/>
      <c r="V112" s="1"/>
      <c r="W112" s="1"/>
      <c r="X112" s="1"/>
      <c r="Y112" s="1"/>
      <c r="Z112" s="1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A113" s="1"/>
      <c r="B113" s="1"/>
      <c r="C113" s="124" t="str">
        <f t="shared" si="65"/>
        <v/>
      </c>
      <c r="D113" s="125" t="str">
        <f t="shared" ref="D113:I113" si="66">D49</f>
        <v/>
      </c>
      <c r="E113" s="124" t="str">
        <f t="shared" si="66"/>
        <v/>
      </c>
      <c r="F113" s="124" t="str">
        <f t="shared" si="66"/>
        <v/>
      </c>
      <c r="G113" s="124" t="str">
        <f t="shared" si="66"/>
        <v/>
      </c>
      <c r="H113" s="124" t="str">
        <f t="shared" si="66"/>
        <v/>
      </c>
      <c r="I113" s="125" t="str">
        <f t="shared" si="66"/>
        <v/>
      </c>
      <c r="J113" s="125"/>
      <c r="K113" s="124"/>
      <c r="L113" s="125"/>
      <c r="M113" s="124"/>
      <c r="N113" s="124"/>
      <c r="O113" s="124"/>
      <c r="P113" s="124"/>
      <c r="Q113" s="125"/>
      <c r="R113" s="1"/>
      <c r="S113" s="1"/>
      <c r="T113" s="1"/>
      <c r="U113" s="1"/>
      <c r="V113" s="1"/>
      <c r="W113" s="1"/>
      <c r="X113" s="1"/>
      <c r="Y113" s="1"/>
      <c r="Z113" s="1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A114" s="1"/>
      <c r="B114" s="1"/>
      <c r="C114" s="124" t="str">
        <f t="shared" si="65"/>
        <v/>
      </c>
      <c r="D114" s="124" t="str">
        <f t="shared" ref="D114:I114" si="67">D50</f>
        <v/>
      </c>
      <c r="E114" s="125" t="str">
        <f t="shared" si="67"/>
        <v/>
      </c>
      <c r="F114" s="124" t="str">
        <f t="shared" si="67"/>
        <v/>
      </c>
      <c r="G114" s="124" t="str">
        <f t="shared" si="67"/>
        <v/>
      </c>
      <c r="H114" s="124" t="str">
        <f t="shared" si="67"/>
        <v/>
      </c>
      <c r="I114" s="125" t="str">
        <f t="shared" si="67"/>
        <v/>
      </c>
      <c r="J114" s="125"/>
      <c r="K114" s="124"/>
      <c r="L114" s="124"/>
      <c r="M114" s="125"/>
      <c r="N114" s="124"/>
      <c r="O114" s="124"/>
      <c r="P114" s="124"/>
      <c r="Q114" s="125"/>
      <c r="R114" s="1"/>
      <c r="S114" s="1"/>
      <c r="T114" s="1"/>
      <c r="U114" s="1"/>
      <c r="V114" s="1"/>
      <c r="W114" s="1"/>
      <c r="X114" s="1"/>
      <c r="Y114" s="1"/>
      <c r="Z114" s="1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A115" s="1"/>
      <c r="B115" s="1"/>
      <c r="C115" s="124" t="str">
        <f t="shared" si="65"/>
        <v/>
      </c>
      <c r="D115" s="124" t="str">
        <f t="shared" ref="D115:I115" si="68">D51</f>
        <v/>
      </c>
      <c r="E115" s="124" t="str">
        <f t="shared" si="68"/>
        <v/>
      </c>
      <c r="F115" s="125" t="str">
        <f t="shared" si="68"/>
        <v/>
      </c>
      <c r="G115" s="124" t="str">
        <f t="shared" si="68"/>
        <v/>
      </c>
      <c r="H115" s="124" t="str">
        <f t="shared" si="68"/>
        <v/>
      </c>
      <c r="I115" s="125" t="str">
        <f t="shared" si="68"/>
        <v/>
      </c>
      <c r="J115" s="125"/>
      <c r="K115" s="124"/>
      <c r="L115" s="124"/>
      <c r="M115" s="124"/>
      <c r="N115" s="125"/>
      <c r="O115" s="124"/>
      <c r="P115" s="124"/>
      <c r="Q115" s="125"/>
      <c r="R115" s="1"/>
      <c r="S115" s="1"/>
      <c r="T115" s="1"/>
      <c r="U115" s="1"/>
      <c r="V115" s="1"/>
      <c r="W115" s="1"/>
      <c r="X115" s="1"/>
      <c r="Y115" s="1"/>
      <c r="Z115" s="1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A116" s="1"/>
      <c r="B116" s="1"/>
      <c r="C116" s="124" t="str">
        <f t="shared" si="65"/>
        <v/>
      </c>
      <c r="D116" s="124" t="str">
        <f t="shared" ref="D116:I116" si="69">D52</f>
        <v/>
      </c>
      <c r="E116" s="124" t="str">
        <f t="shared" si="69"/>
        <v/>
      </c>
      <c r="F116" s="124" t="str">
        <f t="shared" si="69"/>
        <v/>
      </c>
      <c r="G116" s="125" t="str">
        <f t="shared" si="69"/>
        <v/>
      </c>
      <c r="H116" s="124" t="str">
        <f t="shared" si="69"/>
        <v/>
      </c>
      <c r="I116" s="125" t="str">
        <f t="shared" si="69"/>
        <v/>
      </c>
      <c r="J116" s="125"/>
      <c r="K116" s="124"/>
      <c r="L116" s="124"/>
      <c r="M116" s="124"/>
      <c r="N116" s="124"/>
      <c r="O116" s="125"/>
      <c r="P116" s="124"/>
      <c r="Q116" s="125"/>
      <c r="R116" s="1"/>
      <c r="S116" s="1"/>
      <c r="T116" s="1"/>
      <c r="U116" s="1"/>
      <c r="V116" s="1"/>
      <c r="W116" s="1"/>
      <c r="X116" s="1"/>
      <c r="Y116" s="1"/>
      <c r="Z116" s="1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A117" s="1"/>
      <c r="B117" s="1"/>
      <c r="C117" s="124" t="str">
        <f t="shared" si="65"/>
        <v/>
      </c>
      <c r="D117" s="124" t="str">
        <f t="shared" ref="D117:I117" si="70">D53</f>
        <v/>
      </c>
      <c r="E117" s="124" t="str">
        <f t="shared" si="70"/>
        <v/>
      </c>
      <c r="F117" s="124" t="str">
        <f t="shared" si="70"/>
        <v/>
      </c>
      <c r="G117" s="124" t="str">
        <f t="shared" si="70"/>
        <v/>
      </c>
      <c r="H117" s="125" t="str">
        <f t="shared" si="70"/>
        <v/>
      </c>
      <c r="I117" s="125" t="str">
        <f t="shared" si="70"/>
        <v/>
      </c>
      <c r="J117" s="125"/>
      <c r="K117" s="124"/>
      <c r="L117" s="124"/>
      <c r="M117" s="124"/>
      <c r="N117" s="124"/>
      <c r="O117" s="124"/>
      <c r="P117" s="125"/>
      <c r="Q117" s="125"/>
      <c r="R117" s="1"/>
      <c r="S117" s="1"/>
      <c r="T117" s="1"/>
      <c r="U117" s="1"/>
      <c r="V117" s="1"/>
      <c r="W117" s="1"/>
      <c r="X117" s="1"/>
      <c r="Y117" s="1"/>
      <c r="Z117" s="1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A118" s="1"/>
      <c r="B118" s="1"/>
      <c r="C118" s="124" t="str">
        <f t="shared" si="65"/>
        <v/>
      </c>
      <c r="D118" s="125" t="str">
        <f t="shared" ref="D118:I118" si="71">D54</f>
        <v/>
      </c>
      <c r="E118" s="125" t="str">
        <f t="shared" si="71"/>
        <v/>
      </c>
      <c r="F118" s="125" t="str">
        <f t="shared" si="71"/>
        <v/>
      </c>
      <c r="G118" s="125" t="str">
        <f t="shared" si="71"/>
        <v/>
      </c>
      <c r="H118" s="125" t="str">
        <f t="shared" si="71"/>
        <v/>
      </c>
      <c r="I118" s="125" t="str">
        <f t="shared" si="71"/>
        <v/>
      </c>
      <c r="J118" s="125"/>
      <c r="K118" s="124"/>
      <c r="L118" s="125"/>
      <c r="M118" s="125"/>
      <c r="N118" s="125"/>
      <c r="O118" s="125"/>
      <c r="P118" s="125"/>
      <c r="Q118" s="125"/>
      <c r="R118" s="1"/>
      <c r="S118" s="1"/>
      <c r="T118" s="1"/>
      <c r="U118" s="1"/>
      <c r="V118" s="1"/>
      <c r="W118" s="1"/>
      <c r="X118" s="1"/>
      <c r="Y118" s="1"/>
      <c r="Z118" s="1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>
      <c r="A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>
      <c r="A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>
      <c r="A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>
      <c r="A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>
      <c r="A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>
      <c r="A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>
      <c r="A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>
      <c r="A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>
      <c r="A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>
      <c r="A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>
      <c r="A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>
      <c r="A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>
      <c r="A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>
      <c r="A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>
      <c r="A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>
      <c r="A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>
      <c r="A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>
      <c r="A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>
      <c r="A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>
      <c r="A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>
      <c r="A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>
      <c r="A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>
      <c r="A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>
      <c r="A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>
      <c r="A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>
      <c r="A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>
      <c r="A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>
      <c r="A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>
      <c r="A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>
      <c r="A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>
      <c r="A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>
      <c r="A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>
      <c r="A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>
      <c r="A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>
      <c r="A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>
      <c r="A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>
      <c r="A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>
      <c r="A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>
      <c r="A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>
      <c r="A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>
      <c r="A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>
      <c r="A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>
      <c r="A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>
      <c r="A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>
      <c r="A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>
      <c r="A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>
      <c r="A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>
      <c r="A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>
      <c r="A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>
      <c r="A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>
      <c r="A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>
      <c r="A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>
      <c r="A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>
      <c r="A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>
      <c r="A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>
      <c r="A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>
      <c r="A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>
      <c r="A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>
      <c r="A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>
      <c r="A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>
      <c r="A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>
      <c r="A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>
      <c r="A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>
      <c r="A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>
      <c r="A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>
      <c r="A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>
      <c r="A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>
      <c r="A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>
      <c r="A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>
      <c r="A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>
      <c r="A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>
      <c r="A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>
      <c r="A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>
      <c r="A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>
      <c r="A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>
      <c r="A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>
      <c r="A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>
      <c r="A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>
      <c r="A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>
      <c r="A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</sheetData>
  <mergeCells count="5">
    <mergeCell ref="B2:H2"/>
    <mergeCell ref="B11:H11"/>
    <mergeCell ref="B20:H20"/>
    <mergeCell ref="B29:H29"/>
    <mergeCell ref="B38:H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88"/>
    <col customWidth="1" min="5" max="5" width="16.88"/>
  </cols>
  <sheetData>
    <row r="1">
      <c r="A1" s="129"/>
      <c r="B1" s="129"/>
      <c r="C1" s="129"/>
      <c r="D1" s="129"/>
      <c r="E1" s="129"/>
      <c r="F1" s="129"/>
      <c r="G1" s="129"/>
      <c r="H1" s="129"/>
    </row>
    <row r="2">
      <c r="A2" s="129"/>
      <c r="B2" s="130" t="s">
        <v>211</v>
      </c>
      <c r="C2" s="130" t="s">
        <v>58</v>
      </c>
      <c r="D2" s="131"/>
      <c r="E2" s="130" t="s">
        <v>211</v>
      </c>
      <c r="F2" s="130" t="s">
        <v>58</v>
      </c>
      <c r="G2" s="130" t="s">
        <v>212</v>
      </c>
      <c r="H2" s="129"/>
    </row>
    <row r="3">
      <c r="A3" s="129"/>
      <c r="B3" s="129" t="str">
        <f>'RR Scores'!B4</f>
        <v>Blair 1</v>
      </c>
      <c r="C3" s="132">
        <f>'RR Scores'!N4</f>
        <v>2813.915306</v>
      </c>
      <c r="D3" s="129"/>
      <c r="E3" s="129" t="str">
        <f t="array" ref="E3:F38">SORT(B3:C38, 2, FALSE)</f>
        <v>#REF!</v>
      </c>
      <c r="F3" s="129" t="e">
        <v>#REF!</v>
      </c>
      <c r="G3" s="133">
        <v>1.0</v>
      </c>
      <c r="H3" s="129"/>
    </row>
    <row r="4">
      <c r="A4" s="129"/>
      <c r="B4" s="134" t="str">
        <f>'RR Scores'!B5</f>
        <v>Frazer</v>
      </c>
      <c r="C4" s="135">
        <f>'RR Scores'!N5</f>
        <v>2272.528462</v>
      </c>
      <c r="D4" s="129"/>
      <c r="E4" s="129" t="e">
        <v>#REF!</v>
      </c>
      <c r="F4" s="129" t="e">
        <v>#REF!</v>
      </c>
      <c r="G4" s="129">
        <f t="shared" ref="G4:G8" si="1">1+G3</f>
        <v>2</v>
      </c>
      <c r="H4" s="129"/>
    </row>
    <row r="5">
      <c r="A5" s="129"/>
      <c r="B5" s="129" t="str">
        <f>'RR Scores'!B6</f>
        <v>JP Stevens 1</v>
      </c>
      <c r="C5" s="132">
        <f>'RR Scores'!N6</f>
        <v>1071.841314</v>
      </c>
      <c r="D5" s="129"/>
      <c r="E5" s="129" t="e">
        <v>#REF!</v>
      </c>
      <c r="F5" s="129" t="e">
        <v>#REF!</v>
      </c>
      <c r="G5" s="129">
        <f t="shared" si="1"/>
        <v>3</v>
      </c>
      <c r="H5" s="129"/>
    </row>
    <row r="6">
      <c r="A6" s="129"/>
      <c r="B6" s="129" t="str">
        <f>'RR Scores'!B7</f>
        <v>Amador Valley</v>
      </c>
      <c r="C6" s="132">
        <f>'RR Scores'!N7</f>
        <v>1593.706061</v>
      </c>
      <c r="D6" s="129"/>
      <c r="E6" s="129" t="e">
        <v>#REF!</v>
      </c>
      <c r="F6" s="129" t="e">
        <v>#REF!</v>
      </c>
      <c r="G6" s="129">
        <f t="shared" si="1"/>
        <v>4</v>
      </c>
      <c r="H6" s="129"/>
    </row>
    <row r="7">
      <c r="A7" s="129"/>
      <c r="B7" s="129" t="str">
        <f>'RR Scores'!B8</f>
        <v>Coral Academy 2</v>
      </c>
      <c r="C7" s="132">
        <f>'RR Scores'!N8</f>
        <v>7.027954608</v>
      </c>
      <c r="D7" s="129"/>
      <c r="E7" s="129" t="e">
        <v>#REF!</v>
      </c>
      <c r="F7" s="129" t="e">
        <v>#REF!</v>
      </c>
      <c r="G7" s="129">
        <f t="shared" si="1"/>
        <v>5</v>
      </c>
      <c r="H7" s="129"/>
    </row>
    <row r="8">
      <c r="A8" s="129"/>
      <c r="B8" s="129" t="str">
        <f>'RR Scores'!B9</f>
        <v>Princeton</v>
      </c>
      <c r="C8" s="132">
        <f>'RR Scores'!N9</f>
        <v>567.1560107</v>
      </c>
      <c r="D8" s="129"/>
      <c r="E8" s="129" t="e">
        <v>#REF!</v>
      </c>
      <c r="F8" s="129" t="e">
        <v>#REF!</v>
      </c>
      <c r="G8" s="129">
        <f t="shared" si="1"/>
        <v>6</v>
      </c>
      <c r="H8" s="129"/>
    </row>
    <row r="9">
      <c r="A9" s="129"/>
      <c r="B9" s="129" t="str">
        <f>'RR Scores'!B13</f>
        <v>Clements 2</v>
      </c>
      <c r="C9" s="132">
        <f>'RR Scores'!N13</f>
        <v>594.5053972</v>
      </c>
      <c r="D9" s="129"/>
      <c r="E9" s="136" t="s">
        <v>30</v>
      </c>
      <c r="F9" s="137">
        <v>2813.915305840022</v>
      </c>
      <c r="G9" s="138">
        <v>1.0</v>
      </c>
      <c r="H9" s="129"/>
    </row>
    <row r="10">
      <c r="A10" s="129"/>
      <c r="B10" s="129" t="str">
        <f>'RR Scores'!B14</f>
        <v>Chattahoochee</v>
      </c>
      <c r="C10" s="132">
        <f>'RR Scores'!N14</f>
        <v>1098.34708</v>
      </c>
      <c r="D10" s="129"/>
      <c r="E10" s="136" t="s">
        <v>139</v>
      </c>
      <c r="F10" s="137">
        <v>2769.686133407141</v>
      </c>
      <c r="G10" s="138">
        <v>2.0</v>
      </c>
      <c r="H10" s="129"/>
    </row>
    <row r="11">
      <c r="A11" s="129"/>
      <c r="B11" s="129" t="str">
        <f>'RR Scores'!B15</f>
        <v>Lynbrook Argon</v>
      </c>
      <c r="C11" s="132">
        <f>'RR Scores'!N15</f>
        <v>2769.686133</v>
      </c>
      <c r="D11" s="129"/>
      <c r="E11" s="136" t="s">
        <v>96</v>
      </c>
      <c r="F11" s="137">
        <v>2716.163852753944</v>
      </c>
      <c r="G11" s="136">
        <f t="shared" ref="G11:G18" si="2">1+G10</f>
        <v>3</v>
      </c>
      <c r="H11" s="129"/>
    </row>
    <row r="12">
      <c r="A12" s="129"/>
      <c r="B12" s="129" t="str">
        <f>'RR Scores'!B16</f>
        <v>Blair 2</v>
      </c>
      <c r="C12" s="132">
        <f>'RR Scores'!N16</f>
        <v>1637.532245</v>
      </c>
      <c r="D12" s="129"/>
      <c r="E12" s="136" t="s">
        <v>95</v>
      </c>
      <c r="F12" s="137">
        <v>2517.4214641572103</v>
      </c>
      <c r="G12" s="136">
        <f t="shared" si="2"/>
        <v>4</v>
      </c>
      <c r="H12" s="129"/>
    </row>
    <row r="13">
      <c r="A13" s="129"/>
      <c r="B13" s="129" t="str">
        <f>'RR Scores'!B17</f>
        <v>Temple City</v>
      </c>
      <c r="C13" s="132">
        <f>'RR Scores'!N17</f>
        <v>2178.254082</v>
      </c>
      <c r="D13" s="129"/>
      <c r="E13" s="136" t="s">
        <v>179</v>
      </c>
      <c r="F13" s="137">
        <v>2467.1360365347355</v>
      </c>
      <c r="G13" s="136">
        <f t="shared" si="2"/>
        <v>5</v>
      </c>
      <c r="H13" s="129"/>
    </row>
    <row r="14">
      <c r="A14" s="129"/>
      <c r="B14" s="129" t="str">
        <f>'RR Scores'!B18</f>
        <v>Coral Academy 1</v>
      </c>
      <c r="C14" s="132">
        <f>'RR Scores'!N18</f>
        <v>21.51342375</v>
      </c>
      <c r="D14" s="129"/>
      <c r="E14" s="136" t="s">
        <v>31</v>
      </c>
      <c r="F14" s="137">
        <v>2272.528462035243</v>
      </c>
      <c r="G14" s="136">
        <f t="shared" si="2"/>
        <v>6</v>
      </c>
      <c r="H14" s="129"/>
    </row>
    <row r="15">
      <c r="A15" s="129"/>
      <c r="B15" s="129" t="str">
        <f>'RR Scores'!B22</f>
        <v>Palo Alto</v>
      </c>
      <c r="C15" s="132">
        <f>'RR Scores'!N22</f>
        <v>1922.438048</v>
      </c>
      <c r="D15" s="129"/>
      <c r="E15" s="136" t="s">
        <v>22</v>
      </c>
      <c r="F15" s="137">
        <v>2256.017713811237</v>
      </c>
      <c r="G15" s="136">
        <f t="shared" si="2"/>
        <v>7</v>
      </c>
      <c r="H15" s="129"/>
    </row>
    <row r="16">
      <c r="A16" s="129"/>
      <c r="B16" s="129" t="str">
        <f>'RR Scores'!B23</f>
        <v>Patel Family</v>
      </c>
      <c r="C16" s="132">
        <f>'RR Scores'!N23</f>
        <v>2256.017714</v>
      </c>
      <c r="D16" s="129"/>
      <c r="E16" s="136" t="s">
        <v>115</v>
      </c>
      <c r="F16" s="137">
        <v>2235.8151120952116</v>
      </c>
      <c r="G16" s="136">
        <f t="shared" si="2"/>
        <v>8</v>
      </c>
      <c r="H16" s="129"/>
    </row>
    <row r="17">
      <c r="A17" s="129"/>
      <c r="B17" s="129" t="str">
        <f>'RR Scores'!B24</f>
        <v>VMATHS</v>
      </c>
      <c r="C17" s="132">
        <f>'RR Scores'!N24</f>
        <v>105.574315</v>
      </c>
      <c r="D17" s="129"/>
      <c r="E17" s="136" t="s">
        <v>177</v>
      </c>
      <c r="F17" s="137">
        <v>2196.1922686594703</v>
      </c>
      <c r="G17" s="136">
        <f t="shared" si="2"/>
        <v>9</v>
      </c>
      <c r="H17" s="129"/>
    </row>
    <row r="18">
      <c r="A18" s="129"/>
      <c r="B18" s="129" t="str">
        <f>'RR Scores'!B25</f>
        <v>Hunter</v>
      </c>
      <c r="C18" s="132">
        <f>'RR Scores'!N25</f>
        <v>1410.121044</v>
      </c>
      <c r="D18" s="129"/>
      <c r="E18" s="136" t="s">
        <v>82</v>
      </c>
      <c r="F18" s="137">
        <v>2178.2540824799335</v>
      </c>
      <c r="G18" s="136">
        <f t="shared" si="2"/>
        <v>10</v>
      </c>
      <c r="H18" s="129"/>
    </row>
    <row r="19">
      <c r="A19" s="129"/>
      <c r="B19" s="129" t="str">
        <f>'RR Scores'!B26</f>
        <v>NOHO 2</v>
      </c>
      <c r="C19" s="132">
        <f>'RR Scores'!N26</f>
        <v>2196.192269</v>
      </c>
      <c r="D19" s="129"/>
      <c r="E19" s="136" t="s">
        <v>93</v>
      </c>
      <c r="F19" s="137">
        <v>1922.4380477903865</v>
      </c>
      <c r="G19" s="138">
        <v>11.0</v>
      </c>
      <c r="H19" s="129"/>
    </row>
    <row r="20">
      <c r="A20" s="129"/>
      <c r="B20" s="134" t="str">
        <f>'RR Scores'!B27</f>
        <v>Lynbrook Boron</v>
      </c>
      <c r="C20" s="135">
        <f>'RR Scores'!N27</f>
        <v>658.3614725</v>
      </c>
      <c r="D20" s="129"/>
      <c r="E20" s="136" t="s">
        <v>143</v>
      </c>
      <c r="F20" s="137">
        <v>1637.5322446720177</v>
      </c>
      <c r="G20" s="138">
        <v>12.0</v>
      </c>
      <c r="H20" s="129"/>
    </row>
    <row r="21">
      <c r="A21" s="129"/>
      <c r="B21" s="129" t="str">
        <f>'RR Scores'!B31</f>
        <v>MSJ 1</v>
      </c>
      <c r="C21" s="132">
        <f>'RR Scores'!N31</f>
        <v>2517.421464</v>
      </c>
      <c r="D21" s="129"/>
      <c r="E21" s="136" t="s">
        <v>34</v>
      </c>
      <c r="F21" s="137">
        <v>1593.7060614447828</v>
      </c>
      <c r="G21" s="138">
        <v>13.0</v>
      </c>
      <c r="H21" s="129"/>
    </row>
    <row r="22">
      <c r="A22" s="129"/>
      <c r="B22" s="129" t="str">
        <f>'RR Scores'!B32</f>
        <v>Vista del Lago</v>
      </c>
      <c r="C22" s="132">
        <f>'RR Scores'!N32</f>
        <v>1372.647384</v>
      </c>
      <c r="D22" s="129"/>
      <c r="E22" s="136" t="s">
        <v>122</v>
      </c>
      <c r="F22" s="137">
        <v>1410.1210443767875</v>
      </c>
      <c r="G22" s="138">
        <v>14.0</v>
      </c>
      <c r="H22" s="129"/>
    </row>
    <row r="23">
      <c r="A23" s="129"/>
      <c r="B23" s="129" t="str">
        <f>'RR Scores'!B33</f>
        <v>Lexington</v>
      </c>
      <c r="C23" s="132">
        <f>'RR Scores'!N33</f>
        <v>55.191323</v>
      </c>
      <c r="D23" s="129"/>
      <c r="E23" s="136" t="s">
        <v>94</v>
      </c>
      <c r="F23" s="137">
        <v>1372.6473844450595</v>
      </c>
      <c r="G23" s="139">
        <v>15.0</v>
      </c>
      <c r="H23" s="129"/>
    </row>
    <row r="24">
      <c r="A24" s="129"/>
      <c r="B24" s="129" t="str">
        <f>'RR Scores'!B34</f>
        <v>JP Stevens 2</v>
      </c>
      <c r="C24" s="132">
        <f>'RR Scores'!N34</f>
        <v>707.1737476</v>
      </c>
      <c r="D24" s="129"/>
      <c r="E24" s="136" t="s">
        <v>186</v>
      </c>
      <c r="F24" s="137">
        <v>1102.1865485745918</v>
      </c>
      <c r="G24" s="138">
        <v>16.0</v>
      </c>
      <c r="H24" s="129"/>
    </row>
    <row r="25">
      <c r="A25" s="129"/>
      <c r="B25" s="129" t="str">
        <f>'RR Scores'!B35</f>
        <v>Clements 1</v>
      </c>
      <c r="C25" s="132">
        <f>'RR Scores'!N35</f>
        <v>2467.136037</v>
      </c>
      <c r="D25" s="129"/>
      <c r="E25" s="129" t="s">
        <v>43</v>
      </c>
      <c r="F25" s="132">
        <v>1100.6144478272904</v>
      </c>
      <c r="G25" s="129"/>
      <c r="H25" s="129"/>
    </row>
    <row r="26">
      <c r="A26" s="129"/>
      <c r="B26" s="134" t="str">
        <f>'RR Scores'!B36</f>
        <v>BYE</v>
      </c>
      <c r="C26" s="134">
        <f>'RR Scores'!N36</f>
        <v>0</v>
      </c>
      <c r="D26" s="129"/>
      <c r="E26" s="129" t="s">
        <v>112</v>
      </c>
      <c r="F26" s="132">
        <v>1098.347079988929</v>
      </c>
      <c r="G26" s="129"/>
      <c r="H26" s="129"/>
    </row>
    <row r="27">
      <c r="A27" s="129"/>
      <c r="B27" s="129" t="str">
        <f>'RR Scores'!B40</f>
        <v>NOHO 1</v>
      </c>
      <c r="C27" s="132">
        <f>'RR Scores'!N40</f>
        <v>2716.163853</v>
      </c>
      <c r="D27" s="129"/>
      <c r="E27" s="129" t="s">
        <v>37</v>
      </c>
      <c r="F27" s="132">
        <v>1071.8413137743335</v>
      </c>
      <c r="G27" s="129"/>
      <c r="H27" s="129"/>
    </row>
    <row r="28">
      <c r="A28" s="129"/>
      <c r="B28" s="129" t="str">
        <f>'RR Scores'!B41</f>
        <v>MSJ 2</v>
      </c>
      <c r="C28" s="132">
        <f>'RR Scores'!N41</f>
        <v>2235.815112</v>
      </c>
      <c r="D28" s="129"/>
      <c r="E28" s="129" t="s">
        <v>155</v>
      </c>
      <c r="F28" s="132">
        <v>707.1737475781899</v>
      </c>
      <c r="G28" s="129"/>
      <c r="H28" s="129"/>
    </row>
    <row r="29">
      <c r="A29" s="129"/>
      <c r="B29" s="129" t="str">
        <f>'RR Scores'!B42</f>
        <v>Collierville</v>
      </c>
      <c r="C29" s="132">
        <f>'RR Scores'!N42</f>
        <v>577.0329366</v>
      </c>
      <c r="D29" s="129"/>
      <c r="E29" s="129" t="s">
        <v>185</v>
      </c>
      <c r="F29" s="132">
        <v>658.3614724605591</v>
      </c>
      <c r="G29" s="129"/>
      <c r="H29" s="129"/>
    </row>
    <row r="30">
      <c r="A30" s="129"/>
      <c r="B30" s="129" t="str">
        <f>'RR Scores'!B43</f>
        <v>BISV</v>
      </c>
      <c r="C30" s="132">
        <f>'RR Scores'!N43</f>
        <v>1100.614448</v>
      </c>
      <c r="D30" s="129"/>
      <c r="E30" s="129" t="s">
        <v>181</v>
      </c>
      <c r="F30" s="132">
        <v>605.3307500691946</v>
      </c>
      <c r="G30" s="129"/>
      <c r="H30" s="129"/>
    </row>
    <row r="31">
      <c r="A31" s="129"/>
      <c r="B31" s="129" t="str">
        <f>'RR Scores'!B44</f>
        <v>Lynbrook Carbon</v>
      </c>
      <c r="C31" s="132">
        <f>'RR Scores'!N44</f>
        <v>605.3307501</v>
      </c>
      <c r="D31" s="129"/>
      <c r="E31" s="129" t="s">
        <v>92</v>
      </c>
      <c r="F31" s="132">
        <v>594.5053971768614</v>
      </c>
      <c r="G31" s="129"/>
      <c r="H31" s="129"/>
    </row>
    <row r="32">
      <c r="A32" s="129"/>
      <c r="B32" s="129" t="str">
        <f>'RR Scores'!B45</f>
        <v>Lubbock</v>
      </c>
      <c r="C32" s="132">
        <f>'RR Scores'!N45</f>
        <v>1102.186549</v>
      </c>
      <c r="D32" s="129"/>
      <c r="E32" s="129" t="s">
        <v>13</v>
      </c>
      <c r="F32" s="132">
        <v>577.0329366177691</v>
      </c>
      <c r="G32" s="129"/>
      <c r="H32" s="129"/>
    </row>
    <row r="33">
      <c r="A33" s="129"/>
      <c r="B33" s="129" t="str">
        <f t="shared" ref="B33:C33" si="3">#REF!</f>
        <v>#REF!</v>
      </c>
      <c r="C33" s="129" t="str">
        <f t="shared" si="3"/>
        <v>#REF!</v>
      </c>
      <c r="D33" s="129"/>
      <c r="E33" s="129" t="s">
        <v>46</v>
      </c>
      <c r="F33" s="132">
        <v>567.1560107020942</v>
      </c>
      <c r="G33" s="129"/>
      <c r="H33" s="129"/>
    </row>
    <row r="34">
      <c r="A34" s="129"/>
      <c r="B34" s="129" t="str">
        <f t="shared" ref="B34:C34" si="4">#REF!</f>
        <v>#REF!</v>
      </c>
      <c r="C34" s="129" t="str">
        <f t="shared" si="4"/>
        <v>#REF!</v>
      </c>
      <c r="D34" s="129"/>
      <c r="E34" s="129" t="s">
        <v>144</v>
      </c>
      <c r="F34" s="132">
        <v>105.57431497370605</v>
      </c>
      <c r="G34" s="129"/>
      <c r="H34" s="129"/>
    </row>
    <row r="35">
      <c r="A35" s="129"/>
      <c r="B35" s="129" t="str">
        <f t="shared" ref="B35:C35" si="5">#REF!</f>
        <v>#REF!</v>
      </c>
      <c r="C35" s="129" t="str">
        <f t="shared" si="5"/>
        <v>#REF!</v>
      </c>
      <c r="D35" s="129"/>
      <c r="E35" s="134" t="s">
        <v>146</v>
      </c>
      <c r="F35" s="135">
        <v>55.19132300027678</v>
      </c>
      <c r="G35" s="134"/>
      <c r="H35" s="129"/>
    </row>
    <row r="36">
      <c r="A36" s="129"/>
      <c r="B36" s="129" t="str">
        <f t="shared" ref="B36:C36" si="6">#REF!</f>
        <v>#REF!</v>
      </c>
      <c r="C36" s="129" t="str">
        <f t="shared" si="6"/>
        <v>#REF!</v>
      </c>
      <c r="D36" s="129"/>
      <c r="E36" s="134" t="s">
        <v>104</v>
      </c>
      <c r="F36" s="135">
        <v>21.513423747578184</v>
      </c>
      <c r="G36" s="134"/>
      <c r="H36" s="129"/>
    </row>
    <row r="37">
      <c r="A37" s="129"/>
      <c r="B37" s="129" t="str">
        <f t="shared" ref="B37:C37" si="7">#REF!</f>
        <v>#REF!</v>
      </c>
      <c r="C37" s="129" t="str">
        <f t="shared" si="7"/>
        <v>#REF!</v>
      </c>
      <c r="D37" s="129"/>
      <c r="E37" s="134" t="s">
        <v>42</v>
      </c>
      <c r="F37" s="135">
        <v>7.027954608358704</v>
      </c>
      <c r="G37" s="134"/>
      <c r="H37" s="129"/>
    </row>
    <row r="38">
      <c r="A38" s="129"/>
      <c r="B38" s="134" t="str">
        <f t="shared" ref="B38:C38" si="8">#REF!</f>
        <v>#REF!</v>
      </c>
      <c r="C38" s="134" t="str">
        <f t="shared" si="8"/>
        <v>#REF!</v>
      </c>
      <c r="D38" s="129"/>
      <c r="E38" s="134" t="s">
        <v>145</v>
      </c>
      <c r="F38" s="134">
        <v>0.0</v>
      </c>
      <c r="G38" s="134"/>
      <c r="H38" s="129"/>
    </row>
    <row r="39">
      <c r="A39" s="129"/>
      <c r="B39" s="129"/>
      <c r="C39" s="129"/>
      <c r="D39" s="129"/>
      <c r="E39" s="129"/>
      <c r="F39" s="129"/>
      <c r="G39" s="129"/>
      <c r="H39" s="12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38"/>
    <col customWidth="1" min="2" max="2" width="3.75"/>
    <col customWidth="1" min="3" max="3" width="21.38"/>
    <col customWidth="1" min="4" max="4" width="3.75"/>
    <col customWidth="1" min="5" max="5" width="21.38"/>
    <col customWidth="1" min="6" max="6" width="3.75"/>
    <col customWidth="1" min="7" max="7" width="21.5"/>
    <col customWidth="1" min="8" max="8" width="3.75"/>
    <col customWidth="1" min="9" max="9" width="21.5"/>
    <col customWidth="1" min="10" max="10" width="3.75"/>
    <col customWidth="1" min="11" max="11" width="21.5"/>
    <col customWidth="1" min="12" max="12" width="3.75"/>
    <col customWidth="1" min="13" max="13" width="21.5"/>
    <col customWidth="1" min="14" max="14" width="3.75"/>
    <col customWidth="1" min="15" max="15" width="23.75"/>
    <col customWidth="1" min="16" max="17" width="3.75"/>
    <col customWidth="1" min="18" max="18" width="25.5"/>
    <col customWidth="1" min="19" max="19" width="5.63"/>
  </cols>
  <sheetData>
    <row r="1">
      <c r="A1" s="140" t="s">
        <v>213</v>
      </c>
      <c r="B1" s="14"/>
      <c r="C1" s="141" t="s">
        <v>214</v>
      </c>
      <c r="D1" s="14"/>
      <c r="E1" s="141" t="s">
        <v>215</v>
      </c>
      <c r="F1" s="14"/>
      <c r="G1" s="141" t="s">
        <v>216</v>
      </c>
      <c r="H1" s="142"/>
      <c r="I1" s="141" t="s">
        <v>217</v>
      </c>
      <c r="J1" s="142"/>
      <c r="K1" s="141" t="s">
        <v>218</v>
      </c>
      <c r="L1" s="142"/>
      <c r="M1" s="141" t="s">
        <v>219</v>
      </c>
      <c r="N1" s="143"/>
      <c r="O1" s="141" t="s">
        <v>220</v>
      </c>
      <c r="P1" s="143"/>
      <c r="Q1" s="143"/>
      <c r="R1" s="144"/>
      <c r="S1" s="45"/>
    </row>
    <row r="2">
      <c r="A2" s="145" t="s">
        <v>221</v>
      </c>
      <c r="B2" s="58"/>
      <c r="C2" s="146" t="s">
        <v>222</v>
      </c>
      <c r="D2" s="58"/>
      <c r="E2" s="147"/>
      <c r="F2" s="58"/>
      <c r="G2" s="147"/>
      <c r="H2" s="58"/>
      <c r="I2" s="147"/>
      <c r="J2" s="58"/>
      <c r="K2" s="147"/>
      <c r="L2" s="58"/>
      <c r="M2" s="147"/>
      <c r="N2" s="58"/>
      <c r="O2" s="147"/>
      <c r="P2" s="58"/>
      <c r="Q2" s="58"/>
      <c r="R2" s="13"/>
      <c r="S2" s="13"/>
    </row>
    <row r="3">
      <c r="A3" s="147"/>
      <c r="B3" s="147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13"/>
      <c r="S3" s="13"/>
    </row>
    <row r="4">
      <c r="A4" s="148" t="s">
        <v>30</v>
      </c>
      <c r="B4" s="149">
        <v>68.0</v>
      </c>
      <c r="C4" s="147"/>
      <c r="D4" s="14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13"/>
      <c r="S4" s="13"/>
    </row>
    <row r="5">
      <c r="A5" s="150" t="s">
        <v>223</v>
      </c>
      <c r="B5" s="151"/>
      <c r="C5" s="152"/>
      <c r="D5" s="152"/>
      <c r="E5" s="148" t="s">
        <v>30</v>
      </c>
      <c r="F5" s="149">
        <v>116.0</v>
      </c>
      <c r="G5" s="153"/>
      <c r="H5" s="58"/>
      <c r="I5" s="58"/>
      <c r="J5" s="58"/>
      <c r="K5" s="58"/>
      <c r="L5" s="58"/>
      <c r="M5" s="58"/>
      <c r="N5" s="58"/>
      <c r="O5" s="58"/>
      <c r="P5" s="58"/>
      <c r="Q5" s="58"/>
      <c r="R5" s="13"/>
      <c r="S5" s="13"/>
    </row>
    <row r="6">
      <c r="A6" s="148" t="s">
        <v>115</v>
      </c>
      <c r="B6" s="149">
        <v>66.0</v>
      </c>
      <c r="C6" s="147"/>
      <c r="D6" s="58"/>
      <c r="E6" s="147"/>
      <c r="F6" s="154"/>
      <c r="G6" s="147"/>
      <c r="H6" s="147"/>
      <c r="I6" s="58"/>
      <c r="J6" s="58"/>
      <c r="K6" s="58"/>
      <c r="L6" s="58"/>
      <c r="M6" s="58"/>
      <c r="N6" s="58"/>
      <c r="O6" s="58"/>
      <c r="P6" s="58"/>
      <c r="Q6" s="58"/>
      <c r="R6" s="13"/>
      <c r="S6" s="13"/>
    </row>
    <row r="7">
      <c r="A7" s="147"/>
      <c r="B7" s="147"/>
      <c r="C7" s="58"/>
      <c r="D7" s="58"/>
      <c r="E7" s="155" t="s">
        <v>223</v>
      </c>
      <c r="F7" s="154"/>
      <c r="G7" s="152"/>
      <c r="H7" s="152"/>
      <c r="I7" s="148" t="s">
        <v>30</v>
      </c>
      <c r="J7" s="156">
        <v>32.0</v>
      </c>
      <c r="K7" s="58"/>
      <c r="L7" s="58"/>
      <c r="M7" s="58"/>
      <c r="N7" s="58"/>
      <c r="O7" s="58"/>
      <c r="P7" s="58"/>
      <c r="Q7" s="58"/>
      <c r="R7" s="13"/>
      <c r="S7" s="13"/>
    </row>
    <row r="8">
      <c r="A8" s="148" t="s">
        <v>95</v>
      </c>
      <c r="B8" s="149">
        <v>126.0</v>
      </c>
      <c r="C8" s="147"/>
      <c r="D8" s="147"/>
      <c r="E8" s="58"/>
      <c r="F8" s="154"/>
      <c r="G8" s="58"/>
      <c r="H8" s="58"/>
      <c r="I8" s="58"/>
      <c r="J8" s="154"/>
      <c r="K8" s="58"/>
      <c r="L8" s="58"/>
      <c r="M8" s="58"/>
      <c r="N8" s="58"/>
      <c r="O8" s="58"/>
      <c r="P8" s="58"/>
      <c r="Q8" s="58"/>
      <c r="R8" s="13"/>
      <c r="S8" s="13"/>
    </row>
    <row r="9">
      <c r="A9" s="150" t="s">
        <v>224</v>
      </c>
      <c r="B9" s="151"/>
      <c r="C9" s="152"/>
      <c r="D9" s="152"/>
      <c r="E9" s="148" t="s">
        <v>95</v>
      </c>
      <c r="F9" s="149">
        <v>62.0</v>
      </c>
      <c r="G9" s="153"/>
      <c r="H9" s="58"/>
      <c r="I9" s="58"/>
      <c r="J9" s="154"/>
      <c r="K9" s="58"/>
      <c r="L9" s="58"/>
      <c r="M9" s="58"/>
      <c r="N9" s="58"/>
      <c r="O9" s="58"/>
      <c r="P9" s="58"/>
      <c r="Q9" s="58"/>
      <c r="R9" s="13"/>
      <c r="S9" s="13"/>
    </row>
    <row r="10">
      <c r="A10" s="148" t="s">
        <v>179</v>
      </c>
      <c r="B10" s="149">
        <v>74.0</v>
      </c>
      <c r="C10" s="147"/>
      <c r="D10" s="58"/>
      <c r="E10" s="58"/>
      <c r="F10" s="58"/>
      <c r="G10" s="147"/>
      <c r="H10" s="58"/>
      <c r="I10" s="147"/>
      <c r="J10" s="154"/>
      <c r="K10" s="147"/>
      <c r="L10" s="147"/>
      <c r="M10" s="58"/>
      <c r="N10" s="58"/>
      <c r="O10" s="58"/>
      <c r="P10" s="58"/>
      <c r="Q10" s="58"/>
      <c r="R10" s="13"/>
      <c r="S10" s="13"/>
    </row>
    <row r="11">
      <c r="A11" s="147"/>
      <c r="B11" s="147"/>
      <c r="C11" s="58"/>
      <c r="D11" s="58"/>
      <c r="E11" s="58"/>
      <c r="F11" s="58"/>
      <c r="G11" s="58"/>
      <c r="H11" s="58"/>
      <c r="I11" s="155" t="s">
        <v>225</v>
      </c>
      <c r="J11" s="154"/>
      <c r="K11" s="152"/>
      <c r="L11" s="152"/>
      <c r="M11" s="148" t="s">
        <v>226</v>
      </c>
      <c r="N11" s="157"/>
      <c r="O11" s="158"/>
      <c r="P11" s="58"/>
      <c r="Q11" s="58"/>
      <c r="R11" s="13"/>
      <c r="S11" s="13"/>
    </row>
    <row r="12">
      <c r="A12" s="148" t="s">
        <v>139</v>
      </c>
      <c r="B12" s="149">
        <v>30.0</v>
      </c>
      <c r="C12" s="147"/>
      <c r="D12" s="147"/>
      <c r="E12" s="58"/>
      <c r="F12" s="58"/>
      <c r="G12" s="58"/>
      <c r="H12" s="58"/>
      <c r="I12" s="58"/>
      <c r="J12" s="154"/>
      <c r="K12" s="58"/>
      <c r="L12" s="58"/>
      <c r="M12" s="58"/>
      <c r="N12" s="58"/>
      <c r="O12" s="58"/>
      <c r="P12" s="58"/>
      <c r="Q12" s="58"/>
      <c r="R12" s="13"/>
      <c r="S12" s="13"/>
    </row>
    <row r="13">
      <c r="A13" s="150" t="s">
        <v>227</v>
      </c>
      <c r="B13" s="151"/>
      <c r="C13" s="152"/>
      <c r="D13" s="152"/>
      <c r="E13" s="148" t="s">
        <v>22</v>
      </c>
      <c r="F13" s="149">
        <v>14.0</v>
      </c>
      <c r="G13" s="58"/>
      <c r="H13" s="58"/>
      <c r="I13" s="58"/>
      <c r="J13" s="154"/>
      <c r="K13" s="58"/>
      <c r="L13" s="58"/>
      <c r="M13" s="58"/>
      <c r="N13" s="58"/>
      <c r="O13" s="58"/>
      <c r="P13" s="58"/>
      <c r="Q13" s="58"/>
      <c r="R13" s="13"/>
      <c r="S13" s="13"/>
    </row>
    <row r="14">
      <c r="A14" s="148" t="s">
        <v>22</v>
      </c>
      <c r="B14" s="149">
        <v>96.0</v>
      </c>
      <c r="C14" s="147"/>
      <c r="D14" s="58"/>
      <c r="E14" s="147"/>
      <c r="F14" s="154"/>
      <c r="G14" s="147"/>
      <c r="H14" s="147"/>
      <c r="I14" s="58"/>
      <c r="J14" s="154"/>
      <c r="K14" s="58"/>
      <c r="L14" s="58"/>
      <c r="M14" s="58"/>
      <c r="N14" s="58"/>
      <c r="O14" s="58"/>
      <c r="P14" s="58"/>
      <c r="Q14" s="58"/>
      <c r="R14" s="13"/>
      <c r="S14" s="13"/>
    </row>
    <row r="15">
      <c r="A15" s="147"/>
      <c r="B15" s="147"/>
      <c r="C15" s="58"/>
      <c r="D15" s="58"/>
      <c r="E15" s="155" t="s">
        <v>224</v>
      </c>
      <c r="F15" s="154"/>
      <c r="G15" s="152"/>
      <c r="H15" s="152"/>
      <c r="I15" s="148" t="s">
        <v>96</v>
      </c>
      <c r="J15" s="156">
        <v>68.0</v>
      </c>
      <c r="K15" s="58"/>
      <c r="L15" s="58"/>
      <c r="M15" s="58"/>
      <c r="N15" s="58"/>
      <c r="O15" s="58"/>
      <c r="P15" s="58"/>
      <c r="Q15" s="58"/>
      <c r="R15" s="13"/>
      <c r="S15" s="13"/>
    </row>
    <row r="16">
      <c r="A16" s="148" t="s">
        <v>96</v>
      </c>
      <c r="B16" s="149">
        <v>120.0</v>
      </c>
      <c r="C16" s="147"/>
      <c r="D16" s="147"/>
      <c r="E16" s="58"/>
      <c r="F16" s="154"/>
      <c r="G16" s="58"/>
      <c r="H16" s="58"/>
      <c r="I16" s="58"/>
      <c r="J16" s="58"/>
      <c r="K16" s="58"/>
      <c r="L16" s="58"/>
      <c r="M16" s="159" t="s">
        <v>225</v>
      </c>
      <c r="N16" s="58"/>
      <c r="O16" s="159" t="s">
        <v>228</v>
      </c>
      <c r="P16" s="58"/>
      <c r="Q16" s="58"/>
      <c r="R16" s="13"/>
      <c r="S16" s="13"/>
    </row>
    <row r="17">
      <c r="A17" s="150" t="s">
        <v>229</v>
      </c>
      <c r="B17" s="151"/>
      <c r="C17" s="152"/>
      <c r="D17" s="152"/>
      <c r="E17" s="148" t="s">
        <v>96</v>
      </c>
      <c r="F17" s="149">
        <v>60.0</v>
      </c>
      <c r="G17" s="147"/>
      <c r="H17" s="58"/>
      <c r="I17" s="58"/>
      <c r="J17" s="58"/>
      <c r="K17" s="58"/>
      <c r="L17" s="58"/>
      <c r="M17" s="58"/>
      <c r="N17" s="58"/>
      <c r="O17" s="58"/>
      <c r="P17" s="147"/>
      <c r="Q17" s="58"/>
      <c r="R17" s="13"/>
      <c r="S17" s="13"/>
    </row>
    <row r="18">
      <c r="A18" s="148" t="s">
        <v>31</v>
      </c>
      <c r="B18" s="149">
        <v>74.0</v>
      </c>
      <c r="C18" s="58"/>
      <c r="D18" s="58"/>
      <c r="E18" s="58"/>
      <c r="F18" s="58"/>
      <c r="G18" s="58"/>
      <c r="H18" s="58"/>
      <c r="I18" s="58"/>
      <c r="J18" s="58"/>
      <c r="K18" s="148" t="s">
        <v>30</v>
      </c>
      <c r="L18" s="156">
        <v>60.0</v>
      </c>
      <c r="M18" s="147"/>
      <c r="N18" s="58"/>
      <c r="O18" s="147"/>
      <c r="P18" s="147"/>
      <c r="Q18" s="147"/>
      <c r="R18" s="13"/>
      <c r="S18" s="13"/>
    </row>
    <row r="19">
      <c r="A19" s="147"/>
      <c r="B19" s="147"/>
      <c r="C19" s="58"/>
      <c r="D19" s="58"/>
      <c r="E19" s="58"/>
      <c r="F19" s="58"/>
      <c r="G19" s="58"/>
      <c r="H19" s="58"/>
      <c r="I19" s="58"/>
      <c r="J19" s="58"/>
      <c r="K19" s="58"/>
      <c r="L19" s="154"/>
      <c r="M19" s="58"/>
      <c r="N19" s="58"/>
      <c r="O19" s="58"/>
      <c r="P19" s="58"/>
      <c r="Q19" s="58"/>
      <c r="R19" s="13"/>
      <c r="S19" s="13"/>
    </row>
    <row r="20">
      <c r="A20" s="147"/>
      <c r="B20" s="58"/>
      <c r="C20" s="147"/>
      <c r="D20" s="147"/>
      <c r="E20" s="58"/>
      <c r="F20" s="58"/>
      <c r="G20" s="58"/>
      <c r="H20" s="58"/>
      <c r="I20" s="58"/>
      <c r="J20" s="58"/>
      <c r="K20" s="58"/>
      <c r="L20" s="154"/>
      <c r="M20" s="58"/>
      <c r="N20" s="58"/>
      <c r="O20" s="58"/>
      <c r="P20" s="58"/>
      <c r="Q20" s="58"/>
      <c r="R20" s="13"/>
      <c r="S20" s="13"/>
    </row>
    <row r="21">
      <c r="A21" s="147"/>
      <c r="B21" s="147"/>
      <c r="C21" s="58"/>
      <c r="D21" s="58"/>
      <c r="E21" s="58"/>
      <c r="F21" s="58"/>
      <c r="G21" s="58"/>
      <c r="H21" s="58"/>
      <c r="I21" s="58"/>
      <c r="J21" s="58"/>
      <c r="K21" s="58"/>
      <c r="L21" s="154"/>
      <c r="M21" s="58"/>
      <c r="N21" s="58"/>
      <c r="O21" s="58"/>
      <c r="P21" s="58"/>
      <c r="Q21" s="58"/>
      <c r="R21" s="13"/>
      <c r="S21" s="13"/>
    </row>
    <row r="22">
      <c r="A22" s="58"/>
      <c r="B22" s="58"/>
      <c r="C22" s="147"/>
      <c r="D22" s="58"/>
      <c r="E22" s="147"/>
      <c r="F22" s="58"/>
      <c r="G22" s="148" t="s">
        <v>95</v>
      </c>
      <c r="H22" s="149">
        <v>64.0</v>
      </c>
      <c r="I22" s="58"/>
      <c r="J22" s="58"/>
      <c r="K22" s="58"/>
      <c r="L22" s="154"/>
      <c r="M22" s="58"/>
      <c r="N22" s="58"/>
      <c r="O22" s="58"/>
      <c r="P22" s="58"/>
      <c r="Q22" s="58"/>
      <c r="R22" s="13"/>
      <c r="S22" s="13"/>
    </row>
    <row r="23">
      <c r="A23" s="147"/>
      <c r="B23" s="147"/>
      <c r="C23" s="58"/>
      <c r="D23" s="58"/>
      <c r="E23" s="58"/>
      <c r="F23" s="58"/>
      <c r="G23" s="58"/>
      <c r="H23" s="154"/>
      <c r="I23" s="58"/>
      <c r="J23" s="58"/>
      <c r="K23" s="58"/>
      <c r="L23" s="154"/>
      <c r="M23" s="58"/>
      <c r="N23" s="58"/>
      <c r="O23" s="58"/>
      <c r="P23" s="58"/>
      <c r="Q23" s="58"/>
      <c r="R23" s="13"/>
      <c r="S23" s="13"/>
    </row>
    <row r="24">
      <c r="A24" s="147"/>
      <c r="B24" s="58"/>
      <c r="C24" s="148" t="s">
        <v>115</v>
      </c>
      <c r="D24" s="149">
        <v>100.0</v>
      </c>
      <c r="E24" s="58"/>
      <c r="F24" s="58"/>
      <c r="G24" s="58"/>
      <c r="H24" s="154"/>
      <c r="I24" s="58"/>
      <c r="J24" s="58"/>
      <c r="K24" s="58"/>
      <c r="L24" s="154"/>
      <c r="M24" s="58"/>
      <c r="N24" s="58"/>
      <c r="O24" s="58"/>
      <c r="P24" s="58"/>
      <c r="Q24" s="58"/>
      <c r="R24" s="13"/>
      <c r="S24" s="13"/>
    </row>
    <row r="25">
      <c r="A25" s="147"/>
      <c r="B25" s="147"/>
      <c r="C25" s="58"/>
      <c r="D25" s="154"/>
      <c r="E25" s="58"/>
      <c r="F25" s="58"/>
      <c r="G25" s="58"/>
      <c r="H25" s="154"/>
      <c r="I25" s="58"/>
      <c r="J25" s="58"/>
      <c r="K25" s="58"/>
      <c r="L25" s="154"/>
      <c r="M25" s="58"/>
      <c r="N25" s="58"/>
      <c r="O25" s="58"/>
      <c r="P25" s="58"/>
      <c r="Q25" s="58"/>
      <c r="R25" s="13"/>
      <c r="S25" s="13"/>
    </row>
    <row r="26">
      <c r="A26" s="58"/>
      <c r="B26" s="58"/>
      <c r="C26" s="150" t="s">
        <v>230</v>
      </c>
      <c r="D26" s="154"/>
      <c r="E26" s="148" t="s">
        <v>115</v>
      </c>
      <c r="F26" s="149">
        <v>104.0</v>
      </c>
      <c r="G26" s="159" t="s">
        <v>223</v>
      </c>
      <c r="H26" s="154"/>
      <c r="I26" s="148" t="s">
        <v>95</v>
      </c>
      <c r="J26" s="156">
        <v>88.0</v>
      </c>
      <c r="K26" s="147"/>
      <c r="L26" s="151"/>
      <c r="M26" s="148" t="s">
        <v>231</v>
      </c>
      <c r="N26" s="157"/>
      <c r="O26" s="158"/>
      <c r="P26" s="58"/>
      <c r="Q26" s="58"/>
      <c r="R26" s="13"/>
      <c r="S26" s="13"/>
    </row>
    <row r="27">
      <c r="A27" s="148" t="s">
        <v>177</v>
      </c>
      <c r="B27" s="149">
        <v>102.0</v>
      </c>
      <c r="C27" s="58"/>
      <c r="D27" s="154"/>
      <c r="E27" s="58"/>
      <c r="F27" s="154"/>
      <c r="G27" s="58"/>
      <c r="H27" s="154"/>
      <c r="I27" s="58"/>
      <c r="J27" s="154"/>
      <c r="K27" s="58"/>
      <c r="L27" s="154"/>
      <c r="M27" s="58"/>
      <c r="N27" s="58"/>
      <c r="O27" s="58"/>
      <c r="P27" s="58"/>
      <c r="Q27" s="58"/>
      <c r="R27" s="13"/>
      <c r="S27" s="13"/>
    </row>
    <row r="28">
      <c r="A28" s="150" t="s">
        <v>230</v>
      </c>
      <c r="B28" s="154"/>
      <c r="C28" s="148" t="s">
        <v>177</v>
      </c>
      <c r="D28" s="149">
        <v>32.0</v>
      </c>
      <c r="E28" s="58"/>
      <c r="F28" s="154"/>
      <c r="G28" s="58"/>
      <c r="H28" s="154"/>
      <c r="I28" s="58"/>
      <c r="J28" s="154"/>
      <c r="K28" s="159" t="s">
        <v>232</v>
      </c>
      <c r="L28" s="154"/>
      <c r="M28" s="58"/>
      <c r="N28" s="58"/>
      <c r="O28" s="147"/>
      <c r="P28" s="58"/>
      <c r="Q28" s="58"/>
      <c r="R28" s="13"/>
      <c r="S28" s="13"/>
    </row>
    <row r="29">
      <c r="A29" s="148" t="s">
        <v>186</v>
      </c>
      <c r="B29" s="149">
        <v>22.0</v>
      </c>
      <c r="C29" s="58"/>
      <c r="D29" s="58"/>
      <c r="E29" s="58"/>
      <c r="F29" s="154"/>
      <c r="G29" s="58"/>
      <c r="H29" s="154"/>
      <c r="I29" s="58"/>
      <c r="J29" s="154"/>
      <c r="K29" s="58"/>
      <c r="L29" s="154"/>
      <c r="M29" s="58"/>
      <c r="N29" s="58"/>
      <c r="O29" s="147"/>
      <c r="P29" s="58"/>
      <c r="Q29" s="58"/>
      <c r="R29" s="13"/>
      <c r="S29" s="13"/>
    </row>
    <row r="30">
      <c r="A30" s="58"/>
      <c r="B30" s="58"/>
      <c r="C30" s="147"/>
      <c r="D30" s="58"/>
      <c r="E30" s="150" t="s">
        <v>227</v>
      </c>
      <c r="F30" s="154"/>
      <c r="G30" s="148" t="s">
        <v>115</v>
      </c>
      <c r="H30" s="149">
        <v>10.0</v>
      </c>
      <c r="I30" s="58"/>
      <c r="J30" s="154"/>
      <c r="K30" s="58"/>
      <c r="L30" s="154"/>
      <c r="M30" s="147"/>
      <c r="N30" s="147"/>
      <c r="O30" s="58"/>
      <c r="P30" s="58"/>
      <c r="Q30" s="58"/>
      <c r="R30" s="13"/>
      <c r="S30" s="13"/>
    </row>
    <row r="31">
      <c r="A31" s="147"/>
      <c r="B31" s="147"/>
      <c r="C31" s="58"/>
      <c r="D31" s="58"/>
      <c r="E31" s="58"/>
      <c r="F31" s="154"/>
      <c r="G31" s="58"/>
      <c r="H31" s="58"/>
      <c r="I31" s="58"/>
      <c r="J31" s="154"/>
      <c r="K31" s="58"/>
      <c r="L31" s="154"/>
      <c r="M31" s="58"/>
      <c r="N31" s="58"/>
      <c r="O31" s="58"/>
      <c r="P31" s="58"/>
      <c r="Q31" s="58"/>
      <c r="R31" s="13"/>
      <c r="S31" s="13"/>
    </row>
    <row r="32">
      <c r="A32" s="147"/>
      <c r="B32" s="58"/>
      <c r="C32" s="148" t="s">
        <v>139</v>
      </c>
      <c r="D32" s="149">
        <v>142.0</v>
      </c>
      <c r="E32" s="58"/>
      <c r="F32" s="154"/>
      <c r="G32" s="58"/>
      <c r="H32" s="58"/>
      <c r="I32" s="58"/>
      <c r="J32" s="154"/>
      <c r="K32" s="58"/>
      <c r="L32" s="154"/>
      <c r="M32" s="58"/>
      <c r="N32" s="58"/>
      <c r="O32" s="58"/>
      <c r="P32" s="58"/>
      <c r="Q32" s="58"/>
      <c r="R32" s="13"/>
      <c r="S32" s="13"/>
    </row>
    <row r="33">
      <c r="A33" s="147"/>
      <c r="B33" s="147"/>
      <c r="C33" s="58"/>
      <c r="D33" s="154"/>
      <c r="E33" s="58"/>
      <c r="F33" s="154"/>
      <c r="G33" s="58"/>
      <c r="H33" s="58"/>
      <c r="I33" s="58"/>
      <c r="J33" s="154"/>
      <c r="K33" s="58"/>
      <c r="L33" s="154"/>
      <c r="M33" s="58"/>
      <c r="N33" s="58"/>
      <c r="O33" s="58"/>
      <c r="P33" s="58"/>
      <c r="Q33" s="58"/>
      <c r="R33" s="13"/>
      <c r="S33" s="13"/>
    </row>
    <row r="34">
      <c r="A34" s="58"/>
      <c r="B34" s="58"/>
      <c r="C34" s="155" t="s">
        <v>233</v>
      </c>
      <c r="D34" s="154"/>
      <c r="E34" s="148" t="s">
        <v>139</v>
      </c>
      <c r="F34" s="149">
        <v>40.0</v>
      </c>
      <c r="G34" s="58"/>
      <c r="H34" s="58"/>
      <c r="I34" s="150" t="s">
        <v>232</v>
      </c>
      <c r="J34" s="151"/>
      <c r="K34" s="148" t="s">
        <v>95</v>
      </c>
      <c r="L34" s="156">
        <v>62.0</v>
      </c>
      <c r="M34" s="58"/>
      <c r="N34" s="58"/>
      <c r="O34" s="58"/>
      <c r="P34" s="58"/>
      <c r="Q34" s="58"/>
      <c r="R34" s="13"/>
      <c r="S34" s="13"/>
    </row>
    <row r="35">
      <c r="A35" s="148" t="s">
        <v>82</v>
      </c>
      <c r="B35" s="149">
        <v>60.0</v>
      </c>
      <c r="C35" s="58"/>
      <c r="D35" s="154"/>
      <c r="E35" s="58"/>
      <c r="F35" s="58"/>
      <c r="G35" s="58"/>
      <c r="H35" s="58"/>
      <c r="I35" s="58"/>
      <c r="J35" s="154"/>
      <c r="K35" s="58"/>
      <c r="L35" s="58"/>
      <c r="M35" s="58"/>
      <c r="N35" s="58"/>
      <c r="O35" s="58"/>
      <c r="P35" s="58"/>
      <c r="Q35" s="58"/>
      <c r="R35" s="13"/>
      <c r="S35" s="13"/>
    </row>
    <row r="36">
      <c r="A36" s="155" t="s">
        <v>233</v>
      </c>
      <c r="B36" s="154"/>
      <c r="C36" s="148" t="s">
        <v>82</v>
      </c>
      <c r="D36" s="149">
        <v>28.0</v>
      </c>
      <c r="E36" s="147"/>
      <c r="F36" s="147"/>
      <c r="G36" s="58"/>
      <c r="H36" s="58"/>
      <c r="I36" s="58"/>
      <c r="J36" s="154"/>
      <c r="K36" s="3"/>
      <c r="L36" s="160"/>
      <c r="M36" s="64"/>
      <c r="N36" s="58"/>
      <c r="O36" s="58"/>
      <c r="P36" s="58"/>
      <c r="Q36" s="58"/>
      <c r="R36" s="13"/>
      <c r="S36" s="13"/>
    </row>
    <row r="37">
      <c r="A37" s="148" t="s">
        <v>94</v>
      </c>
      <c r="B37" s="149">
        <v>22.0</v>
      </c>
      <c r="C37" s="58"/>
      <c r="D37" s="58"/>
      <c r="E37" s="58"/>
      <c r="F37" s="58"/>
      <c r="G37" s="58"/>
      <c r="H37" s="58"/>
      <c r="I37" s="58"/>
      <c r="J37" s="154"/>
      <c r="K37" s="3"/>
      <c r="L37" s="160"/>
      <c r="M37" s="64"/>
      <c r="N37" s="58"/>
      <c r="O37" s="58"/>
      <c r="P37" s="58"/>
      <c r="Q37" s="58"/>
      <c r="R37" s="13"/>
      <c r="S37" s="13"/>
    </row>
    <row r="38">
      <c r="A38" s="58"/>
      <c r="B38" s="58"/>
      <c r="C38" s="58"/>
      <c r="D38" s="58"/>
      <c r="E38" s="147"/>
      <c r="F38" s="58"/>
      <c r="G38" s="148" t="s">
        <v>22</v>
      </c>
      <c r="H38" s="156">
        <v>40.0</v>
      </c>
      <c r="I38" s="147"/>
      <c r="J38" s="154"/>
      <c r="K38" s="3"/>
      <c r="L38" s="160"/>
      <c r="M38" s="3"/>
      <c r="N38" s="58"/>
      <c r="O38" s="147"/>
      <c r="P38" s="147"/>
      <c r="Q38" s="147"/>
      <c r="R38" s="13"/>
      <c r="S38" s="13"/>
    </row>
    <row r="39">
      <c r="A39" s="58"/>
      <c r="B39" s="58"/>
      <c r="C39" s="147"/>
      <c r="D39" s="147"/>
      <c r="E39" s="58"/>
      <c r="F39" s="58"/>
      <c r="G39" s="58"/>
      <c r="H39" s="154"/>
      <c r="I39" s="58"/>
      <c r="J39" s="154"/>
      <c r="K39" s="3"/>
      <c r="L39" s="160"/>
      <c r="M39" s="3"/>
      <c r="N39" s="58"/>
      <c r="O39" s="58"/>
      <c r="P39" s="58"/>
      <c r="Q39" s="58"/>
      <c r="R39" s="13"/>
      <c r="S39" s="13"/>
    </row>
    <row r="40">
      <c r="A40" s="58"/>
      <c r="B40" s="58"/>
      <c r="C40" s="148" t="s">
        <v>179</v>
      </c>
      <c r="D40" s="149">
        <v>54.0</v>
      </c>
      <c r="E40" s="147"/>
      <c r="F40" s="147"/>
      <c r="G40" s="58"/>
      <c r="H40" s="154"/>
      <c r="I40" s="58"/>
      <c r="J40" s="154"/>
      <c r="K40" s="3"/>
      <c r="L40" s="160"/>
      <c r="M40" s="3"/>
      <c r="N40" s="58"/>
      <c r="O40" s="58"/>
      <c r="P40" s="58"/>
      <c r="Q40" s="58"/>
      <c r="R40" s="13"/>
      <c r="S40" s="13"/>
    </row>
    <row r="41">
      <c r="A41" s="58"/>
      <c r="B41" s="58"/>
      <c r="C41" s="147"/>
      <c r="D41" s="151"/>
      <c r="E41" s="58"/>
      <c r="F41" s="58"/>
      <c r="G41" s="58"/>
      <c r="H41" s="154"/>
      <c r="I41" s="58"/>
      <c r="J41" s="154"/>
      <c r="K41" s="3"/>
      <c r="L41" s="160"/>
      <c r="M41" s="3"/>
      <c r="N41" s="58"/>
      <c r="O41" s="58"/>
      <c r="P41" s="58"/>
      <c r="Q41" s="58"/>
      <c r="R41" s="13"/>
      <c r="S41" s="13"/>
    </row>
    <row r="42">
      <c r="A42" s="58"/>
      <c r="B42" s="58"/>
      <c r="C42" s="155" t="s">
        <v>234</v>
      </c>
      <c r="D42" s="154"/>
      <c r="E42" s="148" t="s">
        <v>34</v>
      </c>
      <c r="F42" s="149">
        <v>48.0</v>
      </c>
      <c r="G42" s="159" t="s">
        <v>224</v>
      </c>
      <c r="H42" s="154"/>
      <c r="I42" s="148" t="s">
        <v>31</v>
      </c>
      <c r="J42" s="156">
        <v>50.0</v>
      </c>
      <c r="K42" s="3"/>
      <c r="L42" s="160"/>
      <c r="M42" s="3"/>
      <c r="N42" s="58"/>
      <c r="O42" s="58"/>
      <c r="P42" s="58"/>
      <c r="Q42" s="58"/>
      <c r="R42" s="13"/>
      <c r="S42" s="13"/>
    </row>
    <row r="43">
      <c r="A43" s="148" t="s">
        <v>143</v>
      </c>
      <c r="B43" s="149">
        <v>14.0</v>
      </c>
      <c r="C43" s="58"/>
      <c r="D43" s="154"/>
      <c r="E43" s="58"/>
      <c r="F43" s="154"/>
      <c r="G43" s="58"/>
      <c r="H43" s="154"/>
      <c r="I43" s="58"/>
      <c r="J43" s="58"/>
      <c r="K43" s="3"/>
      <c r="L43" s="160"/>
      <c r="M43" s="3"/>
      <c r="N43" s="58"/>
      <c r="O43" s="58"/>
      <c r="P43" s="58"/>
      <c r="Q43" s="58"/>
      <c r="R43" s="13"/>
      <c r="S43" s="13"/>
    </row>
    <row r="44">
      <c r="A44" s="155" t="s">
        <v>234</v>
      </c>
      <c r="B44" s="154"/>
      <c r="C44" s="148" t="s">
        <v>34</v>
      </c>
      <c r="D44" s="149">
        <v>88.0</v>
      </c>
      <c r="E44" s="147"/>
      <c r="F44" s="151"/>
      <c r="G44" s="58"/>
      <c r="H44" s="154"/>
      <c r="I44" s="58"/>
      <c r="J44" s="58"/>
      <c r="K44" s="3"/>
      <c r="L44" s="160"/>
      <c r="M44" s="3"/>
      <c r="N44" s="58"/>
      <c r="O44" s="58"/>
      <c r="P44" s="58"/>
      <c r="Q44" s="58"/>
      <c r="R44" s="13"/>
      <c r="S44" s="13"/>
    </row>
    <row r="45">
      <c r="A45" s="148" t="s">
        <v>34</v>
      </c>
      <c r="B45" s="149">
        <v>110.0</v>
      </c>
      <c r="C45" s="58"/>
      <c r="D45" s="58"/>
      <c r="E45" s="58"/>
      <c r="F45" s="154"/>
      <c r="G45" s="58"/>
      <c r="H45" s="154"/>
      <c r="I45" s="58"/>
      <c r="J45" s="58"/>
      <c r="K45" s="3"/>
      <c r="L45" s="160"/>
      <c r="M45" s="3"/>
      <c r="N45" s="58"/>
      <c r="O45" s="58"/>
      <c r="P45" s="58"/>
      <c r="Q45" s="58"/>
      <c r="R45" s="13"/>
      <c r="S45" s="13"/>
    </row>
    <row r="46">
      <c r="A46" s="58"/>
      <c r="B46" s="58"/>
      <c r="C46" s="58"/>
      <c r="D46" s="58"/>
      <c r="E46" s="150" t="s">
        <v>229</v>
      </c>
      <c r="F46" s="154"/>
      <c r="G46" s="148" t="s">
        <v>31</v>
      </c>
      <c r="H46" s="156">
        <v>64.0</v>
      </c>
      <c r="I46" s="58"/>
      <c r="J46" s="58"/>
      <c r="K46" s="3"/>
      <c r="L46" s="160"/>
      <c r="M46" s="64"/>
      <c r="N46" s="147"/>
      <c r="O46" s="58"/>
      <c r="P46" s="58"/>
      <c r="Q46" s="58"/>
      <c r="R46" s="13"/>
      <c r="S46" s="13"/>
    </row>
    <row r="47">
      <c r="A47" s="58"/>
      <c r="B47" s="58"/>
      <c r="C47" s="147"/>
      <c r="D47" s="147"/>
      <c r="E47" s="58"/>
      <c r="F47" s="154"/>
      <c r="G47" s="58"/>
      <c r="H47" s="58"/>
      <c r="I47" s="58"/>
      <c r="J47" s="58"/>
      <c r="K47" s="3"/>
      <c r="L47" s="160"/>
      <c r="M47" s="64"/>
      <c r="N47" s="58"/>
      <c r="O47" s="58"/>
      <c r="P47" s="58"/>
      <c r="Q47" s="58"/>
      <c r="R47" s="13"/>
      <c r="S47" s="13"/>
    </row>
    <row r="48">
      <c r="A48" s="58"/>
      <c r="B48" s="58"/>
      <c r="C48" s="148" t="s">
        <v>31</v>
      </c>
      <c r="D48" s="161"/>
      <c r="E48" s="147"/>
      <c r="F48" s="151"/>
      <c r="G48" s="58"/>
      <c r="H48" s="58"/>
      <c r="I48" s="58"/>
      <c r="J48" s="58"/>
      <c r="K48" s="3"/>
      <c r="L48" s="160"/>
      <c r="M48" s="64"/>
      <c r="N48" s="58"/>
      <c r="O48" s="58"/>
      <c r="P48" s="58"/>
      <c r="Q48" s="58"/>
      <c r="R48" s="13"/>
      <c r="S48" s="13"/>
    </row>
    <row r="49">
      <c r="A49" s="58"/>
      <c r="B49" s="58"/>
      <c r="C49" s="147"/>
      <c r="D49" s="151"/>
      <c r="E49" s="58"/>
      <c r="F49" s="154"/>
      <c r="G49" s="58"/>
      <c r="H49" s="58"/>
      <c r="I49" s="58"/>
      <c r="J49" s="58"/>
      <c r="K49" s="3"/>
      <c r="L49" s="160"/>
      <c r="M49" s="64"/>
      <c r="N49" s="58"/>
      <c r="O49" s="58"/>
      <c r="P49" s="58"/>
      <c r="Q49" s="58"/>
      <c r="R49" s="13"/>
      <c r="S49" s="13"/>
    </row>
    <row r="50">
      <c r="A50" s="58"/>
      <c r="B50" s="58"/>
      <c r="C50" s="155" t="s">
        <v>235</v>
      </c>
      <c r="D50" s="154"/>
      <c r="E50" s="148" t="s">
        <v>31</v>
      </c>
      <c r="F50" s="149">
        <v>120.0</v>
      </c>
      <c r="G50" s="58"/>
      <c r="H50" s="58"/>
      <c r="I50" s="147"/>
      <c r="J50" s="147"/>
      <c r="K50" s="3"/>
      <c r="L50" s="160"/>
      <c r="M50" s="162"/>
      <c r="N50" s="58"/>
      <c r="O50" s="58"/>
      <c r="P50" s="58"/>
      <c r="Q50" s="58"/>
      <c r="R50" s="13"/>
      <c r="S50" s="13"/>
    </row>
    <row r="51">
      <c r="A51" s="148" t="s">
        <v>93</v>
      </c>
      <c r="B51" s="149">
        <v>88.0</v>
      </c>
      <c r="C51" s="58"/>
      <c r="D51" s="154"/>
      <c r="E51" s="58"/>
      <c r="F51" s="58"/>
      <c r="G51" s="58"/>
      <c r="H51" s="58"/>
      <c r="I51" s="58"/>
      <c r="J51" s="58"/>
      <c r="K51" s="3"/>
      <c r="L51" s="160"/>
      <c r="M51" s="64"/>
      <c r="N51" s="58"/>
      <c r="O51" s="58"/>
      <c r="P51" s="58"/>
      <c r="Q51" s="58"/>
      <c r="R51" s="13"/>
      <c r="S51" s="13"/>
    </row>
    <row r="52">
      <c r="A52" s="155" t="s">
        <v>235</v>
      </c>
      <c r="B52" s="154"/>
      <c r="C52" s="148" t="s">
        <v>93</v>
      </c>
      <c r="D52" s="161"/>
      <c r="E52" s="147"/>
      <c r="F52" s="147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13"/>
      <c r="S52" s="13"/>
    </row>
    <row r="53">
      <c r="A53" s="148" t="s">
        <v>122</v>
      </c>
      <c r="B53" s="149">
        <v>26.0</v>
      </c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13"/>
      <c r="S53" s="13"/>
    </row>
    <row r="54">
      <c r="A54" s="58"/>
      <c r="B54" s="58"/>
      <c r="C54" s="58"/>
      <c r="D54" s="58"/>
      <c r="E54" s="147"/>
      <c r="F54" s="58"/>
      <c r="G54" s="147"/>
      <c r="H54" s="147"/>
      <c r="I54" s="147"/>
      <c r="J54" s="58"/>
      <c r="K54" s="147"/>
      <c r="L54" s="147"/>
      <c r="M54" s="58"/>
      <c r="N54" s="58"/>
      <c r="O54" s="13"/>
      <c r="P54" s="13"/>
      <c r="Q54" s="13"/>
      <c r="R54" s="13"/>
      <c r="S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</sheetData>
  <mergeCells count="3">
    <mergeCell ref="A1:B1"/>
    <mergeCell ref="C1:D1"/>
    <mergeCell ref="E1:F1"/>
  </mergeCells>
  <hyperlinks>
    <hyperlink r:id="rId1" location="gid=204270256" ref="C2"/>
  </hyperlinks>
  <drawing r:id="rId2"/>
</worksheet>
</file>