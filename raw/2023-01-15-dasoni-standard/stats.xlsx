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rics Guide" sheetId="1" r:id="rId5"/>
    <sheet state="visible" name="All" sheetId="2" r:id="rId6"/>
    <sheet state="visible" name="All Team" sheetId="3" r:id="rId7"/>
    <sheet state="visible" name="Bio" sheetId="4" r:id="rId8"/>
    <sheet state="visible" name="Bio Team" sheetId="5" r:id="rId9"/>
    <sheet state="visible" name="Chem" sheetId="6" r:id="rId10"/>
    <sheet state="visible" name="Chem Team" sheetId="7" r:id="rId11"/>
    <sheet state="visible" name="ESS" sheetId="8" r:id="rId12"/>
    <sheet state="visible" name="ESS Team" sheetId="9" r:id="rId13"/>
    <sheet state="visible" name="Math" sheetId="10" r:id="rId14"/>
    <sheet state="visible" name="Math Team" sheetId="11" r:id="rId15"/>
    <sheet state="visible" name="Phys" sheetId="12" r:id="rId16"/>
    <sheet state="visible" name="Phys Team" sheetId="13" r:id="rId17"/>
    <sheet state="visible" name="Energy" sheetId="14" r:id="rId18"/>
    <sheet state="visible" name="Energy Team" sheetId="15" r:id="rId19"/>
    <sheet state="visible" name="Bonus" sheetId="16" r:id="rId20"/>
  </sheets>
  <definedNames/>
  <calcPr/>
</workbook>
</file>

<file path=xl/sharedStrings.xml><?xml version="1.0" encoding="utf-8"?>
<sst xmlns="http://schemas.openxmlformats.org/spreadsheetml/2006/main" count="2540" uniqueCount="215">
  <si>
    <t>GP</t>
  </si>
  <si>
    <t>Number of games played</t>
  </si>
  <si>
    <t>TUH</t>
  </si>
  <si>
    <t>C</t>
  </si>
  <si>
    <t>X</t>
  </si>
  <si>
    <t>Number of toss-ups heard</t>
  </si>
  <si>
    <t>#Buzz</t>
  </si>
  <si>
    <t>Total number of toss-ups correct</t>
  </si>
  <si>
    <t>%Buzz</t>
  </si>
  <si>
    <t>Total number of toss-ups incorrect</t>
  </si>
  <si>
    <t>Acc</t>
  </si>
  <si>
    <t>Total number of buzzes</t>
  </si>
  <si>
    <t>Int</t>
  </si>
  <si>
    <t>Buzz-in rate (=#Buzz/TUH)</t>
  </si>
  <si>
    <t>Int C</t>
  </si>
  <si>
    <t>Percent accuracy (=C/#Buzz)</t>
  </si>
  <si>
    <t>Neg</t>
  </si>
  <si>
    <t>Total number of interrupts</t>
  </si>
  <si>
    <t>Number of correct interrupts</t>
  </si>
  <si>
    <t>%Int</t>
  </si>
  <si>
    <t>Number of incorrect interrupts</t>
  </si>
  <si>
    <t>Interrupt rate (=Int/TUH)</t>
  </si>
  <si>
    <t>Int Acc</t>
  </si>
  <si>
    <t>Percent interrupt accuracy (=Int C/Int)</t>
  </si>
  <si>
    <t>Points</t>
  </si>
  <si>
    <t>Total points (=4(C - Neg))</t>
  </si>
  <si>
    <t>P/TUH</t>
  </si>
  <si>
    <t>Points per toss-up heard (=Points/TUH)</t>
  </si>
  <si>
    <t>PPG</t>
  </si>
  <si>
    <t>Points per game (=Points/GP)</t>
  </si>
  <si>
    <t>B</t>
  </si>
  <si>
    <t>Number of bonuses correct</t>
  </si>
  <si>
    <t>BA Points</t>
  </si>
  <si>
    <t>Bonus-adjusted points (=Points + 10B)</t>
  </si>
  <si>
    <t>BAPPG</t>
  </si>
  <si>
    <t>Grace</t>
  </si>
  <si>
    <t>Bonus-adjusted PPG (=BA Points/GP)</t>
  </si>
  <si>
    <t>BH</t>
  </si>
  <si>
    <t>Number of bonuses heard</t>
  </si>
  <si>
    <t>Noho B</t>
  </si>
  <si>
    <t>Connor</t>
  </si>
  <si>
    <t>-</t>
  </si>
  <si>
    <t>Karthik</t>
  </si>
  <si>
    <t>Phoenix</t>
  </si>
  <si>
    <t>Interlake</t>
  </si>
  <si>
    <t>Sanjay</t>
  </si>
  <si>
    <t>Daniel Z</t>
  </si>
  <si>
    <t>Shen</t>
  </si>
  <si>
    <t>Edward</t>
  </si>
  <si>
    <t>Joseph</t>
  </si>
  <si>
    <t>Jerry L</t>
  </si>
  <si>
    <t>Enloe B</t>
  </si>
  <si>
    <t>Lidia</t>
  </si>
  <si>
    <t>Venice A</t>
  </si>
  <si>
    <t>Gaurav</t>
  </si>
  <si>
    <t>Jerry F</t>
  </si>
  <si>
    <t>Lakeside A</t>
  </si>
  <si>
    <t>Suzuko</t>
  </si>
  <si>
    <t>Hriday</t>
  </si>
  <si>
    <t>Arcadia B</t>
  </si>
  <si>
    <t>Gracelynn</t>
  </si>
  <si>
    <t>Vedang</t>
  </si>
  <si>
    <t>Redmond</t>
  </si>
  <si>
    <t>MSJ C</t>
  </si>
  <si>
    <t>Temple City A</t>
  </si>
  <si>
    <t>Jackie</t>
  </si>
  <si>
    <t>Owen F</t>
  </si>
  <si>
    <t>Serena</t>
  </si>
  <si>
    <t>Westview A</t>
  </si>
  <si>
    <t>Fateh</t>
  </si>
  <si>
    <t>Amador</t>
  </si>
  <si>
    <t>Kaiwen</t>
  </si>
  <si>
    <t>Temple City B</t>
  </si>
  <si>
    <t>Siddharth</t>
  </si>
  <si>
    <t>Ananya</t>
  </si>
  <si>
    <t>Sidharth R</t>
  </si>
  <si>
    <t>Shlok</t>
  </si>
  <si>
    <t>Lakeside B</t>
  </si>
  <si>
    <t>Srikrishna</t>
  </si>
  <si>
    <t>MSJ D</t>
  </si>
  <si>
    <t>Michael C</t>
  </si>
  <si>
    <t>Enloe C</t>
  </si>
  <si>
    <t>Felicity</t>
  </si>
  <si>
    <t>Dulles B</t>
  </si>
  <si>
    <t>Sreekar</t>
  </si>
  <si>
    <t>Collierville</t>
  </si>
  <si>
    <t>Rishab B</t>
  </si>
  <si>
    <t>Tony</t>
  </si>
  <si>
    <t>JP Stevens B</t>
  </si>
  <si>
    <t>Jeffery</t>
  </si>
  <si>
    <t>Westview B</t>
  </si>
  <si>
    <t>Jeeval</t>
  </si>
  <si>
    <t>Aryan A</t>
  </si>
  <si>
    <t>JAMS</t>
  </si>
  <si>
    <t>Rishabh</t>
  </si>
  <si>
    <t>Hugo</t>
  </si>
  <si>
    <t>Punahou</t>
  </si>
  <si>
    <t>Om</t>
  </si>
  <si>
    <t>Foothill B</t>
  </si>
  <si>
    <t>Rishi</t>
  </si>
  <si>
    <t>Suhani</t>
  </si>
  <si>
    <t>JP Stevens D</t>
  </si>
  <si>
    <t>Trevor</t>
  </si>
  <si>
    <t>Jerry X</t>
  </si>
  <si>
    <t>Fayetteville</t>
  </si>
  <si>
    <t>Thaddeus</t>
  </si>
  <si>
    <t>Rishab M</t>
  </si>
  <si>
    <t>Venice B</t>
  </si>
  <si>
    <t>Sidharth D</t>
  </si>
  <si>
    <t>JP Stevens C</t>
  </si>
  <si>
    <t>Lakeside C</t>
  </si>
  <si>
    <t>Oak Avenue A</t>
  </si>
  <si>
    <t>Taksh</t>
  </si>
  <si>
    <t>Aravind</t>
  </si>
  <si>
    <t>Foothill C</t>
  </si>
  <si>
    <t>Rishab J</t>
  </si>
  <si>
    <t>Stanley</t>
  </si>
  <si>
    <t>Mt Ararat</t>
  </si>
  <si>
    <t>Medha</t>
  </si>
  <si>
    <t>Oak Avenue B</t>
  </si>
  <si>
    <t>Sukrith</t>
  </si>
  <si>
    <t>Aaryan</t>
  </si>
  <si>
    <t>Lucas</t>
  </si>
  <si>
    <t>Harris</t>
  </si>
  <si>
    <t>Steve</t>
  </si>
  <si>
    <t>Bhavin</t>
  </si>
  <si>
    <t>Pragya</t>
  </si>
  <si>
    <t>Kunsh</t>
  </si>
  <si>
    <t>Izabela</t>
  </si>
  <si>
    <t>Tejas</t>
  </si>
  <si>
    <t>Allison</t>
  </si>
  <si>
    <t>Anthony Y</t>
  </si>
  <si>
    <t>Jonathan Z</t>
  </si>
  <si>
    <t>Yudhiishbala</t>
  </si>
  <si>
    <t>Kayla</t>
  </si>
  <si>
    <t>Lakshanya</t>
  </si>
  <si>
    <t>Aahana</t>
  </si>
  <si>
    <t>Derek</t>
  </si>
  <si>
    <t>Daniel L</t>
  </si>
  <si>
    <t>Kanishek</t>
  </si>
  <si>
    <t>Harini</t>
  </si>
  <si>
    <t>Anurag</t>
  </si>
  <si>
    <t>Ethan Z</t>
  </si>
  <si>
    <t>Joshua</t>
  </si>
  <si>
    <t>Walter</t>
  </si>
  <si>
    <t>Ethan Y</t>
  </si>
  <si>
    <t>Krish</t>
  </si>
  <si>
    <t>Jeff</t>
  </si>
  <si>
    <t>David</t>
  </si>
  <si>
    <t>Stevan</t>
  </si>
  <si>
    <t>Arnav</t>
  </si>
  <si>
    <t>Carol</t>
  </si>
  <si>
    <t>Aagam</t>
  </si>
  <si>
    <t>Ivey</t>
  </si>
  <si>
    <t>Andy</t>
  </si>
  <si>
    <t>Brandon Y</t>
  </si>
  <si>
    <t>Rylan</t>
  </si>
  <si>
    <t>Michael W</t>
  </si>
  <si>
    <t>Bonnie</t>
  </si>
  <si>
    <t>Rosetta</t>
  </si>
  <si>
    <t>Rhys</t>
  </si>
  <si>
    <t>Pranesh</t>
  </si>
  <si>
    <t>Ethan W</t>
  </si>
  <si>
    <t>Amruth</t>
  </si>
  <si>
    <t>Eknor</t>
  </si>
  <si>
    <t>Purvi</t>
  </si>
  <si>
    <t>Seth</t>
  </si>
  <si>
    <t>Janet</t>
  </si>
  <si>
    <t>Samuel</t>
  </si>
  <si>
    <t>Atropa</t>
  </si>
  <si>
    <t>Julian</t>
  </si>
  <si>
    <t>Alvin</t>
  </si>
  <si>
    <t>Brandon Z</t>
  </si>
  <si>
    <t>Sumedh</t>
  </si>
  <si>
    <t>Reena</t>
  </si>
  <si>
    <t>Jacob K</t>
  </si>
  <si>
    <t>Owen S</t>
  </si>
  <si>
    <t>Dominique</t>
  </si>
  <si>
    <t>Andrew</t>
  </si>
  <si>
    <t>Jacob LT</t>
  </si>
  <si>
    <t>Kaylan</t>
  </si>
  <si>
    <t>George</t>
  </si>
  <si>
    <t>Tanav</t>
  </si>
  <si>
    <t>Aryan K</t>
  </si>
  <si>
    <t>Elizabeth</t>
  </si>
  <si>
    <t>Iziq</t>
  </si>
  <si>
    <t>Josh</t>
  </si>
  <si>
    <t>Arya</t>
  </si>
  <si>
    <t>Aathmanathan</t>
  </si>
  <si>
    <t>Jeffrey</t>
  </si>
  <si>
    <t>Ritwik</t>
  </si>
  <si>
    <t>Henry</t>
  </si>
  <si>
    <t>Smiraa</t>
  </si>
  <si>
    <t>Saurish</t>
  </si>
  <si>
    <t>Edwin</t>
  </si>
  <si>
    <t>Shivani</t>
  </si>
  <si>
    <t>Vishwas</t>
  </si>
  <si>
    <t>Anthony W</t>
  </si>
  <si>
    <t>Charles S</t>
  </si>
  <si>
    <t>Ratul</t>
  </si>
  <si>
    <t>Judy</t>
  </si>
  <si>
    <t>Mahesh</t>
  </si>
  <si>
    <t>Druhi</t>
  </si>
  <si>
    <t>Aadhitya</t>
  </si>
  <si>
    <t>Vivian</t>
  </si>
  <si>
    <t>Jonathan C</t>
  </si>
  <si>
    <t>Alan</t>
  </si>
  <si>
    <t>Ava</t>
  </si>
  <si>
    <t>Evolet</t>
  </si>
  <si>
    <t>Eknoor</t>
  </si>
  <si>
    <t>%</t>
  </si>
  <si>
    <t>E</t>
  </si>
  <si>
    <t>N</t>
  </si>
  <si>
    <t>M</t>
  </si>
  <si>
    <t>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</si>
</sst>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color rgb="FF000000"/>
      <name val="Arial"/>
    </font>
    <font>
      <color theme="1"/>
      <name val="Arial"/>
    </font>
    <font>
      <color rgb="FFFF0000"/>
      <name val="Arial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3" xfId="0" applyAlignment="1" applyFont="1" applyNumberFormat="1">
      <alignment horizontal="center" readingOrder="0"/>
    </xf>
    <xf borderId="0" fillId="0" fontId="2" numFmtId="10" xfId="0" applyAlignment="1" applyFont="1" applyNumberFormat="1">
      <alignment horizontal="center" readingOrder="0"/>
    </xf>
    <xf borderId="0" fillId="0" fontId="2" numFmtId="0" xfId="0" applyAlignment="1" applyFont="1">
      <alignment horizontal="right" readingOrder="0"/>
    </xf>
    <xf borderId="0" fillId="0" fontId="2" numFmtId="1" xfId="0" applyAlignment="1" applyFont="1" applyNumberFormat="1">
      <alignment horizontal="center" readingOrder="0"/>
    </xf>
    <xf borderId="0" fillId="0" fontId="2" numFmtId="2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center" vertical="bottom"/>
    </xf>
    <xf borderId="0" fillId="0" fontId="5" numFmtId="3" xfId="0" applyAlignment="1" applyFont="1" applyNumberFormat="1">
      <alignment horizontal="center" vertical="bottom"/>
    </xf>
    <xf borderId="0" fillId="0" fontId="5" numFmtId="3" xfId="0" applyAlignment="1" applyFont="1" applyNumberFormat="1">
      <alignment horizontal="center" readingOrder="0" vertical="bottom"/>
    </xf>
    <xf borderId="0" fillId="0" fontId="5" numFmtId="1" xfId="0" applyAlignment="1" applyFont="1" applyNumberFormat="1">
      <alignment horizontal="center" vertical="bottom"/>
    </xf>
    <xf borderId="0" fillId="0" fontId="5" numFmtId="10" xfId="0" applyAlignment="1" applyFont="1" applyNumberFormat="1">
      <alignment horizontal="center" vertical="bottom"/>
    </xf>
    <xf borderId="0" fillId="0" fontId="5" numFmtId="1" xfId="0" applyAlignment="1" applyFont="1" applyNumberFormat="1">
      <alignment horizontal="center" readingOrder="0" vertical="bottom"/>
    </xf>
    <xf borderId="0" fillId="0" fontId="5" numFmtId="2" xfId="0" applyAlignment="1" applyFont="1" applyNumberForma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6" numFmtId="10" xfId="0" applyAlignment="1" applyFont="1" applyNumberFormat="1">
      <alignment horizontal="center" vertical="bottom"/>
    </xf>
    <xf borderId="0" fillId="0" fontId="4" numFmtId="10" xfId="0" applyAlignment="1" applyFont="1" applyNumberFormat="1">
      <alignment horizontal="center" vertical="bottom"/>
    </xf>
    <xf borderId="0" fillId="0" fontId="6" numFmtId="1" xfId="0" applyAlignment="1" applyFont="1" applyNumberFormat="1">
      <alignment horizontal="center" vertical="bottom"/>
    </xf>
    <xf borderId="0" fillId="0" fontId="4" numFmtId="1" xfId="0" applyAlignment="1" applyFont="1" applyNumberFormat="1">
      <alignment horizontal="center" vertical="bottom"/>
    </xf>
    <xf borderId="0" fillId="0" fontId="4" numFmtId="164" xfId="0" applyAlignment="1" applyFont="1" applyNumberFormat="1">
      <alignment horizontal="center" readingOrder="0" vertical="bottom"/>
    </xf>
    <xf borderId="0" fillId="0" fontId="4" numFmtId="164" xfId="0" applyAlignment="1" applyFont="1" applyNumberFormat="1">
      <alignment horizontal="center" vertical="bottom"/>
    </xf>
    <xf borderId="0" fillId="0" fontId="1" numFmtId="3" xfId="0" applyFont="1" applyNumberFormat="1"/>
    <xf borderId="0" fillId="0" fontId="1" numFmtId="10" xfId="0" applyFont="1" applyNumberFormat="1"/>
    <xf borderId="0" fillId="0" fontId="1" numFmtId="1" xfId="0" applyFont="1" applyNumberFormat="1"/>
    <xf borderId="0" fillId="0" fontId="1" numFmtId="2" xfId="0" applyFont="1" applyNumberFormat="1"/>
    <xf borderId="0" fillId="0" fontId="4" numFmtId="1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/>
    </xf>
    <xf borderId="0" fillId="0" fontId="7" numFmtId="0" xfId="0" applyFont="1"/>
    <xf borderId="0" fillId="0" fontId="6" numFmtId="3" xfId="0" applyAlignment="1" applyFont="1" applyNumberFormat="1">
      <alignment horizontal="center" vertical="bottom"/>
    </xf>
    <xf borderId="1" fillId="0" fontId="2" numFmtId="0" xfId="0" applyAlignment="1" applyBorder="1" applyFont="1">
      <alignment horizontal="center" readingOrder="0"/>
    </xf>
    <xf borderId="1" fillId="0" fontId="2" numFmtId="10" xfId="0" applyAlignment="1" applyBorder="1" applyFont="1" applyNumberFormat="1">
      <alignment horizontal="center" readingOrder="0"/>
    </xf>
    <xf borderId="1" fillId="0" fontId="5" numFmtId="10" xfId="0" applyAlignment="1" applyBorder="1" applyFont="1" applyNumberFormat="1">
      <alignment horizontal="center" vertical="bottom"/>
    </xf>
    <xf borderId="1" fillId="0" fontId="5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4" t="s">
        <v>1</v>
      </c>
    </row>
    <row r="2">
      <c r="A2" s="2" t="s">
        <v>2</v>
      </c>
      <c r="B2" s="4" t="s">
        <v>5</v>
      </c>
    </row>
    <row r="3">
      <c r="A3" s="2" t="s">
        <v>3</v>
      </c>
      <c r="B3" s="4" t="s">
        <v>7</v>
      </c>
    </row>
    <row r="4">
      <c r="A4" s="2" t="s">
        <v>4</v>
      </c>
      <c r="B4" s="4" t="s">
        <v>9</v>
      </c>
      <c r="H4" s="7"/>
    </row>
    <row r="5">
      <c r="A5" s="2" t="s">
        <v>6</v>
      </c>
      <c r="B5" s="4" t="s">
        <v>11</v>
      </c>
    </row>
    <row r="6">
      <c r="A6" s="2" t="s">
        <v>8</v>
      </c>
      <c r="B6" s="4" t="s">
        <v>13</v>
      </c>
    </row>
    <row r="7">
      <c r="A7" s="2" t="s">
        <v>10</v>
      </c>
      <c r="B7" s="4" t="s">
        <v>15</v>
      </c>
    </row>
    <row r="8">
      <c r="A8" s="2" t="s">
        <v>12</v>
      </c>
      <c r="B8" s="4" t="s">
        <v>17</v>
      </c>
    </row>
    <row r="9">
      <c r="A9" s="2" t="s">
        <v>14</v>
      </c>
      <c r="B9" s="4" t="s">
        <v>18</v>
      </c>
    </row>
    <row r="10">
      <c r="A10" s="2" t="s">
        <v>16</v>
      </c>
      <c r="B10" s="4" t="s">
        <v>20</v>
      </c>
    </row>
    <row r="11">
      <c r="A11" s="2" t="s">
        <v>19</v>
      </c>
      <c r="B11" s="4" t="s">
        <v>21</v>
      </c>
    </row>
    <row r="12">
      <c r="A12" s="2" t="s">
        <v>22</v>
      </c>
      <c r="B12" s="4" t="s">
        <v>23</v>
      </c>
    </row>
    <row r="13">
      <c r="A13" s="2" t="s">
        <v>24</v>
      </c>
      <c r="B13" s="4" t="s">
        <v>25</v>
      </c>
    </row>
    <row r="14">
      <c r="A14" s="2" t="s">
        <v>26</v>
      </c>
      <c r="B14" s="4" t="s">
        <v>27</v>
      </c>
    </row>
    <row r="15">
      <c r="A15" s="2" t="s">
        <v>28</v>
      </c>
      <c r="B15" s="4" t="s">
        <v>29</v>
      </c>
    </row>
    <row r="16">
      <c r="A16" s="2" t="s">
        <v>30</v>
      </c>
      <c r="B16" s="4" t="s">
        <v>31</v>
      </c>
    </row>
    <row r="17">
      <c r="A17" s="2" t="s">
        <v>32</v>
      </c>
      <c r="B17" s="4" t="s">
        <v>33</v>
      </c>
    </row>
    <row r="18">
      <c r="A18" s="2" t="s">
        <v>34</v>
      </c>
      <c r="B18" s="4" t="s">
        <v>36</v>
      </c>
    </row>
    <row r="19">
      <c r="A19" s="2" t="s">
        <v>37</v>
      </c>
      <c r="B19" s="4" t="s">
        <v>38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13"/>
    <col customWidth="1" min="2" max="16" width="9.5"/>
  </cols>
  <sheetData>
    <row r="1">
      <c r="A1" s="1"/>
      <c r="B1" s="3" t="s">
        <v>0</v>
      </c>
      <c r="C1" s="2" t="s">
        <v>2</v>
      </c>
      <c r="D1" s="2" t="s">
        <v>3</v>
      </c>
      <c r="E1" s="2" t="s">
        <v>4</v>
      </c>
      <c r="F1" s="2" t="s">
        <v>6</v>
      </c>
      <c r="G1" s="6" t="s">
        <v>8</v>
      </c>
      <c r="H1" s="6" t="s">
        <v>10</v>
      </c>
      <c r="I1" s="2" t="s">
        <v>12</v>
      </c>
      <c r="J1" s="2" t="s">
        <v>14</v>
      </c>
      <c r="K1" s="2" t="s">
        <v>16</v>
      </c>
      <c r="L1" s="6" t="s">
        <v>19</v>
      </c>
      <c r="M1" s="6" t="s">
        <v>22</v>
      </c>
      <c r="N1" s="2" t="s">
        <v>24</v>
      </c>
      <c r="O1" s="9" t="s">
        <v>26</v>
      </c>
      <c r="P1" s="9" t="s">
        <v>28</v>
      </c>
    </row>
    <row r="2">
      <c r="A2" s="2" t="s">
        <v>40</v>
      </c>
      <c r="B2" s="10">
        <v>1.0</v>
      </c>
      <c r="C2" s="12">
        <f t="shared" ref="C2:C139" si="1">B2*23</f>
        <v>23</v>
      </c>
      <c r="D2" s="11">
        <v>9.0</v>
      </c>
      <c r="E2" s="11">
        <v>5.0</v>
      </c>
      <c r="F2" s="12">
        <f t="shared" ref="F2:F139" si="2">D2+E2</f>
        <v>14</v>
      </c>
      <c r="G2" s="16">
        <f t="shared" ref="G2:G139" si="3">F2/C2</f>
        <v>0.6086956522</v>
      </c>
      <c r="H2" s="16">
        <f t="shared" ref="H2:H117" si="4">D2/F2</f>
        <v>0.6428571429</v>
      </c>
      <c r="I2" s="12">
        <f t="shared" ref="I2:I9" si="5">J2+K2</f>
        <v>0</v>
      </c>
      <c r="J2" s="11">
        <v>0.0</v>
      </c>
      <c r="K2" s="11">
        <v>0.0</v>
      </c>
      <c r="L2" s="16">
        <f t="shared" ref="L2:L139" si="6">I2/C2</f>
        <v>0</v>
      </c>
      <c r="M2" s="11" t="s">
        <v>41</v>
      </c>
      <c r="N2" s="12">
        <f t="shared" ref="N2:N139" si="7">4*(D2-K2)</f>
        <v>36</v>
      </c>
      <c r="O2" s="18">
        <f t="shared" ref="O2:O139" si="8">N2/C2</f>
        <v>1.565217391</v>
      </c>
      <c r="P2" s="18">
        <f t="shared" ref="P2:P139" si="9">N2/B2</f>
        <v>36</v>
      </c>
    </row>
    <row r="3">
      <c r="A3" s="2" t="s">
        <v>42</v>
      </c>
      <c r="B3" s="10">
        <v>3.0</v>
      </c>
      <c r="C3" s="12">
        <f t="shared" si="1"/>
        <v>69</v>
      </c>
      <c r="D3" s="11">
        <v>21.0</v>
      </c>
      <c r="E3" s="20">
        <v>11.0</v>
      </c>
      <c r="F3" s="21">
        <f t="shared" si="2"/>
        <v>32</v>
      </c>
      <c r="G3" s="23">
        <f t="shared" si="3"/>
        <v>0.4637681159</v>
      </c>
      <c r="H3" s="23">
        <f t="shared" si="4"/>
        <v>0.65625</v>
      </c>
      <c r="I3" s="12">
        <f t="shared" si="5"/>
        <v>6</v>
      </c>
      <c r="J3" s="11">
        <v>5.0</v>
      </c>
      <c r="K3" s="11">
        <v>1.0</v>
      </c>
      <c r="L3" s="16">
        <f t="shared" si="6"/>
        <v>0.08695652174</v>
      </c>
      <c r="M3" s="16">
        <f t="shared" ref="M3:M15" si="10">J3/I3</f>
        <v>0.8333333333</v>
      </c>
      <c r="N3" s="12">
        <f t="shared" si="7"/>
        <v>80</v>
      </c>
      <c r="O3" s="18">
        <f t="shared" si="8"/>
        <v>1.15942029</v>
      </c>
      <c r="P3" s="18">
        <f t="shared" si="9"/>
        <v>26.66666667</v>
      </c>
    </row>
    <row r="4">
      <c r="A4" s="2" t="s">
        <v>46</v>
      </c>
      <c r="B4" s="10">
        <v>3.0</v>
      </c>
      <c r="C4" s="12">
        <f t="shared" si="1"/>
        <v>69</v>
      </c>
      <c r="D4" s="11">
        <v>19.0</v>
      </c>
      <c r="E4" s="11">
        <v>4.0</v>
      </c>
      <c r="F4" s="12">
        <f t="shared" si="2"/>
        <v>23</v>
      </c>
      <c r="G4" s="16">
        <f t="shared" si="3"/>
        <v>0.3333333333</v>
      </c>
      <c r="H4" s="16">
        <f t="shared" si="4"/>
        <v>0.8260869565</v>
      </c>
      <c r="I4" s="12">
        <f t="shared" si="5"/>
        <v>1</v>
      </c>
      <c r="J4" s="11">
        <v>1.0</v>
      </c>
      <c r="K4" s="11">
        <v>0.0</v>
      </c>
      <c r="L4" s="16">
        <f t="shared" si="6"/>
        <v>0.01449275362</v>
      </c>
      <c r="M4" s="16">
        <f t="shared" si="10"/>
        <v>1</v>
      </c>
      <c r="N4" s="12">
        <f t="shared" si="7"/>
        <v>76</v>
      </c>
      <c r="O4" s="18">
        <f t="shared" si="8"/>
        <v>1.101449275</v>
      </c>
      <c r="P4" s="18">
        <f t="shared" si="9"/>
        <v>25.33333333</v>
      </c>
    </row>
    <row r="5">
      <c r="A5" s="2" t="s">
        <v>48</v>
      </c>
      <c r="B5" s="10">
        <v>3.0</v>
      </c>
      <c r="C5" s="12">
        <f t="shared" si="1"/>
        <v>69</v>
      </c>
      <c r="D5" s="11">
        <v>20.0</v>
      </c>
      <c r="E5" s="11">
        <v>7.0</v>
      </c>
      <c r="F5" s="12">
        <f t="shared" si="2"/>
        <v>27</v>
      </c>
      <c r="G5" s="16">
        <f t="shared" si="3"/>
        <v>0.3913043478</v>
      </c>
      <c r="H5" s="16">
        <f t="shared" si="4"/>
        <v>0.7407407407</v>
      </c>
      <c r="I5" s="12">
        <f t="shared" si="5"/>
        <v>4</v>
      </c>
      <c r="J5" s="11">
        <v>3.0</v>
      </c>
      <c r="K5" s="11">
        <v>1.0</v>
      </c>
      <c r="L5" s="16">
        <f t="shared" si="6"/>
        <v>0.05797101449</v>
      </c>
      <c r="M5" s="16">
        <f t="shared" si="10"/>
        <v>0.75</v>
      </c>
      <c r="N5" s="12">
        <f t="shared" si="7"/>
        <v>76</v>
      </c>
      <c r="O5" s="18">
        <f t="shared" si="8"/>
        <v>1.101449275</v>
      </c>
      <c r="P5" s="18">
        <f t="shared" si="9"/>
        <v>25.33333333</v>
      </c>
    </row>
    <row r="6">
      <c r="A6" s="2" t="s">
        <v>50</v>
      </c>
      <c r="B6" s="10">
        <v>3.0</v>
      </c>
      <c r="C6" s="12">
        <f t="shared" si="1"/>
        <v>69</v>
      </c>
      <c r="D6" s="11">
        <v>21.0</v>
      </c>
      <c r="E6" s="20">
        <v>17.0</v>
      </c>
      <c r="F6" s="21">
        <f t="shared" si="2"/>
        <v>38</v>
      </c>
      <c r="G6" s="23">
        <f t="shared" si="3"/>
        <v>0.5507246377</v>
      </c>
      <c r="H6" s="23">
        <f t="shared" si="4"/>
        <v>0.5526315789</v>
      </c>
      <c r="I6" s="12">
        <f t="shared" si="5"/>
        <v>10</v>
      </c>
      <c r="J6" s="11">
        <v>7.0</v>
      </c>
      <c r="K6" s="11">
        <v>3.0</v>
      </c>
      <c r="L6" s="16">
        <f t="shared" si="6"/>
        <v>0.1449275362</v>
      </c>
      <c r="M6" s="16">
        <f t="shared" si="10"/>
        <v>0.7</v>
      </c>
      <c r="N6" s="12">
        <f t="shared" si="7"/>
        <v>72</v>
      </c>
      <c r="O6" s="18">
        <f t="shared" si="8"/>
        <v>1.043478261</v>
      </c>
      <c r="P6" s="18">
        <f t="shared" si="9"/>
        <v>24</v>
      </c>
    </row>
    <row r="7">
      <c r="A7" s="2" t="s">
        <v>54</v>
      </c>
      <c r="B7" s="10">
        <v>3.0</v>
      </c>
      <c r="C7" s="12">
        <f t="shared" si="1"/>
        <v>69</v>
      </c>
      <c r="D7" s="11">
        <v>19.0</v>
      </c>
      <c r="E7" s="11">
        <v>18.0</v>
      </c>
      <c r="F7" s="12">
        <f t="shared" si="2"/>
        <v>37</v>
      </c>
      <c r="G7" s="16">
        <f t="shared" si="3"/>
        <v>0.5362318841</v>
      </c>
      <c r="H7" s="16">
        <f t="shared" si="4"/>
        <v>0.5135135135</v>
      </c>
      <c r="I7" s="12">
        <f t="shared" si="5"/>
        <v>5</v>
      </c>
      <c r="J7" s="11">
        <v>1.0</v>
      </c>
      <c r="K7" s="11">
        <v>4.0</v>
      </c>
      <c r="L7" s="16">
        <f t="shared" si="6"/>
        <v>0.07246376812</v>
      </c>
      <c r="M7" s="16">
        <f t="shared" si="10"/>
        <v>0.2</v>
      </c>
      <c r="N7" s="12">
        <f t="shared" si="7"/>
        <v>60</v>
      </c>
      <c r="O7" s="18">
        <f t="shared" si="8"/>
        <v>0.8695652174</v>
      </c>
      <c r="P7" s="18">
        <f t="shared" si="9"/>
        <v>20</v>
      </c>
    </row>
    <row r="8">
      <c r="A8" s="2" t="s">
        <v>49</v>
      </c>
      <c r="B8" s="10">
        <v>3.0</v>
      </c>
      <c r="C8" s="12">
        <f t="shared" si="1"/>
        <v>69</v>
      </c>
      <c r="D8" s="11">
        <v>15.0</v>
      </c>
      <c r="E8" s="11">
        <v>21.0</v>
      </c>
      <c r="F8" s="12">
        <f t="shared" si="2"/>
        <v>36</v>
      </c>
      <c r="G8" s="16">
        <f t="shared" si="3"/>
        <v>0.5217391304</v>
      </c>
      <c r="H8" s="16">
        <f t="shared" si="4"/>
        <v>0.4166666667</v>
      </c>
      <c r="I8" s="12">
        <f t="shared" si="5"/>
        <v>4</v>
      </c>
      <c r="J8" s="11">
        <v>3.0</v>
      </c>
      <c r="K8" s="11">
        <v>1.0</v>
      </c>
      <c r="L8" s="16">
        <f t="shared" si="6"/>
        <v>0.05797101449</v>
      </c>
      <c r="M8" s="16">
        <f t="shared" si="10"/>
        <v>0.75</v>
      </c>
      <c r="N8" s="12">
        <f t="shared" si="7"/>
        <v>56</v>
      </c>
      <c r="O8" s="18">
        <f t="shared" si="8"/>
        <v>0.8115942029</v>
      </c>
      <c r="P8" s="18">
        <f t="shared" si="9"/>
        <v>18.66666667</v>
      </c>
    </row>
    <row r="9">
      <c r="A9" s="2" t="s">
        <v>57</v>
      </c>
      <c r="B9" s="10">
        <v>3.0</v>
      </c>
      <c r="C9" s="12">
        <f t="shared" si="1"/>
        <v>69</v>
      </c>
      <c r="D9" s="11">
        <v>14.0</v>
      </c>
      <c r="E9" s="11">
        <v>13.0</v>
      </c>
      <c r="F9" s="12">
        <f t="shared" si="2"/>
        <v>27</v>
      </c>
      <c r="G9" s="16">
        <f t="shared" si="3"/>
        <v>0.3913043478</v>
      </c>
      <c r="H9" s="16">
        <f t="shared" si="4"/>
        <v>0.5185185185</v>
      </c>
      <c r="I9" s="12">
        <f t="shared" si="5"/>
        <v>3</v>
      </c>
      <c r="J9" s="11">
        <v>2.0</v>
      </c>
      <c r="K9" s="11">
        <v>1.0</v>
      </c>
      <c r="L9" s="16">
        <f t="shared" si="6"/>
        <v>0.04347826087</v>
      </c>
      <c r="M9" s="16">
        <f t="shared" si="10"/>
        <v>0.6666666667</v>
      </c>
      <c r="N9" s="12">
        <f t="shared" si="7"/>
        <v>52</v>
      </c>
      <c r="O9" s="18">
        <f t="shared" si="8"/>
        <v>0.7536231884</v>
      </c>
      <c r="P9" s="18">
        <f t="shared" si="9"/>
        <v>17.33333333</v>
      </c>
    </row>
    <row r="10">
      <c r="A10" s="2" t="s">
        <v>60</v>
      </c>
      <c r="B10" s="10">
        <v>3.0</v>
      </c>
      <c r="C10" s="12">
        <f t="shared" si="1"/>
        <v>69</v>
      </c>
      <c r="D10" s="11">
        <v>13.0</v>
      </c>
      <c r="E10" s="11">
        <v>9.0</v>
      </c>
      <c r="F10" s="12">
        <f t="shared" si="2"/>
        <v>22</v>
      </c>
      <c r="G10" s="16">
        <f t="shared" si="3"/>
        <v>0.3188405797</v>
      </c>
      <c r="H10" s="16">
        <f t="shared" si="4"/>
        <v>0.5909090909</v>
      </c>
      <c r="I10" s="11">
        <v>4.0</v>
      </c>
      <c r="J10" s="11">
        <v>2.0</v>
      </c>
      <c r="K10" s="11">
        <v>1.0</v>
      </c>
      <c r="L10" s="16">
        <f t="shared" si="6"/>
        <v>0.05797101449</v>
      </c>
      <c r="M10" s="16">
        <f t="shared" si="10"/>
        <v>0.5</v>
      </c>
      <c r="N10" s="12">
        <f t="shared" si="7"/>
        <v>48</v>
      </c>
      <c r="O10" s="18">
        <f t="shared" si="8"/>
        <v>0.6956521739</v>
      </c>
      <c r="P10" s="18">
        <f t="shared" si="9"/>
        <v>16</v>
      </c>
    </row>
    <row r="11">
      <c r="A11" s="2" t="s">
        <v>52</v>
      </c>
      <c r="B11" s="10">
        <v>3.0</v>
      </c>
      <c r="C11" s="12">
        <f t="shared" si="1"/>
        <v>69</v>
      </c>
      <c r="D11" s="11">
        <v>13.0</v>
      </c>
      <c r="E11" s="11">
        <v>9.0</v>
      </c>
      <c r="F11" s="12">
        <f t="shared" si="2"/>
        <v>22</v>
      </c>
      <c r="G11" s="16">
        <f t="shared" si="3"/>
        <v>0.3188405797</v>
      </c>
      <c r="H11" s="16">
        <f t="shared" si="4"/>
        <v>0.5909090909</v>
      </c>
      <c r="I11" s="12">
        <f t="shared" ref="I11:I139" si="11">J11+K11</f>
        <v>3</v>
      </c>
      <c r="J11" s="11">
        <v>2.0</v>
      </c>
      <c r="K11" s="11">
        <v>1.0</v>
      </c>
      <c r="L11" s="16">
        <f t="shared" si="6"/>
        <v>0.04347826087</v>
      </c>
      <c r="M11" s="16">
        <f t="shared" si="10"/>
        <v>0.6666666667</v>
      </c>
      <c r="N11" s="12">
        <f t="shared" si="7"/>
        <v>48</v>
      </c>
      <c r="O11" s="18">
        <f t="shared" si="8"/>
        <v>0.6956521739</v>
      </c>
      <c r="P11" s="18">
        <f t="shared" si="9"/>
        <v>16</v>
      </c>
    </row>
    <row r="12">
      <c r="A12" s="2" t="s">
        <v>43</v>
      </c>
      <c r="B12" s="10">
        <v>3.0</v>
      </c>
      <c r="C12" s="12">
        <f t="shared" si="1"/>
        <v>69</v>
      </c>
      <c r="D12" s="11">
        <v>12.0</v>
      </c>
      <c r="E12" s="20">
        <v>3.0</v>
      </c>
      <c r="F12" s="21">
        <f t="shared" si="2"/>
        <v>15</v>
      </c>
      <c r="G12" s="23">
        <f t="shared" si="3"/>
        <v>0.2173913043</v>
      </c>
      <c r="H12" s="23">
        <f t="shared" si="4"/>
        <v>0.8</v>
      </c>
      <c r="I12" s="12">
        <f t="shared" si="11"/>
        <v>3</v>
      </c>
      <c r="J12" s="11">
        <v>2.0</v>
      </c>
      <c r="K12" s="11">
        <v>1.0</v>
      </c>
      <c r="L12" s="16">
        <f t="shared" si="6"/>
        <v>0.04347826087</v>
      </c>
      <c r="M12" s="16">
        <f t="shared" si="10"/>
        <v>0.6666666667</v>
      </c>
      <c r="N12" s="12">
        <f t="shared" si="7"/>
        <v>44</v>
      </c>
      <c r="O12" s="18">
        <f t="shared" si="8"/>
        <v>0.6376811594</v>
      </c>
      <c r="P12" s="18">
        <f t="shared" si="9"/>
        <v>14.66666667</v>
      </c>
    </row>
    <row r="13">
      <c r="A13" s="2" t="s">
        <v>66</v>
      </c>
      <c r="B13" s="10">
        <v>3.0</v>
      </c>
      <c r="C13" s="12">
        <f t="shared" si="1"/>
        <v>69</v>
      </c>
      <c r="D13" s="11">
        <v>11.0</v>
      </c>
      <c r="E13" s="11">
        <v>4.0</v>
      </c>
      <c r="F13" s="12">
        <f t="shared" si="2"/>
        <v>15</v>
      </c>
      <c r="G13" s="16">
        <f t="shared" si="3"/>
        <v>0.2173913043</v>
      </c>
      <c r="H13" s="16">
        <f t="shared" si="4"/>
        <v>0.7333333333</v>
      </c>
      <c r="I13" s="12">
        <f t="shared" si="11"/>
        <v>3</v>
      </c>
      <c r="J13" s="11">
        <v>3.0</v>
      </c>
      <c r="K13" s="11">
        <v>0.0</v>
      </c>
      <c r="L13" s="16">
        <f t="shared" si="6"/>
        <v>0.04347826087</v>
      </c>
      <c r="M13" s="16">
        <f t="shared" si="10"/>
        <v>1</v>
      </c>
      <c r="N13" s="12">
        <f t="shared" si="7"/>
        <v>44</v>
      </c>
      <c r="O13" s="18">
        <f t="shared" si="8"/>
        <v>0.6376811594</v>
      </c>
      <c r="P13" s="18">
        <f t="shared" si="9"/>
        <v>14.66666667</v>
      </c>
    </row>
    <row r="14">
      <c r="A14" s="2" t="s">
        <v>69</v>
      </c>
      <c r="B14" s="10">
        <v>3.0</v>
      </c>
      <c r="C14" s="12">
        <f t="shared" si="1"/>
        <v>69</v>
      </c>
      <c r="D14" s="11">
        <v>11.0</v>
      </c>
      <c r="E14" s="11">
        <v>5.0</v>
      </c>
      <c r="F14" s="12">
        <f t="shared" si="2"/>
        <v>16</v>
      </c>
      <c r="G14" s="16">
        <f t="shared" si="3"/>
        <v>0.231884058</v>
      </c>
      <c r="H14" s="16">
        <f t="shared" si="4"/>
        <v>0.6875</v>
      </c>
      <c r="I14" s="12">
        <f t="shared" si="11"/>
        <v>3</v>
      </c>
      <c r="J14" s="11">
        <v>3.0</v>
      </c>
      <c r="K14" s="11">
        <v>0.0</v>
      </c>
      <c r="L14" s="16">
        <f t="shared" si="6"/>
        <v>0.04347826087</v>
      </c>
      <c r="M14" s="16">
        <f t="shared" si="10"/>
        <v>1</v>
      </c>
      <c r="N14" s="12">
        <f t="shared" si="7"/>
        <v>44</v>
      </c>
      <c r="O14" s="18">
        <f t="shared" si="8"/>
        <v>0.6376811594</v>
      </c>
      <c r="P14" s="18">
        <f t="shared" si="9"/>
        <v>14.66666667</v>
      </c>
    </row>
    <row r="15">
      <c r="A15" s="2" t="s">
        <v>71</v>
      </c>
      <c r="B15" s="10">
        <v>3.0</v>
      </c>
      <c r="C15" s="12">
        <f t="shared" si="1"/>
        <v>69</v>
      </c>
      <c r="D15" s="11">
        <v>12.0</v>
      </c>
      <c r="E15" s="11">
        <v>8.0</v>
      </c>
      <c r="F15" s="12">
        <f t="shared" si="2"/>
        <v>20</v>
      </c>
      <c r="G15" s="16">
        <f t="shared" si="3"/>
        <v>0.2898550725</v>
      </c>
      <c r="H15" s="16">
        <f t="shared" si="4"/>
        <v>0.6</v>
      </c>
      <c r="I15" s="12">
        <f t="shared" si="11"/>
        <v>2</v>
      </c>
      <c r="J15" s="11">
        <v>1.0</v>
      </c>
      <c r="K15" s="11">
        <v>1.0</v>
      </c>
      <c r="L15" s="16">
        <f t="shared" si="6"/>
        <v>0.02898550725</v>
      </c>
      <c r="M15" s="16">
        <f t="shared" si="10"/>
        <v>0.5</v>
      </c>
      <c r="N15" s="12">
        <f t="shared" si="7"/>
        <v>44</v>
      </c>
      <c r="O15" s="18">
        <f t="shared" si="8"/>
        <v>0.6376811594</v>
      </c>
      <c r="P15" s="18">
        <f t="shared" si="9"/>
        <v>14.66666667</v>
      </c>
    </row>
    <row r="16">
      <c r="A16" s="2" t="s">
        <v>73</v>
      </c>
      <c r="B16" s="10">
        <v>3.0</v>
      </c>
      <c r="C16" s="12">
        <f t="shared" si="1"/>
        <v>69</v>
      </c>
      <c r="D16" s="11">
        <v>11.0</v>
      </c>
      <c r="E16" s="11">
        <v>26.0</v>
      </c>
      <c r="F16" s="12">
        <f t="shared" si="2"/>
        <v>37</v>
      </c>
      <c r="G16" s="16">
        <f t="shared" si="3"/>
        <v>0.5362318841</v>
      </c>
      <c r="H16" s="16">
        <f t="shared" si="4"/>
        <v>0.2972972973</v>
      </c>
      <c r="I16" s="12">
        <f t="shared" si="11"/>
        <v>0</v>
      </c>
      <c r="J16" s="11">
        <v>0.0</v>
      </c>
      <c r="K16" s="11">
        <v>0.0</v>
      </c>
      <c r="L16" s="16">
        <f t="shared" si="6"/>
        <v>0</v>
      </c>
      <c r="M16" s="11" t="s">
        <v>41</v>
      </c>
      <c r="N16" s="12">
        <f t="shared" si="7"/>
        <v>44</v>
      </c>
      <c r="O16" s="18">
        <f t="shared" si="8"/>
        <v>0.6376811594</v>
      </c>
      <c r="P16" s="18">
        <f t="shared" si="9"/>
        <v>14.66666667</v>
      </c>
    </row>
    <row r="17">
      <c r="A17" s="2" t="s">
        <v>75</v>
      </c>
      <c r="B17" s="26">
        <f>22/23+1</f>
        <v>1.956521739</v>
      </c>
      <c r="C17" s="12">
        <f t="shared" si="1"/>
        <v>45</v>
      </c>
      <c r="D17" s="11">
        <v>8.0</v>
      </c>
      <c r="E17" s="20">
        <v>3.0</v>
      </c>
      <c r="F17" s="21">
        <f t="shared" si="2"/>
        <v>11</v>
      </c>
      <c r="G17" s="23">
        <f t="shared" si="3"/>
        <v>0.2444444444</v>
      </c>
      <c r="H17" s="23">
        <f t="shared" si="4"/>
        <v>0.7272727273</v>
      </c>
      <c r="I17" s="12">
        <f t="shared" si="11"/>
        <v>4</v>
      </c>
      <c r="J17" s="11">
        <v>3.0</v>
      </c>
      <c r="K17" s="11">
        <v>1.0</v>
      </c>
      <c r="L17" s="16">
        <f t="shared" si="6"/>
        <v>0.08888888889</v>
      </c>
      <c r="M17" s="16">
        <f>J17/I17</f>
        <v>0.75</v>
      </c>
      <c r="N17" s="12">
        <f t="shared" si="7"/>
        <v>28</v>
      </c>
      <c r="O17" s="18">
        <f t="shared" si="8"/>
        <v>0.6222222222</v>
      </c>
      <c r="P17" s="18">
        <f t="shared" si="9"/>
        <v>14.31111111</v>
      </c>
    </row>
    <row r="18">
      <c r="A18" s="2" t="s">
        <v>80</v>
      </c>
      <c r="B18" s="10">
        <v>3.0</v>
      </c>
      <c r="C18" s="12">
        <f t="shared" si="1"/>
        <v>69</v>
      </c>
      <c r="D18" s="11">
        <v>10.0</v>
      </c>
      <c r="E18" s="20">
        <v>6.0</v>
      </c>
      <c r="F18" s="21">
        <f t="shared" si="2"/>
        <v>16</v>
      </c>
      <c r="G18" s="23">
        <f t="shared" si="3"/>
        <v>0.231884058</v>
      </c>
      <c r="H18" s="23">
        <f t="shared" si="4"/>
        <v>0.625</v>
      </c>
      <c r="I18" s="12">
        <f t="shared" si="11"/>
        <v>0</v>
      </c>
      <c r="J18" s="11">
        <v>0.0</v>
      </c>
      <c r="K18" s="11">
        <v>0.0</v>
      </c>
      <c r="L18" s="16">
        <f t="shared" si="6"/>
        <v>0</v>
      </c>
      <c r="M18" s="11" t="s">
        <v>41</v>
      </c>
      <c r="N18" s="12">
        <f t="shared" si="7"/>
        <v>40</v>
      </c>
      <c r="O18" s="18">
        <f t="shared" si="8"/>
        <v>0.5797101449</v>
      </c>
      <c r="P18" s="18">
        <f t="shared" si="9"/>
        <v>13.33333333</v>
      </c>
      <c r="R18" s="4"/>
    </row>
    <row r="19">
      <c r="A19" s="2" t="s">
        <v>82</v>
      </c>
      <c r="B19" s="10">
        <v>3.0</v>
      </c>
      <c r="C19" s="12">
        <f t="shared" si="1"/>
        <v>69</v>
      </c>
      <c r="D19" s="11">
        <v>14.0</v>
      </c>
      <c r="E19" s="11">
        <v>13.0</v>
      </c>
      <c r="F19" s="12">
        <f t="shared" si="2"/>
        <v>27</v>
      </c>
      <c r="G19" s="16">
        <f t="shared" si="3"/>
        <v>0.3913043478</v>
      </c>
      <c r="H19" s="16">
        <f t="shared" si="4"/>
        <v>0.5185185185</v>
      </c>
      <c r="I19" s="12">
        <f t="shared" si="11"/>
        <v>6</v>
      </c>
      <c r="J19" s="11">
        <v>2.0</v>
      </c>
      <c r="K19" s="11">
        <v>4.0</v>
      </c>
      <c r="L19" s="16">
        <f t="shared" si="6"/>
        <v>0.08695652174</v>
      </c>
      <c r="M19" s="16">
        <f t="shared" ref="M19:M25" si="12">J19/I19</f>
        <v>0.3333333333</v>
      </c>
      <c r="N19" s="12">
        <f t="shared" si="7"/>
        <v>40</v>
      </c>
      <c r="O19" s="18">
        <f t="shared" si="8"/>
        <v>0.5797101449</v>
      </c>
      <c r="P19" s="18">
        <f t="shared" si="9"/>
        <v>13.33333333</v>
      </c>
    </row>
    <row r="20">
      <c r="A20" s="2" t="s">
        <v>86</v>
      </c>
      <c r="B20" s="10">
        <v>3.0</v>
      </c>
      <c r="C20" s="12">
        <f t="shared" si="1"/>
        <v>69</v>
      </c>
      <c r="D20" s="11">
        <v>11.0</v>
      </c>
      <c r="E20" s="11">
        <v>17.0</v>
      </c>
      <c r="F20" s="12">
        <f t="shared" si="2"/>
        <v>28</v>
      </c>
      <c r="G20" s="16">
        <f t="shared" si="3"/>
        <v>0.4057971014</v>
      </c>
      <c r="H20" s="16">
        <f t="shared" si="4"/>
        <v>0.3928571429</v>
      </c>
      <c r="I20" s="12">
        <f t="shared" si="11"/>
        <v>4</v>
      </c>
      <c r="J20" s="11">
        <v>3.0</v>
      </c>
      <c r="K20" s="11">
        <v>1.0</v>
      </c>
      <c r="L20" s="16">
        <f t="shared" si="6"/>
        <v>0.05797101449</v>
      </c>
      <c r="M20" s="16">
        <f t="shared" si="12"/>
        <v>0.75</v>
      </c>
      <c r="N20" s="12">
        <f t="shared" si="7"/>
        <v>40</v>
      </c>
      <c r="O20" s="18">
        <f t="shared" si="8"/>
        <v>0.5797101449</v>
      </c>
      <c r="P20" s="18">
        <f t="shared" si="9"/>
        <v>13.33333333</v>
      </c>
    </row>
    <row r="21">
      <c r="A21" s="2" t="s">
        <v>65</v>
      </c>
      <c r="B21" s="10">
        <v>3.0</v>
      </c>
      <c r="C21" s="12">
        <f t="shared" si="1"/>
        <v>69</v>
      </c>
      <c r="D21" s="11">
        <v>10.0</v>
      </c>
      <c r="E21" s="11">
        <v>16.0</v>
      </c>
      <c r="F21" s="12">
        <f t="shared" si="2"/>
        <v>26</v>
      </c>
      <c r="G21" s="16">
        <f t="shared" si="3"/>
        <v>0.3768115942</v>
      </c>
      <c r="H21" s="16">
        <f t="shared" si="4"/>
        <v>0.3846153846</v>
      </c>
      <c r="I21" s="12">
        <f t="shared" si="11"/>
        <v>1</v>
      </c>
      <c r="J21" s="11">
        <v>1.0</v>
      </c>
      <c r="K21" s="11">
        <v>0.0</v>
      </c>
      <c r="L21" s="16">
        <f t="shared" si="6"/>
        <v>0.01449275362</v>
      </c>
      <c r="M21" s="16">
        <f t="shared" si="12"/>
        <v>1</v>
      </c>
      <c r="N21" s="12">
        <f t="shared" si="7"/>
        <v>40</v>
      </c>
      <c r="O21" s="18">
        <f t="shared" si="8"/>
        <v>0.5797101449</v>
      </c>
      <c r="P21" s="18">
        <f t="shared" si="9"/>
        <v>13.33333333</v>
      </c>
    </row>
    <row r="22">
      <c r="A22" s="2" t="s">
        <v>35</v>
      </c>
      <c r="B22" s="10">
        <v>3.0</v>
      </c>
      <c r="C22" s="12">
        <f t="shared" si="1"/>
        <v>69</v>
      </c>
      <c r="D22" s="11">
        <v>10.0</v>
      </c>
      <c r="E22" s="11">
        <v>2.0</v>
      </c>
      <c r="F22" s="12">
        <f t="shared" si="2"/>
        <v>12</v>
      </c>
      <c r="G22" s="16">
        <f t="shared" si="3"/>
        <v>0.1739130435</v>
      </c>
      <c r="H22" s="16">
        <f t="shared" si="4"/>
        <v>0.8333333333</v>
      </c>
      <c r="I22" s="12">
        <f t="shared" si="11"/>
        <v>3</v>
      </c>
      <c r="J22" s="11">
        <v>2.0</v>
      </c>
      <c r="K22" s="11">
        <v>1.0</v>
      </c>
      <c r="L22" s="16">
        <f t="shared" si="6"/>
        <v>0.04347826087</v>
      </c>
      <c r="M22" s="16">
        <f t="shared" si="12"/>
        <v>0.6666666667</v>
      </c>
      <c r="N22" s="12">
        <f t="shared" si="7"/>
        <v>36</v>
      </c>
      <c r="O22" s="18">
        <f t="shared" si="8"/>
        <v>0.5217391304</v>
      </c>
      <c r="P22" s="18">
        <f t="shared" si="9"/>
        <v>12</v>
      </c>
    </row>
    <row r="23">
      <c r="A23" s="2" t="s">
        <v>92</v>
      </c>
      <c r="B23" s="10">
        <v>2.0</v>
      </c>
      <c r="C23" s="12">
        <f t="shared" si="1"/>
        <v>46</v>
      </c>
      <c r="D23" s="11">
        <v>6.0</v>
      </c>
      <c r="E23" s="20">
        <v>3.0</v>
      </c>
      <c r="F23" s="21">
        <f t="shared" si="2"/>
        <v>9</v>
      </c>
      <c r="G23" s="23">
        <f t="shared" si="3"/>
        <v>0.1956521739</v>
      </c>
      <c r="H23" s="23">
        <f t="shared" si="4"/>
        <v>0.6666666667</v>
      </c>
      <c r="I23" s="12">
        <f t="shared" si="11"/>
        <v>1</v>
      </c>
      <c r="J23" s="11">
        <v>1.0</v>
      </c>
      <c r="K23" s="11">
        <v>0.0</v>
      </c>
      <c r="L23" s="16">
        <f t="shared" si="6"/>
        <v>0.02173913043</v>
      </c>
      <c r="M23" s="16">
        <f t="shared" si="12"/>
        <v>1</v>
      </c>
      <c r="N23" s="12">
        <f t="shared" si="7"/>
        <v>24</v>
      </c>
      <c r="O23" s="18">
        <f t="shared" si="8"/>
        <v>0.5217391304</v>
      </c>
      <c r="P23" s="18">
        <f t="shared" si="9"/>
        <v>12</v>
      </c>
    </row>
    <row r="24">
      <c r="A24" s="2" t="s">
        <v>95</v>
      </c>
      <c r="B24" s="10">
        <v>3.0</v>
      </c>
      <c r="C24" s="12">
        <f t="shared" si="1"/>
        <v>69</v>
      </c>
      <c r="D24" s="11">
        <v>10.0</v>
      </c>
      <c r="E24" s="11">
        <v>6.0</v>
      </c>
      <c r="F24" s="12">
        <f t="shared" si="2"/>
        <v>16</v>
      </c>
      <c r="G24" s="16">
        <f t="shared" si="3"/>
        <v>0.231884058</v>
      </c>
      <c r="H24" s="16">
        <f t="shared" si="4"/>
        <v>0.625</v>
      </c>
      <c r="I24" s="12">
        <f t="shared" si="11"/>
        <v>2</v>
      </c>
      <c r="J24" s="11">
        <v>1.0</v>
      </c>
      <c r="K24" s="11">
        <v>1.0</v>
      </c>
      <c r="L24" s="16">
        <f t="shared" si="6"/>
        <v>0.02898550725</v>
      </c>
      <c r="M24" s="16">
        <f t="shared" si="12"/>
        <v>0.5</v>
      </c>
      <c r="N24" s="12">
        <f t="shared" si="7"/>
        <v>36</v>
      </c>
      <c r="O24" s="18">
        <f t="shared" si="8"/>
        <v>0.5217391304</v>
      </c>
      <c r="P24" s="18">
        <f t="shared" si="9"/>
        <v>12</v>
      </c>
    </row>
    <row r="25">
      <c r="A25" s="2" t="s">
        <v>55</v>
      </c>
      <c r="B25" s="27">
        <f>2+11/23</f>
        <v>2.47826087</v>
      </c>
      <c r="C25" s="12">
        <f t="shared" si="1"/>
        <v>57</v>
      </c>
      <c r="D25" s="11">
        <v>7.0</v>
      </c>
      <c r="E25" s="20">
        <v>1.0</v>
      </c>
      <c r="F25" s="21">
        <f t="shared" si="2"/>
        <v>8</v>
      </c>
      <c r="G25" s="23">
        <f t="shared" si="3"/>
        <v>0.1403508772</v>
      </c>
      <c r="H25" s="23">
        <f t="shared" si="4"/>
        <v>0.875</v>
      </c>
      <c r="I25" s="12">
        <f t="shared" si="11"/>
        <v>4</v>
      </c>
      <c r="J25" s="11">
        <v>4.0</v>
      </c>
      <c r="K25" s="11">
        <v>0.0</v>
      </c>
      <c r="L25" s="16">
        <f t="shared" si="6"/>
        <v>0.0701754386</v>
      </c>
      <c r="M25" s="16">
        <f t="shared" si="12"/>
        <v>1</v>
      </c>
      <c r="N25" s="12">
        <f t="shared" si="7"/>
        <v>28</v>
      </c>
      <c r="O25" s="18">
        <f t="shared" si="8"/>
        <v>0.4912280702</v>
      </c>
      <c r="P25" s="18">
        <f t="shared" si="9"/>
        <v>11.29824561</v>
      </c>
    </row>
    <row r="26">
      <c r="A26" s="2" t="s">
        <v>99</v>
      </c>
      <c r="B26" s="28">
        <f>11/23+1+1</f>
        <v>2.47826087</v>
      </c>
      <c r="C26" s="12">
        <f t="shared" si="1"/>
        <v>57</v>
      </c>
      <c r="D26" s="11">
        <v>7.0</v>
      </c>
      <c r="E26" s="11">
        <v>6.0</v>
      </c>
      <c r="F26" s="12">
        <f t="shared" si="2"/>
        <v>13</v>
      </c>
      <c r="G26" s="16">
        <f t="shared" si="3"/>
        <v>0.2280701754</v>
      </c>
      <c r="H26" s="16">
        <f t="shared" si="4"/>
        <v>0.5384615385</v>
      </c>
      <c r="I26" s="12">
        <f t="shared" si="11"/>
        <v>0</v>
      </c>
      <c r="J26" s="11">
        <v>0.0</v>
      </c>
      <c r="K26" s="11">
        <v>0.0</v>
      </c>
      <c r="L26" s="16">
        <f t="shared" si="6"/>
        <v>0</v>
      </c>
      <c r="M26" s="11" t="s">
        <v>41</v>
      </c>
      <c r="N26" s="12">
        <f t="shared" si="7"/>
        <v>28</v>
      </c>
      <c r="O26" s="18">
        <f t="shared" si="8"/>
        <v>0.4912280702</v>
      </c>
      <c r="P26" s="18">
        <f t="shared" si="9"/>
        <v>11.29824561</v>
      </c>
    </row>
    <row r="27">
      <c r="A27" s="2" t="s">
        <v>102</v>
      </c>
      <c r="B27" s="10">
        <v>3.0</v>
      </c>
      <c r="C27" s="12">
        <f t="shared" si="1"/>
        <v>69</v>
      </c>
      <c r="D27" s="11">
        <v>8.0</v>
      </c>
      <c r="E27" s="11">
        <v>2.0</v>
      </c>
      <c r="F27" s="12">
        <f t="shared" si="2"/>
        <v>10</v>
      </c>
      <c r="G27" s="16">
        <f t="shared" si="3"/>
        <v>0.1449275362</v>
      </c>
      <c r="H27" s="16">
        <f t="shared" si="4"/>
        <v>0.8</v>
      </c>
      <c r="I27" s="12">
        <f t="shared" si="11"/>
        <v>1</v>
      </c>
      <c r="J27" s="11">
        <v>1.0</v>
      </c>
      <c r="K27" s="11">
        <v>0.0</v>
      </c>
      <c r="L27" s="16">
        <f t="shared" si="6"/>
        <v>0.01449275362</v>
      </c>
      <c r="M27" s="16">
        <f>J27/I27</f>
        <v>1</v>
      </c>
      <c r="N27" s="12">
        <f t="shared" si="7"/>
        <v>32</v>
      </c>
      <c r="O27" s="18">
        <f t="shared" si="8"/>
        <v>0.4637681159</v>
      </c>
      <c r="P27" s="18">
        <f t="shared" si="9"/>
        <v>10.66666667</v>
      </c>
    </row>
    <row r="28">
      <c r="A28" s="2" t="s">
        <v>105</v>
      </c>
      <c r="B28" s="10">
        <v>3.0</v>
      </c>
      <c r="C28" s="12">
        <f t="shared" si="1"/>
        <v>69</v>
      </c>
      <c r="D28" s="11">
        <v>8.0</v>
      </c>
      <c r="E28" s="11">
        <v>4.0</v>
      </c>
      <c r="F28" s="12">
        <f t="shared" si="2"/>
        <v>12</v>
      </c>
      <c r="G28" s="16">
        <f t="shared" si="3"/>
        <v>0.1739130435</v>
      </c>
      <c r="H28" s="16">
        <f t="shared" si="4"/>
        <v>0.6666666667</v>
      </c>
      <c r="I28" s="12">
        <f t="shared" si="11"/>
        <v>0</v>
      </c>
      <c r="J28" s="11">
        <v>0.0</v>
      </c>
      <c r="K28" s="11">
        <v>0.0</v>
      </c>
      <c r="L28" s="16">
        <f t="shared" si="6"/>
        <v>0</v>
      </c>
      <c r="M28" s="11" t="s">
        <v>41</v>
      </c>
      <c r="N28" s="12">
        <f t="shared" si="7"/>
        <v>32</v>
      </c>
      <c r="O28" s="18">
        <f t="shared" si="8"/>
        <v>0.4637681159</v>
      </c>
      <c r="P28" s="18">
        <f t="shared" si="9"/>
        <v>10.66666667</v>
      </c>
    </row>
    <row r="29">
      <c r="A29" s="2" t="s">
        <v>58</v>
      </c>
      <c r="B29" s="10">
        <v>3.0</v>
      </c>
      <c r="C29" s="12">
        <f t="shared" si="1"/>
        <v>69</v>
      </c>
      <c r="D29" s="11">
        <v>8.0</v>
      </c>
      <c r="E29" s="11">
        <v>4.0</v>
      </c>
      <c r="F29" s="12">
        <f t="shared" si="2"/>
        <v>12</v>
      </c>
      <c r="G29" s="16">
        <f t="shared" si="3"/>
        <v>0.1739130435</v>
      </c>
      <c r="H29" s="16">
        <f t="shared" si="4"/>
        <v>0.6666666667</v>
      </c>
      <c r="I29" s="12">
        <f t="shared" si="11"/>
        <v>2</v>
      </c>
      <c r="J29" s="11">
        <v>2.0</v>
      </c>
      <c r="K29" s="11">
        <v>0.0</v>
      </c>
      <c r="L29" s="16">
        <f t="shared" si="6"/>
        <v>0.02898550725</v>
      </c>
      <c r="M29" s="16">
        <f>J29/I29</f>
        <v>1</v>
      </c>
      <c r="N29" s="12">
        <f t="shared" si="7"/>
        <v>32</v>
      </c>
      <c r="O29" s="18">
        <f t="shared" si="8"/>
        <v>0.4637681159</v>
      </c>
      <c r="P29" s="18">
        <f t="shared" si="9"/>
        <v>10.66666667</v>
      </c>
    </row>
    <row r="30">
      <c r="A30" s="2" t="s">
        <v>106</v>
      </c>
      <c r="B30" s="10">
        <v>3.0</v>
      </c>
      <c r="C30" s="12">
        <f t="shared" si="1"/>
        <v>69</v>
      </c>
      <c r="D30" s="11">
        <v>8.0</v>
      </c>
      <c r="E30" s="11">
        <v>12.0</v>
      </c>
      <c r="F30" s="12">
        <f t="shared" si="2"/>
        <v>20</v>
      </c>
      <c r="G30" s="16">
        <f t="shared" si="3"/>
        <v>0.2898550725</v>
      </c>
      <c r="H30" s="16">
        <f t="shared" si="4"/>
        <v>0.4</v>
      </c>
      <c r="I30" s="12">
        <f t="shared" si="11"/>
        <v>0</v>
      </c>
      <c r="J30" s="11">
        <v>0.0</v>
      </c>
      <c r="K30" s="11">
        <v>0.0</v>
      </c>
      <c r="L30" s="16">
        <f t="shared" si="6"/>
        <v>0</v>
      </c>
      <c r="M30" s="11" t="s">
        <v>41</v>
      </c>
      <c r="N30" s="12">
        <f t="shared" si="7"/>
        <v>32</v>
      </c>
      <c r="O30" s="18">
        <f t="shared" si="8"/>
        <v>0.4637681159</v>
      </c>
      <c r="P30" s="18">
        <f t="shared" si="9"/>
        <v>10.66666667</v>
      </c>
    </row>
    <row r="31">
      <c r="A31" s="2" t="s">
        <v>78</v>
      </c>
      <c r="B31" s="10">
        <v>2.0</v>
      </c>
      <c r="C31" s="12">
        <f t="shared" si="1"/>
        <v>46</v>
      </c>
      <c r="D31" s="11">
        <v>5.0</v>
      </c>
      <c r="E31" s="20">
        <v>6.0</v>
      </c>
      <c r="F31" s="21">
        <f t="shared" si="2"/>
        <v>11</v>
      </c>
      <c r="G31" s="23">
        <f t="shared" si="3"/>
        <v>0.2391304348</v>
      </c>
      <c r="H31" s="23">
        <f t="shared" si="4"/>
        <v>0.4545454545</v>
      </c>
      <c r="I31" s="12">
        <f t="shared" si="11"/>
        <v>1</v>
      </c>
      <c r="J31" s="11">
        <v>1.0</v>
      </c>
      <c r="K31" s="11">
        <v>0.0</v>
      </c>
      <c r="L31" s="16">
        <f t="shared" si="6"/>
        <v>0.02173913043</v>
      </c>
      <c r="M31" s="16">
        <f t="shared" ref="M31:M37" si="13">J31/I31</f>
        <v>1</v>
      </c>
      <c r="N31" s="12">
        <f t="shared" si="7"/>
        <v>20</v>
      </c>
      <c r="O31" s="18">
        <f t="shared" si="8"/>
        <v>0.4347826087</v>
      </c>
      <c r="P31" s="18">
        <f t="shared" si="9"/>
        <v>10</v>
      </c>
    </row>
    <row r="32">
      <c r="A32" s="2" t="s">
        <v>112</v>
      </c>
      <c r="B32" s="10">
        <v>3.0</v>
      </c>
      <c r="C32" s="12">
        <f t="shared" si="1"/>
        <v>69</v>
      </c>
      <c r="D32" s="11">
        <v>7.0</v>
      </c>
      <c r="E32" s="20">
        <v>4.0</v>
      </c>
      <c r="F32" s="21">
        <f t="shared" si="2"/>
        <v>11</v>
      </c>
      <c r="G32" s="23">
        <f t="shared" si="3"/>
        <v>0.1594202899</v>
      </c>
      <c r="H32" s="23">
        <f t="shared" si="4"/>
        <v>0.6363636364</v>
      </c>
      <c r="I32" s="12">
        <f t="shared" si="11"/>
        <v>2</v>
      </c>
      <c r="J32" s="11">
        <v>2.0</v>
      </c>
      <c r="K32" s="11">
        <v>0.0</v>
      </c>
      <c r="L32" s="16">
        <f t="shared" si="6"/>
        <v>0.02898550725</v>
      </c>
      <c r="M32" s="16">
        <f t="shared" si="13"/>
        <v>1</v>
      </c>
      <c r="N32" s="12">
        <f t="shared" si="7"/>
        <v>28</v>
      </c>
      <c r="O32" s="18">
        <f t="shared" si="8"/>
        <v>0.4057971014</v>
      </c>
      <c r="P32" s="18">
        <f t="shared" si="9"/>
        <v>9.333333333</v>
      </c>
    </row>
    <row r="33">
      <c r="A33" s="2" t="s">
        <v>45</v>
      </c>
      <c r="B33" s="10">
        <v>3.0</v>
      </c>
      <c r="C33" s="12">
        <f t="shared" si="1"/>
        <v>69</v>
      </c>
      <c r="D33" s="11">
        <v>7.0</v>
      </c>
      <c r="E33" s="11">
        <v>6.0</v>
      </c>
      <c r="F33" s="12">
        <f t="shared" si="2"/>
        <v>13</v>
      </c>
      <c r="G33" s="16">
        <f t="shared" si="3"/>
        <v>0.1884057971</v>
      </c>
      <c r="H33" s="16">
        <f t="shared" si="4"/>
        <v>0.5384615385</v>
      </c>
      <c r="I33" s="12">
        <f t="shared" si="11"/>
        <v>2</v>
      </c>
      <c r="J33" s="11">
        <v>2.0</v>
      </c>
      <c r="K33" s="11">
        <v>0.0</v>
      </c>
      <c r="L33" s="16">
        <f t="shared" si="6"/>
        <v>0.02898550725</v>
      </c>
      <c r="M33" s="16">
        <f t="shared" si="13"/>
        <v>1</v>
      </c>
      <c r="N33" s="12">
        <f t="shared" si="7"/>
        <v>28</v>
      </c>
      <c r="O33" s="18">
        <f t="shared" si="8"/>
        <v>0.4057971014</v>
      </c>
      <c r="P33" s="18">
        <f t="shared" si="9"/>
        <v>9.333333333</v>
      </c>
    </row>
    <row r="34">
      <c r="A34" s="2" t="s">
        <v>116</v>
      </c>
      <c r="B34" s="10">
        <v>3.0</v>
      </c>
      <c r="C34" s="12">
        <f t="shared" si="1"/>
        <v>69</v>
      </c>
      <c r="D34" s="11">
        <v>7.0</v>
      </c>
      <c r="E34" s="11">
        <v>6.0</v>
      </c>
      <c r="F34" s="12">
        <f t="shared" si="2"/>
        <v>13</v>
      </c>
      <c r="G34" s="16">
        <f t="shared" si="3"/>
        <v>0.1884057971</v>
      </c>
      <c r="H34" s="16">
        <f t="shared" si="4"/>
        <v>0.5384615385</v>
      </c>
      <c r="I34" s="12">
        <f t="shared" si="11"/>
        <v>2</v>
      </c>
      <c r="J34" s="11">
        <v>2.0</v>
      </c>
      <c r="K34" s="11">
        <v>0.0</v>
      </c>
      <c r="L34" s="16">
        <f t="shared" si="6"/>
        <v>0.02898550725</v>
      </c>
      <c r="M34" s="16">
        <f t="shared" si="13"/>
        <v>1</v>
      </c>
      <c r="N34" s="12">
        <f t="shared" si="7"/>
        <v>28</v>
      </c>
      <c r="O34" s="18">
        <f t="shared" si="8"/>
        <v>0.4057971014</v>
      </c>
      <c r="P34" s="18">
        <f t="shared" si="9"/>
        <v>9.333333333</v>
      </c>
    </row>
    <row r="35">
      <c r="A35" s="2" t="s">
        <v>118</v>
      </c>
      <c r="B35" s="10">
        <v>3.0</v>
      </c>
      <c r="C35" s="12">
        <f t="shared" si="1"/>
        <v>69</v>
      </c>
      <c r="D35" s="11">
        <v>7.0</v>
      </c>
      <c r="E35" s="20">
        <v>7.0</v>
      </c>
      <c r="F35" s="21">
        <f t="shared" si="2"/>
        <v>14</v>
      </c>
      <c r="G35" s="23">
        <f t="shared" si="3"/>
        <v>0.2028985507</v>
      </c>
      <c r="H35" s="23">
        <f t="shared" si="4"/>
        <v>0.5</v>
      </c>
      <c r="I35" s="12">
        <f t="shared" si="11"/>
        <v>2</v>
      </c>
      <c r="J35" s="11">
        <v>2.0</v>
      </c>
      <c r="K35" s="11">
        <v>0.0</v>
      </c>
      <c r="L35" s="16">
        <f t="shared" si="6"/>
        <v>0.02898550725</v>
      </c>
      <c r="M35" s="16">
        <f t="shared" si="13"/>
        <v>1</v>
      </c>
      <c r="N35" s="12">
        <f t="shared" si="7"/>
        <v>28</v>
      </c>
      <c r="O35" s="18">
        <f t="shared" si="8"/>
        <v>0.4057971014</v>
      </c>
      <c r="P35" s="18">
        <f t="shared" si="9"/>
        <v>9.333333333</v>
      </c>
    </row>
    <row r="36">
      <c r="A36" s="2" t="s">
        <v>120</v>
      </c>
      <c r="B36" s="10">
        <v>3.0</v>
      </c>
      <c r="C36" s="12">
        <f t="shared" si="1"/>
        <v>69</v>
      </c>
      <c r="D36" s="11">
        <v>7.0</v>
      </c>
      <c r="E36" s="11">
        <v>8.0</v>
      </c>
      <c r="F36" s="12">
        <f t="shared" si="2"/>
        <v>15</v>
      </c>
      <c r="G36" s="16">
        <f t="shared" si="3"/>
        <v>0.2173913043</v>
      </c>
      <c r="H36" s="16">
        <f t="shared" si="4"/>
        <v>0.4666666667</v>
      </c>
      <c r="I36" s="12">
        <f t="shared" si="11"/>
        <v>1</v>
      </c>
      <c r="J36" s="11">
        <v>1.0</v>
      </c>
      <c r="K36" s="11">
        <v>0.0</v>
      </c>
      <c r="L36" s="16">
        <f t="shared" si="6"/>
        <v>0.01449275362</v>
      </c>
      <c r="M36" s="16">
        <f t="shared" si="13"/>
        <v>1</v>
      </c>
      <c r="N36" s="12">
        <f t="shared" si="7"/>
        <v>28</v>
      </c>
      <c r="O36" s="18">
        <f t="shared" si="8"/>
        <v>0.4057971014</v>
      </c>
      <c r="P36" s="18">
        <f t="shared" si="9"/>
        <v>9.333333333</v>
      </c>
    </row>
    <row r="37">
      <c r="A37" s="2" t="s">
        <v>122</v>
      </c>
      <c r="B37" s="10">
        <v>3.0</v>
      </c>
      <c r="C37" s="12">
        <f t="shared" si="1"/>
        <v>69</v>
      </c>
      <c r="D37" s="11">
        <v>9.0</v>
      </c>
      <c r="E37" s="11">
        <v>14.0</v>
      </c>
      <c r="F37" s="12">
        <f t="shared" si="2"/>
        <v>23</v>
      </c>
      <c r="G37" s="16">
        <f t="shared" si="3"/>
        <v>0.3333333333</v>
      </c>
      <c r="H37" s="16">
        <f t="shared" si="4"/>
        <v>0.3913043478</v>
      </c>
      <c r="I37" s="12">
        <f t="shared" si="11"/>
        <v>2</v>
      </c>
      <c r="J37" s="11">
        <v>0.0</v>
      </c>
      <c r="K37" s="11">
        <v>2.0</v>
      </c>
      <c r="L37" s="16">
        <f t="shared" si="6"/>
        <v>0.02898550725</v>
      </c>
      <c r="M37" s="16">
        <f t="shared" si="13"/>
        <v>0</v>
      </c>
      <c r="N37" s="12">
        <f t="shared" si="7"/>
        <v>28</v>
      </c>
      <c r="O37" s="18">
        <f t="shared" si="8"/>
        <v>0.4057971014</v>
      </c>
      <c r="P37" s="18">
        <f t="shared" si="9"/>
        <v>9.333333333</v>
      </c>
    </row>
    <row r="38">
      <c r="A38" s="2" t="s">
        <v>124</v>
      </c>
      <c r="B38" s="27">
        <f>11/23+1</f>
        <v>1.47826087</v>
      </c>
      <c r="C38" s="12">
        <f t="shared" si="1"/>
        <v>34</v>
      </c>
      <c r="D38" s="11">
        <v>3.0</v>
      </c>
      <c r="E38" s="11">
        <v>2.0</v>
      </c>
      <c r="F38" s="12">
        <f t="shared" si="2"/>
        <v>5</v>
      </c>
      <c r="G38" s="16">
        <f t="shared" si="3"/>
        <v>0.1470588235</v>
      </c>
      <c r="H38" s="16">
        <f t="shared" si="4"/>
        <v>0.6</v>
      </c>
      <c r="I38" s="12">
        <f t="shared" si="11"/>
        <v>0</v>
      </c>
      <c r="J38" s="11">
        <v>0.0</v>
      </c>
      <c r="K38" s="11">
        <v>0.0</v>
      </c>
      <c r="L38" s="16">
        <f t="shared" si="6"/>
        <v>0</v>
      </c>
      <c r="M38" s="11" t="s">
        <v>41</v>
      </c>
      <c r="N38" s="12">
        <f t="shared" si="7"/>
        <v>12</v>
      </c>
      <c r="O38" s="18">
        <f t="shared" si="8"/>
        <v>0.3529411765</v>
      </c>
      <c r="P38" s="18">
        <f t="shared" si="9"/>
        <v>8.117647059</v>
      </c>
    </row>
    <row r="39">
      <c r="A39" s="2" t="s">
        <v>100</v>
      </c>
      <c r="B39" s="33">
        <v>3.0</v>
      </c>
      <c r="C39" s="12">
        <f t="shared" si="1"/>
        <v>69</v>
      </c>
      <c r="D39" s="11">
        <v>7.0</v>
      </c>
      <c r="E39" s="20">
        <v>2.0</v>
      </c>
      <c r="F39" s="21">
        <f t="shared" si="2"/>
        <v>9</v>
      </c>
      <c r="G39" s="23">
        <f t="shared" si="3"/>
        <v>0.1304347826</v>
      </c>
      <c r="H39" s="23">
        <f t="shared" si="4"/>
        <v>0.7777777778</v>
      </c>
      <c r="I39" s="12">
        <f t="shared" si="11"/>
        <v>1</v>
      </c>
      <c r="J39" s="11">
        <v>0.0</v>
      </c>
      <c r="K39" s="11">
        <v>1.0</v>
      </c>
      <c r="L39" s="16">
        <f t="shared" si="6"/>
        <v>0.01449275362</v>
      </c>
      <c r="M39" s="16">
        <f>J39/I39</f>
        <v>0</v>
      </c>
      <c r="N39" s="12">
        <f t="shared" si="7"/>
        <v>24</v>
      </c>
      <c r="O39" s="18">
        <f t="shared" si="8"/>
        <v>0.347826087</v>
      </c>
      <c r="P39" s="18">
        <f t="shared" si="9"/>
        <v>8</v>
      </c>
    </row>
    <row r="40">
      <c r="A40" s="2" t="s">
        <v>74</v>
      </c>
      <c r="B40" s="33">
        <f>2</f>
        <v>2</v>
      </c>
      <c r="C40" s="12">
        <f t="shared" si="1"/>
        <v>46</v>
      </c>
      <c r="D40" s="11">
        <v>4.0</v>
      </c>
      <c r="E40" s="20">
        <v>2.0</v>
      </c>
      <c r="F40" s="21">
        <f t="shared" si="2"/>
        <v>6</v>
      </c>
      <c r="G40" s="23">
        <f t="shared" si="3"/>
        <v>0.1304347826</v>
      </c>
      <c r="H40" s="23">
        <f t="shared" si="4"/>
        <v>0.6666666667</v>
      </c>
      <c r="I40" s="12">
        <f t="shared" si="11"/>
        <v>0</v>
      </c>
      <c r="J40" s="11">
        <v>0.0</v>
      </c>
      <c r="K40" s="11">
        <v>0.0</v>
      </c>
      <c r="L40" s="16">
        <f t="shared" si="6"/>
        <v>0</v>
      </c>
      <c r="M40" s="11" t="s">
        <v>41</v>
      </c>
      <c r="N40" s="12">
        <f t="shared" si="7"/>
        <v>16</v>
      </c>
      <c r="O40" s="18">
        <f t="shared" si="8"/>
        <v>0.347826087</v>
      </c>
      <c r="P40" s="18">
        <f t="shared" si="9"/>
        <v>8</v>
      </c>
    </row>
    <row r="41">
      <c r="A41" s="2" t="s">
        <v>113</v>
      </c>
      <c r="B41" s="10">
        <v>3.0</v>
      </c>
      <c r="C41" s="12">
        <f t="shared" si="1"/>
        <v>69</v>
      </c>
      <c r="D41" s="11">
        <v>7.0</v>
      </c>
      <c r="E41" s="11">
        <v>6.0</v>
      </c>
      <c r="F41" s="12">
        <f t="shared" si="2"/>
        <v>13</v>
      </c>
      <c r="G41" s="16">
        <f t="shared" si="3"/>
        <v>0.1884057971</v>
      </c>
      <c r="H41" s="16">
        <f t="shared" si="4"/>
        <v>0.5384615385</v>
      </c>
      <c r="I41" s="12">
        <f t="shared" si="11"/>
        <v>2</v>
      </c>
      <c r="J41" s="11">
        <v>1.0</v>
      </c>
      <c r="K41" s="11">
        <v>1.0</v>
      </c>
      <c r="L41" s="16">
        <f t="shared" si="6"/>
        <v>0.02898550725</v>
      </c>
      <c r="M41" s="16">
        <f>J41/I41</f>
        <v>0.5</v>
      </c>
      <c r="N41" s="12">
        <f t="shared" si="7"/>
        <v>24</v>
      </c>
      <c r="O41" s="18">
        <f t="shared" si="8"/>
        <v>0.347826087</v>
      </c>
      <c r="P41" s="18">
        <f t="shared" si="9"/>
        <v>8</v>
      </c>
    </row>
    <row r="42">
      <c r="A42" s="2" t="s">
        <v>87</v>
      </c>
      <c r="B42" s="10">
        <v>3.0</v>
      </c>
      <c r="C42" s="12">
        <f t="shared" si="1"/>
        <v>69</v>
      </c>
      <c r="D42" s="11">
        <v>6.0</v>
      </c>
      <c r="E42" s="11">
        <v>6.0</v>
      </c>
      <c r="F42" s="12">
        <f t="shared" si="2"/>
        <v>12</v>
      </c>
      <c r="G42" s="16">
        <f t="shared" si="3"/>
        <v>0.1739130435</v>
      </c>
      <c r="H42" s="16">
        <f t="shared" si="4"/>
        <v>0.5</v>
      </c>
      <c r="I42" s="12">
        <f t="shared" si="11"/>
        <v>0</v>
      </c>
      <c r="J42" s="11">
        <v>0.0</v>
      </c>
      <c r="K42" s="11">
        <v>0.0</v>
      </c>
      <c r="L42" s="16">
        <f t="shared" si="6"/>
        <v>0</v>
      </c>
      <c r="M42" s="11" t="s">
        <v>41</v>
      </c>
      <c r="N42" s="12">
        <f t="shared" si="7"/>
        <v>24</v>
      </c>
      <c r="O42" s="18">
        <f t="shared" si="8"/>
        <v>0.347826087</v>
      </c>
      <c r="P42" s="18">
        <f t="shared" si="9"/>
        <v>8</v>
      </c>
    </row>
    <row r="43">
      <c r="A43" s="2" t="s">
        <v>130</v>
      </c>
      <c r="B43" s="10">
        <v>1.0</v>
      </c>
      <c r="C43" s="12">
        <f t="shared" si="1"/>
        <v>23</v>
      </c>
      <c r="D43" s="11">
        <v>2.0</v>
      </c>
      <c r="E43" s="11">
        <v>2.0</v>
      </c>
      <c r="F43" s="12">
        <f t="shared" si="2"/>
        <v>4</v>
      </c>
      <c r="G43" s="16">
        <f t="shared" si="3"/>
        <v>0.1739130435</v>
      </c>
      <c r="H43" s="16">
        <f t="shared" si="4"/>
        <v>0.5</v>
      </c>
      <c r="I43" s="12">
        <f t="shared" si="11"/>
        <v>1</v>
      </c>
      <c r="J43" s="11">
        <v>1.0</v>
      </c>
      <c r="K43" s="11">
        <v>0.0</v>
      </c>
      <c r="L43" s="16">
        <f t="shared" si="6"/>
        <v>0.04347826087</v>
      </c>
      <c r="M43" s="16">
        <f t="shared" ref="M43:M44" si="14">J43/I43</f>
        <v>1</v>
      </c>
      <c r="N43" s="12">
        <f t="shared" si="7"/>
        <v>8</v>
      </c>
      <c r="O43" s="18">
        <f t="shared" si="8"/>
        <v>0.347826087</v>
      </c>
      <c r="P43" s="18">
        <f t="shared" si="9"/>
        <v>8</v>
      </c>
    </row>
    <row r="44">
      <c r="A44" s="2" t="s">
        <v>61</v>
      </c>
      <c r="B44" s="10">
        <v>3.0</v>
      </c>
      <c r="C44" s="12">
        <f t="shared" si="1"/>
        <v>69</v>
      </c>
      <c r="D44" s="11">
        <v>7.0</v>
      </c>
      <c r="E44" s="11">
        <v>8.0</v>
      </c>
      <c r="F44" s="12">
        <f t="shared" si="2"/>
        <v>15</v>
      </c>
      <c r="G44" s="16">
        <f t="shared" si="3"/>
        <v>0.2173913043</v>
      </c>
      <c r="H44" s="16">
        <f t="shared" si="4"/>
        <v>0.4666666667</v>
      </c>
      <c r="I44" s="12">
        <f t="shared" si="11"/>
        <v>4</v>
      </c>
      <c r="J44" s="11">
        <v>3.0</v>
      </c>
      <c r="K44" s="11">
        <v>1.0</v>
      </c>
      <c r="L44" s="16">
        <f t="shared" si="6"/>
        <v>0.05797101449</v>
      </c>
      <c r="M44" s="16">
        <f t="shared" si="14"/>
        <v>0.75</v>
      </c>
      <c r="N44" s="12">
        <f t="shared" si="7"/>
        <v>24</v>
      </c>
      <c r="O44" s="18">
        <f t="shared" si="8"/>
        <v>0.347826087</v>
      </c>
      <c r="P44" s="18">
        <f t="shared" si="9"/>
        <v>8</v>
      </c>
    </row>
    <row r="45">
      <c r="A45" s="2" t="s">
        <v>127</v>
      </c>
      <c r="B45" s="10">
        <v>3.0</v>
      </c>
      <c r="C45" s="12">
        <f t="shared" si="1"/>
        <v>69</v>
      </c>
      <c r="D45" s="11">
        <v>6.0</v>
      </c>
      <c r="E45" s="11">
        <v>7.0</v>
      </c>
      <c r="F45" s="12">
        <f t="shared" si="2"/>
        <v>13</v>
      </c>
      <c r="G45" s="16">
        <f t="shared" si="3"/>
        <v>0.1884057971</v>
      </c>
      <c r="H45" s="16">
        <f t="shared" si="4"/>
        <v>0.4615384615</v>
      </c>
      <c r="I45" s="12">
        <f t="shared" si="11"/>
        <v>0</v>
      </c>
      <c r="J45" s="11">
        <v>0.0</v>
      </c>
      <c r="K45" s="11">
        <v>0.0</v>
      </c>
      <c r="L45" s="16">
        <f t="shared" si="6"/>
        <v>0</v>
      </c>
      <c r="M45" s="11" t="s">
        <v>41</v>
      </c>
      <c r="N45" s="12">
        <f t="shared" si="7"/>
        <v>24</v>
      </c>
      <c r="O45" s="18">
        <f t="shared" si="8"/>
        <v>0.347826087</v>
      </c>
      <c r="P45" s="18">
        <f t="shared" si="9"/>
        <v>8</v>
      </c>
    </row>
    <row r="46">
      <c r="A46" s="2" t="s">
        <v>108</v>
      </c>
      <c r="B46" s="10">
        <v>3.0</v>
      </c>
      <c r="C46" s="12">
        <f t="shared" si="1"/>
        <v>69</v>
      </c>
      <c r="D46" s="11">
        <v>7.0</v>
      </c>
      <c r="E46" s="11">
        <v>9.0</v>
      </c>
      <c r="F46" s="12">
        <f t="shared" si="2"/>
        <v>16</v>
      </c>
      <c r="G46" s="16">
        <f t="shared" si="3"/>
        <v>0.231884058</v>
      </c>
      <c r="H46" s="16">
        <f t="shared" si="4"/>
        <v>0.4375</v>
      </c>
      <c r="I46" s="12">
        <f t="shared" si="11"/>
        <v>1</v>
      </c>
      <c r="J46" s="11">
        <v>0.0</v>
      </c>
      <c r="K46" s="11">
        <v>1.0</v>
      </c>
      <c r="L46" s="16">
        <f t="shared" si="6"/>
        <v>0.01449275362</v>
      </c>
      <c r="M46" s="16">
        <f t="shared" ref="M46:M48" si="15">J46/I46</f>
        <v>0</v>
      </c>
      <c r="N46" s="12">
        <f t="shared" si="7"/>
        <v>24</v>
      </c>
      <c r="O46" s="18">
        <f t="shared" si="8"/>
        <v>0.347826087</v>
      </c>
      <c r="P46" s="18">
        <f t="shared" si="9"/>
        <v>8</v>
      </c>
    </row>
    <row r="47">
      <c r="A47" s="2" t="s">
        <v>133</v>
      </c>
      <c r="B47" s="10">
        <v>3.0</v>
      </c>
      <c r="C47" s="12">
        <f t="shared" si="1"/>
        <v>69</v>
      </c>
      <c r="D47" s="11">
        <v>6.0</v>
      </c>
      <c r="E47" s="11">
        <v>8.0</v>
      </c>
      <c r="F47" s="12">
        <f t="shared" si="2"/>
        <v>14</v>
      </c>
      <c r="G47" s="16">
        <f t="shared" si="3"/>
        <v>0.2028985507</v>
      </c>
      <c r="H47" s="16">
        <f t="shared" si="4"/>
        <v>0.4285714286</v>
      </c>
      <c r="I47" s="12">
        <f t="shared" si="11"/>
        <v>1</v>
      </c>
      <c r="J47" s="11">
        <v>1.0</v>
      </c>
      <c r="K47" s="11">
        <v>0.0</v>
      </c>
      <c r="L47" s="16">
        <f t="shared" si="6"/>
        <v>0.01449275362</v>
      </c>
      <c r="M47" s="16">
        <f t="shared" si="15"/>
        <v>1</v>
      </c>
      <c r="N47" s="12">
        <f t="shared" si="7"/>
        <v>24</v>
      </c>
      <c r="O47" s="18">
        <f t="shared" si="8"/>
        <v>0.347826087</v>
      </c>
      <c r="P47" s="18">
        <f t="shared" si="9"/>
        <v>8</v>
      </c>
    </row>
    <row r="48">
      <c r="A48" s="2" t="s">
        <v>135</v>
      </c>
      <c r="B48" s="10">
        <v>3.0</v>
      </c>
      <c r="C48" s="12">
        <f t="shared" si="1"/>
        <v>69</v>
      </c>
      <c r="D48" s="11">
        <v>7.0</v>
      </c>
      <c r="E48" s="20">
        <v>11.0</v>
      </c>
      <c r="F48" s="21">
        <f t="shared" si="2"/>
        <v>18</v>
      </c>
      <c r="G48" s="23">
        <f t="shared" si="3"/>
        <v>0.2608695652</v>
      </c>
      <c r="H48" s="23">
        <f t="shared" si="4"/>
        <v>0.3888888889</v>
      </c>
      <c r="I48" s="12">
        <f t="shared" si="11"/>
        <v>3</v>
      </c>
      <c r="J48" s="11">
        <v>2.0</v>
      </c>
      <c r="K48" s="11">
        <v>1.0</v>
      </c>
      <c r="L48" s="16">
        <f t="shared" si="6"/>
        <v>0.04347826087</v>
      </c>
      <c r="M48" s="16">
        <f t="shared" si="15"/>
        <v>0.6666666667</v>
      </c>
      <c r="N48" s="12">
        <f t="shared" si="7"/>
        <v>24</v>
      </c>
      <c r="O48" s="18">
        <f t="shared" si="8"/>
        <v>0.347826087</v>
      </c>
      <c r="P48" s="18">
        <f t="shared" si="9"/>
        <v>8</v>
      </c>
    </row>
    <row r="49">
      <c r="A49" s="2" t="s">
        <v>137</v>
      </c>
      <c r="B49" s="10">
        <v>3.0</v>
      </c>
      <c r="C49" s="12">
        <f t="shared" si="1"/>
        <v>69</v>
      </c>
      <c r="D49" s="11">
        <v>6.0</v>
      </c>
      <c r="E49" s="11">
        <v>16.0</v>
      </c>
      <c r="F49" s="12">
        <f t="shared" si="2"/>
        <v>22</v>
      </c>
      <c r="G49" s="16">
        <f t="shared" si="3"/>
        <v>0.3188405797</v>
      </c>
      <c r="H49" s="16">
        <f t="shared" si="4"/>
        <v>0.2727272727</v>
      </c>
      <c r="I49" s="12">
        <f t="shared" si="11"/>
        <v>0</v>
      </c>
      <c r="J49" s="11">
        <v>0.0</v>
      </c>
      <c r="K49" s="11">
        <v>0.0</v>
      </c>
      <c r="L49" s="16">
        <f t="shared" si="6"/>
        <v>0</v>
      </c>
      <c r="M49" s="11" t="s">
        <v>41</v>
      </c>
      <c r="N49" s="12">
        <f t="shared" si="7"/>
        <v>24</v>
      </c>
      <c r="O49" s="18">
        <f t="shared" si="8"/>
        <v>0.347826087</v>
      </c>
      <c r="P49" s="18">
        <f t="shared" si="9"/>
        <v>8</v>
      </c>
    </row>
    <row r="50">
      <c r="A50" s="2" t="s">
        <v>138</v>
      </c>
      <c r="B50" s="28">
        <f>12/23+2</f>
        <v>2.52173913</v>
      </c>
      <c r="C50" s="12">
        <f t="shared" si="1"/>
        <v>58</v>
      </c>
      <c r="D50" s="11">
        <v>7.0</v>
      </c>
      <c r="E50" s="11">
        <v>8.0</v>
      </c>
      <c r="F50" s="12">
        <f t="shared" si="2"/>
        <v>15</v>
      </c>
      <c r="G50" s="16">
        <f t="shared" si="3"/>
        <v>0.2586206897</v>
      </c>
      <c r="H50" s="16">
        <f t="shared" si="4"/>
        <v>0.4666666667</v>
      </c>
      <c r="I50" s="12">
        <f t="shared" si="11"/>
        <v>2</v>
      </c>
      <c r="J50" s="11">
        <v>0.0</v>
      </c>
      <c r="K50" s="11">
        <v>2.0</v>
      </c>
      <c r="L50" s="16">
        <f t="shared" si="6"/>
        <v>0.03448275862</v>
      </c>
      <c r="M50" s="16">
        <f>J50/I50</f>
        <v>0</v>
      </c>
      <c r="N50" s="12">
        <f t="shared" si="7"/>
        <v>20</v>
      </c>
      <c r="O50" s="18">
        <f t="shared" si="8"/>
        <v>0.3448275862</v>
      </c>
      <c r="P50" s="18">
        <f t="shared" si="9"/>
        <v>7.931034483</v>
      </c>
    </row>
    <row r="51">
      <c r="A51" s="2" t="s">
        <v>94</v>
      </c>
      <c r="B51" s="27">
        <f>1+12/23</f>
        <v>1.52173913</v>
      </c>
      <c r="C51" s="12">
        <f t="shared" si="1"/>
        <v>35</v>
      </c>
      <c r="D51" s="11">
        <v>3.0</v>
      </c>
      <c r="E51" s="11">
        <v>1.0</v>
      </c>
      <c r="F51" s="12">
        <f t="shared" si="2"/>
        <v>4</v>
      </c>
      <c r="G51" s="16">
        <f t="shared" si="3"/>
        <v>0.1142857143</v>
      </c>
      <c r="H51" s="16">
        <f t="shared" si="4"/>
        <v>0.75</v>
      </c>
      <c r="I51" s="12">
        <f t="shared" si="11"/>
        <v>0</v>
      </c>
      <c r="J51" s="11">
        <v>0.0</v>
      </c>
      <c r="K51" s="11">
        <v>0.0</v>
      </c>
      <c r="L51" s="16">
        <f t="shared" si="6"/>
        <v>0</v>
      </c>
      <c r="M51" s="11" t="s">
        <v>41</v>
      </c>
      <c r="N51" s="12">
        <f t="shared" si="7"/>
        <v>12</v>
      </c>
      <c r="O51" s="18">
        <f t="shared" si="8"/>
        <v>0.3428571429</v>
      </c>
      <c r="P51" s="18">
        <f t="shared" si="9"/>
        <v>7.885714286</v>
      </c>
    </row>
    <row r="52">
      <c r="A52" s="2" t="s">
        <v>141</v>
      </c>
      <c r="B52" s="33">
        <f>12/23+12/23+1</f>
        <v>2.043478261</v>
      </c>
      <c r="C52" s="12">
        <f t="shared" si="1"/>
        <v>47</v>
      </c>
      <c r="D52" s="11">
        <v>4.0</v>
      </c>
      <c r="E52" s="20">
        <v>4.0</v>
      </c>
      <c r="F52" s="21">
        <f t="shared" si="2"/>
        <v>8</v>
      </c>
      <c r="G52" s="23">
        <f t="shared" si="3"/>
        <v>0.170212766</v>
      </c>
      <c r="H52" s="23">
        <f t="shared" si="4"/>
        <v>0.5</v>
      </c>
      <c r="I52" s="12">
        <f t="shared" si="11"/>
        <v>1</v>
      </c>
      <c r="J52" s="11">
        <v>1.0</v>
      </c>
      <c r="K52" s="11">
        <v>0.0</v>
      </c>
      <c r="L52" s="16">
        <f t="shared" si="6"/>
        <v>0.02127659574</v>
      </c>
      <c r="M52" s="16">
        <f t="shared" ref="M52:M54" si="16">J52/I52</f>
        <v>1</v>
      </c>
      <c r="N52" s="12">
        <f t="shared" si="7"/>
        <v>16</v>
      </c>
      <c r="O52" s="18">
        <f t="shared" si="8"/>
        <v>0.3404255319</v>
      </c>
      <c r="P52" s="18">
        <f t="shared" si="9"/>
        <v>7.829787234</v>
      </c>
    </row>
    <row r="53">
      <c r="A53" s="2" t="s">
        <v>142</v>
      </c>
      <c r="B53" s="10">
        <v>3.0</v>
      </c>
      <c r="C53" s="12">
        <f t="shared" si="1"/>
        <v>69</v>
      </c>
      <c r="D53" s="11">
        <v>6.0</v>
      </c>
      <c r="E53" s="20">
        <v>2.0</v>
      </c>
      <c r="F53" s="21">
        <f t="shared" si="2"/>
        <v>8</v>
      </c>
      <c r="G53" s="23">
        <f t="shared" si="3"/>
        <v>0.115942029</v>
      </c>
      <c r="H53" s="23">
        <f t="shared" si="4"/>
        <v>0.75</v>
      </c>
      <c r="I53" s="12">
        <f t="shared" si="11"/>
        <v>1</v>
      </c>
      <c r="J53" s="11">
        <v>0.0</v>
      </c>
      <c r="K53" s="11">
        <v>1.0</v>
      </c>
      <c r="L53" s="16">
        <f t="shared" si="6"/>
        <v>0.01449275362</v>
      </c>
      <c r="M53" s="16">
        <f t="shared" si="16"/>
        <v>0</v>
      </c>
      <c r="N53" s="12">
        <f t="shared" si="7"/>
        <v>20</v>
      </c>
      <c r="O53" s="18">
        <f t="shared" si="8"/>
        <v>0.2898550725</v>
      </c>
      <c r="P53" s="18">
        <f t="shared" si="9"/>
        <v>6.666666667</v>
      </c>
    </row>
    <row r="54">
      <c r="A54" s="2" t="s">
        <v>89</v>
      </c>
      <c r="B54" s="10">
        <v>3.0</v>
      </c>
      <c r="C54" s="12">
        <f t="shared" si="1"/>
        <v>69</v>
      </c>
      <c r="D54" s="11">
        <v>5.0</v>
      </c>
      <c r="E54" s="11">
        <v>2.0</v>
      </c>
      <c r="F54" s="12">
        <f t="shared" si="2"/>
        <v>7</v>
      </c>
      <c r="G54" s="16">
        <f t="shared" si="3"/>
        <v>0.1014492754</v>
      </c>
      <c r="H54" s="16">
        <f t="shared" si="4"/>
        <v>0.7142857143</v>
      </c>
      <c r="I54" s="12">
        <f t="shared" si="11"/>
        <v>1</v>
      </c>
      <c r="J54" s="11">
        <v>1.0</v>
      </c>
      <c r="K54" s="11">
        <v>0.0</v>
      </c>
      <c r="L54" s="16">
        <f t="shared" si="6"/>
        <v>0.01449275362</v>
      </c>
      <c r="M54" s="16">
        <f t="shared" si="16"/>
        <v>1</v>
      </c>
      <c r="N54" s="12">
        <f t="shared" si="7"/>
        <v>20</v>
      </c>
      <c r="O54" s="18">
        <f t="shared" si="8"/>
        <v>0.2898550725</v>
      </c>
      <c r="P54" s="18">
        <f t="shared" si="9"/>
        <v>6.666666667</v>
      </c>
    </row>
    <row r="55">
      <c r="A55" s="2" t="s">
        <v>143</v>
      </c>
      <c r="B55" s="10">
        <v>3.0</v>
      </c>
      <c r="C55" s="12">
        <f t="shared" si="1"/>
        <v>69</v>
      </c>
      <c r="D55" s="11">
        <v>5.0</v>
      </c>
      <c r="E55" s="11">
        <v>4.0</v>
      </c>
      <c r="F55" s="12">
        <f t="shared" si="2"/>
        <v>9</v>
      </c>
      <c r="G55" s="16">
        <f t="shared" si="3"/>
        <v>0.1304347826</v>
      </c>
      <c r="H55" s="16">
        <f t="shared" si="4"/>
        <v>0.5555555556</v>
      </c>
      <c r="I55" s="12">
        <f t="shared" si="11"/>
        <v>0</v>
      </c>
      <c r="J55" s="11">
        <v>0.0</v>
      </c>
      <c r="K55" s="11">
        <v>0.0</v>
      </c>
      <c r="L55" s="16">
        <f t="shared" si="6"/>
        <v>0</v>
      </c>
      <c r="M55" s="11" t="s">
        <v>41</v>
      </c>
      <c r="N55" s="12">
        <f t="shared" si="7"/>
        <v>20</v>
      </c>
      <c r="O55" s="18">
        <f t="shared" si="8"/>
        <v>0.2898550725</v>
      </c>
      <c r="P55" s="18">
        <f t="shared" si="9"/>
        <v>6.666666667</v>
      </c>
    </row>
    <row r="56">
      <c r="A56" s="2" t="s">
        <v>125</v>
      </c>
      <c r="B56" s="10">
        <v>3.0</v>
      </c>
      <c r="C56" s="12">
        <f t="shared" si="1"/>
        <v>69</v>
      </c>
      <c r="D56" s="11">
        <v>5.0</v>
      </c>
      <c r="E56" s="11">
        <v>5.0</v>
      </c>
      <c r="F56" s="12">
        <f t="shared" si="2"/>
        <v>10</v>
      </c>
      <c r="G56" s="16">
        <f t="shared" si="3"/>
        <v>0.1449275362</v>
      </c>
      <c r="H56" s="16">
        <f t="shared" si="4"/>
        <v>0.5</v>
      </c>
      <c r="I56" s="12">
        <f t="shared" si="11"/>
        <v>0</v>
      </c>
      <c r="J56" s="11">
        <v>0.0</v>
      </c>
      <c r="K56" s="11">
        <v>0.0</v>
      </c>
      <c r="L56" s="16">
        <f t="shared" si="6"/>
        <v>0</v>
      </c>
      <c r="M56" s="11" t="s">
        <v>41</v>
      </c>
      <c r="N56" s="12">
        <f t="shared" si="7"/>
        <v>20</v>
      </c>
      <c r="O56" s="18">
        <f t="shared" si="8"/>
        <v>0.2898550725</v>
      </c>
      <c r="P56" s="18">
        <f t="shared" si="9"/>
        <v>6.666666667</v>
      </c>
    </row>
    <row r="57">
      <c r="A57" s="2" t="s">
        <v>145</v>
      </c>
      <c r="B57" s="10">
        <v>3.0</v>
      </c>
      <c r="C57" s="12">
        <f t="shared" si="1"/>
        <v>69</v>
      </c>
      <c r="D57" s="11">
        <v>6.0</v>
      </c>
      <c r="E57" s="11">
        <v>7.0</v>
      </c>
      <c r="F57" s="12">
        <f t="shared" si="2"/>
        <v>13</v>
      </c>
      <c r="G57" s="16">
        <f t="shared" si="3"/>
        <v>0.1884057971</v>
      </c>
      <c r="H57" s="16">
        <f t="shared" si="4"/>
        <v>0.4615384615</v>
      </c>
      <c r="I57" s="12">
        <f t="shared" si="11"/>
        <v>1</v>
      </c>
      <c r="J57" s="11">
        <v>0.0</v>
      </c>
      <c r="K57" s="11">
        <v>1.0</v>
      </c>
      <c r="L57" s="16">
        <f t="shared" si="6"/>
        <v>0.01449275362</v>
      </c>
      <c r="M57" s="16">
        <f t="shared" ref="M57:M61" si="17">J57/I57</f>
        <v>0</v>
      </c>
      <c r="N57" s="12">
        <f t="shared" si="7"/>
        <v>20</v>
      </c>
      <c r="O57" s="18">
        <f t="shared" si="8"/>
        <v>0.2898550725</v>
      </c>
      <c r="P57" s="18">
        <f t="shared" si="9"/>
        <v>6.666666667</v>
      </c>
    </row>
    <row r="58">
      <c r="A58" s="2" t="s">
        <v>136</v>
      </c>
      <c r="B58" s="10">
        <v>3.0</v>
      </c>
      <c r="C58" s="12">
        <f t="shared" si="1"/>
        <v>69</v>
      </c>
      <c r="D58" s="11">
        <v>5.0</v>
      </c>
      <c r="E58" s="20">
        <v>8.0</v>
      </c>
      <c r="F58" s="21">
        <f t="shared" si="2"/>
        <v>13</v>
      </c>
      <c r="G58" s="23">
        <f t="shared" si="3"/>
        <v>0.1884057971</v>
      </c>
      <c r="H58" s="23">
        <f t="shared" si="4"/>
        <v>0.3846153846</v>
      </c>
      <c r="I58" s="12">
        <f t="shared" si="11"/>
        <v>1</v>
      </c>
      <c r="J58" s="11">
        <v>1.0</v>
      </c>
      <c r="K58" s="11">
        <v>0.0</v>
      </c>
      <c r="L58" s="16">
        <f t="shared" si="6"/>
        <v>0.01449275362</v>
      </c>
      <c r="M58" s="16">
        <f t="shared" si="17"/>
        <v>1</v>
      </c>
      <c r="N58" s="12">
        <f t="shared" si="7"/>
        <v>20</v>
      </c>
      <c r="O58" s="18">
        <f t="shared" si="8"/>
        <v>0.2898550725</v>
      </c>
      <c r="P58" s="18">
        <f t="shared" si="9"/>
        <v>6.666666667</v>
      </c>
    </row>
    <row r="59">
      <c r="A59" s="2" t="s">
        <v>146</v>
      </c>
      <c r="B59" s="10">
        <v>3.0</v>
      </c>
      <c r="C59" s="12">
        <f t="shared" si="1"/>
        <v>69</v>
      </c>
      <c r="D59" s="11">
        <v>6.0</v>
      </c>
      <c r="E59" s="20">
        <v>11.0</v>
      </c>
      <c r="F59" s="21">
        <f t="shared" si="2"/>
        <v>17</v>
      </c>
      <c r="G59" s="23">
        <f t="shared" si="3"/>
        <v>0.2463768116</v>
      </c>
      <c r="H59" s="23">
        <f t="shared" si="4"/>
        <v>0.3529411765</v>
      </c>
      <c r="I59" s="12">
        <f t="shared" si="11"/>
        <v>1</v>
      </c>
      <c r="J59" s="11">
        <v>0.0</v>
      </c>
      <c r="K59" s="11">
        <v>1.0</v>
      </c>
      <c r="L59" s="16">
        <f t="shared" si="6"/>
        <v>0.01449275362</v>
      </c>
      <c r="M59" s="16">
        <f t="shared" si="17"/>
        <v>0</v>
      </c>
      <c r="N59" s="12">
        <f t="shared" si="7"/>
        <v>20</v>
      </c>
      <c r="O59" s="18">
        <f t="shared" si="8"/>
        <v>0.2898550725</v>
      </c>
      <c r="P59" s="18">
        <f t="shared" si="9"/>
        <v>6.666666667</v>
      </c>
      <c r="R59" s="4"/>
    </row>
    <row r="60">
      <c r="A60" s="2" t="s">
        <v>140</v>
      </c>
      <c r="B60" s="10">
        <v>3.0</v>
      </c>
      <c r="C60" s="12">
        <f t="shared" si="1"/>
        <v>69</v>
      </c>
      <c r="D60" s="11">
        <v>6.0</v>
      </c>
      <c r="E60" s="11">
        <v>26.0</v>
      </c>
      <c r="F60" s="12">
        <f t="shared" si="2"/>
        <v>32</v>
      </c>
      <c r="G60" s="16">
        <f t="shared" si="3"/>
        <v>0.4637681159</v>
      </c>
      <c r="H60" s="16">
        <f t="shared" si="4"/>
        <v>0.1875</v>
      </c>
      <c r="I60" s="12">
        <f t="shared" si="11"/>
        <v>1</v>
      </c>
      <c r="J60" s="11">
        <v>0.0</v>
      </c>
      <c r="K60" s="11">
        <v>1.0</v>
      </c>
      <c r="L60" s="16">
        <f t="shared" si="6"/>
        <v>0.01449275362</v>
      </c>
      <c r="M60" s="16">
        <f t="shared" si="17"/>
        <v>0</v>
      </c>
      <c r="N60" s="12">
        <f t="shared" si="7"/>
        <v>20</v>
      </c>
      <c r="O60" s="18">
        <f t="shared" si="8"/>
        <v>0.2898550725</v>
      </c>
      <c r="P60" s="18">
        <f t="shared" si="9"/>
        <v>6.666666667</v>
      </c>
    </row>
    <row r="61">
      <c r="A61" s="2" t="s">
        <v>121</v>
      </c>
      <c r="B61" s="10">
        <v>2.0</v>
      </c>
      <c r="C61" s="12">
        <f t="shared" si="1"/>
        <v>46</v>
      </c>
      <c r="D61" s="11">
        <v>3.0</v>
      </c>
      <c r="E61" s="11">
        <v>2.0</v>
      </c>
      <c r="F61" s="12">
        <f t="shared" si="2"/>
        <v>5</v>
      </c>
      <c r="G61" s="16">
        <f t="shared" si="3"/>
        <v>0.1086956522</v>
      </c>
      <c r="H61" s="16">
        <f t="shared" si="4"/>
        <v>0.6</v>
      </c>
      <c r="I61" s="12">
        <f t="shared" si="11"/>
        <v>1</v>
      </c>
      <c r="J61" s="11">
        <v>1.0</v>
      </c>
      <c r="K61" s="11">
        <v>0.0</v>
      </c>
      <c r="L61" s="16">
        <f t="shared" si="6"/>
        <v>0.02173913043</v>
      </c>
      <c r="M61" s="16">
        <f t="shared" si="17"/>
        <v>1</v>
      </c>
      <c r="N61" s="12">
        <f t="shared" si="7"/>
        <v>12</v>
      </c>
      <c r="O61" s="18">
        <f t="shared" si="8"/>
        <v>0.2608695652</v>
      </c>
      <c r="P61" s="18">
        <f t="shared" si="9"/>
        <v>6</v>
      </c>
    </row>
    <row r="62">
      <c r="A62" s="2" t="s">
        <v>147</v>
      </c>
      <c r="B62" s="28">
        <f>11/23+1</f>
        <v>1.47826087</v>
      </c>
      <c r="C62" s="12">
        <f t="shared" si="1"/>
        <v>34</v>
      </c>
      <c r="D62" s="11">
        <v>2.0</v>
      </c>
      <c r="E62" s="11">
        <v>1.0</v>
      </c>
      <c r="F62" s="12">
        <f t="shared" si="2"/>
        <v>3</v>
      </c>
      <c r="G62" s="16">
        <f t="shared" si="3"/>
        <v>0.08823529412</v>
      </c>
      <c r="H62" s="16">
        <f t="shared" si="4"/>
        <v>0.6666666667</v>
      </c>
      <c r="I62" s="12">
        <f t="shared" si="11"/>
        <v>0</v>
      </c>
      <c r="J62" s="11">
        <v>0.0</v>
      </c>
      <c r="K62" s="11">
        <v>0.0</v>
      </c>
      <c r="L62" s="16">
        <f t="shared" si="6"/>
        <v>0</v>
      </c>
      <c r="M62" s="11" t="s">
        <v>41</v>
      </c>
      <c r="N62" s="12">
        <f t="shared" si="7"/>
        <v>8</v>
      </c>
      <c r="O62" s="18">
        <f t="shared" si="8"/>
        <v>0.2352941176</v>
      </c>
      <c r="P62" s="18">
        <f t="shared" si="9"/>
        <v>5.411764706</v>
      </c>
    </row>
    <row r="63">
      <c r="A63" s="2" t="s">
        <v>132</v>
      </c>
      <c r="B63" s="10">
        <v>3.0</v>
      </c>
      <c r="C63" s="12">
        <f t="shared" si="1"/>
        <v>69</v>
      </c>
      <c r="D63" s="11">
        <v>4.0</v>
      </c>
      <c r="E63" s="20">
        <v>1.0</v>
      </c>
      <c r="F63" s="21">
        <f t="shared" si="2"/>
        <v>5</v>
      </c>
      <c r="G63" s="23">
        <f t="shared" si="3"/>
        <v>0.07246376812</v>
      </c>
      <c r="H63" s="23">
        <f t="shared" si="4"/>
        <v>0.8</v>
      </c>
      <c r="I63" s="12">
        <f t="shared" si="11"/>
        <v>0</v>
      </c>
      <c r="J63" s="11">
        <v>0.0</v>
      </c>
      <c r="K63" s="11">
        <v>0.0</v>
      </c>
      <c r="L63" s="16">
        <f t="shared" si="6"/>
        <v>0</v>
      </c>
      <c r="M63" s="11" t="s">
        <v>41</v>
      </c>
      <c r="N63" s="12">
        <f t="shared" si="7"/>
        <v>16</v>
      </c>
      <c r="O63" s="18">
        <f t="shared" si="8"/>
        <v>0.231884058</v>
      </c>
      <c r="P63" s="18">
        <f t="shared" si="9"/>
        <v>5.333333333</v>
      </c>
    </row>
    <row r="64">
      <c r="A64" s="2" t="s">
        <v>150</v>
      </c>
      <c r="B64" s="10">
        <v>3.0</v>
      </c>
      <c r="C64" s="12">
        <f t="shared" si="1"/>
        <v>69</v>
      </c>
      <c r="D64" s="11">
        <v>5.0</v>
      </c>
      <c r="E64" s="11">
        <v>2.0</v>
      </c>
      <c r="F64" s="12">
        <f t="shared" si="2"/>
        <v>7</v>
      </c>
      <c r="G64" s="16">
        <f t="shared" si="3"/>
        <v>0.1014492754</v>
      </c>
      <c r="H64" s="16">
        <f t="shared" si="4"/>
        <v>0.7142857143</v>
      </c>
      <c r="I64" s="12">
        <f t="shared" si="11"/>
        <v>1</v>
      </c>
      <c r="J64" s="11">
        <v>0.0</v>
      </c>
      <c r="K64" s="11">
        <v>1.0</v>
      </c>
      <c r="L64" s="16">
        <f t="shared" si="6"/>
        <v>0.01449275362</v>
      </c>
      <c r="M64" s="16">
        <f t="shared" ref="M64:M65" si="18">J64/I64</f>
        <v>0</v>
      </c>
      <c r="N64" s="12">
        <f t="shared" si="7"/>
        <v>16</v>
      </c>
      <c r="O64" s="18">
        <f t="shared" si="8"/>
        <v>0.231884058</v>
      </c>
      <c r="P64" s="18">
        <f t="shared" si="9"/>
        <v>5.333333333</v>
      </c>
    </row>
    <row r="65">
      <c r="A65" s="2" t="s">
        <v>144</v>
      </c>
      <c r="B65" s="10">
        <v>3.0</v>
      </c>
      <c r="C65" s="12">
        <f t="shared" si="1"/>
        <v>69</v>
      </c>
      <c r="D65" s="11">
        <v>5.0</v>
      </c>
      <c r="E65" s="11">
        <v>2.0</v>
      </c>
      <c r="F65" s="12">
        <f t="shared" si="2"/>
        <v>7</v>
      </c>
      <c r="G65" s="16">
        <f t="shared" si="3"/>
        <v>0.1014492754</v>
      </c>
      <c r="H65" s="16">
        <f t="shared" si="4"/>
        <v>0.7142857143</v>
      </c>
      <c r="I65" s="12">
        <f t="shared" si="11"/>
        <v>1</v>
      </c>
      <c r="J65" s="11">
        <v>0.0</v>
      </c>
      <c r="K65" s="11">
        <v>1.0</v>
      </c>
      <c r="L65" s="16">
        <f t="shared" si="6"/>
        <v>0.01449275362</v>
      </c>
      <c r="M65" s="16">
        <f t="shared" si="18"/>
        <v>0</v>
      </c>
      <c r="N65" s="12">
        <f t="shared" si="7"/>
        <v>16</v>
      </c>
      <c r="O65" s="18">
        <f t="shared" si="8"/>
        <v>0.231884058</v>
      </c>
      <c r="P65" s="18">
        <f t="shared" si="9"/>
        <v>5.333333333</v>
      </c>
    </row>
    <row r="66">
      <c r="A66" s="2" t="s">
        <v>151</v>
      </c>
      <c r="B66" s="10">
        <v>3.0</v>
      </c>
      <c r="C66" s="12">
        <f t="shared" si="1"/>
        <v>69</v>
      </c>
      <c r="D66" s="11">
        <v>4.0</v>
      </c>
      <c r="E66" s="20">
        <v>3.0</v>
      </c>
      <c r="F66" s="21">
        <f t="shared" si="2"/>
        <v>7</v>
      </c>
      <c r="G66" s="23">
        <f t="shared" si="3"/>
        <v>0.1014492754</v>
      </c>
      <c r="H66" s="23">
        <f t="shared" si="4"/>
        <v>0.5714285714</v>
      </c>
      <c r="I66" s="12">
        <f t="shared" si="11"/>
        <v>0</v>
      </c>
      <c r="J66" s="11">
        <v>0.0</v>
      </c>
      <c r="K66" s="11">
        <v>0.0</v>
      </c>
      <c r="L66" s="16">
        <f t="shared" si="6"/>
        <v>0</v>
      </c>
      <c r="M66" s="11" t="s">
        <v>41</v>
      </c>
      <c r="N66" s="12">
        <f t="shared" si="7"/>
        <v>16</v>
      </c>
      <c r="O66" s="18">
        <f t="shared" si="8"/>
        <v>0.231884058</v>
      </c>
      <c r="P66" s="18">
        <f t="shared" si="9"/>
        <v>5.333333333</v>
      </c>
    </row>
    <row r="67">
      <c r="A67" s="2" t="s">
        <v>152</v>
      </c>
      <c r="B67" s="10">
        <v>3.0</v>
      </c>
      <c r="C67" s="12">
        <f t="shared" si="1"/>
        <v>69</v>
      </c>
      <c r="D67" s="11">
        <v>4.0</v>
      </c>
      <c r="E67" s="11">
        <v>3.0</v>
      </c>
      <c r="F67" s="12">
        <f t="shared" si="2"/>
        <v>7</v>
      </c>
      <c r="G67" s="16">
        <f t="shared" si="3"/>
        <v>0.1014492754</v>
      </c>
      <c r="H67" s="16">
        <f t="shared" si="4"/>
        <v>0.5714285714</v>
      </c>
      <c r="I67" s="12">
        <f t="shared" si="11"/>
        <v>0</v>
      </c>
      <c r="J67" s="11">
        <v>0.0</v>
      </c>
      <c r="K67" s="11">
        <v>0.0</v>
      </c>
      <c r="L67" s="16">
        <f t="shared" si="6"/>
        <v>0</v>
      </c>
      <c r="M67" s="11" t="s">
        <v>41</v>
      </c>
      <c r="N67" s="12">
        <f t="shared" si="7"/>
        <v>16</v>
      </c>
      <c r="O67" s="18">
        <f t="shared" si="8"/>
        <v>0.231884058</v>
      </c>
      <c r="P67" s="18">
        <f t="shared" si="9"/>
        <v>5.333333333</v>
      </c>
    </row>
    <row r="68">
      <c r="A68" s="2" t="s">
        <v>128</v>
      </c>
      <c r="B68" s="10">
        <v>3.0</v>
      </c>
      <c r="C68" s="12">
        <f t="shared" si="1"/>
        <v>69</v>
      </c>
      <c r="D68" s="11">
        <v>4.0</v>
      </c>
      <c r="E68" s="11">
        <v>4.0</v>
      </c>
      <c r="F68" s="12">
        <f t="shared" si="2"/>
        <v>8</v>
      </c>
      <c r="G68" s="16">
        <f t="shared" si="3"/>
        <v>0.115942029</v>
      </c>
      <c r="H68" s="16">
        <f t="shared" si="4"/>
        <v>0.5</v>
      </c>
      <c r="I68" s="12">
        <f t="shared" si="11"/>
        <v>0</v>
      </c>
      <c r="J68" s="11">
        <v>0.0</v>
      </c>
      <c r="K68" s="11">
        <v>0.0</v>
      </c>
      <c r="L68" s="16">
        <f t="shared" si="6"/>
        <v>0</v>
      </c>
      <c r="M68" s="11" t="s">
        <v>41</v>
      </c>
      <c r="N68" s="12">
        <f t="shared" si="7"/>
        <v>16</v>
      </c>
      <c r="O68" s="18">
        <f t="shared" si="8"/>
        <v>0.231884058</v>
      </c>
      <c r="P68" s="18">
        <f t="shared" si="9"/>
        <v>5.333333333</v>
      </c>
    </row>
    <row r="69">
      <c r="A69" s="2" t="s">
        <v>97</v>
      </c>
      <c r="B69" s="10">
        <v>3.0</v>
      </c>
      <c r="C69" s="12">
        <f t="shared" si="1"/>
        <v>69</v>
      </c>
      <c r="D69" s="11">
        <v>6.0</v>
      </c>
      <c r="E69" s="20">
        <v>9.0</v>
      </c>
      <c r="F69" s="21">
        <f t="shared" si="2"/>
        <v>15</v>
      </c>
      <c r="G69" s="23">
        <f t="shared" si="3"/>
        <v>0.2173913043</v>
      </c>
      <c r="H69" s="23">
        <f t="shared" si="4"/>
        <v>0.4</v>
      </c>
      <c r="I69" s="12">
        <f t="shared" si="11"/>
        <v>2</v>
      </c>
      <c r="J69" s="11">
        <v>0.0</v>
      </c>
      <c r="K69" s="11">
        <v>2.0</v>
      </c>
      <c r="L69" s="16">
        <f t="shared" si="6"/>
        <v>0.02898550725</v>
      </c>
      <c r="M69" s="16">
        <f t="shared" ref="M69:M70" si="19">J69/I69</f>
        <v>0</v>
      </c>
      <c r="N69" s="12">
        <f t="shared" si="7"/>
        <v>16</v>
      </c>
      <c r="O69" s="18">
        <f t="shared" si="8"/>
        <v>0.231884058</v>
      </c>
      <c r="P69" s="18">
        <f t="shared" si="9"/>
        <v>5.333333333</v>
      </c>
    </row>
    <row r="70">
      <c r="A70" s="2" t="s">
        <v>67</v>
      </c>
      <c r="B70" s="10">
        <v>3.0</v>
      </c>
      <c r="C70" s="12">
        <f t="shared" si="1"/>
        <v>69</v>
      </c>
      <c r="D70" s="11">
        <v>4.0</v>
      </c>
      <c r="E70" s="11">
        <v>7.0</v>
      </c>
      <c r="F70" s="12">
        <f t="shared" si="2"/>
        <v>11</v>
      </c>
      <c r="G70" s="16">
        <f t="shared" si="3"/>
        <v>0.1594202899</v>
      </c>
      <c r="H70" s="16">
        <f t="shared" si="4"/>
        <v>0.3636363636</v>
      </c>
      <c r="I70" s="12">
        <f t="shared" si="11"/>
        <v>2</v>
      </c>
      <c r="J70" s="11">
        <v>2.0</v>
      </c>
      <c r="K70" s="11">
        <v>0.0</v>
      </c>
      <c r="L70" s="16">
        <f t="shared" si="6"/>
        <v>0.02898550725</v>
      </c>
      <c r="M70" s="16">
        <f t="shared" si="19"/>
        <v>1</v>
      </c>
      <c r="N70" s="12">
        <f t="shared" si="7"/>
        <v>16</v>
      </c>
      <c r="O70" s="18">
        <f t="shared" si="8"/>
        <v>0.231884058</v>
      </c>
      <c r="P70" s="18">
        <f t="shared" si="9"/>
        <v>5.333333333</v>
      </c>
    </row>
    <row r="71">
      <c r="A71" s="2" t="s">
        <v>156</v>
      </c>
      <c r="B71" s="10">
        <v>3.0</v>
      </c>
      <c r="C71" s="12">
        <f t="shared" si="1"/>
        <v>69</v>
      </c>
      <c r="D71" s="11">
        <v>4.0</v>
      </c>
      <c r="E71" s="11">
        <v>11.0</v>
      </c>
      <c r="F71" s="12">
        <f t="shared" si="2"/>
        <v>15</v>
      </c>
      <c r="G71" s="16">
        <f t="shared" si="3"/>
        <v>0.2173913043</v>
      </c>
      <c r="H71" s="16">
        <f t="shared" si="4"/>
        <v>0.2666666667</v>
      </c>
      <c r="I71" s="12">
        <f t="shared" si="11"/>
        <v>0</v>
      </c>
      <c r="J71" s="11">
        <v>0.0</v>
      </c>
      <c r="K71" s="11">
        <v>0.0</v>
      </c>
      <c r="L71" s="16">
        <f t="shared" si="6"/>
        <v>0</v>
      </c>
      <c r="M71" s="11" t="s">
        <v>41</v>
      </c>
      <c r="N71" s="12">
        <f t="shared" si="7"/>
        <v>16</v>
      </c>
      <c r="O71" s="18">
        <f t="shared" si="8"/>
        <v>0.231884058</v>
      </c>
      <c r="P71" s="18">
        <f t="shared" si="9"/>
        <v>5.333333333</v>
      </c>
    </row>
    <row r="72">
      <c r="A72" s="2" t="s">
        <v>157</v>
      </c>
      <c r="B72" s="27">
        <f>1+12/23</f>
        <v>1.52173913</v>
      </c>
      <c r="C72" s="12">
        <f t="shared" si="1"/>
        <v>35</v>
      </c>
      <c r="D72" s="11">
        <v>2.0</v>
      </c>
      <c r="E72" s="11">
        <v>2.0</v>
      </c>
      <c r="F72" s="12">
        <f t="shared" si="2"/>
        <v>4</v>
      </c>
      <c r="G72" s="16">
        <f t="shared" si="3"/>
        <v>0.1142857143</v>
      </c>
      <c r="H72" s="16">
        <f t="shared" si="4"/>
        <v>0.5</v>
      </c>
      <c r="I72" s="12">
        <f t="shared" si="11"/>
        <v>0</v>
      </c>
      <c r="J72" s="11">
        <v>0.0</v>
      </c>
      <c r="K72" s="11">
        <v>0.0</v>
      </c>
      <c r="L72" s="16">
        <f t="shared" si="6"/>
        <v>0</v>
      </c>
      <c r="M72" s="11" t="s">
        <v>41</v>
      </c>
      <c r="N72" s="12">
        <f t="shared" si="7"/>
        <v>8</v>
      </c>
      <c r="O72" s="18">
        <f t="shared" si="8"/>
        <v>0.2285714286</v>
      </c>
      <c r="P72" s="18">
        <f t="shared" si="9"/>
        <v>5.257142857</v>
      </c>
    </row>
    <row r="73">
      <c r="A73" s="2" t="s">
        <v>115</v>
      </c>
      <c r="B73" s="33">
        <v>2.0</v>
      </c>
      <c r="C73" s="12">
        <f t="shared" si="1"/>
        <v>46</v>
      </c>
      <c r="D73" s="11">
        <v>2.0</v>
      </c>
      <c r="E73" s="20">
        <v>0.0</v>
      </c>
      <c r="F73" s="21">
        <f t="shared" si="2"/>
        <v>2</v>
      </c>
      <c r="G73" s="23">
        <f t="shared" si="3"/>
        <v>0.04347826087</v>
      </c>
      <c r="H73" s="23">
        <f t="shared" si="4"/>
        <v>1</v>
      </c>
      <c r="I73" s="12">
        <f t="shared" si="11"/>
        <v>0</v>
      </c>
      <c r="J73" s="11">
        <v>0.0</v>
      </c>
      <c r="K73" s="11">
        <v>0.0</v>
      </c>
      <c r="L73" s="16">
        <f t="shared" si="6"/>
        <v>0</v>
      </c>
      <c r="M73" s="11" t="s">
        <v>41</v>
      </c>
      <c r="N73" s="12">
        <f t="shared" si="7"/>
        <v>8</v>
      </c>
      <c r="O73" s="18">
        <f t="shared" si="8"/>
        <v>0.1739130435</v>
      </c>
      <c r="P73" s="18">
        <f t="shared" si="9"/>
        <v>4</v>
      </c>
    </row>
    <row r="74">
      <c r="A74" s="2" t="s">
        <v>160</v>
      </c>
      <c r="B74" s="10">
        <v>1.0</v>
      </c>
      <c r="C74" s="12">
        <f t="shared" si="1"/>
        <v>23</v>
      </c>
      <c r="D74" s="11">
        <v>1.0</v>
      </c>
      <c r="E74" s="11">
        <v>0.0</v>
      </c>
      <c r="F74" s="12">
        <f t="shared" si="2"/>
        <v>1</v>
      </c>
      <c r="G74" s="16">
        <f t="shared" si="3"/>
        <v>0.04347826087</v>
      </c>
      <c r="H74" s="16">
        <f t="shared" si="4"/>
        <v>1</v>
      </c>
      <c r="I74" s="12">
        <f t="shared" si="11"/>
        <v>0</v>
      </c>
      <c r="J74" s="11">
        <v>0.0</v>
      </c>
      <c r="K74" s="11">
        <v>0.0</v>
      </c>
      <c r="L74" s="16">
        <f t="shared" si="6"/>
        <v>0</v>
      </c>
      <c r="M74" s="11" t="s">
        <v>41</v>
      </c>
      <c r="N74" s="12">
        <f t="shared" si="7"/>
        <v>4</v>
      </c>
      <c r="O74" s="18">
        <f t="shared" si="8"/>
        <v>0.1739130435</v>
      </c>
      <c r="P74" s="18">
        <f t="shared" si="9"/>
        <v>4</v>
      </c>
    </row>
    <row r="75">
      <c r="A75" s="2" t="s">
        <v>123</v>
      </c>
      <c r="B75" s="10">
        <v>3.0</v>
      </c>
      <c r="C75" s="12">
        <f t="shared" si="1"/>
        <v>69</v>
      </c>
      <c r="D75" s="11">
        <v>3.0</v>
      </c>
      <c r="E75" s="20">
        <v>2.0</v>
      </c>
      <c r="F75" s="21">
        <f t="shared" si="2"/>
        <v>5</v>
      </c>
      <c r="G75" s="23">
        <f t="shared" si="3"/>
        <v>0.07246376812</v>
      </c>
      <c r="H75" s="23">
        <f t="shared" si="4"/>
        <v>0.6</v>
      </c>
      <c r="I75" s="12">
        <f t="shared" si="11"/>
        <v>1</v>
      </c>
      <c r="J75" s="11">
        <v>1.0</v>
      </c>
      <c r="K75" s="11">
        <v>0.0</v>
      </c>
      <c r="L75" s="16">
        <f t="shared" si="6"/>
        <v>0.01449275362</v>
      </c>
      <c r="M75" s="16">
        <f>J75/I75</f>
        <v>1</v>
      </c>
      <c r="N75" s="12">
        <f t="shared" si="7"/>
        <v>12</v>
      </c>
      <c r="O75" s="18">
        <f t="shared" si="8"/>
        <v>0.1739130435</v>
      </c>
      <c r="P75" s="18">
        <f t="shared" si="9"/>
        <v>4</v>
      </c>
      <c r="R75" s="4"/>
    </row>
    <row r="76">
      <c r="A76" s="2" t="s">
        <v>131</v>
      </c>
      <c r="B76" s="10">
        <v>3.0</v>
      </c>
      <c r="C76" s="12">
        <f t="shared" si="1"/>
        <v>69</v>
      </c>
      <c r="D76" s="11">
        <v>3.0</v>
      </c>
      <c r="E76" s="11">
        <v>2.0</v>
      </c>
      <c r="F76" s="12">
        <f t="shared" si="2"/>
        <v>5</v>
      </c>
      <c r="G76" s="16">
        <f t="shared" si="3"/>
        <v>0.07246376812</v>
      </c>
      <c r="H76" s="16">
        <f t="shared" si="4"/>
        <v>0.6</v>
      </c>
      <c r="I76" s="12">
        <f t="shared" si="11"/>
        <v>0</v>
      </c>
      <c r="J76" s="11">
        <v>0.0</v>
      </c>
      <c r="K76" s="11">
        <v>0.0</v>
      </c>
      <c r="L76" s="16">
        <f t="shared" si="6"/>
        <v>0</v>
      </c>
      <c r="M76" s="11" t="s">
        <v>41</v>
      </c>
      <c r="N76" s="12">
        <f t="shared" si="7"/>
        <v>12</v>
      </c>
      <c r="O76" s="18">
        <f t="shared" si="8"/>
        <v>0.1739130435</v>
      </c>
      <c r="P76" s="18">
        <f t="shared" si="9"/>
        <v>4</v>
      </c>
    </row>
    <row r="77">
      <c r="A77" s="2" t="s">
        <v>84</v>
      </c>
      <c r="B77" s="10">
        <v>3.0</v>
      </c>
      <c r="C77" s="12">
        <f t="shared" si="1"/>
        <v>69</v>
      </c>
      <c r="D77" s="11">
        <v>4.0</v>
      </c>
      <c r="E77" s="11">
        <v>4.0</v>
      </c>
      <c r="F77" s="12">
        <f t="shared" si="2"/>
        <v>8</v>
      </c>
      <c r="G77" s="16">
        <f t="shared" si="3"/>
        <v>0.115942029</v>
      </c>
      <c r="H77" s="16">
        <f t="shared" si="4"/>
        <v>0.5</v>
      </c>
      <c r="I77" s="12">
        <f t="shared" si="11"/>
        <v>2</v>
      </c>
      <c r="J77" s="11">
        <v>1.0</v>
      </c>
      <c r="K77" s="11">
        <v>1.0</v>
      </c>
      <c r="L77" s="16">
        <f t="shared" si="6"/>
        <v>0.02898550725</v>
      </c>
      <c r="M77" s="16">
        <f t="shared" ref="M77:M81" si="20">J77/I77</f>
        <v>0.5</v>
      </c>
      <c r="N77" s="12">
        <f t="shared" si="7"/>
        <v>12</v>
      </c>
      <c r="O77" s="18">
        <f t="shared" si="8"/>
        <v>0.1739130435</v>
      </c>
      <c r="P77" s="18">
        <f t="shared" si="9"/>
        <v>4</v>
      </c>
    </row>
    <row r="78">
      <c r="A78" s="2" t="s">
        <v>167</v>
      </c>
      <c r="B78" s="10">
        <v>3.0</v>
      </c>
      <c r="C78" s="12">
        <f t="shared" si="1"/>
        <v>69</v>
      </c>
      <c r="D78" s="11">
        <v>4.0</v>
      </c>
      <c r="E78" s="20">
        <v>6.0</v>
      </c>
      <c r="F78" s="21">
        <f t="shared" si="2"/>
        <v>10</v>
      </c>
      <c r="G78" s="23">
        <f t="shared" si="3"/>
        <v>0.1449275362</v>
      </c>
      <c r="H78" s="23">
        <f t="shared" si="4"/>
        <v>0.4</v>
      </c>
      <c r="I78" s="12">
        <f t="shared" si="11"/>
        <v>1</v>
      </c>
      <c r="J78" s="11">
        <v>0.0</v>
      </c>
      <c r="K78" s="11">
        <v>1.0</v>
      </c>
      <c r="L78" s="16">
        <f t="shared" si="6"/>
        <v>0.01449275362</v>
      </c>
      <c r="M78" s="16">
        <f t="shared" si="20"/>
        <v>0</v>
      </c>
      <c r="N78" s="12">
        <f t="shared" si="7"/>
        <v>12</v>
      </c>
      <c r="O78" s="18">
        <f t="shared" si="8"/>
        <v>0.1739130435</v>
      </c>
      <c r="P78" s="18">
        <f t="shared" si="9"/>
        <v>4</v>
      </c>
    </row>
    <row r="79">
      <c r="A79" s="2" t="s">
        <v>169</v>
      </c>
      <c r="B79" s="10">
        <v>3.0</v>
      </c>
      <c r="C79" s="12">
        <f t="shared" si="1"/>
        <v>69</v>
      </c>
      <c r="D79" s="11">
        <v>4.0</v>
      </c>
      <c r="E79" s="11">
        <v>7.0</v>
      </c>
      <c r="F79" s="12">
        <f t="shared" si="2"/>
        <v>11</v>
      </c>
      <c r="G79" s="16">
        <f t="shared" si="3"/>
        <v>0.1594202899</v>
      </c>
      <c r="H79" s="16">
        <f t="shared" si="4"/>
        <v>0.3636363636</v>
      </c>
      <c r="I79" s="12">
        <f t="shared" si="11"/>
        <v>1</v>
      </c>
      <c r="J79" s="11">
        <v>0.0</v>
      </c>
      <c r="K79" s="11">
        <v>1.0</v>
      </c>
      <c r="L79" s="16">
        <f t="shared" si="6"/>
        <v>0.01449275362</v>
      </c>
      <c r="M79" s="16">
        <f t="shared" si="20"/>
        <v>0</v>
      </c>
      <c r="N79" s="12">
        <f t="shared" si="7"/>
        <v>12</v>
      </c>
      <c r="O79" s="18">
        <f t="shared" si="8"/>
        <v>0.1739130435</v>
      </c>
      <c r="P79" s="18">
        <f t="shared" si="9"/>
        <v>4</v>
      </c>
    </row>
    <row r="80">
      <c r="A80" s="2" t="s">
        <v>129</v>
      </c>
      <c r="B80" s="10">
        <v>3.0</v>
      </c>
      <c r="C80" s="12">
        <f t="shared" si="1"/>
        <v>69</v>
      </c>
      <c r="D80" s="11">
        <v>5.0</v>
      </c>
      <c r="E80" s="11">
        <v>9.0</v>
      </c>
      <c r="F80" s="12">
        <f t="shared" si="2"/>
        <v>14</v>
      </c>
      <c r="G80" s="16">
        <f t="shared" si="3"/>
        <v>0.2028985507</v>
      </c>
      <c r="H80" s="16">
        <f t="shared" si="4"/>
        <v>0.3571428571</v>
      </c>
      <c r="I80" s="12">
        <f t="shared" si="11"/>
        <v>2</v>
      </c>
      <c r="J80" s="11">
        <v>0.0</v>
      </c>
      <c r="K80" s="11">
        <v>2.0</v>
      </c>
      <c r="L80" s="16">
        <f t="shared" si="6"/>
        <v>0.02898550725</v>
      </c>
      <c r="M80" s="16">
        <f t="shared" si="20"/>
        <v>0</v>
      </c>
      <c r="N80" s="12">
        <f t="shared" si="7"/>
        <v>12</v>
      </c>
      <c r="O80" s="18">
        <f t="shared" si="8"/>
        <v>0.1739130435</v>
      </c>
      <c r="P80" s="18">
        <f t="shared" si="9"/>
        <v>4</v>
      </c>
    </row>
    <row r="81">
      <c r="A81" s="2" t="s">
        <v>172</v>
      </c>
      <c r="B81" s="10">
        <v>3.0</v>
      </c>
      <c r="C81" s="12">
        <f t="shared" si="1"/>
        <v>69</v>
      </c>
      <c r="D81" s="11">
        <v>4.0</v>
      </c>
      <c r="E81" s="11">
        <v>8.0</v>
      </c>
      <c r="F81" s="12">
        <f t="shared" si="2"/>
        <v>12</v>
      </c>
      <c r="G81" s="16">
        <f t="shared" si="3"/>
        <v>0.1739130435</v>
      </c>
      <c r="H81" s="16">
        <f t="shared" si="4"/>
        <v>0.3333333333</v>
      </c>
      <c r="I81" s="12">
        <f t="shared" si="11"/>
        <v>2</v>
      </c>
      <c r="J81" s="11">
        <v>1.0</v>
      </c>
      <c r="K81" s="11">
        <v>1.0</v>
      </c>
      <c r="L81" s="16">
        <f t="shared" si="6"/>
        <v>0.02898550725</v>
      </c>
      <c r="M81" s="16">
        <f t="shared" si="20"/>
        <v>0.5</v>
      </c>
      <c r="N81" s="12">
        <f t="shared" si="7"/>
        <v>12</v>
      </c>
      <c r="O81" s="18">
        <f t="shared" si="8"/>
        <v>0.1739130435</v>
      </c>
      <c r="P81" s="18">
        <f t="shared" si="9"/>
        <v>4</v>
      </c>
    </row>
    <row r="82">
      <c r="A82" s="2" t="s">
        <v>76</v>
      </c>
      <c r="B82" s="10">
        <v>1.0</v>
      </c>
      <c r="C82" s="12">
        <f t="shared" si="1"/>
        <v>23</v>
      </c>
      <c r="D82" s="11">
        <v>1.0</v>
      </c>
      <c r="E82" s="11">
        <v>2.0</v>
      </c>
      <c r="F82" s="12">
        <f t="shared" si="2"/>
        <v>3</v>
      </c>
      <c r="G82" s="16">
        <f t="shared" si="3"/>
        <v>0.1304347826</v>
      </c>
      <c r="H82" s="16">
        <f t="shared" si="4"/>
        <v>0.3333333333</v>
      </c>
      <c r="I82" s="12">
        <f t="shared" si="11"/>
        <v>0</v>
      </c>
      <c r="J82" s="11">
        <v>0.0</v>
      </c>
      <c r="K82" s="11">
        <v>0.0</v>
      </c>
      <c r="L82" s="16">
        <f t="shared" si="6"/>
        <v>0</v>
      </c>
      <c r="M82" s="11" t="s">
        <v>41</v>
      </c>
      <c r="N82" s="12">
        <f t="shared" si="7"/>
        <v>4</v>
      </c>
      <c r="O82" s="18">
        <f t="shared" si="8"/>
        <v>0.1739130435</v>
      </c>
      <c r="P82" s="18">
        <f t="shared" si="9"/>
        <v>4</v>
      </c>
    </row>
    <row r="83">
      <c r="A83" s="2" t="s">
        <v>154</v>
      </c>
      <c r="B83" s="10">
        <v>3.0</v>
      </c>
      <c r="C83" s="12">
        <f t="shared" si="1"/>
        <v>69</v>
      </c>
      <c r="D83" s="11">
        <v>3.0</v>
      </c>
      <c r="E83" s="11">
        <v>10.0</v>
      </c>
      <c r="F83" s="12">
        <f t="shared" si="2"/>
        <v>13</v>
      </c>
      <c r="G83" s="16">
        <f t="shared" si="3"/>
        <v>0.1884057971</v>
      </c>
      <c r="H83" s="16">
        <f t="shared" si="4"/>
        <v>0.2307692308</v>
      </c>
      <c r="I83" s="12">
        <f t="shared" si="11"/>
        <v>1</v>
      </c>
      <c r="J83" s="11">
        <v>1.0</v>
      </c>
      <c r="K83" s="11">
        <v>0.0</v>
      </c>
      <c r="L83" s="16">
        <f t="shared" si="6"/>
        <v>0.01449275362</v>
      </c>
      <c r="M83" s="16">
        <f>J83/I83</f>
        <v>1</v>
      </c>
      <c r="N83" s="12">
        <f t="shared" si="7"/>
        <v>12</v>
      </c>
      <c r="O83" s="18">
        <f t="shared" si="8"/>
        <v>0.1739130435</v>
      </c>
      <c r="P83" s="18">
        <f t="shared" si="9"/>
        <v>4</v>
      </c>
    </row>
    <row r="84">
      <c r="A84" s="2" t="s">
        <v>178</v>
      </c>
      <c r="B84" s="10">
        <v>3.0</v>
      </c>
      <c r="C84" s="12">
        <f t="shared" si="1"/>
        <v>69</v>
      </c>
      <c r="D84" s="11">
        <v>3.0</v>
      </c>
      <c r="E84" s="11">
        <v>10.0</v>
      </c>
      <c r="F84" s="12">
        <f t="shared" si="2"/>
        <v>13</v>
      </c>
      <c r="G84" s="16">
        <f t="shared" si="3"/>
        <v>0.1884057971</v>
      </c>
      <c r="H84" s="16">
        <f t="shared" si="4"/>
        <v>0.2307692308</v>
      </c>
      <c r="I84" s="12">
        <f t="shared" si="11"/>
        <v>0</v>
      </c>
      <c r="J84" s="11">
        <v>0.0</v>
      </c>
      <c r="K84" s="11">
        <v>0.0</v>
      </c>
      <c r="L84" s="16">
        <f t="shared" si="6"/>
        <v>0</v>
      </c>
      <c r="M84" s="11" t="s">
        <v>41</v>
      </c>
      <c r="N84" s="12">
        <f t="shared" si="7"/>
        <v>12</v>
      </c>
      <c r="O84" s="18">
        <f t="shared" si="8"/>
        <v>0.1739130435</v>
      </c>
      <c r="P84" s="18">
        <f t="shared" si="9"/>
        <v>4</v>
      </c>
    </row>
    <row r="85">
      <c r="A85" s="2" t="s">
        <v>179</v>
      </c>
      <c r="B85" s="10">
        <v>3.0</v>
      </c>
      <c r="C85" s="12">
        <f t="shared" si="1"/>
        <v>69</v>
      </c>
      <c r="D85" s="11">
        <v>3.0</v>
      </c>
      <c r="E85" s="11">
        <v>22.0</v>
      </c>
      <c r="F85" s="12">
        <f t="shared" si="2"/>
        <v>25</v>
      </c>
      <c r="G85" s="16">
        <f t="shared" si="3"/>
        <v>0.3623188406</v>
      </c>
      <c r="H85" s="16">
        <f t="shared" si="4"/>
        <v>0.12</v>
      </c>
      <c r="I85" s="12">
        <f t="shared" si="11"/>
        <v>0</v>
      </c>
      <c r="J85" s="11">
        <v>0.0</v>
      </c>
      <c r="K85" s="11">
        <v>0.0</v>
      </c>
      <c r="L85" s="16">
        <f t="shared" si="6"/>
        <v>0</v>
      </c>
      <c r="M85" s="11" t="s">
        <v>41</v>
      </c>
      <c r="N85" s="12">
        <f t="shared" si="7"/>
        <v>12</v>
      </c>
      <c r="O85" s="18">
        <f t="shared" si="8"/>
        <v>0.1739130435</v>
      </c>
      <c r="P85" s="18">
        <f t="shared" si="9"/>
        <v>4</v>
      </c>
    </row>
    <row r="86">
      <c r="A86" s="2" t="s">
        <v>181</v>
      </c>
      <c r="B86" s="28">
        <f>11/23+1+1</f>
        <v>2.47826087</v>
      </c>
      <c r="C86" s="12">
        <f t="shared" si="1"/>
        <v>57</v>
      </c>
      <c r="D86" s="11">
        <v>2.0</v>
      </c>
      <c r="E86" s="20">
        <v>0.0</v>
      </c>
      <c r="F86" s="21">
        <f t="shared" si="2"/>
        <v>2</v>
      </c>
      <c r="G86" s="23">
        <f t="shared" si="3"/>
        <v>0.0350877193</v>
      </c>
      <c r="H86" s="23">
        <f t="shared" si="4"/>
        <v>1</v>
      </c>
      <c r="I86" s="12">
        <f t="shared" si="11"/>
        <v>0</v>
      </c>
      <c r="J86" s="11">
        <v>0.0</v>
      </c>
      <c r="K86" s="11">
        <v>0.0</v>
      </c>
      <c r="L86" s="16">
        <f t="shared" si="6"/>
        <v>0</v>
      </c>
      <c r="M86" s="11" t="s">
        <v>41</v>
      </c>
      <c r="N86" s="12">
        <f t="shared" si="7"/>
        <v>8</v>
      </c>
      <c r="O86" s="18">
        <f t="shared" si="8"/>
        <v>0.1403508772</v>
      </c>
      <c r="P86" s="18">
        <f t="shared" si="9"/>
        <v>3.228070175</v>
      </c>
    </row>
    <row r="87">
      <c r="A87" s="2" t="s">
        <v>158</v>
      </c>
      <c r="B87" s="27">
        <f>2+12/23</f>
        <v>2.52173913</v>
      </c>
      <c r="C87" s="12">
        <f t="shared" si="1"/>
        <v>58</v>
      </c>
      <c r="D87" s="11">
        <v>2.0</v>
      </c>
      <c r="E87" s="11">
        <v>3.0</v>
      </c>
      <c r="F87" s="12">
        <f t="shared" si="2"/>
        <v>5</v>
      </c>
      <c r="G87" s="16">
        <f t="shared" si="3"/>
        <v>0.08620689655</v>
      </c>
      <c r="H87" s="16">
        <f t="shared" si="4"/>
        <v>0.4</v>
      </c>
      <c r="I87" s="12">
        <f t="shared" si="11"/>
        <v>0</v>
      </c>
      <c r="J87" s="11">
        <v>0.0</v>
      </c>
      <c r="K87" s="11">
        <v>0.0</v>
      </c>
      <c r="L87" s="16">
        <f t="shared" si="6"/>
        <v>0</v>
      </c>
      <c r="M87" s="11" t="s">
        <v>41</v>
      </c>
      <c r="N87" s="12">
        <f t="shared" si="7"/>
        <v>8</v>
      </c>
      <c r="O87" s="18">
        <f t="shared" si="8"/>
        <v>0.1379310345</v>
      </c>
      <c r="P87" s="18">
        <f t="shared" si="9"/>
        <v>3.172413793</v>
      </c>
    </row>
    <row r="88">
      <c r="A88" s="2" t="s">
        <v>165</v>
      </c>
      <c r="B88" s="27">
        <f>12/23+1+1</f>
        <v>2.52173913</v>
      </c>
      <c r="C88" s="12">
        <f t="shared" si="1"/>
        <v>58</v>
      </c>
      <c r="D88" s="11">
        <v>2.0</v>
      </c>
      <c r="E88" s="11">
        <v>3.0</v>
      </c>
      <c r="F88" s="12">
        <f t="shared" si="2"/>
        <v>5</v>
      </c>
      <c r="G88" s="16">
        <f t="shared" si="3"/>
        <v>0.08620689655</v>
      </c>
      <c r="H88" s="16">
        <f t="shared" si="4"/>
        <v>0.4</v>
      </c>
      <c r="I88" s="12">
        <f t="shared" si="11"/>
        <v>0</v>
      </c>
      <c r="J88" s="11">
        <v>0.0</v>
      </c>
      <c r="K88" s="11">
        <v>0.0</v>
      </c>
      <c r="L88" s="16">
        <f t="shared" si="6"/>
        <v>0</v>
      </c>
      <c r="M88" s="11" t="s">
        <v>41</v>
      </c>
      <c r="N88" s="12">
        <f t="shared" si="7"/>
        <v>8</v>
      </c>
      <c r="O88" s="18">
        <f t="shared" si="8"/>
        <v>0.1379310345</v>
      </c>
      <c r="P88" s="18">
        <f t="shared" si="9"/>
        <v>3.172413793</v>
      </c>
    </row>
    <row r="89">
      <c r="A89" s="2" t="s">
        <v>162</v>
      </c>
      <c r="B89" s="27">
        <f>2+12/23</f>
        <v>2.52173913</v>
      </c>
      <c r="C89" s="12">
        <f t="shared" si="1"/>
        <v>58</v>
      </c>
      <c r="D89" s="11">
        <v>2.0</v>
      </c>
      <c r="E89" s="11">
        <v>6.0</v>
      </c>
      <c r="F89" s="12">
        <f t="shared" si="2"/>
        <v>8</v>
      </c>
      <c r="G89" s="16">
        <f t="shared" si="3"/>
        <v>0.1379310345</v>
      </c>
      <c r="H89" s="16">
        <f t="shared" si="4"/>
        <v>0.25</v>
      </c>
      <c r="I89" s="12">
        <f t="shared" si="11"/>
        <v>0</v>
      </c>
      <c r="J89" s="11">
        <v>0.0</v>
      </c>
      <c r="K89" s="11">
        <v>0.0</v>
      </c>
      <c r="L89" s="16">
        <f t="shared" si="6"/>
        <v>0</v>
      </c>
      <c r="M89" s="11" t="s">
        <v>41</v>
      </c>
      <c r="N89" s="12">
        <f t="shared" si="7"/>
        <v>8</v>
      </c>
      <c r="O89" s="18">
        <f t="shared" si="8"/>
        <v>0.1379310345</v>
      </c>
      <c r="P89" s="18">
        <f t="shared" si="9"/>
        <v>3.172413793</v>
      </c>
    </row>
    <row r="90">
      <c r="A90" s="2" t="s">
        <v>91</v>
      </c>
      <c r="B90" s="27">
        <f>11/23*3</f>
        <v>1.434782609</v>
      </c>
      <c r="C90" s="12">
        <f t="shared" si="1"/>
        <v>33</v>
      </c>
      <c r="D90" s="11">
        <v>1.0</v>
      </c>
      <c r="E90" s="20">
        <v>1.0</v>
      </c>
      <c r="F90" s="21">
        <f t="shared" si="2"/>
        <v>2</v>
      </c>
      <c r="G90" s="23">
        <f t="shared" si="3"/>
        <v>0.06060606061</v>
      </c>
      <c r="H90" s="23">
        <f t="shared" si="4"/>
        <v>0.5</v>
      </c>
      <c r="I90" s="12">
        <f t="shared" si="11"/>
        <v>1</v>
      </c>
      <c r="J90" s="11">
        <v>1.0</v>
      </c>
      <c r="K90" s="11">
        <v>0.0</v>
      </c>
      <c r="L90" s="16">
        <f t="shared" si="6"/>
        <v>0.0303030303</v>
      </c>
      <c r="M90" s="16">
        <f>J90/I90</f>
        <v>1</v>
      </c>
      <c r="N90" s="12">
        <f t="shared" si="7"/>
        <v>4</v>
      </c>
      <c r="O90" s="18">
        <f t="shared" si="8"/>
        <v>0.1212121212</v>
      </c>
      <c r="P90" s="18">
        <f t="shared" si="9"/>
        <v>2.787878788</v>
      </c>
      <c r="R90" s="4"/>
    </row>
    <row r="91">
      <c r="A91" s="2" t="s">
        <v>134</v>
      </c>
      <c r="B91" s="10">
        <v>3.0</v>
      </c>
      <c r="C91" s="12">
        <f t="shared" si="1"/>
        <v>69</v>
      </c>
      <c r="D91" s="11">
        <v>2.0</v>
      </c>
      <c r="E91" s="11">
        <v>1.0</v>
      </c>
      <c r="F91" s="12">
        <f t="shared" si="2"/>
        <v>3</v>
      </c>
      <c r="G91" s="16">
        <f t="shared" si="3"/>
        <v>0.04347826087</v>
      </c>
      <c r="H91" s="16">
        <f t="shared" si="4"/>
        <v>0.6666666667</v>
      </c>
      <c r="I91" s="12">
        <f t="shared" si="11"/>
        <v>0</v>
      </c>
      <c r="J91" s="11">
        <v>0.0</v>
      </c>
      <c r="K91" s="11">
        <v>0.0</v>
      </c>
      <c r="L91" s="16">
        <f t="shared" si="6"/>
        <v>0</v>
      </c>
      <c r="M91" s="11" t="s">
        <v>41</v>
      </c>
      <c r="N91" s="12">
        <f t="shared" si="7"/>
        <v>8</v>
      </c>
      <c r="O91" s="18">
        <f t="shared" si="8"/>
        <v>0.115942029</v>
      </c>
      <c r="P91" s="18">
        <f t="shared" si="9"/>
        <v>2.666666667</v>
      </c>
    </row>
    <row r="92">
      <c r="A92" s="2" t="s">
        <v>103</v>
      </c>
      <c r="B92" s="10">
        <v>3.0</v>
      </c>
      <c r="C92" s="12">
        <f t="shared" si="1"/>
        <v>69</v>
      </c>
      <c r="D92" s="11">
        <v>3.0</v>
      </c>
      <c r="E92" s="11">
        <v>2.0</v>
      </c>
      <c r="F92" s="12">
        <f t="shared" si="2"/>
        <v>5</v>
      </c>
      <c r="G92" s="16">
        <f t="shared" si="3"/>
        <v>0.07246376812</v>
      </c>
      <c r="H92" s="16">
        <f t="shared" si="4"/>
        <v>0.6</v>
      </c>
      <c r="I92" s="12">
        <f t="shared" si="11"/>
        <v>2</v>
      </c>
      <c r="J92" s="11">
        <v>1.0</v>
      </c>
      <c r="K92" s="11">
        <v>1.0</v>
      </c>
      <c r="L92" s="16">
        <f t="shared" si="6"/>
        <v>0.02898550725</v>
      </c>
      <c r="M92" s="16">
        <f>J92/I92</f>
        <v>0.5</v>
      </c>
      <c r="N92" s="12">
        <f t="shared" si="7"/>
        <v>8</v>
      </c>
      <c r="O92" s="18">
        <f t="shared" si="8"/>
        <v>0.115942029</v>
      </c>
      <c r="P92" s="18">
        <f t="shared" si="9"/>
        <v>2.666666667</v>
      </c>
    </row>
    <row r="93">
      <c r="A93" s="2" t="s">
        <v>126</v>
      </c>
      <c r="B93" s="10">
        <v>3.0</v>
      </c>
      <c r="C93" s="12">
        <f t="shared" si="1"/>
        <v>69</v>
      </c>
      <c r="D93" s="11">
        <v>2.0</v>
      </c>
      <c r="E93" s="11">
        <v>2.0</v>
      </c>
      <c r="F93" s="12">
        <f t="shared" si="2"/>
        <v>4</v>
      </c>
      <c r="G93" s="16">
        <f t="shared" si="3"/>
        <v>0.05797101449</v>
      </c>
      <c r="H93" s="16">
        <f t="shared" si="4"/>
        <v>0.5</v>
      </c>
      <c r="I93" s="12">
        <f t="shared" si="11"/>
        <v>0</v>
      </c>
      <c r="J93" s="11">
        <v>0.0</v>
      </c>
      <c r="K93" s="11">
        <v>0.0</v>
      </c>
      <c r="L93" s="16">
        <f t="shared" si="6"/>
        <v>0</v>
      </c>
      <c r="M93" s="11" t="s">
        <v>41</v>
      </c>
      <c r="N93" s="12">
        <f t="shared" si="7"/>
        <v>8</v>
      </c>
      <c r="O93" s="18">
        <f t="shared" si="8"/>
        <v>0.115942029</v>
      </c>
      <c r="P93" s="18">
        <f t="shared" si="9"/>
        <v>2.666666667</v>
      </c>
    </row>
    <row r="94">
      <c r="A94" s="2" t="s">
        <v>149</v>
      </c>
      <c r="B94" s="10">
        <v>3.0</v>
      </c>
      <c r="C94" s="12">
        <f t="shared" si="1"/>
        <v>69</v>
      </c>
      <c r="D94" s="11">
        <v>2.0</v>
      </c>
      <c r="E94" s="11">
        <v>3.0</v>
      </c>
      <c r="F94" s="12">
        <f t="shared" si="2"/>
        <v>5</v>
      </c>
      <c r="G94" s="16">
        <f t="shared" si="3"/>
        <v>0.07246376812</v>
      </c>
      <c r="H94" s="16">
        <f t="shared" si="4"/>
        <v>0.4</v>
      </c>
      <c r="I94" s="12">
        <f t="shared" si="11"/>
        <v>0</v>
      </c>
      <c r="J94" s="11">
        <v>0.0</v>
      </c>
      <c r="K94" s="11">
        <v>0.0</v>
      </c>
      <c r="L94" s="16">
        <f t="shared" si="6"/>
        <v>0</v>
      </c>
      <c r="M94" s="11" t="s">
        <v>41</v>
      </c>
      <c r="N94" s="12">
        <f t="shared" si="7"/>
        <v>8</v>
      </c>
      <c r="O94" s="18">
        <f t="shared" si="8"/>
        <v>0.115942029</v>
      </c>
      <c r="P94" s="18">
        <f t="shared" si="9"/>
        <v>2.666666667</v>
      </c>
    </row>
    <row r="95">
      <c r="A95" s="2" t="s">
        <v>139</v>
      </c>
      <c r="B95" s="10">
        <v>3.0</v>
      </c>
      <c r="C95" s="12">
        <f t="shared" si="1"/>
        <v>69</v>
      </c>
      <c r="D95" s="11">
        <v>3.0</v>
      </c>
      <c r="E95" s="11">
        <v>6.0</v>
      </c>
      <c r="F95" s="12">
        <f t="shared" si="2"/>
        <v>9</v>
      </c>
      <c r="G95" s="16">
        <f t="shared" si="3"/>
        <v>0.1304347826</v>
      </c>
      <c r="H95" s="16">
        <f t="shared" si="4"/>
        <v>0.3333333333</v>
      </c>
      <c r="I95" s="12">
        <f t="shared" si="11"/>
        <v>2</v>
      </c>
      <c r="J95" s="11">
        <v>1.0</v>
      </c>
      <c r="K95" s="11">
        <v>1.0</v>
      </c>
      <c r="L95" s="16">
        <f t="shared" si="6"/>
        <v>0.02898550725</v>
      </c>
      <c r="M95" s="16">
        <f t="shared" ref="M95:M99" si="21">J95/I95</f>
        <v>0.5</v>
      </c>
      <c r="N95" s="12">
        <f t="shared" si="7"/>
        <v>8</v>
      </c>
      <c r="O95" s="18">
        <f t="shared" si="8"/>
        <v>0.115942029</v>
      </c>
      <c r="P95" s="18">
        <f t="shared" si="9"/>
        <v>2.666666667</v>
      </c>
    </row>
    <row r="96">
      <c r="A96" s="2" t="s">
        <v>173</v>
      </c>
      <c r="B96" s="10">
        <v>3.0</v>
      </c>
      <c r="C96" s="12">
        <f t="shared" si="1"/>
        <v>69</v>
      </c>
      <c r="D96" s="11">
        <v>2.0</v>
      </c>
      <c r="E96" s="20">
        <v>4.0</v>
      </c>
      <c r="F96" s="21">
        <f t="shared" si="2"/>
        <v>6</v>
      </c>
      <c r="G96" s="23">
        <f t="shared" si="3"/>
        <v>0.08695652174</v>
      </c>
      <c r="H96" s="23">
        <f t="shared" si="4"/>
        <v>0.3333333333</v>
      </c>
      <c r="I96" s="12">
        <f t="shared" si="11"/>
        <v>1</v>
      </c>
      <c r="J96" s="11">
        <v>1.0</v>
      </c>
      <c r="K96" s="11">
        <v>0.0</v>
      </c>
      <c r="L96" s="16">
        <f t="shared" si="6"/>
        <v>0.01449275362</v>
      </c>
      <c r="M96" s="16">
        <f t="shared" si="21"/>
        <v>1</v>
      </c>
      <c r="N96" s="12">
        <f t="shared" si="7"/>
        <v>8</v>
      </c>
      <c r="O96" s="18">
        <f t="shared" si="8"/>
        <v>0.115942029</v>
      </c>
      <c r="P96" s="18">
        <f t="shared" si="9"/>
        <v>2.666666667</v>
      </c>
    </row>
    <row r="97">
      <c r="A97" s="2" t="s">
        <v>189</v>
      </c>
      <c r="B97" s="10">
        <v>3.0</v>
      </c>
      <c r="C97" s="12">
        <f t="shared" si="1"/>
        <v>69</v>
      </c>
      <c r="D97" s="11">
        <v>4.0</v>
      </c>
      <c r="E97" s="11">
        <v>9.0</v>
      </c>
      <c r="F97" s="12">
        <f t="shared" si="2"/>
        <v>13</v>
      </c>
      <c r="G97" s="16">
        <f t="shared" si="3"/>
        <v>0.1884057971</v>
      </c>
      <c r="H97" s="16">
        <f t="shared" si="4"/>
        <v>0.3076923077</v>
      </c>
      <c r="I97" s="12">
        <f t="shared" si="11"/>
        <v>3</v>
      </c>
      <c r="J97" s="11">
        <v>1.0</v>
      </c>
      <c r="K97" s="11">
        <v>2.0</v>
      </c>
      <c r="L97" s="16">
        <f t="shared" si="6"/>
        <v>0.04347826087</v>
      </c>
      <c r="M97" s="16">
        <f t="shared" si="21"/>
        <v>0.3333333333</v>
      </c>
      <c r="N97" s="12">
        <f t="shared" si="7"/>
        <v>8</v>
      </c>
      <c r="O97" s="18">
        <f t="shared" si="8"/>
        <v>0.115942029</v>
      </c>
      <c r="P97" s="18">
        <f t="shared" si="9"/>
        <v>2.666666667</v>
      </c>
    </row>
    <row r="98">
      <c r="A98" s="2" t="s">
        <v>188</v>
      </c>
      <c r="B98" s="10">
        <v>3.0</v>
      </c>
      <c r="C98" s="12">
        <f t="shared" si="1"/>
        <v>69</v>
      </c>
      <c r="D98" s="11">
        <v>6.0</v>
      </c>
      <c r="E98" s="11">
        <v>15.0</v>
      </c>
      <c r="F98" s="12">
        <f t="shared" si="2"/>
        <v>21</v>
      </c>
      <c r="G98" s="16">
        <f t="shared" si="3"/>
        <v>0.3043478261</v>
      </c>
      <c r="H98" s="16">
        <f t="shared" si="4"/>
        <v>0.2857142857</v>
      </c>
      <c r="I98" s="12">
        <f t="shared" si="11"/>
        <v>4</v>
      </c>
      <c r="J98" s="11">
        <v>0.0</v>
      </c>
      <c r="K98" s="11">
        <v>4.0</v>
      </c>
      <c r="L98" s="16">
        <f t="shared" si="6"/>
        <v>0.05797101449</v>
      </c>
      <c r="M98" s="16">
        <f t="shared" si="21"/>
        <v>0</v>
      </c>
      <c r="N98" s="12">
        <f t="shared" si="7"/>
        <v>8</v>
      </c>
      <c r="O98" s="18">
        <f t="shared" si="8"/>
        <v>0.115942029</v>
      </c>
      <c r="P98" s="18">
        <f t="shared" si="9"/>
        <v>2.666666667</v>
      </c>
    </row>
    <row r="99">
      <c r="A99" s="2" t="s">
        <v>191</v>
      </c>
      <c r="B99" s="10">
        <v>3.0</v>
      </c>
      <c r="C99" s="12">
        <f t="shared" si="1"/>
        <v>69</v>
      </c>
      <c r="D99" s="11">
        <v>2.0</v>
      </c>
      <c r="E99" s="11">
        <v>5.0</v>
      </c>
      <c r="F99" s="12">
        <f t="shared" si="2"/>
        <v>7</v>
      </c>
      <c r="G99" s="16">
        <f t="shared" si="3"/>
        <v>0.1014492754</v>
      </c>
      <c r="H99" s="16">
        <f t="shared" si="4"/>
        <v>0.2857142857</v>
      </c>
      <c r="I99" s="12">
        <f t="shared" si="11"/>
        <v>1</v>
      </c>
      <c r="J99" s="11">
        <v>1.0</v>
      </c>
      <c r="K99" s="11">
        <v>0.0</v>
      </c>
      <c r="L99" s="16">
        <f t="shared" si="6"/>
        <v>0.01449275362</v>
      </c>
      <c r="M99" s="16">
        <f t="shared" si="21"/>
        <v>1</v>
      </c>
      <c r="N99" s="12">
        <f t="shared" si="7"/>
        <v>8</v>
      </c>
      <c r="O99" s="18">
        <f t="shared" si="8"/>
        <v>0.115942029</v>
      </c>
      <c r="P99" s="18">
        <f t="shared" si="9"/>
        <v>2.666666667</v>
      </c>
    </row>
    <row r="100">
      <c r="A100" s="2" t="s">
        <v>192</v>
      </c>
      <c r="B100" s="10">
        <v>3.0</v>
      </c>
      <c r="C100" s="12">
        <f t="shared" si="1"/>
        <v>69</v>
      </c>
      <c r="D100" s="11">
        <v>2.0</v>
      </c>
      <c r="E100" s="11">
        <v>11.0</v>
      </c>
      <c r="F100" s="12">
        <f t="shared" si="2"/>
        <v>13</v>
      </c>
      <c r="G100" s="16">
        <f t="shared" si="3"/>
        <v>0.1884057971</v>
      </c>
      <c r="H100" s="16">
        <f t="shared" si="4"/>
        <v>0.1538461538</v>
      </c>
      <c r="I100" s="12">
        <f t="shared" si="11"/>
        <v>0</v>
      </c>
      <c r="J100" s="11">
        <v>0.0</v>
      </c>
      <c r="K100" s="11">
        <v>0.0</v>
      </c>
      <c r="L100" s="16">
        <f t="shared" si="6"/>
        <v>0</v>
      </c>
      <c r="M100" s="11" t="s">
        <v>41</v>
      </c>
      <c r="N100" s="12">
        <f t="shared" si="7"/>
        <v>8</v>
      </c>
      <c r="O100" s="18">
        <f t="shared" si="8"/>
        <v>0.115942029</v>
      </c>
      <c r="P100" s="18">
        <f t="shared" si="9"/>
        <v>2.666666667</v>
      </c>
    </row>
    <row r="101">
      <c r="A101" s="2" t="s">
        <v>184</v>
      </c>
      <c r="B101" s="28">
        <f>12/23+1</f>
        <v>1.52173913</v>
      </c>
      <c r="C101" s="12">
        <f t="shared" si="1"/>
        <v>35</v>
      </c>
      <c r="D101" s="11">
        <v>1.0</v>
      </c>
      <c r="E101" s="11">
        <v>0.0</v>
      </c>
      <c r="F101" s="12">
        <f t="shared" si="2"/>
        <v>1</v>
      </c>
      <c r="G101" s="16">
        <f t="shared" si="3"/>
        <v>0.02857142857</v>
      </c>
      <c r="H101" s="16">
        <f t="shared" si="4"/>
        <v>1</v>
      </c>
      <c r="I101" s="12">
        <f t="shared" si="11"/>
        <v>0</v>
      </c>
      <c r="J101" s="11">
        <v>0.0</v>
      </c>
      <c r="K101" s="11">
        <v>0.0</v>
      </c>
      <c r="L101" s="16">
        <f t="shared" si="6"/>
        <v>0</v>
      </c>
      <c r="M101" s="11" t="s">
        <v>41</v>
      </c>
      <c r="N101" s="12">
        <f t="shared" si="7"/>
        <v>4</v>
      </c>
      <c r="O101" s="18">
        <f t="shared" si="8"/>
        <v>0.1142857143</v>
      </c>
      <c r="P101" s="18">
        <f t="shared" si="9"/>
        <v>2.628571429</v>
      </c>
    </row>
    <row r="102">
      <c r="A102" s="2" t="s">
        <v>175</v>
      </c>
      <c r="B102" s="27">
        <f>1+12/23</f>
        <v>1.52173913</v>
      </c>
      <c r="C102" s="12">
        <f t="shared" si="1"/>
        <v>35</v>
      </c>
      <c r="D102" s="11">
        <v>1.0</v>
      </c>
      <c r="E102" s="11">
        <v>4.0</v>
      </c>
      <c r="F102" s="12">
        <f t="shared" si="2"/>
        <v>5</v>
      </c>
      <c r="G102" s="16">
        <f t="shared" si="3"/>
        <v>0.1428571429</v>
      </c>
      <c r="H102" s="16">
        <f t="shared" si="4"/>
        <v>0.2</v>
      </c>
      <c r="I102" s="12">
        <f t="shared" si="11"/>
        <v>0</v>
      </c>
      <c r="J102" s="11">
        <v>0.0</v>
      </c>
      <c r="K102" s="11">
        <v>0.0</v>
      </c>
      <c r="L102" s="16">
        <f t="shared" si="6"/>
        <v>0</v>
      </c>
      <c r="M102" s="11" t="s">
        <v>41</v>
      </c>
      <c r="N102" s="12">
        <f t="shared" si="7"/>
        <v>4</v>
      </c>
      <c r="O102" s="18">
        <f t="shared" si="8"/>
        <v>0.1142857143</v>
      </c>
      <c r="P102" s="18">
        <f t="shared" si="9"/>
        <v>2.628571429</v>
      </c>
    </row>
    <row r="103">
      <c r="A103" s="2" t="s">
        <v>168</v>
      </c>
      <c r="B103" s="33">
        <v>2.0</v>
      </c>
      <c r="C103" s="12">
        <f t="shared" si="1"/>
        <v>46</v>
      </c>
      <c r="D103" s="11">
        <v>1.0</v>
      </c>
      <c r="E103" s="20">
        <v>1.0</v>
      </c>
      <c r="F103" s="21">
        <f t="shared" si="2"/>
        <v>2</v>
      </c>
      <c r="G103" s="23">
        <f t="shared" si="3"/>
        <v>0.04347826087</v>
      </c>
      <c r="H103" s="23">
        <f t="shared" si="4"/>
        <v>0.5</v>
      </c>
      <c r="I103" s="12">
        <f t="shared" si="11"/>
        <v>0</v>
      </c>
      <c r="J103" s="11">
        <v>0.0</v>
      </c>
      <c r="K103" s="11">
        <v>0.0</v>
      </c>
      <c r="L103" s="16">
        <f t="shared" si="6"/>
        <v>0</v>
      </c>
      <c r="M103" s="11" t="s">
        <v>41</v>
      </c>
      <c r="N103" s="12">
        <f t="shared" si="7"/>
        <v>4</v>
      </c>
      <c r="O103" s="18">
        <f t="shared" si="8"/>
        <v>0.08695652174</v>
      </c>
      <c r="P103" s="18">
        <f t="shared" si="9"/>
        <v>2</v>
      </c>
    </row>
    <row r="104">
      <c r="A104" s="2" t="s">
        <v>171</v>
      </c>
      <c r="B104" s="33">
        <v>2.0</v>
      </c>
      <c r="C104" s="12">
        <f t="shared" si="1"/>
        <v>46</v>
      </c>
      <c r="D104" s="11">
        <v>1.0</v>
      </c>
      <c r="E104" s="11">
        <v>1.0</v>
      </c>
      <c r="F104" s="12">
        <f t="shared" si="2"/>
        <v>2</v>
      </c>
      <c r="G104" s="16">
        <f t="shared" si="3"/>
        <v>0.04347826087</v>
      </c>
      <c r="H104" s="16">
        <f t="shared" si="4"/>
        <v>0.5</v>
      </c>
      <c r="I104" s="12">
        <f t="shared" si="11"/>
        <v>0</v>
      </c>
      <c r="J104" s="11">
        <v>0.0</v>
      </c>
      <c r="K104" s="11">
        <v>0.0</v>
      </c>
      <c r="L104" s="16">
        <f t="shared" si="6"/>
        <v>0</v>
      </c>
      <c r="M104" s="11" t="s">
        <v>41</v>
      </c>
      <c r="N104" s="12">
        <f t="shared" si="7"/>
        <v>4</v>
      </c>
      <c r="O104" s="18">
        <f t="shared" si="8"/>
        <v>0.08695652174</v>
      </c>
      <c r="P104" s="18">
        <f t="shared" si="9"/>
        <v>2</v>
      </c>
    </row>
    <row r="105">
      <c r="A105" s="2" t="s">
        <v>170</v>
      </c>
      <c r="B105" s="28">
        <f>11/23+2</f>
        <v>2.47826087</v>
      </c>
      <c r="C105" s="12">
        <f t="shared" si="1"/>
        <v>57</v>
      </c>
      <c r="D105" s="11">
        <v>1.0</v>
      </c>
      <c r="E105" s="11">
        <v>2.0</v>
      </c>
      <c r="F105" s="12">
        <f t="shared" si="2"/>
        <v>3</v>
      </c>
      <c r="G105" s="16">
        <f t="shared" si="3"/>
        <v>0.05263157895</v>
      </c>
      <c r="H105" s="16">
        <f t="shared" si="4"/>
        <v>0.3333333333</v>
      </c>
      <c r="I105" s="12">
        <f t="shared" si="11"/>
        <v>0</v>
      </c>
      <c r="J105" s="11">
        <v>0.0</v>
      </c>
      <c r="K105" s="11">
        <v>0.0</v>
      </c>
      <c r="L105" s="16">
        <f t="shared" si="6"/>
        <v>0</v>
      </c>
      <c r="M105" s="11" t="s">
        <v>41</v>
      </c>
      <c r="N105" s="12">
        <f t="shared" si="7"/>
        <v>4</v>
      </c>
      <c r="O105" s="18">
        <f t="shared" si="8"/>
        <v>0.0701754386</v>
      </c>
      <c r="P105" s="18">
        <f t="shared" si="9"/>
        <v>1.614035088</v>
      </c>
    </row>
    <row r="106">
      <c r="A106" s="2" t="s">
        <v>161</v>
      </c>
      <c r="B106" s="27">
        <f t="shared" ref="B106:B107" si="22">1+12/23+1</f>
        <v>2.52173913</v>
      </c>
      <c r="C106" s="12">
        <f t="shared" si="1"/>
        <v>58</v>
      </c>
      <c r="D106" s="11">
        <v>2.0</v>
      </c>
      <c r="E106" s="11">
        <v>9.0</v>
      </c>
      <c r="F106" s="12">
        <f t="shared" si="2"/>
        <v>11</v>
      </c>
      <c r="G106" s="16">
        <f t="shared" si="3"/>
        <v>0.1896551724</v>
      </c>
      <c r="H106" s="16">
        <f t="shared" si="4"/>
        <v>0.1818181818</v>
      </c>
      <c r="I106" s="12">
        <f t="shared" si="11"/>
        <v>2</v>
      </c>
      <c r="J106" s="11">
        <v>1.0</v>
      </c>
      <c r="K106" s="11">
        <v>1.0</v>
      </c>
      <c r="L106" s="16">
        <f t="shared" si="6"/>
        <v>0.03448275862</v>
      </c>
      <c r="M106" s="16">
        <f>J106/I106</f>
        <v>0.5</v>
      </c>
      <c r="N106" s="12">
        <f t="shared" si="7"/>
        <v>4</v>
      </c>
      <c r="O106" s="18">
        <f t="shared" si="8"/>
        <v>0.06896551724</v>
      </c>
      <c r="P106" s="18">
        <f t="shared" si="9"/>
        <v>1.586206897</v>
      </c>
    </row>
    <row r="107">
      <c r="A107" s="2" t="s">
        <v>163</v>
      </c>
      <c r="B107" s="27">
        <f t="shared" si="22"/>
        <v>2.52173913</v>
      </c>
      <c r="C107" s="12">
        <f t="shared" si="1"/>
        <v>58</v>
      </c>
      <c r="D107" s="11">
        <v>1.0</v>
      </c>
      <c r="E107" s="11">
        <v>15.0</v>
      </c>
      <c r="F107" s="12">
        <f t="shared" si="2"/>
        <v>16</v>
      </c>
      <c r="G107" s="16">
        <f t="shared" si="3"/>
        <v>0.275862069</v>
      </c>
      <c r="H107" s="16">
        <f t="shared" si="4"/>
        <v>0.0625</v>
      </c>
      <c r="I107" s="12">
        <f t="shared" si="11"/>
        <v>0</v>
      </c>
      <c r="J107" s="11">
        <v>0.0</v>
      </c>
      <c r="K107" s="11">
        <v>0.0</v>
      </c>
      <c r="L107" s="16">
        <f t="shared" si="6"/>
        <v>0</v>
      </c>
      <c r="M107" s="11" t="s">
        <v>41</v>
      </c>
      <c r="N107" s="12">
        <f t="shared" si="7"/>
        <v>4</v>
      </c>
      <c r="O107" s="18">
        <f t="shared" si="8"/>
        <v>0.06896551724</v>
      </c>
      <c r="P107" s="18">
        <f t="shared" si="9"/>
        <v>1.586206897</v>
      </c>
    </row>
    <row r="108">
      <c r="A108" s="2" t="s">
        <v>148</v>
      </c>
      <c r="B108" s="10">
        <v>3.0</v>
      </c>
      <c r="C108" s="12">
        <f t="shared" si="1"/>
        <v>69</v>
      </c>
      <c r="D108" s="11">
        <v>1.0</v>
      </c>
      <c r="E108" s="11">
        <v>1.0</v>
      </c>
      <c r="F108" s="12">
        <f t="shared" si="2"/>
        <v>2</v>
      </c>
      <c r="G108" s="16">
        <f t="shared" si="3"/>
        <v>0.02898550725</v>
      </c>
      <c r="H108" s="16">
        <f t="shared" si="4"/>
        <v>0.5</v>
      </c>
      <c r="I108" s="12">
        <f t="shared" si="11"/>
        <v>0</v>
      </c>
      <c r="J108" s="11">
        <v>0.0</v>
      </c>
      <c r="K108" s="11">
        <v>0.0</v>
      </c>
      <c r="L108" s="16">
        <f t="shared" si="6"/>
        <v>0</v>
      </c>
      <c r="M108" s="11" t="s">
        <v>41</v>
      </c>
      <c r="N108" s="12">
        <f t="shared" si="7"/>
        <v>4</v>
      </c>
      <c r="O108" s="18">
        <f t="shared" si="8"/>
        <v>0.05797101449</v>
      </c>
      <c r="P108" s="18">
        <f t="shared" si="9"/>
        <v>1.333333333</v>
      </c>
    </row>
    <row r="109">
      <c r="A109" s="2" t="s">
        <v>183</v>
      </c>
      <c r="B109" s="10">
        <v>3.0</v>
      </c>
      <c r="C109" s="12">
        <f t="shared" si="1"/>
        <v>69</v>
      </c>
      <c r="D109" s="11">
        <v>1.0</v>
      </c>
      <c r="E109" s="20">
        <v>1.0</v>
      </c>
      <c r="F109" s="21">
        <f t="shared" si="2"/>
        <v>2</v>
      </c>
      <c r="G109" s="23">
        <f t="shared" si="3"/>
        <v>0.02898550725</v>
      </c>
      <c r="H109" s="23">
        <f t="shared" si="4"/>
        <v>0.5</v>
      </c>
      <c r="I109" s="12">
        <f t="shared" si="11"/>
        <v>0</v>
      </c>
      <c r="J109" s="11">
        <v>0.0</v>
      </c>
      <c r="K109" s="11">
        <v>0.0</v>
      </c>
      <c r="L109" s="16">
        <f t="shared" si="6"/>
        <v>0</v>
      </c>
      <c r="M109" s="11" t="s">
        <v>41</v>
      </c>
      <c r="N109" s="12">
        <f t="shared" si="7"/>
        <v>4</v>
      </c>
      <c r="O109" s="18">
        <f t="shared" si="8"/>
        <v>0.05797101449</v>
      </c>
      <c r="P109" s="18">
        <f t="shared" si="9"/>
        <v>1.333333333</v>
      </c>
    </row>
    <row r="110">
      <c r="A110" s="2" t="s">
        <v>199</v>
      </c>
      <c r="B110" s="10">
        <v>3.0</v>
      </c>
      <c r="C110" s="12">
        <f t="shared" si="1"/>
        <v>69</v>
      </c>
      <c r="D110" s="11">
        <v>3.0</v>
      </c>
      <c r="E110" s="20">
        <v>6.0</v>
      </c>
      <c r="F110" s="21">
        <f t="shared" si="2"/>
        <v>9</v>
      </c>
      <c r="G110" s="23">
        <f t="shared" si="3"/>
        <v>0.1304347826</v>
      </c>
      <c r="H110" s="23">
        <f t="shared" si="4"/>
        <v>0.3333333333</v>
      </c>
      <c r="I110" s="12">
        <f t="shared" si="11"/>
        <v>3</v>
      </c>
      <c r="J110" s="11">
        <v>1.0</v>
      </c>
      <c r="K110" s="11">
        <v>2.0</v>
      </c>
      <c r="L110" s="16">
        <f t="shared" si="6"/>
        <v>0.04347826087</v>
      </c>
      <c r="M110" s="16">
        <f>J110/I110</f>
        <v>0.3333333333</v>
      </c>
      <c r="N110" s="12">
        <f t="shared" si="7"/>
        <v>4</v>
      </c>
      <c r="O110" s="18">
        <f t="shared" si="8"/>
        <v>0.05797101449</v>
      </c>
      <c r="P110" s="18">
        <f t="shared" si="9"/>
        <v>1.333333333</v>
      </c>
    </row>
    <row r="111">
      <c r="A111" s="2" t="s">
        <v>194</v>
      </c>
      <c r="B111" s="10">
        <v>3.0</v>
      </c>
      <c r="C111" s="12">
        <f t="shared" si="1"/>
        <v>69</v>
      </c>
      <c r="D111" s="11">
        <v>1.0</v>
      </c>
      <c r="E111" s="11">
        <v>2.0</v>
      </c>
      <c r="F111" s="12">
        <f t="shared" si="2"/>
        <v>3</v>
      </c>
      <c r="G111" s="16">
        <f t="shared" si="3"/>
        <v>0.04347826087</v>
      </c>
      <c r="H111" s="16">
        <f t="shared" si="4"/>
        <v>0.3333333333</v>
      </c>
      <c r="I111" s="12">
        <f t="shared" si="11"/>
        <v>0</v>
      </c>
      <c r="J111" s="11">
        <v>0.0</v>
      </c>
      <c r="K111" s="11">
        <v>0.0</v>
      </c>
      <c r="L111" s="16">
        <f t="shared" si="6"/>
        <v>0</v>
      </c>
      <c r="M111" s="11" t="s">
        <v>41</v>
      </c>
      <c r="N111" s="12">
        <f t="shared" si="7"/>
        <v>4</v>
      </c>
      <c r="O111" s="18">
        <f t="shared" si="8"/>
        <v>0.05797101449</v>
      </c>
      <c r="P111" s="18">
        <f t="shared" si="9"/>
        <v>1.333333333</v>
      </c>
    </row>
    <row r="112">
      <c r="A112" s="2" t="s">
        <v>197</v>
      </c>
      <c r="B112" s="10">
        <v>3.0</v>
      </c>
      <c r="C112" s="12">
        <f t="shared" si="1"/>
        <v>69</v>
      </c>
      <c r="D112" s="11">
        <v>1.0</v>
      </c>
      <c r="E112" s="11">
        <v>2.0</v>
      </c>
      <c r="F112" s="12">
        <f t="shared" si="2"/>
        <v>3</v>
      </c>
      <c r="G112" s="16">
        <f t="shared" si="3"/>
        <v>0.04347826087</v>
      </c>
      <c r="H112" s="16">
        <f t="shared" si="4"/>
        <v>0.3333333333</v>
      </c>
      <c r="I112" s="12">
        <f t="shared" si="11"/>
        <v>0</v>
      </c>
      <c r="J112" s="11">
        <v>0.0</v>
      </c>
      <c r="K112" s="11">
        <v>0.0</v>
      </c>
      <c r="L112" s="16">
        <f t="shared" si="6"/>
        <v>0</v>
      </c>
      <c r="M112" s="11" t="s">
        <v>41</v>
      </c>
      <c r="N112" s="12">
        <f t="shared" si="7"/>
        <v>4</v>
      </c>
      <c r="O112" s="18">
        <f t="shared" si="8"/>
        <v>0.05797101449</v>
      </c>
      <c r="P112" s="18">
        <f t="shared" si="9"/>
        <v>1.333333333</v>
      </c>
    </row>
    <row r="113">
      <c r="A113" s="2" t="s">
        <v>200</v>
      </c>
      <c r="B113" s="10">
        <v>3.0</v>
      </c>
      <c r="C113" s="12">
        <f t="shared" si="1"/>
        <v>69</v>
      </c>
      <c r="D113" s="11">
        <v>2.0</v>
      </c>
      <c r="E113" s="11">
        <v>6.0</v>
      </c>
      <c r="F113" s="12">
        <f t="shared" si="2"/>
        <v>8</v>
      </c>
      <c r="G113" s="16">
        <f t="shared" si="3"/>
        <v>0.115942029</v>
      </c>
      <c r="H113" s="16">
        <f t="shared" si="4"/>
        <v>0.25</v>
      </c>
      <c r="I113" s="12">
        <f t="shared" si="11"/>
        <v>1</v>
      </c>
      <c r="J113" s="11">
        <v>0.0</v>
      </c>
      <c r="K113" s="11">
        <v>1.0</v>
      </c>
      <c r="L113" s="16">
        <f t="shared" si="6"/>
        <v>0.01449275362</v>
      </c>
      <c r="M113" s="16">
        <f t="shared" ref="M113:M115" si="23">J113/I113</f>
        <v>0</v>
      </c>
      <c r="N113" s="12">
        <f t="shared" si="7"/>
        <v>4</v>
      </c>
      <c r="O113" s="18">
        <f t="shared" si="8"/>
        <v>0.05797101449</v>
      </c>
      <c r="P113" s="18">
        <f t="shared" si="9"/>
        <v>1.333333333</v>
      </c>
    </row>
    <row r="114">
      <c r="A114" s="2" t="s">
        <v>196</v>
      </c>
      <c r="B114" s="10">
        <v>3.0</v>
      </c>
      <c r="C114" s="12">
        <f t="shared" si="1"/>
        <v>69</v>
      </c>
      <c r="D114" s="11">
        <v>2.0</v>
      </c>
      <c r="E114" s="11">
        <v>7.0</v>
      </c>
      <c r="F114" s="12">
        <f t="shared" si="2"/>
        <v>9</v>
      </c>
      <c r="G114" s="16">
        <f t="shared" si="3"/>
        <v>0.1304347826</v>
      </c>
      <c r="H114" s="16">
        <f t="shared" si="4"/>
        <v>0.2222222222</v>
      </c>
      <c r="I114" s="12">
        <f t="shared" si="11"/>
        <v>1</v>
      </c>
      <c r="J114" s="11">
        <v>0.0</v>
      </c>
      <c r="K114" s="11">
        <v>1.0</v>
      </c>
      <c r="L114" s="16">
        <f t="shared" si="6"/>
        <v>0.01449275362</v>
      </c>
      <c r="M114" s="16">
        <f t="shared" si="23"/>
        <v>0</v>
      </c>
      <c r="N114" s="12">
        <f t="shared" si="7"/>
        <v>4</v>
      </c>
      <c r="O114" s="18">
        <f t="shared" si="8"/>
        <v>0.05797101449</v>
      </c>
      <c r="P114" s="18">
        <f t="shared" si="9"/>
        <v>1.333333333</v>
      </c>
    </row>
    <row r="115">
      <c r="A115" s="2" t="s">
        <v>203</v>
      </c>
      <c r="B115" s="10">
        <v>3.0</v>
      </c>
      <c r="C115" s="12">
        <f t="shared" si="1"/>
        <v>69</v>
      </c>
      <c r="D115" s="11">
        <v>2.0</v>
      </c>
      <c r="E115" s="11">
        <v>8.0</v>
      </c>
      <c r="F115" s="12">
        <f t="shared" si="2"/>
        <v>10</v>
      </c>
      <c r="G115" s="16">
        <f t="shared" si="3"/>
        <v>0.1449275362</v>
      </c>
      <c r="H115" s="16">
        <f t="shared" si="4"/>
        <v>0.2</v>
      </c>
      <c r="I115" s="12">
        <f t="shared" si="11"/>
        <v>1</v>
      </c>
      <c r="J115" s="11">
        <v>0.0</v>
      </c>
      <c r="K115" s="11">
        <v>1.0</v>
      </c>
      <c r="L115" s="16">
        <f t="shared" si="6"/>
        <v>0.01449275362</v>
      </c>
      <c r="M115" s="16">
        <f t="shared" si="23"/>
        <v>0</v>
      </c>
      <c r="N115" s="12">
        <f t="shared" si="7"/>
        <v>4</v>
      </c>
      <c r="O115" s="18">
        <f t="shared" si="8"/>
        <v>0.05797101449</v>
      </c>
      <c r="P115" s="18">
        <f t="shared" si="9"/>
        <v>1.333333333</v>
      </c>
    </row>
    <row r="116">
      <c r="A116" s="2" t="s">
        <v>187</v>
      </c>
      <c r="B116" s="10">
        <v>3.0</v>
      </c>
      <c r="C116" s="12">
        <f t="shared" si="1"/>
        <v>69</v>
      </c>
      <c r="D116" s="11">
        <v>1.0</v>
      </c>
      <c r="E116" s="20">
        <v>4.0</v>
      </c>
      <c r="F116" s="21">
        <f t="shared" si="2"/>
        <v>5</v>
      </c>
      <c r="G116" s="23">
        <f t="shared" si="3"/>
        <v>0.07246376812</v>
      </c>
      <c r="H116" s="23">
        <f t="shared" si="4"/>
        <v>0.2</v>
      </c>
      <c r="I116" s="12">
        <f t="shared" si="11"/>
        <v>0</v>
      </c>
      <c r="J116" s="11">
        <v>0.0</v>
      </c>
      <c r="K116" s="11">
        <v>0.0</v>
      </c>
      <c r="L116" s="16">
        <f t="shared" si="6"/>
        <v>0</v>
      </c>
      <c r="M116" s="11" t="s">
        <v>41</v>
      </c>
      <c r="N116" s="12">
        <f t="shared" si="7"/>
        <v>4</v>
      </c>
      <c r="O116" s="18">
        <f t="shared" si="8"/>
        <v>0.05797101449</v>
      </c>
      <c r="P116" s="18">
        <f t="shared" si="9"/>
        <v>1.333333333</v>
      </c>
    </row>
    <row r="117">
      <c r="A117" s="2" t="s">
        <v>193</v>
      </c>
      <c r="B117" s="10">
        <v>3.0</v>
      </c>
      <c r="C117" s="12">
        <f t="shared" si="1"/>
        <v>69</v>
      </c>
      <c r="D117" s="11">
        <v>1.0</v>
      </c>
      <c r="E117" s="11">
        <v>15.0</v>
      </c>
      <c r="F117" s="12">
        <f t="shared" si="2"/>
        <v>16</v>
      </c>
      <c r="G117" s="16">
        <f t="shared" si="3"/>
        <v>0.231884058</v>
      </c>
      <c r="H117" s="16">
        <f t="shared" si="4"/>
        <v>0.0625</v>
      </c>
      <c r="I117" s="12">
        <f t="shared" si="11"/>
        <v>0</v>
      </c>
      <c r="J117" s="11">
        <v>0.0</v>
      </c>
      <c r="K117" s="11">
        <v>0.0</v>
      </c>
      <c r="L117" s="16">
        <f t="shared" si="6"/>
        <v>0</v>
      </c>
      <c r="M117" s="11" t="s">
        <v>41</v>
      </c>
      <c r="N117" s="12">
        <f t="shared" si="7"/>
        <v>4</v>
      </c>
      <c r="O117" s="18">
        <f t="shared" si="8"/>
        <v>0.05797101449</v>
      </c>
      <c r="P117" s="18">
        <f t="shared" si="9"/>
        <v>1.333333333</v>
      </c>
    </row>
    <row r="118">
      <c r="A118" s="2" t="s">
        <v>153</v>
      </c>
      <c r="B118" s="10">
        <v>3.0</v>
      </c>
      <c r="C118" s="12">
        <f t="shared" si="1"/>
        <v>69</v>
      </c>
      <c r="D118" s="11">
        <v>0.0</v>
      </c>
      <c r="E118" s="11">
        <v>0.0</v>
      </c>
      <c r="F118" s="12">
        <f t="shared" si="2"/>
        <v>0</v>
      </c>
      <c r="G118" s="16">
        <f t="shared" si="3"/>
        <v>0</v>
      </c>
      <c r="H118" s="11" t="s">
        <v>41</v>
      </c>
      <c r="I118" s="12">
        <f t="shared" si="11"/>
        <v>0</v>
      </c>
      <c r="J118" s="11">
        <v>0.0</v>
      </c>
      <c r="K118" s="11">
        <v>0.0</v>
      </c>
      <c r="L118" s="16">
        <f t="shared" si="6"/>
        <v>0</v>
      </c>
      <c r="M118" s="11" t="s">
        <v>41</v>
      </c>
      <c r="N118" s="12">
        <f t="shared" si="7"/>
        <v>0</v>
      </c>
      <c r="O118" s="18">
        <f t="shared" si="8"/>
        <v>0</v>
      </c>
      <c r="P118" s="18">
        <f t="shared" si="9"/>
        <v>0</v>
      </c>
    </row>
    <row r="119">
      <c r="A119" s="2" t="s">
        <v>166</v>
      </c>
      <c r="B119" s="33">
        <f>1+22/23</f>
        <v>1.956521739</v>
      </c>
      <c r="C119" s="12">
        <f t="shared" si="1"/>
        <v>45</v>
      </c>
      <c r="D119" s="11">
        <v>0.0</v>
      </c>
      <c r="E119" s="20">
        <v>0.0</v>
      </c>
      <c r="F119" s="21">
        <f t="shared" si="2"/>
        <v>0</v>
      </c>
      <c r="G119" s="23">
        <f t="shared" si="3"/>
        <v>0</v>
      </c>
      <c r="H119" s="20" t="s">
        <v>41</v>
      </c>
      <c r="I119" s="12">
        <f t="shared" si="11"/>
        <v>0</v>
      </c>
      <c r="J119" s="11">
        <v>0.0</v>
      </c>
      <c r="K119" s="11">
        <v>0.0</v>
      </c>
      <c r="L119" s="16">
        <f t="shared" si="6"/>
        <v>0</v>
      </c>
      <c r="M119" s="11" t="s">
        <v>41</v>
      </c>
      <c r="N119" s="12">
        <f t="shared" si="7"/>
        <v>0</v>
      </c>
      <c r="O119" s="18">
        <f t="shared" si="8"/>
        <v>0</v>
      </c>
      <c r="P119" s="18">
        <f t="shared" si="9"/>
        <v>0</v>
      </c>
    </row>
    <row r="120">
      <c r="A120" s="2" t="s">
        <v>174</v>
      </c>
      <c r="B120" s="27">
        <f>12/23*3</f>
        <v>1.565217391</v>
      </c>
      <c r="C120" s="12">
        <f t="shared" si="1"/>
        <v>36</v>
      </c>
      <c r="D120" s="11">
        <v>0.0</v>
      </c>
      <c r="E120" s="20">
        <v>0.0</v>
      </c>
      <c r="F120" s="21">
        <f t="shared" si="2"/>
        <v>0</v>
      </c>
      <c r="G120" s="23">
        <f t="shared" si="3"/>
        <v>0</v>
      </c>
      <c r="H120" s="20" t="s">
        <v>41</v>
      </c>
      <c r="I120" s="12">
        <f t="shared" si="11"/>
        <v>0</v>
      </c>
      <c r="J120" s="11">
        <v>0.0</v>
      </c>
      <c r="K120" s="11">
        <v>0.0</v>
      </c>
      <c r="L120" s="16">
        <f t="shared" si="6"/>
        <v>0</v>
      </c>
      <c r="M120" s="11" t="s">
        <v>41</v>
      </c>
      <c r="N120" s="12">
        <f t="shared" si="7"/>
        <v>0</v>
      </c>
      <c r="O120" s="18">
        <f t="shared" si="8"/>
        <v>0</v>
      </c>
      <c r="P120" s="18">
        <f t="shared" si="9"/>
        <v>0</v>
      </c>
      <c r="R120" s="4"/>
    </row>
    <row r="121">
      <c r="A121" s="2" t="s">
        <v>176</v>
      </c>
      <c r="B121" s="28">
        <f>11/23+1</f>
        <v>1.47826087</v>
      </c>
      <c r="C121" s="12">
        <f t="shared" si="1"/>
        <v>34</v>
      </c>
      <c r="D121" s="11">
        <v>0.0</v>
      </c>
      <c r="E121" s="11">
        <v>0.0</v>
      </c>
      <c r="F121" s="12">
        <f t="shared" si="2"/>
        <v>0</v>
      </c>
      <c r="G121" s="16">
        <f t="shared" si="3"/>
        <v>0</v>
      </c>
      <c r="H121" s="11" t="s">
        <v>41</v>
      </c>
      <c r="I121" s="12">
        <f t="shared" si="11"/>
        <v>0</v>
      </c>
      <c r="J121" s="11">
        <v>0.0</v>
      </c>
      <c r="K121" s="11">
        <v>0.0</v>
      </c>
      <c r="L121" s="16">
        <f t="shared" si="6"/>
        <v>0</v>
      </c>
      <c r="M121" s="11" t="s">
        <v>41</v>
      </c>
      <c r="N121" s="12">
        <f t="shared" si="7"/>
        <v>0</v>
      </c>
      <c r="O121" s="18">
        <f t="shared" si="8"/>
        <v>0</v>
      </c>
      <c r="P121" s="18">
        <f t="shared" si="9"/>
        <v>0</v>
      </c>
    </row>
    <row r="122">
      <c r="A122" s="2" t="s">
        <v>185</v>
      </c>
      <c r="B122" s="33">
        <f>1+12/23+12/23</f>
        <v>2.043478261</v>
      </c>
      <c r="C122" s="12">
        <f t="shared" si="1"/>
        <v>47</v>
      </c>
      <c r="D122" s="11">
        <v>0.0</v>
      </c>
      <c r="E122" s="20">
        <v>0.0</v>
      </c>
      <c r="F122" s="21">
        <f t="shared" si="2"/>
        <v>0</v>
      </c>
      <c r="G122" s="23">
        <f t="shared" si="3"/>
        <v>0</v>
      </c>
      <c r="H122" s="20" t="s">
        <v>41</v>
      </c>
      <c r="I122" s="12">
        <f t="shared" si="11"/>
        <v>0</v>
      </c>
      <c r="J122" s="11">
        <v>0.0</v>
      </c>
      <c r="K122" s="11">
        <v>0.0</v>
      </c>
      <c r="L122" s="16">
        <f t="shared" si="6"/>
        <v>0</v>
      </c>
      <c r="M122" s="11" t="s">
        <v>41</v>
      </c>
      <c r="N122" s="12">
        <f t="shared" si="7"/>
        <v>0</v>
      </c>
      <c r="O122" s="18">
        <f t="shared" si="8"/>
        <v>0</v>
      </c>
      <c r="P122" s="18">
        <f t="shared" si="9"/>
        <v>0</v>
      </c>
    </row>
    <row r="123">
      <c r="A123" s="2" t="s">
        <v>186</v>
      </c>
      <c r="B123" s="33">
        <v>2.0</v>
      </c>
      <c r="C123" s="12">
        <f t="shared" si="1"/>
        <v>46</v>
      </c>
      <c r="D123" s="11">
        <v>0.0</v>
      </c>
      <c r="E123" s="20">
        <v>0.0</v>
      </c>
      <c r="F123" s="21">
        <f t="shared" si="2"/>
        <v>0</v>
      </c>
      <c r="G123" s="23">
        <f t="shared" si="3"/>
        <v>0</v>
      </c>
      <c r="H123" s="20" t="s">
        <v>41</v>
      </c>
      <c r="I123" s="12">
        <f t="shared" si="11"/>
        <v>0</v>
      </c>
      <c r="J123" s="11">
        <v>0.0</v>
      </c>
      <c r="K123" s="11">
        <v>0.0</v>
      </c>
      <c r="L123" s="16">
        <f t="shared" si="6"/>
        <v>0</v>
      </c>
      <c r="M123" s="11" t="s">
        <v>41</v>
      </c>
      <c r="N123" s="12">
        <f t="shared" si="7"/>
        <v>0</v>
      </c>
      <c r="O123" s="18">
        <f t="shared" si="8"/>
        <v>0</v>
      </c>
      <c r="P123" s="18">
        <f t="shared" si="9"/>
        <v>0</v>
      </c>
    </row>
    <row r="124">
      <c r="A124" s="2" t="s">
        <v>201</v>
      </c>
      <c r="B124" s="10">
        <v>2.0</v>
      </c>
      <c r="C124" s="12">
        <f t="shared" si="1"/>
        <v>46</v>
      </c>
      <c r="D124" s="11">
        <v>1.0</v>
      </c>
      <c r="E124" s="11">
        <v>2.0</v>
      </c>
      <c r="F124" s="12">
        <f t="shared" si="2"/>
        <v>3</v>
      </c>
      <c r="G124" s="16">
        <f t="shared" si="3"/>
        <v>0.0652173913</v>
      </c>
      <c r="H124" s="16">
        <f t="shared" ref="H124:H139" si="24">D124/F124</f>
        <v>0.3333333333</v>
      </c>
      <c r="I124" s="12">
        <f t="shared" si="11"/>
        <v>1</v>
      </c>
      <c r="J124" s="11">
        <v>0.0</v>
      </c>
      <c r="K124" s="11">
        <v>1.0</v>
      </c>
      <c r="L124" s="16">
        <f t="shared" si="6"/>
        <v>0.02173913043</v>
      </c>
      <c r="M124" s="16">
        <f t="shared" ref="M124:M125" si="25">J124/I124</f>
        <v>0</v>
      </c>
      <c r="N124" s="12">
        <f t="shared" si="7"/>
        <v>0</v>
      </c>
      <c r="O124" s="18">
        <f t="shared" si="8"/>
        <v>0</v>
      </c>
      <c r="P124" s="18">
        <f t="shared" si="9"/>
        <v>0</v>
      </c>
    </row>
    <row r="125">
      <c r="A125" s="2" t="s">
        <v>190</v>
      </c>
      <c r="B125" s="10">
        <v>3.0</v>
      </c>
      <c r="C125" s="12">
        <f t="shared" si="1"/>
        <v>69</v>
      </c>
      <c r="D125" s="11">
        <v>1.0</v>
      </c>
      <c r="E125" s="11">
        <v>4.0</v>
      </c>
      <c r="F125" s="12">
        <f t="shared" si="2"/>
        <v>5</v>
      </c>
      <c r="G125" s="16">
        <f t="shared" si="3"/>
        <v>0.07246376812</v>
      </c>
      <c r="H125" s="16">
        <f t="shared" si="24"/>
        <v>0.2</v>
      </c>
      <c r="I125" s="12">
        <f t="shared" si="11"/>
        <v>2</v>
      </c>
      <c r="J125" s="11">
        <v>1.0</v>
      </c>
      <c r="K125" s="11">
        <v>1.0</v>
      </c>
      <c r="L125" s="16">
        <f t="shared" si="6"/>
        <v>0.02898550725</v>
      </c>
      <c r="M125" s="16">
        <f t="shared" si="25"/>
        <v>0.5</v>
      </c>
      <c r="N125" s="12">
        <f t="shared" si="7"/>
        <v>0</v>
      </c>
      <c r="O125" s="18">
        <f t="shared" si="8"/>
        <v>0</v>
      </c>
      <c r="P125" s="18">
        <f t="shared" si="9"/>
        <v>0</v>
      </c>
    </row>
    <row r="126">
      <c r="A126" s="2" t="s">
        <v>195</v>
      </c>
      <c r="B126" s="10">
        <v>3.0</v>
      </c>
      <c r="C126" s="12">
        <f t="shared" si="1"/>
        <v>69</v>
      </c>
      <c r="D126" s="11">
        <v>0.0</v>
      </c>
      <c r="E126" s="11">
        <v>3.0</v>
      </c>
      <c r="F126" s="12">
        <f t="shared" si="2"/>
        <v>3</v>
      </c>
      <c r="G126" s="16">
        <f t="shared" si="3"/>
        <v>0.04347826087</v>
      </c>
      <c r="H126" s="16">
        <f t="shared" si="24"/>
        <v>0</v>
      </c>
      <c r="I126" s="12">
        <f t="shared" si="11"/>
        <v>0</v>
      </c>
      <c r="J126" s="11">
        <v>0.0</v>
      </c>
      <c r="K126" s="11">
        <v>0.0</v>
      </c>
      <c r="L126" s="16">
        <f t="shared" si="6"/>
        <v>0</v>
      </c>
      <c r="M126" s="11" t="s">
        <v>41</v>
      </c>
      <c r="N126" s="12">
        <f t="shared" si="7"/>
        <v>0</v>
      </c>
      <c r="O126" s="18">
        <f t="shared" si="8"/>
        <v>0</v>
      </c>
      <c r="P126" s="18">
        <f t="shared" si="9"/>
        <v>0</v>
      </c>
    </row>
    <row r="127">
      <c r="A127" s="2" t="s">
        <v>198</v>
      </c>
      <c r="B127" s="10">
        <v>3.0</v>
      </c>
      <c r="C127" s="12">
        <f t="shared" si="1"/>
        <v>69</v>
      </c>
      <c r="D127" s="11">
        <v>0.0</v>
      </c>
      <c r="E127" s="11">
        <v>4.0</v>
      </c>
      <c r="F127" s="12">
        <f t="shared" si="2"/>
        <v>4</v>
      </c>
      <c r="G127" s="16">
        <f t="shared" si="3"/>
        <v>0.05797101449</v>
      </c>
      <c r="H127" s="16">
        <f t="shared" si="24"/>
        <v>0</v>
      </c>
      <c r="I127" s="12">
        <f t="shared" si="11"/>
        <v>0</v>
      </c>
      <c r="J127" s="11">
        <v>0.0</v>
      </c>
      <c r="K127" s="11">
        <v>0.0</v>
      </c>
      <c r="L127" s="16">
        <f t="shared" si="6"/>
        <v>0</v>
      </c>
      <c r="M127" s="11" t="s">
        <v>41</v>
      </c>
      <c r="N127" s="12">
        <f t="shared" si="7"/>
        <v>0</v>
      </c>
      <c r="O127" s="18">
        <f t="shared" si="8"/>
        <v>0</v>
      </c>
      <c r="P127" s="18">
        <f t="shared" si="9"/>
        <v>0</v>
      </c>
    </row>
    <row r="128">
      <c r="A128" s="2" t="s">
        <v>155</v>
      </c>
      <c r="B128" s="10">
        <v>3.0</v>
      </c>
      <c r="C128" s="12">
        <f t="shared" si="1"/>
        <v>69</v>
      </c>
      <c r="D128" s="11">
        <v>0.0</v>
      </c>
      <c r="E128" s="11">
        <v>3.0</v>
      </c>
      <c r="F128" s="12">
        <f t="shared" si="2"/>
        <v>3</v>
      </c>
      <c r="G128" s="16">
        <f t="shared" si="3"/>
        <v>0.04347826087</v>
      </c>
      <c r="H128" s="16">
        <f t="shared" si="24"/>
        <v>0</v>
      </c>
      <c r="I128" s="12">
        <f t="shared" si="11"/>
        <v>0</v>
      </c>
      <c r="J128" s="11">
        <v>0.0</v>
      </c>
      <c r="K128" s="11">
        <v>0.0</v>
      </c>
      <c r="L128" s="16">
        <f t="shared" si="6"/>
        <v>0</v>
      </c>
      <c r="M128" s="11" t="s">
        <v>41</v>
      </c>
      <c r="N128" s="12">
        <f t="shared" si="7"/>
        <v>0</v>
      </c>
      <c r="O128" s="18">
        <f t="shared" si="8"/>
        <v>0</v>
      </c>
      <c r="P128" s="18">
        <f t="shared" si="9"/>
        <v>0</v>
      </c>
    </row>
    <row r="129">
      <c r="A129" s="2" t="s">
        <v>209</v>
      </c>
      <c r="B129" s="27">
        <f>1+11/23+1</f>
        <v>2.47826087</v>
      </c>
      <c r="C129" s="12">
        <f t="shared" si="1"/>
        <v>57</v>
      </c>
      <c r="D129" s="11">
        <v>0.0</v>
      </c>
      <c r="E129" s="11">
        <v>1.0</v>
      </c>
      <c r="F129" s="12">
        <f t="shared" si="2"/>
        <v>1</v>
      </c>
      <c r="G129" s="16">
        <f t="shared" si="3"/>
        <v>0.01754385965</v>
      </c>
      <c r="H129" s="16">
        <f t="shared" si="24"/>
        <v>0</v>
      </c>
      <c r="I129" s="12">
        <f t="shared" si="11"/>
        <v>0</v>
      </c>
      <c r="J129" s="11">
        <v>0.0</v>
      </c>
      <c r="K129" s="11">
        <v>0.0</v>
      </c>
      <c r="L129" s="16">
        <f t="shared" si="6"/>
        <v>0</v>
      </c>
      <c r="M129" s="11" t="s">
        <v>41</v>
      </c>
      <c r="N129" s="12">
        <f t="shared" si="7"/>
        <v>0</v>
      </c>
      <c r="O129" s="18">
        <f t="shared" si="8"/>
        <v>0</v>
      </c>
      <c r="P129" s="18">
        <f t="shared" si="9"/>
        <v>0</v>
      </c>
    </row>
    <row r="130">
      <c r="A130" s="2" t="s">
        <v>202</v>
      </c>
      <c r="B130" s="26">
        <f>11/23+11/23+1</f>
        <v>1.956521739</v>
      </c>
      <c r="C130" s="12">
        <f t="shared" si="1"/>
        <v>45</v>
      </c>
      <c r="D130" s="11">
        <v>0.0</v>
      </c>
      <c r="E130" s="11">
        <v>3.0</v>
      </c>
      <c r="F130" s="12">
        <f t="shared" si="2"/>
        <v>3</v>
      </c>
      <c r="G130" s="16">
        <f t="shared" si="3"/>
        <v>0.06666666667</v>
      </c>
      <c r="H130" s="16">
        <f t="shared" si="24"/>
        <v>0</v>
      </c>
      <c r="I130" s="12">
        <f t="shared" si="11"/>
        <v>0</v>
      </c>
      <c r="J130" s="11">
        <v>0.0</v>
      </c>
      <c r="K130" s="11">
        <v>0.0</v>
      </c>
      <c r="L130" s="16">
        <f t="shared" si="6"/>
        <v>0</v>
      </c>
      <c r="M130" s="11" t="s">
        <v>41</v>
      </c>
      <c r="N130" s="12">
        <f t="shared" si="7"/>
        <v>0</v>
      </c>
      <c r="O130" s="18">
        <f t="shared" si="8"/>
        <v>0</v>
      </c>
      <c r="P130" s="18">
        <f t="shared" si="9"/>
        <v>0</v>
      </c>
    </row>
    <row r="131">
      <c r="A131" s="2" t="s">
        <v>177</v>
      </c>
      <c r="B131" s="28">
        <f>12/23+1</f>
        <v>1.52173913</v>
      </c>
      <c r="C131" s="12">
        <f t="shared" si="1"/>
        <v>35</v>
      </c>
      <c r="D131" s="11">
        <v>0.0</v>
      </c>
      <c r="E131" s="20">
        <v>1.0</v>
      </c>
      <c r="F131" s="21">
        <f t="shared" si="2"/>
        <v>1</v>
      </c>
      <c r="G131" s="23">
        <f t="shared" si="3"/>
        <v>0.02857142857</v>
      </c>
      <c r="H131" s="23">
        <f t="shared" si="24"/>
        <v>0</v>
      </c>
      <c r="I131" s="12">
        <f t="shared" si="11"/>
        <v>0</v>
      </c>
      <c r="J131" s="11">
        <v>0.0</v>
      </c>
      <c r="K131" s="11">
        <v>0.0</v>
      </c>
      <c r="L131" s="16">
        <f t="shared" si="6"/>
        <v>0</v>
      </c>
      <c r="M131" s="11" t="s">
        <v>41</v>
      </c>
      <c r="N131" s="12">
        <f t="shared" si="7"/>
        <v>0</v>
      </c>
      <c r="O131" s="18">
        <f t="shared" si="8"/>
        <v>0</v>
      </c>
      <c r="P131" s="18">
        <f t="shared" si="9"/>
        <v>0</v>
      </c>
    </row>
    <row r="132">
      <c r="A132" s="2" t="s">
        <v>180</v>
      </c>
      <c r="B132" s="27">
        <f>11/23+1</f>
        <v>1.47826087</v>
      </c>
      <c r="C132" s="12">
        <f t="shared" si="1"/>
        <v>34</v>
      </c>
      <c r="D132" s="11">
        <v>0.0</v>
      </c>
      <c r="E132" s="11">
        <v>2.0</v>
      </c>
      <c r="F132" s="12">
        <f t="shared" si="2"/>
        <v>2</v>
      </c>
      <c r="G132" s="16">
        <f t="shared" si="3"/>
        <v>0.05882352941</v>
      </c>
      <c r="H132" s="16">
        <f t="shared" si="24"/>
        <v>0</v>
      </c>
      <c r="I132" s="12">
        <f t="shared" si="11"/>
        <v>0</v>
      </c>
      <c r="J132" s="11">
        <v>0.0</v>
      </c>
      <c r="K132" s="11">
        <v>0.0</v>
      </c>
      <c r="L132" s="16">
        <f t="shared" si="6"/>
        <v>0</v>
      </c>
      <c r="M132" s="11" t="s">
        <v>41</v>
      </c>
      <c r="N132" s="12">
        <f t="shared" si="7"/>
        <v>0</v>
      </c>
      <c r="O132" s="18">
        <f t="shared" si="8"/>
        <v>0</v>
      </c>
      <c r="P132" s="18">
        <f t="shared" si="9"/>
        <v>0</v>
      </c>
    </row>
    <row r="133">
      <c r="A133" s="2" t="s">
        <v>204</v>
      </c>
      <c r="B133" s="27">
        <f>11/23</f>
        <v>0.4782608696</v>
      </c>
      <c r="C133" s="12">
        <f t="shared" si="1"/>
        <v>11</v>
      </c>
      <c r="D133" s="11">
        <v>0.0</v>
      </c>
      <c r="E133" s="11">
        <v>2.0</v>
      </c>
      <c r="F133" s="12">
        <f t="shared" si="2"/>
        <v>2</v>
      </c>
      <c r="G133" s="16">
        <f t="shared" si="3"/>
        <v>0.1818181818</v>
      </c>
      <c r="H133" s="16">
        <f t="shared" si="24"/>
        <v>0</v>
      </c>
      <c r="I133" s="12">
        <f t="shared" si="11"/>
        <v>0</v>
      </c>
      <c r="J133" s="11">
        <v>0.0</v>
      </c>
      <c r="K133" s="11">
        <v>0.0</v>
      </c>
      <c r="L133" s="16">
        <f t="shared" si="6"/>
        <v>0</v>
      </c>
      <c r="M133" s="11" t="s">
        <v>41</v>
      </c>
      <c r="N133" s="12">
        <f t="shared" si="7"/>
        <v>0</v>
      </c>
      <c r="O133" s="18">
        <f t="shared" si="8"/>
        <v>0</v>
      </c>
      <c r="P133" s="18">
        <f t="shared" si="9"/>
        <v>0</v>
      </c>
    </row>
    <row r="134">
      <c r="A134" s="2" t="s">
        <v>205</v>
      </c>
      <c r="B134" s="10">
        <v>3.0</v>
      </c>
      <c r="C134" s="12">
        <f t="shared" si="1"/>
        <v>69</v>
      </c>
      <c r="D134" s="11">
        <v>1.0</v>
      </c>
      <c r="E134" s="11">
        <v>8.0</v>
      </c>
      <c r="F134" s="12">
        <f t="shared" si="2"/>
        <v>9</v>
      </c>
      <c r="G134" s="16">
        <f t="shared" si="3"/>
        <v>0.1304347826</v>
      </c>
      <c r="H134" s="16">
        <f t="shared" si="24"/>
        <v>0.1111111111</v>
      </c>
      <c r="I134" s="12">
        <f t="shared" si="11"/>
        <v>2</v>
      </c>
      <c r="J134" s="11">
        <v>0.0</v>
      </c>
      <c r="K134" s="11">
        <v>2.0</v>
      </c>
      <c r="L134" s="16">
        <f t="shared" si="6"/>
        <v>0.02898550725</v>
      </c>
      <c r="M134" s="16">
        <f t="shared" ref="M134:M139" si="26">J134/I134</f>
        <v>0</v>
      </c>
      <c r="N134" s="12">
        <f t="shared" si="7"/>
        <v>-4</v>
      </c>
      <c r="O134" s="18">
        <f t="shared" si="8"/>
        <v>-0.05797101449</v>
      </c>
      <c r="P134" s="18">
        <f t="shared" si="9"/>
        <v>-1.333333333</v>
      </c>
    </row>
    <row r="135">
      <c r="A135" s="2" t="s">
        <v>206</v>
      </c>
      <c r="B135" s="10">
        <v>3.0</v>
      </c>
      <c r="C135" s="12">
        <f t="shared" si="1"/>
        <v>69</v>
      </c>
      <c r="D135" s="11">
        <v>0.0</v>
      </c>
      <c r="E135" s="20">
        <v>4.0</v>
      </c>
      <c r="F135" s="21">
        <f t="shared" si="2"/>
        <v>4</v>
      </c>
      <c r="G135" s="23">
        <f t="shared" si="3"/>
        <v>0.05797101449</v>
      </c>
      <c r="H135" s="23">
        <f t="shared" si="24"/>
        <v>0</v>
      </c>
      <c r="I135" s="12">
        <f t="shared" si="11"/>
        <v>1</v>
      </c>
      <c r="J135" s="11">
        <v>0.0</v>
      </c>
      <c r="K135" s="11">
        <v>1.0</v>
      </c>
      <c r="L135" s="16">
        <f t="shared" si="6"/>
        <v>0.01449275362</v>
      </c>
      <c r="M135" s="16">
        <f t="shared" si="26"/>
        <v>0</v>
      </c>
      <c r="N135" s="12">
        <f t="shared" si="7"/>
        <v>-4</v>
      </c>
      <c r="O135" s="18">
        <f t="shared" si="8"/>
        <v>-0.05797101449</v>
      </c>
      <c r="P135" s="18">
        <f t="shared" si="9"/>
        <v>-1.333333333</v>
      </c>
    </row>
    <row r="136">
      <c r="A136" s="2" t="s">
        <v>159</v>
      </c>
      <c r="B136" s="27">
        <f>2+11/23</f>
        <v>2.47826087</v>
      </c>
      <c r="C136" s="12">
        <f t="shared" si="1"/>
        <v>57</v>
      </c>
      <c r="D136" s="11">
        <v>0.0</v>
      </c>
      <c r="E136" s="11">
        <v>3.0</v>
      </c>
      <c r="F136" s="12">
        <f t="shared" si="2"/>
        <v>3</v>
      </c>
      <c r="G136" s="16">
        <f t="shared" si="3"/>
        <v>0.05263157895</v>
      </c>
      <c r="H136" s="16">
        <f t="shared" si="24"/>
        <v>0</v>
      </c>
      <c r="I136" s="12">
        <f t="shared" si="11"/>
        <v>1</v>
      </c>
      <c r="J136" s="11">
        <v>0.0</v>
      </c>
      <c r="K136" s="11">
        <v>1.0</v>
      </c>
      <c r="L136" s="16">
        <f t="shared" si="6"/>
        <v>0.01754385965</v>
      </c>
      <c r="M136" s="16">
        <f t="shared" si="26"/>
        <v>0</v>
      </c>
      <c r="N136" s="12">
        <f t="shared" si="7"/>
        <v>-4</v>
      </c>
      <c r="O136" s="18">
        <f t="shared" si="8"/>
        <v>-0.0701754386</v>
      </c>
      <c r="P136" s="18">
        <f t="shared" si="9"/>
        <v>-1.614035088</v>
      </c>
    </row>
    <row r="137">
      <c r="A137" s="2" t="s">
        <v>182</v>
      </c>
      <c r="B137" s="28">
        <f>12/23+1</f>
        <v>1.52173913</v>
      </c>
      <c r="C137" s="12">
        <f t="shared" si="1"/>
        <v>35</v>
      </c>
      <c r="D137" s="11">
        <v>0.0</v>
      </c>
      <c r="E137" s="11">
        <v>3.0</v>
      </c>
      <c r="F137" s="12">
        <f t="shared" si="2"/>
        <v>3</v>
      </c>
      <c r="G137" s="16">
        <f t="shared" si="3"/>
        <v>0.08571428571</v>
      </c>
      <c r="H137" s="16">
        <f t="shared" si="24"/>
        <v>0</v>
      </c>
      <c r="I137" s="12">
        <f t="shared" si="11"/>
        <v>1</v>
      </c>
      <c r="J137" s="11">
        <v>0.0</v>
      </c>
      <c r="K137" s="11">
        <v>1.0</v>
      </c>
      <c r="L137" s="16">
        <f t="shared" si="6"/>
        <v>0.02857142857</v>
      </c>
      <c r="M137" s="16">
        <f t="shared" si="26"/>
        <v>0</v>
      </c>
      <c r="N137" s="12">
        <f t="shared" si="7"/>
        <v>-4</v>
      </c>
      <c r="O137" s="18">
        <f t="shared" si="8"/>
        <v>-0.1142857143</v>
      </c>
      <c r="P137" s="18">
        <f t="shared" si="9"/>
        <v>-2.628571429</v>
      </c>
    </row>
    <row r="138">
      <c r="A138" s="2" t="s">
        <v>207</v>
      </c>
      <c r="B138" s="27">
        <f>2+11/23</f>
        <v>2.47826087</v>
      </c>
      <c r="C138" s="12">
        <f t="shared" si="1"/>
        <v>57</v>
      </c>
      <c r="D138" s="11">
        <v>1.0</v>
      </c>
      <c r="E138" s="11">
        <v>9.0</v>
      </c>
      <c r="F138" s="12">
        <f t="shared" si="2"/>
        <v>10</v>
      </c>
      <c r="G138" s="16">
        <f t="shared" si="3"/>
        <v>0.1754385965</v>
      </c>
      <c r="H138" s="16">
        <f t="shared" si="24"/>
        <v>0.1</v>
      </c>
      <c r="I138" s="12">
        <f t="shared" si="11"/>
        <v>3</v>
      </c>
      <c r="J138" s="11">
        <v>0.0</v>
      </c>
      <c r="K138" s="11">
        <v>3.0</v>
      </c>
      <c r="L138" s="16">
        <f t="shared" si="6"/>
        <v>0.05263157895</v>
      </c>
      <c r="M138" s="16">
        <f t="shared" si="26"/>
        <v>0</v>
      </c>
      <c r="N138" s="12">
        <f t="shared" si="7"/>
        <v>-8</v>
      </c>
      <c r="O138" s="18">
        <f t="shared" si="8"/>
        <v>-0.1403508772</v>
      </c>
      <c r="P138" s="18">
        <f t="shared" si="9"/>
        <v>-3.228070175</v>
      </c>
    </row>
    <row r="139">
      <c r="A139" s="2" t="s">
        <v>208</v>
      </c>
      <c r="B139" s="10">
        <v>1.0</v>
      </c>
      <c r="C139" s="12">
        <f t="shared" si="1"/>
        <v>23</v>
      </c>
      <c r="D139" s="11">
        <v>0.0</v>
      </c>
      <c r="E139" s="11">
        <v>4.0</v>
      </c>
      <c r="F139" s="12">
        <f t="shared" si="2"/>
        <v>4</v>
      </c>
      <c r="G139" s="16">
        <f t="shared" si="3"/>
        <v>0.1739130435</v>
      </c>
      <c r="H139" s="16">
        <f t="shared" si="24"/>
        <v>0</v>
      </c>
      <c r="I139" s="12">
        <f t="shared" si="11"/>
        <v>1</v>
      </c>
      <c r="J139" s="11">
        <v>0.0</v>
      </c>
      <c r="K139" s="11">
        <v>1.0</v>
      </c>
      <c r="L139" s="16">
        <f t="shared" si="6"/>
        <v>0.04347826087</v>
      </c>
      <c r="M139" s="16">
        <f t="shared" si="26"/>
        <v>0</v>
      </c>
      <c r="N139" s="12">
        <f t="shared" si="7"/>
        <v>-4</v>
      </c>
      <c r="O139" s="18">
        <f t="shared" si="8"/>
        <v>-0.1739130435</v>
      </c>
      <c r="P139" s="18">
        <f t="shared" si="9"/>
        <v>-4</v>
      </c>
    </row>
    <row r="140">
      <c r="A140" s="34"/>
      <c r="B140" s="35"/>
      <c r="G140" s="30"/>
      <c r="H140" s="30"/>
      <c r="L140" s="30"/>
      <c r="M140" s="30"/>
      <c r="O140" s="32"/>
      <c r="P140" s="32"/>
    </row>
    <row r="141">
      <c r="A141" s="34"/>
      <c r="B141" s="35"/>
      <c r="G141" s="30"/>
      <c r="H141" s="30"/>
      <c r="L141" s="30"/>
      <c r="M141" s="30"/>
      <c r="O141" s="32"/>
      <c r="P141" s="32"/>
    </row>
    <row r="142">
      <c r="B142" s="35"/>
      <c r="G142" s="30"/>
      <c r="H142" s="30"/>
      <c r="L142" s="30"/>
      <c r="M142" s="30"/>
      <c r="O142" s="32"/>
      <c r="P142" s="32"/>
    </row>
    <row r="143">
      <c r="B143" s="35"/>
      <c r="G143" s="30"/>
      <c r="H143" s="30"/>
      <c r="L143" s="30"/>
      <c r="M143" s="30"/>
      <c r="O143" s="32"/>
      <c r="P143" s="32"/>
    </row>
    <row r="144">
      <c r="B144" s="35"/>
      <c r="G144" s="30"/>
      <c r="H144" s="30"/>
      <c r="L144" s="30"/>
      <c r="M144" s="30"/>
      <c r="O144" s="32"/>
      <c r="P144" s="32"/>
    </row>
    <row r="145">
      <c r="B145" s="35"/>
      <c r="G145" s="30"/>
      <c r="H145" s="30"/>
      <c r="L145" s="30"/>
      <c r="M145" s="30"/>
      <c r="O145" s="32"/>
      <c r="P145" s="32"/>
    </row>
    <row r="146">
      <c r="B146" s="35"/>
      <c r="G146" s="30"/>
      <c r="H146" s="30"/>
      <c r="L146" s="30"/>
      <c r="M146" s="30"/>
      <c r="O146" s="32"/>
      <c r="P146" s="32"/>
    </row>
    <row r="147">
      <c r="B147" s="35"/>
      <c r="G147" s="30"/>
      <c r="H147" s="30"/>
      <c r="L147" s="30"/>
      <c r="M147" s="30"/>
      <c r="O147" s="32"/>
      <c r="P147" s="32"/>
    </row>
    <row r="148">
      <c r="B148" s="35"/>
      <c r="G148" s="30"/>
      <c r="H148" s="30"/>
      <c r="L148" s="30"/>
      <c r="M148" s="30"/>
      <c r="O148" s="32"/>
      <c r="P148" s="32"/>
    </row>
    <row r="149">
      <c r="B149" s="35"/>
      <c r="G149" s="30"/>
      <c r="H149" s="30"/>
      <c r="L149" s="30"/>
      <c r="M149" s="30"/>
      <c r="O149" s="32"/>
      <c r="P149" s="32"/>
    </row>
    <row r="150">
      <c r="B150" s="35"/>
      <c r="G150" s="30"/>
      <c r="H150" s="30"/>
      <c r="L150" s="30"/>
      <c r="M150" s="30"/>
      <c r="O150" s="32"/>
      <c r="P150" s="32"/>
    </row>
    <row r="151">
      <c r="B151" s="35"/>
      <c r="G151" s="30"/>
      <c r="H151" s="30"/>
      <c r="L151" s="30"/>
      <c r="M151" s="30"/>
      <c r="O151" s="32"/>
      <c r="P151" s="32"/>
    </row>
    <row r="152">
      <c r="B152" s="35"/>
      <c r="G152" s="30"/>
      <c r="H152" s="30"/>
      <c r="L152" s="30"/>
      <c r="M152" s="30"/>
      <c r="O152" s="32"/>
      <c r="P152" s="32"/>
    </row>
    <row r="153">
      <c r="B153" s="35"/>
      <c r="G153" s="30"/>
      <c r="H153" s="30"/>
      <c r="L153" s="30"/>
      <c r="M153" s="30"/>
      <c r="O153" s="32"/>
      <c r="P153" s="32"/>
    </row>
    <row r="154">
      <c r="B154" s="35"/>
      <c r="G154" s="30"/>
      <c r="H154" s="30"/>
      <c r="L154" s="30"/>
      <c r="M154" s="30"/>
      <c r="O154" s="32"/>
      <c r="P154" s="32"/>
    </row>
    <row r="155">
      <c r="B155" s="35"/>
      <c r="G155" s="30"/>
      <c r="H155" s="30"/>
      <c r="L155" s="30"/>
      <c r="M155" s="30"/>
      <c r="O155" s="32"/>
      <c r="P155" s="32"/>
    </row>
    <row r="156">
      <c r="B156" s="35"/>
      <c r="G156" s="30"/>
      <c r="H156" s="30"/>
      <c r="L156" s="30"/>
      <c r="M156" s="30"/>
      <c r="O156" s="32"/>
      <c r="P156" s="32"/>
    </row>
    <row r="157">
      <c r="B157" s="35"/>
      <c r="G157" s="30"/>
      <c r="H157" s="30"/>
      <c r="L157" s="30"/>
      <c r="M157" s="30"/>
      <c r="O157" s="32"/>
      <c r="P157" s="32"/>
    </row>
    <row r="158">
      <c r="B158" s="35"/>
      <c r="G158" s="30"/>
      <c r="H158" s="30"/>
      <c r="L158" s="30"/>
      <c r="M158" s="30"/>
      <c r="O158" s="32"/>
      <c r="P158" s="32"/>
    </row>
    <row r="159">
      <c r="B159" s="35"/>
      <c r="G159" s="30"/>
      <c r="H159" s="30"/>
      <c r="L159" s="30"/>
      <c r="M159" s="30"/>
      <c r="O159" s="32"/>
      <c r="P159" s="32"/>
    </row>
    <row r="160">
      <c r="B160" s="35"/>
      <c r="G160" s="30"/>
      <c r="H160" s="30"/>
      <c r="L160" s="30"/>
      <c r="M160" s="30"/>
      <c r="O160" s="32"/>
      <c r="P160" s="32"/>
    </row>
    <row r="161">
      <c r="B161" s="35"/>
      <c r="G161" s="30"/>
      <c r="H161" s="30"/>
      <c r="L161" s="30"/>
      <c r="M161" s="30"/>
      <c r="O161" s="32"/>
      <c r="P161" s="32"/>
    </row>
    <row r="162">
      <c r="B162" s="35"/>
      <c r="G162" s="30"/>
      <c r="H162" s="30"/>
      <c r="L162" s="30"/>
      <c r="M162" s="30"/>
      <c r="O162" s="32"/>
      <c r="P162" s="32"/>
    </row>
    <row r="163">
      <c r="B163" s="35"/>
      <c r="G163" s="30"/>
      <c r="H163" s="30"/>
      <c r="L163" s="30"/>
      <c r="M163" s="30"/>
      <c r="O163" s="32"/>
      <c r="P163" s="32"/>
    </row>
    <row r="164">
      <c r="B164" s="35"/>
      <c r="G164" s="30"/>
      <c r="H164" s="30"/>
      <c r="L164" s="30"/>
      <c r="M164" s="30"/>
      <c r="O164" s="32"/>
      <c r="P164" s="32"/>
    </row>
    <row r="165">
      <c r="B165" s="35"/>
      <c r="G165" s="30"/>
      <c r="H165" s="30"/>
      <c r="L165" s="30"/>
      <c r="M165" s="30"/>
      <c r="O165" s="32"/>
      <c r="P165" s="32"/>
    </row>
    <row r="166">
      <c r="B166" s="35"/>
      <c r="G166" s="30"/>
      <c r="H166" s="30"/>
      <c r="L166" s="30"/>
      <c r="M166" s="30"/>
      <c r="O166" s="32"/>
      <c r="P166" s="32"/>
    </row>
    <row r="167">
      <c r="B167" s="35"/>
      <c r="G167" s="30"/>
      <c r="H167" s="30"/>
      <c r="L167" s="30"/>
      <c r="M167" s="30"/>
      <c r="O167" s="32"/>
      <c r="P167" s="32"/>
    </row>
    <row r="168">
      <c r="B168" s="35"/>
      <c r="G168" s="30"/>
      <c r="H168" s="30"/>
      <c r="L168" s="30"/>
      <c r="M168" s="30"/>
      <c r="O168" s="32"/>
      <c r="P168" s="32"/>
    </row>
    <row r="169">
      <c r="B169" s="35"/>
      <c r="G169" s="30"/>
      <c r="H169" s="30"/>
      <c r="L169" s="30"/>
      <c r="M169" s="30"/>
      <c r="O169" s="32"/>
      <c r="P169" s="32"/>
    </row>
    <row r="170">
      <c r="B170" s="35"/>
      <c r="G170" s="30"/>
      <c r="H170" s="30"/>
      <c r="L170" s="30"/>
      <c r="M170" s="30"/>
      <c r="O170" s="32"/>
      <c r="P170" s="32"/>
    </row>
    <row r="171">
      <c r="B171" s="35"/>
      <c r="G171" s="30"/>
      <c r="H171" s="30"/>
      <c r="L171" s="30"/>
      <c r="M171" s="30"/>
      <c r="O171" s="32"/>
      <c r="P171" s="32"/>
    </row>
    <row r="172">
      <c r="B172" s="35"/>
      <c r="G172" s="30"/>
      <c r="H172" s="30"/>
      <c r="L172" s="30"/>
      <c r="M172" s="30"/>
      <c r="O172" s="32"/>
      <c r="P172" s="32"/>
    </row>
    <row r="173">
      <c r="B173" s="35"/>
      <c r="G173" s="30"/>
      <c r="H173" s="30"/>
      <c r="L173" s="30"/>
      <c r="M173" s="30"/>
      <c r="O173" s="32"/>
      <c r="P173" s="32"/>
    </row>
    <row r="174">
      <c r="B174" s="35"/>
      <c r="G174" s="30"/>
      <c r="H174" s="30"/>
      <c r="L174" s="30"/>
      <c r="M174" s="30"/>
      <c r="O174" s="32"/>
      <c r="P174" s="32"/>
    </row>
    <row r="175">
      <c r="B175" s="35"/>
      <c r="G175" s="30"/>
      <c r="H175" s="30"/>
      <c r="L175" s="30"/>
      <c r="M175" s="30"/>
      <c r="O175" s="32"/>
      <c r="P175" s="32"/>
    </row>
    <row r="176">
      <c r="B176" s="35"/>
      <c r="G176" s="30"/>
      <c r="H176" s="30"/>
      <c r="L176" s="30"/>
      <c r="M176" s="30"/>
      <c r="O176" s="32"/>
      <c r="P176" s="32"/>
    </row>
    <row r="177">
      <c r="B177" s="35"/>
      <c r="G177" s="30"/>
      <c r="H177" s="30"/>
      <c r="L177" s="30"/>
      <c r="M177" s="30"/>
      <c r="O177" s="32"/>
      <c r="P177" s="32"/>
    </row>
    <row r="178">
      <c r="B178" s="35"/>
      <c r="G178" s="30"/>
      <c r="H178" s="30"/>
      <c r="L178" s="30"/>
      <c r="M178" s="30"/>
      <c r="O178" s="32"/>
      <c r="P178" s="32"/>
    </row>
    <row r="179">
      <c r="B179" s="35"/>
      <c r="G179" s="30"/>
      <c r="H179" s="30"/>
      <c r="L179" s="30"/>
      <c r="M179" s="30"/>
      <c r="O179" s="32"/>
      <c r="P179" s="32"/>
    </row>
    <row r="180">
      <c r="B180" s="35"/>
      <c r="G180" s="30"/>
      <c r="H180" s="30"/>
      <c r="L180" s="30"/>
      <c r="M180" s="30"/>
      <c r="O180" s="32"/>
      <c r="P180" s="32"/>
    </row>
    <row r="181">
      <c r="B181" s="35"/>
      <c r="G181" s="30"/>
      <c r="H181" s="30"/>
      <c r="L181" s="30"/>
      <c r="M181" s="30"/>
      <c r="O181" s="32"/>
      <c r="P181" s="32"/>
    </row>
    <row r="182">
      <c r="B182" s="35"/>
      <c r="G182" s="30"/>
      <c r="H182" s="30"/>
      <c r="L182" s="30"/>
      <c r="M182" s="30"/>
      <c r="O182" s="32"/>
      <c r="P182" s="32"/>
    </row>
    <row r="183">
      <c r="B183" s="35"/>
      <c r="G183" s="30"/>
      <c r="H183" s="30"/>
      <c r="L183" s="30"/>
      <c r="M183" s="30"/>
      <c r="O183" s="32"/>
      <c r="P183" s="32"/>
    </row>
    <row r="184">
      <c r="B184" s="35"/>
      <c r="G184" s="30"/>
      <c r="H184" s="30"/>
      <c r="L184" s="30"/>
      <c r="M184" s="30"/>
      <c r="O184" s="32"/>
      <c r="P184" s="32"/>
    </row>
    <row r="185">
      <c r="B185" s="35"/>
      <c r="G185" s="30"/>
      <c r="H185" s="30"/>
      <c r="L185" s="30"/>
      <c r="M185" s="30"/>
      <c r="O185" s="32"/>
      <c r="P185" s="32"/>
    </row>
    <row r="186">
      <c r="B186" s="35"/>
      <c r="G186" s="30"/>
      <c r="H186" s="30"/>
      <c r="L186" s="30"/>
      <c r="M186" s="30"/>
      <c r="O186" s="32"/>
      <c r="P186" s="32"/>
    </row>
    <row r="187">
      <c r="B187" s="35"/>
      <c r="G187" s="30"/>
      <c r="H187" s="30"/>
      <c r="L187" s="30"/>
      <c r="M187" s="30"/>
      <c r="O187" s="32"/>
      <c r="P187" s="32"/>
    </row>
    <row r="188">
      <c r="B188" s="35"/>
      <c r="G188" s="30"/>
      <c r="H188" s="30"/>
      <c r="L188" s="30"/>
      <c r="M188" s="30"/>
      <c r="O188" s="32"/>
      <c r="P188" s="32"/>
    </row>
    <row r="189">
      <c r="B189" s="35"/>
      <c r="G189" s="30"/>
      <c r="H189" s="30"/>
      <c r="L189" s="30"/>
      <c r="M189" s="30"/>
      <c r="O189" s="32"/>
      <c r="P189" s="32"/>
    </row>
    <row r="190">
      <c r="B190" s="35"/>
      <c r="G190" s="30"/>
      <c r="H190" s="30"/>
      <c r="L190" s="30"/>
      <c r="M190" s="30"/>
      <c r="O190" s="32"/>
      <c r="P190" s="32"/>
    </row>
    <row r="191">
      <c r="B191" s="35"/>
      <c r="G191" s="30"/>
      <c r="H191" s="30"/>
      <c r="L191" s="30"/>
      <c r="M191" s="30"/>
      <c r="O191" s="32"/>
      <c r="P191" s="32"/>
    </row>
    <row r="192">
      <c r="B192" s="35"/>
      <c r="G192" s="30"/>
      <c r="H192" s="30"/>
      <c r="L192" s="30"/>
      <c r="M192" s="30"/>
      <c r="O192" s="32"/>
      <c r="P192" s="32"/>
    </row>
    <row r="193">
      <c r="B193" s="35"/>
      <c r="G193" s="30"/>
      <c r="H193" s="30"/>
      <c r="L193" s="30"/>
      <c r="M193" s="30"/>
      <c r="O193" s="32"/>
      <c r="P193" s="32"/>
    </row>
    <row r="194">
      <c r="B194" s="35"/>
      <c r="G194" s="30"/>
      <c r="H194" s="30"/>
      <c r="L194" s="30"/>
      <c r="M194" s="30"/>
      <c r="O194" s="32"/>
      <c r="P194" s="32"/>
    </row>
    <row r="195">
      <c r="B195" s="35"/>
      <c r="G195" s="30"/>
      <c r="H195" s="30"/>
      <c r="L195" s="30"/>
      <c r="M195" s="30"/>
      <c r="O195" s="32"/>
      <c r="P195" s="32"/>
    </row>
    <row r="196">
      <c r="B196" s="35"/>
      <c r="G196" s="30"/>
      <c r="H196" s="30"/>
      <c r="L196" s="30"/>
      <c r="M196" s="30"/>
      <c r="O196" s="32"/>
      <c r="P196" s="32"/>
    </row>
    <row r="197">
      <c r="B197" s="35"/>
      <c r="G197" s="30"/>
      <c r="H197" s="30"/>
      <c r="L197" s="30"/>
      <c r="M197" s="30"/>
      <c r="O197" s="32"/>
      <c r="P197" s="32"/>
    </row>
    <row r="198">
      <c r="B198" s="35"/>
      <c r="G198" s="30"/>
      <c r="H198" s="30"/>
      <c r="L198" s="30"/>
      <c r="M198" s="30"/>
      <c r="O198" s="32"/>
      <c r="P198" s="32"/>
    </row>
    <row r="199">
      <c r="B199" s="35"/>
      <c r="G199" s="30"/>
      <c r="H199" s="30"/>
      <c r="L199" s="30"/>
      <c r="M199" s="30"/>
      <c r="O199" s="32"/>
      <c r="P199" s="32"/>
    </row>
    <row r="200">
      <c r="B200" s="35"/>
      <c r="G200" s="30"/>
      <c r="H200" s="30"/>
      <c r="L200" s="30"/>
      <c r="M200" s="30"/>
      <c r="O200" s="32"/>
      <c r="P200" s="32"/>
    </row>
    <row r="201">
      <c r="B201" s="35"/>
      <c r="G201" s="30"/>
      <c r="H201" s="30"/>
      <c r="L201" s="30"/>
      <c r="M201" s="30"/>
      <c r="O201" s="32"/>
      <c r="P201" s="32"/>
    </row>
    <row r="202">
      <c r="B202" s="35"/>
      <c r="G202" s="30"/>
      <c r="H202" s="30"/>
      <c r="L202" s="30"/>
      <c r="M202" s="30"/>
      <c r="O202" s="32"/>
      <c r="P202" s="32"/>
    </row>
    <row r="203">
      <c r="B203" s="35"/>
      <c r="G203" s="30"/>
      <c r="H203" s="30"/>
      <c r="L203" s="30"/>
      <c r="M203" s="30"/>
      <c r="O203" s="32"/>
      <c r="P203" s="32"/>
    </row>
    <row r="204">
      <c r="B204" s="35"/>
      <c r="G204" s="30"/>
      <c r="H204" s="30"/>
      <c r="L204" s="30"/>
      <c r="M204" s="30"/>
      <c r="O204" s="32"/>
      <c r="P204" s="32"/>
    </row>
    <row r="205">
      <c r="B205" s="35"/>
      <c r="G205" s="30"/>
      <c r="H205" s="30"/>
      <c r="L205" s="30"/>
      <c r="M205" s="30"/>
      <c r="O205" s="32"/>
      <c r="P205" s="32"/>
    </row>
    <row r="206">
      <c r="B206" s="35"/>
      <c r="G206" s="30"/>
      <c r="H206" s="30"/>
      <c r="L206" s="30"/>
      <c r="M206" s="30"/>
      <c r="O206" s="32"/>
      <c r="P206" s="32"/>
    </row>
    <row r="207">
      <c r="B207" s="35"/>
      <c r="G207" s="30"/>
      <c r="H207" s="30"/>
      <c r="L207" s="30"/>
      <c r="M207" s="30"/>
      <c r="O207" s="32"/>
      <c r="P207" s="32"/>
    </row>
    <row r="208">
      <c r="B208" s="35"/>
      <c r="G208" s="30"/>
      <c r="H208" s="30"/>
      <c r="L208" s="30"/>
      <c r="M208" s="30"/>
      <c r="O208" s="32"/>
      <c r="P208" s="32"/>
    </row>
    <row r="209">
      <c r="B209" s="35"/>
      <c r="G209" s="30"/>
      <c r="H209" s="30"/>
      <c r="L209" s="30"/>
      <c r="M209" s="30"/>
      <c r="O209" s="32"/>
      <c r="P209" s="32"/>
    </row>
    <row r="210">
      <c r="B210" s="35"/>
      <c r="G210" s="30"/>
      <c r="H210" s="30"/>
      <c r="L210" s="30"/>
      <c r="M210" s="30"/>
      <c r="O210" s="32"/>
      <c r="P210" s="32"/>
    </row>
    <row r="211">
      <c r="B211" s="35"/>
      <c r="G211" s="30"/>
      <c r="H211" s="30"/>
      <c r="L211" s="30"/>
      <c r="M211" s="30"/>
      <c r="O211" s="32"/>
      <c r="P211" s="32"/>
    </row>
    <row r="212">
      <c r="B212" s="35"/>
      <c r="G212" s="30"/>
      <c r="H212" s="30"/>
      <c r="L212" s="30"/>
      <c r="M212" s="30"/>
      <c r="O212" s="32"/>
      <c r="P212" s="32"/>
    </row>
    <row r="213">
      <c r="B213" s="35"/>
      <c r="G213" s="30"/>
      <c r="H213" s="30"/>
      <c r="L213" s="30"/>
      <c r="M213" s="30"/>
      <c r="O213" s="32"/>
      <c r="P213" s="32"/>
    </row>
    <row r="214">
      <c r="B214" s="35"/>
      <c r="G214" s="30"/>
      <c r="H214" s="30"/>
      <c r="L214" s="30"/>
      <c r="M214" s="30"/>
      <c r="O214" s="32"/>
      <c r="P214" s="32"/>
    </row>
    <row r="215">
      <c r="B215" s="35"/>
      <c r="G215" s="30"/>
      <c r="H215" s="30"/>
      <c r="L215" s="30"/>
      <c r="M215" s="30"/>
      <c r="O215" s="32"/>
      <c r="P215" s="32"/>
    </row>
    <row r="216">
      <c r="B216" s="35"/>
      <c r="G216" s="30"/>
      <c r="H216" s="30"/>
      <c r="L216" s="30"/>
      <c r="M216" s="30"/>
      <c r="O216" s="32"/>
      <c r="P216" s="32"/>
    </row>
    <row r="217">
      <c r="B217" s="35"/>
      <c r="G217" s="30"/>
      <c r="H217" s="30"/>
      <c r="L217" s="30"/>
      <c r="M217" s="30"/>
      <c r="O217" s="32"/>
      <c r="P217" s="32"/>
    </row>
    <row r="218">
      <c r="B218" s="35"/>
      <c r="G218" s="30"/>
      <c r="H218" s="30"/>
      <c r="L218" s="30"/>
      <c r="M218" s="30"/>
      <c r="O218" s="32"/>
      <c r="P218" s="32"/>
    </row>
    <row r="219">
      <c r="B219" s="35"/>
      <c r="G219" s="30"/>
      <c r="H219" s="30"/>
      <c r="L219" s="30"/>
      <c r="M219" s="30"/>
      <c r="O219" s="32"/>
      <c r="P219" s="32"/>
    </row>
    <row r="220">
      <c r="B220" s="35"/>
      <c r="G220" s="30"/>
      <c r="H220" s="30"/>
      <c r="L220" s="30"/>
      <c r="M220" s="30"/>
      <c r="O220" s="32"/>
      <c r="P220" s="32"/>
    </row>
    <row r="221">
      <c r="B221" s="35"/>
      <c r="G221" s="30"/>
      <c r="H221" s="30"/>
      <c r="L221" s="30"/>
      <c r="M221" s="30"/>
      <c r="O221" s="32"/>
      <c r="P221" s="32"/>
    </row>
    <row r="222">
      <c r="B222" s="35"/>
      <c r="G222" s="30"/>
      <c r="H222" s="30"/>
      <c r="L222" s="30"/>
      <c r="M222" s="30"/>
      <c r="O222" s="32"/>
      <c r="P222" s="32"/>
    </row>
    <row r="223">
      <c r="B223" s="35"/>
      <c r="G223" s="30"/>
      <c r="H223" s="30"/>
      <c r="L223" s="30"/>
      <c r="M223" s="30"/>
      <c r="O223" s="32"/>
      <c r="P223" s="32"/>
    </row>
    <row r="224">
      <c r="B224" s="35"/>
      <c r="G224" s="30"/>
      <c r="H224" s="30"/>
      <c r="L224" s="30"/>
      <c r="M224" s="30"/>
      <c r="O224" s="32"/>
      <c r="P224" s="32"/>
    </row>
    <row r="225">
      <c r="B225" s="35"/>
      <c r="G225" s="30"/>
      <c r="H225" s="30"/>
      <c r="L225" s="30"/>
      <c r="M225" s="30"/>
      <c r="O225" s="32"/>
      <c r="P225" s="32"/>
    </row>
    <row r="226">
      <c r="B226" s="35"/>
      <c r="G226" s="30"/>
      <c r="H226" s="30"/>
      <c r="L226" s="30"/>
      <c r="M226" s="30"/>
      <c r="O226" s="32"/>
      <c r="P226" s="32"/>
    </row>
    <row r="227">
      <c r="B227" s="35"/>
      <c r="G227" s="30"/>
      <c r="H227" s="30"/>
      <c r="L227" s="30"/>
      <c r="M227" s="30"/>
      <c r="O227" s="32"/>
      <c r="P227" s="32"/>
    </row>
    <row r="228">
      <c r="B228" s="35"/>
      <c r="G228" s="30"/>
      <c r="H228" s="30"/>
      <c r="L228" s="30"/>
      <c r="M228" s="30"/>
      <c r="O228" s="32"/>
      <c r="P228" s="32"/>
    </row>
    <row r="229">
      <c r="B229" s="35"/>
      <c r="G229" s="30"/>
      <c r="H229" s="30"/>
      <c r="L229" s="30"/>
      <c r="M229" s="30"/>
      <c r="O229" s="32"/>
      <c r="P229" s="32"/>
    </row>
    <row r="230">
      <c r="B230" s="35"/>
      <c r="G230" s="30"/>
      <c r="H230" s="30"/>
      <c r="L230" s="30"/>
      <c r="M230" s="30"/>
      <c r="O230" s="32"/>
      <c r="P230" s="32"/>
    </row>
    <row r="231">
      <c r="B231" s="35"/>
      <c r="G231" s="30"/>
      <c r="H231" s="30"/>
      <c r="L231" s="30"/>
      <c r="M231" s="30"/>
      <c r="O231" s="32"/>
      <c r="P231" s="32"/>
    </row>
    <row r="232">
      <c r="B232" s="35"/>
      <c r="G232" s="30"/>
      <c r="H232" s="30"/>
      <c r="L232" s="30"/>
      <c r="M232" s="30"/>
      <c r="O232" s="32"/>
      <c r="P232" s="32"/>
    </row>
    <row r="233">
      <c r="B233" s="35"/>
      <c r="G233" s="30"/>
      <c r="H233" s="30"/>
      <c r="L233" s="30"/>
      <c r="M233" s="30"/>
      <c r="O233" s="32"/>
      <c r="P233" s="32"/>
    </row>
    <row r="234">
      <c r="B234" s="35"/>
      <c r="G234" s="30"/>
      <c r="H234" s="30"/>
      <c r="L234" s="30"/>
      <c r="M234" s="30"/>
      <c r="O234" s="32"/>
      <c r="P234" s="32"/>
    </row>
    <row r="235">
      <c r="B235" s="35"/>
      <c r="G235" s="30"/>
      <c r="H235" s="30"/>
      <c r="L235" s="30"/>
      <c r="M235" s="30"/>
      <c r="O235" s="32"/>
      <c r="P235" s="32"/>
    </row>
    <row r="236">
      <c r="B236" s="35"/>
      <c r="G236" s="30"/>
      <c r="H236" s="30"/>
      <c r="L236" s="30"/>
      <c r="M236" s="30"/>
      <c r="O236" s="32"/>
      <c r="P236" s="32"/>
    </row>
    <row r="237">
      <c r="B237" s="35"/>
      <c r="G237" s="30"/>
      <c r="H237" s="30"/>
      <c r="L237" s="30"/>
      <c r="M237" s="30"/>
      <c r="O237" s="32"/>
      <c r="P237" s="32"/>
    </row>
    <row r="238">
      <c r="B238" s="35"/>
      <c r="G238" s="30"/>
      <c r="H238" s="30"/>
      <c r="L238" s="30"/>
      <c r="M238" s="30"/>
      <c r="O238" s="32"/>
      <c r="P238" s="32"/>
    </row>
    <row r="239">
      <c r="B239" s="35"/>
      <c r="G239" s="30"/>
      <c r="H239" s="30"/>
      <c r="L239" s="30"/>
      <c r="M239" s="30"/>
      <c r="O239" s="32"/>
      <c r="P239" s="32"/>
    </row>
    <row r="240">
      <c r="B240" s="35"/>
      <c r="G240" s="30"/>
      <c r="H240" s="30"/>
      <c r="L240" s="30"/>
      <c r="M240" s="30"/>
      <c r="O240" s="32"/>
      <c r="P240" s="32"/>
    </row>
    <row r="241">
      <c r="B241" s="35"/>
      <c r="G241" s="30"/>
      <c r="H241" s="30"/>
      <c r="L241" s="30"/>
      <c r="M241" s="30"/>
      <c r="O241" s="32"/>
      <c r="P241" s="32"/>
    </row>
    <row r="242">
      <c r="B242" s="35"/>
      <c r="G242" s="30"/>
      <c r="H242" s="30"/>
      <c r="L242" s="30"/>
      <c r="M242" s="30"/>
      <c r="O242" s="32"/>
      <c r="P242" s="32"/>
    </row>
    <row r="243">
      <c r="B243" s="35"/>
      <c r="G243" s="30"/>
      <c r="H243" s="30"/>
      <c r="L243" s="30"/>
      <c r="M243" s="30"/>
      <c r="O243" s="32"/>
      <c r="P243" s="32"/>
    </row>
    <row r="244">
      <c r="B244" s="35"/>
      <c r="G244" s="30"/>
      <c r="H244" s="30"/>
      <c r="L244" s="30"/>
      <c r="M244" s="30"/>
      <c r="O244" s="32"/>
      <c r="P244" s="32"/>
    </row>
    <row r="245">
      <c r="B245" s="35"/>
      <c r="G245" s="30"/>
      <c r="H245" s="30"/>
      <c r="L245" s="30"/>
      <c r="M245" s="30"/>
      <c r="O245" s="32"/>
      <c r="P245" s="32"/>
    </row>
    <row r="246">
      <c r="B246" s="35"/>
      <c r="G246" s="30"/>
      <c r="H246" s="30"/>
      <c r="L246" s="30"/>
      <c r="M246" s="30"/>
      <c r="O246" s="32"/>
      <c r="P246" s="32"/>
    </row>
    <row r="247">
      <c r="B247" s="35"/>
      <c r="G247" s="30"/>
      <c r="H247" s="30"/>
      <c r="L247" s="30"/>
      <c r="M247" s="30"/>
      <c r="O247" s="32"/>
      <c r="P247" s="32"/>
    </row>
    <row r="248">
      <c r="B248" s="35"/>
      <c r="G248" s="30"/>
      <c r="H248" s="30"/>
      <c r="L248" s="30"/>
      <c r="M248" s="30"/>
      <c r="O248" s="32"/>
      <c r="P248" s="32"/>
    </row>
    <row r="249">
      <c r="B249" s="35"/>
      <c r="G249" s="30"/>
      <c r="H249" s="30"/>
      <c r="L249" s="30"/>
      <c r="M249" s="30"/>
      <c r="O249" s="32"/>
      <c r="P249" s="32"/>
    </row>
    <row r="250">
      <c r="B250" s="35"/>
      <c r="G250" s="30"/>
      <c r="H250" s="30"/>
      <c r="L250" s="30"/>
      <c r="M250" s="30"/>
      <c r="O250" s="32"/>
      <c r="P250" s="32"/>
    </row>
    <row r="251">
      <c r="B251" s="35"/>
      <c r="G251" s="30"/>
      <c r="H251" s="30"/>
      <c r="L251" s="30"/>
      <c r="M251" s="30"/>
      <c r="O251" s="32"/>
      <c r="P251" s="32"/>
    </row>
    <row r="252">
      <c r="B252" s="35"/>
      <c r="G252" s="30"/>
      <c r="H252" s="30"/>
      <c r="L252" s="30"/>
      <c r="M252" s="30"/>
      <c r="O252" s="32"/>
      <c r="P252" s="32"/>
    </row>
    <row r="253">
      <c r="B253" s="35"/>
      <c r="G253" s="30"/>
      <c r="H253" s="30"/>
      <c r="L253" s="30"/>
      <c r="M253" s="30"/>
      <c r="O253" s="32"/>
      <c r="P253" s="32"/>
    </row>
    <row r="254">
      <c r="B254" s="35"/>
      <c r="G254" s="30"/>
      <c r="H254" s="30"/>
      <c r="L254" s="30"/>
      <c r="M254" s="30"/>
      <c r="O254" s="32"/>
      <c r="P254" s="32"/>
    </row>
    <row r="255">
      <c r="B255" s="35"/>
      <c r="G255" s="30"/>
      <c r="H255" s="30"/>
      <c r="L255" s="30"/>
      <c r="M255" s="30"/>
      <c r="O255" s="32"/>
      <c r="P255" s="32"/>
    </row>
    <row r="256">
      <c r="B256" s="35"/>
      <c r="G256" s="30"/>
      <c r="H256" s="30"/>
      <c r="L256" s="30"/>
      <c r="M256" s="30"/>
      <c r="O256" s="32"/>
      <c r="P256" s="32"/>
    </row>
    <row r="257">
      <c r="B257" s="35"/>
      <c r="G257" s="30"/>
      <c r="H257" s="30"/>
      <c r="L257" s="30"/>
      <c r="M257" s="30"/>
      <c r="O257" s="32"/>
      <c r="P257" s="32"/>
    </row>
    <row r="258">
      <c r="B258" s="35"/>
      <c r="G258" s="30"/>
      <c r="H258" s="30"/>
      <c r="L258" s="30"/>
      <c r="M258" s="30"/>
      <c r="O258" s="32"/>
      <c r="P258" s="32"/>
    </row>
    <row r="259">
      <c r="B259" s="35"/>
      <c r="G259" s="30"/>
      <c r="H259" s="30"/>
      <c r="L259" s="30"/>
      <c r="M259" s="30"/>
      <c r="O259" s="32"/>
      <c r="P259" s="32"/>
    </row>
    <row r="260">
      <c r="B260" s="35"/>
      <c r="G260" s="30"/>
      <c r="H260" s="30"/>
      <c r="L260" s="30"/>
      <c r="M260" s="30"/>
      <c r="O260" s="32"/>
      <c r="P260" s="32"/>
    </row>
    <row r="261">
      <c r="B261" s="35"/>
      <c r="G261" s="30"/>
      <c r="H261" s="30"/>
      <c r="L261" s="30"/>
      <c r="M261" s="30"/>
      <c r="O261" s="32"/>
      <c r="P261" s="32"/>
    </row>
    <row r="262">
      <c r="B262" s="35"/>
      <c r="G262" s="30"/>
      <c r="H262" s="30"/>
      <c r="L262" s="30"/>
      <c r="M262" s="30"/>
      <c r="O262" s="32"/>
      <c r="P262" s="32"/>
    </row>
    <row r="263">
      <c r="B263" s="35"/>
      <c r="G263" s="30"/>
      <c r="H263" s="30"/>
      <c r="L263" s="30"/>
      <c r="M263" s="30"/>
      <c r="O263" s="32"/>
      <c r="P263" s="32"/>
    </row>
    <row r="264">
      <c r="B264" s="35"/>
      <c r="G264" s="30"/>
      <c r="H264" s="30"/>
      <c r="L264" s="30"/>
      <c r="M264" s="30"/>
      <c r="O264" s="32"/>
      <c r="P264" s="32"/>
    </row>
    <row r="265">
      <c r="B265" s="35"/>
      <c r="G265" s="30"/>
      <c r="H265" s="30"/>
      <c r="L265" s="30"/>
      <c r="M265" s="30"/>
      <c r="O265" s="32"/>
      <c r="P265" s="32"/>
    </row>
    <row r="266">
      <c r="B266" s="35"/>
      <c r="G266" s="30"/>
      <c r="H266" s="30"/>
      <c r="L266" s="30"/>
      <c r="M266" s="30"/>
      <c r="O266" s="32"/>
      <c r="P266" s="32"/>
    </row>
    <row r="267">
      <c r="B267" s="35"/>
      <c r="G267" s="30"/>
      <c r="H267" s="30"/>
      <c r="L267" s="30"/>
      <c r="M267" s="30"/>
      <c r="O267" s="32"/>
      <c r="P267" s="32"/>
    </row>
    <row r="268">
      <c r="B268" s="35"/>
      <c r="G268" s="30"/>
      <c r="H268" s="30"/>
      <c r="L268" s="30"/>
      <c r="M268" s="30"/>
      <c r="O268" s="32"/>
      <c r="P268" s="32"/>
    </row>
    <row r="269">
      <c r="B269" s="35"/>
      <c r="G269" s="30"/>
      <c r="H269" s="30"/>
      <c r="L269" s="30"/>
      <c r="M269" s="30"/>
      <c r="O269" s="32"/>
      <c r="P269" s="32"/>
    </row>
    <row r="270">
      <c r="B270" s="35"/>
      <c r="G270" s="30"/>
      <c r="H270" s="30"/>
      <c r="L270" s="30"/>
      <c r="M270" s="30"/>
      <c r="O270" s="32"/>
      <c r="P270" s="32"/>
    </row>
    <row r="271">
      <c r="B271" s="35"/>
      <c r="G271" s="30"/>
      <c r="H271" s="30"/>
      <c r="L271" s="30"/>
      <c r="M271" s="30"/>
      <c r="O271" s="32"/>
      <c r="P271" s="32"/>
    </row>
    <row r="272">
      <c r="B272" s="35"/>
      <c r="G272" s="30"/>
      <c r="H272" s="30"/>
      <c r="L272" s="30"/>
      <c r="M272" s="30"/>
      <c r="O272" s="32"/>
      <c r="P272" s="32"/>
    </row>
    <row r="273">
      <c r="B273" s="35"/>
      <c r="G273" s="30"/>
      <c r="H273" s="30"/>
      <c r="L273" s="30"/>
      <c r="M273" s="30"/>
      <c r="O273" s="32"/>
      <c r="P273" s="32"/>
    </row>
    <row r="274">
      <c r="B274" s="35"/>
      <c r="G274" s="30"/>
      <c r="H274" s="30"/>
      <c r="L274" s="30"/>
      <c r="M274" s="30"/>
      <c r="O274" s="32"/>
      <c r="P274" s="32"/>
    </row>
    <row r="275">
      <c r="B275" s="35"/>
      <c r="G275" s="30"/>
      <c r="H275" s="30"/>
      <c r="L275" s="30"/>
      <c r="M275" s="30"/>
      <c r="O275" s="32"/>
      <c r="P275" s="32"/>
    </row>
    <row r="276">
      <c r="B276" s="35"/>
      <c r="G276" s="30"/>
      <c r="H276" s="30"/>
      <c r="L276" s="30"/>
      <c r="M276" s="30"/>
      <c r="O276" s="32"/>
      <c r="P276" s="32"/>
    </row>
    <row r="277">
      <c r="B277" s="35"/>
      <c r="G277" s="30"/>
      <c r="H277" s="30"/>
      <c r="L277" s="30"/>
      <c r="M277" s="30"/>
      <c r="O277" s="32"/>
      <c r="P277" s="32"/>
    </row>
    <row r="278">
      <c r="B278" s="35"/>
      <c r="G278" s="30"/>
      <c r="H278" s="30"/>
      <c r="L278" s="30"/>
      <c r="M278" s="30"/>
      <c r="O278" s="32"/>
      <c r="P278" s="32"/>
    </row>
    <row r="279">
      <c r="B279" s="35"/>
      <c r="G279" s="30"/>
      <c r="H279" s="30"/>
      <c r="L279" s="30"/>
      <c r="M279" s="30"/>
      <c r="O279" s="32"/>
      <c r="P279" s="32"/>
    </row>
    <row r="280">
      <c r="B280" s="35"/>
      <c r="G280" s="30"/>
      <c r="H280" s="30"/>
      <c r="L280" s="30"/>
      <c r="M280" s="30"/>
      <c r="O280" s="32"/>
      <c r="P280" s="32"/>
    </row>
    <row r="281">
      <c r="B281" s="35"/>
      <c r="G281" s="30"/>
      <c r="H281" s="30"/>
      <c r="L281" s="30"/>
      <c r="M281" s="30"/>
      <c r="O281" s="32"/>
      <c r="P281" s="32"/>
    </row>
    <row r="282">
      <c r="B282" s="35"/>
      <c r="G282" s="30"/>
      <c r="H282" s="30"/>
      <c r="L282" s="30"/>
      <c r="M282" s="30"/>
      <c r="O282" s="32"/>
      <c r="P282" s="32"/>
    </row>
    <row r="283">
      <c r="B283" s="35"/>
      <c r="G283" s="30"/>
      <c r="H283" s="30"/>
      <c r="L283" s="30"/>
      <c r="M283" s="30"/>
      <c r="O283" s="32"/>
      <c r="P283" s="32"/>
    </row>
    <row r="284">
      <c r="B284" s="35"/>
      <c r="G284" s="30"/>
      <c r="H284" s="30"/>
      <c r="L284" s="30"/>
      <c r="M284" s="30"/>
      <c r="O284" s="32"/>
      <c r="P284" s="32"/>
    </row>
    <row r="285">
      <c r="B285" s="35"/>
      <c r="G285" s="30"/>
      <c r="H285" s="30"/>
      <c r="L285" s="30"/>
      <c r="M285" s="30"/>
      <c r="O285" s="32"/>
      <c r="P285" s="32"/>
    </row>
    <row r="286">
      <c r="B286" s="35"/>
      <c r="G286" s="30"/>
      <c r="H286" s="30"/>
      <c r="L286" s="30"/>
      <c r="M286" s="30"/>
      <c r="O286" s="32"/>
      <c r="P286" s="32"/>
    </row>
    <row r="287">
      <c r="B287" s="35"/>
      <c r="G287" s="30"/>
      <c r="H287" s="30"/>
      <c r="L287" s="30"/>
      <c r="M287" s="30"/>
      <c r="O287" s="32"/>
      <c r="P287" s="32"/>
    </row>
    <row r="288">
      <c r="B288" s="35"/>
      <c r="G288" s="30"/>
      <c r="H288" s="30"/>
      <c r="L288" s="30"/>
      <c r="M288" s="30"/>
      <c r="O288" s="32"/>
      <c r="P288" s="32"/>
    </row>
    <row r="289">
      <c r="B289" s="35"/>
      <c r="G289" s="30"/>
      <c r="H289" s="30"/>
      <c r="L289" s="30"/>
      <c r="M289" s="30"/>
      <c r="O289" s="32"/>
      <c r="P289" s="32"/>
    </row>
    <row r="290">
      <c r="B290" s="35"/>
      <c r="G290" s="30"/>
      <c r="H290" s="30"/>
      <c r="L290" s="30"/>
      <c r="M290" s="30"/>
      <c r="O290" s="32"/>
      <c r="P290" s="32"/>
    </row>
    <row r="291">
      <c r="B291" s="35"/>
      <c r="G291" s="30"/>
      <c r="H291" s="30"/>
      <c r="L291" s="30"/>
      <c r="M291" s="30"/>
      <c r="O291" s="32"/>
      <c r="P291" s="32"/>
    </row>
    <row r="292">
      <c r="B292" s="35"/>
      <c r="G292" s="30"/>
      <c r="H292" s="30"/>
      <c r="L292" s="30"/>
      <c r="M292" s="30"/>
      <c r="O292" s="32"/>
      <c r="P292" s="32"/>
    </row>
    <row r="293">
      <c r="B293" s="35"/>
      <c r="G293" s="30"/>
      <c r="H293" s="30"/>
      <c r="L293" s="30"/>
      <c r="M293" s="30"/>
      <c r="O293" s="32"/>
      <c r="P293" s="32"/>
    </row>
    <row r="294">
      <c r="B294" s="35"/>
      <c r="G294" s="30"/>
      <c r="H294" s="30"/>
      <c r="L294" s="30"/>
      <c r="M294" s="30"/>
      <c r="O294" s="32"/>
      <c r="P294" s="32"/>
    </row>
    <row r="295">
      <c r="B295" s="35"/>
      <c r="G295" s="30"/>
      <c r="H295" s="30"/>
      <c r="L295" s="30"/>
      <c r="M295" s="30"/>
      <c r="O295" s="32"/>
      <c r="P295" s="32"/>
    </row>
    <row r="296">
      <c r="B296" s="35"/>
      <c r="G296" s="30"/>
      <c r="H296" s="30"/>
      <c r="L296" s="30"/>
      <c r="M296" s="30"/>
      <c r="O296" s="32"/>
      <c r="P296" s="32"/>
    </row>
    <row r="297">
      <c r="B297" s="35"/>
      <c r="G297" s="30"/>
      <c r="H297" s="30"/>
      <c r="L297" s="30"/>
      <c r="M297" s="30"/>
      <c r="O297" s="32"/>
      <c r="P297" s="32"/>
    </row>
    <row r="298">
      <c r="B298" s="35"/>
      <c r="G298" s="30"/>
      <c r="H298" s="30"/>
      <c r="L298" s="30"/>
      <c r="M298" s="30"/>
      <c r="O298" s="32"/>
      <c r="P298" s="32"/>
    </row>
    <row r="299">
      <c r="B299" s="35"/>
      <c r="G299" s="30"/>
      <c r="H299" s="30"/>
      <c r="L299" s="30"/>
      <c r="M299" s="30"/>
      <c r="O299" s="32"/>
      <c r="P299" s="32"/>
    </row>
    <row r="300">
      <c r="B300" s="35"/>
      <c r="G300" s="30"/>
      <c r="H300" s="30"/>
      <c r="L300" s="30"/>
      <c r="M300" s="30"/>
      <c r="O300" s="32"/>
      <c r="P300" s="32"/>
    </row>
    <row r="301">
      <c r="B301" s="35"/>
      <c r="G301" s="30"/>
      <c r="H301" s="30"/>
      <c r="L301" s="30"/>
      <c r="M301" s="30"/>
      <c r="O301" s="32"/>
      <c r="P301" s="32"/>
    </row>
    <row r="302">
      <c r="B302" s="35"/>
      <c r="G302" s="30"/>
      <c r="H302" s="30"/>
      <c r="L302" s="30"/>
      <c r="M302" s="30"/>
      <c r="O302" s="32"/>
      <c r="P302" s="32"/>
    </row>
    <row r="303">
      <c r="B303" s="35"/>
      <c r="G303" s="30"/>
      <c r="H303" s="30"/>
      <c r="L303" s="30"/>
      <c r="M303" s="30"/>
      <c r="O303" s="32"/>
      <c r="P303" s="32"/>
    </row>
    <row r="304">
      <c r="B304" s="35"/>
      <c r="G304" s="30"/>
      <c r="H304" s="30"/>
      <c r="L304" s="30"/>
      <c r="M304" s="30"/>
      <c r="O304" s="32"/>
      <c r="P304" s="32"/>
    </row>
    <row r="305">
      <c r="B305" s="35"/>
      <c r="G305" s="30"/>
      <c r="H305" s="30"/>
      <c r="L305" s="30"/>
      <c r="M305" s="30"/>
      <c r="O305" s="32"/>
      <c r="P305" s="32"/>
    </row>
    <row r="306">
      <c r="B306" s="35"/>
      <c r="G306" s="30"/>
      <c r="H306" s="30"/>
      <c r="L306" s="30"/>
      <c r="M306" s="30"/>
      <c r="O306" s="32"/>
      <c r="P306" s="32"/>
    </row>
    <row r="307">
      <c r="B307" s="35"/>
      <c r="G307" s="30"/>
      <c r="H307" s="30"/>
      <c r="L307" s="30"/>
      <c r="M307" s="30"/>
      <c r="O307" s="32"/>
      <c r="P307" s="32"/>
    </row>
    <row r="308">
      <c r="B308" s="35"/>
      <c r="G308" s="30"/>
      <c r="H308" s="30"/>
      <c r="L308" s="30"/>
      <c r="M308" s="30"/>
      <c r="O308" s="32"/>
      <c r="P308" s="32"/>
    </row>
    <row r="309">
      <c r="B309" s="35"/>
      <c r="G309" s="30"/>
      <c r="H309" s="30"/>
      <c r="L309" s="30"/>
      <c r="M309" s="30"/>
      <c r="O309" s="32"/>
      <c r="P309" s="32"/>
    </row>
    <row r="310">
      <c r="B310" s="35"/>
      <c r="G310" s="30"/>
      <c r="H310" s="30"/>
      <c r="L310" s="30"/>
      <c r="M310" s="30"/>
      <c r="O310" s="32"/>
      <c r="P310" s="32"/>
    </row>
    <row r="311">
      <c r="B311" s="35"/>
      <c r="G311" s="30"/>
      <c r="H311" s="30"/>
      <c r="L311" s="30"/>
      <c r="M311" s="30"/>
      <c r="O311" s="32"/>
      <c r="P311" s="32"/>
    </row>
    <row r="312">
      <c r="B312" s="35"/>
      <c r="G312" s="30"/>
      <c r="H312" s="30"/>
      <c r="L312" s="30"/>
      <c r="M312" s="30"/>
      <c r="O312" s="32"/>
      <c r="P312" s="32"/>
    </row>
    <row r="313">
      <c r="B313" s="35"/>
      <c r="G313" s="30"/>
      <c r="H313" s="30"/>
      <c r="L313" s="30"/>
      <c r="M313" s="30"/>
      <c r="O313" s="32"/>
      <c r="P313" s="32"/>
    </row>
    <row r="314">
      <c r="B314" s="35"/>
      <c r="G314" s="30"/>
      <c r="H314" s="30"/>
      <c r="L314" s="30"/>
      <c r="M314" s="30"/>
      <c r="O314" s="32"/>
      <c r="P314" s="32"/>
    </row>
    <row r="315">
      <c r="B315" s="35"/>
      <c r="G315" s="30"/>
      <c r="H315" s="30"/>
      <c r="L315" s="30"/>
      <c r="M315" s="30"/>
      <c r="O315" s="32"/>
      <c r="P315" s="32"/>
    </row>
    <row r="316">
      <c r="B316" s="35"/>
      <c r="G316" s="30"/>
      <c r="H316" s="30"/>
      <c r="L316" s="30"/>
      <c r="M316" s="30"/>
      <c r="O316" s="32"/>
      <c r="P316" s="32"/>
    </row>
    <row r="317">
      <c r="B317" s="35"/>
      <c r="G317" s="30"/>
      <c r="H317" s="30"/>
      <c r="L317" s="30"/>
      <c r="M317" s="30"/>
      <c r="O317" s="32"/>
      <c r="P317" s="32"/>
    </row>
    <row r="318">
      <c r="B318" s="35"/>
      <c r="G318" s="30"/>
      <c r="H318" s="30"/>
      <c r="L318" s="30"/>
      <c r="M318" s="30"/>
      <c r="O318" s="32"/>
      <c r="P318" s="32"/>
    </row>
    <row r="319">
      <c r="B319" s="35"/>
      <c r="G319" s="30"/>
      <c r="H319" s="30"/>
      <c r="L319" s="30"/>
      <c r="M319" s="30"/>
      <c r="O319" s="32"/>
      <c r="P319" s="32"/>
    </row>
    <row r="320">
      <c r="B320" s="35"/>
      <c r="G320" s="30"/>
      <c r="H320" s="30"/>
      <c r="L320" s="30"/>
      <c r="M320" s="30"/>
      <c r="O320" s="32"/>
      <c r="P320" s="32"/>
    </row>
    <row r="321">
      <c r="B321" s="35"/>
      <c r="G321" s="30"/>
      <c r="H321" s="30"/>
      <c r="L321" s="30"/>
      <c r="M321" s="30"/>
      <c r="O321" s="32"/>
      <c r="P321" s="32"/>
    </row>
    <row r="322">
      <c r="B322" s="35"/>
      <c r="G322" s="30"/>
      <c r="H322" s="30"/>
      <c r="L322" s="30"/>
      <c r="M322" s="30"/>
      <c r="O322" s="32"/>
      <c r="P322" s="32"/>
    </row>
    <row r="323">
      <c r="B323" s="35"/>
      <c r="G323" s="30"/>
      <c r="H323" s="30"/>
      <c r="L323" s="30"/>
      <c r="M323" s="30"/>
      <c r="O323" s="32"/>
      <c r="P323" s="32"/>
    </row>
    <row r="324">
      <c r="B324" s="35"/>
      <c r="G324" s="30"/>
      <c r="H324" s="30"/>
      <c r="L324" s="30"/>
      <c r="M324" s="30"/>
      <c r="O324" s="32"/>
      <c r="P324" s="32"/>
    </row>
    <row r="325">
      <c r="B325" s="35"/>
      <c r="G325" s="30"/>
      <c r="H325" s="30"/>
      <c r="L325" s="30"/>
      <c r="M325" s="30"/>
      <c r="O325" s="32"/>
      <c r="P325" s="32"/>
    </row>
    <row r="326">
      <c r="B326" s="35"/>
      <c r="G326" s="30"/>
      <c r="H326" s="30"/>
      <c r="L326" s="30"/>
      <c r="M326" s="30"/>
      <c r="O326" s="32"/>
      <c r="P326" s="32"/>
    </row>
    <row r="327">
      <c r="B327" s="35"/>
      <c r="G327" s="30"/>
      <c r="H327" s="30"/>
      <c r="L327" s="30"/>
      <c r="M327" s="30"/>
      <c r="O327" s="32"/>
      <c r="P327" s="32"/>
    </row>
    <row r="328">
      <c r="B328" s="35"/>
      <c r="G328" s="30"/>
      <c r="H328" s="30"/>
      <c r="L328" s="30"/>
      <c r="M328" s="30"/>
      <c r="O328" s="32"/>
      <c r="P328" s="32"/>
    </row>
    <row r="329">
      <c r="B329" s="35"/>
      <c r="G329" s="30"/>
      <c r="H329" s="30"/>
      <c r="L329" s="30"/>
      <c r="M329" s="30"/>
      <c r="O329" s="32"/>
      <c r="P329" s="32"/>
    </row>
    <row r="330">
      <c r="B330" s="35"/>
      <c r="G330" s="30"/>
      <c r="H330" s="30"/>
      <c r="L330" s="30"/>
      <c r="M330" s="30"/>
      <c r="O330" s="32"/>
      <c r="P330" s="32"/>
    </row>
    <row r="331">
      <c r="B331" s="35"/>
      <c r="G331" s="30"/>
      <c r="H331" s="30"/>
      <c r="L331" s="30"/>
      <c r="M331" s="30"/>
      <c r="O331" s="32"/>
      <c r="P331" s="32"/>
    </row>
    <row r="332">
      <c r="B332" s="35"/>
      <c r="G332" s="30"/>
      <c r="H332" s="30"/>
      <c r="L332" s="30"/>
      <c r="M332" s="30"/>
      <c r="O332" s="32"/>
      <c r="P332" s="32"/>
    </row>
    <row r="333">
      <c r="B333" s="35"/>
      <c r="G333" s="30"/>
      <c r="H333" s="30"/>
      <c r="L333" s="30"/>
      <c r="M333" s="30"/>
      <c r="O333" s="32"/>
      <c r="P333" s="32"/>
    </row>
    <row r="334">
      <c r="B334" s="35"/>
      <c r="G334" s="30"/>
      <c r="H334" s="30"/>
      <c r="L334" s="30"/>
      <c r="M334" s="30"/>
      <c r="O334" s="32"/>
      <c r="P334" s="32"/>
    </row>
    <row r="335">
      <c r="B335" s="35"/>
      <c r="G335" s="30"/>
      <c r="H335" s="30"/>
      <c r="L335" s="30"/>
      <c r="M335" s="30"/>
      <c r="O335" s="32"/>
      <c r="P335" s="32"/>
    </row>
    <row r="336">
      <c r="B336" s="35"/>
      <c r="G336" s="30"/>
      <c r="H336" s="30"/>
      <c r="L336" s="30"/>
      <c r="M336" s="30"/>
      <c r="O336" s="32"/>
      <c r="P336" s="32"/>
    </row>
    <row r="337">
      <c r="B337" s="35"/>
      <c r="G337" s="30"/>
      <c r="H337" s="30"/>
      <c r="L337" s="30"/>
      <c r="M337" s="30"/>
      <c r="O337" s="32"/>
      <c r="P337" s="32"/>
    </row>
    <row r="338">
      <c r="B338" s="35"/>
      <c r="G338" s="30"/>
      <c r="H338" s="30"/>
      <c r="L338" s="30"/>
      <c r="M338" s="30"/>
      <c r="O338" s="32"/>
      <c r="P338" s="32"/>
    </row>
    <row r="339">
      <c r="B339" s="35"/>
      <c r="G339" s="30"/>
      <c r="H339" s="30"/>
      <c r="L339" s="30"/>
      <c r="M339" s="30"/>
      <c r="O339" s="32"/>
      <c r="P339" s="32"/>
    </row>
    <row r="340">
      <c r="B340" s="35"/>
      <c r="G340" s="30"/>
      <c r="H340" s="30"/>
      <c r="L340" s="30"/>
      <c r="M340" s="30"/>
      <c r="O340" s="32"/>
      <c r="P340" s="32"/>
    </row>
    <row r="341">
      <c r="B341" s="35"/>
      <c r="G341" s="30"/>
      <c r="H341" s="30"/>
      <c r="L341" s="30"/>
      <c r="M341" s="30"/>
      <c r="O341" s="32"/>
      <c r="P341" s="32"/>
    </row>
    <row r="342">
      <c r="B342" s="35"/>
      <c r="G342" s="30"/>
      <c r="H342" s="30"/>
      <c r="L342" s="30"/>
      <c r="M342" s="30"/>
      <c r="O342" s="32"/>
      <c r="P342" s="32"/>
    </row>
    <row r="343">
      <c r="B343" s="35"/>
      <c r="G343" s="30"/>
      <c r="H343" s="30"/>
      <c r="L343" s="30"/>
      <c r="M343" s="30"/>
      <c r="O343" s="32"/>
      <c r="P343" s="32"/>
    </row>
    <row r="344">
      <c r="B344" s="35"/>
      <c r="G344" s="30"/>
      <c r="H344" s="30"/>
      <c r="L344" s="30"/>
      <c r="M344" s="30"/>
      <c r="O344" s="32"/>
      <c r="P344" s="32"/>
    </row>
    <row r="345">
      <c r="B345" s="35"/>
      <c r="G345" s="30"/>
      <c r="H345" s="30"/>
      <c r="L345" s="30"/>
      <c r="M345" s="30"/>
      <c r="O345" s="32"/>
      <c r="P345" s="32"/>
    </row>
    <row r="346">
      <c r="B346" s="35"/>
      <c r="G346" s="30"/>
      <c r="H346" s="30"/>
      <c r="L346" s="30"/>
      <c r="M346" s="30"/>
      <c r="O346" s="32"/>
      <c r="P346" s="32"/>
    </row>
    <row r="347">
      <c r="B347" s="35"/>
      <c r="G347" s="30"/>
      <c r="H347" s="30"/>
      <c r="L347" s="30"/>
      <c r="M347" s="30"/>
      <c r="O347" s="32"/>
      <c r="P347" s="32"/>
    </row>
    <row r="348">
      <c r="B348" s="35"/>
      <c r="G348" s="30"/>
      <c r="H348" s="30"/>
      <c r="L348" s="30"/>
      <c r="M348" s="30"/>
      <c r="O348" s="32"/>
      <c r="P348" s="32"/>
    </row>
    <row r="349">
      <c r="B349" s="35"/>
      <c r="G349" s="30"/>
      <c r="H349" s="30"/>
      <c r="L349" s="30"/>
      <c r="M349" s="30"/>
      <c r="O349" s="32"/>
      <c r="P349" s="32"/>
    </row>
    <row r="350">
      <c r="B350" s="35"/>
      <c r="G350" s="30"/>
      <c r="H350" s="30"/>
      <c r="L350" s="30"/>
      <c r="M350" s="30"/>
      <c r="O350" s="32"/>
      <c r="P350" s="32"/>
    </row>
    <row r="351">
      <c r="B351" s="35"/>
      <c r="G351" s="30"/>
      <c r="H351" s="30"/>
      <c r="L351" s="30"/>
      <c r="M351" s="30"/>
      <c r="O351" s="32"/>
      <c r="P351" s="32"/>
    </row>
    <row r="352">
      <c r="B352" s="35"/>
      <c r="G352" s="30"/>
      <c r="H352" s="30"/>
      <c r="L352" s="30"/>
      <c r="M352" s="30"/>
      <c r="O352" s="32"/>
      <c r="P352" s="32"/>
    </row>
    <row r="353">
      <c r="B353" s="35"/>
      <c r="G353" s="30"/>
      <c r="H353" s="30"/>
      <c r="L353" s="30"/>
      <c r="M353" s="30"/>
      <c r="O353" s="32"/>
      <c r="P353" s="32"/>
    </row>
    <row r="354">
      <c r="B354" s="35"/>
      <c r="G354" s="30"/>
      <c r="H354" s="30"/>
      <c r="L354" s="30"/>
      <c r="M354" s="30"/>
      <c r="O354" s="32"/>
      <c r="P354" s="32"/>
    </row>
    <row r="355">
      <c r="B355" s="35"/>
      <c r="G355" s="30"/>
      <c r="H355" s="30"/>
      <c r="L355" s="30"/>
      <c r="M355" s="30"/>
      <c r="O355" s="32"/>
      <c r="P355" s="32"/>
    </row>
    <row r="356">
      <c r="B356" s="35"/>
      <c r="G356" s="30"/>
      <c r="H356" s="30"/>
      <c r="L356" s="30"/>
      <c r="M356" s="30"/>
      <c r="O356" s="32"/>
      <c r="P356" s="32"/>
    </row>
    <row r="357">
      <c r="B357" s="35"/>
      <c r="G357" s="30"/>
      <c r="H357" s="30"/>
      <c r="L357" s="30"/>
      <c r="M357" s="30"/>
      <c r="O357" s="32"/>
      <c r="P357" s="32"/>
    </row>
    <row r="358">
      <c r="B358" s="35"/>
      <c r="G358" s="30"/>
      <c r="H358" s="30"/>
      <c r="L358" s="30"/>
      <c r="M358" s="30"/>
      <c r="O358" s="32"/>
      <c r="P358" s="32"/>
    </row>
    <row r="359">
      <c r="B359" s="35"/>
      <c r="G359" s="30"/>
      <c r="H359" s="30"/>
      <c r="L359" s="30"/>
      <c r="M359" s="30"/>
      <c r="O359" s="32"/>
      <c r="P359" s="32"/>
    </row>
    <row r="360">
      <c r="B360" s="35"/>
      <c r="G360" s="30"/>
      <c r="H360" s="30"/>
      <c r="L360" s="30"/>
      <c r="M360" s="30"/>
      <c r="O360" s="32"/>
      <c r="P360" s="32"/>
    </row>
    <row r="361">
      <c r="B361" s="35"/>
      <c r="G361" s="30"/>
      <c r="H361" s="30"/>
      <c r="L361" s="30"/>
      <c r="M361" s="30"/>
      <c r="O361" s="32"/>
      <c r="P361" s="32"/>
    </row>
    <row r="362">
      <c r="B362" s="35"/>
      <c r="G362" s="30"/>
      <c r="H362" s="30"/>
      <c r="L362" s="30"/>
      <c r="M362" s="30"/>
      <c r="O362" s="32"/>
      <c r="P362" s="32"/>
    </row>
    <row r="363">
      <c r="B363" s="35"/>
      <c r="G363" s="30"/>
      <c r="H363" s="30"/>
      <c r="L363" s="30"/>
      <c r="M363" s="30"/>
      <c r="O363" s="32"/>
      <c r="P363" s="32"/>
    </row>
    <row r="364">
      <c r="B364" s="35"/>
      <c r="G364" s="30"/>
      <c r="H364" s="30"/>
      <c r="L364" s="30"/>
      <c r="M364" s="30"/>
      <c r="O364" s="32"/>
      <c r="P364" s="32"/>
    </row>
    <row r="365">
      <c r="B365" s="35"/>
      <c r="G365" s="30"/>
      <c r="H365" s="30"/>
      <c r="L365" s="30"/>
      <c r="M365" s="30"/>
      <c r="O365" s="32"/>
      <c r="P365" s="32"/>
    </row>
    <row r="366">
      <c r="B366" s="35"/>
      <c r="G366" s="30"/>
      <c r="H366" s="30"/>
      <c r="L366" s="30"/>
      <c r="M366" s="30"/>
      <c r="O366" s="32"/>
      <c r="P366" s="32"/>
    </row>
    <row r="367">
      <c r="B367" s="35"/>
      <c r="G367" s="30"/>
      <c r="H367" s="30"/>
      <c r="L367" s="30"/>
      <c r="M367" s="30"/>
      <c r="O367" s="32"/>
      <c r="P367" s="32"/>
    </row>
    <row r="368">
      <c r="B368" s="35"/>
      <c r="G368" s="30"/>
      <c r="H368" s="30"/>
      <c r="L368" s="30"/>
      <c r="M368" s="30"/>
      <c r="O368" s="32"/>
      <c r="P368" s="32"/>
    </row>
    <row r="369">
      <c r="B369" s="35"/>
      <c r="G369" s="30"/>
      <c r="H369" s="30"/>
      <c r="L369" s="30"/>
      <c r="M369" s="30"/>
      <c r="O369" s="32"/>
      <c r="P369" s="32"/>
    </row>
    <row r="370">
      <c r="B370" s="35"/>
      <c r="G370" s="30"/>
      <c r="H370" s="30"/>
      <c r="L370" s="30"/>
      <c r="M370" s="30"/>
      <c r="O370" s="32"/>
      <c r="P370" s="32"/>
    </row>
    <row r="371">
      <c r="B371" s="35"/>
      <c r="G371" s="30"/>
      <c r="H371" s="30"/>
      <c r="L371" s="30"/>
      <c r="M371" s="30"/>
      <c r="O371" s="32"/>
      <c r="P371" s="32"/>
    </row>
    <row r="372">
      <c r="B372" s="35"/>
      <c r="G372" s="30"/>
      <c r="H372" s="30"/>
      <c r="L372" s="30"/>
      <c r="M372" s="30"/>
      <c r="O372" s="32"/>
      <c r="P372" s="32"/>
    </row>
    <row r="373">
      <c r="B373" s="35"/>
      <c r="G373" s="30"/>
      <c r="H373" s="30"/>
      <c r="L373" s="30"/>
      <c r="M373" s="30"/>
      <c r="O373" s="32"/>
      <c r="P373" s="32"/>
    </row>
    <row r="374">
      <c r="B374" s="35"/>
      <c r="G374" s="30"/>
      <c r="H374" s="30"/>
      <c r="L374" s="30"/>
      <c r="M374" s="30"/>
      <c r="O374" s="32"/>
      <c r="P374" s="32"/>
    </row>
    <row r="375">
      <c r="B375" s="35"/>
      <c r="G375" s="30"/>
      <c r="H375" s="30"/>
      <c r="L375" s="30"/>
      <c r="M375" s="30"/>
      <c r="O375" s="32"/>
      <c r="P375" s="32"/>
    </row>
    <row r="376">
      <c r="B376" s="35"/>
      <c r="G376" s="30"/>
      <c r="H376" s="30"/>
      <c r="L376" s="30"/>
      <c r="M376" s="30"/>
      <c r="O376" s="32"/>
      <c r="P376" s="32"/>
    </row>
    <row r="377">
      <c r="B377" s="35"/>
      <c r="G377" s="30"/>
      <c r="H377" s="30"/>
      <c r="L377" s="30"/>
      <c r="M377" s="30"/>
      <c r="O377" s="32"/>
      <c r="P377" s="32"/>
    </row>
    <row r="378">
      <c r="B378" s="35"/>
      <c r="G378" s="30"/>
      <c r="H378" s="30"/>
      <c r="L378" s="30"/>
      <c r="M378" s="30"/>
      <c r="O378" s="32"/>
      <c r="P378" s="32"/>
    </row>
    <row r="379">
      <c r="B379" s="35"/>
      <c r="G379" s="30"/>
      <c r="H379" s="30"/>
      <c r="L379" s="30"/>
      <c r="M379" s="30"/>
      <c r="O379" s="32"/>
      <c r="P379" s="32"/>
    </row>
    <row r="380">
      <c r="B380" s="35"/>
      <c r="G380" s="30"/>
      <c r="H380" s="30"/>
      <c r="L380" s="30"/>
      <c r="M380" s="30"/>
      <c r="O380" s="32"/>
      <c r="P380" s="32"/>
    </row>
    <row r="381">
      <c r="B381" s="35"/>
      <c r="G381" s="30"/>
      <c r="H381" s="30"/>
      <c r="L381" s="30"/>
      <c r="M381" s="30"/>
      <c r="O381" s="32"/>
      <c r="P381" s="32"/>
    </row>
    <row r="382">
      <c r="B382" s="35"/>
      <c r="G382" s="30"/>
      <c r="H382" s="30"/>
      <c r="L382" s="30"/>
      <c r="M382" s="30"/>
      <c r="O382" s="32"/>
      <c r="P382" s="32"/>
    </row>
    <row r="383">
      <c r="B383" s="35"/>
      <c r="G383" s="30"/>
      <c r="H383" s="30"/>
      <c r="L383" s="30"/>
      <c r="M383" s="30"/>
      <c r="O383" s="32"/>
      <c r="P383" s="32"/>
    </row>
    <row r="384">
      <c r="B384" s="35"/>
      <c r="G384" s="30"/>
      <c r="H384" s="30"/>
      <c r="L384" s="30"/>
      <c r="M384" s="30"/>
      <c r="O384" s="32"/>
      <c r="P384" s="32"/>
    </row>
    <row r="385">
      <c r="B385" s="35"/>
      <c r="G385" s="30"/>
      <c r="H385" s="30"/>
      <c r="L385" s="30"/>
      <c r="M385" s="30"/>
      <c r="O385" s="32"/>
      <c r="P385" s="32"/>
    </row>
    <row r="386">
      <c r="B386" s="35"/>
      <c r="G386" s="30"/>
      <c r="H386" s="30"/>
      <c r="L386" s="30"/>
      <c r="M386" s="30"/>
      <c r="O386" s="32"/>
      <c r="P386" s="32"/>
    </row>
    <row r="387">
      <c r="B387" s="35"/>
      <c r="G387" s="30"/>
      <c r="H387" s="30"/>
      <c r="L387" s="30"/>
      <c r="M387" s="30"/>
      <c r="O387" s="32"/>
      <c r="P387" s="32"/>
    </row>
    <row r="388">
      <c r="B388" s="35"/>
      <c r="G388" s="30"/>
      <c r="H388" s="30"/>
      <c r="L388" s="30"/>
      <c r="M388" s="30"/>
      <c r="O388" s="32"/>
      <c r="P388" s="32"/>
    </row>
    <row r="389">
      <c r="B389" s="35"/>
      <c r="G389" s="30"/>
      <c r="H389" s="30"/>
      <c r="L389" s="30"/>
      <c r="M389" s="30"/>
      <c r="O389" s="32"/>
      <c r="P389" s="32"/>
    </row>
    <row r="390">
      <c r="B390" s="35"/>
      <c r="G390" s="30"/>
      <c r="H390" s="30"/>
      <c r="L390" s="30"/>
      <c r="M390" s="30"/>
      <c r="O390" s="32"/>
      <c r="P390" s="32"/>
    </row>
    <row r="391">
      <c r="B391" s="35"/>
      <c r="G391" s="30"/>
      <c r="H391" s="30"/>
      <c r="L391" s="30"/>
      <c r="M391" s="30"/>
      <c r="O391" s="32"/>
      <c r="P391" s="32"/>
    </row>
    <row r="392">
      <c r="B392" s="35"/>
      <c r="G392" s="30"/>
      <c r="H392" s="30"/>
      <c r="L392" s="30"/>
      <c r="M392" s="30"/>
      <c r="O392" s="32"/>
      <c r="P392" s="32"/>
    </row>
    <row r="393">
      <c r="B393" s="35"/>
      <c r="G393" s="30"/>
      <c r="H393" s="30"/>
      <c r="L393" s="30"/>
      <c r="M393" s="30"/>
      <c r="O393" s="32"/>
      <c r="P393" s="32"/>
    </row>
    <row r="394">
      <c r="B394" s="35"/>
      <c r="G394" s="30"/>
      <c r="H394" s="30"/>
      <c r="L394" s="30"/>
      <c r="M394" s="30"/>
      <c r="O394" s="32"/>
      <c r="P394" s="32"/>
    </row>
    <row r="395">
      <c r="B395" s="35"/>
      <c r="G395" s="30"/>
      <c r="H395" s="30"/>
      <c r="L395" s="30"/>
      <c r="M395" s="30"/>
      <c r="O395" s="32"/>
      <c r="P395" s="32"/>
    </row>
    <row r="396">
      <c r="B396" s="35"/>
      <c r="G396" s="30"/>
      <c r="H396" s="30"/>
      <c r="L396" s="30"/>
      <c r="M396" s="30"/>
      <c r="O396" s="32"/>
      <c r="P396" s="32"/>
    </row>
    <row r="397">
      <c r="B397" s="35"/>
      <c r="G397" s="30"/>
      <c r="H397" s="30"/>
      <c r="L397" s="30"/>
      <c r="M397" s="30"/>
      <c r="O397" s="32"/>
      <c r="P397" s="32"/>
    </row>
    <row r="398">
      <c r="B398" s="35"/>
      <c r="G398" s="30"/>
      <c r="H398" s="30"/>
      <c r="L398" s="30"/>
      <c r="M398" s="30"/>
      <c r="O398" s="32"/>
      <c r="P398" s="32"/>
    </row>
    <row r="399">
      <c r="B399" s="35"/>
      <c r="G399" s="30"/>
      <c r="H399" s="30"/>
      <c r="L399" s="30"/>
      <c r="M399" s="30"/>
      <c r="O399" s="32"/>
      <c r="P399" s="32"/>
    </row>
    <row r="400">
      <c r="B400" s="35"/>
      <c r="G400" s="30"/>
      <c r="H400" s="30"/>
      <c r="L400" s="30"/>
      <c r="M400" s="30"/>
      <c r="O400" s="32"/>
      <c r="P400" s="32"/>
    </row>
    <row r="401">
      <c r="B401" s="35"/>
      <c r="G401" s="30"/>
      <c r="H401" s="30"/>
      <c r="L401" s="30"/>
      <c r="M401" s="30"/>
      <c r="O401" s="32"/>
      <c r="P401" s="32"/>
    </row>
    <row r="402">
      <c r="B402" s="35"/>
      <c r="G402" s="30"/>
      <c r="H402" s="30"/>
      <c r="L402" s="30"/>
      <c r="M402" s="30"/>
      <c r="O402" s="32"/>
      <c r="P402" s="32"/>
    </row>
    <row r="403">
      <c r="B403" s="35"/>
      <c r="G403" s="30"/>
      <c r="H403" s="30"/>
      <c r="L403" s="30"/>
      <c r="M403" s="30"/>
      <c r="O403" s="32"/>
      <c r="P403" s="32"/>
    </row>
    <row r="404">
      <c r="B404" s="35"/>
      <c r="G404" s="30"/>
      <c r="H404" s="30"/>
      <c r="L404" s="30"/>
      <c r="M404" s="30"/>
      <c r="O404" s="32"/>
      <c r="P404" s="32"/>
    </row>
    <row r="405">
      <c r="B405" s="35"/>
      <c r="G405" s="30"/>
      <c r="H405" s="30"/>
      <c r="L405" s="30"/>
      <c r="M405" s="30"/>
      <c r="O405" s="32"/>
      <c r="P405" s="32"/>
    </row>
    <row r="406">
      <c r="B406" s="35"/>
      <c r="G406" s="30"/>
      <c r="H406" s="30"/>
      <c r="L406" s="30"/>
      <c r="M406" s="30"/>
      <c r="O406" s="32"/>
      <c r="P406" s="32"/>
    </row>
    <row r="407">
      <c r="B407" s="35"/>
      <c r="G407" s="30"/>
      <c r="H407" s="30"/>
      <c r="L407" s="30"/>
      <c r="M407" s="30"/>
      <c r="O407" s="32"/>
      <c r="P407" s="32"/>
    </row>
    <row r="408">
      <c r="B408" s="35"/>
      <c r="G408" s="30"/>
      <c r="H408" s="30"/>
      <c r="L408" s="30"/>
      <c r="M408" s="30"/>
      <c r="O408" s="32"/>
      <c r="P408" s="32"/>
    </row>
    <row r="409">
      <c r="B409" s="35"/>
      <c r="G409" s="30"/>
      <c r="H409" s="30"/>
      <c r="L409" s="30"/>
      <c r="M409" s="30"/>
      <c r="O409" s="32"/>
      <c r="P409" s="32"/>
    </row>
    <row r="410">
      <c r="B410" s="35"/>
      <c r="G410" s="30"/>
      <c r="H410" s="30"/>
      <c r="L410" s="30"/>
      <c r="M410" s="30"/>
      <c r="O410" s="32"/>
      <c r="P410" s="32"/>
    </row>
    <row r="411">
      <c r="B411" s="35"/>
      <c r="G411" s="30"/>
      <c r="H411" s="30"/>
      <c r="L411" s="30"/>
      <c r="M411" s="30"/>
      <c r="O411" s="32"/>
      <c r="P411" s="32"/>
    </row>
    <row r="412">
      <c r="B412" s="35"/>
      <c r="G412" s="30"/>
      <c r="H412" s="30"/>
      <c r="L412" s="30"/>
      <c r="M412" s="30"/>
      <c r="O412" s="32"/>
      <c r="P412" s="32"/>
    </row>
    <row r="413">
      <c r="B413" s="35"/>
      <c r="G413" s="30"/>
      <c r="H413" s="30"/>
      <c r="L413" s="30"/>
      <c r="M413" s="30"/>
      <c r="O413" s="32"/>
      <c r="P413" s="32"/>
    </row>
    <row r="414">
      <c r="B414" s="35"/>
      <c r="G414" s="30"/>
      <c r="H414" s="30"/>
      <c r="L414" s="30"/>
      <c r="M414" s="30"/>
      <c r="O414" s="32"/>
      <c r="P414" s="32"/>
    </row>
    <row r="415">
      <c r="B415" s="35"/>
      <c r="G415" s="30"/>
      <c r="H415" s="30"/>
      <c r="L415" s="30"/>
      <c r="M415" s="30"/>
      <c r="O415" s="32"/>
      <c r="P415" s="32"/>
    </row>
    <row r="416">
      <c r="B416" s="35"/>
      <c r="G416" s="30"/>
      <c r="H416" s="30"/>
      <c r="L416" s="30"/>
      <c r="M416" s="30"/>
      <c r="O416" s="32"/>
      <c r="P416" s="32"/>
    </row>
    <row r="417">
      <c r="B417" s="35"/>
      <c r="G417" s="30"/>
      <c r="H417" s="30"/>
      <c r="L417" s="30"/>
      <c r="M417" s="30"/>
      <c r="O417" s="32"/>
      <c r="P417" s="32"/>
    </row>
    <row r="418">
      <c r="B418" s="35"/>
      <c r="G418" s="30"/>
      <c r="H418" s="30"/>
      <c r="L418" s="30"/>
      <c r="M418" s="30"/>
      <c r="O418" s="32"/>
      <c r="P418" s="32"/>
    </row>
    <row r="419">
      <c r="B419" s="35"/>
      <c r="G419" s="30"/>
      <c r="H419" s="30"/>
      <c r="L419" s="30"/>
      <c r="M419" s="30"/>
      <c r="O419" s="32"/>
      <c r="P419" s="32"/>
    </row>
    <row r="420">
      <c r="B420" s="35"/>
      <c r="G420" s="30"/>
      <c r="H420" s="30"/>
      <c r="L420" s="30"/>
      <c r="M420" s="30"/>
      <c r="O420" s="32"/>
      <c r="P420" s="32"/>
    </row>
    <row r="421">
      <c r="B421" s="35"/>
      <c r="G421" s="30"/>
      <c r="H421" s="30"/>
      <c r="L421" s="30"/>
      <c r="M421" s="30"/>
      <c r="O421" s="32"/>
      <c r="P421" s="32"/>
    </row>
    <row r="422">
      <c r="B422" s="35"/>
      <c r="G422" s="30"/>
      <c r="H422" s="30"/>
      <c r="L422" s="30"/>
      <c r="M422" s="30"/>
      <c r="O422" s="32"/>
      <c r="P422" s="32"/>
    </row>
    <row r="423">
      <c r="B423" s="35"/>
      <c r="G423" s="30"/>
      <c r="H423" s="30"/>
      <c r="L423" s="30"/>
      <c r="M423" s="30"/>
      <c r="O423" s="32"/>
      <c r="P423" s="32"/>
    </row>
    <row r="424">
      <c r="B424" s="35"/>
      <c r="G424" s="30"/>
      <c r="H424" s="30"/>
      <c r="L424" s="30"/>
      <c r="M424" s="30"/>
      <c r="O424" s="32"/>
      <c r="P424" s="32"/>
    </row>
    <row r="425">
      <c r="B425" s="35"/>
      <c r="G425" s="30"/>
      <c r="H425" s="30"/>
      <c r="L425" s="30"/>
      <c r="M425" s="30"/>
      <c r="O425" s="32"/>
      <c r="P425" s="32"/>
    </row>
    <row r="426">
      <c r="B426" s="35"/>
      <c r="G426" s="30"/>
      <c r="H426" s="30"/>
      <c r="L426" s="30"/>
      <c r="M426" s="30"/>
      <c r="O426" s="32"/>
      <c r="P426" s="32"/>
    </row>
    <row r="427">
      <c r="B427" s="35"/>
      <c r="G427" s="30"/>
      <c r="H427" s="30"/>
      <c r="L427" s="30"/>
      <c r="M427" s="30"/>
      <c r="O427" s="32"/>
      <c r="P427" s="32"/>
    </row>
    <row r="428">
      <c r="B428" s="35"/>
      <c r="G428" s="30"/>
      <c r="H428" s="30"/>
      <c r="L428" s="30"/>
      <c r="M428" s="30"/>
      <c r="O428" s="32"/>
      <c r="P428" s="32"/>
    </row>
    <row r="429">
      <c r="B429" s="35"/>
      <c r="G429" s="30"/>
      <c r="H429" s="30"/>
      <c r="L429" s="30"/>
      <c r="M429" s="30"/>
      <c r="O429" s="32"/>
      <c r="P429" s="32"/>
    </row>
    <row r="430">
      <c r="B430" s="35"/>
      <c r="G430" s="30"/>
      <c r="H430" s="30"/>
      <c r="L430" s="30"/>
      <c r="M430" s="30"/>
      <c r="O430" s="32"/>
      <c r="P430" s="32"/>
    </row>
    <row r="431">
      <c r="B431" s="35"/>
      <c r="G431" s="30"/>
      <c r="H431" s="30"/>
      <c r="L431" s="30"/>
      <c r="M431" s="30"/>
      <c r="O431" s="32"/>
      <c r="P431" s="32"/>
    </row>
    <row r="432">
      <c r="B432" s="35"/>
      <c r="G432" s="30"/>
      <c r="H432" s="30"/>
      <c r="L432" s="30"/>
      <c r="M432" s="30"/>
      <c r="O432" s="32"/>
      <c r="P432" s="32"/>
    </row>
    <row r="433">
      <c r="B433" s="35"/>
      <c r="G433" s="30"/>
      <c r="H433" s="30"/>
      <c r="L433" s="30"/>
      <c r="M433" s="30"/>
      <c r="O433" s="32"/>
      <c r="P433" s="32"/>
    </row>
    <row r="434">
      <c r="B434" s="35"/>
      <c r="G434" s="30"/>
      <c r="H434" s="30"/>
      <c r="L434" s="30"/>
      <c r="M434" s="30"/>
      <c r="O434" s="32"/>
      <c r="P434" s="32"/>
    </row>
    <row r="435">
      <c r="B435" s="35"/>
      <c r="G435" s="30"/>
      <c r="H435" s="30"/>
      <c r="L435" s="30"/>
      <c r="M435" s="30"/>
      <c r="O435" s="32"/>
      <c r="P435" s="32"/>
    </row>
    <row r="436">
      <c r="B436" s="35"/>
      <c r="G436" s="30"/>
      <c r="H436" s="30"/>
      <c r="L436" s="30"/>
      <c r="M436" s="30"/>
      <c r="O436" s="32"/>
      <c r="P436" s="32"/>
    </row>
    <row r="437">
      <c r="B437" s="35"/>
      <c r="G437" s="30"/>
      <c r="H437" s="30"/>
      <c r="L437" s="30"/>
      <c r="M437" s="30"/>
      <c r="O437" s="32"/>
      <c r="P437" s="32"/>
    </row>
    <row r="438">
      <c r="B438" s="35"/>
      <c r="G438" s="30"/>
      <c r="H438" s="30"/>
      <c r="L438" s="30"/>
      <c r="M438" s="30"/>
      <c r="O438" s="32"/>
      <c r="P438" s="32"/>
    </row>
    <row r="439">
      <c r="B439" s="35"/>
      <c r="G439" s="30"/>
      <c r="H439" s="30"/>
      <c r="L439" s="30"/>
      <c r="M439" s="30"/>
      <c r="O439" s="32"/>
      <c r="P439" s="32"/>
    </row>
    <row r="440">
      <c r="B440" s="35"/>
      <c r="G440" s="30"/>
      <c r="H440" s="30"/>
      <c r="L440" s="30"/>
      <c r="M440" s="30"/>
      <c r="O440" s="32"/>
      <c r="P440" s="32"/>
    </row>
    <row r="441">
      <c r="B441" s="35"/>
      <c r="G441" s="30"/>
      <c r="H441" s="30"/>
      <c r="L441" s="30"/>
      <c r="M441" s="30"/>
      <c r="O441" s="32"/>
      <c r="P441" s="32"/>
    </row>
    <row r="442">
      <c r="B442" s="35"/>
      <c r="G442" s="30"/>
      <c r="H442" s="30"/>
      <c r="L442" s="30"/>
      <c r="M442" s="30"/>
      <c r="O442" s="32"/>
      <c r="P442" s="32"/>
    </row>
    <row r="443">
      <c r="B443" s="35"/>
      <c r="G443" s="30"/>
      <c r="H443" s="30"/>
      <c r="L443" s="30"/>
      <c r="M443" s="30"/>
      <c r="O443" s="32"/>
      <c r="P443" s="32"/>
    </row>
    <row r="444">
      <c r="B444" s="35"/>
      <c r="G444" s="30"/>
      <c r="H444" s="30"/>
      <c r="L444" s="30"/>
      <c r="M444" s="30"/>
      <c r="O444" s="32"/>
      <c r="P444" s="32"/>
    </row>
    <row r="445">
      <c r="B445" s="35"/>
      <c r="G445" s="30"/>
      <c r="H445" s="30"/>
      <c r="L445" s="30"/>
      <c r="M445" s="30"/>
      <c r="O445" s="32"/>
      <c r="P445" s="32"/>
    </row>
    <row r="446">
      <c r="B446" s="35"/>
      <c r="G446" s="30"/>
      <c r="H446" s="30"/>
      <c r="L446" s="30"/>
      <c r="M446" s="30"/>
      <c r="O446" s="32"/>
      <c r="P446" s="32"/>
    </row>
    <row r="447">
      <c r="B447" s="35"/>
      <c r="G447" s="30"/>
      <c r="H447" s="30"/>
      <c r="L447" s="30"/>
      <c r="M447" s="30"/>
      <c r="O447" s="32"/>
      <c r="P447" s="32"/>
    </row>
    <row r="448">
      <c r="B448" s="35"/>
      <c r="G448" s="30"/>
      <c r="H448" s="30"/>
      <c r="L448" s="30"/>
      <c r="M448" s="30"/>
      <c r="O448" s="32"/>
      <c r="P448" s="32"/>
    </row>
    <row r="449">
      <c r="B449" s="35"/>
      <c r="G449" s="30"/>
      <c r="H449" s="30"/>
      <c r="L449" s="30"/>
      <c r="M449" s="30"/>
      <c r="O449" s="32"/>
      <c r="P449" s="32"/>
    </row>
    <row r="450">
      <c r="B450" s="35"/>
      <c r="G450" s="30"/>
      <c r="H450" s="30"/>
      <c r="L450" s="30"/>
      <c r="M450" s="30"/>
      <c r="O450" s="32"/>
      <c r="P450" s="32"/>
    </row>
    <row r="451">
      <c r="B451" s="35"/>
      <c r="G451" s="30"/>
      <c r="H451" s="30"/>
      <c r="L451" s="30"/>
      <c r="M451" s="30"/>
      <c r="O451" s="32"/>
      <c r="P451" s="32"/>
    </row>
    <row r="452">
      <c r="B452" s="35"/>
      <c r="G452" s="30"/>
      <c r="H452" s="30"/>
      <c r="L452" s="30"/>
      <c r="M452" s="30"/>
      <c r="O452" s="32"/>
      <c r="P452" s="32"/>
    </row>
    <row r="453">
      <c r="B453" s="35"/>
      <c r="G453" s="30"/>
      <c r="H453" s="30"/>
      <c r="L453" s="30"/>
      <c r="M453" s="30"/>
      <c r="O453" s="32"/>
      <c r="P453" s="32"/>
    </row>
    <row r="454">
      <c r="B454" s="35"/>
      <c r="G454" s="30"/>
      <c r="H454" s="30"/>
      <c r="L454" s="30"/>
      <c r="M454" s="30"/>
      <c r="O454" s="32"/>
      <c r="P454" s="32"/>
    </row>
    <row r="455">
      <c r="B455" s="35"/>
      <c r="G455" s="30"/>
      <c r="H455" s="30"/>
      <c r="L455" s="30"/>
      <c r="M455" s="30"/>
      <c r="O455" s="32"/>
      <c r="P455" s="32"/>
    </row>
    <row r="456">
      <c r="B456" s="35"/>
      <c r="G456" s="30"/>
      <c r="H456" s="30"/>
      <c r="L456" s="30"/>
      <c r="M456" s="30"/>
      <c r="O456" s="32"/>
      <c r="P456" s="32"/>
    </row>
    <row r="457">
      <c r="B457" s="35"/>
      <c r="G457" s="30"/>
      <c r="H457" s="30"/>
      <c r="L457" s="30"/>
      <c r="M457" s="30"/>
      <c r="O457" s="32"/>
      <c r="P457" s="32"/>
    </row>
    <row r="458">
      <c r="B458" s="35"/>
      <c r="G458" s="30"/>
      <c r="H458" s="30"/>
      <c r="L458" s="30"/>
      <c r="M458" s="30"/>
      <c r="O458" s="32"/>
      <c r="P458" s="32"/>
    </row>
    <row r="459">
      <c r="B459" s="35"/>
      <c r="G459" s="30"/>
      <c r="H459" s="30"/>
      <c r="L459" s="30"/>
      <c r="M459" s="30"/>
      <c r="O459" s="32"/>
      <c r="P459" s="32"/>
    </row>
    <row r="460">
      <c r="B460" s="35"/>
      <c r="G460" s="30"/>
      <c r="H460" s="30"/>
      <c r="L460" s="30"/>
      <c r="M460" s="30"/>
      <c r="O460" s="32"/>
      <c r="P460" s="32"/>
    </row>
    <row r="461">
      <c r="B461" s="35"/>
      <c r="G461" s="30"/>
      <c r="H461" s="30"/>
      <c r="L461" s="30"/>
      <c r="M461" s="30"/>
      <c r="O461" s="32"/>
      <c r="P461" s="32"/>
    </row>
    <row r="462">
      <c r="B462" s="35"/>
      <c r="G462" s="30"/>
      <c r="H462" s="30"/>
      <c r="L462" s="30"/>
      <c r="M462" s="30"/>
      <c r="O462" s="32"/>
      <c r="P462" s="32"/>
    </row>
    <row r="463">
      <c r="B463" s="35"/>
      <c r="G463" s="30"/>
      <c r="H463" s="30"/>
      <c r="L463" s="30"/>
      <c r="M463" s="30"/>
      <c r="O463" s="32"/>
      <c r="P463" s="32"/>
    </row>
    <row r="464">
      <c r="B464" s="35"/>
      <c r="G464" s="30"/>
      <c r="H464" s="30"/>
      <c r="L464" s="30"/>
      <c r="M464" s="30"/>
      <c r="O464" s="32"/>
      <c r="P464" s="32"/>
    </row>
    <row r="465">
      <c r="B465" s="35"/>
      <c r="G465" s="30"/>
      <c r="H465" s="30"/>
      <c r="L465" s="30"/>
      <c r="M465" s="30"/>
      <c r="O465" s="32"/>
      <c r="P465" s="32"/>
    </row>
    <row r="466">
      <c r="B466" s="35"/>
      <c r="G466" s="30"/>
      <c r="H466" s="30"/>
      <c r="L466" s="30"/>
      <c r="M466" s="30"/>
      <c r="O466" s="32"/>
      <c r="P466" s="32"/>
    </row>
    <row r="467">
      <c r="B467" s="35"/>
      <c r="G467" s="30"/>
      <c r="H467" s="30"/>
      <c r="L467" s="30"/>
      <c r="M467" s="30"/>
      <c r="O467" s="32"/>
      <c r="P467" s="32"/>
    </row>
    <row r="468">
      <c r="B468" s="35"/>
      <c r="G468" s="30"/>
      <c r="H468" s="30"/>
      <c r="L468" s="30"/>
      <c r="M468" s="30"/>
      <c r="O468" s="32"/>
      <c r="P468" s="32"/>
    </row>
    <row r="469">
      <c r="B469" s="35"/>
      <c r="G469" s="30"/>
      <c r="H469" s="30"/>
      <c r="L469" s="30"/>
      <c r="M469" s="30"/>
      <c r="O469" s="32"/>
      <c r="P469" s="32"/>
    </row>
    <row r="470">
      <c r="B470" s="35"/>
      <c r="G470" s="30"/>
      <c r="H470" s="30"/>
      <c r="L470" s="30"/>
      <c r="M470" s="30"/>
      <c r="O470" s="32"/>
      <c r="P470" s="32"/>
    </row>
    <row r="471">
      <c r="B471" s="35"/>
      <c r="G471" s="30"/>
      <c r="H471" s="30"/>
      <c r="L471" s="30"/>
      <c r="M471" s="30"/>
      <c r="O471" s="32"/>
      <c r="P471" s="32"/>
    </row>
    <row r="472">
      <c r="B472" s="35"/>
      <c r="G472" s="30"/>
      <c r="H472" s="30"/>
      <c r="L472" s="30"/>
      <c r="M472" s="30"/>
      <c r="O472" s="32"/>
      <c r="P472" s="32"/>
    </row>
    <row r="473">
      <c r="B473" s="35"/>
      <c r="G473" s="30"/>
      <c r="H473" s="30"/>
      <c r="L473" s="30"/>
      <c r="M473" s="30"/>
      <c r="O473" s="32"/>
      <c r="P473" s="32"/>
    </row>
    <row r="474">
      <c r="B474" s="35"/>
      <c r="G474" s="30"/>
      <c r="H474" s="30"/>
      <c r="L474" s="30"/>
      <c r="M474" s="30"/>
      <c r="O474" s="32"/>
      <c r="P474" s="32"/>
    </row>
    <row r="475">
      <c r="B475" s="35"/>
      <c r="G475" s="30"/>
      <c r="H475" s="30"/>
      <c r="L475" s="30"/>
      <c r="M475" s="30"/>
      <c r="O475" s="32"/>
      <c r="P475" s="32"/>
    </row>
    <row r="476">
      <c r="B476" s="35"/>
      <c r="G476" s="30"/>
      <c r="H476" s="30"/>
      <c r="L476" s="30"/>
      <c r="M476" s="30"/>
      <c r="O476" s="32"/>
      <c r="P476" s="32"/>
    </row>
    <row r="477">
      <c r="B477" s="35"/>
      <c r="G477" s="30"/>
      <c r="H477" s="30"/>
      <c r="L477" s="30"/>
      <c r="M477" s="30"/>
      <c r="O477" s="32"/>
      <c r="P477" s="32"/>
    </row>
    <row r="478">
      <c r="B478" s="35"/>
      <c r="G478" s="30"/>
      <c r="H478" s="30"/>
      <c r="L478" s="30"/>
      <c r="M478" s="30"/>
      <c r="O478" s="32"/>
      <c r="P478" s="32"/>
    </row>
    <row r="479">
      <c r="B479" s="35"/>
      <c r="G479" s="30"/>
      <c r="H479" s="30"/>
      <c r="L479" s="30"/>
      <c r="M479" s="30"/>
      <c r="O479" s="32"/>
      <c r="P479" s="32"/>
    </row>
    <row r="480">
      <c r="B480" s="35"/>
      <c r="G480" s="30"/>
      <c r="H480" s="30"/>
      <c r="L480" s="30"/>
      <c r="M480" s="30"/>
      <c r="O480" s="32"/>
      <c r="P480" s="32"/>
    </row>
    <row r="481">
      <c r="B481" s="35"/>
      <c r="G481" s="30"/>
      <c r="H481" s="30"/>
      <c r="L481" s="30"/>
      <c r="M481" s="30"/>
      <c r="O481" s="32"/>
      <c r="P481" s="32"/>
    </row>
    <row r="482">
      <c r="B482" s="35"/>
      <c r="G482" s="30"/>
      <c r="H482" s="30"/>
      <c r="L482" s="30"/>
      <c r="M482" s="30"/>
      <c r="O482" s="32"/>
      <c r="P482" s="32"/>
    </row>
    <row r="483">
      <c r="B483" s="35"/>
      <c r="G483" s="30"/>
      <c r="H483" s="30"/>
      <c r="L483" s="30"/>
      <c r="M483" s="30"/>
      <c r="O483" s="32"/>
      <c r="P483" s="32"/>
    </row>
    <row r="484">
      <c r="B484" s="35"/>
      <c r="G484" s="30"/>
      <c r="H484" s="30"/>
      <c r="L484" s="30"/>
      <c r="M484" s="30"/>
      <c r="O484" s="32"/>
      <c r="P484" s="32"/>
    </row>
    <row r="485">
      <c r="B485" s="35"/>
      <c r="G485" s="30"/>
      <c r="H485" s="30"/>
      <c r="L485" s="30"/>
      <c r="M485" s="30"/>
      <c r="O485" s="32"/>
      <c r="P485" s="32"/>
    </row>
    <row r="486">
      <c r="B486" s="35"/>
      <c r="G486" s="30"/>
      <c r="H486" s="30"/>
      <c r="L486" s="30"/>
      <c r="M486" s="30"/>
      <c r="O486" s="32"/>
      <c r="P486" s="32"/>
    </row>
    <row r="487">
      <c r="B487" s="35"/>
      <c r="G487" s="30"/>
      <c r="H487" s="30"/>
      <c r="L487" s="30"/>
      <c r="M487" s="30"/>
      <c r="O487" s="32"/>
      <c r="P487" s="32"/>
    </row>
    <row r="488">
      <c r="B488" s="35"/>
      <c r="G488" s="30"/>
      <c r="H488" s="30"/>
      <c r="L488" s="30"/>
      <c r="M488" s="30"/>
      <c r="O488" s="32"/>
      <c r="P488" s="32"/>
    </row>
    <row r="489">
      <c r="B489" s="35"/>
      <c r="G489" s="30"/>
      <c r="H489" s="30"/>
      <c r="L489" s="30"/>
      <c r="M489" s="30"/>
      <c r="O489" s="32"/>
      <c r="P489" s="32"/>
    </row>
    <row r="490">
      <c r="B490" s="35"/>
      <c r="G490" s="30"/>
      <c r="H490" s="30"/>
      <c r="L490" s="30"/>
      <c r="M490" s="30"/>
      <c r="O490" s="32"/>
      <c r="P490" s="32"/>
    </row>
    <row r="491">
      <c r="B491" s="35"/>
      <c r="G491" s="30"/>
      <c r="H491" s="30"/>
      <c r="L491" s="30"/>
      <c r="M491" s="30"/>
      <c r="O491" s="32"/>
      <c r="P491" s="32"/>
    </row>
    <row r="492">
      <c r="B492" s="35"/>
      <c r="G492" s="30"/>
      <c r="H492" s="30"/>
      <c r="L492" s="30"/>
      <c r="M492" s="30"/>
      <c r="O492" s="32"/>
      <c r="P492" s="32"/>
    </row>
    <row r="493">
      <c r="B493" s="35"/>
      <c r="G493" s="30"/>
      <c r="H493" s="30"/>
      <c r="L493" s="30"/>
      <c r="M493" s="30"/>
      <c r="O493" s="32"/>
      <c r="P493" s="32"/>
    </row>
    <row r="494">
      <c r="B494" s="35"/>
      <c r="G494" s="30"/>
      <c r="H494" s="30"/>
      <c r="L494" s="30"/>
      <c r="M494" s="30"/>
      <c r="O494" s="32"/>
      <c r="P494" s="32"/>
    </row>
    <row r="495">
      <c r="B495" s="35"/>
      <c r="G495" s="30"/>
      <c r="H495" s="30"/>
      <c r="L495" s="30"/>
      <c r="M495" s="30"/>
      <c r="O495" s="32"/>
      <c r="P495" s="32"/>
    </row>
    <row r="496">
      <c r="B496" s="35"/>
      <c r="G496" s="30"/>
      <c r="H496" s="30"/>
      <c r="L496" s="30"/>
      <c r="M496" s="30"/>
      <c r="O496" s="32"/>
      <c r="P496" s="32"/>
    </row>
    <row r="497">
      <c r="B497" s="35"/>
      <c r="G497" s="30"/>
      <c r="H497" s="30"/>
      <c r="L497" s="30"/>
      <c r="M497" s="30"/>
      <c r="O497" s="32"/>
      <c r="P497" s="32"/>
    </row>
    <row r="498">
      <c r="B498" s="35"/>
      <c r="G498" s="30"/>
      <c r="H498" s="30"/>
      <c r="L498" s="30"/>
      <c r="M498" s="30"/>
      <c r="O498" s="32"/>
      <c r="P498" s="32"/>
    </row>
    <row r="499">
      <c r="B499" s="35"/>
      <c r="G499" s="30"/>
      <c r="H499" s="30"/>
      <c r="L499" s="30"/>
      <c r="M499" s="30"/>
      <c r="O499" s="32"/>
      <c r="P499" s="32"/>
    </row>
    <row r="500">
      <c r="B500" s="35"/>
      <c r="G500" s="30"/>
      <c r="H500" s="30"/>
      <c r="L500" s="30"/>
      <c r="M500" s="30"/>
      <c r="O500" s="32"/>
      <c r="P500" s="32"/>
    </row>
    <row r="501">
      <c r="B501" s="35"/>
      <c r="G501" s="30"/>
      <c r="H501" s="30"/>
      <c r="L501" s="30"/>
      <c r="M501" s="30"/>
      <c r="O501" s="32"/>
      <c r="P501" s="32"/>
    </row>
    <row r="502">
      <c r="B502" s="35"/>
      <c r="G502" s="30"/>
      <c r="H502" s="30"/>
      <c r="L502" s="30"/>
      <c r="M502" s="30"/>
      <c r="O502" s="32"/>
      <c r="P502" s="32"/>
    </row>
    <row r="503">
      <c r="B503" s="35"/>
      <c r="G503" s="30"/>
      <c r="H503" s="30"/>
      <c r="L503" s="30"/>
      <c r="M503" s="30"/>
      <c r="O503" s="32"/>
      <c r="P503" s="32"/>
    </row>
    <row r="504">
      <c r="B504" s="35"/>
      <c r="G504" s="30"/>
      <c r="H504" s="30"/>
      <c r="L504" s="30"/>
      <c r="M504" s="30"/>
      <c r="O504" s="32"/>
      <c r="P504" s="32"/>
    </row>
    <row r="505">
      <c r="B505" s="35"/>
      <c r="G505" s="30"/>
      <c r="H505" s="30"/>
      <c r="L505" s="30"/>
      <c r="M505" s="30"/>
      <c r="O505" s="32"/>
      <c r="P505" s="32"/>
    </row>
    <row r="506">
      <c r="B506" s="35"/>
      <c r="G506" s="30"/>
      <c r="H506" s="30"/>
      <c r="L506" s="30"/>
      <c r="M506" s="30"/>
      <c r="O506" s="32"/>
      <c r="P506" s="32"/>
    </row>
    <row r="507">
      <c r="B507" s="35"/>
      <c r="G507" s="30"/>
      <c r="H507" s="30"/>
      <c r="L507" s="30"/>
      <c r="M507" s="30"/>
      <c r="O507" s="32"/>
      <c r="P507" s="32"/>
    </row>
    <row r="508">
      <c r="B508" s="35"/>
      <c r="G508" s="30"/>
      <c r="H508" s="30"/>
      <c r="L508" s="30"/>
      <c r="M508" s="30"/>
      <c r="O508" s="32"/>
      <c r="P508" s="32"/>
    </row>
    <row r="509">
      <c r="B509" s="35"/>
      <c r="G509" s="30"/>
      <c r="H509" s="30"/>
      <c r="L509" s="30"/>
      <c r="M509" s="30"/>
      <c r="O509" s="32"/>
      <c r="P509" s="32"/>
    </row>
    <row r="510">
      <c r="B510" s="35"/>
      <c r="G510" s="30"/>
      <c r="H510" s="30"/>
      <c r="L510" s="30"/>
      <c r="M510" s="30"/>
      <c r="O510" s="32"/>
      <c r="P510" s="32"/>
    </row>
    <row r="511">
      <c r="B511" s="35"/>
      <c r="G511" s="30"/>
      <c r="H511" s="30"/>
      <c r="L511" s="30"/>
      <c r="M511" s="30"/>
      <c r="O511" s="32"/>
      <c r="P511" s="32"/>
    </row>
    <row r="512">
      <c r="B512" s="35"/>
      <c r="G512" s="30"/>
      <c r="H512" s="30"/>
      <c r="L512" s="30"/>
      <c r="M512" s="30"/>
      <c r="O512" s="32"/>
      <c r="P512" s="32"/>
    </row>
    <row r="513">
      <c r="B513" s="35"/>
      <c r="G513" s="30"/>
      <c r="H513" s="30"/>
      <c r="L513" s="30"/>
      <c r="M513" s="30"/>
      <c r="O513" s="32"/>
      <c r="P513" s="32"/>
    </row>
    <row r="514">
      <c r="B514" s="35"/>
      <c r="G514" s="30"/>
      <c r="H514" s="30"/>
      <c r="L514" s="30"/>
      <c r="M514" s="30"/>
      <c r="O514" s="32"/>
      <c r="P514" s="32"/>
    </row>
    <row r="515">
      <c r="B515" s="35"/>
      <c r="G515" s="30"/>
      <c r="H515" s="30"/>
      <c r="L515" s="30"/>
      <c r="M515" s="30"/>
      <c r="O515" s="32"/>
      <c r="P515" s="32"/>
    </row>
    <row r="516">
      <c r="B516" s="35"/>
      <c r="G516" s="30"/>
      <c r="H516" s="30"/>
      <c r="L516" s="30"/>
      <c r="M516" s="30"/>
      <c r="O516" s="32"/>
      <c r="P516" s="32"/>
    </row>
    <row r="517">
      <c r="B517" s="35"/>
      <c r="G517" s="30"/>
      <c r="H517" s="30"/>
      <c r="L517" s="30"/>
      <c r="M517" s="30"/>
      <c r="O517" s="32"/>
      <c r="P517" s="32"/>
    </row>
    <row r="518">
      <c r="B518" s="35"/>
      <c r="G518" s="30"/>
      <c r="H518" s="30"/>
      <c r="L518" s="30"/>
      <c r="M518" s="30"/>
      <c r="O518" s="32"/>
      <c r="P518" s="32"/>
    </row>
    <row r="519">
      <c r="B519" s="35"/>
      <c r="G519" s="30"/>
      <c r="H519" s="30"/>
      <c r="L519" s="30"/>
      <c r="M519" s="30"/>
      <c r="O519" s="32"/>
      <c r="P519" s="32"/>
    </row>
    <row r="520">
      <c r="B520" s="35"/>
      <c r="G520" s="30"/>
      <c r="H520" s="30"/>
      <c r="L520" s="30"/>
      <c r="M520" s="30"/>
      <c r="O520" s="32"/>
      <c r="P520" s="32"/>
    </row>
    <row r="521">
      <c r="B521" s="35"/>
      <c r="G521" s="30"/>
      <c r="H521" s="30"/>
      <c r="L521" s="30"/>
      <c r="M521" s="30"/>
      <c r="O521" s="32"/>
      <c r="P521" s="32"/>
    </row>
    <row r="522">
      <c r="B522" s="35"/>
      <c r="G522" s="30"/>
      <c r="H522" s="30"/>
      <c r="L522" s="30"/>
      <c r="M522" s="30"/>
      <c r="O522" s="32"/>
      <c r="P522" s="32"/>
    </row>
    <row r="523">
      <c r="B523" s="35"/>
      <c r="G523" s="30"/>
      <c r="H523" s="30"/>
      <c r="L523" s="30"/>
      <c r="M523" s="30"/>
      <c r="O523" s="32"/>
      <c r="P523" s="32"/>
    </row>
    <row r="524">
      <c r="B524" s="35"/>
      <c r="G524" s="30"/>
      <c r="H524" s="30"/>
      <c r="L524" s="30"/>
      <c r="M524" s="30"/>
      <c r="O524" s="32"/>
      <c r="P524" s="32"/>
    </row>
    <row r="525">
      <c r="B525" s="35"/>
      <c r="G525" s="30"/>
      <c r="H525" s="30"/>
      <c r="L525" s="30"/>
      <c r="M525" s="30"/>
      <c r="O525" s="32"/>
      <c r="P525" s="32"/>
    </row>
    <row r="526">
      <c r="B526" s="35"/>
      <c r="G526" s="30"/>
      <c r="H526" s="30"/>
      <c r="L526" s="30"/>
      <c r="M526" s="30"/>
      <c r="O526" s="32"/>
      <c r="P526" s="32"/>
    </row>
    <row r="527">
      <c r="B527" s="35"/>
      <c r="G527" s="30"/>
      <c r="H527" s="30"/>
      <c r="L527" s="30"/>
      <c r="M527" s="30"/>
      <c r="O527" s="32"/>
      <c r="P527" s="32"/>
    </row>
    <row r="528">
      <c r="B528" s="35"/>
      <c r="G528" s="30"/>
      <c r="H528" s="30"/>
      <c r="L528" s="30"/>
      <c r="M528" s="30"/>
      <c r="O528" s="32"/>
      <c r="P528" s="32"/>
    </row>
    <row r="529">
      <c r="B529" s="35"/>
      <c r="G529" s="30"/>
      <c r="H529" s="30"/>
      <c r="L529" s="30"/>
      <c r="M529" s="30"/>
      <c r="O529" s="32"/>
      <c r="P529" s="32"/>
    </row>
    <row r="530">
      <c r="B530" s="35"/>
      <c r="G530" s="30"/>
      <c r="H530" s="30"/>
      <c r="L530" s="30"/>
      <c r="M530" s="30"/>
      <c r="O530" s="32"/>
      <c r="P530" s="32"/>
    </row>
    <row r="531">
      <c r="B531" s="35"/>
      <c r="G531" s="30"/>
      <c r="H531" s="30"/>
      <c r="L531" s="30"/>
      <c r="M531" s="30"/>
      <c r="O531" s="32"/>
      <c r="P531" s="32"/>
    </row>
    <row r="532">
      <c r="B532" s="35"/>
      <c r="G532" s="30"/>
      <c r="H532" s="30"/>
      <c r="L532" s="30"/>
      <c r="M532" s="30"/>
      <c r="O532" s="32"/>
      <c r="P532" s="32"/>
    </row>
    <row r="533">
      <c r="B533" s="35"/>
      <c r="G533" s="30"/>
      <c r="H533" s="30"/>
      <c r="L533" s="30"/>
      <c r="M533" s="30"/>
      <c r="O533" s="32"/>
      <c r="P533" s="32"/>
    </row>
    <row r="534">
      <c r="B534" s="35"/>
      <c r="G534" s="30"/>
      <c r="H534" s="30"/>
      <c r="L534" s="30"/>
      <c r="M534" s="30"/>
      <c r="O534" s="32"/>
      <c r="P534" s="32"/>
    </row>
    <row r="535">
      <c r="B535" s="35"/>
      <c r="G535" s="30"/>
      <c r="H535" s="30"/>
      <c r="L535" s="30"/>
      <c r="M535" s="30"/>
      <c r="O535" s="32"/>
      <c r="P535" s="32"/>
    </row>
    <row r="536">
      <c r="B536" s="35"/>
      <c r="G536" s="30"/>
      <c r="H536" s="30"/>
      <c r="L536" s="30"/>
      <c r="M536" s="30"/>
      <c r="O536" s="32"/>
      <c r="P536" s="32"/>
    </row>
    <row r="537">
      <c r="B537" s="35"/>
      <c r="G537" s="30"/>
      <c r="H537" s="30"/>
      <c r="L537" s="30"/>
      <c r="M537" s="30"/>
      <c r="O537" s="32"/>
      <c r="P537" s="32"/>
    </row>
    <row r="538">
      <c r="B538" s="35"/>
      <c r="G538" s="30"/>
      <c r="H538" s="30"/>
      <c r="L538" s="30"/>
      <c r="M538" s="30"/>
      <c r="O538" s="32"/>
      <c r="P538" s="32"/>
    </row>
    <row r="539">
      <c r="B539" s="35"/>
      <c r="G539" s="30"/>
      <c r="H539" s="30"/>
      <c r="L539" s="30"/>
      <c r="M539" s="30"/>
      <c r="O539" s="32"/>
      <c r="P539" s="32"/>
    </row>
    <row r="540">
      <c r="B540" s="35"/>
      <c r="G540" s="30"/>
      <c r="H540" s="30"/>
      <c r="L540" s="30"/>
      <c r="M540" s="30"/>
      <c r="O540" s="32"/>
      <c r="P540" s="32"/>
    </row>
    <row r="541">
      <c r="B541" s="35"/>
      <c r="G541" s="30"/>
      <c r="H541" s="30"/>
      <c r="L541" s="30"/>
      <c r="M541" s="30"/>
      <c r="O541" s="32"/>
      <c r="P541" s="32"/>
    </row>
    <row r="542">
      <c r="B542" s="35"/>
      <c r="G542" s="30"/>
      <c r="H542" s="30"/>
      <c r="L542" s="30"/>
      <c r="M542" s="30"/>
      <c r="O542" s="32"/>
      <c r="P542" s="32"/>
    </row>
    <row r="543">
      <c r="B543" s="35"/>
      <c r="G543" s="30"/>
      <c r="H543" s="30"/>
      <c r="L543" s="30"/>
      <c r="M543" s="30"/>
      <c r="O543" s="32"/>
      <c r="P543" s="32"/>
    </row>
    <row r="544">
      <c r="B544" s="35"/>
      <c r="G544" s="30"/>
      <c r="H544" s="30"/>
      <c r="L544" s="30"/>
      <c r="M544" s="30"/>
      <c r="O544" s="32"/>
      <c r="P544" s="32"/>
    </row>
    <row r="545">
      <c r="B545" s="35"/>
      <c r="G545" s="30"/>
      <c r="H545" s="30"/>
      <c r="L545" s="30"/>
      <c r="M545" s="30"/>
      <c r="O545" s="32"/>
      <c r="P545" s="32"/>
    </row>
    <row r="546">
      <c r="B546" s="35"/>
      <c r="G546" s="30"/>
      <c r="H546" s="30"/>
      <c r="L546" s="30"/>
      <c r="M546" s="30"/>
      <c r="O546" s="32"/>
      <c r="P546" s="32"/>
    </row>
    <row r="547">
      <c r="B547" s="35"/>
      <c r="G547" s="30"/>
      <c r="H547" s="30"/>
      <c r="L547" s="30"/>
      <c r="M547" s="30"/>
      <c r="O547" s="32"/>
      <c r="P547" s="32"/>
    </row>
    <row r="548">
      <c r="B548" s="35"/>
      <c r="G548" s="30"/>
      <c r="H548" s="30"/>
      <c r="L548" s="30"/>
      <c r="M548" s="30"/>
      <c r="O548" s="32"/>
      <c r="P548" s="32"/>
    </row>
    <row r="549">
      <c r="B549" s="35"/>
      <c r="G549" s="30"/>
      <c r="H549" s="30"/>
      <c r="L549" s="30"/>
      <c r="M549" s="30"/>
      <c r="O549" s="32"/>
      <c r="P549" s="32"/>
    </row>
    <row r="550">
      <c r="B550" s="35"/>
      <c r="G550" s="30"/>
      <c r="H550" s="30"/>
      <c r="L550" s="30"/>
      <c r="M550" s="30"/>
      <c r="O550" s="32"/>
      <c r="P550" s="32"/>
    </row>
    <row r="551">
      <c r="B551" s="35"/>
      <c r="G551" s="30"/>
      <c r="H551" s="30"/>
      <c r="L551" s="30"/>
      <c r="M551" s="30"/>
      <c r="O551" s="32"/>
      <c r="P551" s="32"/>
    </row>
    <row r="552">
      <c r="B552" s="35"/>
      <c r="G552" s="30"/>
      <c r="H552" s="30"/>
      <c r="L552" s="30"/>
      <c r="M552" s="30"/>
      <c r="O552" s="32"/>
      <c r="P552" s="32"/>
    </row>
    <row r="553">
      <c r="B553" s="35"/>
      <c r="G553" s="30"/>
      <c r="H553" s="30"/>
      <c r="L553" s="30"/>
      <c r="M553" s="30"/>
      <c r="O553" s="32"/>
      <c r="P553" s="32"/>
    </row>
    <row r="554">
      <c r="B554" s="35"/>
      <c r="G554" s="30"/>
      <c r="H554" s="30"/>
      <c r="L554" s="30"/>
      <c r="M554" s="30"/>
      <c r="O554" s="32"/>
      <c r="P554" s="32"/>
    </row>
    <row r="555">
      <c r="B555" s="35"/>
      <c r="G555" s="30"/>
      <c r="H555" s="30"/>
      <c r="L555" s="30"/>
      <c r="M555" s="30"/>
      <c r="O555" s="32"/>
      <c r="P555" s="32"/>
    </row>
    <row r="556">
      <c r="B556" s="35"/>
      <c r="G556" s="30"/>
      <c r="H556" s="30"/>
      <c r="L556" s="30"/>
      <c r="M556" s="30"/>
      <c r="O556" s="32"/>
      <c r="P556" s="32"/>
    </row>
    <row r="557">
      <c r="B557" s="35"/>
      <c r="G557" s="30"/>
      <c r="H557" s="30"/>
      <c r="L557" s="30"/>
      <c r="M557" s="30"/>
      <c r="O557" s="32"/>
      <c r="P557" s="32"/>
    </row>
    <row r="558">
      <c r="B558" s="35"/>
      <c r="G558" s="30"/>
      <c r="H558" s="30"/>
      <c r="L558" s="30"/>
      <c r="M558" s="30"/>
      <c r="O558" s="32"/>
      <c r="P558" s="32"/>
    </row>
    <row r="559">
      <c r="B559" s="35"/>
      <c r="G559" s="30"/>
      <c r="H559" s="30"/>
      <c r="L559" s="30"/>
      <c r="M559" s="30"/>
      <c r="O559" s="32"/>
      <c r="P559" s="32"/>
    </row>
    <row r="560">
      <c r="B560" s="35"/>
      <c r="G560" s="30"/>
      <c r="H560" s="30"/>
      <c r="L560" s="30"/>
      <c r="M560" s="30"/>
      <c r="O560" s="32"/>
      <c r="P560" s="32"/>
    </row>
    <row r="561">
      <c r="B561" s="35"/>
      <c r="G561" s="30"/>
      <c r="H561" s="30"/>
      <c r="L561" s="30"/>
      <c r="M561" s="30"/>
      <c r="O561" s="32"/>
      <c r="P561" s="32"/>
    </row>
    <row r="562">
      <c r="B562" s="35"/>
      <c r="G562" s="30"/>
      <c r="H562" s="30"/>
      <c r="L562" s="30"/>
      <c r="M562" s="30"/>
      <c r="O562" s="32"/>
      <c r="P562" s="32"/>
    </row>
    <row r="563">
      <c r="B563" s="35"/>
      <c r="G563" s="30"/>
      <c r="H563" s="30"/>
      <c r="L563" s="30"/>
      <c r="M563" s="30"/>
      <c r="O563" s="32"/>
      <c r="P563" s="32"/>
    </row>
    <row r="564">
      <c r="B564" s="35"/>
      <c r="G564" s="30"/>
      <c r="H564" s="30"/>
      <c r="L564" s="30"/>
      <c r="M564" s="30"/>
      <c r="O564" s="32"/>
      <c r="P564" s="32"/>
    </row>
    <row r="565">
      <c r="B565" s="35"/>
      <c r="G565" s="30"/>
      <c r="H565" s="30"/>
      <c r="L565" s="30"/>
      <c r="M565" s="30"/>
      <c r="O565" s="32"/>
      <c r="P565" s="32"/>
    </row>
    <row r="566">
      <c r="B566" s="35"/>
      <c r="G566" s="30"/>
      <c r="H566" s="30"/>
      <c r="L566" s="30"/>
      <c r="M566" s="30"/>
      <c r="O566" s="32"/>
      <c r="P566" s="32"/>
    </row>
    <row r="567">
      <c r="B567" s="35"/>
      <c r="G567" s="30"/>
      <c r="H567" s="30"/>
      <c r="L567" s="30"/>
      <c r="M567" s="30"/>
      <c r="O567" s="32"/>
      <c r="P567" s="32"/>
    </row>
    <row r="568">
      <c r="B568" s="35"/>
      <c r="G568" s="30"/>
      <c r="H568" s="30"/>
      <c r="L568" s="30"/>
      <c r="M568" s="30"/>
      <c r="O568" s="32"/>
      <c r="P568" s="32"/>
    </row>
    <row r="569">
      <c r="B569" s="35"/>
      <c r="G569" s="30"/>
      <c r="H569" s="30"/>
      <c r="L569" s="30"/>
      <c r="M569" s="30"/>
      <c r="O569" s="32"/>
      <c r="P569" s="32"/>
    </row>
    <row r="570">
      <c r="B570" s="35"/>
      <c r="G570" s="30"/>
      <c r="H570" s="30"/>
      <c r="L570" s="30"/>
      <c r="M570" s="30"/>
      <c r="O570" s="32"/>
      <c r="P570" s="32"/>
    </row>
    <row r="571">
      <c r="B571" s="35"/>
      <c r="G571" s="30"/>
      <c r="H571" s="30"/>
      <c r="L571" s="30"/>
      <c r="M571" s="30"/>
      <c r="O571" s="32"/>
      <c r="P571" s="32"/>
    </row>
    <row r="572">
      <c r="B572" s="35"/>
      <c r="G572" s="30"/>
      <c r="H572" s="30"/>
      <c r="L572" s="30"/>
      <c r="M572" s="30"/>
      <c r="O572" s="32"/>
      <c r="P572" s="32"/>
    </row>
    <row r="573">
      <c r="B573" s="35"/>
      <c r="G573" s="30"/>
      <c r="H573" s="30"/>
      <c r="L573" s="30"/>
      <c r="M573" s="30"/>
      <c r="O573" s="32"/>
      <c r="P573" s="32"/>
    </row>
    <row r="574">
      <c r="B574" s="35"/>
      <c r="G574" s="30"/>
      <c r="H574" s="30"/>
      <c r="L574" s="30"/>
      <c r="M574" s="30"/>
      <c r="O574" s="32"/>
      <c r="P574" s="32"/>
    </row>
    <row r="575">
      <c r="B575" s="35"/>
      <c r="G575" s="30"/>
      <c r="H575" s="30"/>
      <c r="L575" s="30"/>
      <c r="M575" s="30"/>
      <c r="O575" s="32"/>
      <c r="P575" s="32"/>
    </row>
    <row r="576">
      <c r="B576" s="35"/>
      <c r="G576" s="30"/>
      <c r="H576" s="30"/>
      <c r="L576" s="30"/>
      <c r="M576" s="30"/>
      <c r="O576" s="32"/>
      <c r="P576" s="32"/>
    </row>
    <row r="577">
      <c r="B577" s="35"/>
      <c r="G577" s="30"/>
      <c r="H577" s="30"/>
      <c r="L577" s="30"/>
      <c r="M577" s="30"/>
      <c r="O577" s="32"/>
      <c r="P577" s="32"/>
    </row>
    <row r="578">
      <c r="B578" s="35"/>
      <c r="G578" s="30"/>
      <c r="H578" s="30"/>
      <c r="L578" s="30"/>
      <c r="M578" s="30"/>
      <c r="O578" s="32"/>
      <c r="P578" s="32"/>
    </row>
    <row r="579">
      <c r="B579" s="35"/>
      <c r="G579" s="30"/>
      <c r="H579" s="30"/>
      <c r="L579" s="30"/>
      <c r="M579" s="30"/>
      <c r="O579" s="32"/>
      <c r="P579" s="32"/>
    </row>
    <row r="580">
      <c r="B580" s="35"/>
      <c r="G580" s="30"/>
      <c r="H580" s="30"/>
      <c r="L580" s="30"/>
      <c r="M580" s="30"/>
      <c r="O580" s="32"/>
      <c r="P580" s="32"/>
    </row>
    <row r="581">
      <c r="B581" s="35"/>
      <c r="G581" s="30"/>
      <c r="H581" s="30"/>
      <c r="L581" s="30"/>
      <c r="M581" s="30"/>
      <c r="O581" s="32"/>
      <c r="P581" s="32"/>
    </row>
    <row r="582">
      <c r="B582" s="35"/>
      <c r="G582" s="30"/>
      <c r="H582" s="30"/>
      <c r="L582" s="30"/>
      <c r="M582" s="30"/>
      <c r="O582" s="32"/>
      <c r="P582" s="32"/>
    </row>
    <row r="583">
      <c r="B583" s="35"/>
      <c r="G583" s="30"/>
      <c r="H583" s="30"/>
      <c r="L583" s="30"/>
      <c r="M583" s="30"/>
      <c r="O583" s="32"/>
      <c r="P583" s="32"/>
    </row>
    <row r="584">
      <c r="B584" s="35"/>
      <c r="G584" s="30"/>
      <c r="H584" s="30"/>
      <c r="L584" s="30"/>
      <c r="M584" s="30"/>
      <c r="O584" s="32"/>
      <c r="P584" s="32"/>
    </row>
    <row r="585">
      <c r="B585" s="35"/>
      <c r="G585" s="30"/>
      <c r="H585" s="30"/>
      <c r="L585" s="30"/>
      <c r="M585" s="30"/>
      <c r="O585" s="32"/>
      <c r="P585" s="32"/>
    </row>
    <row r="586">
      <c r="B586" s="35"/>
      <c r="G586" s="30"/>
      <c r="H586" s="30"/>
      <c r="L586" s="30"/>
      <c r="M586" s="30"/>
      <c r="O586" s="32"/>
      <c r="P586" s="32"/>
    </row>
    <row r="587">
      <c r="B587" s="35"/>
      <c r="G587" s="30"/>
      <c r="H587" s="30"/>
      <c r="L587" s="30"/>
      <c r="M587" s="30"/>
      <c r="O587" s="32"/>
      <c r="P587" s="32"/>
    </row>
    <row r="588">
      <c r="B588" s="35"/>
      <c r="G588" s="30"/>
      <c r="H588" s="30"/>
      <c r="L588" s="30"/>
      <c r="M588" s="30"/>
      <c r="O588" s="32"/>
      <c r="P588" s="32"/>
    </row>
    <row r="589">
      <c r="B589" s="35"/>
      <c r="G589" s="30"/>
      <c r="H589" s="30"/>
      <c r="L589" s="30"/>
      <c r="M589" s="30"/>
      <c r="O589" s="32"/>
      <c r="P589" s="32"/>
    </row>
    <row r="590">
      <c r="B590" s="35"/>
      <c r="G590" s="30"/>
      <c r="H590" s="30"/>
      <c r="L590" s="30"/>
      <c r="M590" s="30"/>
      <c r="O590" s="32"/>
      <c r="P590" s="32"/>
    </row>
    <row r="591">
      <c r="B591" s="35"/>
      <c r="G591" s="30"/>
      <c r="H591" s="30"/>
      <c r="L591" s="30"/>
      <c r="M591" s="30"/>
      <c r="O591" s="32"/>
      <c r="P591" s="32"/>
    </row>
    <row r="592">
      <c r="B592" s="35"/>
      <c r="G592" s="30"/>
      <c r="H592" s="30"/>
      <c r="L592" s="30"/>
      <c r="M592" s="30"/>
      <c r="O592" s="32"/>
      <c r="P592" s="32"/>
    </row>
    <row r="593">
      <c r="B593" s="35"/>
      <c r="G593" s="30"/>
      <c r="H593" s="30"/>
      <c r="L593" s="30"/>
      <c r="M593" s="30"/>
      <c r="O593" s="32"/>
      <c r="P593" s="32"/>
    </row>
    <row r="594">
      <c r="B594" s="35"/>
      <c r="G594" s="30"/>
      <c r="H594" s="30"/>
      <c r="L594" s="30"/>
      <c r="M594" s="30"/>
      <c r="O594" s="32"/>
      <c r="P594" s="32"/>
    </row>
    <row r="595">
      <c r="B595" s="35"/>
      <c r="G595" s="30"/>
      <c r="H595" s="30"/>
      <c r="L595" s="30"/>
      <c r="M595" s="30"/>
      <c r="O595" s="32"/>
      <c r="P595" s="32"/>
    </row>
    <row r="596">
      <c r="B596" s="35"/>
      <c r="G596" s="30"/>
      <c r="H596" s="30"/>
      <c r="L596" s="30"/>
      <c r="M596" s="30"/>
      <c r="O596" s="32"/>
      <c r="P596" s="32"/>
    </row>
    <row r="597">
      <c r="B597" s="35"/>
      <c r="G597" s="30"/>
      <c r="H597" s="30"/>
      <c r="L597" s="30"/>
      <c r="M597" s="30"/>
      <c r="O597" s="32"/>
      <c r="P597" s="32"/>
    </row>
    <row r="598">
      <c r="B598" s="35"/>
      <c r="G598" s="30"/>
      <c r="H598" s="30"/>
      <c r="L598" s="30"/>
      <c r="M598" s="30"/>
      <c r="O598" s="32"/>
      <c r="P598" s="32"/>
    </row>
    <row r="599">
      <c r="B599" s="35"/>
      <c r="G599" s="30"/>
      <c r="H599" s="30"/>
      <c r="L599" s="30"/>
      <c r="M599" s="30"/>
      <c r="O599" s="32"/>
      <c r="P599" s="32"/>
    </row>
    <row r="600">
      <c r="B600" s="35"/>
      <c r="G600" s="30"/>
      <c r="H600" s="30"/>
      <c r="L600" s="30"/>
      <c r="M600" s="30"/>
      <c r="O600" s="32"/>
      <c r="P600" s="32"/>
    </row>
    <row r="601">
      <c r="B601" s="35"/>
      <c r="G601" s="30"/>
      <c r="H601" s="30"/>
      <c r="L601" s="30"/>
      <c r="M601" s="30"/>
      <c r="O601" s="32"/>
      <c r="P601" s="32"/>
    </row>
    <row r="602">
      <c r="B602" s="35"/>
      <c r="G602" s="30"/>
      <c r="H602" s="30"/>
      <c r="L602" s="30"/>
      <c r="M602" s="30"/>
      <c r="O602" s="32"/>
      <c r="P602" s="32"/>
    </row>
    <row r="603">
      <c r="B603" s="35"/>
      <c r="G603" s="30"/>
      <c r="H603" s="30"/>
      <c r="L603" s="30"/>
      <c r="M603" s="30"/>
      <c r="O603" s="32"/>
      <c r="P603" s="32"/>
    </row>
    <row r="604">
      <c r="B604" s="35"/>
      <c r="G604" s="30"/>
      <c r="H604" s="30"/>
      <c r="L604" s="30"/>
      <c r="M604" s="30"/>
      <c r="O604" s="32"/>
      <c r="P604" s="32"/>
    </row>
    <row r="605">
      <c r="B605" s="35"/>
      <c r="G605" s="30"/>
      <c r="H605" s="30"/>
      <c r="L605" s="30"/>
      <c r="M605" s="30"/>
      <c r="O605" s="32"/>
      <c r="P605" s="32"/>
    </row>
    <row r="606">
      <c r="B606" s="35"/>
      <c r="G606" s="30"/>
      <c r="H606" s="30"/>
      <c r="L606" s="30"/>
      <c r="M606" s="30"/>
      <c r="O606" s="32"/>
      <c r="P606" s="32"/>
    </row>
    <row r="607">
      <c r="B607" s="35"/>
      <c r="G607" s="30"/>
      <c r="H607" s="30"/>
      <c r="L607" s="30"/>
      <c r="M607" s="30"/>
      <c r="O607" s="32"/>
      <c r="P607" s="32"/>
    </row>
    <row r="608">
      <c r="B608" s="35"/>
      <c r="G608" s="30"/>
      <c r="H608" s="30"/>
      <c r="L608" s="30"/>
      <c r="M608" s="30"/>
      <c r="O608" s="32"/>
      <c r="P608" s="32"/>
    </row>
    <row r="609">
      <c r="B609" s="35"/>
      <c r="G609" s="30"/>
      <c r="H609" s="30"/>
      <c r="L609" s="30"/>
      <c r="M609" s="30"/>
      <c r="O609" s="32"/>
      <c r="P609" s="32"/>
    </row>
    <row r="610">
      <c r="B610" s="35"/>
      <c r="G610" s="30"/>
      <c r="H610" s="30"/>
      <c r="L610" s="30"/>
      <c r="M610" s="30"/>
      <c r="O610" s="32"/>
      <c r="P610" s="32"/>
    </row>
    <row r="611">
      <c r="B611" s="35"/>
      <c r="G611" s="30"/>
      <c r="H611" s="30"/>
      <c r="L611" s="30"/>
      <c r="M611" s="30"/>
      <c r="O611" s="32"/>
      <c r="P611" s="32"/>
    </row>
    <row r="612">
      <c r="B612" s="35"/>
      <c r="G612" s="30"/>
      <c r="H612" s="30"/>
      <c r="L612" s="30"/>
      <c r="M612" s="30"/>
      <c r="O612" s="32"/>
      <c r="P612" s="32"/>
    </row>
    <row r="613">
      <c r="B613" s="35"/>
      <c r="G613" s="30"/>
      <c r="H613" s="30"/>
      <c r="L613" s="30"/>
      <c r="M613" s="30"/>
      <c r="O613" s="32"/>
      <c r="P613" s="32"/>
    </row>
    <row r="614">
      <c r="B614" s="35"/>
      <c r="G614" s="30"/>
      <c r="H614" s="30"/>
      <c r="L614" s="30"/>
      <c r="M614" s="30"/>
      <c r="O614" s="32"/>
      <c r="P614" s="32"/>
    </row>
    <row r="615">
      <c r="B615" s="35"/>
      <c r="G615" s="30"/>
      <c r="H615" s="30"/>
      <c r="L615" s="30"/>
      <c r="M615" s="30"/>
      <c r="O615" s="32"/>
      <c r="P615" s="32"/>
    </row>
    <row r="616">
      <c r="B616" s="35"/>
      <c r="G616" s="30"/>
      <c r="H616" s="30"/>
      <c r="L616" s="30"/>
      <c r="M616" s="30"/>
      <c r="O616" s="32"/>
      <c r="P616" s="32"/>
    </row>
    <row r="617">
      <c r="B617" s="35"/>
      <c r="G617" s="30"/>
      <c r="H617" s="30"/>
      <c r="L617" s="30"/>
      <c r="M617" s="30"/>
      <c r="O617" s="32"/>
      <c r="P617" s="32"/>
    </row>
    <row r="618">
      <c r="B618" s="35"/>
      <c r="G618" s="30"/>
      <c r="H618" s="30"/>
      <c r="L618" s="30"/>
      <c r="M618" s="30"/>
      <c r="O618" s="32"/>
      <c r="P618" s="32"/>
    </row>
    <row r="619">
      <c r="B619" s="35"/>
      <c r="G619" s="30"/>
      <c r="H619" s="30"/>
      <c r="L619" s="30"/>
      <c r="M619" s="30"/>
      <c r="O619" s="32"/>
      <c r="P619" s="32"/>
    </row>
    <row r="620">
      <c r="B620" s="35"/>
      <c r="G620" s="30"/>
      <c r="H620" s="30"/>
      <c r="L620" s="30"/>
      <c r="M620" s="30"/>
      <c r="O620" s="32"/>
      <c r="P620" s="32"/>
    </row>
    <row r="621">
      <c r="B621" s="35"/>
      <c r="G621" s="30"/>
      <c r="H621" s="30"/>
      <c r="L621" s="30"/>
      <c r="M621" s="30"/>
      <c r="O621" s="32"/>
      <c r="P621" s="32"/>
    </row>
    <row r="622">
      <c r="B622" s="35"/>
      <c r="G622" s="30"/>
      <c r="H622" s="30"/>
      <c r="L622" s="30"/>
      <c r="M622" s="30"/>
      <c r="O622" s="32"/>
      <c r="P622" s="32"/>
    </row>
    <row r="623">
      <c r="B623" s="35"/>
      <c r="G623" s="30"/>
      <c r="H623" s="30"/>
      <c r="L623" s="30"/>
      <c r="M623" s="30"/>
      <c r="O623" s="32"/>
      <c r="P623" s="32"/>
    </row>
    <row r="624">
      <c r="B624" s="35"/>
      <c r="G624" s="30"/>
      <c r="H624" s="30"/>
      <c r="L624" s="30"/>
      <c r="M624" s="30"/>
      <c r="O624" s="32"/>
      <c r="P624" s="32"/>
    </row>
    <row r="625">
      <c r="B625" s="35"/>
      <c r="G625" s="30"/>
      <c r="H625" s="30"/>
      <c r="L625" s="30"/>
      <c r="M625" s="30"/>
      <c r="O625" s="32"/>
      <c r="P625" s="32"/>
    </row>
    <row r="626">
      <c r="B626" s="35"/>
      <c r="G626" s="30"/>
      <c r="H626" s="30"/>
      <c r="L626" s="30"/>
      <c r="M626" s="30"/>
      <c r="O626" s="32"/>
      <c r="P626" s="32"/>
    </row>
    <row r="627">
      <c r="B627" s="35"/>
      <c r="G627" s="30"/>
      <c r="H627" s="30"/>
      <c r="L627" s="30"/>
      <c r="M627" s="30"/>
      <c r="O627" s="32"/>
      <c r="P627" s="32"/>
    </row>
    <row r="628">
      <c r="B628" s="35"/>
      <c r="G628" s="30"/>
      <c r="H628" s="30"/>
      <c r="L628" s="30"/>
      <c r="M628" s="30"/>
      <c r="O628" s="32"/>
      <c r="P628" s="32"/>
    </row>
    <row r="629">
      <c r="B629" s="35"/>
      <c r="G629" s="30"/>
      <c r="H629" s="30"/>
      <c r="L629" s="30"/>
      <c r="M629" s="30"/>
      <c r="O629" s="32"/>
      <c r="P629" s="32"/>
    </row>
    <row r="630">
      <c r="B630" s="35"/>
      <c r="G630" s="30"/>
      <c r="H630" s="30"/>
      <c r="L630" s="30"/>
      <c r="M630" s="30"/>
      <c r="O630" s="32"/>
      <c r="P630" s="32"/>
    </row>
    <row r="631">
      <c r="B631" s="35"/>
      <c r="G631" s="30"/>
      <c r="H631" s="30"/>
      <c r="L631" s="30"/>
      <c r="M631" s="30"/>
      <c r="O631" s="32"/>
      <c r="P631" s="32"/>
    </row>
    <row r="632">
      <c r="B632" s="35"/>
      <c r="G632" s="30"/>
      <c r="H632" s="30"/>
      <c r="L632" s="30"/>
      <c r="M632" s="30"/>
      <c r="O632" s="32"/>
      <c r="P632" s="32"/>
    </row>
    <row r="633">
      <c r="B633" s="35"/>
      <c r="G633" s="30"/>
      <c r="H633" s="30"/>
      <c r="L633" s="30"/>
      <c r="M633" s="30"/>
      <c r="O633" s="32"/>
      <c r="P633" s="32"/>
    </row>
    <row r="634">
      <c r="B634" s="35"/>
      <c r="G634" s="30"/>
      <c r="H634" s="30"/>
      <c r="L634" s="30"/>
      <c r="M634" s="30"/>
      <c r="O634" s="32"/>
      <c r="P634" s="32"/>
    </row>
    <row r="635">
      <c r="B635" s="35"/>
      <c r="G635" s="30"/>
      <c r="H635" s="30"/>
      <c r="L635" s="30"/>
      <c r="M635" s="30"/>
      <c r="O635" s="32"/>
      <c r="P635" s="32"/>
    </row>
    <row r="636">
      <c r="B636" s="35"/>
      <c r="G636" s="30"/>
      <c r="H636" s="30"/>
      <c r="L636" s="30"/>
      <c r="M636" s="30"/>
      <c r="O636" s="32"/>
      <c r="P636" s="32"/>
    </row>
    <row r="637">
      <c r="B637" s="35"/>
      <c r="G637" s="30"/>
      <c r="H637" s="30"/>
      <c r="L637" s="30"/>
      <c r="M637" s="30"/>
      <c r="O637" s="32"/>
      <c r="P637" s="32"/>
    </row>
    <row r="638">
      <c r="B638" s="35"/>
      <c r="G638" s="30"/>
      <c r="H638" s="30"/>
      <c r="L638" s="30"/>
      <c r="M638" s="30"/>
      <c r="O638" s="32"/>
      <c r="P638" s="32"/>
    </row>
    <row r="639">
      <c r="B639" s="35"/>
      <c r="G639" s="30"/>
      <c r="H639" s="30"/>
      <c r="L639" s="30"/>
      <c r="M639" s="30"/>
      <c r="O639" s="32"/>
      <c r="P639" s="32"/>
    </row>
    <row r="640">
      <c r="B640" s="35"/>
      <c r="G640" s="30"/>
      <c r="H640" s="30"/>
      <c r="L640" s="30"/>
      <c r="M640" s="30"/>
      <c r="O640" s="32"/>
      <c r="P640" s="32"/>
    </row>
    <row r="641">
      <c r="B641" s="35"/>
      <c r="G641" s="30"/>
      <c r="H641" s="30"/>
      <c r="L641" s="30"/>
      <c r="M641" s="30"/>
      <c r="O641" s="32"/>
      <c r="P641" s="32"/>
    </row>
    <row r="642">
      <c r="B642" s="35"/>
      <c r="G642" s="30"/>
      <c r="H642" s="30"/>
      <c r="L642" s="30"/>
      <c r="M642" s="30"/>
      <c r="O642" s="32"/>
      <c r="P642" s="32"/>
    </row>
    <row r="643">
      <c r="B643" s="35"/>
      <c r="G643" s="30"/>
      <c r="H643" s="30"/>
      <c r="L643" s="30"/>
      <c r="M643" s="30"/>
      <c r="O643" s="32"/>
      <c r="P643" s="32"/>
    </row>
    <row r="644">
      <c r="B644" s="35"/>
      <c r="G644" s="30"/>
      <c r="H644" s="30"/>
      <c r="L644" s="30"/>
      <c r="M644" s="30"/>
      <c r="O644" s="32"/>
      <c r="P644" s="32"/>
    </row>
    <row r="645">
      <c r="B645" s="35"/>
      <c r="G645" s="30"/>
      <c r="H645" s="30"/>
      <c r="L645" s="30"/>
      <c r="M645" s="30"/>
      <c r="O645" s="32"/>
      <c r="P645" s="32"/>
    </row>
    <row r="646">
      <c r="B646" s="35"/>
      <c r="G646" s="30"/>
      <c r="H646" s="30"/>
      <c r="L646" s="30"/>
      <c r="M646" s="30"/>
      <c r="O646" s="32"/>
      <c r="P646" s="32"/>
    </row>
    <row r="647">
      <c r="B647" s="35"/>
      <c r="G647" s="30"/>
      <c r="H647" s="30"/>
      <c r="L647" s="30"/>
      <c r="M647" s="30"/>
      <c r="O647" s="32"/>
      <c r="P647" s="32"/>
    </row>
    <row r="648">
      <c r="B648" s="35"/>
      <c r="G648" s="30"/>
      <c r="H648" s="30"/>
      <c r="L648" s="30"/>
      <c r="M648" s="30"/>
      <c r="O648" s="32"/>
      <c r="P648" s="32"/>
    </row>
    <row r="649">
      <c r="B649" s="35"/>
      <c r="G649" s="30"/>
      <c r="H649" s="30"/>
      <c r="L649" s="30"/>
      <c r="M649" s="30"/>
      <c r="O649" s="32"/>
      <c r="P649" s="32"/>
    </row>
    <row r="650">
      <c r="B650" s="35"/>
      <c r="G650" s="30"/>
      <c r="H650" s="30"/>
      <c r="L650" s="30"/>
      <c r="M650" s="30"/>
      <c r="O650" s="32"/>
      <c r="P650" s="32"/>
    </row>
    <row r="651">
      <c r="B651" s="35"/>
      <c r="G651" s="30"/>
      <c r="H651" s="30"/>
      <c r="L651" s="30"/>
      <c r="M651" s="30"/>
      <c r="O651" s="32"/>
      <c r="P651" s="32"/>
    </row>
    <row r="652">
      <c r="B652" s="35"/>
      <c r="G652" s="30"/>
      <c r="H652" s="30"/>
      <c r="L652" s="30"/>
      <c r="M652" s="30"/>
      <c r="O652" s="32"/>
      <c r="P652" s="32"/>
    </row>
    <row r="653">
      <c r="B653" s="35"/>
      <c r="G653" s="30"/>
      <c r="H653" s="30"/>
      <c r="L653" s="30"/>
      <c r="M653" s="30"/>
      <c r="O653" s="32"/>
      <c r="P653" s="32"/>
    </row>
    <row r="654">
      <c r="B654" s="35"/>
      <c r="G654" s="30"/>
      <c r="H654" s="30"/>
      <c r="L654" s="30"/>
      <c r="M654" s="30"/>
      <c r="O654" s="32"/>
      <c r="P654" s="32"/>
    </row>
    <row r="655">
      <c r="B655" s="35"/>
      <c r="G655" s="30"/>
      <c r="H655" s="30"/>
      <c r="L655" s="30"/>
      <c r="M655" s="30"/>
      <c r="O655" s="32"/>
      <c r="P655" s="32"/>
    </row>
    <row r="656">
      <c r="B656" s="35"/>
      <c r="G656" s="30"/>
      <c r="H656" s="30"/>
      <c r="L656" s="30"/>
      <c r="M656" s="30"/>
      <c r="O656" s="32"/>
      <c r="P656" s="32"/>
    </row>
    <row r="657">
      <c r="B657" s="35"/>
      <c r="G657" s="30"/>
      <c r="H657" s="30"/>
      <c r="L657" s="30"/>
      <c r="M657" s="30"/>
      <c r="O657" s="32"/>
      <c r="P657" s="32"/>
    </row>
    <row r="658">
      <c r="B658" s="35"/>
      <c r="G658" s="30"/>
      <c r="H658" s="30"/>
      <c r="L658" s="30"/>
      <c r="M658" s="30"/>
      <c r="O658" s="32"/>
      <c r="P658" s="32"/>
    </row>
    <row r="659">
      <c r="B659" s="35"/>
      <c r="G659" s="30"/>
      <c r="H659" s="30"/>
      <c r="L659" s="30"/>
      <c r="M659" s="30"/>
      <c r="O659" s="32"/>
      <c r="P659" s="32"/>
    </row>
    <row r="660">
      <c r="B660" s="35"/>
      <c r="G660" s="30"/>
      <c r="H660" s="30"/>
      <c r="L660" s="30"/>
      <c r="M660" s="30"/>
      <c r="O660" s="32"/>
      <c r="P660" s="32"/>
    </row>
    <row r="661">
      <c r="B661" s="35"/>
      <c r="G661" s="30"/>
      <c r="H661" s="30"/>
      <c r="L661" s="30"/>
      <c r="M661" s="30"/>
      <c r="O661" s="32"/>
      <c r="P661" s="32"/>
    </row>
    <row r="662">
      <c r="B662" s="35"/>
      <c r="G662" s="30"/>
      <c r="H662" s="30"/>
      <c r="L662" s="30"/>
      <c r="M662" s="30"/>
      <c r="O662" s="32"/>
      <c r="P662" s="32"/>
    </row>
    <row r="663">
      <c r="B663" s="35"/>
      <c r="G663" s="30"/>
      <c r="H663" s="30"/>
      <c r="L663" s="30"/>
      <c r="M663" s="30"/>
      <c r="O663" s="32"/>
      <c r="P663" s="32"/>
    </row>
    <row r="664">
      <c r="B664" s="35"/>
      <c r="G664" s="30"/>
      <c r="H664" s="30"/>
      <c r="L664" s="30"/>
      <c r="M664" s="30"/>
      <c r="O664" s="32"/>
      <c r="P664" s="32"/>
    </row>
    <row r="665">
      <c r="B665" s="35"/>
      <c r="G665" s="30"/>
      <c r="H665" s="30"/>
      <c r="L665" s="30"/>
      <c r="M665" s="30"/>
      <c r="O665" s="32"/>
      <c r="P665" s="32"/>
    </row>
    <row r="666">
      <c r="B666" s="35"/>
      <c r="G666" s="30"/>
      <c r="H666" s="30"/>
      <c r="L666" s="30"/>
      <c r="M666" s="30"/>
      <c r="O666" s="32"/>
      <c r="P666" s="32"/>
    </row>
    <row r="667">
      <c r="B667" s="35"/>
      <c r="G667" s="30"/>
      <c r="H667" s="30"/>
      <c r="L667" s="30"/>
      <c r="M667" s="30"/>
      <c r="O667" s="32"/>
      <c r="P667" s="32"/>
    </row>
    <row r="668">
      <c r="B668" s="35"/>
      <c r="G668" s="30"/>
      <c r="H668" s="30"/>
      <c r="L668" s="30"/>
      <c r="M668" s="30"/>
      <c r="O668" s="32"/>
      <c r="P668" s="32"/>
    </row>
    <row r="669">
      <c r="B669" s="35"/>
      <c r="G669" s="30"/>
      <c r="H669" s="30"/>
      <c r="L669" s="30"/>
      <c r="M669" s="30"/>
      <c r="O669" s="32"/>
      <c r="P669" s="32"/>
    </row>
    <row r="670">
      <c r="B670" s="35"/>
      <c r="G670" s="30"/>
      <c r="H670" s="30"/>
      <c r="L670" s="30"/>
      <c r="M670" s="30"/>
      <c r="O670" s="32"/>
      <c r="P670" s="32"/>
    </row>
    <row r="671">
      <c r="B671" s="35"/>
      <c r="G671" s="30"/>
      <c r="H671" s="30"/>
      <c r="L671" s="30"/>
      <c r="M671" s="30"/>
      <c r="O671" s="32"/>
      <c r="P671" s="32"/>
    </row>
    <row r="672">
      <c r="B672" s="35"/>
      <c r="G672" s="30"/>
      <c r="H672" s="30"/>
      <c r="L672" s="30"/>
      <c r="M672" s="30"/>
      <c r="O672" s="32"/>
      <c r="P672" s="32"/>
    </row>
    <row r="673">
      <c r="B673" s="35"/>
      <c r="G673" s="30"/>
      <c r="H673" s="30"/>
      <c r="L673" s="30"/>
      <c r="M673" s="30"/>
      <c r="O673" s="32"/>
      <c r="P673" s="32"/>
    </row>
    <row r="674">
      <c r="B674" s="35"/>
      <c r="G674" s="30"/>
      <c r="H674" s="30"/>
      <c r="L674" s="30"/>
      <c r="M674" s="30"/>
      <c r="O674" s="32"/>
      <c r="P674" s="32"/>
    </row>
    <row r="675">
      <c r="B675" s="35"/>
      <c r="G675" s="30"/>
      <c r="H675" s="30"/>
      <c r="L675" s="30"/>
      <c r="M675" s="30"/>
      <c r="O675" s="32"/>
      <c r="P675" s="32"/>
    </row>
    <row r="676">
      <c r="B676" s="35"/>
      <c r="G676" s="30"/>
      <c r="H676" s="30"/>
      <c r="L676" s="30"/>
      <c r="M676" s="30"/>
      <c r="O676" s="32"/>
      <c r="P676" s="32"/>
    </row>
    <row r="677">
      <c r="B677" s="35"/>
      <c r="G677" s="30"/>
      <c r="H677" s="30"/>
      <c r="L677" s="30"/>
      <c r="M677" s="30"/>
      <c r="O677" s="32"/>
      <c r="P677" s="32"/>
    </row>
    <row r="678">
      <c r="B678" s="35"/>
      <c r="G678" s="30"/>
      <c r="H678" s="30"/>
      <c r="L678" s="30"/>
      <c r="M678" s="30"/>
      <c r="O678" s="32"/>
      <c r="P678" s="32"/>
    </row>
    <row r="679">
      <c r="B679" s="35"/>
      <c r="G679" s="30"/>
      <c r="H679" s="30"/>
      <c r="L679" s="30"/>
      <c r="M679" s="30"/>
      <c r="O679" s="32"/>
      <c r="P679" s="32"/>
    </row>
    <row r="680">
      <c r="B680" s="35"/>
      <c r="G680" s="30"/>
      <c r="H680" s="30"/>
      <c r="L680" s="30"/>
      <c r="M680" s="30"/>
      <c r="O680" s="32"/>
      <c r="P680" s="32"/>
    </row>
    <row r="681">
      <c r="B681" s="35"/>
      <c r="G681" s="30"/>
      <c r="H681" s="30"/>
      <c r="L681" s="30"/>
      <c r="M681" s="30"/>
      <c r="O681" s="32"/>
      <c r="P681" s="32"/>
    </row>
    <row r="682">
      <c r="B682" s="35"/>
      <c r="G682" s="30"/>
      <c r="H682" s="30"/>
      <c r="L682" s="30"/>
      <c r="M682" s="30"/>
      <c r="O682" s="32"/>
      <c r="P682" s="32"/>
    </row>
    <row r="683">
      <c r="B683" s="35"/>
      <c r="G683" s="30"/>
      <c r="H683" s="30"/>
      <c r="L683" s="30"/>
      <c r="M683" s="30"/>
      <c r="O683" s="32"/>
      <c r="P683" s="32"/>
    </row>
    <row r="684">
      <c r="B684" s="35"/>
      <c r="G684" s="30"/>
      <c r="H684" s="30"/>
      <c r="L684" s="30"/>
      <c r="M684" s="30"/>
      <c r="O684" s="32"/>
      <c r="P684" s="32"/>
    </row>
    <row r="685">
      <c r="B685" s="35"/>
      <c r="G685" s="30"/>
      <c r="H685" s="30"/>
      <c r="L685" s="30"/>
      <c r="M685" s="30"/>
      <c r="O685" s="32"/>
      <c r="P685" s="32"/>
    </row>
    <row r="686">
      <c r="B686" s="35"/>
      <c r="G686" s="30"/>
      <c r="H686" s="30"/>
      <c r="L686" s="30"/>
      <c r="M686" s="30"/>
      <c r="O686" s="32"/>
      <c r="P686" s="32"/>
    </row>
    <row r="687">
      <c r="B687" s="35"/>
      <c r="G687" s="30"/>
      <c r="H687" s="30"/>
      <c r="L687" s="30"/>
      <c r="M687" s="30"/>
      <c r="O687" s="32"/>
      <c r="P687" s="32"/>
    </row>
    <row r="688">
      <c r="B688" s="35"/>
      <c r="G688" s="30"/>
      <c r="H688" s="30"/>
      <c r="L688" s="30"/>
      <c r="M688" s="30"/>
      <c r="O688" s="32"/>
      <c r="P688" s="32"/>
    </row>
    <row r="689">
      <c r="B689" s="35"/>
      <c r="G689" s="30"/>
      <c r="H689" s="30"/>
      <c r="L689" s="30"/>
      <c r="M689" s="30"/>
      <c r="O689" s="32"/>
      <c r="P689" s="32"/>
    </row>
    <row r="690">
      <c r="B690" s="35"/>
      <c r="G690" s="30"/>
      <c r="H690" s="30"/>
      <c r="L690" s="30"/>
      <c r="M690" s="30"/>
      <c r="O690" s="32"/>
      <c r="P690" s="32"/>
    </row>
    <row r="691">
      <c r="B691" s="35"/>
      <c r="G691" s="30"/>
      <c r="H691" s="30"/>
      <c r="L691" s="30"/>
      <c r="M691" s="30"/>
      <c r="O691" s="32"/>
      <c r="P691" s="32"/>
    </row>
    <row r="692">
      <c r="B692" s="35"/>
      <c r="G692" s="30"/>
      <c r="H692" s="30"/>
      <c r="L692" s="30"/>
      <c r="M692" s="30"/>
      <c r="O692" s="32"/>
      <c r="P692" s="32"/>
    </row>
    <row r="693">
      <c r="B693" s="35"/>
      <c r="G693" s="30"/>
      <c r="H693" s="30"/>
      <c r="L693" s="30"/>
      <c r="M693" s="30"/>
      <c r="O693" s="32"/>
      <c r="P693" s="32"/>
    </row>
    <row r="694">
      <c r="B694" s="35"/>
      <c r="G694" s="30"/>
      <c r="H694" s="30"/>
      <c r="L694" s="30"/>
      <c r="M694" s="30"/>
      <c r="O694" s="32"/>
      <c r="P694" s="32"/>
    </row>
    <row r="695">
      <c r="B695" s="35"/>
      <c r="G695" s="30"/>
      <c r="H695" s="30"/>
      <c r="L695" s="30"/>
      <c r="M695" s="30"/>
      <c r="O695" s="32"/>
      <c r="P695" s="32"/>
    </row>
    <row r="696">
      <c r="B696" s="35"/>
      <c r="G696" s="30"/>
      <c r="H696" s="30"/>
      <c r="L696" s="30"/>
      <c r="M696" s="30"/>
      <c r="O696" s="32"/>
      <c r="P696" s="32"/>
    </row>
    <row r="697">
      <c r="B697" s="35"/>
      <c r="G697" s="30"/>
      <c r="H697" s="30"/>
      <c r="L697" s="30"/>
      <c r="M697" s="30"/>
      <c r="O697" s="32"/>
      <c r="P697" s="32"/>
    </row>
    <row r="698">
      <c r="B698" s="35"/>
      <c r="G698" s="30"/>
      <c r="H698" s="30"/>
      <c r="L698" s="30"/>
      <c r="M698" s="30"/>
      <c r="O698" s="32"/>
      <c r="P698" s="32"/>
    </row>
    <row r="699">
      <c r="B699" s="35"/>
      <c r="G699" s="30"/>
      <c r="H699" s="30"/>
      <c r="L699" s="30"/>
      <c r="M699" s="30"/>
      <c r="O699" s="32"/>
      <c r="P699" s="32"/>
    </row>
    <row r="700">
      <c r="B700" s="35"/>
      <c r="G700" s="30"/>
      <c r="H700" s="30"/>
      <c r="L700" s="30"/>
      <c r="M700" s="30"/>
      <c r="O700" s="32"/>
      <c r="P700" s="32"/>
    </row>
    <row r="701">
      <c r="B701" s="35"/>
      <c r="G701" s="30"/>
      <c r="H701" s="30"/>
      <c r="L701" s="30"/>
      <c r="M701" s="30"/>
      <c r="O701" s="32"/>
      <c r="P701" s="32"/>
    </row>
    <row r="702">
      <c r="B702" s="35"/>
      <c r="G702" s="30"/>
      <c r="H702" s="30"/>
      <c r="L702" s="30"/>
      <c r="M702" s="30"/>
      <c r="O702" s="32"/>
      <c r="P702" s="32"/>
    </row>
    <row r="703">
      <c r="B703" s="35"/>
      <c r="G703" s="30"/>
      <c r="H703" s="30"/>
      <c r="L703" s="30"/>
      <c r="M703" s="30"/>
      <c r="O703" s="32"/>
      <c r="P703" s="32"/>
    </row>
    <row r="704">
      <c r="B704" s="35"/>
      <c r="G704" s="30"/>
      <c r="H704" s="30"/>
      <c r="L704" s="30"/>
      <c r="M704" s="30"/>
      <c r="O704" s="32"/>
      <c r="P704" s="32"/>
    </row>
    <row r="705">
      <c r="B705" s="35"/>
      <c r="G705" s="30"/>
      <c r="H705" s="30"/>
      <c r="L705" s="30"/>
      <c r="M705" s="30"/>
      <c r="O705" s="32"/>
      <c r="P705" s="32"/>
    </row>
    <row r="706">
      <c r="B706" s="35"/>
      <c r="G706" s="30"/>
      <c r="H706" s="30"/>
      <c r="L706" s="30"/>
      <c r="M706" s="30"/>
      <c r="O706" s="32"/>
      <c r="P706" s="32"/>
    </row>
    <row r="707">
      <c r="B707" s="35"/>
      <c r="G707" s="30"/>
      <c r="H707" s="30"/>
      <c r="L707" s="30"/>
      <c r="M707" s="30"/>
      <c r="O707" s="32"/>
      <c r="P707" s="32"/>
    </row>
    <row r="708">
      <c r="B708" s="35"/>
      <c r="G708" s="30"/>
      <c r="H708" s="30"/>
      <c r="L708" s="30"/>
      <c r="M708" s="30"/>
      <c r="O708" s="32"/>
      <c r="P708" s="32"/>
    </row>
    <row r="709">
      <c r="B709" s="35"/>
      <c r="G709" s="30"/>
      <c r="H709" s="30"/>
      <c r="L709" s="30"/>
      <c r="M709" s="30"/>
      <c r="O709" s="32"/>
      <c r="P709" s="32"/>
    </row>
    <row r="710">
      <c r="B710" s="35"/>
      <c r="G710" s="30"/>
      <c r="H710" s="30"/>
      <c r="L710" s="30"/>
      <c r="M710" s="30"/>
      <c r="O710" s="32"/>
      <c r="P710" s="32"/>
    </row>
    <row r="711">
      <c r="B711" s="35"/>
      <c r="G711" s="30"/>
      <c r="H711" s="30"/>
      <c r="L711" s="30"/>
      <c r="M711" s="30"/>
      <c r="O711" s="32"/>
      <c r="P711" s="32"/>
    </row>
    <row r="712">
      <c r="B712" s="35"/>
      <c r="G712" s="30"/>
      <c r="H712" s="30"/>
      <c r="L712" s="30"/>
      <c r="M712" s="30"/>
      <c r="O712" s="32"/>
      <c r="P712" s="32"/>
    </row>
    <row r="713">
      <c r="B713" s="35"/>
      <c r="G713" s="30"/>
      <c r="H713" s="30"/>
      <c r="L713" s="30"/>
      <c r="M713" s="30"/>
      <c r="O713" s="32"/>
      <c r="P713" s="32"/>
    </row>
    <row r="714">
      <c r="B714" s="35"/>
      <c r="G714" s="30"/>
      <c r="H714" s="30"/>
      <c r="L714" s="30"/>
      <c r="M714" s="30"/>
      <c r="O714" s="32"/>
      <c r="P714" s="32"/>
    </row>
    <row r="715">
      <c r="B715" s="35"/>
      <c r="G715" s="30"/>
      <c r="H715" s="30"/>
      <c r="L715" s="30"/>
      <c r="M715" s="30"/>
      <c r="O715" s="32"/>
      <c r="P715" s="32"/>
    </row>
    <row r="716">
      <c r="B716" s="35"/>
      <c r="G716" s="30"/>
      <c r="H716" s="30"/>
      <c r="L716" s="30"/>
      <c r="M716" s="30"/>
      <c r="O716" s="32"/>
      <c r="P716" s="32"/>
    </row>
    <row r="717">
      <c r="B717" s="35"/>
      <c r="G717" s="30"/>
      <c r="H717" s="30"/>
      <c r="L717" s="30"/>
      <c r="M717" s="30"/>
      <c r="O717" s="32"/>
      <c r="P717" s="32"/>
    </row>
    <row r="718">
      <c r="B718" s="35"/>
      <c r="G718" s="30"/>
      <c r="H718" s="30"/>
      <c r="L718" s="30"/>
      <c r="M718" s="30"/>
      <c r="O718" s="32"/>
      <c r="P718" s="32"/>
    </row>
    <row r="719">
      <c r="B719" s="35"/>
      <c r="G719" s="30"/>
      <c r="H719" s="30"/>
      <c r="L719" s="30"/>
      <c r="M719" s="30"/>
      <c r="O719" s="32"/>
      <c r="P719" s="32"/>
    </row>
    <row r="720">
      <c r="B720" s="35"/>
      <c r="G720" s="30"/>
      <c r="H720" s="30"/>
      <c r="L720" s="30"/>
      <c r="M720" s="30"/>
      <c r="O720" s="32"/>
      <c r="P720" s="32"/>
    </row>
    <row r="721">
      <c r="B721" s="35"/>
      <c r="G721" s="30"/>
      <c r="H721" s="30"/>
      <c r="L721" s="30"/>
      <c r="M721" s="30"/>
      <c r="O721" s="32"/>
      <c r="P721" s="32"/>
    </row>
    <row r="722">
      <c r="B722" s="35"/>
      <c r="G722" s="30"/>
      <c r="H722" s="30"/>
      <c r="L722" s="30"/>
      <c r="M722" s="30"/>
      <c r="O722" s="32"/>
      <c r="P722" s="32"/>
    </row>
    <row r="723">
      <c r="B723" s="35"/>
      <c r="G723" s="30"/>
      <c r="H723" s="30"/>
      <c r="L723" s="30"/>
      <c r="M723" s="30"/>
      <c r="O723" s="32"/>
      <c r="P723" s="32"/>
    </row>
    <row r="724">
      <c r="B724" s="35"/>
      <c r="G724" s="30"/>
      <c r="H724" s="30"/>
      <c r="L724" s="30"/>
      <c r="M724" s="30"/>
      <c r="O724" s="32"/>
      <c r="P724" s="32"/>
    </row>
    <row r="725">
      <c r="B725" s="35"/>
      <c r="G725" s="30"/>
      <c r="H725" s="30"/>
      <c r="L725" s="30"/>
      <c r="M725" s="30"/>
      <c r="O725" s="32"/>
      <c r="P725" s="32"/>
    </row>
    <row r="726">
      <c r="B726" s="35"/>
      <c r="G726" s="30"/>
      <c r="H726" s="30"/>
      <c r="L726" s="30"/>
      <c r="M726" s="30"/>
      <c r="O726" s="32"/>
      <c r="P726" s="32"/>
    </row>
    <row r="727">
      <c r="B727" s="35"/>
      <c r="G727" s="30"/>
      <c r="H727" s="30"/>
      <c r="L727" s="30"/>
      <c r="M727" s="30"/>
      <c r="O727" s="32"/>
      <c r="P727" s="32"/>
    </row>
    <row r="728">
      <c r="B728" s="35"/>
      <c r="G728" s="30"/>
      <c r="H728" s="30"/>
      <c r="L728" s="30"/>
      <c r="M728" s="30"/>
      <c r="O728" s="32"/>
      <c r="P728" s="32"/>
    </row>
    <row r="729">
      <c r="B729" s="35"/>
      <c r="G729" s="30"/>
      <c r="H729" s="30"/>
      <c r="L729" s="30"/>
      <c r="M729" s="30"/>
      <c r="O729" s="32"/>
      <c r="P729" s="32"/>
    </row>
    <row r="730">
      <c r="B730" s="35"/>
      <c r="G730" s="30"/>
      <c r="H730" s="30"/>
      <c r="L730" s="30"/>
      <c r="M730" s="30"/>
      <c r="O730" s="32"/>
      <c r="P730" s="32"/>
    </row>
    <row r="731">
      <c r="B731" s="35"/>
      <c r="G731" s="30"/>
      <c r="H731" s="30"/>
      <c r="L731" s="30"/>
      <c r="M731" s="30"/>
      <c r="O731" s="32"/>
      <c r="P731" s="32"/>
    </row>
    <row r="732">
      <c r="B732" s="35"/>
      <c r="G732" s="30"/>
      <c r="H732" s="30"/>
      <c r="L732" s="30"/>
      <c r="M732" s="30"/>
      <c r="O732" s="32"/>
      <c r="P732" s="32"/>
    </row>
    <row r="733">
      <c r="B733" s="35"/>
      <c r="G733" s="30"/>
      <c r="H733" s="30"/>
      <c r="L733" s="30"/>
      <c r="M733" s="30"/>
      <c r="O733" s="32"/>
      <c r="P733" s="32"/>
    </row>
    <row r="734">
      <c r="B734" s="35"/>
      <c r="G734" s="30"/>
      <c r="H734" s="30"/>
      <c r="L734" s="30"/>
      <c r="M734" s="30"/>
      <c r="O734" s="32"/>
      <c r="P734" s="32"/>
    </row>
    <row r="735">
      <c r="B735" s="35"/>
      <c r="G735" s="30"/>
      <c r="H735" s="30"/>
      <c r="L735" s="30"/>
      <c r="M735" s="30"/>
      <c r="O735" s="32"/>
      <c r="P735" s="32"/>
    </row>
    <row r="736">
      <c r="B736" s="35"/>
      <c r="G736" s="30"/>
      <c r="H736" s="30"/>
      <c r="L736" s="30"/>
      <c r="M736" s="30"/>
      <c r="O736" s="32"/>
      <c r="P736" s="32"/>
    </row>
    <row r="737">
      <c r="B737" s="35"/>
      <c r="G737" s="30"/>
      <c r="H737" s="30"/>
      <c r="L737" s="30"/>
      <c r="M737" s="30"/>
      <c r="O737" s="32"/>
      <c r="P737" s="32"/>
    </row>
    <row r="738">
      <c r="B738" s="35"/>
      <c r="G738" s="30"/>
      <c r="H738" s="30"/>
      <c r="L738" s="30"/>
      <c r="M738" s="30"/>
      <c r="O738" s="32"/>
      <c r="P738" s="32"/>
    </row>
    <row r="739">
      <c r="B739" s="35"/>
      <c r="G739" s="30"/>
      <c r="H739" s="30"/>
      <c r="L739" s="30"/>
      <c r="M739" s="30"/>
      <c r="O739" s="32"/>
      <c r="P739" s="32"/>
    </row>
    <row r="740">
      <c r="B740" s="35"/>
      <c r="G740" s="30"/>
      <c r="H740" s="30"/>
      <c r="L740" s="30"/>
      <c r="M740" s="30"/>
      <c r="O740" s="32"/>
      <c r="P740" s="32"/>
    </row>
    <row r="741">
      <c r="B741" s="35"/>
      <c r="G741" s="30"/>
      <c r="H741" s="30"/>
      <c r="L741" s="30"/>
      <c r="M741" s="30"/>
      <c r="O741" s="32"/>
      <c r="P741" s="32"/>
    </row>
    <row r="742">
      <c r="B742" s="35"/>
      <c r="G742" s="30"/>
      <c r="H742" s="30"/>
      <c r="L742" s="30"/>
      <c r="M742" s="30"/>
      <c r="O742" s="32"/>
      <c r="P742" s="32"/>
    </row>
    <row r="743">
      <c r="B743" s="35"/>
      <c r="G743" s="30"/>
      <c r="H743" s="30"/>
      <c r="L743" s="30"/>
      <c r="M743" s="30"/>
      <c r="O743" s="32"/>
      <c r="P743" s="32"/>
    </row>
    <row r="744">
      <c r="B744" s="35"/>
      <c r="G744" s="30"/>
      <c r="H744" s="30"/>
      <c r="L744" s="30"/>
      <c r="M744" s="30"/>
      <c r="O744" s="32"/>
      <c r="P744" s="32"/>
    </row>
    <row r="745">
      <c r="B745" s="35"/>
      <c r="G745" s="30"/>
      <c r="H745" s="30"/>
      <c r="L745" s="30"/>
      <c r="M745" s="30"/>
      <c r="O745" s="32"/>
      <c r="P745" s="32"/>
    </row>
    <row r="746">
      <c r="B746" s="35"/>
      <c r="G746" s="30"/>
      <c r="H746" s="30"/>
      <c r="L746" s="30"/>
      <c r="M746" s="30"/>
      <c r="O746" s="32"/>
      <c r="P746" s="32"/>
    </row>
    <row r="747">
      <c r="B747" s="35"/>
      <c r="G747" s="30"/>
      <c r="H747" s="30"/>
      <c r="L747" s="30"/>
      <c r="M747" s="30"/>
      <c r="O747" s="32"/>
      <c r="P747" s="32"/>
    </row>
    <row r="748">
      <c r="B748" s="35"/>
      <c r="G748" s="30"/>
      <c r="H748" s="30"/>
      <c r="L748" s="30"/>
      <c r="M748" s="30"/>
      <c r="O748" s="32"/>
      <c r="P748" s="32"/>
    </row>
    <row r="749">
      <c r="B749" s="35"/>
      <c r="G749" s="30"/>
      <c r="H749" s="30"/>
      <c r="L749" s="30"/>
      <c r="M749" s="30"/>
      <c r="O749" s="32"/>
      <c r="P749" s="32"/>
    </row>
    <row r="750">
      <c r="B750" s="35"/>
      <c r="G750" s="30"/>
      <c r="H750" s="30"/>
      <c r="L750" s="30"/>
      <c r="M750" s="30"/>
      <c r="O750" s="32"/>
      <c r="P750" s="32"/>
    </row>
    <row r="751">
      <c r="B751" s="35"/>
      <c r="G751" s="30"/>
      <c r="H751" s="30"/>
      <c r="L751" s="30"/>
      <c r="M751" s="30"/>
      <c r="O751" s="32"/>
      <c r="P751" s="32"/>
    </row>
    <row r="752">
      <c r="B752" s="35"/>
      <c r="G752" s="30"/>
      <c r="H752" s="30"/>
      <c r="L752" s="30"/>
      <c r="M752" s="30"/>
      <c r="O752" s="32"/>
      <c r="P752" s="32"/>
    </row>
    <row r="753">
      <c r="B753" s="35"/>
      <c r="G753" s="30"/>
      <c r="H753" s="30"/>
      <c r="L753" s="30"/>
      <c r="M753" s="30"/>
      <c r="O753" s="32"/>
      <c r="P753" s="32"/>
    </row>
    <row r="754">
      <c r="B754" s="35"/>
      <c r="G754" s="30"/>
      <c r="H754" s="30"/>
      <c r="L754" s="30"/>
      <c r="M754" s="30"/>
      <c r="O754" s="32"/>
      <c r="P754" s="32"/>
    </row>
    <row r="755">
      <c r="B755" s="35"/>
      <c r="G755" s="30"/>
      <c r="H755" s="30"/>
      <c r="L755" s="30"/>
      <c r="M755" s="30"/>
      <c r="O755" s="32"/>
      <c r="P755" s="32"/>
    </row>
    <row r="756">
      <c r="B756" s="35"/>
      <c r="G756" s="30"/>
      <c r="H756" s="30"/>
      <c r="L756" s="30"/>
      <c r="M756" s="30"/>
      <c r="O756" s="32"/>
      <c r="P756" s="32"/>
    </row>
    <row r="757">
      <c r="B757" s="35"/>
      <c r="G757" s="30"/>
      <c r="H757" s="30"/>
      <c r="L757" s="30"/>
      <c r="M757" s="30"/>
      <c r="O757" s="32"/>
      <c r="P757" s="32"/>
    </row>
    <row r="758">
      <c r="B758" s="35"/>
      <c r="G758" s="30"/>
      <c r="H758" s="30"/>
      <c r="L758" s="30"/>
      <c r="M758" s="30"/>
      <c r="O758" s="32"/>
      <c r="P758" s="32"/>
    </row>
    <row r="759">
      <c r="B759" s="35"/>
      <c r="G759" s="30"/>
      <c r="H759" s="30"/>
      <c r="L759" s="30"/>
      <c r="M759" s="30"/>
      <c r="O759" s="32"/>
      <c r="P759" s="32"/>
    </row>
    <row r="760">
      <c r="B760" s="35"/>
      <c r="G760" s="30"/>
      <c r="H760" s="30"/>
      <c r="L760" s="30"/>
      <c r="M760" s="30"/>
      <c r="O760" s="32"/>
      <c r="P760" s="32"/>
    </row>
    <row r="761">
      <c r="B761" s="35"/>
      <c r="G761" s="30"/>
      <c r="H761" s="30"/>
      <c r="L761" s="30"/>
      <c r="M761" s="30"/>
      <c r="O761" s="32"/>
      <c r="P761" s="32"/>
    </row>
    <row r="762">
      <c r="B762" s="35"/>
      <c r="G762" s="30"/>
      <c r="H762" s="30"/>
      <c r="L762" s="30"/>
      <c r="M762" s="30"/>
      <c r="O762" s="32"/>
      <c r="P762" s="32"/>
    </row>
    <row r="763">
      <c r="B763" s="35"/>
      <c r="G763" s="30"/>
      <c r="H763" s="30"/>
      <c r="L763" s="30"/>
      <c r="M763" s="30"/>
      <c r="O763" s="32"/>
      <c r="P763" s="32"/>
    </row>
    <row r="764">
      <c r="B764" s="35"/>
      <c r="G764" s="30"/>
      <c r="H764" s="30"/>
      <c r="L764" s="30"/>
      <c r="M764" s="30"/>
      <c r="O764" s="32"/>
      <c r="P764" s="32"/>
    </row>
    <row r="765">
      <c r="B765" s="35"/>
      <c r="G765" s="30"/>
      <c r="H765" s="30"/>
      <c r="L765" s="30"/>
      <c r="M765" s="30"/>
      <c r="O765" s="32"/>
      <c r="P765" s="32"/>
    </row>
    <row r="766">
      <c r="B766" s="35"/>
      <c r="G766" s="30"/>
      <c r="H766" s="30"/>
      <c r="L766" s="30"/>
      <c r="M766" s="30"/>
      <c r="O766" s="32"/>
      <c r="P766" s="32"/>
    </row>
    <row r="767">
      <c r="B767" s="35"/>
      <c r="G767" s="30"/>
      <c r="H767" s="30"/>
      <c r="L767" s="30"/>
      <c r="M767" s="30"/>
      <c r="O767" s="32"/>
      <c r="P767" s="32"/>
    </row>
    <row r="768">
      <c r="B768" s="35"/>
      <c r="G768" s="30"/>
      <c r="H768" s="30"/>
      <c r="L768" s="30"/>
      <c r="M768" s="30"/>
      <c r="O768" s="32"/>
      <c r="P768" s="32"/>
    </row>
    <row r="769">
      <c r="B769" s="35"/>
      <c r="G769" s="30"/>
      <c r="H769" s="30"/>
      <c r="L769" s="30"/>
      <c r="M769" s="30"/>
      <c r="O769" s="32"/>
      <c r="P769" s="32"/>
    </row>
    <row r="770">
      <c r="B770" s="35"/>
      <c r="G770" s="30"/>
      <c r="H770" s="30"/>
      <c r="L770" s="30"/>
      <c r="M770" s="30"/>
      <c r="O770" s="32"/>
      <c r="P770" s="32"/>
    </row>
    <row r="771">
      <c r="B771" s="35"/>
      <c r="G771" s="30"/>
      <c r="H771" s="30"/>
      <c r="L771" s="30"/>
      <c r="M771" s="30"/>
      <c r="O771" s="32"/>
      <c r="P771" s="32"/>
    </row>
    <row r="772">
      <c r="B772" s="35"/>
      <c r="G772" s="30"/>
      <c r="H772" s="30"/>
      <c r="L772" s="30"/>
      <c r="M772" s="30"/>
      <c r="O772" s="32"/>
      <c r="P772" s="32"/>
    </row>
    <row r="773">
      <c r="B773" s="35"/>
      <c r="G773" s="30"/>
      <c r="H773" s="30"/>
      <c r="L773" s="30"/>
      <c r="M773" s="30"/>
      <c r="O773" s="32"/>
      <c r="P773" s="32"/>
    </row>
    <row r="774">
      <c r="B774" s="35"/>
      <c r="G774" s="30"/>
      <c r="H774" s="30"/>
      <c r="L774" s="30"/>
      <c r="M774" s="30"/>
      <c r="O774" s="32"/>
      <c r="P774" s="32"/>
    </row>
    <row r="775">
      <c r="B775" s="35"/>
      <c r="G775" s="30"/>
      <c r="H775" s="30"/>
      <c r="L775" s="30"/>
      <c r="M775" s="30"/>
      <c r="O775" s="32"/>
      <c r="P775" s="32"/>
    </row>
    <row r="776">
      <c r="B776" s="35"/>
      <c r="G776" s="30"/>
      <c r="H776" s="30"/>
      <c r="L776" s="30"/>
      <c r="M776" s="30"/>
      <c r="O776" s="32"/>
      <c r="P776" s="32"/>
    </row>
    <row r="777">
      <c r="B777" s="35"/>
      <c r="G777" s="30"/>
      <c r="H777" s="30"/>
      <c r="L777" s="30"/>
      <c r="M777" s="30"/>
      <c r="O777" s="32"/>
      <c r="P777" s="32"/>
    </row>
    <row r="778">
      <c r="B778" s="35"/>
      <c r="G778" s="30"/>
      <c r="H778" s="30"/>
      <c r="L778" s="30"/>
      <c r="M778" s="30"/>
      <c r="O778" s="32"/>
      <c r="P778" s="32"/>
    </row>
    <row r="779">
      <c r="B779" s="35"/>
      <c r="G779" s="30"/>
      <c r="H779" s="30"/>
      <c r="L779" s="30"/>
      <c r="M779" s="30"/>
      <c r="O779" s="32"/>
      <c r="P779" s="32"/>
    </row>
    <row r="780">
      <c r="B780" s="35"/>
      <c r="G780" s="30"/>
      <c r="H780" s="30"/>
      <c r="L780" s="30"/>
      <c r="M780" s="30"/>
      <c r="O780" s="32"/>
      <c r="P780" s="32"/>
    </row>
    <row r="781">
      <c r="B781" s="35"/>
      <c r="G781" s="30"/>
      <c r="H781" s="30"/>
      <c r="L781" s="30"/>
      <c r="M781" s="30"/>
      <c r="O781" s="32"/>
      <c r="P781" s="32"/>
    </row>
    <row r="782">
      <c r="B782" s="35"/>
      <c r="G782" s="30"/>
      <c r="H782" s="30"/>
      <c r="L782" s="30"/>
      <c r="M782" s="30"/>
      <c r="O782" s="32"/>
      <c r="P782" s="32"/>
    </row>
    <row r="783">
      <c r="B783" s="35"/>
      <c r="G783" s="30"/>
      <c r="H783" s="30"/>
      <c r="L783" s="30"/>
      <c r="M783" s="30"/>
      <c r="O783" s="32"/>
      <c r="P783" s="32"/>
    </row>
    <row r="784">
      <c r="B784" s="35"/>
      <c r="G784" s="30"/>
      <c r="H784" s="30"/>
      <c r="L784" s="30"/>
      <c r="M784" s="30"/>
      <c r="O784" s="32"/>
      <c r="P784" s="32"/>
    </row>
    <row r="785">
      <c r="B785" s="35"/>
      <c r="G785" s="30"/>
      <c r="H785" s="30"/>
      <c r="L785" s="30"/>
      <c r="M785" s="30"/>
      <c r="O785" s="32"/>
      <c r="P785" s="32"/>
    </row>
    <row r="786">
      <c r="B786" s="35"/>
      <c r="G786" s="30"/>
      <c r="H786" s="30"/>
      <c r="L786" s="30"/>
      <c r="M786" s="30"/>
      <c r="O786" s="32"/>
      <c r="P786" s="32"/>
    </row>
    <row r="787">
      <c r="B787" s="35"/>
      <c r="G787" s="30"/>
      <c r="H787" s="30"/>
      <c r="L787" s="30"/>
      <c r="M787" s="30"/>
      <c r="O787" s="32"/>
      <c r="P787" s="32"/>
    </row>
    <row r="788">
      <c r="B788" s="35"/>
      <c r="G788" s="30"/>
      <c r="H788" s="30"/>
      <c r="L788" s="30"/>
      <c r="M788" s="30"/>
      <c r="O788" s="32"/>
      <c r="P788" s="32"/>
    </row>
    <row r="789">
      <c r="B789" s="35"/>
      <c r="G789" s="30"/>
      <c r="H789" s="30"/>
      <c r="L789" s="30"/>
      <c r="M789" s="30"/>
      <c r="O789" s="32"/>
      <c r="P789" s="32"/>
    </row>
    <row r="790">
      <c r="B790" s="35"/>
      <c r="G790" s="30"/>
      <c r="H790" s="30"/>
      <c r="L790" s="30"/>
      <c r="M790" s="30"/>
      <c r="O790" s="32"/>
      <c r="P790" s="32"/>
    </row>
    <row r="791">
      <c r="B791" s="35"/>
      <c r="G791" s="30"/>
      <c r="H791" s="30"/>
      <c r="L791" s="30"/>
      <c r="M791" s="30"/>
      <c r="O791" s="32"/>
      <c r="P791" s="32"/>
    </row>
    <row r="792">
      <c r="B792" s="35"/>
      <c r="G792" s="30"/>
      <c r="H792" s="30"/>
      <c r="L792" s="30"/>
      <c r="M792" s="30"/>
      <c r="O792" s="32"/>
      <c r="P792" s="32"/>
    </row>
    <row r="793">
      <c r="B793" s="35"/>
      <c r="G793" s="30"/>
      <c r="H793" s="30"/>
      <c r="L793" s="30"/>
      <c r="M793" s="30"/>
      <c r="O793" s="32"/>
      <c r="P793" s="32"/>
    </row>
    <row r="794">
      <c r="B794" s="35"/>
      <c r="G794" s="30"/>
      <c r="H794" s="30"/>
      <c r="L794" s="30"/>
      <c r="M794" s="30"/>
      <c r="O794" s="32"/>
      <c r="P794" s="32"/>
    </row>
    <row r="795">
      <c r="B795" s="35"/>
      <c r="G795" s="30"/>
      <c r="H795" s="30"/>
      <c r="L795" s="30"/>
      <c r="M795" s="30"/>
      <c r="O795" s="32"/>
      <c r="P795" s="32"/>
    </row>
    <row r="796">
      <c r="B796" s="35"/>
      <c r="G796" s="30"/>
      <c r="H796" s="30"/>
      <c r="L796" s="30"/>
      <c r="M796" s="30"/>
      <c r="O796" s="32"/>
      <c r="P796" s="32"/>
    </row>
    <row r="797">
      <c r="B797" s="35"/>
      <c r="G797" s="30"/>
      <c r="H797" s="30"/>
      <c r="L797" s="30"/>
      <c r="M797" s="30"/>
      <c r="O797" s="32"/>
      <c r="P797" s="32"/>
    </row>
    <row r="798">
      <c r="B798" s="35"/>
      <c r="G798" s="30"/>
      <c r="H798" s="30"/>
      <c r="L798" s="30"/>
      <c r="M798" s="30"/>
      <c r="O798" s="32"/>
      <c r="P798" s="32"/>
    </row>
    <row r="799">
      <c r="B799" s="35"/>
      <c r="G799" s="30"/>
      <c r="H799" s="30"/>
      <c r="L799" s="30"/>
      <c r="M799" s="30"/>
      <c r="O799" s="32"/>
      <c r="P799" s="32"/>
    </row>
    <row r="800">
      <c r="B800" s="35"/>
      <c r="G800" s="30"/>
      <c r="H800" s="30"/>
      <c r="L800" s="30"/>
      <c r="M800" s="30"/>
      <c r="O800" s="32"/>
      <c r="P800" s="32"/>
    </row>
    <row r="801">
      <c r="B801" s="35"/>
      <c r="G801" s="30"/>
      <c r="H801" s="30"/>
      <c r="L801" s="30"/>
      <c r="M801" s="30"/>
      <c r="O801" s="32"/>
      <c r="P801" s="32"/>
    </row>
    <row r="802">
      <c r="B802" s="35"/>
      <c r="G802" s="30"/>
      <c r="H802" s="30"/>
      <c r="L802" s="30"/>
      <c r="M802" s="30"/>
      <c r="O802" s="32"/>
      <c r="P802" s="32"/>
    </row>
    <row r="803">
      <c r="B803" s="35"/>
      <c r="G803" s="30"/>
      <c r="H803" s="30"/>
      <c r="L803" s="30"/>
      <c r="M803" s="30"/>
      <c r="O803" s="32"/>
      <c r="P803" s="32"/>
    </row>
    <row r="804">
      <c r="B804" s="35"/>
      <c r="G804" s="30"/>
      <c r="H804" s="30"/>
      <c r="L804" s="30"/>
      <c r="M804" s="30"/>
      <c r="O804" s="32"/>
      <c r="P804" s="32"/>
    </row>
    <row r="805">
      <c r="B805" s="35"/>
      <c r="G805" s="30"/>
      <c r="H805" s="30"/>
      <c r="L805" s="30"/>
      <c r="M805" s="30"/>
      <c r="O805" s="32"/>
      <c r="P805" s="32"/>
    </row>
    <row r="806">
      <c r="B806" s="35"/>
      <c r="G806" s="30"/>
      <c r="H806" s="30"/>
      <c r="L806" s="30"/>
      <c r="M806" s="30"/>
      <c r="O806" s="32"/>
      <c r="P806" s="32"/>
    </row>
    <row r="807">
      <c r="B807" s="35"/>
      <c r="G807" s="30"/>
      <c r="H807" s="30"/>
      <c r="L807" s="30"/>
      <c r="M807" s="30"/>
      <c r="O807" s="32"/>
      <c r="P807" s="32"/>
    </row>
    <row r="808">
      <c r="B808" s="35"/>
      <c r="G808" s="30"/>
      <c r="H808" s="30"/>
      <c r="L808" s="30"/>
      <c r="M808" s="30"/>
      <c r="O808" s="32"/>
      <c r="P808" s="32"/>
    </row>
    <row r="809">
      <c r="B809" s="35"/>
      <c r="G809" s="30"/>
      <c r="H809" s="30"/>
      <c r="L809" s="30"/>
      <c r="M809" s="30"/>
      <c r="O809" s="32"/>
      <c r="P809" s="32"/>
    </row>
    <row r="810">
      <c r="B810" s="35"/>
      <c r="G810" s="30"/>
      <c r="H810" s="30"/>
      <c r="L810" s="30"/>
      <c r="M810" s="30"/>
      <c r="O810" s="32"/>
      <c r="P810" s="32"/>
    </row>
    <row r="811">
      <c r="B811" s="35"/>
      <c r="G811" s="30"/>
      <c r="H811" s="30"/>
      <c r="L811" s="30"/>
      <c r="M811" s="30"/>
      <c r="O811" s="32"/>
      <c r="P811" s="32"/>
    </row>
    <row r="812">
      <c r="B812" s="35"/>
      <c r="G812" s="30"/>
      <c r="H812" s="30"/>
      <c r="L812" s="30"/>
      <c r="M812" s="30"/>
      <c r="O812" s="32"/>
      <c r="P812" s="32"/>
    </row>
    <row r="813">
      <c r="B813" s="35"/>
      <c r="G813" s="30"/>
      <c r="H813" s="30"/>
      <c r="L813" s="30"/>
      <c r="M813" s="30"/>
      <c r="O813" s="32"/>
      <c r="P813" s="32"/>
    </row>
    <row r="814">
      <c r="B814" s="35"/>
      <c r="G814" s="30"/>
      <c r="H814" s="30"/>
      <c r="L814" s="30"/>
      <c r="M814" s="30"/>
      <c r="O814" s="32"/>
      <c r="P814" s="32"/>
    </row>
    <row r="815">
      <c r="B815" s="35"/>
      <c r="G815" s="30"/>
      <c r="H815" s="30"/>
      <c r="L815" s="30"/>
      <c r="M815" s="30"/>
      <c r="O815" s="32"/>
      <c r="P815" s="32"/>
    </row>
    <row r="816">
      <c r="B816" s="35"/>
      <c r="G816" s="30"/>
      <c r="H816" s="30"/>
      <c r="L816" s="30"/>
      <c r="M816" s="30"/>
      <c r="O816" s="32"/>
      <c r="P816" s="32"/>
    </row>
    <row r="817">
      <c r="B817" s="35"/>
      <c r="G817" s="30"/>
      <c r="H817" s="30"/>
      <c r="L817" s="30"/>
      <c r="M817" s="30"/>
      <c r="O817" s="32"/>
      <c r="P817" s="32"/>
    </row>
    <row r="818">
      <c r="B818" s="35"/>
      <c r="G818" s="30"/>
      <c r="H818" s="30"/>
      <c r="L818" s="30"/>
      <c r="M818" s="30"/>
      <c r="O818" s="32"/>
      <c r="P818" s="32"/>
    </row>
    <row r="819">
      <c r="B819" s="35"/>
      <c r="G819" s="30"/>
      <c r="H819" s="30"/>
      <c r="L819" s="30"/>
      <c r="M819" s="30"/>
      <c r="O819" s="32"/>
      <c r="P819" s="32"/>
    </row>
    <row r="820">
      <c r="B820" s="35"/>
      <c r="G820" s="30"/>
      <c r="H820" s="30"/>
      <c r="L820" s="30"/>
      <c r="M820" s="30"/>
      <c r="O820" s="32"/>
      <c r="P820" s="32"/>
    </row>
    <row r="821">
      <c r="B821" s="35"/>
      <c r="G821" s="30"/>
      <c r="H821" s="30"/>
      <c r="L821" s="30"/>
      <c r="M821" s="30"/>
      <c r="O821" s="32"/>
      <c r="P821" s="32"/>
    </row>
    <row r="822">
      <c r="B822" s="35"/>
      <c r="G822" s="30"/>
      <c r="H822" s="30"/>
      <c r="L822" s="30"/>
      <c r="M822" s="30"/>
      <c r="O822" s="32"/>
      <c r="P822" s="32"/>
    </row>
    <row r="823">
      <c r="B823" s="35"/>
      <c r="G823" s="30"/>
      <c r="H823" s="30"/>
      <c r="L823" s="30"/>
      <c r="M823" s="30"/>
      <c r="O823" s="32"/>
      <c r="P823" s="32"/>
    </row>
    <row r="824">
      <c r="B824" s="35"/>
      <c r="G824" s="30"/>
      <c r="H824" s="30"/>
      <c r="L824" s="30"/>
      <c r="M824" s="30"/>
      <c r="O824" s="32"/>
      <c r="P824" s="32"/>
    </row>
    <row r="825">
      <c r="B825" s="35"/>
      <c r="G825" s="30"/>
      <c r="H825" s="30"/>
      <c r="L825" s="30"/>
      <c r="M825" s="30"/>
      <c r="O825" s="32"/>
      <c r="P825" s="32"/>
    </row>
    <row r="826">
      <c r="B826" s="35"/>
      <c r="G826" s="30"/>
      <c r="H826" s="30"/>
      <c r="L826" s="30"/>
      <c r="M826" s="30"/>
      <c r="O826" s="32"/>
      <c r="P826" s="32"/>
    </row>
    <row r="827">
      <c r="B827" s="35"/>
      <c r="G827" s="30"/>
      <c r="H827" s="30"/>
      <c r="L827" s="30"/>
      <c r="M827" s="30"/>
      <c r="O827" s="32"/>
      <c r="P827" s="32"/>
    </row>
    <row r="828">
      <c r="B828" s="35"/>
      <c r="G828" s="30"/>
      <c r="H828" s="30"/>
      <c r="L828" s="30"/>
      <c r="M828" s="30"/>
      <c r="O828" s="32"/>
      <c r="P828" s="32"/>
    </row>
    <row r="829">
      <c r="B829" s="35"/>
      <c r="G829" s="30"/>
      <c r="H829" s="30"/>
      <c r="L829" s="30"/>
      <c r="M829" s="30"/>
      <c r="O829" s="32"/>
      <c r="P829" s="32"/>
    </row>
    <row r="830">
      <c r="B830" s="35"/>
      <c r="G830" s="30"/>
      <c r="H830" s="30"/>
      <c r="L830" s="30"/>
      <c r="M830" s="30"/>
      <c r="O830" s="32"/>
      <c r="P830" s="32"/>
    </row>
    <row r="831">
      <c r="B831" s="35"/>
      <c r="G831" s="30"/>
      <c r="H831" s="30"/>
      <c r="L831" s="30"/>
      <c r="M831" s="30"/>
      <c r="O831" s="32"/>
      <c r="P831" s="32"/>
    </row>
    <row r="832">
      <c r="B832" s="35"/>
      <c r="G832" s="30"/>
      <c r="H832" s="30"/>
      <c r="L832" s="30"/>
      <c r="M832" s="30"/>
      <c r="O832" s="32"/>
      <c r="P832" s="32"/>
    </row>
    <row r="833">
      <c r="B833" s="35"/>
      <c r="G833" s="30"/>
      <c r="H833" s="30"/>
      <c r="L833" s="30"/>
      <c r="M833" s="30"/>
      <c r="O833" s="32"/>
      <c r="P833" s="32"/>
    </row>
    <row r="834">
      <c r="B834" s="35"/>
      <c r="G834" s="30"/>
      <c r="H834" s="30"/>
      <c r="L834" s="30"/>
      <c r="M834" s="30"/>
      <c r="O834" s="32"/>
      <c r="P834" s="32"/>
    </row>
    <row r="835">
      <c r="B835" s="35"/>
      <c r="G835" s="30"/>
      <c r="H835" s="30"/>
      <c r="L835" s="30"/>
      <c r="M835" s="30"/>
      <c r="O835" s="32"/>
      <c r="P835" s="32"/>
    </row>
    <row r="836">
      <c r="B836" s="35"/>
      <c r="G836" s="30"/>
      <c r="H836" s="30"/>
      <c r="L836" s="30"/>
      <c r="M836" s="30"/>
      <c r="O836" s="32"/>
      <c r="P836" s="32"/>
    </row>
    <row r="837">
      <c r="B837" s="35"/>
      <c r="G837" s="30"/>
      <c r="H837" s="30"/>
      <c r="L837" s="30"/>
      <c r="M837" s="30"/>
      <c r="O837" s="32"/>
      <c r="P837" s="32"/>
    </row>
    <row r="838">
      <c r="B838" s="35"/>
      <c r="G838" s="30"/>
      <c r="H838" s="30"/>
      <c r="L838" s="30"/>
      <c r="M838" s="30"/>
      <c r="O838" s="32"/>
      <c r="P838" s="32"/>
    </row>
    <row r="839">
      <c r="B839" s="35"/>
      <c r="G839" s="30"/>
      <c r="H839" s="30"/>
      <c r="L839" s="30"/>
      <c r="M839" s="30"/>
      <c r="O839" s="32"/>
      <c r="P839" s="32"/>
    </row>
    <row r="840">
      <c r="B840" s="35"/>
      <c r="G840" s="30"/>
      <c r="H840" s="30"/>
      <c r="L840" s="30"/>
      <c r="M840" s="30"/>
      <c r="O840" s="32"/>
      <c r="P840" s="32"/>
    </row>
    <row r="841">
      <c r="B841" s="35"/>
      <c r="G841" s="30"/>
      <c r="H841" s="30"/>
      <c r="L841" s="30"/>
      <c r="M841" s="30"/>
      <c r="O841" s="32"/>
      <c r="P841" s="32"/>
    </row>
    <row r="842">
      <c r="B842" s="35"/>
      <c r="G842" s="30"/>
      <c r="H842" s="30"/>
      <c r="L842" s="30"/>
      <c r="M842" s="30"/>
      <c r="O842" s="32"/>
      <c r="P842" s="32"/>
    </row>
    <row r="843">
      <c r="B843" s="35"/>
      <c r="G843" s="30"/>
      <c r="H843" s="30"/>
      <c r="L843" s="30"/>
      <c r="M843" s="30"/>
      <c r="O843" s="32"/>
      <c r="P843" s="32"/>
    </row>
    <row r="844">
      <c r="B844" s="35"/>
      <c r="G844" s="30"/>
      <c r="H844" s="30"/>
      <c r="L844" s="30"/>
      <c r="M844" s="30"/>
      <c r="O844" s="32"/>
      <c r="P844" s="32"/>
    </row>
    <row r="845">
      <c r="B845" s="35"/>
      <c r="G845" s="30"/>
      <c r="H845" s="30"/>
      <c r="L845" s="30"/>
      <c r="M845" s="30"/>
      <c r="O845" s="32"/>
      <c r="P845" s="32"/>
    </row>
    <row r="846">
      <c r="B846" s="35"/>
      <c r="G846" s="30"/>
      <c r="H846" s="30"/>
      <c r="L846" s="30"/>
      <c r="M846" s="30"/>
      <c r="O846" s="32"/>
      <c r="P846" s="32"/>
    </row>
    <row r="847">
      <c r="B847" s="35"/>
      <c r="G847" s="30"/>
      <c r="H847" s="30"/>
      <c r="L847" s="30"/>
      <c r="M847" s="30"/>
      <c r="O847" s="32"/>
      <c r="P847" s="32"/>
    </row>
    <row r="848">
      <c r="B848" s="35"/>
      <c r="G848" s="30"/>
      <c r="H848" s="30"/>
      <c r="L848" s="30"/>
      <c r="M848" s="30"/>
      <c r="O848" s="32"/>
      <c r="P848" s="32"/>
    </row>
    <row r="849">
      <c r="B849" s="35"/>
      <c r="G849" s="30"/>
      <c r="H849" s="30"/>
      <c r="L849" s="30"/>
      <c r="M849" s="30"/>
      <c r="O849" s="32"/>
      <c r="P849" s="32"/>
    </row>
    <row r="850">
      <c r="B850" s="35"/>
      <c r="G850" s="30"/>
      <c r="H850" s="30"/>
      <c r="L850" s="30"/>
      <c r="M850" s="30"/>
      <c r="O850" s="32"/>
      <c r="P850" s="32"/>
    </row>
    <row r="851">
      <c r="B851" s="35"/>
      <c r="G851" s="30"/>
      <c r="H851" s="30"/>
      <c r="L851" s="30"/>
      <c r="M851" s="30"/>
      <c r="O851" s="32"/>
      <c r="P851" s="32"/>
    </row>
    <row r="852">
      <c r="B852" s="35"/>
      <c r="G852" s="30"/>
      <c r="H852" s="30"/>
      <c r="L852" s="30"/>
      <c r="M852" s="30"/>
      <c r="O852" s="32"/>
      <c r="P852" s="32"/>
    </row>
    <row r="853">
      <c r="B853" s="35"/>
      <c r="G853" s="30"/>
      <c r="H853" s="30"/>
      <c r="L853" s="30"/>
      <c r="M853" s="30"/>
      <c r="O853" s="32"/>
      <c r="P853" s="32"/>
    </row>
    <row r="854">
      <c r="B854" s="35"/>
      <c r="G854" s="30"/>
      <c r="H854" s="30"/>
      <c r="L854" s="30"/>
      <c r="M854" s="30"/>
      <c r="O854" s="32"/>
      <c r="P854" s="32"/>
    </row>
    <row r="855">
      <c r="B855" s="35"/>
      <c r="G855" s="30"/>
      <c r="H855" s="30"/>
      <c r="L855" s="30"/>
      <c r="M855" s="30"/>
      <c r="O855" s="32"/>
      <c r="P855" s="32"/>
    </row>
    <row r="856">
      <c r="B856" s="35"/>
      <c r="G856" s="30"/>
      <c r="H856" s="30"/>
      <c r="L856" s="30"/>
      <c r="M856" s="30"/>
      <c r="O856" s="32"/>
      <c r="P856" s="32"/>
    </row>
    <row r="857">
      <c r="B857" s="35"/>
      <c r="G857" s="30"/>
      <c r="H857" s="30"/>
      <c r="L857" s="30"/>
      <c r="M857" s="30"/>
      <c r="O857" s="32"/>
      <c r="P857" s="32"/>
    </row>
    <row r="858">
      <c r="B858" s="35"/>
      <c r="G858" s="30"/>
      <c r="H858" s="30"/>
      <c r="L858" s="30"/>
      <c r="M858" s="30"/>
      <c r="O858" s="32"/>
      <c r="P858" s="32"/>
    </row>
    <row r="859">
      <c r="B859" s="35"/>
      <c r="G859" s="30"/>
      <c r="H859" s="30"/>
      <c r="L859" s="30"/>
      <c r="M859" s="30"/>
      <c r="O859" s="32"/>
      <c r="P859" s="32"/>
    </row>
    <row r="860">
      <c r="B860" s="35"/>
      <c r="G860" s="30"/>
      <c r="H860" s="30"/>
      <c r="L860" s="30"/>
      <c r="M860" s="30"/>
      <c r="O860" s="32"/>
      <c r="P860" s="32"/>
    </row>
    <row r="861">
      <c r="B861" s="35"/>
      <c r="G861" s="30"/>
      <c r="H861" s="30"/>
      <c r="L861" s="30"/>
      <c r="M861" s="30"/>
      <c r="O861" s="32"/>
      <c r="P861" s="32"/>
    </row>
    <row r="862">
      <c r="B862" s="35"/>
      <c r="G862" s="30"/>
      <c r="H862" s="30"/>
      <c r="L862" s="30"/>
      <c r="M862" s="30"/>
      <c r="O862" s="32"/>
      <c r="P862" s="32"/>
    </row>
    <row r="863">
      <c r="B863" s="35"/>
      <c r="G863" s="30"/>
      <c r="H863" s="30"/>
      <c r="L863" s="30"/>
      <c r="M863" s="30"/>
      <c r="O863" s="32"/>
      <c r="P863" s="32"/>
    </row>
    <row r="864">
      <c r="B864" s="35"/>
      <c r="G864" s="30"/>
      <c r="H864" s="30"/>
      <c r="L864" s="30"/>
      <c r="M864" s="30"/>
      <c r="O864" s="32"/>
      <c r="P864" s="32"/>
    </row>
    <row r="865">
      <c r="B865" s="35"/>
      <c r="G865" s="30"/>
      <c r="H865" s="30"/>
      <c r="L865" s="30"/>
      <c r="M865" s="30"/>
      <c r="O865" s="32"/>
      <c r="P865" s="32"/>
    </row>
    <row r="866">
      <c r="B866" s="35"/>
      <c r="G866" s="30"/>
      <c r="H866" s="30"/>
      <c r="L866" s="30"/>
      <c r="M866" s="30"/>
      <c r="O866" s="32"/>
      <c r="P866" s="32"/>
    </row>
    <row r="867">
      <c r="B867" s="35"/>
      <c r="G867" s="30"/>
      <c r="H867" s="30"/>
      <c r="L867" s="30"/>
      <c r="M867" s="30"/>
      <c r="O867" s="32"/>
      <c r="P867" s="32"/>
    </row>
    <row r="868">
      <c r="B868" s="35"/>
      <c r="G868" s="30"/>
      <c r="H868" s="30"/>
      <c r="L868" s="30"/>
      <c r="M868" s="30"/>
      <c r="O868" s="32"/>
      <c r="P868" s="32"/>
    </row>
    <row r="869">
      <c r="B869" s="35"/>
      <c r="G869" s="30"/>
      <c r="H869" s="30"/>
      <c r="L869" s="30"/>
      <c r="M869" s="30"/>
      <c r="O869" s="32"/>
      <c r="P869" s="32"/>
    </row>
    <row r="870">
      <c r="B870" s="35"/>
      <c r="G870" s="30"/>
      <c r="H870" s="30"/>
      <c r="L870" s="30"/>
      <c r="M870" s="30"/>
      <c r="O870" s="32"/>
      <c r="P870" s="32"/>
    </row>
    <row r="871">
      <c r="B871" s="35"/>
      <c r="G871" s="30"/>
      <c r="H871" s="30"/>
      <c r="L871" s="30"/>
      <c r="M871" s="30"/>
      <c r="O871" s="32"/>
      <c r="P871" s="32"/>
    </row>
    <row r="872">
      <c r="B872" s="35"/>
      <c r="G872" s="30"/>
      <c r="H872" s="30"/>
      <c r="L872" s="30"/>
      <c r="M872" s="30"/>
      <c r="O872" s="32"/>
      <c r="P872" s="32"/>
    </row>
    <row r="873">
      <c r="B873" s="35"/>
      <c r="G873" s="30"/>
      <c r="H873" s="30"/>
      <c r="L873" s="30"/>
      <c r="M873" s="30"/>
      <c r="O873" s="32"/>
      <c r="P873" s="32"/>
    </row>
    <row r="874">
      <c r="B874" s="35"/>
      <c r="G874" s="30"/>
      <c r="H874" s="30"/>
      <c r="L874" s="30"/>
      <c r="M874" s="30"/>
      <c r="O874" s="32"/>
      <c r="P874" s="32"/>
    </row>
    <row r="875">
      <c r="B875" s="35"/>
      <c r="G875" s="30"/>
      <c r="H875" s="30"/>
      <c r="L875" s="30"/>
      <c r="M875" s="30"/>
      <c r="O875" s="32"/>
      <c r="P875" s="32"/>
    </row>
    <row r="876">
      <c r="B876" s="35"/>
      <c r="G876" s="30"/>
      <c r="H876" s="30"/>
      <c r="L876" s="30"/>
      <c r="M876" s="30"/>
      <c r="O876" s="32"/>
      <c r="P876" s="32"/>
    </row>
    <row r="877">
      <c r="B877" s="35"/>
      <c r="G877" s="30"/>
      <c r="H877" s="30"/>
      <c r="L877" s="30"/>
      <c r="M877" s="30"/>
      <c r="O877" s="32"/>
      <c r="P877" s="32"/>
    </row>
    <row r="878">
      <c r="B878" s="35"/>
      <c r="G878" s="30"/>
      <c r="H878" s="30"/>
      <c r="L878" s="30"/>
      <c r="M878" s="30"/>
      <c r="O878" s="32"/>
      <c r="P878" s="32"/>
    </row>
    <row r="879">
      <c r="B879" s="35"/>
      <c r="G879" s="30"/>
      <c r="H879" s="30"/>
      <c r="L879" s="30"/>
      <c r="M879" s="30"/>
      <c r="O879" s="32"/>
      <c r="P879" s="32"/>
    </row>
    <row r="880">
      <c r="B880" s="35"/>
      <c r="G880" s="30"/>
      <c r="H880" s="30"/>
      <c r="L880" s="30"/>
      <c r="M880" s="30"/>
      <c r="O880" s="32"/>
      <c r="P880" s="32"/>
    </row>
    <row r="881">
      <c r="B881" s="35"/>
      <c r="G881" s="30"/>
      <c r="H881" s="30"/>
      <c r="L881" s="30"/>
      <c r="M881" s="30"/>
      <c r="O881" s="32"/>
      <c r="P881" s="32"/>
    </row>
    <row r="882">
      <c r="B882" s="35"/>
      <c r="G882" s="30"/>
      <c r="H882" s="30"/>
      <c r="L882" s="30"/>
      <c r="M882" s="30"/>
      <c r="O882" s="32"/>
      <c r="P882" s="32"/>
    </row>
    <row r="883">
      <c r="B883" s="35"/>
      <c r="G883" s="30"/>
      <c r="H883" s="30"/>
      <c r="L883" s="30"/>
      <c r="M883" s="30"/>
      <c r="O883" s="32"/>
      <c r="P883" s="32"/>
    </row>
    <row r="884">
      <c r="B884" s="35"/>
      <c r="G884" s="30"/>
      <c r="H884" s="30"/>
      <c r="L884" s="30"/>
      <c r="M884" s="30"/>
      <c r="O884" s="32"/>
      <c r="P884" s="32"/>
    </row>
    <row r="885">
      <c r="B885" s="35"/>
      <c r="G885" s="30"/>
      <c r="H885" s="30"/>
      <c r="L885" s="30"/>
      <c r="M885" s="30"/>
      <c r="O885" s="32"/>
      <c r="P885" s="32"/>
    </row>
    <row r="886">
      <c r="B886" s="35"/>
      <c r="G886" s="30"/>
      <c r="H886" s="30"/>
      <c r="L886" s="30"/>
      <c r="M886" s="30"/>
      <c r="O886" s="32"/>
      <c r="P886" s="32"/>
    </row>
    <row r="887">
      <c r="B887" s="35"/>
      <c r="G887" s="30"/>
      <c r="H887" s="30"/>
      <c r="L887" s="30"/>
      <c r="M887" s="30"/>
      <c r="O887" s="32"/>
      <c r="P887" s="32"/>
    </row>
    <row r="888">
      <c r="B888" s="35"/>
      <c r="G888" s="30"/>
      <c r="H888" s="30"/>
      <c r="L888" s="30"/>
      <c r="M888" s="30"/>
      <c r="O888" s="32"/>
      <c r="P888" s="32"/>
    </row>
    <row r="889">
      <c r="B889" s="35"/>
      <c r="G889" s="30"/>
      <c r="H889" s="30"/>
      <c r="L889" s="30"/>
      <c r="M889" s="30"/>
      <c r="O889" s="32"/>
      <c r="P889" s="32"/>
    </row>
    <row r="890">
      <c r="B890" s="35"/>
      <c r="G890" s="30"/>
      <c r="H890" s="30"/>
      <c r="L890" s="30"/>
      <c r="M890" s="30"/>
      <c r="O890" s="32"/>
      <c r="P890" s="32"/>
    </row>
    <row r="891">
      <c r="B891" s="35"/>
      <c r="G891" s="30"/>
      <c r="H891" s="30"/>
      <c r="L891" s="30"/>
      <c r="M891" s="30"/>
      <c r="O891" s="32"/>
      <c r="P891" s="32"/>
    </row>
    <row r="892">
      <c r="B892" s="35"/>
      <c r="G892" s="30"/>
      <c r="H892" s="30"/>
      <c r="L892" s="30"/>
      <c r="M892" s="30"/>
      <c r="O892" s="32"/>
      <c r="P892" s="32"/>
    </row>
    <row r="893">
      <c r="B893" s="35"/>
      <c r="G893" s="30"/>
      <c r="H893" s="30"/>
      <c r="L893" s="30"/>
      <c r="M893" s="30"/>
      <c r="O893" s="32"/>
      <c r="P893" s="32"/>
    </row>
    <row r="894">
      <c r="B894" s="35"/>
      <c r="G894" s="30"/>
      <c r="H894" s="30"/>
      <c r="L894" s="30"/>
      <c r="M894" s="30"/>
      <c r="O894" s="32"/>
      <c r="P894" s="32"/>
    </row>
    <row r="895">
      <c r="B895" s="35"/>
      <c r="G895" s="30"/>
      <c r="H895" s="30"/>
      <c r="L895" s="30"/>
      <c r="M895" s="30"/>
      <c r="O895" s="32"/>
      <c r="P895" s="32"/>
    </row>
    <row r="896">
      <c r="B896" s="35"/>
      <c r="G896" s="30"/>
      <c r="H896" s="30"/>
      <c r="L896" s="30"/>
      <c r="M896" s="30"/>
      <c r="O896" s="32"/>
      <c r="P896" s="32"/>
    </row>
    <row r="897">
      <c r="B897" s="35"/>
      <c r="G897" s="30"/>
      <c r="H897" s="30"/>
      <c r="L897" s="30"/>
      <c r="M897" s="30"/>
      <c r="O897" s="32"/>
      <c r="P897" s="32"/>
    </row>
    <row r="898">
      <c r="B898" s="35"/>
      <c r="G898" s="30"/>
      <c r="H898" s="30"/>
      <c r="L898" s="30"/>
      <c r="M898" s="30"/>
      <c r="O898" s="32"/>
      <c r="P898" s="32"/>
    </row>
    <row r="899">
      <c r="B899" s="35"/>
      <c r="G899" s="30"/>
      <c r="H899" s="30"/>
      <c r="L899" s="30"/>
      <c r="M899" s="30"/>
      <c r="O899" s="32"/>
      <c r="P899" s="32"/>
    </row>
    <row r="900">
      <c r="B900" s="35"/>
      <c r="G900" s="30"/>
      <c r="H900" s="30"/>
      <c r="L900" s="30"/>
      <c r="M900" s="30"/>
      <c r="O900" s="32"/>
      <c r="P900" s="32"/>
    </row>
    <row r="901">
      <c r="B901" s="35"/>
      <c r="G901" s="30"/>
      <c r="H901" s="30"/>
      <c r="L901" s="30"/>
      <c r="M901" s="30"/>
      <c r="O901" s="32"/>
      <c r="P901" s="32"/>
    </row>
    <row r="902">
      <c r="B902" s="35"/>
      <c r="G902" s="30"/>
      <c r="H902" s="30"/>
      <c r="L902" s="30"/>
      <c r="M902" s="30"/>
      <c r="O902" s="32"/>
      <c r="P902" s="32"/>
    </row>
    <row r="903">
      <c r="B903" s="35"/>
      <c r="G903" s="30"/>
      <c r="H903" s="30"/>
      <c r="L903" s="30"/>
      <c r="M903" s="30"/>
      <c r="O903" s="32"/>
      <c r="P903" s="32"/>
    </row>
    <row r="904">
      <c r="B904" s="35"/>
      <c r="G904" s="30"/>
      <c r="H904" s="30"/>
      <c r="L904" s="30"/>
      <c r="M904" s="30"/>
      <c r="O904" s="32"/>
      <c r="P904" s="32"/>
    </row>
    <row r="905">
      <c r="B905" s="35"/>
      <c r="G905" s="30"/>
      <c r="H905" s="30"/>
      <c r="L905" s="30"/>
      <c r="M905" s="30"/>
      <c r="O905" s="32"/>
      <c r="P905" s="32"/>
    </row>
    <row r="906">
      <c r="B906" s="35"/>
      <c r="G906" s="30"/>
      <c r="H906" s="30"/>
      <c r="L906" s="30"/>
      <c r="M906" s="30"/>
      <c r="O906" s="32"/>
      <c r="P906" s="32"/>
    </row>
    <row r="907">
      <c r="B907" s="35"/>
      <c r="G907" s="30"/>
      <c r="H907" s="30"/>
      <c r="L907" s="30"/>
      <c r="M907" s="30"/>
      <c r="O907" s="32"/>
      <c r="P907" s="32"/>
    </row>
    <row r="908">
      <c r="B908" s="35"/>
      <c r="G908" s="30"/>
      <c r="H908" s="30"/>
      <c r="L908" s="30"/>
      <c r="M908" s="30"/>
      <c r="O908" s="32"/>
      <c r="P908" s="32"/>
    </row>
    <row r="909">
      <c r="B909" s="35"/>
      <c r="G909" s="30"/>
      <c r="H909" s="30"/>
      <c r="L909" s="30"/>
      <c r="M909" s="30"/>
      <c r="O909" s="32"/>
      <c r="P909" s="32"/>
    </row>
    <row r="910">
      <c r="B910" s="35"/>
      <c r="G910" s="30"/>
      <c r="H910" s="30"/>
      <c r="L910" s="30"/>
      <c r="M910" s="30"/>
      <c r="O910" s="32"/>
      <c r="P910" s="32"/>
    </row>
    <row r="911">
      <c r="B911" s="35"/>
      <c r="G911" s="30"/>
      <c r="H911" s="30"/>
      <c r="L911" s="30"/>
      <c r="M911" s="30"/>
      <c r="O911" s="32"/>
      <c r="P911" s="32"/>
    </row>
    <row r="912">
      <c r="B912" s="35"/>
      <c r="G912" s="30"/>
      <c r="H912" s="30"/>
      <c r="L912" s="30"/>
      <c r="M912" s="30"/>
      <c r="O912" s="32"/>
      <c r="P912" s="32"/>
    </row>
    <row r="913">
      <c r="B913" s="35"/>
      <c r="G913" s="30"/>
      <c r="H913" s="30"/>
      <c r="L913" s="30"/>
      <c r="M913" s="30"/>
      <c r="O913" s="32"/>
      <c r="P913" s="32"/>
    </row>
    <row r="914">
      <c r="B914" s="35"/>
      <c r="G914" s="30"/>
      <c r="H914" s="30"/>
      <c r="L914" s="30"/>
      <c r="M914" s="30"/>
      <c r="O914" s="32"/>
      <c r="P914" s="32"/>
    </row>
    <row r="915">
      <c r="B915" s="35"/>
      <c r="G915" s="30"/>
      <c r="H915" s="30"/>
      <c r="L915" s="30"/>
      <c r="M915" s="30"/>
      <c r="O915" s="32"/>
      <c r="P915" s="32"/>
    </row>
    <row r="916">
      <c r="B916" s="35"/>
      <c r="G916" s="30"/>
      <c r="H916" s="30"/>
      <c r="L916" s="30"/>
      <c r="M916" s="30"/>
      <c r="O916" s="32"/>
      <c r="P916" s="32"/>
    </row>
    <row r="917">
      <c r="B917" s="35"/>
      <c r="G917" s="30"/>
      <c r="H917" s="30"/>
      <c r="L917" s="30"/>
      <c r="M917" s="30"/>
      <c r="O917" s="32"/>
      <c r="P917" s="32"/>
    </row>
    <row r="918">
      <c r="B918" s="35"/>
      <c r="G918" s="30"/>
      <c r="H918" s="30"/>
      <c r="L918" s="30"/>
      <c r="M918" s="30"/>
      <c r="O918" s="32"/>
      <c r="P918" s="32"/>
    </row>
    <row r="919">
      <c r="B919" s="35"/>
      <c r="G919" s="30"/>
      <c r="H919" s="30"/>
      <c r="L919" s="30"/>
      <c r="M919" s="30"/>
      <c r="O919" s="32"/>
      <c r="P919" s="32"/>
    </row>
    <row r="920">
      <c r="B920" s="35"/>
      <c r="G920" s="30"/>
      <c r="H920" s="30"/>
      <c r="L920" s="30"/>
      <c r="M920" s="30"/>
      <c r="O920" s="32"/>
      <c r="P920" s="32"/>
    </row>
    <row r="921">
      <c r="B921" s="35"/>
      <c r="G921" s="30"/>
      <c r="H921" s="30"/>
      <c r="L921" s="30"/>
      <c r="M921" s="30"/>
      <c r="O921" s="32"/>
      <c r="P921" s="32"/>
    </row>
    <row r="922">
      <c r="B922" s="35"/>
      <c r="G922" s="30"/>
      <c r="H922" s="30"/>
      <c r="L922" s="30"/>
      <c r="M922" s="30"/>
      <c r="O922" s="32"/>
      <c r="P922" s="32"/>
    </row>
    <row r="923">
      <c r="B923" s="35"/>
      <c r="G923" s="30"/>
      <c r="H923" s="30"/>
      <c r="L923" s="30"/>
      <c r="M923" s="30"/>
      <c r="O923" s="32"/>
      <c r="P923" s="32"/>
    </row>
    <row r="924">
      <c r="B924" s="35"/>
      <c r="G924" s="30"/>
      <c r="H924" s="30"/>
      <c r="L924" s="30"/>
      <c r="M924" s="30"/>
      <c r="O924" s="32"/>
      <c r="P924" s="32"/>
    </row>
    <row r="925">
      <c r="B925" s="35"/>
      <c r="G925" s="30"/>
      <c r="H925" s="30"/>
      <c r="L925" s="30"/>
      <c r="M925" s="30"/>
      <c r="O925" s="32"/>
      <c r="P925" s="32"/>
    </row>
    <row r="926">
      <c r="B926" s="35"/>
      <c r="G926" s="30"/>
      <c r="H926" s="30"/>
      <c r="L926" s="30"/>
      <c r="M926" s="30"/>
      <c r="O926" s="32"/>
      <c r="P926" s="32"/>
    </row>
    <row r="927">
      <c r="B927" s="35"/>
      <c r="G927" s="30"/>
      <c r="H927" s="30"/>
      <c r="L927" s="30"/>
      <c r="M927" s="30"/>
      <c r="O927" s="32"/>
      <c r="P927" s="32"/>
    </row>
    <row r="928">
      <c r="B928" s="35"/>
      <c r="G928" s="30"/>
      <c r="H928" s="30"/>
      <c r="L928" s="30"/>
      <c r="M928" s="30"/>
      <c r="O928" s="32"/>
      <c r="P928" s="32"/>
    </row>
    <row r="929">
      <c r="B929" s="35"/>
      <c r="G929" s="30"/>
      <c r="H929" s="30"/>
      <c r="L929" s="30"/>
      <c r="M929" s="30"/>
      <c r="O929" s="32"/>
      <c r="P929" s="32"/>
    </row>
    <row r="930">
      <c r="B930" s="35"/>
      <c r="G930" s="30"/>
      <c r="H930" s="30"/>
      <c r="L930" s="30"/>
      <c r="M930" s="30"/>
      <c r="O930" s="32"/>
      <c r="P930" s="32"/>
    </row>
    <row r="931">
      <c r="B931" s="35"/>
      <c r="G931" s="30"/>
      <c r="H931" s="30"/>
      <c r="L931" s="30"/>
      <c r="M931" s="30"/>
      <c r="O931" s="32"/>
      <c r="P931" s="32"/>
    </row>
    <row r="932">
      <c r="B932" s="35"/>
      <c r="G932" s="30"/>
      <c r="H932" s="30"/>
      <c r="L932" s="30"/>
      <c r="M932" s="30"/>
      <c r="O932" s="32"/>
      <c r="P932" s="32"/>
    </row>
    <row r="933">
      <c r="B933" s="35"/>
      <c r="G933" s="30"/>
      <c r="H933" s="30"/>
      <c r="L933" s="30"/>
      <c r="M933" s="30"/>
      <c r="O933" s="32"/>
      <c r="P933" s="32"/>
    </row>
    <row r="934">
      <c r="B934" s="35"/>
      <c r="G934" s="30"/>
      <c r="H934" s="30"/>
      <c r="L934" s="30"/>
      <c r="M934" s="30"/>
      <c r="O934" s="32"/>
      <c r="P934" s="32"/>
    </row>
    <row r="935">
      <c r="B935" s="35"/>
      <c r="G935" s="30"/>
      <c r="H935" s="30"/>
      <c r="L935" s="30"/>
      <c r="M935" s="30"/>
      <c r="O935" s="32"/>
      <c r="P935" s="32"/>
    </row>
    <row r="936">
      <c r="B936" s="35"/>
      <c r="G936" s="30"/>
      <c r="H936" s="30"/>
      <c r="L936" s="30"/>
      <c r="M936" s="30"/>
      <c r="O936" s="32"/>
      <c r="P936" s="32"/>
    </row>
    <row r="937">
      <c r="B937" s="35"/>
      <c r="G937" s="30"/>
      <c r="H937" s="30"/>
      <c r="L937" s="30"/>
      <c r="M937" s="30"/>
      <c r="O937" s="32"/>
      <c r="P937" s="32"/>
    </row>
    <row r="938">
      <c r="B938" s="35"/>
      <c r="G938" s="30"/>
      <c r="H938" s="30"/>
      <c r="L938" s="30"/>
      <c r="M938" s="30"/>
      <c r="O938" s="32"/>
      <c r="P938" s="32"/>
    </row>
    <row r="939">
      <c r="B939" s="35"/>
      <c r="G939" s="30"/>
      <c r="H939" s="30"/>
      <c r="L939" s="30"/>
      <c r="M939" s="30"/>
      <c r="O939" s="32"/>
      <c r="P939" s="32"/>
    </row>
    <row r="940">
      <c r="B940" s="35"/>
      <c r="G940" s="30"/>
      <c r="H940" s="30"/>
      <c r="L940" s="30"/>
      <c r="M940" s="30"/>
      <c r="O940" s="32"/>
      <c r="P940" s="32"/>
    </row>
    <row r="941">
      <c r="B941" s="35"/>
      <c r="G941" s="30"/>
      <c r="H941" s="30"/>
      <c r="L941" s="30"/>
      <c r="M941" s="30"/>
      <c r="O941" s="32"/>
      <c r="P941" s="32"/>
    </row>
    <row r="942">
      <c r="B942" s="35"/>
      <c r="G942" s="30"/>
      <c r="H942" s="30"/>
      <c r="L942" s="30"/>
      <c r="M942" s="30"/>
      <c r="O942" s="32"/>
      <c r="P942" s="32"/>
    </row>
    <row r="943">
      <c r="B943" s="35"/>
      <c r="G943" s="30"/>
      <c r="H943" s="30"/>
      <c r="L943" s="30"/>
      <c r="M943" s="30"/>
      <c r="O943" s="32"/>
      <c r="P943" s="32"/>
    </row>
    <row r="944">
      <c r="B944" s="35"/>
      <c r="G944" s="30"/>
      <c r="H944" s="30"/>
      <c r="L944" s="30"/>
      <c r="M944" s="30"/>
      <c r="O944" s="32"/>
      <c r="P944" s="32"/>
    </row>
    <row r="945">
      <c r="B945" s="35"/>
      <c r="G945" s="30"/>
      <c r="H945" s="30"/>
      <c r="L945" s="30"/>
      <c r="M945" s="30"/>
      <c r="O945" s="32"/>
      <c r="P945" s="32"/>
    </row>
    <row r="946">
      <c r="B946" s="35"/>
      <c r="G946" s="30"/>
      <c r="H946" s="30"/>
      <c r="L946" s="30"/>
      <c r="M946" s="30"/>
      <c r="O946" s="32"/>
      <c r="P946" s="32"/>
    </row>
    <row r="947">
      <c r="B947" s="35"/>
      <c r="G947" s="30"/>
      <c r="H947" s="30"/>
      <c r="L947" s="30"/>
      <c r="M947" s="30"/>
      <c r="O947" s="32"/>
      <c r="P947" s="32"/>
    </row>
    <row r="948">
      <c r="B948" s="35"/>
      <c r="G948" s="30"/>
      <c r="H948" s="30"/>
      <c r="L948" s="30"/>
      <c r="M948" s="30"/>
      <c r="O948" s="32"/>
      <c r="P948" s="32"/>
    </row>
    <row r="949">
      <c r="B949" s="35"/>
      <c r="G949" s="30"/>
      <c r="H949" s="30"/>
      <c r="L949" s="30"/>
      <c r="M949" s="30"/>
      <c r="O949" s="32"/>
      <c r="P949" s="32"/>
    </row>
    <row r="950">
      <c r="B950" s="35"/>
      <c r="G950" s="30"/>
      <c r="H950" s="30"/>
      <c r="L950" s="30"/>
      <c r="M950" s="30"/>
      <c r="O950" s="32"/>
      <c r="P950" s="32"/>
    </row>
    <row r="951">
      <c r="B951" s="35"/>
      <c r="G951" s="30"/>
      <c r="H951" s="30"/>
      <c r="L951" s="30"/>
      <c r="M951" s="30"/>
      <c r="O951" s="32"/>
      <c r="P951" s="32"/>
    </row>
    <row r="952">
      <c r="B952" s="35"/>
      <c r="G952" s="30"/>
      <c r="H952" s="30"/>
      <c r="L952" s="30"/>
      <c r="M952" s="30"/>
      <c r="O952" s="32"/>
      <c r="P952" s="32"/>
    </row>
    <row r="953">
      <c r="B953" s="35"/>
      <c r="G953" s="30"/>
      <c r="H953" s="30"/>
      <c r="L953" s="30"/>
      <c r="M953" s="30"/>
      <c r="O953" s="32"/>
      <c r="P953" s="32"/>
    </row>
    <row r="954">
      <c r="B954" s="35"/>
      <c r="G954" s="30"/>
      <c r="H954" s="30"/>
      <c r="L954" s="30"/>
      <c r="M954" s="30"/>
      <c r="O954" s="32"/>
      <c r="P954" s="32"/>
    </row>
    <row r="955">
      <c r="B955" s="35"/>
      <c r="G955" s="30"/>
      <c r="H955" s="30"/>
      <c r="L955" s="30"/>
      <c r="M955" s="30"/>
      <c r="O955" s="32"/>
      <c r="P955" s="32"/>
    </row>
    <row r="956">
      <c r="B956" s="35"/>
      <c r="G956" s="30"/>
      <c r="H956" s="30"/>
      <c r="L956" s="30"/>
      <c r="M956" s="30"/>
      <c r="O956" s="32"/>
      <c r="P956" s="32"/>
    </row>
    <row r="957">
      <c r="B957" s="35"/>
      <c r="G957" s="30"/>
      <c r="H957" s="30"/>
      <c r="L957" s="30"/>
      <c r="M957" s="30"/>
      <c r="O957" s="32"/>
      <c r="P957" s="32"/>
    </row>
    <row r="958">
      <c r="B958" s="35"/>
      <c r="G958" s="30"/>
      <c r="H958" s="30"/>
      <c r="L958" s="30"/>
      <c r="M958" s="30"/>
      <c r="O958" s="32"/>
      <c r="P958" s="32"/>
    </row>
    <row r="959">
      <c r="B959" s="35"/>
      <c r="G959" s="30"/>
      <c r="H959" s="30"/>
      <c r="L959" s="30"/>
      <c r="M959" s="30"/>
      <c r="O959" s="32"/>
      <c r="P959" s="32"/>
    </row>
    <row r="960">
      <c r="B960" s="35"/>
      <c r="G960" s="30"/>
      <c r="H960" s="30"/>
      <c r="L960" s="30"/>
      <c r="M960" s="30"/>
      <c r="O960" s="32"/>
      <c r="P960" s="32"/>
    </row>
    <row r="961">
      <c r="B961" s="35"/>
      <c r="G961" s="30"/>
      <c r="H961" s="30"/>
      <c r="L961" s="30"/>
      <c r="M961" s="30"/>
      <c r="O961" s="32"/>
      <c r="P961" s="32"/>
    </row>
    <row r="962">
      <c r="B962" s="35"/>
      <c r="G962" s="30"/>
      <c r="H962" s="30"/>
      <c r="L962" s="30"/>
      <c r="M962" s="30"/>
      <c r="O962" s="32"/>
      <c r="P962" s="32"/>
    </row>
    <row r="963">
      <c r="B963" s="35"/>
      <c r="G963" s="30"/>
      <c r="H963" s="30"/>
      <c r="L963" s="30"/>
      <c r="M963" s="30"/>
      <c r="O963" s="32"/>
      <c r="P963" s="32"/>
    </row>
    <row r="964">
      <c r="B964" s="35"/>
      <c r="G964" s="30"/>
      <c r="H964" s="30"/>
      <c r="L964" s="30"/>
      <c r="M964" s="30"/>
      <c r="O964" s="32"/>
      <c r="P964" s="32"/>
    </row>
    <row r="965">
      <c r="B965" s="35"/>
      <c r="G965" s="30"/>
      <c r="H965" s="30"/>
      <c r="L965" s="30"/>
      <c r="M965" s="30"/>
      <c r="O965" s="32"/>
      <c r="P965" s="32"/>
    </row>
    <row r="966">
      <c r="B966" s="35"/>
      <c r="G966" s="30"/>
      <c r="H966" s="30"/>
      <c r="L966" s="30"/>
      <c r="M966" s="30"/>
      <c r="O966" s="32"/>
      <c r="P966" s="32"/>
    </row>
    <row r="967">
      <c r="B967" s="35"/>
      <c r="G967" s="30"/>
      <c r="H967" s="30"/>
      <c r="L967" s="30"/>
      <c r="M967" s="30"/>
      <c r="O967" s="32"/>
      <c r="P967" s="32"/>
    </row>
    <row r="968">
      <c r="B968" s="35"/>
      <c r="G968" s="30"/>
      <c r="H968" s="30"/>
      <c r="L968" s="30"/>
      <c r="M968" s="30"/>
      <c r="O968" s="32"/>
      <c r="P968" s="32"/>
    </row>
    <row r="969">
      <c r="B969" s="35"/>
      <c r="G969" s="30"/>
      <c r="H969" s="30"/>
      <c r="L969" s="30"/>
      <c r="M969" s="30"/>
      <c r="O969" s="32"/>
      <c r="P969" s="32"/>
    </row>
    <row r="970">
      <c r="B970" s="35"/>
      <c r="G970" s="30"/>
      <c r="H970" s="30"/>
      <c r="L970" s="30"/>
      <c r="M970" s="30"/>
      <c r="O970" s="32"/>
      <c r="P970" s="32"/>
    </row>
    <row r="971">
      <c r="B971" s="35"/>
      <c r="G971" s="30"/>
      <c r="H971" s="30"/>
      <c r="L971" s="30"/>
      <c r="M971" s="30"/>
      <c r="O971" s="32"/>
      <c r="P971" s="3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88"/>
    <col customWidth="1" min="2" max="19" width="9.5"/>
  </cols>
  <sheetData>
    <row r="1">
      <c r="A1" s="1"/>
      <c r="B1" s="2" t="s">
        <v>0</v>
      </c>
      <c r="C1" s="2" t="s">
        <v>2</v>
      </c>
      <c r="D1" s="5" t="s">
        <v>3</v>
      </c>
      <c r="E1" s="2" t="s">
        <v>4</v>
      </c>
      <c r="F1" s="2" t="s">
        <v>6</v>
      </c>
      <c r="G1" s="6" t="s">
        <v>8</v>
      </c>
      <c r="H1" s="6" t="s">
        <v>10</v>
      </c>
      <c r="I1" s="8" t="s">
        <v>12</v>
      </c>
      <c r="J1" s="8" t="s">
        <v>14</v>
      </c>
      <c r="K1" s="2" t="s">
        <v>16</v>
      </c>
      <c r="L1" s="6" t="s">
        <v>19</v>
      </c>
      <c r="M1" s="6" t="s">
        <v>22</v>
      </c>
      <c r="N1" s="2" t="s">
        <v>24</v>
      </c>
      <c r="O1" s="9" t="s">
        <v>26</v>
      </c>
      <c r="P1" s="9" t="s">
        <v>28</v>
      </c>
      <c r="Q1" s="2" t="s">
        <v>30</v>
      </c>
      <c r="R1" s="2" t="s">
        <v>32</v>
      </c>
      <c r="S1" s="9" t="s">
        <v>34</v>
      </c>
    </row>
    <row r="2">
      <c r="A2" s="2" t="s">
        <v>39</v>
      </c>
      <c r="B2" s="11">
        <v>3.0</v>
      </c>
      <c r="C2" s="13">
        <f t="shared" ref="C2:C33" si="1">B2*23</f>
        <v>69</v>
      </c>
      <c r="D2" s="14">
        <v>38.0</v>
      </c>
      <c r="E2" s="11">
        <v>26.0</v>
      </c>
      <c r="F2" s="15">
        <f t="shared" ref="F2:F33" si="2">D2+E2</f>
        <v>64</v>
      </c>
      <c r="G2" s="16">
        <f t="shared" ref="G2:G33" si="3">F2/C2</f>
        <v>0.9275362319</v>
      </c>
      <c r="H2" s="16">
        <f t="shared" ref="H2:H33" si="4">D2/F2</f>
        <v>0.59375</v>
      </c>
      <c r="I2" s="15">
        <f t="shared" ref="I2:I19" si="5">J2+K2</f>
        <v>7</v>
      </c>
      <c r="J2" s="17">
        <v>6.0</v>
      </c>
      <c r="K2" s="11">
        <v>1.0</v>
      </c>
      <c r="L2" s="16">
        <f t="shared" ref="L2:L33" si="6">I2/C2</f>
        <v>0.1014492754</v>
      </c>
      <c r="M2" s="16">
        <f t="shared" ref="M2:M31" si="7">J2/I2</f>
        <v>0.8571428571</v>
      </c>
      <c r="N2" s="19">
        <f t="shared" ref="N2:N33" si="8">4*(D2-K2)</f>
        <v>148</v>
      </c>
      <c r="O2" s="18">
        <f t="shared" ref="O2:O33" si="9">N2/C2</f>
        <v>2.144927536</v>
      </c>
      <c r="P2" s="18">
        <f t="shared" ref="P2:P33" si="10">N2/B2</f>
        <v>49.33333333</v>
      </c>
      <c r="Q2" s="11">
        <v>19.0</v>
      </c>
      <c r="R2" s="19">
        <f t="shared" ref="R2:R33" si="11">N2+10*Q2</f>
        <v>338</v>
      </c>
      <c r="S2" s="18">
        <f t="shared" ref="S2:S33" si="12">R2/B2</f>
        <v>112.6666667</v>
      </c>
    </row>
    <row r="3">
      <c r="A3" s="2" t="s">
        <v>44</v>
      </c>
      <c r="B3" s="11">
        <v>3.0</v>
      </c>
      <c r="C3" s="13">
        <f t="shared" si="1"/>
        <v>69</v>
      </c>
      <c r="D3" s="14">
        <v>32.0</v>
      </c>
      <c r="E3" s="11">
        <v>17.0</v>
      </c>
      <c r="F3" s="15">
        <f t="shared" si="2"/>
        <v>49</v>
      </c>
      <c r="G3" s="16">
        <f t="shared" si="3"/>
        <v>0.7101449275</v>
      </c>
      <c r="H3" s="16">
        <f t="shared" si="4"/>
        <v>0.6530612245</v>
      </c>
      <c r="I3" s="15">
        <f t="shared" si="5"/>
        <v>8</v>
      </c>
      <c r="J3" s="17">
        <v>5.0</v>
      </c>
      <c r="K3" s="11">
        <v>3.0</v>
      </c>
      <c r="L3" s="16">
        <f t="shared" si="6"/>
        <v>0.115942029</v>
      </c>
      <c r="M3" s="16">
        <f t="shared" si="7"/>
        <v>0.625</v>
      </c>
      <c r="N3" s="19">
        <f t="shared" si="8"/>
        <v>116</v>
      </c>
      <c r="O3" s="18">
        <f t="shared" si="9"/>
        <v>1.68115942</v>
      </c>
      <c r="P3" s="18">
        <f t="shared" si="10"/>
        <v>38.66666667</v>
      </c>
      <c r="Q3" s="11">
        <v>22.0</v>
      </c>
      <c r="R3" s="19">
        <f t="shared" si="11"/>
        <v>336</v>
      </c>
      <c r="S3" s="18">
        <f t="shared" si="12"/>
        <v>112</v>
      </c>
    </row>
    <row r="4">
      <c r="A4" s="2" t="s">
        <v>47</v>
      </c>
      <c r="B4" s="11">
        <v>3.0</v>
      </c>
      <c r="C4" s="13">
        <f t="shared" si="1"/>
        <v>69</v>
      </c>
      <c r="D4" s="14">
        <v>31.0</v>
      </c>
      <c r="E4" s="11">
        <v>19.0</v>
      </c>
      <c r="F4" s="15">
        <f t="shared" si="2"/>
        <v>50</v>
      </c>
      <c r="G4" s="16">
        <f t="shared" si="3"/>
        <v>0.7246376812</v>
      </c>
      <c r="H4" s="16">
        <f t="shared" si="4"/>
        <v>0.62</v>
      </c>
      <c r="I4" s="15">
        <f t="shared" si="5"/>
        <v>4</v>
      </c>
      <c r="J4" s="17">
        <v>3.0</v>
      </c>
      <c r="K4" s="11">
        <v>1.0</v>
      </c>
      <c r="L4" s="16">
        <f t="shared" si="6"/>
        <v>0.05797101449</v>
      </c>
      <c r="M4" s="16">
        <f t="shared" si="7"/>
        <v>0.75</v>
      </c>
      <c r="N4" s="19">
        <f t="shared" si="8"/>
        <v>120</v>
      </c>
      <c r="O4" s="18">
        <f t="shared" si="9"/>
        <v>1.739130435</v>
      </c>
      <c r="P4" s="18">
        <f t="shared" si="10"/>
        <v>40</v>
      </c>
      <c r="Q4" s="11">
        <v>15.0</v>
      </c>
      <c r="R4" s="19">
        <f t="shared" si="11"/>
        <v>270</v>
      </c>
      <c r="S4" s="18">
        <f t="shared" si="12"/>
        <v>90</v>
      </c>
    </row>
    <row r="5">
      <c r="A5" s="2" t="s">
        <v>51</v>
      </c>
      <c r="B5" s="11">
        <v>3.0</v>
      </c>
      <c r="C5" s="13">
        <f t="shared" si="1"/>
        <v>69</v>
      </c>
      <c r="D5" s="14">
        <v>29.0</v>
      </c>
      <c r="E5" s="11">
        <v>26.0</v>
      </c>
      <c r="F5" s="15">
        <f t="shared" si="2"/>
        <v>55</v>
      </c>
      <c r="G5" s="16">
        <f t="shared" si="3"/>
        <v>0.7971014493</v>
      </c>
      <c r="H5" s="16">
        <f t="shared" si="4"/>
        <v>0.5272727273</v>
      </c>
      <c r="I5" s="15">
        <f t="shared" si="5"/>
        <v>9</v>
      </c>
      <c r="J5" s="17">
        <v>6.0</v>
      </c>
      <c r="K5" s="11">
        <v>3.0</v>
      </c>
      <c r="L5" s="16">
        <f t="shared" si="6"/>
        <v>0.1304347826</v>
      </c>
      <c r="M5" s="16">
        <f t="shared" si="7"/>
        <v>0.6666666667</v>
      </c>
      <c r="N5" s="19">
        <f t="shared" si="8"/>
        <v>104</v>
      </c>
      <c r="O5" s="18">
        <f t="shared" si="9"/>
        <v>1.507246377</v>
      </c>
      <c r="P5" s="18">
        <f t="shared" si="10"/>
        <v>34.66666667</v>
      </c>
      <c r="Q5" s="11">
        <v>16.0</v>
      </c>
      <c r="R5" s="19">
        <f t="shared" si="11"/>
        <v>264</v>
      </c>
      <c r="S5" s="18">
        <f t="shared" si="12"/>
        <v>88</v>
      </c>
    </row>
    <row r="6">
      <c r="A6" s="2" t="s">
        <v>53</v>
      </c>
      <c r="B6" s="11">
        <v>3.0</v>
      </c>
      <c r="C6" s="13">
        <f t="shared" si="1"/>
        <v>69</v>
      </c>
      <c r="D6" s="14">
        <v>33.0</v>
      </c>
      <c r="E6" s="11">
        <v>22.0</v>
      </c>
      <c r="F6" s="15">
        <f t="shared" si="2"/>
        <v>55</v>
      </c>
      <c r="G6" s="16">
        <f t="shared" si="3"/>
        <v>0.7971014493</v>
      </c>
      <c r="H6" s="16">
        <f t="shared" si="4"/>
        <v>0.6</v>
      </c>
      <c r="I6" s="15">
        <f t="shared" si="5"/>
        <v>6</v>
      </c>
      <c r="J6" s="17">
        <v>5.0</v>
      </c>
      <c r="K6" s="11">
        <v>1.0</v>
      </c>
      <c r="L6" s="16">
        <f t="shared" si="6"/>
        <v>0.08695652174</v>
      </c>
      <c r="M6" s="16">
        <f t="shared" si="7"/>
        <v>0.8333333333</v>
      </c>
      <c r="N6" s="19">
        <f t="shared" si="8"/>
        <v>128</v>
      </c>
      <c r="O6" s="18">
        <f t="shared" si="9"/>
        <v>1.855072464</v>
      </c>
      <c r="P6" s="18">
        <f t="shared" si="10"/>
        <v>42.66666667</v>
      </c>
      <c r="Q6" s="11">
        <v>13.0</v>
      </c>
      <c r="R6" s="19">
        <f t="shared" si="11"/>
        <v>258</v>
      </c>
      <c r="S6" s="18">
        <f t="shared" si="12"/>
        <v>86</v>
      </c>
    </row>
    <row r="7">
      <c r="A7" s="2" t="s">
        <v>56</v>
      </c>
      <c r="B7" s="11">
        <v>3.0</v>
      </c>
      <c r="C7" s="13">
        <f t="shared" si="1"/>
        <v>69</v>
      </c>
      <c r="D7" s="14">
        <v>30.0</v>
      </c>
      <c r="E7" s="20">
        <v>18.0</v>
      </c>
      <c r="F7" s="25">
        <f t="shared" si="2"/>
        <v>48</v>
      </c>
      <c r="G7" s="23">
        <f t="shared" si="3"/>
        <v>0.6956521739</v>
      </c>
      <c r="H7" s="23">
        <f t="shared" si="4"/>
        <v>0.625</v>
      </c>
      <c r="I7" s="15">
        <f t="shared" si="5"/>
        <v>15</v>
      </c>
      <c r="J7" s="17">
        <v>13.0</v>
      </c>
      <c r="K7" s="11">
        <v>2.0</v>
      </c>
      <c r="L7" s="16">
        <f t="shared" si="6"/>
        <v>0.2173913043</v>
      </c>
      <c r="M7" s="16">
        <f t="shared" si="7"/>
        <v>0.8666666667</v>
      </c>
      <c r="N7" s="19">
        <f t="shared" si="8"/>
        <v>112</v>
      </c>
      <c r="O7" s="18">
        <f t="shared" si="9"/>
        <v>1.623188406</v>
      </c>
      <c r="P7" s="18">
        <f t="shared" si="10"/>
        <v>37.33333333</v>
      </c>
      <c r="Q7" s="11">
        <v>13.0</v>
      </c>
      <c r="R7" s="19">
        <f t="shared" si="11"/>
        <v>242</v>
      </c>
      <c r="S7" s="18">
        <f t="shared" si="12"/>
        <v>80.66666667</v>
      </c>
    </row>
    <row r="8">
      <c r="A8" s="2" t="s">
        <v>59</v>
      </c>
      <c r="B8" s="11">
        <v>3.0</v>
      </c>
      <c r="C8" s="13">
        <f t="shared" si="1"/>
        <v>69</v>
      </c>
      <c r="D8" s="14">
        <v>34.0</v>
      </c>
      <c r="E8" s="11">
        <v>12.0</v>
      </c>
      <c r="F8" s="15">
        <f t="shared" si="2"/>
        <v>46</v>
      </c>
      <c r="G8" s="16">
        <f t="shared" si="3"/>
        <v>0.6666666667</v>
      </c>
      <c r="H8" s="16">
        <f t="shared" si="4"/>
        <v>0.7391304348</v>
      </c>
      <c r="I8" s="15">
        <f t="shared" si="5"/>
        <v>4</v>
      </c>
      <c r="J8" s="17">
        <v>3.0</v>
      </c>
      <c r="K8" s="11">
        <v>1.0</v>
      </c>
      <c r="L8" s="16">
        <f t="shared" si="6"/>
        <v>0.05797101449</v>
      </c>
      <c r="M8" s="16">
        <f t="shared" si="7"/>
        <v>0.75</v>
      </c>
      <c r="N8" s="19">
        <f t="shared" si="8"/>
        <v>132</v>
      </c>
      <c r="O8" s="18">
        <f t="shared" si="9"/>
        <v>1.913043478</v>
      </c>
      <c r="P8" s="18">
        <f t="shared" si="10"/>
        <v>44</v>
      </c>
      <c r="Q8" s="11">
        <v>10.0</v>
      </c>
      <c r="R8" s="19">
        <f t="shared" si="11"/>
        <v>232</v>
      </c>
      <c r="S8" s="18">
        <f t="shared" si="12"/>
        <v>77.33333333</v>
      </c>
    </row>
    <row r="9">
      <c r="A9" s="2" t="s">
        <v>62</v>
      </c>
      <c r="B9" s="11">
        <v>3.0</v>
      </c>
      <c r="C9" s="13">
        <f t="shared" si="1"/>
        <v>69</v>
      </c>
      <c r="D9" s="14">
        <v>30.0</v>
      </c>
      <c r="E9" s="20">
        <v>18.0</v>
      </c>
      <c r="F9" s="25">
        <f t="shared" si="2"/>
        <v>48</v>
      </c>
      <c r="G9" s="23">
        <f t="shared" si="3"/>
        <v>0.6956521739</v>
      </c>
      <c r="H9" s="23">
        <f t="shared" si="4"/>
        <v>0.625</v>
      </c>
      <c r="I9" s="15">
        <f t="shared" si="5"/>
        <v>8</v>
      </c>
      <c r="J9" s="17">
        <v>6.0</v>
      </c>
      <c r="K9" s="11">
        <v>2.0</v>
      </c>
      <c r="L9" s="16">
        <f t="shared" si="6"/>
        <v>0.115942029</v>
      </c>
      <c r="M9" s="16">
        <f t="shared" si="7"/>
        <v>0.75</v>
      </c>
      <c r="N9" s="19">
        <f t="shared" si="8"/>
        <v>112</v>
      </c>
      <c r="O9" s="18">
        <f t="shared" si="9"/>
        <v>1.623188406</v>
      </c>
      <c r="P9" s="18">
        <f t="shared" si="10"/>
        <v>37.33333333</v>
      </c>
      <c r="Q9" s="11">
        <v>12.0</v>
      </c>
      <c r="R9" s="19">
        <f t="shared" si="11"/>
        <v>232</v>
      </c>
      <c r="S9" s="18">
        <f t="shared" si="12"/>
        <v>77.33333333</v>
      </c>
    </row>
    <row r="10">
      <c r="A10" s="2" t="s">
        <v>63</v>
      </c>
      <c r="B10" s="11">
        <v>3.0</v>
      </c>
      <c r="C10" s="13">
        <f t="shared" si="1"/>
        <v>69</v>
      </c>
      <c r="D10" s="14">
        <v>29.0</v>
      </c>
      <c r="E10" s="11">
        <v>34.0</v>
      </c>
      <c r="F10" s="15">
        <f t="shared" si="2"/>
        <v>63</v>
      </c>
      <c r="G10" s="16">
        <f t="shared" si="3"/>
        <v>0.9130434783</v>
      </c>
      <c r="H10" s="16">
        <f t="shared" si="4"/>
        <v>0.4603174603</v>
      </c>
      <c r="I10" s="15">
        <f t="shared" si="5"/>
        <v>9</v>
      </c>
      <c r="J10" s="17">
        <v>4.0</v>
      </c>
      <c r="K10" s="11">
        <v>5.0</v>
      </c>
      <c r="L10" s="16">
        <f t="shared" si="6"/>
        <v>0.1304347826</v>
      </c>
      <c r="M10" s="16">
        <f t="shared" si="7"/>
        <v>0.4444444444</v>
      </c>
      <c r="N10" s="19">
        <f t="shared" si="8"/>
        <v>96</v>
      </c>
      <c r="O10" s="18">
        <f t="shared" si="9"/>
        <v>1.391304348</v>
      </c>
      <c r="P10" s="18">
        <f t="shared" si="10"/>
        <v>32</v>
      </c>
      <c r="Q10" s="11">
        <v>10.0</v>
      </c>
      <c r="R10" s="19">
        <f t="shared" si="11"/>
        <v>196</v>
      </c>
      <c r="S10" s="18">
        <f t="shared" si="12"/>
        <v>65.33333333</v>
      </c>
    </row>
    <row r="11">
      <c r="A11" s="2" t="s">
        <v>64</v>
      </c>
      <c r="B11" s="11">
        <v>3.0</v>
      </c>
      <c r="C11" s="13">
        <f t="shared" si="1"/>
        <v>69</v>
      </c>
      <c r="D11" s="14">
        <v>21.0</v>
      </c>
      <c r="E11" s="20">
        <v>8.0</v>
      </c>
      <c r="F11" s="25">
        <f t="shared" si="2"/>
        <v>29</v>
      </c>
      <c r="G11" s="23">
        <f t="shared" si="3"/>
        <v>0.4202898551</v>
      </c>
      <c r="H11" s="23">
        <f t="shared" si="4"/>
        <v>0.724137931</v>
      </c>
      <c r="I11" s="15">
        <f t="shared" si="5"/>
        <v>3</v>
      </c>
      <c r="J11" s="17">
        <v>2.0</v>
      </c>
      <c r="K11" s="11">
        <v>1.0</v>
      </c>
      <c r="L11" s="16">
        <f t="shared" si="6"/>
        <v>0.04347826087</v>
      </c>
      <c r="M11" s="16">
        <f t="shared" si="7"/>
        <v>0.6666666667</v>
      </c>
      <c r="N11" s="19">
        <f t="shared" si="8"/>
        <v>80</v>
      </c>
      <c r="O11" s="18">
        <f t="shared" si="9"/>
        <v>1.15942029</v>
      </c>
      <c r="P11" s="18">
        <f t="shared" si="10"/>
        <v>26.66666667</v>
      </c>
      <c r="Q11" s="11">
        <v>9.0</v>
      </c>
      <c r="R11" s="19">
        <f t="shared" si="11"/>
        <v>170</v>
      </c>
      <c r="S11" s="18">
        <f t="shared" si="12"/>
        <v>56.66666667</v>
      </c>
    </row>
    <row r="12">
      <c r="A12" s="2" t="s">
        <v>68</v>
      </c>
      <c r="B12" s="11">
        <v>3.0</v>
      </c>
      <c r="C12" s="13">
        <f t="shared" si="1"/>
        <v>69</v>
      </c>
      <c r="D12" s="14">
        <v>30.0</v>
      </c>
      <c r="E12" s="20">
        <v>15.0</v>
      </c>
      <c r="F12" s="25">
        <f t="shared" si="2"/>
        <v>45</v>
      </c>
      <c r="G12" s="23">
        <f t="shared" si="3"/>
        <v>0.652173913</v>
      </c>
      <c r="H12" s="23">
        <f t="shared" si="4"/>
        <v>0.6666666667</v>
      </c>
      <c r="I12" s="15">
        <f t="shared" si="5"/>
        <v>8</v>
      </c>
      <c r="J12" s="17">
        <v>6.0</v>
      </c>
      <c r="K12" s="11">
        <v>2.0</v>
      </c>
      <c r="L12" s="16">
        <f t="shared" si="6"/>
        <v>0.115942029</v>
      </c>
      <c r="M12" s="16">
        <f t="shared" si="7"/>
        <v>0.75</v>
      </c>
      <c r="N12" s="19">
        <f t="shared" si="8"/>
        <v>112</v>
      </c>
      <c r="O12" s="18">
        <f t="shared" si="9"/>
        <v>1.623188406</v>
      </c>
      <c r="P12" s="18">
        <f t="shared" si="10"/>
        <v>37.33333333</v>
      </c>
      <c r="Q12" s="11">
        <v>5.0</v>
      </c>
      <c r="R12" s="19">
        <f t="shared" si="11"/>
        <v>162</v>
      </c>
      <c r="S12" s="18">
        <f t="shared" si="12"/>
        <v>54</v>
      </c>
    </row>
    <row r="13">
      <c r="A13" s="2" t="s">
        <v>70</v>
      </c>
      <c r="B13" s="11">
        <v>3.0</v>
      </c>
      <c r="C13" s="13">
        <f t="shared" si="1"/>
        <v>69</v>
      </c>
      <c r="D13" s="14">
        <v>27.0</v>
      </c>
      <c r="E13" s="11">
        <v>39.0</v>
      </c>
      <c r="F13" s="15">
        <f t="shared" si="2"/>
        <v>66</v>
      </c>
      <c r="G13" s="16">
        <f t="shared" si="3"/>
        <v>0.9565217391</v>
      </c>
      <c r="H13" s="16">
        <f t="shared" si="4"/>
        <v>0.4090909091</v>
      </c>
      <c r="I13" s="15">
        <f t="shared" si="5"/>
        <v>11</v>
      </c>
      <c r="J13" s="17">
        <v>2.0</v>
      </c>
      <c r="K13" s="11">
        <v>9.0</v>
      </c>
      <c r="L13" s="16">
        <f t="shared" si="6"/>
        <v>0.1594202899</v>
      </c>
      <c r="M13" s="16">
        <f t="shared" si="7"/>
        <v>0.1818181818</v>
      </c>
      <c r="N13" s="19">
        <f t="shared" si="8"/>
        <v>72</v>
      </c>
      <c r="O13" s="18">
        <f t="shared" si="9"/>
        <v>1.043478261</v>
      </c>
      <c r="P13" s="18">
        <f t="shared" si="10"/>
        <v>24</v>
      </c>
      <c r="Q13" s="11">
        <v>9.0</v>
      </c>
      <c r="R13" s="19">
        <f t="shared" si="11"/>
        <v>162</v>
      </c>
      <c r="S13" s="18">
        <f t="shared" si="12"/>
        <v>54</v>
      </c>
    </row>
    <row r="14">
      <c r="A14" s="2" t="s">
        <v>72</v>
      </c>
      <c r="B14" s="11">
        <v>3.0</v>
      </c>
      <c r="C14" s="13">
        <f t="shared" si="1"/>
        <v>69</v>
      </c>
      <c r="D14" s="14">
        <v>24.0</v>
      </c>
      <c r="E14" s="11">
        <v>29.0</v>
      </c>
      <c r="F14" s="15">
        <f t="shared" si="2"/>
        <v>53</v>
      </c>
      <c r="G14" s="16">
        <f t="shared" si="3"/>
        <v>0.768115942</v>
      </c>
      <c r="H14" s="16">
        <f t="shared" si="4"/>
        <v>0.4528301887</v>
      </c>
      <c r="I14" s="15">
        <f t="shared" si="5"/>
        <v>2</v>
      </c>
      <c r="J14" s="17">
        <v>2.0</v>
      </c>
      <c r="K14" s="11">
        <v>0.0</v>
      </c>
      <c r="L14" s="16">
        <f t="shared" si="6"/>
        <v>0.02898550725</v>
      </c>
      <c r="M14" s="16">
        <f t="shared" si="7"/>
        <v>1</v>
      </c>
      <c r="N14" s="19">
        <f t="shared" si="8"/>
        <v>96</v>
      </c>
      <c r="O14" s="18">
        <f t="shared" si="9"/>
        <v>1.391304348</v>
      </c>
      <c r="P14" s="18">
        <f t="shared" si="10"/>
        <v>32</v>
      </c>
      <c r="Q14" s="11">
        <v>4.0</v>
      </c>
      <c r="R14" s="19">
        <f t="shared" si="11"/>
        <v>136</v>
      </c>
      <c r="S14" s="18">
        <f t="shared" si="12"/>
        <v>45.33333333</v>
      </c>
    </row>
    <row r="15">
      <c r="A15" s="2" t="s">
        <v>77</v>
      </c>
      <c r="B15" s="11">
        <v>3.0</v>
      </c>
      <c r="C15" s="13">
        <f t="shared" si="1"/>
        <v>69</v>
      </c>
      <c r="D15" s="14">
        <v>22.0</v>
      </c>
      <c r="E15" s="11">
        <v>22.0</v>
      </c>
      <c r="F15" s="15">
        <f t="shared" si="2"/>
        <v>44</v>
      </c>
      <c r="G15" s="16">
        <f t="shared" si="3"/>
        <v>0.6376811594</v>
      </c>
      <c r="H15" s="16">
        <f t="shared" si="4"/>
        <v>0.5</v>
      </c>
      <c r="I15" s="15">
        <f t="shared" si="5"/>
        <v>5</v>
      </c>
      <c r="J15" s="17">
        <v>4.0</v>
      </c>
      <c r="K15" s="11">
        <v>1.0</v>
      </c>
      <c r="L15" s="16">
        <f t="shared" si="6"/>
        <v>0.07246376812</v>
      </c>
      <c r="M15" s="16">
        <f t="shared" si="7"/>
        <v>0.8</v>
      </c>
      <c r="N15" s="19">
        <f t="shared" si="8"/>
        <v>84</v>
      </c>
      <c r="O15" s="18">
        <f t="shared" si="9"/>
        <v>1.217391304</v>
      </c>
      <c r="P15" s="18">
        <f t="shared" si="10"/>
        <v>28</v>
      </c>
      <c r="Q15" s="11">
        <v>5.0</v>
      </c>
      <c r="R15" s="19">
        <f t="shared" si="11"/>
        <v>134</v>
      </c>
      <c r="S15" s="18">
        <f t="shared" si="12"/>
        <v>44.66666667</v>
      </c>
    </row>
    <row r="16">
      <c r="A16" s="2" t="s">
        <v>79</v>
      </c>
      <c r="B16" s="11">
        <v>3.0</v>
      </c>
      <c r="C16" s="13">
        <f t="shared" si="1"/>
        <v>69</v>
      </c>
      <c r="D16" s="14">
        <v>23.0</v>
      </c>
      <c r="E16" s="11">
        <v>28.0</v>
      </c>
      <c r="F16" s="15">
        <f t="shared" si="2"/>
        <v>51</v>
      </c>
      <c r="G16" s="16">
        <f t="shared" si="3"/>
        <v>0.7391304348</v>
      </c>
      <c r="H16" s="16">
        <f t="shared" si="4"/>
        <v>0.4509803922</v>
      </c>
      <c r="I16" s="15">
        <f t="shared" si="5"/>
        <v>5</v>
      </c>
      <c r="J16" s="17">
        <v>1.0</v>
      </c>
      <c r="K16" s="11">
        <v>4.0</v>
      </c>
      <c r="L16" s="16">
        <f t="shared" si="6"/>
        <v>0.07246376812</v>
      </c>
      <c r="M16" s="16">
        <f t="shared" si="7"/>
        <v>0.2</v>
      </c>
      <c r="N16" s="19">
        <f t="shared" si="8"/>
        <v>76</v>
      </c>
      <c r="O16" s="18">
        <f t="shared" si="9"/>
        <v>1.101449275</v>
      </c>
      <c r="P16" s="18">
        <f t="shared" si="10"/>
        <v>25.33333333</v>
      </c>
      <c r="Q16" s="11">
        <v>5.0</v>
      </c>
      <c r="R16" s="19">
        <f t="shared" si="11"/>
        <v>126</v>
      </c>
      <c r="S16" s="18">
        <f t="shared" si="12"/>
        <v>42</v>
      </c>
    </row>
    <row r="17">
      <c r="A17" s="2" t="s">
        <v>81</v>
      </c>
      <c r="B17" s="11">
        <v>3.0</v>
      </c>
      <c r="C17" s="13">
        <f t="shared" si="1"/>
        <v>69</v>
      </c>
      <c r="D17" s="14">
        <v>18.0</v>
      </c>
      <c r="E17" s="11">
        <v>46.0</v>
      </c>
      <c r="F17" s="15">
        <f t="shared" si="2"/>
        <v>64</v>
      </c>
      <c r="G17" s="16">
        <f t="shared" si="3"/>
        <v>0.9275362319</v>
      </c>
      <c r="H17" s="16">
        <f t="shared" si="4"/>
        <v>0.28125</v>
      </c>
      <c r="I17" s="15">
        <f t="shared" si="5"/>
        <v>3</v>
      </c>
      <c r="J17" s="17">
        <v>3.0</v>
      </c>
      <c r="K17" s="11">
        <v>0.0</v>
      </c>
      <c r="L17" s="16">
        <f t="shared" si="6"/>
        <v>0.04347826087</v>
      </c>
      <c r="M17" s="16">
        <f t="shared" si="7"/>
        <v>1</v>
      </c>
      <c r="N17" s="19">
        <f t="shared" si="8"/>
        <v>72</v>
      </c>
      <c r="O17" s="18">
        <f t="shared" si="9"/>
        <v>1.043478261</v>
      </c>
      <c r="P17" s="18">
        <f t="shared" si="10"/>
        <v>24</v>
      </c>
      <c r="Q17" s="11">
        <v>5.0</v>
      </c>
      <c r="R17" s="19">
        <f t="shared" si="11"/>
        <v>122</v>
      </c>
      <c r="S17" s="18">
        <f t="shared" si="12"/>
        <v>40.66666667</v>
      </c>
    </row>
    <row r="18">
      <c r="A18" s="2" t="s">
        <v>83</v>
      </c>
      <c r="B18" s="11">
        <v>3.0</v>
      </c>
      <c r="C18" s="13">
        <f t="shared" si="1"/>
        <v>69</v>
      </c>
      <c r="D18" s="14">
        <v>21.0</v>
      </c>
      <c r="E18" s="11">
        <v>28.0</v>
      </c>
      <c r="F18" s="15">
        <f t="shared" si="2"/>
        <v>49</v>
      </c>
      <c r="G18" s="16">
        <f t="shared" si="3"/>
        <v>0.7101449275</v>
      </c>
      <c r="H18" s="16">
        <f t="shared" si="4"/>
        <v>0.4285714286</v>
      </c>
      <c r="I18" s="15">
        <f t="shared" si="5"/>
        <v>5</v>
      </c>
      <c r="J18" s="17">
        <v>3.0</v>
      </c>
      <c r="K18" s="11">
        <v>2.0</v>
      </c>
      <c r="L18" s="16">
        <f t="shared" si="6"/>
        <v>0.07246376812</v>
      </c>
      <c r="M18" s="16">
        <f t="shared" si="7"/>
        <v>0.6</v>
      </c>
      <c r="N18" s="19">
        <f t="shared" si="8"/>
        <v>76</v>
      </c>
      <c r="O18" s="18">
        <f t="shared" si="9"/>
        <v>1.101449275</v>
      </c>
      <c r="P18" s="18">
        <f t="shared" si="10"/>
        <v>25.33333333</v>
      </c>
      <c r="Q18" s="11">
        <v>4.0</v>
      </c>
      <c r="R18" s="19">
        <f t="shared" si="11"/>
        <v>116</v>
      </c>
      <c r="S18" s="18">
        <f t="shared" si="12"/>
        <v>38.66666667</v>
      </c>
    </row>
    <row r="19">
      <c r="A19" s="2" t="s">
        <v>85</v>
      </c>
      <c r="B19" s="11">
        <v>3.0</v>
      </c>
      <c r="C19" s="13">
        <f t="shared" si="1"/>
        <v>69</v>
      </c>
      <c r="D19" s="14">
        <v>20.0</v>
      </c>
      <c r="E19" s="20">
        <v>19.0</v>
      </c>
      <c r="F19" s="25">
        <f t="shared" si="2"/>
        <v>39</v>
      </c>
      <c r="G19" s="23">
        <f t="shared" si="3"/>
        <v>0.5652173913</v>
      </c>
      <c r="H19" s="23">
        <f t="shared" si="4"/>
        <v>0.5128205128</v>
      </c>
      <c r="I19" s="15">
        <f t="shared" si="5"/>
        <v>3</v>
      </c>
      <c r="J19" s="17">
        <v>2.0</v>
      </c>
      <c r="K19" s="11">
        <v>1.0</v>
      </c>
      <c r="L19" s="16">
        <f t="shared" si="6"/>
        <v>0.04347826087</v>
      </c>
      <c r="M19" s="16">
        <f t="shared" si="7"/>
        <v>0.6666666667</v>
      </c>
      <c r="N19" s="19">
        <f t="shared" si="8"/>
        <v>76</v>
      </c>
      <c r="O19" s="18">
        <f t="shared" si="9"/>
        <v>1.101449275</v>
      </c>
      <c r="P19" s="18">
        <f t="shared" si="10"/>
        <v>25.33333333</v>
      </c>
      <c r="Q19" s="11">
        <v>3.0</v>
      </c>
      <c r="R19" s="19">
        <f t="shared" si="11"/>
        <v>106</v>
      </c>
      <c r="S19" s="18">
        <f t="shared" si="12"/>
        <v>35.33333333</v>
      </c>
      <c r="U19" s="4"/>
    </row>
    <row r="20">
      <c r="A20" s="2" t="s">
        <v>88</v>
      </c>
      <c r="B20" s="11">
        <v>3.0</v>
      </c>
      <c r="C20" s="13">
        <f t="shared" si="1"/>
        <v>69</v>
      </c>
      <c r="D20" s="14">
        <v>18.0</v>
      </c>
      <c r="E20" s="20">
        <v>22.0</v>
      </c>
      <c r="F20" s="25">
        <f t="shared" si="2"/>
        <v>40</v>
      </c>
      <c r="G20" s="23">
        <f t="shared" si="3"/>
        <v>0.5797101449</v>
      </c>
      <c r="H20" s="23">
        <f t="shared" si="4"/>
        <v>0.45</v>
      </c>
      <c r="I20" s="17">
        <v>3.0</v>
      </c>
      <c r="J20" s="17">
        <v>2.0</v>
      </c>
      <c r="K20" s="11">
        <v>1.0</v>
      </c>
      <c r="L20" s="16">
        <f t="shared" si="6"/>
        <v>0.04347826087</v>
      </c>
      <c r="M20" s="16">
        <f t="shared" si="7"/>
        <v>0.6666666667</v>
      </c>
      <c r="N20" s="19">
        <f t="shared" si="8"/>
        <v>68</v>
      </c>
      <c r="O20" s="18">
        <f t="shared" si="9"/>
        <v>0.9855072464</v>
      </c>
      <c r="P20" s="18">
        <f t="shared" si="10"/>
        <v>22.66666667</v>
      </c>
      <c r="Q20" s="11">
        <v>3.0</v>
      </c>
      <c r="R20" s="19">
        <f t="shared" si="11"/>
        <v>98</v>
      </c>
      <c r="S20" s="18">
        <f t="shared" si="12"/>
        <v>32.66666667</v>
      </c>
    </row>
    <row r="21">
      <c r="A21" s="2" t="s">
        <v>90</v>
      </c>
      <c r="B21" s="11">
        <v>3.0</v>
      </c>
      <c r="C21" s="13">
        <f t="shared" si="1"/>
        <v>69</v>
      </c>
      <c r="D21" s="14">
        <v>18.0</v>
      </c>
      <c r="E21" s="11">
        <v>25.0</v>
      </c>
      <c r="F21" s="15">
        <f t="shared" si="2"/>
        <v>43</v>
      </c>
      <c r="G21" s="16">
        <f t="shared" si="3"/>
        <v>0.6231884058</v>
      </c>
      <c r="H21" s="16">
        <f t="shared" si="4"/>
        <v>0.4186046512</v>
      </c>
      <c r="I21" s="15">
        <f t="shared" ref="I21:I33" si="13">J21+K21</f>
        <v>2</v>
      </c>
      <c r="J21" s="17">
        <v>1.0</v>
      </c>
      <c r="K21" s="11">
        <v>1.0</v>
      </c>
      <c r="L21" s="16">
        <f t="shared" si="6"/>
        <v>0.02898550725</v>
      </c>
      <c r="M21" s="16">
        <f t="shared" si="7"/>
        <v>0.5</v>
      </c>
      <c r="N21" s="19">
        <f t="shared" si="8"/>
        <v>68</v>
      </c>
      <c r="O21" s="18">
        <f t="shared" si="9"/>
        <v>0.9855072464</v>
      </c>
      <c r="P21" s="18">
        <f t="shared" si="10"/>
        <v>22.66666667</v>
      </c>
      <c r="Q21" s="11">
        <v>3.0</v>
      </c>
      <c r="R21" s="19">
        <f t="shared" si="11"/>
        <v>98</v>
      </c>
      <c r="S21" s="18">
        <f t="shared" si="12"/>
        <v>32.66666667</v>
      </c>
    </row>
    <row r="22">
      <c r="A22" s="2" t="s">
        <v>93</v>
      </c>
      <c r="B22" s="11">
        <v>3.0</v>
      </c>
      <c r="C22" s="13">
        <f t="shared" si="1"/>
        <v>69</v>
      </c>
      <c r="D22" s="14">
        <v>16.0</v>
      </c>
      <c r="E22" s="11">
        <v>41.0</v>
      </c>
      <c r="F22" s="15">
        <f t="shared" si="2"/>
        <v>57</v>
      </c>
      <c r="G22" s="16">
        <f t="shared" si="3"/>
        <v>0.8260869565</v>
      </c>
      <c r="H22" s="16">
        <f t="shared" si="4"/>
        <v>0.2807017544</v>
      </c>
      <c r="I22" s="15">
        <f t="shared" si="13"/>
        <v>3</v>
      </c>
      <c r="J22" s="17">
        <v>2.0</v>
      </c>
      <c r="K22" s="11">
        <v>1.0</v>
      </c>
      <c r="L22" s="16">
        <f t="shared" si="6"/>
        <v>0.04347826087</v>
      </c>
      <c r="M22" s="16">
        <f t="shared" si="7"/>
        <v>0.6666666667</v>
      </c>
      <c r="N22" s="19">
        <f t="shared" si="8"/>
        <v>60</v>
      </c>
      <c r="O22" s="18">
        <f t="shared" si="9"/>
        <v>0.8695652174</v>
      </c>
      <c r="P22" s="18">
        <f t="shared" si="10"/>
        <v>20</v>
      </c>
      <c r="Q22" s="11">
        <v>3.0</v>
      </c>
      <c r="R22" s="19">
        <f t="shared" si="11"/>
        <v>90</v>
      </c>
      <c r="S22" s="18">
        <f t="shared" si="12"/>
        <v>30</v>
      </c>
    </row>
    <row r="23">
      <c r="A23" s="2" t="s">
        <v>96</v>
      </c>
      <c r="B23" s="11">
        <v>3.0</v>
      </c>
      <c r="C23" s="13">
        <f t="shared" si="1"/>
        <v>69</v>
      </c>
      <c r="D23" s="14">
        <v>18.0</v>
      </c>
      <c r="E23" s="11">
        <v>22.0</v>
      </c>
      <c r="F23" s="15">
        <f t="shared" si="2"/>
        <v>40</v>
      </c>
      <c r="G23" s="16">
        <f t="shared" si="3"/>
        <v>0.5797101449</v>
      </c>
      <c r="H23" s="16">
        <f t="shared" si="4"/>
        <v>0.45</v>
      </c>
      <c r="I23" s="15">
        <f t="shared" si="13"/>
        <v>7</v>
      </c>
      <c r="J23" s="17">
        <v>2.0</v>
      </c>
      <c r="K23" s="11">
        <v>5.0</v>
      </c>
      <c r="L23" s="16">
        <f t="shared" si="6"/>
        <v>0.1014492754</v>
      </c>
      <c r="M23" s="16">
        <f t="shared" si="7"/>
        <v>0.2857142857</v>
      </c>
      <c r="N23" s="19">
        <f t="shared" si="8"/>
        <v>52</v>
      </c>
      <c r="O23" s="18">
        <f t="shared" si="9"/>
        <v>0.7536231884</v>
      </c>
      <c r="P23" s="18">
        <f t="shared" si="10"/>
        <v>17.33333333</v>
      </c>
      <c r="Q23" s="11">
        <v>2.0</v>
      </c>
      <c r="R23" s="19">
        <f t="shared" si="11"/>
        <v>72</v>
      </c>
      <c r="S23" s="18">
        <f t="shared" si="12"/>
        <v>24</v>
      </c>
    </row>
    <row r="24">
      <c r="A24" s="2" t="s">
        <v>98</v>
      </c>
      <c r="B24" s="11">
        <v>3.0</v>
      </c>
      <c r="C24" s="13">
        <f t="shared" si="1"/>
        <v>69</v>
      </c>
      <c r="D24" s="14">
        <v>16.0</v>
      </c>
      <c r="E24" s="20">
        <v>26.0</v>
      </c>
      <c r="F24" s="25">
        <f t="shared" si="2"/>
        <v>42</v>
      </c>
      <c r="G24" s="23">
        <f t="shared" si="3"/>
        <v>0.6086956522</v>
      </c>
      <c r="H24" s="23">
        <f t="shared" si="4"/>
        <v>0.380952381</v>
      </c>
      <c r="I24" s="15">
        <f t="shared" si="13"/>
        <v>7</v>
      </c>
      <c r="J24" s="17">
        <v>4.0</v>
      </c>
      <c r="K24" s="11">
        <v>3.0</v>
      </c>
      <c r="L24" s="16">
        <f t="shared" si="6"/>
        <v>0.1014492754</v>
      </c>
      <c r="M24" s="16">
        <f t="shared" si="7"/>
        <v>0.5714285714</v>
      </c>
      <c r="N24" s="19">
        <f t="shared" si="8"/>
        <v>52</v>
      </c>
      <c r="O24" s="18">
        <f t="shared" si="9"/>
        <v>0.7536231884</v>
      </c>
      <c r="P24" s="18">
        <f t="shared" si="10"/>
        <v>17.33333333</v>
      </c>
      <c r="Q24" s="11">
        <v>2.0</v>
      </c>
      <c r="R24" s="19">
        <f t="shared" si="11"/>
        <v>72</v>
      </c>
      <c r="S24" s="18">
        <f t="shared" si="12"/>
        <v>24</v>
      </c>
    </row>
    <row r="25">
      <c r="A25" s="2" t="s">
        <v>101</v>
      </c>
      <c r="B25" s="11">
        <v>3.0</v>
      </c>
      <c r="C25" s="13">
        <f t="shared" si="1"/>
        <v>69</v>
      </c>
      <c r="D25" s="14">
        <v>13.0</v>
      </c>
      <c r="E25" s="11">
        <v>27.0</v>
      </c>
      <c r="F25" s="15">
        <f t="shared" si="2"/>
        <v>40</v>
      </c>
      <c r="G25" s="16">
        <f t="shared" si="3"/>
        <v>0.5797101449</v>
      </c>
      <c r="H25" s="16">
        <f t="shared" si="4"/>
        <v>0.325</v>
      </c>
      <c r="I25" s="15">
        <f t="shared" si="13"/>
        <v>1</v>
      </c>
      <c r="J25" s="17">
        <v>1.0</v>
      </c>
      <c r="K25" s="11">
        <v>0.0</v>
      </c>
      <c r="L25" s="16">
        <f t="shared" si="6"/>
        <v>0.01449275362</v>
      </c>
      <c r="M25" s="16">
        <f t="shared" si="7"/>
        <v>1</v>
      </c>
      <c r="N25" s="19">
        <f t="shared" si="8"/>
        <v>52</v>
      </c>
      <c r="O25" s="18">
        <f t="shared" si="9"/>
        <v>0.7536231884</v>
      </c>
      <c r="P25" s="18">
        <f t="shared" si="10"/>
        <v>17.33333333</v>
      </c>
      <c r="Q25" s="11">
        <v>2.0</v>
      </c>
      <c r="R25" s="19">
        <f t="shared" si="11"/>
        <v>72</v>
      </c>
      <c r="S25" s="18">
        <f t="shared" si="12"/>
        <v>24</v>
      </c>
    </row>
    <row r="26">
      <c r="A26" s="2" t="s">
        <v>104</v>
      </c>
      <c r="B26" s="11">
        <v>3.0</v>
      </c>
      <c r="C26" s="13">
        <f t="shared" si="1"/>
        <v>69</v>
      </c>
      <c r="D26" s="14">
        <v>13.0</v>
      </c>
      <c r="E26" s="20">
        <v>18.0</v>
      </c>
      <c r="F26" s="25">
        <f t="shared" si="2"/>
        <v>31</v>
      </c>
      <c r="G26" s="23">
        <f t="shared" si="3"/>
        <v>0.4492753623</v>
      </c>
      <c r="H26" s="23">
        <f t="shared" si="4"/>
        <v>0.4193548387</v>
      </c>
      <c r="I26" s="15">
        <f t="shared" si="13"/>
        <v>5</v>
      </c>
      <c r="J26" s="17">
        <v>3.0</v>
      </c>
      <c r="K26" s="11">
        <v>2.0</v>
      </c>
      <c r="L26" s="16">
        <f t="shared" si="6"/>
        <v>0.07246376812</v>
      </c>
      <c r="M26" s="16">
        <f t="shared" si="7"/>
        <v>0.6</v>
      </c>
      <c r="N26" s="19">
        <f t="shared" si="8"/>
        <v>44</v>
      </c>
      <c r="O26" s="18">
        <f t="shared" si="9"/>
        <v>0.6376811594</v>
      </c>
      <c r="P26" s="18">
        <f t="shared" si="10"/>
        <v>14.66666667</v>
      </c>
      <c r="Q26" s="11">
        <v>2.0</v>
      </c>
      <c r="R26" s="19">
        <f t="shared" si="11"/>
        <v>64</v>
      </c>
      <c r="S26" s="18">
        <f t="shared" si="12"/>
        <v>21.33333333</v>
      </c>
    </row>
    <row r="27">
      <c r="A27" s="2" t="s">
        <v>107</v>
      </c>
      <c r="B27" s="11">
        <v>3.0</v>
      </c>
      <c r="C27" s="13">
        <f t="shared" si="1"/>
        <v>69</v>
      </c>
      <c r="D27" s="14">
        <v>12.0</v>
      </c>
      <c r="E27" s="11">
        <v>27.0</v>
      </c>
      <c r="F27" s="15">
        <f t="shared" si="2"/>
        <v>39</v>
      </c>
      <c r="G27" s="16">
        <f t="shared" si="3"/>
        <v>0.5652173913</v>
      </c>
      <c r="H27" s="16">
        <f t="shared" si="4"/>
        <v>0.3076923077</v>
      </c>
      <c r="I27" s="15">
        <f t="shared" si="13"/>
        <v>5</v>
      </c>
      <c r="J27" s="17">
        <v>1.0</v>
      </c>
      <c r="K27" s="11">
        <v>4.0</v>
      </c>
      <c r="L27" s="16">
        <f t="shared" si="6"/>
        <v>0.07246376812</v>
      </c>
      <c r="M27" s="16">
        <f t="shared" si="7"/>
        <v>0.2</v>
      </c>
      <c r="N27" s="19">
        <f t="shared" si="8"/>
        <v>32</v>
      </c>
      <c r="O27" s="18">
        <f t="shared" si="9"/>
        <v>0.4637681159</v>
      </c>
      <c r="P27" s="18">
        <f t="shared" si="10"/>
        <v>10.66666667</v>
      </c>
      <c r="Q27" s="11">
        <v>3.0</v>
      </c>
      <c r="R27" s="19">
        <f t="shared" si="11"/>
        <v>62</v>
      </c>
      <c r="S27" s="18">
        <f t="shared" si="12"/>
        <v>20.66666667</v>
      </c>
    </row>
    <row r="28">
      <c r="A28" s="2" t="s">
        <v>109</v>
      </c>
      <c r="B28" s="11">
        <v>3.0</v>
      </c>
      <c r="C28" s="13">
        <f t="shared" si="1"/>
        <v>69</v>
      </c>
      <c r="D28" s="14">
        <v>12.0</v>
      </c>
      <c r="E28" s="11">
        <v>27.0</v>
      </c>
      <c r="F28" s="15">
        <f t="shared" si="2"/>
        <v>39</v>
      </c>
      <c r="G28" s="16">
        <f t="shared" si="3"/>
        <v>0.5652173913</v>
      </c>
      <c r="H28" s="16">
        <f t="shared" si="4"/>
        <v>0.3076923077</v>
      </c>
      <c r="I28" s="15">
        <f t="shared" si="13"/>
        <v>5</v>
      </c>
      <c r="J28" s="17">
        <v>3.0</v>
      </c>
      <c r="K28" s="11">
        <v>2.0</v>
      </c>
      <c r="L28" s="16">
        <f t="shared" si="6"/>
        <v>0.07246376812</v>
      </c>
      <c r="M28" s="16">
        <f t="shared" si="7"/>
        <v>0.6</v>
      </c>
      <c r="N28" s="19">
        <f t="shared" si="8"/>
        <v>40</v>
      </c>
      <c r="O28" s="18">
        <f t="shared" si="9"/>
        <v>0.5797101449</v>
      </c>
      <c r="P28" s="18">
        <f t="shared" si="10"/>
        <v>13.33333333</v>
      </c>
      <c r="Q28" s="11">
        <v>2.0</v>
      </c>
      <c r="R28" s="19">
        <f t="shared" si="11"/>
        <v>60</v>
      </c>
      <c r="S28" s="18">
        <f t="shared" si="12"/>
        <v>20</v>
      </c>
    </row>
    <row r="29">
      <c r="A29" s="2" t="s">
        <v>110</v>
      </c>
      <c r="B29" s="11">
        <v>3.0</v>
      </c>
      <c r="C29" s="13">
        <f t="shared" si="1"/>
        <v>69</v>
      </c>
      <c r="D29" s="14">
        <v>12.0</v>
      </c>
      <c r="E29" s="11">
        <v>16.0</v>
      </c>
      <c r="F29" s="15">
        <f t="shared" si="2"/>
        <v>28</v>
      </c>
      <c r="G29" s="16">
        <f t="shared" si="3"/>
        <v>0.4057971014</v>
      </c>
      <c r="H29" s="16">
        <f t="shared" si="4"/>
        <v>0.4285714286</v>
      </c>
      <c r="I29" s="15">
        <f t="shared" si="13"/>
        <v>2</v>
      </c>
      <c r="J29" s="17">
        <v>0.0</v>
      </c>
      <c r="K29" s="11">
        <v>2.0</v>
      </c>
      <c r="L29" s="16">
        <f t="shared" si="6"/>
        <v>0.02898550725</v>
      </c>
      <c r="M29" s="16">
        <f t="shared" si="7"/>
        <v>0</v>
      </c>
      <c r="N29" s="19">
        <f t="shared" si="8"/>
        <v>40</v>
      </c>
      <c r="O29" s="18">
        <f t="shared" si="9"/>
        <v>0.5797101449</v>
      </c>
      <c r="P29" s="18">
        <f t="shared" si="10"/>
        <v>13.33333333</v>
      </c>
      <c r="Q29" s="11">
        <v>1.0</v>
      </c>
      <c r="R29" s="19">
        <f t="shared" si="11"/>
        <v>50</v>
      </c>
      <c r="S29" s="18">
        <f t="shared" si="12"/>
        <v>16.66666667</v>
      </c>
    </row>
    <row r="30">
      <c r="A30" s="2" t="s">
        <v>111</v>
      </c>
      <c r="B30" s="11">
        <v>3.0</v>
      </c>
      <c r="C30" s="13">
        <f t="shared" si="1"/>
        <v>69</v>
      </c>
      <c r="D30" s="14">
        <v>10.0</v>
      </c>
      <c r="E30" s="11">
        <v>30.0</v>
      </c>
      <c r="F30" s="15">
        <f t="shared" si="2"/>
        <v>40</v>
      </c>
      <c r="G30" s="16">
        <f t="shared" si="3"/>
        <v>0.5797101449</v>
      </c>
      <c r="H30" s="16">
        <f t="shared" si="4"/>
        <v>0.25</v>
      </c>
      <c r="I30" s="15">
        <f t="shared" si="13"/>
        <v>2</v>
      </c>
      <c r="J30" s="17">
        <v>1.0</v>
      </c>
      <c r="K30" s="11">
        <v>1.0</v>
      </c>
      <c r="L30" s="16">
        <f t="shared" si="6"/>
        <v>0.02898550725</v>
      </c>
      <c r="M30" s="16">
        <f t="shared" si="7"/>
        <v>0.5</v>
      </c>
      <c r="N30" s="19">
        <f t="shared" si="8"/>
        <v>36</v>
      </c>
      <c r="O30" s="18">
        <f t="shared" si="9"/>
        <v>0.5217391304</v>
      </c>
      <c r="P30" s="18">
        <f t="shared" si="10"/>
        <v>12</v>
      </c>
      <c r="Q30" s="11">
        <v>1.0</v>
      </c>
      <c r="R30" s="19">
        <f t="shared" si="11"/>
        <v>46</v>
      </c>
      <c r="S30" s="18">
        <f t="shared" si="12"/>
        <v>15.33333333</v>
      </c>
    </row>
    <row r="31">
      <c r="A31" s="2" t="s">
        <v>114</v>
      </c>
      <c r="B31" s="11">
        <v>3.0</v>
      </c>
      <c r="C31" s="13">
        <f t="shared" si="1"/>
        <v>69</v>
      </c>
      <c r="D31" s="14">
        <v>12.0</v>
      </c>
      <c r="E31" s="11">
        <v>41.0</v>
      </c>
      <c r="F31" s="15">
        <f t="shared" si="2"/>
        <v>53</v>
      </c>
      <c r="G31" s="16">
        <f t="shared" si="3"/>
        <v>0.768115942</v>
      </c>
      <c r="H31" s="16">
        <f t="shared" si="4"/>
        <v>0.2264150943</v>
      </c>
      <c r="I31" s="15">
        <f t="shared" si="13"/>
        <v>4</v>
      </c>
      <c r="J31" s="17">
        <v>1.0</v>
      </c>
      <c r="K31" s="11">
        <v>3.0</v>
      </c>
      <c r="L31" s="16">
        <f t="shared" si="6"/>
        <v>0.05797101449</v>
      </c>
      <c r="M31" s="16">
        <f t="shared" si="7"/>
        <v>0.25</v>
      </c>
      <c r="N31" s="19">
        <f t="shared" si="8"/>
        <v>36</v>
      </c>
      <c r="O31" s="18">
        <f t="shared" si="9"/>
        <v>0.5217391304</v>
      </c>
      <c r="P31" s="18">
        <f t="shared" si="10"/>
        <v>12</v>
      </c>
      <c r="Q31" s="11">
        <v>1.0</v>
      </c>
      <c r="R31" s="19">
        <f t="shared" si="11"/>
        <v>46</v>
      </c>
      <c r="S31" s="18">
        <f t="shared" si="12"/>
        <v>15.33333333</v>
      </c>
    </row>
    <row r="32">
      <c r="A32" s="2" t="s">
        <v>117</v>
      </c>
      <c r="B32" s="11">
        <v>3.0</v>
      </c>
      <c r="C32" s="13">
        <f t="shared" si="1"/>
        <v>69</v>
      </c>
      <c r="D32" s="14">
        <v>3.0</v>
      </c>
      <c r="E32" s="11">
        <v>26.0</v>
      </c>
      <c r="F32" s="15">
        <f t="shared" si="2"/>
        <v>29</v>
      </c>
      <c r="G32" s="16">
        <f t="shared" si="3"/>
        <v>0.4202898551</v>
      </c>
      <c r="H32" s="16">
        <f t="shared" si="4"/>
        <v>0.1034482759</v>
      </c>
      <c r="I32" s="15">
        <f t="shared" si="13"/>
        <v>0</v>
      </c>
      <c r="J32" s="17">
        <v>0.0</v>
      </c>
      <c r="K32" s="11">
        <v>0.0</v>
      </c>
      <c r="L32" s="16">
        <f t="shared" si="6"/>
        <v>0</v>
      </c>
      <c r="M32" s="11" t="s">
        <v>41</v>
      </c>
      <c r="N32" s="19">
        <f t="shared" si="8"/>
        <v>12</v>
      </c>
      <c r="O32" s="18">
        <f t="shared" si="9"/>
        <v>0.1739130435</v>
      </c>
      <c r="P32" s="18">
        <f t="shared" si="10"/>
        <v>4</v>
      </c>
      <c r="Q32" s="11">
        <v>1.0</v>
      </c>
      <c r="R32" s="19">
        <f t="shared" si="11"/>
        <v>22</v>
      </c>
      <c r="S32" s="18">
        <f t="shared" si="12"/>
        <v>7.333333333</v>
      </c>
    </row>
    <row r="33">
      <c r="A33" s="2" t="s">
        <v>119</v>
      </c>
      <c r="B33" s="11">
        <v>3.0</v>
      </c>
      <c r="C33" s="13">
        <f t="shared" si="1"/>
        <v>69</v>
      </c>
      <c r="D33" s="14">
        <v>7.0</v>
      </c>
      <c r="E33" s="11">
        <v>26.0</v>
      </c>
      <c r="F33" s="15">
        <f t="shared" si="2"/>
        <v>33</v>
      </c>
      <c r="G33" s="16">
        <f t="shared" si="3"/>
        <v>0.4782608696</v>
      </c>
      <c r="H33" s="16">
        <f t="shared" si="4"/>
        <v>0.2121212121</v>
      </c>
      <c r="I33" s="15">
        <f t="shared" si="13"/>
        <v>5</v>
      </c>
      <c r="J33" s="17">
        <v>0.0</v>
      </c>
      <c r="K33" s="11">
        <v>5.0</v>
      </c>
      <c r="L33" s="16">
        <f t="shared" si="6"/>
        <v>0.07246376812</v>
      </c>
      <c r="M33" s="16">
        <f>J33/I33</f>
        <v>0</v>
      </c>
      <c r="N33" s="19">
        <f t="shared" si="8"/>
        <v>8</v>
      </c>
      <c r="O33" s="18">
        <f t="shared" si="9"/>
        <v>0.115942029</v>
      </c>
      <c r="P33" s="18">
        <f t="shared" si="10"/>
        <v>2.666666667</v>
      </c>
      <c r="Q33" s="11">
        <v>0.0</v>
      </c>
      <c r="R33" s="19">
        <f t="shared" si="11"/>
        <v>8</v>
      </c>
      <c r="S33" s="18">
        <f t="shared" si="12"/>
        <v>2.666666667</v>
      </c>
    </row>
    <row r="34">
      <c r="D34" s="29"/>
      <c r="G34" s="30"/>
      <c r="H34" s="30"/>
      <c r="I34" s="31"/>
      <c r="J34" s="31"/>
      <c r="L34" s="30"/>
      <c r="M34" s="30"/>
      <c r="O34" s="32"/>
      <c r="P34" s="32"/>
      <c r="S34" s="32"/>
    </row>
    <row r="35">
      <c r="D35" s="29"/>
      <c r="G35" s="30"/>
      <c r="H35" s="30"/>
      <c r="I35" s="31"/>
      <c r="J35" s="31"/>
      <c r="L35" s="30"/>
      <c r="M35" s="30"/>
      <c r="O35" s="32"/>
      <c r="P35" s="32"/>
      <c r="S35" s="32"/>
    </row>
    <row r="36">
      <c r="D36" s="29"/>
      <c r="G36" s="30"/>
      <c r="H36" s="30"/>
      <c r="I36" s="31"/>
      <c r="J36" s="31"/>
      <c r="L36" s="30"/>
      <c r="M36" s="30"/>
      <c r="O36" s="32"/>
      <c r="P36" s="32"/>
      <c r="S36" s="32"/>
    </row>
    <row r="37">
      <c r="D37" s="29"/>
      <c r="G37" s="30"/>
      <c r="H37" s="30"/>
      <c r="I37" s="31"/>
      <c r="J37" s="31"/>
      <c r="L37" s="30"/>
      <c r="M37" s="30"/>
      <c r="O37" s="32"/>
      <c r="P37" s="32"/>
      <c r="S37" s="32"/>
    </row>
    <row r="38">
      <c r="D38" s="29"/>
      <c r="G38" s="30"/>
      <c r="H38" s="30"/>
      <c r="I38" s="31"/>
      <c r="J38" s="31"/>
      <c r="L38" s="30"/>
      <c r="M38" s="30"/>
      <c r="O38" s="32"/>
      <c r="P38" s="32"/>
      <c r="S38" s="32"/>
    </row>
    <row r="39">
      <c r="D39" s="29"/>
      <c r="G39" s="30"/>
      <c r="H39" s="30"/>
      <c r="I39" s="31"/>
      <c r="J39" s="31"/>
      <c r="L39" s="30"/>
      <c r="M39" s="30"/>
      <c r="O39" s="32"/>
      <c r="P39" s="32"/>
      <c r="S39" s="32"/>
    </row>
    <row r="40">
      <c r="D40" s="29"/>
      <c r="G40" s="30"/>
      <c r="H40" s="30"/>
      <c r="I40" s="31"/>
      <c r="J40" s="31"/>
      <c r="L40" s="30"/>
      <c r="M40" s="30"/>
      <c r="O40" s="32"/>
      <c r="P40" s="32"/>
      <c r="S40" s="32"/>
    </row>
    <row r="41">
      <c r="D41" s="29"/>
      <c r="G41" s="30"/>
      <c r="H41" s="30"/>
      <c r="I41" s="31"/>
      <c r="J41" s="31"/>
      <c r="L41" s="30"/>
      <c r="M41" s="30"/>
      <c r="O41" s="32"/>
      <c r="P41" s="32"/>
      <c r="S41" s="32"/>
    </row>
    <row r="42">
      <c r="D42" s="29"/>
      <c r="G42" s="30"/>
      <c r="H42" s="30"/>
      <c r="I42" s="31"/>
      <c r="J42" s="31"/>
      <c r="L42" s="30"/>
      <c r="M42" s="30"/>
      <c r="O42" s="32"/>
      <c r="P42" s="32"/>
      <c r="S42" s="32"/>
    </row>
    <row r="43">
      <c r="D43" s="29"/>
      <c r="G43" s="30"/>
      <c r="H43" s="30"/>
      <c r="I43" s="31"/>
      <c r="J43" s="31"/>
      <c r="L43" s="30"/>
      <c r="M43" s="30"/>
      <c r="O43" s="32"/>
      <c r="P43" s="32"/>
      <c r="S43" s="32"/>
    </row>
    <row r="44">
      <c r="D44" s="29"/>
      <c r="G44" s="30"/>
      <c r="H44" s="30"/>
      <c r="I44" s="31"/>
      <c r="J44" s="31"/>
      <c r="L44" s="30"/>
      <c r="M44" s="30"/>
      <c r="O44" s="32"/>
      <c r="P44" s="32"/>
      <c r="S44" s="32"/>
    </row>
    <row r="45">
      <c r="D45" s="29"/>
      <c r="G45" s="30"/>
      <c r="H45" s="30"/>
      <c r="I45" s="31"/>
      <c r="J45" s="31"/>
      <c r="L45" s="30"/>
      <c r="M45" s="30"/>
      <c r="O45" s="32"/>
      <c r="P45" s="32"/>
      <c r="S45" s="32"/>
    </row>
    <row r="46">
      <c r="D46" s="29"/>
      <c r="G46" s="30"/>
      <c r="H46" s="30"/>
      <c r="I46" s="31"/>
      <c r="J46" s="31"/>
      <c r="L46" s="30"/>
      <c r="M46" s="30"/>
      <c r="O46" s="32"/>
      <c r="P46" s="32"/>
      <c r="S46" s="32"/>
    </row>
    <row r="47">
      <c r="D47" s="29"/>
      <c r="G47" s="30"/>
      <c r="H47" s="30"/>
      <c r="I47" s="31"/>
      <c r="J47" s="31"/>
      <c r="L47" s="30"/>
      <c r="M47" s="30"/>
      <c r="O47" s="32"/>
      <c r="P47" s="32"/>
      <c r="S47" s="32"/>
    </row>
    <row r="48">
      <c r="D48" s="29"/>
      <c r="G48" s="30"/>
      <c r="H48" s="30"/>
      <c r="I48" s="31"/>
      <c r="J48" s="31"/>
      <c r="L48" s="30"/>
      <c r="M48" s="30"/>
      <c r="O48" s="32"/>
      <c r="P48" s="32"/>
      <c r="S48" s="32"/>
    </row>
    <row r="49">
      <c r="D49" s="29"/>
      <c r="G49" s="30"/>
      <c r="H49" s="30"/>
      <c r="I49" s="31"/>
      <c r="J49" s="31"/>
      <c r="L49" s="30"/>
      <c r="M49" s="30"/>
      <c r="O49" s="32"/>
      <c r="P49" s="32"/>
      <c r="S49" s="32"/>
    </row>
    <row r="50">
      <c r="D50" s="29"/>
      <c r="G50" s="30"/>
      <c r="H50" s="30"/>
      <c r="I50" s="31"/>
      <c r="J50" s="31"/>
      <c r="L50" s="30"/>
      <c r="M50" s="30"/>
      <c r="O50" s="32"/>
      <c r="P50" s="32"/>
      <c r="S50" s="32"/>
    </row>
    <row r="51">
      <c r="D51" s="29"/>
      <c r="G51" s="30"/>
      <c r="H51" s="30"/>
      <c r="I51" s="31"/>
      <c r="J51" s="31"/>
      <c r="L51" s="30"/>
      <c r="M51" s="30"/>
      <c r="O51" s="32"/>
      <c r="P51" s="32"/>
      <c r="S51" s="32"/>
    </row>
    <row r="52">
      <c r="D52" s="29"/>
      <c r="G52" s="30"/>
      <c r="H52" s="30"/>
      <c r="I52" s="31"/>
      <c r="J52" s="31"/>
      <c r="L52" s="30"/>
      <c r="M52" s="30"/>
      <c r="O52" s="32"/>
      <c r="P52" s="32"/>
      <c r="S52" s="32"/>
    </row>
    <row r="53">
      <c r="D53" s="29"/>
      <c r="G53" s="30"/>
      <c r="H53" s="30"/>
      <c r="I53" s="31"/>
      <c r="J53" s="31"/>
      <c r="L53" s="30"/>
      <c r="M53" s="30"/>
      <c r="O53" s="32"/>
      <c r="P53" s="32"/>
      <c r="S53" s="32"/>
    </row>
    <row r="54">
      <c r="D54" s="29"/>
      <c r="G54" s="30"/>
      <c r="H54" s="30"/>
      <c r="I54" s="31"/>
      <c r="J54" s="31"/>
      <c r="L54" s="30"/>
      <c r="M54" s="30"/>
      <c r="O54" s="32"/>
      <c r="P54" s="32"/>
      <c r="S54" s="32"/>
    </row>
    <row r="55">
      <c r="D55" s="29"/>
      <c r="G55" s="30"/>
      <c r="H55" s="30"/>
      <c r="I55" s="31"/>
      <c r="J55" s="31"/>
      <c r="L55" s="30"/>
      <c r="M55" s="30"/>
      <c r="O55" s="32"/>
      <c r="P55" s="32"/>
      <c r="S55" s="32"/>
    </row>
    <row r="56">
      <c r="D56" s="29"/>
      <c r="G56" s="30"/>
      <c r="H56" s="30"/>
      <c r="I56" s="31"/>
      <c r="J56" s="31"/>
      <c r="L56" s="30"/>
      <c r="M56" s="30"/>
      <c r="O56" s="32"/>
      <c r="P56" s="32"/>
      <c r="S56" s="32"/>
    </row>
    <row r="57">
      <c r="D57" s="29"/>
      <c r="G57" s="30"/>
      <c r="H57" s="30"/>
      <c r="I57" s="31"/>
      <c r="J57" s="31"/>
      <c r="L57" s="30"/>
      <c r="M57" s="30"/>
      <c r="O57" s="32"/>
      <c r="P57" s="32"/>
      <c r="S57" s="32"/>
    </row>
    <row r="58">
      <c r="D58" s="29"/>
      <c r="G58" s="30"/>
      <c r="H58" s="30"/>
      <c r="I58" s="31"/>
      <c r="J58" s="31"/>
      <c r="L58" s="30"/>
      <c r="M58" s="30"/>
      <c r="O58" s="32"/>
      <c r="P58" s="32"/>
      <c r="S58" s="32"/>
    </row>
    <row r="59">
      <c r="D59" s="29"/>
      <c r="G59" s="30"/>
      <c r="H59" s="30"/>
      <c r="I59" s="31"/>
      <c r="J59" s="31"/>
      <c r="L59" s="30"/>
      <c r="M59" s="30"/>
      <c r="O59" s="32"/>
      <c r="P59" s="32"/>
      <c r="S59" s="32"/>
    </row>
    <row r="60">
      <c r="D60" s="29"/>
      <c r="G60" s="30"/>
      <c r="H60" s="30"/>
      <c r="I60" s="31"/>
      <c r="J60" s="31"/>
      <c r="L60" s="30"/>
      <c r="M60" s="30"/>
      <c r="O60" s="32"/>
      <c r="P60" s="32"/>
      <c r="S60" s="32"/>
    </row>
    <row r="61">
      <c r="D61" s="29"/>
      <c r="G61" s="30"/>
      <c r="H61" s="30"/>
      <c r="I61" s="31"/>
      <c r="J61" s="31"/>
      <c r="L61" s="30"/>
      <c r="M61" s="30"/>
      <c r="O61" s="32"/>
      <c r="P61" s="32"/>
      <c r="S61" s="32"/>
    </row>
    <row r="62">
      <c r="D62" s="29"/>
      <c r="G62" s="30"/>
      <c r="H62" s="30"/>
      <c r="I62" s="31"/>
      <c r="J62" s="31"/>
      <c r="L62" s="30"/>
      <c r="M62" s="30"/>
      <c r="O62" s="32"/>
      <c r="P62" s="32"/>
      <c r="S62" s="32"/>
    </row>
    <row r="63">
      <c r="D63" s="29"/>
      <c r="G63" s="30"/>
      <c r="H63" s="30"/>
      <c r="I63" s="31"/>
      <c r="J63" s="31"/>
      <c r="L63" s="30"/>
      <c r="M63" s="30"/>
      <c r="O63" s="32"/>
      <c r="P63" s="32"/>
      <c r="S63" s="32"/>
    </row>
    <row r="64">
      <c r="D64" s="29"/>
      <c r="G64" s="30"/>
      <c r="H64" s="30"/>
      <c r="I64" s="31"/>
      <c r="J64" s="31"/>
      <c r="L64" s="30"/>
      <c r="M64" s="30"/>
      <c r="O64" s="32"/>
      <c r="P64" s="32"/>
      <c r="S64" s="32"/>
    </row>
    <row r="65">
      <c r="D65" s="29"/>
      <c r="G65" s="30"/>
      <c r="H65" s="30"/>
      <c r="I65" s="31"/>
      <c r="J65" s="31"/>
      <c r="L65" s="30"/>
      <c r="M65" s="30"/>
      <c r="O65" s="32"/>
      <c r="P65" s="32"/>
      <c r="S65" s="32"/>
    </row>
    <row r="66">
      <c r="D66" s="29"/>
      <c r="G66" s="30"/>
      <c r="H66" s="30"/>
      <c r="I66" s="31"/>
      <c r="J66" s="31"/>
      <c r="L66" s="30"/>
      <c r="M66" s="30"/>
      <c r="O66" s="32"/>
      <c r="P66" s="32"/>
      <c r="S66" s="32"/>
    </row>
    <row r="67">
      <c r="D67" s="29"/>
      <c r="G67" s="30"/>
      <c r="H67" s="30"/>
      <c r="I67" s="31"/>
      <c r="J67" s="31"/>
      <c r="L67" s="30"/>
      <c r="M67" s="30"/>
      <c r="O67" s="32"/>
      <c r="P67" s="32"/>
      <c r="S67" s="32"/>
    </row>
    <row r="68">
      <c r="D68" s="29"/>
      <c r="G68" s="30"/>
      <c r="H68" s="30"/>
      <c r="I68" s="31"/>
      <c r="J68" s="31"/>
      <c r="L68" s="30"/>
      <c r="M68" s="30"/>
      <c r="O68" s="32"/>
      <c r="P68" s="32"/>
      <c r="S68" s="32"/>
    </row>
    <row r="69">
      <c r="D69" s="29"/>
      <c r="G69" s="30"/>
      <c r="H69" s="30"/>
      <c r="I69" s="31"/>
      <c r="J69" s="31"/>
      <c r="L69" s="30"/>
      <c r="M69" s="30"/>
      <c r="O69" s="32"/>
      <c r="P69" s="32"/>
      <c r="S69" s="32"/>
    </row>
    <row r="70">
      <c r="D70" s="29"/>
      <c r="G70" s="30"/>
      <c r="H70" s="30"/>
      <c r="I70" s="31"/>
      <c r="J70" s="31"/>
      <c r="L70" s="30"/>
      <c r="M70" s="30"/>
      <c r="O70" s="32"/>
      <c r="P70" s="32"/>
      <c r="S70" s="32"/>
    </row>
    <row r="71">
      <c r="D71" s="29"/>
      <c r="G71" s="30"/>
      <c r="H71" s="30"/>
      <c r="I71" s="31"/>
      <c r="J71" s="31"/>
      <c r="L71" s="30"/>
      <c r="M71" s="30"/>
      <c r="O71" s="32"/>
      <c r="P71" s="32"/>
      <c r="S71" s="32"/>
    </row>
    <row r="72">
      <c r="D72" s="29"/>
      <c r="G72" s="30"/>
      <c r="H72" s="30"/>
      <c r="I72" s="31"/>
      <c r="J72" s="31"/>
      <c r="L72" s="30"/>
      <c r="M72" s="30"/>
      <c r="O72" s="32"/>
      <c r="P72" s="32"/>
      <c r="S72" s="32"/>
    </row>
    <row r="73">
      <c r="D73" s="29"/>
      <c r="G73" s="30"/>
      <c r="H73" s="30"/>
      <c r="I73" s="31"/>
      <c r="J73" s="31"/>
      <c r="L73" s="30"/>
      <c r="M73" s="30"/>
      <c r="O73" s="32"/>
      <c r="P73" s="32"/>
      <c r="S73" s="32"/>
    </row>
    <row r="74">
      <c r="D74" s="29"/>
      <c r="G74" s="30"/>
      <c r="H74" s="30"/>
      <c r="I74" s="31"/>
      <c r="J74" s="31"/>
      <c r="L74" s="30"/>
      <c r="M74" s="30"/>
      <c r="O74" s="32"/>
      <c r="P74" s="32"/>
      <c r="S74" s="32"/>
    </row>
    <row r="75">
      <c r="D75" s="29"/>
      <c r="G75" s="30"/>
      <c r="H75" s="30"/>
      <c r="I75" s="31"/>
      <c r="J75" s="31"/>
      <c r="L75" s="30"/>
      <c r="M75" s="30"/>
      <c r="O75" s="32"/>
      <c r="P75" s="32"/>
      <c r="S75" s="32"/>
    </row>
    <row r="76">
      <c r="D76" s="29"/>
      <c r="G76" s="30"/>
      <c r="H76" s="30"/>
      <c r="I76" s="31"/>
      <c r="J76" s="31"/>
      <c r="L76" s="30"/>
      <c r="M76" s="30"/>
      <c r="O76" s="32"/>
      <c r="P76" s="32"/>
      <c r="S76" s="32"/>
    </row>
    <row r="77">
      <c r="D77" s="29"/>
      <c r="G77" s="30"/>
      <c r="H77" s="30"/>
      <c r="I77" s="31"/>
      <c r="J77" s="31"/>
      <c r="L77" s="30"/>
      <c r="M77" s="30"/>
      <c r="O77" s="32"/>
      <c r="P77" s="32"/>
      <c r="S77" s="32"/>
    </row>
    <row r="78">
      <c r="D78" s="29"/>
      <c r="G78" s="30"/>
      <c r="H78" s="30"/>
      <c r="I78" s="31"/>
      <c r="J78" s="31"/>
      <c r="L78" s="30"/>
      <c r="M78" s="30"/>
      <c r="O78" s="32"/>
      <c r="P78" s="32"/>
      <c r="S78" s="32"/>
    </row>
    <row r="79">
      <c r="D79" s="29"/>
      <c r="G79" s="30"/>
      <c r="H79" s="30"/>
      <c r="I79" s="31"/>
      <c r="J79" s="31"/>
      <c r="L79" s="30"/>
      <c r="M79" s="30"/>
      <c r="O79" s="32"/>
      <c r="P79" s="32"/>
      <c r="S79" s="32"/>
    </row>
    <row r="80">
      <c r="D80" s="29"/>
      <c r="G80" s="30"/>
      <c r="H80" s="30"/>
      <c r="I80" s="31"/>
      <c r="J80" s="31"/>
      <c r="L80" s="30"/>
      <c r="M80" s="30"/>
      <c r="O80" s="32"/>
      <c r="P80" s="32"/>
      <c r="S80" s="32"/>
    </row>
    <row r="81">
      <c r="D81" s="29"/>
      <c r="G81" s="30"/>
      <c r="H81" s="30"/>
      <c r="I81" s="31"/>
      <c r="J81" s="31"/>
      <c r="L81" s="30"/>
      <c r="M81" s="30"/>
      <c r="O81" s="32"/>
      <c r="P81" s="32"/>
      <c r="S81" s="32"/>
    </row>
    <row r="82">
      <c r="D82" s="29"/>
      <c r="G82" s="30"/>
      <c r="H82" s="30"/>
      <c r="I82" s="31"/>
      <c r="J82" s="31"/>
      <c r="L82" s="30"/>
      <c r="M82" s="30"/>
      <c r="O82" s="32"/>
      <c r="P82" s="32"/>
      <c r="S82" s="32"/>
    </row>
    <row r="83">
      <c r="D83" s="29"/>
      <c r="G83" s="30"/>
      <c r="H83" s="30"/>
      <c r="I83" s="31"/>
      <c r="J83" s="31"/>
      <c r="L83" s="30"/>
      <c r="M83" s="30"/>
      <c r="O83" s="32"/>
      <c r="P83" s="32"/>
      <c r="S83" s="32"/>
    </row>
    <row r="84">
      <c r="D84" s="29"/>
      <c r="G84" s="30"/>
      <c r="H84" s="30"/>
      <c r="I84" s="31"/>
      <c r="J84" s="31"/>
      <c r="L84" s="30"/>
      <c r="M84" s="30"/>
      <c r="O84" s="32"/>
      <c r="P84" s="32"/>
      <c r="S84" s="32"/>
    </row>
    <row r="85">
      <c r="D85" s="29"/>
      <c r="G85" s="30"/>
      <c r="H85" s="30"/>
      <c r="I85" s="31"/>
      <c r="J85" s="31"/>
      <c r="L85" s="30"/>
      <c r="M85" s="30"/>
      <c r="O85" s="32"/>
      <c r="P85" s="32"/>
      <c r="S85" s="32"/>
    </row>
    <row r="86">
      <c r="D86" s="29"/>
      <c r="G86" s="30"/>
      <c r="H86" s="30"/>
      <c r="I86" s="31"/>
      <c r="J86" s="31"/>
      <c r="L86" s="30"/>
      <c r="M86" s="30"/>
      <c r="O86" s="32"/>
      <c r="P86" s="32"/>
      <c r="S86" s="32"/>
    </row>
    <row r="87">
      <c r="D87" s="29"/>
      <c r="G87" s="30"/>
      <c r="H87" s="30"/>
      <c r="I87" s="31"/>
      <c r="J87" s="31"/>
      <c r="L87" s="30"/>
      <c r="M87" s="30"/>
      <c r="O87" s="32"/>
      <c r="P87" s="32"/>
      <c r="S87" s="32"/>
    </row>
    <row r="88">
      <c r="D88" s="29"/>
      <c r="G88" s="30"/>
      <c r="H88" s="30"/>
      <c r="I88" s="31"/>
      <c r="J88" s="31"/>
      <c r="L88" s="30"/>
      <c r="M88" s="30"/>
      <c r="O88" s="32"/>
      <c r="P88" s="32"/>
      <c r="S88" s="32"/>
    </row>
    <row r="89">
      <c r="D89" s="29"/>
      <c r="G89" s="30"/>
      <c r="H89" s="30"/>
      <c r="I89" s="31"/>
      <c r="J89" s="31"/>
      <c r="L89" s="30"/>
      <c r="M89" s="30"/>
      <c r="O89" s="32"/>
      <c r="P89" s="32"/>
      <c r="S89" s="32"/>
    </row>
    <row r="90">
      <c r="D90" s="29"/>
      <c r="G90" s="30"/>
      <c r="H90" s="30"/>
      <c r="I90" s="31"/>
      <c r="J90" s="31"/>
      <c r="L90" s="30"/>
      <c r="M90" s="30"/>
      <c r="O90" s="32"/>
      <c r="P90" s="32"/>
      <c r="S90" s="32"/>
    </row>
    <row r="91">
      <c r="D91" s="29"/>
      <c r="G91" s="30"/>
      <c r="H91" s="30"/>
      <c r="I91" s="31"/>
      <c r="J91" s="31"/>
      <c r="L91" s="30"/>
      <c r="M91" s="30"/>
      <c r="O91" s="32"/>
      <c r="P91" s="32"/>
      <c r="S91" s="32"/>
    </row>
    <row r="92">
      <c r="D92" s="29"/>
      <c r="G92" s="30"/>
      <c r="H92" s="30"/>
      <c r="I92" s="31"/>
      <c r="J92" s="31"/>
      <c r="L92" s="30"/>
      <c r="M92" s="30"/>
      <c r="O92" s="32"/>
      <c r="P92" s="32"/>
      <c r="S92" s="32"/>
    </row>
    <row r="93">
      <c r="D93" s="29"/>
      <c r="G93" s="30"/>
      <c r="H93" s="30"/>
      <c r="I93" s="31"/>
      <c r="J93" s="31"/>
      <c r="L93" s="30"/>
      <c r="M93" s="30"/>
      <c r="O93" s="32"/>
      <c r="P93" s="32"/>
      <c r="S93" s="32"/>
    </row>
    <row r="94">
      <c r="D94" s="29"/>
      <c r="G94" s="30"/>
      <c r="H94" s="30"/>
      <c r="I94" s="31"/>
      <c r="J94" s="31"/>
      <c r="L94" s="30"/>
      <c r="M94" s="30"/>
      <c r="O94" s="32"/>
      <c r="P94" s="32"/>
      <c r="S94" s="32"/>
    </row>
    <row r="95">
      <c r="D95" s="29"/>
      <c r="G95" s="30"/>
      <c r="H95" s="30"/>
      <c r="I95" s="31"/>
      <c r="J95" s="31"/>
      <c r="L95" s="30"/>
      <c r="M95" s="30"/>
      <c r="O95" s="32"/>
      <c r="P95" s="32"/>
      <c r="S95" s="32"/>
    </row>
    <row r="96">
      <c r="D96" s="29"/>
      <c r="G96" s="30"/>
      <c r="H96" s="30"/>
      <c r="I96" s="31"/>
      <c r="J96" s="31"/>
      <c r="L96" s="30"/>
      <c r="M96" s="30"/>
      <c r="O96" s="32"/>
      <c r="P96" s="32"/>
      <c r="S96" s="32"/>
    </row>
    <row r="97">
      <c r="D97" s="29"/>
      <c r="G97" s="30"/>
      <c r="H97" s="30"/>
      <c r="I97" s="31"/>
      <c r="J97" s="31"/>
      <c r="L97" s="30"/>
      <c r="M97" s="30"/>
      <c r="O97" s="32"/>
      <c r="P97" s="32"/>
      <c r="S97" s="32"/>
    </row>
    <row r="98">
      <c r="D98" s="29"/>
      <c r="G98" s="30"/>
      <c r="H98" s="30"/>
      <c r="I98" s="31"/>
      <c r="J98" s="31"/>
      <c r="L98" s="30"/>
      <c r="M98" s="30"/>
      <c r="O98" s="32"/>
      <c r="P98" s="32"/>
      <c r="S98" s="32"/>
    </row>
    <row r="99">
      <c r="D99" s="29"/>
      <c r="G99" s="30"/>
      <c r="H99" s="30"/>
      <c r="I99" s="31"/>
      <c r="J99" s="31"/>
      <c r="L99" s="30"/>
      <c r="M99" s="30"/>
      <c r="O99" s="32"/>
      <c r="P99" s="32"/>
      <c r="S99" s="32"/>
    </row>
    <row r="100">
      <c r="D100" s="29"/>
      <c r="G100" s="30"/>
      <c r="H100" s="30"/>
      <c r="I100" s="31"/>
      <c r="J100" s="31"/>
      <c r="L100" s="30"/>
      <c r="M100" s="30"/>
      <c r="O100" s="32"/>
      <c r="P100" s="32"/>
      <c r="S100" s="32"/>
    </row>
    <row r="101">
      <c r="D101" s="29"/>
      <c r="G101" s="30"/>
      <c r="H101" s="30"/>
      <c r="I101" s="31"/>
      <c r="J101" s="31"/>
      <c r="L101" s="30"/>
      <c r="M101" s="30"/>
      <c r="O101" s="32"/>
      <c r="P101" s="32"/>
      <c r="S101" s="32"/>
    </row>
    <row r="102">
      <c r="D102" s="29"/>
      <c r="G102" s="30"/>
      <c r="H102" s="30"/>
      <c r="I102" s="31"/>
      <c r="J102" s="31"/>
      <c r="L102" s="30"/>
      <c r="M102" s="30"/>
      <c r="O102" s="32"/>
      <c r="P102" s="32"/>
      <c r="S102" s="32"/>
    </row>
    <row r="103">
      <c r="D103" s="29"/>
      <c r="G103" s="30"/>
      <c r="H103" s="30"/>
      <c r="I103" s="31"/>
      <c r="J103" s="31"/>
      <c r="L103" s="30"/>
      <c r="M103" s="30"/>
      <c r="O103" s="32"/>
      <c r="P103" s="32"/>
      <c r="S103" s="32"/>
    </row>
    <row r="104">
      <c r="D104" s="29"/>
      <c r="G104" s="30"/>
      <c r="H104" s="30"/>
      <c r="I104" s="31"/>
      <c r="J104" s="31"/>
      <c r="L104" s="30"/>
      <c r="M104" s="30"/>
      <c r="O104" s="32"/>
      <c r="P104" s="32"/>
      <c r="S104" s="32"/>
    </row>
    <row r="105">
      <c r="D105" s="29"/>
      <c r="G105" s="30"/>
      <c r="H105" s="30"/>
      <c r="I105" s="31"/>
      <c r="J105" s="31"/>
      <c r="L105" s="30"/>
      <c r="M105" s="30"/>
      <c r="O105" s="32"/>
      <c r="P105" s="32"/>
      <c r="S105" s="32"/>
    </row>
    <row r="106">
      <c r="D106" s="29"/>
      <c r="G106" s="30"/>
      <c r="H106" s="30"/>
      <c r="I106" s="31"/>
      <c r="J106" s="31"/>
      <c r="L106" s="30"/>
      <c r="M106" s="30"/>
      <c r="O106" s="32"/>
      <c r="P106" s="32"/>
      <c r="S106" s="32"/>
    </row>
    <row r="107">
      <c r="D107" s="29"/>
      <c r="G107" s="30"/>
      <c r="H107" s="30"/>
      <c r="I107" s="31"/>
      <c r="J107" s="31"/>
      <c r="L107" s="30"/>
      <c r="M107" s="30"/>
      <c r="O107" s="32"/>
      <c r="P107" s="32"/>
      <c r="S107" s="32"/>
    </row>
    <row r="108">
      <c r="D108" s="29"/>
      <c r="G108" s="30"/>
      <c r="H108" s="30"/>
      <c r="I108" s="31"/>
      <c r="J108" s="31"/>
      <c r="L108" s="30"/>
      <c r="M108" s="30"/>
      <c r="O108" s="32"/>
      <c r="P108" s="32"/>
      <c r="S108" s="32"/>
    </row>
    <row r="109">
      <c r="D109" s="29"/>
      <c r="G109" s="30"/>
      <c r="H109" s="30"/>
      <c r="I109" s="31"/>
      <c r="J109" s="31"/>
      <c r="L109" s="30"/>
      <c r="M109" s="30"/>
      <c r="O109" s="32"/>
      <c r="P109" s="32"/>
      <c r="S109" s="32"/>
    </row>
    <row r="110">
      <c r="D110" s="29"/>
      <c r="G110" s="30"/>
      <c r="H110" s="30"/>
      <c r="I110" s="31"/>
      <c r="J110" s="31"/>
      <c r="L110" s="30"/>
      <c r="M110" s="30"/>
      <c r="O110" s="32"/>
      <c r="P110" s="32"/>
      <c r="S110" s="32"/>
    </row>
    <row r="111">
      <c r="D111" s="29"/>
      <c r="G111" s="30"/>
      <c r="H111" s="30"/>
      <c r="I111" s="31"/>
      <c r="J111" s="31"/>
      <c r="L111" s="30"/>
      <c r="M111" s="30"/>
      <c r="O111" s="32"/>
      <c r="P111" s="32"/>
      <c r="S111" s="32"/>
    </row>
    <row r="112">
      <c r="D112" s="29"/>
      <c r="G112" s="30"/>
      <c r="H112" s="30"/>
      <c r="I112" s="31"/>
      <c r="J112" s="31"/>
      <c r="L112" s="30"/>
      <c r="M112" s="30"/>
      <c r="O112" s="32"/>
      <c r="P112" s="32"/>
      <c r="S112" s="32"/>
    </row>
    <row r="113">
      <c r="D113" s="29"/>
      <c r="G113" s="30"/>
      <c r="H113" s="30"/>
      <c r="I113" s="31"/>
      <c r="J113" s="31"/>
      <c r="L113" s="30"/>
      <c r="M113" s="30"/>
      <c r="O113" s="32"/>
      <c r="P113" s="32"/>
      <c r="S113" s="32"/>
    </row>
    <row r="114">
      <c r="D114" s="29"/>
      <c r="G114" s="30"/>
      <c r="H114" s="30"/>
      <c r="I114" s="31"/>
      <c r="J114" s="31"/>
      <c r="L114" s="30"/>
      <c r="M114" s="30"/>
      <c r="O114" s="32"/>
      <c r="P114" s="32"/>
      <c r="S114" s="32"/>
    </row>
    <row r="115">
      <c r="D115" s="29"/>
      <c r="G115" s="30"/>
      <c r="H115" s="30"/>
      <c r="I115" s="31"/>
      <c r="J115" s="31"/>
      <c r="L115" s="30"/>
      <c r="M115" s="30"/>
      <c r="O115" s="32"/>
      <c r="P115" s="32"/>
      <c r="S115" s="32"/>
    </row>
    <row r="116">
      <c r="D116" s="29"/>
      <c r="G116" s="30"/>
      <c r="H116" s="30"/>
      <c r="I116" s="31"/>
      <c r="J116" s="31"/>
      <c r="L116" s="30"/>
      <c r="M116" s="30"/>
      <c r="O116" s="32"/>
      <c r="P116" s="32"/>
      <c r="S116" s="32"/>
    </row>
    <row r="117">
      <c r="D117" s="29"/>
      <c r="G117" s="30"/>
      <c r="H117" s="30"/>
      <c r="I117" s="31"/>
      <c r="J117" s="31"/>
      <c r="L117" s="30"/>
      <c r="M117" s="30"/>
      <c r="O117" s="32"/>
      <c r="P117" s="32"/>
      <c r="S117" s="32"/>
    </row>
    <row r="118">
      <c r="D118" s="29"/>
      <c r="G118" s="30"/>
      <c r="H118" s="30"/>
      <c r="I118" s="31"/>
      <c r="J118" s="31"/>
      <c r="L118" s="30"/>
      <c r="M118" s="30"/>
      <c r="O118" s="32"/>
      <c r="P118" s="32"/>
      <c r="S118" s="32"/>
    </row>
    <row r="119">
      <c r="D119" s="29"/>
      <c r="G119" s="30"/>
      <c r="H119" s="30"/>
      <c r="I119" s="31"/>
      <c r="J119" s="31"/>
      <c r="L119" s="30"/>
      <c r="M119" s="30"/>
      <c r="O119" s="32"/>
      <c r="P119" s="32"/>
      <c r="S119" s="32"/>
    </row>
    <row r="120">
      <c r="D120" s="29"/>
      <c r="G120" s="30"/>
      <c r="H120" s="30"/>
      <c r="I120" s="31"/>
      <c r="J120" s="31"/>
      <c r="L120" s="30"/>
      <c r="M120" s="30"/>
      <c r="O120" s="32"/>
      <c r="P120" s="32"/>
      <c r="S120" s="32"/>
    </row>
    <row r="121">
      <c r="D121" s="29"/>
      <c r="G121" s="30"/>
      <c r="H121" s="30"/>
      <c r="I121" s="31"/>
      <c r="J121" s="31"/>
      <c r="L121" s="30"/>
      <c r="M121" s="30"/>
      <c r="O121" s="32"/>
      <c r="P121" s="32"/>
      <c r="S121" s="32"/>
    </row>
    <row r="122">
      <c r="D122" s="29"/>
      <c r="G122" s="30"/>
      <c r="H122" s="30"/>
      <c r="I122" s="31"/>
      <c r="J122" s="31"/>
      <c r="L122" s="30"/>
      <c r="M122" s="30"/>
      <c r="O122" s="32"/>
      <c r="P122" s="32"/>
      <c r="S122" s="32"/>
    </row>
    <row r="123">
      <c r="D123" s="29"/>
      <c r="G123" s="30"/>
      <c r="H123" s="30"/>
      <c r="I123" s="31"/>
      <c r="J123" s="31"/>
      <c r="L123" s="30"/>
      <c r="M123" s="30"/>
      <c r="O123" s="32"/>
      <c r="P123" s="32"/>
      <c r="S123" s="32"/>
    </row>
    <row r="124">
      <c r="D124" s="29"/>
      <c r="G124" s="30"/>
      <c r="H124" s="30"/>
      <c r="I124" s="31"/>
      <c r="J124" s="31"/>
      <c r="L124" s="30"/>
      <c r="M124" s="30"/>
      <c r="O124" s="32"/>
      <c r="P124" s="32"/>
      <c r="S124" s="32"/>
    </row>
    <row r="125">
      <c r="D125" s="29"/>
      <c r="G125" s="30"/>
      <c r="H125" s="30"/>
      <c r="I125" s="31"/>
      <c r="J125" s="31"/>
      <c r="L125" s="30"/>
      <c r="M125" s="30"/>
      <c r="O125" s="32"/>
      <c r="P125" s="32"/>
      <c r="S125" s="32"/>
    </row>
    <row r="126">
      <c r="D126" s="29"/>
      <c r="G126" s="30"/>
      <c r="H126" s="30"/>
      <c r="I126" s="31"/>
      <c r="J126" s="31"/>
      <c r="L126" s="30"/>
      <c r="M126" s="30"/>
      <c r="O126" s="32"/>
      <c r="P126" s="32"/>
      <c r="S126" s="32"/>
    </row>
    <row r="127">
      <c r="D127" s="29"/>
      <c r="G127" s="30"/>
      <c r="H127" s="30"/>
      <c r="I127" s="31"/>
      <c r="J127" s="31"/>
      <c r="L127" s="30"/>
      <c r="M127" s="30"/>
      <c r="O127" s="32"/>
      <c r="P127" s="32"/>
      <c r="S127" s="32"/>
    </row>
    <row r="128">
      <c r="D128" s="29"/>
      <c r="G128" s="30"/>
      <c r="H128" s="30"/>
      <c r="I128" s="31"/>
      <c r="J128" s="31"/>
      <c r="L128" s="30"/>
      <c r="M128" s="30"/>
      <c r="O128" s="32"/>
      <c r="P128" s="32"/>
      <c r="S128" s="32"/>
    </row>
    <row r="129">
      <c r="D129" s="29"/>
      <c r="G129" s="30"/>
      <c r="H129" s="30"/>
      <c r="I129" s="31"/>
      <c r="J129" s="31"/>
      <c r="L129" s="30"/>
      <c r="M129" s="30"/>
      <c r="O129" s="32"/>
      <c r="P129" s="32"/>
      <c r="S129" s="32"/>
    </row>
    <row r="130">
      <c r="D130" s="29"/>
      <c r="G130" s="30"/>
      <c r="H130" s="30"/>
      <c r="I130" s="31"/>
      <c r="J130" s="31"/>
      <c r="L130" s="30"/>
      <c r="M130" s="30"/>
      <c r="O130" s="32"/>
      <c r="P130" s="32"/>
      <c r="S130" s="32"/>
    </row>
    <row r="131">
      <c r="D131" s="29"/>
      <c r="G131" s="30"/>
      <c r="H131" s="30"/>
      <c r="I131" s="31"/>
      <c r="J131" s="31"/>
      <c r="L131" s="30"/>
      <c r="M131" s="30"/>
      <c r="O131" s="32"/>
      <c r="P131" s="32"/>
      <c r="S131" s="32"/>
    </row>
    <row r="132">
      <c r="D132" s="29"/>
      <c r="G132" s="30"/>
      <c r="H132" s="30"/>
      <c r="I132" s="31"/>
      <c r="J132" s="31"/>
      <c r="L132" s="30"/>
      <c r="M132" s="30"/>
      <c r="O132" s="32"/>
      <c r="P132" s="32"/>
      <c r="S132" s="32"/>
    </row>
    <row r="133">
      <c r="D133" s="29"/>
      <c r="G133" s="30"/>
      <c r="H133" s="30"/>
      <c r="I133" s="31"/>
      <c r="J133" s="31"/>
      <c r="L133" s="30"/>
      <c r="M133" s="30"/>
      <c r="O133" s="32"/>
      <c r="P133" s="32"/>
      <c r="S133" s="32"/>
    </row>
    <row r="134">
      <c r="D134" s="29"/>
      <c r="G134" s="30"/>
      <c r="H134" s="30"/>
      <c r="I134" s="31"/>
      <c r="J134" s="31"/>
      <c r="L134" s="30"/>
      <c r="M134" s="30"/>
      <c r="O134" s="32"/>
      <c r="P134" s="32"/>
      <c r="S134" s="32"/>
    </row>
    <row r="135">
      <c r="D135" s="29"/>
      <c r="G135" s="30"/>
      <c r="H135" s="30"/>
      <c r="I135" s="31"/>
      <c r="J135" s="31"/>
      <c r="L135" s="30"/>
      <c r="M135" s="30"/>
      <c r="O135" s="32"/>
      <c r="P135" s="32"/>
      <c r="S135" s="32"/>
    </row>
    <row r="136">
      <c r="D136" s="29"/>
      <c r="G136" s="30"/>
      <c r="H136" s="30"/>
      <c r="I136" s="31"/>
      <c r="J136" s="31"/>
      <c r="L136" s="30"/>
      <c r="M136" s="30"/>
      <c r="O136" s="32"/>
      <c r="P136" s="32"/>
      <c r="S136" s="32"/>
    </row>
    <row r="137">
      <c r="D137" s="29"/>
      <c r="G137" s="30"/>
      <c r="H137" s="30"/>
      <c r="I137" s="31"/>
      <c r="J137" s="31"/>
      <c r="L137" s="30"/>
      <c r="M137" s="30"/>
      <c r="O137" s="32"/>
      <c r="P137" s="32"/>
      <c r="S137" s="32"/>
    </row>
    <row r="138">
      <c r="D138" s="29"/>
      <c r="G138" s="30"/>
      <c r="H138" s="30"/>
      <c r="I138" s="31"/>
      <c r="J138" s="31"/>
      <c r="L138" s="30"/>
      <c r="M138" s="30"/>
      <c r="O138" s="32"/>
      <c r="P138" s="32"/>
      <c r="S138" s="32"/>
    </row>
    <row r="139">
      <c r="D139" s="29"/>
      <c r="G139" s="30"/>
      <c r="H139" s="30"/>
      <c r="I139" s="31"/>
      <c r="J139" s="31"/>
      <c r="L139" s="30"/>
      <c r="M139" s="30"/>
      <c r="O139" s="32"/>
      <c r="P139" s="32"/>
      <c r="S139" s="32"/>
    </row>
    <row r="140">
      <c r="D140" s="29"/>
      <c r="G140" s="30"/>
      <c r="H140" s="30"/>
      <c r="I140" s="31"/>
      <c r="J140" s="31"/>
      <c r="L140" s="30"/>
      <c r="M140" s="30"/>
      <c r="O140" s="32"/>
      <c r="P140" s="32"/>
      <c r="S140" s="32"/>
    </row>
    <row r="141">
      <c r="D141" s="29"/>
      <c r="G141" s="30"/>
      <c r="H141" s="30"/>
      <c r="I141" s="31"/>
      <c r="J141" s="31"/>
      <c r="L141" s="30"/>
      <c r="M141" s="30"/>
      <c r="O141" s="32"/>
      <c r="P141" s="32"/>
      <c r="S141" s="32"/>
    </row>
    <row r="142">
      <c r="D142" s="29"/>
      <c r="G142" s="30"/>
      <c r="H142" s="30"/>
      <c r="I142" s="31"/>
      <c r="J142" s="31"/>
      <c r="L142" s="30"/>
      <c r="M142" s="30"/>
      <c r="O142" s="32"/>
      <c r="P142" s="32"/>
      <c r="S142" s="32"/>
    </row>
    <row r="143">
      <c r="D143" s="29"/>
      <c r="G143" s="30"/>
      <c r="H143" s="30"/>
      <c r="I143" s="31"/>
      <c r="J143" s="31"/>
      <c r="L143" s="30"/>
      <c r="M143" s="30"/>
      <c r="O143" s="32"/>
      <c r="P143" s="32"/>
      <c r="S143" s="32"/>
    </row>
    <row r="144">
      <c r="D144" s="29"/>
      <c r="G144" s="30"/>
      <c r="H144" s="30"/>
      <c r="I144" s="31"/>
      <c r="J144" s="31"/>
      <c r="L144" s="30"/>
      <c r="M144" s="30"/>
      <c r="O144" s="32"/>
      <c r="P144" s="32"/>
      <c r="S144" s="32"/>
    </row>
    <row r="145">
      <c r="D145" s="29"/>
      <c r="G145" s="30"/>
      <c r="H145" s="30"/>
      <c r="I145" s="31"/>
      <c r="J145" s="31"/>
      <c r="L145" s="30"/>
      <c r="M145" s="30"/>
      <c r="O145" s="32"/>
      <c r="P145" s="32"/>
      <c r="S145" s="32"/>
    </row>
    <row r="146">
      <c r="D146" s="29"/>
      <c r="G146" s="30"/>
      <c r="H146" s="30"/>
      <c r="I146" s="31"/>
      <c r="J146" s="31"/>
      <c r="L146" s="30"/>
      <c r="M146" s="30"/>
      <c r="O146" s="32"/>
      <c r="P146" s="32"/>
      <c r="S146" s="32"/>
    </row>
    <row r="147">
      <c r="D147" s="29"/>
      <c r="G147" s="30"/>
      <c r="H147" s="30"/>
      <c r="I147" s="31"/>
      <c r="J147" s="31"/>
      <c r="L147" s="30"/>
      <c r="M147" s="30"/>
      <c r="O147" s="32"/>
      <c r="P147" s="32"/>
      <c r="S147" s="32"/>
    </row>
    <row r="148">
      <c r="D148" s="29"/>
      <c r="G148" s="30"/>
      <c r="H148" s="30"/>
      <c r="I148" s="31"/>
      <c r="J148" s="31"/>
      <c r="L148" s="30"/>
      <c r="M148" s="30"/>
      <c r="O148" s="32"/>
      <c r="P148" s="32"/>
      <c r="S148" s="32"/>
    </row>
    <row r="149">
      <c r="D149" s="29"/>
      <c r="G149" s="30"/>
      <c r="H149" s="30"/>
      <c r="I149" s="31"/>
      <c r="J149" s="31"/>
      <c r="L149" s="30"/>
      <c r="M149" s="30"/>
      <c r="O149" s="32"/>
      <c r="P149" s="32"/>
      <c r="S149" s="32"/>
    </row>
    <row r="150">
      <c r="D150" s="29"/>
      <c r="G150" s="30"/>
      <c r="H150" s="30"/>
      <c r="I150" s="31"/>
      <c r="J150" s="31"/>
      <c r="L150" s="30"/>
      <c r="M150" s="30"/>
      <c r="O150" s="32"/>
      <c r="P150" s="32"/>
      <c r="S150" s="32"/>
    </row>
    <row r="151">
      <c r="D151" s="29"/>
      <c r="G151" s="30"/>
      <c r="H151" s="30"/>
      <c r="I151" s="31"/>
      <c r="J151" s="31"/>
      <c r="L151" s="30"/>
      <c r="M151" s="30"/>
      <c r="O151" s="32"/>
      <c r="P151" s="32"/>
      <c r="S151" s="32"/>
    </row>
    <row r="152">
      <c r="D152" s="29"/>
      <c r="G152" s="30"/>
      <c r="H152" s="30"/>
      <c r="I152" s="31"/>
      <c r="J152" s="31"/>
      <c r="L152" s="30"/>
      <c r="M152" s="30"/>
      <c r="O152" s="32"/>
      <c r="P152" s="32"/>
      <c r="S152" s="32"/>
    </row>
    <row r="153">
      <c r="D153" s="29"/>
      <c r="G153" s="30"/>
      <c r="H153" s="30"/>
      <c r="I153" s="31"/>
      <c r="J153" s="31"/>
      <c r="L153" s="30"/>
      <c r="M153" s="30"/>
      <c r="O153" s="32"/>
      <c r="P153" s="32"/>
      <c r="S153" s="32"/>
    </row>
    <row r="154">
      <c r="D154" s="29"/>
      <c r="G154" s="30"/>
      <c r="H154" s="30"/>
      <c r="I154" s="31"/>
      <c r="J154" s="31"/>
      <c r="L154" s="30"/>
      <c r="M154" s="30"/>
      <c r="O154" s="32"/>
      <c r="P154" s="32"/>
      <c r="S154" s="32"/>
    </row>
    <row r="155">
      <c r="D155" s="29"/>
      <c r="G155" s="30"/>
      <c r="H155" s="30"/>
      <c r="I155" s="31"/>
      <c r="J155" s="31"/>
      <c r="L155" s="30"/>
      <c r="M155" s="30"/>
      <c r="O155" s="32"/>
      <c r="P155" s="32"/>
      <c r="S155" s="32"/>
    </row>
    <row r="156">
      <c r="D156" s="29"/>
      <c r="G156" s="30"/>
      <c r="H156" s="30"/>
      <c r="I156" s="31"/>
      <c r="J156" s="31"/>
      <c r="L156" s="30"/>
      <c r="M156" s="30"/>
      <c r="O156" s="32"/>
      <c r="P156" s="32"/>
      <c r="S156" s="32"/>
    </row>
    <row r="157">
      <c r="D157" s="29"/>
      <c r="G157" s="30"/>
      <c r="H157" s="30"/>
      <c r="I157" s="31"/>
      <c r="J157" s="31"/>
      <c r="L157" s="30"/>
      <c r="M157" s="30"/>
      <c r="O157" s="32"/>
      <c r="P157" s="32"/>
      <c r="S157" s="32"/>
    </row>
    <row r="158">
      <c r="D158" s="29"/>
      <c r="G158" s="30"/>
      <c r="H158" s="30"/>
      <c r="I158" s="31"/>
      <c r="J158" s="31"/>
      <c r="L158" s="30"/>
      <c r="M158" s="30"/>
      <c r="O158" s="32"/>
      <c r="P158" s="32"/>
      <c r="S158" s="32"/>
    </row>
    <row r="159">
      <c r="D159" s="29"/>
      <c r="G159" s="30"/>
      <c r="H159" s="30"/>
      <c r="I159" s="31"/>
      <c r="J159" s="31"/>
      <c r="L159" s="30"/>
      <c r="M159" s="30"/>
      <c r="O159" s="32"/>
      <c r="P159" s="32"/>
      <c r="S159" s="32"/>
    </row>
    <row r="160">
      <c r="D160" s="29"/>
      <c r="G160" s="30"/>
      <c r="H160" s="30"/>
      <c r="I160" s="31"/>
      <c r="J160" s="31"/>
      <c r="L160" s="30"/>
      <c r="M160" s="30"/>
      <c r="O160" s="32"/>
      <c r="P160" s="32"/>
      <c r="S160" s="32"/>
    </row>
    <row r="161">
      <c r="D161" s="29"/>
      <c r="G161" s="30"/>
      <c r="H161" s="30"/>
      <c r="I161" s="31"/>
      <c r="J161" s="31"/>
      <c r="L161" s="30"/>
      <c r="M161" s="30"/>
      <c r="O161" s="32"/>
      <c r="P161" s="32"/>
      <c r="S161" s="32"/>
    </row>
    <row r="162">
      <c r="D162" s="29"/>
      <c r="G162" s="30"/>
      <c r="H162" s="30"/>
      <c r="I162" s="31"/>
      <c r="J162" s="31"/>
      <c r="L162" s="30"/>
      <c r="M162" s="30"/>
      <c r="O162" s="32"/>
      <c r="P162" s="32"/>
      <c r="S162" s="32"/>
    </row>
    <row r="163">
      <c r="D163" s="29"/>
      <c r="G163" s="30"/>
      <c r="H163" s="30"/>
      <c r="I163" s="31"/>
      <c r="J163" s="31"/>
      <c r="L163" s="30"/>
      <c r="M163" s="30"/>
      <c r="O163" s="32"/>
      <c r="P163" s="32"/>
      <c r="S163" s="32"/>
    </row>
    <row r="164">
      <c r="D164" s="29"/>
      <c r="G164" s="30"/>
      <c r="H164" s="30"/>
      <c r="I164" s="31"/>
      <c r="J164" s="31"/>
      <c r="L164" s="30"/>
      <c r="M164" s="30"/>
      <c r="O164" s="32"/>
      <c r="P164" s="32"/>
      <c r="S164" s="32"/>
    </row>
    <row r="165">
      <c r="D165" s="29"/>
      <c r="G165" s="30"/>
      <c r="H165" s="30"/>
      <c r="I165" s="31"/>
      <c r="J165" s="31"/>
      <c r="L165" s="30"/>
      <c r="M165" s="30"/>
      <c r="O165" s="32"/>
      <c r="P165" s="32"/>
      <c r="S165" s="32"/>
    </row>
    <row r="166">
      <c r="D166" s="29"/>
      <c r="G166" s="30"/>
      <c r="H166" s="30"/>
      <c r="I166" s="31"/>
      <c r="J166" s="31"/>
      <c r="L166" s="30"/>
      <c r="M166" s="30"/>
      <c r="O166" s="32"/>
      <c r="P166" s="32"/>
      <c r="S166" s="32"/>
    </row>
    <row r="167">
      <c r="D167" s="29"/>
      <c r="G167" s="30"/>
      <c r="H167" s="30"/>
      <c r="I167" s="31"/>
      <c r="J167" s="31"/>
      <c r="L167" s="30"/>
      <c r="M167" s="30"/>
      <c r="O167" s="32"/>
      <c r="P167" s="32"/>
      <c r="S167" s="32"/>
    </row>
    <row r="168">
      <c r="D168" s="29"/>
      <c r="G168" s="30"/>
      <c r="H168" s="30"/>
      <c r="I168" s="31"/>
      <c r="J168" s="31"/>
      <c r="L168" s="30"/>
      <c r="M168" s="30"/>
      <c r="O168" s="32"/>
      <c r="P168" s="32"/>
      <c r="S168" s="32"/>
    </row>
    <row r="169">
      <c r="D169" s="29"/>
      <c r="G169" s="30"/>
      <c r="H169" s="30"/>
      <c r="I169" s="31"/>
      <c r="J169" s="31"/>
      <c r="L169" s="30"/>
      <c r="M169" s="30"/>
      <c r="O169" s="32"/>
      <c r="P169" s="32"/>
      <c r="S169" s="32"/>
    </row>
    <row r="170">
      <c r="D170" s="29"/>
      <c r="G170" s="30"/>
      <c r="H170" s="30"/>
      <c r="I170" s="31"/>
      <c r="J170" s="31"/>
      <c r="L170" s="30"/>
      <c r="M170" s="30"/>
      <c r="O170" s="32"/>
      <c r="P170" s="32"/>
      <c r="S170" s="32"/>
    </row>
    <row r="171">
      <c r="D171" s="29"/>
      <c r="G171" s="30"/>
      <c r="H171" s="30"/>
      <c r="I171" s="31"/>
      <c r="J171" s="31"/>
      <c r="L171" s="30"/>
      <c r="M171" s="30"/>
      <c r="O171" s="32"/>
      <c r="P171" s="32"/>
      <c r="S171" s="32"/>
    </row>
    <row r="172">
      <c r="D172" s="29"/>
      <c r="G172" s="30"/>
      <c r="H172" s="30"/>
      <c r="I172" s="31"/>
      <c r="J172" s="31"/>
      <c r="L172" s="30"/>
      <c r="M172" s="30"/>
      <c r="O172" s="32"/>
      <c r="P172" s="32"/>
      <c r="S172" s="32"/>
    </row>
    <row r="173">
      <c r="D173" s="29"/>
      <c r="G173" s="30"/>
      <c r="H173" s="30"/>
      <c r="I173" s="31"/>
      <c r="J173" s="31"/>
      <c r="L173" s="30"/>
      <c r="M173" s="30"/>
      <c r="O173" s="32"/>
      <c r="P173" s="32"/>
      <c r="S173" s="32"/>
    </row>
    <row r="174">
      <c r="D174" s="29"/>
      <c r="G174" s="30"/>
      <c r="H174" s="30"/>
      <c r="I174" s="31"/>
      <c r="J174" s="31"/>
      <c r="L174" s="30"/>
      <c r="M174" s="30"/>
      <c r="O174" s="32"/>
      <c r="P174" s="32"/>
      <c r="S174" s="32"/>
    </row>
    <row r="175">
      <c r="D175" s="29"/>
      <c r="G175" s="30"/>
      <c r="H175" s="30"/>
      <c r="I175" s="31"/>
      <c r="J175" s="31"/>
      <c r="L175" s="30"/>
      <c r="M175" s="30"/>
      <c r="O175" s="32"/>
      <c r="P175" s="32"/>
      <c r="S175" s="32"/>
    </row>
    <row r="176">
      <c r="D176" s="29"/>
      <c r="G176" s="30"/>
      <c r="H176" s="30"/>
      <c r="I176" s="31"/>
      <c r="J176" s="31"/>
      <c r="L176" s="30"/>
      <c r="M176" s="30"/>
      <c r="O176" s="32"/>
      <c r="P176" s="32"/>
      <c r="S176" s="32"/>
    </row>
    <row r="177">
      <c r="D177" s="29"/>
      <c r="G177" s="30"/>
      <c r="H177" s="30"/>
      <c r="I177" s="31"/>
      <c r="J177" s="31"/>
      <c r="L177" s="30"/>
      <c r="M177" s="30"/>
      <c r="O177" s="32"/>
      <c r="P177" s="32"/>
      <c r="S177" s="32"/>
    </row>
    <row r="178">
      <c r="D178" s="29"/>
      <c r="G178" s="30"/>
      <c r="H178" s="30"/>
      <c r="I178" s="31"/>
      <c r="J178" s="31"/>
      <c r="L178" s="30"/>
      <c r="M178" s="30"/>
      <c r="O178" s="32"/>
      <c r="P178" s="32"/>
      <c r="S178" s="32"/>
    </row>
    <row r="179">
      <c r="D179" s="29"/>
      <c r="G179" s="30"/>
      <c r="H179" s="30"/>
      <c r="I179" s="31"/>
      <c r="J179" s="31"/>
      <c r="L179" s="30"/>
      <c r="M179" s="30"/>
      <c r="O179" s="32"/>
      <c r="P179" s="32"/>
      <c r="S179" s="32"/>
    </row>
    <row r="180">
      <c r="D180" s="29"/>
      <c r="G180" s="30"/>
      <c r="H180" s="30"/>
      <c r="I180" s="31"/>
      <c r="J180" s="31"/>
      <c r="L180" s="30"/>
      <c r="M180" s="30"/>
      <c r="O180" s="32"/>
      <c r="P180" s="32"/>
      <c r="S180" s="32"/>
    </row>
    <row r="181">
      <c r="D181" s="29"/>
      <c r="G181" s="30"/>
      <c r="H181" s="30"/>
      <c r="I181" s="31"/>
      <c r="J181" s="31"/>
      <c r="L181" s="30"/>
      <c r="M181" s="30"/>
      <c r="O181" s="32"/>
      <c r="P181" s="32"/>
      <c r="S181" s="32"/>
    </row>
    <row r="182">
      <c r="D182" s="29"/>
      <c r="G182" s="30"/>
      <c r="H182" s="30"/>
      <c r="I182" s="31"/>
      <c r="J182" s="31"/>
      <c r="L182" s="30"/>
      <c r="M182" s="30"/>
      <c r="O182" s="32"/>
      <c r="P182" s="32"/>
      <c r="S182" s="32"/>
    </row>
    <row r="183">
      <c r="D183" s="29"/>
      <c r="G183" s="30"/>
      <c r="H183" s="30"/>
      <c r="I183" s="31"/>
      <c r="J183" s="31"/>
      <c r="L183" s="30"/>
      <c r="M183" s="30"/>
      <c r="O183" s="32"/>
      <c r="P183" s="32"/>
      <c r="S183" s="32"/>
    </row>
    <row r="184">
      <c r="D184" s="29"/>
      <c r="G184" s="30"/>
      <c r="H184" s="30"/>
      <c r="I184" s="31"/>
      <c r="J184" s="31"/>
      <c r="L184" s="30"/>
      <c r="M184" s="30"/>
      <c r="O184" s="32"/>
      <c r="P184" s="32"/>
      <c r="S184" s="32"/>
    </row>
    <row r="185">
      <c r="D185" s="29"/>
      <c r="G185" s="30"/>
      <c r="H185" s="30"/>
      <c r="I185" s="31"/>
      <c r="J185" s="31"/>
      <c r="L185" s="30"/>
      <c r="M185" s="30"/>
      <c r="O185" s="32"/>
      <c r="P185" s="32"/>
      <c r="S185" s="32"/>
    </row>
    <row r="186">
      <c r="D186" s="29"/>
      <c r="G186" s="30"/>
      <c r="H186" s="30"/>
      <c r="I186" s="31"/>
      <c r="J186" s="31"/>
      <c r="L186" s="30"/>
      <c r="M186" s="30"/>
      <c r="O186" s="32"/>
      <c r="P186" s="32"/>
      <c r="S186" s="32"/>
    </row>
    <row r="187">
      <c r="D187" s="29"/>
      <c r="G187" s="30"/>
      <c r="H187" s="30"/>
      <c r="I187" s="31"/>
      <c r="J187" s="31"/>
      <c r="L187" s="30"/>
      <c r="M187" s="30"/>
      <c r="O187" s="32"/>
      <c r="P187" s="32"/>
      <c r="S187" s="32"/>
    </row>
    <row r="188">
      <c r="D188" s="29"/>
      <c r="G188" s="30"/>
      <c r="H188" s="30"/>
      <c r="I188" s="31"/>
      <c r="J188" s="31"/>
      <c r="L188" s="30"/>
      <c r="M188" s="30"/>
      <c r="O188" s="32"/>
      <c r="P188" s="32"/>
      <c r="S188" s="32"/>
    </row>
    <row r="189">
      <c r="D189" s="29"/>
      <c r="G189" s="30"/>
      <c r="H189" s="30"/>
      <c r="I189" s="31"/>
      <c r="J189" s="31"/>
      <c r="L189" s="30"/>
      <c r="M189" s="30"/>
      <c r="O189" s="32"/>
      <c r="P189" s="32"/>
      <c r="S189" s="32"/>
    </row>
    <row r="190">
      <c r="D190" s="29"/>
      <c r="G190" s="30"/>
      <c r="H190" s="30"/>
      <c r="I190" s="31"/>
      <c r="J190" s="31"/>
      <c r="L190" s="30"/>
      <c r="M190" s="30"/>
      <c r="O190" s="32"/>
      <c r="P190" s="32"/>
      <c r="S190" s="32"/>
    </row>
    <row r="191">
      <c r="D191" s="29"/>
      <c r="G191" s="30"/>
      <c r="H191" s="30"/>
      <c r="I191" s="31"/>
      <c r="J191" s="31"/>
      <c r="L191" s="30"/>
      <c r="M191" s="30"/>
      <c r="O191" s="32"/>
      <c r="P191" s="32"/>
      <c r="S191" s="32"/>
    </row>
    <row r="192">
      <c r="D192" s="29"/>
      <c r="G192" s="30"/>
      <c r="H192" s="30"/>
      <c r="I192" s="31"/>
      <c r="J192" s="31"/>
      <c r="L192" s="30"/>
      <c r="M192" s="30"/>
      <c r="O192" s="32"/>
      <c r="P192" s="32"/>
      <c r="S192" s="32"/>
    </row>
    <row r="193">
      <c r="D193" s="29"/>
      <c r="G193" s="30"/>
      <c r="H193" s="30"/>
      <c r="I193" s="31"/>
      <c r="J193" s="31"/>
      <c r="L193" s="30"/>
      <c r="M193" s="30"/>
      <c r="O193" s="32"/>
      <c r="P193" s="32"/>
      <c r="S193" s="32"/>
    </row>
    <row r="194">
      <c r="D194" s="29"/>
      <c r="G194" s="30"/>
      <c r="H194" s="30"/>
      <c r="I194" s="31"/>
      <c r="J194" s="31"/>
      <c r="L194" s="30"/>
      <c r="M194" s="30"/>
      <c r="O194" s="32"/>
      <c r="P194" s="32"/>
      <c r="S194" s="32"/>
    </row>
    <row r="195">
      <c r="D195" s="29"/>
      <c r="G195" s="30"/>
      <c r="H195" s="30"/>
      <c r="I195" s="31"/>
      <c r="J195" s="31"/>
      <c r="L195" s="30"/>
      <c r="M195" s="30"/>
      <c r="O195" s="32"/>
      <c r="P195" s="32"/>
      <c r="S195" s="32"/>
    </row>
    <row r="196">
      <c r="D196" s="29"/>
      <c r="G196" s="30"/>
      <c r="H196" s="30"/>
      <c r="I196" s="31"/>
      <c r="J196" s="31"/>
      <c r="L196" s="30"/>
      <c r="M196" s="30"/>
      <c r="O196" s="32"/>
      <c r="P196" s="32"/>
      <c r="S196" s="32"/>
    </row>
    <row r="197">
      <c r="D197" s="29"/>
      <c r="G197" s="30"/>
      <c r="H197" s="30"/>
      <c r="I197" s="31"/>
      <c r="J197" s="31"/>
      <c r="L197" s="30"/>
      <c r="M197" s="30"/>
      <c r="O197" s="32"/>
      <c r="P197" s="32"/>
      <c r="S197" s="32"/>
    </row>
    <row r="198">
      <c r="D198" s="29"/>
      <c r="G198" s="30"/>
      <c r="H198" s="30"/>
      <c r="I198" s="31"/>
      <c r="J198" s="31"/>
      <c r="L198" s="30"/>
      <c r="M198" s="30"/>
      <c r="O198" s="32"/>
      <c r="P198" s="32"/>
      <c r="S198" s="32"/>
    </row>
    <row r="199">
      <c r="D199" s="29"/>
      <c r="G199" s="30"/>
      <c r="H199" s="30"/>
      <c r="I199" s="31"/>
      <c r="J199" s="31"/>
      <c r="L199" s="30"/>
      <c r="M199" s="30"/>
      <c r="O199" s="32"/>
      <c r="P199" s="32"/>
      <c r="S199" s="32"/>
    </row>
    <row r="200">
      <c r="D200" s="29"/>
      <c r="G200" s="30"/>
      <c r="H200" s="30"/>
      <c r="I200" s="31"/>
      <c r="J200" s="31"/>
      <c r="L200" s="30"/>
      <c r="M200" s="30"/>
      <c r="O200" s="32"/>
      <c r="P200" s="32"/>
      <c r="S200" s="32"/>
    </row>
    <row r="201">
      <c r="D201" s="29"/>
      <c r="G201" s="30"/>
      <c r="H201" s="30"/>
      <c r="I201" s="31"/>
      <c r="J201" s="31"/>
      <c r="L201" s="30"/>
      <c r="M201" s="30"/>
      <c r="O201" s="32"/>
      <c r="P201" s="32"/>
      <c r="S201" s="32"/>
    </row>
    <row r="202">
      <c r="D202" s="29"/>
      <c r="G202" s="30"/>
      <c r="H202" s="30"/>
      <c r="I202" s="31"/>
      <c r="J202" s="31"/>
      <c r="L202" s="30"/>
      <c r="M202" s="30"/>
      <c r="O202" s="32"/>
      <c r="P202" s="32"/>
      <c r="S202" s="32"/>
    </row>
    <row r="203">
      <c r="D203" s="29"/>
      <c r="G203" s="30"/>
      <c r="H203" s="30"/>
      <c r="I203" s="31"/>
      <c r="J203" s="31"/>
      <c r="L203" s="30"/>
      <c r="M203" s="30"/>
      <c r="O203" s="32"/>
      <c r="P203" s="32"/>
      <c r="S203" s="32"/>
    </row>
    <row r="204">
      <c r="D204" s="29"/>
      <c r="G204" s="30"/>
      <c r="H204" s="30"/>
      <c r="I204" s="31"/>
      <c r="J204" s="31"/>
      <c r="L204" s="30"/>
      <c r="M204" s="30"/>
      <c r="O204" s="32"/>
      <c r="P204" s="32"/>
      <c r="S204" s="32"/>
    </row>
    <row r="205">
      <c r="D205" s="29"/>
      <c r="G205" s="30"/>
      <c r="H205" s="30"/>
      <c r="I205" s="31"/>
      <c r="J205" s="31"/>
      <c r="L205" s="30"/>
      <c r="M205" s="30"/>
      <c r="O205" s="32"/>
      <c r="P205" s="32"/>
      <c r="S205" s="32"/>
    </row>
    <row r="206">
      <c r="D206" s="29"/>
      <c r="G206" s="30"/>
      <c r="H206" s="30"/>
      <c r="I206" s="31"/>
      <c r="J206" s="31"/>
      <c r="L206" s="30"/>
      <c r="M206" s="30"/>
      <c r="O206" s="32"/>
      <c r="P206" s="32"/>
      <c r="S206" s="32"/>
    </row>
    <row r="207">
      <c r="D207" s="29"/>
      <c r="G207" s="30"/>
      <c r="H207" s="30"/>
      <c r="I207" s="31"/>
      <c r="J207" s="31"/>
      <c r="L207" s="30"/>
      <c r="M207" s="30"/>
      <c r="O207" s="32"/>
      <c r="P207" s="32"/>
      <c r="S207" s="32"/>
    </row>
    <row r="208">
      <c r="D208" s="29"/>
      <c r="G208" s="30"/>
      <c r="H208" s="30"/>
      <c r="I208" s="31"/>
      <c r="J208" s="31"/>
      <c r="L208" s="30"/>
      <c r="M208" s="30"/>
      <c r="O208" s="32"/>
      <c r="P208" s="32"/>
      <c r="S208" s="32"/>
    </row>
    <row r="209">
      <c r="D209" s="29"/>
      <c r="G209" s="30"/>
      <c r="H209" s="30"/>
      <c r="I209" s="31"/>
      <c r="J209" s="31"/>
      <c r="L209" s="30"/>
      <c r="M209" s="30"/>
      <c r="O209" s="32"/>
      <c r="P209" s="32"/>
      <c r="S209" s="32"/>
    </row>
    <row r="210">
      <c r="D210" s="29"/>
      <c r="G210" s="30"/>
      <c r="H210" s="30"/>
      <c r="I210" s="31"/>
      <c r="J210" s="31"/>
      <c r="L210" s="30"/>
      <c r="M210" s="30"/>
      <c r="O210" s="32"/>
      <c r="P210" s="32"/>
      <c r="S210" s="32"/>
    </row>
    <row r="211">
      <c r="D211" s="29"/>
      <c r="G211" s="30"/>
      <c r="H211" s="30"/>
      <c r="I211" s="31"/>
      <c r="J211" s="31"/>
      <c r="L211" s="30"/>
      <c r="M211" s="30"/>
      <c r="O211" s="32"/>
      <c r="P211" s="32"/>
      <c r="S211" s="32"/>
    </row>
    <row r="212">
      <c r="D212" s="29"/>
      <c r="G212" s="30"/>
      <c r="H212" s="30"/>
      <c r="I212" s="31"/>
      <c r="J212" s="31"/>
      <c r="L212" s="30"/>
      <c r="M212" s="30"/>
      <c r="O212" s="32"/>
      <c r="P212" s="32"/>
      <c r="S212" s="32"/>
    </row>
    <row r="213">
      <c r="D213" s="29"/>
      <c r="G213" s="30"/>
      <c r="H213" s="30"/>
      <c r="I213" s="31"/>
      <c r="J213" s="31"/>
      <c r="L213" s="30"/>
      <c r="M213" s="30"/>
      <c r="O213" s="32"/>
      <c r="P213" s="32"/>
      <c r="S213" s="32"/>
    </row>
    <row r="214">
      <c r="D214" s="29"/>
      <c r="G214" s="30"/>
      <c r="H214" s="30"/>
      <c r="I214" s="31"/>
      <c r="J214" s="31"/>
      <c r="L214" s="30"/>
      <c r="M214" s="30"/>
      <c r="O214" s="32"/>
      <c r="P214" s="32"/>
      <c r="S214" s="32"/>
    </row>
    <row r="215">
      <c r="D215" s="29"/>
      <c r="G215" s="30"/>
      <c r="H215" s="30"/>
      <c r="I215" s="31"/>
      <c r="J215" s="31"/>
      <c r="L215" s="30"/>
      <c r="M215" s="30"/>
      <c r="O215" s="32"/>
      <c r="P215" s="32"/>
      <c r="S215" s="32"/>
    </row>
    <row r="216">
      <c r="D216" s="29"/>
      <c r="G216" s="30"/>
      <c r="H216" s="30"/>
      <c r="I216" s="31"/>
      <c r="J216" s="31"/>
      <c r="L216" s="30"/>
      <c r="M216" s="30"/>
      <c r="O216" s="32"/>
      <c r="P216" s="32"/>
      <c r="S216" s="32"/>
    </row>
    <row r="217">
      <c r="D217" s="29"/>
      <c r="G217" s="30"/>
      <c r="H217" s="30"/>
      <c r="I217" s="31"/>
      <c r="J217" s="31"/>
      <c r="L217" s="30"/>
      <c r="M217" s="30"/>
      <c r="O217" s="32"/>
      <c r="P217" s="32"/>
      <c r="S217" s="32"/>
    </row>
    <row r="218">
      <c r="D218" s="29"/>
      <c r="G218" s="30"/>
      <c r="H218" s="30"/>
      <c r="I218" s="31"/>
      <c r="J218" s="31"/>
      <c r="L218" s="30"/>
      <c r="M218" s="30"/>
      <c r="O218" s="32"/>
      <c r="P218" s="32"/>
      <c r="S218" s="32"/>
    </row>
    <row r="219">
      <c r="D219" s="29"/>
      <c r="G219" s="30"/>
      <c r="H219" s="30"/>
      <c r="I219" s="31"/>
      <c r="J219" s="31"/>
      <c r="L219" s="30"/>
      <c r="M219" s="30"/>
      <c r="O219" s="32"/>
      <c r="P219" s="32"/>
      <c r="S219" s="32"/>
    </row>
    <row r="220">
      <c r="D220" s="29"/>
      <c r="G220" s="30"/>
      <c r="H220" s="30"/>
      <c r="I220" s="31"/>
      <c r="J220" s="31"/>
      <c r="L220" s="30"/>
      <c r="M220" s="30"/>
      <c r="O220" s="32"/>
      <c r="P220" s="32"/>
      <c r="S220" s="32"/>
    </row>
    <row r="221">
      <c r="D221" s="29"/>
      <c r="G221" s="30"/>
      <c r="H221" s="30"/>
      <c r="I221" s="31"/>
      <c r="J221" s="31"/>
      <c r="L221" s="30"/>
      <c r="M221" s="30"/>
      <c r="O221" s="32"/>
      <c r="P221" s="32"/>
      <c r="S221" s="32"/>
    </row>
    <row r="222">
      <c r="D222" s="29"/>
      <c r="G222" s="30"/>
      <c r="H222" s="30"/>
      <c r="I222" s="31"/>
      <c r="J222" s="31"/>
      <c r="L222" s="30"/>
      <c r="M222" s="30"/>
      <c r="O222" s="32"/>
      <c r="P222" s="32"/>
      <c r="S222" s="32"/>
    </row>
    <row r="223">
      <c r="D223" s="29"/>
      <c r="G223" s="30"/>
      <c r="H223" s="30"/>
      <c r="I223" s="31"/>
      <c r="J223" s="31"/>
      <c r="L223" s="30"/>
      <c r="M223" s="30"/>
      <c r="O223" s="32"/>
      <c r="P223" s="32"/>
      <c r="S223" s="32"/>
    </row>
    <row r="224">
      <c r="D224" s="29"/>
      <c r="G224" s="30"/>
      <c r="H224" s="30"/>
      <c r="I224" s="31"/>
      <c r="J224" s="31"/>
      <c r="L224" s="30"/>
      <c r="M224" s="30"/>
      <c r="O224" s="32"/>
      <c r="P224" s="32"/>
      <c r="S224" s="32"/>
    </row>
    <row r="225">
      <c r="D225" s="29"/>
      <c r="G225" s="30"/>
      <c r="H225" s="30"/>
      <c r="I225" s="31"/>
      <c r="J225" s="31"/>
      <c r="L225" s="30"/>
      <c r="M225" s="30"/>
      <c r="O225" s="32"/>
      <c r="P225" s="32"/>
      <c r="S225" s="32"/>
    </row>
    <row r="226">
      <c r="D226" s="29"/>
      <c r="G226" s="30"/>
      <c r="H226" s="30"/>
      <c r="I226" s="31"/>
      <c r="J226" s="31"/>
      <c r="L226" s="30"/>
      <c r="M226" s="30"/>
      <c r="O226" s="32"/>
      <c r="P226" s="32"/>
      <c r="S226" s="32"/>
    </row>
    <row r="227">
      <c r="D227" s="29"/>
      <c r="G227" s="30"/>
      <c r="H227" s="30"/>
      <c r="I227" s="31"/>
      <c r="J227" s="31"/>
      <c r="L227" s="30"/>
      <c r="M227" s="30"/>
      <c r="O227" s="32"/>
      <c r="P227" s="32"/>
      <c r="S227" s="32"/>
    </row>
    <row r="228">
      <c r="D228" s="29"/>
      <c r="G228" s="30"/>
      <c r="H228" s="30"/>
      <c r="I228" s="31"/>
      <c r="J228" s="31"/>
      <c r="L228" s="30"/>
      <c r="M228" s="30"/>
      <c r="O228" s="32"/>
      <c r="P228" s="32"/>
      <c r="S228" s="32"/>
    </row>
    <row r="229">
      <c r="D229" s="29"/>
      <c r="G229" s="30"/>
      <c r="H229" s="30"/>
      <c r="I229" s="31"/>
      <c r="J229" s="31"/>
      <c r="L229" s="30"/>
      <c r="M229" s="30"/>
      <c r="O229" s="32"/>
      <c r="P229" s="32"/>
      <c r="S229" s="32"/>
    </row>
    <row r="230">
      <c r="D230" s="29"/>
      <c r="G230" s="30"/>
      <c r="H230" s="30"/>
      <c r="I230" s="31"/>
      <c r="J230" s="31"/>
      <c r="L230" s="30"/>
      <c r="M230" s="30"/>
      <c r="O230" s="32"/>
      <c r="P230" s="32"/>
      <c r="S230" s="32"/>
    </row>
    <row r="231">
      <c r="D231" s="29"/>
      <c r="G231" s="30"/>
      <c r="H231" s="30"/>
      <c r="I231" s="31"/>
      <c r="J231" s="31"/>
      <c r="L231" s="30"/>
      <c r="M231" s="30"/>
      <c r="O231" s="32"/>
      <c r="P231" s="32"/>
      <c r="S231" s="32"/>
    </row>
    <row r="232">
      <c r="D232" s="29"/>
      <c r="G232" s="30"/>
      <c r="H232" s="30"/>
      <c r="I232" s="31"/>
      <c r="J232" s="31"/>
      <c r="L232" s="30"/>
      <c r="M232" s="30"/>
      <c r="O232" s="32"/>
      <c r="P232" s="32"/>
      <c r="S232" s="32"/>
    </row>
    <row r="233">
      <c r="D233" s="29"/>
      <c r="G233" s="30"/>
      <c r="H233" s="30"/>
      <c r="I233" s="31"/>
      <c r="J233" s="31"/>
      <c r="L233" s="30"/>
      <c r="M233" s="30"/>
      <c r="O233" s="32"/>
      <c r="P233" s="32"/>
      <c r="S233" s="32"/>
    </row>
    <row r="234">
      <c r="D234" s="29"/>
      <c r="G234" s="30"/>
      <c r="H234" s="30"/>
      <c r="I234" s="31"/>
      <c r="J234" s="31"/>
      <c r="L234" s="30"/>
      <c r="M234" s="30"/>
      <c r="O234" s="32"/>
      <c r="P234" s="32"/>
      <c r="S234" s="32"/>
    </row>
    <row r="235">
      <c r="D235" s="29"/>
      <c r="G235" s="30"/>
      <c r="H235" s="30"/>
      <c r="I235" s="31"/>
      <c r="J235" s="31"/>
      <c r="L235" s="30"/>
      <c r="M235" s="30"/>
      <c r="O235" s="32"/>
      <c r="P235" s="32"/>
      <c r="S235" s="32"/>
    </row>
    <row r="236">
      <c r="D236" s="29"/>
      <c r="G236" s="30"/>
      <c r="H236" s="30"/>
      <c r="I236" s="31"/>
      <c r="J236" s="31"/>
      <c r="L236" s="30"/>
      <c r="M236" s="30"/>
      <c r="O236" s="32"/>
      <c r="P236" s="32"/>
      <c r="S236" s="32"/>
    </row>
    <row r="237">
      <c r="D237" s="29"/>
      <c r="G237" s="30"/>
      <c r="H237" s="30"/>
      <c r="I237" s="31"/>
      <c r="J237" s="31"/>
      <c r="L237" s="30"/>
      <c r="M237" s="30"/>
      <c r="O237" s="32"/>
      <c r="P237" s="32"/>
      <c r="S237" s="32"/>
    </row>
    <row r="238">
      <c r="D238" s="29"/>
      <c r="G238" s="30"/>
      <c r="H238" s="30"/>
      <c r="I238" s="31"/>
      <c r="J238" s="31"/>
      <c r="L238" s="30"/>
      <c r="M238" s="30"/>
      <c r="O238" s="32"/>
      <c r="P238" s="32"/>
      <c r="S238" s="32"/>
    </row>
    <row r="239">
      <c r="D239" s="29"/>
      <c r="G239" s="30"/>
      <c r="H239" s="30"/>
      <c r="I239" s="31"/>
      <c r="J239" s="31"/>
      <c r="L239" s="30"/>
      <c r="M239" s="30"/>
      <c r="O239" s="32"/>
      <c r="P239" s="32"/>
      <c r="S239" s="32"/>
    </row>
    <row r="240">
      <c r="D240" s="29"/>
      <c r="G240" s="30"/>
      <c r="H240" s="30"/>
      <c r="I240" s="31"/>
      <c r="J240" s="31"/>
      <c r="L240" s="30"/>
      <c r="M240" s="30"/>
      <c r="O240" s="32"/>
      <c r="P240" s="32"/>
      <c r="S240" s="32"/>
    </row>
    <row r="241">
      <c r="D241" s="29"/>
      <c r="G241" s="30"/>
      <c r="H241" s="30"/>
      <c r="I241" s="31"/>
      <c r="J241" s="31"/>
      <c r="L241" s="30"/>
      <c r="M241" s="30"/>
      <c r="O241" s="32"/>
      <c r="P241" s="32"/>
      <c r="S241" s="32"/>
    </row>
    <row r="242">
      <c r="D242" s="29"/>
      <c r="G242" s="30"/>
      <c r="H242" s="30"/>
      <c r="I242" s="31"/>
      <c r="J242" s="31"/>
      <c r="L242" s="30"/>
      <c r="M242" s="30"/>
      <c r="O242" s="32"/>
      <c r="P242" s="32"/>
      <c r="S242" s="32"/>
    </row>
    <row r="243">
      <c r="D243" s="29"/>
      <c r="G243" s="30"/>
      <c r="H243" s="30"/>
      <c r="I243" s="31"/>
      <c r="J243" s="31"/>
      <c r="L243" s="30"/>
      <c r="M243" s="30"/>
      <c r="O243" s="32"/>
      <c r="P243" s="32"/>
      <c r="S243" s="32"/>
    </row>
    <row r="244">
      <c r="D244" s="29"/>
      <c r="G244" s="30"/>
      <c r="H244" s="30"/>
      <c r="I244" s="31"/>
      <c r="J244" s="31"/>
      <c r="L244" s="30"/>
      <c r="M244" s="30"/>
      <c r="O244" s="32"/>
      <c r="P244" s="32"/>
      <c r="S244" s="32"/>
    </row>
    <row r="245">
      <c r="D245" s="29"/>
      <c r="G245" s="30"/>
      <c r="H245" s="30"/>
      <c r="I245" s="31"/>
      <c r="J245" s="31"/>
      <c r="L245" s="30"/>
      <c r="M245" s="30"/>
      <c r="O245" s="32"/>
      <c r="P245" s="32"/>
      <c r="S245" s="32"/>
    </row>
    <row r="246">
      <c r="D246" s="29"/>
      <c r="G246" s="30"/>
      <c r="H246" s="30"/>
      <c r="I246" s="31"/>
      <c r="J246" s="31"/>
      <c r="L246" s="30"/>
      <c r="M246" s="30"/>
      <c r="O246" s="32"/>
      <c r="P246" s="32"/>
      <c r="S246" s="32"/>
    </row>
    <row r="247">
      <c r="D247" s="29"/>
      <c r="G247" s="30"/>
      <c r="H247" s="30"/>
      <c r="I247" s="31"/>
      <c r="J247" s="31"/>
      <c r="L247" s="30"/>
      <c r="M247" s="30"/>
      <c r="O247" s="32"/>
      <c r="P247" s="32"/>
      <c r="S247" s="32"/>
    </row>
    <row r="248">
      <c r="D248" s="29"/>
      <c r="G248" s="30"/>
      <c r="H248" s="30"/>
      <c r="I248" s="31"/>
      <c r="J248" s="31"/>
      <c r="L248" s="30"/>
      <c r="M248" s="30"/>
      <c r="O248" s="32"/>
      <c r="P248" s="32"/>
      <c r="S248" s="32"/>
    </row>
    <row r="249">
      <c r="D249" s="29"/>
      <c r="G249" s="30"/>
      <c r="H249" s="30"/>
      <c r="I249" s="31"/>
      <c r="J249" s="31"/>
      <c r="L249" s="30"/>
      <c r="M249" s="30"/>
      <c r="O249" s="32"/>
      <c r="P249" s="32"/>
      <c r="S249" s="32"/>
    </row>
    <row r="250">
      <c r="D250" s="29"/>
      <c r="G250" s="30"/>
      <c r="H250" s="30"/>
      <c r="I250" s="31"/>
      <c r="J250" s="31"/>
      <c r="L250" s="30"/>
      <c r="M250" s="30"/>
      <c r="O250" s="32"/>
      <c r="P250" s="32"/>
      <c r="S250" s="32"/>
    </row>
    <row r="251">
      <c r="D251" s="29"/>
      <c r="G251" s="30"/>
      <c r="H251" s="30"/>
      <c r="I251" s="31"/>
      <c r="J251" s="31"/>
      <c r="L251" s="30"/>
      <c r="M251" s="30"/>
      <c r="O251" s="32"/>
      <c r="P251" s="32"/>
      <c r="S251" s="32"/>
    </row>
    <row r="252">
      <c r="D252" s="29"/>
      <c r="G252" s="30"/>
      <c r="H252" s="30"/>
      <c r="I252" s="31"/>
      <c r="J252" s="31"/>
      <c r="L252" s="30"/>
      <c r="M252" s="30"/>
      <c r="O252" s="32"/>
      <c r="P252" s="32"/>
      <c r="S252" s="32"/>
    </row>
    <row r="253">
      <c r="D253" s="29"/>
      <c r="G253" s="30"/>
      <c r="H253" s="30"/>
      <c r="I253" s="31"/>
      <c r="J253" s="31"/>
      <c r="L253" s="30"/>
      <c r="M253" s="30"/>
      <c r="O253" s="32"/>
      <c r="P253" s="32"/>
      <c r="S253" s="32"/>
    </row>
    <row r="254">
      <c r="D254" s="29"/>
      <c r="G254" s="30"/>
      <c r="H254" s="30"/>
      <c r="I254" s="31"/>
      <c r="J254" s="31"/>
      <c r="L254" s="30"/>
      <c r="M254" s="30"/>
      <c r="O254" s="32"/>
      <c r="P254" s="32"/>
      <c r="S254" s="32"/>
    </row>
    <row r="255">
      <c r="D255" s="29"/>
      <c r="G255" s="30"/>
      <c r="H255" s="30"/>
      <c r="I255" s="31"/>
      <c r="J255" s="31"/>
      <c r="L255" s="30"/>
      <c r="M255" s="30"/>
      <c r="O255" s="32"/>
      <c r="P255" s="32"/>
      <c r="S255" s="32"/>
    </row>
    <row r="256">
      <c r="D256" s="29"/>
      <c r="G256" s="30"/>
      <c r="H256" s="30"/>
      <c r="I256" s="31"/>
      <c r="J256" s="31"/>
      <c r="L256" s="30"/>
      <c r="M256" s="30"/>
      <c r="O256" s="32"/>
      <c r="P256" s="32"/>
      <c r="S256" s="32"/>
    </row>
    <row r="257">
      <c r="D257" s="29"/>
      <c r="G257" s="30"/>
      <c r="H257" s="30"/>
      <c r="I257" s="31"/>
      <c r="J257" s="31"/>
      <c r="L257" s="30"/>
      <c r="M257" s="30"/>
      <c r="O257" s="32"/>
      <c r="P257" s="32"/>
      <c r="S257" s="32"/>
    </row>
    <row r="258">
      <c r="D258" s="29"/>
      <c r="G258" s="30"/>
      <c r="H258" s="30"/>
      <c r="I258" s="31"/>
      <c r="J258" s="31"/>
      <c r="L258" s="30"/>
      <c r="M258" s="30"/>
      <c r="O258" s="32"/>
      <c r="P258" s="32"/>
      <c r="S258" s="32"/>
    </row>
    <row r="259">
      <c r="D259" s="29"/>
      <c r="G259" s="30"/>
      <c r="H259" s="30"/>
      <c r="I259" s="31"/>
      <c r="J259" s="31"/>
      <c r="L259" s="30"/>
      <c r="M259" s="30"/>
      <c r="O259" s="32"/>
      <c r="P259" s="32"/>
      <c r="S259" s="32"/>
    </row>
    <row r="260">
      <c r="D260" s="29"/>
      <c r="G260" s="30"/>
      <c r="H260" s="30"/>
      <c r="I260" s="31"/>
      <c r="J260" s="31"/>
      <c r="L260" s="30"/>
      <c r="M260" s="30"/>
      <c r="O260" s="32"/>
      <c r="P260" s="32"/>
      <c r="S260" s="32"/>
    </row>
    <row r="261">
      <c r="D261" s="29"/>
      <c r="G261" s="30"/>
      <c r="H261" s="30"/>
      <c r="I261" s="31"/>
      <c r="J261" s="31"/>
      <c r="L261" s="30"/>
      <c r="M261" s="30"/>
      <c r="O261" s="32"/>
      <c r="P261" s="32"/>
      <c r="S261" s="32"/>
    </row>
    <row r="262">
      <c r="D262" s="29"/>
      <c r="G262" s="30"/>
      <c r="H262" s="30"/>
      <c r="I262" s="31"/>
      <c r="J262" s="31"/>
      <c r="L262" s="30"/>
      <c r="M262" s="30"/>
      <c r="O262" s="32"/>
      <c r="P262" s="32"/>
      <c r="S262" s="32"/>
    </row>
    <row r="263">
      <c r="D263" s="29"/>
      <c r="G263" s="30"/>
      <c r="H263" s="30"/>
      <c r="I263" s="31"/>
      <c r="J263" s="31"/>
      <c r="L263" s="30"/>
      <c r="M263" s="30"/>
      <c r="O263" s="32"/>
      <c r="P263" s="32"/>
      <c r="S263" s="32"/>
    </row>
    <row r="264">
      <c r="D264" s="29"/>
      <c r="G264" s="30"/>
      <c r="H264" s="30"/>
      <c r="I264" s="31"/>
      <c r="J264" s="31"/>
      <c r="L264" s="30"/>
      <c r="M264" s="30"/>
      <c r="O264" s="32"/>
      <c r="P264" s="32"/>
      <c r="S264" s="32"/>
    </row>
    <row r="265">
      <c r="D265" s="29"/>
      <c r="G265" s="30"/>
      <c r="H265" s="30"/>
      <c r="I265" s="31"/>
      <c r="J265" s="31"/>
      <c r="L265" s="30"/>
      <c r="M265" s="30"/>
      <c r="O265" s="32"/>
      <c r="P265" s="32"/>
      <c r="S265" s="32"/>
    </row>
    <row r="266">
      <c r="D266" s="29"/>
      <c r="G266" s="30"/>
      <c r="H266" s="30"/>
      <c r="I266" s="31"/>
      <c r="J266" s="31"/>
      <c r="L266" s="30"/>
      <c r="M266" s="30"/>
      <c r="O266" s="32"/>
      <c r="P266" s="32"/>
      <c r="S266" s="32"/>
    </row>
    <row r="267">
      <c r="D267" s="29"/>
      <c r="G267" s="30"/>
      <c r="H267" s="30"/>
      <c r="I267" s="31"/>
      <c r="J267" s="31"/>
      <c r="L267" s="30"/>
      <c r="M267" s="30"/>
      <c r="O267" s="32"/>
      <c r="P267" s="32"/>
      <c r="S267" s="32"/>
    </row>
    <row r="268">
      <c r="D268" s="29"/>
      <c r="G268" s="30"/>
      <c r="H268" s="30"/>
      <c r="I268" s="31"/>
      <c r="J268" s="31"/>
      <c r="L268" s="30"/>
      <c r="M268" s="30"/>
      <c r="O268" s="32"/>
      <c r="P268" s="32"/>
      <c r="S268" s="32"/>
    </row>
    <row r="269">
      <c r="D269" s="29"/>
      <c r="G269" s="30"/>
      <c r="H269" s="30"/>
      <c r="I269" s="31"/>
      <c r="J269" s="31"/>
      <c r="L269" s="30"/>
      <c r="M269" s="30"/>
      <c r="O269" s="32"/>
      <c r="P269" s="32"/>
      <c r="S269" s="32"/>
    </row>
    <row r="270">
      <c r="D270" s="29"/>
      <c r="G270" s="30"/>
      <c r="H270" s="30"/>
      <c r="I270" s="31"/>
      <c r="J270" s="31"/>
      <c r="L270" s="30"/>
      <c r="M270" s="30"/>
      <c r="O270" s="32"/>
      <c r="P270" s="32"/>
      <c r="S270" s="32"/>
    </row>
    <row r="271">
      <c r="D271" s="29"/>
      <c r="G271" s="30"/>
      <c r="H271" s="30"/>
      <c r="I271" s="31"/>
      <c r="J271" s="31"/>
      <c r="L271" s="30"/>
      <c r="M271" s="30"/>
      <c r="O271" s="32"/>
      <c r="P271" s="32"/>
      <c r="S271" s="32"/>
    </row>
    <row r="272">
      <c r="D272" s="29"/>
      <c r="G272" s="30"/>
      <c r="H272" s="30"/>
      <c r="I272" s="31"/>
      <c r="J272" s="31"/>
      <c r="L272" s="30"/>
      <c r="M272" s="30"/>
      <c r="O272" s="32"/>
      <c r="P272" s="32"/>
      <c r="S272" s="32"/>
    </row>
    <row r="273">
      <c r="D273" s="29"/>
      <c r="G273" s="30"/>
      <c r="H273" s="30"/>
      <c r="I273" s="31"/>
      <c r="J273" s="31"/>
      <c r="L273" s="30"/>
      <c r="M273" s="30"/>
      <c r="O273" s="32"/>
      <c r="P273" s="32"/>
      <c r="S273" s="32"/>
    </row>
    <row r="274">
      <c r="D274" s="29"/>
      <c r="G274" s="30"/>
      <c r="H274" s="30"/>
      <c r="I274" s="31"/>
      <c r="J274" s="31"/>
      <c r="L274" s="30"/>
      <c r="M274" s="30"/>
      <c r="O274" s="32"/>
      <c r="P274" s="32"/>
      <c r="S274" s="32"/>
    </row>
    <row r="275">
      <c r="D275" s="29"/>
      <c r="G275" s="30"/>
      <c r="H275" s="30"/>
      <c r="I275" s="31"/>
      <c r="J275" s="31"/>
      <c r="L275" s="30"/>
      <c r="M275" s="30"/>
      <c r="O275" s="32"/>
      <c r="P275" s="32"/>
      <c r="S275" s="32"/>
    </row>
    <row r="276">
      <c r="D276" s="29"/>
      <c r="G276" s="30"/>
      <c r="H276" s="30"/>
      <c r="I276" s="31"/>
      <c r="J276" s="31"/>
      <c r="L276" s="30"/>
      <c r="M276" s="30"/>
      <c r="O276" s="32"/>
      <c r="P276" s="32"/>
      <c r="S276" s="32"/>
    </row>
    <row r="277">
      <c r="D277" s="29"/>
      <c r="G277" s="30"/>
      <c r="H277" s="30"/>
      <c r="I277" s="31"/>
      <c r="J277" s="31"/>
      <c r="L277" s="30"/>
      <c r="M277" s="30"/>
      <c r="O277" s="32"/>
      <c r="P277" s="32"/>
      <c r="S277" s="32"/>
    </row>
    <row r="278">
      <c r="D278" s="29"/>
      <c r="G278" s="30"/>
      <c r="H278" s="30"/>
      <c r="I278" s="31"/>
      <c r="J278" s="31"/>
      <c r="L278" s="30"/>
      <c r="M278" s="30"/>
      <c r="O278" s="32"/>
      <c r="P278" s="32"/>
      <c r="S278" s="32"/>
    </row>
    <row r="279">
      <c r="D279" s="29"/>
      <c r="G279" s="30"/>
      <c r="H279" s="30"/>
      <c r="I279" s="31"/>
      <c r="J279" s="31"/>
      <c r="L279" s="30"/>
      <c r="M279" s="30"/>
      <c r="O279" s="32"/>
      <c r="P279" s="32"/>
      <c r="S279" s="32"/>
    </row>
    <row r="280">
      <c r="D280" s="29"/>
      <c r="G280" s="30"/>
      <c r="H280" s="30"/>
      <c r="I280" s="31"/>
      <c r="J280" s="31"/>
      <c r="L280" s="30"/>
      <c r="M280" s="30"/>
      <c r="O280" s="32"/>
      <c r="P280" s="32"/>
      <c r="S280" s="32"/>
    </row>
    <row r="281">
      <c r="D281" s="29"/>
      <c r="G281" s="30"/>
      <c r="H281" s="30"/>
      <c r="I281" s="31"/>
      <c r="J281" s="31"/>
      <c r="L281" s="30"/>
      <c r="M281" s="30"/>
      <c r="O281" s="32"/>
      <c r="P281" s="32"/>
      <c r="S281" s="32"/>
    </row>
    <row r="282">
      <c r="D282" s="29"/>
      <c r="G282" s="30"/>
      <c r="H282" s="30"/>
      <c r="I282" s="31"/>
      <c r="J282" s="31"/>
      <c r="L282" s="30"/>
      <c r="M282" s="30"/>
      <c r="O282" s="32"/>
      <c r="P282" s="32"/>
      <c r="S282" s="32"/>
    </row>
    <row r="283">
      <c r="D283" s="29"/>
      <c r="G283" s="30"/>
      <c r="H283" s="30"/>
      <c r="I283" s="31"/>
      <c r="J283" s="31"/>
      <c r="L283" s="30"/>
      <c r="M283" s="30"/>
      <c r="O283" s="32"/>
      <c r="P283" s="32"/>
      <c r="S283" s="32"/>
    </row>
    <row r="284">
      <c r="D284" s="29"/>
      <c r="G284" s="30"/>
      <c r="H284" s="30"/>
      <c r="I284" s="31"/>
      <c r="J284" s="31"/>
      <c r="L284" s="30"/>
      <c r="M284" s="30"/>
      <c r="O284" s="32"/>
      <c r="P284" s="32"/>
      <c r="S284" s="32"/>
    </row>
    <row r="285">
      <c r="D285" s="29"/>
      <c r="G285" s="30"/>
      <c r="H285" s="30"/>
      <c r="I285" s="31"/>
      <c r="J285" s="31"/>
      <c r="L285" s="30"/>
      <c r="M285" s="30"/>
      <c r="O285" s="32"/>
      <c r="P285" s="32"/>
      <c r="S285" s="32"/>
    </row>
    <row r="286">
      <c r="D286" s="29"/>
      <c r="G286" s="30"/>
      <c r="H286" s="30"/>
      <c r="I286" s="31"/>
      <c r="J286" s="31"/>
      <c r="L286" s="30"/>
      <c r="M286" s="30"/>
      <c r="O286" s="32"/>
      <c r="P286" s="32"/>
      <c r="S286" s="32"/>
    </row>
    <row r="287">
      <c r="D287" s="29"/>
      <c r="G287" s="30"/>
      <c r="H287" s="30"/>
      <c r="I287" s="31"/>
      <c r="J287" s="31"/>
      <c r="L287" s="30"/>
      <c r="M287" s="30"/>
      <c r="O287" s="32"/>
      <c r="P287" s="32"/>
      <c r="S287" s="32"/>
    </row>
    <row r="288">
      <c r="D288" s="29"/>
      <c r="G288" s="30"/>
      <c r="H288" s="30"/>
      <c r="I288" s="31"/>
      <c r="J288" s="31"/>
      <c r="L288" s="30"/>
      <c r="M288" s="30"/>
      <c r="O288" s="32"/>
      <c r="P288" s="32"/>
      <c r="S288" s="32"/>
    </row>
    <row r="289">
      <c r="D289" s="29"/>
      <c r="G289" s="30"/>
      <c r="H289" s="30"/>
      <c r="I289" s="31"/>
      <c r="J289" s="31"/>
      <c r="L289" s="30"/>
      <c r="M289" s="30"/>
      <c r="O289" s="32"/>
      <c r="P289" s="32"/>
      <c r="S289" s="32"/>
    </row>
    <row r="290">
      <c r="D290" s="29"/>
      <c r="G290" s="30"/>
      <c r="H290" s="30"/>
      <c r="I290" s="31"/>
      <c r="J290" s="31"/>
      <c r="L290" s="30"/>
      <c r="M290" s="30"/>
      <c r="O290" s="32"/>
      <c r="P290" s="32"/>
      <c r="S290" s="32"/>
    </row>
    <row r="291">
      <c r="D291" s="29"/>
      <c r="G291" s="30"/>
      <c r="H291" s="30"/>
      <c r="I291" s="31"/>
      <c r="J291" s="31"/>
      <c r="L291" s="30"/>
      <c r="M291" s="30"/>
      <c r="O291" s="32"/>
      <c r="P291" s="32"/>
      <c r="S291" s="32"/>
    </row>
    <row r="292">
      <c r="D292" s="29"/>
      <c r="G292" s="30"/>
      <c r="H292" s="30"/>
      <c r="I292" s="31"/>
      <c r="J292" s="31"/>
      <c r="L292" s="30"/>
      <c r="M292" s="30"/>
      <c r="O292" s="32"/>
      <c r="P292" s="32"/>
      <c r="S292" s="32"/>
    </row>
    <row r="293">
      <c r="D293" s="29"/>
      <c r="G293" s="30"/>
      <c r="H293" s="30"/>
      <c r="I293" s="31"/>
      <c r="J293" s="31"/>
      <c r="L293" s="30"/>
      <c r="M293" s="30"/>
      <c r="O293" s="32"/>
      <c r="P293" s="32"/>
      <c r="S293" s="32"/>
    </row>
    <row r="294">
      <c r="D294" s="29"/>
      <c r="G294" s="30"/>
      <c r="H294" s="30"/>
      <c r="I294" s="31"/>
      <c r="J294" s="31"/>
      <c r="L294" s="30"/>
      <c r="M294" s="30"/>
      <c r="O294" s="32"/>
      <c r="P294" s="32"/>
      <c r="S294" s="32"/>
    </row>
    <row r="295">
      <c r="D295" s="29"/>
      <c r="G295" s="30"/>
      <c r="H295" s="30"/>
      <c r="I295" s="31"/>
      <c r="J295" s="31"/>
      <c r="L295" s="30"/>
      <c r="M295" s="30"/>
      <c r="O295" s="32"/>
      <c r="P295" s="32"/>
      <c r="S295" s="32"/>
    </row>
    <row r="296">
      <c r="D296" s="29"/>
      <c r="G296" s="30"/>
      <c r="H296" s="30"/>
      <c r="I296" s="31"/>
      <c r="J296" s="31"/>
      <c r="L296" s="30"/>
      <c r="M296" s="30"/>
      <c r="O296" s="32"/>
      <c r="P296" s="32"/>
      <c r="S296" s="32"/>
    </row>
    <row r="297">
      <c r="D297" s="29"/>
      <c r="G297" s="30"/>
      <c r="H297" s="30"/>
      <c r="I297" s="31"/>
      <c r="J297" s="31"/>
      <c r="L297" s="30"/>
      <c r="M297" s="30"/>
      <c r="O297" s="32"/>
      <c r="P297" s="32"/>
      <c r="S297" s="32"/>
    </row>
    <row r="298">
      <c r="D298" s="29"/>
      <c r="G298" s="30"/>
      <c r="H298" s="30"/>
      <c r="I298" s="31"/>
      <c r="J298" s="31"/>
      <c r="L298" s="30"/>
      <c r="M298" s="30"/>
      <c r="O298" s="32"/>
      <c r="P298" s="32"/>
      <c r="S298" s="32"/>
    </row>
    <row r="299">
      <c r="D299" s="29"/>
      <c r="G299" s="30"/>
      <c r="H299" s="30"/>
      <c r="I299" s="31"/>
      <c r="J299" s="31"/>
      <c r="L299" s="30"/>
      <c r="M299" s="30"/>
      <c r="O299" s="32"/>
      <c r="P299" s="32"/>
      <c r="S299" s="32"/>
    </row>
    <row r="300">
      <c r="D300" s="29"/>
      <c r="G300" s="30"/>
      <c r="H300" s="30"/>
      <c r="I300" s="31"/>
      <c r="J300" s="31"/>
      <c r="L300" s="30"/>
      <c r="M300" s="30"/>
      <c r="O300" s="32"/>
      <c r="P300" s="32"/>
      <c r="S300" s="32"/>
    </row>
    <row r="301">
      <c r="D301" s="29"/>
      <c r="G301" s="30"/>
      <c r="H301" s="30"/>
      <c r="I301" s="31"/>
      <c r="J301" s="31"/>
      <c r="L301" s="30"/>
      <c r="M301" s="30"/>
      <c r="O301" s="32"/>
      <c r="P301" s="32"/>
      <c r="S301" s="32"/>
    </row>
    <row r="302">
      <c r="D302" s="29"/>
      <c r="G302" s="30"/>
      <c r="H302" s="30"/>
      <c r="I302" s="31"/>
      <c r="J302" s="31"/>
      <c r="L302" s="30"/>
      <c r="M302" s="30"/>
      <c r="O302" s="32"/>
      <c r="P302" s="32"/>
      <c r="S302" s="32"/>
    </row>
    <row r="303">
      <c r="D303" s="29"/>
      <c r="G303" s="30"/>
      <c r="H303" s="30"/>
      <c r="I303" s="31"/>
      <c r="J303" s="31"/>
      <c r="L303" s="30"/>
      <c r="M303" s="30"/>
      <c r="O303" s="32"/>
      <c r="P303" s="32"/>
      <c r="S303" s="32"/>
    </row>
    <row r="304">
      <c r="D304" s="29"/>
      <c r="G304" s="30"/>
      <c r="H304" s="30"/>
      <c r="I304" s="31"/>
      <c r="J304" s="31"/>
      <c r="L304" s="30"/>
      <c r="M304" s="30"/>
      <c r="O304" s="32"/>
      <c r="P304" s="32"/>
      <c r="S304" s="32"/>
    </row>
    <row r="305">
      <c r="D305" s="29"/>
      <c r="G305" s="30"/>
      <c r="H305" s="30"/>
      <c r="I305" s="31"/>
      <c r="J305" s="31"/>
      <c r="L305" s="30"/>
      <c r="M305" s="30"/>
      <c r="O305" s="32"/>
      <c r="P305" s="32"/>
      <c r="S305" s="32"/>
    </row>
    <row r="306">
      <c r="D306" s="29"/>
      <c r="G306" s="30"/>
      <c r="H306" s="30"/>
      <c r="I306" s="31"/>
      <c r="J306" s="31"/>
      <c r="L306" s="30"/>
      <c r="M306" s="30"/>
      <c r="O306" s="32"/>
      <c r="P306" s="32"/>
      <c r="S306" s="32"/>
    </row>
    <row r="307">
      <c r="D307" s="29"/>
      <c r="G307" s="30"/>
      <c r="H307" s="30"/>
      <c r="I307" s="31"/>
      <c r="J307" s="31"/>
      <c r="L307" s="30"/>
      <c r="M307" s="30"/>
      <c r="O307" s="32"/>
      <c r="P307" s="32"/>
      <c r="S307" s="32"/>
    </row>
    <row r="308">
      <c r="D308" s="29"/>
      <c r="G308" s="30"/>
      <c r="H308" s="30"/>
      <c r="I308" s="31"/>
      <c r="J308" s="31"/>
      <c r="L308" s="30"/>
      <c r="M308" s="30"/>
      <c r="O308" s="32"/>
      <c r="P308" s="32"/>
      <c r="S308" s="32"/>
    </row>
    <row r="309">
      <c r="D309" s="29"/>
      <c r="G309" s="30"/>
      <c r="H309" s="30"/>
      <c r="I309" s="31"/>
      <c r="J309" s="31"/>
      <c r="L309" s="30"/>
      <c r="M309" s="30"/>
      <c r="O309" s="32"/>
      <c r="P309" s="32"/>
      <c r="S309" s="32"/>
    </row>
    <row r="310">
      <c r="D310" s="29"/>
      <c r="G310" s="30"/>
      <c r="H310" s="30"/>
      <c r="I310" s="31"/>
      <c r="J310" s="31"/>
      <c r="L310" s="30"/>
      <c r="M310" s="30"/>
      <c r="O310" s="32"/>
      <c r="P310" s="32"/>
      <c r="S310" s="32"/>
    </row>
    <row r="311">
      <c r="D311" s="29"/>
      <c r="G311" s="30"/>
      <c r="H311" s="30"/>
      <c r="I311" s="31"/>
      <c r="J311" s="31"/>
      <c r="L311" s="30"/>
      <c r="M311" s="30"/>
      <c r="O311" s="32"/>
      <c r="P311" s="32"/>
      <c r="S311" s="32"/>
    </row>
    <row r="312">
      <c r="D312" s="29"/>
      <c r="G312" s="30"/>
      <c r="H312" s="30"/>
      <c r="I312" s="31"/>
      <c r="J312" s="31"/>
      <c r="L312" s="30"/>
      <c r="M312" s="30"/>
      <c r="O312" s="32"/>
      <c r="P312" s="32"/>
      <c r="S312" s="32"/>
    </row>
    <row r="313">
      <c r="D313" s="29"/>
      <c r="G313" s="30"/>
      <c r="H313" s="30"/>
      <c r="I313" s="31"/>
      <c r="J313" s="31"/>
      <c r="L313" s="30"/>
      <c r="M313" s="30"/>
      <c r="O313" s="32"/>
      <c r="P313" s="32"/>
      <c r="S313" s="32"/>
    </row>
    <row r="314">
      <c r="D314" s="29"/>
      <c r="G314" s="30"/>
      <c r="H314" s="30"/>
      <c r="I314" s="31"/>
      <c r="J314" s="31"/>
      <c r="L314" s="30"/>
      <c r="M314" s="30"/>
      <c r="O314" s="32"/>
      <c r="P314" s="32"/>
      <c r="S314" s="32"/>
    </row>
    <row r="315">
      <c r="D315" s="29"/>
      <c r="G315" s="30"/>
      <c r="H315" s="30"/>
      <c r="I315" s="31"/>
      <c r="J315" s="31"/>
      <c r="L315" s="30"/>
      <c r="M315" s="30"/>
      <c r="O315" s="32"/>
      <c r="P315" s="32"/>
      <c r="S315" s="32"/>
    </row>
    <row r="316">
      <c r="D316" s="29"/>
      <c r="G316" s="30"/>
      <c r="H316" s="30"/>
      <c r="I316" s="31"/>
      <c r="J316" s="31"/>
      <c r="L316" s="30"/>
      <c r="M316" s="30"/>
      <c r="O316" s="32"/>
      <c r="P316" s="32"/>
      <c r="S316" s="32"/>
    </row>
    <row r="317">
      <c r="D317" s="29"/>
      <c r="G317" s="30"/>
      <c r="H317" s="30"/>
      <c r="I317" s="31"/>
      <c r="J317" s="31"/>
      <c r="L317" s="30"/>
      <c r="M317" s="30"/>
      <c r="O317" s="32"/>
      <c r="P317" s="32"/>
      <c r="S317" s="32"/>
    </row>
    <row r="318">
      <c r="D318" s="29"/>
      <c r="G318" s="30"/>
      <c r="H318" s="30"/>
      <c r="I318" s="31"/>
      <c r="J318" s="31"/>
      <c r="L318" s="30"/>
      <c r="M318" s="30"/>
      <c r="O318" s="32"/>
      <c r="P318" s="32"/>
      <c r="S318" s="32"/>
    </row>
    <row r="319">
      <c r="D319" s="29"/>
      <c r="G319" s="30"/>
      <c r="H319" s="30"/>
      <c r="I319" s="31"/>
      <c r="J319" s="31"/>
      <c r="L319" s="30"/>
      <c r="M319" s="30"/>
      <c r="O319" s="32"/>
      <c r="P319" s="32"/>
      <c r="S319" s="32"/>
    </row>
    <row r="320">
      <c r="D320" s="29"/>
      <c r="G320" s="30"/>
      <c r="H320" s="30"/>
      <c r="I320" s="31"/>
      <c r="J320" s="31"/>
      <c r="L320" s="30"/>
      <c r="M320" s="30"/>
      <c r="O320" s="32"/>
      <c r="P320" s="32"/>
      <c r="S320" s="32"/>
    </row>
    <row r="321">
      <c r="D321" s="29"/>
      <c r="G321" s="30"/>
      <c r="H321" s="30"/>
      <c r="I321" s="31"/>
      <c r="J321" s="31"/>
      <c r="L321" s="30"/>
      <c r="M321" s="30"/>
      <c r="O321" s="32"/>
      <c r="P321" s="32"/>
      <c r="S321" s="32"/>
    </row>
    <row r="322">
      <c r="D322" s="29"/>
      <c r="G322" s="30"/>
      <c r="H322" s="30"/>
      <c r="I322" s="31"/>
      <c r="J322" s="31"/>
      <c r="L322" s="30"/>
      <c r="M322" s="30"/>
      <c r="O322" s="32"/>
      <c r="P322" s="32"/>
      <c r="S322" s="32"/>
    </row>
    <row r="323">
      <c r="D323" s="29"/>
      <c r="G323" s="30"/>
      <c r="H323" s="30"/>
      <c r="I323" s="31"/>
      <c r="J323" s="31"/>
      <c r="L323" s="30"/>
      <c r="M323" s="30"/>
      <c r="O323" s="32"/>
      <c r="P323" s="32"/>
      <c r="S323" s="32"/>
    </row>
    <row r="324">
      <c r="D324" s="29"/>
      <c r="G324" s="30"/>
      <c r="H324" s="30"/>
      <c r="I324" s="31"/>
      <c r="J324" s="31"/>
      <c r="L324" s="30"/>
      <c r="M324" s="30"/>
      <c r="O324" s="32"/>
      <c r="P324" s="32"/>
      <c r="S324" s="32"/>
    </row>
    <row r="325">
      <c r="D325" s="29"/>
      <c r="G325" s="30"/>
      <c r="H325" s="30"/>
      <c r="I325" s="31"/>
      <c r="J325" s="31"/>
      <c r="L325" s="30"/>
      <c r="M325" s="30"/>
      <c r="O325" s="32"/>
      <c r="P325" s="32"/>
      <c r="S325" s="32"/>
    </row>
    <row r="326">
      <c r="D326" s="29"/>
      <c r="G326" s="30"/>
      <c r="H326" s="30"/>
      <c r="I326" s="31"/>
      <c r="J326" s="31"/>
      <c r="L326" s="30"/>
      <c r="M326" s="30"/>
      <c r="O326" s="32"/>
      <c r="P326" s="32"/>
      <c r="S326" s="32"/>
    </row>
    <row r="327">
      <c r="D327" s="29"/>
      <c r="G327" s="30"/>
      <c r="H327" s="30"/>
      <c r="I327" s="31"/>
      <c r="J327" s="31"/>
      <c r="L327" s="30"/>
      <c r="M327" s="30"/>
      <c r="O327" s="32"/>
      <c r="P327" s="32"/>
      <c r="S327" s="32"/>
    </row>
    <row r="328">
      <c r="D328" s="29"/>
      <c r="G328" s="30"/>
      <c r="H328" s="30"/>
      <c r="I328" s="31"/>
      <c r="J328" s="31"/>
      <c r="L328" s="30"/>
      <c r="M328" s="30"/>
      <c r="O328" s="32"/>
      <c r="P328" s="32"/>
      <c r="S328" s="32"/>
    </row>
    <row r="329">
      <c r="D329" s="29"/>
      <c r="G329" s="30"/>
      <c r="H329" s="30"/>
      <c r="I329" s="31"/>
      <c r="J329" s="31"/>
      <c r="L329" s="30"/>
      <c r="M329" s="30"/>
      <c r="O329" s="32"/>
      <c r="P329" s="32"/>
      <c r="S329" s="32"/>
    </row>
    <row r="330">
      <c r="D330" s="29"/>
      <c r="G330" s="30"/>
      <c r="H330" s="30"/>
      <c r="I330" s="31"/>
      <c r="J330" s="31"/>
      <c r="L330" s="30"/>
      <c r="M330" s="30"/>
      <c r="O330" s="32"/>
      <c r="P330" s="32"/>
      <c r="S330" s="32"/>
    </row>
    <row r="331">
      <c r="D331" s="29"/>
      <c r="G331" s="30"/>
      <c r="H331" s="30"/>
      <c r="I331" s="31"/>
      <c r="J331" s="31"/>
      <c r="L331" s="30"/>
      <c r="M331" s="30"/>
      <c r="O331" s="32"/>
      <c r="P331" s="32"/>
      <c r="S331" s="32"/>
    </row>
    <row r="332">
      <c r="D332" s="29"/>
      <c r="G332" s="30"/>
      <c r="H332" s="30"/>
      <c r="I332" s="31"/>
      <c r="J332" s="31"/>
      <c r="L332" s="30"/>
      <c r="M332" s="30"/>
      <c r="O332" s="32"/>
      <c r="P332" s="32"/>
      <c r="S332" s="32"/>
    </row>
    <row r="333">
      <c r="D333" s="29"/>
      <c r="G333" s="30"/>
      <c r="H333" s="30"/>
      <c r="I333" s="31"/>
      <c r="J333" s="31"/>
      <c r="L333" s="30"/>
      <c r="M333" s="30"/>
      <c r="O333" s="32"/>
      <c r="P333" s="32"/>
      <c r="S333" s="32"/>
    </row>
    <row r="334">
      <c r="D334" s="29"/>
      <c r="G334" s="30"/>
      <c r="H334" s="30"/>
      <c r="I334" s="31"/>
      <c r="J334" s="31"/>
      <c r="L334" s="30"/>
      <c r="M334" s="30"/>
      <c r="O334" s="32"/>
      <c r="P334" s="32"/>
      <c r="S334" s="32"/>
    </row>
    <row r="335">
      <c r="D335" s="29"/>
      <c r="G335" s="30"/>
      <c r="H335" s="30"/>
      <c r="I335" s="31"/>
      <c r="J335" s="31"/>
      <c r="L335" s="30"/>
      <c r="M335" s="30"/>
      <c r="O335" s="32"/>
      <c r="P335" s="32"/>
      <c r="S335" s="32"/>
    </row>
    <row r="336">
      <c r="D336" s="29"/>
      <c r="G336" s="30"/>
      <c r="H336" s="30"/>
      <c r="I336" s="31"/>
      <c r="J336" s="31"/>
      <c r="L336" s="30"/>
      <c r="M336" s="30"/>
      <c r="O336" s="32"/>
      <c r="P336" s="32"/>
      <c r="S336" s="32"/>
    </row>
    <row r="337">
      <c r="D337" s="29"/>
      <c r="G337" s="30"/>
      <c r="H337" s="30"/>
      <c r="I337" s="31"/>
      <c r="J337" s="31"/>
      <c r="L337" s="30"/>
      <c r="M337" s="30"/>
      <c r="O337" s="32"/>
      <c r="P337" s="32"/>
      <c r="S337" s="32"/>
    </row>
    <row r="338">
      <c r="D338" s="29"/>
      <c r="G338" s="30"/>
      <c r="H338" s="30"/>
      <c r="I338" s="31"/>
      <c r="J338" s="31"/>
      <c r="L338" s="30"/>
      <c r="M338" s="30"/>
      <c r="O338" s="32"/>
      <c r="P338" s="32"/>
      <c r="S338" s="32"/>
    </row>
    <row r="339">
      <c r="D339" s="29"/>
      <c r="G339" s="30"/>
      <c r="H339" s="30"/>
      <c r="I339" s="31"/>
      <c r="J339" s="31"/>
      <c r="L339" s="30"/>
      <c r="M339" s="30"/>
      <c r="O339" s="32"/>
      <c r="P339" s="32"/>
      <c r="S339" s="32"/>
    </row>
    <row r="340">
      <c r="D340" s="29"/>
      <c r="G340" s="30"/>
      <c r="H340" s="30"/>
      <c r="I340" s="31"/>
      <c r="J340" s="31"/>
      <c r="L340" s="30"/>
      <c r="M340" s="30"/>
      <c r="O340" s="32"/>
      <c r="P340" s="32"/>
      <c r="S340" s="32"/>
    </row>
    <row r="341">
      <c r="D341" s="29"/>
      <c r="G341" s="30"/>
      <c r="H341" s="30"/>
      <c r="I341" s="31"/>
      <c r="J341" s="31"/>
      <c r="L341" s="30"/>
      <c r="M341" s="30"/>
      <c r="O341" s="32"/>
      <c r="P341" s="32"/>
      <c r="S341" s="32"/>
    </row>
    <row r="342">
      <c r="D342" s="29"/>
      <c r="G342" s="30"/>
      <c r="H342" s="30"/>
      <c r="I342" s="31"/>
      <c r="J342" s="31"/>
      <c r="L342" s="30"/>
      <c r="M342" s="30"/>
      <c r="O342" s="32"/>
      <c r="P342" s="32"/>
      <c r="S342" s="32"/>
    </row>
    <row r="343">
      <c r="D343" s="29"/>
      <c r="G343" s="30"/>
      <c r="H343" s="30"/>
      <c r="I343" s="31"/>
      <c r="J343" s="31"/>
      <c r="L343" s="30"/>
      <c r="M343" s="30"/>
      <c r="O343" s="32"/>
      <c r="P343" s="32"/>
      <c r="S343" s="32"/>
    </row>
    <row r="344">
      <c r="D344" s="29"/>
      <c r="G344" s="30"/>
      <c r="H344" s="30"/>
      <c r="I344" s="31"/>
      <c r="J344" s="31"/>
      <c r="L344" s="30"/>
      <c r="M344" s="30"/>
      <c r="O344" s="32"/>
      <c r="P344" s="32"/>
      <c r="S344" s="32"/>
    </row>
    <row r="345">
      <c r="D345" s="29"/>
      <c r="G345" s="30"/>
      <c r="H345" s="30"/>
      <c r="I345" s="31"/>
      <c r="J345" s="31"/>
      <c r="L345" s="30"/>
      <c r="M345" s="30"/>
      <c r="O345" s="32"/>
      <c r="P345" s="32"/>
      <c r="S345" s="32"/>
    </row>
    <row r="346">
      <c r="D346" s="29"/>
      <c r="G346" s="30"/>
      <c r="H346" s="30"/>
      <c r="I346" s="31"/>
      <c r="J346" s="31"/>
      <c r="L346" s="30"/>
      <c r="M346" s="30"/>
      <c r="O346" s="32"/>
      <c r="P346" s="32"/>
      <c r="S346" s="32"/>
    </row>
    <row r="347">
      <c r="D347" s="29"/>
      <c r="G347" s="30"/>
      <c r="H347" s="30"/>
      <c r="I347" s="31"/>
      <c r="J347" s="31"/>
      <c r="L347" s="30"/>
      <c r="M347" s="30"/>
      <c r="O347" s="32"/>
      <c r="P347" s="32"/>
      <c r="S347" s="32"/>
    </row>
    <row r="348">
      <c r="D348" s="29"/>
      <c r="G348" s="30"/>
      <c r="H348" s="30"/>
      <c r="I348" s="31"/>
      <c r="J348" s="31"/>
      <c r="L348" s="30"/>
      <c r="M348" s="30"/>
      <c r="O348" s="32"/>
      <c r="P348" s="32"/>
      <c r="S348" s="32"/>
    </row>
    <row r="349">
      <c r="D349" s="29"/>
      <c r="G349" s="30"/>
      <c r="H349" s="30"/>
      <c r="I349" s="31"/>
      <c r="J349" s="31"/>
      <c r="L349" s="30"/>
      <c r="M349" s="30"/>
      <c r="O349" s="32"/>
      <c r="P349" s="32"/>
      <c r="S349" s="32"/>
    </row>
    <row r="350">
      <c r="D350" s="29"/>
      <c r="G350" s="30"/>
      <c r="H350" s="30"/>
      <c r="I350" s="31"/>
      <c r="J350" s="31"/>
      <c r="L350" s="30"/>
      <c r="M350" s="30"/>
      <c r="O350" s="32"/>
      <c r="P350" s="32"/>
      <c r="S350" s="32"/>
    </row>
    <row r="351">
      <c r="D351" s="29"/>
      <c r="G351" s="30"/>
      <c r="H351" s="30"/>
      <c r="I351" s="31"/>
      <c r="J351" s="31"/>
      <c r="L351" s="30"/>
      <c r="M351" s="30"/>
      <c r="O351" s="32"/>
      <c r="P351" s="32"/>
      <c r="S351" s="32"/>
    </row>
    <row r="352">
      <c r="D352" s="29"/>
      <c r="G352" s="30"/>
      <c r="H352" s="30"/>
      <c r="I352" s="31"/>
      <c r="J352" s="31"/>
      <c r="L352" s="30"/>
      <c r="M352" s="30"/>
      <c r="O352" s="32"/>
      <c r="P352" s="32"/>
      <c r="S352" s="32"/>
    </row>
    <row r="353">
      <c r="D353" s="29"/>
      <c r="G353" s="30"/>
      <c r="H353" s="30"/>
      <c r="I353" s="31"/>
      <c r="J353" s="31"/>
      <c r="L353" s="30"/>
      <c r="M353" s="30"/>
      <c r="O353" s="32"/>
      <c r="P353" s="32"/>
      <c r="S353" s="32"/>
    </row>
    <row r="354">
      <c r="D354" s="29"/>
      <c r="G354" s="30"/>
      <c r="H354" s="30"/>
      <c r="I354" s="31"/>
      <c r="J354" s="31"/>
      <c r="L354" s="30"/>
      <c r="M354" s="30"/>
      <c r="O354" s="32"/>
      <c r="P354" s="32"/>
      <c r="S354" s="32"/>
    </row>
    <row r="355">
      <c r="D355" s="29"/>
      <c r="G355" s="30"/>
      <c r="H355" s="30"/>
      <c r="I355" s="31"/>
      <c r="J355" s="31"/>
      <c r="L355" s="30"/>
      <c r="M355" s="30"/>
      <c r="O355" s="32"/>
      <c r="P355" s="32"/>
      <c r="S355" s="32"/>
    </row>
    <row r="356">
      <c r="D356" s="29"/>
      <c r="G356" s="30"/>
      <c r="H356" s="30"/>
      <c r="I356" s="31"/>
      <c r="J356" s="31"/>
      <c r="L356" s="30"/>
      <c r="M356" s="30"/>
      <c r="O356" s="32"/>
      <c r="P356" s="32"/>
      <c r="S356" s="32"/>
    </row>
    <row r="357">
      <c r="D357" s="29"/>
      <c r="G357" s="30"/>
      <c r="H357" s="30"/>
      <c r="I357" s="31"/>
      <c r="J357" s="31"/>
      <c r="L357" s="30"/>
      <c r="M357" s="30"/>
      <c r="O357" s="32"/>
      <c r="P357" s="32"/>
      <c r="S357" s="32"/>
    </row>
    <row r="358">
      <c r="D358" s="29"/>
      <c r="G358" s="30"/>
      <c r="H358" s="30"/>
      <c r="I358" s="31"/>
      <c r="J358" s="31"/>
      <c r="L358" s="30"/>
      <c r="M358" s="30"/>
      <c r="O358" s="32"/>
      <c r="P358" s="32"/>
      <c r="S358" s="32"/>
    </row>
    <row r="359">
      <c r="D359" s="29"/>
      <c r="G359" s="30"/>
      <c r="H359" s="30"/>
      <c r="I359" s="31"/>
      <c r="J359" s="31"/>
      <c r="L359" s="30"/>
      <c r="M359" s="30"/>
      <c r="O359" s="32"/>
      <c r="P359" s="32"/>
      <c r="S359" s="32"/>
    </row>
    <row r="360">
      <c r="D360" s="29"/>
      <c r="G360" s="30"/>
      <c r="H360" s="30"/>
      <c r="I360" s="31"/>
      <c r="J360" s="31"/>
      <c r="L360" s="30"/>
      <c r="M360" s="30"/>
      <c r="O360" s="32"/>
      <c r="P360" s="32"/>
      <c r="S360" s="32"/>
    </row>
    <row r="361">
      <c r="D361" s="29"/>
      <c r="G361" s="30"/>
      <c r="H361" s="30"/>
      <c r="I361" s="31"/>
      <c r="J361" s="31"/>
      <c r="L361" s="30"/>
      <c r="M361" s="30"/>
      <c r="O361" s="32"/>
      <c r="P361" s="32"/>
      <c r="S361" s="32"/>
    </row>
    <row r="362">
      <c r="D362" s="29"/>
      <c r="G362" s="30"/>
      <c r="H362" s="30"/>
      <c r="I362" s="31"/>
      <c r="J362" s="31"/>
      <c r="L362" s="30"/>
      <c r="M362" s="30"/>
      <c r="O362" s="32"/>
      <c r="P362" s="32"/>
      <c r="S362" s="32"/>
    </row>
    <row r="363">
      <c r="D363" s="29"/>
      <c r="G363" s="30"/>
      <c r="H363" s="30"/>
      <c r="I363" s="31"/>
      <c r="J363" s="31"/>
      <c r="L363" s="30"/>
      <c r="M363" s="30"/>
      <c r="O363" s="32"/>
      <c r="P363" s="32"/>
      <c r="S363" s="32"/>
    </row>
    <row r="364">
      <c r="D364" s="29"/>
      <c r="G364" s="30"/>
      <c r="H364" s="30"/>
      <c r="I364" s="31"/>
      <c r="J364" s="31"/>
      <c r="L364" s="30"/>
      <c r="M364" s="30"/>
      <c r="O364" s="32"/>
      <c r="P364" s="32"/>
      <c r="S364" s="32"/>
    </row>
    <row r="365">
      <c r="D365" s="29"/>
      <c r="G365" s="30"/>
      <c r="H365" s="30"/>
      <c r="I365" s="31"/>
      <c r="J365" s="31"/>
      <c r="L365" s="30"/>
      <c r="M365" s="30"/>
      <c r="O365" s="32"/>
      <c r="P365" s="32"/>
      <c r="S365" s="32"/>
    </row>
    <row r="366">
      <c r="D366" s="29"/>
      <c r="G366" s="30"/>
      <c r="H366" s="30"/>
      <c r="I366" s="31"/>
      <c r="J366" s="31"/>
      <c r="L366" s="30"/>
      <c r="M366" s="30"/>
      <c r="O366" s="32"/>
      <c r="P366" s="32"/>
      <c r="S366" s="32"/>
    </row>
    <row r="367">
      <c r="D367" s="29"/>
      <c r="G367" s="30"/>
      <c r="H367" s="30"/>
      <c r="I367" s="31"/>
      <c r="J367" s="31"/>
      <c r="L367" s="30"/>
      <c r="M367" s="30"/>
      <c r="O367" s="32"/>
      <c r="P367" s="32"/>
      <c r="S367" s="32"/>
    </row>
    <row r="368">
      <c r="D368" s="29"/>
      <c r="G368" s="30"/>
      <c r="H368" s="30"/>
      <c r="I368" s="31"/>
      <c r="J368" s="31"/>
      <c r="L368" s="30"/>
      <c r="M368" s="30"/>
      <c r="O368" s="32"/>
      <c r="P368" s="32"/>
      <c r="S368" s="32"/>
    </row>
    <row r="369">
      <c r="D369" s="29"/>
      <c r="G369" s="30"/>
      <c r="H369" s="30"/>
      <c r="I369" s="31"/>
      <c r="J369" s="31"/>
      <c r="L369" s="30"/>
      <c r="M369" s="30"/>
      <c r="O369" s="32"/>
      <c r="P369" s="32"/>
      <c r="S369" s="32"/>
    </row>
    <row r="370">
      <c r="D370" s="29"/>
      <c r="G370" s="30"/>
      <c r="H370" s="30"/>
      <c r="I370" s="31"/>
      <c r="J370" s="31"/>
      <c r="L370" s="30"/>
      <c r="M370" s="30"/>
      <c r="O370" s="32"/>
      <c r="P370" s="32"/>
      <c r="S370" s="32"/>
    </row>
    <row r="371">
      <c r="D371" s="29"/>
      <c r="G371" s="30"/>
      <c r="H371" s="30"/>
      <c r="I371" s="31"/>
      <c r="J371" s="31"/>
      <c r="L371" s="30"/>
      <c r="M371" s="30"/>
      <c r="O371" s="32"/>
      <c r="P371" s="32"/>
      <c r="S371" s="32"/>
    </row>
    <row r="372">
      <c r="D372" s="29"/>
      <c r="G372" s="30"/>
      <c r="H372" s="30"/>
      <c r="I372" s="31"/>
      <c r="J372" s="31"/>
      <c r="L372" s="30"/>
      <c r="M372" s="30"/>
      <c r="O372" s="32"/>
      <c r="P372" s="32"/>
      <c r="S372" s="32"/>
    </row>
    <row r="373">
      <c r="D373" s="29"/>
      <c r="G373" s="30"/>
      <c r="H373" s="30"/>
      <c r="I373" s="31"/>
      <c r="J373" s="31"/>
      <c r="L373" s="30"/>
      <c r="M373" s="30"/>
      <c r="O373" s="32"/>
      <c r="P373" s="32"/>
      <c r="S373" s="32"/>
    </row>
    <row r="374">
      <c r="D374" s="29"/>
      <c r="G374" s="30"/>
      <c r="H374" s="30"/>
      <c r="I374" s="31"/>
      <c r="J374" s="31"/>
      <c r="L374" s="30"/>
      <c r="M374" s="30"/>
      <c r="O374" s="32"/>
      <c r="P374" s="32"/>
      <c r="S374" s="32"/>
    </row>
    <row r="375">
      <c r="D375" s="29"/>
      <c r="G375" s="30"/>
      <c r="H375" s="30"/>
      <c r="I375" s="31"/>
      <c r="J375" s="31"/>
      <c r="L375" s="30"/>
      <c r="M375" s="30"/>
      <c r="O375" s="32"/>
      <c r="P375" s="32"/>
      <c r="S375" s="32"/>
    </row>
    <row r="376">
      <c r="D376" s="29"/>
      <c r="G376" s="30"/>
      <c r="H376" s="30"/>
      <c r="I376" s="31"/>
      <c r="J376" s="31"/>
      <c r="L376" s="30"/>
      <c r="M376" s="30"/>
      <c r="O376" s="32"/>
      <c r="P376" s="32"/>
      <c r="S376" s="32"/>
    </row>
    <row r="377">
      <c r="D377" s="29"/>
      <c r="G377" s="30"/>
      <c r="H377" s="30"/>
      <c r="I377" s="31"/>
      <c r="J377" s="31"/>
      <c r="L377" s="30"/>
      <c r="M377" s="30"/>
      <c r="O377" s="32"/>
      <c r="P377" s="32"/>
      <c r="S377" s="32"/>
    </row>
    <row r="378">
      <c r="D378" s="29"/>
      <c r="G378" s="30"/>
      <c r="H378" s="30"/>
      <c r="I378" s="31"/>
      <c r="J378" s="31"/>
      <c r="L378" s="30"/>
      <c r="M378" s="30"/>
      <c r="O378" s="32"/>
      <c r="P378" s="32"/>
      <c r="S378" s="32"/>
    </row>
    <row r="379">
      <c r="D379" s="29"/>
      <c r="G379" s="30"/>
      <c r="H379" s="30"/>
      <c r="I379" s="31"/>
      <c r="J379" s="31"/>
      <c r="L379" s="30"/>
      <c r="M379" s="30"/>
      <c r="O379" s="32"/>
      <c r="P379" s="32"/>
      <c r="S379" s="32"/>
    </row>
    <row r="380">
      <c r="D380" s="29"/>
      <c r="G380" s="30"/>
      <c r="H380" s="30"/>
      <c r="I380" s="31"/>
      <c r="J380" s="31"/>
      <c r="L380" s="30"/>
      <c r="M380" s="30"/>
      <c r="O380" s="32"/>
      <c r="P380" s="32"/>
      <c r="S380" s="32"/>
    </row>
    <row r="381">
      <c r="D381" s="29"/>
      <c r="G381" s="30"/>
      <c r="H381" s="30"/>
      <c r="I381" s="31"/>
      <c r="J381" s="31"/>
      <c r="L381" s="30"/>
      <c r="M381" s="30"/>
      <c r="O381" s="32"/>
      <c r="P381" s="32"/>
      <c r="S381" s="32"/>
    </row>
    <row r="382">
      <c r="D382" s="29"/>
      <c r="G382" s="30"/>
      <c r="H382" s="30"/>
      <c r="I382" s="31"/>
      <c r="J382" s="31"/>
      <c r="L382" s="30"/>
      <c r="M382" s="30"/>
      <c r="O382" s="32"/>
      <c r="P382" s="32"/>
      <c r="S382" s="32"/>
    </row>
    <row r="383">
      <c r="D383" s="29"/>
      <c r="G383" s="30"/>
      <c r="H383" s="30"/>
      <c r="I383" s="31"/>
      <c r="J383" s="31"/>
      <c r="L383" s="30"/>
      <c r="M383" s="30"/>
      <c r="O383" s="32"/>
      <c r="P383" s="32"/>
      <c r="S383" s="32"/>
    </row>
    <row r="384">
      <c r="D384" s="29"/>
      <c r="G384" s="30"/>
      <c r="H384" s="30"/>
      <c r="I384" s="31"/>
      <c r="J384" s="31"/>
      <c r="L384" s="30"/>
      <c r="M384" s="30"/>
      <c r="O384" s="32"/>
      <c r="P384" s="32"/>
      <c r="S384" s="32"/>
    </row>
    <row r="385">
      <c r="D385" s="29"/>
      <c r="G385" s="30"/>
      <c r="H385" s="30"/>
      <c r="I385" s="31"/>
      <c r="J385" s="31"/>
      <c r="L385" s="30"/>
      <c r="M385" s="30"/>
      <c r="O385" s="32"/>
      <c r="P385" s="32"/>
      <c r="S385" s="32"/>
    </row>
    <row r="386">
      <c r="D386" s="29"/>
      <c r="G386" s="30"/>
      <c r="H386" s="30"/>
      <c r="I386" s="31"/>
      <c r="J386" s="31"/>
      <c r="L386" s="30"/>
      <c r="M386" s="30"/>
      <c r="O386" s="32"/>
      <c r="P386" s="32"/>
      <c r="S386" s="32"/>
    </row>
    <row r="387">
      <c r="D387" s="29"/>
      <c r="G387" s="30"/>
      <c r="H387" s="30"/>
      <c r="I387" s="31"/>
      <c r="J387" s="31"/>
      <c r="L387" s="30"/>
      <c r="M387" s="30"/>
      <c r="O387" s="32"/>
      <c r="P387" s="32"/>
      <c r="S387" s="32"/>
    </row>
    <row r="388">
      <c r="D388" s="29"/>
      <c r="G388" s="30"/>
      <c r="H388" s="30"/>
      <c r="I388" s="31"/>
      <c r="J388" s="31"/>
      <c r="L388" s="30"/>
      <c r="M388" s="30"/>
      <c r="O388" s="32"/>
      <c r="P388" s="32"/>
      <c r="S388" s="32"/>
    </row>
    <row r="389">
      <c r="D389" s="29"/>
      <c r="G389" s="30"/>
      <c r="H389" s="30"/>
      <c r="I389" s="31"/>
      <c r="J389" s="31"/>
      <c r="L389" s="30"/>
      <c r="M389" s="30"/>
      <c r="O389" s="32"/>
      <c r="P389" s="32"/>
      <c r="S389" s="32"/>
    </row>
    <row r="390">
      <c r="D390" s="29"/>
      <c r="G390" s="30"/>
      <c r="H390" s="30"/>
      <c r="I390" s="31"/>
      <c r="J390" s="31"/>
      <c r="L390" s="30"/>
      <c r="M390" s="30"/>
      <c r="O390" s="32"/>
      <c r="P390" s="32"/>
      <c r="S390" s="32"/>
    </row>
    <row r="391">
      <c r="D391" s="29"/>
      <c r="G391" s="30"/>
      <c r="H391" s="30"/>
      <c r="I391" s="31"/>
      <c r="J391" s="31"/>
      <c r="L391" s="30"/>
      <c r="M391" s="30"/>
      <c r="O391" s="32"/>
      <c r="P391" s="32"/>
      <c r="S391" s="32"/>
    </row>
    <row r="392">
      <c r="D392" s="29"/>
      <c r="G392" s="30"/>
      <c r="H392" s="30"/>
      <c r="I392" s="31"/>
      <c r="J392" s="31"/>
      <c r="L392" s="30"/>
      <c r="M392" s="30"/>
      <c r="O392" s="32"/>
      <c r="P392" s="32"/>
      <c r="S392" s="32"/>
    </row>
    <row r="393">
      <c r="D393" s="29"/>
      <c r="G393" s="30"/>
      <c r="H393" s="30"/>
      <c r="I393" s="31"/>
      <c r="J393" s="31"/>
      <c r="L393" s="30"/>
      <c r="M393" s="30"/>
      <c r="O393" s="32"/>
      <c r="P393" s="32"/>
      <c r="S393" s="32"/>
    </row>
    <row r="394">
      <c r="D394" s="29"/>
      <c r="G394" s="30"/>
      <c r="H394" s="30"/>
      <c r="I394" s="31"/>
      <c r="J394" s="31"/>
      <c r="L394" s="30"/>
      <c r="M394" s="30"/>
      <c r="O394" s="32"/>
      <c r="P394" s="32"/>
      <c r="S394" s="32"/>
    </row>
    <row r="395">
      <c r="D395" s="29"/>
      <c r="G395" s="30"/>
      <c r="H395" s="30"/>
      <c r="I395" s="31"/>
      <c r="J395" s="31"/>
      <c r="L395" s="30"/>
      <c r="M395" s="30"/>
      <c r="O395" s="32"/>
      <c r="P395" s="32"/>
      <c r="S395" s="32"/>
    </row>
    <row r="396">
      <c r="D396" s="29"/>
      <c r="G396" s="30"/>
      <c r="H396" s="30"/>
      <c r="I396" s="31"/>
      <c r="J396" s="31"/>
      <c r="L396" s="30"/>
      <c r="M396" s="30"/>
      <c r="O396" s="32"/>
      <c r="P396" s="32"/>
      <c r="S396" s="32"/>
    </row>
    <row r="397">
      <c r="D397" s="29"/>
      <c r="G397" s="30"/>
      <c r="H397" s="30"/>
      <c r="I397" s="31"/>
      <c r="J397" s="31"/>
      <c r="L397" s="30"/>
      <c r="M397" s="30"/>
      <c r="O397" s="32"/>
      <c r="P397" s="32"/>
      <c r="S397" s="32"/>
    </row>
    <row r="398">
      <c r="D398" s="29"/>
      <c r="G398" s="30"/>
      <c r="H398" s="30"/>
      <c r="I398" s="31"/>
      <c r="J398" s="31"/>
      <c r="L398" s="30"/>
      <c r="M398" s="30"/>
      <c r="O398" s="32"/>
      <c r="P398" s="32"/>
      <c r="S398" s="32"/>
    </row>
    <row r="399">
      <c r="D399" s="29"/>
      <c r="G399" s="30"/>
      <c r="H399" s="30"/>
      <c r="I399" s="31"/>
      <c r="J399" s="31"/>
      <c r="L399" s="30"/>
      <c r="M399" s="30"/>
      <c r="O399" s="32"/>
      <c r="P399" s="32"/>
      <c r="S399" s="32"/>
    </row>
    <row r="400">
      <c r="D400" s="29"/>
      <c r="G400" s="30"/>
      <c r="H400" s="30"/>
      <c r="I400" s="31"/>
      <c r="J400" s="31"/>
      <c r="L400" s="30"/>
      <c r="M400" s="30"/>
      <c r="O400" s="32"/>
      <c r="P400" s="32"/>
      <c r="S400" s="32"/>
    </row>
    <row r="401">
      <c r="D401" s="29"/>
      <c r="G401" s="30"/>
      <c r="H401" s="30"/>
      <c r="I401" s="31"/>
      <c r="J401" s="31"/>
      <c r="L401" s="30"/>
      <c r="M401" s="30"/>
      <c r="O401" s="32"/>
      <c r="P401" s="32"/>
      <c r="S401" s="32"/>
    </row>
    <row r="402">
      <c r="D402" s="29"/>
      <c r="G402" s="30"/>
      <c r="H402" s="30"/>
      <c r="I402" s="31"/>
      <c r="J402" s="31"/>
      <c r="L402" s="30"/>
      <c r="M402" s="30"/>
      <c r="O402" s="32"/>
      <c r="P402" s="32"/>
      <c r="S402" s="32"/>
    </row>
    <row r="403">
      <c r="D403" s="29"/>
      <c r="G403" s="30"/>
      <c r="H403" s="30"/>
      <c r="I403" s="31"/>
      <c r="J403" s="31"/>
      <c r="L403" s="30"/>
      <c r="M403" s="30"/>
      <c r="O403" s="32"/>
      <c r="P403" s="32"/>
      <c r="S403" s="32"/>
    </row>
    <row r="404">
      <c r="D404" s="29"/>
      <c r="G404" s="30"/>
      <c r="H404" s="30"/>
      <c r="I404" s="31"/>
      <c r="J404" s="31"/>
      <c r="L404" s="30"/>
      <c r="M404" s="30"/>
      <c r="O404" s="32"/>
      <c r="P404" s="32"/>
      <c r="S404" s="32"/>
    </row>
    <row r="405">
      <c r="D405" s="29"/>
      <c r="G405" s="30"/>
      <c r="H405" s="30"/>
      <c r="I405" s="31"/>
      <c r="J405" s="31"/>
      <c r="L405" s="30"/>
      <c r="M405" s="30"/>
      <c r="O405" s="32"/>
      <c r="P405" s="32"/>
      <c r="S405" s="32"/>
    </row>
    <row r="406">
      <c r="D406" s="29"/>
      <c r="G406" s="30"/>
      <c r="H406" s="30"/>
      <c r="I406" s="31"/>
      <c r="J406" s="31"/>
      <c r="L406" s="30"/>
      <c r="M406" s="30"/>
      <c r="O406" s="32"/>
      <c r="P406" s="32"/>
      <c r="S406" s="32"/>
    </row>
    <row r="407">
      <c r="D407" s="29"/>
      <c r="G407" s="30"/>
      <c r="H407" s="30"/>
      <c r="I407" s="31"/>
      <c r="J407" s="31"/>
      <c r="L407" s="30"/>
      <c r="M407" s="30"/>
      <c r="O407" s="32"/>
      <c r="P407" s="32"/>
      <c r="S407" s="32"/>
    </row>
    <row r="408">
      <c r="D408" s="29"/>
      <c r="G408" s="30"/>
      <c r="H408" s="30"/>
      <c r="I408" s="31"/>
      <c r="J408" s="31"/>
      <c r="L408" s="30"/>
      <c r="M408" s="30"/>
      <c r="O408" s="32"/>
      <c r="P408" s="32"/>
      <c r="S408" s="32"/>
    </row>
    <row r="409">
      <c r="D409" s="29"/>
      <c r="G409" s="30"/>
      <c r="H409" s="30"/>
      <c r="I409" s="31"/>
      <c r="J409" s="31"/>
      <c r="L409" s="30"/>
      <c r="M409" s="30"/>
      <c r="O409" s="32"/>
      <c r="P409" s="32"/>
      <c r="S409" s="32"/>
    </row>
    <row r="410">
      <c r="D410" s="29"/>
      <c r="G410" s="30"/>
      <c r="H410" s="30"/>
      <c r="I410" s="31"/>
      <c r="J410" s="31"/>
      <c r="L410" s="30"/>
      <c r="M410" s="30"/>
      <c r="O410" s="32"/>
      <c r="P410" s="32"/>
      <c r="S410" s="32"/>
    </row>
    <row r="411">
      <c r="D411" s="29"/>
      <c r="G411" s="30"/>
      <c r="H411" s="30"/>
      <c r="I411" s="31"/>
      <c r="J411" s="31"/>
      <c r="L411" s="30"/>
      <c r="M411" s="30"/>
      <c r="O411" s="32"/>
      <c r="P411" s="32"/>
      <c r="S411" s="32"/>
    </row>
    <row r="412">
      <c r="D412" s="29"/>
      <c r="G412" s="30"/>
      <c r="H412" s="30"/>
      <c r="I412" s="31"/>
      <c r="J412" s="31"/>
      <c r="L412" s="30"/>
      <c r="M412" s="30"/>
      <c r="O412" s="32"/>
      <c r="P412" s="32"/>
      <c r="S412" s="32"/>
    </row>
    <row r="413">
      <c r="D413" s="29"/>
      <c r="G413" s="30"/>
      <c r="H413" s="30"/>
      <c r="I413" s="31"/>
      <c r="J413" s="31"/>
      <c r="L413" s="30"/>
      <c r="M413" s="30"/>
      <c r="O413" s="32"/>
      <c r="P413" s="32"/>
      <c r="S413" s="32"/>
    </row>
    <row r="414">
      <c r="D414" s="29"/>
      <c r="G414" s="30"/>
      <c r="H414" s="30"/>
      <c r="I414" s="31"/>
      <c r="J414" s="31"/>
      <c r="L414" s="30"/>
      <c r="M414" s="30"/>
      <c r="O414" s="32"/>
      <c r="P414" s="32"/>
      <c r="S414" s="32"/>
    </row>
    <row r="415">
      <c r="D415" s="29"/>
      <c r="G415" s="30"/>
      <c r="H415" s="30"/>
      <c r="I415" s="31"/>
      <c r="J415" s="31"/>
      <c r="L415" s="30"/>
      <c r="M415" s="30"/>
      <c r="O415" s="32"/>
      <c r="P415" s="32"/>
      <c r="S415" s="32"/>
    </row>
    <row r="416">
      <c r="D416" s="29"/>
      <c r="G416" s="30"/>
      <c r="H416" s="30"/>
      <c r="I416" s="31"/>
      <c r="J416" s="31"/>
      <c r="L416" s="30"/>
      <c r="M416" s="30"/>
      <c r="O416" s="32"/>
      <c r="P416" s="32"/>
      <c r="S416" s="32"/>
    </row>
    <row r="417">
      <c r="D417" s="29"/>
      <c r="G417" s="30"/>
      <c r="H417" s="30"/>
      <c r="I417" s="31"/>
      <c r="J417" s="31"/>
      <c r="L417" s="30"/>
      <c r="M417" s="30"/>
      <c r="O417" s="32"/>
      <c r="P417" s="32"/>
      <c r="S417" s="32"/>
    </row>
    <row r="418">
      <c r="D418" s="29"/>
      <c r="G418" s="30"/>
      <c r="H418" s="30"/>
      <c r="I418" s="31"/>
      <c r="J418" s="31"/>
      <c r="L418" s="30"/>
      <c r="M418" s="30"/>
      <c r="O418" s="32"/>
      <c r="P418" s="32"/>
      <c r="S418" s="32"/>
    </row>
    <row r="419">
      <c r="D419" s="29"/>
      <c r="G419" s="30"/>
      <c r="H419" s="30"/>
      <c r="I419" s="31"/>
      <c r="J419" s="31"/>
      <c r="L419" s="30"/>
      <c r="M419" s="30"/>
      <c r="O419" s="32"/>
      <c r="P419" s="32"/>
      <c r="S419" s="32"/>
    </row>
    <row r="420">
      <c r="D420" s="29"/>
      <c r="G420" s="30"/>
      <c r="H420" s="30"/>
      <c r="I420" s="31"/>
      <c r="J420" s="31"/>
      <c r="L420" s="30"/>
      <c r="M420" s="30"/>
      <c r="O420" s="32"/>
      <c r="P420" s="32"/>
      <c r="S420" s="32"/>
    </row>
    <row r="421">
      <c r="D421" s="29"/>
      <c r="G421" s="30"/>
      <c r="H421" s="30"/>
      <c r="I421" s="31"/>
      <c r="J421" s="31"/>
      <c r="L421" s="30"/>
      <c r="M421" s="30"/>
      <c r="O421" s="32"/>
      <c r="P421" s="32"/>
      <c r="S421" s="32"/>
    </row>
    <row r="422">
      <c r="D422" s="29"/>
      <c r="G422" s="30"/>
      <c r="H422" s="30"/>
      <c r="I422" s="31"/>
      <c r="J422" s="31"/>
      <c r="L422" s="30"/>
      <c r="M422" s="30"/>
      <c r="O422" s="32"/>
      <c r="P422" s="32"/>
      <c r="S422" s="32"/>
    </row>
    <row r="423">
      <c r="D423" s="29"/>
      <c r="G423" s="30"/>
      <c r="H423" s="30"/>
      <c r="I423" s="31"/>
      <c r="J423" s="31"/>
      <c r="L423" s="30"/>
      <c r="M423" s="30"/>
      <c r="O423" s="32"/>
      <c r="P423" s="32"/>
      <c r="S423" s="32"/>
    </row>
    <row r="424">
      <c r="D424" s="29"/>
      <c r="G424" s="30"/>
      <c r="H424" s="30"/>
      <c r="I424" s="31"/>
      <c r="J424" s="31"/>
      <c r="L424" s="30"/>
      <c r="M424" s="30"/>
      <c r="O424" s="32"/>
      <c r="P424" s="32"/>
      <c r="S424" s="32"/>
    </row>
    <row r="425">
      <c r="D425" s="29"/>
      <c r="G425" s="30"/>
      <c r="H425" s="30"/>
      <c r="I425" s="31"/>
      <c r="J425" s="31"/>
      <c r="L425" s="30"/>
      <c r="M425" s="30"/>
      <c r="O425" s="32"/>
      <c r="P425" s="32"/>
      <c r="S425" s="32"/>
    </row>
    <row r="426">
      <c r="D426" s="29"/>
      <c r="G426" s="30"/>
      <c r="H426" s="30"/>
      <c r="I426" s="31"/>
      <c r="J426" s="31"/>
      <c r="L426" s="30"/>
      <c r="M426" s="30"/>
      <c r="O426" s="32"/>
      <c r="P426" s="32"/>
      <c r="S426" s="32"/>
    </row>
    <row r="427">
      <c r="D427" s="29"/>
      <c r="G427" s="30"/>
      <c r="H427" s="30"/>
      <c r="I427" s="31"/>
      <c r="J427" s="31"/>
      <c r="L427" s="30"/>
      <c r="M427" s="30"/>
      <c r="O427" s="32"/>
      <c r="P427" s="32"/>
      <c r="S427" s="32"/>
    </row>
    <row r="428">
      <c r="D428" s="29"/>
      <c r="G428" s="30"/>
      <c r="H428" s="30"/>
      <c r="I428" s="31"/>
      <c r="J428" s="31"/>
      <c r="L428" s="30"/>
      <c r="M428" s="30"/>
      <c r="O428" s="32"/>
      <c r="P428" s="32"/>
      <c r="S428" s="32"/>
    </row>
    <row r="429">
      <c r="D429" s="29"/>
      <c r="G429" s="30"/>
      <c r="H429" s="30"/>
      <c r="I429" s="31"/>
      <c r="J429" s="31"/>
      <c r="L429" s="30"/>
      <c r="M429" s="30"/>
      <c r="O429" s="32"/>
      <c r="P429" s="32"/>
      <c r="S429" s="32"/>
    </row>
    <row r="430">
      <c r="D430" s="29"/>
      <c r="G430" s="30"/>
      <c r="H430" s="30"/>
      <c r="I430" s="31"/>
      <c r="J430" s="31"/>
      <c r="L430" s="30"/>
      <c r="M430" s="30"/>
      <c r="O430" s="32"/>
      <c r="P430" s="32"/>
      <c r="S430" s="32"/>
    </row>
    <row r="431">
      <c r="D431" s="29"/>
      <c r="G431" s="30"/>
      <c r="H431" s="30"/>
      <c r="I431" s="31"/>
      <c r="J431" s="31"/>
      <c r="L431" s="30"/>
      <c r="M431" s="30"/>
      <c r="O431" s="32"/>
      <c r="P431" s="32"/>
      <c r="S431" s="32"/>
    </row>
    <row r="432">
      <c r="D432" s="29"/>
      <c r="G432" s="30"/>
      <c r="H432" s="30"/>
      <c r="I432" s="31"/>
      <c r="J432" s="31"/>
      <c r="L432" s="30"/>
      <c r="M432" s="30"/>
      <c r="O432" s="32"/>
      <c r="P432" s="32"/>
      <c r="S432" s="32"/>
    </row>
    <row r="433">
      <c r="D433" s="29"/>
      <c r="G433" s="30"/>
      <c r="H433" s="30"/>
      <c r="I433" s="31"/>
      <c r="J433" s="31"/>
      <c r="L433" s="30"/>
      <c r="M433" s="30"/>
      <c r="O433" s="32"/>
      <c r="P433" s="32"/>
      <c r="S433" s="32"/>
    </row>
    <row r="434">
      <c r="D434" s="29"/>
      <c r="G434" s="30"/>
      <c r="H434" s="30"/>
      <c r="I434" s="31"/>
      <c r="J434" s="31"/>
      <c r="L434" s="30"/>
      <c r="M434" s="30"/>
      <c r="O434" s="32"/>
      <c r="P434" s="32"/>
      <c r="S434" s="32"/>
    </row>
    <row r="435">
      <c r="D435" s="29"/>
      <c r="G435" s="30"/>
      <c r="H435" s="30"/>
      <c r="I435" s="31"/>
      <c r="J435" s="31"/>
      <c r="L435" s="30"/>
      <c r="M435" s="30"/>
      <c r="O435" s="32"/>
      <c r="P435" s="32"/>
      <c r="S435" s="32"/>
    </row>
    <row r="436">
      <c r="D436" s="29"/>
      <c r="G436" s="30"/>
      <c r="H436" s="30"/>
      <c r="I436" s="31"/>
      <c r="J436" s="31"/>
      <c r="L436" s="30"/>
      <c r="M436" s="30"/>
      <c r="O436" s="32"/>
      <c r="P436" s="32"/>
      <c r="S436" s="32"/>
    </row>
    <row r="437">
      <c r="D437" s="29"/>
      <c r="G437" s="30"/>
      <c r="H437" s="30"/>
      <c r="I437" s="31"/>
      <c r="J437" s="31"/>
      <c r="L437" s="30"/>
      <c r="M437" s="30"/>
      <c r="O437" s="32"/>
      <c r="P437" s="32"/>
      <c r="S437" s="32"/>
    </row>
    <row r="438">
      <c r="D438" s="29"/>
      <c r="G438" s="30"/>
      <c r="H438" s="30"/>
      <c r="I438" s="31"/>
      <c r="J438" s="31"/>
      <c r="L438" s="30"/>
      <c r="M438" s="30"/>
      <c r="O438" s="32"/>
      <c r="P438" s="32"/>
      <c r="S438" s="32"/>
    </row>
    <row r="439">
      <c r="D439" s="29"/>
      <c r="G439" s="30"/>
      <c r="H439" s="30"/>
      <c r="I439" s="31"/>
      <c r="J439" s="31"/>
      <c r="L439" s="30"/>
      <c r="M439" s="30"/>
      <c r="O439" s="32"/>
      <c r="P439" s="32"/>
      <c r="S439" s="32"/>
    </row>
    <row r="440">
      <c r="D440" s="29"/>
      <c r="G440" s="30"/>
      <c r="H440" s="30"/>
      <c r="I440" s="31"/>
      <c r="J440" s="31"/>
      <c r="L440" s="30"/>
      <c r="M440" s="30"/>
      <c r="O440" s="32"/>
      <c r="P440" s="32"/>
      <c r="S440" s="32"/>
    </row>
    <row r="441">
      <c r="D441" s="29"/>
      <c r="G441" s="30"/>
      <c r="H441" s="30"/>
      <c r="I441" s="31"/>
      <c r="J441" s="31"/>
      <c r="L441" s="30"/>
      <c r="M441" s="30"/>
      <c r="O441" s="32"/>
      <c r="P441" s="32"/>
      <c r="S441" s="32"/>
    </row>
    <row r="442">
      <c r="D442" s="29"/>
      <c r="G442" s="30"/>
      <c r="H442" s="30"/>
      <c r="I442" s="31"/>
      <c r="J442" s="31"/>
      <c r="L442" s="30"/>
      <c r="M442" s="30"/>
      <c r="O442" s="32"/>
      <c r="P442" s="32"/>
      <c r="S442" s="32"/>
    </row>
    <row r="443">
      <c r="D443" s="29"/>
      <c r="G443" s="30"/>
      <c r="H443" s="30"/>
      <c r="I443" s="31"/>
      <c r="J443" s="31"/>
      <c r="L443" s="30"/>
      <c r="M443" s="30"/>
      <c r="O443" s="32"/>
      <c r="P443" s="32"/>
      <c r="S443" s="32"/>
    </row>
    <row r="444">
      <c r="D444" s="29"/>
      <c r="G444" s="30"/>
      <c r="H444" s="30"/>
      <c r="I444" s="31"/>
      <c r="J444" s="31"/>
      <c r="L444" s="30"/>
      <c r="M444" s="30"/>
      <c r="O444" s="32"/>
      <c r="P444" s="32"/>
      <c r="S444" s="32"/>
    </row>
    <row r="445">
      <c r="D445" s="29"/>
      <c r="G445" s="30"/>
      <c r="H445" s="30"/>
      <c r="I445" s="31"/>
      <c r="J445" s="31"/>
      <c r="L445" s="30"/>
      <c r="M445" s="30"/>
      <c r="O445" s="32"/>
      <c r="P445" s="32"/>
      <c r="S445" s="32"/>
    </row>
    <row r="446">
      <c r="D446" s="29"/>
      <c r="G446" s="30"/>
      <c r="H446" s="30"/>
      <c r="I446" s="31"/>
      <c r="J446" s="31"/>
      <c r="L446" s="30"/>
      <c r="M446" s="30"/>
      <c r="O446" s="32"/>
      <c r="P446" s="32"/>
      <c r="S446" s="32"/>
    </row>
    <row r="447">
      <c r="D447" s="29"/>
      <c r="G447" s="30"/>
      <c r="H447" s="30"/>
      <c r="I447" s="31"/>
      <c r="J447" s="31"/>
      <c r="L447" s="30"/>
      <c r="M447" s="30"/>
      <c r="O447" s="32"/>
      <c r="P447" s="32"/>
      <c r="S447" s="32"/>
    </row>
    <row r="448">
      <c r="D448" s="29"/>
      <c r="G448" s="30"/>
      <c r="H448" s="30"/>
      <c r="I448" s="31"/>
      <c r="J448" s="31"/>
      <c r="L448" s="30"/>
      <c r="M448" s="30"/>
      <c r="O448" s="32"/>
      <c r="P448" s="32"/>
      <c r="S448" s="32"/>
    </row>
    <row r="449">
      <c r="D449" s="29"/>
      <c r="G449" s="30"/>
      <c r="H449" s="30"/>
      <c r="I449" s="31"/>
      <c r="J449" s="31"/>
      <c r="L449" s="30"/>
      <c r="M449" s="30"/>
      <c r="O449" s="32"/>
      <c r="P449" s="32"/>
      <c r="S449" s="32"/>
    </row>
    <row r="450">
      <c r="D450" s="29"/>
      <c r="G450" s="30"/>
      <c r="H450" s="30"/>
      <c r="I450" s="31"/>
      <c r="J450" s="31"/>
      <c r="L450" s="30"/>
      <c r="M450" s="30"/>
      <c r="O450" s="32"/>
      <c r="P450" s="32"/>
      <c r="S450" s="32"/>
    </row>
    <row r="451">
      <c r="D451" s="29"/>
      <c r="G451" s="30"/>
      <c r="H451" s="30"/>
      <c r="I451" s="31"/>
      <c r="J451" s="31"/>
      <c r="L451" s="30"/>
      <c r="M451" s="30"/>
      <c r="O451" s="32"/>
      <c r="P451" s="32"/>
      <c r="S451" s="32"/>
    </row>
    <row r="452">
      <c r="D452" s="29"/>
      <c r="G452" s="30"/>
      <c r="H452" s="30"/>
      <c r="I452" s="31"/>
      <c r="J452" s="31"/>
      <c r="L452" s="30"/>
      <c r="M452" s="30"/>
      <c r="O452" s="32"/>
      <c r="P452" s="32"/>
      <c r="S452" s="32"/>
    </row>
    <row r="453">
      <c r="D453" s="29"/>
      <c r="G453" s="30"/>
      <c r="H453" s="30"/>
      <c r="I453" s="31"/>
      <c r="J453" s="31"/>
      <c r="L453" s="30"/>
      <c r="M453" s="30"/>
      <c r="O453" s="32"/>
      <c r="P453" s="32"/>
      <c r="S453" s="32"/>
    </row>
    <row r="454">
      <c r="D454" s="29"/>
      <c r="G454" s="30"/>
      <c r="H454" s="30"/>
      <c r="I454" s="31"/>
      <c r="J454" s="31"/>
      <c r="L454" s="30"/>
      <c r="M454" s="30"/>
      <c r="O454" s="32"/>
      <c r="P454" s="32"/>
      <c r="S454" s="32"/>
    </row>
    <row r="455">
      <c r="D455" s="29"/>
      <c r="G455" s="30"/>
      <c r="H455" s="30"/>
      <c r="I455" s="31"/>
      <c r="J455" s="31"/>
      <c r="L455" s="30"/>
      <c r="M455" s="30"/>
      <c r="O455" s="32"/>
      <c r="P455" s="32"/>
      <c r="S455" s="32"/>
    </row>
    <row r="456">
      <c r="D456" s="29"/>
      <c r="G456" s="30"/>
      <c r="H456" s="30"/>
      <c r="I456" s="31"/>
      <c r="J456" s="31"/>
      <c r="L456" s="30"/>
      <c r="M456" s="30"/>
      <c r="O456" s="32"/>
      <c r="P456" s="32"/>
      <c r="S456" s="32"/>
    </row>
    <row r="457">
      <c r="D457" s="29"/>
      <c r="G457" s="30"/>
      <c r="H457" s="30"/>
      <c r="I457" s="31"/>
      <c r="J457" s="31"/>
      <c r="L457" s="30"/>
      <c r="M457" s="30"/>
      <c r="O457" s="32"/>
      <c r="P457" s="32"/>
      <c r="S457" s="32"/>
    </row>
    <row r="458">
      <c r="D458" s="29"/>
      <c r="G458" s="30"/>
      <c r="H458" s="30"/>
      <c r="I458" s="31"/>
      <c r="J458" s="31"/>
      <c r="L458" s="30"/>
      <c r="M458" s="30"/>
      <c r="O458" s="32"/>
      <c r="P458" s="32"/>
      <c r="S458" s="32"/>
    </row>
    <row r="459">
      <c r="D459" s="29"/>
      <c r="G459" s="30"/>
      <c r="H459" s="30"/>
      <c r="I459" s="31"/>
      <c r="J459" s="31"/>
      <c r="L459" s="30"/>
      <c r="M459" s="30"/>
      <c r="O459" s="32"/>
      <c r="P459" s="32"/>
      <c r="S459" s="32"/>
    </row>
    <row r="460">
      <c r="D460" s="29"/>
      <c r="G460" s="30"/>
      <c r="H460" s="30"/>
      <c r="I460" s="31"/>
      <c r="J460" s="31"/>
      <c r="L460" s="30"/>
      <c r="M460" s="30"/>
      <c r="O460" s="32"/>
      <c r="P460" s="32"/>
      <c r="S460" s="32"/>
    </row>
    <row r="461">
      <c r="D461" s="29"/>
      <c r="G461" s="30"/>
      <c r="H461" s="30"/>
      <c r="I461" s="31"/>
      <c r="J461" s="31"/>
      <c r="L461" s="30"/>
      <c r="M461" s="30"/>
      <c r="O461" s="32"/>
      <c r="P461" s="32"/>
      <c r="S461" s="32"/>
    </row>
    <row r="462">
      <c r="D462" s="29"/>
      <c r="G462" s="30"/>
      <c r="H462" s="30"/>
      <c r="I462" s="31"/>
      <c r="J462" s="31"/>
      <c r="L462" s="30"/>
      <c r="M462" s="30"/>
      <c r="O462" s="32"/>
      <c r="P462" s="32"/>
      <c r="S462" s="32"/>
    </row>
    <row r="463">
      <c r="D463" s="29"/>
      <c r="G463" s="30"/>
      <c r="H463" s="30"/>
      <c r="I463" s="31"/>
      <c r="J463" s="31"/>
      <c r="L463" s="30"/>
      <c r="M463" s="30"/>
      <c r="O463" s="32"/>
      <c r="P463" s="32"/>
      <c r="S463" s="32"/>
    </row>
    <row r="464">
      <c r="D464" s="29"/>
      <c r="G464" s="30"/>
      <c r="H464" s="30"/>
      <c r="I464" s="31"/>
      <c r="J464" s="31"/>
      <c r="L464" s="30"/>
      <c r="M464" s="30"/>
      <c r="O464" s="32"/>
      <c r="P464" s="32"/>
      <c r="S464" s="32"/>
    </row>
    <row r="465">
      <c r="D465" s="29"/>
      <c r="G465" s="30"/>
      <c r="H465" s="30"/>
      <c r="I465" s="31"/>
      <c r="J465" s="31"/>
      <c r="L465" s="30"/>
      <c r="M465" s="30"/>
      <c r="O465" s="32"/>
      <c r="P465" s="32"/>
      <c r="S465" s="32"/>
    </row>
    <row r="466">
      <c r="D466" s="29"/>
      <c r="G466" s="30"/>
      <c r="H466" s="30"/>
      <c r="I466" s="31"/>
      <c r="J466" s="31"/>
      <c r="L466" s="30"/>
      <c r="M466" s="30"/>
      <c r="O466" s="32"/>
      <c r="P466" s="32"/>
      <c r="S466" s="32"/>
    </row>
    <row r="467">
      <c r="D467" s="29"/>
      <c r="G467" s="30"/>
      <c r="H467" s="30"/>
      <c r="I467" s="31"/>
      <c r="J467" s="31"/>
      <c r="L467" s="30"/>
      <c r="M467" s="30"/>
      <c r="O467" s="32"/>
      <c r="P467" s="32"/>
      <c r="S467" s="32"/>
    </row>
    <row r="468">
      <c r="D468" s="29"/>
      <c r="G468" s="30"/>
      <c r="H468" s="30"/>
      <c r="I468" s="31"/>
      <c r="J468" s="31"/>
      <c r="L468" s="30"/>
      <c r="M468" s="30"/>
      <c r="O468" s="32"/>
      <c r="P468" s="32"/>
      <c r="S468" s="32"/>
    </row>
    <row r="469">
      <c r="D469" s="29"/>
      <c r="G469" s="30"/>
      <c r="H469" s="30"/>
      <c r="I469" s="31"/>
      <c r="J469" s="31"/>
      <c r="L469" s="30"/>
      <c r="M469" s="30"/>
      <c r="O469" s="32"/>
      <c r="P469" s="32"/>
      <c r="S469" s="32"/>
    </row>
    <row r="470">
      <c r="D470" s="29"/>
      <c r="G470" s="30"/>
      <c r="H470" s="30"/>
      <c r="I470" s="31"/>
      <c r="J470" s="31"/>
      <c r="L470" s="30"/>
      <c r="M470" s="30"/>
      <c r="O470" s="32"/>
      <c r="P470" s="32"/>
      <c r="S470" s="32"/>
    </row>
    <row r="471">
      <c r="D471" s="29"/>
      <c r="G471" s="30"/>
      <c r="H471" s="30"/>
      <c r="I471" s="31"/>
      <c r="J471" s="31"/>
      <c r="L471" s="30"/>
      <c r="M471" s="30"/>
      <c r="O471" s="32"/>
      <c r="P471" s="32"/>
      <c r="S471" s="32"/>
    </row>
    <row r="472">
      <c r="D472" s="29"/>
      <c r="G472" s="30"/>
      <c r="H472" s="30"/>
      <c r="I472" s="31"/>
      <c r="J472" s="31"/>
      <c r="L472" s="30"/>
      <c r="M472" s="30"/>
      <c r="O472" s="32"/>
      <c r="P472" s="32"/>
      <c r="S472" s="32"/>
    </row>
    <row r="473">
      <c r="D473" s="29"/>
      <c r="G473" s="30"/>
      <c r="H473" s="30"/>
      <c r="I473" s="31"/>
      <c r="J473" s="31"/>
      <c r="L473" s="30"/>
      <c r="M473" s="30"/>
      <c r="O473" s="32"/>
      <c r="P473" s="32"/>
      <c r="S473" s="32"/>
    </row>
    <row r="474">
      <c r="D474" s="29"/>
      <c r="G474" s="30"/>
      <c r="H474" s="30"/>
      <c r="I474" s="31"/>
      <c r="J474" s="31"/>
      <c r="L474" s="30"/>
      <c r="M474" s="30"/>
      <c r="O474" s="32"/>
      <c r="P474" s="32"/>
      <c r="S474" s="32"/>
    </row>
    <row r="475">
      <c r="D475" s="29"/>
      <c r="G475" s="30"/>
      <c r="H475" s="30"/>
      <c r="I475" s="31"/>
      <c r="J475" s="31"/>
      <c r="L475" s="30"/>
      <c r="M475" s="30"/>
      <c r="O475" s="32"/>
      <c r="P475" s="32"/>
      <c r="S475" s="32"/>
    </row>
    <row r="476">
      <c r="D476" s="29"/>
      <c r="G476" s="30"/>
      <c r="H476" s="30"/>
      <c r="I476" s="31"/>
      <c r="J476" s="31"/>
      <c r="L476" s="30"/>
      <c r="M476" s="30"/>
      <c r="O476" s="32"/>
      <c r="P476" s="32"/>
      <c r="S476" s="32"/>
    </row>
    <row r="477">
      <c r="D477" s="29"/>
      <c r="G477" s="30"/>
      <c r="H477" s="30"/>
      <c r="I477" s="31"/>
      <c r="J477" s="31"/>
      <c r="L477" s="30"/>
      <c r="M477" s="30"/>
      <c r="O477" s="32"/>
      <c r="P477" s="32"/>
      <c r="S477" s="32"/>
    </row>
    <row r="478">
      <c r="D478" s="29"/>
      <c r="G478" s="30"/>
      <c r="H478" s="30"/>
      <c r="I478" s="31"/>
      <c r="J478" s="31"/>
      <c r="L478" s="30"/>
      <c r="M478" s="30"/>
      <c r="O478" s="32"/>
      <c r="P478" s="32"/>
      <c r="S478" s="32"/>
    </row>
    <row r="479">
      <c r="D479" s="29"/>
      <c r="G479" s="30"/>
      <c r="H479" s="30"/>
      <c r="I479" s="31"/>
      <c r="J479" s="31"/>
      <c r="L479" s="30"/>
      <c r="M479" s="30"/>
      <c r="O479" s="32"/>
      <c r="P479" s="32"/>
      <c r="S479" s="32"/>
    </row>
    <row r="480">
      <c r="D480" s="29"/>
      <c r="G480" s="30"/>
      <c r="H480" s="30"/>
      <c r="I480" s="31"/>
      <c r="J480" s="31"/>
      <c r="L480" s="30"/>
      <c r="M480" s="30"/>
      <c r="O480" s="32"/>
      <c r="P480" s="32"/>
      <c r="S480" s="32"/>
    </row>
    <row r="481">
      <c r="D481" s="29"/>
      <c r="G481" s="30"/>
      <c r="H481" s="30"/>
      <c r="I481" s="31"/>
      <c r="J481" s="31"/>
      <c r="L481" s="30"/>
      <c r="M481" s="30"/>
      <c r="O481" s="32"/>
      <c r="P481" s="32"/>
      <c r="S481" s="32"/>
    </row>
    <row r="482">
      <c r="D482" s="29"/>
      <c r="G482" s="30"/>
      <c r="H482" s="30"/>
      <c r="I482" s="31"/>
      <c r="J482" s="31"/>
      <c r="L482" s="30"/>
      <c r="M482" s="30"/>
      <c r="O482" s="32"/>
      <c r="P482" s="32"/>
      <c r="S482" s="32"/>
    </row>
    <row r="483">
      <c r="D483" s="29"/>
      <c r="G483" s="30"/>
      <c r="H483" s="30"/>
      <c r="I483" s="31"/>
      <c r="J483" s="31"/>
      <c r="L483" s="30"/>
      <c r="M483" s="30"/>
      <c r="O483" s="32"/>
      <c r="P483" s="32"/>
      <c r="S483" s="32"/>
    </row>
    <row r="484">
      <c r="D484" s="29"/>
      <c r="G484" s="30"/>
      <c r="H484" s="30"/>
      <c r="I484" s="31"/>
      <c r="J484" s="31"/>
      <c r="L484" s="30"/>
      <c r="M484" s="30"/>
      <c r="O484" s="32"/>
      <c r="P484" s="32"/>
      <c r="S484" s="32"/>
    </row>
    <row r="485">
      <c r="D485" s="29"/>
      <c r="G485" s="30"/>
      <c r="H485" s="30"/>
      <c r="I485" s="31"/>
      <c r="J485" s="31"/>
      <c r="L485" s="30"/>
      <c r="M485" s="30"/>
      <c r="O485" s="32"/>
      <c r="P485" s="32"/>
      <c r="S485" s="32"/>
    </row>
    <row r="486">
      <c r="D486" s="29"/>
      <c r="G486" s="30"/>
      <c r="H486" s="30"/>
      <c r="I486" s="31"/>
      <c r="J486" s="31"/>
      <c r="L486" s="30"/>
      <c r="M486" s="30"/>
      <c r="O486" s="32"/>
      <c r="P486" s="32"/>
      <c r="S486" s="32"/>
    </row>
    <row r="487">
      <c r="D487" s="29"/>
      <c r="G487" s="30"/>
      <c r="H487" s="30"/>
      <c r="I487" s="31"/>
      <c r="J487" s="31"/>
      <c r="L487" s="30"/>
      <c r="M487" s="30"/>
      <c r="O487" s="32"/>
      <c r="P487" s="32"/>
      <c r="S487" s="32"/>
    </row>
    <row r="488">
      <c r="D488" s="29"/>
      <c r="G488" s="30"/>
      <c r="H488" s="30"/>
      <c r="I488" s="31"/>
      <c r="J488" s="31"/>
      <c r="L488" s="30"/>
      <c r="M488" s="30"/>
      <c r="O488" s="32"/>
      <c r="P488" s="32"/>
      <c r="S488" s="32"/>
    </row>
    <row r="489">
      <c r="D489" s="29"/>
      <c r="G489" s="30"/>
      <c r="H489" s="30"/>
      <c r="I489" s="31"/>
      <c r="J489" s="31"/>
      <c r="L489" s="30"/>
      <c r="M489" s="30"/>
      <c r="O489" s="32"/>
      <c r="P489" s="32"/>
      <c r="S489" s="32"/>
    </row>
    <row r="490">
      <c r="D490" s="29"/>
      <c r="G490" s="30"/>
      <c r="H490" s="30"/>
      <c r="I490" s="31"/>
      <c r="J490" s="31"/>
      <c r="L490" s="30"/>
      <c r="M490" s="30"/>
      <c r="O490" s="32"/>
      <c r="P490" s="32"/>
      <c r="S490" s="32"/>
    </row>
    <row r="491">
      <c r="D491" s="29"/>
      <c r="G491" s="30"/>
      <c r="H491" s="30"/>
      <c r="I491" s="31"/>
      <c r="J491" s="31"/>
      <c r="L491" s="30"/>
      <c r="M491" s="30"/>
      <c r="O491" s="32"/>
      <c r="P491" s="32"/>
      <c r="S491" s="32"/>
    </row>
    <row r="492">
      <c r="D492" s="29"/>
      <c r="G492" s="30"/>
      <c r="H492" s="30"/>
      <c r="I492" s="31"/>
      <c r="J492" s="31"/>
      <c r="L492" s="30"/>
      <c r="M492" s="30"/>
      <c r="O492" s="32"/>
      <c r="P492" s="32"/>
      <c r="S492" s="32"/>
    </row>
    <row r="493">
      <c r="D493" s="29"/>
      <c r="G493" s="30"/>
      <c r="H493" s="30"/>
      <c r="I493" s="31"/>
      <c r="J493" s="31"/>
      <c r="L493" s="30"/>
      <c r="M493" s="30"/>
      <c r="O493" s="32"/>
      <c r="P493" s="32"/>
      <c r="S493" s="32"/>
    </row>
    <row r="494">
      <c r="D494" s="29"/>
      <c r="G494" s="30"/>
      <c r="H494" s="30"/>
      <c r="I494" s="31"/>
      <c r="J494" s="31"/>
      <c r="L494" s="30"/>
      <c r="M494" s="30"/>
      <c r="O494" s="32"/>
      <c r="P494" s="32"/>
      <c r="S494" s="32"/>
    </row>
    <row r="495">
      <c r="D495" s="29"/>
      <c r="G495" s="30"/>
      <c r="H495" s="30"/>
      <c r="I495" s="31"/>
      <c r="J495" s="31"/>
      <c r="L495" s="30"/>
      <c r="M495" s="30"/>
      <c r="O495" s="32"/>
      <c r="P495" s="32"/>
      <c r="S495" s="32"/>
    </row>
    <row r="496">
      <c r="D496" s="29"/>
      <c r="G496" s="30"/>
      <c r="H496" s="30"/>
      <c r="I496" s="31"/>
      <c r="J496" s="31"/>
      <c r="L496" s="30"/>
      <c r="M496" s="30"/>
      <c r="O496" s="32"/>
      <c r="P496" s="32"/>
      <c r="S496" s="32"/>
    </row>
    <row r="497">
      <c r="D497" s="29"/>
      <c r="G497" s="30"/>
      <c r="H497" s="30"/>
      <c r="I497" s="31"/>
      <c r="J497" s="31"/>
      <c r="L497" s="30"/>
      <c r="M497" s="30"/>
      <c r="O497" s="32"/>
      <c r="P497" s="32"/>
      <c r="S497" s="32"/>
    </row>
    <row r="498">
      <c r="D498" s="29"/>
      <c r="G498" s="30"/>
      <c r="H498" s="30"/>
      <c r="I498" s="31"/>
      <c r="J498" s="31"/>
      <c r="L498" s="30"/>
      <c r="M498" s="30"/>
      <c r="O498" s="32"/>
      <c r="P498" s="32"/>
      <c r="S498" s="32"/>
    </row>
    <row r="499">
      <c r="D499" s="29"/>
      <c r="G499" s="30"/>
      <c r="H499" s="30"/>
      <c r="I499" s="31"/>
      <c r="J499" s="31"/>
      <c r="L499" s="30"/>
      <c r="M499" s="30"/>
      <c r="O499" s="32"/>
      <c r="P499" s="32"/>
      <c r="S499" s="32"/>
    </row>
    <row r="500">
      <c r="D500" s="29"/>
      <c r="G500" s="30"/>
      <c r="H500" s="30"/>
      <c r="I500" s="31"/>
      <c r="J500" s="31"/>
      <c r="L500" s="30"/>
      <c r="M500" s="30"/>
      <c r="O500" s="32"/>
      <c r="P500" s="32"/>
      <c r="S500" s="32"/>
    </row>
    <row r="501">
      <c r="D501" s="29"/>
      <c r="G501" s="30"/>
      <c r="H501" s="30"/>
      <c r="I501" s="31"/>
      <c r="J501" s="31"/>
      <c r="L501" s="30"/>
      <c r="M501" s="30"/>
      <c r="O501" s="32"/>
      <c r="P501" s="32"/>
      <c r="S501" s="32"/>
    </row>
    <row r="502">
      <c r="D502" s="29"/>
      <c r="G502" s="30"/>
      <c r="H502" s="30"/>
      <c r="I502" s="31"/>
      <c r="J502" s="31"/>
      <c r="L502" s="30"/>
      <c r="M502" s="30"/>
      <c r="O502" s="32"/>
      <c r="P502" s="32"/>
      <c r="S502" s="32"/>
    </row>
    <row r="503">
      <c r="D503" s="29"/>
      <c r="G503" s="30"/>
      <c r="H503" s="30"/>
      <c r="I503" s="31"/>
      <c r="J503" s="31"/>
      <c r="L503" s="30"/>
      <c r="M503" s="30"/>
      <c r="O503" s="32"/>
      <c r="P503" s="32"/>
      <c r="S503" s="32"/>
    </row>
    <row r="504">
      <c r="D504" s="29"/>
      <c r="G504" s="30"/>
      <c r="H504" s="30"/>
      <c r="I504" s="31"/>
      <c r="J504" s="31"/>
      <c r="L504" s="30"/>
      <c r="M504" s="30"/>
      <c r="O504" s="32"/>
      <c r="P504" s="32"/>
      <c r="S504" s="32"/>
    </row>
    <row r="505">
      <c r="D505" s="29"/>
      <c r="G505" s="30"/>
      <c r="H505" s="30"/>
      <c r="I505" s="31"/>
      <c r="J505" s="31"/>
      <c r="L505" s="30"/>
      <c r="M505" s="30"/>
      <c r="O505" s="32"/>
      <c r="P505" s="32"/>
      <c r="S505" s="32"/>
    </row>
    <row r="506">
      <c r="D506" s="29"/>
      <c r="G506" s="30"/>
      <c r="H506" s="30"/>
      <c r="I506" s="31"/>
      <c r="J506" s="31"/>
      <c r="L506" s="30"/>
      <c r="M506" s="30"/>
      <c r="O506" s="32"/>
      <c r="P506" s="32"/>
      <c r="S506" s="32"/>
    </row>
    <row r="507">
      <c r="D507" s="29"/>
      <c r="G507" s="30"/>
      <c r="H507" s="30"/>
      <c r="I507" s="31"/>
      <c r="J507" s="31"/>
      <c r="L507" s="30"/>
      <c r="M507" s="30"/>
      <c r="O507" s="32"/>
      <c r="P507" s="32"/>
      <c r="S507" s="32"/>
    </row>
    <row r="508">
      <c r="D508" s="29"/>
      <c r="G508" s="30"/>
      <c r="H508" s="30"/>
      <c r="I508" s="31"/>
      <c r="J508" s="31"/>
      <c r="L508" s="30"/>
      <c r="M508" s="30"/>
      <c r="O508" s="32"/>
      <c r="P508" s="32"/>
      <c r="S508" s="32"/>
    </row>
    <row r="509">
      <c r="D509" s="29"/>
      <c r="G509" s="30"/>
      <c r="H509" s="30"/>
      <c r="I509" s="31"/>
      <c r="J509" s="31"/>
      <c r="L509" s="30"/>
      <c r="M509" s="30"/>
      <c r="O509" s="32"/>
      <c r="P509" s="32"/>
      <c r="S509" s="32"/>
    </row>
    <row r="510">
      <c r="D510" s="29"/>
      <c r="G510" s="30"/>
      <c r="H510" s="30"/>
      <c r="I510" s="31"/>
      <c r="J510" s="31"/>
      <c r="L510" s="30"/>
      <c r="M510" s="30"/>
      <c r="O510" s="32"/>
      <c r="P510" s="32"/>
      <c r="S510" s="32"/>
    </row>
    <row r="511">
      <c r="D511" s="29"/>
      <c r="G511" s="30"/>
      <c r="H511" s="30"/>
      <c r="I511" s="31"/>
      <c r="J511" s="31"/>
      <c r="L511" s="30"/>
      <c r="M511" s="30"/>
      <c r="O511" s="32"/>
      <c r="P511" s="32"/>
      <c r="S511" s="32"/>
    </row>
    <row r="512">
      <c r="D512" s="29"/>
      <c r="G512" s="30"/>
      <c r="H512" s="30"/>
      <c r="I512" s="31"/>
      <c r="J512" s="31"/>
      <c r="L512" s="30"/>
      <c r="M512" s="30"/>
      <c r="O512" s="32"/>
      <c r="P512" s="32"/>
      <c r="S512" s="32"/>
    </row>
    <row r="513">
      <c r="D513" s="29"/>
      <c r="G513" s="30"/>
      <c r="H513" s="30"/>
      <c r="I513" s="31"/>
      <c r="J513" s="31"/>
      <c r="L513" s="30"/>
      <c r="M513" s="30"/>
      <c r="O513" s="32"/>
      <c r="P513" s="32"/>
      <c r="S513" s="32"/>
    </row>
    <row r="514">
      <c r="D514" s="29"/>
      <c r="G514" s="30"/>
      <c r="H514" s="30"/>
      <c r="I514" s="31"/>
      <c r="J514" s="31"/>
      <c r="L514" s="30"/>
      <c r="M514" s="30"/>
      <c r="O514" s="32"/>
      <c r="P514" s="32"/>
      <c r="S514" s="32"/>
    </row>
    <row r="515">
      <c r="D515" s="29"/>
      <c r="G515" s="30"/>
      <c r="H515" s="30"/>
      <c r="I515" s="31"/>
      <c r="J515" s="31"/>
      <c r="L515" s="30"/>
      <c r="M515" s="30"/>
      <c r="O515" s="32"/>
      <c r="P515" s="32"/>
      <c r="S515" s="32"/>
    </row>
    <row r="516">
      <c r="D516" s="29"/>
      <c r="G516" s="30"/>
      <c r="H516" s="30"/>
      <c r="I516" s="31"/>
      <c r="J516" s="31"/>
      <c r="L516" s="30"/>
      <c r="M516" s="30"/>
      <c r="O516" s="32"/>
      <c r="P516" s="32"/>
      <c r="S516" s="32"/>
    </row>
    <row r="517">
      <c r="D517" s="29"/>
      <c r="G517" s="30"/>
      <c r="H517" s="30"/>
      <c r="I517" s="31"/>
      <c r="J517" s="31"/>
      <c r="L517" s="30"/>
      <c r="M517" s="30"/>
      <c r="O517" s="32"/>
      <c r="P517" s="32"/>
      <c r="S517" s="32"/>
    </row>
    <row r="518">
      <c r="D518" s="29"/>
      <c r="G518" s="30"/>
      <c r="H518" s="30"/>
      <c r="I518" s="31"/>
      <c r="J518" s="31"/>
      <c r="L518" s="30"/>
      <c r="M518" s="30"/>
      <c r="O518" s="32"/>
      <c r="P518" s="32"/>
      <c r="S518" s="32"/>
    </row>
    <row r="519">
      <c r="D519" s="29"/>
      <c r="G519" s="30"/>
      <c r="H519" s="30"/>
      <c r="I519" s="31"/>
      <c r="J519" s="31"/>
      <c r="L519" s="30"/>
      <c r="M519" s="30"/>
      <c r="O519" s="32"/>
      <c r="P519" s="32"/>
      <c r="S519" s="32"/>
    </row>
    <row r="520">
      <c r="D520" s="29"/>
      <c r="G520" s="30"/>
      <c r="H520" s="30"/>
      <c r="I520" s="31"/>
      <c r="J520" s="31"/>
      <c r="L520" s="30"/>
      <c r="M520" s="30"/>
      <c r="O520" s="32"/>
      <c r="P520" s="32"/>
      <c r="S520" s="32"/>
    </row>
    <row r="521">
      <c r="D521" s="29"/>
      <c r="G521" s="30"/>
      <c r="H521" s="30"/>
      <c r="I521" s="31"/>
      <c r="J521" s="31"/>
      <c r="L521" s="30"/>
      <c r="M521" s="30"/>
      <c r="O521" s="32"/>
      <c r="P521" s="32"/>
      <c r="S521" s="32"/>
    </row>
    <row r="522">
      <c r="D522" s="29"/>
      <c r="G522" s="30"/>
      <c r="H522" s="30"/>
      <c r="I522" s="31"/>
      <c r="J522" s="31"/>
      <c r="L522" s="30"/>
      <c r="M522" s="30"/>
      <c r="O522" s="32"/>
      <c r="P522" s="32"/>
      <c r="S522" s="32"/>
    </row>
    <row r="523">
      <c r="D523" s="29"/>
      <c r="G523" s="30"/>
      <c r="H523" s="30"/>
      <c r="I523" s="31"/>
      <c r="J523" s="31"/>
      <c r="L523" s="30"/>
      <c r="M523" s="30"/>
      <c r="O523" s="32"/>
      <c r="P523" s="32"/>
      <c r="S523" s="32"/>
    </row>
    <row r="524">
      <c r="D524" s="29"/>
      <c r="G524" s="30"/>
      <c r="H524" s="30"/>
      <c r="I524" s="31"/>
      <c r="J524" s="31"/>
      <c r="L524" s="30"/>
      <c r="M524" s="30"/>
      <c r="O524" s="32"/>
      <c r="P524" s="32"/>
      <c r="S524" s="32"/>
    </row>
    <row r="525">
      <c r="D525" s="29"/>
      <c r="G525" s="30"/>
      <c r="H525" s="30"/>
      <c r="I525" s="31"/>
      <c r="J525" s="31"/>
      <c r="L525" s="30"/>
      <c r="M525" s="30"/>
      <c r="O525" s="32"/>
      <c r="P525" s="32"/>
      <c r="S525" s="32"/>
    </row>
    <row r="526">
      <c r="D526" s="29"/>
      <c r="G526" s="30"/>
      <c r="H526" s="30"/>
      <c r="I526" s="31"/>
      <c r="J526" s="31"/>
      <c r="L526" s="30"/>
      <c r="M526" s="30"/>
      <c r="O526" s="32"/>
      <c r="P526" s="32"/>
      <c r="S526" s="32"/>
    </row>
    <row r="527">
      <c r="D527" s="29"/>
      <c r="G527" s="30"/>
      <c r="H527" s="30"/>
      <c r="I527" s="31"/>
      <c r="J527" s="31"/>
      <c r="L527" s="30"/>
      <c r="M527" s="30"/>
      <c r="O527" s="32"/>
      <c r="P527" s="32"/>
      <c r="S527" s="32"/>
    </row>
    <row r="528">
      <c r="D528" s="29"/>
      <c r="G528" s="30"/>
      <c r="H528" s="30"/>
      <c r="I528" s="31"/>
      <c r="J528" s="31"/>
      <c r="L528" s="30"/>
      <c r="M528" s="30"/>
      <c r="O528" s="32"/>
      <c r="P528" s="32"/>
      <c r="S528" s="32"/>
    </row>
    <row r="529">
      <c r="D529" s="29"/>
      <c r="G529" s="30"/>
      <c r="H529" s="30"/>
      <c r="I529" s="31"/>
      <c r="J529" s="31"/>
      <c r="L529" s="30"/>
      <c r="M529" s="30"/>
      <c r="O529" s="32"/>
      <c r="P529" s="32"/>
      <c r="S529" s="32"/>
    </row>
    <row r="530">
      <c r="D530" s="29"/>
      <c r="G530" s="30"/>
      <c r="H530" s="30"/>
      <c r="I530" s="31"/>
      <c r="J530" s="31"/>
      <c r="L530" s="30"/>
      <c r="M530" s="30"/>
      <c r="O530" s="32"/>
      <c r="P530" s="32"/>
      <c r="S530" s="32"/>
    </row>
    <row r="531">
      <c r="D531" s="29"/>
      <c r="G531" s="30"/>
      <c r="H531" s="30"/>
      <c r="I531" s="31"/>
      <c r="J531" s="31"/>
      <c r="L531" s="30"/>
      <c r="M531" s="30"/>
      <c r="O531" s="32"/>
      <c r="P531" s="32"/>
      <c r="S531" s="32"/>
    </row>
    <row r="532">
      <c r="D532" s="29"/>
      <c r="G532" s="30"/>
      <c r="H532" s="30"/>
      <c r="I532" s="31"/>
      <c r="J532" s="31"/>
      <c r="L532" s="30"/>
      <c r="M532" s="30"/>
      <c r="O532" s="32"/>
      <c r="P532" s="32"/>
      <c r="S532" s="32"/>
    </row>
    <row r="533">
      <c r="D533" s="29"/>
      <c r="G533" s="30"/>
      <c r="H533" s="30"/>
      <c r="I533" s="31"/>
      <c r="J533" s="31"/>
      <c r="L533" s="30"/>
      <c r="M533" s="30"/>
      <c r="O533" s="32"/>
      <c r="P533" s="32"/>
      <c r="S533" s="32"/>
    </row>
    <row r="534">
      <c r="D534" s="29"/>
      <c r="G534" s="30"/>
      <c r="H534" s="30"/>
      <c r="I534" s="31"/>
      <c r="J534" s="31"/>
      <c r="L534" s="30"/>
      <c r="M534" s="30"/>
      <c r="O534" s="32"/>
      <c r="P534" s="32"/>
      <c r="S534" s="32"/>
    </row>
    <row r="535">
      <c r="D535" s="29"/>
      <c r="G535" s="30"/>
      <c r="H535" s="30"/>
      <c r="I535" s="31"/>
      <c r="J535" s="31"/>
      <c r="L535" s="30"/>
      <c r="M535" s="30"/>
      <c r="O535" s="32"/>
      <c r="P535" s="32"/>
      <c r="S535" s="32"/>
    </row>
    <row r="536">
      <c r="D536" s="29"/>
      <c r="G536" s="30"/>
      <c r="H536" s="30"/>
      <c r="I536" s="31"/>
      <c r="J536" s="31"/>
      <c r="L536" s="30"/>
      <c r="M536" s="30"/>
      <c r="O536" s="32"/>
      <c r="P536" s="32"/>
      <c r="S536" s="32"/>
    </row>
    <row r="537">
      <c r="D537" s="29"/>
      <c r="G537" s="30"/>
      <c r="H537" s="30"/>
      <c r="I537" s="31"/>
      <c r="J537" s="31"/>
      <c r="L537" s="30"/>
      <c r="M537" s="30"/>
      <c r="O537" s="32"/>
      <c r="P537" s="32"/>
      <c r="S537" s="32"/>
    </row>
    <row r="538">
      <c r="D538" s="29"/>
      <c r="G538" s="30"/>
      <c r="H538" s="30"/>
      <c r="I538" s="31"/>
      <c r="J538" s="31"/>
      <c r="L538" s="30"/>
      <c r="M538" s="30"/>
      <c r="O538" s="32"/>
      <c r="P538" s="32"/>
      <c r="S538" s="32"/>
    </row>
    <row r="539">
      <c r="D539" s="29"/>
      <c r="G539" s="30"/>
      <c r="H539" s="30"/>
      <c r="I539" s="31"/>
      <c r="J539" s="31"/>
      <c r="L539" s="30"/>
      <c r="M539" s="30"/>
      <c r="O539" s="32"/>
      <c r="P539" s="32"/>
      <c r="S539" s="32"/>
    </row>
    <row r="540">
      <c r="D540" s="29"/>
      <c r="G540" s="30"/>
      <c r="H540" s="30"/>
      <c r="I540" s="31"/>
      <c r="J540" s="31"/>
      <c r="L540" s="30"/>
      <c r="M540" s="30"/>
      <c r="O540" s="32"/>
      <c r="P540" s="32"/>
      <c r="S540" s="32"/>
    </row>
    <row r="541">
      <c r="D541" s="29"/>
      <c r="G541" s="30"/>
      <c r="H541" s="30"/>
      <c r="I541" s="31"/>
      <c r="J541" s="31"/>
      <c r="L541" s="30"/>
      <c r="M541" s="30"/>
      <c r="O541" s="32"/>
      <c r="P541" s="32"/>
      <c r="S541" s="32"/>
    </row>
    <row r="542">
      <c r="D542" s="29"/>
      <c r="G542" s="30"/>
      <c r="H542" s="30"/>
      <c r="I542" s="31"/>
      <c r="J542" s="31"/>
      <c r="L542" s="30"/>
      <c r="M542" s="30"/>
      <c r="O542" s="32"/>
      <c r="P542" s="32"/>
      <c r="S542" s="32"/>
    </row>
    <row r="543">
      <c r="D543" s="29"/>
      <c r="G543" s="30"/>
      <c r="H543" s="30"/>
      <c r="I543" s="31"/>
      <c r="J543" s="31"/>
      <c r="L543" s="30"/>
      <c r="M543" s="30"/>
      <c r="O543" s="32"/>
      <c r="P543" s="32"/>
      <c r="S543" s="32"/>
    </row>
    <row r="544">
      <c r="D544" s="29"/>
      <c r="G544" s="30"/>
      <c r="H544" s="30"/>
      <c r="I544" s="31"/>
      <c r="J544" s="31"/>
      <c r="L544" s="30"/>
      <c r="M544" s="30"/>
      <c r="O544" s="32"/>
      <c r="P544" s="32"/>
      <c r="S544" s="32"/>
    </row>
    <row r="545">
      <c r="D545" s="29"/>
      <c r="G545" s="30"/>
      <c r="H545" s="30"/>
      <c r="I545" s="31"/>
      <c r="J545" s="31"/>
      <c r="L545" s="30"/>
      <c r="M545" s="30"/>
      <c r="O545" s="32"/>
      <c r="P545" s="32"/>
      <c r="S545" s="32"/>
    </row>
    <row r="546">
      <c r="D546" s="29"/>
      <c r="G546" s="30"/>
      <c r="H546" s="30"/>
      <c r="I546" s="31"/>
      <c r="J546" s="31"/>
      <c r="L546" s="30"/>
      <c r="M546" s="30"/>
      <c r="O546" s="32"/>
      <c r="P546" s="32"/>
      <c r="S546" s="32"/>
    </row>
    <row r="547">
      <c r="D547" s="29"/>
      <c r="G547" s="30"/>
      <c r="H547" s="30"/>
      <c r="I547" s="31"/>
      <c r="J547" s="31"/>
      <c r="L547" s="30"/>
      <c r="M547" s="30"/>
      <c r="O547" s="32"/>
      <c r="P547" s="32"/>
      <c r="S547" s="32"/>
    </row>
    <row r="548">
      <c r="D548" s="29"/>
      <c r="G548" s="30"/>
      <c r="H548" s="30"/>
      <c r="I548" s="31"/>
      <c r="J548" s="31"/>
      <c r="L548" s="30"/>
      <c r="M548" s="30"/>
      <c r="O548" s="32"/>
      <c r="P548" s="32"/>
      <c r="S548" s="32"/>
    </row>
    <row r="549">
      <c r="D549" s="29"/>
      <c r="G549" s="30"/>
      <c r="H549" s="30"/>
      <c r="I549" s="31"/>
      <c r="J549" s="31"/>
      <c r="L549" s="30"/>
      <c r="M549" s="30"/>
      <c r="O549" s="32"/>
      <c r="P549" s="32"/>
      <c r="S549" s="32"/>
    </row>
    <row r="550">
      <c r="D550" s="29"/>
      <c r="G550" s="30"/>
      <c r="H550" s="30"/>
      <c r="I550" s="31"/>
      <c r="J550" s="31"/>
      <c r="L550" s="30"/>
      <c r="M550" s="30"/>
      <c r="O550" s="32"/>
      <c r="P550" s="32"/>
      <c r="S550" s="32"/>
    </row>
    <row r="551">
      <c r="D551" s="29"/>
      <c r="G551" s="30"/>
      <c r="H551" s="30"/>
      <c r="I551" s="31"/>
      <c r="J551" s="31"/>
      <c r="L551" s="30"/>
      <c r="M551" s="30"/>
      <c r="O551" s="32"/>
      <c r="P551" s="32"/>
      <c r="S551" s="32"/>
    </row>
    <row r="552">
      <c r="D552" s="29"/>
      <c r="G552" s="30"/>
      <c r="H552" s="30"/>
      <c r="I552" s="31"/>
      <c r="J552" s="31"/>
      <c r="L552" s="30"/>
      <c r="M552" s="30"/>
      <c r="O552" s="32"/>
      <c r="P552" s="32"/>
      <c r="S552" s="32"/>
    </row>
    <row r="553">
      <c r="D553" s="29"/>
      <c r="G553" s="30"/>
      <c r="H553" s="30"/>
      <c r="I553" s="31"/>
      <c r="J553" s="31"/>
      <c r="L553" s="30"/>
      <c r="M553" s="30"/>
      <c r="O553" s="32"/>
      <c r="P553" s="32"/>
      <c r="S553" s="32"/>
    </row>
    <row r="554">
      <c r="D554" s="29"/>
      <c r="G554" s="30"/>
      <c r="H554" s="30"/>
      <c r="I554" s="31"/>
      <c r="J554" s="31"/>
      <c r="L554" s="30"/>
      <c r="M554" s="30"/>
      <c r="O554" s="32"/>
      <c r="P554" s="32"/>
      <c r="S554" s="32"/>
    </row>
    <row r="555">
      <c r="D555" s="29"/>
      <c r="G555" s="30"/>
      <c r="H555" s="30"/>
      <c r="I555" s="31"/>
      <c r="J555" s="31"/>
      <c r="L555" s="30"/>
      <c r="M555" s="30"/>
      <c r="O555" s="32"/>
      <c r="P555" s="32"/>
      <c r="S555" s="32"/>
    </row>
    <row r="556">
      <c r="D556" s="29"/>
      <c r="G556" s="30"/>
      <c r="H556" s="30"/>
      <c r="I556" s="31"/>
      <c r="J556" s="31"/>
      <c r="L556" s="30"/>
      <c r="M556" s="30"/>
      <c r="O556" s="32"/>
      <c r="P556" s="32"/>
      <c r="S556" s="32"/>
    </row>
    <row r="557">
      <c r="D557" s="29"/>
      <c r="G557" s="30"/>
      <c r="H557" s="30"/>
      <c r="I557" s="31"/>
      <c r="J557" s="31"/>
      <c r="L557" s="30"/>
      <c r="M557" s="30"/>
      <c r="O557" s="32"/>
      <c r="P557" s="32"/>
      <c r="S557" s="32"/>
    </row>
    <row r="558">
      <c r="D558" s="29"/>
      <c r="G558" s="30"/>
      <c r="H558" s="30"/>
      <c r="I558" s="31"/>
      <c r="J558" s="31"/>
      <c r="L558" s="30"/>
      <c r="M558" s="30"/>
      <c r="O558" s="32"/>
      <c r="P558" s="32"/>
      <c r="S558" s="32"/>
    </row>
    <row r="559">
      <c r="D559" s="29"/>
      <c r="G559" s="30"/>
      <c r="H559" s="30"/>
      <c r="I559" s="31"/>
      <c r="J559" s="31"/>
      <c r="L559" s="30"/>
      <c r="M559" s="30"/>
      <c r="O559" s="32"/>
      <c r="P559" s="32"/>
      <c r="S559" s="32"/>
    </row>
    <row r="560">
      <c r="D560" s="29"/>
      <c r="G560" s="30"/>
      <c r="H560" s="30"/>
      <c r="I560" s="31"/>
      <c r="J560" s="31"/>
      <c r="L560" s="30"/>
      <c r="M560" s="30"/>
      <c r="O560" s="32"/>
      <c r="P560" s="32"/>
      <c r="S560" s="32"/>
    </row>
    <row r="561">
      <c r="D561" s="29"/>
      <c r="G561" s="30"/>
      <c r="H561" s="30"/>
      <c r="I561" s="31"/>
      <c r="J561" s="31"/>
      <c r="L561" s="30"/>
      <c r="M561" s="30"/>
      <c r="O561" s="32"/>
      <c r="P561" s="32"/>
      <c r="S561" s="32"/>
    </row>
    <row r="562">
      <c r="D562" s="29"/>
      <c r="G562" s="30"/>
      <c r="H562" s="30"/>
      <c r="I562" s="31"/>
      <c r="J562" s="31"/>
      <c r="L562" s="30"/>
      <c r="M562" s="30"/>
      <c r="O562" s="32"/>
      <c r="P562" s="32"/>
      <c r="S562" s="32"/>
    </row>
    <row r="563">
      <c r="D563" s="29"/>
      <c r="G563" s="30"/>
      <c r="H563" s="30"/>
      <c r="I563" s="31"/>
      <c r="J563" s="31"/>
      <c r="L563" s="30"/>
      <c r="M563" s="30"/>
      <c r="O563" s="32"/>
      <c r="P563" s="32"/>
      <c r="S563" s="32"/>
    </row>
    <row r="564">
      <c r="D564" s="29"/>
      <c r="G564" s="30"/>
      <c r="H564" s="30"/>
      <c r="I564" s="31"/>
      <c r="J564" s="31"/>
      <c r="L564" s="30"/>
      <c r="M564" s="30"/>
      <c r="O564" s="32"/>
      <c r="P564" s="32"/>
      <c r="S564" s="32"/>
    </row>
    <row r="565">
      <c r="D565" s="29"/>
      <c r="G565" s="30"/>
      <c r="H565" s="30"/>
      <c r="I565" s="31"/>
      <c r="J565" s="31"/>
      <c r="L565" s="30"/>
      <c r="M565" s="30"/>
      <c r="O565" s="32"/>
      <c r="P565" s="32"/>
      <c r="S565" s="32"/>
    </row>
    <row r="566">
      <c r="D566" s="29"/>
      <c r="G566" s="30"/>
      <c r="H566" s="30"/>
      <c r="I566" s="31"/>
      <c r="J566" s="31"/>
      <c r="L566" s="30"/>
      <c r="M566" s="30"/>
      <c r="O566" s="32"/>
      <c r="P566" s="32"/>
      <c r="S566" s="32"/>
    </row>
    <row r="567">
      <c r="D567" s="29"/>
      <c r="G567" s="30"/>
      <c r="H567" s="30"/>
      <c r="I567" s="31"/>
      <c r="J567" s="31"/>
      <c r="L567" s="30"/>
      <c r="M567" s="30"/>
      <c r="O567" s="32"/>
      <c r="P567" s="32"/>
      <c r="S567" s="32"/>
    </row>
    <row r="568">
      <c r="D568" s="29"/>
      <c r="G568" s="30"/>
      <c r="H568" s="30"/>
      <c r="I568" s="31"/>
      <c r="J568" s="31"/>
      <c r="L568" s="30"/>
      <c r="M568" s="30"/>
      <c r="O568" s="32"/>
      <c r="P568" s="32"/>
      <c r="S568" s="32"/>
    </row>
    <row r="569">
      <c r="D569" s="29"/>
      <c r="G569" s="30"/>
      <c r="H569" s="30"/>
      <c r="I569" s="31"/>
      <c r="J569" s="31"/>
      <c r="L569" s="30"/>
      <c r="M569" s="30"/>
      <c r="O569" s="32"/>
      <c r="P569" s="32"/>
      <c r="S569" s="32"/>
    </row>
    <row r="570">
      <c r="D570" s="29"/>
      <c r="G570" s="30"/>
      <c r="H570" s="30"/>
      <c r="I570" s="31"/>
      <c r="J570" s="31"/>
      <c r="L570" s="30"/>
      <c r="M570" s="30"/>
      <c r="O570" s="32"/>
      <c r="P570" s="32"/>
      <c r="S570" s="32"/>
    </row>
    <row r="571">
      <c r="D571" s="29"/>
      <c r="G571" s="30"/>
      <c r="H571" s="30"/>
      <c r="I571" s="31"/>
      <c r="J571" s="31"/>
      <c r="L571" s="30"/>
      <c r="M571" s="30"/>
      <c r="O571" s="32"/>
      <c r="P571" s="32"/>
      <c r="S571" s="32"/>
    </row>
    <row r="572">
      <c r="D572" s="29"/>
      <c r="G572" s="30"/>
      <c r="H572" s="30"/>
      <c r="I572" s="31"/>
      <c r="J572" s="31"/>
      <c r="L572" s="30"/>
      <c r="M572" s="30"/>
      <c r="O572" s="32"/>
      <c r="P572" s="32"/>
      <c r="S572" s="32"/>
    </row>
    <row r="573">
      <c r="D573" s="29"/>
      <c r="G573" s="30"/>
      <c r="H573" s="30"/>
      <c r="I573" s="31"/>
      <c r="J573" s="31"/>
      <c r="L573" s="30"/>
      <c r="M573" s="30"/>
      <c r="O573" s="32"/>
      <c r="P573" s="32"/>
      <c r="S573" s="32"/>
    </row>
    <row r="574">
      <c r="D574" s="29"/>
      <c r="G574" s="30"/>
      <c r="H574" s="30"/>
      <c r="I574" s="31"/>
      <c r="J574" s="31"/>
      <c r="L574" s="30"/>
      <c r="M574" s="30"/>
      <c r="O574" s="32"/>
      <c r="P574" s="32"/>
      <c r="S574" s="32"/>
    </row>
    <row r="575">
      <c r="D575" s="29"/>
      <c r="G575" s="30"/>
      <c r="H575" s="30"/>
      <c r="I575" s="31"/>
      <c r="J575" s="31"/>
      <c r="L575" s="30"/>
      <c r="M575" s="30"/>
      <c r="O575" s="32"/>
      <c r="P575" s="32"/>
      <c r="S575" s="32"/>
    </row>
    <row r="576">
      <c r="D576" s="29"/>
      <c r="G576" s="30"/>
      <c r="H576" s="30"/>
      <c r="I576" s="31"/>
      <c r="J576" s="31"/>
      <c r="L576" s="30"/>
      <c r="M576" s="30"/>
      <c r="O576" s="32"/>
      <c r="P576" s="32"/>
      <c r="S576" s="32"/>
    </row>
    <row r="577">
      <c r="D577" s="29"/>
      <c r="G577" s="30"/>
      <c r="H577" s="30"/>
      <c r="I577" s="31"/>
      <c r="J577" s="31"/>
      <c r="L577" s="30"/>
      <c r="M577" s="30"/>
      <c r="O577" s="32"/>
      <c r="P577" s="32"/>
      <c r="S577" s="32"/>
    </row>
    <row r="578">
      <c r="D578" s="29"/>
      <c r="G578" s="30"/>
      <c r="H578" s="30"/>
      <c r="I578" s="31"/>
      <c r="J578" s="31"/>
      <c r="L578" s="30"/>
      <c r="M578" s="30"/>
      <c r="O578" s="32"/>
      <c r="P578" s="32"/>
      <c r="S578" s="32"/>
    </row>
    <row r="579">
      <c r="D579" s="29"/>
      <c r="G579" s="30"/>
      <c r="H579" s="30"/>
      <c r="I579" s="31"/>
      <c r="J579" s="31"/>
      <c r="L579" s="30"/>
      <c r="M579" s="30"/>
      <c r="O579" s="32"/>
      <c r="P579" s="32"/>
      <c r="S579" s="32"/>
    </row>
    <row r="580">
      <c r="D580" s="29"/>
      <c r="G580" s="30"/>
      <c r="H580" s="30"/>
      <c r="I580" s="31"/>
      <c r="J580" s="31"/>
      <c r="L580" s="30"/>
      <c r="M580" s="30"/>
      <c r="O580" s="32"/>
      <c r="P580" s="32"/>
      <c r="S580" s="32"/>
    </row>
    <row r="581">
      <c r="D581" s="29"/>
      <c r="G581" s="30"/>
      <c r="H581" s="30"/>
      <c r="I581" s="31"/>
      <c r="J581" s="31"/>
      <c r="L581" s="30"/>
      <c r="M581" s="30"/>
      <c r="O581" s="32"/>
      <c r="P581" s="32"/>
      <c r="S581" s="32"/>
    </row>
    <row r="582">
      <c r="D582" s="29"/>
      <c r="G582" s="30"/>
      <c r="H582" s="30"/>
      <c r="I582" s="31"/>
      <c r="J582" s="31"/>
      <c r="L582" s="30"/>
      <c r="M582" s="30"/>
      <c r="O582" s="32"/>
      <c r="P582" s="32"/>
      <c r="S582" s="32"/>
    </row>
    <row r="583">
      <c r="D583" s="29"/>
      <c r="G583" s="30"/>
      <c r="H583" s="30"/>
      <c r="I583" s="31"/>
      <c r="J583" s="31"/>
      <c r="L583" s="30"/>
      <c r="M583" s="30"/>
      <c r="O583" s="32"/>
      <c r="P583" s="32"/>
      <c r="S583" s="32"/>
    </row>
    <row r="584">
      <c r="D584" s="29"/>
      <c r="G584" s="30"/>
      <c r="H584" s="30"/>
      <c r="I584" s="31"/>
      <c r="J584" s="31"/>
      <c r="L584" s="30"/>
      <c r="M584" s="30"/>
      <c r="O584" s="32"/>
      <c r="P584" s="32"/>
      <c r="S584" s="32"/>
    </row>
    <row r="585">
      <c r="D585" s="29"/>
      <c r="G585" s="30"/>
      <c r="H585" s="30"/>
      <c r="I585" s="31"/>
      <c r="J585" s="31"/>
      <c r="L585" s="30"/>
      <c r="M585" s="30"/>
      <c r="O585" s="32"/>
      <c r="P585" s="32"/>
      <c r="S585" s="32"/>
    </row>
    <row r="586">
      <c r="D586" s="29"/>
      <c r="G586" s="30"/>
      <c r="H586" s="30"/>
      <c r="I586" s="31"/>
      <c r="J586" s="31"/>
      <c r="L586" s="30"/>
      <c r="M586" s="30"/>
      <c r="O586" s="32"/>
      <c r="P586" s="32"/>
      <c r="S586" s="32"/>
    </row>
    <row r="587">
      <c r="D587" s="29"/>
      <c r="G587" s="30"/>
      <c r="H587" s="30"/>
      <c r="I587" s="31"/>
      <c r="J587" s="31"/>
      <c r="L587" s="30"/>
      <c r="M587" s="30"/>
      <c r="O587" s="32"/>
      <c r="P587" s="32"/>
      <c r="S587" s="32"/>
    </row>
    <row r="588">
      <c r="D588" s="29"/>
      <c r="G588" s="30"/>
      <c r="H588" s="30"/>
      <c r="I588" s="31"/>
      <c r="J588" s="31"/>
      <c r="L588" s="30"/>
      <c r="M588" s="30"/>
      <c r="O588" s="32"/>
      <c r="P588" s="32"/>
      <c r="S588" s="32"/>
    </row>
    <row r="589">
      <c r="D589" s="29"/>
      <c r="G589" s="30"/>
      <c r="H589" s="30"/>
      <c r="I589" s="31"/>
      <c r="J589" s="31"/>
      <c r="L589" s="30"/>
      <c r="M589" s="30"/>
      <c r="O589" s="32"/>
      <c r="P589" s="32"/>
      <c r="S589" s="32"/>
    </row>
    <row r="590">
      <c r="D590" s="29"/>
      <c r="G590" s="30"/>
      <c r="H590" s="30"/>
      <c r="I590" s="31"/>
      <c r="J590" s="31"/>
      <c r="L590" s="30"/>
      <c r="M590" s="30"/>
      <c r="O590" s="32"/>
      <c r="P590" s="32"/>
      <c r="S590" s="32"/>
    </row>
    <row r="591">
      <c r="D591" s="29"/>
      <c r="G591" s="30"/>
      <c r="H591" s="30"/>
      <c r="I591" s="31"/>
      <c r="J591" s="31"/>
      <c r="L591" s="30"/>
      <c r="M591" s="30"/>
      <c r="O591" s="32"/>
      <c r="P591" s="32"/>
      <c r="S591" s="32"/>
    </row>
    <row r="592">
      <c r="D592" s="29"/>
      <c r="G592" s="30"/>
      <c r="H592" s="30"/>
      <c r="I592" s="31"/>
      <c r="J592" s="31"/>
      <c r="L592" s="30"/>
      <c r="M592" s="30"/>
      <c r="O592" s="32"/>
      <c r="P592" s="32"/>
      <c r="S592" s="32"/>
    </row>
    <row r="593">
      <c r="D593" s="29"/>
      <c r="G593" s="30"/>
      <c r="H593" s="30"/>
      <c r="I593" s="31"/>
      <c r="J593" s="31"/>
      <c r="L593" s="30"/>
      <c r="M593" s="30"/>
      <c r="O593" s="32"/>
      <c r="P593" s="32"/>
      <c r="S593" s="32"/>
    </row>
    <row r="594">
      <c r="D594" s="29"/>
      <c r="G594" s="30"/>
      <c r="H594" s="30"/>
      <c r="I594" s="31"/>
      <c r="J594" s="31"/>
      <c r="L594" s="30"/>
      <c r="M594" s="30"/>
      <c r="O594" s="32"/>
      <c r="P594" s="32"/>
      <c r="S594" s="32"/>
    </row>
    <row r="595">
      <c r="D595" s="29"/>
      <c r="G595" s="30"/>
      <c r="H595" s="30"/>
      <c r="I595" s="31"/>
      <c r="J595" s="31"/>
      <c r="L595" s="30"/>
      <c r="M595" s="30"/>
      <c r="O595" s="32"/>
      <c r="P595" s="32"/>
      <c r="S595" s="32"/>
    </row>
    <row r="596">
      <c r="D596" s="29"/>
      <c r="G596" s="30"/>
      <c r="H596" s="30"/>
      <c r="I596" s="31"/>
      <c r="J596" s="31"/>
      <c r="L596" s="30"/>
      <c r="M596" s="30"/>
      <c r="O596" s="32"/>
      <c r="P596" s="32"/>
      <c r="S596" s="32"/>
    </row>
    <row r="597">
      <c r="D597" s="29"/>
      <c r="G597" s="30"/>
      <c r="H597" s="30"/>
      <c r="I597" s="31"/>
      <c r="J597" s="31"/>
      <c r="L597" s="30"/>
      <c r="M597" s="30"/>
      <c r="O597" s="32"/>
      <c r="P597" s="32"/>
      <c r="S597" s="32"/>
    </row>
    <row r="598">
      <c r="D598" s="29"/>
      <c r="G598" s="30"/>
      <c r="H598" s="30"/>
      <c r="I598" s="31"/>
      <c r="J598" s="31"/>
      <c r="L598" s="30"/>
      <c r="M598" s="30"/>
      <c r="O598" s="32"/>
      <c r="P598" s="32"/>
      <c r="S598" s="32"/>
    </row>
    <row r="599">
      <c r="D599" s="29"/>
      <c r="G599" s="30"/>
      <c r="H599" s="30"/>
      <c r="I599" s="31"/>
      <c r="J599" s="31"/>
      <c r="L599" s="30"/>
      <c r="M599" s="30"/>
      <c r="O599" s="32"/>
      <c r="P599" s="32"/>
      <c r="S599" s="32"/>
    </row>
    <row r="600">
      <c r="D600" s="29"/>
      <c r="G600" s="30"/>
      <c r="H600" s="30"/>
      <c r="I600" s="31"/>
      <c r="J600" s="31"/>
      <c r="L600" s="30"/>
      <c r="M600" s="30"/>
      <c r="O600" s="32"/>
      <c r="P600" s="32"/>
      <c r="S600" s="32"/>
    </row>
    <row r="601">
      <c r="D601" s="29"/>
      <c r="G601" s="30"/>
      <c r="H601" s="30"/>
      <c r="I601" s="31"/>
      <c r="J601" s="31"/>
      <c r="L601" s="30"/>
      <c r="M601" s="30"/>
      <c r="O601" s="32"/>
      <c r="P601" s="32"/>
      <c r="S601" s="32"/>
    </row>
    <row r="602">
      <c r="D602" s="29"/>
      <c r="G602" s="30"/>
      <c r="H602" s="30"/>
      <c r="I602" s="31"/>
      <c r="J602" s="31"/>
      <c r="L602" s="30"/>
      <c r="M602" s="30"/>
      <c r="O602" s="32"/>
      <c r="P602" s="32"/>
      <c r="S602" s="32"/>
    </row>
    <row r="603">
      <c r="D603" s="29"/>
      <c r="G603" s="30"/>
      <c r="H603" s="30"/>
      <c r="I603" s="31"/>
      <c r="J603" s="31"/>
      <c r="L603" s="30"/>
      <c r="M603" s="30"/>
      <c r="O603" s="32"/>
      <c r="P603" s="32"/>
      <c r="S603" s="32"/>
    </row>
    <row r="604">
      <c r="D604" s="29"/>
      <c r="G604" s="30"/>
      <c r="H604" s="30"/>
      <c r="I604" s="31"/>
      <c r="J604" s="31"/>
      <c r="L604" s="30"/>
      <c r="M604" s="30"/>
      <c r="O604" s="32"/>
      <c r="P604" s="32"/>
      <c r="S604" s="32"/>
    </row>
    <row r="605">
      <c r="D605" s="29"/>
      <c r="G605" s="30"/>
      <c r="H605" s="30"/>
      <c r="I605" s="31"/>
      <c r="J605" s="31"/>
      <c r="L605" s="30"/>
      <c r="M605" s="30"/>
      <c r="O605" s="32"/>
      <c r="P605" s="32"/>
      <c r="S605" s="32"/>
    </row>
    <row r="606">
      <c r="D606" s="29"/>
      <c r="G606" s="30"/>
      <c r="H606" s="30"/>
      <c r="I606" s="31"/>
      <c r="J606" s="31"/>
      <c r="L606" s="30"/>
      <c r="M606" s="30"/>
      <c r="O606" s="32"/>
      <c r="P606" s="32"/>
      <c r="S606" s="32"/>
    </row>
    <row r="607">
      <c r="D607" s="29"/>
      <c r="G607" s="30"/>
      <c r="H607" s="30"/>
      <c r="I607" s="31"/>
      <c r="J607" s="31"/>
      <c r="L607" s="30"/>
      <c r="M607" s="30"/>
      <c r="O607" s="32"/>
      <c r="P607" s="32"/>
      <c r="S607" s="32"/>
    </row>
    <row r="608">
      <c r="D608" s="29"/>
      <c r="G608" s="30"/>
      <c r="H608" s="30"/>
      <c r="I608" s="31"/>
      <c r="J608" s="31"/>
      <c r="L608" s="30"/>
      <c r="M608" s="30"/>
      <c r="O608" s="32"/>
      <c r="P608" s="32"/>
      <c r="S608" s="32"/>
    </row>
    <row r="609">
      <c r="D609" s="29"/>
      <c r="G609" s="30"/>
      <c r="H609" s="30"/>
      <c r="I609" s="31"/>
      <c r="J609" s="31"/>
      <c r="L609" s="30"/>
      <c r="M609" s="30"/>
      <c r="O609" s="32"/>
      <c r="P609" s="32"/>
      <c r="S609" s="32"/>
    </row>
    <row r="610">
      <c r="D610" s="29"/>
      <c r="G610" s="30"/>
      <c r="H610" s="30"/>
      <c r="I610" s="31"/>
      <c r="J610" s="31"/>
      <c r="L610" s="30"/>
      <c r="M610" s="30"/>
      <c r="O610" s="32"/>
      <c r="P610" s="32"/>
      <c r="S610" s="32"/>
    </row>
    <row r="611">
      <c r="D611" s="29"/>
      <c r="G611" s="30"/>
      <c r="H611" s="30"/>
      <c r="I611" s="31"/>
      <c r="J611" s="31"/>
      <c r="L611" s="30"/>
      <c r="M611" s="30"/>
      <c r="O611" s="32"/>
      <c r="P611" s="32"/>
      <c r="S611" s="32"/>
    </row>
    <row r="612">
      <c r="D612" s="29"/>
      <c r="G612" s="30"/>
      <c r="H612" s="30"/>
      <c r="I612" s="31"/>
      <c r="J612" s="31"/>
      <c r="L612" s="30"/>
      <c r="M612" s="30"/>
      <c r="O612" s="32"/>
      <c r="P612" s="32"/>
      <c r="S612" s="32"/>
    </row>
    <row r="613">
      <c r="D613" s="29"/>
      <c r="G613" s="30"/>
      <c r="H613" s="30"/>
      <c r="I613" s="31"/>
      <c r="J613" s="31"/>
      <c r="L613" s="30"/>
      <c r="M613" s="30"/>
      <c r="O613" s="32"/>
      <c r="P613" s="32"/>
      <c r="S613" s="32"/>
    </row>
    <row r="614">
      <c r="D614" s="29"/>
      <c r="G614" s="30"/>
      <c r="H614" s="30"/>
      <c r="I614" s="31"/>
      <c r="J614" s="31"/>
      <c r="L614" s="30"/>
      <c r="M614" s="30"/>
      <c r="O614" s="32"/>
      <c r="P614" s="32"/>
      <c r="S614" s="32"/>
    </row>
    <row r="615">
      <c r="D615" s="29"/>
      <c r="G615" s="30"/>
      <c r="H615" s="30"/>
      <c r="I615" s="31"/>
      <c r="J615" s="31"/>
      <c r="L615" s="30"/>
      <c r="M615" s="30"/>
      <c r="O615" s="32"/>
      <c r="P615" s="32"/>
      <c r="S615" s="32"/>
    </row>
    <row r="616">
      <c r="D616" s="29"/>
      <c r="G616" s="30"/>
      <c r="H616" s="30"/>
      <c r="I616" s="31"/>
      <c r="J616" s="31"/>
      <c r="L616" s="30"/>
      <c r="M616" s="30"/>
      <c r="O616" s="32"/>
      <c r="P616" s="32"/>
      <c r="S616" s="32"/>
    </row>
    <row r="617">
      <c r="D617" s="29"/>
      <c r="G617" s="30"/>
      <c r="H617" s="30"/>
      <c r="I617" s="31"/>
      <c r="J617" s="31"/>
      <c r="L617" s="30"/>
      <c r="M617" s="30"/>
      <c r="O617" s="32"/>
      <c r="P617" s="32"/>
      <c r="S617" s="32"/>
    </row>
    <row r="618">
      <c r="D618" s="29"/>
      <c r="G618" s="30"/>
      <c r="H618" s="30"/>
      <c r="I618" s="31"/>
      <c r="J618" s="31"/>
      <c r="L618" s="30"/>
      <c r="M618" s="30"/>
      <c r="O618" s="32"/>
      <c r="P618" s="32"/>
      <c r="S618" s="32"/>
    </row>
    <row r="619">
      <c r="D619" s="29"/>
      <c r="G619" s="30"/>
      <c r="H619" s="30"/>
      <c r="I619" s="31"/>
      <c r="J619" s="31"/>
      <c r="L619" s="30"/>
      <c r="M619" s="30"/>
      <c r="O619" s="32"/>
      <c r="P619" s="32"/>
      <c r="S619" s="32"/>
    </row>
    <row r="620">
      <c r="D620" s="29"/>
      <c r="G620" s="30"/>
      <c r="H620" s="30"/>
      <c r="I620" s="31"/>
      <c r="J620" s="31"/>
      <c r="L620" s="30"/>
      <c r="M620" s="30"/>
      <c r="O620" s="32"/>
      <c r="P620" s="32"/>
      <c r="S620" s="32"/>
    </row>
    <row r="621">
      <c r="D621" s="29"/>
      <c r="G621" s="30"/>
      <c r="H621" s="30"/>
      <c r="I621" s="31"/>
      <c r="J621" s="31"/>
      <c r="L621" s="30"/>
      <c r="M621" s="30"/>
      <c r="O621" s="32"/>
      <c r="P621" s="32"/>
      <c r="S621" s="32"/>
    </row>
    <row r="622">
      <c r="D622" s="29"/>
      <c r="G622" s="30"/>
      <c r="H622" s="30"/>
      <c r="I622" s="31"/>
      <c r="J622" s="31"/>
      <c r="L622" s="30"/>
      <c r="M622" s="30"/>
      <c r="O622" s="32"/>
      <c r="P622" s="32"/>
      <c r="S622" s="32"/>
    </row>
    <row r="623">
      <c r="D623" s="29"/>
      <c r="G623" s="30"/>
      <c r="H623" s="30"/>
      <c r="I623" s="31"/>
      <c r="J623" s="31"/>
      <c r="L623" s="30"/>
      <c r="M623" s="30"/>
      <c r="O623" s="32"/>
      <c r="P623" s="32"/>
      <c r="S623" s="32"/>
    </row>
    <row r="624">
      <c r="D624" s="29"/>
      <c r="G624" s="30"/>
      <c r="H624" s="30"/>
      <c r="I624" s="31"/>
      <c r="J624" s="31"/>
      <c r="L624" s="30"/>
      <c r="M624" s="30"/>
      <c r="O624" s="32"/>
      <c r="P624" s="32"/>
      <c r="S624" s="32"/>
    </row>
    <row r="625">
      <c r="D625" s="29"/>
      <c r="G625" s="30"/>
      <c r="H625" s="30"/>
      <c r="I625" s="31"/>
      <c r="J625" s="31"/>
      <c r="L625" s="30"/>
      <c r="M625" s="30"/>
      <c r="O625" s="32"/>
      <c r="P625" s="32"/>
      <c r="S625" s="32"/>
    </row>
    <row r="626">
      <c r="D626" s="29"/>
      <c r="G626" s="30"/>
      <c r="H626" s="30"/>
      <c r="I626" s="31"/>
      <c r="J626" s="31"/>
      <c r="L626" s="30"/>
      <c r="M626" s="30"/>
      <c r="O626" s="32"/>
      <c r="P626" s="32"/>
      <c r="S626" s="32"/>
    </row>
    <row r="627">
      <c r="D627" s="29"/>
      <c r="G627" s="30"/>
      <c r="H627" s="30"/>
      <c r="I627" s="31"/>
      <c r="J627" s="31"/>
      <c r="L627" s="30"/>
      <c r="M627" s="30"/>
      <c r="O627" s="32"/>
      <c r="P627" s="32"/>
      <c r="S627" s="32"/>
    </row>
    <row r="628">
      <c r="D628" s="29"/>
      <c r="G628" s="30"/>
      <c r="H628" s="30"/>
      <c r="I628" s="31"/>
      <c r="J628" s="31"/>
      <c r="L628" s="30"/>
      <c r="M628" s="30"/>
      <c r="O628" s="32"/>
      <c r="P628" s="32"/>
      <c r="S628" s="32"/>
    </row>
    <row r="629">
      <c r="D629" s="29"/>
      <c r="G629" s="30"/>
      <c r="H629" s="30"/>
      <c r="I629" s="31"/>
      <c r="J629" s="31"/>
      <c r="L629" s="30"/>
      <c r="M629" s="30"/>
      <c r="O629" s="32"/>
      <c r="P629" s="32"/>
      <c r="S629" s="32"/>
    </row>
    <row r="630">
      <c r="D630" s="29"/>
      <c r="G630" s="30"/>
      <c r="H630" s="30"/>
      <c r="I630" s="31"/>
      <c r="J630" s="31"/>
      <c r="L630" s="30"/>
      <c r="M630" s="30"/>
      <c r="O630" s="32"/>
      <c r="P630" s="32"/>
      <c r="S630" s="32"/>
    </row>
    <row r="631">
      <c r="D631" s="29"/>
      <c r="G631" s="30"/>
      <c r="H631" s="30"/>
      <c r="I631" s="31"/>
      <c r="J631" s="31"/>
      <c r="L631" s="30"/>
      <c r="M631" s="30"/>
      <c r="O631" s="32"/>
      <c r="P631" s="32"/>
      <c r="S631" s="32"/>
    </row>
    <row r="632">
      <c r="D632" s="29"/>
      <c r="G632" s="30"/>
      <c r="H632" s="30"/>
      <c r="I632" s="31"/>
      <c r="J632" s="31"/>
      <c r="L632" s="30"/>
      <c r="M632" s="30"/>
      <c r="O632" s="32"/>
      <c r="P632" s="32"/>
      <c r="S632" s="32"/>
    </row>
    <row r="633">
      <c r="D633" s="29"/>
      <c r="G633" s="30"/>
      <c r="H633" s="30"/>
      <c r="I633" s="31"/>
      <c r="J633" s="31"/>
      <c r="L633" s="30"/>
      <c r="M633" s="30"/>
      <c r="O633" s="32"/>
      <c r="P633" s="32"/>
      <c r="S633" s="32"/>
    </row>
    <row r="634">
      <c r="D634" s="29"/>
      <c r="G634" s="30"/>
      <c r="H634" s="30"/>
      <c r="I634" s="31"/>
      <c r="J634" s="31"/>
      <c r="L634" s="30"/>
      <c r="M634" s="30"/>
      <c r="O634" s="32"/>
      <c r="P634" s="32"/>
      <c r="S634" s="32"/>
    </row>
    <row r="635">
      <c r="D635" s="29"/>
      <c r="G635" s="30"/>
      <c r="H635" s="30"/>
      <c r="I635" s="31"/>
      <c r="J635" s="31"/>
      <c r="L635" s="30"/>
      <c r="M635" s="30"/>
      <c r="O635" s="32"/>
      <c r="P635" s="32"/>
      <c r="S635" s="32"/>
    </row>
    <row r="636">
      <c r="D636" s="29"/>
      <c r="G636" s="30"/>
      <c r="H636" s="30"/>
      <c r="I636" s="31"/>
      <c r="J636" s="31"/>
      <c r="L636" s="30"/>
      <c r="M636" s="30"/>
      <c r="O636" s="32"/>
      <c r="P636" s="32"/>
      <c r="S636" s="32"/>
    </row>
    <row r="637">
      <c r="D637" s="29"/>
      <c r="G637" s="30"/>
      <c r="H637" s="30"/>
      <c r="I637" s="31"/>
      <c r="J637" s="31"/>
      <c r="L637" s="30"/>
      <c r="M637" s="30"/>
      <c r="O637" s="32"/>
      <c r="P637" s="32"/>
      <c r="S637" s="32"/>
    </row>
    <row r="638">
      <c r="D638" s="29"/>
      <c r="G638" s="30"/>
      <c r="H638" s="30"/>
      <c r="I638" s="31"/>
      <c r="J638" s="31"/>
      <c r="L638" s="30"/>
      <c r="M638" s="30"/>
      <c r="O638" s="32"/>
      <c r="P638" s="32"/>
      <c r="S638" s="32"/>
    </row>
    <row r="639">
      <c r="D639" s="29"/>
      <c r="G639" s="30"/>
      <c r="H639" s="30"/>
      <c r="I639" s="31"/>
      <c r="J639" s="31"/>
      <c r="L639" s="30"/>
      <c r="M639" s="30"/>
      <c r="O639" s="32"/>
      <c r="P639" s="32"/>
      <c r="S639" s="32"/>
    </row>
    <row r="640">
      <c r="D640" s="29"/>
      <c r="G640" s="30"/>
      <c r="H640" s="30"/>
      <c r="I640" s="31"/>
      <c r="J640" s="31"/>
      <c r="L640" s="30"/>
      <c r="M640" s="30"/>
      <c r="O640" s="32"/>
      <c r="P640" s="32"/>
      <c r="S640" s="32"/>
    </row>
    <row r="641">
      <c r="D641" s="29"/>
      <c r="G641" s="30"/>
      <c r="H641" s="30"/>
      <c r="I641" s="31"/>
      <c r="J641" s="31"/>
      <c r="L641" s="30"/>
      <c r="M641" s="30"/>
      <c r="O641" s="32"/>
      <c r="P641" s="32"/>
      <c r="S641" s="32"/>
    </row>
    <row r="642">
      <c r="D642" s="29"/>
      <c r="G642" s="30"/>
      <c r="H642" s="30"/>
      <c r="I642" s="31"/>
      <c r="J642" s="31"/>
      <c r="L642" s="30"/>
      <c r="M642" s="30"/>
      <c r="O642" s="32"/>
      <c r="P642" s="32"/>
      <c r="S642" s="32"/>
    </row>
    <row r="643">
      <c r="D643" s="29"/>
      <c r="G643" s="30"/>
      <c r="H643" s="30"/>
      <c r="I643" s="31"/>
      <c r="J643" s="31"/>
      <c r="L643" s="30"/>
      <c r="M643" s="30"/>
      <c r="O643" s="32"/>
      <c r="P643" s="32"/>
      <c r="S643" s="32"/>
    </row>
    <row r="644">
      <c r="D644" s="29"/>
      <c r="G644" s="30"/>
      <c r="H644" s="30"/>
      <c r="I644" s="31"/>
      <c r="J644" s="31"/>
      <c r="L644" s="30"/>
      <c r="M644" s="30"/>
      <c r="O644" s="32"/>
      <c r="P644" s="32"/>
      <c r="S644" s="32"/>
    </row>
    <row r="645">
      <c r="D645" s="29"/>
      <c r="G645" s="30"/>
      <c r="H645" s="30"/>
      <c r="I645" s="31"/>
      <c r="J645" s="31"/>
      <c r="L645" s="30"/>
      <c r="M645" s="30"/>
      <c r="O645" s="32"/>
      <c r="P645" s="32"/>
      <c r="S645" s="32"/>
    </row>
    <row r="646">
      <c r="D646" s="29"/>
      <c r="G646" s="30"/>
      <c r="H646" s="30"/>
      <c r="I646" s="31"/>
      <c r="J646" s="31"/>
      <c r="L646" s="30"/>
      <c r="M646" s="30"/>
      <c r="O646" s="32"/>
      <c r="P646" s="32"/>
      <c r="S646" s="32"/>
    </row>
    <row r="647">
      <c r="D647" s="29"/>
      <c r="G647" s="30"/>
      <c r="H647" s="30"/>
      <c r="I647" s="31"/>
      <c r="J647" s="31"/>
      <c r="L647" s="30"/>
      <c r="M647" s="30"/>
      <c r="O647" s="32"/>
      <c r="P647" s="32"/>
      <c r="S647" s="32"/>
    </row>
    <row r="648">
      <c r="D648" s="29"/>
      <c r="G648" s="30"/>
      <c r="H648" s="30"/>
      <c r="I648" s="31"/>
      <c r="J648" s="31"/>
      <c r="L648" s="30"/>
      <c r="M648" s="30"/>
      <c r="O648" s="32"/>
      <c r="P648" s="32"/>
      <c r="S648" s="32"/>
    </row>
    <row r="649">
      <c r="D649" s="29"/>
      <c r="G649" s="30"/>
      <c r="H649" s="30"/>
      <c r="I649" s="31"/>
      <c r="J649" s="31"/>
      <c r="L649" s="30"/>
      <c r="M649" s="30"/>
      <c r="O649" s="32"/>
      <c r="P649" s="32"/>
      <c r="S649" s="32"/>
    </row>
    <row r="650">
      <c r="D650" s="29"/>
      <c r="G650" s="30"/>
      <c r="H650" s="30"/>
      <c r="I650" s="31"/>
      <c r="J650" s="31"/>
      <c r="L650" s="30"/>
      <c r="M650" s="30"/>
      <c r="O650" s="32"/>
      <c r="P650" s="32"/>
      <c r="S650" s="32"/>
    </row>
    <row r="651">
      <c r="D651" s="29"/>
      <c r="G651" s="30"/>
      <c r="H651" s="30"/>
      <c r="I651" s="31"/>
      <c r="J651" s="31"/>
      <c r="L651" s="30"/>
      <c r="M651" s="30"/>
      <c r="O651" s="32"/>
      <c r="P651" s="32"/>
      <c r="S651" s="32"/>
    </row>
    <row r="652">
      <c r="D652" s="29"/>
      <c r="G652" s="30"/>
      <c r="H652" s="30"/>
      <c r="I652" s="31"/>
      <c r="J652" s="31"/>
      <c r="L652" s="30"/>
      <c r="M652" s="30"/>
      <c r="O652" s="32"/>
      <c r="P652" s="32"/>
      <c r="S652" s="32"/>
    </row>
    <row r="653">
      <c r="D653" s="29"/>
      <c r="G653" s="30"/>
      <c r="H653" s="30"/>
      <c r="I653" s="31"/>
      <c r="J653" s="31"/>
      <c r="L653" s="30"/>
      <c r="M653" s="30"/>
      <c r="O653" s="32"/>
      <c r="P653" s="32"/>
      <c r="S653" s="32"/>
    </row>
    <row r="654">
      <c r="D654" s="29"/>
      <c r="G654" s="30"/>
      <c r="H654" s="30"/>
      <c r="I654" s="31"/>
      <c r="J654" s="31"/>
      <c r="L654" s="30"/>
      <c r="M654" s="30"/>
      <c r="O654" s="32"/>
      <c r="P654" s="32"/>
      <c r="S654" s="32"/>
    </row>
    <row r="655">
      <c r="D655" s="29"/>
      <c r="G655" s="30"/>
      <c r="H655" s="30"/>
      <c r="I655" s="31"/>
      <c r="J655" s="31"/>
      <c r="L655" s="30"/>
      <c r="M655" s="30"/>
      <c r="O655" s="32"/>
      <c r="P655" s="32"/>
      <c r="S655" s="32"/>
    </row>
    <row r="656">
      <c r="D656" s="29"/>
      <c r="G656" s="30"/>
      <c r="H656" s="30"/>
      <c r="I656" s="31"/>
      <c r="J656" s="31"/>
      <c r="L656" s="30"/>
      <c r="M656" s="30"/>
      <c r="O656" s="32"/>
      <c r="P656" s="32"/>
      <c r="S656" s="32"/>
    </row>
    <row r="657">
      <c r="D657" s="29"/>
      <c r="G657" s="30"/>
      <c r="H657" s="30"/>
      <c r="I657" s="31"/>
      <c r="J657" s="31"/>
      <c r="L657" s="30"/>
      <c r="M657" s="30"/>
      <c r="O657" s="32"/>
      <c r="P657" s="32"/>
      <c r="S657" s="32"/>
    </row>
    <row r="658">
      <c r="D658" s="29"/>
      <c r="G658" s="30"/>
      <c r="H658" s="30"/>
      <c r="I658" s="31"/>
      <c r="J658" s="31"/>
      <c r="L658" s="30"/>
      <c r="M658" s="30"/>
      <c r="O658" s="32"/>
      <c r="P658" s="32"/>
      <c r="S658" s="32"/>
    </row>
    <row r="659">
      <c r="D659" s="29"/>
      <c r="G659" s="30"/>
      <c r="H659" s="30"/>
      <c r="I659" s="31"/>
      <c r="J659" s="31"/>
      <c r="L659" s="30"/>
      <c r="M659" s="30"/>
      <c r="O659" s="32"/>
      <c r="P659" s="32"/>
      <c r="S659" s="32"/>
    </row>
    <row r="660">
      <c r="D660" s="29"/>
      <c r="G660" s="30"/>
      <c r="H660" s="30"/>
      <c r="I660" s="31"/>
      <c r="J660" s="31"/>
      <c r="L660" s="30"/>
      <c r="M660" s="30"/>
      <c r="O660" s="32"/>
      <c r="P660" s="32"/>
      <c r="S660" s="32"/>
    </row>
    <row r="661">
      <c r="D661" s="29"/>
      <c r="G661" s="30"/>
      <c r="H661" s="30"/>
      <c r="I661" s="31"/>
      <c r="J661" s="31"/>
      <c r="L661" s="30"/>
      <c r="M661" s="30"/>
      <c r="O661" s="32"/>
      <c r="P661" s="32"/>
      <c r="S661" s="32"/>
    </row>
    <row r="662">
      <c r="D662" s="29"/>
      <c r="G662" s="30"/>
      <c r="H662" s="30"/>
      <c r="I662" s="31"/>
      <c r="J662" s="31"/>
      <c r="L662" s="30"/>
      <c r="M662" s="30"/>
      <c r="O662" s="32"/>
      <c r="P662" s="32"/>
      <c r="S662" s="32"/>
    </row>
    <row r="663">
      <c r="D663" s="29"/>
      <c r="G663" s="30"/>
      <c r="H663" s="30"/>
      <c r="I663" s="31"/>
      <c r="J663" s="31"/>
      <c r="L663" s="30"/>
      <c r="M663" s="30"/>
      <c r="O663" s="32"/>
      <c r="P663" s="32"/>
      <c r="S663" s="32"/>
    </row>
    <row r="664">
      <c r="D664" s="29"/>
      <c r="G664" s="30"/>
      <c r="H664" s="30"/>
      <c r="I664" s="31"/>
      <c r="J664" s="31"/>
      <c r="L664" s="30"/>
      <c r="M664" s="30"/>
      <c r="O664" s="32"/>
      <c r="P664" s="32"/>
      <c r="S664" s="32"/>
    </row>
    <row r="665">
      <c r="D665" s="29"/>
      <c r="G665" s="30"/>
      <c r="H665" s="30"/>
      <c r="I665" s="31"/>
      <c r="J665" s="31"/>
      <c r="L665" s="30"/>
      <c r="M665" s="30"/>
      <c r="O665" s="32"/>
      <c r="P665" s="32"/>
      <c r="S665" s="32"/>
    </row>
    <row r="666">
      <c r="D666" s="29"/>
      <c r="G666" s="30"/>
      <c r="H666" s="30"/>
      <c r="I666" s="31"/>
      <c r="J666" s="31"/>
      <c r="L666" s="30"/>
      <c r="M666" s="30"/>
      <c r="O666" s="32"/>
      <c r="P666" s="32"/>
      <c r="S666" s="32"/>
    </row>
    <row r="667">
      <c r="D667" s="29"/>
      <c r="G667" s="30"/>
      <c r="H667" s="30"/>
      <c r="I667" s="31"/>
      <c r="J667" s="31"/>
      <c r="L667" s="30"/>
      <c r="M667" s="30"/>
      <c r="O667" s="32"/>
      <c r="P667" s="32"/>
      <c r="S667" s="32"/>
    </row>
    <row r="668">
      <c r="D668" s="29"/>
      <c r="G668" s="30"/>
      <c r="H668" s="30"/>
      <c r="I668" s="31"/>
      <c r="J668" s="31"/>
      <c r="L668" s="30"/>
      <c r="M668" s="30"/>
      <c r="O668" s="32"/>
      <c r="P668" s="32"/>
      <c r="S668" s="32"/>
    </row>
    <row r="669">
      <c r="D669" s="29"/>
      <c r="G669" s="30"/>
      <c r="H669" s="30"/>
      <c r="I669" s="31"/>
      <c r="J669" s="31"/>
      <c r="L669" s="30"/>
      <c r="M669" s="30"/>
      <c r="O669" s="32"/>
      <c r="P669" s="32"/>
      <c r="S669" s="32"/>
    </row>
    <row r="670">
      <c r="D670" s="29"/>
      <c r="G670" s="30"/>
      <c r="H670" s="30"/>
      <c r="I670" s="31"/>
      <c r="J670" s="31"/>
      <c r="L670" s="30"/>
      <c r="M670" s="30"/>
      <c r="O670" s="32"/>
      <c r="P670" s="32"/>
      <c r="S670" s="32"/>
    </row>
    <row r="671">
      <c r="D671" s="29"/>
      <c r="G671" s="30"/>
      <c r="H671" s="30"/>
      <c r="I671" s="31"/>
      <c r="J671" s="31"/>
      <c r="L671" s="30"/>
      <c r="M671" s="30"/>
      <c r="O671" s="32"/>
      <c r="P671" s="32"/>
      <c r="S671" s="32"/>
    </row>
    <row r="672">
      <c r="D672" s="29"/>
      <c r="G672" s="30"/>
      <c r="H672" s="30"/>
      <c r="I672" s="31"/>
      <c r="J672" s="31"/>
      <c r="L672" s="30"/>
      <c r="M672" s="30"/>
      <c r="O672" s="32"/>
      <c r="P672" s="32"/>
      <c r="S672" s="32"/>
    </row>
    <row r="673">
      <c r="D673" s="29"/>
      <c r="G673" s="30"/>
      <c r="H673" s="30"/>
      <c r="I673" s="31"/>
      <c r="J673" s="31"/>
      <c r="L673" s="30"/>
      <c r="M673" s="30"/>
      <c r="O673" s="32"/>
      <c r="P673" s="32"/>
      <c r="S673" s="32"/>
    </row>
    <row r="674">
      <c r="D674" s="29"/>
      <c r="G674" s="30"/>
      <c r="H674" s="30"/>
      <c r="I674" s="31"/>
      <c r="J674" s="31"/>
      <c r="L674" s="30"/>
      <c r="M674" s="30"/>
      <c r="O674" s="32"/>
      <c r="P674" s="32"/>
      <c r="S674" s="32"/>
    </row>
    <row r="675">
      <c r="D675" s="29"/>
      <c r="G675" s="30"/>
      <c r="H675" s="30"/>
      <c r="I675" s="31"/>
      <c r="J675" s="31"/>
      <c r="L675" s="30"/>
      <c r="M675" s="30"/>
      <c r="O675" s="32"/>
      <c r="P675" s="32"/>
      <c r="S675" s="32"/>
    </row>
    <row r="676">
      <c r="D676" s="29"/>
      <c r="G676" s="30"/>
      <c r="H676" s="30"/>
      <c r="I676" s="31"/>
      <c r="J676" s="31"/>
      <c r="L676" s="30"/>
      <c r="M676" s="30"/>
      <c r="O676" s="32"/>
      <c r="P676" s="32"/>
      <c r="S676" s="32"/>
    </row>
    <row r="677">
      <c r="D677" s="29"/>
      <c r="G677" s="30"/>
      <c r="H677" s="30"/>
      <c r="I677" s="31"/>
      <c r="J677" s="31"/>
      <c r="L677" s="30"/>
      <c r="M677" s="30"/>
      <c r="O677" s="32"/>
      <c r="P677" s="32"/>
      <c r="S677" s="32"/>
    </row>
    <row r="678">
      <c r="D678" s="29"/>
      <c r="G678" s="30"/>
      <c r="H678" s="30"/>
      <c r="I678" s="31"/>
      <c r="J678" s="31"/>
      <c r="L678" s="30"/>
      <c r="M678" s="30"/>
      <c r="O678" s="32"/>
      <c r="P678" s="32"/>
      <c r="S678" s="32"/>
    </row>
    <row r="679">
      <c r="D679" s="29"/>
      <c r="G679" s="30"/>
      <c r="H679" s="30"/>
      <c r="I679" s="31"/>
      <c r="J679" s="31"/>
      <c r="L679" s="30"/>
      <c r="M679" s="30"/>
      <c r="O679" s="32"/>
      <c r="P679" s="32"/>
      <c r="S679" s="32"/>
    </row>
    <row r="680">
      <c r="D680" s="29"/>
      <c r="G680" s="30"/>
      <c r="H680" s="30"/>
      <c r="I680" s="31"/>
      <c r="J680" s="31"/>
      <c r="L680" s="30"/>
      <c r="M680" s="30"/>
      <c r="O680" s="32"/>
      <c r="P680" s="32"/>
      <c r="S680" s="32"/>
    </row>
    <row r="681">
      <c r="D681" s="29"/>
      <c r="G681" s="30"/>
      <c r="H681" s="30"/>
      <c r="I681" s="31"/>
      <c r="J681" s="31"/>
      <c r="L681" s="30"/>
      <c r="M681" s="30"/>
      <c r="O681" s="32"/>
      <c r="P681" s="32"/>
      <c r="S681" s="32"/>
    </row>
    <row r="682">
      <c r="D682" s="29"/>
      <c r="G682" s="30"/>
      <c r="H682" s="30"/>
      <c r="I682" s="31"/>
      <c r="J682" s="31"/>
      <c r="L682" s="30"/>
      <c r="M682" s="30"/>
      <c r="O682" s="32"/>
      <c r="P682" s="32"/>
      <c r="S682" s="32"/>
    </row>
    <row r="683">
      <c r="D683" s="29"/>
      <c r="G683" s="30"/>
      <c r="H683" s="30"/>
      <c r="I683" s="31"/>
      <c r="J683" s="31"/>
      <c r="L683" s="30"/>
      <c r="M683" s="30"/>
      <c r="O683" s="32"/>
      <c r="P683" s="32"/>
      <c r="S683" s="32"/>
    </row>
    <row r="684">
      <c r="D684" s="29"/>
      <c r="G684" s="30"/>
      <c r="H684" s="30"/>
      <c r="I684" s="31"/>
      <c r="J684" s="31"/>
      <c r="L684" s="30"/>
      <c r="M684" s="30"/>
      <c r="O684" s="32"/>
      <c r="P684" s="32"/>
      <c r="S684" s="32"/>
    </row>
    <row r="685">
      <c r="D685" s="29"/>
      <c r="G685" s="30"/>
      <c r="H685" s="30"/>
      <c r="I685" s="31"/>
      <c r="J685" s="31"/>
      <c r="L685" s="30"/>
      <c r="M685" s="30"/>
      <c r="O685" s="32"/>
      <c r="P685" s="32"/>
      <c r="S685" s="32"/>
    </row>
    <row r="686">
      <c r="D686" s="29"/>
      <c r="G686" s="30"/>
      <c r="H686" s="30"/>
      <c r="I686" s="31"/>
      <c r="J686" s="31"/>
      <c r="L686" s="30"/>
      <c r="M686" s="30"/>
      <c r="O686" s="32"/>
      <c r="P686" s="32"/>
      <c r="S686" s="32"/>
    </row>
    <row r="687">
      <c r="D687" s="29"/>
      <c r="G687" s="30"/>
      <c r="H687" s="30"/>
      <c r="I687" s="31"/>
      <c r="J687" s="31"/>
      <c r="L687" s="30"/>
      <c r="M687" s="30"/>
      <c r="O687" s="32"/>
      <c r="P687" s="32"/>
      <c r="S687" s="32"/>
    </row>
    <row r="688">
      <c r="D688" s="29"/>
      <c r="G688" s="30"/>
      <c r="H688" s="30"/>
      <c r="I688" s="31"/>
      <c r="J688" s="31"/>
      <c r="L688" s="30"/>
      <c r="M688" s="30"/>
      <c r="O688" s="32"/>
      <c r="P688" s="32"/>
      <c r="S688" s="32"/>
    </row>
    <row r="689">
      <c r="D689" s="29"/>
      <c r="G689" s="30"/>
      <c r="H689" s="30"/>
      <c r="I689" s="31"/>
      <c r="J689" s="31"/>
      <c r="L689" s="30"/>
      <c r="M689" s="30"/>
      <c r="O689" s="32"/>
      <c r="P689" s="32"/>
      <c r="S689" s="32"/>
    </row>
    <row r="690">
      <c r="D690" s="29"/>
      <c r="G690" s="30"/>
      <c r="H690" s="30"/>
      <c r="I690" s="31"/>
      <c r="J690" s="31"/>
      <c r="L690" s="30"/>
      <c r="M690" s="30"/>
      <c r="O690" s="32"/>
      <c r="P690" s="32"/>
      <c r="S690" s="32"/>
    </row>
    <row r="691">
      <c r="D691" s="29"/>
      <c r="G691" s="30"/>
      <c r="H691" s="30"/>
      <c r="I691" s="31"/>
      <c r="J691" s="31"/>
      <c r="L691" s="30"/>
      <c r="M691" s="30"/>
      <c r="O691" s="32"/>
      <c r="P691" s="32"/>
      <c r="S691" s="32"/>
    </row>
    <row r="692">
      <c r="D692" s="29"/>
      <c r="G692" s="30"/>
      <c r="H692" s="30"/>
      <c r="I692" s="31"/>
      <c r="J692" s="31"/>
      <c r="L692" s="30"/>
      <c r="M692" s="30"/>
      <c r="O692" s="32"/>
      <c r="P692" s="32"/>
      <c r="S692" s="32"/>
    </row>
    <row r="693">
      <c r="D693" s="29"/>
      <c r="G693" s="30"/>
      <c r="H693" s="30"/>
      <c r="I693" s="31"/>
      <c r="J693" s="31"/>
      <c r="L693" s="30"/>
      <c r="M693" s="30"/>
      <c r="O693" s="32"/>
      <c r="P693" s="32"/>
      <c r="S693" s="32"/>
    </row>
    <row r="694">
      <c r="D694" s="29"/>
      <c r="G694" s="30"/>
      <c r="H694" s="30"/>
      <c r="I694" s="31"/>
      <c r="J694" s="31"/>
      <c r="L694" s="30"/>
      <c r="M694" s="30"/>
      <c r="O694" s="32"/>
      <c r="P694" s="32"/>
      <c r="S694" s="32"/>
    </row>
    <row r="695">
      <c r="D695" s="29"/>
      <c r="G695" s="30"/>
      <c r="H695" s="30"/>
      <c r="I695" s="31"/>
      <c r="J695" s="31"/>
      <c r="L695" s="30"/>
      <c r="M695" s="30"/>
      <c r="O695" s="32"/>
      <c r="P695" s="32"/>
      <c r="S695" s="32"/>
    </row>
    <row r="696">
      <c r="D696" s="29"/>
      <c r="G696" s="30"/>
      <c r="H696" s="30"/>
      <c r="I696" s="31"/>
      <c r="J696" s="31"/>
      <c r="L696" s="30"/>
      <c r="M696" s="30"/>
      <c r="O696" s="32"/>
      <c r="P696" s="32"/>
      <c r="S696" s="32"/>
    </row>
    <row r="697">
      <c r="D697" s="29"/>
      <c r="G697" s="30"/>
      <c r="H697" s="30"/>
      <c r="I697" s="31"/>
      <c r="J697" s="31"/>
      <c r="L697" s="30"/>
      <c r="M697" s="30"/>
      <c r="O697" s="32"/>
      <c r="P697" s="32"/>
      <c r="S697" s="32"/>
    </row>
    <row r="698">
      <c r="D698" s="29"/>
      <c r="G698" s="30"/>
      <c r="H698" s="30"/>
      <c r="I698" s="31"/>
      <c r="J698" s="31"/>
      <c r="L698" s="30"/>
      <c r="M698" s="30"/>
      <c r="O698" s="32"/>
      <c r="P698" s="32"/>
      <c r="S698" s="32"/>
    </row>
    <row r="699">
      <c r="D699" s="29"/>
      <c r="G699" s="30"/>
      <c r="H699" s="30"/>
      <c r="I699" s="31"/>
      <c r="J699" s="31"/>
      <c r="L699" s="30"/>
      <c r="M699" s="30"/>
      <c r="O699" s="32"/>
      <c r="P699" s="32"/>
      <c r="S699" s="32"/>
    </row>
    <row r="700">
      <c r="D700" s="29"/>
      <c r="G700" s="30"/>
      <c r="H700" s="30"/>
      <c r="I700" s="31"/>
      <c r="J700" s="31"/>
      <c r="L700" s="30"/>
      <c r="M700" s="30"/>
      <c r="O700" s="32"/>
      <c r="P700" s="32"/>
      <c r="S700" s="32"/>
    </row>
    <row r="701">
      <c r="D701" s="29"/>
      <c r="G701" s="30"/>
      <c r="H701" s="30"/>
      <c r="I701" s="31"/>
      <c r="J701" s="31"/>
      <c r="L701" s="30"/>
      <c r="M701" s="30"/>
      <c r="O701" s="32"/>
      <c r="P701" s="32"/>
      <c r="S701" s="32"/>
    </row>
    <row r="702">
      <c r="D702" s="29"/>
      <c r="G702" s="30"/>
      <c r="H702" s="30"/>
      <c r="I702" s="31"/>
      <c r="J702" s="31"/>
      <c r="L702" s="30"/>
      <c r="M702" s="30"/>
      <c r="O702" s="32"/>
      <c r="P702" s="32"/>
      <c r="S702" s="32"/>
    </row>
    <row r="703">
      <c r="D703" s="29"/>
      <c r="G703" s="30"/>
      <c r="H703" s="30"/>
      <c r="I703" s="31"/>
      <c r="J703" s="31"/>
      <c r="L703" s="30"/>
      <c r="M703" s="30"/>
      <c r="O703" s="32"/>
      <c r="P703" s="32"/>
      <c r="S703" s="32"/>
    </row>
    <row r="704">
      <c r="D704" s="29"/>
      <c r="G704" s="30"/>
      <c r="H704" s="30"/>
      <c r="I704" s="31"/>
      <c r="J704" s="31"/>
      <c r="L704" s="30"/>
      <c r="M704" s="30"/>
      <c r="O704" s="32"/>
      <c r="P704" s="32"/>
      <c r="S704" s="32"/>
    </row>
    <row r="705">
      <c r="D705" s="29"/>
      <c r="G705" s="30"/>
      <c r="H705" s="30"/>
      <c r="I705" s="31"/>
      <c r="J705" s="31"/>
      <c r="L705" s="30"/>
      <c r="M705" s="30"/>
      <c r="O705" s="32"/>
      <c r="P705" s="32"/>
      <c r="S705" s="32"/>
    </row>
    <row r="706">
      <c r="D706" s="29"/>
      <c r="G706" s="30"/>
      <c r="H706" s="30"/>
      <c r="I706" s="31"/>
      <c r="J706" s="31"/>
      <c r="L706" s="30"/>
      <c r="M706" s="30"/>
      <c r="O706" s="32"/>
      <c r="P706" s="32"/>
      <c r="S706" s="32"/>
    </row>
    <row r="707">
      <c r="D707" s="29"/>
      <c r="G707" s="30"/>
      <c r="H707" s="30"/>
      <c r="I707" s="31"/>
      <c r="J707" s="31"/>
      <c r="L707" s="30"/>
      <c r="M707" s="30"/>
      <c r="O707" s="32"/>
      <c r="P707" s="32"/>
      <c r="S707" s="32"/>
    </row>
    <row r="708">
      <c r="D708" s="29"/>
      <c r="G708" s="30"/>
      <c r="H708" s="30"/>
      <c r="I708" s="31"/>
      <c r="J708" s="31"/>
      <c r="L708" s="30"/>
      <c r="M708" s="30"/>
      <c r="O708" s="32"/>
      <c r="P708" s="32"/>
      <c r="S708" s="32"/>
    </row>
    <row r="709">
      <c r="D709" s="29"/>
      <c r="G709" s="30"/>
      <c r="H709" s="30"/>
      <c r="I709" s="31"/>
      <c r="J709" s="31"/>
      <c r="L709" s="30"/>
      <c r="M709" s="30"/>
      <c r="O709" s="32"/>
      <c r="P709" s="32"/>
      <c r="S709" s="32"/>
    </row>
    <row r="710">
      <c r="D710" s="29"/>
      <c r="G710" s="30"/>
      <c r="H710" s="30"/>
      <c r="I710" s="31"/>
      <c r="J710" s="31"/>
      <c r="L710" s="30"/>
      <c r="M710" s="30"/>
      <c r="O710" s="32"/>
      <c r="P710" s="32"/>
      <c r="S710" s="32"/>
    </row>
    <row r="711">
      <c r="D711" s="29"/>
      <c r="G711" s="30"/>
      <c r="H711" s="30"/>
      <c r="I711" s="31"/>
      <c r="J711" s="31"/>
      <c r="L711" s="30"/>
      <c r="M711" s="30"/>
      <c r="O711" s="32"/>
      <c r="P711" s="32"/>
      <c r="S711" s="32"/>
    </row>
    <row r="712">
      <c r="D712" s="29"/>
      <c r="G712" s="30"/>
      <c r="H712" s="30"/>
      <c r="I712" s="31"/>
      <c r="J712" s="31"/>
      <c r="L712" s="30"/>
      <c r="M712" s="30"/>
      <c r="O712" s="32"/>
      <c r="P712" s="32"/>
      <c r="S712" s="32"/>
    </row>
    <row r="713">
      <c r="D713" s="29"/>
      <c r="G713" s="30"/>
      <c r="H713" s="30"/>
      <c r="I713" s="31"/>
      <c r="J713" s="31"/>
      <c r="L713" s="30"/>
      <c r="M713" s="30"/>
      <c r="O713" s="32"/>
      <c r="P713" s="32"/>
      <c r="S713" s="32"/>
    </row>
    <row r="714">
      <c r="D714" s="29"/>
      <c r="G714" s="30"/>
      <c r="H714" s="30"/>
      <c r="I714" s="31"/>
      <c r="J714" s="31"/>
      <c r="L714" s="30"/>
      <c r="M714" s="30"/>
      <c r="O714" s="32"/>
      <c r="P714" s="32"/>
      <c r="S714" s="32"/>
    </row>
    <row r="715">
      <c r="D715" s="29"/>
      <c r="G715" s="30"/>
      <c r="H715" s="30"/>
      <c r="I715" s="31"/>
      <c r="J715" s="31"/>
      <c r="L715" s="30"/>
      <c r="M715" s="30"/>
      <c r="O715" s="32"/>
      <c r="P715" s="32"/>
      <c r="S715" s="32"/>
    </row>
    <row r="716">
      <c r="D716" s="29"/>
      <c r="G716" s="30"/>
      <c r="H716" s="30"/>
      <c r="I716" s="31"/>
      <c r="J716" s="31"/>
      <c r="L716" s="30"/>
      <c r="M716" s="30"/>
      <c r="O716" s="32"/>
      <c r="P716" s="32"/>
      <c r="S716" s="32"/>
    </row>
    <row r="717">
      <c r="D717" s="29"/>
      <c r="G717" s="30"/>
      <c r="H717" s="30"/>
      <c r="I717" s="31"/>
      <c r="J717" s="31"/>
      <c r="L717" s="30"/>
      <c r="M717" s="30"/>
      <c r="O717" s="32"/>
      <c r="P717" s="32"/>
      <c r="S717" s="32"/>
    </row>
    <row r="718">
      <c r="D718" s="29"/>
      <c r="G718" s="30"/>
      <c r="H718" s="30"/>
      <c r="I718" s="31"/>
      <c r="J718" s="31"/>
      <c r="L718" s="30"/>
      <c r="M718" s="30"/>
      <c r="O718" s="32"/>
      <c r="P718" s="32"/>
      <c r="S718" s="32"/>
    </row>
    <row r="719">
      <c r="D719" s="29"/>
      <c r="G719" s="30"/>
      <c r="H719" s="30"/>
      <c r="I719" s="31"/>
      <c r="J719" s="31"/>
      <c r="L719" s="30"/>
      <c r="M719" s="30"/>
      <c r="O719" s="32"/>
      <c r="P719" s="32"/>
      <c r="S719" s="32"/>
    </row>
    <row r="720">
      <c r="D720" s="29"/>
      <c r="G720" s="30"/>
      <c r="H720" s="30"/>
      <c r="I720" s="31"/>
      <c r="J720" s="31"/>
      <c r="L720" s="30"/>
      <c r="M720" s="30"/>
      <c r="O720" s="32"/>
      <c r="P720" s="32"/>
      <c r="S720" s="32"/>
    </row>
    <row r="721">
      <c r="D721" s="29"/>
      <c r="G721" s="30"/>
      <c r="H721" s="30"/>
      <c r="I721" s="31"/>
      <c r="J721" s="31"/>
      <c r="L721" s="30"/>
      <c r="M721" s="30"/>
      <c r="O721" s="32"/>
      <c r="P721" s="32"/>
      <c r="S721" s="32"/>
    </row>
    <row r="722">
      <c r="D722" s="29"/>
      <c r="G722" s="30"/>
      <c r="H722" s="30"/>
      <c r="I722" s="31"/>
      <c r="J722" s="31"/>
      <c r="L722" s="30"/>
      <c r="M722" s="30"/>
      <c r="O722" s="32"/>
      <c r="P722" s="32"/>
      <c r="S722" s="32"/>
    </row>
    <row r="723">
      <c r="D723" s="29"/>
      <c r="G723" s="30"/>
      <c r="H723" s="30"/>
      <c r="I723" s="31"/>
      <c r="J723" s="31"/>
      <c r="L723" s="30"/>
      <c r="M723" s="30"/>
      <c r="O723" s="32"/>
      <c r="P723" s="32"/>
      <c r="S723" s="32"/>
    </row>
    <row r="724">
      <c r="D724" s="29"/>
      <c r="G724" s="30"/>
      <c r="H724" s="30"/>
      <c r="I724" s="31"/>
      <c r="J724" s="31"/>
      <c r="L724" s="30"/>
      <c r="M724" s="30"/>
      <c r="O724" s="32"/>
      <c r="P724" s="32"/>
      <c r="S724" s="32"/>
    </row>
    <row r="725">
      <c r="D725" s="29"/>
      <c r="G725" s="30"/>
      <c r="H725" s="30"/>
      <c r="I725" s="31"/>
      <c r="J725" s="31"/>
      <c r="L725" s="30"/>
      <c r="M725" s="30"/>
      <c r="O725" s="32"/>
      <c r="P725" s="32"/>
      <c r="S725" s="32"/>
    </row>
    <row r="726">
      <c r="D726" s="29"/>
      <c r="G726" s="30"/>
      <c r="H726" s="30"/>
      <c r="I726" s="31"/>
      <c r="J726" s="31"/>
      <c r="L726" s="30"/>
      <c r="M726" s="30"/>
      <c r="O726" s="32"/>
      <c r="P726" s="32"/>
      <c r="S726" s="32"/>
    </row>
    <row r="727">
      <c r="D727" s="29"/>
      <c r="G727" s="30"/>
      <c r="H727" s="30"/>
      <c r="I727" s="31"/>
      <c r="J727" s="31"/>
      <c r="L727" s="30"/>
      <c r="M727" s="30"/>
      <c r="O727" s="32"/>
      <c r="P727" s="32"/>
      <c r="S727" s="32"/>
    </row>
    <row r="728">
      <c r="D728" s="29"/>
      <c r="G728" s="30"/>
      <c r="H728" s="30"/>
      <c r="I728" s="31"/>
      <c r="J728" s="31"/>
      <c r="L728" s="30"/>
      <c r="M728" s="30"/>
      <c r="O728" s="32"/>
      <c r="P728" s="32"/>
      <c r="S728" s="32"/>
    </row>
    <row r="729">
      <c r="D729" s="29"/>
      <c r="G729" s="30"/>
      <c r="H729" s="30"/>
      <c r="I729" s="31"/>
      <c r="J729" s="31"/>
      <c r="L729" s="30"/>
      <c r="M729" s="30"/>
      <c r="O729" s="32"/>
      <c r="P729" s="32"/>
      <c r="S729" s="32"/>
    </row>
    <row r="730">
      <c r="D730" s="29"/>
      <c r="G730" s="30"/>
      <c r="H730" s="30"/>
      <c r="I730" s="31"/>
      <c r="J730" s="31"/>
      <c r="L730" s="30"/>
      <c r="M730" s="30"/>
      <c r="O730" s="32"/>
      <c r="P730" s="32"/>
      <c r="S730" s="32"/>
    </row>
    <row r="731">
      <c r="D731" s="29"/>
      <c r="G731" s="30"/>
      <c r="H731" s="30"/>
      <c r="I731" s="31"/>
      <c r="J731" s="31"/>
      <c r="L731" s="30"/>
      <c r="M731" s="30"/>
      <c r="O731" s="32"/>
      <c r="P731" s="32"/>
      <c r="S731" s="32"/>
    </row>
    <row r="732">
      <c r="D732" s="29"/>
      <c r="G732" s="30"/>
      <c r="H732" s="30"/>
      <c r="I732" s="31"/>
      <c r="J732" s="31"/>
      <c r="L732" s="30"/>
      <c r="M732" s="30"/>
      <c r="O732" s="32"/>
      <c r="P732" s="32"/>
      <c r="S732" s="32"/>
    </row>
    <row r="733">
      <c r="D733" s="29"/>
      <c r="G733" s="30"/>
      <c r="H733" s="30"/>
      <c r="I733" s="31"/>
      <c r="J733" s="31"/>
      <c r="L733" s="30"/>
      <c r="M733" s="30"/>
      <c r="O733" s="32"/>
      <c r="P733" s="32"/>
      <c r="S733" s="32"/>
    </row>
    <row r="734">
      <c r="D734" s="29"/>
      <c r="G734" s="30"/>
      <c r="H734" s="30"/>
      <c r="I734" s="31"/>
      <c r="J734" s="31"/>
      <c r="L734" s="30"/>
      <c r="M734" s="30"/>
      <c r="O734" s="32"/>
      <c r="P734" s="32"/>
      <c r="S734" s="32"/>
    </row>
    <row r="735">
      <c r="D735" s="29"/>
      <c r="G735" s="30"/>
      <c r="H735" s="30"/>
      <c r="I735" s="31"/>
      <c r="J735" s="31"/>
      <c r="L735" s="30"/>
      <c r="M735" s="30"/>
      <c r="O735" s="32"/>
      <c r="P735" s="32"/>
      <c r="S735" s="32"/>
    </row>
    <row r="736">
      <c r="D736" s="29"/>
      <c r="G736" s="30"/>
      <c r="H736" s="30"/>
      <c r="I736" s="31"/>
      <c r="J736" s="31"/>
      <c r="L736" s="30"/>
      <c r="M736" s="30"/>
      <c r="O736" s="32"/>
      <c r="P736" s="32"/>
      <c r="S736" s="32"/>
    </row>
    <row r="737">
      <c r="D737" s="29"/>
      <c r="G737" s="30"/>
      <c r="H737" s="30"/>
      <c r="I737" s="31"/>
      <c r="J737" s="31"/>
      <c r="L737" s="30"/>
      <c r="M737" s="30"/>
      <c r="O737" s="32"/>
      <c r="P737" s="32"/>
      <c r="S737" s="32"/>
    </row>
    <row r="738">
      <c r="D738" s="29"/>
      <c r="G738" s="30"/>
      <c r="H738" s="30"/>
      <c r="I738" s="31"/>
      <c r="J738" s="31"/>
      <c r="L738" s="30"/>
      <c r="M738" s="30"/>
      <c r="O738" s="32"/>
      <c r="P738" s="32"/>
      <c r="S738" s="32"/>
    </row>
    <row r="739">
      <c r="D739" s="29"/>
      <c r="G739" s="30"/>
      <c r="H739" s="30"/>
      <c r="I739" s="31"/>
      <c r="J739" s="31"/>
      <c r="L739" s="30"/>
      <c r="M739" s="30"/>
      <c r="O739" s="32"/>
      <c r="P739" s="32"/>
      <c r="S739" s="32"/>
    </row>
    <row r="740">
      <c r="D740" s="29"/>
      <c r="G740" s="30"/>
      <c r="H740" s="30"/>
      <c r="I740" s="31"/>
      <c r="J740" s="31"/>
      <c r="L740" s="30"/>
      <c r="M740" s="30"/>
      <c r="O740" s="32"/>
      <c r="P740" s="32"/>
      <c r="S740" s="32"/>
    </row>
    <row r="741">
      <c r="D741" s="29"/>
      <c r="G741" s="30"/>
      <c r="H741" s="30"/>
      <c r="I741" s="31"/>
      <c r="J741" s="31"/>
      <c r="L741" s="30"/>
      <c r="M741" s="30"/>
      <c r="O741" s="32"/>
      <c r="P741" s="32"/>
      <c r="S741" s="32"/>
    </row>
    <row r="742">
      <c r="D742" s="29"/>
      <c r="G742" s="30"/>
      <c r="H742" s="30"/>
      <c r="I742" s="31"/>
      <c r="J742" s="31"/>
      <c r="L742" s="30"/>
      <c r="M742" s="30"/>
      <c r="O742" s="32"/>
      <c r="P742" s="32"/>
      <c r="S742" s="32"/>
    </row>
    <row r="743">
      <c r="D743" s="29"/>
      <c r="G743" s="30"/>
      <c r="H743" s="30"/>
      <c r="I743" s="31"/>
      <c r="J743" s="31"/>
      <c r="L743" s="30"/>
      <c r="M743" s="30"/>
      <c r="O743" s="32"/>
      <c r="P743" s="32"/>
      <c r="S743" s="32"/>
    </row>
    <row r="744">
      <c r="D744" s="29"/>
      <c r="G744" s="30"/>
      <c r="H744" s="30"/>
      <c r="I744" s="31"/>
      <c r="J744" s="31"/>
      <c r="L744" s="30"/>
      <c r="M744" s="30"/>
      <c r="O744" s="32"/>
      <c r="P744" s="32"/>
      <c r="S744" s="32"/>
    </row>
    <row r="745">
      <c r="D745" s="29"/>
      <c r="G745" s="30"/>
      <c r="H745" s="30"/>
      <c r="I745" s="31"/>
      <c r="J745" s="31"/>
      <c r="L745" s="30"/>
      <c r="M745" s="30"/>
      <c r="O745" s="32"/>
      <c r="P745" s="32"/>
      <c r="S745" s="32"/>
    </row>
    <row r="746">
      <c r="D746" s="29"/>
      <c r="G746" s="30"/>
      <c r="H746" s="30"/>
      <c r="I746" s="31"/>
      <c r="J746" s="31"/>
      <c r="L746" s="30"/>
      <c r="M746" s="30"/>
      <c r="O746" s="32"/>
      <c r="P746" s="32"/>
      <c r="S746" s="32"/>
    </row>
    <row r="747">
      <c r="D747" s="29"/>
      <c r="G747" s="30"/>
      <c r="H747" s="30"/>
      <c r="I747" s="31"/>
      <c r="J747" s="31"/>
      <c r="L747" s="30"/>
      <c r="M747" s="30"/>
      <c r="O747" s="32"/>
      <c r="P747" s="32"/>
      <c r="S747" s="32"/>
    </row>
    <row r="748">
      <c r="D748" s="29"/>
      <c r="G748" s="30"/>
      <c r="H748" s="30"/>
      <c r="I748" s="31"/>
      <c r="J748" s="31"/>
      <c r="L748" s="30"/>
      <c r="M748" s="30"/>
      <c r="O748" s="32"/>
      <c r="P748" s="32"/>
      <c r="S748" s="32"/>
    </row>
    <row r="749">
      <c r="D749" s="29"/>
      <c r="G749" s="30"/>
      <c r="H749" s="30"/>
      <c r="I749" s="31"/>
      <c r="J749" s="31"/>
      <c r="L749" s="30"/>
      <c r="M749" s="30"/>
      <c r="O749" s="32"/>
      <c r="P749" s="32"/>
      <c r="S749" s="32"/>
    </row>
    <row r="750">
      <c r="D750" s="29"/>
      <c r="G750" s="30"/>
      <c r="H750" s="30"/>
      <c r="I750" s="31"/>
      <c r="J750" s="31"/>
      <c r="L750" s="30"/>
      <c r="M750" s="30"/>
      <c r="O750" s="32"/>
      <c r="P750" s="32"/>
      <c r="S750" s="32"/>
    </row>
    <row r="751">
      <c r="D751" s="29"/>
      <c r="G751" s="30"/>
      <c r="H751" s="30"/>
      <c r="I751" s="31"/>
      <c r="J751" s="31"/>
      <c r="L751" s="30"/>
      <c r="M751" s="30"/>
      <c r="O751" s="32"/>
      <c r="P751" s="32"/>
      <c r="S751" s="32"/>
    </row>
    <row r="752">
      <c r="D752" s="29"/>
      <c r="G752" s="30"/>
      <c r="H752" s="30"/>
      <c r="I752" s="31"/>
      <c r="J752" s="31"/>
      <c r="L752" s="30"/>
      <c r="M752" s="30"/>
      <c r="O752" s="32"/>
      <c r="P752" s="32"/>
      <c r="S752" s="32"/>
    </row>
    <row r="753">
      <c r="D753" s="29"/>
      <c r="G753" s="30"/>
      <c r="H753" s="30"/>
      <c r="I753" s="31"/>
      <c r="J753" s="31"/>
      <c r="L753" s="30"/>
      <c r="M753" s="30"/>
      <c r="O753" s="32"/>
      <c r="P753" s="32"/>
      <c r="S753" s="32"/>
    </row>
    <row r="754">
      <c r="D754" s="29"/>
      <c r="G754" s="30"/>
      <c r="H754" s="30"/>
      <c r="I754" s="31"/>
      <c r="J754" s="31"/>
      <c r="L754" s="30"/>
      <c r="M754" s="30"/>
      <c r="O754" s="32"/>
      <c r="P754" s="32"/>
      <c r="S754" s="32"/>
    </row>
    <row r="755">
      <c r="D755" s="29"/>
      <c r="G755" s="30"/>
      <c r="H755" s="30"/>
      <c r="I755" s="31"/>
      <c r="J755" s="31"/>
      <c r="L755" s="30"/>
      <c r="M755" s="30"/>
      <c r="O755" s="32"/>
      <c r="P755" s="32"/>
      <c r="S755" s="32"/>
    </row>
    <row r="756">
      <c r="D756" s="29"/>
      <c r="G756" s="30"/>
      <c r="H756" s="30"/>
      <c r="I756" s="31"/>
      <c r="J756" s="31"/>
      <c r="L756" s="30"/>
      <c r="M756" s="30"/>
      <c r="O756" s="32"/>
      <c r="P756" s="32"/>
      <c r="S756" s="32"/>
    </row>
    <row r="757">
      <c r="D757" s="29"/>
      <c r="G757" s="30"/>
      <c r="H757" s="30"/>
      <c r="I757" s="31"/>
      <c r="J757" s="31"/>
      <c r="L757" s="30"/>
      <c r="M757" s="30"/>
      <c r="O757" s="32"/>
      <c r="P757" s="32"/>
      <c r="S757" s="32"/>
    </row>
    <row r="758">
      <c r="D758" s="29"/>
      <c r="G758" s="30"/>
      <c r="H758" s="30"/>
      <c r="I758" s="31"/>
      <c r="J758" s="31"/>
      <c r="L758" s="30"/>
      <c r="M758" s="30"/>
      <c r="O758" s="32"/>
      <c r="P758" s="32"/>
      <c r="S758" s="32"/>
    </row>
    <row r="759">
      <c r="D759" s="29"/>
      <c r="G759" s="30"/>
      <c r="H759" s="30"/>
      <c r="I759" s="31"/>
      <c r="J759" s="31"/>
      <c r="L759" s="30"/>
      <c r="M759" s="30"/>
      <c r="O759" s="32"/>
      <c r="P759" s="32"/>
      <c r="S759" s="32"/>
    </row>
    <row r="760">
      <c r="D760" s="29"/>
      <c r="G760" s="30"/>
      <c r="H760" s="30"/>
      <c r="I760" s="31"/>
      <c r="J760" s="31"/>
      <c r="L760" s="30"/>
      <c r="M760" s="30"/>
      <c r="O760" s="32"/>
      <c r="P760" s="32"/>
      <c r="S760" s="32"/>
    </row>
    <row r="761">
      <c r="D761" s="29"/>
      <c r="G761" s="30"/>
      <c r="H761" s="30"/>
      <c r="I761" s="31"/>
      <c r="J761" s="31"/>
      <c r="L761" s="30"/>
      <c r="M761" s="30"/>
      <c r="O761" s="32"/>
      <c r="P761" s="32"/>
      <c r="S761" s="32"/>
    </row>
    <row r="762">
      <c r="D762" s="29"/>
      <c r="G762" s="30"/>
      <c r="H762" s="30"/>
      <c r="I762" s="31"/>
      <c r="J762" s="31"/>
      <c r="L762" s="30"/>
      <c r="M762" s="30"/>
      <c r="O762" s="32"/>
      <c r="P762" s="32"/>
      <c r="S762" s="32"/>
    </row>
    <row r="763">
      <c r="D763" s="29"/>
      <c r="G763" s="30"/>
      <c r="H763" s="30"/>
      <c r="I763" s="31"/>
      <c r="J763" s="31"/>
      <c r="L763" s="30"/>
      <c r="M763" s="30"/>
      <c r="O763" s="32"/>
      <c r="P763" s="32"/>
      <c r="S763" s="32"/>
    </row>
    <row r="764">
      <c r="D764" s="29"/>
      <c r="G764" s="30"/>
      <c r="H764" s="30"/>
      <c r="I764" s="31"/>
      <c r="J764" s="31"/>
      <c r="L764" s="30"/>
      <c r="M764" s="30"/>
      <c r="O764" s="32"/>
      <c r="P764" s="32"/>
      <c r="S764" s="32"/>
    </row>
    <row r="765">
      <c r="D765" s="29"/>
      <c r="G765" s="30"/>
      <c r="H765" s="30"/>
      <c r="I765" s="31"/>
      <c r="J765" s="31"/>
      <c r="L765" s="30"/>
      <c r="M765" s="30"/>
      <c r="O765" s="32"/>
      <c r="P765" s="32"/>
      <c r="S765" s="32"/>
    </row>
    <row r="766">
      <c r="D766" s="29"/>
      <c r="G766" s="30"/>
      <c r="H766" s="30"/>
      <c r="I766" s="31"/>
      <c r="J766" s="31"/>
      <c r="L766" s="30"/>
      <c r="M766" s="30"/>
      <c r="O766" s="32"/>
      <c r="P766" s="32"/>
      <c r="S766" s="32"/>
    </row>
    <row r="767">
      <c r="D767" s="29"/>
      <c r="G767" s="30"/>
      <c r="H767" s="30"/>
      <c r="I767" s="31"/>
      <c r="J767" s="31"/>
      <c r="L767" s="30"/>
      <c r="M767" s="30"/>
      <c r="O767" s="32"/>
      <c r="P767" s="32"/>
      <c r="S767" s="32"/>
    </row>
    <row r="768">
      <c r="D768" s="29"/>
      <c r="G768" s="30"/>
      <c r="H768" s="30"/>
      <c r="I768" s="31"/>
      <c r="J768" s="31"/>
      <c r="L768" s="30"/>
      <c r="M768" s="30"/>
      <c r="O768" s="32"/>
      <c r="P768" s="32"/>
      <c r="S768" s="32"/>
    </row>
    <row r="769">
      <c r="D769" s="29"/>
      <c r="G769" s="30"/>
      <c r="H769" s="30"/>
      <c r="I769" s="31"/>
      <c r="J769" s="31"/>
      <c r="L769" s="30"/>
      <c r="M769" s="30"/>
      <c r="O769" s="32"/>
      <c r="P769" s="32"/>
      <c r="S769" s="32"/>
    </row>
    <row r="770">
      <c r="D770" s="29"/>
      <c r="G770" s="30"/>
      <c r="H770" s="30"/>
      <c r="I770" s="31"/>
      <c r="J770" s="31"/>
      <c r="L770" s="30"/>
      <c r="M770" s="30"/>
      <c r="O770" s="32"/>
      <c r="P770" s="32"/>
      <c r="S770" s="32"/>
    </row>
    <row r="771">
      <c r="D771" s="29"/>
      <c r="G771" s="30"/>
      <c r="H771" s="30"/>
      <c r="I771" s="31"/>
      <c r="J771" s="31"/>
      <c r="L771" s="30"/>
      <c r="M771" s="30"/>
      <c r="O771" s="32"/>
      <c r="P771" s="32"/>
      <c r="S771" s="32"/>
    </row>
    <row r="772">
      <c r="D772" s="29"/>
      <c r="G772" s="30"/>
      <c r="H772" s="30"/>
      <c r="I772" s="31"/>
      <c r="J772" s="31"/>
      <c r="L772" s="30"/>
      <c r="M772" s="30"/>
      <c r="O772" s="32"/>
      <c r="P772" s="32"/>
      <c r="S772" s="32"/>
    </row>
    <row r="773">
      <c r="D773" s="29"/>
      <c r="G773" s="30"/>
      <c r="H773" s="30"/>
      <c r="I773" s="31"/>
      <c r="J773" s="31"/>
      <c r="L773" s="30"/>
      <c r="M773" s="30"/>
      <c r="O773" s="32"/>
      <c r="P773" s="32"/>
      <c r="S773" s="32"/>
    </row>
    <row r="774">
      <c r="D774" s="29"/>
      <c r="G774" s="30"/>
      <c r="H774" s="30"/>
      <c r="I774" s="31"/>
      <c r="J774" s="31"/>
      <c r="L774" s="30"/>
      <c r="M774" s="30"/>
      <c r="O774" s="32"/>
      <c r="P774" s="32"/>
      <c r="S774" s="32"/>
    </row>
    <row r="775">
      <c r="D775" s="29"/>
      <c r="G775" s="30"/>
      <c r="H775" s="30"/>
      <c r="I775" s="31"/>
      <c r="J775" s="31"/>
      <c r="L775" s="30"/>
      <c r="M775" s="30"/>
      <c r="O775" s="32"/>
      <c r="P775" s="32"/>
      <c r="S775" s="32"/>
    </row>
    <row r="776">
      <c r="D776" s="29"/>
      <c r="G776" s="30"/>
      <c r="H776" s="30"/>
      <c r="I776" s="31"/>
      <c r="J776" s="31"/>
      <c r="L776" s="30"/>
      <c r="M776" s="30"/>
      <c r="O776" s="32"/>
      <c r="P776" s="32"/>
      <c r="S776" s="32"/>
    </row>
    <row r="777">
      <c r="D777" s="29"/>
      <c r="G777" s="30"/>
      <c r="H777" s="30"/>
      <c r="I777" s="31"/>
      <c r="J777" s="31"/>
      <c r="L777" s="30"/>
      <c r="M777" s="30"/>
      <c r="O777" s="32"/>
      <c r="P777" s="32"/>
      <c r="S777" s="32"/>
    </row>
    <row r="778">
      <c r="D778" s="29"/>
      <c r="G778" s="30"/>
      <c r="H778" s="30"/>
      <c r="I778" s="31"/>
      <c r="J778" s="31"/>
      <c r="L778" s="30"/>
      <c r="M778" s="30"/>
      <c r="O778" s="32"/>
      <c r="P778" s="32"/>
      <c r="S778" s="32"/>
    </row>
    <row r="779">
      <c r="D779" s="29"/>
      <c r="G779" s="30"/>
      <c r="H779" s="30"/>
      <c r="I779" s="31"/>
      <c r="J779" s="31"/>
      <c r="L779" s="30"/>
      <c r="M779" s="30"/>
      <c r="O779" s="32"/>
      <c r="P779" s="32"/>
      <c r="S779" s="32"/>
    </row>
    <row r="780">
      <c r="D780" s="29"/>
      <c r="G780" s="30"/>
      <c r="H780" s="30"/>
      <c r="I780" s="31"/>
      <c r="J780" s="31"/>
      <c r="L780" s="30"/>
      <c r="M780" s="30"/>
      <c r="O780" s="32"/>
      <c r="P780" s="32"/>
      <c r="S780" s="32"/>
    </row>
    <row r="781">
      <c r="D781" s="29"/>
      <c r="G781" s="30"/>
      <c r="H781" s="30"/>
      <c r="I781" s="31"/>
      <c r="J781" s="31"/>
      <c r="L781" s="30"/>
      <c r="M781" s="30"/>
      <c r="O781" s="32"/>
      <c r="P781" s="32"/>
      <c r="S781" s="32"/>
    </row>
    <row r="782">
      <c r="D782" s="29"/>
      <c r="G782" s="30"/>
      <c r="H782" s="30"/>
      <c r="I782" s="31"/>
      <c r="J782" s="31"/>
      <c r="L782" s="30"/>
      <c r="M782" s="30"/>
      <c r="O782" s="32"/>
      <c r="P782" s="32"/>
      <c r="S782" s="32"/>
    </row>
    <row r="783">
      <c r="D783" s="29"/>
      <c r="G783" s="30"/>
      <c r="H783" s="30"/>
      <c r="I783" s="31"/>
      <c r="J783" s="31"/>
      <c r="L783" s="30"/>
      <c r="M783" s="30"/>
      <c r="O783" s="32"/>
      <c r="P783" s="32"/>
      <c r="S783" s="32"/>
    </row>
    <row r="784">
      <c r="D784" s="29"/>
      <c r="G784" s="30"/>
      <c r="H784" s="30"/>
      <c r="I784" s="31"/>
      <c r="J784" s="31"/>
      <c r="L784" s="30"/>
      <c r="M784" s="30"/>
      <c r="O784" s="32"/>
      <c r="P784" s="32"/>
      <c r="S784" s="32"/>
    </row>
    <row r="785">
      <c r="D785" s="29"/>
      <c r="G785" s="30"/>
      <c r="H785" s="30"/>
      <c r="I785" s="31"/>
      <c r="J785" s="31"/>
      <c r="L785" s="30"/>
      <c r="M785" s="30"/>
      <c r="O785" s="32"/>
      <c r="P785" s="32"/>
      <c r="S785" s="32"/>
    </row>
    <row r="786">
      <c r="D786" s="29"/>
      <c r="G786" s="30"/>
      <c r="H786" s="30"/>
      <c r="I786" s="31"/>
      <c r="J786" s="31"/>
      <c r="L786" s="30"/>
      <c r="M786" s="30"/>
      <c r="O786" s="32"/>
      <c r="P786" s="32"/>
      <c r="S786" s="32"/>
    </row>
    <row r="787">
      <c r="D787" s="29"/>
      <c r="G787" s="30"/>
      <c r="H787" s="30"/>
      <c r="I787" s="31"/>
      <c r="J787" s="31"/>
      <c r="L787" s="30"/>
      <c r="M787" s="30"/>
      <c r="O787" s="32"/>
      <c r="P787" s="32"/>
      <c r="S787" s="32"/>
    </row>
    <row r="788">
      <c r="D788" s="29"/>
      <c r="G788" s="30"/>
      <c r="H788" s="30"/>
      <c r="I788" s="31"/>
      <c r="J788" s="31"/>
      <c r="L788" s="30"/>
      <c r="M788" s="30"/>
      <c r="O788" s="32"/>
      <c r="P788" s="32"/>
      <c r="S788" s="32"/>
    </row>
    <row r="789">
      <c r="D789" s="29"/>
      <c r="G789" s="30"/>
      <c r="H789" s="30"/>
      <c r="I789" s="31"/>
      <c r="J789" s="31"/>
      <c r="L789" s="30"/>
      <c r="M789" s="30"/>
      <c r="O789" s="32"/>
      <c r="P789" s="32"/>
      <c r="S789" s="32"/>
    </row>
    <row r="790">
      <c r="D790" s="29"/>
      <c r="G790" s="30"/>
      <c r="H790" s="30"/>
      <c r="I790" s="31"/>
      <c r="J790" s="31"/>
      <c r="L790" s="30"/>
      <c r="M790" s="30"/>
      <c r="O790" s="32"/>
      <c r="P790" s="32"/>
      <c r="S790" s="32"/>
    </row>
    <row r="791">
      <c r="D791" s="29"/>
      <c r="G791" s="30"/>
      <c r="H791" s="30"/>
      <c r="I791" s="31"/>
      <c r="J791" s="31"/>
      <c r="L791" s="30"/>
      <c r="M791" s="30"/>
      <c r="O791" s="32"/>
      <c r="P791" s="32"/>
      <c r="S791" s="32"/>
    </row>
    <row r="792">
      <c r="D792" s="29"/>
      <c r="G792" s="30"/>
      <c r="H792" s="30"/>
      <c r="I792" s="31"/>
      <c r="J792" s="31"/>
      <c r="L792" s="30"/>
      <c r="M792" s="30"/>
      <c r="O792" s="32"/>
      <c r="P792" s="32"/>
      <c r="S792" s="32"/>
    </row>
    <row r="793">
      <c r="D793" s="29"/>
      <c r="G793" s="30"/>
      <c r="H793" s="30"/>
      <c r="I793" s="31"/>
      <c r="J793" s="31"/>
      <c r="L793" s="30"/>
      <c r="M793" s="30"/>
      <c r="O793" s="32"/>
      <c r="P793" s="32"/>
      <c r="S793" s="32"/>
    </row>
    <row r="794">
      <c r="D794" s="29"/>
      <c r="G794" s="30"/>
      <c r="H794" s="30"/>
      <c r="I794" s="31"/>
      <c r="J794" s="31"/>
      <c r="L794" s="30"/>
      <c r="M794" s="30"/>
      <c r="O794" s="32"/>
      <c r="P794" s="32"/>
      <c r="S794" s="32"/>
    </row>
    <row r="795">
      <c r="D795" s="29"/>
      <c r="G795" s="30"/>
      <c r="H795" s="30"/>
      <c r="I795" s="31"/>
      <c r="J795" s="31"/>
      <c r="L795" s="30"/>
      <c r="M795" s="30"/>
      <c r="O795" s="32"/>
      <c r="P795" s="32"/>
      <c r="S795" s="32"/>
    </row>
    <row r="796">
      <c r="D796" s="29"/>
      <c r="G796" s="30"/>
      <c r="H796" s="30"/>
      <c r="I796" s="31"/>
      <c r="J796" s="31"/>
      <c r="L796" s="30"/>
      <c r="M796" s="30"/>
      <c r="O796" s="32"/>
      <c r="P796" s="32"/>
      <c r="S796" s="32"/>
    </row>
    <row r="797">
      <c r="D797" s="29"/>
      <c r="G797" s="30"/>
      <c r="H797" s="30"/>
      <c r="I797" s="31"/>
      <c r="J797" s="31"/>
      <c r="L797" s="30"/>
      <c r="M797" s="30"/>
      <c r="O797" s="32"/>
      <c r="P797" s="32"/>
      <c r="S797" s="32"/>
    </row>
    <row r="798">
      <c r="D798" s="29"/>
      <c r="G798" s="30"/>
      <c r="H798" s="30"/>
      <c r="I798" s="31"/>
      <c r="J798" s="31"/>
      <c r="L798" s="30"/>
      <c r="M798" s="30"/>
      <c r="O798" s="32"/>
      <c r="P798" s="32"/>
      <c r="S798" s="32"/>
    </row>
    <row r="799">
      <c r="D799" s="29"/>
      <c r="G799" s="30"/>
      <c r="H799" s="30"/>
      <c r="I799" s="31"/>
      <c r="J799" s="31"/>
      <c r="L799" s="30"/>
      <c r="M799" s="30"/>
      <c r="O799" s="32"/>
      <c r="P799" s="32"/>
      <c r="S799" s="32"/>
    </row>
    <row r="800">
      <c r="D800" s="29"/>
      <c r="G800" s="30"/>
      <c r="H800" s="30"/>
      <c r="I800" s="31"/>
      <c r="J800" s="31"/>
      <c r="L800" s="30"/>
      <c r="M800" s="30"/>
      <c r="O800" s="32"/>
      <c r="P800" s="32"/>
      <c r="S800" s="32"/>
    </row>
    <row r="801">
      <c r="D801" s="29"/>
      <c r="G801" s="30"/>
      <c r="H801" s="30"/>
      <c r="I801" s="31"/>
      <c r="J801" s="31"/>
      <c r="L801" s="30"/>
      <c r="M801" s="30"/>
      <c r="O801" s="32"/>
      <c r="P801" s="32"/>
      <c r="S801" s="32"/>
    </row>
    <row r="802">
      <c r="D802" s="29"/>
      <c r="G802" s="30"/>
      <c r="H802" s="30"/>
      <c r="I802" s="31"/>
      <c r="J802" s="31"/>
      <c r="L802" s="30"/>
      <c r="M802" s="30"/>
      <c r="O802" s="32"/>
      <c r="P802" s="32"/>
      <c r="S802" s="32"/>
    </row>
    <row r="803">
      <c r="D803" s="29"/>
      <c r="G803" s="30"/>
      <c r="H803" s="30"/>
      <c r="I803" s="31"/>
      <c r="J803" s="31"/>
      <c r="L803" s="30"/>
      <c r="M803" s="30"/>
      <c r="O803" s="32"/>
      <c r="P803" s="32"/>
      <c r="S803" s="32"/>
    </row>
    <row r="804">
      <c r="D804" s="29"/>
      <c r="G804" s="30"/>
      <c r="H804" s="30"/>
      <c r="I804" s="31"/>
      <c r="J804" s="31"/>
      <c r="L804" s="30"/>
      <c r="M804" s="30"/>
      <c r="O804" s="32"/>
      <c r="P804" s="32"/>
      <c r="S804" s="32"/>
    </row>
    <row r="805">
      <c r="D805" s="29"/>
      <c r="G805" s="30"/>
      <c r="H805" s="30"/>
      <c r="I805" s="31"/>
      <c r="J805" s="31"/>
      <c r="L805" s="30"/>
      <c r="M805" s="30"/>
      <c r="O805" s="32"/>
      <c r="P805" s="32"/>
      <c r="S805" s="32"/>
    </row>
    <row r="806">
      <c r="D806" s="29"/>
      <c r="G806" s="30"/>
      <c r="H806" s="30"/>
      <c r="I806" s="31"/>
      <c r="J806" s="31"/>
      <c r="L806" s="30"/>
      <c r="M806" s="30"/>
      <c r="O806" s="32"/>
      <c r="P806" s="32"/>
      <c r="S806" s="32"/>
    </row>
    <row r="807">
      <c r="D807" s="29"/>
      <c r="G807" s="30"/>
      <c r="H807" s="30"/>
      <c r="I807" s="31"/>
      <c r="J807" s="31"/>
      <c r="L807" s="30"/>
      <c r="M807" s="30"/>
      <c r="O807" s="32"/>
      <c r="P807" s="32"/>
      <c r="S807" s="32"/>
    </row>
    <row r="808">
      <c r="D808" s="29"/>
      <c r="G808" s="30"/>
      <c r="H808" s="30"/>
      <c r="I808" s="31"/>
      <c r="J808" s="31"/>
      <c r="L808" s="30"/>
      <c r="M808" s="30"/>
      <c r="O808" s="32"/>
      <c r="P808" s="32"/>
      <c r="S808" s="32"/>
    </row>
    <row r="809">
      <c r="D809" s="29"/>
      <c r="G809" s="30"/>
      <c r="H809" s="30"/>
      <c r="I809" s="31"/>
      <c r="J809" s="31"/>
      <c r="L809" s="30"/>
      <c r="M809" s="30"/>
      <c r="O809" s="32"/>
      <c r="P809" s="32"/>
      <c r="S809" s="32"/>
    </row>
    <row r="810">
      <c r="D810" s="29"/>
      <c r="G810" s="30"/>
      <c r="H810" s="30"/>
      <c r="I810" s="31"/>
      <c r="J810" s="31"/>
      <c r="L810" s="30"/>
      <c r="M810" s="30"/>
      <c r="O810" s="32"/>
      <c r="P810" s="32"/>
      <c r="S810" s="32"/>
    </row>
    <row r="811">
      <c r="D811" s="29"/>
      <c r="G811" s="30"/>
      <c r="H811" s="30"/>
      <c r="I811" s="31"/>
      <c r="J811" s="31"/>
      <c r="L811" s="30"/>
      <c r="M811" s="30"/>
      <c r="O811" s="32"/>
      <c r="P811" s="32"/>
      <c r="S811" s="32"/>
    </row>
    <row r="812">
      <c r="D812" s="29"/>
      <c r="G812" s="30"/>
      <c r="H812" s="30"/>
      <c r="I812" s="31"/>
      <c r="J812" s="31"/>
      <c r="L812" s="30"/>
      <c r="M812" s="30"/>
      <c r="O812" s="32"/>
      <c r="P812" s="32"/>
      <c r="S812" s="32"/>
    </row>
    <row r="813">
      <c r="D813" s="29"/>
      <c r="G813" s="30"/>
      <c r="H813" s="30"/>
      <c r="I813" s="31"/>
      <c r="J813" s="31"/>
      <c r="L813" s="30"/>
      <c r="M813" s="30"/>
      <c r="O813" s="32"/>
      <c r="P813" s="32"/>
      <c r="S813" s="32"/>
    </row>
    <row r="814">
      <c r="D814" s="29"/>
      <c r="G814" s="30"/>
      <c r="H814" s="30"/>
      <c r="I814" s="31"/>
      <c r="J814" s="31"/>
      <c r="L814" s="30"/>
      <c r="M814" s="30"/>
      <c r="O814" s="32"/>
      <c r="P814" s="32"/>
      <c r="S814" s="32"/>
    </row>
    <row r="815">
      <c r="D815" s="29"/>
      <c r="G815" s="30"/>
      <c r="H815" s="30"/>
      <c r="I815" s="31"/>
      <c r="J815" s="31"/>
      <c r="L815" s="30"/>
      <c r="M815" s="30"/>
      <c r="O815" s="32"/>
      <c r="P815" s="32"/>
      <c r="S815" s="32"/>
    </row>
    <row r="816">
      <c r="D816" s="29"/>
      <c r="G816" s="30"/>
      <c r="H816" s="30"/>
      <c r="I816" s="31"/>
      <c r="J816" s="31"/>
      <c r="L816" s="30"/>
      <c r="M816" s="30"/>
      <c r="O816" s="32"/>
      <c r="P816" s="32"/>
      <c r="S816" s="32"/>
    </row>
    <row r="817">
      <c r="D817" s="29"/>
      <c r="G817" s="30"/>
      <c r="H817" s="30"/>
      <c r="I817" s="31"/>
      <c r="J817" s="31"/>
      <c r="L817" s="30"/>
      <c r="M817" s="30"/>
      <c r="O817" s="32"/>
      <c r="P817" s="32"/>
      <c r="S817" s="32"/>
    </row>
    <row r="818">
      <c r="D818" s="29"/>
      <c r="G818" s="30"/>
      <c r="H818" s="30"/>
      <c r="I818" s="31"/>
      <c r="J818" s="31"/>
      <c r="L818" s="30"/>
      <c r="M818" s="30"/>
      <c r="O818" s="32"/>
      <c r="P818" s="32"/>
      <c r="S818" s="32"/>
    </row>
    <row r="819">
      <c r="D819" s="29"/>
      <c r="G819" s="30"/>
      <c r="H819" s="30"/>
      <c r="I819" s="31"/>
      <c r="J819" s="31"/>
      <c r="L819" s="30"/>
      <c r="M819" s="30"/>
      <c r="O819" s="32"/>
      <c r="P819" s="32"/>
      <c r="S819" s="32"/>
    </row>
    <row r="820">
      <c r="D820" s="29"/>
      <c r="G820" s="30"/>
      <c r="H820" s="30"/>
      <c r="I820" s="31"/>
      <c r="J820" s="31"/>
      <c r="L820" s="30"/>
      <c r="M820" s="30"/>
      <c r="O820" s="32"/>
      <c r="P820" s="32"/>
      <c r="S820" s="32"/>
    </row>
    <row r="821">
      <c r="D821" s="29"/>
      <c r="G821" s="30"/>
      <c r="H821" s="30"/>
      <c r="I821" s="31"/>
      <c r="J821" s="31"/>
      <c r="L821" s="30"/>
      <c r="M821" s="30"/>
      <c r="O821" s="32"/>
      <c r="P821" s="32"/>
      <c r="S821" s="32"/>
    </row>
    <row r="822">
      <c r="D822" s="29"/>
      <c r="G822" s="30"/>
      <c r="H822" s="30"/>
      <c r="I822" s="31"/>
      <c r="J822" s="31"/>
      <c r="L822" s="30"/>
      <c r="M822" s="30"/>
      <c r="O822" s="32"/>
      <c r="P822" s="32"/>
      <c r="S822" s="32"/>
    </row>
    <row r="823">
      <c r="D823" s="29"/>
      <c r="G823" s="30"/>
      <c r="H823" s="30"/>
      <c r="I823" s="31"/>
      <c r="J823" s="31"/>
      <c r="L823" s="30"/>
      <c r="M823" s="30"/>
      <c r="O823" s="32"/>
      <c r="P823" s="32"/>
      <c r="S823" s="32"/>
    </row>
    <row r="824">
      <c r="D824" s="29"/>
      <c r="G824" s="30"/>
      <c r="H824" s="30"/>
      <c r="I824" s="31"/>
      <c r="J824" s="31"/>
      <c r="L824" s="30"/>
      <c r="M824" s="30"/>
      <c r="O824" s="32"/>
      <c r="P824" s="32"/>
      <c r="S824" s="32"/>
    </row>
    <row r="825">
      <c r="D825" s="29"/>
      <c r="G825" s="30"/>
      <c r="H825" s="30"/>
      <c r="I825" s="31"/>
      <c r="J825" s="31"/>
      <c r="L825" s="30"/>
      <c r="M825" s="30"/>
      <c r="O825" s="32"/>
      <c r="P825" s="32"/>
      <c r="S825" s="32"/>
    </row>
    <row r="826">
      <c r="D826" s="29"/>
      <c r="G826" s="30"/>
      <c r="H826" s="30"/>
      <c r="I826" s="31"/>
      <c r="J826" s="31"/>
      <c r="L826" s="30"/>
      <c r="M826" s="30"/>
      <c r="O826" s="32"/>
      <c r="P826" s="32"/>
      <c r="S826" s="32"/>
    </row>
    <row r="827">
      <c r="D827" s="29"/>
      <c r="G827" s="30"/>
      <c r="H827" s="30"/>
      <c r="I827" s="31"/>
      <c r="J827" s="31"/>
      <c r="L827" s="30"/>
      <c r="M827" s="30"/>
      <c r="O827" s="32"/>
      <c r="P827" s="32"/>
      <c r="S827" s="32"/>
    </row>
    <row r="828">
      <c r="D828" s="29"/>
      <c r="G828" s="30"/>
      <c r="H828" s="30"/>
      <c r="I828" s="31"/>
      <c r="J828" s="31"/>
      <c r="L828" s="30"/>
      <c r="M828" s="30"/>
      <c r="O828" s="32"/>
      <c r="P828" s="32"/>
      <c r="S828" s="32"/>
    </row>
    <row r="829">
      <c r="D829" s="29"/>
      <c r="G829" s="30"/>
      <c r="H829" s="30"/>
      <c r="I829" s="31"/>
      <c r="J829" s="31"/>
      <c r="L829" s="30"/>
      <c r="M829" s="30"/>
      <c r="O829" s="32"/>
      <c r="P829" s="32"/>
      <c r="S829" s="32"/>
    </row>
    <row r="830">
      <c r="D830" s="29"/>
      <c r="G830" s="30"/>
      <c r="H830" s="30"/>
      <c r="I830" s="31"/>
      <c r="J830" s="31"/>
      <c r="L830" s="30"/>
      <c r="M830" s="30"/>
      <c r="O830" s="32"/>
      <c r="P830" s="32"/>
      <c r="S830" s="32"/>
    </row>
    <row r="831">
      <c r="D831" s="29"/>
      <c r="G831" s="30"/>
      <c r="H831" s="30"/>
      <c r="I831" s="31"/>
      <c r="J831" s="31"/>
      <c r="L831" s="30"/>
      <c r="M831" s="30"/>
      <c r="O831" s="32"/>
      <c r="P831" s="32"/>
      <c r="S831" s="32"/>
    </row>
    <row r="832">
      <c r="D832" s="29"/>
      <c r="G832" s="30"/>
      <c r="H832" s="30"/>
      <c r="I832" s="31"/>
      <c r="J832" s="31"/>
      <c r="L832" s="30"/>
      <c r="M832" s="30"/>
      <c r="O832" s="32"/>
      <c r="P832" s="32"/>
      <c r="S832" s="32"/>
    </row>
    <row r="833">
      <c r="D833" s="29"/>
      <c r="G833" s="30"/>
      <c r="H833" s="30"/>
      <c r="I833" s="31"/>
      <c r="J833" s="31"/>
      <c r="L833" s="30"/>
      <c r="M833" s="30"/>
      <c r="O833" s="32"/>
      <c r="P833" s="32"/>
      <c r="S833" s="32"/>
    </row>
    <row r="834">
      <c r="D834" s="29"/>
      <c r="G834" s="30"/>
      <c r="H834" s="30"/>
      <c r="I834" s="31"/>
      <c r="J834" s="31"/>
      <c r="L834" s="30"/>
      <c r="M834" s="30"/>
      <c r="O834" s="32"/>
      <c r="P834" s="32"/>
      <c r="S834" s="32"/>
    </row>
    <row r="835">
      <c r="D835" s="29"/>
      <c r="G835" s="30"/>
      <c r="H835" s="30"/>
      <c r="I835" s="31"/>
      <c r="J835" s="31"/>
      <c r="L835" s="30"/>
      <c r="M835" s="30"/>
      <c r="O835" s="32"/>
      <c r="P835" s="32"/>
      <c r="S835" s="32"/>
    </row>
    <row r="836">
      <c r="D836" s="29"/>
      <c r="G836" s="30"/>
      <c r="H836" s="30"/>
      <c r="I836" s="31"/>
      <c r="J836" s="31"/>
      <c r="L836" s="30"/>
      <c r="M836" s="30"/>
      <c r="O836" s="32"/>
      <c r="P836" s="32"/>
      <c r="S836" s="32"/>
    </row>
    <row r="837">
      <c r="D837" s="29"/>
      <c r="G837" s="30"/>
      <c r="H837" s="30"/>
      <c r="I837" s="31"/>
      <c r="J837" s="31"/>
      <c r="L837" s="30"/>
      <c r="M837" s="30"/>
      <c r="O837" s="32"/>
      <c r="P837" s="32"/>
      <c r="S837" s="32"/>
    </row>
    <row r="838">
      <c r="D838" s="29"/>
      <c r="G838" s="30"/>
      <c r="H838" s="30"/>
      <c r="I838" s="31"/>
      <c r="J838" s="31"/>
      <c r="L838" s="30"/>
      <c r="M838" s="30"/>
      <c r="O838" s="32"/>
      <c r="P838" s="32"/>
      <c r="S838" s="32"/>
    </row>
    <row r="839">
      <c r="D839" s="29"/>
      <c r="G839" s="30"/>
      <c r="H839" s="30"/>
      <c r="I839" s="31"/>
      <c r="J839" s="31"/>
      <c r="L839" s="30"/>
      <c r="M839" s="30"/>
      <c r="O839" s="32"/>
      <c r="P839" s="32"/>
      <c r="S839" s="32"/>
    </row>
    <row r="840">
      <c r="D840" s="29"/>
      <c r="G840" s="30"/>
      <c r="H840" s="30"/>
      <c r="I840" s="31"/>
      <c r="J840" s="31"/>
      <c r="L840" s="30"/>
      <c r="M840" s="30"/>
      <c r="O840" s="32"/>
      <c r="P840" s="32"/>
      <c r="S840" s="32"/>
    </row>
    <row r="841">
      <c r="D841" s="29"/>
      <c r="G841" s="30"/>
      <c r="H841" s="30"/>
      <c r="I841" s="31"/>
      <c r="J841" s="31"/>
      <c r="L841" s="30"/>
      <c r="M841" s="30"/>
      <c r="O841" s="32"/>
      <c r="P841" s="32"/>
      <c r="S841" s="32"/>
    </row>
    <row r="842">
      <c r="D842" s="29"/>
      <c r="G842" s="30"/>
      <c r="H842" s="30"/>
      <c r="I842" s="31"/>
      <c r="J842" s="31"/>
      <c r="L842" s="30"/>
      <c r="M842" s="30"/>
      <c r="O842" s="32"/>
      <c r="P842" s="32"/>
      <c r="S842" s="32"/>
    </row>
    <row r="843">
      <c r="D843" s="29"/>
      <c r="G843" s="30"/>
      <c r="H843" s="30"/>
      <c r="I843" s="31"/>
      <c r="J843" s="31"/>
      <c r="L843" s="30"/>
      <c r="M843" s="30"/>
      <c r="O843" s="32"/>
      <c r="P843" s="32"/>
      <c r="S843" s="32"/>
    </row>
    <row r="844">
      <c r="D844" s="29"/>
      <c r="G844" s="30"/>
      <c r="H844" s="30"/>
      <c r="I844" s="31"/>
      <c r="J844" s="31"/>
      <c r="L844" s="30"/>
      <c r="M844" s="30"/>
      <c r="O844" s="32"/>
      <c r="P844" s="32"/>
      <c r="S844" s="32"/>
    </row>
    <row r="845">
      <c r="D845" s="29"/>
      <c r="G845" s="30"/>
      <c r="H845" s="30"/>
      <c r="I845" s="31"/>
      <c r="J845" s="31"/>
      <c r="L845" s="30"/>
      <c r="M845" s="30"/>
      <c r="O845" s="32"/>
      <c r="P845" s="32"/>
      <c r="S845" s="32"/>
    </row>
    <row r="846">
      <c r="D846" s="29"/>
      <c r="G846" s="30"/>
      <c r="H846" s="30"/>
      <c r="I846" s="31"/>
      <c r="J846" s="31"/>
      <c r="L846" s="30"/>
      <c r="M846" s="30"/>
      <c r="O846" s="32"/>
      <c r="P846" s="32"/>
      <c r="S846" s="32"/>
    </row>
    <row r="847">
      <c r="D847" s="29"/>
      <c r="G847" s="30"/>
      <c r="H847" s="30"/>
      <c r="I847" s="31"/>
      <c r="J847" s="31"/>
      <c r="L847" s="30"/>
      <c r="M847" s="30"/>
      <c r="O847" s="32"/>
      <c r="P847" s="32"/>
      <c r="S847" s="32"/>
    </row>
    <row r="848">
      <c r="D848" s="29"/>
      <c r="G848" s="30"/>
      <c r="H848" s="30"/>
      <c r="I848" s="31"/>
      <c r="J848" s="31"/>
      <c r="L848" s="30"/>
      <c r="M848" s="30"/>
      <c r="O848" s="32"/>
      <c r="P848" s="32"/>
      <c r="S848" s="32"/>
    </row>
    <row r="849">
      <c r="D849" s="29"/>
      <c r="G849" s="30"/>
      <c r="H849" s="30"/>
      <c r="I849" s="31"/>
      <c r="J849" s="31"/>
      <c r="L849" s="30"/>
      <c r="M849" s="30"/>
      <c r="O849" s="32"/>
      <c r="P849" s="32"/>
      <c r="S849" s="32"/>
    </row>
    <row r="850">
      <c r="D850" s="29"/>
      <c r="G850" s="30"/>
      <c r="H850" s="30"/>
      <c r="I850" s="31"/>
      <c r="J850" s="31"/>
      <c r="L850" s="30"/>
      <c r="M850" s="30"/>
      <c r="O850" s="32"/>
      <c r="P850" s="32"/>
      <c r="S850" s="32"/>
    </row>
    <row r="851">
      <c r="D851" s="29"/>
      <c r="G851" s="30"/>
      <c r="H851" s="30"/>
      <c r="I851" s="31"/>
      <c r="J851" s="31"/>
      <c r="L851" s="30"/>
      <c r="M851" s="30"/>
      <c r="O851" s="32"/>
      <c r="P851" s="32"/>
      <c r="S851" s="32"/>
    </row>
    <row r="852">
      <c r="D852" s="29"/>
      <c r="G852" s="30"/>
      <c r="H852" s="30"/>
      <c r="I852" s="31"/>
      <c r="J852" s="31"/>
      <c r="L852" s="30"/>
      <c r="M852" s="30"/>
      <c r="O852" s="32"/>
      <c r="P852" s="32"/>
      <c r="S852" s="32"/>
    </row>
    <row r="853">
      <c r="D853" s="29"/>
      <c r="G853" s="30"/>
      <c r="H853" s="30"/>
      <c r="I853" s="31"/>
      <c r="J853" s="31"/>
      <c r="L853" s="30"/>
      <c r="M853" s="30"/>
      <c r="O853" s="32"/>
      <c r="P853" s="32"/>
      <c r="S853" s="32"/>
    </row>
    <row r="854">
      <c r="D854" s="29"/>
      <c r="G854" s="30"/>
      <c r="H854" s="30"/>
      <c r="I854" s="31"/>
      <c r="J854" s="31"/>
      <c r="L854" s="30"/>
      <c r="M854" s="30"/>
      <c r="O854" s="32"/>
      <c r="P854" s="32"/>
      <c r="S854" s="32"/>
    </row>
    <row r="855">
      <c r="D855" s="29"/>
      <c r="G855" s="30"/>
      <c r="H855" s="30"/>
      <c r="I855" s="31"/>
      <c r="J855" s="31"/>
      <c r="L855" s="30"/>
      <c r="M855" s="30"/>
      <c r="O855" s="32"/>
      <c r="P855" s="32"/>
      <c r="S855" s="32"/>
    </row>
    <row r="856">
      <c r="D856" s="29"/>
      <c r="G856" s="30"/>
      <c r="H856" s="30"/>
      <c r="I856" s="31"/>
      <c r="J856" s="31"/>
      <c r="L856" s="30"/>
      <c r="M856" s="30"/>
      <c r="O856" s="32"/>
      <c r="P856" s="32"/>
      <c r="S856" s="32"/>
    </row>
    <row r="857">
      <c r="D857" s="29"/>
      <c r="G857" s="30"/>
      <c r="H857" s="30"/>
      <c r="I857" s="31"/>
      <c r="J857" s="31"/>
      <c r="L857" s="30"/>
      <c r="M857" s="30"/>
      <c r="O857" s="32"/>
      <c r="P857" s="32"/>
      <c r="S857" s="32"/>
    </row>
    <row r="858">
      <c r="D858" s="29"/>
      <c r="G858" s="30"/>
      <c r="H858" s="30"/>
      <c r="I858" s="31"/>
      <c r="J858" s="31"/>
      <c r="L858" s="30"/>
      <c r="M858" s="30"/>
      <c r="O858" s="32"/>
      <c r="P858" s="32"/>
      <c r="S858" s="32"/>
    </row>
    <row r="859">
      <c r="D859" s="29"/>
      <c r="G859" s="30"/>
      <c r="H859" s="30"/>
      <c r="I859" s="31"/>
      <c r="J859" s="31"/>
      <c r="L859" s="30"/>
      <c r="M859" s="30"/>
      <c r="O859" s="32"/>
      <c r="P859" s="32"/>
      <c r="S859" s="32"/>
    </row>
    <row r="860">
      <c r="D860" s="29"/>
      <c r="G860" s="30"/>
      <c r="H860" s="30"/>
      <c r="I860" s="31"/>
      <c r="J860" s="31"/>
      <c r="L860" s="30"/>
      <c r="M860" s="30"/>
      <c r="O860" s="32"/>
      <c r="P860" s="32"/>
      <c r="S860" s="32"/>
    </row>
    <row r="861">
      <c r="D861" s="29"/>
      <c r="G861" s="30"/>
      <c r="H861" s="30"/>
      <c r="I861" s="31"/>
      <c r="J861" s="31"/>
      <c r="L861" s="30"/>
      <c r="M861" s="30"/>
      <c r="O861" s="32"/>
      <c r="P861" s="32"/>
      <c r="S861" s="32"/>
    </row>
    <row r="862">
      <c r="D862" s="29"/>
      <c r="G862" s="30"/>
      <c r="H862" s="30"/>
      <c r="I862" s="31"/>
      <c r="J862" s="31"/>
      <c r="L862" s="30"/>
      <c r="M862" s="30"/>
      <c r="O862" s="32"/>
      <c r="P862" s="32"/>
      <c r="S862" s="32"/>
    </row>
    <row r="863">
      <c r="D863" s="29"/>
      <c r="G863" s="30"/>
      <c r="H863" s="30"/>
      <c r="I863" s="31"/>
      <c r="J863" s="31"/>
      <c r="L863" s="30"/>
      <c r="M863" s="30"/>
      <c r="O863" s="32"/>
      <c r="P863" s="32"/>
      <c r="S863" s="32"/>
    </row>
    <row r="864">
      <c r="D864" s="29"/>
      <c r="G864" s="30"/>
      <c r="H864" s="30"/>
      <c r="I864" s="31"/>
      <c r="J864" s="31"/>
      <c r="L864" s="30"/>
      <c r="M864" s="30"/>
      <c r="O864" s="32"/>
      <c r="P864" s="32"/>
      <c r="S864" s="32"/>
    </row>
    <row r="865">
      <c r="D865" s="29"/>
      <c r="G865" s="30"/>
      <c r="H865" s="30"/>
      <c r="I865" s="31"/>
      <c r="J865" s="31"/>
      <c r="L865" s="30"/>
      <c r="M865" s="30"/>
      <c r="O865" s="32"/>
      <c r="P865" s="32"/>
      <c r="S865" s="32"/>
    </row>
    <row r="866">
      <c r="D866" s="29"/>
      <c r="G866" s="30"/>
      <c r="H866" s="30"/>
      <c r="I866" s="31"/>
      <c r="J866" s="31"/>
      <c r="L866" s="30"/>
      <c r="M866" s="30"/>
      <c r="O866" s="32"/>
      <c r="P866" s="32"/>
      <c r="S866" s="32"/>
    </row>
    <row r="867">
      <c r="D867" s="29"/>
      <c r="G867" s="30"/>
      <c r="H867" s="30"/>
      <c r="I867" s="31"/>
      <c r="J867" s="31"/>
      <c r="L867" s="30"/>
      <c r="M867" s="30"/>
      <c r="O867" s="32"/>
      <c r="P867" s="32"/>
      <c r="S867" s="32"/>
    </row>
    <row r="868">
      <c r="D868" s="29"/>
      <c r="G868" s="30"/>
      <c r="H868" s="30"/>
      <c r="I868" s="31"/>
      <c r="J868" s="31"/>
      <c r="L868" s="30"/>
      <c r="M868" s="30"/>
      <c r="O868" s="32"/>
      <c r="P868" s="32"/>
      <c r="S868" s="32"/>
    </row>
    <row r="869">
      <c r="D869" s="29"/>
      <c r="G869" s="30"/>
      <c r="H869" s="30"/>
      <c r="I869" s="31"/>
      <c r="J869" s="31"/>
      <c r="L869" s="30"/>
      <c r="M869" s="30"/>
      <c r="O869" s="32"/>
      <c r="P869" s="32"/>
      <c r="S869" s="32"/>
    </row>
    <row r="870">
      <c r="D870" s="29"/>
      <c r="G870" s="30"/>
      <c r="H870" s="30"/>
      <c r="I870" s="31"/>
      <c r="J870" s="31"/>
      <c r="L870" s="30"/>
      <c r="M870" s="30"/>
      <c r="O870" s="32"/>
      <c r="P870" s="32"/>
      <c r="S870" s="32"/>
    </row>
    <row r="871">
      <c r="D871" s="29"/>
      <c r="G871" s="30"/>
      <c r="H871" s="30"/>
      <c r="I871" s="31"/>
      <c r="J871" s="31"/>
      <c r="L871" s="30"/>
      <c r="M871" s="30"/>
      <c r="O871" s="32"/>
      <c r="P871" s="32"/>
      <c r="S871" s="32"/>
    </row>
    <row r="872">
      <c r="D872" s="29"/>
      <c r="G872" s="30"/>
      <c r="H872" s="30"/>
      <c r="I872" s="31"/>
      <c r="J872" s="31"/>
      <c r="L872" s="30"/>
      <c r="M872" s="30"/>
      <c r="O872" s="32"/>
      <c r="P872" s="32"/>
      <c r="S872" s="32"/>
    </row>
    <row r="873">
      <c r="D873" s="29"/>
      <c r="G873" s="30"/>
      <c r="H873" s="30"/>
      <c r="I873" s="31"/>
      <c r="J873" s="31"/>
      <c r="L873" s="30"/>
      <c r="M873" s="30"/>
      <c r="O873" s="32"/>
      <c r="P873" s="32"/>
      <c r="S873" s="32"/>
    </row>
    <row r="874">
      <c r="D874" s="29"/>
      <c r="G874" s="30"/>
      <c r="H874" s="30"/>
      <c r="I874" s="31"/>
      <c r="J874" s="31"/>
      <c r="L874" s="30"/>
      <c r="M874" s="30"/>
      <c r="O874" s="32"/>
      <c r="P874" s="32"/>
      <c r="S874" s="32"/>
    </row>
    <row r="875">
      <c r="D875" s="29"/>
      <c r="G875" s="30"/>
      <c r="H875" s="30"/>
      <c r="I875" s="31"/>
      <c r="J875" s="31"/>
      <c r="L875" s="30"/>
      <c r="M875" s="30"/>
      <c r="O875" s="32"/>
      <c r="P875" s="32"/>
      <c r="S875" s="32"/>
    </row>
    <row r="876">
      <c r="D876" s="29"/>
      <c r="G876" s="30"/>
      <c r="H876" s="30"/>
      <c r="I876" s="31"/>
      <c r="J876" s="31"/>
      <c r="L876" s="30"/>
      <c r="M876" s="30"/>
      <c r="O876" s="32"/>
      <c r="P876" s="32"/>
      <c r="S876" s="32"/>
    </row>
    <row r="877">
      <c r="D877" s="29"/>
      <c r="G877" s="30"/>
      <c r="H877" s="30"/>
      <c r="I877" s="31"/>
      <c r="J877" s="31"/>
      <c r="L877" s="30"/>
      <c r="M877" s="30"/>
      <c r="O877" s="32"/>
      <c r="P877" s="32"/>
      <c r="S877" s="32"/>
    </row>
    <row r="878">
      <c r="D878" s="29"/>
      <c r="G878" s="30"/>
      <c r="H878" s="30"/>
      <c r="I878" s="31"/>
      <c r="J878" s="31"/>
      <c r="L878" s="30"/>
      <c r="M878" s="30"/>
      <c r="O878" s="32"/>
      <c r="P878" s="32"/>
      <c r="S878" s="32"/>
    </row>
    <row r="879">
      <c r="D879" s="29"/>
      <c r="G879" s="30"/>
      <c r="H879" s="30"/>
      <c r="I879" s="31"/>
      <c r="J879" s="31"/>
      <c r="L879" s="30"/>
      <c r="M879" s="30"/>
      <c r="O879" s="32"/>
      <c r="P879" s="32"/>
      <c r="S879" s="32"/>
    </row>
    <row r="880">
      <c r="D880" s="29"/>
      <c r="G880" s="30"/>
      <c r="H880" s="30"/>
      <c r="I880" s="31"/>
      <c r="J880" s="31"/>
      <c r="L880" s="30"/>
      <c r="M880" s="30"/>
      <c r="O880" s="32"/>
      <c r="P880" s="32"/>
      <c r="S880" s="32"/>
    </row>
    <row r="881">
      <c r="D881" s="29"/>
      <c r="G881" s="30"/>
      <c r="H881" s="30"/>
      <c r="I881" s="31"/>
      <c r="J881" s="31"/>
      <c r="L881" s="30"/>
      <c r="M881" s="30"/>
      <c r="O881" s="32"/>
      <c r="P881" s="32"/>
      <c r="S881" s="32"/>
    </row>
    <row r="882">
      <c r="D882" s="29"/>
      <c r="G882" s="30"/>
      <c r="H882" s="30"/>
      <c r="I882" s="31"/>
      <c r="J882" s="31"/>
      <c r="L882" s="30"/>
      <c r="M882" s="30"/>
      <c r="O882" s="32"/>
      <c r="P882" s="32"/>
      <c r="S882" s="32"/>
    </row>
    <row r="883">
      <c r="D883" s="29"/>
      <c r="G883" s="30"/>
      <c r="H883" s="30"/>
      <c r="I883" s="31"/>
      <c r="J883" s="31"/>
      <c r="L883" s="30"/>
      <c r="M883" s="30"/>
      <c r="O883" s="32"/>
      <c r="P883" s="32"/>
      <c r="S883" s="32"/>
    </row>
    <row r="884">
      <c r="D884" s="29"/>
      <c r="G884" s="30"/>
      <c r="H884" s="30"/>
      <c r="I884" s="31"/>
      <c r="J884" s="31"/>
      <c r="L884" s="30"/>
      <c r="M884" s="30"/>
      <c r="O884" s="32"/>
      <c r="P884" s="32"/>
      <c r="S884" s="32"/>
    </row>
    <row r="885">
      <c r="D885" s="29"/>
      <c r="G885" s="30"/>
      <c r="H885" s="30"/>
      <c r="I885" s="31"/>
      <c r="J885" s="31"/>
      <c r="L885" s="30"/>
      <c r="M885" s="30"/>
      <c r="O885" s="32"/>
      <c r="P885" s="32"/>
      <c r="S885" s="32"/>
    </row>
    <row r="886">
      <c r="D886" s="29"/>
      <c r="G886" s="30"/>
      <c r="H886" s="30"/>
      <c r="I886" s="31"/>
      <c r="J886" s="31"/>
      <c r="L886" s="30"/>
      <c r="M886" s="30"/>
      <c r="O886" s="32"/>
      <c r="P886" s="32"/>
      <c r="S886" s="32"/>
    </row>
    <row r="887">
      <c r="D887" s="29"/>
      <c r="G887" s="30"/>
      <c r="H887" s="30"/>
      <c r="I887" s="31"/>
      <c r="J887" s="31"/>
      <c r="L887" s="30"/>
      <c r="M887" s="30"/>
      <c r="O887" s="32"/>
      <c r="P887" s="32"/>
      <c r="S887" s="32"/>
    </row>
    <row r="888">
      <c r="D888" s="29"/>
      <c r="G888" s="30"/>
      <c r="H888" s="30"/>
      <c r="I888" s="31"/>
      <c r="J888" s="31"/>
      <c r="L888" s="30"/>
      <c r="M888" s="30"/>
      <c r="O888" s="32"/>
      <c r="P888" s="32"/>
      <c r="S888" s="32"/>
    </row>
    <row r="889">
      <c r="D889" s="29"/>
      <c r="G889" s="30"/>
      <c r="H889" s="30"/>
      <c r="I889" s="31"/>
      <c r="J889" s="31"/>
      <c r="L889" s="30"/>
      <c r="M889" s="30"/>
      <c r="O889" s="32"/>
      <c r="P889" s="32"/>
      <c r="S889" s="32"/>
    </row>
    <row r="890">
      <c r="D890" s="29"/>
      <c r="G890" s="30"/>
      <c r="H890" s="30"/>
      <c r="I890" s="31"/>
      <c r="J890" s="31"/>
      <c r="L890" s="30"/>
      <c r="M890" s="30"/>
      <c r="O890" s="32"/>
      <c r="P890" s="32"/>
      <c r="S890" s="32"/>
    </row>
    <row r="891">
      <c r="D891" s="29"/>
      <c r="G891" s="30"/>
      <c r="H891" s="30"/>
      <c r="I891" s="31"/>
      <c r="J891" s="31"/>
      <c r="L891" s="30"/>
      <c r="M891" s="30"/>
      <c r="O891" s="32"/>
      <c r="P891" s="32"/>
      <c r="S891" s="32"/>
    </row>
    <row r="892">
      <c r="D892" s="29"/>
      <c r="G892" s="30"/>
      <c r="H892" s="30"/>
      <c r="I892" s="31"/>
      <c r="J892" s="31"/>
      <c r="L892" s="30"/>
      <c r="M892" s="30"/>
      <c r="O892" s="32"/>
      <c r="P892" s="32"/>
      <c r="S892" s="32"/>
    </row>
    <row r="893">
      <c r="D893" s="29"/>
      <c r="G893" s="30"/>
      <c r="H893" s="30"/>
      <c r="I893" s="31"/>
      <c r="J893" s="31"/>
      <c r="L893" s="30"/>
      <c r="M893" s="30"/>
      <c r="O893" s="32"/>
      <c r="P893" s="32"/>
      <c r="S893" s="32"/>
    </row>
    <row r="894">
      <c r="D894" s="29"/>
      <c r="G894" s="30"/>
      <c r="H894" s="30"/>
      <c r="I894" s="31"/>
      <c r="J894" s="31"/>
      <c r="L894" s="30"/>
      <c r="M894" s="30"/>
      <c r="O894" s="32"/>
      <c r="P894" s="32"/>
      <c r="S894" s="32"/>
    </row>
    <row r="895">
      <c r="D895" s="29"/>
      <c r="G895" s="30"/>
      <c r="H895" s="30"/>
      <c r="I895" s="31"/>
      <c r="J895" s="31"/>
      <c r="L895" s="30"/>
      <c r="M895" s="30"/>
      <c r="O895" s="32"/>
      <c r="P895" s="32"/>
      <c r="S895" s="32"/>
    </row>
    <row r="896">
      <c r="D896" s="29"/>
      <c r="G896" s="30"/>
      <c r="H896" s="30"/>
      <c r="I896" s="31"/>
      <c r="J896" s="31"/>
      <c r="L896" s="30"/>
      <c r="M896" s="30"/>
      <c r="O896" s="32"/>
      <c r="P896" s="32"/>
      <c r="S896" s="32"/>
    </row>
    <row r="897">
      <c r="D897" s="29"/>
      <c r="G897" s="30"/>
      <c r="H897" s="30"/>
      <c r="I897" s="31"/>
      <c r="J897" s="31"/>
      <c r="L897" s="30"/>
      <c r="M897" s="30"/>
      <c r="O897" s="32"/>
      <c r="P897" s="32"/>
      <c r="S897" s="32"/>
    </row>
    <row r="898">
      <c r="D898" s="29"/>
      <c r="G898" s="30"/>
      <c r="H898" s="30"/>
      <c r="I898" s="31"/>
      <c r="J898" s="31"/>
      <c r="L898" s="30"/>
      <c r="M898" s="30"/>
      <c r="O898" s="32"/>
      <c r="P898" s="32"/>
      <c r="S898" s="32"/>
    </row>
    <row r="899">
      <c r="D899" s="29"/>
      <c r="G899" s="30"/>
      <c r="H899" s="30"/>
      <c r="I899" s="31"/>
      <c r="J899" s="31"/>
      <c r="L899" s="30"/>
      <c r="M899" s="30"/>
      <c r="O899" s="32"/>
      <c r="P899" s="32"/>
      <c r="S899" s="32"/>
    </row>
    <row r="900">
      <c r="D900" s="29"/>
      <c r="G900" s="30"/>
      <c r="H900" s="30"/>
      <c r="I900" s="31"/>
      <c r="J900" s="31"/>
      <c r="L900" s="30"/>
      <c r="M900" s="30"/>
      <c r="O900" s="32"/>
      <c r="P900" s="32"/>
      <c r="S900" s="32"/>
    </row>
    <row r="901">
      <c r="D901" s="29"/>
      <c r="G901" s="30"/>
      <c r="H901" s="30"/>
      <c r="I901" s="31"/>
      <c r="J901" s="31"/>
      <c r="L901" s="30"/>
      <c r="M901" s="30"/>
      <c r="O901" s="32"/>
      <c r="P901" s="32"/>
      <c r="S901" s="32"/>
    </row>
    <row r="902">
      <c r="D902" s="29"/>
      <c r="G902" s="30"/>
      <c r="H902" s="30"/>
      <c r="I902" s="31"/>
      <c r="J902" s="31"/>
      <c r="L902" s="30"/>
      <c r="M902" s="30"/>
      <c r="O902" s="32"/>
      <c r="P902" s="32"/>
      <c r="S902" s="32"/>
    </row>
    <row r="903">
      <c r="D903" s="29"/>
      <c r="G903" s="30"/>
      <c r="H903" s="30"/>
      <c r="I903" s="31"/>
      <c r="J903" s="31"/>
      <c r="L903" s="30"/>
      <c r="M903" s="30"/>
      <c r="O903" s="32"/>
      <c r="P903" s="32"/>
      <c r="S903" s="32"/>
    </row>
    <row r="904">
      <c r="D904" s="29"/>
      <c r="G904" s="30"/>
      <c r="H904" s="30"/>
      <c r="I904" s="31"/>
      <c r="J904" s="31"/>
      <c r="L904" s="30"/>
      <c r="M904" s="30"/>
      <c r="O904" s="32"/>
      <c r="P904" s="32"/>
      <c r="S904" s="32"/>
    </row>
    <row r="905">
      <c r="D905" s="29"/>
      <c r="G905" s="30"/>
      <c r="H905" s="30"/>
      <c r="I905" s="31"/>
      <c r="J905" s="31"/>
      <c r="L905" s="30"/>
      <c r="M905" s="30"/>
      <c r="O905" s="32"/>
      <c r="P905" s="32"/>
      <c r="S905" s="32"/>
    </row>
    <row r="906">
      <c r="D906" s="29"/>
      <c r="G906" s="30"/>
      <c r="H906" s="30"/>
      <c r="I906" s="31"/>
      <c r="J906" s="31"/>
      <c r="L906" s="30"/>
      <c r="M906" s="30"/>
      <c r="O906" s="32"/>
      <c r="P906" s="32"/>
      <c r="S906" s="32"/>
    </row>
    <row r="907">
      <c r="D907" s="29"/>
      <c r="G907" s="30"/>
      <c r="H907" s="30"/>
      <c r="I907" s="31"/>
      <c r="J907" s="31"/>
      <c r="L907" s="30"/>
      <c r="M907" s="30"/>
      <c r="O907" s="32"/>
      <c r="P907" s="32"/>
      <c r="S907" s="32"/>
    </row>
    <row r="908">
      <c r="D908" s="29"/>
      <c r="G908" s="30"/>
      <c r="H908" s="30"/>
      <c r="I908" s="31"/>
      <c r="J908" s="31"/>
      <c r="L908" s="30"/>
      <c r="M908" s="30"/>
      <c r="O908" s="32"/>
      <c r="P908" s="32"/>
      <c r="S908" s="32"/>
    </row>
    <row r="909">
      <c r="D909" s="29"/>
      <c r="G909" s="30"/>
      <c r="H909" s="30"/>
      <c r="I909" s="31"/>
      <c r="J909" s="31"/>
      <c r="L909" s="30"/>
      <c r="M909" s="30"/>
      <c r="O909" s="32"/>
      <c r="P909" s="32"/>
      <c r="S909" s="32"/>
    </row>
    <row r="910">
      <c r="D910" s="29"/>
      <c r="G910" s="30"/>
      <c r="H910" s="30"/>
      <c r="I910" s="31"/>
      <c r="J910" s="31"/>
      <c r="L910" s="30"/>
      <c r="M910" s="30"/>
      <c r="O910" s="32"/>
      <c r="P910" s="32"/>
      <c r="S910" s="32"/>
    </row>
    <row r="911">
      <c r="D911" s="29"/>
      <c r="G911" s="30"/>
      <c r="H911" s="30"/>
      <c r="I911" s="31"/>
      <c r="J911" s="31"/>
      <c r="L911" s="30"/>
      <c r="M911" s="30"/>
      <c r="O911" s="32"/>
      <c r="P911" s="32"/>
      <c r="S911" s="32"/>
    </row>
    <row r="912">
      <c r="D912" s="29"/>
      <c r="G912" s="30"/>
      <c r="H912" s="30"/>
      <c r="I912" s="31"/>
      <c r="J912" s="31"/>
      <c r="L912" s="30"/>
      <c r="M912" s="30"/>
      <c r="O912" s="32"/>
      <c r="P912" s="32"/>
      <c r="S912" s="32"/>
    </row>
    <row r="913">
      <c r="D913" s="29"/>
      <c r="G913" s="30"/>
      <c r="H913" s="30"/>
      <c r="I913" s="31"/>
      <c r="J913" s="31"/>
      <c r="L913" s="30"/>
      <c r="M913" s="30"/>
      <c r="O913" s="32"/>
      <c r="P913" s="32"/>
      <c r="S913" s="32"/>
    </row>
    <row r="914">
      <c r="D914" s="29"/>
      <c r="G914" s="30"/>
      <c r="H914" s="30"/>
      <c r="I914" s="31"/>
      <c r="J914" s="31"/>
      <c r="L914" s="30"/>
      <c r="M914" s="30"/>
      <c r="O914" s="32"/>
      <c r="P914" s="32"/>
      <c r="S914" s="32"/>
    </row>
    <row r="915">
      <c r="D915" s="29"/>
      <c r="G915" s="30"/>
      <c r="H915" s="30"/>
      <c r="I915" s="31"/>
      <c r="J915" s="31"/>
      <c r="L915" s="30"/>
      <c r="M915" s="30"/>
      <c r="O915" s="32"/>
      <c r="P915" s="32"/>
      <c r="S915" s="32"/>
    </row>
    <row r="916">
      <c r="D916" s="29"/>
      <c r="G916" s="30"/>
      <c r="H916" s="30"/>
      <c r="I916" s="31"/>
      <c r="J916" s="31"/>
      <c r="L916" s="30"/>
      <c r="M916" s="30"/>
      <c r="O916" s="32"/>
      <c r="P916" s="32"/>
      <c r="S916" s="32"/>
    </row>
    <row r="917">
      <c r="D917" s="29"/>
      <c r="G917" s="30"/>
      <c r="H917" s="30"/>
      <c r="I917" s="31"/>
      <c r="J917" s="31"/>
      <c r="L917" s="30"/>
      <c r="M917" s="30"/>
      <c r="O917" s="32"/>
      <c r="P917" s="32"/>
      <c r="S917" s="32"/>
    </row>
    <row r="918">
      <c r="D918" s="29"/>
      <c r="G918" s="30"/>
      <c r="H918" s="30"/>
      <c r="I918" s="31"/>
      <c r="J918" s="31"/>
      <c r="L918" s="30"/>
      <c r="M918" s="30"/>
      <c r="O918" s="32"/>
      <c r="P918" s="32"/>
      <c r="S918" s="32"/>
    </row>
    <row r="919">
      <c r="D919" s="29"/>
      <c r="G919" s="30"/>
      <c r="H919" s="30"/>
      <c r="I919" s="31"/>
      <c r="J919" s="31"/>
      <c r="L919" s="30"/>
      <c r="M919" s="30"/>
      <c r="O919" s="32"/>
      <c r="P919" s="32"/>
      <c r="S919" s="32"/>
    </row>
    <row r="920">
      <c r="D920" s="29"/>
      <c r="G920" s="30"/>
      <c r="H920" s="30"/>
      <c r="I920" s="31"/>
      <c r="J920" s="31"/>
      <c r="L920" s="30"/>
      <c r="M920" s="30"/>
      <c r="O920" s="32"/>
      <c r="P920" s="32"/>
      <c r="S920" s="32"/>
    </row>
    <row r="921">
      <c r="D921" s="29"/>
      <c r="G921" s="30"/>
      <c r="H921" s="30"/>
      <c r="I921" s="31"/>
      <c r="J921" s="31"/>
      <c r="L921" s="30"/>
      <c r="M921" s="30"/>
      <c r="O921" s="32"/>
      <c r="P921" s="32"/>
      <c r="S921" s="32"/>
    </row>
    <row r="922">
      <c r="D922" s="29"/>
      <c r="G922" s="30"/>
      <c r="H922" s="30"/>
      <c r="I922" s="31"/>
      <c r="J922" s="31"/>
      <c r="L922" s="30"/>
      <c r="M922" s="30"/>
      <c r="O922" s="32"/>
      <c r="P922" s="32"/>
      <c r="S922" s="32"/>
    </row>
    <row r="923">
      <c r="D923" s="29"/>
      <c r="G923" s="30"/>
      <c r="H923" s="30"/>
      <c r="I923" s="31"/>
      <c r="J923" s="31"/>
      <c r="L923" s="30"/>
      <c r="M923" s="30"/>
      <c r="O923" s="32"/>
      <c r="P923" s="32"/>
      <c r="S923" s="32"/>
    </row>
    <row r="924">
      <c r="D924" s="29"/>
      <c r="G924" s="30"/>
      <c r="H924" s="30"/>
      <c r="I924" s="31"/>
      <c r="J924" s="31"/>
      <c r="L924" s="30"/>
      <c r="M924" s="30"/>
      <c r="O924" s="32"/>
      <c r="P924" s="32"/>
      <c r="S924" s="32"/>
    </row>
    <row r="925">
      <c r="D925" s="29"/>
      <c r="G925" s="30"/>
      <c r="H925" s="30"/>
      <c r="I925" s="31"/>
      <c r="J925" s="31"/>
      <c r="L925" s="30"/>
      <c r="M925" s="30"/>
      <c r="O925" s="32"/>
      <c r="P925" s="32"/>
      <c r="S925" s="32"/>
    </row>
    <row r="926">
      <c r="D926" s="29"/>
      <c r="G926" s="30"/>
      <c r="H926" s="30"/>
      <c r="I926" s="31"/>
      <c r="J926" s="31"/>
      <c r="L926" s="30"/>
      <c r="M926" s="30"/>
      <c r="O926" s="32"/>
      <c r="P926" s="32"/>
      <c r="S926" s="32"/>
    </row>
    <row r="927">
      <c r="D927" s="29"/>
      <c r="G927" s="30"/>
      <c r="H927" s="30"/>
      <c r="I927" s="31"/>
      <c r="J927" s="31"/>
      <c r="L927" s="30"/>
      <c r="M927" s="30"/>
      <c r="O927" s="32"/>
      <c r="P927" s="32"/>
      <c r="S927" s="32"/>
    </row>
    <row r="928">
      <c r="D928" s="29"/>
      <c r="G928" s="30"/>
      <c r="H928" s="30"/>
      <c r="I928" s="31"/>
      <c r="J928" s="31"/>
      <c r="L928" s="30"/>
      <c r="M928" s="30"/>
      <c r="O928" s="32"/>
      <c r="P928" s="32"/>
      <c r="S928" s="32"/>
    </row>
    <row r="929">
      <c r="D929" s="29"/>
      <c r="G929" s="30"/>
      <c r="H929" s="30"/>
      <c r="I929" s="31"/>
      <c r="J929" s="31"/>
      <c r="L929" s="30"/>
      <c r="M929" s="30"/>
      <c r="O929" s="32"/>
      <c r="P929" s="32"/>
      <c r="S929" s="32"/>
    </row>
    <row r="930">
      <c r="D930" s="29"/>
      <c r="G930" s="30"/>
      <c r="H930" s="30"/>
      <c r="I930" s="31"/>
      <c r="J930" s="31"/>
      <c r="L930" s="30"/>
      <c r="M930" s="30"/>
      <c r="O930" s="32"/>
      <c r="P930" s="32"/>
      <c r="S930" s="32"/>
    </row>
    <row r="931">
      <c r="D931" s="29"/>
      <c r="G931" s="30"/>
      <c r="H931" s="30"/>
      <c r="I931" s="31"/>
      <c r="J931" s="31"/>
      <c r="L931" s="30"/>
      <c r="M931" s="30"/>
      <c r="O931" s="32"/>
      <c r="P931" s="32"/>
      <c r="S931" s="32"/>
    </row>
    <row r="932">
      <c r="D932" s="29"/>
      <c r="G932" s="30"/>
      <c r="H932" s="30"/>
      <c r="I932" s="31"/>
      <c r="J932" s="31"/>
      <c r="L932" s="30"/>
      <c r="M932" s="30"/>
      <c r="O932" s="32"/>
      <c r="P932" s="32"/>
      <c r="S932" s="3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13"/>
    <col customWidth="1" min="2" max="16" width="9.5"/>
  </cols>
  <sheetData>
    <row r="1">
      <c r="A1" s="1"/>
      <c r="B1" s="3" t="s">
        <v>0</v>
      </c>
      <c r="C1" s="2" t="s">
        <v>2</v>
      </c>
      <c r="D1" s="2" t="s">
        <v>3</v>
      </c>
      <c r="E1" s="2" t="s">
        <v>4</v>
      </c>
      <c r="F1" s="2" t="s">
        <v>6</v>
      </c>
      <c r="G1" s="6" t="s">
        <v>8</v>
      </c>
      <c r="H1" s="6" t="s">
        <v>10</v>
      </c>
      <c r="I1" s="2" t="s">
        <v>12</v>
      </c>
      <c r="J1" s="2" t="s">
        <v>14</v>
      </c>
      <c r="K1" s="2" t="s">
        <v>16</v>
      </c>
      <c r="L1" s="6" t="s">
        <v>19</v>
      </c>
      <c r="M1" s="6" t="s">
        <v>22</v>
      </c>
      <c r="N1" s="2" t="s">
        <v>24</v>
      </c>
      <c r="O1" s="9" t="s">
        <v>26</v>
      </c>
      <c r="P1" s="9" t="s">
        <v>28</v>
      </c>
    </row>
    <row r="2">
      <c r="A2" s="2" t="s">
        <v>35</v>
      </c>
      <c r="B2" s="10">
        <v>3.0</v>
      </c>
      <c r="C2" s="12">
        <f t="shared" ref="C2:C139" si="1">B2*4</f>
        <v>12</v>
      </c>
      <c r="D2" s="11">
        <v>8.0</v>
      </c>
      <c r="E2" s="11">
        <v>2.0</v>
      </c>
      <c r="F2" s="12">
        <f t="shared" ref="F2:F139" si="2">D2+E2</f>
        <v>10</v>
      </c>
      <c r="G2" s="16">
        <f t="shared" ref="G2:G139" si="3">F2/C2</f>
        <v>0.8333333333</v>
      </c>
      <c r="H2" s="16">
        <f t="shared" ref="H2:H53" si="4">D2/F2</f>
        <v>0.8</v>
      </c>
      <c r="I2" s="12">
        <f t="shared" ref="I2:I4" si="5">J2+K2</f>
        <v>3</v>
      </c>
      <c r="J2" s="11">
        <v>2.0</v>
      </c>
      <c r="K2" s="11">
        <v>1.0</v>
      </c>
      <c r="L2" s="16">
        <f t="shared" ref="L2:L139" si="6">I2/C2</f>
        <v>0.25</v>
      </c>
      <c r="M2" s="16">
        <f t="shared" ref="M2:M12" si="7">J2/I2</f>
        <v>0.6666666667</v>
      </c>
      <c r="N2" s="12">
        <f t="shared" ref="N2:N139" si="8">4*(D2-K2)</f>
        <v>28</v>
      </c>
      <c r="O2" s="18">
        <f t="shared" ref="O2:O139" si="9">N2/C2</f>
        <v>2.333333333</v>
      </c>
      <c r="P2" s="18">
        <f t="shared" ref="P2:P139" si="10">N2/B2</f>
        <v>9.333333333</v>
      </c>
    </row>
    <row r="3">
      <c r="A3" s="2" t="s">
        <v>43</v>
      </c>
      <c r="B3" s="10">
        <v>3.0</v>
      </c>
      <c r="C3" s="12">
        <f t="shared" si="1"/>
        <v>12</v>
      </c>
      <c r="D3" s="11">
        <v>7.0</v>
      </c>
      <c r="E3" s="10">
        <v>1.0</v>
      </c>
      <c r="F3" s="22">
        <f t="shared" si="2"/>
        <v>8</v>
      </c>
      <c r="G3" s="24">
        <f t="shared" si="3"/>
        <v>0.6666666667</v>
      </c>
      <c r="H3" s="24">
        <f t="shared" si="4"/>
        <v>0.875</v>
      </c>
      <c r="I3" s="12">
        <f t="shared" si="5"/>
        <v>2</v>
      </c>
      <c r="J3" s="11">
        <v>1.0</v>
      </c>
      <c r="K3" s="11">
        <v>1.0</v>
      </c>
      <c r="L3" s="16">
        <f t="shared" si="6"/>
        <v>0.1666666667</v>
      </c>
      <c r="M3" s="16">
        <f t="shared" si="7"/>
        <v>0.5</v>
      </c>
      <c r="N3" s="12">
        <f t="shared" si="8"/>
        <v>24</v>
      </c>
      <c r="O3" s="18">
        <f t="shared" si="9"/>
        <v>2</v>
      </c>
      <c r="P3" s="18">
        <f t="shared" si="10"/>
        <v>8</v>
      </c>
    </row>
    <row r="4">
      <c r="A4" s="2" t="s">
        <v>45</v>
      </c>
      <c r="B4" s="10">
        <v>3.0</v>
      </c>
      <c r="C4" s="12">
        <f t="shared" si="1"/>
        <v>12</v>
      </c>
      <c r="D4" s="11">
        <v>5.0</v>
      </c>
      <c r="E4" s="11">
        <v>1.0</v>
      </c>
      <c r="F4" s="12">
        <f t="shared" si="2"/>
        <v>6</v>
      </c>
      <c r="G4" s="16">
        <f t="shared" si="3"/>
        <v>0.5</v>
      </c>
      <c r="H4" s="16">
        <f t="shared" si="4"/>
        <v>0.8333333333</v>
      </c>
      <c r="I4" s="12">
        <f t="shared" si="5"/>
        <v>2</v>
      </c>
      <c r="J4" s="11">
        <v>2.0</v>
      </c>
      <c r="K4" s="11">
        <v>0.0</v>
      </c>
      <c r="L4" s="16">
        <f t="shared" si="6"/>
        <v>0.1666666667</v>
      </c>
      <c r="M4" s="16">
        <f t="shared" si="7"/>
        <v>1</v>
      </c>
      <c r="N4" s="12">
        <f t="shared" si="8"/>
        <v>20</v>
      </c>
      <c r="O4" s="18">
        <f t="shared" si="9"/>
        <v>1.666666667</v>
      </c>
      <c r="P4" s="18">
        <f t="shared" si="10"/>
        <v>6.666666667</v>
      </c>
    </row>
    <row r="5">
      <c r="A5" s="2" t="s">
        <v>42</v>
      </c>
      <c r="B5" s="10">
        <v>3.0</v>
      </c>
      <c r="C5" s="12">
        <f t="shared" si="1"/>
        <v>12</v>
      </c>
      <c r="D5" s="11">
        <v>5.0</v>
      </c>
      <c r="E5" s="20">
        <v>1.0</v>
      </c>
      <c r="F5" s="21">
        <f t="shared" si="2"/>
        <v>6</v>
      </c>
      <c r="G5" s="23">
        <f t="shared" si="3"/>
        <v>0.5</v>
      </c>
      <c r="H5" s="23">
        <f t="shared" si="4"/>
        <v>0.8333333333</v>
      </c>
      <c r="I5" s="11">
        <v>3.0</v>
      </c>
      <c r="J5" s="11">
        <v>2.0</v>
      </c>
      <c r="K5" s="11">
        <v>0.0</v>
      </c>
      <c r="L5" s="16">
        <f t="shared" si="6"/>
        <v>0.25</v>
      </c>
      <c r="M5" s="16">
        <f t="shared" si="7"/>
        <v>0.6666666667</v>
      </c>
      <c r="N5" s="12">
        <f t="shared" si="8"/>
        <v>20</v>
      </c>
      <c r="O5" s="18">
        <f t="shared" si="9"/>
        <v>1.666666667</v>
      </c>
      <c r="P5" s="18">
        <f t="shared" si="10"/>
        <v>6.666666667</v>
      </c>
    </row>
    <row r="6">
      <c r="A6" s="2" t="s">
        <v>49</v>
      </c>
      <c r="B6" s="10">
        <v>3.0</v>
      </c>
      <c r="C6" s="12">
        <f t="shared" si="1"/>
        <v>12</v>
      </c>
      <c r="D6" s="11">
        <v>5.0</v>
      </c>
      <c r="E6" s="11">
        <v>3.0</v>
      </c>
      <c r="F6" s="12">
        <f t="shared" si="2"/>
        <v>8</v>
      </c>
      <c r="G6" s="16">
        <f t="shared" si="3"/>
        <v>0.6666666667</v>
      </c>
      <c r="H6" s="16">
        <f t="shared" si="4"/>
        <v>0.625</v>
      </c>
      <c r="I6" s="12">
        <f t="shared" ref="I6:I45" si="11">J6+K6</f>
        <v>3</v>
      </c>
      <c r="J6" s="11">
        <v>3.0</v>
      </c>
      <c r="K6" s="11">
        <v>0.0</v>
      </c>
      <c r="L6" s="16">
        <f t="shared" si="6"/>
        <v>0.25</v>
      </c>
      <c r="M6" s="16">
        <f t="shared" si="7"/>
        <v>1</v>
      </c>
      <c r="N6" s="12">
        <f t="shared" si="8"/>
        <v>20</v>
      </c>
      <c r="O6" s="18">
        <f t="shared" si="9"/>
        <v>1.666666667</v>
      </c>
      <c r="P6" s="18">
        <f t="shared" si="10"/>
        <v>6.666666667</v>
      </c>
    </row>
    <row r="7">
      <c r="A7" s="2" t="s">
        <v>52</v>
      </c>
      <c r="B7" s="10">
        <v>3.0</v>
      </c>
      <c r="C7" s="12">
        <f t="shared" si="1"/>
        <v>12</v>
      </c>
      <c r="D7" s="11">
        <v>5.0</v>
      </c>
      <c r="E7" s="11">
        <v>4.0</v>
      </c>
      <c r="F7" s="12">
        <f t="shared" si="2"/>
        <v>9</v>
      </c>
      <c r="G7" s="16">
        <f t="shared" si="3"/>
        <v>0.75</v>
      </c>
      <c r="H7" s="16">
        <f t="shared" si="4"/>
        <v>0.5555555556</v>
      </c>
      <c r="I7" s="12">
        <f t="shared" si="11"/>
        <v>1</v>
      </c>
      <c r="J7" s="11">
        <v>1.0</v>
      </c>
      <c r="K7" s="11">
        <v>0.0</v>
      </c>
      <c r="L7" s="16">
        <f t="shared" si="6"/>
        <v>0.08333333333</v>
      </c>
      <c r="M7" s="16">
        <f t="shared" si="7"/>
        <v>1</v>
      </c>
      <c r="N7" s="12">
        <f t="shared" si="8"/>
        <v>20</v>
      </c>
      <c r="O7" s="18">
        <f t="shared" si="9"/>
        <v>1.666666667</v>
      </c>
      <c r="P7" s="18">
        <f t="shared" si="10"/>
        <v>6.666666667</v>
      </c>
    </row>
    <row r="8">
      <c r="A8" s="2" t="s">
        <v>55</v>
      </c>
      <c r="B8" s="10">
        <v>2.5</v>
      </c>
      <c r="C8" s="12">
        <f t="shared" si="1"/>
        <v>10</v>
      </c>
      <c r="D8" s="11">
        <v>4.0</v>
      </c>
      <c r="E8" s="20">
        <v>0.0</v>
      </c>
      <c r="F8" s="21">
        <f t="shared" si="2"/>
        <v>4</v>
      </c>
      <c r="G8" s="23">
        <f t="shared" si="3"/>
        <v>0.4</v>
      </c>
      <c r="H8" s="23">
        <f t="shared" si="4"/>
        <v>1</v>
      </c>
      <c r="I8" s="12">
        <f t="shared" si="11"/>
        <v>3</v>
      </c>
      <c r="J8" s="11">
        <v>3.0</v>
      </c>
      <c r="K8" s="11">
        <v>0.0</v>
      </c>
      <c r="L8" s="16">
        <f t="shared" si="6"/>
        <v>0.3</v>
      </c>
      <c r="M8" s="16">
        <f t="shared" si="7"/>
        <v>1</v>
      </c>
      <c r="N8" s="12">
        <f t="shared" si="8"/>
        <v>16</v>
      </c>
      <c r="O8" s="18">
        <f t="shared" si="9"/>
        <v>1.6</v>
      </c>
      <c r="P8" s="18">
        <f t="shared" si="10"/>
        <v>6.4</v>
      </c>
    </row>
    <row r="9">
      <c r="A9" s="2" t="s">
        <v>48</v>
      </c>
      <c r="B9" s="10">
        <v>3.0</v>
      </c>
      <c r="C9" s="12">
        <f t="shared" si="1"/>
        <v>12</v>
      </c>
      <c r="D9" s="11">
        <v>5.0</v>
      </c>
      <c r="E9" s="11">
        <v>1.0</v>
      </c>
      <c r="F9" s="12">
        <f t="shared" si="2"/>
        <v>6</v>
      </c>
      <c r="G9" s="16">
        <f t="shared" si="3"/>
        <v>0.5</v>
      </c>
      <c r="H9" s="16">
        <f t="shared" si="4"/>
        <v>0.8333333333</v>
      </c>
      <c r="I9" s="12">
        <f t="shared" si="11"/>
        <v>2</v>
      </c>
      <c r="J9" s="11">
        <v>1.0</v>
      </c>
      <c r="K9" s="11">
        <v>1.0</v>
      </c>
      <c r="L9" s="16">
        <f t="shared" si="6"/>
        <v>0.1666666667</v>
      </c>
      <c r="M9" s="16">
        <f t="shared" si="7"/>
        <v>0.5</v>
      </c>
      <c r="N9" s="12">
        <f t="shared" si="8"/>
        <v>16</v>
      </c>
      <c r="O9" s="18">
        <f t="shared" si="9"/>
        <v>1.333333333</v>
      </c>
      <c r="P9" s="18">
        <f t="shared" si="10"/>
        <v>5.333333333</v>
      </c>
    </row>
    <row r="10">
      <c r="A10" s="2" t="s">
        <v>58</v>
      </c>
      <c r="B10" s="10">
        <v>3.0</v>
      </c>
      <c r="C10" s="12">
        <f t="shared" si="1"/>
        <v>12</v>
      </c>
      <c r="D10" s="11">
        <v>4.0</v>
      </c>
      <c r="E10" s="11">
        <v>1.0</v>
      </c>
      <c r="F10" s="12">
        <f t="shared" si="2"/>
        <v>5</v>
      </c>
      <c r="G10" s="16">
        <f t="shared" si="3"/>
        <v>0.4166666667</v>
      </c>
      <c r="H10" s="16">
        <f t="shared" si="4"/>
        <v>0.8</v>
      </c>
      <c r="I10" s="12">
        <f t="shared" si="11"/>
        <v>1</v>
      </c>
      <c r="J10" s="11">
        <v>1.0</v>
      </c>
      <c r="K10" s="11">
        <v>0.0</v>
      </c>
      <c r="L10" s="16">
        <f t="shared" si="6"/>
        <v>0.08333333333</v>
      </c>
      <c r="M10" s="16">
        <f t="shared" si="7"/>
        <v>1</v>
      </c>
      <c r="N10" s="12">
        <f t="shared" si="8"/>
        <v>16</v>
      </c>
      <c r="O10" s="18">
        <f t="shared" si="9"/>
        <v>1.333333333</v>
      </c>
      <c r="P10" s="18">
        <f t="shared" si="10"/>
        <v>5.333333333</v>
      </c>
    </row>
    <row r="11">
      <c r="A11" s="2" t="s">
        <v>61</v>
      </c>
      <c r="B11" s="10">
        <v>3.0</v>
      </c>
      <c r="C11" s="12">
        <f t="shared" si="1"/>
        <v>12</v>
      </c>
      <c r="D11" s="11">
        <v>4.0</v>
      </c>
      <c r="E11" s="11">
        <v>1.0</v>
      </c>
      <c r="F11" s="12">
        <f t="shared" si="2"/>
        <v>5</v>
      </c>
      <c r="G11" s="16">
        <f t="shared" si="3"/>
        <v>0.4166666667</v>
      </c>
      <c r="H11" s="16">
        <f t="shared" si="4"/>
        <v>0.8</v>
      </c>
      <c r="I11" s="12">
        <f t="shared" si="11"/>
        <v>1</v>
      </c>
      <c r="J11" s="11">
        <v>1.0</v>
      </c>
      <c r="K11" s="11">
        <v>0.0</v>
      </c>
      <c r="L11" s="16">
        <f t="shared" si="6"/>
        <v>0.08333333333</v>
      </c>
      <c r="M11" s="16">
        <f t="shared" si="7"/>
        <v>1</v>
      </c>
      <c r="N11" s="12">
        <f t="shared" si="8"/>
        <v>16</v>
      </c>
      <c r="O11" s="18">
        <f t="shared" si="9"/>
        <v>1.333333333</v>
      </c>
      <c r="P11" s="18">
        <f t="shared" si="10"/>
        <v>5.333333333</v>
      </c>
    </row>
    <row r="12">
      <c r="A12" s="2" t="s">
        <v>57</v>
      </c>
      <c r="B12" s="10">
        <v>3.0</v>
      </c>
      <c r="C12" s="12">
        <f t="shared" si="1"/>
        <v>12</v>
      </c>
      <c r="D12" s="11">
        <v>5.0</v>
      </c>
      <c r="E12" s="11">
        <v>2.0</v>
      </c>
      <c r="F12" s="12">
        <f t="shared" si="2"/>
        <v>7</v>
      </c>
      <c r="G12" s="16">
        <f t="shared" si="3"/>
        <v>0.5833333333</v>
      </c>
      <c r="H12" s="16">
        <f t="shared" si="4"/>
        <v>0.7142857143</v>
      </c>
      <c r="I12" s="12">
        <f t="shared" si="11"/>
        <v>2</v>
      </c>
      <c r="J12" s="11">
        <v>1.0</v>
      </c>
      <c r="K12" s="11">
        <v>1.0</v>
      </c>
      <c r="L12" s="16">
        <f t="shared" si="6"/>
        <v>0.1666666667</v>
      </c>
      <c r="M12" s="16">
        <f t="shared" si="7"/>
        <v>0.5</v>
      </c>
      <c r="N12" s="12">
        <f t="shared" si="8"/>
        <v>16</v>
      </c>
      <c r="O12" s="18">
        <f t="shared" si="9"/>
        <v>1.333333333</v>
      </c>
      <c r="P12" s="18">
        <f t="shared" si="10"/>
        <v>5.333333333</v>
      </c>
    </row>
    <row r="13">
      <c r="A13" s="2" t="s">
        <v>65</v>
      </c>
      <c r="B13" s="10">
        <v>3.0</v>
      </c>
      <c r="C13" s="12">
        <f t="shared" si="1"/>
        <v>12</v>
      </c>
      <c r="D13" s="11">
        <v>4.0</v>
      </c>
      <c r="E13" s="11">
        <v>3.0</v>
      </c>
      <c r="F13" s="12">
        <f t="shared" si="2"/>
        <v>7</v>
      </c>
      <c r="G13" s="16">
        <f t="shared" si="3"/>
        <v>0.5833333333</v>
      </c>
      <c r="H13" s="16">
        <f t="shared" si="4"/>
        <v>0.5714285714</v>
      </c>
      <c r="I13" s="12">
        <f t="shared" si="11"/>
        <v>0</v>
      </c>
      <c r="J13" s="11">
        <v>0.0</v>
      </c>
      <c r="K13" s="11">
        <v>0.0</v>
      </c>
      <c r="L13" s="16">
        <f t="shared" si="6"/>
        <v>0</v>
      </c>
      <c r="M13" s="11" t="s">
        <v>41</v>
      </c>
      <c r="N13" s="12">
        <f t="shared" si="8"/>
        <v>16</v>
      </c>
      <c r="O13" s="18">
        <f t="shared" si="9"/>
        <v>1.333333333</v>
      </c>
      <c r="P13" s="18">
        <f t="shared" si="10"/>
        <v>5.333333333</v>
      </c>
    </row>
    <row r="14">
      <c r="A14" s="2" t="s">
        <v>67</v>
      </c>
      <c r="B14" s="10">
        <v>3.0</v>
      </c>
      <c r="C14" s="12">
        <f t="shared" si="1"/>
        <v>12</v>
      </c>
      <c r="D14" s="11">
        <v>4.0</v>
      </c>
      <c r="E14" s="11">
        <v>6.0</v>
      </c>
      <c r="F14" s="12">
        <f t="shared" si="2"/>
        <v>10</v>
      </c>
      <c r="G14" s="16">
        <f t="shared" si="3"/>
        <v>0.8333333333</v>
      </c>
      <c r="H14" s="16">
        <f t="shared" si="4"/>
        <v>0.4</v>
      </c>
      <c r="I14" s="12">
        <f t="shared" si="11"/>
        <v>2</v>
      </c>
      <c r="J14" s="11">
        <v>2.0</v>
      </c>
      <c r="K14" s="11">
        <v>0.0</v>
      </c>
      <c r="L14" s="16">
        <f t="shared" si="6"/>
        <v>0.1666666667</v>
      </c>
      <c r="M14" s="16">
        <f>J14/I14</f>
        <v>1</v>
      </c>
      <c r="N14" s="12">
        <f t="shared" si="8"/>
        <v>16</v>
      </c>
      <c r="O14" s="18">
        <f t="shared" si="9"/>
        <v>1.333333333</v>
      </c>
      <c r="P14" s="18">
        <f t="shared" si="10"/>
        <v>5.333333333</v>
      </c>
    </row>
    <row r="15">
      <c r="A15" s="2" t="s">
        <v>46</v>
      </c>
      <c r="B15" s="10">
        <v>3.0</v>
      </c>
      <c r="C15" s="12">
        <f t="shared" si="1"/>
        <v>12</v>
      </c>
      <c r="D15" s="11">
        <v>3.0</v>
      </c>
      <c r="E15" s="11">
        <v>0.0</v>
      </c>
      <c r="F15" s="12">
        <f t="shared" si="2"/>
        <v>3</v>
      </c>
      <c r="G15" s="16">
        <f t="shared" si="3"/>
        <v>0.25</v>
      </c>
      <c r="H15" s="16">
        <f t="shared" si="4"/>
        <v>1</v>
      </c>
      <c r="I15" s="12">
        <f t="shared" si="11"/>
        <v>0</v>
      </c>
      <c r="J15" s="11">
        <v>0.0</v>
      </c>
      <c r="K15" s="11">
        <v>0.0</v>
      </c>
      <c r="L15" s="16">
        <f t="shared" si="6"/>
        <v>0</v>
      </c>
      <c r="M15" s="11" t="s">
        <v>41</v>
      </c>
      <c r="N15" s="12">
        <f t="shared" si="8"/>
        <v>12</v>
      </c>
      <c r="O15" s="18">
        <f t="shared" si="9"/>
        <v>1</v>
      </c>
      <c r="P15" s="18">
        <f t="shared" si="10"/>
        <v>4</v>
      </c>
    </row>
    <row r="16">
      <c r="A16" s="2" t="s">
        <v>74</v>
      </c>
      <c r="B16" s="10">
        <v>2.0</v>
      </c>
      <c r="C16" s="12">
        <f t="shared" si="1"/>
        <v>8</v>
      </c>
      <c r="D16" s="11">
        <v>2.0</v>
      </c>
      <c r="E16" s="20">
        <v>0.0</v>
      </c>
      <c r="F16" s="21">
        <f t="shared" si="2"/>
        <v>2</v>
      </c>
      <c r="G16" s="23">
        <f t="shared" si="3"/>
        <v>0.25</v>
      </c>
      <c r="H16" s="23">
        <f t="shared" si="4"/>
        <v>1</v>
      </c>
      <c r="I16" s="12">
        <f t="shared" si="11"/>
        <v>0</v>
      </c>
      <c r="J16" s="11">
        <v>0.0</v>
      </c>
      <c r="K16" s="11">
        <v>0.0</v>
      </c>
      <c r="L16" s="16">
        <f t="shared" si="6"/>
        <v>0</v>
      </c>
      <c r="M16" s="11" t="s">
        <v>41</v>
      </c>
      <c r="N16" s="12">
        <f t="shared" si="8"/>
        <v>8</v>
      </c>
      <c r="O16" s="18">
        <f t="shared" si="9"/>
        <v>1</v>
      </c>
      <c r="P16" s="18">
        <f t="shared" si="10"/>
        <v>4</v>
      </c>
    </row>
    <row r="17">
      <c r="A17" s="2" t="s">
        <v>76</v>
      </c>
      <c r="B17" s="10">
        <v>1.0</v>
      </c>
      <c r="C17" s="12">
        <f t="shared" si="1"/>
        <v>4</v>
      </c>
      <c r="D17" s="11">
        <v>1.0</v>
      </c>
      <c r="E17" s="11">
        <v>0.0</v>
      </c>
      <c r="F17" s="12">
        <f t="shared" si="2"/>
        <v>1</v>
      </c>
      <c r="G17" s="16">
        <f t="shared" si="3"/>
        <v>0.25</v>
      </c>
      <c r="H17" s="16">
        <f t="shared" si="4"/>
        <v>1</v>
      </c>
      <c r="I17" s="12">
        <f t="shared" si="11"/>
        <v>0</v>
      </c>
      <c r="J17" s="11">
        <v>0.0</v>
      </c>
      <c r="K17" s="11">
        <v>0.0</v>
      </c>
      <c r="L17" s="16">
        <f t="shared" si="6"/>
        <v>0</v>
      </c>
      <c r="M17" s="11" t="s">
        <v>41</v>
      </c>
      <c r="N17" s="12">
        <f t="shared" si="8"/>
        <v>4</v>
      </c>
      <c r="O17" s="18">
        <f t="shared" si="9"/>
        <v>1</v>
      </c>
      <c r="P17" s="18">
        <f t="shared" si="10"/>
        <v>4</v>
      </c>
    </row>
    <row r="18">
      <c r="A18" s="2" t="s">
        <v>78</v>
      </c>
      <c r="B18" s="10">
        <v>3.0</v>
      </c>
      <c r="C18" s="12">
        <f t="shared" si="1"/>
        <v>12</v>
      </c>
      <c r="D18" s="11">
        <v>3.0</v>
      </c>
      <c r="E18" s="20">
        <v>1.0</v>
      </c>
      <c r="F18" s="21">
        <f t="shared" si="2"/>
        <v>4</v>
      </c>
      <c r="G18" s="23">
        <f t="shared" si="3"/>
        <v>0.3333333333</v>
      </c>
      <c r="H18" s="23">
        <f t="shared" si="4"/>
        <v>0.75</v>
      </c>
      <c r="I18" s="12">
        <f t="shared" si="11"/>
        <v>0</v>
      </c>
      <c r="J18" s="11">
        <v>0.0</v>
      </c>
      <c r="K18" s="11">
        <v>0.0</v>
      </c>
      <c r="L18" s="16">
        <f t="shared" si="6"/>
        <v>0</v>
      </c>
      <c r="M18" s="11" t="s">
        <v>41</v>
      </c>
      <c r="N18" s="12">
        <f t="shared" si="8"/>
        <v>12</v>
      </c>
      <c r="O18" s="18">
        <f t="shared" si="9"/>
        <v>1</v>
      </c>
      <c r="P18" s="18">
        <f t="shared" si="10"/>
        <v>4</v>
      </c>
    </row>
    <row r="19">
      <c r="A19" s="2" t="s">
        <v>60</v>
      </c>
      <c r="B19" s="10">
        <v>3.0</v>
      </c>
      <c r="C19" s="12">
        <f t="shared" si="1"/>
        <v>12</v>
      </c>
      <c r="D19" s="11">
        <v>3.0</v>
      </c>
      <c r="E19" s="11">
        <v>2.0</v>
      </c>
      <c r="F19" s="12">
        <f t="shared" si="2"/>
        <v>5</v>
      </c>
      <c r="G19" s="16">
        <f t="shared" si="3"/>
        <v>0.4166666667</v>
      </c>
      <c r="H19" s="16">
        <f t="shared" si="4"/>
        <v>0.6</v>
      </c>
      <c r="I19" s="12">
        <f t="shared" si="11"/>
        <v>1</v>
      </c>
      <c r="J19" s="11">
        <v>1.0</v>
      </c>
      <c r="K19" s="11">
        <v>0.0</v>
      </c>
      <c r="L19" s="16">
        <f t="shared" si="6"/>
        <v>0.08333333333</v>
      </c>
      <c r="M19" s="16">
        <f t="shared" ref="M19:M20" si="12">J19/I19</f>
        <v>1</v>
      </c>
      <c r="N19" s="12">
        <f t="shared" si="8"/>
        <v>12</v>
      </c>
      <c r="O19" s="18">
        <f t="shared" si="9"/>
        <v>1</v>
      </c>
      <c r="P19" s="18">
        <f t="shared" si="10"/>
        <v>4</v>
      </c>
    </row>
    <row r="20">
      <c r="A20" s="2" t="s">
        <v>84</v>
      </c>
      <c r="B20" s="10">
        <v>3.0</v>
      </c>
      <c r="C20" s="12">
        <f t="shared" si="1"/>
        <v>12</v>
      </c>
      <c r="D20" s="11">
        <v>2.0</v>
      </c>
      <c r="E20" s="11">
        <v>0.0</v>
      </c>
      <c r="F20" s="12">
        <f t="shared" si="2"/>
        <v>2</v>
      </c>
      <c r="G20" s="16">
        <f t="shared" si="3"/>
        <v>0.1666666667</v>
      </c>
      <c r="H20" s="16">
        <f t="shared" si="4"/>
        <v>1</v>
      </c>
      <c r="I20" s="12">
        <f t="shared" si="11"/>
        <v>1</v>
      </c>
      <c r="J20" s="11">
        <v>1.0</v>
      </c>
      <c r="K20" s="11">
        <v>0.0</v>
      </c>
      <c r="L20" s="16">
        <f t="shared" si="6"/>
        <v>0.08333333333</v>
      </c>
      <c r="M20" s="16">
        <f t="shared" si="12"/>
        <v>1</v>
      </c>
      <c r="N20" s="12">
        <f t="shared" si="8"/>
        <v>8</v>
      </c>
      <c r="O20" s="18">
        <f t="shared" si="9"/>
        <v>0.6666666667</v>
      </c>
      <c r="P20" s="18">
        <f t="shared" si="10"/>
        <v>2.666666667</v>
      </c>
    </row>
    <row r="21">
      <c r="A21" s="2" t="s">
        <v>87</v>
      </c>
      <c r="B21" s="10">
        <v>3.0</v>
      </c>
      <c r="C21" s="12">
        <f t="shared" si="1"/>
        <v>12</v>
      </c>
      <c r="D21" s="11">
        <v>2.0</v>
      </c>
      <c r="E21" s="11">
        <v>0.0</v>
      </c>
      <c r="F21" s="12">
        <f t="shared" si="2"/>
        <v>2</v>
      </c>
      <c r="G21" s="16">
        <f t="shared" si="3"/>
        <v>0.1666666667</v>
      </c>
      <c r="H21" s="16">
        <f t="shared" si="4"/>
        <v>1</v>
      </c>
      <c r="I21" s="12">
        <f t="shared" si="11"/>
        <v>0</v>
      </c>
      <c r="J21" s="11">
        <v>0.0</v>
      </c>
      <c r="K21" s="11">
        <v>0.0</v>
      </c>
      <c r="L21" s="16">
        <f t="shared" si="6"/>
        <v>0</v>
      </c>
      <c r="M21" s="11" t="s">
        <v>41</v>
      </c>
      <c r="N21" s="12">
        <f t="shared" si="8"/>
        <v>8</v>
      </c>
      <c r="O21" s="18">
        <f t="shared" si="9"/>
        <v>0.6666666667</v>
      </c>
      <c r="P21" s="18">
        <f t="shared" si="10"/>
        <v>2.666666667</v>
      </c>
    </row>
    <row r="22">
      <c r="A22" s="2" t="s">
        <v>89</v>
      </c>
      <c r="B22" s="10">
        <v>3.0</v>
      </c>
      <c r="C22" s="12">
        <f t="shared" si="1"/>
        <v>12</v>
      </c>
      <c r="D22" s="11">
        <v>2.0</v>
      </c>
      <c r="E22" s="11">
        <v>0.0</v>
      </c>
      <c r="F22" s="12">
        <f t="shared" si="2"/>
        <v>2</v>
      </c>
      <c r="G22" s="16">
        <f t="shared" si="3"/>
        <v>0.1666666667</v>
      </c>
      <c r="H22" s="16">
        <f t="shared" si="4"/>
        <v>1</v>
      </c>
      <c r="I22" s="12">
        <f t="shared" si="11"/>
        <v>0</v>
      </c>
      <c r="J22" s="11">
        <v>0.0</v>
      </c>
      <c r="K22" s="11">
        <v>0.0</v>
      </c>
      <c r="L22" s="16">
        <f t="shared" si="6"/>
        <v>0</v>
      </c>
      <c r="M22" s="11" t="s">
        <v>41</v>
      </c>
      <c r="N22" s="12">
        <f t="shared" si="8"/>
        <v>8</v>
      </c>
      <c r="O22" s="18">
        <f t="shared" si="9"/>
        <v>0.6666666667</v>
      </c>
      <c r="P22" s="18">
        <f t="shared" si="10"/>
        <v>2.666666667</v>
      </c>
    </row>
    <row r="23">
      <c r="A23" s="2" t="s">
        <v>91</v>
      </c>
      <c r="B23" s="10">
        <v>1.5</v>
      </c>
      <c r="C23" s="12">
        <f t="shared" si="1"/>
        <v>6</v>
      </c>
      <c r="D23" s="11">
        <v>1.0</v>
      </c>
      <c r="E23" s="20">
        <v>0.0</v>
      </c>
      <c r="F23" s="21">
        <f t="shared" si="2"/>
        <v>1</v>
      </c>
      <c r="G23" s="23">
        <f t="shared" si="3"/>
        <v>0.1666666667</v>
      </c>
      <c r="H23" s="23">
        <f t="shared" si="4"/>
        <v>1</v>
      </c>
      <c r="I23" s="12">
        <f t="shared" si="11"/>
        <v>1</v>
      </c>
      <c r="J23" s="11">
        <v>1.0</v>
      </c>
      <c r="K23" s="11">
        <v>0.0</v>
      </c>
      <c r="L23" s="16">
        <f t="shared" si="6"/>
        <v>0.1666666667</v>
      </c>
      <c r="M23" s="16">
        <f>J23/I23</f>
        <v>1</v>
      </c>
      <c r="N23" s="12">
        <f t="shared" si="8"/>
        <v>4</v>
      </c>
      <c r="O23" s="18">
        <f t="shared" si="9"/>
        <v>0.6666666667</v>
      </c>
      <c r="P23" s="18">
        <f t="shared" si="10"/>
        <v>2.666666667</v>
      </c>
      <c r="R23" s="4"/>
    </row>
    <row r="24">
      <c r="A24" s="2" t="s">
        <v>94</v>
      </c>
      <c r="B24" s="10">
        <v>1.5</v>
      </c>
      <c r="C24" s="12">
        <f t="shared" si="1"/>
        <v>6</v>
      </c>
      <c r="D24" s="11">
        <v>1.0</v>
      </c>
      <c r="E24" s="11">
        <v>0.0</v>
      </c>
      <c r="F24" s="12">
        <f t="shared" si="2"/>
        <v>1</v>
      </c>
      <c r="G24" s="16">
        <f t="shared" si="3"/>
        <v>0.1666666667</v>
      </c>
      <c r="H24" s="16">
        <f t="shared" si="4"/>
        <v>1</v>
      </c>
      <c r="I24" s="12">
        <f t="shared" si="11"/>
        <v>0</v>
      </c>
      <c r="J24" s="11">
        <v>0.0</v>
      </c>
      <c r="K24" s="11">
        <v>0.0</v>
      </c>
      <c r="L24" s="16">
        <f t="shared" si="6"/>
        <v>0</v>
      </c>
      <c r="M24" s="11" t="s">
        <v>41</v>
      </c>
      <c r="N24" s="12">
        <f t="shared" si="8"/>
        <v>4</v>
      </c>
      <c r="O24" s="18">
        <f t="shared" si="9"/>
        <v>0.6666666667</v>
      </c>
      <c r="P24" s="18">
        <f t="shared" si="10"/>
        <v>2.666666667</v>
      </c>
    </row>
    <row r="25">
      <c r="A25" s="2" t="s">
        <v>97</v>
      </c>
      <c r="B25" s="10">
        <v>3.0</v>
      </c>
      <c r="C25" s="12">
        <f t="shared" si="1"/>
        <v>12</v>
      </c>
      <c r="D25" s="11">
        <v>3.0</v>
      </c>
      <c r="E25" s="20">
        <v>1.0</v>
      </c>
      <c r="F25" s="21">
        <f t="shared" si="2"/>
        <v>4</v>
      </c>
      <c r="G25" s="23">
        <f t="shared" si="3"/>
        <v>0.3333333333</v>
      </c>
      <c r="H25" s="23">
        <f t="shared" si="4"/>
        <v>0.75</v>
      </c>
      <c r="I25" s="12">
        <f t="shared" si="11"/>
        <v>1</v>
      </c>
      <c r="J25" s="11">
        <v>0.0</v>
      </c>
      <c r="K25" s="11">
        <v>1.0</v>
      </c>
      <c r="L25" s="16">
        <f t="shared" si="6"/>
        <v>0.08333333333</v>
      </c>
      <c r="M25" s="16">
        <f t="shared" ref="M25:M27" si="13">J25/I25</f>
        <v>0</v>
      </c>
      <c r="N25" s="12">
        <f t="shared" si="8"/>
        <v>8</v>
      </c>
      <c r="O25" s="18">
        <f t="shared" si="9"/>
        <v>0.6666666667</v>
      </c>
      <c r="P25" s="18">
        <f t="shared" si="10"/>
        <v>2.666666667</v>
      </c>
    </row>
    <row r="26">
      <c r="A26" s="2" t="s">
        <v>100</v>
      </c>
      <c r="B26" s="10">
        <v>3.0</v>
      </c>
      <c r="C26" s="12">
        <f t="shared" si="1"/>
        <v>12</v>
      </c>
      <c r="D26" s="11">
        <v>3.0</v>
      </c>
      <c r="E26" s="20">
        <v>2.0</v>
      </c>
      <c r="F26" s="21">
        <f t="shared" si="2"/>
        <v>5</v>
      </c>
      <c r="G26" s="23">
        <f t="shared" si="3"/>
        <v>0.4166666667</v>
      </c>
      <c r="H26" s="23">
        <f t="shared" si="4"/>
        <v>0.6</v>
      </c>
      <c r="I26" s="12">
        <f t="shared" si="11"/>
        <v>1</v>
      </c>
      <c r="J26" s="11">
        <v>0.0</v>
      </c>
      <c r="K26" s="11">
        <v>1.0</v>
      </c>
      <c r="L26" s="16">
        <f t="shared" si="6"/>
        <v>0.08333333333</v>
      </c>
      <c r="M26" s="16">
        <f t="shared" si="13"/>
        <v>0</v>
      </c>
      <c r="N26" s="12">
        <f t="shared" si="8"/>
        <v>8</v>
      </c>
      <c r="O26" s="18">
        <f t="shared" si="9"/>
        <v>0.6666666667</v>
      </c>
      <c r="P26" s="18">
        <f t="shared" si="10"/>
        <v>2.666666667</v>
      </c>
    </row>
    <row r="27">
      <c r="A27" s="2" t="s">
        <v>103</v>
      </c>
      <c r="B27" s="10">
        <v>3.0</v>
      </c>
      <c r="C27" s="12">
        <f t="shared" si="1"/>
        <v>12</v>
      </c>
      <c r="D27" s="11">
        <v>3.0</v>
      </c>
      <c r="E27" s="11">
        <v>2.0</v>
      </c>
      <c r="F27" s="12">
        <f t="shared" si="2"/>
        <v>5</v>
      </c>
      <c r="G27" s="16">
        <f t="shared" si="3"/>
        <v>0.4166666667</v>
      </c>
      <c r="H27" s="16">
        <f t="shared" si="4"/>
        <v>0.6</v>
      </c>
      <c r="I27" s="12">
        <f t="shared" si="11"/>
        <v>2</v>
      </c>
      <c r="J27" s="11">
        <v>1.0</v>
      </c>
      <c r="K27" s="11">
        <v>1.0</v>
      </c>
      <c r="L27" s="16">
        <f t="shared" si="6"/>
        <v>0.1666666667</v>
      </c>
      <c r="M27" s="16">
        <f t="shared" si="13"/>
        <v>0.5</v>
      </c>
      <c r="N27" s="12">
        <f t="shared" si="8"/>
        <v>8</v>
      </c>
      <c r="O27" s="18">
        <f t="shared" si="9"/>
        <v>0.6666666667</v>
      </c>
      <c r="P27" s="18">
        <f t="shared" si="10"/>
        <v>2.666666667</v>
      </c>
    </row>
    <row r="28">
      <c r="A28" s="2" t="s">
        <v>106</v>
      </c>
      <c r="B28" s="10">
        <v>3.0</v>
      </c>
      <c r="C28" s="12">
        <f t="shared" si="1"/>
        <v>12</v>
      </c>
      <c r="D28" s="11">
        <v>2.0</v>
      </c>
      <c r="E28" s="11">
        <v>2.0</v>
      </c>
      <c r="F28" s="12">
        <f t="shared" si="2"/>
        <v>4</v>
      </c>
      <c r="G28" s="16">
        <f t="shared" si="3"/>
        <v>0.3333333333</v>
      </c>
      <c r="H28" s="16">
        <f t="shared" si="4"/>
        <v>0.5</v>
      </c>
      <c r="I28" s="12">
        <f t="shared" si="11"/>
        <v>0</v>
      </c>
      <c r="J28" s="11">
        <v>0.0</v>
      </c>
      <c r="K28" s="11">
        <v>0.0</v>
      </c>
      <c r="L28" s="16">
        <f t="shared" si="6"/>
        <v>0</v>
      </c>
      <c r="M28" s="11" t="s">
        <v>41</v>
      </c>
      <c r="N28" s="12">
        <f t="shared" si="8"/>
        <v>8</v>
      </c>
      <c r="O28" s="18">
        <f t="shared" si="9"/>
        <v>0.6666666667</v>
      </c>
      <c r="P28" s="18">
        <f t="shared" si="10"/>
        <v>2.666666667</v>
      </c>
    </row>
    <row r="29">
      <c r="A29" s="2" t="s">
        <v>108</v>
      </c>
      <c r="B29" s="10">
        <v>3.0</v>
      </c>
      <c r="C29" s="12">
        <f t="shared" si="1"/>
        <v>12</v>
      </c>
      <c r="D29" s="11">
        <v>2.0</v>
      </c>
      <c r="E29" s="11">
        <v>2.0</v>
      </c>
      <c r="F29" s="12">
        <f t="shared" si="2"/>
        <v>4</v>
      </c>
      <c r="G29" s="16">
        <f t="shared" si="3"/>
        <v>0.3333333333</v>
      </c>
      <c r="H29" s="16">
        <f t="shared" si="4"/>
        <v>0.5</v>
      </c>
      <c r="I29" s="12">
        <f t="shared" si="11"/>
        <v>0</v>
      </c>
      <c r="J29" s="11">
        <v>0.0</v>
      </c>
      <c r="K29" s="11">
        <v>0.0</v>
      </c>
      <c r="L29" s="16">
        <f t="shared" si="6"/>
        <v>0</v>
      </c>
      <c r="M29" s="11" t="s">
        <v>41</v>
      </c>
      <c r="N29" s="12">
        <f t="shared" si="8"/>
        <v>8</v>
      </c>
      <c r="O29" s="18">
        <f t="shared" si="9"/>
        <v>0.6666666667</v>
      </c>
      <c r="P29" s="18">
        <f t="shared" si="10"/>
        <v>2.666666667</v>
      </c>
    </row>
    <row r="30">
      <c r="A30" s="2" t="s">
        <v>50</v>
      </c>
      <c r="B30" s="10">
        <v>3.0</v>
      </c>
      <c r="C30" s="12">
        <f t="shared" si="1"/>
        <v>12</v>
      </c>
      <c r="D30" s="11">
        <v>3.0</v>
      </c>
      <c r="E30" s="20">
        <v>3.0</v>
      </c>
      <c r="F30" s="21">
        <f t="shared" si="2"/>
        <v>6</v>
      </c>
      <c r="G30" s="23">
        <f t="shared" si="3"/>
        <v>0.5</v>
      </c>
      <c r="H30" s="23">
        <f t="shared" si="4"/>
        <v>0.5</v>
      </c>
      <c r="I30" s="12">
        <f t="shared" si="11"/>
        <v>2</v>
      </c>
      <c r="J30" s="11">
        <v>1.0</v>
      </c>
      <c r="K30" s="11">
        <v>1.0</v>
      </c>
      <c r="L30" s="16">
        <f t="shared" si="6"/>
        <v>0.1666666667</v>
      </c>
      <c r="M30" s="16">
        <f t="shared" ref="M30:M31" si="14">J30/I30</f>
        <v>0.5</v>
      </c>
      <c r="N30" s="12">
        <f t="shared" si="8"/>
        <v>8</v>
      </c>
      <c r="O30" s="18">
        <f t="shared" si="9"/>
        <v>0.6666666667</v>
      </c>
      <c r="P30" s="18">
        <f t="shared" si="10"/>
        <v>2.666666667</v>
      </c>
    </row>
    <row r="31">
      <c r="A31" s="2" t="s">
        <v>113</v>
      </c>
      <c r="B31" s="10">
        <v>3.0</v>
      </c>
      <c r="C31" s="12">
        <f t="shared" si="1"/>
        <v>12</v>
      </c>
      <c r="D31" s="11">
        <v>3.0</v>
      </c>
      <c r="E31" s="11">
        <v>4.0</v>
      </c>
      <c r="F31" s="12">
        <f t="shared" si="2"/>
        <v>7</v>
      </c>
      <c r="G31" s="16">
        <f t="shared" si="3"/>
        <v>0.5833333333</v>
      </c>
      <c r="H31" s="16">
        <f t="shared" si="4"/>
        <v>0.4285714286</v>
      </c>
      <c r="I31" s="12">
        <f t="shared" si="11"/>
        <v>1</v>
      </c>
      <c r="J31" s="11">
        <v>0.0</v>
      </c>
      <c r="K31" s="11">
        <v>1.0</v>
      </c>
      <c r="L31" s="16">
        <f t="shared" si="6"/>
        <v>0.08333333333</v>
      </c>
      <c r="M31" s="16">
        <f t="shared" si="14"/>
        <v>0</v>
      </c>
      <c r="N31" s="12">
        <f t="shared" si="8"/>
        <v>8</v>
      </c>
      <c r="O31" s="18">
        <f t="shared" si="9"/>
        <v>0.6666666667</v>
      </c>
      <c r="P31" s="18">
        <f t="shared" si="10"/>
        <v>2.666666667</v>
      </c>
    </row>
    <row r="32">
      <c r="A32" s="2" t="s">
        <v>115</v>
      </c>
      <c r="B32" s="10">
        <v>2.0</v>
      </c>
      <c r="C32" s="12">
        <f t="shared" si="1"/>
        <v>8</v>
      </c>
      <c r="D32" s="11">
        <v>1.0</v>
      </c>
      <c r="E32" s="20">
        <v>0.0</v>
      </c>
      <c r="F32" s="21">
        <f t="shared" si="2"/>
        <v>1</v>
      </c>
      <c r="G32" s="23">
        <f t="shared" si="3"/>
        <v>0.125</v>
      </c>
      <c r="H32" s="23">
        <f t="shared" si="4"/>
        <v>1</v>
      </c>
      <c r="I32" s="12">
        <f t="shared" si="11"/>
        <v>0</v>
      </c>
      <c r="J32" s="11">
        <v>0.0</v>
      </c>
      <c r="K32" s="11">
        <v>0.0</v>
      </c>
      <c r="L32" s="16">
        <f t="shared" si="6"/>
        <v>0</v>
      </c>
      <c r="M32" s="11" t="s">
        <v>41</v>
      </c>
      <c r="N32" s="12">
        <f t="shared" si="8"/>
        <v>4</v>
      </c>
      <c r="O32" s="18">
        <f t="shared" si="9"/>
        <v>0.5</v>
      </c>
      <c r="P32" s="18">
        <f t="shared" si="10"/>
        <v>2</v>
      </c>
    </row>
    <row r="33">
      <c r="A33" s="2" t="s">
        <v>75</v>
      </c>
      <c r="B33" s="10">
        <v>2.0</v>
      </c>
      <c r="C33" s="12">
        <f t="shared" si="1"/>
        <v>8</v>
      </c>
      <c r="D33" s="11">
        <v>1.0</v>
      </c>
      <c r="E33" s="20">
        <v>0.0</v>
      </c>
      <c r="F33" s="21">
        <f t="shared" si="2"/>
        <v>1</v>
      </c>
      <c r="G33" s="23">
        <f t="shared" si="3"/>
        <v>0.125</v>
      </c>
      <c r="H33" s="23">
        <f t="shared" si="4"/>
        <v>1</v>
      </c>
      <c r="I33" s="12">
        <f t="shared" si="11"/>
        <v>1</v>
      </c>
      <c r="J33" s="11">
        <v>1.0</v>
      </c>
      <c r="K33" s="11">
        <v>0.0</v>
      </c>
      <c r="L33" s="16">
        <f t="shared" si="6"/>
        <v>0.125</v>
      </c>
      <c r="M33" s="16">
        <f>J33/I33</f>
        <v>1</v>
      </c>
      <c r="N33" s="12">
        <f t="shared" si="8"/>
        <v>4</v>
      </c>
      <c r="O33" s="18">
        <f t="shared" si="9"/>
        <v>0.5</v>
      </c>
      <c r="P33" s="18">
        <f t="shared" si="10"/>
        <v>2</v>
      </c>
    </row>
    <row r="34">
      <c r="A34" s="2" t="s">
        <v>121</v>
      </c>
      <c r="B34" s="10">
        <v>2.0</v>
      </c>
      <c r="C34" s="12">
        <f t="shared" si="1"/>
        <v>8</v>
      </c>
      <c r="D34" s="11">
        <v>1.0</v>
      </c>
      <c r="E34" s="11">
        <v>0.0</v>
      </c>
      <c r="F34" s="12">
        <f t="shared" si="2"/>
        <v>1</v>
      </c>
      <c r="G34" s="16">
        <f t="shared" si="3"/>
        <v>0.125</v>
      </c>
      <c r="H34" s="16">
        <f t="shared" si="4"/>
        <v>1</v>
      </c>
      <c r="I34" s="12">
        <f t="shared" si="11"/>
        <v>0</v>
      </c>
      <c r="J34" s="11">
        <v>0.0</v>
      </c>
      <c r="K34" s="11">
        <v>0.0</v>
      </c>
      <c r="L34" s="16">
        <f t="shared" si="6"/>
        <v>0</v>
      </c>
      <c r="M34" s="11" t="s">
        <v>41</v>
      </c>
      <c r="N34" s="12">
        <f t="shared" si="8"/>
        <v>4</v>
      </c>
      <c r="O34" s="18">
        <f t="shared" si="9"/>
        <v>0.5</v>
      </c>
      <c r="P34" s="18">
        <f t="shared" si="10"/>
        <v>2</v>
      </c>
    </row>
    <row r="35">
      <c r="A35" s="2" t="s">
        <v>123</v>
      </c>
      <c r="B35" s="10">
        <v>3.0</v>
      </c>
      <c r="C35" s="12">
        <f t="shared" si="1"/>
        <v>12</v>
      </c>
      <c r="D35" s="11">
        <v>1.0</v>
      </c>
      <c r="E35" s="20">
        <v>0.0</v>
      </c>
      <c r="F35" s="21">
        <f t="shared" si="2"/>
        <v>1</v>
      </c>
      <c r="G35" s="23">
        <f t="shared" si="3"/>
        <v>0.08333333333</v>
      </c>
      <c r="H35" s="23">
        <f t="shared" si="4"/>
        <v>1</v>
      </c>
      <c r="I35" s="12">
        <f t="shared" si="11"/>
        <v>0</v>
      </c>
      <c r="J35" s="11">
        <v>0.0</v>
      </c>
      <c r="K35" s="11">
        <v>0.0</v>
      </c>
      <c r="L35" s="16">
        <f t="shared" si="6"/>
        <v>0</v>
      </c>
      <c r="M35" s="11" t="s">
        <v>41</v>
      </c>
      <c r="N35" s="12">
        <f t="shared" si="8"/>
        <v>4</v>
      </c>
      <c r="O35" s="18">
        <f t="shared" si="9"/>
        <v>0.3333333333</v>
      </c>
      <c r="P35" s="18">
        <f t="shared" si="10"/>
        <v>1.333333333</v>
      </c>
      <c r="R35" s="4"/>
    </row>
    <row r="36">
      <c r="A36" s="2" t="s">
        <v>125</v>
      </c>
      <c r="B36" s="10">
        <v>3.0</v>
      </c>
      <c r="C36" s="12">
        <f t="shared" si="1"/>
        <v>12</v>
      </c>
      <c r="D36" s="11">
        <v>1.0</v>
      </c>
      <c r="E36" s="11">
        <v>0.0</v>
      </c>
      <c r="F36" s="12">
        <f t="shared" si="2"/>
        <v>1</v>
      </c>
      <c r="G36" s="16">
        <f t="shared" si="3"/>
        <v>0.08333333333</v>
      </c>
      <c r="H36" s="16">
        <f t="shared" si="4"/>
        <v>1</v>
      </c>
      <c r="I36" s="12">
        <f t="shared" si="11"/>
        <v>0</v>
      </c>
      <c r="J36" s="11">
        <v>0.0</v>
      </c>
      <c r="K36" s="11">
        <v>0.0</v>
      </c>
      <c r="L36" s="16">
        <f t="shared" si="6"/>
        <v>0</v>
      </c>
      <c r="M36" s="11" t="s">
        <v>41</v>
      </c>
      <c r="N36" s="12">
        <f t="shared" si="8"/>
        <v>4</v>
      </c>
      <c r="O36" s="18">
        <f t="shared" si="9"/>
        <v>0.3333333333</v>
      </c>
      <c r="P36" s="18">
        <f t="shared" si="10"/>
        <v>1.333333333</v>
      </c>
    </row>
    <row r="37">
      <c r="A37" s="2" t="s">
        <v>126</v>
      </c>
      <c r="B37" s="10">
        <v>3.0</v>
      </c>
      <c r="C37" s="12">
        <f t="shared" si="1"/>
        <v>12</v>
      </c>
      <c r="D37" s="11">
        <v>1.0</v>
      </c>
      <c r="E37" s="11">
        <v>0.0</v>
      </c>
      <c r="F37" s="12">
        <f t="shared" si="2"/>
        <v>1</v>
      </c>
      <c r="G37" s="16">
        <f t="shared" si="3"/>
        <v>0.08333333333</v>
      </c>
      <c r="H37" s="16">
        <f t="shared" si="4"/>
        <v>1</v>
      </c>
      <c r="I37" s="12">
        <f t="shared" si="11"/>
        <v>0</v>
      </c>
      <c r="J37" s="11">
        <v>0.0</v>
      </c>
      <c r="K37" s="11">
        <v>0.0</v>
      </c>
      <c r="L37" s="16">
        <f t="shared" si="6"/>
        <v>0</v>
      </c>
      <c r="M37" s="11" t="s">
        <v>41</v>
      </c>
      <c r="N37" s="12">
        <f t="shared" si="8"/>
        <v>4</v>
      </c>
      <c r="O37" s="18">
        <f t="shared" si="9"/>
        <v>0.3333333333</v>
      </c>
      <c r="P37" s="18">
        <f t="shared" si="10"/>
        <v>1.333333333</v>
      </c>
    </row>
    <row r="38">
      <c r="A38" s="2" t="s">
        <v>127</v>
      </c>
      <c r="B38" s="10">
        <v>3.0</v>
      </c>
      <c r="C38" s="12">
        <f t="shared" si="1"/>
        <v>12</v>
      </c>
      <c r="D38" s="11">
        <v>1.0</v>
      </c>
      <c r="E38" s="11">
        <v>0.0</v>
      </c>
      <c r="F38" s="12">
        <f t="shared" si="2"/>
        <v>1</v>
      </c>
      <c r="G38" s="16">
        <f t="shared" si="3"/>
        <v>0.08333333333</v>
      </c>
      <c r="H38" s="16">
        <f t="shared" si="4"/>
        <v>1</v>
      </c>
      <c r="I38" s="12">
        <f t="shared" si="11"/>
        <v>0</v>
      </c>
      <c r="J38" s="11">
        <v>0.0</v>
      </c>
      <c r="K38" s="11">
        <v>0.0</v>
      </c>
      <c r="L38" s="16">
        <f t="shared" si="6"/>
        <v>0</v>
      </c>
      <c r="M38" s="11" t="s">
        <v>41</v>
      </c>
      <c r="N38" s="12">
        <f t="shared" si="8"/>
        <v>4</v>
      </c>
      <c r="O38" s="18">
        <f t="shared" si="9"/>
        <v>0.3333333333</v>
      </c>
      <c r="P38" s="18">
        <f t="shared" si="10"/>
        <v>1.333333333</v>
      </c>
    </row>
    <row r="39">
      <c r="A39" s="2" t="s">
        <v>128</v>
      </c>
      <c r="B39" s="10">
        <v>3.0</v>
      </c>
      <c r="C39" s="12">
        <f t="shared" si="1"/>
        <v>12</v>
      </c>
      <c r="D39" s="11">
        <v>1.0</v>
      </c>
      <c r="E39" s="11">
        <v>0.0</v>
      </c>
      <c r="F39" s="12">
        <f t="shared" si="2"/>
        <v>1</v>
      </c>
      <c r="G39" s="16">
        <f t="shared" si="3"/>
        <v>0.08333333333</v>
      </c>
      <c r="H39" s="16">
        <f t="shared" si="4"/>
        <v>1</v>
      </c>
      <c r="I39" s="12">
        <f t="shared" si="11"/>
        <v>0</v>
      </c>
      <c r="J39" s="11">
        <v>0.0</v>
      </c>
      <c r="K39" s="11">
        <v>0.0</v>
      </c>
      <c r="L39" s="16">
        <f t="shared" si="6"/>
        <v>0</v>
      </c>
      <c r="M39" s="11" t="s">
        <v>41</v>
      </c>
      <c r="N39" s="12">
        <f t="shared" si="8"/>
        <v>4</v>
      </c>
      <c r="O39" s="18">
        <f t="shared" si="9"/>
        <v>0.3333333333</v>
      </c>
      <c r="P39" s="18">
        <f t="shared" si="10"/>
        <v>1.333333333</v>
      </c>
    </row>
    <row r="40">
      <c r="A40" s="2" t="s">
        <v>129</v>
      </c>
      <c r="B40" s="10">
        <v>3.0</v>
      </c>
      <c r="C40" s="12">
        <f t="shared" si="1"/>
        <v>12</v>
      </c>
      <c r="D40" s="11">
        <v>1.0</v>
      </c>
      <c r="E40" s="11">
        <v>0.0</v>
      </c>
      <c r="F40" s="12">
        <f t="shared" si="2"/>
        <v>1</v>
      </c>
      <c r="G40" s="16">
        <f t="shared" si="3"/>
        <v>0.08333333333</v>
      </c>
      <c r="H40" s="16">
        <f t="shared" si="4"/>
        <v>1</v>
      </c>
      <c r="I40" s="12">
        <f t="shared" si="11"/>
        <v>0</v>
      </c>
      <c r="J40" s="11">
        <v>0.0</v>
      </c>
      <c r="K40" s="11">
        <v>0.0</v>
      </c>
      <c r="L40" s="16">
        <f t="shared" si="6"/>
        <v>0</v>
      </c>
      <c r="M40" s="11" t="s">
        <v>41</v>
      </c>
      <c r="N40" s="12">
        <f t="shared" si="8"/>
        <v>4</v>
      </c>
      <c r="O40" s="18">
        <f t="shared" si="9"/>
        <v>0.3333333333</v>
      </c>
      <c r="P40" s="18">
        <f t="shared" si="10"/>
        <v>1.333333333</v>
      </c>
    </row>
    <row r="41">
      <c r="A41" s="2" t="s">
        <v>131</v>
      </c>
      <c r="B41" s="10">
        <v>3.0</v>
      </c>
      <c r="C41" s="12">
        <f t="shared" si="1"/>
        <v>12</v>
      </c>
      <c r="D41" s="11">
        <v>1.0</v>
      </c>
      <c r="E41" s="11">
        <v>0.0</v>
      </c>
      <c r="F41" s="12">
        <f t="shared" si="2"/>
        <v>1</v>
      </c>
      <c r="G41" s="16">
        <f t="shared" si="3"/>
        <v>0.08333333333</v>
      </c>
      <c r="H41" s="16">
        <f t="shared" si="4"/>
        <v>1</v>
      </c>
      <c r="I41" s="12">
        <f t="shared" si="11"/>
        <v>0</v>
      </c>
      <c r="J41" s="11">
        <v>0.0</v>
      </c>
      <c r="K41" s="11">
        <v>0.0</v>
      </c>
      <c r="L41" s="16">
        <f t="shared" si="6"/>
        <v>0</v>
      </c>
      <c r="M41" s="11" t="s">
        <v>41</v>
      </c>
      <c r="N41" s="12">
        <f t="shared" si="8"/>
        <v>4</v>
      </c>
      <c r="O41" s="18">
        <f t="shared" si="9"/>
        <v>0.3333333333</v>
      </c>
      <c r="P41" s="18">
        <f t="shared" si="10"/>
        <v>1.333333333</v>
      </c>
    </row>
    <row r="42">
      <c r="A42" s="2" t="s">
        <v>132</v>
      </c>
      <c r="B42" s="10">
        <v>3.0</v>
      </c>
      <c r="C42" s="12">
        <f t="shared" si="1"/>
        <v>12</v>
      </c>
      <c r="D42" s="11">
        <v>1.0</v>
      </c>
      <c r="E42" s="10">
        <v>0.0</v>
      </c>
      <c r="F42" s="22">
        <f t="shared" si="2"/>
        <v>1</v>
      </c>
      <c r="G42" s="24">
        <f t="shared" si="3"/>
        <v>0.08333333333</v>
      </c>
      <c r="H42" s="24">
        <f t="shared" si="4"/>
        <v>1</v>
      </c>
      <c r="I42" s="12">
        <f t="shared" si="11"/>
        <v>0</v>
      </c>
      <c r="J42" s="11">
        <v>0.0</v>
      </c>
      <c r="K42" s="11">
        <v>0.0</v>
      </c>
      <c r="L42" s="16">
        <f t="shared" si="6"/>
        <v>0</v>
      </c>
      <c r="M42" s="11" t="s">
        <v>41</v>
      </c>
      <c r="N42" s="12">
        <f t="shared" si="8"/>
        <v>4</v>
      </c>
      <c r="O42" s="18">
        <f t="shared" si="9"/>
        <v>0.3333333333</v>
      </c>
      <c r="P42" s="18">
        <f t="shared" si="10"/>
        <v>1.333333333</v>
      </c>
    </row>
    <row r="43">
      <c r="A43" s="2" t="s">
        <v>122</v>
      </c>
      <c r="B43" s="10">
        <v>3.0</v>
      </c>
      <c r="C43" s="12">
        <f t="shared" si="1"/>
        <v>12</v>
      </c>
      <c r="D43" s="11">
        <v>1.0</v>
      </c>
      <c r="E43" s="11">
        <v>0.0</v>
      </c>
      <c r="F43" s="12">
        <f t="shared" si="2"/>
        <v>1</v>
      </c>
      <c r="G43" s="16">
        <f t="shared" si="3"/>
        <v>0.08333333333</v>
      </c>
      <c r="H43" s="16">
        <f t="shared" si="4"/>
        <v>1</v>
      </c>
      <c r="I43" s="12">
        <f t="shared" si="11"/>
        <v>0</v>
      </c>
      <c r="J43" s="11">
        <v>0.0</v>
      </c>
      <c r="K43" s="11">
        <v>0.0</v>
      </c>
      <c r="L43" s="16">
        <f t="shared" si="6"/>
        <v>0</v>
      </c>
      <c r="M43" s="11" t="s">
        <v>41</v>
      </c>
      <c r="N43" s="12">
        <f t="shared" si="8"/>
        <v>4</v>
      </c>
      <c r="O43" s="18">
        <f t="shared" si="9"/>
        <v>0.3333333333</v>
      </c>
      <c r="P43" s="18">
        <f t="shared" si="10"/>
        <v>1.333333333</v>
      </c>
    </row>
    <row r="44">
      <c r="A44" s="2" t="s">
        <v>134</v>
      </c>
      <c r="B44" s="10">
        <v>3.0</v>
      </c>
      <c r="C44" s="12">
        <f t="shared" si="1"/>
        <v>12</v>
      </c>
      <c r="D44" s="11">
        <v>1.0</v>
      </c>
      <c r="E44" s="11">
        <v>0.0</v>
      </c>
      <c r="F44" s="12">
        <f t="shared" si="2"/>
        <v>1</v>
      </c>
      <c r="G44" s="16">
        <f t="shared" si="3"/>
        <v>0.08333333333</v>
      </c>
      <c r="H44" s="16">
        <f t="shared" si="4"/>
        <v>1</v>
      </c>
      <c r="I44" s="12">
        <f t="shared" si="11"/>
        <v>0</v>
      </c>
      <c r="J44" s="11">
        <v>0.0</v>
      </c>
      <c r="K44" s="11">
        <v>0.0</v>
      </c>
      <c r="L44" s="16">
        <f t="shared" si="6"/>
        <v>0</v>
      </c>
      <c r="M44" s="11" t="s">
        <v>41</v>
      </c>
      <c r="N44" s="12">
        <f t="shared" si="8"/>
        <v>4</v>
      </c>
      <c r="O44" s="18">
        <f t="shared" si="9"/>
        <v>0.3333333333</v>
      </c>
      <c r="P44" s="18">
        <f t="shared" si="10"/>
        <v>1.333333333</v>
      </c>
    </row>
    <row r="45">
      <c r="A45" s="2" t="s">
        <v>136</v>
      </c>
      <c r="B45" s="10">
        <v>3.0</v>
      </c>
      <c r="C45" s="12">
        <f t="shared" si="1"/>
        <v>12</v>
      </c>
      <c r="D45" s="11">
        <v>1.0</v>
      </c>
      <c r="E45" s="20">
        <v>0.0</v>
      </c>
      <c r="F45" s="21">
        <f t="shared" si="2"/>
        <v>1</v>
      </c>
      <c r="G45" s="23">
        <f t="shared" si="3"/>
        <v>0.08333333333</v>
      </c>
      <c r="H45" s="23">
        <f t="shared" si="4"/>
        <v>1</v>
      </c>
      <c r="I45" s="12">
        <f t="shared" si="11"/>
        <v>0</v>
      </c>
      <c r="J45" s="11">
        <v>0.0</v>
      </c>
      <c r="K45" s="11">
        <v>0.0</v>
      </c>
      <c r="L45" s="16">
        <f t="shared" si="6"/>
        <v>0</v>
      </c>
      <c r="M45" s="11" t="s">
        <v>41</v>
      </c>
      <c r="N45" s="12">
        <f t="shared" si="8"/>
        <v>4</v>
      </c>
      <c r="O45" s="18">
        <f t="shared" si="9"/>
        <v>0.3333333333</v>
      </c>
      <c r="P45" s="18">
        <f t="shared" si="10"/>
        <v>1.333333333</v>
      </c>
    </row>
    <row r="46">
      <c r="A46" s="2" t="s">
        <v>139</v>
      </c>
      <c r="B46" s="10">
        <v>3.0</v>
      </c>
      <c r="C46" s="12">
        <f t="shared" si="1"/>
        <v>12</v>
      </c>
      <c r="D46" s="11">
        <v>1.0</v>
      </c>
      <c r="E46" s="11">
        <v>1.0</v>
      </c>
      <c r="F46" s="12">
        <f t="shared" si="2"/>
        <v>2</v>
      </c>
      <c r="G46" s="16">
        <f t="shared" si="3"/>
        <v>0.1666666667</v>
      </c>
      <c r="H46" s="16">
        <f t="shared" si="4"/>
        <v>0.5</v>
      </c>
      <c r="I46" s="11">
        <v>1.0</v>
      </c>
      <c r="J46" s="11">
        <v>0.0</v>
      </c>
      <c r="K46" s="11">
        <v>0.0</v>
      </c>
      <c r="L46" s="16">
        <f t="shared" si="6"/>
        <v>0.08333333333</v>
      </c>
      <c r="M46" s="16">
        <f>J46/I46</f>
        <v>0</v>
      </c>
      <c r="N46" s="12">
        <f t="shared" si="8"/>
        <v>4</v>
      </c>
      <c r="O46" s="18">
        <f t="shared" si="9"/>
        <v>0.3333333333</v>
      </c>
      <c r="P46" s="18">
        <f t="shared" si="10"/>
        <v>1.333333333</v>
      </c>
    </row>
    <row r="47">
      <c r="A47" s="2" t="s">
        <v>140</v>
      </c>
      <c r="B47" s="10">
        <v>3.0</v>
      </c>
      <c r="C47" s="12">
        <f t="shared" si="1"/>
        <v>12</v>
      </c>
      <c r="D47" s="11">
        <v>1.0</v>
      </c>
      <c r="E47" s="11">
        <v>1.0</v>
      </c>
      <c r="F47" s="12">
        <f t="shared" si="2"/>
        <v>2</v>
      </c>
      <c r="G47" s="16">
        <f t="shared" si="3"/>
        <v>0.1666666667</v>
      </c>
      <c r="H47" s="16">
        <f t="shared" si="4"/>
        <v>0.5</v>
      </c>
      <c r="I47" s="12">
        <f t="shared" ref="I47:I139" si="15">J47+K47</f>
        <v>0</v>
      </c>
      <c r="J47" s="11">
        <v>0.0</v>
      </c>
      <c r="K47" s="11">
        <v>0.0</v>
      </c>
      <c r="L47" s="16">
        <f t="shared" si="6"/>
        <v>0</v>
      </c>
      <c r="M47" s="11" t="s">
        <v>41</v>
      </c>
      <c r="N47" s="12">
        <f t="shared" si="8"/>
        <v>4</v>
      </c>
      <c r="O47" s="18">
        <f t="shared" si="9"/>
        <v>0.3333333333</v>
      </c>
      <c r="P47" s="18">
        <f t="shared" si="10"/>
        <v>1.333333333</v>
      </c>
    </row>
    <row r="48">
      <c r="A48" s="2" t="s">
        <v>86</v>
      </c>
      <c r="B48" s="10">
        <v>3.0</v>
      </c>
      <c r="C48" s="12">
        <f t="shared" si="1"/>
        <v>12</v>
      </c>
      <c r="D48" s="11">
        <v>1.0</v>
      </c>
      <c r="E48" s="11">
        <v>1.0</v>
      </c>
      <c r="F48" s="12">
        <f t="shared" si="2"/>
        <v>2</v>
      </c>
      <c r="G48" s="16">
        <f t="shared" si="3"/>
        <v>0.1666666667</v>
      </c>
      <c r="H48" s="16">
        <f t="shared" si="4"/>
        <v>0.5</v>
      </c>
      <c r="I48" s="12">
        <f t="shared" si="15"/>
        <v>0</v>
      </c>
      <c r="J48" s="11">
        <v>0.0</v>
      </c>
      <c r="K48" s="11">
        <v>0.0</v>
      </c>
      <c r="L48" s="16">
        <f t="shared" si="6"/>
        <v>0</v>
      </c>
      <c r="M48" s="11" t="s">
        <v>41</v>
      </c>
      <c r="N48" s="12">
        <f t="shared" si="8"/>
        <v>4</v>
      </c>
      <c r="O48" s="18">
        <f t="shared" si="9"/>
        <v>0.3333333333</v>
      </c>
      <c r="P48" s="18">
        <f t="shared" si="10"/>
        <v>1.333333333</v>
      </c>
    </row>
    <row r="49">
      <c r="A49" s="2" t="s">
        <v>143</v>
      </c>
      <c r="B49" s="10">
        <v>3.0</v>
      </c>
      <c r="C49" s="12">
        <f t="shared" si="1"/>
        <v>12</v>
      </c>
      <c r="D49" s="11">
        <v>1.0</v>
      </c>
      <c r="E49" s="11">
        <v>1.0</v>
      </c>
      <c r="F49" s="12">
        <f t="shared" si="2"/>
        <v>2</v>
      </c>
      <c r="G49" s="16">
        <f t="shared" si="3"/>
        <v>0.1666666667</v>
      </c>
      <c r="H49" s="16">
        <f t="shared" si="4"/>
        <v>0.5</v>
      </c>
      <c r="I49" s="12">
        <f t="shared" si="15"/>
        <v>0</v>
      </c>
      <c r="J49" s="11">
        <v>0.0</v>
      </c>
      <c r="K49" s="11">
        <v>0.0</v>
      </c>
      <c r="L49" s="16">
        <f t="shared" si="6"/>
        <v>0</v>
      </c>
      <c r="M49" s="11" t="s">
        <v>41</v>
      </c>
      <c r="N49" s="12">
        <f t="shared" si="8"/>
        <v>4</v>
      </c>
      <c r="O49" s="18">
        <f t="shared" si="9"/>
        <v>0.3333333333</v>
      </c>
      <c r="P49" s="18">
        <f t="shared" si="10"/>
        <v>1.333333333</v>
      </c>
    </row>
    <row r="50">
      <c r="A50" s="2" t="s">
        <v>82</v>
      </c>
      <c r="B50" s="10">
        <v>3.0</v>
      </c>
      <c r="C50" s="12">
        <f t="shared" si="1"/>
        <v>12</v>
      </c>
      <c r="D50" s="11">
        <v>1.0</v>
      </c>
      <c r="E50" s="11">
        <v>1.0</v>
      </c>
      <c r="F50" s="12">
        <f t="shared" si="2"/>
        <v>2</v>
      </c>
      <c r="G50" s="16">
        <f t="shared" si="3"/>
        <v>0.1666666667</v>
      </c>
      <c r="H50" s="16">
        <f t="shared" si="4"/>
        <v>0.5</v>
      </c>
      <c r="I50" s="12">
        <f t="shared" si="15"/>
        <v>0</v>
      </c>
      <c r="J50" s="11">
        <v>0.0</v>
      </c>
      <c r="K50" s="11">
        <v>0.0</v>
      </c>
      <c r="L50" s="16">
        <f t="shared" si="6"/>
        <v>0</v>
      </c>
      <c r="M50" s="11" t="s">
        <v>41</v>
      </c>
      <c r="N50" s="12">
        <f t="shared" si="8"/>
        <v>4</v>
      </c>
      <c r="O50" s="18">
        <f t="shared" si="9"/>
        <v>0.3333333333</v>
      </c>
      <c r="P50" s="18">
        <f t="shared" si="10"/>
        <v>1.333333333</v>
      </c>
    </row>
    <row r="51">
      <c r="A51" s="2" t="s">
        <v>144</v>
      </c>
      <c r="B51" s="10">
        <v>3.0</v>
      </c>
      <c r="C51" s="12">
        <f t="shared" si="1"/>
        <v>12</v>
      </c>
      <c r="D51" s="11">
        <v>1.0</v>
      </c>
      <c r="E51" s="11">
        <v>1.0</v>
      </c>
      <c r="F51" s="12">
        <f t="shared" si="2"/>
        <v>2</v>
      </c>
      <c r="G51" s="16">
        <f t="shared" si="3"/>
        <v>0.1666666667</v>
      </c>
      <c r="H51" s="16">
        <f t="shared" si="4"/>
        <v>0.5</v>
      </c>
      <c r="I51" s="12">
        <f t="shared" si="15"/>
        <v>0</v>
      </c>
      <c r="J51" s="11">
        <v>0.0</v>
      </c>
      <c r="K51" s="11">
        <v>0.0</v>
      </c>
      <c r="L51" s="16">
        <f t="shared" si="6"/>
        <v>0</v>
      </c>
      <c r="M51" s="11" t="s">
        <v>41</v>
      </c>
      <c r="N51" s="12">
        <f t="shared" si="8"/>
        <v>4</v>
      </c>
      <c r="O51" s="18">
        <f t="shared" si="9"/>
        <v>0.3333333333</v>
      </c>
      <c r="P51" s="18">
        <f t="shared" si="10"/>
        <v>1.333333333</v>
      </c>
    </row>
    <row r="52">
      <c r="A52" s="2" t="s">
        <v>133</v>
      </c>
      <c r="B52" s="10">
        <v>3.0</v>
      </c>
      <c r="C52" s="12">
        <f t="shared" si="1"/>
        <v>12</v>
      </c>
      <c r="D52" s="11">
        <v>1.0</v>
      </c>
      <c r="E52" s="11">
        <v>1.0</v>
      </c>
      <c r="F52" s="12">
        <f t="shared" si="2"/>
        <v>2</v>
      </c>
      <c r="G52" s="16">
        <f t="shared" si="3"/>
        <v>0.1666666667</v>
      </c>
      <c r="H52" s="16">
        <f t="shared" si="4"/>
        <v>0.5</v>
      </c>
      <c r="I52" s="12">
        <f t="shared" si="15"/>
        <v>0</v>
      </c>
      <c r="J52" s="11">
        <v>0.0</v>
      </c>
      <c r="K52" s="11">
        <v>0.0</v>
      </c>
      <c r="L52" s="16">
        <f t="shared" si="6"/>
        <v>0</v>
      </c>
      <c r="M52" s="11" t="s">
        <v>41</v>
      </c>
      <c r="N52" s="12">
        <f t="shared" si="8"/>
        <v>4</v>
      </c>
      <c r="O52" s="18">
        <f t="shared" si="9"/>
        <v>0.3333333333</v>
      </c>
      <c r="P52" s="18">
        <f t="shared" si="10"/>
        <v>1.333333333</v>
      </c>
    </row>
    <row r="53">
      <c r="A53" s="2" t="s">
        <v>73</v>
      </c>
      <c r="B53" s="10">
        <v>3.0</v>
      </c>
      <c r="C53" s="12">
        <f t="shared" si="1"/>
        <v>12</v>
      </c>
      <c r="D53" s="11">
        <v>1.0</v>
      </c>
      <c r="E53" s="11">
        <v>1.0</v>
      </c>
      <c r="F53" s="12">
        <f t="shared" si="2"/>
        <v>2</v>
      </c>
      <c r="G53" s="16">
        <f t="shared" si="3"/>
        <v>0.1666666667</v>
      </c>
      <c r="H53" s="16">
        <f t="shared" si="4"/>
        <v>0.5</v>
      </c>
      <c r="I53" s="12">
        <f t="shared" si="15"/>
        <v>0</v>
      </c>
      <c r="J53" s="11">
        <v>0.0</v>
      </c>
      <c r="K53" s="11">
        <v>0.0</v>
      </c>
      <c r="L53" s="16">
        <f t="shared" si="6"/>
        <v>0</v>
      </c>
      <c r="M53" s="11" t="s">
        <v>41</v>
      </c>
      <c r="N53" s="12">
        <f t="shared" si="8"/>
        <v>4</v>
      </c>
      <c r="O53" s="18">
        <f t="shared" si="9"/>
        <v>0.3333333333</v>
      </c>
      <c r="P53" s="18">
        <f t="shared" si="10"/>
        <v>1.333333333</v>
      </c>
    </row>
    <row r="54">
      <c r="A54" s="2" t="s">
        <v>80</v>
      </c>
      <c r="B54" s="10">
        <v>3.0</v>
      </c>
      <c r="C54" s="12">
        <f t="shared" si="1"/>
        <v>12</v>
      </c>
      <c r="D54" s="11">
        <v>0.0</v>
      </c>
      <c r="E54" s="20">
        <v>0.0</v>
      </c>
      <c r="F54" s="21">
        <f t="shared" si="2"/>
        <v>0</v>
      </c>
      <c r="G54" s="23">
        <f t="shared" si="3"/>
        <v>0</v>
      </c>
      <c r="H54" s="20" t="s">
        <v>41</v>
      </c>
      <c r="I54" s="12">
        <f t="shared" si="15"/>
        <v>0</v>
      </c>
      <c r="J54" s="11">
        <v>0.0</v>
      </c>
      <c r="K54" s="11">
        <v>0.0</v>
      </c>
      <c r="L54" s="16">
        <f t="shared" si="6"/>
        <v>0</v>
      </c>
      <c r="M54" s="11" t="s">
        <v>41</v>
      </c>
      <c r="N54" s="12">
        <f t="shared" si="8"/>
        <v>0</v>
      </c>
      <c r="O54" s="18">
        <f t="shared" si="9"/>
        <v>0</v>
      </c>
      <c r="P54" s="18">
        <f t="shared" si="10"/>
        <v>0</v>
      </c>
      <c r="R54" s="4"/>
    </row>
    <row r="55">
      <c r="A55" s="2" t="s">
        <v>137</v>
      </c>
      <c r="B55" s="10">
        <v>3.0</v>
      </c>
      <c r="C55" s="12">
        <f t="shared" si="1"/>
        <v>12</v>
      </c>
      <c r="D55" s="11">
        <v>0.0</v>
      </c>
      <c r="E55" s="11">
        <v>0.0</v>
      </c>
      <c r="F55" s="12">
        <f t="shared" si="2"/>
        <v>0</v>
      </c>
      <c r="G55" s="16">
        <f t="shared" si="3"/>
        <v>0</v>
      </c>
      <c r="H55" s="11" t="s">
        <v>41</v>
      </c>
      <c r="I55" s="12">
        <f t="shared" si="15"/>
        <v>0</v>
      </c>
      <c r="J55" s="11">
        <v>0.0</v>
      </c>
      <c r="K55" s="11">
        <v>0.0</v>
      </c>
      <c r="L55" s="16">
        <f t="shared" si="6"/>
        <v>0</v>
      </c>
      <c r="M55" s="11" t="s">
        <v>41</v>
      </c>
      <c r="N55" s="12">
        <f t="shared" si="8"/>
        <v>0</v>
      </c>
      <c r="O55" s="18">
        <f t="shared" si="9"/>
        <v>0</v>
      </c>
      <c r="P55" s="18">
        <f t="shared" si="10"/>
        <v>0</v>
      </c>
    </row>
    <row r="56">
      <c r="A56" s="2" t="s">
        <v>54</v>
      </c>
      <c r="B56" s="10">
        <v>3.0</v>
      </c>
      <c r="C56" s="12">
        <f t="shared" si="1"/>
        <v>12</v>
      </c>
      <c r="D56" s="11">
        <v>0.0</v>
      </c>
      <c r="E56" s="11">
        <v>0.0</v>
      </c>
      <c r="F56" s="12">
        <f t="shared" si="2"/>
        <v>0</v>
      </c>
      <c r="G56" s="16">
        <f t="shared" si="3"/>
        <v>0</v>
      </c>
      <c r="H56" s="11" t="s">
        <v>41</v>
      </c>
      <c r="I56" s="12">
        <f t="shared" si="15"/>
        <v>0</v>
      </c>
      <c r="J56" s="11">
        <v>0.0</v>
      </c>
      <c r="K56" s="11">
        <v>0.0</v>
      </c>
      <c r="L56" s="16">
        <f t="shared" si="6"/>
        <v>0</v>
      </c>
      <c r="M56" s="11" t="s">
        <v>41</v>
      </c>
      <c r="N56" s="12">
        <f t="shared" si="8"/>
        <v>0</v>
      </c>
      <c r="O56" s="18">
        <f t="shared" si="9"/>
        <v>0</v>
      </c>
      <c r="P56" s="18">
        <f t="shared" si="10"/>
        <v>0</v>
      </c>
    </row>
    <row r="57">
      <c r="A57" s="2" t="s">
        <v>142</v>
      </c>
      <c r="B57" s="10">
        <v>3.0</v>
      </c>
      <c r="C57" s="12">
        <f t="shared" si="1"/>
        <v>12</v>
      </c>
      <c r="D57" s="11">
        <v>0.0</v>
      </c>
      <c r="E57" s="20">
        <v>0.0</v>
      </c>
      <c r="F57" s="21">
        <f t="shared" si="2"/>
        <v>0</v>
      </c>
      <c r="G57" s="23">
        <f t="shared" si="3"/>
        <v>0</v>
      </c>
      <c r="H57" s="20" t="s">
        <v>41</v>
      </c>
      <c r="I57" s="12">
        <f t="shared" si="15"/>
        <v>0</v>
      </c>
      <c r="J57" s="11">
        <v>0.0</v>
      </c>
      <c r="K57" s="11">
        <v>0.0</v>
      </c>
      <c r="L57" s="16">
        <f t="shared" si="6"/>
        <v>0</v>
      </c>
      <c r="M57" s="11" t="s">
        <v>41</v>
      </c>
      <c r="N57" s="12">
        <f t="shared" si="8"/>
        <v>0</v>
      </c>
      <c r="O57" s="18">
        <f t="shared" si="9"/>
        <v>0</v>
      </c>
      <c r="P57" s="18">
        <f t="shared" si="10"/>
        <v>0</v>
      </c>
    </row>
    <row r="58">
      <c r="A58" s="2" t="s">
        <v>148</v>
      </c>
      <c r="B58" s="10">
        <v>3.0</v>
      </c>
      <c r="C58" s="12">
        <f t="shared" si="1"/>
        <v>12</v>
      </c>
      <c r="D58" s="11">
        <v>0.0</v>
      </c>
      <c r="E58" s="11">
        <v>0.0</v>
      </c>
      <c r="F58" s="12">
        <f t="shared" si="2"/>
        <v>0</v>
      </c>
      <c r="G58" s="16">
        <f t="shared" si="3"/>
        <v>0</v>
      </c>
      <c r="H58" s="11" t="s">
        <v>41</v>
      </c>
      <c r="I58" s="12">
        <f t="shared" si="15"/>
        <v>0</v>
      </c>
      <c r="J58" s="11">
        <v>0.0</v>
      </c>
      <c r="K58" s="11">
        <v>0.0</v>
      </c>
      <c r="L58" s="16">
        <f t="shared" si="6"/>
        <v>0</v>
      </c>
      <c r="M58" s="11" t="s">
        <v>41</v>
      </c>
      <c r="N58" s="12">
        <f t="shared" si="8"/>
        <v>0</v>
      </c>
      <c r="O58" s="18">
        <f t="shared" si="9"/>
        <v>0</v>
      </c>
      <c r="P58" s="18">
        <f t="shared" si="10"/>
        <v>0</v>
      </c>
    </row>
    <row r="59">
      <c r="A59" s="2" t="s">
        <v>66</v>
      </c>
      <c r="B59" s="10">
        <v>3.0</v>
      </c>
      <c r="C59" s="12">
        <f t="shared" si="1"/>
        <v>12</v>
      </c>
      <c r="D59" s="11">
        <v>0.0</v>
      </c>
      <c r="E59" s="11">
        <v>0.0</v>
      </c>
      <c r="F59" s="12">
        <f t="shared" si="2"/>
        <v>0</v>
      </c>
      <c r="G59" s="16">
        <f t="shared" si="3"/>
        <v>0</v>
      </c>
      <c r="H59" s="11" t="s">
        <v>41</v>
      </c>
      <c r="I59" s="12">
        <f t="shared" si="15"/>
        <v>0</v>
      </c>
      <c r="J59" s="11">
        <v>0.0</v>
      </c>
      <c r="K59" s="11">
        <v>0.0</v>
      </c>
      <c r="L59" s="16">
        <f t="shared" si="6"/>
        <v>0</v>
      </c>
      <c r="M59" s="11" t="s">
        <v>41</v>
      </c>
      <c r="N59" s="12">
        <f t="shared" si="8"/>
        <v>0</v>
      </c>
      <c r="O59" s="18">
        <f t="shared" si="9"/>
        <v>0</v>
      </c>
      <c r="P59" s="18">
        <f t="shared" si="10"/>
        <v>0</v>
      </c>
    </row>
    <row r="60">
      <c r="A60" s="2" t="s">
        <v>149</v>
      </c>
      <c r="B60" s="10">
        <v>3.0</v>
      </c>
      <c r="C60" s="12">
        <f t="shared" si="1"/>
        <v>12</v>
      </c>
      <c r="D60" s="11">
        <v>0.0</v>
      </c>
      <c r="E60" s="11">
        <v>0.0</v>
      </c>
      <c r="F60" s="12">
        <f t="shared" si="2"/>
        <v>0</v>
      </c>
      <c r="G60" s="16">
        <f t="shared" si="3"/>
        <v>0</v>
      </c>
      <c r="H60" s="11" t="s">
        <v>41</v>
      </c>
      <c r="I60" s="12">
        <f t="shared" si="15"/>
        <v>0</v>
      </c>
      <c r="J60" s="11">
        <v>0.0</v>
      </c>
      <c r="K60" s="11">
        <v>0.0</v>
      </c>
      <c r="L60" s="16">
        <f t="shared" si="6"/>
        <v>0</v>
      </c>
      <c r="M60" s="11" t="s">
        <v>41</v>
      </c>
      <c r="N60" s="12">
        <f t="shared" si="8"/>
        <v>0</v>
      </c>
      <c r="O60" s="18">
        <f t="shared" si="9"/>
        <v>0</v>
      </c>
      <c r="P60" s="18">
        <f t="shared" si="10"/>
        <v>0</v>
      </c>
    </row>
    <row r="61">
      <c r="A61" s="2" t="s">
        <v>95</v>
      </c>
      <c r="B61" s="10">
        <v>3.0</v>
      </c>
      <c r="C61" s="12">
        <f t="shared" si="1"/>
        <v>12</v>
      </c>
      <c r="D61" s="11">
        <v>0.0</v>
      </c>
      <c r="E61" s="11">
        <v>0.0</v>
      </c>
      <c r="F61" s="12">
        <f t="shared" si="2"/>
        <v>0</v>
      </c>
      <c r="G61" s="16">
        <f t="shared" si="3"/>
        <v>0</v>
      </c>
      <c r="H61" s="11" t="s">
        <v>41</v>
      </c>
      <c r="I61" s="12">
        <f t="shared" si="15"/>
        <v>0</v>
      </c>
      <c r="J61" s="11">
        <v>0.0</v>
      </c>
      <c r="K61" s="11">
        <v>0.0</v>
      </c>
      <c r="L61" s="16">
        <f t="shared" si="6"/>
        <v>0</v>
      </c>
      <c r="M61" s="11" t="s">
        <v>41</v>
      </c>
      <c r="N61" s="12">
        <f t="shared" si="8"/>
        <v>0</v>
      </c>
      <c r="O61" s="18">
        <f t="shared" si="9"/>
        <v>0</v>
      </c>
      <c r="P61" s="18">
        <f t="shared" si="10"/>
        <v>0</v>
      </c>
    </row>
    <row r="62">
      <c r="A62" s="2" t="s">
        <v>151</v>
      </c>
      <c r="B62" s="10">
        <v>3.0</v>
      </c>
      <c r="C62" s="12">
        <f t="shared" si="1"/>
        <v>12</v>
      </c>
      <c r="D62" s="11">
        <v>0.0</v>
      </c>
      <c r="E62" s="10">
        <v>0.0</v>
      </c>
      <c r="F62" s="22">
        <f t="shared" si="2"/>
        <v>0</v>
      </c>
      <c r="G62" s="24">
        <f t="shared" si="3"/>
        <v>0</v>
      </c>
      <c r="H62" s="10" t="s">
        <v>41</v>
      </c>
      <c r="I62" s="12">
        <f t="shared" si="15"/>
        <v>0</v>
      </c>
      <c r="J62" s="11">
        <v>0.0</v>
      </c>
      <c r="K62" s="11">
        <v>0.0</v>
      </c>
      <c r="L62" s="16">
        <f t="shared" si="6"/>
        <v>0</v>
      </c>
      <c r="M62" s="11" t="s">
        <v>41</v>
      </c>
      <c r="N62" s="12">
        <f t="shared" si="8"/>
        <v>0</v>
      </c>
      <c r="O62" s="18">
        <f t="shared" si="9"/>
        <v>0</v>
      </c>
      <c r="P62" s="18">
        <f t="shared" si="10"/>
        <v>0</v>
      </c>
    </row>
    <row r="63">
      <c r="A63" s="2" t="s">
        <v>69</v>
      </c>
      <c r="B63" s="10">
        <v>3.0</v>
      </c>
      <c r="C63" s="12">
        <f t="shared" si="1"/>
        <v>12</v>
      </c>
      <c r="D63" s="11">
        <v>0.0</v>
      </c>
      <c r="E63" s="11">
        <v>0.0</v>
      </c>
      <c r="F63" s="12">
        <f t="shared" si="2"/>
        <v>0</v>
      </c>
      <c r="G63" s="16">
        <f t="shared" si="3"/>
        <v>0</v>
      </c>
      <c r="H63" s="11" t="s">
        <v>41</v>
      </c>
      <c r="I63" s="12">
        <f t="shared" si="15"/>
        <v>0</v>
      </c>
      <c r="J63" s="11">
        <v>0.0</v>
      </c>
      <c r="K63" s="11">
        <v>0.0</v>
      </c>
      <c r="L63" s="16">
        <f t="shared" si="6"/>
        <v>0</v>
      </c>
      <c r="M63" s="11" t="s">
        <v>41</v>
      </c>
      <c r="N63" s="12">
        <f t="shared" si="8"/>
        <v>0</v>
      </c>
      <c r="O63" s="18">
        <f t="shared" si="9"/>
        <v>0</v>
      </c>
      <c r="P63" s="18">
        <f t="shared" si="10"/>
        <v>0</v>
      </c>
    </row>
    <row r="64">
      <c r="A64" s="2" t="s">
        <v>105</v>
      </c>
      <c r="B64" s="10">
        <v>3.0</v>
      </c>
      <c r="C64" s="12">
        <f t="shared" si="1"/>
        <v>12</v>
      </c>
      <c r="D64" s="11">
        <v>0.0</v>
      </c>
      <c r="E64" s="11">
        <v>0.0</v>
      </c>
      <c r="F64" s="12">
        <f t="shared" si="2"/>
        <v>0</v>
      </c>
      <c r="G64" s="16">
        <f t="shared" si="3"/>
        <v>0</v>
      </c>
      <c r="H64" s="11" t="s">
        <v>41</v>
      </c>
      <c r="I64" s="12">
        <f t="shared" si="15"/>
        <v>0</v>
      </c>
      <c r="J64" s="11">
        <v>0.0</v>
      </c>
      <c r="K64" s="11">
        <v>0.0</v>
      </c>
      <c r="L64" s="16">
        <f t="shared" si="6"/>
        <v>0</v>
      </c>
      <c r="M64" s="11" t="s">
        <v>41</v>
      </c>
      <c r="N64" s="12">
        <f t="shared" si="8"/>
        <v>0</v>
      </c>
      <c r="O64" s="18">
        <f t="shared" si="9"/>
        <v>0</v>
      </c>
      <c r="P64" s="18">
        <f t="shared" si="10"/>
        <v>0</v>
      </c>
    </row>
    <row r="65">
      <c r="A65" s="2" t="s">
        <v>118</v>
      </c>
      <c r="B65" s="10">
        <v>3.0</v>
      </c>
      <c r="C65" s="12">
        <f t="shared" si="1"/>
        <v>12</v>
      </c>
      <c r="D65" s="11">
        <v>0.0</v>
      </c>
      <c r="E65" s="20">
        <v>0.0</v>
      </c>
      <c r="F65" s="21">
        <f t="shared" si="2"/>
        <v>0</v>
      </c>
      <c r="G65" s="23">
        <f t="shared" si="3"/>
        <v>0</v>
      </c>
      <c r="H65" s="20" t="s">
        <v>41</v>
      </c>
      <c r="I65" s="12">
        <f t="shared" si="15"/>
        <v>0</v>
      </c>
      <c r="J65" s="11">
        <v>0.0</v>
      </c>
      <c r="K65" s="11">
        <v>0.0</v>
      </c>
      <c r="L65" s="16">
        <f t="shared" si="6"/>
        <v>0</v>
      </c>
      <c r="M65" s="11" t="s">
        <v>41</v>
      </c>
      <c r="N65" s="12">
        <f t="shared" si="8"/>
        <v>0</v>
      </c>
      <c r="O65" s="18">
        <f t="shared" si="9"/>
        <v>0</v>
      </c>
      <c r="P65" s="18">
        <f t="shared" si="10"/>
        <v>0</v>
      </c>
    </row>
    <row r="66">
      <c r="A66" s="2" t="s">
        <v>153</v>
      </c>
      <c r="B66" s="10">
        <v>3.0</v>
      </c>
      <c r="C66" s="12">
        <f t="shared" si="1"/>
        <v>12</v>
      </c>
      <c r="D66" s="11">
        <v>0.0</v>
      </c>
      <c r="E66" s="11">
        <v>0.0</v>
      </c>
      <c r="F66" s="12">
        <f t="shared" si="2"/>
        <v>0</v>
      </c>
      <c r="G66" s="16">
        <f t="shared" si="3"/>
        <v>0</v>
      </c>
      <c r="H66" s="11" t="s">
        <v>41</v>
      </c>
      <c r="I66" s="12">
        <f t="shared" si="15"/>
        <v>0</v>
      </c>
      <c r="J66" s="11">
        <v>0.0</v>
      </c>
      <c r="K66" s="11">
        <v>0.0</v>
      </c>
      <c r="L66" s="16">
        <f t="shared" si="6"/>
        <v>0</v>
      </c>
      <c r="M66" s="11" t="s">
        <v>41</v>
      </c>
      <c r="N66" s="12">
        <f t="shared" si="8"/>
        <v>0</v>
      </c>
      <c r="O66" s="18">
        <f t="shared" si="9"/>
        <v>0</v>
      </c>
      <c r="P66" s="18">
        <f t="shared" si="10"/>
        <v>0</v>
      </c>
    </row>
    <row r="67">
      <c r="A67" s="2" t="s">
        <v>116</v>
      </c>
      <c r="B67" s="10">
        <v>3.0</v>
      </c>
      <c r="C67" s="12">
        <f t="shared" si="1"/>
        <v>12</v>
      </c>
      <c r="D67" s="11">
        <v>0.0</v>
      </c>
      <c r="E67" s="11">
        <v>0.0</v>
      </c>
      <c r="F67" s="12">
        <f t="shared" si="2"/>
        <v>0</v>
      </c>
      <c r="G67" s="16">
        <f t="shared" si="3"/>
        <v>0</v>
      </c>
      <c r="H67" s="11" t="s">
        <v>41</v>
      </c>
      <c r="I67" s="12">
        <f t="shared" si="15"/>
        <v>0</v>
      </c>
      <c r="J67" s="11">
        <v>0.0</v>
      </c>
      <c r="K67" s="11">
        <v>0.0</v>
      </c>
      <c r="L67" s="16">
        <f t="shared" si="6"/>
        <v>0</v>
      </c>
      <c r="M67" s="11" t="s">
        <v>41</v>
      </c>
      <c r="N67" s="12">
        <f t="shared" si="8"/>
        <v>0</v>
      </c>
      <c r="O67" s="18">
        <f t="shared" si="9"/>
        <v>0</v>
      </c>
      <c r="P67" s="18">
        <f t="shared" si="10"/>
        <v>0</v>
      </c>
    </row>
    <row r="68">
      <c r="A68" s="2" t="s">
        <v>150</v>
      </c>
      <c r="B68" s="10">
        <v>3.0</v>
      </c>
      <c r="C68" s="12">
        <f t="shared" si="1"/>
        <v>12</v>
      </c>
      <c r="D68" s="11">
        <v>0.0</v>
      </c>
      <c r="E68" s="11">
        <v>0.0</v>
      </c>
      <c r="F68" s="12">
        <f t="shared" si="2"/>
        <v>0</v>
      </c>
      <c r="G68" s="16">
        <f t="shared" si="3"/>
        <v>0</v>
      </c>
      <c r="H68" s="11" t="s">
        <v>41</v>
      </c>
      <c r="I68" s="12">
        <f t="shared" si="15"/>
        <v>0</v>
      </c>
      <c r="J68" s="11">
        <v>0.0</v>
      </c>
      <c r="K68" s="11">
        <v>0.0</v>
      </c>
      <c r="L68" s="16">
        <f t="shared" si="6"/>
        <v>0</v>
      </c>
      <c r="M68" s="11" t="s">
        <v>41</v>
      </c>
      <c r="N68" s="12">
        <f t="shared" si="8"/>
        <v>0</v>
      </c>
      <c r="O68" s="18">
        <f t="shared" si="9"/>
        <v>0</v>
      </c>
      <c r="P68" s="18">
        <f t="shared" si="10"/>
        <v>0</v>
      </c>
    </row>
    <row r="69">
      <c r="A69" s="2" t="s">
        <v>152</v>
      </c>
      <c r="B69" s="10">
        <v>3.0</v>
      </c>
      <c r="C69" s="12">
        <f t="shared" si="1"/>
        <v>12</v>
      </c>
      <c r="D69" s="11">
        <v>0.0</v>
      </c>
      <c r="E69" s="11">
        <v>0.0</v>
      </c>
      <c r="F69" s="12">
        <f t="shared" si="2"/>
        <v>0</v>
      </c>
      <c r="G69" s="16">
        <f t="shared" si="3"/>
        <v>0</v>
      </c>
      <c r="H69" s="11" t="s">
        <v>41</v>
      </c>
      <c r="I69" s="12">
        <f t="shared" si="15"/>
        <v>0</v>
      </c>
      <c r="J69" s="11">
        <v>0.0</v>
      </c>
      <c r="K69" s="11">
        <v>0.0</v>
      </c>
      <c r="L69" s="16">
        <f t="shared" si="6"/>
        <v>0</v>
      </c>
      <c r="M69" s="11" t="s">
        <v>41</v>
      </c>
      <c r="N69" s="12">
        <f t="shared" si="8"/>
        <v>0</v>
      </c>
      <c r="O69" s="18">
        <f t="shared" si="9"/>
        <v>0</v>
      </c>
      <c r="P69" s="18">
        <f t="shared" si="10"/>
        <v>0</v>
      </c>
    </row>
    <row r="70">
      <c r="A70" s="2" t="s">
        <v>154</v>
      </c>
      <c r="B70" s="10">
        <v>3.0</v>
      </c>
      <c r="C70" s="12">
        <f t="shared" si="1"/>
        <v>12</v>
      </c>
      <c r="D70" s="11">
        <v>0.0</v>
      </c>
      <c r="E70" s="11">
        <v>0.0</v>
      </c>
      <c r="F70" s="12">
        <f t="shared" si="2"/>
        <v>0</v>
      </c>
      <c r="G70" s="16">
        <f t="shared" si="3"/>
        <v>0</v>
      </c>
      <c r="H70" s="11" t="s">
        <v>41</v>
      </c>
      <c r="I70" s="12">
        <f t="shared" si="15"/>
        <v>0</v>
      </c>
      <c r="J70" s="11">
        <v>0.0</v>
      </c>
      <c r="K70" s="11">
        <v>0.0</v>
      </c>
      <c r="L70" s="16">
        <f t="shared" si="6"/>
        <v>0</v>
      </c>
      <c r="M70" s="11" t="s">
        <v>41</v>
      </c>
      <c r="N70" s="12">
        <f t="shared" si="8"/>
        <v>0</v>
      </c>
      <c r="O70" s="18">
        <f t="shared" si="9"/>
        <v>0</v>
      </c>
      <c r="P70" s="18">
        <f t="shared" si="10"/>
        <v>0</v>
      </c>
    </row>
    <row r="71">
      <c r="A71" s="2" t="s">
        <v>155</v>
      </c>
      <c r="B71" s="10">
        <v>3.0</v>
      </c>
      <c r="C71" s="12">
        <f t="shared" si="1"/>
        <v>12</v>
      </c>
      <c r="D71" s="11">
        <v>0.0</v>
      </c>
      <c r="E71" s="11">
        <v>0.0</v>
      </c>
      <c r="F71" s="12">
        <f t="shared" si="2"/>
        <v>0</v>
      </c>
      <c r="G71" s="16">
        <f t="shared" si="3"/>
        <v>0</v>
      </c>
      <c r="H71" s="11" t="s">
        <v>41</v>
      </c>
      <c r="I71" s="12">
        <f t="shared" si="15"/>
        <v>0</v>
      </c>
      <c r="J71" s="11">
        <v>0.0</v>
      </c>
      <c r="K71" s="11">
        <v>0.0</v>
      </c>
      <c r="L71" s="16">
        <f t="shared" si="6"/>
        <v>0</v>
      </c>
      <c r="M71" s="11" t="s">
        <v>41</v>
      </c>
      <c r="N71" s="12">
        <f t="shared" si="8"/>
        <v>0</v>
      </c>
      <c r="O71" s="18">
        <f t="shared" si="9"/>
        <v>0</v>
      </c>
      <c r="P71" s="18">
        <f t="shared" si="10"/>
        <v>0</v>
      </c>
    </row>
    <row r="72">
      <c r="A72" s="2" t="s">
        <v>71</v>
      </c>
      <c r="B72" s="10">
        <v>3.0</v>
      </c>
      <c r="C72" s="12">
        <f t="shared" si="1"/>
        <v>12</v>
      </c>
      <c r="D72" s="11">
        <v>0.0</v>
      </c>
      <c r="E72" s="11">
        <v>0.0</v>
      </c>
      <c r="F72" s="12">
        <f t="shared" si="2"/>
        <v>0</v>
      </c>
      <c r="G72" s="16">
        <f t="shared" si="3"/>
        <v>0</v>
      </c>
      <c r="H72" s="11" t="s">
        <v>41</v>
      </c>
      <c r="I72" s="12">
        <f t="shared" si="15"/>
        <v>0</v>
      </c>
      <c r="J72" s="11">
        <v>0.0</v>
      </c>
      <c r="K72" s="11">
        <v>0.0</v>
      </c>
      <c r="L72" s="16">
        <f t="shared" si="6"/>
        <v>0</v>
      </c>
      <c r="M72" s="11" t="s">
        <v>41</v>
      </c>
      <c r="N72" s="12">
        <f t="shared" si="8"/>
        <v>0</v>
      </c>
      <c r="O72" s="18">
        <f t="shared" si="9"/>
        <v>0</v>
      </c>
      <c r="P72" s="18">
        <f t="shared" si="10"/>
        <v>0</v>
      </c>
    </row>
    <row r="73">
      <c r="A73" s="2" t="s">
        <v>120</v>
      </c>
      <c r="B73" s="10">
        <v>3.0</v>
      </c>
      <c r="C73" s="12">
        <f t="shared" si="1"/>
        <v>12</v>
      </c>
      <c r="D73" s="11">
        <v>0.0</v>
      </c>
      <c r="E73" s="11">
        <v>0.0</v>
      </c>
      <c r="F73" s="12">
        <f t="shared" si="2"/>
        <v>0</v>
      </c>
      <c r="G73" s="16">
        <f t="shared" si="3"/>
        <v>0</v>
      </c>
      <c r="H73" s="11" t="s">
        <v>41</v>
      </c>
      <c r="I73" s="12">
        <f t="shared" si="15"/>
        <v>0</v>
      </c>
      <c r="J73" s="11">
        <v>0.0</v>
      </c>
      <c r="K73" s="11">
        <v>0.0</v>
      </c>
      <c r="L73" s="16">
        <f t="shared" si="6"/>
        <v>0</v>
      </c>
      <c r="M73" s="11" t="s">
        <v>41</v>
      </c>
      <c r="N73" s="12">
        <f t="shared" si="8"/>
        <v>0</v>
      </c>
      <c r="O73" s="18">
        <f t="shared" si="9"/>
        <v>0</v>
      </c>
      <c r="P73" s="18">
        <f t="shared" si="10"/>
        <v>0</v>
      </c>
    </row>
    <row r="74">
      <c r="A74" s="2" t="s">
        <v>158</v>
      </c>
      <c r="B74" s="10">
        <v>2.5</v>
      </c>
      <c r="C74" s="12">
        <f t="shared" si="1"/>
        <v>10</v>
      </c>
      <c r="D74" s="11">
        <v>0.0</v>
      </c>
      <c r="E74" s="11">
        <v>0.0</v>
      </c>
      <c r="F74" s="12">
        <f t="shared" si="2"/>
        <v>0</v>
      </c>
      <c r="G74" s="16">
        <f t="shared" si="3"/>
        <v>0</v>
      </c>
      <c r="H74" s="11" t="s">
        <v>41</v>
      </c>
      <c r="I74" s="12">
        <f t="shared" si="15"/>
        <v>0</v>
      </c>
      <c r="J74" s="11">
        <v>0.0</v>
      </c>
      <c r="K74" s="11">
        <v>0.0</v>
      </c>
      <c r="L74" s="16">
        <f t="shared" si="6"/>
        <v>0</v>
      </c>
      <c r="M74" s="11" t="s">
        <v>41</v>
      </c>
      <c r="N74" s="12">
        <f t="shared" si="8"/>
        <v>0</v>
      </c>
      <c r="O74" s="18">
        <f t="shared" si="9"/>
        <v>0</v>
      </c>
      <c r="P74" s="18">
        <f t="shared" si="10"/>
        <v>0</v>
      </c>
    </row>
    <row r="75">
      <c r="A75" s="2" t="s">
        <v>159</v>
      </c>
      <c r="B75" s="10">
        <v>2.5</v>
      </c>
      <c r="C75" s="12">
        <f t="shared" si="1"/>
        <v>10</v>
      </c>
      <c r="D75" s="11">
        <v>0.0</v>
      </c>
      <c r="E75" s="11">
        <v>0.0</v>
      </c>
      <c r="F75" s="12">
        <f t="shared" si="2"/>
        <v>0</v>
      </c>
      <c r="G75" s="16">
        <f t="shared" si="3"/>
        <v>0</v>
      </c>
      <c r="H75" s="11" t="s">
        <v>41</v>
      </c>
      <c r="I75" s="12">
        <f t="shared" si="15"/>
        <v>0</v>
      </c>
      <c r="J75" s="11">
        <v>0.0</v>
      </c>
      <c r="K75" s="11">
        <v>0.0</v>
      </c>
      <c r="L75" s="16">
        <f t="shared" si="6"/>
        <v>0</v>
      </c>
      <c r="M75" s="11" t="s">
        <v>41</v>
      </c>
      <c r="N75" s="12">
        <f t="shared" si="8"/>
        <v>0</v>
      </c>
      <c r="O75" s="18">
        <f t="shared" si="9"/>
        <v>0</v>
      </c>
      <c r="P75" s="18">
        <f t="shared" si="10"/>
        <v>0</v>
      </c>
    </row>
    <row r="76">
      <c r="A76" s="2" t="s">
        <v>138</v>
      </c>
      <c r="B76" s="10">
        <v>2.5</v>
      </c>
      <c r="C76" s="12">
        <f t="shared" si="1"/>
        <v>10</v>
      </c>
      <c r="D76" s="11">
        <v>0.0</v>
      </c>
      <c r="E76" s="11">
        <v>0.0</v>
      </c>
      <c r="F76" s="12">
        <f t="shared" si="2"/>
        <v>0</v>
      </c>
      <c r="G76" s="16">
        <f t="shared" si="3"/>
        <v>0</v>
      </c>
      <c r="H76" s="11" t="s">
        <v>41</v>
      </c>
      <c r="I76" s="12">
        <f t="shared" si="15"/>
        <v>0</v>
      </c>
      <c r="J76" s="11">
        <v>0.0</v>
      </c>
      <c r="K76" s="11">
        <v>0.0</v>
      </c>
      <c r="L76" s="16">
        <f t="shared" si="6"/>
        <v>0</v>
      </c>
      <c r="M76" s="11" t="s">
        <v>41</v>
      </c>
      <c r="N76" s="12">
        <f t="shared" si="8"/>
        <v>0</v>
      </c>
      <c r="O76" s="18">
        <f t="shared" si="9"/>
        <v>0</v>
      </c>
      <c r="P76" s="18">
        <f t="shared" si="10"/>
        <v>0</v>
      </c>
    </row>
    <row r="77">
      <c r="A77" s="2" t="s">
        <v>161</v>
      </c>
      <c r="B77" s="10">
        <v>2.5</v>
      </c>
      <c r="C77" s="12">
        <f t="shared" si="1"/>
        <v>10</v>
      </c>
      <c r="D77" s="11">
        <v>0.0</v>
      </c>
      <c r="E77" s="11">
        <v>0.0</v>
      </c>
      <c r="F77" s="12">
        <f t="shared" si="2"/>
        <v>0</v>
      </c>
      <c r="G77" s="16">
        <f t="shared" si="3"/>
        <v>0</v>
      </c>
      <c r="H77" s="11" t="s">
        <v>41</v>
      </c>
      <c r="I77" s="12">
        <f t="shared" si="15"/>
        <v>0</v>
      </c>
      <c r="J77" s="11">
        <v>0.0</v>
      </c>
      <c r="K77" s="11">
        <v>0.0</v>
      </c>
      <c r="L77" s="16">
        <f t="shared" si="6"/>
        <v>0</v>
      </c>
      <c r="M77" s="11" t="s">
        <v>41</v>
      </c>
      <c r="N77" s="12">
        <f t="shared" si="8"/>
        <v>0</v>
      </c>
      <c r="O77" s="18">
        <f t="shared" si="9"/>
        <v>0</v>
      </c>
      <c r="P77" s="18">
        <f t="shared" si="10"/>
        <v>0</v>
      </c>
    </row>
    <row r="78">
      <c r="A78" s="2" t="s">
        <v>162</v>
      </c>
      <c r="B78" s="10">
        <v>2.5</v>
      </c>
      <c r="C78" s="12">
        <f t="shared" si="1"/>
        <v>10</v>
      </c>
      <c r="D78" s="11">
        <v>0.0</v>
      </c>
      <c r="E78" s="11">
        <v>0.0</v>
      </c>
      <c r="F78" s="12">
        <f t="shared" si="2"/>
        <v>0</v>
      </c>
      <c r="G78" s="16">
        <f t="shared" si="3"/>
        <v>0</v>
      </c>
      <c r="H78" s="11" t="s">
        <v>41</v>
      </c>
      <c r="I78" s="12">
        <f t="shared" si="15"/>
        <v>0</v>
      </c>
      <c r="J78" s="11">
        <v>0.0</v>
      </c>
      <c r="K78" s="11">
        <v>0.0</v>
      </c>
      <c r="L78" s="16">
        <f t="shared" si="6"/>
        <v>0</v>
      </c>
      <c r="M78" s="11" t="s">
        <v>41</v>
      </c>
      <c r="N78" s="12">
        <f t="shared" si="8"/>
        <v>0</v>
      </c>
      <c r="O78" s="18">
        <f t="shared" si="9"/>
        <v>0</v>
      </c>
      <c r="P78" s="18">
        <f t="shared" si="10"/>
        <v>0</v>
      </c>
    </row>
    <row r="79">
      <c r="A79" s="2" t="s">
        <v>163</v>
      </c>
      <c r="B79" s="10">
        <v>2.5</v>
      </c>
      <c r="C79" s="12">
        <f t="shared" si="1"/>
        <v>10</v>
      </c>
      <c r="D79" s="11">
        <v>0.0</v>
      </c>
      <c r="E79" s="11">
        <v>0.0</v>
      </c>
      <c r="F79" s="12">
        <f t="shared" si="2"/>
        <v>0</v>
      </c>
      <c r="G79" s="16">
        <f t="shared" si="3"/>
        <v>0</v>
      </c>
      <c r="H79" s="11" t="s">
        <v>41</v>
      </c>
      <c r="I79" s="12">
        <f t="shared" si="15"/>
        <v>0</v>
      </c>
      <c r="J79" s="11">
        <v>0.0</v>
      </c>
      <c r="K79" s="11">
        <v>0.0</v>
      </c>
      <c r="L79" s="16">
        <f t="shared" si="6"/>
        <v>0</v>
      </c>
      <c r="M79" s="11" t="s">
        <v>41</v>
      </c>
      <c r="N79" s="12">
        <f t="shared" si="8"/>
        <v>0</v>
      </c>
      <c r="O79" s="18">
        <f t="shared" si="9"/>
        <v>0</v>
      </c>
      <c r="P79" s="18">
        <f t="shared" si="10"/>
        <v>0</v>
      </c>
    </row>
    <row r="80">
      <c r="A80" s="2" t="s">
        <v>164</v>
      </c>
      <c r="B80" s="10">
        <v>2.5</v>
      </c>
      <c r="C80" s="12">
        <f t="shared" si="1"/>
        <v>10</v>
      </c>
      <c r="D80" s="11">
        <v>0.0</v>
      </c>
      <c r="E80" s="11">
        <v>0.0</v>
      </c>
      <c r="F80" s="12">
        <f t="shared" si="2"/>
        <v>0</v>
      </c>
      <c r="G80" s="16">
        <f t="shared" si="3"/>
        <v>0</v>
      </c>
      <c r="H80" s="11" t="s">
        <v>41</v>
      </c>
      <c r="I80" s="12">
        <f t="shared" si="15"/>
        <v>0</v>
      </c>
      <c r="J80" s="11">
        <v>0.0</v>
      </c>
      <c r="K80" s="11">
        <v>0.0</v>
      </c>
      <c r="L80" s="16">
        <f t="shared" si="6"/>
        <v>0</v>
      </c>
      <c r="M80" s="11" t="s">
        <v>41</v>
      </c>
      <c r="N80" s="12">
        <f t="shared" si="8"/>
        <v>0</v>
      </c>
      <c r="O80" s="18">
        <f t="shared" si="9"/>
        <v>0</v>
      </c>
      <c r="P80" s="18">
        <f t="shared" si="10"/>
        <v>0</v>
      </c>
    </row>
    <row r="81">
      <c r="A81" s="2" t="s">
        <v>165</v>
      </c>
      <c r="B81" s="10">
        <v>2.5</v>
      </c>
      <c r="C81" s="12">
        <f t="shared" si="1"/>
        <v>10</v>
      </c>
      <c r="D81" s="11">
        <v>0.0</v>
      </c>
      <c r="E81" s="11">
        <v>0.0</v>
      </c>
      <c r="F81" s="12">
        <f t="shared" si="2"/>
        <v>0</v>
      </c>
      <c r="G81" s="16">
        <f t="shared" si="3"/>
        <v>0</v>
      </c>
      <c r="H81" s="11" t="s">
        <v>41</v>
      </c>
      <c r="I81" s="12">
        <f t="shared" si="15"/>
        <v>0</v>
      </c>
      <c r="J81" s="11">
        <v>0.0</v>
      </c>
      <c r="K81" s="11">
        <v>0.0</v>
      </c>
      <c r="L81" s="16">
        <f t="shared" si="6"/>
        <v>0</v>
      </c>
      <c r="M81" s="11" t="s">
        <v>41</v>
      </c>
      <c r="N81" s="12">
        <f t="shared" si="8"/>
        <v>0</v>
      </c>
      <c r="O81" s="18">
        <f t="shared" si="9"/>
        <v>0</v>
      </c>
      <c r="P81" s="18">
        <f t="shared" si="10"/>
        <v>0</v>
      </c>
    </row>
    <row r="82">
      <c r="A82" s="2" t="s">
        <v>166</v>
      </c>
      <c r="B82" s="10">
        <v>2.0</v>
      </c>
      <c r="C82" s="12">
        <f t="shared" si="1"/>
        <v>8</v>
      </c>
      <c r="D82" s="11">
        <v>0.0</v>
      </c>
      <c r="E82" s="20">
        <v>0.0</v>
      </c>
      <c r="F82" s="21">
        <f t="shared" si="2"/>
        <v>0</v>
      </c>
      <c r="G82" s="23">
        <f t="shared" si="3"/>
        <v>0</v>
      </c>
      <c r="H82" s="20" t="s">
        <v>41</v>
      </c>
      <c r="I82" s="12">
        <f t="shared" si="15"/>
        <v>0</v>
      </c>
      <c r="J82" s="11">
        <v>0.0</v>
      </c>
      <c r="K82" s="11">
        <v>0.0</v>
      </c>
      <c r="L82" s="16">
        <f t="shared" si="6"/>
        <v>0</v>
      </c>
      <c r="M82" s="11" t="s">
        <v>41</v>
      </c>
      <c r="N82" s="12">
        <f t="shared" si="8"/>
        <v>0</v>
      </c>
      <c r="O82" s="18">
        <f t="shared" si="9"/>
        <v>0</v>
      </c>
      <c r="P82" s="18">
        <f t="shared" si="10"/>
        <v>0</v>
      </c>
    </row>
    <row r="83">
      <c r="A83" s="2" t="s">
        <v>168</v>
      </c>
      <c r="B83" s="10">
        <v>2.0</v>
      </c>
      <c r="C83" s="12">
        <f t="shared" si="1"/>
        <v>8</v>
      </c>
      <c r="D83" s="11">
        <v>0.0</v>
      </c>
      <c r="E83" s="20">
        <v>0.0</v>
      </c>
      <c r="F83" s="21">
        <f t="shared" si="2"/>
        <v>0</v>
      </c>
      <c r="G83" s="23">
        <f t="shared" si="3"/>
        <v>0</v>
      </c>
      <c r="H83" s="20" t="s">
        <v>41</v>
      </c>
      <c r="I83" s="12">
        <f t="shared" si="15"/>
        <v>0</v>
      </c>
      <c r="J83" s="11">
        <v>0.0</v>
      </c>
      <c r="K83" s="11">
        <v>0.0</v>
      </c>
      <c r="L83" s="16">
        <f t="shared" si="6"/>
        <v>0</v>
      </c>
      <c r="M83" s="11" t="s">
        <v>41</v>
      </c>
      <c r="N83" s="12">
        <f t="shared" si="8"/>
        <v>0</v>
      </c>
      <c r="O83" s="18">
        <f t="shared" si="9"/>
        <v>0</v>
      </c>
      <c r="P83" s="18">
        <f t="shared" si="10"/>
        <v>0</v>
      </c>
    </row>
    <row r="84">
      <c r="A84" s="2" t="s">
        <v>170</v>
      </c>
      <c r="B84" s="10">
        <v>2.0</v>
      </c>
      <c r="C84" s="12">
        <f t="shared" si="1"/>
        <v>8</v>
      </c>
      <c r="D84" s="11">
        <v>0.0</v>
      </c>
      <c r="E84" s="11">
        <v>0.0</v>
      </c>
      <c r="F84" s="12">
        <f t="shared" si="2"/>
        <v>0</v>
      </c>
      <c r="G84" s="16">
        <f t="shared" si="3"/>
        <v>0</v>
      </c>
      <c r="H84" s="11" t="s">
        <v>41</v>
      </c>
      <c r="I84" s="12">
        <f t="shared" si="15"/>
        <v>0</v>
      </c>
      <c r="J84" s="11">
        <v>0.0</v>
      </c>
      <c r="K84" s="11">
        <v>0.0</v>
      </c>
      <c r="L84" s="16">
        <f t="shared" si="6"/>
        <v>0</v>
      </c>
      <c r="M84" s="11" t="s">
        <v>41</v>
      </c>
      <c r="N84" s="12">
        <f t="shared" si="8"/>
        <v>0</v>
      </c>
      <c r="O84" s="18">
        <f t="shared" si="9"/>
        <v>0</v>
      </c>
      <c r="P84" s="18">
        <f t="shared" si="10"/>
        <v>0</v>
      </c>
    </row>
    <row r="85">
      <c r="A85" s="2" t="s">
        <v>171</v>
      </c>
      <c r="B85" s="10">
        <v>2.0</v>
      </c>
      <c r="C85" s="12">
        <f t="shared" si="1"/>
        <v>8</v>
      </c>
      <c r="D85" s="11">
        <v>0.0</v>
      </c>
      <c r="E85" s="11">
        <v>0.0</v>
      </c>
      <c r="F85" s="12">
        <f t="shared" si="2"/>
        <v>0</v>
      </c>
      <c r="G85" s="16">
        <f t="shared" si="3"/>
        <v>0</v>
      </c>
      <c r="H85" s="11" t="s">
        <v>41</v>
      </c>
      <c r="I85" s="12">
        <f t="shared" si="15"/>
        <v>0</v>
      </c>
      <c r="J85" s="11">
        <v>0.0</v>
      </c>
      <c r="K85" s="11">
        <v>0.0</v>
      </c>
      <c r="L85" s="16">
        <f t="shared" si="6"/>
        <v>0</v>
      </c>
      <c r="M85" s="11" t="s">
        <v>41</v>
      </c>
      <c r="N85" s="12">
        <f t="shared" si="8"/>
        <v>0</v>
      </c>
      <c r="O85" s="18">
        <f t="shared" si="9"/>
        <v>0</v>
      </c>
      <c r="P85" s="18">
        <f t="shared" si="10"/>
        <v>0</v>
      </c>
    </row>
    <row r="86">
      <c r="A86" s="2" t="s">
        <v>141</v>
      </c>
      <c r="B86" s="10">
        <v>2.0</v>
      </c>
      <c r="C86" s="12">
        <f t="shared" si="1"/>
        <v>8</v>
      </c>
      <c r="D86" s="11">
        <v>0.0</v>
      </c>
      <c r="E86" s="20">
        <v>0.0</v>
      </c>
      <c r="F86" s="21">
        <f t="shared" si="2"/>
        <v>0</v>
      </c>
      <c r="G86" s="23">
        <f t="shared" si="3"/>
        <v>0</v>
      </c>
      <c r="H86" s="20" t="s">
        <v>41</v>
      </c>
      <c r="I86" s="12">
        <f t="shared" si="15"/>
        <v>0</v>
      </c>
      <c r="J86" s="11">
        <v>0.0</v>
      </c>
      <c r="K86" s="11">
        <v>0.0</v>
      </c>
      <c r="L86" s="16">
        <f t="shared" si="6"/>
        <v>0</v>
      </c>
      <c r="M86" s="11" t="s">
        <v>41</v>
      </c>
      <c r="N86" s="12">
        <f t="shared" si="8"/>
        <v>0</v>
      </c>
      <c r="O86" s="18">
        <f t="shared" si="9"/>
        <v>0</v>
      </c>
      <c r="P86" s="18">
        <f t="shared" si="10"/>
        <v>0</v>
      </c>
    </row>
    <row r="87">
      <c r="A87" s="2" t="s">
        <v>173</v>
      </c>
      <c r="B87" s="10">
        <v>3.0</v>
      </c>
      <c r="C87" s="12">
        <f t="shared" si="1"/>
        <v>12</v>
      </c>
      <c r="D87" s="11">
        <v>0.0</v>
      </c>
      <c r="E87" s="20">
        <v>0.0</v>
      </c>
      <c r="F87" s="21">
        <f t="shared" si="2"/>
        <v>0</v>
      </c>
      <c r="G87" s="23">
        <f t="shared" si="3"/>
        <v>0</v>
      </c>
      <c r="H87" s="20" t="s">
        <v>41</v>
      </c>
      <c r="I87" s="12">
        <f t="shared" si="15"/>
        <v>0</v>
      </c>
      <c r="J87" s="11">
        <v>0.0</v>
      </c>
      <c r="K87" s="11">
        <v>0.0</v>
      </c>
      <c r="L87" s="16">
        <f t="shared" si="6"/>
        <v>0</v>
      </c>
      <c r="M87" s="11" t="s">
        <v>41</v>
      </c>
      <c r="N87" s="12">
        <f t="shared" si="8"/>
        <v>0</v>
      </c>
      <c r="O87" s="18">
        <f t="shared" si="9"/>
        <v>0</v>
      </c>
      <c r="P87" s="18">
        <f t="shared" si="10"/>
        <v>0</v>
      </c>
    </row>
    <row r="88">
      <c r="A88" s="2" t="s">
        <v>174</v>
      </c>
      <c r="B88" s="10">
        <v>1.5</v>
      </c>
      <c r="C88" s="12">
        <f t="shared" si="1"/>
        <v>6</v>
      </c>
      <c r="D88" s="11">
        <v>0.0</v>
      </c>
      <c r="E88" s="20">
        <v>0.0</v>
      </c>
      <c r="F88" s="21">
        <f t="shared" si="2"/>
        <v>0</v>
      </c>
      <c r="G88" s="23">
        <f t="shared" si="3"/>
        <v>0</v>
      </c>
      <c r="H88" s="20" t="s">
        <v>41</v>
      </c>
      <c r="I88" s="12">
        <f t="shared" si="15"/>
        <v>0</v>
      </c>
      <c r="J88" s="11">
        <v>0.0</v>
      </c>
      <c r="K88" s="11">
        <v>0.0</v>
      </c>
      <c r="L88" s="16">
        <f t="shared" si="6"/>
        <v>0</v>
      </c>
      <c r="M88" s="11" t="s">
        <v>41</v>
      </c>
      <c r="N88" s="12">
        <f t="shared" si="8"/>
        <v>0</v>
      </c>
      <c r="O88" s="18">
        <f t="shared" si="9"/>
        <v>0</v>
      </c>
      <c r="P88" s="18">
        <f t="shared" si="10"/>
        <v>0</v>
      </c>
      <c r="R88" s="4"/>
    </row>
    <row r="89">
      <c r="A89" s="2" t="s">
        <v>175</v>
      </c>
      <c r="B89" s="10">
        <v>1.5</v>
      </c>
      <c r="C89" s="12">
        <f t="shared" si="1"/>
        <v>6</v>
      </c>
      <c r="D89" s="11">
        <v>0.0</v>
      </c>
      <c r="E89" s="11">
        <v>0.0</v>
      </c>
      <c r="F89" s="12">
        <f t="shared" si="2"/>
        <v>0</v>
      </c>
      <c r="G89" s="16">
        <f t="shared" si="3"/>
        <v>0</v>
      </c>
      <c r="H89" s="11" t="s">
        <v>41</v>
      </c>
      <c r="I89" s="12">
        <f t="shared" si="15"/>
        <v>0</v>
      </c>
      <c r="J89" s="11">
        <v>0.0</v>
      </c>
      <c r="K89" s="11">
        <v>0.0</v>
      </c>
      <c r="L89" s="16">
        <f t="shared" si="6"/>
        <v>0</v>
      </c>
      <c r="M89" s="11" t="s">
        <v>41</v>
      </c>
      <c r="N89" s="12">
        <f t="shared" si="8"/>
        <v>0</v>
      </c>
      <c r="O89" s="18">
        <f t="shared" si="9"/>
        <v>0</v>
      </c>
      <c r="P89" s="18">
        <f t="shared" si="10"/>
        <v>0</v>
      </c>
    </row>
    <row r="90">
      <c r="A90" s="2" t="s">
        <v>176</v>
      </c>
      <c r="B90" s="10">
        <v>1.5</v>
      </c>
      <c r="C90" s="12">
        <f t="shared" si="1"/>
        <v>6</v>
      </c>
      <c r="D90" s="11">
        <v>0.0</v>
      </c>
      <c r="E90" s="11">
        <v>0.0</v>
      </c>
      <c r="F90" s="12">
        <f t="shared" si="2"/>
        <v>0</v>
      </c>
      <c r="G90" s="16">
        <f t="shared" si="3"/>
        <v>0</v>
      </c>
      <c r="H90" s="11" t="s">
        <v>41</v>
      </c>
      <c r="I90" s="12">
        <f t="shared" si="15"/>
        <v>0</v>
      </c>
      <c r="J90" s="11">
        <v>0.0</v>
      </c>
      <c r="K90" s="11">
        <v>0.0</v>
      </c>
      <c r="L90" s="16">
        <f t="shared" si="6"/>
        <v>0</v>
      </c>
      <c r="M90" s="11" t="s">
        <v>41</v>
      </c>
      <c r="N90" s="12">
        <f t="shared" si="8"/>
        <v>0</v>
      </c>
      <c r="O90" s="18">
        <f t="shared" si="9"/>
        <v>0</v>
      </c>
      <c r="P90" s="18">
        <f t="shared" si="10"/>
        <v>0</v>
      </c>
    </row>
    <row r="91">
      <c r="A91" s="2" t="s">
        <v>177</v>
      </c>
      <c r="B91" s="10">
        <v>1.5</v>
      </c>
      <c r="C91" s="12">
        <f t="shared" si="1"/>
        <v>6</v>
      </c>
      <c r="D91" s="11">
        <v>0.0</v>
      </c>
      <c r="E91" s="10">
        <v>0.0</v>
      </c>
      <c r="F91" s="22">
        <f t="shared" si="2"/>
        <v>0</v>
      </c>
      <c r="G91" s="24">
        <f t="shared" si="3"/>
        <v>0</v>
      </c>
      <c r="H91" s="11" t="s">
        <v>41</v>
      </c>
      <c r="I91" s="12">
        <f t="shared" si="15"/>
        <v>0</v>
      </c>
      <c r="J91" s="11">
        <v>0.0</v>
      </c>
      <c r="K91" s="11">
        <v>0.0</v>
      </c>
      <c r="L91" s="16">
        <f t="shared" si="6"/>
        <v>0</v>
      </c>
      <c r="M91" s="11" t="s">
        <v>41</v>
      </c>
      <c r="N91" s="12">
        <f t="shared" si="8"/>
        <v>0</v>
      </c>
      <c r="O91" s="18">
        <f t="shared" si="9"/>
        <v>0</v>
      </c>
      <c r="P91" s="18">
        <f t="shared" si="10"/>
        <v>0</v>
      </c>
    </row>
    <row r="92">
      <c r="A92" s="2" t="s">
        <v>157</v>
      </c>
      <c r="B92" s="10">
        <v>1.5</v>
      </c>
      <c r="C92" s="12">
        <f t="shared" si="1"/>
        <v>6</v>
      </c>
      <c r="D92" s="11">
        <v>0.0</v>
      </c>
      <c r="E92" s="11">
        <v>0.0</v>
      </c>
      <c r="F92" s="12">
        <f t="shared" si="2"/>
        <v>0</v>
      </c>
      <c r="G92" s="16">
        <f t="shared" si="3"/>
        <v>0</v>
      </c>
      <c r="H92" s="11" t="s">
        <v>41</v>
      </c>
      <c r="I92" s="12">
        <f t="shared" si="15"/>
        <v>0</v>
      </c>
      <c r="J92" s="11">
        <v>0.0</v>
      </c>
      <c r="K92" s="11">
        <v>0.0</v>
      </c>
      <c r="L92" s="16">
        <f t="shared" si="6"/>
        <v>0</v>
      </c>
      <c r="M92" s="11" t="s">
        <v>41</v>
      </c>
      <c r="N92" s="12">
        <f t="shared" si="8"/>
        <v>0</v>
      </c>
      <c r="O92" s="18">
        <f t="shared" si="9"/>
        <v>0</v>
      </c>
      <c r="P92" s="18">
        <f t="shared" si="10"/>
        <v>0</v>
      </c>
    </row>
    <row r="93">
      <c r="A93" s="2" t="s">
        <v>180</v>
      </c>
      <c r="B93" s="10">
        <v>1.5</v>
      </c>
      <c r="C93" s="12">
        <f t="shared" si="1"/>
        <v>6</v>
      </c>
      <c r="D93" s="11">
        <v>0.0</v>
      </c>
      <c r="E93" s="11">
        <v>0.0</v>
      </c>
      <c r="F93" s="12">
        <f t="shared" si="2"/>
        <v>0</v>
      </c>
      <c r="G93" s="16">
        <f t="shared" si="3"/>
        <v>0</v>
      </c>
      <c r="H93" s="11" t="s">
        <v>41</v>
      </c>
      <c r="I93" s="12">
        <f t="shared" si="15"/>
        <v>0</v>
      </c>
      <c r="J93" s="11">
        <v>0.0</v>
      </c>
      <c r="K93" s="11">
        <v>0.0</v>
      </c>
      <c r="L93" s="16">
        <f t="shared" si="6"/>
        <v>0</v>
      </c>
      <c r="M93" s="11" t="s">
        <v>41</v>
      </c>
      <c r="N93" s="12">
        <f t="shared" si="8"/>
        <v>0</v>
      </c>
      <c r="O93" s="18">
        <f t="shared" si="9"/>
        <v>0</v>
      </c>
      <c r="P93" s="18">
        <f t="shared" si="10"/>
        <v>0</v>
      </c>
    </row>
    <row r="94">
      <c r="A94" s="2" t="s">
        <v>182</v>
      </c>
      <c r="B94" s="10">
        <v>1.5</v>
      </c>
      <c r="C94" s="12">
        <f t="shared" si="1"/>
        <v>6</v>
      </c>
      <c r="D94" s="11">
        <v>0.0</v>
      </c>
      <c r="E94" s="11">
        <v>0.0</v>
      </c>
      <c r="F94" s="12">
        <f t="shared" si="2"/>
        <v>0</v>
      </c>
      <c r="G94" s="16">
        <f t="shared" si="3"/>
        <v>0</v>
      </c>
      <c r="H94" s="11" t="s">
        <v>41</v>
      </c>
      <c r="I94" s="12">
        <f t="shared" si="15"/>
        <v>0</v>
      </c>
      <c r="J94" s="11">
        <v>0.0</v>
      </c>
      <c r="K94" s="11">
        <v>0.0</v>
      </c>
      <c r="L94" s="16">
        <f t="shared" si="6"/>
        <v>0</v>
      </c>
      <c r="M94" s="11" t="s">
        <v>41</v>
      </c>
      <c r="N94" s="12">
        <f t="shared" si="8"/>
        <v>0</v>
      </c>
      <c r="O94" s="18">
        <f t="shared" si="9"/>
        <v>0</v>
      </c>
      <c r="P94" s="18">
        <f t="shared" si="10"/>
        <v>0</v>
      </c>
    </row>
    <row r="95">
      <c r="A95" s="2" t="s">
        <v>160</v>
      </c>
      <c r="B95" s="10">
        <v>1.0</v>
      </c>
      <c r="C95" s="12">
        <f t="shared" si="1"/>
        <v>4</v>
      </c>
      <c r="D95" s="11">
        <v>0.0</v>
      </c>
      <c r="E95" s="11">
        <v>0.0</v>
      </c>
      <c r="F95" s="12">
        <f t="shared" si="2"/>
        <v>0</v>
      </c>
      <c r="G95" s="16">
        <f t="shared" si="3"/>
        <v>0</v>
      </c>
      <c r="H95" s="11" t="s">
        <v>41</v>
      </c>
      <c r="I95" s="12">
        <f t="shared" si="15"/>
        <v>0</v>
      </c>
      <c r="J95" s="11">
        <v>0.0</v>
      </c>
      <c r="K95" s="11">
        <v>0.0</v>
      </c>
      <c r="L95" s="16">
        <f t="shared" si="6"/>
        <v>0</v>
      </c>
      <c r="M95" s="11" t="s">
        <v>41</v>
      </c>
      <c r="N95" s="12">
        <f t="shared" si="8"/>
        <v>0</v>
      </c>
      <c r="O95" s="18">
        <f t="shared" si="9"/>
        <v>0</v>
      </c>
      <c r="P95" s="18">
        <f t="shared" si="10"/>
        <v>0</v>
      </c>
    </row>
    <row r="96">
      <c r="A96" s="2" t="s">
        <v>130</v>
      </c>
      <c r="B96" s="10">
        <v>1.0</v>
      </c>
      <c r="C96" s="12">
        <f t="shared" si="1"/>
        <v>4</v>
      </c>
      <c r="D96" s="11">
        <v>0.0</v>
      </c>
      <c r="E96" s="11">
        <v>0.0</v>
      </c>
      <c r="F96" s="12">
        <f t="shared" si="2"/>
        <v>0</v>
      </c>
      <c r="G96" s="16">
        <f t="shared" si="3"/>
        <v>0</v>
      </c>
      <c r="H96" s="11" t="s">
        <v>41</v>
      </c>
      <c r="I96" s="12">
        <f t="shared" si="15"/>
        <v>0</v>
      </c>
      <c r="J96" s="11">
        <v>0.0</v>
      </c>
      <c r="K96" s="11">
        <v>0.0</v>
      </c>
      <c r="L96" s="16">
        <f t="shared" si="6"/>
        <v>0</v>
      </c>
      <c r="M96" s="11" t="s">
        <v>41</v>
      </c>
      <c r="N96" s="12">
        <f t="shared" si="8"/>
        <v>0</v>
      </c>
      <c r="O96" s="18">
        <f t="shared" si="9"/>
        <v>0</v>
      </c>
      <c r="P96" s="18">
        <f t="shared" si="10"/>
        <v>0</v>
      </c>
    </row>
    <row r="97">
      <c r="A97" s="2" t="s">
        <v>183</v>
      </c>
      <c r="B97" s="10">
        <v>3.0</v>
      </c>
      <c r="C97" s="12">
        <f t="shared" si="1"/>
        <v>12</v>
      </c>
      <c r="D97" s="11">
        <v>0.0</v>
      </c>
      <c r="E97" s="20">
        <v>0.0</v>
      </c>
      <c r="F97" s="21">
        <f t="shared" si="2"/>
        <v>0</v>
      </c>
      <c r="G97" s="23">
        <f t="shared" si="3"/>
        <v>0</v>
      </c>
      <c r="H97" s="20" t="s">
        <v>41</v>
      </c>
      <c r="I97" s="12">
        <f t="shared" si="15"/>
        <v>0</v>
      </c>
      <c r="J97" s="11">
        <v>0.0</v>
      </c>
      <c r="K97" s="11">
        <v>0.0</v>
      </c>
      <c r="L97" s="16">
        <f t="shared" si="6"/>
        <v>0</v>
      </c>
      <c r="M97" s="11" t="s">
        <v>41</v>
      </c>
      <c r="N97" s="12">
        <f t="shared" si="8"/>
        <v>0</v>
      </c>
      <c r="O97" s="18">
        <f t="shared" si="9"/>
        <v>0</v>
      </c>
      <c r="P97" s="18">
        <f t="shared" si="10"/>
        <v>0</v>
      </c>
    </row>
    <row r="98">
      <c r="A98" s="2" t="s">
        <v>40</v>
      </c>
      <c r="B98" s="10">
        <v>1.0</v>
      </c>
      <c r="C98" s="12">
        <f t="shared" si="1"/>
        <v>4</v>
      </c>
      <c r="D98" s="11">
        <v>0.0</v>
      </c>
      <c r="E98" s="11">
        <v>0.0</v>
      </c>
      <c r="F98" s="12">
        <f t="shared" si="2"/>
        <v>0</v>
      </c>
      <c r="G98" s="16">
        <f t="shared" si="3"/>
        <v>0</v>
      </c>
      <c r="H98" s="11" t="s">
        <v>41</v>
      </c>
      <c r="I98" s="12">
        <f t="shared" si="15"/>
        <v>0</v>
      </c>
      <c r="J98" s="11">
        <v>0.0</v>
      </c>
      <c r="K98" s="11">
        <v>0.0</v>
      </c>
      <c r="L98" s="16">
        <f t="shared" si="6"/>
        <v>0</v>
      </c>
      <c r="M98" s="11" t="s">
        <v>41</v>
      </c>
      <c r="N98" s="12">
        <f t="shared" si="8"/>
        <v>0</v>
      </c>
      <c r="O98" s="18">
        <f t="shared" si="9"/>
        <v>0</v>
      </c>
      <c r="P98" s="18">
        <f t="shared" si="10"/>
        <v>0</v>
      </c>
    </row>
    <row r="99">
      <c r="A99" s="2" t="s">
        <v>178</v>
      </c>
      <c r="B99" s="10">
        <v>3.0</v>
      </c>
      <c r="C99" s="12">
        <f t="shared" si="1"/>
        <v>12</v>
      </c>
      <c r="D99" s="11">
        <v>0.0</v>
      </c>
      <c r="E99" s="11">
        <v>0.0</v>
      </c>
      <c r="F99" s="12">
        <f t="shared" si="2"/>
        <v>0</v>
      </c>
      <c r="G99" s="16">
        <f t="shared" si="3"/>
        <v>0</v>
      </c>
      <c r="H99" s="11" t="s">
        <v>41</v>
      </c>
      <c r="I99" s="12">
        <f t="shared" si="15"/>
        <v>0</v>
      </c>
      <c r="J99" s="11">
        <v>0.0</v>
      </c>
      <c r="K99" s="11">
        <v>0.0</v>
      </c>
      <c r="L99" s="16">
        <f t="shared" si="6"/>
        <v>0</v>
      </c>
      <c r="M99" s="11" t="s">
        <v>41</v>
      </c>
      <c r="N99" s="12">
        <f t="shared" si="8"/>
        <v>0</v>
      </c>
      <c r="O99" s="18">
        <f t="shared" si="9"/>
        <v>0</v>
      </c>
      <c r="P99" s="18">
        <f t="shared" si="10"/>
        <v>0</v>
      </c>
    </row>
    <row r="100">
      <c r="A100" s="2" t="s">
        <v>102</v>
      </c>
      <c r="B100" s="10">
        <v>3.0</v>
      </c>
      <c r="C100" s="12">
        <f t="shared" si="1"/>
        <v>12</v>
      </c>
      <c r="D100" s="11">
        <v>0.0</v>
      </c>
      <c r="E100" s="11">
        <v>0.0</v>
      </c>
      <c r="F100" s="12">
        <f t="shared" si="2"/>
        <v>0</v>
      </c>
      <c r="G100" s="16">
        <f t="shared" si="3"/>
        <v>0</v>
      </c>
      <c r="H100" s="11" t="s">
        <v>41</v>
      </c>
      <c r="I100" s="12">
        <f t="shared" si="15"/>
        <v>0</v>
      </c>
      <c r="J100" s="11">
        <v>0.0</v>
      </c>
      <c r="K100" s="11">
        <v>0.0</v>
      </c>
      <c r="L100" s="16">
        <f t="shared" si="6"/>
        <v>0</v>
      </c>
      <c r="M100" s="11" t="s">
        <v>41</v>
      </c>
      <c r="N100" s="12">
        <f t="shared" si="8"/>
        <v>0</v>
      </c>
      <c r="O100" s="18">
        <f t="shared" si="9"/>
        <v>0</v>
      </c>
      <c r="P100" s="18">
        <f t="shared" si="10"/>
        <v>0</v>
      </c>
    </row>
    <row r="101">
      <c r="A101" s="2" t="s">
        <v>184</v>
      </c>
      <c r="B101" s="10">
        <v>1.5</v>
      </c>
      <c r="C101" s="12">
        <f t="shared" si="1"/>
        <v>6</v>
      </c>
      <c r="D101" s="11">
        <v>0.0</v>
      </c>
      <c r="E101" s="11">
        <v>0.0</v>
      </c>
      <c r="F101" s="12">
        <f t="shared" si="2"/>
        <v>0</v>
      </c>
      <c r="G101" s="16">
        <f t="shared" si="3"/>
        <v>0</v>
      </c>
      <c r="H101" s="11" t="s">
        <v>41</v>
      </c>
      <c r="I101" s="12">
        <f t="shared" si="15"/>
        <v>0</v>
      </c>
      <c r="J101" s="11">
        <v>0.0</v>
      </c>
      <c r="K101" s="11">
        <v>0.0</v>
      </c>
      <c r="L101" s="16">
        <f t="shared" si="6"/>
        <v>0</v>
      </c>
      <c r="M101" s="11" t="s">
        <v>41</v>
      </c>
      <c r="N101" s="12">
        <f t="shared" si="8"/>
        <v>0</v>
      </c>
      <c r="O101" s="18">
        <f t="shared" si="9"/>
        <v>0</v>
      </c>
      <c r="P101" s="18">
        <f t="shared" si="10"/>
        <v>0</v>
      </c>
    </row>
    <row r="102">
      <c r="A102" s="2" t="s">
        <v>147</v>
      </c>
      <c r="B102" s="10">
        <v>1.5</v>
      </c>
      <c r="C102" s="12">
        <f t="shared" si="1"/>
        <v>6</v>
      </c>
      <c r="D102" s="11">
        <v>0.0</v>
      </c>
      <c r="E102" s="11">
        <v>0.0</v>
      </c>
      <c r="F102" s="12">
        <f t="shared" si="2"/>
        <v>0</v>
      </c>
      <c r="G102" s="16">
        <f t="shared" si="3"/>
        <v>0</v>
      </c>
      <c r="H102" s="11" t="s">
        <v>41</v>
      </c>
      <c r="I102" s="12">
        <f t="shared" si="15"/>
        <v>0</v>
      </c>
      <c r="J102" s="11">
        <v>0.0</v>
      </c>
      <c r="K102" s="11">
        <v>0.0</v>
      </c>
      <c r="L102" s="16">
        <f t="shared" si="6"/>
        <v>0</v>
      </c>
      <c r="M102" s="11" t="s">
        <v>41</v>
      </c>
      <c r="N102" s="12">
        <f t="shared" si="8"/>
        <v>0</v>
      </c>
      <c r="O102" s="18">
        <f t="shared" si="9"/>
        <v>0</v>
      </c>
      <c r="P102" s="18">
        <f t="shared" si="10"/>
        <v>0</v>
      </c>
    </row>
    <row r="103">
      <c r="A103" s="2" t="s">
        <v>185</v>
      </c>
      <c r="B103" s="10">
        <v>2.0</v>
      </c>
      <c r="C103" s="12">
        <f t="shared" si="1"/>
        <v>8</v>
      </c>
      <c r="D103" s="11">
        <v>0.0</v>
      </c>
      <c r="E103" s="20">
        <v>0.0</v>
      </c>
      <c r="F103" s="21">
        <f t="shared" si="2"/>
        <v>0</v>
      </c>
      <c r="G103" s="23">
        <f t="shared" si="3"/>
        <v>0</v>
      </c>
      <c r="H103" s="20" t="s">
        <v>41</v>
      </c>
      <c r="I103" s="12">
        <f t="shared" si="15"/>
        <v>0</v>
      </c>
      <c r="J103" s="11">
        <v>0.0</v>
      </c>
      <c r="K103" s="11">
        <v>0.0</v>
      </c>
      <c r="L103" s="16">
        <f t="shared" si="6"/>
        <v>0</v>
      </c>
      <c r="M103" s="11" t="s">
        <v>41</v>
      </c>
      <c r="N103" s="12">
        <f t="shared" si="8"/>
        <v>0</v>
      </c>
      <c r="O103" s="18">
        <f t="shared" si="9"/>
        <v>0</v>
      </c>
      <c r="P103" s="18">
        <f t="shared" si="10"/>
        <v>0</v>
      </c>
    </row>
    <row r="104">
      <c r="A104" s="2" t="s">
        <v>181</v>
      </c>
      <c r="B104" s="10">
        <v>2.5</v>
      </c>
      <c r="C104" s="12">
        <f t="shared" si="1"/>
        <v>10</v>
      </c>
      <c r="D104" s="11">
        <v>0.0</v>
      </c>
      <c r="E104" s="20">
        <v>0.0</v>
      </c>
      <c r="F104" s="21">
        <f t="shared" si="2"/>
        <v>0</v>
      </c>
      <c r="G104" s="23">
        <f t="shared" si="3"/>
        <v>0</v>
      </c>
      <c r="H104" s="20" t="s">
        <v>41</v>
      </c>
      <c r="I104" s="12">
        <f t="shared" si="15"/>
        <v>0</v>
      </c>
      <c r="J104" s="11">
        <v>0.0</v>
      </c>
      <c r="K104" s="11">
        <v>0.0</v>
      </c>
      <c r="L104" s="16">
        <f t="shared" si="6"/>
        <v>0</v>
      </c>
      <c r="M104" s="11" t="s">
        <v>41</v>
      </c>
      <c r="N104" s="12">
        <f t="shared" si="8"/>
        <v>0</v>
      </c>
      <c r="O104" s="18">
        <f t="shared" si="9"/>
        <v>0</v>
      </c>
      <c r="P104" s="18">
        <f t="shared" si="10"/>
        <v>0</v>
      </c>
    </row>
    <row r="105">
      <c r="A105" s="2" t="s">
        <v>186</v>
      </c>
      <c r="B105" s="10">
        <v>2.0</v>
      </c>
      <c r="C105" s="12">
        <f t="shared" si="1"/>
        <v>8</v>
      </c>
      <c r="D105" s="11">
        <v>0.0</v>
      </c>
      <c r="E105" s="20">
        <v>0.0</v>
      </c>
      <c r="F105" s="21">
        <f t="shared" si="2"/>
        <v>0</v>
      </c>
      <c r="G105" s="23">
        <f t="shared" si="3"/>
        <v>0</v>
      </c>
      <c r="H105" s="20" t="s">
        <v>41</v>
      </c>
      <c r="I105" s="12">
        <f t="shared" si="15"/>
        <v>0</v>
      </c>
      <c r="J105" s="11">
        <v>0.0</v>
      </c>
      <c r="K105" s="11">
        <v>0.0</v>
      </c>
      <c r="L105" s="16">
        <f t="shared" si="6"/>
        <v>0</v>
      </c>
      <c r="M105" s="11" t="s">
        <v>41</v>
      </c>
      <c r="N105" s="12">
        <f t="shared" si="8"/>
        <v>0</v>
      </c>
      <c r="O105" s="18">
        <f t="shared" si="9"/>
        <v>0</v>
      </c>
      <c r="P105" s="18">
        <f t="shared" si="10"/>
        <v>0</v>
      </c>
    </row>
    <row r="106">
      <c r="A106" s="2" t="s">
        <v>92</v>
      </c>
      <c r="B106" s="10">
        <v>2.0</v>
      </c>
      <c r="C106" s="12">
        <f t="shared" si="1"/>
        <v>8</v>
      </c>
      <c r="D106" s="11">
        <v>0.0</v>
      </c>
      <c r="E106" s="20">
        <v>0.0</v>
      </c>
      <c r="F106" s="21">
        <f t="shared" si="2"/>
        <v>0</v>
      </c>
      <c r="G106" s="23">
        <f t="shared" si="3"/>
        <v>0</v>
      </c>
      <c r="H106" s="20" t="s">
        <v>41</v>
      </c>
      <c r="I106" s="12">
        <f t="shared" si="15"/>
        <v>0</v>
      </c>
      <c r="J106" s="11">
        <v>0.0</v>
      </c>
      <c r="K106" s="11">
        <v>0.0</v>
      </c>
      <c r="L106" s="16">
        <f t="shared" si="6"/>
        <v>0</v>
      </c>
      <c r="M106" s="11" t="s">
        <v>41</v>
      </c>
      <c r="N106" s="12">
        <f t="shared" si="8"/>
        <v>0</v>
      </c>
      <c r="O106" s="18">
        <f t="shared" si="9"/>
        <v>0</v>
      </c>
      <c r="P106" s="18">
        <f t="shared" si="10"/>
        <v>0</v>
      </c>
    </row>
    <row r="107">
      <c r="A107" s="2" t="s">
        <v>187</v>
      </c>
      <c r="B107" s="10">
        <v>3.0</v>
      </c>
      <c r="C107" s="12">
        <f t="shared" si="1"/>
        <v>12</v>
      </c>
      <c r="D107" s="11">
        <v>0.0</v>
      </c>
      <c r="E107" s="20">
        <v>0.0</v>
      </c>
      <c r="F107" s="21">
        <f t="shared" si="2"/>
        <v>0</v>
      </c>
      <c r="G107" s="23">
        <f t="shared" si="3"/>
        <v>0</v>
      </c>
      <c r="H107" s="20" t="s">
        <v>41</v>
      </c>
      <c r="I107" s="12">
        <f t="shared" si="15"/>
        <v>0</v>
      </c>
      <c r="J107" s="11">
        <v>0.0</v>
      </c>
      <c r="K107" s="11">
        <v>0.0</v>
      </c>
      <c r="L107" s="16">
        <f t="shared" si="6"/>
        <v>0</v>
      </c>
      <c r="M107" s="11" t="s">
        <v>41</v>
      </c>
      <c r="N107" s="12">
        <f t="shared" si="8"/>
        <v>0</v>
      </c>
      <c r="O107" s="18">
        <f t="shared" si="9"/>
        <v>0</v>
      </c>
      <c r="P107" s="18">
        <f t="shared" si="10"/>
        <v>0</v>
      </c>
    </row>
    <row r="108">
      <c r="A108" s="2" t="s">
        <v>169</v>
      </c>
      <c r="B108" s="10">
        <v>3.0</v>
      </c>
      <c r="C108" s="12">
        <f t="shared" si="1"/>
        <v>12</v>
      </c>
      <c r="D108" s="11">
        <v>1.0</v>
      </c>
      <c r="E108" s="11">
        <v>1.0</v>
      </c>
      <c r="F108" s="12">
        <f t="shared" si="2"/>
        <v>2</v>
      </c>
      <c r="G108" s="16">
        <f t="shared" si="3"/>
        <v>0.1666666667</v>
      </c>
      <c r="H108" s="16">
        <f t="shared" ref="H108:H139" si="16">D108/F108</f>
        <v>0.5</v>
      </c>
      <c r="I108" s="12">
        <f t="shared" si="15"/>
        <v>1</v>
      </c>
      <c r="J108" s="11">
        <v>0.0</v>
      </c>
      <c r="K108" s="11">
        <v>1.0</v>
      </c>
      <c r="L108" s="16">
        <f t="shared" si="6"/>
        <v>0.08333333333</v>
      </c>
      <c r="M108" s="16">
        <f t="shared" ref="M108:M112" si="17">J108/I108</f>
        <v>0</v>
      </c>
      <c r="N108" s="12">
        <f t="shared" si="8"/>
        <v>0</v>
      </c>
      <c r="O108" s="18">
        <f t="shared" si="9"/>
        <v>0</v>
      </c>
      <c r="P108" s="18">
        <f t="shared" si="10"/>
        <v>0</v>
      </c>
    </row>
    <row r="109">
      <c r="A109" s="2" t="s">
        <v>188</v>
      </c>
      <c r="B109" s="10">
        <v>3.0</v>
      </c>
      <c r="C109" s="12">
        <f t="shared" si="1"/>
        <v>12</v>
      </c>
      <c r="D109" s="11">
        <v>2.0</v>
      </c>
      <c r="E109" s="11">
        <v>5.0</v>
      </c>
      <c r="F109" s="12">
        <f t="shared" si="2"/>
        <v>7</v>
      </c>
      <c r="G109" s="16">
        <f t="shared" si="3"/>
        <v>0.5833333333</v>
      </c>
      <c r="H109" s="16">
        <f t="shared" si="16"/>
        <v>0.2857142857</v>
      </c>
      <c r="I109" s="12">
        <f t="shared" si="15"/>
        <v>2</v>
      </c>
      <c r="J109" s="11">
        <v>0.0</v>
      </c>
      <c r="K109" s="11">
        <v>2.0</v>
      </c>
      <c r="L109" s="16">
        <f t="shared" si="6"/>
        <v>0.1666666667</v>
      </c>
      <c r="M109" s="16">
        <f t="shared" si="17"/>
        <v>0</v>
      </c>
      <c r="N109" s="12">
        <f t="shared" si="8"/>
        <v>0</v>
      </c>
      <c r="O109" s="18">
        <f t="shared" si="9"/>
        <v>0</v>
      </c>
      <c r="P109" s="18">
        <f t="shared" si="10"/>
        <v>0</v>
      </c>
    </row>
    <row r="110">
      <c r="A110" s="2" t="s">
        <v>190</v>
      </c>
      <c r="B110" s="10">
        <v>3.0</v>
      </c>
      <c r="C110" s="12">
        <f t="shared" si="1"/>
        <v>12</v>
      </c>
      <c r="D110" s="11">
        <v>1.0</v>
      </c>
      <c r="E110" s="11">
        <v>3.0</v>
      </c>
      <c r="F110" s="12">
        <f t="shared" si="2"/>
        <v>4</v>
      </c>
      <c r="G110" s="16">
        <f t="shared" si="3"/>
        <v>0.3333333333</v>
      </c>
      <c r="H110" s="16">
        <f t="shared" si="16"/>
        <v>0.25</v>
      </c>
      <c r="I110" s="12">
        <f t="shared" si="15"/>
        <v>2</v>
      </c>
      <c r="J110" s="11">
        <v>1.0</v>
      </c>
      <c r="K110" s="11">
        <v>1.0</v>
      </c>
      <c r="L110" s="16">
        <f t="shared" si="6"/>
        <v>0.1666666667</v>
      </c>
      <c r="M110" s="16">
        <f t="shared" si="17"/>
        <v>0.5</v>
      </c>
      <c r="N110" s="12">
        <f t="shared" si="8"/>
        <v>0</v>
      </c>
      <c r="O110" s="18">
        <f t="shared" si="9"/>
        <v>0</v>
      </c>
      <c r="P110" s="18">
        <f t="shared" si="10"/>
        <v>0</v>
      </c>
    </row>
    <row r="111">
      <c r="A111" s="2" t="s">
        <v>135</v>
      </c>
      <c r="B111" s="10">
        <v>3.0</v>
      </c>
      <c r="C111" s="12">
        <f t="shared" si="1"/>
        <v>12</v>
      </c>
      <c r="D111" s="11">
        <v>1.0</v>
      </c>
      <c r="E111" s="20">
        <v>3.0</v>
      </c>
      <c r="F111" s="21">
        <f t="shared" si="2"/>
        <v>4</v>
      </c>
      <c r="G111" s="23">
        <f t="shared" si="3"/>
        <v>0.3333333333</v>
      </c>
      <c r="H111" s="23">
        <f t="shared" si="16"/>
        <v>0.25</v>
      </c>
      <c r="I111" s="12">
        <f t="shared" si="15"/>
        <v>2</v>
      </c>
      <c r="J111" s="11">
        <v>1.0</v>
      </c>
      <c r="K111" s="11">
        <v>1.0</v>
      </c>
      <c r="L111" s="16">
        <f t="shared" si="6"/>
        <v>0.1666666667</v>
      </c>
      <c r="M111" s="16">
        <f t="shared" si="17"/>
        <v>0.5</v>
      </c>
      <c r="N111" s="12">
        <f t="shared" si="8"/>
        <v>0</v>
      </c>
      <c r="O111" s="18">
        <f t="shared" si="9"/>
        <v>0</v>
      </c>
      <c r="P111" s="18">
        <f t="shared" si="10"/>
        <v>0</v>
      </c>
    </row>
    <row r="112">
      <c r="A112" s="2" t="s">
        <v>146</v>
      </c>
      <c r="B112" s="10">
        <v>3.0</v>
      </c>
      <c r="C112" s="12">
        <f t="shared" si="1"/>
        <v>12</v>
      </c>
      <c r="D112" s="11">
        <v>1.0</v>
      </c>
      <c r="E112" s="20">
        <v>4.0</v>
      </c>
      <c r="F112" s="21">
        <f t="shared" si="2"/>
        <v>5</v>
      </c>
      <c r="G112" s="23">
        <f t="shared" si="3"/>
        <v>0.4166666667</v>
      </c>
      <c r="H112" s="23">
        <f t="shared" si="16"/>
        <v>0.2</v>
      </c>
      <c r="I112" s="12">
        <f t="shared" si="15"/>
        <v>1</v>
      </c>
      <c r="J112" s="11">
        <v>0.0</v>
      </c>
      <c r="K112" s="11">
        <v>1.0</v>
      </c>
      <c r="L112" s="16">
        <f t="shared" si="6"/>
        <v>0.08333333333</v>
      </c>
      <c r="M112" s="16">
        <f t="shared" si="17"/>
        <v>0</v>
      </c>
      <c r="N112" s="12">
        <f t="shared" si="8"/>
        <v>0</v>
      </c>
      <c r="O112" s="18">
        <f t="shared" si="9"/>
        <v>0</v>
      </c>
      <c r="P112" s="18">
        <f t="shared" si="10"/>
        <v>0</v>
      </c>
      <c r="R112" s="4"/>
    </row>
    <row r="113">
      <c r="A113" s="2" t="s">
        <v>193</v>
      </c>
      <c r="B113" s="10">
        <v>3.0</v>
      </c>
      <c r="C113" s="12">
        <f t="shared" si="1"/>
        <v>12</v>
      </c>
      <c r="D113" s="11">
        <v>0.0</v>
      </c>
      <c r="E113" s="11">
        <v>1.0</v>
      </c>
      <c r="F113" s="12">
        <f t="shared" si="2"/>
        <v>1</v>
      </c>
      <c r="G113" s="16">
        <f t="shared" si="3"/>
        <v>0.08333333333</v>
      </c>
      <c r="H113" s="16">
        <f t="shared" si="16"/>
        <v>0</v>
      </c>
      <c r="I113" s="12">
        <f t="shared" si="15"/>
        <v>0</v>
      </c>
      <c r="J113" s="11">
        <v>0.0</v>
      </c>
      <c r="K113" s="11">
        <v>0.0</v>
      </c>
      <c r="L113" s="16">
        <f t="shared" si="6"/>
        <v>0</v>
      </c>
      <c r="M113" s="11" t="s">
        <v>41</v>
      </c>
      <c r="N113" s="12">
        <f t="shared" si="8"/>
        <v>0</v>
      </c>
      <c r="O113" s="18">
        <f t="shared" si="9"/>
        <v>0</v>
      </c>
      <c r="P113" s="18">
        <f t="shared" si="10"/>
        <v>0</v>
      </c>
    </row>
    <row r="114">
      <c r="A114" s="2" t="s">
        <v>194</v>
      </c>
      <c r="B114" s="10">
        <v>3.0</v>
      </c>
      <c r="C114" s="12">
        <f t="shared" si="1"/>
        <v>12</v>
      </c>
      <c r="D114" s="11">
        <v>0.0</v>
      </c>
      <c r="E114" s="11">
        <v>1.0</v>
      </c>
      <c r="F114" s="12">
        <f t="shared" si="2"/>
        <v>1</v>
      </c>
      <c r="G114" s="16">
        <f t="shared" si="3"/>
        <v>0.08333333333</v>
      </c>
      <c r="H114" s="16">
        <f t="shared" si="16"/>
        <v>0</v>
      </c>
      <c r="I114" s="12">
        <f t="shared" si="15"/>
        <v>0</v>
      </c>
      <c r="J114" s="11">
        <v>0.0</v>
      </c>
      <c r="K114" s="11">
        <v>0.0</v>
      </c>
      <c r="L114" s="16">
        <f t="shared" si="6"/>
        <v>0</v>
      </c>
      <c r="M114" s="11" t="s">
        <v>41</v>
      </c>
      <c r="N114" s="12">
        <f t="shared" si="8"/>
        <v>0</v>
      </c>
      <c r="O114" s="18">
        <f t="shared" si="9"/>
        <v>0</v>
      </c>
      <c r="P114" s="18">
        <f t="shared" si="10"/>
        <v>0</v>
      </c>
    </row>
    <row r="115">
      <c r="A115" s="2" t="s">
        <v>156</v>
      </c>
      <c r="B115" s="10">
        <v>3.0</v>
      </c>
      <c r="C115" s="12">
        <f t="shared" si="1"/>
        <v>12</v>
      </c>
      <c r="D115" s="11">
        <v>0.0</v>
      </c>
      <c r="E115" s="11">
        <v>1.0</v>
      </c>
      <c r="F115" s="12">
        <f t="shared" si="2"/>
        <v>1</v>
      </c>
      <c r="G115" s="16">
        <f t="shared" si="3"/>
        <v>0.08333333333</v>
      </c>
      <c r="H115" s="16">
        <f t="shared" si="16"/>
        <v>0</v>
      </c>
      <c r="I115" s="12">
        <f t="shared" si="15"/>
        <v>0</v>
      </c>
      <c r="J115" s="11">
        <v>0.0</v>
      </c>
      <c r="K115" s="11">
        <v>0.0</v>
      </c>
      <c r="L115" s="16">
        <f t="shared" si="6"/>
        <v>0</v>
      </c>
      <c r="M115" s="11" t="s">
        <v>41</v>
      </c>
      <c r="N115" s="12">
        <f t="shared" si="8"/>
        <v>0</v>
      </c>
      <c r="O115" s="18">
        <f t="shared" si="9"/>
        <v>0</v>
      </c>
      <c r="P115" s="18">
        <f t="shared" si="10"/>
        <v>0</v>
      </c>
    </row>
    <row r="116">
      <c r="A116" s="2" t="s">
        <v>192</v>
      </c>
      <c r="B116" s="10">
        <v>3.0</v>
      </c>
      <c r="C116" s="12">
        <f t="shared" si="1"/>
        <v>12</v>
      </c>
      <c r="D116" s="11">
        <v>0.0</v>
      </c>
      <c r="E116" s="11">
        <v>1.0</v>
      </c>
      <c r="F116" s="12">
        <f t="shared" si="2"/>
        <v>1</v>
      </c>
      <c r="G116" s="16">
        <f t="shared" si="3"/>
        <v>0.08333333333</v>
      </c>
      <c r="H116" s="16">
        <f t="shared" si="16"/>
        <v>0</v>
      </c>
      <c r="I116" s="12">
        <f t="shared" si="15"/>
        <v>0</v>
      </c>
      <c r="J116" s="11">
        <v>0.0</v>
      </c>
      <c r="K116" s="11">
        <v>0.0</v>
      </c>
      <c r="L116" s="16">
        <f t="shared" si="6"/>
        <v>0</v>
      </c>
      <c r="M116" s="11" t="s">
        <v>41</v>
      </c>
      <c r="N116" s="12">
        <f t="shared" si="8"/>
        <v>0</v>
      </c>
      <c r="O116" s="18">
        <f t="shared" si="9"/>
        <v>0</v>
      </c>
      <c r="P116" s="18">
        <f t="shared" si="10"/>
        <v>0</v>
      </c>
    </row>
    <row r="117">
      <c r="A117" s="2" t="s">
        <v>195</v>
      </c>
      <c r="B117" s="10">
        <v>3.0</v>
      </c>
      <c r="C117" s="12">
        <f t="shared" si="1"/>
        <v>12</v>
      </c>
      <c r="D117" s="11">
        <v>0.0</v>
      </c>
      <c r="E117" s="11">
        <v>2.0</v>
      </c>
      <c r="F117" s="12">
        <f t="shared" si="2"/>
        <v>2</v>
      </c>
      <c r="G117" s="16">
        <f t="shared" si="3"/>
        <v>0.1666666667</v>
      </c>
      <c r="H117" s="16">
        <f t="shared" si="16"/>
        <v>0</v>
      </c>
      <c r="I117" s="12">
        <f t="shared" si="15"/>
        <v>0</v>
      </c>
      <c r="J117" s="11">
        <v>0.0</v>
      </c>
      <c r="K117" s="11">
        <v>0.0</v>
      </c>
      <c r="L117" s="16">
        <f t="shared" si="6"/>
        <v>0</v>
      </c>
      <c r="M117" s="11" t="s">
        <v>41</v>
      </c>
      <c r="N117" s="12">
        <f t="shared" si="8"/>
        <v>0</v>
      </c>
      <c r="O117" s="18">
        <f t="shared" si="9"/>
        <v>0</v>
      </c>
      <c r="P117" s="18">
        <f t="shared" si="10"/>
        <v>0</v>
      </c>
    </row>
    <row r="118">
      <c r="A118" s="2" t="s">
        <v>191</v>
      </c>
      <c r="B118" s="10">
        <v>3.0</v>
      </c>
      <c r="C118" s="12">
        <f t="shared" si="1"/>
        <v>12</v>
      </c>
      <c r="D118" s="11">
        <v>0.0</v>
      </c>
      <c r="E118" s="11">
        <v>1.0</v>
      </c>
      <c r="F118" s="12">
        <f t="shared" si="2"/>
        <v>1</v>
      </c>
      <c r="G118" s="16">
        <f t="shared" si="3"/>
        <v>0.08333333333</v>
      </c>
      <c r="H118" s="16">
        <f t="shared" si="16"/>
        <v>0</v>
      </c>
      <c r="I118" s="12">
        <f t="shared" si="15"/>
        <v>0</v>
      </c>
      <c r="J118" s="11">
        <v>0.0</v>
      </c>
      <c r="K118" s="11">
        <v>0.0</v>
      </c>
      <c r="L118" s="16">
        <f t="shared" si="6"/>
        <v>0</v>
      </c>
      <c r="M118" s="11" t="s">
        <v>41</v>
      </c>
      <c r="N118" s="12">
        <f t="shared" si="8"/>
        <v>0</v>
      </c>
      <c r="O118" s="18">
        <f t="shared" si="9"/>
        <v>0</v>
      </c>
      <c r="P118" s="18">
        <f t="shared" si="10"/>
        <v>0</v>
      </c>
    </row>
    <row r="119">
      <c r="A119" s="2" t="s">
        <v>172</v>
      </c>
      <c r="B119" s="10">
        <v>3.0</v>
      </c>
      <c r="C119" s="12">
        <f t="shared" si="1"/>
        <v>12</v>
      </c>
      <c r="D119" s="11">
        <v>0.0</v>
      </c>
      <c r="E119" s="11">
        <v>1.0</v>
      </c>
      <c r="F119" s="12">
        <f t="shared" si="2"/>
        <v>1</v>
      </c>
      <c r="G119" s="16">
        <f t="shared" si="3"/>
        <v>0.08333333333</v>
      </c>
      <c r="H119" s="16">
        <f t="shared" si="16"/>
        <v>0</v>
      </c>
      <c r="I119" s="12">
        <f t="shared" si="15"/>
        <v>0</v>
      </c>
      <c r="J119" s="11">
        <v>0.0</v>
      </c>
      <c r="K119" s="11">
        <v>0.0</v>
      </c>
      <c r="L119" s="16">
        <f t="shared" si="6"/>
        <v>0</v>
      </c>
      <c r="M119" s="11" t="s">
        <v>41</v>
      </c>
      <c r="N119" s="12">
        <f t="shared" si="8"/>
        <v>0</v>
      </c>
      <c r="O119" s="18">
        <f t="shared" si="9"/>
        <v>0</v>
      </c>
      <c r="P119" s="18">
        <f t="shared" si="10"/>
        <v>0</v>
      </c>
    </row>
    <row r="120">
      <c r="A120" s="2" t="s">
        <v>196</v>
      </c>
      <c r="B120" s="10">
        <v>3.0</v>
      </c>
      <c r="C120" s="12">
        <f t="shared" si="1"/>
        <v>12</v>
      </c>
      <c r="D120" s="11">
        <v>0.0</v>
      </c>
      <c r="E120" s="11">
        <v>1.0</v>
      </c>
      <c r="F120" s="12">
        <f t="shared" si="2"/>
        <v>1</v>
      </c>
      <c r="G120" s="16">
        <f t="shared" si="3"/>
        <v>0.08333333333</v>
      </c>
      <c r="H120" s="16">
        <f t="shared" si="16"/>
        <v>0</v>
      </c>
      <c r="I120" s="12">
        <f t="shared" si="15"/>
        <v>0</v>
      </c>
      <c r="J120" s="11">
        <v>0.0</v>
      </c>
      <c r="K120" s="11">
        <v>0.0</v>
      </c>
      <c r="L120" s="16">
        <f t="shared" si="6"/>
        <v>0</v>
      </c>
      <c r="M120" s="11" t="s">
        <v>41</v>
      </c>
      <c r="N120" s="12">
        <f t="shared" si="8"/>
        <v>0</v>
      </c>
      <c r="O120" s="18">
        <f t="shared" si="9"/>
        <v>0</v>
      </c>
      <c r="P120" s="18">
        <f t="shared" si="10"/>
        <v>0</v>
      </c>
    </row>
    <row r="121">
      <c r="A121" s="2" t="s">
        <v>197</v>
      </c>
      <c r="B121" s="10">
        <v>3.0</v>
      </c>
      <c r="C121" s="12">
        <f t="shared" si="1"/>
        <v>12</v>
      </c>
      <c r="D121" s="11">
        <v>0.0</v>
      </c>
      <c r="E121" s="11">
        <v>1.0</v>
      </c>
      <c r="F121" s="12">
        <f t="shared" si="2"/>
        <v>1</v>
      </c>
      <c r="G121" s="16">
        <f t="shared" si="3"/>
        <v>0.08333333333</v>
      </c>
      <c r="H121" s="16">
        <f t="shared" si="16"/>
        <v>0</v>
      </c>
      <c r="I121" s="12">
        <f t="shared" si="15"/>
        <v>0</v>
      </c>
      <c r="J121" s="11">
        <v>0.0</v>
      </c>
      <c r="K121" s="11">
        <v>0.0</v>
      </c>
      <c r="L121" s="16">
        <f t="shared" si="6"/>
        <v>0</v>
      </c>
      <c r="M121" s="11" t="s">
        <v>41</v>
      </c>
      <c r="N121" s="12">
        <f t="shared" si="8"/>
        <v>0</v>
      </c>
      <c r="O121" s="18">
        <f t="shared" si="9"/>
        <v>0</v>
      </c>
      <c r="P121" s="18">
        <f t="shared" si="10"/>
        <v>0</v>
      </c>
    </row>
    <row r="122">
      <c r="A122" s="2" t="s">
        <v>145</v>
      </c>
      <c r="B122" s="10">
        <v>3.0</v>
      </c>
      <c r="C122" s="12">
        <f t="shared" si="1"/>
        <v>12</v>
      </c>
      <c r="D122" s="11">
        <v>0.0</v>
      </c>
      <c r="E122" s="11">
        <v>1.0</v>
      </c>
      <c r="F122" s="12">
        <f t="shared" si="2"/>
        <v>1</v>
      </c>
      <c r="G122" s="16">
        <f t="shared" si="3"/>
        <v>0.08333333333</v>
      </c>
      <c r="H122" s="16">
        <f t="shared" si="16"/>
        <v>0</v>
      </c>
      <c r="I122" s="12">
        <f t="shared" si="15"/>
        <v>0</v>
      </c>
      <c r="J122" s="11">
        <v>0.0</v>
      </c>
      <c r="K122" s="11">
        <v>0.0</v>
      </c>
      <c r="L122" s="16">
        <f t="shared" si="6"/>
        <v>0</v>
      </c>
      <c r="M122" s="11" t="s">
        <v>41</v>
      </c>
      <c r="N122" s="12">
        <f t="shared" si="8"/>
        <v>0</v>
      </c>
      <c r="O122" s="18">
        <f t="shared" si="9"/>
        <v>0</v>
      </c>
      <c r="P122" s="18">
        <f t="shared" si="10"/>
        <v>0</v>
      </c>
    </row>
    <row r="123">
      <c r="A123" s="2" t="s">
        <v>198</v>
      </c>
      <c r="B123" s="10">
        <v>3.0</v>
      </c>
      <c r="C123" s="12">
        <f t="shared" si="1"/>
        <v>12</v>
      </c>
      <c r="D123" s="11">
        <v>0.0</v>
      </c>
      <c r="E123" s="11">
        <v>1.0</v>
      </c>
      <c r="F123" s="12">
        <f t="shared" si="2"/>
        <v>1</v>
      </c>
      <c r="G123" s="16">
        <f t="shared" si="3"/>
        <v>0.08333333333</v>
      </c>
      <c r="H123" s="16">
        <f t="shared" si="16"/>
        <v>0</v>
      </c>
      <c r="I123" s="12">
        <f t="shared" si="15"/>
        <v>0</v>
      </c>
      <c r="J123" s="11">
        <v>0.0</v>
      </c>
      <c r="K123" s="11">
        <v>0.0</v>
      </c>
      <c r="L123" s="16">
        <f t="shared" si="6"/>
        <v>0</v>
      </c>
      <c r="M123" s="11" t="s">
        <v>41</v>
      </c>
      <c r="N123" s="12">
        <f t="shared" si="8"/>
        <v>0</v>
      </c>
      <c r="O123" s="18">
        <f t="shared" si="9"/>
        <v>0</v>
      </c>
      <c r="P123" s="18">
        <f t="shared" si="10"/>
        <v>0</v>
      </c>
    </row>
    <row r="124">
      <c r="A124" s="2" t="s">
        <v>179</v>
      </c>
      <c r="B124" s="10">
        <v>3.0</v>
      </c>
      <c r="C124" s="12">
        <f t="shared" si="1"/>
        <v>12</v>
      </c>
      <c r="D124" s="11">
        <v>0.0</v>
      </c>
      <c r="E124" s="11">
        <v>2.0</v>
      </c>
      <c r="F124" s="12">
        <f t="shared" si="2"/>
        <v>2</v>
      </c>
      <c r="G124" s="16">
        <f t="shared" si="3"/>
        <v>0.1666666667</v>
      </c>
      <c r="H124" s="16">
        <f t="shared" si="16"/>
        <v>0</v>
      </c>
      <c r="I124" s="12">
        <f t="shared" si="15"/>
        <v>0</v>
      </c>
      <c r="J124" s="11">
        <v>0.0</v>
      </c>
      <c r="K124" s="11">
        <v>0.0</v>
      </c>
      <c r="L124" s="16">
        <f t="shared" si="6"/>
        <v>0</v>
      </c>
      <c r="M124" s="11" t="s">
        <v>41</v>
      </c>
      <c r="N124" s="12">
        <f t="shared" si="8"/>
        <v>0</v>
      </c>
      <c r="O124" s="18">
        <f t="shared" si="9"/>
        <v>0</v>
      </c>
      <c r="P124" s="18">
        <f t="shared" si="10"/>
        <v>0</v>
      </c>
    </row>
    <row r="125">
      <c r="A125" s="2" t="s">
        <v>189</v>
      </c>
      <c r="B125" s="10">
        <v>3.0</v>
      </c>
      <c r="C125" s="12">
        <f t="shared" si="1"/>
        <v>12</v>
      </c>
      <c r="D125" s="11">
        <v>0.0</v>
      </c>
      <c r="E125" s="11">
        <v>1.0</v>
      </c>
      <c r="F125" s="12">
        <f t="shared" si="2"/>
        <v>1</v>
      </c>
      <c r="G125" s="16">
        <f t="shared" si="3"/>
        <v>0.08333333333</v>
      </c>
      <c r="H125" s="16">
        <f t="shared" si="16"/>
        <v>0</v>
      </c>
      <c r="I125" s="12">
        <f t="shared" si="15"/>
        <v>0</v>
      </c>
      <c r="J125" s="11">
        <v>0.0</v>
      </c>
      <c r="K125" s="11">
        <v>0.0</v>
      </c>
      <c r="L125" s="16">
        <f t="shared" si="6"/>
        <v>0</v>
      </c>
      <c r="M125" s="11" t="s">
        <v>41</v>
      </c>
      <c r="N125" s="12">
        <f t="shared" si="8"/>
        <v>0</v>
      </c>
      <c r="O125" s="18">
        <f t="shared" si="9"/>
        <v>0</v>
      </c>
      <c r="P125" s="18">
        <f t="shared" si="10"/>
        <v>0</v>
      </c>
    </row>
    <row r="126">
      <c r="A126" s="2" t="s">
        <v>99</v>
      </c>
      <c r="B126" s="10">
        <v>2.5</v>
      </c>
      <c r="C126" s="12">
        <f t="shared" si="1"/>
        <v>10</v>
      </c>
      <c r="D126" s="11">
        <v>0.0</v>
      </c>
      <c r="E126" s="11">
        <v>3.0</v>
      </c>
      <c r="F126" s="12">
        <f t="shared" si="2"/>
        <v>3</v>
      </c>
      <c r="G126" s="16">
        <f t="shared" si="3"/>
        <v>0.3</v>
      </c>
      <c r="H126" s="16">
        <f t="shared" si="16"/>
        <v>0</v>
      </c>
      <c r="I126" s="12">
        <f t="shared" si="15"/>
        <v>0</v>
      </c>
      <c r="J126" s="11">
        <v>0.0</v>
      </c>
      <c r="K126" s="11">
        <v>0.0</v>
      </c>
      <c r="L126" s="16">
        <f t="shared" si="6"/>
        <v>0</v>
      </c>
      <c r="M126" s="11" t="s">
        <v>41</v>
      </c>
      <c r="N126" s="12">
        <f t="shared" si="8"/>
        <v>0</v>
      </c>
      <c r="O126" s="18">
        <f t="shared" si="9"/>
        <v>0</v>
      </c>
      <c r="P126" s="18">
        <f t="shared" si="10"/>
        <v>0</v>
      </c>
    </row>
    <row r="127">
      <c r="A127" s="2" t="s">
        <v>201</v>
      </c>
      <c r="B127" s="10">
        <v>2.0</v>
      </c>
      <c r="C127" s="12">
        <f t="shared" si="1"/>
        <v>8</v>
      </c>
      <c r="D127" s="11">
        <v>0.0</v>
      </c>
      <c r="E127" s="11">
        <v>1.0</v>
      </c>
      <c r="F127" s="12">
        <f t="shared" si="2"/>
        <v>1</v>
      </c>
      <c r="G127" s="16">
        <f t="shared" si="3"/>
        <v>0.125</v>
      </c>
      <c r="H127" s="16">
        <f t="shared" si="16"/>
        <v>0</v>
      </c>
      <c r="I127" s="12">
        <f t="shared" si="15"/>
        <v>0</v>
      </c>
      <c r="J127" s="11">
        <v>0.0</v>
      </c>
      <c r="K127" s="11">
        <v>0.0</v>
      </c>
      <c r="L127" s="16">
        <f t="shared" si="6"/>
        <v>0</v>
      </c>
      <c r="M127" s="11" t="s">
        <v>41</v>
      </c>
      <c r="N127" s="12">
        <f t="shared" si="8"/>
        <v>0</v>
      </c>
      <c r="O127" s="18">
        <f t="shared" si="9"/>
        <v>0</v>
      </c>
      <c r="P127" s="18">
        <f t="shared" si="10"/>
        <v>0</v>
      </c>
    </row>
    <row r="128">
      <c r="A128" s="2" t="s">
        <v>202</v>
      </c>
      <c r="B128" s="10">
        <v>2.0</v>
      </c>
      <c r="C128" s="12">
        <f t="shared" si="1"/>
        <v>8</v>
      </c>
      <c r="D128" s="11">
        <v>0.0</v>
      </c>
      <c r="E128" s="11">
        <v>1.0</v>
      </c>
      <c r="F128" s="12">
        <f t="shared" si="2"/>
        <v>1</v>
      </c>
      <c r="G128" s="16">
        <f t="shared" si="3"/>
        <v>0.125</v>
      </c>
      <c r="H128" s="16">
        <f t="shared" si="16"/>
        <v>0</v>
      </c>
      <c r="I128" s="12">
        <f t="shared" si="15"/>
        <v>0</v>
      </c>
      <c r="J128" s="11">
        <v>0.0</v>
      </c>
      <c r="K128" s="11">
        <v>0.0</v>
      </c>
      <c r="L128" s="16">
        <f t="shared" si="6"/>
        <v>0</v>
      </c>
      <c r="M128" s="11" t="s">
        <v>41</v>
      </c>
      <c r="N128" s="12">
        <f t="shared" si="8"/>
        <v>0</v>
      </c>
      <c r="O128" s="18">
        <f t="shared" si="9"/>
        <v>0</v>
      </c>
      <c r="P128" s="18">
        <f t="shared" si="10"/>
        <v>0</v>
      </c>
    </row>
    <row r="129">
      <c r="A129" s="2" t="s">
        <v>167</v>
      </c>
      <c r="B129" s="10">
        <v>3.0</v>
      </c>
      <c r="C129" s="12">
        <f t="shared" si="1"/>
        <v>12</v>
      </c>
      <c r="D129" s="11">
        <v>0.0</v>
      </c>
      <c r="E129" s="20">
        <v>1.0</v>
      </c>
      <c r="F129" s="21">
        <f t="shared" si="2"/>
        <v>1</v>
      </c>
      <c r="G129" s="23">
        <f t="shared" si="3"/>
        <v>0.08333333333</v>
      </c>
      <c r="H129" s="23">
        <f t="shared" si="16"/>
        <v>0</v>
      </c>
      <c r="I129" s="12">
        <f t="shared" si="15"/>
        <v>0</v>
      </c>
      <c r="J129" s="11">
        <v>0.0</v>
      </c>
      <c r="K129" s="11">
        <v>0.0</v>
      </c>
      <c r="L129" s="16">
        <f t="shared" si="6"/>
        <v>0</v>
      </c>
      <c r="M129" s="11" t="s">
        <v>41</v>
      </c>
      <c r="N129" s="12">
        <f t="shared" si="8"/>
        <v>0</v>
      </c>
      <c r="O129" s="18">
        <f t="shared" si="9"/>
        <v>0</v>
      </c>
      <c r="P129" s="18">
        <f t="shared" si="10"/>
        <v>0</v>
      </c>
    </row>
    <row r="130">
      <c r="A130" s="2" t="s">
        <v>112</v>
      </c>
      <c r="B130" s="10">
        <v>3.0</v>
      </c>
      <c r="C130" s="12">
        <f t="shared" si="1"/>
        <v>12</v>
      </c>
      <c r="D130" s="11">
        <v>0.0</v>
      </c>
      <c r="E130" s="20">
        <v>1.0</v>
      </c>
      <c r="F130" s="21">
        <f t="shared" si="2"/>
        <v>1</v>
      </c>
      <c r="G130" s="23">
        <f t="shared" si="3"/>
        <v>0.08333333333</v>
      </c>
      <c r="H130" s="23">
        <f t="shared" si="16"/>
        <v>0</v>
      </c>
      <c r="I130" s="12">
        <f t="shared" si="15"/>
        <v>0</v>
      </c>
      <c r="J130" s="11">
        <v>0.0</v>
      </c>
      <c r="K130" s="11">
        <v>0.0</v>
      </c>
      <c r="L130" s="16">
        <f t="shared" si="6"/>
        <v>0</v>
      </c>
      <c r="M130" s="11" t="s">
        <v>41</v>
      </c>
      <c r="N130" s="12">
        <f t="shared" si="8"/>
        <v>0</v>
      </c>
      <c r="O130" s="18">
        <f t="shared" si="9"/>
        <v>0</v>
      </c>
      <c r="P130" s="18">
        <f t="shared" si="10"/>
        <v>0</v>
      </c>
    </row>
    <row r="131">
      <c r="A131" s="2" t="s">
        <v>124</v>
      </c>
      <c r="B131" s="10">
        <v>1.5</v>
      </c>
      <c r="C131" s="12">
        <f t="shared" si="1"/>
        <v>6</v>
      </c>
      <c r="D131" s="11">
        <v>0.0</v>
      </c>
      <c r="E131" s="11">
        <v>1.0</v>
      </c>
      <c r="F131" s="12">
        <f t="shared" si="2"/>
        <v>1</v>
      </c>
      <c r="G131" s="16">
        <f t="shared" si="3"/>
        <v>0.1666666667</v>
      </c>
      <c r="H131" s="16">
        <f t="shared" si="16"/>
        <v>0</v>
      </c>
      <c r="I131" s="12">
        <f t="shared" si="15"/>
        <v>0</v>
      </c>
      <c r="J131" s="11">
        <v>0.0</v>
      </c>
      <c r="K131" s="11">
        <v>0.0</v>
      </c>
      <c r="L131" s="16">
        <f t="shared" si="6"/>
        <v>0</v>
      </c>
      <c r="M131" s="11" t="s">
        <v>41</v>
      </c>
      <c r="N131" s="12">
        <f t="shared" si="8"/>
        <v>0</v>
      </c>
      <c r="O131" s="18">
        <f t="shared" si="9"/>
        <v>0</v>
      </c>
      <c r="P131" s="18">
        <f t="shared" si="10"/>
        <v>0</v>
      </c>
    </row>
    <row r="132">
      <c r="A132" s="2" t="s">
        <v>204</v>
      </c>
      <c r="B132" s="10">
        <v>0.5</v>
      </c>
      <c r="C132" s="12">
        <f t="shared" si="1"/>
        <v>2</v>
      </c>
      <c r="D132" s="11">
        <v>0.0</v>
      </c>
      <c r="E132" s="11">
        <v>1.0</v>
      </c>
      <c r="F132" s="12">
        <f t="shared" si="2"/>
        <v>1</v>
      </c>
      <c r="G132" s="16">
        <f t="shared" si="3"/>
        <v>0.5</v>
      </c>
      <c r="H132" s="16">
        <f t="shared" si="16"/>
        <v>0</v>
      </c>
      <c r="I132" s="12">
        <f t="shared" si="15"/>
        <v>0</v>
      </c>
      <c r="J132" s="11">
        <v>0.0</v>
      </c>
      <c r="K132" s="11">
        <v>0.0</v>
      </c>
      <c r="L132" s="16">
        <f t="shared" si="6"/>
        <v>0</v>
      </c>
      <c r="M132" s="11" t="s">
        <v>41</v>
      </c>
      <c r="N132" s="12">
        <f t="shared" si="8"/>
        <v>0</v>
      </c>
      <c r="O132" s="18">
        <f t="shared" si="9"/>
        <v>0</v>
      </c>
      <c r="P132" s="18">
        <f t="shared" si="10"/>
        <v>0</v>
      </c>
    </row>
    <row r="133">
      <c r="A133" s="2" t="s">
        <v>203</v>
      </c>
      <c r="B133" s="10">
        <v>3.0</v>
      </c>
      <c r="C133" s="12">
        <f t="shared" si="1"/>
        <v>12</v>
      </c>
      <c r="D133" s="11">
        <v>0.0</v>
      </c>
      <c r="E133" s="11">
        <v>3.0</v>
      </c>
      <c r="F133" s="12">
        <f t="shared" si="2"/>
        <v>3</v>
      </c>
      <c r="G133" s="16">
        <f t="shared" si="3"/>
        <v>0.25</v>
      </c>
      <c r="H133" s="16">
        <f t="shared" si="16"/>
        <v>0</v>
      </c>
      <c r="I133" s="12">
        <f t="shared" si="15"/>
        <v>1</v>
      </c>
      <c r="J133" s="11">
        <v>0.0</v>
      </c>
      <c r="K133" s="11">
        <v>1.0</v>
      </c>
      <c r="L133" s="16">
        <f t="shared" si="6"/>
        <v>0.08333333333</v>
      </c>
      <c r="M133" s="16">
        <f t="shared" ref="M133:M139" si="18">J133/I133</f>
        <v>0</v>
      </c>
      <c r="N133" s="12">
        <f t="shared" si="8"/>
        <v>-4</v>
      </c>
      <c r="O133" s="18">
        <f t="shared" si="9"/>
        <v>-0.3333333333</v>
      </c>
      <c r="P133" s="18">
        <f t="shared" si="10"/>
        <v>-1.333333333</v>
      </c>
    </row>
    <row r="134">
      <c r="A134" s="2" t="s">
        <v>205</v>
      </c>
      <c r="B134" s="10">
        <v>3.0</v>
      </c>
      <c r="C134" s="12">
        <f t="shared" si="1"/>
        <v>12</v>
      </c>
      <c r="D134" s="11">
        <v>0.0</v>
      </c>
      <c r="E134" s="11">
        <v>2.0</v>
      </c>
      <c r="F134" s="12">
        <f t="shared" si="2"/>
        <v>2</v>
      </c>
      <c r="G134" s="16">
        <f t="shared" si="3"/>
        <v>0.1666666667</v>
      </c>
      <c r="H134" s="16">
        <f t="shared" si="16"/>
        <v>0</v>
      </c>
      <c r="I134" s="12">
        <f t="shared" si="15"/>
        <v>1</v>
      </c>
      <c r="J134" s="11">
        <v>0.0</v>
      </c>
      <c r="K134" s="11">
        <v>1.0</v>
      </c>
      <c r="L134" s="16">
        <f t="shared" si="6"/>
        <v>0.08333333333</v>
      </c>
      <c r="M134" s="16">
        <f t="shared" si="18"/>
        <v>0</v>
      </c>
      <c r="N134" s="12">
        <f t="shared" si="8"/>
        <v>-4</v>
      </c>
      <c r="O134" s="18">
        <f t="shared" si="9"/>
        <v>-0.3333333333</v>
      </c>
      <c r="P134" s="18">
        <f t="shared" si="10"/>
        <v>-1.333333333</v>
      </c>
    </row>
    <row r="135">
      <c r="A135" s="2" t="s">
        <v>200</v>
      </c>
      <c r="B135" s="10">
        <v>3.0</v>
      </c>
      <c r="C135" s="12">
        <f t="shared" si="1"/>
        <v>12</v>
      </c>
      <c r="D135" s="11">
        <v>0.0</v>
      </c>
      <c r="E135" s="11">
        <v>2.0</v>
      </c>
      <c r="F135" s="12">
        <f t="shared" si="2"/>
        <v>2</v>
      </c>
      <c r="G135" s="16">
        <f t="shared" si="3"/>
        <v>0.1666666667</v>
      </c>
      <c r="H135" s="16">
        <f t="shared" si="16"/>
        <v>0</v>
      </c>
      <c r="I135" s="12">
        <f t="shared" si="15"/>
        <v>1</v>
      </c>
      <c r="J135" s="11">
        <v>0.0</v>
      </c>
      <c r="K135" s="11">
        <v>1.0</v>
      </c>
      <c r="L135" s="16">
        <f t="shared" si="6"/>
        <v>0.08333333333</v>
      </c>
      <c r="M135" s="16">
        <f t="shared" si="18"/>
        <v>0</v>
      </c>
      <c r="N135" s="12">
        <f t="shared" si="8"/>
        <v>-4</v>
      </c>
      <c r="O135" s="18">
        <f t="shared" si="9"/>
        <v>-0.3333333333</v>
      </c>
      <c r="P135" s="18">
        <f t="shared" si="10"/>
        <v>-1.333333333</v>
      </c>
    </row>
    <row r="136">
      <c r="A136" s="2" t="s">
        <v>206</v>
      </c>
      <c r="B136" s="10">
        <v>3.0</v>
      </c>
      <c r="C136" s="12">
        <f t="shared" si="1"/>
        <v>12</v>
      </c>
      <c r="D136" s="11">
        <v>0.0</v>
      </c>
      <c r="E136" s="20">
        <v>1.0</v>
      </c>
      <c r="F136" s="21">
        <f t="shared" si="2"/>
        <v>1</v>
      </c>
      <c r="G136" s="23">
        <f t="shared" si="3"/>
        <v>0.08333333333</v>
      </c>
      <c r="H136" s="23">
        <f t="shared" si="16"/>
        <v>0</v>
      </c>
      <c r="I136" s="12">
        <f t="shared" si="15"/>
        <v>1</v>
      </c>
      <c r="J136" s="11">
        <v>0.0</v>
      </c>
      <c r="K136" s="11">
        <v>1.0</v>
      </c>
      <c r="L136" s="16">
        <f t="shared" si="6"/>
        <v>0.08333333333</v>
      </c>
      <c r="M136" s="16">
        <f t="shared" si="18"/>
        <v>0</v>
      </c>
      <c r="N136" s="12">
        <f t="shared" si="8"/>
        <v>-4</v>
      </c>
      <c r="O136" s="18">
        <f t="shared" si="9"/>
        <v>-0.3333333333</v>
      </c>
      <c r="P136" s="18">
        <f t="shared" si="10"/>
        <v>-1.333333333</v>
      </c>
    </row>
    <row r="137">
      <c r="A137" s="2" t="s">
        <v>199</v>
      </c>
      <c r="B137" s="10">
        <v>3.0</v>
      </c>
      <c r="C137" s="12">
        <f t="shared" si="1"/>
        <v>12</v>
      </c>
      <c r="D137" s="11">
        <v>0.0</v>
      </c>
      <c r="E137" s="20">
        <v>2.0</v>
      </c>
      <c r="F137" s="21">
        <f t="shared" si="2"/>
        <v>2</v>
      </c>
      <c r="G137" s="23">
        <f t="shared" si="3"/>
        <v>0.1666666667</v>
      </c>
      <c r="H137" s="23">
        <f t="shared" si="16"/>
        <v>0</v>
      </c>
      <c r="I137" s="12">
        <f t="shared" si="15"/>
        <v>1</v>
      </c>
      <c r="J137" s="11">
        <v>0.0</v>
      </c>
      <c r="K137" s="11">
        <v>1.0</v>
      </c>
      <c r="L137" s="16">
        <f t="shared" si="6"/>
        <v>0.08333333333</v>
      </c>
      <c r="M137" s="16">
        <f t="shared" si="18"/>
        <v>0</v>
      </c>
      <c r="N137" s="12">
        <f t="shared" si="8"/>
        <v>-4</v>
      </c>
      <c r="O137" s="18">
        <f t="shared" si="9"/>
        <v>-0.3333333333</v>
      </c>
      <c r="P137" s="18">
        <f t="shared" si="10"/>
        <v>-1.333333333</v>
      </c>
    </row>
    <row r="138">
      <c r="A138" s="2" t="s">
        <v>207</v>
      </c>
      <c r="B138" s="10">
        <v>2.5</v>
      </c>
      <c r="C138" s="12">
        <f t="shared" si="1"/>
        <v>10</v>
      </c>
      <c r="D138" s="11">
        <v>0.0</v>
      </c>
      <c r="E138" s="11">
        <v>1.0</v>
      </c>
      <c r="F138" s="12">
        <f t="shared" si="2"/>
        <v>1</v>
      </c>
      <c r="G138" s="16">
        <f t="shared" si="3"/>
        <v>0.1</v>
      </c>
      <c r="H138" s="16">
        <f t="shared" si="16"/>
        <v>0</v>
      </c>
      <c r="I138" s="12">
        <f t="shared" si="15"/>
        <v>1</v>
      </c>
      <c r="J138" s="11">
        <v>0.0</v>
      </c>
      <c r="K138" s="11">
        <v>1.0</v>
      </c>
      <c r="L138" s="16">
        <f t="shared" si="6"/>
        <v>0.1</v>
      </c>
      <c r="M138" s="16">
        <f t="shared" si="18"/>
        <v>0</v>
      </c>
      <c r="N138" s="12">
        <f t="shared" si="8"/>
        <v>-4</v>
      </c>
      <c r="O138" s="18">
        <f t="shared" si="9"/>
        <v>-0.4</v>
      </c>
      <c r="P138" s="18">
        <f t="shared" si="10"/>
        <v>-1.6</v>
      </c>
    </row>
    <row r="139">
      <c r="A139" s="2" t="s">
        <v>208</v>
      </c>
      <c r="B139" s="10">
        <v>1.0</v>
      </c>
      <c r="C139" s="12">
        <f t="shared" si="1"/>
        <v>4</v>
      </c>
      <c r="D139" s="11">
        <v>0.0</v>
      </c>
      <c r="E139" s="11">
        <v>2.0</v>
      </c>
      <c r="F139" s="12">
        <f t="shared" si="2"/>
        <v>2</v>
      </c>
      <c r="G139" s="16">
        <f t="shared" si="3"/>
        <v>0.5</v>
      </c>
      <c r="H139" s="16">
        <f t="shared" si="16"/>
        <v>0</v>
      </c>
      <c r="I139" s="12">
        <f t="shared" si="15"/>
        <v>1</v>
      </c>
      <c r="J139" s="11">
        <v>0.0</v>
      </c>
      <c r="K139" s="11">
        <v>1.0</v>
      </c>
      <c r="L139" s="16">
        <f t="shared" si="6"/>
        <v>0.25</v>
      </c>
      <c r="M139" s="16">
        <f t="shared" si="18"/>
        <v>0</v>
      </c>
      <c r="N139" s="12">
        <f t="shared" si="8"/>
        <v>-4</v>
      </c>
      <c r="O139" s="18">
        <f t="shared" si="9"/>
        <v>-1</v>
      </c>
      <c r="P139" s="18">
        <f t="shared" si="10"/>
        <v>-4</v>
      </c>
    </row>
    <row r="140">
      <c r="A140" s="34"/>
      <c r="B140" s="35"/>
      <c r="G140" s="30"/>
      <c r="H140" s="30"/>
      <c r="L140" s="30"/>
      <c r="M140" s="30"/>
      <c r="O140" s="32"/>
      <c r="P140" s="32"/>
    </row>
    <row r="141">
      <c r="A141" s="34"/>
      <c r="B141" s="35"/>
      <c r="G141" s="30"/>
      <c r="H141" s="30"/>
      <c r="L141" s="30"/>
      <c r="M141" s="30"/>
      <c r="O141" s="32"/>
      <c r="P141" s="32"/>
    </row>
    <row r="142">
      <c r="B142" s="35"/>
      <c r="G142" s="30"/>
      <c r="H142" s="30"/>
      <c r="L142" s="30"/>
      <c r="M142" s="30"/>
      <c r="O142" s="32"/>
      <c r="P142" s="32"/>
    </row>
    <row r="143">
      <c r="B143" s="35"/>
      <c r="G143" s="30"/>
      <c r="H143" s="30"/>
      <c r="L143" s="30"/>
      <c r="M143" s="30"/>
      <c r="O143" s="32"/>
      <c r="P143" s="32"/>
    </row>
    <row r="144">
      <c r="B144" s="35"/>
      <c r="G144" s="30"/>
      <c r="H144" s="30"/>
      <c r="L144" s="30"/>
      <c r="M144" s="30"/>
      <c r="O144" s="32"/>
      <c r="P144" s="32"/>
    </row>
    <row r="145">
      <c r="B145" s="35"/>
      <c r="G145" s="30"/>
      <c r="H145" s="30"/>
      <c r="L145" s="30"/>
      <c r="M145" s="30"/>
      <c r="O145" s="32"/>
      <c r="P145" s="32"/>
    </row>
    <row r="146">
      <c r="B146" s="35"/>
      <c r="G146" s="30"/>
      <c r="H146" s="30"/>
      <c r="L146" s="30"/>
      <c r="M146" s="30"/>
      <c r="O146" s="32"/>
      <c r="P146" s="32"/>
    </row>
    <row r="147">
      <c r="B147" s="35"/>
      <c r="G147" s="30"/>
      <c r="H147" s="30"/>
      <c r="L147" s="30"/>
      <c r="M147" s="30"/>
      <c r="O147" s="32"/>
      <c r="P147" s="32"/>
    </row>
    <row r="148">
      <c r="B148" s="35"/>
      <c r="G148" s="30"/>
      <c r="H148" s="30"/>
      <c r="L148" s="30"/>
      <c r="M148" s="30"/>
      <c r="O148" s="32"/>
      <c r="P148" s="32"/>
    </row>
    <row r="149">
      <c r="B149" s="35"/>
      <c r="G149" s="30"/>
      <c r="H149" s="30"/>
      <c r="L149" s="30"/>
      <c r="M149" s="30"/>
      <c r="O149" s="32"/>
      <c r="P149" s="32"/>
    </row>
    <row r="150">
      <c r="B150" s="35"/>
      <c r="G150" s="30"/>
      <c r="H150" s="30"/>
      <c r="L150" s="30"/>
      <c r="M150" s="30"/>
      <c r="O150" s="32"/>
      <c r="P150" s="32"/>
    </row>
    <row r="151">
      <c r="B151" s="35"/>
      <c r="G151" s="30"/>
      <c r="H151" s="30"/>
      <c r="L151" s="30"/>
      <c r="M151" s="30"/>
      <c r="O151" s="32"/>
      <c r="P151" s="32"/>
    </row>
    <row r="152">
      <c r="B152" s="35"/>
      <c r="G152" s="30"/>
      <c r="H152" s="30"/>
      <c r="L152" s="30"/>
      <c r="M152" s="30"/>
      <c r="O152" s="32"/>
      <c r="P152" s="32"/>
    </row>
    <row r="153">
      <c r="B153" s="35"/>
      <c r="G153" s="30"/>
      <c r="H153" s="30"/>
      <c r="L153" s="30"/>
      <c r="M153" s="30"/>
      <c r="O153" s="32"/>
      <c r="P153" s="32"/>
    </row>
    <row r="154">
      <c r="B154" s="35"/>
      <c r="G154" s="30"/>
      <c r="H154" s="30"/>
      <c r="L154" s="30"/>
      <c r="M154" s="30"/>
      <c r="O154" s="32"/>
      <c r="P154" s="32"/>
    </row>
    <row r="155">
      <c r="B155" s="35"/>
      <c r="G155" s="30"/>
      <c r="H155" s="30"/>
      <c r="L155" s="30"/>
      <c r="M155" s="30"/>
      <c r="O155" s="32"/>
      <c r="P155" s="32"/>
    </row>
    <row r="156">
      <c r="B156" s="35"/>
      <c r="G156" s="30"/>
      <c r="H156" s="30"/>
      <c r="L156" s="30"/>
      <c r="M156" s="30"/>
      <c r="O156" s="32"/>
      <c r="P156" s="32"/>
    </row>
    <row r="157">
      <c r="B157" s="35"/>
      <c r="G157" s="30"/>
      <c r="H157" s="30"/>
      <c r="L157" s="30"/>
      <c r="M157" s="30"/>
      <c r="O157" s="32"/>
      <c r="P157" s="32"/>
    </row>
    <row r="158">
      <c r="B158" s="35"/>
      <c r="G158" s="30"/>
      <c r="H158" s="30"/>
      <c r="L158" s="30"/>
      <c r="M158" s="30"/>
      <c r="O158" s="32"/>
      <c r="P158" s="32"/>
    </row>
    <row r="159">
      <c r="B159" s="35"/>
      <c r="G159" s="30"/>
      <c r="H159" s="30"/>
      <c r="L159" s="30"/>
      <c r="M159" s="30"/>
      <c r="O159" s="32"/>
      <c r="P159" s="32"/>
    </row>
    <row r="160">
      <c r="B160" s="35"/>
      <c r="G160" s="30"/>
      <c r="H160" s="30"/>
      <c r="L160" s="30"/>
      <c r="M160" s="30"/>
      <c r="O160" s="32"/>
      <c r="P160" s="32"/>
    </row>
    <row r="161">
      <c r="B161" s="35"/>
      <c r="G161" s="30"/>
      <c r="H161" s="30"/>
      <c r="L161" s="30"/>
      <c r="M161" s="30"/>
      <c r="O161" s="32"/>
      <c r="P161" s="32"/>
    </row>
    <row r="162">
      <c r="B162" s="35"/>
      <c r="G162" s="30"/>
      <c r="H162" s="30"/>
      <c r="L162" s="30"/>
      <c r="M162" s="30"/>
      <c r="O162" s="32"/>
      <c r="P162" s="32"/>
    </row>
    <row r="163">
      <c r="B163" s="35"/>
      <c r="G163" s="30"/>
      <c r="H163" s="30"/>
      <c r="L163" s="30"/>
      <c r="M163" s="30"/>
      <c r="O163" s="32"/>
      <c r="P163" s="32"/>
    </row>
    <row r="164">
      <c r="B164" s="35"/>
      <c r="G164" s="30"/>
      <c r="H164" s="30"/>
      <c r="L164" s="30"/>
      <c r="M164" s="30"/>
      <c r="O164" s="32"/>
      <c r="P164" s="32"/>
    </row>
    <row r="165">
      <c r="B165" s="35"/>
      <c r="G165" s="30"/>
      <c r="H165" s="30"/>
      <c r="L165" s="30"/>
      <c r="M165" s="30"/>
      <c r="O165" s="32"/>
      <c r="P165" s="32"/>
    </row>
    <row r="166">
      <c r="B166" s="35"/>
      <c r="G166" s="30"/>
      <c r="H166" s="30"/>
      <c r="L166" s="30"/>
      <c r="M166" s="30"/>
      <c r="O166" s="32"/>
      <c r="P166" s="32"/>
    </row>
    <row r="167">
      <c r="B167" s="35"/>
      <c r="G167" s="30"/>
      <c r="H167" s="30"/>
      <c r="L167" s="30"/>
      <c r="M167" s="30"/>
      <c r="O167" s="32"/>
      <c r="P167" s="32"/>
    </row>
    <row r="168">
      <c r="B168" s="35"/>
      <c r="G168" s="30"/>
      <c r="H168" s="30"/>
      <c r="L168" s="30"/>
      <c r="M168" s="30"/>
      <c r="O168" s="32"/>
      <c r="P168" s="32"/>
    </row>
    <row r="169">
      <c r="B169" s="35"/>
      <c r="G169" s="30"/>
      <c r="H169" s="30"/>
      <c r="L169" s="30"/>
      <c r="M169" s="30"/>
      <c r="O169" s="32"/>
      <c r="P169" s="32"/>
    </row>
    <row r="170">
      <c r="B170" s="35"/>
      <c r="G170" s="30"/>
      <c r="H170" s="30"/>
      <c r="L170" s="30"/>
      <c r="M170" s="30"/>
      <c r="O170" s="32"/>
      <c r="P170" s="32"/>
    </row>
    <row r="171">
      <c r="B171" s="35"/>
      <c r="G171" s="30"/>
      <c r="H171" s="30"/>
      <c r="L171" s="30"/>
      <c r="M171" s="30"/>
      <c r="O171" s="32"/>
      <c r="P171" s="32"/>
    </row>
    <row r="172">
      <c r="B172" s="35"/>
      <c r="G172" s="30"/>
      <c r="H172" s="30"/>
      <c r="L172" s="30"/>
      <c r="M172" s="30"/>
      <c r="O172" s="32"/>
      <c r="P172" s="32"/>
    </row>
    <row r="173">
      <c r="B173" s="35"/>
      <c r="G173" s="30"/>
      <c r="H173" s="30"/>
      <c r="L173" s="30"/>
      <c r="M173" s="30"/>
      <c r="O173" s="32"/>
      <c r="P173" s="32"/>
    </row>
    <row r="174">
      <c r="B174" s="35"/>
      <c r="G174" s="30"/>
      <c r="H174" s="30"/>
      <c r="L174" s="30"/>
      <c r="M174" s="30"/>
      <c r="O174" s="32"/>
      <c r="P174" s="32"/>
    </row>
    <row r="175">
      <c r="B175" s="35"/>
      <c r="G175" s="30"/>
      <c r="H175" s="30"/>
      <c r="L175" s="30"/>
      <c r="M175" s="30"/>
      <c r="O175" s="32"/>
      <c r="P175" s="32"/>
    </row>
    <row r="176">
      <c r="B176" s="35"/>
      <c r="G176" s="30"/>
      <c r="H176" s="30"/>
      <c r="L176" s="30"/>
      <c r="M176" s="30"/>
      <c r="O176" s="32"/>
      <c r="P176" s="32"/>
    </row>
    <row r="177">
      <c r="B177" s="35"/>
      <c r="G177" s="30"/>
      <c r="H177" s="30"/>
      <c r="L177" s="30"/>
      <c r="M177" s="30"/>
      <c r="O177" s="32"/>
      <c r="P177" s="32"/>
    </row>
    <row r="178">
      <c r="B178" s="35"/>
      <c r="G178" s="30"/>
      <c r="H178" s="30"/>
      <c r="L178" s="30"/>
      <c r="M178" s="30"/>
      <c r="O178" s="32"/>
      <c r="P178" s="32"/>
    </row>
    <row r="179">
      <c r="B179" s="35"/>
      <c r="G179" s="30"/>
      <c r="H179" s="30"/>
      <c r="L179" s="30"/>
      <c r="M179" s="30"/>
      <c r="O179" s="32"/>
      <c r="P179" s="32"/>
    </row>
    <row r="180">
      <c r="B180" s="35"/>
      <c r="G180" s="30"/>
      <c r="H180" s="30"/>
      <c r="L180" s="30"/>
      <c r="M180" s="30"/>
      <c r="O180" s="32"/>
      <c r="P180" s="32"/>
    </row>
    <row r="181">
      <c r="B181" s="35"/>
      <c r="G181" s="30"/>
      <c r="H181" s="30"/>
      <c r="L181" s="30"/>
      <c r="M181" s="30"/>
      <c r="O181" s="32"/>
      <c r="P181" s="32"/>
    </row>
    <row r="182">
      <c r="B182" s="35"/>
      <c r="G182" s="30"/>
      <c r="H182" s="30"/>
      <c r="L182" s="30"/>
      <c r="M182" s="30"/>
      <c r="O182" s="32"/>
      <c r="P182" s="32"/>
    </row>
    <row r="183">
      <c r="B183" s="35"/>
      <c r="G183" s="30"/>
      <c r="H183" s="30"/>
      <c r="L183" s="30"/>
      <c r="M183" s="30"/>
      <c r="O183" s="32"/>
      <c r="P183" s="32"/>
    </row>
    <row r="184">
      <c r="B184" s="35"/>
      <c r="G184" s="30"/>
      <c r="H184" s="30"/>
      <c r="L184" s="30"/>
      <c r="M184" s="30"/>
      <c r="O184" s="32"/>
      <c r="P184" s="32"/>
    </row>
    <row r="185">
      <c r="B185" s="35"/>
      <c r="G185" s="30"/>
      <c r="H185" s="30"/>
      <c r="L185" s="30"/>
      <c r="M185" s="30"/>
      <c r="O185" s="32"/>
      <c r="P185" s="32"/>
    </row>
    <row r="186">
      <c r="B186" s="35"/>
      <c r="G186" s="30"/>
      <c r="H186" s="30"/>
      <c r="L186" s="30"/>
      <c r="M186" s="30"/>
      <c r="O186" s="32"/>
      <c r="P186" s="32"/>
    </row>
    <row r="187">
      <c r="B187" s="35"/>
      <c r="G187" s="30"/>
      <c r="H187" s="30"/>
      <c r="L187" s="30"/>
      <c r="M187" s="30"/>
      <c r="O187" s="32"/>
      <c r="P187" s="32"/>
    </row>
    <row r="188">
      <c r="B188" s="35"/>
      <c r="G188" s="30"/>
      <c r="H188" s="30"/>
      <c r="L188" s="30"/>
      <c r="M188" s="30"/>
      <c r="O188" s="32"/>
      <c r="P188" s="32"/>
    </row>
    <row r="189">
      <c r="B189" s="35"/>
      <c r="G189" s="30"/>
      <c r="H189" s="30"/>
      <c r="L189" s="30"/>
      <c r="M189" s="30"/>
      <c r="O189" s="32"/>
      <c r="P189" s="32"/>
    </row>
    <row r="190">
      <c r="B190" s="35"/>
      <c r="G190" s="30"/>
      <c r="H190" s="30"/>
      <c r="L190" s="30"/>
      <c r="M190" s="30"/>
      <c r="O190" s="32"/>
      <c r="P190" s="32"/>
    </row>
    <row r="191">
      <c r="B191" s="35"/>
      <c r="G191" s="30"/>
      <c r="H191" s="30"/>
      <c r="L191" s="30"/>
      <c r="M191" s="30"/>
      <c r="O191" s="32"/>
      <c r="P191" s="32"/>
    </row>
    <row r="192">
      <c r="B192" s="35"/>
      <c r="G192" s="30"/>
      <c r="H192" s="30"/>
      <c r="L192" s="30"/>
      <c r="M192" s="30"/>
      <c r="O192" s="32"/>
      <c r="P192" s="32"/>
    </row>
    <row r="193">
      <c r="B193" s="35"/>
      <c r="G193" s="30"/>
      <c r="H193" s="30"/>
      <c r="L193" s="30"/>
      <c r="M193" s="30"/>
      <c r="O193" s="32"/>
      <c r="P193" s="32"/>
    </row>
    <row r="194">
      <c r="B194" s="35"/>
      <c r="G194" s="30"/>
      <c r="H194" s="30"/>
      <c r="L194" s="30"/>
      <c r="M194" s="30"/>
      <c r="O194" s="32"/>
      <c r="P194" s="32"/>
    </row>
    <row r="195">
      <c r="B195" s="35"/>
      <c r="G195" s="30"/>
      <c r="H195" s="30"/>
      <c r="L195" s="30"/>
      <c r="M195" s="30"/>
      <c r="O195" s="32"/>
      <c r="P195" s="32"/>
    </row>
    <row r="196">
      <c r="B196" s="35"/>
      <c r="G196" s="30"/>
      <c r="H196" s="30"/>
      <c r="L196" s="30"/>
      <c r="M196" s="30"/>
      <c r="O196" s="32"/>
      <c r="P196" s="32"/>
    </row>
    <row r="197">
      <c r="B197" s="35"/>
      <c r="G197" s="30"/>
      <c r="H197" s="30"/>
      <c r="L197" s="30"/>
      <c r="M197" s="30"/>
      <c r="O197" s="32"/>
      <c r="P197" s="32"/>
    </row>
    <row r="198">
      <c r="B198" s="35"/>
      <c r="G198" s="30"/>
      <c r="H198" s="30"/>
      <c r="L198" s="30"/>
      <c r="M198" s="30"/>
      <c r="O198" s="32"/>
      <c r="P198" s="32"/>
    </row>
    <row r="199">
      <c r="B199" s="35"/>
      <c r="G199" s="30"/>
      <c r="H199" s="30"/>
      <c r="L199" s="30"/>
      <c r="M199" s="30"/>
      <c r="O199" s="32"/>
      <c r="P199" s="32"/>
    </row>
    <row r="200">
      <c r="B200" s="35"/>
      <c r="G200" s="30"/>
      <c r="H200" s="30"/>
      <c r="L200" s="30"/>
      <c r="M200" s="30"/>
      <c r="O200" s="32"/>
      <c r="P200" s="32"/>
    </row>
    <row r="201">
      <c r="B201" s="35"/>
      <c r="G201" s="30"/>
      <c r="H201" s="30"/>
      <c r="L201" s="30"/>
      <c r="M201" s="30"/>
      <c r="O201" s="32"/>
      <c r="P201" s="32"/>
    </row>
    <row r="202">
      <c r="B202" s="35"/>
      <c r="G202" s="30"/>
      <c r="H202" s="30"/>
      <c r="L202" s="30"/>
      <c r="M202" s="30"/>
      <c r="O202" s="32"/>
      <c r="P202" s="32"/>
    </row>
    <row r="203">
      <c r="B203" s="35"/>
      <c r="G203" s="30"/>
      <c r="H203" s="30"/>
      <c r="L203" s="30"/>
      <c r="M203" s="30"/>
      <c r="O203" s="32"/>
      <c r="P203" s="32"/>
    </row>
    <row r="204">
      <c r="B204" s="35"/>
      <c r="G204" s="30"/>
      <c r="H204" s="30"/>
      <c r="L204" s="30"/>
      <c r="M204" s="30"/>
      <c r="O204" s="32"/>
      <c r="P204" s="32"/>
    </row>
    <row r="205">
      <c r="B205" s="35"/>
      <c r="G205" s="30"/>
      <c r="H205" s="30"/>
      <c r="L205" s="30"/>
      <c r="M205" s="30"/>
      <c r="O205" s="32"/>
      <c r="P205" s="32"/>
    </row>
    <row r="206">
      <c r="B206" s="35"/>
      <c r="G206" s="30"/>
      <c r="H206" s="30"/>
      <c r="L206" s="30"/>
      <c r="M206" s="30"/>
      <c r="O206" s="32"/>
      <c r="P206" s="32"/>
    </row>
    <row r="207">
      <c r="B207" s="35"/>
      <c r="G207" s="30"/>
      <c r="H207" s="30"/>
      <c r="L207" s="30"/>
      <c r="M207" s="30"/>
      <c r="O207" s="32"/>
      <c r="P207" s="32"/>
    </row>
    <row r="208">
      <c r="B208" s="35"/>
      <c r="G208" s="30"/>
      <c r="H208" s="30"/>
      <c r="L208" s="30"/>
      <c r="M208" s="30"/>
      <c r="O208" s="32"/>
      <c r="P208" s="32"/>
    </row>
    <row r="209">
      <c r="B209" s="35"/>
      <c r="G209" s="30"/>
      <c r="H209" s="30"/>
      <c r="L209" s="30"/>
      <c r="M209" s="30"/>
      <c r="O209" s="32"/>
      <c r="P209" s="32"/>
    </row>
    <row r="210">
      <c r="B210" s="35"/>
      <c r="G210" s="30"/>
      <c r="H210" s="30"/>
      <c r="L210" s="30"/>
      <c r="M210" s="30"/>
      <c r="O210" s="32"/>
      <c r="P210" s="32"/>
    </row>
    <row r="211">
      <c r="B211" s="35"/>
      <c r="G211" s="30"/>
      <c r="H211" s="30"/>
      <c r="L211" s="30"/>
      <c r="M211" s="30"/>
      <c r="O211" s="32"/>
      <c r="P211" s="32"/>
    </row>
    <row r="212">
      <c r="B212" s="35"/>
      <c r="G212" s="30"/>
      <c r="H212" s="30"/>
      <c r="L212" s="30"/>
      <c r="M212" s="30"/>
      <c r="O212" s="32"/>
      <c r="P212" s="32"/>
    </row>
    <row r="213">
      <c r="B213" s="35"/>
      <c r="G213" s="30"/>
      <c r="H213" s="30"/>
      <c r="L213" s="30"/>
      <c r="M213" s="30"/>
      <c r="O213" s="32"/>
      <c r="P213" s="32"/>
    </row>
    <row r="214">
      <c r="B214" s="35"/>
      <c r="G214" s="30"/>
      <c r="H214" s="30"/>
      <c r="L214" s="30"/>
      <c r="M214" s="30"/>
      <c r="O214" s="32"/>
      <c r="P214" s="32"/>
    </row>
    <row r="215">
      <c r="B215" s="35"/>
      <c r="G215" s="30"/>
      <c r="H215" s="30"/>
      <c r="L215" s="30"/>
      <c r="M215" s="30"/>
      <c r="O215" s="32"/>
      <c r="P215" s="32"/>
    </row>
    <row r="216">
      <c r="B216" s="35"/>
      <c r="G216" s="30"/>
      <c r="H216" s="30"/>
      <c r="L216" s="30"/>
      <c r="M216" s="30"/>
      <c r="O216" s="32"/>
      <c r="P216" s="32"/>
    </row>
    <row r="217">
      <c r="B217" s="35"/>
      <c r="G217" s="30"/>
      <c r="H217" s="30"/>
      <c r="L217" s="30"/>
      <c r="M217" s="30"/>
      <c r="O217" s="32"/>
      <c r="P217" s="32"/>
    </row>
    <row r="218">
      <c r="B218" s="35"/>
      <c r="G218" s="30"/>
      <c r="H218" s="30"/>
      <c r="L218" s="30"/>
      <c r="M218" s="30"/>
      <c r="O218" s="32"/>
      <c r="P218" s="32"/>
    </row>
    <row r="219">
      <c r="B219" s="35"/>
      <c r="G219" s="30"/>
      <c r="H219" s="30"/>
      <c r="L219" s="30"/>
      <c r="M219" s="30"/>
      <c r="O219" s="32"/>
      <c r="P219" s="32"/>
    </row>
    <row r="220">
      <c r="B220" s="35"/>
      <c r="G220" s="30"/>
      <c r="H220" s="30"/>
      <c r="L220" s="30"/>
      <c r="M220" s="30"/>
      <c r="O220" s="32"/>
      <c r="P220" s="32"/>
    </row>
    <row r="221">
      <c r="B221" s="35"/>
      <c r="G221" s="30"/>
      <c r="H221" s="30"/>
      <c r="L221" s="30"/>
      <c r="M221" s="30"/>
      <c r="O221" s="32"/>
      <c r="P221" s="32"/>
    </row>
    <row r="222">
      <c r="B222" s="35"/>
      <c r="G222" s="30"/>
      <c r="H222" s="30"/>
      <c r="L222" s="30"/>
      <c r="M222" s="30"/>
      <c r="O222" s="32"/>
      <c r="P222" s="32"/>
    </row>
    <row r="223">
      <c r="B223" s="35"/>
      <c r="G223" s="30"/>
      <c r="H223" s="30"/>
      <c r="L223" s="30"/>
      <c r="M223" s="30"/>
      <c r="O223" s="32"/>
      <c r="P223" s="32"/>
    </row>
    <row r="224">
      <c r="B224" s="35"/>
      <c r="G224" s="30"/>
      <c r="H224" s="30"/>
      <c r="L224" s="30"/>
      <c r="M224" s="30"/>
      <c r="O224" s="32"/>
      <c r="P224" s="32"/>
    </row>
    <row r="225">
      <c r="B225" s="35"/>
      <c r="G225" s="30"/>
      <c r="H225" s="30"/>
      <c r="L225" s="30"/>
      <c r="M225" s="30"/>
      <c r="O225" s="32"/>
      <c r="P225" s="32"/>
    </row>
    <row r="226">
      <c r="B226" s="35"/>
      <c r="G226" s="30"/>
      <c r="H226" s="30"/>
      <c r="L226" s="30"/>
      <c r="M226" s="30"/>
      <c r="O226" s="32"/>
      <c r="P226" s="32"/>
    </row>
    <row r="227">
      <c r="B227" s="35"/>
      <c r="G227" s="30"/>
      <c r="H227" s="30"/>
      <c r="L227" s="30"/>
      <c r="M227" s="30"/>
      <c r="O227" s="32"/>
      <c r="P227" s="32"/>
    </row>
    <row r="228">
      <c r="B228" s="35"/>
      <c r="G228" s="30"/>
      <c r="H228" s="30"/>
      <c r="L228" s="30"/>
      <c r="M228" s="30"/>
      <c r="O228" s="32"/>
      <c r="P228" s="32"/>
    </row>
    <row r="229">
      <c r="B229" s="35"/>
      <c r="G229" s="30"/>
      <c r="H229" s="30"/>
      <c r="L229" s="30"/>
      <c r="M229" s="30"/>
      <c r="O229" s="32"/>
      <c r="P229" s="32"/>
    </row>
    <row r="230">
      <c r="B230" s="35"/>
      <c r="G230" s="30"/>
      <c r="H230" s="30"/>
      <c r="L230" s="30"/>
      <c r="M230" s="30"/>
      <c r="O230" s="32"/>
      <c r="P230" s="32"/>
    </row>
    <row r="231">
      <c r="B231" s="35"/>
      <c r="G231" s="30"/>
      <c r="H231" s="30"/>
      <c r="L231" s="30"/>
      <c r="M231" s="30"/>
      <c r="O231" s="32"/>
      <c r="P231" s="32"/>
    </row>
    <row r="232">
      <c r="B232" s="35"/>
      <c r="G232" s="30"/>
      <c r="H232" s="30"/>
      <c r="L232" s="30"/>
      <c r="M232" s="30"/>
      <c r="O232" s="32"/>
      <c r="P232" s="32"/>
    </row>
    <row r="233">
      <c r="B233" s="35"/>
      <c r="G233" s="30"/>
      <c r="H233" s="30"/>
      <c r="L233" s="30"/>
      <c r="M233" s="30"/>
      <c r="O233" s="32"/>
      <c r="P233" s="32"/>
    </row>
    <row r="234">
      <c r="B234" s="35"/>
      <c r="G234" s="30"/>
      <c r="H234" s="30"/>
      <c r="L234" s="30"/>
      <c r="M234" s="30"/>
      <c r="O234" s="32"/>
      <c r="P234" s="32"/>
    </row>
    <row r="235">
      <c r="B235" s="35"/>
      <c r="G235" s="30"/>
      <c r="H235" s="30"/>
      <c r="L235" s="30"/>
      <c r="M235" s="30"/>
      <c r="O235" s="32"/>
      <c r="P235" s="32"/>
    </row>
    <row r="236">
      <c r="B236" s="35"/>
      <c r="G236" s="30"/>
      <c r="H236" s="30"/>
      <c r="L236" s="30"/>
      <c r="M236" s="30"/>
      <c r="O236" s="32"/>
      <c r="P236" s="32"/>
    </row>
    <row r="237">
      <c r="B237" s="35"/>
      <c r="G237" s="30"/>
      <c r="H237" s="30"/>
      <c r="L237" s="30"/>
      <c r="M237" s="30"/>
      <c r="O237" s="32"/>
      <c r="P237" s="32"/>
    </row>
    <row r="238">
      <c r="B238" s="35"/>
      <c r="G238" s="30"/>
      <c r="H238" s="30"/>
      <c r="L238" s="30"/>
      <c r="M238" s="30"/>
      <c r="O238" s="32"/>
      <c r="P238" s="32"/>
    </row>
    <row r="239">
      <c r="B239" s="35"/>
      <c r="G239" s="30"/>
      <c r="H239" s="30"/>
      <c r="L239" s="30"/>
      <c r="M239" s="30"/>
      <c r="O239" s="32"/>
      <c r="P239" s="32"/>
    </row>
    <row r="240">
      <c r="B240" s="35"/>
      <c r="G240" s="30"/>
      <c r="H240" s="30"/>
      <c r="L240" s="30"/>
      <c r="M240" s="30"/>
      <c r="O240" s="32"/>
      <c r="P240" s="32"/>
    </row>
    <row r="241">
      <c r="B241" s="35"/>
      <c r="G241" s="30"/>
      <c r="H241" s="30"/>
      <c r="L241" s="30"/>
      <c r="M241" s="30"/>
      <c r="O241" s="32"/>
      <c r="P241" s="32"/>
    </row>
    <row r="242">
      <c r="B242" s="35"/>
      <c r="G242" s="30"/>
      <c r="H242" s="30"/>
      <c r="L242" s="30"/>
      <c r="M242" s="30"/>
      <c r="O242" s="32"/>
      <c r="P242" s="32"/>
    </row>
    <row r="243">
      <c r="B243" s="35"/>
      <c r="G243" s="30"/>
      <c r="H243" s="30"/>
      <c r="L243" s="30"/>
      <c r="M243" s="30"/>
      <c r="O243" s="32"/>
      <c r="P243" s="32"/>
    </row>
    <row r="244">
      <c r="B244" s="35"/>
      <c r="G244" s="30"/>
      <c r="H244" s="30"/>
      <c r="L244" s="30"/>
      <c r="M244" s="30"/>
      <c r="O244" s="32"/>
      <c r="P244" s="32"/>
    </row>
    <row r="245">
      <c r="B245" s="35"/>
      <c r="G245" s="30"/>
      <c r="H245" s="30"/>
      <c r="L245" s="30"/>
      <c r="M245" s="30"/>
      <c r="O245" s="32"/>
      <c r="P245" s="32"/>
    </row>
    <row r="246">
      <c r="B246" s="35"/>
      <c r="G246" s="30"/>
      <c r="H246" s="30"/>
      <c r="L246" s="30"/>
      <c r="M246" s="30"/>
      <c r="O246" s="32"/>
      <c r="P246" s="32"/>
    </row>
    <row r="247">
      <c r="B247" s="35"/>
      <c r="G247" s="30"/>
      <c r="H247" s="30"/>
      <c r="L247" s="30"/>
      <c r="M247" s="30"/>
      <c r="O247" s="32"/>
      <c r="P247" s="32"/>
    </row>
    <row r="248">
      <c r="B248" s="35"/>
      <c r="G248" s="30"/>
      <c r="H248" s="30"/>
      <c r="L248" s="30"/>
      <c r="M248" s="30"/>
      <c r="O248" s="32"/>
      <c r="P248" s="32"/>
    </row>
    <row r="249">
      <c r="B249" s="35"/>
      <c r="G249" s="30"/>
      <c r="H249" s="30"/>
      <c r="L249" s="30"/>
      <c r="M249" s="30"/>
      <c r="O249" s="32"/>
      <c r="P249" s="32"/>
    </row>
    <row r="250">
      <c r="B250" s="35"/>
      <c r="G250" s="30"/>
      <c r="H250" s="30"/>
      <c r="L250" s="30"/>
      <c r="M250" s="30"/>
      <c r="O250" s="32"/>
      <c r="P250" s="32"/>
    </row>
    <row r="251">
      <c r="B251" s="35"/>
      <c r="G251" s="30"/>
      <c r="H251" s="30"/>
      <c r="L251" s="30"/>
      <c r="M251" s="30"/>
      <c r="O251" s="32"/>
      <c r="P251" s="32"/>
    </row>
    <row r="252">
      <c r="B252" s="35"/>
      <c r="G252" s="30"/>
      <c r="H252" s="30"/>
      <c r="L252" s="30"/>
      <c r="M252" s="30"/>
      <c r="O252" s="32"/>
      <c r="P252" s="32"/>
    </row>
    <row r="253">
      <c r="B253" s="35"/>
      <c r="G253" s="30"/>
      <c r="H253" s="30"/>
      <c r="L253" s="30"/>
      <c r="M253" s="30"/>
      <c r="O253" s="32"/>
      <c r="P253" s="32"/>
    </row>
    <row r="254">
      <c r="B254" s="35"/>
      <c r="G254" s="30"/>
      <c r="H254" s="30"/>
      <c r="L254" s="30"/>
      <c r="M254" s="30"/>
      <c r="O254" s="32"/>
      <c r="P254" s="32"/>
    </row>
    <row r="255">
      <c r="B255" s="35"/>
      <c r="G255" s="30"/>
      <c r="H255" s="30"/>
      <c r="L255" s="30"/>
      <c r="M255" s="30"/>
      <c r="O255" s="32"/>
      <c r="P255" s="32"/>
    </row>
    <row r="256">
      <c r="B256" s="35"/>
      <c r="G256" s="30"/>
      <c r="H256" s="30"/>
      <c r="L256" s="30"/>
      <c r="M256" s="30"/>
      <c r="O256" s="32"/>
      <c r="P256" s="32"/>
    </row>
    <row r="257">
      <c r="B257" s="35"/>
      <c r="G257" s="30"/>
      <c r="H257" s="30"/>
      <c r="L257" s="30"/>
      <c r="M257" s="30"/>
      <c r="O257" s="32"/>
      <c r="P257" s="32"/>
    </row>
    <row r="258">
      <c r="B258" s="35"/>
      <c r="G258" s="30"/>
      <c r="H258" s="30"/>
      <c r="L258" s="30"/>
      <c r="M258" s="30"/>
      <c r="O258" s="32"/>
      <c r="P258" s="32"/>
    </row>
    <row r="259">
      <c r="B259" s="35"/>
      <c r="G259" s="30"/>
      <c r="H259" s="30"/>
      <c r="L259" s="30"/>
      <c r="M259" s="30"/>
      <c r="O259" s="32"/>
      <c r="P259" s="32"/>
    </row>
    <row r="260">
      <c r="B260" s="35"/>
      <c r="G260" s="30"/>
      <c r="H260" s="30"/>
      <c r="L260" s="30"/>
      <c r="M260" s="30"/>
      <c r="O260" s="32"/>
      <c r="P260" s="32"/>
    </row>
    <row r="261">
      <c r="B261" s="35"/>
      <c r="G261" s="30"/>
      <c r="H261" s="30"/>
      <c r="L261" s="30"/>
      <c r="M261" s="30"/>
      <c r="O261" s="32"/>
      <c r="P261" s="32"/>
    </row>
    <row r="262">
      <c r="B262" s="35"/>
      <c r="G262" s="30"/>
      <c r="H262" s="30"/>
      <c r="L262" s="30"/>
      <c r="M262" s="30"/>
      <c r="O262" s="32"/>
      <c r="P262" s="32"/>
    </row>
    <row r="263">
      <c r="B263" s="35"/>
      <c r="G263" s="30"/>
      <c r="H263" s="30"/>
      <c r="L263" s="30"/>
      <c r="M263" s="30"/>
      <c r="O263" s="32"/>
      <c r="P263" s="32"/>
    </row>
    <row r="264">
      <c r="B264" s="35"/>
      <c r="G264" s="30"/>
      <c r="H264" s="30"/>
      <c r="L264" s="30"/>
      <c r="M264" s="30"/>
      <c r="O264" s="32"/>
      <c r="P264" s="32"/>
    </row>
    <row r="265">
      <c r="B265" s="35"/>
      <c r="G265" s="30"/>
      <c r="H265" s="30"/>
      <c r="L265" s="30"/>
      <c r="M265" s="30"/>
      <c r="O265" s="32"/>
      <c r="P265" s="32"/>
    </row>
    <row r="266">
      <c r="B266" s="35"/>
      <c r="G266" s="30"/>
      <c r="H266" s="30"/>
      <c r="L266" s="30"/>
      <c r="M266" s="30"/>
      <c r="O266" s="32"/>
      <c r="P266" s="32"/>
    </row>
    <row r="267">
      <c r="B267" s="35"/>
      <c r="G267" s="30"/>
      <c r="H267" s="30"/>
      <c r="L267" s="30"/>
      <c r="M267" s="30"/>
      <c r="O267" s="32"/>
      <c r="P267" s="32"/>
    </row>
    <row r="268">
      <c r="B268" s="35"/>
      <c r="G268" s="30"/>
      <c r="H268" s="30"/>
      <c r="L268" s="30"/>
      <c r="M268" s="30"/>
      <c r="O268" s="32"/>
      <c r="P268" s="32"/>
    </row>
    <row r="269">
      <c r="B269" s="35"/>
      <c r="G269" s="30"/>
      <c r="H269" s="30"/>
      <c r="L269" s="30"/>
      <c r="M269" s="30"/>
      <c r="O269" s="32"/>
      <c r="P269" s="32"/>
    </row>
    <row r="270">
      <c r="B270" s="35"/>
      <c r="G270" s="30"/>
      <c r="H270" s="30"/>
      <c r="L270" s="30"/>
      <c r="M270" s="30"/>
      <c r="O270" s="32"/>
      <c r="P270" s="32"/>
    </row>
    <row r="271">
      <c r="B271" s="35"/>
      <c r="G271" s="30"/>
      <c r="H271" s="30"/>
      <c r="L271" s="30"/>
      <c r="M271" s="30"/>
      <c r="O271" s="32"/>
      <c r="P271" s="32"/>
    </row>
    <row r="272">
      <c r="B272" s="35"/>
      <c r="G272" s="30"/>
      <c r="H272" s="30"/>
      <c r="L272" s="30"/>
      <c r="M272" s="30"/>
      <c r="O272" s="32"/>
      <c r="P272" s="32"/>
    </row>
    <row r="273">
      <c r="B273" s="35"/>
      <c r="G273" s="30"/>
      <c r="H273" s="30"/>
      <c r="L273" s="30"/>
      <c r="M273" s="30"/>
      <c r="O273" s="32"/>
      <c r="P273" s="32"/>
    </row>
    <row r="274">
      <c r="B274" s="35"/>
      <c r="G274" s="30"/>
      <c r="H274" s="30"/>
      <c r="L274" s="30"/>
      <c r="M274" s="30"/>
      <c r="O274" s="32"/>
      <c r="P274" s="32"/>
    </row>
    <row r="275">
      <c r="B275" s="35"/>
      <c r="G275" s="30"/>
      <c r="H275" s="30"/>
      <c r="L275" s="30"/>
      <c r="M275" s="30"/>
      <c r="O275" s="32"/>
      <c r="P275" s="32"/>
    </row>
    <row r="276">
      <c r="B276" s="35"/>
      <c r="G276" s="30"/>
      <c r="H276" s="30"/>
      <c r="L276" s="30"/>
      <c r="M276" s="30"/>
      <c r="O276" s="32"/>
      <c r="P276" s="32"/>
    </row>
    <row r="277">
      <c r="B277" s="35"/>
      <c r="G277" s="30"/>
      <c r="H277" s="30"/>
      <c r="L277" s="30"/>
      <c r="M277" s="30"/>
      <c r="O277" s="32"/>
      <c r="P277" s="32"/>
    </row>
    <row r="278">
      <c r="B278" s="35"/>
      <c r="G278" s="30"/>
      <c r="H278" s="30"/>
      <c r="L278" s="30"/>
      <c r="M278" s="30"/>
      <c r="O278" s="32"/>
      <c r="P278" s="32"/>
    </row>
    <row r="279">
      <c r="B279" s="35"/>
      <c r="G279" s="30"/>
      <c r="H279" s="30"/>
      <c r="L279" s="30"/>
      <c r="M279" s="30"/>
      <c r="O279" s="32"/>
      <c r="P279" s="32"/>
    </row>
    <row r="280">
      <c r="B280" s="35"/>
      <c r="G280" s="30"/>
      <c r="H280" s="30"/>
      <c r="L280" s="30"/>
      <c r="M280" s="30"/>
      <c r="O280" s="32"/>
      <c r="P280" s="32"/>
    </row>
    <row r="281">
      <c r="B281" s="35"/>
      <c r="G281" s="30"/>
      <c r="H281" s="30"/>
      <c r="L281" s="30"/>
      <c r="M281" s="30"/>
      <c r="O281" s="32"/>
      <c r="P281" s="32"/>
    </row>
    <row r="282">
      <c r="B282" s="35"/>
      <c r="G282" s="30"/>
      <c r="H282" s="30"/>
      <c r="L282" s="30"/>
      <c r="M282" s="30"/>
      <c r="O282" s="32"/>
      <c r="P282" s="32"/>
    </row>
    <row r="283">
      <c r="B283" s="35"/>
      <c r="G283" s="30"/>
      <c r="H283" s="30"/>
      <c r="L283" s="30"/>
      <c r="M283" s="30"/>
      <c r="O283" s="32"/>
      <c r="P283" s="32"/>
    </row>
    <row r="284">
      <c r="B284" s="35"/>
      <c r="G284" s="30"/>
      <c r="H284" s="30"/>
      <c r="L284" s="30"/>
      <c r="M284" s="30"/>
      <c r="O284" s="32"/>
      <c r="P284" s="32"/>
    </row>
    <row r="285">
      <c r="B285" s="35"/>
      <c r="G285" s="30"/>
      <c r="H285" s="30"/>
      <c r="L285" s="30"/>
      <c r="M285" s="30"/>
      <c r="O285" s="32"/>
      <c r="P285" s="32"/>
    </row>
    <row r="286">
      <c r="B286" s="35"/>
      <c r="G286" s="30"/>
      <c r="H286" s="30"/>
      <c r="L286" s="30"/>
      <c r="M286" s="30"/>
      <c r="O286" s="32"/>
      <c r="P286" s="32"/>
    </row>
    <row r="287">
      <c r="B287" s="35"/>
      <c r="G287" s="30"/>
      <c r="H287" s="30"/>
      <c r="L287" s="30"/>
      <c r="M287" s="30"/>
      <c r="O287" s="32"/>
      <c r="P287" s="32"/>
    </row>
    <row r="288">
      <c r="B288" s="35"/>
      <c r="G288" s="30"/>
      <c r="H288" s="30"/>
      <c r="L288" s="30"/>
      <c r="M288" s="30"/>
      <c r="O288" s="32"/>
      <c r="P288" s="32"/>
    </row>
    <row r="289">
      <c r="B289" s="35"/>
      <c r="G289" s="30"/>
      <c r="H289" s="30"/>
      <c r="L289" s="30"/>
      <c r="M289" s="30"/>
      <c r="O289" s="32"/>
      <c r="P289" s="32"/>
    </row>
    <row r="290">
      <c r="B290" s="35"/>
      <c r="G290" s="30"/>
      <c r="H290" s="30"/>
      <c r="L290" s="30"/>
      <c r="M290" s="30"/>
      <c r="O290" s="32"/>
      <c r="P290" s="32"/>
    </row>
    <row r="291">
      <c r="B291" s="35"/>
      <c r="G291" s="30"/>
      <c r="H291" s="30"/>
      <c r="L291" s="30"/>
      <c r="M291" s="30"/>
      <c r="O291" s="32"/>
      <c r="P291" s="32"/>
    </row>
    <row r="292">
      <c r="B292" s="35"/>
      <c r="G292" s="30"/>
      <c r="H292" s="30"/>
      <c r="L292" s="30"/>
      <c r="M292" s="30"/>
      <c r="O292" s="32"/>
      <c r="P292" s="32"/>
    </row>
    <row r="293">
      <c r="B293" s="35"/>
      <c r="G293" s="30"/>
      <c r="H293" s="30"/>
      <c r="L293" s="30"/>
      <c r="M293" s="30"/>
      <c r="O293" s="32"/>
      <c r="P293" s="32"/>
    </row>
    <row r="294">
      <c r="B294" s="35"/>
      <c r="G294" s="30"/>
      <c r="H294" s="30"/>
      <c r="L294" s="30"/>
      <c r="M294" s="30"/>
      <c r="O294" s="32"/>
      <c r="P294" s="32"/>
    </row>
    <row r="295">
      <c r="B295" s="35"/>
      <c r="G295" s="30"/>
      <c r="H295" s="30"/>
      <c r="L295" s="30"/>
      <c r="M295" s="30"/>
      <c r="O295" s="32"/>
      <c r="P295" s="32"/>
    </row>
    <row r="296">
      <c r="B296" s="35"/>
      <c r="G296" s="30"/>
      <c r="H296" s="30"/>
      <c r="L296" s="30"/>
      <c r="M296" s="30"/>
      <c r="O296" s="32"/>
      <c r="P296" s="32"/>
    </row>
    <row r="297">
      <c r="B297" s="35"/>
      <c r="G297" s="30"/>
      <c r="H297" s="30"/>
      <c r="L297" s="30"/>
      <c r="M297" s="30"/>
      <c r="O297" s="32"/>
      <c r="P297" s="32"/>
    </row>
    <row r="298">
      <c r="B298" s="35"/>
      <c r="G298" s="30"/>
      <c r="H298" s="30"/>
      <c r="L298" s="30"/>
      <c r="M298" s="30"/>
      <c r="O298" s="32"/>
      <c r="P298" s="32"/>
    </row>
    <row r="299">
      <c r="B299" s="35"/>
      <c r="G299" s="30"/>
      <c r="H299" s="30"/>
      <c r="L299" s="30"/>
      <c r="M299" s="30"/>
      <c r="O299" s="32"/>
      <c r="P299" s="32"/>
    </row>
    <row r="300">
      <c r="B300" s="35"/>
      <c r="G300" s="30"/>
      <c r="H300" s="30"/>
      <c r="L300" s="30"/>
      <c r="M300" s="30"/>
      <c r="O300" s="32"/>
      <c r="P300" s="32"/>
    </row>
    <row r="301">
      <c r="B301" s="35"/>
      <c r="G301" s="30"/>
      <c r="H301" s="30"/>
      <c r="L301" s="30"/>
      <c r="M301" s="30"/>
      <c r="O301" s="32"/>
      <c r="P301" s="32"/>
    </row>
    <row r="302">
      <c r="B302" s="35"/>
      <c r="G302" s="30"/>
      <c r="H302" s="30"/>
      <c r="L302" s="30"/>
      <c r="M302" s="30"/>
      <c r="O302" s="32"/>
      <c r="P302" s="32"/>
    </row>
    <row r="303">
      <c r="B303" s="35"/>
      <c r="G303" s="30"/>
      <c r="H303" s="30"/>
      <c r="L303" s="30"/>
      <c r="M303" s="30"/>
      <c r="O303" s="32"/>
      <c r="P303" s="32"/>
    </row>
    <row r="304">
      <c r="B304" s="35"/>
      <c r="G304" s="30"/>
      <c r="H304" s="30"/>
      <c r="L304" s="30"/>
      <c r="M304" s="30"/>
      <c r="O304" s="32"/>
      <c r="P304" s="32"/>
    </row>
    <row r="305">
      <c r="B305" s="35"/>
      <c r="G305" s="30"/>
      <c r="H305" s="30"/>
      <c r="L305" s="30"/>
      <c r="M305" s="30"/>
      <c r="O305" s="32"/>
      <c r="P305" s="32"/>
    </row>
    <row r="306">
      <c r="B306" s="35"/>
      <c r="G306" s="30"/>
      <c r="H306" s="30"/>
      <c r="L306" s="30"/>
      <c r="M306" s="30"/>
      <c r="O306" s="32"/>
      <c r="P306" s="32"/>
    </row>
    <row r="307">
      <c r="B307" s="35"/>
      <c r="G307" s="30"/>
      <c r="H307" s="30"/>
      <c r="L307" s="30"/>
      <c r="M307" s="30"/>
      <c r="O307" s="32"/>
      <c r="P307" s="32"/>
    </row>
    <row r="308">
      <c r="B308" s="35"/>
      <c r="G308" s="30"/>
      <c r="H308" s="30"/>
      <c r="L308" s="30"/>
      <c r="M308" s="30"/>
      <c r="O308" s="32"/>
      <c r="P308" s="32"/>
    </row>
    <row r="309">
      <c r="B309" s="35"/>
      <c r="G309" s="30"/>
      <c r="H309" s="30"/>
      <c r="L309" s="30"/>
      <c r="M309" s="30"/>
      <c r="O309" s="32"/>
      <c r="P309" s="32"/>
    </row>
    <row r="310">
      <c r="B310" s="35"/>
      <c r="G310" s="30"/>
      <c r="H310" s="30"/>
      <c r="L310" s="30"/>
      <c r="M310" s="30"/>
      <c r="O310" s="32"/>
      <c r="P310" s="32"/>
    </row>
    <row r="311">
      <c r="B311" s="35"/>
      <c r="G311" s="30"/>
      <c r="H311" s="30"/>
      <c r="L311" s="30"/>
      <c r="M311" s="30"/>
      <c r="O311" s="32"/>
      <c r="P311" s="32"/>
    </row>
    <row r="312">
      <c r="B312" s="35"/>
      <c r="G312" s="30"/>
      <c r="H312" s="30"/>
      <c r="L312" s="30"/>
      <c r="M312" s="30"/>
      <c r="O312" s="32"/>
      <c r="P312" s="32"/>
    </row>
    <row r="313">
      <c r="B313" s="35"/>
      <c r="G313" s="30"/>
      <c r="H313" s="30"/>
      <c r="L313" s="30"/>
      <c r="M313" s="30"/>
      <c r="O313" s="32"/>
      <c r="P313" s="32"/>
    </row>
    <row r="314">
      <c r="B314" s="35"/>
      <c r="G314" s="30"/>
      <c r="H314" s="30"/>
      <c r="L314" s="30"/>
      <c r="M314" s="30"/>
      <c r="O314" s="32"/>
      <c r="P314" s="32"/>
    </row>
    <row r="315">
      <c r="B315" s="35"/>
      <c r="G315" s="30"/>
      <c r="H315" s="30"/>
      <c r="L315" s="30"/>
      <c r="M315" s="30"/>
      <c r="O315" s="32"/>
      <c r="P315" s="32"/>
    </row>
    <row r="316">
      <c r="B316" s="35"/>
      <c r="G316" s="30"/>
      <c r="H316" s="30"/>
      <c r="L316" s="30"/>
      <c r="M316" s="30"/>
      <c r="O316" s="32"/>
      <c r="P316" s="32"/>
    </row>
    <row r="317">
      <c r="B317" s="35"/>
      <c r="G317" s="30"/>
      <c r="H317" s="30"/>
      <c r="L317" s="30"/>
      <c r="M317" s="30"/>
      <c r="O317" s="32"/>
      <c r="P317" s="32"/>
    </row>
    <row r="318">
      <c r="B318" s="35"/>
      <c r="G318" s="30"/>
      <c r="H318" s="30"/>
      <c r="L318" s="30"/>
      <c r="M318" s="30"/>
      <c r="O318" s="32"/>
      <c r="P318" s="32"/>
    </row>
    <row r="319">
      <c r="B319" s="35"/>
      <c r="G319" s="30"/>
      <c r="H319" s="30"/>
      <c r="L319" s="30"/>
      <c r="M319" s="30"/>
      <c r="O319" s="32"/>
      <c r="P319" s="32"/>
    </row>
    <row r="320">
      <c r="B320" s="35"/>
      <c r="G320" s="30"/>
      <c r="H320" s="30"/>
      <c r="L320" s="30"/>
      <c r="M320" s="30"/>
      <c r="O320" s="32"/>
      <c r="P320" s="32"/>
    </row>
    <row r="321">
      <c r="B321" s="35"/>
      <c r="G321" s="30"/>
      <c r="H321" s="30"/>
      <c r="L321" s="30"/>
      <c r="M321" s="30"/>
      <c r="O321" s="32"/>
      <c r="P321" s="32"/>
    </row>
    <row r="322">
      <c r="B322" s="35"/>
      <c r="G322" s="30"/>
      <c r="H322" s="30"/>
      <c r="L322" s="30"/>
      <c r="M322" s="30"/>
      <c r="O322" s="32"/>
      <c r="P322" s="32"/>
    </row>
    <row r="323">
      <c r="B323" s="35"/>
      <c r="G323" s="30"/>
      <c r="H323" s="30"/>
      <c r="L323" s="30"/>
      <c r="M323" s="30"/>
      <c r="O323" s="32"/>
      <c r="P323" s="32"/>
    </row>
    <row r="324">
      <c r="B324" s="35"/>
      <c r="G324" s="30"/>
      <c r="H324" s="30"/>
      <c r="L324" s="30"/>
      <c r="M324" s="30"/>
      <c r="O324" s="32"/>
      <c r="P324" s="32"/>
    </row>
    <row r="325">
      <c r="B325" s="35"/>
      <c r="G325" s="30"/>
      <c r="H325" s="30"/>
      <c r="L325" s="30"/>
      <c r="M325" s="30"/>
      <c r="O325" s="32"/>
      <c r="P325" s="32"/>
    </row>
    <row r="326">
      <c r="B326" s="35"/>
      <c r="G326" s="30"/>
      <c r="H326" s="30"/>
      <c r="L326" s="30"/>
      <c r="M326" s="30"/>
      <c r="O326" s="32"/>
      <c r="P326" s="32"/>
    </row>
    <row r="327">
      <c r="B327" s="35"/>
      <c r="G327" s="30"/>
      <c r="H327" s="30"/>
      <c r="L327" s="30"/>
      <c r="M327" s="30"/>
      <c r="O327" s="32"/>
      <c r="P327" s="32"/>
    </row>
    <row r="328">
      <c r="B328" s="35"/>
      <c r="G328" s="30"/>
      <c r="H328" s="30"/>
      <c r="L328" s="30"/>
      <c r="M328" s="30"/>
      <c r="O328" s="32"/>
      <c r="P328" s="32"/>
    </row>
    <row r="329">
      <c r="B329" s="35"/>
      <c r="G329" s="30"/>
      <c r="H329" s="30"/>
      <c r="L329" s="30"/>
      <c r="M329" s="30"/>
      <c r="O329" s="32"/>
      <c r="P329" s="32"/>
    </row>
    <row r="330">
      <c r="B330" s="35"/>
      <c r="G330" s="30"/>
      <c r="H330" s="30"/>
      <c r="L330" s="30"/>
      <c r="M330" s="30"/>
      <c r="O330" s="32"/>
      <c r="P330" s="32"/>
    </row>
    <row r="331">
      <c r="B331" s="35"/>
      <c r="G331" s="30"/>
      <c r="H331" s="30"/>
      <c r="L331" s="30"/>
      <c r="M331" s="30"/>
      <c r="O331" s="32"/>
      <c r="P331" s="32"/>
    </row>
    <row r="332">
      <c r="B332" s="35"/>
      <c r="G332" s="30"/>
      <c r="H332" s="30"/>
      <c r="L332" s="30"/>
      <c r="M332" s="30"/>
      <c r="O332" s="32"/>
      <c r="P332" s="32"/>
    </row>
    <row r="333">
      <c r="B333" s="35"/>
      <c r="G333" s="30"/>
      <c r="H333" s="30"/>
      <c r="L333" s="30"/>
      <c r="M333" s="30"/>
      <c r="O333" s="32"/>
      <c r="P333" s="32"/>
    </row>
    <row r="334">
      <c r="B334" s="35"/>
      <c r="G334" s="30"/>
      <c r="H334" s="30"/>
      <c r="L334" s="30"/>
      <c r="M334" s="30"/>
      <c r="O334" s="32"/>
      <c r="P334" s="32"/>
    </row>
    <row r="335">
      <c r="B335" s="35"/>
      <c r="G335" s="30"/>
      <c r="H335" s="30"/>
      <c r="L335" s="30"/>
      <c r="M335" s="30"/>
      <c r="O335" s="32"/>
      <c r="P335" s="32"/>
    </row>
    <row r="336">
      <c r="B336" s="35"/>
      <c r="G336" s="30"/>
      <c r="H336" s="30"/>
      <c r="L336" s="30"/>
      <c r="M336" s="30"/>
      <c r="O336" s="32"/>
      <c r="P336" s="32"/>
    </row>
    <row r="337">
      <c r="B337" s="35"/>
      <c r="G337" s="30"/>
      <c r="H337" s="30"/>
      <c r="L337" s="30"/>
      <c r="M337" s="30"/>
      <c r="O337" s="32"/>
      <c r="P337" s="32"/>
    </row>
    <row r="338">
      <c r="B338" s="35"/>
      <c r="G338" s="30"/>
      <c r="H338" s="30"/>
      <c r="L338" s="30"/>
      <c r="M338" s="30"/>
      <c r="O338" s="32"/>
      <c r="P338" s="32"/>
    </row>
    <row r="339">
      <c r="B339" s="35"/>
      <c r="G339" s="30"/>
      <c r="H339" s="30"/>
      <c r="L339" s="30"/>
      <c r="M339" s="30"/>
      <c r="O339" s="32"/>
      <c r="P339" s="32"/>
    </row>
    <row r="340">
      <c r="B340" s="35"/>
      <c r="G340" s="30"/>
      <c r="H340" s="30"/>
      <c r="L340" s="30"/>
      <c r="M340" s="30"/>
      <c r="O340" s="32"/>
      <c r="P340" s="32"/>
    </row>
    <row r="341">
      <c r="B341" s="35"/>
      <c r="G341" s="30"/>
      <c r="H341" s="30"/>
      <c r="L341" s="30"/>
      <c r="M341" s="30"/>
      <c r="O341" s="32"/>
      <c r="P341" s="32"/>
    </row>
    <row r="342">
      <c r="B342" s="35"/>
      <c r="G342" s="30"/>
      <c r="H342" s="30"/>
      <c r="L342" s="30"/>
      <c r="M342" s="30"/>
      <c r="O342" s="32"/>
      <c r="P342" s="32"/>
    </row>
    <row r="343">
      <c r="B343" s="35"/>
      <c r="G343" s="30"/>
      <c r="H343" s="30"/>
      <c r="L343" s="30"/>
      <c r="M343" s="30"/>
      <c r="O343" s="32"/>
      <c r="P343" s="32"/>
    </row>
    <row r="344">
      <c r="B344" s="35"/>
      <c r="G344" s="30"/>
      <c r="H344" s="30"/>
      <c r="L344" s="30"/>
      <c r="M344" s="30"/>
      <c r="O344" s="32"/>
      <c r="P344" s="32"/>
    </row>
    <row r="345">
      <c r="B345" s="35"/>
      <c r="G345" s="30"/>
      <c r="H345" s="30"/>
      <c r="L345" s="30"/>
      <c r="M345" s="30"/>
      <c r="O345" s="32"/>
      <c r="P345" s="32"/>
    </row>
    <row r="346">
      <c r="B346" s="35"/>
      <c r="G346" s="30"/>
      <c r="H346" s="30"/>
      <c r="L346" s="30"/>
      <c r="M346" s="30"/>
      <c r="O346" s="32"/>
      <c r="P346" s="32"/>
    </row>
    <row r="347">
      <c r="B347" s="35"/>
      <c r="G347" s="30"/>
      <c r="H347" s="30"/>
      <c r="L347" s="30"/>
      <c r="M347" s="30"/>
      <c r="O347" s="32"/>
      <c r="P347" s="32"/>
    </row>
    <row r="348">
      <c r="B348" s="35"/>
      <c r="G348" s="30"/>
      <c r="H348" s="30"/>
      <c r="L348" s="30"/>
      <c r="M348" s="30"/>
      <c r="O348" s="32"/>
      <c r="P348" s="32"/>
    </row>
    <row r="349">
      <c r="B349" s="35"/>
      <c r="G349" s="30"/>
      <c r="H349" s="30"/>
      <c r="L349" s="30"/>
      <c r="M349" s="30"/>
      <c r="O349" s="32"/>
      <c r="P349" s="32"/>
    </row>
    <row r="350">
      <c r="B350" s="35"/>
      <c r="G350" s="30"/>
      <c r="H350" s="30"/>
      <c r="L350" s="30"/>
      <c r="M350" s="30"/>
      <c r="O350" s="32"/>
      <c r="P350" s="32"/>
    </row>
    <row r="351">
      <c r="B351" s="35"/>
      <c r="G351" s="30"/>
      <c r="H351" s="30"/>
      <c r="L351" s="30"/>
      <c r="M351" s="30"/>
      <c r="O351" s="32"/>
      <c r="P351" s="32"/>
    </row>
    <row r="352">
      <c r="B352" s="35"/>
      <c r="G352" s="30"/>
      <c r="H352" s="30"/>
      <c r="L352" s="30"/>
      <c r="M352" s="30"/>
      <c r="O352" s="32"/>
      <c r="P352" s="32"/>
    </row>
    <row r="353">
      <c r="B353" s="35"/>
      <c r="G353" s="30"/>
      <c r="H353" s="30"/>
      <c r="L353" s="30"/>
      <c r="M353" s="30"/>
      <c r="O353" s="32"/>
      <c r="P353" s="32"/>
    </row>
    <row r="354">
      <c r="B354" s="35"/>
      <c r="G354" s="30"/>
      <c r="H354" s="30"/>
      <c r="L354" s="30"/>
      <c r="M354" s="30"/>
      <c r="O354" s="32"/>
      <c r="P354" s="32"/>
    </row>
    <row r="355">
      <c r="B355" s="35"/>
      <c r="G355" s="30"/>
      <c r="H355" s="30"/>
      <c r="L355" s="30"/>
      <c r="M355" s="30"/>
      <c r="O355" s="32"/>
      <c r="P355" s="32"/>
    </row>
    <row r="356">
      <c r="B356" s="35"/>
      <c r="G356" s="30"/>
      <c r="H356" s="30"/>
      <c r="L356" s="30"/>
      <c r="M356" s="30"/>
      <c r="O356" s="32"/>
      <c r="P356" s="32"/>
    </row>
    <row r="357">
      <c r="B357" s="35"/>
      <c r="G357" s="30"/>
      <c r="H357" s="30"/>
      <c r="L357" s="30"/>
      <c r="M357" s="30"/>
      <c r="O357" s="32"/>
      <c r="P357" s="32"/>
    </row>
    <row r="358">
      <c r="B358" s="35"/>
      <c r="G358" s="30"/>
      <c r="H358" s="30"/>
      <c r="L358" s="30"/>
      <c r="M358" s="30"/>
      <c r="O358" s="32"/>
      <c r="P358" s="32"/>
    </row>
    <row r="359">
      <c r="B359" s="35"/>
      <c r="G359" s="30"/>
      <c r="H359" s="30"/>
      <c r="L359" s="30"/>
      <c r="M359" s="30"/>
      <c r="O359" s="32"/>
      <c r="P359" s="32"/>
    </row>
    <row r="360">
      <c r="B360" s="35"/>
      <c r="G360" s="30"/>
      <c r="H360" s="30"/>
      <c r="L360" s="30"/>
      <c r="M360" s="30"/>
      <c r="O360" s="32"/>
      <c r="P360" s="32"/>
    </row>
    <row r="361">
      <c r="B361" s="35"/>
      <c r="G361" s="30"/>
      <c r="H361" s="30"/>
      <c r="L361" s="30"/>
      <c r="M361" s="30"/>
      <c r="O361" s="32"/>
      <c r="P361" s="32"/>
    </row>
    <row r="362">
      <c r="B362" s="35"/>
      <c r="G362" s="30"/>
      <c r="H362" s="30"/>
      <c r="L362" s="30"/>
      <c r="M362" s="30"/>
      <c r="O362" s="32"/>
      <c r="P362" s="32"/>
    </row>
    <row r="363">
      <c r="B363" s="35"/>
      <c r="G363" s="30"/>
      <c r="H363" s="30"/>
      <c r="L363" s="30"/>
      <c r="M363" s="30"/>
      <c r="O363" s="32"/>
      <c r="P363" s="32"/>
    </row>
    <row r="364">
      <c r="B364" s="35"/>
      <c r="G364" s="30"/>
      <c r="H364" s="30"/>
      <c r="L364" s="30"/>
      <c r="M364" s="30"/>
      <c r="O364" s="32"/>
      <c r="P364" s="32"/>
    </row>
    <row r="365">
      <c r="B365" s="35"/>
      <c r="G365" s="30"/>
      <c r="H365" s="30"/>
      <c r="L365" s="30"/>
      <c r="M365" s="30"/>
      <c r="O365" s="32"/>
      <c r="P365" s="32"/>
    </row>
    <row r="366">
      <c r="B366" s="35"/>
      <c r="G366" s="30"/>
      <c r="H366" s="30"/>
      <c r="L366" s="30"/>
      <c r="M366" s="30"/>
      <c r="O366" s="32"/>
      <c r="P366" s="32"/>
    </row>
    <row r="367">
      <c r="B367" s="35"/>
      <c r="G367" s="30"/>
      <c r="H367" s="30"/>
      <c r="L367" s="30"/>
      <c r="M367" s="30"/>
      <c r="O367" s="32"/>
      <c r="P367" s="32"/>
    </row>
    <row r="368">
      <c r="B368" s="35"/>
      <c r="G368" s="30"/>
      <c r="H368" s="30"/>
      <c r="L368" s="30"/>
      <c r="M368" s="30"/>
      <c r="O368" s="32"/>
      <c r="P368" s="32"/>
    </row>
    <row r="369">
      <c r="B369" s="35"/>
      <c r="G369" s="30"/>
      <c r="H369" s="30"/>
      <c r="L369" s="30"/>
      <c r="M369" s="30"/>
      <c r="O369" s="32"/>
      <c r="P369" s="32"/>
    </row>
    <row r="370">
      <c r="B370" s="35"/>
      <c r="G370" s="30"/>
      <c r="H370" s="30"/>
      <c r="L370" s="30"/>
      <c r="M370" s="30"/>
      <c r="O370" s="32"/>
      <c r="P370" s="32"/>
    </row>
    <row r="371">
      <c r="B371" s="35"/>
      <c r="G371" s="30"/>
      <c r="H371" s="30"/>
      <c r="L371" s="30"/>
      <c r="M371" s="30"/>
      <c r="O371" s="32"/>
      <c r="P371" s="32"/>
    </row>
    <row r="372">
      <c r="B372" s="35"/>
      <c r="G372" s="30"/>
      <c r="H372" s="30"/>
      <c r="L372" s="30"/>
      <c r="M372" s="30"/>
      <c r="O372" s="32"/>
      <c r="P372" s="32"/>
    </row>
    <row r="373">
      <c r="B373" s="35"/>
      <c r="G373" s="30"/>
      <c r="H373" s="30"/>
      <c r="L373" s="30"/>
      <c r="M373" s="30"/>
      <c r="O373" s="32"/>
      <c r="P373" s="32"/>
    </row>
    <row r="374">
      <c r="B374" s="35"/>
      <c r="G374" s="30"/>
      <c r="H374" s="30"/>
      <c r="L374" s="30"/>
      <c r="M374" s="30"/>
      <c r="O374" s="32"/>
      <c r="P374" s="32"/>
    </row>
    <row r="375">
      <c r="B375" s="35"/>
      <c r="G375" s="30"/>
      <c r="H375" s="30"/>
      <c r="L375" s="30"/>
      <c r="M375" s="30"/>
      <c r="O375" s="32"/>
      <c r="P375" s="32"/>
    </row>
    <row r="376">
      <c r="B376" s="35"/>
      <c r="G376" s="30"/>
      <c r="H376" s="30"/>
      <c r="L376" s="30"/>
      <c r="M376" s="30"/>
      <c r="O376" s="32"/>
      <c r="P376" s="32"/>
    </row>
    <row r="377">
      <c r="B377" s="35"/>
      <c r="G377" s="30"/>
      <c r="H377" s="30"/>
      <c r="L377" s="30"/>
      <c r="M377" s="30"/>
      <c r="O377" s="32"/>
      <c r="P377" s="32"/>
    </row>
    <row r="378">
      <c r="B378" s="35"/>
      <c r="G378" s="30"/>
      <c r="H378" s="30"/>
      <c r="L378" s="30"/>
      <c r="M378" s="30"/>
      <c r="O378" s="32"/>
      <c r="P378" s="32"/>
    </row>
    <row r="379">
      <c r="B379" s="35"/>
      <c r="G379" s="30"/>
      <c r="H379" s="30"/>
      <c r="L379" s="30"/>
      <c r="M379" s="30"/>
      <c r="O379" s="32"/>
      <c r="P379" s="32"/>
    </row>
    <row r="380">
      <c r="B380" s="35"/>
      <c r="G380" s="30"/>
      <c r="H380" s="30"/>
      <c r="L380" s="30"/>
      <c r="M380" s="30"/>
      <c r="O380" s="32"/>
      <c r="P380" s="32"/>
    </row>
    <row r="381">
      <c r="B381" s="35"/>
      <c r="G381" s="30"/>
      <c r="H381" s="30"/>
      <c r="L381" s="30"/>
      <c r="M381" s="30"/>
      <c r="O381" s="32"/>
      <c r="P381" s="32"/>
    </row>
    <row r="382">
      <c r="B382" s="35"/>
      <c r="G382" s="30"/>
      <c r="H382" s="30"/>
      <c r="L382" s="30"/>
      <c r="M382" s="30"/>
      <c r="O382" s="32"/>
      <c r="P382" s="32"/>
    </row>
    <row r="383">
      <c r="B383" s="35"/>
      <c r="G383" s="30"/>
      <c r="H383" s="30"/>
      <c r="L383" s="30"/>
      <c r="M383" s="30"/>
      <c r="O383" s="32"/>
      <c r="P383" s="32"/>
    </row>
    <row r="384">
      <c r="B384" s="35"/>
      <c r="G384" s="30"/>
      <c r="H384" s="30"/>
      <c r="L384" s="30"/>
      <c r="M384" s="30"/>
      <c r="O384" s="32"/>
      <c r="P384" s="32"/>
    </row>
    <row r="385">
      <c r="B385" s="35"/>
      <c r="G385" s="30"/>
      <c r="H385" s="30"/>
      <c r="L385" s="30"/>
      <c r="M385" s="30"/>
      <c r="O385" s="32"/>
      <c r="P385" s="32"/>
    </row>
    <row r="386">
      <c r="B386" s="35"/>
      <c r="G386" s="30"/>
      <c r="H386" s="30"/>
      <c r="L386" s="30"/>
      <c r="M386" s="30"/>
      <c r="O386" s="32"/>
      <c r="P386" s="32"/>
    </row>
    <row r="387">
      <c r="B387" s="35"/>
      <c r="G387" s="30"/>
      <c r="H387" s="30"/>
      <c r="L387" s="30"/>
      <c r="M387" s="30"/>
      <c r="O387" s="32"/>
      <c r="P387" s="32"/>
    </row>
    <row r="388">
      <c r="B388" s="35"/>
      <c r="G388" s="30"/>
      <c r="H388" s="30"/>
      <c r="L388" s="30"/>
      <c r="M388" s="30"/>
      <c r="O388" s="32"/>
      <c r="P388" s="32"/>
    </row>
    <row r="389">
      <c r="B389" s="35"/>
      <c r="G389" s="30"/>
      <c r="H389" s="30"/>
      <c r="L389" s="30"/>
      <c r="M389" s="30"/>
      <c r="O389" s="32"/>
      <c r="P389" s="32"/>
    </row>
    <row r="390">
      <c r="B390" s="35"/>
      <c r="G390" s="30"/>
      <c r="H390" s="30"/>
      <c r="L390" s="30"/>
      <c r="M390" s="30"/>
      <c r="O390" s="32"/>
      <c r="P390" s="32"/>
    </row>
    <row r="391">
      <c r="B391" s="35"/>
      <c r="G391" s="30"/>
      <c r="H391" s="30"/>
      <c r="L391" s="30"/>
      <c r="M391" s="30"/>
      <c r="O391" s="32"/>
      <c r="P391" s="32"/>
    </row>
    <row r="392">
      <c r="B392" s="35"/>
      <c r="G392" s="30"/>
      <c r="H392" s="30"/>
      <c r="L392" s="30"/>
      <c r="M392" s="30"/>
      <c r="O392" s="32"/>
      <c r="P392" s="32"/>
    </row>
    <row r="393">
      <c r="B393" s="35"/>
      <c r="G393" s="30"/>
      <c r="H393" s="30"/>
      <c r="L393" s="30"/>
      <c r="M393" s="30"/>
      <c r="O393" s="32"/>
      <c r="P393" s="32"/>
    </row>
    <row r="394">
      <c r="B394" s="35"/>
      <c r="G394" s="30"/>
      <c r="H394" s="30"/>
      <c r="L394" s="30"/>
      <c r="M394" s="30"/>
      <c r="O394" s="32"/>
      <c r="P394" s="32"/>
    </row>
    <row r="395">
      <c r="B395" s="35"/>
      <c r="G395" s="30"/>
      <c r="H395" s="30"/>
      <c r="L395" s="30"/>
      <c r="M395" s="30"/>
      <c r="O395" s="32"/>
      <c r="P395" s="32"/>
    </row>
    <row r="396">
      <c r="B396" s="35"/>
      <c r="G396" s="30"/>
      <c r="H396" s="30"/>
      <c r="L396" s="30"/>
      <c r="M396" s="30"/>
      <c r="O396" s="32"/>
      <c r="P396" s="32"/>
    </row>
    <row r="397">
      <c r="B397" s="35"/>
      <c r="G397" s="30"/>
      <c r="H397" s="30"/>
      <c r="L397" s="30"/>
      <c r="M397" s="30"/>
      <c r="O397" s="32"/>
      <c r="P397" s="32"/>
    </row>
    <row r="398">
      <c r="B398" s="35"/>
      <c r="G398" s="30"/>
      <c r="H398" s="30"/>
      <c r="L398" s="30"/>
      <c r="M398" s="30"/>
      <c r="O398" s="32"/>
      <c r="P398" s="32"/>
    </row>
    <row r="399">
      <c r="B399" s="35"/>
      <c r="G399" s="30"/>
      <c r="H399" s="30"/>
      <c r="L399" s="30"/>
      <c r="M399" s="30"/>
      <c r="O399" s="32"/>
      <c r="P399" s="32"/>
    </row>
    <row r="400">
      <c r="B400" s="35"/>
      <c r="G400" s="30"/>
      <c r="H400" s="30"/>
      <c r="L400" s="30"/>
      <c r="M400" s="30"/>
      <c r="O400" s="32"/>
      <c r="P400" s="32"/>
    </row>
    <row r="401">
      <c r="B401" s="35"/>
      <c r="G401" s="30"/>
      <c r="H401" s="30"/>
      <c r="L401" s="30"/>
      <c r="M401" s="30"/>
      <c r="O401" s="32"/>
      <c r="P401" s="32"/>
    </row>
    <row r="402">
      <c r="B402" s="35"/>
      <c r="G402" s="30"/>
      <c r="H402" s="30"/>
      <c r="L402" s="30"/>
      <c r="M402" s="30"/>
      <c r="O402" s="32"/>
      <c r="P402" s="32"/>
    </row>
    <row r="403">
      <c r="B403" s="35"/>
      <c r="G403" s="30"/>
      <c r="H403" s="30"/>
      <c r="L403" s="30"/>
      <c r="M403" s="30"/>
      <c r="O403" s="32"/>
      <c r="P403" s="32"/>
    </row>
    <row r="404">
      <c r="B404" s="35"/>
      <c r="G404" s="30"/>
      <c r="H404" s="30"/>
      <c r="L404" s="30"/>
      <c r="M404" s="30"/>
      <c r="O404" s="32"/>
      <c r="P404" s="32"/>
    </row>
    <row r="405">
      <c r="B405" s="35"/>
      <c r="G405" s="30"/>
      <c r="H405" s="30"/>
      <c r="L405" s="30"/>
      <c r="M405" s="30"/>
      <c r="O405" s="32"/>
      <c r="P405" s="32"/>
    </row>
    <row r="406">
      <c r="B406" s="35"/>
      <c r="G406" s="30"/>
      <c r="H406" s="30"/>
      <c r="L406" s="30"/>
      <c r="M406" s="30"/>
      <c r="O406" s="32"/>
      <c r="P406" s="32"/>
    </row>
    <row r="407">
      <c r="B407" s="35"/>
      <c r="G407" s="30"/>
      <c r="H407" s="30"/>
      <c r="L407" s="30"/>
      <c r="M407" s="30"/>
      <c r="O407" s="32"/>
      <c r="P407" s="32"/>
    </row>
    <row r="408">
      <c r="B408" s="35"/>
      <c r="G408" s="30"/>
      <c r="H408" s="30"/>
      <c r="L408" s="30"/>
      <c r="M408" s="30"/>
      <c r="O408" s="32"/>
      <c r="P408" s="32"/>
    </row>
    <row r="409">
      <c r="B409" s="35"/>
      <c r="G409" s="30"/>
      <c r="H409" s="30"/>
      <c r="L409" s="30"/>
      <c r="M409" s="30"/>
      <c r="O409" s="32"/>
      <c r="P409" s="32"/>
    </row>
    <row r="410">
      <c r="B410" s="35"/>
      <c r="G410" s="30"/>
      <c r="H410" s="30"/>
      <c r="L410" s="30"/>
      <c r="M410" s="30"/>
      <c r="O410" s="32"/>
      <c r="P410" s="32"/>
    </row>
    <row r="411">
      <c r="B411" s="35"/>
      <c r="G411" s="30"/>
      <c r="H411" s="30"/>
      <c r="L411" s="30"/>
      <c r="M411" s="30"/>
      <c r="O411" s="32"/>
      <c r="P411" s="32"/>
    </row>
    <row r="412">
      <c r="B412" s="35"/>
      <c r="G412" s="30"/>
      <c r="H412" s="30"/>
      <c r="L412" s="30"/>
      <c r="M412" s="30"/>
      <c r="O412" s="32"/>
      <c r="P412" s="32"/>
    </row>
    <row r="413">
      <c r="B413" s="35"/>
      <c r="G413" s="30"/>
      <c r="H413" s="30"/>
      <c r="L413" s="30"/>
      <c r="M413" s="30"/>
      <c r="O413" s="32"/>
      <c r="P413" s="32"/>
    </row>
    <row r="414">
      <c r="B414" s="35"/>
      <c r="G414" s="30"/>
      <c r="H414" s="30"/>
      <c r="L414" s="30"/>
      <c r="M414" s="30"/>
      <c r="O414" s="32"/>
      <c r="P414" s="32"/>
    </row>
    <row r="415">
      <c r="B415" s="35"/>
      <c r="G415" s="30"/>
      <c r="H415" s="30"/>
      <c r="L415" s="30"/>
      <c r="M415" s="30"/>
      <c r="O415" s="32"/>
      <c r="P415" s="32"/>
    </row>
    <row r="416">
      <c r="B416" s="35"/>
      <c r="G416" s="30"/>
      <c r="H416" s="30"/>
      <c r="L416" s="30"/>
      <c r="M416" s="30"/>
      <c r="O416" s="32"/>
      <c r="P416" s="32"/>
    </row>
    <row r="417">
      <c r="B417" s="35"/>
      <c r="G417" s="30"/>
      <c r="H417" s="30"/>
      <c r="L417" s="30"/>
      <c r="M417" s="30"/>
      <c r="O417" s="32"/>
      <c r="P417" s="32"/>
    </row>
    <row r="418">
      <c r="B418" s="35"/>
      <c r="G418" s="30"/>
      <c r="H418" s="30"/>
      <c r="L418" s="30"/>
      <c r="M418" s="30"/>
      <c r="O418" s="32"/>
      <c r="P418" s="32"/>
    </row>
    <row r="419">
      <c r="B419" s="35"/>
      <c r="G419" s="30"/>
      <c r="H419" s="30"/>
      <c r="L419" s="30"/>
      <c r="M419" s="30"/>
      <c r="O419" s="32"/>
      <c r="P419" s="32"/>
    </row>
    <row r="420">
      <c r="B420" s="35"/>
      <c r="G420" s="30"/>
      <c r="H420" s="30"/>
      <c r="L420" s="30"/>
      <c r="M420" s="30"/>
      <c r="O420" s="32"/>
      <c r="P420" s="32"/>
    </row>
    <row r="421">
      <c r="B421" s="35"/>
      <c r="G421" s="30"/>
      <c r="H421" s="30"/>
      <c r="L421" s="30"/>
      <c r="M421" s="30"/>
      <c r="O421" s="32"/>
      <c r="P421" s="32"/>
    </row>
    <row r="422">
      <c r="B422" s="35"/>
      <c r="G422" s="30"/>
      <c r="H422" s="30"/>
      <c r="L422" s="30"/>
      <c r="M422" s="30"/>
      <c r="O422" s="32"/>
      <c r="P422" s="32"/>
    </row>
    <row r="423">
      <c r="B423" s="35"/>
      <c r="G423" s="30"/>
      <c r="H423" s="30"/>
      <c r="L423" s="30"/>
      <c r="M423" s="30"/>
      <c r="O423" s="32"/>
      <c r="P423" s="32"/>
    </row>
    <row r="424">
      <c r="B424" s="35"/>
      <c r="G424" s="30"/>
      <c r="H424" s="30"/>
      <c r="L424" s="30"/>
      <c r="M424" s="30"/>
      <c r="O424" s="32"/>
      <c r="P424" s="32"/>
    </row>
    <row r="425">
      <c r="B425" s="35"/>
      <c r="G425" s="30"/>
      <c r="H425" s="30"/>
      <c r="L425" s="30"/>
      <c r="M425" s="30"/>
      <c r="O425" s="32"/>
      <c r="P425" s="32"/>
    </row>
    <row r="426">
      <c r="B426" s="35"/>
      <c r="G426" s="30"/>
      <c r="H426" s="30"/>
      <c r="L426" s="30"/>
      <c r="M426" s="30"/>
      <c r="O426" s="32"/>
      <c r="P426" s="32"/>
    </row>
    <row r="427">
      <c r="B427" s="35"/>
      <c r="G427" s="30"/>
      <c r="H427" s="30"/>
      <c r="L427" s="30"/>
      <c r="M427" s="30"/>
      <c r="O427" s="32"/>
      <c r="P427" s="32"/>
    </row>
    <row r="428">
      <c r="B428" s="35"/>
      <c r="G428" s="30"/>
      <c r="H428" s="30"/>
      <c r="L428" s="30"/>
      <c r="M428" s="30"/>
      <c r="O428" s="32"/>
      <c r="P428" s="32"/>
    </row>
    <row r="429">
      <c r="B429" s="35"/>
      <c r="G429" s="30"/>
      <c r="H429" s="30"/>
      <c r="L429" s="30"/>
      <c r="M429" s="30"/>
      <c r="O429" s="32"/>
      <c r="P429" s="32"/>
    </row>
    <row r="430">
      <c r="B430" s="35"/>
      <c r="G430" s="30"/>
      <c r="H430" s="30"/>
      <c r="L430" s="30"/>
      <c r="M430" s="30"/>
      <c r="O430" s="32"/>
      <c r="P430" s="32"/>
    </row>
    <row r="431">
      <c r="B431" s="35"/>
      <c r="G431" s="30"/>
      <c r="H431" s="30"/>
      <c r="L431" s="30"/>
      <c r="M431" s="30"/>
      <c r="O431" s="32"/>
      <c r="P431" s="32"/>
    </row>
    <row r="432">
      <c r="B432" s="35"/>
      <c r="G432" s="30"/>
      <c r="H432" s="30"/>
      <c r="L432" s="30"/>
      <c r="M432" s="30"/>
      <c r="O432" s="32"/>
      <c r="P432" s="32"/>
    </row>
    <row r="433">
      <c r="B433" s="35"/>
      <c r="G433" s="30"/>
      <c r="H433" s="30"/>
      <c r="L433" s="30"/>
      <c r="M433" s="30"/>
      <c r="O433" s="32"/>
      <c r="P433" s="32"/>
    </row>
    <row r="434">
      <c r="B434" s="35"/>
      <c r="G434" s="30"/>
      <c r="H434" s="30"/>
      <c r="L434" s="30"/>
      <c r="M434" s="30"/>
      <c r="O434" s="32"/>
      <c r="P434" s="32"/>
    </row>
    <row r="435">
      <c r="B435" s="35"/>
      <c r="G435" s="30"/>
      <c r="H435" s="30"/>
      <c r="L435" s="30"/>
      <c r="M435" s="30"/>
      <c r="O435" s="32"/>
      <c r="P435" s="32"/>
    </row>
    <row r="436">
      <c r="B436" s="35"/>
      <c r="G436" s="30"/>
      <c r="H436" s="30"/>
      <c r="L436" s="30"/>
      <c r="M436" s="30"/>
      <c r="O436" s="32"/>
      <c r="P436" s="32"/>
    </row>
    <row r="437">
      <c r="B437" s="35"/>
      <c r="G437" s="30"/>
      <c r="H437" s="30"/>
      <c r="L437" s="30"/>
      <c r="M437" s="30"/>
      <c r="O437" s="32"/>
      <c r="P437" s="32"/>
    </row>
    <row r="438">
      <c r="B438" s="35"/>
      <c r="G438" s="30"/>
      <c r="H438" s="30"/>
      <c r="L438" s="30"/>
      <c r="M438" s="30"/>
      <c r="O438" s="32"/>
      <c r="P438" s="32"/>
    </row>
    <row r="439">
      <c r="B439" s="35"/>
      <c r="G439" s="30"/>
      <c r="H439" s="30"/>
      <c r="L439" s="30"/>
      <c r="M439" s="30"/>
      <c r="O439" s="32"/>
      <c r="P439" s="32"/>
    </row>
    <row r="440">
      <c r="B440" s="35"/>
      <c r="G440" s="30"/>
      <c r="H440" s="30"/>
      <c r="L440" s="30"/>
      <c r="M440" s="30"/>
      <c r="O440" s="32"/>
      <c r="P440" s="32"/>
    </row>
    <row r="441">
      <c r="B441" s="35"/>
      <c r="G441" s="30"/>
      <c r="H441" s="30"/>
      <c r="L441" s="30"/>
      <c r="M441" s="30"/>
      <c r="O441" s="32"/>
      <c r="P441" s="32"/>
    </row>
    <row r="442">
      <c r="B442" s="35"/>
      <c r="G442" s="30"/>
      <c r="H442" s="30"/>
      <c r="L442" s="30"/>
      <c r="M442" s="30"/>
      <c r="O442" s="32"/>
      <c r="P442" s="32"/>
    </row>
    <row r="443">
      <c r="B443" s="35"/>
      <c r="G443" s="30"/>
      <c r="H443" s="30"/>
      <c r="L443" s="30"/>
      <c r="M443" s="30"/>
      <c r="O443" s="32"/>
      <c r="P443" s="32"/>
    </row>
    <row r="444">
      <c r="B444" s="35"/>
      <c r="G444" s="30"/>
      <c r="H444" s="30"/>
      <c r="L444" s="30"/>
      <c r="M444" s="30"/>
      <c r="O444" s="32"/>
      <c r="P444" s="32"/>
    </row>
    <row r="445">
      <c r="B445" s="35"/>
      <c r="G445" s="30"/>
      <c r="H445" s="30"/>
      <c r="L445" s="30"/>
      <c r="M445" s="30"/>
      <c r="O445" s="32"/>
      <c r="P445" s="32"/>
    </row>
    <row r="446">
      <c r="B446" s="35"/>
      <c r="G446" s="30"/>
      <c r="H446" s="30"/>
      <c r="L446" s="30"/>
      <c r="M446" s="30"/>
      <c r="O446" s="32"/>
      <c r="P446" s="32"/>
    </row>
    <row r="447">
      <c r="B447" s="35"/>
      <c r="G447" s="30"/>
      <c r="H447" s="30"/>
      <c r="L447" s="30"/>
      <c r="M447" s="30"/>
      <c r="O447" s="32"/>
      <c r="P447" s="32"/>
    </row>
    <row r="448">
      <c r="B448" s="35"/>
      <c r="G448" s="30"/>
      <c r="H448" s="30"/>
      <c r="L448" s="30"/>
      <c r="M448" s="30"/>
      <c r="O448" s="32"/>
      <c r="P448" s="32"/>
    </row>
    <row r="449">
      <c r="B449" s="35"/>
      <c r="G449" s="30"/>
      <c r="H449" s="30"/>
      <c r="L449" s="30"/>
      <c r="M449" s="30"/>
      <c r="O449" s="32"/>
      <c r="P449" s="32"/>
    </row>
    <row r="450">
      <c r="B450" s="35"/>
      <c r="G450" s="30"/>
      <c r="H450" s="30"/>
      <c r="L450" s="30"/>
      <c r="M450" s="30"/>
      <c r="O450" s="32"/>
      <c r="P450" s="32"/>
    </row>
    <row r="451">
      <c r="B451" s="35"/>
      <c r="G451" s="30"/>
      <c r="H451" s="30"/>
      <c r="L451" s="30"/>
      <c r="M451" s="30"/>
      <c r="O451" s="32"/>
      <c r="P451" s="32"/>
    </row>
    <row r="452">
      <c r="B452" s="35"/>
      <c r="G452" s="30"/>
      <c r="H452" s="30"/>
      <c r="L452" s="30"/>
      <c r="M452" s="30"/>
      <c r="O452" s="32"/>
      <c r="P452" s="32"/>
    </row>
    <row r="453">
      <c r="B453" s="35"/>
      <c r="G453" s="30"/>
      <c r="H453" s="30"/>
      <c r="L453" s="30"/>
      <c r="M453" s="30"/>
      <c r="O453" s="32"/>
      <c r="P453" s="32"/>
    </row>
    <row r="454">
      <c r="B454" s="35"/>
      <c r="G454" s="30"/>
      <c r="H454" s="30"/>
      <c r="L454" s="30"/>
      <c r="M454" s="30"/>
      <c r="O454" s="32"/>
      <c r="P454" s="32"/>
    </row>
    <row r="455">
      <c r="B455" s="35"/>
      <c r="G455" s="30"/>
      <c r="H455" s="30"/>
      <c r="L455" s="30"/>
      <c r="M455" s="30"/>
      <c r="O455" s="32"/>
      <c r="P455" s="32"/>
    </row>
    <row r="456">
      <c r="B456" s="35"/>
      <c r="G456" s="30"/>
      <c r="H456" s="30"/>
      <c r="L456" s="30"/>
      <c r="M456" s="30"/>
      <c r="O456" s="32"/>
      <c r="P456" s="32"/>
    </row>
    <row r="457">
      <c r="B457" s="35"/>
      <c r="G457" s="30"/>
      <c r="H457" s="30"/>
      <c r="L457" s="30"/>
      <c r="M457" s="30"/>
      <c r="O457" s="32"/>
      <c r="P457" s="32"/>
    </row>
    <row r="458">
      <c r="B458" s="35"/>
      <c r="G458" s="30"/>
      <c r="H458" s="30"/>
      <c r="L458" s="30"/>
      <c r="M458" s="30"/>
      <c r="O458" s="32"/>
      <c r="P458" s="32"/>
    </row>
    <row r="459">
      <c r="B459" s="35"/>
      <c r="G459" s="30"/>
      <c r="H459" s="30"/>
      <c r="L459" s="30"/>
      <c r="M459" s="30"/>
      <c r="O459" s="32"/>
      <c r="P459" s="32"/>
    </row>
    <row r="460">
      <c r="B460" s="35"/>
      <c r="G460" s="30"/>
      <c r="H460" s="30"/>
      <c r="L460" s="30"/>
      <c r="M460" s="30"/>
      <c r="O460" s="32"/>
      <c r="P460" s="32"/>
    </row>
    <row r="461">
      <c r="B461" s="35"/>
      <c r="G461" s="30"/>
      <c r="H461" s="30"/>
      <c r="L461" s="30"/>
      <c r="M461" s="30"/>
      <c r="O461" s="32"/>
      <c r="P461" s="32"/>
    </row>
    <row r="462">
      <c r="B462" s="35"/>
      <c r="G462" s="30"/>
      <c r="H462" s="30"/>
      <c r="L462" s="30"/>
      <c r="M462" s="30"/>
      <c r="O462" s="32"/>
      <c r="P462" s="32"/>
    </row>
    <row r="463">
      <c r="B463" s="35"/>
      <c r="G463" s="30"/>
      <c r="H463" s="30"/>
      <c r="L463" s="30"/>
      <c r="M463" s="30"/>
      <c r="O463" s="32"/>
      <c r="P463" s="32"/>
    </row>
    <row r="464">
      <c r="B464" s="35"/>
      <c r="G464" s="30"/>
      <c r="H464" s="30"/>
      <c r="L464" s="30"/>
      <c r="M464" s="30"/>
      <c r="O464" s="32"/>
      <c r="P464" s="32"/>
    </row>
    <row r="465">
      <c r="B465" s="35"/>
      <c r="G465" s="30"/>
      <c r="H465" s="30"/>
      <c r="L465" s="30"/>
      <c r="M465" s="30"/>
      <c r="O465" s="32"/>
      <c r="P465" s="32"/>
    </row>
    <row r="466">
      <c r="B466" s="35"/>
      <c r="G466" s="30"/>
      <c r="H466" s="30"/>
      <c r="L466" s="30"/>
      <c r="M466" s="30"/>
      <c r="O466" s="32"/>
      <c r="P466" s="32"/>
    </row>
    <row r="467">
      <c r="B467" s="35"/>
      <c r="G467" s="30"/>
      <c r="H467" s="30"/>
      <c r="L467" s="30"/>
      <c r="M467" s="30"/>
      <c r="O467" s="32"/>
      <c r="P467" s="32"/>
    </row>
    <row r="468">
      <c r="B468" s="35"/>
      <c r="G468" s="30"/>
      <c r="H468" s="30"/>
      <c r="L468" s="30"/>
      <c r="M468" s="30"/>
      <c r="O468" s="32"/>
      <c r="P468" s="32"/>
    </row>
    <row r="469">
      <c r="B469" s="35"/>
      <c r="G469" s="30"/>
      <c r="H469" s="30"/>
      <c r="L469" s="30"/>
      <c r="M469" s="30"/>
      <c r="O469" s="32"/>
      <c r="P469" s="32"/>
    </row>
    <row r="470">
      <c r="B470" s="35"/>
      <c r="G470" s="30"/>
      <c r="H470" s="30"/>
      <c r="L470" s="30"/>
      <c r="M470" s="30"/>
      <c r="O470" s="32"/>
      <c r="P470" s="32"/>
    </row>
    <row r="471">
      <c r="B471" s="35"/>
      <c r="G471" s="30"/>
      <c r="H471" s="30"/>
      <c r="L471" s="30"/>
      <c r="M471" s="30"/>
      <c r="O471" s="32"/>
      <c r="P471" s="32"/>
    </row>
    <row r="472">
      <c r="B472" s="35"/>
      <c r="G472" s="30"/>
      <c r="H472" s="30"/>
      <c r="L472" s="30"/>
      <c r="M472" s="30"/>
      <c r="O472" s="32"/>
      <c r="P472" s="32"/>
    </row>
    <row r="473">
      <c r="B473" s="35"/>
      <c r="G473" s="30"/>
      <c r="H473" s="30"/>
      <c r="L473" s="30"/>
      <c r="M473" s="30"/>
      <c r="O473" s="32"/>
      <c r="P473" s="32"/>
    </row>
    <row r="474">
      <c r="B474" s="35"/>
      <c r="G474" s="30"/>
      <c r="H474" s="30"/>
      <c r="L474" s="30"/>
      <c r="M474" s="30"/>
      <c r="O474" s="32"/>
      <c r="P474" s="32"/>
    </row>
    <row r="475">
      <c r="B475" s="35"/>
      <c r="G475" s="30"/>
      <c r="H475" s="30"/>
      <c r="L475" s="30"/>
      <c r="M475" s="30"/>
      <c r="O475" s="32"/>
      <c r="P475" s="32"/>
    </row>
    <row r="476">
      <c r="B476" s="35"/>
      <c r="G476" s="30"/>
      <c r="H476" s="30"/>
      <c r="L476" s="30"/>
      <c r="M476" s="30"/>
      <c r="O476" s="32"/>
      <c r="P476" s="32"/>
    </row>
    <row r="477">
      <c r="B477" s="35"/>
      <c r="G477" s="30"/>
      <c r="H477" s="30"/>
      <c r="L477" s="30"/>
      <c r="M477" s="30"/>
      <c r="O477" s="32"/>
      <c r="P477" s="32"/>
    </row>
    <row r="478">
      <c r="B478" s="35"/>
      <c r="G478" s="30"/>
      <c r="H478" s="30"/>
      <c r="L478" s="30"/>
      <c r="M478" s="30"/>
      <c r="O478" s="32"/>
      <c r="P478" s="32"/>
    </row>
    <row r="479">
      <c r="B479" s="35"/>
      <c r="G479" s="30"/>
      <c r="H479" s="30"/>
      <c r="L479" s="30"/>
      <c r="M479" s="30"/>
      <c r="O479" s="32"/>
      <c r="P479" s="32"/>
    </row>
    <row r="480">
      <c r="B480" s="35"/>
      <c r="G480" s="30"/>
      <c r="H480" s="30"/>
      <c r="L480" s="30"/>
      <c r="M480" s="30"/>
      <c r="O480" s="32"/>
      <c r="P480" s="32"/>
    </row>
    <row r="481">
      <c r="B481" s="35"/>
      <c r="G481" s="30"/>
      <c r="H481" s="30"/>
      <c r="L481" s="30"/>
      <c r="M481" s="30"/>
      <c r="O481" s="32"/>
      <c r="P481" s="32"/>
    </row>
    <row r="482">
      <c r="B482" s="35"/>
      <c r="G482" s="30"/>
      <c r="H482" s="30"/>
      <c r="L482" s="30"/>
      <c r="M482" s="30"/>
      <c r="O482" s="32"/>
      <c r="P482" s="32"/>
    </row>
    <row r="483">
      <c r="B483" s="35"/>
      <c r="G483" s="30"/>
      <c r="H483" s="30"/>
      <c r="L483" s="30"/>
      <c r="M483" s="30"/>
      <c r="O483" s="32"/>
      <c r="P483" s="32"/>
    </row>
    <row r="484">
      <c r="B484" s="35"/>
      <c r="G484" s="30"/>
      <c r="H484" s="30"/>
      <c r="L484" s="30"/>
      <c r="M484" s="30"/>
      <c r="O484" s="32"/>
      <c r="P484" s="32"/>
    </row>
    <row r="485">
      <c r="B485" s="35"/>
      <c r="G485" s="30"/>
      <c r="H485" s="30"/>
      <c r="L485" s="30"/>
      <c r="M485" s="30"/>
      <c r="O485" s="32"/>
      <c r="P485" s="32"/>
    </row>
    <row r="486">
      <c r="B486" s="35"/>
      <c r="G486" s="30"/>
      <c r="H486" s="30"/>
      <c r="L486" s="30"/>
      <c r="M486" s="30"/>
      <c r="O486" s="32"/>
      <c r="P486" s="32"/>
    </row>
    <row r="487">
      <c r="B487" s="35"/>
      <c r="G487" s="30"/>
      <c r="H487" s="30"/>
      <c r="L487" s="30"/>
      <c r="M487" s="30"/>
      <c r="O487" s="32"/>
      <c r="P487" s="32"/>
    </row>
    <row r="488">
      <c r="B488" s="35"/>
      <c r="G488" s="30"/>
      <c r="H488" s="30"/>
      <c r="L488" s="30"/>
      <c r="M488" s="30"/>
      <c r="O488" s="32"/>
      <c r="P488" s="32"/>
    </row>
    <row r="489">
      <c r="B489" s="35"/>
      <c r="G489" s="30"/>
      <c r="H489" s="30"/>
      <c r="L489" s="30"/>
      <c r="M489" s="30"/>
      <c r="O489" s="32"/>
      <c r="P489" s="32"/>
    </row>
    <row r="490">
      <c r="B490" s="35"/>
      <c r="G490" s="30"/>
      <c r="H490" s="30"/>
      <c r="L490" s="30"/>
      <c r="M490" s="30"/>
      <c r="O490" s="32"/>
      <c r="P490" s="32"/>
    </row>
    <row r="491">
      <c r="B491" s="35"/>
      <c r="G491" s="30"/>
      <c r="H491" s="30"/>
      <c r="L491" s="30"/>
      <c r="M491" s="30"/>
      <c r="O491" s="32"/>
      <c r="P491" s="32"/>
    </row>
    <row r="492">
      <c r="B492" s="35"/>
      <c r="G492" s="30"/>
      <c r="H492" s="30"/>
      <c r="L492" s="30"/>
      <c r="M492" s="30"/>
      <c r="O492" s="32"/>
      <c r="P492" s="32"/>
    </row>
    <row r="493">
      <c r="B493" s="35"/>
      <c r="G493" s="30"/>
      <c r="H493" s="30"/>
      <c r="L493" s="30"/>
      <c r="M493" s="30"/>
      <c r="O493" s="32"/>
      <c r="P493" s="32"/>
    </row>
    <row r="494">
      <c r="B494" s="35"/>
      <c r="G494" s="30"/>
      <c r="H494" s="30"/>
      <c r="L494" s="30"/>
      <c r="M494" s="30"/>
      <c r="O494" s="32"/>
      <c r="P494" s="32"/>
    </row>
    <row r="495">
      <c r="B495" s="35"/>
      <c r="G495" s="30"/>
      <c r="H495" s="30"/>
      <c r="L495" s="30"/>
      <c r="M495" s="30"/>
      <c r="O495" s="32"/>
      <c r="P495" s="32"/>
    </row>
    <row r="496">
      <c r="B496" s="35"/>
      <c r="G496" s="30"/>
      <c r="H496" s="30"/>
      <c r="L496" s="30"/>
      <c r="M496" s="30"/>
      <c r="O496" s="32"/>
      <c r="P496" s="32"/>
    </row>
    <row r="497">
      <c r="B497" s="35"/>
      <c r="G497" s="30"/>
      <c r="H497" s="30"/>
      <c r="L497" s="30"/>
      <c r="M497" s="30"/>
      <c r="O497" s="32"/>
      <c r="P497" s="32"/>
    </row>
    <row r="498">
      <c r="B498" s="35"/>
      <c r="G498" s="30"/>
      <c r="H498" s="30"/>
      <c r="L498" s="30"/>
      <c r="M498" s="30"/>
      <c r="O498" s="32"/>
      <c r="P498" s="32"/>
    </row>
    <row r="499">
      <c r="B499" s="35"/>
      <c r="G499" s="30"/>
      <c r="H499" s="30"/>
      <c r="L499" s="30"/>
      <c r="M499" s="30"/>
      <c r="O499" s="32"/>
      <c r="P499" s="32"/>
    </row>
    <row r="500">
      <c r="B500" s="35"/>
      <c r="G500" s="30"/>
      <c r="H500" s="30"/>
      <c r="L500" s="30"/>
      <c r="M500" s="30"/>
      <c r="O500" s="32"/>
      <c r="P500" s="32"/>
    </row>
    <row r="501">
      <c r="B501" s="35"/>
      <c r="G501" s="30"/>
      <c r="H501" s="30"/>
      <c r="L501" s="30"/>
      <c r="M501" s="30"/>
      <c r="O501" s="32"/>
      <c r="P501" s="32"/>
    </row>
    <row r="502">
      <c r="B502" s="35"/>
      <c r="G502" s="30"/>
      <c r="H502" s="30"/>
      <c r="L502" s="30"/>
      <c r="M502" s="30"/>
      <c r="O502" s="32"/>
      <c r="P502" s="32"/>
    </row>
    <row r="503">
      <c r="B503" s="35"/>
      <c r="G503" s="30"/>
      <c r="H503" s="30"/>
      <c r="L503" s="30"/>
      <c r="M503" s="30"/>
      <c r="O503" s="32"/>
      <c r="P503" s="32"/>
    </row>
    <row r="504">
      <c r="B504" s="35"/>
      <c r="G504" s="30"/>
      <c r="H504" s="30"/>
      <c r="L504" s="30"/>
      <c r="M504" s="30"/>
      <c r="O504" s="32"/>
      <c r="P504" s="32"/>
    </row>
    <row r="505">
      <c r="B505" s="35"/>
      <c r="G505" s="30"/>
      <c r="H505" s="30"/>
      <c r="L505" s="30"/>
      <c r="M505" s="30"/>
      <c r="O505" s="32"/>
      <c r="P505" s="32"/>
    </row>
    <row r="506">
      <c r="B506" s="35"/>
      <c r="G506" s="30"/>
      <c r="H506" s="30"/>
      <c r="L506" s="30"/>
      <c r="M506" s="30"/>
      <c r="O506" s="32"/>
      <c r="P506" s="32"/>
    </row>
    <row r="507">
      <c r="B507" s="35"/>
      <c r="G507" s="30"/>
      <c r="H507" s="30"/>
      <c r="L507" s="30"/>
      <c r="M507" s="30"/>
      <c r="O507" s="32"/>
      <c r="P507" s="32"/>
    </row>
    <row r="508">
      <c r="B508" s="35"/>
      <c r="G508" s="30"/>
      <c r="H508" s="30"/>
      <c r="L508" s="30"/>
      <c r="M508" s="30"/>
      <c r="O508" s="32"/>
      <c r="P508" s="32"/>
    </row>
    <row r="509">
      <c r="B509" s="35"/>
      <c r="G509" s="30"/>
      <c r="H509" s="30"/>
      <c r="L509" s="30"/>
      <c r="M509" s="30"/>
      <c r="O509" s="32"/>
      <c r="P509" s="32"/>
    </row>
    <row r="510">
      <c r="B510" s="35"/>
      <c r="G510" s="30"/>
      <c r="H510" s="30"/>
      <c r="L510" s="30"/>
      <c r="M510" s="30"/>
      <c r="O510" s="32"/>
      <c r="P510" s="32"/>
    </row>
    <row r="511">
      <c r="B511" s="35"/>
      <c r="G511" s="30"/>
      <c r="H511" s="30"/>
      <c r="L511" s="30"/>
      <c r="M511" s="30"/>
      <c r="O511" s="32"/>
      <c r="P511" s="32"/>
    </row>
    <row r="512">
      <c r="B512" s="35"/>
      <c r="G512" s="30"/>
      <c r="H512" s="30"/>
      <c r="L512" s="30"/>
      <c r="M512" s="30"/>
      <c r="O512" s="32"/>
      <c r="P512" s="32"/>
    </row>
    <row r="513">
      <c r="B513" s="35"/>
      <c r="G513" s="30"/>
      <c r="H513" s="30"/>
      <c r="L513" s="30"/>
      <c r="M513" s="30"/>
      <c r="O513" s="32"/>
      <c r="P513" s="32"/>
    </row>
    <row r="514">
      <c r="B514" s="35"/>
      <c r="G514" s="30"/>
      <c r="H514" s="30"/>
      <c r="L514" s="30"/>
      <c r="M514" s="30"/>
      <c r="O514" s="32"/>
      <c r="P514" s="32"/>
    </row>
    <row r="515">
      <c r="B515" s="35"/>
      <c r="G515" s="30"/>
      <c r="H515" s="30"/>
      <c r="L515" s="30"/>
      <c r="M515" s="30"/>
      <c r="O515" s="32"/>
      <c r="P515" s="32"/>
    </row>
    <row r="516">
      <c r="B516" s="35"/>
      <c r="G516" s="30"/>
      <c r="H516" s="30"/>
      <c r="L516" s="30"/>
      <c r="M516" s="30"/>
      <c r="O516" s="32"/>
      <c r="P516" s="32"/>
    </row>
    <row r="517">
      <c r="B517" s="35"/>
      <c r="G517" s="30"/>
      <c r="H517" s="30"/>
      <c r="L517" s="30"/>
      <c r="M517" s="30"/>
      <c r="O517" s="32"/>
      <c r="P517" s="32"/>
    </row>
    <row r="518">
      <c r="B518" s="35"/>
      <c r="G518" s="30"/>
      <c r="H518" s="30"/>
      <c r="L518" s="30"/>
      <c r="M518" s="30"/>
      <c r="O518" s="32"/>
      <c r="P518" s="32"/>
    </row>
    <row r="519">
      <c r="B519" s="35"/>
      <c r="G519" s="30"/>
      <c r="H519" s="30"/>
      <c r="L519" s="30"/>
      <c r="M519" s="30"/>
      <c r="O519" s="32"/>
      <c r="P519" s="32"/>
    </row>
    <row r="520">
      <c r="B520" s="35"/>
      <c r="G520" s="30"/>
      <c r="H520" s="30"/>
      <c r="L520" s="30"/>
      <c r="M520" s="30"/>
      <c r="O520" s="32"/>
      <c r="P520" s="32"/>
    </row>
    <row r="521">
      <c r="B521" s="35"/>
      <c r="G521" s="30"/>
      <c r="H521" s="30"/>
      <c r="L521" s="30"/>
      <c r="M521" s="30"/>
      <c r="O521" s="32"/>
      <c r="P521" s="32"/>
    </row>
    <row r="522">
      <c r="B522" s="35"/>
      <c r="G522" s="30"/>
      <c r="H522" s="30"/>
      <c r="L522" s="30"/>
      <c r="M522" s="30"/>
      <c r="O522" s="32"/>
      <c r="P522" s="32"/>
    </row>
    <row r="523">
      <c r="B523" s="35"/>
      <c r="G523" s="30"/>
      <c r="H523" s="30"/>
      <c r="L523" s="30"/>
      <c r="M523" s="30"/>
      <c r="O523" s="32"/>
      <c r="P523" s="32"/>
    </row>
    <row r="524">
      <c r="B524" s="35"/>
      <c r="G524" s="30"/>
      <c r="H524" s="30"/>
      <c r="L524" s="30"/>
      <c r="M524" s="30"/>
      <c r="O524" s="32"/>
      <c r="P524" s="32"/>
    </row>
    <row r="525">
      <c r="B525" s="35"/>
      <c r="G525" s="30"/>
      <c r="H525" s="30"/>
      <c r="L525" s="30"/>
      <c r="M525" s="30"/>
      <c r="O525" s="32"/>
      <c r="P525" s="32"/>
    </row>
    <row r="526">
      <c r="B526" s="35"/>
      <c r="G526" s="30"/>
      <c r="H526" s="30"/>
      <c r="L526" s="30"/>
      <c r="M526" s="30"/>
      <c r="O526" s="32"/>
      <c r="P526" s="32"/>
    </row>
    <row r="527">
      <c r="B527" s="35"/>
      <c r="G527" s="30"/>
      <c r="H527" s="30"/>
      <c r="L527" s="30"/>
      <c r="M527" s="30"/>
      <c r="O527" s="32"/>
      <c r="P527" s="32"/>
    </row>
    <row r="528">
      <c r="B528" s="35"/>
      <c r="G528" s="30"/>
      <c r="H528" s="30"/>
      <c r="L528" s="30"/>
      <c r="M528" s="30"/>
      <c r="O528" s="32"/>
      <c r="P528" s="32"/>
    </row>
    <row r="529">
      <c r="B529" s="35"/>
      <c r="G529" s="30"/>
      <c r="H529" s="30"/>
      <c r="L529" s="30"/>
      <c r="M529" s="30"/>
      <c r="O529" s="32"/>
      <c r="P529" s="32"/>
    </row>
    <row r="530">
      <c r="B530" s="35"/>
      <c r="G530" s="30"/>
      <c r="H530" s="30"/>
      <c r="L530" s="30"/>
      <c r="M530" s="30"/>
      <c r="O530" s="32"/>
      <c r="P530" s="32"/>
    </row>
    <row r="531">
      <c r="B531" s="35"/>
      <c r="G531" s="30"/>
      <c r="H531" s="30"/>
      <c r="L531" s="30"/>
      <c r="M531" s="30"/>
      <c r="O531" s="32"/>
      <c r="P531" s="32"/>
    </row>
    <row r="532">
      <c r="B532" s="35"/>
      <c r="G532" s="30"/>
      <c r="H532" s="30"/>
      <c r="L532" s="30"/>
      <c r="M532" s="30"/>
      <c r="O532" s="32"/>
      <c r="P532" s="32"/>
    </row>
    <row r="533">
      <c r="B533" s="35"/>
      <c r="G533" s="30"/>
      <c r="H533" s="30"/>
      <c r="L533" s="30"/>
      <c r="M533" s="30"/>
      <c r="O533" s="32"/>
      <c r="P533" s="32"/>
    </row>
    <row r="534">
      <c r="B534" s="35"/>
      <c r="G534" s="30"/>
      <c r="H534" s="30"/>
      <c r="L534" s="30"/>
      <c r="M534" s="30"/>
      <c r="O534" s="32"/>
      <c r="P534" s="32"/>
    </row>
    <row r="535">
      <c r="B535" s="35"/>
      <c r="G535" s="30"/>
      <c r="H535" s="30"/>
      <c r="L535" s="30"/>
      <c r="M535" s="30"/>
      <c r="O535" s="32"/>
      <c r="P535" s="32"/>
    </row>
    <row r="536">
      <c r="B536" s="35"/>
      <c r="G536" s="30"/>
      <c r="H536" s="30"/>
      <c r="L536" s="30"/>
      <c r="M536" s="30"/>
      <c r="O536" s="32"/>
      <c r="P536" s="32"/>
    </row>
    <row r="537">
      <c r="B537" s="35"/>
      <c r="G537" s="30"/>
      <c r="H537" s="30"/>
      <c r="L537" s="30"/>
      <c r="M537" s="30"/>
      <c r="O537" s="32"/>
      <c r="P537" s="32"/>
    </row>
    <row r="538">
      <c r="B538" s="35"/>
      <c r="G538" s="30"/>
      <c r="H538" s="30"/>
      <c r="L538" s="30"/>
      <c r="M538" s="30"/>
      <c r="O538" s="32"/>
      <c r="P538" s="32"/>
    </row>
    <row r="539">
      <c r="B539" s="35"/>
      <c r="G539" s="30"/>
      <c r="H539" s="30"/>
      <c r="L539" s="30"/>
      <c r="M539" s="30"/>
      <c r="O539" s="32"/>
      <c r="P539" s="32"/>
    </row>
    <row r="540">
      <c r="B540" s="35"/>
      <c r="G540" s="30"/>
      <c r="H540" s="30"/>
      <c r="L540" s="30"/>
      <c r="M540" s="30"/>
      <c r="O540" s="32"/>
      <c r="P540" s="32"/>
    </row>
    <row r="541">
      <c r="B541" s="35"/>
      <c r="G541" s="30"/>
      <c r="H541" s="30"/>
      <c r="L541" s="30"/>
      <c r="M541" s="30"/>
      <c r="O541" s="32"/>
      <c r="P541" s="32"/>
    </row>
    <row r="542">
      <c r="B542" s="35"/>
      <c r="G542" s="30"/>
      <c r="H542" s="30"/>
      <c r="L542" s="30"/>
      <c r="M542" s="30"/>
      <c r="O542" s="32"/>
      <c r="P542" s="32"/>
    </row>
    <row r="543">
      <c r="B543" s="35"/>
      <c r="G543" s="30"/>
      <c r="H543" s="30"/>
      <c r="L543" s="30"/>
      <c r="M543" s="30"/>
      <c r="O543" s="32"/>
      <c r="P543" s="32"/>
    </row>
    <row r="544">
      <c r="B544" s="35"/>
      <c r="G544" s="30"/>
      <c r="H544" s="30"/>
      <c r="L544" s="30"/>
      <c r="M544" s="30"/>
      <c r="O544" s="32"/>
      <c r="P544" s="32"/>
    </row>
    <row r="545">
      <c r="B545" s="35"/>
      <c r="G545" s="30"/>
      <c r="H545" s="30"/>
      <c r="L545" s="30"/>
      <c r="M545" s="30"/>
      <c r="O545" s="32"/>
      <c r="P545" s="32"/>
    </row>
    <row r="546">
      <c r="B546" s="35"/>
      <c r="G546" s="30"/>
      <c r="H546" s="30"/>
      <c r="L546" s="30"/>
      <c r="M546" s="30"/>
      <c r="O546" s="32"/>
      <c r="P546" s="32"/>
    </row>
    <row r="547">
      <c r="B547" s="35"/>
      <c r="G547" s="30"/>
      <c r="H547" s="30"/>
      <c r="L547" s="30"/>
      <c r="M547" s="30"/>
      <c r="O547" s="32"/>
      <c r="P547" s="32"/>
    </row>
    <row r="548">
      <c r="B548" s="35"/>
      <c r="G548" s="30"/>
      <c r="H548" s="30"/>
      <c r="L548" s="30"/>
      <c r="M548" s="30"/>
      <c r="O548" s="32"/>
      <c r="P548" s="32"/>
    </row>
    <row r="549">
      <c r="B549" s="35"/>
      <c r="G549" s="30"/>
      <c r="H549" s="30"/>
      <c r="L549" s="30"/>
      <c r="M549" s="30"/>
      <c r="O549" s="32"/>
      <c r="P549" s="32"/>
    </row>
    <row r="550">
      <c r="B550" s="35"/>
      <c r="G550" s="30"/>
      <c r="H550" s="30"/>
      <c r="L550" s="30"/>
      <c r="M550" s="30"/>
      <c r="O550" s="32"/>
      <c r="P550" s="32"/>
    </row>
    <row r="551">
      <c r="B551" s="35"/>
      <c r="G551" s="30"/>
      <c r="H551" s="30"/>
      <c r="L551" s="30"/>
      <c r="M551" s="30"/>
      <c r="O551" s="32"/>
      <c r="P551" s="32"/>
    </row>
    <row r="552">
      <c r="B552" s="35"/>
      <c r="G552" s="30"/>
      <c r="H552" s="30"/>
      <c r="L552" s="30"/>
      <c r="M552" s="30"/>
      <c r="O552" s="32"/>
      <c r="P552" s="32"/>
    </row>
    <row r="553">
      <c r="B553" s="35"/>
      <c r="G553" s="30"/>
      <c r="H553" s="30"/>
      <c r="L553" s="30"/>
      <c r="M553" s="30"/>
      <c r="O553" s="32"/>
      <c r="P553" s="32"/>
    </row>
    <row r="554">
      <c r="B554" s="35"/>
      <c r="G554" s="30"/>
      <c r="H554" s="30"/>
      <c r="L554" s="30"/>
      <c r="M554" s="30"/>
      <c r="O554" s="32"/>
      <c r="P554" s="32"/>
    </row>
    <row r="555">
      <c r="B555" s="35"/>
      <c r="G555" s="30"/>
      <c r="H555" s="30"/>
      <c r="L555" s="30"/>
      <c r="M555" s="30"/>
      <c r="O555" s="32"/>
      <c r="P555" s="32"/>
    </row>
    <row r="556">
      <c r="B556" s="35"/>
      <c r="G556" s="30"/>
      <c r="H556" s="30"/>
      <c r="L556" s="30"/>
      <c r="M556" s="30"/>
      <c r="O556" s="32"/>
      <c r="P556" s="32"/>
    </row>
    <row r="557">
      <c r="B557" s="35"/>
      <c r="G557" s="30"/>
      <c r="H557" s="30"/>
      <c r="L557" s="30"/>
      <c r="M557" s="30"/>
      <c r="O557" s="32"/>
      <c r="P557" s="32"/>
    </row>
    <row r="558">
      <c r="B558" s="35"/>
      <c r="G558" s="30"/>
      <c r="H558" s="30"/>
      <c r="L558" s="30"/>
      <c r="M558" s="30"/>
      <c r="O558" s="32"/>
      <c r="P558" s="32"/>
    </row>
    <row r="559">
      <c r="B559" s="35"/>
      <c r="G559" s="30"/>
      <c r="H559" s="30"/>
      <c r="L559" s="30"/>
      <c r="M559" s="30"/>
      <c r="O559" s="32"/>
      <c r="P559" s="32"/>
    </row>
    <row r="560">
      <c r="B560" s="35"/>
      <c r="G560" s="30"/>
      <c r="H560" s="30"/>
      <c r="L560" s="30"/>
      <c r="M560" s="30"/>
      <c r="O560" s="32"/>
      <c r="P560" s="32"/>
    </row>
    <row r="561">
      <c r="B561" s="35"/>
      <c r="G561" s="30"/>
      <c r="H561" s="30"/>
      <c r="L561" s="30"/>
      <c r="M561" s="30"/>
      <c r="O561" s="32"/>
      <c r="P561" s="32"/>
    </row>
    <row r="562">
      <c r="B562" s="35"/>
      <c r="G562" s="30"/>
      <c r="H562" s="30"/>
      <c r="L562" s="30"/>
      <c r="M562" s="30"/>
      <c r="O562" s="32"/>
      <c r="P562" s="32"/>
    </row>
    <row r="563">
      <c r="B563" s="35"/>
      <c r="G563" s="30"/>
      <c r="H563" s="30"/>
      <c r="L563" s="30"/>
      <c r="M563" s="30"/>
      <c r="O563" s="32"/>
      <c r="P563" s="32"/>
    </row>
    <row r="564">
      <c r="B564" s="35"/>
      <c r="G564" s="30"/>
      <c r="H564" s="30"/>
      <c r="L564" s="30"/>
      <c r="M564" s="30"/>
      <c r="O564" s="32"/>
      <c r="P564" s="32"/>
    </row>
    <row r="565">
      <c r="B565" s="35"/>
      <c r="G565" s="30"/>
      <c r="H565" s="30"/>
      <c r="L565" s="30"/>
      <c r="M565" s="30"/>
      <c r="O565" s="32"/>
      <c r="P565" s="32"/>
    </row>
    <row r="566">
      <c r="B566" s="35"/>
      <c r="G566" s="30"/>
      <c r="H566" s="30"/>
      <c r="L566" s="30"/>
      <c r="M566" s="30"/>
      <c r="O566" s="32"/>
      <c r="P566" s="32"/>
    </row>
    <row r="567">
      <c r="B567" s="35"/>
      <c r="G567" s="30"/>
      <c r="H567" s="30"/>
      <c r="L567" s="30"/>
      <c r="M567" s="30"/>
      <c r="O567" s="32"/>
      <c r="P567" s="32"/>
    </row>
    <row r="568">
      <c r="B568" s="35"/>
      <c r="G568" s="30"/>
      <c r="H568" s="30"/>
      <c r="L568" s="30"/>
      <c r="M568" s="30"/>
      <c r="O568" s="32"/>
      <c r="P568" s="32"/>
    </row>
    <row r="569">
      <c r="B569" s="35"/>
      <c r="G569" s="30"/>
      <c r="H569" s="30"/>
      <c r="L569" s="30"/>
      <c r="M569" s="30"/>
      <c r="O569" s="32"/>
      <c r="P569" s="32"/>
    </row>
    <row r="570">
      <c r="B570" s="35"/>
      <c r="G570" s="30"/>
      <c r="H570" s="30"/>
      <c r="L570" s="30"/>
      <c r="M570" s="30"/>
      <c r="O570" s="32"/>
      <c r="P570" s="32"/>
    </row>
    <row r="571">
      <c r="B571" s="35"/>
      <c r="G571" s="30"/>
      <c r="H571" s="30"/>
      <c r="L571" s="30"/>
      <c r="M571" s="30"/>
      <c r="O571" s="32"/>
      <c r="P571" s="32"/>
    </row>
    <row r="572">
      <c r="B572" s="35"/>
      <c r="G572" s="30"/>
      <c r="H572" s="30"/>
      <c r="L572" s="30"/>
      <c r="M572" s="30"/>
      <c r="O572" s="32"/>
      <c r="P572" s="32"/>
    </row>
    <row r="573">
      <c r="B573" s="35"/>
      <c r="G573" s="30"/>
      <c r="H573" s="30"/>
      <c r="L573" s="30"/>
      <c r="M573" s="30"/>
      <c r="O573" s="32"/>
      <c r="P573" s="32"/>
    </row>
    <row r="574">
      <c r="B574" s="35"/>
      <c r="G574" s="30"/>
      <c r="H574" s="30"/>
      <c r="L574" s="30"/>
      <c r="M574" s="30"/>
      <c r="O574" s="32"/>
      <c r="P574" s="32"/>
    </row>
    <row r="575">
      <c r="B575" s="35"/>
      <c r="G575" s="30"/>
      <c r="H575" s="30"/>
      <c r="L575" s="30"/>
      <c r="M575" s="30"/>
      <c r="O575" s="32"/>
      <c r="P575" s="32"/>
    </row>
    <row r="576">
      <c r="B576" s="35"/>
      <c r="G576" s="30"/>
      <c r="H576" s="30"/>
      <c r="L576" s="30"/>
      <c r="M576" s="30"/>
      <c r="O576" s="32"/>
      <c r="P576" s="32"/>
    </row>
    <row r="577">
      <c r="B577" s="35"/>
      <c r="G577" s="30"/>
      <c r="H577" s="30"/>
      <c r="L577" s="30"/>
      <c r="M577" s="30"/>
      <c r="O577" s="32"/>
      <c r="P577" s="32"/>
    </row>
    <row r="578">
      <c r="B578" s="35"/>
      <c r="G578" s="30"/>
      <c r="H578" s="30"/>
      <c r="L578" s="30"/>
      <c r="M578" s="30"/>
      <c r="O578" s="32"/>
      <c r="P578" s="32"/>
    </row>
    <row r="579">
      <c r="B579" s="35"/>
      <c r="G579" s="30"/>
      <c r="H579" s="30"/>
      <c r="L579" s="30"/>
      <c r="M579" s="30"/>
      <c r="O579" s="32"/>
      <c r="P579" s="32"/>
    </row>
    <row r="580">
      <c r="B580" s="35"/>
      <c r="G580" s="30"/>
      <c r="H580" s="30"/>
      <c r="L580" s="30"/>
      <c r="M580" s="30"/>
      <c r="O580" s="32"/>
      <c r="P580" s="32"/>
    </row>
    <row r="581">
      <c r="B581" s="35"/>
      <c r="G581" s="30"/>
      <c r="H581" s="30"/>
      <c r="L581" s="30"/>
      <c r="M581" s="30"/>
      <c r="O581" s="32"/>
      <c r="P581" s="32"/>
    </row>
    <row r="582">
      <c r="B582" s="35"/>
      <c r="G582" s="30"/>
      <c r="H582" s="30"/>
      <c r="L582" s="30"/>
      <c r="M582" s="30"/>
      <c r="O582" s="32"/>
      <c r="P582" s="32"/>
    </row>
    <row r="583">
      <c r="B583" s="35"/>
      <c r="G583" s="30"/>
      <c r="H583" s="30"/>
      <c r="L583" s="30"/>
      <c r="M583" s="30"/>
      <c r="O583" s="32"/>
      <c r="P583" s="32"/>
    </row>
    <row r="584">
      <c r="B584" s="35"/>
      <c r="G584" s="30"/>
      <c r="H584" s="30"/>
      <c r="L584" s="30"/>
      <c r="M584" s="30"/>
      <c r="O584" s="32"/>
      <c r="P584" s="32"/>
    </row>
    <row r="585">
      <c r="B585" s="35"/>
      <c r="G585" s="30"/>
      <c r="H585" s="30"/>
      <c r="L585" s="30"/>
      <c r="M585" s="30"/>
      <c r="O585" s="32"/>
      <c r="P585" s="32"/>
    </row>
    <row r="586">
      <c r="B586" s="35"/>
      <c r="G586" s="30"/>
      <c r="H586" s="30"/>
      <c r="L586" s="30"/>
      <c r="M586" s="30"/>
      <c r="O586" s="32"/>
      <c r="P586" s="32"/>
    </row>
    <row r="587">
      <c r="B587" s="35"/>
      <c r="G587" s="30"/>
      <c r="H587" s="30"/>
      <c r="L587" s="30"/>
      <c r="M587" s="30"/>
      <c r="O587" s="32"/>
      <c r="P587" s="32"/>
    </row>
    <row r="588">
      <c r="B588" s="35"/>
      <c r="G588" s="30"/>
      <c r="H588" s="30"/>
      <c r="L588" s="30"/>
      <c r="M588" s="30"/>
      <c r="O588" s="32"/>
      <c r="P588" s="32"/>
    </row>
    <row r="589">
      <c r="B589" s="35"/>
      <c r="G589" s="30"/>
      <c r="H589" s="30"/>
      <c r="L589" s="30"/>
      <c r="M589" s="30"/>
      <c r="O589" s="32"/>
      <c r="P589" s="32"/>
    </row>
    <row r="590">
      <c r="B590" s="35"/>
      <c r="G590" s="30"/>
      <c r="H590" s="30"/>
      <c r="L590" s="30"/>
      <c r="M590" s="30"/>
      <c r="O590" s="32"/>
      <c r="P590" s="32"/>
    </row>
    <row r="591">
      <c r="B591" s="35"/>
      <c r="G591" s="30"/>
      <c r="H591" s="30"/>
      <c r="L591" s="30"/>
      <c r="M591" s="30"/>
      <c r="O591" s="32"/>
      <c r="P591" s="32"/>
    </row>
    <row r="592">
      <c r="B592" s="35"/>
      <c r="G592" s="30"/>
      <c r="H592" s="30"/>
      <c r="L592" s="30"/>
      <c r="M592" s="30"/>
      <c r="O592" s="32"/>
      <c r="P592" s="32"/>
    </row>
    <row r="593">
      <c r="B593" s="35"/>
      <c r="G593" s="30"/>
      <c r="H593" s="30"/>
      <c r="L593" s="30"/>
      <c r="M593" s="30"/>
      <c r="O593" s="32"/>
      <c r="P593" s="32"/>
    </row>
    <row r="594">
      <c r="B594" s="35"/>
      <c r="G594" s="30"/>
      <c r="H594" s="30"/>
      <c r="L594" s="30"/>
      <c r="M594" s="30"/>
      <c r="O594" s="32"/>
      <c r="P594" s="32"/>
    </row>
    <row r="595">
      <c r="B595" s="35"/>
      <c r="G595" s="30"/>
      <c r="H595" s="30"/>
      <c r="L595" s="30"/>
      <c r="M595" s="30"/>
      <c r="O595" s="32"/>
      <c r="P595" s="32"/>
    </row>
    <row r="596">
      <c r="B596" s="35"/>
      <c r="G596" s="30"/>
      <c r="H596" s="30"/>
      <c r="L596" s="30"/>
      <c r="M596" s="30"/>
      <c r="O596" s="32"/>
      <c r="P596" s="32"/>
    </row>
    <row r="597">
      <c r="B597" s="35"/>
      <c r="G597" s="30"/>
      <c r="H597" s="30"/>
      <c r="L597" s="30"/>
      <c r="M597" s="30"/>
      <c r="O597" s="32"/>
      <c r="P597" s="32"/>
    </row>
    <row r="598">
      <c r="B598" s="35"/>
      <c r="G598" s="30"/>
      <c r="H598" s="30"/>
      <c r="L598" s="30"/>
      <c r="M598" s="30"/>
      <c r="O598" s="32"/>
      <c r="P598" s="32"/>
    </row>
    <row r="599">
      <c r="B599" s="35"/>
      <c r="G599" s="30"/>
      <c r="H599" s="30"/>
      <c r="L599" s="30"/>
      <c r="M599" s="30"/>
      <c r="O599" s="32"/>
      <c r="P599" s="32"/>
    </row>
    <row r="600">
      <c r="B600" s="35"/>
      <c r="G600" s="30"/>
      <c r="H600" s="30"/>
      <c r="L600" s="30"/>
      <c r="M600" s="30"/>
      <c r="O600" s="32"/>
      <c r="P600" s="32"/>
    </row>
    <row r="601">
      <c r="B601" s="35"/>
      <c r="G601" s="30"/>
      <c r="H601" s="30"/>
      <c r="L601" s="30"/>
      <c r="M601" s="30"/>
      <c r="O601" s="32"/>
      <c r="P601" s="32"/>
    </row>
    <row r="602">
      <c r="B602" s="35"/>
      <c r="G602" s="30"/>
      <c r="H602" s="30"/>
      <c r="L602" s="30"/>
      <c r="M602" s="30"/>
      <c r="O602" s="32"/>
      <c r="P602" s="32"/>
    </row>
    <row r="603">
      <c r="B603" s="35"/>
      <c r="G603" s="30"/>
      <c r="H603" s="30"/>
      <c r="L603" s="30"/>
      <c r="M603" s="30"/>
      <c r="O603" s="32"/>
      <c r="P603" s="32"/>
    </row>
    <row r="604">
      <c r="B604" s="35"/>
      <c r="G604" s="30"/>
      <c r="H604" s="30"/>
      <c r="L604" s="30"/>
      <c r="M604" s="30"/>
      <c r="O604" s="32"/>
      <c r="P604" s="32"/>
    </row>
    <row r="605">
      <c r="B605" s="35"/>
      <c r="G605" s="30"/>
      <c r="H605" s="30"/>
      <c r="L605" s="30"/>
      <c r="M605" s="30"/>
      <c r="O605" s="32"/>
      <c r="P605" s="32"/>
    </row>
    <row r="606">
      <c r="B606" s="35"/>
      <c r="G606" s="30"/>
      <c r="H606" s="30"/>
      <c r="L606" s="30"/>
      <c r="M606" s="30"/>
      <c r="O606" s="32"/>
      <c r="P606" s="32"/>
    </row>
    <row r="607">
      <c r="B607" s="35"/>
      <c r="G607" s="30"/>
      <c r="H607" s="30"/>
      <c r="L607" s="30"/>
      <c r="M607" s="30"/>
      <c r="O607" s="32"/>
      <c r="P607" s="32"/>
    </row>
    <row r="608">
      <c r="B608" s="35"/>
      <c r="G608" s="30"/>
      <c r="H608" s="30"/>
      <c r="L608" s="30"/>
      <c r="M608" s="30"/>
      <c r="O608" s="32"/>
      <c r="P608" s="32"/>
    </row>
    <row r="609">
      <c r="B609" s="35"/>
      <c r="G609" s="30"/>
      <c r="H609" s="30"/>
      <c r="L609" s="30"/>
      <c r="M609" s="30"/>
      <c r="O609" s="32"/>
      <c r="P609" s="32"/>
    </row>
    <row r="610">
      <c r="B610" s="35"/>
      <c r="G610" s="30"/>
      <c r="H610" s="30"/>
      <c r="L610" s="30"/>
      <c r="M610" s="30"/>
      <c r="O610" s="32"/>
      <c r="P610" s="32"/>
    </row>
    <row r="611">
      <c r="B611" s="35"/>
      <c r="G611" s="30"/>
      <c r="H611" s="30"/>
      <c r="L611" s="30"/>
      <c r="M611" s="30"/>
      <c r="O611" s="32"/>
      <c r="P611" s="32"/>
    </row>
    <row r="612">
      <c r="B612" s="35"/>
      <c r="G612" s="30"/>
      <c r="H612" s="30"/>
      <c r="L612" s="30"/>
      <c r="M612" s="30"/>
      <c r="O612" s="32"/>
      <c r="P612" s="32"/>
    </row>
    <row r="613">
      <c r="B613" s="35"/>
      <c r="G613" s="30"/>
      <c r="H613" s="30"/>
      <c r="L613" s="30"/>
      <c r="M613" s="30"/>
      <c r="O613" s="32"/>
      <c r="P613" s="32"/>
    </row>
    <row r="614">
      <c r="B614" s="35"/>
      <c r="G614" s="30"/>
      <c r="H614" s="30"/>
      <c r="L614" s="30"/>
      <c r="M614" s="30"/>
      <c r="O614" s="32"/>
      <c r="P614" s="32"/>
    </row>
    <row r="615">
      <c r="B615" s="35"/>
      <c r="G615" s="30"/>
      <c r="H615" s="30"/>
      <c r="L615" s="30"/>
      <c r="M615" s="30"/>
      <c r="O615" s="32"/>
      <c r="P615" s="32"/>
    </row>
    <row r="616">
      <c r="B616" s="35"/>
      <c r="G616" s="30"/>
      <c r="H616" s="30"/>
      <c r="L616" s="30"/>
      <c r="M616" s="30"/>
      <c r="O616" s="32"/>
      <c r="P616" s="32"/>
    </row>
    <row r="617">
      <c r="B617" s="35"/>
      <c r="G617" s="30"/>
      <c r="H617" s="30"/>
      <c r="L617" s="30"/>
      <c r="M617" s="30"/>
      <c r="O617" s="32"/>
      <c r="P617" s="32"/>
    </row>
    <row r="618">
      <c r="B618" s="35"/>
      <c r="G618" s="30"/>
      <c r="H618" s="30"/>
      <c r="L618" s="30"/>
      <c r="M618" s="30"/>
      <c r="O618" s="32"/>
      <c r="P618" s="32"/>
    </row>
    <row r="619">
      <c r="B619" s="35"/>
      <c r="G619" s="30"/>
      <c r="H619" s="30"/>
      <c r="L619" s="30"/>
      <c r="M619" s="30"/>
      <c r="O619" s="32"/>
      <c r="P619" s="32"/>
    </row>
    <row r="620">
      <c r="B620" s="35"/>
      <c r="G620" s="30"/>
      <c r="H620" s="30"/>
      <c r="L620" s="30"/>
      <c r="M620" s="30"/>
      <c r="O620" s="32"/>
      <c r="P620" s="32"/>
    </row>
    <row r="621">
      <c r="B621" s="35"/>
      <c r="G621" s="30"/>
      <c r="H621" s="30"/>
      <c r="L621" s="30"/>
      <c r="M621" s="30"/>
      <c r="O621" s="32"/>
      <c r="P621" s="32"/>
    </row>
    <row r="622">
      <c r="B622" s="35"/>
      <c r="G622" s="30"/>
      <c r="H622" s="30"/>
      <c r="L622" s="30"/>
      <c r="M622" s="30"/>
      <c r="O622" s="32"/>
      <c r="P622" s="32"/>
    </row>
    <row r="623">
      <c r="B623" s="35"/>
      <c r="G623" s="30"/>
      <c r="H623" s="30"/>
      <c r="L623" s="30"/>
      <c r="M623" s="30"/>
      <c r="O623" s="32"/>
      <c r="P623" s="32"/>
    </row>
    <row r="624">
      <c r="B624" s="35"/>
      <c r="G624" s="30"/>
      <c r="H624" s="30"/>
      <c r="L624" s="30"/>
      <c r="M624" s="30"/>
      <c r="O624" s="32"/>
      <c r="P624" s="32"/>
    </row>
    <row r="625">
      <c r="B625" s="35"/>
      <c r="G625" s="30"/>
      <c r="H625" s="30"/>
      <c r="L625" s="30"/>
      <c r="M625" s="30"/>
      <c r="O625" s="32"/>
      <c r="P625" s="32"/>
    </row>
    <row r="626">
      <c r="B626" s="35"/>
      <c r="G626" s="30"/>
      <c r="H626" s="30"/>
      <c r="L626" s="30"/>
      <c r="M626" s="30"/>
      <c r="O626" s="32"/>
      <c r="P626" s="32"/>
    </row>
    <row r="627">
      <c r="B627" s="35"/>
      <c r="G627" s="30"/>
      <c r="H627" s="30"/>
      <c r="L627" s="30"/>
      <c r="M627" s="30"/>
      <c r="O627" s="32"/>
      <c r="P627" s="32"/>
    </row>
    <row r="628">
      <c r="B628" s="35"/>
      <c r="G628" s="30"/>
      <c r="H628" s="30"/>
      <c r="L628" s="30"/>
      <c r="M628" s="30"/>
      <c r="O628" s="32"/>
      <c r="P628" s="32"/>
    </row>
    <row r="629">
      <c r="B629" s="35"/>
      <c r="G629" s="30"/>
      <c r="H629" s="30"/>
      <c r="L629" s="30"/>
      <c r="M629" s="30"/>
      <c r="O629" s="32"/>
      <c r="P629" s="32"/>
    </row>
    <row r="630">
      <c r="B630" s="35"/>
      <c r="G630" s="30"/>
      <c r="H630" s="30"/>
      <c r="L630" s="30"/>
      <c r="M630" s="30"/>
      <c r="O630" s="32"/>
      <c r="P630" s="32"/>
    </row>
    <row r="631">
      <c r="B631" s="35"/>
      <c r="G631" s="30"/>
      <c r="H631" s="30"/>
      <c r="L631" s="30"/>
      <c r="M631" s="30"/>
      <c r="O631" s="32"/>
      <c r="P631" s="32"/>
    </row>
    <row r="632">
      <c r="B632" s="35"/>
      <c r="G632" s="30"/>
      <c r="H632" s="30"/>
      <c r="L632" s="30"/>
      <c r="M632" s="30"/>
      <c r="O632" s="32"/>
      <c r="P632" s="32"/>
    </row>
    <row r="633">
      <c r="B633" s="35"/>
      <c r="G633" s="30"/>
      <c r="H633" s="30"/>
      <c r="L633" s="30"/>
      <c r="M633" s="30"/>
      <c r="O633" s="32"/>
      <c r="P633" s="32"/>
    </row>
    <row r="634">
      <c r="B634" s="35"/>
      <c r="G634" s="30"/>
      <c r="H634" s="30"/>
      <c r="L634" s="30"/>
      <c r="M634" s="30"/>
      <c r="O634" s="32"/>
      <c r="P634" s="32"/>
    </row>
    <row r="635">
      <c r="B635" s="35"/>
      <c r="G635" s="30"/>
      <c r="H635" s="30"/>
      <c r="L635" s="30"/>
      <c r="M635" s="30"/>
      <c r="O635" s="32"/>
      <c r="P635" s="32"/>
    </row>
    <row r="636">
      <c r="B636" s="35"/>
      <c r="G636" s="30"/>
      <c r="H636" s="30"/>
      <c r="L636" s="30"/>
      <c r="M636" s="30"/>
      <c r="O636" s="32"/>
      <c r="P636" s="32"/>
    </row>
    <row r="637">
      <c r="B637" s="35"/>
      <c r="G637" s="30"/>
      <c r="H637" s="30"/>
      <c r="L637" s="30"/>
      <c r="M637" s="30"/>
      <c r="O637" s="32"/>
      <c r="P637" s="32"/>
    </row>
    <row r="638">
      <c r="B638" s="35"/>
      <c r="G638" s="30"/>
      <c r="H638" s="30"/>
      <c r="L638" s="30"/>
      <c r="M638" s="30"/>
      <c r="O638" s="32"/>
      <c r="P638" s="32"/>
    </row>
    <row r="639">
      <c r="B639" s="35"/>
      <c r="G639" s="30"/>
      <c r="H639" s="30"/>
      <c r="L639" s="30"/>
      <c r="M639" s="30"/>
      <c r="O639" s="32"/>
      <c r="P639" s="32"/>
    </row>
    <row r="640">
      <c r="B640" s="35"/>
      <c r="G640" s="30"/>
      <c r="H640" s="30"/>
      <c r="L640" s="30"/>
      <c r="M640" s="30"/>
      <c r="O640" s="32"/>
      <c r="P640" s="32"/>
    </row>
    <row r="641">
      <c r="B641" s="35"/>
      <c r="G641" s="30"/>
      <c r="H641" s="30"/>
      <c r="L641" s="30"/>
      <c r="M641" s="30"/>
      <c r="O641" s="32"/>
      <c r="P641" s="32"/>
    </row>
    <row r="642">
      <c r="B642" s="35"/>
      <c r="G642" s="30"/>
      <c r="H642" s="30"/>
      <c r="L642" s="30"/>
      <c r="M642" s="30"/>
      <c r="O642" s="32"/>
      <c r="P642" s="32"/>
    </row>
    <row r="643">
      <c r="B643" s="35"/>
      <c r="G643" s="30"/>
      <c r="H643" s="30"/>
      <c r="L643" s="30"/>
      <c r="M643" s="30"/>
      <c r="O643" s="32"/>
      <c r="P643" s="32"/>
    </row>
    <row r="644">
      <c r="B644" s="35"/>
      <c r="G644" s="30"/>
      <c r="H644" s="30"/>
      <c r="L644" s="30"/>
      <c r="M644" s="30"/>
      <c r="O644" s="32"/>
      <c r="P644" s="32"/>
    </row>
    <row r="645">
      <c r="B645" s="35"/>
      <c r="G645" s="30"/>
      <c r="H645" s="30"/>
      <c r="L645" s="30"/>
      <c r="M645" s="30"/>
      <c r="O645" s="32"/>
      <c r="P645" s="32"/>
    </row>
    <row r="646">
      <c r="B646" s="35"/>
      <c r="G646" s="30"/>
      <c r="H646" s="30"/>
      <c r="L646" s="30"/>
      <c r="M646" s="30"/>
      <c r="O646" s="32"/>
      <c r="P646" s="32"/>
    </row>
    <row r="647">
      <c r="B647" s="35"/>
      <c r="G647" s="30"/>
      <c r="H647" s="30"/>
      <c r="L647" s="30"/>
      <c r="M647" s="30"/>
      <c r="O647" s="32"/>
      <c r="P647" s="32"/>
    </row>
    <row r="648">
      <c r="B648" s="35"/>
      <c r="G648" s="30"/>
      <c r="H648" s="30"/>
      <c r="L648" s="30"/>
      <c r="M648" s="30"/>
      <c r="O648" s="32"/>
      <c r="P648" s="32"/>
    </row>
    <row r="649">
      <c r="B649" s="35"/>
      <c r="G649" s="30"/>
      <c r="H649" s="30"/>
      <c r="L649" s="30"/>
      <c r="M649" s="30"/>
      <c r="O649" s="32"/>
      <c r="P649" s="32"/>
    </row>
    <row r="650">
      <c r="B650" s="35"/>
      <c r="G650" s="30"/>
      <c r="H650" s="30"/>
      <c r="L650" s="30"/>
      <c r="M650" s="30"/>
      <c r="O650" s="32"/>
      <c r="P650" s="32"/>
    </row>
    <row r="651">
      <c r="B651" s="35"/>
      <c r="G651" s="30"/>
      <c r="H651" s="30"/>
      <c r="L651" s="30"/>
      <c r="M651" s="30"/>
      <c r="O651" s="32"/>
      <c r="P651" s="32"/>
    </row>
    <row r="652">
      <c r="B652" s="35"/>
      <c r="G652" s="30"/>
      <c r="H652" s="30"/>
      <c r="L652" s="30"/>
      <c r="M652" s="30"/>
      <c r="O652" s="32"/>
      <c r="P652" s="32"/>
    </row>
    <row r="653">
      <c r="B653" s="35"/>
      <c r="G653" s="30"/>
      <c r="H653" s="30"/>
      <c r="L653" s="30"/>
      <c r="M653" s="30"/>
      <c r="O653" s="32"/>
      <c r="P653" s="32"/>
    </row>
    <row r="654">
      <c r="B654" s="35"/>
      <c r="G654" s="30"/>
      <c r="H654" s="30"/>
      <c r="L654" s="30"/>
      <c r="M654" s="30"/>
      <c r="O654" s="32"/>
      <c r="P654" s="32"/>
    </row>
    <row r="655">
      <c r="B655" s="35"/>
      <c r="G655" s="30"/>
      <c r="H655" s="30"/>
      <c r="L655" s="30"/>
      <c r="M655" s="30"/>
      <c r="O655" s="32"/>
      <c r="P655" s="32"/>
    </row>
    <row r="656">
      <c r="B656" s="35"/>
      <c r="G656" s="30"/>
      <c r="H656" s="30"/>
      <c r="L656" s="30"/>
      <c r="M656" s="30"/>
      <c r="O656" s="32"/>
      <c r="P656" s="32"/>
    </row>
    <row r="657">
      <c r="B657" s="35"/>
      <c r="G657" s="30"/>
      <c r="H657" s="30"/>
      <c r="L657" s="30"/>
      <c r="M657" s="30"/>
      <c r="O657" s="32"/>
      <c r="P657" s="32"/>
    </row>
    <row r="658">
      <c r="B658" s="35"/>
      <c r="G658" s="30"/>
      <c r="H658" s="30"/>
      <c r="L658" s="30"/>
      <c r="M658" s="30"/>
      <c r="O658" s="32"/>
      <c r="P658" s="32"/>
    </row>
    <row r="659">
      <c r="B659" s="35"/>
      <c r="G659" s="30"/>
      <c r="H659" s="30"/>
      <c r="L659" s="30"/>
      <c r="M659" s="30"/>
      <c r="O659" s="32"/>
      <c r="P659" s="32"/>
    </row>
    <row r="660">
      <c r="B660" s="35"/>
      <c r="G660" s="30"/>
      <c r="H660" s="30"/>
      <c r="L660" s="30"/>
      <c r="M660" s="30"/>
      <c r="O660" s="32"/>
      <c r="P660" s="32"/>
    </row>
    <row r="661">
      <c r="B661" s="35"/>
      <c r="G661" s="30"/>
      <c r="H661" s="30"/>
      <c r="L661" s="30"/>
      <c r="M661" s="30"/>
      <c r="O661" s="32"/>
      <c r="P661" s="32"/>
    </row>
    <row r="662">
      <c r="B662" s="35"/>
      <c r="G662" s="30"/>
      <c r="H662" s="30"/>
      <c r="L662" s="30"/>
      <c r="M662" s="30"/>
      <c r="O662" s="32"/>
      <c r="P662" s="32"/>
    </row>
    <row r="663">
      <c r="B663" s="35"/>
      <c r="G663" s="30"/>
      <c r="H663" s="30"/>
      <c r="L663" s="30"/>
      <c r="M663" s="30"/>
      <c r="O663" s="32"/>
      <c r="P663" s="32"/>
    </row>
    <row r="664">
      <c r="B664" s="35"/>
      <c r="G664" s="30"/>
      <c r="H664" s="30"/>
      <c r="L664" s="30"/>
      <c r="M664" s="30"/>
      <c r="O664" s="32"/>
      <c r="P664" s="32"/>
    </row>
    <row r="665">
      <c r="B665" s="35"/>
      <c r="G665" s="30"/>
      <c r="H665" s="30"/>
      <c r="L665" s="30"/>
      <c r="M665" s="30"/>
      <c r="O665" s="32"/>
      <c r="P665" s="32"/>
    </row>
    <row r="666">
      <c r="B666" s="35"/>
      <c r="G666" s="30"/>
      <c r="H666" s="30"/>
      <c r="L666" s="30"/>
      <c r="M666" s="30"/>
      <c r="O666" s="32"/>
      <c r="P666" s="32"/>
    </row>
    <row r="667">
      <c r="B667" s="35"/>
      <c r="G667" s="30"/>
      <c r="H667" s="30"/>
      <c r="L667" s="30"/>
      <c r="M667" s="30"/>
      <c r="O667" s="32"/>
      <c r="P667" s="32"/>
    </row>
    <row r="668">
      <c r="B668" s="35"/>
      <c r="G668" s="30"/>
      <c r="H668" s="30"/>
      <c r="L668" s="30"/>
      <c r="M668" s="30"/>
      <c r="O668" s="32"/>
      <c r="P668" s="32"/>
    </row>
    <row r="669">
      <c r="B669" s="35"/>
      <c r="G669" s="30"/>
      <c r="H669" s="30"/>
      <c r="L669" s="30"/>
      <c r="M669" s="30"/>
      <c r="O669" s="32"/>
      <c r="P669" s="32"/>
    </row>
    <row r="670">
      <c r="B670" s="35"/>
      <c r="G670" s="30"/>
      <c r="H670" s="30"/>
      <c r="L670" s="30"/>
      <c r="M670" s="30"/>
      <c r="O670" s="32"/>
      <c r="P670" s="32"/>
    </row>
    <row r="671">
      <c r="B671" s="35"/>
      <c r="G671" s="30"/>
      <c r="H671" s="30"/>
      <c r="L671" s="30"/>
      <c r="M671" s="30"/>
      <c r="O671" s="32"/>
      <c r="P671" s="32"/>
    </row>
    <row r="672">
      <c r="B672" s="35"/>
      <c r="G672" s="30"/>
      <c r="H672" s="30"/>
      <c r="L672" s="30"/>
      <c r="M672" s="30"/>
      <c r="O672" s="32"/>
      <c r="P672" s="32"/>
    </row>
    <row r="673">
      <c r="B673" s="35"/>
      <c r="G673" s="30"/>
      <c r="H673" s="30"/>
      <c r="L673" s="30"/>
      <c r="M673" s="30"/>
      <c r="O673" s="32"/>
      <c r="P673" s="32"/>
    </row>
    <row r="674">
      <c r="B674" s="35"/>
      <c r="G674" s="30"/>
      <c r="H674" s="30"/>
      <c r="L674" s="30"/>
      <c r="M674" s="30"/>
      <c r="O674" s="32"/>
      <c r="P674" s="32"/>
    </row>
    <row r="675">
      <c r="B675" s="35"/>
      <c r="G675" s="30"/>
      <c r="H675" s="30"/>
      <c r="L675" s="30"/>
      <c r="M675" s="30"/>
      <c r="O675" s="32"/>
      <c r="P675" s="32"/>
    </row>
    <row r="676">
      <c r="B676" s="35"/>
      <c r="G676" s="30"/>
      <c r="H676" s="30"/>
      <c r="L676" s="30"/>
      <c r="M676" s="30"/>
      <c r="O676" s="32"/>
      <c r="P676" s="32"/>
    </row>
    <row r="677">
      <c r="B677" s="35"/>
      <c r="G677" s="30"/>
      <c r="H677" s="30"/>
      <c r="L677" s="30"/>
      <c r="M677" s="30"/>
      <c r="O677" s="32"/>
      <c r="P677" s="32"/>
    </row>
    <row r="678">
      <c r="B678" s="35"/>
      <c r="G678" s="30"/>
      <c r="H678" s="30"/>
      <c r="L678" s="30"/>
      <c r="M678" s="30"/>
      <c r="O678" s="32"/>
      <c r="P678" s="32"/>
    </row>
    <row r="679">
      <c r="B679" s="35"/>
      <c r="G679" s="30"/>
      <c r="H679" s="30"/>
      <c r="L679" s="30"/>
      <c r="M679" s="30"/>
      <c r="O679" s="32"/>
      <c r="P679" s="32"/>
    </row>
    <row r="680">
      <c r="B680" s="35"/>
      <c r="G680" s="30"/>
      <c r="H680" s="30"/>
      <c r="L680" s="30"/>
      <c r="M680" s="30"/>
      <c r="O680" s="32"/>
      <c r="P680" s="32"/>
    </row>
    <row r="681">
      <c r="B681" s="35"/>
      <c r="G681" s="30"/>
      <c r="H681" s="30"/>
      <c r="L681" s="30"/>
      <c r="M681" s="30"/>
      <c r="O681" s="32"/>
      <c r="P681" s="32"/>
    </row>
    <row r="682">
      <c r="B682" s="35"/>
      <c r="G682" s="30"/>
      <c r="H682" s="30"/>
      <c r="L682" s="30"/>
      <c r="M682" s="30"/>
      <c r="O682" s="32"/>
      <c r="P682" s="32"/>
    </row>
    <row r="683">
      <c r="B683" s="35"/>
      <c r="G683" s="30"/>
      <c r="H683" s="30"/>
      <c r="L683" s="30"/>
      <c r="M683" s="30"/>
      <c r="O683" s="32"/>
      <c r="P683" s="32"/>
    </row>
    <row r="684">
      <c r="B684" s="35"/>
      <c r="G684" s="30"/>
      <c r="H684" s="30"/>
      <c r="L684" s="30"/>
      <c r="M684" s="30"/>
      <c r="O684" s="32"/>
      <c r="P684" s="32"/>
    </row>
    <row r="685">
      <c r="B685" s="35"/>
      <c r="G685" s="30"/>
      <c r="H685" s="30"/>
      <c r="L685" s="30"/>
      <c r="M685" s="30"/>
      <c r="O685" s="32"/>
      <c r="P685" s="32"/>
    </row>
    <row r="686">
      <c r="B686" s="35"/>
      <c r="G686" s="30"/>
      <c r="H686" s="30"/>
      <c r="L686" s="30"/>
      <c r="M686" s="30"/>
      <c r="O686" s="32"/>
      <c r="P686" s="32"/>
    </row>
    <row r="687">
      <c r="B687" s="35"/>
      <c r="G687" s="30"/>
      <c r="H687" s="30"/>
      <c r="L687" s="30"/>
      <c r="M687" s="30"/>
      <c r="O687" s="32"/>
      <c r="P687" s="32"/>
    </row>
    <row r="688">
      <c r="B688" s="35"/>
      <c r="G688" s="30"/>
      <c r="H688" s="30"/>
      <c r="L688" s="30"/>
      <c r="M688" s="30"/>
      <c r="O688" s="32"/>
      <c r="P688" s="32"/>
    </row>
    <row r="689">
      <c r="B689" s="35"/>
      <c r="G689" s="30"/>
      <c r="H689" s="30"/>
      <c r="L689" s="30"/>
      <c r="M689" s="30"/>
      <c r="O689" s="32"/>
      <c r="P689" s="32"/>
    </row>
    <row r="690">
      <c r="B690" s="35"/>
      <c r="G690" s="30"/>
      <c r="H690" s="30"/>
      <c r="L690" s="30"/>
      <c r="M690" s="30"/>
      <c r="O690" s="32"/>
      <c r="P690" s="32"/>
    </row>
    <row r="691">
      <c r="B691" s="35"/>
      <c r="G691" s="30"/>
      <c r="H691" s="30"/>
      <c r="L691" s="30"/>
      <c r="M691" s="30"/>
      <c r="O691" s="32"/>
      <c r="P691" s="32"/>
    </row>
    <row r="692">
      <c r="B692" s="35"/>
      <c r="G692" s="30"/>
      <c r="H692" s="30"/>
      <c r="L692" s="30"/>
      <c r="M692" s="30"/>
      <c r="O692" s="32"/>
      <c r="P692" s="32"/>
    </row>
    <row r="693">
      <c r="B693" s="35"/>
      <c r="G693" s="30"/>
      <c r="H693" s="30"/>
      <c r="L693" s="30"/>
      <c r="M693" s="30"/>
      <c r="O693" s="32"/>
      <c r="P693" s="32"/>
    </row>
    <row r="694">
      <c r="B694" s="35"/>
      <c r="G694" s="30"/>
      <c r="H694" s="30"/>
      <c r="L694" s="30"/>
      <c r="M694" s="30"/>
      <c r="O694" s="32"/>
      <c r="P694" s="32"/>
    </row>
    <row r="695">
      <c r="B695" s="35"/>
      <c r="G695" s="30"/>
      <c r="H695" s="30"/>
      <c r="L695" s="30"/>
      <c r="M695" s="30"/>
      <c r="O695" s="32"/>
      <c r="P695" s="32"/>
    </row>
    <row r="696">
      <c r="B696" s="35"/>
      <c r="G696" s="30"/>
      <c r="H696" s="30"/>
      <c r="L696" s="30"/>
      <c r="M696" s="30"/>
      <c r="O696" s="32"/>
      <c r="P696" s="32"/>
    </row>
    <row r="697">
      <c r="B697" s="35"/>
      <c r="G697" s="30"/>
      <c r="H697" s="30"/>
      <c r="L697" s="30"/>
      <c r="M697" s="30"/>
      <c r="O697" s="32"/>
      <c r="P697" s="32"/>
    </row>
    <row r="698">
      <c r="B698" s="35"/>
      <c r="G698" s="30"/>
      <c r="H698" s="30"/>
      <c r="L698" s="30"/>
      <c r="M698" s="30"/>
      <c r="O698" s="32"/>
      <c r="P698" s="32"/>
    </row>
    <row r="699">
      <c r="B699" s="35"/>
      <c r="G699" s="30"/>
      <c r="H699" s="30"/>
      <c r="L699" s="30"/>
      <c r="M699" s="30"/>
      <c r="O699" s="32"/>
      <c r="P699" s="32"/>
    </row>
    <row r="700">
      <c r="B700" s="35"/>
      <c r="G700" s="30"/>
      <c r="H700" s="30"/>
      <c r="L700" s="30"/>
      <c r="M700" s="30"/>
      <c r="O700" s="32"/>
      <c r="P700" s="32"/>
    </row>
    <row r="701">
      <c r="B701" s="35"/>
      <c r="G701" s="30"/>
      <c r="H701" s="30"/>
      <c r="L701" s="30"/>
      <c r="M701" s="30"/>
      <c r="O701" s="32"/>
      <c r="P701" s="32"/>
    </row>
    <row r="702">
      <c r="B702" s="35"/>
      <c r="G702" s="30"/>
      <c r="H702" s="30"/>
      <c r="L702" s="30"/>
      <c r="M702" s="30"/>
      <c r="O702" s="32"/>
      <c r="P702" s="32"/>
    </row>
    <row r="703">
      <c r="B703" s="35"/>
      <c r="G703" s="30"/>
      <c r="H703" s="30"/>
      <c r="L703" s="30"/>
      <c r="M703" s="30"/>
      <c r="O703" s="32"/>
      <c r="P703" s="32"/>
    </row>
    <row r="704">
      <c r="B704" s="35"/>
      <c r="G704" s="30"/>
      <c r="H704" s="30"/>
      <c r="L704" s="30"/>
      <c r="M704" s="30"/>
      <c r="O704" s="32"/>
      <c r="P704" s="32"/>
    </row>
    <row r="705">
      <c r="B705" s="35"/>
      <c r="G705" s="30"/>
      <c r="H705" s="30"/>
      <c r="L705" s="30"/>
      <c r="M705" s="30"/>
      <c r="O705" s="32"/>
      <c r="P705" s="32"/>
    </row>
    <row r="706">
      <c r="B706" s="35"/>
      <c r="G706" s="30"/>
      <c r="H706" s="30"/>
      <c r="L706" s="30"/>
      <c r="M706" s="30"/>
      <c r="O706" s="32"/>
      <c r="P706" s="32"/>
    </row>
    <row r="707">
      <c r="B707" s="35"/>
      <c r="G707" s="30"/>
      <c r="H707" s="30"/>
      <c r="L707" s="30"/>
      <c r="M707" s="30"/>
      <c r="O707" s="32"/>
      <c r="P707" s="32"/>
    </row>
    <row r="708">
      <c r="B708" s="35"/>
      <c r="G708" s="30"/>
      <c r="H708" s="30"/>
      <c r="L708" s="30"/>
      <c r="M708" s="30"/>
      <c r="O708" s="32"/>
      <c r="P708" s="32"/>
    </row>
    <row r="709">
      <c r="B709" s="35"/>
      <c r="G709" s="30"/>
      <c r="H709" s="30"/>
      <c r="L709" s="30"/>
      <c r="M709" s="30"/>
      <c r="O709" s="32"/>
      <c r="P709" s="32"/>
    </row>
    <row r="710">
      <c r="B710" s="35"/>
      <c r="G710" s="30"/>
      <c r="H710" s="30"/>
      <c r="L710" s="30"/>
      <c r="M710" s="30"/>
      <c r="O710" s="32"/>
      <c r="P710" s="32"/>
    </row>
    <row r="711">
      <c r="B711" s="35"/>
      <c r="G711" s="30"/>
      <c r="H711" s="30"/>
      <c r="L711" s="30"/>
      <c r="M711" s="30"/>
      <c r="O711" s="32"/>
      <c r="P711" s="32"/>
    </row>
    <row r="712">
      <c r="B712" s="35"/>
      <c r="G712" s="30"/>
      <c r="H712" s="30"/>
      <c r="L712" s="30"/>
      <c r="M712" s="30"/>
      <c r="O712" s="32"/>
      <c r="P712" s="32"/>
    </row>
    <row r="713">
      <c r="B713" s="35"/>
      <c r="G713" s="30"/>
      <c r="H713" s="30"/>
      <c r="L713" s="30"/>
      <c r="M713" s="30"/>
      <c r="O713" s="32"/>
      <c r="P713" s="32"/>
    </row>
    <row r="714">
      <c r="B714" s="35"/>
      <c r="G714" s="30"/>
      <c r="H714" s="30"/>
      <c r="L714" s="30"/>
      <c r="M714" s="30"/>
      <c r="O714" s="32"/>
      <c r="P714" s="32"/>
    </row>
    <row r="715">
      <c r="B715" s="35"/>
      <c r="G715" s="30"/>
      <c r="H715" s="30"/>
      <c r="L715" s="30"/>
      <c r="M715" s="30"/>
      <c r="O715" s="32"/>
      <c r="P715" s="32"/>
    </row>
    <row r="716">
      <c r="B716" s="35"/>
      <c r="G716" s="30"/>
      <c r="H716" s="30"/>
      <c r="L716" s="30"/>
      <c r="M716" s="30"/>
      <c r="O716" s="32"/>
      <c r="P716" s="32"/>
    </row>
    <row r="717">
      <c r="B717" s="35"/>
      <c r="G717" s="30"/>
      <c r="H717" s="30"/>
      <c r="L717" s="30"/>
      <c r="M717" s="30"/>
      <c r="O717" s="32"/>
      <c r="P717" s="32"/>
    </row>
    <row r="718">
      <c r="B718" s="35"/>
      <c r="G718" s="30"/>
      <c r="H718" s="30"/>
      <c r="L718" s="30"/>
      <c r="M718" s="30"/>
      <c r="O718" s="32"/>
      <c r="P718" s="32"/>
    </row>
    <row r="719">
      <c r="B719" s="35"/>
      <c r="G719" s="30"/>
      <c r="H719" s="30"/>
      <c r="L719" s="30"/>
      <c r="M719" s="30"/>
      <c r="O719" s="32"/>
      <c r="P719" s="32"/>
    </row>
    <row r="720">
      <c r="B720" s="35"/>
      <c r="G720" s="30"/>
      <c r="H720" s="30"/>
      <c r="L720" s="30"/>
      <c r="M720" s="30"/>
      <c r="O720" s="32"/>
      <c r="P720" s="32"/>
    </row>
    <row r="721">
      <c r="B721" s="35"/>
      <c r="G721" s="30"/>
      <c r="H721" s="30"/>
      <c r="L721" s="30"/>
      <c r="M721" s="30"/>
      <c r="O721" s="32"/>
      <c r="P721" s="32"/>
    </row>
    <row r="722">
      <c r="B722" s="35"/>
      <c r="G722" s="30"/>
      <c r="H722" s="30"/>
      <c r="L722" s="30"/>
      <c r="M722" s="30"/>
      <c r="O722" s="32"/>
      <c r="P722" s="32"/>
    </row>
    <row r="723">
      <c r="B723" s="35"/>
      <c r="G723" s="30"/>
      <c r="H723" s="30"/>
      <c r="L723" s="30"/>
      <c r="M723" s="30"/>
      <c r="O723" s="32"/>
      <c r="P723" s="32"/>
    </row>
    <row r="724">
      <c r="B724" s="35"/>
      <c r="G724" s="30"/>
      <c r="H724" s="30"/>
      <c r="L724" s="30"/>
      <c r="M724" s="30"/>
      <c r="O724" s="32"/>
      <c r="P724" s="32"/>
    </row>
    <row r="725">
      <c r="B725" s="35"/>
      <c r="G725" s="30"/>
      <c r="H725" s="30"/>
      <c r="L725" s="30"/>
      <c r="M725" s="30"/>
      <c r="O725" s="32"/>
      <c r="P725" s="32"/>
    </row>
    <row r="726">
      <c r="B726" s="35"/>
      <c r="G726" s="30"/>
      <c r="H726" s="30"/>
      <c r="L726" s="30"/>
      <c r="M726" s="30"/>
      <c r="O726" s="32"/>
      <c r="P726" s="32"/>
    </row>
    <row r="727">
      <c r="B727" s="35"/>
      <c r="G727" s="30"/>
      <c r="H727" s="30"/>
      <c r="L727" s="30"/>
      <c r="M727" s="30"/>
      <c r="O727" s="32"/>
      <c r="P727" s="32"/>
    </row>
    <row r="728">
      <c r="B728" s="35"/>
      <c r="G728" s="30"/>
      <c r="H728" s="30"/>
      <c r="L728" s="30"/>
      <c r="M728" s="30"/>
      <c r="O728" s="32"/>
      <c r="P728" s="32"/>
    </row>
    <row r="729">
      <c r="B729" s="35"/>
      <c r="G729" s="30"/>
      <c r="H729" s="30"/>
      <c r="L729" s="30"/>
      <c r="M729" s="30"/>
      <c r="O729" s="32"/>
      <c r="P729" s="32"/>
    </row>
    <row r="730">
      <c r="B730" s="35"/>
      <c r="G730" s="30"/>
      <c r="H730" s="30"/>
      <c r="L730" s="30"/>
      <c r="M730" s="30"/>
      <c r="O730" s="32"/>
      <c r="P730" s="32"/>
    </row>
    <row r="731">
      <c r="B731" s="35"/>
      <c r="G731" s="30"/>
      <c r="H731" s="30"/>
      <c r="L731" s="30"/>
      <c r="M731" s="30"/>
      <c r="O731" s="32"/>
      <c r="P731" s="32"/>
    </row>
    <row r="732">
      <c r="B732" s="35"/>
      <c r="G732" s="30"/>
      <c r="H732" s="30"/>
      <c r="L732" s="30"/>
      <c r="M732" s="30"/>
      <c r="O732" s="32"/>
      <c r="P732" s="32"/>
    </row>
    <row r="733">
      <c r="B733" s="35"/>
      <c r="G733" s="30"/>
      <c r="H733" s="30"/>
      <c r="L733" s="30"/>
      <c r="M733" s="30"/>
      <c r="O733" s="32"/>
      <c r="P733" s="32"/>
    </row>
    <row r="734">
      <c r="B734" s="35"/>
      <c r="G734" s="30"/>
      <c r="H734" s="30"/>
      <c r="L734" s="30"/>
      <c r="M734" s="30"/>
      <c r="O734" s="32"/>
      <c r="P734" s="32"/>
    </row>
    <row r="735">
      <c r="B735" s="35"/>
      <c r="G735" s="30"/>
      <c r="H735" s="30"/>
      <c r="L735" s="30"/>
      <c r="M735" s="30"/>
      <c r="O735" s="32"/>
      <c r="P735" s="32"/>
    </row>
    <row r="736">
      <c r="B736" s="35"/>
      <c r="G736" s="30"/>
      <c r="H736" s="30"/>
      <c r="L736" s="30"/>
      <c r="M736" s="30"/>
      <c r="O736" s="32"/>
      <c r="P736" s="32"/>
    </row>
    <row r="737">
      <c r="B737" s="35"/>
      <c r="G737" s="30"/>
      <c r="H737" s="30"/>
      <c r="L737" s="30"/>
      <c r="M737" s="30"/>
      <c r="O737" s="32"/>
      <c r="P737" s="32"/>
    </row>
    <row r="738">
      <c r="B738" s="35"/>
      <c r="G738" s="30"/>
      <c r="H738" s="30"/>
      <c r="L738" s="30"/>
      <c r="M738" s="30"/>
      <c r="O738" s="32"/>
      <c r="P738" s="32"/>
    </row>
    <row r="739">
      <c r="B739" s="35"/>
      <c r="G739" s="30"/>
      <c r="H739" s="30"/>
      <c r="L739" s="30"/>
      <c r="M739" s="30"/>
      <c r="O739" s="32"/>
      <c r="P739" s="32"/>
    </row>
    <row r="740">
      <c r="B740" s="35"/>
      <c r="G740" s="30"/>
      <c r="H740" s="30"/>
      <c r="L740" s="30"/>
      <c r="M740" s="30"/>
      <c r="O740" s="32"/>
      <c r="P740" s="32"/>
    </row>
    <row r="741">
      <c r="B741" s="35"/>
      <c r="G741" s="30"/>
      <c r="H741" s="30"/>
      <c r="L741" s="30"/>
      <c r="M741" s="30"/>
      <c r="O741" s="32"/>
      <c r="P741" s="32"/>
    </row>
    <row r="742">
      <c r="B742" s="35"/>
      <c r="G742" s="30"/>
      <c r="H742" s="30"/>
      <c r="L742" s="30"/>
      <c r="M742" s="30"/>
      <c r="O742" s="32"/>
      <c r="P742" s="32"/>
    </row>
    <row r="743">
      <c r="B743" s="35"/>
      <c r="G743" s="30"/>
      <c r="H743" s="30"/>
      <c r="L743" s="30"/>
      <c r="M743" s="30"/>
      <c r="O743" s="32"/>
      <c r="P743" s="32"/>
    </row>
    <row r="744">
      <c r="B744" s="35"/>
      <c r="G744" s="30"/>
      <c r="H744" s="30"/>
      <c r="L744" s="30"/>
      <c r="M744" s="30"/>
      <c r="O744" s="32"/>
      <c r="P744" s="32"/>
    </row>
    <row r="745">
      <c r="B745" s="35"/>
      <c r="G745" s="30"/>
      <c r="H745" s="30"/>
      <c r="L745" s="30"/>
      <c r="M745" s="30"/>
      <c r="O745" s="32"/>
      <c r="P745" s="32"/>
    </row>
    <row r="746">
      <c r="B746" s="35"/>
      <c r="G746" s="30"/>
      <c r="H746" s="30"/>
      <c r="L746" s="30"/>
      <c r="M746" s="30"/>
      <c r="O746" s="32"/>
      <c r="P746" s="32"/>
    </row>
    <row r="747">
      <c r="B747" s="35"/>
      <c r="G747" s="30"/>
      <c r="H747" s="30"/>
      <c r="L747" s="30"/>
      <c r="M747" s="30"/>
      <c r="O747" s="32"/>
      <c r="P747" s="32"/>
    </row>
    <row r="748">
      <c r="B748" s="35"/>
      <c r="G748" s="30"/>
      <c r="H748" s="30"/>
      <c r="L748" s="30"/>
      <c r="M748" s="30"/>
      <c r="O748" s="32"/>
      <c r="P748" s="32"/>
    </row>
    <row r="749">
      <c r="B749" s="35"/>
      <c r="G749" s="30"/>
      <c r="H749" s="30"/>
      <c r="L749" s="30"/>
      <c r="M749" s="30"/>
      <c r="O749" s="32"/>
      <c r="P749" s="32"/>
    </row>
    <row r="750">
      <c r="B750" s="35"/>
      <c r="G750" s="30"/>
      <c r="H750" s="30"/>
      <c r="L750" s="30"/>
      <c r="M750" s="30"/>
      <c r="O750" s="32"/>
      <c r="P750" s="32"/>
    </row>
    <row r="751">
      <c r="B751" s="35"/>
      <c r="G751" s="30"/>
      <c r="H751" s="30"/>
      <c r="L751" s="30"/>
      <c r="M751" s="30"/>
      <c r="O751" s="32"/>
      <c r="P751" s="32"/>
    </row>
    <row r="752">
      <c r="B752" s="35"/>
      <c r="G752" s="30"/>
      <c r="H752" s="30"/>
      <c r="L752" s="30"/>
      <c r="M752" s="30"/>
      <c r="O752" s="32"/>
      <c r="P752" s="32"/>
    </row>
    <row r="753">
      <c r="B753" s="35"/>
      <c r="G753" s="30"/>
      <c r="H753" s="30"/>
      <c r="L753" s="30"/>
      <c r="M753" s="30"/>
      <c r="O753" s="32"/>
      <c r="P753" s="32"/>
    </row>
    <row r="754">
      <c r="B754" s="35"/>
      <c r="G754" s="30"/>
      <c r="H754" s="30"/>
      <c r="L754" s="30"/>
      <c r="M754" s="30"/>
      <c r="O754" s="32"/>
      <c r="P754" s="32"/>
    </row>
    <row r="755">
      <c r="B755" s="35"/>
      <c r="G755" s="30"/>
      <c r="H755" s="30"/>
      <c r="L755" s="30"/>
      <c r="M755" s="30"/>
      <c r="O755" s="32"/>
      <c r="P755" s="32"/>
    </row>
    <row r="756">
      <c r="B756" s="35"/>
      <c r="G756" s="30"/>
      <c r="H756" s="30"/>
      <c r="L756" s="30"/>
      <c r="M756" s="30"/>
      <c r="O756" s="32"/>
      <c r="P756" s="32"/>
    </row>
    <row r="757">
      <c r="B757" s="35"/>
      <c r="G757" s="30"/>
      <c r="H757" s="30"/>
      <c r="L757" s="30"/>
      <c r="M757" s="30"/>
      <c r="O757" s="32"/>
      <c r="P757" s="32"/>
    </row>
    <row r="758">
      <c r="B758" s="35"/>
      <c r="G758" s="30"/>
      <c r="H758" s="30"/>
      <c r="L758" s="30"/>
      <c r="M758" s="30"/>
      <c r="O758" s="32"/>
      <c r="P758" s="32"/>
    </row>
    <row r="759">
      <c r="B759" s="35"/>
      <c r="G759" s="30"/>
      <c r="H759" s="30"/>
      <c r="L759" s="30"/>
      <c r="M759" s="30"/>
      <c r="O759" s="32"/>
      <c r="P759" s="32"/>
    </row>
    <row r="760">
      <c r="B760" s="35"/>
      <c r="G760" s="30"/>
      <c r="H760" s="30"/>
      <c r="L760" s="30"/>
      <c r="M760" s="30"/>
      <c r="O760" s="32"/>
      <c r="P760" s="32"/>
    </row>
    <row r="761">
      <c r="B761" s="35"/>
      <c r="G761" s="30"/>
      <c r="H761" s="30"/>
      <c r="L761" s="30"/>
      <c r="M761" s="30"/>
      <c r="O761" s="32"/>
      <c r="P761" s="32"/>
    </row>
    <row r="762">
      <c r="B762" s="35"/>
      <c r="G762" s="30"/>
      <c r="H762" s="30"/>
      <c r="L762" s="30"/>
      <c r="M762" s="30"/>
      <c r="O762" s="32"/>
      <c r="P762" s="32"/>
    </row>
    <row r="763">
      <c r="B763" s="35"/>
      <c r="G763" s="30"/>
      <c r="H763" s="30"/>
      <c r="L763" s="30"/>
      <c r="M763" s="30"/>
      <c r="O763" s="32"/>
      <c r="P763" s="32"/>
    </row>
    <row r="764">
      <c r="B764" s="35"/>
      <c r="G764" s="30"/>
      <c r="H764" s="30"/>
      <c r="L764" s="30"/>
      <c r="M764" s="30"/>
      <c r="O764" s="32"/>
      <c r="P764" s="32"/>
    </row>
    <row r="765">
      <c r="B765" s="35"/>
      <c r="G765" s="30"/>
      <c r="H765" s="30"/>
      <c r="L765" s="30"/>
      <c r="M765" s="30"/>
      <c r="O765" s="32"/>
      <c r="P765" s="32"/>
    </row>
    <row r="766">
      <c r="B766" s="35"/>
      <c r="G766" s="30"/>
      <c r="H766" s="30"/>
      <c r="L766" s="30"/>
      <c r="M766" s="30"/>
      <c r="O766" s="32"/>
      <c r="P766" s="32"/>
    </row>
    <row r="767">
      <c r="B767" s="35"/>
      <c r="G767" s="30"/>
      <c r="H767" s="30"/>
      <c r="L767" s="30"/>
      <c r="M767" s="30"/>
      <c r="O767" s="32"/>
      <c r="P767" s="32"/>
    </row>
    <row r="768">
      <c r="B768" s="35"/>
      <c r="G768" s="30"/>
      <c r="H768" s="30"/>
      <c r="L768" s="30"/>
      <c r="M768" s="30"/>
      <c r="O768" s="32"/>
      <c r="P768" s="32"/>
    </row>
    <row r="769">
      <c r="B769" s="35"/>
      <c r="G769" s="30"/>
      <c r="H769" s="30"/>
      <c r="L769" s="30"/>
      <c r="M769" s="30"/>
      <c r="O769" s="32"/>
      <c r="P769" s="32"/>
    </row>
    <row r="770">
      <c r="B770" s="35"/>
      <c r="G770" s="30"/>
      <c r="H770" s="30"/>
      <c r="L770" s="30"/>
      <c r="M770" s="30"/>
      <c r="O770" s="32"/>
      <c r="P770" s="32"/>
    </row>
    <row r="771">
      <c r="B771" s="35"/>
      <c r="G771" s="30"/>
      <c r="H771" s="30"/>
      <c r="L771" s="30"/>
      <c r="M771" s="30"/>
      <c r="O771" s="32"/>
      <c r="P771" s="32"/>
    </row>
    <row r="772">
      <c r="B772" s="35"/>
      <c r="G772" s="30"/>
      <c r="H772" s="30"/>
      <c r="L772" s="30"/>
      <c r="M772" s="30"/>
      <c r="O772" s="32"/>
      <c r="P772" s="32"/>
    </row>
    <row r="773">
      <c r="B773" s="35"/>
      <c r="G773" s="30"/>
      <c r="H773" s="30"/>
      <c r="L773" s="30"/>
      <c r="M773" s="30"/>
      <c r="O773" s="32"/>
      <c r="P773" s="32"/>
    </row>
    <row r="774">
      <c r="B774" s="35"/>
      <c r="G774" s="30"/>
      <c r="H774" s="30"/>
      <c r="L774" s="30"/>
      <c r="M774" s="30"/>
      <c r="O774" s="32"/>
      <c r="P774" s="32"/>
    </row>
    <row r="775">
      <c r="B775" s="35"/>
      <c r="G775" s="30"/>
      <c r="H775" s="30"/>
      <c r="L775" s="30"/>
      <c r="M775" s="30"/>
      <c r="O775" s="32"/>
      <c r="P775" s="32"/>
    </row>
    <row r="776">
      <c r="B776" s="35"/>
      <c r="G776" s="30"/>
      <c r="H776" s="30"/>
      <c r="L776" s="30"/>
      <c r="M776" s="30"/>
      <c r="O776" s="32"/>
      <c r="P776" s="32"/>
    </row>
    <row r="777">
      <c r="B777" s="35"/>
      <c r="G777" s="30"/>
      <c r="H777" s="30"/>
      <c r="L777" s="30"/>
      <c r="M777" s="30"/>
      <c r="O777" s="32"/>
      <c r="P777" s="32"/>
    </row>
    <row r="778">
      <c r="B778" s="35"/>
      <c r="G778" s="30"/>
      <c r="H778" s="30"/>
      <c r="L778" s="30"/>
      <c r="M778" s="30"/>
      <c r="O778" s="32"/>
      <c r="P778" s="32"/>
    </row>
    <row r="779">
      <c r="B779" s="35"/>
      <c r="G779" s="30"/>
      <c r="H779" s="30"/>
      <c r="L779" s="30"/>
      <c r="M779" s="30"/>
      <c r="O779" s="32"/>
      <c r="P779" s="32"/>
    </row>
    <row r="780">
      <c r="B780" s="35"/>
      <c r="G780" s="30"/>
      <c r="H780" s="30"/>
      <c r="L780" s="30"/>
      <c r="M780" s="30"/>
      <c r="O780" s="32"/>
      <c r="P780" s="32"/>
    </row>
    <row r="781">
      <c r="B781" s="35"/>
      <c r="G781" s="30"/>
      <c r="H781" s="30"/>
      <c r="L781" s="30"/>
      <c r="M781" s="30"/>
      <c r="O781" s="32"/>
      <c r="P781" s="32"/>
    </row>
    <row r="782">
      <c r="B782" s="35"/>
      <c r="G782" s="30"/>
      <c r="H782" s="30"/>
      <c r="L782" s="30"/>
      <c r="M782" s="30"/>
      <c r="O782" s="32"/>
      <c r="P782" s="32"/>
    </row>
    <row r="783">
      <c r="B783" s="35"/>
      <c r="G783" s="30"/>
      <c r="H783" s="30"/>
      <c r="L783" s="30"/>
      <c r="M783" s="30"/>
      <c r="O783" s="32"/>
      <c r="P783" s="32"/>
    </row>
    <row r="784">
      <c r="B784" s="35"/>
      <c r="G784" s="30"/>
      <c r="H784" s="30"/>
      <c r="L784" s="30"/>
      <c r="M784" s="30"/>
      <c r="O784" s="32"/>
      <c r="P784" s="32"/>
    </row>
    <row r="785">
      <c r="B785" s="35"/>
      <c r="G785" s="30"/>
      <c r="H785" s="30"/>
      <c r="L785" s="30"/>
      <c r="M785" s="30"/>
      <c r="O785" s="32"/>
      <c r="P785" s="32"/>
    </row>
    <row r="786">
      <c r="B786" s="35"/>
      <c r="G786" s="30"/>
      <c r="H786" s="30"/>
      <c r="L786" s="30"/>
      <c r="M786" s="30"/>
      <c r="O786" s="32"/>
      <c r="P786" s="32"/>
    </row>
    <row r="787">
      <c r="B787" s="35"/>
      <c r="G787" s="30"/>
      <c r="H787" s="30"/>
      <c r="L787" s="30"/>
      <c r="M787" s="30"/>
      <c r="O787" s="32"/>
      <c r="P787" s="32"/>
    </row>
    <row r="788">
      <c r="B788" s="35"/>
      <c r="G788" s="30"/>
      <c r="H788" s="30"/>
      <c r="L788" s="30"/>
      <c r="M788" s="30"/>
      <c r="O788" s="32"/>
      <c r="P788" s="32"/>
    </row>
    <row r="789">
      <c r="B789" s="35"/>
      <c r="G789" s="30"/>
      <c r="H789" s="30"/>
      <c r="L789" s="30"/>
      <c r="M789" s="30"/>
      <c r="O789" s="32"/>
      <c r="P789" s="32"/>
    </row>
    <row r="790">
      <c r="B790" s="35"/>
      <c r="G790" s="30"/>
      <c r="H790" s="30"/>
      <c r="L790" s="30"/>
      <c r="M790" s="30"/>
      <c r="O790" s="32"/>
      <c r="P790" s="32"/>
    </row>
    <row r="791">
      <c r="B791" s="35"/>
      <c r="G791" s="30"/>
      <c r="H791" s="30"/>
      <c r="L791" s="30"/>
      <c r="M791" s="30"/>
      <c r="O791" s="32"/>
      <c r="P791" s="32"/>
    </row>
    <row r="792">
      <c r="B792" s="35"/>
      <c r="G792" s="30"/>
      <c r="H792" s="30"/>
      <c r="L792" s="30"/>
      <c r="M792" s="30"/>
      <c r="O792" s="32"/>
      <c r="P792" s="32"/>
    </row>
    <row r="793">
      <c r="B793" s="35"/>
      <c r="G793" s="30"/>
      <c r="H793" s="30"/>
      <c r="L793" s="30"/>
      <c r="M793" s="30"/>
      <c r="O793" s="32"/>
      <c r="P793" s="32"/>
    </row>
    <row r="794">
      <c r="B794" s="35"/>
      <c r="G794" s="30"/>
      <c r="H794" s="30"/>
      <c r="L794" s="30"/>
      <c r="M794" s="30"/>
      <c r="O794" s="32"/>
      <c r="P794" s="32"/>
    </row>
    <row r="795">
      <c r="B795" s="35"/>
      <c r="G795" s="30"/>
      <c r="H795" s="30"/>
      <c r="L795" s="30"/>
      <c r="M795" s="30"/>
      <c r="O795" s="32"/>
      <c r="P795" s="32"/>
    </row>
    <row r="796">
      <c r="B796" s="35"/>
      <c r="G796" s="30"/>
      <c r="H796" s="30"/>
      <c r="L796" s="30"/>
      <c r="M796" s="30"/>
      <c r="O796" s="32"/>
      <c r="P796" s="32"/>
    </row>
    <row r="797">
      <c r="B797" s="35"/>
      <c r="G797" s="30"/>
      <c r="H797" s="30"/>
      <c r="L797" s="30"/>
      <c r="M797" s="30"/>
      <c r="O797" s="32"/>
      <c r="P797" s="32"/>
    </row>
    <row r="798">
      <c r="B798" s="35"/>
      <c r="G798" s="30"/>
      <c r="H798" s="30"/>
      <c r="L798" s="30"/>
      <c r="M798" s="30"/>
      <c r="O798" s="32"/>
      <c r="P798" s="32"/>
    </row>
    <row r="799">
      <c r="B799" s="35"/>
      <c r="G799" s="30"/>
      <c r="H799" s="30"/>
      <c r="L799" s="30"/>
      <c r="M799" s="30"/>
      <c r="O799" s="32"/>
      <c r="P799" s="32"/>
    </row>
    <row r="800">
      <c r="B800" s="35"/>
      <c r="G800" s="30"/>
      <c r="H800" s="30"/>
      <c r="L800" s="30"/>
      <c r="M800" s="30"/>
      <c r="O800" s="32"/>
      <c r="P800" s="32"/>
    </row>
    <row r="801">
      <c r="B801" s="35"/>
      <c r="G801" s="30"/>
      <c r="H801" s="30"/>
      <c r="L801" s="30"/>
      <c r="M801" s="30"/>
      <c r="O801" s="32"/>
      <c r="P801" s="32"/>
    </row>
    <row r="802">
      <c r="B802" s="35"/>
      <c r="G802" s="30"/>
      <c r="H802" s="30"/>
      <c r="L802" s="30"/>
      <c r="M802" s="30"/>
      <c r="O802" s="32"/>
      <c r="P802" s="32"/>
    </row>
    <row r="803">
      <c r="B803" s="35"/>
      <c r="G803" s="30"/>
      <c r="H803" s="30"/>
      <c r="L803" s="30"/>
      <c r="M803" s="30"/>
      <c r="O803" s="32"/>
      <c r="P803" s="32"/>
    </row>
    <row r="804">
      <c r="B804" s="35"/>
      <c r="G804" s="30"/>
      <c r="H804" s="30"/>
      <c r="L804" s="30"/>
      <c r="M804" s="30"/>
      <c r="O804" s="32"/>
      <c r="P804" s="32"/>
    </row>
    <row r="805">
      <c r="B805" s="35"/>
      <c r="G805" s="30"/>
      <c r="H805" s="30"/>
      <c r="L805" s="30"/>
      <c r="M805" s="30"/>
      <c r="O805" s="32"/>
      <c r="P805" s="32"/>
    </row>
    <row r="806">
      <c r="B806" s="35"/>
      <c r="G806" s="30"/>
      <c r="H806" s="30"/>
      <c r="L806" s="30"/>
      <c r="M806" s="30"/>
      <c r="O806" s="32"/>
      <c r="P806" s="32"/>
    </row>
    <row r="807">
      <c r="B807" s="35"/>
      <c r="G807" s="30"/>
      <c r="H807" s="30"/>
      <c r="L807" s="30"/>
      <c r="M807" s="30"/>
      <c r="O807" s="32"/>
      <c r="P807" s="32"/>
    </row>
    <row r="808">
      <c r="B808" s="35"/>
      <c r="G808" s="30"/>
      <c r="H808" s="30"/>
      <c r="L808" s="30"/>
      <c r="M808" s="30"/>
      <c r="O808" s="32"/>
      <c r="P808" s="32"/>
    </row>
    <row r="809">
      <c r="B809" s="35"/>
      <c r="G809" s="30"/>
      <c r="H809" s="30"/>
      <c r="L809" s="30"/>
      <c r="M809" s="30"/>
      <c r="O809" s="32"/>
      <c r="P809" s="32"/>
    </row>
    <row r="810">
      <c r="B810" s="35"/>
      <c r="G810" s="30"/>
      <c r="H810" s="30"/>
      <c r="L810" s="30"/>
      <c r="M810" s="30"/>
      <c r="O810" s="32"/>
      <c r="P810" s="32"/>
    </row>
    <row r="811">
      <c r="B811" s="35"/>
      <c r="G811" s="30"/>
      <c r="H811" s="30"/>
      <c r="L811" s="30"/>
      <c r="M811" s="30"/>
      <c r="O811" s="32"/>
      <c r="P811" s="32"/>
    </row>
    <row r="812">
      <c r="B812" s="35"/>
      <c r="G812" s="30"/>
      <c r="H812" s="30"/>
      <c r="L812" s="30"/>
      <c r="M812" s="30"/>
      <c r="O812" s="32"/>
      <c r="P812" s="32"/>
    </row>
    <row r="813">
      <c r="B813" s="35"/>
      <c r="G813" s="30"/>
      <c r="H813" s="30"/>
      <c r="L813" s="30"/>
      <c r="M813" s="30"/>
      <c r="O813" s="32"/>
      <c r="P813" s="32"/>
    </row>
    <row r="814">
      <c r="B814" s="35"/>
      <c r="G814" s="30"/>
      <c r="H814" s="30"/>
      <c r="L814" s="30"/>
      <c r="M814" s="30"/>
      <c r="O814" s="32"/>
      <c r="P814" s="32"/>
    </row>
    <row r="815">
      <c r="B815" s="35"/>
      <c r="G815" s="30"/>
      <c r="H815" s="30"/>
      <c r="L815" s="30"/>
      <c r="M815" s="30"/>
      <c r="O815" s="32"/>
      <c r="P815" s="32"/>
    </row>
    <row r="816">
      <c r="B816" s="35"/>
      <c r="G816" s="30"/>
      <c r="H816" s="30"/>
      <c r="L816" s="30"/>
      <c r="M816" s="30"/>
      <c r="O816" s="32"/>
      <c r="P816" s="32"/>
    </row>
    <row r="817">
      <c r="B817" s="35"/>
      <c r="G817" s="30"/>
      <c r="H817" s="30"/>
      <c r="L817" s="30"/>
      <c r="M817" s="30"/>
      <c r="O817" s="32"/>
      <c r="P817" s="32"/>
    </row>
    <row r="818">
      <c r="B818" s="35"/>
      <c r="G818" s="30"/>
      <c r="H818" s="30"/>
      <c r="L818" s="30"/>
      <c r="M818" s="30"/>
      <c r="O818" s="32"/>
      <c r="P818" s="32"/>
    </row>
    <row r="819">
      <c r="B819" s="35"/>
      <c r="G819" s="30"/>
      <c r="H819" s="30"/>
      <c r="L819" s="30"/>
      <c r="M819" s="30"/>
      <c r="O819" s="32"/>
      <c r="P819" s="32"/>
    </row>
    <row r="820">
      <c r="B820" s="35"/>
      <c r="G820" s="30"/>
      <c r="H820" s="30"/>
      <c r="L820" s="30"/>
      <c r="M820" s="30"/>
      <c r="O820" s="32"/>
      <c r="P820" s="32"/>
    </row>
    <row r="821">
      <c r="B821" s="35"/>
      <c r="G821" s="30"/>
      <c r="H821" s="30"/>
      <c r="L821" s="30"/>
      <c r="M821" s="30"/>
      <c r="O821" s="32"/>
      <c r="P821" s="32"/>
    </row>
    <row r="822">
      <c r="B822" s="35"/>
      <c r="G822" s="30"/>
      <c r="H822" s="30"/>
      <c r="L822" s="30"/>
      <c r="M822" s="30"/>
      <c r="O822" s="32"/>
      <c r="P822" s="32"/>
    </row>
    <row r="823">
      <c r="B823" s="35"/>
      <c r="G823" s="30"/>
      <c r="H823" s="30"/>
      <c r="L823" s="30"/>
      <c r="M823" s="30"/>
      <c r="O823" s="32"/>
      <c r="P823" s="32"/>
    </row>
    <row r="824">
      <c r="B824" s="35"/>
      <c r="G824" s="30"/>
      <c r="H824" s="30"/>
      <c r="L824" s="30"/>
      <c r="M824" s="30"/>
      <c r="O824" s="32"/>
      <c r="P824" s="32"/>
    </row>
    <row r="825">
      <c r="B825" s="35"/>
      <c r="G825" s="30"/>
      <c r="H825" s="30"/>
      <c r="L825" s="30"/>
      <c r="M825" s="30"/>
      <c r="O825" s="32"/>
      <c r="P825" s="32"/>
    </row>
    <row r="826">
      <c r="B826" s="35"/>
      <c r="G826" s="30"/>
      <c r="H826" s="30"/>
      <c r="L826" s="30"/>
      <c r="M826" s="30"/>
      <c r="O826" s="32"/>
      <c r="P826" s="32"/>
    </row>
    <row r="827">
      <c r="B827" s="35"/>
      <c r="G827" s="30"/>
      <c r="H827" s="30"/>
      <c r="L827" s="30"/>
      <c r="M827" s="30"/>
      <c r="O827" s="32"/>
      <c r="P827" s="32"/>
    </row>
    <row r="828">
      <c r="B828" s="35"/>
      <c r="G828" s="30"/>
      <c r="H828" s="30"/>
      <c r="L828" s="30"/>
      <c r="M828" s="30"/>
      <c r="O828" s="32"/>
      <c r="P828" s="32"/>
    </row>
    <row r="829">
      <c r="B829" s="35"/>
      <c r="G829" s="30"/>
      <c r="H829" s="30"/>
      <c r="L829" s="30"/>
      <c r="M829" s="30"/>
      <c r="O829" s="32"/>
      <c r="P829" s="32"/>
    </row>
    <row r="830">
      <c r="B830" s="35"/>
      <c r="G830" s="30"/>
      <c r="H830" s="30"/>
      <c r="L830" s="30"/>
      <c r="M830" s="30"/>
      <c r="O830" s="32"/>
      <c r="P830" s="32"/>
    </row>
    <row r="831">
      <c r="B831" s="35"/>
      <c r="G831" s="30"/>
      <c r="H831" s="30"/>
      <c r="L831" s="30"/>
      <c r="M831" s="30"/>
      <c r="O831" s="32"/>
      <c r="P831" s="32"/>
    </row>
    <row r="832">
      <c r="B832" s="35"/>
      <c r="G832" s="30"/>
      <c r="H832" s="30"/>
      <c r="L832" s="30"/>
      <c r="M832" s="30"/>
      <c r="O832" s="32"/>
      <c r="P832" s="32"/>
    </row>
    <row r="833">
      <c r="B833" s="35"/>
      <c r="G833" s="30"/>
      <c r="H833" s="30"/>
      <c r="L833" s="30"/>
      <c r="M833" s="30"/>
      <c r="O833" s="32"/>
      <c r="P833" s="32"/>
    </row>
    <row r="834">
      <c r="B834" s="35"/>
      <c r="G834" s="30"/>
      <c r="H834" s="30"/>
      <c r="L834" s="30"/>
      <c r="M834" s="30"/>
      <c r="O834" s="32"/>
      <c r="P834" s="32"/>
    </row>
    <row r="835">
      <c r="B835" s="35"/>
      <c r="G835" s="30"/>
      <c r="H835" s="30"/>
      <c r="L835" s="30"/>
      <c r="M835" s="30"/>
      <c r="O835" s="32"/>
      <c r="P835" s="32"/>
    </row>
    <row r="836">
      <c r="B836" s="35"/>
      <c r="G836" s="30"/>
      <c r="H836" s="30"/>
      <c r="L836" s="30"/>
      <c r="M836" s="30"/>
      <c r="O836" s="32"/>
      <c r="P836" s="32"/>
    </row>
    <row r="837">
      <c r="B837" s="35"/>
      <c r="G837" s="30"/>
      <c r="H837" s="30"/>
      <c r="L837" s="30"/>
      <c r="M837" s="30"/>
      <c r="O837" s="32"/>
      <c r="P837" s="32"/>
    </row>
    <row r="838">
      <c r="B838" s="35"/>
      <c r="G838" s="30"/>
      <c r="H838" s="30"/>
      <c r="L838" s="30"/>
      <c r="M838" s="30"/>
      <c r="O838" s="32"/>
      <c r="P838" s="32"/>
    </row>
    <row r="839">
      <c r="B839" s="35"/>
      <c r="G839" s="30"/>
      <c r="H839" s="30"/>
      <c r="L839" s="30"/>
      <c r="M839" s="30"/>
      <c r="O839" s="32"/>
      <c r="P839" s="32"/>
    </row>
    <row r="840">
      <c r="B840" s="35"/>
      <c r="G840" s="30"/>
      <c r="H840" s="30"/>
      <c r="L840" s="30"/>
      <c r="M840" s="30"/>
      <c r="O840" s="32"/>
      <c r="P840" s="32"/>
    </row>
    <row r="841">
      <c r="B841" s="35"/>
      <c r="G841" s="30"/>
      <c r="H841" s="30"/>
      <c r="L841" s="30"/>
      <c r="M841" s="30"/>
      <c r="O841" s="32"/>
      <c r="P841" s="32"/>
    </row>
    <row r="842">
      <c r="B842" s="35"/>
      <c r="G842" s="30"/>
      <c r="H842" s="30"/>
      <c r="L842" s="30"/>
      <c r="M842" s="30"/>
      <c r="O842" s="32"/>
      <c r="P842" s="32"/>
    </row>
    <row r="843">
      <c r="B843" s="35"/>
      <c r="G843" s="30"/>
      <c r="H843" s="30"/>
      <c r="L843" s="30"/>
      <c r="M843" s="30"/>
      <c r="O843" s="32"/>
      <c r="P843" s="32"/>
    </row>
    <row r="844">
      <c r="B844" s="35"/>
      <c r="G844" s="30"/>
      <c r="H844" s="30"/>
      <c r="L844" s="30"/>
      <c r="M844" s="30"/>
      <c r="O844" s="32"/>
      <c r="P844" s="32"/>
    </row>
    <row r="845">
      <c r="B845" s="35"/>
      <c r="G845" s="30"/>
      <c r="H845" s="30"/>
      <c r="L845" s="30"/>
      <c r="M845" s="30"/>
      <c r="O845" s="32"/>
      <c r="P845" s="32"/>
    </row>
    <row r="846">
      <c r="B846" s="35"/>
      <c r="G846" s="30"/>
      <c r="H846" s="30"/>
      <c r="L846" s="30"/>
      <c r="M846" s="30"/>
      <c r="O846" s="32"/>
      <c r="P846" s="32"/>
    </row>
    <row r="847">
      <c r="B847" s="35"/>
      <c r="G847" s="30"/>
      <c r="H847" s="30"/>
      <c r="L847" s="30"/>
      <c r="M847" s="30"/>
      <c r="O847" s="32"/>
      <c r="P847" s="32"/>
    </row>
    <row r="848">
      <c r="B848" s="35"/>
      <c r="G848" s="30"/>
      <c r="H848" s="30"/>
      <c r="L848" s="30"/>
      <c r="M848" s="30"/>
      <c r="O848" s="32"/>
      <c r="P848" s="32"/>
    </row>
    <row r="849">
      <c r="B849" s="35"/>
      <c r="G849" s="30"/>
      <c r="H849" s="30"/>
      <c r="L849" s="30"/>
      <c r="M849" s="30"/>
      <c r="O849" s="32"/>
      <c r="P849" s="32"/>
    </row>
    <row r="850">
      <c r="B850" s="35"/>
      <c r="G850" s="30"/>
      <c r="H850" s="30"/>
      <c r="L850" s="30"/>
      <c r="M850" s="30"/>
      <c r="O850" s="32"/>
      <c r="P850" s="32"/>
    </row>
    <row r="851">
      <c r="B851" s="35"/>
      <c r="G851" s="30"/>
      <c r="H851" s="30"/>
      <c r="L851" s="30"/>
      <c r="M851" s="30"/>
      <c r="O851" s="32"/>
      <c r="P851" s="32"/>
    </row>
    <row r="852">
      <c r="B852" s="35"/>
      <c r="G852" s="30"/>
      <c r="H852" s="30"/>
      <c r="L852" s="30"/>
      <c r="M852" s="30"/>
      <c r="O852" s="32"/>
      <c r="P852" s="32"/>
    </row>
    <row r="853">
      <c r="B853" s="35"/>
      <c r="G853" s="30"/>
      <c r="H853" s="30"/>
      <c r="L853" s="30"/>
      <c r="M853" s="30"/>
      <c r="O853" s="32"/>
      <c r="P853" s="32"/>
    </row>
    <row r="854">
      <c r="B854" s="35"/>
      <c r="G854" s="30"/>
      <c r="H854" s="30"/>
      <c r="L854" s="30"/>
      <c r="M854" s="30"/>
      <c r="O854" s="32"/>
      <c r="P854" s="32"/>
    </row>
    <row r="855">
      <c r="B855" s="35"/>
      <c r="G855" s="30"/>
      <c r="H855" s="30"/>
      <c r="L855" s="30"/>
      <c r="M855" s="30"/>
      <c r="O855" s="32"/>
      <c r="P855" s="32"/>
    </row>
    <row r="856">
      <c r="B856" s="35"/>
      <c r="G856" s="30"/>
      <c r="H856" s="30"/>
      <c r="L856" s="30"/>
      <c r="M856" s="30"/>
      <c r="O856" s="32"/>
      <c r="P856" s="32"/>
    </row>
    <row r="857">
      <c r="B857" s="35"/>
      <c r="G857" s="30"/>
      <c r="H857" s="30"/>
      <c r="L857" s="30"/>
      <c r="M857" s="30"/>
      <c r="O857" s="32"/>
      <c r="P857" s="32"/>
    </row>
    <row r="858">
      <c r="B858" s="35"/>
      <c r="G858" s="30"/>
      <c r="H858" s="30"/>
      <c r="L858" s="30"/>
      <c r="M858" s="30"/>
      <c r="O858" s="32"/>
      <c r="P858" s="32"/>
    </row>
    <row r="859">
      <c r="B859" s="35"/>
      <c r="G859" s="30"/>
      <c r="H859" s="30"/>
      <c r="L859" s="30"/>
      <c r="M859" s="30"/>
      <c r="O859" s="32"/>
      <c r="P859" s="32"/>
    </row>
    <row r="860">
      <c r="B860" s="35"/>
      <c r="G860" s="30"/>
      <c r="H860" s="30"/>
      <c r="L860" s="30"/>
      <c r="M860" s="30"/>
      <c r="O860" s="32"/>
      <c r="P860" s="32"/>
    </row>
    <row r="861">
      <c r="B861" s="35"/>
      <c r="G861" s="30"/>
      <c r="H861" s="30"/>
      <c r="L861" s="30"/>
      <c r="M861" s="30"/>
      <c r="O861" s="32"/>
      <c r="P861" s="32"/>
    </row>
    <row r="862">
      <c r="B862" s="35"/>
      <c r="G862" s="30"/>
      <c r="H862" s="30"/>
      <c r="L862" s="30"/>
      <c r="M862" s="30"/>
      <c r="O862" s="32"/>
      <c r="P862" s="32"/>
    </row>
    <row r="863">
      <c r="B863" s="35"/>
      <c r="G863" s="30"/>
      <c r="H863" s="30"/>
      <c r="L863" s="30"/>
      <c r="M863" s="30"/>
      <c r="O863" s="32"/>
      <c r="P863" s="32"/>
    </row>
    <row r="864">
      <c r="B864" s="35"/>
      <c r="G864" s="30"/>
      <c r="H864" s="30"/>
      <c r="L864" s="30"/>
      <c r="M864" s="30"/>
      <c r="O864" s="32"/>
      <c r="P864" s="32"/>
    </row>
    <row r="865">
      <c r="B865" s="35"/>
      <c r="G865" s="30"/>
      <c r="H865" s="30"/>
      <c r="L865" s="30"/>
      <c r="M865" s="30"/>
      <c r="O865" s="32"/>
      <c r="P865" s="32"/>
    </row>
    <row r="866">
      <c r="B866" s="35"/>
      <c r="G866" s="30"/>
      <c r="H866" s="30"/>
      <c r="L866" s="30"/>
      <c r="M866" s="30"/>
      <c r="O866" s="32"/>
      <c r="P866" s="32"/>
    </row>
    <row r="867">
      <c r="B867" s="35"/>
      <c r="G867" s="30"/>
      <c r="H867" s="30"/>
      <c r="L867" s="30"/>
      <c r="M867" s="30"/>
      <c r="O867" s="32"/>
      <c r="P867" s="32"/>
    </row>
    <row r="868">
      <c r="B868" s="35"/>
      <c r="G868" s="30"/>
      <c r="H868" s="30"/>
      <c r="L868" s="30"/>
      <c r="M868" s="30"/>
      <c r="O868" s="32"/>
      <c r="P868" s="32"/>
    </row>
    <row r="869">
      <c r="B869" s="35"/>
      <c r="G869" s="30"/>
      <c r="H869" s="30"/>
      <c r="L869" s="30"/>
      <c r="M869" s="30"/>
      <c r="O869" s="32"/>
      <c r="P869" s="32"/>
    </row>
    <row r="870">
      <c r="B870" s="35"/>
      <c r="G870" s="30"/>
      <c r="H870" s="30"/>
      <c r="L870" s="30"/>
      <c r="M870" s="30"/>
      <c r="O870" s="32"/>
      <c r="P870" s="32"/>
    </row>
    <row r="871">
      <c r="B871" s="35"/>
      <c r="G871" s="30"/>
      <c r="H871" s="30"/>
      <c r="L871" s="30"/>
      <c r="M871" s="30"/>
      <c r="O871" s="32"/>
      <c r="P871" s="32"/>
    </row>
    <row r="872">
      <c r="B872" s="35"/>
      <c r="G872" s="30"/>
      <c r="H872" s="30"/>
      <c r="L872" s="30"/>
      <c r="M872" s="30"/>
      <c r="O872" s="32"/>
      <c r="P872" s="32"/>
    </row>
    <row r="873">
      <c r="B873" s="35"/>
      <c r="G873" s="30"/>
      <c r="H873" s="30"/>
      <c r="L873" s="30"/>
      <c r="M873" s="30"/>
      <c r="O873" s="32"/>
      <c r="P873" s="32"/>
    </row>
    <row r="874">
      <c r="B874" s="35"/>
      <c r="G874" s="30"/>
      <c r="H874" s="30"/>
      <c r="L874" s="30"/>
      <c r="M874" s="30"/>
      <c r="O874" s="32"/>
      <c r="P874" s="32"/>
    </row>
    <row r="875">
      <c r="B875" s="35"/>
      <c r="G875" s="30"/>
      <c r="H875" s="30"/>
      <c r="L875" s="30"/>
      <c r="M875" s="30"/>
      <c r="O875" s="32"/>
      <c r="P875" s="32"/>
    </row>
    <row r="876">
      <c r="B876" s="35"/>
      <c r="G876" s="30"/>
      <c r="H876" s="30"/>
      <c r="L876" s="30"/>
      <c r="M876" s="30"/>
      <c r="O876" s="32"/>
      <c r="P876" s="32"/>
    </row>
    <row r="877">
      <c r="B877" s="35"/>
      <c r="G877" s="30"/>
      <c r="H877" s="30"/>
      <c r="L877" s="30"/>
      <c r="M877" s="30"/>
      <c r="O877" s="32"/>
      <c r="P877" s="32"/>
    </row>
    <row r="878">
      <c r="B878" s="35"/>
      <c r="G878" s="30"/>
      <c r="H878" s="30"/>
      <c r="L878" s="30"/>
      <c r="M878" s="30"/>
      <c r="O878" s="32"/>
      <c r="P878" s="32"/>
    </row>
    <row r="879">
      <c r="B879" s="35"/>
      <c r="G879" s="30"/>
      <c r="H879" s="30"/>
      <c r="L879" s="30"/>
      <c r="M879" s="30"/>
      <c r="O879" s="32"/>
      <c r="P879" s="32"/>
    </row>
    <row r="880">
      <c r="B880" s="35"/>
      <c r="G880" s="30"/>
      <c r="H880" s="30"/>
      <c r="L880" s="30"/>
      <c r="M880" s="30"/>
      <c r="O880" s="32"/>
      <c r="P880" s="32"/>
    </row>
    <row r="881">
      <c r="B881" s="35"/>
      <c r="G881" s="30"/>
      <c r="H881" s="30"/>
      <c r="L881" s="30"/>
      <c r="M881" s="30"/>
      <c r="O881" s="32"/>
      <c r="P881" s="32"/>
    </row>
    <row r="882">
      <c r="B882" s="35"/>
      <c r="G882" s="30"/>
      <c r="H882" s="30"/>
      <c r="L882" s="30"/>
      <c r="M882" s="30"/>
      <c r="O882" s="32"/>
      <c r="P882" s="32"/>
    </row>
    <row r="883">
      <c r="B883" s="35"/>
      <c r="G883" s="30"/>
      <c r="H883" s="30"/>
      <c r="L883" s="30"/>
      <c r="M883" s="30"/>
      <c r="O883" s="32"/>
      <c r="P883" s="32"/>
    </row>
    <row r="884">
      <c r="B884" s="35"/>
      <c r="G884" s="30"/>
      <c r="H884" s="30"/>
      <c r="L884" s="30"/>
      <c r="M884" s="30"/>
      <c r="O884" s="32"/>
      <c r="P884" s="32"/>
    </row>
    <row r="885">
      <c r="B885" s="35"/>
      <c r="G885" s="30"/>
      <c r="H885" s="30"/>
      <c r="L885" s="30"/>
      <c r="M885" s="30"/>
      <c r="O885" s="32"/>
      <c r="P885" s="32"/>
    </row>
    <row r="886">
      <c r="B886" s="35"/>
      <c r="G886" s="30"/>
      <c r="H886" s="30"/>
      <c r="L886" s="30"/>
      <c r="M886" s="30"/>
      <c r="O886" s="32"/>
      <c r="P886" s="32"/>
    </row>
    <row r="887">
      <c r="B887" s="35"/>
      <c r="G887" s="30"/>
      <c r="H887" s="30"/>
      <c r="L887" s="30"/>
      <c r="M887" s="30"/>
      <c r="O887" s="32"/>
      <c r="P887" s="32"/>
    </row>
    <row r="888">
      <c r="B888" s="35"/>
      <c r="G888" s="30"/>
      <c r="H888" s="30"/>
      <c r="L888" s="30"/>
      <c r="M888" s="30"/>
      <c r="O888" s="32"/>
      <c r="P888" s="32"/>
    </row>
    <row r="889">
      <c r="B889" s="35"/>
      <c r="G889" s="30"/>
      <c r="H889" s="30"/>
      <c r="L889" s="30"/>
      <c r="M889" s="30"/>
      <c r="O889" s="32"/>
      <c r="P889" s="32"/>
    </row>
    <row r="890">
      <c r="B890" s="35"/>
      <c r="G890" s="30"/>
      <c r="H890" s="30"/>
      <c r="L890" s="30"/>
      <c r="M890" s="30"/>
      <c r="O890" s="32"/>
      <c r="P890" s="32"/>
    </row>
    <row r="891">
      <c r="B891" s="35"/>
      <c r="G891" s="30"/>
      <c r="H891" s="30"/>
      <c r="L891" s="30"/>
      <c r="M891" s="30"/>
      <c r="O891" s="32"/>
      <c r="P891" s="32"/>
    </row>
    <row r="892">
      <c r="B892" s="35"/>
      <c r="G892" s="30"/>
      <c r="H892" s="30"/>
      <c r="L892" s="30"/>
      <c r="M892" s="30"/>
      <c r="O892" s="32"/>
      <c r="P892" s="32"/>
    </row>
    <row r="893">
      <c r="B893" s="35"/>
      <c r="G893" s="30"/>
      <c r="H893" s="30"/>
      <c r="L893" s="30"/>
      <c r="M893" s="30"/>
      <c r="O893" s="32"/>
      <c r="P893" s="32"/>
    </row>
    <row r="894">
      <c r="B894" s="35"/>
      <c r="G894" s="30"/>
      <c r="H894" s="30"/>
      <c r="L894" s="30"/>
      <c r="M894" s="30"/>
      <c r="O894" s="32"/>
      <c r="P894" s="32"/>
    </row>
    <row r="895">
      <c r="B895" s="35"/>
      <c r="G895" s="30"/>
      <c r="H895" s="30"/>
      <c r="L895" s="30"/>
      <c r="M895" s="30"/>
      <c r="O895" s="32"/>
      <c r="P895" s="32"/>
    </row>
    <row r="896">
      <c r="B896" s="35"/>
      <c r="G896" s="30"/>
      <c r="H896" s="30"/>
      <c r="L896" s="30"/>
      <c r="M896" s="30"/>
      <c r="O896" s="32"/>
      <c r="P896" s="32"/>
    </row>
    <row r="897">
      <c r="B897" s="35"/>
      <c r="G897" s="30"/>
      <c r="H897" s="30"/>
      <c r="L897" s="30"/>
      <c r="M897" s="30"/>
      <c r="O897" s="32"/>
      <c r="P897" s="32"/>
    </row>
    <row r="898">
      <c r="B898" s="35"/>
      <c r="G898" s="30"/>
      <c r="H898" s="30"/>
      <c r="L898" s="30"/>
      <c r="M898" s="30"/>
      <c r="O898" s="32"/>
      <c r="P898" s="32"/>
    </row>
    <row r="899">
      <c r="B899" s="35"/>
      <c r="G899" s="30"/>
      <c r="H899" s="30"/>
      <c r="L899" s="30"/>
      <c r="M899" s="30"/>
      <c r="O899" s="32"/>
      <c r="P899" s="32"/>
    </row>
    <row r="900">
      <c r="B900" s="35"/>
      <c r="G900" s="30"/>
      <c r="H900" s="30"/>
      <c r="L900" s="30"/>
      <c r="M900" s="30"/>
      <c r="O900" s="32"/>
      <c r="P900" s="32"/>
    </row>
    <row r="901">
      <c r="B901" s="35"/>
      <c r="G901" s="30"/>
      <c r="H901" s="30"/>
      <c r="L901" s="30"/>
      <c r="M901" s="30"/>
      <c r="O901" s="32"/>
      <c r="P901" s="32"/>
    </row>
    <row r="902">
      <c r="B902" s="35"/>
      <c r="G902" s="30"/>
      <c r="H902" s="30"/>
      <c r="L902" s="30"/>
      <c r="M902" s="30"/>
      <c r="O902" s="32"/>
      <c r="P902" s="32"/>
    </row>
    <row r="903">
      <c r="B903" s="35"/>
      <c r="G903" s="30"/>
      <c r="H903" s="30"/>
      <c r="L903" s="30"/>
      <c r="M903" s="30"/>
      <c r="O903" s="32"/>
      <c r="P903" s="32"/>
    </row>
    <row r="904">
      <c r="B904" s="35"/>
      <c r="G904" s="30"/>
      <c r="H904" s="30"/>
      <c r="L904" s="30"/>
      <c r="M904" s="30"/>
      <c r="O904" s="32"/>
      <c r="P904" s="32"/>
    </row>
    <row r="905">
      <c r="B905" s="35"/>
      <c r="G905" s="30"/>
      <c r="H905" s="30"/>
      <c r="L905" s="30"/>
      <c r="M905" s="30"/>
      <c r="O905" s="32"/>
      <c r="P905" s="32"/>
    </row>
    <row r="906">
      <c r="B906" s="35"/>
      <c r="G906" s="30"/>
      <c r="H906" s="30"/>
      <c r="L906" s="30"/>
      <c r="M906" s="30"/>
      <c r="O906" s="32"/>
      <c r="P906" s="32"/>
    </row>
    <row r="907">
      <c r="B907" s="35"/>
      <c r="G907" s="30"/>
      <c r="H907" s="30"/>
      <c r="L907" s="30"/>
      <c r="M907" s="30"/>
      <c r="O907" s="32"/>
      <c r="P907" s="32"/>
    </row>
    <row r="908">
      <c r="B908" s="35"/>
      <c r="G908" s="30"/>
      <c r="H908" s="30"/>
      <c r="L908" s="30"/>
      <c r="M908" s="30"/>
      <c r="O908" s="32"/>
      <c r="P908" s="32"/>
    </row>
    <row r="909">
      <c r="B909" s="35"/>
      <c r="G909" s="30"/>
      <c r="H909" s="30"/>
      <c r="L909" s="30"/>
      <c r="M909" s="30"/>
      <c r="O909" s="32"/>
      <c r="P909" s="32"/>
    </row>
    <row r="910">
      <c r="B910" s="35"/>
      <c r="G910" s="30"/>
      <c r="H910" s="30"/>
      <c r="L910" s="30"/>
      <c r="M910" s="30"/>
      <c r="O910" s="32"/>
      <c r="P910" s="32"/>
    </row>
    <row r="911">
      <c r="B911" s="35"/>
      <c r="G911" s="30"/>
      <c r="H911" s="30"/>
      <c r="L911" s="30"/>
      <c r="M911" s="30"/>
      <c r="O911" s="32"/>
      <c r="P911" s="32"/>
    </row>
    <row r="912">
      <c r="B912" s="35"/>
      <c r="G912" s="30"/>
      <c r="H912" s="30"/>
      <c r="L912" s="30"/>
      <c r="M912" s="30"/>
      <c r="O912" s="32"/>
      <c r="P912" s="32"/>
    </row>
    <row r="913">
      <c r="B913" s="35"/>
      <c r="G913" s="30"/>
      <c r="H913" s="30"/>
      <c r="L913" s="30"/>
      <c r="M913" s="30"/>
      <c r="O913" s="32"/>
      <c r="P913" s="32"/>
    </row>
    <row r="914">
      <c r="B914" s="35"/>
      <c r="G914" s="30"/>
      <c r="H914" s="30"/>
      <c r="L914" s="30"/>
      <c r="M914" s="30"/>
      <c r="O914" s="32"/>
      <c r="P914" s="32"/>
    </row>
    <row r="915">
      <c r="B915" s="35"/>
      <c r="G915" s="30"/>
      <c r="H915" s="30"/>
      <c r="L915" s="30"/>
      <c r="M915" s="30"/>
      <c r="O915" s="32"/>
      <c r="P915" s="32"/>
    </row>
    <row r="916">
      <c r="B916" s="35"/>
      <c r="G916" s="30"/>
      <c r="H916" s="30"/>
      <c r="L916" s="30"/>
      <c r="M916" s="30"/>
      <c r="O916" s="32"/>
      <c r="P916" s="32"/>
    </row>
    <row r="917">
      <c r="B917" s="35"/>
      <c r="G917" s="30"/>
      <c r="H917" s="30"/>
      <c r="L917" s="30"/>
      <c r="M917" s="30"/>
      <c r="O917" s="32"/>
      <c r="P917" s="32"/>
    </row>
    <row r="918">
      <c r="B918" s="35"/>
      <c r="G918" s="30"/>
      <c r="H918" s="30"/>
      <c r="L918" s="30"/>
      <c r="M918" s="30"/>
      <c r="O918" s="32"/>
      <c r="P918" s="32"/>
    </row>
    <row r="919">
      <c r="B919" s="35"/>
      <c r="G919" s="30"/>
      <c r="H919" s="30"/>
      <c r="L919" s="30"/>
      <c r="M919" s="30"/>
      <c r="O919" s="32"/>
      <c r="P919" s="32"/>
    </row>
    <row r="920">
      <c r="B920" s="35"/>
      <c r="G920" s="30"/>
      <c r="H920" s="30"/>
      <c r="L920" s="30"/>
      <c r="M920" s="30"/>
      <c r="O920" s="32"/>
      <c r="P920" s="32"/>
    </row>
    <row r="921">
      <c r="B921" s="35"/>
      <c r="G921" s="30"/>
      <c r="H921" s="30"/>
      <c r="L921" s="30"/>
      <c r="M921" s="30"/>
      <c r="O921" s="32"/>
      <c r="P921" s="32"/>
    </row>
    <row r="922">
      <c r="B922" s="35"/>
      <c r="G922" s="30"/>
      <c r="H922" s="30"/>
      <c r="L922" s="30"/>
      <c r="M922" s="30"/>
      <c r="O922" s="32"/>
      <c r="P922" s="32"/>
    </row>
    <row r="923">
      <c r="B923" s="35"/>
      <c r="G923" s="30"/>
      <c r="H923" s="30"/>
      <c r="L923" s="30"/>
      <c r="M923" s="30"/>
      <c r="O923" s="32"/>
      <c r="P923" s="32"/>
    </row>
    <row r="924">
      <c r="B924" s="35"/>
      <c r="G924" s="30"/>
      <c r="H924" s="30"/>
      <c r="L924" s="30"/>
      <c r="M924" s="30"/>
      <c r="O924" s="32"/>
      <c r="P924" s="32"/>
    </row>
    <row r="925">
      <c r="B925" s="35"/>
      <c r="G925" s="30"/>
      <c r="H925" s="30"/>
      <c r="L925" s="30"/>
      <c r="M925" s="30"/>
      <c r="O925" s="32"/>
      <c r="P925" s="32"/>
    </row>
    <row r="926">
      <c r="B926" s="35"/>
      <c r="G926" s="30"/>
      <c r="H926" s="30"/>
      <c r="L926" s="30"/>
      <c r="M926" s="30"/>
      <c r="O926" s="32"/>
      <c r="P926" s="32"/>
    </row>
    <row r="927">
      <c r="B927" s="35"/>
      <c r="G927" s="30"/>
      <c r="H927" s="30"/>
      <c r="L927" s="30"/>
      <c r="M927" s="30"/>
      <c r="O927" s="32"/>
      <c r="P927" s="32"/>
    </row>
    <row r="928">
      <c r="B928" s="35"/>
      <c r="G928" s="30"/>
      <c r="H928" s="30"/>
      <c r="L928" s="30"/>
      <c r="M928" s="30"/>
      <c r="O928" s="32"/>
      <c r="P928" s="32"/>
    </row>
    <row r="929">
      <c r="B929" s="35"/>
      <c r="G929" s="30"/>
      <c r="H929" s="30"/>
      <c r="L929" s="30"/>
      <c r="M929" s="30"/>
      <c r="O929" s="32"/>
      <c r="P929" s="32"/>
    </row>
    <row r="930">
      <c r="B930" s="35"/>
      <c r="G930" s="30"/>
      <c r="H930" s="30"/>
      <c r="L930" s="30"/>
      <c r="M930" s="30"/>
      <c r="O930" s="32"/>
      <c r="P930" s="32"/>
    </row>
    <row r="931">
      <c r="B931" s="35"/>
      <c r="G931" s="30"/>
      <c r="H931" s="30"/>
      <c r="L931" s="30"/>
      <c r="M931" s="30"/>
      <c r="O931" s="32"/>
      <c r="P931" s="32"/>
    </row>
    <row r="932">
      <c r="B932" s="35"/>
      <c r="G932" s="30"/>
      <c r="H932" s="30"/>
      <c r="L932" s="30"/>
      <c r="M932" s="30"/>
      <c r="O932" s="32"/>
      <c r="P932" s="32"/>
    </row>
    <row r="933">
      <c r="B933" s="35"/>
      <c r="G933" s="30"/>
      <c r="H933" s="30"/>
      <c r="L933" s="30"/>
      <c r="M933" s="30"/>
      <c r="O933" s="32"/>
      <c r="P933" s="32"/>
    </row>
    <row r="934">
      <c r="B934" s="35"/>
      <c r="G934" s="30"/>
      <c r="H934" s="30"/>
      <c r="L934" s="30"/>
      <c r="M934" s="30"/>
      <c r="O934" s="32"/>
      <c r="P934" s="32"/>
    </row>
    <row r="935">
      <c r="B935" s="35"/>
      <c r="G935" s="30"/>
      <c r="H935" s="30"/>
      <c r="L935" s="30"/>
      <c r="M935" s="30"/>
      <c r="O935" s="32"/>
      <c r="P935" s="32"/>
    </row>
    <row r="936">
      <c r="B936" s="35"/>
      <c r="G936" s="30"/>
      <c r="H936" s="30"/>
      <c r="L936" s="30"/>
      <c r="M936" s="30"/>
      <c r="O936" s="32"/>
      <c r="P936" s="32"/>
    </row>
    <row r="937">
      <c r="B937" s="35"/>
      <c r="G937" s="30"/>
      <c r="H937" s="30"/>
      <c r="L937" s="30"/>
      <c r="M937" s="30"/>
      <c r="O937" s="32"/>
      <c r="P937" s="32"/>
    </row>
    <row r="938">
      <c r="B938" s="35"/>
      <c r="G938" s="30"/>
      <c r="H938" s="30"/>
      <c r="L938" s="30"/>
      <c r="M938" s="30"/>
      <c r="O938" s="32"/>
      <c r="P938" s="32"/>
    </row>
    <row r="939">
      <c r="B939" s="35"/>
      <c r="G939" s="30"/>
      <c r="H939" s="30"/>
      <c r="L939" s="30"/>
      <c r="M939" s="30"/>
      <c r="O939" s="32"/>
      <c r="P939" s="32"/>
    </row>
    <row r="940">
      <c r="B940" s="35"/>
      <c r="G940" s="30"/>
      <c r="H940" s="30"/>
      <c r="L940" s="30"/>
      <c r="M940" s="30"/>
      <c r="O940" s="32"/>
      <c r="P940" s="32"/>
    </row>
    <row r="941">
      <c r="B941" s="35"/>
      <c r="G941" s="30"/>
      <c r="H941" s="30"/>
      <c r="L941" s="30"/>
      <c r="M941" s="30"/>
      <c r="O941" s="32"/>
      <c r="P941" s="32"/>
    </row>
    <row r="942">
      <c r="B942" s="35"/>
      <c r="G942" s="30"/>
      <c r="H942" s="30"/>
      <c r="L942" s="30"/>
      <c r="M942" s="30"/>
      <c r="O942" s="32"/>
      <c r="P942" s="32"/>
    </row>
    <row r="943">
      <c r="B943" s="35"/>
      <c r="G943" s="30"/>
      <c r="H943" s="30"/>
      <c r="L943" s="30"/>
      <c r="M943" s="30"/>
      <c r="O943" s="32"/>
      <c r="P943" s="32"/>
    </row>
    <row r="944">
      <c r="B944" s="35"/>
      <c r="G944" s="30"/>
      <c r="H944" s="30"/>
      <c r="L944" s="30"/>
      <c r="M944" s="30"/>
      <c r="O944" s="32"/>
      <c r="P944" s="32"/>
    </row>
    <row r="945">
      <c r="B945" s="35"/>
      <c r="G945" s="30"/>
      <c r="H945" s="30"/>
      <c r="L945" s="30"/>
      <c r="M945" s="30"/>
      <c r="O945" s="32"/>
      <c r="P945" s="32"/>
    </row>
    <row r="946">
      <c r="B946" s="35"/>
      <c r="G946" s="30"/>
      <c r="H946" s="30"/>
      <c r="L946" s="30"/>
      <c r="M946" s="30"/>
      <c r="O946" s="32"/>
      <c r="P946" s="32"/>
    </row>
    <row r="947">
      <c r="B947" s="35"/>
      <c r="G947" s="30"/>
      <c r="H947" s="30"/>
      <c r="L947" s="30"/>
      <c r="M947" s="30"/>
      <c r="O947" s="32"/>
      <c r="P947" s="32"/>
    </row>
    <row r="948">
      <c r="B948" s="35"/>
      <c r="G948" s="30"/>
      <c r="H948" s="30"/>
      <c r="L948" s="30"/>
      <c r="M948" s="30"/>
      <c r="O948" s="32"/>
      <c r="P948" s="32"/>
    </row>
    <row r="949">
      <c r="B949" s="35"/>
      <c r="G949" s="30"/>
      <c r="H949" s="30"/>
      <c r="L949" s="30"/>
      <c r="M949" s="30"/>
      <c r="O949" s="32"/>
      <c r="P949" s="32"/>
    </row>
    <row r="950">
      <c r="B950" s="35"/>
      <c r="G950" s="30"/>
      <c r="H950" s="30"/>
      <c r="L950" s="30"/>
      <c r="M950" s="30"/>
      <c r="O950" s="32"/>
      <c r="P950" s="32"/>
    </row>
    <row r="951">
      <c r="B951" s="35"/>
      <c r="G951" s="30"/>
      <c r="H951" s="30"/>
      <c r="L951" s="30"/>
      <c r="M951" s="30"/>
      <c r="O951" s="32"/>
      <c r="P951" s="32"/>
    </row>
    <row r="952">
      <c r="B952" s="35"/>
      <c r="G952" s="30"/>
      <c r="H952" s="30"/>
      <c r="L952" s="30"/>
      <c r="M952" s="30"/>
      <c r="O952" s="32"/>
      <c r="P952" s="32"/>
    </row>
    <row r="953">
      <c r="B953" s="35"/>
      <c r="G953" s="30"/>
      <c r="H953" s="30"/>
      <c r="L953" s="30"/>
      <c r="M953" s="30"/>
      <c r="O953" s="32"/>
      <c r="P953" s="32"/>
    </row>
    <row r="954">
      <c r="B954" s="35"/>
      <c r="G954" s="30"/>
      <c r="H954" s="30"/>
      <c r="L954" s="30"/>
      <c r="M954" s="30"/>
      <c r="O954" s="32"/>
      <c r="P954" s="32"/>
    </row>
    <row r="955">
      <c r="B955" s="35"/>
      <c r="G955" s="30"/>
      <c r="H955" s="30"/>
      <c r="L955" s="30"/>
      <c r="M955" s="30"/>
      <c r="O955" s="32"/>
      <c r="P955" s="32"/>
    </row>
    <row r="956">
      <c r="B956" s="35"/>
      <c r="G956" s="30"/>
      <c r="H956" s="30"/>
      <c r="L956" s="30"/>
      <c r="M956" s="30"/>
      <c r="O956" s="32"/>
      <c r="P956" s="32"/>
    </row>
    <row r="957">
      <c r="B957" s="35"/>
      <c r="G957" s="30"/>
      <c r="H957" s="30"/>
      <c r="L957" s="30"/>
      <c r="M957" s="30"/>
      <c r="O957" s="32"/>
      <c r="P957" s="32"/>
    </row>
    <row r="958">
      <c r="B958" s="35"/>
      <c r="G958" s="30"/>
      <c r="H958" s="30"/>
      <c r="L958" s="30"/>
      <c r="M958" s="30"/>
      <c r="O958" s="32"/>
      <c r="P958" s="32"/>
    </row>
    <row r="959">
      <c r="B959" s="35"/>
      <c r="G959" s="30"/>
      <c r="H959" s="30"/>
      <c r="L959" s="30"/>
      <c r="M959" s="30"/>
      <c r="O959" s="32"/>
      <c r="P959" s="32"/>
    </row>
    <row r="960">
      <c r="B960" s="35"/>
      <c r="G960" s="30"/>
      <c r="H960" s="30"/>
      <c r="L960" s="30"/>
      <c r="M960" s="30"/>
      <c r="O960" s="32"/>
      <c r="P960" s="32"/>
    </row>
    <row r="961">
      <c r="B961" s="35"/>
      <c r="G961" s="30"/>
      <c r="H961" s="30"/>
      <c r="L961" s="30"/>
      <c r="M961" s="30"/>
      <c r="O961" s="32"/>
      <c r="P961" s="32"/>
    </row>
    <row r="962">
      <c r="B962" s="35"/>
      <c r="G962" s="30"/>
      <c r="H962" s="30"/>
      <c r="L962" s="30"/>
      <c r="M962" s="30"/>
      <c r="O962" s="32"/>
      <c r="P962" s="32"/>
    </row>
    <row r="963">
      <c r="B963" s="35"/>
      <c r="G963" s="30"/>
      <c r="H963" s="30"/>
      <c r="L963" s="30"/>
      <c r="M963" s="30"/>
      <c r="O963" s="32"/>
      <c r="P963" s="32"/>
    </row>
    <row r="964">
      <c r="B964" s="35"/>
      <c r="G964" s="30"/>
      <c r="H964" s="30"/>
      <c r="L964" s="30"/>
      <c r="M964" s="30"/>
      <c r="O964" s="32"/>
      <c r="P964" s="32"/>
    </row>
    <row r="965">
      <c r="B965" s="35"/>
      <c r="G965" s="30"/>
      <c r="H965" s="30"/>
      <c r="L965" s="30"/>
      <c r="M965" s="30"/>
      <c r="O965" s="32"/>
      <c r="P965" s="32"/>
    </row>
    <row r="966">
      <c r="B966" s="35"/>
      <c r="G966" s="30"/>
      <c r="H966" s="30"/>
      <c r="L966" s="30"/>
      <c r="M966" s="30"/>
      <c r="O966" s="32"/>
      <c r="P966" s="32"/>
    </row>
    <row r="967">
      <c r="B967" s="35"/>
      <c r="G967" s="30"/>
      <c r="H967" s="30"/>
      <c r="L967" s="30"/>
      <c r="M967" s="30"/>
      <c r="O967" s="32"/>
      <c r="P967" s="32"/>
    </row>
    <row r="968">
      <c r="B968" s="35"/>
      <c r="G968" s="30"/>
      <c r="H968" s="30"/>
      <c r="L968" s="30"/>
      <c r="M968" s="30"/>
      <c r="O968" s="32"/>
      <c r="P968" s="32"/>
    </row>
    <row r="969">
      <c r="B969" s="35"/>
      <c r="G969" s="30"/>
      <c r="H969" s="30"/>
      <c r="L969" s="30"/>
      <c r="M969" s="30"/>
      <c r="O969" s="32"/>
      <c r="P969" s="32"/>
    </row>
    <row r="970">
      <c r="B970" s="35"/>
      <c r="G970" s="30"/>
      <c r="H970" s="30"/>
      <c r="L970" s="30"/>
      <c r="M970" s="30"/>
      <c r="O970" s="32"/>
      <c r="P970" s="32"/>
    </row>
    <row r="971">
      <c r="B971" s="35"/>
      <c r="G971" s="30"/>
      <c r="H971" s="30"/>
      <c r="L971" s="30"/>
      <c r="M971" s="30"/>
      <c r="O971" s="32"/>
      <c r="P971" s="3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88"/>
    <col customWidth="1" min="2" max="19" width="9.5"/>
  </cols>
  <sheetData>
    <row r="1">
      <c r="A1" s="1"/>
      <c r="B1" s="2" t="s">
        <v>0</v>
      </c>
      <c r="C1" s="2" t="s">
        <v>2</v>
      </c>
      <c r="D1" s="5" t="s">
        <v>3</v>
      </c>
      <c r="E1" s="2" t="s">
        <v>4</v>
      </c>
      <c r="F1" s="8" t="s">
        <v>6</v>
      </c>
      <c r="G1" s="6" t="s">
        <v>8</v>
      </c>
      <c r="H1" s="6" t="s">
        <v>10</v>
      </c>
      <c r="I1" s="2" t="s">
        <v>12</v>
      </c>
      <c r="J1" s="5" t="s">
        <v>14</v>
      </c>
      <c r="K1" s="2" t="s">
        <v>16</v>
      </c>
      <c r="L1" s="6" t="s">
        <v>19</v>
      </c>
      <c r="M1" s="6" t="s">
        <v>22</v>
      </c>
      <c r="N1" s="2" t="s">
        <v>24</v>
      </c>
      <c r="O1" s="9" t="s">
        <v>26</v>
      </c>
      <c r="P1" s="9" t="s">
        <v>28</v>
      </c>
      <c r="Q1" s="2" t="s">
        <v>30</v>
      </c>
      <c r="R1" s="2" t="s">
        <v>32</v>
      </c>
      <c r="S1" s="9" t="s">
        <v>34</v>
      </c>
    </row>
    <row r="2">
      <c r="A2" s="2" t="s">
        <v>44</v>
      </c>
      <c r="B2" s="11">
        <v>3.0</v>
      </c>
      <c r="C2" s="13">
        <f t="shared" ref="C2:C33" si="1">B2*4</f>
        <v>12</v>
      </c>
      <c r="D2" s="14">
        <v>9.0</v>
      </c>
      <c r="E2" s="11">
        <v>2.0</v>
      </c>
      <c r="F2" s="15">
        <f t="shared" ref="F2:F33" si="2">D2+E2</f>
        <v>11</v>
      </c>
      <c r="G2" s="16">
        <f t="shared" ref="G2:G33" si="3">F2/C2</f>
        <v>0.9166666667</v>
      </c>
      <c r="H2" s="16">
        <f t="shared" ref="H2:H33" si="4">D2/F2</f>
        <v>0.8181818182</v>
      </c>
      <c r="I2" s="13">
        <f t="shared" ref="I2:I33" si="5">J2+K2</f>
        <v>3</v>
      </c>
      <c r="J2" s="14">
        <v>2.0</v>
      </c>
      <c r="K2" s="11">
        <v>1.0</v>
      </c>
      <c r="L2" s="16">
        <f t="shared" ref="L2:L33" si="6">I2/C2</f>
        <v>0.25</v>
      </c>
      <c r="M2" s="16">
        <f t="shared" ref="M2:M33" si="7">J2/I2</f>
        <v>0.6666666667</v>
      </c>
      <c r="N2" s="19">
        <f t="shared" ref="N2:N33" si="8">4*(D2-K2)</f>
        <v>32</v>
      </c>
      <c r="O2" s="18">
        <f t="shared" ref="O2:O33" si="9">N2/C2</f>
        <v>2.666666667</v>
      </c>
      <c r="P2" s="18">
        <f t="shared" ref="P2:P33" si="10">N2/B2</f>
        <v>10.66666667</v>
      </c>
      <c r="Q2" s="11">
        <v>8.0</v>
      </c>
      <c r="R2" s="19">
        <f t="shared" ref="R2:R33" si="11">N2+10*Q2</f>
        <v>112</v>
      </c>
      <c r="S2" s="18">
        <f t="shared" ref="S2:S33" si="12">R2/B2</f>
        <v>37.33333333</v>
      </c>
    </row>
    <row r="3">
      <c r="A3" s="2" t="s">
        <v>39</v>
      </c>
      <c r="B3" s="11">
        <v>3.0</v>
      </c>
      <c r="C3" s="13">
        <f t="shared" si="1"/>
        <v>12</v>
      </c>
      <c r="D3" s="14">
        <v>9.0</v>
      </c>
      <c r="E3" s="11">
        <v>3.0</v>
      </c>
      <c r="F3" s="15">
        <f t="shared" si="2"/>
        <v>12</v>
      </c>
      <c r="G3" s="16">
        <f t="shared" si="3"/>
        <v>1</v>
      </c>
      <c r="H3" s="16">
        <f t="shared" si="4"/>
        <v>0.75</v>
      </c>
      <c r="I3" s="13">
        <f t="shared" si="5"/>
        <v>5</v>
      </c>
      <c r="J3" s="14">
        <v>4.0</v>
      </c>
      <c r="K3" s="11">
        <v>1.0</v>
      </c>
      <c r="L3" s="16">
        <f t="shared" si="6"/>
        <v>0.4166666667</v>
      </c>
      <c r="M3" s="16">
        <f t="shared" si="7"/>
        <v>0.8</v>
      </c>
      <c r="N3" s="19">
        <f t="shared" si="8"/>
        <v>32</v>
      </c>
      <c r="O3" s="18">
        <f t="shared" si="9"/>
        <v>2.666666667</v>
      </c>
      <c r="P3" s="18">
        <f t="shared" si="10"/>
        <v>10.66666667</v>
      </c>
      <c r="Q3" s="11">
        <v>8.0</v>
      </c>
      <c r="R3" s="19">
        <f t="shared" si="11"/>
        <v>112</v>
      </c>
      <c r="S3" s="18">
        <f t="shared" si="12"/>
        <v>37.33333333</v>
      </c>
    </row>
    <row r="4">
      <c r="A4" s="2" t="s">
        <v>47</v>
      </c>
      <c r="B4" s="11">
        <v>3.0</v>
      </c>
      <c r="C4" s="13">
        <f t="shared" si="1"/>
        <v>12</v>
      </c>
      <c r="D4" s="14">
        <v>7.0</v>
      </c>
      <c r="E4" s="11">
        <v>1.0</v>
      </c>
      <c r="F4" s="15">
        <f t="shared" si="2"/>
        <v>8</v>
      </c>
      <c r="G4" s="16">
        <f t="shared" si="3"/>
        <v>0.6666666667</v>
      </c>
      <c r="H4" s="16">
        <f t="shared" si="4"/>
        <v>0.875</v>
      </c>
      <c r="I4" s="13">
        <f t="shared" si="5"/>
        <v>2</v>
      </c>
      <c r="J4" s="14">
        <v>1.0</v>
      </c>
      <c r="K4" s="11">
        <v>1.0</v>
      </c>
      <c r="L4" s="16">
        <f t="shared" si="6"/>
        <v>0.1666666667</v>
      </c>
      <c r="M4" s="16">
        <f t="shared" si="7"/>
        <v>0.5</v>
      </c>
      <c r="N4" s="19">
        <f t="shared" si="8"/>
        <v>24</v>
      </c>
      <c r="O4" s="18">
        <f t="shared" si="9"/>
        <v>2</v>
      </c>
      <c r="P4" s="18">
        <f t="shared" si="10"/>
        <v>8</v>
      </c>
      <c r="Q4" s="11">
        <v>7.0</v>
      </c>
      <c r="R4" s="19">
        <f t="shared" si="11"/>
        <v>94</v>
      </c>
      <c r="S4" s="18">
        <f t="shared" si="12"/>
        <v>31.33333333</v>
      </c>
    </row>
    <row r="5">
      <c r="A5" s="2" t="s">
        <v>64</v>
      </c>
      <c r="B5" s="11">
        <v>3.0</v>
      </c>
      <c r="C5" s="13">
        <f t="shared" si="1"/>
        <v>12</v>
      </c>
      <c r="D5" s="14">
        <v>8.0</v>
      </c>
      <c r="E5" s="20">
        <v>1.0</v>
      </c>
      <c r="F5" s="25">
        <f t="shared" si="2"/>
        <v>9</v>
      </c>
      <c r="G5" s="23">
        <f t="shared" si="3"/>
        <v>0.75</v>
      </c>
      <c r="H5" s="23">
        <f t="shared" si="4"/>
        <v>0.8888888889</v>
      </c>
      <c r="I5" s="13">
        <f t="shared" si="5"/>
        <v>1</v>
      </c>
      <c r="J5" s="14">
        <v>0.0</v>
      </c>
      <c r="K5" s="11">
        <v>1.0</v>
      </c>
      <c r="L5" s="16">
        <f t="shared" si="6"/>
        <v>0.08333333333</v>
      </c>
      <c r="M5" s="16">
        <f t="shared" si="7"/>
        <v>0</v>
      </c>
      <c r="N5" s="19">
        <f t="shared" si="8"/>
        <v>28</v>
      </c>
      <c r="O5" s="18">
        <f t="shared" si="9"/>
        <v>2.333333333</v>
      </c>
      <c r="P5" s="18">
        <f t="shared" si="10"/>
        <v>9.333333333</v>
      </c>
      <c r="Q5" s="11">
        <v>6.0</v>
      </c>
      <c r="R5" s="19">
        <f t="shared" si="11"/>
        <v>88</v>
      </c>
      <c r="S5" s="18">
        <f t="shared" si="12"/>
        <v>29.33333333</v>
      </c>
    </row>
    <row r="6">
      <c r="A6" s="2" t="s">
        <v>51</v>
      </c>
      <c r="B6" s="11">
        <v>3.0</v>
      </c>
      <c r="C6" s="13">
        <f t="shared" si="1"/>
        <v>12</v>
      </c>
      <c r="D6" s="14">
        <v>7.0</v>
      </c>
      <c r="E6" s="11">
        <v>3.0</v>
      </c>
      <c r="F6" s="15">
        <f t="shared" si="2"/>
        <v>10</v>
      </c>
      <c r="G6" s="16">
        <f t="shared" si="3"/>
        <v>0.8333333333</v>
      </c>
      <c r="H6" s="16">
        <f t="shared" si="4"/>
        <v>0.7</v>
      </c>
      <c r="I6" s="13">
        <f t="shared" si="5"/>
        <v>3</v>
      </c>
      <c r="J6" s="14">
        <v>2.0</v>
      </c>
      <c r="K6" s="11">
        <v>1.0</v>
      </c>
      <c r="L6" s="16">
        <f t="shared" si="6"/>
        <v>0.25</v>
      </c>
      <c r="M6" s="16">
        <f t="shared" si="7"/>
        <v>0.6666666667</v>
      </c>
      <c r="N6" s="19">
        <f t="shared" si="8"/>
        <v>24</v>
      </c>
      <c r="O6" s="18">
        <f t="shared" si="9"/>
        <v>2</v>
      </c>
      <c r="P6" s="18">
        <f t="shared" si="10"/>
        <v>8</v>
      </c>
      <c r="Q6" s="11">
        <v>5.0</v>
      </c>
      <c r="R6" s="19">
        <f t="shared" si="11"/>
        <v>74</v>
      </c>
      <c r="S6" s="18">
        <f t="shared" si="12"/>
        <v>24.66666667</v>
      </c>
    </row>
    <row r="7">
      <c r="A7" s="2" t="s">
        <v>56</v>
      </c>
      <c r="B7" s="11">
        <v>3.0</v>
      </c>
      <c r="C7" s="13">
        <f t="shared" si="1"/>
        <v>12</v>
      </c>
      <c r="D7" s="14">
        <v>7.0</v>
      </c>
      <c r="E7" s="20">
        <v>3.0</v>
      </c>
      <c r="F7" s="25">
        <f t="shared" si="2"/>
        <v>10</v>
      </c>
      <c r="G7" s="23">
        <f t="shared" si="3"/>
        <v>0.8333333333</v>
      </c>
      <c r="H7" s="23">
        <f t="shared" si="4"/>
        <v>0.7</v>
      </c>
      <c r="I7" s="13">
        <f t="shared" si="5"/>
        <v>5</v>
      </c>
      <c r="J7" s="14">
        <v>4.0</v>
      </c>
      <c r="K7" s="11">
        <v>1.0</v>
      </c>
      <c r="L7" s="16">
        <f t="shared" si="6"/>
        <v>0.4166666667</v>
      </c>
      <c r="M7" s="16">
        <f t="shared" si="7"/>
        <v>0.8</v>
      </c>
      <c r="N7" s="19">
        <f t="shared" si="8"/>
        <v>24</v>
      </c>
      <c r="O7" s="18">
        <f t="shared" si="9"/>
        <v>2</v>
      </c>
      <c r="P7" s="18">
        <f t="shared" si="10"/>
        <v>8</v>
      </c>
      <c r="Q7" s="11">
        <v>3.0</v>
      </c>
      <c r="R7" s="19">
        <f t="shared" si="11"/>
        <v>54</v>
      </c>
      <c r="S7" s="18">
        <f t="shared" si="12"/>
        <v>18</v>
      </c>
    </row>
    <row r="8">
      <c r="A8" s="2" t="s">
        <v>59</v>
      </c>
      <c r="B8" s="11">
        <v>3.0</v>
      </c>
      <c r="C8" s="13">
        <f t="shared" si="1"/>
        <v>12</v>
      </c>
      <c r="D8" s="14">
        <v>5.0</v>
      </c>
      <c r="E8" s="11">
        <v>0.0</v>
      </c>
      <c r="F8" s="15">
        <f t="shared" si="2"/>
        <v>5</v>
      </c>
      <c r="G8" s="16">
        <f t="shared" si="3"/>
        <v>0.4166666667</v>
      </c>
      <c r="H8" s="16">
        <f t="shared" si="4"/>
        <v>1</v>
      </c>
      <c r="I8" s="13">
        <f t="shared" si="5"/>
        <v>0</v>
      </c>
      <c r="J8" s="14">
        <v>0.0</v>
      </c>
      <c r="K8" s="11">
        <v>0.0</v>
      </c>
      <c r="L8" s="16">
        <f t="shared" si="6"/>
        <v>0</v>
      </c>
      <c r="M8" s="16" t="str">
        <f t="shared" si="7"/>
        <v>#DIV/0!</v>
      </c>
      <c r="N8" s="19">
        <f t="shared" si="8"/>
        <v>20</v>
      </c>
      <c r="O8" s="18">
        <f t="shared" si="9"/>
        <v>1.666666667</v>
      </c>
      <c r="P8" s="18">
        <f t="shared" si="10"/>
        <v>6.666666667</v>
      </c>
      <c r="Q8" s="11">
        <v>3.0</v>
      </c>
      <c r="R8" s="19">
        <f t="shared" si="11"/>
        <v>50</v>
      </c>
      <c r="S8" s="18">
        <f t="shared" si="12"/>
        <v>16.66666667</v>
      </c>
    </row>
    <row r="9">
      <c r="A9" s="2" t="s">
        <v>53</v>
      </c>
      <c r="B9" s="11">
        <v>3.0</v>
      </c>
      <c r="C9" s="13">
        <f t="shared" si="1"/>
        <v>12</v>
      </c>
      <c r="D9" s="14">
        <v>5.0</v>
      </c>
      <c r="E9" s="11">
        <v>4.0</v>
      </c>
      <c r="F9" s="15">
        <f t="shared" si="2"/>
        <v>9</v>
      </c>
      <c r="G9" s="16">
        <f t="shared" si="3"/>
        <v>0.75</v>
      </c>
      <c r="H9" s="16">
        <f t="shared" si="4"/>
        <v>0.5555555556</v>
      </c>
      <c r="I9" s="13">
        <f t="shared" si="5"/>
        <v>1</v>
      </c>
      <c r="J9" s="14">
        <v>1.0</v>
      </c>
      <c r="K9" s="11">
        <v>0.0</v>
      </c>
      <c r="L9" s="16">
        <f t="shared" si="6"/>
        <v>0.08333333333</v>
      </c>
      <c r="M9" s="16">
        <f t="shared" si="7"/>
        <v>1</v>
      </c>
      <c r="N9" s="19">
        <f t="shared" si="8"/>
        <v>20</v>
      </c>
      <c r="O9" s="18">
        <f t="shared" si="9"/>
        <v>1.666666667</v>
      </c>
      <c r="P9" s="18">
        <f t="shared" si="10"/>
        <v>6.666666667</v>
      </c>
      <c r="Q9" s="11">
        <v>3.0</v>
      </c>
      <c r="R9" s="19">
        <f t="shared" si="11"/>
        <v>50</v>
      </c>
      <c r="S9" s="18">
        <f t="shared" si="12"/>
        <v>16.66666667</v>
      </c>
    </row>
    <row r="10">
      <c r="A10" s="2" t="s">
        <v>63</v>
      </c>
      <c r="B10" s="11">
        <v>3.0</v>
      </c>
      <c r="C10" s="13">
        <f t="shared" si="1"/>
        <v>12</v>
      </c>
      <c r="D10" s="14">
        <v>6.0</v>
      </c>
      <c r="E10" s="11">
        <v>5.0</v>
      </c>
      <c r="F10" s="15">
        <f t="shared" si="2"/>
        <v>11</v>
      </c>
      <c r="G10" s="16">
        <f t="shared" si="3"/>
        <v>0.9166666667</v>
      </c>
      <c r="H10" s="16">
        <f t="shared" si="4"/>
        <v>0.5454545455</v>
      </c>
      <c r="I10" s="13">
        <f t="shared" si="5"/>
        <v>3</v>
      </c>
      <c r="J10" s="14">
        <v>3.0</v>
      </c>
      <c r="K10" s="11">
        <v>0.0</v>
      </c>
      <c r="L10" s="16">
        <f t="shared" si="6"/>
        <v>0.25</v>
      </c>
      <c r="M10" s="16">
        <f t="shared" si="7"/>
        <v>1</v>
      </c>
      <c r="N10" s="19">
        <f t="shared" si="8"/>
        <v>24</v>
      </c>
      <c r="O10" s="18">
        <f t="shared" si="9"/>
        <v>2</v>
      </c>
      <c r="P10" s="18">
        <f t="shared" si="10"/>
        <v>8</v>
      </c>
      <c r="Q10" s="11">
        <v>2.0</v>
      </c>
      <c r="R10" s="19">
        <f t="shared" si="11"/>
        <v>44</v>
      </c>
      <c r="S10" s="18">
        <f t="shared" si="12"/>
        <v>14.66666667</v>
      </c>
    </row>
    <row r="11">
      <c r="A11" s="2" t="s">
        <v>62</v>
      </c>
      <c r="B11" s="11">
        <v>3.0</v>
      </c>
      <c r="C11" s="13">
        <f t="shared" si="1"/>
        <v>12</v>
      </c>
      <c r="D11" s="14">
        <v>6.0</v>
      </c>
      <c r="E11" s="20">
        <v>2.0</v>
      </c>
      <c r="F11" s="25">
        <f t="shared" si="2"/>
        <v>8</v>
      </c>
      <c r="G11" s="23">
        <f t="shared" si="3"/>
        <v>0.6666666667</v>
      </c>
      <c r="H11" s="23">
        <f t="shared" si="4"/>
        <v>0.75</v>
      </c>
      <c r="I11" s="13">
        <f t="shared" si="5"/>
        <v>2</v>
      </c>
      <c r="J11" s="14">
        <v>1.0</v>
      </c>
      <c r="K11" s="11">
        <v>1.0</v>
      </c>
      <c r="L11" s="16">
        <f t="shared" si="6"/>
        <v>0.1666666667</v>
      </c>
      <c r="M11" s="16">
        <f t="shared" si="7"/>
        <v>0.5</v>
      </c>
      <c r="N11" s="19">
        <f t="shared" si="8"/>
        <v>20</v>
      </c>
      <c r="O11" s="18">
        <f t="shared" si="9"/>
        <v>1.666666667</v>
      </c>
      <c r="P11" s="18">
        <f t="shared" si="10"/>
        <v>6.666666667</v>
      </c>
      <c r="Q11" s="11">
        <v>2.0</v>
      </c>
      <c r="R11" s="19">
        <f t="shared" si="11"/>
        <v>40</v>
      </c>
      <c r="S11" s="18">
        <f t="shared" si="12"/>
        <v>13.33333333</v>
      </c>
    </row>
    <row r="12">
      <c r="A12" s="2" t="s">
        <v>81</v>
      </c>
      <c r="B12" s="11">
        <v>3.0</v>
      </c>
      <c r="C12" s="13">
        <f t="shared" si="1"/>
        <v>12</v>
      </c>
      <c r="D12" s="14">
        <v>5.0</v>
      </c>
      <c r="E12" s="11">
        <v>7.0</v>
      </c>
      <c r="F12" s="15">
        <f t="shared" si="2"/>
        <v>12</v>
      </c>
      <c r="G12" s="16">
        <f t="shared" si="3"/>
        <v>1</v>
      </c>
      <c r="H12" s="16">
        <f t="shared" si="4"/>
        <v>0.4166666667</v>
      </c>
      <c r="I12" s="13">
        <f t="shared" si="5"/>
        <v>2</v>
      </c>
      <c r="J12" s="14">
        <v>2.0</v>
      </c>
      <c r="K12" s="11">
        <v>0.0</v>
      </c>
      <c r="L12" s="16">
        <f t="shared" si="6"/>
        <v>0.1666666667</v>
      </c>
      <c r="M12" s="16">
        <f t="shared" si="7"/>
        <v>1</v>
      </c>
      <c r="N12" s="19">
        <f t="shared" si="8"/>
        <v>20</v>
      </c>
      <c r="O12" s="18">
        <f t="shared" si="9"/>
        <v>1.666666667</v>
      </c>
      <c r="P12" s="18">
        <f t="shared" si="10"/>
        <v>6.666666667</v>
      </c>
      <c r="Q12" s="11">
        <v>2.0</v>
      </c>
      <c r="R12" s="19">
        <f t="shared" si="11"/>
        <v>40</v>
      </c>
      <c r="S12" s="18">
        <f t="shared" si="12"/>
        <v>13.33333333</v>
      </c>
    </row>
    <row r="13">
      <c r="A13" s="2" t="s">
        <v>77</v>
      </c>
      <c r="B13" s="11">
        <v>3.0</v>
      </c>
      <c r="C13" s="13">
        <f t="shared" si="1"/>
        <v>12</v>
      </c>
      <c r="D13" s="14">
        <v>4.0</v>
      </c>
      <c r="E13" s="11">
        <v>3.0</v>
      </c>
      <c r="F13" s="15">
        <f t="shared" si="2"/>
        <v>7</v>
      </c>
      <c r="G13" s="16">
        <f t="shared" si="3"/>
        <v>0.5833333333</v>
      </c>
      <c r="H13" s="16">
        <f t="shared" si="4"/>
        <v>0.5714285714</v>
      </c>
      <c r="I13" s="13">
        <f t="shared" si="5"/>
        <v>1</v>
      </c>
      <c r="J13" s="14">
        <v>1.0</v>
      </c>
      <c r="K13" s="11">
        <v>0.0</v>
      </c>
      <c r="L13" s="16">
        <f t="shared" si="6"/>
        <v>0.08333333333</v>
      </c>
      <c r="M13" s="16">
        <f t="shared" si="7"/>
        <v>1</v>
      </c>
      <c r="N13" s="19">
        <f t="shared" si="8"/>
        <v>16</v>
      </c>
      <c r="O13" s="18">
        <f t="shared" si="9"/>
        <v>1.333333333</v>
      </c>
      <c r="P13" s="18">
        <f t="shared" si="10"/>
        <v>5.333333333</v>
      </c>
      <c r="Q13" s="11">
        <v>2.0</v>
      </c>
      <c r="R13" s="19">
        <f t="shared" si="11"/>
        <v>36</v>
      </c>
      <c r="S13" s="18">
        <f t="shared" si="12"/>
        <v>12</v>
      </c>
    </row>
    <row r="14">
      <c r="A14" s="2" t="s">
        <v>68</v>
      </c>
      <c r="B14" s="11">
        <v>3.0</v>
      </c>
      <c r="C14" s="13">
        <f t="shared" si="1"/>
        <v>12</v>
      </c>
      <c r="D14" s="14">
        <v>6.0</v>
      </c>
      <c r="E14" s="20">
        <v>1.0</v>
      </c>
      <c r="F14" s="25">
        <f t="shared" si="2"/>
        <v>7</v>
      </c>
      <c r="G14" s="23">
        <f t="shared" si="3"/>
        <v>0.5833333333</v>
      </c>
      <c r="H14" s="23">
        <f t="shared" si="4"/>
        <v>0.8571428571</v>
      </c>
      <c r="I14" s="13">
        <f t="shared" si="5"/>
        <v>3</v>
      </c>
      <c r="J14" s="14">
        <v>3.0</v>
      </c>
      <c r="K14" s="11">
        <v>0.0</v>
      </c>
      <c r="L14" s="16">
        <f t="shared" si="6"/>
        <v>0.25</v>
      </c>
      <c r="M14" s="16">
        <f t="shared" si="7"/>
        <v>1</v>
      </c>
      <c r="N14" s="19">
        <f t="shared" si="8"/>
        <v>24</v>
      </c>
      <c r="O14" s="18">
        <f t="shared" si="9"/>
        <v>2</v>
      </c>
      <c r="P14" s="18">
        <f t="shared" si="10"/>
        <v>8</v>
      </c>
      <c r="Q14" s="11">
        <v>1.0</v>
      </c>
      <c r="R14" s="19">
        <f t="shared" si="11"/>
        <v>34</v>
      </c>
      <c r="S14" s="18">
        <f t="shared" si="12"/>
        <v>11.33333333</v>
      </c>
    </row>
    <row r="15">
      <c r="A15" s="2" t="s">
        <v>88</v>
      </c>
      <c r="B15" s="11">
        <v>3.0</v>
      </c>
      <c r="C15" s="13">
        <f t="shared" si="1"/>
        <v>12</v>
      </c>
      <c r="D15" s="14">
        <v>6.0</v>
      </c>
      <c r="E15" s="20">
        <v>2.0</v>
      </c>
      <c r="F15" s="25">
        <f t="shared" si="2"/>
        <v>8</v>
      </c>
      <c r="G15" s="23">
        <f t="shared" si="3"/>
        <v>0.6666666667</v>
      </c>
      <c r="H15" s="23">
        <f t="shared" si="4"/>
        <v>0.75</v>
      </c>
      <c r="I15" s="13">
        <f t="shared" si="5"/>
        <v>1</v>
      </c>
      <c r="J15" s="14">
        <v>0.0</v>
      </c>
      <c r="K15" s="11">
        <v>1.0</v>
      </c>
      <c r="L15" s="16">
        <f t="shared" si="6"/>
        <v>0.08333333333</v>
      </c>
      <c r="M15" s="16">
        <f t="shared" si="7"/>
        <v>0</v>
      </c>
      <c r="N15" s="19">
        <f t="shared" si="8"/>
        <v>20</v>
      </c>
      <c r="O15" s="18">
        <f t="shared" si="9"/>
        <v>1.666666667</v>
      </c>
      <c r="P15" s="18">
        <f t="shared" si="10"/>
        <v>6.666666667</v>
      </c>
      <c r="Q15" s="11">
        <v>1.0</v>
      </c>
      <c r="R15" s="19">
        <f t="shared" si="11"/>
        <v>30</v>
      </c>
      <c r="S15" s="18">
        <f t="shared" si="12"/>
        <v>10</v>
      </c>
    </row>
    <row r="16">
      <c r="A16" s="2" t="s">
        <v>90</v>
      </c>
      <c r="B16" s="11">
        <v>3.0</v>
      </c>
      <c r="C16" s="13">
        <f t="shared" si="1"/>
        <v>12</v>
      </c>
      <c r="D16" s="14">
        <v>5.0</v>
      </c>
      <c r="E16" s="11">
        <v>3.0</v>
      </c>
      <c r="F16" s="15">
        <f t="shared" si="2"/>
        <v>8</v>
      </c>
      <c r="G16" s="16">
        <f t="shared" si="3"/>
        <v>0.6666666667</v>
      </c>
      <c r="H16" s="16">
        <f t="shared" si="4"/>
        <v>0.625</v>
      </c>
      <c r="I16" s="13">
        <f t="shared" si="5"/>
        <v>1</v>
      </c>
      <c r="J16" s="14">
        <v>1.0</v>
      </c>
      <c r="K16" s="11">
        <v>0.0</v>
      </c>
      <c r="L16" s="16">
        <f t="shared" si="6"/>
        <v>0.08333333333</v>
      </c>
      <c r="M16" s="16">
        <f t="shared" si="7"/>
        <v>1</v>
      </c>
      <c r="N16" s="19">
        <f t="shared" si="8"/>
        <v>20</v>
      </c>
      <c r="O16" s="18">
        <f t="shared" si="9"/>
        <v>1.666666667</v>
      </c>
      <c r="P16" s="18">
        <f t="shared" si="10"/>
        <v>6.666666667</v>
      </c>
      <c r="Q16" s="11">
        <v>1.0</v>
      </c>
      <c r="R16" s="19">
        <f t="shared" si="11"/>
        <v>30</v>
      </c>
      <c r="S16" s="18">
        <f t="shared" si="12"/>
        <v>10</v>
      </c>
    </row>
    <row r="17">
      <c r="A17" s="2" t="s">
        <v>85</v>
      </c>
      <c r="B17" s="11">
        <v>3.0</v>
      </c>
      <c r="C17" s="13">
        <f t="shared" si="1"/>
        <v>12</v>
      </c>
      <c r="D17" s="14">
        <v>3.0</v>
      </c>
      <c r="E17" s="20">
        <v>4.0</v>
      </c>
      <c r="F17" s="25">
        <f t="shared" si="2"/>
        <v>7</v>
      </c>
      <c r="G17" s="23">
        <f t="shared" si="3"/>
        <v>0.5833333333</v>
      </c>
      <c r="H17" s="23">
        <f t="shared" si="4"/>
        <v>0.4285714286</v>
      </c>
      <c r="I17" s="13">
        <f t="shared" si="5"/>
        <v>2</v>
      </c>
      <c r="J17" s="14">
        <v>1.0</v>
      </c>
      <c r="K17" s="11">
        <v>1.0</v>
      </c>
      <c r="L17" s="16">
        <f t="shared" si="6"/>
        <v>0.1666666667</v>
      </c>
      <c r="M17" s="16">
        <f t="shared" si="7"/>
        <v>0.5</v>
      </c>
      <c r="N17" s="19">
        <f t="shared" si="8"/>
        <v>8</v>
      </c>
      <c r="O17" s="18">
        <f t="shared" si="9"/>
        <v>0.6666666667</v>
      </c>
      <c r="P17" s="18">
        <f t="shared" si="10"/>
        <v>2.666666667</v>
      </c>
      <c r="Q17" s="11">
        <v>2.0</v>
      </c>
      <c r="R17" s="19">
        <f t="shared" si="11"/>
        <v>28</v>
      </c>
      <c r="S17" s="18">
        <f t="shared" si="12"/>
        <v>9.333333333</v>
      </c>
      <c r="U17" s="4"/>
    </row>
    <row r="18">
      <c r="A18" s="2" t="s">
        <v>72</v>
      </c>
      <c r="B18" s="11">
        <v>3.0</v>
      </c>
      <c r="C18" s="13">
        <f t="shared" si="1"/>
        <v>12</v>
      </c>
      <c r="D18" s="14">
        <v>4.0</v>
      </c>
      <c r="E18" s="11">
        <v>3.0</v>
      </c>
      <c r="F18" s="15">
        <f t="shared" si="2"/>
        <v>7</v>
      </c>
      <c r="G18" s="16">
        <f t="shared" si="3"/>
        <v>0.5833333333</v>
      </c>
      <c r="H18" s="16">
        <f t="shared" si="4"/>
        <v>0.5714285714</v>
      </c>
      <c r="I18" s="13">
        <f t="shared" si="5"/>
        <v>0</v>
      </c>
      <c r="J18" s="14">
        <v>0.0</v>
      </c>
      <c r="K18" s="11">
        <v>0.0</v>
      </c>
      <c r="L18" s="16">
        <f t="shared" si="6"/>
        <v>0</v>
      </c>
      <c r="M18" s="16" t="str">
        <f t="shared" si="7"/>
        <v>#DIV/0!</v>
      </c>
      <c r="N18" s="19">
        <f t="shared" si="8"/>
        <v>16</v>
      </c>
      <c r="O18" s="18">
        <f t="shared" si="9"/>
        <v>1.333333333</v>
      </c>
      <c r="P18" s="18">
        <f t="shared" si="10"/>
        <v>5.333333333</v>
      </c>
      <c r="Q18" s="11">
        <v>1.0</v>
      </c>
      <c r="R18" s="19">
        <f t="shared" si="11"/>
        <v>26</v>
      </c>
      <c r="S18" s="18">
        <f t="shared" si="12"/>
        <v>8.666666667</v>
      </c>
    </row>
    <row r="19">
      <c r="A19" s="2" t="s">
        <v>93</v>
      </c>
      <c r="B19" s="11">
        <v>3.0</v>
      </c>
      <c r="C19" s="13">
        <f t="shared" si="1"/>
        <v>12</v>
      </c>
      <c r="D19" s="14">
        <v>6.0</v>
      </c>
      <c r="E19" s="11">
        <v>3.0</v>
      </c>
      <c r="F19" s="15">
        <f t="shared" si="2"/>
        <v>9</v>
      </c>
      <c r="G19" s="16">
        <f t="shared" si="3"/>
        <v>0.75</v>
      </c>
      <c r="H19" s="16">
        <f t="shared" si="4"/>
        <v>0.6666666667</v>
      </c>
      <c r="I19" s="13">
        <f t="shared" si="5"/>
        <v>1</v>
      </c>
      <c r="J19" s="14">
        <v>1.0</v>
      </c>
      <c r="K19" s="11">
        <v>0.0</v>
      </c>
      <c r="L19" s="16">
        <f t="shared" si="6"/>
        <v>0.08333333333</v>
      </c>
      <c r="M19" s="16">
        <f t="shared" si="7"/>
        <v>1</v>
      </c>
      <c r="N19" s="19">
        <f t="shared" si="8"/>
        <v>24</v>
      </c>
      <c r="O19" s="18">
        <f t="shared" si="9"/>
        <v>2</v>
      </c>
      <c r="P19" s="18">
        <f t="shared" si="10"/>
        <v>8</v>
      </c>
      <c r="Q19" s="11">
        <v>0.0</v>
      </c>
      <c r="R19" s="19">
        <f t="shared" si="11"/>
        <v>24</v>
      </c>
      <c r="S19" s="18">
        <f t="shared" si="12"/>
        <v>8</v>
      </c>
    </row>
    <row r="20">
      <c r="A20" s="2" t="s">
        <v>79</v>
      </c>
      <c r="B20" s="11">
        <v>3.0</v>
      </c>
      <c r="C20" s="13">
        <f t="shared" si="1"/>
        <v>12</v>
      </c>
      <c r="D20" s="14">
        <v>4.0</v>
      </c>
      <c r="E20" s="11">
        <v>6.0</v>
      </c>
      <c r="F20" s="15">
        <f t="shared" si="2"/>
        <v>10</v>
      </c>
      <c r="G20" s="16">
        <f t="shared" si="3"/>
        <v>0.8333333333</v>
      </c>
      <c r="H20" s="16">
        <f t="shared" si="4"/>
        <v>0.4</v>
      </c>
      <c r="I20" s="13">
        <f t="shared" si="5"/>
        <v>1</v>
      </c>
      <c r="J20" s="14">
        <v>0.0</v>
      </c>
      <c r="K20" s="11">
        <v>1.0</v>
      </c>
      <c r="L20" s="16">
        <f t="shared" si="6"/>
        <v>0.08333333333</v>
      </c>
      <c r="M20" s="16">
        <f t="shared" si="7"/>
        <v>0</v>
      </c>
      <c r="N20" s="19">
        <f t="shared" si="8"/>
        <v>12</v>
      </c>
      <c r="O20" s="18">
        <f t="shared" si="9"/>
        <v>1</v>
      </c>
      <c r="P20" s="18">
        <f t="shared" si="10"/>
        <v>4</v>
      </c>
      <c r="Q20" s="11">
        <v>1.0</v>
      </c>
      <c r="R20" s="19">
        <f t="shared" si="11"/>
        <v>22</v>
      </c>
      <c r="S20" s="18">
        <f t="shared" si="12"/>
        <v>7.333333333</v>
      </c>
    </row>
    <row r="21">
      <c r="A21" s="2" t="s">
        <v>70</v>
      </c>
      <c r="B21" s="11">
        <v>3.0</v>
      </c>
      <c r="C21" s="13">
        <f t="shared" si="1"/>
        <v>12</v>
      </c>
      <c r="D21" s="14">
        <v>3.0</v>
      </c>
      <c r="E21" s="11">
        <v>9.0</v>
      </c>
      <c r="F21" s="15">
        <f t="shared" si="2"/>
        <v>12</v>
      </c>
      <c r="G21" s="16">
        <f t="shared" si="3"/>
        <v>1</v>
      </c>
      <c r="H21" s="16">
        <f t="shared" si="4"/>
        <v>0.25</v>
      </c>
      <c r="I21" s="13">
        <f t="shared" si="5"/>
        <v>3</v>
      </c>
      <c r="J21" s="14">
        <v>0.0</v>
      </c>
      <c r="K21" s="11">
        <v>3.0</v>
      </c>
      <c r="L21" s="16">
        <f t="shared" si="6"/>
        <v>0.25</v>
      </c>
      <c r="M21" s="16">
        <f t="shared" si="7"/>
        <v>0</v>
      </c>
      <c r="N21" s="19">
        <f t="shared" si="8"/>
        <v>0</v>
      </c>
      <c r="O21" s="18">
        <f t="shared" si="9"/>
        <v>0</v>
      </c>
      <c r="P21" s="18">
        <f t="shared" si="10"/>
        <v>0</v>
      </c>
      <c r="Q21" s="11">
        <v>2.0</v>
      </c>
      <c r="R21" s="19">
        <f t="shared" si="11"/>
        <v>20</v>
      </c>
      <c r="S21" s="18">
        <f t="shared" si="12"/>
        <v>6.666666667</v>
      </c>
    </row>
    <row r="22">
      <c r="A22" s="2" t="s">
        <v>110</v>
      </c>
      <c r="B22" s="11">
        <v>3.0</v>
      </c>
      <c r="C22" s="13">
        <f t="shared" si="1"/>
        <v>12</v>
      </c>
      <c r="D22" s="14">
        <v>2.0</v>
      </c>
      <c r="E22" s="11">
        <v>0.0</v>
      </c>
      <c r="F22" s="15">
        <f t="shared" si="2"/>
        <v>2</v>
      </c>
      <c r="G22" s="16">
        <f t="shared" si="3"/>
        <v>0.1666666667</v>
      </c>
      <c r="H22" s="16">
        <f t="shared" si="4"/>
        <v>1</v>
      </c>
      <c r="I22" s="13">
        <f t="shared" si="5"/>
        <v>0</v>
      </c>
      <c r="J22" s="14">
        <v>0.0</v>
      </c>
      <c r="K22" s="11">
        <v>0.0</v>
      </c>
      <c r="L22" s="16">
        <f t="shared" si="6"/>
        <v>0</v>
      </c>
      <c r="M22" s="16" t="str">
        <f t="shared" si="7"/>
        <v>#DIV/0!</v>
      </c>
      <c r="N22" s="19">
        <f t="shared" si="8"/>
        <v>8</v>
      </c>
      <c r="O22" s="18">
        <f t="shared" si="9"/>
        <v>0.6666666667</v>
      </c>
      <c r="P22" s="18">
        <f t="shared" si="10"/>
        <v>2.666666667</v>
      </c>
      <c r="Q22" s="11">
        <v>1.0</v>
      </c>
      <c r="R22" s="19">
        <f t="shared" si="11"/>
        <v>18</v>
      </c>
      <c r="S22" s="18">
        <f t="shared" si="12"/>
        <v>6</v>
      </c>
    </row>
    <row r="23">
      <c r="A23" s="2" t="s">
        <v>109</v>
      </c>
      <c r="B23" s="11">
        <v>3.0</v>
      </c>
      <c r="C23" s="13">
        <f t="shared" si="1"/>
        <v>12</v>
      </c>
      <c r="D23" s="14">
        <v>1.0</v>
      </c>
      <c r="E23" s="11">
        <v>2.0</v>
      </c>
      <c r="F23" s="15">
        <f t="shared" si="2"/>
        <v>3</v>
      </c>
      <c r="G23" s="16">
        <f t="shared" si="3"/>
        <v>0.25</v>
      </c>
      <c r="H23" s="16">
        <f t="shared" si="4"/>
        <v>0.3333333333</v>
      </c>
      <c r="I23" s="13">
        <f t="shared" si="5"/>
        <v>0</v>
      </c>
      <c r="J23" s="14">
        <v>0.0</v>
      </c>
      <c r="K23" s="11">
        <v>0.0</v>
      </c>
      <c r="L23" s="16">
        <f t="shared" si="6"/>
        <v>0</v>
      </c>
      <c r="M23" s="16" t="str">
        <f t="shared" si="7"/>
        <v>#DIV/0!</v>
      </c>
      <c r="N23" s="19">
        <f t="shared" si="8"/>
        <v>4</v>
      </c>
      <c r="O23" s="18">
        <f t="shared" si="9"/>
        <v>0.3333333333</v>
      </c>
      <c r="P23" s="18">
        <f t="shared" si="10"/>
        <v>1.333333333</v>
      </c>
      <c r="Q23" s="11">
        <v>1.0</v>
      </c>
      <c r="R23" s="19">
        <f t="shared" si="11"/>
        <v>14</v>
      </c>
      <c r="S23" s="18">
        <f t="shared" si="12"/>
        <v>4.666666667</v>
      </c>
    </row>
    <row r="24">
      <c r="A24" s="2" t="s">
        <v>83</v>
      </c>
      <c r="B24" s="11">
        <v>3.0</v>
      </c>
      <c r="C24" s="13">
        <f t="shared" si="1"/>
        <v>12</v>
      </c>
      <c r="D24" s="14">
        <v>3.0</v>
      </c>
      <c r="E24" s="11">
        <v>4.0</v>
      </c>
      <c r="F24" s="15">
        <f t="shared" si="2"/>
        <v>7</v>
      </c>
      <c r="G24" s="16">
        <f t="shared" si="3"/>
        <v>0.5833333333</v>
      </c>
      <c r="H24" s="16">
        <f t="shared" si="4"/>
        <v>0.4285714286</v>
      </c>
      <c r="I24" s="13">
        <f t="shared" si="5"/>
        <v>0</v>
      </c>
      <c r="J24" s="14">
        <v>0.0</v>
      </c>
      <c r="K24" s="11">
        <v>0.0</v>
      </c>
      <c r="L24" s="16">
        <f t="shared" si="6"/>
        <v>0</v>
      </c>
      <c r="M24" s="16" t="str">
        <f t="shared" si="7"/>
        <v>#DIV/0!</v>
      </c>
      <c r="N24" s="19">
        <f t="shared" si="8"/>
        <v>12</v>
      </c>
      <c r="O24" s="18">
        <f t="shared" si="9"/>
        <v>1</v>
      </c>
      <c r="P24" s="18">
        <f t="shared" si="10"/>
        <v>4</v>
      </c>
      <c r="Q24" s="11">
        <v>0.0</v>
      </c>
      <c r="R24" s="19">
        <f t="shared" si="11"/>
        <v>12</v>
      </c>
      <c r="S24" s="18">
        <f t="shared" si="12"/>
        <v>4</v>
      </c>
    </row>
    <row r="25">
      <c r="A25" s="2" t="s">
        <v>107</v>
      </c>
      <c r="B25" s="11">
        <v>3.0</v>
      </c>
      <c r="C25" s="13">
        <f t="shared" si="1"/>
        <v>12</v>
      </c>
      <c r="D25" s="14">
        <v>1.0</v>
      </c>
      <c r="E25" s="11">
        <v>5.0</v>
      </c>
      <c r="F25" s="15">
        <f t="shared" si="2"/>
        <v>6</v>
      </c>
      <c r="G25" s="16">
        <f t="shared" si="3"/>
        <v>0.5</v>
      </c>
      <c r="H25" s="16">
        <f t="shared" si="4"/>
        <v>0.1666666667</v>
      </c>
      <c r="I25" s="13">
        <f t="shared" si="5"/>
        <v>1</v>
      </c>
      <c r="J25" s="14">
        <v>0.0</v>
      </c>
      <c r="K25" s="11">
        <v>1.0</v>
      </c>
      <c r="L25" s="16">
        <f t="shared" si="6"/>
        <v>0.08333333333</v>
      </c>
      <c r="M25" s="16">
        <f t="shared" si="7"/>
        <v>0</v>
      </c>
      <c r="N25" s="19">
        <f t="shared" si="8"/>
        <v>0</v>
      </c>
      <c r="O25" s="18">
        <f t="shared" si="9"/>
        <v>0</v>
      </c>
      <c r="P25" s="18">
        <f t="shared" si="10"/>
        <v>0</v>
      </c>
      <c r="Q25" s="11">
        <v>1.0</v>
      </c>
      <c r="R25" s="19">
        <f t="shared" si="11"/>
        <v>10</v>
      </c>
      <c r="S25" s="18">
        <f t="shared" si="12"/>
        <v>3.333333333</v>
      </c>
    </row>
    <row r="26">
      <c r="A26" s="2" t="s">
        <v>114</v>
      </c>
      <c r="B26" s="11">
        <v>3.0</v>
      </c>
      <c r="C26" s="13">
        <f t="shared" si="1"/>
        <v>12</v>
      </c>
      <c r="D26" s="14">
        <v>3.0</v>
      </c>
      <c r="E26" s="11">
        <v>6.0</v>
      </c>
      <c r="F26" s="15">
        <f t="shared" si="2"/>
        <v>9</v>
      </c>
      <c r="G26" s="16">
        <f t="shared" si="3"/>
        <v>0.75</v>
      </c>
      <c r="H26" s="16">
        <f t="shared" si="4"/>
        <v>0.3333333333</v>
      </c>
      <c r="I26" s="13">
        <f t="shared" si="5"/>
        <v>2</v>
      </c>
      <c r="J26" s="14">
        <v>1.0</v>
      </c>
      <c r="K26" s="11">
        <v>1.0</v>
      </c>
      <c r="L26" s="16">
        <f t="shared" si="6"/>
        <v>0.1666666667</v>
      </c>
      <c r="M26" s="16">
        <f t="shared" si="7"/>
        <v>0.5</v>
      </c>
      <c r="N26" s="19">
        <f t="shared" si="8"/>
        <v>8</v>
      </c>
      <c r="O26" s="18">
        <f t="shared" si="9"/>
        <v>0.6666666667</v>
      </c>
      <c r="P26" s="18">
        <f t="shared" si="10"/>
        <v>2.666666667</v>
      </c>
      <c r="Q26" s="11">
        <v>0.0</v>
      </c>
      <c r="R26" s="19">
        <f t="shared" si="11"/>
        <v>8</v>
      </c>
      <c r="S26" s="18">
        <f t="shared" si="12"/>
        <v>2.666666667</v>
      </c>
    </row>
    <row r="27">
      <c r="A27" s="2" t="s">
        <v>96</v>
      </c>
      <c r="B27" s="11">
        <v>3.0</v>
      </c>
      <c r="C27" s="13">
        <f t="shared" si="1"/>
        <v>12</v>
      </c>
      <c r="D27" s="14">
        <v>2.0</v>
      </c>
      <c r="E27" s="11">
        <v>3.0</v>
      </c>
      <c r="F27" s="15">
        <f t="shared" si="2"/>
        <v>5</v>
      </c>
      <c r="G27" s="16">
        <f t="shared" si="3"/>
        <v>0.4166666667</v>
      </c>
      <c r="H27" s="16">
        <f t="shared" si="4"/>
        <v>0.4</v>
      </c>
      <c r="I27" s="13">
        <f t="shared" si="5"/>
        <v>1</v>
      </c>
      <c r="J27" s="14">
        <v>0.0</v>
      </c>
      <c r="K27" s="11">
        <v>1.0</v>
      </c>
      <c r="L27" s="16">
        <f t="shared" si="6"/>
        <v>0.08333333333</v>
      </c>
      <c r="M27" s="16">
        <f t="shared" si="7"/>
        <v>0</v>
      </c>
      <c r="N27" s="19">
        <f t="shared" si="8"/>
        <v>4</v>
      </c>
      <c r="O27" s="18">
        <f t="shared" si="9"/>
        <v>0.3333333333</v>
      </c>
      <c r="P27" s="18">
        <f t="shared" si="10"/>
        <v>1.333333333</v>
      </c>
      <c r="Q27" s="11">
        <v>0.0</v>
      </c>
      <c r="R27" s="19">
        <f t="shared" si="11"/>
        <v>4</v>
      </c>
      <c r="S27" s="18">
        <f t="shared" si="12"/>
        <v>1.333333333</v>
      </c>
    </row>
    <row r="28">
      <c r="A28" s="2" t="s">
        <v>101</v>
      </c>
      <c r="B28" s="11">
        <v>3.0</v>
      </c>
      <c r="C28" s="13">
        <f t="shared" si="1"/>
        <v>12</v>
      </c>
      <c r="D28" s="14">
        <v>1.0</v>
      </c>
      <c r="E28" s="11">
        <v>3.0</v>
      </c>
      <c r="F28" s="15">
        <f t="shared" si="2"/>
        <v>4</v>
      </c>
      <c r="G28" s="16">
        <f t="shared" si="3"/>
        <v>0.3333333333</v>
      </c>
      <c r="H28" s="16">
        <f t="shared" si="4"/>
        <v>0.25</v>
      </c>
      <c r="I28" s="13">
        <f t="shared" si="5"/>
        <v>0</v>
      </c>
      <c r="J28" s="14">
        <v>0.0</v>
      </c>
      <c r="K28" s="11">
        <v>0.0</v>
      </c>
      <c r="L28" s="16">
        <f t="shared" si="6"/>
        <v>0</v>
      </c>
      <c r="M28" s="16" t="str">
        <f t="shared" si="7"/>
        <v>#DIV/0!</v>
      </c>
      <c r="N28" s="19">
        <f t="shared" si="8"/>
        <v>4</v>
      </c>
      <c r="O28" s="18">
        <f t="shared" si="9"/>
        <v>0.3333333333</v>
      </c>
      <c r="P28" s="18">
        <f t="shared" si="10"/>
        <v>1.333333333</v>
      </c>
      <c r="Q28" s="11">
        <v>0.0</v>
      </c>
      <c r="R28" s="19">
        <f t="shared" si="11"/>
        <v>4</v>
      </c>
      <c r="S28" s="18">
        <f t="shared" si="12"/>
        <v>1.333333333</v>
      </c>
    </row>
    <row r="29">
      <c r="A29" s="2" t="s">
        <v>98</v>
      </c>
      <c r="B29" s="11">
        <v>3.0</v>
      </c>
      <c r="C29" s="13">
        <f t="shared" si="1"/>
        <v>12</v>
      </c>
      <c r="D29" s="14">
        <v>2.0</v>
      </c>
      <c r="E29" s="20">
        <v>5.0</v>
      </c>
      <c r="F29" s="25">
        <f t="shared" si="2"/>
        <v>7</v>
      </c>
      <c r="G29" s="23">
        <f t="shared" si="3"/>
        <v>0.5833333333</v>
      </c>
      <c r="H29" s="23">
        <f t="shared" si="4"/>
        <v>0.2857142857</v>
      </c>
      <c r="I29" s="13">
        <f t="shared" si="5"/>
        <v>3</v>
      </c>
      <c r="J29" s="14">
        <v>1.0</v>
      </c>
      <c r="K29" s="11">
        <v>2.0</v>
      </c>
      <c r="L29" s="16">
        <f t="shared" si="6"/>
        <v>0.25</v>
      </c>
      <c r="M29" s="16">
        <f t="shared" si="7"/>
        <v>0.3333333333</v>
      </c>
      <c r="N29" s="19">
        <f t="shared" si="8"/>
        <v>0</v>
      </c>
      <c r="O29" s="18">
        <f t="shared" si="9"/>
        <v>0</v>
      </c>
      <c r="P29" s="18">
        <f t="shared" si="10"/>
        <v>0</v>
      </c>
      <c r="Q29" s="11">
        <v>0.0</v>
      </c>
      <c r="R29" s="19">
        <f t="shared" si="11"/>
        <v>0</v>
      </c>
      <c r="S29" s="18">
        <f t="shared" si="12"/>
        <v>0</v>
      </c>
    </row>
    <row r="30">
      <c r="A30" s="2" t="s">
        <v>111</v>
      </c>
      <c r="B30" s="11">
        <v>3.0</v>
      </c>
      <c r="C30" s="13">
        <f t="shared" si="1"/>
        <v>12</v>
      </c>
      <c r="D30" s="14">
        <v>0.0</v>
      </c>
      <c r="E30" s="11">
        <v>2.0</v>
      </c>
      <c r="F30" s="15">
        <f t="shared" si="2"/>
        <v>2</v>
      </c>
      <c r="G30" s="16">
        <f t="shared" si="3"/>
        <v>0.1666666667</v>
      </c>
      <c r="H30" s="16">
        <f t="shared" si="4"/>
        <v>0</v>
      </c>
      <c r="I30" s="13">
        <f t="shared" si="5"/>
        <v>0</v>
      </c>
      <c r="J30" s="14">
        <v>0.0</v>
      </c>
      <c r="K30" s="11">
        <v>0.0</v>
      </c>
      <c r="L30" s="16">
        <f t="shared" si="6"/>
        <v>0</v>
      </c>
      <c r="M30" s="16" t="str">
        <f t="shared" si="7"/>
        <v>#DIV/0!</v>
      </c>
      <c r="N30" s="19">
        <f t="shared" si="8"/>
        <v>0</v>
      </c>
      <c r="O30" s="18">
        <f t="shared" si="9"/>
        <v>0</v>
      </c>
      <c r="P30" s="18">
        <f t="shared" si="10"/>
        <v>0</v>
      </c>
      <c r="Q30" s="11">
        <v>0.0</v>
      </c>
      <c r="R30" s="19">
        <f t="shared" si="11"/>
        <v>0</v>
      </c>
      <c r="S30" s="18">
        <f t="shared" si="12"/>
        <v>0</v>
      </c>
    </row>
    <row r="31">
      <c r="A31" s="2" t="s">
        <v>117</v>
      </c>
      <c r="B31" s="11">
        <v>3.0</v>
      </c>
      <c r="C31" s="13">
        <f t="shared" si="1"/>
        <v>12</v>
      </c>
      <c r="D31" s="14">
        <v>0.0</v>
      </c>
      <c r="E31" s="11">
        <v>3.0</v>
      </c>
      <c r="F31" s="15">
        <f t="shared" si="2"/>
        <v>3</v>
      </c>
      <c r="G31" s="16">
        <f t="shared" si="3"/>
        <v>0.25</v>
      </c>
      <c r="H31" s="16">
        <f t="shared" si="4"/>
        <v>0</v>
      </c>
      <c r="I31" s="13">
        <f t="shared" si="5"/>
        <v>0</v>
      </c>
      <c r="J31" s="14">
        <v>0.0</v>
      </c>
      <c r="K31" s="11">
        <v>0.0</v>
      </c>
      <c r="L31" s="16">
        <f t="shared" si="6"/>
        <v>0</v>
      </c>
      <c r="M31" s="16" t="str">
        <f t="shared" si="7"/>
        <v>#DIV/0!</v>
      </c>
      <c r="N31" s="19">
        <f t="shared" si="8"/>
        <v>0</v>
      </c>
      <c r="O31" s="18">
        <f t="shared" si="9"/>
        <v>0</v>
      </c>
      <c r="P31" s="18">
        <f t="shared" si="10"/>
        <v>0</v>
      </c>
      <c r="Q31" s="11">
        <v>0.0</v>
      </c>
      <c r="R31" s="19">
        <f t="shared" si="11"/>
        <v>0</v>
      </c>
      <c r="S31" s="18">
        <f t="shared" si="12"/>
        <v>0</v>
      </c>
    </row>
    <row r="32">
      <c r="A32" s="2" t="s">
        <v>104</v>
      </c>
      <c r="B32" s="11">
        <v>3.0</v>
      </c>
      <c r="C32" s="13">
        <f t="shared" si="1"/>
        <v>12</v>
      </c>
      <c r="D32" s="14">
        <v>0.0</v>
      </c>
      <c r="E32" s="20">
        <v>2.0</v>
      </c>
      <c r="F32" s="25">
        <f t="shared" si="2"/>
        <v>2</v>
      </c>
      <c r="G32" s="23">
        <f t="shared" si="3"/>
        <v>0.1666666667</v>
      </c>
      <c r="H32" s="23">
        <f t="shared" si="4"/>
        <v>0</v>
      </c>
      <c r="I32" s="13">
        <f t="shared" si="5"/>
        <v>0</v>
      </c>
      <c r="J32" s="14">
        <v>0.0</v>
      </c>
      <c r="K32" s="11">
        <v>0.0</v>
      </c>
      <c r="L32" s="16">
        <f t="shared" si="6"/>
        <v>0</v>
      </c>
      <c r="M32" s="16" t="str">
        <f t="shared" si="7"/>
        <v>#DIV/0!</v>
      </c>
      <c r="N32" s="19">
        <f t="shared" si="8"/>
        <v>0</v>
      </c>
      <c r="O32" s="18">
        <f t="shared" si="9"/>
        <v>0</v>
      </c>
      <c r="P32" s="18">
        <f t="shared" si="10"/>
        <v>0</v>
      </c>
      <c r="Q32" s="11">
        <v>0.0</v>
      </c>
      <c r="R32" s="19">
        <f t="shared" si="11"/>
        <v>0</v>
      </c>
      <c r="S32" s="18">
        <f t="shared" si="12"/>
        <v>0</v>
      </c>
    </row>
    <row r="33">
      <c r="A33" s="2" t="s">
        <v>119</v>
      </c>
      <c r="B33" s="11">
        <v>3.0</v>
      </c>
      <c r="C33" s="13">
        <f t="shared" si="1"/>
        <v>12</v>
      </c>
      <c r="D33" s="14">
        <v>1.0</v>
      </c>
      <c r="E33" s="11">
        <v>5.0</v>
      </c>
      <c r="F33" s="15">
        <f t="shared" si="2"/>
        <v>6</v>
      </c>
      <c r="G33" s="16">
        <f t="shared" si="3"/>
        <v>0.5</v>
      </c>
      <c r="H33" s="16">
        <f t="shared" si="4"/>
        <v>0.1666666667</v>
      </c>
      <c r="I33" s="13">
        <f t="shared" si="5"/>
        <v>3</v>
      </c>
      <c r="J33" s="14">
        <v>0.0</v>
      </c>
      <c r="K33" s="11">
        <v>3.0</v>
      </c>
      <c r="L33" s="16">
        <f t="shared" si="6"/>
        <v>0.25</v>
      </c>
      <c r="M33" s="16">
        <f t="shared" si="7"/>
        <v>0</v>
      </c>
      <c r="N33" s="19">
        <f t="shared" si="8"/>
        <v>-8</v>
      </c>
      <c r="O33" s="18">
        <f t="shared" si="9"/>
        <v>-0.6666666667</v>
      </c>
      <c r="P33" s="18">
        <f t="shared" si="10"/>
        <v>-2.666666667</v>
      </c>
      <c r="Q33" s="11">
        <v>0.0</v>
      </c>
      <c r="R33" s="19">
        <f t="shared" si="11"/>
        <v>-8</v>
      </c>
      <c r="S33" s="18">
        <f t="shared" si="12"/>
        <v>-2.666666667</v>
      </c>
    </row>
    <row r="34">
      <c r="D34" s="29"/>
      <c r="F34" s="31"/>
      <c r="G34" s="30"/>
      <c r="H34" s="30"/>
      <c r="J34" s="29"/>
      <c r="L34" s="30"/>
      <c r="M34" s="30"/>
      <c r="O34" s="32"/>
      <c r="P34" s="32"/>
      <c r="S34" s="32"/>
    </row>
    <row r="35">
      <c r="D35" s="29"/>
      <c r="F35" s="31"/>
      <c r="G35" s="30"/>
      <c r="H35" s="30"/>
      <c r="J35" s="29"/>
      <c r="L35" s="30"/>
      <c r="M35" s="30"/>
      <c r="O35" s="32"/>
      <c r="P35" s="32"/>
      <c r="S35" s="32"/>
    </row>
    <row r="36">
      <c r="D36" s="29"/>
      <c r="F36" s="31"/>
      <c r="G36" s="30"/>
      <c r="H36" s="30"/>
      <c r="J36" s="29"/>
      <c r="L36" s="30"/>
      <c r="M36" s="30"/>
      <c r="O36" s="32"/>
      <c r="P36" s="32"/>
      <c r="S36" s="32"/>
    </row>
    <row r="37">
      <c r="D37" s="29"/>
      <c r="F37" s="31"/>
      <c r="G37" s="30"/>
      <c r="H37" s="30"/>
      <c r="J37" s="29"/>
      <c r="L37" s="30"/>
      <c r="M37" s="30"/>
      <c r="O37" s="32"/>
      <c r="P37" s="32"/>
      <c r="S37" s="32"/>
    </row>
    <row r="38">
      <c r="D38" s="29"/>
      <c r="F38" s="31"/>
      <c r="G38" s="30"/>
      <c r="H38" s="30"/>
      <c r="J38" s="29"/>
      <c r="L38" s="30"/>
      <c r="M38" s="30"/>
      <c r="O38" s="32"/>
      <c r="P38" s="32"/>
      <c r="S38" s="32"/>
    </row>
    <row r="39">
      <c r="D39" s="29"/>
      <c r="F39" s="31"/>
      <c r="G39" s="30"/>
      <c r="H39" s="30"/>
      <c r="J39" s="29"/>
      <c r="L39" s="30"/>
      <c r="M39" s="30"/>
      <c r="O39" s="32"/>
      <c r="P39" s="32"/>
      <c r="S39" s="32"/>
    </row>
    <row r="40">
      <c r="D40" s="29"/>
      <c r="F40" s="31"/>
      <c r="G40" s="30"/>
      <c r="H40" s="30"/>
      <c r="J40" s="29"/>
      <c r="L40" s="30"/>
      <c r="M40" s="30"/>
      <c r="O40" s="32"/>
      <c r="P40" s="32"/>
      <c r="S40" s="32"/>
    </row>
    <row r="41">
      <c r="D41" s="29"/>
      <c r="F41" s="31"/>
      <c r="G41" s="30"/>
      <c r="H41" s="30"/>
      <c r="J41" s="29"/>
      <c r="L41" s="30"/>
      <c r="M41" s="30"/>
      <c r="O41" s="32"/>
      <c r="P41" s="32"/>
      <c r="S41" s="32"/>
    </row>
    <row r="42">
      <c r="D42" s="29"/>
      <c r="F42" s="31"/>
      <c r="G42" s="30"/>
      <c r="H42" s="30"/>
      <c r="J42" s="29"/>
      <c r="L42" s="30"/>
      <c r="M42" s="30"/>
      <c r="O42" s="32"/>
      <c r="P42" s="32"/>
      <c r="S42" s="32"/>
    </row>
    <row r="43">
      <c r="D43" s="29"/>
      <c r="F43" s="31"/>
      <c r="G43" s="30"/>
      <c r="H43" s="30"/>
      <c r="J43" s="29"/>
      <c r="L43" s="30"/>
      <c r="M43" s="30"/>
      <c r="O43" s="32"/>
      <c r="P43" s="32"/>
      <c r="S43" s="32"/>
    </row>
    <row r="44">
      <c r="D44" s="29"/>
      <c r="F44" s="31"/>
      <c r="G44" s="30"/>
      <c r="H44" s="30"/>
      <c r="J44" s="29"/>
      <c r="L44" s="30"/>
      <c r="M44" s="30"/>
      <c r="O44" s="32"/>
      <c r="P44" s="32"/>
      <c r="S44" s="32"/>
    </row>
    <row r="45">
      <c r="D45" s="29"/>
      <c r="F45" s="31"/>
      <c r="G45" s="30"/>
      <c r="H45" s="30"/>
      <c r="J45" s="29"/>
      <c r="L45" s="30"/>
      <c r="M45" s="30"/>
      <c r="O45" s="32"/>
      <c r="P45" s="32"/>
      <c r="S45" s="32"/>
    </row>
    <row r="46">
      <c r="D46" s="29"/>
      <c r="F46" s="31"/>
      <c r="G46" s="30"/>
      <c r="H46" s="30"/>
      <c r="J46" s="29"/>
      <c r="L46" s="30"/>
      <c r="M46" s="30"/>
      <c r="O46" s="32"/>
      <c r="P46" s="32"/>
      <c r="S46" s="32"/>
    </row>
    <row r="47">
      <c r="D47" s="29"/>
      <c r="F47" s="31"/>
      <c r="G47" s="30"/>
      <c r="H47" s="30"/>
      <c r="J47" s="29"/>
      <c r="L47" s="30"/>
      <c r="M47" s="30"/>
      <c r="O47" s="32"/>
      <c r="P47" s="32"/>
      <c r="S47" s="32"/>
    </row>
    <row r="48">
      <c r="D48" s="29"/>
      <c r="F48" s="31"/>
      <c r="G48" s="30"/>
      <c r="H48" s="30"/>
      <c r="J48" s="29"/>
      <c r="L48" s="30"/>
      <c r="M48" s="30"/>
      <c r="O48" s="32"/>
      <c r="P48" s="32"/>
      <c r="S48" s="32"/>
    </row>
    <row r="49">
      <c r="D49" s="29"/>
      <c r="F49" s="31"/>
      <c r="G49" s="30"/>
      <c r="H49" s="30"/>
      <c r="J49" s="29"/>
      <c r="L49" s="30"/>
      <c r="M49" s="30"/>
      <c r="O49" s="32"/>
      <c r="P49" s="32"/>
      <c r="S49" s="32"/>
    </row>
    <row r="50">
      <c r="D50" s="29"/>
      <c r="F50" s="31"/>
      <c r="G50" s="30"/>
      <c r="H50" s="30"/>
      <c r="J50" s="29"/>
      <c r="L50" s="30"/>
      <c r="M50" s="30"/>
      <c r="O50" s="32"/>
      <c r="P50" s="32"/>
      <c r="S50" s="32"/>
    </row>
    <row r="51">
      <c r="D51" s="29"/>
      <c r="F51" s="31"/>
      <c r="G51" s="30"/>
      <c r="H51" s="30"/>
      <c r="J51" s="29"/>
      <c r="L51" s="30"/>
      <c r="M51" s="30"/>
      <c r="O51" s="32"/>
      <c r="P51" s="32"/>
      <c r="S51" s="32"/>
    </row>
    <row r="52">
      <c r="D52" s="29"/>
      <c r="F52" s="31"/>
      <c r="G52" s="30"/>
      <c r="H52" s="30"/>
      <c r="J52" s="29"/>
      <c r="L52" s="30"/>
      <c r="M52" s="30"/>
      <c r="O52" s="32"/>
      <c r="P52" s="32"/>
      <c r="S52" s="32"/>
    </row>
    <row r="53">
      <c r="D53" s="29"/>
      <c r="F53" s="31"/>
      <c r="G53" s="30"/>
      <c r="H53" s="30"/>
      <c r="J53" s="29"/>
      <c r="L53" s="30"/>
      <c r="M53" s="30"/>
      <c r="O53" s="32"/>
      <c r="P53" s="32"/>
      <c r="S53" s="32"/>
    </row>
    <row r="54">
      <c r="D54" s="29"/>
      <c r="F54" s="31"/>
      <c r="G54" s="30"/>
      <c r="H54" s="30"/>
      <c r="J54" s="29"/>
      <c r="L54" s="30"/>
      <c r="M54" s="30"/>
      <c r="O54" s="32"/>
      <c r="P54" s="32"/>
      <c r="S54" s="32"/>
    </row>
    <row r="55">
      <c r="D55" s="29"/>
      <c r="F55" s="31"/>
      <c r="G55" s="30"/>
      <c r="H55" s="30"/>
      <c r="J55" s="29"/>
      <c r="L55" s="30"/>
      <c r="M55" s="30"/>
      <c r="O55" s="32"/>
      <c r="P55" s="32"/>
      <c r="S55" s="32"/>
    </row>
    <row r="56">
      <c r="D56" s="29"/>
      <c r="F56" s="31"/>
      <c r="G56" s="30"/>
      <c r="H56" s="30"/>
      <c r="J56" s="29"/>
      <c r="L56" s="30"/>
      <c r="M56" s="30"/>
      <c r="O56" s="32"/>
      <c r="P56" s="32"/>
      <c r="S56" s="32"/>
    </row>
    <row r="57">
      <c r="D57" s="29"/>
      <c r="F57" s="31"/>
      <c r="G57" s="30"/>
      <c r="H57" s="30"/>
      <c r="J57" s="29"/>
      <c r="L57" s="30"/>
      <c r="M57" s="30"/>
      <c r="O57" s="32"/>
      <c r="P57" s="32"/>
      <c r="S57" s="32"/>
    </row>
    <row r="58">
      <c r="D58" s="29"/>
      <c r="F58" s="31"/>
      <c r="G58" s="30"/>
      <c r="H58" s="30"/>
      <c r="J58" s="29"/>
      <c r="L58" s="30"/>
      <c r="M58" s="30"/>
      <c r="O58" s="32"/>
      <c r="P58" s="32"/>
      <c r="S58" s="32"/>
    </row>
    <row r="59">
      <c r="D59" s="29"/>
      <c r="F59" s="31"/>
      <c r="G59" s="30"/>
      <c r="H59" s="30"/>
      <c r="J59" s="29"/>
      <c r="L59" s="30"/>
      <c r="M59" s="30"/>
      <c r="O59" s="32"/>
      <c r="P59" s="32"/>
      <c r="S59" s="32"/>
    </row>
    <row r="60">
      <c r="D60" s="29"/>
      <c r="F60" s="31"/>
      <c r="G60" s="30"/>
      <c r="H60" s="30"/>
      <c r="J60" s="29"/>
      <c r="L60" s="30"/>
      <c r="M60" s="30"/>
      <c r="O60" s="32"/>
      <c r="P60" s="32"/>
      <c r="S60" s="32"/>
    </row>
    <row r="61">
      <c r="D61" s="29"/>
      <c r="F61" s="31"/>
      <c r="G61" s="30"/>
      <c r="H61" s="30"/>
      <c r="J61" s="29"/>
      <c r="L61" s="30"/>
      <c r="M61" s="30"/>
      <c r="O61" s="32"/>
      <c r="P61" s="32"/>
      <c r="S61" s="32"/>
    </row>
    <row r="62">
      <c r="D62" s="29"/>
      <c r="F62" s="31"/>
      <c r="G62" s="30"/>
      <c r="H62" s="30"/>
      <c r="J62" s="29"/>
      <c r="L62" s="30"/>
      <c r="M62" s="30"/>
      <c r="O62" s="32"/>
      <c r="P62" s="32"/>
      <c r="S62" s="32"/>
    </row>
    <row r="63">
      <c r="D63" s="29"/>
      <c r="F63" s="31"/>
      <c r="G63" s="30"/>
      <c r="H63" s="30"/>
      <c r="J63" s="29"/>
      <c r="L63" s="30"/>
      <c r="M63" s="30"/>
      <c r="O63" s="32"/>
      <c r="P63" s="32"/>
      <c r="S63" s="32"/>
    </row>
    <row r="64">
      <c r="D64" s="29"/>
      <c r="F64" s="31"/>
      <c r="G64" s="30"/>
      <c r="H64" s="30"/>
      <c r="J64" s="29"/>
      <c r="L64" s="30"/>
      <c r="M64" s="30"/>
      <c r="O64" s="32"/>
      <c r="P64" s="32"/>
      <c r="S64" s="32"/>
    </row>
    <row r="65">
      <c r="D65" s="29"/>
      <c r="F65" s="31"/>
      <c r="G65" s="30"/>
      <c r="H65" s="30"/>
      <c r="J65" s="29"/>
      <c r="L65" s="30"/>
      <c r="M65" s="30"/>
      <c r="O65" s="32"/>
      <c r="P65" s="32"/>
      <c r="S65" s="32"/>
    </row>
    <row r="66">
      <c r="D66" s="29"/>
      <c r="F66" s="31"/>
      <c r="G66" s="30"/>
      <c r="H66" s="30"/>
      <c r="J66" s="29"/>
      <c r="L66" s="30"/>
      <c r="M66" s="30"/>
      <c r="O66" s="32"/>
      <c r="P66" s="32"/>
      <c r="S66" s="32"/>
    </row>
    <row r="67">
      <c r="D67" s="29"/>
      <c r="F67" s="31"/>
      <c r="G67" s="30"/>
      <c r="H67" s="30"/>
      <c r="J67" s="29"/>
      <c r="L67" s="30"/>
      <c r="M67" s="30"/>
      <c r="O67" s="32"/>
      <c r="P67" s="32"/>
      <c r="S67" s="32"/>
    </row>
    <row r="68">
      <c r="D68" s="29"/>
      <c r="F68" s="31"/>
      <c r="G68" s="30"/>
      <c r="H68" s="30"/>
      <c r="J68" s="29"/>
      <c r="L68" s="30"/>
      <c r="M68" s="30"/>
      <c r="O68" s="32"/>
      <c r="P68" s="32"/>
      <c r="S68" s="32"/>
    </row>
    <row r="69">
      <c r="D69" s="29"/>
      <c r="F69" s="31"/>
      <c r="G69" s="30"/>
      <c r="H69" s="30"/>
      <c r="J69" s="29"/>
      <c r="L69" s="30"/>
      <c r="M69" s="30"/>
      <c r="O69" s="32"/>
      <c r="P69" s="32"/>
      <c r="S69" s="32"/>
    </row>
    <row r="70">
      <c r="D70" s="29"/>
      <c r="F70" s="31"/>
      <c r="G70" s="30"/>
      <c r="H70" s="30"/>
      <c r="J70" s="29"/>
      <c r="L70" s="30"/>
      <c r="M70" s="30"/>
      <c r="O70" s="32"/>
      <c r="P70" s="32"/>
      <c r="S70" s="32"/>
    </row>
    <row r="71">
      <c r="D71" s="29"/>
      <c r="F71" s="31"/>
      <c r="G71" s="30"/>
      <c r="H71" s="30"/>
      <c r="J71" s="29"/>
      <c r="L71" s="30"/>
      <c r="M71" s="30"/>
      <c r="O71" s="32"/>
      <c r="P71" s="32"/>
      <c r="S71" s="32"/>
    </row>
    <row r="72">
      <c r="D72" s="29"/>
      <c r="F72" s="31"/>
      <c r="G72" s="30"/>
      <c r="H72" s="30"/>
      <c r="J72" s="29"/>
      <c r="L72" s="30"/>
      <c r="M72" s="30"/>
      <c r="O72" s="32"/>
      <c r="P72" s="32"/>
      <c r="S72" s="32"/>
    </row>
    <row r="73">
      <c r="D73" s="29"/>
      <c r="F73" s="31"/>
      <c r="G73" s="30"/>
      <c r="H73" s="30"/>
      <c r="J73" s="29"/>
      <c r="L73" s="30"/>
      <c r="M73" s="30"/>
      <c r="O73" s="32"/>
      <c r="P73" s="32"/>
      <c r="S73" s="32"/>
    </row>
    <row r="74">
      <c r="D74" s="29"/>
      <c r="F74" s="31"/>
      <c r="G74" s="30"/>
      <c r="H74" s="30"/>
      <c r="J74" s="29"/>
      <c r="L74" s="30"/>
      <c r="M74" s="30"/>
      <c r="O74" s="32"/>
      <c r="P74" s="32"/>
      <c r="S74" s="32"/>
    </row>
    <row r="75">
      <c r="D75" s="29"/>
      <c r="F75" s="31"/>
      <c r="G75" s="30"/>
      <c r="H75" s="30"/>
      <c r="J75" s="29"/>
      <c r="L75" s="30"/>
      <c r="M75" s="30"/>
      <c r="O75" s="32"/>
      <c r="P75" s="32"/>
      <c r="S75" s="32"/>
    </row>
    <row r="76">
      <c r="D76" s="29"/>
      <c r="F76" s="31"/>
      <c r="G76" s="30"/>
      <c r="H76" s="30"/>
      <c r="J76" s="29"/>
      <c r="L76" s="30"/>
      <c r="M76" s="30"/>
      <c r="O76" s="32"/>
      <c r="P76" s="32"/>
      <c r="S76" s="32"/>
    </row>
    <row r="77">
      <c r="D77" s="29"/>
      <c r="F77" s="31"/>
      <c r="G77" s="30"/>
      <c r="H77" s="30"/>
      <c r="J77" s="29"/>
      <c r="L77" s="30"/>
      <c r="M77" s="30"/>
      <c r="O77" s="32"/>
      <c r="P77" s="32"/>
      <c r="S77" s="32"/>
    </row>
    <row r="78">
      <c r="D78" s="29"/>
      <c r="F78" s="31"/>
      <c r="G78" s="30"/>
      <c r="H78" s="30"/>
      <c r="J78" s="29"/>
      <c r="L78" s="30"/>
      <c r="M78" s="30"/>
      <c r="O78" s="32"/>
      <c r="P78" s="32"/>
      <c r="S78" s="32"/>
    </row>
    <row r="79">
      <c r="D79" s="29"/>
      <c r="F79" s="31"/>
      <c r="G79" s="30"/>
      <c r="H79" s="30"/>
      <c r="J79" s="29"/>
      <c r="L79" s="30"/>
      <c r="M79" s="30"/>
      <c r="O79" s="32"/>
      <c r="P79" s="32"/>
      <c r="S79" s="32"/>
    </row>
    <row r="80">
      <c r="D80" s="29"/>
      <c r="F80" s="31"/>
      <c r="G80" s="30"/>
      <c r="H80" s="30"/>
      <c r="J80" s="29"/>
      <c r="L80" s="30"/>
      <c r="M80" s="30"/>
      <c r="O80" s="32"/>
      <c r="P80" s="32"/>
      <c r="S80" s="32"/>
    </row>
    <row r="81">
      <c r="D81" s="29"/>
      <c r="F81" s="31"/>
      <c r="G81" s="30"/>
      <c r="H81" s="30"/>
      <c r="J81" s="29"/>
      <c r="L81" s="30"/>
      <c r="M81" s="30"/>
      <c r="O81" s="32"/>
      <c r="P81" s="32"/>
      <c r="S81" s="32"/>
    </row>
    <row r="82">
      <c r="D82" s="29"/>
      <c r="F82" s="31"/>
      <c r="G82" s="30"/>
      <c r="H82" s="30"/>
      <c r="J82" s="29"/>
      <c r="L82" s="30"/>
      <c r="M82" s="30"/>
      <c r="O82" s="32"/>
      <c r="P82" s="32"/>
      <c r="S82" s="32"/>
    </row>
    <row r="83">
      <c r="D83" s="29"/>
      <c r="F83" s="31"/>
      <c r="G83" s="30"/>
      <c r="H83" s="30"/>
      <c r="J83" s="29"/>
      <c r="L83" s="30"/>
      <c r="M83" s="30"/>
      <c r="O83" s="32"/>
      <c r="P83" s="32"/>
      <c r="S83" s="32"/>
    </row>
    <row r="84">
      <c r="D84" s="29"/>
      <c r="F84" s="31"/>
      <c r="G84" s="30"/>
      <c r="H84" s="30"/>
      <c r="J84" s="29"/>
      <c r="L84" s="30"/>
      <c r="M84" s="30"/>
      <c r="O84" s="32"/>
      <c r="P84" s="32"/>
      <c r="S84" s="32"/>
    </row>
    <row r="85">
      <c r="D85" s="29"/>
      <c r="F85" s="31"/>
      <c r="G85" s="30"/>
      <c r="H85" s="30"/>
      <c r="J85" s="29"/>
      <c r="L85" s="30"/>
      <c r="M85" s="30"/>
      <c r="O85" s="32"/>
      <c r="P85" s="32"/>
      <c r="S85" s="32"/>
    </row>
    <row r="86">
      <c r="D86" s="29"/>
      <c r="F86" s="31"/>
      <c r="G86" s="30"/>
      <c r="H86" s="30"/>
      <c r="J86" s="29"/>
      <c r="L86" s="30"/>
      <c r="M86" s="30"/>
      <c r="O86" s="32"/>
      <c r="P86" s="32"/>
      <c r="S86" s="32"/>
    </row>
    <row r="87">
      <c r="D87" s="29"/>
      <c r="F87" s="31"/>
      <c r="G87" s="30"/>
      <c r="H87" s="30"/>
      <c r="J87" s="29"/>
      <c r="L87" s="30"/>
      <c r="M87" s="30"/>
      <c r="O87" s="32"/>
      <c r="P87" s="32"/>
      <c r="S87" s="32"/>
    </row>
    <row r="88">
      <c r="D88" s="29"/>
      <c r="F88" s="31"/>
      <c r="G88" s="30"/>
      <c r="H88" s="30"/>
      <c r="J88" s="29"/>
      <c r="L88" s="30"/>
      <c r="M88" s="30"/>
      <c r="O88" s="32"/>
      <c r="P88" s="32"/>
      <c r="S88" s="32"/>
    </row>
    <row r="89">
      <c r="D89" s="29"/>
      <c r="F89" s="31"/>
      <c r="G89" s="30"/>
      <c r="H89" s="30"/>
      <c r="J89" s="29"/>
      <c r="L89" s="30"/>
      <c r="M89" s="30"/>
      <c r="O89" s="32"/>
      <c r="P89" s="32"/>
      <c r="S89" s="32"/>
    </row>
    <row r="90">
      <c r="D90" s="29"/>
      <c r="F90" s="31"/>
      <c r="G90" s="30"/>
      <c r="H90" s="30"/>
      <c r="J90" s="29"/>
      <c r="L90" s="30"/>
      <c r="M90" s="30"/>
      <c r="O90" s="32"/>
      <c r="P90" s="32"/>
      <c r="S90" s="32"/>
    </row>
    <row r="91">
      <c r="D91" s="29"/>
      <c r="F91" s="31"/>
      <c r="G91" s="30"/>
      <c r="H91" s="30"/>
      <c r="J91" s="29"/>
      <c r="L91" s="30"/>
      <c r="M91" s="30"/>
      <c r="O91" s="32"/>
      <c r="P91" s="32"/>
      <c r="S91" s="32"/>
    </row>
    <row r="92">
      <c r="D92" s="29"/>
      <c r="F92" s="31"/>
      <c r="G92" s="30"/>
      <c r="H92" s="30"/>
      <c r="J92" s="29"/>
      <c r="L92" s="30"/>
      <c r="M92" s="30"/>
      <c r="O92" s="32"/>
      <c r="P92" s="32"/>
      <c r="S92" s="32"/>
    </row>
    <row r="93">
      <c r="D93" s="29"/>
      <c r="F93" s="31"/>
      <c r="G93" s="30"/>
      <c r="H93" s="30"/>
      <c r="J93" s="29"/>
      <c r="L93" s="30"/>
      <c r="M93" s="30"/>
      <c r="O93" s="32"/>
      <c r="P93" s="32"/>
      <c r="S93" s="32"/>
    </row>
    <row r="94">
      <c r="D94" s="29"/>
      <c r="F94" s="31"/>
      <c r="G94" s="30"/>
      <c r="H94" s="30"/>
      <c r="J94" s="29"/>
      <c r="L94" s="30"/>
      <c r="M94" s="30"/>
      <c r="O94" s="32"/>
      <c r="P94" s="32"/>
      <c r="S94" s="32"/>
    </row>
    <row r="95">
      <c r="D95" s="29"/>
      <c r="F95" s="31"/>
      <c r="G95" s="30"/>
      <c r="H95" s="30"/>
      <c r="J95" s="29"/>
      <c r="L95" s="30"/>
      <c r="M95" s="30"/>
      <c r="O95" s="32"/>
      <c r="P95" s="32"/>
      <c r="S95" s="32"/>
    </row>
    <row r="96">
      <c r="D96" s="29"/>
      <c r="F96" s="31"/>
      <c r="G96" s="30"/>
      <c r="H96" s="30"/>
      <c r="J96" s="29"/>
      <c r="L96" s="30"/>
      <c r="M96" s="30"/>
      <c r="O96" s="32"/>
      <c r="P96" s="32"/>
      <c r="S96" s="32"/>
    </row>
    <row r="97">
      <c r="D97" s="29"/>
      <c r="F97" s="31"/>
      <c r="G97" s="30"/>
      <c r="H97" s="30"/>
      <c r="J97" s="29"/>
      <c r="L97" s="30"/>
      <c r="M97" s="30"/>
      <c r="O97" s="32"/>
      <c r="P97" s="32"/>
      <c r="S97" s="32"/>
    </row>
    <row r="98">
      <c r="D98" s="29"/>
      <c r="F98" s="31"/>
      <c r="G98" s="30"/>
      <c r="H98" s="30"/>
      <c r="J98" s="29"/>
      <c r="L98" s="30"/>
      <c r="M98" s="30"/>
      <c r="O98" s="32"/>
      <c r="P98" s="32"/>
      <c r="S98" s="32"/>
    </row>
    <row r="99">
      <c r="D99" s="29"/>
      <c r="F99" s="31"/>
      <c r="G99" s="30"/>
      <c r="H99" s="30"/>
      <c r="J99" s="29"/>
      <c r="L99" s="30"/>
      <c r="M99" s="30"/>
      <c r="O99" s="32"/>
      <c r="P99" s="32"/>
      <c r="S99" s="32"/>
    </row>
    <row r="100">
      <c r="D100" s="29"/>
      <c r="F100" s="31"/>
      <c r="G100" s="30"/>
      <c r="H100" s="30"/>
      <c r="J100" s="29"/>
      <c r="L100" s="30"/>
      <c r="M100" s="30"/>
      <c r="O100" s="32"/>
      <c r="P100" s="32"/>
      <c r="S100" s="32"/>
    </row>
    <row r="101">
      <c r="D101" s="29"/>
      <c r="F101" s="31"/>
      <c r="G101" s="30"/>
      <c r="H101" s="30"/>
      <c r="J101" s="29"/>
      <c r="L101" s="30"/>
      <c r="M101" s="30"/>
      <c r="O101" s="32"/>
      <c r="P101" s="32"/>
      <c r="S101" s="32"/>
    </row>
    <row r="102">
      <c r="D102" s="29"/>
      <c r="F102" s="31"/>
      <c r="G102" s="30"/>
      <c r="H102" s="30"/>
      <c r="J102" s="29"/>
      <c r="L102" s="30"/>
      <c r="M102" s="30"/>
      <c r="O102" s="32"/>
      <c r="P102" s="32"/>
      <c r="S102" s="32"/>
    </row>
    <row r="103">
      <c r="D103" s="29"/>
      <c r="F103" s="31"/>
      <c r="G103" s="30"/>
      <c r="H103" s="30"/>
      <c r="J103" s="29"/>
      <c r="L103" s="30"/>
      <c r="M103" s="30"/>
      <c r="O103" s="32"/>
      <c r="P103" s="32"/>
      <c r="S103" s="32"/>
    </row>
    <row r="104">
      <c r="D104" s="29"/>
      <c r="F104" s="31"/>
      <c r="G104" s="30"/>
      <c r="H104" s="30"/>
      <c r="J104" s="29"/>
      <c r="L104" s="30"/>
      <c r="M104" s="30"/>
      <c r="O104" s="32"/>
      <c r="P104" s="32"/>
      <c r="S104" s="32"/>
    </row>
    <row r="105">
      <c r="D105" s="29"/>
      <c r="F105" s="31"/>
      <c r="G105" s="30"/>
      <c r="H105" s="30"/>
      <c r="J105" s="29"/>
      <c r="L105" s="30"/>
      <c r="M105" s="30"/>
      <c r="O105" s="32"/>
      <c r="P105" s="32"/>
      <c r="S105" s="32"/>
    </row>
    <row r="106">
      <c r="D106" s="29"/>
      <c r="F106" s="31"/>
      <c r="G106" s="30"/>
      <c r="H106" s="30"/>
      <c r="J106" s="29"/>
      <c r="L106" s="30"/>
      <c r="M106" s="30"/>
      <c r="O106" s="32"/>
      <c r="P106" s="32"/>
      <c r="S106" s="32"/>
    </row>
    <row r="107">
      <c r="D107" s="29"/>
      <c r="F107" s="31"/>
      <c r="G107" s="30"/>
      <c r="H107" s="30"/>
      <c r="J107" s="29"/>
      <c r="L107" s="30"/>
      <c r="M107" s="30"/>
      <c r="O107" s="32"/>
      <c r="P107" s="32"/>
      <c r="S107" s="32"/>
    </row>
    <row r="108">
      <c r="D108" s="29"/>
      <c r="F108" s="31"/>
      <c r="G108" s="30"/>
      <c r="H108" s="30"/>
      <c r="J108" s="29"/>
      <c r="L108" s="30"/>
      <c r="M108" s="30"/>
      <c r="O108" s="32"/>
      <c r="P108" s="32"/>
      <c r="S108" s="32"/>
    </row>
    <row r="109">
      <c r="D109" s="29"/>
      <c r="F109" s="31"/>
      <c r="G109" s="30"/>
      <c r="H109" s="30"/>
      <c r="J109" s="29"/>
      <c r="L109" s="30"/>
      <c r="M109" s="30"/>
      <c r="O109" s="32"/>
      <c r="P109" s="32"/>
      <c r="S109" s="32"/>
    </row>
    <row r="110">
      <c r="D110" s="29"/>
      <c r="F110" s="31"/>
      <c r="G110" s="30"/>
      <c r="H110" s="30"/>
      <c r="J110" s="29"/>
      <c r="L110" s="30"/>
      <c r="M110" s="30"/>
      <c r="O110" s="32"/>
      <c r="P110" s="32"/>
      <c r="S110" s="32"/>
    </row>
    <row r="111">
      <c r="D111" s="29"/>
      <c r="F111" s="31"/>
      <c r="G111" s="30"/>
      <c r="H111" s="30"/>
      <c r="J111" s="29"/>
      <c r="L111" s="30"/>
      <c r="M111" s="30"/>
      <c r="O111" s="32"/>
      <c r="P111" s="32"/>
      <c r="S111" s="32"/>
    </row>
    <row r="112">
      <c r="D112" s="29"/>
      <c r="F112" s="31"/>
      <c r="G112" s="30"/>
      <c r="H112" s="30"/>
      <c r="J112" s="29"/>
      <c r="L112" s="30"/>
      <c r="M112" s="30"/>
      <c r="O112" s="32"/>
      <c r="P112" s="32"/>
      <c r="S112" s="32"/>
    </row>
    <row r="113">
      <c r="D113" s="29"/>
      <c r="F113" s="31"/>
      <c r="G113" s="30"/>
      <c r="H113" s="30"/>
      <c r="J113" s="29"/>
      <c r="L113" s="30"/>
      <c r="M113" s="30"/>
      <c r="O113" s="32"/>
      <c r="P113" s="32"/>
      <c r="S113" s="32"/>
    </row>
    <row r="114">
      <c r="D114" s="29"/>
      <c r="F114" s="31"/>
      <c r="G114" s="30"/>
      <c r="H114" s="30"/>
      <c r="J114" s="29"/>
      <c r="L114" s="30"/>
      <c r="M114" s="30"/>
      <c r="O114" s="32"/>
      <c r="P114" s="32"/>
      <c r="S114" s="32"/>
    </row>
    <row r="115">
      <c r="D115" s="29"/>
      <c r="F115" s="31"/>
      <c r="G115" s="30"/>
      <c r="H115" s="30"/>
      <c r="J115" s="29"/>
      <c r="L115" s="30"/>
      <c r="M115" s="30"/>
      <c r="O115" s="32"/>
      <c r="P115" s="32"/>
      <c r="S115" s="32"/>
    </row>
    <row r="116">
      <c r="D116" s="29"/>
      <c r="F116" s="31"/>
      <c r="G116" s="30"/>
      <c r="H116" s="30"/>
      <c r="J116" s="29"/>
      <c r="L116" s="30"/>
      <c r="M116" s="30"/>
      <c r="O116" s="32"/>
      <c r="P116" s="32"/>
      <c r="S116" s="32"/>
    </row>
    <row r="117">
      <c r="D117" s="29"/>
      <c r="F117" s="31"/>
      <c r="G117" s="30"/>
      <c r="H117" s="30"/>
      <c r="J117" s="29"/>
      <c r="L117" s="30"/>
      <c r="M117" s="30"/>
      <c r="O117" s="32"/>
      <c r="P117" s="32"/>
      <c r="S117" s="32"/>
    </row>
    <row r="118">
      <c r="D118" s="29"/>
      <c r="F118" s="31"/>
      <c r="G118" s="30"/>
      <c r="H118" s="30"/>
      <c r="J118" s="29"/>
      <c r="L118" s="30"/>
      <c r="M118" s="30"/>
      <c r="O118" s="32"/>
      <c r="P118" s="32"/>
      <c r="S118" s="32"/>
    </row>
    <row r="119">
      <c r="D119" s="29"/>
      <c r="F119" s="31"/>
      <c r="G119" s="30"/>
      <c r="H119" s="30"/>
      <c r="J119" s="29"/>
      <c r="L119" s="30"/>
      <c r="M119" s="30"/>
      <c r="O119" s="32"/>
      <c r="P119" s="32"/>
      <c r="S119" s="32"/>
    </row>
    <row r="120">
      <c r="D120" s="29"/>
      <c r="F120" s="31"/>
      <c r="G120" s="30"/>
      <c r="H120" s="30"/>
      <c r="J120" s="29"/>
      <c r="L120" s="30"/>
      <c r="M120" s="30"/>
      <c r="O120" s="32"/>
      <c r="P120" s="32"/>
      <c r="S120" s="32"/>
    </row>
    <row r="121">
      <c r="D121" s="29"/>
      <c r="F121" s="31"/>
      <c r="G121" s="30"/>
      <c r="H121" s="30"/>
      <c r="J121" s="29"/>
      <c r="L121" s="30"/>
      <c r="M121" s="30"/>
      <c r="O121" s="32"/>
      <c r="P121" s="32"/>
      <c r="S121" s="32"/>
    </row>
    <row r="122">
      <c r="D122" s="29"/>
      <c r="F122" s="31"/>
      <c r="G122" s="30"/>
      <c r="H122" s="30"/>
      <c r="J122" s="29"/>
      <c r="L122" s="30"/>
      <c r="M122" s="30"/>
      <c r="O122" s="32"/>
      <c r="P122" s="32"/>
      <c r="S122" s="32"/>
    </row>
    <row r="123">
      <c r="D123" s="29"/>
      <c r="F123" s="31"/>
      <c r="G123" s="30"/>
      <c r="H123" s="30"/>
      <c r="J123" s="29"/>
      <c r="L123" s="30"/>
      <c r="M123" s="30"/>
      <c r="O123" s="32"/>
      <c r="P123" s="32"/>
      <c r="S123" s="32"/>
    </row>
    <row r="124">
      <c r="D124" s="29"/>
      <c r="F124" s="31"/>
      <c r="G124" s="30"/>
      <c r="H124" s="30"/>
      <c r="J124" s="29"/>
      <c r="L124" s="30"/>
      <c r="M124" s="30"/>
      <c r="O124" s="32"/>
      <c r="P124" s="32"/>
      <c r="S124" s="32"/>
    </row>
    <row r="125">
      <c r="D125" s="29"/>
      <c r="F125" s="31"/>
      <c r="G125" s="30"/>
      <c r="H125" s="30"/>
      <c r="J125" s="29"/>
      <c r="L125" s="30"/>
      <c r="M125" s="30"/>
      <c r="O125" s="32"/>
      <c r="P125" s="32"/>
      <c r="S125" s="32"/>
    </row>
    <row r="126">
      <c r="D126" s="29"/>
      <c r="F126" s="31"/>
      <c r="G126" s="30"/>
      <c r="H126" s="30"/>
      <c r="J126" s="29"/>
      <c r="L126" s="30"/>
      <c r="M126" s="30"/>
      <c r="O126" s="32"/>
      <c r="P126" s="32"/>
      <c r="S126" s="32"/>
    </row>
    <row r="127">
      <c r="D127" s="29"/>
      <c r="F127" s="31"/>
      <c r="G127" s="30"/>
      <c r="H127" s="30"/>
      <c r="J127" s="29"/>
      <c r="L127" s="30"/>
      <c r="M127" s="30"/>
      <c r="O127" s="32"/>
      <c r="P127" s="32"/>
      <c r="S127" s="32"/>
    </row>
    <row r="128">
      <c r="D128" s="29"/>
      <c r="F128" s="31"/>
      <c r="G128" s="30"/>
      <c r="H128" s="30"/>
      <c r="J128" s="29"/>
      <c r="L128" s="30"/>
      <c r="M128" s="30"/>
      <c r="O128" s="32"/>
      <c r="P128" s="32"/>
      <c r="S128" s="32"/>
    </row>
    <row r="129">
      <c r="D129" s="29"/>
      <c r="F129" s="31"/>
      <c r="G129" s="30"/>
      <c r="H129" s="30"/>
      <c r="J129" s="29"/>
      <c r="L129" s="30"/>
      <c r="M129" s="30"/>
      <c r="O129" s="32"/>
      <c r="P129" s="32"/>
      <c r="S129" s="32"/>
    </row>
    <row r="130">
      <c r="D130" s="29"/>
      <c r="F130" s="31"/>
      <c r="G130" s="30"/>
      <c r="H130" s="30"/>
      <c r="J130" s="29"/>
      <c r="L130" s="30"/>
      <c r="M130" s="30"/>
      <c r="O130" s="32"/>
      <c r="P130" s="32"/>
      <c r="S130" s="32"/>
    </row>
    <row r="131">
      <c r="D131" s="29"/>
      <c r="F131" s="31"/>
      <c r="G131" s="30"/>
      <c r="H131" s="30"/>
      <c r="J131" s="29"/>
      <c r="L131" s="30"/>
      <c r="M131" s="30"/>
      <c r="O131" s="32"/>
      <c r="P131" s="32"/>
      <c r="S131" s="32"/>
    </row>
    <row r="132">
      <c r="D132" s="29"/>
      <c r="F132" s="31"/>
      <c r="G132" s="30"/>
      <c r="H132" s="30"/>
      <c r="J132" s="29"/>
      <c r="L132" s="30"/>
      <c r="M132" s="30"/>
      <c r="O132" s="32"/>
      <c r="P132" s="32"/>
      <c r="S132" s="32"/>
    </row>
    <row r="133">
      <c r="D133" s="29"/>
      <c r="F133" s="31"/>
      <c r="G133" s="30"/>
      <c r="H133" s="30"/>
      <c r="J133" s="29"/>
      <c r="L133" s="30"/>
      <c r="M133" s="30"/>
      <c r="O133" s="32"/>
      <c r="P133" s="32"/>
      <c r="S133" s="32"/>
    </row>
    <row r="134">
      <c r="D134" s="29"/>
      <c r="F134" s="31"/>
      <c r="G134" s="30"/>
      <c r="H134" s="30"/>
      <c r="J134" s="29"/>
      <c r="L134" s="30"/>
      <c r="M134" s="30"/>
      <c r="O134" s="32"/>
      <c r="P134" s="32"/>
      <c r="S134" s="32"/>
    </row>
    <row r="135">
      <c r="D135" s="29"/>
      <c r="F135" s="31"/>
      <c r="G135" s="30"/>
      <c r="H135" s="30"/>
      <c r="J135" s="29"/>
      <c r="L135" s="30"/>
      <c r="M135" s="30"/>
      <c r="O135" s="32"/>
      <c r="P135" s="32"/>
      <c r="S135" s="32"/>
    </row>
    <row r="136">
      <c r="D136" s="29"/>
      <c r="F136" s="31"/>
      <c r="G136" s="30"/>
      <c r="H136" s="30"/>
      <c r="J136" s="29"/>
      <c r="L136" s="30"/>
      <c r="M136" s="30"/>
      <c r="O136" s="32"/>
      <c r="P136" s="32"/>
      <c r="S136" s="32"/>
    </row>
    <row r="137">
      <c r="D137" s="29"/>
      <c r="F137" s="31"/>
      <c r="G137" s="30"/>
      <c r="H137" s="30"/>
      <c r="J137" s="29"/>
      <c r="L137" s="30"/>
      <c r="M137" s="30"/>
      <c r="O137" s="32"/>
      <c r="P137" s="32"/>
      <c r="S137" s="32"/>
    </row>
    <row r="138">
      <c r="D138" s="29"/>
      <c r="F138" s="31"/>
      <c r="G138" s="30"/>
      <c r="H138" s="30"/>
      <c r="J138" s="29"/>
      <c r="L138" s="30"/>
      <c r="M138" s="30"/>
      <c r="O138" s="32"/>
      <c r="P138" s="32"/>
      <c r="S138" s="32"/>
    </row>
    <row r="139">
      <c r="D139" s="29"/>
      <c r="F139" s="31"/>
      <c r="G139" s="30"/>
      <c r="H139" s="30"/>
      <c r="J139" s="29"/>
      <c r="L139" s="30"/>
      <c r="M139" s="30"/>
      <c r="O139" s="32"/>
      <c r="P139" s="32"/>
      <c r="S139" s="32"/>
    </row>
    <row r="140">
      <c r="D140" s="29"/>
      <c r="F140" s="31"/>
      <c r="G140" s="30"/>
      <c r="H140" s="30"/>
      <c r="J140" s="29"/>
      <c r="L140" s="30"/>
      <c r="M140" s="30"/>
      <c r="O140" s="32"/>
      <c r="P140" s="32"/>
      <c r="S140" s="32"/>
    </row>
    <row r="141">
      <c r="D141" s="29"/>
      <c r="F141" s="31"/>
      <c r="G141" s="30"/>
      <c r="H141" s="30"/>
      <c r="J141" s="29"/>
      <c r="L141" s="30"/>
      <c r="M141" s="30"/>
      <c r="O141" s="32"/>
      <c r="P141" s="32"/>
      <c r="S141" s="32"/>
    </row>
    <row r="142">
      <c r="D142" s="29"/>
      <c r="F142" s="31"/>
      <c r="G142" s="30"/>
      <c r="H142" s="30"/>
      <c r="J142" s="29"/>
      <c r="L142" s="30"/>
      <c r="M142" s="30"/>
      <c r="O142" s="32"/>
      <c r="P142" s="32"/>
      <c r="S142" s="32"/>
    </row>
    <row r="143">
      <c r="D143" s="29"/>
      <c r="F143" s="31"/>
      <c r="G143" s="30"/>
      <c r="H143" s="30"/>
      <c r="J143" s="29"/>
      <c r="L143" s="30"/>
      <c r="M143" s="30"/>
      <c r="O143" s="32"/>
      <c r="P143" s="32"/>
      <c r="S143" s="32"/>
    </row>
    <row r="144">
      <c r="D144" s="29"/>
      <c r="F144" s="31"/>
      <c r="G144" s="30"/>
      <c r="H144" s="30"/>
      <c r="J144" s="29"/>
      <c r="L144" s="30"/>
      <c r="M144" s="30"/>
      <c r="O144" s="32"/>
      <c r="P144" s="32"/>
      <c r="S144" s="32"/>
    </row>
    <row r="145">
      <c r="D145" s="29"/>
      <c r="F145" s="31"/>
      <c r="G145" s="30"/>
      <c r="H145" s="30"/>
      <c r="J145" s="29"/>
      <c r="L145" s="30"/>
      <c r="M145" s="30"/>
      <c r="O145" s="32"/>
      <c r="P145" s="32"/>
      <c r="S145" s="32"/>
    </row>
    <row r="146">
      <c r="D146" s="29"/>
      <c r="F146" s="31"/>
      <c r="G146" s="30"/>
      <c r="H146" s="30"/>
      <c r="J146" s="29"/>
      <c r="L146" s="30"/>
      <c r="M146" s="30"/>
      <c r="O146" s="32"/>
      <c r="P146" s="32"/>
      <c r="S146" s="32"/>
    </row>
    <row r="147">
      <c r="D147" s="29"/>
      <c r="F147" s="31"/>
      <c r="G147" s="30"/>
      <c r="H147" s="30"/>
      <c r="J147" s="29"/>
      <c r="L147" s="30"/>
      <c r="M147" s="30"/>
      <c r="O147" s="32"/>
      <c r="P147" s="32"/>
      <c r="S147" s="32"/>
    </row>
    <row r="148">
      <c r="D148" s="29"/>
      <c r="F148" s="31"/>
      <c r="G148" s="30"/>
      <c r="H148" s="30"/>
      <c r="J148" s="29"/>
      <c r="L148" s="30"/>
      <c r="M148" s="30"/>
      <c r="O148" s="32"/>
      <c r="P148" s="32"/>
      <c r="S148" s="32"/>
    </row>
    <row r="149">
      <c r="D149" s="29"/>
      <c r="F149" s="31"/>
      <c r="G149" s="30"/>
      <c r="H149" s="30"/>
      <c r="J149" s="29"/>
      <c r="L149" s="30"/>
      <c r="M149" s="30"/>
      <c r="O149" s="32"/>
      <c r="P149" s="32"/>
      <c r="S149" s="32"/>
    </row>
    <row r="150">
      <c r="D150" s="29"/>
      <c r="F150" s="31"/>
      <c r="G150" s="30"/>
      <c r="H150" s="30"/>
      <c r="J150" s="29"/>
      <c r="L150" s="30"/>
      <c r="M150" s="30"/>
      <c r="O150" s="32"/>
      <c r="P150" s="32"/>
      <c r="S150" s="32"/>
    </row>
    <row r="151">
      <c r="D151" s="29"/>
      <c r="F151" s="31"/>
      <c r="G151" s="30"/>
      <c r="H151" s="30"/>
      <c r="J151" s="29"/>
      <c r="L151" s="30"/>
      <c r="M151" s="30"/>
      <c r="O151" s="32"/>
      <c r="P151" s="32"/>
      <c r="S151" s="32"/>
    </row>
    <row r="152">
      <c r="D152" s="29"/>
      <c r="F152" s="31"/>
      <c r="G152" s="30"/>
      <c r="H152" s="30"/>
      <c r="J152" s="29"/>
      <c r="L152" s="30"/>
      <c r="M152" s="30"/>
      <c r="O152" s="32"/>
      <c r="P152" s="32"/>
      <c r="S152" s="32"/>
    </row>
    <row r="153">
      <c r="D153" s="29"/>
      <c r="F153" s="31"/>
      <c r="G153" s="30"/>
      <c r="H153" s="30"/>
      <c r="J153" s="29"/>
      <c r="L153" s="30"/>
      <c r="M153" s="30"/>
      <c r="O153" s="32"/>
      <c r="P153" s="32"/>
      <c r="S153" s="32"/>
    </row>
    <row r="154">
      <c r="D154" s="29"/>
      <c r="F154" s="31"/>
      <c r="G154" s="30"/>
      <c r="H154" s="30"/>
      <c r="J154" s="29"/>
      <c r="L154" s="30"/>
      <c r="M154" s="30"/>
      <c r="O154" s="32"/>
      <c r="P154" s="32"/>
      <c r="S154" s="32"/>
    </row>
    <row r="155">
      <c r="D155" s="29"/>
      <c r="F155" s="31"/>
      <c r="G155" s="30"/>
      <c r="H155" s="30"/>
      <c r="J155" s="29"/>
      <c r="L155" s="30"/>
      <c r="M155" s="30"/>
      <c r="O155" s="32"/>
      <c r="P155" s="32"/>
      <c r="S155" s="32"/>
    </row>
    <row r="156">
      <c r="D156" s="29"/>
      <c r="F156" s="31"/>
      <c r="G156" s="30"/>
      <c r="H156" s="30"/>
      <c r="J156" s="29"/>
      <c r="L156" s="30"/>
      <c r="M156" s="30"/>
      <c r="O156" s="32"/>
      <c r="P156" s="32"/>
      <c r="S156" s="32"/>
    </row>
    <row r="157">
      <c r="D157" s="29"/>
      <c r="F157" s="31"/>
      <c r="G157" s="30"/>
      <c r="H157" s="30"/>
      <c r="J157" s="29"/>
      <c r="L157" s="30"/>
      <c r="M157" s="30"/>
      <c r="O157" s="32"/>
      <c r="P157" s="32"/>
      <c r="S157" s="32"/>
    </row>
    <row r="158">
      <c r="D158" s="29"/>
      <c r="F158" s="31"/>
      <c r="G158" s="30"/>
      <c r="H158" s="30"/>
      <c r="J158" s="29"/>
      <c r="L158" s="30"/>
      <c r="M158" s="30"/>
      <c r="O158" s="32"/>
      <c r="P158" s="32"/>
      <c r="S158" s="32"/>
    </row>
    <row r="159">
      <c r="D159" s="29"/>
      <c r="F159" s="31"/>
      <c r="G159" s="30"/>
      <c r="H159" s="30"/>
      <c r="J159" s="29"/>
      <c r="L159" s="30"/>
      <c r="M159" s="30"/>
      <c r="O159" s="32"/>
      <c r="P159" s="32"/>
      <c r="S159" s="32"/>
    </row>
    <row r="160">
      <c r="D160" s="29"/>
      <c r="F160" s="31"/>
      <c r="G160" s="30"/>
      <c r="H160" s="30"/>
      <c r="J160" s="29"/>
      <c r="L160" s="30"/>
      <c r="M160" s="30"/>
      <c r="O160" s="32"/>
      <c r="P160" s="32"/>
      <c r="S160" s="32"/>
    </row>
    <row r="161">
      <c r="D161" s="29"/>
      <c r="F161" s="31"/>
      <c r="G161" s="30"/>
      <c r="H161" s="30"/>
      <c r="J161" s="29"/>
      <c r="L161" s="30"/>
      <c r="M161" s="30"/>
      <c r="O161" s="32"/>
      <c r="P161" s="32"/>
      <c r="S161" s="32"/>
    </row>
    <row r="162">
      <c r="D162" s="29"/>
      <c r="F162" s="31"/>
      <c r="G162" s="30"/>
      <c r="H162" s="30"/>
      <c r="J162" s="29"/>
      <c r="L162" s="30"/>
      <c r="M162" s="30"/>
      <c r="O162" s="32"/>
      <c r="P162" s="32"/>
      <c r="S162" s="32"/>
    </row>
    <row r="163">
      <c r="D163" s="29"/>
      <c r="F163" s="31"/>
      <c r="G163" s="30"/>
      <c r="H163" s="30"/>
      <c r="J163" s="29"/>
      <c r="L163" s="30"/>
      <c r="M163" s="30"/>
      <c r="O163" s="32"/>
      <c r="P163" s="32"/>
      <c r="S163" s="32"/>
    </row>
    <row r="164">
      <c r="D164" s="29"/>
      <c r="F164" s="31"/>
      <c r="G164" s="30"/>
      <c r="H164" s="30"/>
      <c r="J164" s="29"/>
      <c r="L164" s="30"/>
      <c r="M164" s="30"/>
      <c r="O164" s="32"/>
      <c r="P164" s="32"/>
      <c r="S164" s="32"/>
    </row>
    <row r="165">
      <c r="D165" s="29"/>
      <c r="F165" s="31"/>
      <c r="G165" s="30"/>
      <c r="H165" s="30"/>
      <c r="J165" s="29"/>
      <c r="L165" s="30"/>
      <c r="M165" s="30"/>
      <c r="O165" s="32"/>
      <c r="P165" s="32"/>
      <c r="S165" s="32"/>
    </row>
    <row r="166">
      <c r="D166" s="29"/>
      <c r="F166" s="31"/>
      <c r="G166" s="30"/>
      <c r="H166" s="30"/>
      <c r="J166" s="29"/>
      <c r="L166" s="30"/>
      <c r="M166" s="30"/>
      <c r="O166" s="32"/>
      <c r="P166" s="32"/>
      <c r="S166" s="32"/>
    </row>
    <row r="167">
      <c r="D167" s="29"/>
      <c r="F167" s="31"/>
      <c r="G167" s="30"/>
      <c r="H167" s="30"/>
      <c r="J167" s="29"/>
      <c r="L167" s="30"/>
      <c r="M167" s="30"/>
      <c r="O167" s="32"/>
      <c r="P167" s="32"/>
      <c r="S167" s="32"/>
    </row>
    <row r="168">
      <c r="D168" s="29"/>
      <c r="F168" s="31"/>
      <c r="G168" s="30"/>
      <c r="H168" s="30"/>
      <c r="J168" s="29"/>
      <c r="L168" s="30"/>
      <c r="M168" s="30"/>
      <c r="O168" s="32"/>
      <c r="P168" s="32"/>
      <c r="S168" s="32"/>
    </row>
    <row r="169">
      <c r="D169" s="29"/>
      <c r="F169" s="31"/>
      <c r="G169" s="30"/>
      <c r="H169" s="30"/>
      <c r="J169" s="29"/>
      <c r="L169" s="30"/>
      <c r="M169" s="30"/>
      <c r="O169" s="32"/>
      <c r="P169" s="32"/>
      <c r="S169" s="32"/>
    </row>
    <row r="170">
      <c r="D170" s="29"/>
      <c r="F170" s="31"/>
      <c r="G170" s="30"/>
      <c r="H170" s="30"/>
      <c r="J170" s="29"/>
      <c r="L170" s="30"/>
      <c r="M170" s="30"/>
      <c r="O170" s="32"/>
      <c r="P170" s="32"/>
      <c r="S170" s="32"/>
    </row>
    <row r="171">
      <c r="D171" s="29"/>
      <c r="F171" s="31"/>
      <c r="G171" s="30"/>
      <c r="H171" s="30"/>
      <c r="J171" s="29"/>
      <c r="L171" s="30"/>
      <c r="M171" s="30"/>
      <c r="O171" s="32"/>
      <c r="P171" s="32"/>
      <c r="S171" s="32"/>
    </row>
    <row r="172">
      <c r="D172" s="29"/>
      <c r="F172" s="31"/>
      <c r="G172" s="30"/>
      <c r="H172" s="30"/>
      <c r="J172" s="29"/>
      <c r="L172" s="30"/>
      <c r="M172" s="30"/>
      <c r="O172" s="32"/>
      <c r="P172" s="32"/>
      <c r="S172" s="32"/>
    </row>
    <row r="173">
      <c r="D173" s="29"/>
      <c r="F173" s="31"/>
      <c r="G173" s="30"/>
      <c r="H173" s="30"/>
      <c r="J173" s="29"/>
      <c r="L173" s="30"/>
      <c r="M173" s="30"/>
      <c r="O173" s="32"/>
      <c r="P173" s="32"/>
      <c r="S173" s="32"/>
    </row>
    <row r="174">
      <c r="D174" s="29"/>
      <c r="F174" s="31"/>
      <c r="G174" s="30"/>
      <c r="H174" s="30"/>
      <c r="J174" s="29"/>
      <c r="L174" s="30"/>
      <c r="M174" s="30"/>
      <c r="O174" s="32"/>
      <c r="P174" s="32"/>
      <c r="S174" s="32"/>
    </row>
    <row r="175">
      <c r="D175" s="29"/>
      <c r="F175" s="31"/>
      <c r="G175" s="30"/>
      <c r="H175" s="30"/>
      <c r="J175" s="29"/>
      <c r="L175" s="30"/>
      <c r="M175" s="30"/>
      <c r="O175" s="32"/>
      <c r="P175" s="32"/>
      <c r="S175" s="32"/>
    </row>
    <row r="176">
      <c r="D176" s="29"/>
      <c r="F176" s="31"/>
      <c r="G176" s="30"/>
      <c r="H176" s="30"/>
      <c r="J176" s="29"/>
      <c r="L176" s="30"/>
      <c r="M176" s="30"/>
      <c r="O176" s="32"/>
      <c r="P176" s="32"/>
      <c r="S176" s="32"/>
    </row>
    <row r="177">
      <c r="D177" s="29"/>
      <c r="F177" s="31"/>
      <c r="G177" s="30"/>
      <c r="H177" s="30"/>
      <c r="J177" s="29"/>
      <c r="L177" s="30"/>
      <c r="M177" s="30"/>
      <c r="O177" s="32"/>
      <c r="P177" s="32"/>
      <c r="S177" s="32"/>
    </row>
    <row r="178">
      <c r="D178" s="29"/>
      <c r="F178" s="31"/>
      <c r="G178" s="30"/>
      <c r="H178" s="30"/>
      <c r="J178" s="29"/>
      <c r="L178" s="30"/>
      <c r="M178" s="30"/>
      <c r="O178" s="32"/>
      <c r="P178" s="32"/>
      <c r="S178" s="32"/>
    </row>
    <row r="179">
      <c r="D179" s="29"/>
      <c r="F179" s="31"/>
      <c r="G179" s="30"/>
      <c r="H179" s="30"/>
      <c r="J179" s="29"/>
      <c r="L179" s="30"/>
      <c r="M179" s="30"/>
      <c r="O179" s="32"/>
      <c r="P179" s="32"/>
      <c r="S179" s="32"/>
    </row>
    <row r="180">
      <c r="D180" s="29"/>
      <c r="F180" s="31"/>
      <c r="G180" s="30"/>
      <c r="H180" s="30"/>
      <c r="J180" s="29"/>
      <c r="L180" s="30"/>
      <c r="M180" s="30"/>
      <c r="O180" s="32"/>
      <c r="P180" s="32"/>
      <c r="S180" s="32"/>
    </row>
    <row r="181">
      <c r="D181" s="29"/>
      <c r="F181" s="31"/>
      <c r="G181" s="30"/>
      <c r="H181" s="30"/>
      <c r="J181" s="29"/>
      <c r="L181" s="30"/>
      <c r="M181" s="30"/>
      <c r="O181" s="32"/>
      <c r="P181" s="32"/>
      <c r="S181" s="32"/>
    </row>
    <row r="182">
      <c r="D182" s="29"/>
      <c r="F182" s="31"/>
      <c r="G182" s="30"/>
      <c r="H182" s="30"/>
      <c r="J182" s="29"/>
      <c r="L182" s="30"/>
      <c r="M182" s="30"/>
      <c r="O182" s="32"/>
      <c r="P182" s="32"/>
      <c r="S182" s="32"/>
    </row>
    <row r="183">
      <c r="D183" s="29"/>
      <c r="F183" s="31"/>
      <c r="G183" s="30"/>
      <c r="H183" s="30"/>
      <c r="J183" s="29"/>
      <c r="L183" s="30"/>
      <c r="M183" s="30"/>
      <c r="O183" s="32"/>
      <c r="P183" s="32"/>
      <c r="S183" s="32"/>
    </row>
    <row r="184">
      <c r="D184" s="29"/>
      <c r="F184" s="31"/>
      <c r="G184" s="30"/>
      <c r="H184" s="30"/>
      <c r="J184" s="29"/>
      <c r="L184" s="30"/>
      <c r="M184" s="30"/>
      <c r="O184" s="32"/>
      <c r="P184" s="32"/>
      <c r="S184" s="32"/>
    </row>
    <row r="185">
      <c r="D185" s="29"/>
      <c r="F185" s="31"/>
      <c r="G185" s="30"/>
      <c r="H185" s="30"/>
      <c r="J185" s="29"/>
      <c r="L185" s="30"/>
      <c r="M185" s="30"/>
      <c r="O185" s="32"/>
      <c r="P185" s="32"/>
      <c r="S185" s="32"/>
    </row>
    <row r="186">
      <c r="D186" s="29"/>
      <c r="F186" s="31"/>
      <c r="G186" s="30"/>
      <c r="H186" s="30"/>
      <c r="J186" s="29"/>
      <c r="L186" s="30"/>
      <c r="M186" s="30"/>
      <c r="O186" s="32"/>
      <c r="P186" s="32"/>
      <c r="S186" s="32"/>
    </row>
    <row r="187">
      <c r="D187" s="29"/>
      <c r="F187" s="31"/>
      <c r="G187" s="30"/>
      <c r="H187" s="30"/>
      <c r="J187" s="29"/>
      <c r="L187" s="30"/>
      <c r="M187" s="30"/>
      <c r="O187" s="32"/>
      <c r="P187" s="32"/>
      <c r="S187" s="32"/>
    </row>
    <row r="188">
      <c r="D188" s="29"/>
      <c r="F188" s="31"/>
      <c r="G188" s="30"/>
      <c r="H188" s="30"/>
      <c r="J188" s="29"/>
      <c r="L188" s="30"/>
      <c r="M188" s="30"/>
      <c r="O188" s="32"/>
      <c r="P188" s="32"/>
      <c r="S188" s="32"/>
    </row>
    <row r="189">
      <c r="D189" s="29"/>
      <c r="F189" s="31"/>
      <c r="G189" s="30"/>
      <c r="H189" s="30"/>
      <c r="J189" s="29"/>
      <c r="L189" s="30"/>
      <c r="M189" s="30"/>
      <c r="O189" s="32"/>
      <c r="P189" s="32"/>
      <c r="S189" s="32"/>
    </row>
    <row r="190">
      <c r="D190" s="29"/>
      <c r="F190" s="31"/>
      <c r="G190" s="30"/>
      <c r="H190" s="30"/>
      <c r="J190" s="29"/>
      <c r="L190" s="30"/>
      <c r="M190" s="30"/>
      <c r="O190" s="32"/>
      <c r="P190" s="32"/>
      <c r="S190" s="32"/>
    </row>
    <row r="191">
      <c r="D191" s="29"/>
      <c r="F191" s="31"/>
      <c r="G191" s="30"/>
      <c r="H191" s="30"/>
      <c r="J191" s="29"/>
      <c r="L191" s="30"/>
      <c r="M191" s="30"/>
      <c r="O191" s="32"/>
      <c r="P191" s="32"/>
      <c r="S191" s="32"/>
    </row>
    <row r="192">
      <c r="D192" s="29"/>
      <c r="F192" s="31"/>
      <c r="G192" s="30"/>
      <c r="H192" s="30"/>
      <c r="J192" s="29"/>
      <c r="L192" s="30"/>
      <c r="M192" s="30"/>
      <c r="O192" s="32"/>
      <c r="P192" s="32"/>
      <c r="S192" s="32"/>
    </row>
    <row r="193">
      <c r="D193" s="29"/>
      <c r="F193" s="31"/>
      <c r="G193" s="30"/>
      <c r="H193" s="30"/>
      <c r="J193" s="29"/>
      <c r="L193" s="30"/>
      <c r="M193" s="30"/>
      <c r="O193" s="32"/>
      <c r="P193" s="32"/>
      <c r="S193" s="32"/>
    </row>
    <row r="194">
      <c r="D194" s="29"/>
      <c r="F194" s="31"/>
      <c r="G194" s="30"/>
      <c r="H194" s="30"/>
      <c r="J194" s="29"/>
      <c r="L194" s="30"/>
      <c r="M194" s="30"/>
      <c r="O194" s="32"/>
      <c r="P194" s="32"/>
      <c r="S194" s="32"/>
    </row>
    <row r="195">
      <c r="D195" s="29"/>
      <c r="F195" s="31"/>
      <c r="G195" s="30"/>
      <c r="H195" s="30"/>
      <c r="J195" s="29"/>
      <c r="L195" s="30"/>
      <c r="M195" s="30"/>
      <c r="O195" s="32"/>
      <c r="P195" s="32"/>
      <c r="S195" s="32"/>
    </row>
    <row r="196">
      <c r="D196" s="29"/>
      <c r="F196" s="31"/>
      <c r="G196" s="30"/>
      <c r="H196" s="30"/>
      <c r="J196" s="29"/>
      <c r="L196" s="30"/>
      <c r="M196" s="30"/>
      <c r="O196" s="32"/>
      <c r="P196" s="32"/>
      <c r="S196" s="32"/>
    </row>
    <row r="197">
      <c r="D197" s="29"/>
      <c r="F197" s="31"/>
      <c r="G197" s="30"/>
      <c r="H197" s="30"/>
      <c r="J197" s="29"/>
      <c r="L197" s="30"/>
      <c r="M197" s="30"/>
      <c r="O197" s="32"/>
      <c r="P197" s="32"/>
      <c r="S197" s="32"/>
    </row>
    <row r="198">
      <c r="D198" s="29"/>
      <c r="F198" s="31"/>
      <c r="G198" s="30"/>
      <c r="H198" s="30"/>
      <c r="J198" s="29"/>
      <c r="L198" s="30"/>
      <c r="M198" s="30"/>
      <c r="O198" s="32"/>
      <c r="P198" s="32"/>
      <c r="S198" s="32"/>
    </row>
    <row r="199">
      <c r="D199" s="29"/>
      <c r="F199" s="31"/>
      <c r="G199" s="30"/>
      <c r="H199" s="30"/>
      <c r="J199" s="29"/>
      <c r="L199" s="30"/>
      <c r="M199" s="30"/>
      <c r="O199" s="32"/>
      <c r="P199" s="32"/>
      <c r="S199" s="32"/>
    </row>
    <row r="200">
      <c r="D200" s="29"/>
      <c r="F200" s="31"/>
      <c r="G200" s="30"/>
      <c r="H200" s="30"/>
      <c r="J200" s="29"/>
      <c r="L200" s="30"/>
      <c r="M200" s="30"/>
      <c r="O200" s="32"/>
      <c r="P200" s="32"/>
      <c r="S200" s="32"/>
    </row>
    <row r="201">
      <c r="D201" s="29"/>
      <c r="F201" s="31"/>
      <c r="G201" s="30"/>
      <c r="H201" s="30"/>
      <c r="J201" s="29"/>
      <c r="L201" s="30"/>
      <c r="M201" s="30"/>
      <c r="O201" s="32"/>
      <c r="P201" s="32"/>
      <c r="S201" s="32"/>
    </row>
    <row r="202">
      <c r="D202" s="29"/>
      <c r="F202" s="31"/>
      <c r="G202" s="30"/>
      <c r="H202" s="30"/>
      <c r="J202" s="29"/>
      <c r="L202" s="30"/>
      <c r="M202" s="30"/>
      <c r="O202" s="32"/>
      <c r="P202" s="32"/>
      <c r="S202" s="32"/>
    </row>
    <row r="203">
      <c r="D203" s="29"/>
      <c r="F203" s="31"/>
      <c r="G203" s="30"/>
      <c r="H203" s="30"/>
      <c r="J203" s="29"/>
      <c r="L203" s="30"/>
      <c r="M203" s="30"/>
      <c r="O203" s="32"/>
      <c r="P203" s="32"/>
      <c r="S203" s="32"/>
    </row>
    <row r="204">
      <c r="D204" s="29"/>
      <c r="F204" s="31"/>
      <c r="G204" s="30"/>
      <c r="H204" s="30"/>
      <c r="J204" s="29"/>
      <c r="L204" s="30"/>
      <c r="M204" s="30"/>
      <c r="O204" s="32"/>
      <c r="P204" s="32"/>
      <c r="S204" s="32"/>
    </row>
    <row r="205">
      <c r="D205" s="29"/>
      <c r="F205" s="31"/>
      <c r="G205" s="30"/>
      <c r="H205" s="30"/>
      <c r="J205" s="29"/>
      <c r="L205" s="30"/>
      <c r="M205" s="30"/>
      <c r="O205" s="32"/>
      <c r="P205" s="32"/>
      <c r="S205" s="32"/>
    </row>
    <row r="206">
      <c r="D206" s="29"/>
      <c r="F206" s="31"/>
      <c r="G206" s="30"/>
      <c r="H206" s="30"/>
      <c r="J206" s="29"/>
      <c r="L206" s="30"/>
      <c r="M206" s="30"/>
      <c r="O206" s="32"/>
      <c r="P206" s="32"/>
      <c r="S206" s="32"/>
    </row>
    <row r="207">
      <c r="D207" s="29"/>
      <c r="F207" s="31"/>
      <c r="G207" s="30"/>
      <c r="H207" s="30"/>
      <c r="J207" s="29"/>
      <c r="L207" s="30"/>
      <c r="M207" s="30"/>
      <c r="O207" s="32"/>
      <c r="P207" s="32"/>
      <c r="S207" s="32"/>
    </row>
    <row r="208">
      <c r="D208" s="29"/>
      <c r="F208" s="31"/>
      <c r="G208" s="30"/>
      <c r="H208" s="30"/>
      <c r="J208" s="29"/>
      <c r="L208" s="30"/>
      <c r="M208" s="30"/>
      <c r="O208" s="32"/>
      <c r="P208" s="32"/>
      <c r="S208" s="32"/>
    </row>
    <row r="209">
      <c r="D209" s="29"/>
      <c r="F209" s="31"/>
      <c r="G209" s="30"/>
      <c r="H209" s="30"/>
      <c r="J209" s="29"/>
      <c r="L209" s="30"/>
      <c r="M209" s="30"/>
      <c r="O209" s="32"/>
      <c r="P209" s="32"/>
      <c r="S209" s="32"/>
    </row>
    <row r="210">
      <c r="D210" s="29"/>
      <c r="F210" s="31"/>
      <c r="G210" s="30"/>
      <c r="H210" s="30"/>
      <c r="J210" s="29"/>
      <c r="L210" s="30"/>
      <c r="M210" s="30"/>
      <c r="O210" s="32"/>
      <c r="P210" s="32"/>
      <c r="S210" s="32"/>
    </row>
    <row r="211">
      <c r="D211" s="29"/>
      <c r="F211" s="31"/>
      <c r="G211" s="30"/>
      <c r="H211" s="30"/>
      <c r="J211" s="29"/>
      <c r="L211" s="30"/>
      <c r="M211" s="30"/>
      <c r="O211" s="32"/>
      <c r="P211" s="32"/>
      <c r="S211" s="32"/>
    </row>
    <row r="212">
      <c r="D212" s="29"/>
      <c r="F212" s="31"/>
      <c r="G212" s="30"/>
      <c r="H212" s="30"/>
      <c r="J212" s="29"/>
      <c r="L212" s="30"/>
      <c r="M212" s="30"/>
      <c r="O212" s="32"/>
      <c r="P212" s="32"/>
      <c r="S212" s="32"/>
    </row>
    <row r="213">
      <c r="D213" s="29"/>
      <c r="F213" s="31"/>
      <c r="G213" s="30"/>
      <c r="H213" s="30"/>
      <c r="J213" s="29"/>
      <c r="L213" s="30"/>
      <c r="M213" s="30"/>
      <c r="O213" s="32"/>
      <c r="P213" s="32"/>
      <c r="S213" s="32"/>
    </row>
    <row r="214">
      <c r="D214" s="29"/>
      <c r="F214" s="31"/>
      <c r="G214" s="30"/>
      <c r="H214" s="30"/>
      <c r="J214" s="29"/>
      <c r="L214" s="30"/>
      <c r="M214" s="30"/>
      <c r="O214" s="32"/>
      <c r="P214" s="32"/>
      <c r="S214" s="32"/>
    </row>
    <row r="215">
      <c r="D215" s="29"/>
      <c r="F215" s="31"/>
      <c r="G215" s="30"/>
      <c r="H215" s="30"/>
      <c r="J215" s="29"/>
      <c r="L215" s="30"/>
      <c r="M215" s="30"/>
      <c r="O215" s="32"/>
      <c r="P215" s="32"/>
      <c r="S215" s="32"/>
    </row>
    <row r="216">
      <c r="D216" s="29"/>
      <c r="F216" s="31"/>
      <c r="G216" s="30"/>
      <c r="H216" s="30"/>
      <c r="J216" s="29"/>
      <c r="L216" s="30"/>
      <c r="M216" s="30"/>
      <c r="O216" s="32"/>
      <c r="P216" s="32"/>
      <c r="S216" s="32"/>
    </row>
    <row r="217">
      <c r="D217" s="29"/>
      <c r="F217" s="31"/>
      <c r="G217" s="30"/>
      <c r="H217" s="30"/>
      <c r="J217" s="29"/>
      <c r="L217" s="30"/>
      <c r="M217" s="30"/>
      <c r="O217" s="32"/>
      <c r="P217" s="32"/>
      <c r="S217" s="32"/>
    </row>
    <row r="218">
      <c r="D218" s="29"/>
      <c r="F218" s="31"/>
      <c r="G218" s="30"/>
      <c r="H218" s="30"/>
      <c r="J218" s="29"/>
      <c r="L218" s="30"/>
      <c r="M218" s="30"/>
      <c r="O218" s="32"/>
      <c r="P218" s="32"/>
      <c r="S218" s="32"/>
    </row>
    <row r="219">
      <c r="D219" s="29"/>
      <c r="F219" s="31"/>
      <c r="G219" s="30"/>
      <c r="H219" s="30"/>
      <c r="J219" s="29"/>
      <c r="L219" s="30"/>
      <c r="M219" s="30"/>
      <c r="O219" s="32"/>
      <c r="P219" s="32"/>
      <c r="S219" s="32"/>
    </row>
    <row r="220">
      <c r="D220" s="29"/>
      <c r="F220" s="31"/>
      <c r="G220" s="30"/>
      <c r="H220" s="30"/>
      <c r="J220" s="29"/>
      <c r="L220" s="30"/>
      <c r="M220" s="30"/>
      <c r="O220" s="32"/>
      <c r="P220" s="32"/>
      <c r="S220" s="32"/>
    </row>
    <row r="221">
      <c r="D221" s="29"/>
      <c r="F221" s="31"/>
      <c r="G221" s="30"/>
      <c r="H221" s="30"/>
      <c r="J221" s="29"/>
      <c r="L221" s="30"/>
      <c r="M221" s="30"/>
      <c r="O221" s="32"/>
      <c r="P221" s="32"/>
      <c r="S221" s="32"/>
    </row>
    <row r="222">
      <c r="D222" s="29"/>
      <c r="F222" s="31"/>
      <c r="G222" s="30"/>
      <c r="H222" s="30"/>
      <c r="J222" s="29"/>
      <c r="L222" s="30"/>
      <c r="M222" s="30"/>
      <c r="O222" s="32"/>
      <c r="P222" s="32"/>
      <c r="S222" s="32"/>
    </row>
    <row r="223">
      <c r="D223" s="29"/>
      <c r="F223" s="31"/>
      <c r="G223" s="30"/>
      <c r="H223" s="30"/>
      <c r="J223" s="29"/>
      <c r="L223" s="30"/>
      <c r="M223" s="30"/>
      <c r="O223" s="32"/>
      <c r="P223" s="32"/>
      <c r="S223" s="32"/>
    </row>
    <row r="224">
      <c r="D224" s="29"/>
      <c r="F224" s="31"/>
      <c r="G224" s="30"/>
      <c r="H224" s="30"/>
      <c r="J224" s="29"/>
      <c r="L224" s="30"/>
      <c r="M224" s="30"/>
      <c r="O224" s="32"/>
      <c r="P224" s="32"/>
      <c r="S224" s="32"/>
    </row>
    <row r="225">
      <c r="D225" s="29"/>
      <c r="F225" s="31"/>
      <c r="G225" s="30"/>
      <c r="H225" s="30"/>
      <c r="J225" s="29"/>
      <c r="L225" s="30"/>
      <c r="M225" s="30"/>
      <c r="O225" s="32"/>
      <c r="P225" s="32"/>
      <c r="S225" s="32"/>
    </row>
    <row r="226">
      <c r="D226" s="29"/>
      <c r="F226" s="31"/>
      <c r="G226" s="30"/>
      <c r="H226" s="30"/>
      <c r="J226" s="29"/>
      <c r="L226" s="30"/>
      <c r="M226" s="30"/>
      <c r="O226" s="32"/>
      <c r="P226" s="32"/>
      <c r="S226" s="32"/>
    </row>
    <row r="227">
      <c r="D227" s="29"/>
      <c r="F227" s="31"/>
      <c r="G227" s="30"/>
      <c r="H227" s="30"/>
      <c r="J227" s="29"/>
      <c r="L227" s="30"/>
      <c r="M227" s="30"/>
      <c r="O227" s="32"/>
      <c r="P227" s="32"/>
      <c r="S227" s="32"/>
    </row>
    <row r="228">
      <c r="D228" s="29"/>
      <c r="F228" s="31"/>
      <c r="G228" s="30"/>
      <c r="H228" s="30"/>
      <c r="J228" s="29"/>
      <c r="L228" s="30"/>
      <c r="M228" s="30"/>
      <c r="O228" s="32"/>
      <c r="P228" s="32"/>
      <c r="S228" s="32"/>
    </row>
    <row r="229">
      <c r="D229" s="29"/>
      <c r="F229" s="31"/>
      <c r="G229" s="30"/>
      <c r="H229" s="30"/>
      <c r="J229" s="29"/>
      <c r="L229" s="30"/>
      <c r="M229" s="30"/>
      <c r="O229" s="32"/>
      <c r="P229" s="32"/>
      <c r="S229" s="32"/>
    </row>
    <row r="230">
      <c r="D230" s="29"/>
      <c r="F230" s="31"/>
      <c r="G230" s="30"/>
      <c r="H230" s="30"/>
      <c r="J230" s="29"/>
      <c r="L230" s="30"/>
      <c r="M230" s="30"/>
      <c r="O230" s="32"/>
      <c r="P230" s="32"/>
      <c r="S230" s="32"/>
    </row>
    <row r="231">
      <c r="D231" s="29"/>
      <c r="F231" s="31"/>
      <c r="G231" s="30"/>
      <c r="H231" s="30"/>
      <c r="J231" s="29"/>
      <c r="L231" s="30"/>
      <c r="M231" s="30"/>
      <c r="O231" s="32"/>
      <c r="P231" s="32"/>
      <c r="S231" s="32"/>
    </row>
    <row r="232">
      <c r="D232" s="29"/>
      <c r="F232" s="31"/>
      <c r="G232" s="30"/>
      <c r="H232" s="30"/>
      <c r="J232" s="29"/>
      <c r="L232" s="30"/>
      <c r="M232" s="30"/>
      <c r="O232" s="32"/>
      <c r="P232" s="32"/>
      <c r="S232" s="32"/>
    </row>
    <row r="233">
      <c r="D233" s="29"/>
      <c r="F233" s="31"/>
      <c r="G233" s="30"/>
      <c r="H233" s="30"/>
      <c r="J233" s="29"/>
      <c r="L233" s="30"/>
      <c r="M233" s="30"/>
      <c r="O233" s="32"/>
      <c r="P233" s="32"/>
      <c r="S233" s="32"/>
    </row>
    <row r="234">
      <c r="D234" s="29"/>
      <c r="F234" s="31"/>
      <c r="G234" s="30"/>
      <c r="H234" s="30"/>
      <c r="J234" s="29"/>
      <c r="L234" s="30"/>
      <c r="M234" s="30"/>
      <c r="O234" s="32"/>
      <c r="P234" s="32"/>
      <c r="S234" s="32"/>
    </row>
    <row r="235">
      <c r="D235" s="29"/>
      <c r="F235" s="31"/>
      <c r="G235" s="30"/>
      <c r="H235" s="30"/>
      <c r="J235" s="29"/>
      <c r="L235" s="30"/>
      <c r="M235" s="30"/>
      <c r="O235" s="32"/>
      <c r="P235" s="32"/>
      <c r="S235" s="32"/>
    </row>
    <row r="236">
      <c r="D236" s="29"/>
      <c r="F236" s="31"/>
      <c r="G236" s="30"/>
      <c r="H236" s="30"/>
      <c r="J236" s="29"/>
      <c r="L236" s="30"/>
      <c r="M236" s="30"/>
      <c r="O236" s="32"/>
      <c r="P236" s="32"/>
      <c r="S236" s="32"/>
    </row>
    <row r="237">
      <c r="D237" s="29"/>
      <c r="F237" s="31"/>
      <c r="G237" s="30"/>
      <c r="H237" s="30"/>
      <c r="J237" s="29"/>
      <c r="L237" s="30"/>
      <c r="M237" s="30"/>
      <c r="O237" s="32"/>
      <c r="P237" s="32"/>
      <c r="S237" s="32"/>
    </row>
    <row r="238">
      <c r="D238" s="29"/>
      <c r="F238" s="31"/>
      <c r="G238" s="30"/>
      <c r="H238" s="30"/>
      <c r="J238" s="29"/>
      <c r="L238" s="30"/>
      <c r="M238" s="30"/>
      <c r="O238" s="32"/>
      <c r="P238" s="32"/>
      <c r="S238" s="32"/>
    </row>
    <row r="239">
      <c r="D239" s="29"/>
      <c r="F239" s="31"/>
      <c r="G239" s="30"/>
      <c r="H239" s="30"/>
      <c r="J239" s="29"/>
      <c r="L239" s="30"/>
      <c r="M239" s="30"/>
      <c r="O239" s="32"/>
      <c r="P239" s="32"/>
      <c r="S239" s="32"/>
    </row>
    <row r="240">
      <c r="D240" s="29"/>
      <c r="F240" s="31"/>
      <c r="G240" s="30"/>
      <c r="H240" s="30"/>
      <c r="J240" s="29"/>
      <c r="L240" s="30"/>
      <c r="M240" s="30"/>
      <c r="O240" s="32"/>
      <c r="P240" s="32"/>
      <c r="S240" s="32"/>
    </row>
    <row r="241">
      <c r="D241" s="29"/>
      <c r="F241" s="31"/>
      <c r="G241" s="30"/>
      <c r="H241" s="30"/>
      <c r="J241" s="29"/>
      <c r="L241" s="30"/>
      <c r="M241" s="30"/>
      <c r="O241" s="32"/>
      <c r="P241" s="32"/>
      <c r="S241" s="32"/>
    </row>
    <row r="242">
      <c r="D242" s="29"/>
      <c r="F242" s="31"/>
      <c r="G242" s="30"/>
      <c r="H242" s="30"/>
      <c r="J242" s="29"/>
      <c r="L242" s="30"/>
      <c r="M242" s="30"/>
      <c r="O242" s="32"/>
      <c r="P242" s="32"/>
      <c r="S242" s="32"/>
    </row>
    <row r="243">
      <c r="D243" s="29"/>
      <c r="F243" s="31"/>
      <c r="G243" s="30"/>
      <c r="H243" s="30"/>
      <c r="J243" s="29"/>
      <c r="L243" s="30"/>
      <c r="M243" s="30"/>
      <c r="O243" s="32"/>
      <c r="P243" s="32"/>
      <c r="S243" s="32"/>
    </row>
    <row r="244">
      <c r="D244" s="29"/>
      <c r="F244" s="31"/>
      <c r="G244" s="30"/>
      <c r="H244" s="30"/>
      <c r="J244" s="29"/>
      <c r="L244" s="30"/>
      <c r="M244" s="30"/>
      <c r="O244" s="32"/>
      <c r="P244" s="32"/>
      <c r="S244" s="32"/>
    </row>
    <row r="245">
      <c r="D245" s="29"/>
      <c r="F245" s="31"/>
      <c r="G245" s="30"/>
      <c r="H245" s="30"/>
      <c r="J245" s="29"/>
      <c r="L245" s="30"/>
      <c r="M245" s="30"/>
      <c r="O245" s="32"/>
      <c r="P245" s="32"/>
      <c r="S245" s="32"/>
    </row>
    <row r="246">
      <c r="D246" s="29"/>
      <c r="F246" s="31"/>
      <c r="G246" s="30"/>
      <c r="H246" s="30"/>
      <c r="J246" s="29"/>
      <c r="L246" s="30"/>
      <c r="M246" s="30"/>
      <c r="O246" s="32"/>
      <c r="P246" s="32"/>
      <c r="S246" s="32"/>
    </row>
    <row r="247">
      <c r="D247" s="29"/>
      <c r="F247" s="31"/>
      <c r="G247" s="30"/>
      <c r="H247" s="30"/>
      <c r="J247" s="29"/>
      <c r="L247" s="30"/>
      <c r="M247" s="30"/>
      <c r="O247" s="32"/>
      <c r="P247" s="32"/>
      <c r="S247" s="32"/>
    </row>
    <row r="248">
      <c r="D248" s="29"/>
      <c r="F248" s="31"/>
      <c r="G248" s="30"/>
      <c r="H248" s="30"/>
      <c r="J248" s="29"/>
      <c r="L248" s="30"/>
      <c r="M248" s="30"/>
      <c r="O248" s="32"/>
      <c r="P248" s="32"/>
      <c r="S248" s="32"/>
    </row>
    <row r="249">
      <c r="D249" s="29"/>
      <c r="F249" s="31"/>
      <c r="G249" s="30"/>
      <c r="H249" s="30"/>
      <c r="J249" s="29"/>
      <c r="L249" s="30"/>
      <c r="M249" s="30"/>
      <c r="O249" s="32"/>
      <c r="P249" s="32"/>
      <c r="S249" s="32"/>
    </row>
    <row r="250">
      <c r="D250" s="29"/>
      <c r="F250" s="31"/>
      <c r="G250" s="30"/>
      <c r="H250" s="30"/>
      <c r="J250" s="29"/>
      <c r="L250" s="30"/>
      <c r="M250" s="30"/>
      <c r="O250" s="32"/>
      <c r="P250" s="32"/>
      <c r="S250" s="32"/>
    </row>
    <row r="251">
      <c r="D251" s="29"/>
      <c r="F251" s="31"/>
      <c r="G251" s="30"/>
      <c r="H251" s="30"/>
      <c r="J251" s="29"/>
      <c r="L251" s="30"/>
      <c r="M251" s="30"/>
      <c r="O251" s="32"/>
      <c r="P251" s="32"/>
      <c r="S251" s="32"/>
    </row>
    <row r="252">
      <c r="D252" s="29"/>
      <c r="F252" s="31"/>
      <c r="G252" s="30"/>
      <c r="H252" s="30"/>
      <c r="J252" s="29"/>
      <c r="L252" s="30"/>
      <c r="M252" s="30"/>
      <c r="O252" s="32"/>
      <c r="P252" s="32"/>
      <c r="S252" s="32"/>
    </row>
    <row r="253">
      <c r="D253" s="29"/>
      <c r="F253" s="31"/>
      <c r="G253" s="30"/>
      <c r="H253" s="30"/>
      <c r="J253" s="29"/>
      <c r="L253" s="30"/>
      <c r="M253" s="30"/>
      <c r="O253" s="32"/>
      <c r="P253" s="32"/>
      <c r="S253" s="32"/>
    </row>
    <row r="254">
      <c r="D254" s="29"/>
      <c r="F254" s="31"/>
      <c r="G254" s="30"/>
      <c r="H254" s="30"/>
      <c r="J254" s="29"/>
      <c r="L254" s="30"/>
      <c r="M254" s="30"/>
      <c r="O254" s="32"/>
      <c r="P254" s="32"/>
      <c r="S254" s="32"/>
    </row>
    <row r="255">
      <c r="D255" s="29"/>
      <c r="F255" s="31"/>
      <c r="G255" s="30"/>
      <c r="H255" s="30"/>
      <c r="J255" s="29"/>
      <c r="L255" s="30"/>
      <c r="M255" s="30"/>
      <c r="O255" s="32"/>
      <c r="P255" s="32"/>
      <c r="S255" s="32"/>
    </row>
    <row r="256">
      <c r="D256" s="29"/>
      <c r="F256" s="31"/>
      <c r="G256" s="30"/>
      <c r="H256" s="30"/>
      <c r="J256" s="29"/>
      <c r="L256" s="30"/>
      <c r="M256" s="30"/>
      <c r="O256" s="32"/>
      <c r="P256" s="32"/>
      <c r="S256" s="32"/>
    </row>
    <row r="257">
      <c r="D257" s="29"/>
      <c r="F257" s="31"/>
      <c r="G257" s="30"/>
      <c r="H257" s="30"/>
      <c r="J257" s="29"/>
      <c r="L257" s="30"/>
      <c r="M257" s="30"/>
      <c r="O257" s="32"/>
      <c r="P257" s="32"/>
      <c r="S257" s="32"/>
    </row>
    <row r="258">
      <c r="D258" s="29"/>
      <c r="F258" s="31"/>
      <c r="G258" s="30"/>
      <c r="H258" s="30"/>
      <c r="J258" s="29"/>
      <c r="L258" s="30"/>
      <c r="M258" s="30"/>
      <c r="O258" s="32"/>
      <c r="P258" s="32"/>
      <c r="S258" s="32"/>
    </row>
    <row r="259">
      <c r="D259" s="29"/>
      <c r="F259" s="31"/>
      <c r="G259" s="30"/>
      <c r="H259" s="30"/>
      <c r="J259" s="29"/>
      <c r="L259" s="30"/>
      <c r="M259" s="30"/>
      <c r="O259" s="32"/>
      <c r="P259" s="32"/>
      <c r="S259" s="32"/>
    </row>
    <row r="260">
      <c r="D260" s="29"/>
      <c r="F260" s="31"/>
      <c r="G260" s="30"/>
      <c r="H260" s="30"/>
      <c r="J260" s="29"/>
      <c r="L260" s="30"/>
      <c r="M260" s="30"/>
      <c r="O260" s="32"/>
      <c r="P260" s="32"/>
      <c r="S260" s="32"/>
    </row>
    <row r="261">
      <c r="D261" s="29"/>
      <c r="F261" s="31"/>
      <c r="G261" s="30"/>
      <c r="H261" s="30"/>
      <c r="J261" s="29"/>
      <c r="L261" s="30"/>
      <c r="M261" s="30"/>
      <c r="O261" s="32"/>
      <c r="P261" s="32"/>
      <c r="S261" s="32"/>
    </row>
    <row r="262">
      <c r="D262" s="29"/>
      <c r="F262" s="31"/>
      <c r="G262" s="30"/>
      <c r="H262" s="30"/>
      <c r="J262" s="29"/>
      <c r="L262" s="30"/>
      <c r="M262" s="30"/>
      <c r="O262" s="32"/>
      <c r="P262" s="32"/>
      <c r="S262" s="32"/>
    </row>
    <row r="263">
      <c r="D263" s="29"/>
      <c r="F263" s="31"/>
      <c r="G263" s="30"/>
      <c r="H263" s="30"/>
      <c r="J263" s="29"/>
      <c r="L263" s="30"/>
      <c r="M263" s="30"/>
      <c r="O263" s="32"/>
      <c r="P263" s="32"/>
      <c r="S263" s="32"/>
    </row>
    <row r="264">
      <c r="D264" s="29"/>
      <c r="F264" s="31"/>
      <c r="G264" s="30"/>
      <c r="H264" s="30"/>
      <c r="J264" s="29"/>
      <c r="L264" s="30"/>
      <c r="M264" s="30"/>
      <c r="O264" s="32"/>
      <c r="P264" s="32"/>
      <c r="S264" s="32"/>
    </row>
    <row r="265">
      <c r="D265" s="29"/>
      <c r="F265" s="31"/>
      <c r="G265" s="30"/>
      <c r="H265" s="30"/>
      <c r="J265" s="29"/>
      <c r="L265" s="30"/>
      <c r="M265" s="30"/>
      <c r="O265" s="32"/>
      <c r="P265" s="32"/>
      <c r="S265" s="32"/>
    </row>
    <row r="266">
      <c r="D266" s="29"/>
      <c r="F266" s="31"/>
      <c r="G266" s="30"/>
      <c r="H266" s="30"/>
      <c r="J266" s="29"/>
      <c r="L266" s="30"/>
      <c r="M266" s="30"/>
      <c r="O266" s="32"/>
      <c r="P266" s="32"/>
      <c r="S266" s="32"/>
    </row>
    <row r="267">
      <c r="D267" s="29"/>
      <c r="F267" s="31"/>
      <c r="G267" s="30"/>
      <c r="H267" s="30"/>
      <c r="J267" s="29"/>
      <c r="L267" s="30"/>
      <c r="M267" s="30"/>
      <c r="O267" s="32"/>
      <c r="P267" s="32"/>
      <c r="S267" s="32"/>
    </row>
    <row r="268">
      <c r="D268" s="29"/>
      <c r="F268" s="31"/>
      <c r="G268" s="30"/>
      <c r="H268" s="30"/>
      <c r="J268" s="29"/>
      <c r="L268" s="30"/>
      <c r="M268" s="30"/>
      <c r="O268" s="32"/>
      <c r="P268" s="32"/>
      <c r="S268" s="32"/>
    </row>
    <row r="269">
      <c r="D269" s="29"/>
      <c r="F269" s="31"/>
      <c r="G269" s="30"/>
      <c r="H269" s="30"/>
      <c r="J269" s="29"/>
      <c r="L269" s="30"/>
      <c r="M269" s="30"/>
      <c r="O269" s="32"/>
      <c r="P269" s="32"/>
      <c r="S269" s="32"/>
    </row>
    <row r="270">
      <c r="D270" s="29"/>
      <c r="F270" s="31"/>
      <c r="G270" s="30"/>
      <c r="H270" s="30"/>
      <c r="J270" s="29"/>
      <c r="L270" s="30"/>
      <c r="M270" s="30"/>
      <c r="O270" s="32"/>
      <c r="P270" s="32"/>
      <c r="S270" s="32"/>
    </row>
    <row r="271">
      <c r="D271" s="29"/>
      <c r="F271" s="31"/>
      <c r="G271" s="30"/>
      <c r="H271" s="30"/>
      <c r="J271" s="29"/>
      <c r="L271" s="30"/>
      <c r="M271" s="30"/>
      <c r="O271" s="32"/>
      <c r="P271" s="32"/>
      <c r="S271" s="32"/>
    </row>
    <row r="272">
      <c r="D272" s="29"/>
      <c r="F272" s="31"/>
      <c r="G272" s="30"/>
      <c r="H272" s="30"/>
      <c r="J272" s="29"/>
      <c r="L272" s="30"/>
      <c r="M272" s="30"/>
      <c r="O272" s="32"/>
      <c r="P272" s="32"/>
      <c r="S272" s="32"/>
    </row>
    <row r="273">
      <c r="D273" s="29"/>
      <c r="F273" s="31"/>
      <c r="G273" s="30"/>
      <c r="H273" s="30"/>
      <c r="J273" s="29"/>
      <c r="L273" s="30"/>
      <c r="M273" s="30"/>
      <c r="O273" s="32"/>
      <c r="P273" s="32"/>
      <c r="S273" s="32"/>
    </row>
    <row r="274">
      <c r="D274" s="29"/>
      <c r="F274" s="31"/>
      <c r="G274" s="30"/>
      <c r="H274" s="30"/>
      <c r="J274" s="29"/>
      <c r="L274" s="30"/>
      <c r="M274" s="30"/>
      <c r="O274" s="32"/>
      <c r="P274" s="32"/>
      <c r="S274" s="32"/>
    </row>
    <row r="275">
      <c r="D275" s="29"/>
      <c r="F275" s="31"/>
      <c r="G275" s="30"/>
      <c r="H275" s="30"/>
      <c r="J275" s="29"/>
      <c r="L275" s="30"/>
      <c r="M275" s="30"/>
      <c r="O275" s="32"/>
      <c r="P275" s="32"/>
      <c r="S275" s="32"/>
    </row>
    <row r="276">
      <c r="D276" s="29"/>
      <c r="F276" s="31"/>
      <c r="G276" s="30"/>
      <c r="H276" s="30"/>
      <c r="J276" s="29"/>
      <c r="L276" s="30"/>
      <c r="M276" s="30"/>
      <c r="O276" s="32"/>
      <c r="P276" s="32"/>
      <c r="S276" s="32"/>
    </row>
    <row r="277">
      <c r="D277" s="29"/>
      <c r="F277" s="31"/>
      <c r="G277" s="30"/>
      <c r="H277" s="30"/>
      <c r="J277" s="29"/>
      <c r="L277" s="30"/>
      <c r="M277" s="30"/>
      <c r="O277" s="32"/>
      <c r="P277" s="32"/>
      <c r="S277" s="32"/>
    </row>
    <row r="278">
      <c r="D278" s="29"/>
      <c r="F278" s="31"/>
      <c r="G278" s="30"/>
      <c r="H278" s="30"/>
      <c r="J278" s="29"/>
      <c r="L278" s="30"/>
      <c r="M278" s="30"/>
      <c r="O278" s="32"/>
      <c r="P278" s="32"/>
      <c r="S278" s="32"/>
    </row>
    <row r="279">
      <c r="D279" s="29"/>
      <c r="F279" s="31"/>
      <c r="G279" s="30"/>
      <c r="H279" s="30"/>
      <c r="J279" s="29"/>
      <c r="L279" s="30"/>
      <c r="M279" s="30"/>
      <c r="O279" s="32"/>
      <c r="P279" s="32"/>
      <c r="S279" s="32"/>
    </row>
    <row r="280">
      <c r="D280" s="29"/>
      <c r="F280" s="31"/>
      <c r="G280" s="30"/>
      <c r="H280" s="30"/>
      <c r="J280" s="29"/>
      <c r="L280" s="30"/>
      <c r="M280" s="30"/>
      <c r="O280" s="32"/>
      <c r="P280" s="32"/>
      <c r="S280" s="32"/>
    </row>
    <row r="281">
      <c r="D281" s="29"/>
      <c r="F281" s="31"/>
      <c r="G281" s="30"/>
      <c r="H281" s="30"/>
      <c r="J281" s="29"/>
      <c r="L281" s="30"/>
      <c r="M281" s="30"/>
      <c r="O281" s="32"/>
      <c r="P281" s="32"/>
      <c r="S281" s="32"/>
    </row>
    <row r="282">
      <c r="D282" s="29"/>
      <c r="F282" s="31"/>
      <c r="G282" s="30"/>
      <c r="H282" s="30"/>
      <c r="J282" s="29"/>
      <c r="L282" s="30"/>
      <c r="M282" s="30"/>
      <c r="O282" s="32"/>
      <c r="P282" s="32"/>
      <c r="S282" s="32"/>
    </row>
    <row r="283">
      <c r="D283" s="29"/>
      <c r="F283" s="31"/>
      <c r="G283" s="30"/>
      <c r="H283" s="30"/>
      <c r="J283" s="29"/>
      <c r="L283" s="30"/>
      <c r="M283" s="30"/>
      <c r="O283" s="32"/>
      <c r="P283" s="32"/>
      <c r="S283" s="32"/>
    </row>
    <row r="284">
      <c r="D284" s="29"/>
      <c r="F284" s="31"/>
      <c r="G284" s="30"/>
      <c r="H284" s="30"/>
      <c r="J284" s="29"/>
      <c r="L284" s="30"/>
      <c r="M284" s="30"/>
      <c r="O284" s="32"/>
      <c r="P284" s="32"/>
      <c r="S284" s="32"/>
    </row>
    <row r="285">
      <c r="D285" s="29"/>
      <c r="F285" s="31"/>
      <c r="G285" s="30"/>
      <c r="H285" s="30"/>
      <c r="J285" s="29"/>
      <c r="L285" s="30"/>
      <c r="M285" s="30"/>
      <c r="O285" s="32"/>
      <c r="P285" s="32"/>
      <c r="S285" s="32"/>
    </row>
    <row r="286">
      <c r="D286" s="29"/>
      <c r="F286" s="31"/>
      <c r="G286" s="30"/>
      <c r="H286" s="30"/>
      <c r="J286" s="29"/>
      <c r="L286" s="30"/>
      <c r="M286" s="30"/>
      <c r="O286" s="32"/>
      <c r="P286" s="32"/>
      <c r="S286" s="32"/>
    </row>
    <row r="287">
      <c r="D287" s="29"/>
      <c r="F287" s="31"/>
      <c r="G287" s="30"/>
      <c r="H287" s="30"/>
      <c r="J287" s="29"/>
      <c r="L287" s="30"/>
      <c r="M287" s="30"/>
      <c r="O287" s="32"/>
      <c r="P287" s="32"/>
      <c r="S287" s="32"/>
    </row>
    <row r="288">
      <c r="D288" s="29"/>
      <c r="F288" s="31"/>
      <c r="G288" s="30"/>
      <c r="H288" s="30"/>
      <c r="J288" s="29"/>
      <c r="L288" s="30"/>
      <c r="M288" s="30"/>
      <c r="O288" s="32"/>
      <c r="P288" s="32"/>
      <c r="S288" s="32"/>
    </row>
    <row r="289">
      <c r="D289" s="29"/>
      <c r="F289" s="31"/>
      <c r="G289" s="30"/>
      <c r="H289" s="30"/>
      <c r="J289" s="29"/>
      <c r="L289" s="30"/>
      <c r="M289" s="30"/>
      <c r="O289" s="32"/>
      <c r="P289" s="32"/>
      <c r="S289" s="32"/>
    </row>
    <row r="290">
      <c r="D290" s="29"/>
      <c r="F290" s="31"/>
      <c r="G290" s="30"/>
      <c r="H290" s="30"/>
      <c r="J290" s="29"/>
      <c r="L290" s="30"/>
      <c r="M290" s="30"/>
      <c r="O290" s="32"/>
      <c r="P290" s="32"/>
      <c r="S290" s="32"/>
    </row>
    <row r="291">
      <c r="D291" s="29"/>
      <c r="F291" s="31"/>
      <c r="G291" s="30"/>
      <c r="H291" s="30"/>
      <c r="J291" s="29"/>
      <c r="L291" s="30"/>
      <c r="M291" s="30"/>
      <c r="O291" s="32"/>
      <c r="P291" s="32"/>
      <c r="S291" s="32"/>
    </row>
    <row r="292">
      <c r="D292" s="29"/>
      <c r="F292" s="31"/>
      <c r="G292" s="30"/>
      <c r="H292" s="30"/>
      <c r="J292" s="29"/>
      <c r="L292" s="30"/>
      <c r="M292" s="30"/>
      <c r="O292" s="32"/>
      <c r="P292" s="32"/>
      <c r="S292" s="32"/>
    </row>
    <row r="293">
      <c r="D293" s="29"/>
      <c r="F293" s="31"/>
      <c r="G293" s="30"/>
      <c r="H293" s="30"/>
      <c r="J293" s="29"/>
      <c r="L293" s="30"/>
      <c r="M293" s="30"/>
      <c r="O293" s="32"/>
      <c r="P293" s="32"/>
      <c r="S293" s="32"/>
    </row>
    <row r="294">
      <c r="D294" s="29"/>
      <c r="F294" s="31"/>
      <c r="G294" s="30"/>
      <c r="H294" s="30"/>
      <c r="J294" s="29"/>
      <c r="L294" s="30"/>
      <c r="M294" s="30"/>
      <c r="O294" s="32"/>
      <c r="P294" s="32"/>
      <c r="S294" s="32"/>
    </row>
    <row r="295">
      <c r="D295" s="29"/>
      <c r="F295" s="31"/>
      <c r="G295" s="30"/>
      <c r="H295" s="30"/>
      <c r="J295" s="29"/>
      <c r="L295" s="30"/>
      <c r="M295" s="30"/>
      <c r="O295" s="32"/>
      <c r="P295" s="32"/>
      <c r="S295" s="32"/>
    </row>
    <row r="296">
      <c r="D296" s="29"/>
      <c r="F296" s="31"/>
      <c r="G296" s="30"/>
      <c r="H296" s="30"/>
      <c r="J296" s="29"/>
      <c r="L296" s="30"/>
      <c r="M296" s="30"/>
      <c r="O296" s="32"/>
      <c r="P296" s="32"/>
      <c r="S296" s="32"/>
    </row>
    <row r="297">
      <c r="D297" s="29"/>
      <c r="F297" s="31"/>
      <c r="G297" s="30"/>
      <c r="H297" s="30"/>
      <c r="J297" s="29"/>
      <c r="L297" s="30"/>
      <c r="M297" s="30"/>
      <c r="O297" s="32"/>
      <c r="P297" s="32"/>
      <c r="S297" s="32"/>
    </row>
    <row r="298">
      <c r="D298" s="29"/>
      <c r="F298" s="31"/>
      <c r="G298" s="30"/>
      <c r="H298" s="30"/>
      <c r="J298" s="29"/>
      <c r="L298" s="30"/>
      <c r="M298" s="30"/>
      <c r="O298" s="32"/>
      <c r="P298" s="32"/>
      <c r="S298" s="32"/>
    </row>
    <row r="299">
      <c r="D299" s="29"/>
      <c r="F299" s="31"/>
      <c r="G299" s="30"/>
      <c r="H299" s="30"/>
      <c r="J299" s="29"/>
      <c r="L299" s="30"/>
      <c r="M299" s="30"/>
      <c r="O299" s="32"/>
      <c r="P299" s="32"/>
      <c r="S299" s="32"/>
    </row>
    <row r="300">
      <c r="D300" s="29"/>
      <c r="F300" s="31"/>
      <c r="G300" s="30"/>
      <c r="H300" s="30"/>
      <c r="J300" s="29"/>
      <c r="L300" s="30"/>
      <c r="M300" s="30"/>
      <c r="O300" s="32"/>
      <c r="P300" s="32"/>
      <c r="S300" s="32"/>
    </row>
    <row r="301">
      <c r="D301" s="29"/>
      <c r="F301" s="31"/>
      <c r="G301" s="30"/>
      <c r="H301" s="30"/>
      <c r="J301" s="29"/>
      <c r="L301" s="30"/>
      <c r="M301" s="30"/>
      <c r="O301" s="32"/>
      <c r="P301" s="32"/>
      <c r="S301" s="32"/>
    </row>
    <row r="302">
      <c r="D302" s="29"/>
      <c r="F302" s="31"/>
      <c r="G302" s="30"/>
      <c r="H302" s="30"/>
      <c r="J302" s="29"/>
      <c r="L302" s="30"/>
      <c r="M302" s="30"/>
      <c r="O302" s="32"/>
      <c r="P302" s="32"/>
      <c r="S302" s="32"/>
    </row>
    <row r="303">
      <c r="D303" s="29"/>
      <c r="F303" s="31"/>
      <c r="G303" s="30"/>
      <c r="H303" s="30"/>
      <c r="J303" s="29"/>
      <c r="L303" s="30"/>
      <c r="M303" s="30"/>
      <c r="O303" s="32"/>
      <c r="P303" s="32"/>
      <c r="S303" s="32"/>
    </row>
    <row r="304">
      <c r="D304" s="29"/>
      <c r="F304" s="31"/>
      <c r="G304" s="30"/>
      <c r="H304" s="30"/>
      <c r="J304" s="29"/>
      <c r="L304" s="30"/>
      <c r="M304" s="30"/>
      <c r="O304" s="32"/>
      <c r="P304" s="32"/>
      <c r="S304" s="32"/>
    </row>
    <row r="305">
      <c r="D305" s="29"/>
      <c r="F305" s="31"/>
      <c r="G305" s="30"/>
      <c r="H305" s="30"/>
      <c r="J305" s="29"/>
      <c r="L305" s="30"/>
      <c r="M305" s="30"/>
      <c r="O305" s="32"/>
      <c r="P305" s="32"/>
      <c r="S305" s="32"/>
    </row>
    <row r="306">
      <c r="D306" s="29"/>
      <c r="F306" s="31"/>
      <c r="G306" s="30"/>
      <c r="H306" s="30"/>
      <c r="J306" s="29"/>
      <c r="L306" s="30"/>
      <c r="M306" s="30"/>
      <c r="O306" s="32"/>
      <c r="P306" s="32"/>
      <c r="S306" s="32"/>
    </row>
    <row r="307">
      <c r="D307" s="29"/>
      <c r="F307" s="31"/>
      <c r="G307" s="30"/>
      <c r="H307" s="30"/>
      <c r="J307" s="29"/>
      <c r="L307" s="30"/>
      <c r="M307" s="30"/>
      <c r="O307" s="32"/>
      <c r="P307" s="32"/>
      <c r="S307" s="32"/>
    </row>
    <row r="308">
      <c r="D308" s="29"/>
      <c r="F308" s="31"/>
      <c r="G308" s="30"/>
      <c r="H308" s="30"/>
      <c r="J308" s="29"/>
      <c r="L308" s="30"/>
      <c r="M308" s="30"/>
      <c r="O308" s="32"/>
      <c r="P308" s="32"/>
      <c r="S308" s="32"/>
    </row>
    <row r="309">
      <c r="D309" s="29"/>
      <c r="F309" s="31"/>
      <c r="G309" s="30"/>
      <c r="H309" s="30"/>
      <c r="J309" s="29"/>
      <c r="L309" s="30"/>
      <c r="M309" s="30"/>
      <c r="O309" s="32"/>
      <c r="P309" s="32"/>
      <c r="S309" s="32"/>
    </row>
    <row r="310">
      <c r="D310" s="29"/>
      <c r="F310" s="31"/>
      <c r="G310" s="30"/>
      <c r="H310" s="30"/>
      <c r="J310" s="29"/>
      <c r="L310" s="30"/>
      <c r="M310" s="30"/>
      <c r="O310" s="32"/>
      <c r="P310" s="32"/>
      <c r="S310" s="32"/>
    </row>
    <row r="311">
      <c r="D311" s="29"/>
      <c r="F311" s="31"/>
      <c r="G311" s="30"/>
      <c r="H311" s="30"/>
      <c r="J311" s="29"/>
      <c r="L311" s="30"/>
      <c r="M311" s="30"/>
      <c r="O311" s="32"/>
      <c r="P311" s="32"/>
      <c r="S311" s="32"/>
    </row>
    <row r="312">
      <c r="D312" s="29"/>
      <c r="F312" s="31"/>
      <c r="G312" s="30"/>
      <c r="H312" s="30"/>
      <c r="J312" s="29"/>
      <c r="L312" s="30"/>
      <c r="M312" s="30"/>
      <c r="O312" s="32"/>
      <c r="P312" s="32"/>
      <c r="S312" s="32"/>
    </row>
    <row r="313">
      <c r="D313" s="29"/>
      <c r="F313" s="31"/>
      <c r="G313" s="30"/>
      <c r="H313" s="30"/>
      <c r="J313" s="29"/>
      <c r="L313" s="30"/>
      <c r="M313" s="30"/>
      <c r="O313" s="32"/>
      <c r="P313" s="32"/>
      <c r="S313" s="32"/>
    </row>
    <row r="314">
      <c r="D314" s="29"/>
      <c r="F314" s="31"/>
      <c r="G314" s="30"/>
      <c r="H314" s="30"/>
      <c r="J314" s="29"/>
      <c r="L314" s="30"/>
      <c r="M314" s="30"/>
      <c r="O314" s="32"/>
      <c r="P314" s="32"/>
      <c r="S314" s="32"/>
    </row>
    <row r="315">
      <c r="D315" s="29"/>
      <c r="F315" s="31"/>
      <c r="G315" s="30"/>
      <c r="H315" s="30"/>
      <c r="J315" s="29"/>
      <c r="L315" s="30"/>
      <c r="M315" s="30"/>
      <c r="O315" s="32"/>
      <c r="P315" s="32"/>
      <c r="S315" s="32"/>
    </row>
    <row r="316">
      <c r="D316" s="29"/>
      <c r="F316" s="31"/>
      <c r="G316" s="30"/>
      <c r="H316" s="30"/>
      <c r="J316" s="29"/>
      <c r="L316" s="30"/>
      <c r="M316" s="30"/>
      <c r="O316" s="32"/>
      <c r="P316" s="32"/>
      <c r="S316" s="32"/>
    </row>
    <row r="317">
      <c r="D317" s="29"/>
      <c r="F317" s="31"/>
      <c r="G317" s="30"/>
      <c r="H317" s="30"/>
      <c r="J317" s="29"/>
      <c r="L317" s="30"/>
      <c r="M317" s="30"/>
      <c r="O317" s="32"/>
      <c r="P317" s="32"/>
      <c r="S317" s="32"/>
    </row>
    <row r="318">
      <c r="D318" s="29"/>
      <c r="F318" s="31"/>
      <c r="G318" s="30"/>
      <c r="H318" s="30"/>
      <c r="J318" s="29"/>
      <c r="L318" s="30"/>
      <c r="M318" s="30"/>
      <c r="O318" s="32"/>
      <c r="P318" s="32"/>
      <c r="S318" s="32"/>
    </row>
    <row r="319">
      <c r="D319" s="29"/>
      <c r="F319" s="31"/>
      <c r="G319" s="30"/>
      <c r="H319" s="30"/>
      <c r="J319" s="29"/>
      <c r="L319" s="30"/>
      <c r="M319" s="30"/>
      <c r="O319" s="32"/>
      <c r="P319" s="32"/>
      <c r="S319" s="32"/>
    </row>
    <row r="320">
      <c r="D320" s="29"/>
      <c r="F320" s="31"/>
      <c r="G320" s="30"/>
      <c r="H320" s="30"/>
      <c r="J320" s="29"/>
      <c r="L320" s="30"/>
      <c r="M320" s="30"/>
      <c r="O320" s="32"/>
      <c r="P320" s="32"/>
      <c r="S320" s="32"/>
    </row>
    <row r="321">
      <c r="D321" s="29"/>
      <c r="F321" s="31"/>
      <c r="G321" s="30"/>
      <c r="H321" s="30"/>
      <c r="J321" s="29"/>
      <c r="L321" s="30"/>
      <c r="M321" s="30"/>
      <c r="O321" s="32"/>
      <c r="P321" s="32"/>
      <c r="S321" s="32"/>
    </row>
    <row r="322">
      <c r="D322" s="29"/>
      <c r="F322" s="31"/>
      <c r="G322" s="30"/>
      <c r="H322" s="30"/>
      <c r="J322" s="29"/>
      <c r="L322" s="30"/>
      <c r="M322" s="30"/>
      <c r="O322" s="32"/>
      <c r="P322" s="32"/>
      <c r="S322" s="32"/>
    </row>
    <row r="323">
      <c r="D323" s="29"/>
      <c r="F323" s="31"/>
      <c r="G323" s="30"/>
      <c r="H323" s="30"/>
      <c r="J323" s="29"/>
      <c r="L323" s="30"/>
      <c r="M323" s="30"/>
      <c r="O323" s="32"/>
      <c r="P323" s="32"/>
      <c r="S323" s="32"/>
    </row>
    <row r="324">
      <c r="D324" s="29"/>
      <c r="F324" s="31"/>
      <c r="G324" s="30"/>
      <c r="H324" s="30"/>
      <c r="J324" s="29"/>
      <c r="L324" s="30"/>
      <c r="M324" s="30"/>
      <c r="O324" s="32"/>
      <c r="P324" s="32"/>
      <c r="S324" s="32"/>
    </row>
    <row r="325">
      <c r="D325" s="29"/>
      <c r="F325" s="31"/>
      <c r="G325" s="30"/>
      <c r="H325" s="30"/>
      <c r="J325" s="29"/>
      <c r="L325" s="30"/>
      <c r="M325" s="30"/>
      <c r="O325" s="32"/>
      <c r="P325" s="32"/>
      <c r="S325" s="32"/>
    </row>
    <row r="326">
      <c r="D326" s="29"/>
      <c r="F326" s="31"/>
      <c r="G326" s="30"/>
      <c r="H326" s="30"/>
      <c r="J326" s="29"/>
      <c r="L326" s="30"/>
      <c r="M326" s="30"/>
      <c r="O326" s="32"/>
      <c r="P326" s="32"/>
      <c r="S326" s="32"/>
    </row>
    <row r="327">
      <c r="D327" s="29"/>
      <c r="F327" s="31"/>
      <c r="G327" s="30"/>
      <c r="H327" s="30"/>
      <c r="J327" s="29"/>
      <c r="L327" s="30"/>
      <c r="M327" s="30"/>
      <c r="O327" s="32"/>
      <c r="P327" s="32"/>
      <c r="S327" s="32"/>
    </row>
    <row r="328">
      <c r="D328" s="29"/>
      <c r="F328" s="31"/>
      <c r="G328" s="30"/>
      <c r="H328" s="30"/>
      <c r="J328" s="29"/>
      <c r="L328" s="30"/>
      <c r="M328" s="30"/>
      <c r="O328" s="32"/>
      <c r="P328" s="32"/>
      <c r="S328" s="32"/>
    </row>
    <row r="329">
      <c r="D329" s="29"/>
      <c r="F329" s="31"/>
      <c r="G329" s="30"/>
      <c r="H329" s="30"/>
      <c r="J329" s="29"/>
      <c r="L329" s="30"/>
      <c r="M329" s="30"/>
      <c r="O329" s="32"/>
      <c r="P329" s="32"/>
      <c r="S329" s="32"/>
    </row>
    <row r="330">
      <c r="D330" s="29"/>
      <c r="F330" s="31"/>
      <c r="G330" s="30"/>
      <c r="H330" s="30"/>
      <c r="J330" s="29"/>
      <c r="L330" s="30"/>
      <c r="M330" s="30"/>
      <c r="O330" s="32"/>
      <c r="P330" s="32"/>
      <c r="S330" s="32"/>
    </row>
    <row r="331">
      <c r="D331" s="29"/>
      <c r="F331" s="31"/>
      <c r="G331" s="30"/>
      <c r="H331" s="30"/>
      <c r="J331" s="29"/>
      <c r="L331" s="30"/>
      <c r="M331" s="30"/>
      <c r="O331" s="32"/>
      <c r="P331" s="32"/>
      <c r="S331" s="32"/>
    </row>
    <row r="332">
      <c r="D332" s="29"/>
      <c r="F332" s="31"/>
      <c r="G332" s="30"/>
      <c r="H332" s="30"/>
      <c r="J332" s="29"/>
      <c r="L332" s="30"/>
      <c r="M332" s="30"/>
      <c r="O332" s="32"/>
      <c r="P332" s="32"/>
      <c r="S332" s="32"/>
    </row>
    <row r="333">
      <c r="D333" s="29"/>
      <c r="F333" s="31"/>
      <c r="G333" s="30"/>
      <c r="H333" s="30"/>
      <c r="J333" s="29"/>
      <c r="L333" s="30"/>
      <c r="M333" s="30"/>
      <c r="O333" s="32"/>
      <c r="P333" s="32"/>
      <c r="S333" s="32"/>
    </row>
    <row r="334">
      <c r="D334" s="29"/>
      <c r="F334" s="31"/>
      <c r="G334" s="30"/>
      <c r="H334" s="30"/>
      <c r="J334" s="29"/>
      <c r="L334" s="30"/>
      <c r="M334" s="30"/>
      <c r="O334" s="32"/>
      <c r="P334" s="32"/>
      <c r="S334" s="32"/>
    </row>
    <row r="335">
      <c r="D335" s="29"/>
      <c r="F335" s="31"/>
      <c r="G335" s="30"/>
      <c r="H335" s="30"/>
      <c r="J335" s="29"/>
      <c r="L335" s="30"/>
      <c r="M335" s="30"/>
      <c r="O335" s="32"/>
      <c r="P335" s="32"/>
      <c r="S335" s="32"/>
    </row>
    <row r="336">
      <c r="D336" s="29"/>
      <c r="F336" s="31"/>
      <c r="G336" s="30"/>
      <c r="H336" s="30"/>
      <c r="J336" s="29"/>
      <c r="L336" s="30"/>
      <c r="M336" s="30"/>
      <c r="O336" s="32"/>
      <c r="P336" s="32"/>
      <c r="S336" s="32"/>
    </row>
    <row r="337">
      <c r="D337" s="29"/>
      <c r="F337" s="31"/>
      <c r="G337" s="30"/>
      <c r="H337" s="30"/>
      <c r="J337" s="29"/>
      <c r="L337" s="30"/>
      <c r="M337" s="30"/>
      <c r="O337" s="32"/>
      <c r="P337" s="32"/>
      <c r="S337" s="32"/>
    </row>
    <row r="338">
      <c r="D338" s="29"/>
      <c r="F338" s="31"/>
      <c r="G338" s="30"/>
      <c r="H338" s="30"/>
      <c r="J338" s="29"/>
      <c r="L338" s="30"/>
      <c r="M338" s="30"/>
      <c r="O338" s="32"/>
      <c r="P338" s="32"/>
      <c r="S338" s="32"/>
    </row>
    <row r="339">
      <c r="D339" s="29"/>
      <c r="F339" s="31"/>
      <c r="G339" s="30"/>
      <c r="H339" s="30"/>
      <c r="J339" s="29"/>
      <c r="L339" s="30"/>
      <c r="M339" s="30"/>
      <c r="O339" s="32"/>
      <c r="P339" s="32"/>
      <c r="S339" s="32"/>
    </row>
    <row r="340">
      <c r="D340" s="29"/>
      <c r="F340" s="31"/>
      <c r="G340" s="30"/>
      <c r="H340" s="30"/>
      <c r="J340" s="29"/>
      <c r="L340" s="30"/>
      <c r="M340" s="30"/>
      <c r="O340" s="32"/>
      <c r="P340" s="32"/>
      <c r="S340" s="32"/>
    </row>
    <row r="341">
      <c r="D341" s="29"/>
      <c r="F341" s="31"/>
      <c r="G341" s="30"/>
      <c r="H341" s="30"/>
      <c r="J341" s="29"/>
      <c r="L341" s="30"/>
      <c r="M341" s="30"/>
      <c r="O341" s="32"/>
      <c r="P341" s="32"/>
      <c r="S341" s="32"/>
    </row>
    <row r="342">
      <c r="D342" s="29"/>
      <c r="F342" s="31"/>
      <c r="G342" s="30"/>
      <c r="H342" s="30"/>
      <c r="J342" s="29"/>
      <c r="L342" s="30"/>
      <c r="M342" s="30"/>
      <c r="O342" s="32"/>
      <c r="P342" s="32"/>
      <c r="S342" s="32"/>
    </row>
    <row r="343">
      <c r="D343" s="29"/>
      <c r="F343" s="31"/>
      <c r="G343" s="30"/>
      <c r="H343" s="30"/>
      <c r="J343" s="29"/>
      <c r="L343" s="30"/>
      <c r="M343" s="30"/>
      <c r="O343" s="32"/>
      <c r="P343" s="32"/>
      <c r="S343" s="32"/>
    </row>
    <row r="344">
      <c r="D344" s="29"/>
      <c r="F344" s="31"/>
      <c r="G344" s="30"/>
      <c r="H344" s="30"/>
      <c r="J344" s="29"/>
      <c r="L344" s="30"/>
      <c r="M344" s="30"/>
      <c r="O344" s="32"/>
      <c r="P344" s="32"/>
      <c r="S344" s="32"/>
    </row>
    <row r="345">
      <c r="D345" s="29"/>
      <c r="F345" s="31"/>
      <c r="G345" s="30"/>
      <c r="H345" s="30"/>
      <c r="J345" s="29"/>
      <c r="L345" s="30"/>
      <c r="M345" s="30"/>
      <c r="O345" s="32"/>
      <c r="P345" s="32"/>
      <c r="S345" s="32"/>
    </row>
    <row r="346">
      <c r="D346" s="29"/>
      <c r="F346" s="31"/>
      <c r="G346" s="30"/>
      <c r="H346" s="30"/>
      <c r="J346" s="29"/>
      <c r="L346" s="30"/>
      <c r="M346" s="30"/>
      <c r="O346" s="32"/>
      <c r="P346" s="32"/>
      <c r="S346" s="32"/>
    </row>
    <row r="347">
      <c r="D347" s="29"/>
      <c r="F347" s="31"/>
      <c r="G347" s="30"/>
      <c r="H347" s="30"/>
      <c r="J347" s="29"/>
      <c r="L347" s="30"/>
      <c r="M347" s="30"/>
      <c r="O347" s="32"/>
      <c r="P347" s="32"/>
      <c r="S347" s="32"/>
    </row>
    <row r="348">
      <c r="D348" s="29"/>
      <c r="F348" s="31"/>
      <c r="G348" s="30"/>
      <c r="H348" s="30"/>
      <c r="J348" s="29"/>
      <c r="L348" s="30"/>
      <c r="M348" s="30"/>
      <c r="O348" s="32"/>
      <c r="P348" s="32"/>
      <c r="S348" s="32"/>
    </row>
    <row r="349">
      <c r="D349" s="29"/>
      <c r="F349" s="31"/>
      <c r="G349" s="30"/>
      <c r="H349" s="30"/>
      <c r="J349" s="29"/>
      <c r="L349" s="30"/>
      <c r="M349" s="30"/>
      <c r="O349" s="32"/>
      <c r="P349" s="32"/>
      <c r="S349" s="32"/>
    </row>
    <row r="350">
      <c r="D350" s="29"/>
      <c r="F350" s="31"/>
      <c r="G350" s="30"/>
      <c r="H350" s="30"/>
      <c r="J350" s="29"/>
      <c r="L350" s="30"/>
      <c r="M350" s="30"/>
      <c r="O350" s="32"/>
      <c r="P350" s="32"/>
      <c r="S350" s="32"/>
    </row>
    <row r="351">
      <c r="D351" s="29"/>
      <c r="F351" s="31"/>
      <c r="G351" s="30"/>
      <c r="H351" s="30"/>
      <c r="J351" s="29"/>
      <c r="L351" s="30"/>
      <c r="M351" s="30"/>
      <c r="O351" s="32"/>
      <c r="P351" s="32"/>
      <c r="S351" s="32"/>
    </row>
    <row r="352">
      <c r="D352" s="29"/>
      <c r="F352" s="31"/>
      <c r="G352" s="30"/>
      <c r="H352" s="30"/>
      <c r="J352" s="29"/>
      <c r="L352" s="30"/>
      <c r="M352" s="30"/>
      <c r="O352" s="32"/>
      <c r="P352" s="32"/>
      <c r="S352" s="32"/>
    </row>
    <row r="353">
      <c r="D353" s="29"/>
      <c r="F353" s="31"/>
      <c r="G353" s="30"/>
      <c r="H353" s="30"/>
      <c r="J353" s="29"/>
      <c r="L353" s="30"/>
      <c r="M353" s="30"/>
      <c r="O353" s="32"/>
      <c r="P353" s="32"/>
      <c r="S353" s="32"/>
    </row>
    <row r="354">
      <c r="D354" s="29"/>
      <c r="F354" s="31"/>
      <c r="G354" s="30"/>
      <c r="H354" s="30"/>
      <c r="J354" s="29"/>
      <c r="L354" s="30"/>
      <c r="M354" s="30"/>
      <c r="O354" s="32"/>
      <c r="P354" s="32"/>
      <c r="S354" s="32"/>
    </row>
    <row r="355">
      <c r="D355" s="29"/>
      <c r="F355" s="31"/>
      <c r="G355" s="30"/>
      <c r="H355" s="30"/>
      <c r="J355" s="29"/>
      <c r="L355" s="30"/>
      <c r="M355" s="30"/>
      <c r="O355" s="32"/>
      <c r="P355" s="32"/>
      <c r="S355" s="32"/>
    </row>
    <row r="356">
      <c r="D356" s="29"/>
      <c r="F356" s="31"/>
      <c r="G356" s="30"/>
      <c r="H356" s="30"/>
      <c r="J356" s="29"/>
      <c r="L356" s="30"/>
      <c r="M356" s="30"/>
      <c r="O356" s="32"/>
      <c r="P356" s="32"/>
      <c r="S356" s="32"/>
    </row>
    <row r="357">
      <c r="D357" s="29"/>
      <c r="F357" s="31"/>
      <c r="G357" s="30"/>
      <c r="H357" s="30"/>
      <c r="J357" s="29"/>
      <c r="L357" s="30"/>
      <c r="M357" s="30"/>
      <c r="O357" s="32"/>
      <c r="P357" s="32"/>
      <c r="S357" s="32"/>
    </row>
    <row r="358">
      <c r="D358" s="29"/>
      <c r="F358" s="31"/>
      <c r="G358" s="30"/>
      <c r="H358" s="30"/>
      <c r="J358" s="29"/>
      <c r="L358" s="30"/>
      <c r="M358" s="30"/>
      <c r="O358" s="32"/>
      <c r="P358" s="32"/>
      <c r="S358" s="32"/>
    </row>
    <row r="359">
      <c r="D359" s="29"/>
      <c r="F359" s="31"/>
      <c r="G359" s="30"/>
      <c r="H359" s="30"/>
      <c r="J359" s="29"/>
      <c r="L359" s="30"/>
      <c r="M359" s="30"/>
      <c r="O359" s="32"/>
      <c r="P359" s="32"/>
      <c r="S359" s="32"/>
    </row>
    <row r="360">
      <c r="D360" s="29"/>
      <c r="F360" s="31"/>
      <c r="G360" s="30"/>
      <c r="H360" s="30"/>
      <c r="J360" s="29"/>
      <c r="L360" s="30"/>
      <c r="M360" s="30"/>
      <c r="O360" s="32"/>
      <c r="P360" s="32"/>
      <c r="S360" s="32"/>
    </row>
    <row r="361">
      <c r="D361" s="29"/>
      <c r="F361" s="31"/>
      <c r="G361" s="30"/>
      <c r="H361" s="30"/>
      <c r="J361" s="29"/>
      <c r="L361" s="30"/>
      <c r="M361" s="30"/>
      <c r="O361" s="32"/>
      <c r="P361" s="32"/>
      <c r="S361" s="32"/>
    </row>
    <row r="362">
      <c r="D362" s="29"/>
      <c r="F362" s="31"/>
      <c r="G362" s="30"/>
      <c r="H362" s="30"/>
      <c r="J362" s="29"/>
      <c r="L362" s="30"/>
      <c r="M362" s="30"/>
      <c r="O362" s="32"/>
      <c r="P362" s="32"/>
      <c r="S362" s="32"/>
    </row>
    <row r="363">
      <c r="D363" s="29"/>
      <c r="F363" s="31"/>
      <c r="G363" s="30"/>
      <c r="H363" s="30"/>
      <c r="J363" s="29"/>
      <c r="L363" s="30"/>
      <c r="M363" s="30"/>
      <c r="O363" s="32"/>
      <c r="P363" s="32"/>
      <c r="S363" s="32"/>
    </row>
    <row r="364">
      <c r="D364" s="29"/>
      <c r="F364" s="31"/>
      <c r="G364" s="30"/>
      <c r="H364" s="30"/>
      <c r="J364" s="29"/>
      <c r="L364" s="30"/>
      <c r="M364" s="30"/>
      <c r="O364" s="32"/>
      <c r="P364" s="32"/>
      <c r="S364" s="32"/>
    </row>
    <row r="365">
      <c r="D365" s="29"/>
      <c r="F365" s="31"/>
      <c r="G365" s="30"/>
      <c r="H365" s="30"/>
      <c r="J365" s="29"/>
      <c r="L365" s="30"/>
      <c r="M365" s="30"/>
      <c r="O365" s="32"/>
      <c r="P365" s="32"/>
      <c r="S365" s="32"/>
    </row>
    <row r="366">
      <c r="D366" s="29"/>
      <c r="F366" s="31"/>
      <c r="G366" s="30"/>
      <c r="H366" s="30"/>
      <c r="J366" s="29"/>
      <c r="L366" s="30"/>
      <c r="M366" s="30"/>
      <c r="O366" s="32"/>
      <c r="P366" s="32"/>
      <c r="S366" s="32"/>
    </row>
    <row r="367">
      <c r="D367" s="29"/>
      <c r="F367" s="31"/>
      <c r="G367" s="30"/>
      <c r="H367" s="30"/>
      <c r="J367" s="29"/>
      <c r="L367" s="30"/>
      <c r="M367" s="30"/>
      <c r="O367" s="32"/>
      <c r="P367" s="32"/>
      <c r="S367" s="32"/>
    </row>
    <row r="368">
      <c r="D368" s="29"/>
      <c r="F368" s="31"/>
      <c r="G368" s="30"/>
      <c r="H368" s="30"/>
      <c r="J368" s="29"/>
      <c r="L368" s="30"/>
      <c r="M368" s="30"/>
      <c r="O368" s="32"/>
      <c r="P368" s="32"/>
      <c r="S368" s="32"/>
    </row>
    <row r="369">
      <c r="D369" s="29"/>
      <c r="F369" s="31"/>
      <c r="G369" s="30"/>
      <c r="H369" s="30"/>
      <c r="J369" s="29"/>
      <c r="L369" s="30"/>
      <c r="M369" s="30"/>
      <c r="O369" s="32"/>
      <c r="P369" s="32"/>
      <c r="S369" s="32"/>
    </row>
    <row r="370">
      <c r="D370" s="29"/>
      <c r="F370" s="31"/>
      <c r="G370" s="30"/>
      <c r="H370" s="30"/>
      <c r="J370" s="29"/>
      <c r="L370" s="30"/>
      <c r="M370" s="30"/>
      <c r="O370" s="32"/>
      <c r="P370" s="32"/>
      <c r="S370" s="32"/>
    </row>
    <row r="371">
      <c r="D371" s="29"/>
      <c r="F371" s="31"/>
      <c r="G371" s="30"/>
      <c r="H371" s="30"/>
      <c r="J371" s="29"/>
      <c r="L371" s="30"/>
      <c r="M371" s="30"/>
      <c r="O371" s="32"/>
      <c r="P371" s="32"/>
      <c r="S371" s="32"/>
    </row>
    <row r="372">
      <c r="D372" s="29"/>
      <c r="F372" s="31"/>
      <c r="G372" s="30"/>
      <c r="H372" s="30"/>
      <c r="J372" s="29"/>
      <c r="L372" s="30"/>
      <c r="M372" s="30"/>
      <c r="O372" s="32"/>
      <c r="P372" s="32"/>
      <c r="S372" s="32"/>
    </row>
    <row r="373">
      <c r="D373" s="29"/>
      <c r="F373" s="31"/>
      <c r="G373" s="30"/>
      <c r="H373" s="30"/>
      <c r="J373" s="29"/>
      <c r="L373" s="30"/>
      <c r="M373" s="30"/>
      <c r="O373" s="32"/>
      <c r="P373" s="32"/>
      <c r="S373" s="32"/>
    </row>
    <row r="374">
      <c r="D374" s="29"/>
      <c r="F374" s="31"/>
      <c r="G374" s="30"/>
      <c r="H374" s="30"/>
      <c r="J374" s="29"/>
      <c r="L374" s="30"/>
      <c r="M374" s="30"/>
      <c r="O374" s="32"/>
      <c r="P374" s="32"/>
      <c r="S374" s="32"/>
    </row>
    <row r="375">
      <c r="D375" s="29"/>
      <c r="F375" s="31"/>
      <c r="G375" s="30"/>
      <c r="H375" s="30"/>
      <c r="J375" s="29"/>
      <c r="L375" s="30"/>
      <c r="M375" s="30"/>
      <c r="O375" s="32"/>
      <c r="P375" s="32"/>
      <c r="S375" s="32"/>
    </row>
    <row r="376">
      <c r="D376" s="29"/>
      <c r="F376" s="31"/>
      <c r="G376" s="30"/>
      <c r="H376" s="30"/>
      <c r="J376" s="29"/>
      <c r="L376" s="30"/>
      <c r="M376" s="30"/>
      <c r="O376" s="32"/>
      <c r="P376" s="32"/>
      <c r="S376" s="32"/>
    </row>
    <row r="377">
      <c r="D377" s="29"/>
      <c r="F377" s="31"/>
      <c r="G377" s="30"/>
      <c r="H377" s="30"/>
      <c r="J377" s="29"/>
      <c r="L377" s="30"/>
      <c r="M377" s="30"/>
      <c r="O377" s="32"/>
      <c r="P377" s="32"/>
      <c r="S377" s="32"/>
    </row>
    <row r="378">
      <c r="D378" s="29"/>
      <c r="F378" s="31"/>
      <c r="G378" s="30"/>
      <c r="H378" s="30"/>
      <c r="J378" s="29"/>
      <c r="L378" s="30"/>
      <c r="M378" s="30"/>
      <c r="O378" s="32"/>
      <c r="P378" s="32"/>
      <c r="S378" s="32"/>
    </row>
    <row r="379">
      <c r="D379" s="29"/>
      <c r="F379" s="31"/>
      <c r="G379" s="30"/>
      <c r="H379" s="30"/>
      <c r="J379" s="29"/>
      <c r="L379" s="30"/>
      <c r="M379" s="30"/>
      <c r="O379" s="32"/>
      <c r="P379" s="32"/>
      <c r="S379" s="32"/>
    </row>
    <row r="380">
      <c r="D380" s="29"/>
      <c r="F380" s="31"/>
      <c r="G380" s="30"/>
      <c r="H380" s="30"/>
      <c r="J380" s="29"/>
      <c r="L380" s="30"/>
      <c r="M380" s="30"/>
      <c r="O380" s="32"/>
      <c r="P380" s="32"/>
      <c r="S380" s="32"/>
    </row>
    <row r="381">
      <c r="D381" s="29"/>
      <c r="F381" s="31"/>
      <c r="G381" s="30"/>
      <c r="H381" s="30"/>
      <c r="J381" s="29"/>
      <c r="L381" s="30"/>
      <c r="M381" s="30"/>
      <c r="O381" s="32"/>
      <c r="P381" s="32"/>
      <c r="S381" s="32"/>
    </row>
    <row r="382">
      <c r="D382" s="29"/>
      <c r="F382" s="31"/>
      <c r="G382" s="30"/>
      <c r="H382" s="30"/>
      <c r="J382" s="29"/>
      <c r="L382" s="30"/>
      <c r="M382" s="30"/>
      <c r="O382" s="32"/>
      <c r="P382" s="32"/>
      <c r="S382" s="32"/>
    </row>
    <row r="383">
      <c r="D383" s="29"/>
      <c r="F383" s="31"/>
      <c r="G383" s="30"/>
      <c r="H383" s="30"/>
      <c r="J383" s="29"/>
      <c r="L383" s="30"/>
      <c r="M383" s="30"/>
      <c r="O383" s="32"/>
      <c r="P383" s="32"/>
      <c r="S383" s="32"/>
    </row>
    <row r="384">
      <c r="D384" s="29"/>
      <c r="F384" s="31"/>
      <c r="G384" s="30"/>
      <c r="H384" s="30"/>
      <c r="J384" s="29"/>
      <c r="L384" s="30"/>
      <c r="M384" s="30"/>
      <c r="O384" s="32"/>
      <c r="P384" s="32"/>
      <c r="S384" s="32"/>
    </row>
    <row r="385">
      <c r="D385" s="29"/>
      <c r="F385" s="31"/>
      <c r="G385" s="30"/>
      <c r="H385" s="30"/>
      <c r="J385" s="29"/>
      <c r="L385" s="30"/>
      <c r="M385" s="30"/>
      <c r="O385" s="32"/>
      <c r="P385" s="32"/>
      <c r="S385" s="32"/>
    </row>
    <row r="386">
      <c r="D386" s="29"/>
      <c r="F386" s="31"/>
      <c r="G386" s="30"/>
      <c r="H386" s="30"/>
      <c r="J386" s="29"/>
      <c r="L386" s="30"/>
      <c r="M386" s="30"/>
      <c r="O386" s="32"/>
      <c r="P386" s="32"/>
      <c r="S386" s="32"/>
    </row>
    <row r="387">
      <c r="D387" s="29"/>
      <c r="F387" s="31"/>
      <c r="G387" s="30"/>
      <c r="H387" s="30"/>
      <c r="J387" s="29"/>
      <c r="L387" s="30"/>
      <c r="M387" s="30"/>
      <c r="O387" s="32"/>
      <c r="P387" s="32"/>
      <c r="S387" s="32"/>
    </row>
    <row r="388">
      <c r="D388" s="29"/>
      <c r="F388" s="31"/>
      <c r="G388" s="30"/>
      <c r="H388" s="30"/>
      <c r="J388" s="29"/>
      <c r="L388" s="30"/>
      <c r="M388" s="30"/>
      <c r="O388" s="32"/>
      <c r="P388" s="32"/>
      <c r="S388" s="32"/>
    </row>
    <row r="389">
      <c r="D389" s="29"/>
      <c r="F389" s="31"/>
      <c r="G389" s="30"/>
      <c r="H389" s="30"/>
      <c r="J389" s="29"/>
      <c r="L389" s="30"/>
      <c r="M389" s="30"/>
      <c r="O389" s="32"/>
      <c r="P389" s="32"/>
      <c r="S389" s="32"/>
    </row>
    <row r="390">
      <c r="D390" s="29"/>
      <c r="F390" s="31"/>
      <c r="G390" s="30"/>
      <c r="H390" s="30"/>
      <c r="J390" s="29"/>
      <c r="L390" s="30"/>
      <c r="M390" s="30"/>
      <c r="O390" s="32"/>
      <c r="P390" s="32"/>
      <c r="S390" s="32"/>
    </row>
    <row r="391">
      <c r="D391" s="29"/>
      <c r="F391" s="31"/>
      <c r="G391" s="30"/>
      <c r="H391" s="30"/>
      <c r="J391" s="29"/>
      <c r="L391" s="30"/>
      <c r="M391" s="30"/>
      <c r="O391" s="32"/>
      <c r="P391" s="32"/>
      <c r="S391" s="32"/>
    </row>
    <row r="392">
      <c r="D392" s="29"/>
      <c r="F392" s="31"/>
      <c r="G392" s="30"/>
      <c r="H392" s="30"/>
      <c r="J392" s="29"/>
      <c r="L392" s="30"/>
      <c r="M392" s="30"/>
      <c r="O392" s="32"/>
      <c r="P392" s="32"/>
      <c r="S392" s="32"/>
    </row>
    <row r="393">
      <c r="D393" s="29"/>
      <c r="F393" s="31"/>
      <c r="G393" s="30"/>
      <c r="H393" s="30"/>
      <c r="J393" s="29"/>
      <c r="L393" s="30"/>
      <c r="M393" s="30"/>
      <c r="O393" s="32"/>
      <c r="P393" s="32"/>
      <c r="S393" s="32"/>
    </row>
    <row r="394">
      <c r="D394" s="29"/>
      <c r="F394" s="31"/>
      <c r="G394" s="30"/>
      <c r="H394" s="30"/>
      <c r="J394" s="29"/>
      <c r="L394" s="30"/>
      <c r="M394" s="30"/>
      <c r="O394" s="32"/>
      <c r="P394" s="32"/>
      <c r="S394" s="32"/>
    </row>
    <row r="395">
      <c r="D395" s="29"/>
      <c r="F395" s="31"/>
      <c r="G395" s="30"/>
      <c r="H395" s="30"/>
      <c r="J395" s="29"/>
      <c r="L395" s="30"/>
      <c r="M395" s="30"/>
      <c r="O395" s="32"/>
      <c r="P395" s="32"/>
      <c r="S395" s="32"/>
    </row>
    <row r="396">
      <c r="D396" s="29"/>
      <c r="F396" s="31"/>
      <c r="G396" s="30"/>
      <c r="H396" s="30"/>
      <c r="J396" s="29"/>
      <c r="L396" s="30"/>
      <c r="M396" s="30"/>
      <c r="O396" s="32"/>
      <c r="P396" s="32"/>
      <c r="S396" s="32"/>
    </row>
    <row r="397">
      <c r="D397" s="29"/>
      <c r="F397" s="31"/>
      <c r="G397" s="30"/>
      <c r="H397" s="30"/>
      <c r="J397" s="29"/>
      <c r="L397" s="30"/>
      <c r="M397" s="30"/>
      <c r="O397" s="32"/>
      <c r="P397" s="32"/>
      <c r="S397" s="32"/>
    </row>
    <row r="398">
      <c r="D398" s="29"/>
      <c r="F398" s="31"/>
      <c r="G398" s="30"/>
      <c r="H398" s="30"/>
      <c r="J398" s="29"/>
      <c r="L398" s="30"/>
      <c r="M398" s="30"/>
      <c r="O398" s="32"/>
      <c r="P398" s="32"/>
      <c r="S398" s="32"/>
    </row>
    <row r="399">
      <c r="D399" s="29"/>
      <c r="F399" s="31"/>
      <c r="G399" s="30"/>
      <c r="H399" s="30"/>
      <c r="J399" s="29"/>
      <c r="L399" s="30"/>
      <c r="M399" s="30"/>
      <c r="O399" s="32"/>
      <c r="P399" s="32"/>
      <c r="S399" s="32"/>
    </row>
    <row r="400">
      <c r="D400" s="29"/>
      <c r="F400" s="31"/>
      <c r="G400" s="30"/>
      <c r="H400" s="30"/>
      <c r="J400" s="29"/>
      <c r="L400" s="30"/>
      <c r="M400" s="30"/>
      <c r="O400" s="32"/>
      <c r="P400" s="32"/>
      <c r="S400" s="32"/>
    </row>
    <row r="401">
      <c r="D401" s="29"/>
      <c r="F401" s="31"/>
      <c r="G401" s="30"/>
      <c r="H401" s="30"/>
      <c r="J401" s="29"/>
      <c r="L401" s="30"/>
      <c r="M401" s="30"/>
      <c r="O401" s="32"/>
      <c r="P401" s="32"/>
      <c r="S401" s="32"/>
    </row>
    <row r="402">
      <c r="D402" s="29"/>
      <c r="F402" s="31"/>
      <c r="G402" s="30"/>
      <c r="H402" s="30"/>
      <c r="J402" s="29"/>
      <c r="L402" s="30"/>
      <c r="M402" s="30"/>
      <c r="O402" s="32"/>
      <c r="P402" s="32"/>
      <c r="S402" s="32"/>
    </row>
    <row r="403">
      <c r="D403" s="29"/>
      <c r="F403" s="31"/>
      <c r="G403" s="30"/>
      <c r="H403" s="30"/>
      <c r="J403" s="29"/>
      <c r="L403" s="30"/>
      <c r="M403" s="30"/>
      <c r="O403" s="32"/>
      <c r="P403" s="32"/>
      <c r="S403" s="32"/>
    </row>
    <row r="404">
      <c r="D404" s="29"/>
      <c r="F404" s="31"/>
      <c r="G404" s="30"/>
      <c r="H404" s="30"/>
      <c r="J404" s="29"/>
      <c r="L404" s="30"/>
      <c r="M404" s="30"/>
      <c r="O404" s="32"/>
      <c r="P404" s="32"/>
      <c r="S404" s="32"/>
    </row>
    <row r="405">
      <c r="D405" s="29"/>
      <c r="F405" s="31"/>
      <c r="G405" s="30"/>
      <c r="H405" s="30"/>
      <c r="J405" s="29"/>
      <c r="L405" s="30"/>
      <c r="M405" s="30"/>
      <c r="O405" s="32"/>
      <c r="P405" s="32"/>
      <c r="S405" s="32"/>
    </row>
    <row r="406">
      <c r="D406" s="29"/>
      <c r="F406" s="31"/>
      <c r="G406" s="30"/>
      <c r="H406" s="30"/>
      <c r="J406" s="29"/>
      <c r="L406" s="30"/>
      <c r="M406" s="30"/>
      <c r="O406" s="32"/>
      <c r="P406" s="32"/>
      <c r="S406" s="32"/>
    </row>
    <row r="407">
      <c r="D407" s="29"/>
      <c r="F407" s="31"/>
      <c r="G407" s="30"/>
      <c r="H407" s="30"/>
      <c r="J407" s="29"/>
      <c r="L407" s="30"/>
      <c r="M407" s="30"/>
      <c r="O407" s="32"/>
      <c r="P407" s="32"/>
      <c r="S407" s="32"/>
    </row>
    <row r="408">
      <c r="D408" s="29"/>
      <c r="F408" s="31"/>
      <c r="G408" s="30"/>
      <c r="H408" s="30"/>
      <c r="J408" s="29"/>
      <c r="L408" s="30"/>
      <c r="M408" s="30"/>
      <c r="O408" s="32"/>
      <c r="P408" s="32"/>
      <c r="S408" s="32"/>
    </row>
    <row r="409">
      <c r="D409" s="29"/>
      <c r="F409" s="31"/>
      <c r="G409" s="30"/>
      <c r="H409" s="30"/>
      <c r="J409" s="29"/>
      <c r="L409" s="30"/>
      <c r="M409" s="30"/>
      <c r="O409" s="32"/>
      <c r="P409" s="32"/>
      <c r="S409" s="32"/>
    </row>
    <row r="410">
      <c r="D410" s="29"/>
      <c r="F410" s="31"/>
      <c r="G410" s="30"/>
      <c r="H410" s="30"/>
      <c r="J410" s="29"/>
      <c r="L410" s="30"/>
      <c r="M410" s="30"/>
      <c r="O410" s="32"/>
      <c r="P410" s="32"/>
      <c r="S410" s="32"/>
    </row>
    <row r="411">
      <c r="D411" s="29"/>
      <c r="F411" s="31"/>
      <c r="G411" s="30"/>
      <c r="H411" s="30"/>
      <c r="J411" s="29"/>
      <c r="L411" s="30"/>
      <c r="M411" s="30"/>
      <c r="O411" s="32"/>
      <c r="P411" s="32"/>
      <c r="S411" s="32"/>
    </row>
    <row r="412">
      <c r="D412" s="29"/>
      <c r="F412" s="31"/>
      <c r="G412" s="30"/>
      <c r="H412" s="30"/>
      <c r="J412" s="29"/>
      <c r="L412" s="30"/>
      <c r="M412" s="30"/>
      <c r="O412" s="32"/>
      <c r="P412" s="32"/>
      <c r="S412" s="32"/>
    </row>
    <row r="413">
      <c r="D413" s="29"/>
      <c r="F413" s="31"/>
      <c r="G413" s="30"/>
      <c r="H413" s="30"/>
      <c r="J413" s="29"/>
      <c r="L413" s="30"/>
      <c r="M413" s="30"/>
      <c r="O413" s="32"/>
      <c r="P413" s="32"/>
      <c r="S413" s="32"/>
    </row>
    <row r="414">
      <c r="D414" s="29"/>
      <c r="F414" s="31"/>
      <c r="G414" s="30"/>
      <c r="H414" s="30"/>
      <c r="J414" s="29"/>
      <c r="L414" s="30"/>
      <c r="M414" s="30"/>
      <c r="O414" s="32"/>
      <c r="P414" s="32"/>
      <c r="S414" s="32"/>
    </row>
    <row r="415">
      <c r="D415" s="29"/>
      <c r="F415" s="31"/>
      <c r="G415" s="30"/>
      <c r="H415" s="30"/>
      <c r="J415" s="29"/>
      <c r="L415" s="30"/>
      <c r="M415" s="30"/>
      <c r="O415" s="32"/>
      <c r="P415" s="32"/>
      <c r="S415" s="32"/>
    </row>
    <row r="416">
      <c r="D416" s="29"/>
      <c r="F416" s="31"/>
      <c r="G416" s="30"/>
      <c r="H416" s="30"/>
      <c r="J416" s="29"/>
      <c r="L416" s="30"/>
      <c r="M416" s="30"/>
      <c r="O416" s="32"/>
      <c r="P416" s="32"/>
      <c r="S416" s="32"/>
    </row>
    <row r="417">
      <c r="D417" s="29"/>
      <c r="F417" s="31"/>
      <c r="G417" s="30"/>
      <c r="H417" s="30"/>
      <c r="J417" s="29"/>
      <c r="L417" s="30"/>
      <c r="M417" s="30"/>
      <c r="O417" s="32"/>
      <c r="P417" s="32"/>
      <c r="S417" s="32"/>
    </row>
    <row r="418">
      <c r="D418" s="29"/>
      <c r="F418" s="31"/>
      <c r="G418" s="30"/>
      <c r="H418" s="30"/>
      <c r="J418" s="29"/>
      <c r="L418" s="30"/>
      <c r="M418" s="30"/>
      <c r="O418" s="32"/>
      <c r="P418" s="32"/>
      <c r="S418" s="32"/>
    </row>
    <row r="419">
      <c r="D419" s="29"/>
      <c r="F419" s="31"/>
      <c r="G419" s="30"/>
      <c r="H419" s="30"/>
      <c r="J419" s="29"/>
      <c r="L419" s="30"/>
      <c r="M419" s="30"/>
      <c r="O419" s="32"/>
      <c r="P419" s="32"/>
      <c r="S419" s="32"/>
    </row>
    <row r="420">
      <c r="D420" s="29"/>
      <c r="F420" s="31"/>
      <c r="G420" s="30"/>
      <c r="H420" s="30"/>
      <c r="J420" s="29"/>
      <c r="L420" s="30"/>
      <c r="M420" s="30"/>
      <c r="O420" s="32"/>
      <c r="P420" s="32"/>
      <c r="S420" s="32"/>
    </row>
    <row r="421">
      <c r="D421" s="29"/>
      <c r="F421" s="31"/>
      <c r="G421" s="30"/>
      <c r="H421" s="30"/>
      <c r="J421" s="29"/>
      <c r="L421" s="30"/>
      <c r="M421" s="30"/>
      <c r="O421" s="32"/>
      <c r="P421" s="32"/>
      <c r="S421" s="32"/>
    </row>
    <row r="422">
      <c r="D422" s="29"/>
      <c r="F422" s="31"/>
      <c r="G422" s="30"/>
      <c r="H422" s="30"/>
      <c r="J422" s="29"/>
      <c r="L422" s="30"/>
      <c r="M422" s="30"/>
      <c r="O422" s="32"/>
      <c r="P422" s="32"/>
      <c r="S422" s="32"/>
    </row>
    <row r="423">
      <c r="D423" s="29"/>
      <c r="F423" s="31"/>
      <c r="G423" s="30"/>
      <c r="H423" s="30"/>
      <c r="J423" s="29"/>
      <c r="L423" s="30"/>
      <c r="M423" s="30"/>
      <c r="O423" s="32"/>
      <c r="P423" s="32"/>
      <c r="S423" s="32"/>
    </row>
    <row r="424">
      <c r="D424" s="29"/>
      <c r="F424" s="31"/>
      <c r="G424" s="30"/>
      <c r="H424" s="30"/>
      <c r="J424" s="29"/>
      <c r="L424" s="30"/>
      <c r="M424" s="30"/>
      <c r="O424" s="32"/>
      <c r="P424" s="32"/>
      <c r="S424" s="32"/>
    </row>
    <row r="425">
      <c r="D425" s="29"/>
      <c r="F425" s="31"/>
      <c r="G425" s="30"/>
      <c r="H425" s="30"/>
      <c r="J425" s="29"/>
      <c r="L425" s="30"/>
      <c r="M425" s="30"/>
      <c r="O425" s="32"/>
      <c r="P425" s="32"/>
      <c r="S425" s="32"/>
    </row>
    <row r="426">
      <c r="D426" s="29"/>
      <c r="F426" s="31"/>
      <c r="G426" s="30"/>
      <c r="H426" s="30"/>
      <c r="J426" s="29"/>
      <c r="L426" s="30"/>
      <c r="M426" s="30"/>
      <c r="O426" s="32"/>
      <c r="P426" s="32"/>
      <c r="S426" s="32"/>
    </row>
    <row r="427">
      <c r="D427" s="29"/>
      <c r="F427" s="31"/>
      <c r="G427" s="30"/>
      <c r="H427" s="30"/>
      <c r="J427" s="29"/>
      <c r="L427" s="30"/>
      <c r="M427" s="30"/>
      <c r="O427" s="32"/>
      <c r="P427" s="32"/>
      <c r="S427" s="32"/>
    </row>
    <row r="428">
      <c r="D428" s="29"/>
      <c r="F428" s="31"/>
      <c r="G428" s="30"/>
      <c r="H428" s="30"/>
      <c r="J428" s="29"/>
      <c r="L428" s="30"/>
      <c r="M428" s="30"/>
      <c r="O428" s="32"/>
      <c r="P428" s="32"/>
      <c r="S428" s="32"/>
    </row>
    <row r="429">
      <c r="D429" s="29"/>
      <c r="F429" s="31"/>
      <c r="G429" s="30"/>
      <c r="H429" s="30"/>
      <c r="J429" s="29"/>
      <c r="L429" s="30"/>
      <c r="M429" s="30"/>
      <c r="O429" s="32"/>
      <c r="P429" s="32"/>
      <c r="S429" s="32"/>
    </row>
    <row r="430">
      <c r="D430" s="29"/>
      <c r="F430" s="31"/>
      <c r="G430" s="30"/>
      <c r="H430" s="30"/>
      <c r="J430" s="29"/>
      <c r="L430" s="30"/>
      <c r="M430" s="30"/>
      <c r="O430" s="32"/>
      <c r="P430" s="32"/>
      <c r="S430" s="32"/>
    </row>
    <row r="431">
      <c r="D431" s="29"/>
      <c r="F431" s="31"/>
      <c r="G431" s="30"/>
      <c r="H431" s="30"/>
      <c r="J431" s="29"/>
      <c r="L431" s="30"/>
      <c r="M431" s="30"/>
      <c r="O431" s="32"/>
      <c r="P431" s="32"/>
      <c r="S431" s="32"/>
    </row>
    <row r="432">
      <c r="D432" s="29"/>
      <c r="F432" s="31"/>
      <c r="G432" s="30"/>
      <c r="H432" s="30"/>
      <c r="J432" s="29"/>
      <c r="L432" s="30"/>
      <c r="M432" s="30"/>
      <c r="O432" s="32"/>
      <c r="P432" s="32"/>
      <c r="S432" s="32"/>
    </row>
    <row r="433">
      <c r="D433" s="29"/>
      <c r="F433" s="31"/>
      <c r="G433" s="30"/>
      <c r="H433" s="30"/>
      <c r="J433" s="29"/>
      <c r="L433" s="30"/>
      <c r="M433" s="30"/>
      <c r="O433" s="32"/>
      <c r="P433" s="32"/>
      <c r="S433" s="32"/>
    </row>
    <row r="434">
      <c r="D434" s="29"/>
      <c r="F434" s="31"/>
      <c r="G434" s="30"/>
      <c r="H434" s="30"/>
      <c r="J434" s="29"/>
      <c r="L434" s="30"/>
      <c r="M434" s="30"/>
      <c r="O434" s="32"/>
      <c r="P434" s="32"/>
      <c r="S434" s="32"/>
    </row>
    <row r="435">
      <c r="D435" s="29"/>
      <c r="F435" s="31"/>
      <c r="G435" s="30"/>
      <c r="H435" s="30"/>
      <c r="J435" s="29"/>
      <c r="L435" s="30"/>
      <c r="M435" s="30"/>
      <c r="O435" s="32"/>
      <c r="P435" s="32"/>
      <c r="S435" s="32"/>
    </row>
    <row r="436">
      <c r="D436" s="29"/>
      <c r="F436" s="31"/>
      <c r="G436" s="30"/>
      <c r="H436" s="30"/>
      <c r="J436" s="29"/>
      <c r="L436" s="30"/>
      <c r="M436" s="30"/>
      <c r="O436" s="32"/>
      <c r="P436" s="32"/>
      <c r="S436" s="32"/>
    </row>
    <row r="437">
      <c r="D437" s="29"/>
      <c r="F437" s="31"/>
      <c r="G437" s="30"/>
      <c r="H437" s="30"/>
      <c r="J437" s="29"/>
      <c r="L437" s="30"/>
      <c r="M437" s="30"/>
      <c r="O437" s="32"/>
      <c r="P437" s="32"/>
      <c r="S437" s="32"/>
    </row>
    <row r="438">
      <c r="D438" s="29"/>
      <c r="F438" s="31"/>
      <c r="G438" s="30"/>
      <c r="H438" s="30"/>
      <c r="J438" s="29"/>
      <c r="L438" s="30"/>
      <c r="M438" s="30"/>
      <c r="O438" s="32"/>
      <c r="P438" s="32"/>
      <c r="S438" s="32"/>
    </row>
    <row r="439">
      <c r="D439" s="29"/>
      <c r="F439" s="31"/>
      <c r="G439" s="30"/>
      <c r="H439" s="30"/>
      <c r="J439" s="29"/>
      <c r="L439" s="30"/>
      <c r="M439" s="30"/>
      <c r="O439" s="32"/>
      <c r="P439" s="32"/>
      <c r="S439" s="32"/>
    </row>
    <row r="440">
      <c r="D440" s="29"/>
      <c r="F440" s="31"/>
      <c r="G440" s="30"/>
      <c r="H440" s="30"/>
      <c r="J440" s="29"/>
      <c r="L440" s="30"/>
      <c r="M440" s="30"/>
      <c r="O440" s="32"/>
      <c r="P440" s="32"/>
      <c r="S440" s="32"/>
    </row>
    <row r="441">
      <c r="D441" s="29"/>
      <c r="F441" s="31"/>
      <c r="G441" s="30"/>
      <c r="H441" s="30"/>
      <c r="J441" s="29"/>
      <c r="L441" s="30"/>
      <c r="M441" s="30"/>
      <c r="O441" s="32"/>
      <c r="P441" s="32"/>
      <c r="S441" s="32"/>
    </row>
    <row r="442">
      <c r="D442" s="29"/>
      <c r="F442" s="31"/>
      <c r="G442" s="30"/>
      <c r="H442" s="30"/>
      <c r="J442" s="29"/>
      <c r="L442" s="30"/>
      <c r="M442" s="30"/>
      <c r="O442" s="32"/>
      <c r="P442" s="32"/>
      <c r="S442" s="32"/>
    </row>
    <row r="443">
      <c r="D443" s="29"/>
      <c r="F443" s="31"/>
      <c r="G443" s="30"/>
      <c r="H443" s="30"/>
      <c r="J443" s="29"/>
      <c r="L443" s="30"/>
      <c r="M443" s="30"/>
      <c r="O443" s="32"/>
      <c r="P443" s="32"/>
      <c r="S443" s="32"/>
    </row>
    <row r="444">
      <c r="D444" s="29"/>
      <c r="F444" s="31"/>
      <c r="G444" s="30"/>
      <c r="H444" s="30"/>
      <c r="J444" s="29"/>
      <c r="L444" s="30"/>
      <c r="M444" s="30"/>
      <c r="O444" s="32"/>
      <c r="P444" s="32"/>
      <c r="S444" s="32"/>
    </row>
    <row r="445">
      <c r="D445" s="29"/>
      <c r="F445" s="31"/>
      <c r="G445" s="30"/>
      <c r="H445" s="30"/>
      <c r="J445" s="29"/>
      <c r="L445" s="30"/>
      <c r="M445" s="30"/>
      <c r="O445" s="32"/>
      <c r="P445" s="32"/>
      <c r="S445" s="32"/>
    </row>
    <row r="446">
      <c r="D446" s="29"/>
      <c r="F446" s="31"/>
      <c r="G446" s="30"/>
      <c r="H446" s="30"/>
      <c r="J446" s="29"/>
      <c r="L446" s="30"/>
      <c r="M446" s="30"/>
      <c r="O446" s="32"/>
      <c r="P446" s="32"/>
      <c r="S446" s="32"/>
    </row>
    <row r="447">
      <c r="D447" s="29"/>
      <c r="F447" s="31"/>
      <c r="G447" s="30"/>
      <c r="H447" s="30"/>
      <c r="J447" s="29"/>
      <c r="L447" s="30"/>
      <c r="M447" s="30"/>
      <c r="O447" s="32"/>
      <c r="P447" s="32"/>
      <c r="S447" s="32"/>
    </row>
    <row r="448">
      <c r="D448" s="29"/>
      <c r="F448" s="31"/>
      <c r="G448" s="30"/>
      <c r="H448" s="30"/>
      <c r="J448" s="29"/>
      <c r="L448" s="30"/>
      <c r="M448" s="30"/>
      <c r="O448" s="32"/>
      <c r="P448" s="32"/>
      <c r="S448" s="32"/>
    </row>
    <row r="449">
      <c r="D449" s="29"/>
      <c r="F449" s="31"/>
      <c r="G449" s="30"/>
      <c r="H449" s="30"/>
      <c r="J449" s="29"/>
      <c r="L449" s="30"/>
      <c r="M449" s="30"/>
      <c r="O449" s="32"/>
      <c r="P449" s="32"/>
      <c r="S449" s="32"/>
    </row>
    <row r="450">
      <c r="D450" s="29"/>
      <c r="F450" s="31"/>
      <c r="G450" s="30"/>
      <c r="H450" s="30"/>
      <c r="J450" s="29"/>
      <c r="L450" s="30"/>
      <c r="M450" s="30"/>
      <c r="O450" s="32"/>
      <c r="P450" s="32"/>
      <c r="S450" s="32"/>
    </row>
    <row r="451">
      <c r="D451" s="29"/>
      <c r="F451" s="31"/>
      <c r="G451" s="30"/>
      <c r="H451" s="30"/>
      <c r="J451" s="29"/>
      <c r="L451" s="30"/>
      <c r="M451" s="30"/>
      <c r="O451" s="32"/>
      <c r="P451" s="32"/>
      <c r="S451" s="32"/>
    </row>
    <row r="452">
      <c r="D452" s="29"/>
      <c r="F452" s="31"/>
      <c r="G452" s="30"/>
      <c r="H452" s="30"/>
      <c r="J452" s="29"/>
      <c r="L452" s="30"/>
      <c r="M452" s="30"/>
      <c r="O452" s="32"/>
      <c r="P452" s="32"/>
      <c r="S452" s="32"/>
    </row>
    <row r="453">
      <c r="D453" s="29"/>
      <c r="F453" s="31"/>
      <c r="G453" s="30"/>
      <c r="H453" s="30"/>
      <c r="J453" s="29"/>
      <c r="L453" s="30"/>
      <c r="M453" s="30"/>
      <c r="O453" s="32"/>
      <c r="P453" s="32"/>
      <c r="S453" s="32"/>
    </row>
    <row r="454">
      <c r="D454" s="29"/>
      <c r="F454" s="31"/>
      <c r="G454" s="30"/>
      <c r="H454" s="30"/>
      <c r="J454" s="29"/>
      <c r="L454" s="30"/>
      <c r="M454" s="30"/>
      <c r="O454" s="32"/>
      <c r="P454" s="32"/>
      <c r="S454" s="32"/>
    </row>
    <row r="455">
      <c r="D455" s="29"/>
      <c r="F455" s="31"/>
      <c r="G455" s="30"/>
      <c r="H455" s="30"/>
      <c r="J455" s="29"/>
      <c r="L455" s="30"/>
      <c r="M455" s="30"/>
      <c r="O455" s="32"/>
      <c r="P455" s="32"/>
      <c r="S455" s="32"/>
    </row>
    <row r="456">
      <c r="D456" s="29"/>
      <c r="F456" s="31"/>
      <c r="G456" s="30"/>
      <c r="H456" s="30"/>
      <c r="J456" s="29"/>
      <c r="L456" s="30"/>
      <c r="M456" s="30"/>
      <c r="O456" s="32"/>
      <c r="P456" s="32"/>
      <c r="S456" s="32"/>
    </row>
    <row r="457">
      <c r="D457" s="29"/>
      <c r="F457" s="31"/>
      <c r="G457" s="30"/>
      <c r="H457" s="30"/>
      <c r="J457" s="29"/>
      <c r="L457" s="30"/>
      <c r="M457" s="30"/>
      <c r="O457" s="32"/>
      <c r="P457" s="32"/>
      <c r="S457" s="32"/>
    </row>
    <row r="458">
      <c r="D458" s="29"/>
      <c r="F458" s="31"/>
      <c r="G458" s="30"/>
      <c r="H458" s="30"/>
      <c r="J458" s="29"/>
      <c r="L458" s="30"/>
      <c r="M458" s="30"/>
      <c r="O458" s="32"/>
      <c r="P458" s="32"/>
      <c r="S458" s="32"/>
    </row>
    <row r="459">
      <c r="D459" s="29"/>
      <c r="F459" s="31"/>
      <c r="G459" s="30"/>
      <c r="H459" s="30"/>
      <c r="J459" s="29"/>
      <c r="L459" s="30"/>
      <c r="M459" s="30"/>
      <c r="O459" s="32"/>
      <c r="P459" s="32"/>
      <c r="S459" s="32"/>
    </row>
    <row r="460">
      <c r="D460" s="29"/>
      <c r="F460" s="31"/>
      <c r="G460" s="30"/>
      <c r="H460" s="30"/>
      <c r="J460" s="29"/>
      <c r="L460" s="30"/>
      <c r="M460" s="30"/>
      <c r="O460" s="32"/>
      <c r="P460" s="32"/>
      <c r="S460" s="32"/>
    </row>
    <row r="461">
      <c r="D461" s="29"/>
      <c r="F461" s="31"/>
      <c r="G461" s="30"/>
      <c r="H461" s="30"/>
      <c r="J461" s="29"/>
      <c r="L461" s="30"/>
      <c r="M461" s="30"/>
      <c r="O461" s="32"/>
      <c r="P461" s="32"/>
      <c r="S461" s="32"/>
    </row>
    <row r="462">
      <c r="D462" s="29"/>
      <c r="F462" s="31"/>
      <c r="G462" s="30"/>
      <c r="H462" s="30"/>
      <c r="J462" s="29"/>
      <c r="L462" s="30"/>
      <c r="M462" s="30"/>
      <c r="O462" s="32"/>
      <c r="P462" s="32"/>
      <c r="S462" s="32"/>
    </row>
    <row r="463">
      <c r="D463" s="29"/>
      <c r="F463" s="31"/>
      <c r="G463" s="30"/>
      <c r="H463" s="30"/>
      <c r="J463" s="29"/>
      <c r="L463" s="30"/>
      <c r="M463" s="30"/>
      <c r="O463" s="32"/>
      <c r="P463" s="32"/>
      <c r="S463" s="32"/>
    </row>
    <row r="464">
      <c r="D464" s="29"/>
      <c r="F464" s="31"/>
      <c r="G464" s="30"/>
      <c r="H464" s="30"/>
      <c r="J464" s="29"/>
      <c r="L464" s="30"/>
      <c r="M464" s="30"/>
      <c r="O464" s="32"/>
      <c r="P464" s="32"/>
      <c r="S464" s="32"/>
    </row>
    <row r="465">
      <c r="D465" s="29"/>
      <c r="F465" s="31"/>
      <c r="G465" s="30"/>
      <c r="H465" s="30"/>
      <c r="J465" s="29"/>
      <c r="L465" s="30"/>
      <c r="M465" s="30"/>
      <c r="O465" s="32"/>
      <c r="P465" s="32"/>
      <c r="S465" s="32"/>
    </row>
    <row r="466">
      <c r="D466" s="29"/>
      <c r="F466" s="31"/>
      <c r="G466" s="30"/>
      <c r="H466" s="30"/>
      <c r="J466" s="29"/>
      <c r="L466" s="30"/>
      <c r="M466" s="30"/>
      <c r="O466" s="32"/>
      <c r="P466" s="32"/>
      <c r="S466" s="32"/>
    </row>
    <row r="467">
      <c r="D467" s="29"/>
      <c r="F467" s="31"/>
      <c r="G467" s="30"/>
      <c r="H467" s="30"/>
      <c r="J467" s="29"/>
      <c r="L467" s="30"/>
      <c r="M467" s="30"/>
      <c r="O467" s="32"/>
      <c r="P467" s="32"/>
      <c r="S467" s="32"/>
    </row>
    <row r="468">
      <c r="D468" s="29"/>
      <c r="F468" s="31"/>
      <c r="G468" s="30"/>
      <c r="H468" s="30"/>
      <c r="J468" s="29"/>
      <c r="L468" s="30"/>
      <c r="M468" s="30"/>
      <c r="O468" s="32"/>
      <c r="P468" s="32"/>
      <c r="S468" s="32"/>
    </row>
    <row r="469">
      <c r="D469" s="29"/>
      <c r="F469" s="31"/>
      <c r="G469" s="30"/>
      <c r="H469" s="30"/>
      <c r="J469" s="29"/>
      <c r="L469" s="30"/>
      <c r="M469" s="30"/>
      <c r="O469" s="32"/>
      <c r="P469" s="32"/>
      <c r="S469" s="32"/>
    </row>
    <row r="470">
      <c r="D470" s="29"/>
      <c r="F470" s="31"/>
      <c r="G470" s="30"/>
      <c r="H470" s="30"/>
      <c r="J470" s="29"/>
      <c r="L470" s="30"/>
      <c r="M470" s="30"/>
      <c r="O470" s="32"/>
      <c r="P470" s="32"/>
      <c r="S470" s="32"/>
    </row>
    <row r="471">
      <c r="D471" s="29"/>
      <c r="F471" s="31"/>
      <c r="G471" s="30"/>
      <c r="H471" s="30"/>
      <c r="J471" s="29"/>
      <c r="L471" s="30"/>
      <c r="M471" s="30"/>
      <c r="O471" s="32"/>
      <c r="P471" s="32"/>
      <c r="S471" s="32"/>
    </row>
    <row r="472">
      <c r="D472" s="29"/>
      <c r="F472" s="31"/>
      <c r="G472" s="30"/>
      <c r="H472" s="30"/>
      <c r="J472" s="29"/>
      <c r="L472" s="30"/>
      <c r="M472" s="30"/>
      <c r="O472" s="32"/>
      <c r="P472" s="32"/>
      <c r="S472" s="32"/>
    </row>
    <row r="473">
      <c r="D473" s="29"/>
      <c r="F473" s="31"/>
      <c r="G473" s="30"/>
      <c r="H473" s="30"/>
      <c r="J473" s="29"/>
      <c r="L473" s="30"/>
      <c r="M473" s="30"/>
      <c r="O473" s="32"/>
      <c r="P473" s="32"/>
      <c r="S473" s="32"/>
    </row>
    <row r="474">
      <c r="D474" s="29"/>
      <c r="F474" s="31"/>
      <c r="G474" s="30"/>
      <c r="H474" s="30"/>
      <c r="J474" s="29"/>
      <c r="L474" s="30"/>
      <c r="M474" s="30"/>
      <c r="O474" s="32"/>
      <c r="P474" s="32"/>
      <c r="S474" s="32"/>
    </row>
    <row r="475">
      <c r="D475" s="29"/>
      <c r="F475" s="31"/>
      <c r="G475" s="30"/>
      <c r="H475" s="30"/>
      <c r="J475" s="29"/>
      <c r="L475" s="30"/>
      <c r="M475" s="30"/>
      <c r="O475" s="32"/>
      <c r="P475" s="32"/>
      <c r="S475" s="32"/>
    </row>
    <row r="476">
      <c r="D476" s="29"/>
      <c r="F476" s="31"/>
      <c r="G476" s="30"/>
      <c r="H476" s="30"/>
      <c r="J476" s="29"/>
      <c r="L476" s="30"/>
      <c r="M476" s="30"/>
      <c r="O476" s="32"/>
      <c r="P476" s="32"/>
      <c r="S476" s="32"/>
    </row>
    <row r="477">
      <c r="D477" s="29"/>
      <c r="F477" s="31"/>
      <c r="G477" s="30"/>
      <c r="H477" s="30"/>
      <c r="J477" s="29"/>
      <c r="L477" s="30"/>
      <c r="M477" s="30"/>
      <c r="O477" s="32"/>
      <c r="P477" s="32"/>
      <c r="S477" s="32"/>
    </row>
    <row r="478">
      <c r="D478" s="29"/>
      <c r="F478" s="31"/>
      <c r="G478" s="30"/>
      <c r="H478" s="30"/>
      <c r="J478" s="29"/>
      <c r="L478" s="30"/>
      <c r="M478" s="30"/>
      <c r="O478" s="32"/>
      <c r="P478" s="32"/>
      <c r="S478" s="32"/>
    </row>
    <row r="479">
      <c r="D479" s="29"/>
      <c r="F479" s="31"/>
      <c r="G479" s="30"/>
      <c r="H479" s="30"/>
      <c r="J479" s="29"/>
      <c r="L479" s="30"/>
      <c r="M479" s="30"/>
      <c r="O479" s="32"/>
      <c r="P479" s="32"/>
      <c r="S479" s="32"/>
    </row>
    <row r="480">
      <c r="D480" s="29"/>
      <c r="F480" s="31"/>
      <c r="G480" s="30"/>
      <c r="H480" s="30"/>
      <c r="J480" s="29"/>
      <c r="L480" s="30"/>
      <c r="M480" s="30"/>
      <c r="O480" s="32"/>
      <c r="P480" s="32"/>
      <c r="S480" s="32"/>
    </row>
    <row r="481">
      <c r="D481" s="29"/>
      <c r="F481" s="31"/>
      <c r="G481" s="30"/>
      <c r="H481" s="30"/>
      <c r="J481" s="29"/>
      <c r="L481" s="30"/>
      <c r="M481" s="30"/>
      <c r="O481" s="32"/>
      <c r="P481" s="32"/>
      <c r="S481" s="32"/>
    </row>
    <row r="482">
      <c r="D482" s="29"/>
      <c r="F482" s="31"/>
      <c r="G482" s="30"/>
      <c r="H482" s="30"/>
      <c r="J482" s="29"/>
      <c r="L482" s="30"/>
      <c r="M482" s="30"/>
      <c r="O482" s="32"/>
      <c r="P482" s="32"/>
      <c r="S482" s="32"/>
    </row>
    <row r="483">
      <c r="D483" s="29"/>
      <c r="F483" s="31"/>
      <c r="G483" s="30"/>
      <c r="H483" s="30"/>
      <c r="J483" s="29"/>
      <c r="L483" s="30"/>
      <c r="M483" s="30"/>
      <c r="O483" s="32"/>
      <c r="P483" s="32"/>
      <c r="S483" s="32"/>
    </row>
    <row r="484">
      <c r="D484" s="29"/>
      <c r="F484" s="31"/>
      <c r="G484" s="30"/>
      <c r="H484" s="30"/>
      <c r="J484" s="29"/>
      <c r="L484" s="30"/>
      <c r="M484" s="30"/>
      <c r="O484" s="32"/>
      <c r="P484" s="32"/>
      <c r="S484" s="32"/>
    </row>
    <row r="485">
      <c r="D485" s="29"/>
      <c r="F485" s="31"/>
      <c r="G485" s="30"/>
      <c r="H485" s="30"/>
      <c r="J485" s="29"/>
      <c r="L485" s="30"/>
      <c r="M485" s="30"/>
      <c r="O485" s="32"/>
      <c r="P485" s="32"/>
      <c r="S485" s="32"/>
    </row>
    <row r="486">
      <c r="D486" s="29"/>
      <c r="F486" s="31"/>
      <c r="G486" s="30"/>
      <c r="H486" s="30"/>
      <c r="J486" s="29"/>
      <c r="L486" s="30"/>
      <c r="M486" s="30"/>
      <c r="O486" s="32"/>
      <c r="P486" s="32"/>
      <c r="S486" s="32"/>
    </row>
    <row r="487">
      <c r="D487" s="29"/>
      <c r="F487" s="31"/>
      <c r="G487" s="30"/>
      <c r="H487" s="30"/>
      <c r="J487" s="29"/>
      <c r="L487" s="30"/>
      <c r="M487" s="30"/>
      <c r="O487" s="32"/>
      <c r="P487" s="32"/>
      <c r="S487" s="32"/>
    </row>
    <row r="488">
      <c r="D488" s="29"/>
      <c r="F488" s="31"/>
      <c r="G488" s="30"/>
      <c r="H488" s="30"/>
      <c r="J488" s="29"/>
      <c r="L488" s="30"/>
      <c r="M488" s="30"/>
      <c r="O488" s="32"/>
      <c r="P488" s="32"/>
      <c r="S488" s="32"/>
    </row>
    <row r="489">
      <c r="D489" s="29"/>
      <c r="F489" s="31"/>
      <c r="G489" s="30"/>
      <c r="H489" s="30"/>
      <c r="J489" s="29"/>
      <c r="L489" s="30"/>
      <c r="M489" s="30"/>
      <c r="O489" s="32"/>
      <c r="P489" s="32"/>
      <c r="S489" s="32"/>
    </row>
    <row r="490">
      <c r="D490" s="29"/>
      <c r="F490" s="31"/>
      <c r="G490" s="30"/>
      <c r="H490" s="30"/>
      <c r="J490" s="29"/>
      <c r="L490" s="30"/>
      <c r="M490" s="30"/>
      <c r="O490" s="32"/>
      <c r="P490" s="32"/>
      <c r="S490" s="32"/>
    </row>
    <row r="491">
      <c r="D491" s="29"/>
      <c r="F491" s="31"/>
      <c r="G491" s="30"/>
      <c r="H491" s="30"/>
      <c r="J491" s="29"/>
      <c r="L491" s="30"/>
      <c r="M491" s="30"/>
      <c r="O491" s="32"/>
      <c r="P491" s="32"/>
      <c r="S491" s="32"/>
    </row>
    <row r="492">
      <c r="D492" s="29"/>
      <c r="F492" s="31"/>
      <c r="G492" s="30"/>
      <c r="H492" s="30"/>
      <c r="J492" s="29"/>
      <c r="L492" s="30"/>
      <c r="M492" s="30"/>
      <c r="O492" s="32"/>
      <c r="P492" s="32"/>
      <c r="S492" s="32"/>
    </row>
    <row r="493">
      <c r="D493" s="29"/>
      <c r="F493" s="31"/>
      <c r="G493" s="30"/>
      <c r="H493" s="30"/>
      <c r="J493" s="29"/>
      <c r="L493" s="30"/>
      <c r="M493" s="30"/>
      <c r="O493" s="32"/>
      <c r="P493" s="32"/>
      <c r="S493" s="32"/>
    </row>
    <row r="494">
      <c r="D494" s="29"/>
      <c r="F494" s="31"/>
      <c r="G494" s="30"/>
      <c r="H494" s="30"/>
      <c r="J494" s="29"/>
      <c r="L494" s="30"/>
      <c r="M494" s="30"/>
      <c r="O494" s="32"/>
      <c r="P494" s="32"/>
      <c r="S494" s="32"/>
    </row>
    <row r="495">
      <c r="D495" s="29"/>
      <c r="F495" s="31"/>
      <c r="G495" s="30"/>
      <c r="H495" s="30"/>
      <c r="J495" s="29"/>
      <c r="L495" s="30"/>
      <c r="M495" s="30"/>
      <c r="O495" s="32"/>
      <c r="P495" s="32"/>
      <c r="S495" s="32"/>
    </row>
    <row r="496">
      <c r="D496" s="29"/>
      <c r="F496" s="31"/>
      <c r="G496" s="30"/>
      <c r="H496" s="30"/>
      <c r="J496" s="29"/>
      <c r="L496" s="30"/>
      <c r="M496" s="30"/>
      <c r="O496" s="32"/>
      <c r="P496" s="32"/>
      <c r="S496" s="32"/>
    </row>
    <row r="497">
      <c r="D497" s="29"/>
      <c r="F497" s="31"/>
      <c r="G497" s="30"/>
      <c r="H497" s="30"/>
      <c r="J497" s="29"/>
      <c r="L497" s="30"/>
      <c r="M497" s="30"/>
      <c r="O497" s="32"/>
      <c r="P497" s="32"/>
      <c r="S497" s="32"/>
    </row>
    <row r="498">
      <c r="D498" s="29"/>
      <c r="F498" s="31"/>
      <c r="G498" s="30"/>
      <c r="H498" s="30"/>
      <c r="J498" s="29"/>
      <c r="L498" s="30"/>
      <c r="M498" s="30"/>
      <c r="O498" s="32"/>
      <c r="P498" s="32"/>
      <c r="S498" s="32"/>
    </row>
    <row r="499">
      <c r="D499" s="29"/>
      <c r="F499" s="31"/>
      <c r="G499" s="30"/>
      <c r="H499" s="30"/>
      <c r="J499" s="29"/>
      <c r="L499" s="30"/>
      <c r="M499" s="30"/>
      <c r="O499" s="32"/>
      <c r="P499" s="32"/>
      <c r="S499" s="32"/>
    </row>
    <row r="500">
      <c r="D500" s="29"/>
      <c r="F500" s="31"/>
      <c r="G500" s="30"/>
      <c r="H500" s="30"/>
      <c r="J500" s="29"/>
      <c r="L500" s="30"/>
      <c r="M500" s="30"/>
      <c r="O500" s="32"/>
      <c r="P500" s="32"/>
      <c r="S500" s="32"/>
    </row>
    <row r="501">
      <c r="D501" s="29"/>
      <c r="F501" s="31"/>
      <c r="G501" s="30"/>
      <c r="H501" s="30"/>
      <c r="J501" s="29"/>
      <c r="L501" s="30"/>
      <c r="M501" s="30"/>
      <c r="O501" s="32"/>
      <c r="P501" s="32"/>
      <c r="S501" s="32"/>
    </row>
    <row r="502">
      <c r="D502" s="29"/>
      <c r="F502" s="31"/>
      <c r="G502" s="30"/>
      <c r="H502" s="30"/>
      <c r="J502" s="29"/>
      <c r="L502" s="30"/>
      <c r="M502" s="30"/>
      <c r="O502" s="32"/>
      <c r="P502" s="32"/>
      <c r="S502" s="32"/>
    </row>
    <row r="503">
      <c r="D503" s="29"/>
      <c r="F503" s="31"/>
      <c r="G503" s="30"/>
      <c r="H503" s="30"/>
      <c r="J503" s="29"/>
      <c r="L503" s="30"/>
      <c r="M503" s="30"/>
      <c r="O503" s="32"/>
      <c r="P503" s="32"/>
      <c r="S503" s="32"/>
    </row>
    <row r="504">
      <c r="D504" s="29"/>
      <c r="F504" s="31"/>
      <c r="G504" s="30"/>
      <c r="H504" s="30"/>
      <c r="J504" s="29"/>
      <c r="L504" s="30"/>
      <c r="M504" s="30"/>
      <c r="O504" s="32"/>
      <c r="P504" s="32"/>
      <c r="S504" s="32"/>
    </row>
    <row r="505">
      <c r="D505" s="29"/>
      <c r="F505" s="31"/>
      <c r="G505" s="30"/>
      <c r="H505" s="30"/>
      <c r="J505" s="29"/>
      <c r="L505" s="30"/>
      <c r="M505" s="30"/>
      <c r="O505" s="32"/>
      <c r="P505" s="32"/>
      <c r="S505" s="32"/>
    </row>
    <row r="506">
      <c r="D506" s="29"/>
      <c r="F506" s="31"/>
      <c r="G506" s="30"/>
      <c r="H506" s="30"/>
      <c r="J506" s="29"/>
      <c r="L506" s="30"/>
      <c r="M506" s="30"/>
      <c r="O506" s="32"/>
      <c r="P506" s="32"/>
      <c r="S506" s="32"/>
    </row>
    <row r="507">
      <c r="D507" s="29"/>
      <c r="F507" s="31"/>
      <c r="G507" s="30"/>
      <c r="H507" s="30"/>
      <c r="J507" s="29"/>
      <c r="L507" s="30"/>
      <c r="M507" s="30"/>
      <c r="O507" s="32"/>
      <c r="P507" s="32"/>
      <c r="S507" s="32"/>
    </row>
    <row r="508">
      <c r="D508" s="29"/>
      <c r="F508" s="31"/>
      <c r="G508" s="30"/>
      <c r="H508" s="30"/>
      <c r="J508" s="29"/>
      <c r="L508" s="30"/>
      <c r="M508" s="30"/>
      <c r="O508" s="32"/>
      <c r="P508" s="32"/>
      <c r="S508" s="32"/>
    </row>
    <row r="509">
      <c r="D509" s="29"/>
      <c r="F509" s="31"/>
      <c r="G509" s="30"/>
      <c r="H509" s="30"/>
      <c r="J509" s="29"/>
      <c r="L509" s="30"/>
      <c r="M509" s="30"/>
      <c r="O509" s="32"/>
      <c r="P509" s="32"/>
      <c r="S509" s="32"/>
    </row>
    <row r="510">
      <c r="D510" s="29"/>
      <c r="F510" s="31"/>
      <c r="G510" s="30"/>
      <c r="H510" s="30"/>
      <c r="J510" s="29"/>
      <c r="L510" s="30"/>
      <c r="M510" s="30"/>
      <c r="O510" s="32"/>
      <c r="P510" s="32"/>
      <c r="S510" s="32"/>
    </row>
    <row r="511">
      <c r="D511" s="29"/>
      <c r="F511" s="31"/>
      <c r="G511" s="30"/>
      <c r="H511" s="30"/>
      <c r="J511" s="29"/>
      <c r="L511" s="30"/>
      <c r="M511" s="30"/>
      <c r="O511" s="32"/>
      <c r="P511" s="32"/>
      <c r="S511" s="32"/>
    </row>
    <row r="512">
      <c r="D512" s="29"/>
      <c r="F512" s="31"/>
      <c r="G512" s="30"/>
      <c r="H512" s="30"/>
      <c r="J512" s="29"/>
      <c r="L512" s="30"/>
      <c r="M512" s="30"/>
      <c r="O512" s="32"/>
      <c r="P512" s="32"/>
      <c r="S512" s="32"/>
    </row>
    <row r="513">
      <c r="D513" s="29"/>
      <c r="F513" s="31"/>
      <c r="G513" s="30"/>
      <c r="H513" s="30"/>
      <c r="J513" s="29"/>
      <c r="L513" s="30"/>
      <c r="M513" s="30"/>
      <c r="O513" s="32"/>
      <c r="P513" s="32"/>
      <c r="S513" s="32"/>
    </row>
    <row r="514">
      <c r="D514" s="29"/>
      <c r="F514" s="31"/>
      <c r="G514" s="30"/>
      <c r="H514" s="30"/>
      <c r="J514" s="29"/>
      <c r="L514" s="30"/>
      <c r="M514" s="30"/>
      <c r="O514" s="32"/>
      <c r="P514" s="32"/>
      <c r="S514" s="32"/>
    </row>
    <row r="515">
      <c r="D515" s="29"/>
      <c r="F515" s="31"/>
      <c r="G515" s="30"/>
      <c r="H515" s="30"/>
      <c r="J515" s="29"/>
      <c r="L515" s="30"/>
      <c r="M515" s="30"/>
      <c r="O515" s="32"/>
      <c r="P515" s="32"/>
      <c r="S515" s="32"/>
    </row>
    <row r="516">
      <c r="D516" s="29"/>
      <c r="F516" s="31"/>
      <c r="G516" s="30"/>
      <c r="H516" s="30"/>
      <c r="J516" s="29"/>
      <c r="L516" s="30"/>
      <c r="M516" s="30"/>
      <c r="O516" s="32"/>
      <c r="P516" s="32"/>
      <c r="S516" s="32"/>
    </row>
    <row r="517">
      <c r="D517" s="29"/>
      <c r="F517" s="31"/>
      <c r="G517" s="30"/>
      <c r="H517" s="30"/>
      <c r="J517" s="29"/>
      <c r="L517" s="30"/>
      <c r="M517" s="30"/>
      <c r="O517" s="32"/>
      <c r="P517" s="32"/>
      <c r="S517" s="32"/>
    </row>
    <row r="518">
      <c r="D518" s="29"/>
      <c r="F518" s="31"/>
      <c r="G518" s="30"/>
      <c r="H518" s="30"/>
      <c r="J518" s="29"/>
      <c r="L518" s="30"/>
      <c r="M518" s="30"/>
      <c r="O518" s="32"/>
      <c r="P518" s="32"/>
      <c r="S518" s="32"/>
    </row>
    <row r="519">
      <c r="D519" s="29"/>
      <c r="F519" s="31"/>
      <c r="G519" s="30"/>
      <c r="H519" s="30"/>
      <c r="J519" s="29"/>
      <c r="L519" s="30"/>
      <c r="M519" s="30"/>
      <c r="O519" s="32"/>
      <c r="P519" s="32"/>
      <c r="S519" s="32"/>
    </row>
    <row r="520">
      <c r="D520" s="29"/>
      <c r="F520" s="31"/>
      <c r="G520" s="30"/>
      <c r="H520" s="30"/>
      <c r="J520" s="29"/>
      <c r="L520" s="30"/>
      <c r="M520" s="30"/>
      <c r="O520" s="32"/>
      <c r="P520" s="32"/>
      <c r="S520" s="32"/>
    </row>
    <row r="521">
      <c r="D521" s="29"/>
      <c r="F521" s="31"/>
      <c r="G521" s="30"/>
      <c r="H521" s="30"/>
      <c r="J521" s="29"/>
      <c r="L521" s="30"/>
      <c r="M521" s="30"/>
      <c r="O521" s="32"/>
      <c r="P521" s="32"/>
      <c r="S521" s="32"/>
    </row>
    <row r="522">
      <c r="D522" s="29"/>
      <c r="F522" s="31"/>
      <c r="G522" s="30"/>
      <c r="H522" s="30"/>
      <c r="J522" s="29"/>
      <c r="L522" s="30"/>
      <c r="M522" s="30"/>
      <c r="O522" s="32"/>
      <c r="P522" s="32"/>
      <c r="S522" s="32"/>
    </row>
    <row r="523">
      <c r="D523" s="29"/>
      <c r="F523" s="31"/>
      <c r="G523" s="30"/>
      <c r="H523" s="30"/>
      <c r="J523" s="29"/>
      <c r="L523" s="30"/>
      <c r="M523" s="30"/>
      <c r="O523" s="32"/>
      <c r="P523" s="32"/>
      <c r="S523" s="32"/>
    </row>
    <row r="524">
      <c r="D524" s="29"/>
      <c r="F524" s="31"/>
      <c r="G524" s="30"/>
      <c r="H524" s="30"/>
      <c r="J524" s="29"/>
      <c r="L524" s="30"/>
      <c r="M524" s="30"/>
      <c r="O524" s="32"/>
      <c r="P524" s="32"/>
      <c r="S524" s="32"/>
    </row>
    <row r="525">
      <c r="D525" s="29"/>
      <c r="F525" s="31"/>
      <c r="G525" s="30"/>
      <c r="H525" s="30"/>
      <c r="J525" s="29"/>
      <c r="L525" s="30"/>
      <c r="M525" s="30"/>
      <c r="O525" s="32"/>
      <c r="P525" s="32"/>
      <c r="S525" s="32"/>
    </row>
    <row r="526">
      <c r="D526" s="29"/>
      <c r="F526" s="31"/>
      <c r="G526" s="30"/>
      <c r="H526" s="30"/>
      <c r="J526" s="29"/>
      <c r="L526" s="30"/>
      <c r="M526" s="30"/>
      <c r="O526" s="32"/>
      <c r="P526" s="32"/>
      <c r="S526" s="32"/>
    </row>
    <row r="527">
      <c r="D527" s="29"/>
      <c r="F527" s="31"/>
      <c r="G527" s="30"/>
      <c r="H527" s="30"/>
      <c r="J527" s="29"/>
      <c r="L527" s="30"/>
      <c r="M527" s="30"/>
      <c r="O527" s="32"/>
      <c r="P527" s="32"/>
      <c r="S527" s="32"/>
    </row>
    <row r="528">
      <c r="D528" s="29"/>
      <c r="F528" s="31"/>
      <c r="G528" s="30"/>
      <c r="H528" s="30"/>
      <c r="J528" s="29"/>
      <c r="L528" s="30"/>
      <c r="M528" s="30"/>
      <c r="O528" s="32"/>
      <c r="P528" s="32"/>
      <c r="S528" s="32"/>
    </row>
    <row r="529">
      <c r="D529" s="29"/>
      <c r="F529" s="31"/>
      <c r="G529" s="30"/>
      <c r="H529" s="30"/>
      <c r="J529" s="29"/>
      <c r="L529" s="30"/>
      <c r="M529" s="30"/>
      <c r="O529" s="32"/>
      <c r="P529" s="32"/>
      <c r="S529" s="32"/>
    </row>
    <row r="530">
      <c r="D530" s="29"/>
      <c r="F530" s="31"/>
      <c r="G530" s="30"/>
      <c r="H530" s="30"/>
      <c r="J530" s="29"/>
      <c r="L530" s="30"/>
      <c r="M530" s="30"/>
      <c r="O530" s="32"/>
      <c r="P530" s="32"/>
      <c r="S530" s="32"/>
    </row>
    <row r="531">
      <c r="D531" s="29"/>
      <c r="F531" s="31"/>
      <c r="G531" s="30"/>
      <c r="H531" s="30"/>
      <c r="J531" s="29"/>
      <c r="L531" s="30"/>
      <c r="M531" s="30"/>
      <c r="O531" s="32"/>
      <c r="P531" s="32"/>
      <c r="S531" s="32"/>
    </row>
    <row r="532">
      <c r="D532" s="29"/>
      <c r="F532" s="31"/>
      <c r="G532" s="30"/>
      <c r="H532" s="30"/>
      <c r="J532" s="29"/>
      <c r="L532" s="30"/>
      <c r="M532" s="30"/>
      <c r="O532" s="32"/>
      <c r="P532" s="32"/>
      <c r="S532" s="32"/>
    </row>
    <row r="533">
      <c r="D533" s="29"/>
      <c r="F533" s="31"/>
      <c r="G533" s="30"/>
      <c r="H533" s="30"/>
      <c r="J533" s="29"/>
      <c r="L533" s="30"/>
      <c r="M533" s="30"/>
      <c r="O533" s="32"/>
      <c r="P533" s="32"/>
      <c r="S533" s="32"/>
    </row>
    <row r="534">
      <c r="D534" s="29"/>
      <c r="F534" s="31"/>
      <c r="G534" s="30"/>
      <c r="H534" s="30"/>
      <c r="J534" s="29"/>
      <c r="L534" s="30"/>
      <c r="M534" s="30"/>
      <c r="O534" s="32"/>
      <c r="P534" s="32"/>
      <c r="S534" s="32"/>
    </row>
    <row r="535">
      <c r="D535" s="29"/>
      <c r="F535" s="31"/>
      <c r="G535" s="30"/>
      <c r="H535" s="30"/>
      <c r="J535" s="29"/>
      <c r="L535" s="30"/>
      <c r="M535" s="30"/>
      <c r="O535" s="32"/>
      <c r="P535" s="32"/>
      <c r="S535" s="32"/>
    </row>
    <row r="536">
      <c r="D536" s="29"/>
      <c r="F536" s="31"/>
      <c r="G536" s="30"/>
      <c r="H536" s="30"/>
      <c r="J536" s="29"/>
      <c r="L536" s="30"/>
      <c r="M536" s="30"/>
      <c r="O536" s="32"/>
      <c r="P536" s="32"/>
      <c r="S536" s="32"/>
    </row>
    <row r="537">
      <c r="D537" s="29"/>
      <c r="F537" s="31"/>
      <c r="G537" s="30"/>
      <c r="H537" s="30"/>
      <c r="J537" s="29"/>
      <c r="L537" s="30"/>
      <c r="M537" s="30"/>
      <c r="O537" s="32"/>
      <c r="P537" s="32"/>
      <c r="S537" s="32"/>
    </row>
    <row r="538">
      <c r="D538" s="29"/>
      <c r="F538" s="31"/>
      <c r="G538" s="30"/>
      <c r="H538" s="30"/>
      <c r="J538" s="29"/>
      <c r="L538" s="30"/>
      <c r="M538" s="30"/>
      <c r="O538" s="32"/>
      <c r="P538" s="32"/>
      <c r="S538" s="32"/>
    </row>
    <row r="539">
      <c r="D539" s="29"/>
      <c r="F539" s="31"/>
      <c r="G539" s="30"/>
      <c r="H539" s="30"/>
      <c r="J539" s="29"/>
      <c r="L539" s="30"/>
      <c r="M539" s="30"/>
      <c r="O539" s="32"/>
      <c r="P539" s="32"/>
      <c r="S539" s="32"/>
    </row>
    <row r="540">
      <c r="D540" s="29"/>
      <c r="F540" s="31"/>
      <c r="G540" s="30"/>
      <c r="H540" s="30"/>
      <c r="J540" s="29"/>
      <c r="L540" s="30"/>
      <c r="M540" s="30"/>
      <c r="O540" s="32"/>
      <c r="P540" s="32"/>
      <c r="S540" s="32"/>
    </row>
    <row r="541">
      <c r="D541" s="29"/>
      <c r="F541" s="31"/>
      <c r="G541" s="30"/>
      <c r="H541" s="30"/>
      <c r="J541" s="29"/>
      <c r="L541" s="30"/>
      <c r="M541" s="30"/>
      <c r="O541" s="32"/>
      <c r="P541" s="32"/>
      <c r="S541" s="32"/>
    </row>
    <row r="542">
      <c r="D542" s="29"/>
      <c r="F542" s="31"/>
      <c r="G542" s="30"/>
      <c r="H542" s="30"/>
      <c r="J542" s="29"/>
      <c r="L542" s="30"/>
      <c r="M542" s="30"/>
      <c r="O542" s="32"/>
      <c r="P542" s="32"/>
      <c r="S542" s="32"/>
    </row>
    <row r="543">
      <c r="D543" s="29"/>
      <c r="F543" s="31"/>
      <c r="G543" s="30"/>
      <c r="H543" s="30"/>
      <c r="J543" s="29"/>
      <c r="L543" s="30"/>
      <c r="M543" s="30"/>
      <c r="O543" s="32"/>
      <c r="P543" s="32"/>
      <c r="S543" s="32"/>
    </row>
    <row r="544">
      <c r="D544" s="29"/>
      <c r="F544" s="31"/>
      <c r="G544" s="30"/>
      <c r="H544" s="30"/>
      <c r="J544" s="29"/>
      <c r="L544" s="30"/>
      <c r="M544" s="30"/>
      <c r="O544" s="32"/>
      <c r="P544" s="32"/>
      <c r="S544" s="32"/>
    </row>
    <row r="545">
      <c r="D545" s="29"/>
      <c r="F545" s="31"/>
      <c r="G545" s="30"/>
      <c r="H545" s="30"/>
      <c r="J545" s="29"/>
      <c r="L545" s="30"/>
      <c r="M545" s="30"/>
      <c r="O545" s="32"/>
      <c r="P545" s="32"/>
      <c r="S545" s="32"/>
    </row>
    <row r="546">
      <c r="D546" s="29"/>
      <c r="F546" s="31"/>
      <c r="G546" s="30"/>
      <c r="H546" s="30"/>
      <c r="J546" s="29"/>
      <c r="L546" s="30"/>
      <c r="M546" s="30"/>
      <c r="O546" s="32"/>
      <c r="P546" s="32"/>
      <c r="S546" s="32"/>
    </row>
    <row r="547">
      <c r="D547" s="29"/>
      <c r="F547" s="31"/>
      <c r="G547" s="30"/>
      <c r="H547" s="30"/>
      <c r="J547" s="29"/>
      <c r="L547" s="30"/>
      <c r="M547" s="30"/>
      <c r="O547" s="32"/>
      <c r="P547" s="32"/>
      <c r="S547" s="32"/>
    </row>
    <row r="548">
      <c r="D548" s="29"/>
      <c r="F548" s="31"/>
      <c r="G548" s="30"/>
      <c r="H548" s="30"/>
      <c r="J548" s="29"/>
      <c r="L548" s="30"/>
      <c r="M548" s="30"/>
      <c r="O548" s="32"/>
      <c r="P548" s="32"/>
      <c r="S548" s="32"/>
    </row>
    <row r="549">
      <c r="D549" s="29"/>
      <c r="F549" s="31"/>
      <c r="G549" s="30"/>
      <c r="H549" s="30"/>
      <c r="J549" s="29"/>
      <c r="L549" s="30"/>
      <c r="M549" s="30"/>
      <c r="O549" s="32"/>
      <c r="P549" s="32"/>
      <c r="S549" s="32"/>
    </row>
    <row r="550">
      <c r="D550" s="29"/>
      <c r="F550" s="31"/>
      <c r="G550" s="30"/>
      <c r="H550" s="30"/>
      <c r="J550" s="29"/>
      <c r="L550" s="30"/>
      <c r="M550" s="30"/>
      <c r="O550" s="32"/>
      <c r="P550" s="32"/>
      <c r="S550" s="32"/>
    </row>
    <row r="551">
      <c r="D551" s="29"/>
      <c r="F551" s="31"/>
      <c r="G551" s="30"/>
      <c r="H551" s="30"/>
      <c r="J551" s="29"/>
      <c r="L551" s="30"/>
      <c r="M551" s="30"/>
      <c r="O551" s="32"/>
      <c r="P551" s="32"/>
      <c r="S551" s="32"/>
    </row>
    <row r="552">
      <c r="D552" s="29"/>
      <c r="F552" s="31"/>
      <c r="G552" s="30"/>
      <c r="H552" s="30"/>
      <c r="J552" s="29"/>
      <c r="L552" s="30"/>
      <c r="M552" s="30"/>
      <c r="O552" s="32"/>
      <c r="P552" s="32"/>
      <c r="S552" s="32"/>
    </row>
    <row r="553">
      <c r="D553" s="29"/>
      <c r="F553" s="31"/>
      <c r="G553" s="30"/>
      <c r="H553" s="30"/>
      <c r="J553" s="29"/>
      <c r="L553" s="30"/>
      <c r="M553" s="30"/>
      <c r="O553" s="32"/>
      <c r="P553" s="32"/>
      <c r="S553" s="32"/>
    </row>
    <row r="554">
      <c r="D554" s="29"/>
      <c r="F554" s="31"/>
      <c r="G554" s="30"/>
      <c r="H554" s="30"/>
      <c r="J554" s="29"/>
      <c r="L554" s="30"/>
      <c r="M554" s="30"/>
      <c r="O554" s="32"/>
      <c r="P554" s="32"/>
      <c r="S554" s="32"/>
    </row>
    <row r="555">
      <c r="D555" s="29"/>
      <c r="F555" s="31"/>
      <c r="G555" s="30"/>
      <c r="H555" s="30"/>
      <c r="J555" s="29"/>
      <c r="L555" s="30"/>
      <c r="M555" s="30"/>
      <c r="O555" s="32"/>
      <c r="P555" s="32"/>
      <c r="S555" s="32"/>
    </row>
    <row r="556">
      <c r="D556" s="29"/>
      <c r="F556" s="31"/>
      <c r="G556" s="30"/>
      <c r="H556" s="30"/>
      <c r="J556" s="29"/>
      <c r="L556" s="30"/>
      <c r="M556" s="30"/>
      <c r="O556" s="32"/>
      <c r="P556" s="32"/>
      <c r="S556" s="32"/>
    </row>
    <row r="557">
      <c r="D557" s="29"/>
      <c r="F557" s="31"/>
      <c r="G557" s="30"/>
      <c r="H557" s="30"/>
      <c r="J557" s="29"/>
      <c r="L557" s="30"/>
      <c r="M557" s="30"/>
      <c r="O557" s="32"/>
      <c r="P557" s="32"/>
      <c r="S557" s="32"/>
    </row>
    <row r="558">
      <c r="D558" s="29"/>
      <c r="F558" s="31"/>
      <c r="G558" s="30"/>
      <c r="H558" s="30"/>
      <c r="J558" s="29"/>
      <c r="L558" s="30"/>
      <c r="M558" s="30"/>
      <c r="O558" s="32"/>
      <c r="P558" s="32"/>
      <c r="S558" s="32"/>
    </row>
    <row r="559">
      <c r="D559" s="29"/>
      <c r="F559" s="31"/>
      <c r="G559" s="30"/>
      <c r="H559" s="30"/>
      <c r="J559" s="29"/>
      <c r="L559" s="30"/>
      <c r="M559" s="30"/>
      <c r="O559" s="32"/>
      <c r="P559" s="32"/>
      <c r="S559" s="32"/>
    </row>
    <row r="560">
      <c r="D560" s="29"/>
      <c r="F560" s="31"/>
      <c r="G560" s="30"/>
      <c r="H560" s="30"/>
      <c r="J560" s="29"/>
      <c r="L560" s="30"/>
      <c r="M560" s="30"/>
      <c r="O560" s="32"/>
      <c r="P560" s="32"/>
      <c r="S560" s="32"/>
    </row>
    <row r="561">
      <c r="D561" s="29"/>
      <c r="F561" s="31"/>
      <c r="G561" s="30"/>
      <c r="H561" s="30"/>
      <c r="J561" s="29"/>
      <c r="L561" s="30"/>
      <c r="M561" s="30"/>
      <c r="O561" s="32"/>
      <c r="P561" s="32"/>
      <c r="S561" s="32"/>
    </row>
    <row r="562">
      <c r="D562" s="29"/>
      <c r="F562" s="31"/>
      <c r="G562" s="30"/>
      <c r="H562" s="30"/>
      <c r="J562" s="29"/>
      <c r="L562" s="30"/>
      <c r="M562" s="30"/>
      <c r="O562" s="32"/>
      <c r="P562" s="32"/>
      <c r="S562" s="32"/>
    </row>
    <row r="563">
      <c r="D563" s="29"/>
      <c r="F563" s="31"/>
      <c r="G563" s="30"/>
      <c r="H563" s="30"/>
      <c r="J563" s="29"/>
      <c r="L563" s="30"/>
      <c r="M563" s="30"/>
      <c r="O563" s="32"/>
      <c r="P563" s="32"/>
      <c r="S563" s="32"/>
    </row>
    <row r="564">
      <c r="D564" s="29"/>
      <c r="F564" s="31"/>
      <c r="G564" s="30"/>
      <c r="H564" s="30"/>
      <c r="J564" s="29"/>
      <c r="L564" s="30"/>
      <c r="M564" s="30"/>
      <c r="O564" s="32"/>
      <c r="P564" s="32"/>
      <c r="S564" s="32"/>
    </row>
    <row r="565">
      <c r="D565" s="29"/>
      <c r="F565" s="31"/>
      <c r="G565" s="30"/>
      <c r="H565" s="30"/>
      <c r="J565" s="29"/>
      <c r="L565" s="30"/>
      <c r="M565" s="30"/>
      <c r="O565" s="32"/>
      <c r="P565" s="32"/>
      <c r="S565" s="32"/>
    </row>
    <row r="566">
      <c r="D566" s="29"/>
      <c r="F566" s="31"/>
      <c r="G566" s="30"/>
      <c r="H566" s="30"/>
      <c r="J566" s="29"/>
      <c r="L566" s="30"/>
      <c r="M566" s="30"/>
      <c r="O566" s="32"/>
      <c r="P566" s="32"/>
      <c r="S566" s="32"/>
    </row>
    <row r="567">
      <c r="D567" s="29"/>
      <c r="F567" s="31"/>
      <c r="G567" s="30"/>
      <c r="H567" s="30"/>
      <c r="J567" s="29"/>
      <c r="L567" s="30"/>
      <c r="M567" s="30"/>
      <c r="O567" s="32"/>
      <c r="P567" s="32"/>
      <c r="S567" s="32"/>
    </row>
    <row r="568">
      <c r="D568" s="29"/>
      <c r="F568" s="31"/>
      <c r="G568" s="30"/>
      <c r="H568" s="30"/>
      <c r="J568" s="29"/>
      <c r="L568" s="30"/>
      <c r="M568" s="30"/>
      <c r="O568" s="32"/>
      <c r="P568" s="32"/>
      <c r="S568" s="32"/>
    </row>
    <row r="569">
      <c r="D569" s="29"/>
      <c r="F569" s="31"/>
      <c r="G569" s="30"/>
      <c r="H569" s="30"/>
      <c r="J569" s="29"/>
      <c r="L569" s="30"/>
      <c r="M569" s="30"/>
      <c r="O569" s="32"/>
      <c r="P569" s="32"/>
      <c r="S569" s="32"/>
    </row>
    <row r="570">
      <c r="D570" s="29"/>
      <c r="F570" s="31"/>
      <c r="G570" s="30"/>
      <c r="H570" s="30"/>
      <c r="J570" s="29"/>
      <c r="L570" s="30"/>
      <c r="M570" s="30"/>
      <c r="O570" s="32"/>
      <c r="P570" s="32"/>
      <c r="S570" s="32"/>
    </row>
    <row r="571">
      <c r="D571" s="29"/>
      <c r="F571" s="31"/>
      <c r="G571" s="30"/>
      <c r="H571" s="30"/>
      <c r="J571" s="29"/>
      <c r="L571" s="30"/>
      <c r="M571" s="30"/>
      <c r="O571" s="32"/>
      <c r="P571" s="32"/>
      <c r="S571" s="32"/>
    </row>
    <row r="572">
      <c r="D572" s="29"/>
      <c r="F572" s="31"/>
      <c r="G572" s="30"/>
      <c r="H572" s="30"/>
      <c r="J572" s="29"/>
      <c r="L572" s="30"/>
      <c r="M572" s="30"/>
      <c r="O572" s="32"/>
      <c r="P572" s="32"/>
      <c r="S572" s="32"/>
    </row>
    <row r="573">
      <c r="D573" s="29"/>
      <c r="F573" s="31"/>
      <c r="G573" s="30"/>
      <c r="H573" s="30"/>
      <c r="J573" s="29"/>
      <c r="L573" s="30"/>
      <c r="M573" s="30"/>
      <c r="O573" s="32"/>
      <c r="P573" s="32"/>
      <c r="S573" s="32"/>
    </row>
    <row r="574">
      <c r="D574" s="29"/>
      <c r="F574" s="31"/>
      <c r="G574" s="30"/>
      <c r="H574" s="30"/>
      <c r="J574" s="29"/>
      <c r="L574" s="30"/>
      <c r="M574" s="30"/>
      <c r="O574" s="32"/>
      <c r="P574" s="32"/>
      <c r="S574" s="32"/>
    </row>
    <row r="575">
      <c r="D575" s="29"/>
      <c r="F575" s="31"/>
      <c r="G575" s="30"/>
      <c r="H575" s="30"/>
      <c r="J575" s="29"/>
      <c r="L575" s="30"/>
      <c r="M575" s="30"/>
      <c r="O575" s="32"/>
      <c r="P575" s="32"/>
      <c r="S575" s="32"/>
    </row>
    <row r="576">
      <c r="D576" s="29"/>
      <c r="F576" s="31"/>
      <c r="G576" s="30"/>
      <c r="H576" s="30"/>
      <c r="J576" s="29"/>
      <c r="L576" s="30"/>
      <c r="M576" s="30"/>
      <c r="O576" s="32"/>
      <c r="P576" s="32"/>
      <c r="S576" s="32"/>
    </row>
    <row r="577">
      <c r="D577" s="29"/>
      <c r="F577" s="31"/>
      <c r="G577" s="30"/>
      <c r="H577" s="30"/>
      <c r="J577" s="29"/>
      <c r="L577" s="30"/>
      <c r="M577" s="30"/>
      <c r="O577" s="32"/>
      <c r="P577" s="32"/>
      <c r="S577" s="32"/>
    </row>
    <row r="578">
      <c r="D578" s="29"/>
      <c r="F578" s="31"/>
      <c r="G578" s="30"/>
      <c r="H578" s="30"/>
      <c r="J578" s="29"/>
      <c r="L578" s="30"/>
      <c r="M578" s="30"/>
      <c r="O578" s="32"/>
      <c r="P578" s="32"/>
      <c r="S578" s="32"/>
    </row>
    <row r="579">
      <c r="D579" s="29"/>
      <c r="F579" s="31"/>
      <c r="G579" s="30"/>
      <c r="H579" s="30"/>
      <c r="J579" s="29"/>
      <c r="L579" s="30"/>
      <c r="M579" s="30"/>
      <c r="O579" s="32"/>
      <c r="P579" s="32"/>
      <c r="S579" s="32"/>
    </row>
    <row r="580">
      <c r="D580" s="29"/>
      <c r="F580" s="31"/>
      <c r="G580" s="30"/>
      <c r="H580" s="30"/>
      <c r="J580" s="29"/>
      <c r="L580" s="30"/>
      <c r="M580" s="30"/>
      <c r="O580" s="32"/>
      <c r="P580" s="32"/>
      <c r="S580" s="32"/>
    </row>
    <row r="581">
      <c r="D581" s="29"/>
      <c r="F581" s="31"/>
      <c r="G581" s="30"/>
      <c r="H581" s="30"/>
      <c r="J581" s="29"/>
      <c r="L581" s="30"/>
      <c r="M581" s="30"/>
      <c r="O581" s="32"/>
      <c r="P581" s="32"/>
      <c r="S581" s="32"/>
    </row>
    <row r="582">
      <c r="D582" s="29"/>
      <c r="F582" s="31"/>
      <c r="G582" s="30"/>
      <c r="H582" s="30"/>
      <c r="J582" s="29"/>
      <c r="L582" s="30"/>
      <c r="M582" s="30"/>
      <c r="O582" s="32"/>
      <c r="P582" s="32"/>
      <c r="S582" s="32"/>
    </row>
    <row r="583">
      <c r="D583" s="29"/>
      <c r="F583" s="31"/>
      <c r="G583" s="30"/>
      <c r="H583" s="30"/>
      <c r="J583" s="29"/>
      <c r="L583" s="30"/>
      <c r="M583" s="30"/>
      <c r="O583" s="32"/>
      <c r="P583" s="32"/>
      <c r="S583" s="32"/>
    </row>
    <row r="584">
      <c r="D584" s="29"/>
      <c r="F584" s="31"/>
      <c r="G584" s="30"/>
      <c r="H584" s="30"/>
      <c r="J584" s="29"/>
      <c r="L584" s="30"/>
      <c r="M584" s="30"/>
      <c r="O584" s="32"/>
      <c r="P584" s="32"/>
      <c r="S584" s="32"/>
    </row>
    <row r="585">
      <c r="D585" s="29"/>
      <c r="F585" s="31"/>
      <c r="G585" s="30"/>
      <c r="H585" s="30"/>
      <c r="J585" s="29"/>
      <c r="L585" s="30"/>
      <c r="M585" s="30"/>
      <c r="O585" s="32"/>
      <c r="P585" s="32"/>
      <c r="S585" s="32"/>
    </row>
    <row r="586">
      <c r="D586" s="29"/>
      <c r="F586" s="31"/>
      <c r="G586" s="30"/>
      <c r="H586" s="30"/>
      <c r="J586" s="29"/>
      <c r="L586" s="30"/>
      <c r="M586" s="30"/>
      <c r="O586" s="32"/>
      <c r="P586" s="32"/>
      <c r="S586" s="32"/>
    </row>
    <row r="587">
      <c r="D587" s="29"/>
      <c r="F587" s="31"/>
      <c r="G587" s="30"/>
      <c r="H587" s="30"/>
      <c r="J587" s="29"/>
      <c r="L587" s="30"/>
      <c r="M587" s="30"/>
      <c r="O587" s="32"/>
      <c r="P587" s="32"/>
      <c r="S587" s="32"/>
    </row>
    <row r="588">
      <c r="D588" s="29"/>
      <c r="F588" s="31"/>
      <c r="G588" s="30"/>
      <c r="H588" s="30"/>
      <c r="J588" s="29"/>
      <c r="L588" s="30"/>
      <c r="M588" s="30"/>
      <c r="O588" s="32"/>
      <c r="P588" s="32"/>
      <c r="S588" s="32"/>
    </row>
    <row r="589">
      <c r="D589" s="29"/>
      <c r="F589" s="31"/>
      <c r="G589" s="30"/>
      <c r="H589" s="30"/>
      <c r="J589" s="29"/>
      <c r="L589" s="30"/>
      <c r="M589" s="30"/>
      <c r="O589" s="32"/>
      <c r="P589" s="32"/>
      <c r="S589" s="32"/>
    </row>
    <row r="590">
      <c r="D590" s="29"/>
      <c r="F590" s="31"/>
      <c r="G590" s="30"/>
      <c r="H590" s="30"/>
      <c r="J590" s="29"/>
      <c r="L590" s="30"/>
      <c r="M590" s="30"/>
      <c r="O590" s="32"/>
      <c r="P590" s="32"/>
      <c r="S590" s="32"/>
    </row>
    <row r="591">
      <c r="D591" s="29"/>
      <c r="F591" s="31"/>
      <c r="G591" s="30"/>
      <c r="H591" s="30"/>
      <c r="J591" s="29"/>
      <c r="L591" s="30"/>
      <c r="M591" s="30"/>
      <c r="O591" s="32"/>
      <c r="P591" s="32"/>
      <c r="S591" s="32"/>
    </row>
    <row r="592">
      <c r="D592" s="29"/>
      <c r="F592" s="31"/>
      <c r="G592" s="30"/>
      <c r="H592" s="30"/>
      <c r="J592" s="29"/>
      <c r="L592" s="30"/>
      <c r="M592" s="30"/>
      <c r="O592" s="32"/>
      <c r="P592" s="32"/>
      <c r="S592" s="32"/>
    </row>
    <row r="593">
      <c r="D593" s="29"/>
      <c r="F593" s="31"/>
      <c r="G593" s="30"/>
      <c r="H593" s="30"/>
      <c r="J593" s="29"/>
      <c r="L593" s="30"/>
      <c r="M593" s="30"/>
      <c r="O593" s="32"/>
      <c r="P593" s="32"/>
      <c r="S593" s="32"/>
    </row>
    <row r="594">
      <c r="D594" s="29"/>
      <c r="F594" s="31"/>
      <c r="G594" s="30"/>
      <c r="H594" s="30"/>
      <c r="J594" s="29"/>
      <c r="L594" s="30"/>
      <c r="M594" s="30"/>
      <c r="O594" s="32"/>
      <c r="P594" s="32"/>
      <c r="S594" s="32"/>
    </row>
    <row r="595">
      <c r="D595" s="29"/>
      <c r="F595" s="31"/>
      <c r="G595" s="30"/>
      <c r="H595" s="30"/>
      <c r="J595" s="29"/>
      <c r="L595" s="30"/>
      <c r="M595" s="30"/>
      <c r="O595" s="32"/>
      <c r="P595" s="32"/>
      <c r="S595" s="32"/>
    </row>
    <row r="596">
      <c r="D596" s="29"/>
      <c r="F596" s="31"/>
      <c r="G596" s="30"/>
      <c r="H596" s="30"/>
      <c r="J596" s="29"/>
      <c r="L596" s="30"/>
      <c r="M596" s="30"/>
      <c r="O596" s="32"/>
      <c r="P596" s="32"/>
      <c r="S596" s="32"/>
    </row>
    <row r="597">
      <c r="D597" s="29"/>
      <c r="F597" s="31"/>
      <c r="G597" s="30"/>
      <c r="H597" s="30"/>
      <c r="J597" s="29"/>
      <c r="L597" s="30"/>
      <c r="M597" s="30"/>
      <c r="O597" s="32"/>
      <c r="P597" s="32"/>
      <c r="S597" s="32"/>
    </row>
    <row r="598">
      <c r="D598" s="29"/>
      <c r="F598" s="31"/>
      <c r="G598" s="30"/>
      <c r="H598" s="30"/>
      <c r="J598" s="29"/>
      <c r="L598" s="30"/>
      <c r="M598" s="30"/>
      <c r="O598" s="32"/>
      <c r="P598" s="32"/>
      <c r="S598" s="32"/>
    </row>
    <row r="599">
      <c r="D599" s="29"/>
      <c r="F599" s="31"/>
      <c r="G599" s="30"/>
      <c r="H599" s="30"/>
      <c r="J599" s="29"/>
      <c r="L599" s="30"/>
      <c r="M599" s="30"/>
      <c r="O599" s="32"/>
      <c r="P599" s="32"/>
      <c r="S599" s="32"/>
    </row>
    <row r="600">
      <c r="D600" s="29"/>
      <c r="F600" s="31"/>
      <c r="G600" s="30"/>
      <c r="H600" s="30"/>
      <c r="J600" s="29"/>
      <c r="L600" s="30"/>
      <c r="M600" s="30"/>
      <c r="O600" s="32"/>
      <c r="P600" s="32"/>
      <c r="S600" s="32"/>
    </row>
    <row r="601">
      <c r="D601" s="29"/>
      <c r="F601" s="31"/>
      <c r="G601" s="30"/>
      <c r="H601" s="30"/>
      <c r="J601" s="29"/>
      <c r="L601" s="30"/>
      <c r="M601" s="30"/>
      <c r="O601" s="32"/>
      <c r="P601" s="32"/>
      <c r="S601" s="32"/>
    </row>
    <row r="602">
      <c r="D602" s="29"/>
      <c r="F602" s="31"/>
      <c r="G602" s="30"/>
      <c r="H602" s="30"/>
      <c r="J602" s="29"/>
      <c r="L602" s="30"/>
      <c r="M602" s="30"/>
      <c r="O602" s="32"/>
      <c r="P602" s="32"/>
      <c r="S602" s="32"/>
    </row>
    <row r="603">
      <c r="D603" s="29"/>
      <c r="F603" s="31"/>
      <c r="G603" s="30"/>
      <c r="H603" s="30"/>
      <c r="J603" s="29"/>
      <c r="L603" s="30"/>
      <c r="M603" s="30"/>
      <c r="O603" s="32"/>
      <c r="P603" s="32"/>
      <c r="S603" s="32"/>
    </row>
    <row r="604">
      <c r="D604" s="29"/>
      <c r="F604" s="31"/>
      <c r="G604" s="30"/>
      <c r="H604" s="30"/>
      <c r="J604" s="29"/>
      <c r="L604" s="30"/>
      <c r="M604" s="30"/>
      <c r="O604" s="32"/>
      <c r="P604" s="32"/>
      <c r="S604" s="32"/>
    </row>
    <row r="605">
      <c r="D605" s="29"/>
      <c r="F605" s="31"/>
      <c r="G605" s="30"/>
      <c r="H605" s="30"/>
      <c r="J605" s="29"/>
      <c r="L605" s="30"/>
      <c r="M605" s="30"/>
      <c r="O605" s="32"/>
      <c r="P605" s="32"/>
      <c r="S605" s="32"/>
    </row>
    <row r="606">
      <c r="D606" s="29"/>
      <c r="F606" s="31"/>
      <c r="G606" s="30"/>
      <c r="H606" s="30"/>
      <c r="J606" s="29"/>
      <c r="L606" s="30"/>
      <c r="M606" s="30"/>
      <c r="O606" s="32"/>
      <c r="P606" s="32"/>
      <c r="S606" s="32"/>
    </row>
    <row r="607">
      <c r="D607" s="29"/>
      <c r="F607" s="31"/>
      <c r="G607" s="30"/>
      <c r="H607" s="30"/>
      <c r="J607" s="29"/>
      <c r="L607" s="30"/>
      <c r="M607" s="30"/>
      <c r="O607" s="32"/>
      <c r="P607" s="32"/>
      <c r="S607" s="32"/>
    </row>
    <row r="608">
      <c r="D608" s="29"/>
      <c r="F608" s="31"/>
      <c r="G608" s="30"/>
      <c r="H608" s="30"/>
      <c r="J608" s="29"/>
      <c r="L608" s="30"/>
      <c r="M608" s="30"/>
      <c r="O608" s="32"/>
      <c r="P608" s="32"/>
      <c r="S608" s="32"/>
    </row>
    <row r="609">
      <c r="D609" s="29"/>
      <c r="F609" s="31"/>
      <c r="G609" s="30"/>
      <c r="H609" s="30"/>
      <c r="J609" s="29"/>
      <c r="L609" s="30"/>
      <c r="M609" s="30"/>
      <c r="O609" s="32"/>
      <c r="P609" s="32"/>
      <c r="S609" s="32"/>
    </row>
    <row r="610">
      <c r="D610" s="29"/>
      <c r="F610" s="31"/>
      <c r="G610" s="30"/>
      <c r="H610" s="30"/>
      <c r="J610" s="29"/>
      <c r="L610" s="30"/>
      <c r="M610" s="30"/>
      <c r="O610" s="32"/>
      <c r="P610" s="32"/>
      <c r="S610" s="32"/>
    </row>
    <row r="611">
      <c r="D611" s="29"/>
      <c r="F611" s="31"/>
      <c r="G611" s="30"/>
      <c r="H611" s="30"/>
      <c r="J611" s="29"/>
      <c r="L611" s="30"/>
      <c r="M611" s="30"/>
      <c r="O611" s="32"/>
      <c r="P611" s="32"/>
      <c r="S611" s="32"/>
    </row>
    <row r="612">
      <c r="D612" s="29"/>
      <c r="F612" s="31"/>
      <c r="G612" s="30"/>
      <c r="H612" s="30"/>
      <c r="J612" s="29"/>
      <c r="L612" s="30"/>
      <c r="M612" s="30"/>
      <c r="O612" s="32"/>
      <c r="P612" s="32"/>
      <c r="S612" s="32"/>
    </row>
    <row r="613">
      <c r="D613" s="29"/>
      <c r="F613" s="31"/>
      <c r="G613" s="30"/>
      <c r="H613" s="30"/>
      <c r="J613" s="29"/>
      <c r="L613" s="30"/>
      <c r="M613" s="30"/>
      <c r="O613" s="32"/>
      <c r="P613" s="32"/>
      <c r="S613" s="32"/>
    </row>
    <row r="614">
      <c r="D614" s="29"/>
      <c r="F614" s="31"/>
      <c r="G614" s="30"/>
      <c r="H614" s="30"/>
      <c r="J614" s="29"/>
      <c r="L614" s="30"/>
      <c r="M614" s="30"/>
      <c r="O614" s="32"/>
      <c r="P614" s="32"/>
      <c r="S614" s="32"/>
    </row>
    <row r="615">
      <c r="D615" s="29"/>
      <c r="F615" s="31"/>
      <c r="G615" s="30"/>
      <c r="H615" s="30"/>
      <c r="J615" s="29"/>
      <c r="L615" s="30"/>
      <c r="M615" s="30"/>
      <c r="O615" s="32"/>
      <c r="P615" s="32"/>
      <c r="S615" s="32"/>
    </row>
    <row r="616">
      <c r="D616" s="29"/>
      <c r="F616" s="31"/>
      <c r="G616" s="30"/>
      <c r="H616" s="30"/>
      <c r="J616" s="29"/>
      <c r="L616" s="30"/>
      <c r="M616" s="30"/>
      <c r="O616" s="32"/>
      <c r="P616" s="32"/>
      <c r="S616" s="32"/>
    </row>
    <row r="617">
      <c r="D617" s="29"/>
      <c r="F617" s="31"/>
      <c r="G617" s="30"/>
      <c r="H617" s="30"/>
      <c r="J617" s="29"/>
      <c r="L617" s="30"/>
      <c r="M617" s="30"/>
      <c r="O617" s="32"/>
      <c r="P617" s="32"/>
      <c r="S617" s="32"/>
    </row>
    <row r="618">
      <c r="D618" s="29"/>
      <c r="F618" s="31"/>
      <c r="G618" s="30"/>
      <c r="H618" s="30"/>
      <c r="J618" s="29"/>
      <c r="L618" s="30"/>
      <c r="M618" s="30"/>
      <c r="O618" s="32"/>
      <c r="P618" s="32"/>
      <c r="S618" s="32"/>
    </row>
    <row r="619">
      <c r="D619" s="29"/>
      <c r="F619" s="31"/>
      <c r="G619" s="30"/>
      <c r="H619" s="30"/>
      <c r="J619" s="29"/>
      <c r="L619" s="30"/>
      <c r="M619" s="30"/>
      <c r="O619" s="32"/>
      <c r="P619" s="32"/>
      <c r="S619" s="32"/>
    </row>
    <row r="620">
      <c r="D620" s="29"/>
      <c r="F620" s="31"/>
      <c r="G620" s="30"/>
      <c r="H620" s="30"/>
      <c r="J620" s="29"/>
      <c r="L620" s="30"/>
      <c r="M620" s="30"/>
      <c r="O620" s="32"/>
      <c r="P620" s="32"/>
      <c r="S620" s="32"/>
    </row>
    <row r="621">
      <c r="D621" s="29"/>
      <c r="F621" s="31"/>
      <c r="G621" s="30"/>
      <c r="H621" s="30"/>
      <c r="J621" s="29"/>
      <c r="L621" s="30"/>
      <c r="M621" s="30"/>
      <c r="O621" s="32"/>
      <c r="P621" s="32"/>
      <c r="S621" s="32"/>
    </row>
    <row r="622">
      <c r="D622" s="29"/>
      <c r="F622" s="31"/>
      <c r="G622" s="30"/>
      <c r="H622" s="30"/>
      <c r="J622" s="29"/>
      <c r="L622" s="30"/>
      <c r="M622" s="30"/>
      <c r="O622" s="32"/>
      <c r="P622" s="32"/>
      <c r="S622" s="32"/>
    </row>
    <row r="623">
      <c r="D623" s="29"/>
      <c r="F623" s="31"/>
      <c r="G623" s="30"/>
      <c r="H623" s="30"/>
      <c r="J623" s="29"/>
      <c r="L623" s="30"/>
      <c r="M623" s="30"/>
      <c r="O623" s="32"/>
      <c r="P623" s="32"/>
      <c r="S623" s="32"/>
    </row>
    <row r="624">
      <c r="D624" s="29"/>
      <c r="F624" s="31"/>
      <c r="G624" s="30"/>
      <c r="H624" s="30"/>
      <c r="J624" s="29"/>
      <c r="L624" s="30"/>
      <c r="M624" s="30"/>
      <c r="O624" s="32"/>
      <c r="P624" s="32"/>
      <c r="S624" s="32"/>
    </row>
    <row r="625">
      <c r="D625" s="29"/>
      <c r="F625" s="31"/>
      <c r="G625" s="30"/>
      <c r="H625" s="30"/>
      <c r="J625" s="29"/>
      <c r="L625" s="30"/>
      <c r="M625" s="30"/>
      <c r="O625" s="32"/>
      <c r="P625" s="32"/>
      <c r="S625" s="32"/>
    </row>
    <row r="626">
      <c r="D626" s="29"/>
      <c r="F626" s="31"/>
      <c r="G626" s="30"/>
      <c r="H626" s="30"/>
      <c r="J626" s="29"/>
      <c r="L626" s="30"/>
      <c r="M626" s="30"/>
      <c r="O626" s="32"/>
      <c r="P626" s="32"/>
      <c r="S626" s="32"/>
    </row>
    <row r="627">
      <c r="D627" s="29"/>
      <c r="F627" s="31"/>
      <c r="G627" s="30"/>
      <c r="H627" s="30"/>
      <c r="J627" s="29"/>
      <c r="L627" s="30"/>
      <c r="M627" s="30"/>
      <c r="O627" s="32"/>
      <c r="P627" s="32"/>
      <c r="S627" s="32"/>
    </row>
    <row r="628">
      <c r="D628" s="29"/>
      <c r="F628" s="31"/>
      <c r="G628" s="30"/>
      <c r="H628" s="30"/>
      <c r="J628" s="29"/>
      <c r="L628" s="30"/>
      <c r="M628" s="30"/>
      <c r="O628" s="32"/>
      <c r="P628" s="32"/>
      <c r="S628" s="32"/>
    </row>
    <row r="629">
      <c r="D629" s="29"/>
      <c r="F629" s="31"/>
      <c r="G629" s="30"/>
      <c r="H629" s="30"/>
      <c r="J629" s="29"/>
      <c r="L629" s="30"/>
      <c r="M629" s="30"/>
      <c r="O629" s="32"/>
      <c r="P629" s="32"/>
      <c r="S629" s="32"/>
    </row>
    <row r="630">
      <c r="D630" s="29"/>
      <c r="F630" s="31"/>
      <c r="G630" s="30"/>
      <c r="H630" s="30"/>
      <c r="J630" s="29"/>
      <c r="L630" s="30"/>
      <c r="M630" s="30"/>
      <c r="O630" s="32"/>
      <c r="P630" s="32"/>
      <c r="S630" s="32"/>
    </row>
    <row r="631">
      <c r="D631" s="29"/>
      <c r="F631" s="31"/>
      <c r="G631" s="30"/>
      <c r="H631" s="30"/>
      <c r="J631" s="29"/>
      <c r="L631" s="30"/>
      <c r="M631" s="30"/>
      <c r="O631" s="32"/>
      <c r="P631" s="32"/>
      <c r="S631" s="32"/>
    </row>
    <row r="632">
      <c r="D632" s="29"/>
      <c r="F632" s="31"/>
      <c r="G632" s="30"/>
      <c r="H632" s="30"/>
      <c r="J632" s="29"/>
      <c r="L632" s="30"/>
      <c r="M632" s="30"/>
      <c r="O632" s="32"/>
      <c r="P632" s="32"/>
      <c r="S632" s="32"/>
    </row>
    <row r="633">
      <c r="D633" s="29"/>
      <c r="F633" s="31"/>
      <c r="G633" s="30"/>
      <c r="H633" s="30"/>
      <c r="J633" s="29"/>
      <c r="L633" s="30"/>
      <c r="M633" s="30"/>
      <c r="O633" s="32"/>
      <c r="P633" s="32"/>
      <c r="S633" s="32"/>
    </row>
    <row r="634">
      <c r="D634" s="29"/>
      <c r="F634" s="31"/>
      <c r="G634" s="30"/>
      <c r="H634" s="30"/>
      <c r="J634" s="29"/>
      <c r="L634" s="30"/>
      <c r="M634" s="30"/>
      <c r="O634" s="32"/>
      <c r="P634" s="32"/>
      <c r="S634" s="32"/>
    </row>
    <row r="635">
      <c r="D635" s="29"/>
      <c r="F635" s="31"/>
      <c r="G635" s="30"/>
      <c r="H635" s="30"/>
      <c r="J635" s="29"/>
      <c r="L635" s="30"/>
      <c r="M635" s="30"/>
      <c r="O635" s="32"/>
      <c r="P635" s="32"/>
      <c r="S635" s="32"/>
    </row>
    <row r="636">
      <c r="D636" s="29"/>
      <c r="F636" s="31"/>
      <c r="G636" s="30"/>
      <c r="H636" s="30"/>
      <c r="J636" s="29"/>
      <c r="L636" s="30"/>
      <c r="M636" s="30"/>
      <c r="O636" s="32"/>
      <c r="P636" s="32"/>
      <c r="S636" s="32"/>
    </row>
    <row r="637">
      <c r="D637" s="29"/>
      <c r="F637" s="31"/>
      <c r="G637" s="30"/>
      <c r="H637" s="30"/>
      <c r="J637" s="29"/>
      <c r="L637" s="30"/>
      <c r="M637" s="30"/>
      <c r="O637" s="32"/>
      <c r="P637" s="32"/>
      <c r="S637" s="32"/>
    </row>
    <row r="638">
      <c r="D638" s="29"/>
      <c r="F638" s="31"/>
      <c r="G638" s="30"/>
      <c r="H638" s="30"/>
      <c r="J638" s="29"/>
      <c r="L638" s="30"/>
      <c r="M638" s="30"/>
      <c r="O638" s="32"/>
      <c r="P638" s="32"/>
      <c r="S638" s="32"/>
    </row>
    <row r="639">
      <c r="D639" s="29"/>
      <c r="F639" s="31"/>
      <c r="G639" s="30"/>
      <c r="H639" s="30"/>
      <c r="J639" s="29"/>
      <c r="L639" s="30"/>
      <c r="M639" s="30"/>
      <c r="O639" s="32"/>
      <c r="P639" s="32"/>
      <c r="S639" s="32"/>
    </row>
    <row r="640">
      <c r="D640" s="29"/>
      <c r="F640" s="31"/>
      <c r="G640" s="30"/>
      <c r="H640" s="30"/>
      <c r="J640" s="29"/>
      <c r="L640" s="30"/>
      <c r="M640" s="30"/>
      <c r="O640" s="32"/>
      <c r="P640" s="32"/>
      <c r="S640" s="32"/>
    </row>
    <row r="641">
      <c r="D641" s="29"/>
      <c r="F641" s="31"/>
      <c r="G641" s="30"/>
      <c r="H641" s="30"/>
      <c r="J641" s="29"/>
      <c r="L641" s="30"/>
      <c r="M641" s="30"/>
      <c r="O641" s="32"/>
      <c r="P641" s="32"/>
      <c r="S641" s="32"/>
    </row>
    <row r="642">
      <c r="D642" s="29"/>
      <c r="F642" s="31"/>
      <c r="G642" s="30"/>
      <c r="H642" s="30"/>
      <c r="J642" s="29"/>
      <c r="L642" s="30"/>
      <c r="M642" s="30"/>
      <c r="O642" s="32"/>
      <c r="P642" s="32"/>
      <c r="S642" s="32"/>
    </row>
    <row r="643">
      <c r="D643" s="29"/>
      <c r="F643" s="31"/>
      <c r="G643" s="30"/>
      <c r="H643" s="30"/>
      <c r="J643" s="29"/>
      <c r="L643" s="30"/>
      <c r="M643" s="30"/>
      <c r="O643" s="32"/>
      <c r="P643" s="32"/>
      <c r="S643" s="32"/>
    </row>
    <row r="644">
      <c r="D644" s="29"/>
      <c r="F644" s="31"/>
      <c r="G644" s="30"/>
      <c r="H644" s="30"/>
      <c r="J644" s="29"/>
      <c r="L644" s="30"/>
      <c r="M644" s="30"/>
      <c r="O644" s="32"/>
      <c r="P644" s="32"/>
      <c r="S644" s="32"/>
    </row>
    <row r="645">
      <c r="D645" s="29"/>
      <c r="F645" s="31"/>
      <c r="G645" s="30"/>
      <c r="H645" s="30"/>
      <c r="J645" s="29"/>
      <c r="L645" s="30"/>
      <c r="M645" s="30"/>
      <c r="O645" s="32"/>
      <c r="P645" s="32"/>
      <c r="S645" s="32"/>
    </row>
    <row r="646">
      <c r="D646" s="29"/>
      <c r="F646" s="31"/>
      <c r="G646" s="30"/>
      <c r="H646" s="30"/>
      <c r="J646" s="29"/>
      <c r="L646" s="30"/>
      <c r="M646" s="30"/>
      <c r="O646" s="32"/>
      <c r="P646" s="32"/>
      <c r="S646" s="32"/>
    </row>
    <row r="647">
      <c r="D647" s="29"/>
      <c r="F647" s="31"/>
      <c r="G647" s="30"/>
      <c r="H647" s="30"/>
      <c r="J647" s="29"/>
      <c r="L647" s="30"/>
      <c r="M647" s="30"/>
      <c r="O647" s="32"/>
      <c r="P647" s="32"/>
      <c r="S647" s="32"/>
    </row>
    <row r="648">
      <c r="D648" s="29"/>
      <c r="F648" s="31"/>
      <c r="G648" s="30"/>
      <c r="H648" s="30"/>
      <c r="J648" s="29"/>
      <c r="L648" s="30"/>
      <c r="M648" s="30"/>
      <c r="O648" s="32"/>
      <c r="P648" s="32"/>
      <c r="S648" s="32"/>
    </row>
    <row r="649">
      <c r="D649" s="29"/>
      <c r="F649" s="31"/>
      <c r="G649" s="30"/>
      <c r="H649" s="30"/>
      <c r="J649" s="29"/>
      <c r="L649" s="30"/>
      <c r="M649" s="30"/>
      <c r="O649" s="32"/>
      <c r="P649" s="32"/>
      <c r="S649" s="32"/>
    </row>
    <row r="650">
      <c r="D650" s="29"/>
      <c r="F650" s="31"/>
      <c r="G650" s="30"/>
      <c r="H650" s="30"/>
      <c r="J650" s="29"/>
      <c r="L650" s="30"/>
      <c r="M650" s="30"/>
      <c r="O650" s="32"/>
      <c r="P650" s="32"/>
      <c r="S650" s="32"/>
    </row>
    <row r="651">
      <c r="D651" s="29"/>
      <c r="F651" s="31"/>
      <c r="G651" s="30"/>
      <c r="H651" s="30"/>
      <c r="J651" s="29"/>
      <c r="L651" s="30"/>
      <c r="M651" s="30"/>
      <c r="O651" s="32"/>
      <c r="P651" s="32"/>
      <c r="S651" s="32"/>
    </row>
    <row r="652">
      <c r="D652" s="29"/>
      <c r="F652" s="31"/>
      <c r="G652" s="30"/>
      <c r="H652" s="30"/>
      <c r="J652" s="29"/>
      <c r="L652" s="30"/>
      <c r="M652" s="30"/>
      <c r="O652" s="32"/>
      <c r="P652" s="32"/>
      <c r="S652" s="32"/>
    </row>
    <row r="653">
      <c r="D653" s="29"/>
      <c r="F653" s="31"/>
      <c r="G653" s="30"/>
      <c r="H653" s="30"/>
      <c r="J653" s="29"/>
      <c r="L653" s="30"/>
      <c r="M653" s="30"/>
      <c r="O653" s="32"/>
      <c r="P653" s="32"/>
      <c r="S653" s="32"/>
    </row>
    <row r="654">
      <c r="D654" s="29"/>
      <c r="F654" s="31"/>
      <c r="G654" s="30"/>
      <c r="H654" s="30"/>
      <c r="J654" s="29"/>
      <c r="L654" s="30"/>
      <c r="M654" s="30"/>
      <c r="O654" s="32"/>
      <c r="P654" s="32"/>
      <c r="S654" s="32"/>
    </row>
    <row r="655">
      <c r="D655" s="29"/>
      <c r="F655" s="31"/>
      <c r="G655" s="30"/>
      <c r="H655" s="30"/>
      <c r="J655" s="29"/>
      <c r="L655" s="30"/>
      <c r="M655" s="30"/>
      <c r="O655" s="32"/>
      <c r="P655" s="32"/>
      <c r="S655" s="32"/>
    </row>
    <row r="656">
      <c r="D656" s="29"/>
      <c r="F656" s="31"/>
      <c r="G656" s="30"/>
      <c r="H656" s="30"/>
      <c r="J656" s="29"/>
      <c r="L656" s="30"/>
      <c r="M656" s="30"/>
      <c r="O656" s="32"/>
      <c r="P656" s="32"/>
      <c r="S656" s="32"/>
    </row>
    <row r="657">
      <c r="D657" s="29"/>
      <c r="F657" s="31"/>
      <c r="G657" s="30"/>
      <c r="H657" s="30"/>
      <c r="J657" s="29"/>
      <c r="L657" s="30"/>
      <c r="M657" s="30"/>
      <c r="O657" s="32"/>
      <c r="P657" s="32"/>
      <c r="S657" s="32"/>
    </row>
    <row r="658">
      <c r="D658" s="29"/>
      <c r="F658" s="31"/>
      <c r="G658" s="30"/>
      <c r="H658" s="30"/>
      <c r="J658" s="29"/>
      <c r="L658" s="30"/>
      <c r="M658" s="30"/>
      <c r="O658" s="32"/>
      <c r="P658" s="32"/>
      <c r="S658" s="32"/>
    </row>
    <row r="659">
      <c r="D659" s="29"/>
      <c r="F659" s="31"/>
      <c r="G659" s="30"/>
      <c r="H659" s="30"/>
      <c r="J659" s="29"/>
      <c r="L659" s="30"/>
      <c r="M659" s="30"/>
      <c r="O659" s="32"/>
      <c r="P659" s="32"/>
      <c r="S659" s="32"/>
    </row>
    <row r="660">
      <c r="D660" s="29"/>
      <c r="F660" s="31"/>
      <c r="G660" s="30"/>
      <c r="H660" s="30"/>
      <c r="J660" s="29"/>
      <c r="L660" s="30"/>
      <c r="M660" s="30"/>
      <c r="O660" s="32"/>
      <c r="P660" s="32"/>
      <c r="S660" s="32"/>
    </row>
    <row r="661">
      <c r="D661" s="29"/>
      <c r="F661" s="31"/>
      <c r="G661" s="30"/>
      <c r="H661" s="30"/>
      <c r="J661" s="29"/>
      <c r="L661" s="30"/>
      <c r="M661" s="30"/>
      <c r="O661" s="32"/>
      <c r="P661" s="32"/>
      <c r="S661" s="32"/>
    </row>
    <row r="662">
      <c r="D662" s="29"/>
      <c r="F662" s="31"/>
      <c r="G662" s="30"/>
      <c r="H662" s="30"/>
      <c r="J662" s="29"/>
      <c r="L662" s="30"/>
      <c r="M662" s="30"/>
      <c r="O662" s="32"/>
      <c r="P662" s="32"/>
      <c r="S662" s="32"/>
    </row>
    <row r="663">
      <c r="D663" s="29"/>
      <c r="F663" s="31"/>
      <c r="G663" s="30"/>
      <c r="H663" s="30"/>
      <c r="J663" s="29"/>
      <c r="L663" s="30"/>
      <c r="M663" s="30"/>
      <c r="O663" s="32"/>
      <c r="P663" s="32"/>
      <c r="S663" s="32"/>
    </row>
    <row r="664">
      <c r="D664" s="29"/>
      <c r="F664" s="31"/>
      <c r="G664" s="30"/>
      <c r="H664" s="30"/>
      <c r="J664" s="29"/>
      <c r="L664" s="30"/>
      <c r="M664" s="30"/>
      <c r="O664" s="32"/>
      <c r="P664" s="32"/>
      <c r="S664" s="32"/>
    </row>
    <row r="665">
      <c r="D665" s="29"/>
      <c r="F665" s="31"/>
      <c r="G665" s="30"/>
      <c r="H665" s="30"/>
      <c r="J665" s="29"/>
      <c r="L665" s="30"/>
      <c r="M665" s="30"/>
      <c r="O665" s="32"/>
      <c r="P665" s="32"/>
      <c r="S665" s="32"/>
    </row>
    <row r="666">
      <c r="D666" s="29"/>
      <c r="F666" s="31"/>
      <c r="G666" s="30"/>
      <c r="H666" s="30"/>
      <c r="J666" s="29"/>
      <c r="L666" s="30"/>
      <c r="M666" s="30"/>
      <c r="O666" s="32"/>
      <c r="P666" s="32"/>
      <c r="S666" s="32"/>
    </row>
    <row r="667">
      <c r="D667" s="29"/>
      <c r="F667" s="31"/>
      <c r="G667" s="30"/>
      <c r="H667" s="30"/>
      <c r="J667" s="29"/>
      <c r="L667" s="30"/>
      <c r="M667" s="30"/>
      <c r="O667" s="32"/>
      <c r="P667" s="32"/>
      <c r="S667" s="32"/>
    </row>
    <row r="668">
      <c r="D668" s="29"/>
      <c r="F668" s="31"/>
      <c r="G668" s="30"/>
      <c r="H668" s="30"/>
      <c r="J668" s="29"/>
      <c r="L668" s="30"/>
      <c r="M668" s="30"/>
      <c r="O668" s="32"/>
      <c r="P668" s="32"/>
      <c r="S668" s="32"/>
    </row>
    <row r="669">
      <c r="D669" s="29"/>
      <c r="F669" s="31"/>
      <c r="G669" s="30"/>
      <c r="H669" s="30"/>
      <c r="J669" s="29"/>
      <c r="L669" s="30"/>
      <c r="M669" s="30"/>
      <c r="O669" s="32"/>
      <c r="P669" s="32"/>
      <c r="S669" s="32"/>
    </row>
    <row r="670">
      <c r="D670" s="29"/>
      <c r="F670" s="31"/>
      <c r="G670" s="30"/>
      <c r="H670" s="30"/>
      <c r="J670" s="29"/>
      <c r="L670" s="30"/>
      <c r="M670" s="30"/>
      <c r="O670" s="32"/>
      <c r="P670" s="32"/>
      <c r="S670" s="32"/>
    </row>
    <row r="671">
      <c r="D671" s="29"/>
      <c r="F671" s="31"/>
      <c r="G671" s="30"/>
      <c r="H671" s="30"/>
      <c r="J671" s="29"/>
      <c r="L671" s="30"/>
      <c r="M671" s="30"/>
      <c r="O671" s="32"/>
      <c r="P671" s="32"/>
      <c r="S671" s="32"/>
    </row>
    <row r="672">
      <c r="D672" s="29"/>
      <c r="F672" s="31"/>
      <c r="G672" s="30"/>
      <c r="H672" s="30"/>
      <c r="J672" s="29"/>
      <c r="L672" s="30"/>
      <c r="M672" s="30"/>
      <c r="O672" s="32"/>
      <c r="P672" s="32"/>
      <c r="S672" s="32"/>
    </row>
    <row r="673">
      <c r="D673" s="29"/>
      <c r="F673" s="31"/>
      <c r="G673" s="30"/>
      <c r="H673" s="30"/>
      <c r="J673" s="29"/>
      <c r="L673" s="30"/>
      <c r="M673" s="30"/>
      <c r="O673" s="32"/>
      <c r="P673" s="32"/>
      <c r="S673" s="32"/>
    </row>
    <row r="674">
      <c r="D674" s="29"/>
      <c r="F674" s="31"/>
      <c r="G674" s="30"/>
      <c r="H674" s="30"/>
      <c r="J674" s="29"/>
      <c r="L674" s="30"/>
      <c r="M674" s="30"/>
      <c r="O674" s="32"/>
      <c r="P674" s="32"/>
      <c r="S674" s="32"/>
    </row>
    <row r="675">
      <c r="D675" s="29"/>
      <c r="F675" s="31"/>
      <c r="G675" s="30"/>
      <c r="H675" s="30"/>
      <c r="J675" s="29"/>
      <c r="L675" s="30"/>
      <c r="M675" s="30"/>
      <c r="O675" s="32"/>
      <c r="P675" s="32"/>
      <c r="S675" s="32"/>
    </row>
    <row r="676">
      <c r="D676" s="29"/>
      <c r="F676" s="31"/>
      <c r="G676" s="30"/>
      <c r="H676" s="30"/>
      <c r="J676" s="29"/>
      <c r="L676" s="30"/>
      <c r="M676" s="30"/>
      <c r="O676" s="32"/>
      <c r="P676" s="32"/>
      <c r="S676" s="32"/>
    </row>
    <row r="677">
      <c r="D677" s="29"/>
      <c r="F677" s="31"/>
      <c r="G677" s="30"/>
      <c r="H677" s="30"/>
      <c r="J677" s="29"/>
      <c r="L677" s="30"/>
      <c r="M677" s="30"/>
      <c r="O677" s="32"/>
      <c r="P677" s="32"/>
      <c r="S677" s="32"/>
    </row>
    <row r="678">
      <c r="D678" s="29"/>
      <c r="F678" s="31"/>
      <c r="G678" s="30"/>
      <c r="H678" s="30"/>
      <c r="J678" s="29"/>
      <c r="L678" s="30"/>
      <c r="M678" s="30"/>
      <c r="O678" s="32"/>
      <c r="P678" s="32"/>
      <c r="S678" s="32"/>
    </row>
    <row r="679">
      <c r="D679" s="29"/>
      <c r="F679" s="31"/>
      <c r="G679" s="30"/>
      <c r="H679" s="30"/>
      <c r="J679" s="29"/>
      <c r="L679" s="30"/>
      <c r="M679" s="30"/>
      <c r="O679" s="32"/>
      <c r="P679" s="32"/>
      <c r="S679" s="32"/>
    </row>
    <row r="680">
      <c r="D680" s="29"/>
      <c r="F680" s="31"/>
      <c r="G680" s="30"/>
      <c r="H680" s="30"/>
      <c r="J680" s="29"/>
      <c r="L680" s="30"/>
      <c r="M680" s="30"/>
      <c r="O680" s="32"/>
      <c r="P680" s="32"/>
      <c r="S680" s="32"/>
    </row>
    <row r="681">
      <c r="D681" s="29"/>
      <c r="F681" s="31"/>
      <c r="G681" s="30"/>
      <c r="H681" s="30"/>
      <c r="J681" s="29"/>
      <c r="L681" s="30"/>
      <c r="M681" s="30"/>
      <c r="O681" s="32"/>
      <c r="P681" s="32"/>
      <c r="S681" s="32"/>
    </row>
    <row r="682">
      <c r="D682" s="29"/>
      <c r="F682" s="31"/>
      <c r="G682" s="30"/>
      <c r="H682" s="30"/>
      <c r="J682" s="29"/>
      <c r="L682" s="30"/>
      <c r="M682" s="30"/>
      <c r="O682" s="32"/>
      <c r="P682" s="32"/>
      <c r="S682" s="32"/>
    </row>
    <row r="683">
      <c r="D683" s="29"/>
      <c r="F683" s="31"/>
      <c r="G683" s="30"/>
      <c r="H683" s="30"/>
      <c r="J683" s="29"/>
      <c r="L683" s="30"/>
      <c r="M683" s="30"/>
      <c r="O683" s="32"/>
      <c r="P683" s="32"/>
      <c r="S683" s="32"/>
    </row>
    <row r="684">
      <c r="D684" s="29"/>
      <c r="F684" s="31"/>
      <c r="G684" s="30"/>
      <c r="H684" s="30"/>
      <c r="J684" s="29"/>
      <c r="L684" s="30"/>
      <c r="M684" s="30"/>
      <c r="O684" s="32"/>
      <c r="P684" s="32"/>
      <c r="S684" s="32"/>
    </row>
    <row r="685">
      <c r="D685" s="29"/>
      <c r="F685" s="31"/>
      <c r="G685" s="30"/>
      <c r="H685" s="30"/>
      <c r="J685" s="29"/>
      <c r="L685" s="30"/>
      <c r="M685" s="30"/>
      <c r="O685" s="32"/>
      <c r="P685" s="32"/>
      <c r="S685" s="32"/>
    </row>
    <row r="686">
      <c r="D686" s="29"/>
      <c r="F686" s="31"/>
      <c r="G686" s="30"/>
      <c r="H686" s="30"/>
      <c r="J686" s="29"/>
      <c r="L686" s="30"/>
      <c r="M686" s="30"/>
      <c r="O686" s="32"/>
      <c r="P686" s="32"/>
      <c r="S686" s="32"/>
    </row>
    <row r="687">
      <c r="D687" s="29"/>
      <c r="F687" s="31"/>
      <c r="G687" s="30"/>
      <c r="H687" s="30"/>
      <c r="J687" s="29"/>
      <c r="L687" s="30"/>
      <c r="M687" s="30"/>
      <c r="O687" s="32"/>
      <c r="P687" s="32"/>
      <c r="S687" s="32"/>
    </row>
    <row r="688">
      <c r="D688" s="29"/>
      <c r="F688" s="31"/>
      <c r="G688" s="30"/>
      <c r="H688" s="30"/>
      <c r="J688" s="29"/>
      <c r="L688" s="30"/>
      <c r="M688" s="30"/>
      <c r="O688" s="32"/>
      <c r="P688" s="32"/>
      <c r="S688" s="32"/>
    </row>
    <row r="689">
      <c r="D689" s="29"/>
      <c r="F689" s="31"/>
      <c r="G689" s="30"/>
      <c r="H689" s="30"/>
      <c r="J689" s="29"/>
      <c r="L689" s="30"/>
      <c r="M689" s="30"/>
      <c r="O689" s="32"/>
      <c r="P689" s="32"/>
      <c r="S689" s="32"/>
    </row>
    <row r="690">
      <c r="D690" s="29"/>
      <c r="F690" s="31"/>
      <c r="G690" s="30"/>
      <c r="H690" s="30"/>
      <c r="J690" s="29"/>
      <c r="L690" s="30"/>
      <c r="M690" s="30"/>
      <c r="O690" s="32"/>
      <c r="P690" s="32"/>
      <c r="S690" s="32"/>
    </row>
    <row r="691">
      <c r="D691" s="29"/>
      <c r="F691" s="31"/>
      <c r="G691" s="30"/>
      <c r="H691" s="30"/>
      <c r="J691" s="29"/>
      <c r="L691" s="30"/>
      <c r="M691" s="30"/>
      <c r="O691" s="32"/>
      <c r="P691" s="32"/>
      <c r="S691" s="32"/>
    </row>
    <row r="692">
      <c r="D692" s="29"/>
      <c r="F692" s="31"/>
      <c r="G692" s="30"/>
      <c r="H692" s="30"/>
      <c r="J692" s="29"/>
      <c r="L692" s="30"/>
      <c r="M692" s="30"/>
      <c r="O692" s="32"/>
      <c r="P692" s="32"/>
      <c r="S692" s="32"/>
    </row>
    <row r="693">
      <c r="D693" s="29"/>
      <c r="F693" s="31"/>
      <c r="G693" s="30"/>
      <c r="H693" s="30"/>
      <c r="J693" s="29"/>
      <c r="L693" s="30"/>
      <c r="M693" s="30"/>
      <c r="O693" s="32"/>
      <c r="P693" s="32"/>
      <c r="S693" s="32"/>
    </row>
    <row r="694">
      <c r="D694" s="29"/>
      <c r="F694" s="31"/>
      <c r="G694" s="30"/>
      <c r="H694" s="30"/>
      <c r="J694" s="29"/>
      <c r="L694" s="30"/>
      <c r="M694" s="30"/>
      <c r="O694" s="32"/>
      <c r="P694" s="32"/>
      <c r="S694" s="32"/>
    </row>
    <row r="695">
      <c r="D695" s="29"/>
      <c r="F695" s="31"/>
      <c r="G695" s="30"/>
      <c r="H695" s="30"/>
      <c r="J695" s="29"/>
      <c r="L695" s="30"/>
      <c r="M695" s="30"/>
      <c r="O695" s="32"/>
      <c r="P695" s="32"/>
      <c r="S695" s="32"/>
    </row>
    <row r="696">
      <c r="D696" s="29"/>
      <c r="F696" s="31"/>
      <c r="G696" s="30"/>
      <c r="H696" s="30"/>
      <c r="J696" s="29"/>
      <c r="L696" s="30"/>
      <c r="M696" s="30"/>
      <c r="O696" s="32"/>
      <c r="P696" s="32"/>
      <c r="S696" s="32"/>
    </row>
    <row r="697">
      <c r="D697" s="29"/>
      <c r="F697" s="31"/>
      <c r="G697" s="30"/>
      <c r="H697" s="30"/>
      <c r="J697" s="29"/>
      <c r="L697" s="30"/>
      <c r="M697" s="30"/>
      <c r="O697" s="32"/>
      <c r="P697" s="32"/>
      <c r="S697" s="32"/>
    </row>
    <row r="698">
      <c r="D698" s="29"/>
      <c r="F698" s="31"/>
      <c r="G698" s="30"/>
      <c r="H698" s="30"/>
      <c r="J698" s="29"/>
      <c r="L698" s="30"/>
      <c r="M698" s="30"/>
      <c r="O698" s="32"/>
      <c r="P698" s="32"/>
      <c r="S698" s="32"/>
    </row>
    <row r="699">
      <c r="D699" s="29"/>
      <c r="F699" s="31"/>
      <c r="G699" s="30"/>
      <c r="H699" s="30"/>
      <c r="J699" s="29"/>
      <c r="L699" s="30"/>
      <c r="M699" s="30"/>
      <c r="O699" s="32"/>
      <c r="P699" s="32"/>
      <c r="S699" s="32"/>
    </row>
    <row r="700">
      <c r="D700" s="29"/>
      <c r="F700" s="31"/>
      <c r="G700" s="30"/>
      <c r="H700" s="30"/>
      <c r="J700" s="29"/>
      <c r="L700" s="30"/>
      <c r="M700" s="30"/>
      <c r="O700" s="32"/>
      <c r="P700" s="32"/>
      <c r="S700" s="32"/>
    </row>
    <row r="701">
      <c r="D701" s="29"/>
      <c r="F701" s="31"/>
      <c r="G701" s="30"/>
      <c r="H701" s="30"/>
      <c r="J701" s="29"/>
      <c r="L701" s="30"/>
      <c r="M701" s="30"/>
      <c r="O701" s="32"/>
      <c r="P701" s="32"/>
      <c r="S701" s="32"/>
    </row>
    <row r="702">
      <c r="D702" s="29"/>
      <c r="F702" s="31"/>
      <c r="G702" s="30"/>
      <c r="H702" s="30"/>
      <c r="J702" s="29"/>
      <c r="L702" s="30"/>
      <c r="M702" s="30"/>
      <c r="O702" s="32"/>
      <c r="P702" s="32"/>
      <c r="S702" s="32"/>
    </row>
    <row r="703">
      <c r="D703" s="29"/>
      <c r="F703" s="31"/>
      <c r="G703" s="30"/>
      <c r="H703" s="30"/>
      <c r="J703" s="29"/>
      <c r="L703" s="30"/>
      <c r="M703" s="30"/>
      <c r="O703" s="32"/>
      <c r="P703" s="32"/>
      <c r="S703" s="32"/>
    </row>
    <row r="704">
      <c r="D704" s="29"/>
      <c r="F704" s="31"/>
      <c r="G704" s="30"/>
      <c r="H704" s="30"/>
      <c r="J704" s="29"/>
      <c r="L704" s="30"/>
      <c r="M704" s="30"/>
      <c r="O704" s="32"/>
      <c r="P704" s="32"/>
      <c r="S704" s="32"/>
    </row>
    <row r="705">
      <c r="D705" s="29"/>
      <c r="F705" s="31"/>
      <c r="G705" s="30"/>
      <c r="H705" s="30"/>
      <c r="J705" s="29"/>
      <c r="L705" s="30"/>
      <c r="M705" s="30"/>
      <c r="O705" s="32"/>
      <c r="P705" s="32"/>
      <c r="S705" s="32"/>
    </row>
    <row r="706">
      <c r="D706" s="29"/>
      <c r="F706" s="31"/>
      <c r="G706" s="30"/>
      <c r="H706" s="30"/>
      <c r="J706" s="29"/>
      <c r="L706" s="30"/>
      <c r="M706" s="30"/>
      <c r="O706" s="32"/>
      <c r="P706" s="32"/>
      <c r="S706" s="32"/>
    </row>
    <row r="707">
      <c r="D707" s="29"/>
      <c r="F707" s="31"/>
      <c r="G707" s="30"/>
      <c r="H707" s="30"/>
      <c r="J707" s="29"/>
      <c r="L707" s="30"/>
      <c r="M707" s="30"/>
      <c r="O707" s="32"/>
      <c r="P707" s="32"/>
      <c r="S707" s="32"/>
    </row>
    <row r="708">
      <c r="D708" s="29"/>
      <c r="F708" s="31"/>
      <c r="G708" s="30"/>
      <c r="H708" s="30"/>
      <c r="J708" s="29"/>
      <c r="L708" s="30"/>
      <c r="M708" s="30"/>
      <c r="O708" s="32"/>
      <c r="P708" s="32"/>
      <c r="S708" s="32"/>
    </row>
    <row r="709">
      <c r="D709" s="29"/>
      <c r="F709" s="31"/>
      <c r="G709" s="30"/>
      <c r="H709" s="30"/>
      <c r="J709" s="29"/>
      <c r="L709" s="30"/>
      <c r="M709" s="30"/>
      <c r="O709" s="32"/>
      <c r="P709" s="32"/>
      <c r="S709" s="32"/>
    </row>
    <row r="710">
      <c r="D710" s="29"/>
      <c r="F710" s="31"/>
      <c r="G710" s="30"/>
      <c r="H710" s="30"/>
      <c r="J710" s="29"/>
      <c r="L710" s="30"/>
      <c r="M710" s="30"/>
      <c r="O710" s="32"/>
      <c r="P710" s="32"/>
      <c r="S710" s="32"/>
    </row>
    <row r="711">
      <c r="D711" s="29"/>
      <c r="F711" s="31"/>
      <c r="G711" s="30"/>
      <c r="H711" s="30"/>
      <c r="J711" s="29"/>
      <c r="L711" s="30"/>
      <c r="M711" s="30"/>
      <c r="O711" s="32"/>
      <c r="P711" s="32"/>
      <c r="S711" s="32"/>
    </row>
    <row r="712">
      <c r="D712" s="29"/>
      <c r="F712" s="31"/>
      <c r="G712" s="30"/>
      <c r="H712" s="30"/>
      <c r="J712" s="29"/>
      <c r="L712" s="30"/>
      <c r="M712" s="30"/>
      <c r="O712" s="32"/>
      <c r="P712" s="32"/>
      <c r="S712" s="32"/>
    </row>
    <row r="713">
      <c r="D713" s="29"/>
      <c r="F713" s="31"/>
      <c r="G713" s="30"/>
      <c r="H713" s="30"/>
      <c r="J713" s="29"/>
      <c r="L713" s="30"/>
      <c r="M713" s="30"/>
      <c r="O713" s="32"/>
      <c r="P713" s="32"/>
      <c r="S713" s="32"/>
    </row>
    <row r="714">
      <c r="D714" s="29"/>
      <c r="F714" s="31"/>
      <c r="G714" s="30"/>
      <c r="H714" s="30"/>
      <c r="J714" s="29"/>
      <c r="L714" s="30"/>
      <c r="M714" s="30"/>
      <c r="O714" s="32"/>
      <c r="P714" s="32"/>
      <c r="S714" s="32"/>
    </row>
    <row r="715">
      <c r="D715" s="29"/>
      <c r="F715" s="31"/>
      <c r="G715" s="30"/>
      <c r="H715" s="30"/>
      <c r="J715" s="29"/>
      <c r="L715" s="30"/>
      <c r="M715" s="30"/>
      <c r="O715" s="32"/>
      <c r="P715" s="32"/>
      <c r="S715" s="32"/>
    </row>
    <row r="716">
      <c r="D716" s="29"/>
      <c r="F716" s="31"/>
      <c r="G716" s="30"/>
      <c r="H716" s="30"/>
      <c r="J716" s="29"/>
      <c r="L716" s="30"/>
      <c r="M716" s="30"/>
      <c r="O716" s="32"/>
      <c r="P716" s="32"/>
      <c r="S716" s="32"/>
    </row>
    <row r="717">
      <c r="D717" s="29"/>
      <c r="F717" s="31"/>
      <c r="G717" s="30"/>
      <c r="H717" s="30"/>
      <c r="J717" s="29"/>
      <c r="L717" s="30"/>
      <c r="M717" s="30"/>
      <c r="O717" s="32"/>
      <c r="P717" s="32"/>
      <c r="S717" s="32"/>
    </row>
    <row r="718">
      <c r="D718" s="29"/>
      <c r="F718" s="31"/>
      <c r="G718" s="30"/>
      <c r="H718" s="30"/>
      <c r="J718" s="29"/>
      <c r="L718" s="30"/>
      <c r="M718" s="30"/>
      <c r="O718" s="32"/>
      <c r="P718" s="32"/>
      <c r="S718" s="32"/>
    </row>
    <row r="719">
      <c r="D719" s="29"/>
      <c r="F719" s="31"/>
      <c r="G719" s="30"/>
      <c r="H719" s="30"/>
      <c r="J719" s="29"/>
      <c r="L719" s="30"/>
      <c r="M719" s="30"/>
      <c r="O719" s="32"/>
      <c r="P719" s="32"/>
      <c r="S719" s="32"/>
    </row>
    <row r="720">
      <c r="D720" s="29"/>
      <c r="F720" s="31"/>
      <c r="G720" s="30"/>
      <c r="H720" s="30"/>
      <c r="J720" s="29"/>
      <c r="L720" s="30"/>
      <c r="M720" s="30"/>
      <c r="O720" s="32"/>
      <c r="P720" s="32"/>
      <c r="S720" s="32"/>
    </row>
    <row r="721">
      <c r="D721" s="29"/>
      <c r="F721" s="31"/>
      <c r="G721" s="30"/>
      <c r="H721" s="30"/>
      <c r="J721" s="29"/>
      <c r="L721" s="30"/>
      <c r="M721" s="30"/>
      <c r="O721" s="32"/>
      <c r="P721" s="32"/>
      <c r="S721" s="32"/>
    </row>
    <row r="722">
      <c r="D722" s="29"/>
      <c r="F722" s="31"/>
      <c r="G722" s="30"/>
      <c r="H722" s="30"/>
      <c r="J722" s="29"/>
      <c r="L722" s="30"/>
      <c r="M722" s="30"/>
      <c r="O722" s="32"/>
      <c r="P722" s="32"/>
      <c r="S722" s="32"/>
    </row>
    <row r="723">
      <c r="D723" s="29"/>
      <c r="F723" s="31"/>
      <c r="G723" s="30"/>
      <c r="H723" s="30"/>
      <c r="J723" s="29"/>
      <c r="L723" s="30"/>
      <c r="M723" s="30"/>
      <c r="O723" s="32"/>
      <c r="P723" s="32"/>
      <c r="S723" s="32"/>
    </row>
    <row r="724">
      <c r="D724" s="29"/>
      <c r="F724" s="31"/>
      <c r="G724" s="30"/>
      <c r="H724" s="30"/>
      <c r="J724" s="29"/>
      <c r="L724" s="30"/>
      <c r="M724" s="30"/>
      <c r="O724" s="32"/>
      <c r="P724" s="32"/>
      <c r="S724" s="32"/>
    </row>
    <row r="725">
      <c r="D725" s="29"/>
      <c r="F725" s="31"/>
      <c r="G725" s="30"/>
      <c r="H725" s="30"/>
      <c r="J725" s="29"/>
      <c r="L725" s="30"/>
      <c r="M725" s="30"/>
      <c r="O725" s="32"/>
      <c r="P725" s="32"/>
      <c r="S725" s="32"/>
    </row>
    <row r="726">
      <c r="D726" s="29"/>
      <c r="F726" s="31"/>
      <c r="G726" s="30"/>
      <c r="H726" s="30"/>
      <c r="J726" s="29"/>
      <c r="L726" s="30"/>
      <c r="M726" s="30"/>
      <c r="O726" s="32"/>
      <c r="P726" s="32"/>
      <c r="S726" s="32"/>
    </row>
    <row r="727">
      <c r="D727" s="29"/>
      <c r="F727" s="31"/>
      <c r="G727" s="30"/>
      <c r="H727" s="30"/>
      <c r="J727" s="29"/>
      <c r="L727" s="30"/>
      <c r="M727" s="30"/>
      <c r="O727" s="32"/>
      <c r="P727" s="32"/>
      <c r="S727" s="32"/>
    </row>
    <row r="728">
      <c r="D728" s="29"/>
      <c r="F728" s="31"/>
      <c r="G728" s="30"/>
      <c r="H728" s="30"/>
      <c r="J728" s="29"/>
      <c r="L728" s="30"/>
      <c r="M728" s="30"/>
      <c r="O728" s="32"/>
      <c r="P728" s="32"/>
      <c r="S728" s="32"/>
    </row>
    <row r="729">
      <c r="D729" s="29"/>
      <c r="F729" s="31"/>
      <c r="G729" s="30"/>
      <c r="H729" s="30"/>
      <c r="J729" s="29"/>
      <c r="L729" s="30"/>
      <c r="M729" s="30"/>
      <c r="O729" s="32"/>
      <c r="P729" s="32"/>
      <c r="S729" s="32"/>
    </row>
    <row r="730">
      <c r="D730" s="29"/>
      <c r="F730" s="31"/>
      <c r="G730" s="30"/>
      <c r="H730" s="30"/>
      <c r="J730" s="29"/>
      <c r="L730" s="30"/>
      <c r="M730" s="30"/>
      <c r="O730" s="32"/>
      <c r="P730" s="32"/>
      <c r="S730" s="32"/>
    </row>
    <row r="731">
      <c r="D731" s="29"/>
      <c r="F731" s="31"/>
      <c r="G731" s="30"/>
      <c r="H731" s="30"/>
      <c r="J731" s="29"/>
      <c r="L731" s="30"/>
      <c r="M731" s="30"/>
      <c r="O731" s="32"/>
      <c r="P731" s="32"/>
      <c r="S731" s="32"/>
    </row>
    <row r="732">
      <c r="D732" s="29"/>
      <c r="F732" s="31"/>
      <c r="G732" s="30"/>
      <c r="H732" s="30"/>
      <c r="J732" s="29"/>
      <c r="L732" s="30"/>
      <c r="M732" s="30"/>
      <c r="O732" s="32"/>
      <c r="P732" s="32"/>
      <c r="S732" s="32"/>
    </row>
    <row r="733">
      <c r="D733" s="29"/>
      <c r="F733" s="31"/>
      <c r="G733" s="30"/>
      <c r="H733" s="30"/>
      <c r="J733" s="29"/>
      <c r="L733" s="30"/>
      <c r="M733" s="30"/>
      <c r="O733" s="32"/>
      <c r="P733" s="32"/>
      <c r="S733" s="32"/>
    </row>
    <row r="734">
      <c r="D734" s="29"/>
      <c r="F734" s="31"/>
      <c r="G734" s="30"/>
      <c r="H734" s="30"/>
      <c r="J734" s="29"/>
      <c r="L734" s="30"/>
      <c r="M734" s="30"/>
      <c r="O734" s="32"/>
      <c r="P734" s="32"/>
      <c r="S734" s="32"/>
    </row>
    <row r="735">
      <c r="D735" s="29"/>
      <c r="F735" s="31"/>
      <c r="G735" s="30"/>
      <c r="H735" s="30"/>
      <c r="J735" s="29"/>
      <c r="L735" s="30"/>
      <c r="M735" s="30"/>
      <c r="O735" s="32"/>
      <c r="P735" s="32"/>
      <c r="S735" s="32"/>
    </row>
    <row r="736">
      <c r="D736" s="29"/>
      <c r="F736" s="31"/>
      <c r="G736" s="30"/>
      <c r="H736" s="30"/>
      <c r="J736" s="29"/>
      <c r="L736" s="30"/>
      <c r="M736" s="30"/>
      <c r="O736" s="32"/>
      <c r="P736" s="32"/>
      <c r="S736" s="32"/>
    </row>
    <row r="737">
      <c r="D737" s="29"/>
      <c r="F737" s="31"/>
      <c r="G737" s="30"/>
      <c r="H737" s="30"/>
      <c r="J737" s="29"/>
      <c r="L737" s="30"/>
      <c r="M737" s="30"/>
      <c r="O737" s="32"/>
      <c r="P737" s="32"/>
      <c r="S737" s="32"/>
    </row>
    <row r="738">
      <c r="D738" s="29"/>
      <c r="F738" s="31"/>
      <c r="G738" s="30"/>
      <c r="H738" s="30"/>
      <c r="J738" s="29"/>
      <c r="L738" s="30"/>
      <c r="M738" s="30"/>
      <c r="O738" s="32"/>
      <c r="P738" s="32"/>
      <c r="S738" s="32"/>
    </row>
    <row r="739">
      <c r="D739" s="29"/>
      <c r="F739" s="31"/>
      <c r="G739" s="30"/>
      <c r="H739" s="30"/>
      <c r="J739" s="29"/>
      <c r="L739" s="30"/>
      <c r="M739" s="30"/>
      <c r="O739" s="32"/>
      <c r="P739" s="32"/>
      <c r="S739" s="32"/>
    </row>
    <row r="740">
      <c r="D740" s="29"/>
      <c r="F740" s="31"/>
      <c r="G740" s="30"/>
      <c r="H740" s="30"/>
      <c r="J740" s="29"/>
      <c r="L740" s="30"/>
      <c r="M740" s="30"/>
      <c r="O740" s="32"/>
      <c r="P740" s="32"/>
      <c r="S740" s="32"/>
    </row>
    <row r="741">
      <c r="D741" s="29"/>
      <c r="F741" s="31"/>
      <c r="G741" s="30"/>
      <c r="H741" s="30"/>
      <c r="J741" s="29"/>
      <c r="L741" s="30"/>
      <c r="M741" s="30"/>
      <c r="O741" s="32"/>
      <c r="P741" s="32"/>
      <c r="S741" s="32"/>
    </row>
    <row r="742">
      <c r="D742" s="29"/>
      <c r="F742" s="31"/>
      <c r="G742" s="30"/>
      <c r="H742" s="30"/>
      <c r="J742" s="29"/>
      <c r="L742" s="30"/>
      <c r="M742" s="30"/>
      <c r="O742" s="32"/>
      <c r="P742" s="32"/>
      <c r="S742" s="32"/>
    </row>
    <row r="743">
      <c r="D743" s="29"/>
      <c r="F743" s="31"/>
      <c r="G743" s="30"/>
      <c r="H743" s="30"/>
      <c r="J743" s="29"/>
      <c r="L743" s="30"/>
      <c r="M743" s="30"/>
      <c r="O743" s="32"/>
      <c r="P743" s="32"/>
      <c r="S743" s="32"/>
    </row>
    <row r="744">
      <c r="D744" s="29"/>
      <c r="F744" s="31"/>
      <c r="G744" s="30"/>
      <c r="H744" s="30"/>
      <c r="J744" s="29"/>
      <c r="L744" s="30"/>
      <c r="M744" s="30"/>
      <c r="O744" s="32"/>
      <c r="P744" s="32"/>
      <c r="S744" s="32"/>
    </row>
    <row r="745">
      <c r="D745" s="29"/>
      <c r="F745" s="31"/>
      <c r="G745" s="30"/>
      <c r="H745" s="30"/>
      <c r="J745" s="29"/>
      <c r="L745" s="30"/>
      <c r="M745" s="30"/>
      <c r="O745" s="32"/>
      <c r="P745" s="32"/>
      <c r="S745" s="32"/>
    </row>
    <row r="746">
      <c r="D746" s="29"/>
      <c r="F746" s="31"/>
      <c r="G746" s="30"/>
      <c r="H746" s="30"/>
      <c r="J746" s="29"/>
      <c r="L746" s="30"/>
      <c r="M746" s="30"/>
      <c r="O746" s="32"/>
      <c r="P746" s="32"/>
      <c r="S746" s="32"/>
    </row>
    <row r="747">
      <c r="D747" s="29"/>
      <c r="F747" s="31"/>
      <c r="G747" s="30"/>
      <c r="H747" s="30"/>
      <c r="J747" s="29"/>
      <c r="L747" s="30"/>
      <c r="M747" s="30"/>
      <c r="O747" s="32"/>
      <c r="P747" s="32"/>
      <c r="S747" s="32"/>
    </row>
    <row r="748">
      <c r="D748" s="29"/>
      <c r="F748" s="31"/>
      <c r="G748" s="30"/>
      <c r="H748" s="30"/>
      <c r="J748" s="29"/>
      <c r="L748" s="30"/>
      <c r="M748" s="30"/>
      <c r="O748" s="32"/>
      <c r="P748" s="32"/>
      <c r="S748" s="32"/>
    </row>
    <row r="749">
      <c r="D749" s="29"/>
      <c r="F749" s="31"/>
      <c r="G749" s="30"/>
      <c r="H749" s="30"/>
      <c r="J749" s="29"/>
      <c r="L749" s="30"/>
      <c r="M749" s="30"/>
      <c r="O749" s="32"/>
      <c r="P749" s="32"/>
      <c r="S749" s="32"/>
    </row>
    <row r="750">
      <c r="D750" s="29"/>
      <c r="F750" s="31"/>
      <c r="G750" s="30"/>
      <c r="H750" s="30"/>
      <c r="J750" s="29"/>
      <c r="L750" s="30"/>
      <c r="M750" s="30"/>
      <c r="O750" s="32"/>
      <c r="P750" s="32"/>
      <c r="S750" s="32"/>
    </row>
    <row r="751">
      <c r="D751" s="29"/>
      <c r="F751" s="31"/>
      <c r="G751" s="30"/>
      <c r="H751" s="30"/>
      <c r="J751" s="29"/>
      <c r="L751" s="30"/>
      <c r="M751" s="30"/>
      <c r="O751" s="32"/>
      <c r="P751" s="32"/>
      <c r="S751" s="32"/>
    </row>
    <row r="752">
      <c r="D752" s="29"/>
      <c r="F752" s="31"/>
      <c r="G752" s="30"/>
      <c r="H752" s="30"/>
      <c r="J752" s="29"/>
      <c r="L752" s="30"/>
      <c r="M752" s="30"/>
      <c r="O752" s="32"/>
      <c r="P752" s="32"/>
      <c r="S752" s="32"/>
    </row>
    <row r="753">
      <c r="D753" s="29"/>
      <c r="F753" s="31"/>
      <c r="G753" s="30"/>
      <c r="H753" s="30"/>
      <c r="J753" s="29"/>
      <c r="L753" s="30"/>
      <c r="M753" s="30"/>
      <c r="O753" s="32"/>
      <c r="P753" s="32"/>
      <c r="S753" s="32"/>
    </row>
    <row r="754">
      <c r="D754" s="29"/>
      <c r="F754" s="31"/>
      <c r="G754" s="30"/>
      <c r="H754" s="30"/>
      <c r="J754" s="29"/>
      <c r="L754" s="30"/>
      <c r="M754" s="30"/>
      <c r="O754" s="32"/>
      <c r="P754" s="32"/>
      <c r="S754" s="32"/>
    </row>
    <row r="755">
      <c r="D755" s="29"/>
      <c r="F755" s="31"/>
      <c r="G755" s="30"/>
      <c r="H755" s="30"/>
      <c r="J755" s="29"/>
      <c r="L755" s="30"/>
      <c r="M755" s="30"/>
      <c r="O755" s="32"/>
      <c r="P755" s="32"/>
      <c r="S755" s="32"/>
    </row>
    <row r="756">
      <c r="D756" s="29"/>
      <c r="F756" s="31"/>
      <c r="G756" s="30"/>
      <c r="H756" s="30"/>
      <c r="J756" s="29"/>
      <c r="L756" s="30"/>
      <c r="M756" s="30"/>
      <c r="O756" s="32"/>
      <c r="P756" s="32"/>
      <c r="S756" s="32"/>
    </row>
    <row r="757">
      <c r="D757" s="29"/>
      <c r="F757" s="31"/>
      <c r="G757" s="30"/>
      <c r="H757" s="30"/>
      <c r="J757" s="29"/>
      <c r="L757" s="30"/>
      <c r="M757" s="30"/>
      <c r="O757" s="32"/>
      <c r="P757" s="32"/>
      <c r="S757" s="32"/>
    </row>
    <row r="758">
      <c r="D758" s="29"/>
      <c r="F758" s="31"/>
      <c r="G758" s="30"/>
      <c r="H758" s="30"/>
      <c r="J758" s="29"/>
      <c r="L758" s="30"/>
      <c r="M758" s="30"/>
      <c r="O758" s="32"/>
      <c r="P758" s="32"/>
      <c r="S758" s="32"/>
    </row>
    <row r="759">
      <c r="D759" s="29"/>
      <c r="F759" s="31"/>
      <c r="G759" s="30"/>
      <c r="H759" s="30"/>
      <c r="J759" s="29"/>
      <c r="L759" s="30"/>
      <c r="M759" s="30"/>
      <c r="O759" s="32"/>
      <c r="P759" s="32"/>
      <c r="S759" s="32"/>
    </row>
    <row r="760">
      <c r="D760" s="29"/>
      <c r="F760" s="31"/>
      <c r="G760" s="30"/>
      <c r="H760" s="30"/>
      <c r="J760" s="29"/>
      <c r="L760" s="30"/>
      <c r="M760" s="30"/>
      <c r="O760" s="32"/>
      <c r="P760" s="32"/>
      <c r="S760" s="32"/>
    </row>
    <row r="761">
      <c r="D761" s="29"/>
      <c r="F761" s="31"/>
      <c r="G761" s="30"/>
      <c r="H761" s="30"/>
      <c r="J761" s="29"/>
      <c r="L761" s="30"/>
      <c r="M761" s="30"/>
      <c r="O761" s="32"/>
      <c r="P761" s="32"/>
      <c r="S761" s="32"/>
    </row>
    <row r="762">
      <c r="D762" s="29"/>
      <c r="F762" s="31"/>
      <c r="G762" s="30"/>
      <c r="H762" s="30"/>
      <c r="J762" s="29"/>
      <c r="L762" s="30"/>
      <c r="M762" s="30"/>
      <c r="O762" s="32"/>
      <c r="P762" s="32"/>
      <c r="S762" s="32"/>
    </row>
    <row r="763">
      <c r="D763" s="29"/>
      <c r="F763" s="31"/>
      <c r="G763" s="30"/>
      <c r="H763" s="30"/>
      <c r="J763" s="29"/>
      <c r="L763" s="30"/>
      <c r="M763" s="30"/>
      <c r="O763" s="32"/>
      <c r="P763" s="32"/>
      <c r="S763" s="32"/>
    </row>
    <row r="764">
      <c r="D764" s="29"/>
      <c r="F764" s="31"/>
      <c r="G764" s="30"/>
      <c r="H764" s="30"/>
      <c r="J764" s="29"/>
      <c r="L764" s="30"/>
      <c r="M764" s="30"/>
      <c r="O764" s="32"/>
      <c r="P764" s="32"/>
      <c r="S764" s="32"/>
    </row>
    <row r="765">
      <c r="D765" s="29"/>
      <c r="F765" s="31"/>
      <c r="G765" s="30"/>
      <c r="H765" s="30"/>
      <c r="J765" s="29"/>
      <c r="L765" s="30"/>
      <c r="M765" s="30"/>
      <c r="O765" s="32"/>
      <c r="P765" s="32"/>
      <c r="S765" s="32"/>
    </row>
    <row r="766">
      <c r="D766" s="29"/>
      <c r="F766" s="31"/>
      <c r="G766" s="30"/>
      <c r="H766" s="30"/>
      <c r="J766" s="29"/>
      <c r="L766" s="30"/>
      <c r="M766" s="30"/>
      <c r="O766" s="32"/>
      <c r="P766" s="32"/>
      <c r="S766" s="32"/>
    </row>
    <row r="767">
      <c r="D767" s="29"/>
      <c r="F767" s="31"/>
      <c r="G767" s="30"/>
      <c r="H767" s="30"/>
      <c r="J767" s="29"/>
      <c r="L767" s="30"/>
      <c r="M767" s="30"/>
      <c r="O767" s="32"/>
      <c r="P767" s="32"/>
      <c r="S767" s="32"/>
    </row>
    <row r="768">
      <c r="D768" s="29"/>
      <c r="F768" s="31"/>
      <c r="G768" s="30"/>
      <c r="H768" s="30"/>
      <c r="J768" s="29"/>
      <c r="L768" s="30"/>
      <c r="M768" s="30"/>
      <c r="O768" s="32"/>
      <c r="P768" s="32"/>
      <c r="S768" s="32"/>
    </row>
    <row r="769">
      <c r="D769" s="29"/>
      <c r="F769" s="31"/>
      <c r="G769" s="30"/>
      <c r="H769" s="30"/>
      <c r="J769" s="29"/>
      <c r="L769" s="30"/>
      <c r="M769" s="30"/>
      <c r="O769" s="32"/>
      <c r="P769" s="32"/>
      <c r="S769" s="32"/>
    </row>
    <row r="770">
      <c r="D770" s="29"/>
      <c r="F770" s="31"/>
      <c r="G770" s="30"/>
      <c r="H770" s="30"/>
      <c r="J770" s="29"/>
      <c r="L770" s="30"/>
      <c r="M770" s="30"/>
      <c r="O770" s="32"/>
      <c r="P770" s="32"/>
      <c r="S770" s="32"/>
    </row>
    <row r="771">
      <c r="D771" s="29"/>
      <c r="F771" s="31"/>
      <c r="G771" s="30"/>
      <c r="H771" s="30"/>
      <c r="J771" s="29"/>
      <c r="L771" s="30"/>
      <c r="M771" s="30"/>
      <c r="O771" s="32"/>
      <c r="P771" s="32"/>
      <c r="S771" s="32"/>
    </row>
    <row r="772">
      <c r="D772" s="29"/>
      <c r="F772" s="31"/>
      <c r="G772" s="30"/>
      <c r="H772" s="30"/>
      <c r="J772" s="29"/>
      <c r="L772" s="30"/>
      <c r="M772" s="30"/>
      <c r="O772" s="32"/>
      <c r="P772" s="32"/>
      <c r="S772" s="32"/>
    </row>
    <row r="773">
      <c r="D773" s="29"/>
      <c r="F773" s="31"/>
      <c r="G773" s="30"/>
      <c r="H773" s="30"/>
      <c r="J773" s="29"/>
      <c r="L773" s="30"/>
      <c r="M773" s="30"/>
      <c r="O773" s="32"/>
      <c r="P773" s="32"/>
      <c r="S773" s="32"/>
    </row>
    <row r="774">
      <c r="D774" s="29"/>
      <c r="F774" s="31"/>
      <c r="G774" s="30"/>
      <c r="H774" s="30"/>
      <c r="J774" s="29"/>
      <c r="L774" s="30"/>
      <c r="M774" s="30"/>
      <c r="O774" s="32"/>
      <c r="P774" s="32"/>
      <c r="S774" s="32"/>
    </row>
    <row r="775">
      <c r="D775" s="29"/>
      <c r="F775" s="31"/>
      <c r="G775" s="30"/>
      <c r="H775" s="30"/>
      <c r="J775" s="29"/>
      <c r="L775" s="30"/>
      <c r="M775" s="30"/>
      <c r="O775" s="32"/>
      <c r="P775" s="32"/>
      <c r="S775" s="32"/>
    </row>
    <row r="776">
      <c r="D776" s="29"/>
      <c r="F776" s="31"/>
      <c r="G776" s="30"/>
      <c r="H776" s="30"/>
      <c r="J776" s="29"/>
      <c r="L776" s="30"/>
      <c r="M776" s="30"/>
      <c r="O776" s="32"/>
      <c r="P776" s="32"/>
      <c r="S776" s="32"/>
    </row>
    <row r="777">
      <c r="D777" s="29"/>
      <c r="F777" s="31"/>
      <c r="G777" s="30"/>
      <c r="H777" s="30"/>
      <c r="J777" s="29"/>
      <c r="L777" s="30"/>
      <c r="M777" s="30"/>
      <c r="O777" s="32"/>
      <c r="P777" s="32"/>
      <c r="S777" s="32"/>
    </row>
    <row r="778">
      <c r="D778" s="29"/>
      <c r="F778" s="31"/>
      <c r="G778" s="30"/>
      <c r="H778" s="30"/>
      <c r="J778" s="29"/>
      <c r="L778" s="30"/>
      <c r="M778" s="30"/>
      <c r="O778" s="32"/>
      <c r="P778" s="32"/>
      <c r="S778" s="32"/>
    </row>
    <row r="779">
      <c r="D779" s="29"/>
      <c r="F779" s="31"/>
      <c r="G779" s="30"/>
      <c r="H779" s="30"/>
      <c r="J779" s="29"/>
      <c r="L779" s="30"/>
      <c r="M779" s="30"/>
      <c r="O779" s="32"/>
      <c r="P779" s="32"/>
      <c r="S779" s="32"/>
    </row>
    <row r="780">
      <c r="D780" s="29"/>
      <c r="F780" s="31"/>
      <c r="G780" s="30"/>
      <c r="H780" s="30"/>
      <c r="J780" s="29"/>
      <c r="L780" s="30"/>
      <c r="M780" s="30"/>
      <c r="O780" s="32"/>
      <c r="P780" s="32"/>
      <c r="S780" s="32"/>
    </row>
    <row r="781">
      <c r="D781" s="29"/>
      <c r="F781" s="31"/>
      <c r="G781" s="30"/>
      <c r="H781" s="30"/>
      <c r="J781" s="29"/>
      <c r="L781" s="30"/>
      <c r="M781" s="30"/>
      <c r="O781" s="32"/>
      <c r="P781" s="32"/>
      <c r="S781" s="32"/>
    </row>
    <row r="782">
      <c r="D782" s="29"/>
      <c r="F782" s="31"/>
      <c r="G782" s="30"/>
      <c r="H782" s="30"/>
      <c r="J782" s="29"/>
      <c r="L782" s="30"/>
      <c r="M782" s="30"/>
      <c r="O782" s="32"/>
      <c r="P782" s="32"/>
      <c r="S782" s="32"/>
    </row>
    <row r="783">
      <c r="D783" s="29"/>
      <c r="F783" s="31"/>
      <c r="G783" s="30"/>
      <c r="H783" s="30"/>
      <c r="J783" s="29"/>
      <c r="L783" s="30"/>
      <c r="M783" s="30"/>
      <c r="O783" s="32"/>
      <c r="P783" s="32"/>
      <c r="S783" s="32"/>
    </row>
    <row r="784">
      <c r="D784" s="29"/>
      <c r="F784" s="31"/>
      <c r="G784" s="30"/>
      <c r="H784" s="30"/>
      <c r="J784" s="29"/>
      <c r="L784" s="30"/>
      <c r="M784" s="30"/>
      <c r="O784" s="32"/>
      <c r="P784" s="32"/>
      <c r="S784" s="32"/>
    </row>
    <row r="785">
      <c r="D785" s="29"/>
      <c r="F785" s="31"/>
      <c r="G785" s="30"/>
      <c r="H785" s="30"/>
      <c r="J785" s="29"/>
      <c r="L785" s="30"/>
      <c r="M785" s="30"/>
      <c r="O785" s="32"/>
      <c r="P785" s="32"/>
      <c r="S785" s="32"/>
    </row>
    <row r="786">
      <c r="D786" s="29"/>
      <c r="F786" s="31"/>
      <c r="G786" s="30"/>
      <c r="H786" s="30"/>
      <c r="J786" s="29"/>
      <c r="L786" s="30"/>
      <c r="M786" s="30"/>
      <c r="O786" s="32"/>
      <c r="P786" s="32"/>
      <c r="S786" s="32"/>
    </row>
    <row r="787">
      <c r="D787" s="29"/>
      <c r="F787" s="31"/>
      <c r="G787" s="30"/>
      <c r="H787" s="30"/>
      <c r="J787" s="29"/>
      <c r="L787" s="30"/>
      <c r="M787" s="30"/>
      <c r="O787" s="32"/>
      <c r="P787" s="32"/>
      <c r="S787" s="32"/>
    </row>
    <row r="788">
      <c r="D788" s="29"/>
      <c r="F788" s="31"/>
      <c r="G788" s="30"/>
      <c r="H788" s="30"/>
      <c r="J788" s="29"/>
      <c r="L788" s="30"/>
      <c r="M788" s="30"/>
      <c r="O788" s="32"/>
      <c r="P788" s="32"/>
      <c r="S788" s="32"/>
    </row>
    <row r="789">
      <c r="D789" s="29"/>
      <c r="F789" s="31"/>
      <c r="G789" s="30"/>
      <c r="H789" s="30"/>
      <c r="J789" s="29"/>
      <c r="L789" s="30"/>
      <c r="M789" s="30"/>
      <c r="O789" s="32"/>
      <c r="P789" s="32"/>
      <c r="S789" s="32"/>
    </row>
    <row r="790">
      <c r="D790" s="29"/>
      <c r="F790" s="31"/>
      <c r="G790" s="30"/>
      <c r="H790" s="30"/>
      <c r="J790" s="29"/>
      <c r="L790" s="30"/>
      <c r="M790" s="30"/>
      <c r="O790" s="32"/>
      <c r="P790" s="32"/>
      <c r="S790" s="32"/>
    </row>
    <row r="791">
      <c r="D791" s="29"/>
      <c r="F791" s="31"/>
      <c r="G791" s="30"/>
      <c r="H791" s="30"/>
      <c r="J791" s="29"/>
      <c r="L791" s="30"/>
      <c r="M791" s="30"/>
      <c r="O791" s="32"/>
      <c r="P791" s="32"/>
      <c r="S791" s="32"/>
    </row>
    <row r="792">
      <c r="D792" s="29"/>
      <c r="F792" s="31"/>
      <c r="G792" s="30"/>
      <c r="H792" s="30"/>
      <c r="J792" s="29"/>
      <c r="L792" s="30"/>
      <c r="M792" s="30"/>
      <c r="O792" s="32"/>
      <c r="P792" s="32"/>
      <c r="S792" s="32"/>
    </row>
    <row r="793">
      <c r="D793" s="29"/>
      <c r="F793" s="31"/>
      <c r="G793" s="30"/>
      <c r="H793" s="30"/>
      <c r="J793" s="29"/>
      <c r="L793" s="30"/>
      <c r="M793" s="30"/>
      <c r="O793" s="32"/>
      <c r="P793" s="32"/>
      <c r="S793" s="32"/>
    </row>
    <row r="794">
      <c r="D794" s="29"/>
      <c r="F794" s="31"/>
      <c r="G794" s="30"/>
      <c r="H794" s="30"/>
      <c r="J794" s="29"/>
      <c r="L794" s="30"/>
      <c r="M794" s="30"/>
      <c r="O794" s="32"/>
      <c r="P794" s="32"/>
      <c r="S794" s="32"/>
    </row>
    <row r="795">
      <c r="D795" s="29"/>
      <c r="F795" s="31"/>
      <c r="G795" s="30"/>
      <c r="H795" s="30"/>
      <c r="J795" s="29"/>
      <c r="L795" s="30"/>
      <c r="M795" s="30"/>
      <c r="O795" s="32"/>
      <c r="P795" s="32"/>
      <c r="S795" s="32"/>
    </row>
    <row r="796">
      <c r="D796" s="29"/>
      <c r="F796" s="31"/>
      <c r="G796" s="30"/>
      <c r="H796" s="30"/>
      <c r="J796" s="29"/>
      <c r="L796" s="30"/>
      <c r="M796" s="30"/>
      <c r="O796" s="32"/>
      <c r="P796" s="32"/>
      <c r="S796" s="32"/>
    </row>
    <row r="797">
      <c r="D797" s="29"/>
      <c r="F797" s="31"/>
      <c r="G797" s="30"/>
      <c r="H797" s="30"/>
      <c r="J797" s="29"/>
      <c r="L797" s="30"/>
      <c r="M797" s="30"/>
      <c r="O797" s="32"/>
      <c r="P797" s="32"/>
      <c r="S797" s="32"/>
    </row>
    <row r="798">
      <c r="D798" s="29"/>
      <c r="F798" s="31"/>
      <c r="G798" s="30"/>
      <c r="H798" s="30"/>
      <c r="J798" s="29"/>
      <c r="L798" s="30"/>
      <c r="M798" s="30"/>
      <c r="O798" s="32"/>
      <c r="P798" s="32"/>
      <c r="S798" s="32"/>
    </row>
    <row r="799">
      <c r="D799" s="29"/>
      <c r="F799" s="31"/>
      <c r="G799" s="30"/>
      <c r="H799" s="30"/>
      <c r="J799" s="29"/>
      <c r="L799" s="30"/>
      <c r="M799" s="30"/>
      <c r="O799" s="32"/>
      <c r="P799" s="32"/>
      <c r="S799" s="32"/>
    </row>
    <row r="800">
      <c r="D800" s="29"/>
      <c r="F800" s="31"/>
      <c r="G800" s="30"/>
      <c r="H800" s="30"/>
      <c r="J800" s="29"/>
      <c r="L800" s="30"/>
      <c r="M800" s="30"/>
      <c r="O800" s="32"/>
      <c r="P800" s="32"/>
      <c r="S800" s="32"/>
    </row>
    <row r="801">
      <c r="D801" s="29"/>
      <c r="F801" s="31"/>
      <c r="G801" s="30"/>
      <c r="H801" s="30"/>
      <c r="J801" s="29"/>
      <c r="L801" s="30"/>
      <c r="M801" s="30"/>
      <c r="O801" s="32"/>
      <c r="P801" s="32"/>
      <c r="S801" s="32"/>
    </row>
    <row r="802">
      <c r="D802" s="29"/>
      <c r="F802" s="31"/>
      <c r="G802" s="30"/>
      <c r="H802" s="30"/>
      <c r="J802" s="29"/>
      <c r="L802" s="30"/>
      <c r="M802" s="30"/>
      <c r="O802" s="32"/>
      <c r="P802" s="32"/>
      <c r="S802" s="32"/>
    </row>
    <row r="803">
      <c r="D803" s="29"/>
      <c r="F803" s="31"/>
      <c r="G803" s="30"/>
      <c r="H803" s="30"/>
      <c r="J803" s="29"/>
      <c r="L803" s="30"/>
      <c r="M803" s="30"/>
      <c r="O803" s="32"/>
      <c r="P803" s="32"/>
      <c r="S803" s="32"/>
    </row>
    <row r="804">
      <c r="D804" s="29"/>
      <c r="F804" s="31"/>
      <c r="G804" s="30"/>
      <c r="H804" s="30"/>
      <c r="J804" s="29"/>
      <c r="L804" s="30"/>
      <c r="M804" s="30"/>
      <c r="O804" s="32"/>
      <c r="P804" s="32"/>
      <c r="S804" s="32"/>
    </row>
    <row r="805">
      <c r="D805" s="29"/>
      <c r="F805" s="31"/>
      <c r="G805" s="30"/>
      <c r="H805" s="30"/>
      <c r="J805" s="29"/>
      <c r="L805" s="30"/>
      <c r="M805" s="30"/>
      <c r="O805" s="32"/>
      <c r="P805" s="32"/>
      <c r="S805" s="32"/>
    </row>
    <row r="806">
      <c r="D806" s="29"/>
      <c r="F806" s="31"/>
      <c r="G806" s="30"/>
      <c r="H806" s="30"/>
      <c r="J806" s="29"/>
      <c r="L806" s="30"/>
      <c r="M806" s="30"/>
      <c r="O806" s="32"/>
      <c r="P806" s="32"/>
      <c r="S806" s="32"/>
    </row>
    <row r="807">
      <c r="D807" s="29"/>
      <c r="F807" s="31"/>
      <c r="G807" s="30"/>
      <c r="H807" s="30"/>
      <c r="J807" s="29"/>
      <c r="L807" s="30"/>
      <c r="M807" s="30"/>
      <c r="O807" s="32"/>
      <c r="P807" s="32"/>
      <c r="S807" s="32"/>
    </row>
    <row r="808">
      <c r="D808" s="29"/>
      <c r="F808" s="31"/>
      <c r="G808" s="30"/>
      <c r="H808" s="30"/>
      <c r="J808" s="29"/>
      <c r="L808" s="30"/>
      <c r="M808" s="30"/>
      <c r="O808" s="32"/>
      <c r="P808" s="32"/>
      <c r="S808" s="32"/>
    </row>
    <row r="809">
      <c r="D809" s="29"/>
      <c r="F809" s="31"/>
      <c r="G809" s="30"/>
      <c r="H809" s="30"/>
      <c r="J809" s="29"/>
      <c r="L809" s="30"/>
      <c r="M809" s="30"/>
      <c r="O809" s="32"/>
      <c r="P809" s="32"/>
      <c r="S809" s="32"/>
    </row>
    <row r="810">
      <c r="D810" s="29"/>
      <c r="F810" s="31"/>
      <c r="G810" s="30"/>
      <c r="H810" s="30"/>
      <c r="J810" s="29"/>
      <c r="L810" s="30"/>
      <c r="M810" s="30"/>
      <c r="O810" s="32"/>
      <c r="P810" s="32"/>
      <c r="S810" s="32"/>
    </row>
    <row r="811">
      <c r="D811" s="29"/>
      <c r="F811" s="31"/>
      <c r="G811" s="30"/>
      <c r="H811" s="30"/>
      <c r="J811" s="29"/>
      <c r="L811" s="30"/>
      <c r="M811" s="30"/>
      <c r="O811" s="32"/>
      <c r="P811" s="32"/>
      <c r="S811" s="32"/>
    </row>
    <row r="812">
      <c r="D812" s="29"/>
      <c r="F812" s="31"/>
      <c r="G812" s="30"/>
      <c r="H812" s="30"/>
      <c r="J812" s="29"/>
      <c r="L812" s="30"/>
      <c r="M812" s="30"/>
      <c r="O812" s="32"/>
      <c r="P812" s="32"/>
      <c r="S812" s="32"/>
    </row>
    <row r="813">
      <c r="D813" s="29"/>
      <c r="F813" s="31"/>
      <c r="G813" s="30"/>
      <c r="H813" s="30"/>
      <c r="J813" s="29"/>
      <c r="L813" s="30"/>
      <c r="M813" s="30"/>
      <c r="O813" s="32"/>
      <c r="P813" s="32"/>
      <c r="S813" s="32"/>
    </row>
    <row r="814">
      <c r="D814" s="29"/>
      <c r="F814" s="31"/>
      <c r="G814" s="30"/>
      <c r="H814" s="30"/>
      <c r="J814" s="29"/>
      <c r="L814" s="30"/>
      <c r="M814" s="30"/>
      <c r="O814" s="32"/>
      <c r="P814" s="32"/>
      <c r="S814" s="32"/>
    </row>
    <row r="815">
      <c r="D815" s="29"/>
      <c r="F815" s="31"/>
      <c r="G815" s="30"/>
      <c r="H815" s="30"/>
      <c r="J815" s="29"/>
      <c r="L815" s="30"/>
      <c r="M815" s="30"/>
      <c r="O815" s="32"/>
      <c r="P815" s="32"/>
      <c r="S815" s="32"/>
    </row>
    <row r="816">
      <c r="D816" s="29"/>
      <c r="F816" s="31"/>
      <c r="G816" s="30"/>
      <c r="H816" s="30"/>
      <c r="J816" s="29"/>
      <c r="L816" s="30"/>
      <c r="M816" s="30"/>
      <c r="O816" s="32"/>
      <c r="P816" s="32"/>
      <c r="S816" s="32"/>
    </row>
    <row r="817">
      <c r="D817" s="29"/>
      <c r="F817" s="31"/>
      <c r="G817" s="30"/>
      <c r="H817" s="30"/>
      <c r="J817" s="29"/>
      <c r="L817" s="30"/>
      <c r="M817" s="30"/>
      <c r="O817" s="32"/>
      <c r="P817" s="32"/>
      <c r="S817" s="32"/>
    </row>
    <row r="818">
      <c r="D818" s="29"/>
      <c r="F818" s="31"/>
      <c r="G818" s="30"/>
      <c r="H818" s="30"/>
      <c r="J818" s="29"/>
      <c r="L818" s="30"/>
      <c r="M818" s="30"/>
      <c r="O818" s="32"/>
      <c r="P818" s="32"/>
      <c r="S818" s="32"/>
    </row>
    <row r="819">
      <c r="D819" s="29"/>
      <c r="F819" s="31"/>
      <c r="G819" s="30"/>
      <c r="H819" s="30"/>
      <c r="J819" s="29"/>
      <c r="L819" s="30"/>
      <c r="M819" s="30"/>
      <c r="O819" s="32"/>
      <c r="P819" s="32"/>
      <c r="S819" s="32"/>
    </row>
    <row r="820">
      <c r="D820" s="29"/>
      <c r="F820" s="31"/>
      <c r="G820" s="30"/>
      <c r="H820" s="30"/>
      <c r="J820" s="29"/>
      <c r="L820" s="30"/>
      <c r="M820" s="30"/>
      <c r="O820" s="32"/>
      <c r="P820" s="32"/>
      <c r="S820" s="32"/>
    </row>
    <row r="821">
      <c r="D821" s="29"/>
      <c r="F821" s="31"/>
      <c r="G821" s="30"/>
      <c r="H821" s="30"/>
      <c r="J821" s="29"/>
      <c r="L821" s="30"/>
      <c r="M821" s="30"/>
      <c r="O821" s="32"/>
      <c r="P821" s="32"/>
      <c r="S821" s="32"/>
    </row>
    <row r="822">
      <c r="D822" s="29"/>
      <c r="F822" s="31"/>
      <c r="G822" s="30"/>
      <c r="H822" s="30"/>
      <c r="J822" s="29"/>
      <c r="L822" s="30"/>
      <c r="M822" s="30"/>
      <c r="O822" s="32"/>
      <c r="P822" s="32"/>
      <c r="S822" s="32"/>
    </row>
    <row r="823">
      <c r="D823" s="29"/>
      <c r="F823" s="31"/>
      <c r="G823" s="30"/>
      <c r="H823" s="30"/>
      <c r="J823" s="29"/>
      <c r="L823" s="30"/>
      <c r="M823" s="30"/>
      <c r="O823" s="32"/>
      <c r="P823" s="32"/>
      <c r="S823" s="32"/>
    </row>
    <row r="824">
      <c r="D824" s="29"/>
      <c r="F824" s="31"/>
      <c r="G824" s="30"/>
      <c r="H824" s="30"/>
      <c r="J824" s="29"/>
      <c r="L824" s="30"/>
      <c r="M824" s="30"/>
      <c r="O824" s="32"/>
      <c r="P824" s="32"/>
      <c r="S824" s="32"/>
    </row>
    <row r="825">
      <c r="D825" s="29"/>
      <c r="F825" s="31"/>
      <c r="G825" s="30"/>
      <c r="H825" s="30"/>
      <c r="J825" s="29"/>
      <c r="L825" s="30"/>
      <c r="M825" s="30"/>
      <c r="O825" s="32"/>
      <c r="P825" s="32"/>
      <c r="S825" s="32"/>
    </row>
    <row r="826">
      <c r="D826" s="29"/>
      <c r="F826" s="31"/>
      <c r="G826" s="30"/>
      <c r="H826" s="30"/>
      <c r="J826" s="29"/>
      <c r="L826" s="30"/>
      <c r="M826" s="30"/>
      <c r="O826" s="32"/>
      <c r="P826" s="32"/>
      <c r="S826" s="32"/>
    </row>
    <row r="827">
      <c r="D827" s="29"/>
      <c r="F827" s="31"/>
      <c r="G827" s="30"/>
      <c r="H827" s="30"/>
      <c r="J827" s="29"/>
      <c r="L827" s="30"/>
      <c r="M827" s="30"/>
      <c r="O827" s="32"/>
      <c r="P827" s="32"/>
      <c r="S827" s="32"/>
    </row>
    <row r="828">
      <c r="D828" s="29"/>
      <c r="F828" s="31"/>
      <c r="G828" s="30"/>
      <c r="H828" s="30"/>
      <c r="J828" s="29"/>
      <c r="L828" s="30"/>
      <c r="M828" s="30"/>
      <c r="O828" s="32"/>
      <c r="P828" s="32"/>
      <c r="S828" s="32"/>
    </row>
    <row r="829">
      <c r="D829" s="29"/>
      <c r="F829" s="31"/>
      <c r="G829" s="30"/>
      <c r="H829" s="30"/>
      <c r="J829" s="29"/>
      <c r="L829" s="30"/>
      <c r="M829" s="30"/>
      <c r="O829" s="32"/>
      <c r="P829" s="32"/>
      <c r="S829" s="32"/>
    </row>
    <row r="830">
      <c r="D830" s="29"/>
      <c r="F830" s="31"/>
      <c r="G830" s="30"/>
      <c r="H830" s="30"/>
      <c r="J830" s="29"/>
      <c r="L830" s="30"/>
      <c r="M830" s="30"/>
      <c r="O830" s="32"/>
      <c r="P830" s="32"/>
      <c r="S830" s="32"/>
    </row>
    <row r="831">
      <c r="D831" s="29"/>
      <c r="F831" s="31"/>
      <c r="G831" s="30"/>
      <c r="H831" s="30"/>
      <c r="J831" s="29"/>
      <c r="L831" s="30"/>
      <c r="M831" s="30"/>
      <c r="O831" s="32"/>
      <c r="P831" s="32"/>
      <c r="S831" s="32"/>
    </row>
    <row r="832">
      <c r="D832" s="29"/>
      <c r="F832" s="31"/>
      <c r="G832" s="30"/>
      <c r="H832" s="30"/>
      <c r="J832" s="29"/>
      <c r="L832" s="30"/>
      <c r="M832" s="30"/>
      <c r="O832" s="32"/>
      <c r="P832" s="32"/>
      <c r="S832" s="32"/>
    </row>
    <row r="833">
      <c r="D833" s="29"/>
      <c r="F833" s="31"/>
      <c r="G833" s="30"/>
      <c r="H833" s="30"/>
      <c r="J833" s="29"/>
      <c r="L833" s="30"/>
      <c r="M833" s="30"/>
      <c r="O833" s="32"/>
      <c r="P833" s="32"/>
      <c r="S833" s="32"/>
    </row>
    <row r="834">
      <c r="D834" s="29"/>
      <c r="F834" s="31"/>
      <c r="G834" s="30"/>
      <c r="H834" s="30"/>
      <c r="J834" s="29"/>
      <c r="L834" s="30"/>
      <c r="M834" s="30"/>
      <c r="O834" s="32"/>
      <c r="P834" s="32"/>
      <c r="S834" s="32"/>
    </row>
    <row r="835">
      <c r="D835" s="29"/>
      <c r="F835" s="31"/>
      <c r="G835" s="30"/>
      <c r="H835" s="30"/>
      <c r="J835" s="29"/>
      <c r="L835" s="30"/>
      <c r="M835" s="30"/>
      <c r="O835" s="32"/>
      <c r="P835" s="32"/>
      <c r="S835" s="32"/>
    </row>
    <row r="836">
      <c r="D836" s="29"/>
      <c r="F836" s="31"/>
      <c r="G836" s="30"/>
      <c r="H836" s="30"/>
      <c r="J836" s="29"/>
      <c r="L836" s="30"/>
      <c r="M836" s="30"/>
      <c r="O836" s="32"/>
      <c r="P836" s="32"/>
      <c r="S836" s="32"/>
    </row>
    <row r="837">
      <c r="D837" s="29"/>
      <c r="F837" s="31"/>
      <c r="G837" s="30"/>
      <c r="H837" s="30"/>
      <c r="J837" s="29"/>
      <c r="L837" s="30"/>
      <c r="M837" s="30"/>
      <c r="O837" s="32"/>
      <c r="P837" s="32"/>
      <c r="S837" s="32"/>
    </row>
    <row r="838">
      <c r="D838" s="29"/>
      <c r="F838" s="31"/>
      <c r="G838" s="30"/>
      <c r="H838" s="30"/>
      <c r="J838" s="29"/>
      <c r="L838" s="30"/>
      <c r="M838" s="30"/>
      <c r="O838" s="32"/>
      <c r="P838" s="32"/>
      <c r="S838" s="32"/>
    </row>
    <row r="839">
      <c r="D839" s="29"/>
      <c r="F839" s="31"/>
      <c r="G839" s="30"/>
      <c r="H839" s="30"/>
      <c r="J839" s="29"/>
      <c r="L839" s="30"/>
      <c r="M839" s="30"/>
      <c r="O839" s="32"/>
      <c r="P839" s="32"/>
      <c r="S839" s="32"/>
    </row>
    <row r="840">
      <c r="D840" s="29"/>
      <c r="F840" s="31"/>
      <c r="G840" s="30"/>
      <c r="H840" s="30"/>
      <c r="J840" s="29"/>
      <c r="L840" s="30"/>
      <c r="M840" s="30"/>
      <c r="O840" s="32"/>
      <c r="P840" s="32"/>
      <c r="S840" s="32"/>
    </row>
    <row r="841">
      <c r="D841" s="29"/>
      <c r="F841" s="31"/>
      <c r="G841" s="30"/>
      <c r="H841" s="30"/>
      <c r="J841" s="29"/>
      <c r="L841" s="30"/>
      <c r="M841" s="30"/>
      <c r="O841" s="32"/>
      <c r="P841" s="32"/>
      <c r="S841" s="32"/>
    </row>
    <row r="842">
      <c r="D842" s="29"/>
      <c r="F842" s="31"/>
      <c r="G842" s="30"/>
      <c r="H842" s="30"/>
      <c r="J842" s="29"/>
      <c r="L842" s="30"/>
      <c r="M842" s="30"/>
      <c r="O842" s="32"/>
      <c r="P842" s="32"/>
      <c r="S842" s="32"/>
    </row>
    <row r="843">
      <c r="D843" s="29"/>
      <c r="F843" s="31"/>
      <c r="G843" s="30"/>
      <c r="H843" s="30"/>
      <c r="J843" s="29"/>
      <c r="L843" s="30"/>
      <c r="M843" s="30"/>
      <c r="O843" s="32"/>
      <c r="P843" s="32"/>
      <c r="S843" s="32"/>
    </row>
    <row r="844">
      <c r="D844" s="29"/>
      <c r="F844" s="31"/>
      <c r="G844" s="30"/>
      <c r="H844" s="30"/>
      <c r="J844" s="29"/>
      <c r="L844" s="30"/>
      <c r="M844" s="30"/>
      <c r="O844" s="32"/>
      <c r="P844" s="32"/>
      <c r="S844" s="32"/>
    </row>
    <row r="845">
      <c r="D845" s="29"/>
      <c r="F845" s="31"/>
      <c r="G845" s="30"/>
      <c r="H845" s="30"/>
      <c r="J845" s="29"/>
      <c r="L845" s="30"/>
      <c r="M845" s="30"/>
      <c r="O845" s="32"/>
      <c r="P845" s="32"/>
      <c r="S845" s="32"/>
    </row>
    <row r="846">
      <c r="D846" s="29"/>
      <c r="F846" s="31"/>
      <c r="G846" s="30"/>
      <c r="H846" s="30"/>
      <c r="J846" s="29"/>
      <c r="L846" s="30"/>
      <c r="M846" s="30"/>
      <c r="O846" s="32"/>
      <c r="P846" s="32"/>
      <c r="S846" s="32"/>
    </row>
    <row r="847">
      <c r="D847" s="29"/>
      <c r="F847" s="31"/>
      <c r="G847" s="30"/>
      <c r="H847" s="30"/>
      <c r="J847" s="29"/>
      <c r="L847" s="30"/>
      <c r="M847" s="30"/>
      <c r="O847" s="32"/>
      <c r="P847" s="32"/>
      <c r="S847" s="32"/>
    </row>
    <row r="848">
      <c r="D848" s="29"/>
      <c r="F848" s="31"/>
      <c r="G848" s="30"/>
      <c r="H848" s="30"/>
      <c r="J848" s="29"/>
      <c r="L848" s="30"/>
      <c r="M848" s="30"/>
      <c r="O848" s="32"/>
      <c r="P848" s="32"/>
      <c r="S848" s="32"/>
    </row>
    <row r="849">
      <c r="D849" s="29"/>
      <c r="F849" s="31"/>
      <c r="G849" s="30"/>
      <c r="H849" s="30"/>
      <c r="J849" s="29"/>
      <c r="L849" s="30"/>
      <c r="M849" s="30"/>
      <c r="O849" s="32"/>
      <c r="P849" s="32"/>
      <c r="S849" s="32"/>
    </row>
    <row r="850">
      <c r="D850" s="29"/>
      <c r="F850" s="31"/>
      <c r="G850" s="30"/>
      <c r="H850" s="30"/>
      <c r="J850" s="29"/>
      <c r="L850" s="30"/>
      <c r="M850" s="30"/>
      <c r="O850" s="32"/>
      <c r="P850" s="32"/>
      <c r="S850" s="32"/>
    </row>
    <row r="851">
      <c r="D851" s="29"/>
      <c r="F851" s="31"/>
      <c r="G851" s="30"/>
      <c r="H851" s="30"/>
      <c r="J851" s="29"/>
      <c r="L851" s="30"/>
      <c r="M851" s="30"/>
      <c r="O851" s="32"/>
      <c r="P851" s="32"/>
      <c r="S851" s="32"/>
    </row>
    <row r="852">
      <c r="D852" s="29"/>
      <c r="F852" s="31"/>
      <c r="G852" s="30"/>
      <c r="H852" s="30"/>
      <c r="J852" s="29"/>
      <c r="L852" s="30"/>
      <c r="M852" s="30"/>
      <c r="O852" s="32"/>
      <c r="P852" s="32"/>
      <c r="S852" s="32"/>
    </row>
    <row r="853">
      <c r="D853" s="29"/>
      <c r="F853" s="31"/>
      <c r="G853" s="30"/>
      <c r="H853" s="30"/>
      <c r="J853" s="29"/>
      <c r="L853" s="30"/>
      <c r="M853" s="30"/>
      <c r="O853" s="32"/>
      <c r="P853" s="32"/>
      <c r="S853" s="32"/>
    </row>
    <row r="854">
      <c r="D854" s="29"/>
      <c r="F854" s="31"/>
      <c r="G854" s="30"/>
      <c r="H854" s="30"/>
      <c r="J854" s="29"/>
      <c r="L854" s="30"/>
      <c r="M854" s="30"/>
      <c r="O854" s="32"/>
      <c r="P854" s="32"/>
      <c r="S854" s="32"/>
    </row>
    <row r="855">
      <c r="D855" s="29"/>
      <c r="F855" s="31"/>
      <c r="G855" s="30"/>
      <c r="H855" s="30"/>
      <c r="J855" s="29"/>
      <c r="L855" s="30"/>
      <c r="M855" s="30"/>
      <c r="O855" s="32"/>
      <c r="P855" s="32"/>
      <c r="S855" s="32"/>
    </row>
    <row r="856">
      <c r="D856" s="29"/>
      <c r="F856" s="31"/>
      <c r="G856" s="30"/>
      <c r="H856" s="30"/>
      <c r="J856" s="29"/>
      <c r="L856" s="30"/>
      <c r="M856" s="30"/>
      <c r="O856" s="32"/>
      <c r="P856" s="32"/>
      <c r="S856" s="32"/>
    </row>
    <row r="857">
      <c r="D857" s="29"/>
      <c r="F857" s="31"/>
      <c r="G857" s="30"/>
      <c r="H857" s="30"/>
      <c r="J857" s="29"/>
      <c r="L857" s="30"/>
      <c r="M857" s="30"/>
      <c r="O857" s="32"/>
      <c r="P857" s="32"/>
      <c r="S857" s="32"/>
    </row>
    <row r="858">
      <c r="D858" s="29"/>
      <c r="F858" s="31"/>
      <c r="G858" s="30"/>
      <c r="H858" s="30"/>
      <c r="J858" s="29"/>
      <c r="L858" s="30"/>
      <c r="M858" s="30"/>
      <c r="O858" s="32"/>
      <c r="P858" s="32"/>
      <c r="S858" s="32"/>
    </row>
    <row r="859">
      <c r="D859" s="29"/>
      <c r="F859" s="31"/>
      <c r="G859" s="30"/>
      <c r="H859" s="30"/>
      <c r="J859" s="29"/>
      <c r="L859" s="30"/>
      <c r="M859" s="30"/>
      <c r="O859" s="32"/>
      <c r="P859" s="32"/>
      <c r="S859" s="32"/>
    </row>
    <row r="860">
      <c r="D860" s="29"/>
      <c r="F860" s="31"/>
      <c r="G860" s="30"/>
      <c r="H860" s="30"/>
      <c r="J860" s="29"/>
      <c r="L860" s="30"/>
      <c r="M860" s="30"/>
      <c r="O860" s="32"/>
      <c r="P860" s="32"/>
      <c r="S860" s="32"/>
    </row>
    <row r="861">
      <c r="D861" s="29"/>
      <c r="F861" s="31"/>
      <c r="G861" s="30"/>
      <c r="H861" s="30"/>
      <c r="J861" s="29"/>
      <c r="L861" s="30"/>
      <c r="M861" s="30"/>
      <c r="O861" s="32"/>
      <c r="P861" s="32"/>
      <c r="S861" s="32"/>
    </row>
    <row r="862">
      <c r="D862" s="29"/>
      <c r="F862" s="31"/>
      <c r="G862" s="30"/>
      <c r="H862" s="30"/>
      <c r="J862" s="29"/>
      <c r="L862" s="30"/>
      <c r="M862" s="30"/>
      <c r="O862" s="32"/>
      <c r="P862" s="32"/>
      <c r="S862" s="32"/>
    </row>
    <row r="863">
      <c r="D863" s="29"/>
      <c r="F863" s="31"/>
      <c r="G863" s="30"/>
      <c r="H863" s="30"/>
      <c r="J863" s="29"/>
      <c r="L863" s="30"/>
      <c r="M863" s="30"/>
      <c r="O863" s="32"/>
      <c r="P863" s="32"/>
      <c r="S863" s="32"/>
    </row>
    <row r="864">
      <c r="D864" s="29"/>
      <c r="F864" s="31"/>
      <c r="G864" s="30"/>
      <c r="H864" s="30"/>
      <c r="J864" s="29"/>
      <c r="L864" s="30"/>
      <c r="M864" s="30"/>
      <c r="O864" s="32"/>
      <c r="P864" s="32"/>
      <c r="S864" s="32"/>
    </row>
    <row r="865">
      <c r="D865" s="29"/>
      <c r="F865" s="31"/>
      <c r="G865" s="30"/>
      <c r="H865" s="30"/>
      <c r="J865" s="29"/>
      <c r="L865" s="30"/>
      <c r="M865" s="30"/>
      <c r="O865" s="32"/>
      <c r="P865" s="32"/>
      <c r="S865" s="32"/>
    </row>
    <row r="866">
      <c r="D866" s="29"/>
      <c r="F866" s="31"/>
      <c r="G866" s="30"/>
      <c r="H866" s="30"/>
      <c r="J866" s="29"/>
      <c r="L866" s="30"/>
      <c r="M866" s="30"/>
      <c r="O866" s="32"/>
      <c r="P866" s="32"/>
      <c r="S866" s="32"/>
    </row>
    <row r="867">
      <c r="D867" s="29"/>
      <c r="F867" s="31"/>
      <c r="G867" s="30"/>
      <c r="H867" s="30"/>
      <c r="J867" s="29"/>
      <c r="L867" s="30"/>
      <c r="M867" s="30"/>
      <c r="O867" s="32"/>
      <c r="P867" s="32"/>
      <c r="S867" s="32"/>
    </row>
    <row r="868">
      <c r="D868" s="29"/>
      <c r="F868" s="31"/>
      <c r="G868" s="30"/>
      <c r="H868" s="30"/>
      <c r="J868" s="29"/>
      <c r="L868" s="30"/>
      <c r="M868" s="30"/>
      <c r="O868" s="32"/>
      <c r="P868" s="32"/>
      <c r="S868" s="32"/>
    </row>
    <row r="869">
      <c r="D869" s="29"/>
      <c r="F869" s="31"/>
      <c r="G869" s="30"/>
      <c r="H869" s="30"/>
      <c r="J869" s="29"/>
      <c r="L869" s="30"/>
      <c r="M869" s="30"/>
      <c r="O869" s="32"/>
      <c r="P869" s="32"/>
      <c r="S869" s="32"/>
    </row>
    <row r="870">
      <c r="D870" s="29"/>
      <c r="F870" s="31"/>
      <c r="G870" s="30"/>
      <c r="H870" s="30"/>
      <c r="J870" s="29"/>
      <c r="L870" s="30"/>
      <c r="M870" s="30"/>
      <c r="O870" s="32"/>
      <c r="P870" s="32"/>
      <c r="S870" s="32"/>
    </row>
    <row r="871">
      <c r="D871" s="29"/>
      <c r="F871" s="31"/>
      <c r="G871" s="30"/>
      <c r="H871" s="30"/>
      <c r="J871" s="29"/>
      <c r="L871" s="30"/>
      <c r="M871" s="30"/>
      <c r="O871" s="32"/>
      <c r="P871" s="32"/>
      <c r="S871" s="32"/>
    </row>
    <row r="872">
      <c r="D872" s="29"/>
      <c r="F872" s="31"/>
      <c r="G872" s="30"/>
      <c r="H872" s="30"/>
      <c r="J872" s="29"/>
      <c r="L872" s="30"/>
      <c r="M872" s="30"/>
      <c r="O872" s="32"/>
      <c r="P872" s="32"/>
      <c r="S872" s="32"/>
    </row>
    <row r="873">
      <c r="D873" s="29"/>
      <c r="F873" s="31"/>
      <c r="G873" s="30"/>
      <c r="H873" s="30"/>
      <c r="J873" s="29"/>
      <c r="L873" s="30"/>
      <c r="M873" s="30"/>
      <c r="O873" s="32"/>
      <c r="P873" s="32"/>
      <c r="S873" s="32"/>
    </row>
    <row r="874">
      <c r="D874" s="29"/>
      <c r="F874" s="31"/>
      <c r="G874" s="30"/>
      <c r="H874" s="30"/>
      <c r="J874" s="29"/>
      <c r="L874" s="30"/>
      <c r="M874" s="30"/>
      <c r="O874" s="32"/>
      <c r="P874" s="32"/>
      <c r="S874" s="32"/>
    </row>
    <row r="875">
      <c r="D875" s="29"/>
      <c r="F875" s="31"/>
      <c r="G875" s="30"/>
      <c r="H875" s="30"/>
      <c r="J875" s="29"/>
      <c r="L875" s="30"/>
      <c r="M875" s="30"/>
      <c r="O875" s="32"/>
      <c r="P875" s="32"/>
      <c r="S875" s="32"/>
    </row>
    <row r="876">
      <c r="D876" s="29"/>
      <c r="F876" s="31"/>
      <c r="G876" s="30"/>
      <c r="H876" s="30"/>
      <c r="J876" s="29"/>
      <c r="L876" s="30"/>
      <c r="M876" s="30"/>
      <c r="O876" s="32"/>
      <c r="P876" s="32"/>
      <c r="S876" s="32"/>
    </row>
    <row r="877">
      <c r="D877" s="29"/>
      <c r="F877" s="31"/>
      <c r="G877" s="30"/>
      <c r="H877" s="30"/>
      <c r="J877" s="29"/>
      <c r="L877" s="30"/>
      <c r="M877" s="30"/>
      <c r="O877" s="32"/>
      <c r="P877" s="32"/>
      <c r="S877" s="32"/>
    </row>
    <row r="878">
      <c r="D878" s="29"/>
      <c r="F878" s="31"/>
      <c r="G878" s="30"/>
      <c r="H878" s="30"/>
      <c r="J878" s="29"/>
      <c r="L878" s="30"/>
      <c r="M878" s="30"/>
      <c r="O878" s="32"/>
      <c r="P878" s="32"/>
      <c r="S878" s="32"/>
    </row>
    <row r="879">
      <c r="D879" s="29"/>
      <c r="F879" s="31"/>
      <c r="G879" s="30"/>
      <c r="H879" s="30"/>
      <c r="J879" s="29"/>
      <c r="L879" s="30"/>
      <c r="M879" s="30"/>
      <c r="O879" s="32"/>
      <c r="P879" s="32"/>
      <c r="S879" s="32"/>
    </row>
    <row r="880">
      <c r="D880" s="29"/>
      <c r="F880" s="31"/>
      <c r="G880" s="30"/>
      <c r="H880" s="30"/>
      <c r="J880" s="29"/>
      <c r="L880" s="30"/>
      <c r="M880" s="30"/>
      <c r="O880" s="32"/>
      <c r="P880" s="32"/>
      <c r="S880" s="32"/>
    </row>
    <row r="881">
      <c r="D881" s="29"/>
      <c r="F881" s="31"/>
      <c r="G881" s="30"/>
      <c r="H881" s="30"/>
      <c r="J881" s="29"/>
      <c r="L881" s="30"/>
      <c r="M881" s="30"/>
      <c r="O881" s="32"/>
      <c r="P881" s="32"/>
      <c r="S881" s="32"/>
    </row>
    <row r="882">
      <c r="D882" s="29"/>
      <c r="F882" s="31"/>
      <c r="G882" s="30"/>
      <c r="H882" s="30"/>
      <c r="J882" s="29"/>
      <c r="L882" s="30"/>
      <c r="M882" s="30"/>
      <c r="O882" s="32"/>
      <c r="P882" s="32"/>
      <c r="S882" s="32"/>
    </row>
    <row r="883">
      <c r="D883" s="29"/>
      <c r="F883" s="31"/>
      <c r="G883" s="30"/>
      <c r="H883" s="30"/>
      <c r="J883" s="29"/>
      <c r="L883" s="30"/>
      <c r="M883" s="30"/>
      <c r="O883" s="32"/>
      <c r="P883" s="32"/>
      <c r="S883" s="32"/>
    </row>
    <row r="884">
      <c r="D884" s="29"/>
      <c r="F884" s="31"/>
      <c r="G884" s="30"/>
      <c r="H884" s="30"/>
      <c r="J884" s="29"/>
      <c r="L884" s="30"/>
      <c r="M884" s="30"/>
      <c r="O884" s="32"/>
      <c r="P884" s="32"/>
      <c r="S884" s="32"/>
    </row>
    <row r="885">
      <c r="D885" s="29"/>
      <c r="F885" s="31"/>
      <c r="G885" s="30"/>
      <c r="H885" s="30"/>
      <c r="J885" s="29"/>
      <c r="L885" s="30"/>
      <c r="M885" s="30"/>
      <c r="O885" s="32"/>
      <c r="P885" s="32"/>
      <c r="S885" s="32"/>
    </row>
    <row r="886">
      <c r="D886" s="29"/>
      <c r="F886" s="31"/>
      <c r="G886" s="30"/>
      <c r="H886" s="30"/>
      <c r="J886" s="29"/>
      <c r="L886" s="30"/>
      <c r="M886" s="30"/>
      <c r="O886" s="32"/>
      <c r="P886" s="32"/>
      <c r="S886" s="32"/>
    </row>
    <row r="887">
      <c r="D887" s="29"/>
      <c r="F887" s="31"/>
      <c r="G887" s="30"/>
      <c r="H887" s="30"/>
      <c r="J887" s="29"/>
      <c r="L887" s="30"/>
      <c r="M887" s="30"/>
      <c r="O887" s="32"/>
      <c r="P887" s="32"/>
      <c r="S887" s="32"/>
    </row>
    <row r="888">
      <c r="D888" s="29"/>
      <c r="F888" s="31"/>
      <c r="G888" s="30"/>
      <c r="H888" s="30"/>
      <c r="J888" s="29"/>
      <c r="L888" s="30"/>
      <c r="M888" s="30"/>
      <c r="O888" s="32"/>
      <c r="P888" s="32"/>
      <c r="S888" s="32"/>
    </row>
    <row r="889">
      <c r="D889" s="29"/>
      <c r="F889" s="31"/>
      <c r="G889" s="30"/>
      <c r="H889" s="30"/>
      <c r="J889" s="29"/>
      <c r="L889" s="30"/>
      <c r="M889" s="30"/>
      <c r="O889" s="32"/>
      <c r="P889" s="32"/>
      <c r="S889" s="32"/>
    </row>
    <row r="890">
      <c r="D890" s="29"/>
      <c r="F890" s="31"/>
      <c r="G890" s="30"/>
      <c r="H890" s="30"/>
      <c r="J890" s="29"/>
      <c r="L890" s="30"/>
      <c r="M890" s="30"/>
      <c r="O890" s="32"/>
      <c r="P890" s="32"/>
      <c r="S890" s="32"/>
    </row>
    <row r="891">
      <c r="D891" s="29"/>
      <c r="F891" s="31"/>
      <c r="G891" s="30"/>
      <c r="H891" s="30"/>
      <c r="J891" s="29"/>
      <c r="L891" s="30"/>
      <c r="M891" s="30"/>
      <c r="O891" s="32"/>
      <c r="P891" s="32"/>
      <c r="S891" s="32"/>
    </row>
    <row r="892">
      <c r="D892" s="29"/>
      <c r="F892" s="31"/>
      <c r="G892" s="30"/>
      <c r="H892" s="30"/>
      <c r="J892" s="29"/>
      <c r="L892" s="30"/>
      <c r="M892" s="30"/>
      <c r="O892" s="32"/>
      <c r="P892" s="32"/>
      <c r="S892" s="32"/>
    </row>
    <row r="893">
      <c r="D893" s="29"/>
      <c r="F893" s="31"/>
      <c r="G893" s="30"/>
      <c r="H893" s="30"/>
      <c r="J893" s="29"/>
      <c r="L893" s="30"/>
      <c r="M893" s="30"/>
      <c r="O893" s="32"/>
      <c r="P893" s="32"/>
      <c r="S893" s="32"/>
    </row>
    <row r="894">
      <c r="D894" s="29"/>
      <c r="F894" s="31"/>
      <c r="G894" s="30"/>
      <c r="H894" s="30"/>
      <c r="J894" s="29"/>
      <c r="L894" s="30"/>
      <c r="M894" s="30"/>
      <c r="O894" s="32"/>
      <c r="P894" s="32"/>
      <c r="S894" s="32"/>
    </row>
    <row r="895">
      <c r="D895" s="29"/>
      <c r="F895" s="31"/>
      <c r="G895" s="30"/>
      <c r="H895" s="30"/>
      <c r="J895" s="29"/>
      <c r="L895" s="30"/>
      <c r="M895" s="30"/>
      <c r="O895" s="32"/>
      <c r="P895" s="32"/>
      <c r="S895" s="32"/>
    </row>
    <row r="896">
      <c r="D896" s="29"/>
      <c r="F896" s="31"/>
      <c r="G896" s="30"/>
      <c r="H896" s="30"/>
      <c r="J896" s="29"/>
      <c r="L896" s="30"/>
      <c r="M896" s="30"/>
      <c r="O896" s="32"/>
      <c r="P896" s="32"/>
      <c r="S896" s="32"/>
    </row>
    <row r="897">
      <c r="D897" s="29"/>
      <c r="F897" s="31"/>
      <c r="G897" s="30"/>
      <c r="H897" s="30"/>
      <c r="J897" s="29"/>
      <c r="L897" s="30"/>
      <c r="M897" s="30"/>
      <c r="O897" s="32"/>
      <c r="P897" s="32"/>
      <c r="S897" s="32"/>
    </row>
    <row r="898">
      <c r="D898" s="29"/>
      <c r="F898" s="31"/>
      <c r="G898" s="30"/>
      <c r="H898" s="30"/>
      <c r="J898" s="29"/>
      <c r="L898" s="30"/>
      <c r="M898" s="30"/>
      <c r="O898" s="32"/>
      <c r="P898" s="32"/>
      <c r="S898" s="32"/>
    </row>
    <row r="899">
      <c r="D899" s="29"/>
      <c r="F899" s="31"/>
      <c r="G899" s="30"/>
      <c r="H899" s="30"/>
      <c r="J899" s="29"/>
      <c r="L899" s="30"/>
      <c r="M899" s="30"/>
      <c r="O899" s="32"/>
      <c r="P899" s="32"/>
      <c r="S899" s="32"/>
    </row>
    <row r="900">
      <c r="D900" s="29"/>
      <c r="F900" s="31"/>
      <c r="G900" s="30"/>
      <c r="H900" s="30"/>
      <c r="J900" s="29"/>
      <c r="L900" s="30"/>
      <c r="M900" s="30"/>
      <c r="O900" s="32"/>
      <c r="P900" s="32"/>
      <c r="S900" s="32"/>
    </row>
    <row r="901">
      <c r="D901" s="29"/>
      <c r="F901" s="31"/>
      <c r="G901" s="30"/>
      <c r="H901" s="30"/>
      <c r="J901" s="29"/>
      <c r="L901" s="30"/>
      <c r="M901" s="30"/>
      <c r="O901" s="32"/>
      <c r="P901" s="32"/>
      <c r="S901" s="32"/>
    </row>
    <row r="902">
      <c r="D902" s="29"/>
      <c r="F902" s="31"/>
      <c r="G902" s="30"/>
      <c r="H902" s="30"/>
      <c r="J902" s="29"/>
      <c r="L902" s="30"/>
      <c r="M902" s="30"/>
      <c r="O902" s="32"/>
      <c r="P902" s="32"/>
      <c r="S902" s="32"/>
    </row>
    <row r="903">
      <c r="D903" s="29"/>
      <c r="F903" s="31"/>
      <c r="G903" s="30"/>
      <c r="H903" s="30"/>
      <c r="J903" s="29"/>
      <c r="L903" s="30"/>
      <c r="M903" s="30"/>
      <c r="O903" s="32"/>
      <c r="P903" s="32"/>
      <c r="S903" s="32"/>
    </row>
    <row r="904">
      <c r="D904" s="29"/>
      <c r="F904" s="31"/>
      <c r="G904" s="30"/>
      <c r="H904" s="30"/>
      <c r="J904" s="29"/>
      <c r="L904" s="30"/>
      <c r="M904" s="30"/>
      <c r="O904" s="32"/>
      <c r="P904" s="32"/>
      <c r="S904" s="32"/>
    </row>
    <row r="905">
      <c r="D905" s="29"/>
      <c r="F905" s="31"/>
      <c r="G905" s="30"/>
      <c r="H905" s="30"/>
      <c r="J905" s="29"/>
      <c r="L905" s="30"/>
      <c r="M905" s="30"/>
      <c r="O905" s="32"/>
      <c r="P905" s="32"/>
      <c r="S905" s="32"/>
    </row>
    <row r="906">
      <c r="D906" s="29"/>
      <c r="F906" s="31"/>
      <c r="G906" s="30"/>
      <c r="H906" s="30"/>
      <c r="J906" s="29"/>
      <c r="L906" s="30"/>
      <c r="M906" s="30"/>
      <c r="O906" s="32"/>
      <c r="P906" s="32"/>
      <c r="S906" s="32"/>
    </row>
    <row r="907">
      <c r="D907" s="29"/>
      <c r="F907" s="31"/>
      <c r="G907" s="30"/>
      <c r="H907" s="30"/>
      <c r="J907" s="29"/>
      <c r="L907" s="30"/>
      <c r="M907" s="30"/>
      <c r="O907" s="32"/>
      <c r="P907" s="32"/>
      <c r="S907" s="32"/>
    </row>
    <row r="908">
      <c r="D908" s="29"/>
      <c r="F908" s="31"/>
      <c r="G908" s="30"/>
      <c r="H908" s="30"/>
      <c r="J908" s="29"/>
      <c r="L908" s="30"/>
      <c r="M908" s="30"/>
      <c r="O908" s="32"/>
      <c r="P908" s="32"/>
      <c r="S908" s="32"/>
    </row>
    <row r="909">
      <c r="D909" s="29"/>
      <c r="F909" s="31"/>
      <c r="G909" s="30"/>
      <c r="H909" s="30"/>
      <c r="J909" s="29"/>
      <c r="L909" s="30"/>
      <c r="M909" s="30"/>
      <c r="O909" s="32"/>
      <c r="P909" s="32"/>
      <c r="S909" s="32"/>
    </row>
    <row r="910">
      <c r="D910" s="29"/>
      <c r="F910" s="31"/>
      <c r="G910" s="30"/>
      <c r="H910" s="30"/>
      <c r="J910" s="29"/>
      <c r="L910" s="30"/>
      <c r="M910" s="30"/>
      <c r="O910" s="32"/>
      <c r="P910" s="32"/>
      <c r="S910" s="32"/>
    </row>
    <row r="911">
      <c r="D911" s="29"/>
      <c r="F911" s="31"/>
      <c r="G911" s="30"/>
      <c r="H911" s="30"/>
      <c r="J911" s="29"/>
      <c r="L911" s="30"/>
      <c r="M911" s="30"/>
      <c r="O911" s="32"/>
      <c r="P911" s="32"/>
      <c r="S911" s="32"/>
    </row>
    <row r="912">
      <c r="D912" s="29"/>
      <c r="F912" s="31"/>
      <c r="G912" s="30"/>
      <c r="H912" s="30"/>
      <c r="J912" s="29"/>
      <c r="L912" s="30"/>
      <c r="M912" s="30"/>
      <c r="O912" s="32"/>
      <c r="P912" s="32"/>
      <c r="S912" s="32"/>
    </row>
    <row r="913">
      <c r="D913" s="29"/>
      <c r="F913" s="31"/>
      <c r="G913" s="30"/>
      <c r="H913" s="30"/>
      <c r="J913" s="29"/>
      <c r="L913" s="30"/>
      <c r="M913" s="30"/>
      <c r="O913" s="32"/>
      <c r="P913" s="32"/>
      <c r="S913" s="32"/>
    </row>
    <row r="914">
      <c r="D914" s="29"/>
      <c r="F914" s="31"/>
      <c r="G914" s="30"/>
      <c r="H914" s="30"/>
      <c r="J914" s="29"/>
      <c r="L914" s="30"/>
      <c r="M914" s="30"/>
      <c r="O914" s="32"/>
      <c r="P914" s="32"/>
      <c r="S914" s="32"/>
    </row>
    <row r="915">
      <c r="D915" s="29"/>
      <c r="F915" s="31"/>
      <c r="G915" s="30"/>
      <c r="H915" s="30"/>
      <c r="J915" s="29"/>
      <c r="L915" s="30"/>
      <c r="M915" s="30"/>
      <c r="O915" s="32"/>
      <c r="P915" s="32"/>
      <c r="S915" s="32"/>
    </row>
    <row r="916">
      <c r="D916" s="29"/>
      <c r="F916" s="31"/>
      <c r="G916" s="30"/>
      <c r="H916" s="30"/>
      <c r="J916" s="29"/>
      <c r="L916" s="30"/>
      <c r="M916" s="30"/>
      <c r="O916" s="32"/>
      <c r="P916" s="32"/>
      <c r="S916" s="32"/>
    </row>
    <row r="917">
      <c r="D917" s="29"/>
      <c r="F917" s="31"/>
      <c r="G917" s="30"/>
      <c r="H917" s="30"/>
      <c r="J917" s="29"/>
      <c r="L917" s="30"/>
      <c r="M917" s="30"/>
      <c r="O917" s="32"/>
      <c r="P917" s="32"/>
      <c r="S917" s="32"/>
    </row>
    <row r="918">
      <c r="D918" s="29"/>
      <c r="F918" s="31"/>
      <c r="G918" s="30"/>
      <c r="H918" s="30"/>
      <c r="J918" s="29"/>
      <c r="L918" s="30"/>
      <c r="M918" s="30"/>
      <c r="O918" s="32"/>
      <c r="P918" s="32"/>
      <c r="S918" s="32"/>
    </row>
    <row r="919">
      <c r="D919" s="29"/>
      <c r="F919" s="31"/>
      <c r="G919" s="30"/>
      <c r="H919" s="30"/>
      <c r="J919" s="29"/>
      <c r="L919" s="30"/>
      <c r="M919" s="30"/>
      <c r="O919" s="32"/>
      <c r="P919" s="32"/>
      <c r="S919" s="32"/>
    </row>
    <row r="920">
      <c r="D920" s="29"/>
      <c r="F920" s="31"/>
      <c r="G920" s="30"/>
      <c r="H920" s="30"/>
      <c r="J920" s="29"/>
      <c r="L920" s="30"/>
      <c r="M920" s="30"/>
      <c r="O920" s="32"/>
      <c r="P920" s="32"/>
      <c r="S920" s="32"/>
    </row>
    <row r="921">
      <c r="D921" s="29"/>
      <c r="F921" s="31"/>
      <c r="G921" s="30"/>
      <c r="H921" s="30"/>
      <c r="J921" s="29"/>
      <c r="L921" s="30"/>
      <c r="M921" s="30"/>
      <c r="O921" s="32"/>
      <c r="P921" s="32"/>
      <c r="S921" s="32"/>
    </row>
    <row r="922">
      <c r="D922" s="29"/>
      <c r="F922" s="31"/>
      <c r="G922" s="30"/>
      <c r="H922" s="30"/>
      <c r="J922" s="29"/>
      <c r="L922" s="30"/>
      <c r="M922" s="30"/>
      <c r="O922" s="32"/>
      <c r="P922" s="32"/>
      <c r="S922" s="32"/>
    </row>
    <row r="923">
      <c r="D923" s="29"/>
      <c r="F923" s="31"/>
      <c r="G923" s="30"/>
      <c r="H923" s="30"/>
      <c r="J923" s="29"/>
      <c r="L923" s="30"/>
      <c r="M923" s="30"/>
      <c r="O923" s="32"/>
      <c r="P923" s="32"/>
      <c r="S923" s="32"/>
    </row>
    <row r="924">
      <c r="D924" s="29"/>
      <c r="F924" s="31"/>
      <c r="G924" s="30"/>
      <c r="H924" s="30"/>
      <c r="J924" s="29"/>
      <c r="L924" s="30"/>
      <c r="M924" s="30"/>
      <c r="O924" s="32"/>
      <c r="P924" s="32"/>
      <c r="S924" s="32"/>
    </row>
    <row r="925">
      <c r="D925" s="29"/>
      <c r="F925" s="31"/>
      <c r="G925" s="30"/>
      <c r="H925" s="30"/>
      <c r="J925" s="29"/>
      <c r="L925" s="30"/>
      <c r="M925" s="30"/>
      <c r="O925" s="32"/>
      <c r="P925" s="32"/>
      <c r="S925" s="32"/>
    </row>
    <row r="926">
      <c r="D926" s="29"/>
      <c r="F926" s="31"/>
      <c r="G926" s="30"/>
      <c r="H926" s="30"/>
      <c r="J926" s="29"/>
      <c r="L926" s="30"/>
      <c r="M926" s="30"/>
      <c r="O926" s="32"/>
      <c r="P926" s="32"/>
      <c r="S926" s="32"/>
    </row>
    <row r="927">
      <c r="D927" s="29"/>
      <c r="F927" s="31"/>
      <c r="G927" s="30"/>
      <c r="H927" s="30"/>
      <c r="J927" s="29"/>
      <c r="L927" s="30"/>
      <c r="M927" s="30"/>
      <c r="O927" s="32"/>
      <c r="P927" s="32"/>
      <c r="S927" s="32"/>
    </row>
    <row r="928">
      <c r="D928" s="29"/>
      <c r="F928" s="31"/>
      <c r="G928" s="30"/>
      <c r="H928" s="30"/>
      <c r="J928" s="29"/>
      <c r="L928" s="30"/>
      <c r="M928" s="30"/>
      <c r="O928" s="32"/>
      <c r="P928" s="32"/>
      <c r="S928" s="32"/>
    </row>
    <row r="929">
      <c r="D929" s="29"/>
      <c r="F929" s="31"/>
      <c r="G929" s="30"/>
      <c r="H929" s="30"/>
      <c r="J929" s="29"/>
      <c r="L929" s="30"/>
      <c r="M929" s="30"/>
      <c r="O929" s="32"/>
      <c r="P929" s="32"/>
      <c r="S929" s="32"/>
    </row>
    <row r="930">
      <c r="D930" s="29"/>
      <c r="F930" s="31"/>
      <c r="G930" s="30"/>
      <c r="H930" s="30"/>
      <c r="J930" s="29"/>
      <c r="L930" s="30"/>
      <c r="M930" s="30"/>
      <c r="O930" s="32"/>
      <c r="P930" s="32"/>
      <c r="S930" s="32"/>
    </row>
    <row r="931">
      <c r="D931" s="29"/>
      <c r="F931" s="31"/>
      <c r="G931" s="30"/>
      <c r="H931" s="30"/>
      <c r="J931" s="29"/>
      <c r="L931" s="30"/>
      <c r="M931" s="30"/>
      <c r="O931" s="32"/>
      <c r="P931" s="32"/>
      <c r="S931" s="32"/>
    </row>
    <row r="932">
      <c r="D932" s="29"/>
      <c r="F932" s="31"/>
      <c r="G932" s="30"/>
      <c r="H932" s="30"/>
      <c r="J932" s="29"/>
      <c r="L932" s="30"/>
      <c r="M932" s="30"/>
      <c r="O932" s="32"/>
      <c r="P932" s="32"/>
      <c r="S932" s="3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13"/>
    <col customWidth="1" min="2" max="16" width="9.5"/>
  </cols>
  <sheetData>
    <row r="1">
      <c r="A1" s="1"/>
      <c r="B1" s="3" t="s">
        <v>0</v>
      </c>
      <c r="C1" s="2" t="s">
        <v>2</v>
      </c>
      <c r="D1" s="2" t="s">
        <v>3</v>
      </c>
      <c r="E1" s="2" t="s">
        <v>4</v>
      </c>
      <c r="F1" s="2" t="s">
        <v>6</v>
      </c>
      <c r="G1" s="6" t="s">
        <v>8</v>
      </c>
      <c r="H1" s="6" t="s">
        <v>10</v>
      </c>
      <c r="I1" s="2" t="s">
        <v>12</v>
      </c>
      <c r="J1" s="2" t="s">
        <v>14</v>
      </c>
      <c r="K1" s="2" t="s">
        <v>16</v>
      </c>
      <c r="L1" s="6" t="s">
        <v>19</v>
      </c>
      <c r="M1" s="6" t="s">
        <v>22</v>
      </c>
      <c r="N1" s="2" t="s">
        <v>24</v>
      </c>
      <c r="O1" s="9" t="s">
        <v>26</v>
      </c>
      <c r="P1" s="9" t="s">
        <v>28</v>
      </c>
    </row>
    <row r="2">
      <c r="A2" s="2" t="s">
        <v>40</v>
      </c>
      <c r="B2" s="10">
        <v>1.0</v>
      </c>
      <c r="C2" s="12">
        <f t="shared" ref="C2:C139" si="1">B2*4</f>
        <v>4</v>
      </c>
      <c r="D2" s="11">
        <v>4.0</v>
      </c>
      <c r="E2" s="11">
        <v>0.0</v>
      </c>
      <c r="F2" s="12">
        <f t="shared" ref="F2:F139" si="2">D2+E2</f>
        <v>4</v>
      </c>
      <c r="G2" s="16">
        <f t="shared" ref="G2:G139" si="3">F2/C2</f>
        <v>1</v>
      </c>
      <c r="H2" s="16">
        <f t="shared" ref="H2:H60" si="4">D2/F2</f>
        <v>1</v>
      </c>
      <c r="I2" s="12">
        <f t="shared" ref="I2:I139" si="5">J2+K2</f>
        <v>0</v>
      </c>
      <c r="J2" s="11">
        <v>0.0</v>
      </c>
      <c r="K2" s="11">
        <v>0.0</v>
      </c>
      <c r="L2" s="16">
        <f t="shared" ref="L2:L139" si="6">I2/C2</f>
        <v>0</v>
      </c>
      <c r="M2" s="11" t="s">
        <v>41</v>
      </c>
      <c r="N2" s="12">
        <f t="shared" ref="N2:N139" si="7">4*(D2-K2)</f>
        <v>16</v>
      </c>
      <c r="O2" s="18">
        <f t="shared" ref="O2:O139" si="8">N2/C2</f>
        <v>4</v>
      </c>
      <c r="P2" s="18">
        <f t="shared" ref="P2:P139" si="9">N2/B2</f>
        <v>16</v>
      </c>
    </row>
    <row r="3">
      <c r="A3" s="2" t="s">
        <v>66</v>
      </c>
      <c r="B3" s="10">
        <v>3.0</v>
      </c>
      <c r="C3" s="12">
        <f t="shared" si="1"/>
        <v>12</v>
      </c>
      <c r="D3" s="11">
        <v>8.0</v>
      </c>
      <c r="E3" s="11">
        <v>0.0</v>
      </c>
      <c r="F3" s="12">
        <f t="shared" si="2"/>
        <v>8</v>
      </c>
      <c r="G3" s="16">
        <f t="shared" si="3"/>
        <v>0.6666666667</v>
      </c>
      <c r="H3" s="16">
        <f t="shared" si="4"/>
        <v>1</v>
      </c>
      <c r="I3" s="12">
        <f t="shared" si="5"/>
        <v>3</v>
      </c>
      <c r="J3" s="11">
        <v>3.0</v>
      </c>
      <c r="K3" s="11">
        <v>0.0</v>
      </c>
      <c r="L3" s="16">
        <f t="shared" si="6"/>
        <v>0.25</v>
      </c>
      <c r="M3" s="16">
        <f t="shared" ref="M3:M5" si="10">J3/I3</f>
        <v>1</v>
      </c>
      <c r="N3" s="12">
        <f t="shared" si="7"/>
        <v>32</v>
      </c>
      <c r="O3" s="18">
        <f t="shared" si="8"/>
        <v>2.666666667</v>
      </c>
      <c r="P3" s="18">
        <f t="shared" si="9"/>
        <v>10.66666667</v>
      </c>
    </row>
    <row r="4">
      <c r="A4" s="2" t="s">
        <v>50</v>
      </c>
      <c r="B4" s="10">
        <v>3.0</v>
      </c>
      <c r="C4" s="12">
        <f t="shared" si="1"/>
        <v>12</v>
      </c>
      <c r="D4" s="11">
        <v>7.0</v>
      </c>
      <c r="E4" s="20">
        <v>0.0</v>
      </c>
      <c r="F4" s="21">
        <f t="shared" si="2"/>
        <v>7</v>
      </c>
      <c r="G4" s="23">
        <f t="shared" si="3"/>
        <v>0.5833333333</v>
      </c>
      <c r="H4" s="23">
        <f t="shared" si="4"/>
        <v>1</v>
      </c>
      <c r="I4" s="12">
        <f t="shared" si="5"/>
        <v>4</v>
      </c>
      <c r="J4" s="11">
        <v>4.0</v>
      </c>
      <c r="K4" s="11">
        <v>0.0</v>
      </c>
      <c r="L4" s="16">
        <f t="shared" si="6"/>
        <v>0.3333333333</v>
      </c>
      <c r="M4" s="16">
        <f t="shared" si="10"/>
        <v>1</v>
      </c>
      <c r="N4" s="12">
        <f t="shared" si="7"/>
        <v>28</v>
      </c>
      <c r="O4" s="18">
        <f t="shared" si="8"/>
        <v>2.333333333</v>
      </c>
      <c r="P4" s="18">
        <f t="shared" si="9"/>
        <v>9.333333333</v>
      </c>
    </row>
    <row r="5">
      <c r="A5" s="2" t="s">
        <v>48</v>
      </c>
      <c r="B5" s="10">
        <v>3.0</v>
      </c>
      <c r="C5" s="12">
        <f t="shared" si="1"/>
        <v>12</v>
      </c>
      <c r="D5" s="11">
        <v>5.0</v>
      </c>
      <c r="E5" s="11">
        <v>1.0</v>
      </c>
      <c r="F5" s="12">
        <f t="shared" si="2"/>
        <v>6</v>
      </c>
      <c r="G5" s="16">
        <f t="shared" si="3"/>
        <v>0.5</v>
      </c>
      <c r="H5" s="16">
        <f t="shared" si="4"/>
        <v>0.8333333333</v>
      </c>
      <c r="I5" s="12">
        <f t="shared" si="5"/>
        <v>1</v>
      </c>
      <c r="J5" s="11">
        <v>1.0</v>
      </c>
      <c r="K5" s="11">
        <v>0.0</v>
      </c>
      <c r="L5" s="16">
        <f t="shared" si="6"/>
        <v>0.08333333333</v>
      </c>
      <c r="M5" s="16">
        <f t="shared" si="10"/>
        <v>1</v>
      </c>
      <c r="N5" s="12">
        <f t="shared" si="7"/>
        <v>20</v>
      </c>
      <c r="O5" s="18">
        <f t="shared" si="8"/>
        <v>1.666666667</v>
      </c>
      <c r="P5" s="18">
        <f t="shared" si="9"/>
        <v>6.666666667</v>
      </c>
    </row>
    <row r="6">
      <c r="A6" s="2" t="s">
        <v>46</v>
      </c>
      <c r="B6" s="10">
        <v>3.0</v>
      </c>
      <c r="C6" s="12">
        <f t="shared" si="1"/>
        <v>12</v>
      </c>
      <c r="D6" s="11">
        <v>5.0</v>
      </c>
      <c r="E6" s="11">
        <v>1.0</v>
      </c>
      <c r="F6" s="12">
        <f t="shared" si="2"/>
        <v>6</v>
      </c>
      <c r="G6" s="16">
        <f t="shared" si="3"/>
        <v>0.5</v>
      </c>
      <c r="H6" s="16">
        <f t="shared" si="4"/>
        <v>0.8333333333</v>
      </c>
      <c r="I6" s="12">
        <f t="shared" si="5"/>
        <v>0</v>
      </c>
      <c r="J6" s="11">
        <v>0.0</v>
      </c>
      <c r="K6" s="11">
        <v>0.0</v>
      </c>
      <c r="L6" s="16">
        <f t="shared" si="6"/>
        <v>0</v>
      </c>
      <c r="M6" s="11" t="s">
        <v>41</v>
      </c>
      <c r="N6" s="12">
        <f t="shared" si="7"/>
        <v>20</v>
      </c>
      <c r="O6" s="18">
        <f t="shared" si="8"/>
        <v>1.666666667</v>
      </c>
      <c r="P6" s="18">
        <f t="shared" si="9"/>
        <v>6.666666667</v>
      </c>
    </row>
    <row r="7">
      <c r="A7" s="2" t="s">
        <v>42</v>
      </c>
      <c r="B7" s="10">
        <v>3.0</v>
      </c>
      <c r="C7" s="12">
        <f t="shared" si="1"/>
        <v>12</v>
      </c>
      <c r="D7" s="11">
        <v>5.0</v>
      </c>
      <c r="E7" s="20">
        <v>3.0</v>
      </c>
      <c r="F7" s="21">
        <f t="shared" si="2"/>
        <v>8</v>
      </c>
      <c r="G7" s="23">
        <f t="shared" si="3"/>
        <v>0.6666666667</v>
      </c>
      <c r="H7" s="23">
        <f t="shared" si="4"/>
        <v>0.625</v>
      </c>
      <c r="I7" s="12">
        <f t="shared" si="5"/>
        <v>2</v>
      </c>
      <c r="J7" s="11">
        <v>2.0</v>
      </c>
      <c r="K7" s="11">
        <v>0.0</v>
      </c>
      <c r="L7" s="16">
        <f t="shared" si="6"/>
        <v>0.1666666667</v>
      </c>
      <c r="M7" s="16">
        <f t="shared" ref="M7:M9" si="11">J7/I7</f>
        <v>1</v>
      </c>
      <c r="N7" s="12">
        <f t="shared" si="7"/>
        <v>20</v>
      </c>
      <c r="O7" s="18">
        <f t="shared" si="8"/>
        <v>1.666666667</v>
      </c>
      <c r="P7" s="18">
        <f t="shared" si="9"/>
        <v>6.666666667</v>
      </c>
    </row>
    <row r="8">
      <c r="A8" s="2" t="s">
        <v>102</v>
      </c>
      <c r="B8" s="10">
        <v>3.0</v>
      </c>
      <c r="C8" s="12">
        <f t="shared" si="1"/>
        <v>12</v>
      </c>
      <c r="D8" s="11">
        <v>4.0</v>
      </c>
      <c r="E8" s="11">
        <v>0.0</v>
      </c>
      <c r="F8" s="12">
        <f t="shared" si="2"/>
        <v>4</v>
      </c>
      <c r="G8" s="16">
        <f t="shared" si="3"/>
        <v>0.3333333333</v>
      </c>
      <c r="H8" s="16">
        <f t="shared" si="4"/>
        <v>1</v>
      </c>
      <c r="I8" s="12">
        <f t="shared" si="5"/>
        <v>1</v>
      </c>
      <c r="J8" s="11">
        <v>1.0</v>
      </c>
      <c r="K8" s="11">
        <v>0.0</v>
      </c>
      <c r="L8" s="16">
        <f t="shared" si="6"/>
        <v>0.08333333333</v>
      </c>
      <c r="M8" s="16">
        <f t="shared" si="11"/>
        <v>1</v>
      </c>
      <c r="N8" s="12">
        <f t="shared" si="7"/>
        <v>16</v>
      </c>
      <c r="O8" s="18">
        <f t="shared" si="8"/>
        <v>1.333333333</v>
      </c>
      <c r="P8" s="18">
        <f t="shared" si="9"/>
        <v>5.333333333</v>
      </c>
    </row>
    <row r="9">
      <c r="A9" s="2" t="s">
        <v>120</v>
      </c>
      <c r="B9" s="10">
        <v>3.0</v>
      </c>
      <c r="C9" s="12">
        <f t="shared" si="1"/>
        <v>12</v>
      </c>
      <c r="D9" s="11">
        <v>4.0</v>
      </c>
      <c r="E9" s="11">
        <v>1.0</v>
      </c>
      <c r="F9" s="12">
        <f t="shared" si="2"/>
        <v>5</v>
      </c>
      <c r="G9" s="16">
        <f t="shared" si="3"/>
        <v>0.4166666667</v>
      </c>
      <c r="H9" s="16">
        <f t="shared" si="4"/>
        <v>0.8</v>
      </c>
      <c r="I9" s="12">
        <f t="shared" si="5"/>
        <v>1</v>
      </c>
      <c r="J9" s="11">
        <v>1.0</v>
      </c>
      <c r="K9" s="11">
        <v>0.0</v>
      </c>
      <c r="L9" s="16">
        <f t="shared" si="6"/>
        <v>0.08333333333</v>
      </c>
      <c r="M9" s="16">
        <f t="shared" si="11"/>
        <v>1</v>
      </c>
      <c r="N9" s="12">
        <f t="shared" si="7"/>
        <v>16</v>
      </c>
      <c r="O9" s="18">
        <f t="shared" si="8"/>
        <v>1.333333333</v>
      </c>
      <c r="P9" s="18">
        <f t="shared" si="9"/>
        <v>5.333333333</v>
      </c>
    </row>
    <row r="10">
      <c r="A10" s="2" t="s">
        <v>106</v>
      </c>
      <c r="B10" s="10">
        <v>3.0</v>
      </c>
      <c r="C10" s="12">
        <f t="shared" si="1"/>
        <v>12</v>
      </c>
      <c r="D10" s="11">
        <v>4.0</v>
      </c>
      <c r="E10" s="11">
        <v>2.0</v>
      </c>
      <c r="F10" s="12">
        <f t="shared" si="2"/>
        <v>6</v>
      </c>
      <c r="G10" s="16">
        <f t="shared" si="3"/>
        <v>0.5</v>
      </c>
      <c r="H10" s="16">
        <f t="shared" si="4"/>
        <v>0.6666666667</v>
      </c>
      <c r="I10" s="12">
        <f t="shared" si="5"/>
        <v>0</v>
      </c>
      <c r="J10" s="11">
        <v>0.0</v>
      </c>
      <c r="K10" s="11">
        <v>0.0</v>
      </c>
      <c r="L10" s="16">
        <f t="shared" si="6"/>
        <v>0</v>
      </c>
      <c r="M10" s="11" t="s">
        <v>41</v>
      </c>
      <c r="N10" s="12">
        <f t="shared" si="7"/>
        <v>16</v>
      </c>
      <c r="O10" s="18">
        <f t="shared" si="8"/>
        <v>1.333333333</v>
      </c>
      <c r="P10" s="18">
        <f t="shared" si="9"/>
        <v>5.333333333</v>
      </c>
    </row>
    <row r="11">
      <c r="A11" s="2" t="s">
        <v>52</v>
      </c>
      <c r="B11" s="10">
        <v>3.0</v>
      </c>
      <c r="C11" s="12">
        <f t="shared" si="1"/>
        <v>12</v>
      </c>
      <c r="D11" s="11">
        <v>5.0</v>
      </c>
      <c r="E11" s="11">
        <v>3.0</v>
      </c>
      <c r="F11" s="12">
        <f t="shared" si="2"/>
        <v>8</v>
      </c>
      <c r="G11" s="16">
        <f t="shared" si="3"/>
        <v>0.6666666667</v>
      </c>
      <c r="H11" s="16">
        <f t="shared" si="4"/>
        <v>0.625</v>
      </c>
      <c r="I11" s="12">
        <f t="shared" si="5"/>
        <v>2</v>
      </c>
      <c r="J11" s="11">
        <v>1.0</v>
      </c>
      <c r="K11" s="11">
        <v>1.0</v>
      </c>
      <c r="L11" s="16">
        <f t="shared" si="6"/>
        <v>0.1666666667</v>
      </c>
      <c r="M11" s="16">
        <f>J11/I11</f>
        <v>0.5</v>
      </c>
      <c r="N11" s="12">
        <f t="shared" si="7"/>
        <v>16</v>
      </c>
      <c r="O11" s="18">
        <f t="shared" si="8"/>
        <v>1.333333333</v>
      </c>
      <c r="P11" s="18">
        <f t="shared" si="9"/>
        <v>5.333333333</v>
      </c>
    </row>
    <row r="12">
      <c r="A12" s="2" t="s">
        <v>99</v>
      </c>
      <c r="B12" s="10">
        <v>2.5</v>
      </c>
      <c r="C12" s="12">
        <f t="shared" si="1"/>
        <v>10</v>
      </c>
      <c r="D12" s="11">
        <v>3.0</v>
      </c>
      <c r="E12" s="11">
        <v>1.0</v>
      </c>
      <c r="F12" s="12">
        <f t="shared" si="2"/>
        <v>4</v>
      </c>
      <c r="G12" s="16">
        <f t="shared" si="3"/>
        <v>0.4</v>
      </c>
      <c r="H12" s="16">
        <f t="shared" si="4"/>
        <v>0.75</v>
      </c>
      <c r="I12" s="12">
        <f t="shared" si="5"/>
        <v>0</v>
      </c>
      <c r="J12" s="11">
        <v>0.0</v>
      </c>
      <c r="K12" s="11">
        <v>0.0</v>
      </c>
      <c r="L12" s="16">
        <f t="shared" si="6"/>
        <v>0</v>
      </c>
      <c r="M12" s="11" t="s">
        <v>41</v>
      </c>
      <c r="N12" s="12">
        <f t="shared" si="7"/>
        <v>12</v>
      </c>
      <c r="O12" s="18">
        <f t="shared" si="8"/>
        <v>1.2</v>
      </c>
      <c r="P12" s="18">
        <f t="shared" si="9"/>
        <v>4.8</v>
      </c>
    </row>
    <row r="13">
      <c r="A13" s="2" t="s">
        <v>150</v>
      </c>
      <c r="B13" s="10">
        <v>3.0</v>
      </c>
      <c r="C13" s="12">
        <f t="shared" si="1"/>
        <v>12</v>
      </c>
      <c r="D13" s="11">
        <v>3.0</v>
      </c>
      <c r="E13" s="11">
        <v>1.0</v>
      </c>
      <c r="F13" s="12">
        <f t="shared" si="2"/>
        <v>4</v>
      </c>
      <c r="G13" s="16">
        <f t="shared" si="3"/>
        <v>0.3333333333</v>
      </c>
      <c r="H13" s="16">
        <f t="shared" si="4"/>
        <v>0.75</v>
      </c>
      <c r="I13" s="12">
        <f t="shared" si="5"/>
        <v>0</v>
      </c>
      <c r="J13" s="11">
        <v>0.0</v>
      </c>
      <c r="K13" s="11">
        <v>0.0</v>
      </c>
      <c r="L13" s="16">
        <f t="shared" si="6"/>
        <v>0</v>
      </c>
      <c r="M13" s="11" t="s">
        <v>41</v>
      </c>
      <c r="N13" s="12">
        <f t="shared" si="7"/>
        <v>12</v>
      </c>
      <c r="O13" s="18">
        <f t="shared" si="8"/>
        <v>1</v>
      </c>
      <c r="P13" s="18">
        <f t="shared" si="9"/>
        <v>4</v>
      </c>
    </row>
    <row r="14">
      <c r="A14" s="2" t="s">
        <v>71</v>
      </c>
      <c r="B14" s="10">
        <v>3.0</v>
      </c>
      <c r="C14" s="12">
        <f t="shared" si="1"/>
        <v>12</v>
      </c>
      <c r="D14" s="11">
        <v>3.0</v>
      </c>
      <c r="E14" s="11">
        <v>1.0</v>
      </c>
      <c r="F14" s="12">
        <f t="shared" si="2"/>
        <v>4</v>
      </c>
      <c r="G14" s="16">
        <f t="shared" si="3"/>
        <v>0.3333333333</v>
      </c>
      <c r="H14" s="16">
        <f t="shared" si="4"/>
        <v>0.75</v>
      </c>
      <c r="I14" s="12">
        <f t="shared" si="5"/>
        <v>0</v>
      </c>
      <c r="J14" s="11">
        <v>0.0</v>
      </c>
      <c r="K14" s="11">
        <v>0.0</v>
      </c>
      <c r="L14" s="16">
        <f t="shared" si="6"/>
        <v>0</v>
      </c>
      <c r="M14" s="11" t="s">
        <v>41</v>
      </c>
      <c r="N14" s="12">
        <f t="shared" si="7"/>
        <v>12</v>
      </c>
      <c r="O14" s="18">
        <f t="shared" si="8"/>
        <v>1</v>
      </c>
      <c r="P14" s="18">
        <f t="shared" si="9"/>
        <v>4</v>
      </c>
    </row>
    <row r="15">
      <c r="A15" s="2" t="s">
        <v>141</v>
      </c>
      <c r="B15" s="10">
        <v>2.0</v>
      </c>
      <c r="C15" s="12">
        <f t="shared" si="1"/>
        <v>8</v>
      </c>
      <c r="D15" s="11">
        <v>2.0</v>
      </c>
      <c r="E15" s="20">
        <v>1.0</v>
      </c>
      <c r="F15" s="21">
        <f t="shared" si="2"/>
        <v>3</v>
      </c>
      <c r="G15" s="23">
        <f t="shared" si="3"/>
        <v>0.375</v>
      </c>
      <c r="H15" s="23">
        <f t="shared" si="4"/>
        <v>0.6666666667</v>
      </c>
      <c r="I15" s="12">
        <f t="shared" si="5"/>
        <v>1</v>
      </c>
      <c r="J15" s="11">
        <v>1.0</v>
      </c>
      <c r="K15" s="11">
        <v>0.0</v>
      </c>
      <c r="L15" s="16">
        <f t="shared" si="6"/>
        <v>0.125</v>
      </c>
      <c r="M15" s="16">
        <f t="shared" ref="M15:M16" si="12">J15/I15</f>
        <v>1</v>
      </c>
      <c r="N15" s="12">
        <f t="shared" si="7"/>
        <v>8</v>
      </c>
      <c r="O15" s="18">
        <f t="shared" si="8"/>
        <v>1</v>
      </c>
      <c r="P15" s="18">
        <f t="shared" si="9"/>
        <v>4</v>
      </c>
    </row>
    <row r="16">
      <c r="A16" s="2" t="s">
        <v>75</v>
      </c>
      <c r="B16" s="10">
        <v>2.0</v>
      </c>
      <c r="C16" s="12">
        <f t="shared" si="1"/>
        <v>8</v>
      </c>
      <c r="D16" s="11">
        <v>3.0</v>
      </c>
      <c r="E16" s="20">
        <v>2.0</v>
      </c>
      <c r="F16" s="21">
        <f t="shared" si="2"/>
        <v>5</v>
      </c>
      <c r="G16" s="23">
        <f t="shared" si="3"/>
        <v>0.625</v>
      </c>
      <c r="H16" s="23">
        <f t="shared" si="4"/>
        <v>0.6</v>
      </c>
      <c r="I16" s="12">
        <f t="shared" si="5"/>
        <v>2</v>
      </c>
      <c r="J16" s="11">
        <v>1.0</v>
      </c>
      <c r="K16" s="11">
        <v>1.0</v>
      </c>
      <c r="L16" s="16">
        <f t="shared" si="6"/>
        <v>0.25</v>
      </c>
      <c r="M16" s="16">
        <f t="shared" si="12"/>
        <v>0.5</v>
      </c>
      <c r="N16" s="12">
        <f t="shared" si="7"/>
        <v>8</v>
      </c>
      <c r="O16" s="18">
        <f t="shared" si="8"/>
        <v>1</v>
      </c>
      <c r="P16" s="18">
        <f t="shared" si="9"/>
        <v>4</v>
      </c>
    </row>
    <row r="17">
      <c r="A17" s="2" t="s">
        <v>169</v>
      </c>
      <c r="B17" s="10">
        <v>3.0</v>
      </c>
      <c r="C17" s="12">
        <f t="shared" si="1"/>
        <v>12</v>
      </c>
      <c r="D17" s="11">
        <v>3.0</v>
      </c>
      <c r="E17" s="11">
        <v>3.0</v>
      </c>
      <c r="F17" s="12">
        <f t="shared" si="2"/>
        <v>6</v>
      </c>
      <c r="G17" s="16">
        <f t="shared" si="3"/>
        <v>0.5</v>
      </c>
      <c r="H17" s="16">
        <f t="shared" si="4"/>
        <v>0.5</v>
      </c>
      <c r="I17" s="12">
        <f t="shared" si="5"/>
        <v>0</v>
      </c>
      <c r="J17" s="11">
        <v>0.0</v>
      </c>
      <c r="K17" s="11">
        <v>0.0</v>
      </c>
      <c r="L17" s="16">
        <f t="shared" si="6"/>
        <v>0</v>
      </c>
      <c r="M17" s="11" t="s">
        <v>41</v>
      </c>
      <c r="N17" s="12">
        <f t="shared" si="7"/>
        <v>12</v>
      </c>
      <c r="O17" s="18">
        <f t="shared" si="8"/>
        <v>1</v>
      </c>
      <c r="P17" s="18">
        <f t="shared" si="9"/>
        <v>4</v>
      </c>
    </row>
    <row r="18">
      <c r="A18" s="2" t="s">
        <v>57</v>
      </c>
      <c r="B18" s="10">
        <v>3.0</v>
      </c>
      <c r="C18" s="12">
        <f t="shared" si="1"/>
        <v>12</v>
      </c>
      <c r="D18" s="11">
        <v>3.0</v>
      </c>
      <c r="E18" s="11">
        <v>5.0</v>
      </c>
      <c r="F18" s="12">
        <f t="shared" si="2"/>
        <v>8</v>
      </c>
      <c r="G18" s="16">
        <f t="shared" si="3"/>
        <v>0.6666666667</v>
      </c>
      <c r="H18" s="16">
        <f t="shared" si="4"/>
        <v>0.375</v>
      </c>
      <c r="I18" s="12">
        <f t="shared" si="5"/>
        <v>0</v>
      </c>
      <c r="J18" s="11">
        <v>0.0</v>
      </c>
      <c r="K18" s="11">
        <v>0.0</v>
      </c>
      <c r="L18" s="16">
        <f t="shared" si="6"/>
        <v>0</v>
      </c>
      <c r="M18" s="11" t="s">
        <v>41</v>
      </c>
      <c r="N18" s="12">
        <f t="shared" si="7"/>
        <v>12</v>
      </c>
      <c r="O18" s="18">
        <f t="shared" si="8"/>
        <v>1</v>
      </c>
      <c r="P18" s="18">
        <f t="shared" si="9"/>
        <v>4</v>
      </c>
    </row>
    <row r="19">
      <c r="A19" s="2" t="s">
        <v>172</v>
      </c>
      <c r="B19" s="10">
        <v>3.0</v>
      </c>
      <c r="C19" s="12">
        <f t="shared" si="1"/>
        <v>12</v>
      </c>
      <c r="D19" s="11">
        <v>2.0</v>
      </c>
      <c r="E19" s="11">
        <v>0.0</v>
      </c>
      <c r="F19" s="12">
        <f t="shared" si="2"/>
        <v>2</v>
      </c>
      <c r="G19" s="16">
        <f t="shared" si="3"/>
        <v>0.1666666667</v>
      </c>
      <c r="H19" s="16">
        <f t="shared" si="4"/>
        <v>1</v>
      </c>
      <c r="I19" s="12">
        <f t="shared" si="5"/>
        <v>0</v>
      </c>
      <c r="J19" s="11">
        <v>0.0</v>
      </c>
      <c r="K19" s="11">
        <v>0.0</v>
      </c>
      <c r="L19" s="16">
        <f t="shared" si="6"/>
        <v>0</v>
      </c>
      <c r="M19" s="11" t="s">
        <v>41</v>
      </c>
      <c r="N19" s="12">
        <f t="shared" si="7"/>
        <v>8</v>
      </c>
      <c r="O19" s="18">
        <f t="shared" si="8"/>
        <v>0.6666666667</v>
      </c>
      <c r="P19" s="18">
        <f t="shared" si="9"/>
        <v>2.666666667</v>
      </c>
    </row>
    <row r="20">
      <c r="A20" s="2" t="s">
        <v>100</v>
      </c>
      <c r="B20" s="10">
        <v>3.0</v>
      </c>
      <c r="C20" s="12">
        <f t="shared" si="1"/>
        <v>12</v>
      </c>
      <c r="D20" s="11">
        <v>2.0</v>
      </c>
      <c r="E20" s="20">
        <v>0.0</v>
      </c>
      <c r="F20" s="21">
        <f t="shared" si="2"/>
        <v>2</v>
      </c>
      <c r="G20" s="23">
        <f t="shared" si="3"/>
        <v>0.1666666667</v>
      </c>
      <c r="H20" s="23">
        <f t="shared" si="4"/>
        <v>1</v>
      </c>
      <c r="I20" s="12">
        <f t="shared" si="5"/>
        <v>0</v>
      </c>
      <c r="J20" s="11">
        <v>0.0</v>
      </c>
      <c r="K20" s="11">
        <v>0.0</v>
      </c>
      <c r="L20" s="16">
        <f t="shared" si="6"/>
        <v>0</v>
      </c>
      <c r="M20" s="11" t="s">
        <v>41</v>
      </c>
      <c r="N20" s="12">
        <f t="shared" si="7"/>
        <v>8</v>
      </c>
      <c r="O20" s="18">
        <f t="shared" si="8"/>
        <v>0.6666666667</v>
      </c>
      <c r="P20" s="18">
        <f t="shared" si="9"/>
        <v>2.666666667</v>
      </c>
    </row>
    <row r="21">
      <c r="A21" s="2" t="s">
        <v>152</v>
      </c>
      <c r="B21" s="10">
        <v>3.0</v>
      </c>
      <c r="C21" s="12">
        <f t="shared" si="1"/>
        <v>12</v>
      </c>
      <c r="D21" s="11">
        <v>2.0</v>
      </c>
      <c r="E21" s="11">
        <v>0.0</v>
      </c>
      <c r="F21" s="12">
        <f t="shared" si="2"/>
        <v>2</v>
      </c>
      <c r="G21" s="16">
        <f t="shared" si="3"/>
        <v>0.1666666667</v>
      </c>
      <c r="H21" s="16">
        <f t="shared" si="4"/>
        <v>1</v>
      </c>
      <c r="I21" s="12">
        <f t="shared" si="5"/>
        <v>0</v>
      </c>
      <c r="J21" s="11">
        <v>0.0</v>
      </c>
      <c r="K21" s="11">
        <v>0.0</v>
      </c>
      <c r="L21" s="16">
        <f t="shared" si="6"/>
        <v>0</v>
      </c>
      <c r="M21" s="11" t="s">
        <v>41</v>
      </c>
      <c r="N21" s="12">
        <f t="shared" si="7"/>
        <v>8</v>
      </c>
      <c r="O21" s="18">
        <f t="shared" si="8"/>
        <v>0.6666666667</v>
      </c>
      <c r="P21" s="18">
        <f t="shared" si="9"/>
        <v>2.666666667</v>
      </c>
    </row>
    <row r="22">
      <c r="A22" s="2" t="s">
        <v>157</v>
      </c>
      <c r="B22" s="10">
        <v>1.5</v>
      </c>
      <c r="C22" s="12">
        <f t="shared" si="1"/>
        <v>6</v>
      </c>
      <c r="D22" s="11">
        <v>1.0</v>
      </c>
      <c r="E22" s="11">
        <v>0.0</v>
      </c>
      <c r="F22" s="12">
        <f t="shared" si="2"/>
        <v>1</v>
      </c>
      <c r="G22" s="16">
        <f t="shared" si="3"/>
        <v>0.1666666667</v>
      </c>
      <c r="H22" s="16">
        <f t="shared" si="4"/>
        <v>1</v>
      </c>
      <c r="I22" s="12">
        <f t="shared" si="5"/>
        <v>0</v>
      </c>
      <c r="J22" s="11">
        <v>0.0</v>
      </c>
      <c r="K22" s="11">
        <v>0.0</v>
      </c>
      <c r="L22" s="16">
        <f t="shared" si="6"/>
        <v>0</v>
      </c>
      <c r="M22" s="11" t="s">
        <v>41</v>
      </c>
      <c r="N22" s="12">
        <f t="shared" si="7"/>
        <v>4</v>
      </c>
      <c r="O22" s="18">
        <f t="shared" si="8"/>
        <v>0.6666666667</v>
      </c>
      <c r="P22" s="18">
        <f t="shared" si="9"/>
        <v>2.666666667</v>
      </c>
    </row>
    <row r="23">
      <c r="A23" s="2" t="s">
        <v>146</v>
      </c>
      <c r="B23" s="10">
        <v>3.0</v>
      </c>
      <c r="C23" s="12">
        <f t="shared" si="1"/>
        <v>12</v>
      </c>
      <c r="D23" s="11">
        <v>2.0</v>
      </c>
      <c r="E23" s="20">
        <v>2.0</v>
      </c>
      <c r="F23" s="21">
        <f t="shared" si="2"/>
        <v>4</v>
      </c>
      <c r="G23" s="23">
        <f t="shared" si="3"/>
        <v>0.3333333333</v>
      </c>
      <c r="H23" s="23">
        <f t="shared" si="4"/>
        <v>0.5</v>
      </c>
      <c r="I23" s="12">
        <f t="shared" si="5"/>
        <v>0</v>
      </c>
      <c r="J23" s="11">
        <v>0.0</v>
      </c>
      <c r="K23" s="11">
        <v>0.0</v>
      </c>
      <c r="L23" s="16">
        <f t="shared" si="6"/>
        <v>0</v>
      </c>
      <c r="M23" s="11" t="s">
        <v>41</v>
      </c>
      <c r="N23" s="12">
        <f t="shared" si="7"/>
        <v>8</v>
      </c>
      <c r="O23" s="18">
        <f t="shared" si="8"/>
        <v>0.6666666667</v>
      </c>
      <c r="P23" s="18">
        <f t="shared" si="9"/>
        <v>2.666666667</v>
      </c>
    </row>
    <row r="24">
      <c r="A24" s="2" t="s">
        <v>113</v>
      </c>
      <c r="B24" s="10">
        <v>3.0</v>
      </c>
      <c r="C24" s="12">
        <f t="shared" si="1"/>
        <v>12</v>
      </c>
      <c r="D24" s="11">
        <v>2.0</v>
      </c>
      <c r="E24" s="11">
        <v>2.0</v>
      </c>
      <c r="F24" s="12">
        <f t="shared" si="2"/>
        <v>4</v>
      </c>
      <c r="G24" s="16">
        <f t="shared" si="3"/>
        <v>0.3333333333</v>
      </c>
      <c r="H24" s="16">
        <f t="shared" si="4"/>
        <v>0.5</v>
      </c>
      <c r="I24" s="12">
        <f t="shared" si="5"/>
        <v>1</v>
      </c>
      <c r="J24" s="11">
        <v>1.0</v>
      </c>
      <c r="K24" s="11">
        <v>0.0</v>
      </c>
      <c r="L24" s="16">
        <f t="shared" si="6"/>
        <v>0.08333333333</v>
      </c>
      <c r="M24" s="16">
        <f>J24/I24</f>
        <v>1</v>
      </c>
      <c r="N24" s="12">
        <f t="shared" si="7"/>
        <v>8</v>
      </c>
      <c r="O24" s="18">
        <f t="shared" si="8"/>
        <v>0.6666666667</v>
      </c>
      <c r="P24" s="18">
        <f t="shared" si="9"/>
        <v>2.666666667</v>
      </c>
    </row>
    <row r="25">
      <c r="A25" s="2" t="s">
        <v>136</v>
      </c>
      <c r="B25" s="10">
        <v>3.0</v>
      </c>
      <c r="C25" s="12">
        <f t="shared" si="1"/>
        <v>12</v>
      </c>
      <c r="D25" s="11">
        <v>2.0</v>
      </c>
      <c r="E25" s="11">
        <v>2.0</v>
      </c>
      <c r="F25" s="12">
        <f t="shared" si="2"/>
        <v>4</v>
      </c>
      <c r="G25" s="16">
        <f t="shared" si="3"/>
        <v>0.3333333333</v>
      </c>
      <c r="H25" s="16">
        <f t="shared" si="4"/>
        <v>0.5</v>
      </c>
      <c r="I25" s="12">
        <f t="shared" si="5"/>
        <v>0</v>
      </c>
      <c r="J25" s="11">
        <v>0.0</v>
      </c>
      <c r="K25" s="11">
        <v>0.0</v>
      </c>
      <c r="L25" s="16">
        <f t="shared" si="6"/>
        <v>0</v>
      </c>
      <c r="M25" s="11" t="s">
        <v>41</v>
      </c>
      <c r="N25" s="12">
        <f t="shared" si="7"/>
        <v>8</v>
      </c>
      <c r="O25" s="18">
        <f t="shared" si="8"/>
        <v>0.6666666667</v>
      </c>
      <c r="P25" s="18">
        <f t="shared" si="9"/>
        <v>2.666666667</v>
      </c>
    </row>
    <row r="26">
      <c r="A26" s="2" t="s">
        <v>60</v>
      </c>
      <c r="B26" s="10">
        <v>3.0</v>
      </c>
      <c r="C26" s="12">
        <f t="shared" si="1"/>
        <v>12</v>
      </c>
      <c r="D26" s="11">
        <v>2.0</v>
      </c>
      <c r="E26" s="11">
        <v>3.0</v>
      </c>
      <c r="F26" s="12">
        <f t="shared" si="2"/>
        <v>5</v>
      </c>
      <c r="G26" s="16">
        <f t="shared" si="3"/>
        <v>0.4166666667</v>
      </c>
      <c r="H26" s="16">
        <f t="shared" si="4"/>
        <v>0.4</v>
      </c>
      <c r="I26" s="12">
        <f t="shared" si="5"/>
        <v>1</v>
      </c>
      <c r="J26" s="11">
        <v>1.0</v>
      </c>
      <c r="K26" s="11">
        <v>0.0</v>
      </c>
      <c r="L26" s="16">
        <f t="shared" si="6"/>
        <v>0.08333333333</v>
      </c>
      <c r="M26" s="16">
        <f t="shared" ref="M26:M28" si="13">J26/I26</f>
        <v>1</v>
      </c>
      <c r="N26" s="12">
        <f t="shared" si="7"/>
        <v>8</v>
      </c>
      <c r="O26" s="18">
        <f t="shared" si="8"/>
        <v>0.6666666667</v>
      </c>
      <c r="P26" s="18">
        <f t="shared" si="9"/>
        <v>2.666666667</v>
      </c>
    </row>
    <row r="27">
      <c r="A27" s="2" t="s">
        <v>54</v>
      </c>
      <c r="B27" s="10">
        <v>3.0</v>
      </c>
      <c r="C27" s="12">
        <f t="shared" si="1"/>
        <v>12</v>
      </c>
      <c r="D27" s="11">
        <v>4.0</v>
      </c>
      <c r="E27" s="11">
        <v>7.0</v>
      </c>
      <c r="F27" s="12">
        <f t="shared" si="2"/>
        <v>11</v>
      </c>
      <c r="G27" s="16">
        <f t="shared" si="3"/>
        <v>0.9166666667</v>
      </c>
      <c r="H27" s="16">
        <f t="shared" si="4"/>
        <v>0.3636363636</v>
      </c>
      <c r="I27" s="12">
        <f t="shared" si="5"/>
        <v>2</v>
      </c>
      <c r="J27" s="11">
        <v>0.0</v>
      </c>
      <c r="K27" s="11">
        <v>2.0</v>
      </c>
      <c r="L27" s="16">
        <f t="shared" si="6"/>
        <v>0.1666666667</v>
      </c>
      <c r="M27" s="16">
        <f t="shared" si="13"/>
        <v>0</v>
      </c>
      <c r="N27" s="12">
        <f t="shared" si="7"/>
        <v>8</v>
      </c>
      <c r="O27" s="18">
        <f t="shared" si="8"/>
        <v>0.6666666667</v>
      </c>
      <c r="P27" s="18">
        <f t="shared" si="9"/>
        <v>2.666666667</v>
      </c>
    </row>
    <row r="28">
      <c r="A28" s="2" t="s">
        <v>65</v>
      </c>
      <c r="B28" s="10">
        <v>3.0</v>
      </c>
      <c r="C28" s="12">
        <f t="shared" si="1"/>
        <v>12</v>
      </c>
      <c r="D28" s="11">
        <v>2.0</v>
      </c>
      <c r="E28" s="11">
        <v>4.0</v>
      </c>
      <c r="F28" s="12">
        <f t="shared" si="2"/>
        <v>6</v>
      </c>
      <c r="G28" s="16">
        <f t="shared" si="3"/>
        <v>0.5</v>
      </c>
      <c r="H28" s="16">
        <f t="shared" si="4"/>
        <v>0.3333333333</v>
      </c>
      <c r="I28" s="12">
        <f t="shared" si="5"/>
        <v>1</v>
      </c>
      <c r="J28" s="11">
        <v>1.0</v>
      </c>
      <c r="K28" s="11">
        <v>0.0</v>
      </c>
      <c r="L28" s="16">
        <f t="shared" si="6"/>
        <v>0.08333333333</v>
      </c>
      <c r="M28" s="16">
        <f t="shared" si="13"/>
        <v>1</v>
      </c>
      <c r="N28" s="12">
        <f t="shared" si="7"/>
        <v>8</v>
      </c>
      <c r="O28" s="18">
        <f t="shared" si="8"/>
        <v>0.6666666667</v>
      </c>
      <c r="P28" s="18">
        <f t="shared" si="9"/>
        <v>2.666666667</v>
      </c>
    </row>
    <row r="29">
      <c r="A29" s="2" t="s">
        <v>73</v>
      </c>
      <c r="B29" s="10">
        <v>3.0</v>
      </c>
      <c r="C29" s="12">
        <f t="shared" si="1"/>
        <v>12</v>
      </c>
      <c r="D29" s="11">
        <v>2.0</v>
      </c>
      <c r="E29" s="11">
        <v>6.0</v>
      </c>
      <c r="F29" s="12">
        <f t="shared" si="2"/>
        <v>8</v>
      </c>
      <c r="G29" s="16">
        <f t="shared" si="3"/>
        <v>0.6666666667</v>
      </c>
      <c r="H29" s="16">
        <f t="shared" si="4"/>
        <v>0.25</v>
      </c>
      <c r="I29" s="12">
        <f t="shared" si="5"/>
        <v>0</v>
      </c>
      <c r="J29" s="11">
        <v>0.0</v>
      </c>
      <c r="K29" s="11">
        <v>0.0</v>
      </c>
      <c r="L29" s="16">
        <f t="shared" si="6"/>
        <v>0</v>
      </c>
      <c r="M29" s="11" t="s">
        <v>41</v>
      </c>
      <c r="N29" s="12">
        <f t="shared" si="7"/>
        <v>8</v>
      </c>
      <c r="O29" s="18">
        <f t="shared" si="8"/>
        <v>0.6666666667</v>
      </c>
      <c r="P29" s="18">
        <f t="shared" si="9"/>
        <v>2.666666667</v>
      </c>
    </row>
    <row r="30">
      <c r="A30" s="2" t="s">
        <v>171</v>
      </c>
      <c r="B30" s="10">
        <v>2.0</v>
      </c>
      <c r="C30" s="12">
        <f t="shared" si="1"/>
        <v>8</v>
      </c>
      <c r="D30" s="11">
        <v>1.0</v>
      </c>
      <c r="E30" s="11">
        <v>0.0</v>
      </c>
      <c r="F30" s="12">
        <f t="shared" si="2"/>
        <v>1</v>
      </c>
      <c r="G30" s="16">
        <f t="shared" si="3"/>
        <v>0.125</v>
      </c>
      <c r="H30" s="16">
        <f t="shared" si="4"/>
        <v>1</v>
      </c>
      <c r="I30" s="12">
        <f t="shared" si="5"/>
        <v>0</v>
      </c>
      <c r="J30" s="11">
        <v>0.0</v>
      </c>
      <c r="K30" s="11">
        <v>0.0</v>
      </c>
      <c r="L30" s="16">
        <f t="shared" si="6"/>
        <v>0</v>
      </c>
      <c r="M30" s="11" t="s">
        <v>41</v>
      </c>
      <c r="N30" s="12">
        <f t="shared" si="7"/>
        <v>4</v>
      </c>
      <c r="O30" s="18">
        <f t="shared" si="8"/>
        <v>0.5</v>
      </c>
      <c r="P30" s="18">
        <f t="shared" si="9"/>
        <v>2</v>
      </c>
    </row>
    <row r="31">
      <c r="A31" s="2" t="s">
        <v>74</v>
      </c>
      <c r="B31" s="10">
        <v>2.0</v>
      </c>
      <c r="C31" s="12">
        <f t="shared" si="1"/>
        <v>8</v>
      </c>
      <c r="D31" s="11">
        <v>1.0</v>
      </c>
      <c r="E31" s="20">
        <v>0.0</v>
      </c>
      <c r="F31" s="21">
        <f t="shared" si="2"/>
        <v>1</v>
      </c>
      <c r="G31" s="23">
        <f t="shared" si="3"/>
        <v>0.125</v>
      </c>
      <c r="H31" s="23">
        <f t="shared" si="4"/>
        <v>1</v>
      </c>
      <c r="I31" s="12">
        <f t="shared" si="5"/>
        <v>0</v>
      </c>
      <c r="J31" s="11">
        <v>0.0</v>
      </c>
      <c r="K31" s="11">
        <v>0.0</v>
      </c>
      <c r="L31" s="16">
        <f t="shared" si="6"/>
        <v>0</v>
      </c>
      <c r="M31" s="11" t="s">
        <v>41</v>
      </c>
      <c r="N31" s="12">
        <f t="shared" si="7"/>
        <v>4</v>
      </c>
      <c r="O31" s="18">
        <f t="shared" si="8"/>
        <v>0.5</v>
      </c>
      <c r="P31" s="18">
        <f t="shared" si="9"/>
        <v>2</v>
      </c>
    </row>
    <row r="32">
      <c r="A32" s="2" t="s">
        <v>92</v>
      </c>
      <c r="B32" s="10">
        <v>2.0</v>
      </c>
      <c r="C32" s="12">
        <f t="shared" si="1"/>
        <v>8</v>
      </c>
      <c r="D32" s="11">
        <v>1.0</v>
      </c>
      <c r="E32" s="20">
        <v>0.0</v>
      </c>
      <c r="F32" s="21">
        <f t="shared" si="2"/>
        <v>1</v>
      </c>
      <c r="G32" s="23">
        <f t="shared" si="3"/>
        <v>0.125</v>
      </c>
      <c r="H32" s="23">
        <f t="shared" si="4"/>
        <v>1</v>
      </c>
      <c r="I32" s="12">
        <f t="shared" si="5"/>
        <v>0</v>
      </c>
      <c r="J32" s="11">
        <v>0.0</v>
      </c>
      <c r="K32" s="11">
        <v>0.0</v>
      </c>
      <c r="L32" s="16">
        <f t="shared" si="6"/>
        <v>0</v>
      </c>
      <c r="M32" s="11" t="s">
        <v>41</v>
      </c>
      <c r="N32" s="12">
        <f t="shared" si="7"/>
        <v>4</v>
      </c>
      <c r="O32" s="18">
        <f t="shared" si="8"/>
        <v>0.5</v>
      </c>
      <c r="P32" s="18">
        <f t="shared" si="9"/>
        <v>2</v>
      </c>
    </row>
    <row r="33">
      <c r="A33" s="2" t="s">
        <v>181</v>
      </c>
      <c r="B33" s="10">
        <v>2.5</v>
      </c>
      <c r="C33" s="12">
        <f t="shared" si="1"/>
        <v>10</v>
      </c>
      <c r="D33" s="11">
        <v>1.0</v>
      </c>
      <c r="E33" s="20">
        <v>0.0</v>
      </c>
      <c r="F33" s="21">
        <f t="shared" si="2"/>
        <v>1</v>
      </c>
      <c r="G33" s="23">
        <f t="shared" si="3"/>
        <v>0.1</v>
      </c>
      <c r="H33" s="23">
        <f t="shared" si="4"/>
        <v>1</v>
      </c>
      <c r="I33" s="12">
        <f t="shared" si="5"/>
        <v>0</v>
      </c>
      <c r="J33" s="11">
        <v>0.0</v>
      </c>
      <c r="K33" s="11">
        <v>0.0</v>
      </c>
      <c r="L33" s="16">
        <f t="shared" si="6"/>
        <v>0</v>
      </c>
      <c r="M33" s="11" t="s">
        <v>41</v>
      </c>
      <c r="N33" s="12">
        <f t="shared" si="7"/>
        <v>4</v>
      </c>
      <c r="O33" s="18">
        <f t="shared" si="8"/>
        <v>0.4</v>
      </c>
      <c r="P33" s="18">
        <f t="shared" si="9"/>
        <v>1.6</v>
      </c>
    </row>
    <row r="34">
      <c r="A34" s="2" t="s">
        <v>158</v>
      </c>
      <c r="B34" s="10">
        <v>2.5</v>
      </c>
      <c r="C34" s="12">
        <f t="shared" si="1"/>
        <v>10</v>
      </c>
      <c r="D34" s="11">
        <v>1.0</v>
      </c>
      <c r="E34" s="11">
        <v>1.0</v>
      </c>
      <c r="F34" s="12">
        <f t="shared" si="2"/>
        <v>2</v>
      </c>
      <c r="G34" s="16">
        <f t="shared" si="3"/>
        <v>0.2</v>
      </c>
      <c r="H34" s="16">
        <f t="shared" si="4"/>
        <v>0.5</v>
      </c>
      <c r="I34" s="12">
        <f t="shared" si="5"/>
        <v>0</v>
      </c>
      <c r="J34" s="11">
        <v>0.0</v>
      </c>
      <c r="K34" s="11">
        <v>0.0</v>
      </c>
      <c r="L34" s="16">
        <f t="shared" si="6"/>
        <v>0</v>
      </c>
      <c r="M34" s="11" t="s">
        <v>41</v>
      </c>
      <c r="N34" s="12">
        <f t="shared" si="7"/>
        <v>4</v>
      </c>
      <c r="O34" s="18">
        <f t="shared" si="8"/>
        <v>0.4</v>
      </c>
      <c r="P34" s="18">
        <f t="shared" si="9"/>
        <v>1.6</v>
      </c>
    </row>
    <row r="35">
      <c r="A35" s="2" t="s">
        <v>55</v>
      </c>
      <c r="B35" s="10">
        <v>2.5</v>
      </c>
      <c r="C35" s="12">
        <f t="shared" si="1"/>
        <v>10</v>
      </c>
      <c r="D35" s="11">
        <v>1.0</v>
      </c>
      <c r="E35" s="20">
        <v>1.0</v>
      </c>
      <c r="F35" s="21">
        <f t="shared" si="2"/>
        <v>2</v>
      </c>
      <c r="G35" s="23">
        <f t="shared" si="3"/>
        <v>0.2</v>
      </c>
      <c r="H35" s="23">
        <f t="shared" si="4"/>
        <v>0.5</v>
      </c>
      <c r="I35" s="12">
        <f t="shared" si="5"/>
        <v>0</v>
      </c>
      <c r="J35" s="11">
        <v>0.0</v>
      </c>
      <c r="K35" s="11">
        <v>0.0</v>
      </c>
      <c r="L35" s="16">
        <f t="shared" si="6"/>
        <v>0</v>
      </c>
      <c r="M35" s="11" t="s">
        <v>41</v>
      </c>
      <c r="N35" s="12">
        <f t="shared" si="7"/>
        <v>4</v>
      </c>
      <c r="O35" s="18">
        <f t="shared" si="8"/>
        <v>0.4</v>
      </c>
      <c r="P35" s="18">
        <f t="shared" si="9"/>
        <v>1.6</v>
      </c>
    </row>
    <row r="36">
      <c r="A36" s="2" t="s">
        <v>137</v>
      </c>
      <c r="B36" s="10">
        <v>3.0</v>
      </c>
      <c r="C36" s="12">
        <f t="shared" si="1"/>
        <v>12</v>
      </c>
      <c r="D36" s="11">
        <v>1.0</v>
      </c>
      <c r="E36" s="11">
        <v>0.0</v>
      </c>
      <c r="F36" s="12">
        <f t="shared" si="2"/>
        <v>1</v>
      </c>
      <c r="G36" s="16">
        <f t="shared" si="3"/>
        <v>0.08333333333</v>
      </c>
      <c r="H36" s="16">
        <f t="shared" si="4"/>
        <v>1</v>
      </c>
      <c r="I36" s="12">
        <f t="shared" si="5"/>
        <v>0</v>
      </c>
      <c r="J36" s="11">
        <v>0.0</v>
      </c>
      <c r="K36" s="11">
        <v>0.0</v>
      </c>
      <c r="L36" s="16">
        <f t="shared" si="6"/>
        <v>0</v>
      </c>
      <c r="M36" s="11" t="s">
        <v>41</v>
      </c>
      <c r="N36" s="12">
        <f t="shared" si="7"/>
        <v>4</v>
      </c>
      <c r="O36" s="18">
        <f t="shared" si="8"/>
        <v>0.3333333333</v>
      </c>
      <c r="P36" s="18">
        <f t="shared" si="9"/>
        <v>1.333333333</v>
      </c>
    </row>
    <row r="37">
      <c r="A37" s="2" t="s">
        <v>194</v>
      </c>
      <c r="B37" s="10">
        <v>3.0</v>
      </c>
      <c r="C37" s="12">
        <f t="shared" si="1"/>
        <v>12</v>
      </c>
      <c r="D37" s="11">
        <v>1.0</v>
      </c>
      <c r="E37" s="11">
        <v>0.0</v>
      </c>
      <c r="F37" s="12">
        <f t="shared" si="2"/>
        <v>1</v>
      </c>
      <c r="G37" s="16">
        <f t="shared" si="3"/>
        <v>0.08333333333</v>
      </c>
      <c r="H37" s="16">
        <f t="shared" si="4"/>
        <v>1</v>
      </c>
      <c r="I37" s="12">
        <f t="shared" si="5"/>
        <v>0</v>
      </c>
      <c r="J37" s="11">
        <v>0.0</v>
      </c>
      <c r="K37" s="11">
        <v>0.0</v>
      </c>
      <c r="L37" s="16">
        <f t="shared" si="6"/>
        <v>0</v>
      </c>
      <c r="M37" s="11" t="s">
        <v>41</v>
      </c>
      <c r="N37" s="12">
        <f t="shared" si="7"/>
        <v>4</v>
      </c>
      <c r="O37" s="18">
        <f t="shared" si="8"/>
        <v>0.3333333333</v>
      </c>
      <c r="P37" s="18">
        <f t="shared" si="9"/>
        <v>1.333333333</v>
      </c>
    </row>
    <row r="38">
      <c r="A38" s="2" t="s">
        <v>139</v>
      </c>
      <c r="B38" s="10">
        <v>3.0</v>
      </c>
      <c r="C38" s="12">
        <f t="shared" si="1"/>
        <v>12</v>
      </c>
      <c r="D38" s="11">
        <v>1.0</v>
      </c>
      <c r="E38" s="11">
        <v>0.0</v>
      </c>
      <c r="F38" s="12">
        <f t="shared" si="2"/>
        <v>1</v>
      </c>
      <c r="G38" s="16">
        <f t="shared" si="3"/>
        <v>0.08333333333</v>
      </c>
      <c r="H38" s="16">
        <f t="shared" si="4"/>
        <v>1</v>
      </c>
      <c r="I38" s="12">
        <f t="shared" si="5"/>
        <v>0</v>
      </c>
      <c r="J38" s="11">
        <v>0.0</v>
      </c>
      <c r="K38" s="11">
        <v>0.0</v>
      </c>
      <c r="L38" s="16">
        <f t="shared" si="6"/>
        <v>0</v>
      </c>
      <c r="M38" s="11" t="s">
        <v>41</v>
      </c>
      <c r="N38" s="12">
        <f t="shared" si="7"/>
        <v>4</v>
      </c>
      <c r="O38" s="18">
        <f t="shared" si="8"/>
        <v>0.3333333333</v>
      </c>
      <c r="P38" s="18">
        <f t="shared" si="9"/>
        <v>1.333333333</v>
      </c>
    </row>
    <row r="39">
      <c r="A39" s="2" t="s">
        <v>35</v>
      </c>
      <c r="B39" s="10">
        <v>3.0</v>
      </c>
      <c r="C39" s="12">
        <f t="shared" si="1"/>
        <v>12</v>
      </c>
      <c r="D39" s="11">
        <v>1.0</v>
      </c>
      <c r="E39" s="11">
        <v>0.0</v>
      </c>
      <c r="F39" s="12">
        <f t="shared" si="2"/>
        <v>1</v>
      </c>
      <c r="G39" s="16">
        <f t="shared" si="3"/>
        <v>0.08333333333</v>
      </c>
      <c r="H39" s="16">
        <f t="shared" si="4"/>
        <v>1</v>
      </c>
      <c r="I39" s="12">
        <f t="shared" si="5"/>
        <v>0</v>
      </c>
      <c r="J39" s="11">
        <v>0.0</v>
      </c>
      <c r="K39" s="11">
        <v>0.0</v>
      </c>
      <c r="L39" s="16">
        <f t="shared" si="6"/>
        <v>0</v>
      </c>
      <c r="M39" s="11" t="s">
        <v>41</v>
      </c>
      <c r="N39" s="12">
        <f t="shared" si="7"/>
        <v>4</v>
      </c>
      <c r="O39" s="18">
        <f t="shared" si="8"/>
        <v>0.3333333333</v>
      </c>
      <c r="P39" s="18">
        <f t="shared" si="9"/>
        <v>1.333333333</v>
      </c>
    </row>
    <row r="40">
      <c r="A40" s="2" t="s">
        <v>129</v>
      </c>
      <c r="B40" s="10">
        <v>3.0</v>
      </c>
      <c r="C40" s="12">
        <f t="shared" si="1"/>
        <v>12</v>
      </c>
      <c r="D40" s="11">
        <v>1.0</v>
      </c>
      <c r="E40" s="11">
        <v>0.0</v>
      </c>
      <c r="F40" s="12">
        <f t="shared" si="2"/>
        <v>1</v>
      </c>
      <c r="G40" s="16">
        <f t="shared" si="3"/>
        <v>0.08333333333</v>
      </c>
      <c r="H40" s="16">
        <f t="shared" si="4"/>
        <v>1</v>
      </c>
      <c r="I40" s="12">
        <f t="shared" si="5"/>
        <v>0</v>
      </c>
      <c r="J40" s="11">
        <v>0.0</v>
      </c>
      <c r="K40" s="11">
        <v>0.0</v>
      </c>
      <c r="L40" s="16">
        <f t="shared" si="6"/>
        <v>0</v>
      </c>
      <c r="M40" s="11" t="s">
        <v>41</v>
      </c>
      <c r="N40" s="12">
        <f t="shared" si="7"/>
        <v>4</v>
      </c>
      <c r="O40" s="18">
        <f t="shared" si="8"/>
        <v>0.3333333333</v>
      </c>
      <c r="P40" s="18">
        <f t="shared" si="9"/>
        <v>1.333333333</v>
      </c>
    </row>
    <row r="41">
      <c r="A41" s="2" t="s">
        <v>87</v>
      </c>
      <c r="B41" s="10">
        <v>3.0</v>
      </c>
      <c r="C41" s="12">
        <f t="shared" si="1"/>
        <v>12</v>
      </c>
      <c r="D41" s="11">
        <v>1.0</v>
      </c>
      <c r="E41" s="11">
        <v>0.0</v>
      </c>
      <c r="F41" s="12">
        <f t="shared" si="2"/>
        <v>1</v>
      </c>
      <c r="G41" s="16">
        <f t="shared" si="3"/>
        <v>0.08333333333</v>
      </c>
      <c r="H41" s="16">
        <f t="shared" si="4"/>
        <v>1</v>
      </c>
      <c r="I41" s="12">
        <f t="shared" si="5"/>
        <v>0</v>
      </c>
      <c r="J41" s="11">
        <v>0.0</v>
      </c>
      <c r="K41" s="11">
        <v>0.0</v>
      </c>
      <c r="L41" s="16">
        <f t="shared" si="6"/>
        <v>0</v>
      </c>
      <c r="M41" s="11" t="s">
        <v>41</v>
      </c>
      <c r="N41" s="12">
        <f t="shared" si="7"/>
        <v>4</v>
      </c>
      <c r="O41" s="18">
        <f t="shared" si="8"/>
        <v>0.3333333333</v>
      </c>
      <c r="P41" s="18">
        <f t="shared" si="9"/>
        <v>1.333333333</v>
      </c>
    </row>
    <row r="42">
      <c r="A42" s="2" t="s">
        <v>86</v>
      </c>
      <c r="B42" s="10">
        <v>3.0</v>
      </c>
      <c r="C42" s="12">
        <f t="shared" si="1"/>
        <v>12</v>
      </c>
      <c r="D42" s="11">
        <v>1.0</v>
      </c>
      <c r="E42" s="11">
        <v>0.0</v>
      </c>
      <c r="F42" s="12">
        <f t="shared" si="2"/>
        <v>1</v>
      </c>
      <c r="G42" s="16">
        <f t="shared" si="3"/>
        <v>0.08333333333</v>
      </c>
      <c r="H42" s="16">
        <f t="shared" si="4"/>
        <v>1</v>
      </c>
      <c r="I42" s="12">
        <f t="shared" si="5"/>
        <v>0</v>
      </c>
      <c r="J42" s="11">
        <v>0.0</v>
      </c>
      <c r="K42" s="11">
        <v>0.0</v>
      </c>
      <c r="L42" s="16">
        <f t="shared" si="6"/>
        <v>0</v>
      </c>
      <c r="M42" s="11" t="s">
        <v>41</v>
      </c>
      <c r="N42" s="12">
        <f t="shared" si="7"/>
        <v>4</v>
      </c>
      <c r="O42" s="18">
        <f t="shared" si="8"/>
        <v>0.3333333333</v>
      </c>
      <c r="P42" s="18">
        <f t="shared" si="9"/>
        <v>1.333333333</v>
      </c>
    </row>
    <row r="43">
      <c r="A43" s="2" t="s">
        <v>89</v>
      </c>
      <c r="B43" s="10">
        <v>3.0</v>
      </c>
      <c r="C43" s="12">
        <f t="shared" si="1"/>
        <v>12</v>
      </c>
      <c r="D43" s="11">
        <v>1.0</v>
      </c>
      <c r="E43" s="11">
        <v>0.0</v>
      </c>
      <c r="F43" s="12">
        <f t="shared" si="2"/>
        <v>1</v>
      </c>
      <c r="G43" s="16">
        <f t="shared" si="3"/>
        <v>0.08333333333</v>
      </c>
      <c r="H43" s="16">
        <f t="shared" si="4"/>
        <v>1</v>
      </c>
      <c r="I43" s="12">
        <f t="shared" si="5"/>
        <v>0</v>
      </c>
      <c r="J43" s="11">
        <v>0.0</v>
      </c>
      <c r="K43" s="11">
        <v>0.0</v>
      </c>
      <c r="L43" s="16">
        <f t="shared" si="6"/>
        <v>0</v>
      </c>
      <c r="M43" s="11" t="s">
        <v>41</v>
      </c>
      <c r="N43" s="12">
        <f t="shared" si="7"/>
        <v>4</v>
      </c>
      <c r="O43" s="18">
        <f t="shared" si="8"/>
        <v>0.3333333333</v>
      </c>
      <c r="P43" s="18">
        <f t="shared" si="9"/>
        <v>1.333333333</v>
      </c>
    </row>
    <row r="44">
      <c r="A44" s="2" t="s">
        <v>105</v>
      </c>
      <c r="B44" s="10">
        <v>3.0</v>
      </c>
      <c r="C44" s="12">
        <f t="shared" si="1"/>
        <v>12</v>
      </c>
      <c r="D44" s="11">
        <v>1.0</v>
      </c>
      <c r="E44" s="11">
        <v>0.0</v>
      </c>
      <c r="F44" s="12">
        <f t="shared" si="2"/>
        <v>1</v>
      </c>
      <c r="G44" s="16">
        <f t="shared" si="3"/>
        <v>0.08333333333</v>
      </c>
      <c r="H44" s="16">
        <f t="shared" si="4"/>
        <v>1</v>
      </c>
      <c r="I44" s="12">
        <f t="shared" si="5"/>
        <v>0</v>
      </c>
      <c r="J44" s="11">
        <v>0.0</v>
      </c>
      <c r="K44" s="11">
        <v>0.0</v>
      </c>
      <c r="L44" s="16">
        <f t="shared" si="6"/>
        <v>0</v>
      </c>
      <c r="M44" s="11" t="s">
        <v>41</v>
      </c>
      <c r="N44" s="12">
        <f t="shared" si="7"/>
        <v>4</v>
      </c>
      <c r="O44" s="18">
        <f t="shared" si="8"/>
        <v>0.3333333333</v>
      </c>
      <c r="P44" s="18">
        <f t="shared" si="9"/>
        <v>1.333333333</v>
      </c>
    </row>
    <row r="45">
      <c r="A45" s="2" t="s">
        <v>122</v>
      </c>
      <c r="B45" s="10">
        <v>3.0</v>
      </c>
      <c r="C45" s="12">
        <f t="shared" si="1"/>
        <v>12</v>
      </c>
      <c r="D45" s="11">
        <v>1.0</v>
      </c>
      <c r="E45" s="11">
        <v>0.0</v>
      </c>
      <c r="F45" s="12">
        <f t="shared" si="2"/>
        <v>1</v>
      </c>
      <c r="G45" s="16">
        <f t="shared" si="3"/>
        <v>0.08333333333</v>
      </c>
      <c r="H45" s="16">
        <f t="shared" si="4"/>
        <v>1</v>
      </c>
      <c r="I45" s="12">
        <f t="shared" si="5"/>
        <v>0</v>
      </c>
      <c r="J45" s="11">
        <v>0.0</v>
      </c>
      <c r="K45" s="11">
        <v>0.0</v>
      </c>
      <c r="L45" s="16">
        <f t="shared" si="6"/>
        <v>0</v>
      </c>
      <c r="M45" s="11" t="s">
        <v>41</v>
      </c>
      <c r="N45" s="12">
        <f t="shared" si="7"/>
        <v>4</v>
      </c>
      <c r="O45" s="18">
        <f t="shared" si="8"/>
        <v>0.3333333333</v>
      </c>
      <c r="P45" s="18">
        <f t="shared" si="9"/>
        <v>1.333333333</v>
      </c>
    </row>
    <row r="46">
      <c r="A46" s="2" t="s">
        <v>118</v>
      </c>
      <c r="B46" s="10">
        <v>3.0</v>
      </c>
      <c r="C46" s="12">
        <f t="shared" si="1"/>
        <v>12</v>
      </c>
      <c r="D46" s="11">
        <v>1.0</v>
      </c>
      <c r="E46" s="20">
        <v>0.0</v>
      </c>
      <c r="F46" s="21">
        <f t="shared" si="2"/>
        <v>1</v>
      </c>
      <c r="G46" s="23">
        <f t="shared" si="3"/>
        <v>0.08333333333</v>
      </c>
      <c r="H46" s="23">
        <f t="shared" si="4"/>
        <v>1</v>
      </c>
      <c r="I46" s="12">
        <f t="shared" si="5"/>
        <v>0</v>
      </c>
      <c r="J46" s="11">
        <v>0.0</v>
      </c>
      <c r="K46" s="11">
        <v>0.0</v>
      </c>
      <c r="L46" s="16">
        <f t="shared" si="6"/>
        <v>0</v>
      </c>
      <c r="M46" s="11" t="s">
        <v>41</v>
      </c>
      <c r="N46" s="12">
        <f t="shared" si="7"/>
        <v>4</v>
      </c>
      <c r="O46" s="18">
        <f t="shared" si="8"/>
        <v>0.3333333333</v>
      </c>
      <c r="P46" s="18">
        <f t="shared" si="9"/>
        <v>1.333333333</v>
      </c>
    </row>
    <row r="47">
      <c r="A47" s="2" t="s">
        <v>82</v>
      </c>
      <c r="B47" s="10">
        <v>3.0</v>
      </c>
      <c r="C47" s="12">
        <f t="shared" si="1"/>
        <v>12</v>
      </c>
      <c r="D47" s="11">
        <v>1.0</v>
      </c>
      <c r="E47" s="11">
        <v>0.0</v>
      </c>
      <c r="F47" s="12">
        <f t="shared" si="2"/>
        <v>1</v>
      </c>
      <c r="G47" s="16">
        <f t="shared" si="3"/>
        <v>0.08333333333</v>
      </c>
      <c r="H47" s="16">
        <f t="shared" si="4"/>
        <v>1</v>
      </c>
      <c r="I47" s="12">
        <f t="shared" si="5"/>
        <v>0</v>
      </c>
      <c r="J47" s="11">
        <v>0.0</v>
      </c>
      <c r="K47" s="11">
        <v>0.0</v>
      </c>
      <c r="L47" s="16">
        <f t="shared" si="6"/>
        <v>0</v>
      </c>
      <c r="M47" s="11" t="s">
        <v>41</v>
      </c>
      <c r="N47" s="12">
        <f t="shared" si="7"/>
        <v>4</v>
      </c>
      <c r="O47" s="18">
        <f t="shared" si="8"/>
        <v>0.3333333333</v>
      </c>
      <c r="P47" s="18">
        <f t="shared" si="9"/>
        <v>1.333333333</v>
      </c>
    </row>
    <row r="48">
      <c r="A48" s="2" t="s">
        <v>183</v>
      </c>
      <c r="B48" s="10">
        <v>3.0</v>
      </c>
      <c r="C48" s="12">
        <f t="shared" si="1"/>
        <v>12</v>
      </c>
      <c r="D48" s="11">
        <v>1.0</v>
      </c>
      <c r="E48" s="11">
        <v>0.0</v>
      </c>
      <c r="F48" s="12">
        <f t="shared" si="2"/>
        <v>1</v>
      </c>
      <c r="G48" s="16">
        <f t="shared" si="3"/>
        <v>0.08333333333</v>
      </c>
      <c r="H48" s="16">
        <f t="shared" si="4"/>
        <v>1</v>
      </c>
      <c r="I48" s="12">
        <f t="shared" si="5"/>
        <v>0</v>
      </c>
      <c r="J48" s="11">
        <v>0.0</v>
      </c>
      <c r="K48" s="11">
        <v>0.0</v>
      </c>
      <c r="L48" s="16">
        <f t="shared" si="6"/>
        <v>0</v>
      </c>
      <c r="M48" s="11" t="s">
        <v>41</v>
      </c>
      <c r="N48" s="12">
        <f t="shared" si="7"/>
        <v>4</v>
      </c>
      <c r="O48" s="18">
        <f t="shared" si="8"/>
        <v>0.3333333333</v>
      </c>
      <c r="P48" s="18">
        <f t="shared" si="9"/>
        <v>1.333333333</v>
      </c>
    </row>
    <row r="49">
      <c r="A49" s="2" t="s">
        <v>144</v>
      </c>
      <c r="B49" s="10">
        <v>3.0</v>
      </c>
      <c r="C49" s="12">
        <f t="shared" si="1"/>
        <v>12</v>
      </c>
      <c r="D49" s="11">
        <v>2.0</v>
      </c>
      <c r="E49" s="11">
        <v>1.0</v>
      </c>
      <c r="F49" s="12">
        <f t="shared" si="2"/>
        <v>3</v>
      </c>
      <c r="G49" s="16">
        <f t="shared" si="3"/>
        <v>0.25</v>
      </c>
      <c r="H49" s="16">
        <f t="shared" si="4"/>
        <v>0.6666666667</v>
      </c>
      <c r="I49" s="12">
        <f t="shared" si="5"/>
        <v>1</v>
      </c>
      <c r="J49" s="11">
        <v>0.0</v>
      </c>
      <c r="K49" s="11">
        <v>1.0</v>
      </c>
      <c r="L49" s="16">
        <f t="shared" si="6"/>
        <v>0.08333333333</v>
      </c>
      <c r="M49" s="16">
        <f>J49/I49</f>
        <v>0</v>
      </c>
      <c r="N49" s="12">
        <f t="shared" si="7"/>
        <v>4</v>
      </c>
      <c r="O49" s="18">
        <f t="shared" si="8"/>
        <v>0.3333333333</v>
      </c>
      <c r="P49" s="18">
        <f t="shared" si="9"/>
        <v>1.333333333</v>
      </c>
    </row>
    <row r="50">
      <c r="A50" s="2" t="s">
        <v>95</v>
      </c>
      <c r="B50" s="10">
        <v>3.0</v>
      </c>
      <c r="C50" s="12">
        <f t="shared" si="1"/>
        <v>12</v>
      </c>
      <c r="D50" s="11">
        <v>1.0</v>
      </c>
      <c r="E50" s="11">
        <v>1.0</v>
      </c>
      <c r="F50" s="12">
        <f t="shared" si="2"/>
        <v>2</v>
      </c>
      <c r="G50" s="16">
        <f t="shared" si="3"/>
        <v>0.1666666667</v>
      </c>
      <c r="H50" s="16">
        <f t="shared" si="4"/>
        <v>0.5</v>
      </c>
      <c r="I50" s="12">
        <f t="shared" si="5"/>
        <v>0</v>
      </c>
      <c r="J50" s="11">
        <v>0.0</v>
      </c>
      <c r="K50" s="11">
        <v>0.0</v>
      </c>
      <c r="L50" s="16">
        <f t="shared" si="6"/>
        <v>0</v>
      </c>
      <c r="M50" s="11" t="s">
        <v>41</v>
      </c>
      <c r="N50" s="12">
        <f t="shared" si="7"/>
        <v>4</v>
      </c>
      <c r="O50" s="18">
        <f t="shared" si="8"/>
        <v>0.3333333333</v>
      </c>
      <c r="P50" s="18">
        <f t="shared" si="9"/>
        <v>1.333333333</v>
      </c>
    </row>
    <row r="51">
      <c r="A51" s="2" t="s">
        <v>167</v>
      </c>
      <c r="B51" s="10">
        <v>3.0</v>
      </c>
      <c r="C51" s="12">
        <f t="shared" si="1"/>
        <v>12</v>
      </c>
      <c r="D51" s="11">
        <v>1.0</v>
      </c>
      <c r="E51" s="20">
        <v>1.0</v>
      </c>
      <c r="F51" s="21">
        <f t="shared" si="2"/>
        <v>2</v>
      </c>
      <c r="G51" s="23">
        <f t="shared" si="3"/>
        <v>0.1666666667</v>
      </c>
      <c r="H51" s="23">
        <f t="shared" si="4"/>
        <v>0.5</v>
      </c>
      <c r="I51" s="12">
        <f t="shared" si="5"/>
        <v>0</v>
      </c>
      <c r="J51" s="11">
        <v>0.0</v>
      </c>
      <c r="K51" s="11">
        <v>0.0</v>
      </c>
      <c r="L51" s="16">
        <f t="shared" si="6"/>
        <v>0</v>
      </c>
      <c r="M51" s="11" t="s">
        <v>41</v>
      </c>
      <c r="N51" s="12">
        <f t="shared" si="7"/>
        <v>4</v>
      </c>
      <c r="O51" s="18">
        <f t="shared" si="8"/>
        <v>0.3333333333</v>
      </c>
      <c r="P51" s="18">
        <f t="shared" si="9"/>
        <v>1.333333333</v>
      </c>
    </row>
    <row r="52">
      <c r="A52" s="2" t="s">
        <v>187</v>
      </c>
      <c r="B52" s="10">
        <v>3.0</v>
      </c>
      <c r="C52" s="12">
        <f t="shared" si="1"/>
        <v>12</v>
      </c>
      <c r="D52" s="11">
        <v>1.0</v>
      </c>
      <c r="E52" s="20">
        <v>1.0</v>
      </c>
      <c r="F52" s="21">
        <f t="shared" si="2"/>
        <v>2</v>
      </c>
      <c r="G52" s="23">
        <f t="shared" si="3"/>
        <v>0.1666666667</v>
      </c>
      <c r="H52" s="23">
        <f t="shared" si="4"/>
        <v>0.5</v>
      </c>
      <c r="I52" s="12">
        <f t="shared" si="5"/>
        <v>0</v>
      </c>
      <c r="J52" s="11">
        <v>0.0</v>
      </c>
      <c r="K52" s="11">
        <v>0.0</v>
      </c>
      <c r="L52" s="16">
        <f t="shared" si="6"/>
        <v>0</v>
      </c>
      <c r="M52" s="11" t="s">
        <v>41</v>
      </c>
      <c r="N52" s="12">
        <f t="shared" si="7"/>
        <v>4</v>
      </c>
      <c r="O52" s="18">
        <f t="shared" si="8"/>
        <v>0.3333333333</v>
      </c>
      <c r="P52" s="18">
        <f t="shared" si="9"/>
        <v>1.333333333</v>
      </c>
    </row>
    <row r="53">
      <c r="A53" s="2" t="s">
        <v>45</v>
      </c>
      <c r="B53" s="10">
        <v>3.0</v>
      </c>
      <c r="C53" s="12">
        <f t="shared" si="1"/>
        <v>12</v>
      </c>
      <c r="D53" s="11">
        <v>1.0</v>
      </c>
      <c r="E53" s="11">
        <v>2.0</v>
      </c>
      <c r="F53" s="12">
        <f t="shared" si="2"/>
        <v>3</v>
      </c>
      <c r="G53" s="16">
        <f t="shared" si="3"/>
        <v>0.25</v>
      </c>
      <c r="H53" s="16">
        <f t="shared" si="4"/>
        <v>0.3333333333</v>
      </c>
      <c r="I53" s="12">
        <f t="shared" si="5"/>
        <v>0</v>
      </c>
      <c r="J53" s="11">
        <v>0.0</v>
      </c>
      <c r="K53" s="11">
        <v>0.0</v>
      </c>
      <c r="L53" s="16">
        <f t="shared" si="6"/>
        <v>0</v>
      </c>
      <c r="M53" s="11" t="s">
        <v>41</v>
      </c>
      <c r="N53" s="12">
        <f t="shared" si="7"/>
        <v>4</v>
      </c>
      <c r="O53" s="18">
        <f t="shared" si="8"/>
        <v>0.3333333333</v>
      </c>
      <c r="P53" s="18">
        <f t="shared" si="9"/>
        <v>1.333333333</v>
      </c>
    </row>
    <row r="54">
      <c r="A54" s="2" t="s">
        <v>203</v>
      </c>
      <c r="B54" s="10">
        <v>3.0</v>
      </c>
      <c r="C54" s="12">
        <f t="shared" si="1"/>
        <v>12</v>
      </c>
      <c r="D54" s="11">
        <v>1.0</v>
      </c>
      <c r="E54" s="11">
        <v>2.0</v>
      </c>
      <c r="F54" s="12">
        <f t="shared" si="2"/>
        <v>3</v>
      </c>
      <c r="G54" s="16">
        <f t="shared" si="3"/>
        <v>0.25</v>
      </c>
      <c r="H54" s="16">
        <f t="shared" si="4"/>
        <v>0.3333333333</v>
      </c>
      <c r="I54" s="12">
        <f t="shared" si="5"/>
        <v>0</v>
      </c>
      <c r="J54" s="11">
        <v>0.0</v>
      </c>
      <c r="K54" s="11">
        <v>0.0</v>
      </c>
      <c r="L54" s="16">
        <f t="shared" si="6"/>
        <v>0</v>
      </c>
      <c r="M54" s="11" t="s">
        <v>41</v>
      </c>
      <c r="N54" s="12">
        <f t="shared" si="7"/>
        <v>4</v>
      </c>
      <c r="O54" s="18">
        <f t="shared" si="8"/>
        <v>0.3333333333</v>
      </c>
      <c r="P54" s="18">
        <f t="shared" si="9"/>
        <v>1.333333333</v>
      </c>
    </row>
    <row r="55">
      <c r="A55" s="2" t="s">
        <v>127</v>
      </c>
      <c r="B55" s="10">
        <v>3.0</v>
      </c>
      <c r="C55" s="12">
        <f t="shared" si="1"/>
        <v>12</v>
      </c>
      <c r="D55" s="11">
        <v>1.0</v>
      </c>
      <c r="E55" s="11">
        <v>2.0</v>
      </c>
      <c r="F55" s="12">
        <f t="shared" si="2"/>
        <v>3</v>
      </c>
      <c r="G55" s="16">
        <f t="shared" si="3"/>
        <v>0.25</v>
      </c>
      <c r="H55" s="16">
        <f t="shared" si="4"/>
        <v>0.3333333333</v>
      </c>
      <c r="I55" s="12">
        <f t="shared" si="5"/>
        <v>0</v>
      </c>
      <c r="J55" s="11">
        <v>0.0</v>
      </c>
      <c r="K55" s="11">
        <v>0.0</v>
      </c>
      <c r="L55" s="16">
        <f t="shared" si="6"/>
        <v>0</v>
      </c>
      <c r="M55" s="11" t="s">
        <v>41</v>
      </c>
      <c r="N55" s="12">
        <f t="shared" si="7"/>
        <v>4</v>
      </c>
      <c r="O55" s="18">
        <f t="shared" si="8"/>
        <v>0.3333333333</v>
      </c>
      <c r="P55" s="18">
        <f t="shared" si="9"/>
        <v>1.333333333</v>
      </c>
    </row>
    <row r="56">
      <c r="A56" s="2" t="s">
        <v>108</v>
      </c>
      <c r="B56" s="10">
        <v>3.0</v>
      </c>
      <c r="C56" s="12">
        <f t="shared" si="1"/>
        <v>12</v>
      </c>
      <c r="D56" s="11">
        <v>2.0</v>
      </c>
      <c r="E56" s="11">
        <v>4.0</v>
      </c>
      <c r="F56" s="12">
        <f t="shared" si="2"/>
        <v>6</v>
      </c>
      <c r="G56" s="16">
        <f t="shared" si="3"/>
        <v>0.5</v>
      </c>
      <c r="H56" s="16">
        <f t="shared" si="4"/>
        <v>0.3333333333</v>
      </c>
      <c r="I56" s="12">
        <f t="shared" si="5"/>
        <v>1</v>
      </c>
      <c r="J56" s="11">
        <v>0.0</v>
      </c>
      <c r="K56" s="11">
        <v>1.0</v>
      </c>
      <c r="L56" s="16">
        <f t="shared" si="6"/>
        <v>0.08333333333</v>
      </c>
      <c r="M56" s="16">
        <f t="shared" ref="M56:M57" si="14">J56/I56</f>
        <v>0</v>
      </c>
      <c r="N56" s="12">
        <f t="shared" si="7"/>
        <v>4</v>
      </c>
      <c r="O56" s="18">
        <f t="shared" si="8"/>
        <v>0.3333333333</v>
      </c>
      <c r="P56" s="18">
        <f t="shared" si="9"/>
        <v>1.333333333</v>
      </c>
    </row>
    <row r="57">
      <c r="A57" s="2" t="s">
        <v>112</v>
      </c>
      <c r="B57" s="10">
        <v>3.0</v>
      </c>
      <c r="C57" s="12">
        <f t="shared" si="1"/>
        <v>12</v>
      </c>
      <c r="D57" s="11">
        <v>1.0</v>
      </c>
      <c r="E57" s="20">
        <v>2.0</v>
      </c>
      <c r="F57" s="21">
        <f t="shared" si="2"/>
        <v>3</v>
      </c>
      <c r="G57" s="23">
        <f t="shared" si="3"/>
        <v>0.25</v>
      </c>
      <c r="H57" s="23">
        <f t="shared" si="4"/>
        <v>0.3333333333</v>
      </c>
      <c r="I57" s="12">
        <f t="shared" si="5"/>
        <v>1</v>
      </c>
      <c r="J57" s="11">
        <v>1.0</v>
      </c>
      <c r="K57" s="11">
        <v>0.0</v>
      </c>
      <c r="L57" s="16">
        <f t="shared" si="6"/>
        <v>0.08333333333</v>
      </c>
      <c r="M57" s="16">
        <f t="shared" si="14"/>
        <v>1</v>
      </c>
      <c r="N57" s="12">
        <f t="shared" si="7"/>
        <v>4</v>
      </c>
      <c r="O57" s="18">
        <f t="shared" si="8"/>
        <v>0.3333333333</v>
      </c>
      <c r="P57" s="18">
        <f t="shared" si="9"/>
        <v>1.333333333</v>
      </c>
    </row>
    <row r="58">
      <c r="A58" s="2" t="s">
        <v>133</v>
      </c>
      <c r="B58" s="10">
        <v>3.0</v>
      </c>
      <c r="C58" s="12">
        <f t="shared" si="1"/>
        <v>12</v>
      </c>
      <c r="D58" s="11">
        <v>1.0</v>
      </c>
      <c r="E58" s="11">
        <v>3.0</v>
      </c>
      <c r="F58" s="12">
        <f t="shared" si="2"/>
        <v>4</v>
      </c>
      <c r="G58" s="16">
        <f t="shared" si="3"/>
        <v>0.3333333333</v>
      </c>
      <c r="H58" s="16">
        <f t="shared" si="4"/>
        <v>0.25</v>
      </c>
      <c r="I58" s="12">
        <f t="shared" si="5"/>
        <v>0</v>
      </c>
      <c r="J58" s="11">
        <v>0.0</v>
      </c>
      <c r="K58" s="11">
        <v>0.0</v>
      </c>
      <c r="L58" s="16">
        <f t="shared" si="6"/>
        <v>0</v>
      </c>
      <c r="M58" s="11" t="s">
        <v>41</v>
      </c>
      <c r="N58" s="12">
        <f t="shared" si="7"/>
        <v>4</v>
      </c>
      <c r="O58" s="18">
        <f t="shared" si="8"/>
        <v>0.3333333333</v>
      </c>
      <c r="P58" s="18">
        <f t="shared" si="9"/>
        <v>1.333333333</v>
      </c>
    </row>
    <row r="59">
      <c r="A59" s="2" t="s">
        <v>200</v>
      </c>
      <c r="B59" s="10">
        <v>3.0</v>
      </c>
      <c r="C59" s="12">
        <f t="shared" si="1"/>
        <v>12</v>
      </c>
      <c r="D59" s="11">
        <v>1.0</v>
      </c>
      <c r="E59" s="11">
        <v>3.0</v>
      </c>
      <c r="F59" s="12">
        <f t="shared" si="2"/>
        <v>4</v>
      </c>
      <c r="G59" s="16">
        <f t="shared" si="3"/>
        <v>0.3333333333</v>
      </c>
      <c r="H59" s="16">
        <f t="shared" si="4"/>
        <v>0.25</v>
      </c>
      <c r="I59" s="12">
        <f t="shared" si="5"/>
        <v>0</v>
      </c>
      <c r="J59" s="11">
        <v>0.0</v>
      </c>
      <c r="K59" s="11">
        <v>0.0</v>
      </c>
      <c r="L59" s="16">
        <f t="shared" si="6"/>
        <v>0</v>
      </c>
      <c r="M59" s="11" t="s">
        <v>41</v>
      </c>
      <c r="N59" s="12">
        <f t="shared" si="7"/>
        <v>4</v>
      </c>
      <c r="O59" s="18">
        <f t="shared" si="8"/>
        <v>0.3333333333</v>
      </c>
      <c r="P59" s="18">
        <f t="shared" si="9"/>
        <v>1.333333333</v>
      </c>
    </row>
    <row r="60">
      <c r="A60" s="2" t="s">
        <v>179</v>
      </c>
      <c r="B60" s="10">
        <v>3.0</v>
      </c>
      <c r="C60" s="12">
        <f t="shared" si="1"/>
        <v>12</v>
      </c>
      <c r="D60" s="11">
        <v>1.0</v>
      </c>
      <c r="E60" s="11">
        <v>6.0</v>
      </c>
      <c r="F60" s="12">
        <f t="shared" si="2"/>
        <v>7</v>
      </c>
      <c r="G60" s="16">
        <f t="shared" si="3"/>
        <v>0.5833333333</v>
      </c>
      <c r="H60" s="16">
        <f t="shared" si="4"/>
        <v>0.1428571429</v>
      </c>
      <c r="I60" s="12">
        <f t="shared" si="5"/>
        <v>0</v>
      </c>
      <c r="J60" s="11">
        <v>0.0</v>
      </c>
      <c r="K60" s="11">
        <v>0.0</v>
      </c>
      <c r="L60" s="16">
        <f t="shared" si="6"/>
        <v>0</v>
      </c>
      <c r="M60" s="11" t="s">
        <v>41</v>
      </c>
      <c r="N60" s="12">
        <f t="shared" si="7"/>
        <v>4</v>
      </c>
      <c r="O60" s="18">
        <f t="shared" si="8"/>
        <v>0.3333333333</v>
      </c>
      <c r="P60" s="18">
        <f t="shared" si="9"/>
        <v>1.333333333</v>
      </c>
    </row>
    <row r="61">
      <c r="A61" s="2" t="s">
        <v>80</v>
      </c>
      <c r="B61" s="10">
        <v>3.0</v>
      </c>
      <c r="C61" s="12">
        <f t="shared" si="1"/>
        <v>12</v>
      </c>
      <c r="D61" s="11">
        <v>0.0</v>
      </c>
      <c r="E61" s="20">
        <v>0.0</v>
      </c>
      <c r="F61" s="21">
        <f t="shared" si="2"/>
        <v>0</v>
      </c>
      <c r="G61" s="23">
        <f t="shared" si="3"/>
        <v>0</v>
      </c>
      <c r="H61" s="20" t="s">
        <v>41</v>
      </c>
      <c r="I61" s="12">
        <f t="shared" si="5"/>
        <v>0</v>
      </c>
      <c r="J61" s="11">
        <v>0.0</v>
      </c>
      <c r="K61" s="11">
        <v>0.0</v>
      </c>
      <c r="L61" s="16">
        <f t="shared" si="6"/>
        <v>0</v>
      </c>
      <c r="M61" s="11" t="s">
        <v>41</v>
      </c>
      <c r="N61" s="12">
        <f t="shared" si="7"/>
        <v>0</v>
      </c>
      <c r="O61" s="18">
        <f t="shared" si="8"/>
        <v>0</v>
      </c>
      <c r="P61" s="18">
        <f t="shared" si="9"/>
        <v>0</v>
      </c>
    </row>
    <row r="62">
      <c r="A62" s="2" t="s">
        <v>188</v>
      </c>
      <c r="B62" s="10">
        <v>3.0</v>
      </c>
      <c r="C62" s="12">
        <f t="shared" si="1"/>
        <v>12</v>
      </c>
      <c r="D62" s="11">
        <v>0.0</v>
      </c>
      <c r="E62" s="11">
        <v>0.0</v>
      </c>
      <c r="F62" s="12">
        <f t="shared" si="2"/>
        <v>0</v>
      </c>
      <c r="G62" s="16">
        <f t="shared" si="3"/>
        <v>0</v>
      </c>
      <c r="H62" s="11" t="s">
        <v>41</v>
      </c>
      <c r="I62" s="12">
        <f t="shared" si="5"/>
        <v>0</v>
      </c>
      <c r="J62" s="11">
        <v>0.0</v>
      </c>
      <c r="K62" s="11">
        <v>0.0</v>
      </c>
      <c r="L62" s="16">
        <f t="shared" si="6"/>
        <v>0</v>
      </c>
      <c r="M62" s="11" t="s">
        <v>41</v>
      </c>
      <c r="N62" s="12">
        <f t="shared" si="7"/>
        <v>0</v>
      </c>
      <c r="O62" s="18">
        <f t="shared" si="8"/>
        <v>0</v>
      </c>
      <c r="P62" s="18">
        <f t="shared" si="9"/>
        <v>0</v>
      </c>
    </row>
    <row r="63">
      <c r="A63" s="2" t="s">
        <v>190</v>
      </c>
      <c r="B63" s="10">
        <v>3.0</v>
      </c>
      <c r="C63" s="12">
        <f t="shared" si="1"/>
        <v>12</v>
      </c>
      <c r="D63" s="11">
        <v>0.0</v>
      </c>
      <c r="E63" s="11">
        <v>0.0</v>
      </c>
      <c r="F63" s="12">
        <f t="shared" si="2"/>
        <v>0</v>
      </c>
      <c r="G63" s="16">
        <f t="shared" si="3"/>
        <v>0</v>
      </c>
      <c r="H63" s="11" t="s">
        <v>41</v>
      </c>
      <c r="I63" s="12">
        <f t="shared" si="5"/>
        <v>0</v>
      </c>
      <c r="J63" s="11">
        <v>0.0</v>
      </c>
      <c r="K63" s="11">
        <v>0.0</v>
      </c>
      <c r="L63" s="16">
        <f t="shared" si="6"/>
        <v>0</v>
      </c>
      <c r="M63" s="11" t="s">
        <v>41</v>
      </c>
      <c r="N63" s="12">
        <f t="shared" si="7"/>
        <v>0</v>
      </c>
      <c r="O63" s="18">
        <f t="shared" si="8"/>
        <v>0</v>
      </c>
      <c r="P63" s="18">
        <f t="shared" si="9"/>
        <v>0</v>
      </c>
    </row>
    <row r="64">
      <c r="A64" s="2" t="s">
        <v>142</v>
      </c>
      <c r="B64" s="10">
        <v>3.0</v>
      </c>
      <c r="C64" s="12">
        <f t="shared" si="1"/>
        <v>12</v>
      </c>
      <c r="D64" s="11">
        <v>0.0</v>
      </c>
      <c r="E64" s="20">
        <v>0.0</v>
      </c>
      <c r="F64" s="21">
        <f t="shared" si="2"/>
        <v>0</v>
      </c>
      <c r="G64" s="23">
        <f t="shared" si="3"/>
        <v>0</v>
      </c>
      <c r="H64" s="20" t="s">
        <v>41</v>
      </c>
      <c r="I64" s="12">
        <f t="shared" si="5"/>
        <v>0</v>
      </c>
      <c r="J64" s="11">
        <v>0.0</v>
      </c>
      <c r="K64" s="11">
        <v>0.0</v>
      </c>
      <c r="L64" s="16">
        <f t="shared" si="6"/>
        <v>0</v>
      </c>
      <c r="M64" s="11" t="s">
        <v>41</v>
      </c>
      <c r="N64" s="12">
        <f t="shared" si="7"/>
        <v>0</v>
      </c>
      <c r="O64" s="18">
        <f t="shared" si="8"/>
        <v>0</v>
      </c>
      <c r="P64" s="18">
        <f t="shared" si="9"/>
        <v>0</v>
      </c>
    </row>
    <row r="65">
      <c r="A65" s="2" t="s">
        <v>156</v>
      </c>
      <c r="B65" s="10">
        <v>3.0</v>
      </c>
      <c r="C65" s="12">
        <f t="shared" si="1"/>
        <v>12</v>
      </c>
      <c r="D65" s="11">
        <v>0.0</v>
      </c>
      <c r="E65" s="11">
        <v>0.0</v>
      </c>
      <c r="F65" s="12">
        <f t="shared" si="2"/>
        <v>0</v>
      </c>
      <c r="G65" s="16">
        <f t="shared" si="3"/>
        <v>0</v>
      </c>
      <c r="H65" s="11" t="s">
        <v>41</v>
      </c>
      <c r="I65" s="12">
        <f t="shared" si="5"/>
        <v>0</v>
      </c>
      <c r="J65" s="11">
        <v>0.0</v>
      </c>
      <c r="K65" s="11">
        <v>0.0</v>
      </c>
      <c r="L65" s="16">
        <f t="shared" si="6"/>
        <v>0</v>
      </c>
      <c r="M65" s="11" t="s">
        <v>41</v>
      </c>
      <c r="N65" s="12">
        <f t="shared" si="7"/>
        <v>0</v>
      </c>
      <c r="O65" s="18">
        <f t="shared" si="8"/>
        <v>0</v>
      </c>
      <c r="P65" s="18">
        <f t="shared" si="9"/>
        <v>0</v>
      </c>
    </row>
    <row r="66">
      <c r="A66" s="2" t="s">
        <v>126</v>
      </c>
      <c r="B66" s="10">
        <v>3.0</v>
      </c>
      <c r="C66" s="12">
        <f t="shared" si="1"/>
        <v>12</v>
      </c>
      <c r="D66" s="11">
        <v>0.0</v>
      </c>
      <c r="E66" s="11">
        <v>0.0</v>
      </c>
      <c r="F66" s="12">
        <f t="shared" si="2"/>
        <v>0</v>
      </c>
      <c r="G66" s="16">
        <f t="shared" si="3"/>
        <v>0</v>
      </c>
      <c r="H66" s="11" t="s">
        <v>41</v>
      </c>
      <c r="I66" s="12">
        <f t="shared" si="5"/>
        <v>0</v>
      </c>
      <c r="J66" s="11">
        <v>0.0</v>
      </c>
      <c r="K66" s="11">
        <v>0.0</v>
      </c>
      <c r="L66" s="16">
        <f t="shared" si="6"/>
        <v>0</v>
      </c>
      <c r="M66" s="11" t="s">
        <v>41</v>
      </c>
      <c r="N66" s="12">
        <f t="shared" si="7"/>
        <v>0</v>
      </c>
      <c r="O66" s="18">
        <f t="shared" si="8"/>
        <v>0</v>
      </c>
      <c r="P66" s="18">
        <f t="shared" si="9"/>
        <v>0</v>
      </c>
    </row>
    <row r="67">
      <c r="A67" s="2" t="s">
        <v>195</v>
      </c>
      <c r="B67" s="10">
        <v>3.0</v>
      </c>
      <c r="C67" s="12">
        <f t="shared" si="1"/>
        <v>12</v>
      </c>
      <c r="D67" s="11">
        <v>0.0</v>
      </c>
      <c r="E67" s="11">
        <v>0.0</v>
      </c>
      <c r="F67" s="12">
        <f t="shared" si="2"/>
        <v>0</v>
      </c>
      <c r="G67" s="16">
        <f t="shared" si="3"/>
        <v>0</v>
      </c>
      <c r="H67" s="11" t="s">
        <v>41</v>
      </c>
      <c r="I67" s="12">
        <f t="shared" si="5"/>
        <v>0</v>
      </c>
      <c r="J67" s="11">
        <v>0.0</v>
      </c>
      <c r="K67" s="11">
        <v>0.0</v>
      </c>
      <c r="L67" s="16">
        <f t="shared" si="6"/>
        <v>0</v>
      </c>
      <c r="M67" s="11" t="s">
        <v>41</v>
      </c>
      <c r="N67" s="12">
        <f t="shared" si="7"/>
        <v>0</v>
      </c>
      <c r="O67" s="18">
        <f t="shared" si="8"/>
        <v>0</v>
      </c>
      <c r="P67" s="18">
        <f t="shared" si="9"/>
        <v>0</v>
      </c>
    </row>
    <row r="68">
      <c r="A68" s="2" t="s">
        <v>148</v>
      </c>
      <c r="B68" s="10">
        <v>3.0</v>
      </c>
      <c r="C68" s="12">
        <f t="shared" si="1"/>
        <v>12</v>
      </c>
      <c r="D68" s="11">
        <v>0.0</v>
      </c>
      <c r="E68" s="11">
        <v>0.0</v>
      </c>
      <c r="F68" s="12">
        <f t="shared" si="2"/>
        <v>0</v>
      </c>
      <c r="G68" s="16">
        <f t="shared" si="3"/>
        <v>0</v>
      </c>
      <c r="H68" s="11" t="s">
        <v>41</v>
      </c>
      <c r="I68" s="12">
        <f t="shared" si="5"/>
        <v>0</v>
      </c>
      <c r="J68" s="11">
        <v>0.0</v>
      </c>
      <c r="K68" s="11">
        <v>0.0</v>
      </c>
      <c r="L68" s="16">
        <f t="shared" si="6"/>
        <v>0</v>
      </c>
      <c r="M68" s="11" t="s">
        <v>41</v>
      </c>
      <c r="N68" s="12">
        <f t="shared" si="7"/>
        <v>0</v>
      </c>
      <c r="O68" s="18">
        <f t="shared" si="8"/>
        <v>0</v>
      </c>
      <c r="P68" s="18">
        <f t="shared" si="9"/>
        <v>0</v>
      </c>
    </row>
    <row r="69">
      <c r="A69" s="2" t="s">
        <v>191</v>
      </c>
      <c r="B69" s="10">
        <v>3.0</v>
      </c>
      <c r="C69" s="12">
        <f t="shared" si="1"/>
        <v>12</v>
      </c>
      <c r="D69" s="11">
        <v>0.0</v>
      </c>
      <c r="E69" s="11">
        <v>0.0</v>
      </c>
      <c r="F69" s="12">
        <f t="shared" si="2"/>
        <v>0</v>
      </c>
      <c r="G69" s="16">
        <f t="shared" si="3"/>
        <v>0</v>
      </c>
      <c r="H69" s="11" t="s">
        <v>41</v>
      </c>
      <c r="I69" s="12">
        <f t="shared" si="5"/>
        <v>0</v>
      </c>
      <c r="J69" s="11">
        <v>0.0</v>
      </c>
      <c r="K69" s="11">
        <v>0.0</v>
      </c>
      <c r="L69" s="16">
        <f t="shared" si="6"/>
        <v>0</v>
      </c>
      <c r="M69" s="11" t="s">
        <v>41</v>
      </c>
      <c r="N69" s="12">
        <f t="shared" si="7"/>
        <v>0</v>
      </c>
      <c r="O69" s="18">
        <f t="shared" si="8"/>
        <v>0</v>
      </c>
      <c r="P69" s="18">
        <f t="shared" si="9"/>
        <v>0</v>
      </c>
    </row>
    <row r="70">
      <c r="A70" s="2" t="s">
        <v>149</v>
      </c>
      <c r="B70" s="10">
        <v>3.0</v>
      </c>
      <c r="C70" s="12">
        <f t="shared" si="1"/>
        <v>12</v>
      </c>
      <c r="D70" s="11">
        <v>0.0</v>
      </c>
      <c r="E70" s="11">
        <v>0.0</v>
      </c>
      <c r="F70" s="12">
        <f t="shared" si="2"/>
        <v>0</v>
      </c>
      <c r="G70" s="16">
        <f t="shared" si="3"/>
        <v>0</v>
      </c>
      <c r="H70" s="11" t="s">
        <v>41</v>
      </c>
      <c r="I70" s="12">
        <f t="shared" si="5"/>
        <v>0</v>
      </c>
      <c r="J70" s="11">
        <v>0.0</v>
      </c>
      <c r="K70" s="11">
        <v>0.0</v>
      </c>
      <c r="L70" s="16">
        <f t="shared" si="6"/>
        <v>0</v>
      </c>
      <c r="M70" s="11" t="s">
        <v>41</v>
      </c>
      <c r="N70" s="12">
        <f t="shared" si="7"/>
        <v>0</v>
      </c>
      <c r="O70" s="18">
        <f t="shared" si="8"/>
        <v>0</v>
      </c>
      <c r="P70" s="18">
        <f t="shared" si="9"/>
        <v>0</v>
      </c>
    </row>
    <row r="71">
      <c r="A71" s="2" t="s">
        <v>131</v>
      </c>
      <c r="B71" s="10">
        <v>3.0</v>
      </c>
      <c r="C71" s="12">
        <f t="shared" si="1"/>
        <v>12</v>
      </c>
      <c r="D71" s="11">
        <v>0.0</v>
      </c>
      <c r="E71" s="11">
        <v>0.0</v>
      </c>
      <c r="F71" s="12">
        <f t="shared" si="2"/>
        <v>0</v>
      </c>
      <c r="G71" s="16">
        <f t="shared" si="3"/>
        <v>0</v>
      </c>
      <c r="H71" s="11" t="s">
        <v>41</v>
      </c>
      <c r="I71" s="12">
        <f t="shared" si="5"/>
        <v>0</v>
      </c>
      <c r="J71" s="11">
        <v>0.0</v>
      </c>
      <c r="K71" s="11">
        <v>0.0</v>
      </c>
      <c r="L71" s="16">
        <f t="shared" si="6"/>
        <v>0</v>
      </c>
      <c r="M71" s="11" t="s">
        <v>41</v>
      </c>
      <c r="N71" s="12">
        <f t="shared" si="7"/>
        <v>0</v>
      </c>
      <c r="O71" s="18">
        <f t="shared" si="8"/>
        <v>0</v>
      </c>
      <c r="P71" s="18">
        <f t="shared" si="9"/>
        <v>0</v>
      </c>
    </row>
    <row r="72">
      <c r="A72" s="2" t="s">
        <v>143</v>
      </c>
      <c r="B72" s="10">
        <v>3.0</v>
      </c>
      <c r="C72" s="12">
        <f t="shared" si="1"/>
        <v>12</v>
      </c>
      <c r="D72" s="11">
        <v>0.0</v>
      </c>
      <c r="E72" s="11">
        <v>0.0</v>
      </c>
      <c r="F72" s="12">
        <f t="shared" si="2"/>
        <v>0</v>
      </c>
      <c r="G72" s="16">
        <f t="shared" si="3"/>
        <v>0</v>
      </c>
      <c r="H72" s="11" t="s">
        <v>41</v>
      </c>
      <c r="I72" s="12">
        <f t="shared" si="5"/>
        <v>0</v>
      </c>
      <c r="J72" s="11">
        <v>0.0</v>
      </c>
      <c r="K72" s="11">
        <v>0.0</v>
      </c>
      <c r="L72" s="16">
        <f t="shared" si="6"/>
        <v>0</v>
      </c>
      <c r="M72" s="11" t="s">
        <v>41</v>
      </c>
      <c r="N72" s="12">
        <f t="shared" si="7"/>
        <v>0</v>
      </c>
      <c r="O72" s="18">
        <f t="shared" si="8"/>
        <v>0</v>
      </c>
      <c r="P72" s="18">
        <f t="shared" si="9"/>
        <v>0</v>
      </c>
    </row>
    <row r="73">
      <c r="A73" s="2" t="s">
        <v>151</v>
      </c>
      <c r="B73" s="10">
        <v>3.0</v>
      </c>
      <c r="C73" s="12">
        <f t="shared" si="1"/>
        <v>12</v>
      </c>
      <c r="D73" s="11">
        <v>0.0</v>
      </c>
      <c r="E73" s="20">
        <v>0.0</v>
      </c>
      <c r="F73" s="21">
        <f t="shared" si="2"/>
        <v>0</v>
      </c>
      <c r="G73" s="23">
        <f t="shared" si="3"/>
        <v>0</v>
      </c>
      <c r="H73" s="20" t="s">
        <v>41</v>
      </c>
      <c r="I73" s="12">
        <f t="shared" si="5"/>
        <v>0</v>
      </c>
      <c r="J73" s="11">
        <v>0.0</v>
      </c>
      <c r="K73" s="11">
        <v>0.0</v>
      </c>
      <c r="L73" s="16">
        <f t="shared" si="6"/>
        <v>0</v>
      </c>
      <c r="M73" s="11" t="s">
        <v>41</v>
      </c>
      <c r="N73" s="12">
        <f t="shared" si="7"/>
        <v>0</v>
      </c>
      <c r="O73" s="18">
        <f t="shared" si="8"/>
        <v>0</v>
      </c>
      <c r="P73" s="18">
        <f t="shared" si="9"/>
        <v>0</v>
      </c>
    </row>
    <row r="74">
      <c r="A74" s="2" t="s">
        <v>132</v>
      </c>
      <c r="B74" s="10">
        <v>3.0</v>
      </c>
      <c r="C74" s="12">
        <f t="shared" si="1"/>
        <v>12</v>
      </c>
      <c r="D74" s="11">
        <v>0.0</v>
      </c>
      <c r="E74" s="20">
        <v>0.0</v>
      </c>
      <c r="F74" s="21">
        <f t="shared" si="2"/>
        <v>0</v>
      </c>
      <c r="G74" s="23">
        <f t="shared" si="3"/>
        <v>0</v>
      </c>
      <c r="H74" s="20" t="s">
        <v>41</v>
      </c>
      <c r="I74" s="12">
        <f t="shared" si="5"/>
        <v>0</v>
      </c>
      <c r="J74" s="11">
        <v>0.0</v>
      </c>
      <c r="K74" s="11">
        <v>0.0</v>
      </c>
      <c r="L74" s="16">
        <f t="shared" si="6"/>
        <v>0</v>
      </c>
      <c r="M74" s="11" t="s">
        <v>41</v>
      </c>
      <c r="N74" s="12">
        <f t="shared" si="7"/>
        <v>0</v>
      </c>
      <c r="O74" s="18">
        <f t="shared" si="8"/>
        <v>0</v>
      </c>
      <c r="P74" s="18">
        <f t="shared" si="9"/>
        <v>0</v>
      </c>
    </row>
    <row r="75">
      <c r="A75" s="2" t="s">
        <v>69</v>
      </c>
      <c r="B75" s="10">
        <v>3.0</v>
      </c>
      <c r="C75" s="12">
        <f t="shared" si="1"/>
        <v>12</v>
      </c>
      <c r="D75" s="11">
        <v>0.0</v>
      </c>
      <c r="E75" s="11">
        <v>0.0</v>
      </c>
      <c r="F75" s="12">
        <f t="shared" si="2"/>
        <v>0</v>
      </c>
      <c r="G75" s="16">
        <f t="shared" si="3"/>
        <v>0</v>
      </c>
      <c r="H75" s="11" t="s">
        <v>41</v>
      </c>
      <c r="I75" s="12">
        <f t="shared" si="5"/>
        <v>0</v>
      </c>
      <c r="J75" s="11">
        <v>0.0</v>
      </c>
      <c r="K75" s="11">
        <v>0.0</v>
      </c>
      <c r="L75" s="16">
        <f t="shared" si="6"/>
        <v>0</v>
      </c>
      <c r="M75" s="11" t="s">
        <v>41</v>
      </c>
      <c r="N75" s="12">
        <f t="shared" si="7"/>
        <v>0</v>
      </c>
      <c r="O75" s="18">
        <f t="shared" si="8"/>
        <v>0</v>
      </c>
      <c r="P75" s="18">
        <f t="shared" si="9"/>
        <v>0</v>
      </c>
    </row>
    <row r="76">
      <c r="A76" s="2" t="s">
        <v>197</v>
      </c>
      <c r="B76" s="10">
        <v>3.0</v>
      </c>
      <c r="C76" s="12">
        <f t="shared" si="1"/>
        <v>12</v>
      </c>
      <c r="D76" s="11">
        <v>0.0</v>
      </c>
      <c r="E76" s="11">
        <v>0.0</v>
      </c>
      <c r="F76" s="12">
        <f t="shared" si="2"/>
        <v>0</v>
      </c>
      <c r="G76" s="16">
        <f t="shared" si="3"/>
        <v>0</v>
      </c>
      <c r="H76" s="11" t="s">
        <v>41</v>
      </c>
      <c r="I76" s="12">
        <f t="shared" si="5"/>
        <v>0</v>
      </c>
      <c r="J76" s="11">
        <v>0.0</v>
      </c>
      <c r="K76" s="11">
        <v>0.0</v>
      </c>
      <c r="L76" s="16">
        <f t="shared" si="6"/>
        <v>0</v>
      </c>
      <c r="M76" s="11" t="s">
        <v>41</v>
      </c>
      <c r="N76" s="12">
        <f t="shared" si="7"/>
        <v>0</v>
      </c>
      <c r="O76" s="18">
        <f t="shared" si="8"/>
        <v>0</v>
      </c>
      <c r="P76" s="18">
        <f t="shared" si="9"/>
        <v>0</v>
      </c>
    </row>
    <row r="77">
      <c r="A77" s="2" t="s">
        <v>145</v>
      </c>
      <c r="B77" s="10">
        <v>3.0</v>
      </c>
      <c r="C77" s="12">
        <f t="shared" si="1"/>
        <v>12</v>
      </c>
      <c r="D77" s="11">
        <v>0.0</v>
      </c>
      <c r="E77" s="11">
        <v>0.0</v>
      </c>
      <c r="F77" s="12">
        <f t="shared" si="2"/>
        <v>0</v>
      </c>
      <c r="G77" s="16">
        <f t="shared" si="3"/>
        <v>0</v>
      </c>
      <c r="H77" s="11" t="s">
        <v>41</v>
      </c>
      <c r="I77" s="12">
        <f t="shared" si="5"/>
        <v>0</v>
      </c>
      <c r="J77" s="11">
        <v>0.0</v>
      </c>
      <c r="K77" s="11">
        <v>0.0</v>
      </c>
      <c r="L77" s="16">
        <f t="shared" si="6"/>
        <v>0</v>
      </c>
      <c r="M77" s="11" t="s">
        <v>41</v>
      </c>
      <c r="N77" s="12">
        <f t="shared" si="7"/>
        <v>0</v>
      </c>
      <c r="O77" s="18">
        <f t="shared" si="8"/>
        <v>0</v>
      </c>
      <c r="P77" s="18">
        <f t="shared" si="9"/>
        <v>0</v>
      </c>
    </row>
    <row r="78">
      <c r="A78" s="2" t="s">
        <v>153</v>
      </c>
      <c r="B78" s="10">
        <v>3.0</v>
      </c>
      <c r="C78" s="12">
        <f t="shared" si="1"/>
        <v>12</v>
      </c>
      <c r="D78" s="11">
        <v>0.0</v>
      </c>
      <c r="E78" s="11">
        <v>0.0</v>
      </c>
      <c r="F78" s="12">
        <f t="shared" si="2"/>
        <v>0</v>
      </c>
      <c r="G78" s="16">
        <f t="shared" si="3"/>
        <v>0</v>
      </c>
      <c r="H78" s="11" t="s">
        <v>41</v>
      </c>
      <c r="I78" s="12">
        <f t="shared" si="5"/>
        <v>0</v>
      </c>
      <c r="J78" s="11">
        <v>0.0</v>
      </c>
      <c r="K78" s="11">
        <v>0.0</v>
      </c>
      <c r="L78" s="16">
        <f t="shared" si="6"/>
        <v>0</v>
      </c>
      <c r="M78" s="11" t="s">
        <v>41</v>
      </c>
      <c r="N78" s="12">
        <f t="shared" si="7"/>
        <v>0</v>
      </c>
      <c r="O78" s="18">
        <f t="shared" si="8"/>
        <v>0</v>
      </c>
      <c r="P78" s="18">
        <f t="shared" si="9"/>
        <v>0</v>
      </c>
    </row>
    <row r="79">
      <c r="A79" s="2" t="s">
        <v>198</v>
      </c>
      <c r="B79" s="10">
        <v>3.0</v>
      </c>
      <c r="C79" s="12">
        <f t="shared" si="1"/>
        <v>12</v>
      </c>
      <c r="D79" s="11">
        <v>0.0</v>
      </c>
      <c r="E79" s="11">
        <v>0.0</v>
      </c>
      <c r="F79" s="12">
        <f t="shared" si="2"/>
        <v>0</v>
      </c>
      <c r="G79" s="16">
        <f t="shared" si="3"/>
        <v>0</v>
      </c>
      <c r="H79" s="11" t="s">
        <v>41</v>
      </c>
      <c r="I79" s="12">
        <f t="shared" si="5"/>
        <v>0</v>
      </c>
      <c r="J79" s="11">
        <v>0.0</v>
      </c>
      <c r="K79" s="11">
        <v>0.0</v>
      </c>
      <c r="L79" s="16">
        <f t="shared" si="6"/>
        <v>0</v>
      </c>
      <c r="M79" s="11" t="s">
        <v>41</v>
      </c>
      <c r="N79" s="12">
        <f t="shared" si="7"/>
        <v>0</v>
      </c>
      <c r="O79" s="18">
        <f t="shared" si="8"/>
        <v>0</v>
      </c>
      <c r="P79" s="18">
        <f t="shared" si="9"/>
        <v>0</v>
      </c>
    </row>
    <row r="80">
      <c r="A80" s="2" t="s">
        <v>58</v>
      </c>
      <c r="B80" s="10">
        <v>3.0</v>
      </c>
      <c r="C80" s="12">
        <f t="shared" si="1"/>
        <v>12</v>
      </c>
      <c r="D80" s="11">
        <v>0.0</v>
      </c>
      <c r="E80" s="11">
        <v>0.0</v>
      </c>
      <c r="F80" s="12">
        <f t="shared" si="2"/>
        <v>0</v>
      </c>
      <c r="G80" s="16">
        <f t="shared" si="3"/>
        <v>0</v>
      </c>
      <c r="H80" s="11" t="s">
        <v>41</v>
      </c>
      <c r="I80" s="12">
        <f t="shared" si="5"/>
        <v>0</v>
      </c>
      <c r="J80" s="11">
        <v>0.0</v>
      </c>
      <c r="K80" s="11">
        <v>0.0</v>
      </c>
      <c r="L80" s="16">
        <f t="shared" si="6"/>
        <v>0</v>
      </c>
      <c r="M80" s="11" t="s">
        <v>41</v>
      </c>
      <c r="N80" s="12">
        <f t="shared" si="7"/>
        <v>0</v>
      </c>
      <c r="O80" s="18">
        <f t="shared" si="8"/>
        <v>0</v>
      </c>
      <c r="P80" s="18">
        <f t="shared" si="9"/>
        <v>0</v>
      </c>
    </row>
    <row r="81">
      <c r="A81" s="2" t="s">
        <v>116</v>
      </c>
      <c r="B81" s="10">
        <v>3.0</v>
      </c>
      <c r="C81" s="12">
        <f t="shared" si="1"/>
        <v>12</v>
      </c>
      <c r="D81" s="11">
        <v>0.0</v>
      </c>
      <c r="E81" s="11">
        <v>0.0</v>
      </c>
      <c r="F81" s="12">
        <f t="shared" si="2"/>
        <v>0</v>
      </c>
      <c r="G81" s="16">
        <f t="shared" si="3"/>
        <v>0</v>
      </c>
      <c r="H81" s="11" t="s">
        <v>41</v>
      </c>
      <c r="I81" s="12">
        <f t="shared" si="5"/>
        <v>0</v>
      </c>
      <c r="J81" s="11">
        <v>0.0</v>
      </c>
      <c r="K81" s="11">
        <v>0.0</v>
      </c>
      <c r="L81" s="16">
        <f t="shared" si="6"/>
        <v>0</v>
      </c>
      <c r="M81" s="11" t="s">
        <v>41</v>
      </c>
      <c r="N81" s="12">
        <f t="shared" si="7"/>
        <v>0</v>
      </c>
      <c r="O81" s="18">
        <f t="shared" si="8"/>
        <v>0</v>
      </c>
      <c r="P81" s="18">
        <f t="shared" si="9"/>
        <v>0</v>
      </c>
    </row>
    <row r="82">
      <c r="A82" s="2" t="s">
        <v>189</v>
      </c>
      <c r="B82" s="10">
        <v>3.0</v>
      </c>
      <c r="C82" s="12">
        <f t="shared" si="1"/>
        <v>12</v>
      </c>
      <c r="D82" s="11">
        <v>0.0</v>
      </c>
      <c r="E82" s="11">
        <v>0.0</v>
      </c>
      <c r="F82" s="12">
        <f t="shared" si="2"/>
        <v>0</v>
      </c>
      <c r="G82" s="16">
        <f t="shared" si="3"/>
        <v>0</v>
      </c>
      <c r="H82" s="11" t="s">
        <v>41</v>
      </c>
      <c r="I82" s="12">
        <f t="shared" si="5"/>
        <v>0</v>
      </c>
      <c r="J82" s="11">
        <v>0.0</v>
      </c>
      <c r="K82" s="11">
        <v>0.0</v>
      </c>
      <c r="L82" s="16">
        <f t="shared" si="6"/>
        <v>0</v>
      </c>
      <c r="M82" s="11" t="s">
        <v>41</v>
      </c>
      <c r="N82" s="12">
        <f t="shared" si="7"/>
        <v>0</v>
      </c>
      <c r="O82" s="18">
        <f t="shared" si="8"/>
        <v>0</v>
      </c>
      <c r="P82" s="18">
        <f t="shared" si="9"/>
        <v>0</v>
      </c>
    </row>
    <row r="83">
      <c r="A83" s="2" t="s">
        <v>134</v>
      </c>
      <c r="B83" s="10">
        <v>3.0</v>
      </c>
      <c r="C83" s="12">
        <f t="shared" si="1"/>
        <v>12</v>
      </c>
      <c r="D83" s="11">
        <v>0.0</v>
      </c>
      <c r="E83" s="11">
        <v>0.0</v>
      </c>
      <c r="F83" s="12">
        <f t="shared" si="2"/>
        <v>0</v>
      </c>
      <c r="G83" s="16">
        <f t="shared" si="3"/>
        <v>0</v>
      </c>
      <c r="H83" s="11" t="s">
        <v>41</v>
      </c>
      <c r="I83" s="12">
        <f t="shared" si="5"/>
        <v>0</v>
      </c>
      <c r="J83" s="11">
        <v>0.0</v>
      </c>
      <c r="K83" s="11">
        <v>0.0</v>
      </c>
      <c r="L83" s="16">
        <f t="shared" si="6"/>
        <v>0</v>
      </c>
      <c r="M83" s="11" t="s">
        <v>41</v>
      </c>
      <c r="N83" s="12">
        <f t="shared" si="7"/>
        <v>0</v>
      </c>
      <c r="O83" s="18">
        <f t="shared" si="8"/>
        <v>0</v>
      </c>
      <c r="P83" s="18">
        <f t="shared" si="9"/>
        <v>0</v>
      </c>
    </row>
    <row r="84">
      <c r="A84" s="2" t="s">
        <v>67</v>
      </c>
      <c r="B84" s="10">
        <v>3.0</v>
      </c>
      <c r="C84" s="12">
        <f t="shared" si="1"/>
        <v>12</v>
      </c>
      <c r="D84" s="11">
        <v>0.0</v>
      </c>
      <c r="E84" s="11">
        <v>0.0</v>
      </c>
      <c r="F84" s="12">
        <f t="shared" si="2"/>
        <v>0</v>
      </c>
      <c r="G84" s="16">
        <f t="shared" si="3"/>
        <v>0</v>
      </c>
      <c r="H84" s="11" t="s">
        <v>41</v>
      </c>
      <c r="I84" s="12">
        <f t="shared" si="5"/>
        <v>0</v>
      </c>
      <c r="J84" s="11">
        <v>0.0</v>
      </c>
      <c r="K84" s="11">
        <v>0.0</v>
      </c>
      <c r="L84" s="16">
        <f t="shared" si="6"/>
        <v>0</v>
      </c>
      <c r="M84" s="11" t="s">
        <v>41</v>
      </c>
      <c r="N84" s="12">
        <f t="shared" si="7"/>
        <v>0</v>
      </c>
      <c r="O84" s="18">
        <f t="shared" si="8"/>
        <v>0</v>
      </c>
      <c r="P84" s="18">
        <f t="shared" si="9"/>
        <v>0</v>
      </c>
    </row>
    <row r="85">
      <c r="A85" s="2" t="s">
        <v>103</v>
      </c>
      <c r="B85" s="10">
        <v>3.0</v>
      </c>
      <c r="C85" s="12">
        <f t="shared" si="1"/>
        <v>12</v>
      </c>
      <c r="D85" s="11">
        <v>0.0</v>
      </c>
      <c r="E85" s="11">
        <v>0.0</v>
      </c>
      <c r="F85" s="12">
        <f t="shared" si="2"/>
        <v>0</v>
      </c>
      <c r="G85" s="16">
        <f t="shared" si="3"/>
        <v>0</v>
      </c>
      <c r="H85" s="11" t="s">
        <v>41</v>
      </c>
      <c r="I85" s="12">
        <f t="shared" si="5"/>
        <v>0</v>
      </c>
      <c r="J85" s="11">
        <v>0.0</v>
      </c>
      <c r="K85" s="11">
        <v>0.0</v>
      </c>
      <c r="L85" s="16">
        <f t="shared" si="6"/>
        <v>0</v>
      </c>
      <c r="M85" s="11" t="s">
        <v>41</v>
      </c>
      <c r="N85" s="12">
        <f t="shared" si="7"/>
        <v>0</v>
      </c>
      <c r="O85" s="18">
        <f t="shared" si="8"/>
        <v>0</v>
      </c>
      <c r="P85" s="18">
        <f t="shared" si="9"/>
        <v>0</v>
      </c>
    </row>
    <row r="86">
      <c r="A86" s="2" t="s">
        <v>61</v>
      </c>
      <c r="B86" s="10">
        <v>3.0</v>
      </c>
      <c r="C86" s="12">
        <f t="shared" si="1"/>
        <v>12</v>
      </c>
      <c r="D86" s="11">
        <v>0.0</v>
      </c>
      <c r="E86" s="11">
        <v>0.0</v>
      </c>
      <c r="F86" s="12">
        <f t="shared" si="2"/>
        <v>0</v>
      </c>
      <c r="G86" s="16">
        <f t="shared" si="3"/>
        <v>0</v>
      </c>
      <c r="H86" s="11" t="s">
        <v>41</v>
      </c>
      <c r="I86" s="12">
        <f t="shared" si="5"/>
        <v>0</v>
      </c>
      <c r="J86" s="11">
        <v>0.0</v>
      </c>
      <c r="K86" s="11">
        <v>0.0</v>
      </c>
      <c r="L86" s="16">
        <f t="shared" si="6"/>
        <v>0</v>
      </c>
      <c r="M86" s="11" t="s">
        <v>41</v>
      </c>
      <c r="N86" s="12">
        <f t="shared" si="7"/>
        <v>0</v>
      </c>
      <c r="O86" s="18">
        <f t="shared" si="8"/>
        <v>0</v>
      </c>
      <c r="P86" s="18">
        <f t="shared" si="9"/>
        <v>0</v>
      </c>
    </row>
    <row r="87">
      <c r="A87" s="2" t="s">
        <v>159</v>
      </c>
      <c r="B87" s="10">
        <v>2.5</v>
      </c>
      <c r="C87" s="12">
        <f t="shared" si="1"/>
        <v>10</v>
      </c>
      <c r="D87" s="11">
        <v>0.0</v>
      </c>
      <c r="E87" s="11">
        <v>0.0</v>
      </c>
      <c r="F87" s="12">
        <f t="shared" si="2"/>
        <v>0</v>
      </c>
      <c r="G87" s="16">
        <f t="shared" si="3"/>
        <v>0</v>
      </c>
      <c r="H87" s="11" t="s">
        <v>41</v>
      </c>
      <c r="I87" s="12">
        <f t="shared" si="5"/>
        <v>0</v>
      </c>
      <c r="J87" s="11">
        <v>0.0</v>
      </c>
      <c r="K87" s="11">
        <v>0.0</v>
      </c>
      <c r="L87" s="16">
        <f t="shared" si="6"/>
        <v>0</v>
      </c>
      <c r="M87" s="11" t="s">
        <v>41</v>
      </c>
      <c r="N87" s="12">
        <f t="shared" si="7"/>
        <v>0</v>
      </c>
      <c r="O87" s="18">
        <f t="shared" si="8"/>
        <v>0</v>
      </c>
      <c r="P87" s="18">
        <f t="shared" si="9"/>
        <v>0</v>
      </c>
    </row>
    <row r="88">
      <c r="A88" s="2" t="s">
        <v>161</v>
      </c>
      <c r="B88" s="10">
        <v>2.5</v>
      </c>
      <c r="C88" s="12">
        <f t="shared" si="1"/>
        <v>10</v>
      </c>
      <c r="D88" s="11">
        <v>0.0</v>
      </c>
      <c r="E88" s="11">
        <v>0.0</v>
      </c>
      <c r="F88" s="12">
        <f t="shared" si="2"/>
        <v>0</v>
      </c>
      <c r="G88" s="16">
        <f t="shared" si="3"/>
        <v>0</v>
      </c>
      <c r="H88" s="11" t="s">
        <v>41</v>
      </c>
      <c r="I88" s="12">
        <f t="shared" si="5"/>
        <v>0</v>
      </c>
      <c r="J88" s="11">
        <v>0.0</v>
      </c>
      <c r="K88" s="11">
        <v>0.0</v>
      </c>
      <c r="L88" s="16">
        <f t="shared" si="6"/>
        <v>0</v>
      </c>
      <c r="M88" s="11" t="s">
        <v>41</v>
      </c>
      <c r="N88" s="12">
        <f t="shared" si="7"/>
        <v>0</v>
      </c>
      <c r="O88" s="18">
        <f t="shared" si="8"/>
        <v>0</v>
      </c>
      <c r="P88" s="18">
        <f t="shared" si="9"/>
        <v>0</v>
      </c>
    </row>
    <row r="89">
      <c r="A89" s="2" t="s">
        <v>207</v>
      </c>
      <c r="B89" s="10">
        <v>2.5</v>
      </c>
      <c r="C89" s="12">
        <f t="shared" si="1"/>
        <v>10</v>
      </c>
      <c r="D89" s="11">
        <v>0.0</v>
      </c>
      <c r="E89" s="11">
        <v>0.0</v>
      </c>
      <c r="F89" s="12">
        <f t="shared" si="2"/>
        <v>0</v>
      </c>
      <c r="G89" s="16">
        <f t="shared" si="3"/>
        <v>0</v>
      </c>
      <c r="H89" s="11" t="s">
        <v>41</v>
      </c>
      <c r="I89" s="12">
        <f t="shared" si="5"/>
        <v>0</v>
      </c>
      <c r="J89" s="11">
        <v>0.0</v>
      </c>
      <c r="K89" s="11">
        <v>0.0</v>
      </c>
      <c r="L89" s="16">
        <f t="shared" si="6"/>
        <v>0</v>
      </c>
      <c r="M89" s="11" t="s">
        <v>41</v>
      </c>
      <c r="N89" s="12">
        <f t="shared" si="7"/>
        <v>0</v>
      </c>
      <c r="O89" s="18">
        <f t="shared" si="8"/>
        <v>0</v>
      </c>
      <c r="P89" s="18">
        <f t="shared" si="9"/>
        <v>0</v>
      </c>
    </row>
    <row r="90">
      <c r="A90" s="2" t="s">
        <v>209</v>
      </c>
      <c r="B90" s="10">
        <v>2.5</v>
      </c>
      <c r="C90" s="12">
        <f t="shared" si="1"/>
        <v>10</v>
      </c>
      <c r="D90" s="11">
        <v>0.0</v>
      </c>
      <c r="E90" s="11">
        <v>0.0</v>
      </c>
      <c r="F90" s="12">
        <f t="shared" si="2"/>
        <v>0</v>
      </c>
      <c r="G90" s="16">
        <f t="shared" si="3"/>
        <v>0</v>
      </c>
      <c r="H90" s="11" t="s">
        <v>41</v>
      </c>
      <c r="I90" s="12">
        <f t="shared" si="5"/>
        <v>0</v>
      </c>
      <c r="J90" s="11">
        <v>0.0</v>
      </c>
      <c r="K90" s="11">
        <v>0.0</v>
      </c>
      <c r="L90" s="16">
        <f t="shared" si="6"/>
        <v>0</v>
      </c>
      <c r="M90" s="11" t="s">
        <v>41</v>
      </c>
      <c r="N90" s="12">
        <f t="shared" si="7"/>
        <v>0</v>
      </c>
      <c r="O90" s="18">
        <f t="shared" si="8"/>
        <v>0</v>
      </c>
      <c r="P90" s="18">
        <f t="shared" si="9"/>
        <v>0</v>
      </c>
    </row>
    <row r="91">
      <c r="A91" s="2" t="s">
        <v>115</v>
      </c>
      <c r="B91" s="10">
        <v>2.0</v>
      </c>
      <c r="C91" s="12">
        <f t="shared" si="1"/>
        <v>8</v>
      </c>
      <c r="D91" s="11">
        <v>0.0</v>
      </c>
      <c r="E91" s="20">
        <v>0.0</v>
      </c>
      <c r="F91" s="21">
        <f t="shared" si="2"/>
        <v>0</v>
      </c>
      <c r="G91" s="23">
        <f t="shared" si="3"/>
        <v>0</v>
      </c>
      <c r="H91" s="20" t="s">
        <v>41</v>
      </c>
      <c r="I91" s="12">
        <f t="shared" si="5"/>
        <v>0</v>
      </c>
      <c r="J91" s="11">
        <v>0.0</v>
      </c>
      <c r="K91" s="11">
        <v>0.0</v>
      </c>
      <c r="L91" s="16">
        <f t="shared" si="6"/>
        <v>0</v>
      </c>
      <c r="M91" s="11" t="s">
        <v>41</v>
      </c>
      <c r="N91" s="12">
        <f t="shared" si="7"/>
        <v>0</v>
      </c>
      <c r="O91" s="18">
        <f t="shared" si="8"/>
        <v>0</v>
      </c>
      <c r="P91" s="18">
        <f t="shared" si="9"/>
        <v>0</v>
      </c>
    </row>
    <row r="92">
      <c r="A92" s="2" t="s">
        <v>201</v>
      </c>
      <c r="B92" s="10">
        <v>2.0</v>
      </c>
      <c r="C92" s="12">
        <f t="shared" si="1"/>
        <v>8</v>
      </c>
      <c r="D92" s="11">
        <v>0.0</v>
      </c>
      <c r="E92" s="11">
        <v>0.0</v>
      </c>
      <c r="F92" s="12">
        <f t="shared" si="2"/>
        <v>0</v>
      </c>
      <c r="G92" s="16">
        <f t="shared" si="3"/>
        <v>0</v>
      </c>
      <c r="H92" s="11" t="s">
        <v>41</v>
      </c>
      <c r="I92" s="12">
        <f t="shared" si="5"/>
        <v>0</v>
      </c>
      <c r="J92" s="11">
        <v>0.0</v>
      </c>
      <c r="K92" s="11">
        <v>0.0</v>
      </c>
      <c r="L92" s="16">
        <f t="shared" si="6"/>
        <v>0</v>
      </c>
      <c r="M92" s="11" t="s">
        <v>41</v>
      </c>
      <c r="N92" s="12">
        <f t="shared" si="7"/>
        <v>0</v>
      </c>
      <c r="O92" s="18">
        <f t="shared" si="8"/>
        <v>0</v>
      </c>
      <c r="P92" s="18">
        <f t="shared" si="9"/>
        <v>0</v>
      </c>
    </row>
    <row r="93">
      <c r="A93" s="2" t="s">
        <v>166</v>
      </c>
      <c r="B93" s="10">
        <v>2.0</v>
      </c>
      <c r="C93" s="12">
        <f t="shared" si="1"/>
        <v>8</v>
      </c>
      <c r="D93" s="11">
        <v>0.0</v>
      </c>
      <c r="E93" s="20">
        <v>0.0</v>
      </c>
      <c r="F93" s="21">
        <f t="shared" si="2"/>
        <v>0</v>
      </c>
      <c r="G93" s="23">
        <f t="shared" si="3"/>
        <v>0</v>
      </c>
      <c r="H93" s="20" t="s">
        <v>41</v>
      </c>
      <c r="I93" s="12">
        <f t="shared" si="5"/>
        <v>0</v>
      </c>
      <c r="J93" s="11">
        <v>0.0</v>
      </c>
      <c r="K93" s="11">
        <v>0.0</v>
      </c>
      <c r="L93" s="16">
        <f t="shared" si="6"/>
        <v>0</v>
      </c>
      <c r="M93" s="11" t="s">
        <v>41</v>
      </c>
      <c r="N93" s="12">
        <f t="shared" si="7"/>
        <v>0</v>
      </c>
      <c r="O93" s="18">
        <f t="shared" si="8"/>
        <v>0</v>
      </c>
      <c r="P93" s="18">
        <f t="shared" si="9"/>
        <v>0</v>
      </c>
    </row>
    <row r="94">
      <c r="A94" s="2" t="s">
        <v>168</v>
      </c>
      <c r="B94" s="10">
        <v>2.0</v>
      </c>
      <c r="C94" s="12">
        <f t="shared" si="1"/>
        <v>8</v>
      </c>
      <c r="D94" s="11">
        <v>0.0</v>
      </c>
      <c r="E94" s="20">
        <v>0.0</v>
      </c>
      <c r="F94" s="21">
        <f t="shared" si="2"/>
        <v>0</v>
      </c>
      <c r="G94" s="23">
        <f t="shared" si="3"/>
        <v>0</v>
      </c>
      <c r="H94" s="20" t="s">
        <v>41</v>
      </c>
      <c r="I94" s="12">
        <f t="shared" si="5"/>
        <v>0</v>
      </c>
      <c r="J94" s="11">
        <v>0.0</v>
      </c>
      <c r="K94" s="11">
        <v>0.0</v>
      </c>
      <c r="L94" s="16">
        <f t="shared" si="6"/>
        <v>0</v>
      </c>
      <c r="M94" s="11" t="s">
        <v>41</v>
      </c>
      <c r="N94" s="12">
        <f t="shared" si="7"/>
        <v>0</v>
      </c>
      <c r="O94" s="18">
        <f t="shared" si="8"/>
        <v>0</v>
      </c>
      <c r="P94" s="18">
        <f t="shared" si="9"/>
        <v>0</v>
      </c>
    </row>
    <row r="95">
      <c r="A95" s="2" t="s">
        <v>170</v>
      </c>
      <c r="B95" s="10">
        <v>2.0</v>
      </c>
      <c r="C95" s="12">
        <f t="shared" si="1"/>
        <v>8</v>
      </c>
      <c r="D95" s="11">
        <v>0.0</v>
      </c>
      <c r="E95" s="11">
        <v>0.0</v>
      </c>
      <c r="F95" s="12">
        <f t="shared" si="2"/>
        <v>0</v>
      </c>
      <c r="G95" s="16">
        <f t="shared" si="3"/>
        <v>0</v>
      </c>
      <c r="H95" s="11" t="s">
        <v>41</v>
      </c>
      <c r="I95" s="12">
        <f t="shared" si="5"/>
        <v>0</v>
      </c>
      <c r="J95" s="11">
        <v>0.0</v>
      </c>
      <c r="K95" s="11">
        <v>0.0</v>
      </c>
      <c r="L95" s="16">
        <f t="shared" si="6"/>
        <v>0</v>
      </c>
      <c r="M95" s="11" t="s">
        <v>41</v>
      </c>
      <c r="N95" s="12">
        <f t="shared" si="7"/>
        <v>0</v>
      </c>
      <c r="O95" s="18">
        <f t="shared" si="8"/>
        <v>0</v>
      </c>
      <c r="P95" s="18">
        <f t="shared" si="9"/>
        <v>0</v>
      </c>
    </row>
    <row r="96">
      <c r="A96" s="2" t="s">
        <v>202</v>
      </c>
      <c r="B96" s="10">
        <v>2.0</v>
      </c>
      <c r="C96" s="12">
        <f t="shared" si="1"/>
        <v>8</v>
      </c>
      <c r="D96" s="11">
        <v>0.0</v>
      </c>
      <c r="E96" s="11">
        <v>0.0</v>
      </c>
      <c r="F96" s="12">
        <f t="shared" si="2"/>
        <v>0</v>
      </c>
      <c r="G96" s="16">
        <f t="shared" si="3"/>
        <v>0</v>
      </c>
      <c r="H96" s="11" t="s">
        <v>41</v>
      </c>
      <c r="I96" s="12">
        <f t="shared" si="5"/>
        <v>0</v>
      </c>
      <c r="J96" s="11">
        <v>0.0</v>
      </c>
      <c r="K96" s="11">
        <v>0.0</v>
      </c>
      <c r="L96" s="16">
        <f t="shared" si="6"/>
        <v>0</v>
      </c>
      <c r="M96" s="11" t="s">
        <v>41</v>
      </c>
      <c r="N96" s="12">
        <f t="shared" si="7"/>
        <v>0</v>
      </c>
      <c r="O96" s="18">
        <f t="shared" si="8"/>
        <v>0</v>
      </c>
      <c r="P96" s="18">
        <f t="shared" si="9"/>
        <v>0</v>
      </c>
    </row>
    <row r="97">
      <c r="A97" s="2" t="s">
        <v>173</v>
      </c>
      <c r="B97" s="10">
        <v>3.0</v>
      </c>
      <c r="C97" s="12">
        <f t="shared" si="1"/>
        <v>12</v>
      </c>
      <c r="D97" s="11">
        <v>0.0</v>
      </c>
      <c r="E97" s="20">
        <v>0.0</v>
      </c>
      <c r="F97" s="21">
        <f t="shared" si="2"/>
        <v>0</v>
      </c>
      <c r="G97" s="23">
        <f t="shared" si="3"/>
        <v>0</v>
      </c>
      <c r="H97" s="20" t="s">
        <v>41</v>
      </c>
      <c r="I97" s="12">
        <f t="shared" si="5"/>
        <v>0</v>
      </c>
      <c r="J97" s="11">
        <v>0.0</v>
      </c>
      <c r="K97" s="11">
        <v>0.0</v>
      </c>
      <c r="L97" s="16">
        <f t="shared" si="6"/>
        <v>0</v>
      </c>
      <c r="M97" s="11" t="s">
        <v>41</v>
      </c>
      <c r="N97" s="12">
        <f t="shared" si="7"/>
        <v>0</v>
      </c>
      <c r="O97" s="18">
        <f t="shared" si="8"/>
        <v>0</v>
      </c>
      <c r="P97" s="18">
        <f t="shared" si="9"/>
        <v>0</v>
      </c>
    </row>
    <row r="98">
      <c r="A98" s="2" t="s">
        <v>91</v>
      </c>
      <c r="B98" s="10">
        <v>1.5</v>
      </c>
      <c r="C98" s="12">
        <f t="shared" si="1"/>
        <v>6</v>
      </c>
      <c r="D98" s="11">
        <v>0.0</v>
      </c>
      <c r="E98" s="20">
        <v>0.0</v>
      </c>
      <c r="F98" s="21">
        <f t="shared" si="2"/>
        <v>0</v>
      </c>
      <c r="G98" s="23">
        <f t="shared" si="3"/>
        <v>0</v>
      </c>
      <c r="H98" s="20" t="s">
        <v>41</v>
      </c>
      <c r="I98" s="12">
        <f t="shared" si="5"/>
        <v>0</v>
      </c>
      <c r="J98" s="11">
        <v>0.0</v>
      </c>
      <c r="K98" s="11">
        <v>0.0</v>
      </c>
      <c r="L98" s="16">
        <f t="shared" si="6"/>
        <v>0</v>
      </c>
      <c r="M98" s="11" t="s">
        <v>41</v>
      </c>
      <c r="N98" s="12">
        <f t="shared" si="7"/>
        <v>0</v>
      </c>
      <c r="O98" s="18">
        <f t="shared" si="8"/>
        <v>0</v>
      </c>
      <c r="P98" s="18">
        <f t="shared" si="9"/>
        <v>0</v>
      </c>
    </row>
    <row r="99">
      <c r="A99" s="2" t="s">
        <v>174</v>
      </c>
      <c r="B99" s="10">
        <v>1.5</v>
      </c>
      <c r="C99" s="12">
        <f t="shared" si="1"/>
        <v>6</v>
      </c>
      <c r="D99" s="11">
        <v>0.0</v>
      </c>
      <c r="E99" s="20">
        <v>0.0</v>
      </c>
      <c r="F99" s="21">
        <f t="shared" si="2"/>
        <v>0</v>
      </c>
      <c r="G99" s="23">
        <f t="shared" si="3"/>
        <v>0</v>
      </c>
      <c r="H99" s="20" t="s">
        <v>41</v>
      </c>
      <c r="I99" s="12">
        <f t="shared" si="5"/>
        <v>0</v>
      </c>
      <c r="J99" s="11">
        <v>0.0</v>
      </c>
      <c r="K99" s="11">
        <v>0.0</v>
      </c>
      <c r="L99" s="16">
        <f t="shared" si="6"/>
        <v>0</v>
      </c>
      <c r="M99" s="11" t="s">
        <v>41</v>
      </c>
      <c r="N99" s="12">
        <f t="shared" si="7"/>
        <v>0</v>
      </c>
      <c r="O99" s="18">
        <f t="shared" si="8"/>
        <v>0</v>
      </c>
      <c r="P99" s="18">
        <f t="shared" si="9"/>
        <v>0</v>
      </c>
    </row>
    <row r="100">
      <c r="A100" s="2" t="s">
        <v>94</v>
      </c>
      <c r="B100" s="10">
        <v>1.5</v>
      </c>
      <c r="C100" s="12">
        <f t="shared" si="1"/>
        <v>6</v>
      </c>
      <c r="D100" s="11">
        <v>0.0</v>
      </c>
      <c r="E100" s="11">
        <v>0.0</v>
      </c>
      <c r="F100" s="12">
        <f t="shared" si="2"/>
        <v>0</v>
      </c>
      <c r="G100" s="16">
        <f t="shared" si="3"/>
        <v>0</v>
      </c>
      <c r="H100" s="11" t="s">
        <v>41</v>
      </c>
      <c r="I100" s="12">
        <f t="shared" si="5"/>
        <v>0</v>
      </c>
      <c r="J100" s="11">
        <v>0.0</v>
      </c>
      <c r="K100" s="11">
        <v>0.0</v>
      </c>
      <c r="L100" s="16">
        <f t="shared" si="6"/>
        <v>0</v>
      </c>
      <c r="M100" s="11" t="s">
        <v>41</v>
      </c>
      <c r="N100" s="12">
        <f t="shared" si="7"/>
        <v>0</v>
      </c>
      <c r="O100" s="18">
        <f t="shared" si="8"/>
        <v>0</v>
      </c>
      <c r="P100" s="18">
        <f t="shared" si="9"/>
        <v>0</v>
      </c>
    </row>
    <row r="101">
      <c r="A101" s="2" t="s">
        <v>124</v>
      </c>
      <c r="B101" s="10">
        <v>1.5</v>
      </c>
      <c r="C101" s="12">
        <f t="shared" si="1"/>
        <v>6</v>
      </c>
      <c r="D101" s="11">
        <v>0.0</v>
      </c>
      <c r="E101" s="11">
        <v>0.0</v>
      </c>
      <c r="F101" s="12">
        <f t="shared" si="2"/>
        <v>0</v>
      </c>
      <c r="G101" s="16">
        <f t="shared" si="3"/>
        <v>0</v>
      </c>
      <c r="H101" s="11" t="s">
        <v>41</v>
      </c>
      <c r="I101" s="12">
        <f t="shared" si="5"/>
        <v>0</v>
      </c>
      <c r="J101" s="11">
        <v>0.0</v>
      </c>
      <c r="K101" s="11">
        <v>0.0</v>
      </c>
      <c r="L101" s="16">
        <f t="shared" si="6"/>
        <v>0</v>
      </c>
      <c r="M101" s="11" t="s">
        <v>41</v>
      </c>
      <c r="N101" s="12">
        <f t="shared" si="7"/>
        <v>0</v>
      </c>
      <c r="O101" s="18">
        <f t="shared" si="8"/>
        <v>0</v>
      </c>
      <c r="P101" s="18">
        <f t="shared" si="9"/>
        <v>0</v>
      </c>
    </row>
    <row r="102">
      <c r="A102" s="2" t="s">
        <v>176</v>
      </c>
      <c r="B102" s="10">
        <v>1.5</v>
      </c>
      <c r="C102" s="12">
        <f t="shared" si="1"/>
        <v>6</v>
      </c>
      <c r="D102" s="11">
        <v>0.0</v>
      </c>
      <c r="E102" s="11">
        <v>0.0</v>
      </c>
      <c r="F102" s="12">
        <f t="shared" si="2"/>
        <v>0</v>
      </c>
      <c r="G102" s="16">
        <f t="shared" si="3"/>
        <v>0</v>
      </c>
      <c r="H102" s="11" t="s">
        <v>41</v>
      </c>
      <c r="I102" s="12">
        <f t="shared" si="5"/>
        <v>0</v>
      </c>
      <c r="J102" s="11">
        <v>0.0</v>
      </c>
      <c r="K102" s="11">
        <v>0.0</v>
      </c>
      <c r="L102" s="16">
        <f t="shared" si="6"/>
        <v>0</v>
      </c>
      <c r="M102" s="11" t="s">
        <v>41</v>
      </c>
      <c r="N102" s="12">
        <f t="shared" si="7"/>
        <v>0</v>
      </c>
      <c r="O102" s="18">
        <f t="shared" si="8"/>
        <v>0</v>
      </c>
      <c r="P102" s="18">
        <f t="shared" si="9"/>
        <v>0</v>
      </c>
    </row>
    <row r="103">
      <c r="A103" s="2" t="s">
        <v>177</v>
      </c>
      <c r="B103" s="10">
        <v>1.5</v>
      </c>
      <c r="C103" s="12">
        <f t="shared" si="1"/>
        <v>6</v>
      </c>
      <c r="D103" s="11">
        <v>0.0</v>
      </c>
      <c r="E103" s="20">
        <v>0.0</v>
      </c>
      <c r="F103" s="21">
        <f t="shared" si="2"/>
        <v>0</v>
      </c>
      <c r="G103" s="23">
        <f t="shared" si="3"/>
        <v>0</v>
      </c>
      <c r="H103" s="20" t="s">
        <v>41</v>
      </c>
      <c r="I103" s="12">
        <f t="shared" si="5"/>
        <v>0</v>
      </c>
      <c r="J103" s="11">
        <v>0.0</v>
      </c>
      <c r="K103" s="11">
        <v>0.0</v>
      </c>
      <c r="L103" s="16">
        <f t="shared" si="6"/>
        <v>0</v>
      </c>
      <c r="M103" s="11" t="s">
        <v>41</v>
      </c>
      <c r="N103" s="12">
        <f t="shared" si="7"/>
        <v>0</v>
      </c>
      <c r="O103" s="18">
        <f t="shared" si="8"/>
        <v>0</v>
      </c>
      <c r="P103" s="18">
        <f t="shared" si="9"/>
        <v>0</v>
      </c>
    </row>
    <row r="104">
      <c r="A104" s="2" t="s">
        <v>76</v>
      </c>
      <c r="B104" s="10">
        <v>1.0</v>
      </c>
      <c r="C104" s="12">
        <f t="shared" si="1"/>
        <v>4</v>
      </c>
      <c r="D104" s="11">
        <v>0.0</v>
      </c>
      <c r="E104" s="11">
        <v>0.0</v>
      </c>
      <c r="F104" s="12">
        <f t="shared" si="2"/>
        <v>0</v>
      </c>
      <c r="G104" s="16">
        <f t="shared" si="3"/>
        <v>0</v>
      </c>
      <c r="H104" s="11" t="s">
        <v>41</v>
      </c>
      <c r="I104" s="12">
        <f t="shared" si="5"/>
        <v>0</v>
      </c>
      <c r="J104" s="11">
        <v>0.0</v>
      </c>
      <c r="K104" s="11">
        <v>0.0</v>
      </c>
      <c r="L104" s="16">
        <f t="shared" si="6"/>
        <v>0</v>
      </c>
      <c r="M104" s="11" t="s">
        <v>41</v>
      </c>
      <c r="N104" s="12">
        <f t="shared" si="7"/>
        <v>0</v>
      </c>
      <c r="O104" s="18">
        <f t="shared" si="8"/>
        <v>0</v>
      </c>
      <c r="P104" s="18">
        <f t="shared" si="9"/>
        <v>0</v>
      </c>
    </row>
    <row r="105">
      <c r="A105" s="2" t="s">
        <v>160</v>
      </c>
      <c r="B105" s="10">
        <v>1.0</v>
      </c>
      <c r="C105" s="12">
        <f t="shared" si="1"/>
        <v>4</v>
      </c>
      <c r="D105" s="11">
        <v>0.0</v>
      </c>
      <c r="E105" s="11">
        <v>0.0</v>
      </c>
      <c r="F105" s="12">
        <f t="shared" si="2"/>
        <v>0</v>
      </c>
      <c r="G105" s="16">
        <f t="shared" si="3"/>
        <v>0</v>
      </c>
      <c r="H105" s="11" t="s">
        <v>41</v>
      </c>
      <c r="I105" s="12">
        <f t="shared" si="5"/>
        <v>0</v>
      </c>
      <c r="J105" s="11">
        <v>0.0</v>
      </c>
      <c r="K105" s="11">
        <v>0.0</v>
      </c>
      <c r="L105" s="16">
        <f t="shared" si="6"/>
        <v>0</v>
      </c>
      <c r="M105" s="11" t="s">
        <v>41</v>
      </c>
      <c r="N105" s="12">
        <f t="shared" si="7"/>
        <v>0</v>
      </c>
      <c r="O105" s="18">
        <f t="shared" si="8"/>
        <v>0</v>
      </c>
      <c r="P105" s="18">
        <f t="shared" si="9"/>
        <v>0</v>
      </c>
    </row>
    <row r="106">
      <c r="A106" s="2" t="s">
        <v>130</v>
      </c>
      <c r="B106" s="10">
        <v>1.0</v>
      </c>
      <c r="C106" s="12">
        <f t="shared" si="1"/>
        <v>4</v>
      </c>
      <c r="D106" s="11">
        <v>0.0</v>
      </c>
      <c r="E106" s="11">
        <v>0.0</v>
      </c>
      <c r="F106" s="12">
        <f t="shared" si="2"/>
        <v>0</v>
      </c>
      <c r="G106" s="16">
        <f t="shared" si="3"/>
        <v>0</v>
      </c>
      <c r="H106" s="11" t="s">
        <v>41</v>
      </c>
      <c r="I106" s="12">
        <f t="shared" si="5"/>
        <v>0</v>
      </c>
      <c r="J106" s="11">
        <v>0.0</v>
      </c>
      <c r="K106" s="11">
        <v>0.0</v>
      </c>
      <c r="L106" s="16">
        <f t="shared" si="6"/>
        <v>0</v>
      </c>
      <c r="M106" s="11" t="s">
        <v>41</v>
      </c>
      <c r="N106" s="12">
        <f t="shared" si="7"/>
        <v>0</v>
      </c>
      <c r="O106" s="18">
        <f t="shared" si="8"/>
        <v>0</v>
      </c>
      <c r="P106" s="18">
        <f t="shared" si="9"/>
        <v>0</v>
      </c>
    </row>
    <row r="107">
      <c r="A107" s="2" t="s">
        <v>208</v>
      </c>
      <c r="B107" s="10">
        <v>1.0</v>
      </c>
      <c r="C107" s="12">
        <f t="shared" si="1"/>
        <v>4</v>
      </c>
      <c r="D107" s="11">
        <v>0.0</v>
      </c>
      <c r="E107" s="11">
        <v>0.0</v>
      </c>
      <c r="F107" s="12">
        <f t="shared" si="2"/>
        <v>0</v>
      </c>
      <c r="G107" s="16">
        <f t="shared" si="3"/>
        <v>0</v>
      </c>
      <c r="H107" s="11" t="s">
        <v>41</v>
      </c>
      <c r="I107" s="12">
        <f t="shared" si="5"/>
        <v>0</v>
      </c>
      <c r="J107" s="11">
        <v>0.0</v>
      </c>
      <c r="K107" s="11">
        <v>0.0</v>
      </c>
      <c r="L107" s="16">
        <f t="shared" si="6"/>
        <v>0</v>
      </c>
      <c r="M107" s="11" t="s">
        <v>41</v>
      </c>
      <c r="N107" s="12">
        <f t="shared" si="7"/>
        <v>0</v>
      </c>
      <c r="O107" s="18">
        <f t="shared" si="8"/>
        <v>0</v>
      </c>
      <c r="P107" s="18">
        <f t="shared" si="9"/>
        <v>0</v>
      </c>
    </row>
    <row r="108">
      <c r="A108" s="2" t="s">
        <v>178</v>
      </c>
      <c r="B108" s="10">
        <v>3.0</v>
      </c>
      <c r="C108" s="12">
        <f t="shared" si="1"/>
        <v>12</v>
      </c>
      <c r="D108" s="11">
        <v>0.0</v>
      </c>
      <c r="E108" s="11">
        <v>0.0</v>
      </c>
      <c r="F108" s="12">
        <f t="shared" si="2"/>
        <v>0</v>
      </c>
      <c r="G108" s="16">
        <f t="shared" si="3"/>
        <v>0</v>
      </c>
      <c r="H108" s="11" t="s">
        <v>41</v>
      </c>
      <c r="I108" s="12">
        <f t="shared" si="5"/>
        <v>0</v>
      </c>
      <c r="J108" s="11">
        <v>0.0</v>
      </c>
      <c r="K108" s="11">
        <v>0.0</v>
      </c>
      <c r="L108" s="16">
        <f t="shared" si="6"/>
        <v>0</v>
      </c>
      <c r="M108" s="11" t="s">
        <v>41</v>
      </c>
      <c r="N108" s="12">
        <f t="shared" si="7"/>
        <v>0</v>
      </c>
      <c r="O108" s="18">
        <f t="shared" si="8"/>
        <v>0</v>
      </c>
      <c r="P108" s="18">
        <f t="shared" si="9"/>
        <v>0</v>
      </c>
    </row>
    <row r="109">
      <c r="A109" s="2" t="s">
        <v>147</v>
      </c>
      <c r="B109" s="10">
        <v>1.5</v>
      </c>
      <c r="C109" s="12">
        <f t="shared" si="1"/>
        <v>6</v>
      </c>
      <c r="D109" s="11">
        <v>0.0</v>
      </c>
      <c r="E109" s="11">
        <v>0.0</v>
      </c>
      <c r="F109" s="12">
        <f t="shared" si="2"/>
        <v>0</v>
      </c>
      <c r="G109" s="16">
        <f t="shared" si="3"/>
        <v>0</v>
      </c>
      <c r="H109" s="11" t="s">
        <v>41</v>
      </c>
      <c r="I109" s="12">
        <f t="shared" si="5"/>
        <v>0</v>
      </c>
      <c r="J109" s="11">
        <v>0.0</v>
      </c>
      <c r="K109" s="11">
        <v>0.0</v>
      </c>
      <c r="L109" s="16">
        <f t="shared" si="6"/>
        <v>0</v>
      </c>
      <c r="M109" s="11" t="s">
        <v>41</v>
      </c>
      <c r="N109" s="12">
        <f t="shared" si="7"/>
        <v>0</v>
      </c>
      <c r="O109" s="18">
        <f t="shared" si="8"/>
        <v>0</v>
      </c>
      <c r="P109" s="18">
        <f t="shared" si="9"/>
        <v>0</v>
      </c>
    </row>
    <row r="110">
      <c r="A110" s="2" t="s">
        <v>184</v>
      </c>
      <c r="B110" s="10">
        <v>1.5</v>
      </c>
      <c r="C110" s="12">
        <f t="shared" si="1"/>
        <v>6</v>
      </c>
      <c r="D110" s="11">
        <v>0.0</v>
      </c>
      <c r="E110" s="11">
        <v>0.0</v>
      </c>
      <c r="F110" s="12">
        <f t="shared" si="2"/>
        <v>0</v>
      </c>
      <c r="G110" s="16">
        <f t="shared" si="3"/>
        <v>0</v>
      </c>
      <c r="H110" s="11" t="s">
        <v>41</v>
      </c>
      <c r="I110" s="12">
        <f t="shared" si="5"/>
        <v>0</v>
      </c>
      <c r="J110" s="11">
        <v>0.0</v>
      </c>
      <c r="K110" s="11">
        <v>0.0</v>
      </c>
      <c r="L110" s="16">
        <f t="shared" si="6"/>
        <v>0</v>
      </c>
      <c r="M110" s="11" t="s">
        <v>41</v>
      </c>
      <c r="N110" s="12">
        <f t="shared" si="7"/>
        <v>0</v>
      </c>
      <c r="O110" s="18">
        <f t="shared" si="8"/>
        <v>0</v>
      </c>
      <c r="P110" s="18">
        <f t="shared" si="9"/>
        <v>0</v>
      </c>
    </row>
    <row r="111">
      <c r="A111" s="2" t="s">
        <v>185</v>
      </c>
      <c r="B111" s="10">
        <v>2.0</v>
      </c>
      <c r="C111" s="12">
        <f t="shared" si="1"/>
        <v>8</v>
      </c>
      <c r="D111" s="11">
        <v>0.0</v>
      </c>
      <c r="E111" s="11">
        <v>0.0</v>
      </c>
      <c r="F111" s="12">
        <f t="shared" si="2"/>
        <v>0</v>
      </c>
      <c r="G111" s="16">
        <f t="shared" si="3"/>
        <v>0</v>
      </c>
      <c r="H111" s="11" t="s">
        <v>41</v>
      </c>
      <c r="I111" s="12">
        <f t="shared" si="5"/>
        <v>0</v>
      </c>
      <c r="J111" s="11">
        <v>0.0</v>
      </c>
      <c r="K111" s="11">
        <v>0.0</v>
      </c>
      <c r="L111" s="16">
        <f t="shared" si="6"/>
        <v>0</v>
      </c>
      <c r="M111" s="11" t="s">
        <v>41</v>
      </c>
      <c r="N111" s="12">
        <f t="shared" si="7"/>
        <v>0</v>
      </c>
      <c r="O111" s="18">
        <f t="shared" si="8"/>
        <v>0</v>
      </c>
      <c r="P111" s="18">
        <f t="shared" si="9"/>
        <v>0</v>
      </c>
    </row>
    <row r="112">
      <c r="A112" s="2" t="s">
        <v>186</v>
      </c>
      <c r="B112" s="10">
        <v>2.0</v>
      </c>
      <c r="C112" s="12">
        <f t="shared" si="1"/>
        <v>8</v>
      </c>
      <c r="D112" s="11">
        <v>0.0</v>
      </c>
      <c r="E112" s="20">
        <v>0.0</v>
      </c>
      <c r="F112" s="21">
        <f t="shared" si="2"/>
        <v>0</v>
      </c>
      <c r="G112" s="23">
        <f t="shared" si="3"/>
        <v>0</v>
      </c>
      <c r="H112" s="20" t="s">
        <v>41</v>
      </c>
      <c r="I112" s="12">
        <f t="shared" si="5"/>
        <v>0</v>
      </c>
      <c r="J112" s="11">
        <v>0.0</v>
      </c>
      <c r="K112" s="11">
        <v>0.0</v>
      </c>
      <c r="L112" s="16">
        <f t="shared" si="6"/>
        <v>0</v>
      </c>
      <c r="M112" s="11" t="s">
        <v>41</v>
      </c>
      <c r="N112" s="12">
        <f t="shared" si="7"/>
        <v>0</v>
      </c>
      <c r="O112" s="18">
        <f t="shared" si="8"/>
        <v>0</v>
      </c>
      <c r="P112" s="18">
        <f t="shared" si="9"/>
        <v>0</v>
      </c>
    </row>
    <row r="113">
      <c r="A113" s="2" t="s">
        <v>204</v>
      </c>
      <c r="B113" s="10">
        <v>0.5</v>
      </c>
      <c r="C113" s="12">
        <f t="shared" si="1"/>
        <v>2</v>
      </c>
      <c r="D113" s="11">
        <v>0.0</v>
      </c>
      <c r="E113" s="11">
        <v>0.0</v>
      </c>
      <c r="F113" s="12">
        <f t="shared" si="2"/>
        <v>0</v>
      </c>
      <c r="G113" s="16">
        <f t="shared" si="3"/>
        <v>0</v>
      </c>
      <c r="H113" s="11" t="s">
        <v>41</v>
      </c>
      <c r="I113" s="12">
        <f t="shared" si="5"/>
        <v>0</v>
      </c>
      <c r="J113" s="11">
        <v>0.0</v>
      </c>
      <c r="K113" s="11">
        <v>0.0</v>
      </c>
      <c r="L113" s="16">
        <f t="shared" si="6"/>
        <v>0</v>
      </c>
      <c r="M113" s="11" t="s">
        <v>41</v>
      </c>
      <c r="N113" s="12">
        <f t="shared" si="7"/>
        <v>0</v>
      </c>
      <c r="O113" s="18">
        <f t="shared" si="8"/>
        <v>0</v>
      </c>
      <c r="P113" s="18">
        <f t="shared" si="9"/>
        <v>0</v>
      </c>
    </row>
    <row r="114">
      <c r="A114" s="2" t="s">
        <v>78</v>
      </c>
      <c r="B114" s="10">
        <v>3.0</v>
      </c>
      <c r="C114" s="12">
        <f t="shared" si="1"/>
        <v>12</v>
      </c>
      <c r="D114" s="11">
        <v>0.0</v>
      </c>
      <c r="E114" s="20">
        <v>0.0</v>
      </c>
      <c r="F114" s="21">
        <f t="shared" si="2"/>
        <v>0</v>
      </c>
      <c r="G114" s="23">
        <f t="shared" si="3"/>
        <v>0</v>
      </c>
      <c r="H114" s="20" t="s">
        <v>41</v>
      </c>
      <c r="I114" s="12">
        <f t="shared" si="5"/>
        <v>0</v>
      </c>
      <c r="J114" s="11">
        <v>0.0</v>
      </c>
      <c r="K114" s="11">
        <v>0.0</v>
      </c>
      <c r="L114" s="16">
        <f t="shared" si="6"/>
        <v>0</v>
      </c>
      <c r="M114" s="11" t="s">
        <v>41</v>
      </c>
      <c r="N114" s="12">
        <f t="shared" si="7"/>
        <v>0</v>
      </c>
      <c r="O114" s="18">
        <f t="shared" si="8"/>
        <v>0</v>
      </c>
      <c r="P114" s="18">
        <f t="shared" si="9"/>
        <v>0</v>
      </c>
    </row>
    <row r="115">
      <c r="A115" s="2" t="s">
        <v>123</v>
      </c>
      <c r="B115" s="10">
        <v>3.0</v>
      </c>
      <c r="C115" s="12">
        <f t="shared" si="1"/>
        <v>12</v>
      </c>
      <c r="D115" s="11">
        <v>0.0</v>
      </c>
      <c r="E115" s="20">
        <v>3.0</v>
      </c>
      <c r="F115" s="21">
        <f t="shared" si="2"/>
        <v>3</v>
      </c>
      <c r="G115" s="23">
        <f t="shared" si="3"/>
        <v>0.25</v>
      </c>
      <c r="H115" s="23">
        <f t="shared" ref="H115:H139" si="15">D115/F115</f>
        <v>0</v>
      </c>
      <c r="I115" s="12">
        <f t="shared" si="5"/>
        <v>0</v>
      </c>
      <c r="J115" s="11">
        <v>0.0</v>
      </c>
      <c r="K115" s="11">
        <v>0.0</v>
      </c>
      <c r="L115" s="16">
        <f t="shared" si="6"/>
        <v>0</v>
      </c>
      <c r="M115" s="11" t="s">
        <v>41</v>
      </c>
      <c r="N115" s="12">
        <f t="shared" si="7"/>
        <v>0</v>
      </c>
      <c r="O115" s="18">
        <f t="shared" si="8"/>
        <v>0</v>
      </c>
      <c r="P115" s="18">
        <f t="shared" si="9"/>
        <v>0</v>
      </c>
    </row>
    <row r="116">
      <c r="A116" s="2" t="s">
        <v>193</v>
      </c>
      <c r="B116" s="10">
        <v>3.0</v>
      </c>
      <c r="C116" s="12">
        <f t="shared" si="1"/>
        <v>12</v>
      </c>
      <c r="D116" s="11">
        <v>0.0</v>
      </c>
      <c r="E116" s="11">
        <v>6.0</v>
      </c>
      <c r="F116" s="12">
        <f t="shared" si="2"/>
        <v>6</v>
      </c>
      <c r="G116" s="16">
        <f t="shared" si="3"/>
        <v>0.5</v>
      </c>
      <c r="H116" s="16">
        <f t="shared" si="15"/>
        <v>0</v>
      </c>
      <c r="I116" s="12">
        <f t="shared" si="5"/>
        <v>0</v>
      </c>
      <c r="J116" s="11">
        <v>0.0</v>
      </c>
      <c r="K116" s="11">
        <v>0.0</v>
      </c>
      <c r="L116" s="16">
        <f t="shared" si="6"/>
        <v>0</v>
      </c>
      <c r="M116" s="11" t="s">
        <v>41</v>
      </c>
      <c r="N116" s="12">
        <f t="shared" si="7"/>
        <v>0</v>
      </c>
      <c r="O116" s="18">
        <f t="shared" si="8"/>
        <v>0</v>
      </c>
      <c r="P116" s="18">
        <f t="shared" si="9"/>
        <v>0</v>
      </c>
    </row>
    <row r="117">
      <c r="A117" s="2" t="s">
        <v>192</v>
      </c>
      <c r="B117" s="10">
        <v>3.0</v>
      </c>
      <c r="C117" s="12">
        <f t="shared" si="1"/>
        <v>12</v>
      </c>
      <c r="D117" s="11">
        <v>0.0</v>
      </c>
      <c r="E117" s="11">
        <v>1.0</v>
      </c>
      <c r="F117" s="12">
        <f t="shared" si="2"/>
        <v>1</v>
      </c>
      <c r="G117" s="16">
        <f t="shared" si="3"/>
        <v>0.08333333333</v>
      </c>
      <c r="H117" s="16">
        <f t="shared" si="15"/>
        <v>0</v>
      </c>
      <c r="I117" s="12">
        <f t="shared" si="5"/>
        <v>0</v>
      </c>
      <c r="J117" s="11">
        <v>0.0</v>
      </c>
      <c r="K117" s="11">
        <v>0.0</v>
      </c>
      <c r="L117" s="16">
        <f t="shared" si="6"/>
        <v>0</v>
      </c>
      <c r="M117" s="11" t="s">
        <v>41</v>
      </c>
      <c r="N117" s="12">
        <f t="shared" si="7"/>
        <v>0</v>
      </c>
      <c r="O117" s="18">
        <f t="shared" si="8"/>
        <v>0</v>
      </c>
      <c r="P117" s="18">
        <f t="shared" si="9"/>
        <v>0</v>
      </c>
    </row>
    <row r="118">
      <c r="A118" s="2" t="s">
        <v>125</v>
      </c>
      <c r="B118" s="10">
        <v>3.0</v>
      </c>
      <c r="C118" s="12">
        <f t="shared" si="1"/>
        <v>12</v>
      </c>
      <c r="D118" s="11">
        <v>0.0</v>
      </c>
      <c r="E118" s="11">
        <v>1.0</v>
      </c>
      <c r="F118" s="12">
        <f t="shared" si="2"/>
        <v>1</v>
      </c>
      <c r="G118" s="16">
        <f t="shared" si="3"/>
        <v>0.08333333333</v>
      </c>
      <c r="H118" s="16">
        <f t="shared" si="15"/>
        <v>0</v>
      </c>
      <c r="I118" s="12">
        <f t="shared" si="5"/>
        <v>0</v>
      </c>
      <c r="J118" s="11">
        <v>0.0</v>
      </c>
      <c r="K118" s="11">
        <v>0.0</v>
      </c>
      <c r="L118" s="16">
        <f t="shared" si="6"/>
        <v>0</v>
      </c>
      <c r="M118" s="11" t="s">
        <v>41</v>
      </c>
      <c r="N118" s="12">
        <f t="shared" si="7"/>
        <v>0</v>
      </c>
      <c r="O118" s="18">
        <f t="shared" si="8"/>
        <v>0</v>
      </c>
      <c r="P118" s="18">
        <f t="shared" si="9"/>
        <v>0</v>
      </c>
    </row>
    <row r="119">
      <c r="A119" s="2" t="s">
        <v>140</v>
      </c>
      <c r="B119" s="10">
        <v>3.0</v>
      </c>
      <c r="C119" s="12">
        <f t="shared" si="1"/>
        <v>12</v>
      </c>
      <c r="D119" s="11">
        <v>0.0</v>
      </c>
      <c r="E119" s="11">
        <v>5.0</v>
      </c>
      <c r="F119" s="12">
        <f t="shared" si="2"/>
        <v>5</v>
      </c>
      <c r="G119" s="16">
        <f t="shared" si="3"/>
        <v>0.4166666667</v>
      </c>
      <c r="H119" s="16">
        <f t="shared" si="15"/>
        <v>0</v>
      </c>
      <c r="I119" s="12">
        <f t="shared" si="5"/>
        <v>0</v>
      </c>
      <c r="J119" s="11">
        <v>0.0</v>
      </c>
      <c r="K119" s="11">
        <v>0.0</v>
      </c>
      <c r="L119" s="16">
        <f t="shared" si="6"/>
        <v>0</v>
      </c>
      <c r="M119" s="11" t="s">
        <v>41</v>
      </c>
      <c r="N119" s="12">
        <f t="shared" si="7"/>
        <v>0</v>
      </c>
      <c r="O119" s="18">
        <f t="shared" si="8"/>
        <v>0</v>
      </c>
      <c r="P119" s="18">
        <f t="shared" si="9"/>
        <v>0</v>
      </c>
    </row>
    <row r="120">
      <c r="A120" s="2" t="s">
        <v>84</v>
      </c>
      <c r="B120" s="10">
        <v>3.0</v>
      </c>
      <c r="C120" s="12">
        <f t="shared" si="1"/>
        <v>12</v>
      </c>
      <c r="D120" s="11">
        <v>0.0</v>
      </c>
      <c r="E120" s="11">
        <v>2.0</v>
      </c>
      <c r="F120" s="12">
        <f t="shared" si="2"/>
        <v>2</v>
      </c>
      <c r="G120" s="16">
        <f t="shared" si="3"/>
        <v>0.1666666667</v>
      </c>
      <c r="H120" s="16">
        <f t="shared" si="15"/>
        <v>0</v>
      </c>
      <c r="I120" s="12">
        <f t="shared" si="5"/>
        <v>0</v>
      </c>
      <c r="J120" s="11">
        <v>0.0</v>
      </c>
      <c r="K120" s="11">
        <v>0.0</v>
      </c>
      <c r="L120" s="16">
        <f t="shared" si="6"/>
        <v>0</v>
      </c>
      <c r="M120" s="11" t="s">
        <v>41</v>
      </c>
      <c r="N120" s="12">
        <f t="shared" si="7"/>
        <v>0</v>
      </c>
      <c r="O120" s="18">
        <f t="shared" si="8"/>
        <v>0</v>
      </c>
      <c r="P120" s="18">
        <f t="shared" si="9"/>
        <v>0</v>
      </c>
    </row>
    <row r="121">
      <c r="A121" s="2" t="s">
        <v>128</v>
      </c>
      <c r="B121" s="10">
        <v>3.0</v>
      </c>
      <c r="C121" s="12">
        <f t="shared" si="1"/>
        <v>12</v>
      </c>
      <c r="D121" s="11">
        <v>0.0</v>
      </c>
      <c r="E121" s="11">
        <v>2.0</v>
      </c>
      <c r="F121" s="12">
        <f t="shared" si="2"/>
        <v>2</v>
      </c>
      <c r="G121" s="16">
        <f t="shared" si="3"/>
        <v>0.1666666667</v>
      </c>
      <c r="H121" s="16">
        <f t="shared" si="15"/>
        <v>0</v>
      </c>
      <c r="I121" s="12">
        <f t="shared" si="5"/>
        <v>0</v>
      </c>
      <c r="J121" s="11">
        <v>0.0</v>
      </c>
      <c r="K121" s="11">
        <v>0.0</v>
      </c>
      <c r="L121" s="16">
        <f t="shared" si="6"/>
        <v>0</v>
      </c>
      <c r="M121" s="11" t="s">
        <v>41</v>
      </c>
      <c r="N121" s="12">
        <f t="shared" si="7"/>
        <v>0</v>
      </c>
      <c r="O121" s="18">
        <f t="shared" si="8"/>
        <v>0</v>
      </c>
      <c r="P121" s="18">
        <f t="shared" si="9"/>
        <v>0</v>
      </c>
    </row>
    <row r="122">
      <c r="A122" s="2" t="s">
        <v>205</v>
      </c>
      <c r="B122" s="10">
        <v>3.0</v>
      </c>
      <c r="C122" s="12">
        <f t="shared" si="1"/>
        <v>12</v>
      </c>
      <c r="D122" s="11">
        <v>0.0</v>
      </c>
      <c r="E122" s="11">
        <v>3.0</v>
      </c>
      <c r="F122" s="12">
        <f t="shared" si="2"/>
        <v>3</v>
      </c>
      <c r="G122" s="16">
        <f t="shared" si="3"/>
        <v>0.25</v>
      </c>
      <c r="H122" s="16">
        <f t="shared" si="15"/>
        <v>0</v>
      </c>
      <c r="I122" s="12">
        <f t="shared" si="5"/>
        <v>0</v>
      </c>
      <c r="J122" s="11">
        <v>0.0</v>
      </c>
      <c r="K122" s="11">
        <v>0.0</v>
      </c>
      <c r="L122" s="16">
        <f t="shared" si="6"/>
        <v>0</v>
      </c>
      <c r="M122" s="11" t="s">
        <v>41</v>
      </c>
      <c r="N122" s="12">
        <f t="shared" si="7"/>
        <v>0</v>
      </c>
      <c r="O122" s="18">
        <f t="shared" si="8"/>
        <v>0</v>
      </c>
      <c r="P122" s="18">
        <f t="shared" si="9"/>
        <v>0</v>
      </c>
    </row>
    <row r="123">
      <c r="A123" s="2" t="s">
        <v>196</v>
      </c>
      <c r="B123" s="10">
        <v>3.0</v>
      </c>
      <c r="C123" s="12">
        <f t="shared" si="1"/>
        <v>12</v>
      </c>
      <c r="D123" s="11">
        <v>0.0</v>
      </c>
      <c r="E123" s="11">
        <v>1.0</v>
      </c>
      <c r="F123" s="12">
        <f t="shared" si="2"/>
        <v>1</v>
      </c>
      <c r="G123" s="16">
        <f t="shared" si="3"/>
        <v>0.08333333333</v>
      </c>
      <c r="H123" s="16">
        <f t="shared" si="15"/>
        <v>0</v>
      </c>
      <c r="I123" s="12">
        <f t="shared" si="5"/>
        <v>0</v>
      </c>
      <c r="J123" s="11">
        <v>0.0</v>
      </c>
      <c r="K123" s="11">
        <v>0.0</v>
      </c>
      <c r="L123" s="16">
        <f t="shared" si="6"/>
        <v>0</v>
      </c>
      <c r="M123" s="11" t="s">
        <v>41</v>
      </c>
      <c r="N123" s="12">
        <f t="shared" si="7"/>
        <v>0</v>
      </c>
      <c r="O123" s="18">
        <f t="shared" si="8"/>
        <v>0</v>
      </c>
      <c r="P123" s="18">
        <f t="shared" si="9"/>
        <v>0</v>
      </c>
    </row>
    <row r="124">
      <c r="A124" s="2" t="s">
        <v>43</v>
      </c>
      <c r="B124" s="10">
        <v>3.0</v>
      </c>
      <c r="C124" s="12">
        <f t="shared" si="1"/>
        <v>12</v>
      </c>
      <c r="D124" s="11">
        <v>0.0</v>
      </c>
      <c r="E124" s="20">
        <v>2.0</v>
      </c>
      <c r="F124" s="21">
        <f t="shared" si="2"/>
        <v>2</v>
      </c>
      <c r="G124" s="23">
        <f t="shared" si="3"/>
        <v>0.1666666667</v>
      </c>
      <c r="H124" s="23">
        <f t="shared" si="15"/>
        <v>0</v>
      </c>
      <c r="I124" s="12">
        <f t="shared" si="5"/>
        <v>0</v>
      </c>
      <c r="J124" s="11">
        <v>0.0</v>
      </c>
      <c r="K124" s="11">
        <v>0.0</v>
      </c>
      <c r="L124" s="16">
        <f t="shared" si="6"/>
        <v>0</v>
      </c>
      <c r="M124" s="11" t="s">
        <v>41</v>
      </c>
      <c r="N124" s="12">
        <f t="shared" si="7"/>
        <v>0</v>
      </c>
      <c r="O124" s="18">
        <f t="shared" si="8"/>
        <v>0</v>
      </c>
      <c r="P124" s="18">
        <f t="shared" si="9"/>
        <v>0</v>
      </c>
    </row>
    <row r="125">
      <c r="A125" s="2" t="s">
        <v>49</v>
      </c>
      <c r="B125" s="10">
        <v>3.0</v>
      </c>
      <c r="C125" s="12">
        <f t="shared" si="1"/>
        <v>12</v>
      </c>
      <c r="D125" s="11">
        <v>0.0</v>
      </c>
      <c r="E125" s="11">
        <v>4.0</v>
      </c>
      <c r="F125" s="12">
        <f t="shared" si="2"/>
        <v>4</v>
      </c>
      <c r="G125" s="16">
        <f t="shared" si="3"/>
        <v>0.3333333333</v>
      </c>
      <c r="H125" s="16">
        <f t="shared" si="15"/>
        <v>0</v>
      </c>
      <c r="I125" s="12">
        <f t="shared" si="5"/>
        <v>0</v>
      </c>
      <c r="J125" s="11">
        <v>0.0</v>
      </c>
      <c r="K125" s="11">
        <v>0.0</v>
      </c>
      <c r="L125" s="16">
        <f t="shared" si="6"/>
        <v>0</v>
      </c>
      <c r="M125" s="11" t="s">
        <v>41</v>
      </c>
      <c r="N125" s="12">
        <f t="shared" si="7"/>
        <v>0</v>
      </c>
      <c r="O125" s="18">
        <f t="shared" si="8"/>
        <v>0</v>
      </c>
      <c r="P125" s="18">
        <f t="shared" si="9"/>
        <v>0</v>
      </c>
    </row>
    <row r="126">
      <c r="A126" s="2" t="s">
        <v>154</v>
      </c>
      <c r="B126" s="10">
        <v>3.0</v>
      </c>
      <c r="C126" s="12">
        <f t="shared" si="1"/>
        <v>12</v>
      </c>
      <c r="D126" s="11">
        <v>0.0</v>
      </c>
      <c r="E126" s="11">
        <v>1.0</v>
      </c>
      <c r="F126" s="12">
        <f t="shared" si="2"/>
        <v>1</v>
      </c>
      <c r="G126" s="16">
        <f t="shared" si="3"/>
        <v>0.08333333333</v>
      </c>
      <c r="H126" s="16">
        <f t="shared" si="15"/>
        <v>0</v>
      </c>
      <c r="I126" s="12">
        <f t="shared" si="5"/>
        <v>0</v>
      </c>
      <c r="J126" s="11">
        <v>0.0</v>
      </c>
      <c r="K126" s="11">
        <v>0.0</v>
      </c>
      <c r="L126" s="16">
        <f t="shared" si="6"/>
        <v>0</v>
      </c>
      <c r="M126" s="11" t="s">
        <v>41</v>
      </c>
      <c r="N126" s="12">
        <f t="shared" si="7"/>
        <v>0</v>
      </c>
      <c r="O126" s="18">
        <f t="shared" si="8"/>
        <v>0</v>
      </c>
      <c r="P126" s="18">
        <f t="shared" si="9"/>
        <v>0</v>
      </c>
    </row>
    <row r="127">
      <c r="A127" s="2" t="s">
        <v>155</v>
      </c>
      <c r="B127" s="10">
        <v>3.0</v>
      </c>
      <c r="C127" s="12">
        <f t="shared" si="1"/>
        <v>12</v>
      </c>
      <c r="D127" s="11">
        <v>0.0</v>
      </c>
      <c r="E127" s="11">
        <v>1.0</v>
      </c>
      <c r="F127" s="12">
        <f t="shared" si="2"/>
        <v>1</v>
      </c>
      <c r="G127" s="16">
        <f t="shared" si="3"/>
        <v>0.08333333333</v>
      </c>
      <c r="H127" s="16">
        <f t="shared" si="15"/>
        <v>0</v>
      </c>
      <c r="I127" s="12">
        <f t="shared" si="5"/>
        <v>0</v>
      </c>
      <c r="J127" s="11">
        <v>0.0</v>
      </c>
      <c r="K127" s="11">
        <v>0.0</v>
      </c>
      <c r="L127" s="16">
        <f t="shared" si="6"/>
        <v>0</v>
      </c>
      <c r="M127" s="11" t="s">
        <v>41</v>
      </c>
      <c r="N127" s="12">
        <f t="shared" si="7"/>
        <v>0</v>
      </c>
      <c r="O127" s="18">
        <f t="shared" si="8"/>
        <v>0</v>
      </c>
      <c r="P127" s="18">
        <f t="shared" si="9"/>
        <v>0</v>
      </c>
    </row>
    <row r="128">
      <c r="A128" s="2" t="s">
        <v>162</v>
      </c>
      <c r="B128" s="10">
        <v>2.5</v>
      </c>
      <c r="C128" s="12">
        <f t="shared" si="1"/>
        <v>10</v>
      </c>
      <c r="D128" s="11">
        <v>0.0</v>
      </c>
      <c r="E128" s="11">
        <v>1.0</v>
      </c>
      <c r="F128" s="12">
        <f t="shared" si="2"/>
        <v>1</v>
      </c>
      <c r="G128" s="16">
        <f t="shared" si="3"/>
        <v>0.1</v>
      </c>
      <c r="H128" s="16">
        <f t="shared" si="15"/>
        <v>0</v>
      </c>
      <c r="I128" s="12">
        <f t="shared" si="5"/>
        <v>0</v>
      </c>
      <c r="J128" s="11">
        <v>0.0</v>
      </c>
      <c r="K128" s="11">
        <v>0.0</v>
      </c>
      <c r="L128" s="16">
        <f t="shared" si="6"/>
        <v>0</v>
      </c>
      <c r="M128" s="11" t="s">
        <v>41</v>
      </c>
      <c r="N128" s="12">
        <f t="shared" si="7"/>
        <v>0</v>
      </c>
      <c r="O128" s="18">
        <f t="shared" si="8"/>
        <v>0</v>
      </c>
      <c r="P128" s="18">
        <f t="shared" si="9"/>
        <v>0</v>
      </c>
    </row>
    <row r="129">
      <c r="A129" s="2" t="s">
        <v>163</v>
      </c>
      <c r="B129" s="10">
        <v>2.5</v>
      </c>
      <c r="C129" s="12">
        <f t="shared" si="1"/>
        <v>10</v>
      </c>
      <c r="D129" s="11">
        <v>0.0</v>
      </c>
      <c r="E129" s="11">
        <v>1.0</v>
      </c>
      <c r="F129" s="12">
        <f t="shared" si="2"/>
        <v>1</v>
      </c>
      <c r="G129" s="16">
        <f t="shared" si="3"/>
        <v>0.1</v>
      </c>
      <c r="H129" s="16">
        <f t="shared" si="15"/>
        <v>0</v>
      </c>
      <c r="I129" s="12">
        <f t="shared" si="5"/>
        <v>0</v>
      </c>
      <c r="J129" s="11">
        <v>0.0</v>
      </c>
      <c r="K129" s="11">
        <v>0.0</v>
      </c>
      <c r="L129" s="16">
        <f t="shared" si="6"/>
        <v>0</v>
      </c>
      <c r="M129" s="11" t="s">
        <v>41</v>
      </c>
      <c r="N129" s="12">
        <f t="shared" si="7"/>
        <v>0</v>
      </c>
      <c r="O129" s="18">
        <f t="shared" si="8"/>
        <v>0</v>
      </c>
      <c r="P129" s="18">
        <f t="shared" si="9"/>
        <v>0</v>
      </c>
    </row>
    <row r="130">
      <c r="A130" s="2" t="s">
        <v>165</v>
      </c>
      <c r="B130" s="10">
        <v>2.5</v>
      </c>
      <c r="C130" s="12">
        <f t="shared" si="1"/>
        <v>10</v>
      </c>
      <c r="D130" s="11">
        <v>0.0</v>
      </c>
      <c r="E130" s="11">
        <v>1.0</v>
      </c>
      <c r="F130" s="12">
        <f t="shared" si="2"/>
        <v>1</v>
      </c>
      <c r="G130" s="16">
        <f t="shared" si="3"/>
        <v>0.1</v>
      </c>
      <c r="H130" s="16">
        <f t="shared" si="15"/>
        <v>0</v>
      </c>
      <c r="I130" s="12">
        <f t="shared" si="5"/>
        <v>0</v>
      </c>
      <c r="J130" s="11">
        <v>0.0</v>
      </c>
      <c r="K130" s="11">
        <v>0.0</v>
      </c>
      <c r="L130" s="16">
        <f t="shared" si="6"/>
        <v>0</v>
      </c>
      <c r="M130" s="11" t="s">
        <v>41</v>
      </c>
      <c r="N130" s="12">
        <f t="shared" si="7"/>
        <v>0</v>
      </c>
      <c r="O130" s="18">
        <f t="shared" si="8"/>
        <v>0</v>
      </c>
      <c r="P130" s="18">
        <f t="shared" si="9"/>
        <v>0</v>
      </c>
    </row>
    <row r="131">
      <c r="A131" s="2" t="s">
        <v>121</v>
      </c>
      <c r="B131" s="10">
        <v>2.0</v>
      </c>
      <c r="C131" s="12">
        <f t="shared" si="1"/>
        <v>8</v>
      </c>
      <c r="D131" s="11">
        <v>0.0</v>
      </c>
      <c r="E131" s="11">
        <v>1.0</v>
      </c>
      <c r="F131" s="12">
        <f t="shared" si="2"/>
        <v>1</v>
      </c>
      <c r="G131" s="16">
        <f t="shared" si="3"/>
        <v>0.125</v>
      </c>
      <c r="H131" s="16">
        <f t="shared" si="15"/>
        <v>0</v>
      </c>
      <c r="I131" s="12">
        <f t="shared" si="5"/>
        <v>0</v>
      </c>
      <c r="J131" s="11">
        <v>0.0</v>
      </c>
      <c r="K131" s="11">
        <v>0.0</v>
      </c>
      <c r="L131" s="16">
        <f t="shared" si="6"/>
        <v>0</v>
      </c>
      <c r="M131" s="11" t="s">
        <v>41</v>
      </c>
      <c r="N131" s="12">
        <f t="shared" si="7"/>
        <v>0</v>
      </c>
      <c r="O131" s="18">
        <f t="shared" si="8"/>
        <v>0</v>
      </c>
      <c r="P131" s="18">
        <f t="shared" si="9"/>
        <v>0</v>
      </c>
    </row>
    <row r="132">
      <c r="A132" s="2" t="s">
        <v>206</v>
      </c>
      <c r="B132" s="10">
        <v>3.0</v>
      </c>
      <c r="C132" s="12">
        <f t="shared" si="1"/>
        <v>12</v>
      </c>
      <c r="D132" s="11">
        <v>0.0</v>
      </c>
      <c r="E132" s="20">
        <v>1.0</v>
      </c>
      <c r="F132" s="21">
        <f t="shared" si="2"/>
        <v>1</v>
      </c>
      <c r="G132" s="23">
        <f t="shared" si="3"/>
        <v>0.08333333333</v>
      </c>
      <c r="H132" s="23">
        <f t="shared" si="15"/>
        <v>0</v>
      </c>
      <c r="I132" s="12">
        <f t="shared" si="5"/>
        <v>0</v>
      </c>
      <c r="J132" s="11">
        <v>0.0</v>
      </c>
      <c r="K132" s="11">
        <v>0.0</v>
      </c>
      <c r="L132" s="16">
        <f t="shared" si="6"/>
        <v>0</v>
      </c>
      <c r="M132" s="11" t="s">
        <v>41</v>
      </c>
      <c r="N132" s="12">
        <f t="shared" si="7"/>
        <v>0</v>
      </c>
      <c r="O132" s="18">
        <f t="shared" si="8"/>
        <v>0</v>
      </c>
      <c r="P132" s="18">
        <f t="shared" si="9"/>
        <v>0</v>
      </c>
    </row>
    <row r="133">
      <c r="A133" s="2" t="s">
        <v>175</v>
      </c>
      <c r="B133" s="10">
        <v>1.5</v>
      </c>
      <c r="C133" s="12">
        <f t="shared" si="1"/>
        <v>6</v>
      </c>
      <c r="D133" s="11">
        <v>0.0</v>
      </c>
      <c r="E133" s="11">
        <v>1.0</v>
      </c>
      <c r="F133" s="12">
        <f t="shared" si="2"/>
        <v>1</v>
      </c>
      <c r="G133" s="16">
        <f t="shared" si="3"/>
        <v>0.1666666667</v>
      </c>
      <c r="H133" s="16">
        <f t="shared" si="15"/>
        <v>0</v>
      </c>
      <c r="I133" s="12">
        <f t="shared" si="5"/>
        <v>0</v>
      </c>
      <c r="J133" s="11">
        <v>0.0</v>
      </c>
      <c r="K133" s="11">
        <v>0.0</v>
      </c>
      <c r="L133" s="16">
        <f t="shared" si="6"/>
        <v>0</v>
      </c>
      <c r="M133" s="11" t="s">
        <v>41</v>
      </c>
      <c r="N133" s="12">
        <f t="shared" si="7"/>
        <v>0</v>
      </c>
      <c r="O133" s="18">
        <f t="shared" si="8"/>
        <v>0</v>
      </c>
      <c r="P133" s="18">
        <f t="shared" si="9"/>
        <v>0</v>
      </c>
    </row>
    <row r="134">
      <c r="A134" s="2" t="s">
        <v>180</v>
      </c>
      <c r="B134" s="10">
        <v>1.5</v>
      </c>
      <c r="C134" s="12">
        <f t="shared" si="1"/>
        <v>6</v>
      </c>
      <c r="D134" s="11">
        <v>0.0</v>
      </c>
      <c r="E134" s="11">
        <v>1.0</v>
      </c>
      <c r="F134" s="12">
        <f t="shared" si="2"/>
        <v>1</v>
      </c>
      <c r="G134" s="16">
        <f t="shared" si="3"/>
        <v>0.1666666667</v>
      </c>
      <c r="H134" s="16">
        <f t="shared" si="15"/>
        <v>0</v>
      </c>
      <c r="I134" s="12">
        <f t="shared" si="5"/>
        <v>0</v>
      </c>
      <c r="J134" s="11">
        <v>0.0</v>
      </c>
      <c r="K134" s="11">
        <v>0.0</v>
      </c>
      <c r="L134" s="16">
        <f t="shared" si="6"/>
        <v>0</v>
      </c>
      <c r="M134" s="11" t="s">
        <v>41</v>
      </c>
      <c r="N134" s="12">
        <f t="shared" si="7"/>
        <v>0</v>
      </c>
      <c r="O134" s="18">
        <f t="shared" si="8"/>
        <v>0</v>
      </c>
      <c r="P134" s="18">
        <f t="shared" si="9"/>
        <v>0</v>
      </c>
    </row>
    <row r="135">
      <c r="A135" s="2" t="s">
        <v>182</v>
      </c>
      <c r="B135" s="10">
        <v>1.5</v>
      </c>
      <c r="C135" s="12">
        <f t="shared" si="1"/>
        <v>6</v>
      </c>
      <c r="D135" s="11">
        <v>0.0</v>
      </c>
      <c r="E135" s="11">
        <v>1.0</v>
      </c>
      <c r="F135" s="12">
        <f t="shared" si="2"/>
        <v>1</v>
      </c>
      <c r="G135" s="16">
        <f t="shared" si="3"/>
        <v>0.1666666667</v>
      </c>
      <c r="H135" s="16">
        <f t="shared" si="15"/>
        <v>0</v>
      </c>
      <c r="I135" s="12">
        <f t="shared" si="5"/>
        <v>0</v>
      </c>
      <c r="J135" s="11">
        <v>0.0</v>
      </c>
      <c r="K135" s="11">
        <v>0.0</v>
      </c>
      <c r="L135" s="16">
        <f t="shared" si="6"/>
        <v>0</v>
      </c>
      <c r="M135" s="11" t="s">
        <v>41</v>
      </c>
      <c r="N135" s="12">
        <f t="shared" si="7"/>
        <v>0</v>
      </c>
      <c r="O135" s="18">
        <f t="shared" si="8"/>
        <v>0</v>
      </c>
      <c r="P135" s="18">
        <f t="shared" si="9"/>
        <v>0</v>
      </c>
    </row>
    <row r="136">
      <c r="A136" s="2" t="s">
        <v>135</v>
      </c>
      <c r="B136" s="10">
        <v>3.0</v>
      </c>
      <c r="C136" s="12">
        <f t="shared" si="1"/>
        <v>12</v>
      </c>
      <c r="D136" s="11">
        <v>0.0</v>
      </c>
      <c r="E136" s="11">
        <v>1.0</v>
      </c>
      <c r="F136" s="12">
        <f t="shared" si="2"/>
        <v>1</v>
      </c>
      <c r="G136" s="16">
        <f t="shared" si="3"/>
        <v>0.08333333333</v>
      </c>
      <c r="H136" s="16">
        <f t="shared" si="15"/>
        <v>0</v>
      </c>
      <c r="I136" s="12">
        <f t="shared" si="5"/>
        <v>0</v>
      </c>
      <c r="J136" s="11">
        <v>0.0</v>
      </c>
      <c r="K136" s="11">
        <v>0.0</v>
      </c>
      <c r="L136" s="16">
        <f t="shared" si="6"/>
        <v>0</v>
      </c>
      <c r="M136" s="11" t="s">
        <v>41</v>
      </c>
      <c r="N136" s="12">
        <f t="shared" si="7"/>
        <v>0</v>
      </c>
      <c r="O136" s="18">
        <f t="shared" si="8"/>
        <v>0</v>
      </c>
      <c r="P136" s="18">
        <f t="shared" si="9"/>
        <v>0</v>
      </c>
    </row>
    <row r="137">
      <c r="A137" s="2" t="s">
        <v>199</v>
      </c>
      <c r="B137" s="10">
        <v>3.0</v>
      </c>
      <c r="C137" s="12">
        <f t="shared" si="1"/>
        <v>12</v>
      </c>
      <c r="D137" s="11">
        <v>0.0</v>
      </c>
      <c r="E137" s="11">
        <v>1.0</v>
      </c>
      <c r="F137" s="12">
        <f t="shared" si="2"/>
        <v>1</v>
      </c>
      <c r="G137" s="16">
        <f t="shared" si="3"/>
        <v>0.08333333333</v>
      </c>
      <c r="H137" s="16">
        <f t="shared" si="15"/>
        <v>0</v>
      </c>
      <c r="I137" s="12">
        <f t="shared" si="5"/>
        <v>0</v>
      </c>
      <c r="J137" s="11">
        <v>0.0</v>
      </c>
      <c r="K137" s="11">
        <v>0.0</v>
      </c>
      <c r="L137" s="16">
        <f t="shared" si="6"/>
        <v>0</v>
      </c>
      <c r="M137" s="11" t="s">
        <v>41</v>
      </c>
      <c r="N137" s="12">
        <f t="shared" si="7"/>
        <v>0</v>
      </c>
      <c r="O137" s="18">
        <f t="shared" si="8"/>
        <v>0</v>
      </c>
      <c r="P137" s="18">
        <f t="shared" si="9"/>
        <v>0</v>
      </c>
    </row>
    <row r="138">
      <c r="A138" s="2" t="s">
        <v>97</v>
      </c>
      <c r="B138" s="10">
        <v>3.0</v>
      </c>
      <c r="C138" s="12">
        <f t="shared" si="1"/>
        <v>12</v>
      </c>
      <c r="D138" s="11">
        <v>0.0</v>
      </c>
      <c r="E138" s="20">
        <v>1.0</v>
      </c>
      <c r="F138" s="21">
        <f t="shared" si="2"/>
        <v>1</v>
      </c>
      <c r="G138" s="23">
        <f t="shared" si="3"/>
        <v>0.08333333333</v>
      </c>
      <c r="H138" s="23">
        <f t="shared" si="15"/>
        <v>0</v>
      </c>
      <c r="I138" s="12">
        <f t="shared" si="5"/>
        <v>0</v>
      </c>
      <c r="J138" s="11">
        <v>0.0</v>
      </c>
      <c r="K138" s="11">
        <v>0.0</v>
      </c>
      <c r="L138" s="16">
        <f t="shared" si="6"/>
        <v>0</v>
      </c>
      <c r="M138" s="11" t="s">
        <v>41</v>
      </c>
      <c r="N138" s="12">
        <f t="shared" si="7"/>
        <v>0</v>
      </c>
      <c r="O138" s="18">
        <f t="shared" si="8"/>
        <v>0</v>
      </c>
      <c r="P138" s="18">
        <f t="shared" si="9"/>
        <v>0</v>
      </c>
    </row>
    <row r="139">
      <c r="A139" s="2" t="s">
        <v>138</v>
      </c>
      <c r="B139" s="10">
        <v>2.5</v>
      </c>
      <c r="C139" s="12">
        <f t="shared" si="1"/>
        <v>10</v>
      </c>
      <c r="D139" s="11">
        <v>0.0</v>
      </c>
      <c r="E139" s="11">
        <v>2.0</v>
      </c>
      <c r="F139" s="12">
        <f t="shared" si="2"/>
        <v>2</v>
      </c>
      <c r="G139" s="16">
        <f t="shared" si="3"/>
        <v>0.2</v>
      </c>
      <c r="H139" s="16">
        <f t="shared" si="15"/>
        <v>0</v>
      </c>
      <c r="I139" s="12">
        <f t="shared" si="5"/>
        <v>1</v>
      </c>
      <c r="J139" s="11">
        <v>0.0</v>
      </c>
      <c r="K139" s="11">
        <v>1.0</v>
      </c>
      <c r="L139" s="16">
        <f t="shared" si="6"/>
        <v>0.1</v>
      </c>
      <c r="M139" s="16">
        <f>J139/I139</f>
        <v>0</v>
      </c>
      <c r="N139" s="12">
        <f t="shared" si="7"/>
        <v>-4</v>
      </c>
      <c r="O139" s="18">
        <f t="shared" si="8"/>
        <v>-0.4</v>
      </c>
      <c r="P139" s="18">
        <f t="shared" si="9"/>
        <v>-1.6</v>
      </c>
    </row>
    <row r="140">
      <c r="A140" s="34"/>
      <c r="B140" s="35"/>
      <c r="G140" s="30"/>
      <c r="H140" s="30"/>
      <c r="L140" s="30"/>
      <c r="M140" s="30"/>
      <c r="O140" s="32"/>
      <c r="P140" s="32"/>
    </row>
    <row r="141">
      <c r="A141" s="34"/>
      <c r="B141" s="35"/>
      <c r="G141" s="30"/>
      <c r="H141" s="30"/>
      <c r="L141" s="30"/>
      <c r="M141" s="30"/>
      <c r="O141" s="32"/>
      <c r="P141" s="32"/>
    </row>
    <row r="142">
      <c r="B142" s="35"/>
      <c r="G142" s="30"/>
      <c r="H142" s="30"/>
      <c r="L142" s="30"/>
      <c r="M142" s="30"/>
      <c r="O142" s="32"/>
      <c r="P142" s="32"/>
    </row>
    <row r="143">
      <c r="B143" s="35"/>
      <c r="G143" s="30"/>
      <c r="H143" s="30"/>
      <c r="L143" s="30"/>
      <c r="M143" s="30"/>
      <c r="O143" s="32"/>
      <c r="P143" s="32"/>
    </row>
    <row r="144">
      <c r="B144" s="35"/>
      <c r="G144" s="30"/>
      <c r="H144" s="30"/>
      <c r="L144" s="30"/>
      <c r="M144" s="30"/>
      <c r="O144" s="32"/>
      <c r="P144" s="32"/>
    </row>
    <row r="145">
      <c r="B145" s="35"/>
      <c r="G145" s="30"/>
      <c r="H145" s="30"/>
      <c r="L145" s="30"/>
      <c r="M145" s="30"/>
      <c r="O145" s="32"/>
      <c r="P145" s="32"/>
    </row>
    <row r="146">
      <c r="B146" s="35"/>
      <c r="G146" s="30"/>
      <c r="H146" s="30"/>
      <c r="L146" s="30"/>
      <c r="M146" s="30"/>
      <c r="O146" s="32"/>
      <c r="P146" s="32"/>
    </row>
    <row r="147">
      <c r="B147" s="35"/>
      <c r="G147" s="30"/>
      <c r="H147" s="30"/>
      <c r="L147" s="30"/>
      <c r="M147" s="30"/>
      <c r="O147" s="32"/>
      <c r="P147" s="32"/>
    </row>
    <row r="148">
      <c r="B148" s="35"/>
      <c r="G148" s="30"/>
      <c r="H148" s="30"/>
      <c r="L148" s="30"/>
      <c r="M148" s="30"/>
      <c r="O148" s="32"/>
      <c r="P148" s="32"/>
    </row>
    <row r="149">
      <c r="B149" s="35"/>
      <c r="G149" s="30"/>
      <c r="H149" s="30"/>
      <c r="L149" s="30"/>
      <c r="M149" s="30"/>
      <c r="O149" s="32"/>
      <c r="P149" s="32"/>
    </row>
    <row r="150">
      <c r="B150" s="35"/>
      <c r="G150" s="30"/>
      <c r="H150" s="30"/>
      <c r="L150" s="30"/>
      <c r="M150" s="30"/>
      <c r="O150" s="32"/>
      <c r="P150" s="32"/>
    </row>
    <row r="151">
      <c r="B151" s="35"/>
      <c r="G151" s="30"/>
      <c r="H151" s="30"/>
      <c r="L151" s="30"/>
      <c r="M151" s="30"/>
      <c r="O151" s="32"/>
      <c r="P151" s="32"/>
    </row>
    <row r="152">
      <c r="B152" s="35"/>
      <c r="G152" s="30"/>
      <c r="H152" s="30"/>
      <c r="L152" s="30"/>
      <c r="M152" s="30"/>
      <c r="O152" s="32"/>
      <c r="P152" s="32"/>
    </row>
    <row r="153">
      <c r="B153" s="35"/>
      <c r="G153" s="30"/>
      <c r="H153" s="30"/>
      <c r="L153" s="30"/>
      <c r="M153" s="30"/>
      <c r="O153" s="32"/>
      <c r="P153" s="32"/>
    </row>
    <row r="154">
      <c r="B154" s="35"/>
      <c r="G154" s="30"/>
      <c r="H154" s="30"/>
      <c r="L154" s="30"/>
      <c r="M154" s="30"/>
      <c r="O154" s="32"/>
      <c r="P154" s="32"/>
    </row>
    <row r="155">
      <c r="B155" s="35"/>
      <c r="G155" s="30"/>
      <c r="H155" s="30"/>
      <c r="L155" s="30"/>
      <c r="M155" s="30"/>
      <c r="O155" s="32"/>
      <c r="P155" s="32"/>
    </row>
    <row r="156">
      <c r="B156" s="35"/>
      <c r="G156" s="30"/>
      <c r="H156" s="30"/>
      <c r="L156" s="30"/>
      <c r="M156" s="30"/>
      <c r="O156" s="32"/>
      <c r="P156" s="32"/>
    </row>
    <row r="157">
      <c r="B157" s="35"/>
      <c r="G157" s="30"/>
      <c r="H157" s="30"/>
      <c r="L157" s="30"/>
      <c r="M157" s="30"/>
      <c r="O157" s="32"/>
      <c r="P157" s="32"/>
    </row>
    <row r="158">
      <c r="B158" s="35"/>
      <c r="G158" s="30"/>
      <c r="H158" s="30"/>
      <c r="L158" s="30"/>
      <c r="M158" s="30"/>
      <c r="O158" s="32"/>
      <c r="P158" s="32"/>
    </row>
    <row r="159">
      <c r="B159" s="35"/>
      <c r="G159" s="30"/>
      <c r="H159" s="30"/>
      <c r="L159" s="30"/>
      <c r="M159" s="30"/>
      <c r="O159" s="32"/>
      <c r="P159" s="32"/>
    </row>
    <row r="160">
      <c r="B160" s="35"/>
      <c r="G160" s="30"/>
      <c r="H160" s="30"/>
      <c r="L160" s="30"/>
      <c r="M160" s="30"/>
      <c r="O160" s="32"/>
      <c r="P160" s="32"/>
    </row>
    <row r="161">
      <c r="B161" s="35"/>
      <c r="G161" s="30"/>
      <c r="H161" s="30"/>
      <c r="L161" s="30"/>
      <c r="M161" s="30"/>
      <c r="O161" s="32"/>
      <c r="P161" s="32"/>
    </row>
    <row r="162">
      <c r="B162" s="35"/>
      <c r="G162" s="30"/>
      <c r="H162" s="30"/>
      <c r="L162" s="30"/>
      <c r="M162" s="30"/>
      <c r="O162" s="32"/>
      <c r="P162" s="32"/>
    </row>
    <row r="163">
      <c r="B163" s="35"/>
      <c r="G163" s="30"/>
      <c r="H163" s="30"/>
      <c r="L163" s="30"/>
      <c r="M163" s="30"/>
      <c r="O163" s="32"/>
      <c r="P163" s="32"/>
    </row>
    <row r="164">
      <c r="B164" s="35"/>
      <c r="G164" s="30"/>
      <c r="H164" s="30"/>
      <c r="L164" s="30"/>
      <c r="M164" s="30"/>
      <c r="O164" s="32"/>
      <c r="P164" s="32"/>
    </row>
    <row r="165">
      <c r="B165" s="35"/>
      <c r="G165" s="30"/>
      <c r="H165" s="30"/>
      <c r="L165" s="30"/>
      <c r="M165" s="30"/>
      <c r="O165" s="32"/>
      <c r="P165" s="32"/>
    </row>
    <row r="166">
      <c r="B166" s="35"/>
      <c r="G166" s="30"/>
      <c r="H166" s="30"/>
      <c r="L166" s="30"/>
      <c r="M166" s="30"/>
      <c r="O166" s="32"/>
      <c r="P166" s="32"/>
    </row>
    <row r="167">
      <c r="B167" s="35"/>
      <c r="G167" s="30"/>
      <c r="H167" s="30"/>
      <c r="L167" s="30"/>
      <c r="M167" s="30"/>
      <c r="O167" s="32"/>
      <c r="P167" s="32"/>
    </row>
    <row r="168">
      <c r="B168" s="35"/>
      <c r="G168" s="30"/>
      <c r="H168" s="30"/>
      <c r="L168" s="30"/>
      <c r="M168" s="30"/>
      <c r="O168" s="32"/>
      <c r="P168" s="32"/>
    </row>
    <row r="169">
      <c r="B169" s="35"/>
      <c r="G169" s="30"/>
      <c r="H169" s="30"/>
      <c r="L169" s="30"/>
      <c r="M169" s="30"/>
      <c r="O169" s="32"/>
      <c r="P169" s="32"/>
    </row>
    <row r="170">
      <c r="B170" s="35"/>
      <c r="G170" s="30"/>
      <c r="H170" s="30"/>
      <c r="L170" s="30"/>
      <c r="M170" s="30"/>
      <c r="O170" s="32"/>
      <c r="P170" s="32"/>
    </row>
    <row r="171">
      <c r="B171" s="35"/>
      <c r="G171" s="30"/>
      <c r="H171" s="30"/>
      <c r="L171" s="30"/>
      <c r="M171" s="30"/>
      <c r="O171" s="32"/>
      <c r="P171" s="32"/>
    </row>
    <row r="172">
      <c r="B172" s="35"/>
      <c r="G172" s="30"/>
      <c r="H172" s="30"/>
      <c r="L172" s="30"/>
      <c r="M172" s="30"/>
      <c r="O172" s="32"/>
      <c r="P172" s="32"/>
    </row>
    <row r="173">
      <c r="B173" s="35"/>
      <c r="G173" s="30"/>
      <c r="H173" s="30"/>
      <c r="L173" s="30"/>
      <c r="M173" s="30"/>
      <c r="O173" s="32"/>
      <c r="P173" s="32"/>
    </row>
    <row r="174">
      <c r="B174" s="35"/>
      <c r="G174" s="30"/>
      <c r="H174" s="30"/>
      <c r="L174" s="30"/>
      <c r="M174" s="30"/>
      <c r="O174" s="32"/>
      <c r="P174" s="32"/>
    </row>
    <row r="175">
      <c r="B175" s="35"/>
      <c r="G175" s="30"/>
      <c r="H175" s="30"/>
      <c r="L175" s="30"/>
      <c r="M175" s="30"/>
      <c r="O175" s="32"/>
      <c r="P175" s="32"/>
    </row>
    <row r="176">
      <c r="B176" s="35"/>
      <c r="G176" s="30"/>
      <c r="H176" s="30"/>
      <c r="L176" s="30"/>
      <c r="M176" s="30"/>
      <c r="O176" s="32"/>
      <c r="P176" s="32"/>
    </row>
    <row r="177">
      <c r="B177" s="35"/>
      <c r="G177" s="30"/>
      <c r="H177" s="30"/>
      <c r="L177" s="30"/>
      <c r="M177" s="30"/>
      <c r="O177" s="32"/>
      <c r="P177" s="32"/>
    </row>
    <row r="178">
      <c r="B178" s="35"/>
      <c r="G178" s="30"/>
      <c r="H178" s="30"/>
      <c r="L178" s="30"/>
      <c r="M178" s="30"/>
      <c r="O178" s="32"/>
      <c r="P178" s="32"/>
    </row>
    <row r="179">
      <c r="B179" s="35"/>
      <c r="G179" s="30"/>
      <c r="H179" s="30"/>
      <c r="L179" s="30"/>
      <c r="M179" s="30"/>
      <c r="O179" s="32"/>
      <c r="P179" s="32"/>
    </row>
    <row r="180">
      <c r="B180" s="35"/>
      <c r="G180" s="30"/>
      <c r="H180" s="30"/>
      <c r="L180" s="30"/>
      <c r="M180" s="30"/>
      <c r="O180" s="32"/>
      <c r="P180" s="32"/>
    </row>
    <row r="181">
      <c r="B181" s="35"/>
      <c r="G181" s="30"/>
      <c r="H181" s="30"/>
      <c r="L181" s="30"/>
      <c r="M181" s="30"/>
      <c r="O181" s="32"/>
      <c r="P181" s="32"/>
    </row>
    <row r="182">
      <c r="B182" s="35"/>
      <c r="G182" s="30"/>
      <c r="H182" s="30"/>
      <c r="L182" s="30"/>
      <c r="M182" s="30"/>
      <c r="O182" s="32"/>
      <c r="P182" s="32"/>
    </row>
    <row r="183">
      <c r="B183" s="35"/>
      <c r="G183" s="30"/>
      <c r="H183" s="30"/>
      <c r="L183" s="30"/>
      <c r="M183" s="30"/>
      <c r="O183" s="32"/>
      <c r="P183" s="32"/>
    </row>
    <row r="184">
      <c r="B184" s="35"/>
      <c r="G184" s="30"/>
      <c r="H184" s="30"/>
      <c r="L184" s="30"/>
      <c r="M184" s="30"/>
      <c r="O184" s="32"/>
      <c r="P184" s="32"/>
    </row>
    <row r="185">
      <c r="B185" s="35"/>
      <c r="G185" s="30"/>
      <c r="H185" s="30"/>
      <c r="L185" s="30"/>
      <c r="M185" s="30"/>
      <c r="O185" s="32"/>
      <c r="P185" s="32"/>
    </row>
    <row r="186">
      <c r="B186" s="35"/>
      <c r="G186" s="30"/>
      <c r="H186" s="30"/>
      <c r="L186" s="30"/>
      <c r="M186" s="30"/>
      <c r="O186" s="32"/>
      <c r="P186" s="32"/>
    </row>
    <row r="187">
      <c r="B187" s="35"/>
      <c r="G187" s="30"/>
      <c r="H187" s="30"/>
      <c r="L187" s="30"/>
      <c r="M187" s="30"/>
      <c r="O187" s="32"/>
      <c r="P187" s="32"/>
    </row>
    <row r="188">
      <c r="B188" s="35"/>
      <c r="G188" s="30"/>
      <c r="H188" s="30"/>
      <c r="L188" s="30"/>
      <c r="M188" s="30"/>
      <c r="O188" s="32"/>
      <c r="P188" s="32"/>
    </row>
    <row r="189">
      <c r="B189" s="35"/>
      <c r="G189" s="30"/>
      <c r="H189" s="30"/>
      <c r="L189" s="30"/>
      <c r="M189" s="30"/>
      <c r="O189" s="32"/>
      <c r="P189" s="32"/>
    </row>
    <row r="190">
      <c r="B190" s="35"/>
      <c r="G190" s="30"/>
      <c r="H190" s="30"/>
      <c r="L190" s="30"/>
      <c r="M190" s="30"/>
      <c r="O190" s="32"/>
      <c r="P190" s="32"/>
    </row>
    <row r="191">
      <c r="B191" s="35"/>
      <c r="G191" s="30"/>
      <c r="H191" s="30"/>
      <c r="L191" s="30"/>
      <c r="M191" s="30"/>
      <c r="O191" s="32"/>
      <c r="P191" s="32"/>
    </row>
    <row r="192">
      <c r="B192" s="35"/>
      <c r="G192" s="30"/>
      <c r="H192" s="30"/>
      <c r="L192" s="30"/>
      <c r="M192" s="30"/>
      <c r="O192" s="32"/>
      <c r="P192" s="32"/>
    </row>
    <row r="193">
      <c r="B193" s="35"/>
      <c r="G193" s="30"/>
      <c r="H193" s="30"/>
      <c r="L193" s="30"/>
      <c r="M193" s="30"/>
      <c r="O193" s="32"/>
      <c r="P193" s="32"/>
    </row>
    <row r="194">
      <c r="B194" s="35"/>
      <c r="G194" s="30"/>
      <c r="H194" s="30"/>
      <c r="L194" s="30"/>
      <c r="M194" s="30"/>
      <c r="O194" s="32"/>
      <c r="P194" s="32"/>
    </row>
    <row r="195">
      <c r="B195" s="35"/>
      <c r="G195" s="30"/>
      <c r="H195" s="30"/>
      <c r="L195" s="30"/>
      <c r="M195" s="30"/>
      <c r="O195" s="32"/>
      <c r="P195" s="32"/>
    </row>
    <row r="196">
      <c r="B196" s="35"/>
      <c r="G196" s="30"/>
      <c r="H196" s="30"/>
      <c r="L196" s="30"/>
      <c r="M196" s="30"/>
      <c r="O196" s="32"/>
      <c r="P196" s="32"/>
    </row>
    <row r="197">
      <c r="B197" s="35"/>
      <c r="G197" s="30"/>
      <c r="H197" s="30"/>
      <c r="L197" s="30"/>
      <c r="M197" s="30"/>
      <c r="O197" s="32"/>
      <c r="P197" s="32"/>
    </row>
    <row r="198">
      <c r="B198" s="35"/>
      <c r="G198" s="30"/>
      <c r="H198" s="30"/>
      <c r="L198" s="30"/>
      <c r="M198" s="30"/>
      <c r="O198" s="32"/>
      <c r="P198" s="32"/>
    </row>
    <row r="199">
      <c r="B199" s="35"/>
      <c r="G199" s="30"/>
      <c r="H199" s="30"/>
      <c r="L199" s="30"/>
      <c r="M199" s="30"/>
      <c r="O199" s="32"/>
      <c r="P199" s="32"/>
    </row>
    <row r="200">
      <c r="B200" s="35"/>
      <c r="G200" s="30"/>
      <c r="H200" s="30"/>
      <c r="L200" s="30"/>
      <c r="M200" s="30"/>
      <c r="O200" s="32"/>
      <c r="P200" s="32"/>
    </row>
    <row r="201">
      <c r="B201" s="35"/>
      <c r="G201" s="30"/>
      <c r="H201" s="30"/>
      <c r="L201" s="30"/>
      <c r="M201" s="30"/>
      <c r="O201" s="32"/>
      <c r="P201" s="32"/>
    </row>
    <row r="202">
      <c r="B202" s="35"/>
      <c r="G202" s="30"/>
      <c r="H202" s="30"/>
      <c r="L202" s="30"/>
      <c r="M202" s="30"/>
      <c r="O202" s="32"/>
      <c r="P202" s="32"/>
    </row>
    <row r="203">
      <c r="B203" s="35"/>
      <c r="G203" s="30"/>
      <c r="H203" s="30"/>
      <c r="L203" s="30"/>
      <c r="M203" s="30"/>
      <c r="O203" s="32"/>
      <c r="P203" s="32"/>
    </row>
    <row r="204">
      <c r="B204" s="35"/>
      <c r="G204" s="30"/>
      <c r="H204" s="30"/>
      <c r="L204" s="30"/>
      <c r="M204" s="30"/>
      <c r="O204" s="32"/>
      <c r="P204" s="32"/>
    </row>
    <row r="205">
      <c r="B205" s="35"/>
      <c r="G205" s="30"/>
      <c r="H205" s="30"/>
      <c r="L205" s="30"/>
      <c r="M205" s="30"/>
      <c r="O205" s="32"/>
      <c r="P205" s="32"/>
    </row>
    <row r="206">
      <c r="B206" s="35"/>
      <c r="G206" s="30"/>
      <c r="H206" s="30"/>
      <c r="L206" s="30"/>
      <c r="M206" s="30"/>
      <c r="O206" s="32"/>
      <c r="P206" s="32"/>
    </row>
    <row r="207">
      <c r="B207" s="35"/>
      <c r="G207" s="30"/>
      <c r="H207" s="30"/>
      <c r="L207" s="30"/>
      <c r="M207" s="30"/>
      <c r="O207" s="32"/>
      <c r="P207" s="32"/>
    </row>
    <row r="208">
      <c r="B208" s="35"/>
      <c r="G208" s="30"/>
      <c r="H208" s="30"/>
      <c r="L208" s="30"/>
      <c r="M208" s="30"/>
      <c r="O208" s="32"/>
      <c r="P208" s="32"/>
    </row>
    <row r="209">
      <c r="B209" s="35"/>
      <c r="G209" s="30"/>
      <c r="H209" s="30"/>
      <c r="L209" s="30"/>
      <c r="M209" s="30"/>
      <c r="O209" s="32"/>
      <c r="P209" s="32"/>
    </row>
    <row r="210">
      <c r="B210" s="35"/>
      <c r="G210" s="30"/>
      <c r="H210" s="30"/>
      <c r="L210" s="30"/>
      <c r="M210" s="30"/>
      <c r="O210" s="32"/>
      <c r="P210" s="32"/>
    </row>
    <row r="211">
      <c r="B211" s="35"/>
      <c r="G211" s="30"/>
      <c r="H211" s="30"/>
      <c r="L211" s="30"/>
      <c r="M211" s="30"/>
      <c r="O211" s="32"/>
      <c r="P211" s="32"/>
    </row>
    <row r="212">
      <c r="B212" s="35"/>
      <c r="G212" s="30"/>
      <c r="H212" s="30"/>
      <c r="L212" s="30"/>
      <c r="M212" s="30"/>
      <c r="O212" s="32"/>
      <c r="P212" s="32"/>
    </row>
    <row r="213">
      <c r="B213" s="35"/>
      <c r="G213" s="30"/>
      <c r="H213" s="30"/>
      <c r="L213" s="30"/>
      <c r="M213" s="30"/>
      <c r="O213" s="32"/>
      <c r="P213" s="32"/>
    </row>
    <row r="214">
      <c r="B214" s="35"/>
      <c r="G214" s="30"/>
      <c r="H214" s="30"/>
      <c r="L214" s="30"/>
      <c r="M214" s="30"/>
      <c r="O214" s="32"/>
      <c r="P214" s="32"/>
    </row>
    <row r="215">
      <c r="B215" s="35"/>
      <c r="G215" s="30"/>
      <c r="H215" s="30"/>
      <c r="L215" s="30"/>
      <c r="M215" s="30"/>
      <c r="O215" s="32"/>
      <c r="P215" s="32"/>
    </row>
    <row r="216">
      <c r="B216" s="35"/>
      <c r="G216" s="30"/>
      <c r="H216" s="30"/>
      <c r="L216" s="30"/>
      <c r="M216" s="30"/>
      <c r="O216" s="32"/>
      <c r="P216" s="32"/>
    </row>
    <row r="217">
      <c r="B217" s="35"/>
      <c r="G217" s="30"/>
      <c r="H217" s="30"/>
      <c r="L217" s="30"/>
      <c r="M217" s="30"/>
      <c r="O217" s="32"/>
      <c r="P217" s="32"/>
    </row>
    <row r="218">
      <c r="B218" s="35"/>
      <c r="G218" s="30"/>
      <c r="H218" s="30"/>
      <c r="L218" s="30"/>
      <c r="M218" s="30"/>
      <c r="O218" s="32"/>
      <c r="P218" s="32"/>
    </row>
    <row r="219">
      <c r="B219" s="35"/>
      <c r="G219" s="30"/>
      <c r="H219" s="30"/>
      <c r="L219" s="30"/>
      <c r="M219" s="30"/>
      <c r="O219" s="32"/>
      <c r="P219" s="32"/>
    </row>
    <row r="220">
      <c r="B220" s="35"/>
      <c r="G220" s="30"/>
      <c r="H220" s="30"/>
      <c r="L220" s="30"/>
      <c r="M220" s="30"/>
      <c r="O220" s="32"/>
      <c r="P220" s="32"/>
    </row>
    <row r="221">
      <c r="B221" s="35"/>
      <c r="G221" s="30"/>
      <c r="H221" s="30"/>
      <c r="L221" s="30"/>
      <c r="M221" s="30"/>
      <c r="O221" s="32"/>
      <c r="P221" s="32"/>
    </row>
    <row r="222">
      <c r="B222" s="35"/>
      <c r="G222" s="30"/>
      <c r="H222" s="30"/>
      <c r="L222" s="30"/>
      <c r="M222" s="30"/>
      <c r="O222" s="32"/>
      <c r="P222" s="32"/>
    </row>
    <row r="223">
      <c r="B223" s="35"/>
      <c r="G223" s="30"/>
      <c r="H223" s="30"/>
      <c r="L223" s="30"/>
      <c r="M223" s="30"/>
      <c r="O223" s="32"/>
      <c r="P223" s="32"/>
    </row>
    <row r="224">
      <c r="B224" s="35"/>
      <c r="G224" s="30"/>
      <c r="H224" s="30"/>
      <c r="L224" s="30"/>
      <c r="M224" s="30"/>
      <c r="O224" s="32"/>
      <c r="P224" s="32"/>
    </row>
    <row r="225">
      <c r="B225" s="35"/>
      <c r="G225" s="30"/>
      <c r="H225" s="30"/>
      <c r="L225" s="30"/>
      <c r="M225" s="30"/>
      <c r="O225" s="32"/>
      <c r="P225" s="32"/>
    </row>
    <row r="226">
      <c r="B226" s="35"/>
      <c r="G226" s="30"/>
      <c r="H226" s="30"/>
      <c r="L226" s="30"/>
      <c r="M226" s="30"/>
      <c r="O226" s="32"/>
      <c r="P226" s="32"/>
    </row>
    <row r="227">
      <c r="B227" s="35"/>
      <c r="G227" s="30"/>
      <c r="H227" s="30"/>
      <c r="L227" s="30"/>
      <c r="M227" s="30"/>
      <c r="O227" s="32"/>
      <c r="P227" s="32"/>
    </row>
    <row r="228">
      <c r="B228" s="35"/>
      <c r="G228" s="30"/>
      <c r="H228" s="30"/>
      <c r="L228" s="30"/>
      <c r="M228" s="30"/>
      <c r="O228" s="32"/>
      <c r="P228" s="32"/>
    </row>
    <row r="229">
      <c r="B229" s="35"/>
      <c r="G229" s="30"/>
      <c r="H229" s="30"/>
      <c r="L229" s="30"/>
      <c r="M229" s="30"/>
      <c r="O229" s="32"/>
      <c r="P229" s="32"/>
    </row>
    <row r="230">
      <c r="B230" s="35"/>
      <c r="G230" s="30"/>
      <c r="H230" s="30"/>
      <c r="L230" s="30"/>
      <c r="M230" s="30"/>
      <c r="O230" s="32"/>
      <c r="P230" s="32"/>
    </row>
    <row r="231">
      <c r="B231" s="35"/>
      <c r="G231" s="30"/>
      <c r="H231" s="30"/>
      <c r="L231" s="30"/>
      <c r="M231" s="30"/>
      <c r="O231" s="32"/>
      <c r="P231" s="32"/>
    </row>
    <row r="232">
      <c r="B232" s="35"/>
      <c r="G232" s="30"/>
      <c r="H232" s="30"/>
      <c r="L232" s="30"/>
      <c r="M232" s="30"/>
      <c r="O232" s="32"/>
      <c r="P232" s="32"/>
    </row>
    <row r="233">
      <c r="B233" s="35"/>
      <c r="G233" s="30"/>
      <c r="H233" s="30"/>
      <c r="L233" s="30"/>
      <c r="M233" s="30"/>
      <c r="O233" s="32"/>
      <c r="P233" s="32"/>
    </row>
    <row r="234">
      <c r="B234" s="35"/>
      <c r="G234" s="30"/>
      <c r="H234" s="30"/>
      <c r="L234" s="30"/>
      <c r="M234" s="30"/>
      <c r="O234" s="32"/>
      <c r="P234" s="32"/>
    </row>
    <row r="235">
      <c r="B235" s="35"/>
      <c r="G235" s="30"/>
      <c r="H235" s="30"/>
      <c r="L235" s="30"/>
      <c r="M235" s="30"/>
      <c r="O235" s="32"/>
      <c r="P235" s="32"/>
    </row>
    <row r="236">
      <c r="B236" s="35"/>
      <c r="G236" s="30"/>
      <c r="H236" s="30"/>
      <c r="L236" s="30"/>
      <c r="M236" s="30"/>
      <c r="O236" s="32"/>
      <c r="P236" s="32"/>
    </row>
    <row r="237">
      <c r="B237" s="35"/>
      <c r="G237" s="30"/>
      <c r="H237" s="30"/>
      <c r="L237" s="30"/>
      <c r="M237" s="30"/>
      <c r="O237" s="32"/>
      <c r="P237" s="32"/>
    </row>
    <row r="238">
      <c r="B238" s="35"/>
      <c r="G238" s="30"/>
      <c r="H238" s="30"/>
      <c r="L238" s="30"/>
      <c r="M238" s="30"/>
      <c r="O238" s="32"/>
      <c r="P238" s="32"/>
    </row>
    <row r="239">
      <c r="B239" s="35"/>
      <c r="G239" s="30"/>
      <c r="H239" s="30"/>
      <c r="L239" s="30"/>
      <c r="M239" s="30"/>
      <c r="O239" s="32"/>
      <c r="P239" s="32"/>
    </row>
    <row r="240">
      <c r="B240" s="35"/>
      <c r="G240" s="30"/>
      <c r="H240" s="30"/>
      <c r="L240" s="30"/>
      <c r="M240" s="30"/>
      <c r="O240" s="32"/>
      <c r="P240" s="32"/>
    </row>
    <row r="241">
      <c r="B241" s="35"/>
      <c r="G241" s="30"/>
      <c r="H241" s="30"/>
      <c r="L241" s="30"/>
      <c r="M241" s="30"/>
      <c r="O241" s="32"/>
      <c r="P241" s="32"/>
    </row>
    <row r="242">
      <c r="B242" s="35"/>
      <c r="G242" s="30"/>
      <c r="H242" s="30"/>
      <c r="L242" s="30"/>
      <c r="M242" s="30"/>
      <c r="O242" s="32"/>
      <c r="P242" s="32"/>
    </row>
    <row r="243">
      <c r="B243" s="35"/>
      <c r="G243" s="30"/>
      <c r="H243" s="30"/>
      <c r="L243" s="30"/>
      <c r="M243" s="30"/>
      <c r="O243" s="32"/>
      <c r="P243" s="32"/>
    </row>
    <row r="244">
      <c r="B244" s="35"/>
      <c r="G244" s="30"/>
      <c r="H244" s="30"/>
      <c r="L244" s="30"/>
      <c r="M244" s="30"/>
      <c r="O244" s="32"/>
      <c r="P244" s="32"/>
    </row>
    <row r="245">
      <c r="B245" s="35"/>
      <c r="G245" s="30"/>
      <c r="H245" s="30"/>
      <c r="L245" s="30"/>
      <c r="M245" s="30"/>
      <c r="O245" s="32"/>
      <c r="P245" s="32"/>
    </row>
    <row r="246">
      <c r="B246" s="35"/>
      <c r="G246" s="30"/>
      <c r="H246" s="30"/>
      <c r="L246" s="30"/>
      <c r="M246" s="30"/>
      <c r="O246" s="32"/>
      <c r="P246" s="32"/>
    </row>
    <row r="247">
      <c r="B247" s="35"/>
      <c r="G247" s="30"/>
      <c r="H247" s="30"/>
      <c r="L247" s="30"/>
      <c r="M247" s="30"/>
      <c r="O247" s="32"/>
      <c r="P247" s="32"/>
    </row>
    <row r="248">
      <c r="B248" s="35"/>
      <c r="G248" s="30"/>
      <c r="H248" s="30"/>
      <c r="L248" s="30"/>
      <c r="M248" s="30"/>
      <c r="O248" s="32"/>
      <c r="P248" s="32"/>
    </row>
    <row r="249">
      <c r="B249" s="35"/>
      <c r="G249" s="30"/>
      <c r="H249" s="30"/>
      <c r="L249" s="30"/>
      <c r="M249" s="30"/>
      <c r="O249" s="32"/>
      <c r="P249" s="32"/>
    </row>
    <row r="250">
      <c r="B250" s="35"/>
      <c r="G250" s="30"/>
      <c r="H250" s="30"/>
      <c r="L250" s="30"/>
      <c r="M250" s="30"/>
      <c r="O250" s="32"/>
      <c r="P250" s="32"/>
    </row>
    <row r="251">
      <c r="B251" s="35"/>
      <c r="G251" s="30"/>
      <c r="H251" s="30"/>
      <c r="L251" s="30"/>
      <c r="M251" s="30"/>
      <c r="O251" s="32"/>
      <c r="P251" s="32"/>
    </row>
    <row r="252">
      <c r="B252" s="35"/>
      <c r="G252" s="30"/>
      <c r="H252" s="30"/>
      <c r="L252" s="30"/>
      <c r="M252" s="30"/>
      <c r="O252" s="32"/>
      <c r="P252" s="32"/>
    </row>
    <row r="253">
      <c r="B253" s="35"/>
      <c r="G253" s="30"/>
      <c r="H253" s="30"/>
      <c r="L253" s="30"/>
      <c r="M253" s="30"/>
      <c r="O253" s="32"/>
      <c r="P253" s="32"/>
    </row>
    <row r="254">
      <c r="B254" s="35"/>
      <c r="G254" s="30"/>
      <c r="H254" s="30"/>
      <c r="L254" s="30"/>
      <c r="M254" s="30"/>
      <c r="O254" s="32"/>
      <c r="P254" s="32"/>
    </row>
    <row r="255">
      <c r="B255" s="35"/>
      <c r="G255" s="30"/>
      <c r="H255" s="30"/>
      <c r="L255" s="30"/>
      <c r="M255" s="30"/>
      <c r="O255" s="32"/>
      <c r="P255" s="32"/>
    </row>
    <row r="256">
      <c r="B256" s="35"/>
      <c r="G256" s="30"/>
      <c r="H256" s="30"/>
      <c r="L256" s="30"/>
      <c r="M256" s="30"/>
      <c r="O256" s="32"/>
      <c r="P256" s="32"/>
    </row>
    <row r="257">
      <c r="B257" s="35"/>
      <c r="G257" s="30"/>
      <c r="H257" s="30"/>
      <c r="L257" s="30"/>
      <c r="M257" s="30"/>
      <c r="O257" s="32"/>
      <c r="P257" s="32"/>
    </row>
    <row r="258">
      <c r="B258" s="35"/>
      <c r="G258" s="30"/>
      <c r="H258" s="30"/>
      <c r="L258" s="30"/>
      <c r="M258" s="30"/>
      <c r="O258" s="32"/>
      <c r="P258" s="32"/>
    </row>
    <row r="259">
      <c r="B259" s="35"/>
      <c r="G259" s="30"/>
      <c r="H259" s="30"/>
      <c r="L259" s="30"/>
      <c r="M259" s="30"/>
      <c r="O259" s="32"/>
      <c r="P259" s="32"/>
    </row>
    <row r="260">
      <c r="B260" s="35"/>
      <c r="G260" s="30"/>
      <c r="H260" s="30"/>
      <c r="L260" s="30"/>
      <c r="M260" s="30"/>
      <c r="O260" s="32"/>
      <c r="P260" s="32"/>
    </row>
    <row r="261">
      <c r="B261" s="35"/>
      <c r="G261" s="30"/>
      <c r="H261" s="30"/>
      <c r="L261" s="30"/>
      <c r="M261" s="30"/>
      <c r="O261" s="32"/>
      <c r="P261" s="32"/>
    </row>
    <row r="262">
      <c r="B262" s="35"/>
      <c r="G262" s="30"/>
      <c r="H262" s="30"/>
      <c r="L262" s="30"/>
      <c r="M262" s="30"/>
      <c r="O262" s="32"/>
      <c r="P262" s="32"/>
    </row>
    <row r="263">
      <c r="B263" s="35"/>
      <c r="G263" s="30"/>
      <c r="H263" s="30"/>
      <c r="L263" s="30"/>
      <c r="M263" s="30"/>
      <c r="O263" s="32"/>
      <c r="P263" s="32"/>
    </row>
    <row r="264">
      <c r="B264" s="35"/>
      <c r="G264" s="30"/>
      <c r="H264" s="30"/>
      <c r="L264" s="30"/>
      <c r="M264" s="30"/>
      <c r="O264" s="32"/>
      <c r="P264" s="32"/>
    </row>
    <row r="265">
      <c r="B265" s="35"/>
      <c r="G265" s="30"/>
      <c r="H265" s="30"/>
      <c r="L265" s="30"/>
      <c r="M265" s="30"/>
      <c r="O265" s="32"/>
      <c r="P265" s="32"/>
    </row>
    <row r="266">
      <c r="B266" s="35"/>
      <c r="G266" s="30"/>
      <c r="H266" s="30"/>
      <c r="L266" s="30"/>
      <c r="M266" s="30"/>
      <c r="O266" s="32"/>
      <c r="P266" s="32"/>
    </row>
    <row r="267">
      <c r="B267" s="35"/>
      <c r="G267" s="30"/>
      <c r="H267" s="30"/>
      <c r="L267" s="30"/>
      <c r="M267" s="30"/>
      <c r="O267" s="32"/>
      <c r="P267" s="32"/>
    </row>
    <row r="268">
      <c r="B268" s="35"/>
      <c r="G268" s="30"/>
      <c r="H268" s="30"/>
      <c r="L268" s="30"/>
      <c r="M268" s="30"/>
      <c r="O268" s="32"/>
      <c r="P268" s="32"/>
    </row>
    <row r="269">
      <c r="B269" s="35"/>
      <c r="G269" s="30"/>
      <c r="H269" s="30"/>
      <c r="L269" s="30"/>
      <c r="M269" s="30"/>
      <c r="O269" s="32"/>
      <c r="P269" s="32"/>
    </row>
    <row r="270">
      <c r="B270" s="35"/>
      <c r="G270" s="30"/>
      <c r="H270" s="30"/>
      <c r="L270" s="30"/>
      <c r="M270" s="30"/>
      <c r="O270" s="32"/>
      <c r="P270" s="32"/>
    </row>
    <row r="271">
      <c r="B271" s="35"/>
      <c r="G271" s="30"/>
      <c r="H271" s="30"/>
      <c r="L271" s="30"/>
      <c r="M271" s="30"/>
      <c r="O271" s="32"/>
      <c r="P271" s="32"/>
    </row>
    <row r="272">
      <c r="B272" s="35"/>
      <c r="G272" s="30"/>
      <c r="H272" s="30"/>
      <c r="L272" s="30"/>
      <c r="M272" s="30"/>
      <c r="O272" s="32"/>
      <c r="P272" s="32"/>
    </row>
    <row r="273">
      <c r="B273" s="35"/>
      <c r="G273" s="30"/>
      <c r="H273" s="30"/>
      <c r="L273" s="30"/>
      <c r="M273" s="30"/>
      <c r="O273" s="32"/>
      <c r="P273" s="32"/>
    </row>
    <row r="274">
      <c r="B274" s="35"/>
      <c r="G274" s="30"/>
      <c r="H274" s="30"/>
      <c r="L274" s="30"/>
      <c r="M274" s="30"/>
      <c r="O274" s="32"/>
      <c r="P274" s="32"/>
    </row>
    <row r="275">
      <c r="B275" s="35"/>
      <c r="G275" s="30"/>
      <c r="H275" s="30"/>
      <c r="L275" s="30"/>
      <c r="M275" s="30"/>
      <c r="O275" s="32"/>
      <c r="P275" s="32"/>
    </row>
    <row r="276">
      <c r="B276" s="35"/>
      <c r="G276" s="30"/>
      <c r="H276" s="30"/>
      <c r="L276" s="30"/>
      <c r="M276" s="30"/>
      <c r="O276" s="32"/>
      <c r="P276" s="32"/>
    </row>
    <row r="277">
      <c r="B277" s="35"/>
      <c r="G277" s="30"/>
      <c r="H277" s="30"/>
      <c r="L277" s="30"/>
      <c r="M277" s="30"/>
      <c r="O277" s="32"/>
      <c r="P277" s="32"/>
    </row>
    <row r="278">
      <c r="B278" s="35"/>
      <c r="G278" s="30"/>
      <c r="H278" s="30"/>
      <c r="L278" s="30"/>
      <c r="M278" s="30"/>
      <c r="O278" s="32"/>
      <c r="P278" s="32"/>
    </row>
    <row r="279">
      <c r="B279" s="35"/>
      <c r="G279" s="30"/>
      <c r="H279" s="30"/>
      <c r="L279" s="30"/>
      <c r="M279" s="30"/>
      <c r="O279" s="32"/>
      <c r="P279" s="32"/>
    </row>
    <row r="280">
      <c r="B280" s="35"/>
      <c r="G280" s="30"/>
      <c r="H280" s="30"/>
      <c r="L280" s="30"/>
      <c r="M280" s="30"/>
      <c r="O280" s="32"/>
      <c r="P280" s="32"/>
    </row>
    <row r="281">
      <c r="B281" s="35"/>
      <c r="G281" s="30"/>
      <c r="H281" s="30"/>
      <c r="L281" s="30"/>
      <c r="M281" s="30"/>
      <c r="O281" s="32"/>
      <c r="P281" s="32"/>
    </row>
    <row r="282">
      <c r="B282" s="35"/>
      <c r="G282" s="30"/>
      <c r="H282" s="30"/>
      <c r="L282" s="30"/>
      <c r="M282" s="30"/>
      <c r="O282" s="32"/>
      <c r="P282" s="32"/>
    </row>
    <row r="283">
      <c r="B283" s="35"/>
      <c r="G283" s="30"/>
      <c r="H283" s="30"/>
      <c r="L283" s="30"/>
      <c r="M283" s="30"/>
      <c r="O283" s="32"/>
      <c r="P283" s="32"/>
    </row>
    <row r="284">
      <c r="B284" s="35"/>
      <c r="G284" s="30"/>
      <c r="H284" s="30"/>
      <c r="L284" s="30"/>
      <c r="M284" s="30"/>
      <c r="O284" s="32"/>
      <c r="P284" s="32"/>
    </row>
    <row r="285">
      <c r="B285" s="35"/>
      <c r="G285" s="30"/>
      <c r="H285" s="30"/>
      <c r="L285" s="30"/>
      <c r="M285" s="30"/>
      <c r="O285" s="32"/>
      <c r="P285" s="32"/>
    </row>
    <row r="286">
      <c r="B286" s="35"/>
      <c r="G286" s="30"/>
      <c r="H286" s="30"/>
      <c r="L286" s="30"/>
      <c r="M286" s="30"/>
      <c r="O286" s="32"/>
      <c r="P286" s="32"/>
    </row>
    <row r="287">
      <c r="B287" s="35"/>
      <c r="G287" s="30"/>
      <c r="H287" s="30"/>
      <c r="L287" s="30"/>
      <c r="M287" s="30"/>
      <c r="O287" s="32"/>
      <c r="P287" s="32"/>
    </row>
    <row r="288">
      <c r="B288" s="35"/>
      <c r="G288" s="30"/>
      <c r="H288" s="30"/>
      <c r="L288" s="30"/>
      <c r="M288" s="30"/>
      <c r="O288" s="32"/>
      <c r="P288" s="32"/>
    </row>
    <row r="289">
      <c r="B289" s="35"/>
      <c r="G289" s="30"/>
      <c r="H289" s="30"/>
      <c r="L289" s="30"/>
      <c r="M289" s="30"/>
      <c r="O289" s="32"/>
      <c r="P289" s="32"/>
    </row>
    <row r="290">
      <c r="B290" s="35"/>
      <c r="G290" s="30"/>
      <c r="H290" s="30"/>
      <c r="L290" s="30"/>
      <c r="M290" s="30"/>
      <c r="O290" s="32"/>
      <c r="P290" s="32"/>
    </row>
    <row r="291">
      <c r="B291" s="35"/>
      <c r="G291" s="30"/>
      <c r="H291" s="30"/>
      <c r="L291" s="30"/>
      <c r="M291" s="30"/>
      <c r="O291" s="32"/>
      <c r="P291" s="32"/>
    </row>
    <row r="292">
      <c r="B292" s="35"/>
      <c r="G292" s="30"/>
      <c r="H292" s="30"/>
      <c r="L292" s="30"/>
      <c r="M292" s="30"/>
      <c r="O292" s="32"/>
      <c r="P292" s="32"/>
    </row>
    <row r="293">
      <c r="B293" s="35"/>
      <c r="G293" s="30"/>
      <c r="H293" s="30"/>
      <c r="L293" s="30"/>
      <c r="M293" s="30"/>
      <c r="O293" s="32"/>
      <c r="P293" s="32"/>
    </row>
    <row r="294">
      <c r="B294" s="35"/>
      <c r="G294" s="30"/>
      <c r="H294" s="30"/>
      <c r="L294" s="30"/>
      <c r="M294" s="30"/>
      <c r="O294" s="32"/>
      <c r="P294" s="32"/>
    </row>
    <row r="295">
      <c r="B295" s="35"/>
      <c r="G295" s="30"/>
      <c r="H295" s="30"/>
      <c r="L295" s="30"/>
      <c r="M295" s="30"/>
      <c r="O295" s="32"/>
      <c r="P295" s="32"/>
    </row>
    <row r="296">
      <c r="B296" s="35"/>
      <c r="G296" s="30"/>
      <c r="H296" s="30"/>
      <c r="L296" s="30"/>
      <c r="M296" s="30"/>
      <c r="O296" s="32"/>
      <c r="P296" s="32"/>
    </row>
    <row r="297">
      <c r="B297" s="35"/>
      <c r="G297" s="30"/>
      <c r="H297" s="30"/>
      <c r="L297" s="30"/>
      <c r="M297" s="30"/>
      <c r="O297" s="32"/>
      <c r="P297" s="32"/>
    </row>
    <row r="298">
      <c r="B298" s="35"/>
      <c r="G298" s="30"/>
      <c r="H298" s="30"/>
      <c r="L298" s="30"/>
      <c r="M298" s="30"/>
      <c r="O298" s="32"/>
      <c r="P298" s="32"/>
    </row>
    <row r="299">
      <c r="B299" s="35"/>
      <c r="G299" s="30"/>
      <c r="H299" s="30"/>
      <c r="L299" s="30"/>
      <c r="M299" s="30"/>
      <c r="O299" s="32"/>
      <c r="P299" s="32"/>
    </row>
    <row r="300">
      <c r="B300" s="35"/>
      <c r="G300" s="30"/>
      <c r="H300" s="30"/>
      <c r="L300" s="30"/>
      <c r="M300" s="30"/>
      <c r="O300" s="32"/>
      <c r="P300" s="32"/>
    </row>
    <row r="301">
      <c r="B301" s="35"/>
      <c r="G301" s="30"/>
      <c r="H301" s="30"/>
      <c r="L301" s="30"/>
      <c r="M301" s="30"/>
      <c r="O301" s="32"/>
      <c r="P301" s="32"/>
    </row>
    <row r="302">
      <c r="B302" s="35"/>
      <c r="G302" s="30"/>
      <c r="H302" s="30"/>
      <c r="L302" s="30"/>
      <c r="M302" s="30"/>
      <c r="O302" s="32"/>
      <c r="P302" s="32"/>
    </row>
    <row r="303">
      <c r="B303" s="35"/>
      <c r="G303" s="30"/>
      <c r="H303" s="30"/>
      <c r="L303" s="30"/>
      <c r="M303" s="30"/>
      <c r="O303" s="32"/>
      <c r="P303" s="32"/>
    </row>
    <row r="304">
      <c r="B304" s="35"/>
      <c r="G304" s="30"/>
      <c r="H304" s="30"/>
      <c r="L304" s="30"/>
      <c r="M304" s="30"/>
      <c r="O304" s="32"/>
      <c r="P304" s="32"/>
    </row>
    <row r="305">
      <c r="B305" s="35"/>
      <c r="G305" s="30"/>
      <c r="H305" s="30"/>
      <c r="L305" s="30"/>
      <c r="M305" s="30"/>
      <c r="O305" s="32"/>
      <c r="P305" s="32"/>
    </row>
    <row r="306">
      <c r="B306" s="35"/>
      <c r="G306" s="30"/>
      <c r="H306" s="30"/>
      <c r="L306" s="30"/>
      <c r="M306" s="30"/>
      <c r="O306" s="32"/>
      <c r="P306" s="32"/>
    </row>
    <row r="307">
      <c r="B307" s="35"/>
      <c r="G307" s="30"/>
      <c r="H307" s="30"/>
      <c r="L307" s="30"/>
      <c r="M307" s="30"/>
      <c r="O307" s="32"/>
      <c r="P307" s="32"/>
    </row>
    <row r="308">
      <c r="B308" s="35"/>
      <c r="G308" s="30"/>
      <c r="H308" s="30"/>
      <c r="L308" s="30"/>
      <c r="M308" s="30"/>
      <c r="O308" s="32"/>
      <c r="P308" s="32"/>
    </row>
    <row r="309">
      <c r="B309" s="35"/>
      <c r="G309" s="30"/>
      <c r="H309" s="30"/>
      <c r="L309" s="30"/>
      <c r="M309" s="30"/>
      <c r="O309" s="32"/>
      <c r="P309" s="32"/>
    </row>
    <row r="310">
      <c r="B310" s="35"/>
      <c r="G310" s="30"/>
      <c r="H310" s="30"/>
      <c r="L310" s="30"/>
      <c r="M310" s="30"/>
      <c r="O310" s="32"/>
      <c r="P310" s="32"/>
    </row>
    <row r="311">
      <c r="B311" s="35"/>
      <c r="G311" s="30"/>
      <c r="H311" s="30"/>
      <c r="L311" s="30"/>
      <c r="M311" s="30"/>
      <c r="O311" s="32"/>
      <c r="P311" s="32"/>
    </row>
    <row r="312">
      <c r="B312" s="35"/>
      <c r="G312" s="30"/>
      <c r="H312" s="30"/>
      <c r="L312" s="30"/>
      <c r="M312" s="30"/>
      <c r="O312" s="32"/>
      <c r="P312" s="32"/>
    </row>
    <row r="313">
      <c r="B313" s="35"/>
      <c r="G313" s="30"/>
      <c r="H313" s="30"/>
      <c r="L313" s="30"/>
      <c r="M313" s="30"/>
      <c r="O313" s="32"/>
      <c r="P313" s="32"/>
    </row>
    <row r="314">
      <c r="B314" s="35"/>
      <c r="G314" s="30"/>
      <c r="H314" s="30"/>
      <c r="L314" s="30"/>
      <c r="M314" s="30"/>
      <c r="O314" s="32"/>
      <c r="P314" s="32"/>
    </row>
    <row r="315">
      <c r="B315" s="35"/>
      <c r="G315" s="30"/>
      <c r="H315" s="30"/>
      <c r="L315" s="30"/>
      <c r="M315" s="30"/>
      <c r="O315" s="32"/>
      <c r="P315" s="32"/>
    </row>
    <row r="316">
      <c r="B316" s="35"/>
      <c r="G316" s="30"/>
      <c r="H316" s="30"/>
      <c r="L316" s="30"/>
      <c r="M316" s="30"/>
      <c r="O316" s="32"/>
      <c r="P316" s="32"/>
    </row>
    <row r="317">
      <c r="B317" s="35"/>
      <c r="G317" s="30"/>
      <c r="H317" s="30"/>
      <c r="L317" s="30"/>
      <c r="M317" s="30"/>
      <c r="O317" s="32"/>
      <c r="P317" s="32"/>
    </row>
    <row r="318">
      <c r="B318" s="35"/>
      <c r="G318" s="30"/>
      <c r="H318" s="30"/>
      <c r="L318" s="30"/>
      <c r="M318" s="30"/>
      <c r="O318" s="32"/>
      <c r="P318" s="32"/>
    </row>
    <row r="319">
      <c r="B319" s="35"/>
      <c r="G319" s="30"/>
      <c r="H319" s="30"/>
      <c r="L319" s="30"/>
      <c r="M319" s="30"/>
      <c r="O319" s="32"/>
      <c r="P319" s="32"/>
    </row>
    <row r="320">
      <c r="B320" s="35"/>
      <c r="G320" s="30"/>
      <c r="H320" s="30"/>
      <c r="L320" s="30"/>
      <c r="M320" s="30"/>
      <c r="O320" s="32"/>
      <c r="P320" s="32"/>
    </row>
    <row r="321">
      <c r="B321" s="35"/>
      <c r="G321" s="30"/>
      <c r="H321" s="30"/>
      <c r="L321" s="30"/>
      <c r="M321" s="30"/>
      <c r="O321" s="32"/>
      <c r="P321" s="32"/>
    </row>
    <row r="322">
      <c r="B322" s="35"/>
      <c r="G322" s="30"/>
      <c r="H322" s="30"/>
      <c r="L322" s="30"/>
      <c r="M322" s="30"/>
      <c r="O322" s="32"/>
      <c r="P322" s="32"/>
    </row>
    <row r="323">
      <c r="B323" s="35"/>
      <c r="G323" s="30"/>
      <c r="H323" s="30"/>
      <c r="L323" s="30"/>
      <c r="M323" s="30"/>
      <c r="O323" s="32"/>
      <c r="P323" s="32"/>
    </row>
    <row r="324">
      <c r="B324" s="35"/>
      <c r="G324" s="30"/>
      <c r="H324" s="30"/>
      <c r="L324" s="30"/>
      <c r="M324" s="30"/>
      <c r="O324" s="32"/>
      <c r="P324" s="32"/>
    </row>
    <row r="325">
      <c r="B325" s="35"/>
      <c r="G325" s="30"/>
      <c r="H325" s="30"/>
      <c r="L325" s="30"/>
      <c r="M325" s="30"/>
      <c r="O325" s="32"/>
      <c r="P325" s="32"/>
    </row>
    <row r="326">
      <c r="B326" s="35"/>
      <c r="G326" s="30"/>
      <c r="H326" s="30"/>
      <c r="L326" s="30"/>
      <c r="M326" s="30"/>
      <c r="O326" s="32"/>
      <c r="P326" s="32"/>
    </row>
    <row r="327">
      <c r="B327" s="35"/>
      <c r="G327" s="30"/>
      <c r="H327" s="30"/>
      <c r="L327" s="30"/>
      <c r="M327" s="30"/>
      <c r="O327" s="32"/>
      <c r="P327" s="32"/>
    </row>
    <row r="328">
      <c r="B328" s="35"/>
      <c r="G328" s="30"/>
      <c r="H328" s="30"/>
      <c r="L328" s="30"/>
      <c r="M328" s="30"/>
      <c r="O328" s="32"/>
      <c r="P328" s="32"/>
    </row>
    <row r="329">
      <c r="B329" s="35"/>
      <c r="G329" s="30"/>
      <c r="H329" s="30"/>
      <c r="L329" s="30"/>
      <c r="M329" s="30"/>
      <c r="O329" s="32"/>
      <c r="P329" s="32"/>
    </row>
    <row r="330">
      <c r="B330" s="35"/>
      <c r="G330" s="30"/>
      <c r="H330" s="30"/>
      <c r="L330" s="30"/>
      <c r="M330" s="30"/>
      <c r="O330" s="32"/>
      <c r="P330" s="32"/>
    </row>
    <row r="331">
      <c r="B331" s="35"/>
      <c r="G331" s="30"/>
      <c r="H331" s="30"/>
      <c r="L331" s="30"/>
      <c r="M331" s="30"/>
      <c r="O331" s="32"/>
      <c r="P331" s="32"/>
    </row>
    <row r="332">
      <c r="B332" s="35"/>
      <c r="G332" s="30"/>
      <c r="H332" s="30"/>
      <c r="L332" s="30"/>
      <c r="M332" s="30"/>
      <c r="O332" s="32"/>
      <c r="P332" s="32"/>
    </row>
    <row r="333">
      <c r="B333" s="35"/>
      <c r="G333" s="30"/>
      <c r="H333" s="30"/>
      <c r="L333" s="30"/>
      <c r="M333" s="30"/>
      <c r="O333" s="32"/>
      <c r="P333" s="32"/>
    </row>
    <row r="334">
      <c r="B334" s="35"/>
      <c r="G334" s="30"/>
      <c r="H334" s="30"/>
      <c r="L334" s="30"/>
      <c r="M334" s="30"/>
      <c r="O334" s="32"/>
      <c r="P334" s="32"/>
    </row>
    <row r="335">
      <c r="B335" s="35"/>
      <c r="G335" s="30"/>
      <c r="H335" s="30"/>
      <c r="L335" s="30"/>
      <c r="M335" s="30"/>
      <c r="O335" s="32"/>
      <c r="P335" s="32"/>
    </row>
    <row r="336">
      <c r="B336" s="35"/>
      <c r="G336" s="30"/>
      <c r="H336" s="30"/>
      <c r="L336" s="30"/>
      <c r="M336" s="30"/>
      <c r="O336" s="32"/>
      <c r="P336" s="32"/>
    </row>
    <row r="337">
      <c r="B337" s="35"/>
      <c r="G337" s="30"/>
      <c r="H337" s="30"/>
      <c r="L337" s="30"/>
      <c r="M337" s="30"/>
      <c r="O337" s="32"/>
      <c r="P337" s="32"/>
    </row>
    <row r="338">
      <c r="B338" s="35"/>
      <c r="G338" s="30"/>
      <c r="H338" s="30"/>
      <c r="L338" s="30"/>
      <c r="M338" s="30"/>
      <c r="O338" s="32"/>
      <c r="P338" s="32"/>
    </row>
    <row r="339">
      <c r="B339" s="35"/>
      <c r="G339" s="30"/>
      <c r="H339" s="30"/>
      <c r="L339" s="30"/>
      <c r="M339" s="30"/>
      <c r="O339" s="32"/>
      <c r="P339" s="32"/>
    </row>
    <row r="340">
      <c r="B340" s="35"/>
      <c r="G340" s="30"/>
      <c r="H340" s="30"/>
      <c r="L340" s="30"/>
      <c r="M340" s="30"/>
      <c r="O340" s="32"/>
      <c r="P340" s="32"/>
    </row>
    <row r="341">
      <c r="B341" s="35"/>
      <c r="G341" s="30"/>
      <c r="H341" s="30"/>
      <c r="L341" s="30"/>
      <c r="M341" s="30"/>
      <c r="O341" s="32"/>
      <c r="P341" s="32"/>
    </row>
    <row r="342">
      <c r="B342" s="35"/>
      <c r="G342" s="30"/>
      <c r="H342" s="30"/>
      <c r="L342" s="30"/>
      <c r="M342" s="30"/>
      <c r="O342" s="32"/>
      <c r="P342" s="32"/>
    </row>
    <row r="343">
      <c r="B343" s="35"/>
      <c r="G343" s="30"/>
      <c r="H343" s="30"/>
      <c r="L343" s="30"/>
      <c r="M343" s="30"/>
      <c r="O343" s="32"/>
      <c r="P343" s="32"/>
    </row>
    <row r="344">
      <c r="B344" s="35"/>
      <c r="G344" s="30"/>
      <c r="H344" s="30"/>
      <c r="L344" s="30"/>
      <c r="M344" s="30"/>
      <c r="O344" s="32"/>
      <c r="P344" s="32"/>
    </row>
    <row r="345">
      <c r="B345" s="35"/>
      <c r="G345" s="30"/>
      <c r="H345" s="30"/>
      <c r="L345" s="30"/>
      <c r="M345" s="30"/>
      <c r="O345" s="32"/>
      <c r="P345" s="32"/>
    </row>
    <row r="346">
      <c r="B346" s="35"/>
      <c r="G346" s="30"/>
      <c r="H346" s="30"/>
      <c r="L346" s="30"/>
      <c r="M346" s="30"/>
      <c r="O346" s="32"/>
      <c r="P346" s="32"/>
    </row>
    <row r="347">
      <c r="B347" s="35"/>
      <c r="G347" s="30"/>
      <c r="H347" s="30"/>
      <c r="L347" s="30"/>
      <c r="M347" s="30"/>
      <c r="O347" s="32"/>
      <c r="P347" s="32"/>
    </row>
    <row r="348">
      <c r="B348" s="35"/>
      <c r="G348" s="30"/>
      <c r="H348" s="30"/>
      <c r="L348" s="30"/>
      <c r="M348" s="30"/>
      <c r="O348" s="32"/>
      <c r="P348" s="32"/>
    </row>
    <row r="349">
      <c r="B349" s="35"/>
      <c r="G349" s="30"/>
      <c r="H349" s="30"/>
      <c r="L349" s="30"/>
      <c r="M349" s="30"/>
      <c r="O349" s="32"/>
      <c r="P349" s="32"/>
    </row>
    <row r="350">
      <c r="B350" s="35"/>
      <c r="G350" s="30"/>
      <c r="H350" s="30"/>
      <c r="L350" s="30"/>
      <c r="M350" s="30"/>
      <c r="O350" s="32"/>
      <c r="P350" s="32"/>
    </row>
    <row r="351">
      <c r="B351" s="35"/>
      <c r="G351" s="30"/>
      <c r="H351" s="30"/>
      <c r="L351" s="30"/>
      <c r="M351" s="30"/>
      <c r="O351" s="32"/>
      <c r="P351" s="32"/>
    </row>
    <row r="352">
      <c r="B352" s="35"/>
      <c r="G352" s="30"/>
      <c r="H352" s="30"/>
      <c r="L352" s="30"/>
      <c r="M352" s="30"/>
      <c r="O352" s="32"/>
      <c r="P352" s="32"/>
    </row>
    <row r="353">
      <c r="B353" s="35"/>
      <c r="G353" s="30"/>
      <c r="H353" s="30"/>
      <c r="L353" s="30"/>
      <c r="M353" s="30"/>
      <c r="O353" s="32"/>
      <c r="P353" s="32"/>
    </row>
    <row r="354">
      <c r="B354" s="35"/>
      <c r="G354" s="30"/>
      <c r="H354" s="30"/>
      <c r="L354" s="30"/>
      <c r="M354" s="30"/>
      <c r="O354" s="32"/>
      <c r="P354" s="32"/>
    </row>
    <row r="355">
      <c r="B355" s="35"/>
      <c r="G355" s="30"/>
      <c r="H355" s="30"/>
      <c r="L355" s="30"/>
      <c r="M355" s="30"/>
      <c r="O355" s="32"/>
      <c r="P355" s="32"/>
    </row>
    <row r="356">
      <c r="B356" s="35"/>
      <c r="G356" s="30"/>
      <c r="H356" s="30"/>
      <c r="L356" s="30"/>
      <c r="M356" s="30"/>
      <c r="O356" s="32"/>
      <c r="P356" s="32"/>
    </row>
    <row r="357">
      <c r="B357" s="35"/>
      <c r="G357" s="30"/>
      <c r="H357" s="30"/>
      <c r="L357" s="30"/>
      <c r="M357" s="30"/>
      <c r="O357" s="32"/>
      <c r="P357" s="32"/>
    </row>
    <row r="358">
      <c r="B358" s="35"/>
      <c r="G358" s="30"/>
      <c r="H358" s="30"/>
      <c r="L358" s="30"/>
      <c r="M358" s="30"/>
      <c r="O358" s="32"/>
      <c r="P358" s="32"/>
    </row>
    <row r="359">
      <c r="B359" s="35"/>
      <c r="G359" s="30"/>
      <c r="H359" s="30"/>
      <c r="L359" s="30"/>
      <c r="M359" s="30"/>
      <c r="O359" s="32"/>
      <c r="P359" s="32"/>
    </row>
    <row r="360">
      <c r="B360" s="35"/>
      <c r="G360" s="30"/>
      <c r="H360" s="30"/>
      <c r="L360" s="30"/>
      <c r="M360" s="30"/>
      <c r="O360" s="32"/>
      <c r="P360" s="32"/>
    </row>
    <row r="361">
      <c r="B361" s="35"/>
      <c r="G361" s="30"/>
      <c r="H361" s="30"/>
      <c r="L361" s="30"/>
      <c r="M361" s="30"/>
      <c r="O361" s="32"/>
      <c r="P361" s="32"/>
    </row>
    <row r="362">
      <c r="B362" s="35"/>
      <c r="G362" s="30"/>
      <c r="H362" s="30"/>
      <c r="L362" s="30"/>
      <c r="M362" s="30"/>
      <c r="O362" s="32"/>
      <c r="P362" s="32"/>
    </row>
    <row r="363">
      <c r="B363" s="35"/>
      <c r="G363" s="30"/>
      <c r="H363" s="30"/>
      <c r="L363" s="30"/>
      <c r="M363" s="30"/>
      <c r="O363" s="32"/>
      <c r="P363" s="32"/>
    </row>
    <row r="364">
      <c r="B364" s="35"/>
      <c r="G364" s="30"/>
      <c r="H364" s="30"/>
      <c r="L364" s="30"/>
      <c r="M364" s="30"/>
      <c r="O364" s="32"/>
      <c r="P364" s="32"/>
    </row>
    <row r="365">
      <c r="B365" s="35"/>
      <c r="G365" s="30"/>
      <c r="H365" s="30"/>
      <c r="L365" s="30"/>
      <c r="M365" s="30"/>
      <c r="O365" s="32"/>
      <c r="P365" s="32"/>
    </row>
    <row r="366">
      <c r="B366" s="35"/>
      <c r="G366" s="30"/>
      <c r="H366" s="30"/>
      <c r="L366" s="30"/>
      <c r="M366" s="30"/>
      <c r="O366" s="32"/>
      <c r="P366" s="32"/>
    </row>
    <row r="367">
      <c r="B367" s="35"/>
      <c r="G367" s="30"/>
      <c r="H367" s="30"/>
      <c r="L367" s="30"/>
      <c r="M367" s="30"/>
      <c r="O367" s="32"/>
      <c r="P367" s="32"/>
    </row>
    <row r="368">
      <c r="B368" s="35"/>
      <c r="G368" s="30"/>
      <c r="H368" s="30"/>
      <c r="L368" s="30"/>
      <c r="M368" s="30"/>
      <c r="O368" s="32"/>
      <c r="P368" s="32"/>
    </row>
    <row r="369">
      <c r="B369" s="35"/>
      <c r="G369" s="30"/>
      <c r="H369" s="30"/>
      <c r="L369" s="30"/>
      <c r="M369" s="30"/>
      <c r="O369" s="32"/>
      <c r="P369" s="32"/>
    </row>
    <row r="370">
      <c r="B370" s="35"/>
      <c r="G370" s="30"/>
      <c r="H370" s="30"/>
      <c r="L370" s="30"/>
      <c r="M370" s="30"/>
      <c r="O370" s="32"/>
      <c r="P370" s="32"/>
    </row>
    <row r="371">
      <c r="B371" s="35"/>
      <c r="G371" s="30"/>
      <c r="H371" s="30"/>
      <c r="L371" s="30"/>
      <c r="M371" s="30"/>
      <c r="O371" s="32"/>
      <c r="P371" s="32"/>
    </row>
    <row r="372">
      <c r="B372" s="35"/>
      <c r="G372" s="30"/>
      <c r="H372" s="30"/>
      <c r="L372" s="30"/>
      <c r="M372" s="30"/>
      <c r="O372" s="32"/>
      <c r="P372" s="32"/>
    </row>
    <row r="373">
      <c r="B373" s="35"/>
      <c r="G373" s="30"/>
      <c r="H373" s="30"/>
      <c r="L373" s="30"/>
      <c r="M373" s="30"/>
      <c r="O373" s="32"/>
      <c r="P373" s="32"/>
    </row>
    <row r="374">
      <c r="B374" s="35"/>
      <c r="G374" s="30"/>
      <c r="H374" s="30"/>
      <c r="L374" s="30"/>
      <c r="M374" s="30"/>
      <c r="O374" s="32"/>
      <c r="P374" s="32"/>
    </row>
    <row r="375">
      <c r="B375" s="35"/>
      <c r="G375" s="30"/>
      <c r="H375" s="30"/>
      <c r="L375" s="30"/>
      <c r="M375" s="30"/>
      <c r="O375" s="32"/>
      <c r="P375" s="32"/>
    </row>
    <row r="376">
      <c r="B376" s="35"/>
      <c r="G376" s="30"/>
      <c r="H376" s="30"/>
      <c r="L376" s="30"/>
      <c r="M376" s="30"/>
      <c r="O376" s="32"/>
      <c r="P376" s="32"/>
    </row>
    <row r="377">
      <c r="B377" s="35"/>
      <c r="G377" s="30"/>
      <c r="H377" s="30"/>
      <c r="L377" s="30"/>
      <c r="M377" s="30"/>
      <c r="O377" s="32"/>
      <c r="P377" s="32"/>
    </row>
    <row r="378">
      <c r="B378" s="35"/>
      <c r="G378" s="30"/>
      <c r="H378" s="30"/>
      <c r="L378" s="30"/>
      <c r="M378" s="30"/>
      <c r="O378" s="32"/>
      <c r="P378" s="32"/>
    </row>
    <row r="379">
      <c r="B379" s="35"/>
      <c r="G379" s="30"/>
      <c r="H379" s="30"/>
      <c r="L379" s="30"/>
      <c r="M379" s="30"/>
      <c r="O379" s="32"/>
      <c r="P379" s="32"/>
    </row>
    <row r="380">
      <c r="B380" s="35"/>
      <c r="G380" s="30"/>
      <c r="H380" s="30"/>
      <c r="L380" s="30"/>
      <c r="M380" s="30"/>
      <c r="O380" s="32"/>
      <c r="P380" s="32"/>
    </row>
    <row r="381">
      <c r="B381" s="35"/>
      <c r="G381" s="30"/>
      <c r="H381" s="30"/>
      <c r="L381" s="30"/>
      <c r="M381" s="30"/>
      <c r="O381" s="32"/>
      <c r="P381" s="32"/>
    </row>
    <row r="382">
      <c r="B382" s="35"/>
      <c r="G382" s="30"/>
      <c r="H382" s="30"/>
      <c r="L382" s="30"/>
      <c r="M382" s="30"/>
      <c r="O382" s="32"/>
      <c r="P382" s="32"/>
    </row>
    <row r="383">
      <c r="B383" s="35"/>
      <c r="G383" s="30"/>
      <c r="H383" s="30"/>
      <c r="L383" s="30"/>
      <c r="M383" s="30"/>
      <c r="O383" s="32"/>
      <c r="P383" s="32"/>
    </row>
    <row r="384">
      <c r="B384" s="35"/>
      <c r="G384" s="30"/>
      <c r="H384" s="30"/>
      <c r="L384" s="30"/>
      <c r="M384" s="30"/>
      <c r="O384" s="32"/>
      <c r="P384" s="32"/>
    </row>
    <row r="385">
      <c r="B385" s="35"/>
      <c r="G385" s="30"/>
      <c r="H385" s="30"/>
      <c r="L385" s="30"/>
      <c r="M385" s="30"/>
      <c r="O385" s="32"/>
      <c r="P385" s="32"/>
    </row>
    <row r="386">
      <c r="B386" s="35"/>
      <c r="G386" s="30"/>
      <c r="H386" s="30"/>
      <c r="L386" s="30"/>
      <c r="M386" s="30"/>
      <c r="O386" s="32"/>
      <c r="P386" s="32"/>
    </row>
    <row r="387">
      <c r="B387" s="35"/>
      <c r="G387" s="30"/>
      <c r="H387" s="30"/>
      <c r="L387" s="30"/>
      <c r="M387" s="30"/>
      <c r="O387" s="32"/>
      <c r="P387" s="32"/>
    </row>
    <row r="388">
      <c r="B388" s="35"/>
      <c r="G388" s="30"/>
      <c r="H388" s="30"/>
      <c r="L388" s="30"/>
      <c r="M388" s="30"/>
      <c r="O388" s="32"/>
      <c r="P388" s="32"/>
    </row>
    <row r="389">
      <c r="B389" s="35"/>
      <c r="G389" s="30"/>
      <c r="H389" s="30"/>
      <c r="L389" s="30"/>
      <c r="M389" s="30"/>
      <c r="O389" s="32"/>
      <c r="P389" s="32"/>
    </row>
    <row r="390">
      <c r="B390" s="35"/>
      <c r="G390" s="30"/>
      <c r="H390" s="30"/>
      <c r="L390" s="30"/>
      <c r="M390" s="30"/>
      <c r="O390" s="32"/>
      <c r="P390" s="32"/>
    </row>
    <row r="391">
      <c r="B391" s="35"/>
      <c r="G391" s="30"/>
      <c r="H391" s="30"/>
      <c r="L391" s="30"/>
      <c r="M391" s="30"/>
      <c r="O391" s="32"/>
      <c r="P391" s="32"/>
    </row>
    <row r="392">
      <c r="B392" s="35"/>
      <c r="G392" s="30"/>
      <c r="H392" s="30"/>
      <c r="L392" s="30"/>
      <c r="M392" s="30"/>
      <c r="O392" s="32"/>
      <c r="P392" s="32"/>
    </row>
    <row r="393">
      <c r="B393" s="35"/>
      <c r="G393" s="30"/>
      <c r="H393" s="30"/>
      <c r="L393" s="30"/>
      <c r="M393" s="30"/>
      <c r="O393" s="32"/>
      <c r="P393" s="32"/>
    </row>
    <row r="394">
      <c r="B394" s="35"/>
      <c r="G394" s="30"/>
      <c r="H394" s="30"/>
      <c r="L394" s="30"/>
      <c r="M394" s="30"/>
      <c r="O394" s="32"/>
      <c r="P394" s="32"/>
    </row>
    <row r="395">
      <c r="B395" s="35"/>
      <c r="G395" s="30"/>
      <c r="H395" s="30"/>
      <c r="L395" s="30"/>
      <c r="M395" s="30"/>
      <c r="O395" s="32"/>
      <c r="P395" s="32"/>
    </row>
    <row r="396">
      <c r="B396" s="35"/>
      <c r="G396" s="30"/>
      <c r="H396" s="30"/>
      <c r="L396" s="30"/>
      <c r="M396" s="30"/>
      <c r="O396" s="32"/>
      <c r="P396" s="32"/>
    </row>
    <row r="397">
      <c r="B397" s="35"/>
      <c r="G397" s="30"/>
      <c r="H397" s="30"/>
      <c r="L397" s="30"/>
      <c r="M397" s="30"/>
      <c r="O397" s="32"/>
      <c r="P397" s="32"/>
    </row>
    <row r="398">
      <c r="B398" s="35"/>
      <c r="G398" s="30"/>
      <c r="H398" s="30"/>
      <c r="L398" s="30"/>
      <c r="M398" s="30"/>
      <c r="O398" s="32"/>
      <c r="P398" s="32"/>
    </row>
    <row r="399">
      <c r="B399" s="35"/>
      <c r="G399" s="30"/>
      <c r="H399" s="30"/>
      <c r="L399" s="30"/>
      <c r="M399" s="30"/>
      <c r="O399" s="32"/>
      <c r="P399" s="32"/>
    </row>
    <row r="400">
      <c r="B400" s="35"/>
      <c r="G400" s="30"/>
      <c r="H400" s="30"/>
      <c r="L400" s="30"/>
      <c r="M400" s="30"/>
      <c r="O400" s="32"/>
      <c r="P400" s="32"/>
    </row>
    <row r="401">
      <c r="B401" s="35"/>
      <c r="G401" s="30"/>
      <c r="H401" s="30"/>
      <c r="L401" s="30"/>
      <c r="M401" s="30"/>
      <c r="O401" s="32"/>
      <c r="P401" s="32"/>
    </row>
    <row r="402">
      <c r="B402" s="35"/>
      <c r="G402" s="30"/>
      <c r="H402" s="30"/>
      <c r="L402" s="30"/>
      <c r="M402" s="30"/>
      <c r="O402" s="32"/>
      <c r="P402" s="32"/>
    </row>
    <row r="403">
      <c r="B403" s="35"/>
      <c r="G403" s="30"/>
      <c r="H403" s="30"/>
      <c r="L403" s="30"/>
      <c r="M403" s="30"/>
      <c r="O403" s="32"/>
      <c r="P403" s="32"/>
    </row>
    <row r="404">
      <c r="B404" s="35"/>
      <c r="G404" s="30"/>
      <c r="H404" s="30"/>
      <c r="L404" s="30"/>
      <c r="M404" s="30"/>
      <c r="O404" s="32"/>
      <c r="P404" s="32"/>
    </row>
    <row r="405">
      <c r="B405" s="35"/>
      <c r="G405" s="30"/>
      <c r="H405" s="30"/>
      <c r="L405" s="30"/>
      <c r="M405" s="30"/>
      <c r="O405" s="32"/>
      <c r="P405" s="32"/>
    </row>
    <row r="406">
      <c r="B406" s="35"/>
      <c r="G406" s="30"/>
      <c r="H406" s="30"/>
      <c r="L406" s="30"/>
      <c r="M406" s="30"/>
      <c r="O406" s="32"/>
      <c r="P406" s="32"/>
    </row>
    <row r="407">
      <c r="B407" s="35"/>
      <c r="G407" s="30"/>
      <c r="H407" s="30"/>
      <c r="L407" s="30"/>
      <c r="M407" s="30"/>
      <c r="O407" s="32"/>
      <c r="P407" s="32"/>
    </row>
    <row r="408">
      <c r="B408" s="35"/>
      <c r="G408" s="30"/>
      <c r="H408" s="30"/>
      <c r="L408" s="30"/>
      <c r="M408" s="30"/>
      <c r="O408" s="32"/>
      <c r="P408" s="32"/>
    </row>
    <row r="409">
      <c r="B409" s="35"/>
      <c r="G409" s="30"/>
      <c r="H409" s="30"/>
      <c r="L409" s="30"/>
      <c r="M409" s="30"/>
      <c r="O409" s="32"/>
      <c r="P409" s="32"/>
    </row>
    <row r="410">
      <c r="B410" s="35"/>
      <c r="G410" s="30"/>
      <c r="H410" s="30"/>
      <c r="L410" s="30"/>
      <c r="M410" s="30"/>
      <c r="O410" s="32"/>
      <c r="P410" s="32"/>
    </row>
    <row r="411">
      <c r="B411" s="35"/>
      <c r="G411" s="30"/>
      <c r="H411" s="30"/>
      <c r="L411" s="30"/>
      <c r="M411" s="30"/>
      <c r="O411" s="32"/>
      <c r="P411" s="32"/>
    </row>
    <row r="412">
      <c r="B412" s="35"/>
      <c r="G412" s="30"/>
      <c r="H412" s="30"/>
      <c r="L412" s="30"/>
      <c r="M412" s="30"/>
      <c r="O412" s="32"/>
      <c r="P412" s="32"/>
    </row>
    <row r="413">
      <c r="B413" s="35"/>
      <c r="G413" s="30"/>
      <c r="H413" s="30"/>
      <c r="L413" s="30"/>
      <c r="M413" s="30"/>
      <c r="O413" s="32"/>
      <c r="P413" s="32"/>
    </row>
    <row r="414">
      <c r="B414" s="35"/>
      <c r="G414" s="30"/>
      <c r="H414" s="30"/>
      <c r="L414" s="30"/>
      <c r="M414" s="30"/>
      <c r="O414" s="32"/>
      <c r="P414" s="32"/>
    </row>
    <row r="415">
      <c r="B415" s="35"/>
      <c r="G415" s="30"/>
      <c r="H415" s="30"/>
      <c r="L415" s="30"/>
      <c r="M415" s="30"/>
      <c r="O415" s="32"/>
      <c r="P415" s="32"/>
    </row>
    <row r="416">
      <c r="B416" s="35"/>
      <c r="G416" s="30"/>
      <c r="H416" s="30"/>
      <c r="L416" s="30"/>
      <c r="M416" s="30"/>
      <c r="O416" s="32"/>
      <c r="P416" s="32"/>
    </row>
    <row r="417">
      <c r="B417" s="35"/>
      <c r="G417" s="30"/>
      <c r="H417" s="30"/>
      <c r="L417" s="30"/>
      <c r="M417" s="30"/>
      <c r="O417" s="32"/>
      <c r="P417" s="32"/>
    </row>
    <row r="418">
      <c r="B418" s="35"/>
      <c r="G418" s="30"/>
      <c r="H418" s="30"/>
      <c r="L418" s="30"/>
      <c r="M418" s="30"/>
      <c r="O418" s="32"/>
      <c r="P418" s="32"/>
    </row>
    <row r="419">
      <c r="B419" s="35"/>
      <c r="G419" s="30"/>
      <c r="H419" s="30"/>
      <c r="L419" s="30"/>
      <c r="M419" s="30"/>
      <c r="O419" s="32"/>
      <c r="P419" s="32"/>
    </row>
    <row r="420">
      <c r="B420" s="35"/>
      <c r="G420" s="30"/>
      <c r="H420" s="30"/>
      <c r="L420" s="30"/>
      <c r="M420" s="30"/>
      <c r="O420" s="32"/>
      <c r="P420" s="32"/>
    </row>
    <row r="421">
      <c r="B421" s="35"/>
      <c r="G421" s="30"/>
      <c r="H421" s="30"/>
      <c r="L421" s="30"/>
      <c r="M421" s="30"/>
      <c r="O421" s="32"/>
      <c r="P421" s="32"/>
    </row>
    <row r="422">
      <c r="B422" s="35"/>
      <c r="G422" s="30"/>
      <c r="H422" s="30"/>
      <c r="L422" s="30"/>
      <c r="M422" s="30"/>
      <c r="O422" s="32"/>
      <c r="P422" s="32"/>
    </row>
    <row r="423">
      <c r="B423" s="35"/>
      <c r="G423" s="30"/>
      <c r="H423" s="30"/>
      <c r="L423" s="30"/>
      <c r="M423" s="30"/>
      <c r="O423" s="32"/>
      <c r="P423" s="32"/>
    </row>
    <row r="424">
      <c r="B424" s="35"/>
      <c r="G424" s="30"/>
      <c r="H424" s="30"/>
      <c r="L424" s="30"/>
      <c r="M424" s="30"/>
      <c r="O424" s="32"/>
      <c r="P424" s="32"/>
    </row>
    <row r="425">
      <c r="B425" s="35"/>
      <c r="G425" s="30"/>
      <c r="H425" s="30"/>
      <c r="L425" s="30"/>
      <c r="M425" s="30"/>
      <c r="O425" s="32"/>
      <c r="P425" s="32"/>
    </row>
    <row r="426">
      <c r="B426" s="35"/>
      <c r="G426" s="30"/>
      <c r="H426" s="30"/>
      <c r="L426" s="30"/>
      <c r="M426" s="30"/>
      <c r="O426" s="32"/>
      <c r="P426" s="32"/>
    </row>
    <row r="427">
      <c r="B427" s="35"/>
      <c r="G427" s="30"/>
      <c r="H427" s="30"/>
      <c r="L427" s="30"/>
      <c r="M427" s="30"/>
      <c r="O427" s="32"/>
      <c r="P427" s="32"/>
    </row>
    <row r="428">
      <c r="B428" s="35"/>
      <c r="G428" s="30"/>
      <c r="H428" s="30"/>
      <c r="L428" s="30"/>
      <c r="M428" s="30"/>
      <c r="O428" s="32"/>
      <c r="P428" s="32"/>
    </row>
    <row r="429">
      <c r="B429" s="35"/>
      <c r="G429" s="30"/>
      <c r="H429" s="30"/>
      <c r="L429" s="30"/>
      <c r="M429" s="30"/>
      <c r="O429" s="32"/>
      <c r="P429" s="32"/>
    </row>
    <row r="430">
      <c r="B430" s="35"/>
      <c r="G430" s="30"/>
      <c r="H430" s="30"/>
      <c r="L430" s="30"/>
      <c r="M430" s="30"/>
      <c r="O430" s="32"/>
      <c r="P430" s="32"/>
    </row>
    <row r="431">
      <c r="B431" s="35"/>
      <c r="G431" s="30"/>
      <c r="H431" s="30"/>
      <c r="L431" s="30"/>
      <c r="M431" s="30"/>
      <c r="O431" s="32"/>
      <c r="P431" s="32"/>
    </row>
    <row r="432">
      <c r="B432" s="35"/>
      <c r="G432" s="30"/>
      <c r="H432" s="30"/>
      <c r="L432" s="30"/>
      <c r="M432" s="30"/>
      <c r="O432" s="32"/>
      <c r="P432" s="32"/>
    </row>
    <row r="433">
      <c r="B433" s="35"/>
      <c r="G433" s="30"/>
      <c r="H433" s="30"/>
      <c r="L433" s="30"/>
      <c r="M433" s="30"/>
      <c r="O433" s="32"/>
      <c r="P433" s="32"/>
    </row>
    <row r="434">
      <c r="B434" s="35"/>
      <c r="G434" s="30"/>
      <c r="H434" s="30"/>
      <c r="L434" s="30"/>
      <c r="M434" s="30"/>
      <c r="O434" s="32"/>
      <c r="P434" s="32"/>
    </row>
    <row r="435">
      <c r="B435" s="35"/>
      <c r="G435" s="30"/>
      <c r="H435" s="30"/>
      <c r="L435" s="30"/>
      <c r="M435" s="30"/>
      <c r="O435" s="32"/>
      <c r="P435" s="32"/>
    </row>
    <row r="436">
      <c r="B436" s="35"/>
      <c r="G436" s="30"/>
      <c r="H436" s="30"/>
      <c r="L436" s="30"/>
      <c r="M436" s="30"/>
      <c r="O436" s="32"/>
      <c r="P436" s="32"/>
    </row>
    <row r="437">
      <c r="B437" s="35"/>
      <c r="G437" s="30"/>
      <c r="H437" s="30"/>
      <c r="L437" s="30"/>
      <c r="M437" s="30"/>
      <c r="O437" s="32"/>
      <c r="P437" s="32"/>
    </row>
    <row r="438">
      <c r="B438" s="35"/>
      <c r="G438" s="30"/>
      <c r="H438" s="30"/>
      <c r="L438" s="30"/>
      <c r="M438" s="30"/>
      <c r="O438" s="32"/>
      <c r="P438" s="32"/>
    </row>
    <row r="439">
      <c r="B439" s="35"/>
      <c r="G439" s="30"/>
      <c r="H439" s="30"/>
      <c r="L439" s="30"/>
      <c r="M439" s="30"/>
      <c r="O439" s="32"/>
      <c r="P439" s="32"/>
    </row>
    <row r="440">
      <c r="B440" s="35"/>
      <c r="G440" s="30"/>
      <c r="H440" s="30"/>
      <c r="L440" s="30"/>
      <c r="M440" s="30"/>
      <c r="O440" s="32"/>
      <c r="P440" s="32"/>
    </row>
    <row r="441">
      <c r="B441" s="35"/>
      <c r="G441" s="30"/>
      <c r="H441" s="30"/>
      <c r="L441" s="30"/>
      <c r="M441" s="30"/>
      <c r="O441" s="32"/>
      <c r="P441" s="32"/>
    </row>
    <row r="442">
      <c r="B442" s="35"/>
      <c r="G442" s="30"/>
      <c r="H442" s="30"/>
      <c r="L442" s="30"/>
      <c r="M442" s="30"/>
      <c r="O442" s="32"/>
      <c r="P442" s="32"/>
    </row>
    <row r="443">
      <c r="B443" s="35"/>
      <c r="G443" s="30"/>
      <c r="H443" s="30"/>
      <c r="L443" s="30"/>
      <c r="M443" s="30"/>
      <c r="O443" s="32"/>
      <c r="P443" s="32"/>
    </row>
    <row r="444">
      <c r="B444" s="35"/>
      <c r="G444" s="30"/>
      <c r="H444" s="30"/>
      <c r="L444" s="30"/>
      <c r="M444" s="30"/>
      <c r="O444" s="32"/>
      <c r="P444" s="32"/>
    </row>
    <row r="445">
      <c r="B445" s="35"/>
      <c r="G445" s="30"/>
      <c r="H445" s="30"/>
      <c r="L445" s="30"/>
      <c r="M445" s="30"/>
      <c r="O445" s="32"/>
      <c r="P445" s="32"/>
    </row>
    <row r="446">
      <c r="B446" s="35"/>
      <c r="G446" s="30"/>
      <c r="H446" s="30"/>
      <c r="L446" s="30"/>
      <c r="M446" s="30"/>
      <c r="O446" s="32"/>
      <c r="P446" s="32"/>
    </row>
    <row r="447">
      <c r="B447" s="35"/>
      <c r="G447" s="30"/>
      <c r="H447" s="30"/>
      <c r="L447" s="30"/>
      <c r="M447" s="30"/>
      <c r="O447" s="32"/>
      <c r="P447" s="32"/>
    </row>
    <row r="448">
      <c r="B448" s="35"/>
      <c r="G448" s="30"/>
      <c r="H448" s="30"/>
      <c r="L448" s="30"/>
      <c r="M448" s="30"/>
      <c r="O448" s="32"/>
      <c r="P448" s="32"/>
    </row>
    <row r="449">
      <c r="B449" s="35"/>
      <c r="G449" s="30"/>
      <c r="H449" s="30"/>
      <c r="L449" s="30"/>
      <c r="M449" s="30"/>
      <c r="O449" s="32"/>
      <c r="P449" s="32"/>
    </row>
    <row r="450">
      <c r="B450" s="35"/>
      <c r="G450" s="30"/>
      <c r="H450" s="30"/>
      <c r="L450" s="30"/>
      <c r="M450" s="30"/>
      <c r="O450" s="32"/>
      <c r="P450" s="32"/>
    </row>
    <row r="451">
      <c r="B451" s="35"/>
      <c r="G451" s="30"/>
      <c r="H451" s="30"/>
      <c r="L451" s="30"/>
      <c r="M451" s="30"/>
      <c r="O451" s="32"/>
      <c r="P451" s="32"/>
    </row>
    <row r="452">
      <c r="B452" s="35"/>
      <c r="G452" s="30"/>
      <c r="H452" s="30"/>
      <c r="L452" s="30"/>
      <c r="M452" s="30"/>
      <c r="O452" s="32"/>
      <c r="P452" s="32"/>
    </row>
    <row r="453">
      <c r="B453" s="35"/>
      <c r="G453" s="30"/>
      <c r="H453" s="30"/>
      <c r="L453" s="30"/>
      <c r="M453" s="30"/>
      <c r="O453" s="32"/>
      <c r="P453" s="32"/>
    </row>
    <row r="454">
      <c r="B454" s="35"/>
      <c r="G454" s="30"/>
      <c r="H454" s="30"/>
      <c r="L454" s="30"/>
      <c r="M454" s="30"/>
      <c r="O454" s="32"/>
      <c r="P454" s="32"/>
    </row>
    <row r="455">
      <c r="B455" s="35"/>
      <c r="G455" s="30"/>
      <c r="H455" s="30"/>
      <c r="L455" s="30"/>
      <c r="M455" s="30"/>
      <c r="O455" s="32"/>
      <c r="P455" s="32"/>
    </row>
    <row r="456">
      <c r="B456" s="35"/>
      <c r="G456" s="30"/>
      <c r="H456" s="30"/>
      <c r="L456" s="30"/>
      <c r="M456" s="30"/>
      <c r="O456" s="32"/>
      <c r="P456" s="32"/>
    </row>
    <row r="457">
      <c r="B457" s="35"/>
      <c r="G457" s="30"/>
      <c r="H457" s="30"/>
      <c r="L457" s="30"/>
      <c r="M457" s="30"/>
      <c r="O457" s="32"/>
      <c r="P457" s="32"/>
    </row>
    <row r="458">
      <c r="B458" s="35"/>
      <c r="G458" s="30"/>
      <c r="H458" s="30"/>
      <c r="L458" s="30"/>
      <c r="M458" s="30"/>
      <c r="O458" s="32"/>
      <c r="P458" s="32"/>
    </row>
    <row r="459">
      <c r="B459" s="35"/>
      <c r="G459" s="30"/>
      <c r="H459" s="30"/>
      <c r="L459" s="30"/>
      <c r="M459" s="30"/>
      <c r="O459" s="32"/>
      <c r="P459" s="32"/>
    </row>
    <row r="460">
      <c r="B460" s="35"/>
      <c r="G460" s="30"/>
      <c r="H460" s="30"/>
      <c r="L460" s="30"/>
      <c r="M460" s="30"/>
      <c r="O460" s="32"/>
      <c r="P460" s="32"/>
    </row>
    <row r="461">
      <c r="B461" s="35"/>
      <c r="G461" s="30"/>
      <c r="H461" s="30"/>
      <c r="L461" s="30"/>
      <c r="M461" s="30"/>
      <c r="O461" s="32"/>
      <c r="P461" s="32"/>
    </row>
    <row r="462">
      <c r="B462" s="35"/>
      <c r="G462" s="30"/>
      <c r="H462" s="30"/>
      <c r="L462" s="30"/>
      <c r="M462" s="30"/>
      <c r="O462" s="32"/>
      <c r="P462" s="32"/>
    </row>
    <row r="463">
      <c r="B463" s="35"/>
      <c r="G463" s="30"/>
      <c r="H463" s="30"/>
      <c r="L463" s="30"/>
      <c r="M463" s="30"/>
      <c r="O463" s="32"/>
      <c r="P463" s="32"/>
    </row>
    <row r="464">
      <c r="B464" s="35"/>
      <c r="G464" s="30"/>
      <c r="H464" s="30"/>
      <c r="L464" s="30"/>
      <c r="M464" s="30"/>
      <c r="O464" s="32"/>
      <c r="P464" s="32"/>
    </row>
    <row r="465">
      <c r="B465" s="35"/>
      <c r="G465" s="30"/>
      <c r="H465" s="30"/>
      <c r="L465" s="30"/>
      <c r="M465" s="30"/>
      <c r="O465" s="32"/>
      <c r="P465" s="32"/>
    </row>
    <row r="466">
      <c r="B466" s="35"/>
      <c r="G466" s="30"/>
      <c r="H466" s="30"/>
      <c r="L466" s="30"/>
      <c r="M466" s="30"/>
      <c r="O466" s="32"/>
      <c r="P466" s="32"/>
    </row>
    <row r="467">
      <c r="B467" s="35"/>
      <c r="G467" s="30"/>
      <c r="H467" s="30"/>
      <c r="L467" s="30"/>
      <c r="M467" s="30"/>
      <c r="O467" s="32"/>
      <c r="P467" s="32"/>
    </row>
    <row r="468">
      <c r="B468" s="35"/>
      <c r="G468" s="30"/>
      <c r="H468" s="30"/>
      <c r="L468" s="30"/>
      <c r="M468" s="30"/>
      <c r="O468" s="32"/>
      <c r="P468" s="32"/>
    </row>
    <row r="469">
      <c r="B469" s="35"/>
      <c r="G469" s="30"/>
      <c r="H469" s="30"/>
      <c r="L469" s="30"/>
      <c r="M469" s="30"/>
      <c r="O469" s="32"/>
      <c r="P469" s="32"/>
    </row>
    <row r="470">
      <c r="B470" s="35"/>
      <c r="G470" s="30"/>
      <c r="H470" s="30"/>
      <c r="L470" s="30"/>
      <c r="M470" s="30"/>
      <c r="O470" s="32"/>
      <c r="P470" s="32"/>
    </row>
    <row r="471">
      <c r="B471" s="35"/>
      <c r="G471" s="30"/>
      <c r="H471" s="30"/>
      <c r="L471" s="30"/>
      <c r="M471" s="30"/>
      <c r="O471" s="32"/>
      <c r="P471" s="32"/>
    </row>
    <row r="472">
      <c r="B472" s="35"/>
      <c r="G472" s="30"/>
      <c r="H472" s="30"/>
      <c r="L472" s="30"/>
      <c r="M472" s="30"/>
      <c r="O472" s="32"/>
      <c r="P472" s="32"/>
    </row>
    <row r="473">
      <c r="B473" s="35"/>
      <c r="G473" s="30"/>
      <c r="H473" s="30"/>
      <c r="L473" s="30"/>
      <c r="M473" s="30"/>
      <c r="O473" s="32"/>
      <c r="P473" s="32"/>
    </row>
    <row r="474">
      <c r="B474" s="35"/>
      <c r="G474" s="30"/>
      <c r="H474" s="30"/>
      <c r="L474" s="30"/>
      <c r="M474" s="30"/>
      <c r="O474" s="32"/>
      <c r="P474" s="32"/>
    </row>
    <row r="475">
      <c r="B475" s="35"/>
      <c r="G475" s="30"/>
      <c r="H475" s="30"/>
      <c r="L475" s="30"/>
      <c r="M475" s="30"/>
      <c r="O475" s="32"/>
      <c r="P475" s="32"/>
    </row>
    <row r="476">
      <c r="B476" s="35"/>
      <c r="G476" s="30"/>
      <c r="H476" s="30"/>
      <c r="L476" s="30"/>
      <c r="M476" s="30"/>
      <c r="O476" s="32"/>
      <c r="P476" s="32"/>
    </row>
    <row r="477">
      <c r="B477" s="35"/>
      <c r="G477" s="30"/>
      <c r="H477" s="30"/>
      <c r="L477" s="30"/>
      <c r="M477" s="30"/>
      <c r="O477" s="32"/>
      <c r="P477" s="32"/>
    </row>
    <row r="478">
      <c r="B478" s="35"/>
      <c r="G478" s="30"/>
      <c r="H478" s="30"/>
      <c r="L478" s="30"/>
      <c r="M478" s="30"/>
      <c r="O478" s="32"/>
      <c r="P478" s="32"/>
    </row>
    <row r="479">
      <c r="B479" s="35"/>
      <c r="G479" s="30"/>
      <c r="H479" s="30"/>
      <c r="L479" s="30"/>
      <c r="M479" s="30"/>
      <c r="O479" s="32"/>
      <c r="P479" s="32"/>
    </row>
    <row r="480">
      <c r="B480" s="35"/>
      <c r="G480" s="30"/>
      <c r="H480" s="30"/>
      <c r="L480" s="30"/>
      <c r="M480" s="30"/>
      <c r="O480" s="32"/>
      <c r="P480" s="32"/>
    </row>
    <row r="481">
      <c r="B481" s="35"/>
      <c r="G481" s="30"/>
      <c r="H481" s="30"/>
      <c r="L481" s="30"/>
      <c r="M481" s="30"/>
      <c r="O481" s="32"/>
      <c r="P481" s="32"/>
    </row>
    <row r="482">
      <c r="B482" s="35"/>
      <c r="G482" s="30"/>
      <c r="H482" s="30"/>
      <c r="L482" s="30"/>
      <c r="M482" s="30"/>
      <c r="O482" s="32"/>
      <c r="P482" s="32"/>
    </row>
    <row r="483">
      <c r="B483" s="35"/>
      <c r="G483" s="30"/>
      <c r="H483" s="30"/>
      <c r="L483" s="30"/>
      <c r="M483" s="30"/>
      <c r="O483" s="32"/>
      <c r="P483" s="32"/>
    </row>
    <row r="484">
      <c r="B484" s="35"/>
      <c r="G484" s="30"/>
      <c r="H484" s="30"/>
      <c r="L484" s="30"/>
      <c r="M484" s="30"/>
      <c r="O484" s="32"/>
      <c r="P484" s="32"/>
    </row>
    <row r="485">
      <c r="B485" s="35"/>
      <c r="G485" s="30"/>
      <c r="H485" s="30"/>
      <c r="L485" s="30"/>
      <c r="M485" s="30"/>
      <c r="O485" s="32"/>
      <c r="P485" s="32"/>
    </row>
    <row r="486">
      <c r="B486" s="35"/>
      <c r="G486" s="30"/>
      <c r="H486" s="30"/>
      <c r="L486" s="30"/>
      <c r="M486" s="30"/>
      <c r="O486" s="32"/>
      <c r="P486" s="32"/>
    </row>
    <row r="487">
      <c r="B487" s="35"/>
      <c r="G487" s="30"/>
      <c r="H487" s="30"/>
      <c r="L487" s="30"/>
      <c r="M487" s="30"/>
      <c r="O487" s="32"/>
      <c r="P487" s="32"/>
    </row>
    <row r="488">
      <c r="B488" s="35"/>
      <c r="G488" s="30"/>
      <c r="H488" s="30"/>
      <c r="L488" s="30"/>
      <c r="M488" s="30"/>
      <c r="O488" s="32"/>
      <c r="P488" s="32"/>
    </row>
    <row r="489">
      <c r="B489" s="35"/>
      <c r="G489" s="30"/>
      <c r="H489" s="30"/>
      <c r="L489" s="30"/>
      <c r="M489" s="30"/>
      <c r="O489" s="32"/>
      <c r="P489" s="32"/>
    </row>
    <row r="490">
      <c r="B490" s="35"/>
      <c r="G490" s="30"/>
      <c r="H490" s="30"/>
      <c r="L490" s="30"/>
      <c r="M490" s="30"/>
      <c r="O490" s="32"/>
      <c r="P490" s="32"/>
    </row>
    <row r="491">
      <c r="B491" s="35"/>
      <c r="G491" s="30"/>
      <c r="H491" s="30"/>
      <c r="L491" s="30"/>
      <c r="M491" s="30"/>
      <c r="O491" s="32"/>
      <c r="P491" s="32"/>
    </row>
    <row r="492">
      <c r="B492" s="35"/>
      <c r="G492" s="30"/>
      <c r="H492" s="30"/>
      <c r="L492" s="30"/>
      <c r="M492" s="30"/>
      <c r="O492" s="32"/>
      <c r="P492" s="32"/>
    </row>
    <row r="493">
      <c r="B493" s="35"/>
      <c r="G493" s="30"/>
      <c r="H493" s="30"/>
      <c r="L493" s="30"/>
      <c r="M493" s="30"/>
      <c r="O493" s="32"/>
      <c r="P493" s="32"/>
    </row>
    <row r="494">
      <c r="B494" s="35"/>
      <c r="G494" s="30"/>
      <c r="H494" s="30"/>
      <c r="L494" s="30"/>
      <c r="M494" s="30"/>
      <c r="O494" s="32"/>
      <c r="P494" s="32"/>
    </row>
    <row r="495">
      <c r="B495" s="35"/>
      <c r="G495" s="30"/>
      <c r="H495" s="30"/>
      <c r="L495" s="30"/>
      <c r="M495" s="30"/>
      <c r="O495" s="32"/>
      <c r="P495" s="32"/>
    </row>
    <row r="496">
      <c r="B496" s="35"/>
      <c r="G496" s="30"/>
      <c r="H496" s="30"/>
      <c r="L496" s="30"/>
      <c r="M496" s="30"/>
      <c r="O496" s="32"/>
      <c r="P496" s="32"/>
    </row>
    <row r="497">
      <c r="B497" s="35"/>
      <c r="G497" s="30"/>
      <c r="H497" s="30"/>
      <c r="L497" s="30"/>
      <c r="M497" s="30"/>
      <c r="O497" s="32"/>
      <c r="P497" s="32"/>
    </row>
    <row r="498">
      <c r="B498" s="35"/>
      <c r="G498" s="30"/>
      <c r="H498" s="30"/>
      <c r="L498" s="30"/>
      <c r="M498" s="30"/>
      <c r="O498" s="32"/>
      <c r="P498" s="32"/>
    </row>
    <row r="499">
      <c r="B499" s="35"/>
      <c r="G499" s="30"/>
      <c r="H499" s="30"/>
      <c r="L499" s="30"/>
      <c r="M499" s="30"/>
      <c r="O499" s="32"/>
      <c r="P499" s="32"/>
    </row>
    <row r="500">
      <c r="B500" s="35"/>
      <c r="G500" s="30"/>
      <c r="H500" s="30"/>
      <c r="L500" s="30"/>
      <c r="M500" s="30"/>
      <c r="O500" s="32"/>
      <c r="P500" s="32"/>
    </row>
    <row r="501">
      <c r="B501" s="35"/>
      <c r="G501" s="30"/>
      <c r="H501" s="30"/>
      <c r="L501" s="30"/>
      <c r="M501" s="30"/>
      <c r="O501" s="32"/>
      <c r="P501" s="32"/>
    </row>
    <row r="502">
      <c r="B502" s="35"/>
      <c r="G502" s="30"/>
      <c r="H502" s="30"/>
      <c r="L502" s="30"/>
      <c r="M502" s="30"/>
      <c r="O502" s="32"/>
      <c r="P502" s="32"/>
    </row>
    <row r="503">
      <c r="B503" s="35"/>
      <c r="G503" s="30"/>
      <c r="H503" s="30"/>
      <c r="L503" s="30"/>
      <c r="M503" s="30"/>
      <c r="O503" s="32"/>
      <c r="P503" s="32"/>
    </row>
    <row r="504">
      <c r="B504" s="35"/>
      <c r="G504" s="30"/>
      <c r="H504" s="30"/>
      <c r="L504" s="30"/>
      <c r="M504" s="30"/>
      <c r="O504" s="32"/>
      <c r="P504" s="32"/>
    </row>
    <row r="505">
      <c r="B505" s="35"/>
      <c r="G505" s="30"/>
      <c r="H505" s="30"/>
      <c r="L505" s="30"/>
      <c r="M505" s="30"/>
      <c r="O505" s="32"/>
      <c r="P505" s="32"/>
    </row>
    <row r="506">
      <c r="B506" s="35"/>
      <c r="G506" s="30"/>
      <c r="H506" s="30"/>
      <c r="L506" s="30"/>
      <c r="M506" s="30"/>
      <c r="O506" s="32"/>
      <c r="P506" s="32"/>
    </row>
    <row r="507">
      <c r="B507" s="35"/>
      <c r="G507" s="30"/>
      <c r="H507" s="30"/>
      <c r="L507" s="30"/>
      <c r="M507" s="30"/>
      <c r="O507" s="32"/>
      <c r="P507" s="32"/>
    </row>
    <row r="508">
      <c r="B508" s="35"/>
      <c r="G508" s="30"/>
      <c r="H508" s="30"/>
      <c r="L508" s="30"/>
      <c r="M508" s="30"/>
      <c r="O508" s="32"/>
      <c r="P508" s="32"/>
    </row>
    <row r="509">
      <c r="B509" s="35"/>
      <c r="G509" s="30"/>
      <c r="H509" s="30"/>
      <c r="L509" s="30"/>
      <c r="M509" s="30"/>
      <c r="O509" s="32"/>
      <c r="P509" s="32"/>
    </row>
    <row r="510">
      <c r="B510" s="35"/>
      <c r="G510" s="30"/>
      <c r="H510" s="30"/>
      <c r="L510" s="30"/>
      <c r="M510" s="30"/>
      <c r="O510" s="32"/>
      <c r="P510" s="32"/>
    </row>
    <row r="511">
      <c r="B511" s="35"/>
      <c r="G511" s="30"/>
      <c r="H511" s="30"/>
      <c r="L511" s="30"/>
      <c r="M511" s="30"/>
      <c r="O511" s="32"/>
      <c r="P511" s="32"/>
    </row>
    <row r="512">
      <c r="B512" s="35"/>
      <c r="G512" s="30"/>
      <c r="H512" s="30"/>
      <c r="L512" s="30"/>
      <c r="M512" s="30"/>
      <c r="O512" s="32"/>
      <c r="P512" s="32"/>
    </row>
    <row r="513">
      <c r="B513" s="35"/>
      <c r="G513" s="30"/>
      <c r="H513" s="30"/>
      <c r="L513" s="30"/>
      <c r="M513" s="30"/>
      <c r="O513" s="32"/>
      <c r="P513" s="32"/>
    </row>
    <row r="514">
      <c r="B514" s="35"/>
      <c r="G514" s="30"/>
      <c r="H514" s="30"/>
      <c r="L514" s="30"/>
      <c r="M514" s="30"/>
      <c r="O514" s="32"/>
      <c r="P514" s="32"/>
    </row>
    <row r="515">
      <c r="B515" s="35"/>
      <c r="G515" s="30"/>
      <c r="H515" s="30"/>
      <c r="L515" s="30"/>
      <c r="M515" s="30"/>
      <c r="O515" s="32"/>
      <c r="P515" s="32"/>
    </row>
    <row r="516">
      <c r="B516" s="35"/>
      <c r="G516" s="30"/>
      <c r="H516" s="30"/>
      <c r="L516" s="30"/>
      <c r="M516" s="30"/>
      <c r="O516" s="32"/>
      <c r="P516" s="32"/>
    </row>
    <row r="517">
      <c r="B517" s="35"/>
      <c r="G517" s="30"/>
      <c r="H517" s="30"/>
      <c r="L517" s="30"/>
      <c r="M517" s="30"/>
      <c r="O517" s="32"/>
      <c r="P517" s="32"/>
    </row>
    <row r="518">
      <c r="B518" s="35"/>
      <c r="G518" s="30"/>
      <c r="H518" s="30"/>
      <c r="L518" s="30"/>
      <c r="M518" s="30"/>
      <c r="O518" s="32"/>
      <c r="P518" s="32"/>
    </row>
    <row r="519">
      <c r="B519" s="35"/>
      <c r="G519" s="30"/>
      <c r="H519" s="30"/>
      <c r="L519" s="30"/>
      <c r="M519" s="30"/>
      <c r="O519" s="32"/>
      <c r="P519" s="32"/>
    </row>
    <row r="520">
      <c r="B520" s="35"/>
      <c r="G520" s="30"/>
      <c r="H520" s="30"/>
      <c r="L520" s="30"/>
      <c r="M520" s="30"/>
      <c r="O520" s="32"/>
      <c r="P520" s="32"/>
    </row>
    <row r="521">
      <c r="B521" s="35"/>
      <c r="G521" s="30"/>
      <c r="H521" s="30"/>
      <c r="L521" s="30"/>
      <c r="M521" s="30"/>
      <c r="O521" s="32"/>
      <c r="P521" s="32"/>
    </row>
    <row r="522">
      <c r="B522" s="35"/>
      <c r="G522" s="30"/>
      <c r="H522" s="30"/>
      <c r="L522" s="30"/>
      <c r="M522" s="30"/>
      <c r="O522" s="32"/>
      <c r="P522" s="32"/>
    </row>
    <row r="523">
      <c r="B523" s="35"/>
      <c r="G523" s="30"/>
      <c r="H523" s="30"/>
      <c r="L523" s="30"/>
      <c r="M523" s="30"/>
      <c r="O523" s="32"/>
      <c r="P523" s="32"/>
    </row>
    <row r="524">
      <c r="B524" s="35"/>
      <c r="G524" s="30"/>
      <c r="H524" s="30"/>
      <c r="L524" s="30"/>
      <c r="M524" s="30"/>
      <c r="O524" s="32"/>
      <c r="P524" s="32"/>
    </row>
    <row r="525">
      <c r="B525" s="35"/>
      <c r="G525" s="30"/>
      <c r="H525" s="30"/>
      <c r="L525" s="30"/>
      <c r="M525" s="30"/>
      <c r="O525" s="32"/>
      <c r="P525" s="32"/>
    </row>
    <row r="526">
      <c r="B526" s="35"/>
      <c r="G526" s="30"/>
      <c r="H526" s="30"/>
      <c r="L526" s="30"/>
      <c r="M526" s="30"/>
      <c r="O526" s="32"/>
      <c r="P526" s="32"/>
    </row>
    <row r="527">
      <c r="B527" s="35"/>
      <c r="G527" s="30"/>
      <c r="H527" s="30"/>
      <c r="L527" s="30"/>
      <c r="M527" s="30"/>
      <c r="O527" s="32"/>
      <c r="P527" s="32"/>
    </row>
    <row r="528">
      <c r="B528" s="35"/>
      <c r="G528" s="30"/>
      <c r="H528" s="30"/>
      <c r="L528" s="30"/>
      <c r="M528" s="30"/>
      <c r="O528" s="32"/>
      <c r="P528" s="32"/>
    </row>
    <row r="529">
      <c r="B529" s="35"/>
      <c r="G529" s="30"/>
      <c r="H529" s="30"/>
      <c r="L529" s="30"/>
      <c r="M529" s="30"/>
      <c r="O529" s="32"/>
      <c r="P529" s="32"/>
    </row>
    <row r="530">
      <c r="B530" s="35"/>
      <c r="G530" s="30"/>
      <c r="H530" s="30"/>
      <c r="L530" s="30"/>
      <c r="M530" s="30"/>
      <c r="O530" s="32"/>
      <c r="P530" s="32"/>
    </row>
    <row r="531">
      <c r="B531" s="35"/>
      <c r="G531" s="30"/>
      <c r="H531" s="30"/>
      <c r="L531" s="30"/>
      <c r="M531" s="30"/>
      <c r="O531" s="32"/>
      <c r="P531" s="32"/>
    </row>
    <row r="532">
      <c r="B532" s="35"/>
      <c r="G532" s="30"/>
      <c r="H532" s="30"/>
      <c r="L532" s="30"/>
      <c r="M532" s="30"/>
      <c r="O532" s="32"/>
      <c r="P532" s="32"/>
    </row>
    <row r="533">
      <c r="B533" s="35"/>
      <c r="G533" s="30"/>
      <c r="H533" s="30"/>
      <c r="L533" s="30"/>
      <c r="M533" s="30"/>
      <c r="O533" s="32"/>
      <c r="P533" s="32"/>
    </row>
    <row r="534">
      <c r="B534" s="35"/>
      <c r="G534" s="30"/>
      <c r="H534" s="30"/>
      <c r="L534" s="30"/>
      <c r="M534" s="30"/>
      <c r="O534" s="32"/>
      <c r="P534" s="32"/>
    </row>
    <row r="535">
      <c r="B535" s="35"/>
      <c r="G535" s="30"/>
      <c r="H535" s="30"/>
      <c r="L535" s="30"/>
      <c r="M535" s="30"/>
      <c r="O535" s="32"/>
      <c r="P535" s="32"/>
    </row>
    <row r="536">
      <c r="B536" s="35"/>
      <c r="G536" s="30"/>
      <c r="H536" s="30"/>
      <c r="L536" s="30"/>
      <c r="M536" s="30"/>
      <c r="O536" s="32"/>
      <c r="P536" s="32"/>
    </row>
    <row r="537">
      <c r="B537" s="35"/>
      <c r="G537" s="30"/>
      <c r="H537" s="30"/>
      <c r="L537" s="30"/>
      <c r="M537" s="30"/>
      <c r="O537" s="32"/>
      <c r="P537" s="32"/>
    </row>
    <row r="538">
      <c r="B538" s="35"/>
      <c r="G538" s="30"/>
      <c r="H538" s="30"/>
      <c r="L538" s="30"/>
      <c r="M538" s="30"/>
      <c r="O538" s="32"/>
      <c r="P538" s="32"/>
    </row>
    <row r="539">
      <c r="B539" s="35"/>
      <c r="G539" s="30"/>
      <c r="H539" s="30"/>
      <c r="L539" s="30"/>
      <c r="M539" s="30"/>
      <c r="O539" s="32"/>
      <c r="P539" s="32"/>
    </row>
    <row r="540">
      <c r="B540" s="35"/>
      <c r="G540" s="30"/>
      <c r="H540" s="30"/>
      <c r="L540" s="30"/>
      <c r="M540" s="30"/>
      <c r="O540" s="32"/>
      <c r="P540" s="32"/>
    </row>
    <row r="541">
      <c r="B541" s="35"/>
      <c r="G541" s="30"/>
      <c r="H541" s="30"/>
      <c r="L541" s="30"/>
      <c r="M541" s="30"/>
      <c r="O541" s="32"/>
      <c r="P541" s="32"/>
    </row>
    <row r="542">
      <c r="B542" s="35"/>
      <c r="G542" s="30"/>
      <c r="H542" s="30"/>
      <c r="L542" s="30"/>
      <c r="M542" s="30"/>
      <c r="O542" s="32"/>
      <c r="P542" s="32"/>
    </row>
    <row r="543">
      <c r="B543" s="35"/>
      <c r="G543" s="30"/>
      <c r="H543" s="30"/>
      <c r="L543" s="30"/>
      <c r="M543" s="30"/>
      <c r="O543" s="32"/>
      <c r="P543" s="32"/>
    </row>
    <row r="544">
      <c r="B544" s="35"/>
      <c r="G544" s="30"/>
      <c r="H544" s="30"/>
      <c r="L544" s="30"/>
      <c r="M544" s="30"/>
      <c r="O544" s="32"/>
      <c r="P544" s="32"/>
    </row>
    <row r="545">
      <c r="B545" s="35"/>
      <c r="G545" s="30"/>
      <c r="H545" s="30"/>
      <c r="L545" s="30"/>
      <c r="M545" s="30"/>
      <c r="O545" s="32"/>
      <c r="P545" s="32"/>
    </row>
    <row r="546">
      <c r="B546" s="35"/>
      <c r="G546" s="30"/>
      <c r="H546" s="30"/>
      <c r="L546" s="30"/>
      <c r="M546" s="30"/>
      <c r="O546" s="32"/>
      <c r="P546" s="32"/>
    </row>
    <row r="547">
      <c r="B547" s="35"/>
      <c r="G547" s="30"/>
      <c r="H547" s="30"/>
      <c r="L547" s="30"/>
      <c r="M547" s="30"/>
      <c r="O547" s="32"/>
      <c r="P547" s="32"/>
    </row>
    <row r="548">
      <c r="B548" s="35"/>
      <c r="G548" s="30"/>
      <c r="H548" s="30"/>
      <c r="L548" s="30"/>
      <c r="M548" s="30"/>
      <c r="O548" s="32"/>
      <c r="P548" s="32"/>
    </row>
    <row r="549">
      <c r="B549" s="35"/>
      <c r="G549" s="30"/>
      <c r="H549" s="30"/>
      <c r="L549" s="30"/>
      <c r="M549" s="30"/>
      <c r="O549" s="32"/>
      <c r="P549" s="32"/>
    </row>
    <row r="550">
      <c r="B550" s="35"/>
      <c r="G550" s="30"/>
      <c r="H550" s="30"/>
      <c r="L550" s="30"/>
      <c r="M550" s="30"/>
      <c r="O550" s="32"/>
      <c r="P550" s="32"/>
    </row>
    <row r="551">
      <c r="B551" s="35"/>
      <c r="G551" s="30"/>
      <c r="H551" s="30"/>
      <c r="L551" s="30"/>
      <c r="M551" s="30"/>
      <c r="O551" s="32"/>
      <c r="P551" s="32"/>
    </row>
    <row r="552">
      <c r="B552" s="35"/>
      <c r="G552" s="30"/>
      <c r="H552" s="30"/>
      <c r="L552" s="30"/>
      <c r="M552" s="30"/>
      <c r="O552" s="32"/>
      <c r="P552" s="32"/>
    </row>
    <row r="553">
      <c r="B553" s="35"/>
      <c r="G553" s="30"/>
      <c r="H553" s="30"/>
      <c r="L553" s="30"/>
      <c r="M553" s="30"/>
      <c r="O553" s="32"/>
      <c r="P553" s="32"/>
    </row>
    <row r="554">
      <c r="B554" s="35"/>
      <c r="G554" s="30"/>
      <c r="H554" s="30"/>
      <c r="L554" s="30"/>
      <c r="M554" s="30"/>
      <c r="O554" s="32"/>
      <c r="P554" s="32"/>
    </row>
    <row r="555">
      <c r="B555" s="35"/>
      <c r="G555" s="30"/>
      <c r="H555" s="30"/>
      <c r="L555" s="30"/>
      <c r="M555" s="30"/>
      <c r="O555" s="32"/>
      <c r="P555" s="32"/>
    </row>
    <row r="556">
      <c r="B556" s="35"/>
      <c r="G556" s="30"/>
      <c r="H556" s="30"/>
      <c r="L556" s="30"/>
      <c r="M556" s="30"/>
      <c r="O556" s="32"/>
      <c r="P556" s="32"/>
    </row>
    <row r="557">
      <c r="B557" s="35"/>
      <c r="G557" s="30"/>
      <c r="H557" s="30"/>
      <c r="L557" s="30"/>
      <c r="M557" s="30"/>
      <c r="O557" s="32"/>
      <c r="P557" s="32"/>
    </row>
    <row r="558">
      <c r="B558" s="35"/>
      <c r="G558" s="30"/>
      <c r="H558" s="30"/>
      <c r="L558" s="30"/>
      <c r="M558" s="30"/>
      <c r="O558" s="32"/>
      <c r="P558" s="32"/>
    </row>
    <row r="559">
      <c r="B559" s="35"/>
      <c r="G559" s="30"/>
      <c r="H559" s="30"/>
      <c r="L559" s="30"/>
      <c r="M559" s="30"/>
      <c r="O559" s="32"/>
      <c r="P559" s="32"/>
    </row>
    <row r="560">
      <c r="B560" s="35"/>
      <c r="G560" s="30"/>
      <c r="H560" s="30"/>
      <c r="L560" s="30"/>
      <c r="M560" s="30"/>
      <c r="O560" s="32"/>
      <c r="P560" s="32"/>
    </row>
    <row r="561">
      <c r="B561" s="35"/>
      <c r="G561" s="30"/>
      <c r="H561" s="30"/>
      <c r="L561" s="30"/>
      <c r="M561" s="30"/>
      <c r="O561" s="32"/>
      <c r="P561" s="32"/>
    </row>
    <row r="562">
      <c r="B562" s="35"/>
      <c r="G562" s="30"/>
      <c r="H562" s="30"/>
      <c r="L562" s="30"/>
      <c r="M562" s="30"/>
      <c r="O562" s="32"/>
      <c r="P562" s="32"/>
    </row>
    <row r="563">
      <c r="B563" s="35"/>
      <c r="G563" s="30"/>
      <c r="H563" s="30"/>
      <c r="L563" s="30"/>
      <c r="M563" s="30"/>
      <c r="O563" s="32"/>
      <c r="P563" s="32"/>
    </row>
    <row r="564">
      <c r="B564" s="35"/>
      <c r="G564" s="30"/>
      <c r="H564" s="30"/>
      <c r="L564" s="30"/>
      <c r="M564" s="30"/>
      <c r="O564" s="32"/>
      <c r="P564" s="32"/>
    </row>
    <row r="565">
      <c r="B565" s="35"/>
      <c r="G565" s="30"/>
      <c r="H565" s="30"/>
      <c r="L565" s="30"/>
      <c r="M565" s="30"/>
      <c r="O565" s="32"/>
      <c r="P565" s="32"/>
    </row>
    <row r="566">
      <c r="B566" s="35"/>
      <c r="G566" s="30"/>
      <c r="H566" s="30"/>
      <c r="L566" s="30"/>
      <c r="M566" s="30"/>
      <c r="O566" s="32"/>
      <c r="P566" s="32"/>
    </row>
    <row r="567">
      <c r="B567" s="35"/>
      <c r="G567" s="30"/>
      <c r="H567" s="30"/>
      <c r="L567" s="30"/>
      <c r="M567" s="30"/>
      <c r="O567" s="32"/>
      <c r="P567" s="32"/>
    </row>
    <row r="568">
      <c r="B568" s="35"/>
      <c r="G568" s="30"/>
      <c r="H568" s="30"/>
      <c r="L568" s="30"/>
      <c r="M568" s="30"/>
      <c r="O568" s="32"/>
      <c r="P568" s="32"/>
    </row>
    <row r="569">
      <c r="B569" s="35"/>
      <c r="G569" s="30"/>
      <c r="H569" s="30"/>
      <c r="L569" s="30"/>
      <c r="M569" s="30"/>
      <c r="O569" s="32"/>
      <c r="P569" s="32"/>
    </row>
    <row r="570">
      <c r="B570" s="35"/>
      <c r="G570" s="30"/>
      <c r="H570" s="30"/>
      <c r="L570" s="30"/>
      <c r="M570" s="30"/>
      <c r="O570" s="32"/>
      <c r="P570" s="32"/>
    </row>
    <row r="571">
      <c r="B571" s="35"/>
      <c r="G571" s="30"/>
      <c r="H571" s="30"/>
      <c r="L571" s="30"/>
      <c r="M571" s="30"/>
      <c r="O571" s="32"/>
      <c r="P571" s="32"/>
    </row>
    <row r="572">
      <c r="B572" s="35"/>
      <c r="G572" s="30"/>
      <c r="H572" s="30"/>
      <c r="L572" s="30"/>
      <c r="M572" s="30"/>
      <c r="O572" s="32"/>
      <c r="P572" s="32"/>
    </row>
    <row r="573">
      <c r="B573" s="35"/>
      <c r="G573" s="30"/>
      <c r="H573" s="30"/>
      <c r="L573" s="30"/>
      <c r="M573" s="30"/>
      <c r="O573" s="32"/>
      <c r="P573" s="32"/>
    </row>
    <row r="574">
      <c r="B574" s="35"/>
      <c r="G574" s="30"/>
      <c r="H574" s="30"/>
      <c r="L574" s="30"/>
      <c r="M574" s="30"/>
      <c r="O574" s="32"/>
      <c r="P574" s="32"/>
    </row>
    <row r="575">
      <c r="B575" s="35"/>
      <c r="G575" s="30"/>
      <c r="H575" s="30"/>
      <c r="L575" s="30"/>
      <c r="M575" s="30"/>
      <c r="O575" s="32"/>
      <c r="P575" s="32"/>
    </row>
    <row r="576">
      <c r="B576" s="35"/>
      <c r="G576" s="30"/>
      <c r="H576" s="30"/>
      <c r="L576" s="30"/>
      <c r="M576" s="30"/>
      <c r="O576" s="32"/>
      <c r="P576" s="32"/>
    </row>
    <row r="577">
      <c r="B577" s="35"/>
      <c r="G577" s="30"/>
      <c r="H577" s="30"/>
      <c r="L577" s="30"/>
      <c r="M577" s="30"/>
      <c r="O577" s="32"/>
      <c r="P577" s="32"/>
    </row>
    <row r="578">
      <c r="B578" s="35"/>
      <c r="G578" s="30"/>
      <c r="H578" s="30"/>
      <c r="L578" s="30"/>
      <c r="M578" s="30"/>
      <c r="O578" s="32"/>
      <c r="P578" s="32"/>
    </row>
    <row r="579">
      <c r="B579" s="35"/>
      <c r="G579" s="30"/>
      <c r="H579" s="30"/>
      <c r="L579" s="30"/>
      <c r="M579" s="30"/>
      <c r="O579" s="32"/>
      <c r="P579" s="32"/>
    </row>
    <row r="580">
      <c r="B580" s="35"/>
      <c r="G580" s="30"/>
      <c r="H580" s="30"/>
      <c r="L580" s="30"/>
      <c r="M580" s="30"/>
      <c r="O580" s="32"/>
      <c r="P580" s="32"/>
    </row>
    <row r="581">
      <c r="B581" s="35"/>
      <c r="G581" s="30"/>
      <c r="H581" s="30"/>
      <c r="L581" s="30"/>
      <c r="M581" s="30"/>
      <c r="O581" s="32"/>
      <c r="P581" s="32"/>
    </row>
    <row r="582">
      <c r="B582" s="35"/>
      <c r="G582" s="30"/>
      <c r="H582" s="30"/>
      <c r="L582" s="30"/>
      <c r="M582" s="30"/>
      <c r="O582" s="32"/>
      <c r="P582" s="32"/>
    </row>
    <row r="583">
      <c r="B583" s="35"/>
      <c r="G583" s="30"/>
      <c r="H583" s="30"/>
      <c r="L583" s="30"/>
      <c r="M583" s="30"/>
      <c r="O583" s="32"/>
      <c r="P583" s="32"/>
    </row>
    <row r="584">
      <c r="B584" s="35"/>
      <c r="G584" s="30"/>
      <c r="H584" s="30"/>
      <c r="L584" s="30"/>
      <c r="M584" s="30"/>
      <c r="O584" s="32"/>
      <c r="P584" s="32"/>
    </row>
    <row r="585">
      <c r="B585" s="35"/>
      <c r="G585" s="30"/>
      <c r="H585" s="30"/>
      <c r="L585" s="30"/>
      <c r="M585" s="30"/>
      <c r="O585" s="32"/>
      <c r="P585" s="32"/>
    </row>
    <row r="586">
      <c r="B586" s="35"/>
      <c r="G586" s="30"/>
      <c r="H586" s="30"/>
      <c r="L586" s="30"/>
      <c r="M586" s="30"/>
      <c r="O586" s="32"/>
      <c r="P586" s="32"/>
    </row>
    <row r="587">
      <c r="B587" s="35"/>
      <c r="G587" s="30"/>
      <c r="H587" s="30"/>
      <c r="L587" s="30"/>
      <c r="M587" s="30"/>
      <c r="O587" s="32"/>
      <c r="P587" s="32"/>
    </row>
    <row r="588">
      <c r="B588" s="35"/>
      <c r="G588" s="30"/>
      <c r="H588" s="30"/>
      <c r="L588" s="30"/>
      <c r="M588" s="30"/>
      <c r="O588" s="32"/>
      <c r="P588" s="32"/>
    </row>
    <row r="589">
      <c r="B589" s="35"/>
      <c r="G589" s="30"/>
      <c r="H589" s="30"/>
      <c r="L589" s="30"/>
      <c r="M589" s="30"/>
      <c r="O589" s="32"/>
      <c r="P589" s="32"/>
    </row>
    <row r="590">
      <c r="B590" s="35"/>
      <c r="G590" s="30"/>
      <c r="H590" s="30"/>
      <c r="L590" s="30"/>
      <c r="M590" s="30"/>
      <c r="O590" s="32"/>
      <c r="P590" s="32"/>
    </row>
    <row r="591">
      <c r="B591" s="35"/>
      <c r="G591" s="30"/>
      <c r="H591" s="30"/>
      <c r="L591" s="30"/>
      <c r="M591" s="30"/>
      <c r="O591" s="32"/>
      <c r="P591" s="32"/>
    </row>
    <row r="592">
      <c r="B592" s="35"/>
      <c r="G592" s="30"/>
      <c r="H592" s="30"/>
      <c r="L592" s="30"/>
      <c r="M592" s="30"/>
      <c r="O592" s="32"/>
      <c r="P592" s="32"/>
    </row>
    <row r="593">
      <c r="B593" s="35"/>
      <c r="G593" s="30"/>
      <c r="H593" s="30"/>
      <c r="L593" s="30"/>
      <c r="M593" s="30"/>
      <c r="O593" s="32"/>
      <c r="P593" s="32"/>
    </row>
    <row r="594">
      <c r="B594" s="35"/>
      <c r="G594" s="30"/>
      <c r="H594" s="30"/>
      <c r="L594" s="30"/>
      <c r="M594" s="30"/>
      <c r="O594" s="32"/>
      <c r="P594" s="32"/>
    </row>
    <row r="595">
      <c r="B595" s="35"/>
      <c r="G595" s="30"/>
      <c r="H595" s="30"/>
      <c r="L595" s="30"/>
      <c r="M595" s="30"/>
      <c r="O595" s="32"/>
      <c r="P595" s="32"/>
    </row>
    <row r="596">
      <c r="B596" s="35"/>
      <c r="G596" s="30"/>
      <c r="H596" s="30"/>
      <c r="L596" s="30"/>
      <c r="M596" s="30"/>
      <c r="O596" s="32"/>
      <c r="P596" s="32"/>
    </row>
    <row r="597">
      <c r="B597" s="35"/>
      <c r="G597" s="30"/>
      <c r="H597" s="30"/>
      <c r="L597" s="30"/>
      <c r="M597" s="30"/>
      <c r="O597" s="32"/>
      <c r="P597" s="32"/>
    </row>
    <row r="598">
      <c r="B598" s="35"/>
      <c r="G598" s="30"/>
      <c r="H598" s="30"/>
      <c r="L598" s="30"/>
      <c r="M598" s="30"/>
      <c r="O598" s="32"/>
      <c r="P598" s="32"/>
    </row>
    <row r="599">
      <c r="B599" s="35"/>
      <c r="G599" s="30"/>
      <c r="H599" s="30"/>
      <c r="L599" s="30"/>
      <c r="M599" s="30"/>
      <c r="O599" s="32"/>
      <c r="P599" s="32"/>
    </row>
    <row r="600">
      <c r="B600" s="35"/>
      <c r="G600" s="30"/>
      <c r="H600" s="30"/>
      <c r="L600" s="30"/>
      <c r="M600" s="30"/>
      <c r="O600" s="32"/>
      <c r="P600" s="32"/>
    </row>
    <row r="601">
      <c r="B601" s="35"/>
      <c r="G601" s="30"/>
      <c r="H601" s="30"/>
      <c r="L601" s="30"/>
      <c r="M601" s="30"/>
      <c r="O601" s="32"/>
      <c r="P601" s="32"/>
    </row>
    <row r="602">
      <c r="B602" s="35"/>
      <c r="G602" s="30"/>
      <c r="H602" s="30"/>
      <c r="L602" s="30"/>
      <c r="M602" s="30"/>
      <c r="O602" s="32"/>
      <c r="P602" s="32"/>
    </row>
    <row r="603">
      <c r="B603" s="35"/>
      <c r="G603" s="30"/>
      <c r="H603" s="30"/>
      <c r="L603" s="30"/>
      <c r="M603" s="30"/>
      <c r="O603" s="32"/>
      <c r="P603" s="32"/>
    </row>
    <row r="604">
      <c r="B604" s="35"/>
      <c r="G604" s="30"/>
      <c r="H604" s="30"/>
      <c r="L604" s="30"/>
      <c r="M604" s="30"/>
      <c r="O604" s="32"/>
      <c r="P604" s="32"/>
    </row>
    <row r="605">
      <c r="B605" s="35"/>
      <c r="G605" s="30"/>
      <c r="H605" s="30"/>
      <c r="L605" s="30"/>
      <c r="M605" s="30"/>
      <c r="O605" s="32"/>
      <c r="P605" s="32"/>
    </row>
    <row r="606">
      <c r="B606" s="35"/>
      <c r="G606" s="30"/>
      <c r="H606" s="30"/>
      <c r="L606" s="30"/>
      <c r="M606" s="30"/>
      <c r="O606" s="32"/>
      <c r="P606" s="32"/>
    </row>
    <row r="607">
      <c r="B607" s="35"/>
      <c r="G607" s="30"/>
      <c r="H607" s="30"/>
      <c r="L607" s="30"/>
      <c r="M607" s="30"/>
      <c r="O607" s="32"/>
      <c r="P607" s="32"/>
    </row>
    <row r="608">
      <c r="B608" s="35"/>
      <c r="G608" s="30"/>
      <c r="H608" s="30"/>
      <c r="L608" s="30"/>
      <c r="M608" s="30"/>
      <c r="O608" s="32"/>
      <c r="P608" s="32"/>
    </row>
    <row r="609">
      <c r="B609" s="35"/>
      <c r="G609" s="30"/>
      <c r="H609" s="30"/>
      <c r="L609" s="30"/>
      <c r="M609" s="30"/>
      <c r="O609" s="32"/>
      <c r="P609" s="32"/>
    </row>
    <row r="610">
      <c r="B610" s="35"/>
      <c r="G610" s="30"/>
      <c r="H610" s="30"/>
      <c r="L610" s="30"/>
      <c r="M610" s="30"/>
      <c r="O610" s="32"/>
      <c r="P610" s="32"/>
    </row>
    <row r="611">
      <c r="B611" s="35"/>
      <c r="G611" s="30"/>
      <c r="H611" s="30"/>
      <c r="L611" s="30"/>
      <c r="M611" s="30"/>
      <c r="O611" s="32"/>
      <c r="P611" s="32"/>
    </row>
    <row r="612">
      <c r="B612" s="35"/>
      <c r="G612" s="30"/>
      <c r="H612" s="30"/>
      <c r="L612" s="30"/>
      <c r="M612" s="30"/>
      <c r="O612" s="32"/>
      <c r="P612" s="32"/>
    </row>
    <row r="613">
      <c r="B613" s="35"/>
      <c r="G613" s="30"/>
      <c r="H613" s="30"/>
      <c r="L613" s="30"/>
      <c r="M613" s="30"/>
      <c r="O613" s="32"/>
      <c r="P613" s="32"/>
    </row>
    <row r="614">
      <c r="B614" s="35"/>
      <c r="G614" s="30"/>
      <c r="H614" s="30"/>
      <c r="L614" s="30"/>
      <c r="M614" s="30"/>
      <c r="O614" s="32"/>
      <c r="P614" s="32"/>
    </row>
    <row r="615">
      <c r="B615" s="35"/>
      <c r="G615" s="30"/>
      <c r="H615" s="30"/>
      <c r="L615" s="30"/>
      <c r="M615" s="30"/>
      <c r="O615" s="32"/>
      <c r="P615" s="32"/>
    </row>
    <row r="616">
      <c r="B616" s="35"/>
      <c r="G616" s="30"/>
      <c r="H616" s="30"/>
      <c r="L616" s="30"/>
      <c r="M616" s="30"/>
      <c r="O616" s="32"/>
      <c r="P616" s="32"/>
    </row>
    <row r="617">
      <c r="B617" s="35"/>
      <c r="G617" s="30"/>
      <c r="H617" s="30"/>
      <c r="L617" s="30"/>
      <c r="M617" s="30"/>
      <c r="O617" s="32"/>
      <c r="P617" s="32"/>
    </row>
    <row r="618">
      <c r="B618" s="35"/>
      <c r="G618" s="30"/>
      <c r="H618" s="30"/>
      <c r="L618" s="30"/>
      <c r="M618" s="30"/>
      <c r="O618" s="32"/>
      <c r="P618" s="32"/>
    </row>
    <row r="619">
      <c r="B619" s="35"/>
      <c r="G619" s="30"/>
      <c r="H619" s="30"/>
      <c r="L619" s="30"/>
      <c r="M619" s="30"/>
      <c r="O619" s="32"/>
      <c r="P619" s="32"/>
    </row>
    <row r="620">
      <c r="B620" s="35"/>
      <c r="G620" s="30"/>
      <c r="H620" s="30"/>
      <c r="L620" s="30"/>
      <c r="M620" s="30"/>
      <c r="O620" s="32"/>
      <c r="P620" s="32"/>
    </row>
    <row r="621">
      <c r="B621" s="35"/>
      <c r="G621" s="30"/>
      <c r="H621" s="30"/>
      <c r="L621" s="30"/>
      <c r="M621" s="30"/>
      <c r="O621" s="32"/>
      <c r="P621" s="32"/>
    </row>
    <row r="622">
      <c r="B622" s="35"/>
      <c r="G622" s="30"/>
      <c r="H622" s="30"/>
      <c r="L622" s="30"/>
      <c r="M622" s="30"/>
      <c r="O622" s="32"/>
      <c r="P622" s="32"/>
    </row>
    <row r="623">
      <c r="B623" s="35"/>
      <c r="G623" s="30"/>
      <c r="H623" s="30"/>
      <c r="L623" s="30"/>
      <c r="M623" s="30"/>
      <c r="O623" s="32"/>
      <c r="P623" s="32"/>
    </row>
    <row r="624">
      <c r="B624" s="35"/>
      <c r="G624" s="30"/>
      <c r="H624" s="30"/>
      <c r="L624" s="30"/>
      <c r="M624" s="30"/>
      <c r="O624" s="32"/>
      <c r="P624" s="32"/>
    </row>
    <row r="625">
      <c r="B625" s="35"/>
      <c r="G625" s="30"/>
      <c r="H625" s="30"/>
      <c r="L625" s="30"/>
      <c r="M625" s="30"/>
      <c r="O625" s="32"/>
      <c r="P625" s="32"/>
    </row>
    <row r="626">
      <c r="B626" s="35"/>
      <c r="G626" s="30"/>
      <c r="H626" s="30"/>
      <c r="L626" s="30"/>
      <c r="M626" s="30"/>
      <c r="O626" s="32"/>
      <c r="P626" s="32"/>
    </row>
    <row r="627">
      <c r="B627" s="35"/>
      <c r="G627" s="30"/>
      <c r="H627" s="30"/>
      <c r="L627" s="30"/>
      <c r="M627" s="30"/>
      <c r="O627" s="32"/>
      <c r="P627" s="32"/>
    </row>
    <row r="628">
      <c r="B628" s="35"/>
      <c r="G628" s="30"/>
      <c r="H628" s="30"/>
      <c r="L628" s="30"/>
      <c r="M628" s="30"/>
      <c r="O628" s="32"/>
      <c r="P628" s="32"/>
    </row>
    <row r="629">
      <c r="B629" s="35"/>
      <c r="G629" s="30"/>
      <c r="H629" s="30"/>
      <c r="L629" s="30"/>
      <c r="M629" s="30"/>
      <c r="O629" s="32"/>
      <c r="P629" s="32"/>
    </row>
    <row r="630">
      <c r="B630" s="35"/>
      <c r="G630" s="30"/>
      <c r="H630" s="30"/>
      <c r="L630" s="30"/>
      <c r="M630" s="30"/>
      <c r="O630" s="32"/>
      <c r="P630" s="32"/>
    </row>
    <row r="631">
      <c r="B631" s="35"/>
      <c r="G631" s="30"/>
      <c r="H631" s="30"/>
      <c r="L631" s="30"/>
      <c r="M631" s="30"/>
      <c r="O631" s="32"/>
      <c r="P631" s="32"/>
    </row>
    <row r="632">
      <c r="B632" s="35"/>
      <c r="G632" s="30"/>
      <c r="H632" s="30"/>
      <c r="L632" s="30"/>
      <c r="M632" s="30"/>
      <c r="O632" s="32"/>
      <c r="P632" s="32"/>
    </row>
    <row r="633">
      <c r="B633" s="35"/>
      <c r="G633" s="30"/>
      <c r="H633" s="30"/>
      <c r="L633" s="30"/>
      <c r="M633" s="30"/>
      <c r="O633" s="32"/>
      <c r="P633" s="32"/>
    </row>
    <row r="634">
      <c r="B634" s="35"/>
      <c r="G634" s="30"/>
      <c r="H634" s="30"/>
      <c r="L634" s="30"/>
      <c r="M634" s="30"/>
      <c r="O634" s="32"/>
      <c r="P634" s="32"/>
    </row>
    <row r="635">
      <c r="B635" s="35"/>
      <c r="G635" s="30"/>
      <c r="H635" s="30"/>
      <c r="L635" s="30"/>
      <c r="M635" s="30"/>
      <c r="O635" s="32"/>
      <c r="P635" s="32"/>
    </row>
    <row r="636">
      <c r="B636" s="35"/>
      <c r="G636" s="30"/>
      <c r="H636" s="30"/>
      <c r="L636" s="30"/>
      <c r="M636" s="30"/>
      <c r="O636" s="32"/>
      <c r="P636" s="32"/>
    </row>
    <row r="637">
      <c r="B637" s="35"/>
      <c r="G637" s="30"/>
      <c r="H637" s="30"/>
      <c r="L637" s="30"/>
      <c r="M637" s="30"/>
      <c r="O637" s="32"/>
      <c r="P637" s="32"/>
    </row>
    <row r="638">
      <c r="B638" s="35"/>
      <c r="G638" s="30"/>
      <c r="H638" s="30"/>
      <c r="L638" s="30"/>
      <c r="M638" s="30"/>
      <c r="O638" s="32"/>
      <c r="P638" s="32"/>
    </row>
    <row r="639">
      <c r="B639" s="35"/>
      <c r="G639" s="30"/>
      <c r="H639" s="30"/>
      <c r="L639" s="30"/>
      <c r="M639" s="30"/>
      <c r="O639" s="32"/>
      <c r="P639" s="32"/>
    </row>
    <row r="640">
      <c r="B640" s="35"/>
      <c r="G640" s="30"/>
      <c r="H640" s="30"/>
      <c r="L640" s="30"/>
      <c r="M640" s="30"/>
      <c r="O640" s="32"/>
      <c r="P640" s="32"/>
    </row>
    <row r="641">
      <c r="B641" s="35"/>
      <c r="G641" s="30"/>
      <c r="H641" s="30"/>
      <c r="L641" s="30"/>
      <c r="M641" s="30"/>
      <c r="O641" s="32"/>
      <c r="P641" s="32"/>
    </row>
    <row r="642">
      <c r="B642" s="35"/>
      <c r="G642" s="30"/>
      <c r="H642" s="30"/>
      <c r="L642" s="30"/>
      <c r="M642" s="30"/>
      <c r="O642" s="32"/>
      <c r="P642" s="32"/>
    </row>
    <row r="643">
      <c r="B643" s="35"/>
      <c r="G643" s="30"/>
      <c r="H643" s="30"/>
      <c r="L643" s="30"/>
      <c r="M643" s="30"/>
      <c r="O643" s="32"/>
      <c r="P643" s="32"/>
    </row>
    <row r="644">
      <c r="B644" s="35"/>
      <c r="G644" s="30"/>
      <c r="H644" s="30"/>
      <c r="L644" s="30"/>
      <c r="M644" s="30"/>
      <c r="O644" s="32"/>
      <c r="P644" s="32"/>
    </row>
    <row r="645">
      <c r="B645" s="35"/>
      <c r="G645" s="30"/>
      <c r="H645" s="30"/>
      <c r="L645" s="30"/>
      <c r="M645" s="30"/>
      <c r="O645" s="32"/>
      <c r="P645" s="32"/>
    </row>
    <row r="646">
      <c r="B646" s="35"/>
      <c r="G646" s="30"/>
      <c r="H646" s="30"/>
      <c r="L646" s="30"/>
      <c r="M646" s="30"/>
      <c r="O646" s="32"/>
      <c r="P646" s="32"/>
    </row>
    <row r="647">
      <c r="B647" s="35"/>
      <c r="G647" s="30"/>
      <c r="H647" s="30"/>
      <c r="L647" s="30"/>
      <c r="M647" s="30"/>
      <c r="O647" s="32"/>
      <c r="P647" s="32"/>
    </row>
    <row r="648">
      <c r="B648" s="35"/>
      <c r="G648" s="30"/>
      <c r="H648" s="30"/>
      <c r="L648" s="30"/>
      <c r="M648" s="30"/>
      <c r="O648" s="32"/>
      <c r="P648" s="32"/>
    </row>
    <row r="649">
      <c r="B649" s="35"/>
      <c r="G649" s="30"/>
      <c r="H649" s="30"/>
      <c r="L649" s="30"/>
      <c r="M649" s="30"/>
      <c r="O649" s="32"/>
      <c r="P649" s="32"/>
    </row>
    <row r="650">
      <c r="B650" s="35"/>
      <c r="G650" s="30"/>
      <c r="H650" s="30"/>
      <c r="L650" s="30"/>
      <c r="M650" s="30"/>
      <c r="O650" s="32"/>
      <c r="P650" s="32"/>
    </row>
    <row r="651">
      <c r="B651" s="35"/>
      <c r="G651" s="30"/>
      <c r="H651" s="30"/>
      <c r="L651" s="30"/>
      <c r="M651" s="30"/>
      <c r="O651" s="32"/>
      <c r="P651" s="32"/>
    </row>
    <row r="652">
      <c r="B652" s="35"/>
      <c r="G652" s="30"/>
      <c r="H652" s="30"/>
      <c r="L652" s="30"/>
      <c r="M652" s="30"/>
      <c r="O652" s="32"/>
      <c r="P652" s="32"/>
    </row>
    <row r="653">
      <c r="B653" s="35"/>
      <c r="G653" s="30"/>
      <c r="H653" s="30"/>
      <c r="L653" s="30"/>
      <c r="M653" s="30"/>
      <c r="O653" s="32"/>
      <c r="P653" s="32"/>
    </row>
    <row r="654">
      <c r="B654" s="35"/>
      <c r="G654" s="30"/>
      <c r="H654" s="30"/>
      <c r="L654" s="30"/>
      <c r="M654" s="30"/>
      <c r="O654" s="32"/>
      <c r="P654" s="32"/>
    </row>
    <row r="655">
      <c r="B655" s="35"/>
      <c r="G655" s="30"/>
      <c r="H655" s="30"/>
      <c r="L655" s="30"/>
      <c r="M655" s="30"/>
      <c r="O655" s="32"/>
      <c r="P655" s="32"/>
    </row>
    <row r="656">
      <c r="B656" s="35"/>
      <c r="G656" s="30"/>
      <c r="H656" s="30"/>
      <c r="L656" s="30"/>
      <c r="M656" s="30"/>
      <c r="O656" s="32"/>
      <c r="P656" s="32"/>
    </row>
    <row r="657">
      <c r="B657" s="35"/>
      <c r="G657" s="30"/>
      <c r="H657" s="30"/>
      <c r="L657" s="30"/>
      <c r="M657" s="30"/>
      <c r="O657" s="32"/>
      <c r="P657" s="32"/>
    </row>
    <row r="658">
      <c r="B658" s="35"/>
      <c r="G658" s="30"/>
      <c r="H658" s="30"/>
      <c r="L658" s="30"/>
      <c r="M658" s="30"/>
      <c r="O658" s="32"/>
      <c r="P658" s="32"/>
    </row>
    <row r="659">
      <c r="B659" s="35"/>
      <c r="G659" s="30"/>
      <c r="H659" s="30"/>
      <c r="L659" s="30"/>
      <c r="M659" s="30"/>
      <c r="O659" s="32"/>
      <c r="P659" s="32"/>
    </row>
    <row r="660">
      <c r="B660" s="35"/>
      <c r="G660" s="30"/>
      <c r="H660" s="30"/>
      <c r="L660" s="30"/>
      <c r="M660" s="30"/>
      <c r="O660" s="32"/>
      <c r="P660" s="32"/>
    </row>
    <row r="661">
      <c r="B661" s="35"/>
      <c r="G661" s="30"/>
      <c r="H661" s="30"/>
      <c r="L661" s="30"/>
      <c r="M661" s="30"/>
      <c r="O661" s="32"/>
      <c r="P661" s="32"/>
    </row>
    <row r="662">
      <c r="B662" s="35"/>
      <c r="G662" s="30"/>
      <c r="H662" s="30"/>
      <c r="L662" s="30"/>
      <c r="M662" s="30"/>
      <c r="O662" s="32"/>
      <c r="P662" s="32"/>
    </row>
    <row r="663">
      <c r="B663" s="35"/>
      <c r="G663" s="30"/>
      <c r="H663" s="30"/>
      <c r="L663" s="30"/>
      <c r="M663" s="30"/>
      <c r="O663" s="32"/>
      <c r="P663" s="32"/>
    </row>
    <row r="664">
      <c r="B664" s="35"/>
      <c r="G664" s="30"/>
      <c r="H664" s="30"/>
      <c r="L664" s="30"/>
      <c r="M664" s="30"/>
      <c r="O664" s="32"/>
      <c r="P664" s="32"/>
    </row>
    <row r="665">
      <c r="B665" s="35"/>
      <c r="G665" s="30"/>
      <c r="H665" s="30"/>
      <c r="L665" s="30"/>
      <c r="M665" s="30"/>
      <c r="O665" s="32"/>
      <c r="P665" s="32"/>
    </row>
    <row r="666">
      <c r="B666" s="35"/>
      <c r="G666" s="30"/>
      <c r="H666" s="30"/>
      <c r="L666" s="30"/>
      <c r="M666" s="30"/>
      <c r="O666" s="32"/>
      <c r="P666" s="32"/>
    </row>
    <row r="667">
      <c r="B667" s="35"/>
      <c r="G667" s="30"/>
      <c r="H667" s="30"/>
      <c r="L667" s="30"/>
      <c r="M667" s="30"/>
      <c r="O667" s="32"/>
      <c r="P667" s="32"/>
    </row>
    <row r="668">
      <c r="B668" s="35"/>
      <c r="G668" s="30"/>
      <c r="H668" s="30"/>
      <c r="L668" s="30"/>
      <c r="M668" s="30"/>
      <c r="O668" s="32"/>
      <c r="P668" s="32"/>
    </row>
    <row r="669">
      <c r="B669" s="35"/>
      <c r="G669" s="30"/>
      <c r="H669" s="30"/>
      <c r="L669" s="30"/>
      <c r="M669" s="30"/>
      <c r="O669" s="32"/>
      <c r="P669" s="32"/>
    </row>
    <row r="670">
      <c r="B670" s="35"/>
      <c r="G670" s="30"/>
      <c r="H670" s="30"/>
      <c r="L670" s="30"/>
      <c r="M670" s="30"/>
      <c r="O670" s="32"/>
      <c r="P670" s="32"/>
    </row>
    <row r="671">
      <c r="B671" s="35"/>
      <c r="G671" s="30"/>
      <c r="H671" s="30"/>
      <c r="L671" s="30"/>
      <c r="M671" s="30"/>
      <c r="O671" s="32"/>
      <c r="P671" s="32"/>
    </row>
    <row r="672">
      <c r="B672" s="35"/>
      <c r="G672" s="30"/>
      <c r="H672" s="30"/>
      <c r="L672" s="30"/>
      <c r="M672" s="30"/>
      <c r="O672" s="32"/>
      <c r="P672" s="32"/>
    </row>
    <row r="673">
      <c r="B673" s="35"/>
      <c r="G673" s="30"/>
      <c r="H673" s="30"/>
      <c r="L673" s="30"/>
      <c r="M673" s="30"/>
      <c r="O673" s="32"/>
      <c r="P673" s="32"/>
    </row>
    <row r="674">
      <c r="B674" s="35"/>
      <c r="G674" s="30"/>
      <c r="H674" s="30"/>
      <c r="L674" s="30"/>
      <c r="M674" s="30"/>
      <c r="O674" s="32"/>
      <c r="P674" s="32"/>
    </row>
    <row r="675">
      <c r="B675" s="35"/>
      <c r="G675" s="30"/>
      <c r="H675" s="30"/>
      <c r="L675" s="30"/>
      <c r="M675" s="30"/>
      <c r="O675" s="32"/>
      <c r="P675" s="32"/>
    </row>
    <row r="676">
      <c r="B676" s="35"/>
      <c r="G676" s="30"/>
      <c r="H676" s="30"/>
      <c r="L676" s="30"/>
      <c r="M676" s="30"/>
      <c r="O676" s="32"/>
      <c r="P676" s="32"/>
    </row>
    <row r="677">
      <c r="B677" s="35"/>
      <c r="G677" s="30"/>
      <c r="H677" s="30"/>
      <c r="L677" s="30"/>
      <c r="M677" s="30"/>
      <c r="O677" s="32"/>
      <c r="P677" s="32"/>
    </row>
    <row r="678">
      <c r="B678" s="35"/>
      <c r="G678" s="30"/>
      <c r="H678" s="30"/>
      <c r="L678" s="30"/>
      <c r="M678" s="30"/>
      <c r="O678" s="32"/>
      <c r="P678" s="32"/>
    </row>
    <row r="679">
      <c r="B679" s="35"/>
      <c r="G679" s="30"/>
      <c r="H679" s="30"/>
      <c r="L679" s="30"/>
      <c r="M679" s="30"/>
      <c r="O679" s="32"/>
      <c r="P679" s="32"/>
    </row>
    <row r="680">
      <c r="B680" s="35"/>
      <c r="G680" s="30"/>
      <c r="H680" s="30"/>
      <c r="L680" s="30"/>
      <c r="M680" s="30"/>
      <c r="O680" s="32"/>
      <c r="P680" s="32"/>
    </row>
    <row r="681">
      <c r="B681" s="35"/>
      <c r="G681" s="30"/>
      <c r="H681" s="30"/>
      <c r="L681" s="30"/>
      <c r="M681" s="30"/>
      <c r="O681" s="32"/>
      <c r="P681" s="32"/>
    </row>
    <row r="682">
      <c r="B682" s="35"/>
      <c r="G682" s="30"/>
      <c r="H682" s="30"/>
      <c r="L682" s="30"/>
      <c r="M682" s="30"/>
      <c r="O682" s="32"/>
      <c r="P682" s="32"/>
    </row>
    <row r="683">
      <c r="B683" s="35"/>
      <c r="G683" s="30"/>
      <c r="H683" s="30"/>
      <c r="L683" s="30"/>
      <c r="M683" s="30"/>
      <c r="O683" s="32"/>
      <c r="P683" s="32"/>
    </row>
    <row r="684">
      <c r="B684" s="35"/>
      <c r="G684" s="30"/>
      <c r="H684" s="30"/>
      <c r="L684" s="30"/>
      <c r="M684" s="30"/>
      <c r="O684" s="32"/>
      <c r="P684" s="32"/>
    </row>
    <row r="685">
      <c r="B685" s="35"/>
      <c r="G685" s="30"/>
      <c r="H685" s="30"/>
      <c r="L685" s="30"/>
      <c r="M685" s="30"/>
      <c r="O685" s="32"/>
      <c r="P685" s="32"/>
    </row>
    <row r="686">
      <c r="B686" s="35"/>
      <c r="G686" s="30"/>
      <c r="H686" s="30"/>
      <c r="L686" s="30"/>
      <c r="M686" s="30"/>
      <c r="O686" s="32"/>
      <c r="P686" s="32"/>
    </row>
    <row r="687">
      <c r="B687" s="35"/>
      <c r="G687" s="30"/>
      <c r="H687" s="30"/>
      <c r="L687" s="30"/>
      <c r="M687" s="30"/>
      <c r="O687" s="32"/>
      <c r="P687" s="32"/>
    </row>
    <row r="688">
      <c r="B688" s="35"/>
      <c r="G688" s="30"/>
      <c r="H688" s="30"/>
      <c r="L688" s="30"/>
      <c r="M688" s="30"/>
      <c r="O688" s="32"/>
      <c r="P688" s="32"/>
    </row>
    <row r="689">
      <c r="B689" s="35"/>
      <c r="G689" s="30"/>
      <c r="H689" s="30"/>
      <c r="L689" s="30"/>
      <c r="M689" s="30"/>
      <c r="O689" s="32"/>
      <c r="P689" s="32"/>
    </row>
    <row r="690">
      <c r="B690" s="35"/>
      <c r="G690" s="30"/>
      <c r="H690" s="30"/>
      <c r="L690" s="30"/>
      <c r="M690" s="30"/>
      <c r="O690" s="32"/>
      <c r="P690" s="32"/>
    </row>
    <row r="691">
      <c r="B691" s="35"/>
      <c r="G691" s="30"/>
      <c r="H691" s="30"/>
      <c r="L691" s="30"/>
      <c r="M691" s="30"/>
      <c r="O691" s="32"/>
      <c r="P691" s="32"/>
    </row>
    <row r="692">
      <c r="B692" s="35"/>
      <c r="G692" s="30"/>
      <c r="H692" s="30"/>
      <c r="L692" s="30"/>
      <c r="M692" s="30"/>
      <c r="O692" s="32"/>
      <c r="P692" s="32"/>
    </row>
    <row r="693">
      <c r="B693" s="35"/>
      <c r="G693" s="30"/>
      <c r="H693" s="30"/>
      <c r="L693" s="30"/>
      <c r="M693" s="30"/>
      <c r="O693" s="32"/>
      <c r="P693" s="32"/>
    </row>
    <row r="694">
      <c r="B694" s="35"/>
      <c r="G694" s="30"/>
      <c r="H694" s="30"/>
      <c r="L694" s="30"/>
      <c r="M694" s="30"/>
      <c r="O694" s="32"/>
      <c r="P694" s="32"/>
    </row>
    <row r="695">
      <c r="B695" s="35"/>
      <c r="G695" s="30"/>
      <c r="H695" s="30"/>
      <c r="L695" s="30"/>
      <c r="M695" s="30"/>
      <c r="O695" s="32"/>
      <c r="P695" s="32"/>
    </row>
    <row r="696">
      <c r="B696" s="35"/>
      <c r="G696" s="30"/>
      <c r="H696" s="30"/>
      <c r="L696" s="30"/>
      <c r="M696" s="30"/>
      <c r="O696" s="32"/>
      <c r="P696" s="32"/>
    </row>
    <row r="697">
      <c r="B697" s="35"/>
      <c r="G697" s="30"/>
      <c r="H697" s="30"/>
      <c r="L697" s="30"/>
      <c r="M697" s="30"/>
      <c r="O697" s="32"/>
      <c r="P697" s="32"/>
    </row>
    <row r="698">
      <c r="B698" s="35"/>
      <c r="G698" s="30"/>
      <c r="H698" s="30"/>
      <c r="L698" s="30"/>
      <c r="M698" s="30"/>
      <c r="O698" s="32"/>
      <c r="P698" s="32"/>
    </row>
    <row r="699">
      <c r="B699" s="35"/>
      <c r="G699" s="30"/>
      <c r="H699" s="30"/>
      <c r="L699" s="30"/>
      <c r="M699" s="30"/>
      <c r="O699" s="32"/>
      <c r="P699" s="32"/>
    </row>
    <row r="700">
      <c r="B700" s="35"/>
      <c r="G700" s="30"/>
      <c r="H700" s="30"/>
      <c r="L700" s="30"/>
      <c r="M700" s="30"/>
      <c r="O700" s="32"/>
      <c r="P700" s="32"/>
    </row>
    <row r="701">
      <c r="B701" s="35"/>
      <c r="G701" s="30"/>
      <c r="H701" s="30"/>
      <c r="L701" s="30"/>
      <c r="M701" s="30"/>
      <c r="O701" s="32"/>
      <c r="P701" s="32"/>
    </row>
    <row r="702">
      <c r="B702" s="35"/>
      <c r="G702" s="30"/>
      <c r="H702" s="30"/>
      <c r="L702" s="30"/>
      <c r="M702" s="30"/>
      <c r="O702" s="32"/>
      <c r="P702" s="32"/>
    </row>
    <row r="703">
      <c r="B703" s="35"/>
      <c r="G703" s="30"/>
      <c r="H703" s="30"/>
      <c r="L703" s="30"/>
      <c r="M703" s="30"/>
      <c r="O703" s="32"/>
      <c r="P703" s="32"/>
    </row>
    <row r="704">
      <c r="B704" s="35"/>
      <c r="G704" s="30"/>
      <c r="H704" s="30"/>
      <c r="L704" s="30"/>
      <c r="M704" s="30"/>
      <c r="O704" s="32"/>
      <c r="P704" s="32"/>
    </row>
    <row r="705">
      <c r="B705" s="35"/>
      <c r="G705" s="30"/>
      <c r="H705" s="30"/>
      <c r="L705" s="30"/>
      <c r="M705" s="30"/>
      <c r="O705" s="32"/>
      <c r="P705" s="32"/>
    </row>
    <row r="706">
      <c r="B706" s="35"/>
      <c r="G706" s="30"/>
      <c r="H706" s="30"/>
      <c r="L706" s="30"/>
      <c r="M706" s="30"/>
      <c r="O706" s="32"/>
      <c r="P706" s="32"/>
    </row>
    <row r="707">
      <c r="B707" s="35"/>
      <c r="G707" s="30"/>
      <c r="H707" s="30"/>
      <c r="L707" s="30"/>
      <c r="M707" s="30"/>
      <c r="O707" s="32"/>
      <c r="P707" s="32"/>
    </row>
    <row r="708">
      <c r="B708" s="35"/>
      <c r="G708" s="30"/>
      <c r="H708" s="30"/>
      <c r="L708" s="30"/>
      <c r="M708" s="30"/>
      <c r="O708" s="32"/>
      <c r="P708" s="32"/>
    </row>
    <row r="709">
      <c r="B709" s="35"/>
      <c r="G709" s="30"/>
      <c r="H709" s="30"/>
      <c r="L709" s="30"/>
      <c r="M709" s="30"/>
      <c r="O709" s="32"/>
      <c r="P709" s="32"/>
    </row>
    <row r="710">
      <c r="B710" s="35"/>
      <c r="G710" s="30"/>
      <c r="H710" s="30"/>
      <c r="L710" s="30"/>
      <c r="M710" s="30"/>
      <c r="O710" s="32"/>
      <c r="P710" s="32"/>
    </row>
    <row r="711">
      <c r="B711" s="35"/>
      <c r="G711" s="30"/>
      <c r="H711" s="30"/>
      <c r="L711" s="30"/>
      <c r="M711" s="30"/>
      <c r="O711" s="32"/>
      <c r="P711" s="32"/>
    </row>
    <row r="712">
      <c r="B712" s="35"/>
      <c r="G712" s="30"/>
      <c r="H712" s="30"/>
      <c r="L712" s="30"/>
      <c r="M712" s="30"/>
      <c r="O712" s="32"/>
      <c r="P712" s="32"/>
    </row>
    <row r="713">
      <c r="B713" s="35"/>
      <c r="G713" s="30"/>
      <c r="H713" s="30"/>
      <c r="L713" s="30"/>
      <c r="M713" s="30"/>
      <c r="O713" s="32"/>
      <c r="P713" s="32"/>
    </row>
    <row r="714">
      <c r="B714" s="35"/>
      <c r="G714" s="30"/>
      <c r="H714" s="30"/>
      <c r="L714" s="30"/>
      <c r="M714" s="30"/>
      <c r="O714" s="32"/>
      <c r="P714" s="32"/>
    </row>
    <row r="715">
      <c r="B715" s="35"/>
      <c r="G715" s="30"/>
      <c r="H715" s="30"/>
      <c r="L715" s="30"/>
      <c r="M715" s="30"/>
      <c r="O715" s="32"/>
      <c r="P715" s="32"/>
    </row>
    <row r="716">
      <c r="B716" s="35"/>
      <c r="G716" s="30"/>
      <c r="H716" s="30"/>
      <c r="L716" s="30"/>
      <c r="M716" s="30"/>
      <c r="O716" s="32"/>
      <c r="P716" s="32"/>
    </row>
    <row r="717">
      <c r="B717" s="35"/>
      <c r="G717" s="30"/>
      <c r="H717" s="30"/>
      <c r="L717" s="30"/>
      <c r="M717" s="30"/>
      <c r="O717" s="32"/>
      <c r="P717" s="32"/>
    </row>
    <row r="718">
      <c r="B718" s="35"/>
      <c r="G718" s="30"/>
      <c r="H718" s="30"/>
      <c r="L718" s="30"/>
      <c r="M718" s="30"/>
      <c r="O718" s="32"/>
      <c r="P718" s="32"/>
    </row>
    <row r="719">
      <c r="B719" s="35"/>
      <c r="G719" s="30"/>
      <c r="H719" s="30"/>
      <c r="L719" s="30"/>
      <c r="M719" s="30"/>
      <c r="O719" s="32"/>
      <c r="P719" s="32"/>
    </row>
    <row r="720">
      <c r="B720" s="35"/>
      <c r="G720" s="30"/>
      <c r="H720" s="30"/>
      <c r="L720" s="30"/>
      <c r="M720" s="30"/>
      <c r="O720" s="32"/>
      <c r="P720" s="32"/>
    </row>
    <row r="721">
      <c r="B721" s="35"/>
      <c r="G721" s="30"/>
      <c r="H721" s="30"/>
      <c r="L721" s="30"/>
      <c r="M721" s="30"/>
      <c r="O721" s="32"/>
      <c r="P721" s="32"/>
    </row>
    <row r="722">
      <c r="B722" s="35"/>
      <c r="G722" s="30"/>
      <c r="H722" s="30"/>
      <c r="L722" s="30"/>
      <c r="M722" s="30"/>
      <c r="O722" s="32"/>
      <c r="P722" s="32"/>
    </row>
    <row r="723">
      <c r="B723" s="35"/>
      <c r="G723" s="30"/>
      <c r="H723" s="30"/>
      <c r="L723" s="30"/>
      <c r="M723" s="30"/>
      <c r="O723" s="32"/>
      <c r="P723" s="32"/>
    </row>
    <row r="724">
      <c r="B724" s="35"/>
      <c r="G724" s="30"/>
      <c r="H724" s="30"/>
      <c r="L724" s="30"/>
      <c r="M724" s="30"/>
      <c r="O724" s="32"/>
      <c r="P724" s="32"/>
    </row>
    <row r="725">
      <c r="B725" s="35"/>
      <c r="G725" s="30"/>
      <c r="H725" s="30"/>
      <c r="L725" s="30"/>
      <c r="M725" s="30"/>
      <c r="O725" s="32"/>
      <c r="P725" s="32"/>
    </row>
    <row r="726">
      <c r="B726" s="35"/>
      <c r="G726" s="30"/>
      <c r="H726" s="30"/>
      <c r="L726" s="30"/>
      <c r="M726" s="30"/>
      <c r="O726" s="32"/>
      <c r="P726" s="32"/>
    </row>
    <row r="727">
      <c r="B727" s="35"/>
      <c r="G727" s="30"/>
      <c r="H727" s="30"/>
      <c r="L727" s="30"/>
      <c r="M727" s="30"/>
      <c r="O727" s="32"/>
      <c r="P727" s="32"/>
    </row>
    <row r="728">
      <c r="B728" s="35"/>
      <c r="G728" s="30"/>
      <c r="H728" s="30"/>
      <c r="L728" s="30"/>
      <c r="M728" s="30"/>
      <c r="O728" s="32"/>
      <c r="P728" s="32"/>
    </row>
    <row r="729">
      <c r="B729" s="35"/>
      <c r="G729" s="30"/>
      <c r="H729" s="30"/>
      <c r="L729" s="30"/>
      <c r="M729" s="30"/>
      <c r="O729" s="32"/>
      <c r="P729" s="32"/>
    </row>
    <row r="730">
      <c r="B730" s="35"/>
      <c r="G730" s="30"/>
      <c r="H730" s="30"/>
      <c r="L730" s="30"/>
      <c r="M730" s="30"/>
      <c r="O730" s="32"/>
      <c r="P730" s="32"/>
    </row>
    <row r="731">
      <c r="B731" s="35"/>
      <c r="G731" s="30"/>
      <c r="H731" s="30"/>
      <c r="L731" s="30"/>
      <c r="M731" s="30"/>
      <c r="O731" s="32"/>
      <c r="P731" s="32"/>
    </row>
    <row r="732">
      <c r="B732" s="35"/>
      <c r="G732" s="30"/>
      <c r="H732" s="30"/>
      <c r="L732" s="30"/>
      <c r="M732" s="30"/>
      <c r="O732" s="32"/>
      <c r="P732" s="32"/>
    </row>
    <row r="733">
      <c r="B733" s="35"/>
      <c r="G733" s="30"/>
      <c r="H733" s="30"/>
      <c r="L733" s="30"/>
      <c r="M733" s="30"/>
      <c r="O733" s="32"/>
      <c r="P733" s="32"/>
    </row>
    <row r="734">
      <c r="B734" s="35"/>
      <c r="G734" s="30"/>
      <c r="H734" s="30"/>
      <c r="L734" s="30"/>
      <c r="M734" s="30"/>
      <c r="O734" s="32"/>
      <c r="P734" s="32"/>
    </row>
    <row r="735">
      <c r="B735" s="35"/>
      <c r="G735" s="30"/>
      <c r="H735" s="30"/>
      <c r="L735" s="30"/>
      <c r="M735" s="30"/>
      <c r="O735" s="32"/>
      <c r="P735" s="32"/>
    </row>
    <row r="736">
      <c r="B736" s="35"/>
      <c r="G736" s="30"/>
      <c r="H736" s="30"/>
      <c r="L736" s="30"/>
      <c r="M736" s="30"/>
      <c r="O736" s="32"/>
      <c r="P736" s="32"/>
    </row>
    <row r="737">
      <c r="B737" s="35"/>
      <c r="G737" s="30"/>
      <c r="H737" s="30"/>
      <c r="L737" s="30"/>
      <c r="M737" s="30"/>
      <c r="O737" s="32"/>
      <c r="P737" s="32"/>
    </row>
    <row r="738">
      <c r="B738" s="35"/>
      <c r="G738" s="30"/>
      <c r="H738" s="30"/>
      <c r="L738" s="30"/>
      <c r="M738" s="30"/>
      <c r="O738" s="32"/>
      <c r="P738" s="32"/>
    </row>
    <row r="739">
      <c r="B739" s="35"/>
      <c r="G739" s="30"/>
      <c r="H739" s="30"/>
      <c r="L739" s="30"/>
      <c r="M739" s="30"/>
      <c r="O739" s="32"/>
      <c r="P739" s="32"/>
    </row>
    <row r="740">
      <c r="B740" s="35"/>
      <c r="G740" s="30"/>
      <c r="H740" s="30"/>
      <c r="L740" s="30"/>
      <c r="M740" s="30"/>
      <c r="O740" s="32"/>
      <c r="P740" s="32"/>
    </row>
    <row r="741">
      <c r="B741" s="35"/>
      <c r="G741" s="30"/>
      <c r="H741" s="30"/>
      <c r="L741" s="30"/>
      <c r="M741" s="30"/>
      <c r="O741" s="32"/>
      <c r="P741" s="32"/>
    </row>
    <row r="742">
      <c r="B742" s="35"/>
      <c r="G742" s="30"/>
      <c r="H742" s="30"/>
      <c r="L742" s="30"/>
      <c r="M742" s="30"/>
      <c r="O742" s="32"/>
      <c r="P742" s="32"/>
    </row>
    <row r="743">
      <c r="B743" s="35"/>
      <c r="G743" s="30"/>
      <c r="H743" s="30"/>
      <c r="L743" s="30"/>
      <c r="M743" s="30"/>
      <c r="O743" s="32"/>
      <c r="P743" s="32"/>
    </row>
    <row r="744">
      <c r="B744" s="35"/>
      <c r="G744" s="30"/>
      <c r="H744" s="30"/>
      <c r="L744" s="30"/>
      <c r="M744" s="30"/>
      <c r="O744" s="32"/>
      <c r="P744" s="32"/>
    </row>
    <row r="745">
      <c r="B745" s="35"/>
      <c r="G745" s="30"/>
      <c r="H745" s="30"/>
      <c r="L745" s="30"/>
      <c r="M745" s="30"/>
      <c r="O745" s="32"/>
      <c r="P745" s="32"/>
    </row>
    <row r="746">
      <c r="B746" s="35"/>
      <c r="G746" s="30"/>
      <c r="H746" s="30"/>
      <c r="L746" s="30"/>
      <c r="M746" s="30"/>
      <c r="O746" s="32"/>
      <c r="P746" s="32"/>
    </row>
    <row r="747">
      <c r="B747" s="35"/>
      <c r="G747" s="30"/>
      <c r="H747" s="30"/>
      <c r="L747" s="30"/>
      <c r="M747" s="30"/>
      <c r="O747" s="32"/>
      <c r="P747" s="32"/>
    </row>
    <row r="748">
      <c r="B748" s="35"/>
      <c r="G748" s="30"/>
      <c r="H748" s="30"/>
      <c r="L748" s="30"/>
      <c r="M748" s="30"/>
      <c r="O748" s="32"/>
      <c r="P748" s="32"/>
    </row>
    <row r="749">
      <c r="B749" s="35"/>
      <c r="G749" s="30"/>
      <c r="H749" s="30"/>
      <c r="L749" s="30"/>
      <c r="M749" s="30"/>
      <c r="O749" s="32"/>
      <c r="P749" s="32"/>
    </row>
    <row r="750">
      <c r="B750" s="35"/>
      <c r="G750" s="30"/>
      <c r="H750" s="30"/>
      <c r="L750" s="30"/>
      <c r="M750" s="30"/>
      <c r="O750" s="32"/>
      <c r="P750" s="32"/>
    </row>
    <row r="751">
      <c r="B751" s="35"/>
      <c r="G751" s="30"/>
      <c r="H751" s="30"/>
      <c r="L751" s="30"/>
      <c r="M751" s="30"/>
      <c r="O751" s="32"/>
      <c r="P751" s="32"/>
    </row>
    <row r="752">
      <c r="B752" s="35"/>
      <c r="G752" s="30"/>
      <c r="H752" s="30"/>
      <c r="L752" s="30"/>
      <c r="M752" s="30"/>
      <c r="O752" s="32"/>
      <c r="P752" s="32"/>
    </row>
    <row r="753">
      <c r="B753" s="35"/>
      <c r="G753" s="30"/>
      <c r="H753" s="30"/>
      <c r="L753" s="30"/>
      <c r="M753" s="30"/>
      <c r="O753" s="32"/>
      <c r="P753" s="32"/>
    </row>
    <row r="754">
      <c r="B754" s="35"/>
      <c r="G754" s="30"/>
      <c r="H754" s="30"/>
      <c r="L754" s="30"/>
      <c r="M754" s="30"/>
      <c r="O754" s="32"/>
      <c r="P754" s="32"/>
    </row>
    <row r="755">
      <c r="B755" s="35"/>
      <c r="G755" s="30"/>
      <c r="H755" s="30"/>
      <c r="L755" s="30"/>
      <c r="M755" s="30"/>
      <c r="O755" s="32"/>
      <c r="P755" s="32"/>
    </row>
    <row r="756">
      <c r="B756" s="35"/>
      <c r="G756" s="30"/>
      <c r="H756" s="30"/>
      <c r="L756" s="30"/>
      <c r="M756" s="30"/>
      <c r="O756" s="32"/>
      <c r="P756" s="32"/>
    </row>
    <row r="757">
      <c r="B757" s="35"/>
      <c r="G757" s="30"/>
      <c r="H757" s="30"/>
      <c r="L757" s="30"/>
      <c r="M757" s="30"/>
      <c r="O757" s="32"/>
      <c r="P757" s="32"/>
    </row>
    <row r="758">
      <c r="B758" s="35"/>
      <c r="G758" s="30"/>
      <c r="H758" s="30"/>
      <c r="L758" s="30"/>
      <c r="M758" s="30"/>
      <c r="O758" s="32"/>
      <c r="P758" s="32"/>
    </row>
    <row r="759">
      <c r="B759" s="35"/>
      <c r="G759" s="30"/>
      <c r="H759" s="30"/>
      <c r="L759" s="30"/>
      <c r="M759" s="30"/>
      <c r="O759" s="32"/>
      <c r="P759" s="32"/>
    </row>
    <row r="760">
      <c r="B760" s="35"/>
      <c r="G760" s="30"/>
      <c r="H760" s="30"/>
      <c r="L760" s="30"/>
      <c r="M760" s="30"/>
      <c r="O760" s="32"/>
      <c r="P760" s="32"/>
    </row>
    <row r="761">
      <c r="B761" s="35"/>
      <c r="G761" s="30"/>
      <c r="H761" s="30"/>
      <c r="L761" s="30"/>
      <c r="M761" s="30"/>
      <c r="O761" s="32"/>
      <c r="P761" s="32"/>
    </row>
    <row r="762">
      <c r="B762" s="35"/>
      <c r="G762" s="30"/>
      <c r="H762" s="30"/>
      <c r="L762" s="30"/>
      <c r="M762" s="30"/>
      <c r="O762" s="32"/>
      <c r="P762" s="32"/>
    </row>
    <row r="763">
      <c r="B763" s="35"/>
      <c r="G763" s="30"/>
      <c r="H763" s="30"/>
      <c r="L763" s="30"/>
      <c r="M763" s="30"/>
      <c r="O763" s="32"/>
      <c r="P763" s="32"/>
    </row>
    <row r="764">
      <c r="B764" s="35"/>
      <c r="G764" s="30"/>
      <c r="H764" s="30"/>
      <c r="L764" s="30"/>
      <c r="M764" s="30"/>
      <c r="O764" s="32"/>
      <c r="P764" s="32"/>
    </row>
    <row r="765">
      <c r="B765" s="35"/>
      <c r="G765" s="30"/>
      <c r="H765" s="30"/>
      <c r="L765" s="30"/>
      <c r="M765" s="30"/>
      <c r="O765" s="32"/>
      <c r="P765" s="32"/>
    </row>
    <row r="766">
      <c r="B766" s="35"/>
      <c r="G766" s="30"/>
      <c r="H766" s="30"/>
      <c r="L766" s="30"/>
      <c r="M766" s="30"/>
      <c r="O766" s="32"/>
      <c r="P766" s="32"/>
    </row>
    <row r="767">
      <c r="B767" s="35"/>
      <c r="G767" s="30"/>
      <c r="H767" s="30"/>
      <c r="L767" s="30"/>
      <c r="M767" s="30"/>
      <c r="O767" s="32"/>
      <c r="P767" s="32"/>
    </row>
    <row r="768">
      <c r="B768" s="35"/>
      <c r="G768" s="30"/>
      <c r="H768" s="30"/>
      <c r="L768" s="30"/>
      <c r="M768" s="30"/>
      <c r="O768" s="32"/>
      <c r="P768" s="32"/>
    </row>
    <row r="769">
      <c r="B769" s="35"/>
      <c r="G769" s="30"/>
      <c r="H769" s="30"/>
      <c r="L769" s="30"/>
      <c r="M769" s="30"/>
      <c r="O769" s="32"/>
      <c r="P769" s="32"/>
    </row>
    <row r="770">
      <c r="B770" s="35"/>
      <c r="G770" s="30"/>
      <c r="H770" s="30"/>
      <c r="L770" s="30"/>
      <c r="M770" s="30"/>
      <c r="O770" s="32"/>
      <c r="P770" s="32"/>
    </row>
    <row r="771">
      <c r="B771" s="35"/>
      <c r="G771" s="30"/>
      <c r="H771" s="30"/>
      <c r="L771" s="30"/>
      <c r="M771" s="30"/>
      <c r="O771" s="32"/>
      <c r="P771" s="32"/>
    </row>
    <row r="772">
      <c r="B772" s="35"/>
      <c r="G772" s="30"/>
      <c r="H772" s="30"/>
      <c r="L772" s="30"/>
      <c r="M772" s="30"/>
      <c r="O772" s="32"/>
      <c r="P772" s="32"/>
    </row>
    <row r="773">
      <c r="B773" s="35"/>
      <c r="G773" s="30"/>
      <c r="H773" s="30"/>
      <c r="L773" s="30"/>
      <c r="M773" s="30"/>
      <c r="O773" s="32"/>
      <c r="P773" s="32"/>
    </row>
    <row r="774">
      <c r="B774" s="35"/>
      <c r="G774" s="30"/>
      <c r="H774" s="30"/>
      <c r="L774" s="30"/>
      <c r="M774" s="30"/>
      <c r="O774" s="32"/>
      <c r="P774" s="32"/>
    </row>
    <row r="775">
      <c r="B775" s="35"/>
      <c r="G775" s="30"/>
      <c r="H775" s="30"/>
      <c r="L775" s="30"/>
      <c r="M775" s="30"/>
      <c r="O775" s="32"/>
      <c r="P775" s="32"/>
    </row>
    <row r="776">
      <c r="B776" s="35"/>
      <c r="G776" s="30"/>
      <c r="H776" s="30"/>
      <c r="L776" s="30"/>
      <c r="M776" s="30"/>
      <c r="O776" s="32"/>
      <c r="P776" s="32"/>
    </row>
    <row r="777">
      <c r="B777" s="35"/>
      <c r="G777" s="30"/>
      <c r="H777" s="30"/>
      <c r="L777" s="30"/>
      <c r="M777" s="30"/>
      <c r="O777" s="32"/>
      <c r="P777" s="32"/>
    </row>
    <row r="778">
      <c r="B778" s="35"/>
      <c r="G778" s="30"/>
      <c r="H778" s="30"/>
      <c r="L778" s="30"/>
      <c r="M778" s="30"/>
      <c r="O778" s="32"/>
      <c r="P778" s="32"/>
    </row>
    <row r="779">
      <c r="B779" s="35"/>
      <c r="G779" s="30"/>
      <c r="H779" s="30"/>
      <c r="L779" s="30"/>
      <c r="M779" s="30"/>
      <c r="O779" s="32"/>
      <c r="P779" s="32"/>
    </row>
    <row r="780">
      <c r="B780" s="35"/>
      <c r="G780" s="30"/>
      <c r="H780" s="30"/>
      <c r="L780" s="30"/>
      <c r="M780" s="30"/>
      <c r="O780" s="32"/>
      <c r="P780" s="32"/>
    </row>
    <row r="781">
      <c r="B781" s="35"/>
      <c r="G781" s="30"/>
      <c r="H781" s="30"/>
      <c r="L781" s="30"/>
      <c r="M781" s="30"/>
      <c r="O781" s="32"/>
      <c r="P781" s="32"/>
    </row>
    <row r="782">
      <c r="B782" s="35"/>
      <c r="G782" s="30"/>
      <c r="H782" s="30"/>
      <c r="L782" s="30"/>
      <c r="M782" s="30"/>
      <c r="O782" s="32"/>
      <c r="P782" s="32"/>
    </row>
    <row r="783">
      <c r="B783" s="35"/>
      <c r="G783" s="30"/>
      <c r="H783" s="30"/>
      <c r="L783" s="30"/>
      <c r="M783" s="30"/>
      <c r="O783" s="32"/>
      <c r="P783" s="32"/>
    </row>
    <row r="784">
      <c r="B784" s="35"/>
      <c r="G784" s="30"/>
      <c r="H784" s="30"/>
      <c r="L784" s="30"/>
      <c r="M784" s="30"/>
      <c r="O784" s="32"/>
      <c r="P784" s="32"/>
    </row>
    <row r="785">
      <c r="B785" s="35"/>
      <c r="G785" s="30"/>
      <c r="H785" s="30"/>
      <c r="L785" s="30"/>
      <c r="M785" s="30"/>
      <c r="O785" s="32"/>
      <c r="P785" s="32"/>
    </row>
    <row r="786">
      <c r="B786" s="35"/>
      <c r="G786" s="30"/>
      <c r="H786" s="30"/>
      <c r="L786" s="30"/>
      <c r="M786" s="30"/>
      <c r="O786" s="32"/>
      <c r="P786" s="32"/>
    </row>
    <row r="787">
      <c r="B787" s="35"/>
      <c r="G787" s="30"/>
      <c r="H787" s="30"/>
      <c r="L787" s="30"/>
      <c r="M787" s="30"/>
      <c r="O787" s="32"/>
      <c r="P787" s="32"/>
    </row>
    <row r="788">
      <c r="B788" s="35"/>
      <c r="G788" s="30"/>
      <c r="H788" s="30"/>
      <c r="L788" s="30"/>
      <c r="M788" s="30"/>
      <c r="O788" s="32"/>
      <c r="P788" s="32"/>
    </row>
    <row r="789">
      <c r="B789" s="35"/>
      <c r="G789" s="30"/>
      <c r="H789" s="30"/>
      <c r="L789" s="30"/>
      <c r="M789" s="30"/>
      <c r="O789" s="32"/>
      <c r="P789" s="32"/>
    </row>
    <row r="790">
      <c r="B790" s="35"/>
      <c r="G790" s="30"/>
      <c r="H790" s="30"/>
      <c r="L790" s="30"/>
      <c r="M790" s="30"/>
      <c r="O790" s="32"/>
      <c r="P790" s="32"/>
    </row>
    <row r="791">
      <c r="B791" s="35"/>
      <c r="G791" s="30"/>
      <c r="H791" s="30"/>
      <c r="L791" s="30"/>
      <c r="M791" s="30"/>
      <c r="O791" s="32"/>
      <c r="P791" s="32"/>
    </row>
    <row r="792">
      <c r="B792" s="35"/>
      <c r="G792" s="30"/>
      <c r="H792" s="30"/>
      <c r="L792" s="30"/>
      <c r="M792" s="30"/>
      <c r="O792" s="32"/>
      <c r="P792" s="32"/>
    </row>
    <row r="793">
      <c r="B793" s="35"/>
      <c r="G793" s="30"/>
      <c r="H793" s="30"/>
      <c r="L793" s="30"/>
      <c r="M793" s="30"/>
      <c r="O793" s="32"/>
      <c r="P793" s="32"/>
    </row>
    <row r="794">
      <c r="B794" s="35"/>
      <c r="G794" s="30"/>
      <c r="H794" s="30"/>
      <c r="L794" s="30"/>
      <c r="M794" s="30"/>
      <c r="O794" s="32"/>
      <c r="P794" s="32"/>
    </row>
    <row r="795">
      <c r="B795" s="35"/>
      <c r="G795" s="30"/>
      <c r="H795" s="30"/>
      <c r="L795" s="30"/>
      <c r="M795" s="30"/>
      <c r="O795" s="32"/>
      <c r="P795" s="32"/>
    </row>
    <row r="796">
      <c r="B796" s="35"/>
      <c r="G796" s="30"/>
      <c r="H796" s="30"/>
      <c r="L796" s="30"/>
      <c r="M796" s="30"/>
      <c r="O796" s="32"/>
      <c r="P796" s="32"/>
    </row>
    <row r="797">
      <c r="B797" s="35"/>
      <c r="G797" s="30"/>
      <c r="H797" s="30"/>
      <c r="L797" s="30"/>
      <c r="M797" s="30"/>
      <c r="O797" s="32"/>
      <c r="P797" s="32"/>
    </row>
    <row r="798">
      <c r="B798" s="35"/>
      <c r="G798" s="30"/>
      <c r="H798" s="30"/>
      <c r="L798" s="30"/>
      <c r="M798" s="30"/>
      <c r="O798" s="32"/>
      <c r="P798" s="32"/>
    </row>
    <row r="799">
      <c r="B799" s="35"/>
      <c r="G799" s="30"/>
      <c r="H799" s="30"/>
      <c r="L799" s="30"/>
      <c r="M799" s="30"/>
      <c r="O799" s="32"/>
      <c r="P799" s="32"/>
    </row>
    <row r="800">
      <c r="B800" s="35"/>
      <c r="G800" s="30"/>
      <c r="H800" s="30"/>
      <c r="L800" s="30"/>
      <c r="M800" s="30"/>
      <c r="O800" s="32"/>
      <c r="P800" s="32"/>
    </row>
    <row r="801">
      <c r="B801" s="35"/>
      <c r="G801" s="30"/>
      <c r="H801" s="30"/>
      <c r="L801" s="30"/>
      <c r="M801" s="30"/>
      <c r="O801" s="32"/>
      <c r="P801" s="32"/>
    </row>
    <row r="802">
      <c r="B802" s="35"/>
      <c r="G802" s="30"/>
      <c r="H802" s="30"/>
      <c r="L802" s="30"/>
      <c r="M802" s="30"/>
      <c r="O802" s="32"/>
      <c r="P802" s="32"/>
    </row>
    <row r="803">
      <c r="B803" s="35"/>
      <c r="G803" s="30"/>
      <c r="H803" s="30"/>
      <c r="L803" s="30"/>
      <c r="M803" s="30"/>
      <c r="O803" s="32"/>
      <c r="P803" s="32"/>
    </row>
    <row r="804">
      <c r="B804" s="35"/>
      <c r="G804" s="30"/>
      <c r="H804" s="30"/>
      <c r="L804" s="30"/>
      <c r="M804" s="30"/>
      <c r="O804" s="32"/>
      <c r="P804" s="32"/>
    </row>
    <row r="805">
      <c r="B805" s="35"/>
      <c r="G805" s="30"/>
      <c r="H805" s="30"/>
      <c r="L805" s="30"/>
      <c r="M805" s="30"/>
      <c r="O805" s="32"/>
      <c r="P805" s="32"/>
    </row>
    <row r="806">
      <c r="B806" s="35"/>
      <c r="G806" s="30"/>
      <c r="H806" s="30"/>
      <c r="L806" s="30"/>
      <c r="M806" s="30"/>
      <c r="O806" s="32"/>
      <c r="P806" s="32"/>
    </row>
    <row r="807">
      <c r="B807" s="35"/>
      <c r="G807" s="30"/>
      <c r="H807" s="30"/>
      <c r="L807" s="30"/>
      <c r="M807" s="30"/>
      <c r="O807" s="32"/>
      <c r="P807" s="32"/>
    </row>
    <row r="808">
      <c r="B808" s="35"/>
      <c r="G808" s="30"/>
      <c r="H808" s="30"/>
      <c r="L808" s="30"/>
      <c r="M808" s="30"/>
      <c r="O808" s="32"/>
      <c r="P808" s="32"/>
    </row>
    <row r="809">
      <c r="B809" s="35"/>
      <c r="G809" s="30"/>
      <c r="H809" s="30"/>
      <c r="L809" s="30"/>
      <c r="M809" s="30"/>
      <c r="O809" s="32"/>
      <c r="P809" s="32"/>
    </row>
    <row r="810">
      <c r="B810" s="35"/>
      <c r="G810" s="30"/>
      <c r="H810" s="30"/>
      <c r="L810" s="30"/>
      <c r="M810" s="30"/>
      <c r="O810" s="32"/>
      <c r="P810" s="32"/>
    </row>
    <row r="811">
      <c r="B811" s="35"/>
      <c r="G811" s="30"/>
      <c r="H811" s="30"/>
      <c r="L811" s="30"/>
      <c r="M811" s="30"/>
      <c r="O811" s="32"/>
      <c r="P811" s="32"/>
    </row>
    <row r="812">
      <c r="B812" s="35"/>
      <c r="G812" s="30"/>
      <c r="H812" s="30"/>
      <c r="L812" s="30"/>
      <c r="M812" s="30"/>
      <c r="O812" s="32"/>
      <c r="P812" s="32"/>
    </row>
    <row r="813">
      <c r="B813" s="35"/>
      <c r="G813" s="30"/>
      <c r="H813" s="30"/>
      <c r="L813" s="30"/>
      <c r="M813" s="30"/>
      <c r="O813" s="32"/>
      <c r="P813" s="32"/>
    </row>
    <row r="814">
      <c r="B814" s="35"/>
      <c r="G814" s="30"/>
      <c r="H814" s="30"/>
      <c r="L814" s="30"/>
      <c r="M814" s="30"/>
      <c r="O814" s="32"/>
      <c r="P814" s="32"/>
    </row>
    <row r="815">
      <c r="B815" s="35"/>
      <c r="G815" s="30"/>
      <c r="H815" s="30"/>
      <c r="L815" s="30"/>
      <c r="M815" s="30"/>
      <c r="O815" s="32"/>
      <c r="P815" s="32"/>
    </row>
    <row r="816">
      <c r="B816" s="35"/>
      <c r="G816" s="30"/>
      <c r="H816" s="30"/>
      <c r="L816" s="30"/>
      <c r="M816" s="30"/>
      <c r="O816" s="32"/>
      <c r="P816" s="32"/>
    </row>
    <row r="817">
      <c r="B817" s="35"/>
      <c r="G817" s="30"/>
      <c r="H817" s="30"/>
      <c r="L817" s="30"/>
      <c r="M817" s="30"/>
      <c r="O817" s="32"/>
      <c r="P817" s="32"/>
    </row>
    <row r="818">
      <c r="B818" s="35"/>
      <c r="G818" s="30"/>
      <c r="H818" s="30"/>
      <c r="L818" s="30"/>
      <c r="M818" s="30"/>
      <c r="O818" s="32"/>
      <c r="P818" s="32"/>
    </row>
    <row r="819">
      <c r="B819" s="35"/>
      <c r="G819" s="30"/>
      <c r="H819" s="30"/>
      <c r="L819" s="30"/>
      <c r="M819" s="30"/>
      <c r="O819" s="32"/>
      <c r="P819" s="32"/>
    </row>
    <row r="820">
      <c r="B820" s="35"/>
      <c r="G820" s="30"/>
      <c r="H820" s="30"/>
      <c r="L820" s="30"/>
      <c r="M820" s="30"/>
      <c r="O820" s="32"/>
      <c r="P820" s="32"/>
    </row>
    <row r="821">
      <c r="B821" s="35"/>
      <c r="G821" s="30"/>
      <c r="H821" s="30"/>
      <c r="L821" s="30"/>
      <c r="M821" s="30"/>
      <c r="O821" s="32"/>
      <c r="P821" s="32"/>
    </row>
    <row r="822">
      <c r="B822" s="35"/>
      <c r="G822" s="30"/>
      <c r="H822" s="30"/>
      <c r="L822" s="30"/>
      <c r="M822" s="30"/>
      <c r="O822" s="32"/>
      <c r="P822" s="32"/>
    </row>
    <row r="823">
      <c r="B823" s="35"/>
      <c r="G823" s="30"/>
      <c r="H823" s="30"/>
      <c r="L823" s="30"/>
      <c r="M823" s="30"/>
      <c r="O823" s="32"/>
      <c r="P823" s="32"/>
    </row>
    <row r="824">
      <c r="B824" s="35"/>
      <c r="G824" s="30"/>
      <c r="H824" s="30"/>
      <c r="L824" s="30"/>
      <c r="M824" s="30"/>
      <c r="O824" s="32"/>
      <c r="P824" s="32"/>
    </row>
    <row r="825">
      <c r="B825" s="35"/>
      <c r="G825" s="30"/>
      <c r="H825" s="30"/>
      <c r="L825" s="30"/>
      <c r="M825" s="30"/>
      <c r="O825" s="32"/>
      <c r="P825" s="32"/>
    </row>
    <row r="826">
      <c r="B826" s="35"/>
      <c r="G826" s="30"/>
      <c r="H826" s="30"/>
      <c r="L826" s="30"/>
      <c r="M826" s="30"/>
      <c r="O826" s="32"/>
      <c r="P826" s="32"/>
    </row>
    <row r="827">
      <c r="B827" s="35"/>
      <c r="G827" s="30"/>
      <c r="H827" s="30"/>
      <c r="L827" s="30"/>
      <c r="M827" s="30"/>
      <c r="O827" s="32"/>
      <c r="P827" s="32"/>
    </row>
    <row r="828">
      <c r="B828" s="35"/>
      <c r="G828" s="30"/>
      <c r="H828" s="30"/>
      <c r="L828" s="30"/>
      <c r="M828" s="30"/>
      <c r="O828" s="32"/>
      <c r="P828" s="32"/>
    </row>
    <row r="829">
      <c r="B829" s="35"/>
      <c r="G829" s="30"/>
      <c r="H829" s="30"/>
      <c r="L829" s="30"/>
      <c r="M829" s="30"/>
      <c r="O829" s="32"/>
      <c r="P829" s="32"/>
    </row>
    <row r="830">
      <c r="B830" s="35"/>
      <c r="G830" s="30"/>
      <c r="H830" s="30"/>
      <c r="L830" s="30"/>
      <c r="M830" s="30"/>
      <c r="O830" s="32"/>
      <c r="P830" s="32"/>
    </row>
    <row r="831">
      <c r="B831" s="35"/>
      <c r="G831" s="30"/>
      <c r="H831" s="30"/>
      <c r="L831" s="30"/>
      <c r="M831" s="30"/>
      <c r="O831" s="32"/>
      <c r="P831" s="32"/>
    </row>
    <row r="832">
      <c r="B832" s="35"/>
      <c r="G832" s="30"/>
      <c r="H832" s="30"/>
      <c r="L832" s="30"/>
      <c r="M832" s="30"/>
      <c r="O832" s="32"/>
      <c r="P832" s="32"/>
    </row>
    <row r="833">
      <c r="B833" s="35"/>
      <c r="G833" s="30"/>
      <c r="H833" s="30"/>
      <c r="L833" s="30"/>
      <c r="M833" s="30"/>
      <c r="O833" s="32"/>
      <c r="P833" s="32"/>
    </row>
    <row r="834">
      <c r="B834" s="35"/>
      <c r="G834" s="30"/>
      <c r="H834" s="30"/>
      <c r="L834" s="30"/>
      <c r="M834" s="30"/>
      <c r="O834" s="32"/>
      <c r="P834" s="32"/>
    </row>
    <row r="835">
      <c r="B835" s="35"/>
      <c r="G835" s="30"/>
      <c r="H835" s="30"/>
      <c r="L835" s="30"/>
      <c r="M835" s="30"/>
      <c r="O835" s="32"/>
      <c r="P835" s="32"/>
    </row>
    <row r="836">
      <c r="B836" s="35"/>
      <c r="G836" s="30"/>
      <c r="H836" s="30"/>
      <c r="L836" s="30"/>
      <c r="M836" s="30"/>
      <c r="O836" s="32"/>
      <c r="P836" s="32"/>
    </row>
    <row r="837">
      <c r="B837" s="35"/>
      <c r="G837" s="30"/>
      <c r="H837" s="30"/>
      <c r="L837" s="30"/>
      <c r="M837" s="30"/>
      <c r="O837" s="32"/>
      <c r="P837" s="32"/>
    </row>
    <row r="838">
      <c r="B838" s="35"/>
      <c r="G838" s="30"/>
      <c r="H838" s="30"/>
      <c r="L838" s="30"/>
      <c r="M838" s="30"/>
      <c r="O838" s="32"/>
      <c r="P838" s="32"/>
    </row>
    <row r="839">
      <c r="B839" s="35"/>
      <c r="G839" s="30"/>
      <c r="H839" s="30"/>
      <c r="L839" s="30"/>
      <c r="M839" s="30"/>
      <c r="O839" s="32"/>
      <c r="P839" s="32"/>
    </row>
    <row r="840">
      <c r="B840" s="35"/>
      <c r="G840" s="30"/>
      <c r="H840" s="30"/>
      <c r="L840" s="30"/>
      <c r="M840" s="30"/>
      <c r="O840" s="32"/>
      <c r="P840" s="32"/>
    </row>
    <row r="841">
      <c r="B841" s="35"/>
      <c r="G841" s="30"/>
      <c r="H841" s="30"/>
      <c r="L841" s="30"/>
      <c r="M841" s="30"/>
      <c r="O841" s="32"/>
      <c r="P841" s="32"/>
    </row>
    <row r="842">
      <c r="B842" s="35"/>
      <c r="G842" s="30"/>
      <c r="H842" s="30"/>
      <c r="L842" s="30"/>
      <c r="M842" s="30"/>
      <c r="O842" s="32"/>
      <c r="P842" s="32"/>
    </row>
    <row r="843">
      <c r="B843" s="35"/>
      <c r="G843" s="30"/>
      <c r="H843" s="30"/>
      <c r="L843" s="30"/>
      <c r="M843" s="30"/>
      <c r="O843" s="32"/>
      <c r="P843" s="32"/>
    </row>
    <row r="844">
      <c r="B844" s="35"/>
      <c r="G844" s="30"/>
      <c r="H844" s="30"/>
      <c r="L844" s="30"/>
      <c r="M844" s="30"/>
      <c r="O844" s="32"/>
      <c r="P844" s="32"/>
    </row>
    <row r="845">
      <c r="B845" s="35"/>
      <c r="G845" s="30"/>
      <c r="H845" s="30"/>
      <c r="L845" s="30"/>
      <c r="M845" s="30"/>
      <c r="O845" s="32"/>
      <c r="P845" s="32"/>
    </row>
    <row r="846">
      <c r="B846" s="35"/>
      <c r="G846" s="30"/>
      <c r="H846" s="30"/>
      <c r="L846" s="30"/>
      <c r="M846" s="30"/>
      <c r="O846" s="32"/>
      <c r="P846" s="32"/>
    </row>
    <row r="847">
      <c r="B847" s="35"/>
      <c r="G847" s="30"/>
      <c r="H847" s="30"/>
      <c r="L847" s="30"/>
      <c r="M847" s="30"/>
      <c r="O847" s="32"/>
      <c r="P847" s="32"/>
    </row>
    <row r="848">
      <c r="B848" s="35"/>
      <c r="G848" s="30"/>
      <c r="H848" s="30"/>
      <c r="L848" s="30"/>
      <c r="M848" s="30"/>
      <c r="O848" s="32"/>
      <c r="P848" s="32"/>
    </row>
    <row r="849">
      <c r="B849" s="35"/>
      <c r="G849" s="30"/>
      <c r="H849" s="30"/>
      <c r="L849" s="30"/>
      <c r="M849" s="30"/>
      <c r="O849" s="32"/>
      <c r="P849" s="32"/>
    </row>
    <row r="850">
      <c r="B850" s="35"/>
      <c r="G850" s="30"/>
      <c r="H850" s="30"/>
      <c r="L850" s="30"/>
      <c r="M850" s="30"/>
      <c r="O850" s="32"/>
      <c r="P850" s="32"/>
    </row>
    <row r="851">
      <c r="B851" s="35"/>
      <c r="G851" s="30"/>
      <c r="H851" s="30"/>
      <c r="L851" s="30"/>
      <c r="M851" s="30"/>
      <c r="O851" s="32"/>
      <c r="P851" s="32"/>
    </row>
    <row r="852">
      <c r="B852" s="35"/>
      <c r="G852" s="30"/>
      <c r="H852" s="30"/>
      <c r="L852" s="30"/>
      <c r="M852" s="30"/>
      <c r="O852" s="32"/>
      <c r="P852" s="32"/>
    </row>
    <row r="853">
      <c r="B853" s="35"/>
      <c r="G853" s="30"/>
      <c r="H853" s="30"/>
      <c r="L853" s="30"/>
      <c r="M853" s="30"/>
      <c r="O853" s="32"/>
      <c r="P853" s="32"/>
    </row>
    <row r="854">
      <c r="B854" s="35"/>
      <c r="G854" s="30"/>
      <c r="H854" s="30"/>
      <c r="L854" s="30"/>
      <c r="M854" s="30"/>
      <c r="O854" s="32"/>
      <c r="P854" s="32"/>
    </row>
    <row r="855">
      <c r="B855" s="35"/>
      <c r="G855" s="30"/>
      <c r="H855" s="30"/>
      <c r="L855" s="30"/>
      <c r="M855" s="30"/>
      <c r="O855" s="32"/>
      <c r="P855" s="32"/>
    </row>
    <row r="856">
      <c r="B856" s="35"/>
      <c r="G856" s="30"/>
      <c r="H856" s="30"/>
      <c r="L856" s="30"/>
      <c r="M856" s="30"/>
      <c r="O856" s="32"/>
      <c r="P856" s="32"/>
    </row>
    <row r="857">
      <c r="B857" s="35"/>
      <c r="G857" s="30"/>
      <c r="H857" s="30"/>
      <c r="L857" s="30"/>
      <c r="M857" s="30"/>
      <c r="O857" s="32"/>
      <c r="P857" s="32"/>
    </row>
    <row r="858">
      <c r="B858" s="35"/>
      <c r="G858" s="30"/>
      <c r="H858" s="30"/>
      <c r="L858" s="30"/>
      <c r="M858" s="30"/>
      <c r="O858" s="32"/>
      <c r="P858" s="32"/>
    </row>
    <row r="859">
      <c r="B859" s="35"/>
      <c r="G859" s="30"/>
      <c r="H859" s="30"/>
      <c r="L859" s="30"/>
      <c r="M859" s="30"/>
      <c r="O859" s="32"/>
      <c r="P859" s="32"/>
    </row>
    <row r="860">
      <c r="B860" s="35"/>
      <c r="G860" s="30"/>
      <c r="H860" s="30"/>
      <c r="L860" s="30"/>
      <c r="M860" s="30"/>
      <c r="O860" s="32"/>
      <c r="P860" s="32"/>
    </row>
    <row r="861">
      <c r="B861" s="35"/>
      <c r="G861" s="30"/>
      <c r="H861" s="30"/>
      <c r="L861" s="30"/>
      <c r="M861" s="30"/>
      <c r="O861" s="32"/>
      <c r="P861" s="32"/>
    </row>
    <row r="862">
      <c r="B862" s="35"/>
      <c r="G862" s="30"/>
      <c r="H862" s="30"/>
      <c r="L862" s="30"/>
      <c r="M862" s="30"/>
      <c r="O862" s="32"/>
      <c r="P862" s="32"/>
    </row>
    <row r="863">
      <c r="B863" s="35"/>
      <c r="G863" s="30"/>
      <c r="H863" s="30"/>
      <c r="L863" s="30"/>
      <c r="M863" s="30"/>
      <c r="O863" s="32"/>
      <c r="P863" s="32"/>
    </row>
    <row r="864">
      <c r="B864" s="35"/>
      <c r="G864" s="30"/>
      <c r="H864" s="30"/>
      <c r="L864" s="30"/>
      <c r="M864" s="30"/>
      <c r="O864" s="32"/>
      <c r="P864" s="32"/>
    </row>
    <row r="865">
      <c r="B865" s="35"/>
      <c r="G865" s="30"/>
      <c r="H865" s="30"/>
      <c r="L865" s="30"/>
      <c r="M865" s="30"/>
      <c r="O865" s="32"/>
      <c r="P865" s="32"/>
    </row>
    <row r="866">
      <c r="B866" s="35"/>
      <c r="G866" s="30"/>
      <c r="H866" s="30"/>
      <c r="L866" s="30"/>
      <c r="M866" s="30"/>
      <c r="O866" s="32"/>
      <c r="P866" s="32"/>
    </row>
    <row r="867">
      <c r="B867" s="35"/>
      <c r="G867" s="30"/>
      <c r="H867" s="30"/>
      <c r="L867" s="30"/>
      <c r="M867" s="30"/>
      <c r="O867" s="32"/>
      <c r="P867" s="32"/>
    </row>
    <row r="868">
      <c r="B868" s="35"/>
      <c r="G868" s="30"/>
      <c r="H868" s="30"/>
      <c r="L868" s="30"/>
      <c r="M868" s="30"/>
      <c r="O868" s="32"/>
      <c r="P868" s="32"/>
    </row>
    <row r="869">
      <c r="B869" s="35"/>
      <c r="G869" s="30"/>
      <c r="H869" s="30"/>
      <c r="L869" s="30"/>
      <c r="M869" s="30"/>
      <c r="O869" s="32"/>
      <c r="P869" s="32"/>
    </row>
    <row r="870">
      <c r="B870" s="35"/>
      <c r="G870" s="30"/>
      <c r="H870" s="30"/>
      <c r="L870" s="30"/>
      <c r="M870" s="30"/>
      <c r="O870" s="32"/>
      <c r="P870" s="32"/>
    </row>
    <row r="871">
      <c r="B871" s="35"/>
      <c r="G871" s="30"/>
      <c r="H871" s="30"/>
      <c r="L871" s="30"/>
      <c r="M871" s="30"/>
      <c r="O871" s="32"/>
      <c r="P871" s="32"/>
    </row>
    <row r="872">
      <c r="B872" s="35"/>
      <c r="G872" s="30"/>
      <c r="H872" s="30"/>
      <c r="L872" s="30"/>
      <c r="M872" s="30"/>
      <c r="O872" s="32"/>
      <c r="P872" s="32"/>
    </row>
    <row r="873">
      <c r="B873" s="35"/>
      <c r="G873" s="30"/>
      <c r="H873" s="30"/>
      <c r="L873" s="30"/>
      <c r="M873" s="30"/>
      <c r="O873" s="32"/>
      <c r="P873" s="32"/>
    </row>
    <row r="874">
      <c r="B874" s="35"/>
      <c r="G874" s="30"/>
      <c r="H874" s="30"/>
      <c r="L874" s="30"/>
      <c r="M874" s="30"/>
      <c r="O874" s="32"/>
      <c r="P874" s="32"/>
    </row>
    <row r="875">
      <c r="B875" s="35"/>
      <c r="G875" s="30"/>
      <c r="H875" s="30"/>
      <c r="L875" s="30"/>
      <c r="M875" s="30"/>
      <c r="O875" s="32"/>
      <c r="P875" s="32"/>
    </row>
    <row r="876">
      <c r="B876" s="35"/>
      <c r="G876" s="30"/>
      <c r="H876" s="30"/>
      <c r="L876" s="30"/>
      <c r="M876" s="30"/>
      <c r="O876" s="32"/>
      <c r="P876" s="32"/>
    </row>
    <row r="877">
      <c r="B877" s="35"/>
      <c r="G877" s="30"/>
      <c r="H877" s="30"/>
      <c r="L877" s="30"/>
      <c r="M877" s="30"/>
      <c r="O877" s="32"/>
      <c r="P877" s="32"/>
    </row>
    <row r="878">
      <c r="B878" s="35"/>
      <c r="G878" s="30"/>
      <c r="H878" s="30"/>
      <c r="L878" s="30"/>
      <c r="M878" s="30"/>
      <c r="O878" s="32"/>
      <c r="P878" s="32"/>
    </row>
    <row r="879">
      <c r="B879" s="35"/>
      <c r="G879" s="30"/>
      <c r="H879" s="30"/>
      <c r="L879" s="30"/>
      <c r="M879" s="30"/>
      <c r="O879" s="32"/>
      <c r="P879" s="32"/>
    </row>
    <row r="880">
      <c r="B880" s="35"/>
      <c r="G880" s="30"/>
      <c r="H880" s="30"/>
      <c r="L880" s="30"/>
      <c r="M880" s="30"/>
      <c r="O880" s="32"/>
      <c r="P880" s="32"/>
    </row>
    <row r="881">
      <c r="B881" s="35"/>
      <c r="G881" s="30"/>
      <c r="H881" s="30"/>
      <c r="L881" s="30"/>
      <c r="M881" s="30"/>
      <c r="O881" s="32"/>
      <c r="P881" s="32"/>
    </row>
    <row r="882">
      <c r="B882" s="35"/>
      <c r="G882" s="30"/>
      <c r="H882" s="30"/>
      <c r="L882" s="30"/>
      <c r="M882" s="30"/>
      <c r="O882" s="32"/>
      <c r="P882" s="32"/>
    </row>
    <row r="883">
      <c r="B883" s="35"/>
      <c r="G883" s="30"/>
      <c r="H883" s="30"/>
      <c r="L883" s="30"/>
      <c r="M883" s="30"/>
      <c r="O883" s="32"/>
      <c r="P883" s="32"/>
    </row>
    <row r="884">
      <c r="B884" s="35"/>
      <c r="G884" s="30"/>
      <c r="H884" s="30"/>
      <c r="L884" s="30"/>
      <c r="M884" s="30"/>
      <c r="O884" s="32"/>
      <c r="P884" s="32"/>
    </row>
    <row r="885">
      <c r="B885" s="35"/>
      <c r="G885" s="30"/>
      <c r="H885" s="30"/>
      <c r="L885" s="30"/>
      <c r="M885" s="30"/>
      <c r="O885" s="32"/>
      <c r="P885" s="32"/>
    </row>
    <row r="886">
      <c r="B886" s="35"/>
      <c r="G886" s="30"/>
      <c r="H886" s="30"/>
      <c r="L886" s="30"/>
      <c r="M886" s="30"/>
      <c r="O886" s="32"/>
      <c r="P886" s="32"/>
    </row>
    <row r="887">
      <c r="B887" s="35"/>
      <c r="G887" s="30"/>
      <c r="H887" s="30"/>
      <c r="L887" s="30"/>
      <c r="M887" s="30"/>
      <c r="O887" s="32"/>
      <c r="P887" s="32"/>
    </row>
    <row r="888">
      <c r="B888" s="35"/>
      <c r="G888" s="30"/>
      <c r="H888" s="30"/>
      <c r="L888" s="30"/>
      <c r="M888" s="30"/>
      <c r="O888" s="32"/>
      <c r="P888" s="32"/>
    </row>
    <row r="889">
      <c r="B889" s="35"/>
      <c r="G889" s="30"/>
      <c r="H889" s="30"/>
      <c r="L889" s="30"/>
      <c r="M889" s="30"/>
      <c r="O889" s="32"/>
      <c r="P889" s="32"/>
    </row>
    <row r="890">
      <c r="B890" s="35"/>
      <c r="G890" s="30"/>
      <c r="H890" s="30"/>
      <c r="L890" s="30"/>
      <c r="M890" s="30"/>
      <c r="O890" s="32"/>
      <c r="P890" s="32"/>
    </row>
    <row r="891">
      <c r="B891" s="35"/>
      <c r="G891" s="30"/>
      <c r="H891" s="30"/>
      <c r="L891" s="30"/>
      <c r="M891" s="30"/>
      <c r="O891" s="32"/>
      <c r="P891" s="32"/>
    </row>
    <row r="892">
      <c r="B892" s="35"/>
      <c r="G892" s="30"/>
      <c r="H892" s="30"/>
      <c r="L892" s="30"/>
      <c r="M892" s="30"/>
      <c r="O892" s="32"/>
      <c r="P892" s="32"/>
    </row>
    <row r="893">
      <c r="B893" s="35"/>
      <c r="G893" s="30"/>
      <c r="H893" s="30"/>
      <c r="L893" s="30"/>
      <c r="M893" s="30"/>
      <c r="O893" s="32"/>
      <c r="P893" s="32"/>
    </row>
    <row r="894">
      <c r="B894" s="35"/>
      <c r="G894" s="30"/>
      <c r="H894" s="30"/>
      <c r="L894" s="30"/>
      <c r="M894" s="30"/>
      <c r="O894" s="32"/>
      <c r="P894" s="32"/>
    </row>
    <row r="895">
      <c r="B895" s="35"/>
      <c r="G895" s="30"/>
      <c r="H895" s="30"/>
      <c r="L895" s="30"/>
      <c r="M895" s="30"/>
      <c r="O895" s="32"/>
      <c r="P895" s="32"/>
    </row>
    <row r="896">
      <c r="B896" s="35"/>
      <c r="G896" s="30"/>
      <c r="H896" s="30"/>
      <c r="L896" s="30"/>
      <c r="M896" s="30"/>
      <c r="O896" s="32"/>
      <c r="P896" s="32"/>
    </row>
    <row r="897">
      <c r="B897" s="35"/>
      <c r="G897" s="30"/>
      <c r="H897" s="30"/>
      <c r="L897" s="30"/>
      <c r="M897" s="30"/>
      <c r="O897" s="32"/>
      <c r="P897" s="32"/>
    </row>
    <row r="898">
      <c r="B898" s="35"/>
      <c r="G898" s="30"/>
      <c r="H898" s="30"/>
      <c r="L898" s="30"/>
      <c r="M898" s="30"/>
      <c r="O898" s="32"/>
      <c r="P898" s="32"/>
    </row>
    <row r="899">
      <c r="B899" s="35"/>
      <c r="G899" s="30"/>
      <c r="H899" s="30"/>
      <c r="L899" s="30"/>
      <c r="M899" s="30"/>
      <c r="O899" s="32"/>
      <c r="P899" s="32"/>
    </row>
    <row r="900">
      <c r="B900" s="35"/>
      <c r="G900" s="30"/>
      <c r="H900" s="30"/>
      <c r="L900" s="30"/>
      <c r="M900" s="30"/>
      <c r="O900" s="32"/>
      <c r="P900" s="32"/>
    </row>
    <row r="901">
      <c r="B901" s="35"/>
      <c r="G901" s="30"/>
      <c r="H901" s="30"/>
      <c r="L901" s="30"/>
      <c r="M901" s="30"/>
      <c r="O901" s="32"/>
      <c r="P901" s="32"/>
    </row>
    <row r="902">
      <c r="B902" s="35"/>
      <c r="G902" s="30"/>
      <c r="H902" s="30"/>
      <c r="L902" s="30"/>
      <c r="M902" s="30"/>
      <c r="O902" s="32"/>
      <c r="P902" s="32"/>
    </row>
    <row r="903">
      <c r="B903" s="35"/>
      <c r="G903" s="30"/>
      <c r="H903" s="30"/>
      <c r="L903" s="30"/>
      <c r="M903" s="30"/>
      <c r="O903" s="32"/>
      <c r="P903" s="32"/>
    </row>
    <row r="904">
      <c r="B904" s="35"/>
      <c r="G904" s="30"/>
      <c r="H904" s="30"/>
      <c r="L904" s="30"/>
      <c r="M904" s="30"/>
      <c r="O904" s="32"/>
      <c r="P904" s="32"/>
    </row>
    <row r="905">
      <c r="B905" s="35"/>
      <c r="G905" s="30"/>
      <c r="H905" s="30"/>
      <c r="L905" s="30"/>
      <c r="M905" s="30"/>
      <c r="O905" s="32"/>
      <c r="P905" s="32"/>
    </row>
    <row r="906">
      <c r="B906" s="35"/>
      <c r="G906" s="30"/>
      <c r="H906" s="30"/>
      <c r="L906" s="30"/>
      <c r="M906" s="30"/>
      <c r="O906" s="32"/>
      <c r="P906" s="32"/>
    </row>
    <row r="907">
      <c r="B907" s="35"/>
      <c r="G907" s="30"/>
      <c r="H907" s="30"/>
      <c r="L907" s="30"/>
      <c r="M907" s="30"/>
      <c r="O907" s="32"/>
      <c r="P907" s="32"/>
    </row>
    <row r="908">
      <c r="B908" s="35"/>
      <c r="G908" s="30"/>
      <c r="H908" s="30"/>
      <c r="L908" s="30"/>
      <c r="M908" s="30"/>
      <c r="O908" s="32"/>
      <c r="P908" s="32"/>
    </row>
    <row r="909">
      <c r="B909" s="35"/>
      <c r="G909" s="30"/>
      <c r="H909" s="30"/>
      <c r="L909" s="30"/>
      <c r="M909" s="30"/>
      <c r="O909" s="32"/>
      <c r="P909" s="32"/>
    </row>
    <row r="910">
      <c r="B910" s="35"/>
      <c r="G910" s="30"/>
      <c r="H910" s="30"/>
      <c r="L910" s="30"/>
      <c r="M910" s="30"/>
      <c r="O910" s="32"/>
      <c r="P910" s="32"/>
    </row>
    <row r="911">
      <c r="B911" s="35"/>
      <c r="G911" s="30"/>
      <c r="H911" s="30"/>
      <c r="L911" s="30"/>
      <c r="M911" s="30"/>
      <c r="O911" s="32"/>
      <c r="P911" s="32"/>
    </row>
    <row r="912">
      <c r="B912" s="35"/>
      <c r="G912" s="30"/>
      <c r="H912" s="30"/>
      <c r="L912" s="30"/>
      <c r="M912" s="30"/>
      <c r="O912" s="32"/>
      <c r="P912" s="32"/>
    </row>
    <row r="913">
      <c r="B913" s="35"/>
      <c r="G913" s="30"/>
      <c r="H913" s="30"/>
      <c r="L913" s="30"/>
      <c r="M913" s="30"/>
      <c r="O913" s="32"/>
      <c r="P913" s="32"/>
    </row>
    <row r="914">
      <c r="B914" s="35"/>
      <c r="G914" s="30"/>
      <c r="H914" s="30"/>
      <c r="L914" s="30"/>
      <c r="M914" s="30"/>
      <c r="O914" s="32"/>
      <c r="P914" s="32"/>
    </row>
    <row r="915">
      <c r="B915" s="35"/>
      <c r="G915" s="30"/>
      <c r="H915" s="30"/>
      <c r="L915" s="30"/>
      <c r="M915" s="30"/>
      <c r="O915" s="32"/>
      <c r="P915" s="32"/>
    </row>
    <row r="916">
      <c r="B916" s="35"/>
      <c r="G916" s="30"/>
      <c r="H916" s="30"/>
      <c r="L916" s="30"/>
      <c r="M916" s="30"/>
      <c r="O916" s="32"/>
      <c r="P916" s="32"/>
    </row>
    <row r="917">
      <c r="B917" s="35"/>
      <c r="G917" s="30"/>
      <c r="H917" s="30"/>
      <c r="L917" s="30"/>
      <c r="M917" s="30"/>
      <c r="O917" s="32"/>
      <c r="P917" s="32"/>
    </row>
    <row r="918">
      <c r="B918" s="35"/>
      <c r="G918" s="30"/>
      <c r="H918" s="30"/>
      <c r="L918" s="30"/>
      <c r="M918" s="30"/>
      <c r="O918" s="32"/>
      <c r="P918" s="32"/>
    </row>
    <row r="919">
      <c r="B919" s="35"/>
      <c r="G919" s="30"/>
      <c r="H919" s="30"/>
      <c r="L919" s="30"/>
      <c r="M919" s="30"/>
      <c r="O919" s="32"/>
      <c r="P919" s="32"/>
    </row>
    <row r="920">
      <c r="B920" s="35"/>
      <c r="G920" s="30"/>
      <c r="H920" s="30"/>
      <c r="L920" s="30"/>
      <c r="M920" s="30"/>
      <c r="O920" s="32"/>
      <c r="P920" s="32"/>
    </row>
    <row r="921">
      <c r="B921" s="35"/>
      <c r="G921" s="30"/>
      <c r="H921" s="30"/>
      <c r="L921" s="30"/>
      <c r="M921" s="30"/>
      <c r="O921" s="32"/>
      <c r="P921" s="32"/>
    </row>
    <row r="922">
      <c r="B922" s="35"/>
      <c r="G922" s="30"/>
      <c r="H922" s="30"/>
      <c r="L922" s="30"/>
      <c r="M922" s="30"/>
      <c r="O922" s="32"/>
      <c r="P922" s="32"/>
    </row>
    <row r="923">
      <c r="B923" s="35"/>
      <c r="G923" s="30"/>
      <c r="H923" s="30"/>
      <c r="L923" s="30"/>
      <c r="M923" s="30"/>
      <c r="O923" s="32"/>
      <c r="P923" s="32"/>
    </row>
    <row r="924">
      <c r="B924" s="35"/>
      <c r="G924" s="30"/>
      <c r="H924" s="30"/>
      <c r="L924" s="30"/>
      <c r="M924" s="30"/>
      <c r="O924" s="32"/>
      <c r="P924" s="32"/>
    </row>
    <row r="925">
      <c r="B925" s="35"/>
      <c r="G925" s="30"/>
      <c r="H925" s="30"/>
      <c r="L925" s="30"/>
      <c r="M925" s="30"/>
      <c r="O925" s="32"/>
      <c r="P925" s="32"/>
    </row>
    <row r="926">
      <c r="B926" s="35"/>
      <c r="G926" s="30"/>
      <c r="H926" s="30"/>
      <c r="L926" s="30"/>
      <c r="M926" s="30"/>
      <c r="O926" s="32"/>
      <c r="P926" s="32"/>
    </row>
    <row r="927">
      <c r="B927" s="35"/>
      <c r="G927" s="30"/>
      <c r="H927" s="30"/>
      <c r="L927" s="30"/>
      <c r="M927" s="30"/>
      <c r="O927" s="32"/>
      <c r="P927" s="32"/>
    </row>
    <row r="928">
      <c r="B928" s="35"/>
      <c r="G928" s="30"/>
      <c r="H928" s="30"/>
      <c r="L928" s="30"/>
      <c r="M928" s="30"/>
      <c r="O928" s="32"/>
      <c r="P928" s="32"/>
    </row>
    <row r="929">
      <c r="B929" s="35"/>
      <c r="G929" s="30"/>
      <c r="H929" s="30"/>
      <c r="L929" s="30"/>
      <c r="M929" s="30"/>
      <c r="O929" s="32"/>
      <c r="P929" s="32"/>
    </row>
    <row r="930">
      <c r="B930" s="35"/>
      <c r="G930" s="30"/>
      <c r="H930" s="30"/>
      <c r="L930" s="30"/>
      <c r="M930" s="30"/>
      <c r="O930" s="32"/>
      <c r="P930" s="32"/>
    </row>
    <row r="931">
      <c r="B931" s="35"/>
      <c r="G931" s="30"/>
      <c r="H931" s="30"/>
      <c r="L931" s="30"/>
      <c r="M931" s="30"/>
      <c r="O931" s="32"/>
      <c r="P931" s="32"/>
    </row>
    <row r="932">
      <c r="B932" s="35"/>
      <c r="G932" s="30"/>
      <c r="H932" s="30"/>
      <c r="L932" s="30"/>
      <c r="M932" s="30"/>
      <c r="O932" s="32"/>
      <c r="P932" s="32"/>
    </row>
    <row r="933">
      <c r="B933" s="35"/>
      <c r="G933" s="30"/>
      <c r="H933" s="30"/>
      <c r="L933" s="30"/>
      <c r="M933" s="30"/>
      <c r="O933" s="32"/>
      <c r="P933" s="32"/>
    </row>
    <row r="934">
      <c r="B934" s="35"/>
      <c r="G934" s="30"/>
      <c r="H934" s="30"/>
      <c r="L934" s="30"/>
      <c r="M934" s="30"/>
      <c r="O934" s="32"/>
      <c r="P934" s="32"/>
    </row>
    <row r="935">
      <c r="B935" s="35"/>
      <c r="G935" s="30"/>
      <c r="H935" s="30"/>
      <c r="L935" s="30"/>
      <c r="M935" s="30"/>
      <c r="O935" s="32"/>
      <c r="P935" s="32"/>
    </row>
    <row r="936">
      <c r="B936" s="35"/>
      <c r="G936" s="30"/>
      <c r="H936" s="30"/>
      <c r="L936" s="30"/>
      <c r="M936" s="30"/>
      <c r="O936" s="32"/>
      <c r="P936" s="32"/>
    </row>
    <row r="937">
      <c r="B937" s="35"/>
      <c r="G937" s="30"/>
      <c r="H937" s="30"/>
      <c r="L937" s="30"/>
      <c r="M937" s="30"/>
      <c r="O937" s="32"/>
      <c r="P937" s="32"/>
    </row>
    <row r="938">
      <c r="B938" s="35"/>
      <c r="G938" s="30"/>
      <c r="H938" s="30"/>
      <c r="L938" s="30"/>
      <c r="M938" s="30"/>
      <c r="O938" s="32"/>
      <c r="P938" s="32"/>
    </row>
    <row r="939">
      <c r="B939" s="35"/>
      <c r="G939" s="30"/>
      <c r="H939" s="30"/>
      <c r="L939" s="30"/>
      <c r="M939" s="30"/>
      <c r="O939" s="32"/>
      <c r="P939" s="32"/>
    </row>
    <row r="940">
      <c r="B940" s="35"/>
      <c r="G940" s="30"/>
      <c r="H940" s="30"/>
      <c r="L940" s="30"/>
      <c r="M940" s="30"/>
      <c r="O940" s="32"/>
      <c r="P940" s="32"/>
    </row>
    <row r="941">
      <c r="B941" s="35"/>
      <c r="G941" s="30"/>
      <c r="H941" s="30"/>
      <c r="L941" s="30"/>
      <c r="M941" s="30"/>
      <c r="O941" s="32"/>
      <c r="P941" s="32"/>
    </row>
    <row r="942">
      <c r="B942" s="35"/>
      <c r="G942" s="30"/>
      <c r="H942" s="30"/>
      <c r="L942" s="30"/>
      <c r="M942" s="30"/>
      <c r="O942" s="32"/>
      <c r="P942" s="32"/>
    </row>
    <row r="943">
      <c r="B943" s="35"/>
      <c r="G943" s="30"/>
      <c r="H943" s="30"/>
      <c r="L943" s="30"/>
      <c r="M943" s="30"/>
      <c r="O943" s="32"/>
      <c r="P943" s="32"/>
    </row>
    <row r="944">
      <c r="B944" s="35"/>
      <c r="G944" s="30"/>
      <c r="H944" s="30"/>
      <c r="L944" s="30"/>
      <c r="M944" s="30"/>
      <c r="O944" s="32"/>
      <c r="P944" s="32"/>
    </row>
    <row r="945">
      <c r="B945" s="35"/>
      <c r="G945" s="30"/>
      <c r="H945" s="30"/>
      <c r="L945" s="30"/>
      <c r="M945" s="30"/>
      <c r="O945" s="32"/>
      <c r="P945" s="32"/>
    </row>
    <row r="946">
      <c r="B946" s="35"/>
      <c r="G946" s="30"/>
      <c r="H946" s="30"/>
      <c r="L946" s="30"/>
      <c r="M946" s="30"/>
      <c r="O946" s="32"/>
      <c r="P946" s="32"/>
    </row>
    <row r="947">
      <c r="B947" s="35"/>
      <c r="G947" s="30"/>
      <c r="H947" s="30"/>
      <c r="L947" s="30"/>
      <c r="M947" s="30"/>
      <c r="O947" s="32"/>
      <c r="P947" s="32"/>
    </row>
    <row r="948">
      <c r="B948" s="35"/>
      <c r="G948" s="30"/>
      <c r="H948" s="30"/>
      <c r="L948" s="30"/>
      <c r="M948" s="30"/>
      <c r="O948" s="32"/>
      <c r="P948" s="32"/>
    </row>
    <row r="949">
      <c r="B949" s="35"/>
      <c r="G949" s="30"/>
      <c r="H949" s="30"/>
      <c r="L949" s="30"/>
      <c r="M949" s="30"/>
      <c r="O949" s="32"/>
      <c r="P949" s="32"/>
    </row>
    <row r="950">
      <c r="B950" s="35"/>
      <c r="G950" s="30"/>
      <c r="H950" s="30"/>
      <c r="L950" s="30"/>
      <c r="M950" s="30"/>
      <c r="O950" s="32"/>
      <c r="P950" s="32"/>
    </row>
    <row r="951">
      <c r="B951" s="35"/>
      <c r="G951" s="30"/>
      <c r="H951" s="30"/>
      <c r="L951" s="30"/>
      <c r="M951" s="30"/>
      <c r="O951" s="32"/>
      <c r="P951" s="32"/>
    </row>
    <row r="952">
      <c r="B952" s="35"/>
      <c r="G952" s="30"/>
      <c r="H952" s="30"/>
      <c r="L952" s="30"/>
      <c r="M952" s="30"/>
      <c r="O952" s="32"/>
      <c r="P952" s="32"/>
    </row>
    <row r="953">
      <c r="B953" s="35"/>
      <c r="G953" s="30"/>
      <c r="H953" s="30"/>
      <c r="L953" s="30"/>
      <c r="M953" s="30"/>
      <c r="O953" s="32"/>
      <c r="P953" s="32"/>
    </row>
    <row r="954">
      <c r="B954" s="35"/>
      <c r="G954" s="30"/>
      <c r="H954" s="30"/>
      <c r="L954" s="30"/>
      <c r="M954" s="30"/>
      <c r="O954" s="32"/>
      <c r="P954" s="32"/>
    </row>
    <row r="955">
      <c r="B955" s="35"/>
      <c r="G955" s="30"/>
      <c r="H955" s="30"/>
      <c r="L955" s="30"/>
      <c r="M955" s="30"/>
      <c r="O955" s="32"/>
      <c r="P955" s="32"/>
    </row>
    <row r="956">
      <c r="B956" s="35"/>
      <c r="G956" s="30"/>
      <c r="H956" s="30"/>
      <c r="L956" s="30"/>
      <c r="M956" s="30"/>
      <c r="O956" s="32"/>
      <c r="P956" s="32"/>
    </row>
    <row r="957">
      <c r="B957" s="35"/>
      <c r="G957" s="30"/>
      <c r="H957" s="30"/>
      <c r="L957" s="30"/>
      <c r="M957" s="30"/>
      <c r="O957" s="32"/>
      <c r="P957" s="32"/>
    </row>
    <row r="958">
      <c r="B958" s="35"/>
      <c r="G958" s="30"/>
      <c r="H958" s="30"/>
      <c r="L958" s="30"/>
      <c r="M958" s="30"/>
      <c r="O958" s="32"/>
      <c r="P958" s="32"/>
    </row>
    <row r="959">
      <c r="B959" s="35"/>
      <c r="G959" s="30"/>
      <c r="H959" s="30"/>
      <c r="L959" s="30"/>
      <c r="M959" s="30"/>
      <c r="O959" s="32"/>
      <c r="P959" s="32"/>
    </row>
    <row r="960">
      <c r="B960" s="35"/>
      <c r="G960" s="30"/>
      <c r="H960" s="30"/>
      <c r="L960" s="30"/>
      <c r="M960" s="30"/>
      <c r="O960" s="32"/>
      <c r="P960" s="32"/>
    </row>
    <row r="961">
      <c r="B961" s="35"/>
      <c r="G961" s="30"/>
      <c r="H961" s="30"/>
      <c r="L961" s="30"/>
      <c r="M961" s="30"/>
      <c r="O961" s="32"/>
      <c r="P961" s="32"/>
    </row>
    <row r="962">
      <c r="B962" s="35"/>
      <c r="G962" s="30"/>
      <c r="H962" s="30"/>
      <c r="L962" s="30"/>
      <c r="M962" s="30"/>
      <c r="O962" s="32"/>
      <c r="P962" s="32"/>
    </row>
    <row r="963">
      <c r="B963" s="35"/>
      <c r="G963" s="30"/>
      <c r="H963" s="30"/>
      <c r="L963" s="30"/>
      <c r="M963" s="30"/>
      <c r="O963" s="32"/>
      <c r="P963" s="32"/>
    </row>
    <row r="964">
      <c r="B964" s="35"/>
      <c r="G964" s="30"/>
      <c r="H964" s="30"/>
      <c r="L964" s="30"/>
      <c r="M964" s="30"/>
      <c r="O964" s="32"/>
      <c r="P964" s="32"/>
    </row>
    <row r="965">
      <c r="B965" s="35"/>
      <c r="G965" s="30"/>
      <c r="H965" s="30"/>
      <c r="L965" s="30"/>
      <c r="M965" s="30"/>
      <c r="O965" s="32"/>
      <c r="P965" s="32"/>
    </row>
    <row r="966">
      <c r="B966" s="35"/>
      <c r="G966" s="30"/>
      <c r="H966" s="30"/>
      <c r="L966" s="30"/>
      <c r="M966" s="30"/>
      <c r="O966" s="32"/>
      <c r="P966" s="32"/>
    </row>
    <row r="967">
      <c r="B967" s="35"/>
      <c r="G967" s="30"/>
      <c r="H967" s="30"/>
      <c r="L967" s="30"/>
      <c r="M967" s="30"/>
      <c r="O967" s="32"/>
      <c r="P967" s="32"/>
    </row>
    <row r="968">
      <c r="B968" s="35"/>
      <c r="G968" s="30"/>
      <c r="H968" s="30"/>
      <c r="L968" s="30"/>
      <c r="M968" s="30"/>
      <c r="O968" s="32"/>
      <c r="P968" s="32"/>
    </row>
    <row r="969">
      <c r="B969" s="35"/>
      <c r="G969" s="30"/>
      <c r="H969" s="30"/>
      <c r="L969" s="30"/>
      <c r="M969" s="30"/>
      <c r="O969" s="32"/>
      <c r="P969" s="32"/>
    </row>
    <row r="970">
      <c r="B970" s="35"/>
      <c r="G970" s="30"/>
      <c r="H970" s="30"/>
      <c r="L970" s="30"/>
      <c r="M970" s="30"/>
      <c r="O970" s="32"/>
      <c r="P970" s="32"/>
    </row>
    <row r="971">
      <c r="B971" s="35"/>
      <c r="G971" s="30"/>
      <c r="H971" s="30"/>
      <c r="L971" s="30"/>
      <c r="M971" s="30"/>
      <c r="O971" s="32"/>
      <c r="P971" s="3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88"/>
    <col customWidth="1" min="2" max="19" width="9.5"/>
  </cols>
  <sheetData>
    <row r="1">
      <c r="A1" s="1"/>
      <c r="B1" s="2" t="s">
        <v>0</v>
      </c>
      <c r="C1" s="2" t="s">
        <v>2</v>
      </c>
      <c r="D1" s="5" t="s">
        <v>3</v>
      </c>
      <c r="E1" s="2" t="s">
        <v>4</v>
      </c>
      <c r="F1" s="8" t="s">
        <v>6</v>
      </c>
      <c r="G1" s="6" t="s">
        <v>8</v>
      </c>
      <c r="H1" s="6" t="s">
        <v>10</v>
      </c>
      <c r="I1" s="2" t="s">
        <v>12</v>
      </c>
      <c r="J1" s="5" t="s">
        <v>14</v>
      </c>
      <c r="K1" s="2" t="s">
        <v>16</v>
      </c>
      <c r="L1" s="6" t="s">
        <v>19</v>
      </c>
      <c r="M1" s="6" t="s">
        <v>22</v>
      </c>
      <c r="N1" s="2" t="s">
        <v>24</v>
      </c>
      <c r="O1" s="9" t="s">
        <v>26</v>
      </c>
      <c r="P1" s="9" t="s">
        <v>28</v>
      </c>
      <c r="Q1" s="2" t="s">
        <v>30</v>
      </c>
      <c r="R1" s="2" t="s">
        <v>32</v>
      </c>
      <c r="S1" s="9" t="s">
        <v>34</v>
      </c>
    </row>
    <row r="2">
      <c r="A2" s="2" t="s">
        <v>44</v>
      </c>
      <c r="B2" s="11">
        <v>3.0</v>
      </c>
      <c r="C2" s="13">
        <f t="shared" ref="C2:C33" si="1">B2*4</f>
        <v>12</v>
      </c>
      <c r="D2" s="14">
        <v>9.0</v>
      </c>
      <c r="E2" s="11">
        <v>2.0</v>
      </c>
      <c r="F2" s="15">
        <f t="shared" ref="F2:F33" si="2">D2+E2</f>
        <v>11</v>
      </c>
      <c r="G2" s="16">
        <f t="shared" ref="G2:G33" si="3">F2/C2</f>
        <v>0.9166666667</v>
      </c>
      <c r="H2" s="16">
        <f t="shared" ref="H2:H33" si="4">D2/F2</f>
        <v>0.8181818182</v>
      </c>
      <c r="I2" s="13">
        <f t="shared" ref="I2:I33" si="5">J2+K2</f>
        <v>4</v>
      </c>
      <c r="J2" s="14">
        <v>3.0</v>
      </c>
      <c r="K2" s="11">
        <v>1.0</v>
      </c>
      <c r="L2" s="16">
        <f t="shared" ref="L2:L33" si="6">I2/C2</f>
        <v>0.3333333333</v>
      </c>
      <c r="M2" s="16">
        <f t="shared" ref="M2:M3" si="7">J2/I2</f>
        <v>0.75</v>
      </c>
      <c r="N2" s="19">
        <f t="shared" ref="N2:N33" si="8">4*(D2-K2)</f>
        <v>32</v>
      </c>
      <c r="O2" s="18">
        <f t="shared" ref="O2:O33" si="9">N2/C2</f>
        <v>2.666666667</v>
      </c>
      <c r="P2" s="18">
        <f t="shared" ref="P2:P33" si="10">N2/B2</f>
        <v>10.66666667</v>
      </c>
      <c r="Q2" s="11">
        <v>6.0</v>
      </c>
      <c r="R2" s="19">
        <f t="shared" ref="R2:R33" si="11">N2+10*Q2</f>
        <v>92</v>
      </c>
      <c r="S2" s="18">
        <f t="shared" ref="S2:S33" si="12">R2/B2</f>
        <v>30.66666667</v>
      </c>
    </row>
    <row r="3">
      <c r="A3" s="2" t="s">
        <v>56</v>
      </c>
      <c r="B3" s="11">
        <v>3.0</v>
      </c>
      <c r="C3" s="13">
        <f t="shared" si="1"/>
        <v>12</v>
      </c>
      <c r="D3" s="14">
        <v>9.0</v>
      </c>
      <c r="E3" s="20">
        <v>1.0</v>
      </c>
      <c r="F3" s="25">
        <f t="shared" si="2"/>
        <v>10</v>
      </c>
      <c r="G3" s="23">
        <f t="shared" si="3"/>
        <v>0.8333333333</v>
      </c>
      <c r="H3" s="23">
        <f t="shared" si="4"/>
        <v>0.9</v>
      </c>
      <c r="I3" s="14">
        <f t="shared" si="5"/>
        <v>3</v>
      </c>
      <c r="J3" s="14">
        <v>3.0</v>
      </c>
      <c r="K3" s="11">
        <v>0.0</v>
      </c>
      <c r="L3" s="16">
        <f t="shared" si="6"/>
        <v>0.25</v>
      </c>
      <c r="M3" s="16">
        <f t="shared" si="7"/>
        <v>1</v>
      </c>
      <c r="N3" s="19">
        <f t="shared" si="8"/>
        <v>36</v>
      </c>
      <c r="O3" s="18">
        <f t="shared" si="9"/>
        <v>3</v>
      </c>
      <c r="P3" s="18">
        <f t="shared" si="10"/>
        <v>12</v>
      </c>
      <c r="Q3" s="11">
        <v>5.0</v>
      </c>
      <c r="R3" s="19">
        <f t="shared" si="11"/>
        <v>86</v>
      </c>
      <c r="S3" s="18">
        <f t="shared" si="12"/>
        <v>28.66666667</v>
      </c>
    </row>
    <row r="4">
      <c r="A4" s="2" t="s">
        <v>39</v>
      </c>
      <c r="B4" s="11">
        <v>3.0</v>
      </c>
      <c r="C4" s="13">
        <f t="shared" si="1"/>
        <v>12</v>
      </c>
      <c r="D4" s="14">
        <v>7.0</v>
      </c>
      <c r="E4" s="11">
        <v>5.0</v>
      </c>
      <c r="F4" s="15">
        <f t="shared" si="2"/>
        <v>12</v>
      </c>
      <c r="G4" s="16">
        <f t="shared" si="3"/>
        <v>1</v>
      </c>
      <c r="H4" s="16">
        <f t="shared" si="4"/>
        <v>0.5833333333</v>
      </c>
      <c r="I4" s="13">
        <f t="shared" si="5"/>
        <v>0</v>
      </c>
      <c r="J4" s="14">
        <v>0.0</v>
      </c>
      <c r="K4" s="11">
        <v>0.0</v>
      </c>
      <c r="L4" s="16">
        <f t="shared" si="6"/>
        <v>0</v>
      </c>
      <c r="M4" s="11" t="s">
        <v>41</v>
      </c>
      <c r="N4" s="19">
        <f t="shared" si="8"/>
        <v>28</v>
      </c>
      <c r="O4" s="18">
        <f t="shared" si="9"/>
        <v>2.333333333</v>
      </c>
      <c r="P4" s="18">
        <f t="shared" si="10"/>
        <v>9.333333333</v>
      </c>
      <c r="Q4" s="11">
        <v>4.0</v>
      </c>
      <c r="R4" s="19">
        <f t="shared" si="11"/>
        <v>68</v>
      </c>
      <c r="S4" s="18">
        <f t="shared" si="12"/>
        <v>22.66666667</v>
      </c>
    </row>
    <row r="5">
      <c r="A5" s="2" t="s">
        <v>62</v>
      </c>
      <c r="B5" s="11">
        <v>3.0</v>
      </c>
      <c r="C5" s="13">
        <f t="shared" si="1"/>
        <v>12</v>
      </c>
      <c r="D5" s="14">
        <v>9.0</v>
      </c>
      <c r="E5" s="20">
        <v>3.0</v>
      </c>
      <c r="F5" s="25">
        <f t="shared" si="2"/>
        <v>12</v>
      </c>
      <c r="G5" s="23">
        <f t="shared" si="3"/>
        <v>1</v>
      </c>
      <c r="H5" s="23">
        <f t="shared" si="4"/>
        <v>0.75</v>
      </c>
      <c r="I5" s="13">
        <f t="shared" si="5"/>
        <v>2</v>
      </c>
      <c r="J5" s="14">
        <v>1.0</v>
      </c>
      <c r="K5" s="11">
        <v>1.0</v>
      </c>
      <c r="L5" s="16">
        <f t="shared" si="6"/>
        <v>0.1666666667</v>
      </c>
      <c r="M5" s="16">
        <f t="shared" ref="M5:M6" si="13">J5/I5</f>
        <v>0.5</v>
      </c>
      <c r="N5" s="19">
        <f t="shared" si="8"/>
        <v>32</v>
      </c>
      <c r="O5" s="18">
        <f t="shared" si="9"/>
        <v>2.666666667</v>
      </c>
      <c r="P5" s="18">
        <f t="shared" si="10"/>
        <v>10.66666667</v>
      </c>
      <c r="Q5" s="11">
        <v>3.0</v>
      </c>
      <c r="R5" s="19">
        <f t="shared" si="11"/>
        <v>62</v>
      </c>
      <c r="S5" s="18">
        <f t="shared" si="12"/>
        <v>20.66666667</v>
      </c>
    </row>
    <row r="6">
      <c r="A6" s="2" t="s">
        <v>51</v>
      </c>
      <c r="B6" s="11">
        <v>3.0</v>
      </c>
      <c r="C6" s="13">
        <f t="shared" si="1"/>
        <v>12</v>
      </c>
      <c r="D6" s="14">
        <v>7.0</v>
      </c>
      <c r="E6" s="11">
        <v>2.0</v>
      </c>
      <c r="F6" s="15">
        <f t="shared" si="2"/>
        <v>9</v>
      </c>
      <c r="G6" s="16">
        <f t="shared" si="3"/>
        <v>0.75</v>
      </c>
      <c r="H6" s="16">
        <f t="shared" si="4"/>
        <v>0.7777777778</v>
      </c>
      <c r="I6" s="13">
        <f t="shared" si="5"/>
        <v>1</v>
      </c>
      <c r="J6" s="14">
        <v>1.0</v>
      </c>
      <c r="K6" s="11">
        <v>0.0</v>
      </c>
      <c r="L6" s="16">
        <f t="shared" si="6"/>
        <v>0.08333333333</v>
      </c>
      <c r="M6" s="16">
        <f t="shared" si="13"/>
        <v>1</v>
      </c>
      <c r="N6" s="19">
        <f t="shared" si="8"/>
        <v>28</v>
      </c>
      <c r="O6" s="18">
        <f t="shared" si="9"/>
        <v>2.333333333</v>
      </c>
      <c r="P6" s="18">
        <f t="shared" si="10"/>
        <v>9.333333333</v>
      </c>
      <c r="Q6" s="11">
        <v>3.0</v>
      </c>
      <c r="R6" s="19">
        <f t="shared" si="11"/>
        <v>58</v>
      </c>
      <c r="S6" s="18">
        <f t="shared" si="12"/>
        <v>19.33333333</v>
      </c>
    </row>
    <row r="7">
      <c r="A7" s="2" t="s">
        <v>59</v>
      </c>
      <c r="B7" s="11">
        <v>3.0</v>
      </c>
      <c r="C7" s="13">
        <f t="shared" si="1"/>
        <v>12</v>
      </c>
      <c r="D7" s="14">
        <v>7.0</v>
      </c>
      <c r="E7" s="11">
        <v>2.0</v>
      </c>
      <c r="F7" s="15">
        <f t="shared" si="2"/>
        <v>9</v>
      </c>
      <c r="G7" s="16">
        <f t="shared" si="3"/>
        <v>0.75</v>
      </c>
      <c r="H7" s="16">
        <f t="shared" si="4"/>
        <v>0.7777777778</v>
      </c>
      <c r="I7" s="13">
        <f t="shared" si="5"/>
        <v>0</v>
      </c>
      <c r="J7" s="14">
        <v>0.0</v>
      </c>
      <c r="K7" s="11">
        <v>0.0</v>
      </c>
      <c r="L7" s="16">
        <f t="shared" si="6"/>
        <v>0</v>
      </c>
      <c r="M7" s="11" t="s">
        <v>41</v>
      </c>
      <c r="N7" s="19">
        <f t="shared" si="8"/>
        <v>28</v>
      </c>
      <c r="O7" s="18">
        <f t="shared" si="9"/>
        <v>2.333333333</v>
      </c>
      <c r="P7" s="18">
        <f t="shared" si="10"/>
        <v>9.333333333</v>
      </c>
      <c r="Q7" s="11">
        <v>2.0</v>
      </c>
      <c r="R7" s="19">
        <f t="shared" si="11"/>
        <v>48</v>
      </c>
      <c r="S7" s="18">
        <f t="shared" si="12"/>
        <v>16</v>
      </c>
    </row>
    <row r="8">
      <c r="A8" s="2" t="s">
        <v>72</v>
      </c>
      <c r="B8" s="11">
        <v>3.0</v>
      </c>
      <c r="C8" s="13">
        <f t="shared" si="1"/>
        <v>12</v>
      </c>
      <c r="D8" s="14">
        <v>6.0</v>
      </c>
      <c r="E8" s="11">
        <v>4.0</v>
      </c>
      <c r="F8" s="15">
        <f t="shared" si="2"/>
        <v>10</v>
      </c>
      <c r="G8" s="16">
        <f t="shared" si="3"/>
        <v>0.8333333333</v>
      </c>
      <c r="H8" s="16">
        <f t="shared" si="4"/>
        <v>0.6</v>
      </c>
      <c r="I8" s="13">
        <f t="shared" si="5"/>
        <v>2</v>
      </c>
      <c r="J8" s="14">
        <v>2.0</v>
      </c>
      <c r="K8" s="11">
        <v>0.0</v>
      </c>
      <c r="L8" s="16">
        <f t="shared" si="6"/>
        <v>0.1666666667</v>
      </c>
      <c r="M8" s="16">
        <f t="shared" ref="M8:M9" si="14">J8/I8</f>
        <v>1</v>
      </c>
      <c r="N8" s="19">
        <f t="shared" si="8"/>
        <v>24</v>
      </c>
      <c r="O8" s="18">
        <f t="shared" si="9"/>
        <v>2</v>
      </c>
      <c r="P8" s="18">
        <f t="shared" si="10"/>
        <v>8</v>
      </c>
      <c r="Q8" s="11">
        <v>2.0</v>
      </c>
      <c r="R8" s="19">
        <f t="shared" si="11"/>
        <v>44</v>
      </c>
      <c r="S8" s="18">
        <f t="shared" si="12"/>
        <v>14.66666667</v>
      </c>
    </row>
    <row r="9">
      <c r="A9" s="2" t="s">
        <v>70</v>
      </c>
      <c r="B9" s="11">
        <v>3.0</v>
      </c>
      <c r="C9" s="13">
        <f t="shared" si="1"/>
        <v>12</v>
      </c>
      <c r="D9" s="14">
        <v>5.0</v>
      </c>
      <c r="E9" s="11">
        <v>6.0</v>
      </c>
      <c r="F9" s="15">
        <f t="shared" si="2"/>
        <v>11</v>
      </c>
      <c r="G9" s="16">
        <f t="shared" si="3"/>
        <v>0.9166666667</v>
      </c>
      <c r="H9" s="16">
        <f t="shared" si="4"/>
        <v>0.4545454545</v>
      </c>
      <c r="I9" s="13">
        <f t="shared" si="5"/>
        <v>2</v>
      </c>
      <c r="J9" s="14">
        <v>0.0</v>
      </c>
      <c r="K9" s="11">
        <v>2.0</v>
      </c>
      <c r="L9" s="16">
        <f t="shared" si="6"/>
        <v>0.1666666667</v>
      </c>
      <c r="M9" s="16">
        <f t="shared" si="14"/>
        <v>0</v>
      </c>
      <c r="N9" s="19">
        <f t="shared" si="8"/>
        <v>12</v>
      </c>
      <c r="O9" s="18">
        <f t="shared" si="9"/>
        <v>1</v>
      </c>
      <c r="P9" s="18">
        <f t="shared" si="10"/>
        <v>4</v>
      </c>
      <c r="Q9" s="11">
        <v>3.0</v>
      </c>
      <c r="R9" s="19">
        <f t="shared" si="11"/>
        <v>42</v>
      </c>
      <c r="S9" s="18">
        <f t="shared" si="12"/>
        <v>14</v>
      </c>
    </row>
    <row r="10">
      <c r="A10" s="2" t="s">
        <v>47</v>
      </c>
      <c r="B10" s="11">
        <v>3.0</v>
      </c>
      <c r="C10" s="13">
        <f t="shared" si="1"/>
        <v>12</v>
      </c>
      <c r="D10" s="14">
        <v>7.0</v>
      </c>
      <c r="E10" s="11">
        <v>2.0</v>
      </c>
      <c r="F10" s="15">
        <f t="shared" si="2"/>
        <v>9</v>
      </c>
      <c r="G10" s="16">
        <f t="shared" si="3"/>
        <v>0.75</v>
      </c>
      <c r="H10" s="16">
        <f t="shared" si="4"/>
        <v>0.7777777778</v>
      </c>
      <c r="I10" s="13">
        <f t="shared" si="5"/>
        <v>0</v>
      </c>
      <c r="J10" s="14">
        <v>0.0</v>
      </c>
      <c r="K10" s="11">
        <v>0.0</v>
      </c>
      <c r="L10" s="16">
        <f t="shared" si="6"/>
        <v>0</v>
      </c>
      <c r="M10" s="11" t="s">
        <v>41</v>
      </c>
      <c r="N10" s="19">
        <f t="shared" si="8"/>
        <v>28</v>
      </c>
      <c r="O10" s="18">
        <f t="shared" si="9"/>
        <v>2.333333333</v>
      </c>
      <c r="P10" s="18">
        <f t="shared" si="10"/>
        <v>9.333333333</v>
      </c>
      <c r="Q10" s="11">
        <v>1.0</v>
      </c>
      <c r="R10" s="19">
        <f t="shared" si="11"/>
        <v>38</v>
      </c>
      <c r="S10" s="18">
        <f t="shared" si="12"/>
        <v>12.66666667</v>
      </c>
    </row>
    <row r="11">
      <c r="A11" s="2" t="s">
        <v>53</v>
      </c>
      <c r="B11" s="11">
        <v>3.0</v>
      </c>
      <c r="C11" s="13">
        <f t="shared" si="1"/>
        <v>12</v>
      </c>
      <c r="D11" s="14">
        <v>7.0</v>
      </c>
      <c r="E11" s="11">
        <v>4.0</v>
      </c>
      <c r="F11" s="15">
        <f t="shared" si="2"/>
        <v>11</v>
      </c>
      <c r="G11" s="16">
        <f t="shared" si="3"/>
        <v>0.9166666667</v>
      </c>
      <c r="H11" s="16">
        <f t="shared" si="4"/>
        <v>0.6363636364</v>
      </c>
      <c r="I11" s="13">
        <f t="shared" si="5"/>
        <v>2</v>
      </c>
      <c r="J11" s="14">
        <v>1.0</v>
      </c>
      <c r="K11" s="11">
        <v>1.0</v>
      </c>
      <c r="L11" s="16">
        <f t="shared" si="6"/>
        <v>0.1666666667</v>
      </c>
      <c r="M11" s="16">
        <f t="shared" ref="M11:M12" si="15">J11/I11</f>
        <v>0.5</v>
      </c>
      <c r="N11" s="19">
        <f t="shared" si="8"/>
        <v>24</v>
      </c>
      <c r="O11" s="18">
        <f t="shared" si="9"/>
        <v>2</v>
      </c>
      <c r="P11" s="18">
        <f t="shared" si="10"/>
        <v>8</v>
      </c>
      <c r="Q11" s="11">
        <v>1.0</v>
      </c>
      <c r="R11" s="19">
        <f t="shared" si="11"/>
        <v>34</v>
      </c>
      <c r="S11" s="18">
        <f t="shared" si="12"/>
        <v>11.33333333</v>
      </c>
    </row>
    <row r="12">
      <c r="A12" s="2" t="s">
        <v>68</v>
      </c>
      <c r="B12" s="11">
        <v>3.0</v>
      </c>
      <c r="C12" s="13">
        <f t="shared" si="1"/>
        <v>12</v>
      </c>
      <c r="D12" s="14">
        <v>5.0</v>
      </c>
      <c r="E12" s="20">
        <v>3.0</v>
      </c>
      <c r="F12" s="25">
        <f t="shared" si="2"/>
        <v>8</v>
      </c>
      <c r="G12" s="23">
        <f t="shared" si="3"/>
        <v>0.6666666667</v>
      </c>
      <c r="H12" s="23">
        <f t="shared" si="4"/>
        <v>0.625</v>
      </c>
      <c r="I12" s="13">
        <f t="shared" si="5"/>
        <v>2</v>
      </c>
      <c r="J12" s="14">
        <v>2.0</v>
      </c>
      <c r="K12" s="11">
        <v>0.0</v>
      </c>
      <c r="L12" s="16">
        <f t="shared" si="6"/>
        <v>0.1666666667</v>
      </c>
      <c r="M12" s="16">
        <f t="shared" si="15"/>
        <v>1</v>
      </c>
      <c r="N12" s="19">
        <f t="shared" si="8"/>
        <v>20</v>
      </c>
      <c r="O12" s="18">
        <f t="shared" si="9"/>
        <v>1.666666667</v>
      </c>
      <c r="P12" s="18">
        <f t="shared" si="10"/>
        <v>6.666666667</v>
      </c>
      <c r="Q12" s="11">
        <v>1.0</v>
      </c>
      <c r="R12" s="19">
        <f t="shared" si="11"/>
        <v>30</v>
      </c>
      <c r="S12" s="18">
        <f t="shared" si="12"/>
        <v>10</v>
      </c>
    </row>
    <row r="13">
      <c r="A13" s="2" t="s">
        <v>93</v>
      </c>
      <c r="B13" s="11">
        <v>3.0</v>
      </c>
      <c r="C13" s="13">
        <f t="shared" si="1"/>
        <v>12</v>
      </c>
      <c r="D13" s="14">
        <v>2.0</v>
      </c>
      <c r="E13" s="11">
        <v>8.0</v>
      </c>
      <c r="F13" s="15">
        <f t="shared" si="2"/>
        <v>10</v>
      </c>
      <c r="G13" s="16">
        <f t="shared" si="3"/>
        <v>0.8333333333</v>
      </c>
      <c r="H13" s="16">
        <f t="shared" si="4"/>
        <v>0.2</v>
      </c>
      <c r="I13" s="13">
        <f t="shared" si="5"/>
        <v>0</v>
      </c>
      <c r="J13" s="14">
        <v>0.0</v>
      </c>
      <c r="K13" s="11">
        <v>0.0</v>
      </c>
      <c r="L13" s="16">
        <f t="shared" si="6"/>
        <v>0</v>
      </c>
      <c r="M13" s="11" t="s">
        <v>41</v>
      </c>
      <c r="N13" s="19">
        <f t="shared" si="8"/>
        <v>8</v>
      </c>
      <c r="O13" s="18">
        <f t="shared" si="9"/>
        <v>0.6666666667</v>
      </c>
      <c r="P13" s="18">
        <f t="shared" si="10"/>
        <v>2.666666667</v>
      </c>
      <c r="Q13" s="11">
        <v>2.0</v>
      </c>
      <c r="R13" s="19">
        <f t="shared" si="11"/>
        <v>28</v>
      </c>
      <c r="S13" s="18">
        <f t="shared" si="12"/>
        <v>9.333333333</v>
      </c>
    </row>
    <row r="14">
      <c r="A14" s="2" t="s">
        <v>63</v>
      </c>
      <c r="B14" s="11">
        <v>3.0</v>
      </c>
      <c r="C14" s="13">
        <f t="shared" si="1"/>
        <v>12</v>
      </c>
      <c r="D14" s="14">
        <v>5.0</v>
      </c>
      <c r="E14" s="11">
        <v>6.0</v>
      </c>
      <c r="F14" s="15">
        <f t="shared" si="2"/>
        <v>11</v>
      </c>
      <c r="G14" s="16">
        <f t="shared" si="3"/>
        <v>0.9166666667</v>
      </c>
      <c r="H14" s="16">
        <f t="shared" si="4"/>
        <v>0.4545454545</v>
      </c>
      <c r="I14" s="13">
        <f t="shared" si="5"/>
        <v>1</v>
      </c>
      <c r="J14" s="14">
        <v>0.0</v>
      </c>
      <c r="K14" s="11">
        <v>1.0</v>
      </c>
      <c r="L14" s="16">
        <f t="shared" si="6"/>
        <v>0.08333333333</v>
      </c>
      <c r="M14" s="16">
        <f t="shared" ref="M14:M15" si="16">J14/I14</f>
        <v>0</v>
      </c>
      <c r="N14" s="19">
        <f t="shared" si="8"/>
        <v>16</v>
      </c>
      <c r="O14" s="18">
        <f t="shared" si="9"/>
        <v>1.333333333</v>
      </c>
      <c r="P14" s="18">
        <f t="shared" si="10"/>
        <v>5.333333333</v>
      </c>
      <c r="Q14" s="11">
        <v>1.0</v>
      </c>
      <c r="R14" s="19">
        <f t="shared" si="11"/>
        <v>26</v>
      </c>
      <c r="S14" s="18">
        <f t="shared" si="12"/>
        <v>8.666666667</v>
      </c>
    </row>
    <row r="15">
      <c r="A15" s="2" t="s">
        <v>79</v>
      </c>
      <c r="B15" s="11">
        <v>3.0</v>
      </c>
      <c r="C15" s="13">
        <f t="shared" si="1"/>
        <v>12</v>
      </c>
      <c r="D15" s="14">
        <v>3.0</v>
      </c>
      <c r="E15" s="11">
        <v>2.0</v>
      </c>
      <c r="F15" s="15">
        <f t="shared" si="2"/>
        <v>5</v>
      </c>
      <c r="G15" s="16">
        <f t="shared" si="3"/>
        <v>0.4166666667</v>
      </c>
      <c r="H15" s="16">
        <f t="shared" si="4"/>
        <v>0.6</v>
      </c>
      <c r="I15" s="13">
        <f t="shared" si="5"/>
        <v>1</v>
      </c>
      <c r="J15" s="14">
        <v>1.0</v>
      </c>
      <c r="K15" s="11">
        <v>0.0</v>
      </c>
      <c r="L15" s="16">
        <f t="shared" si="6"/>
        <v>0.08333333333</v>
      </c>
      <c r="M15" s="16">
        <f t="shared" si="16"/>
        <v>1</v>
      </c>
      <c r="N15" s="19">
        <f t="shared" si="8"/>
        <v>12</v>
      </c>
      <c r="O15" s="18">
        <f t="shared" si="9"/>
        <v>1</v>
      </c>
      <c r="P15" s="18">
        <f t="shared" si="10"/>
        <v>4</v>
      </c>
      <c r="Q15" s="11">
        <v>1.0</v>
      </c>
      <c r="R15" s="19">
        <f t="shared" si="11"/>
        <v>22</v>
      </c>
      <c r="S15" s="18">
        <f t="shared" si="12"/>
        <v>7.333333333</v>
      </c>
    </row>
    <row r="16">
      <c r="A16" s="2" t="s">
        <v>98</v>
      </c>
      <c r="B16" s="11">
        <v>3.0</v>
      </c>
      <c r="C16" s="13">
        <f t="shared" si="1"/>
        <v>12</v>
      </c>
      <c r="D16" s="14">
        <v>3.0</v>
      </c>
      <c r="E16" s="11">
        <v>4.0</v>
      </c>
      <c r="F16" s="15">
        <f t="shared" si="2"/>
        <v>7</v>
      </c>
      <c r="G16" s="16">
        <f t="shared" si="3"/>
        <v>0.5833333333</v>
      </c>
      <c r="H16" s="16">
        <f t="shared" si="4"/>
        <v>0.4285714286</v>
      </c>
      <c r="I16" s="13">
        <f t="shared" si="5"/>
        <v>0</v>
      </c>
      <c r="J16" s="14">
        <v>0.0</v>
      </c>
      <c r="K16" s="11">
        <v>0.0</v>
      </c>
      <c r="L16" s="16">
        <f t="shared" si="6"/>
        <v>0</v>
      </c>
      <c r="M16" s="11" t="s">
        <v>41</v>
      </c>
      <c r="N16" s="19">
        <f t="shared" si="8"/>
        <v>12</v>
      </c>
      <c r="O16" s="18">
        <f t="shared" si="9"/>
        <v>1</v>
      </c>
      <c r="P16" s="18">
        <f t="shared" si="10"/>
        <v>4</v>
      </c>
      <c r="Q16" s="11">
        <v>1.0</v>
      </c>
      <c r="R16" s="19">
        <f t="shared" si="11"/>
        <v>22</v>
      </c>
      <c r="S16" s="18">
        <f t="shared" si="12"/>
        <v>7.333333333</v>
      </c>
    </row>
    <row r="17">
      <c r="A17" s="2" t="s">
        <v>90</v>
      </c>
      <c r="B17" s="11">
        <v>3.0</v>
      </c>
      <c r="C17" s="13">
        <f t="shared" si="1"/>
        <v>12</v>
      </c>
      <c r="D17" s="14">
        <v>5.0</v>
      </c>
      <c r="E17" s="11">
        <v>3.0</v>
      </c>
      <c r="F17" s="15">
        <f t="shared" si="2"/>
        <v>8</v>
      </c>
      <c r="G17" s="16">
        <f t="shared" si="3"/>
        <v>0.6666666667</v>
      </c>
      <c r="H17" s="16">
        <f t="shared" si="4"/>
        <v>0.625</v>
      </c>
      <c r="I17" s="13">
        <f t="shared" si="5"/>
        <v>0</v>
      </c>
      <c r="J17" s="14">
        <v>0.0</v>
      </c>
      <c r="K17" s="11">
        <v>0.0</v>
      </c>
      <c r="L17" s="16">
        <f t="shared" si="6"/>
        <v>0</v>
      </c>
      <c r="M17" s="11" t="s">
        <v>41</v>
      </c>
      <c r="N17" s="19">
        <f t="shared" si="8"/>
        <v>20</v>
      </c>
      <c r="O17" s="18">
        <f t="shared" si="9"/>
        <v>1.666666667</v>
      </c>
      <c r="P17" s="18">
        <f t="shared" si="10"/>
        <v>6.666666667</v>
      </c>
      <c r="Q17" s="11">
        <v>0.0</v>
      </c>
      <c r="R17" s="19">
        <f t="shared" si="11"/>
        <v>20</v>
      </c>
      <c r="S17" s="18">
        <f t="shared" si="12"/>
        <v>6.666666667</v>
      </c>
    </row>
    <row r="18">
      <c r="A18" s="2" t="s">
        <v>83</v>
      </c>
      <c r="B18" s="11">
        <v>3.0</v>
      </c>
      <c r="C18" s="13">
        <f t="shared" si="1"/>
        <v>12</v>
      </c>
      <c r="D18" s="14">
        <v>3.0</v>
      </c>
      <c r="E18" s="11">
        <v>4.0</v>
      </c>
      <c r="F18" s="15">
        <f t="shared" si="2"/>
        <v>7</v>
      </c>
      <c r="G18" s="16">
        <f t="shared" si="3"/>
        <v>0.5833333333</v>
      </c>
      <c r="H18" s="16">
        <f t="shared" si="4"/>
        <v>0.4285714286</v>
      </c>
      <c r="I18" s="13">
        <f t="shared" si="5"/>
        <v>1</v>
      </c>
      <c r="J18" s="14">
        <v>0.0</v>
      </c>
      <c r="K18" s="11">
        <v>1.0</v>
      </c>
      <c r="L18" s="16">
        <f t="shared" si="6"/>
        <v>0.08333333333</v>
      </c>
      <c r="M18" s="16">
        <f>J18/I18</f>
        <v>0</v>
      </c>
      <c r="N18" s="19">
        <f t="shared" si="8"/>
        <v>8</v>
      </c>
      <c r="O18" s="18">
        <f t="shared" si="9"/>
        <v>0.6666666667</v>
      </c>
      <c r="P18" s="18">
        <f t="shared" si="10"/>
        <v>2.666666667</v>
      </c>
      <c r="Q18" s="11">
        <v>1.0</v>
      </c>
      <c r="R18" s="19">
        <f t="shared" si="11"/>
        <v>18</v>
      </c>
      <c r="S18" s="18">
        <f t="shared" si="12"/>
        <v>6</v>
      </c>
    </row>
    <row r="19">
      <c r="A19" s="2" t="s">
        <v>81</v>
      </c>
      <c r="B19" s="11">
        <v>3.0</v>
      </c>
      <c r="C19" s="13">
        <f t="shared" si="1"/>
        <v>12</v>
      </c>
      <c r="D19" s="14">
        <v>2.0</v>
      </c>
      <c r="E19" s="11">
        <v>7.0</v>
      </c>
      <c r="F19" s="15">
        <f t="shared" si="2"/>
        <v>9</v>
      </c>
      <c r="G19" s="16">
        <f t="shared" si="3"/>
        <v>0.75</v>
      </c>
      <c r="H19" s="16">
        <f t="shared" si="4"/>
        <v>0.2222222222</v>
      </c>
      <c r="I19" s="13">
        <f t="shared" si="5"/>
        <v>0</v>
      </c>
      <c r="J19" s="14">
        <v>0.0</v>
      </c>
      <c r="K19" s="11">
        <v>0.0</v>
      </c>
      <c r="L19" s="16">
        <f t="shared" si="6"/>
        <v>0</v>
      </c>
      <c r="M19" s="11" t="s">
        <v>41</v>
      </c>
      <c r="N19" s="19">
        <f t="shared" si="8"/>
        <v>8</v>
      </c>
      <c r="O19" s="18">
        <f t="shared" si="9"/>
        <v>0.6666666667</v>
      </c>
      <c r="P19" s="18">
        <f t="shared" si="10"/>
        <v>2.666666667</v>
      </c>
      <c r="Q19" s="11">
        <v>1.0</v>
      </c>
      <c r="R19" s="19">
        <f t="shared" si="11"/>
        <v>18</v>
      </c>
      <c r="S19" s="18">
        <f t="shared" si="12"/>
        <v>6</v>
      </c>
    </row>
    <row r="20">
      <c r="A20" s="2" t="s">
        <v>96</v>
      </c>
      <c r="B20" s="11">
        <v>3.0</v>
      </c>
      <c r="C20" s="13">
        <f t="shared" si="1"/>
        <v>12</v>
      </c>
      <c r="D20" s="14">
        <v>4.0</v>
      </c>
      <c r="E20" s="11">
        <v>3.0</v>
      </c>
      <c r="F20" s="15">
        <f t="shared" si="2"/>
        <v>7</v>
      </c>
      <c r="G20" s="16">
        <f t="shared" si="3"/>
        <v>0.5833333333</v>
      </c>
      <c r="H20" s="16">
        <f t="shared" si="4"/>
        <v>0.5714285714</v>
      </c>
      <c r="I20" s="13">
        <f t="shared" si="5"/>
        <v>0</v>
      </c>
      <c r="J20" s="14">
        <v>0.0</v>
      </c>
      <c r="K20" s="11">
        <v>0.0</v>
      </c>
      <c r="L20" s="16">
        <f t="shared" si="6"/>
        <v>0</v>
      </c>
      <c r="M20" s="11" t="s">
        <v>41</v>
      </c>
      <c r="N20" s="19">
        <f t="shared" si="8"/>
        <v>16</v>
      </c>
      <c r="O20" s="18">
        <f t="shared" si="9"/>
        <v>1.333333333</v>
      </c>
      <c r="P20" s="18">
        <f t="shared" si="10"/>
        <v>5.333333333</v>
      </c>
      <c r="Q20" s="11">
        <v>0.0</v>
      </c>
      <c r="R20" s="19">
        <f t="shared" si="11"/>
        <v>16</v>
      </c>
      <c r="S20" s="18">
        <f t="shared" si="12"/>
        <v>5.333333333</v>
      </c>
    </row>
    <row r="21">
      <c r="A21" s="2" t="s">
        <v>77</v>
      </c>
      <c r="B21" s="11">
        <v>3.0</v>
      </c>
      <c r="C21" s="13">
        <f t="shared" si="1"/>
        <v>12</v>
      </c>
      <c r="D21" s="14">
        <v>3.0</v>
      </c>
      <c r="E21" s="11">
        <v>5.0</v>
      </c>
      <c r="F21" s="15">
        <f t="shared" si="2"/>
        <v>8</v>
      </c>
      <c r="G21" s="16">
        <f t="shared" si="3"/>
        <v>0.6666666667</v>
      </c>
      <c r="H21" s="16">
        <f t="shared" si="4"/>
        <v>0.375</v>
      </c>
      <c r="I21" s="13">
        <f t="shared" si="5"/>
        <v>1</v>
      </c>
      <c r="J21" s="14">
        <v>1.0</v>
      </c>
      <c r="K21" s="11">
        <v>0.0</v>
      </c>
      <c r="L21" s="16">
        <f t="shared" si="6"/>
        <v>0.08333333333</v>
      </c>
      <c r="M21" s="16">
        <f>J21/I21</f>
        <v>1</v>
      </c>
      <c r="N21" s="19">
        <f t="shared" si="8"/>
        <v>12</v>
      </c>
      <c r="O21" s="18">
        <f t="shared" si="9"/>
        <v>1</v>
      </c>
      <c r="P21" s="18">
        <f t="shared" si="10"/>
        <v>4</v>
      </c>
      <c r="Q21" s="11">
        <v>0.0</v>
      </c>
      <c r="R21" s="19">
        <f t="shared" si="11"/>
        <v>12</v>
      </c>
      <c r="S21" s="18">
        <f t="shared" si="12"/>
        <v>4</v>
      </c>
    </row>
    <row r="22">
      <c r="A22" s="2" t="s">
        <v>109</v>
      </c>
      <c r="B22" s="11">
        <v>3.0</v>
      </c>
      <c r="C22" s="13">
        <f t="shared" si="1"/>
        <v>12</v>
      </c>
      <c r="D22" s="14">
        <v>3.0</v>
      </c>
      <c r="E22" s="11">
        <v>4.0</v>
      </c>
      <c r="F22" s="15">
        <f t="shared" si="2"/>
        <v>7</v>
      </c>
      <c r="G22" s="16">
        <f t="shared" si="3"/>
        <v>0.5833333333</v>
      </c>
      <c r="H22" s="16">
        <f t="shared" si="4"/>
        <v>0.4285714286</v>
      </c>
      <c r="I22" s="13">
        <f t="shared" si="5"/>
        <v>0</v>
      </c>
      <c r="J22" s="14">
        <v>0.0</v>
      </c>
      <c r="K22" s="11">
        <v>0.0</v>
      </c>
      <c r="L22" s="16">
        <f t="shared" si="6"/>
        <v>0</v>
      </c>
      <c r="M22" s="11" t="s">
        <v>41</v>
      </c>
      <c r="N22" s="19">
        <f t="shared" si="8"/>
        <v>12</v>
      </c>
      <c r="O22" s="18">
        <f t="shared" si="9"/>
        <v>1</v>
      </c>
      <c r="P22" s="18">
        <f t="shared" si="10"/>
        <v>4</v>
      </c>
      <c r="Q22" s="11">
        <v>0.0</v>
      </c>
      <c r="R22" s="19">
        <f t="shared" si="11"/>
        <v>12</v>
      </c>
      <c r="S22" s="18">
        <f t="shared" si="12"/>
        <v>4</v>
      </c>
    </row>
    <row r="23">
      <c r="A23" s="2" t="s">
        <v>101</v>
      </c>
      <c r="B23" s="11">
        <v>3.0</v>
      </c>
      <c r="C23" s="13">
        <f t="shared" si="1"/>
        <v>12</v>
      </c>
      <c r="D23" s="14">
        <v>3.0</v>
      </c>
      <c r="E23" s="11">
        <v>4.0</v>
      </c>
      <c r="F23" s="15">
        <f t="shared" si="2"/>
        <v>7</v>
      </c>
      <c r="G23" s="16">
        <f t="shared" si="3"/>
        <v>0.5833333333</v>
      </c>
      <c r="H23" s="16">
        <f t="shared" si="4"/>
        <v>0.4285714286</v>
      </c>
      <c r="I23" s="13">
        <f t="shared" si="5"/>
        <v>0</v>
      </c>
      <c r="J23" s="14">
        <v>0.0</v>
      </c>
      <c r="K23" s="11">
        <v>0.0</v>
      </c>
      <c r="L23" s="16">
        <f t="shared" si="6"/>
        <v>0</v>
      </c>
      <c r="M23" s="11" t="s">
        <v>41</v>
      </c>
      <c r="N23" s="19">
        <f t="shared" si="8"/>
        <v>12</v>
      </c>
      <c r="O23" s="18">
        <f t="shared" si="9"/>
        <v>1</v>
      </c>
      <c r="P23" s="18">
        <f t="shared" si="10"/>
        <v>4</v>
      </c>
      <c r="Q23" s="11">
        <v>0.0</v>
      </c>
      <c r="R23" s="19">
        <f t="shared" si="11"/>
        <v>12</v>
      </c>
      <c r="S23" s="18">
        <f t="shared" si="12"/>
        <v>4</v>
      </c>
    </row>
    <row r="24">
      <c r="A24" s="2" t="s">
        <v>85</v>
      </c>
      <c r="B24" s="11">
        <v>3.0</v>
      </c>
      <c r="C24" s="13">
        <f t="shared" si="1"/>
        <v>12</v>
      </c>
      <c r="D24" s="14">
        <v>2.0</v>
      </c>
      <c r="E24" s="20">
        <v>5.0</v>
      </c>
      <c r="F24" s="25">
        <f t="shared" si="2"/>
        <v>7</v>
      </c>
      <c r="G24" s="23">
        <f t="shared" si="3"/>
        <v>0.5833333333</v>
      </c>
      <c r="H24" s="23">
        <f t="shared" si="4"/>
        <v>0.2857142857</v>
      </c>
      <c r="I24" s="13">
        <f t="shared" si="5"/>
        <v>0</v>
      </c>
      <c r="J24" s="14">
        <v>0.0</v>
      </c>
      <c r="K24" s="11">
        <v>0.0</v>
      </c>
      <c r="L24" s="16">
        <f t="shared" si="6"/>
        <v>0</v>
      </c>
      <c r="M24" s="11" t="s">
        <v>41</v>
      </c>
      <c r="N24" s="19">
        <f t="shared" si="8"/>
        <v>8</v>
      </c>
      <c r="O24" s="18">
        <f t="shared" si="9"/>
        <v>0.6666666667</v>
      </c>
      <c r="P24" s="18">
        <f t="shared" si="10"/>
        <v>2.666666667</v>
      </c>
      <c r="Q24" s="11">
        <v>0.0</v>
      </c>
      <c r="R24" s="19">
        <f t="shared" si="11"/>
        <v>8</v>
      </c>
      <c r="S24" s="18">
        <f t="shared" si="12"/>
        <v>2.666666667</v>
      </c>
    </row>
    <row r="25">
      <c r="A25" s="2" t="s">
        <v>107</v>
      </c>
      <c r="B25" s="11">
        <v>3.0</v>
      </c>
      <c r="C25" s="13">
        <f t="shared" si="1"/>
        <v>12</v>
      </c>
      <c r="D25" s="14">
        <v>2.0</v>
      </c>
      <c r="E25" s="11">
        <v>4.0</v>
      </c>
      <c r="F25" s="15">
        <f t="shared" si="2"/>
        <v>6</v>
      </c>
      <c r="G25" s="16">
        <f t="shared" si="3"/>
        <v>0.5</v>
      </c>
      <c r="H25" s="16">
        <f t="shared" si="4"/>
        <v>0.3333333333</v>
      </c>
      <c r="I25" s="13">
        <f t="shared" si="5"/>
        <v>0</v>
      </c>
      <c r="J25" s="14">
        <v>0.0</v>
      </c>
      <c r="K25" s="11">
        <v>0.0</v>
      </c>
      <c r="L25" s="16">
        <f t="shared" si="6"/>
        <v>0</v>
      </c>
      <c r="M25" s="11" t="s">
        <v>41</v>
      </c>
      <c r="N25" s="19">
        <f t="shared" si="8"/>
        <v>8</v>
      </c>
      <c r="O25" s="18">
        <f t="shared" si="9"/>
        <v>0.6666666667</v>
      </c>
      <c r="P25" s="18">
        <f t="shared" si="10"/>
        <v>2.666666667</v>
      </c>
      <c r="Q25" s="11">
        <v>0.0</v>
      </c>
      <c r="R25" s="19">
        <f t="shared" si="11"/>
        <v>8</v>
      </c>
      <c r="S25" s="18">
        <f t="shared" si="12"/>
        <v>2.666666667</v>
      </c>
    </row>
    <row r="26">
      <c r="A26" s="2" t="s">
        <v>104</v>
      </c>
      <c r="B26" s="11">
        <v>3.0</v>
      </c>
      <c r="C26" s="13">
        <f t="shared" si="1"/>
        <v>12</v>
      </c>
      <c r="D26" s="14">
        <v>2.0</v>
      </c>
      <c r="E26" s="20">
        <v>4.0</v>
      </c>
      <c r="F26" s="25">
        <f t="shared" si="2"/>
        <v>6</v>
      </c>
      <c r="G26" s="23">
        <f t="shared" si="3"/>
        <v>0.5</v>
      </c>
      <c r="H26" s="23">
        <f t="shared" si="4"/>
        <v>0.3333333333</v>
      </c>
      <c r="I26" s="13">
        <f t="shared" si="5"/>
        <v>1</v>
      </c>
      <c r="J26" s="14">
        <v>1.0</v>
      </c>
      <c r="K26" s="11">
        <v>0.0</v>
      </c>
      <c r="L26" s="16">
        <f t="shared" si="6"/>
        <v>0.08333333333</v>
      </c>
      <c r="M26" s="16">
        <f>J26/I26</f>
        <v>1</v>
      </c>
      <c r="N26" s="19">
        <f t="shared" si="8"/>
        <v>8</v>
      </c>
      <c r="O26" s="18">
        <f t="shared" si="9"/>
        <v>0.6666666667</v>
      </c>
      <c r="P26" s="18">
        <f t="shared" si="10"/>
        <v>2.666666667</v>
      </c>
      <c r="Q26" s="11">
        <v>0.0</v>
      </c>
      <c r="R26" s="19">
        <f t="shared" si="11"/>
        <v>8</v>
      </c>
      <c r="S26" s="18">
        <f t="shared" si="12"/>
        <v>2.666666667</v>
      </c>
    </row>
    <row r="27">
      <c r="A27" s="2" t="s">
        <v>88</v>
      </c>
      <c r="B27" s="11">
        <v>3.0</v>
      </c>
      <c r="C27" s="13">
        <f t="shared" si="1"/>
        <v>12</v>
      </c>
      <c r="D27" s="14">
        <v>2.0</v>
      </c>
      <c r="E27" s="20">
        <v>2.0</v>
      </c>
      <c r="F27" s="25">
        <f t="shared" si="2"/>
        <v>4</v>
      </c>
      <c r="G27" s="23">
        <f t="shared" si="3"/>
        <v>0.3333333333</v>
      </c>
      <c r="H27" s="23">
        <f t="shared" si="4"/>
        <v>0.5</v>
      </c>
      <c r="I27" s="13">
        <f t="shared" si="5"/>
        <v>0</v>
      </c>
      <c r="J27" s="14">
        <v>0.0</v>
      </c>
      <c r="K27" s="11">
        <v>0.0</v>
      </c>
      <c r="L27" s="16">
        <f t="shared" si="6"/>
        <v>0</v>
      </c>
      <c r="M27" s="11" t="s">
        <v>41</v>
      </c>
      <c r="N27" s="19">
        <f t="shared" si="8"/>
        <v>8</v>
      </c>
      <c r="O27" s="18">
        <f t="shared" si="9"/>
        <v>0.6666666667</v>
      </c>
      <c r="P27" s="18">
        <f t="shared" si="10"/>
        <v>2.666666667</v>
      </c>
      <c r="Q27" s="11">
        <v>0.0</v>
      </c>
      <c r="R27" s="19">
        <f t="shared" si="11"/>
        <v>8</v>
      </c>
      <c r="S27" s="18">
        <f t="shared" si="12"/>
        <v>2.666666667</v>
      </c>
    </row>
    <row r="28">
      <c r="A28" s="2" t="s">
        <v>111</v>
      </c>
      <c r="B28" s="11">
        <v>3.0</v>
      </c>
      <c r="C28" s="13">
        <f t="shared" si="1"/>
        <v>12</v>
      </c>
      <c r="D28" s="14">
        <v>1.0</v>
      </c>
      <c r="E28" s="11">
        <v>3.0</v>
      </c>
      <c r="F28" s="15">
        <f t="shared" si="2"/>
        <v>4</v>
      </c>
      <c r="G28" s="16">
        <f t="shared" si="3"/>
        <v>0.3333333333</v>
      </c>
      <c r="H28" s="16">
        <f t="shared" si="4"/>
        <v>0.25</v>
      </c>
      <c r="I28" s="13">
        <f t="shared" si="5"/>
        <v>0</v>
      </c>
      <c r="J28" s="14">
        <v>0.0</v>
      </c>
      <c r="K28" s="11">
        <v>0.0</v>
      </c>
      <c r="L28" s="16">
        <f t="shared" si="6"/>
        <v>0</v>
      </c>
      <c r="M28" s="11" t="s">
        <v>41</v>
      </c>
      <c r="N28" s="19">
        <f t="shared" si="8"/>
        <v>4</v>
      </c>
      <c r="O28" s="18">
        <f t="shared" si="9"/>
        <v>0.3333333333</v>
      </c>
      <c r="P28" s="18">
        <f t="shared" si="10"/>
        <v>1.333333333</v>
      </c>
      <c r="Q28" s="11">
        <v>0.0</v>
      </c>
      <c r="R28" s="19">
        <f t="shared" si="11"/>
        <v>4</v>
      </c>
      <c r="S28" s="18">
        <f t="shared" si="12"/>
        <v>1.333333333</v>
      </c>
    </row>
    <row r="29">
      <c r="A29" s="2" t="s">
        <v>114</v>
      </c>
      <c r="B29" s="11">
        <v>3.0</v>
      </c>
      <c r="C29" s="13">
        <f t="shared" si="1"/>
        <v>12</v>
      </c>
      <c r="D29" s="14">
        <v>1.0</v>
      </c>
      <c r="E29" s="11">
        <v>9.0</v>
      </c>
      <c r="F29" s="15">
        <f t="shared" si="2"/>
        <v>10</v>
      </c>
      <c r="G29" s="16">
        <f t="shared" si="3"/>
        <v>0.8333333333</v>
      </c>
      <c r="H29" s="16">
        <f t="shared" si="4"/>
        <v>0.1</v>
      </c>
      <c r="I29" s="13">
        <f t="shared" si="5"/>
        <v>0</v>
      </c>
      <c r="J29" s="14">
        <v>0.0</v>
      </c>
      <c r="K29" s="11">
        <v>0.0</v>
      </c>
      <c r="L29" s="16">
        <f t="shared" si="6"/>
        <v>0</v>
      </c>
      <c r="M29" s="11" t="s">
        <v>41</v>
      </c>
      <c r="N29" s="19">
        <f t="shared" si="8"/>
        <v>4</v>
      </c>
      <c r="O29" s="18">
        <f t="shared" si="9"/>
        <v>0.3333333333</v>
      </c>
      <c r="P29" s="18">
        <f t="shared" si="10"/>
        <v>1.333333333</v>
      </c>
      <c r="Q29" s="11">
        <v>0.0</v>
      </c>
      <c r="R29" s="19">
        <f t="shared" si="11"/>
        <v>4</v>
      </c>
      <c r="S29" s="18">
        <f t="shared" si="12"/>
        <v>1.333333333</v>
      </c>
    </row>
    <row r="30">
      <c r="A30" s="2" t="s">
        <v>110</v>
      </c>
      <c r="B30" s="11">
        <v>3.0</v>
      </c>
      <c r="C30" s="13">
        <f t="shared" si="1"/>
        <v>12</v>
      </c>
      <c r="D30" s="14">
        <v>1.0</v>
      </c>
      <c r="E30" s="11">
        <v>2.0</v>
      </c>
      <c r="F30" s="15">
        <f t="shared" si="2"/>
        <v>3</v>
      </c>
      <c r="G30" s="16">
        <f t="shared" si="3"/>
        <v>0.25</v>
      </c>
      <c r="H30" s="16">
        <f t="shared" si="4"/>
        <v>0.3333333333</v>
      </c>
      <c r="I30" s="13">
        <f t="shared" si="5"/>
        <v>0</v>
      </c>
      <c r="J30" s="14">
        <v>0.0</v>
      </c>
      <c r="K30" s="11">
        <v>0.0</v>
      </c>
      <c r="L30" s="16">
        <f t="shared" si="6"/>
        <v>0</v>
      </c>
      <c r="M30" s="11" t="s">
        <v>41</v>
      </c>
      <c r="N30" s="19">
        <f t="shared" si="8"/>
        <v>4</v>
      </c>
      <c r="O30" s="18">
        <f t="shared" si="9"/>
        <v>0.3333333333</v>
      </c>
      <c r="P30" s="18">
        <f t="shared" si="10"/>
        <v>1.333333333</v>
      </c>
      <c r="Q30" s="11">
        <v>0.0</v>
      </c>
      <c r="R30" s="19">
        <f t="shared" si="11"/>
        <v>4</v>
      </c>
      <c r="S30" s="18">
        <f t="shared" si="12"/>
        <v>1.333333333</v>
      </c>
    </row>
    <row r="31">
      <c r="A31" s="2" t="s">
        <v>117</v>
      </c>
      <c r="B31" s="11">
        <v>3.0</v>
      </c>
      <c r="C31" s="13">
        <f t="shared" si="1"/>
        <v>12</v>
      </c>
      <c r="D31" s="14">
        <v>1.0</v>
      </c>
      <c r="E31" s="11">
        <v>6.0</v>
      </c>
      <c r="F31" s="15">
        <f t="shared" si="2"/>
        <v>7</v>
      </c>
      <c r="G31" s="16">
        <f t="shared" si="3"/>
        <v>0.5833333333</v>
      </c>
      <c r="H31" s="16">
        <f t="shared" si="4"/>
        <v>0.1428571429</v>
      </c>
      <c r="I31" s="13">
        <f t="shared" si="5"/>
        <v>0</v>
      </c>
      <c r="J31" s="14">
        <v>0.0</v>
      </c>
      <c r="K31" s="11">
        <v>0.0</v>
      </c>
      <c r="L31" s="16">
        <f t="shared" si="6"/>
        <v>0</v>
      </c>
      <c r="M31" s="11" t="s">
        <v>41</v>
      </c>
      <c r="N31" s="19">
        <f t="shared" si="8"/>
        <v>4</v>
      </c>
      <c r="O31" s="18">
        <f t="shared" si="9"/>
        <v>0.3333333333</v>
      </c>
      <c r="P31" s="18">
        <f t="shared" si="10"/>
        <v>1.333333333</v>
      </c>
      <c r="Q31" s="11">
        <v>0.0</v>
      </c>
      <c r="R31" s="19">
        <f t="shared" si="11"/>
        <v>4</v>
      </c>
      <c r="S31" s="18">
        <f t="shared" si="12"/>
        <v>1.333333333</v>
      </c>
    </row>
    <row r="32">
      <c r="A32" s="2" t="s">
        <v>119</v>
      </c>
      <c r="B32" s="11">
        <v>3.0</v>
      </c>
      <c r="C32" s="13">
        <f t="shared" si="1"/>
        <v>12</v>
      </c>
      <c r="D32" s="14">
        <v>1.0</v>
      </c>
      <c r="E32" s="11">
        <v>3.0</v>
      </c>
      <c r="F32" s="15">
        <f t="shared" si="2"/>
        <v>4</v>
      </c>
      <c r="G32" s="16">
        <f t="shared" si="3"/>
        <v>0.3333333333</v>
      </c>
      <c r="H32" s="16">
        <f t="shared" si="4"/>
        <v>0.25</v>
      </c>
      <c r="I32" s="13">
        <f t="shared" si="5"/>
        <v>0</v>
      </c>
      <c r="J32" s="14">
        <v>0.0</v>
      </c>
      <c r="K32" s="11">
        <v>0.0</v>
      </c>
      <c r="L32" s="16">
        <f t="shared" si="6"/>
        <v>0</v>
      </c>
      <c r="M32" s="11" t="s">
        <v>41</v>
      </c>
      <c r="N32" s="19">
        <f t="shared" si="8"/>
        <v>4</v>
      </c>
      <c r="O32" s="18">
        <f t="shared" si="9"/>
        <v>0.3333333333</v>
      </c>
      <c r="P32" s="18">
        <f t="shared" si="10"/>
        <v>1.333333333</v>
      </c>
      <c r="Q32" s="11">
        <v>0.0</v>
      </c>
      <c r="R32" s="19">
        <f t="shared" si="11"/>
        <v>4</v>
      </c>
      <c r="S32" s="18">
        <f t="shared" si="12"/>
        <v>1.333333333</v>
      </c>
    </row>
    <row r="33">
      <c r="A33" s="2" t="s">
        <v>64</v>
      </c>
      <c r="B33" s="11">
        <v>3.0</v>
      </c>
      <c r="C33" s="13">
        <f t="shared" si="1"/>
        <v>12</v>
      </c>
      <c r="D33" s="14">
        <v>0.0</v>
      </c>
      <c r="E33" s="20">
        <v>2.0</v>
      </c>
      <c r="F33" s="25">
        <f t="shared" si="2"/>
        <v>2</v>
      </c>
      <c r="G33" s="23">
        <f t="shared" si="3"/>
        <v>0.1666666667</v>
      </c>
      <c r="H33" s="23">
        <f t="shared" si="4"/>
        <v>0</v>
      </c>
      <c r="I33" s="13">
        <f t="shared" si="5"/>
        <v>0</v>
      </c>
      <c r="J33" s="14">
        <v>0.0</v>
      </c>
      <c r="K33" s="11">
        <v>0.0</v>
      </c>
      <c r="L33" s="16">
        <f t="shared" si="6"/>
        <v>0</v>
      </c>
      <c r="M33" s="11" t="s">
        <v>41</v>
      </c>
      <c r="N33" s="19">
        <f t="shared" si="8"/>
        <v>0</v>
      </c>
      <c r="O33" s="18">
        <f t="shared" si="9"/>
        <v>0</v>
      </c>
      <c r="P33" s="18">
        <f t="shared" si="10"/>
        <v>0</v>
      </c>
      <c r="Q33" s="11">
        <v>0.0</v>
      </c>
      <c r="R33" s="19">
        <f t="shared" si="11"/>
        <v>0</v>
      </c>
      <c r="S33" s="18">
        <f t="shared" si="12"/>
        <v>0</v>
      </c>
    </row>
    <row r="34">
      <c r="D34" s="29"/>
      <c r="F34" s="31"/>
      <c r="G34" s="30"/>
      <c r="H34" s="30"/>
      <c r="J34" s="29"/>
      <c r="L34" s="30"/>
      <c r="M34" s="30"/>
      <c r="O34" s="32"/>
      <c r="P34" s="32"/>
      <c r="S34" s="32"/>
    </row>
    <row r="35">
      <c r="D35" s="29"/>
      <c r="F35" s="31"/>
      <c r="G35" s="30"/>
      <c r="H35" s="30"/>
      <c r="J35" s="29"/>
      <c r="L35" s="30"/>
      <c r="M35" s="30"/>
      <c r="O35" s="32"/>
      <c r="P35" s="32"/>
      <c r="S35" s="32"/>
    </row>
    <row r="36">
      <c r="D36" s="29"/>
      <c r="F36" s="31"/>
      <c r="G36" s="30"/>
      <c r="H36" s="30"/>
      <c r="J36" s="29"/>
      <c r="L36" s="30"/>
      <c r="M36" s="30"/>
      <c r="O36" s="32"/>
      <c r="P36" s="32"/>
      <c r="S36" s="32"/>
    </row>
    <row r="37">
      <c r="D37" s="29"/>
      <c r="F37" s="31"/>
      <c r="G37" s="30"/>
      <c r="H37" s="30"/>
      <c r="J37" s="29"/>
      <c r="L37" s="30"/>
      <c r="M37" s="30"/>
      <c r="O37" s="32"/>
      <c r="P37" s="32"/>
      <c r="S37" s="32"/>
    </row>
    <row r="38">
      <c r="D38" s="29"/>
      <c r="F38" s="31"/>
      <c r="G38" s="30"/>
      <c r="H38" s="30"/>
      <c r="J38" s="29"/>
      <c r="L38" s="30"/>
      <c r="M38" s="30"/>
      <c r="O38" s="32"/>
      <c r="P38" s="32"/>
      <c r="S38" s="32"/>
    </row>
    <row r="39">
      <c r="D39" s="29"/>
      <c r="F39" s="31"/>
      <c r="G39" s="30"/>
      <c r="H39" s="30"/>
      <c r="J39" s="29"/>
      <c r="L39" s="30"/>
      <c r="M39" s="30"/>
      <c r="O39" s="32"/>
      <c r="P39" s="32"/>
      <c r="S39" s="32"/>
    </row>
    <row r="40">
      <c r="D40" s="29"/>
      <c r="F40" s="31"/>
      <c r="G40" s="30"/>
      <c r="H40" s="30"/>
      <c r="J40" s="29"/>
      <c r="L40" s="30"/>
      <c r="M40" s="30"/>
      <c r="O40" s="32"/>
      <c r="P40" s="32"/>
      <c r="S40" s="32"/>
    </row>
    <row r="41">
      <c r="D41" s="29"/>
      <c r="F41" s="31"/>
      <c r="G41" s="30"/>
      <c r="H41" s="30"/>
      <c r="J41" s="29"/>
      <c r="L41" s="30"/>
      <c r="M41" s="30"/>
      <c r="O41" s="32"/>
      <c r="P41" s="32"/>
      <c r="S41" s="32"/>
    </row>
    <row r="42">
      <c r="D42" s="29"/>
      <c r="F42" s="31"/>
      <c r="G42" s="30"/>
      <c r="H42" s="30"/>
      <c r="J42" s="29"/>
      <c r="L42" s="30"/>
      <c r="M42" s="30"/>
      <c r="O42" s="32"/>
      <c r="P42" s="32"/>
      <c r="S42" s="32"/>
    </row>
    <row r="43">
      <c r="D43" s="29"/>
      <c r="F43" s="31"/>
      <c r="G43" s="30"/>
      <c r="H43" s="30"/>
      <c r="J43" s="29"/>
      <c r="L43" s="30"/>
      <c r="M43" s="30"/>
      <c r="O43" s="32"/>
      <c r="P43" s="32"/>
      <c r="S43" s="32"/>
    </row>
    <row r="44">
      <c r="D44" s="29"/>
      <c r="F44" s="31"/>
      <c r="G44" s="30"/>
      <c r="H44" s="30"/>
      <c r="J44" s="29"/>
      <c r="L44" s="30"/>
      <c r="M44" s="30"/>
      <c r="O44" s="32"/>
      <c r="P44" s="32"/>
      <c r="S44" s="32"/>
    </row>
    <row r="45">
      <c r="D45" s="29"/>
      <c r="F45" s="31"/>
      <c r="G45" s="30"/>
      <c r="H45" s="30"/>
      <c r="J45" s="29"/>
      <c r="L45" s="30"/>
      <c r="M45" s="30"/>
      <c r="O45" s="32"/>
      <c r="P45" s="32"/>
      <c r="S45" s="32"/>
    </row>
    <row r="46">
      <c r="D46" s="29"/>
      <c r="F46" s="31"/>
      <c r="G46" s="30"/>
      <c r="H46" s="30"/>
      <c r="J46" s="29"/>
      <c r="L46" s="30"/>
      <c r="M46" s="30"/>
      <c r="O46" s="32"/>
      <c r="P46" s="32"/>
      <c r="S46" s="32"/>
    </row>
    <row r="47">
      <c r="D47" s="29"/>
      <c r="F47" s="31"/>
      <c r="G47" s="30"/>
      <c r="H47" s="30"/>
      <c r="J47" s="29"/>
      <c r="L47" s="30"/>
      <c r="M47" s="30"/>
      <c r="O47" s="32"/>
      <c r="P47" s="32"/>
      <c r="S47" s="32"/>
    </row>
    <row r="48">
      <c r="D48" s="29"/>
      <c r="F48" s="31"/>
      <c r="G48" s="30"/>
      <c r="H48" s="30"/>
      <c r="J48" s="29"/>
      <c r="L48" s="30"/>
      <c r="M48" s="30"/>
      <c r="O48" s="32"/>
      <c r="P48" s="32"/>
      <c r="S48" s="32"/>
    </row>
    <row r="49">
      <c r="D49" s="29"/>
      <c r="F49" s="31"/>
      <c r="G49" s="30"/>
      <c r="H49" s="30"/>
      <c r="J49" s="29"/>
      <c r="L49" s="30"/>
      <c r="M49" s="30"/>
      <c r="O49" s="32"/>
      <c r="P49" s="32"/>
      <c r="S49" s="32"/>
    </row>
    <row r="50">
      <c r="D50" s="29"/>
      <c r="F50" s="31"/>
      <c r="G50" s="30"/>
      <c r="H50" s="30"/>
      <c r="J50" s="29"/>
      <c r="L50" s="30"/>
      <c r="M50" s="30"/>
      <c r="O50" s="32"/>
      <c r="P50" s="32"/>
      <c r="S50" s="32"/>
    </row>
    <row r="51">
      <c r="D51" s="29"/>
      <c r="F51" s="31"/>
      <c r="G51" s="30"/>
      <c r="H51" s="30"/>
      <c r="J51" s="29"/>
      <c r="L51" s="30"/>
      <c r="M51" s="30"/>
      <c r="O51" s="32"/>
      <c r="P51" s="32"/>
      <c r="S51" s="32"/>
    </row>
    <row r="52">
      <c r="D52" s="29"/>
      <c r="F52" s="31"/>
      <c r="G52" s="30"/>
      <c r="H52" s="30"/>
      <c r="J52" s="29"/>
      <c r="L52" s="30"/>
      <c r="M52" s="30"/>
      <c r="O52" s="32"/>
      <c r="P52" s="32"/>
      <c r="S52" s="32"/>
    </row>
    <row r="53">
      <c r="D53" s="29"/>
      <c r="F53" s="31"/>
      <c r="G53" s="30"/>
      <c r="H53" s="30"/>
      <c r="J53" s="29"/>
      <c r="L53" s="30"/>
      <c r="M53" s="30"/>
      <c r="O53" s="32"/>
      <c r="P53" s="32"/>
      <c r="S53" s="32"/>
    </row>
    <row r="54">
      <c r="D54" s="29"/>
      <c r="F54" s="31"/>
      <c r="G54" s="30"/>
      <c r="H54" s="30"/>
      <c r="J54" s="29"/>
      <c r="L54" s="30"/>
      <c r="M54" s="30"/>
      <c r="O54" s="32"/>
      <c r="P54" s="32"/>
      <c r="S54" s="32"/>
    </row>
    <row r="55">
      <c r="D55" s="29"/>
      <c r="F55" s="31"/>
      <c r="G55" s="30"/>
      <c r="H55" s="30"/>
      <c r="J55" s="29"/>
      <c r="L55" s="30"/>
      <c r="M55" s="30"/>
      <c r="O55" s="32"/>
      <c r="P55" s="32"/>
      <c r="S55" s="32"/>
    </row>
    <row r="56">
      <c r="D56" s="29"/>
      <c r="F56" s="31"/>
      <c r="G56" s="30"/>
      <c r="H56" s="30"/>
      <c r="J56" s="29"/>
      <c r="L56" s="30"/>
      <c r="M56" s="30"/>
      <c r="O56" s="32"/>
      <c r="P56" s="32"/>
      <c r="S56" s="32"/>
    </row>
    <row r="57">
      <c r="D57" s="29"/>
      <c r="F57" s="31"/>
      <c r="G57" s="30"/>
      <c r="H57" s="30"/>
      <c r="J57" s="29"/>
      <c r="L57" s="30"/>
      <c r="M57" s="30"/>
      <c r="O57" s="32"/>
      <c r="P57" s="32"/>
      <c r="S57" s="32"/>
    </row>
    <row r="58">
      <c r="D58" s="29"/>
      <c r="F58" s="31"/>
      <c r="G58" s="30"/>
      <c r="H58" s="30"/>
      <c r="J58" s="29"/>
      <c r="L58" s="30"/>
      <c r="M58" s="30"/>
      <c r="O58" s="32"/>
      <c r="P58" s="32"/>
      <c r="S58" s="32"/>
    </row>
    <row r="59">
      <c r="D59" s="29"/>
      <c r="F59" s="31"/>
      <c r="G59" s="30"/>
      <c r="H59" s="30"/>
      <c r="J59" s="29"/>
      <c r="L59" s="30"/>
      <c r="M59" s="30"/>
      <c r="O59" s="32"/>
      <c r="P59" s="32"/>
      <c r="S59" s="32"/>
    </row>
    <row r="60">
      <c r="D60" s="29"/>
      <c r="F60" s="31"/>
      <c r="G60" s="30"/>
      <c r="H60" s="30"/>
      <c r="J60" s="29"/>
      <c r="L60" s="30"/>
      <c r="M60" s="30"/>
      <c r="O60" s="32"/>
      <c r="P60" s="32"/>
      <c r="S60" s="32"/>
    </row>
    <row r="61">
      <c r="D61" s="29"/>
      <c r="F61" s="31"/>
      <c r="G61" s="30"/>
      <c r="H61" s="30"/>
      <c r="J61" s="29"/>
      <c r="L61" s="30"/>
      <c r="M61" s="30"/>
      <c r="O61" s="32"/>
      <c r="P61" s="32"/>
      <c r="S61" s="32"/>
    </row>
    <row r="62">
      <c r="D62" s="29"/>
      <c r="F62" s="31"/>
      <c r="G62" s="30"/>
      <c r="H62" s="30"/>
      <c r="J62" s="29"/>
      <c r="L62" s="30"/>
      <c r="M62" s="30"/>
      <c r="O62" s="32"/>
      <c r="P62" s="32"/>
      <c r="S62" s="32"/>
    </row>
    <row r="63">
      <c r="D63" s="29"/>
      <c r="F63" s="31"/>
      <c r="G63" s="30"/>
      <c r="H63" s="30"/>
      <c r="J63" s="29"/>
      <c r="L63" s="30"/>
      <c r="M63" s="30"/>
      <c r="O63" s="32"/>
      <c r="P63" s="32"/>
      <c r="S63" s="32"/>
    </row>
    <row r="64">
      <c r="D64" s="29"/>
      <c r="F64" s="31"/>
      <c r="G64" s="30"/>
      <c r="H64" s="30"/>
      <c r="J64" s="29"/>
      <c r="L64" s="30"/>
      <c r="M64" s="30"/>
      <c r="O64" s="32"/>
      <c r="P64" s="32"/>
      <c r="S64" s="32"/>
    </row>
    <row r="65">
      <c r="D65" s="29"/>
      <c r="F65" s="31"/>
      <c r="G65" s="30"/>
      <c r="H65" s="30"/>
      <c r="J65" s="29"/>
      <c r="L65" s="30"/>
      <c r="M65" s="30"/>
      <c r="O65" s="32"/>
      <c r="P65" s="32"/>
      <c r="S65" s="32"/>
    </row>
    <row r="66">
      <c r="D66" s="29"/>
      <c r="F66" s="31"/>
      <c r="G66" s="30"/>
      <c r="H66" s="30"/>
      <c r="J66" s="29"/>
      <c r="L66" s="30"/>
      <c r="M66" s="30"/>
      <c r="O66" s="32"/>
      <c r="P66" s="32"/>
      <c r="S66" s="32"/>
    </row>
    <row r="67">
      <c r="D67" s="29"/>
      <c r="F67" s="31"/>
      <c r="G67" s="30"/>
      <c r="H67" s="30"/>
      <c r="J67" s="29"/>
      <c r="L67" s="30"/>
      <c r="M67" s="30"/>
      <c r="O67" s="32"/>
      <c r="P67" s="32"/>
      <c r="S67" s="32"/>
    </row>
    <row r="68">
      <c r="D68" s="29"/>
      <c r="F68" s="31"/>
      <c r="G68" s="30"/>
      <c r="H68" s="30"/>
      <c r="J68" s="29"/>
      <c r="L68" s="30"/>
      <c r="M68" s="30"/>
      <c r="O68" s="32"/>
      <c r="P68" s="32"/>
      <c r="S68" s="32"/>
    </row>
    <row r="69">
      <c r="D69" s="29"/>
      <c r="F69" s="31"/>
      <c r="G69" s="30"/>
      <c r="H69" s="30"/>
      <c r="J69" s="29"/>
      <c r="L69" s="30"/>
      <c r="M69" s="30"/>
      <c r="O69" s="32"/>
      <c r="P69" s="32"/>
      <c r="S69" s="32"/>
    </row>
    <row r="70">
      <c r="D70" s="29"/>
      <c r="F70" s="31"/>
      <c r="G70" s="30"/>
      <c r="H70" s="30"/>
      <c r="J70" s="29"/>
      <c r="L70" s="30"/>
      <c r="M70" s="30"/>
      <c r="O70" s="32"/>
      <c r="P70" s="32"/>
      <c r="S70" s="32"/>
    </row>
    <row r="71">
      <c r="D71" s="29"/>
      <c r="F71" s="31"/>
      <c r="G71" s="30"/>
      <c r="H71" s="30"/>
      <c r="J71" s="29"/>
      <c r="L71" s="30"/>
      <c r="M71" s="30"/>
      <c r="O71" s="32"/>
      <c r="P71" s="32"/>
      <c r="S71" s="32"/>
    </row>
    <row r="72">
      <c r="D72" s="29"/>
      <c r="F72" s="31"/>
      <c r="G72" s="30"/>
      <c r="H72" s="30"/>
      <c r="J72" s="29"/>
      <c r="L72" s="30"/>
      <c r="M72" s="30"/>
      <c r="O72" s="32"/>
      <c r="P72" s="32"/>
      <c r="S72" s="32"/>
    </row>
    <row r="73">
      <c r="D73" s="29"/>
      <c r="F73" s="31"/>
      <c r="G73" s="30"/>
      <c r="H73" s="30"/>
      <c r="J73" s="29"/>
      <c r="L73" s="30"/>
      <c r="M73" s="30"/>
      <c r="O73" s="32"/>
      <c r="P73" s="32"/>
      <c r="S73" s="32"/>
    </row>
    <row r="74">
      <c r="D74" s="29"/>
      <c r="F74" s="31"/>
      <c r="G74" s="30"/>
      <c r="H74" s="30"/>
      <c r="J74" s="29"/>
      <c r="L74" s="30"/>
      <c r="M74" s="30"/>
      <c r="O74" s="32"/>
      <c r="P74" s="32"/>
      <c r="S74" s="32"/>
    </row>
    <row r="75">
      <c r="D75" s="29"/>
      <c r="F75" s="31"/>
      <c r="G75" s="30"/>
      <c r="H75" s="30"/>
      <c r="J75" s="29"/>
      <c r="L75" s="30"/>
      <c r="M75" s="30"/>
      <c r="O75" s="32"/>
      <c r="P75" s="32"/>
      <c r="S75" s="32"/>
    </row>
    <row r="76">
      <c r="D76" s="29"/>
      <c r="F76" s="31"/>
      <c r="G76" s="30"/>
      <c r="H76" s="30"/>
      <c r="J76" s="29"/>
      <c r="L76" s="30"/>
      <c r="M76" s="30"/>
      <c r="O76" s="32"/>
      <c r="P76" s="32"/>
      <c r="S76" s="32"/>
    </row>
    <row r="77">
      <c r="D77" s="29"/>
      <c r="F77" s="31"/>
      <c r="G77" s="30"/>
      <c r="H77" s="30"/>
      <c r="J77" s="29"/>
      <c r="L77" s="30"/>
      <c r="M77" s="30"/>
      <c r="O77" s="32"/>
      <c r="P77" s="32"/>
      <c r="S77" s="32"/>
    </row>
    <row r="78">
      <c r="D78" s="29"/>
      <c r="F78" s="31"/>
      <c r="G78" s="30"/>
      <c r="H78" s="30"/>
      <c r="J78" s="29"/>
      <c r="L78" s="30"/>
      <c r="M78" s="30"/>
      <c r="O78" s="32"/>
      <c r="P78" s="32"/>
      <c r="S78" s="32"/>
    </row>
    <row r="79">
      <c r="D79" s="29"/>
      <c r="F79" s="31"/>
      <c r="G79" s="30"/>
      <c r="H79" s="30"/>
      <c r="J79" s="29"/>
      <c r="L79" s="30"/>
      <c r="M79" s="30"/>
      <c r="O79" s="32"/>
      <c r="P79" s="32"/>
      <c r="S79" s="32"/>
    </row>
    <row r="80">
      <c r="D80" s="29"/>
      <c r="F80" s="31"/>
      <c r="G80" s="30"/>
      <c r="H80" s="30"/>
      <c r="J80" s="29"/>
      <c r="L80" s="30"/>
      <c r="M80" s="30"/>
      <c r="O80" s="32"/>
      <c r="P80" s="32"/>
      <c r="S80" s="32"/>
    </row>
    <row r="81">
      <c r="D81" s="29"/>
      <c r="F81" s="31"/>
      <c r="G81" s="30"/>
      <c r="H81" s="30"/>
      <c r="J81" s="29"/>
      <c r="L81" s="30"/>
      <c r="M81" s="30"/>
      <c r="O81" s="32"/>
      <c r="P81" s="32"/>
      <c r="S81" s="32"/>
    </row>
    <row r="82">
      <c r="D82" s="29"/>
      <c r="F82" s="31"/>
      <c r="G82" s="30"/>
      <c r="H82" s="30"/>
      <c r="J82" s="29"/>
      <c r="L82" s="30"/>
      <c r="M82" s="30"/>
      <c r="O82" s="32"/>
      <c r="P82" s="32"/>
      <c r="S82" s="32"/>
    </row>
    <row r="83">
      <c r="D83" s="29"/>
      <c r="F83" s="31"/>
      <c r="G83" s="30"/>
      <c r="H83" s="30"/>
      <c r="J83" s="29"/>
      <c r="L83" s="30"/>
      <c r="M83" s="30"/>
      <c r="O83" s="32"/>
      <c r="P83" s="32"/>
      <c r="S83" s="32"/>
    </row>
    <row r="84">
      <c r="D84" s="29"/>
      <c r="F84" s="31"/>
      <c r="G84" s="30"/>
      <c r="H84" s="30"/>
      <c r="J84" s="29"/>
      <c r="L84" s="30"/>
      <c r="M84" s="30"/>
      <c r="O84" s="32"/>
      <c r="P84" s="32"/>
      <c r="S84" s="32"/>
    </row>
    <row r="85">
      <c r="D85" s="29"/>
      <c r="F85" s="31"/>
      <c r="G85" s="30"/>
      <c r="H85" s="30"/>
      <c r="J85" s="29"/>
      <c r="L85" s="30"/>
      <c r="M85" s="30"/>
      <c r="O85" s="32"/>
      <c r="P85" s="32"/>
      <c r="S85" s="32"/>
    </row>
    <row r="86">
      <c r="D86" s="29"/>
      <c r="F86" s="31"/>
      <c r="G86" s="30"/>
      <c r="H86" s="30"/>
      <c r="J86" s="29"/>
      <c r="L86" s="30"/>
      <c r="M86" s="30"/>
      <c r="O86" s="32"/>
      <c r="P86" s="32"/>
      <c r="S86" s="32"/>
    </row>
    <row r="87">
      <c r="D87" s="29"/>
      <c r="F87" s="31"/>
      <c r="G87" s="30"/>
      <c r="H87" s="30"/>
      <c r="J87" s="29"/>
      <c r="L87" s="30"/>
      <c r="M87" s="30"/>
      <c r="O87" s="32"/>
      <c r="P87" s="32"/>
      <c r="S87" s="32"/>
    </row>
    <row r="88">
      <c r="D88" s="29"/>
      <c r="F88" s="31"/>
      <c r="G88" s="30"/>
      <c r="H88" s="30"/>
      <c r="J88" s="29"/>
      <c r="L88" s="30"/>
      <c r="M88" s="30"/>
      <c r="O88" s="32"/>
      <c r="P88" s="32"/>
      <c r="S88" s="32"/>
    </row>
    <row r="89">
      <c r="D89" s="29"/>
      <c r="F89" s="31"/>
      <c r="G89" s="30"/>
      <c r="H89" s="30"/>
      <c r="J89" s="29"/>
      <c r="L89" s="30"/>
      <c r="M89" s="30"/>
      <c r="O89" s="32"/>
      <c r="P89" s="32"/>
      <c r="S89" s="32"/>
    </row>
    <row r="90">
      <c r="D90" s="29"/>
      <c r="F90" s="31"/>
      <c r="G90" s="30"/>
      <c r="H90" s="30"/>
      <c r="J90" s="29"/>
      <c r="L90" s="30"/>
      <c r="M90" s="30"/>
      <c r="O90" s="32"/>
      <c r="P90" s="32"/>
      <c r="S90" s="32"/>
    </row>
    <row r="91">
      <c r="D91" s="29"/>
      <c r="F91" s="31"/>
      <c r="G91" s="30"/>
      <c r="H91" s="30"/>
      <c r="J91" s="29"/>
      <c r="L91" s="30"/>
      <c r="M91" s="30"/>
      <c r="O91" s="32"/>
      <c r="P91" s="32"/>
      <c r="S91" s="32"/>
    </row>
    <row r="92">
      <c r="D92" s="29"/>
      <c r="F92" s="31"/>
      <c r="G92" s="30"/>
      <c r="H92" s="30"/>
      <c r="J92" s="29"/>
      <c r="L92" s="30"/>
      <c r="M92" s="30"/>
      <c r="O92" s="32"/>
      <c r="P92" s="32"/>
      <c r="S92" s="32"/>
    </row>
    <row r="93">
      <c r="D93" s="29"/>
      <c r="F93" s="31"/>
      <c r="G93" s="30"/>
      <c r="H93" s="30"/>
      <c r="J93" s="29"/>
      <c r="L93" s="30"/>
      <c r="M93" s="30"/>
      <c r="O93" s="32"/>
      <c r="P93" s="32"/>
      <c r="S93" s="32"/>
    </row>
    <row r="94">
      <c r="D94" s="29"/>
      <c r="F94" s="31"/>
      <c r="G94" s="30"/>
      <c r="H94" s="30"/>
      <c r="J94" s="29"/>
      <c r="L94" s="30"/>
      <c r="M94" s="30"/>
      <c r="O94" s="32"/>
      <c r="P94" s="32"/>
      <c r="S94" s="32"/>
    </row>
    <row r="95">
      <c r="D95" s="29"/>
      <c r="F95" s="31"/>
      <c r="G95" s="30"/>
      <c r="H95" s="30"/>
      <c r="J95" s="29"/>
      <c r="L95" s="30"/>
      <c r="M95" s="30"/>
      <c r="O95" s="32"/>
      <c r="P95" s="32"/>
      <c r="S95" s="32"/>
    </row>
    <row r="96">
      <c r="D96" s="29"/>
      <c r="F96" s="31"/>
      <c r="G96" s="30"/>
      <c r="H96" s="30"/>
      <c r="J96" s="29"/>
      <c r="L96" s="30"/>
      <c r="M96" s="30"/>
      <c r="O96" s="32"/>
      <c r="P96" s="32"/>
      <c r="S96" s="32"/>
    </row>
    <row r="97">
      <c r="D97" s="29"/>
      <c r="F97" s="31"/>
      <c r="G97" s="30"/>
      <c r="H97" s="30"/>
      <c r="J97" s="29"/>
      <c r="L97" s="30"/>
      <c r="M97" s="30"/>
      <c r="O97" s="32"/>
      <c r="P97" s="32"/>
      <c r="S97" s="32"/>
    </row>
    <row r="98">
      <c r="D98" s="29"/>
      <c r="F98" s="31"/>
      <c r="G98" s="30"/>
      <c r="H98" s="30"/>
      <c r="J98" s="29"/>
      <c r="L98" s="30"/>
      <c r="M98" s="30"/>
      <c r="O98" s="32"/>
      <c r="P98" s="32"/>
      <c r="S98" s="32"/>
    </row>
    <row r="99">
      <c r="D99" s="29"/>
      <c r="F99" s="31"/>
      <c r="G99" s="30"/>
      <c r="H99" s="30"/>
      <c r="J99" s="29"/>
      <c r="L99" s="30"/>
      <c r="M99" s="30"/>
      <c r="O99" s="32"/>
      <c r="P99" s="32"/>
      <c r="S99" s="32"/>
    </row>
    <row r="100">
      <c r="D100" s="29"/>
      <c r="F100" s="31"/>
      <c r="G100" s="30"/>
      <c r="H100" s="30"/>
      <c r="J100" s="29"/>
      <c r="L100" s="30"/>
      <c r="M100" s="30"/>
      <c r="O100" s="32"/>
      <c r="P100" s="32"/>
      <c r="S100" s="32"/>
    </row>
    <row r="101">
      <c r="D101" s="29"/>
      <c r="F101" s="31"/>
      <c r="G101" s="30"/>
      <c r="H101" s="30"/>
      <c r="J101" s="29"/>
      <c r="L101" s="30"/>
      <c r="M101" s="30"/>
      <c r="O101" s="32"/>
      <c r="P101" s="32"/>
      <c r="S101" s="32"/>
    </row>
    <row r="102">
      <c r="D102" s="29"/>
      <c r="F102" s="31"/>
      <c r="G102" s="30"/>
      <c r="H102" s="30"/>
      <c r="J102" s="29"/>
      <c r="L102" s="30"/>
      <c r="M102" s="30"/>
      <c r="O102" s="32"/>
      <c r="P102" s="32"/>
      <c r="S102" s="32"/>
    </row>
    <row r="103">
      <c r="D103" s="29"/>
      <c r="F103" s="31"/>
      <c r="G103" s="30"/>
      <c r="H103" s="30"/>
      <c r="J103" s="29"/>
      <c r="L103" s="30"/>
      <c r="M103" s="30"/>
      <c r="O103" s="32"/>
      <c r="P103" s="32"/>
      <c r="S103" s="32"/>
    </row>
    <row r="104">
      <c r="D104" s="29"/>
      <c r="F104" s="31"/>
      <c r="G104" s="30"/>
      <c r="H104" s="30"/>
      <c r="J104" s="29"/>
      <c r="L104" s="30"/>
      <c r="M104" s="30"/>
      <c r="O104" s="32"/>
      <c r="P104" s="32"/>
      <c r="S104" s="32"/>
    </row>
    <row r="105">
      <c r="D105" s="29"/>
      <c r="F105" s="31"/>
      <c r="G105" s="30"/>
      <c r="H105" s="30"/>
      <c r="J105" s="29"/>
      <c r="L105" s="30"/>
      <c r="M105" s="30"/>
      <c r="O105" s="32"/>
      <c r="P105" s="32"/>
      <c r="S105" s="32"/>
    </row>
    <row r="106">
      <c r="D106" s="29"/>
      <c r="F106" s="31"/>
      <c r="G106" s="30"/>
      <c r="H106" s="30"/>
      <c r="J106" s="29"/>
      <c r="L106" s="30"/>
      <c r="M106" s="30"/>
      <c r="O106" s="32"/>
      <c r="P106" s="32"/>
      <c r="S106" s="32"/>
    </row>
    <row r="107">
      <c r="D107" s="29"/>
      <c r="F107" s="31"/>
      <c r="G107" s="30"/>
      <c r="H107" s="30"/>
      <c r="J107" s="29"/>
      <c r="L107" s="30"/>
      <c r="M107" s="30"/>
      <c r="O107" s="32"/>
      <c r="P107" s="32"/>
      <c r="S107" s="32"/>
    </row>
    <row r="108">
      <c r="D108" s="29"/>
      <c r="F108" s="31"/>
      <c r="G108" s="30"/>
      <c r="H108" s="30"/>
      <c r="J108" s="29"/>
      <c r="L108" s="30"/>
      <c r="M108" s="30"/>
      <c r="O108" s="32"/>
      <c r="P108" s="32"/>
      <c r="S108" s="32"/>
    </row>
    <row r="109">
      <c r="D109" s="29"/>
      <c r="F109" s="31"/>
      <c r="G109" s="30"/>
      <c r="H109" s="30"/>
      <c r="J109" s="29"/>
      <c r="L109" s="30"/>
      <c r="M109" s="30"/>
      <c r="O109" s="32"/>
      <c r="P109" s="32"/>
      <c r="S109" s="32"/>
    </row>
    <row r="110">
      <c r="D110" s="29"/>
      <c r="F110" s="31"/>
      <c r="G110" s="30"/>
      <c r="H110" s="30"/>
      <c r="J110" s="29"/>
      <c r="L110" s="30"/>
      <c r="M110" s="30"/>
      <c r="O110" s="32"/>
      <c r="P110" s="32"/>
      <c r="S110" s="32"/>
    </row>
    <row r="111">
      <c r="D111" s="29"/>
      <c r="F111" s="31"/>
      <c r="G111" s="30"/>
      <c r="H111" s="30"/>
      <c r="J111" s="29"/>
      <c r="L111" s="30"/>
      <c r="M111" s="30"/>
      <c r="O111" s="32"/>
      <c r="P111" s="32"/>
      <c r="S111" s="32"/>
    </row>
    <row r="112">
      <c r="D112" s="29"/>
      <c r="F112" s="31"/>
      <c r="G112" s="30"/>
      <c r="H112" s="30"/>
      <c r="J112" s="29"/>
      <c r="L112" s="30"/>
      <c r="M112" s="30"/>
      <c r="O112" s="32"/>
      <c r="P112" s="32"/>
      <c r="S112" s="32"/>
    </row>
    <row r="113">
      <c r="D113" s="29"/>
      <c r="F113" s="31"/>
      <c r="G113" s="30"/>
      <c r="H113" s="30"/>
      <c r="J113" s="29"/>
      <c r="L113" s="30"/>
      <c r="M113" s="30"/>
      <c r="O113" s="32"/>
      <c r="P113" s="32"/>
      <c r="S113" s="32"/>
    </row>
    <row r="114">
      <c r="D114" s="29"/>
      <c r="F114" s="31"/>
      <c r="G114" s="30"/>
      <c r="H114" s="30"/>
      <c r="J114" s="29"/>
      <c r="L114" s="30"/>
      <c r="M114" s="30"/>
      <c r="O114" s="32"/>
      <c r="P114" s="32"/>
      <c r="S114" s="32"/>
    </row>
    <row r="115">
      <c r="D115" s="29"/>
      <c r="F115" s="31"/>
      <c r="G115" s="30"/>
      <c r="H115" s="30"/>
      <c r="J115" s="29"/>
      <c r="L115" s="30"/>
      <c r="M115" s="30"/>
      <c r="O115" s="32"/>
      <c r="P115" s="32"/>
      <c r="S115" s="32"/>
    </row>
    <row r="116">
      <c r="D116" s="29"/>
      <c r="F116" s="31"/>
      <c r="G116" s="30"/>
      <c r="H116" s="30"/>
      <c r="J116" s="29"/>
      <c r="L116" s="30"/>
      <c r="M116" s="30"/>
      <c r="O116" s="32"/>
      <c r="P116" s="32"/>
      <c r="S116" s="32"/>
    </row>
    <row r="117">
      <c r="D117" s="29"/>
      <c r="F117" s="31"/>
      <c r="G117" s="30"/>
      <c r="H117" s="30"/>
      <c r="J117" s="29"/>
      <c r="L117" s="30"/>
      <c r="M117" s="30"/>
      <c r="O117" s="32"/>
      <c r="P117" s="32"/>
      <c r="S117" s="32"/>
    </row>
    <row r="118">
      <c r="D118" s="29"/>
      <c r="F118" s="31"/>
      <c r="G118" s="30"/>
      <c r="H118" s="30"/>
      <c r="J118" s="29"/>
      <c r="L118" s="30"/>
      <c r="M118" s="30"/>
      <c r="O118" s="32"/>
      <c r="P118" s="32"/>
      <c r="S118" s="32"/>
    </row>
    <row r="119">
      <c r="D119" s="29"/>
      <c r="F119" s="31"/>
      <c r="G119" s="30"/>
      <c r="H119" s="30"/>
      <c r="J119" s="29"/>
      <c r="L119" s="30"/>
      <c r="M119" s="30"/>
      <c r="O119" s="32"/>
      <c r="P119" s="32"/>
      <c r="S119" s="32"/>
    </row>
    <row r="120">
      <c r="D120" s="29"/>
      <c r="F120" s="31"/>
      <c r="G120" s="30"/>
      <c r="H120" s="30"/>
      <c r="J120" s="29"/>
      <c r="L120" s="30"/>
      <c r="M120" s="30"/>
      <c r="O120" s="32"/>
      <c r="P120" s="32"/>
      <c r="S120" s="32"/>
    </row>
    <row r="121">
      <c r="D121" s="29"/>
      <c r="F121" s="31"/>
      <c r="G121" s="30"/>
      <c r="H121" s="30"/>
      <c r="J121" s="29"/>
      <c r="L121" s="30"/>
      <c r="M121" s="30"/>
      <c r="O121" s="32"/>
      <c r="P121" s="32"/>
      <c r="S121" s="32"/>
    </row>
    <row r="122">
      <c r="D122" s="29"/>
      <c r="F122" s="31"/>
      <c r="G122" s="30"/>
      <c r="H122" s="30"/>
      <c r="J122" s="29"/>
      <c r="L122" s="30"/>
      <c r="M122" s="30"/>
      <c r="O122" s="32"/>
      <c r="P122" s="32"/>
      <c r="S122" s="32"/>
    </row>
    <row r="123">
      <c r="D123" s="29"/>
      <c r="F123" s="31"/>
      <c r="G123" s="30"/>
      <c r="H123" s="30"/>
      <c r="J123" s="29"/>
      <c r="L123" s="30"/>
      <c r="M123" s="30"/>
      <c r="O123" s="32"/>
      <c r="P123" s="32"/>
      <c r="S123" s="32"/>
    </row>
    <row r="124">
      <c r="D124" s="29"/>
      <c r="F124" s="31"/>
      <c r="G124" s="30"/>
      <c r="H124" s="30"/>
      <c r="J124" s="29"/>
      <c r="L124" s="30"/>
      <c r="M124" s="30"/>
      <c r="O124" s="32"/>
      <c r="P124" s="32"/>
      <c r="S124" s="32"/>
    </row>
    <row r="125">
      <c r="D125" s="29"/>
      <c r="F125" s="31"/>
      <c r="G125" s="30"/>
      <c r="H125" s="30"/>
      <c r="J125" s="29"/>
      <c r="L125" s="30"/>
      <c r="M125" s="30"/>
      <c r="O125" s="32"/>
      <c r="P125" s="32"/>
      <c r="S125" s="32"/>
    </row>
    <row r="126">
      <c r="D126" s="29"/>
      <c r="F126" s="31"/>
      <c r="G126" s="30"/>
      <c r="H126" s="30"/>
      <c r="J126" s="29"/>
      <c r="L126" s="30"/>
      <c r="M126" s="30"/>
      <c r="O126" s="32"/>
      <c r="P126" s="32"/>
      <c r="S126" s="32"/>
    </row>
    <row r="127">
      <c r="D127" s="29"/>
      <c r="F127" s="31"/>
      <c r="G127" s="30"/>
      <c r="H127" s="30"/>
      <c r="J127" s="29"/>
      <c r="L127" s="30"/>
      <c r="M127" s="30"/>
      <c r="O127" s="32"/>
      <c r="P127" s="32"/>
      <c r="S127" s="32"/>
    </row>
    <row r="128">
      <c r="D128" s="29"/>
      <c r="F128" s="31"/>
      <c r="G128" s="30"/>
      <c r="H128" s="30"/>
      <c r="J128" s="29"/>
      <c r="L128" s="30"/>
      <c r="M128" s="30"/>
      <c r="O128" s="32"/>
      <c r="P128" s="32"/>
      <c r="S128" s="32"/>
    </row>
    <row r="129">
      <c r="D129" s="29"/>
      <c r="F129" s="31"/>
      <c r="G129" s="30"/>
      <c r="H129" s="30"/>
      <c r="J129" s="29"/>
      <c r="L129" s="30"/>
      <c r="M129" s="30"/>
      <c r="O129" s="32"/>
      <c r="P129" s="32"/>
      <c r="S129" s="32"/>
    </row>
    <row r="130">
      <c r="D130" s="29"/>
      <c r="F130" s="31"/>
      <c r="G130" s="30"/>
      <c r="H130" s="30"/>
      <c r="J130" s="29"/>
      <c r="L130" s="30"/>
      <c r="M130" s="30"/>
      <c r="O130" s="32"/>
      <c r="P130" s="32"/>
      <c r="S130" s="32"/>
    </row>
    <row r="131">
      <c r="D131" s="29"/>
      <c r="F131" s="31"/>
      <c r="G131" s="30"/>
      <c r="H131" s="30"/>
      <c r="J131" s="29"/>
      <c r="L131" s="30"/>
      <c r="M131" s="30"/>
      <c r="O131" s="32"/>
      <c r="P131" s="32"/>
      <c r="S131" s="32"/>
    </row>
    <row r="132">
      <c r="D132" s="29"/>
      <c r="F132" s="31"/>
      <c r="G132" s="30"/>
      <c r="H132" s="30"/>
      <c r="J132" s="29"/>
      <c r="L132" s="30"/>
      <c r="M132" s="30"/>
      <c r="O132" s="32"/>
      <c r="P132" s="32"/>
      <c r="S132" s="32"/>
    </row>
    <row r="133">
      <c r="D133" s="29"/>
      <c r="F133" s="31"/>
      <c r="G133" s="30"/>
      <c r="H133" s="30"/>
      <c r="J133" s="29"/>
      <c r="L133" s="30"/>
      <c r="M133" s="30"/>
      <c r="O133" s="32"/>
      <c r="P133" s="32"/>
      <c r="S133" s="32"/>
    </row>
    <row r="134">
      <c r="D134" s="29"/>
      <c r="F134" s="31"/>
      <c r="G134" s="30"/>
      <c r="H134" s="30"/>
      <c r="J134" s="29"/>
      <c r="L134" s="30"/>
      <c r="M134" s="30"/>
      <c r="O134" s="32"/>
      <c r="P134" s="32"/>
      <c r="S134" s="32"/>
    </row>
    <row r="135">
      <c r="D135" s="29"/>
      <c r="F135" s="31"/>
      <c r="G135" s="30"/>
      <c r="H135" s="30"/>
      <c r="J135" s="29"/>
      <c r="L135" s="30"/>
      <c r="M135" s="30"/>
      <c r="O135" s="32"/>
      <c r="P135" s="32"/>
      <c r="S135" s="32"/>
    </row>
    <row r="136">
      <c r="D136" s="29"/>
      <c r="F136" s="31"/>
      <c r="G136" s="30"/>
      <c r="H136" s="30"/>
      <c r="J136" s="29"/>
      <c r="L136" s="30"/>
      <c r="M136" s="30"/>
      <c r="O136" s="32"/>
      <c r="P136" s="32"/>
      <c r="S136" s="32"/>
    </row>
    <row r="137">
      <c r="D137" s="29"/>
      <c r="F137" s="31"/>
      <c r="G137" s="30"/>
      <c r="H137" s="30"/>
      <c r="J137" s="29"/>
      <c r="L137" s="30"/>
      <c r="M137" s="30"/>
      <c r="O137" s="32"/>
      <c r="P137" s="32"/>
      <c r="S137" s="32"/>
    </row>
    <row r="138">
      <c r="D138" s="29"/>
      <c r="F138" s="31"/>
      <c r="G138" s="30"/>
      <c r="H138" s="30"/>
      <c r="J138" s="29"/>
      <c r="L138" s="30"/>
      <c r="M138" s="30"/>
      <c r="O138" s="32"/>
      <c r="P138" s="32"/>
      <c r="S138" s="32"/>
    </row>
    <row r="139">
      <c r="D139" s="29"/>
      <c r="F139" s="31"/>
      <c r="G139" s="30"/>
      <c r="H139" s="30"/>
      <c r="J139" s="29"/>
      <c r="L139" s="30"/>
      <c r="M139" s="30"/>
      <c r="O139" s="32"/>
      <c r="P139" s="32"/>
      <c r="S139" s="32"/>
    </row>
    <row r="140">
      <c r="D140" s="29"/>
      <c r="F140" s="31"/>
      <c r="G140" s="30"/>
      <c r="H140" s="30"/>
      <c r="J140" s="29"/>
      <c r="L140" s="30"/>
      <c r="M140" s="30"/>
      <c r="O140" s="32"/>
      <c r="P140" s="32"/>
      <c r="S140" s="32"/>
    </row>
    <row r="141">
      <c r="D141" s="29"/>
      <c r="F141" s="31"/>
      <c r="G141" s="30"/>
      <c r="H141" s="30"/>
      <c r="J141" s="29"/>
      <c r="L141" s="30"/>
      <c r="M141" s="30"/>
      <c r="O141" s="32"/>
      <c r="P141" s="32"/>
      <c r="S141" s="32"/>
    </row>
    <row r="142">
      <c r="D142" s="29"/>
      <c r="F142" s="31"/>
      <c r="G142" s="30"/>
      <c r="H142" s="30"/>
      <c r="J142" s="29"/>
      <c r="L142" s="30"/>
      <c r="M142" s="30"/>
      <c r="O142" s="32"/>
      <c r="P142" s="32"/>
      <c r="S142" s="32"/>
    </row>
    <row r="143">
      <c r="D143" s="29"/>
      <c r="F143" s="31"/>
      <c r="G143" s="30"/>
      <c r="H143" s="30"/>
      <c r="J143" s="29"/>
      <c r="L143" s="30"/>
      <c r="M143" s="30"/>
      <c r="O143" s="32"/>
      <c r="P143" s="32"/>
      <c r="S143" s="32"/>
    </row>
    <row r="144">
      <c r="D144" s="29"/>
      <c r="F144" s="31"/>
      <c r="G144" s="30"/>
      <c r="H144" s="30"/>
      <c r="J144" s="29"/>
      <c r="L144" s="30"/>
      <c r="M144" s="30"/>
      <c r="O144" s="32"/>
      <c r="P144" s="32"/>
      <c r="S144" s="32"/>
    </row>
    <row r="145">
      <c r="D145" s="29"/>
      <c r="F145" s="31"/>
      <c r="G145" s="30"/>
      <c r="H145" s="30"/>
      <c r="J145" s="29"/>
      <c r="L145" s="30"/>
      <c r="M145" s="30"/>
      <c r="O145" s="32"/>
      <c r="P145" s="32"/>
      <c r="S145" s="32"/>
    </row>
    <row r="146">
      <c r="D146" s="29"/>
      <c r="F146" s="31"/>
      <c r="G146" s="30"/>
      <c r="H146" s="30"/>
      <c r="J146" s="29"/>
      <c r="L146" s="30"/>
      <c r="M146" s="30"/>
      <c r="O146" s="32"/>
      <c r="P146" s="32"/>
      <c r="S146" s="32"/>
    </row>
    <row r="147">
      <c r="D147" s="29"/>
      <c r="F147" s="31"/>
      <c r="G147" s="30"/>
      <c r="H147" s="30"/>
      <c r="J147" s="29"/>
      <c r="L147" s="30"/>
      <c r="M147" s="30"/>
      <c r="O147" s="32"/>
      <c r="P147" s="32"/>
      <c r="S147" s="32"/>
    </row>
    <row r="148">
      <c r="D148" s="29"/>
      <c r="F148" s="31"/>
      <c r="G148" s="30"/>
      <c r="H148" s="30"/>
      <c r="J148" s="29"/>
      <c r="L148" s="30"/>
      <c r="M148" s="30"/>
      <c r="O148" s="32"/>
      <c r="P148" s="32"/>
      <c r="S148" s="32"/>
    </row>
    <row r="149">
      <c r="D149" s="29"/>
      <c r="F149" s="31"/>
      <c r="G149" s="30"/>
      <c r="H149" s="30"/>
      <c r="J149" s="29"/>
      <c r="L149" s="30"/>
      <c r="M149" s="30"/>
      <c r="O149" s="32"/>
      <c r="P149" s="32"/>
      <c r="S149" s="32"/>
    </row>
    <row r="150">
      <c r="D150" s="29"/>
      <c r="F150" s="31"/>
      <c r="G150" s="30"/>
      <c r="H150" s="30"/>
      <c r="J150" s="29"/>
      <c r="L150" s="30"/>
      <c r="M150" s="30"/>
      <c r="O150" s="32"/>
      <c r="P150" s="32"/>
      <c r="S150" s="32"/>
    </row>
    <row r="151">
      <c r="D151" s="29"/>
      <c r="F151" s="31"/>
      <c r="G151" s="30"/>
      <c r="H151" s="30"/>
      <c r="J151" s="29"/>
      <c r="L151" s="30"/>
      <c r="M151" s="30"/>
      <c r="O151" s="32"/>
      <c r="P151" s="32"/>
      <c r="S151" s="32"/>
    </row>
    <row r="152">
      <c r="D152" s="29"/>
      <c r="F152" s="31"/>
      <c r="G152" s="30"/>
      <c r="H152" s="30"/>
      <c r="J152" s="29"/>
      <c r="L152" s="30"/>
      <c r="M152" s="30"/>
      <c r="O152" s="32"/>
      <c r="P152" s="32"/>
      <c r="S152" s="32"/>
    </row>
    <row r="153">
      <c r="D153" s="29"/>
      <c r="F153" s="31"/>
      <c r="G153" s="30"/>
      <c r="H153" s="30"/>
      <c r="J153" s="29"/>
      <c r="L153" s="30"/>
      <c r="M153" s="30"/>
      <c r="O153" s="32"/>
      <c r="P153" s="32"/>
      <c r="S153" s="32"/>
    </row>
    <row r="154">
      <c r="D154" s="29"/>
      <c r="F154" s="31"/>
      <c r="G154" s="30"/>
      <c r="H154" s="30"/>
      <c r="J154" s="29"/>
      <c r="L154" s="30"/>
      <c r="M154" s="30"/>
      <c r="O154" s="32"/>
      <c r="P154" s="32"/>
      <c r="S154" s="32"/>
    </row>
    <row r="155">
      <c r="D155" s="29"/>
      <c r="F155" s="31"/>
      <c r="G155" s="30"/>
      <c r="H155" s="30"/>
      <c r="J155" s="29"/>
      <c r="L155" s="30"/>
      <c r="M155" s="30"/>
      <c r="O155" s="32"/>
      <c r="P155" s="32"/>
      <c r="S155" s="32"/>
    </row>
    <row r="156">
      <c r="D156" s="29"/>
      <c r="F156" s="31"/>
      <c r="G156" s="30"/>
      <c r="H156" s="30"/>
      <c r="J156" s="29"/>
      <c r="L156" s="30"/>
      <c r="M156" s="30"/>
      <c r="O156" s="32"/>
      <c r="P156" s="32"/>
      <c r="S156" s="32"/>
    </row>
    <row r="157">
      <c r="D157" s="29"/>
      <c r="F157" s="31"/>
      <c r="G157" s="30"/>
      <c r="H157" s="30"/>
      <c r="J157" s="29"/>
      <c r="L157" s="30"/>
      <c r="M157" s="30"/>
      <c r="O157" s="32"/>
      <c r="P157" s="32"/>
      <c r="S157" s="32"/>
    </row>
    <row r="158">
      <c r="D158" s="29"/>
      <c r="F158" s="31"/>
      <c r="G158" s="30"/>
      <c r="H158" s="30"/>
      <c r="J158" s="29"/>
      <c r="L158" s="30"/>
      <c r="M158" s="30"/>
      <c r="O158" s="32"/>
      <c r="P158" s="32"/>
      <c r="S158" s="32"/>
    </row>
    <row r="159">
      <c r="D159" s="29"/>
      <c r="F159" s="31"/>
      <c r="G159" s="30"/>
      <c r="H159" s="30"/>
      <c r="J159" s="29"/>
      <c r="L159" s="30"/>
      <c r="M159" s="30"/>
      <c r="O159" s="32"/>
      <c r="P159" s="32"/>
      <c r="S159" s="32"/>
    </row>
    <row r="160">
      <c r="D160" s="29"/>
      <c r="F160" s="31"/>
      <c r="G160" s="30"/>
      <c r="H160" s="30"/>
      <c r="J160" s="29"/>
      <c r="L160" s="30"/>
      <c r="M160" s="30"/>
      <c r="O160" s="32"/>
      <c r="P160" s="32"/>
      <c r="S160" s="32"/>
    </row>
    <row r="161">
      <c r="D161" s="29"/>
      <c r="F161" s="31"/>
      <c r="G161" s="30"/>
      <c r="H161" s="30"/>
      <c r="J161" s="29"/>
      <c r="L161" s="30"/>
      <c r="M161" s="30"/>
      <c r="O161" s="32"/>
      <c r="P161" s="32"/>
      <c r="S161" s="32"/>
    </row>
    <row r="162">
      <c r="D162" s="29"/>
      <c r="F162" s="31"/>
      <c r="G162" s="30"/>
      <c r="H162" s="30"/>
      <c r="J162" s="29"/>
      <c r="L162" s="30"/>
      <c r="M162" s="30"/>
      <c r="O162" s="32"/>
      <c r="P162" s="32"/>
      <c r="S162" s="32"/>
    </row>
    <row r="163">
      <c r="D163" s="29"/>
      <c r="F163" s="31"/>
      <c r="G163" s="30"/>
      <c r="H163" s="30"/>
      <c r="J163" s="29"/>
      <c r="L163" s="30"/>
      <c r="M163" s="30"/>
      <c r="O163" s="32"/>
      <c r="P163" s="32"/>
      <c r="S163" s="32"/>
    </row>
    <row r="164">
      <c r="D164" s="29"/>
      <c r="F164" s="31"/>
      <c r="G164" s="30"/>
      <c r="H164" s="30"/>
      <c r="J164" s="29"/>
      <c r="L164" s="30"/>
      <c r="M164" s="30"/>
      <c r="O164" s="32"/>
      <c r="P164" s="32"/>
      <c r="S164" s="32"/>
    </row>
    <row r="165">
      <c r="D165" s="29"/>
      <c r="F165" s="31"/>
      <c r="G165" s="30"/>
      <c r="H165" s="30"/>
      <c r="J165" s="29"/>
      <c r="L165" s="30"/>
      <c r="M165" s="30"/>
      <c r="O165" s="32"/>
      <c r="P165" s="32"/>
      <c r="S165" s="32"/>
    </row>
    <row r="166">
      <c r="D166" s="29"/>
      <c r="F166" s="31"/>
      <c r="G166" s="30"/>
      <c r="H166" s="30"/>
      <c r="J166" s="29"/>
      <c r="L166" s="30"/>
      <c r="M166" s="30"/>
      <c r="O166" s="32"/>
      <c r="P166" s="32"/>
      <c r="S166" s="32"/>
    </row>
    <row r="167">
      <c r="D167" s="29"/>
      <c r="F167" s="31"/>
      <c r="G167" s="30"/>
      <c r="H167" s="30"/>
      <c r="J167" s="29"/>
      <c r="L167" s="30"/>
      <c r="M167" s="30"/>
      <c r="O167" s="32"/>
      <c r="P167" s="32"/>
      <c r="S167" s="32"/>
    </row>
    <row r="168">
      <c r="D168" s="29"/>
      <c r="F168" s="31"/>
      <c r="G168" s="30"/>
      <c r="H168" s="30"/>
      <c r="J168" s="29"/>
      <c r="L168" s="30"/>
      <c r="M168" s="30"/>
      <c r="O168" s="32"/>
      <c r="P168" s="32"/>
      <c r="S168" s="32"/>
    </row>
    <row r="169">
      <c r="D169" s="29"/>
      <c r="F169" s="31"/>
      <c r="G169" s="30"/>
      <c r="H169" s="30"/>
      <c r="J169" s="29"/>
      <c r="L169" s="30"/>
      <c r="M169" s="30"/>
      <c r="O169" s="32"/>
      <c r="P169" s="32"/>
      <c r="S169" s="32"/>
    </row>
    <row r="170">
      <c r="D170" s="29"/>
      <c r="F170" s="31"/>
      <c r="G170" s="30"/>
      <c r="H170" s="30"/>
      <c r="J170" s="29"/>
      <c r="L170" s="30"/>
      <c r="M170" s="30"/>
      <c r="O170" s="32"/>
      <c r="P170" s="32"/>
      <c r="S170" s="32"/>
    </row>
    <row r="171">
      <c r="D171" s="29"/>
      <c r="F171" s="31"/>
      <c r="G171" s="30"/>
      <c r="H171" s="30"/>
      <c r="J171" s="29"/>
      <c r="L171" s="30"/>
      <c r="M171" s="30"/>
      <c r="O171" s="32"/>
      <c r="P171" s="32"/>
      <c r="S171" s="32"/>
    </row>
    <row r="172">
      <c r="D172" s="29"/>
      <c r="F172" s="31"/>
      <c r="G172" s="30"/>
      <c r="H172" s="30"/>
      <c r="J172" s="29"/>
      <c r="L172" s="30"/>
      <c r="M172" s="30"/>
      <c r="O172" s="32"/>
      <c r="P172" s="32"/>
      <c r="S172" s="32"/>
    </row>
    <row r="173">
      <c r="D173" s="29"/>
      <c r="F173" s="31"/>
      <c r="G173" s="30"/>
      <c r="H173" s="30"/>
      <c r="J173" s="29"/>
      <c r="L173" s="30"/>
      <c r="M173" s="30"/>
      <c r="O173" s="32"/>
      <c r="P173" s="32"/>
      <c r="S173" s="32"/>
    </row>
    <row r="174">
      <c r="D174" s="29"/>
      <c r="F174" s="31"/>
      <c r="G174" s="30"/>
      <c r="H174" s="30"/>
      <c r="J174" s="29"/>
      <c r="L174" s="30"/>
      <c r="M174" s="30"/>
      <c r="O174" s="32"/>
      <c r="P174" s="32"/>
      <c r="S174" s="32"/>
    </row>
    <row r="175">
      <c r="D175" s="29"/>
      <c r="F175" s="31"/>
      <c r="G175" s="30"/>
      <c r="H175" s="30"/>
      <c r="J175" s="29"/>
      <c r="L175" s="30"/>
      <c r="M175" s="30"/>
      <c r="O175" s="32"/>
      <c r="P175" s="32"/>
      <c r="S175" s="32"/>
    </row>
    <row r="176">
      <c r="D176" s="29"/>
      <c r="F176" s="31"/>
      <c r="G176" s="30"/>
      <c r="H176" s="30"/>
      <c r="J176" s="29"/>
      <c r="L176" s="30"/>
      <c r="M176" s="30"/>
      <c r="O176" s="32"/>
      <c r="P176" s="32"/>
      <c r="S176" s="32"/>
    </row>
    <row r="177">
      <c r="D177" s="29"/>
      <c r="F177" s="31"/>
      <c r="G177" s="30"/>
      <c r="H177" s="30"/>
      <c r="J177" s="29"/>
      <c r="L177" s="30"/>
      <c r="M177" s="30"/>
      <c r="O177" s="32"/>
      <c r="P177" s="32"/>
      <c r="S177" s="32"/>
    </row>
    <row r="178">
      <c r="D178" s="29"/>
      <c r="F178" s="31"/>
      <c r="G178" s="30"/>
      <c r="H178" s="30"/>
      <c r="J178" s="29"/>
      <c r="L178" s="30"/>
      <c r="M178" s="30"/>
      <c r="O178" s="32"/>
      <c r="P178" s="32"/>
      <c r="S178" s="32"/>
    </row>
    <row r="179">
      <c r="D179" s="29"/>
      <c r="F179" s="31"/>
      <c r="G179" s="30"/>
      <c r="H179" s="30"/>
      <c r="J179" s="29"/>
      <c r="L179" s="30"/>
      <c r="M179" s="30"/>
      <c r="O179" s="32"/>
      <c r="P179" s="32"/>
      <c r="S179" s="32"/>
    </row>
    <row r="180">
      <c r="D180" s="29"/>
      <c r="F180" s="31"/>
      <c r="G180" s="30"/>
      <c r="H180" s="30"/>
      <c r="J180" s="29"/>
      <c r="L180" s="30"/>
      <c r="M180" s="30"/>
      <c r="O180" s="32"/>
      <c r="P180" s="32"/>
      <c r="S180" s="32"/>
    </row>
    <row r="181">
      <c r="D181" s="29"/>
      <c r="F181" s="31"/>
      <c r="G181" s="30"/>
      <c r="H181" s="30"/>
      <c r="J181" s="29"/>
      <c r="L181" s="30"/>
      <c r="M181" s="30"/>
      <c r="O181" s="32"/>
      <c r="P181" s="32"/>
      <c r="S181" s="32"/>
    </row>
    <row r="182">
      <c r="D182" s="29"/>
      <c r="F182" s="31"/>
      <c r="G182" s="30"/>
      <c r="H182" s="30"/>
      <c r="J182" s="29"/>
      <c r="L182" s="30"/>
      <c r="M182" s="30"/>
      <c r="O182" s="32"/>
      <c r="P182" s="32"/>
      <c r="S182" s="32"/>
    </row>
    <row r="183">
      <c r="D183" s="29"/>
      <c r="F183" s="31"/>
      <c r="G183" s="30"/>
      <c r="H183" s="30"/>
      <c r="J183" s="29"/>
      <c r="L183" s="30"/>
      <c r="M183" s="30"/>
      <c r="O183" s="32"/>
      <c r="P183" s="32"/>
      <c r="S183" s="32"/>
    </row>
    <row r="184">
      <c r="D184" s="29"/>
      <c r="F184" s="31"/>
      <c r="G184" s="30"/>
      <c r="H184" s="30"/>
      <c r="J184" s="29"/>
      <c r="L184" s="30"/>
      <c r="M184" s="30"/>
      <c r="O184" s="32"/>
      <c r="P184" s="32"/>
      <c r="S184" s="32"/>
    </row>
    <row r="185">
      <c r="D185" s="29"/>
      <c r="F185" s="31"/>
      <c r="G185" s="30"/>
      <c r="H185" s="30"/>
      <c r="J185" s="29"/>
      <c r="L185" s="30"/>
      <c r="M185" s="30"/>
      <c r="O185" s="32"/>
      <c r="P185" s="32"/>
      <c r="S185" s="32"/>
    </row>
    <row r="186">
      <c r="D186" s="29"/>
      <c r="F186" s="31"/>
      <c r="G186" s="30"/>
      <c r="H186" s="30"/>
      <c r="J186" s="29"/>
      <c r="L186" s="30"/>
      <c r="M186" s="30"/>
      <c r="O186" s="32"/>
      <c r="P186" s="32"/>
      <c r="S186" s="32"/>
    </row>
    <row r="187">
      <c r="D187" s="29"/>
      <c r="F187" s="31"/>
      <c r="G187" s="30"/>
      <c r="H187" s="30"/>
      <c r="J187" s="29"/>
      <c r="L187" s="30"/>
      <c r="M187" s="30"/>
      <c r="O187" s="32"/>
      <c r="P187" s="32"/>
      <c r="S187" s="32"/>
    </row>
    <row r="188">
      <c r="D188" s="29"/>
      <c r="F188" s="31"/>
      <c r="G188" s="30"/>
      <c r="H188" s="30"/>
      <c r="J188" s="29"/>
      <c r="L188" s="30"/>
      <c r="M188" s="30"/>
      <c r="O188" s="32"/>
      <c r="P188" s="32"/>
      <c r="S188" s="32"/>
    </row>
    <row r="189">
      <c r="D189" s="29"/>
      <c r="F189" s="31"/>
      <c r="G189" s="30"/>
      <c r="H189" s="30"/>
      <c r="J189" s="29"/>
      <c r="L189" s="30"/>
      <c r="M189" s="30"/>
      <c r="O189" s="32"/>
      <c r="P189" s="32"/>
      <c r="S189" s="32"/>
    </row>
    <row r="190">
      <c r="D190" s="29"/>
      <c r="F190" s="31"/>
      <c r="G190" s="30"/>
      <c r="H190" s="30"/>
      <c r="J190" s="29"/>
      <c r="L190" s="30"/>
      <c r="M190" s="30"/>
      <c r="O190" s="32"/>
      <c r="P190" s="32"/>
      <c r="S190" s="32"/>
    </row>
    <row r="191">
      <c r="D191" s="29"/>
      <c r="F191" s="31"/>
      <c r="G191" s="30"/>
      <c r="H191" s="30"/>
      <c r="J191" s="29"/>
      <c r="L191" s="30"/>
      <c r="M191" s="30"/>
      <c r="O191" s="32"/>
      <c r="P191" s="32"/>
      <c r="S191" s="32"/>
    </row>
    <row r="192">
      <c r="D192" s="29"/>
      <c r="F192" s="31"/>
      <c r="G192" s="30"/>
      <c r="H192" s="30"/>
      <c r="J192" s="29"/>
      <c r="L192" s="30"/>
      <c r="M192" s="30"/>
      <c r="O192" s="32"/>
      <c r="P192" s="32"/>
      <c r="S192" s="32"/>
    </row>
    <row r="193">
      <c r="D193" s="29"/>
      <c r="F193" s="31"/>
      <c r="G193" s="30"/>
      <c r="H193" s="30"/>
      <c r="J193" s="29"/>
      <c r="L193" s="30"/>
      <c r="M193" s="30"/>
      <c r="O193" s="32"/>
      <c r="P193" s="32"/>
      <c r="S193" s="32"/>
    </row>
    <row r="194">
      <c r="D194" s="29"/>
      <c r="F194" s="31"/>
      <c r="G194" s="30"/>
      <c r="H194" s="30"/>
      <c r="J194" s="29"/>
      <c r="L194" s="30"/>
      <c r="M194" s="30"/>
      <c r="O194" s="32"/>
      <c r="P194" s="32"/>
      <c r="S194" s="32"/>
    </row>
    <row r="195">
      <c r="D195" s="29"/>
      <c r="F195" s="31"/>
      <c r="G195" s="30"/>
      <c r="H195" s="30"/>
      <c r="J195" s="29"/>
      <c r="L195" s="30"/>
      <c r="M195" s="30"/>
      <c r="O195" s="32"/>
      <c r="P195" s="32"/>
      <c r="S195" s="32"/>
    </row>
    <row r="196">
      <c r="D196" s="29"/>
      <c r="F196" s="31"/>
      <c r="G196" s="30"/>
      <c r="H196" s="30"/>
      <c r="J196" s="29"/>
      <c r="L196" s="30"/>
      <c r="M196" s="30"/>
      <c r="O196" s="32"/>
      <c r="P196" s="32"/>
      <c r="S196" s="32"/>
    </row>
    <row r="197">
      <c r="D197" s="29"/>
      <c r="F197" s="31"/>
      <c r="G197" s="30"/>
      <c r="H197" s="30"/>
      <c r="J197" s="29"/>
      <c r="L197" s="30"/>
      <c r="M197" s="30"/>
      <c r="O197" s="32"/>
      <c r="P197" s="32"/>
      <c r="S197" s="32"/>
    </row>
    <row r="198">
      <c r="D198" s="29"/>
      <c r="F198" s="31"/>
      <c r="G198" s="30"/>
      <c r="H198" s="30"/>
      <c r="J198" s="29"/>
      <c r="L198" s="30"/>
      <c r="M198" s="30"/>
      <c r="O198" s="32"/>
      <c r="P198" s="32"/>
      <c r="S198" s="32"/>
    </row>
    <row r="199">
      <c r="D199" s="29"/>
      <c r="F199" s="31"/>
      <c r="G199" s="30"/>
      <c r="H199" s="30"/>
      <c r="J199" s="29"/>
      <c r="L199" s="30"/>
      <c r="M199" s="30"/>
      <c r="O199" s="32"/>
      <c r="P199" s="32"/>
      <c r="S199" s="32"/>
    </row>
    <row r="200">
      <c r="D200" s="29"/>
      <c r="F200" s="31"/>
      <c r="G200" s="30"/>
      <c r="H200" s="30"/>
      <c r="J200" s="29"/>
      <c r="L200" s="30"/>
      <c r="M200" s="30"/>
      <c r="O200" s="32"/>
      <c r="P200" s="32"/>
      <c r="S200" s="32"/>
    </row>
    <row r="201">
      <c r="D201" s="29"/>
      <c r="F201" s="31"/>
      <c r="G201" s="30"/>
      <c r="H201" s="30"/>
      <c r="J201" s="29"/>
      <c r="L201" s="30"/>
      <c r="M201" s="30"/>
      <c r="O201" s="32"/>
      <c r="P201" s="32"/>
      <c r="S201" s="32"/>
    </row>
    <row r="202">
      <c r="D202" s="29"/>
      <c r="F202" s="31"/>
      <c r="G202" s="30"/>
      <c r="H202" s="30"/>
      <c r="J202" s="29"/>
      <c r="L202" s="30"/>
      <c r="M202" s="30"/>
      <c r="O202" s="32"/>
      <c r="P202" s="32"/>
      <c r="S202" s="32"/>
    </row>
    <row r="203">
      <c r="D203" s="29"/>
      <c r="F203" s="31"/>
      <c r="G203" s="30"/>
      <c r="H203" s="30"/>
      <c r="J203" s="29"/>
      <c r="L203" s="30"/>
      <c r="M203" s="30"/>
      <c r="O203" s="32"/>
      <c r="P203" s="32"/>
      <c r="S203" s="32"/>
    </row>
    <row r="204">
      <c r="D204" s="29"/>
      <c r="F204" s="31"/>
      <c r="G204" s="30"/>
      <c r="H204" s="30"/>
      <c r="J204" s="29"/>
      <c r="L204" s="30"/>
      <c r="M204" s="30"/>
      <c r="O204" s="32"/>
      <c r="P204" s="32"/>
      <c r="S204" s="32"/>
    </row>
    <row r="205">
      <c r="D205" s="29"/>
      <c r="F205" s="31"/>
      <c r="G205" s="30"/>
      <c r="H205" s="30"/>
      <c r="J205" s="29"/>
      <c r="L205" s="30"/>
      <c r="M205" s="30"/>
      <c r="O205" s="32"/>
      <c r="P205" s="32"/>
      <c r="S205" s="32"/>
    </row>
    <row r="206">
      <c r="D206" s="29"/>
      <c r="F206" s="31"/>
      <c r="G206" s="30"/>
      <c r="H206" s="30"/>
      <c r="J206" s="29"/>
      <c r="L206" s="30"/>
      <c r="M206" s="30"/>
      <c r="O206" s="32"/>
      <c r="P206" s="32"/>
      <c r="S206" s="32"/>
    </row>
    <row r="207">
      <c r="D207" s="29"/>
      <c r="F207" s="31"/>
      <c r="G207" s="30"/>
      <c r="H207" s="30"/>
      <c r="J207" s="29"/>
      <c r="L207" s="30"/>
      <c r="M207" s="30"/>
      <c r="O207" s="32"/>
      <c r="P207" s="32"/>
      <c r="S207" s="32"/>
    </row>
    <row r="208">
      <c r="D208" s="29"/>
      <c r="F208" s="31"/>
      <c r="G208" s="30"/>
      <c r="H208" s="30"/>
      <c r="J208" s="29"/>
      <c r="L208" s="30"/>
      <c r="M208" s="30"/>
      <c r="O208" s="32"/>
      <c r="P208" s="32"/>
      <c r="S208" s="32"/>
    </row>
    <row r="209">
      <c r="D209" s="29"/>
      <c r="F209" s="31"/>
      <c r="G209" s="30"/>
      <c r="H209" s="30"/>
      <c r="J209" s="29"/>
      <c r="L209" s="30"/>
      <c r="M209" s="30"/>
      <c r="O209" s="32"/>
      <c r="P209" s="32"/>
      <c r="S209" s="32"/>
    </row>
    <row r="210">
      <c r="D210" s="29"/>
      <c r="F210" s="31"/>
      <c r="G210" s="30"/>
      <c r="H210" s="30"/>
      <c r="J210" s="29"/>
      <c r="L210" s="30"/>
      <c r="M210" s="30"/>
      <c r="O210" s="32"/>
      <c r="P210" s="32"/>
      <c r="S210" s="32"/>
    </row>
    <row r="211">
      <c r="D211" s="29"/>
      <c r="F211" s="31"/>
      <c r="G211" s="30"/>
      <c r="H211" s="30"/>
      <c r="J211" s="29"/>
      <c r="L211" s="30"/>
      <c r="M211" s="30"/>
      <c r="O211" s="32"/>
      <c r="P211" s="32"/>
      <c r="S211" s="32"/>
    </row>
    <row r="212">
      <c r="D212" s="29"/>
      <c r="F212" s="31"/>
      <c r="G212" s="30"/>
      <c r="H212" s="30"/>
      <c r="J212" s="29"/>
      <c r="L212" s="30"/>
      <c r="M212" s="30"/>
      <c r="O212" s="32"/>
      <c r="P212" s="32"/>
      <c r="S212" s="32"/>
    </row>
    <row r="213">
      <c r="D213" s="29"/>
      <c r="F213" s="31"/>
      <c r="G213" s="30"/>
      <c r="H213" s="30"/>
      <c r="J213" s="29"/>
      <c r="L213" s="30"/>
      <c r="M213" s="30"/>
      <c r="O213" s="32"/>
      <c r="P213" s="32"/>
      <c r="S213" s="32"/>
    </row>
    <row r="214">
      <c r="D214" s="29"/>
      <c r="F214" s="31"/>
      <c r="G214" s="30"/>
      <c r="H214" s="30"/>
      <c r="J214" s="29"/>
      <c r="L214" s="30"/>
      <c r="M214" s="30"/>
      <c r="O214" s="32"/>
      <c r="P214" s="32"/>
      <c r="S214" s="32"/>
    </row>
    <row r="215">
      <c r="D215" s="29"/>
      <c r="F215" s="31"/>
      <c r="G215" s="30"/>
      <c r="H215" s="30"/>
      <c r="J215" s="29"/>
      <c r="L215" s="30"/>
      <c r="M215" s="30"/>
      <c r="O215" s="32"/>
      <c r="P215" s="32"/>
      <c r="S215" s="32"/>
    </row>
    <row r="216">
      <c r="D216" s="29"/>
      <c r="F216" s="31"/>
      <c r="G216" s="30"/>
      <c r="H216" s="30"/>
      <c r="J216" s="29"/>
      <c r="L216" s="30"/>
      <c r="M216" s="30"/>
      <c r="O216" s="32"/>
      <c r="P216" s="32"/>
      <c r="S216" s="32"/>
    </row>
    <row r="217">
      <c r="D217" s="29"/>
      <c r="F217" s="31"/>
      <c r="G217" s="30"/>
      <c r="H217" s="30"/>
      <c r="J217" s="29"/>
      <c r="L217" s="30"/>
      <c r="M217" s="30"/>
      <c r="O217" s="32"/>
      <c r="P217" s="32"/>
      <c r="S217" s="32"/>
    </row>
    <row r="218">
      <c r="D218" s="29"/>
      <c r="F218" s="31"/>
      <c r="G218" s="30"/>
      <c r="H218" s="30"/>
      <c r="J218" s="29"/>
      <c r="L218" s="30"/>
      <c r="M218" s="30"/>
      <c r="O218" s="32"/>
      <c r="P218" s="32"/>
      <c r="S218" s="32"/>
    </row>
    <row r="219">
      <c r="D219" s="29"/>
      <c r="F219" s="31"/>
      <c r="G219" s="30"/>
      <c r="H219" s="30"/>
      <c r="J219" s="29"/>
      <c r="L219" s="30"/>
      <c r="M219" s="30"/>
      <c r="O219" s="32"/>
      <c r="P219" s="32"/>
      <c r="S219" s="32"/>
    </row>
    <row r="220">
      <c r="D220" s="29"/>
      <c r="F220" s="31"/>
      <c r="G220" s="30"/>
      <c r="H220" s="30"/>
      <c r="J220" s="29"/>
      <c r="L220" s="30"/>
      <c r="M220" s="30"/>
      <c r="O220" s="32"/>
      <c r="P220" s="32"/>
      <c r="S220" s="32"/>
    </row>
    <row r="221">
      <c r="D221" s="29"/>
      <c r="F221" s="31"/>
      <c r="G221" s="30"/>
      <c r="H221" s="30"/>
      <c r="J221" s="29"/>
      <c r="L221" s="30"/>
      <c r="M221" s="30"/>
      <c r="O221" s="32"/>
      <c r="P221" s="32"/>
      <c r="S221" s="32"/>
    </row>
    <row r="222">
      <c r="D222" s="29"/>
      <c r="F222" s="31"/>
      <c r="G222" s="30"/>
      <c r="H222" s="30"/>
      <c r="J222" s="29"/>
      <c r="L222" s="30"/>
      <c r="M222" s="30"/>
      <c r="O222" s="32"/>
      <c r="P222" s="32"/>
      <c r="S222" s="32"/>
    </row>
    <row r="223">
      <c r="D223" s="29"/>
      <c r="F223" s="31"/>
      <c r="G223" s="30"/>
      <c r="H223" s="30"/>
      <c r="J223" s="29"/>
      <c r="L223" s="30"/>
      <c r="M223" s="30"/>
      <c r="O223" s="32"/>
      <c r="P223" s="32"/>
      <c r="S223" s="32"/>
    </row>
    <row r="224">
      <c r="D224" s="29"/>
      <c r="F224" s="31"/>
      <c r="G224" s="30"/>
      <c r="H224" s="30"/>
      <c r="J224" s="29"/>
      <c r="L224" s="30"/>
      <c r="M224" s="30"/>
      <c r="O224" s="32"/>
      <c r="P224" s="32"/>
      <c r="S224" s="32"/>
    </row>
    <row r="225">
      <c r="D225" s="29"/>
      <c r="F225" s="31"/>
      <c r="G225" s="30"/>
      <c r="H225" s="30"/>
      <c r="J225" s="29"/>
      <c r="L225" s="30"/>
      <c r="M225" s="30"/>
      <c r="O225" s="32"/>
      <c r="P225" s="32"/>
      <c r="S225" s="32"/>
    </row>
    <row r="226">
      <c r="D226" s="29"/>
      <c r="F226" s="31"/>
      <c r="G226" s="30"/>
      <c r="H226" s="30"/>
      <c r="J226" s="29"/>
      <c r="L226" s="30"/>
      <c r="M226" s="30"/>
      <c r="O226" s="32"/>
      <c r="P226" s="32"/>
      <c r="S226" s="32"/>
    </row>
    <row r="227">
      <c r="D227" s="29"/>
      <c r="F227" s="31"/>
      <c r="G227" s="30"/>
      <c r="H227" s="30"/>
      <c r="J227" s="29"/>
      <c r="L227" s="30"/>
      <c r="M227" s="30"/>
      <c r="O227" s="32"/>
      <c r="P227" s="32"/>
      <c r="S227" s="32"/>
    </row>
    <row r="228">
      <c r="D228" s="29"/>
      <c r="F228" s="31"/>
      <c r="G228" s="30"/>
      <c r="H228" s="30"/>
      <c r="J228" s="29"/>
      <c r="L228" s="30"/>
      <c r="M228" s="30"/>
      <c r="O228" s="32"/>
      <c r="P228" s="32"/>
      <c r="S228" s="32"/>
    </row>
    <row r="229">
      <c r="D229" s="29"/>
      <c r="F229" s="31"/>
      <c r="G229" s="30"/>
      <c r="H229" s="30"/>
      <c r="J229" s="29"/>
      <c r="L229" s="30"/>
      <c r="M229" s="30"/>
      <c r="O229" s="32"/>
      <c r="P229" s="32"/>
      <c r="S229" s="32"/>
    </row>
    <row r="230">
      <c r="D230" s="29"/>
      <c r="F230" s="31"/>
      <c r="G230" s="30"/>
      <c r="H230" s="30"/>
      <c r="J230" s="29"/>
      <c r="L230" s="30"/>
      <c r="M230" s="30"/>
      <c r="O230" s="32"/>
      <c r="P230" s="32"/>
      <c r="S230" s="32"/>
    </row>
    <row r="231">
      <c r="D231" s="29"/>
      <c r="F231" s="31"/>
      <c r="G231" s="30"/>
      <c r="H231" s="30"/>
      <c r="J231" s="29"/>
      <c r="L231" s="30"/>
      <c r="M231" s="30"/>
      <c r="O231" s="32"/>
      <c r="P231" s="32"/>
      <c r="S231" s="32"/>
    </row>
    <row r="232">
      <c r="D232" s="29"/>
      <c r="F232" s="31"/>
      <c r="G232" s="30"/>
      <c r="H232" s="30"/>
      <c r="J232" s="29"/>
      <c r="L232" s="30"/>
      <c r="M232" s="30"/>
      <c r="O232" s="32"/>
      <c r="P232" s="32"/>
      <c r="S232" s="32"/>
    </row>
    <row r="233">
      <c r="D233" s="29"/>
      <c r="F233" s="31"/>
      <c r="G233" s="30"/>
      <c r="H233" s="30"/>
      <c r="J233" s="29"/>
      <c r="L233" s="30"/>
      <c r="M233" s="30"/>
      <c r="O233" s="32"/>
      <c r="P233" s="32"/>
      <c r="S233" s="32"/>
    </row>
    <row r="234">
      <c r="D234" s="29"/>
      <c r="F234" s="31"/>
      <c r="G234" s="30"/>
      <c r="H234" s="30"/>
      <c r="J234" s="29"/>
      <c r="L234" s="30"/>
      <c r="M234" s="30"/>
      <c r="O234" s="32"/>
      <c r="P234" s="32"/>
      <c r="S234" s="32"/>
    </row>
    <row r="235">
      <c r="D235" s="29"/>
      <c r="F235" s="31"/>
      <c r="G235" s="30"/>
      <c r="H235" s="30"/>
      <c r="J235" s="29"/>
      <c r="L235" s="30"/>
      <c r="M235" s="30"/>
      <c r="O235" s="32"/>
      <c r="P235" s="32"/>
      <c r="S235" s="32"/>
    </row>
    <row r="236">
      <c r="D236" s="29"/>
      <c r="F236" s="31"/>
      <c r="G236" s="30"/>
      <c r="H236" s="30"/>
      <c r="J236" s="29"/>
      <c r="L236" s="30"/>
      <c r="M236" s="30"/>
      <c r="O236" s="32"/>
      <c r="P236" s="32"/>
      <c r="S236" s="32"/>
    </row>
    <row r="237">
      <c r="D237" s="29"/>
      <c r="F237" s="31"/>
      <c r="G237" s="30"/>
      <c r="H237" s="30"/>
      <c r="J237" s="29"/>
      <c r="L237" s="30"/>
      <c r="M237" s="30"/>
      <c r="O237" s="32"/>
      <c r="P237" s="32"/>
      <c r="S237" s="32"/>
    </row>
    <row r="238">
      <c r="D238" s="29"/>
      <c r="F238" s="31"/>
      <c r="G238" s="30"/>
      <c r="H238" s="30"/>
      <c r="J238" s="29"/>
      <c r="L238" s="30"/>
      <c r="M238" s="30"/>
      <c r="O238" s="32"/>
      <c r="P238" s="32"/>
      <c r="S238" s="32"/>
    </row>
    <row r="239">
      <c r="D239" s="29"/>
      <c r="F239" s="31"/>
      <c r="G239" s="30"/>
      <c r="H239" s="30"/>
      <c r="J239" s="29"/>
      <c r="L239" s="30"/>
      <c r="M239" s="30"/>
      <c r="O239" s="32"/>
      <c r="P239" s="32"/>
      <c r="S239" s="32"/>
    </row>
    <row r="240">
      <c r="D240" s="29"/>
      <c r="F240" s="31"/>
      <c r="G240" s="30"/>
      <c r="H240" s="30"/>
      <c r="J240" s="29"/>
      <c r="L240" s="30"/>
      <c r="M240" s="30"/>
      <c r="O240" s="32"/>
      <c r="P240" s="32"/>
      <c r="S240" s="32"/>
    </row>
    <row r="241">
      <c r="D241" s="29"/>
      <c r="F241" s="31"/>
      <c r="G241" s="30"/>
      <c r="H241" s="30"/>
      <c r="J241" s="29"/>
      <c r="L241" s="30"/>
      <c r="M241" s="30"/>
      <c r="O241" s="32"/>
      <c r="P241" s="32"/>
      <c r="S241" s="32"/>
    </row>
    <row r="242">
      <c r="D242" s="29"/>
      <c r="F242" s="31"/>
      <c r="G242" s="30"/>
      <c r="H242" s="30"/>
      <c r="J242" s="29"/>
      <c r="L242" s="30"/>
      <c r="M242" s="30"/>
      <c r="O242" s="32"/>
      <c r="P242" s="32"/>
      <c r="S242" s="32"/>
    </row>
    <row r="243">
      <c r="D243" s="29"/>
      <c r="F243" s="31"/>
      <c r="G243" s="30"/>
      <c r="H243" s="30"/>
      <c r="J243" s="29"/>
      <c r="L243" s="30"/>
      <c r="M243" s="30"/>
      <c r="O243" s="32"/>
      <c r="P243" s="32"/>
      <c r="S243" s="32"/>
    </row>
    <row r="244">
      <c r="D244" s="29"/>
      <c r="F244" s="31"/>
      <c r="G244" s="30"/>
      <c r="H244" s="30"/>
      <c r="J244" s="29"/>
      <c r="L244" s="30"/>
      <c r="M244" s="30"/>
      <c r="O244" s="32"/>
      <c r="P244" s="32"/>
      <c r="S244" s="32"/>
    </row>
    <row r="245">
      <c r="D245" s="29"/>
      <c r="F245" s="31"/>
      <c r="G245" s="30"/>
      <c r="H245" s="30"/>
      <c r="J245" s="29"/>
      <c r="L245" s="30"/>
      <c r="M245" s="30"/>
      <c r="O245" s="32"/>
      <c r="P245" s="32"/>
      <c r="S245" s="32"/>
    </row>
    <row r="246">
      <c r="D246" s="29"/>
      <c r="F246" s="31"/>
      <c r="G246" s="30"/>
      <c r="H246" s="30"/>
      <c r="J246" s="29"/>
      <c r="L246" s="30"/>
      <c r="M246" s="30"/>
      <c r="O246" s="32"/>
      <c r="P246" s="32"/>
      <c r="S246" s="32"/>
    </row>
    <row r="247">
      <c r="D247" s="29"/>
      <c r="F247" s="31"/>
      <c r="G247" s="30"/>
      <c r="H247" s="30"/>
      <c r="J247" s="29"/>
      <c r="L247" s="30"/>
      <c r="M247" s="30"/>
      <c r="O247" s="32"/>
      <c r="P247" s="32"/>
      <c r="S247" s="32"/>
    </row>
    <row r="248">
      <c r="D248" s="29"/>
      <c r="F248" s="31"/>
      <c r="G248" s="30"/>
      <c r="H248" s="30"/>
      <c r="J248" s="29"/>
      <c r="L248" s="30"/>
      <c r="M248" s="30"/>
      <c r="O248" s="32"/>
      <c r="P248" s="32"/>
      <c r="S248" s="32"/>
    </row>
    <row r="249">
      <c r="D249" s="29"/>
      <c r="F249" s="31"/>
      <c r="G249" s="30"/>
      <c r="H249" s="30"/>
      <c r="J249" s="29"/>
      <c r="L249" s="30"/>
      <c r="M249" s="30"/>
      <c r="O249" s="32"/>
      <c r="P249" s="32"/>
      <c r="S249" s="32"/>
    </row>
    <row r="250">
      <c r="D250" s="29"/>
      <c r="F250" s="31"/>
      <c r="G250" s="30"/>
      <c r="H250" s="30"/>
      <c r="J250" s="29"/>
      <c r="L250" s="30"/>
      <c r="M250" s="30"/>
      <c r="O250" s="32"/>
      <c r="P250" s="32"/>
      <c r="S250" s="32"/>
    </row>
    <row r="251">
      <c r="D251" s="29"/>
      <c r="F251" s="31"/>
      <c r="G251" s="30"/>
      <c r="H251" s="30"/>
      <c r="J251" s="29"/>
      <c r="L251" s="30"/>
      <c r="M251" s="30"/>
      <c r="O251" s="32"/>
      <c r="P251" s="32"/>
      <c r="S251" s="32"/>
    </row>
    <row r="252">
      <c r="D252" s="29"/>
      <c r="F252" s="31"/>
      <c r="G252" s="30"/>
      <c r="H252" s="30"/>
      <c r="J252" s="29"/>
      <c r="L252" s="30"/>
      <c r="M252" s="30"/>
      <c r="O252" s="32"/>
      <c r="P252" s="32"/>
      <c r="S252" s="32"/>
    </row>
    <row r="253">
      <c r="D253" s="29"/>
      <c r="F253" s="31"/>
      <c r="G253" s="30"/>
      <c r="H253" s="30"/>
      <c r="J253" s="29"/>
      <c r="L253" s="30"/>
      <c r="M253" s="30"/>
      <c r="O253" s="32"/>
      <c r="P253" s="32"/>
      <c r="S253" s="32"/>
    </row>
    <row r="254">
      <c r="D254" s="29"/>
      <c r="F254" s="31"/>
      <c r="G254" s="30"/>
      <c r="H254" s="30"/>
      <c r="J254" s="29"/>
      <c r="L254" s="30"/>
      <c r="M254" s="30"/>
      <c r="O254" s="32"/>
      <c r="P254" s="32"/>
      <c r="S254" s="32"/>
    </row>
    <row r="255">
      <c r="D255" s="29"/>
      <c r="F255" s="31"/>
      <c r="G255" s="30"/>
      <c r="H255" s="30"/>
      <c r="J255" s="29"/>
      <c r="L255" s="30"/>
      <c r="M255" s="30"/>
      <c r="O255" s="32"/>
      <c r="P255" s="32"/>
      <c r="S255" s="32"/>
    </row>
    <row r="256">
      <c r="D256" s="29"/>
      <c r="F256" s="31"/>
      <c r="G256" s="30"/>
      <c r="H256" s="30"/>
      <c r="J256" s="29"/>
      <c r="L256" s="30"/>
      <c r="M256" s="30"/>
      <c r="O256" s="32"/>
      <c r="P256" s="32"/>
      <c r="S256" s="32"/>
    </row>
    <row r="257">
      <c r="D257" s="29"/>
      <c r="F257" s="31"/>
      <c r="G257" s="30"/>
      <c r="H257" s="30"/>
      <c r="J257" s="29"/>
      <c r="L257" s="30"/>
      <c r="M257" s="30"/>
      <c r="O257" s="32"/>
      <c r="P257" s="32"/>
      <c r="S257" s="32"/>
    </row>
    <row r="258">
      <c r="D258" s="29"/>
      <c r="F258" s="31"/>
      <c r="G258" s="30"/>
      <c r="H258" s="30"/>
      <c r="J258" s="29"/>
      <c r="L258" s="30"/>
      <c r="M258" s="30"/>
      <c r="O258" s="32"/>
      <c r="P258" s="32"/>
      <c r="S258" s="32"/>
    </row>
    <row r="259">
      <c r="D259" s="29"/>
      <c r="F259" s="31"/>
      <c r="G259" s="30"/>
      <c r="H259" s="30"/>
      <c r="J259" s="29"/>
      <c r="L259" s="30"/>
      <c r="M259" s="30"/>
      <c r="O259" s="32"/>
      <c r="P259" s="32"/>
      <c r="S259" s="32"/>
    </row>
    <row r="260">
      <c r="D260" s="29"/>
      <c r="F260" s="31"/>
      <c r="G260" s="30"/>
      <c r="H260" s="30"/>
      <c r="J260" s="29"/>
      <c r="L260" s="30"/>
      <c r="M260" s="30"/>
      <c r="O260" s="32"/>
      <c r="P260" s="32"/>
      <c r="S260" s="32"/>
    </row>
    <row r="261">
      <c r="D261" s="29"/>
      <c r="F261" s="31"/>
      <c r="G261" s="30"/>
      <c r="H261" s="30"/>
      <c r="J261" s="29"/>
      <c r="L261" s="30"/>
      <c r="M261" s="30"/>
      <c r="O261" s="32"/>
      <c r="P261" s="32"/>
      <c r="S261" s="32"/>
    </row>
    <row r="262">
      <c r="D262" s="29"/>
      <c r="F262" s="31"/>
      <c r="G262" s="30"/>
      <c r="H262" s="30"/>
      <c r="J262" s="29"/>
      <c r="L262" s="30"/>
      <c r="M262" s="30"/>
      <c r="O262" s="32"/>
      <c r="P262" s="32"/>
      <c r="S262" s="32"/>
    </row>
    <row r="263">
      <c r="D263" s="29"/>
      <c r="F263" s="31"/>
      <c r="G263" s="30"/>
      <c r="H263" s="30"/>
      <c r="J263" s="29"/>
      <c r="L263" s="30"/>
      <c r="M263" s="30"/>
      <c r="O263" s="32"/>
      <c r="P263" s="32"/>
      <c r="S263" s="32"/>
    </row>
    <row r="264">
      <c r="D264" s="29"/>
      <c r="F264" s="31"/>
      <c r="G264" s="30"/>
      <c r="H264" s="30"/>
      <c r="J264" s="29"/>
      <c r="L264" s="30"/>
      <c r="M264" s="30"/>
      <c r="O264" s="32"/>
      <c r="P264" s="32"/>
      <c r="S264" s="32"/>
    </row>
    <row r="265">
      <c r="D265" s="29"/>
      <c r="F265" s="31"/>
      <c r="G265" s="30"/>
      <c r="H265" s="30"/>
      <c r="J265" s="29"/>
      <c r="L265" s="30"/>
      <c r="M265" s="30"/>
      <c r="O265" s="32"/>
      <c r="P265" s="32"/>
      <c r="S265" s="32"/>
    </row>
    <row r="266">
      <c r="D266" s="29"/>
      <c r="F266" s="31"/>
      <c r="G266" s="30"/>
      <c r="H266" s="30"/>
      <c r="J266" s="29"/>
      <c r="L266" s="30"/>
      <c r="M266" s="30"/>
      <c r="O266" s="32"/>
      <c r="P266" s="32"/>
      <c r="S266" s="32"/>
    </row>
    <row r="267">
      <c r="D267" s="29"/>
      <c r="F267" s="31"/>
      <c r="G267" s="30"/>
      <c r="H267" s="30"/>
      <c r="J267" s="29"/>
      <c r="L267" s="30"/>
      <c r="M267" s="30"/>
      <c r="O267" s="32"/>
      <c r="P267" s="32"/>
      <c r="S267" s="32"/>
    </row>
    <row r="268">
      <c r="D268" s="29"/>
      <c r="F268" s="31"/>
      <c r="G268" s="30"/>
      <c r="H268" s="30"/>
      <c r="J268" s="29"/>
      <c r="L268" s="30"/>
      <c r="M268" s="30"/>
      <c r="O268" s="32"/>
      <c r="P268" s="32"/>
      <c r="S268" s="32"/>
    </row>
    <row r="269">
      <c r="D269" s="29"/>
      <c r="F269" s="31"/>
      <c r="G269" s="30"/>
      <c r="H269" s="30"/>
      <c r="J269" s="29"/>
      <c r="L269" s="30"/>
      <c r="M269" s="30"/>
      <c r="O269" s="32"/>
      <c r="P269" s="32"/>
      <c r="S269" s="32"/>
    </row>
    <row r="270">
      <c r="D270" s="29"/>
      <c r="F270" s="31"/>
      <c r="G270" s="30"/>
      <c r="H270" s="30"/>
      <c r="J270" s="29"/>
      <c r="L270" s="30"/>
      <c r="M270" s="30"/>
      <c r="O270" s="32"/>
      <c r="P270" s="32"/>
      <c r="S270" s="32"/>
    </row>
    <row r="271">
      <c r="D271" s="29"/>
      <c r="F271" s="31"/>
      <c r="G271" s="30"/>
      <c r="H271" s="30"/>
      <c r="J271" s="29"/>
      <c r="L271" s="30"/>
      <c r="M271" s="30"/>
      <c r="O271" s="32"/>
      <c r="P271" s="32"/>
      <c r="S271" s="32"/>
    </row>
    <row r="272">
      <c r="D272" s="29"/>
      <c r="F272" s="31"/>
      <c r="G272" s="30"/>
      <c r="H272" s="30"/>
      <c r="J272" s="29"/>
      <c r="L272" s="30"/>
      <c r="M272" s="30"/>
      <c r="O272" s="32"/>
      <c r="P272" s="32"/>
      <c r="S272" s="32"/>
    </row>
    <row r="273">
      <c r="D273" s="29"/>
      <c r="F273" s="31"/>
      <c r="G273" s="30"/>
      <c r="H273" s="30"/>
      <c r="J273" s="29"/>
      <c r="L273" s="30"/>
      <c r="M273" s="30"/>
      <c r="O273" s="32"/>
      <c r="P273" s="32"/>
      <c r="S273" s="32"/>
    </row>
    <row r="274">
      <c r="D274" s="29"/>
      <c r="F274" s="31"/>
      <c r="G274" s="30"/>
      <c r="H274" s="30"/>
      <c r="J274" s="29"/>
      <c r="L274" s="30"/>
      <c r="M274" s="30"/>
      <c r="O274" s="32"/>
      <c r="P274" s="32"/>
      <c r="S274" s="32"/>
    </row>
    <row r="275">
      <c r="D275" s="29"/>
      <c r="F275" s="31"/>
      <c r="G275" s="30"/>
      <c r="H275" s="30"/>
      <c r="J275" s="29"/>
      <c r="L275" s="30"/>
      <c r="M275" s="30"/>
      <c r="O275" s="32"/>
      <c r="P275" s="32"/>
      <c r="S275" s="32"/>
    </row>
    <row r="276">
      <c r="D276" s="29"/>
      <c r="F276" s="31"/>
      <c r="G276" s="30"/>
      <c r="H276" s="30"/>
      <c r="J276" s="29"/>
      <c r="L276" s="30"/>
      <c r="M276" s="30"/>
      <c r="O276" s="32"/>
      <c r="P276" s="32"/>
      <c r="S276" s="32"/>
    </row>
    <row r="277">
      <c r="D277" s="29"/>
      <c r="F277" s="31"/>
      <c r="G277" s="30"/>
      <c r="H277" s="30"/>
      <c r="J277" s="29"/>
      <c r="L277" s="30"/>
      <c r="M277" s="30"/>
      <c r="O277" s="32"/>
      <c r="P277" s="32"/>
      <c r="S277" s="32"/>
    </row>
    <row r="278">
      <c r="D278" s="29"/>
      <c r="F278" s="31"/>
      <c r="G278" s="30"/>
      <c r="H278" s="30"/>
      <c r="J278" s="29"/>
      <c r="L278" s="30"/>
      <c r="M278" s="30"/>
      <c r="O278" s="32"/>
      <c r="P278" s="32"/>
      <c r="S278" s="32"/>
    </row>
    <row r="279">
      <c r="D279" s="29"/>
      <c r="F279" s="31"/>
      <c r="G279" s="30"/>
      <c r="H279" s="30"/>
      <c r="J279" s="29"/>
      <c r="L279" s="30"/>
      <c r="M279" s="30"/>
      <c r="O279" s="32"/>
      <c r="P279" s="32"/>
      <c r="S279" s="32"/>
    </row>
    <row r="280">
      <c r="D280" s="29"/>
      <c r="F280" s="31"/>
      <c r="G280" s="30"/>
      <c r="H280" s="30"/>
      <c r="J280" s="29"/>
      <c r="L280" s="30"/>
      <c r="M280" s="30"/>
      <c r="O280" s="32"/>
      <c r="P280" s="32"/>
      <c r="S280" s="32"/>
    </row>
    <row r="281">
      <c r="D281" s="29"/>
      <c r="F281" s="31"/>
      <c r="G281" s="30"/>
      <c r="H281" s="30"/>
      <c r="J281" s="29"/>
      <c r="L281" s="30"/>
      <c r="M281" s="30"/>
      <c r="O281" s="32"/>
      <c r="P281" s="32"/>
      <c r="S281" s="32"/>
    </row>
    <row r="282">
      <c r="D282" s="29"/>
      <c r="F282" s="31"/>
      <c r="G282" s="30"/>
      <c r="H282" s="30"/>
      <c r="J282" s="29"/>
      <c r="L282" s="30"/>
      <c r="M282" s="30"/>
      <c r="O282" s="32"/>
      <c r="P282" s="32"/>
      <c r="S282" s="32"/>
    </row>
    <row r="283">
      <c r="D283" s="29"/>
      <c r="F283" s="31"/>
      <c r="G283" s="30"/>
      <c r="H283" s="30"/>
      <c r="J283" s="29"/>
      <c r="L283" s="30"/>
      <c r="M283" s="30"/>
      <c r="O283" s="32"/>
      <c r="P283" s="32"/>
      <c r="S283" s="32"/>
    </row>
    <row r="284">
      <c r="D284" s="29"/>
      <c r="F284" s="31"/>
      <c r="G284" s="30"/>
      <c r="H284" s="30"/>
      <c r="J284" s="29"/>
      <c r="L284" s="30"/>
      <c r="M284" s="30"/>
      <c r="O284" s="32"/>
      <c r="P284" s="32"/>
      <c r="S284" s="32"/>
    </row>
    <row r="285">
      <c r="D285" s="29"/>
      <c r="F285" s="31"/>
      <c r="G285" s="30"/>
      <c r="H285" s="30"/>
      <c r="J285" s="29"/>
      <c r="L285" s="30"/>
      <c r="M285" s="30"/>
      <c r="O285" s="32"/>
      <c r="P285" s="32"/>
      <c r="S285" s="32"/>
    </row>
    <row r="286">
      <c r="D286" s="29"/>
      <c r="F286" s="31"/>
      <c r="G286" s="30"/>
      <c r="H286" s="30"/>
      <c r="J286" s="29"/>
      <c r="L286" s="30"/>
      <c r="M286" s="30"/>
      <c r="O286" s="32"/>
      <c r="P286" s="32"/>
      <c r="S286" s="32"/>
    </row>
    <row r="287">
      <c r="D287" s="29"/>
      <c r="F287" s="31"/>
      <c r="G287" s="30"/>
      <c r="H287" s="30"/>
      <c r="J287" s="29"/>
      <c r="L287" s="30"/>
      <c r="M287" s="30"/>
      <c r="O287" s="32"/>
      <c r="P287" s="32"/>
      <c r="S287" s="32"/>
    </row>
    <row r="288">
      <c r="D288" s="29"/>
      <c r="F288" s="31"/>
      <c r="G288" s="30"/>
      <c r="H288" s="30"/>
      <c r="J288" s="29"/>
      <c r="L288" s="30"/>
      <c r="M288" s="30"/>
      <c r="O288" s="32"/>
      <c r="P288" s="32"/>
      <c r="S288" s="32"/>
    </row>
    <row r="289">
      <c r="D289" s="29"/>
      <c r="F289" s="31"/>
      <c r="G289" s="30"/>
      <c r="H289" s="30"/>
      <c r="J289" s="29"/>
      <c r="L289" s="30"/>
      <c r="M289" s="30"/>
      <c r="O289" s="32"/>
      <c r="P289" s="32"/>
      <c r="S289" s="32"/>
    </row>
    <row r="290">
      <c r="D290" s="29"/>
      <c r="F290" s="31"/>
      <c r="G290" s="30"/>
      <c r="H290" s="30"/>
      <c r="J290" s="29"/>
      <c r="L290" s="30"/>
      <c r="M290" s="30"/>
      <c r="O290" s="32"/>
      <c r="P290" s="32"/>
      <c r="S290" s="32"/>
    </row>
    <row r="291">
      <c r="D291" s="29"/>
      <c r="F291" s="31"/>
      <c r="G291" s="30"/>
      <c r="H291" s="30"/>
      <c r="J291" s="29"/>
      <c r="L291" s="30"/>
      <c r="M291" s="30"/>
      <c r="O291" s="32"/>
      <c r="P291" s="32"/>
      <c r="S291" s="32"/>
    </row>
    <row r="292">
      <c r="D292" s="29"/>
      <c r="F292" s="31"/>
      <c r="G292" s="30"/>
      <c r="H292" s="30"/>
      <c r="J292" s="29"/>
      <c r="L292" s="30"/>
      <c r="M292" s="30"/>
      <c r="O292" s="32"/>
      <c r="P292" s="32"/>
      <c r="S292" s="32"/>
    </row>
    <row r="293">
      <c r="D293" s="29"/>
      <c r="F293" s="31"/>
      <c r="G293" s="30"/>
      <c r="H293" s="30"/>
      <c r="J293" s="29"/>
      <c r="L293" s="30"/>
      <c r="M293" s="30"/>
      <c r="O293" s="32"/>
      <c r="P293" s="32"/>
      <c r="S293" s="32"/>
    </row>
    <row r="294">
      <c r="D294" s="29"/>
      <c r="F294" s="31"/>
      <c r="G294" s="30"/>
      <c r="H294" s="30"/>
      <c r="J294" s="29"/>
      <c r="L294" s="30"/>
      <c r="M294" s="30"/>
      <c r="O294" s="32"/>
      <c r="P294" s="32"/>
      <c r="S294" s="32"/>
    </row>
    <row r="295">
      <c r="D295" s="29"/>
      <c r="F295" s="31"/>
      <c r="G295" s="30"/>
      <c r="H295" s="30"/>
      <c r="J295" s="29"/>
      <c r="L295" s="30"/>
      <c r="M295" s="30"/>
      <c r="O295" s="32"/>
      <c r="P295" s="32"/>
      <c r="S295" s="32"/>
    </row>
    <row r="296">
      <c r="D296" s="29"/>
      <c r="F296" s="31"/>
      <c r="G296" s="30"/>
      <c r="H296" s="30"/>
      <c r="J296" s="29"/>
      <c r="L296" s="30"/>
      <c r="M296" s="30"/>
      <c r="O296" s="32"/>
      <c r="P296" s="32"/>
      <c r="S296" s="32"/>
    </row>
    <row r="297">
      <c r="D297" s="29"/>
      <c r="F297" s="31"/>
      <c r="G297" s="30"/>
      <c r="H297" s="30"/>
      <c r="J297" s="29"/>
      <c r="L297" s="30"/>
      <c r="M297" s="30"/>
      <c r="O297" s="32"/>
      <c r="P297" s="32"/>
      <c r="S297" s="32"/>
    </row>
    <row r="298">
      <c r="D298" s="29"/>
      <c r="F298" s="31"/>
      <c r="G298" s="30"/>
      <c r="H298" s="30"/>
      <c r="J298" s="29"/>
      <c r="L298" s="30"/>
      <c r="M298" s="30"/>
      <c r="O298" s="32"/>
      <c r="P298" s="32"/>
      <c r="S298" s="32"/>
    </row>
    <row r="299">
      <c r="D299" s="29"/>
      <c r="F299" s="31"/>
      <c r="G299" s="30"/>
      <c r="H299" s="30"/>
      <c r="J299" s="29"/>
      <c r="L299" s="30"/>
      <c r="M299" s="30"/>
      <c r="O299" s="32"/>
      <c r="P299" s="32"/>
      <c r="S299" s="32"/>
    </row>
    <row r="300">
      <c r="D300" s="29"/>
      <c r="F300" s="31"/>
      <c r="G300" s="30"/>
      <c r="H300" s="30"/>
      <c r="J300" s="29"/>
      <c r="L300" s="30"/>
      <c r="M300" s="30"/>
      <c r="O300" s="32"/>
      <c r="P300" s="32"/>
      <c r="S300" s="32"/>
    </row>
    <row r="301">
      <c r="D301" s="29"/>
      <c r="F301" s="31"/>
      <c r="G301" s="30"/>
      <c r="H301" s="30"/>
      <c r="J301" s="29"/>
      <c r="L301" s="30"/>
      <c r="M301" s="30"/>
      <c r="O301" s="32"/>
      <c r="P301" s="32"/>
      <c r="S301" s="32"/>
    </row>
    <row r="302">
      <c r="D302" s="29"/>
      <c r="F302" s="31"/>
      <c r="G302" s="30"/>
      <c r="H302" s="30"/>
      <c r="J302" s="29"/>
      <c r="L302" s="30"/>
      <c r="M302" s="30"/>
      <c r="O302" s="32"/>
      <c r="P302" s="32"/>
      <c r="S302" s="32"/>
    </row>
    <row r="303">
      <c r="D303" s="29"/>
      <c r="F303" s="31"/>
      <c r="G303" s="30"/>
      <c r="H303" s="30"/>
      <c r="J303" s="29"/>
      <c r="L303" s="30"/>
      <c r="M303" s="30"/>
      <c r="O303" s="32"/>
      <c r="P303" s="32"/>
      <c r="S303" s="32"/>
    </row>
    <row r="304">
      <c r="D304" s="29"/>
      <c r="F304" s="31"/>
      <c r="G304" s="30"/>
      <c r="H304" s="30"/>
      <c r="J304" s="29"/>
      <c r="L304" s="30"/>
      <c r="M304" s="30"/>
      <c r="O304" s="32"/>
      <c r="P304" s="32"/>
      <c r="S304" s="32"/>
    </row>
    <row r="305">
      <c r="D305" s="29"/>
      <c r="F305" s="31"/>
      <c r="G305" s="30"/>
      <c r="H305" s="30"/>
      <c r="J305" s="29"/>
      <c r="L305" s="30"/>
      <c r="M305" s="30"/>
      <c r="O305" s="32"/>
      <c r="P305" s="32"/>
      <c r="S305" s="32"/>
    </row>
    <row r="306">
      <c r="D306" s="29"/>
      <c r="F306" s="31"/>
      <c r="G306" s="30"/>
      <c r="H306" s="30"/>
      <c r="J306" s="29"/>
      <c r="L306" s="30"/>
      <c r="M306" s="30"/>
      <c r="O306" s="32"/>
      <c r="P306" s="32"/>
      <c r="S306" s="32"/>
    </row>
    <row r="307">
      <c r="D307" s="29"/>
      <c r="F307" s="31"/>
      <c r="G307" s="30"/>
      <c r="H307" s="30"/>
      <c r="J307" s="29"/>
      <c r="L307" s="30"/>
      <c r="M307" s="30"/>
      <c r="O307" s="32"/>
      <c r="P307" s="32"/>
      <c r="S307" s="32"/>
    </row>
    <row r="308">
      <c r="D308" s="29"/>
      <c r="F308" s="31"/>
      <c r="G308" s="30"/>
      <c r="H308" s="30"/>
      <c r="J308" s="29"/>
      <c r="L308" s="30"/>
      <c r="M308" s="30"/>
      <c r="O308" s="32"/>
      <c r="P308" s="32"/>
      <c r="S308" s="32"/>
    </row>
    <row r="309">
      <c r="D309" s="29"/>
      <c r="F309" s="31"/>
      <c r="G309" s="30"/>
      <c r="H309" s="30"/>
      <c r="J309" s="29"/>
      <c r="L309" s="30"/>
      <c r="M309" s="30"/>
      <c r="O309" s="32"/>
      <c r="P309" s="32"/>
      <c r="S309" s="32"/>
    </row>
    <row r="310">
      <c r="D310" s="29"/>
      <c r="F310" s="31"/>
      <c r="G310" s="30"/>
      <c r="H310" s="30"/>
      <c r="J310" s="29"/>
      <c r="L310" s="30"/>
      <c r="M310" s="30"/>
      <c r="O310" s="32"/>
      <c r="P310" s="32"/>
      <c r="S310" s="32"/>
    </row>
    <row r="311">
      <c r="D311" s="29"/>
      <c r="F311" s="31"/>
      <c r="G311" s="30"/>
      <c r="H311" s="30"/>
      <c r="J311" s="29"/>
      <c r="L311" s="30"/>
      <c r="M311" s="30"/>
      <c r="O311" s="32"/>
      <c r="P311" s="32"/>
      <c r="S311" s="32"/>
    </row>
    <row r="312">
      <c r="D312" s="29"/>
      <c r="F312" s="31"/>
      <c r="G312" s="30"/>
      <c r="H312" s="30"/>
      <c r="J312" s="29"/>
      <c r="L312" s="30"/>
      <c r="M312" s="30"/>
      <c r="O312" s="32"/>
      <c r="P312" s="32"/>
      <c r="S312" s="32"/>
    </row>
    <row r="313">
      <c r="D313" s="29"/>
      <c r="F313" s="31"/>
      <c r="G313" s="30"/>
      <c r="H313" s="30"/>
      <c r="J313" s="29"/>
      <c r="L313" s="30"/>
      <c r="M313" s="30"/>
      <c r="O313" s="32"/>
      <c r="P313" s="32"/>
      <c r="S313" s="32"/>
    </row>
    <row r="314">
      <c r="D314" s="29"/>
      <c r="F314" s="31"/>
      <c r="G314" s="30"/>
      <c r="H314" s="30"/>
      <c r="J314" s="29"/>
      <c r="L314" s="30"/>
      <c r="M314" s="30"/>
      <c r="O314" s="32"/>
      <c r="P314" s="32"/>
      <c r="S314" s="32"/>
    </row>
    <row r="315">
      <c r="D315" s="29"/>
      <c r="F315" s="31"/>
      <c r="G315" s="30"/>
      <c r="H315" s="30"/>
      <c r="J315" s="29"/>
      <c r="L315" s="30"/>
      <c r="M315" s="30"/>
      <c r="O315" s="32"/>
      <c r="P315" s="32"/>
      <c r="S315" s="32"/>
    </row>
    <row r="316">
      <c r="D316" s="29"/>
      <c r="F316" s="31"/>
      <c r="G316" s="30"/>
      <c r="H316" s="30"/>
      <c r="J316" s="29"/>
      <c r="L316" s="30"/>
      <c r="M316" s="30"/>
      <c r="O316" s="32"/>
      <c r="P316" s="32"/>
      <c r="S316" s="32"/>
    </row>
    <row r="317">
      <c r="D317" s="29"/>
      <c r="F317" s="31"/>
      <c r="G317" s="30"/>
      <c r="H317" s="30"/>
      <c r="J317" s="29"/>
      <c r="L317" s="30"/>
      <c r="M317" s="30"/>
      <c r="O317" s="32"/>
      <c r="P317" s="32"/>
      <c r="S317" s="32"/>
    </row>
    <row r="318">
      <c r="D318" s="29"/>
      <c r="F318" s="31"/>
      <c r="G318" s="30"/>
      <c r="H318" s="30"/>
      <c r="J318" s="29"/>
      <c r="L318" s="30"/>
      <c r="M318" s="30"/>
      <c r="O318" s="32"/>
      <c r="P318" s="32"/>
      <c r="S318" s="32"/>
    </row>
    <row r="319">
      <c r="D319" s="29"/>
      <c r="F319" s="31"/>
      <c r="G319" s="30"/>
      <c r="H319" s="30"/>
      <c r="J319" s="29"/>
      <c r="L319" s="30"/>
      <c r="M319" s="30"/>
      <c r="O319" s="32"/>
      <c r="P319" s="32"/>
      <c r="S319" s="32"/>
    </row>
    <row r="320">
      <c r="D320" s="29"/>
      <c r="F320" s="31"/>
      <c r="G320" s="30"/>
      <c r="H320" s="30"/>
      <c r="J320" s="29"/>
      <c r="L320" s="30"/>
      <c r="M320" s="30"/>
      <c r="O320" s="32"/>
      <c r="P320" s="32"/>
      <c r="S320" s="32"/>
    </row>
    <row r="321">
      <c r="D321" s="29"/>
      <c r="F321" s="31"/>
      <c r="G321" s="30"/>
      <c r="H321" s="30"/>
      <c r="J321" s="29"/>
      <c r="L321" s="30"/>
      <c r="M321" s="30"/>
      <c r="O321" s="32"/>
      <c r="P321" s="32"/>
      <c r="S321" s="32"/>
    </row>
    <row r="322">
      <c r="D322" s="29"/>
      <c r="F322" s="31"/>
      <c r="G322" s="30"/>
      <c r="H322" s="30"/>
      <c r="J322" s="29"/>
      <c r="L322" s="30"/>
      <c r="M322" s="30"/>
      <c r="O322" s="32"/>
      <c r="P322" s="32"/>
      <c r="S322" s="32"/>
    </row>
    <row r="323">
      <c r="D323" s="29"/>
      <c r="F323" s="31"/>
      <c r="G323" s="30"/>
      <c r="H323" s="30"/>
      <c r="J323" s="29"/>
      <c r="L323" s="30"/>
      <c r="M323" s="30"/>
      <c r="O323" s="32"/>
      <c r="P323" s="32"/>
      <c r="S323" s="32"/>
    </row>
    <row r="324">
      <c r="D324" s="29"/>
      <c r="F324" s="31"/>
      <c r="G324" s="30"/>
      <c r="H324" s="30"/>
      <c r="J324" s="29"/>
      <c r="L324" s="30"/>
      <c r="M324" s="30"/>
      <c r="O324" s="32"/>
      <c r="P324" s="32"/>
      <c r="S324" s="32"/>
    </row>
    <row r="325">
      <c r="D325" s="29"/>
      <c r="F325" s="31"/>
      <c r="G325" s="30"/>
      <c r="H325" s="30"/>
      <c r="J325" s="29"/>
      <c r="L325" s="30"/>
      <c r="M325" s="30"/>
      <c r="O325" s="32"/>
      <c r="P325" s="32"/>
      <c r="S325" s="32"/>
    </row>
    <row r="326">
      <c r="D326" s="29"/>
      <c r="F326" s="31"/>
      <c r="G326" s="30"/>
      <c r="H326" s="30"/>
      <c r="J326" s="29"/>
      <c r="L326" s="30"/>
      <c r="M326" s="30"/>
      <c r="O326" s="32"/>
      <c r="P326" s="32"/>
      <c r="S326" s="32"/>
    </row>
    <row r="327">
      <c r="D327" s="29"/>
      <c r="F327" s="31"/>
      <c r="G327" s="30"/>
      <c r="H327" s="30"/>
      <c r="J327" s="29"/>
      <c r="L327" s="30"/>
      <c r="M327" s="30"/>
      <c r="O327" s="32"/>
      <c r="P327" s="32"/>
      <c r="S327" s="32"/>
    </row>
    <row r="328">
      <c r="D328" s="29"/>
      <c r="F328" s="31"/>
      <c r="G328" s="30"/>
      <c r="H328" s="30"/>
      <c r="J328" s="29"/>
      <c r="L328" s="30"/>
      <c r="M328" s="30"/>
      <c r="O328" s="32"/>
      <c r="P328" s="32"/>
      <c r="S328" s="32"/>
    </row>
    <row r="329">
      <c r="D329" s="29"/>
      <c r="F329" s="31"/>
      <c r="G329" s="30"/>
      <c r="H329" s="30"/>
      <c r="J329" s="29"/>
      <c r="L329" s="30"/>
      <c r="M329" s="30"/>
      <c r="O329" s="32"/>
      <c r="P329" s="32"/>
      <c r="S329" s="32"/>
    </row>
    <row r="330">
      <c r="D330" s="29"/>
      <c r="F330" s="31"/>
      <c r="G330" s="30"/>
      <c r="H330" s="30"/>
      <c r="J330" s="29"/>
      <c r="L330" s="30"/>
      <c r="M330" s="30"/>
      <c r="O330" s="32"/>
      <c r="P330" s="32"/>
      <c r="S330" s="32"/>
    </row>
    <row r="331">
      <c r="D331" s="29"/>
      <c r="F331" s="31"/>
      <c r="G331" s="30"/>
      <c r="H331" s="30"/>
      <c r="J331" s="29"/>
      <c r="L331" s="30"/>
      <c r="M331" s="30"/>
      <c r="O331" s="32"/>
      <c r="P331" s="32"/>
      <c r="S331" s="32"/>
    </row>
    <row r="332">
      <c r="D332" s="29"/>
      <c r="F332" s="31"/>
      <c r="G332" s="30"/>
      <c r="H332" s="30"/>
      <c r="J332" s="29"/>
      <c r="L332" s="30"/>
      <c r="M332" s="30"/>
      <c r="O332" s="32"/>
      <c r="P332" s="32"/>
      <c r="S332" s="32"/>
    </row>
    <row r="333">
      <c r="D333" s="29"/>
      <c r="F333" s="31"/>
      <c r="G333" s="30"/>
      <c r="H333" s="30"/>
      <c r="J333" s="29"/>
      <c r="L333" s="30"/>
      <c r="M333" s="30"/>
      <c r="O333" s="32"/>
      <c r="P333" s="32"/>
      <c r="S333" s="32"/>
    </row>
    <row r="334">
      <c r="D334" s="29"/>
      <c r="F334" s="31"/>
      <c r="G334" s="30"/>
      <c r="H334" s="30"/>
      <c r="J334" s="29"/>
      <c r="L334" s="30"/>
      <c r="M334" s="30"/>
      <c r="O334" s="32"/>
      <c r="P334" s="32"/>
      <c r="S334" s="32"/>
    </row>
    <row r="335">
      <c r="D335" s="29"/>
      <c r="F335" s="31"/>
      <c r="G335" s="30"/>
      <c r="H335" s="30"/>
      <c r="J335" s="29"/>
      <c r="L335" s="30"/>
      <c r="M335" s="30"/>
      <c r="O335" s="32"/>
      <c r="P335" s="32"/>
      <c r="S335" s="32"/>
    </row>
    <row r="336">
      <c r="D336" s="29"/>
      <c r="F336" s="31"/>
      <c r="G336" s="30"/>
      <c r="H336" s="30"/>
      <c r="J336" s="29"/>
      <c r="L336" s="30"/>
      <c r="M336" s="30"/>
      <c r="O336" s="32"/>
      <c r="P336" s="32"/>
      <c r="S336" s="32"/>
    </row>
    <row r="337">
      <c r="D337" s="29"/>
      <c r="F337" s="31"/>
      <c r="G337" s="30"/>
      <c r="H337" s="30"/>
      <c r="J337" s="29"/>
      <c r="L337" s="30"/>
      <c r="M337" s="30"/>
      <c r="O337" s="32"/>
      <c r="P337" s="32"/>
      <c r="S337" s="32"/>
    </row>
    <row r="338">
      <c r="D338" s="29"/>
      <c r="F338" s="31"/>
      <c r="G338" s="30"/>
      <c r="H338" s="30"/>
      <c r="J338" s="29"/>
      <c r="L338" s="30"/>
      <c r="M338" s="30"/>
      <c r="O338" s="32"/>
      <c r="P338" s="32"/>
      <c r="S338" s="32"/>
    </row>
    <row r="339">
      <c r="D339" s="29"/>
      <c r="F339" s="31"/>
      <c r="G339" s="30"/>
      <c r="H339" s="30"/>
      <c r="J339" s="29"/>
      <c r="L339" s="30"/>
      <c r="M339" s="30"/>
      <c r="O339" s="32"/>
      <c r="P339" s="32"/>
      <c r="S339" s="32"/>
    </row>
    <row r="340">
      <c r="D340" s="29"/>
      <c r="F340" s="31"/>
      <c r="G340" s="30"/>
      <c r="H340" s="30"/>
      <c r="J340" s="29"/>
      <c r="L340" s="30"/>
      <c r="M340" s="30"/>
      <c r="O340" s="32"/>
      <c r="P340" s="32"/>
      <c r="S340" s="32"/>
    </row>
    <row r="341">
      <c r="D341" s="29"/>
      <c r="F341" s="31"/>
      <c r="G341" s="30"/>
      <c r="H341" s="30"/>
      <c r="J341" s="29"/>
      <c r="L341" s="30"/>
      <c r="M341" s="30"/>
      <c r="O341" s="32"/>
      <c r="P341" s="32"/>
      <c r="S341" s="32"/>
    </row>
    <row r="342">
      <c r="D342" s="29"/>
      <c r="F342" s="31"/>
      <c r="G342" s="30"/>
      <c r="H342" s="30"/>
      <c r="J342" s="29"/>
      <c r="L342" s="30"/>
      <c r="M342" s="30"/>
      <c r="O342" s="32"/>
      <c r="P342" s="32"/>
      <c r="S342" s="32"/>
    </row>
    <row r="343">
      <c r="D343" s="29"/>
      <c r="F343" s="31"/>
      <c r="G343" s="30"/>
      <c r="H343" s="30"/>
      <c r="J343" s="29"/>
      <c r="L343" s="30"/>
      <c r="M343" s="30"/>
      <c r="O343" s="32"/>
      <c r="P343" s="32"/>
      <c r="S343" s="32"/>
    </row>
    <row r="344">
      <c r="D344" s="29"/>
      <c r="F344" s="31"/>
      <c r="G344" s="30"/>
      <c r="H344" s="30"/>
      <c r="J344" s="29"/>
      <c r="L344" s="30"/>
      <c r="M344" s="30"/>
      <c r="O344" s="32"/>
      <c r="P344" s="32"/>
      <c r="S344" s="32"/>
    </row>
    <row r="345">
      <c r="D345" s="29"/>
      <c r="F345" s="31"/>
      <c r="G345" s="30"/>
      <c r="H345" s="30"/>
      <c r="J345" s="29"/>
      <c r="L345" s="30"/>
      <c r="M345" s="30"/>
      <c r="O345" s="32"/>
      <c r="P345" s="32"/>
      <c r="S345" s="32"/>
    </row>
    <row r="346">
      <c r="D346" s="29"/>
      <c r="F346" s="31"/>
      <c r="G346" s="30"/>
      <c r="H346" s="30"/>
      <c r="J346" s="29"/>
      <c r="L346" s="30"/>
      <c r="M346" s="30"/>
      <c r="O346" s="32"/>
      <c r="P346" s="32"/>
      <c r="S346" s="32"/>
    </row>
    <row r="347">
      <c r="D347" s="29"/>
      <c r="F347" s="31"/>
      <c r="G347" s="30"/>
      <c r="H347" s="30"/>
      <c r="J347" s="29"/>
      <c r="L347" s="30"/>
      <c r="M347" s="30"/>
      <c r="O347" s="32"/>
      <c r="P347" s="32"/>
      <c r="S347" s="32"/>
    </row>
    <row r="348">
      <c r="D348" s="29"/>
      <c r="F348" s="31"/>
      <c r="G348" s="30"/>
      <c r="H348" s="30"/>
      <c r="J348" s="29"/>
      <c r="L348" s="30"/>
      <c r="M348" s="30"/>
      <c r="O348" s="32"/>
      <c r="P348" s="32"/>
      <c r="S348" s="32"/>
    </row>
    <row r="349">
      <c r="D349" s="29"/>
      <c r="F349" s="31"/>
      <c r="G349" s="30"/>
      <c r="H349" s="30"/>
      <c r="J349" s="29"/>
      <c r="L349" s="30"/>
      <c r="M349" s="30"/>
      <c r="O349" s="32"/>
      <c r="P349" s="32"/>
      <c r="S349" s="32"/>
    </row>
    <row r="350">
      <c r="D350" s="29"/>
      <c r="F350" s="31"/>
      <c r="G350" s="30"/>
      <c r="H350" s="30"/>
      <c r="J350" s="29"/>
      <c r="L350" s="30"/>
      <c r="M350" s="30"/>
      <c r="O350" s="32"/>
      <c r="P350" s="32"/>
      <c r="S350" s="32"/>
    </row>
    <row r="351">
      <c r="D351" s="29"/>
      <c r="F351" s="31"/>
      <c r="G351" s="30"/>
      <c r="H351" s="30"/>
      <c r="J351" s="29"/>
      <c r="L351" s="30"/>
      <c r="M351" s="30"/>
      <c r="O351" s="32"/>
      <c r="P351" s="32"/>
      <c r="S351" s="32"/>
    </row>
    <row r="352">
      <c r="D352" s="29"/>
      <c r="F352" s="31"/>
      <c r="G352" s="30"/>
      <c r="H352" s="30"/>
      <c r="J352" s="29"/>
      <c r="L352" s="30"/>
      <c r="M352" s="30"/>
      <c r="O352" s="32"/>
      <c r="P352" s="32"/>
      <c r="S352" s="32"/>
    </row>
    <row r="353">
      <c r="D353" s="29"/>
      <c r="F353" s="31"/>
      <c r="G353" s="30"/>
      <c r="H353" s="30"/>
      <c r="J353" s="29"/>
      <c r="L353" s="30"/>
      <c r="M353" s="30"/>
      <c r="O353" s="32"/>
      <c r="P353" s="32"/>
      <c r="S353" s="32"/>
    </row>
    <row r="354">
      <c r="D354" s="29"/>
      <c r="F354" s="31"/>
      <c r="G354" s="30"/>
      <c r="H354" s="30"/>
      <c r="J354" s="29"/>
      <c r="L354" s="30"/>
      <c r="M354" s="30"/>
      <c r="O354" s="32"/>
      <c r="P354" s="32"/>
      <c r="S354" s="32"/>
    </row>
    <row r="355">
      <c r="D355" s="29"/>
      <c r="F355" s="31"/>
      <c r="G355" s="30"/>
      <c r="H355" s="30"/>
      <c r="J355" s="29"/>
      <c r="L355" s="30"/>
      <c r="M355" s="30"/>
      <c r="O355" s="32"/>
      <c r="P355" s="32"/>
      <c r="S355" s="32"/>
    </row>
    <row r="356">
      <c r="D356" s="29"/>
      <c r="F356" s="31"/>
      <c r="G356" s="30"/>
      <c r="H356" s="30"/>
      <c r="J356" s="29"/>
      <c r="L356" s="30"/>
      <c r="M356" s="30"/>
      <c r="O356" s="32"/>
      <c r="P356" s="32"/>
      <c r="S356" s="32"/>
    </row>
    <row r="357">
      <c r="D357" s="29"/>
      <c r="F357" s="31"/>
      <c r="G357" s="30"/>
      <c r="H357" s="30"/>
      <c r="J357" s="29"/>
      <c r="L357" s="30"/>
      <c r="M357" s="30"/>
      <c r="O357" s="32"/>
      <c r="P357" s="32"/>
      <c r="S357" s="32"/>
    </row>
    <row r="358">
      <c r="D358" s="29"/>
      <c r="F358" s="31"/>
      <c r="G358" s="30"/>
      <c r="H358" s="30"/>
      <c r="J358" s="29"/>
      <c r="L358" s="30"/>
      <c r="M358" s="30"/>
      <c r="O358" s="32"/>
      <c r="P358" s="32"/>
      <c r="S358" s="32"/>
    </row>
    <row r="359">
      <c r="D359" s="29"/>
      <c r="F359" s="31"/>
      <c r="G359" s="30"/>
      <c r="H359" s="30"/>
      <c r="J359" s="29"/>
      <c r="L359" s="30"/>
      <c r="M359" s="30"/>
      <c r="O359" s="32"/>
      <c r="P359" s="32"/>
      <c r="S359" s="32"/>
    </row>
    <row r="360">
      <c r="D360" s="29"/>
      <c r="F360" s="31"/>
      <c r="G360" s="30"/>
      <c r="H360" s="30"/>
      <c r="J360" s="29"/>
      <c r="L360" s="30"/>
      <c r="M360" s="30"/>
      <c r="O360" s="32"/>
      <c r="P360" s="32"/>
      <c r="S360" s="32"/>
    </row>
    <row r="361">
      <c r="D361" s="29"/>
      <c r="F361" s="31"/>
      <c r="G361" s="30"/>
      <c r="H361" s="30"/>
      <c r="J361" s="29"/>
      <c r="L361" s="30"/>
      <c r="M361" s="30"/>
      <c r="O361" s="32"/>
      <c r="P361" s="32"/>
      <c r="S361" s="32"/>
    </row>
    <row r="362">
      <c r="D362" s="29"/>
      <c r="F362" s="31"/>
      <c r="G362" s="30"/>
      <c r="H362" s="30"/>
      <c r="J362" s="29"/>
      <c r="L362" s="30"/>
      <c r="M362" s="30"/>
      <c r="O362" s="32"/>
      <c r="P362" s="32"/>
      <c r="S362" s="32"/>
    </row>
    <row r="363">
      <c r="D363" s="29"/>
      <c r="F363" s="31"/>
      <c r="G363" s="30"/>
      <c r="H363" s="30"/>
      <c r="J363" s="29"/>
      <c r="L363" s="30"/>
      <c r="M363" s="30"/>
      <c r="O363" s="32"/>
      <c r="P363" s="32"/>
      <c r="S363" s="32"/>
    </row>
    <row r="364">
      <c r="D364" s="29"/>
      <c r="F364" s="31"/>
      <c r="G364" s="30"/>
      <c r="H364" s="30"/>
      <c r="J364" s="29"/>
      <c r="L364" s="30"/>
      <c r="M364" s="30"/>
      <c r="O364" s="32"/>
      <c r="P364" s="32"/>
      <c r="S364" s="32"/>
    </row>
    <row r="365">
      <c r="D365" s="29"/>
      <c r="F365" s="31"/>
      <c r="G365" s="30"/>
      <c r="H365" s="30"/>
      <c r="J365" s="29"/>
      <c r="L365" s="30"/>
      <c r="M365" s="30"/>
      <c r="O365" s="32"/>
      <c r="P365" s="32"/>
      <c r="S365" s="32"/>
    </row>
    <row r="366">
      <c r="D366" s="29"/>
      <c r="F366" s="31"/>
      <c r="G366" s="30"/>
      <c r="H366" s="30"/>
      <c r="J366" s="29"/>
      <c r="L366" s="30"/>
      <c r="M366" s="30"/>
      <c r="O366" s="32"/>
      <c r="P366" s="32"/>
      <c r="S366" s="32"/>
    </row>
    <row r="367">
      <c r="D367" s="29"/>
      <c r="F367" s="31"/>
      <c r="G367" s="30"/>
      <c r="H367" s="30"/>
      <c r="J367" s="29"/>
      <c r="L367" s="30"/>
      <c r="M367" s="30"/>
      <c r="O367" s="32"/>
      <c r="P367" s="32"/>
      <c r="S367" s="32"/>
    </row>
    <row r="368">
      <c r="D368" s="29"/>
      <c r="F368" s="31"/>
      <c r="G368" s="30"/>
      <c r="H368" s="30"/>
      <c r="J368" s="29"/>
      <c r="L368" s="30"/>
      <c r="M368" s="30"/>
      <c r="O368" s="32"/>
      <c r="P368" s="32"/>
      <c r="S368" s="32"/>
    </row>
    <row r="369">
      <c r="D369" s="29"/>
      <c r="F369" s="31"/>
      <c r="G369" s="30"/>
      <c r="H369" s="30"/>
      <c r="J369" s="29"/>
      <c r="L369" s="30"/>
      <c r="M369" s="30"/>
      <c r="O369" s="32"/>
      <c r="P369" s="32"/>
      <c r="S369" s="32"/>
    </row>
    <row r="370">
      <c r="D370" s="29"/>
      <c r="F370" s="31"/>
      <c r="G370" s="30"/>
      <c r="H370" s="30"/>
      <c r="J370" s="29"/>
      <c r="L370" s="30"/>
      <c r="M370" s="30"/>
      <c r="O370" s="32"/>
      <c r="P370" s="32"/>
      <c r="S370" s="32"/>
    </row>
    <row r="371">
      <c r="D371" s="29"/>
      <c r="F371" s="31"/>
      <c r="G371" s="30"/>
      <c r="H371" s="30"/>
      <c r="J371" s="29"/>
      <c r="L371" s="30"/>
      <c r="M371" s="30"/>
      <c r="O371" s="32"/>
      <c r="P371" s="32"/>
      <c r="S371" s="32"/>
    </row>
    <row r="372">
      <c r="D372" s="29"/>
      <c r="F372" s="31"/>
      <c r="G372" s="30"/>
      <c r="H372" s="30"/>
      <c r="J372" s="29"/>
      <c r="L372" s="30"/>
      <c r="M372" s="30"/>
      <c r="O372" s="32"/>
      <c r="P372" s="32"/>
      <c r="S372" s="32"/>
    </row>
    <row r="373">
      <c r="D373" s="29"/>
      <c r="F373" s="31"/>
      <c r="G373" s="30"/>
      <c r="H373" s="30"/>
      <c r="J373" s="29"/>
      <c r="L373" s="30"/>
      <c r="M373" s="30"/>
      <c r="O373" s="32"/>
      <c r="P373" s="32"/>
      <c r="S373" s="32"/>
    </row>
    <row r="374">
      <c r="D374" s="29"/>
      <c r="F374" s="31"/>
      <c r="G374" s="30"/>
      <c r="H374" s="30"/>
      <c r="J374" s="29"/>
      <c r="L374" s="30"/>
      <c r="M374" s="30"/>
      <c r="O374" s="32"/>
      <c r="P374" s="32"/>
      <c r="S374" s="32"/>
    </row>
    <row r="375">
      <c r="D375" s="29"/>
      <c r="F375" s="31"/>
      <c r="G375" s="30"/>
      <c r="H375" s="30"/>
      <c r="J375" s="29"/>
      <c r="L375" s="30"/>
      <c r="M375" s="30"/>
      <c r="O375" s="32"/>
      <c r="P375" s="32"/>
      <c r="S375" s="32"/>
    </row>
    <row r="376">
      <c r="D376" s="29"/>
      <c r="F376" s="31"/>
      <c r="G376" s="30"/>
      <c r="H376" s="30"/>
      <c r="J376" s="29"/>
      <c r="L376" s="30"/>
      <c r="M376" s="30"/>
      <c r="O376" s="32"/>
      <c r="P376" s="32"/>
      <c r="S376" s="32"/>
    </row>
    <row r="377">
      <c r="D377" s="29"/>
      <c r="F377" s="31"/>
      <c r="G377" s="30"/>
      <c r="H377" s="30"/>
      <c r="J377" s="29"/>
      <c r="L377" s="30"/>
      <c r="M377" s="30"/>
      <c r="O377" s="32"/>
      <c r="P377" s="32"/>
      <c r="S377" s="32"/>
    </row>
    <row r="378">
      <c r="D378" s="29"/>
      <c r="F378" s="31"/>
      <c r="G378" s="30"/>
      <c r="H378" s="30"/>
      <c r="J378" s="29"/>
      <c r="L378" s="30"/>
      <c r="M378" s="30"/>
      <c r="O378" s="32"/>
      <c r="P378" s="32"/>
      <c r="S378" s="32"/>
    </row>
    <row r="379">
      <c r="D379" s="29"/>
      <c r="F379" s="31"/>
      <c r="G379" s="30"/>
      <c r="H379" s="30"/>
      <c r="J379" s="29"/>
      <c r="L379" s="30"/>
      <c r="M379" s="30"/>
      <c r="O379" s="32"/>
      <c r="P379" s="32"/>
      <c r="S379" s="32"/>
    </row>
    <row r="380">
      <c r="D380" s="29"/>
      <c r="F380" s="31"/>
      <c r="G380" s="30"/>
      <c r="H380" s="30"/>
      <c r="J380" s="29"/>
      <c r="L380" s="30"/>
      <c r="M380" s="30"/>
      <c r="O380" s="32"/>
      <c r="P380" s="32"/>
      <c r="S380" s="32"/>
    </row>
    <row r="381">
      <c r="D381" s="29"/>
      <c r="F381" s="31"/>
      <c r="G381" s="30"/>
      <c r="H381" s="30"/>
      <c r="J381" s="29"/>
      <c r="L381" s="30"/>
      <c r="M381" s="30"/>
      <c r="O381" s="32"/>
      <c r="P381" s="32"/>
      <c r="S381" s="32"/>
    </row>
    <row r="382">
      <c r="D382" s="29"/>
      <c r="F382" s="31"/>
      <c r="G382" s="30"/>
      <c r="H382" s="30"/>
      <c r="J382" s="29"/>
      <c r="L382" s="30"/>
      <c r="M382" s="30"/>
      <c r="O382" s="32"/>
      <c r="P382" s="32"/>
      <c r="S382" s="32"/>
    </row>
    <row r="383">
      <c r="D383" s="29"/>
      <c r="F383" s="31"/>
      <c r="G383" s="30"/>
      <c r="H383" s="30"/>
      <c r="J383" s="29"/>
      <c r="L383" s="30"/>
      <c r="M383" s="30"/>
      <c r="O383" s="32"/>
      <c r="P383" s="32"/>
      <c r="S383" s="32"/>
    </row>
    <row r="384">
      <c r="D384" s="29"/>
      <c r="F384" s="31"/>
      <c r="G384" s="30"/>
      <c r="H384" s="30"/>
      <c r="J384" s="29"/>
      <c r="L384" s="30"/>
      <c r="M384" s="30"/>
      <c r="O384" s="32"/>
      <c r="P384" s="32"/>
      <c r="S384" s="32"/>
    </row>
    <row r="385">
      <c r="D385" s="29"/>
      <c r="F385" s="31"/>
      <c r="G385" s="30"/>
      <c r="H385" s="30"/>
      <c r="J385" s="29"/>
      <c r="L385" s="30"/>
      <c r="M385" s="30"/>
      <c r="O385" s="32"/>
      <c r="P385" s="32"/>
      <c r="S385" s="32"/>
    </row>
    <row r="386">
      <c r="D386" s="29"/>
      <c r="F386" s="31"/>
      <c r="G386" s="30"/>
      <c r="H386" s="30"/>
      <c r="J386" s="29"/>
      <c r="L386" s="30"/>
      <c r="M386" s="30"/>
      <c r="O386" s="32"/>
      <c r="P386" s="32"/>
      <c r="S386" s="32"/>
    </row>
    <row r="387">
      <c r="D387" s="29"/>
      <c r="F387" s="31"/>
      <c r="G387" s="30"/>
      <c r="H387" s="30"/>
      <c r="J387" s="29"/>
      <c r="L387" s="30"/>
      <c r="M387" s="30"/>
      <c r="O387" s="32"/>
      <c r="P387" s="32"/>
      <c r="S387" s="32"/>
    </row>
    <row r="388">
      <c r="D388" s="29"/>
      <c r="F388" s="31"/>
      <c r="G388" s="30"/>
      <c r="H388" s="30"/>
      <c r="J388" s="29"/>
      <c r="L388" s="30"/>
      <c r="M388" s="30"/>
      <c r="O388" s="32"/>
      <c r="P388" s="32"/>
      <c r="S388" s="32"/>
    </row>
    <row r="389">
      <c r="D389" s="29"/>
      <c r="F389" s="31"/>
      <c r="G389" s="30"/>
      <c r="H389" s="30"/>
      <c r="J389" s="29"/>
      <c r="L389" s="30"/>
      <c r="M389" s="30"/>
      <c r="O389" s="32"/>
      <c r="P389" s="32"/>
      <c r="S389" s="32"/>
    </row>
    <row r="390">
      <c r="D390" s="29"/>
      <c r="F390" s="31"/>
      <c r="G390" s="30"/>
      <c r="H390" s="30"/>
      <c r="J390" s="29"/>
      <c r="L390" s="30"/>
      <c r="M390" s="30"/>
      <c r="O390" s="32"/>
      <c r="P390" s="32"/>
      <c r="S390" s="32"/>
    </row>
    <row r="391">
      <c r="D391" s="29"/>
      <c r="F391" s="31"/>
      <c r="G391" s="30"/>
      <c r="H391" s="30"/>
      <c r="J391" s="29"/>
      <c r="L391" s="30"/>
      <c r="M391" s="30"/>
      <c r="O391" s="32"/>
      <c r="P391" s="32"/>
      <c r="S391" s="32"/>
    </row>
    <row r="392">
      <c r="D392" s="29"/>
      <c r="F392" s="31"/>
      <c r="G392" s="30"/>
      <c r="H392" s="30"/>
      <c r="J392" s="29"/>
      <c r="L392" s="30"/>
      <c r="M392" s="30"/>
      <c r="O392" s="32"/>
      <c r="P392" s="32"/>
      <c r="S392" s="32"/>
    </row>
    <row r="393">
      <c r="D393" s="29"/>
      <c r="F393" s="31"/>
      <c r="G393" s="30"/>
      <c r="H393" s="30"/>
      <c r="J393" s="29"/>
      <c r="L393" s="30"/>
      <c r="M393" s="30"/>
      <c r="O393" s="32"/>
      <c r="P393" s="32"/>
      <c r="S393" s="32"/>
    </row>
    <row r="394">
      <c r="D394" s="29"/>
      <c r="F394" s="31"/>
      <c r="G394" s="30"/>
      <c r="H394" s="30"/>
      <c r="J394" s="29"/>
      <c r="L394" s="30"/>
      <c r="M394" s="30"/>
      <c r="O394" s="32"/>
      <c r="P394" s="32"/>
      <c r="S394" s="32"/>
    </row>
    <row r="395">
      <c r="D395" s="29"/>
      <c r="F395" s="31"/>
      <c r="G395" s="30"/>
      <c r="H395" s="30"/>
      <c r="J395" s="29"/>
      <c r="L395" s="30"/>
      <c r="M395" s="30"/>
      <c r="O395" s="32"/>
      <c r="P395" s="32"/>
      <c r="S395" s="32"/>
    </row>
    <row r="396">
      <c r="D396" s="29"/>
      <c r="F396" s="31"/>
      <c r="G396" s="30"/>
      <c r="H396" s="30"/>
      <c r="J396" s="29"/>
      <c r="L396" s="30"/>
      <c r="M396" s="30"/>
      <c r="O396" s="32"/>
      <c r="P396" s="32"/>
      <c r="S396" s="32"/>
    </row>
    <row r="397">
      <c r="D397" s="29"/>
      <c r="F397" s="31"/>
      <c r="G397" s="30"/>
      <c r="H397" s="30"/>
      <c r="J397" s="29"/>
      <c r="L397" s="30"/>
      <c r="M397" s="30"/>
      <c r="O397" s="32"/>
      <c r="P397" s="32"/>
      <c r="S397" s="32"/>
    </row>
    <row r="398">
      <c r="D398" s="29"/>
      <c r="F398" s="31"/>
      <c r="G398" s="30"/>
      <c r="H398" s="30"/>
      <c r="J398" s="29"/>
      <c r="L398" s="30"/>
      <c r="M398" s="30"/>
      <c r="O398" s="32"/>
      <c r="P398" s="32"/>
      <c r="S398" s="32"/>
    </row>
    <row r="399">
      <c r="D399" s="29"/>
      <c r="F399" s="31"/>
      <c r="G399" s="30"/>
      <c r="H399" s="30"/>
      <c r="J399" s="29"/>
      <c r="L399" s="30"/>
      <c r="M399" s="30"/>
      <c r="O399" s="32"/>
      <c r="P399" s="32"/>
      <c r="S399" s="32"/>
    </row>
    <row r="400">
      <c r="D400" s="29"/>
      <c r="F400" s="31"/>
      <c r="G400" s="30"/>
      <c r="H400" s="30"/>
      <c r="J400" s="29"/>
      <c r="L400" s="30"/>
      <c r="M400" s="30"/>
      <c r="O400" s="32"/>
      <c r="P400" s="32"/>
      <c r="S400" s="32"/>
    </row>
    <row r="401">
      <c r="D401" s="29"/>
      <c r="F401" s="31"/>
      <c r="G401" s="30"/>
      <c r="H401" s="30"/>
      <c r="J401" s="29"/>
      <c r="L401" s="30"/>
      <c r="M401" s="30"/>
      <c r="O401" s="32"/>
      <c r="P401" s="32"/>
      <c r="S401" s="32"/>
    </row>
    <row r="402">
      <c r="D402" s="29"/>
      <c r="F402" s="31"/>
      <c r="G402" s="30"/>
      <c r="H402" s="30"/>
      <c r="J402" s="29"/>
      <c r="L402" s="30"/>
      <c r="M402" s="30"/>
      <c r="O402" s="32"/>
      <c r="P402" s="32"/>
      <c r="S402" s="32"/>
    </row>
    <row r="403">
      <c r="D403" s="29"/>
      <c r="F403" s="31"/>
      <c r="G403" s="30"/>
      <c r="H403" s="30"/>
      <c r="J403" s="29"/>
      <c r="L403" s="30"/>
      <c r="M403" s="30"/>
      <c r="O403" s="32"/>
      <c r="P403" s="32"/>
      <c r="S403" s="32"/>
    </row>
    <row r="404">
      <c r="D404" s="29"/>
      <c r="F404" s="31"/>
      <c r="G404" s="30"/>
      <c r="H404" s="30"/>
      <c r="J404" s="29"/>
      <c r="L404" s="30"/>
      <c r="M404" s="30"/>
      <c r="O404" s="32"/>
      <c r="P404" s="32"/>
      <c r="S404" s="32"/>
    </row>
    <row r="405">
      <c r="D405" s="29"/>
      <c r="F405" s="31"/>
      <c r="G405" s="30"/>
      <c r="H405" s="30"/>
      <c r="J405" s="29"/>
      <c r="L405" s="30"/>
      <c r="M405" s="30"/>
      <c r="O405" s="32"/>
      <c r="P405" s="32"/>
      <c r="S405" s="32"/>
    </row>
    <row r="406">
      <c r="D406" s="29"/>
      <c r="F406" s="31"/>
      <c r="G406" s="30"/>
      <c r="H406" s="30"/>
      <c r="J406" s="29"/>
      <c r="L406" s="30"/>
      <c r="M406" s="30"/>
      <c r="O406" s="32"/>
      <c r="P406" s="32"/>
      <c r="S406" s="32"/>
    </row>
    <row r="407">
      <c r="D407" s="29"/>
      <c r="F407" s="31"/>
      <c r="G407" s="30"/>
      <c r="H407" s="30"/>
      <c r="J407" s="29"/>
      <c r="L407" s="30"/>
      <c r="M407" s="30"/>
      <c r="O407" s="32"/>
      <c r="P407" s="32"/>
      <c r="S407" s="32"/>
    </row>
    <row r="408">
      <c r="D408" s="29"/>
      <c r="F408" s="31"/>
      <c r="G408" s="30"/>
      <c r="H408" s="30"/>
      <c r="J408" s="29"/>
      <c r="L408" s="30"/>
      <c r="M408" s="30"/>
      <c r="O408" s="32"/>
      <c r="P408" s="32"/>
      <c r="S408" s="32"/>
    </row>
    <row r="409">
      <c r="D409" s="29"/>
      <c r="F409" s="31"/>
      <c r="G409" s="30"/>
      <c r="H409" s="30"/>
      <c r="J409" s="29"/>
      <c r="L409" s="30"/>
      <c r="M409" s="30"/>
      <c r="O409" s="32"/>
      <c r="P409" s="32"/>
      <c r="S409" s="32"/>
    </row>
    <row r="410">
      <c r="D410" s="29"/>
      <c r="F410" s="31"/>
      <c r="G410" s="30"/>
      <c r="H410" s="30"/>
      <c r="J410" s="29"/>
      <c r="L410" s="30"/>
      <c r="M410" s="30"/>
      <c r="O410" s="32"/>
      <c r="P410" s="32"/>
      <c r="S410" s="32"/>
    </row>
    <row r="411">
      <c r="D411" s="29"/>
      <c r="F411" s="31"/>
      <c r="G411" s="30"/>
      <c r="H411" s="30"/>
      <c r="J411" s="29"/>
      <c r="L411" s="30"/>
      <c r="M411" s="30"/>
      <c r="O411" s="32"/>
      <c r="P411" s="32"/>
      <c r="S411" s="32"/>
    </row>
    <row r="412">
      <c r="D412" s="29"/>
      <c r="F412" s="31"/>
      <c r="G412" s="30"/>
      <c r="H412" s="30"/>
      <c r="J412" s="29"/>
      <c r="L412" s="30"/>
      <c r="M412" s="30"/>
      <c r="O412" s="32"/>
      <c r="P412" s="32"/>
      <c r="S412" s="32"/>
    </row>
    <row r="413">
      <c r="D413" s="29"/>
      <c r="F413" s="31"/>
      <c r="G413" s="30"/>
      <c r="H413" s="30"/>
      <c r="J413" s="29"/>
      <c r="L413" s="30"/>
      <c r="M413" s="30"/>
      <c r="O413" s="32"/>
      <c r="P413" s="32"/>
      <c r="S413" s="32"/>
    </row>
    <row r="414">
      <c r="D414" s="29"/>
      <c r="F414" s="31"/>
      <c r="G414" s="30"/>
      <c r="H414" s="30"/>
      <c r="J414" s="29"/>
      <c r="L414" s="30"/>
      <c r="M414" s="30"/>
      <c r="O414" s="32"/>
      <c r="P414" s="32"/>
      <c r="S414" s="32"/>
    </row>
    <row r="415">
      <c r="D415" s="29"/>
      <c r="F415" s="31"/>
      <c r="G415" s="30"/>
      <c r="H415" s="30"/>
      <c r="J415" s="29"/>
      <c r="L415" s="30"/>
      <c r="M415" s="30"/>
      <c r="O415" s="32"/>
      <c r="P415" s="32"/>
      <c r="S415" s="32"/>
    </row>
    <row r="416">
      <c r="D416" s="29"/>
      <c r="F416" s="31"/>
      <c r="G416" s="30"/>
      <c r="H416" s="30"/>
      <c r="J416" s="29"/>
      <c r="L416" s="30"/>
      <c r="M416" s="30"/>
      <c r="O416" s="32"/>
      <c r="P416" s="32"/>
      <c r="S416" s="32"/>
    </row>
    <row r="417">
      <c r="D417" s="29"/>
      <c r="F417" s="31"/>
      <c r="G417" s="30"/>
      <c r="H417" s="30"/>
      <c r="J417" s="29"/>
      <c r="L417" s="30"/>
      <c r="M417" s="30"/>
      <c r="O417" s="32"/>
      <c r="P417" s="32"/>
      <c r="S417" s="32"/>
    </row>
    <row r="418">
      <c r="D418" s="29"/>
      <c r="F418" s="31"/>
      <c r="G418" s="30"/>
      <c r="H418" s="30"/>
      <c r="J418" s="29"/>
      <c r="L418" s="30"/>
      <c r="M418" s="30"/>
      <c r="O418" s="32"/>
      <c r="P418" s="32"/>
      <c r="S418" s="32"/>
    </row>
    <row r="419">
      <c r="D419" s="29"/>
      <c r="F419" s="31"/>
      <c r="G419" s="30"/>
      <c r="H419" s="30"/>
      <c r="J419" s="29"/>
      <c r="L419" s="30"/>
      <c r="M419" s="30"/>
      <c r="O419" s="32"/>
      <c r="P419" s="32"/>
      <c r="S419" s="32"/>
    </row>
    <row r="420">
      <c r="D420" s="29"/>
      <c r="F420" s="31"/>
      <c r="G420" s="30"/>
      <c r="H420" s="30"/>
      <c r="J420" s="29"/>
      <c r="L420" s="30"/>
      <c r="M420" s="30"/>
      <c r="O420" s="32"/>
      <c r="P420" s="32"/>
      <c r="S420" s="32"/>
    </row>
    <row r="421">
      <c r="D421" s="29"/>
      <c r="F421" s="31"/>
      <c r="G421" s="30"/>
      <c r="H421" s="30"/>
      <c r="J421" s="29"/>
      <c r="L421" s="30"/>
      <c r="M421" s="30"/>
      <c r="O421" s="32"/>
      <c r="P421" s="32"/>
      <c r="S421" s="32"/>
    </row>
    <row r="422">
      <c r="D422" s="29"/>
      <c r="F422" s="31"/>
      <c r="G422" s="30"/>
      <c r="H422" s="30"/>
      <c r="J422" s="29"/>
      <c r="L422" s="30"/>
      <c r="M422" s="30"/>
      <c r="O422" s="32"/>
      <c r="P422" s="32"/>
      <c r="S422" s="32"/>
    </row>
    <row r="423">
      <c r="D423" s="29"/>
      <c r="F423" s="31"/>
      <c r="G423" s="30"/>
      <c r="H423" s="30"/>
      <c r="J423" s="29"/>
      <c r="L423" s="30"/>
      <c r="M423" s="30"/>
      <c r="O423" s="32"/>
      <c r="P423" s="32"/>
      <c r="S423" s="32"/>
    </row>
    <row r="424">
      <c r="D424" s="29"/>
      <c r="F424" s="31"/>
      <c r="G424" s="30"/>
      <c r="H424" s="30"/>
      <c r="J424" s="29"/>
      <c r="L424" s="30"/>
      <c r="M424" s="30"/>
      <c r="O424" s="32"/>
      <c r="P424" s="32"/>
      <c r="S424" s="32"/>
    </row>
    <row r="425">
      <c r="D425" s="29"/>
      <c r="F425" s="31"/>
      <c r="G425" s="30"/>
      <c r="H425" s="30"/>
      <c r="J425" s="29"/>
      <c r="L425" s="30"/>
      <c r="M425" s="30"/>
      <c r="O425" s="32"/>
      <c r="P425" s="32"/>
      <c r="S425" s="32"/>
    </row>
    <row r="426">
      <c r="D426" s="29"/>
      <c r="F426" s="31"/>
      <c r="G426" s="30"/>
      <c r="H426" s="30"/>
      <c r="J426" s="29"/>
      <c r="L426" s="30"/>
      <c r="M426" s="30"/>
      <c r="O426" s="32"/>
      <c r="P426" s="32"/>
      <c r="S426" s="32"/>
    </row>
    <row r="427">
      <c r="D427" s="29"/>
      <c r="F427" s="31"/>
      <c r="G427" s="30"/>
      <c r="H427" s="30"/>
      <c r="J427" s="29"/>
      <c r="L427" s="30"/>
      <c r="M427" s="30"/>
      <c r="O427" s="32"/>
      <c r="P427" s="32"/>
      <c r="S427" s="32"/>
    </row>
    <row r="428">
      <c r="D428" s="29"/>
      <c r="F428" s="31"/>
      <c r="G428" s="30"/>
      <c r="H428" s="30"/>
      <c r="J428" s="29"/>
      <c r="L428" s="30"/>
      <c r="M428" s="30"/>
      <c r="O428" s="32"/>
      <c r="P428" s="32"/>
      <c r="S428" s="32"/>
    </row>
    <row r="429">
      <c r="D429" s="29"/>
      <c r="F429" s="31"/>
      <c r="G429" s="30"/>
      <c r="H429" s="30"/>
      <c r="J429" s="29"/>
      <c r="L429" s="30"/>
      <c r="M429" s="30"/>
      <c r="O429" s="32"/>
      <c r="P429" s="32"/>
      <c r="S429" s="32"/>
    </row>
    <row r="430">
      <c r="D430" s="29"/>
      <c r="F430" s="31"/>
      <c r="G430" s="30"/>
      <c r="H430" s="30"/>
      <c r="J430" s="29"/>
      <c r="L430" s="30"/>
      <c r="M430" s="30"/>
      <c r="O430" s="32"/>
      <c r="P430" s="32"/>
      <c r="S430" s="32"/>
    </row>
    <row r="431">
      <c r="D431" s="29"/>
      <c r="F431" s="31"/>
      <c r="G431" s="30"/>
      <c r="H431" s="30"/>
      <c r="J431" s="29"/>
      <c r="L431" s="30"/>
      <c r="M431" s="30"/>
      <c r="O431" s="32"/>
      <c r="P431" s="32"/>
      <c r="S431" s="32"/>
    </row>
    <row r="432">
      <c r="D432" s="29"/>
      <c r="F432" s="31"/>
      <c r="G432" s="30"/>
      <c r="H432" s="30"/>
      <c r="J432" s="29"/>
      <c r="L432" s="30"/>
      <c r="M432" s="30"/>
      <c r="O432" s="32"/>
      <c r="P432" s="32"/>
      <c r="S432" s="32"/>
    </row>
    <row r="433">
      <c r="D433" s="29"/>
      <c r="F433" s="31"/>
      <c r="G433" s="30"/>
      <c r="H433" s="30"/>
      <c r="J433" s="29"/>
      <c r="L433" s="30"/>
      <c r="M433" s="30"/>
      <c r="O433" s="32"/>
      <c r="P433" s="32"/>
      <c r="S433" s="32"/>
    </row>
    <row r="434">
      <c r="D434" s="29"/>
      <c r="F434" s="31"/>
      <c r="G434" s="30"/>
      <c r="H434" s="30"/>
      <c r="J434" s="29"/>
      <c r="L434" s="30"/>
      <c r="M434" s="30"/>
      <c r="O434" s="32"/>
      <c r="P434" s="32"/>
      <c r="S434" s="32"/>
    </row>
    <row r="435">
      <c r="D435" s="29"/>
      <c r="F435" s="31"/>
      <c r="G435" s="30"/>
      <c r="H435" s="30"/>
      <c r="J435" s="29"/>
      <c r="L435" s="30"/>
      <c r="M435" s="30"/>
      <c r="O435" s="32"/>
      <c r="P435" s="32"/>
      <c r="S435" s="32"/>
    </row>
    <row r="436">
      <c r="D436" s="29"/>
      <c r="F436" s="31"/>
      <c r="G436" s="30"/>
      <c r="H436" s="30"/>
      <c r="J436" s="29"/>
      <c r="L436" s="30"/>
      <c r="M436" s="30"/>
      <c r="O436" s="32"/>
      <c r="P436" s="32"/>
      <c r="S436" s="32"/>
    </row>
    <row r="437">
      <c r="D437" s="29"/>
      <c r="F437" s="31"/>
      <c r="G437" s="30"/>
      <c r="H437" s="30"/>
      <c r="J437" s="29"/>
      <c r="L437" s="30"/>
      <c r="M437" s="30"/>
      <c r="O437" s="32"/>
      <c r="P437" s="32"/>
      <c r="S437" s="32"/>
    </row>
    <row r="438">
      <c r="D438" s="29"/>
      <c r="F438" s="31"/>
      <c r="G438" s="30"/>
      <c r="H438" s="30"/>
      <c r="J438" s="29"/>
      <c r="L438" s="30"/>
      <c r="M438" s="30"/>
      <c r="O438" s="32"/>
      <c r="P438" s="32"/>
      <c r="S438" s="32"/>
    </row>
    <row r="439">
      <c r="D439" s="29"/>
      <c r="F439" s="31"/>
      <c r="G439" s="30"/>
      <c r="H439" s="30"/>
      <c r="J439" s="29"/>
      <c r="L439" s="30"/>
      <c r="M439" s="30"/>
      <c r="O439" s="32"/>
      <c r="P439" s="32"/>
      <c r="S439" s="32"/>
    </row>
    <row r="440">
      <c r="D440" s="29"/>
      <c r="F440" s="31"/>
      <c r="G440" s="30"/>
      <c r="H440" s="30"/>
      <c r="J440" s="29"/>
      <c r="L440" s="30"/>
      <c r="M440" s="30"/>
      <c r="O440" s="32"/>
      <c r="P440" s="32"/>
      <c r="S440" s="32"/>
    </row>
    <row r="441">
      <c r="D441" s="29"/>
      <c r="F441" s="31"/>
      <c r="G441" s="30"/>
      <c r="H441" s="30"/>
      <c r="J441" s="29"/>
      <c r="L441" s="30"/>
      <c r="M441" s="30"/>
      <c r="O441" s="32"/>
      <c r="P441" s="32"/>
      <c r="S441" s="32"/>
    </row>
    <row r="442">
      <c r="D442" s="29"/>
      <c r="F442" s="31"/>
      <c r="G442" s="30"/>
      <c r="H442" s="30"/>
      <c r="J442" s="29"/>
      <c r="L442" s="30"/>
      <c r="M442" s="30"/>
      <c r="O442" s="32"/>
      <c r="P442" s="32"/>
      <c r="S442" s="32"/>
    </row>
    <row r="443">
      <c r="D443" s="29"/>
      <c r="F443" s="31"/>
      <c r="G443" s="30"/>
      <c r="H443" s="30"/>
      <c r="J443" s="29"/>
      <c r="L443" s="30"/>
      <c r="M443" s="30"/>
      <c r="O443" s="32"/>
      <c r="P443" s="32"/>
      <c r="S443" s="32"/>
    </row>
    <row r="444">
      <c r="D444" s="29"/>
      <c r="F444" s="31"/>
      <c r="G444" s="30"/>
      <c r="H444" s="30"/>
      <c r="J444" s="29"/>
      <c r="L444" s="30"/>
      <c r="M444" s="30"/>
      <c r="O444" s="32"/>
      <c r="P444" s="32"/>
      <c r="S444" s="32"/>
    </row>
    <row r="445">
      <c r="D445" s="29"/>
      <c r="F445" s="31"/>
      <c r="G445" s="30"/>
      <c r="H445" s="30"/>
      <c r="J445" s="29"/>
      <c r="L445" s="30"/>
      <c r="M445" s="30"/>
      <c r="O445" s="32"/>
      <c r="P445" s="32"/>
      <c r="S445" s="32"/>
    </row>
    <row r="446">
      <c r="D446" s="29"/>
      <c r="F446" s="31"/>
      <c r="G446" s="30"/>
      <c r="H446" s="30"/>
      <c r="J446" s="29"/>
      <c r="L446" s="30"/>
      <c r="M446" s="30"/>
      <c r="O446" s="32"/>
      <c r="P446" s="32"/>
      <c r="S446" s="32"/>
    </row>
    <row r="447">
      <c r="D447" s="29"/>
      <c r="F447" s="31"/>
      <c r="G447" s="30"/>
      <c r="H447" s="30"/>
      <c r="J447" s="29"/>
      <c r="L447" s="30"/>
      <c r="M447" s="30"/>
      <c r="O447" s="32"/>
      <c r="P447" s="32"/>
      <c r="S447" s="32"/>
    </row>
    <row r="448">
      <c r="D448" s="29"/>
      <c r="F448" s="31"/>
      <c r="G448" s="30"/>
      <c r="H448" s="30"/>
      <c r="J448" s="29"/>
      <c r="L448" s="30"/>
      <c r="M448" s="30"/>
      <c r="O448" s="32"/>
      <c r="P448" s="32"/>
      <c r="S448" s="32"/>
    </row>
    <row r="449">
      <c r="D449" s="29"/>
      <c r="F449" s="31"/>
      <c r="G449" s="30"/>
      <c r="H449" s="30"/>
      <c r="J449" s="29"/>
      <c r="L449" s="30"/>
      <c r="M449" s="30"/>
      <c r="O449" s="32"/>
      <c r="P449" s="32"/>
      <c r="S449" s="32"/>
    </row>
    <row r="450">
      <c r="D450" s="29"/>
      <c r="F450" s="31"/>
      <c r="G450" s="30"/>
      <c r="H450" s="30"/>
      <c r="J450" s="29"/>
      <c r="L450" s="30"/>
      <c r="M450" s="30"/>
      <c r="O450" s="32"/>
      <c r="P450" s="32"/>
      <c r="S450" s="32"/>
    </row>
    <row r="451">
      <c r="D451" s="29"/>
      <c r="F451" s="31"/>
      <c r="G451" s="30"/>
      <c r="H451" s="30"/>
      <c r="J451" s="29"/>
      <c r="L451" s="30"/>
      <c r="M451" s="30"/>
      <c r="O451" s="32"/>
      <c r="P451" s="32"/>
      <c r="S451" s="32"/>
    </row>
    <row r="452">
      <c r="D452" s="29"/>
      <c r="F452" s="31"/>
      <c r="G452" s="30"/>
      <c r="H452" s="30"/>
      <c r="J452" s="29"/>
      <c r="L452" s="30"/>
      <c r="M452" s="30"/>
      <c r="O452" s="32"/>
      <c r="P452" s="32"/>
      <c r="S452" s="32"/>
    </row>
    <row r="453">
      <c r="D453" s="29"/>
      <c r="F453" s="31"/>
      <c r="G453" s="30"/>
      <c r="H453" s="30"/>
      <c r="J453" s="29"/>
      <c r="L453" s="30"/>
      <c r="M453" s="30"/>
      <c r="O453" s="32"/>
      <c r="P453" s="32"/>
      <c r="S453" s="32"/>
    </row>
    <row r="454">
      <c r="D454" s="29"/>
      <c r="F454" s="31"/>
      <c r="G454" s="30"/>
      <c r="H454" s="30"/>
      <c r="J454" s="29"/>
      <c r="L454" s="30"/>
      <c r="M454" s="30"/>
      <c r="O454" s="32"/>
      <c r="P454" s="32"/>
      <c r="S454" s="32"/>
    </row>
    <row r="455">
      <c r="D455" s="29"/>
      <c r="F455" s="31"/>
      <c r="G455" s="30"/>
      <c r="H455" s="30"/>
      <c r="J455" s="29"/>
      <c r="L455" s="30"/>
      <c r="M455" s="30"/>
      <c r="O455" s="32"/>
      <c r="P455" s="32"/>
      <c r="S455" s="32"/>
    </row>
    <row r="456">
      <c r="D456" s="29"/>
      <c r="F456" s="31"/>
      <c r="G456" s="30"/>
      <c r="H456" s="30"/>
      <c r="J456" s="29"/>
      <c r="L456" s="30"/>
      <c r="M456" s="30"/>
      <c r="O456" s="32"/>
      <c r="P456" s="32"/>
      <c r="S456" s="32"/>
    </row>
    <row r="457">
      <c r="D457" s="29"/>
      <c r="F457" s="31"/>
      <c r="G457" s="30"/>
      <c r="H457" s="30"/>
      <c r="J457" s="29"/>
      <c r="L457" s="30"/>
      <c r="M457" s="30"/>
      <c r="O457" s="32"/>
      <c r="P457" s="32"/>
      <c r="S457" s="32"/>
    </row>
    <row r="458">
      <c r="D458" s="29"/>
      <c r="F458" s="31"/>
      <c r="G458" s="30"/>
      <c r="H458" s="30"/>
      <c r="J458" s="29"/>
      <c r="L458" s="30"/>
      <c r="M458" s="30"/>
      <c r="O458" s="32"/>
      <c r="P458" s="32"/>
      <c r="S458" s="32"/>
    </row>
    <row r="459">
      <c r="D459" s="29"/>
      <c r="F459" s="31"/>
      <c r="G459" s="30"/>
      <c r="H459" s="30"/>
      <c r="J459" s="29"/>
      <c r="L459" s="30"/>
      <c r="M459" s="30"/>
      <c r="O459" s="32"/>
      <c r="P459" s="32"/>
      <c r="S459" s="32"/>
    </row>
    <row r="460">
      <c r="D460" s="29"/>
      <c r="F460" s="31"/>
      <c r="G460" s="30"/>
      <c r="H460" s="30"/>
      <c r="J460" s="29"/>
      <c r="L460" s="30"/>
      <c r="M460" s="30"/>
      <c r="O460" s="32"/>
      <c r="P460" s="32"/>
      <c r="S460" s="32"/>
    </row>
    <row r="461">
      <c r="D461" s="29"/>
      <c r="F461" s="31"/>
      <c r="G461" s="30"/>
      <c r="H461" s="30"/>
      <c r="J461" s="29"/>
      <c r="L461" s="30"/>
      <c r="M461" s="30"/>
      <c r="O461" s="32"/>
      <c r="P461" s="32"/>
      <c r="S461" s="32"/>
    </row>
    <row r="462">
      <c r="D462" s="29"/>
      <c r="F462" s="31"/>
      <c r="G462" s="30"/>
      <c r="H462" s="30"/>
      <c r="J462" s="29"/>
      <c r="L462" s="30"/>
      <c r="M462" s="30"/>
      <c r="O462" s="32"/>
      <c r="P462" s="32"/>
      <c r="S462" s="32"/>
    </row>
    <row r="463">
      <c r="D463" s="29"/>
      <c r="F463" s="31"/>
      <c r="G463" s="30"/>
      <c r="H463" s="30"/>
      <c r="J463" s="29"/>
      <c r="L463" s="30"/>
      <c r="M463" s="30"/>
      <c r="O463" s="32"/>
      <c r="P463" s="32"/>
      <c r="S463" s="32"/>
    </row>
    <row r="464">
      <c r="D464" s="29"/>
      <c r="F464" s="31"/>
      <c r="G464" s="30"/>
      <c r="H464" s="30"/>
      <c r="J464" s="29"/>
      <c r="L464" s="30"/>
      <c r="M464" s="30"/>
      <c r="O464" s="32"/>
      <c r="P464" s="32"/>
      <c r="S464" s="32"/>
    </row>
    <row r="465">
      <c r="D465" s="29"/>
      <c r="F465" s="31"/>
      <c r="G465" s="30"/>
      <c r="H465" s="30"/>
      <c r="J465" s="29"/>
      <c r="L465" s="30"/>
      <c r="M465" s="30"/>
      <c r="O465" s="32"/>
      <c r="P465" s="32"/>
      <c r="S465" s="32"/>
    </row>
    <row r="466">
      <c r="D466" s="29"/>
      <c r="F466" s="31"/>
      <c r="G466" s="30"/>
      <c r="H466" s="30"/>
      <c r="J466" s="29"/>
      <c r="L466" s="30"/>
      <c r="M466" s="30"/>
      <c r="O466" s="32"/>
      <c r="P466" s="32"/>
      <c r="S466" s="32"/>
    </row>
    <row r="467">
      <c r="D467" s="29"/>
      <c r="F467" s="31"/>
      <c r="G467" s="30"/>
      <c r="H467" s="30"/>
      <c r="J467" s="29"/>
      <c r="L467" s="30"/>
      <c r="M467" s="30"/>
      <c r="O467" s="32"/>
      <c r="P467" s="32"/>
      <c r="S467" s="32"/>
    </row>
    <row r="468">
      <c r="D468" s="29"/>
      <c r="F468" s="31"/>
      <c r="G468" s="30"/>
      <c r="H468" s="30"/>
      <c r="J468" s="29"/>
      <c r="L468" s="30"/>
      <c r="M468" s="30"/>
      <c r="O468" s="32"/>
      <c r="P468" s="32"/>
      <c r="S468" s="32"/>
    </row>
    <row r="469">
      <c r="D469" s="29"/>
      <c r="F469" s="31"/>
      <c r="G469" s="30"/>
      <c r="H469" s="30"/>
      <c r="J469" s="29"/>
      <c r="L469" s="30"/>
      <c r="M469" s="30"/>
      <c r="O469" s="32"/>
      <c r="P469" s="32"/>
      <c r="S469" s="32"/>
    </row>
    <row r="470">
      <c r="D470" s="29"/>
      <c r="F470" s="31"/>
      <c r="G470" s="30"/>
      <c r="H470" s="30"/>
      <c r="J470" s="29"/>
      <c r="L470" s="30"/>
      <c r="M470" s="30"/>
      <c r="O470" s="32"/>
      <c r="P470" s="32"/>
      <c r="S470" s="32"/>
    </row>
    <row r="471">
      <c r="D471" s="29"/>
      <c r="F471" s="31"/>
      <c r="G471" s="30"/>
      <c r="H471" s="30"/>
      <c r="J471" s="29"/>
      <c r="L471" s="30"/>
      <c r="M471" s="30"/>
      <c r="O471" s="32"/>
      <c r="P471" s="32"/>
      <c r="S471" s="32"/>
    </row>
    <row r="472">
      <c r="D472" s="29"/>
      <c r="F472" s="31"/>
      <c r="G472" s="30"/>
      <c r="H472" s="30"/>
      <c r="J472" s="29"/>
      <c r="L472" s="30"/>
      <c r="M472" s="30"/>
      <c r="O472" s="32"/>
      <c r="P472" s="32"/>
      <c r="S472" s="32"/>
    </row>
    <row r="473">
      <c r="D473" s="29"/>
      <c r="F473" s="31"/>
      <c r="G473" s="30"/>
      <c r="H473" s="30"/>
      <c r="J473" s="29"/>
      <c r="L473" s="30"/>
      <c r="M473" s="30"/>
      <c r="O473" s="32"/>
      <c r="P473" s="32"/>
      <c r="S473" s="32"/>
    </row>
    <row r="474">
      <c r="D474" s="29"/>
      <c r="F474" s="31"/>
      <c r="G474" s="30"/>
      <c r="H474" s="30"/>
      <c r="J474" s="29"/>
      <c r="L474" s="30"/>
      <c r="M474" s="30"/>
      <c r="O474" s="32"/>
      <c r="P474" s="32"/>
      <c r="S474" s="32"/>
    </row>
    <row r="475">
      <c r="D475" s="29"/>
      <c r="F475" s="31"/>
      <c r="G475" s="30"/>
      <c r="H475" s="30"/>
      <c r="J475" s="29"/>
      <c r="L475" s="30"/>
      <c r="M475" s="30"/>
      <c r="O475" s="32"/>
      <c r="P475" s="32"/>
      <c r="S475" s="32"/>
    </row>
    <row r="476">
      <c r="D476" s="29"/>
      <c r="F476" s="31"/>
      <c r="G476" s="30"/>
      <c r="H476" s="30"/>
      <c r="J476" s="29"/>
      <c r="L476" s="30"/>
      <c r="M476" s="30"/>
      <c r="O476" s="32"/>
      <c r="P476" s="32"/>
      <c r="S476" s="32"/>
    </row>
    <row r="477">
      <c r="D477" s="29"/>
      <c r="F477" s="31"/>
      <c r="G477" s="30"/>
      <c r="H477" s="30"/>
      <c r="J477" s="29"/>
      <c r="L477" s="30"/>
      <c r="M477" s="30"/>
      <c r="O477" s="32"/>
      <c r="P477" s="32"/>
      <c r="S477" s="32"/>
    </row>
    <row r="478">
      <c r="D478" s="29"/>
      <c r="F478" s="31"/>
      <c r="G478" s="30"/>
      <c r="H478" s="30"/>
      <c r="J478" s="29"/>
      <c r="L478" s="30"/>
      <c r="M478" s="30"/>
      <c r="O478" s="32"/>
      <c r="P478" s="32"/>
      <c r="S478" s="32"/>
    </row>
    <row r="479">
      <c r="D479" s="29"/>
      <c r="F479" s="31"/>
      <c r="G479" s="30"/>
      <c r="H479" s="30"/>
      <c r="J479" s="29"/>
      <c r="L479" s="30"/>
      <c r="M479" s="30"/>
      <c r="O479" s="32"/>
      <c r="P479" s="32"/>
      <c r="S479" s="32"/>
    </row>
    <row r="480">
      <c r="D480" s="29"/>
      <c r="F480" s="31"/>
      <c r="G480" s="30"/>
      <c r="H480" s="30"/>
      <c r="J480" s="29"/>
      <c r="L480" s="30"/>
      <c r="M480" s="30"/>
      <c r="O480" s="32"/>
      <c r="P480" s="32"/>
      <c r="S480" s="32"/>
    </row>
    <row r="481">
      <c r="D481" s="29"/>
      <c r="F481" s="31"/>
      <c r="G481" s="30"/>
      <c r="H481" s="30"/>
      <c r="J481" s="29"/>
      <c r="L481" s="30"/>
      <c r="M481" s="30"/>
      <c r="O481" s="32"/>
      <c r="P481" s="32"/>
      <c r="S481" s="32"/>
    </row>
    <row r="482">
      <c r="D482" s="29"/>
      <c r="F482" s="31"/>
      <c r="G482" s="30"/>
      <c r="H482" s="30"/>
      <c r="J482" s="29"/>
      <c r="L482" s="30"/>
      <c r="M482" s="30"/>
      <c r="O482" s="32"/>
      <c r="P482" s="32"/>
      <c r="S482" s="32"/>
    </row>
    <row r="483">
      <c r="D483" s="29"/>
      <c r="F483" s="31"/>
      <c r="G483" s="30"/>
      <c r="H483" s="30"/>
      <c r="J483" s="29"/>
      <c r="L483" s="30"/>
      <c r="M483" s="30"/>
      <c r="O483" s="32"/>
      <c r="P483" s="32"/>
      <c r="S483" s="32"/>
    </row>
    <row r="484">
      <c r="D484" s="29"/>
      <c r="F484" s="31"/>
      <c r="G484" s="30"/>
      <c r="H484" s="30"/>
      <c r="J484" s="29"/>
      <c r="L484" s="30"/>
      <c r="M484" s="30"/>
      <c r="O484" s="32"/>
      <c r="P484" s="32"/>
      <c r="S484" s="32"/>
    </row>
    <row r="485">
      <c r="D485" s="29"/>
      <c r="F485" s="31"/>
      <c r="G485" s="30"/>
      <c r="H485" s="30"/>
      <c r="J485" s="29"/>
      <c r="L485" s="30"/>
      <c r="M485" s="30"/>
      <c r="O485" s="32"/>
      <c r="P485" s="32"/>
      <c r="S485" s="32"/>
    </row>
    <row r="486">
      <c r="D486" s="29"/>
      <c r="F486" s="31"/>
      <c r="G486" s="30"/>
      <c r="H486" s="30"/>
      <c r="J486" s="29"/>
      <c r="L486" s="30"/>
      <c r="M486" s="30"/>
      <c r="O486" s="32"/>
      <c r="P486" s="32"/>
      <c r="S486" s="32"/>
    </row>
    <row r="487">
      <c r="D487" s="29"/>
      <c r="F487" s="31"/>
      <c r="G487" s="30"/>
      <c r="H487" s="30"/>
      <c r="J487" s="29"/>
      <c r="L487" s="30"/>
      <c r="M487" s="30"/>
      <c r="O487" s="32"/>
      <c r="P487" s="32"/>
      <c r="S487" s="32"/>
    </row>
    <row r="488">
      <c r="D488" s="29"/>
      <c r="F488" s="31"/>
      <c r="G488" s="30"/>
      <c r="H488" s="30"/>
      <c r="J488" s="29"/>
      <c r="L488" s="30"/>
      <c r="M488" s="30"/>
      <c r="O488" s="32"/>
      <c r="P488" s="32"/>
      <c r="S488" s="32"/>
    </row>
    <row r="489">
      <c r="D489" s="29"/>
      <c r="F489" s="31"/>
      <c r="G489" s="30"/>
      <c r="H489" s="30"/>
      <c r="J489" s="29"/>
      <c r="L489" s="30"/>
      <c r="M489" s="30"/>
      <c r="O489" s="32"/>
      <c r="P489" s="32"/>
      <c r="S489" s="32"/>
    </row>
    <row r="490">
      <c r="D490" s="29"/>
      <c r="F490" s="31"/>
      <c r="G490" s="30"/>
      <c r="H490" s="30"/>
      <c r="J490" s="29"/>
      <c r="L490" s="30"/>
      <c r="M490" s="30"/>
      <c r="O490" s="32"/>
      <c r="P490" s="32"/>
      <c r="S490" s="32"/>
    </row>
    <row r="491">
      <c r="D491" s="29"/>
      <c r="F491" s="31"/>
      <c r="G491" s="30"/>
      <c r="H491" s="30"/>
      <c r="J491" s="29"/>
      <c r="L491" s="30"/>
      <c r="M491" s="30"/>
      <c r="O491" s="32"/>
      <c r="P491" s="32"/>
      <c r="S491" s="32"/>
    </row>
    <row r="492">
      <c r="D492" s="29"/>
      <c r="F492" s="31"/>
      <c r="G492" s="30"/>
      <c r="H492" s="30"/>
      <c r="J492" s="29"/>
      <c r="L492" s="30"/>
      <c r="M492" s="30"/>
      <c r="O492" s="32"/>
      <c r="P492" s="32"/>
      <c r="S492" s="32"/>
    </row>
    <row r="493">
      <c r="D493" s="29"/>
      <c r="F493" s="31"/>
      <c r="G493" s="30"/>
      <c r="H493" s="30"/>
      <c r="J493" s="29"/>
      <c r="L493" s="30"/>
      <c r="M493" s="30"/>
      <c r="O493" s="32"/>
      <c r="P493" s="32"/>
      <c r="S493" s="32"/>
    </row>
    <row r="494">
      <c r="D494" s="29"/>
      <c r="F494" s="31"/>
      <c r="G494" s="30"/>
      <c r="H494" s="30"/>
      <c r="J494" s="29"/>
      <c r="L494" s="30"/>
      <c r="M494" s="30"/>
      <c r="O494" s="32"/>
      <c r="P494" s="32"/>
      <c r="S494" s="32"/>
    </row>
    <row r="495">
      <c r="D495" s="29"/>
      <c r="F495" s="31"/>
      <c r="G495" s="30"/>
      <c r="H495" s="30"/>
      <c r="J495" s="29"/>
      <c r="L495" s="30"/>
      <c r="M495" s="30"/>
      <c r="O495" s="32"/>
      <c r="P495" s="32"/>
      <c r="S495" s="32"/>
    </row>
    <row r="496">
      <c r="D496" s="29"/>
      <c r="F496" s="31"/>
      <c r="G496" s="30"/>
      <c r="H496" s="30"/>
      <c r="J496" s="29"/>
      <c r="L496" s="30"/>
      <c r="M496" s="30"/>
      <c r="O496" s="32"/>
      <c r="P496" s="32"/>
      <c r="S496" s="32"/>
    </row>
    <row r="497">
      <c r="D497" s="29"/>
      <c r="F497" s="31"/>
      <c r="G497" s="30"/>
      <c r="H497" s="30"/>
      <c r="J497" s="29"/>
      <c r="L497" s="30"/>
      <c r="M497" s="30"/>
      <c r="O497" s="32"/>
      <c r="P497" s="32"/>
      <c r="S497" s="32"/>
    </row>
    <row r="498">
      <c r="D498" s="29"/>
      <c r="F498" s="31"/>
      <c r="G498" s="30"/>
      <c r="H498" s="30"/>
      <c r="J498" s="29"/>
      <c r="L498" s="30"/>
      <c r="M498" s="30"/>
      <c r="O498" s="32"/>
      <c r="P498" s="32"/>
      <c r="S498" s="32"/>
    </row>
    <row r="499">
      <c r="D499" s="29"/>
      <c r="F499" s="31"/>
      <c r="G499" s="30"/>
      <c r="H499" s="30"/>
      <c r="J499" s="29"/>
      <c r="L499" s="30"/>
      <c r="M499" s="30"/>
      <c r="O499" s="32"/>
      <c r="P499" s="32"/>
      <c r="S499" s="32"/>
    </row>
    <row r="500">
      <c r="D500" s="29"/>
      <c r="F500" s="31"/>
      <c r="G500" s="30"/>
      <c r="H500" s="30"/>
      <c r="J500" s="29"/>
      <c r="L500" s="30"/>
      <c r="M500" s="30"/>
      <c r="O500" s="32"/>
      <c r="P500" s="32"/>
      <c r="S500" s="32"/>
    </row>
    <row r="501">
      <c r="D501" s="29"/>
      <c r="F501" s="31"/>
      <c r="G501" s="30"/>
      <c r="H501" s="30"/>
      <c r="J501" s="29"/>
      <c r="L501" s="30"/>
      <c r="M501" s="30"/>
      <c r="O501" s="32"/>
      <c r="P501" s="32"/>
      <c r="S501" s="32"/>
    </row>
    <row r="502">
      <c r="D502" s="29"/>
      <c r="F502" s="31"/>
      <c r="G502" s="30"/>
      <c r="H502" s="30"/>
      <c r="J502" s="29"/>
      <c r="L502" s="30"/>
      <c r="M502" s="30"/>
      <c r="O502" s="32"/>
      <c r="P502" s="32"/>
      <c r="S502" s="32"/>
    </row>
    <row r="503">
      <c r="D503" s="29"/>
      <c r="F503" s="31"/>
      <c r="G503" s="30"/>
      <c r="H503" s="30"/>
      <c r="J503" s="29"/>
      <c r="L503" s="30"/>
      <c r="M503" s="30"/>
      <c r="O503" s="32"/>
      <c r="P503" s="32"/>
      <c r="S503" s="32"/>
    </row>
    <row r="504">
      <c r="D504" s="29"/>
      <c r="F504" s="31"/>
      <c r="G504" s="30"/>
      <c r="H504" s="30"/>
      <c r="J504" s="29"/>
      <c r="L504" s="30"/>
      <c r="M504" s="30"/>
      <c r="O504" s="32"/>
      <c r="P504" s="32"/>
      <c r="S504" s="32"/>
    </row>
    <row r="505">
      <c r="D505" s="29"/>
      <c r="F505" s="31"/>
      <c r="G505" s="30"/>
      <c r="H505" s="30"/>
      <c r="J505" s="29"/>
      <c r="L505" s="30"/>
      <c r="M505" s="30"/>
      <c r="O505" s="32"/>
      <c r="P505" s="32"/>
      <c r="S505" s="32"/>
    </row>
    <row r="506">
      <c r="D506" s="29"/>
      <c r="F506" s="31"/>
      <c r="G506" s="30"/>
      <c r="H506" s="30"/>
      <c r="J506" s="29"/>
      <c r="L506" s="30"/>
      <c r="M506" s="30"/>
      <c r="O506" s="32"/>
      <c r="P506" s="32"/>
      <c r="S506" s="32"/>
    </row>
    <row r="507">
      <c r="D507" s="29"/>
      <c r="F507" s="31"/>
      <c r="G507" s="30"/>
      <c r="H507" s="30"/>
      <c r="J507" s="29"/>
      <c r="L507" s="30"/>
      <c r="M507" s="30"/>
      <c r="O507" s="32"/>
      <c r="P507" s="32"/>
      <c r="S507" s="32"/>
    </row>
    <row r="508">
      <c r="D508" s="29"/>
      <c r="F508" s="31"/>
      <c r="G508" s="30"/>
      <c r="H508" s="30"/>
      <c r="J508" s="29"/>
      <c r="L508" s="30"/>
      <c r="M508" s="30"/>
      <c r="O508" s="32"/>
      <c r="P508" s="32"/>
      <c r="S508" s="32"/>
    </row>
    <row r="509">
      <c r="D509" s="29"/>
      <c r="F509" s="31"/>
      <c r="G509" s="30"/>
      <c r="H509" s="30"/>
      <c r="J509" s="29"/>
      <c r="L509" s="30"/>
      <c r="M509" s="30"/>
      <c r="O509" s="32"/>
      <c r="P509" s="32"/>
      <c r="S509" s="32"/>
    </row>
    <row r="510">
      <c r="D510" s="29"/>
      <c r="F510" s="31"/>
      <c r="G510" s="30"/>
      <c r="H510" s="30"/>
      <c r="J510" s="29"/>
      <c r="L510" s="30"/>
      <c r="M510" s="30"/>
      <c r="O510" s="32"/>
      <c r="P510" s="32"/>
      <c r="S510" s="32"/>
    </row>
    <row r="511">
      <c r="D511" s="29"/>
      <c r="F511" s="31"/>
      <c r="G511" s="30"/>
      <c r="H511" s="30"/>
      <c r="J511" s="29"/>
      <c r="L511" s="30"/>
      <c r="M511" s="30"/>
      <c r="O511" s="32"/>
      <c r="P511" s="32"/>
      <c r="S511" s="32"/>
    </row>
    <row r="512">
      <c r="D512" s="29"/>
      <c r="F512" s="31"/>
      <c r="G512" s="30"/>
      <c r="H512" s="30"/>
      <c r="J512" s="29"/>
      <c r="L512" s="30"/>
      <c r="M512" s="30"/>
      <c r="O512" s="32"/>
      <c r="P512" s="32"/>
      <c r="S512" s="32"/>
    </row>
    <row r="513">
      <c r="D513" s="29"/>
      <c r="F513" s="31"/>
      <c r="G513" s="30"/>
      <c r="H513" s="30"/>
      <c r="J513" s="29"/>
      <c r="L513" s="30"/>
      <c r="M513" s="30"/>
      <c r="O513" s="32"/>
      <c r="P513" s="32"/>
      <c r="S513" s="32"/>
    </row>
    <row r="514">
      <c r="D514" s="29"/>
      <c r="F514" s="31"/>
      <c r="G514" s="30"/>
      <c r="H514" s="30"/>
      <c r="J514" s="29"/>
      <c r="L514" s="30"/>
      <c r="M514" s="30"/>
      <c r="O514" s="32"/>
      <c r="P514" s="32"/>
      <c r="S514" s="32"/>
    </row>
    <row r="515">
      <c r="D515" s="29"/>
      <c r="F515" s="31"/>
      <c r="G515" s="30"/>
      <c r="H515" s="30"/>
      <c r="J515" s="29"/>
      <c r="L515" s="30"/>
      <c r="M515" s="30"/>
      <c r="O515" s="32"/>
      <c r="P515" s="32"/>
      <c r="S515" s="32"/>
    </row>
    <row r="516">
      <c r="D516" s="29"/>
      <c r="F516" s="31"/>
      <c r="G516" s="30"/>
      <c r="H516" s="30"/>
      <c r="J516" s="29"/>
      <c r="L516" s="30"/>
      <c r="M516" s="30"/>
      <c r="O516" s="32"/>
      <c r="P516" s="32"/>
      <c r="S516" s="32"/>
    </row>
    <row r="517">
      <c r="D517" s="29"/>
      <c r="F517" s="31"/>
      <c r="G517" s="30"/>
      <c r="H517" s="30"/>
      <c r="J517" s="29"/>
      <c r="L517" s="30"/>
      <c r="M517" s="30"/>
      <c r="O517" s="32"/>
      <c r="P517" s="32"/>
      <c r="S517" s="32"/>
    </row>
    <row r="518">
      <c r="D518" s="29"/>
      <c r="F518" s="31"/>
      <c r="G518" s="30"/>
      <c r="H518" s="30"/>
      <c r="J518" s="29"/>
      <c r="L518" s="30"/>
      <c r="M518" s="30"/>
      <c r="O518" s="32"/>
      <c r="P518" s="32"/>
      <c r="S518" s="32"/>
    </row>
    <row r="519">
      <c r="D519" s="29"/>
      <c r="F519" s="31"/>
      <c r="G519" s="30"/>
      <c r="H519" s="30"/>
      <c r="J519" s="29"/>
      <c r="L519" s="30"/>
      <c r="M519" s="30"/>
      <c r="O519" s="32"/>
      <c r="P519" s="32"/>
      <c r="S519" s="32"/>
    </row>
    <row r="520">
      <c r="D520" s="29"/>
      <c r="F520" s="31"/>
      <c r="G520" s="30"/>
      <c r="H520" s="30"/>
      <c r="J520" s="29"/>
      <c r="L520" s="30"/>
      <c r="M520" s="30"/>
      <c r="O520" s="32"/>
      <c r="P520" s="32"/>
      <c r="S520" s="32"/>
    </row>
    <row r="521">
      <c r="D521" s="29"/>
      <c r="F521" s="31"/>
      <c r="G521" s="30"/>
      <c r="H521" s="30"/>
      <c r="J521" s="29"/>
      <c r="L521" s="30"/>
      <c r="M521" s="30"/>
      <c r="O521" s="32"/>
      <c r="P521" s="32"/>
      <c r="S521" s="32"/>
    </row>
    <row r="522">
      <c r="D522" s="29"/>
      <c r="F522" s="31"/>
      <c r="G522" s="30"/>
      <c r="H522" s="30"/>
      <c r="J522" s="29"/>
      <c r="L522" s="30"/>
      <c r="M522" s="30"/>
      <c r="O522" s="32"/>
      <c r="P522" s="32"/>
      <c r="S522" s="32"/>
    </row>
    <row r="523">
      <c r="D523" s="29"/>
      <c r="F523" s="31"/>
      <c r="G523" s="30"/>
      <c r="H523" s="30"/>
      <c r="J523" s="29"/>
      <c r="L523" s="30"/>
      <c r="M523" s="30"/>
      <c r="O523" s="32"/>
      <c r="P523" s="32"/>
      <c r="S523" s="32"/>
    </row>
    <row r="524">
      <c r="D524" s="29"/>
      <c r="F524" s="31"/>
      <c r="G524" s="30"/>
      <c r="H524" s="30"/>
      <c r="J524" s="29"/>
      <c r="L524" s="30"/>
      <c r="M524" s="30"/>
      <c r="O524" s="32"/>
      <c r="P524" s="32"/>
      <c r="S524" s="32"/>
    </row>
    <row r="525">
      <c r="D525" s="29"/>
      <c r="F525" s="31"/>
      <c r="G525" s="30"/>
      <c r="H525" s="30"/>
      <c r="J525" s="29"/>
      <c r="L525" s="30"/>
      <c r="M525" s="30"/>
      <c r="O525" s="32"/>
      <c r="P525" s="32"/>
      <c r="S525" s="32"/>
    </row>
    <row r="526">
      <c r="D526" s="29"/>
      <c r="F526" s="31"/>
      <c r="G526" s="30"/>
      <c r="H526" s="30"/>
      <c r="J526" s="29"/>
      <c r="L526" s="30"/>
      <c r="M526" s="30"/>
      <c r="O526" s="32"/>
      <c r="P526" s="32"/>
      <c r="S526" s="32"/>
    </row>
    <row r="527">
      <c r="D527" s="29"/>
      <c r="F527" s="31"/>
      <c r="G527" s="30"/>
      <c r="H527" s="30"/>
      <c r="J527" s="29"/>
      <c r="L527" s="30"/>
      <c r="M527" s="30"/>
      <c r="O527" s="32"/>
      <c r="P527" s="32"/>
      <c r="S527" s="32"/>
    </row>
    <row r="528">
      <c r="D528" s="29"/>
      <c r="F528" s="31"/>
      <c r="G528" s="30"/>
      <c r="H528" s="30"/>
      <c r="J528" s="29"/>
      <c r="L528" s="30"/>
      <c r="M528" s="30"/>
      <c r="O528" s="32"/>
      <c r="P528" s="32"/>
      <c r="S528" s="32"/>
    </row>
    <row r="529">
      <c r="D529" s="29"/>
      <c r="F529" s="31"/>
      <c r="G529" s="30"/>
      <c r="H529" s="30"/>
      <c r="J529" s="29"/>
      <c r="L529" s="30"/>
      <c r="M529" s="30"/>
      <c r="O529" s="32"/>
      <c r="P529" s="32"/>
      <c r="S529" s="32"/>
    </row>
    <row r="530">
      <c r="D530" s="29"/>
      <c r="F530" s="31"/>
      <c r="G530" s="30"/>
      <c r="H530" s="30"/>
      <c r="J530" s="29"/>
      <c r="L530" s="30"/>
      <c r="M530" s="30"/>
      <c r="O530" s="32"/>
      <c r="P530" s="32"/>
      <c r="S530" s="32"/>
    </row>
    <row r="531">
      <c r="D531" s="29"/>
      <c r="F531" s="31"/>
      <c r="G531" s="30"/>
      <c r="H531" s="30"/>
      <c r="J531" s="29"/>
      <c r="L531" s="30"/>
      <c r="M531" s="30"/>
      <c r="O531" s="32"/>
      <c r="P531" s="32"/>
      <c r="S531" s="32"/>
    </row>
    <row r="532">
      <c r="D532" s="29"/>
      <c r="F532" s="31"/>
      <c r="G532" s="30"/>
      <c r="H532" s="30"/>
      <c r="J532" s="29"/>
      <c r="L532" s="30"/>
      <c r="M532" s="30"/>
      <c r="O532" s="32"/>
      <c r="P532" s="32"/>
      <c r="S532" s="32"/>
    </row>
    <row r="533">
      <c r="D533" s="29"/>
      <c r="F533" s="31"/>
      <c r="G533" s="30"/>
      <c r="H533" s="30"/>
      <c r="J533" s="29"/>
      <c r="L533" s="30"/>
      <c r="M533" s="30"/>
      <c r="O533" s="32"/>
      <c r="P533" s="32"/>
      <c r="S533" s="32"/>
    </row>
    <row r="534">
      <c r="D534" s="29"/>
      <c r="F534" s="31"/>
      <c r="G534" s="30"/>
      <c r="H534" s="30"/>
      <c r="J534" s="29"/>
      <c r="L534" s="30"/>
      <c r="M534" s="30"/>
      <c r="O534" s="32"/>
      <c r="P534" s="32"/>
      <c r="S534" s="32"/>
    </row>
    <row r="535">
      <c r="D535" s="29"/>
      <c r="F535" s="31"/>
      <c r="G535" s="30"/>
      <c r="H535" s="30"/>
      <c r="J535" s="29"/>
      <c r="L535" s="30"/>
      <c r="M535" s="30"/>
      <c r="O535" s="32"/>
      <c r="P535" s="32"/>
      <c r="S535" s="32"/>
    </row>
    <row r="536">
      <c r="D536" s="29"/>
      <c r="F536" s="31"/>
      <c r="G536" s="30"/>
      <c r="H536" s="30"/>
      <c r="J536" s="29"/>
      <c r="L536" s="30"/>
      <c r="M536" s="30"/>
      <c r="O536" s="32"/>
      <c r="P536" s="32"/>
      <c r="S536" s="32"/>
    </row>
    <row r="537">
      <c r="D537" s="29"/>
      <c r="F537" s="31"/>
      <c r="G537" s="30"/>
      <c r="H537" s="30"/>
      <c r="J537" s="29"/>
      <c r="L537" s="30"/>
      <c r="M537" s="30"/>
      <c r="O537" s="32"/>
      <c r="P537" s="32"/>
      <c r="S537" s="32"/>
    </row>
    <row r="538">
      <c r="D538" s="29"/>
      <c r="F538" s="31"/>
      <c r="G538" s="30"/>
      <c r="H538" s="30"/>
      <c r="J538" s="29"/>
      <c r="L538" s="30"/>
      <c r="M538" s="30"/>
      <c r="O538" s="32"/>
      <c r="P538" s="32"/>
      <c r="S538" s="32"/>
    </row>
    <row r="539">
      <c r="D539" s="29"/>
      <c r="F539" s="31"/>
      <c r="G539" s="30"/>
      <c r="H539" s="30"/>
      <c r="J539" s="29"/>
      <c r="L539" s="30"/>
      <c r="M539" s="30"/>
      <c r="O539" s="32"/>
      <c r="P539" s="32"/>
      <c r="S539" s="32"/>
    </row>
    <row r="540">
      <c r="D540" s="29"/>
      <c r="F540" s="31"/>
      <c r="G540" s="30"/>
      <c r="H540" s="30"/>
      <c r="J540" s="29"/>
      <c r="L540" s="30"/>
      <c r="M540" s="30"/>
      <c r="O540" s="32"/>
      <c r="P540" s="32"/>
      <c r="S540" s="32"/>
    </row>
    <row r="541">
      <c r="D541" s="29"/>
      <c r="F541" s="31"/>
      <c r="G541" s="30"/>
      <c r="H541" s="30"/>
      <c r="J541" s="29"/>
      <c r="L541" s="30"/>
      <c r="M541" s="30"/>
      <c r="O541" s="32"/>
      <c r="P541" s="32"/>
      <c r="S541" s="32"/>
    </row>
    <row r="542">
      <c r="D542" s="29"/>
      <c r="F542" s="31"/>
      <c r="G542" s="30"/>
      <c r="H542" s="30"/>
      <c r="J542" s="29"/>
      <c r="L542" s="30"/>
      <c r="M542" s="30"/>
      <c r="O542" s="32"/>
      <c r="P542" s="32"/>
      <c r="S542" s="32"/>
    </row>
    <row r="543">
      <c r="D543" s="29"/>
      <c r="F543" s="31"/>
      <c r="G543" s="30"/>
      <c r="H543" s="30"/>
      <c r="J543" s="29"/>
      <c r="L543" s="30"/>
      <c r="M543" s="30"/>
      <c r="O543" s="32"/>
      <c r="P543" s="32"/>
      <c r="S543" s="32"/>
    </row>
    <row r="544">
      <c r="D544" s="29"/>
      <c r="F544" s="31"/>
      <c r="G544" s="30"/>
      <c r="H544" s="30"/>
      <c r="J544" s="29"/>
      <c r="L544" s="30"/>
      <c r="M544" s="30"/>
      <c r="O544" s="32"/>
      <c r="P544" s="32"/>
      <c r="S544" s="32"/>
    </row>
    <row r="545">
      <c r="D545" s="29"/>
      <c r="F545" s="31"/>
      <c r="G545" s="30"/>
      <c r="H545" s="30"/>
      <c r="J545" s="29"/>
      <c r="L545" s="30"/>
      <c r="M545" s="30"/>
      <c r="O545" s="32"/>
      <c r="P545" s="32"/>
      <c r="S545" s="32"/>
    </row>
    <row r="546">
      <c r="D546" s="29"/>
      <c r="F546" s="31"/>
      <c r="G546" s="30"/>
      <c r="H546" s="30"/>
      <c r="J546" s="29"/>
      <c r="L546" s="30"/>
      <c r="M546" s="30"/>
      <c r="O546" s="32"/>
      <c r="P546" s="32"/>
      <c r="S546" s="32"/>
    </row>
    <row r="547">
      <c r="D547" s="29"/>
      <c r="F547" s="31"/>
      <c r="G547" s="30"/>
      <c r="H547" s="30"/>
      <c r="J547" s="29"/>
      <c r="L547" s="30"/>
      <c r="M547" s="30"/>
      <c r="O547" s="32"/>
      <c r="P547" s="32"/>
      <c r="S547" s="32"/>
    </row>
    <row r="548">
      <c r="D548" s="29"/>
      <c r="F548" s="31"/>
      <c r="G548" s="30"/>
      <c r="H548" s="30"/>
      <c r="J548" s="29"/>
      <c r="L548" s="30"/>
      <c r="M548" s="30"/>
      <c r="O548" s="32"/>
      <c r="P548" s="32"/>
      <c r="S548" s="32"/>
    </row>
    <row r="549">
      <c r="D549" s="29"/>
      <c r="F549" s="31"/>
      <c r="G549" s="30"/>
      <c r="H549" s="30"/>
      <c r="J549" s="29"/>
      <c r="L549" s="30"/>
      <c r="M549" s="30"/>
      <c r="O549" s="32"/>
      <c r="P549" s="32"/>
      <c r="S549" s="32"/>
    </row>
    <row r="550">
      <c r="D550" s="29"/>
      <c r="F550" s="31"/>
      <c r="G550" s="30"/>
      <c r="H550" s="30"/>
      <c r="J550" s="29"/>
      <c r="L550" s="30"/>
      <c r="M550" s="30"/>
      <c r="O550" s="32"/>
      <c r="P550" s="32"/>
      <c r="S550" s="32"/>
    </row>
    <row r="551">
      <c r="D551" s="29"/>
      <c r="F551" s="31"/>
      <c r="G551" s="30"/>
      <c r="H551" s="30"/>
      <c r="J551" s="29"/>
      <c r="L551" s="30"/>
      <c r="M551" s="30"/>
      <c r="O551" s="32"/>
      <c r="P551" s="32"/>
      <c r="S551" s="32"/>
    </row>
    <row r="552">
      <c r="D552" s="29"/>
      <c r="F552" s="31"/>
      <c r="G552" s="30"/>
      <c r="H552" s="30"/>
      <c r="J552" s="29"/>
      <c r="L552" s="30"/>
      <c r="M552" s="30"/>
      <c r="O552" s="32"/>
      <c r="P552" s="32"/>
      <c r="S552" s="32"/>
    </row>
    <row r="553">
      <c r="D553" s="29"/>
      <c r="F553" s="31"/>
      <c r="G553" s="30"/>
      <c r="H553" s="30"/>
      <c r="J553" s="29"/>
      <c r="L553" s="30"/>
      <c r="M553" s="30"/>
      <c r="O553" s="32"/>
      <c r="P553" s="32"/>
      <c r="S553" s="32"/>
    </row>
    <row r="554">
      <c r="D554" s="29"/>
      <c r="F554" s="31"/>
      <c r="G554" s="30"/>
      <c r="H554" s="30"/>
      <c r="J554" s="29"/>
      <c r="L554" s="30"/>
      <c r="M554" s="30"/>
      <c r="O554" s="32"/>
      <c r="P554" s="32"/>
      <c r="S554" s="32"/>
    </row>
    <row r="555">
      <c r="D555" s="29"/>
      <c r="F555" s="31"/>
      <c r="G555" s="30"/>
      <c r="H555" s="30"/>
      <c r="J555" s="29"/>
      <c r="L555" s="30"/>
      <c r="M555" s="30"/>
      <c r="O555" s="32"/>
      <c r="P555" s="32"/>
      <c r="S555" s="32"/>
    </row>
    <row r="556">
      <c r="D556" s="29"/>
      <c r="F556" s="31"/>
      <c r="G556" s="30"/>
      <c r="H556" s="30"/>
      <c r="J556" s="29"/>
      <c r="L556" s="30"/>
      <c r="M556" s="30"/>
      <c r="O556" s="32"/>
      <c r="P556" s="32"/>
      <c r="S556" s="32"/>
    </row>
    <row r="557">
      <c r="D557" s="29"/>
      <c r="F557" s="31"/>
      <c r="G557" s="30"/>
      <c r="H557" s="30"/>
      <c r="J557" s="29"/>
      <c r="L557" s="30"/>
      <c r="M557" s="30"/>
      <c r="O557" s="32"/>
      <c r="P557" s="32"/>
      <c r="S557" s="32"/>
    </row>
    <row r="558">
      <c r="D558" s="29"/>
      <c r="F558" s="31"/>
      <c r="G558" s="30"/>
      <c r="H558" s="30"/>
      <c r="J558" s="29"/>
      <c r="L558" s="30"/>
      <c r="M558" s="30"/>
      <c r="O558" s="32"/>
      <c r="P558" s="32"/>
      <c r="S558" s="32"/>
    </row>
    <row r="559">
      <c r="D559" s="29"/>
      <c r="F559" s="31"/>
      <c r="G559" s="30"/>
      <c r="H559" s="30"/>
      <c r="J559" s="29"/>
      <c r="L559" s="30"/>
      <c r="M559" s="30"/>
      <c r="O559" s="32"/>
      <c r="P559" s="32"/>
      <c r="S559" s="32"/>
    </row>
    <row r="560">
      <c r="D560" s="29"/>
      <c r="F560" s="31"/>
      <c r="G560" s="30"/>
      <c r="H560" s="30"/>
      <c r="J560" s="29"/>
      <c r="L560" s="30"/>
      <c r="M560" s="30"/>
      <c r="O560" s="32"/>
      <c r="P560" s="32"/>
      <c r="S560" s="32"/>
    </row>
    <row r="561">
      <c r="D561" s="29"/>
      <c r="F561" s="31"/>
      <c r="G561" s="30"/>
      <c r="H561" s="30"/>
      <c r="J561" s="29"/>
      <c r="L561" s="30"/>
      <c r="M561" s="30"/>
      <c r="O561" s="32"/>
      <c r="P561" s="32"/>
      <c r="S561" s="32"/>
    </row>
    <row r="562">
      <c r="D562" s="29"/>
      <c r="F562" s="31"/>
      <c r="G562" s="30"/>
      <c r="H562" s="30"/>
      <c r="J562" s="29"/>
      <c r="L562" s="30"/>
      <c r="M562" s="30"/>
      <c r="O562" s="32"/>
      <c r="P562" s="32"/>
      <c r="S562" s="32"/>
    </row>
    <row r="563">
      <c r="D563" s="29"/>
      <c r="F563" s="31"/>
      <c r="G563" s="30"/>
      <c r="H563" s="30"/>
      <c r="J563" s="29"/>
      <c r="L563" s="30"/>
      <c r="M563" s="30"/>
      <c r="O563" s="32"/>
      <c r="P563" s="32"/>
      <c r="S563" s="32"/>
    </row>
    <row r="564">
      <c r="D564" s="29"/>
      <c r="F564" s="31"/>
      <c r="G564" s="30"/>
      <c r="H564" s="30"/>
      <c r="J564" s="29"/>
      <c r="L564" s="30"/>
      <c r="M564" s="30"/>
      <c r="O564" s="32"/>
      <c r="P564" s="32"/>
      <c r="S564" s="32"/>
    </row>
    <row r="565">
      <c r="D565" s="29"/>
      <c r="F565" s="31"/>
      <c r="G565" s="30"/>
      <c r="H565" s="30"/>
      <c r="J565" s="29"/>
      <c r="L565" s="30"/>
      <c r="M565" s="30"/>
      <c r="O565" s="32"/>
      <c r="P565" s="32"/>
      <c r="S565" s="32"/>
    </row>
    <row r="566">
      <c r="D566" s="29"/>
      <c r="F566" s="31"/>
      <c r="G566" s="30"/>
      <c r="H566" s="30"/>
      <c r="J566" s="29"/>
      <c r="L566" s="30"/>
      <c r="M566" s="30"/>
      <c r="O566" s="32"/>
      <c r="P566" s="32"/>
      <c r="S566" s="32"/>
    </row>
    <row r="567">
      <c r="D567" s="29"/>
      <c r="F567" s="31"/>
      <c r="G567" s="30"/>
      <c r="H567" s="30"/>
      <c r="J567" s="29"/>
      <c r="L567" s="30"/>
      <c r="M567" s="30"/>
      <c r="O567" s="32"/>
      <c r="P567" s="32"/>
      <c r="S567" s="32"/>
    </row>
    <row r="568">
      <c r="D568" s="29"/>
      <c r="F568" s="31"/>
      <c r="G568" s="30"/>
      <c r="H568" s="30"/>
      <c r="J568" s="29"/>
      <c r="L568" s="30"/>
      <c r="M568" s="30"/>
      <c r="O568" s="32"/>
      <c r="P568" s="32"/>
      <c r="S568" s="32"/>
    </row>
    <row r="569">
      <c r="D569" s="29"/>
      <c r="F569" s="31"/>
      <c r="G569" s="30"/>
      <c r="H569" s="30"/>
      <c r="J569" s="29"/>
      <c r="L569" s="30"/>
      <c r="M569" s="30"/>
      <c r="O569" s="32"/>
      <c r="P569" s="32"/>
      <c r="S569" s="32"/>
    </row>
    <row r="570">
      <c r="D570" s="29"/>
      <c r="F570" s="31"/>
      <c r="G570" s="30"/>
      <c r="H570" s="30"/>
      <c r="J570" s="29"/>
      <c r="L570" s="30"/>
      <c r="M570" s="30"/>
      <c r="O570" s="32"/>
      <c r="P570" s="32"/>
      <c r="S570" s="32"/>
    </row>
    <row r="571">
      <c r="D571" s="29"/>
      <c r="F571" s="31"/>
      <c r="G571" s="30"/>
      <c r="H571" s="30"/>
      <c r="J571" s="29"/>
      <c r="L571" s="30"/>
      <c r="M571" s="30"/>
      <c r="O571" s="32"/>
      <c r="P571" s="32"/>
      <c r="S571" s="32"/>
    </row>
    <row r="572">
      <c r="D572" s="29"/>
      <c r="F572" s="31"/>
      <c r="G572" s="30"/>
      <c r="H572" s="30"/>
      <c r="J572" s="29"/>
      <c r="L572" s="30"/>
      <c r="M572" s="30"/>
      <c r="O572" s="32"/>
      <c r="P572" s="32"/>
      <c r="S572" s="32"/>
    </row>
    <row r="573">
      <c r="D573" s="29"/>
      <c r="F573" s="31"/>
      <c r="G573" s="30"/>
      <c r="H573" s="30"/>
      <c r="J573" s="29"/>
      <c r="L573" s="30"/>
      <c r="M573" s="30"/>
      <c r="O573" s="32"/>
      <c r="P573" s="32"/>
      <c r="S573" s="32"/>
    </row>
    <row r="574">
      <c r="D574" s="29"/>
      <c r="F574" s="31"/>
      <c r="G574" s="30"/>
      <c r="H574" s="30"/>
      <c r="J574" s="29"/>
      <c r="L574" s="30"/>
      <c r="M574" s="30"/>
      <c r="O574" s="32"/>
      <c r="P574" s="32"/>
      <c r="S574" s="32"/>
    </row>
    <row r="575">
      <c r="D575" s="29"/>
      <c r="F575" s="31"/>
      <c r="G575" s="30"/>
      <c r="H575" s="30"/>
      <c r="J575" s="29"/>
      <c r="L575" s="30"/>
      <c r="M575" s="30"/>
      <c r="O575" s="32"/>
      <c r="P575" s="32"/>
      <c r="S575" s="32"/>
    </row>
    <row r="576">
      <c r="D576" s="29"/>
      <c r="F576" s="31"/>
      <c r="G576" s="30"/>
      <c r="H576" s="30"/>
      <c r="J576" s="29"/>
      <c r="L576" s="30"/>
      <c r="M576" s="30"/>
      <c r="O576" s="32"/>
      <c r="P576" s="32"/>
      <c r="S576" s="32"/>
    </row>
    <row r="577">
      <c r="D577" s="29"/>
      <c r="F577" s="31"/>
      <c r="G577" s="30"/>
      <c r="H577" s="30"/>
      <c r="J577" s="29"/>
      <c r="L577" s="30"/>
      <c r="M577" s="30"/>
      <c r="O577" s="32"/>
      <c r="P577" s="32"/>
      <c r="S577" s="32"/>
    </row>
    <row r="578">
      <c r="D578" s="29"/>
      <c r="F578" s="31"/>
      <c r="G578" s="30"/>
      <c r="H578" s="30"/>
      <c r="J578" s="29"/>
      <c r="L578" s="30"/>
      <c r="M578" s="30"/>
      <c r="O578" s="32"/>
      <c r="P578" s="32"/>
      <c r="S578" s="32"/>
    </row>
    <row r="579">
      <c r="D579" s="29"/>
      <c r="F579" s="31"/>
      <c r="G579" s="30"/>
      <c r="H579" s="30"/>
      <c r="J579" s="29"/>
      <c r="L579" s="30"/>
      <c r="M579" s="30"/>
      <c r="O579" s="32"/>
      <c r="P579" s="32"/>
      <c r="S579" s="32"/>
    </row>
    <row r="580">
      <c r="D580" s="29"/>
      <c r="F580" s="31"/>
      <c r="G580" s="30"/>
      <c r="H580" s="30"/>
      <c r="J580" s="29"/>
      <c r="L580" s="30"/>
      <c r="M580" s="30"/>
      <c r="O580" s="32"/>
      <c r="P580" s="32"/>
      <c r="S580" s="32"/>
    </row>
    <row r="581">
      <c r="D581" s="29"/>
      <c r="F581" s="31"/>
      <c r="G581" s="30"/>
      <c r="H581" s="30"/>
      <c r="J581" s="29"/>
      <c r="L581" s="30"/>
      <c r="M581" s="30"/>
      <c r="O581" s="32"/>
      <c r="P581" s="32"/>
      <c r="S581" s="32"/>
    </row>
    <row r="582">
      <c r="D582" s="29"/>
      <c r="F582" s="31"/>
      <c r="G582" s="30"/>
      <c r="H582" s="30"/>
      <c r="J582" s="29"/>
      <c r="L582" s="30"/>
      <c r="M582" s="30"/>
      <c r="O582" s="32"/>
      <c r="P582" s="32"/>
      <c r="S582" s="32"/>
    </row>
    <row r="583">
      <c r="D583" s="29"/>
      <c r="F583" s="31"/>
      <c r="G583" s="30"/>
      <c r="H583" s="30"/>
      <c r="J583" s="29"/>
      <c r="L583" s="30"/>
      <c r="M583" s="30"/>
      <c r="O583" s="32"/>
      <c r="P583" s="32"/>
      <c r="S583" s="32"/>
    </row>
    <row r="584">
      <c r="D584" s="29"/>
      <c r="F584" s="31"/>
      <c r="G584" s="30"/>
      <c r="H584" s="30"/>
      <c r="J584" s="29"/>
      <c r="L584" s="30"/>
      <c r="M584" s="30"/>
      <c r="O584" s="32"/>
      <c r="P584" s="32"/>
      <c r="S584" s="32"/>
    </row>
    <row r="585">
      <c r="D585" s="29"/>
      <c r="F585" s="31"/>
      <c r="G585" s="30"/>
      <c r="H585" s="30"/>
      <c r="J585" s="29"/>
      <c r="L585" s="30"/>
      <c r="M585" s="30"/>
      <c r="O585" s="32"/>
      <c r="P585" s="32"/>
      <c r="S585" s="32"/>
    </row>
    <row r="586">
      <c r="D586" s="29"/>
      <c r="F586" s="31"/>
      <c r="G586" s="30"/>
      <c r="H586" s="30"/>
      <c r="J586" s="29"/>
      <c r="L586" s="30"/>
      <c r="M586" s="30"/>
      <c r="O586" s="32"/>
      <c r="P586" s="32"/>
      <c r="S586" s="32"/>
    </row>
    <row r="587">
      <c r="D587" s="29"/>
      <c r="F587" s="31"/>
      <c r="G587" s="30"/>
      <c r="H587" s="30"/>
      <c r="J587" s="29"/>
      <c r="L587" s="30"/>
      <c r="M587" s="30"/>
      <c r="O587" s="32"/>
      <c r="P587" s="32"/>
      <c r="S587" s="32"/>
    </row>
    <row r="588">
      <c r="D588" s="29"/>
      <c r="F588" s="31"/>
      <c r="G588" s="30"/>
      <c r="H588" s="30"/>
      <c r="J588" s="29"/>
      <c r="L588" s="30"/>
      <c r="M588" s="30"/>
      <c r="O588" s="32"/>
      <c r="P588" s="32"/>
      <c r="S588" s="32"/>
    </row>
    <row r="589">
      <c r="D589" s="29"/>
      <c r="F589" s="31"/>
      <c r="G589" s="30"/>
      <c r="H589" s="30"/>
      <c r="J589" s="29"/>
      <c r="L589" s="30"/>
      <c r="M589" s="30"/>
      <c r="O589" s="32"/>
      <c r="P589" s="32"/>
      <c r="S589" s="32"/>
    </row>
    <row r="590">
      <c r="D590" s="29"/>
      <c r="F590" s="31"/>
      <c r="G590" s="30"/>
      <c r="H590" s="30"/>
      <c r="J590" s="29"/>
      <c r="L590" s="30"/>
      <c r="M590" s="30"/>
      <c r="O590" s="32"/>
      <c r="P590" s="32"/>
      <c r="S590" s="32"/>
    </row>
    <row r="591">
      <c r="D591" s="29"/>
      <c r="F591" s="31"/>
      <c r="G591" s="30"/>
      <c r="H591" s="30"/>
      <c r="J591" s="29"/>
      <c r="L591" s="30"/>
      <c r="M591" s="30"/>
      <c r="O591" s="32"/>
      <c r="P591" s="32"/>
      <c r="S591" s="32"/>
    </row>
    <row r="592">
      <c r="D592" s="29"/>
      <c r="F592" s="31"/>
      <c r="G592" s="30"/>
      <c r="H592" s="30"/>
      <c r="J592" s="29"/>
      <c r="L592" s="30"/>
      <c r="M592" s="30"/>
      <c r="O592" s="32"/>
      <c r="P592" s="32"/>
      <c r="S592" s="32"/>
    </row>
    <row r="593">
      <c r="D593" s="29"/>
      <c r="F593" s="31"/>
      <c r="G593" s="30"/>
      <c r="H593" s="30"/>
      <c r="J593" s="29"/>
      <c r="L593" s="30"/>
      <c r="M593" s="30"/>
      <c r="O593" s="32"/>
      <c r="P593" s="32"/>
      <c r="S593" s="32"/>
    </row>
    <row r="594">
      <c r="D594" s="29"/>
      <c r="F594" s="31"/>
      <c r="G594" s="30"/>
      <c r="H594" s="30"/>
      <c r="J594" s="29"/>
      <c r="L594" s="30"/>
      <c r="M594" s="30"/>
      <c r="O594" s="32"/>
      <c r="P594" s="32"/>
      <c r="S594" s="32"/>
    </row>
    <row r="595">
      <c r="D595" s="29"/>
      <c r="F595" s="31"/>
      <c r="G595" s="30"/>
      <c r="H595" s="30"/>
      <c r="J595" s="29"/>
      <c r="L595" s="30"/>
      <c r="M595" s="30"/>
      <c r="O595" s="32"/>
      <c r="P595" s="32"/>
      <c r="S595" s="32"/>
    </row>
    <row r="596">
      <c r="D596" s="29"/>
      <c r="F596" s="31"/>
      <c r="G596" s="30"/>
      <c r="H596" s="30"/>
      <c r="J596" s="29"/>
      <c r="L596" s="30"/>
      <c r="M596" s="30"/>
      <c r="O596" s="32"/>
      <c r="P596" s="32"/>
      <c r="S596" s="32"/>
    </row>
    <row r="597">
      <c r="D597" s="29"/>
      <c r="F597" s="31"/>
      <c r="G597" s="30"/>
      <c r="H597" s="30"/>
      <c r="J597" s="29"/>
      <c r="L597" s="30"/>
      <c r="M597" s="30"/>
      <c r="O597" s="32"/>
      <c r="P597" s="32"/>
      <c r="S597" s="32"/>
    </row>
    <row r="598">
      <c r="D598" s="29"/>
      <c r="F598" s="31"/>
      <c r="G598" s="30"/>
      <c r="H598" s="30"/>
      <c r="J598" s="29"/>
      <c r="L598" s="30"/>
      <c r="M598" s="30"/>
      <c r="O598" s="32"/>
      <c r="P598" s="32"/>
      <c r="S598" s="32"/>
    </row>
    <row r="599">
      <c r="D599" s="29"/>
      <c r="F599" s="31"/>
      <c r="G599" s="30"/>
      <c r="H599" s="30"/>
      <c r="J599" s="29"/>
      <c r="L599" s="30"/>
      <c r="M599" s="30"/>
      <c r="O599" s="32"/>
      <c r="P599" s="32"/>
      <c r="S599" s="32"/>
    </row>
    <row r="600">
      <c r="D600" s="29"/>
      <c r="F600" s="31"/>
      <c r="G600" s="30"/>
      <c r="H600" s="30"/>
      <c r="J600" s="29"/>
      <c r="L600" s="30"/>
      <c r="M600" s="30"/>
      <c r="O600" s="32"/>
      <c r="P600" s="32"/>
      <c r="S600" s="32"/>
    </row>
    <row r="601">
      <c r="D601" s="29"/>
      <c r="F601" s="31"/>
      <c r="G601" s="30"/>
      <c r="H601" s="30"/>
      <c r="J601" s="29"/>
      <c r="L601" s="30"/>
      <c r="M601" s="30"/>
      <c r="O601" s="32"/>
      <c r="P601" s="32"/>
      <c r="S601" s="32"/>
    </row>
    <row r="602">
      <c r="D602" s="29"/>
      <c r="F602" s="31"/>
      <c r="G602" s="30"/>
      <c r="H602" s="30"/>
      <c r="J602" s="29"/>
      <c r="L602" s="30"/>
      <c r="M602" s="30"/>
      <c r="O602" s="32"/>
      <c r="P602" s="32"/>
      <c r="S602" s="32"/>
    </row>
    <row r="603">
      <c r="D603" s="29"/>
      <c r="F603" s="31"/>
      <c r="G603" s="30"/>
      <c r="H603" s="30"/>
      <c r="J603" s="29"/>
      <c r="L603" s="30"/>
      <c r="M603" s="30"/>
      <c r="O603" s="32"/>
      <c r="P603" s="32"/>
      <c r="S603" s="32"/>
    </row>
    <row r="604">
      <c r="D604" s="29"/>
      <c r="F604" s="31"/>
      <c r="G604" s="30"/>
      <c r="H604" s="30"/>
      <c r="J604" s="29"/>
      <c r="L604" s="30"/>
      <c r="M604" s="30"/>
      <c r="O604" s="32"/>
      <c r="P604" s="32"/>
      <c r="S604" s="32"/>
    </row>
    <row r="605">
      <c r="D605" s="29"/>
      <c r="F605" s="31"/>
      <c r="G605" s="30"/>
      <c r="H605" s="30"/>
      <c r="J605" s="29"/>
      <c r="L605" s="30"/>
      <c r="M605" s="30"/>
      <c r="O605" s="32"/>
      <c r="P605" s="32"/>
      <c r="S605" s="32"/>
    </row>
    <row r="606">
      <c r="D606" s="29"/>
      <c r="F606" s="31"/>
      <c r="G606" s="30"/>
      <c r="H606" s="30"/>
      <c r="J606" s="29"/>
      <c r="L606" s="30"/>
      <c r="M606" s="30"/>
      <c r="O606" s="32"/>
      <c r="P606" s="32"/>
      <c r="S606" s="32"/>
    </row>
    <row r="607">
      <c r="D607" s="29"/>
      <c r="F607" s="31"/>
      <c r="G607" s="30"/>
      <c r="H607" s="30"/>
      <c r="J607" s="29"/>
      <c r="L607" s="30"/>
      <c r="M607" s="30"/>
      <c r="O607" s="32"/>
      <c r="P607" s="32"/>
      <c r="S607" s="32"/>
    </row>
    <row r="608">
      <c r="D608" s="29"/>
      <c r="F608" s="31"/>
      <c r="G608" s="30"/>
      <c r="H608" s="30"/>
      <c r="J608" s="29"/>
      <c r="L608" s="30"/>
      <c r="M608" s="30"/>
      <c r="O608" s="32"/>
      <c r="P608" s="32"/>
      <c r="S608" s="32"/>
    </row>
    <row r="609">
      <c r="D609" s="29"/>
      <c r="F609" s="31"/>
      <c r="G609" s="30"/>
      <c r="H609" s="30"/>
      <c r="J609" s="29"/>
      <c r="L609" s="30"/>
      <c r="M609" s="30"/>
      <c r="O609" s="32"/>
      <c r="P609" s="32"/>
      <c r="S609" s="32"/>
    </row>
    <row r="610">
      <c r="D610" s="29"/>
      <c r="F610" s="31"/>
      <c r="G610" s="30"/>
      <c r="H610" s="30"/>
      <c r="J610" s="29"/>
      <c r="L610" s="30"/>
      <c r="M610" s="30"/>
      <c r="O610" s="32"/>
      <c r="P610" s="32"/>
      <c r="S610" s="32"/>
    </row>
    <row r="611">
      <c r="D611" s="29"/>
      <c r="F611" s="31"/>
      <c r="G611" s="30"/>
      <c r="H611" s="30"/>
      <c r="J611" s="29"/>
      <c r="L611" s="30"/>
      <c r="M611" s="30"/>
      <c r="O611" s="32"/>
      <c r="P611" s="32"/>
      <c r="S611" s="32"/>
    </row>
    <row r="612">
      <c r="D612" s="29"/>
      <c r="F612" s="31"/>
      <c r="G612" s="30"/>
      <c r="H612" s="30"/>
      <c r="J612" s="29"/>
      <c r="L612" s="30"/>
      <c r="M612" s="30"/>
      <c r="O612" s="32"/>
      <c r="P612" s="32"/>
      <c r="S612" s="32"/>
    </row>
    <row r="613">
      <c r="D613" s="29"/>
      <c r="F613" s="31"/>
      <c r="G613" s="30"/>
      <c r="H613" s="30"/>
      <c r="J613" s="29"/>
      <c r="L613" s="30"/>
      <c r="M613" s="30"/>
      <c r="O613" s="32"/>
      <c r="P613" s="32"/>
      <c r="S613" s="32"/>
    </row>
    <row r="614">
      <c r="D614" s="29"/>
      <c r="F614" s="31"/>
      <c r="G614" s="30"/>
      <c r="H614" s="30"/>
      <c r="J614" s="29"/>
      <c r="L614" s="30"/>
      <c r="M614" s="30"/>
      <c r="O614" s="32"/>
      <c r="P614" s="32"/>
      <c r="S614" s="32"/>
    </row>
    <row r="615">
      <c r="D615" s="29"/>
      <c r="F615" s="31"/>
      <c r="G615" s="30"/>
      <c r="H615" s="30"/>
      <c r="J615" s="29"/>
      <c r="L615" s="30"/>
      <c r="M615" s="30"/>
      <c r="O615" s="32"/>
      <c r="P615" s="32"/>
      <c r="S615" s="32"/>
    </row>
    <row r="616">
      <c r="D616" s="29"/>
      <c r="F616" s="31"/>
      <c r="G616" s="30"/>
      <c r="H616" s="30"/>
      <c r="J616" s="29"/>
      <c r="L616" s="30"/>
      <c r="M616" s="30"/>
      <c r="O616" s="32"/>
      <c r="P616" s="32"/>
      <c r="S616" s="32"/>
    </row>
    <row r="617">
      <c r="D617" s="29"/>
      <c r="F617" s="31"/>
      <c r="G617" s="30"/>
      <c r="H617" s="30"/>
      <c r="J617" s="29"/>
      <c r="L617" s="30"/>
      <c r="M617" s="30"/>
      <c r="O617" s="32"/>
      <c r="P617" s="32"/>
      <c r="S617" s="32"/>
    </row>
    <row r="618">
      <c r="D618" s="29"/>
      <c r="F618" s="31"/>
      <c r="G618" s="30"/>
      <c r="H618" s="30"/>
      <c r="J618" s="29"/>
      <c r="L618" s="30"/>
      <c r="M618" s="30"/>
      <c r="O618" s="32"/>
      <c r="P618" s="32"/>
      <c r="S618" s="32"/>
    </row>
    <row r="619">
      <c r="D619" s="29"/>
      <c r="F619" s="31"/>
      <c r="G619" s="30"/>
      <c r="H619" s="30"/>
      <c r="J619" s="29"/>
      <c r="L619" s="30"/>
      <c r="M619" s="30"/>
      <c r="O619" s="32"/>
      <c r="P619" s="32"/>
      <c r="S619" s="32"/>
    </row>
    <row r="620">
      <c r="D620" s="29"/>
      <c r="F620" s="31"/>
      <c r="G620" s="30"/>
      <c r="H620" s="30"/>
      <c r="J620" s="29"/>
      <c r="L620" s="30"/>
      <c r="M620" s="30"/>
      <c r="O620" s="32"/>
      <c r="P620" s="32"/>
      <c r="S620" s="32"/>
    </row>
    <row r="621">
      <c r="D621" s="29"/>
      <c r="F621" s="31"/>
      <c r="G621" s="30"/>
      <c r="H621" s="30"/>
      <c r="J621" s="29"/>
      <c r="L621" s="30"/>
      <c r="M621" s="30"/>
      <c r="O621" s="32"/>
      <c r="P621" s="32"/>
      <c r="S621" s="32"/>
    </row>
    <row r="622">
      <c r="D622" s="29"/>
      <c r="F622" s="31"/>
      <c r="G622" s="30"/>
      <c r="H622" s="30"/>
      <c r="J622" s="29"/>
      <c r="L622" s="30"/>
      <c r="M622" s="30"/>
      <c r="O622" s="32"/>
      <c r="P622" s="32"/>
      <c r="S622" s="32"/>
    </row>
    <row r="623">
      <c r="D623" s="29"/>
      <c r="F623" s="31"/>
      <c r="G623" s="30"/>
      <c r="H623" s="30"/>
      <c r="J623" s="29"/>
      <c r="L623" s="30"/>
      <c r="M623" s="30"/>
      <c r="O623" s="32"/>
      <c r="P623" s="32"/>
      <c r="S623" s="32"/>
    </row>
    <row r="624">
      <c r="D624" s="29"/>
      <c r="F624" s="31"/>
      <c r="G624" s="30"/>
      <c r="H624" s="30"/>
      <c r="J624" s="29"/>
      <c r="L624" s="30"/>
      <c r="M624" s="30"/>
      <c r="O624" s="32"/>
      <c r="P624" s="32"/>
      <c r="S624" s="32"/>
    </row>
    <row r="625">
      <c r="D625" s="29"/>
      <c r="F625" s="31"/>
      <c r="G625" s="30"/>
      <c r="H625" s="30"/>
      <c r="J625" s="29"/>
      <c r="L625" s="30"/>
      <c r="M625" s="30"/>
      <c r="O625" s="32"/>
      <c r="P625" s="32"/>
      <c r="S625" s="32"/>
    </row>
    <row r="626">
      <c r="D626" s="29"/>
      <c r="F626" s="31"/>
      <c r="G626" s="30"/>
      <c r="H626" s="30"/>
      <c r="J626" s="29"/>
      <c r="L626" s="30"/>
      <c r="M626" s="30"/>
      <c r="O626" s="32"/>
      <c r="P626" s="32"/>
      <c r="S626" s="32"/>
    </row>
    <row r="627">
      <c r="D627" s="29"/>
      <c r="F627" s="31"/>
      <c r="G627" s="30"/>
      <c r="H627" s="30"/>
      <c r="J627" s="29"/>
      <c r="L627" s="30"/>
      <c r="M627" s="30"/>
      <c r="O627" s="32"/>
      <c r="P627" s="32"/>
      <c r="S627" s="32"/>
    </row>
    <row r="628">
      <c r="D628" s="29"/>
      <c r="F628" s="31"/>
      <c r="G628" s="30"/>
      <c r="H628" s="30"/>
      <c r="J628" s="29"/>
      <c r="L628" s="30"/>
      <c r="M628" s="30"/>
      <c r="O628" s="32"/>
      <c r="P628" s="32"/>
      <c r="S628" s="32"/>
    </row>
    <row r="629">
      <c r="D629" s="29"/>
      <c r="F629" s="31"/>
      <c r="G629" s="30"/>
      <c r="H629" s="30"/>
      <c r="J629" s="29"/>
      <c r="L629" s="30"/>
      <c r="M629" s="30"/>
      <c r="O629" s="32"/>
      <c r="P629" s="32"/>
      <c r="S629" s="32"/>
    </row>
    <row r="630">
      <c r="D630" s="29"/>
      <c r="F630" s="31"/>
      <c r="G630" s="30"/>
      <c r="H630" s="30"/>
      <c r="J630" s="29"/>
      <c r="L630" s="30"/>
      <c r="M630" s="30"/>
      <c r="O630" s="32"/>
      <c r="P630" s="32"/>
      <c r="S630" s="32"/>
    </row>
    <row r="631">
      <c r="D631" s="29"/>
      <c r="F631" s="31"/>
      <c r="G631" s="30"/>
      <c r="H631" s="30"/>
      <c r="J631" s="29"/>
      <c r="L631" s="30"/>
      <c r="M631" s="30"/>
      <c r="O631" s="32"/>
      <c r="P631" s="32"/>
      <c r="S631" s="32"/>
    </row>
    <row r="632">
      <c r="D632" s="29"/>
      <c r="F632" s="31"/>
      <c r="G632" s="30"/>
      <c r="H632" s="30"/>
      <c r="J632" s="29"/>
      <c r="L632" s="30"/>
      <c r="M632" s="30"/>
      <c r="O632" s="32"/>
      <c r="P632" s="32"/>
      <c r="S632" s="32"/>
    </row>
    <row r="633">
      <c r="D633" s="29"/>
      <c r="F633" s="31"/>
      <c r="G633" s="30"/>
      <c r="H633" s="30"/>
      <c r="J633" s="29"/>
      <c r="L633" s="30"/>
      <c r="M633" s="30"/>
      <c r="O633" s="32"/>
      <c r="P633" s="32"/>
      <c r="S633" s="32"/>
    </row>
    <row r="634">
      <c r="D634" s="29"/>
      <c r="F634" s="31"/>
      <c r="G634" s="30"/>
      <c r="H634" s="30"/>
      <c r="J634" s="29"/>
      <c r="L634" s="30"/>
      <c r="M634" s="30"/>
      <c r="O634" s="32"/>
      <c r="P634" s="32"/>
      <c r="S634" s="32"/>
    </row>
    <row r="635">
      <c r="D635" s="29"/>
      <c r="F635" s="31"/>
      <c r="G635" s="30"/>
      <c r="H635" s="30"/>
      <c r="J635" s="29"/>
      <c r="L635" s="30"/>
      <c r="M635" s="30"/>
      <c r="O635" s="32"/>
      <c r="P635" s="32"/>
      <c r="S635" s="32"/>
    </row>
    <row r="636">
      <c r="D636" s="29"/>
      <c r="F636" s="31"/>
      <c r="G636" s="30"/>
      <c r="H636" s="30"/>
      <c r="J636" s="29"/>
      <c r="L636" s="30"/>
      <c r="M636" s="30"/>
      <c r="O636" s="32"/>
      <c r="P636" s="32"/>
      <c r="S636" s="32"/>
    </row>
    <row r="637">
      <c r="D637" s="29"/>
      <c r="F637" s="31"/>
      <c r="G637" s="30"/>
      <c r="H637" s="30"/>
      <c r="J637" s="29"/>
      <c r="L637" s="30"/>
      <c r="M637" s="30"/>
      <c r="O637" s="32"/>
      <c r="P637" s="32"/>
      <c r="S637" s="32"/>
    </row>
    <row r="638">
      <c r="D638" s="29"/>
      <c r="F638" s="31"/>
      <c r="G638" s="30"/>
      <c r="H638" s="30"/>
      <c r="J638" s="29"/>
      <c r="L638" s="30"/>
      <c r="M638" s="30"/>
      <c r="O638" s="32"/>
      <c r="P638" s="32"/>
      <c r="S638" s="32"/>
    </row>
    <row r="639">
      <c r="D639" s="29"/>
      <c r="F639" s="31"/>
      <c r="G639" s="30"/>
      <c r="H639" s="30"/>
      <c r="J639" s="29"/>
      <c r="L639" s="30"/>
      <c r="M639" s="30"/>
      <c r="O639" s="32"/>
      <c r="P639" s="32"/>
      <c r="S639" s="32"/>
    </row>
    <row r="640">
      <c r="D640" s="29"/>
      <c r="F640" s="31"/>
      <c r="G640" s="30"/>
      <c r="H640" s="30"/>
      <c r="J640" s="29"/>
      <c r="L640" s="30"/>
      <c r="M640" s="30"/>
      <c r="O640" s="32"/>
      <c r="P640" s="32"/>
      <c r="S640" s="32"/>
    </row>
    <row r="641">
      <c r="D641" s="29"/>
      <c r="F641" s="31"/>
      <c r="G641" s="30"/>
      <c r="H641" s="30"/>
      <c r="J641" s="29"/>
      <c r="L641" s="30"/>
      <c r="M641" s="30"/>
      <c r="O641" s="32"/>
      <c r="P641" s="32"/>
      <c r="S641" s="32"/>
    </row>
    <row r="642">
      <c r="D642" s="29"/>
      <c r="F642" s="31"/>
      <c r="G642" s="30"/>
      <c r="H642" s="30"/>
      <c r="J642" s="29"/>
      <c r="L642" s="30"/>
      <c r="M642" s="30"/>
      <c r="O642" s="32"/>
      <c r="P642" s="32"/>
      <c r="S642" s="32"/>
    </row>
    <row r="643">
      <c r="D643" s="29"/>
      <c r="F643" s="31"/>
      <c r="G643" s="30"/>
      <c r="H643" s="30"/>
      <c r="J643" s="29"/>
      <c r="L643" s="30"/>
      <c r="M643" s="30"/>
      <c r="O643" s="32"/>
      <c r="P643" s="32"/>
      <c r="S643" s="32"/>
    </row>
    <row r="644">
      <c r="D644" s="29"/>
      <c r="F644" s="31"/>
      <c r="G644" s="30"/>
      <c r="H644" s="30"/>
      <c r="J644" s="29"/>
      <c r="L644" s="30"/>
      <c r="M644" s="30"/>
      <c r="O644" s="32"/>
      <c r="P644" s="32"/>
      <c r="S644" s="32"/>
    </row>
    <row r="645">
      <c r="D645" s="29"/>
      <c r="F645" s="31"/>
      <c r="G645" s="30"/>
      <c r="H645" s="30"/>
      <c r="J645" s="29"/>
      <c r="L645" s="30"/>
      <c r="M645" s="30"/>
      <c r="O645" s="32"/>
      <c r="P645" s="32"/>
      <c r="S645" s="32"/>
    </row>
    <row r="646">
      <c r="D646" s="29"/>
      <c r="F646" s="31"/>
      <c r="G646" s="30"/>
      <c r="H646" s="30"/>
      <c r="J646" s="29"/>
      <c r="L646" s="30"/>
      <c r="M646" s="30"/>
      <c r="O646" s="32"/>
      <c r="P646" s="32"/>
      <c r="S646" s="32"/>
    </row>
    <row r="647">
      <c r="D647" s="29"/>
      <c r="F647" s="31"/>
      <c r="G647" s="30"/>
      <c r="H647" s="30"/>
      <c r="J647" s="29"/>
      <c r="L647" s="30"/>
      <c r="M647" s="30"/>
      <c r="O647" s="32"/>
      <c r="P647" s="32"/>
      <c r="S647" s="32"/>
    </row>
    <row r="648">
      <c r="D648" s="29"/>
      <c r="F648" s="31"/>
      <c r="G648" s="30"/>
      <c r="H648" s="30"/>
      <c r="J648" s="29"/>
      <c r="L648" s="30"/>
      <c r="M648" s="30"/>
      <c r="O648" s="32"/>
      <c r="P648" s="32"/>
      <c r="S648" s="32"/>
    </row>
    <row r="649">
      <c r="D649" s="29"/>
      <c r="F649" s="31"/>
      <c r="G649" s="30"/>
      <c r="H649" s="30"/>
      <c r="J649" s="29"/>
      <c r="L649" s="30"/>
      <c r="M649" s="30"/>
      <c r="O649" s="32"/>
      <c r="P649" s="32"/>
      <c r="S649" s="32"/>
    </row>
    <row r="650">
      <c r="D650" s="29"/>
      <c r="F650" s="31"/>
      <c r="G650" s="30"/>
      <c r="H650" s="30"/>
      <c r="J650" s="29"/>
      <c r="L650" s="30"/>
      <c r="M650" s="30"/>
      <c r="O650" s="32"/>
      <c r="P650" s="32"/>
      <c r="S650" s="32"/>
    </row>
    <row r="651">
      <c r="D651" s="29"/>
      <c r="F651" s="31"/>
      <c r="G651" s="30"/>
      <c r="H651" s="30"/>
      <c r="J651" s="29"/>
      <c r="L651" s="30"/>
      <c r="M651" s="30"/>
      <c r="O651" s="32"/>
      <c r="P651" s="32"/>
      <c r="S651" s="32"/>
    </row>
    <row r="652">
      <c r="D652" s="29"/>
      <c r="F652" s="31"/>
      <c r="G652" s="30"/>
      <c r="H652" s="30"/>
      <c r="J652" s="29"/>
      <c r="L652" s="30"/>
      <c r="M652" s="30"/>
      <c r="O652" s="32"/>
      <c r="P652" s="32"/>
      <c r="S652" s="32"/>
    </row>
    <row r="653">
      <c r="D653" s="29"/>
      <c r="F653" s="31"/>
      <c r="G653" s="30"/>
      <c r="H653" s="30"/>
      <c r="J653" s="29"/>
      <c r="L653" s="30"/>
      <c r="M653" s="30"/>
      <c r="O653" s="32"/>
      <c r="P653" s="32"/>
      <c r="S653" s="32"/>
    </row>
    <row r="654">
      <c r="D654" s="29"/>
      <c r="F654" s="31"/>
      <c r="G654" s="30"/>
      <c r="H654" s="30"/>
      <c r="J654" s="29"/>
      <c r="L654" s="30"/>
      <c r="M654" s="30"/>
      <c r="O654" s="32"/>
      <c r="P654" s="32"/>
      <c r="S654" s="32"/>
    </row>
    <row r="655">
      <c r="D655" s="29"/>
      <c r="F655" s="31"/>
      <c r="G655" s="30"/>
      <c r="H655" s="30"/>
      <c r="J655" s="29"/>
      <c r="L655" s="30"/>
      <c r="M655" s="30"/>
      <c r="O655" s="32"/>
      <c r="P655" s="32"/>
      <c r="S655" s="32"/>
    </row>
    <row r="656">
      <c r="D656" s="29"/>
      <c r="F656" s="31"/>
      <c r="G656" s="30"/>
      <c r="H656" s="30"/>
      <c r="J656" s="29"/>
      <c r="L656" s="30"/>
      <c r="M656" s="30"/>
      <c r="O656" s="32"/>
      <c r="P656" s="32"/>
      <c r="S656" s="32"/>
    </row>
    <row r="657">
      <c r="D657" s="29"/>
      <c r="F657" s="31"/>
      <c r="G657" s="30"/>
      <c r="H657" s="30"/>
      <c r="J657" s="29"/>
      <c r="L657" s="30"/>
      <c r="M657" s="30"/>
      <c r="O657" s="32"/>
      <c r="P657" s="32"/>
      <c r="S657" s="32"/>
    </row>
    <row r="658">
      <c r="D658" s="29"/>
      <c r="F658" s="31"/>
      <c r="G658" s="30"/>
      <c r="H658" s="30"/>
      <c r="J658" s="29"/>
      <c r="L658" s="30"/>
      <c r="M658" s="30"/>
      <c r="O658" s="32"/>
      <c r="P658" s="32"/>
      <c r="S658" s="32"/>
    </row>
    <row r="659">
      <c r="D659" s="29"/>
      <c r="F659" s="31"/>
      <c r="G659" s="30"/>
      <c r="H659" s="30"/>
      <c r="J659" s="29"/>
      <c r="L659" s="30"/>
      <c r="M659" s="30"/>
      <c r="O659" s="32"/>
      <c r="P659" s="32"/>
      <c r="S659" s="32"/>
    </row>
    <row r="660">
      <c r="D660" s="29"/>
      <c r="F660" s="31"/>
      <c r="G660" s="30"/>
      <c r="H660" s="30"/>
      <c r="J660" s="29"/>
      <c r="L660" s="30"/>
      <c r="M660" s="30"/>
      <c r="O660" s="32"/>
      <c r="P660" s="32"/>
      <c r="S660" s="32"/>
    </row>
    <row r="661">
      <c r="D661" s="29"/>
      <c r="F661" s="31"/>
      <c r="G661" s="30"/>
      <c r="H661" s="30"/>
      <c r="J661" s="29"/>
      <c r="L661" s="30"/>
      <c r="M661" s="30"/>
      <c r="O661" s="32"/>
      <c r="P661" s="32"/>
      <c r="S661" s="32"/>
    </row>
    <row r="662">
      <c r="D662" s="29"/>
      <c r="F662" s="31"/>
      <c r="G662" s="30"/>
      <c r="H662" s="30"/>
      <c r="J662" s="29"/>
      <c r="L662" s="30"/>
      <c r="M662" s="30"/>
      <c r="O662" s="32"/>
      <c r="P662" s="32"/>
      <c r="S662" s="32"/>
    </row>
    <row r="663">
      <c r="D663" s="29"/>
      <c r="F663" s="31"/>
      <c r="G663" s="30"/>
      <c r="H663" s="30"/>
      <c r="J663" s="29"/>
      <c r="L663" s="30"/>
      <c r="M663" s="30"/>
      <c r="O663" s="32"/>
      <c r="P663" s="32"/>
      <c r="S663" s="32"/>
    </row>
    <row r="664">
      <c r="D664" s="29"/>
      <c r="F664" s="31"/>
      <c r="G664" s="30"/>
      <c r="H664" s="30"/>
      <c r="J664" s="29"/>
      <c r="L664" s="30"/>
      <c r="M664" s="30"/>
      <c r="O664" s="32"/>
      <c r="P664" s="32"/>
      <c r="S664" s="32"/>
    </row>
    <row r="665">
      <c r="D665" s="29"/>
      <c r="F665" s="31"/>
      <c r="G665" s="30"/>
      <c r="H665" s="30"/>
      <c r="J665" s="29"/>
      <c r="L665" s="30"/>
      <c r="M665" s="30"/>
      <c r="O665" s="32"/>
      <c r="P665" s="32"/>
      <c r="S665" s="32"/>
    </row>
    <row r="666">
      <c r="D666" s="29"/>
      <c r="F666" s="31"/>
      <c r="G666" s="30"/>
      <c r="H666" s="30"/>
      <c r="J666" s="29"/>
      <c r="L666" s="30"/>
      <c r="M666" s="30"/>
      <c r="O666" s="32"/>
      <c r="P666" s="32"/>
      <c r="S666" s="32"/>
    </row>
    <row r="667">
      <c r="D667" s="29"/>
      <c r="F667" s="31"/>
      <c r="G667" s="30"/>
      <c r="H667" s="30"/>
      <c r="J667" s="29"/>
      <c r="L667" s="30"/>
      <c r="M667" s="30"/>
      <c r="O667" s="32"/>
      <c r="P667" s="32"/>
      <c r="S667" s="32"/>
    </row>
    <row r="668">
      <c r="D668" s="29"/>
      <c r="F668" s="31"/>
      <c r="G668" s="30"/>
      <c r="H668" s="30"/>
      <c r="J668" s="29"/>
      <c r="L668" s="30"/>
      <c r="M668" s="30"/>
      <c r="O668" s="32"/>
      <c r="P668" s="32"/>
      <c r="S668" s="32"/>
    </row>
    <row r="669">
      <c r="D669" s="29"/>
      <c r="F669" s="31"/>
      <c r="G669" s="30"/>
      <c r="H669" s="30"/>
      <c r="J669" s="29"/>
      <c r="L669" s="30"/>
      <c r="M669" s="30"/>
      <c r="O669" s="32"/>
      <c r="P669" s="32"/>
      <c r="S669" s="32"/>
    </row>
    <row r="670">
      <c r="D670" s="29"/>
      <c r="F670" s="31"/>
      <c r="G670" s="30"/>
      <c r="H670" s="30"/>
      <c r="J670" s="29"/>
      <c r="L670" s="30"/>
      <c r="M670" s="30"/>
      <c r="O670" s="32"/>
      <c r="P670" s="32"/>
      <c r="S670" s="32"/>
    </row>
    <row r="671">
      <c r="D671" s="29"/>
      <c r="F671" s="31"/>
      <c r="G671" s="30"/>
      <c r="H671" s="30"/>
      <c r="J671" s="29"/>
      <c r="L671" s="30"/>
      <c r="M671" s="30"/>
      <c r="O671" s="32"/>
      <c r="P671" s="32"/>
      <c r="S671" s="32"/>
    </row>
    <row r="672">
      <c r="D672" s="29"/>
      <c r="F672" s="31"/>
      <c r="G672" s="30"/>
      <c r="H672" s="30"/>
      <c r="J672" s="29"/>
      <c r="L672" s="30"/>
      <c r="M672" s="30"/>
      <c r="O672" s="32"/>
      <c r="P672" s="32"/>
      <c r="S672" s="32"/>
    </row>
    <row r="673">
      <c r="D673" s="29"/>
      <c r="F673" s="31"/>
      <c r="G673" s="30"/>
      <c r="H673" s="30"/>
      <c r="J673" s="29"/>
      <c r="L673" s="30"/>
      <c r="M673" s="30"/>
      <c r="O673" s="32"/>
      <c r="P673" s="32"/>
      <c r="S673" s="32"/>
    </row>
    <row r="674">
      <c r="D674" s="29"/>
      <c r="F674" s="31"/>
      <c r="G674" s="30"/>
      <c r="H674" s="30"/>
      <c r="J674" s="29"/>
      <c r="L674" s="30"/>
      <c r="M674" s="30"/>
      <c r="O674" s="32"/>
      <c r="P674" s="32"/>
      <c r="S674" s="32"/>
    </row>
    <row r="675">
      <c r="D675" s="29"/>
      <c r="F675" s="31"/>
      <c r="G675" s="30"/>
      <c r="H675" s="30"/>
      <c r="J675" s="29"/>
      <c r="L675" s="30"/>
      <c r="M675" s="30"/>
      <c r="O675" s="32"/>
      <c r="P675" s="32"/>
      <c r="S675" s="32"/>
    </row>
    <row r="676">
      <c r="D676" s="29"/>
      <c r="F676" s="31"/>
      <c r="G676" s="30"/>
      <c r="H676" s="30"/>
      <c r="J676" s="29"/>
      <c r="L676" s="30"/>
      <c r="M676" s="30"/>
      <c r="O676" s="32"/>
      <c r="P676" s="32"/>
      <c r="S676" s="32"/>
    </row>
    <row r="677">
      <c r="D677" s="29"/>
      <c r="F677" s="31"/>
      <c r="G677" s="30"/>
      <c r="H677" s="30"/>
      <c r="J677" s="29"/>
      <c r="L677" s="30"/>
      <c r="M677" s="30"/>
      <c r="O677" s="32"/>
      <c r="P677" s="32"/>
      <c r="S677" s="32"/>
    </row>
    <row r="678">
      <c r="D678" s="29"/>
      <c r="F678" s="31"/>
      <c r="G678" s="30"/>
      <c r="H678" s="30"/>
      <c r="J678" s="29"/>
      <c r="L678" s="30"/>
      <c r="M678" s="30"/>
      <c r="O678" s="32"/>
      <c r="P678" s="32"/>
      <c r="S678" s="32"/>
    </row>
    <row r="679">
      <c r="D679" s="29"/>
      <c r="F679" s="31"/>
      <c r="G679" s="30"/>
      <c r="H679" s="30"/>
      <c r="J679" s="29"/>
      <c r="L679" s="30"/>
      <c r="M679" s="30"/>
      <c r="O679" s="32"/>
      <c r="P679" s="32"/>
      <c r="S679" s="32"/>
    </row>
    <row r="680">
      <c r="D680" s="29"/>
      <c r="F680" s="31"/>
      <c r="G680" s="30"/>
      <c r="H680" s="30"/>
      <c r="J680" s="29"/>
      <c r="L680" s="30"/>
      <c r="M680" s="30"/>
      <c r="O680" s="32"/>
      <c r="P680" s="32"/>
      <c r="S680" s="32"/>
    </row>
    <row r="681">
      <c r="D681" s="29"/>
      <c r="F681" s="31"/>
      <c r="G681" s="30"/>
      <c r="H681" s="30"/>
      <c r="J681" s="29"/>
      <c r="L681" s="30"/>
      <c r="M681" s="30"/>
      <c r="O681" s="32"/>
      <c r="P681" s="32"/>
      <c r="S681" s="32"/>
    </row>
    <row r="682">
      <c r="D682" s="29"/>
      <c r="F682" s="31"/>
      <c r="G682" s="30"/>
      <c r="H682" s="30"/>
      <c r="J682" s="29"/>
      <c r="L682" s="30"/>
      <c r="M682" s="30"/>
      <c r="O682" s="32"/>
      <c r="P682" s="32"/>
      <c r="S682" s="32"/>
    </row>
    <row r="683">
      <c r="D683" s="29"/>
      <c r="F683" s="31"/>
      <c r="G683" s="30"/>
      <c r="H683" s="30"/>
      <c r="J683" s="29"/>
      <c r="L683" s="30"/>
      <c r="M683" s="30"/>
      <c r="O683" s="32"/>
      <c r="P683" s="32"/>
      <c r="S683" s="32"/>
    </row>
    <row r="684">
      <c r="D684" s="29"/>
      <c r="F684" s="31"/>
      <c r="G684" s="30"/>
      <c r="H684" s="30"/>
      <c r="J684" s="29"/>
      <c r="L684" s="30"/>
      <c r="M684" s="30"/>
      <c r="O684" s="32"/>
      <c r="P684" s="32"/>
      <c r="S684" s="32"/>
    </row>
    <row r="685">
      <c r="D685" s="29"/>
      <c r="F685" s="31"/>
      <c r="G685" s="30"/>
      <c r="H685" s="30"/>
      <c r="J685" s="29"/>
      <c r="L685" s="30"/>
      <c r="M685" s="30"/>
      <c r="O685" s="32"/>
      <c r="P685" s="32"/>
      <c r="S685" s="32"/>
    </row>
    <row r="686">
      <c r="D686" s="29"/>
      <c r="F686" s="31"/>
      <c r="G686" s="30"/>
      <c r="H686" s="30"/>
      <c r="J686" s="29"/>
      <c r="L686" s="30"/>
      <c r="M686" s="30"/>
      <c r="O686" s="32"/>
      <c r="P686" s="32"/>
      <c r="S686" s="32"/>
    </row>
    <row r="687">
      <c r="D687" s="29"/>
      <c r="F687" s="31"/>
      <c r="G687" s="30"/>
      <c r="H687" s="30"/>
      <c r="J687" s="29"/>
      <c r="L687" s="30"/>
      <c r="M687" s="30"/>
      <c r="O687" s="32"/>
      <c r="P687" s="32"/>
      <c r="S687" s="32"/>
    </row>
    <row r="688">
      <c r="D688" s="29"/>
      <c r="F688" s="31"/>
      <c r="G688" s="30"/>
      <c r="H688" s="30"/>
      <c r="J688" s="29"/>
      <c r="L688" s="30"/>
      <c r="M688" s="30"/>
      <c r="O688" s="32"/>
      <c r="P688" s="32"/>
      <c r="S688" s="32"/>
    </row>
    <row r="689">
      <c r="D689" s="29"/>
      <c r="F689" s="31"/>
      <c r="G689" s="30"/>
      <c r="H689" s="30"/>
      <c r="J689" s="29"/>
      <c r="L689" s="30"/>
      <c r="M689" s="30"/>
      <c r="O689" s="32"/>
      <c r="P689" s="32"/>
      <c r="S689" s="32"/>
    </row>
    <row r="690">
      <c r="D690" s="29"/>
      <c r="F690" s="31"/>
      <c r="G690" s="30"/>
      <c r="H690" s="30"/>
      <c r="J690" s="29"/>
      <c r="L690" s="30"/>
      <c r="M690" s="30"/>
      <c r="O690" s="32"/>
      <c r="P690" s="32"/>
      <c r="S690" s="32"/>
    </row>
    <row r="691">
      <c r="D691" s="29"/>
      <c r="F691" s="31"/>
      <c r="G691" s="30"/>
      <c r="H691" s="30"/>
      <c r="J691" s="29"/>
      <c r="L691" s="30"/>
      <c r="M691" s="30"/>
      <c r="O691" s="32"/>
      <c r="P691" s="32"/>
      <c r="S691" s="32"/>
    </row>
    <row r="692">
      <c r="D692" s="29"/>
      <c r="F692" s="31"/>
      <c r="G692" s="30"/>
      <c r="H692" s="30"/>
      <c r="J692" s="29"/>
      <c r="L692" s="30"/>
      <c r="M692" s="30"/>
      <c r="O692" s="32"/>
      <c r="P692" s="32"/>
      <c r="S692" s="32"/>
    </row>
    <row r="693">
      <c r="D693" s="29"/>
      <c r="F693" s="31"/>
      <c r="G693" s="30"/>
      <c r="H693" s="30"/>
      <c r="J693" s="29"/>
      <c r="L693" s="30"/>
      <c r="M693" s="30"/>
      <c r="O693" s="32"/>
      <c r="P693" s="32"/>
      <c r="S693" s="32"/>
    </row>
    <row r="694">
      <c r="D694" s="29"/>
      <c r="F694" s="31"/>
      <c r="G694" s="30"/>
      <c r="H694" s="30"/>
      <c r="J694" s="29"/>
      <c r="L694" s="30"/>
      <c r="M694" s="30"/>
      <c r="O694" s="32"/>
      <c r="P694" s="32"/>
      <c r="S694" s="32"/>
    </row>
    <row r="695">
      <c r="D695" s="29"/>
      <c r="F695" s="31"/>
      <c r="G695" s="30"/>
      <c r="H695" s="30"/>
      <c r="J695" s="29"/>
      <c r="L695" s="30"/>
      <c r="M695" s="30"/>
      <c r="O695" s="32"/>
      <c r="P695" s="32"/>
      <c r="S695" s="32"/>
    </row>
    <row r="696">
      <c r="D696" s="29"/>
      <c r="F696" s="31"/>
      <c r="G696" s="30"/>
      <c r="H696" s="30"/>
      <c r="J696" s="29"/>
      <c r="L696" s="30"/>
      <c r="M696" s="30"/>
      <c r="O696" s="32"/>
      <c r="P696" s="32"/>
      <c r="S696" s="32"/>
    </row>
    <row r="697">
      <c r="D697" s="29"/>
      <c r="F697" s="31"/>
      <c r="G697" s="30"/>
      <c r="H697" s="30"/>
      <c r="J697" s="29"/>
      <c r="L697" s="30"/>
      <c r="M697" s="30"/>
      <c r="O697" s="32"/>
      <c r="P697" s="32"/>
      <c r="S697" s="32"/>
    </row>
    <row r="698">
      <c r="D698" s="29"/>
      <c r="F698" s="31"/>
      <c r="G698" s="30"/>
      <c r="H698" s="30"/>
      <c r="J698" s="29"/>
      <c r="L698" s="30"/>
      <c r="M698" s="30"/>
      <c r="O698" s="32"/>
      <c r="P698" s="32"/>
      <c r="S698" s="32"/>
    </row>
    <row r="699">
      <c r="D699" s="29"/>
      <c r="F699" s="31"/>
      <c r="G699" s="30"/>
      <c r="H699" s="30"/>
      <c r="J699" s="29"/>
      <c r="L699" s="30"/>
      <c r="M699" s="30"/>
      <c r="O699" s="32"/>
      <c r="P699" s="32"/>
      <c r="S699" s="32"/>
    </row>
    <row r="700">
      <c r="D700" s="29"/>
      <c r="F700" s="31"/>
      <c r="G700" s="30"/>
      <c r="H700" s="30"/>
      <c r="J700" s="29"/>
      <c r="L700" s="30"/>
      <c r="M700" s="30"/>
      <c r="O700" s="32"/>
      <c r="P700" s="32"/>
      <c r="S700" s="32"/>
    </row>
    <row r="701">
      <c r="D701" s="29"/>
      <c r="F701" s="31"/>
      <c r="G701" s="30"/>
      <c r="H701" s="30"/>
      <c r="J701" s="29"/>
      <c r="L701" s="30"/>
      <c r="M701" s="30"/>
      <c r="O701" s="32"/>
      <c r="P701" s="32"/>
      <c r="S701" s="32"/>
    </row>
    <row r="702">
      <c r="D702" s="29"/>
      <c r="F702" s="31"/>
      <c r="G702" s="30"/>
      <c r="H702" s="30"/>
      <c r="J702" s="29"/>
      <c r="L702" s="30"/>
      <c r="M702" s="30"/>
      <c r="O702" s="32"/>
      <c r="P702" s="32"/>
      <c r="S702" s="32"/>
    </row>
    <row r="703">
      <c r="D703" s="29"/>
      <c r="F703" s="31"/>
      <c r="G703" s="30"/>
      <c r="H703" s="30"/>
      <c r="J703" s="29"/>
      <c r="L703" s="30"/>
      <c r="M703" s="30"/>
      <c r="O703" s="32"/>
      <c r="P703" s="32"/>
      <c r="S703" s="32"/>
    </row>
    <row r="704">
      <c r="D704" s="29"/>
      <c r="F704" s="31"/>
      <c r="G704" s="30"/>
      <c r="H704" s="30"/>
      <c r="J704" s="29"/>
      <c r="L704" s="30"/>
      <c r="M704" s="30"/>
      <c r="O704" s="32"/>
      <c r="P704" s="32"/>
      <c r="S704" s="32"/>
    </row>
    <row r="705">
      <c r="D705" s="29"/>
      <c r="F705" s="31"/>
      <c r="G705" s="30"/>
      <c r="H705" s="30"/>
      <c r="J705" s="29"/>
      <c r="L705" s="30"/>
      <c r="M705" s="30"/>
      <c r="O705" s="32"/>
      <c r="P705" s="32"/>
      <c r="S705" s="32"/>
    </row>
    <row r="706">
      <c r="D706" s="29"/>
      <c r="F706" s="31"/>
      <c r="G706" s="30"/>
      <c r="H706" s="30"/>
      <c r="J706" s="29"/>
      <c r="L706" s="30"/>
      <c r="M706" s="30"/>
      <c r="O706" s="32"/>
      <c r="P706" s="32"/>
      <c r="S706" s="32"/>
    </row>
    <row r="707">
      <c r="D707" s="29"/>
      <c r="F707" s="31"/>
      <c r="G707" s="30"/>
      <c r="H707" s="30"/>
      <c r="J707" s="29"/>
      <c r="L707" s="30"/>
      <c r="M707" s="30"/>
      <c r="O707" s="32"/>
      <c r="P707" s="32"/>
      <c r="S707" s="32"/>
    </row>
    <row r="708">
      <c r="D708" s="29"/>
      <c r="F708" s="31"/>
      <c r="G708" s="30"/>
      <c r="H708" s="30"/>
      <c r="J708" s="29"/>
      <c r="L708" s="30"/>
      <c r="M708" s="30"/>
      <c r="O708" s="32"/>
      <c r="P708" s="32"/>
      <c r="S708" s="32"/>
    </row>
    <row r="709">
      <c r="D709" s="29"/>
      <c r="F709" s="31"/>
      <c r="G709" s="30"/>
      <c r="H709" s="30"/>
      <c r="J709" s="29"/>
      <c r="L709" s="30"/>
      <c r="M709" s="30"/>
      <c r="O709" s="32"/>
      <c r="P709" s="32"/>
      <c r="S709" s="32"/>
    </row>
    <row r="710">
      <c r="D710" s="29"/>
      <c r="F710" s="31"/>
      <c r="G710" s="30"/>
      <c r="H710" s="30"/>
      <c r="J710" s="29"/>
      <c r="L710" s="30"/>
      <c r="M710" s="30"/>
      <c r="O710" s="32"/>
      <c r="P710" s="32"/>
      <c r="S710" s="32"/>
    </row>
    <row r="711">
      <c r="D711" s="29"/>
      <c r="F711" s="31"/>
      <c r="G711" s="30"/>
      <c r="H711" s="30"/>
      <c r="J711" s="29"/>
      <c r="L711" s="30"/>
      <c r="M711" s="30"/>
      <c r="O711" s="32"/>
      <c r="P711" s="32"/>
      <c r="S711" s="32"/>
    </row>
    <row r="712">
      <c r="D712" s="29"/>
      <c r="F712" s="31"/>
      <c r="G712" s="30"/>
      <c r="H712" s="30"/>
      <c r="J712" s="29"/>
      <c r="L712" s="30"/>
      <c r="M712" s="30"/>
      <c r="O712" s="32"/>
      <c r="P712" s="32"/>
      <c r="S712" s="32"/>
    </row>
    <row r="713">
      <c r="D713" s="29"/>
      <c r="F713" s="31"/>
      <c r="G713" s="30"/>
      <c r="H713" s="30"/>
      <c r="J713" s="29"/>
      <c r="L713" s="30"/>
      <c r="M713" s="30"/>
      <c r="O713" s="32"/>
      <c r="P713" s="32"/>
      <c r="S713" s="32"/>
    </row>
    <row r="714">
      <c r="D714" s="29"/>
      <c r="F714" s="31"/>
      <c r="G714" s="30"/>
      <c r="H714" s="30"/>
      <c r="J714" s="29"/>
      <c r="L714" s="30"/>
      <c r="M714" s="30"/>
      <c r="O714" s="32"/>
      <c r="P714" s="32"/>
      <c r="S714" s="32"/>
    </row>
    <row r="715">
      <c r="D715" s="29"/>
      <c r="F715" s="31"/>
      <c r="G715" s="30"/>
      <c r="H715" s="30"/>
      <c r="J715" s="29"/>
      <c r="L715" s="30"/>
      <c r="M715" s="30"/>
      <c r="O715" s="32"/>
      <c r="P715" s="32"/>
      <c r="S715" s="32"/>
    </row>
    <row r="716">
      <c r="D716" s="29"/>
      <c r="F716" s="31"/>
      <c r="G716" s="30"/>
      <c r="H716" s="30"/>
      <c r="J716" s="29"/>
      <c r="L716" s="30"/>
      <c r="M716" s="30"/>
      <c r="O716" s="32"/>
      <c r="P716" s="32"/>
      <c r="S716" s="32"/>
    </row>
    <row r="717">
      <c r="D717" s="29"/>
      <c r="F717" s="31"/>
      <c r="G717" s="30"/>
      <c r="H717" s="30"/>
      <c r="J717" s="29"/>
      <c r="L717" s="30"/>
      <c r="M717" s="30"/>
      <c r="O717" s="32"/>
      <c r="P717" s="32"/>
      <c r="S717" s="32"/>
    </row>
    <row r="718">
      <c r="D718" s="29"/>
      <c r="F718" s="31"/>
      <c r="G718" s="30"/>
      <c r="H718" s="30"/>
      <c r="J718" s="29"/>
      <c r="L718" s="30"/>
      <c r="M718" s="30"/>
      <c r="O718" s="32"/>
      <c r="P718" s="32"/>
      <c r="S718" s="32"/>
    </row>
    <row r="719">
      <c r="D719" s="29"/>
      <c r="F719" s="31"/>
      <c r="G719" s="30"/>
      <c r="H719" s="30"/>
      <c r="J719" s="29"/>
      <c r="L719" s="30"/>
      <c r="M719" s="30"/>
      <c r="O719" s="32"/>
      <c r="P719" s="32"/>
      <c r="S719" s="32"/>
    </row>
    <row r="720">
      <c r="D720" s="29"/>
      <c r="F720" s="31"/>
      <c r="G720" s="30"/>
      <c r="H720" s="30"/>
      <c r="J720" s="29"/>
      <c r="L720" s="30"/>
      <c r="M720" s="30"/>
      <c r="O720" s="32"/>
      <c r="P720" s="32"/>
      <c r="S720" s="32"/>
    </row>
    <row r="721">
      <c r="D721" s="29"/>
      <c r="F721" s="31"/>
      <c r="G721" s="30"/>
      <c r="H721" s="30"/>
      <c r="J721" s="29"/>
      <c r="L721" s="30"/>
      <c r="M721" s="30"/>
      <c r="O721" s="32"/>
      <c r="P721" s="32"/>
      <c r="S721" s="32"/>
    </row>
    <row r="722">
      <c r="D722" s="29"/>
      <c r="F722" s="31"/>
      <c r="G722" s="30"/>
      <c r="H722" s="30"/>
      <c r="J722" s="29"/>
      <c r="L722" s="30"/>
      <c r="M722" s="30"/>
      <c r="O722" s="32"/>
      <c r="P722" s="32"/>
      <c r="S722" s="32"/>
    </row>
    <row r="723">
      <c r="D723" s="29"/>
      <c r="F723" s="31"/>
      <c r="G723" s="30"/>
      <c r="H723" s="30"/>
      <c r="J723" s="29"/>
      <c r="L723" s="30"/>
      <c r="M723" s="30"/>
      <c r="O723" s="32"/>
      <c r="P723" s="32"/>
      <c r="S723" s="32"/>
    </row>
    <row r="724">
      <c r="D724" s="29"/>
      <c r="F724" s="31"/>
      <c r="G724" s="30"/>
      <c r="H724" s="30"/>
      <c r="J724" s="29"/>
      <c r="L724" s="30"/>
      <c r="M724" s="30"/>
      <c r="O724" s="32"/>
      <c r="P724" s="32"/>
      <c r="S724" s="32"/>
    </row>
    <row r="725">
      <c r="D725" s="29"/>
      <c r="F725" s="31"/>
      <c r="G725" s="30"/>
      <c r="H725" s="30"/>
      <c r="J725" s="29"/>
      <c r="L725" s="30"/>
      <c r="M725" s="30"/>
      <c r="O725" s="32"/>
      <c r="P725" s="32"/>
      <c r="S725" s="32"/>
    </row>
    <row r="726">
      <c r="D726" s="29"/>
      <c r="F726" s="31"/>
      <c r="G726" s="30"/>
      <c r="H726" s="30"/>
      <c r="J726" s="29"/>
      <c r="L726" s="30"/>
      <c r="M726" s="30"/>
      <c r="O726" s="32"/>
      <c r="P726" s="32"/>
      <c r="S726" s="32"/>
    </row>
    <row r="727">
      <c r="D727" s="29"/>
      <c r="F727" s="31"/>
      <c r="G727" s="30"/>
      <c r="H727" s="30"/>
      <c r="J727" s="29"/>
      <c r="L727" s="30"/>
      <c r="M727" s="30"/>
      <c r="O727" s="32"/>
      <c r="P727" s="32"/>
      <c r="S727" s="32"/>
    </row>
    <row r="728">
      <c r="D728" s="29"/>
      <c r="F728" s="31"/>
      <c r="G728" s="30"/>
      <c r="H728" s="30"/>
      <c r="J728" s="29"/>
      <c r="L728" s="30"/>
      <c r="M728" s="30"/>
      <c r="O728" s="32"/>
      <c r="P728" s="32"/>
      <c r="S728" s="32"/>
    </row>
    <row r="729">
      <c r="D729" s="29"/>
      <c r="F729" s="31"/>
      <c r="G729" s="30"/>
      <c r="H729" s="30"/>
      <c r="J729" s="29"/>
      <c r="L729" s="30"/>
      <c r="M729" s="30"/>
      <c r="O729" s="32"/>
      <c r="P729" s="32"/>
      <c r="S729" s="32"/>
    </row>
    <row r="730">
      <c r="D730" s="29"/>
      <c r="F730" s="31"/>
      <c r="G730" s="30"/>
      <c r="H730" s="30"/>
      <c r="J730" s="29"/>
      <c r="L730" s="30"/>
      <c r="M730" s="30"/>
      <c r="O730" s="32"/>
      <c r="P730" s="32"/>
      <c r="S730" s="32"/>
    </row>
    <row r="731">
      <c r="D731" s="29"/>
      <c r="F731" s="31"/>
      <c r="G731" s="30"/>
      <c r="H731" s="30"/>
      <c r="J731" s="29"/>
      <c r="L731" s="30"/>
      <c r="M731" s="30"/>
      <c r="O731" s="32"/>
      <c r="P731" s="32"/>
      <c r="S731" s="32"/>
    </row>
    <row r="732">
      <c r="D732" s="29"/>
      <c r="F732" s="31"/>
      <c r="G732" s="30"/>
      <c r="H732" s="30"/>
      <c r="J732" s="29"/>
      <c r="L732" s="30"/>
      <c r="M732" s="30"/>
      <c r="O732" s="32"/>
      <c r="P732" s="32"/>
      <c r="S732" s="32"/>
    </row>
    <row r="733">
      <c r="D733" s="29"/>
      <c r="F733" s="31"/>
      <c r="G733" s="30"/>
      <c r="H733" s="30"/>
      <c r="J733" s="29"/>
      <c r="L733" s="30"/>
      <c r="M733" s="30"/>
      <c r="O733" s="32"/>
      <c r="P733" s="32"/>
      <c r="S733" s="32"/>
    </row>
    <row r="734">
      <c r="D734" s="29"/>
      <c r="F734" s="31"/>
      <c r="G734" s="30"/>
      <c r="H734" s="30"/>
      <c r="J734" s="29"/>
      <c r="L734" s="30"/>
      <c r="M734" s="30"/>
      <c r="O734" s="32"/>
      <c r="P734" s="32"/>
      <c r="S734" s="32"/>
    </row>
    <row r="735">
      <c r="D735" s="29"/>
      <c r="F735" s="31"/>
      <c r="G735" s="30"/>
      <c r="H735" s="30"/>
      <c r="J735" s="29"/>
      <c r="L735" s="30"/>
      <c r="M735" s="30"/>
      <c r="O735" s="32"/>
      <c r="P735" s="32"/>
      <c r="S735" s="32"/>
    </row>
    <row r="736">
      <c r="D736" s="29"/>
      <c r="F736" s="31"/>
      <c r="G736" s="30"/>
      <c r="H736" s="30"/>
      <c r="J736" s="29"/>
      <c r="L736" s="30"/>
      <c r="M736" s="30"/>
      <c r="O736" s="32"/>
      <c r="P736" s="32"/>
      <c r="S736" s="32"/>
    </row>
    <row r="737">
      <c r="D737" s="29"/>
      <c r="F737" s="31"/>
      <c r="G737" s="30"/>
      <c r="H737" s="30"/>
      <c r="J737" s="29"/>
      <c r="L737" s="30"/>
      <c r="M737" s="30"/>
      <c r="O737" s="32"/>
      <c r="P737" s="32"/>
      <c r="S737" s="32"/>
    </row>
    <row r="738">
      <c r="D738" s="29"/>
      <c r="F738" s="31"/>
      <c r="G738" s="30"/>
      <c r="H738" s="30"/>
      <c r="J738" s="29"/>
      <c r="L738" s="30"/>
      <c r="M738" s="30"/>
      <c r="O738" s="32"/>
      <c r="P738" s="32"/>
      <c r="S738" s="32"/>
    </row>
    <row r="739">
      <c r="D739" s="29"/>
      <c r="F739" s="31"/>
      <c r="G739" s="30"/>
      <c r="H739" s="30"/>
      <c r="J739" s="29"/>
      <c r="L739" s="30"/>
      <c r="M739" s="30"/>
      <c r="O739" s="32"/>
      <c r="P739" s="32"/>
      <c r="S739" s="32"/>
    </row>
    <row r="740">
      <c r="D740" s="29"/>
      <c r="F740" s="31"/>
      <c r="G740" s="30"/>
      <c r="H740" s="30"/>
      <c r="J740" s="29"/>
      <c r="L740" s="30"/>
      <c r="M740" s="30"/>
      <c r="O740" s="32"/>
      <c r="P740" s="32"/>
      <c r="S740" s="32"/>
    </row>
    <row r="741">
      <c r="D741" s="29"/>
      <c r="F741" s="31"/>
      <c r="G741" s="30"/>
      <c r="H741" s="30"/>
      <c r="J741" s="29"/>
      <c r="L741" s="30"/>
      <c r="M741" s="30"/>
      <c r="O741" s="32"/>
      <c r="P741" s="32"/>
      <c r="S741" s="32"/>
    </row>
    <row r="742">
      <c r="D742" s="29"/>
      <c r="F742" s="31"/>
      <c r="G742" s="30"/>
      <c r="H742" s="30"/>
      <c r="J742" s="29"/>
      <c r="L742" s="30"/>
      <c r="M742" s="30"/>
      <c r="O742" s="32"/>
      <c r="P742" s="32"/>
      <c r="S742" s="32"/>
    </row>
    <row r="743">
      <c r="D743" s="29"/>
      <c r="F743" s="31"/>
      <c r="G743" s="30"/>
      <c r="H743" s="30"/>
      <c r="J743" s="29"/>
      <c r="L743" s="30"/>
      <c r="M743" s="30"/>
      <c r="O743" s="32"/>
      <c r="P743" s="32"/>
      <c r="S743" s="32"/>
    </row>
    <row r="744">
      <c r="D744" s="29"/>
      <c r="F744" s="31"/>
      <c r="G744" s="30"/>
      <c r="H744" s="30"/>
      <c r="J744" s="29"/>
      <c r="L744" s="30"/>
      <c r="M744" s="30"/>
      <c r="O744" s="32"/>
      <c r="P744" s="32"/>
      <c r="S744" s="32"/>
    </row>
    <row r="745">
      <c r="D745" s="29"/>
      <c r="F745" s="31"/>
      <c r="G745" s="30"/>
      <c r="H745" s="30"/>
      <c r="J745" s="29"/>
      <c r="L745" s="30"/>
      <c r="M745" s="30"/>
      <c r="O745" s="32"/>
      <c r="P745" s="32"/>
      <c r="S745" s="32"/>
    </row>
    <row r="746">
      <c r="D746" s="29"/>
      <c r="F746" s="31"/>
      <c r="G746" s="30"/>
      <c r="H746" s="30"/>
      <c r="J746" s="29"/>
      <c r="L746" s="30"/>
      <c r="M746" s="30"/>
      <c r="O746" s="32"/>
      <c r="P746" s="32"/>
      <c r="S746" s="32"/>
    </row>
    <row r="747">
      <c r="D747" s="29"/>
      <c r="F747" s="31"/>
      <c r="G747" s="30"/>
      <c r="H747" s="30"/>
      <c r="J747" s="29"/>
      <c r="L747" s="30"/>
      <c r="M747" s="30"/>
      <c r="O747" s="32"/>
      <c r="P747" s="32"/>
      <c r="S747" s="32"/>
    </row>
    <row r="748">
      <c r="D748" s="29"/>
      <c r="F748" s="31"/>
      <c r="G748" s="30"/>
      <c r="H748" s="30"/>
      <c r="J748" s="29"/>
      <c r="L748" s="30"/>
      <c r="M748" s="30"/>
      <c r="O748" s="32"/>
      <c r="P748" s="32"/>
      <c r="S748" s="32"/>
    </row>
    <row r="749">
      <c r="D749" s="29"/>
      <c r="F749" s="31"/>
      <c r="G749" s="30"/>
      <c r="H749" s="30"/>
      <c r="J749" s="29"/>
      <c r="L749" s="30"/>
      <c r="M749" s="30"/>
      <c r="O749" s="32"/>
      <c r="P749" s="32"/>
      <c r="S749" s="32"/>
    </row>
    <row r="750">
      <c r="D750" s="29"/>
      <c r="F750" s="31"/>
      <c r="G750" s="30"/>
      <c r="H750" s="30"/>
      <c r="J750" s="29"/>
      <c r="L750" s="30"/>
      <c r="M750" s="30"/>
      <c r="O750" s="32"/>
      <c r="P750" s="32"/>
      <c r="S750" s="32"/>
    </row>
    <row r="751">
      <c r="D751" s="29"/>
      <c r="F751" s="31"/>
      <c r="G751" s="30"/>
      <c r="H751" s="30"/>
      <c r="J751" s="29"/>
      <c r="L751" s="30"/>
      <c r="M751" s="30"/>
      <c r="O751" s="32"/>
      <c r="P751" s="32"/>
      <c r="S751" s="32"/>
    </row>
    <row r="752">
      <c r="D752" s="29"/>
      <c r="F752" s="31"/>
      <c r="G752" s="30"/>
      <c r="H752" s="30"/>
      <c r="J752" s="29"/>
      <c r="L752" s="30"/>
      <c r="M752" s="30"/>
      <c r="O752" s="32"/>
      <c r="P752" s="32"/>
      <c r="S752" s="32"/>
    </row>
    <row r="753">
      <c r="D753" s="29"/>
      <c r="F753" s="31"/>
      <c r="G753" s="30"/>
      <c r="H753" s="30"/>
      <c r="J753" s="29"/>
      <c r="L753" s="30"/>
      <c r="M753" s="30"/>
      <c r="O753" s="32"/>
      <c r="P753" s="32"/>
      <c r="S753" s="32"/>
    </row>
    <row r="754">
      <c r="D754" s="29"/>
      <c r="F754" s="31"/>
      <c r="G754" s="30"/>
      <c r="H754" s="30"/>
      <c r="J754" s="29"/>
      <c r="L754" s="30"/>
      <c r="M754" s="30"/>
      <c r="O754" s="32"/>
      <c r="P754" s="32"/>
      <c r="S754" s="32"/>
    </row>
    <row r="755">
      <c r="D755" s="29"/>
      <c r="F755" s="31"/>
      <c r="G755" s="30"/>
      <c r="H755" s="30"/>
      <c r="J755" s="29"/>
      <c r="L755" s="30"/>
      <c r="M755" s="30"/>
      <c r="O755" s="32"/>
      <c r="P755" s="32"/>
      <c r="S755" s="32"/>
    </row>
    <row r="756">
      <c r="D756" s="29"/>
      <c r="F756" s="31"/>
      <c r="G756" s="30"/>
      <c r="H756" s="30"/>
      <c r="J756" s="29"/>
      <c r="L756" s="30"/>
      <c r="M756" s="30"/>
      <c r="O756" s="32"/>
      <c r="P756" s="32"/>
      <c r="S756" s="32"/>
    </row>
    <row r="757">
      <c r="D757" s="29"/>
      <c r="F757" s="31"/>
      <c r="G757" s="30"/>
      <c r="H757" s="30"/>
      <c r="J757" s="29"/>
      <c r="L757" s="30"/>
      <c r="M757" s="30"/>
      <c r="O757" s="32"/>
      <c r="P757" s="32"/>
      <c r="S757" s="32"/>
    </row>
    <row r="758">
      <c r="D758" s="29"/>
      <c r="F758" s="31"/>
      <c r="G758" s="30"/>
      <c r="H758" s="30"/>
      <c r="J758" s="29"/>
      <c r="L758" s="30"/>
      <c r="M758" s="30"/>
      <c r="O758" s="32"/>
      <c r="P758" s="32"/>
      <c r="S758" s="32"/>
    </row>
    <row r="759">
      <c r="D759" s="29"/>
      <c r="F759" s="31"/>
      <c r="G759" s="30"/>
      <c r="H759" s="30"/>
      <c r="J759" s="29"/>
      <c r="L759" s="30"/>
      <c r="M759" s="30"/>
      <c r="O759" s="32"/>
      <c r="P759" s="32"/>
      <c r="S759" s="32"/>
    </row>
    <row r="760">
      <c r="D760" s="29"/>
      <c r="F760" s="31"/>
      <c r="G760" s="30"/>
      <c r="H760" s="30"/>
      <c r="J760" s="29"/>
      <c r="L760" s="30"/>
      <c r="M760" s="30"/>
      <c r="O760" s="32"/>
      <c r="P760" s="32"/>
      <c r="S760" s="32"/>
    </row>
    <row r="761">
      <c r="D761" s="29"/>
      <c r="F761" s="31"/>
      <c r="G761" s="30"/>
      <c r="H761" s="30"/>
      <c r="J761" s="29"/>
      <c r="L761" s="30"/>
      <c r="M761" s="30"/>
      <c r="O761" s="32"/>
      <c r="P761" s="32"/>
      <c r="S761" s="32"/>
    </row>
    <row r="762">
      <c r="D762" s="29"/>
      <c r="F762" s="31"/>
      <c r="G762" s="30"/>
      <c r="H762" s="30"/>
      <c r="J762" s="29"/>
      <c r="L762" s="30"/>
      <c r="M762" s="30"/>
      <c r="O762" s="32"/>
      <c r="P762" s="32"/>
      <c r="S762" s="32"/>
    </row>
    <row r="763">
      <c r="D763" s="29"/>
      <c r="F763" s="31"/>
      <c r="G763" s="30"/>
      <c r="H763" s="30"/>
      <c r="J763" s="29"/>
      <c r="L763" s="30"/>
      <c r="M763" s="30"/>
      <c r="O763" s="32"/>
      <c r="P763" s="32"/>
      <c r="S763" s="32"/>
    </row>
    <row r="764">
      <c r="D764" s="29"/>
      <c r="F764" s="31"/>
      <c r="G764" s="30"/>
      <c r="H764" s="30"/>
      <c r="J764" s="29"/>
      <c r="L764" s="30"/>
      <c r="M764" s="30"/>
      <c r="O764" s="32"/>
      <c r="P764" s="32"/>
      <c r="S764" s="32"/>
    </row>
    <row r="765">
      <c r="D765" s="29"/>
      <c r="F765" s="31"/>
      <c r="G765" s="30"/>
      <c r="H765" s="30"/>
      <c r="J765" s="29"/>
      <c r="L765" s="30"/>
      <c r="M765" s="30"/>
      <c r="O765" s="32"/>
      <c r="P765" s="32"/>
      <c r="S765" s="32"/>
    </row>
    <row r="766">
      <c r="D766" s="29"/>
      <c r="F766" s="31"/>
      <c r="G766" s="30"/>
      <c r="H766" s="30"/>
      <c r="J766" s="29"/>
      <c r="L766" s="30"/>
      <c r="M766" s="30"/>
      <c r="O766" s="32"/>
      <c r="P766" s="32"/>
      <c r="S766" s="32"/>
    </row>
    <row r="767">
      <c r="D767" s="29"/>
      <c r="F767" s="31"/>
      <c r="G767" s="30"/>
      <c r="H767" s="30"/>
      <c r="J767" s="29"/>
      <c r="L767" s="30"/>
      <c r="M767" s="30"/>
      <c r="O767" s="32"/>
      <c r="P767" s="32"/>
      <c r="S767" s="32"/>
    </row>
    <row r="768">
      <c r="D768" s="29"/>
      <c r="F768" s="31"/>
      <c r="G768" s="30"/>
      <c r="H768" s="30"/>
      <c r="J768" s="29"/>
      <c r="L768" s="30"/>
      <c r="M768" s="30"/>
      <c r="O768" s="32"/>
      <c r="P768" s="32"/>
      <c r="S768" s="32"/>
    </row>
    <row r="769">
      <c r="D769" s="29"/>
      <c r="F769" s="31"/>
      <c r="G769" s="30"/>
      <c r="H769" s="30"/>
      <c r="J769" s="29"/>
      <c r="L769" s="30"/>
      <c r="M769" s="30"/>
      <c r="O769" s="32"/>
      <c r="P769" s="32"/>
      <c r="S769" s="32"/>
    </row>
    <row r="770">
      <c r="D770" s="29"/>
      <c r="F770" s="31"/>
      <c r="G770" s="30"/>
      <c r="H770" s="30"/>
      <c r="J770" s="29"/>
      <c r="L770" s="30"/>
      <c r="M770" s="30"/>
      <c r="O770" s="32"/>
      <c r="P770" s="32"/>
      <c r="S770" s="32"/>
    </row>
    <row r="771">
      <c r="D771" s="29"/>
      <c r="F771" s="31"/>
      <c r="G771" s="30"/>
      <c r="H771" s="30"/>
      <c r="J771" s="29"/>
      <c r="L771" s="30"/>
      <c r="M771" s="30"/>
      <c r="O771" s="32"/>
      <c r="P771" s="32"/>
      <c r="S771" s="32"/>
    </row>
    <row r="772">
      <c r="D772" s="29"/>
      <c r="F772" s="31"/>
      <c r="G772" s="30"/>
      <c r="H772" s="30"/>
      <c r="J772" s="29"/>
      <c r="L772" s="30"/>
      <c r="M772" s="30"/>
      <c r="O772" s="32"/>
      <c r="P772" s="32"/>
      <c r="S772" s="32"/>
    </row>
    <row r="773">
      <c r="D773" s="29"/>
      <c r="F773" s="31"/>
      <c r="G773" s="30"/>
      <c r="H773" s="30"/>
      <c r="J773" s="29"/>
      <c r="L773" s="30"/>
      <c r="M773" s="30"/>
      <c r="O773" s="32"/>
      <c r="P773" s="32"/>
      <c r="S773" s="32"/>
    </row>
    <row r="774">
      <c r="D774" s="29"/>
      <c r="F774" s="31"/>
      <c r="G774" s="30"/>
      <c r="H774" s="30"/>
      <c r="J774" s="29"/>
      <c r="L774" s="30"/>
      <c r="M774" s="30"/>
      <c r="O774" s="32"/>
      <c r="P774" s="32"/>
      <c r="S774" s="32"/>
    </row>
    <row r="775">
      <c r="D775" s="29"/>
      <c r="F775" s="31"/>
      <c r="G775" s="30"/>
      <c r="H775" s="30"/>
      <c r="J775" s="29"/>
      <c r="L775" s="30"/>
      <c r="M775" s="30"/>
      <c r="O775" s="32"/>
      <c r="P775" s="32"/>
      <c r="S775" s="32"/>
    </row>
    <row r="776">
      <c r="D776" s="29"/>
      <c r="F776" s="31"/>
      <c r="G776" s="30"/>
      <c r="H776" s="30"/>
      <c r="J776" s="29"/>
      <c r="L776" s="30"/>
      <c r="M776" s="30"/>
      <c r="O776" s="32"/>
      <c r="P776" s="32"/>
      <c r="S776" s="32"/>
    </row>
    <row r="777">
      <c r="D777" s="29"/>
      <c r="F777" s="31"/>
      <c r="G777" s="30"/>
      <c r="H777" s="30"/>
      <c r="J777" s="29"/>
      <c r="L777" s="30"/>
      <c r="M777" s="30"/>
      <c r="O777" s="32"/>
      <c r="P777" s="32"/>
      <c r="S777" s="32"/>
    </row>
    <row r="778">
      <c r="D778" s="29"/>
      <c r="F778" s="31"/>
      <c r="G778" s="30"/>
      <c r="H778" s="30"/>
      <c r="J778" s="29"/>
      <c r="L778" s="30"/>
      <c r="M778" s="30"/>
      <c r="O778" s="32"/>
      <c r="P778" s="32"/>
      <c r="S778" s="32"/>
    </row>
    <row r="779">
      <c r="D779" s="29"/>
      <c r="F779" s="31"/>
      <c r="G779" s="30"/>
      <c r="H779" s="30"/>
      <c r="J779" s="29"/>
      <c r="L779" s="30"/>
      <c r="M779" s="30"/>
      <c r="O779" s="32"/>
      <c r="P779" s="32"/>
      <c r="S779" s="32"/>
    </row>
    <row r="780">
      <c r="D780" s="29"/>
      <c r="F780" s="31"/>
      <c r="G780" s="30"/>
      <c r="H780" s="30"/>
      <c r="J780" s="29"/>
      <c r="L780" s="30"/>
      <c r="M780" s="30"/>
      <c r="O780" s="32"/>
      <c r="P780" s="32"/>
      <c r="S780" s="32"/>
    </row>
    <row r="781">
      <c r="D781" s="29"/>
      <c r="F781" s="31"/>
      <c r="G781" s="30"/>
      <c r="H781" s="30"/>
      <c r="J781" s="29"/>
      <c r="L781" s="30"/>
      <c r="M781" s="30"/>
      <c r="O781" s="32"/>
      <c r="P781" s="32"/>
      <c r="S781" s="32"/>
    </row>
    <row r="782">
      <c r="D782" s="29"/>
      <c r="F782" s="31"/>
      <c r="G782" s="30"/>
      <c r="H782" s="30"/>
      <c r="J782" s="29"/>
      <c r="L782" s="30"/>
      <c r="M782" s="30"/>
      <c r="O782" s="32"/>
      <c r="P782" s="32"/>
      <c r="S782" s="32"/>
    </row>
    <row r="783">
      <c r="D783" s="29"/>
      <c r="F783" s="31"/>
      <c r="G783" s="30"/>
      <c r="H783" s="30"/>
      <c r="J783" s="29"/>
      <c r="L783" s="30"/>
      <c r="M783" s="30"/>
      <c r="O783" s="32"/>
      <c r="P783" s="32"/>
      <c r="S783" s="32"/>
    </row>
    <row r="784">
      <c r="D784" s="29"/>
      <c r="F784" s="31"/>
      <c r="G784" s="30"/>
      <c r="H784" s="30"/>
      <c r="J784" s="29"/>
      <c r="L784" s="30"/>
      <c r="M784" s="30"/>
      <c r="O784" s="32"/>
      <c r="P784" s="32"/>
      <c r="S784" s="32"/>
    </row>
    <row r="785">
      <c r="D785" s="29"/>
      <c r="F785" s="31"/>
      <c r="G785" s="30"/>
      <c r="H785" s="30"/>
      <c r="J785" s="29"/>
      <c r="L785" s="30"/>
      <c r="M785" s="30"/>
      <c r="O785" s="32"/>
      <c r="P785" s="32"/>
      <c r="S785" s="32"/>
    </row>
    <row r="786">
      <c r="D786" s="29"/>
      <c r="F786" s="31"/>
      <c r="G786" s="30"/>
      <c r="H786" s="30"/>
      <c r="J786" s="29"/>
      <c r="L786" s="30"/>
      <c r="M786" s="30"/>
      <c r="O786" s="32"/>
      <c r="P786" s="32"/>
      <c r="S786" s="32"/>
    </row>
    <row r="787">
      <c r="D787" s="29"/>
      <c r="F787" s="31"/>
      <c r="G787" s="30"/>
      <c r="H787" s="30"/>
      <c r="J787" s="29"/>
      <c r="L787" s="30"/>
      <c r="M787" s="30"/>
      <c r="O787" s="32"/>
      <c r="P787" s="32"/>
      <c r="S787" s="32"/>
    </row>
    <row r="788">
      <c r="D788" s="29"/>
      <c r="F788" s="31"/>
      <c r="G788" s="30"/>
      <c r="H788" s="30"/>
      <c r="J788" s="29"/>
      <c r="L788" s="30"/>
      <c r="M788" s="30"/>
      <c r="O788" s="32"/>
      <c r="P788" s="32"/>
      <c r="S788" s="32"/>
    </row>
    <row r="789">
      <c r="D789" s="29"/>
      <c r="F789" s="31"/>
      <c r="G789" s="30"/>
      <c r="H789" s="30"/>
      <c r="J789" s="29"/>
      <c r="L789" s="30"/>
      <c r="M789" s="30"/>
      <c r="O789" s="32"/>
      <c r="P789" s="32"/>
      <c r="S789" s="32"/>
    </row>
    <row r="790">
      <c r="D790" s="29"/>
      <c r="F790" s="31"/>
      <c r="G790" s="30"/>
      <c r="H790" s="30"/>
      <c r="J790" s="29"/>
      <c r="L790" s="30"/>
      <c r="M790" s="30"/>
      <c r="O790" s="32"/>
      <c r="P790" s="32"/>
      <c r="S790" s="32"/>
    </row>
    <row r="791">
      <c r="D791" s="29"/>
      <c r="F791" s="31"/>
      <c r="G791" s="30"/>
      <c r="H791" s="30"/>
      <c r="J791" s="29"/>
      <c r="L791" s="30"/>
      <c r="M791" s="30"/>
      <c r="O791" s="32"/>
      <c r="P791" s="32"/>
      <c r="S791" s="32"/>
    </row>
    <row r="792">
      <c r="D792" s="29"/>
      <c r="F792" s="31"/>
      <c r="G792" s="30"/>
      <c r="H792" s="30"/>
      <c r="J792" s="29"/>
      <c r="L792" s="30"/>
      <c r="M792" s="30"/>
      <c r="O792" s="32"/>
      <c r="P792" s="32"/>
      <c r="S792" s="32"/>
    </row>
    <row r="793">
      <c r="D793" s="29"/>
      <c r="F793" s="31"/>
      <c r="G793" s="30"/>
      <c r="H793" s="30"/>
      <c r="J793" s="29"/>
      <c r="L793" s="30"/>
      <c r="M793" s="30"/>
      <c r="O793" s="32"/>
      <c r="P793" s="32"/>
      <c r="S793" s="32"/>
    </row>
    <row r="794">
      <c r="D794" s="29"/>
      <c r="F794" s="31"/>
      <c r="G794" s="30"/>
      <c r="H794" s="30"/>
      <c r="J794" s="29"/>
      <c r="L794" s="30"/>
      <c r="M794" s="30"/>
      <c r="O794" s="32"/>
      <c r="P794" s="32"/>
      <c r="S794" s="32"/>
    </row>
    <row r="795">
      <c r="D795" s="29"/>
      <c r="F795" s="31"/>
      <c r="G795" s="30"/>
      <c r="H795" s="30"/>
      <c r="J795" s="29"/>
      <c r="L795" s="30"/>
      <c r="M795" s="30"/>
      <c r="O795" s="32"/>
      <c r="P795" s="32"/>
      <c r="S795" s="32"/>
    </row>
    <row r="796">
      <c r="D796" s="29"/>
      <c r="F796" s="31"/>
      <c r="G796" s="30"/>
      <c r="H796" s="30"/>
      <c r="J796" s="29"/>
      <c r="L796" s="30"/>
      <c r="M796" s="30"/>
      <c r="O796" s="32"/>
      <c r="P796" s="32"/>
      <c r="S796" s="32"/>
    </row>
    <row r="797">
      <c r="D797" s="29"/>
      <c r="F797" s="31"/>
      <c r="G797" s="30"/>
      <c r="H797" s="30"/>
      <c r="J797" s="29"/>
      <c r="L797" s="30"/>
      <c r="M797" s="30"/>
      <c r="O797" s="32"/>
      <c r="P797" s="32"/>
      <c r="S797" s="32"/>
    </row>
    <row r="798">
      <c r="D798" s="29"/>
      <c r="F798" s="31"/>
      <c r="G798" s="30"/>
      <c r="H798" s="30"/>
      <c r="J798" s="29"/>
      <c r="L798" s="30"/>
      <c r="M798" s="30"/>
      <c r="O798" s="32"/>
      <c r="P798" s="32"/>
      <c r="S798" s="32"/>
    </row>
    <row r="799">
      <c r="D799" s="29"/>
      <c r="F799" s="31"/>
      <c r="G799" s="30"/>
      <c r="H799" s="30"/>
      <c r="J799" s="29"/>
      <c r="L799" s="30"/>
      <c r="M799" s="30"/>
      <c r="O799" s="32"/>
      <c r="P799" s="32"/>
      <c r="S799" s="32"/>
    </row>
    <row r="800">
      <c r="D800" s="29"/>
      <c r="F800" s="31"/>
      <c r="G800" s="30"/>
      <c r="H800" s="30"/>
      <c r="J800" s="29"/>
      <c r="L800" s="30"/>
      <c r="M800" s="30"/>
      <c r="O800" s="32"/>
      <c r="P800" s="32"/>
      <c r="S800" s="32"/>
    </row>
    <row r="801">
      <c r="D801" s="29"/>
      <c r="F801" s="31"/>
      <c r="G801" s="30"/>
      <c r="H801" s="30"/>
      <c r="J801" s="29"/>
      <c r="L801" s="30"/>
      <c r="M801" s="30"/>
      <c r="O801" s="32"/>
      <c r="P801" s="32"/>
      <c r="S801" s="32"/>
    </row>
    <row r="802">
      <c r="D802" s="29"/>
      <c r="F802" s="31"/>
      <c r="G802" s="30"/>
      <c r="H802" s="30"/>
      <c r="J802" s="29"/>
      <c r="L802" s="30"/>
      <c r="M802" s="30"/>
      <c r="O802" s="32"/>
      <c r="P802" s="32"/>
      <c r="S802" s="32"/>
    </row>
    <row r="803">
      <c r="D803" s="29"/>
      <c r="F803" s="31"/>
      <c r="G803" s="30"/>
      <c r="H803" s="30"/>
      <c r="J803" s="29"/>
      <c r="L803" s="30"/>
      <c r="M803" s="30"/>
      <c r="O803" s="32"/>
      <c r="P803" s="32"/>
      <c r="S803" s="32"/>
    </row>
    <row r="804">
      <c r="D804" s="29"/>
      <c r="F804" s="31"/>
      <c r="G804" s="30"/>
      <c r="H804" s="30"/>
      <c r="J804" s="29"/>
      <c r="L804" s="30"/>
      <c r="M804" s="30"/>
      <c r="O804" s="32"/>
      <c r="P804" s="32"/>
      <c r="S804" s="32"/>
    </row>
    <row r="805">
      <c r="D805" s="29"/>
      <c r="F805" s="31"/>
      <c r="G805" s="30"/>
      <c r="H805" s="30"/>
      <c r="J805" s="29"/>
      <c r="L805" s="30"/>
      <c r="M805" s="30"/>
      <c r="O805" s="32"/>
      <c r="P805" s="32"/>
      <c r="S805" s="32"/>
    </row>
    <row r="806">
      <c r="D806" s="29"/>
      <c r="F806" s="31"/>
      <c r="G806" s="30"/>
      <c r="H806" s="30"/>
      <c r="J806" s="29"/>
      <c r="L806" s="30"/>
      <c r="M806" s="30"/>
      <c r="O806" s="32"/>
      <c r="P806" s="32"/>
      <c r="S806" s="32"/>
    </row>
    <row r="807">
      <c r="D807" s="29"/>
      <c r="F807" s="31"/>
      <c r="G807" s="30"/>
      <c r="H807" s="30"/>
      <c r="J807" s="29"/>
      <c r="L807" s="30"/>
      <c r="M807" s="30"/>
      <c r="O807" s="32"/>
      <c r="P807" s="32"/>
      <c r="S807" s="32"/>
    </row>
    <row r="808">
      <c r="D808" s="29"/>
      <c r="F808" s="31"/>
      <c r="G808" s="30"/>
      <c r="H808" s="30"/>
      <c r="J808" s="29"/>
      <c r="L808" s="30"/>
      <c r="M808" s="30"/>
      <c r="O808" s="32"/>
      <c r="P808" s="32"/>
      <c r="S808" s="32"/>
    </row>
    <row r="809">
      <c r="D809" s="29"/>
      <c r="F809" s="31"/>
      <c r="G809" s="30"/>
      <c r="H809" s="30"/>
      <c r="J809" s="29"/>
      <c r="L809" s="30"/>
      <c r="M809" s="30"/>
      <c r="O809" s="32"/>
      <c r="P809" s="32"/>
      <c r="S809" s="32"/>
    </row>
    <row r="810">
      <c r="D810" s="29"/>
      <c r="F810" s="31"/>
      <c r="G810" s="30"/>
      <c r="H810" s="30"/>
      <c r="J810" s="29"/>
      <c r="L810" s="30"/>
      <c r="M810" s="30"/>
      <c r="O810" s="32"/>
      <c r="P810" s="32"/>
      <c r="S810" s="32"/>
    </row>
    <row r="811">
      <c r="D811" s="29"/>
      <c r="F811" s="31"/>
      <c r="G811" s="30"/>
      <c r="H811" s="30"/>
      <c r="J811" s="29"/>
      <c r="L811" s="30"/>
      <c r="M811" s="30"/>
      <c r="O811" s="32"/>
      <c r="P811" s="32"/>
      <c r="S811" s="32"/>
    </row>
    <row r="812">
      <c r="D812" s="29"/>
      <c r="F812" s="31"/>
      <c r="G812" s="30"/>
      <c r="H812" s="30"/>
      <c r="J812" s="29"/>
      <c r="L812" s="30"/>
      <c r="M812" s="30"/>
      <c r="O812" s="32"/>
      <c r="P812" s="32"/>
      <c r="S812" s="32"/>
    </row>
    <row r="813">
      <c r="D813" s="29"/>
      <c r="F813" s="31"/>
      <c r="G813" s="30"/>
      <c r="H813" s="30"/>
      <c r="J813" s="29"/>
      <c r="L813" s="30"/>
      <c r="M813" s="30"/>
      <c r="O813" s="32"/>
      <c r="P813" s="32"/>
      <c r="S813" s="32"/>
    </row>
    <row r="814">
      <c r="D814" s="29"/>
      <c r="F814" s="31"/>
      <c r="G814" s="30"/>
      <c r="H814" s="30"/>
      <c r="J814" s="29"/>
      <c r="L814" s="30"/>
      <c r="M814" s="30"/>
      <c r="O814" s="32"/>
      <c r="P814" s="32"/>
      <c r="S814" s="32"/>
    </row>
    <row r="815">
      <c r="D815" s="29"/>
      <c r="F815" s="31"/>
      <c r="G815" s="30"/>
      <c r="H815" s="30"/>
      <c r="J815" s="29"/>
      <c r="L815" s="30"/>
      <c r="M815" s="30"/>
      <c r="O815" s="32"/>
      <c r="P815" s="32"/>
      <c r="S815" s="32"/>
    </row>
    <row r="816">
      <c r="D816" s="29"/>
      <c r="F816" s="31"/>
      <c r="G816" s="30"/>
      <c r="H816" s="30"/>
      <c r="J816" s="29"/>
      <c r="L816" s="30"/>
      <c r="M816" s="30"/>
      <c r="O816" s="32"/>
      <c r="P816" s="32"/>
      <c r="S816" s="32"/>
    </row>
    <row r="817">
      <c r="D817" s="29"/>
      <c r="F817" s="31"/>
      <c r="G817" s="30"/>
      <c r="H817" s="30"/>
      <c r="J817" s="29"/>
      <c r="L817" s="30"/>
      <c r="M817" s="30"/>
      <c r="O817" s="32"/>
      <c r="P817" s="32"/>
      <c r="S817" s="32"/>
    </row>
    <row r="818">
      <c r="D818" s="29"/>
      <c r="F818" s="31"/>
      <c r="G818" s="30"/>
      <c r="H818" s="30"/>
      <c r="J818" s="29"/>
      <c r="L818" s="30"/>
      <c r="M818" s="30"/>
      <c r="O818" s="32"/>
      <c r="P818" s="32"/>
      <c r="S818" s="32"/>
    </row>
    <row r="819">
      <c r="D819" s="29"/>
      <c r="F819" s="31"/>
      <c r="G819" s="30"/>
      <c r="H819" s="30"/>
      <c r="J819" s="29"/>
      <c r="L819" s="30"/>
      <c r="M819" s="30"/>
      <c r="O819" s="32"/>
      <c r="P819" s="32"/>
      <c r="S819" s="32"/>
    </row>
    <row r="820">
      <c r="D820" s="29"/>
      <c r="F820" s="31"/>
      <c r="G820" s="30"/>
      <c r="H820" s="30"/>
      <c r="J820" s="29"/>
      <c r="L820" s="30"/>
      <c r="M820" s="30"/>
      <c r="O820" s="32"/>
      <c r="P820" s="32"/>
      <c r="S820" s="32"/>
    </row>
    <row r="821">
      <c r="D821" s="29"/>
      <c r="F821" s="31"/>
      <c r="G821" s="30"/>
      <c r="H821" s="30"/>
      <c r="J821" s="29"/>
      <c r="L821" s="30"/>
      <c r="M821" s="30"/>
      <c r="O821" s="32"/>
      <c r="P821" s="32"/>
      <c r="S821" s="32"/>
    </row>
    <row r="822">
      <c r="D822" s="29"/>
      <c r="F822" s="31"/>
      <c r="G822" s="30"/>
      <c r="H822" s="30"/>
      <c r="J822" s="29"/>
      <c r="L822" s="30"/>
      <c r="M822" s="30"/>
      <c r="O822" s="32"/>
      <c r="P822" s="32"/>
      <c r="S822" s="32"/>
    </row>
    <row r="823">
      <c r="D823" s="29"/>
      <c r="F823" s="31"/>
      <c r="G823" s="30"/>
      <c r="H823" s="30"/>
      <c r="J823" s="29"/>
      <c r="L823" s="30"/>
      <c r="M823" s="30"/>
      <c r="O823" s="32"/>
      <c r="P823" s="32"/>
      <c r="S823" s="32"/>
    </row>
    <row r="824">
      <c r="D824" s="29"/>
      <c r="F824" s="31"/>
      <c r="G824" s="30"/>
      <c r="H824" s="30"/>
      <c r="J824" s="29"/>
      <c r="L824" s="30"/>
      <c r="M824" s="30"/>
      <c r="O824" s="32"/>
      <c r="P824" s="32"/>
      <c r="S824" s="32"/>
    </row>
    <row r="825">
      <c r="D825" s="29"/>
      <c r="F825" s="31"/>
      <c r="G825" s="30"/>
      <c r="H825" s="30"/>
      <c r="J825" s="29"/>
      <c r="L825" s="30"/>
      <c r="M825" s="30"/>
      <c r="O825" s="32"/>
      <c r="P825" s="32"/>
      <c r="S825" s="32"/>
    </row>
    <row r="826">
      <c r="D826" s="29"/>
      <c r="F826" s="31"/>
      <c r="G826" s="30"/>
      <c r="H826" s="30"/>
      <c r="J826" s="29"/>
      <c r="L826" s="30"/>
      <c r="M826" s="30"/>
      <c r="O826" s="32"/>
      <c r="P826" s="32"/>
      <c r="S826" s="32"/>
    </row>
    <row r="827">
      <c r="D827" s="29"/>
      <c r="F827" s="31"/>
      <c r="G827" s="30"/>
      <c r="H827" s="30"/>
      <c r="J827" s="29"/>
      <c r="L827" s="30"/>
      <c r="M827" s="30"/>
      <c r="O827" s="32"/>
      <c r="P827" s="32"/>
      <c r="S827" s="32"/>
    </row>
    <row r="828">
      <c r="D828" s="29"/>
      <c r="F828" s="31"/>
      <c r="G828" s="30"/>
      <c r="H828" s="30"/>
      <c r="J828" s="29"/>
      <c r="L828" s="30"/>
      <c r="M828" s="30"/>
      <c r="O828" s="32"/>
      <c r="P828" s="32"/>
      <c r="S828" s="32"/>
    </row>
    <row r="829">
      <c r="D829" s="29"/>
      <c r="F829" s="31"/>
      <c r="G829" s="30"/>
      <c r="H829" s="30"/>
      <c r="J829" s="29"/>
      <c r="L829" s="30"/>
      <c r="M829" s="30"/>
      <c r="O829" s="32"/>
      <c r="P829" s="32"/>
      <c r="S829" s="32"/>
    </row>
    <row r="830">
      <c r="D830" s="29"/>
      <c r="F830" s="31"/>
      <c r="G830" s="30"/>
      <c r="H830" s="30"/>
      <c r="J830" s="29"/>
      <c r="L830" s="30"/>
      <c r="M830" s="30"/>
      <c r="O830" s="32"/>
      <c r="P830" s="32"/>
      <c r="S830" s="32"/>
    </row>
    <row r="831">
      <c r="D831" s="29"/>
      <c r="F831" s="31"/>
      <c r="G831" s="30"/>
      <c r="H831" s="30"/>
      <c r="J831" s="29"/>
      <c r="L831" s="30"/>
      <c r="M831" s="30"/>
      <c r="O831" s="32"/>
      <c r="P831" s="32"/>
      <c r="S831" s="32"/>
    </row>
    <row r="832">
      <c r="D832" s="29"/>
      <c r="F832" s="31"/>
      <c r="G832" s="30"/>
      <c r="H832" s="30"/>
      <c r="J832" s="29"/>
      <c r="L832" s="30"/>
      <c r="M832" s="30"/>
      <c r="O832" s="32"/>
      <c r="P832" s="32"/>
      <c r="S832" s="32"/>
    </row>
    <row r="833">
      <c r="D833" s="29"/>
      <c r="F833" s="31"/>
      <c r="G833" s="30"/>
      <c r="H833" s="30"/>
      <c r="J833" s="29"/>
      <c r="L833" s="30"/>
      <c r="M833" s="30"/>
      <c r="O833" s="32"/>
      <c r="P833" s="32"/>
      <c r="S833" s="32"/>
    </row>
    <row r="834">
      <c r="D834" s="29"/>
      <c r="F834" s="31"/>
      <c r="G834" s="30"/>
      <c r="H834" s="30"/>
      <c r="J834" s="29"/>
      <c r="L834" s="30"/>
      <c r="M834" s="30"/>
      <c r="O834" s="32"/>
      <c r="P834" s="32"/>
      <c r="S834" s="32"/>
    </row>
    <row r="835">
      <c r="D835" s="29"/>
      <c r="F835" s="31"/>
      <c r="G835" s="30"/>
      <c r="H835" s="30"/>
      <c r="J835" s="29"/>
      <c r="L835" s="30"/>
      <c r="M835" s="30"/>
      <c r="O835" s="32"/>
      <c r="P835" s="32"/>
      <c r="S835" s="32"/>
    </row>
    <row r="836">
      <c r="D836" s="29"/>
      <c r="F836" s="31"/>
      <c r="G836" s="30"/>
      <c r="H836" s="30"/>
      <c r="J836" s="29"/>
      <c r="L836" s="30"/>
      <c r="M836" s="30"/>
      <c r="O836" s="32"/>
      <c r="P836" s="32"/>
      <c r="S836" s="32"/>
    </row>
    <row r="837">
      <c r="D837" s="29"/>
      <c r="F837" s="31"/>
      <c r="G837" s="30"/>
      <c r="H837" s="30"/>
      <c r="J837" s="29"/>
      <c r="L837" s="30"/>
      <c r="M837" s="30"/>
      <c r="O837" s="32"/>
      <c r="P837" s="32"/>
      <c r="S837" s="32"/>
    </row>
    <row r="838">
      <c r="D838" s="29"/>
      <c r="F838" s="31"/>
      <c r="G838" s="30"/>
      <c r="H838" s="30"/>
      <c r="J838" s="29"/>
      <c r="L838" s="30"/>
      <c r="M838" s="30"/>
      <c r="O838" s="32"/>
      <c r="P838" s="32"/>
      <c r="S838" s="32"/>
    </row>
    <row r="839">
      <c r="D839" s="29"/>
      <c r="F839" s="31"/>
      <c r="G839" s="30"/>
      <c r="H839" s="30"/>
      <c r="J839" s="29"/>
      <c r="L839" s="30"/>
      <c r="M839" s="30"/>
      <c r="O839" s="32"/>
      <c r="P839" s="32"/>
      <c r="S839" s="32"/>
    </row>
    <row r="840">
      <c r="D840" s="29"/>
      <c r="F840" s="31"/>
      <c r="G840" s="30"/>
      <c r="H840" s="30"/>
      <c r="J840" s="29"/>
      <c r="L840" s="30"/>
      <c r="M840" s="30"/>
      <c r="O840" s="32"/>
      <c r="P840" s="32"/>
      <c r="S840" s="32"/>
    </row>
    <row r="841">
      <c r="D841" s="29"/>
      <c r="F841" s="31"/>
      <c r="G841" s="30"/>
      <c r="H841" s="30"/>
      <c r="J841" s="29"/>
      <c r="L841" s="30"/>
      <c r="M841" s="30"/>
      <c r="O841" s="32"/>
      <c r="P841" s="32"/>
      <c r="S841" s="32"/>
    </row>
    <row r="842">
      <c r="D842" s="29"/>
      <c r="F842" s="31"/>
      <c r="G842" s="30"/>
      <c r="H842" s="30"/>
      <c r="J842" s="29"/>
      <c r="L842" s="30"/>
      <c r="M842" s="30"/>
      <c r="O842" s="32"/>
      <c r="P842" s="32"/>
      <c r="S842" s="32"/>
    </row>
    <row r="843">
      <c r="D843" s="29"/>
      <c r="F843" s="31"/>
      <c r="G843" s="30"/>
      <c r="H843" s="30"/>
      <c r="J843" s="29"/>
      <c r="L843" s="30"/>
      <c r="M843" s="30"/>
      <c r="O843" s="32"/>
      <c r="P843" s="32"/>
      <c r="S843" s="32"/>
    </row>
    <row r="844">
      <c r="D844" s="29"/>
      <c r="F844" s="31"/>
      <c r="G844" s="30"/>
      <c r="H844" s="30"/>
      <c r="J844" s="29"/>
      <c r="L844" s="30"/>
      <c r="M844" s="30"/>
      <c r="O844" s="32"/>
      <c r="P844" s="32"/>
      <c r="S844" s="32"/>
    </row>
    <row r="845">
      <c r="D845" s="29"/>
      <c r="F845" s="31"/>
      <c r="G845" s="30"/>
      <c r="H845" s="30"/>
      <c r="J845" s="29"/>
      <c r="L845" s="30"/>
      <c r="M845" s="30"/>
      <c r="O845" s="32"/>
      <c r="P845" s="32"/>
      <c r="S845" s="32"/>
    </row>
    <row r="846">
      <c r="D846" s="29"/>
      <c r="F846" s="31"/>
      <c r="G846" s="30"/>
      <c r="H846" s="30"/>
      <c r="J846" s="29"/>
      <c r="L846" s="30"/>
      <c r="M846" s="30"/>
      <c r="O846" s="32"/>
      <c r="P846" s="32"/>
      <c r="S846" s="32"/>
    </row>
    <row r="847">
      <c r="D847" s="29"/>
      <c r="F847" s="31"/>
      <c r="G847" s="30"/>
      <c r="H847" s="30"/>
      <c r="J847" s="29"/>
      <c r="L847" s="30"/>
      <c r="M847" s="30"/>
      <c r="O847" s="32"/>
      <c r="P847" s="32"/>
      <c r="S847" s="32"/>
    </row>
    <row r="848">
      <c r="D848" s="29"/>
      <c r="F848" s="31"/>
      <c r="G848" s="30"/>
      <c r="H848" s="30"/>
      <c r="J848" s="29"/>
      <c r="L848" s="30"/>
      <c r="M848" s="30"/>
      <c r="O848" s="32"/>
      <c r="P848" s="32"/>
      <c r="S848" s="32"/>
    </row>
    <row r="849">
      <c r="D849" s="29"/>
      <c r="F849" s="31"/>
      <c r="G849" s="30"/>
      <c r="H849" s="30"/>
      <c r="J849" s="29"/>
      <c r="L849" s="30"/>
      <c r="M849" s="30"/>
      <c r="O849" s="32"/>
      <c r="P849" s="32"/>
      <c r="S849" s="32"/>
    </row>
    <row r="850">
      <c r="D850" s="29"/>
      <c r="F850" s="31"/>
      <c r="G850" s="30"/>
      <c r="H850" s="30"/>
      <c r="J850" s="29"/>
      <c r="L850" s="30"/>
      <c r="M850" s="30"/>
      <c r="O850" s="32"/>
      <c r="P850" s="32"/>
      <c r="S850" s="32"/>
    </row>
    <row r="851">
      <c r="D851" s="29"/>
      <c r="F851" s="31"/>
      <c r="G851" s="30"/>
      <c r="H851" s="30"/>
      <c r="J851" s="29"/>
      <c r="L851" s="30"/>
      <c r="M851" s="30"/>
      <c r="O851" s="32"/>
      <c r="P851" s="32"/>
      <c r="S851" s="32"/>
    </row>
    <row r="852">
      <c r="D852" s="29"/>
      <c r="F852" s="31"/>
      <c r="G852" s="30"/>
      <c r="H852" s="30"/>
      <c r="J852" s="29"/>
      <c r="L852" s="30"/>
      <c r="M852" s="30"/>
      <c r="O852" s="32"/>
      <c r="P852" s="32"/>
      <c r="S852" s="32"/>
    </row>
    <row r="853">
      <c r="D853" s="29"/>
      <c r="F853" s="31"/>
      <c r="G853" s="30"/>
      <c r="H853" s="30"/>
      <c r="J853" s="29"/>
      <c r="L853" s="30"/>
      <c r="M853" s="30"/>
      <c r="O853" s="32"/>
      <c r="P853" s="32"/>
      <c r="S853" s="32"/>
    </row>
    <row r="854">
      <c r="D854" s="29"/>
      <c r="F854" s="31"/>
      <c r="G854" s="30"/>
      <c r="H854" s="30"/>
      <c r="J854" s="29"/>
      <c r="L854" s="30"/>
      <c r="M854" s="30"/>
      <c r="O854" s="32"/>
      <c r="P854" s="32"/>
      <c r="S854" s="32"/>
    </row>
    <row r="855">
      <c r="D855" s="29"/>
      <c r="F855" s="31"/>
      <c r="G855" s="30"/>
      <c r="H855" s="30"/>
      <c r="J855" s="29"/>
      <c r="L855" s="30"/>
      <c r="M855" s="30"/>
      <c r="O855" s="32"/>
      <c r="P855" s="32"/>
      <c r="S855" s="32"/>
    </row>
    <row r="856">
      <c r="D856" s="29"/>
      <c r="F856" s="31"/>
      <c r="G856" s="30"/>
      <c r="H856" s="30"/>
      <c r="J856" s="29"/>
      <c r="L856" s="30"/>
      <c r="M856" s="30"/>
      <c r="O856" s="32"/>
      <c r="P856" s="32"/>
      <c r="S856" s="32"/>
    </row>
    <row r="857">
      <c r="D857" s="29"/>
      <c r="F857" s="31"/>
      <c r="G857" s="30"/>
      <c r="H857" s="30"/>
      <c r="J857" s="29"/>
      <c r="L857" s="30"/>
      <c r="M857" s="30"/>
      <c r="O857" s="32"/>
      <c r="P857" s="32"/>
      <c r="S857" s="32"/>
    </row>
    <row r="858">
      <c r="D858" s="29"/>
      <c r="F858" s="31"/>
      <c r="G858" s="30"/>
      <c r="H858" s="30"/>
      <c r="J858" s="29"/>
      <c r="L858" s="30"/>
      <c r="M858" s="30"/>
      <c r="O858" s="32"/>
      <c r="P858" s="32"/>
      <c r="S858" s="32"/>
    </row>
    <row r="859">
      <c r="D859" s="29"/>
      <c r="F859" s="31"/>
      <c r="G859" s="30"/>
      <c r="H859" s="30"/>
      <c r="J859" s="29"/>
      <c r="L859" s="30"/>
      <c r="M859" s="30"/>
      <c r="O859" s="32"/>
      <c r="P859" s="32"/>
      <c r="S859" s="32"/>
    </row>
    <row r="860">
      <c r="D860" s="29"/>
      <c r="F860" s="31"/>
      <c r="G860" s="30"/>
      <c r="H860" s="30"/>
      <c r="J860" s="29"/>
      <c r="L860" s="30"/>
      <c r="M860" s="30"/>
      <c r="O860" s="32"/>
      <c r="P860" s="32"/>
      <c r="S860" s="32"/>
    </row>
    <row r="861">
      <c r="D861" s="29"/>
      <c r="F861" s="31"/>
      <c r="G861" s="30"/>
      <c r="H861" s="30"/>
      <c r="J861" s="29"/>
      <c r="L861" s="30"/>
      <c r="M861" s="30"/>
      <c r="O861" s="32"/>
      <c r="P861" s="32"/>
      <c r="S861" s="32"/>
    </row>
    <row r="862">
      <c r="D862" s="29"/>
      <c r="F862" s="31"/>
      <c r="G862" s="30"/>
      <c r="H862" s="30"/>
      <c r="J862" s="29"/>
      <c r="L862" s="30"/>
      <c r="M862" s="30"/>
      <c r="O862" s="32"/>
      <c r="P862" s="32"/>
      <c r="S862" s="32"/>
    </row>
    <row r="863">
      <c r="D863" s="29"/>
      <c r="F863" s="31"/>
      <c r="G863" s="30"/>
      <c r="H863" s="30"/>
      <c r="J863" s="29"/>
      <c r="L863" s="30"/>
      <c r="M863" s="30"/>
      <c r="O863" s="32"/>
      <c r="P863" s="32"/>
      <c r="S863" s="32"/>
    </row>
    <row r="864">
      <c r="D864" s="29"/>
      <c r="F864" s="31"/>
      <c r="G864" s="30"/>
      <c r="H864" s="30"/>
      <c r="J864" s="29"/>
      <c r="L864" s="30"/>
      <c r="M864" s="30"/>
      <c r="O864" s="32"/>
      <c r="P864" s="32"/>
      <c r="S864" s="32"/>
    </row>
    <row r="865">
      <c r="D865" s="29"/>
      <c r="F865" s="31"/>
      <c r="G865" s="30"/>
      <c r="H865" s="30"/>
      <c r="J865" s="29"/>
      <c r="L865" s="30"/>
      <c r="M865" s="30"/>
      <c r="O865" s="32"/>
      <c r="P865" s="32"/>
      <c r="S865" s="32"/>
    </row>
    <row r="866">
      <c r="D866" s="29"/>
      <c r="F866" s="31"/>
      <c r="G866" s="30"/>
      <c r="H866" s="30"/>
      <c r="J866" s="29"/>
      <c r="L866" s="30"/>
      <c r="M866" s="30"/>
      <c r="O866" s="32"/>
      <c r="P866" s="32"/>
      <c r="S866" s="32"/>
    </row>
    <row r="867">
      <c r="D867" s="29"/>
      <c r="F867" s="31"/>
      <c r="G867" s="30"/>
      <c r="H867" s="30"/>
      <c r="J867" s="29"/>
      <c r="L867" s="30"/>
      <c r="M867" s="30"/>
      <c r="O867" s="32"/>
      <c r="P867" s="32"/>
      <c r="S867" s="32"/>
    </row>
    <row r="868">
      <c r="D868" s="29"/>
      <c r="F868" s="31"/>
      <c r="G868" s="30"/>
      <c r="H868" s="30"/>
      <c r="J868" s="29"/>
      <c r="L868" s="30"/>
      <c r="M868" s="30"/>
      <c r="O868" s="32"/>
      <c r="P868" s="32"/>
      <c r="S868" s="32"/>
    </row>
    <row r="869">
      <c r="D869" s="29"/>
      <c r="F869" s="31"/>
      <c r="G869" s="30"/>
      <c r="H869" s="30"/>
      <c r="J869" s="29"/>
      <c r="L869" s="30"/>
      <c r="M869" s="30"/>
      <c r="O869" s="32"/>
      <c r="P869" s="32"/>
      <c r="S869" s="32"/>
    </row>
    <row r="870">
      <c r="D870" s="29"/>
      <c r="F870" s="31"/>
      <c r="G870" s="30"/>
      <c r="H870" s="30"/>
      <c r="J870" s="29"/>
      <c r="L870" s="30"/>
      <c r="M870" s="30"/>
      <c r="O870" s="32"/>
      <c r="P870" s="32"/>
      <c r="S870" s="32"/>
    </row>
    <row r="871">
      <c r="D871" s="29"/>
      <c r="F871" s="31"/>
      <c r="G871" s="30"/>
      <c r="H871" s="30"/>
      <c r="J871" s="29"/>
      <c r="L871" s="30"/>
      <c r="M871" s="30"/>
      <c r="O871" s="32"/>
      <c r="P871" s="32"/>
      <c r="S871" s="32"/>
    </row>
    <row r="872">
      <c r="D872" s="29"/>
      <c r="F872" s="31"/>
      <c r="G872" s="30"/>
      <c r="H872" s="30"/>
      <c r="J872" s="29"/>
      <c r="L872" s="30"/>
      <c r="M872" s="30"/>
      <c r="O872" s="32"/>
      <c r="P872" s="32"/>
      <c r="S872" s="32"/>
    </row>
    <row r="873">
      <c r="D873" s="29"/>
      <c r="F873" s="31"/>
      <c r="G873" s="30"/>
      <c r="H873" s="30"/>
      <c r="J873" s="29"/>
      <c r="L873" s="30"/>
      <c r="M873" s="30"/>
      <c r="O873" s="32"/>
      <c r="P873" s="32"/>
      <c r="S873" s="32"/>
    </row>
    <row r="874">
      <c r="D874" s="29"/>
      <c r="F874" s="31"/>
      <c r="G874" s="30"/>
      <c r="H874" s="30"/>
      <c r="J874" s="29"/>
      <c r="L874" s="30"/>
      <c r="M874" s="30"/>
      <c r="O874" s="32"/>
      <c r="P874" s="32"/>
      <c r="S874" s="32"/>
    </row>
    <row r="875">
      <c r="D875" s="29"/>
      <c r="F875" s="31"/>
      <c r="G875" s="30"/>
      <c r="H875" s="30"/>
      <c r="J875" s="29"/>
      <c r="L875" s="30"/>
      <c r="M875" s="30"/>
      <c r="O875" s="32"/>
      <c r="P875" s="32"/>
      <c r="S875" s="32"/>
    </row>
    <row r="876">
      <c r="D876" s="29"/>
      <c r="F876" s="31"/>
      <c r="G876" s="30"/>
      <c r="H876" s="30"/>
      <c r="J876" s="29"/>
      <c r="L876" s="30"/>
      <c r="M876" s="30"/>
      <c r="O876" s="32"/>
      <c r="P876" s="32"/>
      <c r="S876" s="32"/>
    </row>
    <row r="877">
      <c r="D877" s="29"/>
      <c r="F877" s="31"/>
      <c r="G877" s="30"/>
      <c r="H877" s="30"/>
      <c r="J877" s="29"/>
      <c r="L877" s="30"/>
      <c r="M877" s="30"/>
      <c r="O877" s="32"/>
      <c r="P877" s="32"/>
      <c r="S877" s="32"/>
    </row>
    <row r="878">
      <c r="D878" s="29"/>
      <c r="F878" s="31"/>
      <c r="G878" s="30"/>
      <c r="H878" s="30"/>
      <c r="J878" s="29"/>
      <c r="L878" s="30"/>
      <c r="M878" s="30"/>
      <c r="O878" s="32"/>
      <c r="P878" s="32"/>
      <c r="S878" s="32"/>
    </row>
    <row r="879">
      <c r="D879" s="29"/>
      <c r="F879" s="31"/>
      <c r="G879" s="30"/>
      <c r="H879" s="30"/>
      <c r="J879" s="29"/>
      <c r="L879" s="30"/>
      <c r="M879" s="30"/>
      <c r="O879" s="32"/>
      <c r="P879" s="32"/>
      <c r="S879" s="32"/>
    </row>
    <row r="880">
      <c r="D880" s="29"/>
      <c r="F880" s="31"/>
      <c r="G880" s="30"/>
      <c r="H880" s="30"/>
      <c r="J880" s="29"/>
      <c r="L880" s="30"/>
      <c r="M880" s="30"/>
      <c r="O880" s="32"/>
      <c r="P880" s="32"/>
      <c r="S880" s="32"/>
    </row>
    <row r="881">
      <c r="D881" s="29"/>
      <c r="F881" s="31"/>
      <c r="G881" s="30"/>
      <c r="H881" s="30"/>
      <c r="J881" s="29"/>
      <c r="L881" s="30"/>
      <c r="M881" s="30"/>
      <c r="O881" s="32"/>
      <c r="P881" s="32"/>
      <c r="S881" s="32"/>
    </row>
    <row r="882">
      <c r="D882" s="29"/>
      <c r="F882" s="31"/>
      <c r="G882" s="30"/>
      <c r="H882" s="30"/>
      <c r="J882" s="29"/>
      <c r="L882" s="30"/>
      <c r="M882" s="30"/>
      <c r="O882" s="32"/>
      <c r="P882" s="32"/>
      <c r="S882" s="32"/>
    </row>
    <row r="883">
      <c r="D883" s="29"/>
      <c r="F883" s="31"/>
      <c r="G883" s="30"/>
      <c r="H883" s="30"/>
      <c r="J883" s="29"/>
      <c r="L883" s="30"/>
      <c r="M883" s="30"/>
      <c r="O883" s="32"/>
      <c r="P883" s="32"/>
      <c r="S883" s="32"/>
    </row>
    <row r="884">
      <c r="D884" s="29"/>
      <c r="F884" s="31"/>
      <c r="G884" s="30"/>
      <c r="H884" s="30"/>
      <c r="J884" s="29"/>
      <c r="L884" s="30"/>
      <c r="M884" s="30"/>
      <c r="O884" s="32"/>
      <c r="P884" s="32"/>
      <c r="S884" s="32"/>
    </row>
    <row r="885">
      <c r="D885" s="29"/>
      <c r="F885" s="31"/>
      <c r="G885" s="30"/>
      <c r="H885" s="30"/>
      <c r="J885" s="29"/>
      <c r="L885" s="30"/>
      <c r="M885" s="30"/>
      <c r="O885" s="32"/>
      <c r="P885" s="32"/>
      <c r="S885" s="32"/>
    </row>
    <row r="886">
      <c r="D886" s="29"/>
      <c r="F886" s="31"/>
      <c r="G886" s="30"/>
      <c r="H886" s="30"/>
      <c r="J886" s="29"/>
      <c r="L886" s="30"/>
      <c r="M886" s="30"/>
      <c r="O886" s="32"/>
      <c r="P886" s="32"/>
      <c r="S886" s="32"/>
    </row>
    <row r="887">
      <c r="D887" s="29"/>
      <c r="F887" s="31"/>
      <c r="G887" s="30"/>
      <c r="H887" s="30"/>
      <c r="J887" s="29"/>
      <c r="L887" s="30"/>
      <c r="M887" s="30"/>
      <c r="O887" s="32"/>
      <c r="P887" s="32"/>
      <c r="S887" s="32"/>
    </row>
    <row r="888">
      <c r="D888" s="29"/>
      <c r="F888" s="31"/>
      <c r="G888" s="30"/>
      <c r="H888" s="30"/>
      <c r="J888" s="29"/>
      <c r="L888" s="30"/>
      <c r="M888" s="30"/>
      <c r="O888" s="32"/>
      <c r="P888" s="32"/>
      <c r="S888" s="32"/>
    </row>
    <row r="889">
      <c r="D889" s="29"/>
      <c r="F889" s="31"/>
      <c r="G889" s="30"/>
      <c r="H889" s="30"/>
      <c r="J889" s="29"/>
      <c r="L889" s="30"/>
      <c r="M889" s="30"/>
      <c r="O889" s="32"/>
      <c r="P889" s="32"/>
      <c r="S889" s="32"/>
    </row>
    <row r="890">
      <c r="D890" s="29"/>
      <c r="F890" s="31"/>
      <c r="G890" s="30"/>
      <c r="H890" s="30"/>
      <c r="J890" s="29"/>
      <c r="L890" s="30"/>
      <c r="M890" s="30"/>
      <c r="O890" s="32"/>
      <c r="P890" s="32"/>
      <c r="S890" s="32"/>
    </row>
    <row r="891">
      <c r="D891" s="29"/>
      <c r="F891" s="31"/>
      <c r="G891" s="30"/>
      <c r="H891" s="30"/>
      <c r="J891" s="29"/>
      <c r="L891" s="30"/>
      <c r="M891" s="30"/>
      <c r="O891" s="32"/>
      <c r="P891" s="32"/>
      <c r="S891" s="32"/>
    </row>
    <row r="892">
      <c r="D892" s="29"/>
      <c r="F892" s="31"/>
      <c r="G892" s="30"/>
      <c r="H892" s="30"/>
      <c r="J892" s="29"/>
      <c r="L892" s="30"/>
      <c r="M892" s="30"/>
      <c r="O892" s="32"/>
      <c r="P892" s="32"/>
      <c r="S892" s="32"/>
    </row>
    <row r="893">
      <c r="D893" s="29"/>
      <c r="F893" s="31"/>
      <c r="G893" s="30"/>
      <c r="H893" s="30"/>
      <c r="J893" s="29"/>
      <c r="L893" s="30"/>
      <c r="M893" s="30"/>
      <c r="O893" s="32"/>
      <c r="P893" s="32"/>
      <c r="S893" s="32"/>
    </row>
    <row r="894">
      <c r="D894" s="29"/>
      <c r="F894" s="31"/>
      <c r="G894" s="30"/>
      <c r="H894" s="30"/>
      <c r="J894" s="29"/>
      <c r="L894" s="30"/>
      <c r="M894" s="30"/>
      <c r="O894" s="32"/>
      <c r="P894" s="32"/>
      <c r="S894" s="32"/>
    </row>
    <row r="895">
      <c r="D895" s="29"/>
      <c r="F895" s="31"/>
      <c r="G895" s="30"/>
      <c r="H895" s="30"/>
      <c r="J895" s="29"/>
      <c r="L895" s="30"/>
      <c r="M895" s="30"/>
      <c r="O895" s="32"/>
      <c r="P895" s="32"/>
      <c r="S895" s="32"/>
    </row>
    <row r="896">
      <c r="D896" s="29"/>
      <c r="F896" s="31"/>
      <c r="G896" s="30"/>
      <c r="H896" s="30"/>
      <c r="J896" s="29"/>
      <c r="L896" s="30"/>
      <c r="M896" s="30"/>
      <c r="O896" s="32"/>
      <c r="P896" s="32"/>
      <c r="S896" s="32"/>
    </row>
    <row r="897">
      <c r="D897" s="29"/>
      <c r="F897" s="31"/>
      <c r="G897" s="30"/>
      <c r="H897" s="30"/>
      <c r="J897" s="29"/>
      <c r="L897" s="30"/>
      <c r="M897" s="30"/>
      <c r="O897" s="32"/>
      <c r="P897" s="32"/>
      <c r="S897" s="32"/>
    </row>
    <row r="898">
      <c r="D898" s="29"/>
      <c r="F898" s="31"/>
      <c r="G898" s="30"/>
      <c r="H898" s="30"/>
      <c r="J898" s="29"/>
      <c r="L898" s="30"/>
      <c r="M898" s="30"/>
      <c r="O898" s="32"/>
      <c r="P898" s="32"/>
      <c r="S898" s="32"/>
    </row>
    <row r="899">
      <c r="D899" s="29"/>
      <c r="F899" s="31"/>
      <c r="G899" s="30"/>
      <c r="H899" s="30"/>
      <c r="J899" s="29"/>
      <c r="L899" s="30"/>
      <c r="M899" s="30"/>
      <c r="O899" s="32"/>
      <c r="P899" s="32"/>
      <c r="S899" s="32"/>
    </row>
    <row r="900">
      <c r="D900" s="29"/>
      <c r="F900" s="31"/>
      <c r="G900" s="30"/>
      <c r="H900" s="30"/>
      <c r="J900" s="29"/>
      <c r="L900" s="30"/>
      <c r="M900" s="30"/>
      <c r="O900" s="32"/>
      <c r="P900" s="32"/>
      <c r="S900" s="32"/>
    </row>
    <row r="901">
      <c r="D901" s="29"/>
      <c r="F901" s="31"/>
      <c r="G901" s="30"/>
      <c r="H901" s="30"/>
      <c r="J901" s="29"/>
      <c r="L901" s="30"/>
      <c r="M901" s="30"/>
      <c r="O901" s="32"/>
      <c r="P901" s="32"/>
      <c r="S901" s="32"/>
    </row>
    <row r="902">
      <c r="D902" s="29"/>
      <c r="F902" s="31"/>
      <c r="G902" s="30"/>
      <c r="H902" s="30"/>
      <c r="J902" s="29"/>
      <c r="L902" s="30"/>
      <c r="M902" s="30"/>
      <c r="O902" s="32"/>
      <c r="P902" s="32"/>
      <c r="S902" s="32"/>
    </row>
    <row r="903">
      <c r="D903" s="29"/>
      <c r="F903" s="31"/>
      <c r="G903" s="30"/>
      <c r="H903" s="30"/>
      <c r="J903" s="29"/>
      <c r="L903" s="30"/>
      <c r="M903" s="30"/>
      <c r="O903" s="32"/>
      <c r="P903" s="32"/>
      <c r="S903" s="32"/>
    </row>
    <row r="904">
      <c r="D904" s="29"/>
      <c r="F904" s="31"/>
      <c r="G904" s="30"/>
      <c r="H904" s="30"/>
      <c r="J904" s="29"/>
      <c r="L904" s="30"/>
      <c r="M904" s="30"/>
      <c r="O904" s="32"/>
      <c r="P904" s="32"/>
      <c r="S904" s="32"/>
    </row>
    <row r="905">
      <c r="D905" s="29"/>
      <c r="F905" s="31"/>
      <c r="G905" s="30"/>
      <c r="H905" s="30"/>
      <c r="J905" s="29"/>
      <c r="L905" s="30"/>
      <c r="M905" s="30"/>
      <c r="O905" s="32"/>
      <c r="P905" s="32"/>
      <c r="S905" s="32"/>
    </row>
    <row r="906">
      <c r="D906" s="29"/>
      <c r="F906" s="31"/>
      <c r="G906" s="30"/>
      <c r="H906" s="30"/>
      <c r="J906" s="29"/>
      <c r="L906" s="30"/>
      <c r="M906" s="30"/>
      <c r="O906" s="32"/>
      <c r="P906" s="32"/>
      <c r="S906" s="32"/>
    </row>
    <row r="907">
      <c r="D907" s="29"/>
      <c r="F907" s="31"/>
      <c r="G907" s="30"/>
      <c r="H907" s="30"/>
      <c r="J907" s="29"/>
      <c r="L907" s="30"/>
      <c r="M907" s="30"/>
      <c r="O907" s="32"/>
      <c r="P907" s="32"/>
      <c r="S907" s="32"/>
    </row>
    <row r="908">
      <c r="D908" s="29"/>
      <c r="F908" s="31"/>
      <c r="G908" s="30"/>
      <c r="H908" s="30"/>
      <c r="J908" s="29"/>
      <c r="L908" s="30"/>
      <c r="M908" s="30"/>
      <c r="O908" s="32"/>
      <c r="P908" s="32"/>
      <c r="S908" s="32"/>
    </row>
    <row r="909">
      <c r="D909" s="29"/>
      <c r="F909" s="31"/>
      <c r="G909" s="30"/>
      <c r="H909" s="30"/>
      <c r="J909" s="29"/>
      <c r="L909" s="30"/>
      <c r="M909" s="30"/>
      <c r="O909" s="32"/>
      <c r="P909" s="32"/>
      <c r="S909" s="32"/>
    </row>
    <row r="910">
      <c r="D910" s="29"/>
      <c r="F910" s="31"/>
      <c r="G910" s="30"/>
      <c r="H910" s="30"/>
      <c r="J910" s="29"/>
      <c r="L910" s="30"/>
      <c r="M910" s="30"/>
      <c r="O910" s="32"/>
      <c r="P910" s="32"/>
      <c r="S910" s="32"/>
    </row>
    <row r="911">
      <c r="D911" s="29"/>
      <c r="F911" s="31"/>
      <c r="G911" s="30"/>
      <c r="H911" s="30"/>
      <c r="J911" s="29"/>
      <c r="L911" s="30"/>
      <c r="M911" s="30"/>
      <c r="O911" s="32"/>
      <c r="P911" s="32"/>
      <c r="S911" s="32"/>
    </row>
    <row r="912">
      <c r="D912" s="29"/>
      <c r="F912" s="31"/>
      <c r="G912" s="30"/>
      <c r="H912" s="30"/>
      <c r="J912" s="29"/>
      <c r="L912" s="30"/>
      <c r="M912" s="30"/>
      <c r="O912" s="32"/>
      <c r="P912" s="32"/>
      <c r="S912" s="32"/>
    </row>
    <row r="913">
      <c r="D913" s="29"/>
      <c r="F913" s="31"/>
      <c r="G913" s="30"/>
      <c r="H913" s="30"/>
      <c r="J913" s="29"/>
      <c r="L913" s="30"/>
      <c r="M913" s="30"/>
      <c r="O913" s="32"/>
      <c r="P913" s="32"/>
      <c r="S913" s="32"/>
    </row>
    <row r="914">
      <c r="D914" s="29"/>
      <c r="F914" s="31"/>
      <c r="G914" s="30"/>
      <c r="H914" s="30"/>
      <c r="J914" s="29"/>
      <c r="L914" s="30"/>
      <c r="M914" s="30"/>
      <c r="O914" s="32"/>
      <c r="P914" s="32"/>
      <c r="S914" s="32"/>
    </row>
    <row r="915">
      <c r="D915" s="29"/>
      <c r="F915" s="31"/>
      <c r="G915" s="30"/>
      <c r="H915" s="30"/>
      <c r="J915" s="29"/>
      <c r="L915" s="30"/>
      <c r="M915" s="30"/>
      <c r="O915" s="32"/>
      <c r="P915" s="32"/>
      <c r="S915" s="32"/>
    </row>
    <row r="916">
      <c r="D916" s="29"/>
      <c r="F916" s="31"/>
      <c r="G916" s="30"/>
      <c r="H916" s="30"/>
      <c r="J916" s="29"/>
      <c r="L916" s="30"/>
      <c r="M916" s="30"/>
      <c r="O916" s="32"/>
      <c r="P916" s="32"/>
      <c r="S916" s="32"/>
    </row>
    <row r="917">
      <c r="D917" s="29"/>
      <c r="F917" s="31"/>
      <c r="G917" s="30"/>
      <c r="H917" s="30"/>
      <c r="J917" s="29"/>
      <c r="L917" s="30"/>
      <c r="M917" s="30"/>
      <c r="O917" s="32"/>
      <c r="P917" s="32"/>
      <c r="S917" s="32"/>
    </row>
    <row r="918">
      <c r="D918" s="29"/>
      <c r="F918" s="31"/>
      <c r="G918" s="30"/>
      <c r="H918" s="30"/>
      <c r="J918" s="29"/>
      <c r="L918" s="30"/>
      <c r="M918" s="30"/>
      <c r="O918" s="32"/>
      <c r="P918" s="32"/>
      <c r="S918" s="32"/>
    </row>
    <row r="919">
      <c r="D919" s="29"/>
      <c r="F919" s="31"/>
      <c r="G919" s="30"/>
      <c r="H919" s="30"/>
      <c r="J919" s="29"/>
      <c r="L919" s="30"/>
      <c r="M919" s="30"/>
      <c r="O919" s="32"/>
      <c r="P919" s="32"/>
      <c r="S919" s="32"/>
    </row>
    <row r="920">
      <c r="D920" s="29"/>
      <c r="F920" s="31"/>
      <c r="G920" s="30"/>
      <c r="H920" s="30"/>
      <c r="J920" s="29"/>
      <c r="L920" s="30"/>
      <c r="M920" s="30"/>
      <c r="O920" s="32"/>
      <c r="P920" s="32"/>
      <c r="S920" s="32"/>
    </row>
    <row r="921">
      <c r="D921" s="29"/>
      <c r="F921" s="31"/>
      <c r="G921" s="30"/>
      <c r="H921" s="30"/>
      <c r="J921" s="29"/>
      <c r="L921" s="30"/>
      <c r="M921" s="30"/>
      <c r="O921" s="32"/>
      <c r="P921" s="32"/>
      <c r="S921" s="32"/>
    </row>
    <row r="922">
      <c r="D922" s="29"/>
      <c r="F922" s="31"/>
      <c r="G922" s="30"/>
      <c r="H922" s="30"/>
      <c r="J922" s="29"/>
      <c r="L922" s="30"/>
      <c r="M922" s="30"/>
      <c r="O922" s="32"/>
      <c r="P922" s="32"/>
      <c r="S922" s="32"/>
    </row>
    <row r="923">
      <c r="D923" s="29"/>
      <c r="F923" s="31"/>
      <c r="G923" s="30"/>
      <c r="H923" s="30"/>
      <c r="J923" s="29"/>
      <c r="L923" s="30"/>
      <c r="M923" s="30"/>
      <c r="O923" s="32"/>
      <c r="P923" s="32"/>
      <c r="S923" s="32"/>
    </row>
    <row r="924">
      <c r="D924" s="29"/>
      <c r="F924" s="31"/>
      <c r="G924" s="30"/>
      <c r="H924" s="30"/>
      <c r="J924" s="29"/>
      <c r="L924" s="30"/>
      <c r="M924" s="30"/>
      <c r="O924" s="32"/>
      <c r="P924" s="32"/>
      <c r="S924" s="32"/>
    </row>
    <row r="925">
      <c r="D925" s="29"/>
      <c r="F925" s="31"/>
      <c r="G925" s="30"/>
      <c r="H925" s="30"/>
      <c r="J925" s="29"/>
      <c r="L925" s="30"/>
      <c r="M925" s="30"/>
      <c r="O925" s="32"/>
      <c r="P925" s="32"/>
      <c r="S925" s="32"/>
    </row>
    <row r="926">
      <c r="D926" s="29"/>
      <c r="F926" s="31"/>
      <c r="G926" s="30"/>
      <c r="H926" s="30"/>
      <c r="J926" s="29"/>
      <c r="L926" s="30"/>
      <c r="M926" s="30"/>
      <c r="O926" s="32"/>
      <c r="P926" s="32"/>
      <c r="S926" s="32"/>
    </row>
    <row r="927">
      <c r="D927" s="29"/>
      <c r="F927" s="31"/>
      <c r="G927" s="30"/>
      <c r="H927" s="30"/>
      <c r="J927" s="29"/>
      <c r="L927" s="30"/>
      <c r="M927" s="30"/>
      <c r="O927" s="32"/>
      <c r="P927" s="32"/>
      <c r="S927" s="32"/>
    </row>
    <row r="928">
      <c r="D928" s="29"/>
      <c r="F928" s="31"/>
      <c r="G928" s="30"/>
      <c r="H928" s="30"/>
      <c r="J928" s="29"/>
      <c r="L928" s="30"/>
      <c r="M928" s="30"/>
      <c r="O928" s="32"/>
      <c r="P928" s="32"/>
      <c r="S928" s="32"/>
    </row>
    <row r="929">
      <c r="D929" s="29"/>
      <c r="F929" s="31"/>
      <c r="G929" s="30"/>
      <c r="H929" s="30"/>
      <c r="J929" s="29"/>
      <c r="L929" s="30"/>
      <c r="M929" s="30"/>
      <c r="O929" s="32"/>
      <c r="P929" s="32"/>
      <c r="S929" s="32"/>
    </row>
    <row r="930">
      <c r="D930" s="29"/>
      <c r="F930" s="31"/>
      <c r="G930" s="30"/>
      <c r="H930" s="30"/>
      <c r="J930" s="29"/>
      <c r="L930" s="30"/>
      <c r="M930" s="30"/>
      <c r="O930" s="32"/>
      <c r="P930" s="32"/>
      <c r="S930" s="32"/>
    </row>
    <row r="931">
      <c r="D931" s="29"/>
      <c r="F931" s="31"/>
      <c r="G931" s="30"/>
      <c r="H931" s="30"/>
      <c r="J931" s="29"/>
      <c r="L931" s="30"/>
      <c r="M931" s="30"/>
      <c r="O931" s="32"/>
      <c r="P931" s="32"/>
      <c r="S931" s="32"/>
    </row>
    <row r="932">
      <c r="D932" s="29"/>
      <c r="F932" s="31"/>
      <c r="G932" s="30"/>
      <c r="H932" s="30"/>
      <c r="J932" s="29"/>
      <c r="L932" s="30"/>
      <c r="M932" s="30"/>
      <c r="O932" s="32"/>
      <c r="P932" s="32"/>
      <c r="S932" s="3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13"/>
    <col customWidth="1" min="2" max="16" width="9.5"/>
  </cols>
  <sheetData>
    <row r="1">
      <c r="A1" s="1"/>
      <c r="B1" s="3" t="s">
        <v>0</v>
      </c>
      <c r="C1" s="2" t="s">
        <v>2</v>
      </c>
      <c r="D1" s="2" t="s">
        <v>3</v>
      </c>
      <c r="E1" s="2" t="s">
        <v>4</v>
      </c>
      <c r="F1" s="2" t="s">
        <v>6</v>
      </c>
      <c r="G1" s="6" t="s">
        <v>8</v>
      </c>
      <c r="H1" s="6" t="s">
        <v>10</v>
      </c>
      <c r="I1" s="2" t="s">
        <v>12</v>
      </c>
      <c r="J1" s="2" t="s">
        <v>14</v>
      </c>
      <c r="K1" s="2" t="s">
        <v>16</v>
      </c>
      <c r="L1" s="6" t="s">
        <v>19</v>
      </c>
      <c r="M1" s="6" t="s">
        <v>22</v>
      </c>
      <c r="N1" s="2" t="s">
        <v>24</v>
      </c>
      <c r="O1" s="9" t="s">
        <v>26</v>
      </c>
      <c r="P1" s="9" t="s">
        <v>28</v>
      </c>
    </row>
    <row r="2">
      <c r="A2" s="2" t="s">
        <v>105</v>
      </c>
      <c r="B2" s="10">
        <v>3.0</v>
      </c>
      <c r="C2" s="12">
        <f t="shared" ref="C2:C139" si="1">B2*4</f>
        <v>12</v>
      </c>
      <c r="D2" s="11">
        <v>7.0</v>
      </c>
      <c r="E2" s="11">
        <v>3.0</v>
      </c>
      <c r="F2" s="12">
        <f t="shared" ref="F2:F139" si="2">D2+E2</f>
        <v>10</v>
      </c>
      <c r="G2" s="16">
        <f t="shared" ref="G2:G139" si="3">F2/C2</f>
        <v>0.8333333333</v>
      </c>
      <c r="H2" s="16">
        <f t="shared" ref="H2:H56" si="4">D2/F2</f>
        <v>0.7</v>
      </c>
      <c r="I2" s="12">
        <f t="shared" ref="I2:I139" si="5">J2+K2</f>
        <v>0</v>
      </c>
      <c r="J2" s="11">
        <v>0.0</v>
      </c>
      <c r="K2" s="11">
        <v>0.0</v>
      </c>
      <c r="L2" s="16">
        <f t="shared" ref="L2:L139" si="6">I2/C2</f>
        <v>0</v>
      </c>
      <c r="M2" s="16" t="str">
        <f t="shared" ref="M2:M139" si="7">J2/I2</f>
        <v>#DIV/0!</v>
      </c>
      <c r="N2" s="12">
        <f t="shared" ref="N2:N139" si="8">4*(D2-K2)</f>
        <v>28</v>
      </c>
      <c r="O2" s="18">
        <f t="shared" ref="O2:O139" si="9">N2/C2</f>
        <v>2.333333333</v>
      </c>
      <c r="P2" s="18">
        <f t="shared" ref="P2:P139" si="10">N2/B2</f>
        <v>9.333333333</v>
      </c>
    </row>
    <row r="3">
      <c r="A3" s="2" t="s">
        <v>54</v>
      </c>
      <c r="B3" s="10">
        <v>3.0</v>
      </c>
      <c r="C3" s="12">
        <f t="shared" si="1"/>
        <v>12</v>
      </c>
      <c r="D3" s="11">
        <v>7.0</v>
      </c>
      <c r="E3" s="11">
        <v>4.0</v>
      </c>
      <c r="F3" s="12">
        <f t="shared" si="2"/>
        <v>11</v>
      </c>
      <c r="G3" s="16">
        <f t="shared" si="3"/>
        <v>0.9166666667</v>
      </c>
      <c r="H3" s="16">
        <f t="shared" si="4"/>
        <v>0.6363636364</v>
      </c>
      <c r="I3" s="12">
        <f t="shared" si="5"/>
        <v>0</v>
      </c>
      <c r="J3" s="11">
        <v>0.0</v>
      </c>
      <c r="K3" s="11">
        <v>0.0</v>
      </c>
      <c r="L3" s="16">
        <f t="shared" si="6"/>
        <v>0</v>
      </c>
      <c r="M3" s="16" t="str">
        <f t="shared" si="7"/>
        <v>#DIV/0!</v>
      </c>
      <c r="N3" s="12">
        <f t="shared" si="8"/>
        <v>28</v>
      </c>
      <c r="O3" s="18">
        <f t="shared" si="9"/>
        <v>2.333333333</v>
      </c>
      <c r="P3" s="18">
        <f t="shared" si="10"/>
        <v>9.333333333</v>
      </c>
    </row>
    <row r="4">
      <c r="A4" s="2" t="s">
        <v>48</v>
      </c>
      <c r="B4" s="10">
        <v>3.0</v>
      </c>
      <c r="C4" s="12">
        <f t="shared" si="1"/>
        <v>12</v>
      </c>
      <c r="D4" s="11">
        <v>6.0</v>
      </c>
      <c r="E4" s="11">
        <v>2.0</v>
      </c>
      <c r="F4" s="12">
        <f t="shared" si="2"/>
        <v>8</v>
      </c>
      <c r="G4" s="16">
        <f t="shared" si="3"/>
        <v>0.6666666667</v>
      </c>
      <c r="H4" s="16">
        <f t="shared" si="4"/>
        <v>0.75</v>
      </c>
      <c r="I4" s="12">
        <f t="shared" si="5"/>
        <v>0</v>
      </c>
      <c r="J4" s="11">
        <v>0.0</v>
      </c>
      <c r="K4" s="11">
        <v>0.0</v>
      </c>
      <c r="L4" s="16">
        <f t="shared" si="6"/>
        <v>0</v>
      </c>
      <c r="M4" s="16" t="str">
        <f t="shared" si="7"/>
        <v>#DIV/0!</v>
      </c>
      <c r="N4" s="12">
        <f t="shared" si="8"/>
        <v>24</v>
      </c>
      <c r="O4" s="18">
        <f t="shared" si="9"/>
        <v>2</v>
      </c>
      <c r="P4" s="18">
        <f t="shared" si="10"/>
        <v>8</v>
      </c>
    </row>
    <row r="5">
      <c r="A5" s="2" t="s">
        <v>80</v>
      </c>
      <c r="B5" s="10">
        <v>3.0</v>
      </c>
      <c r="C5" s="12">
        <f t="shared" si="1"/>
        <v>12</v>
      </c>
      <c r="D5" s="11">
        <v>6.0</v>
      </c>
      <c r="E5" s="20">
        <v>4.0</v>
      </c>
      <c r="F5" s="21">
        <f t="shared" si="2"/>
        <v>10</v>
      </c>
      <c r="G5" s="23">
        <f t="shared" si="3"/>
        <v>0.8333333333</v>
      </c>
      <c r="H5" s="23">
        <f t="shared" si="4"/>
        <v>0.6</v>
      </c>
      <c r="I5" s="12">
        <f t="shared" si="5"/>
        <v>0</v>
      </c>
      <c r="J5" s="11">
        <v>0.0</v>
      </c>
      <c r="K5" s="11">
        <v>0.0</v>
      </c>
      <c r="L5" s="16">
        <f t="shared" si="6"/>
        <v>0</v>
      </c>
      <c r="M5" s="16" t="str">
        <f t="shared" si="7"/>
        <v>#DIV/0!</v>
      </c>
      <c r="N5" s="12">
        <f t="shared" si="8"/>
        <v>24</v>
      </c>
      <c r="O5" s="18">
        <f t="shared" si="9"/>
        <v>2</v>
      </c>
      <c r="P5" s="18">
        <f t="shared" si="10"/>
        <v>8</v>
      </c>
    </row>
    <row r="6">
      <c r="A6" s="2" t="s">
        <v>46</v>
      </c>
      <c r="B6" s="10">
        <v>3.0</v>
      </c>
      <c r="C6" s="12">
        <f t="shared" si="1"/>
        <v>12</v>
      </c>
      <c r="D6" s="11">
        <v>5.0</v>
      </c>
      <c r="E6" s="11">
        <v>2.0</v>
      </c>
      <c r="F6" s="12">
        <f t="shared" si="2"/>
        <v>7</v>
      </c>
      <c r="G6" s="16">
        <f t="shared" si="3"/>
        <v>0.5833333333</v>
      </c>
      <c r="H6" s="16">
        <f t="shared" si="4"/>
        <v>0.7142857143</v>
      </c>
      <c r="I6" s="12">
        <f t="shared" si="5"/>
        <v>0</v>
      </c>
      <c r="J6" s="11">
        <v>0.0</v>
      </c>
      <c r="K6" s="11">
        <v>0.0</v>
      </c>
      <c r="L6" s="16">
        <f t="shared" si="6"/>
        <v>0</v>
      </c>
      <c r="M6" s="16" t="str">
        <f t="shared" si="7"/>
        <v>#DIV/0!</v>
      </c>
      <c r="N6" s="12">
        <f t="shared" si="8"/>
        <v>20</v>
      </c>
      <c r="O6" s="18">
        <f t="shared" si="9"/>
        <v>1.666666667</v>
      </c>
      <c r="P6" s="18">
        <f t="shared" si="10"/>
        <v>6.666666667</v>
      </c>
    </row>
    <row r="7">
      <c r="A7" s="2" t="s">
        <v>94</v>
      </c>
      <c r="B7" s="10">
        <v>1.5</v>
      </c>
      <c r="C7" s="12">
        <f t="shared" si="1"/>
        <v>6</v>
      </c>
      <c r="D7" s="11">
        <v>2.0</v>
      </c>
      <c r="E7" s="11">
        <v>1.0</v>
      </c>
      <c r="F7" s="12">
        <f t="shared" si="2"/>
        <v>3</v>
      </c>
      <c r="G7" s="16">
        <f t="shared" si="3"/>
        <v>0.5</v>
      </c>
      <c r="H7" s="16">
        <f t="shared" si="4"/>
        <v>0.6666666667</v>
      </c>
      <c r="I7" s="12">
        <f t="shared" si="5"/>
        <v>0</v>
      </c>
      <c r="J7" s="11">
        <v>0.0</v>
      </c>
      <c r="K7" s="11">
        <v>0.0</v>
      </c>
      <c r="L7" s="16">
        <f t="shared" si="6"/>
        <v>0</v>
      </c>
      <c r="M7" s="16" t="str">
        <f t="shared" si="7"/>
        <v>#DIV/0!</v>
      </c>
      <c r="N7" s="12">
        <f t="shared" si="8"/>
        <v>8</v>
      </c>
      <c r="O7" s="18">
        <f t="shared" si="9"/>
        <v>1.333333333</v>
      </c>
      <c r="P7" s="18">
        <f t="shared" si="10"/>
        <v>5.333333333</v>
      </c>
    </row>
    <row r="8">
      <c r="A8" s="2" t="s">
        <v>124</v>
      </c>
      <c r="B8" s="10">
        <v>1.5</v>
      </c>
      <c r="C8" s="12">
        <f t="shared" si="1"/>
        <v>6</v>
      </c>
      <c r="D8" s="11">
        <v>2.0</v>
      </c>
      <c r="E8" s="11">
        <v>1.0</v>
      </c>
      <c r="F8" s="12">
        <f t="shared" si="2"/>
        <v>3</v>
      </c>
      <c r="G8" s="16">
        <f t="shared" si="3"/>
        <v>0.5</v>
      </c>
      <c r="H8" s="16">
        <f t="shared" si="4"/>
        <v>0.6666666667</v>
      </c>
      <c r="I8" s="12">
        <f t="shared" si="5"/>
        <v>0</v>
      </c>
      <c r="J8" s="11">
        <v>0.0</v>
      </c>
      <c r="K8" s="11">
        <v>0.0</v>
      </c>
      <c r="L8" s="16">
        <f t="shared" si="6"/>
        <v>0</v>
      </c>
      <c r="M8" s="16" t="str">
        <f t="shared" si="7"/>
        <v>#DIV/0!</v>
      </c>
      <c r="N8" s="12">
        <f t="shared" si="8"/>
        <v>8</v>
      </c>
      <c r="O8" s="18">
        <f t="shared" si="9"/>
        <v>1.333333333</v>
      </c>
      <c r="P8" s="18">
        <f t="shared" si="10"/>
        <v>5.333333333</v>
      </c>
    </row>
    <row r="9">
      <c r="A9" s="2" t="s">
        <v>49</v>
      </c>
      <c r="B9" s="10">
        <v>3.0</v>
      </c>
      <c r="C9" s="12">
        <f t="shared" si="1"/>
        <v>12</v>
      </c>
      <c r="D9" s="11">
        <v>4.0</v>
      </c>
      <c r="E9" s="11">
        <v>4.0</v>
      </c>
      <c r="F9" s="12">
        <f t="shared" si="2"/>
        <v>8</v>
      </c>
      <c r="G9" s="16">
        <f t="shared" si="3"/>
        <v>0.6666666667</v>
      </c>
      <c r="H9" s="16">
        <f t="shared" si="4"/>
        <v>0.5</v>
      </c>
      <c r="I9" s="12">
        <f t="shared" si="5"/>
        <v>0</v>
      </c>
      <c r="J9" s="11">
        <v>0.0</v>
      </c>
      <c r="K9" s="11">
        <v>0.0</v>
      </c>
      <c r="L9" s="16">
        <f t="shared" si="6"/>
        <v>0</v>
      </c>
      <c r="M9" s="16" t="str">
        <f t="shared" si="7"/>
        <v>#DIV/0!</v>
      </c>
      <c r="N9" s="12">
        <f t="shared" si="8"/>
        <v>16</v>
      </c>
      <c r="O9" s="18">
        <f t="shared" si="9"/>
        <v>1.333333333</v>
      </c>
      <c r="P9" s="18">
        <f t="shared" si="10"/>
        <v>5.333333333</v>
      </c>
    </row>
    <row r="10">
      <c r="A10" s="2" t="s">
        <v>57</v>
      </c>
      <c r="B10" s="10">
        <v>3.0</v>
      </c>
      <c r="C10" s="12">
        <f t="shared" si="1"/>
        <v>12</v>
      </c>
      <c r="D10" s="11">
        <v>3.0</v>
      </c>
      <c r="E10" s="11">
        <v>1.0</v>
      </c>
      <c r="F10" s="12">
        <f t="shared" si="2"/>
        <v>4</v>
      </c>
      <c r="G10" s="16">
        <f t="shared" si="3"/>
        <v>0.3333333333</v>
      </c>
      <c r="H10" s="16">
        <f t="shared" si="4"/>
        <v>0.75</v>
      </c>
      <c r="I10" s="12">
        <f t="shared" si="5"/>
        <v>1</v>
      </c>
      <c r="J10" s="11">
        <v>1.0</v>
      </c>
      <c r="K10" s="11">
        <v>0.0</v>
      </c>
      <c r="L10" s="16">
        <f t="shared" si="6"/>
        <v>0.08333333333</v>
      </c>
      <c r="M10" s="16">
        <f t="shared" si="7"/>
        <v>1</v>
      </c>
      <c r="N10" s="12">
        <f t="shared" si="8"/>
        <v>12</v>
      </c>
      <c r="O10" s="18">
        <f t="shared" si="9"/>
        <v>1</v>
      </c>
      <c r="P10" s="18">
        <f t="shared" si="10"/>
        <v>4</v>
      </c>
    </row>
    <row r="11">
      <c r="A11" s="2" t="s">
        <v>135</v>
      </c>
      <c r="B11" s="10">
        <v>3.0</v>
      </c>
      <c r="C11" s="12">
        <f t="shared" si="1"/>
        <v>12</v>
      </c>
      <c r="D11" s="11">
        <v>3.0</v>
      </c>
      <c r="E11" s="11">
        <v>1.0</v>
      </c>
      <c r="F11" s="12">
        <f t="shared" si="2"/>
        <v>4</v>
      </c>
      <c r="G11" s="16">
        <f t="shared" si="3"/>
        <v>0.3333333333</v>
      </c>
      <c r="H11" s="16">
        <f t="shared" si="4"/>
        <v>0.75</v>
      </c>
      <c r="I11" s="12">
        <f t="shared" si="5"/>
        <v>1</v>
      </c>
      <c r="J11" s="11">
        <v>1.0</v>
      </c>
      <c r="K11" s="11">
        <v>0.0</v>
      </c>
      <c r="L11" s="16">
        <f t="shared" si="6"/>
        <v>0.08333333333</v>
      </c>
      <c r="M11" s="16">
        <f t="shared" si="7"/>
        <v>1</v>
      </c>
      <c r="N11" s="12">
        <f t="shared" si="8"/>
        <v>12</v>
      </c>
      <c r="O11" s="18">
        <f t="shared" si="9"/>
        <v>1</v>
      </c>
      <c r="P11" s="18">
        <f t="shared" si="10"/>
        <v>4</v>
      </c>
    </row>
    <row r="12">
      <c r="A12" s="2" t="s">
        <v>137</v>
      </c>
      <c r="B12" s="10">
        <v>2.0</v>
      </c>
      <c r="C12" s="12">
        <f t="shared" si="1"/>
        <v>8</v>
      </c>
      <c r="D12" s="11">
        <v>2.0</v>
      </c>
      <c r="E12" s="11">
        <v>3.0</v>
      </c>
      <c r="F12" s="12">
        <f t="shared" si="2"/>
        <v>5</v>
      </c>
      <c r="G12" s="16">
        <f t="shared" si="3"/>
        <v>0.625</v>
      </c>
      <c r="H12" s="16">
        <f t="shared" si="4"/>
        <v>0.4</v>
      </c>
      <c r="I12" s="12">
        <f t="shared" si="5"/>
        <v>0</v>
      </c>
      <c r="J12" s="11">
        <v>0.0</v>
      </c>
      <c r="K12" s="11">
        <v>0.0</v>
      </c>
      <c r="L12" s="16">
        <f t="shared" si="6"/>
        <v>0</v>
      </c>
      <c r="M12" s="16" t="str">
        <f t="shared" si="7"/>
        <v>#DIV/0!</v>
      </c>
      <c r="N12" s="12">
        <f t="shared" si="8"/>
        <v>8</v>
      </c>
      <c r="O12" s="18">
        <f t="shared" si="9"/>
        <v>1</v>
      </c>
      <c r="P12" s="18">
        <f t="shared" si="10"/>
        <v>4</v>
      </c>
    </row>
    <row r="13">
      <c r="A13" s="2" t="s">
        <v>122</v>
      </c>
      <c r="B13" s="10">
        <v>3.0</v>
      </c>
      <c r="C13" s="12">
        <f t="shared" si="1"/>
        <v>12</v>
      </c>
      <c r="D13" s="11">
        <v>3.0</v>
      </c>
      <c r="E13" s="11">
        <v>5.0</v>
      </c>
      <c r="F13" s="12">
        <f t="shared" si="2"/>
        <v>8</v>
      </c>
      <c r="G13" s="16">
        <f t="shared" si="3"/>
        <v>0.6666666667</v>
      </c>
      <c r="H13" s="16">
        <f t="shared" si="4"/>
        <v>0.375</v>
      </c>
      <c r="I13" s="12">
        <f t="shared" si="5"/>
        <v>0</v>
      </c>
      <c r="J13" s="11">
        <v>0.0</v>
      </c>
      <c r="K13" s="11">
        <v>0.0</v>
      </c>
      <c r="L13" s="16">
        <f t="shared" si="6"/>
        <v>0</v>
      </c>
      <c r="M13" s="16" t="str">
        <f t="shared" si="7"/>
        <v>#DIV/0!</v>
      </c>
      <c r="N13" s="12">
        <f t="shared" si="8"/>
        <v>12</v>
      </c>
      <c r="O13" s="18">
        <f t="shared" si="9"/>
        <v>1</v>
      </c>
      <c r="P13" s="18">
        <f t="shared" si="10"/>
        <v>4</v>
      </c>
    </row>
    <row r="14">
      <c r="A14" s="2" t="s">
        <v>40</v>
      </c>
      <c r="B14" s="10">
        <v>1.0</v>
      </c>
      <c r="C14" s="12">
        <f t="shared" si="1"/>
        <v>4</v>
      </c>
      <c r="D14" s="11">
        <v>1.0</v>
      </c>
      <c r="E14" s="11">
        <v>2.0</v>
      </c>
      <c r="F14" s="12">
        <f t="shared" si="2"/>
        <v>3</v>
      </c>
      <c r="G14" s="16">
        <f t="shared" si="3"/>
        <v>0.75</v>
      </c>
      <c r="H14" s="16">
        <f t="shared" si="4"/>
        <v>0.3333333333</v>
      </c>
      <c r="I14" s="12">
        <f t="shared" si="5"/>
        <v>0</v>
      </c>
      <c r="J14" s="11">
        <v>0.0</v>
      </c>
      <c r="K14" s="11">
        <v>0.0</v>
      </c>
      <c r="L14" s="16">
        <f t="shared" si="6"/>
        <v>0</v>
      </c>
      <c r="M14" s="16" t="str">
        <f t="shared" si="7"/>
        <v>#DIV/0!</v>
      </c>
      <c r="N14" s="12">
        <f t="shared" si="8"/>
        <v>4</v>
      </c>
      <c r="O14" s="18">
        <f t="shared" si="9"/>
        <v>1</v>
      </c>
      <c r="P14" s="18">
        <f t="shared" si="10"/>
        <v>4</v>
      </c>
    </row>
    <row r="15">
      <c r="A15" s="2" t="s">
        <v>55</v>
      </c>
      <c r="B15" s="10">
        <v>2.5</v>
      </c>
      <c r="C15" s="12">
        <f t="shared" si="1"/>
        <v>10</v>
      </c>
      <c r="D15" s="11">
        <v>2.0</v>
      </c>
      <c r="E15" s="20">
        <v>0.0</v>
      </c>
      <c r="F15" s="21">
        <f t="shared" si="2"/>
        <v>2</v>
      </c>
      <c r="G15" s="23">
        <f t="shared" si="3"/>
        <v>0.2</v>
      </c>
      <c r="H15" s="23">
        <f t="shared" si="4"/>
        <v>1</v>
      </c>
      <c r="I15" s="12">
        <f t="shared" si="5"/>
        <v>1</v>
      </c>
      <c r="J15" s="11">
        <v>1.0</v>
      </c>
      <c r="K15" s="11">
        <v>0.0</v>
      </c>
      <c r="L15" s="16">
        <f t="shared" si="6"/>
        <v>0.1</v>
      </c>
      <c r="M15" s="16">
        <f t="shared" si="7"/>
        <v>1</v>
      </c>
      <c r="N15" s="12">
        <f t="shared" si="8"/>
        <v>8</v>
      </c>
      <c r="O15" s="18">
        <f t="shared" si="9"/>
        <v>0.8</v>
      </c>
      <c r="P15" s="18">
        <f t="shared" si="10"/>
        <v>3.2</v>
      </c>
    </row>
    <row r="16">
      <c r="A16" s="2" t="s">
        <v>132</v>
      </c>
      <c r="B16" s="10">
        <v>3.0</v>
      </c>
      <c r="C16" s="12">
        <f t="shared" si="1"/>
        <v>12</v>
      </c>
      <c r="D16" s="11">
        <v>2.0</v>
      </c>
      <c r="E16" s="20">
        <v>0.0</v>
      </c>
      <c r="F16" s="21">
        <f t="shared" si="2"/>
        <v>2</v>
      </c>
      <c r="G16" s="23">
        <f t="shared" si="3"/>
        <v>0.1666666667</v>
      </c>
      <c r="H16" s="23">
        <f t="shared" si="4"/>
        <v>1</v>
      </c>
      <c r="I16" s="12">
        <f t="shared" si="5"/>
        <v>0</v>
      </c>
      <c r="J16" s="11">
        <v>0.0</v>
      </c>
      <c r="K16" s="11">
        <v>0.0</v>
      </c>
      <c r="L16" s="16">
        <f t="shared" si="6"/>
        <v>0</v>
      </c>
      <c r="M16" s="16" t="str">
        <f t="shared" si="7"/>
        <v>#DIV/0!</v>
      </c>
      <c r="N16" s="12">
        <f t="shared" si="8"/>
        <v>8</v>
      </c>
      <c r="O16" s="18">
        <f t="shared" si="9"/>
        <v>0.6666666667</v>
      </c>
      <c r="P16" s="18">
        <f t="shared" si="10"/>
        <v>2.666666667</v>
      </c>
    </row>
    <row r="17">
      <c r="A17" s="2" t="s">
        <v>184</v>
      </c>
      <c r="B17" s="10">
        <v>1.5</v>
      </c>
      <c r="C17" s="12">
        <f t="shared" si="1"/>
        <v>6</v>
      </c>
      <c r="D17" s="11">
        <v>1.0</v>
      </c>
      <c r="E17" s="11">
        <v>0.0</v>
      </c>
      <c r="F17" s="12">
        <f t="shared" si="2"/>
        <v>1</v>
      </c>
      <c r="G17" s="16">
        <f t="shared" si="3"/>
        <v>0.1666666667</v>
      </c>
      <c r="H17" s="16">
        <f t="shared" si="4"/>
        <v>1</v>
      </c>
      <c r="I17" s="12">
        <f t="shared" si="5"/>
        <v>0</v>
      </c>
      <c r="J17" s="11">
        <v>0.0</v>
      </c>
      <c r="K17" s="11">
        <v>0.0</v>
      </c>
      <c r="L17" s="16">
        <f t="shared" si="6"/>
        <v>0</v>
      </c>
      <c r="M17" s="16" t="str">
        <f t="shared" si="7"/>
        <v>#DIV/0!</v>
      </c>
      <c r="N17" s="12">
        <f t="shared" si="8"/>
        <v>4</v>
      </c>
      <c r="O17" s="18">
        <f t="shared" si="9"/>
        <v>0.6666666667</v>
      </c>
      <c r="P17" s="18">
        <f t="shared" si="10"/>
        <v>2.666666667</v>
      </c>
    </row>
    <row r="18">
      <c r="A18" s="2" t="s">
        <v>147</v>
      </c>
      <c r="B18" s="10">
        <v>1.5</v>
      </c>
      <c r="C18" s="12">
        <f t="shared" si="1"/>
        <v>6</v>
      </c>
      <c r="D18" s="11">
        <v>1.0</v>
      </c>
      <c r="E18" s="11">
        <v>0.0</v>
      </c>
      <c r="F18" s="12">
        <f t="shared" si="2"/>
        <v>1</v>
      </c>
      <c r="G18" s="16">
        <f t="shared" si="3"/>
        <v>0.1666666667</v>
      </c>
      <c r="H18" s="16">
        <f t="shared" si="4"/>
        <v>1</v>
      </c>
      <c r="I18" s="12">
        <f t="shared" si="5"/>
        <v>0</v>
      </c>
      <c r="J18" s="11">
        <v>0.0</v>
      </c>
      <c r="K18" s="11">
        <v>0.0</v>
      </c>
      <c r="L18" s="16">
        <f t="shared" si="6"/>
        <v>0</v>
      </c>
      <c r="M18" s="16" t="str">
        <f t="shared" si="7"/>
        <v>#DIV/0!</v>
      </c>
      <c r="N18" s="12">
        <f t="shared" si="8"/>
        <v>4</v>
      </c>
      <c r="O18" s="18">
        <f t="shared" si="9"/>
        <v>0.6666666667</v>
      </c>
      <c r="P18" s="18">
        <f t="shared" si="10"/>
        <v>2.666666667</v>
      </c>
    </row>
    <row r="19">
      <c r="A19" s="2" t="s">
        <v>97</v>
      </c>
      <c r="B19" s="10">
        <v>3.0</v>
      </c>
      <c r="C19" s="12">
        <f t="shared" si="1"/>
        <v>12</v>
      </c>
      <c r="D19" s="11">
        <v>2.0</v>
      </c>
      <c r="E19" s="20">
        <v>0.0</v>
      </c>
      <c r="F19" s="21">
        <f t="shared" si="2"/>
        <v>2</v>
      </c>
      <c r="G19" s="23">
        <f t="shared" si="3"/>
        <v>0.1666666667</v>
      </c>
      <c r="H19" s="23">
        <f t="shared" si="4"/>
        <v>1</v>
      </c>
      <c r="I19" s="12">
        <f t="shared" si="5"/>
        <v>0</v>
      </c>
      <c r="J19" s="11">
        <v>0.0</v>
      </c>
      <c r="K19" s="11">
        <v>0.0</v>
      </c>
      <c r="L19" s="16">
        <f t="shared" si="6"/>
        <v>0</v>
      </c>
      <c r="M19" s="16" t="str">
        <f t="shared" si="7"/>
        <v>#DIV/0!</v>
      </c>
      <c r="N19" s="12">
        <f t="shared" si="8"/>
        <v>8</v>
      </c>
      <c r="O19" s="18">
        <f t="shared" si="9"/>
        <v>0.6666666667</v>
      </c>
      <c r="P19" s="18">
        <f t="shared" si="10"/>
        <v>2.666666667</v>
      </c>
    </row>
    <row r="20">
      <c r="A20" s="2" t="s">
        <v>149</v>
      </c>
      <c r="B20" s="10">
        <v>3.0</v>
      </c>
      <c r="C20" s="12">
        <f t="shared" si="1"/>
        <v>12</v>
      </c>
      <c r="D20" s="11">
        <v>2.0</v>
      </c>
      <c r="E20" s="11">
        <v>1.0</v>
      </c>
      <c r="F20" s="12">
        <f t="shared" si="2"/>
        <v>3</v>
      </c>
      <c r="G20" s="16">
        <f t="shared" si="3"/>
        <v>0.25</v>
      </c>
      <c r="H20" s="16">
        <f t="shared" si="4"/>
        <v>0.6666666667</v>
      </c>
      <c r="I20" s="12">
        <f t="shared" si="5"/>
        <v>0</v>
      </c>
      <c r="J20" s="11">
        <v>0.0</v>
      </c>
      <c r="K20" s="11">
        <v>0.0</v>
      </c>
      <c r="L20" s="16">
        <f t="shared" si="6"/>
        <v>0</v>
      </c>
      <c r="M20" s="16" t="str">
        <f t="shared" si="7"/>
        <v>#DIV/0!</v>
      </c>
      <c r="N20" s="12">
        <f t="shared" si="8"/>
        <v>8</v>
      </c>
      <c r="O20" s="18">
        <f t="shared" si="9"/>
        <v>0.6666666667</v>
      </c>
      <c r="P20" s="18">
        <f t="shared" si="10"/>
        <v>2.666666667</v>
      </c>
    </row>
    <row r="21">
      <c r="A21" s="2" t="s">
        <v>43</v>
      </c>
      <c r="B21" s="10">
        <v>3.0</v>
      </c>
      <c r="C21" s="12">
        <f t="shared" si="1"/>
        <v>12</v>
      </c>
      <c r="D21" s="11">
        <v>2.0</v>
      </c>
      <c r="E21" s="20">
        <v>1.0</v>
      </c>
      <c r="F21" s="21">
        <f t="shared" si="2"/>
        <v>3</v>
      </c>
      <c r="G21" s="23">
        <f t="shared" si="3"/>
        <v>0.25</v>
      </c>
      <c r="H21" s="23">
        <f t="shared" si="4"/>
        <v>0.6666666667</v>
      </c>
      <c r="I21" s="12">
        <f t="shared" si="5"/>
        <v>0</v>
      </c>
      <c r="J21" s="11">
        <v>0.0</v>
      </c>
      <c r="K21" s="11">
        <v>0.0</v>
      </c>
      <c r="L21" s="16">
        <f t="shared" si="6"/>
        <v>0</v>
      </c>
      <c r="M21" s="16" t="str">
        <f t="shared" si="7"/>
        <v>#DIV/0!</v>
      </c>
      <c r="N21" s="12">
        <f t="shared" si="8"/>
        <v>8</v>
      </c>
      <c r="O21" s="18">
        <f t="shared" si="9"/>
        <v>0.6666666667</v>
      </c>
      <c r="P21" s="18">
        <f t="shared" si="10"/>
        <v>2.666666667</v>
      </c>
    </row>
    <row r="22">
      <c r="A22" s="2" t="s">
        <v>82</v>
      </c>
      <c r="B22" s="10">
        <v>3.0</v>
      </c>
      <c r="C22" s="12">
        <f t="shared" si="1"/>
        <v>12</v>
      </c>
      <c r="D22" s="11">
        <v>2.0</v>
      </c>
      <c r="E22" s="11">
        <v>1.0</v>
      </c>
      <c r="F22" s="12">
        <f t="shared" si="2"/>
        <v>3</v>
      </c>
      <c r="G22" s="16">
        <f t="shared" si="3"/>
        <v>0.25</v>
      </c>
      <c r="H22" s="16">
        <f t="shared" si="4"/>
        <v>0.6666666667</v>
      </c>
      <c r="I22" s="12">
        <f t="shared" si="5"/>
        <v>0</v>
      </c>
      <c r="J22" s="11">
        <v>0.0</v>
      </c>
      <c r="K22" s="11">
        <v>0.0</v>
      </c>
      <c r="L22" s="16">
        <f t="shared" si="6"/>
        <v>0</v>
      </c>
      <c r="M22" s="16" t="str">
        <f t="shared" si="7"/>
        <v>#DIV/0!</v>
      </c>
      <c r="N22" s="12">
        <f t="shared" si="8"/>
        <v>8</v>
      </c>
      <c r="O22" s="18">
        <f t="shared" si="9"/>
        <v>0.6666666667</v>
      </c>
      <c r="P22" s="18">
        <f t="shared" si="10"/>
        <v>2.666666667</v>
      </c>
    </row>
    <row r="23">
      <c r="A23" s="2" t="s">
        <v>173</v>
      </c>
      <c r="B23" s="10">
        <v>3.0</v>
      </c>
      <c r="C23" s="12">
        <f t="shared" si="1"/>
        <v>12</v>
      </c>
      <c r="D23" s="11">
        <v>2.0</v>
      </c>
      <c r="E23" s="20">
        <v>1.0</v>
      </c>
      <c r="F23" s="21">
        <f t="shared" si="2"/>
        <v>3</v>
      </c>
      <c r="G23" s="23">
        <f t="shared" si="3"/>
        <v>0.25</v>
      </c>
      <c r="H23" s="23">
        <f t="shared" si="4"/>
        <v>0.6666666667</v>
      </c>
      <c r="I23" s="12">
        <f t="shared" si="5"/>
        <v>1</v>
      </c>
      <c r="J23" s="11">
        <v>1.0</v>
      </c>
      <c r="K23" s="11">
        <v>0.0</v>
      </c>
      <c r="L23" s="16">
        <f t="shared" si="6"/>
        <v>0.08333333333</v>
      </c>
      <c r="M23" s="16">
        <f t="shared" si="7"/>
        <v>1</v>
      </c>
      <c r="N23" s="12">
        <f t="shared" si="8"/>
        <v>8</v>
      </c>
      <c r="O23" s="18">
        <f t="shared" si="9"/>
        <v>0.6666666667</v>
      </c>
      <c r="P23" s="18">
        <f t="shared" si="10"/>
        <v>2.666666667</v>
      </c>
    </row>
    <row r="24">
      <c r="A24" s="2" t="s">
        <v>133</v>
      </c>
      <c r="B24" s="10">
        <v>3.0</v>
      </c>
      <c r="C24" s="12">
        <f t="shared" si="1"/>
        <v>12</v>
      </c>
      <c r="D24" s="11">
        <v>2.0</v>
      </c>
      <c r="E24" s="11">
        <v>2.0</v>
      </c>
      <c r="F24" s="12">
        <f t="shared" si="2"/>
        <v>4</v>
      </c>
      <c r="G24" s="16">
        <f t="shared" si="3"/>
        <v>0.3333333333</v>
      </c>
      <c r="H24" s="16">
        <f t="shared" si="4"/>
        <v>0.5</v>
      </c>
      <c r="I24" s="12">
        <f t="shared" si="5"/>
        <v>1</v>
      </c>
      <c r="J24" s="11">
        <v>1.0</v>
      </c>
      <c r="K24" s="11">
        <v>0.0</v>
      </c>
      <c r="L24" s="16">
        <f t="shared" si="6"/>
        <v>0.08333333333</v>
      </c>
      <c r="M24" s="16">
        <f t="shared" si="7"/>
        <v>1</v>
      </c>
      <c r="N24" s="12">
        <f t="shared" si="8"/>
        <v>8</v>
      </c>
      <c r="O24" s="18">
        <f t="shared" si="9"/>
        <v>0.6666666667</v>
      </c>
      <c r="P24" s="18">
        <f t="shared" si="10"/>
        <v>2.666666667</v>
      </c>
    </row>
    <row r="25">
      <c r="A25" s="2" t="s">
        <v>42</v>
      </c>
      <c r="B25" s="10">
        <v>3.0</v>
      </c>
      <c r="C25" s="12">
        <f t="shared" si="1"/>
        <v>12</v>
      </c>
      <c r="D25" s="11">
        <v>2.0</v>
      </c>
      <c r="E25" s="20">
        <v>3.0</v>
      </c>
      <c r="F25" s="21">
        <f t="shared" si="2"/>
        <v>5</v>
      </c>
      <c r="G25" s="23">
        <f t="shared" si="3"/>
        <v>0.4166666667</v>
      </c>
      <c r="H25" s="23">
        <f t="shared" si="4"/>
        <v>0.4</v>
      </c>
      <c r="I25" s="12">
        <f t="shared" si="5"/>
        <v>0</v>
      </c>
      <c r="J25" s="11">
        <v>0.0</v>
      </c>
      <c r="K25" s="11">
        <v>0.0</v>
      </c>
      <c r="L25" s="16">
        <f t="shared" si="6"/>
        <v>0</v>
      </c>
      <c r="M25" s="16" t="str">
        <f t="shared" si="7"/>
        <v>#DIV/0!</v>
      </c>
      <c r="N25" s="12">
        <f t="shared" si="8"/>
        <v>8</v>
      </c>
      <c r="O25" s="18">
        <f t="shared" si="9"/>
        <v>0.6666666667</v>
      </c>
      <c r="P25" s="18">
        <f t="shared" si="10"/>
        <v>2.666666667</v>
      </c>
    </row>
    <row r="26">
      <c r="A26" s="2" t="s">
        <v>106</v>
      </c>
      <c r="B26" s="10">
        <v>3.0</v>
      </c>
      <c r="C26" s="12">
        <f t="shared" si="1"/>
        <v>12</v>
      </c>
      <c r="D26" s="11">
        <v>2.0</v>
      </c>
      <c r="E26" s="11">
        <v>3.0</v>
      </c>
      <c r="F26" s="12">
        <f t="shared" si="2"/>
        <v>5</v>
      </c>
      <c r="G26" s="16">
        <f t="shared" si="3"/>
        <v>0.4166666667</v>
      </c>
      <c r="H26" s="16">
        <f t="shared" si="4"/>
        <v>0.4</v>
      </c>
      <c r="I26" s="12">
        <f t="shared" si="5"/>
        <v>0</v>
      </c>
      <c r="J26" s="11">
        <v>0.0</v>
      </c>
      <c r="K26" s="11">
        <v>0.0</v>
      </c>
      <c r="L26" s="16">
        <f t="shared" si="6"/>
        <v>0</v>
      </c>
      <c r="M26" s="16" t="str">
        <f t="shared" si="7"/>
        <v>#DIV/0!</v>
      </c>
      <c r="N26" s="12">
        <f t="shared" si="8"/>
        <v>8</v>
      </c>
      <c r="O26" s="18">
        <f t="shared" si="9"/>
        <v>0.6666666667</v>
      </c>
      <c r="P26" s="18">
        <f t="shared" si="10"/>
        <v>2.666666667</v>
      </c>
    </row>
    <row r="27">
      <c r="A27" s="2" t="s">
        <v>86</v>
      </c>
      <c r="B27" s="10">
        <v>3.0</v>
      </c>
      <c r="C27" s="12">
        <f t="shared" si="1"/>
        <v>12</v>
      </c>
      <c r="D27" s="11">
        <v>2.0</v>
      </c>
      <c r="E27" s="11">
        <v>3.0</v>
      </c>
      <c r="F27" s="12">
        <f t="shared" si="2"/>
        <v>5</v>
      </c>
      <c r="G27" s="16">
        <f t="shared" si="3"/>
        <v>0.4166666667</v>
      </c>
      <c r="H27" s="16">
        <f t="shared" si="4"/>
        <v>0.4</v>
      </c>
      <c r="I27" s="12">
        <f t="shared" si="5"/>
        <v>0</v>
      </c>
      <c r="J27" s="11">
        <v>0.0</v>
      </c>
      <c r="K27" s="11">
        <v>0.0</v>
      </c>
      <c r="L27" s="16">
        <f t="shared" si="6"/>
        <v>0</v>
      </c>
      <c r="M27" s="16" t="str">
        <f t="shared" si="7"/>
        <v>#DIV/0!</v>
      </c>
      <c r="N27" s="12">
        <f t="shared" si="8"/>
        <v>8</v>
      </c>
      <c r="O27" s="18">
        <f t="shared" si="9"/>
        <v>0.6666666667</v>
      </c>
      <c r="P27" s="18">
        <f t="shared" si="10"/>
        <v>2.666666667</v>
      </c>
    </row>
    <row r="28">
      <c r="A28" s="2" t="s">
        <v>65</v>
      </c>
      <c r="B28" s="10">
        <v>3.0</v>
      </c>
      <c r="C28" s="12">
        <f t="shared" si="1"/>
        <v>12</v>
      </c>
      <c r="D28" s="11">
        <v>2.0</v>
      </c>
      <c r="E28" s="11">
        <v>3.0</v>
      </c>
      <c r="F28" s="12">
        <f t="shared" si="2"/>
        <v>5</v>
      </c>
      <c r="G28" s="16">
        <f t="shared" si="3"/>
        <v>0.4166666667</v>
      </c>
      <c r="H28" s="16">
        <f t="shared" si="4"/>
        <v>0.4</v>
      </c>
      <c r="I28" s="12">
        <f t="shared" si="5"/>
        <v>0</v>
      </c>
      <c r="J28" s="11">
        <v>0.0</v>
      </c>
      <c r="K28" s="11">
        <v>0.0</v>
      </c>
      <c r="L28" s="16">
        <f t="shared" si="6"/>
        <v>0</v>
      </c>
      <c r="M28" s="16" t="str">
        <f t="shared" si="7"/>
        <v>#DIV/0!</v>
      </c>
      <c r="N28" s="12">
        <f t="shared" si="8"/>
        <v>8</v>
      </c>
      <c r="O28" s="18">
        <f t="shared" si="9"/>
        <v>0.6666666667</v>
      </c>
      <c r="P28" s="18">
        <f t="shared" si="10"/>
        <v>2.666666667</v>
      </c>
    </row>
    <row r="29">
      <c r="A29" s="2" t="s">
        <v>50</v>
      </c>
      <c r="B29" s="10">
        <v>3.0</v>
      </c>
      <c r="C29" s="12">
        <f t="shared" si="1"/>
        <v>12</v>
      </c>
      <c r="D29" s="11">
        <v>2.0</v>
      </c>
      <c r="E29" s="20">
        <v>4.0</v>
      </c>
      <c r="F29" s="21">
        <f t="shared" si="2"/>
        <v>6</v>
      </c>
      <c r="G29" s="23">
        <f t="shared" si="3"/>
        <v>0.5</v>
      </c>
      <c r="H29" s="23">
        <f t="shared" si="4"/>
        <v>0.3333333333</v>
      </c>
      <c r="I29" s="12">
        <f t="shared" si="5"/>
        <v>0</v>
      </c>
      <c r="J29" s="11">
        <v>0.0</v>
      </c>
      <c r="K29" s="11">
        <v>0.0</v>
      </c>
      <c r="L29" s="16">
        <f t="shared" si="6"/>
        <v>0</v>
      </c>
      <c r="M29" s="16" t="str">
        <f t="shared" si="7"/>
        <v>#DIV/0!</v>
      </c>
      <c r="N29" s="12">
        <f t="shared" si="8"/>
        <v>8</v>
      </c>
      <c r="O29" s="18">
        <f t="shared" si="9"/>
        <v>0.6666666667</v>
      </c>
      <c r="P29" s="18">
        <f t="shared" si="10"/>
        <v>2.666666667</v>
      </c>
    </row>
    <row r="30">
      <c r="A30" s="2" t="s">
        <v>61</v>
      </c>
      <c r="B30" s="10">
        <v>3.0</v>
      </c>
      <c r="C30" s="12">
        <f t="shared" si="1"/>
        <v>12</v>
      </c>
      <c r="D30" s="11">
        <v>2.0</v>
      </c>
      <c r="E30" s="11">
        <v>5.0</v>
      </c>
      <c r="F30" s="12">
        <f t="shared" si="2"/>
        <v>7</v>
      </c>
      <c r="G30" s="16">
        <f t="shared" si="3"/>
        <v>0.5833333333</v>
      </c>
      <c r="H30" s="16">
        <f t="shared" si="4"/>
        <v>0.2857142857</v>
      </c>
      <c r="I30" s="12">
        <f t="shared" si="5"/>
        <v>1</v>
      </c>
      <c r="J30" s="11">
        <v>1.0</v>
      </c>
      <c r="K30" s="11">
        <v>0.0</v>
      </c>
      <c r="L30" s="16">
        <f t="shared" si="6"/>
        <v>0.08333333333</v>
      </c>
      <c r="M30" s="16">
        <f t="shared" si="7"/>
        <v>1</v>
      </c>
      <c r="N30" s="12">
        <f t="shared" si="8"/>
        <v>8</v>
      </c>
      <c r="O30" s="18">
        <f t="shared" si="9"/>
        <v>0.6666666667</v>
      </c>
      <c r="P30" s="18">
        <f t="shared" si="10"/>
        <v>2.666666667</v>
      </c>
    </row>
    <row r="31">
      <c r="A31" s="2" t="s">
        <v>170</v>
      </c>
      <c r="B31" s="10">
        <v>2.0</v>
      </c>
      <c r="C31" s="12">
        <f t="shared" si="1"/>
        <v>8</v>
      </c>
      <c r="D31" s="11">
        <v>1.0</v>
      </c>
      <c r="E31" s="11">
        <v>1.0</v>
      </c>
      <c r="F31" s="12">
        <f t="shared" si="2"/>
        <v>2</v>
      </c>
      <c r="G31" s="16">
        <f t="shared" si="3"/>
        <v>0.25</v>
      </c>
      <c r="H31" s="16">
        <f t="shared" si="4"/>
        <v>0.5</v>
      </c>
      <c r="I31" s="12">
        <f t="shared" si="5"/>
        <v>0</v>
      </c>
      <c r="J31" s="11">
        <v>0.0</v>
      </c>
      <c r="K31" s="11">
        <v>0.0</v>
      </c>
      <c r="L31" s="16">
        <f t="shared" si="6"/>
        <v>0</v>
      </c>
      <c r="M31" s="16" t="str">
        <f t="shared" si="7"/>
        <v>#DIV/0!</v>
      </c>
      <c r="N31" s="12">
        <f t="shared" si="8"/>
        <v>4</v>
      </c>
      <c r="O31" s="18">
        <f t="shared" si="9"/>
        <v>0.5</v>
      </c>
      <c r="P31" s="18">
        <f t="shared" si="10"/>
        <v>2</v>
      </c>
    </row>
    <row r="32">
      <c r="A32" s="2" t="s">
        <v>75</v>
      </c>
      <c r="B32" s="10">
        <v>2.0</v>
      </c>
      <c r="C32" s="12">
        <f t="shared" si="1"/>
        <v>8</v>
      </c>
      <c r="D32" s="11">
        <v>1.0</v>
      </c>
      <c r="E32" s="20">
        <v>1.0</v>
      </c>
      <c r="F32" s="21">
        <f t="shared" si="2"/>
        <v>2</v>
      </c>
      <c r="G32" s="23">
        <f t="shared" si="3"/>
        <v>0.25</v>
      </c>
      <c r="H32" s="23">
        <f t="shared" si="4"/>
        <v>0.5</v>
      </c>
      <c r="I32" s="12">
        <f t="shared" si="5"/>
        <v>1</v>
      </c>
      <c r="J32" s="11">
        <v>1.0</v>
      </c>
      <c r="K32" s="11">
        <v>0.0</v>
      </c>
      <c r="L32" s="16">
        <f t="shared" si="6"/>
        <v>0.125</v>
      </c>
      <c r="M32" s="16">
        <f t="shared" si="7"/>
        <v>1</v>
      </c>
      <c r="N32" s="12">
        <f t="shared" si="8"/>
        <v>4</v>
      </c>
      <c r="O32" s="18">
        <f t="shared" si="9"/>
        <v>0.5</v>
      </c>
      <c r="P32" s="18">
        <f t="shared" si="10"/>
        <v>2</v>
      </c>
    </row>
    <row r="33">
      <c r="A33" s="2" t="s">
        <v>99</v>
      </c>
      <c r="B33" s="10">
        <v>2.5</v>
      </c>
      <c r="C33" s="12">
        <f t="shared" si="1"/>
        <v>10</v>
      </c>
      <c r="D33" s="11">
        <v>1.0</v>
      </c>
      <c r="E33" s="11">
        <v>1.0</v>
      </c>
      <c r="F33" s="12">
        <f t="shared" si="2"/>
        <v>2</v>
      </c>
      <c r="G33" s="16">
        <f t="shared" si="3"/>
        <v>0.2</v>
      </c>
      <c r="H33" s="16">
        <f t="shared" si="4"/>
        <v>0.5</v>
      </c>
      <c r="I33" s="12">
        <f t="shared" si="5"/>
        <v>0</v>
      </c>
      <c r="J33" s="11">
        <v>0.0</v>
      </c>
      <c r="K33" s="11">
        <v>0.0</v>
      </c>
      <c r="L33" s="16">
        <f t="shared" si="6"/>
        <v>0</v>
      </c>
      <c r="M33" s="16" t="str">
        <f t="shared" si="7"/>
        <v>#DIV/0!</v>
      </c>
      <c r="N33" s="12">
        <f t="shared" si="8"/>
        <v>4</v>
      </c>
      <c r="O33" s="18">
        <f t="shared" si="9"/>
        <v>0.4</v>
      </c>
      <c r="P33" s="18">
        <f t="shared" si="10"/>
        <v>1.6</v>
      </c>
    </row>
    <row r="34">
      <c r="A34" s="2" t="s">
        <v>161</v>
      </c>
      <c r="B34" s="10">
        <v>2.5</v>
      </c>
      <c r="C34" s="12">
        <f t="shared" si="1"/>
        <v>10</v>
      </c>
      <c r="D34" s="11">
        <v>1.0</v>
      </c>
      <c r="E34" s="11">
        <v>3.0</v>
      </c>
      <c r="F34" s="12">
        <f t="shared" si="2"/>
        <v>4</v>
      </c>
      <c r="G34" s="16">
        <f t="shared" si="3"/>
        <v>0.4</v>
      </c>
      <c r="H34" s="16">
        <f t="shared" si="4"/>
        <v>0.25</v>
      </c>
      <c r="I34" s="12">
        <f t="shared" si="5"/>
        <v>1</v>
      </c>
      <c r="J34" s="11">
        <v>1.0</v>
      </c>
      <c r="K34" s="11">
        <v>0.0</v>
      </c>
      <c r="L34" s="16">
        <f t="shared" si="6"/>
        <v>0.1</v>
      </c>
      <c r="M34" s="16">
        <f t="shared" si="7"/>
        <v>1</v>
      </c>
      <c r="N34" s="12">
        <f t="shared" si="8"/>
        <v>4</v>
      </c>
      <c r="O34" s="18">
        <f t="shared" si="9"/>
        <v>0.4</v>
      </c>
      <c r="P34" s="18">
        <f t="shared" si="10"/>
        <v>1.6</v>
      </c>
    </row>
    <row r="35">
      <c r="A35" s="2" t="s">
        <v>126</v>
      </c>
      <c r="B35" s="10">
        <v>3.0</v>
      </c>
      <c r="C35" s="12">
        <f t="shared" si="1"/>
        <v>12</v>
      </c>
      <c r="D35" s="11">
        <v>1.0</v>
      </c>
      <c r="E35" s="11">
        <v>0.0</v>
      </c>
      <c r="F35" s="12">
        <f t="shared" si="2"/>
        <v>1</v>
      </c>
      <c r="G35" s="16">
        <f t="shared" si="3"/>
        <v>0.08333333333</v>
      </c>
      <c r="H35" s="16">
        <f t="shared" si="4"/>
        <v>1</v>
      </c>
      <c r="I35" s="12">
        <f t="shared" si="5"/>
        <v>0</v>
      </c>
      <c r="J35" s="11">
        <v>0.0</v>
      </c>
      <c r="K35" s="11">
        <v>0.0</v>
      </c>
      <c r="L35" s="16">
        <f t="shared" si="6"/>
        <v>0</v>
      </c>
      <c r="M35" s="16" t="str">
        <f t="shared" si="7"/>
        <v>#DIV/0!</v>
      </c>
      <c r="N35" s="12">
        <f t="shared" si="8"/>
        <v>4</v>
      </c>
      <c r="O35" s="18">
        <f t="shared" si="9"/>
        <v>0.3333333333</v>
      </c>
      <c r="P35" s="18">
        <f t="shared" si="10"/>
        <v>1.333333333</v>
      </c>
    </row>
    <row r="36">
      <c r="A36" s="2" t="s">
        <v>128</v>
      </c>
      <c r="B36" s="10">
        <v>3.0</v>
      </c>
      <c r="C36" s="12">
        <f t="shared" si="1"/>
        <v>12</v>
      </c>
      <c r="D36" s="11">
        <v>1.0</v>
      </c>
      <c r="E36" s="11">
        <v>0.0</v>
      </c>
      <c r="F36" s="12">
        <f t="shared" si="2"/>
        <v>1</v>
      </c>
      <c r="G36" s="16">
        <f t="shared" si="3"/>
        <v>0.08333333333</v>
      </c>
      <c r="H36" s="16">
        <f t="shared" si="4"/>
        <v>1</v>
      </c>
      <c r="I36" s="12">
        <f t="shared" si="5"/>
        <v>0</v>
      </c>
      <c r="J36" s="11">
        <v>0.0</v>
      </c>
      <c r="K36" s="11">
        <v>0.0</v>
      </c>
      <c r="L36" s="16">
        <f t="shared" si="6"/>
        <v>0</v>
      </c>
      <c r="M36" s="16" t="str">
        <f t="shared" si="7"/>
        <v>#DIV/0!</v>
      </c>
      <c r="N36" s="12">
        <f t="shared" si="8"/>
        <v>4</v>
      </c>
      <c r="O36" s="18">
        <f t="shared" si="9"/>
        <v>0.3333333333</v>
      </c>
      <c r="P36" s="18">
        <f t="shared" si="10"/>
        <v>1.333333333</v>
      </c>
    </row>
    <row r="37">
      <c r="A37" s="2" t="s">
        <v>143</v>
      </c>
      <c r="B37" s="10">
        <v>3.0</v>
      </c>
      <c r="C37" s="12">
        <f t="shared" si="1"/>
        <v>12</v>
      </c>
      <c r="D37" s="11">
        <v>1.0</v>
      </c>
      <c r="E37" s="11">
        <v>0.0</v>
      </c>
      <c r="F37" s="12">
        <f t="shared" si="2"/>
        <v>1</v>
      </c>
      <c r="G37" s="16">
        <f t="shared" si="3"/>
        <v>0.08333333333</v>
      </c>
      <c r="H37" s="16">
        <f t="shared" si="4"/>
        <v>1</v>
      </c>
      <c r="I37" s="12">
        <f t="shared" si="5"/>
        <v>0</v>
      </c>
      <c r="J37" s="11">
        <v>0.0</v>
      </c>
      <c r="K37" s="11">
        <v>0.0</v>
      </c>
      <c r="L37" s="16">
        <f t="shared" si="6"/>
        <v>0</v>
      </c>
      <c r="M37" s="16" t="str">
        <f t="shared" si="7"/>
        <v>#DIV/0!</v>
      </c>
      <c r="N37" s="12">
        <f t="shared" si="8"/>
        <v>4</v>
      </c>
      <c r="O37" s="18">
        <f t="shared" si="9"/>
        <v>0.3333333333</v>
      </c>
      <c r="P37" s="18">
        <f t="shared" si="10"/>
        <v>1.333333333</v>
      </c>
    </row>
    <row r="38">
      <c r="A38" s="2" t="s">
        <v>89</v>
      </c>
      <c r="B38" s="10">
        <v>3.0</v>
      </c>
      <c r="C38" s="12">
        <f t="shared" si="1"/>
        <v>12</v>
      </c>
      <c r="D38" s="11">
        <v>1.0</v>
      </c>
      <c r="E38" s="11">
        <v>0.0</v>
      </c>
      <c r="F38" s="12">
        <f t="shared" si="2"/>
        <v>1</v>
      </c>
      <c r="G38" s="16">
        <f t="shared" si="3"/>
        <v>0.08333333333</v>
      </c>
      <c r="H38" s="16">
        <f t="shared" si="4"/>
        <v>1</v>
      </c>
      <c r="I38" s="12">
        <f t="shared" si="5"/>
        <v>1</v>
      </c>
      <c r="J38" s="11">
        <v>1.0</v>
      </c>
      <c r="K38" s="11">
        <v>0.0</v>
      </c>
      <c r="L38" s="16">
        <f t="shared" si="6"/>
        <v>0.08333333333</v>
      </c>
      <c r="M38" s="16">
        <f t="shared" si="7"/>
        <v>1</v>
      </c>
      <c r="N38" s="12">
        <f t="shared" si="8"/>
        <v>4</v>
      </c>
      <c r="O38" s="18">
        <f t="shared" si="9"/>
        <v>0.3333333333</v>
      </c>
      <c r="P38" s="18">
        <f t="shared" si="10"/>
        <v>1.333333333</v>
      </c>
    </row>
    <row r="39">
      <c r="A39" s="2" t="s">
        <v>100</v>
      </c>
      <c r="B39" s="10">
        <v>3.0</v>
      </c>
      <c r="C39" s="12">
        <f t="shared" si="1"/>
        <v>12</v>
      </c>
      <c r="D39" s="11">
        <v>1.0</v>
      </c>
      <c r="E39" s="20">
        <v>0.0</v>
      </c>
      <c r="F39" s="21">
        <f t="shared" si="2"/>
        <v>1</v>
      </c>
      <c r="G39" s="23">
        <f t="shared" si="3"/>
        <v>0.08333333333</v>
      </c>
      <c r="H39" s="23">
        <f t="shared" si="4"/>
        <v>1</v>
      </c>
      <c r="I39" s="12">
        <f t="shared" si="5"/>
        <v>0</v>
      </c>
      <c r="J39" s="11">
        <v>0.0</v>
      </c>
      <c r="K39" s="11">
        <v>0.0</v>
      </c>
      <c r="L39" s="16">
        <f t="shared" si="6"/>
        <v>0</v>
      </c>
      <c r="M39" s="16" t="str">
        <f t="shared" si="7"/>
        <v>#DIV/0!</v>
      </c>
      <c r="N39" s="12">
        <f t="shared" si="8"/>
        <v>4</v>
      </c>
      <c r="O39" s="18">
        <f t="shared" si="9"/>
        <v>0.3333333333</v>
      </c>
      <c r="P39" s="18">
        <f t="shared" si="10"/>
        <v>1.333333333</v>
      </c>
    </row>
    <row r="40">
      <c r="A40" s="2" t="s">
        <v>150</v>
      </c>
      <c r="B40" s="10">
        <v>3.0</v>
      </c>
      <c r="C40" s="12">
        <f t="shared" si="1"/>
        <v>12</v>
      </c>
      <c r="D40" s="11">
        <v>1.0</v>
      </c>
      <c r="E40" s="11">
        <v>0.0</v>
      </c>
      <c r="F40" s="12">
        <f t="shared" si="2"/>
        <v>1</v>
      </c>
      <c r="G40" s="16">
        <f t="shared" si="3"/>
        <v>0.08333333333</v>
      </c>
      <c r="H40" s="16">
        <f t="shared" si="4"/>
        <v>1</v>
      </c>
      <c r="I40" s="12">
        <f t="shared" si="5"/>
        <v>0</v>
      </c>
      <c r="J40" s="11">
        <v>0.0</v>
      </c>
      <c r="K40" s="11">
        <v>0.0</v>
      </c>
      <c r="L40" s="16">
        <f t="shared" si="6"/>
        <v>0</v>
      </c>
      <c r="M40" s="16" t="str">
        <f t="shared" si="7"/>
        <v>#DIV/0!</v>
      </c>
      <c r="N40" s="12">
        <f t="shared" si="8"/>
        <v>4</v>
      </c>
      <c r="O40" s="18">
        <f t="shared" si="9"/>
        <v>0.3333333333</v>
      </c>
      <c r="P40" s="18">
        <f t="shared" si="10"/>
        <v>1.333333333</v>
      </c>
    </row>
    <row r="41">
      <c r="A41" s="2" t="s">
        <v>134</v>
      </c>
      <c r="B41" s="10">
        <v>3.0</v>
      </c>
      <c r="C41" s="12">
        <f t="shared" si="1"/>
        <v>12</v>
      </c>
      <c r="D41" s="10">
        <v>1.0</v>
      </c>
      <c r="E41" s="11">
        <v>0.0</v>
      </c>
      <c r="F41" s="12">
        <f t="shared" si="2"/>
        <v>1</v>
      </c>
      <c r="G41" s="16">
        <f t="shared" si="3"/>
        <v>0.08333333333</v>
      </c>
      <c r="H41" s="16">
        <f t="shared" si="4"/>
        <v>1</v>
      </c>
      <c r="I41" s="12">
        <f t="shared" si="5"/>
        <v>0</v>
      </c>
      <c r="J41" s="11">
        <v>0.0</v>
      </c>
      <c r="K41" s="11">
        <v>0.0</v>
      </c>
      <c r="L41" s="16">
        <f t="shared" si="6"/>
        <v>0</v>
      </c>
      <c r="M41" s="16" t="str">
        <f t="shared" si="7"/>
        <v>#DIV/0!</v>
      </c>
      <c r="N41" s="12">
        <f t="shared" si="8"/>
        <v>4</v>
      </c>
      <c r="O41" s="18">
        <f t="shared" si="9"/>
        <v>0.3333333333</v>
      </c>
      <c r="P41" s="18">
        <f t="shared" si="10"/>
        <v>1.333333333</v>
      </c>
    </row>
    <row r="42">
      <c r="A42" s="2" t="s">
        <v>112</v>
      </c>
      <c r="B42" s="10">
        <v>3.0</v>
      </c>
      <c r="C42" s="12">
        <f t="shared" si="1"/>
        <v>12</v>
      </c>
      <c r="D42" s="11">
        <v>1.0</v>
      </c>
      <c r="E42" s="20">
        <v>0.0</v>
      </c>
      <c r="F42" s="21">
        <f t="shared" si="2"/>
        <v>1</v>
      </c>
      <c r="G42" s="23">
        <f t="shared" si="3"/>
        <v>0.08333333333</v>
      </c>
      <c r="H42" s="23">
        <f t="shared" si="4"/>
        <v>1</v>
      </c>
      <c r="I42" s="12">
        <f t="shared" si="5"/>
        <v>0</v>
      </c>
      <c r="J42" s="11">
        <v>0.0</v>
      </c>
      <c r="K42" s="11">
        <v>0.0</v>
      </c>
      <c r="L42" s="16">
        <f t="shared" si="6"/>
        <v>0</v>
      </c>
      <c r="M42" s="16" t="str">
        <f t="shared" si="7"/>
        <v>#DIV/0!</v>
      </c>
      <c r="N42" s="12">
        <f t="shared" si="8"/>
        <v>4</v>
      </c>
      <c r="O42" s="18">
        <f t="shared" si="9"/>
        <v>0.3333333333</v>
      </c>
      <c r="P42" s="18">
        <f t="shared" si="10"/>
        <v>1.333333333</v>
      </c>
    </row>
    <row r="43">
      <c r="A43" s="2" t="s">
        <v>178</v>
      </c>
      <c r="B43" s="10">
        <v>3.0</v>
      </c>
      <c r="C43" s="12">
        <f t="shared" si="1"/>
        <v>12</v>
      </c>
      <c r="D43" s="11">
        <v>1.0</v>
      </c>
      <c r="E43" s="11">
        <v>0.0</v>
      </c>
      <c r="F43" s="12">
        <f t="shared" si="2"/>
        <v>1</v>
      </c>
      <c r="G43" s="16">
        <f t="shared" si="3"/>
        <v>0.08333333333</v>
      </c>
      <c r="H43" s="16">
        <f t="shared" si="4"/>
        <v>1</v>
      </c>
      <c r="I43" s="12">
        <f t="shared" si="5"/>
        <v>0</v>
      </c>
      <c r="J43" s="11">
        <v>0.0</v>
      </c>
      <c r="K43" s="11">
        <v>0.0</v>
      </c>
      <c r="L43" s="16">
        <f t="shared" si="6"/>
        <v>0</v>
      </c>
      <c r="M43" s="16" t="str">
        <f t="shared" si="7"/>
        <v>#DIV/0!</v>
      </c>
      <c r="N43" s="12">
        <f t="shared" si="8"/>
        <v>4</v>
      </c>
      <c r="O43" s="18">
        <f t="shared" si="9"/>
        <v>0.3333333333</v>
      </c>
      <c r="P43" s="18">
        <f t="shared" si="10"/>
        <v>1.333333333</v>
      </c>
    </row>
    <row r="44">
      <c r="A44" s="2" t="s">
        <v>58</v>
      </c>
      <c r="B44" s="10">
        <v>3.0</v>
      </c>
      <c r="C44" s="12">
        <f t="shared" si="1"/>
        <v>12</v>
      </c>
      <c r="D44" s="11">
        <v>1.0</v>
      </c>
      <c r="E44" s="11">
        <v>1.0</v>
      </c>
      <c r="F44" s="12">
        <f t="shared" si="2"/>
        <v>2</v>
      </c>
      <c r="G44" s="16">
        <f t="shared" si="3"/>
        <v>0.1666666667</v>
      </c>
      <c r="H44" s="16">
        <f t="shared" si="4"/>
        <v>0.5</v>
      </c>
      <c r="I44" s="12">
        <f t="shared" si="5"/>
        <v>0</v>
      </c>
      <c r="J44" s="11">
        <v>0.0</v>
      </c>
      <c r="K44" s="11">
        <v>0.0</v>
      </c>
      <c r="L44" s="16">
        <f t="shared" si="6"/>
        <v>0</v>
      </c>
      <c r="M44" s="16" t="str">
        <f t="shared" si="7"/>
        <v>#DIV/0!</v>
      </c>
      <c r="N44" s="12">
        <f t="shared" si="8"/>
        <v>4</v>
      </c>
      <c r="O44" s="18">
        <f t="shared" si="9"/>
        <v>0.3333333333</v>
      </c>
      <c r="P44" s="18">
        <f t="shared" si="10"/>
        <v>1.333333333</v>
      </c>
    </row>
    <row r="45">
      <c r="A45" s="2" t="s">
        <v>71</v>
      </c>
      <c r="B45" s="10">
        <v>3.0</v>
      </c>
      <c r="C45" s="12">
        <f t="shared" si="1"/>
        <v>12</v>
      </c>
      <c r="D45" s="11">
        <v>1.0</v>
      </c>
      <c r="E45" s="11">
        <v>1.0</v>
      </c>
      <c r="F45" s="12">
        <f t="shared" si="2"/>
        <v>2</v>
      </c>
      <c r="G45" s="16">
        <f t="shared" si="3"/>
        <v>0.1666666667</v>
      </c>
      <c r="H45" s="16">
        <f t="shared" si="4"/>
        <v>0.5</v>
      </c>
      <c r="I45" s="12">
        <f t="shared" si="5"/>
        <v>0</v>
      </c>
      <c r="J45" s="11">
        <v>0.0</v>
      </c>
      <c r="K45" s="11">
        <v>0.0</v>
      </c>
      <c r="L45" s="16">
        <f t="shared" si="6"/>
        <v>0</v>
      </c>
      <c r="M45" s="16" t="str">
        <f t="shared" si="7"/>
        <v>#DIV/0!</v>
      </c>
      <c r="N45" s="12">
        <f t="shared" si="8"/>
        <v>4</v>
      </c>
      <c r="O45" s="18">
        <f t="shared" si="9"/>
        <v>0.3333333333</v>
      </c>
      <c r="P45" s="18">
        <f t="shared" si="10"/>
        <v>1.333333333</v>
      </c>
    </row>
    <row r="46">
      <c r="A46" s="2" t="s">
        <v>167</v>
      </c>
      <c r="B46" s="10">
        <v>3.0</v>
      </c>
      <c r="C46" s="12">
        <f t="shared" si="1"/>
        <v>12</v>
      </c>
      <c r="D46" s="11">
        <v>1.0</v>
      </c>
      <c r="E46" s="20">
        <v>1.0</v>
      </c>
      <c r="F46" s="21">
        <f t="shared" si="2"/>
        <v>2</v>
      </c>
      <c r="G46" s="23">
        <f t="shared" si="3"/>
        <v>0.1666666667</v>
      </c>
      <c r="H46" s="23">
        <f t="shared" si="4"/>
        <v>0.5</v>
      </c>
      <c r="I46" s="12">
        <f t="shared" si="5"/>
        <v>0</v>
      </c>
      <c r="J46" s="11">
        <v>0.0</v>
      </c>
      <c r="K46" s="11">
        <v>0.0</v>
      </c>
      <c r="L46" s="16">
        <f t="shared" si="6"/>
        <v>0</v>
      </c>
      <c r="M46" s="16" t="str">
        <f t="shared" si="7"/>
        <v>#DIV/0!</v>
      </c>
      <c r="N46" s="12">
        <f t="shared" si="8"/>
        <v>4</v>
      </c>
      <c r="O46" s="18">
        <f t="shared" si="9"/>
        <v>0.3333333333</v>
      </c>
      <c r="P46" s="18">
        <f t="shared" si="10"/>
        <v>1.333333333</v>
      </c>
    </row>
    <row r="47">
      <c r="A47" s="2" t="s">
        <v>172</v>
      </c>
      <c r="B47" s="10">
        <v>3.0</v>
      </c>
      <c r="C47" s="12">
        <f t="shared" si="1"/>
        <v>12</v>
      </c>
      <c r="D47" s="11">
        <v>2.0</v>
      </c>
      <c r="E47" s="11">
        <v>3.0</v>
      </c>
      <c r="F47" s="12">
        <f t="shared" si="2"/>
        <v>5</v>
      </c>
      <c r="G47" s="16">
        <f t="shared" si="3"/>
        <v>0.4166666667</v>
      </c>
      <c r="H47" s="16">
        <f t="shared" si="4"/>
        <v>0.4</v>
      </c>
      <c r="I47" s="12">
        <f t="shared" si="5"/>
        <v>2</v>
      </c>
      <c r="J47" s="11">
        <v>1.0</v>
      </c>
      <c r="K47" s="11">
        <v>1.0</v>
      </c>
      <c r="L47" s="16">
        <f t="shared" si="6"/>
        <v>0.1666666667</v>
      </c>
      <c r="M47" s="16">
        <f t="shared" si="7"/>
        <v>0.5</v>
      </c>
      <c r="N47" s="12">
        <f t="shared" si="8"/>
        <v>4</v>
      </c>
      <c r="O47" s="18">
        <f t="shared" si="9"/>
        <v>0.3333333333</v>
      </c>
      <c r="P47" s="18">
        <f t="shared" si="10"/>
        <v>1.333333333</v>
      </c>
    </row>
    <row r="48">
      <c r="A48" s="2" t="s">
        <v>192</v>
      </c>
      <c r="B48" s="10">
        <v>3.0</v>
      </c>
      <c r="C48" s="12">
        <f t="shared" si="1"/>
        <v>12</v>
      </c>
      <c r="D48" s="11">
        <v>1.0</v>
      </c>
      <c r="E48" s="11">
        <v>2.0</v>
      </c>
      <c r="F48" s="12">
        <f t="shared" si="2"/>
        <v>3</v>
      </c>
      <c r="G48" s="16">
        <f t="shared" si="3"/>
        <v>0.25</v>
      </c>
      <c r="H48" s="16">
        <f t="shared" si="4"/>
        <v>0.3333333333</v>
      </c>
      <c r="I48" s="12">
        <f t="shared" si="5"/>
        <v>0</v>
      </c>
      <c r="J48" s="11">
        <v>0.0</v>
      </c>
      <c r="K48" s="11">
        <v>0.0</v>
      </c>
      <c r="L48" s="16">
        <f t="shared" si="6"/>
        <v>0</v>
      </c>
      <c r="M48" s="16" t="str">
        <f t="shared" si="7"/>
        <v>#DIV/0!</v>
      </c>
      <c r="N48" s="12">
        <f t="shared" si="8"/>
        <v>4</v>
      </c>
      <c r="O48" s="18">
        <f t="shared" si="9"/>
        <v>0.3333333333</v>
      </c>
      <c r="P48" s="18">
        <f t="shared" si="10"/>
        <v>1.333333333</v>
      </c>
    </row>
    <row r="49">
      <c r="A49" s="2" t="s">
        <v>203</v>
      </c>
      <c r="B49" s="10">
        <v>3.0</v>
      </c>
      <c r="C49" s="12">
        <f t="shared" si="1"/>
        <v>12</v>
      </c>
      <c r="D49" s="11">
        <v>1.0</v>
      </c>
      <c r="E49" s="11">
        <v>2.0</v>
      </c>
      <c r="F49" s="12">
        <f t="shared" si="2"/>
        <v>3</v>
      </c>
      <c r="G49" s="16">
        <f t="shared" si="3"/>
        <v>0.25</v>
      </c>
      <c r="H49" s="16">
        <f t="shared" si="4"/>
        <v>0.3333333333</v>
      </c>
      <c r="I49" s="12">
        <f t="shared" si="5"/>
        <v>0</v>
      </c>
      <c r="J49" s="11">
        <v>0.0</v>
      </c>
      <c r="K49" s="11">
        <v>0.0</v>
      </c>
      <c r="L49" s="16">
        <f t="shared" si="6"/>
        <v>0</v>
      </c>
      <c r="M49" s="16" t="str">
        <f t="shared" si="7"/>
        <v>#DIV/0!</v>
      </c>
      <c r="N49" s="12">
        <f t="shared" si="8"/>
        <v>4</v>
      </c>
      <c r="O49" s="18">
        <f t="shared" si="9"/>
        <v>0.3333333333</v>
      </c>
      <c r="P49" s="18">
        <f t="shared" si="10"/>
        <v>1.333333333</v>
      </c>
    </row>
    <row r="50">
      <c r="A50" s="2" t="s">
        <v>60</v>
      </c>
      <c r="B50" s="10">
        <v>3.0</v>
      </c>
      <c r="C50" s="12">
        <f t="shared" si="1"/>
        <v>12</v>
      </c>
      <c r="D50" s="11">
        <v>1.0</v>
      </c>
      <c r="E50" s="11">
        <v>2.0</v>
      </c>
      <c r="F50" s="12">
        <f t="shared" si="2"/>
        <v>3</v>
      </c>
      <c r="G50" s="16">
        <f t="shared" si="3"/>
        <v>0.25</v>
      </c>
      <c r="H50" s="16">
        <f t="shared" si="4"/>
        <v>0.3333333333</v>
      </c>
      <c r="I50" s="12">
        <f t="shared" si="5"/>
        <v>0</v>
      </c>
      <c r="J50" s="11">
        <v>0.0</v>
      </c>
      <c r="K50" s="11">
        <v>0.0</v>
      </c>
      <c r="L50" s="16">
        <f t="shared" si="6"/>
        <v>0</v>
      </c>
      <c r="M50" s="16" t="str">
        <f t="shared" si="7"/>
        <v>#DIV/0!</v>
      </c>
      <c r="N50" s="12">
        <f t="shared" si="8"/>
        <v>4</v>
      </c>
      <c r="O50" s="18">
        <f t="shared" si="9"/>
        <v>0.3333333333</v>
      </c>
      <c r="P50" s="18">
        <f t="shared" si="10"/>
        <v>1.333333333</v>
      </c>
    </row>
    <row r="51">
      <c r="A51" s="2" t="s">
        <v>191</v>
      </c>
      <c r="B51" s="10">
        <v>3.0</v>
      </c>
      <c r="C51" s="12">
        <f t="shared" si="1"/>
        <v>12</v>
      </c>
      <c r="D51" s="11">
        <v>1.0</v>
      </c>
      <c r="E51" s="11">
        <v>2.0</v>
      </c>
      <c r="F51" s="12">
        <f t="shared" si="2"/>
        <v>3</v>
      </c>
      <c r="G51" s="16">
        <f t="shared" si="3"/>
        <v>0.25</v>
      </c>
      <c r="H51" s="16">
        <f t="shared" si="4"/>
        <v>0.3333333333</v>
      </c>
      <c r="I51" s="12">
        <f t="shared" si="5"/>
        <v>1</v>
      </c>
      <c r="J51" s="11">
        <v>1.0</v>
      </c>
      <c r="K51" s="11">
        <v>0.0</v>
      </c>
      <c r="L51" s="16">
        <f t="shared" si="6"/>
        <v>0.08333333333</v>
      </c>
      <c r="M51" s="16">
        <f t="shared" si="7"/>
        <v>1</v>
      </c>
      <c r="N51" s="12">
        <f t="shared" si="8"/>
        <v>4</v>
      </c>
      <c r="O51" s="18">
        <f t="shared" si="9"/>
        <v>0.3333333333</v>
      </c>
      <c r="P51" s="18">
        <f t="shared" si="10"/>
        <v>1.333333333</v>
      </c>
    </row>
    <row r="52">
      <c r="A52" s="2" t="s">
        <v>127</v>
      </c>
      <c r="B52" s="10">
        <v>3.0</v>
      </c>
      <c r="C52" s="12">
        <f t="shared" si="1"/>
        <v>12</v>
      </c>
      <c r="D52" s="11">
        <v>1.0</v>
      </c>
      <c r="E52" s="11">
        <v>2.0</v>
      </c>
      <c r="F52" s="12">
        <f t="shared" si="2"/>
        <v>3</v>
      </c>
      <c r="G52" s="16">
        <f t="shared" si="3"/>
        <v>0.25</v>
      </c>
      <c r="H52" s="16">
        <f t="shared" si="4"/>
        <v>0.3333333333</v>
      </c>
      <c r="I52" s="12">
        <f t="shared" si="5"/>
        <v>0</v>
      </c>
      <c r="J52" s="11">
        <v>0.0</v>
      </c>
      <c r="K52" s="11">
        <v>0.0</v>
      </c>
      <c r="L52" s="16">
        <f t="shared" si="6"/>
        <v>0</v>
      </c>
      <c r="M52" s="16" t="str">
        <f t="shared" si="7"/>
        <v>#DIV/0!</v>
      </c>
      <c r="N52" s="12">
        <f t="shared" si="8"/>
        <v>4</v>
      </c>
      <c r="O52" s="18">
        <f t="shared" si="9"/>
        <v>0.3333333333</v>
      </c>
      <c r="P52" s="18">
        <f t="shared" si="10"/>
        <v>1.333333333</v>
      </c>
    </row>
    <row r="53">
      <c r="A53" s="2" t="s">
        <v>118</v>
      </c>
      <c r="B53" s="10">
        <v>3.0</v>
      </c>
      <c r="C53" s="12">
        <f t="shared" si="1"/>
        <v>12</v>
      </c>
      <c r="D53" s="11">
        <v>1.0</v>
      </c>
      <c r="E53" s="20">
        <v>2.0</v>
      </c>
      <c r="F53" s="21">
        <f t="shared" si="2"/>
        <v>3</v>
      </c>
      <c r="G53" s="23">
        <f t="shared" si="3"/>
        <v>0.25</v>
      </c>
      <c r="H53" s="23">
        <f t="shared" si="4"/>
        <v>0.3333333333</v>
      </c>
      <c r="I53" s="12">
        <f t="shared" si="5"/>
        <v>0</v>
      </c>
      <c r="J53" s="11">
        <v>0.0</v>
      </c>
      <c r="K53" s="11">
        <v>0.0</v>
      </c>
      <c r="L53" s="16">
        <f t="shared" si="6"/>
        <v>0</v>
      </c>
      <c r="M53" s="16" t="str">
        <f t="shared" si="7"/>
        <v>#DIV/0!</v>
      </c>
      <c r="N53" s="12">
        <f t="shared" si="8"/>
        <v>4</v>
      </c>
      <c r="O53" s="18">
        <f t="shared" si="9"/>
        <v>0.3333333333</v>
      </c>
      <c r="P53" s="18">
        <f t="shared" si="10"/>
        <v>1.333333333</v>
      </c>
    </row>
    <row r="54">
      <c r="A54" s="2" t="s">
        <v>78</v>
      </c>
      <c r="B54" s="10">
        <v>3.0</v>
      </c>
      <c r="C54" s="12">
        <f t="shared" si="1"/>
        <v>12</v>
      </c>
      <c r="D54" s="11">
        <v>1.0</v>
      </c>
      <c r="E54" s="20">
        <v>2.0</v>
      </c>
      <c r="F54" s="21">
        <f t="shared" si="2"/>
        <v>3</v>
      </c>
      <c r="G54" s="23">
        <f t="shared" si="3"/>
        <v>0.25</v>
      </c>
      <c r="H54" s="23">
        <f t="shared" si="4"/>
        <v>0.3333333333</v>
      </c>
      <c r="I54" s="12">
        <f t="shared" si="5"/>
        <v>1</v>
      </c>
      <c r="J54" s="11">
        <v>1.0</v>
      </c>
      <c r="K54" s="11">
        <v>0.0</v>
      </c>
      <c r="L54" s="16">
        <f t="shared" si="6"/>
        <v>0.08333333333</v>
      </c>
      <c r="M54" s="16">
        <f t="shared" si="7"/>
        <v>1</v>
      </c>
      <c r="N54" s="12">
        <f t="shared" si="8"/>
        <v>4</v>
      </c>
      <c r="O54" s="18">
        <f t="shared" si="9"/>
        <v>0.3333333333</v>
      </c>
      <c r="P54" s="18">
        <f t="shared" si="10"/>
        <v>1.333333333</v>
      </c>
    </row>
    <row r="55">
      <c r="A55" s="2" t="s">
        <v>156</v>
      </c>
      <c r="B55" s="10">
        <v>3.0</v>
      </c>
      <c r="C55" s="12">
        <f t="shared" si="1"/>
        <v>12</v>
      </c>
      <c r="D55" s="11">
        <v>1.0</v>
      </c>
      <c r="E55" s="11">
        <v>4.0</v>
      </c>
      <c r="F55" s="12">
        <f t="shared" si="2"/>
        <v>5</v>
      </c>
      <c r="G55" s="16">
        <f t="shared" si="3"/>
        <v>0.4166666667</v>
      </c>
      <c r="H55" s="16">
        <f t="shared" si="4"/>
        <v>0.2</v>
      </c>
      <c r="I55" s="12">
        <f t="shared" si="5"/>
        <v>0</v>
      </c>
      <c r="J55" s="11">
        <v>0.0</v>
      </c>
      <c r="K55" s="11">
        <v>0.0</v>
      </c>
      <c r="L55" s="16">
        <f t="shared" si="6"/>
        <v>0</v>
      </c>
      <c r="M55" s="16" t="str">
        <f t="shared" si="7"/>
        <v>#DIV/0!</v>
      </c>
      <c r="N55" s="12">
        <f t="shared" si="8"/>
        <v>4</v>
      </c>
      <c r="O55" s="18">
        <f t="shared" si="9"/>
        <v>0.3333333333</v>
      </c>
      <c r="P55" s="18">
        <f t="shared" si="10"/>
        <v>1.333333333</v>
      </c>
    </row>
    <row r="56">
      <c r="A56" s="2" t="s">
        <v>73</v>
      </c>
      <c r="B56" s="10">
        <v>3.0</v>
      </c>
      <c r="C56" s="12">
        <f t="shared" si="1"/>
        <v>12</v>
      </c>
      <c r="D56" s="11">
        <v>1.0</v>
      </c>
      <c r="E56" s="11">
        <v>8.0</v>
      </c>
      <c r="F56" s="12">
        <f t="shared" si="2"/>
        <v>9</v>
      </c>
      <c r="G56" s="16">
        <f t="shared" si="3"/>
        <v>0.75</v>
      </c>
      <c r="H56" s="16">
        <f t="shared" si="4"/>
        <v>0.1111111111</v>
      </c>
      <c r="I56" s="12">
        <f t="shared" si="5"/>
        <v>0</v>
      </c>
      <c r="J56" s="11">
        <v>0.0</v>
      </c>
      <c r="K56" s="11">
        <v>0.0</v>
      </c>
      <c r="L56" s="16">
        <f t="shared" si="6"/>
        <v>0</v>
      </c>
      <c r="M56" s="16" t="str">
        <f t="shared" si="7"/>
        <v>#DIV/0!</v>
      </c>
      <c r="N56" s="12">
        <f t="shared" si="8"/>
        <v>4</v>
      </c>
      <c r="O56" s="18">
        <f t="shared" si="9"/>
        <v>0.3333333333</v>
      </c>
      <c r="P56" s="18">
        <f t="shared" si="10"/>
        <v>1.333333333</v>
      </c>
    </row>
    <row r="57">
      <c r="A57" s="2" t="s">
        <v>123</v>
      </c>
      <c r="B57" s="10">
        <v>3.0</v>
      </c>
      <c r="C57" s="12">
        <f t="shared" si="1"/>
        <v>12</v>
      </c>
      <c r="D57" s="11">
        <v>0.0</v>
      </c>
      <c r="E57" s="20">
        <v>0.0</v>
      </c>
      <c r="F57" s="21">
        <f t="shared" si="2"/>
        <v>0</v>
      </c>
      <c r="G57" s="23">
        <f t="shared" si="3"/>
        <v>0</v>
      </c>
      <c r="H57" s="20" t="s">
        <v>41</v>
      </c>
      <c r="I57" s="12">
        <f t="shared" si="5"/>
        <v>0</v>
      </c>
      <c r="J57" s="11">
        <v>0.0</v>
      </c>
      <c r="K57" s="11">
        <v>0.0</v>
      </c>
      <c r="L57" s="16">
        <f t="shared" si="6"/>
        <v>0</v>
      </c>
      <c r="M57" s="16" t="str">
        <f t="shared" si="7"/>
        <v>#DIV/0!</v>
      </c>
      <c r="N57" s="12">
        <f t="shared" si="8"/>
        <v>0</v>
      </c>
      <c r="O57" s="18">
        <f t="shared" si="9"/>
        <v>0</v>
      </c>
      <c r="P57" s="18">
        <f t="shared" si="10"/>
        <v>0</v>
      </c>
    </row>
    <row r="58">
      <c r="A58" s="2" t="s">
        <v>146</v>
      </c>
      <c r="B58" s="10">
        <v>3.0</v>
      </c>
      <c r="C58" s="12">
        <f t="shared" si="1"/>
        <v>12</v>
      </c>
      <c r="D58" s="11">
        <v>0.0</v>
      </c>
      <c r="E58" s="20">
        <v>0.0</v>
      </c>
      <c r="F58" s="21">
        <f t="shared" si="2"/>
        <v>0</v>
      </c>
      <c r="G58" s="23">
        <f t="shared" si="3"/>
        <v>0</v>
      </c>
      <c r="H58" s="20" t="s">
        <v>41</v>
      </c>
      <c r="I58" s="12">
        <f t="shared" si="5"/>
        <v>0</v>
      </c>
      <c r="J58" s="11">
        <v>0.0</v>
      </c>
      <c r="K58" s="11">
        <v>0.0</v>
      </c>
      <c r="L58" s="16">
        <f t="shared" si="6"/>
        <v>0</v>
      </c>
      <c r="M58" s="16" t="str">
        <f t="shared" si="7"/>
        <v>#DIV/0!</v>
      </c>
      <c r="N58" s="12">
        <f t="shared" si="8"/>
        <v>0</v>
      </c>
      <c r="O58" s="18">
        <f t="shared" si="9"/>
        <v>0</v>
      </c>
      <c r="P58" s="18">
        <f t="shared" si="10"/>
        <v>0</v>
      </c>
    </row>
    <row r="59">
      <c r="A59" s="2" t="s">
        <v>194</v>
      </c>
      <c r="B59" s="10">
        <v>3.0</v>
      </c>
      <c r="C59" s="12">
        <f t="shared" si="1"/>
        <v>12</v>
      </c>
      <c r="D59" s="11">
        <v>0.0</v>
      </c>
      <c r="E59" s="11">
        <v>0.0</v>
      </c>
      <c r="F59" s="12">
        <f t="shared" si="2"/>
        <v>0</v>
      </c>
      <c r="G59" s="16">
        <f t="shared" si="3"/>
        <v>0</v>
      </c>
      <c r="H59" s="11" t="s">
        <v>41</v>
      </c>
      <c r="I59" s="12">
        <f t="shared" si="5"/>
        <v>0</v>
      </c>
      <c r="J59" s="11">
        <v>0.0</v>
      </c>
      <c r="K59" s="11">
        <v>0.0</v>
      </c>
      <c r="L59" s="16">
        <f t="shared" si="6"/>
        <v>0</v>
      </c>
      <c r="M59" s="16" t="str">
        <f t="shared" si="7"/>
        <v>#DIV/0!</v>
      </c>
      <c r="N59" s="12">
        <f t="shared" si="8"/>
        <v>0</v>
      </c>
      <c r="O59" s="18">
        <f t="shared" si="9"/>
        <v>0</v>
      </c>
      <c r="P59" s="18">
        <f t="shared" si="10"/>
        <v>0</v>
      </c>
    </row>
    <row r="60">
      <c r="A60" s="2" t="s">
        <v>190</v>
      </c>
      <c r="B60" s="10">
        <v>3.0</v>
      </c>
      <c r="C60" s="12">
        <f t="shared" si="1"/>
        <v>12</v>
      </c>
      <c r="D60" s="11">
        <v>0.0</v>
      </c>
      <c r="E60" s="11">
        <v>0.0</v>
      </c>
      <c r="F60" s="12">
        <f t="shared" si="2"/>
        <v>0</v>
      </c>
      <c r="G60" s="16">
        <f t="shared" si="3"/>
        <v>0</v>
      </c>
      <c r="H60" s="11" t="s">
        <v>41</v>
      </c>
      <c r="I60" s="12">
        <f t="shared" si="5"/>
        <v>0</v>
      </c>
      <c r="J60" s="11">
        <v>0.0</v>
      </c>
      <c r="K60" s="11">
        <v>0.0</v>
      </c>
      <c r="L60" s="16">
        <f t="shared" si="6"/>
        <v>0</v>
      </c>
      <c r="M60" s="16" t="str">
        <f t="shared" si="7"/>
        <v>#DIV/0!</v>
      </c>
      <c r="N60" s="12">
        <f t="shared" si="8"/>
        <v>0</v>
      </c>
      <c r="O60" s="18">
        <f t="shared" si="9"/>
        <v>0</v>
      </c>
      <c r="P60" s="18">
        <f t="shared" si="10"/>
        <v>0</v>
      </c>
    </row>
    <row r="61">
      <c r="A61" s="2" t="s">
        <v>142</v>
      </c>
      <c r="B61" s="10">
        <v>3.0</v>
      </c>
      <c r="C61" s="12">
        <f t="shared" si="1"/>
        <v>12</v>
      </c>
      <c r="D61" s="11">
        <v>0.0</v>
      </c>
      <c r="E61" s="20">
        <v>0.0</v>
      </c>
      <c r="F61" s="21">
        <f t="shared" si="2"/>
        <v>0</v>
      </c>
      <c r="G61" s="23">
        <f t="shared" si="3"/>
        <v>0</v>
      </c>
      <c r="H61" s="20" t="s">
        <v>41</v>
      </c>
      <c r="I61" s="12">
        <f t="shared" si="5"/>
        <v>0</v>
      </c>
      <c r="J61" s="11">
        <v>0.0</v>
      </c>
      <c r="K61" s="11">
        <v>0.0</v>
      </c>
      <c r="L61" s="16">
        <f t="shared" si="6"/>
        <v>0</v>
      </c>
      <c r="M61" s="16" t="str">
        <f t="shared" si="7"/>
        <v>#DIV/0!</v>
      </c>
      <c r="N61" s="12">
        <f t="shared" si="8"/>
        <v>0</v>
      </c>
      <c r="O61" s="18">
        <f t="shared" si="9"/>
        <v>0</v>
      </c>
      <c r="P61" s="18">
        <f t="shared" si="10"/>
        <v>0</v>
      </c>
    </row>
    <row r="62">
      <c r="A62" s="2" t="s">
        <v>125</v>
      </c>
      <c r="B62" s="10">
        <v>3.0</v>
      </c>
      <c r="C62" s="12">
        <f t="shared" si="1"/>
        <v>12</v>
      </c>
      <c r="D62" s="11">
        <v>0.0</v>
      </c>
      <c r="E62" s="11">
        <v>0.0</v>
      </c>
      <c r="F62" s="12">
        <f t="shared" si="2"/>
        <v>0</v>
      </c>
      <c r="G62" s="16">
        <f t="shared" si="3"/>
        <v>0</v>
      </c>
      <c r="H62" s="11" t="s">
        <v>41</v>
      </c>
      <c r="I62" s="12">
        <f t="shared" si="5"/>
        <v>0</v>
      </c>
      <c r="J62" s="11">
        <v>0.0</v>
      </c>
      <c r="K62" s="11">
        <v>0.0</v>
      </c>
      <c r="L62" s="16">
        <f t="shared" si="6"/>
        <v>0</v>
      </c>
      <c r="M62" s="16" t="str">
        <f t="shared" si="7"/>
        <v>#DIV/0!</v>
      </c>
      <c r="N62" s="12">
        <f t="shared" si="8"/>
        <v>0</v>
      </c>
      <c r="O62" s="18">
        <f t="shared" si="9"/>
        <v>0</v>
      </c>
      <c r="P62" s="18">
        <f t="shared" si="10"/>
        <v>0</v>
      </c>
    </row>
    <row r="63">
      <c r="A63" s="2" t="s">
        <v>148</v>
      </c>
      <c r="B63" s="10">
        <v>3.0</v>
      </c>
      <c r="C63" s="12">
        <f t="shared" si="1"/>
        <v>12</v>
      </c>
      <c r="D63" s="11">
        <v>0.0</v>
      </c>
      <c r="E63" s="11">
        <v>0.0</v>
      </c>
      <c r="F63" s="12">
        <f t="shared" si="2"/>
        <v>0</v>
      </c>
      <c r="G63" s="16">
        <f t="shared" si="3"/>
        <v>0</v>
      </c>
      <c r="H63" s="11" t="s">
        <v>41</v>
      </c>
      <c r="I63" s="12">
        <f t="shared" si="5"/>
        <v>0</v>
      </c>
      <c r="J63" s="11">
        <v>0.0</v>
      </c>
      <c r="K63" s="11">
        <v>0.0</v>
      </c>
      <c r="L63" s="16">
        <f t="shared" si="6"/>
        <v>0</v>
      </c>
      <c r="M63" s="16" t="str">
        <f t="shared" si="7"/>
        <v>#DIV/0!</v>
      </c>
      <c r="N63" s="12">
        <f t="shared" si="8"/>
        <v>0</v>
      </c>
      <c r="O63" s="18">
        <f t="shared" si="9"/>
        <v>0</v>
      </c>
      <c r="P63" s="18">
        <f t="shared" si="10"/>
        <v>0</v>
      </c>
    </row>
    <row r="64">
      <c r="A64" s="2" t="s">
        <v>35</v>
      </c>
      <c r="B64" s="10">
        <v>3.0</v>
      </c>
      <c r="C64" s="12">
        <f t="shared" si="1"/>
        <v>12</v>
      </c>
      <c r="D64" s="11">
        <v>0.0</v>
      </c>
      <c r="E64" s="11">
        <v>0.0</v>
      </c>
      <c r="F64" s="12">
        <f t="shared" si="2"/>
        <v>0</v>
      </c>
      <c r="G64" s="16">
        <f t="shared" si="3"/>
        <v>0</v>
      </c>
      <c r="H64" s="11" t="s">
        <v>41</v>
      </c>
      <c r="I64" s="12">
        <f t="shared" si="5"/>
        <v>0</v>
      </c>
      <c r="J64" s="11">
        <v>0.0</v>
      </c>
      <c r="K64" s="11">
        <v>0.0</v>
      </c>
      <c r="L64" s="16">
        <f t="shared" si="6"/>
        <v>0</v>
      </c>
      <c r="M64" s="16" t="str">
        <f t="shared" si="7"/>
        <v>#DIV/0!</v>
      </c>
      <c r="N64" s="12">
        <f t="shared" si="8"/>
        <v>0</v>
      </c>
      <c r="O64" s="18">
        <f t="shared" si="9"/>
        <v>0</v>
      </c>
      <c r="P64" s="18">
        <f t="shared" si="10"/>
        <v>0</v>
      </c>
    </row>
    <row r="65">
      <c r="A65" s="2" t="s">
        <v>131</v>
      </c>
      <c r="B65" s="10">
        <v>3.0</v>
      </c>
      <c r="C65" s="12">
        <f t="shared" si="1"/>
        <v>12</v>
      </c>
      <c r="D65" s="11">
        <v>0.0</v>
      </c>
      <c r="E65" s="11">
        <v>0.0</v>
      </c>
      <c r="F65" s="12">
        <f t="shared" si="2"/>
        <v>0</v>
      </c>
      <c r="G65" s="16">
        <f t="shared" si="3"/>
        <v>0</v>
      </c>
      <c r="H65" s="11" t="s">
        <v>41</v>
      </c>
      <c r="I65" s="12">
        <f t="shared" si="5"/>
        <v>0</v>
      </c>
      <c r="J65" s="11">
        <v>0.0</v>
      </c>
      <c r="K65" s="11">
        <v>0.0</v>
      </c>
      <c r="L65" s="16">
        <f t="shared" si="6"/>
        <v>0</v>
      </c>
      <c r="M65" s="16" t="str">
        <f t="shared" si="7"/>
        <v>#DIV/0!</v>
      </c>
      <c r="N65" s="12">
        <f t="shared" si="8"/>
        <v>0</v>
      </c>
      <c r="O65" s="18">
        <f t="shared" si="9"/>
        <v>0</v>
      </c>
      <c r="P65" s="18">
        <f t="shared" si="10"/>
        <v>0</v>
      </c>
    </row>
    <row r="66">
      <c r="A66" s="2" t="s">
        <v>108</v>
      </c>
      <c r="B66" s="10">
        <v>3.0</v>
      </c>
      <c r="C66" s="12">
        <f t="shared" si="1"/>
        <v>12</v>
      </c>
      <c r="D66" s="11">
        <v>0.0</v>
      </c>
      <c r="E66" s="11">
        <v>0.0</v>
      </c>
      <c r="F66" s="12">
        <f t="shared" si="2"/>
        <v>0</v>
      </c>
      <c r="G66" s="16">
        <f t="shared" si="3"/>
        <v>0</v>
      </c>
      <c r="H66" s="11" t="s">
        <v>41</v>
      </c>
      <c r="I66" s="12">
        <f t="shared" si="5"/>
        <v>0</v>
      </c>
      <c r="J66" s="11">
        <v>0.0</v>
      </c>
      <c r="K66" s="11">
        <v>0.0</v>
      </c>
      <c r="L66" s="16">
        <f t="shared" si="6"/>
        <v>0</v>
      </c>
      <c r="M66" s="16" t="str">
        <f t="shared" si="7"/>
        <v>#DIV/0!</v>
      </c>
      <c r="N66" s="12">
        <f t="shared" si="8"/>
        <v>0</v>
      </c>
      <c r="O66" s="18">
        <f t="shared" si="9"/>
        <v>0</v>
      </c>
      <c r="P66" s="18">
        <f t="shared" si="10"/>
        <v>0</v>
      </c>
    </row>
    <row r="67">
      <c r="A67" s="2" t="s">
        <v>196</v>
      </c>
      <c r="B67" s="10">
        <v>3.0</v>
      </c>
      <c r="C67" s="12">
        <f t="shared" si="1"/>
        <v>12</v>
      </c>
      <c r="D67" s="11">
        <v>0.0</v>
      </c>
      <c r="E67" s="11">
        <v>0.0</v>
      </c>
      <c r="F67" s="12">
        <f t="shared" si="2"/>
        <v>0</v>
      </c>
      <c r="G67" s="16">
        <f t="shared" si="3"/>
        <v>0</v>
      </c>
      <c r="H67" s="11" t="s">
        <v>41</v>
      </c>
      <c r="I67" s="12">
        <f t="shared" si="5"/>
        <v>0</v>
      </c>
      <c r="J67" s="11">
        <v>0.0</v>
      </c>
      <c r="K67" s="11">
        <v>0.0</v>
      </c>
      <c r="L67" s="16">
        <f t="shared" si="6"/>
        <v>0</v>
      </c>
      <c r="M67" s="16" t="str">
        <f t="shared" si="7"/>
        <v>#DIV/0!</v>
      </c>
      <c r="N67" s="12">
        <f t="shared" si="8"/>
        <v>0</v>
      </c>
      <c r="O67" s="18">
        <f t="shared" si="9"/>
        <v>0</v>
      </c>
      <c r="P67" s="18">
        <f t="shared" si="10"/>
        <v>0</v>
      </c>
    </row>
    <row r="68">
      <c r="A68" s="2" t="s">
        <v>151</v>
      </c>
      <c r="B68" s="10">
        <v>3.0</v>
      </c>
      <c r="C68" s="12">
        <f t="shared" si="1"/>
        <v>12</v>
      </c>
      <c r="D68" s="11">
        <v>0.0</v>
      </c>
      <c r="E68" s="20">
        <v>0.0</v>
      </c>
      <c r="F68" s="21">
        <f t="shared" si="2"/>
        <v>0</v>
      </c>
      <c r="G68" s="23">
        <f t="shared" si="3"/>
        <v>0</v>
      </c>
      <c r="H68" s="20" t="s">
        <v>41</v>
      </c>
      <c r="I68" s="12">
        <f t="shared" si="5"/>
        <v>0</v>
      </c>
      <c r="J68" s="11">
        <v>0.0</v>
      </c>
      <c r="K68" s="11">
        <v>0.0</v>
      </c>
      <c r="L68" s="16">
        <f t="shared" si="6"/>
        <v>0</v>
      </c>
      <c r="M68" s="16" t="str">
        <f t="shared" si="7"/>
        <v>#DIV/0!</v>
      </c>
      <c r="N68" s="12">
        <f t="shared" si="8"/>
        <v>0</v>
      </c>
      <c r="O68" s="18">
        <f t="shared" si="9"/>
        <v>0</v>
      </c>
      <c r="P68" s="18">
        <f t="shared" si="10"/>
        <v>0</v>
      </c>
    </row>
    <row r="69">
      <c r="A69" s="2" t="s">
        <v>69</v>
      </c>
      <c r="B69" s="10">
        <v>3.0</v>
      </c>
      <c r="C69" s="12">
        <f t="shared" si="1"/>
        <v>12</v>
      </c>
      <c r="D69" s="11">
        <v>0.0</v>
      </c>
      <c r="E69" s="11">
        <v>0.0</v>
      </c>
      <c r="F69" s="12">
        <f t="shared" si="2"/>
        <v>0</v>
      </c>
      <c r="G69" s="16">
        <f t="shared" si="3"/>
        <v>0</v>
      </c>
      <c r="H69" s="11" t="s">
        <v>41</v>
      </c>
      <c r="I69" s="12">
        <f t="shared" si="5"/>
        <v>0</v>
      </c>
      <c r="J69" s="11">
        <v>0.0</v>
      </c>
      <c r="K69" s="11">
        <v>0.0</v>
      </c>
      <c r="L69" s="16">
        <f t="shared" si="6"/>
        <v>0</v>
      </c>
      <c r="M69" s="16" t="str">
        <f t="shared" si="7"/>
        <v>#DIV/0!</v>
      </c>
      <c r="N69" s="12">
        <f t="shared" si="8"/>
        <v>0</v>
      </c>
      <c r="O69" s="18">
        <f t="shared" si="9"/>
        <v>0</v>
      </c>
      <c r="P69" s="18">
        <f t="shared" si="10"/>
        <v>0</v>
      </c>
    </row>
    <row r="70">
      <c r="A70" s="2" t="s">
        <v>52</v>
      </c>
      <c r="B70" s="10">
        <v>3.0</v>
      </c>
      <c r="C70" s="12">
        <f t="shared" si="1"/>
        <v>12</v>
      </c>
      <c r="D70" s="11">
        <v>0.0</v>
      </c>
      <c r="E70" s="11">
        <v>0.0</v>
      </c>
      <c r="F70" s="12">
        <f t="shared" si="2"/>
        <v>0</v>
      </c>
      <c r="G70" s="16">
        <f t="shared" si="3"/>
        <v>0</v>
      </c>
      <c r="H70" s="11" t="s">
        <v>41</v>
      </c>
      <c r="I70" s="12">
        <f t="shared" si="5"/>
        <v>0</v>
      </c>
      <c r="J70" s="11">
        <v>0.0</v>
      </c>
      <c r="K70" s="11">
        <v>0.0</v>
      </c>
      <c r="L70" s="16">
        <f t="shared" si="6"/>
        <v>0</v>
      </c>
      <c r="M70" s="16" t="str">
        <f t="shared" si="7"/>
        <v>#DIV/0!</v>
      </c>
      <c r="N70" s="12">
        <f t="shared" si="8"/>
        <v>0</v>
      </c>
      <c r="O70" s="18">
        <f t="shared" si="9"/>
        <v>0</v>
      </c>
      <c r="P70" s="18">
        <f t="shared" si="10"/>
        <v>0</v>
      </c>
    </row>
    <row r="71">
      <c r="A71" s="2" t="s">
        <v>113</v>
      </c>
      <c r="B71" s="10">
        <v>3.0</v>
      </c>
      <c r="C71" s="12">
        <f t="shared" si="1"/>
        <v>12</v>
      </c>
      <c r="D71" s="11">
        <v>0.0</v>
      </c>
      <c r="E71" s="11">
        <v>0.0</v>
      </c>
      <c r="F71" s="12">
        <f t="shared" si="2"/>
        <v>0</v>
      </c>
      <c r="G71" s="16">
        <f t="shared" si="3"/>
        <v>0</v>
      </c>
      <c r="H71" s="11" t="s">
        <v>41</v>
      </c>
      <c r="I71" s="12">
        <f t="shared" si="5"/>
        <v>0</v>
      </c>
      <c r="J71" s="11">
        <v>0.0</v>
      </c>
      <c r="K71" s="11">
        <v>0.0</v>
      </c>
      <c r="L71" s="16">
        <f t="shared" si="6"/>
        <v>0</v>
      </c>
      <c r="M71" s="16" t="str">
        <f t="shared" si="7"/>
        <v>#DIV/0!</v>
      </c>
      <c r="N71" s="12">
        <f t="shared" si="8"/>
        <v>0</v>
      </c>
      <c r="O71" s="18">
        <f t="shared" si="9"/>
        <v>0</v>
      </c>
      <c r="P71" s="18">
        <f t="shared" si="10"/>
        <v>0</v>
      </c>
    </row>
    <row r="72">
      <c r="A72" s="2" t="s">
        <v>145</v>
      </c>
      <c r="B72" s="10">
        <v>3.0</v>
      </c>
      <c r="C72" s="12">
        <f t="shared" si="1"/>
        <v>12</v>
      </c>
      <c r="D72" s="11">
        <v>0.0</v>
      </c>
      <c r="E72" s="11">
        <v>0.0</v>
      </c>
      <c r="F72" s="12">
        <f t="shared" si="2"/>
        <v>0</v>
      </c>
      <c r="G72" s="16">
        <f t="shared" si="3"/>
        <v>0</v>
      </c>
      <c r="H72" s="11" t="s">
        <v>41</v>
      </c>
      <c r="I72" s="12">
        <f t="shared" si="5"/>
        <v>0</v>
      </c>
      <c r="J72" s="11">
        <v>0.0</v>
      </c>
      <c r="K72" s="11">
        <v>0.0</v>
      </c>
      <c r="L72" s="16">
        <f t="shared" si="6"/>
        <v>0</v>
      </c>
      <c r="M72" s="16" t="str">
        <f t="shared" si="7"/>
        <v>#DIV/0!</v>
      </c>
      <c r="N72" s="12">
        <f t="shared" si="8"/>
        <v>0</v>
      </c>
      <c r="O72" s="18">
        <f t="shared" si="9"/>
        <v>0</v>
      </c>
      <c r="P72" s="18">
        <f t="shared" si="10"/>
        <v>0</v>
      </c>
    </row>
    <row r="73">
      <c r="A73" s="2" t="s">
        <v>153</v>
      </c>
      <c r="B73" s="10">
        <v>3.0</v>
      </c>
      <c r="C73" s="12">
        <f t="shared" si="1"/>
        <v>12</v>
      </c>
      <c r="D73" s="11">
        <v>0.0</v>
      </c>
      <c r="E73" s="11">
        <v>0.0</v>
      </c>
      <c r="F73" s="12">
        <f t="shared" si="2"/>
        <v>0</v>
      </c>
      <c r="G73" s="16">
        <f t="shared" si="3"/>
        <v>0</v>
      </c>
      <c r="H73" s="11" t="s">
        <v>41</v>
      </c>
      <c r="I73" s="12">
        <f t="shared" si="5"/>
        <v>0</v>
      </c>
      <c r="J73" s="11">
        <v>0.0</v>
      </c>
      <c r="K73" s="11">
        <v>0.0</v>
      </c>
      <c r="L73" s="16">
        <f t="shared" si="6"/>
        <v>0</v>
      </c>
      <c r="M73" s="16" t="str">
        <f t="shared" si="7"/>
        <v>#DIV/0!</v>
      </c>
      <c r="N73" s="12">
        <f t="shared" si="8"/>
        <v>0</v>
      </c>
      <c r="O73" s="18">
        <f t="shared" si="9"/>
        <v>0</v>
      </c>
      <c r="P73" s="18">
        <f t="shared" si="10"/>
        <v>0</v>
      </c>
    </row>
    <row r="74">
      <c r="A74" s="2" t="s">
        <v>198</v>
      </c>
      <c r="B74" s="10">
        <v>3.0</v>
      </c>
      <c r="C74" s="12">
        <f t="shared" si="1"/>
        <v>12</v>
      </c>
      <c r="D74" s="11">
        <v>0.0</v>
      </c>
      <c r="E74" s="11">
        <v>0.0</v>
      </c>
      <c r="F74" s="12">
        <f t="shared" si="2"/>
        <v>0</v>
      </c>
      <c r="G74" s="16">
        <f t="shared" si="3"/>
        <v>0</v>
      </c>
      <c r="H74" s="11" t="s">
        <v>41</v>
      </c>
      <c r="I74" s="12">
        <f t="shared" si="5"/>
        <v>0</v>
      </c>
      <c r="J74" s="11">
        <v>0.0</v>
      </c>
      <c r="K74" s="11">
        <v>0.0</v>
      </c>
      <c r="L74" s="16">
        <f t="shared" si="6"/>
        <v>0</v>
      </c>
      <c r="M74" s="16" t="str">
        <f t="shared" si="7"/>
        <v>#DIV/0!</v>
      </c>
      <c r="N74" s="12">
        <f t="shared" si="8"/>
        <v>0</v>
      </c>
      <c r="O74" s="18">
        <f t="shared" si="9"/>
        <v>0</v>
      </c>
      <c r="P74" s="18">
        <f t="shared" si="10"/>
        <v>0</v>
      </c>
    </row>
    <row r="75">
      <c r="A75" s="2" t="s">
        <v>144</v>
      </c>
      <c r="B75" s="10">
        <v>3.0</v>
      </c>
      <c r="C75" s="12">
        <f t="shared" si="1"/>
        <v>12</v>
      </c>
      <c r="D75" s="11">
        <v>0.0</v>
      </c>
      <c r="E75" s="11">
        <v>0.0</v>
      </c>
      <c r="F75" s="12">
        <f t="shared" si="2"/>
        <v>0</v>
      </c>
      <c r="G75" s="16">
        <f t="shared" si="3"/>
        <v>0</v>
      </c>
      <c r="H75" s="11" t="s">
        <v>41</v>
      </c>
      <c r="I75" s="12">
        <f t="shared" si="5"/>
        <v>0</v>
      </c>
      <c r="J75" s="11">
        <v>0.0</v>
      </c>
      <c r="K75" s="11">
        <v>0.0</v>
      </c>
      <c r="L75" s="16">
        <f t="shared" si="6"/>
        <v>0</v>
      </c>
      <c r="M75" s="16" t="str">
        <f t="shared" si="7"/>
        <v>#DIV/0!</v>
      </c>
      <c r="N75" s="12">
        <f t="shared" si="8"/>
        <v>0</v>
      </c>
      <c r="O75" s="18">
        <f t="shared" si="9"/>
        <v>0</v>
      </c>
      <c r="P75" s="18">
        <f t="shared" si="10"/>
        <v>0</v>
      </c>
    </row>
    <row r="76">
      <c r="A76" s="2" t="s">
        <v>152</v>
      </c>
      <c r="B76" s="10">
        <v>3.0</v>
      </c>
      <c r="C76" s="12">
        <f t="shared" si="1"/>
        <v>12</v>
      </c>
      <c r="D76" s="11">
        <v>0.0</v>
      </c>
      <c r="E76" s="11">
        <v>0.0</v>
      </c>
      <c r="F76" s="12">
        <f t="shared" si="2"/>
        <v>0</v>
      </c>
      <c r="G76" s="16">
        <f t="shared" si="3"/>
        <v>0</v>
      </c>
      <c r="H76" s="11" t="s">
        <v>41</v>
      </c>
      <c r="I76" s="12">
        <f t="shared" si="5"/>
        <v>0</v>
      </c>
      <c r="J76" s="11">
        <v>0.0</v>
      </c>
      <c r="K76" s="11">
        <v>0.0</v>
      </c>
      <c r="L76" s="16">
        <f t="shared" si="6"/>
        <v>0</v>
      </c>
      <c r="M76" s="16" t="str">
        <f t="shared" si="7"/>
        <v>#DIV/0!</v>
      </c>
      <c r="N76" s="12">
        <f t="shared" si="8"/>
        <v>0</v>
      </c>
      <c r="O76" s="18">
        <f t="shared" si="9"/>
        <v>0</v>
      </c>
      <c r="P76" s="18">
        <f t="shared" si="10"/>
        <v>0</v>
      </c>
    </row>
    <row r="77">
      <c r="A77" s="2" t="s">
        <v>200</v>
      </c>
      <c r="B77" s="10">
        <v>3.0</v>
      </c>
      <c r="C77" s="12">
        <f t="shared" si="1"/>
        <v>12</v>
      </c>
      <c r="D77" s="10">
        <v>0.0</v>
      </c>
      <c r="E77" s="11">
        <v>0.0</v>
      </c>
      <c r="F77" s="12">
        <f t="shared" si="2"/>
        <v>0</v>
      </c>
      <c r="G77" s="16">
        <f t="shared" si="3"/>
        <v>0</v>
      </c>
      <c r="H77" s="11" t="s">
        <v>41</v>
      </c>
      <c r="I77" s="12">
        <f t="shared" si="5"/>
        <v>0</v>
      </c>
      <c r="J77" s="11">
        <v>0.0</v>
      </c>
      <c r="K77" s="11">
        <v>0.0</v>
      </c>
      <c r="L77" s="16">
        <f t="shared" si="6"/>
        <v>0</v>
      </c>
      <c r="M77" s="16" t="str">
        <f t="shared" si="7"/>
        <v>#DIV/0!</v>
      </c>
      <c r="N77" s="12">
        <f t="shared" si="8"/>
        <v>0</v>
      </c>
      <c r="O77" s="18">
        <f t="shared" si="9"/>
        <v>0</v>
      </c>
      <c r="P77" s="18">
        <f t="shared" si="10"/>
        <v>0</v>
      </c>
    </row>
    <row r="78">
      <c r="A78" s="2" t="s">
        <v>67</v>
      </c>
      <c r="B78" s="10">
        <v>3.0</v>
      </c>
      <c r="C78" s="12">
        <f t="shared" si="1"/>
        <v>12</v>
      </c>
      <c r="D78" s="11">
        <v>0.0</v>
      </c>
      <c r="E78" s="11">
        <v>0.0</v>
      </c>
      <c r="F78" s="12">
        <f t="shared" si="2"/>
        <v>0</v>
      </c>
      <c r="G78" s="16">
        <f t="shared" si="3"/>
        <v>0</v>
      </c>
      <c r="H78" s="11" t="s">
        <v>41</v>
      </c>
      <c r="I78" s="12">
        <f t="shared" si="5"/>
        <v>0</v>
      </c>
      <c r="J78" s="11">
        <v>0.0</v>
      </c>
      <c r="K78" s="11">
        <v>0.0</v>
      </c>
      <c r="L78" s="16">
        <f t="shared" si="6"/>
        <v>0</v>
      </c>
      <c r="M78" s="16" t="str">
        <f t="shared" si="7"/>
        <v>#DIV/0!</v>
      </c>
      <c r="N78" s="12">
        <f t="shared" si="8"/>
        <v>0</v>
      </c>
      <c r="O78" s="18">
        <f t="shared" si="9"/>
        <v>0</v>
      </c>
      <c r="P78" s="18">
        <f t="shared" si="10"/>
        <v>0</v>
      </c>
    </row>
    <row r="79">
      <c r="A79" s="2" t="s">
        <v>103</v>
      </c>
      <c r="B79" s="10">
        <v>3.0</v>
      </c>
      <c r="C79" s="12">
        <f t="shared" si="1"/>
        <v>12</v>
      </c>
      <c r="D79" s="11">
        <v>0.0</v>
      </c>
      <c r="E79" s="11">
        <v>0.0</v>
      </c>
      <c r="F79" s="12">
        <f t="shared" si="2"/>
        <v>0</v>
      </c>
      <c r="G79" s="16">
        <f t="shared" si="3"/>
        <v>0</v>
      </c>
      <c r="H79" s="11" t="s">
        <v>41</v>
      </c>
      <c r="I79" s="12">
        <f t="shared" si="5"/>
        <v>0</v>
      </c>
      <c r="J79" s="11">
        <v>0.0</v>
      </c>
      <c r="K79" s="11">
        <v>0.0</v>
      </c>
      <c r="L79" s="16">
        <f t="shared" si="6"/>
        <v>0</v>
      </c>
      <c r="M79" s="16" t="str">
        <f t="shared" si="7"/>
        <v>#DIV/0!</v>
      </c>
      <c r="N79" s="12">
        <f t="shared" si="8"/>
        <v>0</v>
      </c>
      <c r="O79" s="18">
        <f t="shared" si="9"/>
        <v>0</v>
      </c>
      <c r="P79" s="18">
        <f t="shared" si="10"/>
        <v>0</v>
      </c>
    </row>
    <row r="80">
      <c r="A80" s="2" t="s">
        <v>158</v>
      </c>
      <c r="B80" s="10">
        <v>2.5</v>
      </c>
      <c r="C80" s="12">
        <f t="shared" si="1"/>
        <v>10</v>
      </c>
      <c r="D80" s="11">
        <v>0.0</v>
      </c>
      <c r="E80" s="11">
        <v>0.0</v>
      </c>
      <c r="F80" s="12">
        <f t="shared" si="2"/>
        <v>0</v>
      </c>
      <c r="G80" s="16">
        <f t="shared" si="3"/>
        <v>0</v>
      </c>
      <c r="H80" s="11" t="s">
        <v>41</v>
      </c>
      <c r="I80" s="12">
        <f t="shared" si="5"/>
        <v>0</v>
      </c>
      <c r="J80" s="11">
        <v>0.0</v>
      </c>
      <c r="K80" s="11">
        <v>0.0</v>
      </c>
      <c r="L80" s="16">
        <f t="shared" si="6"/>
        <v>0</v>
      </c>
      <c r="M80" s="16" t="str">
        <f t="shared" si="7"/>
        <v>#DIV/0!</v>
      </c>
      <c r="N80" s="12">
        <f t="shared" si="8"/>
        <v>0</v>
      </c>
      <c r="O80" s="18">
        <f t="shared" si="9"/>
        <v>0</v>
      </c>
      <c r="P80" s="18">
        <f t="shared" si="10"/>
        <v>0</v>
      </c>
    </row>
    <row r="81">
      <c r="A81" s="2" t="s">
        <v>138</v>
      </c>
      <c r="B81" s="10">
        <v>2.5</v>
      </c>
      <c r="C81" s="12">
        <f t="shared" si="1"/>
        <v>10</v>
      </c>
      <c r="D81" s="11">
        <v>0.0</v>
      </c>
      <c r="E81" s="11">
        <v>0.0</v>
      </c>
      <c r="F81" s="12">
        <f t="shared" si="2"/>
        <v>0</v>
      </c>
      <c r="G81" s="16">
        <f t="shared" si="3"/>
        <v>0</v>
      </c>
      <c r="H81" s="11" t="s">
        <v>41</v>
      </c>
      <c r="I81" s="12">
        <f t="shared" si="5"/>
        <v>0</v>
      </c>
      <c r="J81" s="11">
        <v>0.0</v>
      </c>
      <c r="K81" s="11">
        <v>0.0</v>
      </c>
      <c r="L81" s="16">
        <f t="shared" si="6"/>
        <v>0</v>
      </c>
      <c r="M81" s="16" t="str">
        <f t="shared" si="7"/>
        <v>#DIV/0!</v>
      </c>
      <c r="N81" s="12">
        <f t="shared" si="8"/>
        <v>0</v>
      </c>
      <c r="O81" s="18">
        <f t="shared" si="9"/>
        <v>0</v>
      </c>
      <c r="P81" s="18">
        <f t="shared" si="10"/>
        <v>0</v>
      </c>
    </row>
    <row r="82">
      <c r="A82" s="2" t="s">
        <v>162</v>
      </c>
      <c r="B82" s="10">
        <v>2.5</v>
      </c>
      <c r="C82" s="12">
        <f t="shared" si="1"/>
        <v>10</v>
      </c>
      <c r="D82" s="10">
        <v>0.0</v>
      </c>
      <c r="E82" s="11">
        <v>0.0</v>
      </c>
      <c r="F82" s="12">
        <f t="shared" si="2"/>
        <v>0</v>
      </c>
      <c r="G82" s="16">
        <f t="shared" si="3"/>
        <v>0</v>
      </c>
      <c r="H82" s="11" t="s">
        <v>41</v>
      </c>
      <c r="I82" s="12">
        <f t="shared" si="5"/>
        <v>0</v>
      </c>
      <c r="J82" s="11">
        <v>0.0</v>
      </c>
      <c r="K82" s="11">
        <v>0.0</v>
      </c>
      <c r="L82" s="16">
        <f t="shared" si="6"/>
        <v>0</v>
      </c>
      <c r="M82" s="16" t="str">
        <f t="shared" si="7"/>
        <v>#DIV/0!</v>
      </c>
      <c r="N82" s="12">
        <f t="shared" si="8"/>
        <v>0</v>
      </c>
      <c r="O82" s="18">
        <f t="shared" si="9"/>
        <v>0</v>
      </c>
      <c r="P82" s="18">
        <f t="shared" si="10"/>
        <v>0</v>
      </c>
    </row>
    <row r="83">
      <c r="A83" s="2" t="s">
        <v>209</v>
      </c>
      <c r="B83" s="10">
        <v>2.5</v>
      </c>
      <c r="C83" s="12">
        <f t="shared" si="1"/>
        <v>10</v>
      </c>
      <c r="D83" s="11">
        <v>0.0</v>
      </c>
      <c r="E83" s="11">
        <v>0.0</v>
      </c>
      <c r="F83" s="12">
        <f t="shared" si="2"/>
        <v>0</v>
      </c>
      <c r="G83" s="16">
        <f t="shared" si="3"/>
        <v>0</v>
      </c>
      <c r="H83" s="11" t="s">
        <v>41</v>
      </c>
      <c r="I83" s="12">
        <f t="shared" si="5"/>
        <v>0</v>
      </c>
      <c r="J83" s="11">
        <v>0.0</v>
      </c>
      <c r="K83" s="11">
        <v>0.0</v>
      </c>
      <c r="L83" s="16">
        <f t="shared" si="6"/>
        <v>0</v>
      </c>
      <c r="M83" s="16" t="str">
        <f t="shared" si="7"/>
        <v>#DIV/0!</v>
      </c>
      <c r="N83" s="12">
        <f t="shared" si="8"/>
        <v>0</v>
      </c>
      <c r="O83" s="18">
        <f t="shared" si="9"/>
        <v>0</v>
      </c>
      <c r="P83" s="18">
        <f t="shared" si="10"/>
        <v>0</v>
      </c>
    </row>
    <row r="84">
      <c r="A84" s="2" t="s">
        <v>165</v>
      </c>
      <c r="B84" s="10">
        <v>2.5</v>
      </c>
      <c r="C84" s="12">
        <f t="shared" si="1"/>
        <v>10</v>
      </c>
      <c r="D84" s="11">
        <v>0.0</v>
      </c>
      <c r="E84" s="11">
        <v>0.0</v>
      </c>
      <c r="F84" s="12">
        <f t="shared" si="2"/>
        <v>0</v>
      </c>
      <c r="G84" s="16">
        <f t="shared" si="3"/>
        <v>0</v>
      </c>
      <c r="H84" s="11" t="s">
        <v>41</v>
      </c>
      <c r="I84" s="12">
        <f t="shared" si="5"/>
        <v>0</v>
      </c>
      <c r="J84" s="11">
        <v>0.0</v>
      </c>
      <c r="K84" s="11">
        <v>0.0</v>
      </c>
      <c r="L84" s="16">
        <f t="shared" si="6"/>
        <v>0</v>
      </c>
      <c r="M84" s="16" t="str">
        <f t="shared" si="7"/>
        <v>#DIV/0!</v>
      </c>
      <c r="N84" s="12">
        <f t="shared" si="8"/>
        <v>0</v>
      </c>
      <c r="O84" s="18">
        <f t="shared" si="9"/>
        <v>0</v>
      </c>
      <c r="P84" s="18">
        <f t="shared" si="10"/>
        <v>0</v>
      </c>
    </row>
    <row r="85">
      <c r="A85" s="2" t="s">
        <v>45</v>
      </c>
      <c r="B85" s="10">
        <v>2.0</v>
      </c>
      <c r="C85" s="12">
        <f t="shared" si="1"/>
        <v>8</v>
      </c>
      <c r="D85" s="11">
        <v>0.0</v>
      </c>
      <c r="E85" s="11">
        <v>0.0</v>
      </c>
      <c r="F85" s="12">
        <f t="shared" si="2"/>
        <v>0</v>
      </c>
      <c r="G85" s="16">
        <f t="shared" si="3"/>
        <v>0</v>
      </c>
      <c r="H85" s="11" t="s">
        <v>41</v>
      </c>
      <c r="I85" s="12">
        <f t="shared" si="5"/>
        <v>0</v>
      </c>
      <c r="J85" s="11">
        <v>0.0</v>
      </c>
      <c r="K85" s="11">
        <v>0.0</v>
      </c>
      <c r="L85" s="16">
        <f t="shared" si="6"/>
        <v>0</v>
      </c>
      <c r="M85" s="16" t="str">
        <f t="shared" si="7"/>
        <v>#DIV/0!</v>
      </c>
      <c r="N85" s="12">
        <f t="shared" si="8"/>
        <v>0</v>
      </c>
      <c r="O85" s="18">
        <f t="shared" si="9"/>
        <v>0</v>
      </c>
      <c r="P85" s="18">
        <f t="shared" si="10"/>
        <v>0</v>
      </c>
    </row>
    <row r="86">
      <c r="A86" s="2" t="s">
        <v>166</v>
      </c>
      <c r="B86" s="10">
        <v>2.0</v>
      </c>
      <c r="C86" s="12">
        <f t="shared" si="1"/>
        <v>8</v>
      </c>
      <c r="D86" s="11">
        <v>0.0</v>
      </c>
      <c r="E86" s="20">
        <v>0.0</v>
      </c>
      <c r="F86" s="21">
        <f t="shared" si="2"/>
        <v>0</v>
      </c>
      <c r="G86" s="23">
        <f t="shared" si="3"/>
        <v>0</v>
      </c>
      <c r="H86" s="20" t="s">
        <v>41</v>
      </c>
      <c r="I86" s="12">
        <f t="shared" si="5"/>
        <v>0</v>
      </c>
      <c r="J86" s="11">
        <v>0.0</v>
      </c>
      <c r="K86" s="11">
        <v>0.0</v>
      </c>
      <c r="L86" s="16">
        <f t="shared" si="6"/>
        <v>0</v>
      </c>
      <c r="M86" s="16" t="str">
        <f t="shared" si="7"/>
        <v>#DIV/0!</v>
      </c>
      <c r="N86" s="12">
        <f t="shared" si="8"/>
        <v>0</v>
      </c>
      <c r="O86" s="18">
        <f t="shared" si="9"/>
        <v>0</v>
      </c>
      <c r="P86" s="18">
        <f t="shared" si="10"/>
        <v>0</v>
      </c>
    </row>
    <row r="87">
      <c r="A87" s="2" t="s">
        <v>168</v>
      </c>
      <c r="B87" s="10">
        <v>2.0</v>
      </c>
      <c r="C87" s="12">
        <f t="shared" si="1"/>
        <v>8</v>
      </c>
      <c r="D87" s="11">
        <v>0.0</v>
      </c>
      <c r="E87" s="20">
        <v>0.0</v>
      </c>
      <c r="F87" s="21">
        <f t="shared" si="2"/>
        <v>0</v>
      </c>
      <c r="G87" s="23">
        <f t="shared" si="3"/>
        <v>0</v>
      </c>
      <c r="H87" s="20" t="s">
        <v>41</v>
      </c>
      <c r="I87" s="12">
        <f t="shared" si="5"/>
        <v>0</v>
      </c>
      <c r="J87" s="11">
        <v>0.0</v>
      </c>
      <c r="K87" s="11">
        <v>0.0</v>
      </c>
      <c r="L87" s="16">
        <f t="shared" si="6"/>
        <v>0</v>
      </c>
      <c r="M87" s="16" t="str">
        <f t="shared" si="7"/>
        <v>#DIV/0!</v>
      </c>
      <c r="N87" s="12">
        <f t="shared" si="8"/>
        <v>0</v>
      </c>
      <c r="O87" s="18">
        <f t="shared" si="9"/>
        <v>0</v>
      </c>
      <c r="P87" s="18">
        <f t="shared" si="10"/>
        <v>0</v>
      </c>
    </row>
    <row r="88">
      <c r="A88" s="2" t="s">
        <v>115</v>
      </c>
      <c r="B88" s="10">
        <v>2.0</v>
      </c>
      <c r="C88" s="12">
        <f t="shared" si="1"/>
        <v>8</v>
      </c>
      <c r="D88" s="11">
        <v>0.0</v>
      </c>
      <c r="E88" s="20">
        <v>0.0</v>
      </c>
      <c r="F88" s="21">
        <f t="shared" si="2"/>
        <v>0</v>
      </c>
      <c r="G88" s="23">
        <f t="shared" si="3"/>
        <v>0</v>
      </c>
      <c r="H88" s="20" t="s">
        <v>41</v>
      </c>
      <c r="I88" s="12">
        <f t="shared" si="5"/>
        <v>0</v>
      </c>
      <c r="J88" s="11">
        <v>0.0</v>
      </c>
      <c r="K88" s="11">
        <v>0.0</v>
      </c>
      <c r="L88" s="16">
        <f t="shared" si="6"/>
        <v>0</v>
      </c>
      <c r="M88" s="16" t="str">
        <f t="shared" si="7"/>
        <v>#DIV/0!</v>
      </c>
      <c r="N88" s="12">
        <f t="shared" si="8"/>
        <v>0</v>
      </c>
      <c r="O88" s="18">
        <f t="shared" si="9"/>
        <v>0</v>
      </c>
      <c r="P88" s="18">
        <f t="shared" si="10"/>
        <v>0</v>
      </c>
    </row>
    <row r="89">
      <c r="A89" s="2" t="s">
        <v>171</v>
      </c>
      <c r="B89" s="10">
        <v>2.0</v>
      </c>
      <c r="C89" s="12">
        <f t="shared" si="1"/>
        <v>8</v>
      </c>
      <c r="D89" s="11">
        <v>0.0</v>
      </c>
      <c r="E89" s="11">
        <v>0.0</v>
      </c>
      <c r="F89" s="12">
        <f t="shared" si="2"/>
        <v>0</v>
      </c>
      <c r="G89" s="16">
        <f t="shared" si="3"/>
        <v>0</v>
      </c>
      <c r="H89" s="11" t="s">
        <v>41</v>
      </c>
      <c r="I89" s="12">
        <f t="shared" si="5"/>
        <v>0</v>
      </c>
      <c r="J89" s="11">
        <v>0.0</v>
      </c>
      <c r="K89" s="11">
        <v>0.0</v>
      </c>
      <c r="L89" s="16">
        <f t="shared" si="6"/>
        <v>0</v>
      </c>
      <c r="M89" s="16" t="str">
        <f t="shared" si="7"/>
        <v>#DIV/0!</v>
      </c>
      <c r="N89" s="12">
        <f t="shared" si="8"/>
        <v>0</v>
      </c>
      <c r="O89" s="18">
        <f t="shared" si="9"/>
        <v>0</v>
      </c>
      <c r="P89" s="18">
        <f t="shared" si="10"/>
        <v>0</v>
      </c>
    </row>
    <row r="90">
      <c r="A90" s="2" t="s">
        <v>74</v>
      </c>
      <c r="B90" s="10">
        <v>2.0</v>
      </c>
      <c r="C90" s="12">
        <f t="shared" si="1"/>
        <v>8</v>
      </c>
      <c r="D90" s="11">
        <v>0.0</v>
      </c>
      <c r="E90" s="20">
        <v>0.0</v>
      </c>
      <c r="F90" s="21">
        <f t="shared" si="2"/>
        <v>0</v>
      </c>
      <c r="G90" s="23">
        <f t="shared" si="3"/>
        <v>0</v>
      </c>
      <c r="H90" s="20" t="s">
        <v>41</v>
      </c>
      <c r="I90" s="12">
        <f t="shared" si="5"/>
        <v>0</v>
      </c>
      <c r="J90" s="11">
        <v>0.0</v>
      </c>
      <c r="K90" s="11">
        <v>0.0</v>
      </c>
      <c r="L90" s="16">
        <f t="shared" si="6"/>
        <v>0</v>
      </c>
      <c r="M90" s="16" t="str">
        <f t="shared" si="7"/>
        <v>#DIV/0!</v>
      </c>
      <c r="N90" s="12">
        <f t="shared" si="8"/>
        <v>0</v>
      </c>
      <c r="O90" s="18">
        <f t="shared" si="9"/>
        <v>0</v>
      </c>
      <c r="P90" s="18">
        <f t="shared" si="10"/>
        <v>0</v>
      </c>
    </row>
    <row r="91">
      <c r="A91" s="2" t="s">
        <v>121</v>
      </c>
      <c r="B91" s="10">
        <v>2.0</v>
      </c>
      <c r="C91" s="12">
        <f t="shared" si="1"/>
        <v>8</v>
      </c>
      <c r="D91" s="11">
        <v>0.0</v>
      </c>
      <c r="E91" s="11">
        <v>0.0</v>
      </c>
      <c r="F91" s="12">
        <f t="shared" si="2"/>
        <v>0</v>
      </c>
      <c r="G91" s="16">
        <f t="shared" si="3"/>
        <v>0</v>
      </c>
      <c r="H91" s="11" t="s">
        <v>41</v>
      </c>
      <c r="I91" s="12">
        <f t="shared" si="5"/>
        <v>0</v>
      </c>
      <c r="J91" s="11">
        <v>0.0</v>
      </c>
      <c r="K91" s="11">
        <v>0.0</v>
      </c>
      <c r="L91" s="16">
        <f t="shared" si="6"/>
        <v>0</v>
      </c>
      <c r="M91" s="16" t="str">
        <f t="shared" si="7"/>
        <v>#DIV/0!</v>
      </c>
      <c r="N91" s="12">
        <f t="shared" si="8"/>
        <v>0</v>
      </c>
      <c r="O91" s="18">
        <f t="shared" si="9"/>
        <v>0</v>
      </c>
      <c r="P91" s="18">
        <f t="shared" si="10"/>
        <v>0</v>
      </c>
    </row>
    <row r="92">
      <c r="A92" s="2" t="s">
        <v>206</v>
      </c>
      <c r="B92" s="10">
        <v>3.0</v>
      </c>
      <c r="C92" s="12">
        <f t="shared" si="1"/>
        <v>12</v>
      </c>
      <c r="D92" s="11">
        <v>0.0</v>
      </c>
      <c r="E92" s="20">
        <v>0.0</v>
      </c>
      <c r="F92" s="21">
        <f t="shared" si="2"/>
        <v>0</v>
      </c>
      <c r="G92" s="23">
        <f t="shared" si="3"/>
        <v>0</v>
      </c>
      <c r="H92" s="20" t="s">
        <v>41</v>
      </c>
      <c r="I92" s="12">
        <f t="shared" si="5"/>
        <v>0</v>
      </c>
      <c r="J92" s="11">
        <v>0.0</v>
      </c>
      <c r="K92" s="11">
        <v>0.0</v>
      </c>
      <c r="L92" s="16">
        <f t="shared" si="6"/>
        <v>0</v>
      </c>
      <c r="M92" s="16" t="str">
        <f t="shared" si="7"/>
        <v>#DIV/0!</v>
      </c>
      <c r="N92" s="12">
        <f t="shared" si="8"/>
        <v>0</v>
      </c>
      <c r="O92" s="18">
        <f t="shared" si="9"/>
        <v>0</v>
      </c>
      <c r="P92" s="18">
        <f t="shared" si="10"/>
        <v>0</v>
      </c>
    </row>
    <row r="93">
      <c r="A93" s="2" t="s">
        <v>91</v>
      </c>
      <c r="B93" s="10">
        <v>1.5</v>
      </c>
      <c r="C93" s="12">
        <f t="shared" si="1"/>
        <v>6</v>
      </c>
      <c r="D93" s="11">
        <v>0.0</v>
      </c>
      <c r="E93" s="20">
        <v>0.0</v>
      </c>
      <c r="F93" s="21">
        <f t="shared" si="2"/>
        <v>0</v>
      </c>
      <c r="G93" s="23">
        <f t="shared" si="3"/>
        <v>0</v>
      </c>
      <c r="H93" s="20" t="s">
        <v>41</v>
      </c>
      <c r="I93" s="12">
        <f t="shared" si="5"/>
        <v>0</v>
      </c>
      <c r="J93" s="11">
        <v>0.0</v>
      </c>
      <c r="K93" s="11">
        <v>0.0</v>
      </c>
      <c r="L93" s="16">
        <f t="shared" si="6"/>
        <v>0</v>
      </c>
      <c r="M93" s="16" t="str">
        <f t="shared" si="7"/>
        <v>#DIV/0!</v>
      </c>
      <c r="N93" s="12">
        <f t="shared" si="8"/>
        <v>0</v>
      </c>
      <c r="O93" s="18">
        <f t="shared" si="9"/>
        <v>0</v>
      </c>
      <c r="P93" s="18">
        <f t="shared" si="10"/>
        <v>0</v>
      </c>
    </row>
    <row r="94">
      <c r="A94" s="2" t="s">
        <v>174</v>
      </c>
      <c r="B94" s="10">
        <v>1.5</v>
      </c>
      <c r="C94" s="12">
        <f t="shared" si="1"/>
        <v>6</v>
      </c>
      <c r="D94" s="11">
        <v>0.0</v>
      </c>
      <c r="E94" s="20">
        <v>0.0</v>
      </c>
      <c r="F94" s="21">
        <f t="shared" si="2"/>
        <v>0</v>
      </c>
      <c r="G94" s="23">
        <f t="shared" si="3"/>
        <v>0</v>
      </c>
      <c r="H94" s="20" t="s">
        <v>41</v>
      </c>
      <c r="I94" s="12">
        <f t="shared" si="5"/>
        <v>0</v>
      </c>
      <c r="J94" s="11">
        <v>0.0</v>
      </c>
      <c r="K94" s="11">
        <v>0.0</v>
      </c>
      <c r="L94" s="16">
        <f t="shared" si="6"/>
        <v>0</v>
      </c>
      <c r="M94" s="16" t="str">
        <f t="shared" si="7"/>
        <v>#DIV/0!</v>
      </c>
      <c r="N94" s="12">
        <f t="shared" si="8"/>
        <v>0</v>
      </c>
      <c r="O94" s="18">
        <f t="shared" si="9"/>
        <v>0</v>
      </c>
      <c r="P94" s="18">
        <f t="shared" si="10"/>
        <v>0</v>
      </c>
    </row>
    <row r="95">
      <c r="A95" s="2" t="s">
        <v>175</v>
      </c>
      <c r="B95" s="10">
        <v>1.5</v>
      </c>
      <c r="C95" s="12">
        <f t="shared" si="1"/>
        <v>6</v>
      </c>
      <c r="D95" s="11">
        <v>0.0</v>
      </c>
      <c r="E95" s="11">
        <v>0.0</v>
      </c>
      <c r="F95" s="12">
        <f t="shared" si="2"/>
        <v>0</v>
      </c>
      <c r="G95" s="16">
        <f t="shared" si="3"/>
        <v>0</v>
      </c>
      <c r="H95" s="11" t="s">
        <v>41</v>
      </c>
      <c r="I95" s="12">
        <f t="shared" si="5"/>
        <v>0</v>
      </c>
      <c r="J95" s="11">
        <v>0.0</v>
      </c>
      <c r="K95" s="11">
        <v>0.0</v>
      </c>
      <c r="L95" s="16">
        <f t="shared" si="6"/>
        <v>0</v>
      </c>
      <c r="M95" s="16" t="str">
        <f t="shared" si="7"/>
        <v>#DIV/0!</v>
      </c>
      <c r="N95" s="12">
        <f t="shared" si="8"/>
        <v>0</v>
      </c>
      <c r="O95" s="18">
        <f t="shared" si="9"/>
        <v>0</v>
      </c>
      <c r="P95" s="18">
        <f t="shared" si="10"/>
        <v>0</v>
      </c>
    </row>
    <row r="96">
      <c r="A96" s="2" t="s">
        <v>176</v>
      </c>
      <c r="B96" s="10">
        <v>1.5</v>
      </c>
      <c r="C96" s="12">
        <f t="shared" si="1"/>
        <v>6</v>
      </c>
      <c r="D96" s="11">
        <v>0.0</v>
      </c>
      <c r="E96" s="11">
        <v>0.0</v>
      </c>
      <c r="F96" s="12">
        <f t="shared" si="2"/>
        <v>0</v>
      </c>
      <c r="G96" s="16">
        <f t="shared" si="3"/>
        <v>0</v>
      </c>
      <c r="H96" s="11" t="s">
        <v>41</v>
      </c>
      <c r="I96" s="12">
        <f t="shared" si="5"/>
        <v>0</v>
      </c>
      <c r="J96" s="11">
        <v>0.0</v>
      </c>
      <c r="K96" s="11">
        <v>0.0</v>
      </c>
      <c r="L96" s="16">
        <f t="shared" si="6"/>
        <v>0</v>
      </c>
      <c r="M96" s="16" t="str">
        <f t="shared" si="7"/>
        <v>#DIV/0!</v>
      </c>
      <c r="N96" s="12">
        <f t="shared" si="8"/>
        <v>0</v>
      </c>
      <c r="O96" s="18">
        <f t="shared" si="9"/>
        <v>0</v>
      </c>
      <c r="P96" s="18">
        <f t="shared" si="10"/>
        <v>0</v>
      </c>
    </row>
    <row r="97">
      <c r="A97" s="2" t="s">
        <v>177</v>
      </c>
      <c r="B97" s="10">
        <v>1.5</v>
      </c>
      <c r="C97" s="12">
        <f t="shared" si="1"/>
        <v>6</v>
      </c>
      <c r="D97" s="11">
        <v>0.0</v>
      </c>
      <c r="E97" s="20">
        <v>0.0</v>
      </c>
      <c r="F97" s="21">
        <f t="shared" si="2"/>
        <v>0</v>
      </c>
      <c r="G97" s="23">
        <f t="shared" si="3"/>
        <v>0</v>
      </c>
      <c r="H97" s="20" t="s">
        <v>41</v>
      </c>
      <c r="I97" s="12">
        <f t="shared" si="5"/>
        <v>0</v>
      </c>
      <c r="J97" s="11">
        <v>0.0</v>
      </c>
      <c r="K97" s="11">
        <v>0.0</v>
      </c>
      <c r="L97" s="16">
        <f t="shared" si="6"/>
        <v>0</v>
      </c>
      <c r="M97" s="16" t="str">
        <f t="shared" si="7"/>
        <v>#DIV/0!</v>
      </c>
      <c r="N97" s="12">
        <f t="shared" si="8"/>
        <v>0</v>
      </c>
      <c r="O97" s="18">
        <f t="shared" si="9"/>
        <v>0</v>
      </c>
      <c r="P97" s="18">
        <f t="shared" si="10"/>
        <v>0</v>
      </c>
    </row>
    <row r="98">
      <c r="A98" s="2" t="s">
        <v>180</v>
      </c>
      <c r="B98" s="10">
        <v>1.5</v>
      </c>
      <c r="C98" s="12">
        <f t="shared" si="1"/>
        <v>6</v>
      </c>
      <c r="D98" s="11">
        <v>0.0</v>
      </c>
      <c r="E98" s="11">
        <v>0.0</v>
      </c>
      <c r="F98" s="12">
        <f t="shared" si="2"/>
        <v>0</v>
      </c>
      <c r="G98" s="16">
        <f t="shared" si="3"/>
        <v>0</v>
      </c>
      <c r="H98" s="11" t="s">
        <v>41</v>
      </c>
      <c r="I98" s="12">
        <f t="shared" si="5"/>
        <v>0</v>
      </c>
      <c r="J98" s="11">
        <v>0.0</v>
      </c>
      <c r="K98" s="11">
        <v>0.0</v>
      </c>
      <c r="L98" s="16">
        <f t="shared" si="6"/>
        <v>0</v>
      </c>
      <c r="M98" s="16" t="str">
        <f t="shared" si="7"/>
        <v>#DIV/0!</v>
      </c>
      <c r="N98" s="12">
        <f t="shared" si="8"/>
        <v>0</v>
      </c>
      <c r="O98" s="18">
        <f t="shared" si="9"/>
        <v>0</v>
      </c>
      <c r="P98" s="18">
        <f t="shared" si="10"/>
        <v>0</v>
      </c>
    </row>
    <row r="99">
      <c r="A99" s="2" t="s">
        <v>182</v>
      </c>
      <c r="B99" s="10">
        <v>1.5</v>
      </c>
      <c r="C99" s="12">
        <f t="shared" si="1"/>
        <v>6</v>
      </c>
      <c r="D99" s="11">
        <v>0.0</v>
      </c>
      <c r="E99" s="11">
        <v>0.0</v>
      </c>
      <c r="F99" s="12">
        <f t="shared" si="2"/>
        <v>0</v>
      </c>
      <c r="G99" s="16">
        <f t="shared" si="3"/>
        <v>0</v>
      </c>
      <c r="H99" s="11" t="s">
        <v>41</v>
      </c>
      <c r="I99" s="12">
        <f t="shared" si="5"/>
        <v>0</v>
      </c>
      <c r="J99" s="11">
        <v>0.0</v>
      </c>
      <c r="K99" s="11">
        <v>0.0</v>
      </c>
      <c r="L99" s="16">
        <f t="shared" si="6"/>
        <v>0</v>
      </c>
      <c r="M99" s="16" t="str">
        <f t="shared" si="7"/>
        <v>#DIV/0!</v>
      </c>
      <c r="N99" s="12">
        <f t="shared" si="8"/>
        <v>0</v>
      </c>
      <c r="O99" s="18">
        <f t="shared" si="9"/>
        <v>0</v>
      </c>
      <c r="P99" s="18">
        <f t="shared" si="10"/>
        <v>0</v>
      </c>
    </row>
    <row r="100">
      <c r="A100" s="2" t="s">
        <v>160</v>
      </c>
      <c r="B100" s="10">
        <v>1.0</v>
      </c>
      <c r="C100" s="12">
        <f t="shared" si="1"/>
        <v>4</v>
      </c>
      <c r="D100" s="11">
        <v>0.0</v>
      </c>
      <c r="E100" s="11">
        <v>0.0</v>
      </c>
      <c r="F100" s="12">
        <f t="shared" si="2"/>
        <v>0</v>
      </c>
      <c r="G100" s="16">
        <f t="shared" si="3"/>
        <v>0</v>
      </c>
      <c r="H100" s="11" t="s">
        <v>41</v>
      </c>
      <c r="I100" s="12">
        <f t="shared" si="5"/>
        <v>0</v>
      </c>
      <c r="J100" s="11">
        <v>0.0</v>
      </c>
      <c r="K100" s="11">
        <v>0.0</v>
      </c>
      <c r="L100" s="16">
        <f t="shared" si="6"/>
        <v>0</v>
      </c>
      <c r="M100" s="16" t="str">
        <f t="shared" si="7"/>
        <v>#DIV/0!</v>
      </c>
      <c r="N100" s="12">
        <f t="shared" si="8"/>
        <v>0</v>
      </c>
      <c r="O100" s="18">
        <f t="shared" si="9"/>
        <v>0</v>
      </c>
      <c r="P100" s="18">
        <f t="shared" si="10"/>
        <v>0</v>
      </c>
    </row>
    <row r="101">
      <c r="A101" s="2" t="s">
        <v>130</v>
      </c>
      <c r="B101" s="10">
        <v>1.0</v>
      </c>
      <c r="C101" s="12">
        <f t="shared" si="1"/>
        <v>4</v>
      </c>
      <c r="D101" s="11">
        <v>0.0</v>
      </c>
      <c r="E101" s="11">
        <v>0.0</v>
      </c>
      <c r="F101" s="12">
        <f t="shared" si="2"/>
        <v>0</v>
      </c>
      <c r="G101" s="16">
        <f t="shared" si="3"/>
        <v>0</v>
      </c>
      <c r="H101" s="11" t="s">
        <v>41</v>
      </c>
      <c r="I101" s="12">
        <f t="shared" si="5"/>
        <v>0</v>
      </c>
      <c r="J101" s="11">
        <v>0.0</v>
      </c>
      <c r="K101" s="11">
        <v>0.0</v>
      </c>
      <c r="L101" s="16">
        <f t="shared" si="6"/>
        <v>0</v>
      </c>
      <c r="M101" s="16" t="str">
        <f t="shared" si="7"/>
        <v>#DIV/0!</v>
      </c>
      <c r="N101" s="12">
        <f t="shared" si="8"/>
        <v>0</v>
      </c>
      <c r="O101" s="18">
        <f t="shared" si="9"/>
        <v>0</v>
      </c>
      <c r="P101" s="18">
        <f t="shared" si="10"/>
        <v>0</v>
      </c>
    </row>
    <row r="102">
      <c r="A102" s="2" t="s">
        <v>183</v>
      </c>
      <c r="B102" s="10">
        <v>3.0</v>
      </c>
      <c r="C102" s="12">
        <f t="shared" si="1"/>
        <v>12</v>
      </c>
      <c r="D102" s="11">
        <v>0.0</v>
      </c>
      <c r="E102" s="11">
        <v>0.0</v>
      </c>
      <c r="F102" s="12">
        <f t="shared" si="2"/>
        <v>0</v>
      </c>
      <c r="G102" s="16">
        <f t="shared" si="3"/>
        <v>0</v>
      </c>
      <c r="H102" s="11" t="s">
        <v>41</v>
      </c>
      <c r="I102" s="12">
        <f t="shared" si="5"/>
        <v>0</v>
      </c>
      <c r="J102" s="11">
        <v>0.0</v>
      </c>
      <c r="K102" s="11">
        <v>0.0</v>
      </c>
      <c r="L102" s="16">
        <f t="shared" si="6"/>
        <v>0</v>
      </c>
      <c r="M102" s="16" t="str">
        <f t="shared" si="7"/>
        <v>#DIV/0!</v>
      </c>
      <c r="N102" s="12">
        <f t="shared" si="8"/>
        <v>0</v>
      </c>
      <c r="O102" s="18">
        <f t="shared" si="9"/>
        <v>0</v>
      </c>
      <c r="P102" s="18">
        <f t="shared" si="10"/>
        <v>0</v>
      </c>
    </row>
    <row r="103">
      <c r="A103" s="2" t="s">
        <v>199</v>
      </c>
      <c r="B103" s="10">
        <v>3.0</v>
      </c>
      <c r="C103" s="12">
        <f t="shared" si="1"/>
        <v>12</v>
      </c>
      <c r="D103" s="11">
        <v>0.0</v>
      </c>
      <c r="E103" s="11">
        <v>0.0</v>
      </c>
      <c r="F103" s="12">
        <f t="shared" si="2"/>
        <v>0</v>
      </c>
      <c r="G103" s="16">
        <f t="shared" si="3"/>
        <v>0</v>
      </c>
      <c r="H103" s="11" t="s">
        <v>41</v>
      </c>
      <c r="I103" s="12">
        <f t="shared" si="5"/>
        <v>0</v>
      </c>
      <c r="J103" s="11">
        <v>0.0</v>
      </c>
      <c r="K103" s="11">
        <v>0.0</v>
      </c>
      <c r="L103" s="16">
        <f t="shared" si="6"/>
        <v>0</v>
      </c>
      <c r="M103" s="16" t="str">
        <f t="shared" si="7"/>
        <v>#DIV/0!</v>
      </c>
      <c r="N103" s="12">
        <f t="shared" si="8"/>
        <v>0</v>
      </c>
      <c r="O103" s="18">
        <f t="shared" si="9"/>
        <v>0</v>
      </c>
      <c r="P103" s="18">
        <f t="shared" si="10"/>
        <v>0</v>
      </c>
    </row>
    <row r="104">
      <c r="A104" s="2" t="s">
        <v>185</v>
      </c>
      <c r="B104" s="10">
        <v>2.0</v>
      </c>
      <c r="C104" s="12">
        <f t="shared" si="1"/>
        <v>8</v>
      </c>
      <c r="D104" s="11">
        <v>0.0</v>
      </c>
      <c r="E104" s="20">
        <v>0.0</v>
      </c>
      <c r="F104" s="21">
        <f t="shared" si="2"/>
        <v>0</v>
      </c>
      <c r="G104" s="23">
        <f t="shared" si="3"/>
        <v>0</v>
      </c>
      <c r="H104" s="20" t="s">
        <v>41</v>
      </c>
      <c r="I104" s="12">
        <f t="shared" si="5"/>
        <v>0</v>
      </c>
      <c r="J104" s="11">
        <v>0.0</v>
      </c>
      <c r="K104" s="11">
        <v>0.0</v>
      </c>
      <c r="L104" s="16">
        <f t="shared" si="6"/>
        <v>0</v>
      </c>
      <c r="M104" s="16" t="str">
        <f t="shared" si="7"/>
        <v>#DIV/0!</v>
      </c>
      <c r="N104" s="12">
        <f t="shared" si="8"/>
        <v>0</v>
      </c>
      <c r="O104" s="18">
        <f t="shared" si="9"/>
        <v>0</v>
      </c>
      <c r="P104" s="18">
        <f t="shared" si="10"/>
        <v>0</v>
      </c>
    </row>
    <row r="105">
      <c r="A105" s="2" t="s">
        <v>181</v>
      </c>
      <c r="B105" s="10">
        <v>2.5</v>
      </c>
      <c r="C105" s="12">
        <f t="shared" si="1"/>
        <v>10</v>
      </c>
      <c r="D105" s="11">
        <v>0.0</v>
      </c>
      <c r="E105" s="20">
        <v>0.0</v>
      </c>
      <c r="F105" s="21">
        <f t="shared" si="2"/>
        <v>0</v>
      </c>
      <c r="G105" s="23">
        <f t="shared" si="3"/>
        <v>0</v>
      </c>
      <c r="H105" s="20" t="s">
        <v>41</v>
      </c>
      <c r="I105" s="12">
        <f t="shared" si="5"/>
        <v>0</v>
      </c>
      <c r="J105" s="11">
        <v>0.0</v>
      </c>
      <c r="K105" s="11">
        <v>0.0</v>
      </c>
      <c r="L105" s="16">
        <f t="shared" si="6"/>
        <v>0</v>
      </c>
      <c r="M105" s="16" t="str">
        <f t="shared" si="7"/>
        <v>#DIV/0!</v>
      </c>
      <c r="N105" s="12">
        <f t="shared" si="8"/>
        <v>0</v>
      </c>
      <c r="O105" s="18">
        <f t="shared" si="9"/>
        <v>0</v>
      </c>
      <c r="P105" s="18">
        <f t="shared" si="10"/>
        <v>0</v>
      </c>
    </row>
    <row r="106">
      <c r="A106" s="2" t="s">
        <v>186</v>
      </c>
      <c r="B106" s="10">
        <v>2.0</v>
      </c>
      <c r="C106" s="12">
        <f t="shared" si="1"/>
        <v>8</v>
      </c>
      <c r="D106" s="11">
        <v>0.0</v>
      </c>
      <c r="E106" s="20">
        <v>0.0</v>
      </c>
      <c r="F106" s="21">
        <f t="shared" si="2"/>
        <v>0</v>
      </c>
      <c r="G106" s="23">
        <f t="shared" si="3"/>
        <v>0</v>
      </c>
      <c r="H106" s="20" t="s">
        <v>41</v>
      </c>
      <c r="I106" s="12">
        <f t="shared" si="5"/>
        <v>0</v>
      </c>
      <c r="J106" s="11">
        <v>0.0</v>
      </c>
      <c r="K106" s="11">
        <v>0.0</v>
      </c>
      <c r="L106" s="16">
        <f t="shared" si="6"/>
        <v>0</v>
      </c>
      <c r="M106" s="16" t="str">
        <f t="shared" si="7"/>
        <v>#DIV/0!</v>
      </c>
      <c r="N106" s="12">
        <f t="shared" si="8"/>
        <v>0</v>
      </c>
      <c r="O106" s="18">
        <f t="shared" si="9"/>
        <v>0</v>
      </c>
      <c r="P106" s="18">
        <f t="shared" si="10"/>
        <v>0</v>
      </c>
    </row>
    <row r="107">
      <c r="A107" s="2" t="s">
        <v>204</v>
      </c>
      <c r="B107" s="10">
        <v>0.5</v>
      </c>
      <c r="C107" s="12">
        <f t="shared" si="1"/>
        <v>2</v>
      </c>
      <c r="D107" s="11">
        <v>0.0</v>
      </c>
      <c r="E107" s="11">
        <v>0.0</v>
      </c>
      <c r="F107" s="12">
        <f t="shared" si="2"/>
        <v>0</v>
      </c>
      <c r="G107" s="16">
        <f t="shared" si="3"/>
        <v>0</v>
      </c>
      <c r="H107" s="11" t="s">
        <v>41</v>
      </c>
      <c r="I107" s="12">
        <f t="shared" si="5"/>
        <v>0</v>
      </c>
      <c r="J107" s="11">
        <v>0.0</v>
      </c>
      <c r="K107" s="11">
        <v>0.0</v>
      </c>
      <c r="L107" s="16">
        <f t="shared" si="6"/>
        <v>0</v>
      </c>
      <c r="M107" s="16" t="str">
        <f t="shared" si="7"/>
        <v>#DIV/0!</v>
      </c>
      <c r="N107" s="12">
        <f t="shared" si="8"/>
        <v>0</v>
      </c>
      <c r="O107" s="18">
        <f t="shared" si="9"/>
        <v>0</v>
      </c>
      <c r="P107" s="18">
        <f t="shared" si="10"/>
        <v>0</v>
      </c>
    </row>
    <row r="108">
      <c r="A108" s="2" t="s">
        <v>92</v>
      </c>
      <c r="B108" s="10">
        <v>2.0</v>
      </c>
      <c r="C108" s="12">
        <f t="shared" si="1"/>
        <v>8</v>
      </c>
      <c r="D108" s="11">
        <v>0.0</v>
      </c>
      <c r="E108" s="20">
        <v>0.0</v>
      </c>
      <c r="F108" s="21">
        <f t="shared" si="2"/>
        <v>0</v>
      </c>
      <c r="G108" s="23">
        <f t="shared" si="3"/>
        <v>0</v>
      </c>
      <c r="H108" s="20" t="s">
        <v>41</v>
      </c>
      <c r="I108" s="12">
        <f t="shared" si="5"/>
        <v>0</v>
      </c>
      <c r="J108" s="11">
        <v>0.0</v>
      </c>
      <c r="K108" s="11">
        <v>0.0</v>
      </c>
      <c r="L108" s="16">
        <f t="shared" si="6"/>
        <v>0</v>
      </c>
      <c r="M108" s="16" t="str">
        <f t="shared" si="7"/>
        <v>#DIV/0!</v>
      </c>
      <c r="N108" s="12">
        <f t="shared" si="8"/>
        <v>0</v>
      </c>
      <c r="O108" s="18">
        <f t="shared" si="9"/>
        <v>0</v>
      </c>
      <c r="P108" s="18">
        <f t="shared" si="10"/>
        <v>0</v>
      </c>
    </row>
    <row r="109">
      <c r="A109" s="2" t="s">
        <v>84</v>
      </c>
      <c r="B109" s="10">
        <v>3.0</v>
      </c>
      <c r="C109" s="12">
        <f t="shared" si="1"/>
        <v>12</v>
      </c>
      <c r="D109" s="11">
        <v>1.0</v>
      </c>
      <c r="E109" s="11">
        <v>2.0</v>
      </c>
      <c r="F109" s="12">
        <f t="shared" si="2"/>
        <v>3</v>
      </c>
      <c r="G109" s="16">
        <f t="shared" si="3"/>
        <v>0.25</v>
      </c>
      <c r="H109" s="16">
        <f t="shared" ref="H109:H139" si="11">D109/F109</f>
        <v>0.3333333333</v>
      </c>
      <c r="I109" s="12">
        <f t="shared" si="5"/>
        <v>1</v>
      </c>
      <c r="J109" s="11">
        <v>0.0</v>
      </c>
      <c r="K109" s="11">
        <v>1.0</v>
      </c>
      <c r="L109" s="16">
        <f t="shared" si="6"/>
        <v>0.08333333333</v>
      </c>
      <c r="M109" s="16">
        <f t="shared" si="7"/>
        <v>0</v>
      </c>
      <c r="N109" s="12">
        <f t="shared" si="8"/>
        <v>0</v>
      </c>
      <c r="O109" s="18">
        <f t="shared" si="9"/>
        <v>0</v>
      </c>
      <c r="P109" s="18">
        <f t="shared" si="10"/>
        <v>0</v>
      </c>
    </row>
    <row r="110">
      <c r="A110" s="2" t="s">
        <v>188</v>
      </c>
      <c r="B110" s="10">
        <v>3.0</v>
      </c>
      <c r="C110" s="12">
        <f t="shared" si="1"/>
        <v>12</v>
      </c>
      <c r="D110" s="11">
        <v>0.0</v>
      </c>
      <c r="E110" s="11">
        <v>1.0</v>
      </c>
      <c r="F110" s="12">
        <f t="shared" si="2"/>
        <v>1</v>
      </c>
      <c r="G110" s="16">
        <f t="shared" si="3"/>
        <v>0.08333333333</v>
      </c>
      <c r="H110" s="16">
        <f t="shared" si="11"/>
        <v>0</v>
      </c>
      <c r="I110" s="12">
        <f t="shared" si="5"/>
        <v>0</v>
      </c>
      <c r="J110" s="11">
        <v>0.0</v>
      </c>
      <c r="K110" s="11">
        <v>0.0</v>
      </c>
      <c r="L110" s="16">
        <f t="shared" si="6"/>
        <v>0</v>
      </c>
      <c r="M110" s="16" t="str">
        <f t="shared" si="7"/>
        <v>#DIV/0!</v>
      </c>
      <c r="N110" s="12">
        <f t="shared" si="8"/>
        <v>0</v>
      </c>
      <c r="O110" s="18">
        <f t="shared" si="9"/>
        <v>0</v>
      </c>
      <c r="P110" s="18">
        <f t="shared" si="10"/>
        <v>0</v>
      </c>
    </row>
    <row r="111">
      <c r="A111" s="2" t="s">
        <v>140</v>
      </c>
      <c r="B111" s="10">
        <v>3.0</v>
      </c>
      <c r="C111" s="12">
        <f t="shared" si="1"/>
        <v>12</v>
      </c>
      <c r="D111" s="11">
        <v>0.0</v>
      </c>
      <c r="E111" s="11">
        <v>4.0</v>
      </c>
      <c r="F111" s="12">
        <f t="shared" si="2"/>
        <v>4</v>
      </c>
      <c r="G111" s="16">
        <f t="shared" si="3"/>
        <v>0.3333333333</v>
      </c>
      <c r="H111" s="16">
        <f t="shared" si="11"/>
        <v>0</v>
      </c>
      <c r="I111" s="12">
        <f t="shared" si="5"/>
        <v>0</v>
      </c>
      <c r="J111" s="11">
        <v>0.0</v>
      </c>
      <c r="K111" s="11">
        <v>0.0</v>
      </c>
      <c r="L111" s="16">
        <f t="shared" si="6"/>
        <v>0</v>
      </c>
      <c r="M111" s="16" t="str">
        <f t="shared" si="7"/>
        <v>#DIV/0!</v>
      </c>
      <c r="N111" s="12">
        <f t="shared" si="8"/>
        <v>0</v>
      </c>
      <c r="O111" s="18">
        <f t="shared" si="9"/>
        <v>0</v>
      </c>
      <c r="P111" s="18">
        <f t="shared" si="10"/>
        <v>0</v>
      </c>
    </row>
    <row r="112">
      <c r="A112" s="2" t="s">
        <v>195</v>
      </c>
      <c r="B112" s="10">
        <v>3.0</v>
      </c>
      <c r="C112" s="12">
        <f t="shared" si="1"/>
        <v>12</v>
      </c>
      <c r="D112" s="11">
        <v>0.0</v>
      </c>
      <c r="E112" s="11">
        <v>1.0</v>
      </c>
      <c r="F112" s="12">
        <f t="shared" si="2"/>
        <v>1</v>
      </c>
      <c r="G112" s="16">
        <f t="shared" si="3"/>
        <v>0.08333333333</v>
      </c>
      <c r="H112" s="16">
        <f t="shared" si="11"/>
        <v>0</v>
      </c>
      <c r="I112" s="12">
        <f t="shared" si="5"/>
        <v>0</v>
      </c>
      <c r="J112" s="11">
        <v>0.0</v>
      </c>
      <c r="K112" s="11">
        <v>0.0</v>
      </c>
      <c r="L112" s="16">
        <f t="shared" si="6"/>
        <v>0</v>
      </c>
      <c r="M112" s="16" t="str">
        <f t="shared" si="7"/>
        <v>#DIV/0!</v>
      </c>
      <c r="N112" s="12">
        <f t="shared" si="8"/>
        <v>0</v>
      </c>
      <c r="O112" s="18">
        <f t="shared" si="9"/>
        <v>0</v>
      </c>
      <c r="P112" s="18">
        <f t="shared" si="10"/>
        <v>0</v>
      </c>
    </row>
    <row r="113">
      <c r="A113" s="2" t="s">
        <v>66</v>
      </c>
      <c r="B113" s="10">
        <v>3.0</v>
      </c>
      <c r="C113" s="12">
        <f t="shared" si="1"/>
        <v>12</v>
      </c>
      <c r="D113" s="11">
        <v>0.0</v>
      </c>
      <c r="E113" s="11">
        <v>1.0</v>
      </c>
      <c r="F113" s="12">
        <f t="shared" si="2"/>
        <v>1</v>
      </c>
      <c r="G113" s="16">
        <f t="shared" si="3"/>
        <v>0.08333333333</v>
      </c>
      <c r="H113" s="16">
        <f t="shared" si="11"/>
        <v>0</v>
      </c>
      <c r="I113" s="12">
        <f t="shared" si="5"/>
        <v>0</v>
      </c>
      <c r="J113" s="11">
        <v>0.0</v>
      </c>
      <c r="K113" s="11">
        <v>0.0</v>
      </c>
      <c r="L113" s="16">
        <f t="shared" si="6"/>
        <v>0</v>
      </c>
      <c r="M113" s="16" t="str">
        <f t="shared" si="7"/>
        <v>#DIV/0!</v>
      </c>
      <c r="N113" s="12">
        <f t="shared" si="8"/>
        <v>0</v>
      </c>
      <c r="O113" s="18">
        <f t="shared" si="9"/>
        <v>0</v>
      </c>
      <c r="P113" s="18">
        <f t="shared" si="10"/>
        <v>0</v>
      </c>
    </row>
    <row r="114">
      <c r="A114" s="2" t="s">
        <v>87</v>
      </c>
      <c r="B114" s="10">
        <v>3.0</v>
      </c>
      <c r="C114" s="12">
        <f t="shared" si="1"/>
        <v>12</v>
      </c>
      <c r="D114" s="11">
        <v>0.0</v>
      </c>
      <c r="E114" s="11">
        <v>1.0</v>
      </c>
      <c r="F114" s="12">
        <f t="shared" si="2"/>
        <v>1</v>
      </c>
      <c r="G114" s="16">
        <f t="shared" si="3"/>
        <v>0.08333333333</v>
      </c>
      <c r="H114" s="16">
        <f t="shared" si="11"/>
        <v>0</v>
      </c>
      <c r="I114" s="12">
        <f t="shared" si="5"/>
        <v>0</v>
      </c>
      <c r="J114" s="11">
        <v>0.0</v>
      </c>
      <c r="K114" s="11">
        <v>0.0</v>
      </c>
      <c r="L114" s="16">
        <f t="shared" si="6"/>
        <v>0</v>
      </c>
      <c r="M114" s="16" t="str">
        <f t="shared" si="7"/>
        <v>#DIV/0!</v>
      </c>
      <c r="N114" s="12">
        <f t="shared" si="8"/>
        <v>0</v>
      </c>
      <c r="O114" s="18">
        <f t="shared" si="9"/>
        <v>0</v>
      </c>
      <c r="P114" s="18">
        <f t="shared" si="10"/>
        <v>0</v>
      </c>
    </row>
    <row r="115">
      <c r="A115" s="2" t="s">
        <v>205</v>
      </c>
      <c r="B115" s="10">
        <v>3.0</v>
      </c>
      <c r="C115" s="12">
        <f t="shared" si="1"/>
        <v>12</v>
      </c>
      <c r="D115" s="11">
        <v>0.0</v>
      </c>
      <c r="E115" s="11">
        <v>1.0</v>
      </c>
      <c r="F115" s="12">
        <f t="shared" si="2"/>
        <v>1</v>
      </c>
      <c r="G115" s="16">
        <f t="shared" si="3"/>
        <v>0.08333333333</v>
      </c>
      <c r="H115" s="16">
        <f t="shared" si="11"/>
        <v>0</v>
      </c>
      <c r="I115" s="12">
        <f t="shared" si="5"/>
        <v>0</v>
      </c>
      <c r="J115" s="11">
        <v>0.0</v>
      </c>
      <c r="K115" s="11">
        <v>0.0</v>
      </c>
      <c r="L115" s="16">
        <f t="shared" si="6"/>
        <v>0</v>
      </c>
      <c r="M115" s="16" t="str">
        <f t="shared" si="7"/>
        <v>#DIV/0!</v>
      </c>
      <c r="N115" s="12">
        <f t="shared" si="8"/>
        <v>0</v>
      </c>
      <c r="O115" s="18">
        <f t="shared" si="9"/>
        <v>0</v>
      </c>
      <c r="P115" s="18">
        <f t="shared" si="10"/>
        <v>0</v>
      </c>
    </row>
    <row r="116">
      <c r="A116" s="2" t="s">
        <v>95</v>
      </c>
      <c r="B116" s="10">
        <v>3.0</v>
      </c>
      <c r="C116" s="12">
        <f t="shared" si="1"/>
        <v>12</v>
      </c>
      <c r="D116" s="11">
        <v>0.0</v>
      </c>
      <c r="E116" s="11">
        <v>1.0</v>
      </c>
      <c r="F116" s="12">
        <f t="shared" si="2"/>
        <v>1</v>
      </c>
      <c r="G116" s="16">
        <f t="shared" si="3"/>
        <v>0.08333333333</v>
      </c>
      <c r="H116" s="16">
        <f t="shared" si="11"/>
        <v>0</v>
      </c>
      <c r="I116" s="12">
        <f t="shared" si="5"/>
        <v>0</v>
      </c>
      <c r="J116" s="11">
        <v>0.0</v>
      </c>
      <c r="K116" s="11">
        <v>0.0</v>
      </c>
      <c r="L116" s="16">
        <f t="shared" si="6"/>
        <v>0</v>
      </c>
      <c r="M116" s="16" t="str">
        <f t="shared" si="7"/>
        <v>#DIV/0!</v>
      </c>
      <c r="N116" s="12">
        <f t="shared" si="8"/>
        <v>0</v>
      </c>
      <c r="O116" s="18">
        <f t="shared" si="9"/>
        <v>0</v>
      </c>
      <c r="P116" s="18">
        <f t="shared" si="10"/>
        <v>0</v>
      </c>
    </row>
    <row r="117">
      <c r="A117" s="2" t="s">
        <v>197</v>
      </c>
      <c r="B117" s="10">
        <v>3.0</v>
      </c>
      <c r="C117" s="12">
        <f t="shared" si="1"/>
        <v>12</v>
      </c>
      <c r="D117" s="11">
        <v>0.0</v>
      </c>
      <c r="E117" s="11">
        <v>1.0</v>
      </c>
      <c r="F117" s="12">
        <f t="shared" si="2"/>
        <v>1</v>
      </c>
      <c r="G117" s="16">
        <f t="shared" si="3"/>
        <v>0.08333333333</v>
      </c>
      <c r="H117" s="16">
        <f t="shared" si="11"/>
        <v>0</v>
      </c>
      <c r="I117" s="12">
        <f t="shared" si="5"/>
        <v>0</v>
      </c>
      <c r="J117" s="11">
        <v>0.0</v>
      </c>
      <c r="K117" s="11">
        <v>0.0</v>
      </c>
      <c r="L117" s="16">
        <f t="shared" si="6"/>
        <v>0</v>
      </c>
      <c r="M117" s="16" t="str">
        <f t="shared" si="7"/>
        <v>#DIV/0!</v>
      </c>
      <c r="N117" s="12">
        <f t="shared" si="8"/>
        <v>0</v>
      </c>
      <c r="O117" s="18">
        <f t="shared" si="9"/>
        <v>0</v>
      </c>
      <c r="P117" s="18">
        <f t="shared" si="10"/>
        <v>0</v>
      </c>
    </row>
    <row r="118">
      <c r="A118" s="2" t="s">
        <v>169</v>
      </c>
      <c r="B118" s="10">
        <v>3.0</v>
      </c>
      <c r="C118" s="12">
        <f t="shared" si="1"/>
        <v>12</v>
      </c>
      <c r="D118" s="11">
        <v>0.0</v>
      </c>
      <c r="E118" s="11">
        <v>1.0</v>
      </c>
      <c r="F118" s="12">
        <f t="shared" si="2"/>
        <v>1</v>
      </c>
      <c r="G118" s="16">
        <f t="shared" si="3"/>
        <v>0.08333333333</v>
      </c>
      <c r="H118" s="16">
        <f t="shared" si="11"/>
        <v>0</v>
      </c>
      <c r="I118" s="12">
        <f t="shared" si="5"/>
        <v>0</v>
      </c>
      <c r="J118" s="11">
        <v>0.0</v>
      </c>
      <c r="K118" s="11">
        <v>0.0</v>
      </c>
      <c r="L118" s="16">
        <f t="shared" si="6"/>
        <v>0</v>
      </c>
      <c r="M118" s="16" t="str">
        <f t="shared" si="7"/>
        <v>#DIV/0!</v>
      </c>
      <c r="N118" s="12">
        <f t="shared" si="8"/>
        <v>0</v>
      </c>
      <c r="O118" s="18">
        <f t="shared" si="9"/>
        <v>0</v>
      </c>
      <c r="P118" s="18">
        <f t="shared" si="10"/>
        <v>0</v>
      </c>
    </row>
    <row r="119">
      <c r="A119" s="2" t="s">
        <v>179</v>
      </c>
      <c r="B119" s="10">
        <v>3.0</v>
      </c>
      <c r="C119" s="12">
        <f t="shared" si="1"/>
        <v>12</v>
      </c>
      <c r="D119" s="11">
        <v>0.0</v>
      </c>
      <c r="E119" s="11">
        <v>5.0</v>
      </c>
      <c r="F119" s="12">
        <f t="shared" si="2"/>
        <v>5</v>
      </c>
      <c r="G119" s="16">
        <f t="shared" si="3"/>
        <v>0.4166666667</v>
      </c>
      <c r="H119" s="16">
        <f t="shared" si="11"/>
        <v>0</v>
      </c>
      <c r="I119" s="12">
        <f t="shared" si="5"/>
        <v>0</v>
      </c>
      <c r="J119" s="11">
        <v>0.0</v>
      </c>
      <c r="K119" s="11">
        <v>0.0</v>
      </c>
      <c r="L119" s="16">
        <f t="shared" si="6"/>
        <v>0</v>
      </c>
      <c r="M119" s="16" t="str">
        <f t="shared" si="7"/>
        <v>#DIV/0!</v>
      </c>
      <c r="N119" s="12">
        <f t="shared" si="8"/>
        <v>0</v>
      </c>
      <c r="O119" s="18">
        <f t="shared" si="9"/>
        <v>0</v>
      </c>
      <c r="P119" s="18">
        <f t="shared" si="10"/>
        <v>0</v>
      </c>
    </row>
    <row r="120">
      <c r="A120" s="2" t="s">
        <v>116</v>
      </c>
      <c r="B120" s="10">
        <v>3.0</v>
      </c>
      <c r="C120" s="12">
        <f t="shared" si="1"/>
        <v>12</v>
      </c>
      <c r="D120" s="11">
        <v>0.0</v>
      </c>
      <c r="E120" s="11">
        <v>1.0</v>
      </c>
      <c r="F120" s="12">
        <f t="shared" si="2"/>
        <v>1</v>
      </c>
      <c r="G120" s="16">
        <f t="shared" si="3"/>
        <v>0.08333333333</v>
      </c>
      <c r="H120" s="16">
        <f t="shared" si="11"/>
        <v>0</v>
      </c>
      <c r="I120" s="12">
        <f t="shared" si="5"/>
        <v>0</v>
      </c>
      <c r="J120" s="11">
        <v>0.0</v>
      </c>
      <c r="K120" s="11">
        <v>0.0</v>
      </c>
      <c r="L120" s="16">
        <f t="shared" si="6"/>
        <v>0</v>
      </c>
      <c r="M120" s="16" t="str">
        <f t="shared" si="7"/>
        <v>#DIV/0!</v>
      </c>
      <c r="N120" s="12">
        <f t="shared" si="8"/>
        <v>0</v>
      </c>
      <c r="O120" s="18">
        <f t="shared" si="9"/>
        <v>0</v>
      </c>
      <c r="P120" s="18">
        <f t="shared" si="10"/>
        <v>0</v>
      </c>
    </row>
    <row r="121">
      <c r="A121" s="2" t="s">
        <v>189</v>
      </c>
      <c r="B121" s="10">
        <v>3.0</v>
      </c>
      <c r="C121" s="12">
        <f t="shared" si="1"/>
        <v>12</v>
      </c>
      <c r="D121" s="11">
        <v>0.0</v>
      </c>
      <c r="E121" s="11">
        <v>2.0</v>
      </c>
      <c r="F121" s="12">
        <f t="shared" si="2"/>
        <v>2</v>
      </c>
      <c r="G121" s="16">
        <f t="shared" si="3"/>
        <v>0.1666666667</v>
      </c>
      <c r="H121" s="16">
        <f t="shared" si="11"/>
        <v>0</v>
      </c>
      <c r="I121" s="12">
        <f t="shared" si="5"/>
        <v>0</v>
      </c>
      <c r="J121" s="11">
        <v>0.0</v>
      </c>
      <c r="K121" s="11">
        <v>0.0</v>
      </c>
      <c r="L121" s="16">
        <f t="shared" si="6"/>
        <v>0</v>
      </c>
      <c r="M121" s="16" t="str">
        <f t="shared" si="7"/>
        <v>#DIV/0!</v>
      </c>
      <c r="N121" s="12">
        <f t="shared" si="8"/>
        <v>0</v>
      </c>
      <c r="O121" s="18">
        <f t="shared" si="9"/>
        <v>0</v>
      </c>
      <c r="P121" s="18">
        <f t="shared" si="10"/>
        <v>0</v>
      </c>
    </row>
    <row r="122">
      <c r="A122" s="2" t="s">
        <v>154</v>
      </c>
      <c r="B122" s="10">
        <v>3.0</v>
      </c>
      <c r="C122" s="12">
        <f t="shared" si="1"/>
        <v>12</v>
      </c>
      <c r="D122" s="11">
        <v>0.0</v>
      </c>
      <c r="E122" s="11">
        <v>1.0</v>
      </c>
      <c r="F122" s="12">
        <f t="shared" si="2"/>
        <v>1</v>
      </c>
      <c r="G122" s="16">
        <f t="shared" si="3"/>
        <v>0.08333333333</v>
      </c>
      <c r="H122" s="16">
        <f t="shared" si="11"/>
        <v>0</v>
      </c>
      <c r="I122" s="12">
        <f t="shared" si="5"/>
        <v>0</v>
      </c>
      <c r="J122" s="11">
        <v>0.0</v>
      </c>
      <c r="K122" s="11">
        <v>0.0</v>
      </c>
      <c r="L122" s="16">
        <f t="shared" si="6"/>
        <v>0</v>
      </c>
      <c r="M122" s="16" t="str">
        <f t="shared" si="7"/>
        <v>#DIV/0!</v>
      </c>
      <c r="N122" s="12">
        <f t="shared" si="8"/>
        <v>0</v>
      </c>
      <c r="O122" s="18">
        <f t="shared" si="9"/>
        <v>0</v>
      </c>
      <c r="P122" s="18">
        <f t="shared" si="10"/>
        <v>0</v>
      </c>
    </row>
    <row r="123">
      <c r="A123" s="2" t="s">
        <v>155</v>
      </c>
      <c r="B123" s="10">
        <v>3.0</v>
      </c>
      <c r="C123" s="12">
        <f t="shared" si="1"/>
        <v>12</v>
      </c>
      <c r="D123" s="11">
        <v>0.0</v>
      </c>
      <c r="E123" s="11">
        <v>1.0</v>
      </c>
      <c r="F123" s="12">
        <f t="shared" si="2"/>
        <v>1</v>
      </c>
      <c r="G123" s="16">
        <f t="shared" si="3"/>
        <v>0.08333333333</v>
      </c>
      <c r="H123" s="16">
        <f t="shared" si="11"/>
        <v>0</v>
      </c>
      <c r="I123" s="12">
        <f t="shared" si="5"/>
        <v>0</v>
      </c>
      <c r="J123" s="11">
        <v>0.0</v>
      </c>
      <c r="K123" s="11">
        <v>0.0</v>
      </c>
      <c r="L123" s="16">
        <f t="shared" si="6"/>
        <v>0</v>
      </c>
      <c r="M123" s="16" t="str">
        <f t="shared" si="7"/>
        <v>#DIV/0!</v>
      </c>
      <c r="N123" s="12">
        <f t="shared" si="8"/>
        <v>0</v>
      </c>
      <c r="O123" s="18">
        <f t="shared" si="9"/>
        <v>0</v>
      </c>
      <c r="P123" s="18">
        <f t="shared" si="10"/>
        <v>0</v>
      </c>
    </row>
    <row r="124">
      <c r="A124" s="2" t="s">
        <v>120</v>
      </c>
      <c r="B124" s="10">
        <v>3.0</v>
      </c>
      <c r="C124" s="12">
        <f t="shared" si="1"/>
        <v>12</v>
      </c>
      <c r="D124" s="11">
        <v>0.0</v>
      </c>
      <c r="E124" s="11">
        <v>2.0</v>
      </c>
      <c r="F124" s="12">
        <f t="shared" si="2"/>
        <v>2</v>
      </c>
      <c r="G124" s="16">
        <f t="shared" si="3"/>
        <v>0.1666666667</v>
      </c>
      <c r="H124" s="16">
        <f t="shared" si="11"/>
        <v>0</v>
      </c>
      <c r="I124" s="12">
        <f t="shared" si="5"/>
        <v>0</v>
      </c>
      <c r="J124" s="11">
        <v>0.0</v>
      </c>
      <c r="K124" s="11">
        <v>0.0</v>
      </c>
      <c r="L124" s="16">
        <f t="shared" si="6"/>
        <v>0</v>
      </c>
      <c r="M124" s="16" t="str">
        <f t="shared" si="7"/>
        <v>#DIV/0!</v>
      </c>
      <c r="N124" s="12">
        <f t="shared" si="8"/>
        <v>0</v>
      </c>
      <c r="O124" s="18">
        <f t="shared" si="9"/>
        <v>0</v>
      </c>
      <c r="P124" s="18">
        <f t="shared" si="10"/>
        <v>0</v>
      </c>
    </row>
    <row r="125">
      <c r="A125" s="2" t="s">
        <v>163</v>
      </c>
      <c r="B125" s="10">
        <v>2.5</v>
      </c>
      <c r="C125" s="12">
        <f t="shared" si="1"/>
        <v>10</v>
      </c>
      <c r="D125" s="11">
        <v>0.0</v>
      </c>
      <c r="E125" s="11">
        <v>7.0</v>
      </c>
      <c r="F125" s="12">
        <f t="shared" si="2"/>
        <v>7</v>
      </c>
      <c r="G125" s="16">
        <f t="shared" si="3"/>
        <v>0.7</v>
      </c>
      <c r="H125" s="16">
        <f t="shared" si="11"/>
        <v>0</v>
      </c>
      <c r="I125" s="12">
        <f t="shared" si="5"/>
        <v>0</v>
      </c>
      <c r="J125" s="11">
        <v>0.0</v>
      </c>
      <c r="K125" s="11">
        <v>0.0</v>
      </c>
      <c r="L125" s="16">
        <f t="shared" si="6"/>
        <v>0</v>
      </c>
      <c r="M125" s="16" t="str">
        <f t="shared" si="7"/>
        <v>#DIV/0!</v>
      </c>
      <c r="N125" s="12">
        <f t="shared" si="8"/>
        <v>0</v>
      </c>
      <c r="O125" s="18">
        <f t="shared" si="9"/>
        <v>0</v>
      </c>
      <c r="P125" s="18">
        <f t="shared" si="10"/>
        <v>0</v>
      </c>
    </row>
    <row r="126">
      <c r="A126" s="2" t="s">
        <v>193</v>
      </c>
      <c r="B126" s="10">
        <v>2.0</v>
      </c>
      <c r="C126" s="12">
        <f t="shared" si="1"/>
        <v>8</v>
      </c>
      <c r="D126" s="11">
        <v>0.0</v>
      </c>
      <c r="E126" s="11">
        <v>1.0</v>
      </c>
      <c r="F126" s="12">
        <f t="shared" si="2"/>
        <v>1</v>
      </c>
      <c r="G126" s="16">
        <f t="shared" si="3"/>
        <v>0.125</v>
      </c>
      <c r="H126" s="16">
        <f t="shared" si="11"/>
        <v>0</v>
      </c>
      <c r="I126" s="12">
        <f t="shared" si="5"/>
        <v>0</v>
      </c>
      <c r="J126" s="11">
        <v>0.0</v>
      </c>
      <c r="K126" s="11">
        <v>0.0</v>
      </c>
      <c r="L126" s="16">
        <f t="shared" si="6"/>
        <v>0</v>
      </c>
      <c r="M126" s="16" t="str">
        <f t="shared" si="7"/>
        <v>#DIV/0!</v>
      </c>
      <c r="N126" s="12">
        <f t="shared" si="8"/>
        <v>0</v>
      </c>
      <c r="O126" s="18">
        <f t="shared" si="9"/>
        <v>0</v>
      </c>
      <c r="P126" s="18">
        <f t="shared" si="10"/>
        <v>0</v>
      </c>
    </row>
    <row r="127">
      <c r="A127" s="2" t="s">
        <v>141</v>
      </c>
      <c r="B127" s="10">
        <v>2.0</v>
      </c>
      <c r="C127" s="12">
        <f t="shared" si="1"/>
        <v>8</v>
      </c>
      <c r="D127" s="11">
        <v>0.0</v>
      </c>
      <c r="E127" s="20">
        <v>1.0</v>
      </c>
      <c r="F127" s="21">
        <f t="shared" si="2"/>
        <v>1</v>
      </c>
      <c r="G127" s="23">
        <f t="shared" si="3"/>
        <v>0.125</v>
      </c>
      <c r="H127" s="23">
        <f t="shared" si="11"/>
        <v>0</v>
      </c>
      <c r="I127" s="12">
        <f t="shared" si="5"/>
        <v>0</v>
      </c>
      <c r="J127" s="11">
        <v>0.0</v>
      </c>
      <c r="K127" s="11">
        <v>0.0</v>
      </c>
      <c r="L127" s="16">
        <f t="shared" si="6"/>
        <v>0</v>
      </c>
      <c r="M127" s="16" t="str">
        <f t="shared" si="7"/>
        <v>#DIV/0!</v>
      </c>
      <c r="N127" s="12">
        <f t="shared" si="8"/>
        <v>0</v>
      </c>
      <c r="O127" s="18">
        <f t="shared" si="9"/>
        <v>0</v>
      </c>
      <c r="P127" s="18">
        <f t="shared" si="10"/>
        <v>0</v>
      </c>
    </row>
    <row r="128">
      <c r="A128" s="2" t="s">
        <v>202</v>
      </c>
      <c r="B128" s="10">
        <v>2.0</v>
      </c>
      <c r="C128" s="12">
        <f t="shared" si="1"/>
        <v>8</v>
      </c>
      <c r="D128" s="11">
        <v>0.0</v>
      </c>
      <c r="E128" s="11">
        <v>1.0</v>
      </c>
      <c r="F128" s="12">
        <f t="shared" si="2"/>
        <v>1</v>
      </c>
      <c r="G128" s="16">
        <f t="shared" si="3"/>
        <v>0.125</v>
      </c>
      <c r="H128" s="16">
        <f t="shared" si="11"/>
        <v>0</v>
      </c>
      <c r="I128" s="12">
        <f t="shared" si="5"/>
        <v>0</v>
      </c>
      <c r="J128" s="11">
        <v>0.0</v>
      </c>
      <c r="K128" s="11">
        <v>0.0</v>
      </c>
      <c r="L128" s="16">
        <f t="shared" si="6"/>
        <v>0</v>
      </c>
      <c r="M128" s="16" t="str">
        <f t="shared" si="7"/>
        <v>#DIV/0!</v>
      </c>
      <c r="N128" s="12">
        <f t="shared" si="8"/>
        <v>0</v>
      </c>
      <c r="O128" s="18">
        <f t="shared" si="9"/>
        <v>0</v>
      </c>
      <c r="P128" s="18">
        <f t="shared" si="10"/>
        <v>0</v>
      </c>
    </row>
    <row r="129">
      <c r="A129" s="2" t="s">
        <v>157</v>
      </c>
      <c r="B129" s="10">
        <v>1.5</v>
      </c>
      <c r="C129" s="12">
        <f t="shared" si="1"/>
        <v>6</v>
      </c>
      <c r="D129" s="11">
        <v>0.0</v>
      </c>
      <c r="E129" s="11">
        <v>1.0</v>
      </c>
      <c r="F129" s="12">
        <f t="shared" si="2"/>
        <v>1</v>
      </c>
      <c r="G129" s="16">
        <f t="shared" si="3"/>
        <v>0.1666666667</v>
      </c>
      <c r="H129" s="16">
        <f t="shared" si="11"/>
        <v>0</v>
      </c>
      <c r="I129" s="12">
        <f t="shared" si="5"/>
        <v>0</v>
      </c>
      <c r="J129" s="11">
        <v>0.0</v>
      </c>
      <c r="K129" s="11">
        <v>0.0</v>
      </c>
      <c r="L129" s="16">
        <f t="shared" si="6"/>
        <v>0</v>
      </c>
      <c r="M129" s="16" t="str">
        <f t="shared" si="7"/>
        <v>#DIV/0!</v>
      </c>
      <c r="N129" s="12">
        <f t="shared" si="8"/>
        <v>0</v>
      </c>
      <c r="O129" s="18">
        <f t="shared" si="9"/>
        <v>0</v>
      </c>
      <c r="P129" s="18">
        <f t="shared" si="10"/>
        <v>0</v>
      </c>
    </row>
    <row r="130">
      <c r="A130" s="2" t="s">
        <v>76</v>
      </c>
      <c r="B130" s="10">
        <v>1.0</v>
      </c>
      <c r="C130" s="12">
        <f t="shared" si="1"/>
        <v>4</v>
      </c>
      <c r="D130" s="11">
        <v>0.0</v>
      </c>
      <c r="E130" s="11">
        <v>1.0</v>
      </c>
      <c r="F130" s="12">
        <f t="shared" si="2"/>
        <v>1</v>
      </c>
      <c r="G130" s="16">
        <f t="shared" si="3"/>
        <v>0.25</v>
      </c>
      <c r="H130" s="16">
        <f t="shared" si="11"/>
        <v>0</v>
      </c>
      <c r="I130" s="12">
        <f t="shared" si="5"/>
        <v>0</v>
      </c>
      <c r="J130" s="11">
        <v>0.0</v>
      </c>
      <c r="K130" s="11">
        <v>0.0</v>
      </c>
      <c r="L130" s="16">
        <f t="shared" si="6"/>
        <v>0</v>
      </c>
      <c r="M130" s="16" t="str">
        <f t="shared" si="7"/>
        <v>#DIV/0!</v>
      </c>
      <c r="N130" s="12">
        <f t="shared" si="8"/>
        <v>0</v>
      </c>
      <c r="O130" s="18">
        <f t="shared" si="9"/>
        <v>0</v>
      </c>
      <c r="P130" s="18">
        <f t="shared" si="10"/>
        <v>0</v>
      </c>
    </row>
    <row r="131">
      <c r="A131" s="2" t="s">
        <v>136</v>
      </c>
      <c r="B131" s="10">
        <v>3.0</v>
      </c>
      <c r="C131" s="12">
        <f t="shared" si="1"/>
        <v>12</v>
      </c>
      <c r="D131" s="11">
        <v>0.0</v>
      </c>
      <c r="E131" s="11">
        <v>3.0</v>
      </c>
      <c r="F131" s="12">
        <f t="shared" si="2"/>
        <v>3</v>
      </c>
      <c r="G131" s="16">
        <f t="shared" si="3"/>
        <v>0.25</v>
      </c>
      <c r="H131" s="16">
        <f t="shared" si="11"/>
        <v>0</v>
      </c>
      <c r="I131" s="12">
        <f t="shared" si="5"/>
        <v>0</v>
      </c>
      <c r="J131" s="11">
        <v>0.0</v>
      </c>
      <c r="K131" s="11">
        <v>0.0</v>
      </c>
      <c r="L131" s="16">
        <f t="shared" si="6"/>
        <v>0</v>
      </c>
      <c r="M131" s="16" t="str">
        <f t="shared" si="7"/>
        <v>#DIV/0!</v>
      </c>
      <c r="N131" s="12">
        <f t="shared" si="8"/>
        <v>0</v>
      </c>
      <c r="O131" s="18">
        <f t="shared" si="9"/>
        <v>0</v>
      </c>
      <c r="P131" s="18">
        <f t="shared" si="10"/>
        <v>0</v>
      </c>
    </row>
    <row r="132">
      <c r="A132" s="2" t="s">
        <v>208</v>
      </c>
      <c r="B132" s="10">
        <v>1.0</v>
      </c>
      <c r="C132" s="12">
        <f t="shared" si="1"/>
        <v>4</v>
      </c>
      <c r="D132" s="10">
        <v>0.0</v>
      </c>
      <c r="E132" s="11">
        <v>1.0</v>
      </c>
      <c r="F132" s="12">
        <f t="shared" si="2"/>
        <v>1</v>
      </c>
      <c r="G132" s="16">
        <f t="shared" si="3"/>
        <v>0.25</v>
      </c>
      <c r="H132" s="16">
        <f t="shared" si="11"/>
        <v>0</v>
      </c>
      <c r="I132" s="12">
        <f t="shared" si="5"/>
        <v>0</v>
      </c>
      <c r="J132" s="11">
        <v>0.0</v>
      </c>
      <c r="K132" s="11">
        <v>0.0</v>
      </c>
      <c r="L132" s="16">
        <f t="shared" si="6"/>
        <v>0</v>
      </c>
      <c r="M132" s="16" t="str">
        <f t="shared" si="7"/>
        <v>#DIV/0!</v>
      </c>
      <c r="N132" s="12">
        <f t="shared" si="8"/>
        <v>0</v>
      </c>
      <c r="O132" s="18">
        <f t="shared" si="9"/>
        <v>0</v>
      </c>
      <c r="P132" s="18">
        <f t="shared" si="10"/>
        <v>0</v>
      </c>
    </row>
    <row r="133">
      <c r="A133" s="2" t="s">
        <v>102</v>
      </c>
      <c r="B133" s="10">
        <v>3.0</v>
      </c>
      <c r="C133" s="12">
        <f t="shared" si="1"/>
        <v>12</v>
      </c>
      <c r="D133" s="11">
        <v>0.0</v>
      </c>
      <c r="E133" s="11">
        <v>1.0</v>
      </c>
      <c r="F133" s="12">
        <f t="shared" si="2"/>
        <v>1</v>
      </c>
      <c r="G133" s="16">
        <f t="shared" si="3"/>
        <v>0.08333333333</v>
      </c>
      <c r="H133" s="16">
        <f t="shared" si="11"/>
        <v>0</v>
      </c>
      <c r="I133" s="12">
        <f t="shared" si="5"/>
        <v>0</v>
      </c>
      <c r="J133" s="11">
        <v>0.0</v>
      </c>
      <c r="K133" s="11">
        <v>0.0</v>
      </c>
      <c r="L133" s="16">
        <f t="shared" si="6"/>
        <v>0</v>
      </c>
      <c r="M133" s="16" t="str">
        <f t="shared" si="7"/>
        <v>#DIV/0!</v>
      </c>
      <c r="N133" s="12">
        <f t="shared" si="8"/>
        <v>0</v>
      </c>
      <c r="O133" s="18">
        <f t="shared" si="9"/>
        <v>0</v>
      </c>
      <c r="P133" s="18">
        <f t="shared" si="10"/>
        <v>0</v>
      </c>
    </row>
    <row r="134">
      <c r="A134" s="2" t="s">
        <v>187</v>
      </c>
      <c r="B134" s="10">
        <v>3.0</v>
      </c>
      <c r="C134" s="12">
        <f t="shared" si="1"/>
        <v>12</v>
      </c>
      <c r="D134" s="11">
        <v>0.0</v>
      </c>
      <c r="E134" s="20">
        <v>1.0</v>
      </c>
      <c r="F134" s="21">
        <f t="shared" si="2"/>
        <v>1</v>
      </c>
      <c r="G134" s="23">
        <f t="shared" si="3"/>
        <v>0.08333333333</v>
      </c>
      <c r="H134" s="23">
        <f t="shared" si="11"/>
        <v>0</v>
      </c>
      <c r="I134" s="12">
        <f t="shared" si="5"/>
        <v>0</v>
      </c>
      <c r="J134" s="11">
        <v>0.0</v>
      </c>
      <c r="K134" s="11">
        <v>0.0</v>
      </c>
      <c r="L134" s="16">
        <f t="shared" si="6"/>
        <v>0</v>
      </c>
      <c r="M134" s="16" t="str">
        <f t="shared" si="7"/>
        <v>#DIV/0!</v>
      </c>
      <c r="N134" s="12">
        <f t="shared" si="8"/>
        <v>0</v>
      </c>
      <c r="O134" s="18">
        <f t="shared" si="9"/>
        <v>0</v>
      </c>
      <c r="P134" s="18">
        <f t="shared" si="10"/>
        <v>0</v>
      </c>
    </row>
    <row r="135">
      <c r="A135" s="2" t="s">
        <v>129</v>
      </c>
      <c r="B135" s="10">
        <v>3.0</v>
      </c>
      <c r="C135" s="12">
        <f t="shared" si="1"/>
        <v>12</v>
      </c>
      <c r="D135" s="11">
        <v>1.0</v>
      </c>
      <c r="E135" s="11">
        <v>3.0</v>
      </c>
      <c r="F135" s="12">
        <f t="shared" si="2"/>
        <v>4</v>
      </c>
      <c r="G135" s="16">
        <f t="shared" si="3"/>
        <v>0.3333333333</v>
      </c>
      <c r="H135" s="16">
        <f t="shared" si="11"/>
        <v>0.25</v>
      </c>
      <c r="I135" s="12">
        <f t="shared" si="5"/>
        <v>2</v>
      </c>
      <c r="J135" s="11">
        <v>0.0</v>
      </c>
      <c r="K135" s="11">
        <v>2.0</v>
      </c>
      <c r="L135" s="16">
        <f t="shared" si="6"/>
        <v>0.1666666667</v>
      </c>
      <c r="M135" s="16">
        <f t="shared" si="7"/>
        <v>0</v>
      </c>
      <c r="N135" s="12">
        <f t="shared" si="8"/>
        <v>-4</v>
      </c>
      <c r="O135" s="18">
        <f t="shared" si="9"/>
        <v>-0.3333333333</v>
      </c>
      <c r="P135" s="18">
        <f t="shared" si="10"/>
        <v>-1.333333333</v>
      </c>
    </row>
    <row r="136">
      <c r="A136" s="2" t="s">
        <v>139</v>
      </c>
      <c r="B136" s="10">
        <v>3.0</v>
      </c>
      <c r="C136" s="12">
        <f t="shared" si="1"/>
        <v>12</v>
      </c>
      <c r="D136" s="11">
        <v>0.0</v>
      </c>
      <c r="E136" s="11">
        <v>1.0</v>
      </c>
      <c r="F136" s="12">
        <f t="shared" si="2"/>
        <v>1</v>
      </c>
      <c r="G136" s="16">
        <f t="shared" si="3"/>
        <v>0.08333333333</v>
      </c>
      <c r="H136" s="16">
        <f t="shared" si="11"/>
        <v>0</v>
      </c>
      <c r="I136" s="12">
        <f t="shared" si="5"/>
        <v>1</v>
      </c>
      <c r="J136" s="11">
        <v>0.0</v>
      </c>
      <c r="K136" s="11">
        <v>1.0</v>
      </c>
      <c r="L136" s="16">
        <f t="shared" si="6"/>
        <v>0.08333333333</v>
      </c>
      <c r="M136" s="16">
        <f t="shared" si="7"/>
        <v>0</v>
      </c>
      <c r="N136" s="12">
        <f t="shared" si="8"/>
        <v>-4</v>
      </c>
      <c r="O136" s="18">
        <f t="shared" si="9"/>
        <v>-0.3333333333</v>
      </c>
      <c r="P136" s="18">
        <f t="shared" si="10"/>
        <v>-1.333333333</v>
      </c>
    </row>
    <row r="137">
      <c r="A137" s="2" t="s">
        <v>159</v>
      </c>
      <c r="B137" s="10">
        <v>2.5</v>
      </c>
      <c r="C137" s="12">
        <f t="shared" si="1"/>
        <v>10</v>
      </c>
      <c r="D137" s="11">
        <v>0.0</v>
      </c>
      <c r="E137" s="11">
        <v>1.0</v>
      </c>
      <c r="F137" s="12">
        <f t="shared" si="2"/>
        <v>1</v>
      </c>
      <c r="G137" s="16">
        <f t="shared" si="3"/>
        <v>0.1</v>
      </c>
      <c r="H137" s="16">
        <f t="shared" si="11"/>
        <v>0</v>
      </c>
      <c r="I137" s="12">
        <f t="shared" si="5"/>
        <v>1</v>
      </c>
      <c r="J137" s="11">
        <v>0.0</v>
      </c>
      <c r="K137" s="11">
        <v>1.0</v>
      </c>
      <c r="L137" s="16">
        <f t="shared" si="6"/>
        <v>0.1</v>
      </c>
      <c r="M137" s="16">
        <f t="shared" si="7"/>
        <v>0</v>
      </c>
      <c r="N137" s="12">
        <f t="shared" si="8"/>
        <v>-4</v>
      </c>
      <c r="O137" s="18">
        <f t="shared" si="9"/>
        <v>-0.4</v>
      </c>
      <c r="P137" s="18">
        <f t="shared" si="10"/>
        <v>-1.6</v>
      </c>
    </row>
    <row r="138">
      <c r="A138" s="2" t="s">
        <v>201</v>
      </c>
      <c r="B138" s="10">
        <v>2.0</v>
      </c>
      <c r="C138" s="12">
        <f t="shared" si="1"/>
        <v>8</v>
      </c>
      <c r="D138" s="11">
        <v>0.0</v>
      </c>
      <c r="E138" s="11">
        <v>2.0</v>
      </c>
      <c r="F138" s="12">
        <f t="shared" si="2"/>
        <v>2</v>
      </c>
      <c r="G138" s="16">
        <f t="shared" si="3"/>
        <v>0.25</v>
      </c>
      <c r="H138" s="16">
        <f t="shared" si="11"/>
        <v>0</v>
      </c>
      <c r="I138" s="12">
        <f t="shared" si="5"/>
        <v>1</v>
      </c>
      <c r="J138" s="11">
        <v>0.0</v>
      </c>
      <c r="K138" s="11">
        <v>1.0</v>
      </c>
      <c r="L138" s="16">
        <f t="shared" si="6"/>
        <v>0.125</v>
      </c>
      <c r="M138" s="16">
        <f t="shared" si="7"/>
        <v>0</v>
      </c>
      <c r="N138" s="12">
        <f t="shared" si="8"/>
        <v>-4</v>
      </c>
      <c r="O138" s="18">
        <f t="shared" si="9"/>
        <v>-0.5</v>
      </c>
      <c r="P138" s="18">
        <f t="shared" si="10"/>
        <v>-2</v>
      </c>
    </row>
    <row r="139">
      <c r="A139" s="2" t="s">
        <v>207</v>
      </c>
      <c r="B139" s="10">
        <v>2.5</v>
      </c>
      <c r="C139" s="12">
        <f t="shared" si="1"/>
        <v>10</v>
      </c>
      <c r="D139" s="10">
        <v>0.0</v>
      </c>
      <c r="E139" s="11">
        <v>4.0</v>
      </c>
      <c r="F139" s="12">
        <f t="shared" si="2"/>
        <v>4</v>
      </c>
      <c r="G139" s="16">
        <f t="shared" si="3"/>
        <v>0.4</v>
      </c>
      <c r="H139" s="16">
        <f t="shared" si="11"/>
        <v>0</v>
      </c>
      <c r="I139" s="12">
        <f t="shared" si="5"/>
        <v>2</v>
      </c>
      <c r="J139" s="11">
        <v>0.0</v>
      </c>
      <c r="K139" s="11">
        <v>2.0</v>
      </c>
      <c r="L139" s="16">
        <f t="shared" si="6"/>
        <v>0.2</v>
      </c>
      <c r="M139" s="16">
        <f t="shared" si="7"/>
        <v>0</v>
      </c>
      <c r="N139" s="12">
        <f t="shared" si="8"/>
        <v>-8</v>
      </c>
      <c r="O139" s="18">
        <f t="shared" si="9"/>
        <v>-0.8</v>
      </c>
      <c r="P139" s="18">
        <f t="shared" si="10"/>
        <v>-3.2</v>
      </c>
    </row>
    <row r="140">
      <c r="A140" s="34"/>
      <c r="B140" s="35"/>
      <c r="G140" s="30"/>
      <c r="H140" s="30"/>
      <c r="L140" s="30"/>
      <c r="M140" s="30"/>
      <c r="O140" s="32"/>
      <c r="P140" s="32"/>
    </row>
    <row r="141">
      <c r="A141" s="34"/>
      <c r="B141" s="35"/>
      <c r="G141" s="30"/>
      <c r="H141" s="30"/>
      <c r="L141" s="30"/>
      <c r="M141" s="30"/>
      <c r="O141" s="32"/>
      <c r="P141" s="32"/>
    </row>
    <row r="142">
      <c r="B142" s="35"/>
      <c r="G142" s="30"/>
      <c r="H142" s="30"/>
      <c r="L142" s="30"/>
      <c r="M142" s="30"/>
      <c r="O142" s="32"/>
      <c r="P142" s="32"/>
    </row>
    <row r="143">
      <c r="B143" s="35"/>
      <c r="G143" s="30"/>
      <c r="H143" s="30"/>
      <c r="L143" s="30"/>
      <c r="M143" s="30"/>
      <c r="O143" s="32"/>
      <c r="P143" s="32"/>
    </row>
    <row r="144">
      <c r="B144" s="35"/>
      <c r="G144" s="30"/>
      <c r="H144" s="30"/>
      <c r="L144" s="30"/>
      <c r="M144" s="30"/>
      <c r="O144" s="32"/>
      <c r="P144" s="32"/>
    </row>
    <row r="145">
      <c r="B145" s="35"/>
      <c r="G145" s="30"/>
      <c r="H145" s="30"/>
      <c r="L145" s="30"/>
      <c r="M145" s="30"/>
      <c r="O145" s="32"/>
      <c r="P145" s="32"/>
    </row>
    <row r="146">
      <c r="B146" s="35"/>
      <c r="G146" s="30"/>
      <c r="H146" s="30"/>
      <c r="L146" s="30"/>
      <c r="M146" s="30"/>
      <c r="O146" s="32"/>
      <c r="P146" s="32"/>
    </row>
    <row r="147">
      <c r="B147" s="35"/>
      <c r="G147" s="30"/>
      <c r="H147" s="30"/>
      <c r="L147" s="30"/>
      <c r="M147" s="30"/>
      <c r="O147" s="32"/>
      <c r="P147" s="32"/>
    </row>
    <row r="148">
      <c r="B148" s="35"/>
      <c r="G148" s="30"/>
      <c r="H148" s="30"/>
      <c r="L148" s="30"/>
      <c r="M148" s="30"/>
      <c r="O148" s="32"/>
      <c r="P148" s="32"/>
    </row>
    <row r="149">
      <c r="B149" s="35"/>
      <c r="G149" s="30"/>
      <c r="H149" s="30"/>
      <c r="L149" s="30"/>
      <c r="M149" s="30"/>
      <c r="O149" s="32"/>
      <c r="P149" s="32"/>
    </row>
    <row r="150">
      <c r="B150" s="35"/>
      <c r="G150" s="30"/>
      <c r="H150" s="30"/>
      <c r="L150" s="30"/>
      <c r="M150" s="30"/>
      <c r="O150" s="32"/>
      <c r="P150" s="32"/>
    </row>
    <row r="151">
      <c r="B151" s="35"/>
      <c r="G151" s="30"/>
      <c r="H151" s="30"/>
      <c r="L151" s="30"/>
      <c r="M151" s="30"/>
      <c r="O151" s="32"/>
      <c r="P151" s="32"/>
    </row>
    <row r="152">
      <c r="B152" s="35"/>
      <c r="G152" s="30"/>
      <c r="H152" s="30"/>
      <c r="L152" s="30"/>
      <c r="M152" s="30"/>
      <c r="O152" s="32"/>
      <c r="P152" s="32"/>
    </row>
    <row r="153">
      <c r="B153" s="35"/>
      <c r="G153" s="30"/>
      <c r="H153" s="30"/>
      <c r="L153" s="30"/>
      <c r="M153" s="30"/>
      <c r="O153" s="32"/>
      <c r="P153" s="32"/>
    </row>
    <row r="154">
      <c r="B154" s="35"/>
      <c r="G154" s="30"/>
      <c r="H154" s="30"/>
      <c r="L154" s="30"/>
      <c r="M154" s="30"/>
      <c r="O154" s="32"/>
      <c r="P154" s="32"/>
    </row>
    <row r="155">
      <c r="B155" s="35"/>
      <c r="G155" s="30"/>
      <c r="H155" s="30"/>
      <c r="L155" s="30"/>
      <c r="M155" s="30"/>
      <c r="O155" s="32"/>
      <c r="P155" s="32"/>
    </row>
    <row r="156">
      <c r="B156" s="35"/>
      <c r="G156" s="30"/>
      <c r="H156" s="30"/>
      <c r="L156" s="30"/>
      <c r="M156" s="30"/>
      <c r="O156" s="32"/>
      <c r="P156" s="32"/>
    </row>
    <row r="157">
      <c r="B157" s="35"/>
      <c r="G157" s="30"/>
      <c r="H157" s="30"/>
      <c r="L157" s="30"/>
      <c r="M157" s="30"/>
      <c r="O157" s="32"/>
      <c r="P157" s="32"/>
    </row>
    <row r="158">
      <c r="B158" s="35"/>
      <c r="G158" s="30"/>
      <c r="H158" s="30"/>
      <c r="L158" s="30"/>
      <c r="M158" s="30"/>
      <c r="O158" s="32"/>
      <c r="P158" s="32"/>
    </row>
    <row r="159">
      <c r="B159" s="35"/>
      <c r="G159" s="30"/>
      <c r="H159" s="30"/>
      <c r="L159" s="30"/>
      <c r="M159" s="30"/>
      <c r="O159" s="32"/>
      <c r="P159" s="32"/>
    </row>
    <row r="160">
      <c r="B160" s="35"/>
      <c r="G160" s="30"/>
      <c r="H160" s="30"/>
      <c r="L160" s="30"/>
      <c r="M160" s="30"/>
      <c r="O160" s="32"/>
      <c r="P160" s="32"/>
    </row>
    <row r="161">
      <c r="B161" s="35"/>
      <c r="G161" s="30"/>
      <c r="H161" s="30"/>
      <c r="L161" s="30"/>
      <c r="M161" s="30"/>
      <c r="O161" s="32"/>
      <c r="P161" s="32"/>
    </row>
    <row r="162">
      <c r="B162" s="35"/>
      <c r="G162" s="30"/>
      <c r="H162" s="30"/>
      <c r="L162" s="30"/>
      <c r="M162" s="30"/>
      <c r="O162" s="32"/>
      <c r="P162" s="32"/>
    </row>
    <row r="163">
      <c r="B163" s="35"/>
      <c r="G163" s="30"/>
      <c r="H163" s="30"/>
      <c r="L163" s="30"/>
      <c r="M163" s="30"/>
      <c r="O163" s="32"/>
      <c r="P163" s="32"/>
    </row>
    <row r="164">
      <c r="B164" s="35"/>
      <c r="G164" s="30"/>
      <c r="H164" s="30"/>
      <c r="L164" s="30"/>
      <c r="M164" s="30"/>
      <c r="O164" s="32"/>
      <c r="P164" s="32"/>
    </row>
    <row r="165">
      <c r="B165" s="35"/>
      <c r="G165" s="30"/>
      <c r="H165" s="30"/>
      <c r="L165" s="30"/>
      <c r="M165" s="30"/>
      <c r="O165" s="32"/>
      <c r="P165" s="32"/>
    </row>
    <row r="166">
      <c r="B166" s="35"/>
      <c r="G166" s="30"/>
      <c r="H166" s="30"/>
      <c r="L166" s="30"/>
      <c r="M166" s="30"/>
      <c r="O166" s="32"/>
      <c r="P166" s="32"/>
    </row>
    <row r="167">
      <c r="B167" s="35"/>
      <c r="G167" s="30"/>
      <c r="H167" s="30"/>
      <c r="L167" s="30"/>
      <c r="M167" s="30"/>
      <c r="O167" s="32"/>
      <c r="P167" s="32"/>
    </row>
    <row r="168">
      <c r="B168" s="35"/>
      <c r="G168" s="30"/>
      <c r="H168" s="30"/>
      <c r="L168" s="30"/>
      <c r="M168" s="30"/>
      <c r="O168" s="32"/>
      <c r="P168" s="32"/>
    </row>
    <row r="169">
      <c r="B169" s="35"/>
      <c r="G169" s="30"/>
      <c r="H169" s="30"/>
      <c r="L169" s="30"/>
      <c r="M169" s="30"/>
      <c r="O169" s="32"/>
      <c r="P169" s="32"/>
    </row>
    <row r="170">
      <c r="B170" s="35"/>
      <c r="G170" s="30"/>
      <c r="H170" s="30"/>
      <c r="L170" s="30"/>
      <c r="M170" s="30"/>
      <c r="O170" s="32"/>
      <c r="P170" s="32"/>
    </row>
    <row r="171">
      <c r="B171" s="35"/>
      <c r="G171" s="30"/>
      <c r="H171" s="30"/>
      <c r="L171" s="30"/>
      <c r="M171" s="30"/>
      <c r="O171" s="32"/>
      <c r="P171" s="32"/>
    </row>
    <row r="172">
      <c r="B172" s="35"/>
      <c r="G172" s="30"/>
      <c r="H172" s="30"/>
      <c r="L172" s="30"/>
      <c r="M172" s="30"/>
      <c r="O172" s="32"/>
      <c r="P172" s="32"/>
    </row>
    <row r="173">
      <c r="B173" s="35"/>
      <c r="G173" s="30"/>
      <c r="H173" s="30"/>
      <c r="L173" s="30"/>
      <c r="M173" s="30"/>
      <c r="O173" s="32"/>
      <c r="P173" s="32"/>
    </row>
    <row r="174">
      <c r="B174" s="35"/>
      <c r="G174" s="30"/>
      <c r="H174" s="30"/>
      <c r="L174" s="30"/>
      <c r="M174" s="30"/>
      <c r="O174" s="32"/>
      <c r="P174" s="32"/>
    </row>
    <row r="175">
      <c r="B175" s="35"/>
      <c r="G175" s="30"/>
      <c r="H175" s="30"/>
      <c r="L175" s="30"/>
      <c r="M175" s="30"/>
      <c r="O175" s="32"/>
      <c r="P175" s="32"/>
    </row>
    <row r="176">
      <c r="B176" s="35"/>
      <c r="G176" s="30"/>
      <c r="H176" s="30"/>
      <c r="L176" s="30"/>
      <c r="M176" s="30"/>
      <c r="O176" s="32"/>
      <c r="P176" s="32"/>
    </row>
    <row r="177">
      <c r="B177" s="35"/>
      <c r="G177" s="30"/>
      <c r="H177" s="30"/>
      <c r="L177" s="30"/>
      <c r="M177" s="30"/>
      <c r="O177" s="32"/>
      <c r="P177" s="32"/>
    </row>
    <row r="178">
      <c r="B178" s="35"/>
      <c r="G178" s="30"/>
      <c r="H178" s="30"/>
      <c r="L178" s="30"/>
      <c r="M178" s="30"/>
      <c r="O178" s="32"/>
      <c r="P178" s="32"/>
    </row>
    <row r="179">
      <c r="B179" s="35"/>
      <c r="G179" s="30"/>
      <c r="H179" s="30"/>
      <c r="L179" s="30"/>
      <c r="M179" s="30"/>
      <c r="O179" s="32"/>
      <c r="P179" s="32"/>
    </row>
    <row r="180">
      <c r="B180" s="35"/>
      <c r="G180" s="30"/>
      <c r="H180" s="30"/>
      <c r="L180" s="30"/>
      <c r="M180" s="30"/>
      <c r="O180" s="32"/>
      <c r="P180" s="32"/>
    </row>
    <row r="181">
      <c r="B181" s="35"/>
      <c r="G181" s="30"/>
      <c r="H181" s="30"/>
      <c r="L181" s="30"/>
      <c r="M181" s="30"/>
      <c r="O181" s="32"/>
      <c r="P181" s="32"/>
    </row>
    <row r="182">
      <c r="B182" s="35"/>
      <c r="G182" s="30"/>
      <c r="H182" s="30"/>
      <c r="L182" s="30"/>
      <c r="M182" s="30"/>
      <c r="O182" s="32"/>
      <c r="P182" s="32"/>
    </row>
    <row r="183">
      <c r="B183" s="35"/>
      <c r="G183" s="30"/>
      <c r="H183" s="30"/>
      <c r="L183" s="30"/>
      <c r="M183" s="30"/>
      <c r="O183" s="32"/>
      <c r="P183" s="32"/>
    </row>
    <row r="184">
      <c r="B184" s="35"/>
      <c r="G184" s="30"/>
      <c r="H184" s="30"/>
      <c r="L184" s="30"/>
      <c r="M184" s="30"/>
      <c r="O184" s="32"/>
      <c r="P184" s="32"/>
    </row>
    <row r="185">
      <c r="B185" s="35"/>
      <c r="G185" s="30"/>
      <c r="H185" s="30"/>
      <c r="L185" s="30"/>
      <c r="M185" s="30"/>
      <c r="O185" s="32"/>
      <c r="P185" s="32"/>
    </row>
    <row r="186">
      <c r="B186" s="35"/>
      <c r="G186" s="30"/>
      <c r="H186" s="30"/>
      <c r="L186" s="30"/>
      <c r="M186" s="30"/>
      <c r="O186" s="32"/>
      <c r="P186" s="32"/>
    </row>
    <row r="187">
      <c r="B187" s="35"/>
      <c r="G187" s="30"/>
      <c r="H187" s="30"/>
      <c r="L187" s="30"/>
      <c r="M187" s="30"/>
      <c r="O187" s="32"/>
      <c r="P187" s="32"/>
    </row>
    <row r="188">
      <c r="B188" s="35"/>
      <c r="G188" s="30"/>
      <c r="H188" s="30"/>
      <c r="L188" s="30"/>
      <c r="M188" s="30"/>
      <c r="O188" s="32"/>
      <c r="P188" s="32"/>
    </row>
    <row r="189">
      <c r="B189" s="35"/>
      <c r="G189" s="30"/>
      <c r="H189" s="30"/>
      <c r="L189" s="30"/>
      <c r="M189" s="30"/>
      <c r="O189" s="32"/>
      <c r="P189" s="32"/>
    </row>
    <row r="190">
      <c r="B190" s="35"/>
      <c r="G190" s="30"/>
      <c r="H190" s="30"/>
      <c r="L190" s="30"/>
      <c r="M190" s="30"/>
      <c r="O190" s="32"/>
      <c r="P190" s="32"/>
    </row>
    <row r="191">
      <c r="B191" s="35"/>
      <c r="G191" s="30"/>
      <c r="H191" s="30"/>
      <c r="L191" s="30"/>
      <c r="M191" s="30"/>
      <c r="O191" s="32"/>
      <c r="P191" s="32"/>
    </row>
    <row r="192">
      <c r="B192" s="35"/>
      <c r="G192" s="30"/>
      <c r="H192" s="30"/>
      <c r="L192" s="30"/>
      <c r="M192" s="30"/>
      <c r="O192" s="32"/>
      <c r="P192" s="32"/>
    </row>
    <row r="193">
      <c r="B193" s="35"/>
      <c r="G193" s="30"/>
      <c r="H193" s="30"/>
      <c r="L193" s="30"/>
      <c r="M193" s="30"/>
      <c r="O193" s="32"/>
      <c r="P193" s="32"/>
    </row>
    <row r="194">
      <c r="B194" s="35"/>
      <c r="G194" s="30"/>
      <c r="H194" s="30"/>
      <c r="L194" s="30"/>
      <c r="M194" s="30"/>
      <c r="O194" s="32"/>
      <c r="P194" s="32"/>
    </row>
    <row r="195">
      <c r="B195" s="35"/>
      <c r="G195" s="30"/>
      <c r="H195" s="30"/>
      <c r="L195" s="30"/>
      <c r="M195" s="30"/>
      <c r="O195" s="32"/>
      <c r="P195" s="32"/>
    </row>
    <row r="196">
      <c r="B196" s="35"/>
      <c r="G196" s="30"/>
      <c r="H196" s="30"/>
      <c r="L196" s="30"/>
      <c r="M196" s="30"/>
      <c r="O196" s="32"/>
      <c r="P196" s="32"/>
    </row>
    <row r="197">
      <c r="B197" s="35"/>
      <c r="G197" s="30"/>
      <c r="H197" s="30"/>
      <c r="L197" s="30"/>
      <c r="M197" s="30"/>
      <c r="O197" s="32"/>
      <c r="P197" s="32"/>
    </row>
    <row r="198">
      <c r="B198" s="35"/>
      <c r="G198" s="30"/>
      <c r="H198" s="30"/>
      <c r="L198" s="30"/>
      <c r="M198" s="30"/>
      <c r="O198" s="32"/>
      <c r="P198" s="32"/>
    </row>
    <row r="199">
      <c r="B199" s="35"/>
      <c r="G199" s="30"/>
      <c r="H199" s="30"/>
      <c r="L199" s="30"/>
      <c r="M199" s="30"/>
      <c r="O199" s="32"/>
      <c r="P199" s="32"/>
    </row>
    <row r="200">
      <c r="B200" s="35"/>
      <c r="G200" s="30"/>
      <c r="H200" s="30"/>
      <c r="L200" s="30"/>
      <c r="M200" s="30"/>
      <c r="O200" s="32"/>
      <c r="P200" s="32"/>
    </row>
    <row r="201">
      <c r="B201" s="35"/>
      <c r="G201" s="30"/>
      <c r="H201" s="30"/>
      <c r="L201" s="30"/>
      <c r="M201" s="30"/>
      <c r="O201" s="32"/>
      <c r="P201" s="32"/>
    </row>
    <row r="202">
      <c r="B202" s="35"/>
      <c r="G202" s="30"/>
      <c r="H202" s="30"/>
      <c r="L202" s="30"/>
      <c r="M202" s="30"/>
      <c r="O202" s="32"/>
      <c r="P202" s="32"/>
    </row>
    <row r="203">
      <c r="B203" s="35"/>
      <c r="G203" s="30"/>
      <c r="H203" s="30"/>
      <c r="L203" s="30"/>
      <c r="M203" s="30"/>
      <c r="O203" s="32"/>
      <c r="P203" s="32"/>
    </row>
    <row r="204">
      <c r="B204" s="35"/>
      <c r="G204" s="30"/>
      <c r="H204" s="30"/>
      <c r="L204" s="30"/>
      <c r="M204" s="30"/>
      <c r="O204" s="32"/>
      <c r="P204" s="32"/>
    </row>
    <row r="205">
      <c r="B205" s="35"/>
      <c r="G205" s="30"/>
      <c r="H205" s="30"/>
      <c r="L205" s="30"/>
      <c r="M205" s="30"/>
      <c r="O205" s="32"/>
      <c r="P205" s="32"/>
    </row>
    <row r="206">
      <c r="B206" s="35"/>
      <c r="G206" s="30"/>
      <c r="H206" s="30"/>
      <c r="L206" s="30"/>
      <c r="M206" s="30"/>
      <c r="O206" s="32"/>
      <c r="P206" s="32"/>
    </row>
    <row r="207">
      <c r="B207" s="35"/>
      <c r="G207" s="30"/>
      <c r="H207" s="30"/>
      <c r="L207" s="30"/>
      <c r="M207" s="30"/>
      <c r="O207" s="32"/>
      <c r="P207" s="32"/>
    </row>
    <row r="208">
      <c r="B208" s="35"/>
      <c r="G208" s="30"/>
      <c r="H208" s="30"/>
      <c r="L208" s="30"/>
      <c r="M208" s="30"/>
      <c r="O208" s="32"/>
      <c r="P208" s="32"/>
    </row>
    <row r="209">
      <c r="B209" s="35"/>
      <c r="G209" s="30"/>
      <c r="H209" s="30"/>
      <c r="L209" s="30"/>
      <c r="M209" s="30"/>
      <c r="O209" s="32"/>
      <c r="P209" s="32"/>
    </row>
    <row r="210">
      <c r="B210" s="35"/>
      <c r="G210" s="30"/>
      <c r="H210" s="30"/>
      <c r="L210" s="30"/>
      <c r="M210" s="30"/>
      <c r="O210" s="32"/>
      <c r="P210" s="32"/>
    </row>
    <row r="211">
      <c r="B211" s="35"/>
      <c r="G211" s="30"/>
      <c r="H211" s="30"/>
      <c r="L211" s="30"/>
      <c r="M211" s="30"/>
      <c r="O211" s="32"/>
      <c r="P211" s="32"/>
    </row>
    <row r="212">
      <c r="B212" s="35"/>
      <c r="G212" s="30"/>
      <c r="H212" s="30"/>
      <c r="L212" s="30"/>
      <c r="M212" s="30"/>
      <c r="O212" s="32"/>
      <c r="P212" s="32"/>
    </row>
    <row r="213">
      <c r="B213" s="35"/>
      <c r="G213" s="30"/>
      <c r="H213" s="30"/>
      <c r="L213" s="30"/>
      <c r="M213" s="30"/>
      <c r="O213" s="32"/>
      <c r="P213" s="32"/>
    </row>
    <row r="214">
      <c r="B214" s="35"/>
      <c r="G214" s="30"/>
      <c r="H214" s="30"/>
      <c r="L214" s="30"/>
      <c r="M214" s="30"/>
      <c r="O214" s="32"/>
      <c r="P214" s="32"/>
    </row>
    <row r="215">
      <c r="B215" s="35"/>
      <c r="G215" s="30"/>
      <c r="H215" s="30"/>
      <c r="L215" s="30"/>
      <c r="M215" s="30"/>
      <c r="O215" s="32"/>
      <c r="P215" s="32"/>
    </row>
    <row r="216">
      <c r="B216" s="35"/>
      <c r="G216" s="30"/>
      <c r="H216" s="30"/>
      <c r="L216" s="30"/>
      <c r="M216" s="30"/>
      <c r="O216" s="32"/>
      <c r="P216" s="32"/>
    </row>
    <row r="217">
      <c r="B217" s="35"/>
      <c r="G217" s="30"/>
      <c r="H217" s="30"/>
      <c r="L217" s="30"/>
      <c r="M217" s="30"/>
      <c r="O217" s="32"/>
      <c r="P217" s="32"/>
    </row>
    <row r="218">
      <c r="B218" s="35"/>
      <c r="G218" s="30"/>
      <c r="H218" s="30"/>
      <c r="L218" s="30"/>
      <c r="M218" s="30"/>
      <c r="O218" s="32"/>
      <c r="P218" s="32"/>
    </row>
    <row r="219">
      <c r="B219" s="35"/>
      <c r="G219" s="30"/>
      <c r="H219" s="30"/>
      <c r="L219" s="30"/>
      <c r="M219" s="30"/>
      <c r="O219" s="32"/>
      <c r="P219" s="32"/>
    </row>
    <row r="220">
      <c r="B220" s="35"/>
      <c r="G220" s="30"/>
      <c r="H220" s="30"/>
      <c r="L220" s="30"/>
      <c r="M220" s="30"/>
      <c r="O220" s="32"/>
      <c r="P220" s="32"/>
    </row>
    <row r="221">
      <c r="B221" s="35"/>
      <c r="G221" s="30"/>
      <c r="H221" s="30"/>
      <c r="L221" s="30"/>
      <c r="M221" s="30"/>
      <c r="O221" s="32"/>
      <c r="P221" s="32"/>
    </row>
    <row r="222">
      <c r="B222" s="35"/>
      <c r="G222" s="30"/>
      <c r="H222" s="30"/>
      <c r="L222" s="30"/>
      <c r="M222" s="30"/>
      <c r="O222" s="32"/>
      <c r="P222" s="32"/>
    </row>
    <row r="223">
      <c r="B223" s="35"/>
      <c r="G223" s="30"/>
      <c r="H223" s="30"/>
      <c r="L223" s="30"/>
      <c r="M223" s="30"/>
      <c r="O223" s="32"/>
      <c r="P223" s="32"/>
    </row>
    <row r="224">
      <c r="B224" s="35"/>
      <c r="G224" s="30"/>
      <c r="H224" s="30"/>
      <c r="L224" s="30"/>
      <c r="M224" s="30"/>
      <c r="O224" s="32"/>
      <c r="P224" s="32"/>
    </row>
    <row r="225">
      <c r="B225" s="35"/>
      <c r="G225" s="30"/>
      <c r="H225" s="30"/>
      <c r="L225" s="30"/>
      <c r="M225" s="30"/>
      <c r="O225" s="32"/>
      <c r="P225" s="32"/>
    </row>
    <row r="226">
      <c r="B226" s="35"/>
      <c r="G226" s="30"/>
      <c r="H226" s="30"/>
      <c r="L226" s="30"/>
      <c r="M226" s="30"/>
      <c r="O226" s="32"/>
      <c r="P226" s="32"/>
    </row>
    <row r="227">
      <c r="B227" s="35"/>
      <c r="G227" s="30"/>
      <c r="H227" s="30"/>
      <c r="L227" s="30"/>
      <c r="M227" s="30"/>
      <c r="O227" s="32"/>
      <c r="P227" s="32"/>
    </row>
    <row r="228">
      <c r="B228" s="35"/>
      <c r="G228" s="30"/>
      <c r="H228" s="30"/>
      <c r="L228" s="30"/>
      <c r="M228" s="30"/>
      <c r="O228" s="32"/>
      <c r="P228" s="32"/>
    </row>
    <row r="229">
      <c r="B229" s="35"/>
      <c r="G229" s="30"/>
      <c r="H229" s="30"/>
      <c r="L229" s="30"/>
      <c r="M229" s="30"/>
      <c r="O229" s="32"/>
      <c r="P229" s="32"/>
    </row>
    <row r="230">
      <c r="B230" s="35"/>
      <c r="G230" s="30"/>
      <c r="H230" s="30"/>
      <c r="L230" s="30"/>
      <c r="M230" s="30"/>
      <c r="O230" s="32"/>
      <c r="P230" s="32"/>
    </row>
    <row r="231">
      <c r="B231" s="35"/>
      <c r="G231" s="30"/>
      <c r="H231" s="30"/>
      <c r="L231" s="30"/>
      <c r="M231" s="30"/>
      <c r="O231" s="32"/>
      <c r="P231" s="32"/>
    </row>
    <row r="232">
      <c r="B232" s="35"/>
      <c r="G232" s="30"/>
      <c r="H232" s="30"/>
      <c r="L232" s="30"/>
      <c r="M232" s="30"/>
      <c r="O232" s="32"/>
      <c r="P232" s="32"/>
    </row>
    <row r="233">
      <c r="B233" s="35"/>
      <c r="G233" s="30"/>
      <c r="H233" s="30"/>
      <c r="L233" s="30"/>
      <c r="M233" s="30"/>
      <c r="O233" s="32"/>
      <c r="P233" s="32"/>
    </row>
    <row r="234">
      <c r="B234" s="35"/>
      <c r="G234" s="30"/>
      <c r="H234" s="30"/>
      <c r="L234" s="30"/>
      <c r="M234" s="30"/>
      <c r="O234" s="32"/>
      <c r="P234" s="32"/>
    </row>
    <row r="235">
      <c r="B235" s="35"/>
      <c r="G235" s="30"/>
      <c r="H235" s="30"/>
      <c r="L235" s="30"/>
      <c r="M235" s="30"/>
      <c r="O235" s="32"/>
      <c r="P235" s="32"/>
    </row>
    <row r="236">
      <c r="B236" s="35"/>
      <c r="G236" s="30"/>
      <c r="H236" s="30"/>
      <c r="L236" s="30"/>
      <c r="M236" s="30"/>
      <c r="O236" s="32"/>
      <c r="P236" s="32"/>
    </row>
    <row r="237">
      <c r="B237" s="35"/>
      <c r="G237" s="30"/>
      <c r="H237" s="30"/>
      <c r="L237" s="30"/>
      <c r="M237" s="30"/>
      <c r="O237" s="32"/>
      <c r="P237" s="32"/>
    </row>
    <row r="238">
      <c r="B238" s="35"/>
      <c r="G238" s="30"/>
      <c r="H238" s="30"/>
      <c r="L238" s="30"/>
      <c r="M238" s="30"/>
      <c r="O238" s="32"/>
      <c r="P238" s="32"/>
    </row>
    <row r="239">
      <c r="B239" s="35"/>
      <c r="G239" s="30"/>
      <c r="H239" s="30"/>
      <c r="L239" s="30"/>
      <c r="M239" s="30"/>
      <c r="O239" s="32"/>
      <c r="P239" s="32"/>
    </row>
    <row r="240">
      <c r="B240" s="35"/>
      <c r="G240" s="30"/>
      <c r="H240" s="30"/>
      <c r="L240" s="30"/>
      <c r="M240" s="30"/>
      <c r="O240" s="32"/>
      <c r="P240" s="32"/>
    </row>
    <row r="241">
      <c r="B241" s="35"/>
      <c r="G241" s="30"/>
      <c r="H241" s="30"/>
      <c r="L241" s="30"/>
      <c r="M241" s="30"/>
      <c r="O241" s="32"/>
      <c r="P241" s="32"/>
    </row>
    <row r="242">
      <c r="B242" s="35"/>
      <c r="G242" s="30"/>
      <c r="H242" s="30"/>
      <c r="L242" s="30"/>
      <c r="M242" s="30"/>
      <c r="O242" s="32"/>
      <c r="P242" s="32"/>
    </row>
    <row r="243">
      <c r="B243" s="35"/>
      <c r="G243" s="30"/>
      <c r="H243" s="30"/>
      <c r="L243" s="30"/>
      <c r="M243" s="30"/>
      <c r="O243" s="32"/>
      <c r="P243" s="32"/>
    </row>
    <row r="244">
      <c r="B244" s="35"/>
      <c r="G244" s="30"/>
      <c r="H244" s="30"/>
      <c r="L244" s="30"/>
      <c r="M244" s="30"/>
      <c r="O244" s="32"/>
      <c r="P244" s="32"/>
    </row>
    <row r="245">
      <c r="B245" s="35"/>
      <c r="G245" s="30"/>
      <c r="H245" s="30"/>
      <c r="L245" s="30"/>
      <c r="M245" s="30"/>
      <c r="O245" s="32"/>
      <c r="P245" s="32"/>
    </row>
    <row r="246">
      <c r="B246" s="35"/>
      <c r="G246" s="30"/>
      <c r="H246" s="30"/>
      <c r="L246" s="30"/>
      <c r="M246" s="30"/>
      <c r="O246" s="32"/>
      <c r="P246" s="32"/>
    </row>
    <row r="247">
      <c r="B247" s="35"/>
      <c r="G247" s="30"/>
      <c r="H247" s="30"/>
      <c r="L247" s="30"/>
      <c r="M247" s="30"/>
      <c r="O247" s="32"/>
      <c r="P247" s="32"/>
    </row>
    <row r="248">
      <c r="B248" s="35"/>
      <c r="G248" s="30"/>
      <c r="H248" s="30"/>
      <c r="L248" s="30"/>
      <c r="M248" s="30"/>
      <c r="O248" s="32"/>
      <c r="P248" s="32"/>
    </row>
    <row r="249">
      <c r="B249" s="35"/>
      <c r="G249" s="30"/>
      <c r="H249" s="30"/>
      <c r="L249" s="30"/>
      <c r="M249" s="30"/>
      <c r="O249" s="32"/>
      <c r="P249" s="32"/>
    </row>
    <row r="250">
      <c r="B250" s="35"/>
      <c r="G250" s="30"/>
      <c r="H250" s="30"/>
      <c r="L250" s="30"/>
      <c r="M250" s="30"/>
      <c r="O250" s="32"/>
      <c r="P250" s="32"/>
    </row>
    <row r="251">
      <c r="B251" s="35"/>
      <c r="G251" s="30"/>
      <c r="H251" s="30"/>
      <c r="L251" s="30"/>
      <c r="M251" s="30"/>
      <c r="O251" s="32"/>
      <c r="P251" s="32"/>
    </row>
    <row r="252">
      <c r="B252" s="35"/>
      <c r="G252" s="30"/>
      <c r="H252" s="30"/>
      <c r="L252" s="30"/>
      <c r="M252" s="30"/>
      <c r="O252" s="32"/>
      <c r="P252" s="32"/>
    </row>
    <row r="253">
      <c r="B253" s="35"/>
      <c r="G253" s="30"/>
      <c r="H253" s="30"/>
      <c r="L253" s="30"/>
      <c r="M253" s="30"/>
      <c r="O253" s="32"/>
      <c r="P253" s="32"/>
    </row>
    <row r="254">
      <c r="B254" s="35"/>
      <c r="G254" s="30"/>
      <c r="H254" s="30"/>
      <c r="L254" s="30"/>
      <c r="M254" s="30"/>
      <c r="O254" s="32"/>
      <c r="P254" s="32"/>
    </row>
    <row r="255">
      <c r="B255" s="35"/>
      <c r="G255" s="30"/>
      <c r="H255" s="30"/>
      <c r="L255" s="30"/>
      <c r="M255" s="30"/>
      <c r="O255" s="32"/>
      <c r="P255" s="32"/>
    </row>
    <row r="256">
      <c r="B256" s="35"/>
      <c r="G256" s="30"/>
      <c r="H256" s="30"/>
      <c r="L256" s="30"/>
      <c r="M256" s="30"/>
      <c r="O256" s="32"/>
      <c r="P256" s="32"/>
    </row>
    <row r="257">
      <c r="B257" s="35"/>
      <c r="G257" s="30"/>
      <c r="H257" s="30"/>
      <c r="L257" s="30"/>
      <c r="M257" s="30"/>
      <c r="O257" s="32"/>
      <c r="P257" s="32"/>
    </row>
    <row r="258">
      <c r="B258" s="35"/>
      <c r="G258" s="30"/>
      <c r="H258" s="30"/>
      <c r="L258" s="30"/>
      <c r="M258" s="30"/>
      <c r="O258" s="32"/>
      <c r="P258" s="32"/>
    </row>
    <row r="259">
      <c r="B259" s="35"/>
      <c r="G259" s="30"/>
      <c r="H259" s="30"/>
      <c r="L259" s="30"/>
      <c r="M259" s="30"/>
      <c r="O259" s="32"/>
      <c r="P259" s="32"/>
    </row>
    <row r="260">
      <c r="B260" s="35"/>
      <c r="G260" s="30"/>
      <c r="H260" s="30"/>
      <c r="L260" s="30"/>
      <c r="M260" s="30"/>
      <c r="O260" s="32"/>
      <c r="P260" s="32"/>
    </row>
    <row r="261">
      <c r="B261" s="35"/>
      <c r="G261" s="30"/>
      <c r="H261" s="30"/>
      <c r="L261" s="30"/>
      <c r="M261" s="30"/>
      <c r="O261" s="32"/>
      <c r="P261" s="32"/>
    </row>
    <row r="262">
      <c r="B262" s="35"/>
      <c r="G262" s="30"/>
      <c r="H262" s="30"/>
      <c r="L262" s="30"/>
      <c r="M262" s="30"/>
      <c r="O262" s="32"/>
      <c r="P262" s="32"/>
    </row>
    <row r="263">
      <c r="B263" s="35"/>
      <c r="G263" s="30"/>
      <c r="H263" s="30"/>
      <c r="L263" s="30"/>
      <c r="M263" s="30"/>
      <c r="O263" s="32"/>
      <c r="P263" s="32"/>
    </row>
    <row r="264">
      <c r="B264" s="35"/>
      <c r="G264" s="30"/>
      <c r="H264" s="30"/>
      <c r="L264" s="30"/>
      <c r="M264" s="30"/>
      <c r="O264" s="32"/>
      <c r="P264" s="32"/>
    </row>
    <row r="265">
      <c r="B265" s="35"/>
      <c r="G265" s="30"/>
      <c r="H265" s="30"/>
      <c r="L265" s="30"/>
      <c r="M265" s="30"/>
      <c r="O265" s="32"/>
      <c r="P265" s="32"/>
    </row>
    <row r="266">
      <c r="B266" s="35"/>
      <c r="G266" s="30"/>
      <c r="H266" s="30"/>
      <c r="L266" s="30"/>
      <c r="M266" s="30"/>
      <c r="O266" s="32"/>
      <c r="P266" s="32"/>
    </row>
    <row r="267">
      <c r="B267" s="35"/>
      <c r="G267" s="30"/>
      <c r="H267" s="30"/>
      <c r="L267" s="30"/>
      <c r="M267" s="30"/>
      <c r="O267" s="32"/>
      <c r="P267" s="32"/>
    </row>
    <row r="268">
      <c r="B268" s="35"/>
      <c r="G268" s="30"/>
      <c r="H268" s="30"/>
      <c r="L268" s="30"/>
      <c r="M268" s="30"/>
      <c r="O268" s="32"/>
      <c r="P268" s="32"/>
    </row>
    <row r="269">
      <c r="B269" s="35"/>
      <c r="G269" s="30"/>
      <c r="H269" s="30"/>
      <c r="L269" s="30"/>
      <c r="M269" s="30"/>
      <c r="O269" s="32"/>
      <c r="P269" s="32"/>
    </row>
    <row r="270">
      <c r="B270" s="35"/>
      <c r="G270" s="30"/>
      <c r="H270" s="30"/>
      <c r="L270" s="30"/>
      <c r="M270" s="30"/>
      <c r="O270" s="32"/>
      <c r="P270" s="32"/>
    </row>
    <row r="271">
      <c r="B271" s="35"/>
      <c r="G271" s="30"/>
      <c r="H271" s="30"/>
      <c r="L271" s="30"/>
      <c r="M271" s="30"/>
      <c r="O271" s="32"/>
      <c r="P271" s="32"/>
    </row>
    <row r="272">
      <c r="B272" s="35"/>
      <c r="G272" s="30"/>
      <c r="H272" s="30"/>
      <c r="L272" s="30"/>
      <c r="M272" s="30"/>
      <c r="O272" s="32"/>
      <c r="P272" s="32"/>
    </row>
    <row r="273">
      <c r="B273" s="35"/>
      <c r="G273" s="30"/>
      <c r="H273" s="30"/>
      <c r="L273" s="30"/>
      <c r="M273" s="30"/>
      <c r="O273" s="32"/>
      <c r="P273" s="32"/>
    </row>
    <row r="274">
      <c r="B274" s="35"/>
      <c r="G274" s="30"/>
      <c r="H274" s="30"/>
      <c r="L274" s="30"/>
      <c r="M274" s="30"/>
      <c r="O274" s="32"/>
      <c r="P274" s="32"/>
    </row>
    <row r="275">
      <c r="B275" s="35"/>
      <c r="G275" s="30"/>
      <c r="H275" s="30"/>
      <c r="L275" s="30"/>
      <c r="M275" s="30"/>
      <c r="O275" s="32"/>
      <c r="P275" s="32"/>
    </row>
    <row r="276">
      <c r="B276" s="35"/>
      <c r="G276" s="30"/>
      <c r="H276" s="30"/>
      <c r="L276" s="30"/>
      <c r="M276" s="30"/>
      <c r="O276" s="32"/>
      <c r="P276" s="32"/>
    </row>
    <row r="277">
      <c r="B277" s="35"/>
      <c r="G277" s="30"/>
      <c r="H277" s="30"/>
      <c r="L277" s="30"/>
      <c r="M277" s="30"/>
      <c r="O277" s="32"/>
      <c r="P277" s="32"/>
    </row>
    <row r="278">
      <c r="B278" s="35"/>
      <c r="G278" s="30"/>
      <c r="H278" s="30"/>
      <c r="L278" s="30"/>
      <c r="M278" s="30"/>
      <c r="O278" s="32"/>
      <c r="P278" s="32"/>
    </row>
    <row r="279">
      <c r="B279" s="35"/>
      <c r="G279" s="30"/>
      <c r="H279" s="30"/>
      <c r="L279" s="30"/>
      <c r="M279" s="30"/>
      <c r="O279" s="32"/>
      <c r="P279" s="32"/>
    </row>
    <row r="280">
      <c r="B280" s="35"/>
      <c r="G280" s="30"/>
      <c r="H280" s="30"/>
      <c r="L280" s="30"/>
      <c r="M280" s="30"/>
      <c r="O280" s="32"/>
      <c r="P280" s="32"/>
    </row>
    <row r="281">
      <c r="B281" s="35"/>
      <c r="G281" s="30"/>
      <c r="H281" s="30"/>
      <c r="L281" s="30"/>
      <c r="M281" s="30"/>
      <c r="O281" s="32"/>
      <c r="P281" s="32"/>
    </row>
    <row r="282">
      <c r="B282" s="35"/>
      <c r="G282" s="30"/>
      <c r="H282" s="30"/>
      <c r="L282" s="30"/>
      <c r="M282" s="30"/>
      <c r="O282" s="32"/>
      <c r="P282" s="32"/>
    </row>
    <row r="283">
      <c r="B283" s="35"/>
      <c r="G283" s="30"/>
      <c r="H283" s="30"/>
      <c r="L283" s="30"/>
      <c r="M283" s="30"/>
      <c r="O283" s="32"/>
      <c r="P283" s="32"/>
    </row>
    <row r="284">
      <c r="B284" s="35"/>
      <c r="G284" s="30"/>
      <c r="H284" s="30"/>
      <c r="L284" s="30"/>
      <c r="M284" s="30"/>
      <c r="O284" s="32"/>
      <c r="P284" s="32"/>
    </row>
    <row r="285">
      <c r="B285" s="35"/>
      <c r="G285" s="30"/>
      <c r="H285" s="30"/>
      <c r="L285" s="30"/>
      <c r="M285" s="30"/>
      <c r="O285" s="32"/>
      <c r="P285" s="32"/>
    </row>
    <row r="286">
      <c r="B286" s="35"/>
      <c r="G286" s="30"/>
      <c r="H286" s="30"/>
      <c r="L286" s="30"/>
      <c r="M286" s="30"/>
      <c r="O286" s="32"/>
      <c r="P286" s="32"/>
    </row>
    <row r="287">
      <c r="B287" s="35"/>
      <c r="G287" s="30"/>
      <c r="H287" s="30"/>
      <c r="L287" s="30"/>
      <c r="M287" s="30"/>
      <c r="O287" s="32"/>
      <c r="P287" s="32"/>
    </row>
    <row r="288">
      <c r="B288" s="35"/>
      <c r="G288" s="30"/>
      <c r="H288" s="30"/>
      <c r="L288" s="30"/>
      <c r="M288" s="30"/>
      <c r="O288" s="32"/>
      <c r="P288" s="32"/>
    </row>
    <row r="289">
      <c r="B289" s="35"/>
      <c r="G289" s="30"/>
      <c r="H289" s="30"/>
      <c r="L289" s="30"/>
      <c r="M289" s="30"/>
      <c r="O289" s="32"/>
      <c r="P289" s="32"/>
    </row>
    <row r="290">
      <c r="B290" s="35"/>
      <c r="G290" s="30"/>
      <c r="H290" s="30"/>
      <c r="L290" s="30"/>
      <c r="M290" s="30"/>
      <c r="O290" s="32"/>
      <c r="P290" s="32"/>
    </row>
    <row r="291">
      <c r="B291" s="35"/>
      <c r="G291" s="30"/>
      <c r="H291" s="30"/>
      <c r="L291" s="30"/>
      <c r="M291" s="30"/>
      <c r="O291" s="32"/>
      <c r="P291" s="32"/>
    </row>
    <row r="292">
      <c r="B292" s="35"/>
      <c r="G292" s="30"/>
      <c r="H292" s="30"/>
      <c r="L292" s="30"/>
      <c r="M292" s="30"/>
      <c r="O292" s="32"/>
      <c r="P292" s="32"/>
    </row>
    <row r="293">
      <c r="B293" s="35"/>
      <c r="G293" s="30"/>
      <c r="H293" s="30"/>
      <c r="L293" s="30"/>
      <c r="M293" s="30"/>
      <c r="O293" s="32"/>
      <c r="P293" s="32"/>
    </row>
    <row r="294">
      <c r="B294" s="35"/>
      <c r="G294" s="30"/>
      <c r="H294" s="30"/>
      <c r="L294" s="30"/>
      <c r="M294" s="30"/>
      <c r="O294" s="32"/>
      <c r="P294" s="32"/>
    </row>
    <row r="295">
      <c r="B295" s="35"/>
      <c r="G295" s="30"/>
      <c r="H295" s="30"/>
      <c r="L295" s="30"/>
      <c r="M295" s="30"/>
      <c r="O295" s="32"/>
      <c r="P295" s="32"/>
    </row>
    <row r="296">
      <c r="B296" s="35"/>
      <c r="G296" s="30"/>
      <c r="H296" s="30"/>
      <c r="L296" s="30"/>
      <c r="M296" s="30"/>
      <c r="O296" s="32"/>
      <c r="P296" s="32"/>
    </row>
    <row r="297">
      <c r="B297" s="35"/>
      <c r="G297" s="30"/>
      <c r="H297" s="30"/>
      <c r="L297" s="30"/>
      <c r="M297" s="30"/>
      <c r="O297" s="32"/>
      <c r="P297" s="32"/>
    </row>
    <row r="298">
      <c r="B298" s="35"/>
      <c r="G298" s="30"/>
      <c r="H298" s="30"/>
      <c r="L298" s="30"/>
      <c r="M298" s="30"/>
      <c r="O298" s="32"/>
      <c r="P298" s="32"/>
    </row>
    <row r="299">
      <c r="B299" s="35"/>
      <c r="G299" s="30"/>
      <c r="H299" s="30"/>
      <c r="L299" s="30"/>
      <c r="M299" s="30"/>
      <c r="O299" s="32"/>
      <c r="P299" s="32"/>
    </row>
    <row r="300">
      <c r="B300" s="35"/>
      <c r="G300" s="30"/>
      <c r="H300" s="30"/>
      <c r="L300" s="30"/>
      <c r="M300" s="30"/>
      <c r="O300" s="32"/>
      <c r="P300" s="32"/>
    </row>
    <row r="301">
      <c r="B301" s="35"/>
      <c r="G301" s="30"/>
      <c r="H301" s="30"/>
      <c r="L301" s="30"/>
      <c r="M301" s="30"/>
      <c r="O301" s="32"/>
      <c r="P301" s="32"/>
    </row>
    <row r="302">
      <c r="B302" s="35"/>
      <c r="G302" s="30"/>
      <c r="H302" s="30"/>
      <c r="L302" s="30"/>
      <c r="M302" s="30"/>
      <c r="O302" s="32"/>
      <c r="P302" s="32"/>
    </row>
    <row r="303">
      <c r="B303" s="35"/>
      <c r="G303" s="30"/>
      <c r="H303" s="30"/>
      <c r="L303" s="30"/>
      <c r="M303" s="30"/>
      <c r="O303" s="32"/>
      <c r="P303" s="32"/>
    </row>
    <row r="304">
      <c r="B304" s="35"/>
      <c r="G304" s="30"/>
      <c r="H304" s="30"/>
      <c r="L304" s="30"/>
      <c r="M304" s="30"/>
      <c r="O304" s="32"/>
      <c r="P304" s="32"/>
    </row>
    <row r="305">
      <c r="B305" s="35"/>
      <c r="G305" s="30"/>
      <c r="H305" s="30"/>
      <c r="L305" s="30"/>
      <c r="M305" s="30"/>
      <c r="O305" s="32"/>
      <c r="P305" s="32"/>
    </row>
    <row r="306">
      <c r="B306" s="35"/>
      <c r="G306" s="30"/>
      <c r="H306" s="30"/>
      <c r="L306" s="30"/>
      <c r="M306" s="30"/>
      <c r="O306" s="32"/>
      <c r="P306" s="32"/>
    </row>
    <row r="307">
      <c r="B307" s="35"/>
      <c r="G307" s="30"/>
      <c r="H307" s="30"/>
      <c r="L307" s="30"/>
      <c r="M307" s="30"/>
      <c r="O307" s="32"/>
      <c r="P307" s="32"/>
    </row>
    <row r="308">
      <c r="B308" s="35"/>
      <c r="G308" s="30"/>
      <c r="H308" s="30"/>
      <c r="L308" s="30"/>
      <c r="M308" s="30"/>
      <c r="O308" s="32"/>
      <c r="P308" s="32"/>
    </row>
    <row r="309">
      <c r="B309" s="35"/>
      <c r="G309" s="30"/>
      <c r="H309" s="30"/>
      <c r="L309" s="30"/>
      <c r="M309" s="30"/>
      <c r="O309" s="32"/>
      <c r="P309" s="32"/>
    </row>
    <row r="310">
      <c r="B310" s="35"/>
      <c r="G310" s="30"/>
      <c r="H310" s="30"/>
      <c r="L310" s="30"/>
      <c r="M310" s="30"/>
      <c r="O310" s="32"/>
      <c r="P310" s="32"/>
    </row>
    <row r="311">
      <c r="B311" s="35"/>
      <c r="G311" s="30"/>
      <c r="H311" s="30"/>
      <c r="L311" s="30"/>
      <c r="M311" s="30"/>
      <c r="O311" s="32"/>
      <c r="P311" s="32"/>
    </row>
    <row r="312">
      <c r="B312" s="35"/>
      <c r="G312" s="30"/>
      <c r="H312" s="30"/>
      <c r="L312" s="30"/>
      <c r="M312" s="30"/>
      <c r="O312" s="32"/>
      <c r="P312" s="32"/>
    </row>
    <row r="313">
      <c r="B313" s="35"/>
      <c r="G313" s="30"/>
      <c r="H313" s="30"/>
      <c r="L313" s="30"/>
      <c r="M313" s="30"/>
      <c r="O313" s="32"/>
      <c r="P313" s="32"/>
    </row>
    <row r="314">
      <c r="B314" s="35"/>
      <c r="G314" s="30"/>
      <c r="H314" s="30"/>
      <c r="L314" s="30"/>
      <c r="M314" s="30"/>
      <c r="O314" s="32"/>
      <c r="P314" s="32"/>
    </row>
    <row r="315">
      <c r="B315" s="35"/>
      <c r="G315" s="30"/>
      <c r="H315" s="30"/>
      <c r="L315" s="30"/>
      <c r="M315" s="30"/>
      <c r="O315" s="32"/>
      <c r="P315" s="32"/>
    </row>
    <row r="316">
      <c r="B316" s="35"/>
      <c r="G316" s="30"/>
      <c r="H316" s="30"/>
      <c r="L316" s="30"/>
      <c r="M316" s="30"/>
      <c r="O316" s="32"/>
      <c r="P316" s="32"/>
    </row>
    <row r="317">
      <c r="B317" s="35"/>
      <c r="G317" s="30"/>
      <c r="H317" s="30"/>
      <c r="L317" s="30"/>
      <c r="M317" s="30"/>
      <c r="O317" s="32"/>
      <c r="P317" s="32"/>
    </row>
    <row r="318">
      <c r="B318" s="35"/>
      <c r="G318" s="30"/>
      <c r="H318" s="30"/>
      <c r="L318" s="30"/>
      <c r="M318" s="30"/>
      <c r="O318" s="32"/>
      <c r="P318" s="32"/>
    </row>
    <row r="319">
      <c r="B319" s="35"/>
      <c r="G319" s="30"/>
      <c r="H319" s="30"/>
      <c r="L319" s="30"/>
      <c r="M319" s="30"/>
      <c r="O319" s="32"/>
      <c r="P319" s="32"/>
    </row>
    <row r="320">
      <c r="B320" s="35"/>
      <c r="G320" s="30"/>
      <c r="H320" s="30"/>
      <c r="L320" s="30"/>
      <c r="M320" s="30"/>
      <c r="O320" s="32"/>
      <c r="P320" s="32"/>
    </row>
    <row r="321">
      <c r="B321" s="35"/>
      <c r="G321" s="30"/>
      <c r="H321" s="30"/>
      <c r="L321" s="30"/>
      <c r="M321" s="30"/>
      <c r="O321" s="32"/>
      <c r="P321" s="32"/>
    </row>
    <row r="322">
      <c r="B322" s="35"/>
      <c r="G322" s="30"/>
      <c r="H322" s="30"/>
      <c r="L322" s="30"/>
      <c r="M322" s="30"/>
      <c r="O322" s="32"/>
      <c r="P322" s="32"/>
    </row>
    <row r="323">
      <c r="B323" s="35"/>
      <c r="G323" s="30"/>
      <c r="H323" s="30"/>
      <c r="L323" s="30"/>
      <c r="M323" s="30"/>
      <c r="O323" s="32"/>
      <c r="P323" s="32"/>
    </row>
    <row r="324">
      <c r="B324" s="35"/>
      <c r="G324" s="30"/>
      <c r="H324" s="30"/>
      <c r="L324" s="30"/>
      <c r="M324" s="30"/>
      <c r="O324" s="32"/>
      <c r="P324" s="32"/>
    </row>
    <row r="325">
      <c r="B325" s="35"/>
      <c r="G325" s="30"/>
      <c r="H325" s="30"/>
      <c r="L325" s="30"/>
      <c r="M325" s="30"/>
      <c r="O325" s="32"/>
      <c r="P325" s="32"/>
    </row>
    <row r="326">
      <c r="B326" s="35"/>
      <c r="G326" s="30"/>
      <c r="H326" s="30"/>
      <c r="L326" s="30"/>
      <c r="M326" s="30"/>
      <c r="O326" s="32"/>
      <c r="P326" s="32"/>
    </row>
    <row r="327">
      <c r="B327" s="35"/>
      <c r="G327" s="30"/>
      <c r="H327" s="30"/>
      <c r="L327" s="30"/>
      <c r="M327" s="30"/>
      <c r="O327" s="32"/>
      <c r="P327" s="32"/>
    </row>
    <row r="328">
      <c r="B328" s="35"/>
      <c r="G328" s="30"/>
      <c r="H328" s="30"/>
      <c r="L328" s="30"/>
      <c r="M328" s="30"/>
      <c r="O328" s="32"/>
      <c r="P328" s="32"/>
    </row>
    <row r="329">
      <c r="B329" s="35"/>
      <c r="G329" s="30"/>
      <c r="H329" s="30"/>
      <c r="L329" s="30"/>
      <c r="M329" s="30"/>
      <c r="O329" s="32"/>
      <c r="P329" s="32"/>
    </row>
    <row r="330">
      <c r="B330" s="35"/>
      <c r="G330" s="30"/>
      <c r="H330" s="30"/>
      <c r="L330" s="30"/>
      <c r="M330" s="30"/>
      <c r="O330" s="32"/>
      <c r="P330" s="32"/>
    </row>
    <row r="331">
      <c r="B331" s="35"/>
      <c r="G331" s="30"/>
      <c r="H331" s="30"/>
      <c r="L331" s="30"/>
      <c r="M331" s="30"/>
      <c r="O331" s="32"/>
      <c r="P331" s="32"/>
    </row>
    <row r="332">
      <c r="B332" s="35"/>
      <c r="G332" s="30"/>
      <c r="H332" s="30"/>
      <c r="L332" s="30"/>
      <c r="M332" s="30"/>
      <c r="O332" s="32"/>
      <c r="P332" s="32"/>
    </row>
    <row r="333">
      <c r="B333" s="35"/>
      <c r="G333" s="30"/>
      <c r="H333" s="30"/>
      <c r="L333" s="30"/>
      <c r="M333" s="30"/>
      <c r="O333" s="32"/>
      <c r="P333" s="32"/>
    </row>
    <row r="334">
      <c r="B334" s="35"/>
      <c r="G334" s="30"/>
      <c r="H334" s="30"/>
      <c r="L334" s="30"/>
      <c r="M334" s="30"/>
      <c r="O334" s="32"/>
      <c r="P334" s="32"/>
    </row>
    <row r="335">
      <c r="B335" s="35"/>
      <c r="G335" s="30"/>
      <c r="H335" s="30"/>
      <c r="L335" s="30"/>
      <c r="M335" s="30"/>
      <c r="O335" s="32"/>
      <c r="P335" s="32"/>
    </row>
    <row r="336">
      <c r="B336" s="35"/>
      <c r="G336" s="30"/>
      <c r="H336" s="30"/>
      <c r="L336" s="30"/>
      <c r="M336" s="30"/>
      <c r="O336" s="32"/>
      <c r="P336" s="32"/>
    </row>
    <row r="337">
      <c r="B337" s="35"/>
      <c r="G337" s="30"/>
      <c r="H337" s="30"/>
      <c r="L337" s="30"/>
      <c r="M337" s="30"/>
      <c r="O337" s="32"/>
      <c r="P337" s="32"/>
    </row>
    <row r="338">
      <c r="B338" s="35"/>
      <c r="G338" s="30"/>
      <c r="H338" s="30"/>
      <c r="L338" s="30"/>
      <c r="M338" s="30"/>
      <c r="O338" s="32"/>
      <c r="P338" s="32"/>
    </row>
    <row r="339">
      <c r="B339" s="35"/>
      <c r="G339" s="30"/>
      <c r="H339" s="30"/>
      <c r="L339" s="30"/>
      <c r="M339" s="30"/>
      <c r="O339" s="32"/>
      <c r="P339" s="32"/>
    </row>
    <row r="340">
      <c r="B340" s="35"/>
      <c r="G340" s="30"/>
      <c r="H340" s="30"/>
      <c r="L340" s="30"/>
      <c r="M340" s="30"/>
      <c r="O340" s="32"/>
      <c r="P340" s="32"/>
    </row>
    <row r="341">
      <c r="B341" s="35"/>
      <c r="G341" s="30"/>
      <c r="H341" s="30"/>
      <c r="L341" s="30"/>
      <c r="M341" s="30"/>
      <c r="O341" s="32"/>
      <c r="P341" s="32"/>
    </row>
    <row r="342">
      <c r="B342" s="35"/>
      <c r="G342" s="30"/>
      <c r="H342" s="30"/>
      <c r="L342" s="30"/>
      <c r="M342" s="30"/>
      <c r="O342" s="32"/>
      <c r="P342" s="32"/>
    </row>
    <row r="343">
      <c r="B343" s="35"/>
      <c r="G343" s="30"/>
      <c r="H343" s="30"/>
      <c r="L343" s="30"/>
      <c r="M343" s="30"/>
      <c r="O343" s="32"/>
      <c r="P343" s="32"/>
    </row>
    <row r="344">
      <c r="B344" s="35"/>
      <c r="G344" s="30"/>
      <c r="H344" s="30"/>
      <c r="L344" s="30"/>
      <c r="M344" s="30"/>
      <c r="O344" s="32"/>
      <c r="P344" s="32"/>
    </row>
    <row r="345">
      <c r="B345" s="35"/>
      <c r="G345" s="30"/>
      <c r="H345" s="30"/>
      <c r="L345" s="30"/>
      <c r="M345" s="30"/>
      <c r="O345" s="32"/>
      <c r="P345" s="32"/>
    </row>
    <row r="346">
      <c r="B346" s="35"/>
      <c r="G346" s="30"/>
      <c r="H346" s="30"/>
      <c r="L346" s="30"/>
      <c r="M346" s="30"/>
      <c r="O346" s="32"/>
      <c r="P346" s="32"/>
    </row>
    <row r="347">
      <c r="B347" s="35"/>
      <c r="G347" s="30"/>
      <c r="H347" s="30"/>
      <c r="L347" s="30"/>
      <c r="M347" s="30"/>
      <c r="O347" s="32"/>
      <c r="P347" s="32"/>
    </row>
    <row r="348">
      <c r="B348" s="35"/>
      <c r="G348" s="30"/>
      <c r="H348" s="30"/>
      <c r="L348" s="30"/>
      <c r="M348" s="30"/>
      <c r="O348" s="32"/>
      <c r="P348" s="32"/>
    </row>
    <row r="349">
      <c r="B349" s="35"/>
      <c r="G349" s="30"/>
      <c r="H349" s="30"/>
      <c r="L349" s="30"/>
      <c r="M349" s="30"/>
      <c r="O349" s="32"/>
      <c r="P349" s="32"/>
    </row>
    <row r="350">
      <c r="B350" s="35"/>
      <c r="G350" s="30"/>
      <c r="H350" s="30"/>
      <c r="L350" s="30"/>
      <c r="M350" s="30"/>
      <c r="O350" s="32"/>
      <c r="P350" s="32"/>
    </row>
    <row r="351">
      <c r="B351" s="35"/>
      <c r="G351" s="30"/>
      <c r="H351" s="30"/>
      <c r="L351" s="30"/>
      <c r="M351" s="30"/>
      <c r="O351" s="32"/>
      <c r="P351" s="32"/>
    </row>
    <row r="352">
      <c r="B352" s="35"/>
      <c r="G352" s="30"/>
      <c r="H352" s="30"/>
      <c r="L352" s="30"/>
      <c r="M352" s="30"/>
      <c r="O352" s="32"/>
      <c r="P352" s="32"/>
    </row>
    <row r="353">
      <c r="B353" s="35"/>
      <c r="G353" s="30"/>
      <c r="H353" s="30"/>
      <c r="L353" s="30"/>
      <c r="M353" s="30"/>
      <c r="O353" s="32"/>
      <c r="P353" s="32"/>
    </row>
    <row r="354">
      <c r="B354" s="35"/>
      <c r="G354" s="30"/>
      <c r="H354" s="30"/>
      <c r="L354" s="30"/>
      <c r="M354" s="30"/>
      <c r="O354" s="32"/>
      <c r="P354" s="32"/>
    </row>
    <row r="355">
      <c r="B355" s="35"/>
      <c r="G355" s="30"/>
      <c r="H355" s="30"/>
      <c r="L355" s="30"/>
      <c r="M355" s="30"/>
      <c r="O355" s="32"/>
      <c r="P355" s="32"/>
    </row>
    <row r="356">
      <c r="B356" s="35"/>
      <c r="G356" s="30"/>
      <c r="H356" s="30"/>
      <c r="L356" s="30"/>
      <c r="M356" s="30"/>
      <c r="O356" s="32"/>
      <c r="P356" s="32"/>
    </row>
    <row r="357">
      <c r="B357" s="35"/>
      <c r="G357" s="30"/>
      <c r="H357" s="30"/>
      <c r="L357" s="30"/>
      <c r="M357" s="30"/>
      <c r="O357" s="32"/>
      <c r="P357" s="32"/>
    </row>
    <row r="358">
      <c r="B358" s="35"/>
      <c r="G358" s="30"/>
      <c r="H358" s="30"/>
      <c r="L358" s="30"/>
      <c r="M358" s="30"/>
      <c r="O358" s="32"/>
      <c r="P358" s="32"/>
    </row>
    <row r="359">
      <c r="B359" s="35"/>
      <c r="G359" s="30"/>
      <c r="H359" s="30"/>
      <c r="L359" s="30"/>
      <c r="M359" s="30"/>
      <c r="O359" s="32"/>
      <c r="P359" s="32"/>
    </row>
    <row r="360">
      <c r="B360" s="35"/>
      <c r="G360" s="30"/>
      <c r="H360" s="30"/>
      <c r="L360" s="30"/>
      <c r="M360" s="30"/>
      <c r="O360" s="32"/>
      <c r="P360" s="32"/>
    </row>
    <row r="361">
      <c r="B361" s="35"/>
      <c r="G361" s="30"/>
      <c r="H361" s="30"/>
      <c r="L361" s="30"/>
      <c r="M361" s="30"/>
      <c r="O361" s="32"/>
      <c r="P361" s="32"/>
    </row>
    <row r="362">
      <c r="B362" s="35"/>
      <c r="G362" s="30"/>
      <c r="H362" s="30"/>
      <c r="L362" s="30"/>
      <c r="M362" s="30"/>
      <c r="O362" s="32"/>
      <c r="P362" s="32"/>
    </row>
    <row r="363">
      <c r="B363" s="35"/>
      <c r="G363" s="30"/>
      <c r="H363" s="30"/>
      <c r="L363" s="30"/>
      <c r="M363" s="30"/>
      <c r="O363" s="32"/>
      <c r="P363" s="32"/>
    </row>
    <row r="364">
      <c r="B364" s="35"/>
      <c r="G364" s="30"/>
      <c r="H364" s="30"/>
      <c r="L364" s="30"/>
      <c r="M364" s="30"/>
      <c r="O364" s="32"/>
      <c r="P364" s="32"/>
    </row>
    <row r="365">
      <c r="B365" s="35"/>
      <c r="G365" s="30"/>
      <c r="H365" s="30"/>
      <c r="L365" s="30"/>
      <c r="M365" s="30"/>
      <c r="O365" s="32"/>
      <c r="P365" s="32"/>
    </row>
    <row r="366">
      <c r="B366" s="35"/>
      <c r="G366" s="30"/>
      <c r="H366" s="30"/>
      <c r="L366" s="30"/>
      <c r="M366" s="30"/>
      <c r="O366" s="32"/>
      <c r="P366" s="32"/>
    </row>
    <row r="367">
      <c r="B367" s="35"/>
      <c r="G367" s="30"/>
      <c r="H367" s="30"/>
      <c r="L367" s="30"/>
      <c r="M367" s="30"/>
      <c r="O367" s="32"/>
      <c r="P367" s="32"/>
    </row>
    <row r="368">
      <c r="B368" s="35"/>
      <c r="G368" s="30"/>
      <c r="H368" s="30"/>
      <c r="L368" s="30"/>
      <c r="M368" s="30"/>
      <c r="O368" s="32"/>
      <c r="P368" s="32"/>
    </row>
    <row r="369">
      <c r="B369" s="35"/>
      <c r="G369" s="30"/>
      <c r="H369" s="30"/>
      <c r="L369" s="30"/>
      <c r="M369" s="30"/>
      <c r="O369" s="32"/>
      <c r="P369" s="32"/>
    </row>
    <row r="370">
      <c r="B370" s="35"/>
      <c r="G370" s="30"/>
      <c r="H370" s="30"/>
      <c r="L370" s="30"/>
      <c r="M370" s="30"/>
      <c r="O370" s="32"/>
      <c r="P370" s="32"/>
    </row>
    <row r="371">
      <c r="B371" s="35"/>
      <c r="G371" s="30"/>
      <c r="H371" s="30"/>
      <c r="L371" s="30"/>
      <c r="M371" s="30"/>
      <c r="O371" s="32"/>
      <c r="P371" s="32"/>
    </row>
    <row r="372">
      <c r="B372" s="35"/>
      <c r="G372" s="30"/>
      <c r="H372" s="30"/>
      <c r="L372" s="30"/>
      <c r="M372" s="30"/>
      <c r="O372" s="32"/>
      <c r="P372" s="32"/>
    </row>
    <row r="373">
      <c r="B373" s="35"/>
      <c r="G373" s="30"/>
      <c r="H373" s="30"/>
      <c r="L373" s="30"/>
      <c r="M373" s="30"/>
      <c r="O373" s="32"/>
      <c r="P373" s="32"/>
    </row>
    <row r="374">
      <c r="B374" s="35"/>
      <c r="G374" s="30"/>
      <c r="H374" s="30"/>
      <c r="L374" s="30"/>
      <c r="M374" s="30"/>
      <c r="O374" s="32"/>
      <c r="P374" s="32"/>
    </row>
    <row r="375">
      <c r="B375" s="35"/>
      <c r="G375" s="30"/>
      <c r="H375" s="30"/>
      <c r="L375" s="30"/>
      <c r="M375" s="30"/>
      <c r="O375" s="32"/>
      <c r="P375" s="32"/>
    </row>
    <row r="376">
      <c r="B376" s="35"/>
      <c r="G376" s="30"/>
      <c r="H376" s="30"/>
      <c r="L376" s="30"/>
      <c r="M376" s="30"/>
      <c r="O376" s="32"/>
      <c r="P376" s="32"/>
    </row>
    <row r="377">
      <c r="B377" s="35"/>
      <c r="G377" s="30"/>
      <c r="H377" s="30"/>
      <c r="L377" s="30"/>
      <c r="M377" s="30"/>
      <c r="O377" s="32"/>
      <c r="P377" s="32"/>
    </row>
    <row r="378">
      <c r="B378" s="35"/>
      <c r="G378" s="30"/>
      <c r="H378" s="30"/>
      <c r="L378" s="30"/>
      <c r="M378" s="30"/>
      <c r="O378" s="32"/>
      <c r="P378" s="32"/>
    </row>
    <row r="379">
      <c r="B379" s="35"/>
      <c r="G379" s="30"/>
      <c r="H379" s="30"/>
      <c r="L379" s="30"/>
      <c r="M379" s="30"/>
      <c r="O379" s="32"/>
      <c r="P379" s="32"/>
    </row>
    <row r="380">
      <c r="B380" s="35"/>
      <c r="G380" s="30"/>
      <c r="H380" s="30"/>
      <c r="L380" s="30"/>
      <c r="M380" s="30"/>
      <c r="O380" s="32"/>
      <c r="P380" s="32"/>
    </row>
    <row r="381">
      <c r="B381" s="35"/>
      <c r="G381" s="30"/>
      <c r="H381" s="30"/>
      <c r="L381" s="30"/>
      <c r="M381" s="30"/>
      <c r="O381" s="32"/>
      <c r="P381" s="32"/>
    </row>
    <row r="382">
      <c r="B382" s="35"/>
      <c r="G382" s="30"/>
      <c r="H382" s="30"/>
      <c r="L382" s="30"/>
      <c r="M382" s="30"/>
      <c r="O382" s="32"/>
      <c r="P382" s="32"/>
    </row>
    <row r="383">
      <c r="B383" s="35"/>
      <c r="G383" s="30"/>
      <c r="H383" s="30"/>
      <c r="L383" s="30"/>
      <c r="M383" s="30"/>
      <c r="O383" s="32"/>
      <c r="P383" s="32"/>
    </row>
    <row r="384">
      <c r="B384" s="35"/>
      <c r="G384" s="30"/>
      <c r="H384" s="30"/>
      <c r="L384" s="30"/>
      <c r="M384" s="30"/>
      <c r="O384" s="32"/>
      <c r="P384" s="32"/>
    </row>
    <row r="385">
      <c r="B385" s="35"/>
      <c r="G385" s="30"/>
      <c r="H385" s="30"/>
      <c r="L385" s="30"/>
      <c r="M385" s="30"/>
      <c r="O385" s="32"/>
      <c r="P385" s="32"/>
    </row>
    <row r="386">
      <c r="B386" s="35"/>
      <c r="G386" s="30"/>
      <c r="H386" s="30"/>
      <c r="L386" s="30"/>
      <c r="M386" s="30"/>
      <c r="O386" s="32"/>
      <c r="P386" s="32"/>
    </row>
    <row r="387">
      <c r="B387" s="35"/>
      <c r="G387" s="30"/>
      <c r="H387" s="30"/>
      <c r="L387" s="30"/>
      <c r="M387" s="30"/>
      <c r="O387" s="32"/>
      <c r="P387" s="32"/>
    </row>
    <row r="388">
      <c r="B388" s="35"/>
      <c r="G388" s="30"/>
      <c r="H388" s="30"/>
      <c r="L388" s="30"/>
      <c r="M388" s="30"/>
      <c r="O388" s="32"/>
      <c r="P388" s="32"/>
    </row>
    <row r="389">
      <c r="B389" s="35"/>
      <c r="G389" s="30"/>
      <c r="H389" s="30"/>
      <c r="L389" s="30"/>
      <c r="M389" s="30"/>
      <c r="O389" s="32"/>
      <c r="P389" s="32"/>
    </row>
    <row r="390">
      <c r="B390" s="35"/>
      <c r="G390" s="30"/>
      <c r="H390" s="30"/>
      <c r="L390" s="30"/>
      <c r="M390" s="30"/>
      <c r="O390" s="32"/>
      <c r="P390" s="32"/>
    </row>
    <row r="391">
      <c r="B391" s="35"/>
      <c r="G391" s="30"/>
      <c r="H391" s="30"/>
      <c r="L391" s="30"/>
      <c r="M391" s="30"/>
      <c r="O391" s="32"/>
      <c r="P391" s="32"/>
    </row>
    <row r="392">
      <c r="B392" s="35"/>
      <c r="G392" s="30"/>
      <c r="H392" s="30"/>
      <c r="L392" s="30"/>
      <c r="M392" s="30"/>
      <c r="O392" s="32"/>
      <c r="P392" s="32"/>
    </row>
    <row r="393">
      <c r="B393" s="35"/>
      <c r="G393" s="30"/>
      <c r="H393" s="30"/>
      <c r="L393" s="30"/>
      <c r="M393" s="30"/>
      <c r="O393" s="32"/>
      <c r="P393" s="32"/>
    </row>
    <row r="394">
      <c r="B394" s="35"/>
      <c r="G394" s="30"/>
      <c r="H394" s="30"/>
      <c r="L394" s="30"/>
      <c r="M394" s="30"/>
      <c r="O394" s="32"/>
      <c r="P394" s="32"/>
    </row>
    <row r="395">
      <c r="B395" s="35"/>
      <c r="G395" s="30"/>
      <c r="H395" s="30"/>
      <c r="L395" s="30"/>
      <c r="M395" s="30"/>
      <c r="O395" s="32"/>
      <c r="P395" s="32"/>
    </row>
    <row r="396">
      <c r="B396" s="35"/>
      <c r="G396" s="30"/>
      <c r="H396" s="30"/>
      <c r="L396" s="30"/>
      <c r="M396" s="30"/>
      <c r="O396" s="32"/>
      <c r="P396" s="32"/>
    </row>
    <row r="397">
      <c r="B397" s="35"/>
      <c r="G397" s="30"/>
      <c r="H397" s="30"/>
      <c r="L397" s="30"/>
      <c r="M397" s="30"/>
      <c r="O397" s="32"/>
      <c r="P397" s="32"/>
    </row>
    <row r="398">
      <c r="B398" s="35"/>
      <c r="G398" s="30"/>
      <c r="H398" s="30"/>
      <c r="L398" s="30"/>
      <c r="M398" s="30"/>
      <c r="O398" s="32"/>
      <c r="P398" s="32"/>
    </row>
    <row r="399">
      <c r="B399" s="35"/>
      <c r="G399" s="30"/>
      <c r="H399" s="30"/>
      <c r="L399" s="30"/>
      <c r="M399" s="30"/>
      <c r="O399" s="32"/>
      <c r="P399" s="32"/>
    </row>
    <row r="400">
      <c r="B400" s="35"/>
      <c r="G400" s="30"/>
      <c r="H400" s="30"/>
      <c r="L400" s="30"/>
      <c r="M400" s="30"/>
      <c r="O400" s="32"/>
      <c r="P400" s="32"/>
    </row>
    <row r="401">
      <c r="B401" s="35"/>
      <c r="G401" s="30"/>
      <c r="H401" s="30"/>
      <c r="L401" s="30"/>
      <c r="M401" s="30"/>
      <c r="O401" s="32"/>
      <c r="P401" s="32"/>
    </row>
    <row r="402">
      <c r="B402" s="35"/>
      <c r="G402" s="30"/>
      <c r="H402" s="30"/>
      <c r="L402" s="30"/>
      <c r="M402" s="30"/>
      <c r="O402" s="32"/>
      <c r="P402" s="32"/>
    </row>
    <row r="403">
      <c r="B403" s="35"/>
      <c r="G403" s="30"/>
      <c r="H403" s="30"/>
      <c r="L403" s="30"/>
      <c r="M403" s="30"/>
      <c r="O403" s="32"/>
      <c r="P403" s="32"/>
    </row>
    <row r="404">
      <c r="B404" s="35"/>
      <c r="G404" s="30"/>
      <c r="H404" s="30"/>
      <c r="L404" s="30"/>
      <c r="M404" s="30"/>
      <c r="O404" s="32"/>
      <c r="P404" s="32"/>
    </row>
    <row r="405">
      <c r="B405" s="35"/>
      <c r="G405" s="30"/>
      <c r="H405" s="30"/>
      <c r="L405" s="30"/>
      <c r="M405" s="30"/>
      <c r="O405" s="32"/>
      <c r="P405" s="32"/>
    </row>
    <row r="406">
      <c r="B406" s="35"/>
      <c r="G406" s="30"/>
      <c r="H406" s="30"/>
      <c r="L406" s="30"/>
      <c r="M406" s="30"/>
      <c r="O406" s="32"/>
      <c r="P406" s="32"/>
    </row>
    <row r="407">
      <c r="B407" s="35"/>
      <c r="G407" s="30"/>
      <c r="H407" s="30"/>
      <c r="L407" s="30"/>
      <c r="M407" s="30"/>
      <c r="O407" s="32"/>
      <c r="P407" s="32"/>
    </row>
    <row r="408">
      <c r="B408" s="35"/>
      <c r="G408" s="30"/>
      <c r="H408" s="30"/>
      <c r="L408" s="30"/>
      <c r="M408" s="30"/>
      <c r="O408" s="32"/>
      <c r="P408" s="32"/>
    </row>
    <row r="409">
      <c r="B409" s="35"/>
      <c r="G409" s="30"/>
      <c r="H409" s="30"/>
      <c r="L409" s="30"/>
      <c r="M409" s="30"/>
      <c r="O409" s="32"/>
      <c r="P409" s="32"/>
    </row>
    <row r="410">
      <c r="B410" s="35"/>
      <c r="G410" s="30"/>
      <c r="H410" s="30"/>
      <c r="L410" s="30"/>
      <c r="M410" s="30"/>
      <c r="O410" s="32"/>
      <c r="P410" s="32"/>
    </row>
    <row r="411">
      <c r="B411" s="35"/>
      <c r="G411" s="30"/>
      <c r="H411" s="30"/>
      <c r="L411" s="30"/>
      <c r="M411" s="30"/>
      <c r="O411" s="32"/>
      <c r="P411" s="32"/>
    </row>
    <row r="412">
      <c r="B412" s="35"/>
      <c r="G412" s="30"/>
      <c r="H412" s="30"/>
      <c r="L412" s="30"/>
      <c r="M412" s="30"/>
      <c r="O412" s="32"/>
      <c r="P412" s="32"/>
    </row>
    <row r="413">
      <c r="B413" s="35"/>
      <c r="G413" s="30"/>
      <c r="H413" s="30"/>
      <c r="L413" s="30"/>
      <c r="M413" s="30"/>
      <c r="O413" s="32"/>
      <c r="P413" s="32"/>
    </row>
    <row r="414">
      <c r="B414" s="35"/>
      <c r="G414" s="30"/>
      <c r="H414" s="30"/>
      <c r="L414" s="30"/>
      <c r="M414" s="30"/>
      <c r="O414" s="32"/>
      <c r="P414" s="32"/>
    </row>
    <row r="415">
      <c r="B415" s="35"/>
      <c r="G415" s="30"/>
      <c r="H415" s="30"/>
      <c r="L415" s="30"/>
      <c r="M415" s="30"/>
      <c r="O415" s="32"/>
      <c r="P415" s="32"/>
    </row>
    <row r="416">
      <c r="B416" s="35"/>
      <c r="G416" s="30"/>
      <c r="H416" s="30"/>
      <c r="L416" s="30"/>
      <c r="M416" s="30"/>
      <c r="O416" s="32"/>
      <c r="P416" s="32"/>
    </row>
    <row r="417">
      <c r="B417" s="35"/>
      <c r="G417" s="30"/>
      <c r="H417" s="30"/>
      <c r="L417" s="30"/>
      <c r="M417" s="30"/>
      <c r="O417" s="32"/>
      <c r="P417" s="32"/>
    </row>
    <row r="418">
      <c r="B418" s="35"/>
      <c r="G418" s="30"/>
      <c r="H418" s="30"/>
      <c r="L418" s="30"/>
      <c r="M418" s="30"/>
      <c r="O418" s="32"/>
      <c r="P418" s="32"/>
    </row>
    <row r="419">
      <c r="B419" s="35"/>
      <c r="G419" s="30"/>
      <c r="H419" s="30"/>
      <c r="L419" s="30"/>
      <c r="M419" s="30"/>
      <c r="O419" s="32"/>
      <c r="P419" s="32"/>
    </row>
    <row r="420">
      <c r="B420" s="35"/>
      <c r="G420" s="30"/>
      <c r="H420" s="30"/>
      <c r="L420" s="30"/>
      <c r="M420" s="30"/>
      <c r="O420" s="32"/>
      <c r="P420" s="32"/>
    </row>
    <row r="421">
      <c r="B421" s="35"/>
      <c r="G421" s="30"/>
      <c r="H421" s="30"/>
      <c r="L421" s="30"/>
      <c r="M421" s="30"/>
      <c r="O421" s="32"/>
      <c r="P421" s="32"/>
    </row>
    <row r="422">
      <c r="B422" s="35"/>
      <c r="G422" s="30"/>
      <c r="H422" s="30"/>
      <c r="L422" s="30"/>
      <c r="M422" s="30"/>
      <c r="O422" s="32"/>
      <c r="P422" s="32"/>
    </row>
    <row r="423">
      <c r="B423" s="35"/>
      <c r="G423" s="30"/>
      <c r="H423" s="30"/>
      <c r="L423" s="30"/>
      <c r="M423" s="30"/>
      <c r="O423" s="32"/>
      <c r="P423" s="32"/>
    </row>
    <row r="424">
      <c r="B424" s="35"/>
      <c r="G424" s="30"/>
      <c r="H424" s="30"/>
      <c r="L424" s="30"/>
      <c r="M424" s="30"/>
      <c r="O424" s="32"/>
      <c r="P424" s="32"/>
    </row>
    <row r="425">
      <c r="B425" s="35"/>
      <c r="G425" s="30"/>
      <c r="H425" s="30"/>
      <c r="L425" s="30"/>
      <c r="M425" s="30"/>
      <c r="O425" s="32"/>
      <c r="P425" s="32"/>
    </row>
    <row r="426">
      <c r="B426" s="35"/>
      <c r="G426" s="30"/>
      <c r="H426" s="30"/>
      <c r="L426" s="30"/>
      <c r="M426" s="30"/>
      <c r="O426" s="32"/>
      <c r="P426" s="32"/>
    </row>
    <row r="427">
      <c r="B427" s="35"/>
      <c r="G427" s="30"/>
      <c r="H427" s="30"/>
      <c r="L427" s="30"/>
      <c r="M427" s="30"/>
      <c r="O427" s="32"/>
      <c r="P427" s="32"/>
    </row>
    <row r="428">
      <c r="B428" s="35"/>
      <c r="G428" s="30"/>
      <c r="H428" s="30"/>
      <c r="L428" s="30"/>
      <c r="M428" s="30"/>
      <c r="O428" s="32"/>
      <c r="P428" s="32"/>
    </row>
    <row r="429">
      <c r="B429" s="35"/>
      <c r="G429" s="30"/>
      <c r="H429" s="30"/>
      <c r="L429" s="30"/>
      <c r="M429" s="30"/>
      <c r="O429" s="32"/>
      <c r="P429" s="32"/>
    </row>
    <row r="430">
      <c r="B430" s="35"/>
      <c r="G430" s="30"/>
      <c r="H430" s="30"/>
      <c r="L430" s="30"/>
      <c r="M430" s="30"/>
      <c r="O430" s="32"/>
      <c r="P430" s="32"/>
    </row>
    <row r="431">
      <c r="B431" s="35"/>
      <c r="G431" s="30"/>
      <c r="H431" s="30"/>
      <c r="L431" s="30"/>
      <c r="M431" s="30"/>
      <c r="O431" s="32"/>
      <c r="P431" s="32"/>
    </row>
    <row r="432">
      <c r="B432" s="35"/>
      <c r="G432" s="30"/>
      <c r="H432" s="30"/>
      <c r="L432" s="30"/>
      <c r="M432" s="30"/>
      <c r="O432" s="32"/>
      <c r="P432" s="32"/>
    </row>
    <row r="433">
      <c r="B433" s="35"/>
      <c r="G433" s="30"/>
      <c r="H433" s="30"/>
      <c r="L433" s="30"/>
      <c r="M433" s="30"/>
      <c r="O433" s="32"/>
      <c r="P433" s="32"/>
    </row>
    <row r="434">
      <c r="B434" s="35"/>
      <c r="G434" s="30"/>
      <c r="H434" s="30"/>
      <c r="L434" s="30"/>
      <c r="M434" s="30"/>
      <c r="O434" s="32"/>
      <c r="P434" s="32"/>
    </row>
    <row r="435">
      <c r="B435" s="35"/>
      <c r="G435" s="30"/>
      <c r="H435" s="30"/>
      <c r="L435" s="30"/>
      <c r="M435" s="30"/>
      <c r="O435" s="32"/>
      <c r="P435" s="32"/>
    </row>
    <row r="436">
      <c r="B436" s="35"/>
      <c r="G436" s="30"/>
      <c r="H436" s="30"/>
      <c r="L436" s="30"/>
      <c r="M436" s="30"/>
      <c r="O436" s="32"/>
      <c r="P436" s="32"/>
    </row>
    <row r="437">
      <c r="B437" s="35"/>
      <c r="G437" s="30"/>
      <c r="H437" s="30"/>
      <c r="L437" s="30"/>
      <c r="M437" s="30"/>
      <c r="O437" s="32"/>
      <c r="P437" s="32"/>
    </row>
    <row r="438">
      <c r="B438" s="35"/>
      <c r="G438" s="30"/>
      <c r="H438" s="30"/>
      <c r="L438" s="30"/>
      <c r="M438" s="30"/>
      <c r="O438" s="32"/>
      <c r="P438" s="32"/>
    </row>
    <row r="439">
      <c r="B439" s="35"/>
      <c r="G439" s="30"/>
      <c r="H439" s="30"/>
      <c r="L439" s="30"/>
      <c r="M439" s="30"/>
      <c r="O439" s="32"/>
      <c r="P439" s="32"/>
    </row>
    <row r="440">
      <c r="B440" s="35"/>
      <c r="G440" s="30"/>
      <c r="H440" s="30"/>
      <c r="L440" s="30"/>
      <c r="M440" s="30"/>
      <c r="O440" s="32"/>
      <c r="P440" s="32"/>
    </row>
    <row r="441">
      <c r="B441" s="35"/>
      <c r="G441" s="30"/>
      <c r="H441" s="30"/>
      <c r="L441" s="30"/>
      <c r="M441" s="30"/>
      <c r="O441" s="32"/>
      <c r="P441" s="32"/>
    </row>
    <row r="442">
      <c r="B442" s="35"/>
      <c r="G442" s="30"/>
      <c r="H442" s="30"/>
      <c r="L442" s="30"/>
      <c r="M442" s="30"/>
      <c r="O442" s="32"/>
      <c r="P442" s="32"/>
    </row>
    <row r="443">
      <c r="B443" s="35"/>
      <c r="G443" s="30"/>
      <c r="H443" s="30"/>
      <c r="L443" s="30"/>
      <c r="M443" s="30"/>
      <c r="O443" s="32"/>
      <c r="P443" s="32"/>
    </row>
    <row r="444">
      <c r="B444" s="35"/>
      <c r="G444" s="30"/>
      <c r="H444" s="30"/>
      <c r="L444" s="30"/>
      <c r="M444" s="30"/>
      <c r="O444" s="32"/>
      <c r="P444" s="32"/>
    </row>
    <row r="445">
      <c r="B445" s="35"/>
      <c r="G445" s="30"/>
      <c r="H445" s="30"/>
      <c r="L445" s="30"/>
      <c r="M445" s="30"/>
      <c r="O445" s="32"/>
      <c r="P445" s="32"/>
    </row>
    <row r="446">
      <c r="B446" s="35"/>
      <c r="G446" s="30"/>
      <c r="H446" s="30"/>
      <c r="L446" s="30"/>
      <c r="M446" s="30"/>
      <c r="O446" s="32"/>
      <c r="P446" s="32"/>
    </row>
    <row r="447">
      <c r="B447" s="35"/>
      <c r="G447" s="30"/>
      <c r="H447" s="30"/>
      <c r="L447" s="30"/>
      <c r="M447" s="30"/>
      <c r="O447" s="32"/>
      <c r="P447" s="32"/>
    </row>
    <row r="448">
      <c r="B448" s="35"/>
      <c r="G448" s="30"/>
      <c r="H448" s="30"/>
      <c r="L448" s="30"/>
      <c r="M448" s="30"/>
      <c r="O448" s="32"/>
      <c r="P448" s="32"/>
    </row>
    <row r="449">
      <c r="B449" s="35"/>
      <c r="G449" s="30"/>
      <c r="H449" s="30"/>
      <c r="L449" s="30"/>
      <c r="M449" s="30"/>
      <c r="O449" s="32"/>
      <c r="P449" s="32"/>
    </row>
    <row r="450">
      <c r="B450" s="35"/>
      <c r="G450" s="30"/>
      <c r="H450" s="30"/>
      <c r="L450" s="30"/>
      <c r="M450" s="30"/>
      <c r="O450" s="32"/>
      <c r="P450" s="32"/>
    </row>
    <row r="451">
      <c r="B451" s="35"/>
      <c r="G451" s="30"/>
      <c r="H451" s="30"/>
      <c r="L451" s="30"/>
      <c r="M451" s="30"/>
      <c r="O451" s="32"/>
      <c r="P451" s="32"/>
    </row>
    <row r="452">
      <c r="B452" s="35"/>
      <c r="G452" s="30"/>
      <c r="H452" s="30"/>
      <c r="L452" s="30"/>
      <c r="M452" s="30"/>
      <c r="O452" s="32"/>
      <c r="P452" s="32"/>
    </row>
    <row r="453">
      <c r="B453" s="35"/>
      <c r="G453" s="30"/>
      <c r="H453" s="30"/>
      <c r="L453" s="30"/>
      <c r="M453" s="30"/>
      <c r="O453" s="32"/>
      <c r="P453" s="32"/>
    </row>
    <row r="454">
      <c r="B454" s="35"/>
      <c r="G454" s="30"/>
      <c r="H454" s="30"/>
      <c r="L454" s="30"/>
      <c r="M454" s="30"/>
      <c r="O454" s="32"/>
      <c r="P454" s="32"/>
    </row>
    <row r="455">
      <c r="B455" s="35"/>
      <c r="G455" s="30"/>
      <c r="H455" s="30"/>
      <c r="L455" s="30"/>
      <c r="M455" s="30"/>
      <c r="O455" s="32"/>
      <c r="P455" s="32"/>
    </row>
    <row r="456">
      <c r="B456" s="35"/>
      <c r="G456" s="30"/>
      <c r="H456" s="30"/>
      <c r="L456" s="30"/>
      <c r="M456" s="30"/>
      <c r="O456" s="32"/>
      <c r="P456" s="32"/>
    </row>
    <row r="457">
      <c r="B457" s="35"/>
      <c r="G457" s="30"/>
      <c r="H457" s="30"/>
      <c r="L457" s="30"/>
      <c r="M457" s="30"/>
      <c r="O457" s="32"/>
      <c r="P457" s="32"/>
    </row>
    <row r="458">
      <c r="B458" s="35"/>
      <c r="G458" s="30"/>
      <c r="H458" s="30"/>
      <c r="L458" s="30"/>
      <c r="M458" s="30"/>
      <c r="O458" s="32"/>
      <c r="P458" s="32"/>
    </row>
    <row r="459">
      <c r="B459" s="35"/>
      <c r="G459" s="30"/>
      <c r="H459" s="30"/>
      <c r="L459" s="30"/>
      <c r="M459" s="30"/>
      <c r="O459" s="32"/>
      <c r="P459" s="32"/>
    </row>
    <row r="460">
      <c r="B460" s="35"/>
      <c r="G460" s="30"/>
      <c r="H460" s="30"/>
      <c r="L460" s="30"/>
      <c r="M460" s="30"/>
      <c r="O460" s="32"/>
      <c r="P460" s="32"/>
    </row>
    <row r="461">
      <c r="B461" s="35"/>
      <c r="G461" s="30"/>
      <c r="H461" s="30"/>
      <c r="L461" s="30"/>
      <c r="M461" s="30"/>
      <c r="O461" s="32"/>
      <c r="P461" s="32"/>
    </row>
    <row r="462">
      <c r="B462" s="35"/>
      <c r="G462" s="30"/>
      <c r="H462" s="30"/>
      <c r="L462" s="30"/>
      <c r="M462" s="30"/>
      <c r="O462" s="32"/>
      <c r="P462" s="32"/>
    </row>
    <row r="463">
      <c r="B463" s="35"/>
      <c r="G463" s="30"/>
      <c r="H463" s="30"/>
      <c r="L463" s="30"/>
      <c r="M463" s="30"/>
      <c r="O463" s="32"/>
      <c r="P463" s="32"/>
    </row>
    <row r="464">
      <c r="B464" s="35"/>
      <c r="G464" s="30"/>
      <c r="H464" s="30"/>
      <c r="L464" s="30"/>
      <c r="M464" s="30"/>
      <c r="O464" s="32"/>
      <c r="P464" s="32"/>
    </row>
    <row r="465">
      <c r="B465" s="35"/>
      <c r="G465" s="30"/>
      <c r="H465" s="30"/>
      <c r="L465" s="30"/>
      <c r="M465" s="30"/>
      <c r="O465" s="32"/>
      <c r="P465" s="32"/>
    </row>
    <row r="466">
      <c r="B466" s="35"/>
      <c r="G466" s="30"/>
      <c r="H466" s="30"/>
      <c r="L466" s="30"/>
      <c r="M466" s="30"/>
      <c r="O466" s="32"/>
      <c r="P466" s="32"/>
    </row>
    <row r="467">
      <c r="B467" s="35"/>
      <c r="G467" s="30"/>
      <c r="H467" s="30"/>
      <c r="L467" s="30"/>
      <c r="M467" s="30"/>
      <c r="O467" s="32"/>
      <c r="P467" s="32"/>
    </row>
    <row r="468">
      <c r="B468" s="35"/>
      <c r="G468" s="30"/>
      <c r="H468" s="30"/>
      <c r="L468" s="30"/>
      <c r="M468" s="30"/>
      <c r="O468" s="32"/>
      <c r="P468" s="32"/>
    </row>
    <row r="469">
      <c r="B469" s="35"/>
      <c r="G469" s="30"/>
      <c r="H469" s="30"/>
      <c r="L469" s="30"/>
      <c r="M469" s="30"/>
      <c r="O469" s="32"/>
      <c r="P469" s="32"/>
    </row>
    <row r="470">
      <c r="B470" s="35"/>
      <c r="G470" s="30"/>
      <c r="H470" s="30"/>
      <c r="L470" s="30"/>
      <c r="M470" s="30"/>
      <c r="O470" s="32"/>
      <c r="P470" s="32"/>
    </row>
    <row r="471">
      <c r="B471" s="35"/>
      <c r="G471" s="30"/>
      <c r="H471" s="30"/>
      <c r="L471" s="30"/>
      <c r="M471" s="30"/>
      <c r="O471" s="32"/>
      <c r="P471" s="32"/>
    </row>
    <row r="472">
      <c r="B472" s="35"/>
      <c r="G472" s="30"/>
      <c r="H472" s="30"/>
      <c r="L472" s="30"/>
      <c r="M472" s="30"/>
      <c r="O472" s="32"/>
      <c r="P472" s="32"/>
    </row>
    <row r="473">
      <c r="B473" s="35"/>
      <c r="G473" s="30"/>
      <c r="H473" s="30"/>
      <c r="L473" s="30"/>
      <c r="M473" s="30"/>
      <c r="O473" s="32"/>
      <c r="P473" s="32"/>
    </row>
    <row r="474">
      <c r="B474" s="35"/>
      <c r="G474" s="30"/>
      <c r="H474" s="30"/>
      <c r="L474" s="30"/>
      <c r="M474" s="30"/>
      <c r="O474" s="32"/>
      <c r="P474" s="32"/>
    </row>
    <row r="475">
      <c r="B475" s="35"/>
      <c r="G475" s="30"/>
      <c r="H475" s="30"/>
      <c r="L475" s="30"/>
      <c r="M475" s="30"/>
      <c r="O475" s="32"/>
      <c r="P475" s="32"/>
    </row>
    <row r="476">
      <c r="B476" s="35"/>
      <c r="G476" s="30"/>
      <c r="H476" s="30"/>
      <c r="L476" s="30"/>
      <c r="M476" s="30"/>
      <c r="O476" s="32"/>
      <c r="P476" s="32"/>
    </row>
    <row r="477">
      <c r="B477" s="35"/>
      <c r="G477" s="30"/>
      <c r="H477" s="30"/>
      <c r="L477" s="30"/>
      <c r="M477" s="30"/>
      <c r="O477" s="32"/>
      <c r="P477" s="32"/>
    </row>
    <row r="478">
      <c r="B478" s="35"/>
      <c r="G478" s="30"/>
      <c r="H478" s="30"/>
      <c r="L478" s="30"/>
      <c r="M478" s="30"/>
      <c r="O478" s="32"/>
      <c r="P478" s="32"/>
    </row>
    <row r="479">
      <c r="B479" s="35"/>
      <c r="G479" s="30"/>
      <c r="H479" s="30"/>
      <c r="L479" s="30"/>
      <c r="M479" s="30"/>
      <c r="O479" s="32"/>
      <c r="P479" s="32"/>
    </row>
    <row r="480">
      <c r="B480" s="35"/>
      <c r="G480" s="30"/>
      <c r="H480" s="30"/>
      <c r="L480" s="30"/>
      <c r="M480" s="30"/>
      <c r="O480" s="32"/>
      <c r="P480" s="32"/>
    </row>
    <row r="481">
      <c r="B481" s="35"/>
      <c r="G481" s="30"/>
      <c r="H481" s="30"/>
      <c r="L481" s="30"/>
      <c r="M481" s="30"/>
      <c r="O481" s="32"/>
      <c r="P481" s="32"/>
    </row>
    <row r="482">
      <c r="B482" s="35"/>
      <c r="G482" s="30"/>
      <c r="H482" s="30"/>
      <c r="L482" s="30"/>
      <c r="M482" s="30"/>
      <c r="O482" s="32"/>
      <c r="P482" s="32"/>
    </row>
    <row r="483">
      <c r="B483" s="35"/>
      <c r="G483" s="30"/>
      <c r="H483" s="30"/>
      <c r="L483" s="30"/>
      <c r="M483" s="30"/>
      <c r="O483" s="32"/>
      <c r="P483" s="32"/>
    </row>
    <row r="484">
      <c r="B484" s="35"/>
      <c r="G484" s="30"/>
      <c r="H484" s="30"/>
      <c r="L484" s="30"/>
      <c r="M484" s="30"/>
      <c r="O484" s="32"/>
      <c r="P484" s="32"/>
    </row>
    <row r="485">
      <c r="B485" s="35"/>
      <c r="G485" s="30"/>
      <c r="H485" s="30"/>
      <c r="L485" s="30"/>
      <c r="M485" s="30"/>
      <c r="O485" s="32"/>
      <c r="P485" s="32"/>
    </row>
    <row r="486">
      <c r="B486" s="35"/>
      <c r="G486" s="30"/>
      <c r="H486" s="30"/>
      <c r="L486" s="30"/>
      <c r="M486" s="30"/>
      <c r="O486" s="32"/>
      <c r="P486" s="32"/>
    </row>
    <row r="487">
      <c r="B487" s="35"/>
      <c r="G487" s="30"/>
      <c r="H487" s="30"/>
      <c r="L487" s="30"/>
      <c r="M487" s="30"/>
      <c r="O487" s="32"/>
      <c r="P487" s="32"/>
    </row>
    <row r="488">
      <c r="B488" s="35"/>
      <c r="G488" s="30"/>
      <c r="H488" s="30"/>
      <c r="L488" s="30"/>
      <c r="M488" s="30"/>
      <c r="O488" s="32"/>
      <c r="P488" s="32"/>
    </row>
    <row r="489">
      <c r="B489" s="35"/>
      <c r="G489" s="30"/>
      <c r="H489" s="30"/>
      <c r="L489" s="30"/>
      <c r="M489" s="30"/>
      <c r="O489" s="32"/>
      <c r="P489" s="32"/>
    </row>
    <row r="490">
      <c r="B490" s="35"/>
      <c r="G490" s="30"/>
      <c r="H490" s="30"/>
      <c r="L490" s="30"/>
      <c r="M490" s="30"/>
      <c r="O490" s="32"/>
      <c r="P490" s="32"/>
    </row>
    <row r="491">
      <c r="B491" s="35"/>
      <c r="G491" s="30"/>
      <c r="H491" s="30"/>
      <c r="L491" s="30"/>
      <c r="M491" s="30"/>
      <c r="O491" s="32"/>
      <c r="P491" s="32"/>
    </row>
    <row r="492">
      <c r="B492" s="35"/>
      <c r="G492" s="30"/>
      <c r="H492" s="30"/>
      <c r="L492" s="30"/>
      <c r="M492" s="30"/>
      <c r="O492" s="32"/>
      <c r="P492" s="32"/>
    </row>
    <row r="493">
      <c r="B493" s="35"/>
      <c r="G493" s="30"/>
      <c r="H493" s="30"/>
      <c r="L493" s="30"/>
      <c r="M493" s="30"/>
      <c r="O493" s="32"/>
      <c r="P493" s="32"/>
    </row>
    <row r="494">
      <c r="B494" s="35"/>
      <c r="G494" s="30"/>
      <c r="H494" s="30"/>
      <c r="L494" s="30"/>
      <c r="M494" s="30"/>
      <c r="O494" s="32"/>
      <c r="P494" s="32"/>
    </row>
    <row r="495">
      <c r="B495" s="35"/>
      <c r="G495" s="30"/>
      <c r="H495" s="30"/>
      <c r="L495" s="30"/>
      <c r="M495" s="30"/>
      <c r="O495" s="32"/>
      <c r="P495" s="32"/>
    </row>
    <row r="496">
      <c r="B496" s="35"/>
      <c r="G496" s="30"/>
      <c r="H496" s="30"/>
      <c r="L496" s="30"/>
      <c r="M496" s="30"/>
      <c r="O496" s="32"/>
      <c r="P496" s="32"/>
    </row>
    <row r="497">
      <c r="B497" s="35"/>
      <c r="G497" s="30"/>
      <c r="H497" s="30"/>
      <c r="L497" s="30"/>
      <c r="M497" s="30"/>
      <c r="O497" s="32"/>
      <c r="P497" s="32"/>
    </row>
    <row r="498">
      <c r="B498" s="35"/>
      <c r="G498" s="30"/>
      <c r="H498" s="30"/>
      <c r="L498" s="30"/>
      <c r="M498" s="30"/>
      <c r="O498" s="32"/>
      <c r="P498" s="32"/>
    </row>
    <row r="499">
      <c r="B499" s="35"/>
      <c r="G499" s="30"/>
      <c r="H499" s="30"/>
      <c r="L499" s="30"/>
      <c r="M499" s="30"/>
      <c r="O499" s="32"/>
      <c r="P499" s="32"/>
    </row>
    <row r="500">
      <c r="B500" s="35"/>
      <c r="G500" s="30"/>
      <c r="H500" s="30"/>
      <c r="L500" s="30"/>
      <c r="M500" s="30"/>
      <c r="O500" s="32"/>
      <c r="P500" s="32"/>
    </row>
    <row r="501">
      <c r="B501" s="35"/>
      <c r="G501" s="30"/>
      <c r="H501" s="30"/>
      <c r="L501" s="30"/>
      <c r="M501" s="30"/>
      <c r="O501" s="32"/>
      <c r="P501" s="32"/>
    </row>
    <row r="502">
      <c r="B502" s="35"/>
      <c r="G502" s="30"/>
      <c r="H502" s="30"/>
      <c r="L502" s="30"/>
      <c r="M502" s="30"/>
      <c r="O502" s="32"/>
      <c r="P502" s="32"/>
    </row>
    <row r="503">
      <c r="B503" s="35"/>
      <c r="G503" s="30"/>
      <c r="H503" s="30"/>
      <c r="L503" s="30"/>
      <c r="M503" s="30"/>
      <c r="O503" s="32"/>
      <c r="P503" s="32"/>
    </row>
    <row r="504">
      <c r="B504" s="35"/>
      <c r="G504" s="30"/>
      <c r="H504" s="30"/>
      <c r="L504" s="30"/>
      <c r="M504" s="30"/>
      <c r="O504" s="32"/>
      <c r="P504" s="32"/>
    </row>
    <row r="505">
      <c r="B505" s="35"/>
      <c r="G505" s="30"/>
      <c r="H505" s="30"/>
      <c r="L505" s="30"/>
      <c r="M505" s="30"/>
      <c r="O505" s="32"/>
      <c r="P505" s="32"/>
    </row>
    <row r="506">
      <c r="B506" s="35"/>
      <c r="G506" s="30"/>
      <c r="H506" s="30"/>
      <c r="L506" s="30"/>
      <c r="M506" s="30"/>
      <c r="O506" s="32"/>
      <c r="P506" s="32"/>
    </row>
    <row r="507">
      <c r="B507" s="35"/>
      <c r="G507" s="30"/>
      <c r="H507" s="30"/>
      <c r="L507" s="30"/>
      <c r="M507" s="30"/>
      <c r="O507" s="32"/>
      <c r="P507" s="32"/>
    </row>
    <row r="508">
      <c r="B508" s="35"/>
      <c r="G508" s="30"/>
      <c r="H508" s="30"/>
      <c r="L508" s="30"/>
      <c r="M508" s="30"/>
      <c r="O508" s="32"/>
      <c r="P508" s="32"/>
    </row>
    <row r="509">
      <c r="B509" s="35"/>
      <c r="G509" s="30"/>
      <c r="H509" s="30"/>
      <c r="L509" s="30"/>
      <c r="M509" s="30"/>
      <c r="O509" s="32"/>
      <c r="P509" s="32"/>
    </row>
    <row r="510">
      <c r="B510" s="35"/>
      <c r="G510" s="30"/>
      <c r="H510" s="30"/>
      <c r="L510" s="30"/>
      <c r="M510" s="30"/>
      <c r="O510" s="32"/>
      <c r="P510" s="32"/>
    </row>
    <row r="511">
      <c r="B511" s="35"/>
      <c r="G511" s="30"/>
      <c r="H511" s="30"/>
      <c r="L511" s="30"/>
      <c r="M511" s="30"/>
      <c r="O511" s="32"/>
      <c r="P511" s="32"/>
    </row>
    <row r="512">
      <c r="B512" s="35"/>
      <c r="G512" s="30"/>
      <c r="H512" s="30"/>
      <c r="L512" s="30"/>
      <c r="M512" s="30"/>
      <c r="O512" s="32"/>
      <c r="P512" s="32"/>
    </row>
    <row r="513">
      <c r="B513" s="35"/>
      <c r="G513" s="30"/>
      <c r="H513" s="30"/>
      <c r="L513" s="30"/>
      <c r="M513" s="30"/>
      <c r="O513" s="32"/>
      <c r="P513" s="32"/>
    </row>
    <row r="514">
      <c r="B514" s="35"/>
      <c r="G514" s="30"/>
      <c r="H514" s="30"/>
      <c r="L514" s="30"/>
      <c r="M514" s="30"/>
      <c r="O514" s="32"/>
      <c r="P514" s="32"/>
    </row>
    <row r="515">
      <c r="B515" s="35"/>
      <c r="G515" s="30"/>
      <c r="H515" s="30"/>
      <c r="L515" s="30"/>
      <c r="M515" s="30"/>
      <c r="O515" s="32"/>
      <c r="P515" s="32"/>
    </row>
    <row r="516">
      <c r="B516" s="35"/>
      <c r="G516" s="30"/>
      <c r="H516" s="30"/>
      <c r="L516" s="30"/>
      <c r="M516" s="30"/>
      <c r="O516" s="32"/>
      <c r="P516" s="32"/>
    </row>
    <row r="517">
      <c r="B517" s="35"/>
      <c r="G517" s="30"/>
      <c r="H517" s="30"/>
      <c r="L517" s="30"/>
      <c r="M517" s="30"/>
      <c r="O517" s="32"/>
      <c r="P517" s="32"/>
    </row>
    <row r="518">
      <c r="B518" s="35"/>
      <c r="G518" s="30"/>
      <c r="H518" s="30"/>
      <c r="L518" s="30"/>
      <c r="M518" s="30"/>
      <c r="O518" s="32"/>
      <c r="P518" s="32"/>
    </row>
    <row r="519">
      <c r="B519" s="35"/>
      <c r="G519" s="30"/>
      <c r="H519" s="30"/>
      <c r="L519" s="30"/>
      <c r="M519" s="30"/>
      <c r="O519" s="32"/>
      <c r="P519" s="32"/>
    </row>
    <row r="520">
      <c r="B520" s="35"/>
      <c r="G520" s="30"/>
      <c r="H520" s="30"/>
      <c r="L520" s="30"/>
      <c r="M520" s="30"/>
      <c r="O520" s="32"/>
      <c r="P520" s="32"/>
    </row>
    <row r="521">
      <c r="B521" s="35"/>
      <c r="G521" s="30"/>
      <c r="H521" s="30"/>
      <c r="L521" s="30"/>
      <c r="M521" s="30"/>
      <c r="O521" s="32"/>
      <c r="P521" s="32"/>
    </row>
    <row r="522">
      <c r="B522" s="35"/>
      <c r="G522" s="30"/>
      <c r="H522" s="30"/>
      <c r="L522" s="30"/>
      <c r="M522" s="30"/>
      <c r="O522" s="32"/>
      <c r="P522" s="32"/>
    </row>
    <row r="523">
      <c r="B523" s="35"/>
      <c r="G523" s="30"/>
      <c r="H523" s="30"/>
      <c r="L523" s="30"/>
      <c r="M523" s="30"/>
      <c r="O523" s="32"/>
      <c r="P523" s="32"/>
    </row>
    <row r="524">
      <c r="B524" s="35"/>
      <c r="G524" s="30"/>
      <c r="H524" s="30"/>
      <c r="L524" s="30"/>
      <c r="M524" s="30"/>
      <c r="O524" s="32"/>
      <c r="P524" s="32"/>
    </row>
    <row r="525">
      <c r="B525" s="35"/>
      <c r="G525" s="30"/>
      <c r="H525" s="30"/>
      <c r="L525" s="30"/>
      <c r="M525" s="30"/>
      <c r="O525" s="32"/>
      <c r="P525" s="32"/>
    </row>
    <row r="526">
      <c r="B526" s="35"/>
      <c r="G526" s="30"/>
      <c r="H526" s="30"/>
      <c r="L526" s="30"/>
      <c r="M526" s="30"/>
      <c r="O526" s="32"/>
      <c r="P526" s="32"/>
    </row>
    <row r="527">
      <c r="B527" s="35"/>
      <c r="G527" s="30"/>
      <c r="H527" s="30"/>
      <c r="L527" s="30"/>
      <c r="M527" s="30"/>
      <c r="O527" s="32"/>
      <c r="P527" s="32"/>
    </row>
    <row r="528">
      <c r="B528" s="35"/>
      <c r="G528" s="30"/>
      <c r="H528" s="30"/>
      <c r="L528" s="30"/>
      <c r="M528" s="30"/>
      <c r="O528" s="32"/>
      <c r="P528" s="32"/>
    </row>
    <row r="529">
      <c r="B529" s="35"/>
      <c r="G529" s="30"/>
      <c r="H529" s="30"/>
      <c r="L529" s="30"/>
      <c r="M529" s="30"/>
      <c r="O529" s="32"/>
      <c r="P529" s="32"/>
    </row>
    <row r="530">
      <c r="B530" s="35"/>
      <c r="G530" s="30"/>
      <c r="H530" s="30"/>
      <c r="L530" s="30"/>
      <c r="M530" s="30"/>
      <c r="O530" s="32"/>
      <c r="P530" s="32"/>
    </row>
    <row r="531">
      <c r="B531" s="35"/>
      <c r="G531" s="30"/>
      <c r="H531" s="30"/>
      <c r="L531" s="30"/>
      <c r="M531" s="30"/>
      <c r="O531" s="32"/>
      <c r="P531" s="32"/>
    </row>
    <row r="532">
      <c r="B532" s="35"/>
      <c r="G532" s="30"/>
      <c r="H532" s="30"/>
      <c r="L532" s="30"/>
      <c r="M532" s="30"/>
      <c r="O532" s="32"/>
      <c r="P532" s="32"/>
    </row>
    <row r="533">
      <c r="B533" s="35"/>
      <c r="G533" s="30"/>
      <c r="H533" s="30"/>
      <c r="L533" s="30"/>
      <c r="M533" s="30"/>
      <c r="O533" s="32"/>
      <c r="P533" s="32"/>
    </row>
    <row r="534">
      <c r="B534" s="35"/>
      <c r="G534" s="30"/>
      <c r="H534" s="30"/>
      <c r="L534" s="30"/>
      <c r="M534" s="30"/>
      <c r="O534" s="32"/>
      <c r="P534" s="32"/>
    </row>
    <row r="535">
      <c r="B535" s="35"/>
      <c r="G535" s="30"/>
      <c r="H535" s="30"/>
      <c r="L535" s="30"/>
      <c r="M535" s="30"/>
      <c r="O535" s="32"/>
      <c r="P535" s="32"/>
    </row>
    <row r="536">
      <c r="B536" s="35"/>
      <c r="G536" s="30"/>
      <c r="H536" s="30"/>
      <c r="L536" s="30"/>
      <c r="M536" s="30"/>
      <c r="O536" s="32"/>
      <c r="P536" s="32"/>
    </row>
    <row r="537">
      <c r="B537" s="35"/>
      <c r="G537" s="30"/>
      <c r="H537" s="30"/>
      <c r="L537" s="30"/>
      <c r="M537" s="30"/>
      <c r="O537" s="32"/>
      <c r="P537" s="32"/>
    </row>
    <row r="538">
      <c r="B538" s="35"/>
      <c r="G538" s="30"/>
      <c r="H538" s="30"/>
      <c r="L538" s="30"/>
      <c r="M538" s="30"/>
      <c r="O538" s="32"/>
      <c r="P538" s="32"/>
    </row>
    <row r="539">
      <c r="B539" s="35"/>
      <c r="G539" s="30"/>
      <c r="H539" s="30"/>
      <c r="L539" s="30"/>
      <c r="M539" s="30"/>
      <c r="O539" s="32"/>
      <c r="P539" s="32"/>
    </row>
    <row r="540">
      <c r="B540" s="35"/>
      <c r="G540" s="30"/>
      <c r="H540" s="30"/>
      <c r="L540" s="30"/>
      <c r="M540" s="30"/>
      <c r="O540" s="32"/>
      <c r="P540" s="32"/>
    </row>
    <row r="541">
      <c r="B541" s="35"/>
      <c r="G541" s="30"/>
      <c r="H541" s="30"/>
      <c r="L541" s="30"/>
      <c r="M541" s="30"/>
      <c r="O541" s="32"/>
      <c r="P541" s="32"/>
    </row>
    <row r="542">
      <c r="B542" s="35"/>
      <c r="G542" s="30"/>
      <c r="H542" s="30"/>
      <c r="L542" s="30"/>
      <c r="M542" s="30"/>
      <c r="O542" s="32"/>
      <c r="P542" s="32"/>
    </row>
    <row r="543">
      <c r="B543" s="35"/>
      <c r="G543" s="30"/>
      <c r="H543" s="30"/>
      <c r="L543" s="30"/>
      <c r="M543" s="30"/>
      <c r="O543" s="32"/>
      <c r="P543" s="32"/>
    </row>
    <row r="544">
      <c r="B544" s="35"/>
      <c r="G544" s="30"/>
      <c r="H544" s="30"/>
      <c r="L544" s="30"/>
      <c r="M544" s="30"/>
      <c r="O544" s="32"/>
      <c r="P544" s="32"/>
    </row>
    <row r="545">
      <c r="B545" s="35"/>
      <c r="G545" s="30"/>
      <c r="H545" s="30"/>
      <c r="L545" s="30"/>
      <c r="M545" s="30"/>
      <c r="O545" s="32"/>
      <c r="P545" s="32"/>
    </row>
    <row r="546">
      <c r="B546" s="35"/>
      <c r="G546" s="30"/>
      <c r="H546" s="30"/>
      <c r="L546" s="30"/>
      <c r="M546" s="30"/>
      <c r="O546" s="32"/>
      <c r="P546" s="32"/>
    </row>
    <row r="547">
      <c r="B547" s="35"/>
      <c r="G547" s="30"/>
      <c r="H547" s="30"/>
      <c r="L547" s="30"/>
      <c r="M547" s="30"/>
      <c r="O547" s="32"/>
      <c r="P547" s="32"/>
    </row>
    <row r="548">
      <c r="B548" s="35"/>
      <c r="G548" s="30"/>
      <c r="H548" s="30"/>
      <c r="L548" s="30"/>
      <c r="M548" s="30"/>
      <c r="O548" s="32"/>
      <c r="P548" s="32"/>
    </row>
    <row r="549">
      <c r="B549" s="35"/>
      <c r="G549" s="30"/>
      <c r="H549" s="30"/>
      <c r="L549" s="30"/>
      <c r="M549" s="30"/>
      <c r="O549" s="32"/>
      <c r="P549" s="32"/>
    </row>
    <row r="550">
      <c r="B550" s="35"/>
      <c r="G550" s="30"/>
      <c r="H550" s="30"/>
      <c r="L550" s="30"/>
      <c r="M550" s="30"/>
      <c r="O550" s="32"/>
      <c r="P550" s="32"/>
    </row>
    <row r="551">
      <c r="B551" s="35"/>
      <c r="G551" s="30"/>
      <c r="H551" s="30"/>
      <c r="L551" s="30"/>
      <c r="M551" s="30"/>
      <c r="O551" s="32"/>
      <c r="P551" s="32"/>
    </row>
    <row r="552">
      <c r="B552" s="35"/>
      <c r="G552" s="30"/>
      <c r="H552" s="30"/>
      <c r="L552" s="30"/>
      <c r="M552" s="30"/>
      <c r="O552" s="32"/>
      <c r="P552" s="32"/>
    </row>
    <row r="553">
      <c r="B553" s="35"/>
      <c r="G553" s="30"/>
      <c r="H553" s="30"/>
      <c r="L553" s="30"/>
      <c r="M553" s="30"/>
      <c r="O553" s="32"/>
      <c r="P553" s="32"/>
    </row>
    <row r="554">
      <c r="B554" s="35"/>
      <c r="G554" s="30"/>
      <c r="H554" s="30"/>
      <c r="L554" s="30"/>
      <c r="M554" s="30"/>
      <c r="O554" s="32"/>
      <c r="P554" s="32"/>
    </row>
    <row r="555">
      <c r="B555" s="35"/>
      <c r="G555" s="30"/>
      <c r="H555" s="30"/>
      <c r="L555" s="30"/>
      <c r="M555" s="30"/>
      <c r="O555" s="32"/>
      <c r="P555" s="32"/>
    </row>
    <row r="556">
      <c r="B556" s="35"/>
      <c r="G556" s="30"/>
      <c r="H556" s="30"/>
      <c r="L556" s="30"/>
      <c r="M556" s="30"/>
      <c r="O556" s="32"/>
      <c r="P556" s="32"/>
    </row>
    <row r="557">
      <c r="B557" s="35"/>
      <c r="G557" s="30"/>
      <c r="H557" s="30"/>
      <c r="L557" s="30"/>
      <c r="M557" s="30"/>
      <c r="O557" s="32"/>
      <c r="P557" s="32"/>
    </row>
    <row r="558">
      <c r="B558" s="35"/>
      <c r="G558" s="30"/>
      <c r="H558" s="30"/>
      <c r="L558" s="30"/>
      <c r="M558" s="30"/>
      <c r="O558" s="32"/>
      <c r="P558" s="32"/>
    </row>
    <row r="559">
      <c r="B559" s="35"/>
      <c r="G559" s="30"/>
      <c r="H559" s="30"/>
      <c r="L559" s="30"/>
      <c r="M559" s="30"/>
      <c r="O559" s="32"/>
      <c r="P559" s="32"/>
    </row>
    <row r="560">
      <c r="B560" s="35"/>
      <c r="G560" s="30"/>
      <c r="H560" s="30"/>
      <c r="L560" s="30"/>
      <c r="M560" s="30"/>
      <c r="O560" s="32"/>
      <c r="P560" s="32"/>
    </row>
    <row r="561">
      <c r="B561" s="35"/>
      <c r="G561" s="30"/>
      <c r="H561" s="30"/>
      <c r="L561" s="30"/>
      <c r="M561" s="30"/>
      <c r="O561" s="32"/>
      <c r="P561" s="32"/>
    </row>
    <row r="562">
      <c r="B562" s="35"/>
      <c r="G562" s="30"/>
      <c r="H562" s="30"/>
      <c r="L562" s="30"/>
      <c r="M562" s="30"/>
      <c r="O562" s="32"/>
      <c r="P562" s="32"/>
    </row>
    <row r="563">
      <c r="B563" s="35"/>
      <c r="G563" s="30"/>
      <c r="H563" s="30"/>
      <c r="L563" s="30"/>
      <c r="M563" s="30"/>
      <c r="O563" s="32"/>
      <c r="P563" s="32"/>
    </row>
    <row r="564">
      <c r="B564" s="35"/>
      <c r="G564" s="30"/>
      <c r="H564" s="30"/>
      <c r="L564" s="30"/>
      <c r="M564" s="30"/>
      <c r="O564" s="32"/>
      <c r="P564" s="32"/>
    </row>
    <row r="565">
      <c r="B565" s="35"/>
      <c r="G565" s="30"/>
      <c r="H565" s="30"/>
      <c r="L565" s="30"/>
      <c r="M565" s="30"/>
      <c r="O565" s="32"/>
      <c r="P565" s="32"/>
    </row>
    <row r="566">
      <c r="B566" s="35"/>
      <c r="G566" s="30"/>
      <c r="H566" s="30"/>
      <c r="L566" s="30"/>
      <c r="M566" s="30"/>
      <c r="O566" s="32"/>
      <c r="P566" s="32"/>
    </row>
    <row r="567">
      <c r="B567" s="35"/>
      <c r="G567" s="30"/>
      <c r="H567" s="30"/>
      <c r="L567" s="30"/>
      <c r="M567" s="30"/>
      <c r="O567" s="32"/>
      <c r="P567" s="32"/>
    </row>
    <row r="568">
      <c r="B568" s="35"/>
      <c r="G568" s="30"/>
      <c r="H568" s="30"/>
      <c r="L568" s="30"/>
      <c r="M568" s="30"/>
      <c r="O568" s="32"/>
      <c r="P568" s="32"/>
    </row>
    <row r="569">
      <c r="B569" s="35"/>
      <c r="G569" s="30"/>
      <c r="H569" s="30"/>
      <c r="L569" s="30"/>
      <c r="M569" s="30"/>
      <c r="O569" s="32"/>
      <c r="P569" s="32"/>
    </row>
    <row r="570">
      <c r="B570" s="35"/>
      <c r="G570" s="30"/>
      <c r="H570" s="30"/>
      <c r="L570" s="30"/>
      <c r="M570" s="30"/>
      <c r="O570" s="32"/>
      <c r="P570" s="32"/>
    </row>
    <row r="571">
      <c r="B571" s="35"/>
      <c r="G571" s="30"/>
      <c r="H571" s="30"/>
      <c r="L571" s="30"/>
      <c r="M571" s="30"/>
      <c r="O571" s="32"/>
      <c r="P571" s="32"/>
    </row>
    <row r="572">
      <c r="B572" s="35"/>
      <c r="G572" s="30"/>
      <c r="H572" s="30"/>
      <c r="L572" s="30"/>
      <c r="M572" s="30"/>
      <c r="O572" s="32"/>
      <c r="P572" s="32"/>
    </row>
    <row r="573">
      <c r="B573" s="35"/>
      <c r="G573" s="30"/>
      <c r="H573" s="30"/>
      <c r="L573" s="30"/>
      <c r="M573" s="30"/>
      <c r="O573" s="32"/>
      <c r="P573" s="32"/>
    </row>
    <row r="574">
      <c r="B574" s="35"/>
      <c r="G574" s="30"/>
      <c r="H574" s="30"/>
      <c r="L574" s="30"/>
      <c r="M574" s="30"/>
      <c r="O574" s="32"/>
      <c r="P574" s="32"/>
    </row>
    <row r="575">
      <c r="B575" s="35"/>
      <c r="G575" s="30"/>
      <c r="H575" s="30"/>
      <c r="L575" s="30"/>
      <c r="M575" s="30"/>
      <c r="O575" s="32"/>
      <c r="P575" s="32"/>
    </row>
    <row r="576">
      <c r="B576" s="35"/>
      <c r="G576" s="30"/>
      <c r="H576" s="30"/>
      <c r="L576" s="30"/>
      <c r="M576" s="30"/>
      <c r="O576" s="32"/>
      <c r="P576" s="32"/>
    </row>
    <row r="577">
      <c r="B577" s="35"/>
      <c r="G577" s="30"/>
      <c r="H577" s="30"/>
      <c r="L577" s="30"/>
      <c r="M577" s="30"/>
      <c r="O577" s="32"/>
      <c r="P577" s="32"/>
    </row>
    <row r="578">
      <c r="B578" s="35"/>
      <c r="G578" s="30"/>
      <c r="H578" s="30"/>
      <c r="L578" s="30"/>
      <c r="M578" s="30"/>
      <c r="O578" s="32"/>
      <c r="P578" s="32"/>
    </row>
    <row r="579">
      <c r="B579" s="35"/>
      <c r="G579" s="30"/>
      <c r="H579" s="30"/>
      <c r="L579" s="30"/>
      <c r="M579" s="30"/>
      <c r="O579" s="32"/>
      <c r="P579" s="32"/>
    </row>
    <row r="580">
      <c r="B580" s="35"/>
      <c r="G580" s="30"/>
      <c r="H580" s="30"/>
      <c r="L580" s="30"/>
      <c r="M580" s="30"/>
      <c r="O580" s="32"/>
      <c r="P580" s="32"/>
    </row>
    <row r="581">
      <c r="B581" s="35"/>
      <c r="G581" s="30"/>
      <c r="H581" s="30"/>
      <c r="L581" s="30"/>
      <c r="M581" s="30"/>
      <c r="O581" s="32"/>
      <c r="P581" s="32"/>
    </row>
    <row r="582">
      <c r="B582" s="35"/>
      <c r="G582" s="30"/>
      <c r="H582" s="30"/>
      <c r="L582" s="30"/>
      <c r="M582" s="30"/>
      <c r="O582" s="32"/>
      <c r="P582" s="32"/>
    </row>
    <row r="583">
      <c r="B583" s="35"/>
      <c r="G583" s="30"/>
      <c r="H583" s="30"/>
      <c r="L583" s="30"/>
      <c r="M583" s="30"/>
      <c r="O583" s="32"/>
      <c r="P583" s="32"/>
    </row>
    <row r="584">
      <c r="B584" s="35"/>
      <c r="G584" s="30"/>
      <c r="H584" s="30"/>
      <c r="L584" s="30"/>
      <c r="M584" s="30"/>
      <c r="O584" s="32"/>
      <c r="P584" s="32"/>
    </row>
    <row r="585">
      <c r="B585" s="35"/>
      <c r="G585" s="30"/>
      <c r="H585" s="30"/>
      <c r="L585" s="30"/>
      <c r="M585" s="30"/>
      <c r="O585" s="32"/>
      <c r="P585" s="32"/>
    </row>
    <row r="586">
      <c r="B586" s="35"/>
      <c r="G586" s="30"/>
      <c r="H586" s="30"/>
      <c r="L586" s="30"/>
      <c r="M586" s="30"/>
      <c r="O586" s="32"/>
      <c r="P586" s="32"/>
    </row>
    <row r="587">
      <c r="B587" s="35"/>
      <c r="G587" s="30"/>
      <c r="H587" s="30"/>
      <c r="L587" s="30"/>
      <c r="M587" s="30"/>
      <c r="O587" s="32"/>
      <c r="P587" s="32"/>
    </row>
    <row r="588">
      <c r="B588" s="35"/>
      <c r="G588" s="30"/>
      <c r="H588" s="30"/>
      <c r="L588" s="30"/>
      <c r="M588" s="30"/>
      <c r="O588" s="32"/>
      <c r="P588" s="32"/>
    </row>
    <row r="589">
      <c r="B589" s="35"/>
      <c r="G589" s="30"/>
      <c r="H589" s="30"/>
      <c r="L589" s="30"/>
      <c r="M589" s="30"/>
      <c r="O589" s="32"/>
      <c r="P589" s="32"/>
    </row>
    <row r="590">
      <c r="B590" s="35"/>
      <c r="G590" s="30"/>
      <c r="H590" s="30"/>
      <c r="L590" s="30"/>
      <c r="M590" s="30"/>
      <c r="O590" s="32"/>
      <c r="P590" s="32"/>
    </row>
    <row r="591">
      <c r="B591" s="35"/>
      <c r="G591" s="30"/>
      <c r="H591" s="30"/>
      <c r="L591" s="30"/>
      <c r="M591" s="30"/>
      <c r="O591" s="32"/>
      <c r="P591" s="32"/>
    </row>
    <row r="592">
      <c r="B592" s="35"/>
      <c r="G592" s="30"/>
      <c r="H592" s="30"/>
      <c r="L592" s="30"/>
      <c r="M592" s="30"/>
      <c r="O592" s="32"/>
      <c r="P592" s="32"/>
    </row>
    <row r="593">
      <c r="B593" s="35"/>
      <c r="G593" s="30"/>
      <c r="H593" s="30"/>
      <c r="L593" s="30"/>
      <c r="M593" s="30"/>
      <c r="O593" s="32"/>
      <c r="P593" s="32"/>
    </row>
    <row r="594">
      <c r="B594" s="35"/>
      <c r="G594" s="30"/>
      <c r="H594" s="30"/>
      <c r="L594" s="30"/>
      <c r="M594" s="30"/>
      <c r="O594" s="32"/>
      <c r="P594" s="32"/>
    </row>
    <row r="595">
      <c r="B595" s="35"/>
      <c r="G595" s="30"/>
      <c r="H595" s="30"/>
      <c r="L595" s="30"/>
      <c r="M595" s="30"/>
      <c r="O595" s="32"/>
      <c r="P595" s="32"/>
    </row>
    <row r="596">
      <c r="B596" s="35"/>
      <c r="G596" s="30"/>
      <c r="H596" s="30"/>
      <c r="L596" s="30"/>
      <c r="M596" s="30"/>
      <c r="O596" s="32"/>
      <c r="P596" s="32"/>
    </row>
    <row r="597">
      <c r="B597" s="35"/>
      <c r="G597" s="30"/>
      <c r="H597" s="30"/>
      <c r="L597" s="30"/>
      <c r="M597" s="30"/>
      <c r="O597" s="32"/>
      <c r="P597" s="32"/>
    </row>
    <row r="598">
      <c r="B598" s="35"/>
      <c r="G598" s="30"/>
      <c r="H598" s="30"/>
      <c r="L598" s="30"/>
      <c r="M598" s="30"/>
      <c r="O598" s="32"/>
      <c r="P598" s="32"/>
    </row>
    <row r="599">
      <c r="B599" s="35"/>
      <c r="G599" s="30"/>
      <c r="H599" s="30"/>
      <c r="L599" s="30"/>
      <c r="M599" s="30"/>
      <c r="O599" s="32"/>
      <c r="P599" s="32"/>
    </row>
    <row r="600">
      <c r="B600" s="35"/>
      <c r="G600" s="30"/>
      <c r="H600" s="30"/>
      <c r="L600" s="30"/>
      <c r="M600" s="30"/>
      <c r="O600" s="32"/>
      <c r="P600" s="32"/>
    </row>
    <row r="601">
      <c r="B601" s="35"/>
      <c r="G601" s="30"/>
      <c r="H601" s="30"/>
      <c r="L601" s="30"/>
      <c r="M601" s="30"/>
      <c r="O601" s="32"/>
      <c r="P601" s="32"/>
    </row>
    <row r="602">
      <c r="B602" s="35"/>
      <c r="G602" s="30"/>
      <c r="H602" s="30"/>
      <c r="L602" s="30"/>
      <c r="M602" s="30"/>
      <c r="O602" s="32"/>
      <c r="P602" s="32"/>
    </row>
    <row r="603">
      <c r="B603" s="35"/>
      <c r="G603" s="30"/>
      <c r="H603" s="30"/>
      <c r="L603" s="30"/>
      <c r="M603" s="30"/>
      <c r="O603" s="32"/>
      <c r="P603" s="32"/>
    </row>
    <row r="604">
      <c r="B604" s="35"/>
      <c r="G604" s="30"/>
      <c r="H604" s="30"/>
      <c r="L604" s="30"/>
      <c r="M604" s="30"/>
      <c r="O604" s="32"/>
      <c r="P604" s="32"/>
    </row>
    <row r="605">
      <c r="B605" s="35"/>
      <c r="G605" s="30"/>
      <c r="H605" s="30"/>
      <c r="L605" s="30"/>
      <c r="M605" s="30"/>
      <c r="O605" s="32"/>
      <c r="P605" s="32"/>
    </row>
    <row r="606">
      <c r="B606" s="35"/>
      <c r="G606" s="30"/>
      <c r="H606" s="30"/>
      <c r="L606" s="30"/>
      <c r="M606" s="30"/>
      <c r="O606" s="32"/>
      <c r="P606" s="32"/>
    </row>
    <row r="607">
      <c r="B607" s="35"/>
      <c r="G607" s="30"/>
      <c r="H607" s="30"/>
      <c r="L607" s="30"/>
      <c r="M607" s="30"/>
      <c r="O607" s="32"/>
      <c r="P607" s="32"/>
    </row>
    <row r="608">
      <c r="B608" s="35"/>
      <c r="G608" s="30"/>
      <c r="H608" s="30"/>
      <c r="L608" s="30"/>
      <c r="M608" s="30"/>
      <c r="O608" s="32"/>
      <c r="P608" s="32"/>
    </row>
    <row r="609">
      <c r="B609" s="35"/>
      <c r="G609" s="30"/>
      <c r="H609" s="30"/>
      <c r="L609" s="30"/>
      <c r="M609" s="30"/>
      <c r="O609" s="32"/>
      <c r="P609" s="32"/>
    </row>
    <row r="610">
      <c r="B610" s="35"/>
      <c r="G610" s="30"/>
      <c r="H610" s="30"/>
      <c r="L610" s="30"/>
      <c r="M610" s="30"/>
      <c r="O610" s="32"/>
      <c r="P610" s="32"/>
    </row>
    <row r="611">
      <c r="B611" s="35"/>
      <c r="G611" s="30"/>
      <c r="H611" s="30"/>
      <c r="L611" s="30"/>
      <c r="M611" s="30"/>
      <c r="O611" s="32"/>
      <c r="P611" s="32"/>
    </row>
    <row r="612">
      <c r="B612" s="35"/>
      <c r="G612" s="30"/>
      <c r="H612" s="30"/>
      <c r="L612" s="30"/>
      <c r="M612" s="30"/>
      <c r="O612" s="32"/>
      <c r="P612" s="32"/>
    </row>
    <row r="613">
      <c r="B613" s="35"/>
      <c r="G613" s="30"/>
      <c r="H613" s="30"/>
      <c r="L613" s="30"/>
      <c r="M613" s="30"/>
      <c r="O613" s="32"/>
      <c r="P613" s="32"/>
    </row>
    <row r="614">
      <c r="B614" s="35"/>
      <c r="G614" s="30"/>
      <c r="H614" s="30"/>
      <c r="L614" s="30"/>
      <c r="M614" s="30"/>
      <c r="O614" s="32"/>
      <c r="P614" s="32"/>
    </row>
    <row r="615">
      <c r="B615" s="35"/>
      <c r="G615" s="30"/>
      <c r="H615" s="30"/>
      <c r="L615" s="30"/>
      <c r="M615" s="30"/>
      <c r="O615" s="32"/>
      <c r="P615" s="32"/>
    </row>
    <row r="616">
      <c r="B616" s="35"/>
      <c r="G616" s="30"/>
      <c r="H616" s="30"/>
      <c r="L616" s="30"/>
      <c r="M616" s="30"/>
      <c r="O616" s="32"/>
      <c r="P616" s="32"/>
    </row>
    <row r="617">
      <c r="B617" s="35"/>
      <c r="G617" s="30"/>
      <c r="H617" s="30"/>
      <c r="L617" s="30"/>
      <c r="M617" s="30"/>
      <c r="O617" s="32"/>
      <c r="P617" s="32"/>
    </row>
    <row r="618">
      <c r="B618" s="35"/>
      <c r="G618" s="30"/>
      <c r="H618" s="30"/>
      <c r="L618" s="30"/>
      <c r="M618" s="30"/>
      <c r="O618" s="32"/>
      <c r="P618" s="32"/>
    </row>
    <row r="619">
      <c r="B619" s="35"/>
      <c r="G619" s="30"/>
      <c r="H619" s="30"/>
      <c r="L619" s="30"/>
      <c r="M619" s="30"/>
      <c r="O619" s="32"/>
      <c r="P619" s="32"/>
    </row>
    <row r="620">
      <c r="B620" s="35"/>
      <c r="G620" s="30"/>
      <c r="H620" s="30"/>
      <c r="L620" s="30"/>
      <c r="M620" s="30"/>
      <c r="O620" s="32"/>
      <c r="P620" s="32"/>
    </row>
    <row r="621">
      <c r="B621" s="35"/>
      <c r="G621" s="30"/>
      <c r="H621" s="30"/>
      <c r="L621" s="30"/>
      <c r="M621" s="30"/>
      <c r="O621" s="32"/>
      <c r="P621" s="32"/>
    </row>
    <row r="622">
      <c r="B622" s="35"/>
      <c r="G622" s="30"/>
      <c r="H622" s="30"/>
      <c r="L622" s="30"/>
      <c r="M622" s="30"/>
      <c r="O622" s="32"/>
      <c r="P622" s="32"/>
    </row>
    <row r="623">
      <c r="B623" s="35"/>
      <c r="G623" s="30"/>
      <c r="H623" s="30"/>
      <c r="L623" s="30"/>
      <c r="M623" s="30"/>
      <c r="O623" s="32"/>
      <c r="P623" s="32"/>
    </row>
    <row r="624">
      <c r="B624" s="35"/>
      <c r="G624" s="30"/>
      <c r="H624" s="30"/>
      <c r="L624" s="30"/>
      <c r="M624" s="30"/>
      <c r="O624" s="32"/>
      <c r="P624" s="32"/>
    </row>
    <row r="625">
      <c r="B625" s="35"/>
      <c r="G625" s="30"/>
      <c r="H625" s="30"/>
      <c r="L625" s="30"/>
      <c r="M625" s="30"/>
      <c r="O625" s="32"/>
      <c r="P625" s="32"/>
    </row>
    <row r="626">
      <c r="B626" s="35"/>
      <c r="G626" s="30"/>
      <c r="H626" s="30"/>
      <c r="L626" s="30"/>
      <c r="M626" s="30"/>
      <c r="O626" s="32"/>
      <c r="P626" s="32"/>
    </row>
    <row r="627">
      <c r="B627" s="35"/>
      <c r="G627" s="30"/>
      <c r="H627" s="30"/>
      <c r="L627" s="30"/>
      <c r="M627" s="30"/>
      <c r="O627" s="32"/>
      <c r="P627" s="32"/>
    </row>
    <row r="628">
      <c r="B628" s="35"/>
      <c r="G628" s="30"/>
      <c r="H628" s="30"/>
      <c r="L628" s="30"/>
      <c r="M628" s="30"/>
      <c r="O628" s="32"/>
      <c r="P628" s="32"/>
    </row>
    <row r="629">
      <c r="B629" s="35"/>
      <c r="G629" s="30"/>
      <c r="H629" s="30"/>
      <c r="L629" s="30"/>
      <c r="M629" s="30"/>
      <c r="O629" s="32"/>
      <c r="P629" s="32"/>
    </row>
    <row r="630">
      <c r="B630" s="35"/>
      <c r="G630" s="30"/>
      <c r="H630" s="30"/>
      <c r="L630" s="30"/>
      <c r="M630" s="30"/>
      <c r="O630" s="32"/>
      <c r="P630" s="32"/>
    </row>
    <row r="631">
      <c r="B631" s="35"/>
      <c r="G631" s="30"/>
      <c r="H631" s="30"/>
      <c r="L631" s="30"/>
      <c r="M631" s="30"/>
      <c r="O631" s="32"/>
      <c r="P631" s="32"/>
    </row>
    <row r="632">
      <c r="B632" s="35"/>
      <c r="G632" s="30"/>
      <c r="H632" s="30"/>
      <c r="L632" s="30"/>
      <c r="M632" s="30"/>
      <c r="O632" s="32"/>
      <c r="P632" s="32"/>
    </row>
    <row r="633">
      <c r="B633" s="35"/>
      <c r="G633" s="30"/>
      <c r="H633" s="30"/>
      <c r="L633" s="30"/>
      <c r="M633" s="30"/>
      <c r="O633" s="32"/>
      <c r="P633" s="32"/>
    </row>
    <row r="634">
      <c r="B634" s="35"/>
      <c r="G634" s="30"/>
      <c r="H634" s="30"/>
      <c r="L634" s="30"/>
      <c r="M634" s="30"/>
      <c r="O634" s="32"/>
      <c r="P634" s="32"/>
    </row>
    <row r="635">
      <c r="B635" s="35"/>
      <c r="G635" s="30"/>
      <c r="H635" s="30"/>
      <c r="L635" s="30"/>
      <c r="M635" s="30"/>
      <c r="O635" s="32"/>
      <c r="P635" s="32"/>
    </row>
    <row r="636">
      <c r="B636" s="35"/>
      <c r="G636" s="30"/>
      <c r="H636" s="30"/>
      <c r="L636" s="30"/>
      <c r="M636" s="30"/>
      <c r="O636" s="32"/>
      <c r="P636" s="32"/>
    </row>
    <row r="637">
      <c r="B637" s="35"/>
      <c r="G637" s="30"/>
      <c r="H637" s="30"/>
      <c r="L637" s="30"/>
      <c r="M637" s="30"/>
      <c r="O637" s="32"/>
      <c r="P637" s="32"/>
    </row>
    <row r="638">
      <c r="B638" s="35"/>
      <c r="G638" s="30"/>
      <c r="H638" s="30"/>
      <c r="L638" s="30"/>
      <c r="M638" s="30"/>
      <c r="O638" s="32"/>
      <c r="P638" s="32"/>
    </row>
    <row r="639">
      <c r="B639" s="35"/>
      <c r="G639" s="30"/>
      <c r="H639" s="30"/>
      <c r="L639" s="30"/>
      <c r="M639" s="30"/>
      <c r="O639" s="32"/>
      <c r="P639" s="32"/>
    </row>
    <row r="640">
      <c r="B640" s="35"/>
      <c r="G640" s="30"/>
      <c r="H640" s="30"/>
      <c r="L640" s="30"/>
      <c r="M640" s="30"/>
      <c r="O640" s="32"/>
      <c r="P640" s="32"/>
    </row>
    <row r="641">
      <c r="B641" s="35"/>
      <c r="G641" s="30"/>
      <c r="H641" s="30"/>
      <c r="L641" s="30"/>
      <c r="M641" s="30"/>
      <c r="O641" s="32"/>
      <c r="P641" s="32"/>
    </row>
    <row r="642">
      <c r="B642" s="35"/>
      <c r="G642" s="30"/>
      <c r="H642" s="30"/>
      <c r="L642" s="30"/>
      <c r="M642" s="30"/>
      <c r="O642" s="32"/>
      <c r="P642" s="32"/>
    </row>
    <row r="643">
      <c r="B643" s="35"/>
      <c r="G643" s="30"/>
      <c r="H643" s="30"/>
      <c r="L643" s="30"/>
      <c r="M643" s="30"/>
      <c r="O643" s="32"/>
      <c r="P643" s="32"/>
    </row>
    <row r="644">
      <c r="B644" s="35"/>
      <c r="G644" s="30"/>
      <c r="H644" s="30"/>
      <c r="L644" s="30"/>
      <c r="M644" s="30"/>
      <c r="O644" s="32"/>
      <c r="P644" s="32"/>
    </row>
    <row r="645">
      <c r="B645" s="35"/>
      <c r="G645" s="30"/>
      <c r="H645" s="30"/>
      <c r="L645" s="30"/>
      <c r="M645" s="30"/>
      <c r="O645" s="32"/>
      <c r="P645" s="32"/>
    </row>
    <row r="646">
      <c r="B646" s="35"/>
      <c r="G646" s="30"/>
      <c r="H646" s="30"/>
      <c r="L646" s="30"/>
      <c r="M646" s="30"/>
      <c r="O646" s="32"/>
      <c r="P646" s="32"/>
    </row>
    <row r="647">
      <c r="B647" s="35"/>
      <c r="G647" s="30"/>
      <c r="H647" s="30"/>
      <c r="L647" s="30"/>
      <c r="M647" s="30"/>
      <c r="O647" s="32"/>
      <c r="P647" s="32"/>
    </row>
    <row r="648">
      <c r="B648" s="35"/>
      <c r="G648" s="30"/>
      <c r="H648" s="30"/>
      <c r="L648" s="30"/>
      <c r="M648" s="30"/>
      <c r="O648" s="32"/>
      <c r="P648" s="32"/>
    </row>
    <row r="649">
      <c r="B649" s="35"/>
      <c r="G649" s="30"/>
      <c r="H649" s="30"/>
      <c r="L649" s="30"/>
      <c r="M649" s="30"/>
      <c r="O649" s="32"/>
      <c r="P649" s="32"/>
    </row>
    <row r="650">
      <c r="B650" s="35"/>
      <c r="G650" s="30"/>
      <c r="H650" s="30"/>
      <c r="L650" s="30"/>
      <c r="M650" s="30"/>
      <c r="O650" s="32"/>
      <c r="P650" s="32"/>
    </row>
    <row r="651">
      <c r="B651" s="35"/>
      <c r="G651" s="30"/>
      <c r="H651" s="30"/>
      <c r="L651" s="30"/>
      <c r="M651" s="30"/>
      <c r="O651" s="32"/>
      <c r="P651" s="32"/>
    </row>
    <row r="652">
      <c r="B652" s="35"/>
      <c r="G652" s="30"/>
      <c r="H652" s="30"/>
      <c r="L652" s="30"/>
      <c r="M652" s="30"/>
      <c r="O652" s="32"/>
      <c r="P652" s="32"/>
    </row>
    <row r="653">
      <c r="B653" s="35"/>
      <c r="G653" s="30"/>
      <c r="H653" s="30"/>
      <c r="L653" s="30"/>
      <c r="M653" s="30"/>
      <c r="O653" s="32"/>
      <c r="P653" s="32"/>
    </row>
    <row r="654">
      <c r="B654" s="35"/>
      <c r="G654" s="30"/>
      <c r="H654" s="30"/>
      <c r="L654" s="30"/>
      <c r="M654" s="30"/>
      <c r="O654" s="32"/>
      <c r="P654" s="32"/>
    </row>
    <row r="655">
      <c r="B655" s="35"/>
      <c r="G655" s="30"/>
      <c r="H655" s="30"/>
      <c r="L655" s="30"/>
      <c r="M655" s="30"/>
      <c r="O655" s="32"/>
      <c r="P655" s="32"/>
    </row>
    <row r="656">
      <c r="B656" s="35"/>
      <c r="G656" s="30"/>
      <c r="H656" s="30"/>
      <c r="L656" s="30"/>
      <c r="M656" s="30"/>
      <c r="O656" s="32"/>
      <c r="P656" s="32"/>
    </row>
    <row r="657">
      <c r="B657" s="35"/>
      <c r="G657" s="30"/>
      <c r="H657" s="30"/>
      <c r="L657" s="30"/>
      <c r="M657" s="30"/>
      <c r="O657" s="32"/>
      <c r="P657" s="32"/>
    </row>
    <row r="658">
      <c r="B658" s="35"/>
      <c r="G658" s="30"/>
      <c r="H658" s="30"/>
      <c r="L658" s="30"/>
      <c r="M658" s="30"/>
      <c r="O658" s="32"/>
      <c r="P658" s="32"/>
    </row>
    <row r="659">
      <c r="B659" s="35"/>
      <c r="G659" s="30"/>
      <c r="H659" s="30"/>
      <c r="L659" s="30"/>
      <c r="M659" s="30"/>
      <c r="O659" s="32"/>
      <c r="P659" s="32"/>
    </row>
    <row r="660">
      <c r="B660" s="35"/>
      <c r="G660" s="30"/>
      <c r="H660" s="30"/>
      <c r="L660" s="30"/>
      <c r="M660" s="30"/>
      <c r="O660" s="32"/>
      <c r="P660" s="32"/>
    </row>
    <row r="661">
      <c r="B661" s="35"/>
      <c r="G661" s="30"/>
      <c r="H661" s="30"/>
      <c r="L661" s="30"/>
      <c r="M661" s="30"/>
      <c r="O661" s="32"/>
      <c r="P661" s="32"/>
    </row>
    <row r="662">
      <c r="B662" s="35"/>
      <c r="G662" s="30"/>
      <c r="H662" s="30"/>
      <c r="L662" s="30"/>
      <c r="M662" s="30"/>
      <c r="O662" s="32"/>
      <c r="P662" s="32"/>
    </row>
    <row r="663">
      <c r="B663" s="35"/>
      <c r="G663" s="30"/>
      <c r="H663" s="30"/>
      <c r="L663" s="30"/>
      <c r="M663" s="30"/>
      <c r="O663" s="32"/>
      <c r="P663" s="32"/>
    </row>
    <row r="664">
      <c r="B664" s="35"/>
      <c r="G664" s="30"/>
      <c r="H664" s="30"/>
      <c r="L664" s="30"/>
      <c r="M664" s="30"/>
      <c r="O664" s="32"/>
      <c r="P664" s="32"/>
    </row>
    <row r="665">
      <c r="B665" s="35"/>
      <c r="G665" s="30"/>
      <c r="H665" s="30"/>
      <c r="L665" s="30"/>
      <c r="M665" s="30"/>
      <c r="O665" s="32"/>
      <c r="P665" s="32"/>
    </row>
    <row r="666">
      <c r="B666" s="35"/>
      <c r="G666" s="30"/>
      <c r="H666" s="30"/>
      <c r="L666" s="30"/>
      <c r="M666" s="30"/>
      <c r="O666" s="32"/>
      <c r="P666" s="32"/>
    </row>
    <row r="667">
      <c r="B667" s="35"/>
      <c r="G667" s="30"/>
      <c r="H667" s="30"/>
      <c r="L667" s="30"/>
      <c r="M667" s="30"/>
      <c r="O667" s="32"/>
      <c r="P667" s="32"/>
    </row>
    <row r="668">
      <c r="B668" s="35"/>
      <c r="G668" s="30"/>
      <c r="H668" s="30"/>
      <c r="L668" s="30"/>
      <c r="M668" s="30"/>
      <c r="O668" s="32"/>
      <c r="P668" s="32"/>
    </row>
    <row r="669">
      <c r="B669" s="35"/>
      <c r="G669" s="30"/>
      <c r="H669" s="30"/>
      <c r="L669" s="30"/>
      <c r="M669" s="30"/>
      <c r="O669" s="32"/>
      <c r="P669" s="32"/>
    </row>
    <row r="670">
      <c r="B670" s="35"/>
      <c r="G670" s="30"/>
      <c r="H670" s="30"/>
      <c r="L670" s="30"/>
      <c r="M670" s="30"/>
      <c r="O670" s="32"/>
      <c r="P670" s="32"/>
    </row>
    <row r="671">
      <c r="B671" s="35"/>
      <c r="G671" s="30"/>
      <c r="H671" s="30"/>
      <c r="L671" s="30"/>
      <c r="M671" s="30"/>
      <c r="O671" s="32"/>
      <c r="P671" s="32"/>
    </row>
    <row r="672">
      <c r="B672" s="35"/>
      <c r="G672" s="30"/>
      <c r="H672" s="30"/>
      <c r="L672" s="30"/>
      <c r="M672" s="30"/>
      <c r="O672" s="32"/>
      <c r="P672" s="32"/>
    </row>
    <row r="673">
      <c r="B673" s="35"/>
      <c r="G673" s="30"/>
      <c r="H673" s="30"/>
      <c r="L673" s="30"/>
      <c r="M673" s="30"/>
      <c r="O673" s="32"/>
      <c r="P673" s="32"/>
    </row>
    <row r="674">
      <c r="B674" s="35"/>
      <c r="G674" s="30"/>
      <c r="H674" s="30"/>
      <c r="L674" s="30"/>
      <c r="M674" s="30"/>
      <c r="O674" s="32"/>
      <c r="P674" s="32"/>
    </row>
    <row r="675">
      <c r="B675" s="35"/>
      <c r="G675" s="30"/>
      <c r="H675" s="30"/>
      <c r="L675" s="30"/>
      <c r="M675" s="30"/>
      <c r="O675" s="32"/>
      <c r="P675" s="32"/>
    </row>
    <row r="676">
      <c r="B676" s="35"/>
      <c r="G676" s="30"/>
      <c r="H676" s="30"/>
      <c r="L676" s="30"/>
      <c r="M676" s="30"/>
      <c r="O676" s="32"/>
      <c r="P676" s="32"/>
    </row>
    <row r="677">
      <c r="B677" s="35"/>
      <c r="G677" s="30"/>
      <c r="H677" s="30"/>
      <c r="L677" s="30"/>
      <c r="M677" s="30"/>
      <c r="O677" s="32"/>
      <c r="P677" s="32"/>
    </row>
    <row r="678">
      <c r="B678" s="35"/>
      <c r="G678" s="30"/>
      <c r="H678" s="30"/>
      <c r="L678" s="30"/>
      <c r="M678" s="30"/>
      <c r="O678" s="32"/>
      <c r="P678" s="32"/>
    </row>
    <row r="679">
      <c r="B679" s="35"/>
      <c r="G679" s="30"/>
      <c r="H679" s="30"/>
      <c r="L679" s="30"/>
      <c r="M679" s="30"/>
      <c r="O679" s="32"/>
      <c r="P679" s="32"/>
    </row>
    <row r="680">
      <c r="B680" s="35"/>
      <c r="G680" s="30"/>
      <c r="H680" s="30"/>
      <c r="L680" s="30"/>
      <c r="M680" s="30"/>
      <c r="O680" s="32"/>
      <c r="P680" s="32"/>
    </row>
    <row r="681">
      <c r="B681" s="35"/>
      <c r="G681" s="30"/>
      <c r="H681" s="30"/>
      <c r="L681" s="30"/>
      <c r="M681" s="30"/>
      <c r="O681" s="32"/>
      <c r="P681" s="32"/>
    </row>
    <row r="682">
      <c r="B682" s="35"/>
      <c r="G682" s="30"/>
      <c r="H682" s="30"/>
      <c r="L682" s="30"/>
      <c r="M682" s="30"/>
      <c r="O682" s="32"/>
      <c r="P682" s="32"/>
    </row>
    <row r="683">
      <c r="B683" s="35"/>
      <c r="G683" s="30"/>
      <c r="H683" s="30"/>
      <c r="L683" s="30"/>
      <c r="M683" s="30"/>
      <c r="O683" s="32"/>
      <c r="P683" s="32"/>
    </row>
    <row r="684">
      <c r="B684" s="35"/>
      <c r="G684" s="30"/>
      <c r="H684" s="30"/>
      <c r="L684" s="30"/>
      <c r="M684" s="30"/>
      <c r="O684" s="32"/>
      <c r="P684" s="32"/>
    </row>
    <row r="685">
      <c r="B685" s="35"/>
      <c r="G685" s="30"/>
      <c r="H685" s="30"/>
      <c r="L685" s="30"/>
      <c r="M685" s="30"/>
      <c r="O685" s="32"/>
      <c r="P685" s="32"/>
    </row>
    <row r="686">
      <c r="B686" s="35"/>
      <c r="G686" s="30"/>
      <c r="H686" s="30"/>
      <c r="L686" s="30"/>
      <c r="M686" s="30"/>
      <c r="O686" s="32"/>
      <c r="P686" s="32"/>
    </row>
    <row r="687">
      <c r="B687" s="35"/>
      <c r="G687" s="30"/>
      <c r="H687" s="30"/>
      <c r="L687" s="30"/>
      <c r="M687" s="30"/>
      <c r="O687" s="32"/>
      <c r="P687" s="32"/>
    </row>
    <row r="688">
      <c r="B688" s="35"/>
      <c r="G688" s="30"/>
      <c r="H688" s="30"/>
      <c r="L688" s="30"/>
      <c r="M688" s="30"/>
      <c r="O688" s="32"/>
      <c r="P688" s="32"/>
    </row>
    <row r="689">
      <c r="B689" s="35"/>
      <c r="G689" s="30"/>
      <c r="H689" s="30"/>
      <c r="L689" s="30"/>
      <c r="M689" s="30"/>
      <c r="O689" s="32"/>
      <c r="P689" s="32"/>
    </row>
    <row r="690">
      <c r="B690" s="35"/>
      <c r="G690" s="30"/>
      <c r="H690" s="30"/>
      <c r="L690" s="30"/>
      <c r="M690" s="30"/>
      <c r="O690" s="32"/>
      <c r="P690" s="32"/>
    </row>
    <row r="691">
      <c r="B691" s="35"/>
      <c r="G691" s="30"/>
      <c r="H691" s="30"/>
      <c r="L691" s="30"/>
      <c r="M691" s="30"/>
      <c r="O691" s="32"/>
      <c r="P691" s="32"/>
    </row>
    <row r="692">
      <c r="B692" s="35"/>
      <c r="G692" s="30"/>
      <c r="H692" s="30"/>
      <c r="L692" s="30"/>
      <c r="M692" s="30"/>
      <c r="O692" s="32"/>
      <c r="P692" s="32"/>
    </row>
    <row r="693">
      <c r="B693" s="35"/>
      <c r="G693" s="30"/>
      <c r="H693" s="30"/>
      <c r="L693" s="30"/>
      <c r="M693" s="30"/>
      <c r="O693" s="32"/>
      <c r="P693" s="32"/>
    </row>
    <row r="694">
      <c r="B694" s="35"/>
      <c r="G694" s="30"/>
      <c r="H694" s="30"/>
      <c r="L694" s="30"/>
      <c r="M694" s="30"/>
      <c r="O694" s="32"/>
      <c r="P694" s="32"/>
    </row>
    <row r="695">
      <c r="B695" s="35"/>
      <c r="G695" s="30"/>
      <c r="H695" s="30"/>
      <c r="L695" s="30"/>
      <c r="M695" s="30"/>
      <c r="O695" s="32"/>
      <c r="P695" s="32"/>
    </row>
    <row r="696">
      <c r="B696" s="35"/>
      <c r="G696" s="30"/>
      <c r="H696" s="30"/>
      <c r="L696" s="30"/>
      <c r="M696" s="30"/>
      <c r="O696" s="32"/>
      <c r="P696" s="32"/>
    </row>
    <row r="697">
      <c r="B697" s="35"/>
      <c r="G697" s="30"/>
      <c r="H697" s="30"/>
      <c r="L697" s="30"/>
      <c r="M697" s="30"/>
      <c r="O697" s="32"/>
      <c r="P697" s="32"/>
    </row>
    <row r="698">
      <c r="B698" s="35"/>
      <c r="G698" s="30"/>
      <c r="H698" s="30"/>
      <c r="L698" s="30"/>
      <c r="M698" s="30"/>
      <c r="O698" s="32"/>
      <c r="P698" s="32"/>
    </row>
    <row r="699">
      <c r="B699" s="35"/>
      <c r="G699" s="30"/>
      <c r="H699" s="30"/>
      <c r="L699" s="30"/>
      <c r="M699" s="30"/>
      <c r="O699" s="32"/>
      <c r="P699" s="32"/>
    </row>
    <row r="700">
      <c r="B700" s="35"/>
      <c r="G700" s="30"/>
      <c r="H700" s="30"/>
      <c r="L700" s="30"/>
      <c r="M700" s="30"/>
      <c r="O700" s="32"/>
      <c r="P700" s="32"/>
    </row>
    <row r="701">
      <c r="B701" s="35"/>
      <c r="G701" s="30"/>
      <c r="H701" s="30"/>
      <c r="L701" s="30"/>
      <c r="M701" s="30"/>
      <c r="O701" s="32"/>
      <c r="P701" s="32"/>
    </row>
    <row r="702">
      <c r="B702" s="35"/>
      <c r="G702" s="30"/>
      <c r="H702" s="30"/>
      <c r="L702" s="30"/>
      <c r="M702" s="30"/>
      <c r="O702" s="32"/>
      <c r="P702" s="32"/>
    </row>
    <row r="703">
      <c r="B703" s="35"/>
      <c r="G703" s="30"/>
      <c r="H703" s="30"/>
      <c r="L703" s="30"/>
      <c r="M703" s="30"/>
      <c r="O703" s="32"/>
      <c r="P703" s="32"/>
    </row>
    <row r="704">
      <c r="B704" s="35"/>
      <c r="G704" s="30"/>
      <c r="H704" s="30"/>
      <c r="L704" s="30"/>
      <c r="M704" s="30"/>
      <c r="O704" s="32"/>
      <c r="P704" s="32"/>
    </row>
    <row r="705">
      <c r="B705" s="35"/>
      <c r="G705" s="30"/>
      <c r="H705" s="30"/>
      <c r="L705" s="30"/>
      <c r="M705" s="30"/>
      <c r="O705" s="32"/>
      <c r="P705" s="32"/>
    </row>
    <row r="706">
      <c r="B706" s="35"/>
      <c r="G706" s="30"/>
      <c r="H706" s="30"/>
      <c r="L706" s="30"/>
      <c r="M706" s="30"/>
      <c r="O706" s="32"/>
      <c r="P706" s="32"/>
    </row>
    <row r="707">
      <c r="B707" s="35"/>
      <c r="G707" s="30"/>
      <c r="H707" s="30"/>
      <c r="L707" s="30"/>
      <c r="M707" s="30"/>
      <c r="O707" s="32"/>
      <c r="P707" s="32"/>
    </row>
    <row r="708">
      <c r="B708" s="35"/>
      <c r="G708" s="30"/>
      <c r="H708" s="30"/>
      <c r="L708" s="30"/>
      <c r="M708" s="30"/>
      <c r="O708" s="32"/>
      <c r="P708" s="32"/>
    </row>
    <row r="709">
      <c r="B709" s="35"/>
      <c r="G709" s="30"/>
      <c r="H709" s="30"/>
      <c r="L709" s="30"/>
      <c r="M709" s="30"/>
      <c r="O709" s="32"/>
      <c r="P709" s="32"/>
    </row>
    <row r="710">
      <c r="B710" s="35"/>
      <c r="G710" s="30"/>
      <c r="H710" s="30"/>
      <c r="L710" s="30"/>
      <c r="M710" s="30"/>
      <c r="O710" s="32"/>
      <c r="P710" s="32"/>
    </row>
    <row r="711">
      <c r="B711" s="35"/>
      <c r="G711" s="30"/>
      <c r="H711" s="30"/>
      <c r="L711" s="30"/>
      <c r="M711" s="30"/>
      <c r="O711" s="32"/>
      <c r="P711" s="32"/>
    </row>
    <row r="712">
      <c r="B712" s="35"/>
      <c r="G712" s="30"/>
      <c r="H712" s="30"/>
      <c r="L712" s="30"/>
      <c r="M712" s="30"/>
      <c r="O712" s="32"/>
      <c r="P712" s="32"/>
    </row>
    <row r="713">
      <c r="B713" s="35"/>
      <c r="G713" s="30"/>
      <c r="H713" s="30"/>
      <c r="L713" s="30"/>
      <c r="M713" s="30"/>
      <c r="O713" s="32"/>
      <c r="P713" s="32"/>
    </row>
    <row r="714">
      <c r="B714" s="35"/>
      <c r="G714" s="30"/>
      <c r="H714" s="30"/>
      <c r="L714" s="30"/>
      <c r="M714" s="30"/>
      <c r="O714" s="32"/>
      <c r="P714" s="32"/>
    </row>
    <row r="715">
      <c r="B715" s="35"/>
      <c r="G715" s="30"/>
      <c r="H715" s="30"/>
      <c r="L715" s="30"/>
      <c r="M715" s="30"/>
      <c r="O715" s="32"/>
      <c r="P715" s="32"/>
    </row>
    <row r="716">
      <c r="B716" s="35"/>
      <c r="G716" s="30"/>
      <c r="H716" s="30"/>
      <c r="L716" s="30"/>
      <c r="M716" s="30"/>
      <c r="O716" s="32"/>
      <c r="P716" s="32"/>
    </row>
    <row r="717">
      <c r="B717" s="35"/>
      <c r="G717" s="30"/>
      <c r="H717" s="30"/>
      <c r="L717" s="30"/>
      <c r="M717" s="30"/>
      <c r="O717" s="32"/>
      <c r="P717" s="32"/>
    </row>
    <row r="718">
      <c r="B718" s="35"/>
      <c r="G718" s="30"/>
      <c r="H718" s="30"/>
      <c r="L718" s="30"/>
      <c r="M718" s="30"/>
      <c r="O718" s="32"/>
      <c r="P718" s="32"/>
    </row>
    <row r="719">
      <c r="B719" s="35"/>
      <c r="G719" s="30"/>
      <c r="H719" s="30"/>
      <c r="L719" s="30"/>
      <c r="M719" s="30"/>
      <c r="O719" s="32"/>
      <c r="P719" s="32"/>
    </row>
    <row r="720">
      <c r="B720" s="35"/>
      <c r="G720" s="30"/>
      <c r="H720" s="30"/>
      <c r="L720" s="30"/>
      <c r="M720" s="30"/>
      <c r="O720" s="32"/>
      <c r="P720" s="32"/>
    </row>
    <row r="721">
      <c r="B721" s="35"/>
      <c r="G721" s="30"/>
      <c r="H721" s="30"/>
      <c r="L721" s="30"/>
      <c r="M721" s="30"/>
      <c r="O721" s="32"/>
      <c r="P721" s="32"/>
    </row>
    <row r="722">
      <c r="B722" s="35"/>
      <c r="G722" s="30"/>
      <c r="H722" s="30"/>
      <c r="L722" s="30"/>
      <c r="M722" s="30"/>
      <c r="O722" s="32"/>
      <c r="P722" s="32"/>
    </row>
    <row r="723">
      <c r="B723" s="35"/>
      <c r="G723" s="30"/>
      <c r="H723" s="30"/>
      <c r="L723" s="30"/>
      <c r="M723" s="30"/>
      <c r="O723" s="32"/>
      <c r="P723" s="32"/>
    </row>
    <row r="724">
      <c r="B724" s="35"/>
      <c r="G724" s="30"/>
      <c r="H724" s="30"/>
      <c r="L724" s="30"/>
      <c r="M724" s="30"/>
      <c r="O724" s="32"/>
      <c r="P724" s="32"/>
    </row>
    <row r="725">
      <c r="B725" s="35"/>
      <c r="G725" s="30"/>
      <c r="H725" s="30"/>
      <c r="L725" s="30"/>
      <c r="M725" s="30"/>
      <c r="O725" s="32"/>
      <c r="P725" s="32"/>
    </row>
    <row r="726">
      <c r="B726" s="35"/>
      <c r="G726" s="30"/>
      <c r="H726" s="30"/>
      <c r="L726" s="30"/>
      <c r="M726" s="30"/>
      <c r="O726" s="32"/>
      <c r="P726" s="32"/>
    </row>
    <row r="727">
      <c r="B727" s="35"/>
      <c r="G727" s="30"/>
      <c r="H727" s="30"/>
      <c r="L727" s="30"/>
      <c r="M727" s="30"/>
      <c r="O727" s="32"/>
      <c r="P727" s="32"/>
    </row>
    <row r="728">
      <c r="B728" s="35"/>
      <c r="G728" s="30"/>
      <c r="H728" s="30"/>
      <c r="L728" s="30"/>
      <c r="M728" s="30"/>
      <c r="O728" s="32"/>
      <c r="P728" s="32"/>
    </row>
    <row r="729">
      <c r="B729" s="35"/>
      <c r="G729" s="30"/>
      <c r="H729" s="30"/>
      <c r="L729" s="30"/>
      <c r="M729" s="30"/>
      <c r="O729" s="32"/>
      <c r="P729" s="32"/>
    </row>
    <row r="730">
      <c r="B730" s="35"/>
      <c r="G730" s="30"/>
      <c r="H730" s="30"/>
      <c r="L730" s="30"/>
      <c r="M730" s="30"/>
      <c r="O730" s="32"/>
      <c r="P730" s="32"/>
    </row>
    <row r="731">
      <c r="B731" s="35"/>
      <c r="G731" s="30"/>
      <c r="H731" s="30"/>
      <c r="L731" s="30"/>
      <c r="M731" s="30"/>
      <c r="O731" s="32"/>
      <c r="P731" s="32"/>
    </row>
    <row r="732">
      <c r="B732" s="35"/>
      <c r="G732" s="30"/>
      <c r="H732" s="30"/>
      <c r="L732" s="30"/>
      <c r="M732" s="30"/>
      <c r="O732" s="32"/>
      <c r="P732" s="32"/>
    </row>
    <row r="733">
      <c r="B733" s="35"/>
      <c r="G733" s="30"/>
      <c r="H733" s="30"/>
      <c r="L733" s="30"/>
      <c r="M733" s="30"/>
      <c r="O733" s="32"/>
      <c r="P733" s="32"/>
    </row>
    <row r="734">
      <c r="B734" s="35"/>
      <c r="G734" s="30"/>
      <c r="H734" s="30"/>
      <c r="L734" s="30"/>
      <c r="M734" s="30"/>
      <c r="O734" s="32"/>
      <c r="P734" s="32"/>
    </row>
    <row r="735">
      <c r="B735" s="35"/>
      <c r="G735" s="30"/>
      <c r="H735" s="30"/>
      <c r="L735" s="30"/>
      <c r="M735" s="30"/>
      <c r="O735" s="32"/>
      <c r="P735" s="32"/>
    </row>
    <row r="736">
      <c r="B736" s="35"/>
      <c r="G736" s="30"/>
      <c r="H736" s="30"/>
      <c r="L736" s="30"/>
      <c r="M736" s="30"/>
      <c r="O736" s="32"/>
      <c r="P736" s="32"/>
    </row>
    <row r="737">
      <c r="B737" s="35"/>
      <c r="G737" s="30"/>
      <c r="H737" s="30"/>
      <c r="L737" s="30"/>
      <c r="M737" s="30"/>
      <c r="O737" s="32"/>
      <c r="P737" s="32"/>
    </row>
    <row r="738">
      <c r="B738" s="35"/>
      <c r="G738" s="30"/>
      <c r="H738" s="30"/>
      <c r="L738" s="30"/>
      <c r="M738" s="30"/>
      <c r="O738" s="32"/>
      <c r="P738" s="32"/>
    </row>
    <row r="739">
      <c r="B739" s="35"/>
      <c r="G739" s="30"/>
      <c r="H739" s="30"/>
      <c r="L739" s="30"/>
      <c r="M739" s="30"/>
      <c r="O739" s="32"/>
      <c r="P739" s="32"/>
    </row>
    <row r="740">
      <c r="B740" s="35"/>
      <c r="G740" s="30"/>
      <c r="H740" s="30"/>
      <c r="L740" s="30"/>
      <c r="M740" s="30"/>
      <c r="O740" s="32"/>
      <c r="P740" s="32"/>
    </row>
    <row r="741">
      <c r="B741" s="35"/>
      <c r="G741" s="30"/>
      <c r="H741" s="30"/>
      <c r="L741" s="30"/>
      <c r="M741" s="30"/>
      <c r="O741" s="32"/>
      <c r="P741" s="32"/>
    </row>
    <row r="742">
      <c r="B742" s="35"/>
      <c r="G742" s="30"/>
      <c r="H742" s="30"/>
      <c r="L742" s="30"/>
      <c r="M742" s="30"/>
      <c r="O742" s="32"/>
      <c r="P742" s="32"/>
    </row>
    <row r="743">
      <c r="B743" s="35"/>
      <c r="G743" s="30"/>
      <c r="H743" s="30"/>
      <c r="L743" s="30"/>
      <c r="M743" s="30"/>
      <c r="O743" s="32"/>
      <c r="P743" s="32"/>
    </row>
    <row r="744">
      <c r="B744" s="35"/>
      <c r="G744" s="30"/>
      <c r="H744" s="30"/>
      <c r="L744" s="30"/>
      <c r="M744" s="30"/>
      <c r="O744" s="32"/>
      <c r="P744" s="32"/>
    </row>
    <row r="745">
      <c r="B745" s="35"/>
      <c r="G745" s="30"/>
      <c r="H745" s="30"/>
      <c r="L745" s="30"/>
      <c r="M745" s="30"/>
      <c r="O745" s="32"/>
      <c r="P745" s="32"/>
    </row>
    <row r="746">
      <c r="B746" s="35"/>
      <c r="G746" s="30"/>
      <c r="H746" s="30"/>
      <c r="L746" s="30"/>
      <c r="M746" s="30"/>
      <c r="O746" s="32"/>
      <c r="P746" s="32"/>
    </row>
    <row r="747">
      <c r="B747" s="35"/>
      <c r="G747" s="30"/>
      <c r="H747" s="30"/>
      <c r="L747" s="30"/>
      <c r="M747" s="30"/>
      <c r="O747" s="32"/>
      <c r="P747" s="32"/>
    </row>
    <row r="748">
      <c r="B748" s="35"/>
      <c r="G748" s="30"/>
      <c r="H748" s="30"/>
      <c r="L748" s="30"/>
      <c r="M748" s="30"/>
      <c r="O748" s="32"/>
      <c r="P748" s="32"/>
    </row>
    <row r="749">
      <c r="B749" s="35"/>
      <c r="G749" s="30"/>
      <c r="H749" s="30"/>
      <c r="L749" s="30"/>
      <c r="M749" s="30"/>
      <c r="O749" s="32"/>
      <c r="P749" s="32"/>
    </row>
    <row r="750">
      <c r="B750" s="35"/>
      <c r="G750" s="30"/>
      <c r="H750" s="30"/>
      <c r="L750" s="30"/>
      <c r="M750" s="30"/>
      <c r="O750" s="32"/>
      <c r="P750" s="32"/>
    </row>
    <row r="751">
      <c r="B751" s="35"/>
      <c r="G751" s="30"/>
      <c r="H751" s="30"/>
      <c r="L751" s="30"/>
      <c r="M751" s="30"/>
      <c r="O751" s="32"/>
      <c r="P751" s="32"/>
    </row>
    <row r="752">
      <c r="B752" s="35"/>
      <c r="G752" s="30"/>
      <c r="H752" s="30"/>
      <c r="L752" s="30"/>
      <c r="M752" s="30"/>
      <c r="O752" s="32"/>
      <c r="P752" s="32"/>
    </row>
    <row r="753">
      <c r="B753" s="35"/>
      <c r="G753" s="30"/>
      <c r="H753" s="30"/>
      <c r="L753" s="30"/>
      <c r="M753" s="30"/>
      <c r="O753" s="32"/>
      <c r="P753" s="32"/>
    </row>
    <row r="754">
      <c r="B754" s="35"/>
      <c r="G754" s="30"/>
      <c r="H754" s="30"/>
      <c r="L754" s="30"/>
      <c r="M754" s="30"/>
      <c r="O754" s="32"/>
      <c r="P754" s="32"/>
    </row>
    <row r="755">
      <c r="B755" s="35"/>
      <c r="G755" s="30"/>
      <c r="H755" s="30"/>
      <c r="L755" s="30"/>
      <c r="M755" s="30"/>
      <c r="O755" s="32"/>
      <c r="P755" s="32"/>
    </row>
    <row r="756">
      <c r="B756" s="35"/>
      <c r="G756" s="30"/>
      <c r="H756" s="30"/>
      <c r="L756" s="30"/>
      <c r="M756" s="30"/>
      <c r="O756" s="32"/>
      <c r="P756" s="32"/>
    </row>
    <row r="757">
      <c r="B757" s="35"/>
      <c r="G757" s="30"/>
      <c r="H757" s="30"/>
      <c r="L757" s="30"/>
      <c r="M757" s="30"/>
      <c r="O757" s="32"/>
      <c r="P757" s="32"/>
    </row>
    <row r="758">
      <c r="B758" s="35"/>
      <c r="G758" s="30"/>
      <c r="H758" s="30"/>
      <c r="L758" s="30"/>
      <c r="M758" s="30"/>
      <c r="O758" s="32"/>
      <c r="P758" s="32"/>
    </row>
    <row r="759">
      <c r="B759" s="35"/>
      <c r="G759" s="30"/>
      <c r="H759" s="30"/>
      <c r="L759" s="30"/>
      <c r="M759" s="30"/>
      <c r="O759" s="32"/>
      <c r="P759" s="32"/>
    </row>
    <row r="760">
      <c r="B760" s="35"/>
      <c r="G760" s="30"/>
      <c r="H760" s="30"/>
      <c r="L760" s="30"/>
      <c r="M760" s="30"/>
      <c r="O760" s="32"/>
      <c r="P760" s="32"/>
    </row>
    <row r="761">
      <c r="B761" s="35"/>
      <c r="G761" s="30"/>
      <c r="H761" s="30"/>
      <c r="L761" s="30"/>
      <c r="M761" s="30"/>
      <c r="O761" s="32"/>
      <c r="P761" s="32"/>
    </row>
    <row r="762">
      <c r="B762" s="35"/>
      <c r="G762" s="30"/>
      <c r="H762" s="30"/>
      <c r="L762" s="30"/>
      <c r="M762" s="30"/>
      <c r="O762" s="32"/>
      <c r="P762" s="32"/>
    </row>
    <row r="763">
      <c r="B763" s="35"/>
      <c r="G763" s="30"/>
      <c r="H763" s="30"/>
      <c r="L763" s="30"/>
      <c r="M763" s="30"/>
      <c r="O763" s="32"/>
      <c r="P763" s="32"/>
    </row>
    <row r="764">
      <c r="B764" s="35"/>
      <c r="G764" s="30"/>
      <c r="H764" s="30"/>
      <c r="L764" s="30"/>
      <c r="M764" s="30"/>
      <c r="O764" s="32"/>
      <c r="P764" s="32"/>
    </row>
    <row r="765">
      <c r="B765" s="35"/>
      <c r="G765" s="30"/>
      <c r="H765" s="30"/>
      <c r="L765" s="30"/>
      <c r="M765" s="30"/>
      <c r="O765" s="32"/>
      <c r="P765" s="32"/>
    </row>
    <row r="766">
      <c r="B766" s="35"/>
      <c r="G766" s="30"/>
      <c r="H766" s="30"/>
      <c r="L766" s="30"/>
      <c r="M766" s="30"/>
      <c r="O766" s="32"/>
      <c r="P766" s="32"/>
    </row>
    <row r="767">
      <c r="B767" s="35"/>
      <c r="G767" s="30"/>
      <c r="H767" s="30"/>
      <c r="L767" s="30"/>
      <c r="M767" s="30"/>
      <c r="O767" s="32"/>
      <c r="P767" s="32"/>
    </row>
    <row r="768">
      <c r="B768" s="35"/>
      <c r="G768" s="30"/>
      <c r="H768" s="30"/>
      <c r="L768" s="30"/>
      <c r="M768" s="30"/>
      <c r="O768" s="32"/>
      <c r="P768" s="32"/>
    </row>
    <row r="769">
      <c r="B769" s="35"/>
      <c r="G769" s="30"/>
      <c r="H769" s="30"/>
      <c r="L769" s="30"/>
      <c r="M769" s="30"/>
      <c r="O769" s="32"/>
      <c r="P769" s="32"/>
    </row>
    <row r="770">
      <c r="B770" s="35"/>
      <c r="G770" s="30"/>
      <c r="H770" s="30"/>
      <c r="L770" s="30"/>
      <c r="M770" s="30"/>
      <c r="O770" s="32"/>
      <c r="P770" s="32"/>
    </row>
    <row r="771">
      <c r="B771" s="35"/>
      <c r="G771" s="30"/>
      <c r="H771" s="30"/>
      <c r="L771" s="30"/>
      <c r="M771" s="30"/>
      <c r="O771" s="32"/>
      <c r="P771" s="32"/>
    </row>
    <row r="772">
      <c r="B772" s="35"/>
      <c r="G772" s="30"/>
      <c r="H772" s="30"/>
      <c r="L772" s="30"/>
      <c r="M772" s="30"/>
      <c r="O772" s="32"/>
      <c r="P772" s="32"/>
    </row>
    <row r="773">
      <c r="B773" s="35"/>
      <c r="G773" s="30"/>
      <c r="H773" s="30"/>
      <c r="L773" s="30"/>
      <c r="M773" s="30"/>
      <c r="O773" s="32"/>
      <c r="P773" s="32"/>
    </row>
    <row r="774">
      <c r="B774" s="35"/>
      <c r="G774" s="30"/>
      <c r="H774" s="30"/>
      <c r="L774" s="30"/>
      <c r="M774" s="30"/>
      <c r="O774" s="32"/>
      <c r="P774" s="32"/>
    </row>
    <row r="775">
      <c r="B775" s="35"/>
      <c r="G775" s="30"/>
      <c r="H775" s="30"/>
      <c r="L775" s="30"/>
      <c r="M775" s="30"/>
      <c r="O775" s="32"/>
      <c r="P775" s="32"/>
    </row>
    <row r="776">
      <c r="B776" s="35"/>
      <c r="G776" s="30"/>
      <c r="H776" s="30"/>
      <c r="L776" s="30"/>
      <c r="M776" s="30"/>
      <c r="O776" s="32"/>
      <c r="P776" s="32"/>
    </row>
    <row r="777">
      <c r="B777" s="35"/>
      <c r="G777" s="30"/>
      <c r="H777" s="30"/>
      <c r="L777" s="30"/>
      <c r="M777" s="30"/>
      <c r="O777" s="32"/>
      <c r="P777" s="32"/>
    </row>
    <row r="778">
      <c r="B778" s="35"/>
      <c r="G778" s="30"/>
      <c r="H778" s="30"/>
      <c r="L778" s="30"/>
      <c r="M778" s="30"/>
      <c r="O778" s="32"/>
      <c r="P778" s="32"/>
    </row>
    <row r="779">
      <c r="B779" s="35"/>
      <c r="G779" s="30"/>
      <c r="H779" s="30"/>
      <c r="L779" s="30"/>
      <c r="M779" s="30"/>
      <c r="O779" s="32"/>
      <c r="P779" s="32"/>
    </row>
    <row r="780">
      <c r="B780" s="35"/>
      <c r="G780" s="30"/>
      <c r="H780" s="30"/>
      <c r="L780" s="30"/>
      <c r="M780" s="30"/>
      <c r="O780" s="32"/>
      <c r="P780" s="32"/>
    </row>
    <row r="781">
      <c r="B781" s="35"/>
      <c r="G781" s="30"/>
      <c r="H781" s="30"/>
      <c r="L781" s="30"/>
      <c r="M781" s="30"/>
      <c r="O781" s="32"/>
      <c r="P781" s="32"/>
    </row>
    <row r="782">
      <c r="B782" s="35"/>
      <c r="G782" s="30"/>
      <c r="H782" s="30"/>
      <c r="L782" s="30"/>
      <c r="M782" s="30"/>
      <c r="O782" s="32"/>
      <c r="P782" s="32"/>
    </row>
    <row r="783">
      <c r="B783" s="35"/>
      <c r="G783" s="30"/>
      <c r="H783" s="30"/>
      <c r="L783" s="30"/>
      <c r="M783" s="30"/>
      <c r="O783" s="32"/>
      <c r="P783" s="32"/>
    </row>
    <row r="784">
      <c r="B784" s="35"/>
      <c r="G784" s="30"/>
      <c r="H784" s="30"/>
      <c r="L784" s="30"/>
      <c r="M784" s="30"/>
      <c r="O784" s="32"/>
      <c r="P784" s="32"/>
    </row>
    <row r="785">
      <c r="B785" s="35"/>
      <c r="G785" s="30"/>
      <c r="H785" s="30"/>
      <c r="L785" s="30"/>
      <c r="M785" s="30"/>
      <c r="O785" s="32"/>
      <c r="P785" s="32"/>
    </row>
    <row r="786">
      <c r="B786" s="35"/>
      <c r="G786" s="30"/>
      <c r="H786" s="30"/>
      <c r="L786" s="30"/>
      <c r="M786" s="30"/>
      <c r="O786" s="32"/>
      <c r="P786" s="32"/>
    </row>
    <row r="787">
      <c r="B787" s="35"/>
      <c r="G787" s="30"/>
      <c r="H787" s="30"/>
      <c r="L787" s="30"/>
      <c r="M787" s="30"/>
      <c r="O787" s="32"/>
      <c r="P787" s="32"/>
    </row>
    <row r="788">
      <c r="B788" s="35"/>
      <c r="G788" s="30"/>
      <c r="H788" s="30"/>
      <c r="L788" s="30"/>
      <c r="M788" s="30"/>
      <c r="O788" s="32"/>
      <c r="P788" s="32"/>
    </row>
    <row r="789">
      <c r="B789" s="35"/>
      <c r="G789" s="30"/>
      <c r="H789" s="30"/>
      <c r="L789" s="30"/>
      <c r="M789" s="30"/>
      <c r="O789" s="32"/>
      <c r="P789" s="32"/>
    </row>
    <row r="790">
      <c r="B790" s="35"/>
      <c r="G790" s="30"/>
      <c r="H790" s="30"/>
      <c r="L790" s="30"/>
      <c r="M790" s="30"/>
      <c r="O790" s="32"/>
      <c r="P790" s="32"/>
    </row>
    <row r="791">
      <c r="B791" s="35"/>
      <c r="G791" s="30"/>
      <c r="H791" s="30"/>
      <c r="L791" s="30"/>
      <c r="M791" s="30"/>
      <c r="O791" s="32"/>
      <c r="P791" s="32"/>
    </row>
    <row r="792">
      <c r="B792" s="35"/>
      <c r="G792" s="30"/>
      <c r="H792" s="30"/>
      <c r="L792" s="30"/>
      <c r="M792" s="30"/>
      <c r="O792" s="32"/>
      <c r="P792" s="32"/>
    </row>
    <row r="793">
      <c r="B793" s="35"/>
      <c r="G793" s="30"/>
      <c r="H793" s="30"/>
      <c r="L793" s="30"/>
      <c r="M793" s="30"/>
      <c r="O793" s="32"/>
      <c r="P793" s="32"/>
    </row>
    <row r="794">
      <c r="B794" s="35"/>
      <c r="G794" s="30"/>
      <c r="H794" s="30"/>
      <c r="L794" s="30"/>
      <c r="M794" s="30"/>
      <c r="O794" s="32"/>
      <c r="P794" s="32"/>
    </row>
    <row r="795">
      <c r="B795" s="35"/>
      <c r="G795" s="30"/>
      <c r="H795" s="30"/>
      <c r="L795" s="30"/>
      <c r="M795" s="30"/>
      <c r="O795" s="32"/>
      <c r="P795" s="32"/>
    </row>
    <row r="796">
      <c r="B796" s="35"/>
      <c r="G796" s="30"/>
      <c r="H796" s="30"/>
      <c r="L796" s="30"/>
      <c r="M796" s="30"/>
      <c r="O796" s="32"/>
      <c r="P796" s="32"/>
    </row>
    <row r="797">
      <c r="B797" s="35"/>
      <c r="G797" s="30"/>
      <c r="H797" s="30"/>
      <c r="L797" s="30"/>
      <c r="M797" s="30"/>
      <c r="O797" s="32"/>
      <c r="P797" s="32"/>
    </row>
    <row r="798">
      <c r="B798" s="35"/>
      <c r="G798" s="30"/>
      <c r="H798" s="30"/>
      <c r="L798" s="30"/>
      <c r="M798" s="30"/>
      <c r="O798" s="32"/>
      <c r="P798" s="32"/>
    </row>
    <row r="799">
      <c r="B799" s="35"/>
      <c r="G799" s="30"/>
      <c r="H799" s="30"/>
      <c r="L799" s="30"/>
      <c r="M799" s="30"/>
      <c r="O799" s="32"/>
      <c r="P799" s="32"/>
    </row>
    <row r="800">
      <c r="B800" s="35"/>
      <c r="G800" s="30"/>
      <c r="H800" s="30"/>
      <c r="L800" s="30"/>
      <c r="M800" s="30"/>
      <c r="O800" s="32"/>
      <c r="P800" s="32"/>
    </row>
    <row r="801">
      <c r="B801" s="35"/>
      <c r="G801" s="30"/>
      <c r="H801" s="30"/>
      <c r="L801" s="30"/>
      <c r="M801" s="30"/>
      <c r="O801" s="32"/>
      <c r="P801" s="32"/>
    </row>
    <row r="802">
      <c r="B802" s="35"/>
      <c r="G802" s="30"/>
      <c r="H802" s="30"/>
      <c r="L802" s="30"/>
      <c r="M802" s="30"/>
      <c r="O802" s="32"/>
      <c r="P802" s="32"/>
    </row>
    <row r="803">
      <c r="B803" s="35"/>
      <c r="G803" s="30"/>
      <c r="H803" s="30"/>
      <c r="L803" s="30"/>
      <c r="M803" s="30"/>
      <c r="O803" s="32"/>
      <c r="P803" s="32"/>
    </row>
    <row r="804">
      <c r="B804" s="35"/>
      <c r="G804" s="30"/>
      <c r="H804" s="30"/>
      <c r="L804" s="30"/>
      <c r="M804" s="30"/>
      <c r="O804" s="32"/>
      <c r="P804" s="32"/>
    </row>
    <row r="805">
      <c r="B805" s="35"/>
      <c r="G805" s="30"/>
      <c r="H805" s="30"/>
      <c r="L805" s="30"/>
      <c r="M805" s="30"/>
      <c r="O805" s="32"/>
      <c r="P805" s="32"/>
    </row>
    <row r="806">
      <c r="B806" s="35"/>
      <c r="G806" s="30"/>
      <c r="H806" s="30"/>
      <c r="L806" s="30"/>
      <c r="M806" s="30"/>
      <c r="O806" s="32"/>
      <c r="P806" s="32"/>
    </row>
    <row r="807">
      <c r="B807" s="35"/>
      <c r="G807" s="30"/>
      <c r="H807" s="30"/>
      <c r="L807" s="30"/>
      <c r="M807" s="30"/>
      <c r="O807" s="32"/>
      <c r="P807" s="32"/>
    </row>
    <row r="808">
      <c r="B808" s="35"/>
      <c r="G808" s="30"/>
      <c r="H808" s="30"/>
      <c r="L808" s="30"/>
      <c r="M808" s="30"/>
      <c r="O808" s="32"/>
      <c r="P808" s="32"/>
    </row>
    <row r="809">
      <c r="B809" s="35"/>
      <c r="G809" s="30"/>
      <c r="H809" s="30"/>
      <c r="L809" s="30"/>
      <c r="M809" s="30"/>
      <c r="O809" s="32"/>
      <c r="P809" s="32"/>
    </row>
    <row r="810">
      <c r="B810" s="35"/>
      <c r="G810" s="30"/>
      <c r="H810" s="30"/>
      <c r="L810" s="30"/>
      <c r="M810" s="30"/>
      <c r="O810" s="32"/>
      <c r="P810" s="32"/>
    </row>
    <row r="811">
      <c r="B811" s="35"/>
      <c r="G811" s="30"/>
      <c r="H811" s="30"/>
      <c r="L811" s="30"/>
      <c r="M811" s="30"/>
      <c r="O811" s="32"/>
      <c r="P811" s="32"/>
    </row>
    <row r="812">
      <c r="B812" s="35"/>
      <c r="G812" s="30"/>
      <c r="H812" s="30"/>
      <c r="L812" s="30"/>
      <c r="M812" s="30"/>
      <c r="O812" s="32"/>
      <c r="P812" s="32"/>
    </row>
    <row r="813">
      <c r="B813" s="35"/>
      <c r="G813" s="30"/>
      <c r="H813" s="30"/>
      <c r="L813" s="30"/>
      <c r="M813" s="30"/>
      <c r="O813" s="32"/>
      <c r="P813" s="32"/>
    </row>
    <row r="814">
      <c r="B814" s="35"/>
      <c r="G814" s="30"/>
      <c r="H814" s="30"/>
      <c r="L814" s="30"/>
      <c r="M814" s="30"/>
      <c r="O814" s="32"/>
      <c r="P814" s="32"/>
    </row>
    <row r="815">
      <c r="B815" s="35"/>
      <c r="G815" s="30"/>
      <c r="H815" s="30"/>
      <c r="L815" s="30"/>
      <c r="M815" s="30"/>
      <c r="O815" s="32"/>
      <c r="P815" s="32"/>
    </row>
    <row r="816">
      <c r="B816" s="35"/>
      <c r="G816" s="30"/>
      <c r="H816" s="30"/>
      <c r="L816" s="30"/>
      <c r="M816" s="30"/>
      <c r="O816" s="32"/>
      <c r="P816" s="32"/>
    </row>
    <row r="817">
      <c r="B817" s="35"/>
      <c r="G817" s="30"/>
      <c r="H817" s="30"/>
      <c r="L817" s="30"/>
      <c r="M817" s="30"/>
      <c r="O817" s="32"/>
      <c r="P817" s="32"/>
    </row>
    <row r="818">
      <c r="B818" s="35"/>
      <c r="G818" s="30"/>
      <c r="H818" s="30"/>
      <c r="L818" s="30"/>
      <c r="M818" s="30"/>
      <c r="O818" s="32"/>
      <c r="P818" s="32"/>
    </row>
    <row r="819">
      <c r="B819" s="35"/>
      <c r="G819" s="30"/>
      <c r="H819" s="30"/>
      <c r="L819" s="30"/>
      <c r="M819" s="30"/>
      <c r="O819" s="32"/>
      <c r="P819" s="32"/>
    </row>
    <row r="820">
      <c r="B820" s="35"/>
      <c r="G820" s="30"/>
      <c r="H820" s="30"/>
      <c r="L820" s="30"/>
      <c r="M820" s="30"/>
      <c r="O820" s="32"/>
      <c r="P820" s="32"/>
    </row>
    <row r="821">
      <c r="B821" s="35"/>
      <c r="G821" s="30"/>
      <c r="H821" s="30"/>
      <c r="L821" s="30"/>
      <c r="M821" s="30"/>
      <c r="O821" s="32"/>
      <c r="P821" s="32"/>
    </row>
    <row r="822">
      <c r="B822" s="35"/>
      <c r="G822" s="30"/>
      <c r="H822" s="30"/>
      <c r="L822" s="30"/>
      <c r="M822" s="30"/>
      <c r="O822" s="32"/>
      <c r="P822" s="32"/>
    </row>
    <row r="823">
      <c r="B823" s="35"/>
      <c r="G823" s="30"/>
      <c r="H823" s="30"/>
      <c r="L823" s="30"/>
      <c r="M823" s="30"/>
      <c r="O823" s="32"/>
      <c r="P823" s="32"/>
    </row>
    <row r="824">
      <c r="B824" s="35"/>
      <c r="G824" s="30"/>
      <c r="H824" s="30"/>
      <c r="L824" s="30"/>
      <c r="M824" s="30"/>
      <c r="O824" s="32"/>
      <c r="P824" s="32"/>
    </row>
    <row r="825">
      <c r="B825" s="35"/>
      <c r="G825" s="30"/>
      <c r="H825" s="30"/>
      <c r="L825" s="30"/>
      <c r="M825" s="30"/>
      <c r="O825" s="32"/>
      <c r="P825" s="32"/>
    </row>
    <row r="826">
      <c r="B826" s="35"/>
      <c r="G826" s="30"/>
      <c r="H826" s="30"/>
      <c r="L826" s="30"/>
      <c r="M826" s="30"/>
      <c r="O826" s="32"/>
      <c r="P826" s="32"/>
    </row>
    <row r="827">
      <c r="B827" s="35"/>
      <c r="G827" s="30"/>
      <c r="H827" s="30"/>
      <c r="L827" s="30"/>
      <c r="M827" s="30"/>
      <c r="O827" s="32"/>
      <c r="P827" s="32"/>
    </row>
    <row r="828">
      <c r="B828" s="35"/>
      <c r="G828" s="30"/>
      <c r="H828" s="30"/>
      <c r="L828" s="30"/>
      <c r="M828" s="30"/>
      <c r="O828" s="32"/>
      <c r="P828" s="32"/>
    </row>
    <row r="829">
      <c r="B829" s="35"/>
      <c r="G829" s="30"/>
      <c r="H829" s="30"/>
      <c r="L829" s="30"/>
      <c r="M829" s="30"/>
      <c r="O829" s="32"/>
      <c r="P829" s="32"/>
    </row>
    <row r="830">
      <c r="B830" s="35"/>
      <c r="G830" s="30"/>
      <c r="H830" s="30"/>
      <c r="L830" s="30"/>
      <c r="M830" s="30"/>
      <c r="O830" s="32"/>
      <c r="P830" s="32"/>
    </row>
    <row r="831">
      <c r="B831" s="35"/>
      <c r="G831" s="30"/>
      <c r="H831" s="30"/>
      <c r="L831" s="30"/>
      <c r="M831" s="30"/>
      <c r="O831" s="32"/>
      <c r="P831" s="32"/>
    </row>
    <row r="832">
      <c r="B832" s="35"/>
      <c r="G832" s="30"/>
      <c r="H832" s="30"/>
      <c r="L832" s="30"/>
      <c r="M832" s="30"/>
      <c r="O832" s="32"/>
      <c r="P832" s="32"/>
    </row>
    <row r="833">
      <c r="B833" s="35"/>
      <c r="G833" s="30"/>
      <c r="H833" s="30"/>
      <c r="L833" s="30"/>
      <c r="M833" s="30"/>
      <c r="O833" s="32"/>
      <c r="P833" s="32"/>
    </row>
    <row r="834">
      <c r="B834" s="35"/>
      <c r="G834" s="30"/>
      <c r="H834" s="30"/>
      <c r="L834" s="30"/>
      <c r="M834" s="30"/>
      <c r="O834" s="32"/>
      <c r="P834" s="32"/>
    </row>
    <row r="835">
      <c r="B835" s="35"/>
      <c r="G835" s="30"/>
      <c r="H835" s="30"/>
      <c r="L835" s="30"/>
      <c r="M835" s="30"/>
      <c r="O835" s="32"/>
      <c r="P835" s="32"/>
    </row>
    <row r="836">
      <c r="B836" s="35"/>
      <c r="G836" s="30"/>
      <c r="H836" s="30"/>
      <c r="L836" s="30"/>
      <c r="M836" s="30"/>
      <c r="O836" s="32"/>
      <c r="P836" s="32"/>
    </row>
    <row r="837">
      <c r="B837" s="35"/>
      <c r="G837" s="30"/>
      <c r="H837" s="30"/>
      <c r="L837" s="30"/>
      <c r="M837" s="30"/>
      <c r="O837" s="32"/>
      <c r="P837" s="32"/>
    </row>
    <row r="838">
      <c r="B838" s="35"/>
      <c r="G838" s="30"/>
      <c r="H838" s="30"/>
      <c r="L838" s="30"/>
      <c r="M838" s="30"/>
      <c r="O838" s="32"/>
      <c r="P838" s="32"/>
    </row>
    <row r="839">
      <c r="B839" s="35"/>
      <c r="G839" s="30"/>
      <c r="H839" s="30"/>
      <c r="L839" s="30"/>
      <c r="M839" s="30"/>
      <c r="O839" s="32"/>
      <c r="P839" s="32"/>
    </row>
    <row r="840">
      <c r="B840" s="35"/>
      <c r="G840" s="30"/>
      <c r="H840" s="30"/>
      <c r="L840" s="30"/>
      <c r="M840" s="30"/>
      <c r="O840" s="32"/>
      <c r="P840" s="32"/>
    </row>
    <row r="841">
      <c r="B841" s="35"/>
      <c r="G841" s="30"/>
      <c r="H841" s="30"/>
      <c r="L841" s="30"/>
      <c r="M841" s="30"/>
      <c r="O841" s="32"/>
      <c r="P841" s="32"/>
    </row>
    <row r="842">
      <c r="B842" s="35"/>
      <c r="G842" s="30"/>
      <c r="H842" s="30"/>
      <c r="L842" s="30"/>
      <c r="M842" s="30"/>
      <c r="O842" s="32"/>
      <c r="P842" s="32"/>
    </row>
    <row r="843">
      <c r="B843" s="35"/>
      <c r="G843" s="30"/>
      <c r="H843" s="30"/>
      <c r="L843" s="30"/>
      <c r="M843" s="30"/>
      <c r="O843" s="32"/>
      <c r="P843" s="32"/>
    </row>
    <row r="844">
      <c r="B844" s="35"/>
      <c r="G844" s="30"/>
      <c r="H844" s="30"/>
      <c r="L844" s="30"/>
      <c r="M844" s="30"/>
      <c r="O844" s="32"/>
      <c r="P844" s="32"/>
    </row>
    <row r="845">
      <c r="B845" s="35"/>
      <c r="G845" s="30"/>
      <c r="H845" s="30"/>
      <c r="L845" s="30"/>
      <c r="M845" s="30"/>
      <c r="O845" s="32"/>
      <c r="P845" s="32"/>
    </row>
    <row r="846">
      <c r="B846" s="35"/>
      <c r="G846" s="30"/>
      <c r="H846" s="30"/>
      <c r="L846" s="30"/>
      <c r="M846" s="30"/>
      <c r="O846" s="32"/>
      <c r="P846" s="32"/>
    </row>
    <row r="847">
      <c r="B847" s="35"/>
      <c r="G847" s="30"/>
      <c r="H847" s="30"/>
      <c r="L847" s="30"/>
      <c r="M847" s="30"/>
      <c r="O847" s="32"/>
      <c r="P847" s="32"/>
    </row>
    <row r="848">
      <c r="B848" s="35"/>
      <c r="G848" s="30"/>
      <c r="H848" s="30"/>
      <c r="L848" s="30"/>
      <c r="M848" s="30"/>
      <c r="O848" s="32"/>
      <c r="P848" s="32"/>
    </row>
    <row r="849">
      <c r="B849" s="35"/>
      <c r="G849" s="30"/>
      <c r="H849" s="30"/>
      <c r="L849" s="30"/>
      <c r="M849" s="30"/>
      <c r="O849" s="32"/>
      <c r="P849" s="32"/>
    </row>
    <row r="850">
      <c r="B850" s="35"/>
      <c r="G850" s="30"/>
      <c r="H850" s="30"/>
      <c r="L850" s="30"/>
      <c r="M850" s="30"/>
      <c r="O850" s="32"/>
      <c r="P850" s="32"/>
    </row>
    <row r="851">
      <c r="B851" s="35"/>
      <c r="G851" s="30"/>
      <c r="H851" s="30"/>
      <c r="L851" s="30"/>
      <c r="M851" s="30"/>
      <c r="O851" s="32"/>
      <c r="P851" s="32"/>
    </row>
    <row r="852">
      <c r="B852" s="35"/>
      <c r="G852" s="30"/>
      <c r="H852" s="30"/>
      <c r="L852" s="30"/>
      <c r="M852" s="30"/>
      <c r="O852" s="32"/>
      <c r="P852" s="32"/>
    </row>
    <row r="853">
      <c r="B853" s="35"/>
      <c r="G853" s="30"/>
      <c r="H853" s="30"/>
      <c r="L853" s="30"/>
      <c r="M853" s="30"/>
      <c r="O853" s="32"/>
      <c r="P853" s="32"/>
    </row>
    <row r="854">
      <c r="B854" s="35"/>
      <c r="G854" s="30"/>
      <c r="H854" s="30"/>
      <c r="L854" s="30"/>
      <c r="M854" s="30"/>
      <c r="O854" s="32"/>
      <c r="P854" s="32"/>
    </row>
    <row r="855">
      <c r="B855" s="35"/>
      <c r="G855" s="30"/>
      <c r="H855" s="30"/>
      <c r="L855" s="30"/>
      <c r="M855" s="30"/>
      <c r="O855" s="32"/>
      <c r="P855" s="32"/>
    </row>
    <row r="856">
      <c r="B856" s="35"/>
      <c r="G856" s="30"/>
      <c r="H856" s="30"/>
      <c r="L856" s="30"/>
      <c r="M856" s="30"/>
      <c r="O856" s="32"/>
      <c r="P856" s="32"/>
    </row>
    <row r="857">
      <c r="B857" s="35"/>
      <c r="G857" s="30"/>
      <c r="H857" s="30"/>
      <c r="L857" s="30"/>
      <c r="M857" s="30"/>
      <c r="O857" s="32"/>
      <c r="P857" s="32"/>
    </row>
    <row r="858">
      <c r="B858" s="35"/>
      <c r="G858" s="30"/>
      <c r="H858" s="30"/>
      <c r="L858" s="30"/>
      <c r="M858" s="30"/>
      <c r="O858" s="32"/>
      <c r="P858" s="32"/>
    </row>
    <row r="859">
      <c r="B859" s="35"/>
      <c r="G859" s="30"/>
      <c r="H859" s="30"/>
      <c r="L859" s="30"/>
      <c r="M859" s="30"/>
      <c r="O859" s="32"/>
      <c r="P859" s="32"/>
    </row>
    <row r="860">
      <c r="B860" s="35"/>
      <c r="G860" s="30"/>
      <c r="H860" s="30"/>
      <c r="L860" s="30"/>
      <c r="M860" s="30"/>
      <c r="O860" s="32"/>
      <c r="P860" s="32"/>
    </row>
    <row r="861">
      <c r="B861" s="35"/>
      <c r="G861" s="30"/>
      <c r="H861" s="30"/>
      <c r="L861" s="30"/>
      <c r="M861" s="30"/>
      <c r="O861" s="32"/>
      <c r="P861" s="32"/>
    </row>
    <row r="862">
      <c r="B862" s="35"/>
      <c r="G862" s="30"/>
      <c r="H862" s="30"/>
      <c r="L862" s="30"/>
      <c r="M862" s="30"/>
      <c r="O862" s="32"/>
      <c r="P862" s="32"/>
    </row>
    <row r="863">
      <c r="B863" s="35"/>
      <c r="G863" s="30"/>
      <c r="H863" s="30"/>
      <c r="L863" s="30"/>
      <c r="M863" s="30"/>
      <c r="O863" s="32"/>
      <c r="P863" s="32"/>
    </row>
    <row r="864">
      <c r="B864" s="35"/>
      <c r="G864" s="30"/>
      <c r="H864" s="30"/>
      <c r="L864" s="30"/>
      <c r="M864" s="30"/>
      <c r="O864" s="32"/>
      <c r="P864" s="32"/>
    </row>
    <row r="865">
      <c r="B865" s="35"/>
      <c r="G865" s="30"/>
      <c r="H865" s="30"/>
      <c r="L865" s="30"/>
      <c r="M865" s="30"/>
      <c r="O865" s="32"/>
      <c r="P865" s="32"/>
    </row>
    <row r="866">
      <c r="B866" s="35"/>
      <c r="G866" s="30"/>
      <c r="H866" s="30"/>
      <c r="L866" s="30"/>
      <c r="M866" s="30"/>
      <c r="O866" s="32"/>
      <c r="P866" s="32"/>
    </row>
    <row r="867">
      <c r="B867" s="35"/>
      <c r="G867" s="30"/>
      <c r="H867" s="30"/>
      <c r="L867" s="30"/>
      <c r="M867" s="30"/>
      <c r="O867" s="32"/>
      <c r="P867" s="32"/>
    </row>
    <row r="868">
      <c r="B868" s="35"/>
      <c r="G868" s="30"/>
      <c r="H868" s="30"/>
      <c r="L868" s="30"/>
      <c r="M868" s="30"/>
      <c r="O868" s="32"/>
      <c r="P868" s="32"/>
    </row>
    <row r="869">
      <c r="B869" s="35"/>
      <c r="G869" s="30"/>
      <c r="H869" s="30"/>
      <c r="L869" s="30"/>
      <c r="M869" s="30"/>
      <c r="O869" s="32"/>
      <c r="P869" s="32"/>
    </row>
    <row r="870">
      <c r="B870" s="35"/>
      <c r="G870" s="30"/>
      <c r="H870" s="30"/>
      <c r="L870" s="30"/>
      <c r="M870" s="30"/>
      <c r="O870" s="32"/>
      <c r="P870" s="32"/>
    </row>
    <row r="871">
      <c r="B871" s="35"/>
      <c r="G871" s="30"/>
      <c r="H871" s="30"/>
      <c r="L871" s="30"/>
      <c r="M871" s="30"/>
      <c r="O871" s="32"/>
      <c r="P871" s="32"/>
    </row>
    <row r="872">
      <c r="B872" s="35"/>
      <c r="G872" s="30"/>
      <c r="H872" s="30"/>
      <c r="L872" s="30"/>
      <c r="M872" s="30"/>
      <c r="O872" s="32"/>
      <c r="P872" s="32"/>
    </row>
    <row r="873">
      <c r="B873" s="35"/>
      <c r="G873" s="30"/>
      <c r="H873" s="30"/>
      <c r="L873" s="30"/>
      <c r="M873" s="30"/>
      <c r="O873" s="32"/>
      <c r="P873" s="32"/>
    </row>
    <row r="874">
      <c r="B874" s="35"/>
      <c r="G874" s="30"/>
      <c r="H874" s="30"/>
      <c r="L874" s="30"/>
      <c r="M874" s="30"/>
      <c r="O874" s="32"/>
      <c r="P874" s="32"/>
    </row>
    <row r="875">
      <c r="B875" s="35"/>
      <c r="G875" s="30"/>
      <c r="H875" s="30"/>
      <c r="L875" s="30"/>
      <c r="M875" s="30"/>
      <c r="O875" s="32"/>
      <c r="P875" s="32"/>
    </row>
    <row r="876">
      <c r="B876" s="35"/>
      <c r="G876" s="30"/>
      <c r="H876" s="30"/>
      <c r="L876" s="30"/>
      <c r="M876" s="30"/>
      <c r="O876" s="32"/>
      <c r="P876" s="32"/>
    </row>
    <row r="877">
      <c r="B877" s="35"/>
      <c r="G877" s="30"/>
      <c r="H877" s="30"/>
      <c r="L877" s="30"/>
      <c r="M877" s="30"/>
      <c r="O877" s="32"/>
      <c r="P877" s="32"/>
    </row>
    <row r="878">
      <c r="B878" s="35"/>
      <c r="G878" s="30"/>
      <c r="H878" s="30"/>
      <c r="L878" s="30"/>
      <c r="M878" s="30"/>
      <c r="O878" s="32"/>
      <c r="P878" s="32"/>
    </row>
    <row r="879">
      <c r="B879" s="35"/>
      <c r="G879" s="30"/>
      <c r="H879" s="30"/>
      <c r="L879" s="30"/>
      <c r="M879" s="30"/>
      <c r="O879" s="32"/>
      <c r="P879" s="32"/>
    </row>
    <row r="880">
      <c r="B880" s="35"/>
      <c r="G880" s="30"/>
      <c r="H880" s="30"/>
      <c r="L880" s="30"/>
      <c r="M880" s="30"/>
      <c r="O880" s="32"/>
      <c r="P880" s="32"/>
    </row>
    <row r="881">
      <c r="B881" s="35"/>
      <c r="G881" s="30"/>
      <c r="H881" s="30"/>
      <c r="L881" s="30"/>
      <c r="M881" s="30"/>
      <c r="O881" s="32"/>
      <c r="P881" s="32"/>
    </row>
    <row r="882">
      <c r="B882" s="35"/>
      <c r="G882" s="30"/>
      <c r="H882" s="30"/>
      <c r="L882" s="30"/>
      <c r="M882" s="30"/>
      <c r="O882" s="32"/>
      <c r="P882" s="32"/>
    </row>
    <row r="883">
      <c r="B883" s="35"/>
      <c r="G883" s="30"/>
      <c r="H883" s="30"/>
      <c r="L883" s="30"/>
      <c r="M883" s="30"/>
      <c r="O883" s="32"/>
      <c r="P883" s="32"/>
    </row>
    <row r="884">
      <c r="B884" s="35"/>
      <c r="G884" s="30"/>
      <c r="H884" s="30"/>
      <c r="L884" s="30"/>
      <c r="M884" s="30"/>
      <c r="O884" s="32"/>
      <c r="P884" s="32"/>
    </row>
    <row r="885">
      <c r="B885" s="35"/>
      <c r="G885" s="30"/>
      <c r="H885" s="30"/>
      <c r="L885" s="30"/>
      <c r="M885" s="30"/>
      <c r="O885" s="32"/>
      <c r="P885" s="32"/>
    </row>
    <row r="886">
      <c r="B886" s="35"/>
      <c r="G886" s="30"/>
      <c r="H886" s="30"/>
      <c r="L886" s="30"/>
      <c r="M886" s="30"/>
      <c r="O886" s="32"/>
      <c r="P886" s="32"/>
    </row>
    <row r="887">
      <c r="B887" s="35"/>
      <c r="G887" s="30"/>
      <c r="H887" s="30"/>
      <c r="L887" s="30"/>
      <c r="M887" s="30"/>
      <c r="O887" s="32"/>
      <c r="P887" s="32"/>
    </row>
    <row r="888">
      <c r="B888" s="35"/>
      <c r="G888" s="30"/>
      <c r="H888" s="30"/>
      <c r="L888" s="30"/>
      <c r="M888" s="30"/>
      <c r="O888" s="32"/>
      <c r="P888" s="32"/>
    </row>
    <row r="889">
      <c r="B889" s="35"/>
      <c r="G889" s="30"/>
      <c r="H889" s="30"/>
      <c r="L889" s="30"/>
      <c r="M889" s="30"/>
      <c r="O889" s="32"/>
      <c r="P889" s="32"/>
    </row>
    <row r="890">
      <c r="B890" s="35"/>
      <c r="G890" s="30"/>
      <c r="H890" s="30"/>
      <c r="L890" s="30"/>
      <c r="M890" s="30"/>
      <c r="O890" s="32"/>
      <c r="P890" s="32"/>
    </row>
    <row r="891">
      <c r="B891" s="35"/>
      <c r="G891" s="30"/>
      <c r="H891" s="30"/>
      <c r="L891" s="30"/>
      <c r="M891" s="30"/>
      <c r="O891" s="32"/>
      <c r="P891" s="32"/>
    </row>
    <row r="892">
      <c r="B892" s="35"/>
      <c r="G892" s="30"/>
      <c r="H892" s="30"/>
      <c r="L892" s="30"/>
      <c r="M892" s="30"/>
      <c r="O892" s="32"/>
      <c r="P892" s="32"/>
    </row>
    <row r="893">
      <c r="B893" s="35"/>
      <c r="G893" s="30"/>
      <c r="H893" s="30"/>
      <c r="L893" s="30"/>
      <c r="M893" s="30"/>
      <c r="O893" s="32"/>
      <c r="P893" s="32"/>
    </row>
    <row r="894">
      <c r="B894" s="35"/>
      <c r="G894" s="30"/>
      <c r="H894" s="30"/>
      <c r="L894" s="30"/>
      <c r="M894" s="30"/>
      <c r="O894" s="32"/>
      <c r="P894" s="32"/>
    </row>
    <row r="895">
      <c r="B895" s="35"/>
      <c r="G895" s="30"/>
      <c r="H895" s="30"/>
      <c r="L895" s="30"/>
      <c r="M895" s="30"/>
      <c r="O895" s="32"/>
      <c r="P895" s="32"/>
    </row>
    <row r="896">
      <c r="B896" s="35"/>
      <c r="G896" s="30"/>
      <c r="H896" s="30"/>
      <c r="L896" s="30"/>
      <c r="M896" s="30"/>
      <c r="O896" s="32"/>
      <c r="P896" s="32"/>
    </row>
    <row r="897">
      <c r="B897" s="35"/>
      <c r="G897" s="30"/>
      <c r="H897" s="30"/>
      <c r="L897" s="30"/>
      <c r="M897" s="30"/>
      <c r="O897" s="32"/>
      <c r="P897" s="32"/>
    </row>
    <row r="898">
      <c r="B898" s="35"/>
      <c r="G898" s="30"/>
      <c r="H898" s="30"/>
      <c r="L898" s="30"/>
      <c r="M898" s="30"/>
      <c r="O898" s="32"/>
      <c r="P898" s="32"/>
    </row>
    <row r="899">
      <c r="B899" s="35"/>
      <c r="G899" s="30"/>
      <c r="H899" s="30"/>
      <c r="L899" s="30"/>
      <c r="M899" s="30"/>
      <c r="O899" s="32"/>
      <c r="P899" s="32"/>
    </row>
    <row r="900">
      <c r="B900" s="35"/>
      <c r="G900" s="30"/>
      <c r="H900" s="30"/>
      <c r="L900" s="30"/>
      <c r="M900" s="30"/>
      <c r="O900" s="32"/>
      <c r="P900" s="32"/>
    </row>
    <row r="901">
      <c r="B901" s="35"/>
      <c r="G901" s="30"/>
      <c r="H901" s="30"/>
      <c r="L901" s="30"/>
      <c r="M901" s="30"/>
      <c r="O901" s="32"/>
      <c r="P901" s="32"/>
    </row>
    <row r="902">
      <c r="B902" s="35"/>
      <c r="G902" s="30"/>
      <c r="H902" s="30"/>
      <c r="L902" s="30"/>
      <c r="M902" s="30"/>
      <c r="O902" s="32"/>
      <c r="P902" s="32"/>
    </row>
    <row r="903">
      <c r="B903" s="35"/>
      <c r="G903" s="30"/>
      <c r="H903" s="30"/>
      <c r="L903" s="30"/>
      <c r="M903" s="30"/>
      <c r="O903" s="32"/>
      <c r="P903" s="32"/>
    </row>
    <row r="904">
      <c r="B904" s="35"/>
      <c r="G904" s="30"/>
      <c r="H904" s="30"/>
      <c r="L904" s="30"/>
      <c r="M904" s="30"/>
      <c r="O904" s="32"/>
      <c r="P904" s="32"/>
    </row>
    <row r="905">
      <c r="B905" s="35"/>
      <c r="G905" s="30"/>
      <c r="H905" s="30"/>
      <c r="L905" s="30"/>
      <c r="M905" s="30"/>
      <c r="O905" s="32"/>
      <c r="P905" s="32"/>
    </row>
    <row r="906">
      <c r="B906" s="35"/>
      <c r="G906" s="30"/>
      <c r="H906" s="30"/>
      <c r="L906" s="30"/>
      <c r="M906" s="30"/>
      <c r="O906" s="32"/>
      <c r="P906" s="32"/>
    </row>
    <row r="907">
      <c r="B907" s="35"/>
      <c r="G907" s="30"/>
      <c r="H907" s="30"/>
      <c r="L907" s="30"/>
      <c r="M907" s="30"/>
      <c r="O907" s="32"/>
      <c r="P907" s="32"/>
    </row>
    <row r="908">
      <c r="B908" s="35"/>
      <c r="G908" s="30"/>
      <c r="H908" s="30"/>
      <c r="L908" s="30"/>
      <c r="M908" s="30"/>
      <c r="O908" s="32"/>
      <c r="P908" s="32"/>
    </row>
    <row r="909">
      <c r="B909" s="35"/>
      <c r="G909" s="30"/>
      <c r="H909" s="30"/>
      <c r="L909" s="30"/>
      <c r="M909" s="30"/>
      <c r="O909" s="32"/>
      <c r="P909" s="32"/>
    </row>
    <row r="910">
      <c r="B910" s="35"/>
      <c r="G910" s="30"/>
      <c r="H910" s="30"/>
      <c r="L910" s="30"/>
      <c r="M910" s="30"/>
      <c r="O910" s="32"/>
      <c r="P910" s="32"/>
    </row>
    <row r="911">
      <c r="B911" s="35"/>
      <c r="G911" s="30"/>
      <c r="H911" s="30"/>
      <c r="L911" s="30"/>
      <c r="M911" s="30"/>
      <c r="O911" s="32"/>
      <c r="P911" s="32"/>
    </row>
    <row r="912">
      <c r="B912" s="35"/>
      <c r="G912" s="30"/>
      <c r="H912" s="30"/>
      <c r="L912" s="30"/>
      <c r="M912" s="30"/>
      <c r="O912" s="32"/>
      <c r="P912" s="32"/>
    </row>
    <row r="913">
      <c r="B913" s="35"/>
      <c r="G913" s="30"/>
      <c r="H913" s="30"/>
      <c r="L913" s="30"/>
      <c r="M913" s="30"/>
      <c r="O913" s="32"/>
      <c r="P913" s="32"/>
    </row>
    <row r="914">
      <c r="B914" s="35"/>
      <c r="G914" s="30"/>
      <c r="H914" s="30"/>
      <c r="L914" s="30"/>
      <c r="M914" s="30"/>
      <c r="O914" s="32"/>
      <c r="P914" s="32"/>
    </row>
    <row r="915">
      <c r="B915" s="35"/>
      <c r="G915" s="30"/>
      <c r="H915" s="30"/>
      <c r="L915" s="30"/>
      <c r="M915" s="30"/>
      <c r="O915" s="32"/>
      <c r="P915" s="32"/>
    </row>
    <row r="916">
      <c r="B916" s="35"/>
      <c r="G916" s="30"/>
      <c r="H916" s="30"/>
      <c r="L916" s="30"/>
      <c r="M916" s="30"/>
      <c r="O916" s="32"/>
      <c r="P916" s="32"/>
    </row>
    <row r="917">
      <c r="B917" s="35"/>
      <c r="G917" s="30"/>
      <c r="H917" s="30"/>
      <c r="L917" s="30"/>
      <c r="M917" s="30"/>
      <c r="O917" s="32"/>
      <c r="P917" s="32"/>
    </row>
    <row r="918">
      <c r="B918" s="35"/>
      <c r="G918" s="30"/>
      <c r="H918" s="30"/>
      <c r="L918" s="30"/>
      <c r="M918" s="30"/>
      <c r="O918" s="32"/>
      <c r="P918" s="32"/>
    </row>
    <row r="919">
      <c r="B919" s="35"/>
      <c r="G919" s="30"/>
      <c r="H919" s="30"/>
      <c r="L919" s="30"/>
      <c r="M919" s="30"/>
      <c r="O919" s="32"/>
      <c r="P919" s="32"/>
    </row>
    <row r="920">
      <c r="B920" s="35"/>
      <c r="G920" s="30"/>
      <c r="H920" s="30"/>
      <c r="L920" s="30"/>
      <c r="M920" s="30"/>
      <c r="O920" s="32"/>
      <c r="P920" s="32"/>
    </row>
    <row r="921">
      <c r="B921" s="35"/>
      <c r="G921" s="30"/>
      <c r="H921" s="30"/>
      <c r="L921" s="30"/>
      <c r="M921" s="30"/>
      <c r="O921" s="32"/>
      <c r="P921" s="32"/>
    </row>
    <row r="922">
      <c r="B922" s="35"/>
      <c r="G922" s="30"/>
      <c r="H922" s="30"/>
      <c r="L922" s="30"/>
      <c r="M922" s="30"/>
      <c r="O922" s="32"/>
      <c r="P922" s="32"/>
    </row>
    <row r="923">
      <c r="B923" s="35"/>
      <c r="G923" s="30"/>
      <c r="H923" s="30"/>
      <c r="L923" s="30"/>
      <c r="M923" s="30"/>
      <c r="O923" s="32"/>
      <c r="P923" s="32"/>
    </row>
    <row r="924">
      <c r="B924" s="35"/>
      <c r="G924" s="30"/>
      <c r="H924" s="30"/>
      <c r="L924" s="30"/>
      <c r="M924" s="30"/>
      <c r="O924" s="32"/>
      <c r="P924" s="32"/>
    </row>
    <row r="925">
      <c r="B925" s="35"/>
      <c r="G925" s="30"/>
      <c r="H925" s="30"/>
      <c r="L925" s="30"/>
      <c r="M925" s="30"/>
      <c r="O925" s="32"/>
      <c r="P925" s="32"/>
    </row>
    <row r="926">
      <c r="B926" s="35"/>
      <c r="G926" s="30"/>
      <c r="H926" s="30"/>
      <c r="L926" s="30"/>
      <c r="M926" s="30"/>
      <c r="O926" s="32"/>
      <c r="P926" s="32"/>
    </row>
    <row r="927">
      <c r="B927" s="35"/>
      <c r="G927" s="30"/>
      <c r="H927" s="30"/>
      <c r="L927" s="30"/>
      <c r="M927" s="30"/>
      <c r="O927" s="32"/>
      <c r="P927" s="32"/>
    </row>
    <row r="928">
      <c r="B928" s="35"/>
      <c r="G928" s="30"/>
      <c r="H928" s="30"/>
      <c r="L928" s="30"/>
      <c r="M928" s="30"/>
      <c r="O928" s="32"/>
      <c r="P928" s="32"/>
    </row>
    <row r="929">
      <c r="B929" s="35"/>
      <c r="G929" s="30"/>
      <c r="H929" s="30"/>
      <c r="L929" s="30"/>
      <c r="M929" s="30"/>
      <c r="O929" s="32"/>
      <c r="P929" s="32"/>
    </row>
    <row r="930">
      <c r="B930" s="35"/>
      <c r="G930" s="30"/>
      <c r="H930" s="30"/>
      <c r="L930" s="30"/>
      <c r="M930" s="30"/>
      <c r="O930" s="32"/>
      <c r="P930" s="32"/>
    </row>
    <row r="931">
      <c r="B931" s="35"/>
      <c r="G931" s="30"/>
      <c r="H931" s="30"/>
      <c r="L931" s="30"/>
      <c r="M931" s="30"/>
      <c r="O931" s="32"/>
      <c r="P931" s="32"/>
    </row>
    <row r="932">
      <c r="B932" s="35"/>
      <c r="G932" s="30"/>
      <c r="H932" s="30"/>
      <c r="L932" s="30"/>
      <c r="M932" s="30"/>
      <c r="O932" s="32"/>
      <c r="P932" s="32"/>
    </row>
    <row r="933">
      <c r="B933" s="35"/>
      <c r="G933" s="30"/>
      <c r="H933" s="30"/>
      <c r="L933" s="30"/>
      <c r="M933" s="30"/>
      <c r="O933" s="32"/>
      <c r="P933" s="32"/>
    </row>
    <row r="934">
      <c r="B934" s="35"/>
      <c r="G934" s="30"/>
      <c r="H934" s="30"/>
      <c r="L934" s="30"/>
      <c r="M934" s="30"/>
      <c r="O934" s="32"/>
      <c r="P934" s="32"/>
    </row>
    <row r="935">
      <c r="B935" s="35"/>
      <c r="G935" s="30"/>
      <c r="H935" s="30"/>
      <c r="L935" s="30"/>
      <c r="M935" s="30"/>
      <c r="O935" s="32"/>
      <c r="P935" s="32"/>
    </row>
    <row r="936">
      <c r="B936" s="35"/>
      <c r="G936" s="30"/>
      <c r="H936" s="30"/>
      <c r="L936" s="30"/>
      <c r="M936" s="30"/>
      <c r="O936" s="32"/>
      <c r="P936" s="32"/>
    </row>
    <row r="937">
      <c r="B937" s="35"/>
      <c r="G937" s="30"/>
      <c r="H937" s="30"/>
      <c r="L937" s="30"/>
      <c r="M937" s="30"/>
      <c r="O937" s="32"/>
      <c r="P937" s="32"/>
    </row>
    <row r="938">
      <c r="B938" s="35"/>
      <c r="G938" s="30"/>
      <c r="H938" s="30"/>
      <c r="L938" s="30"/>
      <c r="M938" s="30"/>
      <c r="O938" s="32"/>
      <c r="P938" s="32"/>
    </row>
    <row r="939">
      <c r="B939" s="35"/>
      <c r="G939" s="30"/>
      <c r="H939" s="30"/>
      <c r="L939" s="30"/>
      <c r="M939" s="30"/>
      <c r="O939" s="32"/>
      <c r="P939" s="32"/>
    </row>
    <row r="940">
      <c r="B940" s="35"/>
      <c r="G940" s="30"/>
      <c r="H940" s="30"/>
      <c r="L940" s="30"/>
      <c r="M940" s="30"/>
      <c r="O940" s="32"/>
      <c r="P940" s="32"/>
    </row>
    <row r="941">
      <c r="B941" s="35"/>
      <c r="G941" s="30"/>
      <c r="H941" s="30"/>
      <c r="L941" s="30"/>
      <c r="M941" s="30"/>
      <c r="O941" s="32"/>
      <c r="P941" s="32"/>
    </row>
    <row r="942">
      <c r="B942" s="35"/>
      <c r="G942" s="30"/>
      <c r="H942" s="30"/>
      <c r="L942" s="30"/>
      <c r="M942" s="30"/>
      <c r="O942" s="32"/>
      <c r="P942" s="32"/>
    </row>
    <row r="943">
      <c r="B943" s="35"/>
      <c r="G943" s="30"/>
      <c r="H943" s="30"/>
      <c r="L943" s="30"/>
      <c r="M943" s="30"/>
      <c r="O943" s="32"/>
      <c r="P943" s="32"/>
    </row>
    <row r="944">
      <c r="B944" s="35"/>
      <c r="G944" s="30"/>
      <c r="H944" s="30"/>
      <c r="L944" s="30"/>
      <c r="M944" s="30"/>
      <c r="O944" s="32"/>
      <c r="P944" s="32"/>
    </row>
    <row r="945">
      <c r="B945" s="35"/>
      <c r="G945" s="30"/>
      <c r="H945" s="30"/>
      <c r="L945" s="30"/>
      <c r="M945" s="30"/>
      <c r="O945" s="32"/>
      <c r="P945" s="32"/>
    </row>
    <row r="946">
      <c r="B946" s="35"/>
      <c r="G946" s="30"/>
      <c r="H946" s="30"/>
      <c r="L946" s="30"/>
      <c r="M946" s="30"/>
      <c r="O946" s="32"/>
      <c r="P946" s="32"/>
    </row>
    <row r="947">
      <c r="B947" s="35"/>
      <c r="G947" s="30"/>
      <c r="H947" s="30"/>
      <c r="L947" s="30"/>
      <c r="M947" s="30"/>
      <c r="O947" s="32"/>
      <c r="P947" s="32"/>
    </row>
    <row r="948">
      <c r="B948" s="35"/>
      <c r="G948" s="30"/>
      <c r="H948" s="30"/>
      <c r="L948" s="30"/>
      <c r="M948" s="30"/>
      <c r="O948" s="32"/>
      <c r="P948" s="32"/>
    </row>
    <row r="949">
      <c r="B949" s="35"/>
      <c r="G949" s="30"/>
      <c r="H949" s="30"/>
      <c r="L949" s="30"/>
      <c r="M949" s="30"/>
      <c r="O949" s="32"/>
      <c r="P949" s="32"/>
    </row>
    <row r="950">
      <c r="B950" s="35"/>
      <c r="G950" s="30"/>
      <c r="H950" s="30"/>
      <c r="L950" s="30"/>
      <c r="M950" s="30"/>
      <c r="O950" s="32"/>
      <c r="P950" s="32"/>
    </row>
    <row r="951">
      <c r="B951" s="35"/>
      <c r="G951" s="30"/>
      <c r="H951" s="30"/>
      <c r="L951" s="30"/>
      <c r="M951" s="30"/>
      <c r="O951" s="32"/>
      <c r="P951" s="32"/>
    </row>
    <row r="952">
      <c r="B952" s="35"/>
      <c r="G952" s="30"/>
      <c r="H952" s="30"/>
      <c r="L952" s="30"/>
      <c r="M952" s="30"/>
      <c r="O952" s="32"/>
      <c r="P952" s="32"/>
    </row>
    <row r="953">
      <c r="B953" s="35"/>
      <c r="G953" s="30"/>
      <c r="H953" s="30"/>
      <c r="L953" s="30"/>
      <c r="M953" s="30"/>
      <c r="O953" s="32"/>
      <c r="P953" s="32"/>
    </row>
    <row r="954">
      <c r="B954" s="35"/>
      <c r="G954" s="30"/>
      <c r="H954" s="30"/>
      <c r="L954" s="30"/>
      <c r="M954" s="30"/>
      <c r="O954" s="32"/>
      <c r="P954" s="32"/>
    </row>
    <row r="955">
      <c r="B955" s="35"/>
      <c r="G955" s="30"/>
      <c r="H955" s="30"/>
      <c r="L955" s="30"/>
      <c r="M955" s="30"/>
      <c r="O955" s="32"/>
      <c r="P955" s="32"/>
    </row>
    <row r="956">
      <c r="B956" s="35"/>
      <c r="G956" s="30"/>
      <c r="H956" s="30"/>
      <c r="L956" s="30"/>
      <c r="M956" s="30"/>
      <c r="O956" s="32"/>
      <c r="P956" s="32"/>
    </row>
    <row r="957">
      <c r="B957" s="35"/>
      <c r="G957" s="30"/>
      <c r="H957" s="30"/>
      <c r="L957" s="30"/>
      <c r="M957" s="30"/>
      <c r="O957" s="32"/>
      <c r="P957" s="32"/>
    </row>
    <row r="958">
      <c r="B958" s="35"/>
      <c r="G958" s="30"/>
      <c r="H958" s="30"/>
      <c r="L958" s="30"/>
      <c r="M958" s="30"/>
      <c r="O958" s="32"/>
      <c r="P958" s="32"/>
    </row>
    <row r="959">
      <c r="B959" s="35"/>
      <c r="G959" s="30"/>
      <c r="H959" s="30"/>
      <c r="L959" s="30"/>
      <c r="M959" s="30"/>
      <c r="O959" s="32"/>
      <c r="P959" s="32"/>
    </row>
    <row r="960">
      <c r="B960" s="35"/>
      <c r="G960" s="30"/>
      <c r="H960" s="30"/>
      <c r="L960" s="30"/>
      <c r="M960" s="30"/>
      <c r="O960" s="32"/>
      <c r="P960" s="32"/>
    </row>
    <row r="961">
      <c r="B961" s="35"/>
      <c r="G961" s="30"/>
      <c r="H961" s="30"/>
      <c r="L961" s="30"/>
      <c r="M961" s="30"/>
      <c r="O961" s="32"/>
      <c r="P961" s="32"/>
    </row>
    <row r="962">
      <c r="B962" s="35"/>
      <c r="G962" s="30"/>
      <c r="H962" s="30"/>
      <c r="L962" s="30"/>
      <c r="M962" s="30"/>
      <c r="O962" s="32"/>
      <c r="P962" s="32"/>
    </row>
    <row r="963">
      <c r="B963" s="35"/>
      <c r="G963" s="30"/>
      <c r="H963" s="30"/>
      <c r="L963" s="30"/>
      <c r="M963" s="30"/>
      <c r="O963" s="32"/>
      <c r="P963" s="32"/>
    </row>
    <row r="964">
      <c r="B964" s="35"/>
      <c r="G964" s="30"/>
      <c r="H964" s="30"/>
      <c r="L964" s="30"/>
      <c r="M964" s="30"/>
      <c r="O964" s="32"/>
      <c r="P964" s="32"/>
    </row>
    <row r="965">
      <c r="B965" s="35"/>
      <c r="G965" s="30"/>
      <c r="H965" s="30"/>
      <c r="L965" s="30"/>
      <c r="M965" s="30"/>
      <c r="O965" s="32"/>
      <c r="P965" s="32"/>
    </row>
    <row r="966">
      <c r="B966" s="35"/>
      <c r="G966" s="30"/>
      <c r="H966" s="30"/>
      <c r="L966" s="30"/>
      <c r="M966" s="30"/>
      <c r="O966" s="32"/>
      <c r="P966" s="32"/>
    </row>
    <row r="967">
      <c r="B967" s="35"/>
      <c r="G967" s="30"/>
      <c r="H967" s="30"/>
      <c r="L967" s="30"/>
      <c r="M967" s="30"/>
      <c r="O967" s="32"/>
      <c r="P967" s="32"/>
    </row>
    <row r="968">
      <c r="B968" s="35"/>
      <c r="G968" s="30"/>
      <c r="H968" s="30"/>
      <c r="L968" s="30"/>
      <c r="M968" s="30"/>
      <c r="O968" s="32"/>
      <c r="P968" s="32"/>
    </row>
    <row r="969">
      <c r="B969" s="35"/>
      <c r="G969" s="30"/>
      <c r="H969" s="30"/>
      <c r="L969" s="30"/>
      <c r="M969" s="30"/>
      <c r="O969" s="32"/>
      <c r="P969" s="32"/>
    </row>
    <row r="970">
      <c r="B970" s="35"/>
      <c r="G970" s="30"/>
      <c r="H970" s="30"/>
      <c r="L970" s="30"/>
      <c r="M970" s="30"/>
      <c r="O970" s="32"/>
      <c r="P970" s="32"/>
    </row>
    <row r="971">
      <c r="B971" s="35"/>
      <c r="G971" s="30"/>
      <c r="H971" s="30"/>
      <c r="L971" s="30"/>
      <c r="M971" s="30"/>
      <c r="O971" s="32"/>
      <c r="P971" s="3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88"/>
    <col customWidth="1" min="2" max="19" width="9.5"/>
  </cols>
  <sheetData>
    <row r="1">
      <c r="A1" s="1"/>
      <c r="B1" s="2" t="s">
        <v>0</v>
      </c>
      <c r="C1" s="2" t="s">
        <v>2</v>
      </c>
      <c r="D1" s="5" t="s">
        <v>3</v>
      </c>
      <c r="E1" s="2" t="s">
        <v>4</v>
      </c>
      <c r="F1" s="8" t="s">
        <v>6</v>
      </c>
      <c r="G1" s="6" t="s">
        <v>8</v>
      </c>
      <c r="H1" s="6" t="s">
        <v>10</v>
      </c>
      <c r="I1" s="2" t="s">
        <v>12</v>
      </c>
      <c r="J1" s="5" t="s">
        <v>14</v>
      </c>
      <c r="K1" s="2" t="s">
        <v>16</v>
      </c>
      <c r="L1" s="6" t="s">
        <v>19</v>
      </c>
      <c r="M1" s="6" t="s">
        <v>22</v>
      </c>
      <c r="N1" s="2" t="s">
        <v>24</v>
      </c>
      <c r="O1" s="9" t="s">
        <v>26</v>
      </c>
      <c r="P1" s="9" t="s">
        <v>28</v>
      </c>
      <c r="Q1" s="2" t="s">
        <v>30</v>
      </c>
      <c r="R1" s="2" t="s">
        <v>32</v>
      </c>
      <c r="S1" s="9" t="s">
        <v>34</v>
      </c>
    </row>
    <row r="2">
      <c r="A2" s="2" t="s">
        <v>53</v>
      </c>
      <c r="B2" s="11">
        <v>3.0</v>
      </c>
      <c r="C2" s="13">
        <f t="shared" ref="C2:C33" si="1">B2*4</f>
        <v>12</v>
      </c>
      <c r="D2" s="14">
        <v>7.0</v>
      </c>
      <c r="E2" s="11">
        <v>4.0</v>
      </c>
      <c r="F2" s="15">
        <f t="shared" ref="F2:F33" si="2">D2+E2</f>
        <v>11</v>
      </c>
      <c r="G2" s="16">
        <f t="shared" ref="G2:G33" si="3">F2/C2</f>
        <v>0.9166666667</v>
      </c>
      <c r="H2" s="16">
        <f t="shared" ref="H2:H33" si="4">D2/F2</f>
        <v>0.6363636364</v>
      </c>
      <c r="I2" s="13">
        <f t="shared" ref="I2:I33" si="5">J2+K2</f>
        <v>0</v>
      </c>
      <c r="J2" s="14">
        <v>0.0</v>
      </c>
      <c r="K2" s="11">
        <v>0.0</v>
      </c>
      <c r="L2" s="16">
        <f t="shared" ref="L2:L33" si="6">I2/C2</f>
        <v>0</v>
      </c>
      <c r="M2" s="11" t="s">
        <v>41</v>
      </c>
      <c r="N2" s="19">
        <f t="shared" ref="N2:N33" si="7">4*(D2-K2)</f>
        <v>28</v>
      </c>
      <c r="O2" s="18">
        <f t="shared" ref="O2:O33" si="8">N2/C2</f>
        <v>2.333333333</v>
      </c>
      <c r="P2" s="18">
        <f t="shared" ref="P2:P33" si="9">N2/B2</f>
        <v>9.333333333</v>
      </c>
      <c r="Q2" s="11">
        <v>2.0</v>
      </c>
      <c r="R2" s="19">
        <f t="shared" ref="R2:R33" si="10">N2+10*Q2</f>
        <v>48</v>
      </c>
      <c r="S2" s="18">
        <f t="shared" ref="S2:S33" si="11">R2/B2</f>
        <v>16</v>
      </c>
    </row>
    <row r="3">
      <c r="A3" s="2" t="s">
        <v>47</v>
      </c>
      <c r="B3" s="11">
        <v>3.0</v>
      </c>
      <c r="C3" s="13">
        <f t="shared" si="1"/>
        <v>12</v>
      </c>
      <c r="D3" s="14">
        <v>6.0</v>
      </c>
      <c r="E3" s="11">
        <v>3.0</v>
      </c>
      <c r="F3" s="15">
        <f t="shared" si="2"/>
        <v>9</v>
      </c>
      <c r="G3" s="16">
        <f t="shared" si="3"/>
        <v>0.75</v>
      </c>
      <c r="H3" s="16">
        <f t="shared" si="4"/>
        <v>0.6666666667</v>
      </c>
      <c r="I3" s="13">
        <f t="shared" si="5"/>
        <v>0</v>
      </c>
      <c r="J3" s="14">
        <v>0.0</v>
      </c>
      <c r="K3" s="11">
        <v>0.0</v>
      </c>
      <c r="L3" s="16">
        <f t="shared" si="6"/>
        <v>0</v>
      </c>
      <c r="M3" s="11" t="s">
        <v>41</v>
      </c>
      <c r="N3" s="19">
        <f t="shared" si="7"/>
        <v>24</v>
      </c>
      <c r="O3" s="18">
        <f t="shared" si="8"/>
        <v>2</v>
      </c>
      <c r="P3" s="18">
        <f t="shared" si="9"/>
        <v>8</v>
      </c>
      <c r="Q3" s="11">
        <v>2.0</v>
      </c>
      <c r="R3" s="19">
        <f t="shared" si="10"/>
        <v>44</v>
      </c>
      <c r="S3" s="18">
        <f t="shared" si="11"/>
        <v>14.66666667</v>
      </c>
    </row>
    <row r="4">
      <c r="A4" s="2" t="s">
        <v>64</v>
      </c>
      <c r="B4" s="11">
        <v>3.0</v>
      </c>
      <c r="C4" s="13">
        <f t="shared" si="1"/>
        <v>12</v>
      </c>
      <c r="D4" s="14">
        <v>4.0</v>
      </c>
      <c r="E4" s="20">
        <v>1.0</v>
      </c>
      <c r="F4" s="25">
        <f t="shared" si="2"/>
        <v>5</v>
      </c>
      <c r="G4" s="23">
        <f t="shared" si="3"/>
        <v>0.4166666667</v>
      </c>
      <c r="H4" s="23">
        <f t="shared" si="4"/>
        <v>0.8</v>
      </c>
      <c r="I4" s="13">
        <f t="shared" si="5"/>
        <v>0</v>
      </c>
      <c r="J4" s="14">
        <v>0.0</v>
      </c>
      <c r="K4" s="11">
        <v>0.0</v>
      </c>
      <c r="L4" s="16">
        <f t="shared" si="6"/>
        <v>0</v>
      </c>
      <c r="M4" s="11" t="s">
        <v>41</v>
      </c>
      <c r="N4" s="19">
        <f t="shared" si="7"/>
        <v>16</v>
      </c>
      <c r="O4" s="18">
        <f t="shared" si="8"/>
        <v>1.333333333</v>
      </c>
      <c r="P4" s="18">
        <f t="shared" si="9"/>
        <v>5.333333333</v>
      </c>
      <c r="Q4" s="11">
        <v>2.0</v>
      </c>
      <c r="R4" s="19">
        <f t="shared" si="10"/>
        <v>36</v>
      </c>
      <c r="S4" s="18">
        <f t="shared" si="11"/>
        <v>12</v>
      </c>
    </row>
    <row r="5">
      <c r="A5" s="2" t="s">
        <v>59</v>
      </c>
      <c r="B5" s="11">
        <v>3.0</v>
      </c>
      <c r="C5" s="13">
        <f t="shared" si="1"/>
        <v>12</v>
      </c>
      <c r="D5" s="14">
        <v>6.0</v>
      </c>
      <c r="E5" s="11">
        <v>3.0</v>
      </c>
      <c r="F5" s="15">
        <f t="shared" si="2"/>
        <v>9</v>
      </c>
      <c r="G5" s="16">
        <f t="shared" si="3"/>
        <v>0.75</v>
      </c>
      <c r="H5" s="16">
        <f t="shared" si="4"/>
        <v>0.6666666667</v>
      </c>
      <c r="I5" s="13">
        <f t="shared" si="5"/>
        <v>1</v>
      </c>
      <c r="J5" s="14">
        <v>1.0</v>
      </c>
      <c r="K5" s="11">
        <v>0.0</v>
      </c>
      <c r="L5" s="16">
        <f t="shared" si="6"/>
        <v>0.08333333333</v>
      </c>
      <c r="M5" s="16">
        <f>J5/I5</f>
        <v>1</v>
      </c>
      <c r="N5" s="19">
        <f t="shared" si="7"/>
        <v>24</v>
      </c>
      <c r="O5" s="18">
        <f t="shared" si="8"/>
        <v>2</v>
      </c>
      <c r="P5" s="18">
        <f t="shared" si="9"/>
        <v>8</v>
      </c>
      <c r="Q5" s="11">
        <v>1.0</v>
      </c>
      <c r="R5" s="19">
        <f t="shared" si="10"/>
        <v>34</v>
      </c>
      <c r="S5" s="18">
        <f t="shared" si="11"/>
        <v>11.33333333</v>
      </c>
    </row>
    <row r="6">
      <c r="A6" s="2" t="s">
        <v>85</v>
      </c>
      <c r="B6" s="11">
        <v>3.0</v>
      </c>
      <c r="C6" s="13">
        <f t="shared" si="1"/>
        <v>12</v>
      </c>
      <c r="D6" s="14">
        <v>6.0</v>
      </c>
      <c r="E6" s="20">
        <v>4.0</v>
      </c>
      <c r="F6" s="25">
        <f t="shared" si="2"/>
        <v>10</v>
      </c>
      <c r="G6" s="23">
        <f t="shared" si="3"/>
        <v>0.8333333333</v>
      </c>
      <c r="H6" s="23">
        <f t="shared" si="4"/>
        <v>0.6</v>
      </c>
      <c r="I6" s="13">
        <f t="shared" si="5"/>
        <v>0</v>
      </c>
      <c r="J6" s="14">
        <v>0.0</v>
      </c>
      <c r="K6" s="11">
        <v>0.0</v>
      </c>
      <c r="L6" s="16">
        <f t="shared" si="6"/>
        <v>0</v>
      </c>
      <c r="M6" s="11" t="s">
        <v>41</v>
      </c>
      <c r="N6" s="19">
        <f t="shared" si="7"/>
        <v>24</v>
      </c>
      <c r="O6" s="18">
        <f t="shared" si="8"/>
        <v>2</v>
      </c>
      <c r="P6" s="18">
        <f t="shared" si="9"/>
        <v>8</v>
      </c>
      <c r="Q6" s="11">
        <v>1.0</v>
      </c>
      <c r="R6" s="19">
        <f t="shared" si="10"/>
        <v>34</v>
      </c>
      <c r="S6" s="18">
        <f t="shared" si="11"/>
        <v>11.33333333</v>
      </c>
    </row>
    <row r="7">
      <c r="A7" s="2" t="s">
        <v>44</v>
      </c>
      <c r="B7" s="11">
        <v>3.0</v>
      </c>
      <c r="C7" s="13">
        <f t="shared" si="1"/>
        <v>12</v>
      </c>
      <c r="D7" s="14">
        <v>3.0</v>
      </c>
      <c r="E7" s="11">
        <v>3.0</v>
      </c>
      <c r="F7" s="15">
        <f t="shared" si="2"/>
        <v>6</v>
      </c>
      <c r="G7" s="16">
        <f t="shared" si="3"/>
        <v>0.5</v>
      </c>
      <c r="H7" s="16">
        <f t="shared" si="4"/>
        <v>0.5</v>
      </c>
      <c r="I7" s="13">
        <f t="shared" si="5"/>
        <v>0</v>
      </c>
      <c r="J7" s="14">
        <v>0.0</v>
      </c>
      <c r="K7" s="11">
        <v>0.0</v>
      </c>
      <c r="L7" s="16">
        <f t="shared" si="6"/>
        <v>0</v>
      </c>
      <c r="M7" s="11" t="s">
        <v>41</v>
      </c>
      <c r="N7" s="19">
        <f t="shared" si="7"/>
        <v>12</v>
      </c>
      <c r="O7" s="18">
        <f t="shared" si="8"/>
        <v>1</v>
      </c>
      <c r="P7" s="18">
        <f t="shared" si="9"/>
        <v>4</v>
      </c>
      <c r="Q7" s="11">
        <v>2.0</v>
      </c>
      <c r="R7" s="19">
        <f t="shared" si="10"/>
        <v>32</v>
      </c>
      <c r="S7" s="18">
        <f t="shared" si="11"/>
        <v>10.66666667</v>
      </c>
    </row>
    <row r="8">
      <c r="A8" s="2" t="s">
        <v>39</v>
      </c>
      <c r="B8" s="11">
        <v>3.0</v>
      </c>
      <c r="C8" s="13">
        <f t="shared" si="1"/>
        <v>12</v>
      </c>
      <c r="D8" s="14">
        <v>5.0</v>
      </c>
      <c r="E8" s="11">
        <v>5.0</v>
      </c>
      <c r="F8" s="15">
        <f t="shared" si="2"/>
        <v>10</v>
      </c>
      <c r="G8" s="16">
        <f t="shared" si="3"/>
        <v>0.8333333333</v>
      </c>
      <c r="H8" s="16">
        <f t="shared" si="4"/>
        <v>0.5</v>
      </c>
      <c r="I8" s="13">
        <f t="shared" si="5"/>
        <v>1</v>
      </c>
      <c r="J8" s="14">
        <v>1.0</v>
      </c>
      <c r="K8" s="11">
        <v>0.0</v>
      </c>
      <c r="L8" s="16">
        <f t="shared" si="6"/>
        <v>0.08333333333</v>
      </c>
      <c r="M8" s="16">
        <f>J8/I8</f>
        <v>1</v>
      </c>
      <c r="N8" s="19">
        <f t="shared" si="7"/>
        <v>20</v>
      </c>
      <c r="O8" s="18">
        <f t="shared" si="8"/>
        <v>1.666666667</v>
      </c>
      <c r="P8" s="18">
        <f t="shared" si="9"/>
        <v>6.666666667</v>
      </c>
      <c r="Q8" s="11">
        <v>1.0</v>
      </c>
      <c r="R8" s="19">
        <f t="shared" si="10"/>
        <v>30</v>
      </c>
      <c r="S8" s="18">
        <f t="shared" si="11"/>
        <v>10</v>
      </c>
    </row>
    <row r="9">
      <c r="A9" s="2" t="s">
        <v>63</v>
      </c>
      <c r="B9" s="11">
        <v>3.0</v>
      </c>
      <c r="C9" s="13">
        <f t="shared" si="1"/>
        <v>12</v>
      </c>
      <c r="D9" s="14">
        <v>5.0</v>
      </c>
      <c r="E9" s="11">
        <v>6.0</v>
      </c>
      <c r="F9" s="15">
        <f t="shared" si="2"/>
        <v>11</v>
      </c>
      <c r="G9" s="16">
        <f t="shared" si="3"/>
        <v>0.9166666667</v>
      </c>
      <c r="H9" s="16">
        <f t="shared" si="4"/>
        <v>0.4545454545</v>
      </c>
      <c r="I9" s="13">
        <f t="shared" si="5"/>
        <v>0</v>
      </c>
      <c r="J9" s="14">
        <v>0.0</v>
      </c>
      <c r="K9" s="11">
        <v>0.0</v>
      </c>
      <c r="L9" s="16">
        <f t="shared" si="6"/>
        <v>0</v>
      </c>
      <c r="M9" s="11" t="s">
        <v>41</v>
      </c>
      <c r="N9" s="19">
        <f t="shared" si="7"/>
        <v>20</v>
      </c>
      <c r="O9" s="18">
        <f t="shared" si="8"/>
        <v>1.666666667</v>
      </c>
      <c r="P9" s="18">
        <f t="shared" si="9"/>
        <v>6.666666667</v>
      </c>
      <c r="Q9" s="11">
        <v>1.0</v>
      </c>
      <c r="R9" s="19">
        <f t="shared" si="10"/>
        <v>30</v>
      </c>
      <c r="S9" s="18">
        <f t="shared" si="11"/>
        <v>10</v>
      </c>
    </row>
    <row r="10">
      <c r="A10" s="2" t="s">
        <v>70</v>
      </c>
      <c r="B10" s="11">
        <v>3.0</v>
      </c>
      <c r="C10" s="13">
        <f t="shared" si="1"/>
        <v>12</v>
      </c>
      <c r="D10" s="14">
        <v>7.0</v>
      </c>
      <c r="E10" s="11">
        <v>5.0</v>
      </c>
      <c r="F10" s="15">
        <f t="shared" si="2"/>
        <v>12</v>
      </c>
      <c r="G10" s="16">
        <f t="shared" si="3"/>
        <v>1</v>
      </c>
      <c r="H10" s="16">
        <f t="shared" si="4"/>
        <v>0.5833333333</v>
      </c>
      <c r="I10" s="13">
        <f t="shared" si="5"/>
        <v>0</v>
      </c>
      <c r="J10" s="14">
        <v>0.0</v>
      </c>
      <c r="K10" s="11">
        <v>0.0</v>
      </c>
      <c r="L10" s="16">
        <f t="shared" si="6"/>
        <v>0</v>
      </c>
      <c r="M10" s="11" t="s">
        <v>41</v>
      </c>
      <c r="N10" s="19">
        <f t="shared" si="7"/>
        <v>28</v>
      </c>
      <c r="O10" s="18">
        <f t="shared" si="8"/>
        <v>2.333333333</v>
      </c>
      <c r="P10" s="18">
        <f t="shared" si="9"/>
        <v>9.333333333</v>
      </c>
      <c r="Q10" s="11">
        <v>0.0</v>
      </c>
      <c r="R10" s="19">
        <f t="shared" si="10"/>
        <v>28</v>
      </c>
      <c r="S10" s="18">
        <f t="shared" si="11"/>
        <v>9.333333333</v>
      </c>
    </row>
    <row r="11">
      <c r="A11" s="2" t="s">
        <v>83</v>
      </c>
      <c r="B11" s="11">
        <v>3.0</v>
      </c>
      <c r="C11" s="13">
        <f t="shared" si="1"/>
        <v>12</v>
      </c>
      <c r="D11" s="14">
        <v>4.0</v>
      </c>
      <c r="E11" s="11">
        <v>4.0</v>
      </c>
      <c r="F11" s="15">
        <f t="shared" si="2"/>
        <v>8</v>
      </c>
      <c r="G11" s="16">
        <f t="shared" si="3"/>
        <v>0.6666666667</v>
      </c>
      <c r="H11" s="16">
        <f t="shared" si="4"/>
        <v>0.5</v>
      </c>
      <c r="I11" s="13">
        <f t="shared" si="5"/>
        <v>0</v>
      </c>
      <c r="J11" s="14">
        <v>0.0</v>
      </c>
      <c r="K11" s="11">
        <v>0.0</v>
      </c>
      <c r="L11" s="16">
        <f t="shared" si="6"/>
        <v>0</v>
      </c>
      <c r="M11" s="11" t="s">
        <v>41</v>
      </c>
      <c r="N11" s="19">
        <f t="shared" si="7"/>
        <v>16</v>
      </c>
      <c r="O11" s="18">
        <f t="shared" si="8"/>
        <v>1.333333333</v>
      </c>
      <c r="P11" s="18">
        <f t="shared" si="9"/>
        <v>5.333333333</v>
      </c>
      <c r="Q11" s="11">
        <v>1.0</v>
      </c>
      <c r="R11" s="19">
        <f t="shared" si="10"/>
        <v>26</v>
      </c>
      <c r="S11" s="18">
        <f t="shared" si="11"/>
        <v>8.666666667</v>
      </c>
    </row>
    <row r="12">
      <c r="A12" s="2" t="s">
        <v>77</v>
      </c>
      <c r="B12" s="11">
        <v>3.0</v>
      </c>
      <c r="C12" s="13">
        <f t="shared" si="1"/>
        <v>12</v>
      </c>
      <c r="D12" s="14">
        <v>3.0</v>
      </c>
      <c r="E12" s="11">
        <v>6.0</v>
      </c>
      <c r="F12" s="15">
        <f t="shared" si="2"/>
        <v>9</v>
      </c>
      <c r="G12" s="16">
        <f t="shared" si="3"/>
        <v>0.75</v>
      </c>
      <c r="H12" s="16">
        <f t="shared" si="4"/>
        <v>0.3333333333</v>
      </c>
      <c r="I12" s="13">
        <f t="shared" si="5"/>
        <v>1</v>
      </c>
      <c r="J12" s="14">
        <v>1.0</v>
      </c>
      <c r="K12" s="11">
        <v>0.0</v>
      </c>
      <c r="L12" s="16">
        <f t="shared" si="6"/>
        <v>0.08333333333</v>
      </c>
      <c r="M12" s="16">
        <f>J12/I12</f>
        <v>1</v>
      </c>
      <c r="N12" s="19">
        <f t="shared" si="7"/>
        <v>12</v>
      </c>
      <c r="O12" s="18">
        <f t="shared" si="8"/>
        <v>1</v>
      </c>
      <c r="P12" s="18">
        <f t="shared" si="9"/>
        <v>4</v>
      </c>
      <c r="Q12" s="11">
        <v>1.0</v>
      </c>
      <c r="R12" s="19">
        <f t="shared" si="10"/>
        <v>22</v>
      </c>
      <c r="S12" s="18">
        <f t="shared" si="11"/>
        <v>7.333333333</v>
      </c>
    </row>
    <row r="13">
      <c r="A13" s="2" t="s">
        <v>79</v>
      </c>
      <c r="B13" s="11">
        <v>3.0</v>
      </c>
      <c r="C13" s="13">
        <f t="shared" si="1"/>
        <v>12</v>
      </c>
      <c r="D13" s="14">
        <v>3.0</v>
      </c>
      <c r="E13" s="11">
        <v>6.0</v>
      </c>
      <c r="F13" s="15">
        <f t="shared" si="2"/>
        <v>9</v>
      </c>
      <c r="G13" s="16">
        <f t="shared" si="3"/>
        <v>0.75</v>
      </c>
      <c r="H13" s="16">
        <f t="shared" si="4"/>
        <v>0.3333333333</v>
      </c>
      <c r="I13" s="13">
        <f t="shared" si="5"/>
        <v>0</v>
      </c>
      <c r="J13" s="14">
        <v>0.0</v>
      </c>
      <c r="K13" s="11">
        <v>0.0</v>
      </c>
      <c r="L13" s="16">
        <f t="shared" si="6"/>
        <v>0</v>
      </c>
      <c r="M13" s="11" t="s">
        <v>41</v>
      </c>
      <c r="N13" s="19">
        <f t="shared" si="7"/>
        <v>12</v>
      </c>
      <c r="O13" s="18">
        <f t="shared" si="8"/>
        <v>1</v>
      </c>
      <c r="P13" s="18">
        <f t="shared" si="9"/>
        <v>4</v>
      </c>
      <c r="Q13" s="11">
        <v>1.0</v>
      </c>
      <c r="R13" s="19">
        <f t="shared" si="10"/>
        <v>22</v>
      </c>
      <c r="S13" s="18">
        <f t="shared" si="11"/>
        <v>7.333333333</v>
      </c>
    </row>
    <row r="14">
      <c r="A14" s="2" t="s">
        <v>51</v>
      </c>
      <c r="B14" s="11">
        <v>3.0</v>
      </c>
      <c r="C14" s="13">
        <f t="shared" si="1"/>
        <v>12</v>
      </c>
      <c r="D14" s="14">
        <v>3.0</v>
      </c>
      <c r="E14" s="11">
        <v>8.0</v>
      </c>
      <c r="F14" s="15">
        <f t="shared" si="2"/>
        <v>11</v>
      </c>
      <c r="G14" s="16">
        <f t="shared" si="3"/>
        <v>0.9166666667</v>
      </c>
      <c r="H14" s="16">
        <f t="shared" si="4"/>
        <v>0.2727272727</v>
      </c>
      <c r="I14" s="13">
        <f t="shared" si="5"/>
        <v>1</v>
      </c>
      <c r="J14" s="14">
        <v>1.0</v>
      </c>
      <c r="K14" s="11">
        <v>0.0</v>
      </c>
      <c r="L14" s="16">
        <f t="shared" si="6"/>
        <v>0.08333333333</v>
      </c>
      <c r="M14" s="16">
        <f>J14/I14</f>
        <v>1</v>
      </c>
      <c r="N14" s="19">
        <f t="shared" si="7"/>
        <v>12</v>
      </c>
      <c r="O14" s="18">
        <f t="shared" si="8"/>
        <v>1</v>
      </c>
      <c r="P14" s="18">
        <f t="shared" si="9"/>
        <v>4</v>
      </c>
      <c r="Q14" s="11">
        <v>1.0</v>
      </c>
      <c r="R14" s="19">
        <f t="shared" si="10"/>
        <v>22</v>
      </c>
      <c r="S14" s="18">
        <f t="shared" si="11"/>
        <v>7.333333333</v>
      </c>
    </row>
    <row r="15">
      <c r="A15" s="2" t="s">
        <v>72</v>
      </c>
      <c r="B15" s="11">
        <v>3.0</v>
      </c>
      <c r="C15" s="13">
        <f t="shared" si="1"/>
        <v>12</v>
      </c>
      <c r="D15" s="14">
        <v>5.0</v>
      </c>
      <c r="E15" s="11">
        <v>4.0</v>
      </c>
      <c r="F15" s="15">
        <f t="shared" si="2"/>
        <v>9</v>
      </c>
      <c r="G15" s="16">
        <f t="shared" si="3"/>
        <v>0.75</v>
      </c>
      <c r="H15" s="16">
        <f t="shared" si="4"/>
        <v>0.5555555556</v>
      </c>
      <c r="I15" s="13">
        <f t="shared" si="5"/>
        <v>0</v>
      </c>
      <c r="J15" s="14">
        <v>0.0</v>
      </c>
      <c r="K15" s="11">
        <v>0.0</v>
      </c>
      <c r="L15" s="16">
        <f t="shared" si="6"/>
        <v>0</v>
      </c>
      <c r="M15" s="11" t="s">
        <v>41</v>
      </c>
      <c r="N15" s="19">
        <f t="shared" si="7"/>
        <v>20</v>
      </c>
      <c r="O15" s="18">
        <f t="shared" si="8"/>
        <v>1.666666667</v>
      </c>
      <c r="P15" s="18">
        <f t="shared" si="9"/>
        <v>6.666666667</v>
      </c>
      <c r="Q15" s="11">
        <v>0.0</v>
      </c>
      <c r="R15" s="19">
        <f t="shared" si="10"/>
        <v>20</v>
      </c>
      <c r="S15" s="18">
        <f t="shared" si="11"/>
        <v>6.666666667</v>
      </c>
    </row>
    <row r="16">
      <c r="A16" s="2" t="s">
        <v>104</v>
      </c>
      <c r="B16" s="11">
        <v>3.0</v>
      </c>
      <c r="C16" s="13">
        <f t="shared" si="1"/>
        <v>12</v>
      </c>
      <c r="D16" s="14">
        <v>4.0</v>
      </c>
      <c r="E16" s="20">
        <v>2.0</v>
      </c>
      <c r="F16" s="25">
        <f t="shared" si="2"/>
        <v>6</v>
      </c>
      <c r="G16" s="23">
        <f t="shared" si="3"/>
        <v>0.5</v>
      </c>
      <c r="H16" s="23">
        <f t="shared" si="4"/>
        <v>0.6666666667</v>
      </c>
      <c r="I16" s="13">
        <f t="shared" si="5"/>
        <v>1</v>
      </c>
      <c r="J16" s="14">
        <v>1.0</v>
      </c>
      <c r="K16" s="11">
        <v>0.0</v>
      </c>
      <c r="L16" s="16">
        <f t="shared" si="6"/>
        <v>0.08333333333</v>
      </c>
      <c r="M16" s="16">
        <f t="shared" ref="M16:M22" si="12">J16/I16</f>
        <v>1</v>
      </c>
      <c r="N16" s="19">
        <f t="shared" si="7"/>
        <v>16</v>
      </c>
      <c r="O16" s="18">
        <f t="shared" si="8"/>
        <v>1.333333333</v>
      </c>
      <c r="P16" s="18">
        <f t="shared" si="9"/>
        <v>5.333333333</v>
      </c>
      <c r="Q16" s="11">
        <v>0.0</v>
      </c>
      <c r="R16" s="19">
        <f t="shared" si="10"/>
        <v>16</v>
      </c>
      <c r="S16" s="18">
        <f t="shared" si="11"/>
        <v>5.333333333</v>
      </c>
    </row>
    <row r="17">
      <c r="A17" s="2" t="s">
        <v>56</v>
      </c>
      <c r="B17" s="11">
        <v>3.0</v>
      </c>
      <c r="C17" s="13">
        <f t="shared" si="1"/>
        <v>12</v>
      </c>
      <c r="D17" s="14">
        <v>4.0</v>
      </c>
      <c r="E17" s="20">
        <v>4.0</v>
      </c>
      <c r="F17" s="25">
        <f t="shared" si="2"/>
        <v>8</v>
      </c>
      <c r="G17" s="23">
        <f t="shared" si="3"/>
        <v>0.6666666667</v>
      </c>
      <c r="H17" s="23">
        <f t="shared" si="4"/>
        <v>0.5</v>
      </c>
      <c r="I17" s="13">
        <f t="shared" si="5"/>
        <v>1</v>
      </c>
      <c r="J17" s="14">
        <v>1.0</v>
      </c>
      <c r="K17" s="11">
        <v>0.0</v>
      </c>
      <c r="L17" s="16">
        <f t="shared" si="6"/>
        <v>0.08333333333</v>
      </c>
      <c r="M17" s="16">
        <f t="shared" si="12"/>
        <v>1</v>
      </c>
      <c r="N17" s="19">
        <f t="shared" si="7"/>
        <v>16</v>
      </c>
      <c r="O17" s="18">
        <f t="shared" si="8"/>
        <v>1.333333333</v>
      </c>
      <c r="P17" s="18">
        <f t="shared" si="9"/>
        <v>5.333333333</v>
      </c>
      <c r="Q17" s="11">
        <v>0.0</v>
      </c>
      <c r="R17" s="19">
        <f t="shared" si="10"/>
        <v>16</v>
      </c>
      <c r="S17" s="18">
        <f t="shared" si="11"/>
        <v>5.333333333</v>
      </c>
    </row>
    <row r="18">
      <c r="A18" s="2" t="s">
        <v>88</v>
      </c>
      <c r="B18" s="11">
        <v>3.0</v>
      </c>
      <c r="C18" s="13">
        <f t="shared" si="1"/>
        <v>12</v>
      </c>
      <c r="D18" s="14">
        <v>3.0</v>
      </c>
      <c r="E18" s="20">
        <v>3.0</v>
      </c>
      <c r="F18" s="25">
        <f t="shared" si="2"/>
        <v>6</v>
      </c>
      <c r="G18" s="23">
        <f t="shared" si="3"/>
        <v>0.5</v>
      </c>
      <c r="H18" s="23">
        <f t="shared" si="4"/>
        <v>0.5</v>
      </c>
      <c r="I18" s="13">
        <f t="shared" si="5"/>
        <v>1</v>
      </c>
      <c r="J18" s="14">
        <v>1.0</v>
      </c>
      <c r="K18" s="11">
        <v>0.0</v>
      </c>
      <c r="L18" s="16">
        <f t="shared" si="6"/>
        <v>0.08333333333</v>
      </c>
      <c r="M18" s="16">
        <f t="shared" si="12"/>
        <v>1</v>
      </c>
      <c r="N18" s="19">
        <f t="shared" si="7"/>
        <v>12</v>
      </c>
      <c r="O18" s="18">
        <f t="shared" si="8"/>
        <v>1</v>
      </c>
      <c r="P18" s="18">
        <f t="shared" si="9"/>
        <v>4</v>
      </c>
      <c r="Q18" s="11">
        <v>0.0</v>
      </c>
      <c r="R18" s="19">
        <f t="shared" si="10"/>
        <v>12</v>
      </c>
      <c r="S18" s="18">
        <f t="shared" si="11"/>
        <v>4</v>
      </c>
    </row>
    <row r="19">
      <c r="A19" s="2" t="s">
        <v>62</v>
      </c>
      <c r="B19" s="11">
        <v>3.0</v>
      </c>
      <c r="C19" s="13">
        <f t="shared" si="1"/>
        <v>12</v>
      </c>
      <c r="D19" s="14">
        <v>3.0</v>
      </c>
      <c r="E19" s="20">
        <v>4.0</v>
      </c>
      <c r="F19" s="25">
        <f t="shared" si="2"/>
        <v>7</v>
      </c>
      <c r="G19" s="23">
        <f t="shared" si="3"/>
        <v>0.5833333333</v>
      </c>
      <c r="H19" s="23">
        <f t="shared" si="4"/>
        <v>0.4285714286</v>
      </c>
      <c r="I19" s="13">
        <f t="shared" si="5"/>
        <v>1</v>
      </c>
      <c r="J19" s="14">
        <v>1.0</v>
      </c>
      <c r="K19" s="11">
        <v>0.0</v>
      </c>
      <c r="L19" s="16">
        <f t="shared" si="6"/>
        <v>0.08333333333</v>
      </c>
      <c r="M19" s="16">
        <f t="shared" si="12"/>
        <v>1</v>
      </c>
      <c r="N19" s="19">
        <f t="shared" si="7"/>
        <v>12</v>
      </c>
      <c r="O19" s="18">
        <f t="shared" si="8"/>
        <v>1</v>
      </c>
      <c r="P19" s="18">
        <f t="shared" si="9"/>
        <v>4</v>
      </c>
      <c r="Q19" s="11">
        <v>0.0</v>
      </c>
      <c r="R19" s="19">
        <f t="shared" si="10"/>
        <v>12</v>
      </c>
      <c r="S19" s="18">
        <f t="shared" si="11"/>
        <v>4</v>
      </c>
    </row>
    <row r="20">
      <c r="A20" s="2" t="s">
        <v>98</v>
      </c>
      <c r="B20" s="11">
        <v>3.0</v>
      </c>
      <c r="C20" s="13">
        <f t="shared" si="1"/>
        <v>12</v>
      </c>
      <c r="D20" s="14">
        <v>3.0</v>
      </c>
      <c r="E20" s="11">
        <v>4.0</v>
      </c>
      <c r="F20" s="15">
        <f t="shared" si="2"/>
        <v>7</v>
      </c>
      <c r="G20" s="16">
        <f t="shared" si="3"/>
        <v>0.5833333333</v>
      </c>
      <c r="H20" s="16">
        <f t="shared" si="4"/>
        <v>0.4285714286</v>
      </c>
      <c r="I20" s="13">
        <f t="shared" si="5"/>
        <v>1</v>
      </c>
      <c r="J20" s="14">
        <v>1.0</v>
      </c>
      <c r="K20" s="11">
        <v>0.0</v>
      </c>
      <c r="L20" s="16">
        <f t="shared" si="6"/>
        <v>0.08333333333</v>
      </c>
      <c r="M20" s="16">
        <f t="shared" si="12"/>
        <v>1</v>
      </c>
      <c r="N20" s="19">
        <f t="shared" si="7"/>
        <v>12</v>
      </c>
      <c r="O20" s="18">
        <f t="shared" si="8"/>
        <v>1</v>
      </c>
      <c r="P20" s="18">
        <f t="shared" si="9"/>
        <v>4</v>
      </c>
      <c r="Q20" s="11">
        <v>0.0</v>
      </c>
      <c r="R20" s="19">
        <f t="shared" si="10"/>
        <v>12</v>
      </c>
      <c r="S20" s="18">
        <f t="shared" si="11"/>
        <v>4</v>
      </c>
    </row>
    <row r="21">
      <c r="A21" s="2" t="s">
        <v>109</v>
      </c>
      <c r="B21" s="11">
        <v>3.0</v>
      </c>
      <c r="C21" s="13">
        <f t="shared" si="1"/>
        <v>12</v>
      </c>
      <c r="D21" s="14">
        <v>3.0</v>
      </c>
      <c r="E21" s="11">
        <v>6.0</v>
      </c>
      <c r="F21" s="15">
        <f t="shared" si="2"/>
        <v>9</v>
      </c>
      <c r="G21" s="16">
        <f t="shared" si="3"/>
        <v>0.75</v>
      </c>
      <c r="H21" s="16">
        <f t="shared" si="4"/>
        <v>0.3333333333</v>
      </c>
      <c r="I21" s="13">
        <f t="shared" si="5"/>
        <v>2</v>
      </c>
      <c r="J21" s="14">
        <v>2.0</v>
      </c>
      <c r="K21" s="11">
        <v>0.0</v>
      </c>
      <c r="L21" s="16">
        <f t="shared" si="6"/>
        <v>0.1666666667</v>
      </c>
      <c r="M21" s="16">
        <f t="shared" si="12"/>
        <v>1</v>
      </c>
      <c r="N21" s="19">
        <f t="shared" si="7"/>
        <v>12</v>
      </c>
      <c r="O21" s="18">
        <f t="shared" si="8"/>
        <v>1</v>
      </c>
      <c r="P21" s="18">
        <f t="shared" si="9"/>
        <v>4</v>
      </c>
      <c r="Q21" s="11">
        <v>0.0</v>
      </c>
      <c r="R21" s="19">
        <f t="shared" si="10"/>
        <v>12</v>
      </c>
      <c r="S21" s="18">
        <f t="shared" si="11"/>
        <v>4</v>
      </c>
    </row>
    <row r="22">
      <c r="A22" s="2" t="s">
        <v>110</v>
      </c>
      <c r="B22" s="11">
        <v>3.0</v>
      </c>
      <c r="C22" s="13">
        <f t="shared" si="1"/>
        <v>12</v>
      </c>
      <c r="D22" s="14">
        <v>4.0</v>
      </c>
      <c r="E22" s="11">
        <v>4.0</v>
      </c>
      <c r="F22" s="15">
        <f t="shared" si="2"/>
        <v>8</v>
      </c>
      <c r="G22" s="16">
        <f t="shared" si="3"/>
        <v>0.6666666667</v>
      </c>
      <c r="H22" s="16">
        <f t="shared" si="4"/>
        <v>0.5</v>
      </c>
      <c r="I22" s="13">
        <f t="shared" si="5"/>
        <v>2</v>
      </c>
      <c r="J22" s="14">
        <v>0.0</v>
      </c>
      <c r="K22" s="11">
        <v>2.0</v>
      </c>
      <c r="L22" s="16">
        <f t="shared" si="6"/>
        <v>0.1666666667</v>
      </c>
      <c r="M22" s="16">
        <f t="shared" si="12"/>
        <v>0</v>
      </c>
      <c r="N22" s="19">
        <f t="shared" si="7"/>
        <v>8</v>
      </c>
      <c r="O22" s="18">
        <f t="shared" si="8"/>
        <v>0.6666666667</v>
      </c>
      <c r="P22" s="18">
        <f t="shared" si="9"/>
        <v>2.666666667</v>
      </c>
      <c r="Q22" s="11">
        <v>0.0</v>
      </c>
      <c r="R22" s="19">
        <f t="shared" si="10"/>
        <v>8</v>
      </c>
      <c r="S22" s="18">
        <f t="shared" si="11"/>
        <v>2.666666667</v>
      </c>
    </row>
    <row r="23">
      <c r="A23" s="2" t="s">
        <v>96</v>
      </c>
      <c r="B23" s="11">
        <v>3.0</v>
      </c>
      <c r="C23" s="13">
        <f t="shared" si="1"/>
        <v>12</v>
      </c>
      <c r="D23" s="14">
        <v>2.0</v>
      </c>
      <c r="E23" s="11">
        <v>2.0</v>
      </c>
      <c r="F23" s="15">
        <f t="shared" si="2"/>
        <v>4</v>
      </c>
      <c r="G23" s="16">
        <f t="shared" si="3"/>
        <v>0.3333333333</v>
      </c>
      <c r="H23" s="16">
        <f t="shared" si="4"/>
        <v>0.5</v>
      </c>
      <c r="I23" s="13">
        <f t="shared" si="5"/>
        <v>0</v>
      </c>
      <c r="J23" s="14">
        <v>0.0</v>
      </c>
      <c r="K23" s="11">
        <v>0.0</v>
      </c>
      <c r="L23" s="16">
        <f t="shared" si="6"/>
        <v>0</v>
      </c>
      <c r="M23" s="11" t="s">
        <v>41</v>
      </c>
      <c r="N23" s="19">
        <f t="shared" si="7"/>
        <v>8</v>
      </c>
      <c r="O23" s="18">
        <f t="shared" si="8"/>
        <v>0.6666666667</v>
      </c>
      <c r="P23" s="18">
        <f t="shared" si="9"/>
        <v>2.666666667</v>
      </c>
      <c r="Q23" s="11">
        <v>0.0</v>
      </c>
      <c r="R23" s="19">
        <f t="shared" si="10"/>
        <v>8</v>
      </c>
      <c r="S23" s="18">
        <f t="shared" si="11"/>
        <v>2.666666667</v>
      </c>
    </row>
    <row r="24">
      <c r="A24" s="2" t="s">
        <v>90</v>
      </c>
      <c r="B24" s="11">
        <v>3.0</v>
      </c>
      <c r="C24" s="13">
        <f t="shared" si="1"/>
        <v>12</v>
      </c>
      <c r="D24" s="14">
        <v>3.0</v>
      </c>
      <c r="E24" s="11">
        <v>4.0</v>
      </c>
      <c r="F24" s="15">
        <f t="shared" si="2"/>
        <v>7</v>
      </c>
      <c r="G24" s="16">
        <f t="shared" si="3"/>
        <v>0.5833333333</v>
      </c>
      <c r="H24" s="16">
        <f t="shared" si="4"/>
        <v>0.4285714286</v>
      </c>
      <c r="I24" s="13">
        <f t="shared" si="5"/>
        <v>1</v>
      </c>
      <c r="J24" s="14">
        <v>0.0</v>
      </c>
      <c r="K24" s="11">
        <v>1.0</v>
      </c>
      <c r="L24" s="16">
        <f t="shared" si="6"/>
        <v>0.08333333333</v>
      </c>
      <c r="M24" s="16">
        <f t="shared" ref="M24:M25" si="13">J24/I24</f>
        <v>0</v>
      </c>
      <c r="N24" s="19">
        <f t="shared" si="7"/>
        <v>8</v>
      </c>
      <c r="O24" s="18">
        <f t="shared" si="8"/>
        <v>0.6666666667</v>
      </c>
      <c r="P24" s="18">
        <f t="shared" si="9"/>
        <v>2.666666667</v>
      </c>
      <c r="Q24" s="11">
        <v>0.0</v>
      </c>
      <c r="R24" s="19">
        <f t="shared" si="10"/>
        <v>8</v>
      </c>
      <c r="S24" s="18">
        <f t="shared" si="11"/>
        <v>2.666666667</v>
      </c>
    </row>
    <row r="25">
      <c r="A25" s="2" t="s">
        <v>107</v>
      </c>
      <c r="B25" s="11">
        <v>3.0</v>
      </c>
      <c r="C25" s="13">
        <f t="shared" si="1"/>
        <v>12</v>
      </c>
      <c r="D25" s="14">
        <v>3.0</v>
      </c>
      <c r="E25" s="11">
        <v>4.0</v>
      </c>
      <c r="F25" s="15">
        <f t="shared" si="2"/>
        <v>7</v>
      </c>
      <c r="G25" s="16">
        <f t="shared" si="3"/>
        <v>0.5833333333</v>
      </c>
      <c r="H25" s="16">
        <f t="shared" si="4"/>
        <v>0.4285714286</v>
      </c>
      <c r="I25" s="13">
        <f t="shared" si="5"/>
        <v>2</v>
      </c>
      <c r="J25" s="14">
        <v>1.0</v>
      </c>
      <c r="K25" s="11">
        <v>1.0</v>
      </c>
      <c r="L25" s="16">
        <f t="shared" si="6"/>
        <v>0.1666666667</v>
      </c>
      <c r="M25" s="16">
        <f t="shared" si="13"/>
        <v>0.5</v>
      </c>
      <c r="N25" s="19">
        <f t="shared" si="7"/>
        <v>8</v>
      </c>
      <c r="O25" s="18">
        <f t="shared" si="8"/>
        <v>0.6666666667</v>
      </c>
      <c r="P25" s="18">
        <f t="shared" si="9"/>
        <v>2.666666667</v>
      </c>
      <c r="Q25" s="11">
        <v>0.0</v>
      </c>
      <c r="R25" s="19">
        <f t="shared" si="10"/>
        <v>8</v>
      </c>
      <c r="S25" s="18">
        <f t="shared" si="11"/>
        <v>2.666666667</v>
      </c>
    </row>
    <row r="26">
      <c r="A26" s="2" t="s">
        <v>68</v>
      </c>
      <c r="B26" s="11">
        <v>3.0</v>
      </c>
      <c r="C26" s="13">
        <f t="shared" si="1"/>
        <v>12</v>
      </c>
      <c r="D26" s="14">
        <v>2.0</v>
      </c>
      <c r="E26" s="20">
        <v>3.0</v>
      </c>
      <c r="F26" s="25">
        <f t="shared" si="2"/>
        <v>5</v>
      </c>
      <c r="G26" s="23">
        <f t="shared" si="3"/>
        <v>0.4166666667</v>
      </c>
      <c r="H26" s="23">
        <f t="shared" si="4"/>
        <v>0.4</v>
      </c>
      <c r="I26" s="13">
        <f t="shared" si="5"/>
        <v>0</v>
      </c>
      <c r="J26" s="14">
        <v>0.0</v>
      </c>
      <c r="K26" s="11">
        <v>0.0</v>
      </c>
      <c r="L26" s="16">
        <f t="shared" si="6"/>
        <v>0</v>
      </c>
      <c r="M26" s="11" t="s">
        <v>41</v>
      </c>
      <c r="N26" s="19">
        <f t="shared" si="7"/>
        <v>8</v>
      </c>
      <c r="O26" s="18">
        <f t="shared" si="8"/>
        <v>0.6666666667</v>
      </c>
      <c r="P26" s="18">
        <f t="shared" si="9"/>
        <v>2.666666667</v>
      </c>
      <c r="Q26" s="11">
        <v>0.0</v>
      </c>
      <c r="R26" s="19">
        <f t="shared" si="10"/>
        <v>8</v>
      </c>
      <c r="S26" s="18">
        <f t="shared" si="11"/>
        <v>2.666666667</v>
      </c>
    </row>
    <row r="27">
      <c r="A27" s="2" t="s">
        <v>93</v>
      </c>
      <c r="B27" s="11">
        <v>3.0</v>
      </c>
      <c r="C27" s="13">
        <f t="shared" si="1"/>
        <v>12</v>
      </c>
      <c r="D27" s="14">
        <v>2.0</v>
      </c>
      <c r="E27" s="11">
        <v>7.0</v>
      </c>
      <c r="F27" s="15">
        <f t="shared" si="2"/>
        <v>9</v>
      </c>
      <c r="G27" s="16">
        <f t="shared" si="3"/>
        <v>0.75</v>
      </c>
      <c r="H27" s="16">
        <f t="shared" si="4"/>
        <v>0.2222222222</v>
      </c>
      <c r="I27" s="13">
        <f t="shared" si="5"/>
        <v>1</v>
      </c>
      <c r="J27" s="14">
        <v>0.0</v>
      </c>
      <c r="K27" s="11">
        <v>1.0</v>
      </c>
      <c r="L27" s="16">
        <f t="shared" si="6"/>
        <v>0.08333333333</v>
      </c>
      <c r="M27" s="16">
        <f t="shared" ref="M27:M29" si="14">J27/I27</f>
        <v>0</v>
      </c>
      <c r="N27" s="19">
        <f t="shared" si="7"/>
        <v>4</v>
      </c>
      <c r="O27" s="18">
        <f t="shared" si="8"/>
        <v>0.3333333333</v>
      </c>
      <c r="P27" s="18">
        <f t="shared" si="9"/>
        <v>1.333333333</v>
      </c>
      <c r="Q27" s="11">
        <v>0.0</v>
      </c>
      <c r="R27" s="19">
        <f t="shared" si="10"/>
        <v>4</v>
      </c>
      <c r="S27" s="18">
        <f t="shared" si="11"/>
        <v>1.333333333</v>
      </c>
    </row>
    <row r="28">
      <c r="A28" s="2" t="s">
        <v>111</v>
      </c>
      <c r="B28" s="11">
        <v>3.0</v>
      </c>
      <c r="C28" s="13">
        <f t="shared" si="1"/>
        <v>12</v>
      </c>
      <c r="D28" s="14">
        <v>2.0</v>
      </c>
      <c r="E28" s="11">
        <v>7.0</v>
      </c>
      <c r="F28" s="15">
        <f t="shared" si="2"/>
        <v>9</v>
      </c>
      <c r="G28" s="16">
        <f t="shared" si="3"/>
        <v>0.75</v>
      </c>
      <c r="H28" s="16">
        <f t="shared" si="4"/>
        <v>0.2222222222</v>
      </c>
      <c r="I28" s="13">
        <f t="shared" si="5"/>
        <v>1</v>
      </c>
      <c r="J28" s="14">
        <v>0.0</v>
      </c>
      <c r="K28" s="11">
        <v>1.0</v>
      </c>
      <c r="L28" s="16">
        <f t="shared" si="6"/>
        <v>0.08333333333</v>
      </c>
      <c r="M28" s="16">
        <f t="shared" si="14"/>
        <v>0</v>
      </c>
      <c r="N28" s="19">
        <f t="shared" si="7"/>
        <v>4</v>
      </c>
      <c r="O28" s="18">
        <f t="shared" si="8"/>
        <v>0.3333333333</v>
      </c>
      <c r="P28" s="18">
        <f t="shared" si="9"/>
        <v>1.333333333</v>
      </c>
      <c r="Q28" s="11">
        <v>0.0</v>
      </c>
      <c r="R28" s="19">
        <f t="shared" si="10"/>
        <v>4</v>
      </c>
      <c r="S28" s="18">
        <f t="shared" si="11"/>
        <v>1.333333333</v>
      </c>
    </row>
    <row r="29">
      <c r="A29" s="2" t="s">
        <v>114</v>
      </c>
      <c r="B29" s="11">
        <v>3.0</v>
      </c>
      <c r="C29" s="13">
        <f t="shared" si="1"/>
        <v>12</v>
      </c>
      <c r="D29" s="14">
        <v>2.0</v>
      </c>
      <c r="E29" s="11">
        <v>7.0</v>
      </c>
      <c r="F29" s="15">
        <f t="shared" si="2"/>
        <v>9</v>
      </c>
      <c r="G29" s="16">
        <f t="shared" si="3"/>
        <v>0.75</v>
      </c>
      <c r="H29" s="16">
        <f t="shared" si="4"/>
        <v>0.2222222222</v>
      </c>
      <c r="I29" s="13">
        <f t="shared" si="5"/>
        <v>1</v>
      </c>
      <c r="J29" s="14">
        <v>0.0</v>
      </c>
      <c r="K29" s="11">
        <v>1.0</v>
      </c>
      <c r="L29" s="16">
        <f t="shared" si="6"/>
        <v>0.08333333333</v>
      </c>
      <c r="M29" s="16">
        <f t="shared" si="14"/>
        <v>0</v>
      </c>
      <c r="N29" s="19">
        <f t="shared" si="7"/>
        <v>4</v>
      </c>
      <c r="O29" s="18">
        <f t="shared" si="8"/>
        <v>0.3333333333</v>
      </c>
      <c r="P29" s="18">
        <f t="shared" si="9"/>
        <v>1.333333333</v>
      </c>
      <c r="Q29" s="11">
        <v>0.0</v>
      </c>
      <c r="R29" s="19">
        <f t="shared" si="10"/>
        <v>4</v>
      </c>
      <c r="S29" s="18">
        <f t="shared" si="11"/>
        <v>1.333333333</v>
      </c>
    </row>
    <row r="30">
      <c r="A30" s="2" t="s">
        <v>101</v>
      </c>
      <c r="B30" s="11">
        <v>3.0</v>
      </c>
      <c r="C30" s="13">
        <f t="shared" si="1"/>
        <v>12</v>
      </c>
      <c r="D30" s="14">
        <v>1.0</v>
      </c>
      <c r="E30" s="11">
        <v>8.0</v>
      </c>
      <c r="F30" s="15">
        <f t="shared" si="2"/>
        <v>9</v>
      </c>
      <c r="G30" s="16">
        <f t="shared" si="3"/>
        <v>0.75</v>
      </c>
      <c r="H30" s="16">
        <f t="shared" si="4"/>
        <v>0.1111111111</v>
      </c>
      <c r="I30" s="13">
        <f t="shared" si="5"/>
        <v>0</v>
      </c>
      <c r="J30" s="14">
        <v>0.0</v>
      </c>
      <c r="K30" s="11">
        <v>0.0</v>
      </c>
      <c r="L30" s="16">
        <f t="shared" si="6"/>
        <v>0</v>
      </c>
      <c r="M30" s="11" t="s">
        <v>41</v>
      </c>
      <c r="N30" s="19">
        <f t="shared" si="7"/>
        <v>4</v>
      </c>
      <c r="O30" s="18">
        <f t="shared" si="8"/>
        <v>0.3333333333</v>
      </c>
      <c r="P30" s="18">
        <f t="shared" si="9"/>
        <v>1.333333333</v>
      </c>
      <c r="Q30" s="11">
        <v>0.0</v>
      </c>
      <c r="R30" s="19">
        <f t="shared" si="10"/>
        <v>4</v>
      </c>
      <c r="S30" s="18">
        <f t="shared" si="11"/>
        <v>1.333333333</v>
      </c>
    </row>
    <row r="31">
      <c r="A31" s="2" t="s">
        <v>81</v>
      </c>
      <c r="B31" s="11">
        <v>3.0</v>
      </c>
      <c r="C31" s="13">
        <f t="shared" si="1"/>
        <v>12</v>
      </c>
      <c r="D31" s="14">
        <v>1.0</v>
      </c>
      <c r="E31" s="11">
        <v>10.0</v>
      </c>
      <c r="F31" s="15">
        <f t="shared" si="2"/>
        <v>11</v>
      </c>
      <c r="G31" s="16">
        <f t="shared" si="3"/>
        <v>0.9166666667</v>
      </c>
      <c r="H31" s="16">
        <f t="shared" si="4"/>
        <v>0.09090909091</v>
      </c>
      <c r="I31" s="13">
        <f t="shared" si="5"/>
        <v>0</v>
      </c>
      <c r="J31" s="14">
        <v>0.0</v>
      </c>
      <c r="K31" s="11">
        <v>0.0</v>
      </c>
      <c r="L31" s="16">
        <f t="shared" si="6"/>
        <v>0</v>
      </c>
      <c r="M31" s="11" t="s">
        <v>41</v>
      </c>
      <c r="N31" s="19">
        <f t="shared" si="7"/>
        <v>4</v>
      </c>
      <c r="O31" s="18">
        <f t="shared" si="8"/>
        <v>0.3333333333</v>
      </c>
      <c r="P31" s="18">
        <f t="shared" si="9"/>
        <v>1.333333333</v>
      </c>
      <c r="Q31" s="11">
        <v>0.0</v>
      </c>
      <c r="R31" s="19">
        <f t="shared" si="10"/>
        <v>4</v>
      </c>
      <c r="S31" s="18">
        <f t="shared" si="11"/>
        <v>1.333333333</v>
      </c>
    </row>
    <row r="32">
      <c r="A32" s="2" t="s">
        <v>117</v>
      </c>
      <c r="B32" s="11">
        <v>3.0</v>
      </c>
      <c r="C32" s="13">
        <f t="shared" si="1"/>
        <v>12</v>
      </c>
      <c r="D32" s="14">
        <v>0.0</v>
      </c>
      <c r="E32" s="11">
        <v>5.0</v>
      </c>
      <c r="F32" s="15">
        <f t="shared" si="2"/>
        <v>5</v>
      </c>
      <c r="G32" s="16">
        <f t="shared" si="3"/>
        <v>0.4166666667</v>
      </c>
      <c r="H32" s="16">
        <f t="shared" si="4"/>
        <v>0</v>
      </c>
      <c r="I32" s="13">
        <f t="shared" si="5"/>
        <v>0</v>
      </c>
      <c r="J32" s="14">
        <v>0.0</v>
      </c>
      <c r="K32" s="11">
        <v>0.0</v>
      </c>
      <c r="L32" s="16">
        <f t="shared" si="6"/>
        <v>0</v>
      </c>
      <c r="M32" s="11" t="s">
        <v>41</v>
      </c>
      <c r="N32" s="19">
        <f t="shared" si="7"/>
        <v>0</v>
      </c>
      <c r="O32" s="18">
        <f t="shared" si="8"/>
        <v>0</v>
      </c>
      <c r="P32" s="18">
        <f t="shared" si="9"/>
        <v>0</v>
      </c>
      <c r="Q32" s="11">
        <v>0.0</v>
      </c>
      <c r="R32" s="19">
        <f t="shared" si="10"/>
        <v>0</v>
      </c>
      <c r="S32" s="18">
        <f t="shared" si="11"/>
        <v>0</v>
      </c>
    </row>
    <row r="33">
      <c r="A33" s="2" t="s">
        <v>119</v>
      </c>
      <c r="B33" s="11">
        <v>3.0</v>
      </c>
      <c r="C33" s="13">
        <f t="shared" si="1"/>
        <v>12</v>
      </c>
      <c r="D33" s="14">
        <v>1.0</v>
      </c>
      <c r="E33" s="11">
        <v>5.0</v>
      </c>
      <c r="F33" s="15">
        <f t="shared" si="2"/>
        <v>6</v>
      </c>
      <c r="G33" s="16">
        <f t="shared" si="3"/>
        <v>0.5</v>
      </c>
      <c r="H33" s="16">
        <f t="shared" si="4"/>
        <v>0.1666666667</v>
      </c>
      <c r="I33" s="13">
        <f t="shared" si="5"/>
        <v>2</v>
      </c>
      <c r="J33" s="14">
        <v>0.0</v>
      </c>
      <c r="K33" s="11">
        <v>2.0</v>
      </c>
      <c r="L33" s="16">
        <f t="shared" si="6"/>
        <v>0.1666666667</v>
      </c>
      <c r="M33" s="16">
        <f>J33/I33</f>
        <v>0</v>
      </c>
      <c r="N33" s="19">
        <f t="shared" si="7"/>
        <v>-4</v>
      </c>
      <c r="O33" s="18">
        <f t="shared" si="8"/>
        <v>-0.3333333333</v>
      </c>
      <c r="P33" s="18">
        <f t="shared" si="9"/>
        <v>-1.333333333</v>
      </c>
      <c r="Q33" s="11">
        <v>0.0</v>
      </c>
      <c r="R33" s="19">
        <f t="shared" si="10"/>
        <v>-4</v>
      </c>
      <c r="S33" s="18">
        <f t="shared" si="11"/>
        <v>-1.333333333</v>
      </c>
    </row>
    <row r="34">
      <c r="D34" s="29"/>
      <c r="F34" s="31"/>
      <c r="G34" s="30"/>
      <c r="H34" s="30"/>
      <c r="J34" s="29"/>
      <c r="L34" s="30"/>
      <c r="M34" s="30"/>
      <c r="O34" s="32"/>
      <c r="P34" s="32"/>
      <c r="S34" s="32"/>
    </row>
    <row r="35">
      <c r="D35" s="29"/>
      <c r="F35" s="31"/>
      <c r="G35" s="30"/>
      <c r="H35" s="30"/>
      <c r="J35" s="29"/>
      <c r="L35" s="30"/>
      <c r="M35" s="30"/>
      <c r="O35" s="32"/>
      <c r="P35" s="32"/>
      <c r="S35" s="32"/>
    </row>
    <row r="36">
      <c r="D36" s="29"/>
      <c r="F36" s="31"/>
      <c r="G36" s="30"/>
      <c r="H36" s="30"/>
      <c r="J36" s="29"/>
      <c r="L36" s="30"/>
      <c r="M36" s="30"/>
      <c r="O36" s="32"/>
      <c r="P36" s="32"/>
      <c r="S36" s="32"/>
    </row>
    <row r="37">
      <c r="D37" s="29"/>
      <c r="F37" s="31"/>
      <c r="G37" s="30"/>
      <c r="H37" s="30"/>
      <c r="J37" s="29"/>
      <c r="L37" s="30"/>
      <c r="M37" s="30"/>
      <c r="O37" s="32"/>
      <c r="P37" s="32"/>
      <c r="S37" s="32"/>
    </row>
    <row r="38">
      <c r="D38" s="29"/>
      <c r="F38" s="31"/>
      <c r="G38" s="30"/>
      <c r="H38" s="30"/>
      <c r="J38" s="29"/>
      <c r="L38" s="30"/>
      <c r="M38" s="30"/>
      <c r="O38" s="32"/>
      <c r="P38" s="32"/>
      <c r="S38" s="32"/>
    </row>
    <row r="39">
      <c r="D39" s="29"/>
      <c r="F39" s="31"/>
      <c r="G39" s="30"/>
      <c r="H39" s="30"/>
      <c r="J39" s="29"/>
      <c r="L39" s="30"/>
      <c r="M39" s="30"/>
      <c r="O39" s="32"/>
      <c r="P39" s="32"/>
      <c r="S39" s="32"/>
    </row>
    <row r="40">
      <c r="D40" s="29"/>
      <c r="F40" s="31"/>
      <c r="G40" s="30"/>
      <c r="H40" s="30"/>
      <c r="J40" s="29"/>
      <c r="L40" s="30"/>
      <c r="M40" s="30"/>
      <c r="O40" s="32"/>
      <c r="P40" s="32"/>
      <c r="S40" s="32"/>
    </row>
    <row r="41">
      <c r="D41" s="29"/>
      <c r="F41" s="31"/>
      <c r="G41" s="30"/>
      <c r="H41" s="30"/>
      <c r="J41" s="29"/>
      <c r="L41" s="30"/>
      <c r="M41" s="30"/>
      <c r="O41" s="32"/>
      <c r="P41" s="32"/>
      <c r="S41" s="32"/>
    </row>
    <row r="42">
      <c r="D42" s="29"/>
      <c r="F42" s="31"/>
      <c r="G42" s="30"/>
      <c r="H42" s="30"/>
      <c r="J42" s="29"/>
      <c r="L42" s="30"/>
      <c r="M42" s="30"/>
      <c r="O42" s="32"/>
      <c r="P42" s="32"/>
      <c r="S42" s="32"/>
    </row>
    <row r="43">
      <c r="D43" s="29"/>
      <c r="F43" s="31"/>
      <c r="G43" s="30"/>
      <c r="H43" s="30"/>
      <c r="J43" s="29"/>
      <c r="L43" s="30"/>
      <c r="M43" s="30"/>
      <c r="O43" s="32"/>
      <c r="P43" s="32"/>
      <c r="S43" s="32"/>
    </row>
    <row r="44">
      <c r="D44" s="29"/>
      <c r="F44" s="31"/>
      <c r="G44" s="30"/>
      <c r="H44" s="30"/>
      <c r="J44" s="29"/>
      <c r="L44" s="30"/>
      <c r="M44" s="30"/>
      <c r="O44" s="32"/>
      <c r="P44" s="32"/>
      <c r="S44" s="32"/>
    </row>
    <row r="45">
      <c r="D45" s="29"/>
      <c r="F45" s="31"/>
      <c r="G45" s="30"/>
      <c r="H45" s="30"/>
      <c r="J45" s="29"/>
      <c r="L45" s="30"/>
      <c r="M45" s="30"/>
      <c r="O45" s="32"/>
      <c r="P45" s="32"/>
      <c r="S45" s="32"/>
    </row>
    <row r="46">
      <c r="D46" s="29"/>
      <c r="F46" s="31"/>
      <c r="G46" s="30"/>
      <c r="H46" s="30"/>
      <c r="J46" s="29"/>
      <c r="L46" s="30"/>
      <c r="M46" s="30"/>
      <c r="O46" s="32"/>
      <c r="P46" s="32"/>
      <c r="S46" s="32"/>
    </row>
    <row r="47">
      <c r="D47" s="29"/>
      <c r="F47" s="31"/>
      <c r="G47" s="30"/>
      <c r="H47" s="30"/>
      <c r="J47" s="29"/>
      <c r="L47" s="30"/>
      <c r="M47" s="30"/>
      <c r="O47" s="32"/>
      <c r="P47" s="32"/>
      <c r="S47" s="32"/>
    </row>
    <row r="48">
      <c r="D48" s="29"/>
      <c r="F48" s="31"/>
      <c r="G48" s="30"/>
      <c r="H48" s="30"/>
      <c r="J48" s="29"/>
      <c r="L48" s="30"/>
      <c r="M48" s="30"/>
      <c r="O48" s="32"/>
      <c r="P48" s="32"/>
      <c r="S48" s="32"/>
    </row>
    <row r="49">
      <c r="D49" s="29"/>
      <c r="F49" s="31"/>
      <c r="G49" s="30"/>
      <c r="H49" s="30"/>
      <c r="J49" s="29"/>
      <c r="L49" s="30"/>
      <c r="M49" s="30"/>
      <c r="O49" s="32"/>
      <c r="P49" s="32"/>
      <c r="S49" s="32"/>
    </row>
    <row r="50">
      <c r="D50" s="29"/>
      <c r="F50" s="31"/>
      <c r="G50" s="30"/>
      <c r="H50" s="30"/>
      <c r="J50" s="29"/>
      <c r="L50" s="30"/>
      <c r="M50" s="30"/>
      <c r="O50" s="32"/>
      <c r="P50" s="32"/>
      <c r="S50" s="32"/>
    </row>
    <row r="51">
      <c r="D51" s="29"/>
      <c r="F51" s="31"/>
      <c r="G51" s="30"/>
      <c r="H51" s="30"/>
      <c r="J51" s="29"/>
      <c r="L51" s="30"/>
      <c r="M51" s="30"/>
      <c r="O51" s="32"/>
      <c r="P51" s="32"/>
      <c r="S51" s="32"/>
    </row>
    <row r="52">
      <c r="D52" s="29"/>
      <c r="F52" s="31"/>
      <c r="G52" s="30"/>
      <c r="H52" s="30"/>
      <c r="J52" s="29"/>
      <c r="L52" s="30"/>
      <c r="M52" s="30"/>
      <c r="O52" s="32"/>
      <c r="P52" s="32"/>
      <c r="S52" s="32"/>
    </row>
    <row r="53">
      <c r="D53" s="29"/>
      <c r="F53" s="31"/>
      <c r="G53" s="30"/>
      <c r="H53" s="30"/>
      <c r="J53" s="29"/>
      <c r="L53" s="30"/>
      <c r="M53" s="30"/>
      <c r="O53" s="32"/>
      <c r="P53" s="32"/>
      <c r="S53" s="32"/>
    </row>
    <row r="54">
      <c r="D54" s="29"/>
      <c r="F54" s="31"/>
      <c r="G54" s="30"/>
      <c r="H54" s="30"/>
      <c r="J54" s="29"/>
      <c r="L54" s="30"/>
      <c r="M54" s="30"/>
      <c r="O54" s="32"/>
      <c r="P54" s="32"/>
      <c r="S54" s="32"/>
    </row>
    <row r="55">
      <c r="D55" s="29"/>
      <c r="F55" s="31"/>
      <c r="G55" s="30"/>
      <c r="H55" s="30"/>
      <c r="J55" s="29"/>
      <c r="L55" s="30"/>
      <c r="M55" s="30"/>
      <c r="O55" s="32"/>
      <c r="P55" s="32"/>
      <c r="S55" s="32"/>
    </row>
    <row r="56">
      <c r="D56" s="29"/>
      <c r="F56" s="31"/>
      <c r="G56" s="30"/>
      <c r="H56" s="30"/>
      <c r="J56" s="29"/>
      <c r="L56" s="30"/>
      <c r="M56" s="30"/>
      <c r="O56" s="32"/>
      <c r="P56" s="32"/>
      <c r="S56" s="32"/>
    </row>
    <row r="57">
      <c r="D57" s="29"/>
      <c r="F57" s="31"/>
      <c r="G57" s="30"/>
      <c r="H57" s="30"/>
      <c r="J57" s="29"/>
      <c r="L57" s="30"/>
      <c r="M57" s="30"/>
      <c r="O57" s="32"/>
      <c r="P57" s="32"/>
      <c r="S57" s="32"/>
    </row>
    <row r="58">
      <c r="D58" s="29"/>
      <c r="F58" s="31"/>
      <c r="G58" s="30"/>
      <c r="H58" s="30"/>
      <c r="J58" s="29"/>
      <c r="L58" s="30"/>
      <c r="M58" s="30"/>
      <c r="O58" s="32"/>
      <c r="P58" s="32"/>
      <c r="S58" s="32"/>
    </row>
    <row r="59">
      <c r="D59" s="29"/>
      <c r="F59" s="31"/>
      <c r="G59" s="30"/>
      <c r="H59" s="30"/>
      <c r="J59" s="29"/>
      <c r="L59" s="30"/>
      <c r="M59" s="30"/>
      <c r="O59" s="32"/>
      <c r="P59" s="32"/>
      <c r="S59" s="32"/>
    </row>
    <row r="60">
      <c r="D60" s="29"/>
      <c r="F60" s="31"/>
      <c r="G60" s="30"/>
      <c r="H60" s="30"/>
      <c r="J60" s="29"/>
      <c r="L60" s="30"/>
      <c r="M60" s="30"/>
      <c r="O60" s="32"/>
      <c r="P60" s="32"/>
      <c r="S60" s="32"/>
    </row>
    <row r="61">
      <c r="D61" s="29"/>
      <c r="F61" s="31"/>
      <c r="G61" s="30"/>
      <c r="H61" s="30"/>
      <c r="J61" s="29"/>
      <c r="L61" s="30"/>
      <c r="M61" s="30"/>
      <c r="O61" s="32"/>
      <c r="P61" s="32"/>
      <c r="S61" s="32"/>
    </row>
    <row r="62">
      <c r="D62" s="29"/>
      <c r="F62" s="31"/>
      <c r="G62" s="30"/>
      <c r="H62" s="30"/>
      <c r="J62" s="29"/>
      <c r="L62" s="30"/>
      <c r="M62" s="30"/>
      <c r="O62" s="32"/>
      <c r="P62" s="32"/>
      <c r="S62" s="32"/>
    </row>
    <row r="63">
      <c r="D63" s="29"/>
      <c r="F63" s="31"/>
      <c r="G63" s="30"/>
      <c r="H63" s="30"/>
      <c r="J63" s="29"/>
      <c r="L63" s="30"/>
      <c r="M63" s="30"/>
      <c r="O63" s="32"/>
      <c r="P63" s="32"/>
      <c r="S63" s="32"/>
    </row>
    <row r="64">
      <c r="D64" s="29"/>
      <c r="F64" s="31"/>
      <c r="G64" s="30"/>
      <c r="H64" s="30"/>
      <c r="J64" s="29"/>
      <c r="L64" s="30"/>
      <c r="M64" s="30"/>
      <c r="O64" s="32"/>
      <c r="P64" s="32"/>
      <c r="S64" s="32"/>
    </row>
    <row r="65">
      <c r="D65" s="29"/>
      <c r="F65" s="31"/>
      <c r="G65" s="30"/>
      <c r="H65" s="30"/>
      <c r="J65" s="29"/>
      <c r="L65" s="30"/>
      <c r="M65" s="30"/>
      <c r="O65" s="32"/>
      <c r="P65" s="32"/>
      <c r="S65" s="32"/>
    </row>
    <row r="66">
      <c r="D66" s="29"/>
      <c r="F66" s="31"/>
      <c r="G66" s="30"/>
      <c r="H66" s="30"/>
      <c r="J66" s="29"/>
      <c r="L66" s="30"/>
      <c r="M66" s="30"/>
      <c r="O66" s="32"/>
      <c r="P66" s="32"/>
      <c r="S66" s="32"/>
    </row>
    <row r="67">
      <c r="D67" s="29"/>
      <c r="F67" s="31"/>
      <c r="G67" s="30"/>
      <c r="H67" s="30"/>
      <c r="J67" s="29"/>
      <c r="L67" s="30"/>
      <c r="M67" s="30"/>
      <c r="O67" s="32"/>
      <c r="P67" s="32"/>
      <c r="S67" s="32"/>
    </row>
    <row r="68">
      <c r="D68" s="29"/>
      <c r="F68" s="31"/>
      <c r="G68" s="30"/>
      <c r="H68" s="30"/>
      <c r="J68" s="29"/>
      <c r="L68" s="30"/>
      <c r="M68" s="30"/>
      <c r="O68" s="32"/>
      <c r="P68" s="32"/>
      <c r="S68" s="32"/>
    </row>
    <row r="69">
      <c r="D69" s="29"/>
      <c r="F69" s="31"/>
      <c r="G69" s="30"/>
      <c r="H69" s="30"/>
      <c r="J69" s="29"/>
      <c r="L69" s="30"/>
      <c r="M69" s="30"/>
      <c r="O69" s="32"/>
      <c r="P69" s="32"/>
      <c r="S69" s="32"/>
    </row>
    <row r="70">
      <c r="D70" s="29"/>
      <c r="F70" s="31"/>
      <c r="G70" s="30"/>
      <c r="H70" s="30"/>
      <c r="J70" s="29"/>
      <c r="L70" s="30"/>
      <c r="M70" s="30"/>
      <c r="O70" s="32"/>
      <c r="P70" s="32"/>
      <c r="S70" s="32"/>
    </row>
    <row r="71">
      <c r="D71" s="29"/>
      <c r="F71" s="31"/>
      <c r="G71" s="30"/>
      <c r="H71" s="30"/>
      <c r="J71" s="29"/>
      <c r="L71" s="30"/>
      <c r="M71" s="30"/>
      <c r="O71" s="32"/>
      <c r="P71" s="32"/>
      <c r="S71" s="32"/>
    </row>
    <row r="72">
      <c r="D72" s="29"/>
      <c r="F72" s="31"/>
      <c r="G72" s="30"/>
      <c r="H72" s="30"/>
      <c r="J72" s="29"/>
      <c r="L72" s="30"/>
      <c r="M72" s="30"/>
      <c r="O72" s="32"/>
      <c r="P72" s="32"/>
      <c r="S72" s="32"/>
    </row>
    <row r="73">
      <c r="D73" s="29"/>
      <c r="F73" s="31"/>
      <c r="G73" s="30"/>
      <c r="H73" s="30"/>
      <c r="J73" s="29"/>
      <c r="L73" s="30"/>
      <c r="M73" s="30"/>
      <c r="O73" s="32"/>
      <c r="P73" s="32"/>
      <c r="S73" s="32"/>
    </row>
    <row r="74">
      <c r="D74" s="29"/>
      <c r="F74" s="31"/>
      <c r="G74" s="30"/>
      <c r="H74" s="30"/>
      <c r="J74" s="29"/>
      <c r="L74" s="30"/>
      <c r="M74" s="30"/>
      <c r="O74" s="32"/>
      <c r="P74" s="32"/>
      <c r="S74" s="32"/>
    </row>
    <row r="75">
      <c r="D75" s="29"/>
      <c r="F75" s="31"/>
      <c r="G75" s="30"/>
      <c r="H75" s="30"/>
      <c r="J75" s="29"/>
      <c r="L75" s="30"/>
      <c r="M75" s="30"/>
      <c r="O75" s="32"/>
      <c r="P75" s="32"/>
      <c r="S75" s="32"/>
    </row>
    <row r="76">
      <c r="D76" s="29"/>
      <c r="F76" s="31"/>
      <c r="G76" s="30"/>
      <c r="H76" s="30"/>
      <c r="J76" s="29"/>
      <c r="L76" s="30"/>
      <c r="M76" s="30"/>
      <c r="O76" s="32"/>
      <c r="P76" s="32"/>
      <c r="S76" s="32"/>
    </row>
    <row r="77">
      <c r="D77" s="29"/>
      <c r="F77" s="31"/>
      <c r="G77" s="30"/>
      <c r="H77" s="30"/>
      <c r="J77" s="29"/>
      <c r="L77" s="30"/>
      <c r="M77" s="30"/>
      <c r="O77" s="32"/>
      <c r="P77" s="32"/>
      <c r="S77" s="32"/>
    </row>
    <row r="78">
      <c r="D78" s="29"/>
      <c r="F78" s="31"/>
      <c r="G78" s="30"/>
      <c r="H78" s="30"/>
      <c r="J78" s="29"/>
      <c r="L78" s="30"/>
      <c r="M78" s="30"/>
      <c r="O78" s="32"/>
      <c r="P78" s="32"/>
      <c r="S78" s="32"/>
    </row>
    <row r="79">
      <c r="D79" s="29"/>
      <c r="F79" s="31"/>
      <c r="G79" s="30"/>
      <c r="H79" s="30"/>
      <c r="J79" s="29"/>
      <c r="L79" s="30"/>
      <c r="M79" s="30"/>
      <c r="O79" s="32"/>
      <c r="P79" s="32"/>
      <c r="S79" s="32"/>
    </row>
    <row r="80">
      <c r="D80" s="29"/>
      <c r="F80" s="31"/>
      <c r="G80" s="30"/>
      <c r="H80" s="30"/>
      <c r="J80" s="29"/>
      <c r="L80" s="30"/>
      <c r="M80" s="30"/>
      <c r="O80" s="32"/>
      <c r="P80" s="32"/>
      <c r="S80" s="32"/>
    </row>
    <row r="81">
      <c r="D81" s="29"/>
      <c r="F81" s="31"/>
      <c r="G81" s="30"/>
      <c r="H81" s="30"/>
      <c r="J81" s="29"/>
      <c r="L81" s="30"/>
      <c r="M81" s="30"/>
      <c r="O81" s="32"/>
      <c r="P81" s="32"/>
      <c r="S81" s="32"/>
    </row>
    <row r="82">
      <c r="D82" s="29"/>
      <c r="F82" s="31"/>
      <c r="G82" s="30"/>
      <c r="H82" s="30"/>
      <c r="J82" s="29"/>
      <c r="L82" s="30"/>
      <c r="M82" s="30"/>
      <c r="O82" s="32"/>
      <c r="P82" s="32"/>
      <c r="S82" s="32"/>
    </row>
    <row r="83">
      <c r="D83" s="29"/>
      <c r="F83" s="31"/>
      <c r="G83" s="30"/>
      <c r="H83" s="30"/>
      <c r="J83" s="29"/>
      <c r="L83" s="30"/>
      <c r="M83" s="30"/>
      <c r="O83" s="32"/>
      <c r="P83" s="32"/>
      <c r="S83" s="32"/>
    </row>
    <row r="84">
      <c r="D84" s="29"/>
      <c r="F84" s="31"/>
      <c r="G84" s="30"/>
      <c r="H84" s="30"/>
      <c r="J84" s="29"/>
      <c r="L84" s="30"/>
      <c r="M84" s="30"/>
      <c r="O84" s="32"/>
      <c r="P84" s="32"/>
      <c r="S84" s="32"/>
    </row>
    <row r="85">
      <c r="D85" s="29"/>
      <c r="F85" s="31"/>
      <c r="G85" s="30"/>
      <c r="H85" s="30"/>
      <c r="J85" s="29"/>
      <c r="L85" s="30"/>
      <c r="M85" s="30"/>
      <c r="O85" s="32"/>
      <c r="P85" s="32"/>
      <c r="S85" s="32"/>
    </row>
    <row r="86">
      <c r="D86" s="29"/>
      <c r="F86" s="31"/>
      <c r="G86" s="30"/>
      <c r="H86" s="30"/>
      <c r="J86" s="29"/>
      <c r="L86" s="30"/>
      <c r="M86" s="30"/>
      <c r="O86" s="32"/>
      <c r="P86" s="32"/>
      <c r="S86" s="32"/>
    </row>
    <row r="87">
      <c r="D87" s="29"/>
      <c r="F87" s="31"/>
      <c r="G87" s="30"/>
      <c r="H87" s="30"/>
      <c r="J87" s="29"/>
      <c r="L87" s="30"/>
      <c r="M87" s="30"/>
      <c r="O87" s="32"/>
      <c r="P87" s="32"/>
      <c r="S87" s="32"/>
    </row>
    <row r="88">
      <c r="D88" s="29"/>
      <c r="F88" s="31"/>
      <c r="G88" s="30"/>
      <c r="H88" s="30"/>
      <c r="J88" s="29"/>
      <c r="L88" s="30"/>
      <c r="M88" s="30"/>
      <c r="O88" s="32"/>
      <c r="P88" s="32"/>
      <c r="S88" s="32"/>
    </row>
    <row r="89">
      <c r="D89" s="29"/>
      <c r="F89" s="31"/>
      <c r="G89" s="30"/>
      <c r="H89" s="30"/>
      <c r="J89" s="29"/>
      <c r="L89" s="30"/>
      <c r="M89" s="30"/>
      <c r="O89" s="32"/>
      <c r="P89" s="32"/>
      <c r="S89" s="32"/>
    </row>
    <row r="90">
      <c r="D90" s="29"/>
      <c r="F90" s="31"/>
      <c r="G90" s="30"/>
      <c r="H90" s="30"/>
      <c r="J90" s="29"/>
      <c r="L90" s="30"/>
      <c r="M90" s="30"/>
      <c r="O90" s="32"/>
      <c r="P90" s="32"/>
      <c r="S90" s="32"/>
    </row>
    <row r="91">
      <c r="D91" s="29"/>
      <c r="F91" s="31"/>
      <c r="G91" s="30"/>
      <c r="H91" s="30"/>
      <c r="J91" s="29"/>
      <c r="L91" s="30"/>
      <c r="M91" s="30"/>
      <c r="O91" s="32"/>
      <c r="P91" s="32"/>
      <c r="S91" s="32"/>
    </row>
    <row r="92">
      <c r="D92" s="29"/>
      <c r="F92" s="31"/>
      <c r="G92" s="30"/>
      <c r="H92" s="30"/>
      <c r="J92" s="29"/>
      <c r="L92" s="30"/>
      <c r="M92" s="30"/>
      <c r="O92" s="32"/>
      <c r="P92" s="32"/>
      <c r="S92" s="32"/>
    </row>
    <row r="93">
      <c r="D93" s="29"/>
      <c r="F93" s="31"/>
      <c r="G93" s="30"/>
      <c r="H93" s="30"/>
      <c r="J93" s="29"/>
      <c r="L93" s="30"/>
      <c r="M93" s="30"/>
      <c r="O93" s="32"/>
      <c r="P93" s="32"/>
      <c r="S93" s="32"/>
    </row>
    <row r="94">
      <c r="D94" s="29"/>
      <c r="F94" s="31"/>
      <c r="G94" s="30"/>
      <c r="H94" s="30"/>
      <c r="J94" s="29"/>
      <c r="L94" s="30"/>
      <c r="M94" s="30"/>
      <c r="O94" s="32"/>
      <c r="P94" s="32"/>
      <c r="S94" s="32"/>
    </row>
    <row r="95">
      <c r="D95" s="29"/>
      <c r="F95" s="31"/>
      <c r="G95" s="30"/>
      <c r="H95" s="30"/>
      <c r="J95" s="29"/>
      <c r="L95" s="30"/>
      <c r="M95" s="30"/>
      <c r="O95" s="32"/>
      <c r="P95" s="32"/>
      <c r="S95" s="32"/>
    </row>
    <row r="96">
      <c r="D96" s="29"/>
      <c r="F96" s="31"/>
      <c r="G96" s="30"/>
      <c r="H96" s="30"/>
      <c r="J96" s="29"/>
      <c r="L96" s="30"/>
      <c r="M96" s="30"/>
      <c r="O96" s="32"/>
      <c r="P96" s="32"/>
      <c r="S96" s="32"/>
    </row>
    <row r="97">
      <c r="D97" s="29"/>
      <c r="F97" s="31"/>
      <c r="G97" s="30"/>
      <c r="H97" s="30"/>
      <c r="J97" s="29"/>
      <c r="L97" s="30"/>
      <c r="M97" s="30"/>
      <c r="O97" s="32"/>
      <c r="P97" s="32"/>
      <c r="S97" s="32"/>
    </row>
    <row r="98">
      <c r="D98" s="29"/>
      <c r="F98" s="31"/>
      <c r="G98" s="30"/>
      <c r="H98" s="30"/>
      <c r="J98" s="29"/>
      <c r="L98" s="30"/>
      <c r="M98" s="30"/>
      <c r="O98" s="32"/>
      <c r="P98" s="32"/>
      <c r="S98" s="32"/>
    </row>
    <row r="99">
      <c r="D99" s="29"/>
      <c r="F99" s="31"/>
      <c r="G99" s="30"/>
      <c r="H99" s="30"/>
      <c r="J99" s="29"/>
      <c r="L99" s="30"/>
      <c r="M99" s="30"/>
      <c r="O99" s="32"/>
      <c r="P99" s="32"/>
      <c r="S99" s="32"/>
    </row>
    <row r="100">
      <c r="D100" s="29"/>
      <c r="F100" s="31"/>
      <c r="G100" s="30"/>
      <c r="H100" s="30"/>
      <c r="J100" s="29"/>
      <c r="L100" s="30"/>
      <c r="M100" s="30"/>
      <c r="O100" s="32"/>
      <c r="P100" s="32"/>
      <c r="S100" s="32"/>
    </row>
    <row r="101">
      <c r="D101" s="29"/>
      <c r="F101" s="31"/>
      <c r="G101" s="30"/>
      <c r="H101" s="30"/>
      <c r="J101" s="29"/>
      <c r="L101" s="30"/>
      <c r="M101" s="30"/>
      <c r="O101" s="32"/>
      <c r="P101" s="32"/>
      <c r="S101" s="32"/>
    </row>
    <row r="102">
      <c r="D102" s="29"/>
      <c r="F102" s="31"/>
      <c r="G102" s="30"/>
      <c r="H102" s="30"/>
      <c r="J102" s="29"/>
      <c r="L102" s="30"/>
      <c r="M102" s="30"/>
      <c r="O102" s="32"/>
      <c r="P102" s="32"/>
      <c r="S102" s="32"/>
    </row>
    <row r="103">
      <c r="D103" s="29"/>
      <c r="F103" s="31"/>
      <c r="G103" s="30"/>
      <c r="H103" s="30"/>
      <c r="J103" s="29"/>
      <c r="L103" s="30"/>
      <c r="M103" s="30"/>
      <c r="O103" s="32"/>
      <c r="P103" s="32"/>
      <c r="S103" s="32"/>
    </row>
    <row r="104">
      <c r="D104" s="29"/>
      <c r="F104" s="31"/>
      <c r="G104" s="30"/>
      <c r="H104" s="30"/>
      <c r="J104" s="29"/>
      <c r="L104" s="30"/>
      <c r="M104" s="30"/>
      <c r="O104" s="32"/>
      <c r="P104" s="32"/>
      <c r="S104" s="32"/>
    </row>
    <row r="105">
      <c r="D105" s="29"/>
      <c r="F105" s="31"/>
      <c r="G105" s="30"/>
      <c r="H105" s="30"/>
      <c r="J105" s="29"/>
      <c r="L105" s="30"/>
      <c r="M105" s="30"/>
      <c r="O105" s="32"/>
      <c r="P105" s="32"/>
      <c r="S105" s="32"/>
    </row>
    <row r="106">
      <c r="D106" s="29"/>
      <c r="F106" s="31"/>
      <c r="G106" s="30"/>
      <c r="H106" s="30"/>
      <c r="J106" s="29"/>
      <c r="L106" s="30"/>
      <c r="M106" s="30"/>
      <c r="O106" s="32"/>
      <c r="P106" s="32"/>
      <c r="S106" s="32"/>
    </row>
    <row r="107">
      <c r="D107" s="29"/>
      <c r="F107" s="31"/>
      <c r="G107" s="30"/>
      <c r="H107" s="30"/>
      <c r="J107" s="29"/>
      <c r="L107" s="30"/>
      <c r="M107" s="30"/>
      <c r="O107" s="32"/>
      <c r="P107" s="32"/>
      <c r="S107" s="32"/>
    </row>
    <row r="108">
      <c r="D108" s="29"/>
      <c r="F108" s="31"/>
      <c r="G108" s="30"/>
      <c r="H108" s="30"/>
      <c r="J108" s="29"/>
      <c r="L108" s="30"/>
      <c r="M108" s="30"/>
      <c r="O108" s="32"/>
      <c r="P108" s="32"/>
      <c r="S108" s="32"/>
    </row>
    <row r="109">
      <c r="D109" s="29"/>
      <c r="F109" s="31"/>
      <c r="G109" s="30"/>
      <c r="H109" s="30"/>
      <c r="J109" s="29"/>
      <c r="L109" s="30"/>
      <c r="M109" s="30"/>
      <c r="O109" s="32"/>
      <c r="P109" s="32"/>
      <c r="S109" s="32"/>
    </row>
    <row r="110">
      <c r="D110" s="29"/>
      <c r="F110" s="31"/>
      <c r="G110" s="30"/>
      <c r="H110" s="30"/>
      <c r="J110" s="29"/>
      <c r="L110" s="30"/>
      <c r="M110" s="30"/>
      <c r="O110" s="32"/>
      <c r="P110" s="32"/>
      <c r="S110" s="32"/>
    </row>
    <row r="111">
      <c r="D111" s="29"/>
      <c r="F111" s="31"/>
      <c r="G111" s="30"/>
      <c r="H111" s="30"/>
      <c r="J111" s="29"/>
      <c r="L111" s="30"/>
      <c r="M111" s="30"/>
      <c r="O111" s="32"/>
      <c r="P111" s="32"/>
      <c r="S111" s="32"/>
    </row>
    <row r="112">
      <c r="D112" s="29"/>
      <c r="F112" s="31"/>
      <c r="G112" s="30"/>
      <c r="H112" s="30"/>
      <c r="J112" s="29"/>
      <c r="L112" s="30"/>
      <c r="M112" s="30"/>
      <c r="O112" s="32"/>
      <c r="P112" s="32"/>
      <c r="S112" s="32"/>
    </row>
    <row r="113">
      <c r="D113" s="29"/>
      <c r="F113" s="31"/>
      <c r="G113" s="30"/>
      <c r="H113" s="30"/>
      <c r="J113" s="29"/>
      <c r="L113" s="30"/>
      <c r="M113" s="30"/>
      <c r="O113" s="32"/>
      <c r="P113" s="32"/>
      <c r="S113" s="32"/>
    </row>
    <row r="114">
      <c r="D114" s="29"/>
      <c r="F114" s="31"/>
      <c r="G114" s="30"/>
      <c r="H114" s="30"/>
      <c r="J114" s="29"/>
      <c r="L114" s="30"/>
      <c r="M114" s="30"/>
      <c r="O114" s="32"/>
      <c r="P114" s="32"/>
      <c r="S114" s="32"/>
    </row>
    <row r="115">
      <c r="D115" s="29"/>
      <c r="F115" s="31"/>
      <c r="G115" s="30"/>
      <c r="H115" s="30"/>
      <c r="J115" s="29"/>
      <c r="L115" s="30"/>
      <c r="M115" s="30"/>
      <c r="O115" s="32"/>
      <c r="P115" s="32"/>
      <c r="S115" s="32"/>
    </row>
    <row r="116">
      <c r="D116" s="29"/>
      <c r="F116" s="31"/>
      <c r="G116" s="30"/>
      <c r="H116" s="30"/>
      <c r="J116" s="29"/>
      <c r="L116" s="30"/>
      <c r="M116" s="30"/>
      <c r="O116" s="32"/>
      <c r="P116" s="32"/>
      <c r="S116" s="32"/>
    </row>
    <row r="117">
      <c r="D117" s="29"/>
      <c r="F117" s="31"/>
      <c r="G117" s="30"/>
      <c r="H117" s="30"/>
      <c r="J117" s="29"/>
      <c r="L117" s="30"/>
      <c r="M117" s="30"/>
      <c r="O117" s="32"/>
      <c r="P117" s="32"/>
      <c r="S117" s="32"/>
    </row>
    <row r="118">
      <c r="D118" s="29"/>
      <c r="F118" s="31"/>
      <c r="G118" s="30"/>
      <c r="H118" s="30"/>
      <c r="J118" s="29"/>
      <c r="L118" s="30"/>
      <c r="M118" s="30"/>
      <c r="O118" s="32"/>
      <c r="P118" s="32"/>
      <c r="S118" s="32"/>
    </row>
    <row r="119">
      <c r="D119" s="29"/>
      <c r="F119" s="31"/>
      <c r="G119" s="30"/>
      <c r="H119" s="30"/>
      <c r="J119" s="29"/>
      <c r="L119" s="30"/>
      <c r="M119" s="30"/>
      <c r="O119" s="32"/>
      <c r="P119" s="32"/>
      <c r="S119" s="32"/>
    </row>
    <row r="120">
      <c r="D120" s="29"/>
      <c r="F120" s="31"/>
      <c r="G120" s="30"/>
      <c r="H120" s="30"/>
      <c r="J120" s="29"/>
      <c r="L120" s="30"/>
      <c r="M120" s="30"/>
      <c r="O120" s="32"/>
      <c r="P120" s="32"/>
      <c r="S120" s="32"/>
    </row>
    <row r="121">
      <c r="D121" s="29"/>
      <c r="F121" s="31"/>
      <c r="G121" s="30"/>
      <c r="H121" s="30"/>
      <c r="J121" s="29"/>
      <c r="L121" s="30"/>
      <c r="M121" s="30"/>
      <c r="O121" s="32"/>
      <c r="P121" s="32"/>
      <c r="S121" s="32"/>
    </row>
    <row r="122">
      <c r="D122" s="29"/>
      <c r="F122" s="31"/>
      <c r="G122" s="30"/>
      <c r="H122" s="30"/>
      <c r="J122" s="29"/>
      <c r="L122" s="30"/>
      <c r="M122" s="30"/>
      <c r="O122" s="32"/>
      <c r="P122" s="32"/>
      <c r="S122" s="32"/>
    </row>
    <row r="123">
      <c r="D123" s="29"/>
      <c r="F123" s="31"/>
      <c r="G123" s="30"/>
      <c r="H123" s="30"/>
      <c r="J123" s="29"/>
      <c r="L123" s="30"/>
      <c r="M123" s="30"/>
      <c r="O123" s="32"/>
      <c r="P123" s="32"/>
      <c r="S123" s="32"/>
    </row>
    <row r="124">
      <c r="D124" s="29"/>
      <c r="F124" s="31"/>
      <c r="G124" s="30"/>
      <c r="H124" s="30"/>
      <c r="J124" s="29"/>
      <c r="L124" s="30"/>
      <c r="M124" s="30"/>
      <c r="O124" s="32"/>
      <c r="P124" s="32"/>
      <c r="S124" s="32"/>
    </row>
    <row r="125">
      <c r="D125" s="29"/>
      <c r="F125" s="31"/>
      <c r="G125" s="30"/>
      <c r="H125" s="30"/>
      <c r="J125" s="29"/>
      <c r="L125" s="30"/>
      <c r="M125" s="30"/>
      <c r="O125" s="32"/>
      <c r="P125" s="32"/>
      <c r="S125" s="32"/>
    </row>
    <row r="126">
      <c r="D126" s="29"/>
      <c r="F126" s="31"/>
      <c r="G126" s="30"/>
      <c r="H126" s="30"/>
      <c r="J126" s="29"/>
      <c r="L126" s="30"/>
      <c r="M126" s="30"/>
      <c r="O126" s="32"/>
      <c r="P126" s="32"/>
      <c r="S126" s="32"/>
    </row>
    <row r="127">
      <c r="D127" s="29"/>
      <c r="F127" s="31"/>
      <c r="G127" s="30"/>
      <c r="H127" s="30"/>
      <c r="J127" s="29"/>
      <c r="L127" s="30"/>
      <c r="M127" s="30"/>
      <c r="O127" s="32"/>
      <c r="P127" s="32"/>
      <c r="S127" s="32"/>
    </row>
    <row r="128">
      <c r="D128" s="29"/>
      <c r="F128" s="31"/>
      <c r="G128" s="30"/>
      <c r="H128" s="30"/>
      <c r="J128" s="29"/>
      <c r="L128" s="30"/>
      <c r="M128" s="30"/>
      <c r="O128" s="32"/>
      <c r="P128" s="32"/>
      <c r="S128" s="32"/>
    </row>
    <row r="129">
      <c r="D129" s="29"/>
      <c r="F129" s="31"/>
      <c r="G129" s="30"/>
      <c r="H129" s="30"/>
      <c r="J129" s="29"/>
      <c r="L129" s="30"/>
      <c r="M129" s="30"/>
      <c r="O129" s="32"/>
      <c r="P129" s="32"/>
      <c r="S129" s="32"/>
    </row>
    <row r="130">
      <c r="D130" s="29"/>
      <c r="F130" s="31"/>
      <c r="G130" s="30"/>
      <c r="H130" s="30"/>
      <c r="J130" s="29"/>
      <c r="L130" s="30"/>
      <c r="M130" s="30"/>
      <c r="O130" s="32"/>
      <c r="P130" s="32"/>
      <c r="S130" s="32"/>
    </row>
    <row r="131">
      <c r="D131" s="29"/>
      <c r="F131" s="31"/>
      <c r="G131" s="30"/>
      <c r="H131" s="30"/>
      <c r="J131" s="29"/>
      <c r="L131" s="30"/>
      <c r="M131" s="30"/>
      <c r="O131" s="32"/>
      <c r="P131" s="32"/>
      <c r="S131" s="32"/>
    </row>
    <row r="132">
      <c r="D132" s="29"/>
      <c r="F132" s="31"/>
      <c r="G132" s="30"/>
      <c r="H132" s="30"/>
      <c r="J132" s="29"/>
      <c r="L132" s="30"/>
      <c r="M132" s="30"/>
      <c r="O132" s="32"/>
      <c r="P132" s="32"/>
      <c r="S132" s="32"/>
    </row>
    <row r="133">
      <c r="D133" s="29"/>
      <c r="F133" s="31"/>
      <c r="G133" s="30"/>
      <c r="H133" s="30"/>
      <c r="J133" s="29"/>
      <c r="L133" s="30"/>
      <c r="M133" s="30"/>
      <c r="O133" s="32"/>
      <c r="P133" s="32"/>
      <c r="S133" s="32"/>
    </row>
    <row r="134">
      <c r="D134" s="29"/>
      <c r="F134" s="31"/>
      <c r="G134" s="30"/>
      <c r="H134" s="30"/>
      <c r="J134" s="29"/>
      <c r="L134" s="30"/>
      <c r="M134" s="30"/>
      <c r="O134" s="32"/>
      <c r="P134" s="32"/>
      <c r="S134" s="32"/>
    </row>
    <row r="135">
      <c r="D135" s="29"/>
      <c r="F135" s="31"/>
      <c r="G135" s="30"/>
      <c r="H135" s="30"/>
      <c r="J135" s="29"/>
      <c r="L135" s="30"/>
      <c r="M135" s="30"/>
      <c r="O135" s="32"/>
      <c r="P135" s="32"/>
      <c r="S135" s="32"/>
    </row>
    <row r="136">
      <c r="D136" s="29"/>
      <c r="F136" s="31"/>
      <c r="G136" s="30"/>
      <c r="H136" s="30"/>
      <c r="J136" s="29"/>
      <c r="L136" s="30"/>
      <c r="M136" s="30"/>
      <c r="O136" s="32"/>
      <c r="P136" s="32"/>
      <c r="S136" s="32"/>
    </row>
    <row r="137">
      <c r="D137" s="29"/>
      <c r="F137" s="31"/>
      <c r="G137" s="30"/>
      <c r="H137" s="30"/>
      <c r="J137" s="29"/>
      <c r="L137" s="30"/>
      <c r="M137" s="30"/>
      <c r="O137" s="32"/>
      <c r="P137" s="32"/>
      <c r="S137" s="32"/>
    </row>
    <row r="138">
      <c r="D138" s="29"/>
      <c r="F138" s="31"/>
      <c r="G138" s="30"/>
      <c r="H138" s="30"/>
      <c r="J138" s="29"/>
      <c r="L138" s="30"/>
      <c r="M138" s="30"/>
      <c r="O138" s="32"/>
      <c r="P138" s="32"/>
      <c r="S138" s="32"/>
    </row>
    <row r="139">
      <c r="D139" s="29"/>
      <c r="F139" s="31"/>
      <c r="G139" s="30"/>
      <c r="H139" s="30"/>
      <c r="J139" s="29"/>
      <c r="L139" s="30"/>
      <c r="M139" s="30"/>
      <c r="O139" s="32"/>
      <c r="P139" s="32"/>
      <c r="S139" s="32"/>
    </row>
    <row r="140">
      <c r="D140" s="29"/>
      <c r="F140" s="31"/>
      <c r="G140" s="30"/>
      <c r="H140" s="30"/>
      <c r="J140" s="29"/>
      <c r="L140" s="30"/>
      <c r="M140" s="30"/>
      <c r="O140" s="32"/>
      <c r="P140" s="32"/>
      <c r="S140" s="32"/>
    </row>
    <row r="141">
      <c r="D141" s="29"/>
      <c r="F141" s="31"/>
      <c r="G141" s="30"/>
      <c r="H141" s="30"/>
      <c r="J141" s="29"/>
      <c r="L141" s="30"/>
      <c r="M141" s="30"/>
      <c r="O141" s="32"/>
      <c r="P141" s="32"/>
      <c r="S141" s="32"/>
    </row>
    <row r="142">
      <c r="D142" s="29"/>
      <c r="F142" s="31"/>
      <c r="G142" s="30"/>
      <c r="H142" s="30"/>
      <c r="J142" s="29"/>
      <c r="L142" s="30"/>
      <c r="M142" s="30"/>
      <c r="O142" s="32"/>
      <c r="P142" s="32"/>
      <c r="S142" s="32"/>
    </row>
    <row r="143">
      <c r="D143" s="29"/>
      <c r="F143" s="31"/>
      <c r="G143" s="30"/>
      <c r="H143" s="30"/>
      <c r="J143" s="29"/>
      <c r="L143" s="30"/>
      <c r="M143" s="30"/>
      <c r="O143" s="32"/>
      <c r="P143" s="32"/>
      <c r="S143" s="32"/>
    </row>
    <row r="144">
      <c r="D144" s="29"/>
      <c r="F144" s="31"/>
      <c r="G144" s="30"/>
      <c r="H144" s="30"/>
      <c r="J144" s="29"/>
      <c r="L144" s="30"/>
      <c r="M144" s="30"/>
      <c r="O144" s="32"/>
      <c r="P144" s="32"/>
      <c r="S144" s="32"/>
    </row>
    <row r="145">
      <c r="D145" s="29"/>
      <c r="F145" s="31"/>
      <c r="G145" s="30"/>
      <c r="H145" s="30"/>
      <c r="J145" s="29"/>
      <c r="L145" s="30"/>
      <c r="M145" s="30"/>
      <c r="O145" s="32"/>
      <c r="P145" s="32"/>
      <c r="S145" s="32"/>
    </row>
    <row r="146">
      <c r="D146" s="29"/>
      <c r="F146" s="31"/>
      <c r="G146" s="30"/>
      <c r="H146" s="30"/>
      <c r="J146" s="29"/>
      <c r="L146" s="30"/>
      <c r="M146" s="30"/>
      <c r="O146" s="32"/>
      <c r="P146" s="32"/>
      <c r="S146" s="32"/>
    </row>
    <row r="147">
      <c r="D147" s="29"/>
      <c r="F147" s="31"/>
      <c r="G147" s="30"/>
      <c r="H147" s="30"/>
      <c r="J147" s="29"/>
      <c r="L147" s="30"/>
      <c r="M147" s="30"/>
      <c r="O147" s="32"/>
      <c r="P147" s="32"/>
      <c r="S147" s="32"/>
    </row>
    <row r="148">
      <c r="D148" s="29"/>
      <c r="F148" s="31"/>
      <c r="G148" s="30"/>
      <c r="H148" s="30"/>
      <c r="J148" s="29"/>
      <c r="L148" s="30"/>
      <c r="M148" s="30"/>
      <c r="O148" s="32"/>
      <c r="P148" s="32"/>
      <c r="S148" s="32"/>
    </row>
    <row r="149">
      <c r="D149" s="29"/>
      <c r="F149" s="31"/>
      <c r="G149" s="30"/>
      <c r="H149" s="30"/>
      <c r="J149" s="29"/>
      <c r="L149" s="30"/>
      <c r="M149" s="30"/>
      <c r="O149" s="32"/>
      <c r="P149" s="32"/>
      <c r="S149" s="32"/>
    </row>
    <row r="150">
      <c r="D150" s="29"/>
      <c r="F150" s="31"/>
      <c r="G150" s="30"/>
      <c r="H150" s="30"/>
      <c r="J150" s="29"/>
      <c r="L150" s="30"/>
      <c r="M150" s="30"/>
      <c r="O150" s="32"/>
      <c r="P150" s="32"/>
      <c r="S150" s="32"/>
    </row>
    <row r="151">
      <c r="D151" s="29"/>
      <c r="F151" s="31"/>
      <c r="G151" s="30"/>
      <c r="H151" s="30"/>
      <c r="J151" s="29"/>
      <c r="L151" s="30"/>
      <c r="M151" s="30"/>
      <c r="O151" s="32"/>
      <c r="P151" s="32"/>
      <c r="S151" s="32"/>
    </row>
    <row r="152">
      <c r="D152" s="29"/>
      <c r="F152" s="31"/>
      <c r="G152" s="30"/>
      <c r="H152" s="30"/>
      <c r="J152" s="29"/>
      <c r="L152" s="30"/>
      <c r="M152" s="30"/>
      <c r="O152" s="32"/>
      <c r="P152" s="32"/>
      <c r="S152" s="32"/>
    </row>
    <row r="153">
      <c r="D153" s="29"/>
      <c r="F153" s="31"/>
      <c r="G153" s="30"/>
      <c r="H153" s="30"/>
      <c r="J153" s="29"/>
      <c r="L153" s="30"/>
      <c r="M153" s="30"/>
      <c r="O153" s="32"/>
      <c r="P153" s="32"/>
      <c r="S153" s="32"/>
    </row>
    <row r="154">
      <c r="D154" s="29"/>
      <c r="F154" s="31"/>
      <c r="G154" s="30"/>
      <c r="H154" s="30"/>
      <c r="J154" s="29"/>
      <c r="L154" s="30"/>
      <c r="M154" s="30"/>
      <c r="O154" s="32"/>
      <c r="P154" s="32"/>
      <c r="S154" s="32"/>
    </row>
    <row r="155">
      <c r="D155" s="29"/>
      <c r="F155" s="31"/>
      <c r="G155" s="30"/>
      <c r="H155" s="30"/>
      <c r="J155" s="29"/>
      <c r="L155" s="30"/>
      <c r="M155" s="30"/>
      <c r="O155" s="32"/>
      <c r="P155" s="32"/>
      <c r="S155" s="32"/>
    </row>
    <row r="156">
      <c r="D156" s="29"/>
      <c r="F156" s="31"/>
      <c r="G156" s="30"/>
      <c r="H156" s="30"/>
      <c r="J156" s="29"/>
      <c r="L156" s="30"/>
      <c r="M156" s="30"/>
      <c r="O156" s="32"/>
      <c r="P156" s="32"/>
      <c r="S156" s="32"/>
    </row>
    <row r="157">
      <c r="D157" s="29"/>
      <c r="F157" s="31"/>
      <c r="G157" s="30"/>
      <c r="H157" s="30"/>
      <c r="J157" s="29"/>
      <c r="L157" s="30"/>
      <c r="M157" s="30"/>
      <c r="O157" s="32"/>
      <c r="P157" s="32"/>
      <c r="S157" s="32"/>
    </row>
    <row r="158">
      <c r="D158" s="29"/>
      <c r="F158" s="31"/>
      <c r="G158" s="30"/>
      <c r="H158" s="30"/>
      <c r="J158" s="29"/>
      <c r="L158" s="30"/>
      <c r="M158" s="30"/>
      <c r="O158" s="32"/>
      <c r="P158" s="32"/>
      <c r="S158" s="32"/>
    </row>
    <row r="159">
      <c r="D159" s="29"/>
      <c r="F159" s="31"/>
      <c r="G159" s="30"/>
      <c r="H159" s="30"/>
      <c r="J159" s="29"/>
      <c r="L159" s="30"/>
      <c r="M159" s="30"/>
      <c r="O159" s="32"/>
      <c r="P159" s="32"/>
      <c r="S159" s="32"/>
    </row>
    <row r="160">
      <c r="D160" s="29"/>
      <c r="F160" s="31"/>
      <c r="G160" s="30"/>
      <c r="H160" s="30"/>
      <c r="J160" s="29"/>
      <c r="L160" s="30"/>
      <c r="M160" s="30"/>
      <c r="O160" s="32"/>
      <c r="P160" s="32"/>
      <c r="S160" s="32"/>
    </row>
    <row r="161">
      <c r="D161" s="29"/>
      <c r="F161" s="31"/>
      <c r="G161" s="30"/>
      <c r="H161" s="30"/>
      <c r="J161" s="29"/>
      <c r="L161" s="30"/>
      <c r="M161" s="30"/>
      <c r="O161" s="32"/>
      <c r="P161" s="32"/>
      <c r="S161" s="32"/>
    </row>
    <row r="162">
      <c r="D162" s="29"/>
      <c r="F162" s="31"/>
      <c r="G162" s="30"/>
      <c r="H162" s="30"/>
      <c r="J162" s="29"/>
      <c r="L162" s="30"/>
      <c r="M162" s="30"/>
      <c r="O162" s="32"/>
      <c r="P162" s="32"/>
      <c r="S162" s="32"/>
    </row>
    <row r="163">
      <c r="D163" s="29"/>
      <c r="F163" s="31"/>
      <c r="G163" s="30"/>
      <c r="H163" s="30"/>
      <c r="J163" s="29"/>
      <c r="L163" s="30"/>
      <c r="M163" s="30"/>
      <c r="O163" s="32"/>
      <c r="P163" s="32"/>
      <c r="S163" s="32"/>
    </row>
    <row r="164">
      <c r="D164" s="29"/>
      <c r="F164" s="31"/>
      <c r="G164" s="30"/>
      <c r="H164" s="30"/>
      <c r="J164" s="29"/>
      <c r="L164" s="30"/>
      <c r="M164" s="30"/>
      <c r="O164" s="32"/>
      <c r="P164" s="32"/>
      <c r="S164" s="32"/>
    </row>
    <row r="165">
      <c r="D165" s="29"/>
      <c r="F165" s="31"/>
      <c r="G165" s="30"/>
      <c r="H165" s="30"/>
      <c r="J165" s="29"/>
      <c r="L165" s="30"/>
      <c r="M165" s="30"/>
      <c r="O165" s="32"/>
      <c r="P165" s="32"/>
      <c r="S165" s="32"/>
    </row>
    <row r="166">
      <c r="D166" s="29"/>
      <c r="F166" s="31"/>
      <c r="G166" s="30"/>
      <c r="H166" s="30"/>
      <c r="J166" s="29"/>
      <c r="L166" s="30"/>
      <c r="M166" s="30"/>
      <c r="O166" s="32"/>
      <c r="P166" s="32"/>
      <c r="S166" s="32"/>
    </row>
    <row r="167">
      <c r="D167" s="29"/>
      <c r="F167" s="31"/>
      <c r="G167" s="30"/>
      <c r="H167" s="30"/>
      <c r="J167" s="29"/>
      <c r="L167" s="30"/>
      <c r="M167" s="30"/>
      <c r="O167" s="32"/>
      <c r="P167" s="32"/>
      <c r="S167" s="32"/>
    </row>
    <row r="168">
      <c r="D168" s="29"/>
      <c r="F168" s="31"/>
      <c r="G168" s="30"/>
      <c r="H168" s="30"/>
      <c r="J168" s="29"/>
      <c r="L168" s="30"/>
      <c r="M168" s="30"/>
      <c r="O168" s="32"/>
      <c r="P168" s="32"/>
      <c r="S168" s="32"/>
    </row>
    <row r="169">
      <c r="D169" s="29"/>
      <c r="F169" s="31"/>
      <c r="G169" s="30"/>
      <c r="H169" s="30"/>
      <c r="J169" s="29"/>
      <c r="L169" s="30"/>
      <c r="M169" s="30"/>
      <c r="O169" s="32"/>
      <c r="P169" s="32"/>
      <c r="S169" s="32"/>
    </row>
    <row r="170">
      <c r="D170" s="29"/>
      <c r="F170" s="31"/>
      <c r="G170" s="30"/>
      <c r="H170" s="30"/>
      <c r="J170" s="29"/>
      <c r="L170" s="30"/>
      <c r="M170" s="30"/>
      <c r="O170" s="32"/>
      <c r="P170" s="32"/>
      <c r="S170" s="32"/>
    </row>
    <row r="171">
      <c r="D171" s="29"/>
      <c r="F171" s="31"/>
      <c r="G171" s="30"/>
      <c r="H171" s="30"/>
      <c r="J171" s="29"/>
      <c r="L171" s="30"/>
      <c r="M171" s="30"/>
      <c r="O171" s="32"/>
      <c r="P171" s="32"/>
      <c r="S171" s="32"/>
    </row>
    <row r="172">
      <c r="D172" s="29"/>
      <c r="F172" s="31"/>
      <c r="G172" s="30"/>
      <c r="H172" s="30"/>
      <c r="J172" s="29"/>
      <c r="L172" s="30"/>
      <c r="M172" s="30"/>
      <c r="O172" s="32"/>
      <c r="P172" s="32"/>
      <c r="S172" s="32"/>
    </row>
    <row r="173">
      <c r="D173" s="29"/>
      <c r="F173" s="31"/>
      <c r="G173" s="30"/>
      <c r="H173" s="30"/>
      <c r="J173" s="29"/>
      <c r="L173" s="30"/>
      <c r="M173" s="30"/>
      <c r="O173" s="32"/>
      <c r="P173" s="32"/>
      <c r="S173" s="32"/>
    </row>
    <row r="174">
      <c r="D174" s="29"/>
      <c r="F174" s="31"/>
      <c r="G174" s="30"/>
      <c r="H174" s="30"/>
      <c r="J174" s="29"/>
      <c r="L174" s="30"/>
      <c r="M174" s="30"/>
      <c r="O174" s="32"/>
      <c r="P174" s="32"/>
      <c r="S174" s="32"/>
    </row>
    <row r="175">
      <c r="D175" s="29"/>
      <c r="F175" s="31"/>
      <c r="G175" s="30"/>
      <c r="H175" s="30"/>
      <c r="J175" s="29"/>
      <c r="L175" s="30"/>
      <c r="M175" s="30"/>
      <c r="O175" s="32"/>
      <c r="P175" s="32"/>
      <c r="S175" s="32"/>
    </row>
    <row r="176">
      <c r="D176" s="29"/>
      <c r="F176" s="31"/>
      <c r="G176" s="30"/>
      <c r="H176" s="30"/>
      <c r="J176" s="29"/>
      <c r="L176" s="30"/>
      <c r="M176" s="30"/>
      <c r="O176" s="32"/>
      <c r="P176" s="32"/>
      <c r="S176" s="32"/>
    </row>
    <row r="177">
      <c r="D177" s="29"/>
      <c r="F177" s="31"/>
      <c r="G177" s="30"/>
      <c r="H177" s="30"/>
      <c r="J177" s="29"/>
      <c r="L177" s="30"/>
      <c r="M177" s="30"/>
      <c r="O177" s="32"/>
      <c r="P177" s="32"/>
      <c r="S177" s="32"/>
    </row>
    <row r="178">
      <c r="D178" s="29"/>
      <c r="F178" s="31"/>
      <c r="G178" s="30"/>
      <c r="H178" s="30"/>
      <c r="J178" s="29"/>
      <c r="L178" s="30"/>
      <c r="M178" s="30"/>
      <c r="O178" s="32"/>
      <c r="P178" s="32"/>
      <c r="S178" s="32"/>
    </row>
    <row r="179">
      <c r="D179" s="29"/>
      <c r="F179" s="31"/>
      <c r="G179" s="30"/>
      <c r="H179" s="30"/>
      <c r="J179" s="29"/>
      <c r="L179" s="30"/>
      <c r="M179" s="30"/>
      <c r="O179" s="32"/>
      <c r="P179" s="32"/>
      <c r="S179" s="32"/>
    </row>
    <row r="180">
      <c r="D180" s="29"/>
      <c r="F180" s="31"/>
      <c r="G180" s="30"/>
      <c r="H180" s="30"/>
      <c r="J180" s="29"/>
      <c r="L180" s="30"/>
      <c r="M180" s="30"/>
      <c r="O180" s="32"/>
      <c r="P180" s="32"/>
      <c r="S180" s="32"/>
    </row>
    <row r="181">
      <c r="D181" s="29"/>
      <c r="F181" s="31"/>
      <c r="G181" s="30"/>
      <c r="H181" s="30"/>
      <c r="J181" s="29"/>
      <c r="L181" s="30"/>
      <c r="M181" s="30"/>
      <c r="O181" s="32"/>
      <c r="P181" s="32"/>
      <c r="S181" s="32"/>
    </row>
    <row r="182">
      <c r="D182" s="29"/>
      <c r="F182" s="31"/>
      <c r="G182" s="30"/>
      <c r="H182" s="30"/>
      <c r="J182" s="29"/>
      <c r="L182" s="30"/>
      <c r="M182" s="30"/>
      <c r="O182" s="32"/>
      <c r="P182" s="32"/>
      <c r="S182" s="32"/>
    </row>
    <row r="183">
      <c r="D183" s="29"/>
      <c r="F183" s="31"/>
      <c r="G183" s="30"/>
      <c r="H183" s="30"/>
      <c r="J183" s="29"/>
      <c r="L183" s="30"/>
      <c r="M183" s="30"/>
      <c r="O183" s="32"/>
      <c r="P183" s="32"/>
      <c r="S183" s="32"/>
    </row>
    <row r="184">
      <c r="D184" s="29"/>
      <c r="F184" s="31"/>
      <c r="G184" s="30"/>
      <c r="H184" s="30"/>
      <c r="J184" s="29"/>
      <c r="L184" s="30"/>
      <c r="M184" s="30"/>
      <c r="O184" s="32"/>
      <c r="P184" s="32"/>
      <c r="S184" s="32"/>
    </row>
    <row r="185">
      <c r="D185" s="29"/>
      <c r="F185" s="31"/>
      <c r="G185" s="30"/>
      <c r="H185" s="30"/>
      <c r="J185" s="29"/>
      <c r="L185" s="30"/>
      <c r="M185" s="30"/>
      <c r="O185" s="32"/>
      <c r="P185" s="32"/>
      <c r="S185" s="32"/>
    </row>
    <row r="186">
      <c r="D186" s="29"/>
      <c r="F186" s="31"/>
      <c r="G186" s="30"/>
      <c r="H186" s="30"/>
      <c r="J186" s="29"/>
      <c r="L186" s="30"/>
      <c r="M186" s="30"/>
      <c r="O186" s="32"/>
      <c r="P186" s="32"/>
      <c r="S186" s="32"/>
    </row>
    <row r="187">
      <c r="D187" s="29"/>
      <c r="F187" s="31"/>
      <c r="G187" s="30"/>
      <c r="H187" s="30"/>
      <c r="J187" s="29"/>
      <c r="L187" s="30"/>
      <c r="M187" s="30"/>
      <c r="O187" s="32"/>
      <c r="P187" s="32"/>
      <c r="S187" s="32"/>
    </row>
    <row r="188">
      <c r="D188" s="29"/>
      <c r="F188" s="31"/>
      <c r="G188" s="30"/>
      <c r="H188" s="30"/>
      <c r="J188" s="29"/>
      <c r="L188" s="30"/>
      <c r="M188" s="30"/>
      <c r="O188" s="32"/>
      <c r="P188" s="32"/>
      <c r="S188" s="32"/>
    </row>
    <row r="189">
      <c r="D189" s="29"/>
      <c r="F189" s="31"/>
      <c r="G189" s="30"/>
      <c r="H189" s="30"/>
      <c r="J189" s="29"/>
      <c r="L189" s="30"/>
      <c r="M189" s="30"/>
      <c r="O189" s="32"/>
      <c r="P189" s="32"/>
      <c r="S189" s="32"/>
    </row>
    <row r="190">
      <c r="D190" s="29"/>
      <c r="F190" s="31"/>
      <c r="G190" s="30"/>
      <c r="H190" s="30"/>
      <c r="J190" s="29"/>
      <c r="L190" s="30"/>
      <c r="M190" s="30"/>
      <c r="O190" s="32"/>
      <c r="P190" s="32"/>
      <c r="S190" s="32"/>
    </row>
    <row r="191">
      <c r="D191" s="29"/>
      <c r="F191" s="31"/>
      <c r="G191" s="30"/>
      <c r="H191" s="30"/>
      <c r="J191" s="29"/>
      <c r="L191" s="30"/>
      <c r="M191" s="30"/>
      <c r="O191" s="32"/>
      <c r="P191" s="32"/>
      <c r="S191" s="32"/>
    </row>
    <row r="192">
      <c r="D192" s="29"/>
      <c r="F192" s="31"/>
      <c r="G192" s="30"/>
      <c r="H192" s="30"/>
      <c r="J192" s="29"/>
      <c r="L192" s="30"/>
      <c r="M192" s="30"/>
      <c r="O192" s="32"/>
      <c r="P192" s="32"/>
      <c r="S192" s="32"/>
    </row>
    <row r="193">
      <c r="D193" s="29"/>
      <c r="F193" s="31"/>
      <c r="G193" s="30"/>
      <c r="H193" s="30"/>
      <c r="J193" s="29"/>
      <c r="L193" s="30"/>
      <c r="M193" s="30"/>
      <c r="O193" s="32"/>
      <c r="P193" s="32"/>
      <c r="S193" s="32"/>
    </row>
    <row r="194">
      <c r="D194" s="29"/>
      <c r="F194" s="31"/>
      <c r="G194" s="30"/>
      <c r="H194" s="30"/>
      <c r="J194" s="29"/>
      <c r="L194" s="30"/>
      <c r="M194" s="30"/>
      <c r="O194" s="32"/>
      <c r="P194" s="32"/>
      <c r="S194" s="32"/>
    </row>
    <row r="195">
      <c r="D195" s="29"/>
      <c r="F195" s="31"/>
      <c r="G195" s="30"/>
      <c r="H195" s="30"/>
      <c r="J195" s="29"/>
      <c r="L195" s="30"/>
      <c r="M195" s="30"/>
      <c r="O195" s="32"/>
      <c r="P195" s="32"/>
      <c r="S195" s="32"/>
    </row>
    <row r="196">
      <c r="D196" s="29"/>
      <c r="F196" s="31"/>
      <c r="G196" s="30"/>
      <c r="H196" s="30"/>
      <c r="J196" s="29"/>
      <c r="L196" s="30"/>
      <c r="M196" s="30"/>
      <c r="O196" s="32"/>
      <c r="P196" s="32"/>
      <c r="S196" s="32"/>
    </row>
    <row r="197">
      <c r="D197" s="29"/>
      <c r="F197" s="31"/>
      <c r="G197" s="30"/>
      <c r="H197" s="30"/>
      <c r="J197" s="29"/>
      <c r="L197" s="30"/>
      <c r="M197" s="30"/>
      <c r="O197" s="32"/>
      <c r="P197" s="32"/>
      <c r="S197" s="32"/>
    </row>
    <row r="198">
      <c r="D198" s="29"/>
      <c r="F198" s="31"/>
      <c r="G198" s="30"/>
      <c r="H198" s="30"/>
      <c r="J198" s="29"/>
      <c r="L198" s="30"/>
      <c r="M198" s="30"/>
      <c r="O198" s="32"/>
      <c r="P198" s="32"/>
      <c r="S198" s="32"/>
    </row>
    <row r="199">
      <c r="D199" s="29"/>
      <c r="F199" s="31"/>
      <c r="G199" s="30"/>
      <c r="H199" s="30"/>
      <c r="J199" s="29"/>
      <c r="L199" s="30"/>
      <c r="M199" s="30"/>
      <c r="O199" s="32"/>
      <c r="P199" s="32"/>
      <c r="S199" s="32"/>
    </row>
    <row r="200">
      <c r="D200" s="29"/>
      <c r="F200" s="31"/>
      <c r="G200" s="30"/>
      <c r="H200" s="30"/>
      <c r="J200" s="29"/>
      <c r="L200" s="30"/>
      <c r="M200" s="30"/>
      <c r="O200" s="32"/>
      <c r="P200" s="32"/>
      <c r="S200" s="32"/>
    </row>
    <row r="201">
      <c r="D201" s="29"/>
      <c r="F201" s="31"/>
      <c r="G201" s="30"/>
      <c r="H201" s="30"/>
      <c r="J201" s="29"/>
      <c r="L201" s="30"/>
      <c r="M201" s="30"/>
      <c r="O201" s="32"/>
      <c r="P201" s="32"/>
      <c r="S201" s="32"/>
    </row>
    <row r="202">
      <c r="D202" s="29"/>
      <c r="F202" s="31"/>
      <c r="G202" s="30"/>
      <c r="H202" s="30"/>
      <c r="J202" s="29"/>
      <c r="L202" s="30"/>
      <c r="M202" s="30"/>
      <c r="O202" s="32"/>
      <c r="P202" s="32"/>
      <c r="S202" s="32"/>
    </row>
    <row r="203">
      <c r="D203" s="29"/>
      <c r="F203" s="31"/>
      <c r="G203" s="30"/>
      <c r="H203" s="30"/>
      <c r="J203" s="29"/>
      <c r="L203" s="30"/>
      <c r="M203" s="30"/>
      <c r="O203" s="32"/>
      <c r="P203" s="32"/>
      <c r="S203" s="32"/>
    </row>
    <row r="204">
      <c r="D204" s="29"/>
      <c r="F204" s="31"/>
      <c r="G204" s="30"/>
      <c r="H204" s="30"/>
      <c r="J204" s="29"/>
      <c r="L204" s="30"/>
      <c r="M204" s="30"/>
      <c r="O204" s="32"/>
      <c r="P204" s="32"/>
      <c r="S204" s="32"/>
    </row>
    <row r="205">
      <c r="D205" s="29"/>
      <c r="F205" s="31"/>
      <c r="G205" s="30"/>
      <c r="H205" s="30"/>
      <c r="J205" s="29"/>
      <c r="L205" s="30"/>
      <c r="M205" s="30"/>
      <c r="O205" s="32"/>
      <c r="P205" s="32"/>
      <c r="S205" s="32"/>
    </row>
    <row r="206">
      <c r="D206" s="29"/>
      <c r="F206" s="31"/>
      <c r="G206" s="30"/>
      <c r="H206" s="30"/>
      <c r="J206" s="29"/>
      <c r="L206" s="30"/>
      <c r="M206" s="30"/>
      <c r="O206" s="32"/>
      <c r="P206" s="32"/>
      <c r="S206" s="32"/>
    </row>
    <row r="207">
      <c r="D207" s="29"/>
      <c r="F207" s="31"/>
      <c r="G207" s="30"/>
      <c r="H207" s="30"/>
      <c r="J207" s="29"/>
      <c r="L207" s="30"/>
      <c r="M207" s="30"/>
      <c r="O207" s="32"/>
      <c r="P207" s="32"/>
      <c r="S207" s="32"/>
    </row>
    <row r="208">
      <c r="D208" s="29"/>
      <c r="F208" s="31"/>
      <c r="G208" s="30"/>
      <c r="H208" s="30"/>
      <c r="J208" s="29"/>
      <c r="L208" s="30"/>
      <c r="M208" s="30"/>
      <c r="O208" s="32"/>
      <c r="P208" s="32"/>
      <c r="S208" s="32"/>
    </row>
    <row r="209">
      <c r="D209" s="29"/>
      <c r="F209" s="31"/>
      <c r="G209" s="30"/>
      <c r="H209" s="30"/>
      <c r="J209" s="29"/>
      <c r="L209" s="30"/>
      <c r="M209" s="30"/>
      <c r="O209" s="32"/>
      <c r="P209" s="32"/>
      <c r="S209" s="32"/>
    </row>
    <row r="210">
      <c r="D210" s="29"/>
      <c r="F210" s="31"/>
      <c r="G210" s="30"/>
      <c r="H210" s="30"/>
      <c r="J210" s="29"/>
      <c r="L210" s="30"/>
      <c r="M210" s="30"/>
      <c r="O210" s="32"/>
      <c r="P210" s="32"/>
      <c r="S210" s="32"/>
    </row>
    <row r="211">
      <c r="D211" s="29"/>
      <c r="F211" s="31"/>
      <c r="G211" s="30"/>
      <c r="H211" s="30"/>
      <c r="J211" s="29"/>
      <c r="L211" s="30"/>
      <c r="M211" s="30"/>
      <c r="O211" s="32"/>
      <c r="P211" s="32"/>
      <c r="S211" s="32"/>
    </row>
    <row r="212">
      <c r="D212" s="29"/>
      <c r="F212" s="31"/>
      <c r="G212" s="30"/>
      <c r="H212" s="30"/>
      <c r="J212" s="29"/>
      <c r="L212" s="30"/>
      <c r="M212" s="30"/>
      <c r="O212" s="32"/>
      <c r="P212" s="32"/>
      <c r="S212" s="32"/>
    </row>
    <row r="213">
      <c r="D213" s="29"/>
      <c r="F213" s="31"/>
      <c r="G213" s="30"/>
      <c r="H213" s="30"/>
      <c r="J213" s="29"/>
      <c r="L213" s="30"/>
      <c r="M213" s="30"/>
      <c r="O213" s="32"/>
      <c r="P213" s="32"/>
      <c r="S213" s="32"/>
    </row>
    <row r="214">
      <c r="D214" s="29"/>
      <c r="F214" s="31"/>
      <c r="G214" s="30"/>
      <c r="H214" s="30"/>
      <c r="J214" s="29"/>
      <c r="L214" s="30"/>
      <c r="M214" s="30"/>
      <c r="O214" s="32"/>
      <c r="P214" s="32"/>
      <c r="S214" s="32"/>
    </row>
    <row r="215">
      <c r="D215" s="29"/>
      <c r="F215" s="31"/>
      <c r="G215" s="30"/>
      <c r="H215" s="30"/>
      <c r="J215" s="29"/>
      <c r="L215" s="30"/>
      <c r="M215" s="30"/>
      <c r="O215" s="32"/>
      <c r="P215" s="32"/>
      <c r="S215" s="32"/>
    </row>
    <row r="216">
      <c r="D216" s="29"/>
      <c r="F216" s="31"/>
      <c r="G216" s="30"/>
      <c r="H216" s="30"/>
      <c r="J216" s="29"/>
      <c r="L216" s="30"/>
      <c r="M216" s="30"/>
      <c r="O216" s="32"/>
      <c r="P216" s="32"/>
      <c r="S216" s="32"/>
    </row>
    <row r="217">
      <c r="D217" s="29"/>
      <c r="F217" s="31"/>
      <c r="G217" s="30"/>
      <c r="H217" s="30"/>
      <c r="J217" s="29"/>
      <c r="L217" s="30"/>
      <c r="M217" s="30"/>
      <c r="O217" s="32"/>
      <c r="P217" s="32"/>
      <c r="S217" s="32"/>
    </row>
    <row r="218">
      <c r="D218" s="29"/>
      <c r="F218" s="31"/>
      <c r="G218" s="30"/>
      <c r="H218" s="30"/>
      <c r="J218" s="29"/>
      <c r="L218" s="30"/>
      <c r="M218" s="30"/>
      <c r="O218" s="32"/>
      <c r="P218" s="32"/>
      <c r="S218" s="32"/>
    </row>
    <row r="219">
      <c r="D219" s="29"/>
      <c r="F219" s="31"/>
      <c r="G219" s="30"/>
      <c r="H219" s="30"/>
      <c r="J219" s="29"/>
      <c r="L219" s="30"/>
      <c r="M219" s="30"/>
      <c r="O219" s="32"/>
      <c r="P219" s="32"/>
      <c r="S219" s="32"/>
    </row>
    <row r="220">
      <c r="D220" s="29"/>
      <c r="F220" s="31"/>
      <c r="G220" s="30"/>
      <c r="H220" s="30"/>
      <c r="J220" s="29"/>
      <c r="L220" s="30"/>
      <c r="M220" s="30"/>
      <c r="O220" s="32"/>
      <c r="P220" s="32"/>
      <c r="S220" s="32"/>
    </row>
    <row r="221">
      <c r="D221" s="29"/>
      <c r="F221" s="31"/>
      <c r="G221" s="30"/>
      <c r="H221" s="30"/>
      <c r="J221" s="29"/>
      <c r="L221" s="30"/>
      <c r="M221" s="30"/>
      <c r="O221" s="32"/>
      <c r="P221" s="32"/>
      <c r="S221" s="32"/>
    </row>
    <row r="222">
      <c r="D222" s="29"/>
      <c r="F222" s="31"/>
      <c r="G222" s="30"/>
      <c r="H222" s="30"/>
      <c r="J222" s="29"/>
      <c r="L222" s="30"/>
      <c r="M222" s="30"/>
      <c r="O222" s="32"/>
      <c r="P222" s="32"/>
      <c r="S222" s="32"/>
    </row>
    <row r="223">
      <c r="D223" s="29"/>
      <c r="F223" s="31"/>
      <c r="G223" s="30"/>
      <c r="H223" s="30"/>
      <c r="J223" s="29"/>
      <c r="L223" s="30"/>
      <c r="M223" s="30"/>
      <c r="O223" s="32"/>
      <c r="P223" s="32"/>
      <c r="S223" s="32"/>
    </row>
    <row r="224">
      <c r="D224" s="29"/>
      <c r="F224" s="31"/>
      <c r="G224" s="30"/>
      <c r="H224" s="30"/>
      <c r="J224" s="29"/>
      <c r="L224" s="30"/>
      <c r="M224" s="30"/>
      <c r="O224" s="32"/>
      <c r="P224" s="32"/>
      <c r="S224" s="32"/>
    </row>
    <row r="225">
      <c r="D225" s="29"/>
      <c r="F225" s="31"/>
      <c r="G225" s="30"/>
      <c r="H225" s="30"/>
      <c r="J225" s="29"/>
      <c r="L225" s="30"/>
      <c r="M225" s="30"/>
      <c r="O225" s="32"/>
      <c r="P225" s="32"/>
      <c r="S225" s="32"/>
    </row>
    <row r="226">
      <c r="D226" s="29"/>
      <c r="F226" s="31"/>
      <c r="G226" s="30"/>
      <c r="H226" s="30"/>
      <c r="J226" s="29"/>
      <c r="L226" s="30"/>
      <c r="M226" s="30"/>
      <c r="O226" s="32"/>
      <c r="P226" s="32"/>
      <c r="S226" s="32"/>
    </row>
    <row r="227">
      <c r="D227" s="29"/>
      <c r="F227" s="31"/>
      <c r="G227" s="30"/>
      <c r="H227" s="30"/>
      <c r="J227" s="29"/>
      <c r="L227" s="30"/>
      <c r="M227" s="30"/>
      <c r="O227" s="32"/>
      <c r="P227" s="32"/>
      <c r="S227" s="32"/>
    </row>
    <row r="228">
      <c r="D228" s="29"/>
      <c r="F228" s="31"/>
      <c r="G228" s="30"/>
      <c r="H228" s="30"/>
      <c r="J228" s="29"/>
      <c r="L228" s="30"/>
      <c r="M228" s="30"/>
      <c r="O228" s="32"/>
      <c r="P228" s="32"/>
      <c r="S228" s="32"/>
    </row>
    <row r="229">
      <c r="D229" s="29"/>
      <c r="F229" s="31"/>
      <c r="G229" s="30"/>
      <c r="H229" s="30"/>
      <c r="J229" s="29"/>
      <c r="L229" s="30"/>
      <c r="M229" s="30"/>
      <c r="O229" s="32"/>
      <c r="P229" s="32"/>
      <c r="S229" s="32"/>
    </row>
    <row r="230">
      <c r="D230" s="29"/>
      <c r="F230" s="31"/>
      <c r="G230" s="30"/>
      <c r="H230" s="30"/>
      <c r="J230" s="29"/>
      <c r="L230" s="30"/>
      <c r="M230" s="30"/>
      <c r="O230" s="32"/>
      <c r="P230" s="32"/>
      <c r="S230" s="32"/>
    </row>
    <row r="231">
      <c r="D231" s="29"/>
      <c r="F231" s="31"/>
      <c r="G231" s="30"/>
      <c r="H231" s="30"/>
      <c r="J231" s="29"/>
      <c r="L231" s="30"/>
      <c r="M231" s="30"/>
      <c r="O231" s="32"/>
      <c r="P231" s="32"/>
      <c r="S231" s="32"/>
    </row>
    <row r="232">
      <c r="D232" s="29"/>
      <c r="F232" s="31"/>
      <c r="G232" s="30"/>
      <c r="H232" s="30"/>
      <c r="J232" s="29"/>
      <c r="L232" s="30"/>
      <c r="M232" s="30"/>
      <c r="O232" s="32"/>
      <c r="P232" s="32"/>
      <c r="S232" s="32"/>
    </row>
    <row r="233">
      <c r="D233" s="29"/>
      <c r="F233" s="31"/>
      <c r="G233" s="30"/>
      <c r="H233" s="30"/>
      <c r="J233" s="29"/>
      <c r="L233" s="30"/>
      <c r="M233" s="30"/>
      <c r="O233" s="32"/>
      <c r="P233" s="32"/>
      <c r="S233" s="32"/>
    </row>
    <row r="234">
      <c r="D234" s="29"/>
      <c r="F234" s="31"/>
      <c r="G234" s="30"/>
      <c r="H234" s="30"/>
      <c r="J234" s="29"/>
      <c r="L234" s="30"/>
      <c r="M234" s="30"/>
      <c r="O234" s="32"/>
      <c r="P234" s="32"/>
      <c r="S234" s="32"/>
    </row>
    <row r="235">
      <c r="D235" s="29"/>
      <c r="F235" s="31"/>
      <c r="G235" s="30"/>
      <c r="H235" s="30"/>
      <c r="J235" s="29"/>
      <c r="L235" s="30"/>
      <c r="M235" s="30"/>
      <c r="O235" s="32"/>
      <c r="P235" s="32"/>
      <c r="S235" s="32"/>
    </row>
    <row r="236">
      <c r="D236" s="29"/>
      <c r="F236" s="31"/>
      <c r="G236" s="30"/>
      <c r="H236" s="30"/>
      <c r="J236" s="29"/>
      <c r="L236" s="30"/>
      <c r="M236" s="30"/>
      <c r="O236" s="32"/>
      <c r="P236" s="32"/>
      <c r="S236" s="32"/>
    </row>
    <row r="237">
      <c r="D237" s="29"/>
      <c r="F237" s="31"/>
      <c r="G237" s="30"/>
      <c r="H237" s="30"/>
      <c r="J237" s="29"/>
      <c r="L237" s="30"/>
      <c r="M237" s="30"/>
      <c r="O237" s="32"/>
      <c r="P237" s="32"/>
      <c r="S237" s="32"/>
    </row>
    <row r="238">
      <c r="D238" s="29"/>
      <c r="F238" s="31"/>
      <c r="G238" s="30"/>
      <c r="H238" s="30"/>
      <c r="J238" s="29"/>
      <c r="L238" s="30"/>
      <c r="M238" s="30"/>
      <c r="O238" s="32"/>
      <c r="P238" s="32"/>
      <c r="S238" s="32"/>
    </row>
    <row r="239">
      <c r="D239" s="29"/>
      <c r="F239" s="31"/>
      <c r="G239" s="30"/>
      <c r="H239" s="30"/>
      <c r="J239" s="29"/>
      <c r="L239" s="30"/>
      <c r="M239" s="30"/>
      <c r="O239" s="32"/>
      <c r="P239" s="32"/>
      <c r="S239" s="32"/>
    </row>
    <row r="240">
      <c r="D240" s="29"/>
      <c r="F240" s="31"/>
      <c r="G240" s="30"/>
      <c r="H240" s="30"/>
      <c r="J240" s="29"/>
      <c r="L240" s="30"/>
      <c r="M240" s="30"/>
      <c r="O240" s="32"/>
      <c r="P240" s="32"/>
      <c r="S240" s="32"/>
    </row>
    <row r="241">
      <c r="D241" s="29"/>
      <c r="F241" s="31"/>
      <c r="G241" s="30"/>
      <c r="H241" s="30"/>
      <c r="J241" s="29"/>
      <c r="L241" s="30"/>
      <c r="M241" s="30"/>
      <c r="O241" s="32"/>
      <c r="P241" s="32"/>
      <c r="S241" s="32"/>
    </row>
    <row r="242">
      <c r="D242" s="29"/>
      <c r="F242" s="31"/>
      <c r="G242" s="30"/>
      <c r="H242" s="30"/>
      <c r="J242" s="29"/>
      <c r="L242" s="30"/>
      <c r="M242" s="30"/>
      <c r="O242" s="32"/>
      <c r="P242" s="32"/>
      <c r="S242" s="32"/>
    </row>
    <row r="243">
      <c r="D243" s="29"/>
      <c r="F243" s="31"/>
      <c r="G243" s="30"/>
      <c r="H243" s="30"/>
      <c r="J243" s="29"/>
      <c r="L243" s="30"/>
      <c r="M243" s="30"/>
      <c r="O243" s="32"/>
      <c r="P243" s="32"/>
      <c r="S243" s="32"/>
    </row>
    <row r="244">
      <c r="D244" s="29"/>
      <c r="F244" s="31"/>
      <c r="G244" s="30"/>
      <c r="H244" s="30"/>
      <c r="J244" s="29"/>
      <c r="L244" s="30"/>
      <c r="M244" s="30"/>
      <c r="O244" s="32"/>
      <c r="P244" s="32"/>
      <c r="S244" s="32"/>
    </row>
    <row r="245">
      <c r="D245" s="29"/>
      <c r="F245" s="31"/>
      <c r="G245" s="30"/>
      <c r="H245" s="30"/>
      <c r="J245" s="29"/>
      <c r="L245" s="30"/>
      <c r="M245" s="30"/>
      <c r="O245" s="32"/>
      <c r="P245" s="32"/>
      <c r="S245" s="32"/>
    </row>
    <row r="246">
      <c r="D246" s="29"/>
      <c r="F246" s="31"/>
      <c r="G246" s="30"/>
      <c r="H246" s="30"/>
      <c r="J246" s="29"/>
      <c r="L246" s="30"/>
      <c r="M246" s="30"/>
      <c r="O246" s="32"/>
      <c r="P246" s="32"/>
      <c r="S246" s="32"/>
    </row>
    <row r="247">
      <c r="D247" s="29"/>
      <c r="F247" s="31"/>
      <c r="G247" s="30"/>
      <c r="H247" s="30"/>
      <c r="J247" s="29"/>
      <c r="L247" s="30"/>
      <c r="M247" s="30"/>
      <c r="O247" s="32"/>
      <c r="P247" s="32"/>
      <c r="S247" s="32"/>
    </row>
    <row r="248">
      <c r="D248" s="29"/>
      <c r="F248" s="31"/>
      <c r="G248" s="30"/>
      <c r="H248" s="30"/>
      <c r="J248" s="29"/>
      <c r="L248" s="30"/>
      <c r="M248" s="30"/>
      <c r="O248" s="32"/>
      <c r="P248" s="32"/>
      <c r="S248" s="32"/>
    </row>
    <row r="249">
      <c r="D249" s="29"/>
      <c r="F249" s="31"/>
      <c r="G249" s="30"/>
      <c r="H249" s="30"/>
      <c r="J249" s="29"/>
      <c r="L249" s="30"/>
      <c r="M249" s="30"/>
      <c r="O249" s="32"/>
      <c r="P249" s="32"/>
      <c r="S249" s="32"/>
    </row>
    <row r="250">
      <c r="D250" s="29"/>
      <c r="F250" s="31"/>
      <c r="G250" s="30"/>
      <c r="H250" s="30"/>
      <c r="J250" s="29"/>
      <c r="L250" s="30"/>
      <c r="M250" s="30"/>
      <c r="O250" s="32"/>
      <c r="P250" s="32"/>
      <c r="S250" s="32"/>
    </row>
    <row r="251">
      <c r="D251" s="29"/>
      <c r="F251" s="31"/>
      <c r="G251" s="30"/>
      <c r="H251" s="30"/>
      <c r="J251" s="29"/>
      <c r="L251" s="30"/>
      <c r="M251" s="30"/>
      <c r="O251" s="32"/>
      <c r="P251" s="32"/>
      <c r="S251" s="32"/>
    </row>
    <row r="252">
      <c r="D252" s="29"/>
      <c r="F252" s="31"/>
      <c r="G252" s="30"/>
      <c r="H252" s="30"/>
      <c r="J252" s="29"/>
      <c r="L252" s="30"/>
      <c r="M252" s="30"/>
      <c r="O252" s="32"/>
      <c r="P252" s="32"/>
      <c r="S252" s="32"/>
    </row>
    <row r="253">
      <c r="D253" s="29"/>
      <c r="F253" s="31"/>
      <c r="G253" s="30"/>
      <c r="H253" s="30"/>
      <c r="J253" s="29"/>
      <c r="L253" s="30"/>
      <c r="M253" s="30"/>
      <c r="O253" s="32"/>
      <c r="P253" s="32"/>
      <c r="S253" s="32"/>
    </row>
    <row r="254">
      <c r="D254" s="29"/>
      <c r="F254" s="31"/>
      <c r="G254" s="30"/>
      <c r="H254" s="30"/>
      <c r="J254" s="29"/>
      <c r="L254" s="30"/>
      <c r="M254" s="30"/>
      <c r="O254" s="32"/>
      <c r="P254" s="32"/>
      <c r="S254" s="32"/>
    </row>
    <row r="255">
      <c r="D255" s="29"/>
      <c r="F255" s="31"/>
      <c r="G255" s="30"/>
      <c r="H255" s="30"/>
      <c r="J255" s="29"/>
      <c r="L255" s="30"/>
      <c r="M255" s="30"/>
      <c r="O255" s="32"/>
      <c r="P255" s="32"/>
      <c r="S255" s="32"/>
    </row>
    <row r="256">
      <c r="D256" s="29"/>
      <c r="F256" s="31"/>
      <c r="G256" s="30"/>
      <c r="H256" s="30"/>
      <c r="J256" s="29"/>
      <c r="L256" s="30"/>
      <c r="M256" s="30"/>
      <c r="O256" s="32"/>
      <c r="P256" s="32"/>
      <c r="S256" s="32"/>
    </row>
    <row r="257">
      <c r="D257" s="29"/>
      <c r="F257" s="31"/>
      <c r="G257" s="30"/>
      <c r="H257" s="30"/>
      <c r="J257" s="29"/>
      <c r="L257" s="30"/>
      <c r="M257" s="30"/>
      <c r="O257" s="32"/>
      <c r="P257" s="32"/>
      <c r="S257" s="32"/>
    </row>
    <row r="258">
      <c r="D258" s="29"/>
      <c r="F258" s="31"/>
      <c r="G258" s="30"/>
      <c r="H258" s="30"/>
      <c r="J258" s="29"/>
      <c r="L258" s="30"/>
      <c r="M258" s="30"/>
      <c r="O258" s="32"/>
      <c r="P258" s="32"/>
      <c r="S258" s="32"/>
    </row>
    <row r="259">
      <c r="D259" s="29"/>
      <c r="F259" s="31"/>
      <c r="G259" s="30"/>
      <c r="H259" s="30"/>
      <c r="J259" s="29"/>
      <c r="L259" s="30"/>
      <c r="M259" s="30"/>
      <c r="O259" s="32"/>
      <c r="P259" s="32"/>
      <c r="S259" s="32"/>
    </row>
    <row r="260">
      <c r="D260" s="29"/>
      <c r="F260" s="31"/>
      <c r="G260" s="30"/>
      <c r="H260" s="30"/>
      <c r="J260" s="29"/>
      <c r="L260" s="30"/>
      <c r="M260" s="30"/>
      <c r="O260" s="32"/>
      <c r="P260" s="32"/>
      <c r="S260" s="32"/>
    </row>
    <row r="261">
      <c r="D261" s="29"/>
      <c r="F261" s="31"/>
      <c r="G261" s="30"/>
      <c r="H261" s="30"/>
      <c r="J261" s="29"/>
      <c r="L261" s="30"/>
      <c r="M261" s="30"/>
      <c r="O261" s="32"/>
      <c r="P261" s="32"/>
      <c r="S261" s="32"/>
    </row>
    <row r="262">
      <c r="D262" s="29"/>
      <c r="F262" s="31"/>
      <c r="G262" s="30"/>
      <c r="H262" s="30"/>
      <c r="J262" s="29"/>
      <c r="L262" s="30"/>
      <c r="M262" s="30"/>
      <c r="O262" s="32"/>
      <c r="P262" s="32"/>
      <c r="S262" s="32"/>
    </row>
    <row r="263">
      <c r="D263" s="29"/>
      <c r="F263" s="31"/>
      <c r="G263" s="30"/>
      <c r="H263" s="30"/>
      <c r="J263" s="29"/>
      <c r="L263" s="30"/>
      <c r="M263" s="30"/>
      <c r="O263" s="32"/>
      <c r="P263" s="32"/>
      <c r="S263" s="32"/>
    </row>
    <row r="264">
      <c r="D264" s="29"/>
      <c r="F264" s="31"/>
      <c r="G264" s="30"/>
      <c r="H264" s="30"/>
      <c r="J264" s="29"/>
      <c r="L264" s="30"/>
      <c r="M264" s="30"/>
      <c r="O264" s="32"/>
      <c r="P264" s="32"/>
      <c r="S264" s="32"/>
    </row>
    <row r="265">
      <c r="D265" s="29"/>
      <c r="F265" s="31"/>
      <c r="G265" s="30"/>
      <c r="H265" s="30"/>
      <c r="J265" s="29"/>
      <c r="L265" s="30"/>
      <c r="M265" s="30"/>
      <c r="O265" s="32"/>
      <c r="P265" s="32"/>
      <c r="S265" s="32"/>
    </row>
    <row r="266">
      <c r="D266" s="29"/>
      <c r="F266" s="31"/>
      <c r="G266" s="30"/>
      <c r="H266" s="30"/>
      <c r="J266" s="29"/>
      <c r="L266" s="30"/>
      <c r="M266" s="30"/>
      <c r="O266" s="32"/>
      <c r="P266" s="32"/>
      <c r="S266" s="32"/>
    </row>
    <row r="267">
      <c r="D267" s="29"/>
      <c r="F267" s="31"/>
      <c r="G267" s="30"/>
      <c r="H267" s="30"/>
      <c r="J267" s="29"/>
      <c r="L267" s="30"/>
      <c r="M267" s="30"/>
      <c r="O267" s="32"/>
      <c r="P267" s="32"/>
      <c r="S267" s="32"/>
    </row>
    <row r="268">
      <c r="D268" s="29"/>
      <c r="F268" s="31"/>
      <c r="G268" s="30"/>
      <c r="H268" s="30"/>
      <c r="J268" s="29"/>
      <c r="L268" s="30"/>
      <c r="M268" s="30"/>
      <c r="O268" s="32"/>
      <c r="P268" s="32"/>
      <c r="S268" s="32"/>
    </row>
    <row r="269">
      <c r="D269" s="29"/>
      <c r="F269" s="31"/>
      <c r="G269" s="30"/>
      <c r="H269" s="30"/>
      <c r="J269" s="29"/>
      <c r="L269" s="30"/>
      <c r="M269" s="30"/>
      <c r="O269" s="32"/>
      <c r="P269" s="32"/>
      <c r="S269" s="32"/>
    </row>
    <row r="270">
      <c r="D270" s="29"/>
      <c r="F270" s="31"/>
      <c r="G270" s="30"/>
      <c r="H270" s="30"/>
      <c r="J270" s="29"/>
      <c r="L270" s="30"/>
      <c r="M270" s="30"/>
      <c r="O270" s="32"/>
      <c r="P270" s="32"/>
      <c r="S270" s="32"/>
    </row>
    <row r="271">
      <c r="D271" s="29"/>
      <c r="F271" s="31"/>
      <c r="G271" s="30"/>
      <c r="H271" s="30"/>
      <c r="J271" s="29"/>
      <c r="L271" s="30"/>
      <c r="M271" s="30"/>
      <c r="O271" s="32"/>
      <c r="P271" s="32"/>
      <c r="S271" s="32"/>
    </row>
    <row r="272">
      <c r="D272" s="29"/>
      <c r="F272" s="31"/>
      <c r="G272" s="30"/>
      <c r="H272" s="30"/>
      <c r="J272" s="29"/>
      <c r="L272" s="30"/>
      <c r="M272" s="30"/>
      <c r="O272" s="32"/>
      <c r="P272" s="32"/>
      <c r="S272" s="32"/>
    </row>
    <row r="273">
      <c r="D273" s="29"/>
      <c r="F273" s="31"/>
      <c r="G273" s="30"/>
      <c r="H273" s="30"/>
      <c r="J273" s="29"/>
      <c r="L273" s="30"/>
      <c r="M273" s="30"/>
      <c r="O273" s="32"/>
      <c r="P273" s="32"/>
      <c r="S273" s="32"/>
    </row>
    <row r="274">
      <c r="D274" s="29"/>
      <c r="F274" s="31"/>
      <c r="G274" s="30"/>
      <c r="H274" s="30"/>
      <c r="J274" s="29"/>
      <c r="L274" s="30"/>
      <c r="M274" s="30"/>
      <c r="O274" s="32"/>
      <c r="P274" s="32"/>
      <c r="S274" s="32"/>
    </row>
    <row r="275">
      <c r="D275" s="29"/>
      <c r="F275" s="31"/>
      <c r="G275" s="30"/>
      <c r="H275" s="30"/>
      <c r="J275" s="29"/>
      <c r="L275" s="30"/>
      <c r="M275" s="30"/>
      <c r="O275" s="32"/>
      <c r="P275" s="32"/>
      <c r="S275" s="32"/>
    </row>
    <row r="276">
      <c r="D276" s="29"/>
      <c r="F276" s="31"/>
      <c r="G276" s="30"/>
      <c r="H276" s="30"/>
      <c r="J276" s="29"/>
      <c r="L276" s="30"/>
      <c r="M276" s="30"/>
      <c r="O276" s="32"/>
      <c r="P276" s="32"/>
      <c r="S276" s="32"/>
    </row>
    <row r="277">
      <c r="D277" s="29"/>
      <c r="F277" s="31"/>
      <c r="G277" s="30"/>
      <c r="H277" s="30"/>
      <c r="J277" s="29"/>
      <c r="L277" s="30"/>
      <c r="M277" s="30"/>
      <c r="O277" s="32"/>
      <c r="P277" s="32"/>
      <c r="S277" s="32"/>
    </row>
    <row r="278">
      <c r="D278" s="29"/>
      <c r="F278" s="31"/>
      <c r="G278" s="30"/>
      <c r="H278" s="30"/>
      <c r="J278" s="29"/>
      <c r="L278" s="30"/>
      <c r="M278" s="30"/>
      <c r="O278" s="32"/>
      <c r="P278" s="32"/>
      <c r="S278" s="32"/>
    </row>
    <row r="279">
      <c r="D279" s="29"/>
      <c r="F279" s="31"/>
      <c r="G279" s="30"/>
      <c r="H279" s="30"/>
      <c r="J279" s="29"/>
      <c r="L279" s="30"/>
      <c r="M279" s="30"/>
      <c r="O279" s="32"/>
      <c r="P279" s="32"/>
      <c r="S279" s="32"/>
    </row>
    <row r="280">
      <c r="D280" s="29"/>
      <c r="F280" s="31"/>
      <c r="G280" s="30"/>
      <c r="H280" s="30"/>
      <c r="J280" s="29"/>
      <c r="L280" s="30"/>
      <c r="M280" s="30"/>
      <c r="O280" s="32"/>
      <c r="P280" s="32"/>
      <c r="S280" s="32"/>
    </row>
    <row r="281">
      <c r="D281" s="29"/>
      <c r="F281" s="31"/>
      <c r="G281" s="30"/>
      <c r="H281" s="30"/>
      <c r="J281" s="29"/>
      <c r="L281" s="30"/>
      <c r="M281" s="30"/>
      <c r="O281" s="32"/>
      <c r="P281" s="32"/>
      <c r="S281" s="32"/>
    </row>
    <row r="282">
      <c r="D282" s="29"/>
      <c r="F282" s="31"/>
      <c r="G282" s="30"/>
      <c r="H282" s="30"/>
      <c r="J282" s="29"/>
      <c r="L282" s="30"/>
      <c r="M282" s="30"/>
      <c r="O282" s="32"/>
      <c r="P282" s="32"/>
      <c r="S282" s="32"/>
    </row>
    <row r="283">
      <c r="D283" s="29"/>
      <c r="F283" s="31"/>
      <c r="G283" s="30"/>
      <c r="H283" s="30"/>
      <c r="J283" s="29"/>
      <c r="L283" s="30"/>
      <c r="M283" s="30"/>
      <c r="O283" s="32"/>
      <c r="P283" s="32"/>
      <c r="S283" s="32"/>
    </row>
    <row r="284">
      <c r="D284" s="29"/>
      <c r="F284" s="31"/>
      <c r="G284" s="30"/>
      <c r="H284" s="30"/>
      <c r="J284" s="29"/>
      <c r="L284" s="30"/>
      <c r="M284" s="30"/>
      <c r="O284" s="32"/>
      <c r="P284" s="32"/>
      <c r="S284" s="32"/>
    </row>
    <row r="285">
      <c r="D285" s="29"/>
      <c r="F285" s="31"/>
      <c r="G285" s="30"/>
      <c r="H285" s="30"/>
      <c r="J285" s="29"/>
      <c r="L285" s="30"/>
      <c r="M285" s="30"/>
      <c r="O285" s="32"/>
      <c r="P285" s="32"/>
      <c r="S285" s="32"/>
    </row>
    <row r="286">
      <c r="D286" s="29"/>
      <c r="F286" s="31"/>
      <c r="G286" s="30"/>
      <c r="H286" s="30"/>
      <c r="J286" s="29"/>
      <c r="L286" s="30"/>
      <c r="M286" s="30"/>
      <c r="O286" s="32"/>
      <c r="P286" s="32"/>
      <c r="S286" s="32"/>
    </row>
    <row r="287">
      <c r="D287" s="29"/>
      <c r="F287" s="31"/>
      <c r="G287" s="30"/>
      <c r="H287" s="30"/>
      <c r="J287" s="29"/>
      <c r="L287" s="30"/>
      <c r="M287" s="30"/>
      <c r="O287" s="32"/>
      <c r="P287" s="32"/>
      <c r="S287" s="32"/>
    </row>
    <row r="288">
      <c r="D288" s="29"/>
      <c r="F288" s="31"/>
      <c r="G288" s="30"/>
      <c r="H288" s="30"/>
      <c r="J288" s="29"/>
      <c r="L288" s="30"/>
      <c r="M288" s="30"/>
      <c r="O288" s="32"/>
      <c r="P288" s="32"/>
      <c r="S288" s="32"/>
    </row>
    <row r="289">
      <c r="D289" s="29"/>
      <c r="F289" s="31"/>
      <c r="G289" s="30"/>
      <c r="H289" s="30"/>
      <c r="J289" s="29"/>
      <c r="L289" s="30"/>
      <c r="M289" s="30"/>
      <c r="O289" s="32"/>
      <c r="P289" s="32"/>
      <c r="S289" s="32"/>
    </row>
    <row r="290">
      <c r="D290" s="29"/>
      <c r="F290" s="31"/>
      <c r="G290" s="30"/>
      <c r="H290" s="30"/>
      <c r="J290" s="29"/>
      <c r="L290" s="30"/>
      <c r="M290" s="30"/>
      <c r="O290" s="32"/>
      <c r="P290" s="32"/>
      <c r="S290" s="32"/>
    </row>
    <row r="291">
      <c r="D291" s="29"/>
      <c r="F291" s="31"/>
      <c r="G291" s="30"/>
      <c r="H291" s="30"/>
      <c r="J291" s="29"/>
      <c r="L291" s="30"/>
      <c r="M291" s="30"/>
      <c r="O291" s="32"/>
      <c r="P291" s="32"/>
      <c r="S291" s="32"/>
    </row>
    <row r="292">
      <c r="D292" s="29"/>
      <c r="F292" s="31"/>
      <c r="G292" s="30"/>
      <c r="H292" s="30"/>
      <c r="J292" s="29"/>
      <c r="L292" s="30"/>
      <c r="M292" s="30"/>
      <c r="O292" s="32"/>
      <c r="P292" s="32"/>
      <c r="S292" s="32"/>
    </row>
    <row r="293">
      <c r="D293" s="29"/>
      <c r="F293" s="31"/>
      <c r="G293" s="30"/>
      <c r="H293" s="30"/>
      <c r="J293" s="29"/>
      <c r="L293" s="30"/>
      <c r="M293" s="30"/>
      <c r="O293" s="32"/>
      <c r="P293" s="32"/>
      <c r="S293" s="32"/>
    </row>
    <row r="294">
      <c r="D294" s="29"/>
      <c r="F294" s="31"/>
      <c r="G294" s="30"/>
      <c r="H294" s="30"/>
      <c r="J294" s="29"/>
      <c r="L294" s="30"/>
      <c r="M294" s="30"/>
      <c r="O294" s="32"/>
      <c r="P294" s="32"/>
      <c r="S294" s="32"/>
    </row>
    <row r="295">
      <c r="D295" s="29"/>
      <c r="F295" s="31"/>
      <c r="G295" s="30"/>
      <c r="H295" s="30"/>
      <c r="J295" s="29"/>
      <c r="L295" s="30"/>
      <c r="M295" s="30"/>
      <c r="O295" s="32"/>
      <c r="P295" s="32"/>
      <c r="S295" s="32"/>
    </row>
    <row r="296">
      <c r="D296" s="29"/>
      <c r="F296" s="31"/>
      <c r="G296" s="30"/>
      <c r="H296" s="30"/>
      <c r="J296" s="29"/>
      <c r="L296" s="30"/>
      <c r="M296" s="30"/>
      <c r="O296" s="32"/>
      <c r="P296" s="32"/>
      <c r="S296" s="32"/>
    </row>
    <row r="297">
      <c r="D297" s="29"/>
      <c r="F297" s="31"/>
      <c r="G297" s="30"/>
      <c r="H297" s="30"/>
      <c r="J297" s="29"/>
      <c r="L297" s="30"/>
      <c r="M297" s="30"/>
      <c r="O297" s="32"/>
      <c r="P297" s="32"/>
      <c r="S297" s="32"/>
    </row>
    <row r="298">
      <c r="D298" s="29"/>
      <c r="F298" s="31"/>
      <c r="G298" s="30"/>
      <c r="H298" s="30"/>
      <c r="J298" s="29"/>
      <c r="L298" s="30"/>
      <c r="M298" s="30"/>
      <c r="O298" s="32"/>
      <c r="P298" s="32"/>
      <c r="S298" s="32"/>
    </row>
    <row r="299">
      <c r="D299" s="29"/>
      <c r="F299" s="31"/>
      <c r="G299" s="30"/>
      <c r="H299" s="30"/>
      <c r="J299" s="29"/>
      <c r="L299" s="30"/>
      <c r="M299" s="30"/>
      <c r="O299" s="32"/>
      <c r="P299" s="32"/>
      <c r="S299" s="32"/>
    </row>
    <row r="300">
      <c r="D300" s="29"/>
      <c r="F300" s="31"/>
      <c r="G300" s="30"/>
      <c r="H300" s="30"/>
      <c r="J300" s="29"/>
      <c r="L300" s="30"/>
      <c r="M300" s="30"/>
      <c r="O300" s="32"/>
      <c r="P300" s="32"/>
      <c r="S300" s="32"/>
    </row>
    <row r="301">
      <c r="D301" s="29"/>
      <c r="F301" s="31"/>
      <c r="G301" s="30"/>
      <c r="H301" s="30"/>
      <c r="J301" s="29"/>
      <c r="L301" s="30"/>
      <c r="M301" s="30"/>
      <c r="O301" s="32"/>
      <c r="P301" s="32"/>
      <c r="S301" s="32"/>
    </row>
    <row r="302">
      <c r="D302" s="29"/>
      <c r="F302" s="31"/>
      <c r="G302" s="30"/>
      <c r="H302" s="30"/>
      <c r="J302" s="29"/>
      <c r="L302" s="30"/>
      <c r="M302" s="30"/>
      <c r="O302" s="32"/>
      <c r="P302" s="32"/>
      <c r="S302" s="32"/>
    </row>
    <row r="303">
      <c r="D303" s="29"/>
      <c r="F303" s="31"/>
      <c r="G303" s="30"/>
      <c r="H303" s="30"/>
      <c r="J303" s="29"/>
      <c r="L303" s="30"/>
      <c r="M303" s="30"/>
      <c r="O303" s="32"/>
      <c r="P303" s="32"/>
      <c r="S303" s="32"/>
    </row>
    <row r="304">
      <c r="D304" s="29"/>
      <c r="F304" s="31"/>
      <c r="G304" s="30"/>
      <c r="H304" s="30"/>
      <c r="J304" s="29"/>
      <c r="L304" s="30"/>
      <c r="M304" s="30"/>
      <c r="O304" s="32"/>
      <c r="P304" s="32"/>
      <c r="S304" s="32"/>
    </row>
    <row r="305">
      <c r="D305" s="29"/>
      <c r="F305" s="31"/>
      <c r="G305" s="30"/>
      <c r="H305" s="30"/>
      <c r="J305" s="29"/>
      <c r="L305" s="30"/>
      <c r="M305" s="30"/>
      <c r="O305" s="32"/>
      <c r="P305" s="32"/>
      <c r="S305" s="32"/>
    </row>
    <row r="306">
      <c r="D306" s="29"/>
      <c r="F306" s="31"/>
      <c r="G306" s="30"/>
      <c r="H306" s="30"/>
      <c r="J306" s="29"/>
      <c r="L306" s="30"/>
      <c r="M306" s="30"/>
      <c r="O306" s="32"/>
      <c r="P306" s="32"/>
      <c r="S306" s="32"/>
    </row>
    <row r="307">
      <c r="D307" s="29"/>
      <c r="F307" s="31"/>
      <c r="G307" s="30"/>
      <c r="H307" s="30"/>
      <c r="J307" s="29"/>
      <c r="L307" s="30"/>
      <c r="M307" s="30"/>
      <c r="O307" s="32"/>
      <c r="P307" s="32"/>
      <c r="S307" s="32"/>
    </row>
    <row r="308">
      <c r="D308" s="29"/>
      <c r="F308" s="31"/>
      <c r="G308" s="30"/>
      <c r="H308" s="30"/>
      <c r="J308" s="29"/>
      <c r="L308" s="30"/>
      <c r="M308" s="30"/>
      <c r="O308" s="32"/>
      <c r="P308" s="32"/>
      <c r="S308" s="32"/>
    </row>
    <row r="309">
      <c r="D309" s="29"/>
      <c r="F309" s="31"/>
      <c r="G309" s="30"/>
      <c r="H309" s="30"/>
      <c r="J309" s="29"/>
      <c r="L309" s="30"/>
      <c r="M309" s="30"/>
      <c r="O309" s="32"/>
      <c r="P309" s="32"/>
      <c r="S309" s="32"/>
    </row>
    <row r="310">
      <c r="D310" s="29"/>
      <c r="F310" s="31"/>
      <c r="G310" s="30"/>
      <c r="H310" s="30"/>
      <c r="J310" s="29"/>
      <c r="L310" s="30"/>
      <c r="M310" s="30"/>
      <c r="O310" s="32"/>
      <c r="P310" s="32"/>
      <c r="S310" s="32"/>
    </row>
    <row r="311">
      <c r="D311" s="29"/>
      <c r="F311" s="31"/>
      <c r="G311" s="30"/>
      <c r="H311" s="30"/>
      <c r="J311" s="29"/>
      <c r="L311" s="30"/>
      <c r="M311" s="30"/>
      <c r="O311" s="32"/>
      <c r="P311" s="32"/>
      <c r="S311" s="32"/>
    </row>
    <row r="312">
      <c r="D312" s="29"/>
      <c r="F312" s="31"/>
      <c r="G312" s="30"/>
      <c r="H312" s="30"/>
      <c r="J312" s="29"/>
      <c r="L312" s="30"/>
      <c r="M312" s="30"/>
      <c r="O312" s="32"/>
      <c r="P312" s="32"/>
      <c r="S312" s="32"/>
    </row>
    <row r="313">
      <c r="D313" s="29"/>
      <c r="F313" s="31"/>
      <c r="G313" s="30"/>
      <c r="H313" s="30"/>
      <c r="J313" s="29"/>
      <c r="L313" s="30"/>
      <c r="M313" s="30"/>
      <c r="O313" s="32"/>
      <c r="P313" s="32"/>
      <c r="S313" s="32"/>
    </row>
    <row r="314">
      <c r="D314" s="29"/>
      <c r="F314" s="31"/>
      <c r="G314" s="30"/>
      <c r="H314" s="30"/>
      <c r="J314" s="29"/>
      <c r="L314" s="30"/>
      <c r="M314" s="30"/>
      <c r="O314" s="32"/>
      <c r="P314" s="32"/>
      <c r="S314" s="32"/>
    </row>
    <row r="315">
      <c r="D315" s="29"/>
      <c r="F315" s="31"/>
      <c r="G315" s="30"/>
      <c r="H315" s="30"/>
      <c r="J315" s="29"/>
      <c r="L315" s="30"/>
      <c r="M315" s="30"/>
      <c r="O315" s="32"/>
      <c r="P315" s="32"/>
      <c r="S315" s="32"/>
    </row>
    <row r="316">
      <c r="D316" s="29"/>
      <c r="F316" s="31"/>
      <c r="G316" s="30"/>
      <c r="H316" s="30"/>
      <c r="J316" s="29"/>
      <c r="L316" s="30"/>
      <c r="M316" s="30"/>
      <c r="O316" s="32"/>
      <c r="P316" s="32"/>
      <c r="S316" s="32"/>
    </row>
    <row r="317">
      <c r="D317" s="29"/>
      <c r="F317" s="31"/>
      <c r="G317" s="30"/>
      <c r="H317" s="30"/>
      <c r="J317" s="29"/>
      <c r="L317" s="30"/>
      <c r="M317" s="30"/>
      <c r="O317" s="32"/>
      <c r="P317" s="32"/>
      <c r="S317" s="32"/>
    </row>
    <row r="318">
      <c r="D318" s="29"/>
      <c r="F318" s="31"/>
      <c r="G318" s="30"/>
      <c r="H318" s="30"/>
      <c r="J318" s="29"/>
      <c r="L318" s="30"/>
      <c r="M318" s="30"/>
      <c r="O318" s="32"/>
      <c r="P318" s="32"/>
      <c r="S318" s="32"/>
    </row>
    <row r="319">
      <c r="D319" s="29"/>
      <c r="F319" s="31"/>
      <c r="G319" s="30"/>
      <c r="H319" s="30"/>
      <c r="J319" s="29"/>
      <c r="L319" s="30"/>
      <c r="M319" s="30"/>
      <c r="O319" s="32"/>
      <c r="P319" s="32"/>
      <c r="S319" s="32"/>
    </row>
    <row r="320">
      <c r="D320" s="29"/>
      <c r="F320" s="31"/>
      <c r="G320" s="30"/>
      <c r="H320" s="30"/>
      <c r="J320" s="29"/>
      <c r="L320" s="30"/>
      <c r="M320" s="30"/>
      <c r="O320" s="32"/>
      <c r="P320" s="32"/>
      <c r="S320" s="32"/>
    </row>
    <row r="321">
      <c r="D321" s="29"/>
      <c r="F321" s="31"/>
      <c r="G321" s="30"/>
      <c r="H321" s="30"/>
      <c r="J321" s="29"/>
      <c r="L321" s="30"/>
      <c r="M321" s="30"/>
      <c r="O321" s="32"/>
      <c r="P321" s="32"/>
      <c r="S321" s="32"/>
    </row>
    <row r="322">
      <c r="D322" s="29"/>
      <c r="F322" s="31"/>
      <c r="G322" s="30"/>
      <c r="H322" s="30"/>
      <c r="J322" s="29"/>
      <c r="L322" s="30"/>
      <c r="M322" s="30"/>
      <c r="O322" s="32"/>
      <c r="P322" s="32"/>
      <c r="S322" s="32"/>
    </row>
    <row r="323">
      <c r="D323" s="29"/>
      <c r="F323" s="31"/>
      <c r="G323" s="30"/>
      <c r="H323" s="30"/>
      <c r="J323" s="29"/>
      <c r="L323" s="30"/>
      <c r="M323" s="30"/>
      <c r="O323" s="32"/>
      <c r="P323" s="32"/>
      <c r="S323" s="32"/>
    </row>
    <row r="324">
      <c r="D324" s="29"/>
      <c r="F324" s="31"/>
      <c r="G324" s="30"/>
      <c r="H324" s="30"/>
      <c r="J324" s="29"/>
      <c r="L324" s="30"/>
      <c r="M324" s="30"/>
      <c r="O324" s="32"/>
      <c r="P324" s="32"/>
      <c r="S324" s="32"/>
    </row>
    <row r="325">
      <c r="D325" s="29"/>
      <c r="F325" s="31"/>
      <c r="G325" s="30"/>
      <c r="H325" s="30"/>
      <c r="J325" s="29"/>
      <c r="L325" s="30"/>
      <c r="M325" s="30"/>
      <c r="O325" s="32"/>
      <c r="P325" s="32"/>
      <c r="S325" s="32"/>
    </row>
    <row r="326">
      <c r="D326" s="29"/>
      <c r="F326" s="31"/>
      <c r="G326" s="30"/>
      <c r="H326" s="30"/>
      <c r="J326" s="29"/>
      <c r="L326" s="30"/>
      <c r="M326" s="30"/>
      <c r="O326" s="32"/>
      <c r="P326" s="32"/>
      <c r="S326" s="32"/>
    </row>
    <row r="327">
      <c r="D327" s="29"/>
      <c r="F327" s="31"/>
      <c r="G327" s="30"/>
      <c r="H327" s="30"/>
      <c r="J327" s="29"/>
      <c r="L327" s="30"/>
      <c r="M327" s="30"/>
      <c r="O327" s="32"/>
      <c r="P327" s="32"/>
      <c r="S327" s="32"/>
    </row>
    <row r="328">
      <c r="D328" s="29"/>
      <c r="F328" s="31"/>
      <c r="G328" s="30"/>
      <c r="H328" s="30"/>
      <c r="J328" s="29"/>
      <c r="L328" s="30"/>
      <c r="M328" s="30"/>
      <c r="O328" s="32"/>
      <c r="P328" s="32"/>
      <c r="S328" s="32"/>
    </row>
    <row r="329">
      <c r="D329" s="29"/>
      <c r="F329" s="31"/>
      <c r="G329" s="30"/>
      <c r="H329" s="30"/>
      <c r="J329" s="29"/>
      <c r="L329" s="30"/>
      <c r="M329" s="30"/>
      <c r="O329" s="32"/>
      <c r="P329" s="32"/>
      <c r="S329" s="32"/>
    </row>
    <row r="330">
      <c r="D330" s="29"/>
      <c r="F330" s="31"/>
      <c r="G330" s="30"/>
      <c r="H330" s="30"/>
      <c r="J330" s="29"/>
      <c r="L330" s="30"/>
      <c r="M330" s="30"/>
      <c r="O330" s="32"/>
      <c r="P330" s="32"/>
      <c r="S330" s="32"/>
    </row>
    <row r="331">
      <c r="D331" s="29"/>
      <c r="F331" s="31"/>
      <c r="G331" s="30"/>
      <c r="H331" s="30"/>
      <c r="J331" s="29"/>
      <c r="L331" s="30"/>
      <c r="M331" s="30"/>
      <c r="O331" s="32"/>
      <c r="P331" s="32"/>
      <c r="S331" s="32"/>
    </row>
    <row r="332">
      <c r="D332" s="29"/>
      <c r="F332" s="31"/>
      <c r="G332" s="30"/>
      <c r="H332" s="30"/>
      <c r="J332" s="29"/>
      <c r="L332" s="30"/>
      <c r="M332" s="30"/>
      <c r="O332" s="32"/>
      <c r="P332" s="32"/>
      <c r="S332" s="32"/>
    </row>
    <row r="333">
      <c r="D333" s="29"/>
      <c r="F333" s="31"/>
      <c r="G333" s="30"/>
      <c r="H333" s="30"/>
      <c r="J333" s="29"/>
      <c r="L333" s="30"/>
      <c r="M333" s="30"/>
      <c r="O333" s="32"/>
      <c r="P333" s="32"/>
      <c r="S333" s="32"/>
    </row>
    <row r="334">
      <c r="D334" s="29"/>
      <c r="F334" s="31"/>
      <c r="G334" s="30"/>
      <c r="H334" s="30"/>
      <c r="J334" s="29"/>
      <c r="L334" s="30"/>
      <c r="M334" s="30"/>
      <c r="O334" s="32"/>
      <c r="P334" s="32"/>
      <c r="S334" s="32"/>
    </row>
    <row r="335">
      <c r="D335" s="29"/>
      <c r="F335" s="31"/>
      <c r="G335" s="30"/>
      <c r="H335" s="30"/>
      <c r="J335" s="29"/>
      <c r="L335" s="30"/>
      <c r="M335" s="30"/>
      <c r="O335" s="32"/>
      <c r="P335" s="32"/>
      <c r="S335" s="32"/>
    </row>
    <row r="336">
      <c r="D336" s="29"/>
      <c r="F336" s="31"/>
      <c r="G336" s="30"/>
      <c r="H336" s="30"/>
      <c r="J336" s="29"/>
      <c r="L336" s="30"/>
      <c r="M336" s="30"/>
      <c r="O336" s="32"/>
      <c r="P336" s="32"/>
      <c r="S336" s="32"/>
    </row>
    <row r="337">
      <c r="D337" s="29"/>
      <c r="F337" s="31"/>
      <c r="G337" s="30"/>
      <c r="H337" s="30"/>
      <c r="J337" s="29"/>
      <c r="L337" s="30"/>
      <c r="M337" s="30"/>
      <c r="O337" s="32"/>
      <c r="P337" s="32"/>
      <c r="S337" s="32"/>
    </row>
    <row r="338">
      <c r="D338" s="29"/>
      <c r="F338" s="31"/>
      <c r="G338" s="30"/>
      <c r="H338" s="30"/>
      <c r="J338" s="29"/>
      <c r="L338" s="30"/>
      <c r="M338" s="30"/>
      <c r="O338" s="32"/>
      <c r="P338" s="32"/>
      <c r="S338" s="32"/>
    </row>
    <row r="339">
      <c r="D339" s="29"/>
      <c r="F339" s="31"/>
      <c r="G339" s="30"/>
      <c r="H339" s="30"/>
      <c r="J339" s="29"/>
      <c r="L339" s="30"/>
      <c r="M339" s="30"/>
      <c r="O339" s="32"/>
      <c r="P339" s="32"/>
      <c r="S339" s="32"/>
    </row>
    <row r="340">
      <c r="D340" s="29"/>
      <c r="F340" s="31"/>
      <c r="G340" s="30"/>
      <c r="H340" s="30"/>
      <c r="J340" s="29"/>
      <c r="L340" s="30"/>
      <c r="M340" s="30"/>
      <c r="O340" s="32"/>
      <c r="P340" s="32"/>
      <c r="S340" s="32"/>
    </row>
    <row r="341">
      <c r="D341" s="29"/>
      <c r="F341" s="31"/>
      <c r="G341" s="30"/>
      <c r="H341" s="30"/>
      <c r="J341" s="29"/>
      <c r="L341" s="30"/>
      <c r="M341" s="30"/>
      <c r="O341" s="32"/>
      <c r="P341" s="32"/>
      <c r="S341" s="32"/>
    </row>
    <row r="342">
      <c r="D342" s="29"/>
      <c r="F342" s="31"/>
      <c r="G342" s="30"/>
      <c r="H342" s="30"/>
      <c r="J342" s="29"/>
      <c r="L342" s="30"/>
      <c r="M342" s="30"/>
      <c r="O342" s="32"/>
      <c r="P342" s="32"/>
      <c r="S342" s="32"/>
    </row>
    <row r="343">
      <c r="D343" s="29"/>
      <c r="F343" s="31"/>
      <c r="G343" s="30"/>
      <c r="H343" s="30"/>
      <c r="J343" s="29"/>
      <c r="L343" s="30"/>
      <c r="M343" s="30"/>
      <c r="O343" s="32"/>
      <c r="P343" s="32"/>
      <c r="S343" s="32"/>
    </row>
    <row r="344">
      <c r="D344" s="29"/>
      <c r="F344" s="31"/>
      <c r="G344" s="30"/>
      <c r="H344" s="30"/>
      <c r="J344" s="29"/>
      <c r="L344" s="30"/>
      <c r="M344" s="30"/>
      <c r="O344" s="32"/>
      <c r="P344" s="32"/>
      <c r="S344" s="32"/>
    </row>
    <row r="345">
      <c r="D345" s="29"/>
      <c r="F345" s="31"/>
      <c r="G345" s="30"/>
      <c r="H345" s="30"/>
      <c r="J345" s="29"/>
      <c r="L345" s="30"/>
      <c r="M345" s="30"/>
      <c r="O345" s="32"/>
      <c r="P345" s="32"/>
      <c r="S345" s="32"/>
    </row>
    <row r="346">
      <c r="D346" s="29"/>
      <c r="F346" s="31"/>
      <c r="G346" s="30"/>
      <c r="H346" s="30"/>
      <c r="J346" s="29"/>
      <c r="L346" s="30"/>
      <c r="M346" s="30"/>
      <c r="O346" s="32"/>
      <c r="P346" s="32"/>
      <c r="S346" s="32"/>
    </row>
    <row r="347">
      <c r="D347" s="29"/>
      <c r="F347" s="31"/>
      <c r="G347" s="30"/>
      <c r="H347" s="30"/>
      <c r="J347" s="29"/>
      <c r="L347" s="30"/>
      <c r="M347" s="30"/>
      <c r="O347" s="32"/>
      <c r="P347" s="32"/>
      <c r="S347" s="32"/>
    </row>
    <row r="348">
      <c r="D348" s="29"/>
      <c r="F348" s="31"/>
      <c r="G348" s="30"/>
      <c r="H348" s="30"/>
      <c r="J348" s="29"/>
      <c r="L348" s="30"/>
      <c r="M348" s="30"/>
      <c r="O348" s="32"/>
      <c r="P348" s="32"/>
      <c r="S348" s="32"/>
    </row>
    <row r="349">
      <c r="D349" s="29"/>
      <c r="F349" s="31"/>
      <c r="G349" s="30"/>
      <c r="H349" s="30"/>
      <c r="J349" s="29"/>
      <c r="L349" s="30"/>
      <c r="M349" s="30"/>
      <c r="O349" s="32"/>
      <c r="P349" s="32"/>
      <c r="S349" s="32"/>
    </row>
    <row r="350">
      <c r="D350" s="29"/>
      <c r="F350" s="31"/>
      <c r="G350" s="30"/>
      <c r="H350" s="30"/>
      <c r="J350" s="29"/>
      <c r="L350" s="30"/>
      <c r="M350" s="30"/>
      <c r="O350" s="32"/>
      <c r="P350" s="32"/>
      <c r="S350" s="32"/>
    </row>
    <row r="351">
      <c r="D351" s="29"/>
      <c r="F351" s="31"/>
      <c r="G351" s="30"/>
      <c r="H351" s="30"/>
      <c r="J351" s="29"/>
      <c r="L351" s="30"/>
      <c r="M351" s="30"/>
      <c r="O351" s="32"/>
      <c r="P351" s="32"/>
      <c r="S351" s="32"/>
    </row>
    <row r="352">
      <c r="D352" s="29"/>
      <c r="F352" s="31"/>
      <c r="G352" s="30"/>
      <c r="H352" s="30"/>
      <c r="J352" s="29"/>
      <c r="L352" s="30"/>
      <c r="M352" s="30"/>
      <c r="O352" s="32"/>
      <c r="P352" s="32"/>
      <c r="S352" s="32"/>
    </row>
    <row r="353">
      <c r="D353" s="29"/>
      <c r="F353" s="31"/>
      <c r="G353" s="30"/>
      <c r="H353" s="30"/>
      <c r="J353" s="29"/>
      <c r="L353" s="30"/>
      <c r="M353" s="30"/>
      <c r="O353" s="32"/>
      <c r="P353" s="32"/>
      <c r="S353" s="32"/>
    </row>
    <row r="354">
      <c r="D354" s="29"/>
      <c r="F354" s="31"/>
      <c r="G354" s="30"/>
      <c r="H354" s="30"/>
      <c r="J354" s="29"/>
      <c r="L354" s="30"/>
      <c r="M354" s="30"/>
      <c r="O354" s="32"/>
      <c r="P354" s="32"/>
      <c r="S354" s="32"/>
    </row>
    <row r="355">
      <c r="D355" s="29"/>
      <c r="F355" s="31"/>
      <c r="G355" s="30"/>
      <c r="H355" s="30"/>
      <c r="J355" s="29"/>
      <c r="L355" s="30"/>
      <c r="M355" s="30"/>
      <c r="O355" s="32"/>
      <c r="P355" s="32"/>
      <c r="S355" s="32"/>
    </row>
    <row r="356">
      <c r="D356" s="29"/>
      <c r="F356" s="31"/>
      <c r="G356" s="30"/>
      <c r="H356" s="30"/>
      <c r="J356" s="29"/>
      <c r="L356" s="30"/>
      <c r="M356" s="30"/>
      <c r="O356" s="32"/>
      <c r="P356" s="32"/>
      <c r="S356" s="32"/>
    </row>
    <row r="357">
      <c r="D357" s="29"/>
      <c r="F357" s="31"/>
      <c r="G357" s="30"/>
      <c r="H357" s="30"/>
      <c r="J357" s="29"/>
      <c r="L357" s="30"/>
      <c r="M357" s="30"/>
      <c r="O357" s="32"/>
      <c r="P357" s="32"/>
      <c r="S357" s="32"/>
    </row>
    <row r="358">
      <c r="D358" s="29"/>
      <c r="F358" s="31"/>
      <c r="G358" s="30"/>
      <c r="H358" s="30"/>
      <c r="J358" s="29"/>
      <c r="L358" s="30"/>
      <c r="M358" s="30"/>
      <c r="O358" s="32"/>
      <c r="P358" s="32"/>
      <c r="S358" s="32"/>
    </row>
    <row r="359">
      <c r="D359" s="29"/>
      <c r="F359" s="31"/>
      <c r="G359" s="30"/>
      <c r="H359" s="30"/>
      <c r="J359" s="29"/>
      <c r="L359" s="30"/>
      <c r="M359" s="30"/>
      <c r="O359" s="32"/>
      <c r="P359" s="32"/>
      <c r="S359" s="32"/>
    </row>
    <row r="360">
      <c r="D360" s="29"/>
      <c r="F360" s="31"/>
      <c r="G360" s="30"/>
      <c r="H360" s="30"/>
      <c r="J360" s="29"/>
      <c r="L360" s="30"/>
      <c r="M360" s="30"/>
      <c r="O360" s="32"/>
      <c r="P360" s="32"/>
      <c r="S360" s="32"/>
    </row>
    <row r="361">
      <c r="D361" s="29"/>
      <c r="F361" s="31"/>
      <c r="G361" s="30"/>
      <c r="H361" s="30"/>
      <c r="J361" s="29"/>
      <c r="L361" s="30"/>
      <c r="M361" s="30"/>
      <c r="O361" s="32"/>
      <c r="P361" s="32"/>
      <c r="S361" s="32"/>
    </row>
    <row r="362">
      <c r="D362" s="29"/>
      <c r="F362" s="31"/>
      <c r="G362" s="30"/>
      <c r="H362" s="30"/>
      <c r="J362" s="29"/>
      <c r="L362" s="30"/>
      <c r="M362" s="30"/>
      <c r="O362" s="32"/>
      <c r="P362" s="32"/>
      <c r="S362" s="32"/>
    </row>
    <row r="363">
      <c r="D363" s="29"/>
      <c r="F363" s="31"/>
      <c r="G363" s="30"/>
      <c r="H363" s="30"/>
      <c r="J363" s="29"/>
      <c r="L363" s="30"/>
      <c r="M363" s="30"/>
      <c r="O363" s="32"/>
      <c r="P363" s="32"/>
      <c r="S363" s="32"/>
    </row>
    <row r="364">
      <c r="D364" s="29"/>
      <c r="F364" s="31"/>
      <c r="G364" s="30"/>
      <c r="H364" s="30"/>
      <c r="J364" s="29"/>
      <c r="L364" s="30"/>
      <c r="M364" s="30"/>
      <c r="O364" s="32"/>
      <c r="P364" s="32"/>
      <c r="S364" s="32"/>
    </row>
    <row r="365">
      <c r="D365" s="29"/>
      <c r="F365" s="31"/>
      <c r="G365" s="30"/>
      <c r="H365" s="30"/>
      <c r="J365" s="29"/>
      <c r="L365" s="30"/>
      <c r="M365" s="30"/>
      <c r="O365" s="32"/>
      <c r="P365" s="32"/>
      <c r="S365" s="32"/>
    </row>
    <row r="366">
      <c r="D366" s="29"/>
      <c r="F366" s="31"/>
      <c r="G366" s="30"/>
      <c r="H366" s="30"/>
      <c r="J366" s="29"/>
      <c r="L366" s="30"/>
      <c r="M366" s="30"/>
      <c r="O366" s="32"/>
      <c r="P366" s="32"/>
      <c r="S366" s="32"/>
    </row>
    <row r="367">
      <c r="D367" s="29"/>
      <c r="F367" s="31"/>
      <c r="G367" s="30"/>
      <c r="H367" s="30"/>
      <c r="J367" s="29"/>
      <c r="L367" s="30"/>
      <c r="M367" s="30"/>
      <c r="O367" s="32"/>
      <c r="P367" s="32"/>
      <c r="S367" s="32"/>
    </row>
    <row r="368">
      <c r="D368" s="29"/>
      <c r="F368" s="31"/>
      <c r="G368" s="30"/>
      <c r="H368" s="30"/>
      <c r="J368" s="29"/>
      <c r="L368" s="30"/>
      <c r="M368" s="30"/>
      <c r="O368" s="32"/>
      <c r="P368" s="32"/>
      <c r="S368" s="32"/>
    </row>
    <row r="369">
      <c r="D369" s="29"/>
      <c r="F369" s="31"/>
      <c r="G369" s="30"/>
      <c r="H369" s="30"/>
      <c r="J369" s="29"/>
      <c r="L369" s="30"/>
      <c r="M369" s="30"/>
      <c r="O369" s="32"/>
      <c r="P369" s="32"/>
      <c r="S369" s="32"/>
    </row>
    <row r="370">
      <c r="D370" s="29"/>
      <c r="F370" s="31"/>
      <c r="G370" s="30"/>
      <c r="H370" s="30"/>
      <c r="J370" s="29"/>
      <c r="L370" s="30"/>
      <c r="M370" s="30"/>
      <c r="O370" s="32"/>
      <c r="P370" s="32"/>
      <c r="S370" s="32"/>
    </row>
    <row r="371">
      <c r="D371" s="29"/>
      <c r="F371" s="31"/>
      <c r="G371" s="30"/>
      <c r="H371" s="30"/>
      <c r="J371" s="29"/>
      <c r="L371" s="30"/>
      <c r="M371" s="30"/>
      <c r="O371" s="32"/>
      <c r="P371" s="32"/>
      <c r="S371" s="32"/>
    </row>
    <row r="372">
      <c r="D372" s="29"/>
      <c r="F372" s="31"/>
      <c r="G372" s="30"/>
      <c r="H372" s="30"/>
      <c r="J372" s="29"/>
      <c r="L372" s="30"/>
      <c r="M372" s="30"/>
      <c r="O372" s="32"/>
      <c r="P372" s="32"/>
      <c r="S372" s="32"/>
    </row>
    <row r="373">
      <c r="D373" s="29"/>
      <c r="F373" s="31"/>
      <c r="G373" s="30"/>
      <c r="H373" s="30"/>
      <c r="J373" s="29"/>
      <c r="L373" s="30"/>
      <c r="M373" s="30"/>
      <c r="O373" s="32"/>
      <c r="P373" s="32"/>
      <c r="S373" s="32"/>
    </row>
    <row r="374">
      <c r="D374" s="29"/>
      <c r="F374" s="31"/>
      <c r="G374" s="30"/>
      <c r="H374" s="30"/>
      <c r="J374" s="29"/>
      <c r="L374" s="30"/>
      <c r="M374" s="30"/>
      <c r="O374" s="32"/>
      <c r="P374" s="32"/>
      <c r="S374" s="32"/>
    </row>
    <row r="375">
      <c r="D375" s="29"/>
      <c r="F375" s="31"/>
      <c r="G375" s="30"/>
      <c r="H375" s="30"/>
      <c r="J375" s="29"/>
      <c r="L375" s="30"/>
      <c r="M375" s="30"/>
      <c r="O375" s="32"/>
      <c r="P375" s="32"/>
      <c r="S375" s="32"/>
    </row>
    <row r="376">
      <c r="D376" s="29"/>
      <c r="F376" s="31"/>
      <c r="G376" s="30"/>
      <c r="H376" s="30"/>
      <c r="J376" s="29"/>
      <c r="L376" s="30"/>
      <c r="M376" s="30"/>
      <c r="O376" s="32"/>
      <c r="P376" s="32"/>
      <c r="S376" s="32"/>
    </row>
    <row r="377">
      <c r="D377" s="29"/>
      <c r="F377" s="31"/>
      <c r="G377" s="30"/>
      <c r="H377" s="30"/>
      <c r="J377" s="29"/>
      <c r="L377" s="30"/>
      <c r="M377" s="30"/>
      <c r="O377" s="32"/>
      <c r="P377" s="32"/>
      <c r="S377" s="32"/>
    </row>
    <row r="378">
      <c r="D378" s="29"/>
      <c r="F378" s="31"/>
      <c r="G378" s="30"/>
      <c r="H378" s="30"/>
      <c r="J378" s="29"/>
      <c r="L378" s="30"/>
      <c r="M378" s="30"/>
      <c r="O378" s="32"/>
      <c r="P378" s="32"/>
      <c r="S378" s="32"/>
    </row>
    <row r="379">
      <c r="D379" s="29"/>
      <c r="F379" s="31"/>
      <c r="G379" s="30"/>
      <c r="H379" s="30"/>
      <c r="J379" s="29"/>
      <c r="L379" s="30"/>
      <c r="M379" s="30"/>
      <c r="O379" s="32"/>
      <c r="P379" s="32"/>
      <c r="S379" s="32"/>
    </row>
    <row r="380">
      <c r="D380" s="29"/>
      <c r="F380" s="31"/>
      <c r="G380" s="30"/>
      <c r="H380" s="30"/>
      <c r="J380" s="29"/>
      <c r="L380" s="30"/>
      <c r="M380" s="30"/>
      <c r="O380" s="32"/>
      <c r="P380" s="32"/>
      <c r="S380" s="32"/>
    </row>
    <row r="381">
      <c r="D381" s="29"/>
      <c r="F381" s="31"/>
      <c r="G381" s="30"/>
      <c r="H381" s="30"/>
      <c r="J381" s="29"/>
      <c r="L381" s="30"/>
      <c r="M381" s="30"/>
      <c r="O381" s="32"/>
      <c r="P381" s="32"/>
      <c r="S381" s="32"/>
    </row>
    <row r="382">
      <c r="D382" s="29"/>
      <c r="F382" s="31"/>
      <c r="G382" s="30"/>
      <c r="H382" s="30"/>
      <c r="J382" s="29"/>
      <c r="L382" s="30"/>
      <c r="M382" s="30"/>
      <c r="O382" s="32"/>
      <c r="P382" s="32"/>
      <c r="S382" s="32"/>
    </row>
    <row r="383">
      <c r="D383" s="29"/>
      <c r="F383" s="31"/>
      <c r="G383" s="30"/>
      <c r="H383" s="30"/>
      <c r="J383" s="29"/>
      <c r="L383" s="30"/>
      <c r="M383" s="30"/>
      <c r="O383" s="32"/>
      <c r="P383" s="32"/>
      <c r="S383" s="32"/>
    </row>
    <row r="384">
      <c r="D384" s="29"/>
      <c r="F384" s="31"/>
      <c r="G384" s="30"/>
      <c r="H384" s="30"/>
      <c r="J384" s="29"/>
      <c r="L384" s="30"/>
      <c r="M384" s="30"/>
      <c r="O384" s="32"/>
      <c r="P384" s="32"/>
      <c r="S384" s="32"/>
    </row>
    <row r="385">
      <c r="D385" s="29"/>
      <c r="F385" s="31"/>
      <c r="G385" s="30"/>
      <c r="H385" s="30"/>
      <c r="J385" s="29"/>
      <c r="L385" s="30"/>
      <c r="M385" s="30"/>
      <c r="O385" s="32"/>
      <c r="P385" s="32"/>
      <c r="S385" s="32"/>
    </row>
    <row r="386">
      <c r="D386" s="29"/>
      <c r="F386" s="31"/>
      <c r="G386" s="30"/>
      <c r="H386" s="30"/>
      <c r="J386" s="29"/>
      <c r="L386" s="30"/>
      <c r="M386" s="30"/>
      <c r="O386" s="32"/>
      <c r="P386" s="32"/>
      <c r="S386" s="32"/>
    </row>
    <row r="387">
      <c r="D387" s="29"/>
      <c r="F387" s="31"/>
      <c r="G387" s="30"/>
      <c r="H387" s="30"/>
      <c r="J387" s="29"/>
      <c r="L387" s="30"/>
      <c r="M387" s="30"/>
      <c r="O387" s="32"/>
      <c r="P387" s="32"/>
      <c r="S387" s="32"/>
    </row>
    <row r="388">
      <c r="D388" s="29"/>
      <c r="F388" s="31"/>
      <c r="G388" s="30"/>
      <c r="H388" s="30"/>
      <c r="J388" s="29"/>
      <c r="L388" s="30"/>
      <c r="M388" s="30"/>
      <c r="O388" s="32"/>
      <c r="P388" s="32"/>
      <c r="S388" s="32"/>
    </row>
    <row r="389">
      <c r="D389" s="29"/>
      <c r="F389" s="31"/>
      <c r="G389" s="30"/>
      <c r="H389" s="30"/>
      <c r="J389" s="29"/>
      <c r="L389" s="30"/>
      <c r="M389" s="30"/>
      <c r="O389" s="32"/>
      <c r="P389" s="32"/>
      <c r="S389" s="32"/>
    </row>
    <row r="390">
      <c r="D390" s="29"/>
      <c r="F390" s="31"/>
      <c r="G390" s="30"/>
      <c r="H390" s="30"/>
      <c r="J390" s="29"/>
      <c r="L390" s="30"/>
      <c r="M390" s="30"/>
      <c r="O390" s="32"/>
      <c r="P390" s="32"/>
      <c r="S390" s="32"/>
    </row>
    <row r="391">
      <c r="D391" s="29"/>
      <c r="F391" s="31"/>
      <c r="G391" s="30"/>
      <c r="H391" s="30"/>
      <c r="J391" s="29"/>
      <c r="L391" s="30"/>
      <c r="M391" s="30"/>
      <c r="O391" s="32"/>
      <c r="P391" s="32"/>
      <c r="S391" s="32"/>
    </row>
    <row r="392">
      <c r="D392" s="29"/>
      <c r="F392" s="31"/>
      <c r="G392" s="30"/>
      <c r="H392" s="30"/>
      <c r="J392" s="29"/>
      <c r="L392" s="30"/>
      <c r="M392" s="30"/>
      <c r="O392" s="32"/>
      <c r="P392" s="32"/>
      <c r="S392" s="32"/>
    </row>
    <row r="393">
      <c r="D393" s="29"/>
      <c r="F393" s="31"/>
      <c r="G393" s="30"/>
      <c r="H393" s="30"/>
      <c r="J393" s="29"/>
      <c r="L393" s="30"/>
      <c r="M393" s="30"/>
      <c r="O393" s="32"/>
      <c r="P393" s="32"/>
      <c r="S393" s="32"/>
    </row>
    <row r="394">
      <c r="D394" s="29"/>
      <c r="F394" s="31"/>
      <c r="G394" s="30"/>
      <c r="H394" s="30"/>
      <c r="J394" s="29"/>
      <c r="L394" s="30"/>
      <c r="M394" s="30"/>
      <c r="O394" s="32"/>
      <c r="P394" s="32"/>
      <c r="S394" s="32"/>
    </row>
    <row r="395">
      <c r="D395" s="29"/>
      <c r="F395" s="31"/>
      <c r="G395" s="30"/>
      <c r="H395" s="30"/>
      <c r="J395" s="29"/>
      <c r="L395" s="30"/>
      <c r="M395" s="30"/>
      <c r="O395" s="32"/>
      <c r="P395" s="32"/>
      <c r="S395" s="32"/>
    </row>
    <row r="396">
      <c r="D396" s="29"/>
      <c r="F396" s="31"/>
      <c r="G396" s="30"/>
      <c r="H396" s="30"/>
      <c r="J396" s="29"/>
      <c r="L396" s="30"/>
      <c r="M396" s="30"/>
      <c r="O396" s="32"/>
      <c r="P396" s="32"/>
      <c r="S396" s="32"/>
    </row>
    <row r="397">
      <c r="D397" s="29"/>
      <c r="F397" s="31"/>
      <c r="G397" s="30"/>
      <c r="H397" s="30"/>
      <c r="J397" s="29"/>
      <c r="L397" s="30"/>
      <c r="M397" s="30"/>
      <c r="O397" s="32"/>
      <c r="P397" s="32"/>
      <c r="S397" s="32"/>
    </row>
    <row r="398">
      <c r="D398" s="29"/>
      <c r="F398" s="31"/>
      <c r="G398" s="30"/>
      <c r="H398" s="30"/>
      <c r="J398" s="29"/>
      <c r="L398" s="30"/>
      <c r="M398" s="30"/>
      <c r="O398" s="32"/>
      <c r="P398" s="32"/>
      <c r="S398" s="32"/>
    </row>
    <row r="399">
      <c r="D399" s="29"/>
      <c r="F399" s="31"/>
      <c r="G399" s="30"/>
      <c r="H399" s="30"/>
      <c r="J399" s="29"/>
      <c r="L399" s="30"/>
      <c r="M399" s="30"/>
      <c r="O399" s="32"/>
      <c r="P399" s="32"/>
      <c r="S399" s="32"/>
    </row>
    <row r="400">
      <c r="D400" s="29"/>
      <c r="F400" s="31"/>
      <c r="G400" s="30"/>
      <c r="H400" s="30"/>
      <c r="J400" s="29"/>
      <c r="L400" s="30"/>
      <c r="M400" s="30"/>
      <c r="O400" s="32"/>
      <c r="P400" s="32"/>
      <c r="S400" s="32"/>
    </row>
    <row r="401">
      <c r="D401" s="29"/>
      <c r="F401" s="31"/>
      <c r="G401" s="30"/>
      <c r="H401" s="30"/>
      <c r="J401" s="29"/>
      <c r="L401" s="30"/>
      <c r="M401" s="30"/>
      <c r="O401" s="32"/>
      <c r="P401" s="32"/>
      <c r="S401" s="32"/>
    </row>
    <row r="402">
      <c r="D402" s="29"/>
      <c r="F402" s="31"/>
      <c r="G402" s="30"/>
      <c r="H402" s="30"/>
      <c r="J402" s="29"/>
      <c r="L402" s="30"/>
      <c r="M402" s="30"/>
      <c r="O402" s="32"/>
      <c r="P402" s="32"/>
      <c r="S402" s="32"/>
    </row>
    <row r="403">
      <c r="D403" s="29"/>
      <c r="F403" s="31"/>
      <c r="G403" s="30"/>
      <c r="H403" s="30"/>
      <c r="J403" s="29"/>
      <c r="L403" s="30"/>
      <c r="M403" s="30"/>
      <c r="O403" s="32"/>
      <c r="P403" s="32"/>
      <c r="S403" s="32"/>
    </row>
    <row r="404">
      <c r="D404" s="29"/>
      <c r="F404" s="31"/>
      <c r="G404" s="30"/>
      <c r="H404" s="30"/>
      <c r="J404" s="29"/>
      <c r="L404" s="30"/>
      <c r="M404" s="30"/>
      <c r="O404" s="32"/>
      <c r="P404" s="32"/>
      <c r="S404" s="32"/>
    </row>
    <row r="405">
      <c r="D405" s="29"/>
      <c r="F405" s="31"/>
      <c r="G405" s="30"/>
      <c r="H405" s="30"/>
      <c r="J405" s="29"/>
      <c r="L405" s="30"/>
      <c r="M405" s="30"/>
      <c r="O405" s="32"/>
      <c r="P405" s="32"/>
      <c r="S405" s="32"/>
    </row>
    <row r="406">
      <c r="D406" s="29"/>
      <c r="F406" s="31"/>
      <c r="G406" s="30"/>
      <c r="H406" s="30"/>
      <c r="J406" s="29"/>
      <c r="L406" s="30"/>
      <c r="M406" s="30"/>
      <c r="O406" s="32"/>
      <c r="P406" s="32"/>
      <c r="S406" s="32"/>
    </row>
    <row r="407">
      <c r="D407" s="29"/>
      <c r="F407" s="31"/>
      <c r="G407" s="30"/>
      <c r="H407" s="30"/>
      <c r="J407" s="29"/>
      <c r="L407" s="30"/>
      <c r="M407" s="30"/>
      <c r="O407" s="32"/>
      <c r="P407" s="32"/>
      <c r="S407" s="32"/>
    </row>
    <row r="408">
      <c r="D408" s="29"/>
      <c r="F408" s="31"/>
      <c r="G408" s="30"/>
      <c r="H408" s="30"/>
      <c r="J408" s="29"/>
      <c r="L408" s="30"/>
      <c r="M408" s="30"/>
      <c r="O408" s="32"/>
      <c r="P408" s="32"/>
      <c r="S408" s="32"/>
    </row>
    <row r="409">
      <c r="D409" s="29"/>
      <c r="F409" s="31"/>
      <c r="G409" s="30"/>
      <c r="H409" s="30"/>
      <c r="J409" s="29"/>
      <c r="L409" s="30"/>
      <c r="M409" s="30"/>
      <c r="O409" s="32"/>
      <c r="P409" s="32"/>
      <c r="S409" s="32"/>
    </row>
    <row r="410">
      <c r="D410" s="29"/>
      <c r="F410" s="31"/>
      <c r="G410" s="30"/>
      <c r="H410" s="30"/>
      <c r="J410" s="29"/>
      <c r="L410" s="30"/>
      <c r="M410" s="30"/>
      <c r="O410" s="32"/>
      <c r="P410" s="32"/>
      <c r="S410" s="32"/>
    </row>
    <row r="411">
      <c r="D411" s="29"/>
      <c r="F411" s="31"/>
      <c r="G411" s="30"/>
      <c r="H411" s="30"/>
      <c r="J411" s="29"/>
      <c r="L411" s="30"/>
      <c r="M411" s="30"/>
      <c r="O411" s="32"/>
      <c r="P411" s="32"/>
      <c r="S411" s="32"/>
    </row>
    <row r="412">
      <c r="D412" s="29"/>
      <c r="F412" s="31"/>
      <c r="G412" s="30"/>
      <c r="H412" s="30"/>
      <c r="J412" s="29"/>
      <c r="L412" s="30"/>
      <c r="M412" s="30"/>
      <c r="O412" s="32"/>
      <c r="P412" s="32"/>
      <c r="S412" s="32"/>
    </row>
    <row r="413">
      <c r="D413" s="29"/>
      <c r="F413" s="31"/>
      <c r="G413" s="30"/>
      <c r="H413" s="30"/>
      <c r="J413" s="29"/>
      <c r="L413" s="30"/>
      <c r="M413" s="30"/>
      <c r="O413" s="32"/>
      <c r="P413" s="32"/>
      <c r="S413" s="32"/>
    </row>
    <row r="414">
      <c r="D414" s="29"/>
      <c r="F414" s="31"/>
      <c r="G414" s="30"/>
      <c r="H414" s="30"/>
      <c r="J414" s="29"/>
      <c r="L414" s="30"/>
      <c r="M414" s="30"/>
      <c r="O414" s="32"/>
      <c r="P414" s="32"/>
      <c r="S414" s="32"/>
    </row>
    <row r="415">
      <c r="D415" s="29"/>
      <c r="F415" s="31"/>
      <c r="G415" s="30"/>
      <c r="H415" s="30"/>
      <c r="J415" s="29"/>
      <c r="L415" s="30"/>
      <c r="M415" s="30"/>
      <c r="O415" s="32"/>
      <c r="P415" s="32"/>
      <c r="S415" s="32"/>
    </row>
    <row r="416">
      <c r="D416" s="29"/>
      <c r="F416" s="31"/>
      <c r="G416" s="30"/>
      <c r="H416" s="30"/>
      <c r="J416" s="29"/>
      <c r="L416" s="30"/>
      <c r="M416" s="30"/>
      <c r="O416" s="32"/>
      <c r="P416" s="32"/>
      <c r="S416" s="32"/>
    </row>
    <row r="417">
      <c r="D417" s="29"/>
      <c r="F417" s="31"/>
      <c r="G417" s="30"/>
      <c r="H417" s="30"/>
      <c r="J417" s="29"/>
      <c r="L417" s="30"/>
      <c r="M417" s="30"/>
      <c r="O417" s="32"/>
      <c r="P417" s="32"/>
      <c r="S417" s="32"/>
    </row>
    <row r="418">
      <c r="D418" s="29"/>
      <c r="F418" s="31"/>
      <c r="G418" s="30"/>
      <c r="H418" s="30"/>
      <c r="J418" s="29"/>
      <c r="L418" s="30"/>
      <c r="M418" s="30"/>
      <c r="O418" s="32"/>
      <c r="P418" s="32"/>
      <c r="S418" s="32"/>
    </row>
    <row r="419">
      <c r="D419" s="29"/>
      <c r="F419" s="31"/>
      <c r="G419" s="30"/>
      <c r="H419" s="30"/>
      <c r="J419" s="29"/>
      <c r="L419" s="30"/>
      <c r="M419" s="30"/>
      <c r="O419" s="32"/>
      <c r="P419" s="32"/>
      <c r="S419" s="32"/>
    </row>
    <row r="420">
      <c r="D420" s="29"/>
      <c r="F420" s="31"/>
      <c r="G420" s="30"/>
      <c r="H420" s="30"/>
      <c r="J420" s="29"/>
      <c r="L420" s="30"/>
      <c r="M420" s="30"/>
      <c r="O420" s="32"/>
      <c r="P420" s="32"/>
      <c r="S420" s="32"/>
    </row>
    <row r="421">
      <c r="D421" s="29"/>
      <c r="F421" s="31"/>
      <c r="G421" s="30"/>
      <c r="H421" s="30"/>
      <c r="J421" s="29"/>
      <c r="L421" s="30"/>
      <c r="M421" s="30"/>
      <c r="O421" s="32"/>
      <c r="P421" s="32"/>
      <c r="S421" s="32"/>
    </row>
    <row r="422">
      <c r="D422" s="29"/>
      <c r="F422" s="31"/>
      <c r="G422" s="30"/>
      <c r="H422" s="30"/>
      <c r="J422" s="29"/>
      <c r="L422" s="30"/>
      <c r="M422" s="30"/>
      <c r="O422" s="32"/>
      <c r="P422" s="32"/>
      <c r="S422" s="32"/>
    </row>
    <row r="423">
      <c r="D423" s="29"/>
      <c r="F423" s="31"/>
      <c r="G423" s="30"/>
      <c r="H423" s="30"/>
      <c r="J423" s="29"/>
      <c r="L423" s="30"/>
      <c r="M423" s="30"/>
      <c r="O423" s="32"/>
      <c r="P423" s="32"/>
      <c r="S423" s="32"/>
    </row>
    <row r="424">
      <c r="D424" s="29"/>
      <c r="F424" s="31"/>
      <c r="G424" s="30"/>
      <c r="H424" s="30"/>
      <c r="J424" s="29"/>
      <c r="L424" s="30"/>
      <c r="M424" s="30"/>
      <c r="O424" s="32"/>
      <c r="P424" s="32"/>
      <c r="S424" s="32"/>
    </row>
    <row r="425">
      <c r="D425" s="29"/>
      <c r="F425" s="31"/>
      <c r="G425" s="30"/>
      <c r="H425" s="30"/>
      <c r="J425" s="29"/>
      <c r="L425" s="30"/>
      <c r="M425" s="30"/>
      <c r="O425" s="32"/>
      <c r="P425" s="32"/>
      <c r="S425" s="32"/>
    </row>
    <row r="426">
      <c r="D426" s="29"/>
      <c r="F426" s="31"/>
      <c r="G426" s="30"/>
      <c r="H426" s="30"/>
      <c r="J426" s="29"/>
      <c r="L426" s="30"/>
      <c r="M426" s="30"/>
      <c r="O426" s="32"/>
      <c r="P426" s="32"/>
      <c r="S426" s="32"/>
    </row>
    <row r="427">
      <c r="D427" s="29"/>
      <c r="F427" s="31"/>
      <c r="G427" s="30"/>
      <c r="H427" s="30"/>
      <c r="J427" s="29"/>
      <c r="L427" s="30"/>
      <c r="M427" s="30"/>
      <c r="O427" s="32"/>
      <c r="P427" s="32"/>
      <c r="S427" s="32"/>
    </row>
    <row r="428">
      <c r="D428" s="29"/>
      <c r="F428" s="31"/>
      <c r="G428" s="30"/>
      <c r="H428" s="30"/>
      <c r="J428" s="29"/>
      <c r="L428" s="30"/>
      <c r="M428" s="30"/>
      <c r="O428" s="32"/>
      <c r="P428" s="32"/>
      <c r="S428" s="32"/>
    </row>
    <row r="429">
      <c r="D429" s="29"/>
      <c r="F429" s="31"/>
      <c r="G429" s="30"/>
      <c r="H429" s="30"/>
      <c r="J429" s="29"/>
      <c r="L429" s="30"/>
      <c r="M429" s="30"/>
      <c r="O429" s="32"/>
      <c r="P429" s="32"/>
      <c r="S429" s="32"/>
    </row>
    <row r="430">
      <c r="D430" s="29"/>
      <c r="F430" s="31"/>
      <c r="G430" s="30"/>
      <c r="H430" s="30"/>
      <c r="J430" s="29"/>
      <c r="L430" s="30"/>
      <c r="M430" s="30"/>
      <c r="O430" s="32"/>
      <c r="P430" s="32"/>
      <c r="S430" s="32"/>
    </row>
    <row r="431">
      <c r="D431" s="29"/>
      <c r="F431" s="31"/>
      <c r="G431" s="30"/>
      <c r="H431" s="30"/>
      <c r="J431" s="29"/>
      <c r="L431" s="30"/>
      <c r="M431" s="30"/>
      <c r="O431" s="32"/>
      <c r="P431" s="32"/>
      <c r="S431" s="32"/>
    </row>
    <row r="432">
      <c r="D432" s="29"/>
      <c r="F432" s="31"/>
      <c r="G432" s="30"/>
      <c r="H432" s="30"/>
      <c r="J432" s="29"/>
      <c r="L432" s="30"/>
      <c r="M432" s="30"/>
      <c r="O432" s="32"/>
      <c r="P432" s="32"/>
      <c r="S432" s="32"/>
    </row>
    <row r="433">
      <c r="D433" s="29"/>
      <c r="F433" s="31"/>
      <c r="G433" s="30"/>
      <c r="H433" s="30"/>
      <c r="J433" s="29"/>
      <c r="L433" s="30"/>
      <c r="M433" s="30"/>
      <c r="O433" s="32"/>
      <c r="P433" s="32"/>
      <c r="S433" s="32"/>
    </row>
    <row r="434">
      <c r="D434" s="29"/>
      <c r="F434" s="31"/>
      <c r="G434" s="30"/>
      <c r="H434" s="30"/>
      <c r="J434" s="29"/>
      <c r="L434" s="30"/>
      <c r="M434" s="30"/>
      <c r="O434" s="32"/>
      <c r="P434" s="32"/>
      <c r="S434" s="32"/>
    </row>
    <row r="435">
      <c r="D435" s="29"/>
      <c r="F435" s="31"/>
      <c r="G435" s="30"/>
      <c r="H435" s="30"/>
      <c r="J435" s="29"/>
      <c r="L435" s="30"/>
      <c r="M435" s="30"/>
      <c r="O435" s="32"/>
      <c r="P435" s="32"/>
      <c r="S435" s="32"/>
    </row>
    <row r="436">
      <c r="D436" s="29"/>
      <c r="F436" s="31"/>
      <c r="G436" s="30"/>
      <c r="H436" s="30"/>
      <c r="J436" s="29"/>
      <c r="L436" s="30"/>
      <c r="M436" s="30"/>
      <c r="O436" s="32"/>
      <c r="P436" s="32"/>
      <c r="S436" s="32"/>
    </row>
    <row r="437">
      <c r="D437" s="29"/>
      <c r="F437" s="31"/>
      <c r="G437" s="30"/>
      <c r="H437" s="30"/>
      <c r="J437" s="29"/>
      <c r="L437" s="30"/>
      <c r="M437" s="30"/>
      <c r="O437" s="32"/>
      <c r="P437" s="32"/>
      <c r="S437" s="32"/>
    </row>
    <row r="438">
      <c r="D438" s="29"/>
      <c r="F438" s="31"/>
      <c r="G438" s="30"/>
      <c r="H438" s="30"/>
      <c r="J438" s="29"/>
      <c r="L438" s="30"/>
      <c r="M438" s="30"/>
      <c r="O438" s="32"/>
      <c r="P438" s="32"/>
      <c r="S438" s="32"/>
    </row>
    <row r="439">
      <c r="D439" s="29"/>
      <c r="F439" s="31"/>
      <c r="G439" s="30"/>
      <c r="H439" s="30"/>
      <c r="J439" s="29"/>
      <c r="L439" s="30"/>
      <c r="M439" s="30"/>
      <c r="O439" s="32"/>
      <c r="P439" s="32"/>
      <c r="S439" s="32"/>
    </row>
    <row r="440">
      <c r="D440" s="29"/>
      <c r="F440" s="31"/>
      <c r="G440" s="30"/>
      <c r="H440" s="30"/>
      <c r="J440" s="29"/>
      <c r="L440" s="30"/>
      <c r="M440" s="30"/>
      <c r="O440" s="32"/>
      <c r="P440" s="32"/>
      <c r="S440" s="32"/>
    </row>
    <row r="441">
      <c r="D441" s="29"/>
      <c r="F441" s="31"/>
      <c r="G441" s="30"/>
      <c r="H441" s="30"/>
      <c r="J441" s="29"/>
      <c r="L441" s="30"/>
      <c r="M441" s="30"/>
      <c r="O441" s="32"/>
      <c r="P441" s="32"/>
      <c r="S441" s="32"/>
    </row>
    <row r="442">
      <c r="D442" s="29"/>
      <c r="F442" s="31"/>
      <c r="G442" s="30"/>
      <c r="H442" s="30"/>
      <c r="J442" s="29"/>
      <c r="L442" s="30"/>
      <c r="M442" s="30"/>
      <c r="O442" s="32"/>
      <c r="P442" s="32"/>
      <c r="S442" s="32"/>
    </row>
    <row r="443">
      <c r="D443" s="29"/>
      <c r="F443" s="31"/>
      <c r="G443" s="30"/>
      <c r="H443" s="30"/>
      <c r="J443" s="29"/>
      <c r="L443" s="30"/>
      <c r="M443" s="30"/>
      <c r="O443" s="32"/>
      <c r="P443" s="32"/>
      <c r="S443" s="32"/>
    </row>
    <row r="444">
      <c r="D444" s="29"/>
      <c r="F444" s="31"/>
      <c r="G444" s="30"/>
      <c r="H444" s="30"/>
      <c r="J444" s="29"/>
      <c r="L444" s="30"/>
      <c r="M444" s="30"/>
      <c r="O444" s="32"/>
      <c r="P444" s="32"/>
      <c r="S444" s="32"/>
    </row>
    <row r="445">
      <c r="D445" s="29"/>
      <c r="F445" s="31"/>
      <c r="G445" s="30"/>
      <c r="H445" s="30"/>
      <c r="J445" s="29"/>
      <c r="L445" s="30"/>
      <c r="M445" s="30"/>
      <c r="O445" s="32"/>
      <c r="P445" s="32"/>
      <c r="S445" s="32"/>
    </row>
    <row r="446">
      <c r="D446" s="29"/>
      <c r="F446" s="31"/>
      <c r="G446" s="30"/>
      <c r="H446" s="30"/>
      <c r="J446" s="29"/>
      <c r="L446" s="30"/>
      <c r="M446" s="30"/>
      <c r="O446" s="32"/>
      <c r="P446" s="32"/>
      <c r="S446" s="32"/>
    </row>
    <row r="447">
      <c r="D447" s="29"/>
      <c r="F447" s="31"/>
      <c r="G447" s="30"/>
      <c r="H447" s="30"/>
      <c r="J447" s="29"/>
      <c r="L447" s="30"/>
      <c r="M447" s="30"/>
      <c r="O447" s="32"/>
      <c r="P447" s="32"/>
      <c r="S447" s="32"/>
    </row>
    <row r="448">
      <c r="D448" s="29"/>
      <c r="F448" s="31"/>
      <c r="G448" s="30"/>
      <c r="H448" s="30"/>
      <c r="J448" s="29"/>
      <c r="L448" s="30"/>
      <c r="M448" s="30"/>
      <c r="O448" s="32"/>
      <c r="P448" s="32"/>
      <c r="S448" s="32"/>
    </row>
    <row r="449">
      <c r="D449" s="29"/>
      <c r="F449" s="31"/>
      <c r="G449" s="30"/>
      <c r="H449" s="30"/>
      <c r="J449" s="29"/>
      <c r="L449" s="30"/>
      <c r="M449" s="30"/>
      <c r="O449" s="32"/>
      <c r="P449" s="32"/>
      <c r="S449" s="32"/>
    </row>
    <row r="450">
      <c r="D450" s="29"/>
      <c r="F450" s="31"/>
      <c r="G450" s="30"/>
      <c r="H450" s="30"/>
      <c r="J450" s="29"/>
      <c r="L450" s="30"/>
      <c r="M450" s="30"/>
      <c r="O450" s="32"/>
      <c r="P450" s="32"/>
      <c r="S450" s="32"/>
    </row>
    <row r="451">
      <c r="D451" s="29"/>
      <c r="F451" s="31"/>
      <c r="G451" s="30"/>
      <c r="H451" s="30"/>
      <c r="J451" s="29"/>
      <c r="L451" s="30"/>
      <c r="M451" s="30"/>
      <c r="O451" s="32"/>
      <c r="P451" s="32"/>
      <c r="S451" s="32"/>
    </row>
    <row r="452">
      <c r="D452" s="29"/>
      <c r="F452" s="31"/>
      <c r="G452" s="30"/>
      <c r="H452" s="30"/>
      <c r="J452" s="29"/>
      <c r="L452" s="30"/>
      <c r="M452" s="30"/>
      <c r="O452" s="32"/>
      <c r="P452" s="32"/>
      <c r="S452" s="32"/>
    </row>
    <row r="453">
      <c r="D453" s="29"/>
      <c r="F453" s="31"/>
      <c r="G453" s="30"/>
      <c r="H453" s="30"/>
      <c r="J453" s="29"/>
      <c r="L453" s="30"/>
      <c r="M453" s="30"/>
      <c r="O453" s="32"/>
      <c r="P453" s="32"/>
      <c r="S453" s="32"/>
    </row>
    <row r="454">
      <c r="D454" s="29"/>
      <c r="F454" s="31"/>
      <c r="G454" s="30"/>
      <c r="H454" s="30"/>
      <c r="J454" s="29"/>
      <c r="L454" s="30"/>
      <c r="M454" s="30"/>
      <c r="O454" s="32"/>
      <c r="P454" s="32"/>
      <c r="S454" s="32"/>
    </row>
    <row r="455">
      <c r="D455" s="29"/>
      <c r="F455" s="31"/>
      <c r="G455" s="30"/>
      <c r="H455" s="30"/>
      <c r="J455" s="29"/>
      <c r="L455" s="30"/>
      <c r="M455" s="30"/>
      <c r="O455" s="32"/>
      <c r="P455" s="32"/>
      <c r="S455" s="32"/>
    </row>
    <row r="456">
      <c r="D456" s="29"/>
      <c r="F456" s="31"/>
      <c r="G456" s="30"/>
      <c r="H456" s="30"/>
      <c r="J456" s="29"/>
      <c r="L456" s="30"/>
      <c r="M456" s="30"/>
      <c r="O456" s="32"/>
      <c r="P456" s="32"/>
      <c r="S456" s="32"/>
    </row>
    <row r="457">
      <c r="D457" s="29"/>
      <c r="F457" s="31"/>
      <c r="G457" s="30"/>
      <c r="H457" s="30"/>
      <c r="J457" s="29"/>
      <c r="L457" s="30"/>
      <c r="M457" s="30"/>
      <c r="O457" s="32"/>
      <c r="P457" s="32"/>
      <c r="S457" s="32"/>
    </row>
    <row r="458">
      <c r="D458" s="29"/>
      <c r="F458" s="31"/>
      <c r="G458" s="30"/>
      <c r="H458" s="30"/>
      <c r="J458" s="29"/>
      <c r="L458" s="30"/>
      <c r="M458" s="30"/>
      <c r="O458" s="32"/>
      <c r="P458" s="32"/>
      <c r="S458" s="32"/>
    </row>
    <row r="459">
      <c r="D459" s="29"/>
      <c r="F459" s="31"/>
      <c r="G459" s="30"/>
      <c r="H459" s="30"/>
      <c r="J459" s="29"/>
      <c r="L459" s="30"/>
      <c r="M459" s="30"/>
      <c r="O459" s="32"/>
      <c r="P459" s="32"/>
      <c r="S459" s="32"/>
    </row>
    <row r="460">
      <c r="D460" s="29"/>
      <c r="F460" s="31"/>
      <c r="G460" s="30"/>
      <c r="H460" s="30"/>
      <c r="J460" s="29"/>
      <c r="L460" s="30"/>
      <c r="M460" s="30"/>
      <c r="O460" s="32"/>
      <c r="P460" s="32"/>
      <c r="S460" s="32"/>
    </row>
    <row r="461">
      <c r="D461" s="29"/>
      <c r="F461" s="31"/>
      <c r="G461" s="30"/>
      <c r="H461" s="30"/>
      <c r="J461" s="29"/>
      <c r="L461" s="30"/>
      <c r="M461" s="30"/>
      <c r="O461" s="32"/>
      <c r="P461" s="32"/>
      <c r="S461" s="32"/>
    </row>
    <row r="462">
      <c r="D462" s="29"/>
      <c r="F462" s="31"/>
      <c r="G462" s="30"/>
      <c r="H462" s="30"/>
      <c r="J462" s="29"/>
      <c r="L462" s="30"/>
      <c r="M462" s="30"/>
      <c r="O462" s="32"/>
      <c r="P462" s="32"/>
      <c r="S462" s="32"/>
    </row>
    <row r="463">
      <c r="D463" s="29"/>
      <c r="F463" s="31"/>
      <c r="G463" s="30"/>
      <c r="H463" s="30"/>
      <c r="J463" s="29"/>
      <c r="L463" s="30"/>
      <c r="M463" s="30"/>
      <c r="O463" s="32"/>
      <c r="P463" s="32"/>
      <c r="S463" s="32"/>
    </row>
    <row r="464">
      <c r="D464" s="29"/>
      <c r="F464" s="31"/>
      <c r="G464" s="30"/>
      <c r="H464" s="30"/>
      <c r="J464" s="29"/>
      <c r="L464" s="30"/>
      <c r="M464" s="30"/>
      <c r="O464" s="32"/>
      <c r="P464" s="32"/>
      <c r="S464" s="32"/>
    </row>
    <row r="465">
      <c r="D465" s="29"/>
      <c r="F465" s="31"/>
      <c r="G465" s="30"/>
      <c r="H465" s="30"/>
      <c r="J465" s="29"/>
      <c r="L465" s="30"/>
      <c r="M465" s="30"/>
      <c r="O465" s="32"/>
      <c r="P465" s="32"/>
      <c r="S465" s="32"/>
    </row>
    <row r="466">
      <c r="D466" s="29"/>
      <c r="F466" s="31"/>
      <c r="G466" s="30"/>
      <c r="H466" s="30"/>
      <c r="J466" s="29"/>
      <c r="L466" s="30"/>
      <c r="M466" s="30"/>
      <c r="O466" s="32"/>
      <c r="P466" s="32"/>
      <c r="S466" s="32"/>
    </row>
    <row r="467">
      <c r="D467" s="29"/>
      <c r="F467" s="31"/>
      <c r="G467" s="30"/>
      <c r="H467" s="30"/>
      <c r="J467" s="29"/>
      <c r="L467" s="30"/>
      <c r="M467" s="30"/>
      <c r="O467" s="32"/>
      <c r="P467" s="32"/>
      <c r="S467" s="32"/>
    </row>
    <row r="468">
      <c r="D468" s="29"/>
      <c r="F468" s="31"/>
      <c r="G468" s="30"/>
      <c r="H468" s="30"/>
      <c r="J468" s="29"/>
      <c r="L468" s="30"/>
      <c r="M468" s="30"/>
      <c r="O468" s="32"/>
      <c r="P468" s="32"/>
      <c r="S468" s="32"/>
    </row>
    <row r="469">
      <c r="D469" s="29"/>
      <c r="F469" s="31"/>
      <c r="G469" s="30"/>
      <c r="H469" s="30"/>
      <c r="J469" s="29"/>
      <c r="L469" s="30"/>
      <c r="M469" s="30"/>
      <c r="O469" s="32"/>
      <c r="P469" s="32"/>
      <c r="S469" s="32"/>
    </row>
    <row r="470">
      <c r="D470" s="29"/>
      <c r="F470" s="31"/>
      <c r="G470" s="30"/>
      <c r="H470" s="30"/>
      <c r="J470" s="29"/>
      <c r="L470" s="30"/>
      <c r="M470" s="30"/>
      <c r="O470" s="32"/>
      <c r="P470" s="32"/>
      <c r="S470" s="32"/>
    </row>
    <row r="471">
      <c r="D471" s="29"/>
      <c r="F471" s="31"/>
      <c r="G471" s="30"/>
      <c r="H471" s="30"/>
      <c r="J471" s="29"/>
      <c r="L471" s="30"/>
      <c r="M471" s="30"/>
      <c r="O471" s="32"/>
      <c r="P471" s="32"/>
      <c r="S471" s="32"/>
    </row>
    <row r="472">
      <c r="D472" s="29"/>
      <c r="F472" s="31"/>
      <c r="G472" s="30"/>
      <c r="H472" s="30"/>
      <c r="J472" s="29"/>
      <c r="L472" s="30"/>
      <c r="M472" s="30"/>
      <c r="O472" s="32"/>
      <c r="P472" s="32"/>
      <c r="S472" s="32"/>
    </row>
    <row r="473">
      <c r="D473" s="29"/>
      <c r="F473" s="31"/>
      <c r="G473" s="30"/>
      <c r="H473" s="30"/>
      <c r="J473" s="29"/>
      <c r="L473" s="30"/>
      <c r="M473" s="30"/>
      <c r="O473" s="32"/>
      <c r="P473" s="32"/>
      <c r="S473" s="32"/>
    </row>
    <row r="474">
      <c r="D474" s="29"/>
      <c r="F474" s="31"/>
      <c r="G474" s="30"/>
      <c r="H474" s="30"/>
      <c r="J474" s="29"/>
      <c r="L474" s="30"/>
      <c r="M474" s="30"/>
      <c r="O474" s="32"/>
      <c r="P474" s="32"/>
      <c r="S474" s="32"/>
    </row>
    <row r="475">
      <c r="D475" s="29"/>
      <c r="F475" s="31"/>
      <c r="G475" s="30"/>
      <c r="H475" s="30"/>
      <c r="J475" s="29"/>
      <c r="L475" s="30"/>
      <c r="M475" s="30"/>
      <c r="O475" s="32"/>
      <c r="P475" s="32"/>
      <c r="S475" s="32"/>
    </row>
    <row r="476">
      <c r="D476" s="29"/>
      <c r="F476" s="31"/>
      <c r="G476" s="30"/>
      <c r="H476" s="30"/>
      <c r="J476" s="29"/>
      <c r="L476" s="30"/>
      <c r="M476" s="30"/>
      <c r="O476" s="32"/>
      <c r="P476" s="32"/>
      <c r="S476" s="32"/>
    </row>
    <row r="477">
      <c r="D477" s="29"/>
      <c r="F477" s="31"/>
      <c r="G477" s="30"/>
      <c r="H477" s="30"/>
      <c r="J477" s="29"/>
      <c r="L477" s="30"/>
      <c r="M477" s="30"/>
      <c r="O477" s="32"/>
      <c r="P477" s="32"/>
      <c r="S477" s="32"/>
    </row>
    <row r="478">
      <c r="D478" s="29"/>
      <c r="F478" s="31"/>
      <c r="G478" s="30"/>
      <c r="H478" s="30"/>
      <c r="J478" s="29"/>
      <c r="L478" s="30"/>
      <c r="M478" s="30"/>
      <c r="O478" s="32"/>
      <c r="P478" s="32"/>
      <c r="S478" s="32"/>
    </row>
    <row r="479">
      <c r="D479" s="29"/>
      <c r="F479" s="31"/>
      <c r="G479" s="30"/>
      <c r="H479" s="30"/>
      <c r="J479" s="29"/>
      <c r="L479" s="30"/>
      <c r="M479" s="30"/>
      <c r="O479" s="32"/>
      <c r="P479" s="32"/>
      <c r="S479" s="32"/>
    </row>
    <row r="480">
      <c r="D480" s="29"/>
      <c r="F480" s="31"/>
      <c r="G480" s="30"/>
      <c r="H480" s="30"/>
      <c r="J480" s="29"/>
      <c r="L480" s="30"/>
      <c r="M480" s="30"/>
      <c r="O480" s="32"/>
      <c r="P480" s="32"/>
      <c r="S480" s="32"/>
    </row>
    <row r="481">
      <c r="D481" s="29"/>
      <c r="F481" s="31"/>
      <c r="G481" s="30"/>
      <c r="H481" s="30"/>
      <c r="J481" s="29"/>
      <c r="L481" s="30"/>
      <c r="M481" s="30"/>
      <c r="O481" s="32"/>
      <c r="P481" s="32"/>
      <c r="S481" s="32"/>
    </row>
    <row r="482">
      <c r="D482" s="29"/>
      <c r="F482" s="31"/>
      <c r="G482" s="30"/>
      <c r="H482" s="30"/>
      <c r="J482" s="29"/>
      <c r="L482" s="30"/>
      <c r="M482" s="30"/>
      <c r="O482" s="32"/>
      <c r="P482" s="32"/>
      <c r="S482" s="32"/>
    </row>
    <row r="483">
      <c r="D483" s="29"/>
      <c r="F483" s="31"/>
      <c r="G483" s="30"/>
      <c r="H483" s="30"/>
      <c r="J483" s="29"/>
      <c r="L483" s="30"/>
      <c r="M483" s="30"/>
      <c r="O483" s="32"/>
      <c r="P483" s="32"/>
      <c r="S483" s="32"/>
    </row>
    <row r="484">
      <c r="D484" s="29"/>
      <c r="F484" s="31"/>
      <c r="G484" s="30"/>
      <c r="H484" s="30"/>
      <c r="J484" s="29"/>
      <c r="L484" s="30"/>
      <c r="M484" s="30"/>
      <c r="O484" s="32"/>
      <c r="P484" s="32"/>
      <c r="S484" s="32"/>
    </row>
    <row r="485">
      <c r="D485" s="29"/>
      <c r="F485" s="31"/>
      <c r="G485" s="30"/>
      <c r="H485" s="30"/>
      <c r="J485" s="29"/>
      <c r="L485" s="30"/>
      <c r="M485" s="30"/>
      <c r="O485" s="32"/>
      <c r="P485" s="32"/>
      <c r="S485" s="32"/>
    </row>
    <row r="486">
      <c r="D486" s="29"/>
      <c r="F486" s="31"/>
      <c r="G486" s="30"/>
      <c r="H486" s="30"/>
      <c r="J486" s="29"/>
      <c r="L486" s="30"/>
      <c r="M486" s="30"/>
      <c r="O486" s="32"/>
      <c r="P486" s="32"/>
      <c r="S486" s="32"/>
    </row>
    <row r="487">
      <c r="D487" s="29"/>
      <c r="F487" s="31"/>
      <c r="G487" s="30"/>
      <c r="H487" s="30"/>
      <c r="J487" s="29"/>
      <c r="L487" s="30"/>
      <c r="M487" s="30"/>
      <c r="O487" s="32"/>
      <c r="P487" s="32"/>
      <c r="S487" s="32"/>
    </row>
    <row r="488">
      <c r="D488" s="29"/>
      <c r="F488" s="31"/>
      <c r="G488" s="30"/>
      <c r="H488" s="30"/>
      <c r="J488" s="29"/>
      <c r="L488" s="30"/>
      <c r="M488" s="30"/>
      <c r="O488" s="32"/>
      <c r="P488" s="32"/>
      <c r="S488" s="32"/>
    </row>
    <row r="489">
      <c r="D489" s="29"/>
      <c r="F489" s="31"/>
      <c r="G489" s="30"/>
      <c r="H489" s="30"/>
      <c r="J489" s="29"/>
      <c r="L489" s="30"/>
      <c r="M489" s="30"/>
      <c r="O489" s="32"/>
      <c r="P489" s="32"/>
      <c r="S489" s="32"/>
    </row>
    <row r="490">
      <c r="D490" s="29"/>
      <c r="F490" s="31"/>
      <c r="G490" s="30"/>
      <c r="H490" s="30"/>
      <c r="J490" s="29"/>
      <c r="L490" s="30"/>
      <c r="M490" s="30"/>
      <c r="O490" s="32"/>
      <c r="P490" s="32"/>
      <c r="S490" s="32"/>
    </row>
    <row r="491">
      <c r="D491" s="29"/>
      <c r="F491" s="31"/>
      <c r="G491" s="30"/>
      <c r="H491" s="30"/>
      <c r="J491" s="29"/>
      <c r="L491" s="30"/>
      <c r="M491" s="30"/>
      <c r="O491" s="32"/>
      <c r="P491" s="32"/>
      <c r="S491" s="32"/>
    </row>
    <row r="492">
      <c r="D492" s="29"/>
      <c r="F492" s="31"/>
      <c r="G492" s="30"/>
      <c r="H492" s="30"/>
      <c r="J492" s="29"/>
      <c r="L492" s="30"/>
      <c r="M492" s="30"/>
      <c r="O492" s="32"/>
      <c r="P492" s="32"/>
      <c r="S492" s="32"/>
    </row>
    <row r="493">
      <c r="D493" s="29"/>
      <c r="F493" s="31"/>
      <c r="G493" s="30"/>
      <c r="H493" s="30"/>
      <c r="J493" s="29"/>
      <c r="L493" s="30"/>
      <c r="M493" s="30"/>
      <c r="O493" s="32"/>
      <c r="P493" s="32"/>
      <c r="S493" s="32"/>
    </row>
    <row r="494">
      <c r="D494" s="29"/>
      <c r="F494" s="31"/>
      <c r="G494" s="30"/>
      <c r="H494" s="30"/>
      <c r="J494" s="29"/>
      <c r="L494" s="30"/>
      <c r="M494" s="30"/>
      <c r="O494" s="32"/>
      <c r="P494" s="32"/>
      <c r="S494" s="32"/>
    </row>
    <row r="495">
      <c r="D495" s="29"/>
      <c r="F495" s="31"/>
      <c r="G495" s="30"/>
      <c r="H495" s="30"/>
      <c r="J495" s="29"/>
      <c r="L495" s="30"/>
      <c r="M495" s="30"/>
      <c r="O495" s="32"/>
      <c r="P495" s="32"/>
      <c r="S495" s="32"/>
    </row>
    <row r="496">
      <c r="D496" s="29"/>
      <c r="F496" s="31"/>
      <c r="G496" s="30"/>
      <c r="H496" s="30"/>
      <c r="J496" s="29"/>
      <c r="L496" s="30"/>
      <c r="M496" s="30"/>
      <c r="O496" s="32"/>
      <c r="P496" s="32"/>
      <c r="S496" s="32"/>
    </row>
    <row r="497">
      <c r="D497" s="29"/>
      <c r="F497" s="31"/>
      <c r="G497" s="30"/>
      <c r="H497" s="30"/>
      <c r="J497" s="29"/>
      <c r="L497" s="30"/>
      <c r="M497" s="30"/>
      <c r="O497" s="32"/>
      <c r="P497" s="32"/>
      <c r="S497" s="32"/>
    </row>
    <row r="498">
      <c r="D498" s="29"/>
      <c r="F498" s="31"/>
      <c r="G498" s="30"/>
      <c r="H498" s="30"/>
      <c r="J498" s="29"/>
      <c r="L498" s="30"/>
      <c r="M498" s="30"/>
      <c r="O498" s="32"/>
      <c r="P498" s="32"/>
      <c r="S498" s="32"/>
    </row>
    <row r="499">
      <c r="D499" s="29"/>
      <c r="F499" s="31"/>
      <c r="G499" s="30"/>
      <c r="H499" s="30"/>
      <c r="J499" s="29"/>
      <c r="L499" s="30"/>
      <c r="M499" s="30"/>
      <c r="O499" s="32"/>
      <c r="P499" s="32"/>
      <c r="S499" s="32"/>
    </row>
    <row r="500">
      <c r="D500" s="29"/>
      <c r="F500" s="31"/>
      <c r="G500" s="30"/>
      <c r="H500" s="30"/>
      <c r="J500" s="29"/>
      <c r="L500" s="30"/>
      <c r="M500" s="30"/>
      <c r="O500" s="32"/>
      <c r="P500" s="32"/>
      <c r="S500" s="32"/>
    </row>
    <row r="501">
      <c r="D501" s="29"/>
      <c r="F501" s="31"/>
      <c r="G501" s="30"/>
      <c r="H501" s="30"/>
      <c r="J501" s="29"/>
      <c r="L501" s="30"/>
      <c r="M501" s="30"/>
      <c r="O501" s="32"/>
      <c r="P501" s="32"/>
      <c r="S501" s="32"/>
    </row>
    <row r="502">
      <c r="D502" s="29"/>
      <c r="F502" s="31"/>
      <c r="G502" s="30"/>
      <c r="H502" s="30"/>
      <c r="J502" s="29"/>
      <c r="L502" s="30"/>
      <c r="M502" s="30"/>
      <c r="O502" s="32"/>
      <c r="P502" s="32"/>
      <c r="S502" s="32"/>
    </row>
    <row r="503">
      <c r="D503" s="29"/>
      <c r="F503" s="31"/>
      <c r="G503" s="30"/>
      <c r="H503" s="30"/>
      <c r="J503" s="29"/>
      <c r="L503" s="30"/>
      <c r="M503" s="30"/>
      <c r="O503" s="32"/>
      <c r="P503" s="32"/>
      <c r="S503" s="32"/>
    </row>
    <row r="504">
      <c r="D504" s="29"/>
      <c r="F504" s="31"/>
      <c r="G504" s="30"/>
      <c r="H504" s="30"/>
      <c r="J504" s="29"/>
      <c r="L504" s="30"/>
      <c r="M504" s="30"/>
      <c r="O504" s="32"/>
      <c r="P504" s="32"/>
      <c r="S504" s="32"/>
    </row>
    <row r="505">
      <c r="D505" s="29"/>
      <c r="F505" s="31"/>
      <c r="G505" s="30"/>
      <c r="H505" s="30"/>
      <c r="J505" s="29"/>
      <c r="L505" s="30"/>
      <c r="M505" s="30"/>
      <c r="O505" s="32"/>
      <c r="P505" s="32"/>
      <c r="S505" s="32"/>
    </row>
    <row r="506">
      <c r="D506" s="29"/>
      <c r="F506" s="31"/>
      <c r="G506" s="30"/>
      <c r="H506" s="30"/>
      <c r="J506" s="29"/>
      <c r="L506" s="30"/>
      <c r="M506" s="30"/>
      <c r="O506" s="32"/>
      <c r="P506" s="32"/>
      <c r="S506" s="32"/>
    </row>
    <row r="507">
      <c r="D507" s="29"/>
      <c r="F507" s="31"/>
      <c r="G507" s="30"/>
      <c r="H507" s="30"/>
      <c r="J507" s="29"/>
      <c r="L507" s="30"/>
      <c r="M507" s="30"/>
      <c r="O507" s="32"/>
      <c r="P507" s="32"/>
      <c r="S507" s="32"/>
    </row>
    <row r="508">
      <c r="D508" s="29"/>
      <c r="F508" s="31"/>
      <c r="G508" s="30"/>
      <c r="H508" s="30"/>
      <c r="J508" s="29"/>
      <c r="L508" s="30"/>
      <c r="M508" s="30"/>
      <c r="O508" s="32"/>
      <c r="P508" s="32"/>
      <c r="S508" s="32"/>
    </row>
    <row r="509">
      <c r="D509" s="29"/>
      <c r="F509" s="31"/>
      <c r="G509" s="30"/>
      <c r="H509" s="30"/>
      <c r="J509" s="29"/>
      <c r="L509" s="30"/>
      <c r="M509" s="30"/>
      <c r="O509" s="32"/>
      <c r="P509" s="32"/>
      <c r="S509" s="32"/>
    </row>
    <row r="510">
      <c r="D510" s="29"/>
      <c r="F510" s="31"/>
      <c r="G510" s="30"/>
      <c r="H510" s="30"/>
      <c r="J510" s="29"/>
      <c r="L510" s="30"/>
      <c r="M510" s="30"/>
      <c r="O510" s="32"/>
      <c r="P510" s="32"/>
      <c r="S510" s="32"/>
    </row>
    <row r="511">
      <c r="D511" s="29"/>
      <c r="F511" s="31"/>
      <c r="G511" s="30"/>
      <c r="H511" s="30"/>
      <c r="J511" s="29"/>
      <c r="L511" s="30"/>
      <c r="M511" s="30"/>
      <c r="O511" s="32"/>
      <c r="P511" s="32"/>
      <c r="S511" s="32"/>
    </row>
    <row r="512">
      <c r="D512" s="29"/>
      <c r="F512" s="31"/>
      <c r="G512" s="30"/>
      <c r="H512" s="30"/>
      <c r="J512" s="29"/>
      <c r="L512" s="30"/>
      <c r="M512" s="30"/>
      <c r="O512" s="32"/>
      <c r="P512" s="32"/>
      <c r="S512" s="32"/>
    </row>
    <row r="513">
      <c r="D513" s="29"/>
      <c r="F513" s="31"/>
      <c r="G513" s="30"/>
      <c r="H513" s="30"/>
      <c r="J513" s="29"/>
      <c r="L513" s="30"/>
      <c r="M513" s="30"/>
      <c r="O513" s="32"/>
      <c r="P513" s="32"/>
      <c r="S513" s="32"/>
    </row>
    <row r="514">
      <c r="D514" s="29"/>
      <c r="F514" s="31"/>
      <c r="G514" s="30"/>
      <c r="H514" s="30"/>
      <c r="J514" s="29"/>
      <c r="L514" s="30"/>
      <c r="M514" s="30"/>
      <c r="O514" s="32"/>
      <c r="P514" s="32"/>
      <c r="S514" s="32"/>
    </row>
    <row r="515">
      <c r="D515" s="29"/>
      <c r="F515" s="31"/>
      <c r="G515" s="30"/>
      <c r="H515" s="30"/>
      <c r="J515" s="29"/>
      <c r="L515" s="30"/>
      <c r="M515" s="30"/>
      <c r="O515" s="32"/>
      <c r="P515" s="32"/>
      <c r="S515" s="32"/>
    </row>
    <row r="516">
      <c r="D516" s="29"/>
      <c r="F516" s="31"/>
      <c r="G516" s="30"/>
      <c r="H516" s="30"/>
      <c r="J516" s="29"/>
      <c r="L516" s="30"/>
      <c r="M516" s="30"/>
      <c r="O516" s="32"/>
      <c r="P516" s="32"/>
      <c r="S516" s="32"/>
    </row>
    <row r="517">
      <c r="D517" s="29"/>
      <c r="F517" s="31"/>
      <c r="G517" s="30"/>
      <c r="H517" s="30"/>
      <c r="J517" s="29"/>
      <c r="L517" s="30"/>
      <c r="M517" s="30"/>
      <c r="O517" s="32"/>
      <c r="P517" s="32"/>
      <c r="S517" s="32"/>
    </row>
    <row r="518">
      <c r="D518" s="29"/>
      <c r="F518" s="31"/>
      <c r="G518" s="30"/>
      <c r="H518" s="30"/>
      <c r="J518" s="29"/>
      <c r="L518" s="30"/>
      <c r="M518" s="30"/>
      <c r="O518" s="32"/>
      <c r="P518" s="32"/>
      <c r="S518" s="32"/>
    </row>
    <row r="519">
      <c r="D519" s="29"/>
      <c r="F519" s="31"/>
      <c r="G519" s="30"/>
      <c r="H519" s="30"/>
      <c r="J519" s="29"/>
      <c r="L519" s="30"/>
      <c r="M519" s="30"/>
      <c r="O519" s="32"/>
      <c r="P519" s="32"/>
      <c r="S519" s="32"/>
    </row>
    <row r="520">
      <c r="D520" s="29"/>
      <c r="F520" s="31"/>
      <c r="G520" s="30"/>
      <c r="H520" s="30"/>
      <c r="J520" s="29"/>
      <c r="L520" s="30"/>
      <c r="M520" s="30"/>
      <c r="O520" s="32"/>
      <c r="P520" s="32"/>
      <c r="S520" s="32"/>
    </row>
    <row r="521">
      <c r="D521" s="29"/>
      <c r="F521" s="31"/>
      <c r="G521" s="30"/>
      <c r="H521" s="30"/>
      <c r="J521" s="29"/>
      <c r="L521" s="30"/>
      <c r="M521" s="30"/>
      <c r="O521" s="32"/>
      <c r="P521" s="32"/>
      <c r="S521" s="32"/>
    </row>
    <row r="522">
      <c r="D522" s="29"/>
      <c r="F522" s="31"/>
      <c r="G522" s="30"/>
      <c r="H522" s="30"/>
      <c r="J522" s="29"/>
      <c r="L522" s="30"/>
      <c r="M522" s="30"/>
      <c r="O522" s="32"/>
      <c r="P522" s="32"/>
      <c r="S522" s="32"/>
    </row>
    <row r="523">
      <c r="D523" s="29"/>
      <c r="F523" s="31"/>
      <c r="G523" s="30"/>
      <c r="H523" s="30"/>
      <c r="J523" s="29"/>
      <c r="L523" s="30"/>
      <c r="M523" s="30"/>
      <c r="O523" s="32"/>
      <c r="P523" s="32"/>
      <c r="S523" s="32"/>
    </row>
    <row r="524">
      <c r="D524" s="29"/>
      <c r="F524" s="31"/>
      <c r="G524" s="30"/>
      <c r="H524" s="30"/>
      <c r="J524" s="29"/>
      <c r="L524" s="30"/>
      <c r="M524" s="30"/>
      <c r="O524" s="32"/>
      <c r="P524" s="32"/>
      <c r="S524" s="32"/>
    </row>
    <row r="525">
      <c r="D525" s="29"/>
      <c r="F525" s="31"/>
      <c r="G525" s="30"/>
      <c r="H525" s="30"/>
      <c r="J525" s="29"/>
      <c r="L525" s="30"/>
      <c r="M525" s="30"/>
      <c r="O525" s="32"/>
      <c r="P525" s="32"/>
      <c r="S525" s="32"/>
    </row>
    <row r="526">
      <c r="D526" s="29"/>
      <c r="F526" s="31"/>
      <c r="G526" s="30"/>
      <c r="H526" s="30"/>
      <c r="J526" s="29"/>
      <c r="L526" s="30"/>
      <c r="M526" s="30"/>
      <c r="O526" s="32"/>
      <c r="P526" s="32"/>
      <c r="S526" s="32"/>
    </row>
    <row r="527">
      <c r="D527" s="29"/>
      <c r="F527" s="31"/>
      <c r="G527" s="30"/>
      <c r="H527" s="30"/>
      <c r="J527" s="29"/>
      <c r="L527" s="30"/>
      <c r="M527" s="30"/>
      <c r="O527" s="32"/>
      <c r="P527" s="32"/>
      <c r="S527" s="32"/>
    </row>
    <row r="528">
      <c r="D528" s="29"/>
      <c r="F528" s="31"/>
      <c r="G528" s="30"/>
      <c r="H528" s="30"/>
      <c r="J528" s="29"/>
      <c r="L528" s="30"/>
      <c r="M528" s="30"/>
      <c r="O528" s="32"/>
      <c r="P528" s="32"/>
      <c r="S528" s="32"/>
    </row>
    <row r="529">
      <c r="D529" s="29"/>
      <c r="F529" s="31"/>
      <c r="G529" s="30"/>
      <c r="H529" s="30"/>
      <c r="J529" s="29"/>
      <c r="L529" s="30"/>
      <c r="M529" s="30"/>
      <c r="O529" s="32"/>
      <c r="P529" s="32"/>
      <c r="S529" s="32"/>
    </row>
    <row r="530">
      <c r="D530" s="29"/>
      <c r="F530" s="31"/>
      <c r="G530" s="30"/>
      <c r="H530" s="30"/>
      <c r="J530" s="29"/>
      <c r="L530" s="30"/>
      <c r="M530" s="30"/>
      <c r="O530" s="32"/>
      <c r="P530" s="32"/>
      <c r="S530" s="32"/>
    </row>
    <row r="531">
      <c r="D531" s="29"/>
      <c r="F531" s="31"/>
      <c r="G531" s="30"/>
      <c r="H531" s="30"/>
      <c r="J531" s="29"/>
      <c r="L531" s="30"/>
      <c r="M531" s="30"/>
      <c r="O531" s="32"/>
      <c r="P531" s="32"/>
      <c r="S531" s="32"/>
    </row>
    <row r="532">
      <c r="D532" s="29"/>
      <c r="F532" s="31"/>
      <c r="G532" s="30"/>
      <c r="H532" s="30"/>
      <c r="J532" s="29"/>
      <c r="L532" s="30"/>
      <c r="M532" s="30"/>
      <c r="O532" s="32"/>
      <c r="P532" s="32"/>
      <c r="S532" s="32"/>
    </row>
    <row r="533">
      <c r="D533" s="29"/>
      <c r="F533" s="31"/>
      <c r="G533" s="30"/>
      <c r="H533" s="30"/>
      <c r="J533" s="29"/>
      <c r="L533" s="30"/>
      <c r="M533" s="30"/>
      <c r="O533" s="32"/>
      <c r="P533" s="32"/>
      <c r="S533" s="32"/>
    </row>
    <row r="534">
      <c r="D534" s="29"/>
      <c r="F534" s="31"/>
      <c r="G534" s="30"/>
      <c r="H534" s="30"/>
      <c r="J534" s="29"/>
      <c r="L534" s="30"/>
      <c r="M534" s="30"/>
      <c r="O534" s="32"/>
      <c r="P534" s="32"/>
      <c r="S534" s="32"/>
    </row>
    <row r="535">
      <c r="D535" s="29"/>
      <c r="F535" s="31"/>
      <c r="G535" s="30"/>
      <c r="H535" s="30"/>
      <c r="J535" s="29"/>
      <c r="L535" s="30"/>
      <c r="M535" s="30"/>
      <c r="O535" s="32"/>
      <c r="P535" s="32"/>
      <c r="S535" s="32"/>
    </row>
    <row r="536">
      <c r="D536" s="29"/>
      <c r="F536" s="31"/>
      <c r="G536" s="30"/>
      <c r="H536" s="30"/>
      <c r="J536" s="29"/>
      <c r="L536" s="30"/>
      <c r="M536" s="30"/>
      <c r="O536" s="32"/>
      <c r="P536" s="32"/>
      <c r="S536" s="32"/>
    </row>
    <row r="537">
      <c r="D537" s="29"/>
      <c r="F537" s="31"/>
      <c r="G537" s="30"/>
      <c r="H537" s="30"/>
      <c r="J537" s="29"/>
      <c r="L537" s="30"/>
      <c r="M537" s="30"/>
      <c r="O537" s="32"/>
      <c r="P537" s="32"/>
      <c r="S537" s="32"/>
    </row>
    <row r="538">
      <c r="D538" s="29"/>
      <c r="F538" s="31"/>
      <c r="G538" s="30"/>
      <c r="H538" s="30"/>
      <c r="J538" s="29"/>
      <c r="L538" s="30"/>
      <c r="M538" s="30"/>
      <c r="O538" s="32"/>
      <c r="P538" s="32"/>
      <c r="S538" s="32"/>
    </row>
    <row r="539">
      <c r="D539" s="29"/>
      <c r="F539" s="31"/>
      <c r="G539" s="30"/>
      <c r="H539" s="30"/>
      <c r="J539" s="29"/>
      <c r="L539" s="30"/>
      <c r="M539" s="30"/>
      <c r="O539" s="32"/>
      <c r="P539" s="32"/>
      <c r="S539" s="32"/>
    </row>
    <row r="540">
      <c r="D540" s="29"/>
      <c r="F540" s="31"/>
      <c r="G540" s="30"/>
      <c r="H540" s="30"/>
      <c r="J540" s="29"/>
      <c r="L540" s="30"/>
      <c r="M540" s="30"/>
      <c r="O540" s="32"/>
      <c r="P540" s="32"/>
      <c r="S540" s="32"/>
    </row>
    <row r="541">
      <c r="D541" s="29"/>
      <c r="F541" s="31"/>
      <c r="G541" s="30"/>
      <c r="H541" s="30"/>
      <c r="J541" s="29"/>
      <c r="L541" s="30"/>
      <c r="M541" s="30"/>
      <c r="O541" s="32"/>
      <c r="P541" s="32"/>
      <c r="S541" s="32"/>
    </row>
    <row r="542">
      <c r="D542" s="29"/>
      <c r="F542" s="31"/>
      <c r="G542" s="30"/>
      <c r="H542" s="30"/>
      <c r="J542" s="29"/>
      <c r="L542" s="30"/>
      <c r="M542" s="30"/>
      <c r="O542" s="32"/>
      <c r="P542" s="32"/>
      <c r="S542" s="32"/>
    </row>
    <row r="543">
      <c r="D543" s="29"/>
      <c r="F543" s="31"/>
      <c r="G543" s="30"/>
      <c r="H543" s="30"/>
      <c r="J543" s="29"/>
      <c r="L543" s="30"/>
      <c r="M543" s="30"/>
      <c r="O543" s="32"/>
      <c r="P543" s="32"/>
      <c r="S543" s="32"/>
    </row>
    <row r="544">
      <c r="D544" s="29"/>
      <c r="F544" s="31"/>
      <c r="G544" s="30"/>
      <c r="H544" s="30"/>
      <c r="J544" s="29"/>
      <c r="L544" s="30"/>
      <c r="M544" s="30"/>
      <c r="O544" s="32"/>
      <c r="P544" s="32"/>
      <c r="S544" s="32"/>
    </row>
    <row r="545">
      <c r="D545" s="29"/>
      <c r="F545" s="31"/>
      <c r="G545" s="30"/>
      <c r="H545" s="30"/>
      <c r="J545" s="29"/>
      <c r="L545" s="30"/>
      <c r="M545" s="30"/>
      <c r="O545" s="32"/>
      <c r="P545" s="32"/>
      <c r="S545" s="32"/>
    </row>
    <row r="546">
      <c r="D546" s="29"/>
      <c r="F546" s="31"/>
      <c r="G546" s="30"/>
      <c r="H546" s="30"/>
      <c r="J546" s="29"/>
      <c r="L546" s="30"/>
      <c r="M546" s="30"/>
      <c r="O546" s="32"/>
      <c r="P546" s="32"/>
      <c r="S546" s="32"/>
    </row>
    <row r="547">
      <c r="D547" s="29"/>
      <c r="F547" s="31"/>
      <c r="G547" s="30"/>
      <c r="H547" s="30"/>
      <c r="J547" s="29"/>
      <c r="L547" s="30"/>
      <c r="M547" s="30"/>
      <c r="O547" s="32"/>
      <c r="P547" s="32"/>
      <c r="S547" s="32"/>
    </row>
    <row r="548">
      <c r="D548" s="29"/>
      <c r="F548" s="31"/>
      <c r="G548" s="30"/>
      <c r="H548" s="30"/>
      <c r="J548" s="29"/>
      <c r="L548" s="30"/>
      <c r="M548" s="30"/>
      <c r="O548" s="32"/>
      <c r="P548" s="32"/>
      <c r="S548" s="32"/>
    </row>
    <row r="549">
      <c r="D549" s="29"/>
      <c r="F549" s="31"/>
      <c r="G549" s="30"/>
      <c r="H549" s="30"/>
      <c r="J549" s="29"/>
      <c r="L549" s="30"/>
      <c r="M549" s="30"/>
      <c r="O549" s="32"/>
      <c r="P549" s="32"/>
      <c r="S549" s="32"/>
    </row>
    <row r="550">
      <c r="D550" s="29"/>
      <c r="F550" s="31"/>
      <c r="G550" s="30"/>
      <c r="H550" s="30"/>
      <c r="J550" s="29"/>
      <c r="L550" s="30"/>
      <c r="M550" s="30"/>
      <c r="O550" s="32"/>
      <c r="P550" s="32"/>
      <c r="S550" s="32"/>
    </row>
    <row r="551">
      <c r="D551" s="29"/>
      <c r="F551" s="31"/>
      <c r="G551" s="30"/>
      <c r="H551" s="30"/>
      <c r="J551" s="29"/>
      <c r="L551" s="30"/>
      <c r="M551" s="30"/>
      <c r="O551" s="32"/>
      <c r="P551" s="32"/>
      <c r="S551" s="32"/>
    </row>
    <row r="552">
      <c r="D552" s="29"/>
      <c r="F552" s="31"/>
      <c r="G552" s="30"/>
      <c r="H552" s="30"/>
      <c r="J552" s="29"/>
      <c r="L552" s="30"/>
      <c r="M552" s="30"/>
      <c r="O552" s="32"/>
      <c r="P552" s="32"/>
      <c r="S552" s="32"/>
    </row>
    <row r="553">
      <c r="D553" s="29"/>
      <c r="F553" s="31"/>
      <c r="G553" s="30"/>
      <c r="H553" s="30"/>
      <c r="J553" s="29"/>
      <c r="L553" s="30"/>
      <c r="M553" s="30"/>
      <c r="O553" s="32"/>
      <c r="P553" s="32"/>
      <c r="S553" s="32"/>
    </row>
    <row r="554">
      <c r="D554" s="29"/>
      <c r="F554" s="31"/>
      <c r="G554" s="30"/>
      <c r="H554" s="30"/>
      <c r="J554" s="29"/>
      <c r="L554" s="30"/>
      <c r="M554" s="30"/>
      <c r="O554" s="32"/>
      <c r="P554" s="32"/>
      <c r="S554" s="32"/>
    </row>
    <row r="555">
      <c r="D555" s="29"/>
      <c r="F555" s="31"/>
      <c r="G555" s="30"/>
      <c r="H555" s="30"/>
      <c r="J555" s="29"/>
      <c r="L555" s="30"/>
      <c r="M555" s="30"/>
      <c r="O555" s="32"/>
      <c r="P555" s="32"/>
      <c r="S555" s="32"/>
    </row>
    <row r="556">
      <c r="D556" s="29"/>
      <c r="F556" s="31"/>
      <c r="G556" s="30"/>
      <c r="H556" s="30"/>
      <c r="J556" s="29"/>
      <c r="L556" s="30"/>
      <c r="M556" s="30"/>
      <c r="O556" s="32"/>
      <c r="P556" s="32"/>
      <c r="S556" s="32"/>
    </row>
    <row r="557">
      <c r="D557" s="29"/>
      <c r="F557" s="31"/>
      <c r="G557" s="30"/>
      <c r="H557" s="30"/>
      <c r="J557" s="29"/>
      <c r="L557" s="30"/>
      <c r="M557" s="30"/>
      <c r="O557" s="32"/>
      <c r="P557" s="32"/>
      <c r="S557" s="32"/>
    </row>
    <row r="558">
      <c r="D558" s="29"/>
      <c r="F558" s="31"/>
      <c r="G558" s="30"/>
      <c r="H558" s="30"/>
      <c r="J558" s="29"/>
      <c r="L558" s="30"/>
      <c r="M558" s="30"/>
      <c r="O558" s="32"/>
      <c r="P558" s="32"/>
      <c r="S558" s="32"/>
    </row>
    <row r="559">
      <c r="D559" s="29"/>
      <c r="F559" s="31"/>
      <c r="G559" s="30"/>
      <c r="H559" s="30"/>
      <c r="J559" s="29"/>
      <c r="L559" s="30"/>
      <c r="M559" s="30"/>
      <c r="O559" s="32"/>
      <c r="P559" s="32"/>
      <c r="S559" s="32"/>
    </row>
    <row r="560">
      <c r="D560" s="29"/>
      <c r="F560" s="31"/>
      <c r="G560" s="30"/>
      <c r="H560" s="30"/>
      <c r="J560" s="29"/>
      <c r="L560" s="30"/>
      <c r="M560" s="30"/>
      <c r="O560" s="32"/>
      <c r="P560" s="32"/>
      <c r="S560" s="32"/>
    </row>
    <row r="561">
      <c r="D561" s="29"/>
      <c r="F561" s="31"/>
      <c r="G561" s="30"/>
      <c r="H561" s="30"/>
      <c r="J561" s="29"/>
      <c r="L561" s="30"/>
      <c r="M561" s="30"/>
      <c r="O561" s="32"/>
      <c r="P561" s="32"/>
      <c r="S561" s="32"/>
    </row>
    <row r="562">
      <c r="D562" s="29"/>
      <c r="F562" s="31"/>
      <c r="G562" s="30"/>
      <c r="H562" s="30"/>
      <c r="J562" s="29"/>
      <c r="L562" s="30"/>
      <c r="M562" s="30"/>
      <c r="O562" s="32"/>
      <c r="P562" s="32"/>
      <c r="S562" s="32"/>
    </row>
    <row r="563">
      <c r="D563" s="29"/>
      <c r="F563" s="31"/>
      <c r="G563" s="30"/>
      <c r="H563" s="30"/>
      <c r="J563" s="29"/>
      <c r="L563" s="30"/>
      <c r="M563" s="30"/>
      <c r="O563" s="32"/>
      <c r="P563" s="32"/>
      <c r="S563" s="32"/>
    </row>
    <row r="564">
      <c r="D564" s="29"/>
      <c r="F564" s="31"/>
      <c r="G564" s="30"/>
      <c r="H564" s="30"/>
      <c r="J564" s="29"/>
      <c r="L564" s="30"/>
      <c r="M564" s="30"/>
      <c r="O564" s="32"/>
      <c r="P564" s="32"/>
      <c r="S564" s="32"/>
    </row>
    <row r="565">
      <c r="D565" s="29"/>
      <c r="F565" s="31"/>
      <c r="G565" s="30"/>
      <c r="H565" s="30"/>
      <c r="J565" s="29"/>
      <c r="L565" s="30"/>
      <c r="M565" s="30"/>
      <c r="O565" s="32"/>
      <c r="P565" s="32"/>
      <c r="S565" s="32"/>
    </row>
    <row r="566">
      <c r="D566" s="29"/>
      <c r="F566" s="31"/>
      <c r="G566" s="30"/>
      <c r="H566" s="30"/>
      <c r="J566" s="29"/>
      <c r="L566" s="30"/>
      <c r="M566" s="30"/>
      <c r="O566" s="32"/>
      <c r="P566" s="32"/>
      <c r="S566" s="32"/>
    </row>
    <row r="567">
      <c r="D567" s="29"/>
      <c r="F567" s="31"/>
      <c r="G567" s="30"/>
      <c r="H567" s="30"/>
      <c r="J567" s="29"/>
      <c r="L567" s="30"/>
      <c r="M567" s="30"/>
      <c r="O567" s="32"/>
      <c r="P567" s="32"/>
      <c r="S567" s="32"/>
    </row>
    <row r="568">
      <c r="D568" s="29"/>
      <c r="F568" s="31"/>
      <c r="G568" s="30"/>
      <c r="H568" s="30"/>
      <c r="J568" s="29"/>
      <c r="L568" s="30"/>
      <c r="M568" s="30"/>
      <c r="O568" s="32"/>
      <c r="P568" s="32"/>
      <c r="S568" s="32"/>
    </row>
    <row r="569">
      <c r="D569" s="29"/>
      <c r="F569" s="31"/>
      <c r="G569" s="30"/>
      <c r="H569" s="30"/>
      <c r="J569" s="29"/>
      <c r="L569" s="30"/>
      <c r="M569" s="30"/>
      <c r="O569" s="32"/>
      <c r="P569" s="32"/>
      <c r="S569" s="32"/>
    </row>
    <row r="570">
      <c r="D570" s="29"/>
      <c r="F570" s="31"/>
      <c r="G570" s="30"/>
      <c r="H570" s="30"/>
      <c r="J570" s="29"/>
      <c r="L570" s="30"/>
      <c r="M570" s="30"/>
      <c r="O570" s="32"/>
      <c r="P570" s="32"/>
      <c r="S570" s="32"/>
    </row>
    <row r="571">
      <c r="D571" s="29"/>
      <c r="F571" s="31"/>
      <c r="G571" s="30"/>
      <c r="H571" s="30"/>
      <c r="J571" s="29"/>
      <c r="L571" s="30"/>
      <c r="M571" s="30"/>
      <c r="O571" s="32"/>
      <c r="P571" s="32"/>
      <c r="S571" s="32"/>
    </row>
    <row r="572">
      <c r="D572" s="29"/>
      <c r="F572" s="31"/>
      <c r="G572" s="30"/>
      <c r="H572" s="30"/>
      <c r="J572" s="29"/>
      <c r="L572" s="30"/>
      <c r="M572" s="30"/>
      <c r="O572" s="32"/>
      <c r="P572" s="32"/>
      <c r="S572" s="32"/>
    </row>
    <row r="573">
      <c r="D573" s="29"/>
      <c r="F573" s="31"/>
      <c r="G573" s="30"/>
      <c r="H573" s="30"/>
      <c r="J573" s="29"/>
      <c r="L573" s="30"/>
      <c r="M573" s="30"/>
      <c r="O573" s="32"/>
      <c r="P573" s="32"/>
      <c r="S573" s="32"/>
    </row>
    <row r="574">
      <c r="D574" s="29"/>
      <c r="F574" s="31"/>
      <c r="G574" s="30"/>
      <c r="H574" s="30"/>
      <c r="J574" s="29"/>
      <c r="L574" s="30"/>
      <c r="M574" s="30"/>
      <c r="O574" s="32"/>
      <c r="P574" s="32"/>
      <c r="S574" s="32"/>
    </row>
    <row r="575">
      <c r="D575" s="29"/>
      <c r="F575" s="31"/>
      <c r="G575" s="30"/>
      <c r="H575" s="30"/>
      <c r="J575" s="29"/>
      <c r="L575" s="30"/>
      <c r="M575" s="30"/>
      <c r="O575" s="32"/>
      <c r="P575" s="32"/>
      <c r="S575" s="32"/>
    </row>
    <row r="576">
      <c r="D576" s="29"/>
      <c r="F576" s="31"/>
      <c r="G576" s="30"/>
      <c r="H576" s="30"/>
      <c r="J576" s="29"/>
      <c r="L576" s="30"/>
      <c r="M576" s="30"/>
      <c r="O576" s="32"/>
      <c r="P576" s="32"/>
      <c r="S576" s="32"/>
    </row>
    <row r="577">
      <c r="D577" s="29"/>
      <c r="F577" s="31"/>
      <c r="G577" s="30"/>
      <c r="H577" s="30"/>
      <c r="J577" s="29"/>
      <c r="L577" s="30"/>
      <c r="M577" s="30"/>
      <c r="O577" s="32"/>
      <c r="P577" s="32"/>
      <c r="S577" s="32"/>
    </row>
    <row r="578">
      <c r="D578" s="29"/>
      <c r="F578" s="31"/>
      <c r="G578" s="30"/>
      <c r="H578" s="30"/>
      <c r="J578" s="29"/>
      <c r="L578" s="30"/>
      <c r="M578" s="30"/>
      <c r="O578" s="32"/>
      <c r="P578" s="32"/>
      <c r="S578" s="32"/>
    </row>
    <row r="579">
      <c r="D579" s="29"/>
      <c r="F579" s="31"/>
      <c r="G579" s="30"/>
      <c r="H579" s="30"/>
      <c r="J579" s="29"/>
      <c r="L579" s="30"/>
      <c r="M579" s="30"/>
      <c r="O579" s="32"/>
      <c r="P579" s="32"/>
      <c r="S579" s="32"/>
    </row>
    <row r="580">
      <c r="D580" s="29"/>
      <c r="F580" s="31"/>
      <c r="G580" s="30"/>
      <c r="H580" s="30"/>
      <c r="J580" s="29"/>
      <c r="L580" s="30"/>
      <c r="M580" s="30"/>
      <c r="O580" s="32"/>
      <c r="P580" s="32"/>
      <c r="S580" s="32"/>
    </row>
    <row r="581">
      <c r="D581" s="29"/>
      <c r="F581" s="31"/>
      <c r="G581" s="30"/>
      <c r="H581" s="30"/>
      <c r="J581" s="29"/>
      <c r="L581" s="30"/>
      <c r="M581" s="30"/>
      <c r="O581" s="32"/>
      <c r="P581" s="32"/>
      <c r="S581" s="32"/>
    </row>
    <row r="582">
      <c r="D582" s="29"/>
      <c r="F582" s="31"/>
      <c r="G582" s="30"/>
      <c r="H582" s="30"/>
      <c r="J582" s="29"/>
      <c r="L582" s="30"/>
      <c r="M582" s="30"/>
      <c r="O582" s="32"/>
      <c r="P582" s="32"/>
      <c r="S582" s="32"/>
    </row>
    <row r="583">
      <c r="D583" s="29"/>
      <c r="F583" s="31"/>
      <c r="G583" s="30"/>
      <c r="H583" s="30"/>
      <c r="J583" s="29"/>
      <c r="L583" s="30"/>
      <c r="M583" s="30"/>
      <c r="O583" s="32"/>
      <c r="P583" s="32"/>
      <c r="S583" s="32"/>
    </row>
    <row r="584">
      <c r="D584" s="29"/>
      <c r="F584" s="31"/>
      <c r="G584" s="30"/>
      <c r="H584" s="30"/>
      <c r="J584" s="29"/>
      <c r="L584" s="30"/>
      <c r="M584" s="30"/>
      <c r="O584" s="32"/>
      <c r="P584" s="32"/>
      <c r="S584" s="32"/>
    </row>
    <row r="585">
      <c r="D585" s="29"/>
      <c r="F585" s="31"/>
      <c r="G585" s="30"/>
      <c r="H585" s="30"/>
      <c r="J585" s="29"/>
      <c r="L585" s="30"/>
      <c r="M585" s="30"/>
      <c r="O585" s="32"/>
      <c r="P585" s="32"/>
      <c r="S585" s="32"/>
    </row>
    <row r="586">
      <c r="D586" s="29"/>
      <c r="F586" s="31"/>
      <c r="G586" s="30"/>
      <c r="H586" s="30"/>
      <c r="J586" s="29"/>
      <c r="L586" s="30"/>
      <c r="M586" s="30"/>
      <c r="O586" s="32"/>
      <c r="P586" s="32"/>
      <c r="S586" s="32"/>
    </row>
    <row r="587">
      <c r="D587" s="29"/>
      <c r="F587" s="31"/>
      <c r="G587" s="30"/>
      <c r="H587" s="30"/>
      <c r="J587" s="29"/>
      <c r="L587" s="30"/>
      <c r="M587" s="30"/>
      <c r="O587" s="32"/>
      <c r="P587" s="32"/>
      <c r="S587" s="32"/>
    </row>
    <row r="588">
      <c r="D588" s="29"/>
      <c r="F588" s="31"/>
      <c r="G588" s="30"/>
      <c r="H588" s="30"/>
      <c r="J588" s="29"/>
      <c r="L588" s="30"/>
      <c r="M588" s="30"/>
      <c r="O588" s="32"/>
      <c r="P588" s="32"/>
      <c r="S588" s="32"/>
    </row>
    <row r="589">
      <c r="D589" s="29"/>
      <c r="F589" s="31"/>
      <c r="G589" s="30"/>
      <c r="H589" s="30"/>
      <c r="J589" s="29"/>
      <c r="L589" s="30"/>
      <c r="M589" s="30"/>
      <c r="O589" s="32"/>
      <c r="P589" s="32"/>
      <c r="S589" s="32"/>
    </row>
    <row r="590">
      <c r="D590" s="29"/>
      <c r="F590" s="31"/>
      <c r="G590" s="30"/>
      <c r="H590" s="30"/>
      <c r="J590" s="29"/>
      <c r="L590" s="30"/>
      <c r="M590" s="30"/>
      <c r="O590" s="32"/>
      <c r="P590" s="32"/>
      <c r="S590" s="32"/>
    </row>
    <row r="591">
      <c r="D591" s="29"/>
      <c r="F591" s="31"/>
      <c r="G591" s="30"/>
      <c r="H591" s="30"/>
      <c r="J591" s="29"/>
      <c r="L591" s="30"/>
      <c r="M591" s="30"/>
      <c r="O591" s="32"/>
      <c r="P591" s="32"/>
      <c r="S591" s="32"/>
    </row>
    <row r="592">
      <c r="D592" s="29"/>
      <c r="F592" s="31"/>
      <c r="G592" s="30"/>
      <c r="H592" s="30"/>
      <c r="J592" s="29"/>
      <c r="L592" s="30"/>
      <c r="M592" s="30"/>
      <c r="O592" s="32"/>
      <c r="P592" s="32"/>
      <c r="S592" s="32"/>
    </row>
    <row r="593">
      <c r="D593" s="29"/>
      <c r="F593" s="31"/>
      <c r="G593" s="30"/>
      <c r="H593" s="30"/>
      <c r="J593" s="29"/>
      <c r="L593" s="30"/>
      <c r="M593" s="30"/>
      <c r="O593" s="32"/>
      <c r="P593" s="32"/>
      <c r="S593" s="32"/>
    </row>
    <row r="594">
      <c r="D594" s="29"/>
      <c r="F594" s="31"/>
      <c r="G594" s="30"/>
      <c r="H594" s="30"/>
      <c r="J594" s="29"/>
      <c r="L594" s="30"/>
      <c r="M594" s="30"/>
      <c r="O594" s="32"/>
      <c r="P594" s="32"/>
      <c r="S594" s="32"/>
    </row>
    <row r="595">
      <c r="D595" s="29"/>
      <c r="F595" s="31"/>
      <c r="G595" s="30"/>
      <c r="H595" s="30"/>
      <c r="J595" s="29"/>
      <c r="L595" s="30"/>
      <c r="M595" s="30"/>
      <c r="O595" s="32"/>
      <c r="P595" s="32"/>
      <c r="S595" s="32"/>
    </row>
    <row r="596">
      <c r="D596" s="29"/>
      <c r="F596" s="31"/>
      <c r="G596" s="30"/>
      <c r="H596" s="30"/>
      <c r="J596" s="29"/>
      <c r="L596" s="30"/>
      <c r="M596" s="30"/>
      <c r="O596" s="32"/>
      <c r="P596" s="32"/>
      <c r="S596" s="32"/>
    </row>
    <row r="597">
      <c r="D597" s="29"/>
      <c r="F597" s="31"/>
      <c r="G597" s="30"/>
      <c r="H597" s="30"/>
      <c r="J597" s="29"/>
      <c r="L597" s="30"/>
      <c r="M597" s="30"/>
      <c r="O597" s="32"/>
      <c r="P597" s="32"/>
      <c r="S597" s="32"/>
    </row>
    <row r="598">
      <c r="D598" s="29"/>
      <c r="F598" s="31"/>
      <c r="G598" s="30"/>
      <c r="H598" s="30"/>
      <c r="J598" s="29"/>
      <c r="L598" s="30"/>
      <c r="M598" s="30"/>
      <c r="O598" s="32"/>
      <c r="P598" s="32"/>
      <c r="S598" s="32"/>
    </row>
    <row r="599">
      <c r="D599" s="29"/>
      <c r="F599" s="31"/>
      <c r="G599" s="30"/>
      <c r="H599" s="30"/>
      <c r="J599" s="29"/>
      <c r="L599" s="30"/>
      <c r="M599" s="30"/>
      <c r="O599" s="32"/>
      <c r="P599" s="32"/>
      <c r="S599" s="32"/>
    </row>
    <row r="600">
      <c r="D600" s="29"/>
      <c r="F600" s="31"/>
      <c r="G600" s="30"/>
      <c r="H600" s="30"/>
      <c r="J600" s="29"/>
      <c r="L600" s="30"/>
      <c r="M600" s="30"/>
      <c r="O600" s="32"/>
      <c r="P600" s="32"/>
      <c r="S600" s="32"/>
    </row>
    <row r="601">
      <c r="D601" s="29"/>
      <c r="F601" s="31"/>
      <c r="G601" s="30"/>
      <c r="H601" s="30"/>
      <c r="J601" s="29"/>
      <c r="L601" s="30"/>
      <c r="M601" s="30"/>
      <c r="O601" s="32"/>
      <c r="P601" s="32"/>
      <c r="S601" s="32"/>
    </row>
    <row r="602">
      <c r="D602" s="29"/>
      <c r="F602" s="31"/>
      <c r="G602" s="30"/>
      <c r="H602" s="30"/>
      <c r="J602" s="29"/>
      <c r="L602" s="30"/>
      <c r="M602" s="30"/>
      <c r="O602" s="32"/>
      <c r="P602" s="32"/>
      <c r="S602" s="32"/>
    </row>
    <row r="603">
      <c r="D603" s="29"/>
      <c r="F603" s="31"/>
      <c r="G603" s="30"/>
      <c r="H603" s="30"/>
      <c r="J603" s="29"/>
      <c r="L603" s="30"/>
      <c r="M603" s="30"/>
      <c r="O603" s="32"/>
      <c r="P603" s="32"/>
      <c r="S603" s="32"/>
    </row>
    <row r="604">
      <c r="D604" s="29"/>
      <c r="F604" s="31"/>
      <c r="G604" s="30"/>
      <c r="H604" s="30"/>
      <c r="J604" s="29"/>
      <c r="L604" s="30"/>
      <c r="M604" s="30"/>
      <c r="O604" s="32"/>
      <c r="P604" s="32"/>
      <c r="S604" s="32"/>
    </row>
    <row r="605">
      <c r="D605" s="29"/>
      <c r="F605" s="31"/>
      <c r="G605" s="30"/>
      <c r="H605" s="30"/>
      <c r="J605" s="29"/>
      <c r="L605" s="30"/>
      <c r="M605" s="30"/>
      <c r="O605" s="32"/>
      <c r="P605" s="32"/>
      <c r="S605" s="32"/>
    </row>
    <row r="606">
      <c r="D606" s="29"/>
      <c r="F606" s="31"/>
      <c r="G606" s="30"/>
      <c r="H606" s="30"/>
      <c r="J606" s="29"/>
      <c r="L606" s="30"/>
      <c r="M606" s="30"/>
      <c r="O606" s="32"/>
      <c r="P606" s="32"/>
      <c r="S606" s="32"/>
    </row>
    <row r="607">
      <c r="D607" s="29"/>
      <c r="F607" s="31"/>
      <c r="G607" s="30"/>
      <c r="H607" s="30"/>
      <c r="J607" s="29"/>
      <c r="L607" s="30"/>
      <c r="M607" s="30"/>
      <c r="O607" s="32"/>
      <c r="P607" s="32"/>
      <c r="S607" s="32"/>
    </row>
    <row r="608">
      <c r="D608" s="29"/>
      <c r="F608" s="31"/>
      <c r="G608" s="30"/>
      <c r="H608" s="30"/>
      <c r="J608" s="29"/>
      <c r="L608" s="30"/>
      <c r="M608" s="30"/>
      <c r="O608" s="32"/>
      <c r="P608" s="32"/>
      <c r="S608" s="32"/>
    </row>
    <row r="609">
      <c r="D609" s="29"/>
      <c r="F609" s="31"/>
      <c r="G609" s="30"/>
      <c r="H609" s="30"/>
      <c r="J609" s="29"/>
      <c r="L609" s="30"/>
      <c r="M609" s="30"/>
      <c r="O609" s="32"/>
      <c r="P609" s="32"/>
      <c r="S609" s="32"/>
    </row>
    <row r="610">
      <c r="D610" s="29"/>
      <c r="F610" s="31"/>
      <c r="G610" s="30"/>
      <c r="H610" s="30"/>
      <c r="J610" s="29"/>
      <c r="L610" s="30"/>
      <c r="M610" s="30"/>
      <c r="O610" s="32"/>
      <c r="P610" s="32"/>
      <c r="S610" s="32"/>
    </row>
    <row r="611">
      <c r="D611" s="29"/>
      <c r="F611" s="31"/>
      <c r="G611" s="30"/>
      <c r="H611" s="30"/>
      <c r="J611" s="29"/>
      <c r="L611" s="30"/>
      <c r="M611" s="30"/>
      <c r="O611" s="32"/>
      <c r="P611" s="32"/>
      <c r="S611" s="32"/>
    </row>
    <row r="612">
      <c r="D612" s="29"/>
      <c r="F612" s="31"/>
      <c r="G612" s="30"/>
      <c r="H612" s="30"/>
      <c r="J612" s="29"/>
      <c r="L612" s="30"/>
      <c r="M612" s="30"/>
      <c r="O612" s="32"/>
      <c r="P612" s="32"/>
      <c r="S612" s="32"/>
    </row>
    <row r="613">
      <c r="D613" s="29"/>
      <c r="F613" s="31"/>
      <c r="G613" s="30"/>
      <c r="H613" s="30"/>
      <c r="J613" s="29"/>
      <c r="L613" s="30"/>
      <c r="M613" s="30"/>
      <c r="O613" s="32"/>
      <c r="P613" s="32"/>
      <c r="S613" s="32"/>
    </row>
    <row r="614">
      <c r="D614" s="29"/>
      <c r="F614" s="31"/>
      <c r="G614" s="30"/>
      <c r="H614" s="30"/>
      <c r="J614" s="29"/>
      <c r="L614" s="30"/>
      <c r="M614" s="30"/>
      <c r="O614" s="32"/>
      <c r="P614" s="32"/>
      <c r="S614" s="32"/>
    </row>
    <row r="615">
      <c r="D615" s="29"/>
      <c r="F615" s="31"/>
      <c r="G615" s="30"/>
      <c r="H615" s="30"/>
      <c r="J615" s="29"/>
      <c r="L615" s="30"/>
      <c r="M615" s="30"/>
      <c r="O615" s="32"/>
      <c r="P615" s="32"/>
      <c r="S615" s="32"/>
    </row>
    <row r="616">
      <c r="D616" s="29"/>
      <c r="F616" s="31"/>
      <c r="G616" s="30"/>
      <c r="H616" s="30"/>
      <c r="J616" s="29"/>
      <c r="L616" s="30"/>
      <c r="M616" s="30"/>
      <c r="O616" s="32"/>
      <c r="P616" s="32"/>
      <c r="S616" s="32"/>
    </row>
    <row r="617">
      <c r="D617" s="29"/>
      <c r="F617" s="31"/>
      <c r="G617" s="30"/>
      <c r="H617" s="30"/>
      <c r="J617" s="29"/>
      <c r="L617" s="30"/>
      <c r="M617" s="30"/>
      <c r="O617" s="32"/>
      <c r="P617" s="32"/>
      <c r="S617" s="32"/>
    </row>
    <row r="618">
      <c r="D618" s="29"/>
      <c r="F618" s="31"/>
      <c r="G618" s="30"/>
      <c r="H618" s="30"/>
      <c r="J618" s="29"/>
      <c r="L618" s="30"/>
      <c r="M618" s="30"/>
      <c r="O618" s="32"/>
      <c r="P618" s="32"/>
      <c r="S618" s="32"/>
    </row>
    <row r="619">
      <c r="D619" s="29"/>
      <c r="F619" s="31"/>
      <c r="G619" s="30"/>
      <c r="H619" s="30"/>
      <c r="J619" s="29"/>
      <c r="L619" s="30"/>
      <c r="M619" s="30"/>
      <c r="O619" s="32"/>
      <c r="P619" s="32"/>
      <c r="S619" s="32"/>
    </row>
    <row r="620">
      <c r="D620" s="29"/>
      <c r="F620" s="31"/>
      <c r="G620" s="30"/>
      <c r="H620" s="30"/>
      <c r="J620" s="29"/>
      <c r="L620" s="30"/>
      <c r="M620" s="30"/>
      <c r="O620" s="32"/>
      <c r="P620" s="32"/>
      <c r="S620" s="32"/>
    </row>
    <row r="621">
      <c r="D621" s="29"/>
      <c r="F621" s="31"/>
      <c r="G621" s="30"/>
      <c r="H621" s="30"/>
      <c r="J621" s="29"/>
      <c r="L621" s="30"/>
      <c r="M621" s="30"/>
      <c r="O621" s="32"/>
      <c r="P621" s="32"/>
      <c r="S621" s="32"/>
    </row>
    <row r="622">
      <c r="D622" s="29"/>
      <c r="F622" s="31"/>
      <c r="G622" s="30"/>
      <c r="H622" s="30"/>
      <c r="J622" s="29"/>
      <c r="L622" s="30"/>
      <c r="M622" s="30"/>
      <c r="O622" s="32"/>
      <c r="P622" s="32"/>
      <c r="S622" s="32"/>
    </row>
    <row r="623">
      <c r="D623" s="29"/>
      <c r="F623" s="31"/>
      <c r="G623" s="30"/>
      <c r="H623" s="30"/>
      <c r="J623" s="29"/>
      <c r="L623" s="30"/>
      <c r="M623" s="30"/>
      <c r="O623" s="32"/>
      <c r="P623" s="32"/>
      <c r="S623" s="32"/>
    </row>
    <row r="624">
      <c r="D624" s="29"/>
      <c r="F624" s="31"/>
      <c r="G624" s="30"/>
      <c r="H624" s="30"/>
      <c r="J624" s="29"/>
      <c r="L624" s="30"/>
      <c r="M624" s="30"/>
      <c r="O624" s="32"/>
      <c r="P624" s="32"/>
      <c r="S624" s="32"/>
    </row>
    <row r="625">
      <c r="D625" s="29"/>
      <c r="F625" s="31"/>
      <c r="G625" s="30"/>
      <c r="H625" s="30"/>
      <c r="J625" s="29"/>
      <c r="L625" s="30"/>
      <c r="M625" s="30"/>
      <c r="O625" s="32"/>
      <c r="P625" s="32"/>
      <c r="S625" s="32"/>
    </row>
    <row r="626">
      <c r="D626" s="29"/>
      <c r="F626" s="31"/>
      <c r="G626" s="30"/>
      <c r="H626" s="30"/>
      <c r="J626" s="29"/>
      <c r="L626" s="30"/>
      <c r="M626" s="30"/>
      <c r="O626" s="32"/>
      <c r="P626" s="32"/>
      <c r="S626" s="32"/>
    </row>
    <row r="627">
      <c r="D627" s="29"/>
      <c r="F627" s="31"/>
      <c r="G627" s="30"/>
      <c r="H627" s="30"/>
      <c r="J627" s="29"/>
      <c r="L627" s="30"/>
      <c r="M627" s="30"/>
      <c r="O627" s="32"/>
      <c r="P627" s="32"/>
      <c r="S627" s="32"/>
    </row>
    <row r="628">
      <c r="D628" s="29"/>
      <c r="F628" s="31"/>
      <c r="G628" s="30"/>
      <c r="H628" s="30"/>
      <c r="J628" s="29"/>
      <c r="L628" s="30"/>
      <c r="M628" s="30"/>
      <c r="O628" s="32"/>
      <c r="P628" s="32"/>
      <c r="S628" s="32"/>
    </row>
    <row r="629">
      <c r="D629" s="29"/>
      <c r="F629" s="31"/>
      <c r="G629" s="30"/>
      <c r="H629" s="30"/>
      <c r="J629" s="29"/>
      <c r="L629" s="30"/>
      <c r="M629" s="30"/>
      <c r="O629" s="32"/>
      <c r="P629" s="32"/>
      <c r="S629" s="32"/>
    </row>
    <row r="630">
      <c r="D630" s="29"/>
      <c r="F630" s="31"/>
      <c r="G630" s="30"/>
      <c r="H630" s="30"/>
      <c r="J630" s="29"/>
      <c r="L630" s="30"/>
      <c r="M630" s="30"/>
      <c r="O630" s="32"/>
      <c r="P630" s="32"/>
      <c r="S630" s="32"/>
    </row>
    <row r="631">
      <c r="D631" s="29"/>
      <c r="F631" s="31"/>
      <c r="G631" s="30"/>
      <c r="H631" s="30"/>
      <c r="J631" s="29"/>
      <c r="L631" s="30"/>
      <c r="M631" s="30"/>
      <c r="O631" s="32"/>
      <c r="P631" s="32"/>
      <c r="S631" s="32"/>
    </row>
    <row r="632">
      <c r="D632" s="29"/>
      <c r="F632" s="31"/>
      <c r="G632" s="30"/>
      <c r="H632" s="30"/>
      <c r="J632" s="29"/>
      <c r="L632" s="30"/>
      <c r="M632" s="30"/>
      <c r="O632" s="32"/>
      <c r="P632" s="32"/>
      <c r="S632" s="32"/>
    </row>
    <row r="633">
      <c r="D633" s="29"/>
      <c r="F633" s="31"/>
      <c r="G633" s="30"/>
      <c r="H633" s="30"/>
      <c r="J633" s="29"/>
      <c r="L633" s="30"/>
      <c r="M633" s="30"/>
      <c r="O633" s="32"/>
      <c r="P633" s="32"/>
      <c r="S633" s="32"/>
    </row>
    <row r="634">
      <c r="D634" s="29"/>
      <c r="F634" s="31"/>
      <c r="G634" s="30"/>
      <c r="H634" s="30"/>
      <c r="J634" s="29"/>
      <c r="L634" s="30"/>
      <c r="M634" s="30"/>
      <c r="O634" s="32"/>
      <c r="P634" s="32"/>
      <c r="S634" s="32"/>
    </row>
    <row r="635">
      <c r="D635" s="29"/>
      <c r="F635" s="31"/>
      <c r="G635" s="30"/>
      <c r="H635" s="30"/>
      <c r="J635" s="29"/>
      <c r="L635" s="30"/>
      <c r="M635" s="30"/>
      <c r="O635" s="32"/>
      <c r="P635" s="32"/>
      <c r="S635" s="32"/>
    </row>
    <row r="636">
      <c r="D636" s="29"/>
      <c r="F636" s="31"/>
      <c r="G636" s="30"/>
      <c r="H636" s="30"/>
      <c r="J636" s="29"/>
      <c r="L636" s="30"/>
      <c r="M636" s="30"/>
      <c r="O636" s="32"/>
      <c r="P636" s="32"/>
      <c r="S636" s="32"/>
    </row>
    <row r="637">
      <c r="D637" s="29"/>
      <c r="F637" s="31"/>
      <c r="G637" s="30"/>
      <c r="H637" s="30"/>
      <c r="J637" s="29"/>
      <c r="L637" s="30"/>
      <c r="M637" s="30"/>
      <c r="O637" s="32"/>
      <c r="P637" s="32"/>
      <c r="S637" s="32"/>
    </row>
    <row r="638">
      <c r="D638" s="29"/>
      <c r="F638" s="31"/>
      <c r="G638" s="30"/>
      <c r="H638" s="30"/>
      <c r="J638" s="29"/>
      <c r="L638" s="30"/>
      <c r="M638" s="30"/>
      <c r="O638" s="32"/>
      <c r="P638" s="32"/>
      <c r="S638" s="32"/>
    </row>
    <row r="639">
      <c r="D639" s="29"/>
      <c r="F639" s="31"/>
      <c r="G639" s="30"/>
      <c r="H639" s="30"/>
      <c r="J639" s="29"/>
      <c r="L639" s="30"/>
      <c r="M639" s="30"/>
      <c r="O639" s="32"/>
      <c r="P639" s="32"/>
      <c r="S639" s="32"/>
    </row>
    <row r="640">
      <c r="D640" s="29"/>
      <c r="F640" s="31"/>
      <c r="G640" s="30"/>
      <c r="H640" s="30"/>
      <c r="J640" s="29"/>
      <c r="L640" s="30"/>
      <c r="M640" s="30"/>
      <c r="O640" s="32"/>
      <c r="P640" s="32"/>
      <c r="S640" s="32"/>
    </row>
    <row r="641">
      <c r="D641" s="29"/>
      <c r="F641" s="31"/>
      <c r="G641" s="30"/>
      <c r="H641" s="30"/>
      <c r="J641" s="29"/>
      <c r="L641" s="30"/>
      <c r="M641" s="30"/>
      <c r="O641" s="32"/>
      <c r="P641" s="32"/>
      <c r="S641" s="32"/>
    </row>
    <row r="642">
      <c r="D642" s="29"/>
      <c r="F642" s="31"/>
      <c r="G642" s="30"/>
      <c r="H642" s="30"/>
      <c r="J642" s="29"/>
      <c r="L642" s="30"/>
      <c r="M642" s="30"/>
      <c r="O642" s="32"/>
      <c r="P642" s="32"/>
      <c r="S642" s="32"/>
    </row>
    <row r="643">
      <c r="D643" s="29"/>
      <c r="F643" s="31"/>
      <c r="G643" s="30"/>
      <c r="H643" s="30"/>
      <c r="J643" s="29"/>
      <c r="L643" s="30"/>
      <c r="M643" s="30"/>
      <c r="O643" s="32"/>
      <c r="P643" s="32"/>
      <c r="S643" s="32"/>
    </row>
    <row r="644">
      <c r="D644" s="29"/>
      <c r="F644" s="31"/>
      <c r="G644" s="30"/>
      <c r="H644" s="30"/>
      <c r="J644" s="29"/>
      <c r="L644" s="30"/>
      <c r="M644" s="30"/>
      <c r="O644" s="32"/>
      <c r="P644" s="32"/>
      <c r="S644" s="32"/>
    </row>
    <row r="645">
      <c r="D645" s="29"/>
      <c r="F645" s="31"/>
      <c r="G645" s="30"/>
      <c r="H645" s="30"/>
      <c r="J645" s="29"/>
      <c r="L645" s="30"/>
      <c r="M645" s="30"/>
      <c r="O645" s="32"/>
      <c r="P645" s="32"/>
      <c r="S645" s="32"/>
    </row>
    <row r="646">
      <c r="D646" s="29"/>
      <c r="F646" s="31"/>
      <c r="G646" s="30"/>
      <c r="H646" s="30"/>
      <c r="J646" s="29"/>
      <c r="L646" s="30"/>
      <c r="M646" s="30"/>
      <c r="O646" s="32"/>
      <c r="P646" s="32"/>
      <c r="S646" s="32"/>
    </row>
    <row r="647">
      <c r="D647" s="29"/>
      <c r="F647" s="31"/>
      <c r="G647" s="30"/>
      <c r="H647" s="30"/>
      <c r="J647" s="29"/>
      <c r="L647" s="30"/>
      <c r="M647" s="30"/>
      <c r="O647" s="32"/>
      <c r="P647" s="32"/>
      <c r="S647" s="32"/>
    </row>
    <row r="648">
      <c r="D648" s="29"/>
      <c r="F648" s="31"/>
      <c r="G648" s="30"/>
      <c r="H648" s="30"/>
      <c r="J648" s="29"/>
      <c r="L648" s="30"/>
      <c r="M648" s="30"/>
      <c r="O648" s="32"/>
      <c r="P648" s="32"/>
      <c r="S648" s="32"/>
    </row>
    <row r="649">
      <c r="D649" s="29"/>
      <c r="F649" s="31"/>
      <c r="G649" s="30"/>
      <c r="H649" s="30"/>
      <c r="J649" s="29"/>
      <c r="L649" s="30"/>
      <c r="M649" s="30"/>
      <c r="O649" s="32"/>
      <c r="P649" s="32"/>
      <c r="S649" s="32"/>
    </row>
    <row r="650">
      <c r="D650" s="29"/>
      <c r="F650" s="31"/>
      <c r="G650" s="30"/>
      <c r="H650" s="30"/>
      <c r="J650" s="29"/>
      <c r="L650" s="30"/>
      <c r="M650" s="30"/>
      <c r="O650" s="32"/>
      <c r="P650" s="32"/>
      <c r="S650" s="32"/>
    </row>
    <row r="651">
      <c r="D651" s="29"/>
      <c r="F651" s="31"/>
      <c r="G651" s="30"/>
      <c r="H651" s="30"/>
      <c r="J651" s="29"/>
      <c r="L651" s="30"/>
      <c r="M651" s="30"/>
      <c r="O651" s="32"/>
      <c r="P651" s="32"/>
      <c r="S651" s="32"/>
    </row>
    <row r="652">
      <c r="D652" s="29"/>
      <c r="F652" s="31"/>
      <c r="G652" s="30"/>
      <c r="H652" s="30"/>
      <c r="J652" s="29"/>
      <c r="L652" s="30"/>
      <c r="M652" s="30"/>
      <c r="O652" s="32"/>
      <c r="P652" s="32"/>
      <c r="S652" s="32"/>
    </row>
    <row r="653">
      <c r="D653" s="29"/>
      <c r="F653" s="31"/>
      <c r="G653" s="30"/>
      <c r="H653" s="30"/>
      <c r="J653" s="29"/>
      <c r="L653" s="30"/>
      <c r="M653" s="30"/>
      <c r="O653" s="32"/>
      <c r="P653" s="32"/>
      <c r="S653" s="32"/>
    </row>
    <row r="654">
      <c r="D654" s="29"/>
      <c r="F654" s="31"/>
      <c r="G654" s="30"/>
      <c r="H654" s="30"/>
      <c r="J654" s="29"/>
      <c r="L654" s="30"/>
      <c r="M654" s="30"/>
      <c r="O654" s="32"/>
      <c r="P654" s="32"/>
      <c r="S654" s="32"/>
    </row>
    <row r="655">
      <c r="D655" s="29"/>
      <c r="F655" s="31"/>
      <c r="G655" s="30"/>
      <c r="H655" s="30"/>
      <c r="J655" s="29"/>
      <c r="L655" s="30"/>
      <c r="M655" s="30"/>
      <c r="O655" s="32"/>
      <c r="P655" s="32"/>
      <c r="S655" s="32"/>
    </row>
    <row r="656">
      <c r="D656" s="29"/>
      <c r="F656" s="31"/>
      <c r="G656" s="30"/>
      <c r="H656" s="30"/>
      <c r="J656" s="29"/>
      <c r="L656" s="30"/>
      <c r="M656" s="30"/>
      <c r="O656" s="32"/>
      <c r="P656" s="32"/>
      <c r="S656" s="32"/>
    </row>
    <row r="657">
      <c r="D657" s="29"/>
      <c r="F657" s="31"/>
      <c r="G657" s="30"/>
      <c r="H657" s="30"/>
      <c r="J657" s="29"/>
      <c r="L657" s="30"/>
      <c r="M657" s="30"/>
      <c r="O657" s="32"/>
      <c r="P657" s="32"/>
      <c r="S657" s="32"/>
    </row>
    <row r="658">
      <c r="D658" s="29"/>
      <c r="F658" s="31"/>
      <c r="G658" s="30"/>
      <c r="H658" s="30"/>
      <c r="J658" s="29"/>
      <c r="L658" s="30"/>
      <c r="M658" s="30"/>
      <c r="O658" s="32"/>
      <c r="P658" s="32"/>
      <c r="S658" s="32"/>
    </row>
    <row r="659">
      <c r="D659" s="29"/>
      <c r="F659" s="31"/>
      <c r="G659" s="30"/>
      <c r="H659" s="30"/>
      <c r="J659" s="29"/>
      <c r="L659" s="30"/>
      <c r="M659" s="30"/>
      <c r="O659" s="32"/>
      <c r="P659" s="32"/>
      <c r="S659" s="32"/>
    </row>
    <row r="660">
      <c r="D660" s="29"/>
      <c r="F660" s="31"/>
      <c r="G660" s="30"/>
      <c r="H660" s="30"/>
      <c r="J660" s="29"/>
      <c r="L660" s="30"/>
      <c r="M660" s="30"/>
      <c r="O660" s="32"/>
      <c r="P660" s="32"/>
      <c r="S660" s="32"/>
    </row>
    <row r="661">
      <c r="D661" s="29"/>
      <c r="F661" s="31"/>
      <c r="G661" s="30"/>
      <c r="H661" s="30"/>
      <c r="J661" s="29"/>
      <c r="L661" s="30"/>
      <c r="M661" s="30"/>
      <c r="O661" s="32"/>
      <c r="P661" s="32"/>
      <c r="S661" s="32"/>
    </row>
    <row r="662">
      <c r="D662" s="29"/>
      <c r="F662" s="31"/>
      <c r="G662" s="30"/>
      <c r="H662" s="30"/>
      <c r="J662" s="29"/>
      <c r="L662" s="30"/>
      <c r="M662" s="30"/>
      <c r="O662" s="32"/>
      <c r="P662" s="32"/>
      <c r="S662" s="32"/>
    </row>
    <row r="663">
      <c r="D663" s="29"/>
      <c r="F663" s="31"/>
      <c r="G663" s="30"/>
      <c r="H663" s="30"/>
      <c r="J663" s="29"/>
      <c r="L663" s="30"/>
      <c r="M663" s="30"/>
      <c r="O663" s="32"/>
      <c r="P663" s="32"/>
      <c r="S663" s="32"/>
    </row>
    <row r="664">
      <c r="D664" s="29"/>
      <c r="F664" s="31"/>
      <c r="G664" s="30"/>
      <c r="H664" s="30"/>
      <c r="J664" s="29"/>
      <c r="L664" s="30"/>
      <c r="M664" s="30"/>
      <c r="O664" s="32"/>
      <c r="P664" s="32"/>
      <c r="S664" s="32"/>
    </row>
    <row r="665">
      <c r="D665" s="29"/>
      <c r="F665" s="31"/>
      <c r="G665" s="30"/>
      <c r="H665" s="30"/>
      <c r="J665" s="29"/>
      <c r="L665" s="30"/>
      <c r="M665" s="30"/>
      <c r="O665" s="32"/>
      <c r="P665" s="32"/>
      <c r="S665" s="32"/>
    </row>
    <row r="666">
      <c r="D666" s="29"/>
      <c r="F666" s="31"/>
      <c r="G666" s="30"/>
      <c r="H666" s="30"/>
      <c r="J666" s="29"/>
      <c r="L666" s="30"/>
      <c r="M666" s="30"/>
      <c r="O666" s="32"/>
      <c r="P666" s="32"/>
      <c r="S666" s="32"/>
    </row>
    <row r="667">
      <c r="D667" s="29"/>
      <c r="F667" s="31"/>
      <c r="G667" s="30"/>
      <c r="H667" s="30"/>
      <c r="J667" s="29"/>
      <c r="L667" s="30"/>
      <c r="M667" s="30"/>
      <c r="O667" s="32"/>
      <c r="P667" s="32"/>
      <c r="S667" s="32"/>
    </row>
    <row r="668">
      <c r="D668" s="29"/>
      <c r="F668" s="31"/>
      <c r="G668" s="30"/>
      <c r="H668" s="30"/>
      <c r="J668" s="29"/>
      <c r="L668" s="30"/>
      <c r="M668" s="30"/>
      <c r="O668" s="32"/>
      <c r="P668" s="32"/>
      <c r="S668" s="32"/>
    </row>
    <row r="669">
      <c r="D669" s="29"/>
      <c r="F669" s="31"/>
      <c r="G669" s="30"/>
      <c r="H669" s="30"/>
      <c r="J669" s="29"/>
      <c r="L669" s="30"/>
      <c r="M669" s="30"/>
      <c r="O669" s="32"/>
      <c r="P669" s="32"/>
      <c r="S669" s="32"/>
    </row>
    <row r="670">
      <c r="D670" s="29"/>
      <c r="F670" s="31"/>
      <c r="G670" s="30"/>
      <c r="H670" s="30"/>
      <c r="J670" s="29"/>
      <c r="L670" s="30"/>
      <c r="M670" s="30"/>
      <c r="O670" s="32"/>
      <c r="P670" s="32"/>
      <c r="S670" s="32"/>
    </row>
    <row r="671">
      <c r="D671" s="29"/>
      <c r="F671" s="31"/>
      <c r="G671" s="30"/>
      <c r="H671" s="30"/>
      <c r="J671" s="29"/>
      <c r="L671" s="30"/>
      <c r="M671" s="30"/>
      <c r="O671" s="32"/>
      <c r="P671" s="32"/>
      <c r="S671" s="32"/>
    </row>
    <row r="672">
      <c r="D672" s="29"/>
      <c r="F672" s="31"/>
      <c r="G672" s="30"/>
      <c r="H672" s="30"/>
      <c r="J672" s="29"/>
      <c r="L672" s="30"/>
      <c r="M672" s="30"/>
      <c r="O672" s="32"/>
      <c r="P672" s="32"/>
      <c r="S672" s="32"/>
    </row>
    <row r="673">
      <c r="D673" s="29"/>
      <c r="F673" s="31"/>
      <c r="G673" s="30"/>
      <c r="H673" s="30"/>
      <c r="J673" s="29"/>
      <c r="L673" s="30"/>
      <c r="M673" s="30"/>
      <c r="O673" s="32"/>
      <c r="P673" s="32"/>
      <c r="S673" s="32"/>
    </row>
    <row r="674">
      <c r="D674" s="29"/>
      <c r="F674" s="31"/>
      <c r="G674" s="30"/>
      <c r="H674" s="30"/>
      <c r="J674" s="29"/>
      <c r="L674" s="30"/>
      <c r="M674" s="30"/>
      <c r="O674" s="32"/>
      <c r="P674" s="32"/>
      <c r="S674" s="32"/>
    </row>
    <row r="675">
      <c r="D675" s="29"/>
      <c r="F675" s="31"/>
      <c r="G675" s="30"/>
      <c r="H675" s="30"/>
      <c r="J675" s="29"/>
      <c r="L675" s="30"/>
      <c r="M675" s="30"/>
      <c r="O675" s="32"/>
      <c r="P675" s="32"/>
      <c r="S675" s="32"/>
    </row>
    <row r="676">
      <c r="D676" s="29"/>
      <c r="F676" s="31"/>
      <c r="G676" s="30"/>
      <c r="H676" s="30"/>
      <c r="J676" s="29"/>
      <c r="L676" s="30"/>
      <c r="M676" s="30"/>
      <c r="O676" s="32"/>
      <c r="P676" s="32"/>
      <c r="S676" s="32"/>
    </row>
    <row r="677">
      <c r="D677" s="29"/>
      <c r="F677" s="31"/>
      <c r="G677" s="30"/>
      <c r="H677" s="30"/>
      <c r="J677" s="29"/>
      <c r="L677" s="30"/>
      <c r="M677" s="30"/>
      <c r="O677" s="32"/>
      <c r="P677" s="32"/>
      <c r="S677" s="32"/>
    </row>
    <row r="678">
      <c r="D678" s="29"/>
      <c r="F678" s="31"/>
      <c r="G678" s="30"/>
      <c r="H678" s="30"/>
      <c r="J678" s="29"/>
      <c r="L678" s="30"/>
      <c r="M678" s="30"/>
      <c r="O678" s="32"/>
      <c r="P678" s="32"/>
      <c r="S678" s="32"/>
    </row>
    <row r="679">
      <c r="D679" s="29"/>
      <c r="F679" s="31"/>
      <c r="G679" s="30"/>
      <c r="H679" s="30"/>
      <c r="J679" s="29"/>
      <c r="L679" s="30"/>
      <c r="M679" s="30"/>
      <c r="O679" s="32"/>
      <c r="P679" s="32"/>
      <c r="S679" s="32"/>
    </row>
    <row r="680">
      <c r="D680" s="29"/>
      <c r="F680" s="31"/>
      <c r="G680" s="30"/>
      <c r="H680" s="30"/>
      <c r="J680" s="29"/>
      <c r="L680" s="30"/>
      <c r="M680" s="30"/>
      <c r="O680" s="32"/>
      <c r="P680" s="32"/>
      <c r="S680" s="32"/>
    </row>
    <row r="681">
      <c r="D681" s="29"/>
      <c r="F681" s="31"/>
      <c r="G681" s="30"/>
      <c r="H681" s="30"/>
      <c r="J681" s="29"/>
      <c r="L681" s="30"/>
      <c r="M681" s="30"/>
      <c r="O681" s="32"/>
      <c r="P681" s="32"/>
      <c r="S681" s="32"/>
    </row>
    <row r="682">
      <c r="D682" s="29"/>
      <c r="F682" s="31"/>
      <c r="G682" s="30"/>
      <c r="H682" s="30"/>
      <c r="J682" s="29"/>
      <c r="L682" s="30"/>
      <c r="M682" s="30"/>
      <c r="O682" s="32"/>
      <c r="P682" s="32"/>
      <c r="S682" s="32"/>
    </row>
    <row r="683">
      <c r="D683" s="29"/>
      <c r="F683" s="31"/>
      <c r="G683" s="30"/>
      <c r="H683" s="30"/>
      <c r="J683" s="29"/>
      <c r="L683" s="30"/>
      <c r="M683" s="30"/>
      <c r="O683" s="32"/>
      <c r="P683" s="32"/>
      <c r="S683" s="32"/>
    </row>
    <row r="684">
      <c r="D684" s="29"/>
      <c r="F684" s="31"/>
      <c r="G684" s="30"/>
      <c r="H684" s="30"/>
      <c r="J684" s="29"/>
      <c r="L684" s="30"/>
      <c r="M684" s="30"/>
      <c r="O684" s="32"/>
      <c r="P684" s="32"/>
      <c r="S684" s="32"/>
    </row>
    <row r="685">
      <c r="D685" s="29"/>
      <c r="F685" s="31"/>
      <c r="G685" s="30"/>
      <c r="H685" s="30"/>
      <c r="J685" s="29"/>
      <c r="L685" s="30"/>
      <c r="M685" s="30"/>
      <c r="O685" s="32"/>
      <c r="P685" s="32"/>
      <c r="S685" s="32"/>
    </row>
    <row r="686">
      <c r="D686" s="29"/>
      <c r="F686" s="31"/>
      <c r="G686" s="30"/>
      <c r="H686" s="30"/>
      <c r="J686" s="29"/>
      <c r="L686" s="30"/>
      <c r="M686" s="30"/>
      <c r="O686" s="32"/>
      <c r="P686" s="32"/>
      <c r="S686" s="32"/>
    </row>
    <row r="687">
      <c r="D687" s="29"/>
      <c r="F687" s="31"/>
      <c r="G687" s="30"/>
      <c r="H687" s="30"/>
      <c r="J687" s="29"/>
      <c r="L687" s="30"/>
      <c r="M687" s="30"/>
      <c r="O687" s="32"/>
      <c r="P687" s="32"/>
      <c r="S687" s="32"/>
    </row>
    <row r="688">
      <c r="D688" s="29"/>
      <c r="F688" s="31"/>
      <c r="G688" s="30"/>
      <c r="H688" s="30"/>
      <c r="J688" s="29"/>
      <c r="L688" s="30"/>
      <c r="M688" s="30"/>
      <c r="O688" s="32"/>
      <c r="P688" s="32"/>
      <c r="S688" s="32"/>
    </row>
    <row r="689">
      <c r="D689" s="29"/>
      <c r="F689" s="31"/>
      <c r="G689" s="30"/>
      <c r="H689" s="30"/>
      <c r="J689" s="29"/>
      <c r="L689" s="30"/>
      <c r="M689" s="30"/>
      <c r="O689" s="32"/>
      <c r="P689" s="32"/>
      <c r="S689" s="32"/>
    </row>
    <row r="690">
      <c r="D690" s="29"/>
      <c r="F690" s="31"/>
      <c r="G690" s="30"/>
      <c r="H690" s="30"/>
      <c r="J690" s="29"/>
      <c r="L690" s="30"/>
      <c r="M690" s="30"/>
      <c r="O690" s="32"/>
      <c r="P690" s="32"/>
      <c r="S690" s="32"/>
    </row>
    <row r="691">
      <c r="D691" s="29"/>
      <c r="F691" s="31"/>
      <c r="G691" s="30"/>
      <c r="H691" s="30"/>
      <c r="J691" s="29"/>
      <c r="L691" s="30"/>
      <c r="M691" s="30"/>
      <c r="O691" s="32"/>
      <c r="P691" s="32"/>
      <c r="S691" s="32"/>
    </row>
    <row r="692">
      <c r="D692" s="29"/>
      <c r="F692" s="31"/>
      <c r="G692" s="30"/>
      <c r="H692" s="30"/>
      <c r="J692" s="29"/>
      <c r="L692" s="30"/>
      <c r="M692" s="30"/>
      <c r="O692" s="32"/>
      <c r="P692" s="32"/>
      <c r="S692" s="32"/>
    </row>
    <row r="693">
      <c r="D693" s="29"/>
      <c r="F693" s="31"/>
      <c r="G693" s="30"/>
      <c r="H693" s="30"/>
      <c r="J693" s="29"/>
      <c r="L693" s="30"/>
      <c r="M693" s="30"/>
      <c r="O693" s="32"/>
      <c r="P693" s="32"/>
      <c r="S693" s="32"/>
    </row>
    <row r="694">
      <c r="D694" s="29"/>
      <c r="F694" s="31"/>
      <c r="G694" s="30"/>
      <c r="H694" s="30"/>
      <c r="J694" s="29"/>
      <c r="L694" s="30"/>
      <c r="M694" s="30"/>
      <c r="O694" s="32"/>
      <c r="P694" s="32"/>
      <c r="S694" s="32"/>
    </row>
    <row r="695">
      <c r="D695" s="29"/>
      <c r="F695" s="31"/>
      <c r="G695" s="30"/>
      <c r="H695" s="30"/>
      <c r="J695" s="29"/>
      <c r="L695" s="30"/>
      <c r="M695" s="30"/>
      <c r="O695" s="32"/>
      <c r="P695" s="32"/>
      <c r="S695" s="32"/>
    </row>
    <row r="696">
      <c r="D696" s="29"/>
      <c r="F696" s="31"/>
      <c r="G696" s="30"/>
      <c r="H696" s="30"/>
      <c r="J696" s="29"/>
      <c r="L696" s="30"/>
      <c r="M696" s="30"/>
      <c r="O696" s="32"/>
      <c r="P696" s="32"/>
      <c r="S696" s="32"/>
    </row>
    <row r="697">
      <c r="D697" s="29"/>
      <c r="F697" s="31"/>
      <c r="G697" s="30"/>
      <c r="H697" s="30"/>
      <c r="J697" s="29"/>
      <c r="L697" s="30"/>
      <c r="M697" s="30"/>
      <c r="O697" s="32"/>
      <c r="P697" s="32"/>
      <c r="S697" s="32"/>
    </row>
    <row r="698">
      <c r="D698" s="29"/>
      <c r="F698" s="31"/>
      <c r="G698" s="30"/>
      <c r="H698" s="30"/>
      <c r="J698" s="29"/>
      <c r="L698" s="30"/>
      <c r="M698" s="30"/>
      <c r="O698" s="32"/>
      <c r="P698" s="32"/>
      <c r="S698" s="32"/>
    </row>
    <row r="699">
      <c r="D699" s="29"/>
      <c r="F699" s="31"/>
      <c r="G699" s="30"/>
      <c r="H699" s="30"/>
      <c r="J699" s="29"/>
      <c r="L699" s="30"/>
      <c r="M699" s="30"/>
      <c r="O699" s="32"/>
      <c r="P699" s="32"/>
      <c r="S699" s="32"/>
    </row>
    <row r="700">
      <c r="D700" s="29"/>
      <c r="F700" s="31"/>
      <c r="G700" s="30"/>
      <c r="H700" s="30"/>
      <c r="J700" s="29"/>
      <c r="L700" s="30"/>
      <c r="M700" s="30"/>
      <c r="O700" s="32"/>
      <c r="P700" s="32"/>
      <c r="S700" s="32"/>
    </row>
    <row r="701">
      <c r="D701" s="29"/>
      <c r="F701" s="31"/>
      <c r="G701" s="30"/>
      <c r="H701" s="30"/>
      <c r="J701" s="29"/>
      <c r="L701" s="30"/>
      <c r="M701" s="30"/>
      <c r="O701" s="32"/>
      <c r="P701" s="32"/>
      <c r="S701" s="32"/>
    </row>
    <row r="702">
      <c r="D702" s="29"/>
      <c r="F702" s="31"/>
      <c r="G702" s="30"/>
      <c r="H702" s="30"/>
      <c r="J702" s="29"/>
      <c r="L702" s="30"/>
      <c r="M702" s="30"/>
      <c r="O702" s="32"/>
      <c r="P702" s="32"/>
      <c r="S702" s="32"/>
    </row>
    <row r="703">
      <c r="D703" s="29"/>
      <c r="F703" s="31"/>
      <c r="G703" s="30"/>
      <c r="H703" s="30"/>
      <c r="J703" s="29"/>
      <c r="L703" s="30"/>
      <c r="M703" s="30"/>
      <c r="O703" s="32"/>
      <c r="P703" s="32"/>
      <c r="S703" s="32"/>
    </row>
    <row r="704">
      <c r="D704" s="29"/>
      <c r="F704" s="31"/>
      <c r="G704" s="30"/>
      <c r="H704" s="30"/>
      <c r="J704" s="29"/>
      <c r="L704" s="30"/>
      <c r="M704" s="30"/>
      <c r="O704" s="32"/>
      <c r="P704" s="32"/>
      <c r="S704" s="32"/>
    </row>
    <row r="705">
      <c r="D705" s="29"/>
      <c r="F705" s="31"/>
      <c r="G705" s="30"/>
      <c r="H705" s="30"/>
      <c r="J705" s="29"/>
      <c r="L705" s="30"/>
      <c r="M705" s="30"/>
      <c r="O705" s="32"/>
      <c r="P705" s="32"/>
      <c r="S705" s="32"/>
    </row>
    <row r="706">
      <c r="D706" s="29"/>
      <c r="F706" s="31"/>
      <c r="G706" s="30"/>
      <c r="H706" s="30"/>
      <c r="J706" s="29"/>
      <c r="L706" s="30"/>
      <c r="M706" s="30"/>
      <c r="O706" s="32"/>
      <c r="P706" s="32"/>
      <c r="S706" s="32"/>
    </row>
    <row r="707">
      <c r="D707" s="29"/>
      <c r="F707" s="31"/>
      <c r="G707" s="30"/>
      <c r="H707" s="30"/>
      <c r="J707" s="29"/>
      <c r="L707" s="30"/>
      <c r="M707" s="30"/>
      <c r="O707" s="32"/>
      <c r="P707" s="32"/>
      <c r="S707" s="32"/>
    </row>
    <row r="708">
      <c r="D708" s="29"/>
      <c r="F708" s="31"/>
      <c r="G708" s="30"/>
      <c r="H708" s="30"/>
      <c r="J708" s="29"/>
      <c r="L708" s="30"/>
      <c r="M708" s="30"/>
      <c r="O708" s="32"/>
      <c r="P708" s="32"/>
      <c r="S708" s="32"/>
    </row>
    <row r="709">
      <c r="D709" s="29"/>
      <c r="F709" s="31"/>
      <c r="G709" s="30"/>
      <c r="H709" s="30"/>
      <c r="J709" s="29"/>
      <c r="L709" s="30"/>
      <c r="M709" s="30"/>
      <c r="O709" s="32"/>
      <c r="P709" s="32"/>
      <c r="S709" s="32"/>
    </row>
    <row r="710">
      <c r="D710" s="29"/>
      <c r="F710" s="31"/>
      <c r="G710" s="30"/>
      <c r="H710" s="30"/>
      <c r="J710" s="29"/>
      <c r="L710" s="30"/>
      <c r="M710" s="30"/>
      <c r="O710" s="32"/>
      <c r="P710" s="32"/>
      <c r="S710" s="32"/>
    </row>
    <row r="711">
      <c r="D711" s="29"/>
      <c r="F711" s="31"/>
      <c r="G711" s="30"/>
      <c r="H711" s="30"/>
      <c r="J711" s="29"/>
      <c r="L711" s="30"/>
      <c r="M711" s="30"/>
      <c r="O711" s="32"/>
      <c r="P711" s="32"/>
      <c r="S711" s="32"/>
    </row>
    <row r="712">
      <c r="D712" s="29"/>
      <c r="F712" s="31"/>
      <c r="G712" s="30"/>
      <c r="H712" s="30"/>
      <c r="J712" s="29"/>
      <c r="L712" s="30"/>
      <c r="M712" s="30"/>
      <c r="O712" s="32"/>
      <c r="P712" s="32"/>
      <c r="S712" s="32"/>
    </row>
    <row r="713">
      <c r="D713" s="29"/>
      <c r="F713" s="31"/>
      <c r="G713" s="30"/>
      <c r="H713" s="30"/>
      <c r="J713" s="29"/>
      <c r="L713" s="30"/>
      <c r="M713" s="30"/>
      <c r="O713" s="32"/>
      <c r="P713" s="32"/>
      <c r="S713" s="32"/>
    </row>
    <row r="714">
      <c r="D714" s="29"/>
      <c r="F714" s="31"/>
      <c r="G714" s="30"/>
      <c r="H714" s="30"/>
      <c r="J714" s="29"/>
      <c r="L714" s="30"/>
      <c r="M714" s="30"/>
      <c r="O714" s="32"/>
      <c r="P714" s="32"/>
      <c r="S714" s="32"/>
    </row>
    <row r="715">
      <c r="D715" s="29"/>
      <c r="F715" s="31"/>
      <c r="G715" s="30"/>
      <c r="H715" s="30"/>
      <c r="J715" s="29"/>
      <c r="L715" s="30"/>
      <c r="M715" s="30"/>
      <c r="O715" s="32"/>
      <c r="P715" s="32"/>
      <c r="S715" s="32"/>
    </row>
    <row r="716">
      <c r="D716" s="29"/>
      <c r="F716" s="31"/>
      <c r="G716" s="30"/>
      <c r="H716" s="30"/>
      <c r="J716" s="29"/>
      <c r="L716" s="30"/>
      <c r="M716" s="30"/>
      <c r="O716" s="32"/>
      <c r="P716" s="32"/>
      <c r="S716" s="32"/>
    </row>
    <row r="717">
      <c r="D717" s="29"/>
      <c r="F717" s="31"/>
      <c r="G717" s="30"/>
      <c r="H717" s="30"/>
      <c r="J717" s="29"/>
      <c r="L717" s="30"/>
      <c r="M717" s="30"/>
      <c r="O717" s="32"/>
      <c r="P717" s="32"/>
      <c r="S717" s="32"/>
    </row>
    <row r="718">
      <c r="D718" s="29"/>
      <c r="F718" s="31"/>
      <c r="G718" s="30"/>
      <c r="H718" s="30"/>
      <c r="J718" s="29"/>
      <c r="L718" s="30"/>
      <c r="M718" s="30"/>
      <c r="O718" s="32"/>
      <c r="P718" s="32"/>
      <c r="S718" s="32"/>
    </row>
    <row r="719">
      <c r="D719" s="29"/>
      <c r="F719" s="31"/>
      <c r="G719" s="30"/>
      <c r="H719" s="30"/>
      <c r="J719" s="29"/>
      <c r="L719" s="30"/>
      <c r="M719" s="30"/>
      <c r="O719" s="32"/>
      <c r="P719" s="32"/>
      <c r="S719" s="32"/>
    </row>
    <row r="720">
      <c r="D720" s="29"/>
      <c r="F720" s="31"/>
      <c r="G720" s="30"/>
      <c r="H720" s="30"/>
      <c r="J720" s="29"/>
      <c r="L720" s="30"/>
      <c r="M720" s="30"/>
      <c r="O720" s="32"/>
      <c r="P720" s="32"/>
      <c r="S720" s="32"/>
    </row>
    <row r="721">
      <c r="D721" s="29"/>
      <c r="F721" s="31"/>
      <c r="G721" s="30"/>
      <c r="H721" s="30"/>
      <c r="J721" s="29"/>
      <c r="L721" s="30"/>
      <c r="M721" s="30"/>
      <c r="O721" s="32"/>
      <c r="P721" s="32"/>
      <c r="S721" s="32"/>
    </row>
    <row r="722">
      <c r="D722" s="29"/>
      <c r="F722" s="31"/>
      <c r="G722" s="30"/>
      <c r="H722" s="30"/>
      <c r="J722" s="29"/>
      <c r="L722" s="30"/>
      <c r="M722" s="30"/>
      <c r="O722" s="32"/>
      <c r="P722" s="32"/>
      <c r="S722" s="32"/>
    </row>
    <row r="723">
      <c r="D723" s="29"/>
      <c r="F723" s="31"/>
      <c r="G723" s="30"/>
      <c r="H723" s="30"/>
      <c r="J723" s="29"/>
      <c r="L723" s="30"/>
      <c r="M723" s="30"/>
      <c r="O723" s="32"/>
      <c r="P723" s="32"/>
      <c r="S723" s="32"/>
    </row>
    <row r="724">
      <c r="D724" s="29"/>
      <c r="F724" s="31"/>
      <c r="G724" s="30"/>
      <c r="H724" s="30"/>
      <c r="J724" s="29"/>
      <c r="L724" s="30"/>
      <c r="M724" s="30"/>
      <c r="O724" s="32"/>
      <c r="P724" s="32"/>
      <c r="S724" s="32"/>
    </row>
    <row r="725">
      <c r="D725" s="29"/>
      <c r="F725" s="31"/>
      <c r="G725" s="30"/>
      <c r="H725" s="30"/>
      <c r="J725" s="29"/>
      <c r="L725" s="30"/>
      <c r="M725" s="30"/>
      <c r="O725" s="32"/>
      <c r="P725" s="32"/>
      <c r="S725" s="32"/>
    </row>
    <row r="726">
      <c r="D726" s="29"/>
      <c r="F726" s="31"/>
      <c r="G726" s="30"/>
      <c r="H726" s="30"/>
      <c r="J726" s="29"/>
      <c r="L726" s="30"/>
      <c r="M726" s="30"/>
      <c r="O726" s="32"/>
      <c r="P726" s="32"/>
      <c r="S726" s="32"/>
    </row>
    <row r="727">
      <c r="D727" s="29"/>
      <c r="F727" s="31"/>
      <c r="G727" s="30"/>
      <c r="H727" s="30"/>
      <c r="J727" s="29"/>
      <c r="L727" s="30"/>
      <c r="M727" s="30"/>
      <c r="O727" s="32"/>
      <c r="P727" s="32"/>
      <c r="S727" s="32"/>
    </row>
    <row r="728">
      <c r="D728" s="29"/>
      <c r="F728" s="31"/>
      <c r="G728" s="30"/>
      <c r="H728" s="30"/>
      <c r="J728" s="29"/>
      <c r="L728" s="30"/>
      <c r="M728" s="30"/>
      <c r="O728" s="32"/>
      <c r="P728" s="32"/>
      <c r="S728" s="32"/>
    </row>
    <row r="729">
      <c r="D729" s="29"/>
      <c r="F729" s="31"/>
      <c r="G729" s="30"/>
      <c r="H729" s="30"/>
      <c r="J729" s="29"/>
      <c r="L729" s="30"/>
      <c r="M729" s="30"/>
      <c r="O729" s="32"/>
      <c r="P729" s="32"/>
      <c r="S729" s="32"/>
    </row>
    <row r="730">
      <c r="D730" s="29"/>
      <c r="F730" s="31"/>
      <c r="G730" s="30"/>
      <c r="H730" s="30"/>
      <c r="J730" s="29"/>
      <c r="L730" s="30"/>
      <c r="M730" s="30"/>
      <c r="O730" s="32"/>
      <c r="P730" s="32"/>
      <c r="S730" s="32"/>
    </row>
    <row r="731">
      <c r="D731" s="29"/>
      <c r="F731" s="31"/>
      <c r="G731" s="30"/>
      <c r="H731" s="30"/>
      <c r="J731" s="29"/>
      <c r="L731" s="30"/>
      <c r="M731" s="30"/>
      <c r="O731" s="32"/>
      <c r="P731" s="32"/>
      <c r="S731" s="32"/>
    </row>
    <row r="732">
      <c r="D732" s="29"/>
      <c r="F732" s="31"/>
      <c r="G732" s="30"/>
      <c r="H732" s="30"/>
      <c r="J732" s="29"/>
      <c r="L732" s="30"/>
      <c r="M732" s="30"/>
      <c r="O732" s="32"/>
      <c r="P732" s="32"/>
      <c r="S732" s="32"/>
    </row>
    <row r="733">
      <c r="D733" s="29"/>
      <c r="F733" s="31"/>
      <c r="G733" s="30"/>
      <c r="H733" s="30"/>
      <c r="J733" s="29"/>
      <c r="L733" s="30"/>
      <c r="M733" s="30"/>
      <c r="O733" s="32"/>
      <c r="P733" s="32"/>
      <c r="S733" s="32"/>
    </row>
    <row r="734">
      <c r="D734" s="29"/>
      <c r="F734" s="31"/>
      <c r="G734" s="30"/>
      <c r="H734" s="30"/>
      <c r="J734" s="29"/>
      <c r="L734" s="30"/>
      <c r="M734" s="30"/>
      <c r="O734" s="32"/>
      <c r="P734" s="32"/>
      <c r="S734" s="32"/>
    </row>
    <row r="735">
      <c r="D735" s="29"/>
      <c r="F735" s="31"/>
      <c r="G735" s="30"/>
      <c r="H735" s="30"/>
      <c r="J735" s="29"/>
      <c r="L735" s="30"/>
      <c r="M735" s="30"/>
      <c r="O735" s="32"/>
      <c r="P735" s="32"/>
      <c r="S735" s="32"/>
    </row>
    <row r="736">
      <c r="D736" s="29"/>
      <c r="F736" s="31"/>
      <c r="G736" s="30"/>
      <c r="H736" s="30"/>
      <c r="J736" s="29"/>
      <c r="L736" s="30"/>
      <c r="M736" s="30"/>
      <c r="O736" s="32"/>
      <c r="P736" s="32"/>
      <c r="S736" s="32"/>
    </row>
    <row r="737">
      <c r="D737" s="29"/>
      <c r="F737" s="31"/>
      <c r="G737" s="30"/>
      <c r="H737" s="30"/>
      <c r="J737" s="29"/>
      <c r="L737" s="30"/>
      <c r="M737" s="30"/>
      <c r="O737" s="32"/>
      <c r="P737" s="32"/>
      <c r="S737" s="32"/>
    </row>
    <row r="738">
      <c r="D738" s="29"/>
      <c r="F738" s="31"/>
      <c r="G738" s="30"/>
      <c r="H738" s="30"/>
      <c r="J738" s="29"/>
      <c r="L738" s="30"/>
      <c r="M738" s="30"/>
      <c r="O738" s="32"/>
      <c r="P738" s="32"/>
      <c r="S738" s="32"/>
    </row>
    <row r="739">
      <c r="D739" s="29"/>
      <c r="F739" s="31"/>
      <c r="G739" s="30"/>
      <c r="H739" s="30"/>
      <c r="J739" s="29"/>
      <c r="L739" s="30"/>
      <c r="M739" s="30"/>
      <c r="O739" s="32"/>
      <c r="P739" s="32"/>
      <c r="S739" s="32"/>
    </row>
    <row r="740">
      <c r="D740" s="29"/>
      <c r="F740" s="31"/>
      <c r="G740" s="30"/>
      <c r="H740" s="30"/>
      <c r="J740" s="29"/>
      <c r="L740" s="30"/>
      <c r="M740" s="30"/>
      <c r="O740" s="32"/>
      <c r="P740" s="32"/>
      <c r="S740" s="32"/>
    </row>
    <row r="741">
      <c r="D741" s="29"/>
      <c r="F741" s="31"/>
      <c r="G741" s="30"/>
      <c r="H741" s="30"/>
      <c r="J741" s="29"/>
      <c r="L741" s="30"/>
      <c r="M741" s="30"/>
      <c r="O741" s="32"/>
      <c r="P741" s="32"/>
      <c r="S741" s="32"/>
    </row>
    <row r="742">
      <c r="D742" s="29"/>
      <c r="F742" s="31"/>
      <c r="G742" s="30"/>
      <c r="H742" s="30"/>
      <c r="J742" s="29"/>
      <c r="L742" s="30"/>
      <c r="M742" s="30"/>
      <c r="O742" s="32"/>
      <c r="P742" s="32"/>
      <c r="S742" s="32"/>
    </row>
    <row r="743">
      <c r="D743" s="29"/>
      <c r="F743" s="31"/>
      <c r="G743" s="30"/>
      <c r="H743" s="30"/>
      <c r="J743" s="29"/>
      <c r="L743" s="30"/>
      <c r="M743" s="30"/>
      <c r="O743" s="32"/>
      <c r="P743" s="32"/>
      <c r="S743" s="32"/>
    </row>
    <row r="744">
      <c r="D744" s="29"/>
      <c r="F744" s="31"/>
      <c r="G744" s="30"/>
      <c r="H744" s="30"/>
      <c r="J744" s="29"/>
      <c r="L744" s="30"/>
      <c r="M744" s="30"/>
      <c r="O744" s="32"/>
      <c r="P744" s="32"/>
      <c r="S744" s="32"/>
    </row>
    <row r="745">
      <c r="D745" s="29"/>
      <c r="F745" s="31"/>
      <c r="G745" s="30"/>
      <c r="H745" s="30"/>
      <c r="J745" s="29"/>
      <c r="L745" s="30"/>
      <c r="M745" s="30"/>
      <c r="O745" s="32"/>
      <c r="P745" s="32"/>
      <c r="S745" s="32"/>
    </row>
    <row r="746">
      <c r="D746" s="29"/>
      <c r="F746" s="31"/>
      <c r="G746" s="30"/>
      <c r="H746" s="30"/>
      <c r="J746" s="29"/>
      <c r="L746" s="30"/>
      <c r="M746" s="30"/>
      <c r="O746" s="32"/>
      <c r="P746" s="32"/>
      <c r="S746" s="32"/>
    </row>
    <row r="747">
      <c r="D747" s="29"/>
      <c r="F747" s="31"/>
      <c r="G747" s="30"/>
      <c r="H747" s="30"/>
      <c r="J747" s="29"/>
      <c r="L747" s="30"/>
      <c r="M747" s="30"/>
      <c r="O747" s="32"/>
      <c r="P747" s="32"/>
      <c r="S747" s="32"/>
    </row>
    <row r="748">
      <c r="D748" s="29"/>
      <c r="F748" s="31"/>
      <c r="G748" s="30"/>
      <c r="H748" s="30"/>
      <c r="J748" s="29"/>
      <c r="L748" s="30"/>
      <c r="M748" s="30"/>
      <c r="O748" s="32"/>
      <c r="P748" s="32"/>
      <c r="S748" s="32"/>
    </row>
    <row r="749">
      <c r="D749" s="29"/>
      <c r="F749" s="31"/>
      <c r="G749" s="30"/>
      <c r="H749" s="30"/>
      <c r="J749" s="29"/>
      <c r="L749" s="30"/>
      <c r="M749" s="30"/>
      <c r="O749" s="32"/>
      <c r="P749" s="32"/>
      <c r="S749" s="32"/>
    </row>
    <row r="750">
      <c r="D750" s="29"/>
      <c r="F750" s="31"/>
      <c r="G750" s="30"/>
      <c r="H750" s="30"/>
      <c r="J750" s="29"/>
      <c r="L750" s="30"/>
      <c r="M750" s="30"/>
      <c r="O750" s="32"/>
      <c r="P750" s="32"/>
      <c r="S750" s="32"/>
    </row>
    <row r="751">
      <c r="D751" s="29"/>
      <c r="F751" s="31"/>
      <c r="G751" s="30"/>
      <c r="H751" s="30"/>
      <c r="J751" s="29"/>
      <c r="L751" s="30"/>
      <c r="M751" s="30"/>
      <c r="O751" s="32"/>
      <c r="P751" s="32"/>
      <c r="S751" s="32"/>
    </row>
    <row r="752">
      <c r="D752" s="29"/>
      <c r="F752" s="31"/>
      <c r="G752" s="30"/>
      <c r="H752" s="30"/>
      <c r="J752" s="29"/>
      <c r="L752" s="30"/>
      <c r="M752" s="30"/>
      <c r="O752" s="32"/>
      <c r="P752" s="32"/>
      <c r="S752" s="32"/>
    </row>
    <row r="753">
      <c r="D753" s="29"/>
      <c r="F753" s="31"/>
      <c r="G753" s="30"/>
      <c r="H753" s="30"/>
      <c r="J753" s="29"/>
      <c r="L753" s="30"/>
      <c r="M753" s="30"/>
      <c r="O753" s="32"/>
      <c r="P753" s="32"/>
      <c r="S753" s="32"/>
    </row>
    <row r="754">
      <c r="D754" s="29"/>
      <c r="F754" s="31"/>
      <c r="G754" s="30"/>
      <c r="H754" s="30"/>
      <c r="J754" s="29"/>
      <c r="L754" s="30"/>
      <c r="M754" s="30"/>
      <c r="O754" s="32"/>
      <c r="P754" s="32"/>
      <c r="S754" s="32"/>
    </row>
    <row r="755">
      <c r="D755" s="29"/>
      <c r="F755" s="31"/>
      <c r="G755" s="30"/>
      <c r="H755" s="30"/>
      <c r="J755" s="29"/>
      <c r="L755" s="30"/>
      <c r="M755" s="30"/>
      <c r="O755" s="32"/>
      <c r="P755" s="32"/>
      <c r="S755" s="32"/>
    </row>
    <row r="756">
      <c r="D756" s="29"/>
      <c r="F756" s="31"/>
      <c r="G756" s="30"/>
      <c r="H756" s="30"/>
      <c r="J756" s="29"/>
      <c r="L756" s="30"/>
      <c r="M756" s="30"/>
      <c r="O756" s="32"/>
      <c r="P756" s="32"/>
      <c r="S756" s="32"/>
    </row>
    <row r="757">
      <c r="D757" s="29"/>
      <c r="F757" s="31"/>
      <c r="G757" s="30"/>
      <c r="H757" s="30"/>
      <c r="J757" s="29"/>
      <c r="L757" s="30"/>
      <c r="M757" s="30"/>
      <c r="O757" s="32"/>
      <c r="P757" s="32"/>
      <c r="S757" s="32"/>
    </row>
    <row r="758">
      <c r="D758" s="29"/>
      <c r="F758" s="31"/>
      <c r="G758" s="30"/>
      <c r="H758" s="30"/>
      <c r="J758" s="29"/>
      <c r="L758" s="30"/>
      <c r="M758" s="30"/>
      <c r="O758" s="32"/>
      <c r="P758" s="32"/>
      <c r="S758" s="32"/>
    </row>
    <row r="759">
      <c r="D759" s="29"/>
      <c r="F759" s="31"/>
      <c r="G759" s="30"/>
      <c r="H759" s="30"/>
      <c r="J759" s="29"/>
      <c r="L759" s="30"/>
      <c r="M759" s="30"/>
      <c r="O759" s="32"/>
      <c r="P759" s="32"/>
      <c r="S759" s="32"/>
    </row>
    <row r="760">
      <c r="D760" s="29"/>
      <c r="F760" s="31"/>
      <c r="G760" s="30"/>
      <c r="H760" s="30"/>
      <c r="J760" s="29"/>
      <c r="L760" s="30"/>
      <c r="M760" s="30"/>
      <c r="O760" s="32"/>
      <c r="P760" s="32"/>
      <c r="S760" s="32"/>
    </row>
    <row r="761">
      <c r="D761" s="29"/>
      <c r="F761" s="31"/>
      <c r="G761" s="30"/>
      <c r="H761" s="30"/>
      <c r="J761" s="29"/>
      <c r="L761" s="30"/>
      <c r="M761" s="30"/>
      <c r="O761" s="32"/>
      <c r="P761" s="32"/>
      <c r="S761" s="32"/>
    </row>
    <row r="762">
      <c r="D762" s="29"/>
      <c r="F762" s="31"/>
      <c r="G762" s="30"/>
      <c r="H762" s="30"/>
      <c r="J762" s="29"/>
      <c r="L762" s="30"/>
      <c r="M762" s="30"/>
      <c r="O762" s="32"/>
      <c r="P762" s="32"/>
      <c r="S762" s="32"/>
    </row>
    <row r="763">
      <c r="D763" s="29"/>
      <c r="F763" s="31"/>
      <c r="G763" s="30"/>
      <c r="H763" s="30"/>
      <c r="J763" s="29"/>
      <c r="L763" s="30"/>
      <c r="M763" s="30"/>
      <c r="O763" s="32"/>
      <c r="P763" s="32"/>
      <c r="S763" s="32"/>
    </row>
    <row r="764">
      <c r="D764" s="29"/>
      <c r="F764" s="31"/>
      <c r="G764" s="30"/>
      <c r="H764" s="30"/>
      <c r="J764" s="29"/>
      <c r="L764" s="30"/>
      <c r="M764" s="30"/>
      <c r="O764" s="32"/>
      <c r="P764" s="32"/>
      <c r="S764" s="32"/>
    </row>
    <row r="765">
      <c r="D765" s="29"/>
      <c r="F765" s="31"/>
      <c r="G765" s="30"/>
      <c r="H765" s="30"/>
      <c r="J765" s="29"/>
      <c r="L765" s="30"/>
      <c r="M765" s="30"/>
      <c r="O765" s="32"/>
      <c r="P765" s="32"/>
      <c r="S765" s="32"/>
    </row>
    <row r="766">
      <c r="D766" s="29"/>
      <c r="F766" s="31"/>
      <c r="G766" s="30"/>
      <c r="H766" s="30"/>
      <c r="J766" s="29"/>
      <c r="L766" s="30"/>
      <c r="M766" s="30"/>
      <c r="O766" s="32"/>
      <c r="P766" s="32"/>
      <c r="S766" s="32"/>
    </row>
    <row r="767">
      <c r="D767" s="29"/>
      <c r="F767" s="31"/>
      <c r="G767" s="30"/>
      <c r="H767" s="30"/>
      <c r="J767" s="29"/>
      <c r="L767" s="30"/>
      <c r="M767" s="30"/>
      <c r="O767" s="32"/>
      <c r="P767" s="32"/>
      <c r="S767" s="32"/>
    </row>
    <row r="768">
      <c r="D768" s="29"/>
      <c r="F768" s="31"/>
      <c r="G768" s="30"/>
      <c r="H768" s="30"/>
      <c r="J768" s="29"/>
      <c r="L768" s="30"/>
      <c r="M768" s="30"/>
      <c r="O768" s="32"/>
      <c r="P768" s="32"/>
      <c r="S768" s="32"/>
    </row>
    <row r="769">
      <c r="D769" s="29"/>
      <c r="F769" s="31"/>
      <c r="G769" s="30"/>
      <c r="H769" s="30"/>
      <c r="J769" s="29"/>
      <c r="L769" s="30"/>
      <c r="M769" s="30"/>
      <c r="O769" s="32"/>
      <c r="P769" s="32"/>
      <c r="S769" s="32"/>
    </row>
    <row r="770">
      <c r="D770" s="29"/>
      <c r="F770" s="31"/>
      <c r="G770" s="30"/>
      <c r="H770" s="30"/>
      <c r="J770" s="29"/>
      <c r="L770" s="30"/>
      <c r="M770" s="30"/>
      <c r="O770" s="32"/>
      <c r="P770" s="32"/>
      <c r="S770" s="32"/>
    </row>
    <row r="771">
      <c r="D771" s="29"/>
      <c r="F771" s="31"/>
      <c r="G771" s="30"/>
      <c r="H771" s="30"/>
      <c r="J771" s="29"/>
      <c r="L771" s="30"/>
      <c r="M771" s="30"/>
      <c r="O771" s="32"/>
      <c r="P771" s="32"/>
      <c r="S771" s="32"/>
    </row>
    <row r="772">
      <c r="D772" s="29"/>
      <c r="F772" s="31"/>
      <c r="G772" s="30"/>
      <c r="H772" s="30"/>
      <c r="J772" s="29"/>
      <c r="L772" s="30"/>
      <c r="M772" s="30"/>
      <c r="O772" s="32"/>
      <c r="P772" s="32"/>
      <c r="S772" s="32"/>
    </row>
    <row r="773">
      <c r="D773" s="29"/>
      <c r="F773" s="31"/>
      <c r="G773" s="30"/>
      <c r="H773" s="30"/>
      <c r="J773" s="29"/>
      <c r="L773" s="30"/>
      <c r="M773" s="30"/>
      <c r="O773" s="32"/>
      <c r="P773" s="32"/>
      <c r="S773" s="32"/>
    </row>
    <row r="774">
      <c r="D774" s="29"/>
      <c r="F774" s="31"/>
      <c r="G774" s="30"/>
      <c r="H774" s="30"/>
      <c r="J774" s="29"/>
      <c r="L774" s="30"/>
      <c r="M774" s="30"/>
      <c r="O774" s="32"/>
      <c r="P774" s="32"/>
      <c r="S774" s="32"/>
    </row>
    <row r="775">
      <c r="D775" s="29"/>
      <c r="F775" s="31"/>
      <c r="G775" s="30"/>
      <c r="H775" s="30"/>
      <c r="J775" s="29"/>
      <c r="L775" s="30"/>
      <c r="M775" s="30"/>
      <c r="O775" s="32"/>
      <c r="P775" s="32"/>
      <c r="S775" s="32"/>
    </row>
    <row r="776">
      <c r="D776" s="29"/>
      <c r="F776" s="31"/>
      <c r="G776" s="30"/>
      <c r="H776" s="30"/>
      <c r="J776" s="29"/>
      <c r="L776" s="30"/>
      <c r="M776" s="30"/>
      <c r="O776" s="32"/>
      <c r="P776" s="32"/>
      <c r="S776" s="32"/>
    </row>
    <row r="777">
      <c r="D777" s="29"/>
      <c r="F777" s="31"/>
      <c r="G777" s="30"/>
      <c r="H777" s="30"/>
      <c r="J777" s="29"/>
      <c r="L777" s="30"/>
      <c r="M777" s="30"/>
      <c r="O777" s="32"/>
      <c r="P777" s="32"/>
      <c r="S777" s="32"/>
    </row>
    <row r="778">
      <c r="D778" s="29"/>
      <c r="F778" s="31"/>
      <c r="G778" s="30"/>
      <c r="H778" s="30"/>
      <c r="J778" s="29"/>
      <c r="L778" s="30"/>
      <c r="M778" s="30"/>
      <c r="O778" s="32"/>
      <c r="P778" s="32"/>
      <c r="S778" s="32"/>
    </row>
    <row r="779">
      <c r="D779" s="29"/>
      <c r="F779" s="31"/>
      <c r="G779" s="30"/>
      <c r="H779" s="30"/>
      <c r="J779" s="29"/>
      <c r="L779" s="30"/>
      <c r="M779" s="30"/>
      <c r="O779" s="32"/>
      <c r="P779" s="32"/>
      <c r="S779" s="32"/>
    </row>
    <row r="780">
      <c r="D780" s="29"/>
      <c r="F780" s="31"/>
      <c r="G780" s="30"/>
      <c r="H780" s="30"/>
      <c r="J780" s="29"/>
      <c r="L780" s="30"/>
      <c r="M780" s="30"/>
      <c r="O780" s="32"/>
      <c r="P780" s="32"/>
      <c r="S780" s="32"/>
    </row>
    <row r="781">
      <c r="D781" s="29"/>
      <c r="F781" s="31"/>
      <c r="G781" s="30"/>
      <c r="H781" s="30"/>
      <c r="J781" s="29"/>
      <c r="L781" s="30"/>
      <c r="M781" s="30"/>
      <c r="O781" s="32"/>
      <c r="P781" s="32"/>
      <c r="S781" s="32"/>
    </row>
    <row r="782">
      <c r="D782" s="29"/>
      <c r="F782" s="31"/>
      <c r="G782" s="30"/>
      <c r="H782" s="30"/>
      <c r="J782" s="29"/>
      <c r="L782" s="30"/>
      <c r="M782" s="30"/>
      <c r="O782" s="32"/>
      <c r="P782" s="32"/>
      <c r="S782" s="32"/>
    </row>
    <row r="783">
      <c r="D783" s="29"/>
      <c r="F783" s="31"/>
      <c r="G783" s="30"/>
      <c r="H783" s="30"/>
      <c r="J783" s="29"/>
      <c r="L783" s="30"/>
      <c r="M783" s="30"/>
      <c r="O783" s="32"/>
      <c r="P783" s="32"/>
      <c r="S783" s="32"/>
    </row>
    <row r="784">
      <c r="D784" s="29"/>
      <c r="F784" s="31"/>
      <c r="G784" s="30"/>
      <c r="H784" s="30"/>
      <c r="J784" s="29"/>
      <c r="L784" s="30"/>
      <c r="M784" s="30"/>
      <c r="O784" s="32"/>
      <c r="P784" s="32"/>
      <c r="S784" s="32"/>
    </row>
    <row r="785">
      <c r="D785" s="29"/>
      <c r="F785" s="31"/>
      <c r="G785" s="30"/>
      <c r="H785" s="30"/>
      <c r="J785" s="29"/>
      <c r="L785" s="30"/>
      <c r="M785" s="30"/>
      <c r="O785" s="32"/>
      <c r="P785" s="32"/>
      <c r="S785" s="32"/>
    </row>
    <row r="786">
      <c r="D786" s="29"/>
      <c r="F786" s="31"/>
      <c r="G786" s="30"/>
      <c r="H786" s="30"/>
      <c r="J786" s="29"/>
      <c r="L786" s="30"/>
      <c r="M786" s="30"/>
      <c r="O786" s="32"/>
      <c r="P786" s="32"/>
      <c r="S786" s="32"/>
    </row>
    <row r="787">
      <c r="D787" s="29"/>
      <c r="F787" s="31"/>
      <c r="G787" s="30"/>
      <c r="H787" s="30"/>
      <c r="J787" s="29"/>
      <c r="L787" s="30"/>
      <c r="M787" s="30"/>
      <c r="O787" s="32"/>
      <c r="P787" s="32"/>
      <c r="S787" s="32"/>
    </row>
    <row r="788">
      <c r="D788" s="29"/>
      <c r="F788" s="31"/>
      <c r="G788" s="30"/>
      <c r="H788" s="30"/>
      <c r="J788" s="29"/>
      <c r="L788" s="30"/>
      <c r="M788" s="30"/>
      <c r="O788" s="32"/>
      <c r="P788" s="32"/>
      <c r="S788" s="32"/>
    </row>
    <row r="789">
      <c r="D789" s="29"/>
      <c r="F789" s="31"/>
      <c r="G789" s="30"/>
      <c r="H789" s="30"/>
      <c r="J789" s="29"/>
      <c r="L789" s="30"/>
      <c r="M789" s="30"/>
      <c r="O789" s="32"/>
      <c r="P789" s="32"/>
      <c r="S789" s="32"/>
    </row>
    <row r="790">
      <c r="D790" s="29"/>
      <c r="F790" s="31"/>
      <c r="G790" s="30"/>
      <c r="H790" s="30"/>
      <c r="J790" s="29"/>
      <c r="L790" s="30"/>
      <c r="M790" s="30"/>
      <c r="O790" s="32"/>
      <c r="P790" s="32"/>
      <c r="S790" s="32"/>
    </row>
    <row r="791">
      <c r="D791" s="29"/>
      <c r="F791" s="31"/>
      <c r="G791" s="30"/>
      <c r="H791" s="30"/>
      <c r="J791" s="29"/>
      <c r="L791" s="30"/>
      <c r="M791" s="30"/>
      <c r="O791" s="32"/>
      <c r="P791" s="32"/>
      <c r="S791" s="32"/>
    </row>
    <row r="792">
      <c r="D792" s="29"/>
      <c r="F792" s="31"/>
      <c r="G792" s="30"/>
      <c r="H792" s="30"/>
      <c r="J792" s="29"/>
      <c r="L792" s="30"/>
      <c r="M792" s="30"/>
      <c r="O792" s="32"/>
      <c r="P792" s="32"/>
      <c r="S792" s="32"/>
    </row>
    <row r="793">
      <c r="D793" s="29"/>
      <c r="F793" s="31"/>
      <c r="G793" s="30"/>
      <c r="H793" s="30"/>
      <c r="J793" s="29"/>
      <c r="L793" s="30"/>
      <c r="M793" s="30"/>
      <c r="O793" s="32"/>
      <c r="P793" s="32"/>
      <c r="S793" s="32"/>
    </row>
    <row r="794">
      <c r="D794" s="29"/>
      <c r="F794" s="31"/>
      <c r="G794" s="30"/>
      <c r="H794" s="30"/>
      <c r="J794" s="29"/>
      <c r="L794" s="30"/>
      <c r="M794" s="30"/>
      <c r="O794" s="32"/>
      <c r="P794" s="32"/>
      <c r="S794" s="32"/>
    </row>
    <row r="795">
      <c r="D795" s="29"/>
      <c r="F795" s="31"/>
      <c r="G795" s="30"/>
      <c r="H795" s="30"/>
      <c r="J795" s="29"/>
      <c r="L795" s="30"/>
      <c r="M795" s="30"/>
      <c r="O795" s="32"/>
      <c r="P795" s="32"/>
      <c r="S795" s="32"/>
    </row>
    <row r="796">
      <c r="D796" s="29"/>
      <c r="F796" s="31"/>
      <c r="G796" s="30"/>
      <c r="H796" s="30"/>
      <c r="J796" s="29"/>
      <c r="L796" s="30"/>
      <c r="M796" s="30"/>
      <c r="O796" s="32"/>
      <c r="P796" s="32"/>
      <c r="S796" s="32"/>
    </row>
    <row r="797">
      <c r="D797" s="29"/>
      <c r="F797" s="31"/>
      <c r="G797" s="30"/>
      <c r="H797" s="30"/>
      <c r="J797" s="29"/>
      <c r="L797" s="30"/>
      <c r="M797" s="30"/>
      <c r="O797" s="32"/>
      <c r="P797" s="32"/>
      <c r="S797" s="32"/>
    </row>
    <row r="798">
      <c r="D798" s="29"/>
      <c r="F798" s="31"/>
      <c r="G798" s="30"/>
      <c r="H798" s="30"/>
      <c r="J798" s="29"/>
      <c r="L798" s="30"/>
      <c r="M798" s="30"/>
      <c r="O798" s="32"/>
      <c r="P798" s="32"/>
      <c r="S798" s="32"/>
    </row>
    <row r="799">
      <c r="D799" s="29"/>
      <c r="F799" s="31"/>
      <c r="G799" s="30"/>
      <c r="H799" s="30"/>
      <c r="J799" s="29"/>
      <c r="L799" s="30"/>
      <c r="M799" s="30"/>
      <c r="O799" s="32"/>
      <c r="P799" s="32"/>
      <c r="S799" s="32"/>
    </row>
    <row r="800">
      <c r="D800" s="29"/>
      <c r="F800" s="31"/>
      <c r="G800" s="30"/>
      <c r="H800" s="30"/>
      <c r="J800" s="29"/>
      <c r="L800" s="30"/>
      <c r="M800" s="30"/>
      <c r="O800" s="32"/>
      <c r="P800" s="32"/>
      <c r="S800" s="32"/>
    </row>
    <row r="801">
      <c r="D801" s="29"/>
      <c r="F801" s="31"/>
      <c r="G801" s="30"/>
      <c r="H801" s="30"/>
      <c r="J801" s="29"/>
      <c r="L801" s="30"/>
      <c r="M801" s="30"/>
      <c r="O801" s="32"/>
      <c r="P801" s="32"/>
      <c r="S801" s="32"/>
    </row>
    <row r="802">
      <c r="D802" s="29"/>
      <c r="F802" s="31"/>
      <c r="G802" s="30"/>
      <c r="H802" s="30"/>
      <c r="J802" s="29"/>
      <c r="L802" s="30"/>
      <c r="M802" s="30"/>
      <c r="O802" s="32"/>
      <c r="P802" s="32"/>
      <c r="S802" s="32"/>
    </row>
    <row r="803">
      <c r="D803" s="29"/>
      <c r="F803" s="31"/>
      <c r="G803" s="30"/>
      <c r="H803" s="30"/>
      <c r="J803" s="29"/>
      <c r="L803" s="30"/>
      <c r="M803" s="30"/>
      <c r="O803" s="32"/>
      <c r="P803" s="32"/>
      <c r="S803" s="32"/>
    </row>
    <row r="804">
      <c r="D804" s="29"/>
      <c r="F804" s="31"/>
      <c r="G804" s="30"/>
      <c r="H804" s="30"/>
      <c r="J804" s="29"/>
      <c r="L804" s="30"/>
      <c r="M804" s="30"/>
      <c r="O804" s="32"/>
      <c r="P804" s="32"/>
      <c r="S804" s="32"/>
    </row>
    <row r="805">
      <c r="D805" s="29"/>
      <c r="F805" s="31"/>
      <c r="G805" s="30"/>
      <c r="H805" s="30"/>
      <c r="J805" s="29"/>
      <c r="L805" s="30"/>
      <c r="M805" s="30"/>
      <c r="O805" s="32"/>
      <c r="P805" s="32"/>
      <c r="S805" s="32"/>
    </row>
    <row r="806">
      <c r="D806" s="29"/>
      <c r="F806" s="31"/>
      <c r="G806" s="30"/>
      <c r="H806" s="30"/>
      <c r="J806" s="29"/>
      <c r="L806" s="30"/>
      <c r="M806" s="30"/>
      <c r="O806" s="32"/>
      <c r="P806" s="32"/>
      <c r="S806" s="32"/>
    </row>
    <row r="807">
      <c r="D807" s="29"/>
      <c r="F807" s="31"/>
      <c r="G807" s="30"/>
      <c r="H807" s="30"/>
      <c r="J807" s="29"/>
      <c r="L807" s="30"/>
      <c r="M807" s="30"/>
      <c r="O807" s="32"/>
      <c r="P807" s="32"/>
      <c r="S807" s="32"/>
    </row>
    <row r="808">
      <c r="D808" s="29"/>
      <c r="F808" s="31"/>
      <c r="G808" s="30"/>
      <c r="H808" s="30"/>
      <c r="J808" s="29"/>
      <c r="L808" s="30"/>
      <c r="M808" s="30"/>
      <c r="O808" s="32"/>
      <c r="P808" s="32"/>
      <c r="S808" s="32"/>
    </row>
    <row r="809">
      <c r="D809" s="29"/>
      <c r="F809" s="31"/>
      <c r="G809" s="30"/>
      <c r="H809" s="30"/>
      <c r="J809" s="29"/>
      <c r="L809" s="30"/>
      <c r="M809" s="30"/>
      <c r="O809" s="32"/>
      <c r="P809" s="32"/>
      <c r="S809" s="32"/>
    </row>
    <row r="810">
      <c r="D810" s="29"/>
      <c r="F810" s="31"/>
      <c r="G810" s="30"/>
      <c r="H810" s="30"/>
      <c r="J810" s="29"/>
      <c r="L810" s="30"/>
      <c r="M810" s="30"/>
      <c r="O810" s="32"/>
      <c r="P810" s="32"/>
      <c r="S810" s="32"/>
    </row>
    <row r="811">
      <c r="D811" s="29"/>
      <c r="F811" s="31"/>
      <c r="G811" s="30"/>
      <c r="H811" s="30"/>
      <c r="J811" s="29"/>
      <c r="L811" s="30"/>
      <c r="M811" s="30"/>
      <c r="O811" s="32"/>
      <c r="P811" s="32"/>
      <c r="S811" s="32"/>
    </row>
    <row r="812">
      <c r="D812" s="29"/>
      <c r="F812" s="31"/>
      <c r="G812" s="30"/>
      <c r="H812" s="30"/>
      <c r="J812" s="29"/>
      <c r="L812" s="30"/>
      <c r="M812" s="30"/>
      <c r="O812" s="32"/>
      <c r="P812" s="32"/>
      <c r="S812" s="32"/>
    </row>
    <row r="813">
      <c r="D813" s="29"/>
      <c r="F813" s="31"/>
      <c r="G813" s="30"/>
      <c r="H813" s="30"/>
      <c r="J813" s="29"/>
      <c r="L813" s="30"/>
      <c r="M813" s="30"/>
      <c r="O813" s="32"/>
      <c r="P813" s="32"/>
      <c r="S813" s="32"/>
    </row>
    <row r="814">
      <c r="D814" s="29"/>
      <c r="F814" s="31"/>
      <c r="G814" s="30"/>
      <c r="H814" s="30"/>
      <c r="J814" s="29"/>
      <c r="L814" s="30"/>
      <c r="M814" s="30"/>
      <c r="O814" s="32"/>
      <c r="P814" s="32"/>
      <c r="S814" s="32"/>
    </row>
    <row r="815">
      <c r="D815" s="29"/>
      <c r="F815" s="31"/>
      <c r="G815" s="30"/>
      <c r="H815" s="30"/>
      <c r="J815" s="29"/>
      <c r="L815" s="30"/>
      <c r="M815" s="30"/>
      <c r="O815" s="32"/>
      <c r="P815" s="32"/>
      <c r="S815" s="32"/>
    </row>
    <row r="816">
      <c r="D816" s="29"/>
      <c r="F816" s="31"/>
      <c r="G816" s="30"/>
      <c r="H816" s="30"/>
      <c r="J816" s="29"/>
      <c r="L816" s="30"/>
      <c r="M816" s="30"/>
      <c r="O816" s="32"/>
      <c r="P816" s="32"/>
      <c r="S816" s="32"/>
    </row>
    <row r="817">
      <c r="D817" s="29"/>
      <c r="F817" s="31"/>
      <c r="G817" s="30"/>
      <c r="H817" s="30"/>
      <c r="J817" s="29"/>
      <c r="L817" s="30"/>
      <c r="M817" s="30"/>
      <c r="O817" s="32"/>
      <c r="P817" s="32"/>
      <c r="S817" s="32"/>
    </row>
    <row r="818">
      <c r="D818" s="29"/>
      <c r="F818" s="31"/>
      <c r="G818" s="30"/>
      <c r="H818" s="30"/>
      <c r="J818" s="29"/>
      <c r="L818" s="30"/>
      <c r="M818" s="30"/>
      <c r="O818" s="32"/>
      <c r="P818" s="32"/>
      <c r="S818" s="32"/>
    </row>
    <row r="819">
      <c r="D819" s="29"/>
      <c r="F819" s="31"/>
      <c r="G819" s="30"/>
      <c r="H819" s="30"/>
      <c r="J819" s="29"/>
      <c r="L819" s="30"/>
      <c r="M819" s="30"/>
      <c r="O819" s="32"/>
      <c r="P819" s="32"/>
      <c r="S819" s="32"/>
    </row>
    <row r="820">
      <c r="D820" s="29"/>
      <c r="F820" s="31"/>
      <c r="G820" s="30"/>
      <c r="H820" s="30"/>
      <c r="J820" s="29"/>
      <c r="L820" s="30"/>
      <c r="M820" s="30"/>
      <c r="O820" s="32"/>
      <c r="P820" s="32"/>
      <c r="S820" s="32"/>
    </row>
    <row r="821">
      <c r="D821" s="29"/>
      <c r="F821" s="31"/>
      <c r="G821" s="30"/>
      <c r="H821" s="30"/>
      <c r="J821" s="29"/>
      <c r="L821" s="30"/>
      <c r="M821" s="30"/>
      <c r="O821" s="32"/>
      <c r="P821" s="32"/>
      <c r="S821" s="32"/>
    </row>
    <row r="822">
      <c r="D822" s="29"/>
      <c r="F822" s="31"/>
      <c r="G822" s="30"/>
      <c r="H822" s="30"/>
      <c r="J822" s="29"/>
      <c r="L822" s="30"/>
      <c r="M822" s="30"/>
      <c r="O822" s="32"/>
      <c r="P822" s="32"/>
      <c r="S822" s="32"/>
    </row>
    <row r="823">
      <c r="D823" s="29"/>
      <c r="F823" s="31"/>
      <c r="G823" s="30"/>
      <c r="H823" s="30"/>
      <c r="J823" s="29"/>
      <c r="L823" s="30"/>
      <c r="M823" s="30"/>
      <c r="O823" s="32"/>
      <c r="P823" s="32"/>
      <c r="S823" s="32"/>
    </row>
    <row r="824">
      <c r="D824" s="29"/>
      <c r="F824" s="31"/>
      <c r="G824" s="30"/>
      <c r="H824" s="30"/>
      <c r="J824" s="29"/>
      <c r="L824" s="30"/>
      <c r="M824" s="30"/>
      <c r="O824" s="32"/>
      <c r="P824" s="32"/>
      <c r="S824" s="32"/>
    </row>
    <row r="825">
      <c r="D825" s="29"/>
      <c r="F825" s="31"/>
      <c r="G825" s="30"/>
      <c r="H825" s="30"/>
      <c r="J825" s="29"/>
      <c r="L825" s="30"/>
      <c r="M825" s="30"/>
      <c r="O825" s="32"/>
      <c r="P825" s="32"/>
      <c r="S825" s="32"/>
    </row>
    <row r="826">
      <c r="D826" s="29"/>
      <c r="F826" s="31"/>
      <c r="G826" s="30"/>
      <c r="H826" s="30"/>
      <c r="J826" s="29"/>
      <c r="L826" s="30"/>
      <c r="M826" s="30"/>
      <c r="O826" s="32"/>
      <c r="P826" s="32"/>
      <c r="S826" s="32"/>
    </row>
    <row r="827">
      <c r="D827" s="29"/>
      <c r="F827" s="31"/>
      <c r="G827" s="30"/>
      <c r="H827" s="30"/>
      <c r="J827" s="29"/>
      <c r="L827" s="30"/>
      <c r="M827" s="30"/>
      <c r="O827" s="32"/>
      <c r="P827" s="32"/>
      <c r="S827" s="32"/>
    </row>
    <row r="828">
      <c r="D828" s="29"/>
      <c r="F828" s="31"/>
      <c r="G828" s="30"/>
      <c r="H828" s="30"/>
      <c r="J828" s="29"/>
      <c r="L828" s="30"/>
      <c r="M828" s="30"/>
      <c r="O828" s="32"/>
      <c r="P828" s="32"/>
      <c r="S828" s="32"/>
    </row>
    <row r="829">
      <c r="D829" s="29"/>
      <c r="F829" s="31"/>
      <c r="G829" s="30"/>
      <c r="H829" s="30"/>
      <c r="J829" s="29"/>
      <c r="L829" s="30"/>
      <c r="M829" s="30"/>
      <c r="O829" s="32"/>
      <c r="P829" s="32"/>
      <c r="S829" s="32"/>
    </row>
    <row r="830">
      <c r="D830" s="29"/>
      <c r="F830" s="31"/>
      <c r="G830" s="30"/>
      <c r="H830" s="30"/>
      <c r="J830" s="29"/>
      <c r="L830" s="30"/>
      <c r="M830" s="30"/>
      <c r="O830" s="32"/>
      <c r="P830" s="32"/>
      <c r="S830" s="32"/>
    </row>
    <row r="831">
      <c r="D831" s="29"/>
      <c r="F831" s="31"/>
      <c r="G831" s="30"/>
      <c r="H831" s="30"/>
      <c r="J831" s="29"/>
      <c r="L831" s="30"/>
      <c r="M831" s="30"/>
      <c r="O831" s="32"/>
      <c r="P831" s="32"/>
      <c r="S831" s="32"/>
    </row>
    <row r="832">
      <c r="D832" s="29"/>
      <c r="F832" s="31"/>
      <c r="G832" s="30"/>
      <c r="H832" s="30"/>
      <c r="J832" s="29"/>
      <c r="L832" s="30"/>
      <c r="M832" s="30"/>
      <c r="O832" s="32"/>
      <c r="P832" s="32"/>
      <c r="S832" s="32"/>
    </row>
    <row r="833">
      <c r="D833" s="29"/>
      <c r="F833" s="31"/>
      <c r="G833" s="30"/>
      <c r="H833" s="30"/>
      <c r="J833" s="29"/>
      <c r="L833" s="30"/>
      <c r="M833" s="30"/>
      <c r="O833" s="32"/>
      <c r="P833" s="32"/>
      <c r="S833" s="32"/>
    </row>
    <row r="834">
      <c r="D834" s="29"/>
      <c r="F834" s="31"/>
      <c r="G834" s="30"/>
      <c r="H834" s="30"/>
      <c r="J834" s="29"/>
      <c r="L834" s="30"/>
      <c r="M834" s="30"/>
      <c r="O834" s="32"/>
      <c r="P834" s="32"/>
      <c r="S834" s="32"/>
    </row>
    <row r="835">
      <c r="D835" s="29"/>
      <c r="F835" s="31"/>
      <c r="G835" s="30"/>
      <c r="H835" s="30"/>
      <c r="J835" s="29"/>
      <c r="L835" s="30"/>
      <c r="M835" s="30"/>
      <c r="O835" s="32"/>
      <c r="P835" s="32"/>
      <c r="S835" s="32"/>
    </row>
    <row r="836">
      <c r="D836" s="29"/>
      <c r="F836" s="31"/>
      <c r="G836" s="30"/>
      <c r="H836" s="30"/>
      <c r="J836" s="29"/>
      <c r="L836" s="30"/>
      <c r="M836" s="30"/>
      <c r="O836" s="32"/>
      <c r="P836" s="32"/>
      <c r="S836" s="32"/>
    </row>
    <row r="837">
      <c r="D837" s="29"/>
      <c r="F837" s="31"/>
      <c r="G837" s="30"/>
      <c r="H837" s="30"/>
      <c r="J837" s="29"/>
      <c r="L837" s="30"/>
      <c r="M837" s="30"/>
      <c r="O837" s="32"/>
      <c r="P837" s="32"/>
      <c r="S837" s="32"/>
    </row>
    <row r="838">
      <c r="D838" s="29"/>
      <c r="F838" s="31"/>
      <c r="G838" s="30"/>
      <c r="H838" s="30"/>
      <c r="J838" s="29"/>
      <c r="L838" s="30"/>
      <c r="M838" s="30"/>
      <c r="O838" s="32"/>
      <c r="P838" s="32"/>
      <c r="S838" s="32"/>
    </row>
    <row r="839">
      <c r="D839" s="29"/>
      <c r="F839" s="31"/>
      <c r="G839" s="30"/>
      <c r="H839" s="30"/>
      <c r="J839" s="29"/>
      <c r="L839" s="30"/>
      <c r="M839" s="30"/>
      <c r="O839" s="32"/>
      <c r="P839" s="32"/>
      <c r="S839" s="32"/>
    </row>
    <row r="840">
      <c r="D840" s="29"/>
      <c r="F840" s="31"/>
      <c r="G840" s="30"/>
      <c r="H840" s="30"/>
      <c r="J840" s="29"/>
      <c r="L840" s="30"/>
      <c r="M840" s="30"/>
      <c r="O840" s="32"/>
      <c r="P840" s="32"/>
      <c r="S840" s="32"/>
    </row>
    <row r="841">
      <c r="D841" s="29"/>
      <c r="F841" s="31"/>
      <c r="G841" s="30"/>
      <c r="H841" s="30"/>
      <c r="J841" s="29"/>
      <c r="L841" s="30"/>
      <c r="M841" s="30"/>
      <c r="O841" s="32"/>
      <c r="P841" s="32"/>
      <c r="S841" s="32"/>
    </row>
    <row r="842">
      <c r="D842" s="29"/>
      <c r="F842" s="31"/>
      <c r="G842" s="30"/>
      <c r="H842" s="30"/>
      <c r="J842" s="29"/>
      <c r="L842" s="30"/>
      <c r="M842" s="30"/>
      <c r="O842" s="32"/>
      <c r="P842" s="32"/>
      <c r="S842" s="32"/>
    </row>
    <row r="843">
      <c r="D843" s="29"/>
      <c r="F843" s="31"/>
      <c r="G843" s="30"/>
      <c r="H843" s="30"/>
      <c r="J843" s="29"/>
      <c r="L843" s="30"/>
      <c r="M843" s="30"/>
      <c r="O843" s="32"/>
      <c r="P843" s="32"/>
      <c r="S843" s="32"/>
    </row>
    <row r="844">
      <c r="D844" s="29"/>
      <c r="F844" s="31"/>
      <c r="G844" s="30"/>
      <c r="H844" s="30"/>
      <c r="J844" s="29"/>
      <c r="L844" s="30"/>
      <c r="M844" s="30"/>
      <c r="O844" s="32"/>
      <c r="P844" s="32"/>
      <c r="S844" s="32"/>
    </row>
    <row r="845">
      <c r="D845" s="29"/>
      <c r="F845" s="31"/>
      <c r="G845" s="30"/>
      <c r="H845" s="30"/>
      <c r="J845" s="29"/>
      <c r="L845" s="30"/>
      <c r="M845" s="30"/>
      <c r="O845" s="32"/>
      <c r="P845" s="32"/>
      <c r="S845" s="32"/>
    </row>
    <row r="846">
      <c r="D846" s="29"/>
      <c r="F846" s="31"/>
      <c r="G846" s="30"/>
      <c r="H846" s="30"/>
      <c r="J846" s="29"/>
      <c r="L846" s="30"/>
      <c r="M846" s="30"/>
      <c r="O846" s="32"/>
      <c r="P846" s="32"/>
      <c r="S846" s="32"/>
    </row>
    <row r="847">
      <c r="D847" s="29"/>
      <c r="F847" s="31"/>
      <c r="G847" s="30"/>
      <c r="H847" s="30"/>
      <c r="J847" s="29"/>
      <c r="L847" s="30"/>
      <c r="M847" s="30"/>
      <c r="O847" s="32"/>
      <c r="P847" s="32"/>
      <c r="S847" s="32"/>
    </row>
    <row r="848">
      <c r="D848" s="29"/>
      <c r="F848" s="31"/>
      <c r="G848" s="30"/>
      <c r="H848" s="30"/>
      <c r="J848" s="29"/>
      <c r="L848" s="30"/>
      <c r="M848" s="30"/>
      <c r="O848" s="32"/>
      <c r="P848" s="32"/>
      <c r="S848" s="32"/>
    </row>
    <row r="849">
      <c r="D849" s="29"/>
      <c r="F849" s="31"/>
      <c r="G849" s="30"/>
      <c r="H849" s="30"/>
      <c r="J849" s="29"/>
      <c r="L849" s="30"/>
      <c r="M849" s="30"/>
      <c r="O849" s="32"/>
      <c r="P849" s="32"/>
      <c r="S849" s="32"/>
    </row>
    <row r="850">
      <c r="D850" s="29"/>
      <c r="F850" s="31"/>
      <c r="G850" s="30"/>
      <c r="H850" s="30"/>
      <c r="J850" s="29"/>
      <c r="L850" s="30"/>
      <c r="M850" s="30"/>
      <c r="O850" s="32"/>
      <c r="P850" s="32"/>
      <c r="S850" s="32"/>
    </row>
    <row r="851">
      <c r="D851" s="29"/>
      <c r="F851" s="31"/>
      <c r="G851" s="30"/>
      <c r="H851" s="30"/>
      <c r="J851" s="29"/>
      <c r="L851" s="30"/>
      <c r="M851" s="30"/>
      <c r="O851" s="32"/>
      <c r="P851" s="32"/>
      <c r="S851" s="32"/>
    </row>
    <row r="852">
      <c r="D852" s="29"/>
      <c r="F852" s="31"/>
      <c r="G852" s="30"/>
      <c r="H852" s="30"/>
      <c r="J852" s="29"/>
      <c r="L852" s="30"/>
      <c r="M852" s="30"/>
      <c r="O852" s="32"/>
      <c r="P852" s="32"/>
      <c r="S852" s="32"/>
    </row>
    <row r="853">
      <c r="D853" s="29"/>
      <c r="F853" s="31"/>
      <c r="G853" s="30"/>
      <c r="H853" s="30"/>
      <c r="J853" s="29"/>
      <c r="L853" s="30"/>
      <c r="M853" s="30"/>
      <c r="O853" s="32"/>
      <c r="P853" s="32"/>
      <c r="S853" s="32"/>
    </row>
    <row r="854">
      <c r="D854" s="29"/>
      <c r="F854" s="31"/>
      <c r="G854" s="30"/>
      <c r="H854" s="30"/>
      <c r="J854" s="29"/>
      <c r="L854" s="30"/>
      <c r="M854" s="30"/>
      <c r="O854" s="32"/>
      <c r="P854" s="32"/>
      <c r="S854" s="32"/>
    </row>
    <row r="855">
      <c r="D855" s="29"/>
      <c r="F855" s="31"/>
      <c r="G855" s="30"/>
      <c r="H855" s="30"/>
      <c r="J855" s="29"/>
      <c r="L855" s="30"/>
      <c r="M855" s="30"/>
      <c r="O855" s="32"/>
      <c r="P855" s="32"/>
      <c r="S855" s="32"/>
    </row>
    <row r="856">
      <c r="D856" s="29"/>
      <c r="F856" s="31"/>
      <c r="G856" s="30"/>
      <c r="H856" s="30"/>
      <c r="J856" s="29"/>
      <c r="L856" s="30"/>
      <c r="M856" s="30"/>
      <c r="O856" s="32"/>
      <c r="P856" s="32"/>
      <c r="S856" s="32"/>
    </row>
    <row r="857">
      <c r="D857" s="29"/>
      <c r="F857" s="31"/>
      <c r="G857" s="30"/>
      <c r="H857" s="30"/>
      <c r="J857" s="29"/>
      <c r="L857" s="30"/>
      <c r="M857" s="30"/>
      <c r="O857" s="32"/>
      <c r="P857" s="32"/>
      <c r="S857" s="32"/>
    </row>
    <row r="858">
      <c r="D858" s="29"/>
      <c r="F858" s="31"/>
      <c r="G858" s="30"/>
      <c r="H858" s="30"/>
      <c r="J858" s="29"/>
      <c r="L858" s="30"/>
      <c r="M858" s="30"/>
      <c r="O858" s="32"/>
      <c r="P858" s="32"/>
      <c r="S858" s="32"/>
    </row>
    <row r="859">
      <c r="D859" s="29"/>
      <c r="F859" s="31"/>
      <c r="G859" s="30"/>
      <c r="H859" s="30"/>
      <c r="J859" s="29"/>
      <c r="L859" s="30"/>
      <c r="M859" s="30"/>
      <c r="O859" s="32"/>
      <c r="P859" s="32"/>
      <c r="S859" s="32"/>
    </row>
    <row r="860">
      <c r="D860" s="29"/>
      <c r="F860" s="31"/>
      <c r="G860" s="30"/>
      <c r="H860" s="30"/>
      <c r="J860" s="29"/>
      <c r="L860" s="30"/>
      <c r="M860" s="30"/>
      <c r="O860" s="32"/>
      <c r="P860" s="32"/>
      <c r="S860" s="32"/>
    </row>
    <row r="861">
      <c r="D861" s="29"/>
      <c r="F861" s="31"/>
      <c r="G861" s="30"/>
      <c r="H861" s="30"/>
      <c r="J861" s="29"/>
      <c r="L861" s="30"/>
      <c r="M861" s="30"/>
      <c r="O861" s="32"/>
      <c r="P861" s="32"/>
      <c r="S861" s="32"/>
    </row>
    <row r="862">
      <c r="D862" s="29"/>
      <c r="F862" s="31"/>
      <c r="G862" s="30"/>
      <c r="H862" s="30"/>
      <c r="J862" s="29"/>
      <c r="L862" s="30"/>
      <c r="M862" s="30"/>
      <c r="O862" s="32"/>
      <c r="P862" s="32"/>
      <c r="S862" s="32"/>
    </row>
    <row r="863">
      <c r="D863" s="29"/>
      <c r="F863" s="31"/>
      <c r="G863" s="30"/>
      <c r="H863" s="30"/>
      <c r="J863" s="29"/>
      <c r="L863" s="30"/>
      <c r="M863" s="30"/>
      <c r="O863" s="32"/>
      <c r="P863" s="32"/>
      <c r="S863" s="32"/>
    </row>
    <row r="864">
      <c r="D864" s="29"/>
      <c r="F864" s="31"/>
      <c r="G864" s="30"/>
      <c r="H864" s="30"/>
      <c r="J864" s="29"/>
      <c r="L864" s="30"/>
      <c r="M864" s="30"/>
      <c r="O864" s="32"/>
      <c r="P864" s="32"/>
      <c r="S864" s="32"/>
    </row>
    <row r="865">
      <c r="D865" s="29"/>
      <c r="F865" s="31"/>
      <c r="G865" s="30"/>
      <c r="H865" s="30"/>
      <c r="J865" s="29"/>
      <c r="L865" s="30"/>
      <c r="M865" s="30"/>
      <c r="O865" s="32"/>
      <c r="P865" s="32"/>
      <c r="S865" s="32"/>
    </row>
    <row r="866">
      <c r="D866" s="29"/>
      <c r="F866" s="31"/>
      <c r="G866" s="30"/>
      <c r="H866" s="30"/>
      <c r="J866" s="29"/>
      <c r="L866" s="30"/>
      <c r="M866" s="30"/>
      <c r="O866" s="32"/>
      <c r="P866" s="32"/>
      <c r="S866" s="32"/>
    </row>
    <row r="867">
      <c r="D867" s="29"/>
      <c r="F867" s="31"/>
      <c r="G867" s="30"/>
      <c r="H867" s="30"/>
      <c r="J867" s="29"/>
      <c r="L867" s="30"/>
      <c r="M867" s="30"/>
      <c r="O867" s="32"/>
      <c r="P867" s="32"/>
      <c r="S867" s="32"/>
    </row>
    <row r="868">
      <c r="D868" s="29"/>
      <c r="F868" s="31"/>
      <c r="G868" s="30"/>
      <c r="H868" s="30"/>
      <c r="J868" s="29"/>
      <c r="L868" s="30"/>
      <c r="M868" s="30"/>
      <c r="O868" s="32"/>
      <c r="P868" s="32"/>
      <c r="S868" s="32"/>
    </row>
    <row r="869">
      <c r="D869" s="29"/>
      <c r="F869" s="31"/>
      <c r="G869" s="30"/>
      <c r="H869" s="30"/>
      <c r="J869" s="29"/>
      <c r="L869" s="30"/>
      <c r="M869" s="30"/>
      <c r="O869" s="32"/>
      <c r="P869" s="32"/>
      <c r="S869" s="32"/>
    </row>
    <row r="870">
      <c r="D870" s="29"/>
      <c r="F870" s="31"/>
      <c r="G870" s="30"/>
      <c r="H870" s="30"/>
      <c r="J870" s="29"/>
      <c r="L870" s="30"/>
      <c r="M870" s="30"/>
      <c r="O870" s="32"/>
      <c r="P870" s="32"/>
      <c r="S870" s="32"/>
    </row>
    <row r="871">
      <c r="D871" s="29"/>
      <c r="F871" s="31"/>
      <c r="G871" s="30"/>
      <c r="H871" s="30"/>
      <c r="J871" s="29"/>
      <c r="L871" s="30"/>
      <c r="M871" s="30"/>
      <c r="O871" s="32"/>
      <c r="P871" s="32"/>
      <c r="S871" s="32"/>
    </row>
    <row r="872">
      <c r="D872" s="29"/>
      <c r="F872" s="31"/>
      <c r="G872" s="30"/>
      <c r="H872" s="30"/>
      <c r="J872" s="29"/>
      <c r="L872" s="30"/>
      <c r="M872" s="30"/>
      <c r="O872" s="32"/>
      <c r="P872" s="32"/>
      <c r="S872" s="32"/>
    </row>
    <row r="873">
      <c r="D873" s="29"/>
      <c r="F873" s="31"/>
      <c r="G873" s="30"/>
      <c r="H873" s="30"/>
      <c r="J873" s="29"/>
      <c r="L873" s="30"/>
      <c r="M873" s="30"/>
      <c r="O873" s="32"/>
      <c r="P873" s="32"/>
      <c r="S873" s="32"/>
    </row>
    <row r="874">
      <c r="D874" s="29"/>
      <c r="F874" s="31"/>
      <c r="G874" s="30"/>
      <c r="H874" s="30"/>
      <c r="J874" s="29"/>
      <c r="L874" s="30"/>
      <c r="M874" s="30"/>
      <c r="O874" s="32"/>
      <c r="P874" s="32"/>
      <c r="S874" s="32"/>
    </row>
    <row r="875">
      <c r="D875" s="29"/>
      <c r="F875" s="31"/>
      <c r="G875" s="30"/>
      <c r="H875" s="30"/>
      <c r="J875" s="29"/>
      <c r="L875" s="30"/>
      <c r="M875" s="30"/>
      <c r="O875" s="32"/>
      <c r="P875" s="32"/>
      <c r="S875" s="32"/>
    </row>
    <row r="876">
      <c r="D876" s="29"/>
      <c r="F876" s="31"/>
      <c r="G876" s="30"/>
      <c r="H876" s="30"/>
      <c r="J876" s="29"/>
      <c r="L876" s="30"/>
      <c r="M876" s="30"/>
      <c r="O876" s="32"/>
      <c r="P876" s="32"/>
      <c r="S876" s="32"/>
    </row>
    <row r="877">
      <c r="D877" s="29"/>
      <c r="F877" s="31"/>
      <c r="G877" s="30"/>
      <c r="H877" s="30"/>
      <c r="J877" s="29"/>
      <c r="L877" s="30"/>
      <c r="M877" s="30"/>
      <c r="O877" s="32"/>
      <c r="P877" s="32"/>
      <c r="S877" s="32"/>
    </row>
    <row r="878">
      <c r="D878" s="29"/>
      <c r="F878" s="31"/>
      <c r="G878" s="30"/>
      <c r="H878" s="30"/>
      <c r="J878" s="29"/>
      <c r="L878" s="30"/>
      <c r="M878" s="30"/>
      <c r="O878" s="32"/>
      <c r="P878" s="32"/>
      <c r="S878" s="32"/>
    </row>
    <row r="879">
      <c r="D879" s="29"/>
      <c r="F879" s="31"/>
      <c r="G879" s="30"/>
      <c r="H879" s="30"/>
      <c r="J879" s="29"/>
      <c r="L879" s="30"/>
      <c r="M879" s="30"/>
      <c r="O879" s="32"/>
      <c r="P879" s="32"/>
      <c r="S879" s="32"/>
    </row>
    <row r="880">
      <c r="D880" s="29"/>
      <c r="F880" s="31"/>
      <c r="G880" s="30"/>
      <c r="H880" s="30"/>
      <c r="J880" s="29"/>
      <c r="L880" s="30"/>
      <c r="M880" s="30"/>
      <c r="O880" s="32"/>
      <c r="P880" s="32"/>
      <c r="S880" s="32"/>
    </row>
    <row r="881">
      <c r="D881" s="29"/>
      <c r="F881" s="31"/>
      <c r="G881" s="30"/>
      <c r="H881" s="30"/>
      <c r="J881" s="29"/>
      <c r="L881" s="30"/>
      <c r="M881" s="30"/>
      <c r="O881" s="32"/>
      <c r="P881" s="32"/>
      <c r="S881" s="32"/>
    </row>
    <row r="882">
      <c r="D882" s="29"/>
      <c r="F882" s="31"/>
      <c r="G882" s="30"/>
      <c r="H882" s="30"/>
      <c r="J882" s="29"/>
      <c r="L882" s="30"/>
      <c r="M882" s="30"/>
      <c r="O882" s="32"/>
      <c r="P882" s="32"/>
      <c r="S882" s="32"/>
    </row>
    <row r="883">
      <c r="D883" s="29"/>
      <c r="F883" s="31"/>
      <c r="G883" s="30"/>
      <c r="H883" s="30"/>
      <c r="J883" s="29"/>
      <c r="L883" s="30"/>
      <c r="M883" s="30"/>
      <c r="O883" s="32"/>
      <c r="P883" s="32"/>
      <c r="S883" s="32"/>
    </row>
    <row r="884">
      <c r="D884" s="29"/>
      <c r="F884" s="31"/>
      <c r="G884" s="30"/>
      <c r="H884" s="30"/>
      <c r="J884" s="29"/>
      <c r="L884" s="30"/>
      <c r="M884" s="30"/>
      <c r="O884" s="32"/>
      <c r="P884" s="32"/>
      <c r="S884" s="32"/>
    </row>
    <row r="885">
      <c r="D885" s="29"/>
      <c r="F885" s="31"/>
      <c r="G885" s="30"/>
      <c r="H885" s="30"/>
      <c r="J885" s="29"/>
      <c r="L885" s="30"/>
      <c r="M885" s="30"/>
      <c r="O885" s="32"/>
      <c r="P885" s="32"/>
      <c r="S885" s="32"/>
    </row>
    <row r="886">
      <c r="D886" s="29"/>
      <c r="F886" s="31"/>
      <c r="G886" s="30"/>
      <c r="H886" s="30"/>
      <c r="J886" s="29"/>
      <c r="L886" s="30"/>
      <c r="M886" s="30"/>
      <c r="O886" s="32"/>
      <c r="P886" s="32"/>
      <c r="S886" s="32"/>
    </row>
    <row r="887">
      <c r="D887" s="29"/>
      <c r="F887" s="31"/>
      <c r="G887" s="30"/>
      <c r="H887" s="30"/>
      <c r="J887" s="29"/>
      <c r="L887" s="30"/>
      <c r="M887" s="30"/>
      <c r="O887" s="32"/>
      <c r="P887" s="32"/>
      <c r="S887" s="32"/>
    </row>
    <row r="888">
      <c r="D888" s="29"/>
      <c r="F888" s="31"/>
      <c r="G888" s="30"/>
      <c r="H888" s="30"/>
      <c r="J888" s="29"/>
      <c r="L888" s="30"/>
      <c r="M888" s="30"/>
      <c r="O888" s="32"/>
      <c r="P888" s="32"/>
      <c r="S888" s="32"/>
    </row>
    <row r="889">
      <c r="D889" s="29"/>
      <c r="F889" s="31"/>
      <c r="G889" s="30"/>
      <c r="H889" s="30"/>
      <c r="J889" s="29"/>
      <c r="L889" s="30"/>
      <c r="M889" s="30"/>
      <c r="O889" s="32"/>
      <c r="P889" s="32"/>
      <c r="S889" s="32"/>
    </row>
    <row r="890">
      <c r="D890" s="29"/>
      <c r="F890" s="31"/>
      <c r="G890" s="30"/>
      <c r="H890" s="30"/>
      <c r="J890" s="29"/>
      <c r="L890" s="30"/>
      <c r="M890" s="30"/>
      <c r="O890" s="32"/>
      <c r="P890" s="32"/>
      <c r="S890" s="32"/>
    </row>
    <row r="891">
      <c r="D891" s="29"/>
      <c r="F891" s="31"/>
      <c r="G891" s="30"/>
      <c r="H891" s="30"/>
      <c r="J891" s="29"/>
      <c r="L891" s="30"/>
      <c r="M891" s="30"/>
      <c r="O891" s="32"/>
      <c r="P891" s="32"/>
      <c r="S891" s="32"/>
    </row>
    <row r="892">
      <c r="D892" s="29"/>
      <c r="F892" s="31"/>
      <c r="G892" s="30"/>
      <c r="H892" s="30"/>
      <c r="J892" s="29"/>
      <c r="L892" s="30"/>
      <c r="M892" s="30"/>
      <c r="O892" s="32"/>
      <c r="P892" s="32"/>
      <c r="S892" s="32"/>
    </row>
    <row r="893">
      <c r="D893" s="29"/>
      <c r="F893" s="31"/>
      <c r="G893" s="30"/>
      <c r="H893" s="30"/>
      <c r="J893" s="29"/>
      <c r="L893" s="30"/>
      <c r="M893" s="30"/>
      <c r="O893" s="32"/>
      <c r="P893" s="32"/>
      <c r="S893" s="32"/>
    </row>
    <row r="894">
      <c r="D894" s="29"/>
      <c r="F894" s="31"/>
      <c r="G894" s="30"/>
      <c r="H894" s="30"/>
      <c r="J894" s="29"/>
      <c r="L894" s="30"/>
      <c r="M894" s="30"/>
      <c r="O894" s="32"/>
      <c r="P894" s="32"/>
      <c r="S894" s="32"/>
    </row>
    <row r="895">
      <c r="D895" s="29"/>
      <c r="F895" s="31"/>
      <c r="G895" s="30"/>
      <c r="H895" s="30"/>
      <c r="J895" s="29"/>
      <c r="L895" s="30"/>
      <c r="M895" s="30"/>
      <c r="O895" s="32"/>
      <c r="P895" s="32"/>
      <c r="S895" s="32"/>
    </row>
    <row r="896">
      <c r="D896" s="29"/>
      <c r="F896" s="31"/>
      <c r="G896" s="30"/>
      <c r="H896" s="30"/>
      <c r="J896" s="29"/>
      <c r="L896" s="30"/>
      <c r="M896" s="30"/>
      <c r="O896" s="32"/>
      <c r="P896" s="32"/>
      <c r="S896" s="32"/>
    </row>
    <row r="897">
      <c r="D897" s="29"/>
      <c r="F897" s="31"/>
      <c r="G897" s="30"/>
      <c r="H897" s="30"/>
      <c r="J897" s="29"/>
      <c r="L897" s="30"/>
      <c r="M897" s="30"/>
      <c r="O897" s="32"/>
      <c r="P897" s="32"/>
      <c r="S897" s="32"/>
    </row>
    <row r="898">
      <c r="D898" s="29"/>
      <c r="F898" s="31"/>
      <c r="G898" s="30"/>
      <c r="H898" s="30"/>
      <c r="J898" s="29"/>
      <c r="L898" s="30"/>
      <c r="M898" s="30"/>
      <c r="O898" s="32"/>
      <c r="P898" s="32"/>
      <c r="S898" s="32"/>
    </row>
    <row r="899">
      <c r="D899" s="29"/>
      <c r="F899" s="31"/>
      <c r="G899" s="30"/>
      <c r="H899" s="30"/>
      <c r="J899" s="29"/>
      <c r="L899" s="30"/>
      <c r="M899" s="30"/>
      <c r="O899" s="32"/>
      <c r="P899" s="32"/>
      <c r="S899" s="32"/>
    </row>
    <row r="900">
      <c r="D900" s="29"/>
      <c r="F900" s="31"/>
      <c r="G900" s="30"/>
      <c r="H900" s="30"/>
      <c r="J900" s="29"/>
      <c r="L900" s="30"/>
      <c r="M900" s="30"/>
      <c r="O900" s="32"/>
      <c r="P900" s="32"/>
      <c r="S900" s="32"/>
    </row>
    <row r="901">
      <c r="D901" s="29"/>
      <c r="F901" s="31"/>
      <c r="G901" s="30"/>
      <c r="H901" s="30"/>
      <c r="J901" s="29"/>
      <c r="L901" s="30"/>
      <c r="M901" s="30"/>
      <c r="O901" s="32"/>
      <c r="P901" s="32"/>
      <c r="S901" s="32"/>
    </row>
    <row r="902">
      <c r="D902" s="29"/>
      <c r="F902" s="31"/>
      <c r="G902" s="30"/>
      <c r="H902" s="30"/>
      <c r="J902" s="29"/>
      <c r="L902" s="30"/>
      <c r="M902" s="30"/>
      <c r="O902" s="32"/>
      <c r="P902" s="32"/>
      <c r="S902" s="32"/>
    </row>
    <row r="903">
      <c r="D903" s="29"/>
      <c r="F903" s="31"/>
      <c r="G903" s="30"/>
      <c r="H903" s="30"/>
      <c r="J903" s="29"/>
      <c r="L903" s="30"/>
      <c r="M903" s="30"/>
      <c r="O903" s="32"/>
      <c r="P903" s="32"/>
      <c r="S903" s="32"/>
    </row>
    <row r="904">
      <c r="D904" s="29"/>
      <c r="F904" s="31"/>
      <c r="G904" s="30"/>
      <c r="H904" s="30"/>
      <c r="J904" s="29"/>
      <c r="L904" s="30"/>
      <c r="M904" s="30"/>
      <c r="O904" s="32"/>
      <c r="P904" s="32"/>
      <c r="S904" s="32"/>
    </row>
    <row r="905">
      <c r="D905" s="29"/>
      <c r="F905" s="31"/>
      <c r="G905" s="30"/>
      <c r="H905" s="30"/>
      <c r="J905" s="29"/>
      <c r="L905" s="30"/>
      <c r="M905" s="30"/>
      <c r="O905" s="32"/>
      <c r="P905" s="32"/>
      <c r="S905" s="32"/>
    </row>
    <row r="906">
      <c r="D906" s="29"/>
      <c r="F906" s="31"/>
      <c r="G906" s="30"/>
      <c r="H906" s="30"/>
      <c r="J906" s="29"/>
      <c r="L906" s="30"/>
      <c r="M906" s="30"/>
      <c r="O906" s="32"/>
      <c r="P906" s="32"/>
      <c r="S906" s="32"/>
    </row>
    <row r="907">
      <c r="D907" s="29"/>
      <c r="F907" s="31"/>
      <c r="G907" s="30"/>
      <c r="H907" s="30"/>
      <c r="J907" s="29"/>
      <c r="L907" s="30"/>
      <c r="M907" s="30"/>
      <c r="O907" s="32"/>
      <c r="P907" s="32"/>
      <c r="S907" s="32"/>
    </row>
    <row r="908">
      <c r="D908" s="29"/>
      <c r="F908" s="31"/>
      <c r="G908" s="30"/>
      <c r="H908" s="30"/>
      <c r="J908" s="29"/>
      <c r="L908" s="30"/>
      <c r="M908" s="30"/>
      <c r="O908" s="32"/>
      <c r="P908" s="32"/>
      <c r="S908" s="32"/>
    </row>
    <row r="909">
      <c r="D909" s="29"/>
      <c r="F909" s="31"/>
      <c r="G909" s="30"/>
      <c r="H909" s="30"/>
      <c r="J909" s="29"/>
      <c r="L909" s="30"/>
      <c r="M909" s="30"/>
      <c r="O909" s="32"/>
      <c r="P909" s="32"/>
      <c r="S909" s="32"/>
    </row>
    <row r="910">
      <c r="D910" s="29"/>
      <c r="F910" s="31"/>
      <c r="G910" s="30"/>
      <c r="H910" s="30"/>
      <c r="J910" s="29"/>
      <c r="L910" s="30"/>
      <c r="M910" s="30"/>
      <c r="O910" s="32"/>
      <c r="P910" s="32"/>
      <c r="S910" s="32"/>
    </row>
    <row r="911">
      <c r="D911" s="29"/>
      <c r="F911" s="31"/>
      <c r="G911" s="30"/>
      <c r="H911" s="30"/>
      <c r="J911" s="29"/>
      <c r="L911" s="30"/>
      <c r="M911" s="30"/>
      <c r="O911" s="32"/>
      <c r="P911" s="32"/>
      <c r="S911" s="32"/>
    </row>
    <row r="912">
      <c r="D912" s="29"/>
      <c r="F912" s="31"/>
      <c r="G912" s="30"/>
      <c r="H912" s="30"/>
      <c r="J912" s="29"/>
      <c r="L912" s="30"/>
      <c r="M912" s="30"/>
      <c r="O912" s="32"/>
      <c r="P912" s="32"/>
      <c r="S912" s="32"/>
    </row>
    <row r="913">
      <c r="D913" s="29"/>
      <c r="F913" s="31"/>
      <c r="G913" s="30"/>
      <c r="H913" s="30"/>
      <c r="J913" s="29"/>
      <c r="L913" s="30"/>
      <c r="M913" s="30"/>
      <c r="O913" s="32"/>
      <c r="P913" s="32"/>
      <c r="S913" s="32"/>
    </row>
    <row r="914">
      <c r="D914" s="29"/>
      <c r="F914" s="31"/>
      <c r="G914" s="30"/>
      <c r="H914" s="30"/>
      <c r="J914" s="29"/>
      <c r="L914" s="30"/>
      <c r="M914" s="30"/>
      <c r="O914" s="32"/>
      <c r="P914" s="32"/>
      <c r="S914" s="32"/>
    </row>
    <row r="915">
      <c r="D915" s="29"/>
      <c r="F915" s="31"/>
      <c r="G915" s="30"/>
      <c r="H915" s="30"/>
      <c r="J915" s="29"/>
      <c r="L915" s="30"/>
      <c r="M915" s="30"/>
      <c r="O915" s="32"/>
      <c r="P915" s="32"/>
      <c r="S915" s="32"/>
    </row>
    <row r="916">
      <c r="D916" s="29"/>
      <c r="F916" s="31"/>
      <c r="G916" s="30"/>
      <c r="H916" s="30"/>
      <c r="J916" s="29"/>
      <c r="L916" s="30"/>
      <c r="M916" s="30"/>
      <c r="O916" s="32"/>
      <c r="P916" s="32"/>
      <c r="S916" s="32"/>
    </row>
    <row r="917">
      <c r="D917" s="29"/>
      <c r="F917" s="31"/>
      <c r="G917" s="30"/>
      <c r="H917" s="30"/>
      <c r="J917" s="29"/>
      <c r="L917" s="30"/>
      <c r="M917" s="30"/>
      <c r="O917" s="32"/>
      <c r="P917" s="32"/>
      <c r="S917" s="32"/>
    </row>
    <row r="918">
      <c r="D918" s="29"/>
      <c r="F918" s="31"/>
      <c r="G918" s="30"/>
      <c r="H918" s="30"/>
      <c r="J918" s="29"/>
      <c r="L918" s="30"/>
      <c r="M918" s="30"/>
      <c r="O918" s="32"/>
      <c r="P918" s="32"/>
      <c r="S918" s="32"/>
    </row>
    <row r="919">
      <c r="D919" s="29"/>
      <c r="F919" s="31"/>
      <c r="G919" s="30"/>
      <c r="H919" s="30"/>
      <c r="J919" s="29"/>
      <c r="L919" s="30"/>
      <c r="M919" s="30"/>
      <c r="O919" s="32"/>
      <c r="P919" s="32"/>
      <c r="S919" s="32"/>
    </row>
    <row r="920">
      <c r="D920" s="29"/>
      <c r="F920" s="31"/>
      <c r="G920" s="30"/>
      <c r="H920" s="30"/>
      <c r="J920" s="29"/>
      <c r="L920" s="30"/>
      <c r="M920" s="30"/>
      <c r="O920" s="32"/>
      <c r="P920" s="32"/>
      <c r="S920" s="32"/>
    </row>
    <row r="921">
      <c r="D921" s="29"/>
      <c r="F921" s="31"/>
      <c r="G921" s="30"/>
      <c r="H921" s="30"/>
      <c r="J921" s="29"/>
      <c r="L921" s="30"/>
      <c r="M921" s="30"/>
      <c r="O921" s="32"/>
      <c r="P921" s="32"/>
      <c r="S921" s="32"/>
    </row>
    <row r="922">
      <c r="D922" s="29"/>
      <c r="F922" s="31"/>
      <c r="G922" s="30"/>
      <c r="H922" s="30"/>
      <c r="J922" s="29"/>
      <c r="L922" s="30"/>
      <c r="M922" s="30"/>
      <c r="O922" s="32"/>
      <c r="P922" s="32"/>
      <c r="S922" s="32"/>
    </row>
    <row r="923">
      <c r="D923" s="29"/>
      <c r="F923" s="31"/>
      <c r="G923" s="30"/>
      <c r="H923" s="30"/>
      <c r="J923" s="29"/>
      <c r="L923" s="30"/>
      <c r="M923" s="30"/>
      <c r="O923" s="32"/>
      <c r="P923" s="32"/>
      <c r="S923" s="32"/>
    </row>
    <row r="924">
      <c r="D924" s="29"/>
      <c r="F924" s="31"/>
      <c r="G924" s="30"/>
      <c r="H924" s="30"/>
      <c r="J924" s="29"/>
      <c r="L924" s="30"/>
      <c r="M924" s="30"/>
      <c r="O924" s="32"/>
      <c r="P924" s="32"/>
      <c r="S924" s="32"/>
    </row>
    <row r="925">
      <c r="D925" s="29"/>
      <c r="F925" s="31"/>
      <c r="G925" s="30"/>
      <c r="H925" s="30"/>
      <c r="J925" s="29"/>
      <c r="L925" s="30"/>
      <c r="M925" s="30"/>
      <c r="O925" s="32"/>
      <c r="P925" s="32"/>
      <c r="S925" s="32"/>
    </row>
    <row r="926">
      <c r="D926" s="29"/>
      <c r="F926" s="31"/>
      <c r="G926" s="30"/>
      <c r="H926" s="30"/>
      <c r="J926" s="29"/>
      <c r="L926" s="30"/>
      <c r="M926" s="30"/>
      <c r="O926" s="32"/>
      <c r="P926" s="32"/>
      <c r="S926" s="32"/>
    </row>
    <row r="927">
      <c r="D927" s="29"/>
      <c r="F927" s="31"/>
      <c r="G927" s="30"/>
      <c r="H927" s="30"/>
      <c r="J927" s="29"/>
      <c r="L927" s="30"/>
      <c r="M927" s="30"/>
      <c r="O927" s="32"/>
      <c r="P927" s="32"/>
      <c r="S927" s="32"/>
    </row>
    <row r="928">
      <c r="D928" s="29"/>
      <c r="F928" s="31"/>
      <c r="G928" s="30"/>
      <c r="H928" s="30"/>
      <c r="J928" s="29"/>
      <c r="L928" s="30"/>
      <c r="M928" s="30"/>
      <c r="O928" s="32"/>
      <c r="P928" s="32"/>
      <c r="S928" s="32"/>
    </row>
    <row r="929">
      <c r="D929" s="29"/>
      <c r="F929" s="31"/>
      <c r="G929" s="30"/>
      <c r="H929" s="30"/>
      <c r="J929" s="29"/>
      <c r="L929" s="30"/>
      <c r="M929" s="30"/>
      <c r="O929" s="32"/>
      <c r="P929" s="32"/>
      <c r="S929" s="32"/>
    </row>
    <row r="930">
      <c r="D930" s="29"/>
      <c r="F930" s="31"/>
      <c r="G930" s="30"/>
      <c r="H930" s="30"/>
      <c r="J930" s="29"/>
      <c r="L930" s="30"/>
      <c r="M930" s="30"/>
      <c r="O930" s="32"/>
      <c r="P930" s="32"/>
      <c r="S930" s="32"/>
    </row>
    <row r="931">
      <c r="D931" s="29"/>
      <c r="F931" s="31"/>
      <c r="G931" s="30"/>
      <c r="H931" s="30"/>
      <c r="J931" s="29"/>
      <c r="L931" s="30"/>
      <c r="M931" s="30"/>
      <c r="O931" s="32"/>
      <c r="P931" s="32"/>
      <c r="S931" s="32"/>
    </row>
    <row r="932">
      <c r="D932" s="29"/>
      <c r="F932" s="31"/>
      <c r="G932" s="30"/>
      <c r="H932" s="30"/>
      <c r="J932" s="29"/>
      <c r="L932" s="30"/>
      <c r="M932" s="30"/>
      <c r="O932" s="32"/>
      <c r="P932" s="32"/>
      <c r="S932" s="3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13"/>
    <col customWidth="1" min="2" max="16" width="9.5"/>
  </cols>
  <sheetData>
    <row r="1">
      <c r="A1" s="1"/>
      <c r="B1" s="3" t="s">
        <v>0</v>
      </c>
      <c r="C1" s="2" t="s">
        <v>2</v>
      </c>
      <c r="D1" s="2" t="s">
        <v>3</v>
      </c>
      <c r="E1" s="2" t="s">
        <v>4</v>
      </c>
      <c r="F1" s="2" t="s">
        <v>6</v>
      </c>
      <c r="G1" s="6" t="s">
        <v>8</v>
      </c>
      <c r="H1" s="6" t="s">
        <v>10</v>
      </c>
      <c r="I1" s="2" t="s">
        <v>12</v>
      </c>
      <c r="J1" s="2" t="s">
        <v>14</v>
      </c>
      <c r="K1" s="2" t="s">
        <v>16</v>
      </c>
      <c r="L1" s="6" t="s">
        <v>19</v>
      </c>
      <c r="M1" s="6" t="s">
        <v>22</v>
      </c>
      <c r="N1" s="2" t="s">
        <v>24</v>
      </c>
      <c r="O1" s="9" t="s">
        <v>26</v>
      </c>
      <c r="P1" s="9" t="s">
        <v>28</v>
      </c>
    </row>
    <row r="2">
      <c r="A2" s="2" t="s">
        <v>95</v>
      </c>
      <c r="B2" s="10">
        <v>3.0</v>
      </c>
      <c r="C2" s="12">
        <f t="shared" ref="C2:C139" si="1">B2*4</f>
        <v>12</v>
      </c>
      <c r="D2" s="11">
        <v>8.0</v>
      </c>
      <c r="E2" s="11">
        <v>2.0</v>
      </c>
      <c r="F2" s="12">
        <f t="shared" ref="F2:F139" si="2">D2+E2</f>
        <v>10</v>
      </c>
      <c r="G2" s="16">
        <f t="shared" ref="G2:G139" si="3">F2/C2</f>
        <v>0.8333333333</v>
      </c>
      <c r="H2" s="16">
        <f t="shared" ref="H2:H46" si="4">D2/F2</f>
        <v>0.8</v>
      </c>
      <c r="I2" s="12">
        <f t="shared" ref="I2:I139" si="5">J2+K2</f>
        <v>2</v>
      </c>
      <c r="J2" s="11">
        <v>1.0</v>
      </c>
      <c r="K2" s="11">
        <v>1.0</v>
      </c>
      <c r="L2" s="16">
        <f t="shared" ref="L2:L139" si="6">I2/C2</f>
        <v>0.1666666667</v>
      </c>
      <c r="M2" s="16">
        <f t="shared" ref="M2:M4" si="7">J2/I2</f>
        <v>0.5</v>
      </c>
      <c r="N2" s="12">
        <f t="shared" ref="N2:N139" si="8">4*(D2-K2)</f>
        <v>28</v>
      </c>
      <c r="O2" s="18">
        <f t="shared" ref="O2:O139" si="9">N2/C2</f>
        <v>2.333333333</v>
      </c>
      <c r="P2" s="18">
        <f t="shared" ref="P2:P139" si="10">N2/B2</f>
        <v>9.333333333</v>
      </c>
    </row>
    <row r="3">
      <c r="A3" s="2" t="s">
        <v>69</v>
      </c>
      <c r="B3" s="10">
        <v>3.0</v>
      </c>
      <c r="C3" s="12">
        <f t="shared" si="1"/>
        <v>12</v>
      </c>
      <c r="D3" s="11">
        <v>5.0</v>
      </c>
      <c r="E3" s="11">
        <v>4.0</v>
      </c>
      <c r="F3" s="12">
        <f t="shared" si="2"/>
        <v>9</v>
      </c>
      <c r="G3" s="16">
        <f t="shared" si="3"/>
        <v>0.75</v>
      </c>
      <c r="H3" s="16">
        <f t="shared" si="4"/>
        <v>0.5555555556</v>
      </c>
      <c r="I3" s="12">
        <f t="shared" si="5"/>
        <v>1</v>
      </c>
      <c r="J3" s="11">
        <v>1.0</v>
      </c>
      <c r="K3" s="11">
        <v>0.0</v>
      </c>
      <c r="L3" s="16">
        <f t="shared" si="6"/>
        <v>0.08333333333</v>
      </c>
      <c r="M3" s="16">
        <f t="shared" si="7"/>
        <v>1</v>
      </c>
      <c r="N3" s="12">
        <f t="shared" si="8"/>
        <v>20</v>
      </c>
      <c r="O3" s="18">
        <f t="shared" si="9"/>
        <v>1.666666667</v>
      </c>
      <c r="P3" s="18">
        <f t="shared" si="10"/>
        <v>6.666666667</v>
      </c>
    </row>
    <row r="4">
      <c r="A4" s="2" t="s">
        <v>54</v>
      </c>
      <c r="B4" s="10">
        <v>3.0</v>
      </c>
      <c r="C4" s="12">
        <f t="shared" si="1"/>
        <v>12</v>
      </c>
      <c r="D4" s="11">
        <v>4.0</v>
      </c>
      <c r="E4" s="11">
        <v>1.0</v>
      </c>
      <c r="F4" s="12">
        <f t="shared" si="2"/>
        <v>5</v>
      </c>
      <c r="G4" s="16">
        <f t="shared" si="3"/>
        <v>0.4166666667</v>
      </c>
      <c r="H4" s="16">
        <f t="shared" si="4"/>
        <v>0.8</v>
      </c>
      <c r="I4" s="12">
        <f t="shared" si="5"/>
        <v>1</v>
      </c>
      <c r="J4" s="11">
        <v>1.0</v>
      </c>
      <c r="K4" s="11">
        <v>0.0</v>
      </c>
      <c r="L4" s="16">
        <f t="shared" si="6"/>
        <v>0.08333333333</v>
      </c>
      <c r="M4" s="16">
        <f t="shared" si="7"/>
        <v>1</v>
      </c>
      <c r="N4" s="12">
        <f t="shared" si="8"/>
        <v>16</v>
      </c>
      <c r="O4" s="18">
        <f t="shared" si="9"/>
        <v>1.333333333</v>
      </c>
      <c r="P4" s="18">
        <f t="shared" si="10"/>
        <v>5.333333333</v>
      </c>
    </row>
    <row r="5">
      <c r="A5" s="2" t="s">
        <v>151</v>
      </c>
      <c r="B5" s="10">
        <v>3.0</v>
      </c>
      <c r="C5" s="12">
        <f t="shared" si="1"/>
        <v>12</v>
      </c>
      <c r="D5" s="11">
        <v>4.0</v>
      </c>
      <c r="E5" s="20">
        <v>1.0</v>
      </c>
      <c r="F5" s="21">
        <f t="shared" si="2"/>
        <v>5</v>
      </c>
      <c r="G5" s="23">
        <f t="shared" si="3"/>
        <v>0.4166666667</v>
      </c>
      <c r="H5" s="23">
        <f t="shared" si="4"/>
        <v>0.8</v>
      </c>
      <c r="I5" s="12">
        <f t="shared" si="5"/>
        <v>0</v>
      </c>
      <c r="J5" s="11">
        <v>0.0</v>
      </c>
      <c r="K5" s="11">
        <v>0.0</v>
      </c>
      <c r="L5" s="16">
        <f t="shared" si="6"/>
        <v>0</v>
      </c>
      <c r="M5" s="11" t="s">
        <v>41</v>
      </c>
      <c r="N5" s="12">
        <f t="shared" si="8"/>
        <v>16</v>
      </c>
      <c r="O5" s="18">
        <f t="shared" si="9"/>
        <v>1.333333333</v>
      </c>
      <c r="P5" s="18">
        <f t="shared" si="10"/>
        <v>5.333333333</v>
      </c>
    </row>
    <row r="6">
      <c r="A6" s="2" t="s">
        <v>142</v>
      </c>
      <c r="B6" s="10">
        <v>3.0</v>
      </c>
      <c r="C6" s="12">
        <f t="shared" si="1"/>
        <v>12</v>
      </c>
      <c r="D6" s="11">
        <v>5.0</v>
      </c>
      <c r="E6" s="20">
        <v>2.0</v>
      </c>
      <c r="F6" s="21">
        <f t="shared" si="2"/>
        <v>7</v>
      </c>
      <c r="G6" s="23">
        <f t="shared" si="3"/>
        <v>0.5833333333</v>
      </c>
      <c r="H6" s="23">
        <f t="shared" si="4"/>
        <v>0.7142857143</v>
      </c>
      <c r="I6" s="12">
        <f t="shared" si="5"/>
        <v>1</v>
      </c>
      <c r="J6" s="11">
        <v>0.0</v>
      </c>
      <c r="K6" s="11">
        <v>1.0</v>
      </c>
      <c r="L6" s="16">
        <f t="shared" si="6"/>
        <v>0.08333333333</v>
      </c>
      <c r="M6" s="16">
        <f>J6/I6</f>
        <v>0</v>
      </c>
      <c r="N6" s="12">
        <f t="shared" si="8"/>
        <v>16</v>
      </c>
      <c r="O6" s="18">
        <f t="shared" si="9"/>
        <v>1.333333333</v>
      </c>
      <c r="P6" s="18">
        <f t="shared" si="10"/>
        <v>5.333333333</v>
      </c>
    </row>
    <row r="7">
      <c r="A7" s="2" t="s">
        <v>49</v>
      </c>
      <c r="B7" s="10">
        <v>3.0</v>
      </c>
      <c r="C7" s="12">
        <f t="shared" si="1"/>
        <v>12</v>
      </c>
      <c r="D7" s="11">
        <v>4.0</v>
      </c>
      <c r="E7" s="11">
        <v>2.0</v>
      </c>
      <c r="F7" s="12">
        <f t="shared" si="2"/>
        <v>6</v>
      </c>
      <c r="G7" s="16">
        <f t="shared" si="3"/>
        <v>0.5</v>
      </c>
      <c r="H7" s="16">
        <f t="shared" si="4"/>
        <v>0.6666666667</v>
      </c>
      <c r="I7" s="12">
        <f t="shared" si="5"/>
        <v>0</v>
      </c>
      <c r="J7" s="11">
        <v>0.0</v>
      </c>
      <c r="K7" s="11">
        <v>0.0</v>
      </c>
      <c r="L7" s="16">
        <f t="shared" si="6"/>
        <v>0</v>
      </c>
      <c r="M7" s="11" t="s">
        <v>41</v>
      </c>
      <c r="N7" s="12">
        <f t="shared" si="8"/>
        <v>16</v>
      </c>
      <c r="O7" s="18">
        <f t="shared" si="9"/>
        <v>1.333333333</v>
      </c>
      <c r="P7" s="18">
        <f t="shared" si="10"/>
        <v>5.333333333</v>
      </c>
    </row>
    <row r="8">
      <c r="A8" s="2" t="s">
        <v>118</v>
      </c>
      <c r="B8" s="10">
        <v>3.0</v>
      </c>
      <c r="C8" s="12">
        <f t="shared" si="1"/>
        <v>12</v>
      </c>
      <c r="D8" s="11">
        <v>3.0</v>
      </c>
      <c r="E8" s="20">
        <v>0.0</v>
      </c>
      <c r="F8" s="21">
        <f t="shared" si="2"/>
        <v>3</v>
      </c>
      <c r="G8" s="23">
        <f t="shared" si="3"/>
        <v>0.25</v>
      </c>
      <c r="H8" s="23">
        <f t="shared" si="4"/>
        <v>1</v>
      </c>
      <c r="I8" s="12">
        <f t="shared" si="5"/>
        <v>1</v>
      </c>
      <c r="J8" s="11">
        <v>1.0</v>
      </c>
      <c r="K8" s="11">
        <v>0.0</v>
      </c>
      <c r="L8" s="16">
        <f t="shared" si="6"/>
        <v>0.08333333333</v>
      </c>
      <c r="M8" s="16">
        <f>J8/I8</f>
        <v>1</v>
      </c>
      <c r="N8" s="12">
        <f t="shared" si="8"/>
        <v>12</v>
      </c>
      <c r="O8" s="18">
        <f t="shared" si="9"/>
        <v>1</v>
      </c>
      <c r="P8" s="18">
        <f t="shared" si="10"/>
        <v>4</v>
      </c>
    </row>
    <row r="9">
      <c r="A9" s="2" t="s">
        <v>60</v>
      </c>
      <c r="B9" s="10">
        <v>3.0</v>
      </c>
      <c r="C9" s="12">
        <f t="shared" si="1"/>
        <v>12</v>
      </c>
      <c r="D9" s="11">
        <v>3.0</v>
      </c>
      <c r="E9" s="11">
        <v>1.0</v>
      </c>
      <c r="F9" s="12">
        <f t="shared" si="2"/>
        <v>4</v>
      </c>
      <c r="G9" s="16">
        <f t="shared" si="3"/>
        <v>0.3333333333</v>
      </c>
      <c r="H9" s="16">
        <f t="shared" si="4"/>
        <v>0.75</v>
      </c>
      <c r="I9" s="12">
        <f t="shared" si="5"/>
        <v>0</v>
      </c>
      <c r="J9" s="11">
        <v>0.0</v>
      </c>
      <c r="K9" s="11">
        <v>0.0</v>
      </c>
      <c r="L9" s="16">
        <f t="shared" si="6"/>
        <v>0</v>
      </c>
      <c r="M9" s="11" t="s">
        <v>41</v>
      </c>
      <c r="N9" s="12">
        <f t="shared" si="8"/>
        <v>12</v>
      </c>
      <c r="O9" s="18">
        <f t="shared" si="9"/>
        <v>1</v>
      </c>
      <c r="P9" s="18">
        <f t="shared" si="10"/>
        <v>4</v>
      </c>
    </row>
    <row r="10">
      <c r="A10" s="2" t="s">
        <v>57</v>
      </c>
      <c r="B10" s="10">
        <v>3.0</v>
      </c>
      <c r="C10" s="12">
        <f t="shared" si="1"/>
        <v>12</v>
      </c>
      <c r="D10" s="11">
        <v>3.0</v>
      </c>
      <c r="E10" s="11">
        <v>1.0</v>
      </c>
      <c r="F10" s="12">
        <f t="shared" si="2"/>
        <v>4</v>
      </c>
      <c r="G10" s="16">
        <f t="shared" si="3"/>
        <v>0.3333333333</v>
      </c>
      <c r="H10" s="16">
        <f t="shared" si="4"/>
        <v>0.75</v>
      </c>
      <c r="I10" s="12">
        <f t="shared" si="5"/>
        <v>0</v>
      </c>
      <c r="J10" s="11">
        <v>0.0</v>
      </c>
      <c r="K10" s="11">
        <v>0.0</v>
      </c>
      <c r="L10" s="16">
        <f t="shared" si="6"/>
        <v>0</v>
      </c>
      <c r="M10" s="11" t="s">
        <v>41</v>
      </c>
      <c r="N10" s="12">
        <f t="shared" si="8"/>
        <v>12</v>
      </c>
      <c r="O10" s="18">
        <f t="shared" si="9"/>
        <v>1</v>
      </c>
      <c r="P10" s="18">
        <f t="shared" si="10"/>
        <v>4</v>
      </c>
    </row>
    <row r="11">
      <c r="A11" s="2" t="s">
        <v>102</v>
      </c>
      <c r="B11" s="10">
        <v>3.0</v>
      </c>
      <c r="C11" s="12">
        <f t="shared" si="1"/>
        <v>12</v>
      </c>
      <c r="D11" s="11">
        <v>3.0</v>
      </c>
      <c r="E11" s="11">
        <v>1.0</v>
      </c>
      <c r="F11" s="12">
        <f t="shared" si="2"/>
        <v>4</v>
      </c>
      <c r="G11" s="16">
        <f t="shared" si="3"/>
        <v>0.3333333333</v>
      </c>
      <c r="H11" s="16">
        <f t="shared" si="4"/>
        <v>0.75</v>
      </c>
      <c r="I11" s="12">
        <f t="shared" si="5"/>
        <v>0</v>
      </c>
      <c r="J11" s="11">
        <v>0.0</v>
      </c>
      <c r="K11" s="11">
        <v>0.0</v>
      </c>
      <c r="L11" s="16">
        <f t="shared" si="6"/>
        <v>0</v>
      </c>
      <c r="M11" s="11" t="s">
        <v>41</v>
      </c>
      <c r="N11" s="12">
        <f t="shared" si="8"/>
        <v>12</v>
      </c>
      <c r="O11" s="18">
        <f t="shared" si="9"/>
        <v>1</v>
      </c>
      <c r="P11" s="18">
        <f t="shared" si="10"/>
        <v>4</v>
      </c>
    </row>
    <row r="12">
      <c r="A12" s="2" t="s">
        <v>108</v>
      </c>
      <c r="B12" s="10">
        <v>3.0</v>
      </c>
      <c r="C12" s="12">
        <f t="shared" si="1"/>
        <v>12</v>
      </c>
      <c r="D12" s="11">
        <v>3.0</v>
      </c>
      <c r="E12" s="11">
        <v>2.0</v>
      </c>
      <c r="F12" s="12">
        <f t="shared" si="2"/>
        <v>5</v>
      </c>
      <c r="G12" s="16">
        <f t="shared" si="3"/>
        <v>0.4166666667</v>
      </c>
      <c r="H12" s="16">
        <f t="shared" si="4"/>
        <v>0.6</v>
      </c>
      <c r="I12" s="12">
        <f t="shared" si="5"/>
        <v>1</v>
      </c>
      <c r="J12" s="11">
        <v>1.0</v>
      </c>
      <c r="K12" s="11">
        <v>0.0</v>
      </c>
      <c r="L12" s="16">
        <f t="shared" si="6"/>
        <v>0.08333333333</v>
      </c>
      <c r="M12" s="16">
        <f>J12/I12</f>
        <v>1</v>
      </c>
      <c r="N12" s="12">
        <f t="shared" si="8"/>
        <v>12</v>
      </c>
      <c r="O12" s="18">
        <f t="shared" si="9"/>
        <v>1</v>
      </c>
      <c r="P12" s="18">
        <f t="shared" si="10"/>
        <v>4</v>
      </c>
    </row>
    <row r="13">
      <c r="A13" s="2" t="s">
        <v>120</v>
      </c>
      <c r="B13" s="10">
        <v>3.0</v>
      </c>
      <c r="C13" s="12">
        <f t="shared" si="1"/>
        <v>12</v>
      </c>
      <c r="D13" s="11">
        <v>3.0</v>
      </c>
      <c r="E13" s="11">
        <v>3.0</v>
      </c>
      <c r="F13" s="12">
        <f t="shared" si="2"/>
        <v>6</v>
      </c>
      <c r="G13" s="16">
        <f t="shared" si="3"/>
        <v>0.5</v>
      </c>
      <c r="H13" s="16">
        <f t="shared" si="4"/>
        <v>0.5</v>
      </c>
      <c r="I13" s="12">
        <f t="shared" si="5"/>
        <v>0</v>
      </c>
      <c r="J13" s="11">
        <v>0.0</v>
      </c>
      <c r="K13" s="11">
        <v>0.0</v>
      </c>
      <c r="L13" s="16">
        <f t="shared" si="6"/>
        <v>0</v>
      </c>
      <c r="M13" s="11" t="s">
        <v>41</v>
      </c>
      <c r="N13" s="12">
        <f t="shared" si="8"/>
        <v>12</v>
      </c>
      <c r="O13" s="18">
        <f t="shared" si="9"/>
        <v>1</v>
      </c>
      <c r="P13" s="18">
        <f t="shared" si="10"/>
        <v>4</v>
      </c>
    </row>
    <row r="14">
      <c r="A14" s="2" t="s">
        <v>74</v>
      </c>
      <c r="B14" s="10">
        <v>2.0</v>
      </c>
      <c r="C14" s="12">
        <f t="shared" si="1"/>
        <v>8</v>
      </c>
      <c r="D14" s="11">
        <v>2.0</v>
      </c>
      <c r="E14" s="20">
        <v>2.0</v>
      </c>
      <c r="F14" s="21">
        <f t="shared" si="2"/>
        <v>4</v>
      </c>
      <c r="G14" s="23">
        <f t="shared" si="3"/>
        <v>0.5</v>
      </c>
      <c r="H14" s="23">
        <f t="shared" si="4"/>
        <v>0.5</v>
      </c>
      <c r="I14" s="12">
        <f t="shared" si="5"/>
        <v>0</v>
      </c>
      <c r="J14" s="11">
        <v>0.0</v>
      </c>
      <c r="K14" s="11">
        <v>0.0</v>
      </c>
      <c r="L14" s="16">
        <f t="shared" si="6"/>
        <v>0</v>
      </c>
      <c r="M14" s="11" t="s">
        <v>41</v>
      </c>
      <c r="N14" s="12">
        <f t="shared" si="8"/>
        <v>8</v>
      </c>
      <c r="O14" s="18">
        <f t="shared" si="9"/>
        <v>1</v>
      </c>
      <c r="P14" s="18">
        <f t="shared" si="10"/>
        <v>4</v>
      </c>
    </row>
    <row r="15">
      <c r="A15" s="2" t="s">
        <v>130</v>
      </c>
      <c r="B15" s="10">
        <v>1.0</v>
      </c>
      <c r="C15" s="12">
        <f t="shared" si="1"/>
        <v>4</v>
      </c>
      <c r="D15" s="11">
        <v>1.0</v>
      </c>
      <c r="E15" s="11">
        <v>1.0</v>
      </c>
      <c r="F15" s="12">
        <f t="shared" si="2"/>
        <v>2</v>
      </c>
      <c r="G15" s="16">
        <f t="shared" si="3"/>
        <v>0.5</v>
      </c>
      <c r="H15" s="16">
        <f t="shared" si="4"/>
        <v>0.5</v>
      </c>
      <c r="I15" s="12">
        <f t="shared" si="5"/>
        <v>1</v>
      </c>
      <c r="J15" s="11">
        <v>1.0</v>
      </c>
      <c r="K15" s="11">
        <v>0.0</v>
      </c>
      <c r="L15" s="16">
        <f t="shared" si="6"/>
        <v>0.25</v>
      </c>
      <c r="M15" s="16">
        <f>J15/I15</f>
        <v>1</v>
      </c>
      <c r="N15" s="12">
        <f t="shared" si="8"/>
        <v>4</v>
      </c>
      <c r="O15" s="18">
        <f t="shared" si="9"/>
        <v>1</v>
      </c>
      <c r="P15" s="18">
        <f t="shared" si="10"/>
        <v>4</v>
      </c>
    </row>
    <row r="16">
      <c r="A16" s="2" t="s">
        <v>40</v>
      </c>
      <c r="B16" s="10">
        <v>1.0</v>
      </c>
      <c r="C16" s="12">
        <f t="shared" si="1"/>
        <v>4</v>
      </c>
      <c r="D16" s="11">
        <v>1.0</v>
      </c>
      <c r="E16" s="11">
        <v>1.0</v>
      </c>
      <c r="F16" s="12">
        <f t="shared" si="2"/>
        <v>2</v>
      </c>
      <c r="G16" s="16">
        <f t="shared" si="3"/>
        <v>0.5</v>
      </c>
      <c r="H16" s="16">
        <f t="shared" si="4"/>
        <v>0.5</v>
      </c>
      <c r="I16" s="12">
        <f t="shared" si="5"/>
        <v>0</v>
      </c>
      <c r="J16" s="11">
        <v>0.0</v>
      </c>
      <c r="K16" s="11">
        <v>0.0</v>
      </c>
      <c r="L16" s="16">
        <f t="shared" si="6"/>
        <v>0</v>
      </c>
      <c r="M16" s="11" t="s">
        <v>41</v>
      </c>
      <c r="N16" s="12">
        <f t="shared" si="8"/>
        <v>4</v>
      </c>
      <c r="O16" s="18">
        <f t="shared" si="9"/>
        <v>1</v>
      </c>
      <c r="P16" s="18">
        <f t="shared" si="10"/>
        <v>4</v>
      </c>
    </row>
    <row r="17">
      <c r="A17" s="2" t="s">
        <v>92</v>
      </c>
      <c r="B17" s="10">
        <v>2.0</v>
      </c>
      <c r="C17" s="12">
        <f t="shared" si="1"/>
        <v>8</v>
      </c>
      <c r="D17" s="11">
        <v>2.0</v>
      </c>
      <c r="E17" s="20">
        <v>3.0</v>
      </c>
      <c r="F17" s="21">
        <f t="shared" si="2"/>
        <v>5</v>
      </c>
      <c r="G17" s="23">
        <f t="shared" si="3"/>
        <v>0.625</v>
      </c>
      <c r="H17" s="23">
        <f t="shared" si="4"/>
        <v>0.4</v>
      </c>
      <c r="I17" s="12">
        <f t="shared" si="5"/>
        <v>1</v>
      </c>
      <c r="J17" s="11">
        <v>1.0</v>
      </c>
      <c r="K17" s="11">
        <v>0.0</v>
      </c>
      <c r="L17" s="16">
        <f t="shared" si="6"/>
        <v>0.125</v>
      </c>
      <c r="M17" s="16">
        <f>J17/I17</f>
        <v>1</v>
      </c>
      <c r="N17" s="12">
        <f t="shared" si="8"/>
        <v>8</v>
      </c>
      <c r="O17" s="18">
        <f t="shared" si="9"/>
        <v>1</v>
      </c>
      <c r="P17" s="18">
        <f t="shared" si="10"/>
        <v>4</v>
      </c>
    </row>
    <row r="18">
      <c r="A18" s="2" t="s">
        <v>42</v>
      </c>
      <c r="B18" s="10">
        <v>3.0</v>
      </c>
      <c r="C18" s="12">
        <f t="shared" si="1"/>
        <v>12</v>
      </c>
      <c r="D18" s="11">
        <v>2.0</v>
      </c>
      <c r="E18" s="20">
        <v>0.0</v>
      </c>
      <c r="F18" s="21">
        <f t="shared" si="2"/>
        <v>2</v>
      </c>
      <c r="G18" s="23">
        <f t="shared" si="3"/>
        <v>0.1666666667</v>
      </c>
      <c r="H18" s="23">
        <f t="shared" si="4"/>
        <v>1</v>
      </c>
      <c r="I18" s="12">
        <f t="shared" si="5"/>
        <v>0</v>
      </c>
      <c r="J18" s="11">
        <v>0.0</v>
      </c>
      <c r="K18" s="11">
        <v>0.0</v>
      </c>
      <c r="L18" s="16">
        <f t="shared" si="6"/>
        <v>0</v>
      </c>
      <c r="M18" s="11" t="s">
        <v>41</v>
      </c>
      <c r="N18" s="12">
        <f t="shared" si="8"/>
        <v>8</v>
      </c>
      <c r="O18" s="18">
        <f t="shared" si="9"/>
        <v>0.6666666667</v>
      </c>
      <c r="P18" s="18">
        <f t="shared" si="10"/>
        <v>2.666666667</v>
      </c>
    </row>
    <row r="19">
      <c r="A19" s="2" t="s">
        <v>143</v>
      </c>
      <c r="B19" s="10">
        <v>3.0</v>
      </c>
      <c r="C19" s="12">
        <f t="shared" si="1"/>
        <v>12</v>
      </c>
      <c r="D19" s="11">
        <v>2.0</v>
      </c>
      <c r="E19" s="11">
        <v>1.0</v>
      </c>
      <c r="F19" s="12">
        <f t="shared" si="2"/>
        <v>3</v>
      </c>
      <c r="G19" s="16">
        <f t="shared" si="3"/>
        <v>0.25</v>
      </c>
      <c r="H19" s="16">
        <f t="shared" si="4"/>
        <v>0.6666666667</v>
      </c>
      <c r="I19" s="12">
        <f t="shared" si="5"/>
        <v>0</v>
      </c>
      <c r="J19" s="11">
        <v>0.0</v>
      </c>
      <c r="K19" s="11">
        <v>0.0</v>
      </c>
      <c r="L19" s="16">
        <f t="shared" si="6"/>
        <v>0</v>
      </c>
      <c r="M19" s="11" t="s">
        <v>41</v>
      </c>
      <c r="N19" s="12">
        <f t="shared" si="8"/>
        <v>8</v>
      </c>
      <c r="O19" s="18">
        <f t="shared" si="9"/>
        <v>0.6666666667</v>
      </c>
      <c r="P19" s="18">
        <f t="shared" si="10"/>
        <v>2.666666667</v>
      </c>
    </row>
    <row r="20">
      <c r="A20" s="2" t="s">
        <v>196</v>
      </c>
      <c r="B20" s="10">
        <v>3.0</v>
      </c>
      <c r="C20" s="12">
        <f t="shared" si="1"/>
        <v>12</v>
      </c>
      <c r="D20" s="11">
        <v>2.0</v>
      </c>
      <c r="E20" s="11">
        <v>1.0</v>
      </c>
      <c r="F20" s="12">
        <f t="shared" si="2"/>
        <v>3</v>
      </c>
      <c r="G20" s="16">
        <f t="shared" si="3"/>
        <v>0.25</v>
      </c>
      <c r="H20" s="16">
        <f t="shared" si="4"/>
        <v>0.6666666667</v>
      </c>
      <c r="I20" s="12">
        <f t="shared" si="5"/>
        <v>0</v>
      </c>
      <c r="J20" s="11">
        <v>0.0</v>
      </c>
      <c r="K20" s="11">
        <v>0.0</v>
      </c>
      <c r="L20" s="16">
        <f t="shared" si="6"/>
        <v>0</v>
      </c>
      <c r="M20" s="11" t="s">
        <v>41</v>
      </c>
      <c r="N20" s="12">
        <f t="shared" si="8"/>
        <v>8</v>
      </c>
      <c r="O20" s="18">
        <f t="shared" si="9"/>
        <v>0.6666666667</v>
      </c>
      <c r="P20" s="18">
        <f t="shared" si="10"/>
        <v>2.666666667</v>
      </c>
    </row>
    <row r="21">
      <c r="A21" s="2" t="s">
        <v>136</v>
      </c>
      <c r="B21" s="10">
        <v>3.0</v>
      </c>
      <c r="C21" s="12">
        <f t="shared" si="1"/>
        <v>12</v>
      </c>
      <c r="D21" s="11">
        <v>2.0</v>
      </c>
      <c r="E21" s="11">
        <v>2.0</v>
      </c>
      <c r="F21" s="12">
        <f t="shared" si="2"/>
        <v>4</v>
      </c>
      <c r="G21" s="16">
        <f t="shared" si="3"/>
        <v>0.3333333333</v>
      </c>
      <c r="H21" s="16">
        <f t="shared" si="4"/>
        <v>0.5</v>
      </c>
      <c r="I21" s="12">
        <f t="shared" si="5"/>
        <v>1</v>
      </c>
      <c r="J21" s="11">
        <v>1.0</v>
      </c>
      <c r="K21" s="11">
        <v>0.0</v>
      </c>
      <c r="L21" s="16">
        <f t="shared" si="6"/>
        <v>0.08333333333</v>
      </c>
      <c r="M21" s="16">
        <f t="shared" ref="M21:M24" si="11">J21/I21</f>
        <v>1</v>
      </c>
      <c r="N21" s="12">
        <f t="shared" si="8"/>
        <v>8</v>
      </c>
      <c r="O21" s="18">
        <f t="shared" si="9"/>
        <v>0.6666666667</v>
      </c>
      <c r="P21" s="18">
        <f t="shared" si="10"/>
        <v>2.666666667</v>
      </c>
    </row>
    <row r="22">
      <c r="A22" s="2" t="s">
        <v>86</v>
      </c>
      <c r="B22" s="10">
        <v>3.0</v>
      </c>
      <c r="C22" s="12">
        <f t="shared" si="1"/>
        <v>12</v>
      </c>
      <c r="D22" s="11">
        <v>2.0</v>
      </c>
      <c r="E22" s="11">
        <v>3.0</v>
      </c>
      <c r="F22" s="12">
        <f t="shared" si="2"/>
        <v>5</v>
      </c>
      <c r="G22" s="16">
        <f t="shared" si="3"/>
        <v>0.4166666667</v>
      </c>
      <c r="H22" s="16">
        <f t="shared" si="4"/>
        <v>0.4</v>
      </c>
      <c r="I22" s="12">
        <f t="shared" si="5"/>
        <v>1</v>
      </c>
      <c r="J22" s="11">
        <v>1.0</v>
      </c>
      <c r="K22" s="11">
        <v>0.0</v>
      </c>
      <c r="L22" s="16">
        <f t="shared" si="6"/>
        <v>0.08333333333</v>
      </c>
      <c r="M22" s="16">
        <f t="shared" si="11"/>
        <v>1</v>
      </c>
      <c r="N22" s="12">
        <f t="shared" si="8"/>
        <v>8</v>
      </c>
      <c r="O22" s="18">
        <f t="shared" si="9"/>
        <v>0.6666666667</v>
      </c>
      <c r="P22" s="18">
        <f t="shared" si="10"/>
        <v>2.666666667</v>
      </c>
    </row>
    <row r="23">
      <c r="A23" s="2" t="s">
        <v>50</v>
      </c>
      <c r="B23" s="10">
        <v>3.0</v>
      </c>
      <c r="C23" s="12">
        <f t="shared" si="1"/>
        <v>12</v>
      </c>
      <c r="D23" s="11">
        <v>2.0</v>
      </c>
      <c r="E23" s="20">
        <v>3.0</v>
      </c>
      <c r="F23" s="21">
        <f t="shared" si="2"/>
        <v>5</v>
      </c>
      <c r="G23" s="23">
        <f t="shared" si="3"/>
        <v>0.4166666667</v>
      </c>
      <c r="H23" s="23">
        <f t="shared" si="4"/>
        <v>0.4</v>
      </c>
      <c r="I23" s="12">
        <f t="shared" si="5"/>
        <v>1</v>
      </c>
      <c r="J23" s="11">
        <v>1.0</v>
      </c>
      <c r="K23" s="11">
        <v>0.0</v>
      </c>
      <c r="L23" s="16">
        <f t="shared" si="6"/>
        <v>0.08333333333</v>
      </c>
      <c r="M23" s="16">
        <f t="shared" si="11"/>
        <v>1</v>
      </c>
      <c r="N23" s="12">
        <f t="shared" si="8"/>
        <v>8</v>
      </c>
      <c r="O23" s="18">
        <f t="shared" si="9"/>
        <v>0.6666666667</v>
      </c>
      <c r="P23" s="18">
        <f t="shared" si="10"/>
        <v>2.666666667</v>
      </c>
    </row>
    <row r="24">
      <c r="A24" s="2" t="s">
        <v>154</v>
      </c>
      <c r="B24" s="10">
        <v>3.0</v>
      </c>
      <c r="C24" s="12">
        <f t="shared" si="1"/>
        <v>12</v>
      </c>
      <c r="D24" s="11">
        <v>2.0</v>
      </c>
      <c r="E24" s="11">
        <v>8.0</v>
      </c>
      <c r="F24" s="12">
        <f t="shared" si="2"/>
        <v>10</v>
      </c>
      <c r="G24" s="16">
        <f t="shared" si="3"/>
        <v>0.8333333333</v>
      </c>
      <c r="H24" s="16">
        <f t="shared" si="4"/>
        <v>0.2</v>
      </c>
      <c r="I24" s="12">
        <f t="shared" si="5"/>
        <v>1</v>
      </c>
      <c r="J24" s="11">
        <v>1.0</v>
      </c>
      <c r="K24" s="11">
        <v>0.0</v>
      </c>
      <c r="L24" s="16">
        <f t="shared" si="6"/>
        <v>0.08333333333</v>
      </c>
      <c r="M24" s="16">
        <f t="shared" si="11"/>
        <v>1</v>
      </c>
      <c r="N24" s="12">
        <f t="shared" si="8"/>
        <v>8</v>
      </c>
      <c r="O24" s="18">
        <f t="shared" si="9"/>
        <v>0.6666666667</v>
      </c>
      <c r="P24" s="18">
        <f t="shared" si="10"/>
        <v>2.666666667</v>
      </c>
    </row>
    <row r="25">
      <c r="A25" s="2" t="s">
        <v>99</v>
      </c>
      <c r="B25" s="10">
        <v>2.5</v>
      </c>
      <c r="C25" s="12">
        <f t="shared" si="1"/>
        <v>10</v>
      </c>
      <c r="D25" s="11">
        <v>1.0</v>
      </c>
      <c r="E25" s="11">
        <v>0.0</v>
      </c>
      <c r="F25" s="12">
        <f t="shared" si="2"/>
        <v>1</v>
      </c>
      <c r="G25" s="16">
        <f t="shared" si="3"/>
        <v>0.1</v>
      </c>
      <c r="H25" s="16">
        <f t="shared" si="4"/>
        <v>1</v>
      </c>
      <c r="I25" s="12">
        <f t="shared" si="5"/>
        <v>0</v>
      </c>
      <c r="J25" s="11">
        <v>0.0</v>
      </c>
      <c r="K25" s="11">
        <v>0.0</v>
      </c>
      <c r="L25" s="16">
        <f t="shared" si="6"/>
        <v>0</v>
      </c>
      <c r="M25" s="11" t="s">
        <v>41</v>
      </c>
      <c r="N25" s="12">
        <f t="shared" si="8"/>
        <v>4</v>
      </c>
      <c r="O25" s="18">
        <f t="shared" si="9"/>
        <v>0.4</v>
      </c>
      <c r="P25" s="18">
        <f t="shared" si="10"/>
        <v>1.6</v>
      </c>
    </row>
    <row r="26">
      <c r="A26" s="2" t="s">
        <v>181</v>
      </c>
      <c r="B26" s="10">
        <v>2.5</v>
      </c>
      <c r="C26" s="12">
        <f t="shared" si="1"/>
        <v>10</v>
      </c>
      <c r="D26" s="11">
        <v>1.0</v>
      </c>
      <c r="E26" s="20">
        <v>0.0</v>
      </c>
      <c r="F26" s="21">
        <f t="shared" si="2"/>
        <v>1</v>
      </c>
      <c r="G26" s="23">
        <f t="shared" si="3"/>
        <v>0.1</v>
      </c>
      <c r="H26" s="23">
        <f t="shared" si="4"/>
        <v>1</v>
      </c>
      <c r="I26" s="12">
        <f t="shared" si="5"/>
        <v>0</v>
      </c>
      <c r="J26" s="11">
        <v>0.0</v>
      </c>
      <c r="K26" s="11">
        <v>0.0</v>
      </c>
      <c r="L26" s="16">
        <f t="shared" si="6"/>
        <v>0</v>
      </c>
      <c r="M26" s="11" t="s">
        <v>41</v>
      </c>
      <c r="N26" s="12">
        <f t="shared" si="8"/>
        <v>4</v>
      </c>
      <c r="O26" s="18">
        <f t="shared" si="9"/>
        <v>0.4</v>
      </c>
      <c r="P26" s="18">
        <f t="shared" si="10"/>
        <v>1.6</v>
      </c>
    </row>
    <row r="27">
      <c r="A27" s="2" t="s">
        <v>138</v>
      </c>
      <c r="B27" s="10">
        <v>2.5</v>
      </c>
      <c r="C27" s="12">
        <f t="shared" si="1"/>
        <v>10</v>
      </c>
      <c r="D27" s="11">
        <v>2.0</v>
      </c>
      <c r="E27" s="11">
        <v>3.0</v>
      </c>
      <c r="F27" s="12">
        <f t="shared" si="2"/>
        <v>5</v>
      </c>
      <c r="G27" s="16">
        <f t="shared" si="3"/>
        <v>0.5</v>
      </c>
      <c r="H27" s="16">
        <f t="shared" si="4"/>
        <v>0.4</v>
      </c>
      <c r="I27" s="12">
        <f t="shared" si="5"/>
        <v>1</v>
      </c>
      <c r="J27" s="11">
        <v>0.0</v>
      </c>
      <c r="K27" s="11">
        <v>1.0</v>
      </c>
      <c r="L27" s="16">
        <f t="shared" si="6"/>
        <v>0.1</v>
      </c>
      <c r="M27" s="16">
        <f>J27/I27</f>
        <v>0</v>
      </c>
      <c r="N27" s="12">
        <f t="shared" si="8"/>
        <v>4</v>
      </c>
      <c r="O27" s="18">
        <f t="shared" si="9"/>
        <v>0.4</v>
      </c>
      <c r="P27" s="18">
        <f t="shared" si="10"/>
        <v>1.6</v>
      </c>
    </row>
    <row r="28">
      <c r="A28" s="2" t="s">
        <v>165</v>
      </c>
      <c r="B28" s="10">
        <v>2.5</v>
      </c>
      <c r="C28" s="12">
        <f t="shared" si="1"/>
        <v>10</v>
      </c>
      <c r="D28" s="11">
        <v>1.0</v>
      </c>
      <c r="E28" s="11">
        <v>2.0</v>
      </c>
      <c r="F28" s="12">
        <f t="shared" si="2"/>
        <v>3</v>
      </c>
      <c r="G28" s="16">
        <f t="shared" si="3"/>
        <v>0.3</v>
      </c>
      <c r="H28" s="16">
        <f t="shared" si="4"/>
        <v>0.3333333333</v>
      </c>
      <c r="I28" s="12">
        <f t="shared" si="5"/>
        <v>0</v>
      </c>
      <c r="J28" s="11">
        <v>0.0</v>
      </c>
      <c r="K28" s="11">
        <v>0.0</v>
      </c>
      <c r="L28" s="16">
        <f t="shared" si="6"/>
        <v>0</v>
      </c>
      <c r="M28" s="11" t="s">
        <v>41</v>
      </c>
      <c r="N28" s="12">
        <f t="shared" si="8"/>
        <v>4</v>
      </c>
      <c r="O28" s="18">
        <f t="shared" si="9"/>
        <v>0.4</v>
      </c>
      <c r="P28" s="18">
        <f t="shared" si="10"/>
        <v>1.6</v>
      </c>
    </row>
    <row r="29">
      <c r="A29" s="2" t="s">
        <v>125</v>
      </c>
      <c r="B29" s="10">
        <v>3.0</v>
      </c>
      <c r="C29" s="12">
        <f t="shared" si="1"/>
        <v>12</v>
      </c>
      <c r="D29" s="11">
        <v>1.0</v>
      </c>
      <c r="E29" s="11">
        <v>0.0</v>
      </c>
      <c r="F29" s="12">
        <f t="shared" si="2"/>
        <v>1</v>
      </c>
      <c r="G29" s="16">
        <f t="shared" si="3"/>
        <v>0.08333333333</v>
      </c>
      <c r="H29" s="16">
        <f t="shared" si="4"/>
        <v>1</v>
      </c>
      <c r="I29" s="12">
        <f t="shared" si="5"/>
        <v>0</v>
      </c>
      <c r="J29" s="11">
        <v>0.0</v>
      </c>
      <c r="K29" s="11">
        <v>0.0</v>
      </c>
      <c r="L29" s="16">
        <f t="shared" si="6"/>
        <v>0</v>
      </c>
      <c r="M29" s="11" t="s">
        <v>41</v>
      </c>
      <c r="N29" s="12">
        <f t="shared" si="8"/>
        <v>4</v>
      </c>
      <c r="O29" s="18">
        <f t="shared" si="9"/>
        <v>0.3333333333</v>
      </c>
      <c r="P29" s="18">
        <f t="shared" si="10"/>
        <v>1.333333333</v>
      </c>
    </row>
    <row r="30">
      <c r="A30" s="2" t="s">
        <v>148</v>
      </c>
      <c r="B30" s="10">
        <v>3.0</v>
      </c>
      <c r="C30" s="12">
        <f t="shared" si="1"/>
        <v>12</v>
      </c>
      <c r="D30" s="11">
        <v>1.0</v>
      </c>
      <c r="E30" s="11">
        <v>0.0</v>
      </c>
      <c r="F30" s="12">
        <f t="shared" si="2"/>
        <v>1</v>
      </c>
      <c r="G30" s="16">
        <f t="shared" si="3"/>
        <v>0.08333333333</v>
      </c>
      <c r="H30" s="16">
        <f t="shared" si="4"/>
        <v>1</v>
      </c>
      <c r="I30" s="12">
        <f t="shared" si="5"/>
        <v>0</v>
      </c>
      <c r="J30" s="11">
        <v>0.0</v>
      </c>
      <c r="K30" s="11">
        <v>0.0</v>
      </c>
      <c r="L30" s="16">
        <f t="shared" si="6"/>
        <v>0</v>
      </c>
      <c r="M30" s="11" t="s">
        <v>41</v>
      </c>
      <c r="N30" s="12">
        <f t="shared" si="8"/>
        <v>4</v>
      </c>
      <c r="O30" s="18">
        <f t="shared" si="9"/>
        <v>0.3333333333</v>
      </c>
      <c r="P30" s="18">
        <f t="shared" si="10"/>
        <v>1.333333333</v>
      </c>
    </row>
    <row r="31">
      <c r="A31" s="2" t="s">
        <v>52</v>
      </c>
      <c r="B31" s="10">
        <v>3.0</v>
      </c>
      <c r="C31" s="12">
        <f t="shared" si="1"/>
        <v>12</v>
      </c>
      <c r="D31" s="11">
        <v>1.0</v>
      </c>
      <c r="E31" s="11">
        <v>0.0</v>
      </c>
      <c r="F31" s="12">
        <f t="shared" si="2"/>
        <v>1</v>
      </c>
      <c r="G31" s="16">
        <f t="shared" si="3"/>
        <v>0.08333333333</v>
      </c>
      <c r="H31" s="16">
        <f t="shared" si="4"/>
        <v>1</v>
      </c>
      <c r="I31" s="12">
        <f t="shared" si="5"/>
        <v>0</v>
      </c>
      <c r="J31" s="11">
        <v>0.0</v>
      </c>
      <c r="K31" s="11">
        <v>0.0</v>
      </c>
      <c r="L31" s="16">
        <f t="shared" si="6"/>
        <v>0</v>
      </c>
      <c r="M31" s="11" t="s">
        <v>41</v>
      </c>
      <c r="N31" s="12">
        <f t="shared" si="8"/>
        <v>4</v>
      </c>
      <c r="O31" s="18">
        <f t="shared" si="9"/>
        <v>0.3333333333</v>
      </c>
      <c r="P31" s="18">
        <f t="shared" si="10"/>
        <v>1.333333333</v>
      </c>
    </row>
    <row r="32">
      <c r="A32" s="2" t="s">
        <v>113</v>
      </c>
      <c r="B32" s="10">
        <v>3.0</v>
      </c>
      <c r="C32" s="12">
        <f t="shared" si="1"/>
        <v>12</v>
      </c>
      <c r="D32" s="11">
        <v>1.0</v>
      </c>
      <c r="E32" s="11">
        <v>0.0</v>
      </c>
      <c r="F32" s="12">
        <f t="shared" si="2"/>
        <v>1</v>
      </c>
      <c r="G32" s="16">
        <f t="shared" si="3"/>
        <v>0.08333333333</v>
      </c>
      <c r="H32" s="16">
        <f t="shared" si="4"/>
        <v>1</v>
      </c>
      <c r="I32" s="12">
        <f t="shared" si="5"/>
        <v>0</v>
      </c>
      <c r="J32" s="11">
        <v>0.0</v>
      </c>
      <c r="K32" s="11">
        <v>0.0</v>
      </c>
      <c r="L32" s="16">
        <f t="shared" si="6"/>
        <v>0</v>
      </c>
      <c r="M32" s="11" t="s">
        <v>41</v>
      </c>
      <c r="N32" s="12">
        <f t="shared" si="8"/>
        <v>4</v>
      </c>
      <c r="O32" s="18">
        <f t="shared" si="9"/>
        <v>0.3333333333</v>
      </c>
      <c r="P32" s="18">
        <f t="shared" si="10"/>
        <v>1.333333333</v>
      </c>
    </row>
    <row r="33">
      <c r="A33" s="2" t="s">
        <v>179</v>
      </c>
      <c r="B33" s="10">
        <v>3.0</v>
      </c>
      <c r="C33" s="12">
        <f t="shared" si="1"/>
        <v>12</v>
      </c>
      <c r="D33" s="11">
        <v>1.0</v>
      </c>
      <c r="E33" s="11">
        <v>0.0</v>
      </c>
      <c r="F33" s="12">
        <f t="shared" si="2"/>
        <v>1</v>
      </c>
      <c r="G33" s="16">
        <f t="shared" si="3"/>
        <v>0.08333333333</v>
      </c>
      <c r="H33" s="16">
        <f t="shared" si="4"/>
        <v>1</v>
      </c>
      <c r="I33" s="12">
        <f t="shared" si="5"/>
        <v>0</v>
      </c>
      <c r="J33" s="11">
        <v>0.0</v>
      </c>
      <c r="K33" s="11">
        <v>0.0</v>
      </c>
      <c r="L33" s="16">
        <f t="shared" si="6"/>
        <v>0</v>
      </c>
      <c r="M33" s="11" t="s">
        <v>41</v>
      </c>
      <c r="N33" s="12">
        <f t="shared" si="8"/>
        <v>4</v>
      </c>
      <c r="O33" s="18">
        <f t="shared" si="9"/>
        <v>0.3333333333</v>
      </c>
      <c r="P33" s="18">
        <f t="shared" si="10"/>
        <v>1.333333333</v>
      </c>
    </row>
    <row r="34">
      <c r="A34" s="2" t="s">
        <v>58</v>
      </c>
      <c r="B34" s="10">
        <v>3.0</v>
      </c>
      <c r="C34" s="12">
        <f t="shared" si="1"/>
        <v>12</v>
      </c>
      <c r="D34" s="11">
        <v>1.0</v>
      </c>
      <c r="E34" s="11">
        <v>0.0</v>
      </c>
      <c r="F34" s="12">
        <f t="shared" si="2"/>
        <v>1</v>
      </c>
      <c r="G34" s="16">
        <f t="shared" si="3"/>
        <v>0.08333333333</v>
      </c>
      <c r="H34" s="16">
        <f t="shared" si="4"/>
        <v>1</v>
      </c>
      <c r="I34" s="12">
        <f t="shared" si="5"/>
        <v>1</v>
      </c>
      <c r="J34" s="11">
        <v>1.0</v>
      </c>
      <c r="K34" s="11">
        <v>0.0</v>
      </c>
      <c r="L34" s="16">
        <f t="shared" si="6"/>
        <v>0.08333333333</v>
      </c>
      <c r="M34" s="16">
        <f>J34/I34</f>
        <v>1</v>
      </c>
      <c r="N34" s="12">
        <f t="shared" si="8"/>
        <v>4</v>
      </c>
      <c r="O34" s="18">
        <f t="shared" si="9"/>
        <v>0.3333333333</v>
      </c>
      <c r="P34" s="18">
        <f t="shared" si="10"/>
        <v>1.333333333</v>
      </c>
    </row>
    <row r="35">
      <c r="A35" s="2" t="s">
        <v>112</v>
      </c>
      <c r="B35" s="10">
        <v>3.0</v>
      </c>
      <c r="C35" s="12">
        <f t="shared" si="1"/>
        <v>12</v>
      </c>
      <c r="D35" s="11">
        <v>1.0</v>
      </c>
      <c r="E35" s="20">
        <v>0.0</v>
      </c>
      <c r="F35" s="21">
        <f t="shared" si="2"/>
        <v>1</v>
      </c>
      <c r="G35" s="23">
        <f t="shared" si="3"/>
        <v>0.08333333333</v>
      </c>
      <c r="H35" s="23">
        <f t="shared" si="4"/>
        <v>1</v>
      </c>
      <c r="I35" s="12">
        <f t="shared" si="5"/>
        <v>0</v>
      </c>
      <c r="J35" s="11">
        <v>0.0</v>
      </c>
      <c r="K35" s="11">
        <v>0.0</v>
      </c>
      <c r="L35" s="16">
        <f t="shared" si="6"/>
        <v>0</v>
      </c>
      <c r="M35" s="11" t="s">
        <v>41</v>
      </c>
      <c r="N35" s="12">
        <f t="shared" si="8"/>
        <v>4</v>
      </c>
      <c r="O35" s="18">
        <f t="shared" si="9"/>
        <v>0.3333333333</v>
      </c>
      <c r="P35" s="18">
        <f t="shared" si="10"/>
        <v>1.333333333</v>
      </c>
    </row>
    <row r="36">
      <c r="A36" s="2" t="s">
        <v>156</v>
      </c>
      <c r="B36" s="10">
        <v>3.0</v>
      </c>
      <c r="C36" s="12">
        <f t="shared" si="1"/>
        <v>12</v>
      </c>
      <c r="D36" s="11">
        <v>1.0</v>
      </c>
      <c r="E36" s="11">
        <v>1.0</v>
      </c>
      <c r="F36" s="12">
        <f t="shared" si="2"/>
        <v>2</v>
      </c>
      <c r="G36" s="16">
        <f t="shared" si="3"/>
        <v>0.1666666667</v>
      </c>
      <c r="H36" s="16">
        <f t="shared" si="4"/>
        <v>0.5</v>
      </c>
      <c r="I36" s="12">
        <f t="shared" si="5"/>
        <v>0</v>
      </c>
      <c r="J36" s="11">
        <v>0.0</v>
      </c>
      <c r="K36" s="11">
        <v>0.0</v>
      </c>
      <c r="L36" s="16">
        <f t="shared" si="6"/>
        <v>0</v>
      </c>
      <c r="M36" s="11" t="s">
        <v>41</v>
      </c>
      <c r="N36" s="12">
        <f t="shared" si="8"/>
        <v>4</v>
      </c>
      <c r="O36" s="18">
        <f t="shared" si="9"/>
        <v>0.3333333333</v>
      </c>
      <c r="P36" s="18">
        <f t="shared" si="10"/>
        <v>1.333333333</v>
      </c>
    </row>
    <row r="37">
      <c r="A37" s="2" t="s">
        <v>191</v>
      </c>
      <c r="B37" s="10">
        <v>3.0</v>
      </c>
      <c r="C37" s="12">
        <f t="shared" si="1"/>
        <v>12</v>
      </c>
      <c r="D37" s="11">
        <v>1.0</v>
      </c>
      <c r="E37" s="11">
        <v>1.0</v>
      </c>
      <c r="F37" s="12">
        <f t="shared" si="2"/>
        <v>2</v>
      </c>
      <c r="G37" s="16">
        <f t="shared" si="3"/>
        <v>0.1666666667</v>
      </c>
      <c r="H37" s="16">
        <f t="shared" si="4"/>
        <v>0.5</v>
      </c>
      <c r="I37" s="12">
        <f t="shared" si="5"/>
        <v>0</v>
      </c>
      <c r="J37" s="11">
        <v>0.0</v>
      </c>
      <c r="K37" s="11">
        <v>0.0</v>
      </c>
      <c r="L37" s="16">
        <f t="shared" si="6"/>
        <v>0</v>
      </c>
      <c r="M37" s="11" t="s">
        <v>41</v>
      </c>
      <c r="N37" s="12">
        <f t="shared" si="8"/>
        <v>4</v>
      </c>
      <c r="O37" s="18">
        <f t="shared" si="9"/>
        <v>0.3333333333</v>
      </c>
      <c r="P37" s="18">
        <f t="shared" si="10"/>
        <v>1.333333333</v>
      </c>
    </row>
    <row r="38">
      <c r="A38" s="2" t="s">
        <v>131</v>
      </c>
      <c r="B38" s="10">
        <v>3.0</v>
      </c>
      <c r="C38" s="12">
        <f t="shared" si="1"/>
        <v>12</v>
      </c>
      <c r="D38" s="11">
        <v>1.0</v>
      </c>
      <c r="E38" s="11">
        <v>1.0</v>
      </c>
      <c r="F38" s="12">
        <f t="shared" si="2"/>
        <v>2</v>
      </c>
      <c r="G38" s="16">
        <f t="shared" si="3"/>
        <v>0.1666666667</v>
      </c>
      <c r="H38" s="16">
        <f t="shared" si="4"/>
        <v>0.5</v>
      </c>
      <c r="I38" s="12">
        <f t="shared" si="5"/>
        <v>0</v>
      </c>
      <c r="J38" s="11">
        <v>0.0</v>
      </c>
      <c r="K38" s="11">
        <v>0.0</v>
      </c>
      <c r="L38" s="16">
        <f t="shared" si="6"/>
        <v>0</v>
      </c>
      <c r="M38" s="11" t="s">
        <v>41</v>
      </c>
      <c r="N38" s="12">
        <f t="shared" si="8"/>
        <v>4</v>
      </c>
      <c r="O38" s="18">
        <f t="shared" si="9"/>
        <v>0.3333333333</v>
      </c>
      <c r="P38" s="18">
        <f t="shared" si="10"/>
        <v>1.333333333</v>
      </c>
    </row>
    <row r="39">
      <c r="A39" s="2" t="s">
        <v>116</v>
      </c>
      <c r="B39" s="10">
        <v>3.0</v>
      </c>
      <c r="C39" s="12">
        <f t="shared" si="1"/>
        <v>12</v>
      </c>
      <c r="D39" s="11">
        <v>1.0</v>
      </c>
      <c r="E39" s="11">
        <v>1.0</v>
      </c>
      <c r="F39" s="12">
        <f t="shared" si="2"/>
        <v>2</v>
      </c>
      <c r="G39" s="16">
        <f t="shared" si="3"/>
        <v>0.1666666667</v>
      </c>
      <c r="H39" s="16">
        <f t="shared" si="4"/>
        <v>0.5</v>
      </c>
      <c r="I39" s="12">
        <f t="shared" si="5"/>
        <v>0</v>
      </c>
      <c r="J39" s="11">
        <v>0.0</v>
      </c>
      <c r="K39" s="11">
        <v>0.0</v>
      </c>
      <c r="L39" s="16">
        <f t="shared" si="6"/>
        <v>0</v>
      </c>
      <c r="M39" s="11" t="s">
        <v>41</v>
      </c>
      <c r="N39" s="12">
        <f t="shared" si="8"/>
        <v>4</v>
      </c>
      <c r="O39" s="18">
        <f t="shared" si="9"/>
        <v>0.3333333333</v>
      </c>
      <c r="P39" s="18">
        <f t="shared" si="10"/>
        <v>1.333333333</v>
      </c>
    </row>
    <row r="40">
      <c r="A40" s="2" t="s">
        <v>167</v>
      </c>
      <c r="B40" s="10">
        <v>3.0</v>
      </c>
      <c r="C40" s="12">
        <f t="shared" si="1"/>
        <v>12</v>
      </c>
      <c r="D40" s="11">
        <v>1.0</v>
      </c>
      <c r="E40" s="20">
        <v>1.0</v>
      </c>
      <c r="F40" s="21">
        <f t="shared" si="2"/>
        <v>2</v>
      </c>
      <c r="G40" s="23">
        <f t="shared" si="3"/>
        <v>0.1666666667</v>
      </c>
      <c r="H40" s="23">
        <f t="shared" si="4"/>
        <v>0.5</v>
      </c>
      <c r="I40" s="12">
        <f t="shared" si="5"/>
        <v>0</v>
      </c>
      <c r="J40" s="11">
        <v>0.0</v>
      </c>
      <c r="K40" s="11">
        <v>0.0</v>
      </c>
      <c r="L40" s="16">
        <f t="shared" si="6"/>
        <v>0</v>
      </c>
      <c r="M40" s="11" t="s">
        <v>41</v>
      </c>
      <c r="N40" s="12">
        <f t="shared" si="8"/>
        <v>4</v>
      </c>
      <c r="O40" s="18">
        <f t="shared" si="9"/>
        <v>0.3333333333</v>
      </c>
      <c r="P40" s="18">
        <f t="shared" si="10"/>
        <v>1.333333333</v>
      </c>
    </row>
    <row r="41">
      <c r="A41" s="2" t="s">
        <v>122</v>
      </c>
      <c r="B41" s="10">
        <v>3.0</v>
      </c>
      <c r="C41" s="12">
        <f t="shared" si="1"/>
        <v>12</v>
      </c>
      <c r="D41" s="11">
        <v>2.0</v>
      </c>
      <c r="E41" s="11">
        <v>3.0</v>
      </c>
      <c r="F41" s="12">
        <f t="shared" si="2"/>
        <v>5</v>
      </c>
      <c r="G41" s="16">
        <f t="shared" si="3"/>
        <v>0.4166666667</v>
      </c>
      <c r="H41" s="16">
        <f t="shared" si="4"/>
        <v>0.4</v>
      </c>
      <c r="I41" s="12">
        <f t="shared" si="5"/>
        <v>1</v>
      </c>
      <c r="J41" s="11">
        <v>0.0</v>
      </c>
      <c r="K41" s="11">
        <v>1.0</v>
      </c>
      <c r="L41" s="16">
        <f t="shared" si="6"/>
        <v>0.08333333333</v>
      </c>
      <c r="M41" s="16">
        <f>J41/I41</f>
        <v>0</v>
      </c>
      <c r="N41" s="12">
        <f t="shared" si="8"/>
        <v>4</v>
      </c>
      <c r="O41" s="18">
        <f t="shared" si="9"/>
        <v>0.3333333333</v>
      </c>
      <c r="P41" s="18">
        <f t="shared" si="10"/>
        <v>1.333333333</v>
      </c>
    </row>
    <row r="42">
      <c r="A42" s="2" t="s">
        <v>193</v>
      </c>
      <c r="B42" s="10">
        <v>3.0</v>
      </c>
      <c r="C42" s="12">
        <f t="shared" si="1"/>
        <v>12</v>
      </c>
      <c r="D42" s="11">
        <v>1.0</v>
      </c>
      <c r="E42" s="11">
        <v>2.0</v>
      </c>
      <c r="F42" s="12">
        <f t="shared" si="2"/>
        <v>3</v>
      </c>
      <c r="G42" s="16">
        <f t="shared" si="3"/>
        <v>0.25</v>
      </c>
      <c r="H42" s="16">
        <f t="shared" si="4"/>
        <v>0.3333333333</v>
      </c>
      <c r="I42" s="12">
        <f t="shared" si="5"/>
        <v>0</v>
      </c>
      <c r="J42" s="11">
        <v>0.0</v>
      </c>
      <c r="K42" s="11">
        <v>0.0</v>
      </c>
      <c r="L42" s="16">
        <f t="shared" si="6"/>
        <v>0</v>
      </c>
      <c r="M42" s="11" t="s">
        <v>41</v>
      </c>
      <c r="N42" s="12">
        <f t="shared" si="8"/>
        <v>4</v>
      </c>
      <c r="O42" s="18">
        <f t="shared" si="9"/>
        <v>0.3333333333</v>
      </c>
      <c r="P42" s="18">
        <f t="shared" si="10"/>
        <v>1.333333333</v>
      </c>
    </row>
    <row r="43">
      <c r="A43" s="2" t="s">
        <v>146</v>
      </c>
      <c r="B43" s="10">
        <v>3.0</v>
      </c>
      <c r="C43" s="12">
        <f t="shared" si="1"/>
        <v>12</v>
      </c>
      <c r="D43" s="11">
        <v>1.0</v>
      </c>
      <c r="E43" s="20">
        <v>3.0</v>
      </c>
      <c r="F43" s="21">
        <f t="shared" si="2"/>
        <v>4</v>
      </c>
      <c r="G43" s="23">
        <f t="shared" si="3"/>
        <v>0.3333333333</v>
      </c>
      <c r="H43" s="23">
        <f t="shared" si="4"/>
        <v>0.25</v>
      </c>
      <c r="I43" s="12">
        <f t="shared" si="5"/>
        <v>0</v>
      </c>
      <c r="J43" s="11">
        <v>0.0</v>
      </c>
      <c r="K43" s="11">
        <v>0.0</v>
      </c>
      <c r="L43" s="16">
        <f t="shared" si="6"/>
        <v>0</v>
      </c>
      <c r="M43" s="11" t="s">
        <v>41</v>
      </c>
      <c r="N43" s="12">
        <f t="shared" si="8"/>
        <v>4</v>
      </c>
      <c r="O43" s="18">
        <f t="shared" si="9"/>
        <v>0.3333333333</v>
      </c>
      <c r="P43" s="18">
        <f t="shared" si="10"/>
        <v>1.333333333</v>
      </c>
    </row>
    <row r="44">
      <c r="A44" s="2" t="s">
        <v>129</v>
      </c>
      <c r="B44" s="10">
        <v>3.0</v>
      </c>
      <c r="C44" s="12">
        <f t="shared" si="1"/>
        <v>12</v>
      </c>
      <c r="D44" s="11">
        <v>1.0</v>
      </c>
      <c r="E44" s="11">
        <v>3.0</v>
      </c>
      <c r="F44" s="12">
        <f t="shared" si="2"/>
        <v>4</v>
      </c>
      <c r="G44" s="16">
        <f t="shared" si="3"/>
        <v>0.3333333333</v>
      </c>
      <c r="H44" s="16">
        <f t="shared" si="4"/>
        <v>0.25</v>
      </c>
      <c r="I44" s="12">
        <f t="shared" si="5"/>
        <v>0</v>
      </c>
      <c r="J44" s="11">
        <v>0.0</v>
      </c>
      <c r="K44" s="11">
        <v>0.0</v>
      </c>
      <c r="L44" s="16">
        <f t="shared" si="6"/>
        <v>0</v>
      </c>
      <c r="M44" s="11" t="s">
        <v>41</v>
      </c>
      <c r="N44" s="12">
        <f t="shared" si="8"/>
        <v>4</v>
      </c>
      <c r="O44" s="18">
        <f t="shared" si="9"/>
        <v>0.3333333333</v>
      </c>
      <c r="P44" s="18">
        <f t="shared" si="10"/>
        <v>1.333333333</v>
      </c>
    </row>
    <row r="45">
      <c r="A45" s="2" t="s">
        <v>87</v>
      </c>
      <c r="B45" s="10">
        <v>3.0</v>
      </c>
      <c r="C45" s="12">
        <f t="shared" si="1"/>
        <v>12</v>
      </c>
      <c r="D45" s="11">
        <v>1.0</v>
      </c>
      <c r="E45" s="11">
        <v>3.0</v>
      </c>
      <c r="F45" s="12">
        <f t="shared" si="2"/>
        <v>4</v>
      </c>
      <c r="G45" s="16">
        <f t="shared" si="3"/>
        <v>0.3333333333</v>
      </c>
      <c r="H45" s="16">
        <f t="shared" si="4"/>
        <v>0.25</v>
      </c>
      <c r="I45" s="12">
        <f t="shared" si="5"/>
        <v>0</v>
      </c>
      <c r="J45" s="11">
        <v>0.0</v>
      </c>
      <c r="K45" s="11">
        <v>0.0</v>
      </c>
      <c r="L45" s="16">
        <f t="shared" si="6"/>
        <v>0</v>
      </c>
      <c r="M45" s="11" t="s">
        <v>41</v>
      </c>
      <c r="N45" s="12">
        <f t="shared" si="8"/>
        <v>4</v>
      </c>
      <c r="O45" s="18">
        <f t="shared" si="9"/>
        <v>0.3333333333</v>
      </c>
      <c r="P45" s="18">
        <f t="shared" si="10"/>
        <v>1.333333333</v>
      </c>
    </row>
    <row r="46">
      <c r="A46" s="2" t="s">
        <v>178</v>
      </c>
      <c r="B46" s="10">
        <v>3.0</v>
      </c>
      <c r="C46" s="12">
        <f t="shared" si="1"/>
        <v>12</v>
      </c>
      <c r="D46" s="11">
        <v>1.0</v>
      </c>
      <c r="E46" s="11">
        <v>3.0</v>
      </c>
      <c r="F46" s="12">
        <f t="shared" si="2"/>
        <v>4</v>
      </c>
      <c r="G46" s="16">
        <f t="shared" si="3"/>
        <v>0.3333333333</v>
      </c>
      <c r="H46" s="16">
        <f t="shared" si="4"/>
        <v>0.25</v>
      </c>
      <c r="I46" s="12">
        <f t="shared" si="5"/>
        <v>0</v>
      </c>
      <c r="J46" s="11">
        <v>0.0</v>
      </c>
      <c r="K46" s="11">
        <v>0.0</v>
      </c>
      <c r="L46" s="16">
        <f t="shared" si="6"/>
        <v>0</v>
      </c>
      <c r="M46" s="11" t="s">
        <v>41</v>
      </c>
      <c r="N46" s="12">
        <f t="shared" si="8"/>
        <v>4</v>
      </c>
      <c r="O46" s="18">
        <f t="shared" si="9"/>
        <v>0.3333333333</v>
      </c>
      <c r="P46" s="18">
        <f t="shared" si="10"/>
        <v>1.333333333</v>
      </c>
    </row>
    <row r="47">
      <c r="A47" s="2" t="s">
        <v>123</v>
      </c>
      <c r="B47" s="10">
        <v>3.0</v>
      </c>
      <c r="C47" s="12">
        <f t="shared" si="1"/>
        <v>12</v>
      </c>
      <c r="D47" s="11">
        <v>0.0</v>
      </c>
      <c r="E47" s="20">
        <v>0.0</v>
      </c>
      <c r="F47" s="21">
        <f t="shared" si="2"/>
        <v>0</v>
      </c>
      <c r="G47" s="23">
        <f t="shared" si="3"/>
        <v>0</v>
      </c>
      <c r="H47" s="20" t="s">
        <v>41</v>
      </c>
      <c r="I47" s="12">
        <f t="shared" si="5"/>
        <v>0</v>
      </c>
      <c r="J47" s="11">
        <v>0.0</v>
      </c>
      <c r="K47" s="11">
        <v>0.0</v>
      </c>
      <c r="L47" s="16">
        <f t="shared" si="6"/>
        <v>0</v>
      </c>
      <c r="M47" s="11" t="s">
        <v>41</v>
      </c>
      <c r="N47" s="12">
        <f t="shared" si="8"/>
        <v>0</v>
      </c>
      <c r="O47" s="18">
        <f t="shared" si="9"/>
        <v>0</v>
      </c>
      <c r="P47" s="18">
        <f t="shared" si="10"/>
        <v>0</v>
      </c>
    </row>
    <row r="48">
      <c r="A48" s="2" t="s">
        <v>190</v>
      </c>
      <c r="B48" s="10">
        <v>3.0</v>
      </c>
      <c r="C48" s="12">
        <f t="shared" si="1"/>
        <v>12</v>
      </c>
      <c r="D48" s="11">
        <v>0.0</v>
      </c>
      <c r="E48" s="11">
        <v>0.0</v>
      </c>
      <c r="F48" s="12">
        <f t="shared" si="2"/>
        <v>0</v>
      </c>
      <c r="G48" s="16">
        <f t="shared" si="3"/>
        <v>0</v>
      </c>
      <c r="H48" s="11" t="s">
        <v>41</v>
      </c>
      <c r="I48" s="12">
        <f t="shared" si="5"/>
        <v>0</v>
      </c>
      <c r="J48" s="11">
        <v>0.0</v>
      </c>
      <c r="K48" s="11">
        <v>0.0</v>
      </c>
      <c r="L48" s="16">
        <f t="shared" si="6"/>
        <v>0</v>
      </c>
      <c r="M48" s="11" t="s">
        <v>41</v>
      </c>
      <c r="N48" s="12">
        <f t="shared" si="8"/>
        <v>0</v>
      </c>
      <c r="O48" s="18">
        <f t="shared" si="9"/>
        <v>0</v>
      </c>
      <c r="P48" s="18">
        <f t="shared" si="10"/>
        <v>0</v>
      </c>
    </row>
    <row r="49">
      <c r="A49" s="2" t="s">
        <v>195</v>
      </c>
      <c r="B49" s="10">
        <v>3.0</v>
      </c>
      <c r="C49" s="12">
        <f t="shared" si="1"/>
        <v>12</v>
      </c>
      <c r="D49" s="11">
        <v>0.0</v>
      </c>
      <c r="E49" s="11">
        <v>0.0</v>
      </c>
      <c r="F49" s="12">
        <f t="shared" si="2"/>
        <v>0</v>
      </c>
      <c r="G49" s="16">
        <f t="shared" si="3"/>
        <v>0</v>
      </c>
      <c r="H49" s="11" t="s">
        <v>41</v>
      </c>
      <c r="I49" s="12">
        <f t="shared" si="5"/>
        <v>0</v>
      </c>
      <c r="J49" s="11">
        <v>0.0</v>
      </c>
      <c r="K49" s="11">
        <v>0.0</v>
      </c>
      <c r="L49" s="16">
        <f t="shared" si="6"/>
        <v>0</v>
      </c>
      <c r="M49" s="11" t="s">
        <v>41</v>
      </c>
      <c r="N49" s="12">
        <f t="shared" si="8"/>
        <v>0</v>
      </c>
      <c r="O49" s="18">
        <f t="shared" si="9"/>
        <v>0</v>
      </c>
      <c r="P49" s="18">
        <f t="shared" si="10"/>
        <v>0</v>
      </c>
    </row>
    <row r="50">
      <c r="A50" s="2" t="s">
        <v>84</v>
      </c>
      <c r="B50" s="10">
        <v>3.0</v>
      </c>
      <c r="C50" s="12">
        <f t="shared" si="1"/>
        <v>12</v>
      </c>
      <c r="D50" s="11">
        <v>0.0</v>
      </c>
      <c r="E50" s="11">
        <v>0.0</v>
      </c>
      <c r="F50" s="12">
        <f t="shared" si="2"/>
        <v>0</v>
      </c>
      <c r="G50" s="16">
        <f t="shared" si="3"/>
        <v>0</v>
      </c>
      <c r="H50" s="11" t="s">
        <v>41</v>
      </c>
      <c r="I50" s="12">
        <f t="shared" si="5"/>
        <v>0</v>
      </c>
      <c r="J50" s="11">
        <v>0.0</v>
      </c>
      <c r="K50" s="11">
        <v>0.0</v>
      </c>
      <c r="L50" s="16">
        <f t="shared" si="6"/>
        <v>0</v>
      </c>
      <c r="M50" s="11" t="s">
        <v>41</v>
      </c>
      <c r="N50" s="12">
        <f t="shared" si="8"/>
        <v>0</v>
      </c>
      <c r="O50" s="18">
        <f t="shared" si="9"/>
        <v>0</v>
      </c>
      <c r="P50" s="18">
        <f t="shared" si="10"/>
        <v>0</v>
      </c>
    </row>
    <row r="51">
      <c r="A51" s="2" t="s">
        <v>35</v>
      </c>
      <c r="B51" s="10">
        <v>3.0</v>
      </c>
      <c r="C51" s="12">
        <f t="shared" si="1"/>
        <v>12</v>
      </c>
      <c r="D51" s="11">
        <v>0.0</v>
      </c>
      <c r="E51" s="11">
        <v>0.0</v>
      </c>
      <c r="F51" s="12">
        <f t="shared" si="2"/>
        <v>0</v>
      </c>
      <c r="G51" s="16">
        <f t="shared" si="3"/>
        <v>0</v>
      </c>
      <c r="H51" s="11" t="s">
        <v>41</v>
      </c>
      <c r="I51" s="12">
        <f t="shared" si="5"/>
        <v>0</v>
      </c>
      <c r="J51" s="11">
        <v>0.0</v>
      </c>
      <c r="K51" s="11">
        <v>0.0</v>
      </c>
      <c r="L51" s="16">
        <f t="shared" si="6"/>
        <v>0</v>
      </c>
      <c r="M51" s="11" t="s">
        <v>41</v>
      </c>
      <c r="N51" s="12">
        <f t="shared" si="8"/>
        <v>0</v>
      </c>
      <c r="O51" s="18">
        <f t="shared" si="9"/>
        <v>0</v>
      </c>
      <c r="P51" s="18">
        <f t="shared" si="10"/>
        <v>0</v>
      </c>
    </row>
    <row r="52">
      <c r="A52" s="2" t="s">
        <v>66</v>
      </c>
      <c r="B52" s="10">
        <v>3.0</v>
      </c>
      <c r="C52" s="12">
        <f t="shared" si="1"/>
        <v>12</v>
      </c>
      <c r="D52" s="11">
        <v>0.0</v>
      </c>
      <c r="E52" s="11">
        <v>0.0</v>
      </c>
      <c r="F52" s="12">
        <f t="shared" si="2"/>
        <v>0</v>
      </c>
      <c r="G52" s="16">
        <f t="shared" si="3"/>
        <v>0</v>
      </c>
      <c r="H52" s="11" t="s">
        <v>41</v>
      </c>
      <c r="I52" s="12">
        <f t="shared" si="5"/>
        <v>0</v>
      </c>
      <c r="J52" s="11">
        <v>0.0</v>
      </c>
      <c r="K52" s="11">
        <v>0.0</v>
      </c>
      <c r="L52" s="16">
        <f t="shared" si="6"/>
        <v>0</v>
      </c>
      <c r="M52" s="11" t="s">
        <v>41</v>
      </c>
      <c r="N52" s="12">
        <f t="shared" si="8"/>
        <v>0</v>
      </c>
      <c r="O52" s="18">
        <f t="shared" si="9"/>
        <v>0</v>
      </c>
      <c r="P52" s="18">
        <f t="shared" si="10"/>
        <v>0</v>
      </c>
    </row>
    <row r="53">
      <c r="A53" s="2" t="s">
        <v>128</v>
      </c>
      <c r="B53" s="10">
        <v>3.0</v>
      </c>
      <c r="C53" s="12">
        <f t="shared" si="1"/>
        <v>12</v>
      </c>
      <c r="D53" s="11">
        <v>0.0</v>
      </c>
      <c r="E53" s="11">
        <v>0.0</v>
      </c>
      <c r="F53" s="12">
        <f t="shared" si="2"/>
        <v>0</v>
      </c>
      <c r="G53" s="16">
        <f t="shared" si="3"/>
        <v>0</v>
      </c>
      <c r="H53" s="11" t="s">
        <v>41</v>
      </c>
      <c r="I53" s="12">
        <f t="shared" si="5"/>
        <v>0</v>
      </c>
      <c r="J53" s="11">
        <v>0.0</v>
      </c>
      <c r="K53" s="11">
        <v>0.0</v>
      </c>
      <c r="L53" s="16">
        <f t="shared" si="6"/>
        <v>0</v>
      </c>
      <c r="M53" s="11" t="s">
        <v>41</v>
      </c>
      <c r="N53" s="12">
        <f t="shared" si="8"/>
        <v>0</v>
      </c>
      <c r="O53" s="18">
        <f t="shared" si="9"/>
        <v>0</v>
      </c>
      <c r="P53" s="18">
        <f t="shared" si="10"/>
        <v>0</v>
      </c>
    </row>
    <row r="54">
      <c r="A54" s="2" t="s">
        <v>149</v>
      </c>
      <c r="B54" s="10">
        <v>3.0</v>
      </c>
      <c r="C54" s="12">
        <f t="shared" si="1"/>
        <v>12</v>
      </c>
      <c r="D54" s="11">
        <v>0.0</v>
      </c>
      <c r="E54" s="11">
        <v>0.0</v>
      </c>
      <c r="F54" s="12">
        <f t="shared" si="2"/>
        <v>0</v>
      </c>
      <c r="G54" s="16">
        <f t="shared" si="3"/>
        <v>0</v>
      </c>
      <c r="H54" s="11" t="s">
        <v>41</v>
      </c>
      <c r="I54" s="12">
        <f t="shared" si="5"/>
        <v>0</v>
      </c>
      <c r="J54" s="11">
        <v>0.0</v>
      </c>
      <c r="K54" s="11">
        <v>0.0</v>
      </c>
      <c r="L54" s="16">
        <f t="shared" si="6"/>
        <v>0</v>
      </c>
      <c r="M54" s="11" t="s">
        <v>41</v>
      </c>
      <c r="N54" s="12">
        <f t="shared" si="8"/>
        <v>0</v>
      </c>
      <c r="O54" s="18">
        <f t="shared" si="9"/>
        <v>0</v>
      </c>
      <c r="P54" s="18">
        <f t="shared" si="10"/>
        <v>0</v>
      </c>
    </row>
    <row r="55">
      <c r="A55" s="2" t="s">
        <v>48</v>
      </c>
      <c r="B55" s="10">
        <v>3.0</v>
      </c>
      <c r="C55" s="12">
        <f t="shared" si="1"/>
        <v>12</v>
      </c>
      <c r="D55" s="11">
        <v>0.0</v>
      </c>
      <c r="E55" s="11">
        <v>0.0</v>
      </c>
      <c r="F55" s="12">
        <f t="shared" si="2"/>
        <v>0</v>
      </c>
      <c r="G55" s="16">
        <f t="shared" si="3"/>
        <v>0</v>
      </c>
      <c r="H55" s="11" t="s">
        <v>41</v>
      </c>
      <c r="I55" s="12">
        <f t="shared" si="5"/>
        <v>0</v>
      </c>
      <c r="J55" s="11">
        <v>0.0</v>
      </c>
      <c r="K55" s="11">
        <v>0.0</v>
      </c>
      <c r="L55" s="16">
        <f t="shared" si="6"/>
        <v>0</v>
      </c>
      <c r="M55" s="11" t="s">
        <v>41</v>
      </c>
      <c r="N55" s="12">
        <f t="shared" si="8"/>
        <v>0</v>
      </c>
      <c r="O55" s="18">
        <f t="shared" si="9"/>
        <v>0</v>
      </c>
      <c r="P55" s="18">
        <f t="shared" si="10"/>
        <v>0</v>
      </c>
    </row>
    <row r="56">
      <c r="A56" s="2" t="s">
        <v>205</v>
      </c>
      <c r="B56" s="10">
        <v>3.0</v>
      </c>
      <c r="C56" s="12">
        <f t="shared" si="1"/>
        <v>12</v>
      </c>
      <c r="D56" s="11">
        <v>0.0</v>
      </c>
      <c r="E56" s="11">
        <v>0.0</v>
      </c>
      <c r="F56" s="12">
        <f t="shared" si="2"/>
        <v>0</v>
      </c>
      <c r="G56" s="16">
        <f t="shared" si="3"/>
        <v>0</v>
      </c>
      <c r="H56" s="11" t="s">
        <v>41</v>
      </c>
      <c r="I56" s="12">
        <f t="shared" si="5"/>
        <v>0</v>
      </c>
      <c r="J56" s="11">
        <v>0.0</v>
      </c>
      <c r="K56" s="11">
        <v>0.0</v>
      </c>
      <c r="L56" s="16">
        <f t="shared" si="6"/>
        <v>0</v>
      </c>
      <c r="M56" s="11" t="s">
        <v>41</v>
      </c>
      <c r="N56" s="12">
        <f t="shared" si="8"/>
        <v>0</v>
      </c>
      <c r="O56" s="18">
        <f t="shared" si="9"/>
        <v>0</v>
      </c>
      <c r="P56" s="18">
        <f t="shared" si="10"/>
        <v>0</v>
      </c>
    </row>
    <row r="57">
      <c r="A57" s="2" t="s">
        <v>46</v>
      </c>
      <c r="B57" s="10">
        <v>3.0</v>
      </c>
      <c r="C57" s="12">
        <f t="shared" si="1"/>
        <v>12</v>
      </c>
      <c r="D57" s="11">
        <v>0.0</v>
      </c>
      <c r="E57" s="11">
        <v>0.0</v>
      </c>
      <c r="F57" s="12">
        <f t="shared" si="2"/>
        <v>0</v>
      </c>
      <c r="G57" s="16">
        <f t="shared" si="3"/>
        <v>0</v>
      </c>
      <c r="H57" s="11" t="s">
        <v>41</v>
      </c>
      <c r="I57" s="12">
        <f t="shared" si="5"/>
        <v>0</v>
      </c>
      <c r="J57" s="11">
        <v>0.0</v>
      </c>
      <c r="K57" s="11">
        <v>0.0</v>
      </c>
      <c r="L57" s="16">
        <f t="shared" si="6"/>
        <v>0</v>
      </c>
      <c r="M57" s="11" t="s">
        <v>41</v>
      </c>
      <c r="N57" s="12">
        <f t="shared" si="8"/>
        <v>0</v>
      </c>
      <c r="O57" s="18">
        <f t="shared" si="9"/>
        <v>0</v>
      </c>
      <c r="P57" s="18">
        <f t="shared" si="10"/>
        <v>0</v>
      </c>
    </row>
    <row r="58">
      <c r="A58" s="2" t="s">
        <v>89</v>
      </c>
      <c r="B58" s="10">
        <v>3.0</v>
      </c>
      <c r="C58" s="12">
        <f t="shared" si="1"/>
        <v>12</v>
      </c>
      <c r="D58" s="11">
        <v>0.0</v>
      </c>
      <c r="E58" s="11">
        <v>0.0</v>
      </c>
      <c r="F58" s="12">
        <f t="shared" si="2"/>
        <v>0</v>
      </c>
      <c r="G58" s="16">
        <f t="shared" si="3"/>
        <v>0</v>
      </c>
      <c r="H58" s="11" t="s">
        <v>41</v>
      </c>
      <c r="I58" s="12">
        <f t="shared" si="5"/>
        <v>0</v>
      </c>
      <c r="J58" s="11">
        <v>0.0</v>
      </c>
      <c r="K58" s="11">
        <v>0.0</v>
      </c>
      <c r="L58" s="16">
        <f t="shared" si="6"/>
        <v>0</v>
      </c>
      <c r="M58" s="11" t="s">
        <v>41</v>
      </c>
      <c r="N58" s="12">
        <f t="shared" si="8"/>
        <v>0</v>
      </c>
      <c r="O58" s="18">
        <f t="shared" si="9"/>
        <v>0</v>
      </c>
      <c r="P58" s="18">
        <f t="shared" si="10"/>
        <v>0</v>
      </c>
    </row>
    <row r="59">
      <c r="A59" s="2" t="s">
        <v>132</v>
      </c>
      <c r="B59" s="10">
        <v>3.0</v>
      </c>
      <c r="C59" s="12">
        <f t="shared" si="1"/>
        <v>12</v>
      </c>
      <c r="D59" s="11">
        <v>0.0</v>
      </c>
      <c r="E59" s="20">
        <v>0.0</v>
      </c>
      <c r="F59" s="21">
        <f t="shared" si="2"/>
        <v>0</v>
      </c>
      <c r="G59" s="23">
        <f t="shared" si="3"/>
        <v>0</v>
      </c>
      <c r="H59" s="20" t="s">
        <v>41</v>
      </c>
      <c r="I59" s="12">
        <f t="shared" si="5"/>
        <v>0</v>
      </c>
      <c r="J59" s="11">
        <v>0.0</v>
      </c>
      <c r="K59" s="11">
        <v>0.0</v>
      </c>
      <c r="L59" s="16">
        <f t="shared" si="6"/>
        <v>0</v>
      </c>
      <c r="M59" s="11" t="s">
        <v>41</v>
      </c>
      <c r="N59" s="12">
        <f t="shared" si="8"/>
        <v>0</v>
      </c>
      <c r="O59" s="18">
        <f t="shared" si="9"/>
        <v>0</v>
      </c>
      <c r="P59" s="18">
        <f t="shared" si="10"/>
        <v>0</v>
      </c>
    </row>
    <row r="60">
      <c r="A60" s="2" t="s">
        <v>43</v>
      </c>
      <c r="B60" s="10">
        <v>3.0</v>
      </c>
      <c r="C60" s="12">
        <f t="shared" si="1"/>
        <v>12</v>
      </c>
      <c r="D60" s="11">
        <v>0.0</v>
      </c>
      <c r="E60" s="20">
        <v>0.0</v>
      </c>
      <c r="F60" s="21">
        <f t="shared" si="2"/>
        <v>0</v>
      </c>
      <c r="G60" s="23">
        <f t="shared" si="3"/>
        <v>0</v>
      </c>
      <c r="H60" s="20" t="s">
        <v>41</v>
      </c>
      <c r="I60" s="12">
        <f t="shared" si="5"/>
        <v>0</v>
      </c>
      <c r="J60" s="11">
        <v>0.0</v>
      </c>
      <c r="K60" s="11">
        <v>0.0</v>
      </c>
      <c r="L60" s="16">
        <f t="shared" si="6"/>
        <v>0</v>
      </c>
      <c r="M60" s="11" t="s">
        <v>41</v>
      </c>
      <c r="N60" s="12">
        <f t="shared" si="8"/>
        <v>0</v>
      </c>
      <c r="O60" s="18">
        <f t="shared" si="9"/>
        <v>0</v>
      </c>
      <c r="P60" s="18">
        <f t="shared" si="10"/>
        <v>0</v>
      </c>
    </row>
    <row r="61">
      <c r="A61" s="2" t="s">
        <v>105</v>
      </c>
      <c r="B61" s="10">
        <v>3.0</v>
      </c>
      <c r="C61" s="12">
        <f t="shared" si="1"/>
        <v>12</v>
      </c>
      <c r="D61" s="11">
        <v>0.0</v>
      </c>
      <c r="E61" s="11">
        <v>0.0</v>
      </c>
      <c r="F61" s="12">
        <f t="shared" si="2"/>
        <v>0</v>
      </c>
      <c r="G61" s="16">
        <f t="shared" si="3"/>
        <v>0</v>
      </c>
      <c r="H61" s="11" t="s">
        <v>41</v>
      </c>
      <c r="I61" s="12">
        <f t="shared" si="5"/>
        <v>0</v>
      </c>
      <c r="J61" s="11">
        <v>0.0</v>
      </c>
      <c r="K61" s="11">
        <v>0.0</v>
      </c>
      <c r="L61" s="16">
        <f t="shared" si="6"/>
        <v>0</v>
      </c>
      <c r="M61" s="11" t="s">
        <v>41</v>
      </c>
      <c r="N61" s="12">
        <f t="shared" si="8"/>
        <v>0</v>
      </c>
      <c r="O61" s="18">
        <f t="shared" si="9"/>
        <v>0</v>
      </c>
      <c r="P61" s="18">
        <f t="shared" si="10"/>
        <v>0</v>
      </c>
    </row>
    <row r="62">
      <c r="A62" s="2" t="s">
        <v>197</v>
      </c>
      <c r="B62" s="10">
        <v>3.0</v>
      </c>
      <c r="C62" s="12">
        <f t="shared" si="1"/>
        <v>12</v>
      </c>
      <c r="D62" s="11">
        <v>0.0</v>
      </c>
      <c r="E62" s="11">
        <v>0.0</v>
      </c>
      <c r="F62" s="12">
        <f t="shared" si="2"/>
        <v>0</v>
      </c>
      <c r="G62" s="16">
        <f t="shared" si="3"/>
        <v>0</v>
      </c>
      <c r="H62" s="11" t="s">
        <v>41</v>
      </c>
      <c r="I62" s="12">
        <f t="shared" si="5"/>
        <v>0</v>
      </c>
      <c r="J62" s="11">
        <v>0.0</v>
      </c>
      <c r="K62" s="11">
        <v>0.0</v>
      </c>
      <c r="L62" s="16">
        <f t="shared" si="6"/>
        <v>0</v>
      </c>
      <c r="M62" s="11" t="s">
        <v>41</v>
      </c>
      <c r="N62" s="12">
        <f t="shared" si="8"/>
        <v>0</v>
      </c>
      <c r="O62" s="18">
        <f t="shared" si="9"/>
        <v>0</v>
      </c>
      <c r="P62" s="18">
        <f t="shared" si="10"/>
        <v>0</v>
      </c>
    </row>
    <row r="63">
      <c r="A63" s="2" t="s">
        <v>100</v>
      </c>
      <c r="B63" s="10">
        <v>3.0</v>
      </c>
      <c r="C63" s="12">
        <f t="shared" si="1"/>
        <v>12</v>
      </c>
      <c r="D63" s="11">
        <v>0.0</v>
      </c>
      <c r="E63" s="20">
        <v>0.0</v>
      </c>
      <c r="F63" s="21">
        <f t="shared" si="2"/>
        <v>0</v>
      </c>
      <c r="G63" s="23">
        <f t="shared" si="3"/>
        <v>0</v>
      </c>
      <c r="H63" s="20" t="s">
        <v>41</v>
      </c>
      <c r="I63" s="12">
        <f t="shared" si="5"/>
        <v>0</v>
      </c>
      <c r="J63" s="11">
        <v>0.0</v>
      </c>
      <c r="K63" s="11">
        <v>0.0</v>
      </c>
      <c r="L63" s="16">
        <f t="shared" si="6"/>
        <v>0</v>
      </c>
      <c r="M63" s="11" t="s">
        <v>41</v>
      </c>
      <c r="N63" s="12">
        <f t="shared" si="8"/>
        <v>0</v>
      </c>
      <c r="O63" s="18">
        <f t="shared" si="9"/>
        <v>0</v>
      </c>
      <c r="P63" s="18">
        <f t="shared" si="10"/>
        <v>0</v>
      </c>
    </row>
    <row r="64">
      <c r="A64" s="2" t="s">
        <v>169</v>
      </c>
      <c r="B64" s="10">
        <v>3.0</v>
      </c>
      <c r="C64" s="12">
        <f t="shared" si="1"/>
        <v>12</v>
      </c>
      <c r="D64" s="11">
        <v>0.0</v>
      </c>
      <c r="E64" s="11">
        <v>0.0</v>
      </c>
      <c r="F64" s="12">
        <f t="shared" si="2"/>
        <v>0</v>
      </c>
      <c r="G64" s="16">
        <f t="shared" si="3"/>
        <v>0</v>
      </c>
      <c r="H64" s="11" t="s">
        <v>41</v>
      </c>
      <c r="I64" s="12">
        <f t="shared" si="5"/>
        <v>0</v>
      </c>
      <c r="J64" s="11">
        <v>0.0</v>
      </c>
      <c r="K64" s="11">
        <v>0.0</v>
      </c>
      <c r="L64" s="16">
        <f t="shared" si="6"/>
        <v>0</v>
      </c>
      <c r="M64" s="11" t="s">
        <v>41</v>
      </c>
      <c r="N64" s="12">
        <f t="shared" si="8"/>
        <v>0</v>
      </c>
      <c r="O64" s="18">
        <f t="shared" si="9"/>
        <v>0</v>
      </c>
      <c r="P64" s="18">
        <f t="shared" si="10"/>
        <v>0</v>
      </c>
    </row>
    <row r="65">
      <c r="A65" s="2" t="s">
        <v>153</v>
      </c>
      <c r="B65" s="10">
        <v>3.0</v>
      </c>
      <c r="C65" s="12">
        <f t="shared" si="1"/>
        <v>12</v>
      </c>
      <c r="D65" s="11">
        <v>0.0</v>
      </c>
      <c r="E65" s="11">
        <v>0.0</v>
      </c>
      <c r="F65" s="12">
        <f t="shared" si="2"/>
        <v>0</v>
      </c>
      <c r="G65" s="16">
        <f t="shared" si="3"/>
        <v>0</v>
      </c>
      <c r="H65" s="11" t="s">
        <v>41</v>
      </c>
      <c r="I65" s="12">
        <f t="shared" si="5"/>
        <v>0</v>
      </c>
      <c r="J65" s="11">
        <v>0.0</v>
      </c>
      <c r="K65" s="11">
        <v>0.0</v>
      </c>
      <c r="L65" s="16">
        <f t="shared" si="6"/>
        <v>0</v>
      </c>
      <c r="M65" s="11" t="s">
        <v>41</v>
      </c>
      <c r="N65" s="12">
        <f t="shared" si="8"/>
        <v>0</v>
      </c>
      <c r="O65" s="18">
        <f t="shared" si="9"/>
        <v>0</v>
      </c>
      <c r="P65" s="18">
        <f t="shared" si="10"/>
        <v>0</v>
      </c>
    </row>
    <row r="66">
      <c r="A66" s="2" t="s">
        <v>150</v>
      </c>
      <c r="B66" s="10">
        <v>3.0</v>
      </c>
      <c r="C66" s="12">
        <f t="shared" si="1"/>
        <v>12</v>
      </c>
      <c r="D66" s="11">
        <v>0.0</v>
      </c>
      <c r="E66" s="11">
        <v>0.0</v>
      </c>
      <c r="F66" s="12">
        <f t="shared" si="2"/>
        <v>0</v>
      </c>
      <c r="G66" s="16">
        <f t="shared" si="3"/>
        <v>0</v>
      </c>
      <c r="H66" s="11" t="s">
        <v>41</v>
      </c>
      <c r="I66" s="12">
        <f t="shared" si="5"/>
        <v>0</v>
      </c>
      <c r="J66" s="11">
        <v>0.0</v>
      </c>
      <c r="K66" s="11">
        <v>0.0</v>
      </c>
      <c r="L66" s="16">
        <f t="shared" si="6"/>
        <v>0</v>
      </c>
      <c r="M66" s="11" t="s">
        <v>41</v>
      </c>
      <c r="N66" s="12">
        <f t="shared" si="8"/>
        <v>0</v>
      </c>
      <c r="O66" s="18">
        <f t="shared" si="9"/>
        <v>0</v>
      </c>
      <c r="P66" s="18">
        <f t="shared" si="10"/>
        <v>0</v>
      </c>
    </row>
    <row r="67">
      <c r="A67" s="2" t="s">
        <v>144</v>
      </c>
      <c r="B67" s="10">
        <v>3.0</v>
      </c>
      <c r="C67" s="12">
        <f t="shared" si="1"/>
        <v>12</v>
      </c>
      <c r="D67" s="11">
        <v>0.0</v>
      </c>
      <c r="E67" s="11">
        <v>0.0</v>
      </c>
      <c r="F67" s="12">
        <f t="shared" si="2"/>
        <v>0</v>
      </c>
      <c r="G67" s="16">
        <f t="shared" si="3"/>
        <v>0</v>
      </c>
      <c r="H67" s="11" t="s">
        <v>41</v>
      </c>
      <c r="I67" s="12">
        <f t="shared" si="5"/>
        <v>0</v>
      </c>
      <c r="J67" s="11">
        <v>0.0</v>
      </c>
      <c r="K67" s="11">
        <v>0.0</v>
      </c>
      <c r="L67" s="16">
        <f t="shared" si="6"/>
        <v>0</v>
      </c>
      <c r="M67" s="11" t="s">
        <v>41</v>
      </c>
      <c r="N67" s="12">
        <f t="shared" si="8"/>
        <v>0</v>
      </c>
      <c r="O67" s="18">
        <f t="shared" si="9"/>
        <v>0</v>
      </c>
      <c r="P67" s="18">
        <f t="shared" si="10"/>
        <v>0</v>
      </c>
    </row>
    <row r="68">
      <c r="A68" s="2" t="s">
        <v>155</v>
      </c>
      <c r="B68" s="10">
        <v>3.0</v>
      </c>
      <c r="C68" s="12">
        <f t="shared" si="1"/>
        <v>12</v>
      </c>
      <c r="D68" s="11">
        <v>0.0</v>
      </c>
      <c r="E68" s="11">
        <v>0.0</v>
      </c>
      <c r="F68" s="12">
        <f t="shared" si="2"/>
        <v>0</v>
      </c>
      <c r="G68" s="16">
        <f t="shared" si="3"/>
        <v>0</v>
      </c>
      <c r="H68" s="11" t="s">
        <v>41</v>
      </c>
      <c r="I68" s="12">
        <f t="shared" si="5"/>
        <v>0</v>
      </c>
      <c r="J68" s="11">
        <v>0.0</v>
      </c>
      <c r="K68" s="11">
        <v>0.0</v>
      </c>
      <c r="L68" s="16">
        <f t="shared" si="6"/>
        <v>0</v>
      </c>
      <c r="M68" s="11" t="s">
        <v>41</v>
      </c>
      <c r="N68" s="12">
        <f t="shared" si="8"/>
        <v>0</v>
      </c>
      <c r="O68" s="18">
        <f t="shared" si="9"/>
        <v>0</v>
      </c>
      <c r="P68" s="18">
        <f t="shared" si="10"/>
        <v>0</v>
      </c>
    </row>
    <row r="69">
      <c r="A69" s="2" t="s">
        <v>67</v>
      </c>
      <c r="B69" s="10">
        <v>3.0</v>
      </c>
      <c r="C69" s="12">
        <f t="shared" si="1"/>
        <v>12</v>
      </c>
      <c r="D69" s="11">
        <v>0.0</v>
      </c>
      <c r="E69" s="11">
        <v>0.0</v>
      </c>
      <c r="F69" s="12">
        <f t="shared" si="2"/>
        <v>0</v>
      </c>
      <c r="G69" s="16">
        <f t="shared" si="3"/>
        <v>0</v>
      </c>
      <c r="H69" s="11" t="s">
        <v>41</v>
      </c>
      <c r="I69" s="12">
        <f t="shared" si="5"/>
        <v>0</v>
      </c>
      <c r="J69" s="11">
        <v>0.0</v>
      </c>
      <c r="K69" s="11">
        <v>0.0</v>
      </c>
      <c r="L69" s="16">
        <f t="shared" si="6"/>
        <v>0</v>
      </c>
      <c r="M69" s="11" t="s">
        <v>41</v>
      </c>
      <c r="N69" s="12">
        <f t="shared" si="8"/>
        <v>0</v>
      </c>
      <c r="O69" s="18">
        <f t="shared" si="9"/>
        <v>0</v>
      </c>
      <c r="P69" s="18">
        <f t="shared" si="10"/>
        <v>0</v>
      </c>
    </row>
    <row r="70">
      <c r="A70" s="2" t="s">
        <v>73</v>
      </c>
      <c r="B70" s="10">
        <v>3.0</v>
      </c>
      <c r="C70" s="12">
        <f t="shared" si="1"/>
        <v>12</v>
      </c>
      <c r="D70" s="11">
        <v>0.0</v>
      </c>
      <c r="E70" s="11">
        <v>0.0</v>
      </c>
      <c r="F70" s="12">
        <f t="shared" si="2"/>
        <v>0</v>
      </c>
      <c r="G70" s="16">
        <f t="shared" si="3"/>
        <v>0</v>
      </c>
      <c r="H70" s="11" t="s">
        <v>41</v>
      </c>
      <c r="I70" s="12">
        <f t="shared" si="5"/>
        <v>0</v>
      </c>
      <c r="J70" s="11">
        <v>0.0</v>
      </c>
      <c r="K70" s="11">
        <v>0.0</v>
      </c>
      <c r="L70" s="16">
        <f t="shared" si="6"/>
        <v>0</v>
      </c>
      <c r="M70" s="11" t="s">
        <v>41</v>
      </c>
      <c r="N70" s="12">
        <f t="shared" si="8"/>
        <v>0</v>
      </c>
      <c r="O70" s="18">
        <f t="shared" si="9"/>
        <v>0</v>
      </c>
      <c r="P70" s="18">
        <f t="shared" si="10"/>
        <v>0</v>
      </c>
    </row>
    <row r="71">
      <c r="A71" s="2" t="s">
        <v>103</v>
      </c>
      <c r="B71" s="10">
        <v>3.0</v>
      </c>
      <c r="C71" s="12">
        <f t="shared" si="1"/>
        <v>12</v>
      </c>
      <c r="D71" s="11">
        <v>0.0</v>
      </c>
      <c r="E71" s="11">
        <v>0.0</v>
      </c>
      <c r="F71" s="12">
        <f t="shared" si="2"/>
        <v>0</v>
      </c>
      <c r="G71" s="16">
        <f t="shared" si="3"/>
        <v>0</v>
      </c>
      <c r="H71" s="11" t="s">
        <v>41</v>
      </c>
      <c r="I71" s="12">
        <f t="shared" si="5"/>
        <v>0</v>
      </c>
      <c r="J71" s="11">
        <v>0.0</v>
      </c>
      <c r="K71" s="11">
        <v>0.0</v>
      </c>
      <c r="L71" s="16">
        <f t="shared" si="6"/>
        <v>0</v>
      </c>
      <c r="M71" s="11" t="s">
        <v>41</v>
      </c>
      <c r="N71" s="12">
        <f t="shared" si="8"/>
        <v>0</v>
      </c>
      <c r="O71" s="18">
        <f t="shared" si="9"/>
        <v>0</v>
      </c>
      <c r="P71" s="18">
        <f t="shared" si="10"/>
        <v>0</v>
      </c>
    </row>
    <row r="72">
      <c r="A72" s="2" t="s">
        <v>61</v>
      </c>
      <c r="B72" s="10">
        <v>3.0</v>
      </c>
      <c r="C72" s="12">
        <f t="shared" si="1"/>
        <v>12</v>
      </c>
      <c r="D72" s="11">
        <v>0.0</v>
      </c>
      <c r="E72" s="11">
        <v>0.0</v>
      </c>
      <c r="F72" s="12">
        <f t="shared" si="2"/>
        <v>0</v>
      </c>
      <c r="G72" s="16">
        <f t="shared" si="3"/>
        <v>0</v>
      </c>
      <c r="H72" s="11" t="s">
        <v>41</v>
      </c>
      <c r="I72" s="12">
        <f t="shared" si="5"/>
        <v>0</v>
      </c>
      <c r="J72" s="11">
        <v>0.0</v>
      </c>
      <c r="K72" s="11">
        <v>0.0</v>
      </c>
      <c r="L72" s="16">
        <f t="shared" si="6"/>
        <v>0</v>
      </c>
      <c r="M72" s="11" t="s">
        <v>41</v>
      </c>
      <c r="N72" s="12">
        <f t="shared" si="8"/>
        <v>0</v>
      </c>
      <c r="O72" s="18">
        <f t="shared" si="9"/>
        <v>0</v>
      </c>
      <c r="P72" s="18">
        <f t="shared" si="10"/>
        <v>0</v>
      </c>
    </row>
    <row r="73">
      <c r="A73" s="2" t="s">
        <v>201</v>
      </c>
      <c r="B73" s="10">
        <v>2.0</v>
      </c>
      <c r="C73" s="12">
        <f t="shared" si="1"/>
        <v>8</v>
      </c>
      <c r="D73" s="11">
        <v>0.0</v>
      </c>
      <c r="E73" s="11">
        <v>0.0</v>
      </c>
      <c r="F73" s="12">
        <f t="shared" si="2"/>
        <v>0</v>
      </c>
      <c r="G73" s="16">
        <f t="shared" si="3"/>
        <v>0</v>
      </c>
      <c r="H73" s="11" t="s">
        <v>41</v>
      </c>
      <c r="I73" s="12">
        <f t="shared" si="5"/>
        <v>0</v>
      </c>
      <c r="J73" s="11">
        <v>0.0</v>
      </c>
      <c r="K73" s="11">
        <v>0.0</v>
      </c>
      <c r="L73" s="16">
        <f t="shared" si="6"/>
        <v>0</v>
      </c>
      <c r="M73" s="11" t="s">
        <v>41</v>
      </c>
      <c r="N73" s="12">
        <f t="shared" si="8"/>
        <v>0</v>
      </c>
      <c r="O73" s="18">
        <f t="shared" si="9"/>
        <v>0</v>
      </c>
      <c r="P73" s="18">
        <f t="shared" si="10"/>
        <v>0</v>
      </c>
    </row>
    <row r="74">
      <c r="A74" s="2" t="s">
        <v>166</v>
      </c>
      <c r="B74" s="10">
        <v>2.0</v>
      </c>
      <c r="C74" s="12">
        <f t="shared" si="1"/>
        <v>8</v>
      </c>
      <c r="D74" s="11">
        <v>0.0</v>
      </c>
      <c r="E74" s="20">
        <v>0.0</v>
      </c>
      <c r="F74" s="21">
        <f t="shared" si="2"/>
        <v>0</v>
      </c>
      <c r="G74" s="23">
        <f t="shared" si="3"/>
        <v>0</v>
      </c>
      <c r="H74" s="20" t="s">
        <v>41</v>
      </c>
      <c r="I74" s="12">
        <f t="shared" si="5"/>
        <v>0</v>
      </c>
      <c r="J74" s="11">
        <v>0.0</v>
      </c>
      <c r="K74" s="11">
        <v>0.0</v>
      </c>
      <c r="L74" s="16">
        <f t="shared" si="6"/>
        <v>0</v>
      </c>
      <c r="M74" s="11" t="s">
        <v>41</v>
      </c>
      <c r="N74" s="12">
        <f t="shared" si="8"/>
        <v>0</v>
      </c>
      <c r="O74" s="18">
        <f t="shared" si="9"/>
        <v>0</v>
      </c>
      <c r="P74" s="18">
        <f t="shared" si="10"/>
        <v>0</v>
      </c>
    </row>
    <row r="75">
      <c r="A75" s="2" t="s">
        <v>168</v>
      </c>
      <c r="B75" s="10">
        <v>2.0</v>
      </c>
      <c r="C75" s="12">
        <f t="shared" si="1"/>
        <v>8</v>
      </c>
      <c r="D75" s="11">
        <v>0.0</v>
      </c>
      <c r="E75" s="20">
        <v>0.0</v>
      </c>
      <c r="F75" s="21">
        <f t="shared" si="2"/>
        <v>0</v>
      </c>
      <c r="G75" s="23">
        <f t="shared" si="3"/>
        <v>0</v>
      </c>
      <c r="H75" s="20" t="s">
        <v>41</v>
      </c>
      <c r="I75" s="12">
        <f t="shared" si="5"/>
        <v>0</v>
      </c>
      <c r="J75" s="11">
        <v>0.0</v>
      </c>
      <c r="K75" s="11">
        <v>0.0</v>
      </c>
      <c r="L75" s="16">
        <f t="shared" si="6"/>
        <v>0</v>
      </c>
      <c r="M75" s="11" t="s">
        <v>41</v>
      </c>
      <c r="N75" s="12">
        <f t="shared" si="8"/>
        <v>0</v>
      </c>
      <c r="O75" s="18">
        <f t="shared" si="9"/>
        <v>0</v>
      </c>
      <c r="P75" s="18">
        <f t="shared" si="10"/>
        <v>0</v>
      </c>
    </row>
    <row r="76">
      <c r="A76" s="2" t="s">
        <v>115</v>
      </c>
      <c r="B76" s="10">
        <v>2.0</v>
      </c>
      <c r="C76" s="12">
        <f t="shared" si="1"/>
        <v>8</v>
      </c>
      <c r="D76" s="11">
        <v>0.0</v>
      </c>
      <c r="E76" s="20">
        <v>0.0</v>
      </c>
      <c r="F76" s="21">
        <f t="shared" si="2"/>
        <v>0</v>
      </c>
      <c r="G76" s="23">
        <f t="shared" si="3"/>
        <v>0</v>
      </c>
      <c r="H76" s="20" t="s">
        <v>41</v>
      </c>
      <c r="I76" s="12">
        <f t="shared" si="5"/>
        <v>0</v>
      </c>
      <c r="J76" s="11">
        <v>0.0</v>
      </c>
      <c r="K76" s="11">
        <v>0.0</v>
      </c>
      <c r="L76" s="16">
        <f t="shared" si="6"/>
        <v>0</v>
      </c>
      <c r="M76" s="11" t="s">
        <v>41</v>
      </c>
      <c r="N76" s="12">
        <f t="shared" si="8"/>
        <v>0</v>
      </c>
      <c r="O76" s="18">
        <f t="shared" si="9"/>
        <v>0</v>
      </c>
      <c r="P76" s="18">
        <f t="shared" si="10"/>
        <v>0</v>
      </c>
    </row>
    <row r="77">
      <c r="A77" s="2" t="s">
        <v>75</v>
      </c>
      <c r="B77" s="10">
        <v>2.0</v>
      </c>
      <c r="C77" s="12">
        <f t="shared" si="1"/>
        <v>8</v>
      </c>
      <c r="D77" s="11">
        <v>0.0</v>
      </c>
      <c r="E77" s="20">
        <v>0.0</v>
      </c>
      <c r="F77" s="21">
        <f t="shared" si="2"/>
        <v>0</v>
      </c>
      <c r="G77" s="23">
        <f t="shared" si="3"/>
        <v>0</v>
      </c>
      <c r="H77" s="20" t="s">
        <v>41</v>
      </c>
      <c r="I77" s="12">
        <f t="shared" si="5"/>
        <v>0</v>
      </c>
      <c r="J77" s="11">
        <v>0.0</v>
      </c>
      <c r="K77" s="11">
        <v>0.0</v>
      </c>
      <c r="L77" s="16">
        <f t="shared" si="6"/>
        <v>0</v>
      </c>
      <c r="M77" s="11" t="s">
        <v>41</v>
      </c>
      <c r="N77" s="12">
        <f t="shared" si="8"/>
        <v>0</v>
      </c>
      <c r="O77" s="18">
        <f t="shared" si="9"/>
        <v>0</v>
      </c>
      <c r="P77" s="18">
        <f t="shared" si="10"/>
        <v>0</v>
      </c>
    </row>
    <row r="78">
      <c r="A78" s="2" t="s">
        <v>141</v>
      </c>
      <c r="B78" s="10">
        <v>2.0</v>
      </c>
      <c r="C78" s="12">
        <f t="shared" si="1"/>
        <v>8</v>
      </c>
      <c r="D78" s="11">
        <v>0.0</v>
      </c>
      <c r="E78" s="20">
        <v>0.0</v>
      </c>
      <c r="F78" s="21">
        <f t="shared" si="2"/>
        <v>0</v>
      </c>
      <c r="G78" s="23">
        <f t="shared" si="3"/>
        <v>0</v>
      </c>
      <c r="H78" s="20" t="s">
        <v>41</v>
      </c>
      <c r="I78" s="12">
        <f t="shared" si="5"/>
        <v>0</v>
      </c>
      <c r="J78" s="11">
        <v>0.0</v>
      </c>
      <c r="K78" s="11">
        <v>0.0</v>
      </c>
      <c r="L78" s="16">
        <f t="shared" si="6"/>
        <v>0</v>
      </c>
      <c r="M78" s="11" t="s">
        <v>41</v>
      </c>
      <c r="N78" s="12">
        <f t="shared" si="8"/>
        <v>0</v>
      </c>
      <c r="O78" s="18">
        <f t="shared" si="9"/>
        <v>0</v>
      </c>
      <c r="P78" s="18">
        <f t="shared" si="10"/>
        <v>0</v>
      </c>
    </row>
    <row r="79">
      <c r="A79" s="2" t="s">
        <v>121</v>
      </c>
      <c r="B79" s="10">
        <v>2.0</v>
      </c>
      <c r="C79" s="12">
        <f t="shared" si="1"/>
        <v>8</v>
      </c>
      <c r="D79" s="11">
        <v>0.0</v>
      </c>
      <c r="E79" s="11">
        <v>0.0</v>
      </c>
      <c r="F79" s="12">
        <f t="shared" si="2"/>
        <v>0</v>
      </c>
      <c r="G79" s="16">
        <f t="shared" si="3"/>
        <v>0</v>
      </c>
      <c r="H79" s="11" t="s">
        <v>41</v>
      </c>
      <c r="I79" s="12">
        <f t="shared" si="5"/>
        <v>0</v>
      </c>
      <c r="J79" s="11">
        <v>0.0</v>
      </c>
      <c r="K79" s="11">
        <v>0.0</v>
      </c>
      <c r="L79" s="16">
        <f t="shared" si="6"/>
        <v>0</v>
      </c>
      <c r="M79" s="11" t="s">
        <v>41</v>
      </c>
      <c r="N79" s="12">
        <f t="shared" si="8"/>
        <v>0</v>
      </c>
      <c r="O79" s="18">
        <f t="shared" si="9"/>
        <v>0</v>
      </c>
      <c r="P79" s="18">
        <f t="shared" si="10"/>
        <v>0</v>
      </c>
    </row>
    <row r="80">
      <c r="A80" s="2" t="s">
        <v>173</v>
      </c>
      <c r="B80" s="10">
        <v>3.0</v>
      </c>
      <c r="C80" s="12">
        <f t="shared" si="1"/>
        <v>12</v>
      </c>
      <c r="D80" s="11">
        <v>0.0</v>
      </c>
      <c r="E80" s="20">
        <v>0.0</v>
      </c>
      <c r="F80" s="21">
        <f t="shared" si="2"/>
        <v>0</v>
      </c>
      <c r="G80" s="23">
        <f t="shared" si="3"/>
        <v>0</v>
      </c>
      <c r="H80" s="20" t="s">
        <v>41</v>
      </c>
      <c r="I80" s="12">
        <f t="shared" si="5"/>
        <v>0</v>
      </c>
      <c r="J80" s="11">
        <v>0.0</v>
      </c>
      <c r="K80" s="11">
        <v>0.0</v>
      </c>
      <c r="L80" s="16">
        <f t="shared" si="6"/>
        <v>0</v>
      </c>
      <c r="M80" s="11" t="s">
        <v>41</v>
      </c>
      <c r="N80" s="12">
        <f t="shared" si="8"/>
        <v>0</v>
      </c>
      <c r="O80" s="18">
        <f t="shared" si="9"/>
        <v>0</v>
      </c>
      <c r="P80" s="18">
        <f t="shared" si="10"/>
        <v>0</v>
      </c>
    </row>
    <row r="81">
      <c r="A81" s="2" t="s">
        <v>174</v>
      </c>
      <c r="B81" s="10">
        <v>1.5</v>
      </c>
      <c r="C81" s="12">
        <f t="shared" si="1"/>
        <v>6</v>
      </c>
      <c r="D81" s="11">
        <v>0.0</v>
      </c>
      <c r="E81" s="20">
        <v>0.0</v>
      </c>
      <c r="F81" s="21">
        <f t="shared" si="2"/>
        <v>0</v>
      </c>
      <c r="G81" s="23">
        <f t="shared" si="3"/>
        <v>0</v>
      </c>
      <c r="H81" s="20" t="s">
        <v>41</v>
      </c>
      <c r="I81" s="12">
        <f t="shared" si="5"/>
        <v>0</v>
      </c>
      <c r="J81" s="11">
        <v>0.0</v>
      </c>
      <c r="K81" s="11">
        <v>0.0</v>
      </c>
      <c r="L81" s="16">
        <f t="shared" si="6"/>
        <v>0</v>
      </c>
      <c r="M81" s="11" t="s">
        <v>41</v>
      </c>
      <c r="N81" s="12">
        <f t="shared" si="8"/>
        <v>0</v>
      </c>
      <c r="O81" s="18">
        <f t="shared" si="9"/>
        <v>0</v>
      </c>
      <c r="P81" s="18">
        <f t="shared" si="10"/>
        <v>0</v>
      </c>
    </row>
    <row r="82">
      <c r="A82" s="2" t="s">
        <v>94</v>
      </c>
      <c r="B82" s="10">
        <v>1.5</v>
      </c>
      <c r="C82" s="12">
        <f t="shared" si="1"/>
        <v>6</v>
      </c>
      <c r="D82" s="11">
        <v>0.0</v>
      </c>
      <c r="E82" s="11">
        <v>0.0</v>
      </c>
      <c r="F82" s="12">
        <f t="shared" si="2"/>
        <v>0</v>
      </c>
      <c r="G82" s="16">
        <f t="shared" si="3"/>
        <v>0</v>
      </c>
      <c r="H82" s="11" t="s">
        <v>41</v>
      </c>
      <c r="I82" s="12">
        <f t="shared" si="5"/>
        <v>0</v>
      </c>
      <c r="J82" s="11">
        <v>0.0</v>
      </c>
      <c r="K82" s="11">
        <v>0.0</v>
      </c>
      <c r="L82" s="16">
        <f t="shared" si="6"/>
        <v>0</v>
      </c>
      <c r="M82" s="11" t="s">
        <v>41</v>
      </c>
      <c r="N82" s="12">
        <f t="shared" si="8"/>
        <v>0</v>
      </c>
      <c r="O82" s="18">
        <f t="shared" si="9"/>
        <v>0</v>
      </c>
      <c r="P82" s="18">
        <f t="shared" si="10"/>
        <v>0</v>
      </c>
    </row>
    <row r="83">
      <c r="A83" s="2" t="s">
        <v>124</v>
      </c>
      <c r="B83" s="10">
        <v>1.5</v>
      </c>
      <c r="C83" s="12">
        <f t="shared" si="1"/>
        <v>6</v>
      </c>
      <c r="D83" s="11">
        <v>0.0</v>
      </c>
      <c r="E83" s="11">
        <v>0.0</v>
      </c>
      <c r="F83" s="12">
        <f t="shared" si="2"/>
        <v>0</v>
      </c>
      <c r="G83" s="16">
        <f t="shared" si="3"/>
        <v>0</v>
      </c>
      <c r="H83" s="11" t="s">
        <v>41</v>
      </c>
      <c r="I83" s="12">
        <f t="shared" si="5"/>
        <v>0</v>
      </c>
      <c r="J83" s="11">
        <v>0.0</v>
      </c>
      <c r="K83" s="11">
        <v>0.0</v>
      </c>
      <c r="L83" s="16">
        <f t="shared" si="6"/>
        <v>0</v>
      </c>
      <c r="M83" s="11" t="s">
        <v>41</v>
      </c>
      <c r="N83" s="12">
        <f t="shared" si="8"/>
        <v>0</v>
      </c>
      <c r="O83" s="18">
        <f t="shared" si="9"/>
        <v>0</v>
      </c>
      <c r="P83" s="18">
        <f t="shared" si="10"/>
        <v>0</v>
      </c>
    </row>
    <row r="84">
      <c r="A84" s="2" t="s">
        <v>176</v>
      </c>
      <c r="B84" s="10">
        <v>1.5</v>
      </c>
      <c r="C84" s="12">
        <f t="shared" si="1"/>
        <v>6</v>
      </c>
      <c r="D84" s="11">
        <v>0.0</v>
      </c>
      <c r="E84" s="11">
        <v>0.0</v>
      </c>
      <c r="F84" s="12">
        <f t="shared" si="2"/>
        <v>0</v>
      </c>
      <c r="G84" s="16">
        <f t="shared" si="3"/>
        <v>0</v>
      </c>
      <c r="H84" s="11" t="s">
        <v>41</v>
      </c>
      <c r="I84" s="12">
        <f t="shared" si="5"/>
        <v>0</v>
      </c>
      <c r="J84" s="11">
        <v>0.0</v>
      </c>
      <c r="K84" s="11">
        <v>0.0</v>
      </c>
      <c r="L84" s="16">
        <f t="shared" si="6"/>
        <v>0</v>
      </c>
      <c r="M84" s="11" t="s">
        <v>41</v>
      </c>
      <c r="N84" s="12">
        <f t="shared" si="8"/>
        <v>0</v>
      </c>
      <c r="O84" s="18">
        <f t="shared" si="9"/>
        <v>0</v>
      </c>
      <c r="P84" s="18">
        <f t="shared" si="10"/>
        <v>0</v>
      </c>
    </row>
    <row r="85">
      <c r="A85" s="2" t="s">
        <v>157</v>
      </c>
      <c r="B85" s="10">
        <v>1.5</v>
      </c>
      <c r="C85" s="12">
        <f t="shared" si="1"/>
        <v>6</v>
      </c>
      <c r="D85" s="11">
        <v>0.0</v>
      </c>
      <c r="E85" s="11">
        <v>0.0</v>
      </c>
      <c r="F85" s="12">
        <f t="shared" si="2"/>
        <v>0</v>
      </c>
      <c r="G85" s="16">
        <f t="shared" si="3"/>
        <v>0</v>
      </c>
      <c r="H85" s="11" t="s">
        <v>41</v>
      </c>
      <c r="I85" s="12">
        <f t="shared" si="5"/>
        <v>0</v>
      </c>
      <c r="J85" s="11">
        <v>0.0</v>
      </c>
      <c r="K85" s="11">
        <v>0.0</v>
      </c>
      <c r="L85" s="16">
        <f t="shared" si="6"/>
        <v>0</v>
      </c>
      <c r="M85" s="11" t="s">
        <v>41</v>
      </c>
      <c r="N85" s="12">
        <f t="shared" si="8"/>
        <v>0</v>
      </c>
      <c r="O85" s="18">
        <f t="shared" si="9"/>
        <v>0</v>
      </c>
      <c r="P85" s="18">
        <f t="shared" si="10"/>
        <v>0</v>
      </c>
    </row>
    <row r="86">
      <c r="A86" s="2" t="s">
        <v>76</v>
      </c>
      <c r="B86" s="10">
        <v>1.0</v>
      </c>
      <c r="C86" s="12">
        <f t="shared" si="1"/>
        <v>4</v>
      </c>
      <c r="D86" s="11">
        <v>0.0</v>
      </c>
      <c r="E86" s="11">
        <v>0.0</v>
      </c>
      <c r="F86" s="12">
        <f t="shared" si="2"/>
        <v>0</v>
      </c>
      <c r="G86" s="16">
        <f t="shared" si="3"/>
        <v>0</v>
      </c>
      <c r="H86" s="11" t="s">
        <v>41</v>
      </c>
      <c r="I86" s="12">
        <f t="shared" si="5"/>
        <v>0</v>
      </c>
      <c r="J86" s="11">
        <v>0.0</v>
      </c>
      <c r="K86" s="11">
        <v>0.0</v>
      </c>
      <c r="L86" s="16">
        <f t="shared" si="6"/>
        <v>0</v>
      </c>
      <c r="M86" s="11" t="s">
        <v>41</v>
      </c>
      <c r="N86" s="12">
        <f t="shared" si="8"/>
        <v>0</v>
      </c>
      <c r="O86" s="18">
        <f t="shared" si="9"/>
        <v>0</v>
      </c>
      <c r="P86" s="18">
        <f t="shared" si="10"/>
        <v>0</v>
      </c>
    </row>
    <row r="87">
      <c r="A87" s="2" t="s">
        <v>160</v>
      </c>
      <c r="B87" s="10">
        <v>1.0</v>
      </c>
      <c r="C87" s="12">
        <f t="shared" si="1"/>
        <v>4</v>
      </c>
      <c r="D87" s="11">
        <v>0.0</v>
      </c>
      <c r="E87" s="11">
        <v>0.0</v>
      </c>
      <c r="F87" s="12">
        <f t="shared" si="2"/>
        <v>0</v>
      </c>
      <c r="G87" s="16">
        <f t="shared" si="3"/>
        <v>0</v>
      </c>
      <c r="H87" s="11" t="s">
        <v>41</v>
      </c>
      <c r="I87" s="12">
        <f t="shared" si="5"/>
        <v>0</v>
      </c>
      <c r="J87" s="11">
        <v>0.0</v>
      </c>
      <c r="K87" s="11">
        <v>0.0</v>
      </c>
      <c r="L87" s="16">
        <f t="shared" si="6"/>
        <v>0</v>
      </c>
      <c r="M87" s="11" t="s">
        <v>41</v>
      </c>
      <c r="N87" s="12">
        <f t="shared" si="8"/>
        <v>0</v>
      </c>
      <c r="O87" s="18">
        <f t="shared" si="9"/>
        <v>0</v>
      </c>
      <c r="P87" s="18">
        <f t="shared" si="10"/>
        <v>0</v>
      </c>
    </row>
    <row r="88">
      <c r="A88" s="2" t="s">
        <v>135</v>
      </c>
      <c r="B88" s="10">
        <v>3.0</v>
      </c>
      <c r="C88" s="12">
        <f t="shared" si="1"/>
        <v>12</v>
      </c>
      <c r="D88" s="11">
        <v>0.0</v>
      </c>
      <c r="E88" s="11">
        <v>0.0</v>
      </c>
      <c r="F88" s="12">
        <f t="shared" si="2"/>
        <v>0</v>
      </c>
      <c r="G88" s="16">
        <f t="shared" si="3"/>
        <v>0</v>
      </c>
      <c r="H88" s="11" t="s">
        <v>41</v>
      </c>
      <c r="I88" s="12">
        <f t="shared" si="5"/>
        <v>0</v>
      </c>
      <c r="J88" s="11">
        <v>0.0</v>
      </c>
      <c r="K88" s="11">
        <v>0.0</v>
      </c>
      <c r="L88" s="16">
        <f t="shared" si="6"/>
        <v>0</v>
      </c>
      <c r="M88" s="11" t="s">
        <v>41</v>
      </c>
      <c r="N88" s="12">
        <f t="shared" si="8"/>
        <v>0</v>
      </c>
      <c r="O88" s="18">
        <f t="shared" si="9"/>
        <v>0</v>
      </c>
      <c r="P88" s="18">
        <f t="shared" si="10"/>
        <v>0</v>
      </c>
    </row>
    <row r="89">
      <c r="A89" s="2" t="s">
        <v>184</v>
      </c>
      <c r="B89" s="10">
        <v>1.5</v>
      </c>
      <c r="C89" s="12">
        <f t="shared" si="1"/>
        <v>6</v>
      </c>
      <c r="D89" s="11">
        <v>0.0</v>
      </c>
      <c r="E89" s="11">
        <v>0.0</v>
      </c>
      <c r="F89" s="12">
        <f t="shared" si="2"/>
        <v>0</v>
      </c>
      <c r="G89" s="16">
        <f t="shared" si="3"/>
        <v>0</v>
      </c>
      <c r="H89" s="11" t="s">
        <v>41</v>
      </c>
      <c r="I89" s="12">
        <f t="shared" si="5"/>
        <v>0</v>
      </c>
      <c r="J89" s="11">
        <v>0.0</v>
      </c>
      <c r="K89" s="11">
        <v>0.0</v>
      </c>
      <c r="L89" s="16">
        <f t="shared" si="6"/>
        <v>0</v>
      </c>
      <c r="M89" s="11" t="s">
        <v>41</v>
      </c>
      <c r="N89" s="12">
        <f t="shared" si="8"/>
        <v>0</v>
      </c>
      <c r="O89" s="18">
        <f t="shared" si="9"/>
        <v>0</v>
      </c>
      <c r="P89" s="18">
        <f t="shared" si="10"/>
        <v>0</v>
      </c>
    </row>
    <row r="90">
      <c r="A90" s="2" t="s">
        <v>185</v>
      </c>
      <c r="B90" s="10">
        <v>2.0</v>
      </c>
      <c r="C90" s="12">
        <f t="shared" si="1"/>
        <v>8</v>
      </c>
      <c r="D90" s="11">
        <v>0.0</v>
      </c>
      <c r="E90" s="20">
        <v>0.0</v>
      </c>
      <c r="F90" s="21">
        <f t="shared" si="2"/>
        <v>0</v>
      </c>
      <c r="G90" s="23">
        <f t="shared" si="3"/>
        <v>0</v>
      </c>
      <c r="H90" s="20" t="s">
        <v>41</v>
      </c>
      <c r="I90" s="12">
        <f t="shared" si="5"/>
        <v>0</v>
      </c>
      <c r="J90" s="11">
        <v>0.0</v>
      </c>
      <c r="K90" s="11">
        <v>0.0</v>
      </c>
      <c r="L90" s="16">
        <f t="shared" si="6"/>
        <v>0</v>
      </c>
      <c r="M90" s="11" t="s">
        <v>41</v>
      </c>
      <c r="N90" s="12">
        <f t="shared" si="8"/>
        <v>0</v>
      </c>
      <c r="O90" s="18">
        <f t="shared" si="9"/>
        <v>0</v>
      </c>
      <c r="P90" s="18">
        <f t="shared" si="10"/>
        <v>0</v>
      </c>
    </row>
    <row r="91">
      <c r="A91" s="2" t="s">
        <v>55</v>
      </c>
      <c r="B91" s="10">
        <v>2.5</v>
      </c>
      <c r="C91" s="12">
        <f t="shared" si="1"/>
        <v>10</v>
      </c>
      <c r="D91" s="11">
        <v>0.0</v>
      </c>
      <c r="E91" s="20">
        <v>0.0</v>
      </c>
      <c r="F91" s="21">
        <f t="shared" si="2"/>
        <v>0</v>
      </c>
      <c r="G91" s="23">
        <f t="shared" si="3"/>
        <v>0</v>
      </c>
      <c r="H91" s="20" t="s">
        <v>41</v>
      </c>
      <c r="I91" s="12">
        <f t="shared" si="5"/>
        <v>0</v>
      </c>
      <c r="J91" s="11">
        <v>0.0</v>
      </c>
      <c r="K91" s="11">
        <v>0.0</v>
      </c>
      <c r="L91" s="16">
        <f t="shared" si="6"/>
        <v>0</v>
      </c>
      <c r="M91" s="11" t="s">
        <v>41</v>
      </c>
      <c r="N91" s="12">
        <f t="shared" si="8"/>
        <v>0</v>
      </c>
      <c r="O91" s="18">
        <f t="shared" si="9"/>
        <v>0</v>
      </c>
      <c r="P91" s="18">
        <f t="shared" si="10"/>
        <v>0</v>
      </c>
    </row>
    <row r="92">
      <c r="A92" s="2" t="s">
        <v>186</v>
      </c>
      <c r="B92" s="10">
        <v>2.0</v>
      </c>
      <c r="C92" s="12">
        <f t="shared" si="1"/>
        <v>8</v>
      </c>
      <c r="D92" s="11">
        <v>0.0</v>
      </c>
      <c r="E92" s="20">
        <v>0.0</v>
      </c>
      <c r="F92" s="21">
        <f t="shared" si="2"/>
        <v>0</v>
      </c>
      <c r="G92" s="23">
        <f t="shared" si="3"/>
        <v>0</v>
      </c>
      <c r="H92" s="20" t="s">
        <v>41</v>
      </c>
      <c r="I92" s="12">
        <f t="shared" si="5"/>
        <v>0</v>
      </c>
      <c r="J92" s="11">
        <v>0.0</v>
      </c>
      <c r="K92" s="11">
        <v>0.0</v>
      </c>
      <c r="L92" s="16">
        <f t="shared" si="6"/>
        <v>0</v>
      </c>
      <c r="M92" s="11" t="s">
        <v>41</v>
      </c>
      <c r="N92" s="12">
        <f t="shared" si="8"/>
        <v>0</v>
      </c>
      <c r="O92" s="18">
        <f t="shared" si="9"/>
        <v>0</v>
      </c>
      <c r="P92" s="18">
        <f t="shared" si="10"/>
        <v>0</v>
      </c>
    </row>
    <row r="93">
      <c r="A93" s="2" t="s">
        <v>78</v>
      </c>
      <c r="B93" s="10">
        <v>3.0</v>
      </c>
      <c r="C93" s="12">
        <f t="shared" si="1"/>
        <v>12</v>
      </c>
      <c r="D93" s="11">
        <v>0.0</v>
      </c>
      <c r="E93" s="20">
        <v>0.0</v>
      </c>
      <c r="F93" s="21">
        <f t="shared" si="2"/>
        <v>0</v>
      </c>
      <c r="G93" s="23">
        <f t="shared" si="3"/>
        <v>0</v>
      </c>
      <c r="H93" s="20" t="s">
        <v>41</v>
      </c>
      <c r="I93" s="12">
        <f t="shared" si="5"/>
        <v>0</v>
      </c>
      <c r="J93" s="11">
        <v>0.0</v>
      </c>
      <c r="K93" s="11">
        <v>0.0</v>
      </c>
      <c r="L93" s="16">
        <f t="shared" si="6"/>
        <v>0</v>
      </c>
      <c r="M93" s="11" t="s">
        <v>41</v>
      </c>
      <c r="N93" s="12">
        <f t="shared" si="8"/>
        <v>0</v>
      </c>
      <c r="O93" s="18">
        <f t="shared" si="9"/>
        <v>0</v>
      </c>
      <c r="P93" s="18">
        <f t="shared" si="10"/>
        <v>0</v>
      </c>
    </row>
    <row r="94">
      <c r="A94" s="2" t="s">
        <v>82</v>
      </c>
      <c r="B94" s="10">
        <v>3.0</v>
      </c>
      <c r="C94" s="12">
        <f t="shared" si="1"/>
        <v>12</v>
      </c>
      <c r="D94" s="11">
        <v>4.0</v>
      </c>
      <c r="E94" s="11">
        <v>5.0</v>
      </c>
      <c r="F94" s="12">
        <f t="shared" si="2"/>
        <v>9</v>
      </c>
      <c r="G94" s="16">
        <f t="shared" si="3"/>
        <v>0.75</v>
      </c>
      <c r="H94" s="16">
        <f t="shared" ref="H94:H139" si="12">D94/F94</f>
        <v>0.4444444444</v>
      </c>
      <c r="I94" s="12">
        <f t="shared" si="5"/>
        <v>5</v>
      </c>
      <c r="J94" s="11">
        <v>1.0</v>
      </c>
      <c r="K94" s="11">
        <v>4.0</v>
      </c>
      <c r="L94" s="16">
        <f t="shared" si="6"/>
        <v>0.4166666667</v>
      </c>
      <c r="M94" s="16">
        <f t="shared" ref="M94:M97" si="13">J94/I94</f>
        <v>0.2</v>
      </c>
      <c r="N94" s="12">
        <f t="shared" si="8"/>
        <v>0</v>
      </c>
      <c r="O94" s="18">
        <f t="shared" si="9"/>
        <v>0</v>
      </c>
      <c r="P94" s="18">
        <f t="shared" si="10"/>
        <v>0</v>
      </c>
    </row>
    <row r="95">
      <c r="A95" s="2" t="s">
        <v>145</v>
      </c>
      <c r="B95" s="10">
        <v>3.0</v>
      </c>
      <c r="C95" s="12">
        <f t="shared" si="1"/>
        <v>12</v>
      </c>
      <c r="D95" s="11">
        <v>1.0</v>
      </c>
      <c r="E95" s="11">
        <v>3.0</v>
      </c>
      <c r="F95" s="12">
        <f t="shared" si="2"/>
        <v>4</v>
      </c>
      <c r="G95" s="16">
        <f t="shared" si="3"/>
        <v>0.3333333333</v>
      </c>
      <c r="H95" s="16">
        <f t="shared" si="12"/>
        <v>0.25</v>
      </c>
      <c r="I95" s="12">
        <f t="shared" si="5"/>
        <v>1</v>
      </c>
      <c r="J95" s="11">
        <v>0.0</v>
      </c>
      <c r="K95" s="11">
        <v>1.0</v>
      </c>
      <c r="L95" s="16">
        <f t="shared" si="6"/>
        <v>0.08333333333</v>
      </c>
      <c r="M95" s="16">
        <f t="shared" si="13"/>
        <v>0</v>
      </c>
      <c r="N95" s="12">
        <f t="shared" si="8"/>
        <v>0</v>
      </c>
      <c r="O95" s="18">
        <f t="shared" si="9"/>
        <v>0</v>
      </c>
      <c r="P95" s="18">
        <f t="shared" si="10"/>
        <v>0</v>
      </c>
    </row>
    <row r="96">
      <c r="A96" s="2" t="s">
        <v>188</v>
      </c>
      <c r="B96" s="10">
        <v>3.0</v>
      </c>
      <c r="C96" s="12">
        <f t="shared" si="1"/>
        <v>12</v>
      </c>
      <c r="D96" s="11">
        <v>1.0</v>
      </c>
      <c r="E96" s="11">
        <v>5.0</v>
      </c>
      <c r="F96" s="12">
        <f t="shared" si="2"/>
        <v>6</v>
      </c>
      <c r="G96" s="16">
        <f t="shared" si="3"/>
        <v>0.5</v>
      </c>
      <c r="H96" s="16">
        <f t="shared" si="12"/>
        <v>0.1666666667</v>
      </c>
      <c r="I96" s="12">
        <f t="shared" si="5"/>
        <v>1</v>
      </c>
      <c r="J96" s="11">
        <v>0.0</v>
      </c>
      <c r="K96" s="11">
        <v>1.0</v>
      </c>
      <c r="L96" s="16">
        <f t="shared" si="6"/>
        <v>0.08333333333</v>
      </c>
      <c r="M96" s="16">
        <f t="shared" si="13"/>
        <v>0</v>
      </c>
      <c r="N96" s="12">
        <f t="shared" si="8"/>
        <v>0</v>
      </c>
      <c r="O96" s="18">
        <f t="shared" si="9"/>
        <v>0</v>
      </c>
      <c r="P96" s="18">
        <f t="shared" si="10"/>
        <v>0</v>
      </c>
    </row>
    <row r="97">
      <c r="A97" s="2" t="s">
        <v>140</v>
      </c>
      <c r="B97" s="10">
        <v>3.0</v>
      </c>
      <c r="C97" s="12">
        <f t="shared" si="1"/>
        <v>12</v>
      </c>
      <c r="D97" s="11">
        <v>1.0</v>
      </c>
      <c r="E97" s="11">
        <v>6.0</v>
      </c>
      <c r="F97" s="12">
        <f t="shared" si="2"/>
        <v>7</v>
      </c>
      <c r="G97" s="16">
        <f t="shared" si="3"/>
        <v>0.5833333333</v>
      </c>
      <c r="H97" s="16">
        <f t="shared" si="12"/>
        <v>0.1428571429</v>
      </c>
      <c r="I97" s="12">
        <f t="shared" si="5"/>
        <v>1</v>
      </c>
      <c r="J97" s="11">
        <v>0.0</v>
      </c>
      <c r="K97" s="11">
        <v>1.0</v>
      </c>
      <c r="L97" s="16">
        <f t="shared" si="6"/>
        <v>0.08333333333</v>
      </c>
      <c r="M97" s="16">
        <f t="shared" si="13"/>
        <v>0</v>
      </c>
      <c r="N97" s="12">
        <f t="shared" si="8"/>
        <v>0</v>
      </c>
      <c r="O97" s="18">
        <f t="shared" si="9"/>
        <v>0</v>
      </c>
      <c r="P97" s="18">
        <f t="shared" si="10"/>
        <v>0</v>
      </c>
    </row>
    <row r="98">
      <c r="A98" s="2" t="s">
        <v>80</v>
      </c>
      <c r="B98" s="10">
        <v>3.0</v>
      </c>
      <c r="C98" s="12">
        <f t="shared" si="1"/>
        <v>12</v>
      </c>
      <c r="D98" s="11">
        <v>0.0</v>
      </c>
      <c r="E98" s="20">
        <v>1.0</v>
      </c>
      <c r="F98" s="21">
        <f t="shared" si="2"/>
        <v>1</v>
      </c>
      <c r="G98" s="23">
        <f t="shared" si="3"/>
        <v>0.08333333333</v>
      </c>
      <c r="H98" s="23">
        <f t="shared" si="12"/>
        <v>0</v>
      </c>
      <c r="I98" s="12">
        <f t="shared" si="5"/>
        <v>0</v>
      </c>
      <c r="J98" s="11">
        <v>0.0</v>
      </c>
      <c r="K98" s="11">
        <v>0.0</v>
      </c>
      <c r="L98" s="16">
        <f t="shared" si="6"/>
        <v>0</v>
      </c>
      <c r="M98" s="11" t="s">
        <v>41</v>
      </c>
      <c r="N98" s="12">
        <f t="shared" si="8"/>
        <v>0</v>
      </c>
      <c r="O98" s="18">
        <f t="shared" si="9"/>
        <v>0</v>
      </c>
      <c r="P98" s="18">
        <f t="shared" si="10"/>
        <v>0</v>
      </c>
    </row>
    <row r="99">
      <c r="A99" s="2" t="s">
        <v>45</v>
      </c>
      <c r="B99" s="10">
        <v>3.0</v>
      </c>
      <c r="C99" s="12">
        <f t="shared" si="1"/>
        <v>12</v>
      </c>
      <c r="D99" s="11">
        <v>0.0</v>
      </c>
      <c r="E99" s="11">
        <v>2.0</v>
      </c>
      <c r="F99" s="12">
        <f t="shared" si="2"/>
        <v>2</v>
      </c>
      <c r="G99" s="16">
        <f t="shared" si="3"/>
        <v>0.1666666667</v>
      </c>
      <c r="H99" s="16">
        <f t="shared" si="12"/>
        <v>0</v>
      </c>
      <c r="I99" s="12">
        <f t="shared" si="5"/>
        <v>0</v>
      </c>
      <c r="J99" s="11">
        <v>0.0</v>
      </c>
      <c r="K99" s="11">
        <v>0.0</v>
      </c>
      <c r="L99" s="16">
        <f t="shared" si="6"/>
        <v>0</v>
      </c>
      <c r="M99" s="11" t="s">
        <v>41</v>
      </c>
      <c r="N99" s="12">
        <f t="shared" si="8"/>
        <v>0</v>
      </c>
      <c r="O99" s="18">
        <f t="shared" si="9"/>
        <v>0</v>
      </c>
      <c r="P99" s="18">
        <f t="shared" si="10"/>
        <v>0</v>
      </c>
    </row>
    <row r="100">
      <c r="A100" s="2" t="s">
        <v>137</v>
      </c>
      <c r="B100" s="10">
        <v>3.0</v>
      </c>
      <c r="C100" s="12">
        <f t="shared" si="1"/>
        <v>12</v>
      </c>
      <c r="D100" s="11">
        <v>0.0</v>
      </c>
      <c r="E100" s="11">
        <v>6.0</v>
      </c>
      <c r="F100" s="12">
        <f t="shared" si="2"/>
        <v>6</v>
      </c>
      <c r="G100" s="16">
        <f t="shared" si="3"/>
        <v>0.5</v>
      </c>
      <c r="H100" s="16">
        <f t="shared" si="12"/>
        <v>0</v>
      </c>
      <c r="I100" s="12">
        <f t="shared" si="5"/>
        <v>0</v>
      </c>
      <c r="J100" s="11">
        <v>0.0</v>
      </c>
      <c r="K100" s="11">
        <v>0.0</v>
      </c>
      <c r="L100" s="16">
        <f t="shared" si="6"/>
        <v>0</v>
      </c>
      <c r="M100" s="11" t="s">
        <v>41</v>
      </c>
      <c r="N100" s="12">
        <f t="shared" si="8"/>
        <v>0</v>
      </c>
      <c r="O100" s="18">
        <f t="shared" si="9"/>
        <v>0</v>
      </c>
      <c r="P100" s="18">
        <f t="shared" si="10"/>
        <v>0</v>
      </c>
    </row>
    <row r="101">
      <c r="A101" s="2" t="s">
        <v>194</v>
      </c>
      <c r="B101" s="10">
        <v>3.0</v>
      </c>
      <c r="C101" s="12">
        <f t="shared" si="1"/>
        <v>12</v>
      </c>
      <c r="D101" s="11">
        <v>0.0</v>
      </c>
      <c r="E101" s="11">
        <v>1.0</v>
      </c>
      <c r="F101" s="12">
        <f t="shared" si="2"/>
        <v>1</v>
      </c>
      <c r="G101" s="16">
        <f t="shared" si="3"/>
        <v>0.08333333333</v>
      </c>
      <c r="H101" s="16">
        <f t="shared" si="12"/>
        <v>0</v>
      </c>
      <c r="I101" s="12">
        <f t="shared" si="5"/>
        <v>0</v>
      </c>
      <c r="J101" s="11">
        <v>0.0</v>
      </c>
      <c r="K101" s="11">
        <v>0.0</v>
      </c>
      <c r="L101" s="16">
        <f t="shared" si="6"/>
        <v>0</v>
      </c>
      <c r="M101" s="11" t="s">
        <v>41</v>
      </c>
      <c r="N101" s="12">
        <f t="shared" si="8"/>
        <v>0</v>
      </c>
      <c r="O101" s="18">
        <f t="shared" si="9"/>
        <v>0</v>
      </c>
      <c r="P101" s="18">
        <f t="shared" si="10"/>
        <v>0</v>
      </c>
    </row>
    <row r="102">
      <c r="A102" s="2" t="s">
        <v>192</v>
      </c>
      <c r="B102" s="10">
        <v>3.0</v>
      </c>
      <c r="C102" s="12">
        <f t="shared" si="1"/>
        <v>12</v>
      </c>
      <c r="D102" s="11">
        <v>0.0</v>
      </c>
      <c r="E102" s="11">
        <v>2.0</v>
      </c>
      <c r="F102" s="12">
        <f t="shared" si="2"/>
        <v>2</v>
      </c>
      <c r="G102" s="16">
        <f t="shared" si="3"/>
        <v>0.1666666667</v>
      </c>
      <c r="H102" s="16">
        <f t="shared" si="12"/>
        <v>0</v>
      </c>
      <c r="I102" s="12">
        <f t="shared" si="5"/>
        <v>0</v>
      </c>
      <c r="J102" s="11">
        <v>0.0</v>
      </c>
      <c r="K102" s="11">
        <v>0.0</v>
      </c>
      <c r="L102" s="16">
        <f t="shared" si="6"/>
        <v>0</v>
      </c>
      <c r="M102" s="11" t="s">
        <v>41</v>
      </c>
      <c r="N102" s="12">
        <f t="shared" si="8"/>
        <v>0</v>
      </c>
      <c r="O102" s="18">
        <f t="shared" si="9"/>
        <v>0</v>
      </c>
      <c r="P102" s="18">
        <f t="shared" si="10"/>
        <v>0</v>
      </c>
    </row>
    <row r="103">
      <c r="A103" s="2" t="s">
        <v>139</v>
      </c>
      <c r="B103" s="10">
        <v>3.0</v>
      </c>
      <c r="C103" s="12">
        <f t="shared" si="1"/>
        <v>12</v>
      </c>
      <c r="D103" s="11">
        <v>0.0</v>
      </c>
      <c r="E103" s="11">
        <v>1.0</v>
      </c>
      <c r="F103" s="12">
        <f t="shared" si="2"/>
        <v>1</v>
      </c>
      <c r="G103" s="16">
        <f t="shared" si="3"/>
        <v>0.08333333333</v>
      </c>
      <c r="H103" s="16">
        <f t="shared" si="12"/>
        <v>0</v>
      </c>
      <c r="I103" s="12">
        <f t="shared" si="5"/>
        <v>0</v>
      </c>
      <c r="J103" s="11">
        <v>0.0</v>
      </c>
      <c r="K103" s="11">
        <v>0.0</v>
      </c>
      <c r="L103" s="16">
        <f t="shared" si="6"/>
        <v>0</v>
      </c>
      <c r="M103" s="11" t="s">
        <v>41</v>
      </c>
      <c r="N103" s="12">
        <f t="shared" si="8"/>
        <v>0</v>
      </c>
      <c r="O103" s="18">
        <f t="shared" si="9"/>
        <v>0</v>
      </c>
      <c r="P103" s="18">
        <f t="shared" si="10"/>
        <v>0</v>
      </c>
    </row>
    <row r="104">
      <c r="A104" s="2" t="s">
        <v>126</v>
      </c>
      <c r="B104" s="10">
        <v>3.0</v>
      </c>
      <c r="C104" s="12">
        <f t="shared" si="1"/>
        <v>12</v>
      </c>
      <c r="D104" s="11">
        <v>0.0</v>
      </c>
      <c r="E104" s="11">
        <v>2.0</v>
      </c>
      <c r="F104" s="12">
        <f t="shared" si="2"/>
        <v>2</v>
      </c>
      <c r="G104" s="16">
        <f t="shared" si="3"/>
        <v>0.1666666667</v>
      </c>
      <c r="H104" s="16">
        <f t="shared" si="12"/>
        <v>0</v>
      </c>
      <c r="I104" s="12">
        <f t="shared" si="5"/>
        <v>0</v>
      </c>
      <c r="J104" s="11">
        <v>0.0</v>
      </c>
      <c r="K104" s="11">
        <v>0.0</v>
      </c>
      <c r="L104" s="16">
        <f t="shared" si="6"/>
        <v>0</v>
      </c>
      <c r="M104" s="11" t="s">
        <v>41</v>
      </c>
      <c r="N104" s="12">
        <f t="shared" si="8"/>
        <v>0</v>
      </c>
      <c r="O104" s="18">
        <f t="shared" si="9"/>
        <v>0</v>
      </c>
      <c r="P104" s="18">
        <f t="shared" si="10"/>
        <v>0</v>
      </c>
    </row>
    <row r="105">
      <c r="A105" s="2" t="s">
        <v>106</v>
      </c>
      <c r="B105" s="10">
        <v>3.0</v>
      </c>
      <c r="C105" s="12">
        <f t="shared" si="1"/>
        <v>12</v>
      </c>
      <c r="D105" s="11">
        <v>0.0</v>
      </c>
      <c r="E105" s="11">
        <v>2.0</v>
      </c>
      <c r="F105" s="12">
        <f t="shared" si="2"/>
        <v>2</v>
      </c>
      <c r="G105" s="16">
        <f t="shared" si="3"/>
        <v>0.1666666667</v>
      </c>
      <c r="H105" s="16">
        <f t="shared" si="12"/>
        <v>0</v>
      </c>
      <c r="I105" s="12">
        <f t="shared" si="5"/>
        <v>0</v>
      </c>
      <c r="J105" s="11">
        <v>0.0</v>
      </c>
      <c r="K105" s="11">
        <v>0.0</v>
      </c>
      <c r="L105" s="16">
        <f t="shared" si="6"/>
        <v>0</v>
      </c>
      <c r="M105" s="11" t="s">
        <v>41</v>
      </c>
      <c r="N105" s="12">
        <f t="shared" si="8"/>
        <v>0</v>
      </c>
      <c r="O105" s="18">
        <f t="shared" si="9"/>
        <v>0</v>
      </c>
      <c r="P105" s="18">
        <f t="shared" si="10"/>
        <v>0</v>
      </c>
    </row>
    <row r="106">
      <c r="A106" s="2" t="s">
        <v>203</v>
      </c>
      <c r="B106" s="10">
        <v>3.0</v>
      </c>
      <c r="C106" s="12">
        <f t="shared" si="1"/>
        <v>12</v>
      </c>
      <c r="D106" s="11">
        <v>0.0</v>
      </c>
      <c r="E106" s="11">
        <v>1.0</v>
      </c>
      <c r="F106" s="12">
        <f t="shared" si="2"/>
        <v>1</v>
      </c>
      <c r="G106" s="16">
        <f t="shared" si="3"/>
        <v>0.08333333333</v>
      </c>
      <c r="H106" s="16">
        <f t="shared" si="12"/>
        <v>0</v>
      </c>
      <c r="I106" s="12">
        <f t="shared" si="5"/>
        <v>0</v>
      </c>
      <c r="J106" s="11">
        <v>0.0</v>
      </c>
      <c r="K106" s="11">
        <v>0.0</v>
      </c>
      <c r="L106" s="16">
        <f t="shared" si="6"/>
        <v>0</v>
      </c>
      <c r="M106" s="11" t="s">
        <v>41</v>
      </c>
      <c r="N106" s="12">
        <f t="shared" si="8"/>
        <v>0</v>
      </c>
      <c r="O106" s="18">
        <f t="shared" si="9"/>
        <v>0</v>
      </c>
      <c r="P106" s="18">
        <f t="shared" si="10"/>
        <v>0</v>
      </c>
    </row>
    <row r="107">
      <c r="A107" s="2" t="s">
        <v>127</v>
      </c>
      <c r="B107" s="10">
        <v>3.0</v>
      </c>
      <c r="C107" s="12">
        <f t="shared" si="1"/>
        <v>12</v>
      </c>
      <c r="D107" s="11">
        <v>0.0</v>
      </c>
      <c r="E107" s="11">
        <v>2.0</v>
      </c>
      <c r="F107" s="12">
        <f t="shared" si="2"/>
        <v>2</v>
      </c>
      <c r="G107" s="16">
        <f t="shared" si="3"/>
        <v>0.1666666667</v>
      </c>
      <c r="H107" s="16">
        <f t="shared" si="12"/>
        <v>0</v>
      </c>
      <c r="I107" s="12">
        <f t="shared" si="5"/>
        <v>0</v>
      </c>
      <c r="J107" s="11">
        <v>0.0</v>
      </c>
      <c r="K107" s="11">
        <v>0.0</v>
      </c>
      <c r="L107" s="16">
        <f t="shared" si="6"/>
        <v>0</v>
      </c>
      <c r="M107" s="11" t="s">
        <v>41</v>
      </c>
      <c r="N107" s="12">
        <f t="shared" si="8"/>
        <v>0</v>
      </c>
      <c r="O107" s="18">
        <f t="shared" si="9"/>
        <v>0</v>
      </c>
      <c r="P107" s="18">
        <f t="shared" si="10"/>
        <v>0</v>
      </c>
    </row>
    <row r="108">
      <c r="A108" s="2" t="s">
        <v>172</v>
      </c>
      <c r="B108" s="10">
        <v>3.0</v>
      </c>
      <c r="C108" s="12">
        <f t="shared" si="1"/>
        <v>12</v>
      </c>
      <c r="D108" s="11">
        <v>0.0</v>
      </c>
      <c r="E108" s="11">
        <v>3.0</v>
      </c>
      <c r="F108" s="12">
        <f t="shared" si="2"/>
        <v>3</v>
      </c>
      <c r="G108" s="16">
        <f t="shared" si="3"/>
        <v>0.25</v>
      </c>
      <c r="H108" s="16">
        <f t="shared" si="12"/>
        <v>0</v>
      </c>
      <c r="I108" s="12">
        <f t="shared" si="5"/>
        <v>0</v>
      </c>
      <c r="J108" s="11">
        <v>0.0</v>
      </c>
      <c r="K108" s="11">
        <v>0.0</v>
      </c>
      <c r="L108" s="16">
        <f t="shared" si="6"/>
        <v>0</v>
      </c>
      <c r="M108" s="11" t="s">
        <v>41</v>
      </c>
      <c r="N108" s="12">
        <f t="shared" si="8"/>
        <v>0</v>
      </c>
      <c r="O108" s="18">
        <f t="shared" si="9"/>
        <v>0</v>
      </c>
      <c r="P108" s="18">
        <f t="shared" si="10"/>
        <v>0</v>
      </c>
    </row>
    <row r="109">
      <c r="A109" s="2" t="s">
        <v>198</v>
      </c>
      <c r="B109" s="10">
        <v>3.0</v>
      </c>
      <c r="C109" s="12">
        <f t="shared" si="1"/>
        <v>12</v>
      </c>
      <c r="D109" s="11">
        <v>0.0</v>
      </c>
      <c r="E109" s="11">
        <v>2.0</v>
      </c>
      <c r="F109" s="12">
        <f t="shared" si="2"/>
        <v>2</v>
      </c>
      <c r="G109" s="16">
        <f t="shared" si="3"/>
        <v>0.1666666667</v>
      </c>
      <c r="H109" s="16">
        <f t="shared" si="12"/>
        <v>0</v>
      </c>
      <c r="I109" s="12">
        <f t="shared" si="5"/>
        <v>0</v>
      </c>
      <c r="J109" s="11">
        <v>0.0</v>
      </c>
      <c r="K109" s="11">
        <v>0.0</v>
      </c>
      <c r="L109" s="16">
        <f t="shared" si="6"/>
        <v>0</v>
      </c>
      <c r="M109" s="11" t="s">
        <v>41</v>
      </c>
      <c r="N109" s="12">
        <f t="shared" si="8"/>
        <v>0</v>
      </c>
      <c r="O109" s="18">
        <f t="shared" si="9"/>
        <v>0</v>
      </c>
      <c r="P109" s="18">
        <f t="shared" si="10"/>
        <v>0</v>
      </c>
    </row>
    <row r="110">
      <c r="A110" s="2" t="s">
        <v>152</v>
      </c>
      <c r="B110" s="10">
        <v>3.0</v>
      </c>
      <c r="C110" s="12">
        <f t="shared" si="1"/>
        <v>12</v>
      </c>
      <c r="D110" s="11">
        <v>0.0</v>
      </c>
      <c r="E110" s="11">
        <v>1.0</v>
      </c>
      <c r="F110" s="12">
        <f t="shared" si="2"/>
        <v>1</v>
      </c>
      <c r="G110" s="16">
        <f t="shared" si="3"/>
        <v>0.08333333333</v>
      </c>
      <c r="H110" s="16">
        <f t="shared" si="12"/>
        <v>0</v>
      </c>
      <c r="I110" s="12">
        <f t="shared" si="5"/>
        <v>0</v>
      </c>
      <c r="J110" s="11">
        <v>0.0</v>
      </c>
      <c r="K110" s="11">
        <v>0.0</v>
      </c>
      <c r="L110" s="16">
        <f t="shared" si="6"/>
        <v>0</v>
      </c>
      <c r="M110" s="11" t="s">
        <v>41</v>
      </c>
      <c r="N110" s="12">
        <f t="shared" si="8"/>
        <v>0</v>
      </c>
      <c r="O110" s="18">
        <f t="shared" si="9"/>
        <v>0</v>
      </c>
      <c r="P110" s="18">
        <f t="shared" si="10"/>
        <v>0</v>
      </c>
    </row>
    <row r="111">
      <c r="A111" s="2" t="s">
        <v>133</v>
      </c>
      <c r="B111" s="10">
        <v>3.0</v>
      </c>
      <c r="C111" s="12">
        <f t="shared" si="1"/>
        <v>12</v>
      </c>
      <c r="D111" s="11">
        <v>0.0</v>
      </c>
      <c r="E111" s="11">
        <v>2.0</v>
      </c>
      <c r="F111" s="12">
        <f t="shared" si="2"/>
        <v>2</v>
      </c>
      <c r="G111" s="16">
        <f t="shared" si="3"/>
        <v>0.1666666667</v>
      </c>
      <c r="H111" s="16">
        <f t="shared" si="12"/>
        <v>0</v>
      </c>
      <c r="I111" s="12">
        <f t="shared" si="5"/>
        <v>0</v>
      </c>
      <c r="J111" s="11">
        <v>0.0</v>
      </c>
      <c r="K111" s="11">
        <v>0.0</v>
      </c>
      <c r="L111" s="16">
        <f t="shared" si="6"/>
        <v>0</v>
      </c>
      <c r="M111" s="11" t="s">
        <v>41</v>
      </c>
      <c r="N111" s="12">
        <f t="shared" si="8"/>
        <v>0</v>
      </c>
      <c r="O111" s="18">
        <f t="shared" si="9"/>
        <v>0</v>
      </c>
      <c r="P111" s="18">
        <f t="shared" si="10"/>
        <v>0</v>
      </c>
    </row>
    <row r="112">
      <c r="A112" s="2" t="s">
        <v>200</v>
      </c>
      <c r="B112" s="10">
        <v>3.0</v>
      </c>
      <c r="C112" s="12">
        <f t="shared" si="1"/>
        <v>12</v>
      </c>
      <c r="D112" s="11">
        <v>0.0</v>
      </c>
      <c r="E112" s="11">
        <v>1.0</v>
      </c>
      <c r="F112" s="12">
        <f t="shared" si="2"/>
        <v>1</v>
      </c>
      <c r="G112" s="16">
        <f t="shared" si="3"/>
        <v>0.08333333333</v>
      </c>
      <c r="H112" s="16">
        <f t="shared" si="12"/>
        <v>0</v>
      </c>
      <c r="I112" s="12">
        <f t="shared" si="5"/>
        <v>0</v>
      </c>
      <c r="J112" s="11">
        <v>0.0</v>
      </c>
      <c r="K112" s="11">
        <v>0.0</v>
      </c>
      <c r="L112" s="16">
        <f t="shared" si="6"/>
        <v>0</v>
      </c>
      <c r="M112" s="11" t="s">
        <v>41</v>
      </c>
      <c r="N112" s="12">
        <f t="shared" si="8"/>
        <v>0</v>
      </c>
      <c r="O112" s="18">
        <f t="shared" si="9"/>
        <v>0</v>
      </c>
      <c r="P112" s="18">
        <f t="shared" si="10"/>
        <v>0</v>
      </c>
    </row>
    <row r="113">
      <c r="A113" s="2" t="s">
        <v>134</v>
      </c>
      <c r="B113" s="10">
        <v>3.0</v>
      </c>
      <c r="C113" s="12">
        <f t="shared" si="1"/>
        <v>12</v>
      </c>
      <c r="D113" s="11">
        <v>0.0</v>
      </c>
      <c r="E113" s="11">
        <v>1.0</v>
      </c>
      <c r="F113" s="12">
        <f t="shared" si="2"/>
        <v>1</v>
      </c>
      <c r="G113" s="16">
        <f t="shared" si="3"/>
        <v>0.08333333333</v>
      </c>
      <c r="H113" s="16">
        <f t="shared" si="12"/>
        <v>0</v>
      </c>
      <c r="I113" s="12">
        <f t="shared" si="5"/>
        <v>0</v>
      </c>
      <c r="J113" s="11">
        <v>0.0</v>
      </c>
      <c r="K113" s="11">
        <v>0.0</v>
      </c>
      <c r="L113" s="16">
        <f t="shared" si="6"/>
        <v>0</v>
      </c>
      <c r="M113" s="11" t="s">
        <v>41</v>
      </c>
      <c r="N113" s="12">
        <f t="shared" si="8"/>
        <v>0</v>
      </c>
      <c r="O113" s="18">
        <f t="shared" si="9"/>
        <v>0</v>
      </c>
      <c r="P113" s="18">
        <f t="shared" si="10"/>
        <v>0</v>
      </c>
    </row>
    <row r="114">
      <c r="A114" s="2" t="s">
        <v>71</v>
      </c>
      <c r="B114" s="10">
        <v>3.0</v>
      </c>
      <c r="C114" s="12">
        <f t="shared" si="1"/>
        <v>12</v>
      </c>
      <c r="D114" s="11">
        <v>0.0</v>
      </c>
      <c r="E114" s="11">
        <v>1.0</v>
      </c>
      <c r="F114" s="12">
        <f t="shared" si="2"/>
        <v>1</v>
      </c>
      <c r="G114" s="16">
        <f t="shared" si="3"/>
        <v>0.08333333333</v>
      </c>
      <c r="H114" s="16">
        <f t="shared" si="12"/>
        <v>0</v>
      </c>
      <c r="I114" s="12">
        <f t="shared" si="5"/>
        <v>0</v>
      </c>
      <c r="J114" s="11">
        <v>0.0</v>
      </c>
      <c r="K114" s="11">
        <v>0.0</v>
      </c>
      <c r="L114" s="16">
        <f t="shared" si="6"/>
        <v>0</v>
      </c>
      <c r="M114" s="11" t="s">
        <v>41</v>
      </c>
      <c r="N114" s="12">
        <f t="shared" si="8"/>
        <v>0</v>
      </c>
      <c r="O114" s="18">
        <f t="shared" si="9"/>
        <v>0</v>
      </c>
      <c r="P114" s="18">
        <f t="shared" si="10"/>
        <v>0</v>
      </c>
    </row>
    <row r="115">
      <c r="A115" s="2" t="s">
        <v>158</v>
      </c>
      <c r="B115" s="10">
        <v>2.5</v>
      </c>
      <c r="C115" s="12">
        <f t="shared" si="1"/>
        <v>10</v>
      </c>
      <c r="D115" s="11">
        <v>0.0</v>
      </c>
      <c r="E115" s="11">
        <v>1.0</v>
      </c>
      <c r="F115" s="12">
        <f t="shared" si="2"/>
        <v>1</v>
      </c>
      <c r="G115" s="16">
        <f t="shared" si="3"/>
        <v>0.1</v>
      </c>
      <c r="H115" s="16">
        <f t="shared" si="12"/>
        <v>0</v>
      </c>
      <c r="I115" s="12">
        <f t="shared" si="5"/>
        <v>0</v>
      </c>
      <c r="J115" s="11">
        <v>0.0</v>
      </c>
      <c r="K115" s="11">
        <v>0.0</v>
      </c>
      <c r="L115" s="16">
        <f t="shared" si="6"/>
        <v>0</v>
      </c>
      <c r="M115" s="11" t="s">
        <v>41</v>
      </c>
      <c r="N115" s="12">
        <f t="shared" si="8"/>
        <v>0</v>
      </c>
      <c r="O115" s="18">
        <f t="shared" si="9"/>
        <v>0</v>
      </c>
      <c r="P115" s="18">
        <f t="shared" si="10"/>
        <v>0</v>
      </c>
    </row>
    <row r="116">
      <c r="A116" s="2" t="s">
        <v>159</v>
      </c>
      <c r="B116" s="10">
        <v>2.5</v>
      </c>
      <c r="C116" s="12">
        <f t="shared" si="1"/>
        <v>10</v>
      </c>
      <c r="D116" s="11">
        <v>0.0</v>
      </c>
      <c r="E116" s="11">
        <v>1.0</v>
      </c>
      <c r="F116" s="12">
        <f t="shared" si="2"/>
        <v>1</v>
      </c>
      <c r="G116" s="16">
        <f t="shared" si="3"/>
        <v>0.1</v>
      </c>
      <c r="H116" s="16">
        <f t="shared" si="12"/>
        <v>0</v>
      </c>
      <c r="I116" s="12">
        <f t="shared" si="5"/>
        <v>0</v>
      </c>
      <c r="J116" s="11">
        <v>0.0</v>
      </c>
      <c r="K116" s="11">
        <v>0.0</v>
      </c>
      <c r="L116" s="16">
        <f t="shared" si="6"/>
        <v>0</v>
      </c>
      <c r="M116" s="11" t="s">
        <v>41</v>
      </c>
      <c r="N116" s="12">
        <f t="shared" si="8"/>
        <v>0</v>
      </c>
      <c r="O116" s="18">
        <f t="shared" si="9"/>
        <v>0</v>
      </c>
      <c r="P116" s="18">
        <f t="shared" si="10"/>
        <v>0</v>
      </c>
    </row>
    <row r="117">
      <c r="A117" s="2" t="s">
        <v>161</v>
      </c>
      <c r="B117" s="10">
        <v>2.5</v>
      </c>
      <c r="C117" s="12">
        <f t="shared" si="1"/>
        <v>10</v>
      </c>
      <c r="D117" s="11">
        <v>0.0</v>
      </c>
      <c r="E117" s="11">
        <v>2.0</v>
      </c>
      <c r="F117" s="12">
        <f t="shared" si="2"/>
        <v>2</v>
      </c>
      <c r="G117" s="16">
        <f t="shared" si="3"/>
        <v>0.2</v>
      </c>
      <c r="H117" s="16">
        <f t="shared" si="12"/>
        <v>0</v>
      </c>
      <c r="I117" s="12">
        <f t="shared" si="5"/>
        <v>0</v>
      </c>
      <c r="J117" s="11">
        <v>0.0</v>
      </c>
      <c r="K117" s="11">
        <v>0.0</v>
      </c>
      <c r="L117" s="16">
        <f t="shared" si="6"/>
        <v>0</v>
      </c>
      <c r="M117" s="11" t="s">
        <v>41</v>
      </c>
      <c r="N117" s="12">
        <f t="shared" si="8"/>
        <v>0</v>
      </c>
      <c r="O117" s="18">
        <f t="shared" si="9"/>
        <v>0</v>
      </c>
      <c r="P117" s="18">
        <f t="shared" si="10"/>
        <v>0</v>
      </c>
    </row>
    <row r="118">
      <c r="A118" s="2" t="s">
        <v>207</v>
      </c>
      <c r="B118" s="10">
        <v>2.5</v>
      </c>
      <c r="C118" s="12">
        <f t="shared" si="1"/>
        <v>10</v>
      </c>
      <c r="D118" s="11">
        <v>0.0</v>
      </c>
      <c r="E118" s="11">
        <v>1.0</v>
      </c>
      <c r="F118" s="12">
        <f t="shared" si="2"/>
        <v>1</v>
      </c>
      <c r="G118" s="16">
        <f t="shared" si="3"/>
        <v>0.1</v>
      </c>
      <c r="H118" s="16">
        <f t="shared" si="12"/>
        <v>0</v>
      </c>
      <c r="I118" s="12">
        <f t="shared" si="5"/>
        <v>0</v>
      </c>
      <c r="J118" s="11">
        <v>0.0</v>
      </c>
      <c r="K118" s="11">
        <v>0.0</v>
      </c>
      <c r="L118" s="16">
        <f t="shared" si="6"/>
        <v>0</v>
      </c>
      <c r="M118" s="11" t="s">
        <v>41</v>
      </c>
      <c r="N118" s="12">
        <f t="shared" si="8"/>
        <v>0</v>
      </c>
      <c r="O118" s="18">
        <f t="shared" si="9"/>
        <v>0</v>
      </c>
      <c r="P118" s="18">
        <f t="shared" si="10"/>
        <v>0</v>
      </c>
    </row>
    <row r="119">
      <c r="A119" s="2" t="s">
        <v>162</v>
      </c>
      <c r="B119" s="10">
        <v>2.5</v>
      </c>
      <c r="C119" s="12">
        <f t="shared" si="1"/>
        <v>10</v>
      </c>
      <c r="D119" s="11">
        <v>0.0</v>
      </c>
      <c r="E119" s="11">
        <v>1.0</v>
      </c>
      <c r="F119" s="12">
        <f t="shared" si="2"/>
        <v>1</v>
      </c>
      <c r="G119" s="16">
        <f t="shared" si="3"/>
        <v>0.1</v>
      </c>
      <c r="H119" s="16">
        <f t="shared" si="12"/>
        <v>0</v>
      </c>
      <c r="I119" s="12">
        <f t="shared" si="5"/>
        <v>0</v>
      </c>
      <c r="J119" s="11">
        <v>0.0</v>
      </c>
      <c r="K119" s="11">
        <v>0.0</v>
      </c>
      <c r="L119" s="16">
        <f t="shared" si="6"/>
        <v>0</v>
      </c>
      <c r="M119" s="11" t="s">
        <v>41</v>
      </c>
      <c r="N119" s="12">
        <f t="shared" si="8"/>
        <v>0</v>
      </c>
      <c r="O119" s="18">
        <f t="shared" si="9"/>
        <v>0</v>
      </c>
      <c r="P119" s="18">
        <f t="shared" si="10"/>
        <v>0</v>
      </c>
    </row>
    <row r="120">
      <c r="A120" s="2" t="s">
        <v>163</v>
      </c>
      <c r="B120" s="10">
        <v>2.5</v>
      </c>
      <c r="C120" s="12">
        <f t="shared" si="1"/>
        <v>10</v>
      </c>
      <c r="D120" s="11">
        <v>0.0</v>
      </c>
      <c r="E120" s="11">
        <v>3.0</v>
      </c>
      <c r="F120" s="12">
        <f t="shared" si="2"/>
        <v>3</v>
      </c>
      <c r="G120" s="16">
        <f t="shared" si="3"/>
        <v>0.3</v>
      </c>
      <c r="H120" s="16">
        <f t="shared" si="12"/>
        <v>0</v>
      </c>
      <c r="I120" s="12">
        <f t="shared" si="5"/>
        <v>0</v>
      </c>
      <c r="J120" s="11">
        <v>0.0</v>
      </c>
      <c r="K120" s="11">
        <v>0.0</v>
      </c>
      <c r="L120" s="16">
        <f t="shared" si="6"/>
        <v>0</v>
      </c>
      <c r="M120" s="11" t="s">
        <v>41</v>
      </c>
      <c r="N120" s="12">
        <f t="shared" si="8"/>
        <v>0</v>
      </c>
      <c r="O120" s="18">
        <f t="shared" si="9"/>
        <v>0</v>
      </c>
      <c r="P120" s="18">
        <f t="shared" si="10"/>
        <v>0</v>
      </c>
    </row>
    <row r="121">
      <c r="A121" s="2" t="s">
        <v>209</v>
      </c>
      <c r="B121" s="10">
        <v>2.5</v>
      </c>
      <c r="C121" s="12">
        <f t="shared" si="1"/>
        <v>10</v>
      </c>
      <c r="D121" s="11">
        <v>0.0</v>
      </c>
      <c r="E121" s="11">
        <v>1.0</v>
      </c>
      <c r="F121" s="12">
        <f t="shared" si="2"/>
        <v>1</v>
      </c>
      <c r="G121" s="16">
        <f t="shared" si="3"/>
        <v>0.1</v>
      </c>
      <c r="H121" s="16">
        <f t="shared" si="12"/>
        <v>0</v>
      </c>
      <c r="I121" s="12">
        <f t="shared" si="5"/>
        <v>0</v>
      </c>
      <c r="J121" s="11">
        <v>0.0</v>
      </c>
      <c r="K121" s="11">
        <v>0.0</v>
      </c>
      <c r="L121" s="16">
        <f t="shared" si="6"/>
        <v>0</v>
      </c>
      <c r="M121" s="11" t="s">
        <v>41</v>
      </c>
      <c r="N121" s="12">
        <f t="shared" si="8"/>
        <v>0</v>
      </c>
      <c r="O121" s="18">
        <f t="shared" si="9"/>
        <v>0</v>
      </c>
      <c r="P121" s="18">
        <f t="shared" si="10"/>
        <v>0</v>
      </c>
    </row>
    <row r="122">
      <c r="A122" s="2" t="s">
        <v>170</v>
      </c>
      <c r="B122" s="10">
        <v>2.0</v>
      </c>
      <c r="C122" s="12">
        <f t="shared" si="1"/>
        <v>8</v>
      </c>
      <c r="D122" s="11">
        <v>0.0</v>
      </c>
      <c r="E122" s="11">
        <v>1.0</v>
      </c>
      <c r="F122" s="12">
        <f t="shared" si="2"/>
        <v>1</v>
      </c>
      <c r="G122" s="16">
        <f t="shared" si="3"/>
        <v>0.125</v>
      </c>
      <c r="H122" s="16">
        <f t="shared" si="12"/>
        <v>0</v>
      </c>
      <c r="I122" s="12">
        <f t="shared" si="5"/>
        <v>0</v>
      </c>
      <c r="J122" s="11">
        <v>0.0</v>
      </c>
      <c r="K122" s="11">
        <v>0.0</v>
      </c>
      <c r="L122" s="16">
        <f t="shared" si="6"/>
        <v>0</v>
      </c>
      <c r="M122" s="11" t="s">
        <v>41</v>
      </c>
      <c r="N122" s="12">
        <f t="shared" si="8"/>
        <v>0</v>
      </c>
      <c r="O122" s="18">
        <f t="shared" si="9"/>
        <v>0</v>
      </c>
      <c r="P122" s="18">
        <f t="shared" si="10"/>
        <v>0</v>
      </c>
    </row>
    <row r="123">
      <c r="A123" s="2" t="s">
        <v>171</v>
      </c>
      <c r="B123" s="10">
        <v>2.0</v>
      </c>
      <c r="C123" s="12">
        <f t="shared" si="1"/>
        <v>8</v>
      </c>
      <c r="D123" s="11">
        <v>0.0</v>
      </c>
      <c r="E123" s="11">
        <v>1.0</v>
      </c>
      <c r="F123" s="12">
        <f t="shared" si="2"/>
        <v>1</v>
      </c>
      <c r="G123" s="16">
        <f t="shared" si="3"/>
        <v>0.125</v>
      </c>
      <c r="H123" s="16">
        <f t="shared" si="12"/>
        <v>0</v>
      </c>
      <c r="I123" s="12">
        <f t="shared" si="5"/>
        <v>0</v>
      </c>
      <c r="J123" s="11">
        <v>0.0</v>
      </c>
      <c r="K123" s="11">
        <v>0.0</v>
      </c>
      <c r="L123" s="16">
        <f t="shared" si="6"/>
        <v>0</v>
      </c>
      <c r="M123" s="11" t="s">
        <v>41</v>
      </c>
      <c r="N123" s="12">
        <f t="shared" si="8"/>
        <v>0</v>
      </c>
      <c r="O123" s="18">
        <f t="shared" si="9"/>
        <v>0</v>
      </c>
      <c r="P123" s="18">
        <f t="shared" si="10"/>
        <v>0</v>
      </c>
    </row>
    <row r="124">
      <c r="A124" s="2" t="s">
        <v>202</v>
      </c>
      <c r="B124" s="10">
        <v>2.0</v>
      </c>
      <c r="C124" s="12">
        <f t="shared" si="1"/>
        <v>8</v>
      </c>
      <c r="D124" s="11">
        <v>0.0</v>
      </c>
      <c r="E124" s="11">
        <v>1.0</v>
      </c>
      <c r="F124" s="12">
        <f t="shared" si="2"/>
        <v>1</v>
      </c>
      <c r="G124" s="16">
        <f t="shared" si="3"/>
        <v>0.125</v>
      </c>
      <c r="H124" s="16">
        <f t="shared" si="12"/>
        <v>0</v>
      </c>
      <c r="I124" s="12">
        <f t="shared" si="5"/>
        <v>0</v>
      </c>
      <c r="J124" s="11">
        <v>0.0</v>
      </c>
      <c r="K124" s="11">
        <v>0.0</v>
      </c>
      <c r="L124" s="16">
        <f t="shared" si="6"/>
        <v>0</v>
      </c>
      <c r="M124" s="11" t="s">
        <v>41</v>
      </c>
      <c r="N124" s="12">
        <f t="shared" si="8"/>
        <v>0</v>
      </c>
      <c r="O124" s="18">
        <f t="shared" si="9"/>
        <v>0</v>
      </c>
      <c r="P124" s="18">
        <f t="shared" si="10"/>
        <v>0</v>
      </c>
    </row>
    <row r="125">
      <c r="A125" s="2" t="s">
        <v>206</v>
      </c>
      <c r="B125" s="10">
        <v>3.0</v>
      </c>
      <c r="C125" s="12">
        <f t="shared" si="1"/>
        <v>12</v>
      </c>
      <c r="D125" s="11">
        <v>0.0</v>
      </c>
      <c r="E125" s="20">
        <v>2.0</v>
      </c>
      <c r="F125" s="21">
        <f t="shared" si="2"/>
        <v>2</v>
      </c>
      <c r="G125" s="23">
        <f t="shared" si="3"/>
        <v>0.1666666667</v>
      </c>
      <c r="H125" s="23">
        <f t="shared" si="12"/>
        <v>0</v>
      </c>
      <c r="I125" s="12">
        <f t="shared" si="5"/>
        <v>0</v>
      </c>
      <c r="J125" s="11">
        <v>0.0</v>
      </c>
      <c r="K125" s="11">
        <v>0.0</v>
      </c>
      <c r="L125" s="16">
        <f t="shared" si="6"/>
        <v>0</v>
      </c>
      <c r="M125" s="11" t="s">
        <v>41</v>
      </c>
      <c r="N125" s="12">
        <f t="shared" si="8"/>
        <v>0</v>
      </c>
      <c r="O125" s="18">
        <f t="shared" si="9"/>
        <v>0</v>
      </c>
      <c r="P125" s="18">
        <f t="shared" si="10"/>
        <v>0</v>
      </c>
    </row>
    <row r="126">
      <c r="A126" s="2" t="s">
        <v>91</v>
      </c>
      <c r="B126" s="10">
        <v>1.5</v>
      </c>
      <c r="C126" s="12">
        <f t="shared" si="1"/>
        <v>6</v>
      </c>
      <c r="D126" s="11">
        <v>0.0</v>
      </c>
      <c r="E126" s="20">
        <v>1.0</v>
      </c>
      <c r="F126" s="21">
        <f t="shared" si="2"/>
        <v>1</v>
      </c>
      <c r="G126" s="23">
        <f t="shared" si="3"/>
        <v>0.1666666667</v>
      </c>
      <c r="H126" s="23">
        <f t="shared" si="12"/>
        <v>0</v>
      </c>
      <c r="I126" s="12">
        <f t="shared" si="5"/>
        <v>0</v>
      </c>
      <c r="J126" s="11">
        <v>0.0</v>
      </c>
      <c r="K126" s="11">
        <v>0.0</v>
      </c>
      <c r="L126" s="16">
        <f t="shared" si="6"/>
        <v>0</v>
      </c>
      <c r="M126" s="11" t="s">
        <v>41</v>
      </c>
      <c r="N126" s="12">
        <f t="shared" si="8"/>
        <v>0</v>
      </c>
      <c r="O126" s="18">
        <f t="shared" si="9"/>
        <v>0</v>
      </c>
      <c r="P126" s="18">
        <f t="shared" si="10"/>
        <v>0</v>
      </c>
    </row>
    <row r="127">
      <c r="A127" s="2" t="s">
        <v>175</v>
      </c>
      <c r="B127" s="10">
        <v>1.5</v>
      </c>
      <c r="C127" s="12">
        <f t="shared" si="1"/>
        <v>6</v>
      </c>
      <c r="D127" s="11">
        <v>0.0</v>
      </c>
      <c r="E127" s="11">
        <v>1.0</v>
      </c>
      <c r="F127" s="12">
        <f t="shared" si="2"/>
        <v>1</v>
      </c>
      <c r="G127" s="16">
        <f t="shared" si="3"/>
        <v>0.1666666667</v>
      </c>
      <c r="H127" s="16">
        <f t="shared" si="12"/>
        <v>0</v>
      </c>
      <c r="I127" s="12">
        <f t="shared" si="5"/>
        <v>0</v>
      </c>
      <c r="J127" s="11">
        <v>0.0</v>
      </c>
      <c r="K127" s="11">
        <v>0.0</v>
      </c>
      <c r="L127" s="16">
        <f t="shared" si="6"/>
        <v>0</v>
      </c>
      <c r="M127" s="11" t="s">
        <v>41</v>
      </c>
      <c r="N127" s="12">
        <f t="shared" si="8"/>
        <v>0</v>
      </c>
      <c r="O127" s="18">
        <f t="shared" si="9"/>
        <v>0</v>
      </c>
      <c r="P127" s="18">
        <f t="shared" si="10"/>
        <v>0</v>
      </c>
    </row>
    <row r="128">
      <c r="A128" s="2" t="s">
        <v>177</v>
      </c>
      <c r="B128" s="10">
        <v>1.5</v>
      </c>
      <c r="C128" s="12">
        <f t="shared" si="1"/>
        <v>6</v>
      </c>
      <c r="D128" s="11">
        <v>0.0</v>
      </c>
      <c r="E128" s="20">
        <v>1.0</v>
      </c>
      <c r="F128" s="21">
        <f t="shared" si="2"/>
        <v>1</v>
      </c>
      <c r="G128" s="23">
        <f t="shared" si="3"/>
        <v>0.1666666667</v>
      </c>
      <c r="H128" s="23">
        <f t="shared" si="12"/>
        <v>0</v>
      </c>
      <c r="I128" s="12">
        <f t="shared" si="5"/>
        <v>0</v>
      </c>
      <c r="J128" s="11">
        <v>0.0</v>
      </c>
      <c r="K128" s="11">
        <v>0.0</v>
      </c>
      <c r="L128" s="16">
        <f t="shared" si="6"/>
        <v>0</v>
      </c>
      <c r="M128" s="11" t="s">
        <v>41</v>
      </c>
      <c r="N128" s="12">
        <f t="shared" si="8"/>
        <v>0</v>
      </c>
      <c r="O128" s="18">
        <f t="shared" si="9"/>
        <v>0</v>
      </c>
      <c r="P128" s="18">
        <f t="shared" si="10"/>
        <v>0</v>
      </c>
    </row>
    <row r="129">
      <c r="A129" s="2" t="s">
        <v>180</v>
      </c>
      <c r="B129" s="10">
        <v>1.5</v>
      </c>
      <c r="C129" s="12">
        <f t="shared" si="1"/>
        <v>6</v>
      </c>
      <c r="D129" s="11">
        <v>0.0</v>
      </c>
      <c r="E129" s="11">
        <v>1.0</v>
      </c>
      <c r="F129" s="12">
        <f t="shared" si="2"/>
        <v>1</v>
      </c>
      <c r="G129" s="16">
        <f t="shared" si="3"/>
        <v>0.1666666667</v>
      </c>
      <c r="H129" s="16">
        <f t="shared" si="12"/>
        <v>0</v>
      </c>
      <c r="I129" s="12">
        <f t="shared" si="5"/>
        <v>0</v>
      </c>
      <c r="J129" s="11">
        <v>0.0</v>
      </c>
      <c r="K129" s="11">
        <v>0.0</v>
      </c>
      <c r="L129" s="16">
        <f t="shared" si="6"/>
        <v>0</v>
      </c>
      <c r="M129" s="11" t="s">
        <v>41</v>
      </c>
      <c r="N129" s="12">
        <f t="shared" si="8"/>
        <v>0</v>
      </c>
      <c r="O129" s="18">
        <f t="shared" si="9"/>
        <v>0</v>
      </c>
      <c r="P129" s="18">
        <f t="shared" si="10"/>
        <v>0</v>
      </c>
    </row>
    <row r="130">
      <c r="A130" s="2" t="s">
        <v>183</v>
      </c>
      <c r="B130" s="10">
        <v>3.0</v>
      </c>
      <c r="C130" s="12">
        <f t="shared" si="1"/>
        <v>12</v>
      </c>
      <c r="D130" s="11">
        <v>0.0</v>
      </c>
      <c r="E130" s="11">
        <v>1.0</v>
      </c>
      <c r="F130" s="12">
        <f t="shared" si="2"/>
        <v>1</v>
      </c>
      <c r="G130" s="16">
        <f t="shared" si="3"/>
        <v>0.08333333333</v>
      </c>
      <c r="H130" s="16">
        <f t="shared" si="12"/>
        <v>0</v>
      </c>
      <c r="I130" s="12">
        <f t="shared" si="5"/>
        <v>0</v>
      </c>
      <c r="J130" s="11">
        <v>0.0</v>
      </c>
      <c r="K130" s="11">
        <v>0.0</v>
      </c>
      <c r="L130" s="16">
        <f t="shared" si="6"/>
        <v>0</v>
      </c>
      <c r="M130" s="11" t="s">
        <v>41</v>
      </c>
      <c r="N130" s="12">
        <f t="shared" si="8"/>
        <v>0</v>
      </c>
      <c r="O130" s="18">
        <f t="shared" si="9"/>
        <v>0</v>
      </c>
      <c r="P130" s="18">
        <f t="shared" si="10"/>
        <v>0</v>
      </c>
    </row>
    <row r="131">
      <c r="A131" s="2" t="s">
        <v>208</v>
      </c>
      <c r="B131" s="10">
        <v>1.0</v>
      </c>
      <c r="C131" s="12">
        <f t="shared" si="1"/>
        <v>4</v>
      </c>
      <c r="D131" s="11">
        <v>0.0</v>
      </c>
      <c r="E131" s="11">
        <v>1.0</v>
      </c>
      <c r="F131" s="12">
        <f t="shared" si="2"/>
        <v>1</v>
      </c>
      <c r="G131" s="16">
        <f t="shared" si="3"/>
        <v>0.25</v>
      </c>
      <c r="H131" s="16">
        <f t="shared" si="12"/>
        <v>0</v>
      </c>
      <c r="I131" s="12">
        <f t="shared" si="5"/>
        <v>0</v>
      </c>
      <c r="J131" s="11">
        <v>0.0</v>
      </c>
      <c r="K131" s="11">
        <v>0.0</v>
      </c>
      <c r="L131" s="16">
        <f t="shared" si="6"/>
        <v>0</v>
      </c>
      <c r="M131" s="11" t="s">
        <v>41</v>
      </c>
      <c r="N131" s="12">
        <f t="shared" si="8"/>
        <v>0</v>
      </c>
      <c r="O131" s="18">
        <f t="shared" si="9"/>
        <v>0</v>
      </c>
      <c r="P131" s="18">
        <f t="shared" si="10"/>
        <v>0</v>
      </c>
    </row>
    <row r="132">
      <c r="A132" s="2" t="s">
        <v>65</v>
      </c>
      <c r="B132" s="10">
        <v>3.0</v>
      </c>
      <c r="C132" s="12">
        <f t="shared" si="1"/>
        <v>12</v>
      </c>
      <c r="D132" s="11">
        <v>0.0</v>
      </c>
      <c r="E132" s="11">
        <v>1.0</v>
      </c>
      <c r="F132" s="12">
        <f t="shared" si="2"/>
        <v>1</v>
      </c>
      <c r="G132" s="16">
        <f t="shared" si="3"/>
        <v>0.08333333333</v>
      </c>
      <c r="H132" s="16">
        <f t="shared" si="12"/>
        <v>0</v>
      </c>
      <c r="I132" s="12">
        <f t="shared" si="5"/>
        <v>0</v>
      </c>
      <c r="J132" s="11">
        <v>0.0</v>
      </c>
      <c r="K132" s="11">
        <v>0.0</v>
      </c>
      <c r="L132" s="16">
        <f t="shared" si="6"/>
        <v>0</v>
      </c>
      <c r="M132" s="11" t="s">
        <v>41</v>
      </c>
      <c r="N132" s="12">
        <f t="shared" si="8"/>
        <v>0</v>
      </c>
      <c r="O132" s="18">
        <f t="shared" si="9"/>
        <v>0</v>
      </c>
      <c r="P132" s="18">
        <f t="shared" si="10"/>
        <v>0</v>
      </c>
    </row>
    <row r="133">
      <c r="A133" s="2" t="s">
        <v>147</v>
      </c>
      <c r="B133" s="10">
        <v>1.5</v>
      </c>
      <c r="C133" s="12">
        <f t="shared" si="1"/>
        <v>6</v>
      </c>
      <c r="D133" s="11">
        <v>0.0</v>
      </c>
      <c r="E133" s="11">
        <v>1.0</v>
      </c>
      <c r="F133" s="12">
        <f t="shared" si="2"/>
        <v>1</v>
      </c>
      <c r="G133" s="16">
        <f t="shared" si="3"/>
        <v>0.1666666667</v>
      </c>
      <c r="H133" s="16">
        <f t="shared" si="12"/>
        <v>0</v>
      </c>
      <c r="I133" s="12">
        <f t="shared" si="5"/>
        <v>0</v>
      </c>
      <c r="J133" s="11">
        <v>0.0</v>
      </c>
      <c r="K133" s="11">
        <v>0.0</v>
      </c>
      <c r="L133" s="16">
        <f t="shared" si="6"/>
        <v>0</v>
      </c>
      <c r="M133" s="11" t="s">
        <v>41</v>
      </c>
      <c r="N133" s="12">
        <f t="shared" si="8"/>
        <v>0</v>
      </c>
      <c r="O133" s="18">
        <f t="shared" si="9"/>
        <v>0</v>
      </c>
      <c r="P133" s="18">
        <f t="shared" si="10"/>
        <v>0</v>
      </c>
    </row>
    <row r="134">
      <c r="A134" s="2" t="s">
        <v>204</v>
      </c>
      <c r="B134" s="10">
        <v>0.5</v>
      </c>
      <c r="C134" s="12">
        <f t="shared" si="1"/>
        <v>2</v>
      </c>
      <c r="D134" s="11">
        <v>0.0</v>
      </c>
      <c r="E134" s="11">
        <v>1.0</v>
      </c>
      <c r="F134" s="12">
        <f t="shared" si="2"/>
        <v>1</v>
      </c>
      <c r="G134" s="16">
        <f t="shared" si="3"/>
        <v>0.5</v>
      </c>
      <c r="H134" s="16">
        <f t="shared" si="12"/>
        <v>0</v>
      </c>
      <c r="I134" s="12">
        <f t="shared" si="5"/>
        <v>0</v>
      </c>
      <c r="J134" s="11">
        <v>0.0</v>
      </c>
      <c r="K134" s="11">
        <v>0.0</v>
      </c>
      <c r="L134" s="16">
        <f t="shared" si="6"/>
        <v>0</v>
      </c>
      <c r="M134" s="11" t="s">
        <v>41</v>
      </c>
      <c r="N134" s="12">
        <f t="shared" si="8"/>
        <v>0</v>
      </c>
      <c r="O134" s="18">
        <f t="shared" si="9"/>
        <v>0</v>
      </c>
      <c r="P134" s="18">
        <f t="shared" si="10"/>
        <v>0</v>
      </c>
    </row>
    <row r="135">
      <c r="A135" s="2" t="s">
        <v>187</v>
      </c>
      <c r="B135" s="10">
        <v>3.0</v>
      </c>
      <c r="C135" s="12">
        <f t="shared" si="1"/>
        <v>12</v>
      </c>
      <c r="D135" s="11">
        <v>0.0</v>
      </c>
      <c r="E135" s="20">
        <v>1.0</v>
      </c>
      <c r="F135" s="21">
        <f t="shared" si="2"/>
        <v>1</v>
      </c>
      <c r="G135" s="23">
        <f t="shared" si="3"/>
        <v>0.08333333333</v>
      </c>
      <c r="H135" s="23">
        <f t="shared" si="12"/>
        <v>0</v>
      </c>
      <c r="I135" s="12">
        <f t="shared" si="5"/>
        <v>0</v>
      </c>
      <c r="J135" s="11">
        <v>0.0</v>
      </c>
      <c r="K135" s="11">
        <v>0.0</v>
      </c>
      <c r="L135" s="16">
        <f t="shared" si="6"/>
        <v>0</v>
      </c>
      <c r="M135" s="11" t="s">
        <v>41</v>
      </c>
      <c r="N135" s="12">
        <f t="shared" si="8"/>
        <v>0</v>
      </c>
      <c r="O135" s="18">
        <f t="shared" si="9"/>
        <v>0</v>
      </c>
      <c r="P135" s="18">
        <f t="shared" si="10"/>
        <v>0</v>
      </c>
    </row>
    <row r="136">
      <c r="A136" s="2" t="s">
        <v>97</v>
      </c>
      <c r="B136" s="10">
        <v>3.0</v>
      </c>
      <c r="C136" s="12">
        <f t="shared" si="1"/>
        <v>12</v>
      </c>
      <c r="D136" s="11">
        <v>0.0</v>
      </c>
      <c r="E136" s="20">
        <v>1.0</v>
      </c>
      <c r="F136" s="21">
        <f t="shared" si="2"/>
        <v>1</v>
      </c>
      <c r="G136" s="23">
        <f t="shared" si="3"/>
        <v>0.08333333333</v>
      </c>
      <c r="H136" s="23">
        <f t="shared" si="12"/>
        <v>0</v>
      </c>
      <c r="I136" s="12">
        <f t="shared" si="5"/>
        <v>0</v>
      </c>
      <c r="J136" s="11">
        <v>0.0</v>
      </c>
      <c r="K136" s="11">
        <v>0.0</v>
      </c>
      <c r="L136" s="16">
        <f t="shared" si="6"/>
        <v>0</v>
      </c>
      <c r="M136" s="11" t="s">
        <v>41</v>
      </c>
      <c r="N136" s="12">
        <f t="shared" si="8"/>
        <v>0</v>
      </c>
      <c r="O136" s="18">
        <f t="shared" si="9"/>
        <v>0</v>
      </c>
      <c r="P136" s="18">
        <f t="shared" si="10"/>
        <v>0</v>
      </c>
    </row>
    <row r="137">
      <c r="A137" s="2" t="s">
        <v>189</v>
      </c>
      <c r="B137" s="10">
        <v>3.0</v>
      </c>
      <c r="C137" s="12">
        <f t="shared" si="1"/>
        <v>12</v>
      </c>
      <c r="D137" s="11">
        <v>1.0</v>
      </c>
      <c r="E137" s="11">
        <v>4.0</v>
      </c>
      <c r="F137" s="12">
        <f t="shared" si="2"/>
        <v>5</v>
      </c>
      <c r="G137" s="16">
        <f t="shared" si="3"/>
        <v>0.4166666667</v>
      </c>
      <c r="H137" s="16">
        <f t="shared" si="12"/>
        <v>0.2</v>
      </c>
      <c r="I137" s="12">
        <f t="shared" si="5"/>
        <v>3</v>
      </c>
      <c r="J137" s="11">
        <v>1.0</v>
      </c>
      <c r="K137" s="11">
        <v>2.0</v>
      </c>
      <c r="L137" s="16">
        <f t="shared" si="6"/>
        <v>0.25</v>
      </c>
      <c r="M137" s="16">
        <f t="shared" ref="M137:M139" si="14">J137/I137</f>
        <v>0.3333333333</v>
      </c>
      <c r="N137" s="12">
        <f t="shared" si="8"/>
        <v>-4</v>
      </c>
      <c r="O137" s="18">
        <f t="shared" si="9"/>
        <v>-0.3333333333</v>
      </c>
      <c r="P137" s="18">
        <f t="shared" si="10"/>
        <v>-1.333333333</v>
      </c>
    </row>
    <row r="138">
      <c r="A138" s="2" t="s">
        <v>199</v>
      </c>
      <c r="B138" s="10">
        <v>3.0</v>
      </c>
      <c r="C138" s="12">
        <f t="shared" si="1"/>
        <v>12</v>
      </c>
      <c r="D138" s="11">
        <v>0.0</v>
      </c>
      <c r="E138" s="11">
        <v>3.0</v>
      </c>
      <c r="F138" s="12">
        <f t="shared" si="2"/>
        <v>3</v>
      </c>
      <c r="G138" s="16">
        <f t="shared" si="3"/>
        <v>0.25</v>
      </c>
      <c r="H138" s="16">
        <f t="shared" si="12"/>
        <v>0</v>
      </c>
      <c r="I138" s="12">
        <f t="shared" si="5"/>
        <v>1</v>
      </c>
      <c r="J138" s="11">
        <v>0.0</v>
      </c>
      <c r="K138" s="11">
        <v>1.0</v>
      </c>
      <c r="L138" s="16">
        <f t="shared" si="6"/>
        <v>0.08333333333</v>
      </c>
      <c r="M138" s="16">
        <f t="shared" si="14"/>
        <v>0</v>
      </c>
      <c r="N138" s="12">
        <f t="shared" si="8"/>
        <v>-4</v>
      </c>
      <c r="O138" s="18">
        <f t="shared" si="9"/>
        <v>-0.3333333333</v>
      </c>
      <c r="P138" s="18">
        <f t="shared" si="10"/>
        <v>-1.333333333</v>
      </c>
    </row>
    <row r="139">
      <c r="A139" s="2" t="s">
        <v>182</v>
      </c>
      <c r="B139" s="10">
        <v>1.5</v>
      </c>
      <c r="C139" s="12">
        <f t="shared" si="1"/>
        <v>6</v>
      </c>
      <c r="D139" s="11">
        <v>0.0</v>
      </c>
      <c r="E139" s="11">
        <v>1.0</v>
      </c>
      <c r="F139" s="12">
        <f t="shared" si="2"/>
        <v>1</v>
      </c>
      <c r="G139" s="16">
        <f t="shared" si="3"/>
        <v>0.1666666667</v>
      </c>
      <c r="H139" s="16">
        <f t="shared" si="12"/>
        <v>0</v>
      </c>
      <c r="I139" s="12">
        <f t="shared" si="5"/>
        <v>1</v>
      </c>
      <c r="J139" s="11">
        <v>0.0</v>
      </c>
      <c r="K139" s="11">
        <v>1.0</v>
      </c>
      <c r="L139" s="16">
        <f t="shared" si="6"/>
        <v>0.1666666667</v>
      </c>
      <c r="M139" s="16">
        <f t="shared" si="14"/>
        <v>0</v>
      </c>
      <c r="N139" s="12">
        <f t="shared" si="8"/>
        <v>-4</v>
      </c>
      <c r="O139" s="18">
        <f t="shared" si="9"/>
        <v>-0.6666666667</v>
      </c>
      <c r="P139" s="18">
        <f t="shared" si="10"/>
        <v>-2.666666667</v>
      </c>
    </row>
    <row r="140">
      <c r="A140" s="34"/>
      <c r="B140" s="35"/>
      <c r="G140" s="30"/>
      <c r="H140" s="30"/>
      <c r="L140" s="30"/>
      <c r="M140" s="30"/>
      <c r="O140" s="32"/>
      <c r="P140" s="32"/>
    </row>
    <row r="141">
      <c r="A141" s="34"/>
      <c r="B141" s="35"/>
      <c r="G141" s="30"/>
      <c r="H141" s="30"/>
      <c r="L141" s="30"/>
      <c r="M141" s="30"/>
      <c r="O141" s="32"/>
      <c r="P141" s="32"/>
    </row>
    <row r="142">
      <c r="B142" s="35"/>
      <c r="G142" s="30"/>
      <c r="H142" s="30"/>
      <c r="L142" s="30"/>
      <c r="M142" s="30"/>
      <c r="O142" s="32"/>
      <c r="P142" s="32"/>
    </row>
    <row r="143">
      <c r="B143" s="35"/>
      <c r="G143" s="30"/>
      <c r="H143" s="30"/>
      <c r="L143" s="30"/>
      <c r="M143" s="30"/>
      <c r="O143" s="32"/>
      <c r="P143" s="32"/>
    </row>
    <row r="144">
      <c r="B144" s="35"/>
      <c r="G144" s="30"/>
      <c r="H144" s="30"/>
      <c r="L144" s="30"/>
      <c r="M144" s="30"/>
      <c r="O144" s="32"/>
      <c r="P144" s="32"/>
    </row>
    <row r="145">
      <c r="B145" s="35"/>
      <c r="G145" s="30"/>
      <c r="H145" s="30"/>
      <c r="L145" s="30"/>
      <c r="M145" s="30"/>
      <c r="O145" s="32"/>
      <c r="P145" s="32"/>
    </row>
    <row r="146">
      <c r="B146" s="35"/>
      <c r="G146" s="30"/>
      <c r="H146" s="30"/>
      <c r="L146" s="30"/>
      <c r="M146" s="30"/>
      <c r="O146" s="32"/>
      <c r="P146" s="32"/>
    </row>
    <row r="147">
      <c r="B147" s="35"/>
      <c r="G147" s="30"/>
      <c r="H147" s="30"/>
      <c r="L147" s="30"/>
      <c r="M147" s="30"/>
      <c r="O147" s="32"/>
      <c r="P147" s="32"/>
    </row>
    <row r="148">
      <c r="B148" s="35"/>
      <c r="G148" s="30"/>
      <c r="H148" s="30"/>
      <c r="L148" s="30"/>
      <c r="M148" s="30"/>
      <c r="O148" s="32"/>
      <c r="P148" s="32"/>
    </row>
    <row r="149">
      <c r="B149" s="35"/>
      <c r="G149" s="30"/>
      <c r="H149" s="30"/>
      <c r="L149" s="30"/>
      <c r="M149" s="30"/>
      <c r="O149" s="32"/>
      <c r="P149" s="32"/>
    </row>
    <row r="150">
      <c r="B150" s="35"/>
      <c r="G150" s="30"/>
      <c r="H150" s="30"/>
      <c r="L150" s="30"/>
      <c r="M150" s="30"/>
      <c r="O150" s="32"/>
      <c r="P150" s="32"/>
    </row>
    <row r="151">
      <c r="B151" s="35"/>
      <c r="G151" s="30"/>
      <c r="H151" s="30"/>
      <c r="L151" s="30"/>
      <c r="M151" s="30"/>
      <c r="O151" s="32"/>
      <c r="P151" s="32"/>
    </row>
    <row r="152">
      <c r="B152" s="35"/>
      <c r="G152" s="30"/>
      <c r="H152" s="30"/>
      <c r="L152" s="30"/>
      <c r="M152" s="30"/>
      <c r="O152" s="32"/>
      <c r="P152" s="32"/>
    </row>
    <row r="153">
      <c r="B153" s="35"/>
      <c r="G153" s="30"/>
      <c r="H153" s="30"/>
      <c r="L153" s="30"/>
      <c r="M153" s="30"/>
      <c r="O153" s="32"/>
      <c r="P153" s="32"/>
    </row>
    <row r="154">
      <c r="B154" s="35"/>
      <c r="G154" s="30"/>
      <c r="H154" s="30"/>
      <c r="L154" s="30"/>
      <c r="M154" s="30"/>
      <c r="O154" s="32"/>
      <c r="P154" s="32"/>
    </row>
    <row r="155">
      <c r="B155" s="35"/>
      <c r="G155" s="30"/>
      <c r="H155" s="30"/>
      <c r="L155" s="30"/>
      <c r="M155" s="30"/>
      <c r="O155" s="32"/>
      <c r="P155" s="32"/>
    </row>
    <row r="156">
      <c r="B156" s="35"/>
      <c r="G156" s="30"/>
      <c r="H156" s="30"/>
      <c r="L156" s="30"/>
      <c r="M156" s="30"/>
      <c r="O156" s="32"/>
      <c r="P156" s="32"/>
    </row>
    <row r="157">
      <c r="B157" s="35"/>
      <c r="G157" s="30"/>
      <c r="H157" s="30"/>
      <c r="L157" s="30"/>
      <c r="M157" s="30"/>
      <c r="O157" s="32"/>
      <c r="P157" s="32"/>
    </row>
    <row r="158">
      <c r="B158" s="35"/>
      <c r="G158" s="30"/>
      <c r="H158" s="30"/>
      <c r="L158" s="30"/>
      <c r="M158" s="30"/>
      <c r="O158" s="32"/>
      <c r="P158" s="32"/>
    </row>
    <row r="159">
      <c r="B159" s="35"/>
      <c r="G159" s="30"/>
      <c r="H159" s="30"/>
      <c r="L159" s="30"/>
      <c r="M159" s="30"/>
      <c r="O159" s="32"/>
      <c r="P159" s="32"/>
    </row>
    <row r="160">
      <c r="B160" s="35"/>
      <c r="G160" s="30"/>
      <c r="H160" s="30"/>
      <c r="L160" s="30"/>
      <c r="M160" s="30"/>
      <c r="O160" s="32"/>
      <c r="P160" s="32"/>
    </row>
    <row r="161">
      <c r="B161" s="35"/>
      <c r="G161" s="30"/>
      <c r="H161" s="30"/>
      <c r="L161" s="30"/>
      <c r="M161" s="30"/>
      <c r="O161" s="32"/>
      <c r="P161" s="32"/>
    </row>
    <row r="162">
      <c r="B162" s="35"/>
      <c r="G162" s="30"/>
      <c r="H162" s="30"/>
      <c r="L162" s="30"/>
      <c r="M162" s="30"/>
      <c r="O162" s="32"/>
      <c r="P162" s="32"/>
    </row>
    <row r="163">
      <c r="B163" s="35"/>
      <c r="G163" s="30"/>
      <c r="H163" s="30"/>
      <c r="L163" s="30"/>
      <c r="M163" s="30"/>
      <c r="O163" s="32"/>
      <c r="P163" s="32"/>
    </row>
    <row r="164">
      <c r="B164" s="35"/>
      <c r="G164" s="30"/>
      <c r="H164" s="30"/>
      <c r="L164" s="30"/>
      <c r="M164" s="30"/>
      <c r="O164" s="32"/>
      <c r="P164" s="32"/>
    </row>
    <row r="165">
      <c r="B165" s="35"/>
      <c r="G165" s="30"/>
      <c r="H165" s="30"/>
      <c r="L165" s="30"/>
      <c r="M165" s="30"/>
      <c r="O165" s="32"/>
      <c r="P165" s="32"/>
    </row>
    <row r="166">
      <c r="B166" s="35"/>
      <c r="G166" s="30"/>
      <c r="H166" s="30"/>
      <c r="L166" s="30"/>
      <c r="M166" s="30"/>
      <c r="O166" s="32"/>
      <c r="P166" s="32"/>
    </row>
    <row r="167">
      <c r="B167" s="35"/>
      <c r="G167" s="30"/>
      <c r="H167" s="30"/>
      <c r="L167" s="30"/>
      <c r="M167" s="30"/>
      <c r="O167" s="32"/>
      <c r="P167" s="32"/>
    </row>
    <row r="168">
      <c r="B168" s="35"/>
      <c r="G168" s="30"/>
      <c r="H168" s="30"/>
      <c r="L168" s="30"/>
      <c r="M168" s="30"/>
      <c r="O168" s="32"/>
      <c r="P168" s="32"/>
    </row>
    <row r="169">
      <c r="B169" s="35"/>
      <c r="G169" s="30"/>
      <c r="H169" s="30"/>
      <c r="L169" s="30"/>
      <c r="M169" s="30"/>
      <c r="O169" s="32"/>
      <c r="P169" s="32"/>
    </row>
    <row r="170">
      <c r="B170" s="35"/>
      <c r="G170" s="30"/>
      <c r="H170" s="30"/>
      <c r="L170" s="30"/>
      <c r="M170" s="30"/>
      <c r="O170" s="32"/>
      <c r="P170" s="32"/>
    </row>
    <row r="171">
      <c r="B171" s="35"/>
      <c r="G171" s="30"/>
      <c r="H171" s="30"/>
      <c r="L171" s="30"/>
      <c r="M171" s="30"/>
      <c r="O171" s="32"/>
      <c r="P171" s="32"/>
    </row>
    <row r="172">
      <c r="B172" s="35"/>
      <c r="G172" s="30"/>
      <c r="H172" s="30"/>
      <c r="L172" s="30"/>
      <c r="M172" s="30"/>
      <c r="O172" s="32"/>
      <c r="P172" s="32"/>
    </row>
    <row r="173">
      <c r="B173" s="35"/>
      <c r="G173" s="30"/>
      <c r="H173" s="30"/>
      <c r="L173" s="30"/>
      <c r="M173" s="30"/>
      <c r="O173" s="32"/>
      <c r="P173" s="32"/>
    </row>
    <row r="174">
      <c r="B174" s="35"/>
      <c r="G174" s="30"/>
      <c r="H174" s="30"/>
      <c r="L174" s="30"/>
      <c r="M174" s="30"/>
      <c r="O174" s="32"/>
      <c r="P174" s="32"/>
    </row>
    <row r="175">
      <c r="B175" s="35"/>
      <c r="G175" s="30"/>
      <c r="H175" s="30"/>
      <c r="L175" s="30"/>
      <c r="M175" s="30"/>
      <c r="O175" s="32"/>
      <c r="P175" s="32"/>
    </row>
    <row r="176">
      <c r="B176" s="35"/>
      <c r="G176" s="30"/>
      <c r="H176" s="30"/>
      <c r="L176" s="30"/>
      <c r="M176" s="30"/>
      <c r="O176" s="32"/>
      <c r="P176" s="32"/>
    </row>
    <row r="177">
      <c r="B177" s="35"/>
      <c r="G177" s="30"/>
      <c r="H177" s="30"/>
      <c r="L177" s="30"/>
      <c r="M177" s="30"/>
      <c r="O177" s="32"/>
      <c r="P177" s="32"/>
    </row>
    <row r="178">
      <c r="B178" s="35"/>
      <c r="G178" s="30"/>
      <c r="H178" s="30"/>
      <c r="L178" s="30"/>
      <c r="M178" s="30"/>
      <c r="O178" s="32"/>
      <c r="P178" s="32"/>
    </row>
    <row r="179">
      <c r="B179" s="35"/>
      <c r="G179" s="30"/>
      <c r="H179" s="30"/>
      <c r="L179" s="30"/>
      <c r="M179" s="30"/>
      <c r="O179" s="32"/>
      <c r="P179" s="32"/>
    </row>
    <row r="180">
      <c r="B180" s="35"/>
      <c r="G180" s="30"/>
      <c r="H180" s="30"/>
      <c r="L180" s="30"/>
      <c r="M180" s="30"/>
      <c r="O180" s="32"/>
      <c r="P180" s="32"/>
    </row>
    <row r="181">
      <c r="B181" s="35"/>
      <c r="G181" s="30"/>
      <c r="H181" s="30"/>
      <c r="L181" s="30"/>
      <c r="M181" s="30"/>
      <c r="O181" s="32"/>
      <c r="P181" s="32"/>
    </row>
    <row r="182">
      <c r="B182" s="35"/>
      <c r="G182" s="30"/>
      <c r="H182" s="30"/>
      <c r="L182" s="30"/>
      <c r="M182" s="30"/>
      <c r="O182" s="32"/>
      <c r="P182" s="32"/>
    </row>
    <row r="183">
      <c r="B183" s="35"/>
      <c r="G183" s="30"/>
      <c r="H183" s="30"/>
      <c r="L183" s="30"/>
      <c r="M183" s="30"/>
      <c r="O183" s="32"/>
      <c r="P183" s="32"/>
    </row>
    <row r="184">
      <c r="B184" s="35"/>
      <c r="G184" s="30"/>
      <c r="H184" s="30"/>
      <c r="L184" s="30"/>
      <c r="M184" s="30"/>
      <c r="O184" s="32"/>
      <c r="P184" s="32"/>
    </row>
    <row r="185">
      <c r="B185" s="35"/>
      <c r="G185" s="30"/>
      <c r="H185" s="30"/>
      <c r="L185" s="30"/>
      <c r="M185" s="30"/>
      <c r="O185" s="32"/>
      <c r="P185" s="32"/>
    </row>
    <row r="186">
      <c r="B186" s="35"/>
      <c r="G186" s="30"/>
      <c r="H186" s="30"/>
      <c r="L186" s="30"/>
      <c r="M186" s="30"/>
      <c r="O186" s="32"/>
      <c r="P186" s="32"/>
    </row>
    <row r="187">
      <c r="B187" s="35"/>
      <c r="G187" s="30"/>
      <c r="H187" s="30"/>
      <c r="L187" s="30"/>
      <c r="M187" s="30"/>
      <c r="O187" s="32"/>
      <c r="P187" s="32"/>
    </row>
    <row r="188">
      <c r="B188" s="35"/>
      <c r="G188" s="30"/>
      <c r="H188" s="30"/>
      <c r="L188" s="30"/>
      <c r="M188" s="30"/>
      <c r="O188" s="32"/>
      <c r="P188" s="32"/>
    </row>
    <row r="189">
      <c r="B189" s="35"/>
      <c r="G189" s="30"/>
      <c r="H189" s="30"/>
      <c r="L189" s="30"/>
      <c r="M189" s="30"/>
      <c r="O189" s="32"/>
      <c r="P189" s="32"/>
    </row>
    <row r="190">
      <c r="B190" s="35"/>
      <c r="G190" s="30"/>
      <c r="H190" s="30"/>
      <c r="L190" s="30"/>
      <c r="M190" s="30"/>
      <c r="O190" s="32"/>
      <c r="P190" s="32"/>
    </row>
    <row r="191">
      <c r="B191" s="35"/>
      <c r="G191" s="30"/>
      <c r="H191" s="30"/>
      <c r="L191" s="30"/>
      <c r="M191" s="30"/>
      <c r="O191" s="32"/>
      <c r="P191" s="32"/>
    </row>
    <row r="192">
      <c r="B192" s="35"/>
      <c r="G192" s="30"/>
      <c r="H192" s="30"/>
      <c r="L192" s="30"/>
      <c r="M192" s="30"/>
      <c r="O192" s="32"/>
      <c r="P192" s="32"/>
    </row>
    <row r="193">
      <c r="B193" s="35"/>
      <c r="G193" s="30"/>
      <c r="H193" s="30"/>
      <c r="L193" s="30"/>
      <c r="M193" s="30"/>
      <c r="O193" s="32"/>
      <c r="P193" s="32"/>
    </row>
    <row r="194">
      <c r="B194" s="35"/>
      <c r="G194" s="30"/>
      <c r="H194" s="30"/>
      <c r="L194" s="30"/>
      <c r="M194" s="30"/>
      <c r="O194" s="32"/>
      <c r="P194" s="32"/>
    </row>
    <row r="195">
      <c r="B195" s="35"/>
      <c r="G195" s="30"/>
      <c r="H195" s="30"/>
      <c r="L195" s="30"/>
      <c r="M195" s="30"/>
      <c r="O195" s="32"/>
      <c r="P195" s="32"/>
    </row>
    <row r="196">
      <c r="B196" s="35"/>
      <c r="G196" s="30"/>
      <c r="H196" s="30"/>
      <c r="L196" s="30"/>
      <c r="M196" s="30"/>
      <c r="O196" s="32"/>
      <c r="P196" s="32"/>
    </row>
    <row r="197">
      <c r="B197" s="35"/>
      <c r="G197" s="30"/>
      <c r="H197" s="30"/>
      <c r="L197" s="30"/>
      <c r="M197" s="30"/>
      <c r="O197" s="32"/>
      <c r="P197" s="32"/>
    </row>
    <row r="198">
      <c r="B198" s="35"/>
      <c r="G198" s="30"/>
      <c r="H198" s="30"/>
      <c r="L198" s="30"/>
      <c r="M198" s="30"/>
      <c r="O198" s="32"/>
      <c r="P198" s="32"/>
    </row>
    <row r="199">
      <c r="B199" s="35"/>
      <c r="G199" s="30"/>
      <c r="H199" s="30"/>
      <c r="L199" s="30"/>
      <c r="M199" s="30"/>
      <c r="O199" s="32"/>
      <c r="P199" s="32"/>
    </row>
    <row r="200">
      <c r="B200" s="35"/>
      <c r="G200" s="30"/>
      <c r="H200" s="30"/>
      <c r="L200" s="30"/>
      <c r="M200" s="30"/>
      <c r="O200" s="32"/>
      <c r="P200" s="32"/>
    </row>
    <row r="201">
      <c r="B201" s="35"/>
      <c r="G201" s="30"/>
      <c r="H201" s="30"/>
      <c r="L201" s="30"/>
      <c r="M201" s="30"/>
      <c r="O201" s="32"/>
      <c r="P201" s="32"/>
    </row>
    <row r="202">
      <c r="B202" s="35"/>
      <c r="G202" s="30"/>
      <c r="H202" s="30"/>
      <c r="L202" s="30"/>
      <c r="M202" s="30"/>
      <c r="O202" s="32"/>
      <c r="P202" s="32"/>
    </row>
    <row r="203">
      <c r="B203" s="35"/>
      <c r="G203" s="30"/>
      <c r="H203" s="30"/>
      <c r="L203" s="30"/>
      <c r="M203" s="30"/>
      <c r="O203" s="32"/>
      <c r="P203" s="32"/>
    </row>
    <row r="204">
      <c r="B204" s="35"/>
      <c r="G204" s="30"/>
      <c r="H204" s="30"/>
      <c r="L204" s="30"/>
      <c r="M204" s="30"/>
      <c r="O204" s="32"/>
      <c r="P204" s="32"/>
    </row>
    <row r="205">
      <c r="B205" s="35"/>
      <c r="G205" s="30"/>
      <c r="H205" s="30"/>
      <c r="L205" s="30"/>
      <c r="M205" s="30"/>
      <c r="O205" s="32"/>
      <c r="P205" s="32"/>
    </row>
    <row r="206">
      <c r="B206" s="35"/>
      <c r="G206" s="30"/>
      <c r="H206" s="30"/>
      <c r="L206" s="30"/>
      <c r="M206" s="30"/>
      <c r="O206" s="32"/>
      <c r="P206" s="32"/>
    </row>
    <row r="207">
      <c r="B207" s="35"/>
      <c r="G207" s="30"/>
      <c r="H207" s="30"/>
      <c r="L207" s="30"/>
      <c r="M207" s="30"/>
      <c r="O207" s="32"/>
      <c r="P207" s="32"/>
    </row>
    <row r="208">
      <c r="B208" s="35"/>
      <c r="G208" s="30"/>
      <c r="H208" s="30"/>
      <c r="L208" s="30"/>
      <c r="M208" s="30"/>
      <c r="O208" s="32"/>
      <c r="P208" s="32"/>
    </row>
    <row r="209">
      <c r="B209" s="35"/>
      <c r="G209" s="30"/>
      <c r="H209" s="30"/>
      <c r="L209" s="30"/>
      <c r="M209" s="30"/>
      <c r="O209" s="32"/>
      <c r="P209" s="32"/>
    </row>
    <row r="210">
      <c r="B210" s="35"/>
      <c r="G210" s="30"/>
      <c r="H210" s="30"/>
      <c r="L210" s="30"/>
      <c r="M210" s="30"/>
      <c r="O210" s="32"/>
      <c r="P210" s="32"/>
    </row>
    <row r="211">
      <c r="B211" s="35"/>
      <c r="G211" s="30"/>
      <c r="H211" s="30"/>
      <c r="L211" s="30"/>
      <c r="M211" s="30"/>
      <c r="O211" s="32"/>
      <c r="P211" s="32"/>
    </row>
    <row r="212">
      <c r="B212" s="35"/>
      <c r="G212" s="30"/>
      <c r="H212" s="30"/>
      <c r="L212" s="30"/>
      <c r="M212" s="30"/>
      <c r="O212" s="32"/>
      <c r="P212" s="32"/>
    </row>
    <row r="213">
      <c r="B213" s="35"/>
      <c r="G213" s="30"/>
      <c r="H213" s="30"/>
      <c r="L213" s="30"/>
      <c r="M213" s="30"/>
      <c r="O213" s="32"/>
      <c r="P213" s="32"/>
    </row>
    <row r="214">
      <c r="B214" s="35"/>
      <c r="G214" s="30"/>
      <c r="H214" s="30"/>
      <c r="L214" s="30"/>
      <c r="M214" s="30"/>
      <c r="O214" s="32"/>
      <c r="P214" s="32"/>
    </row>
    <row r="215">
      <c r="B215" s="35"/>
      <c r="G215" s="30"/>
      <c r="H215" s="30"/>
      <c r="L215" s="30"/>
      <c r="M215" s="30"/>
      <c r="O215" s="32"/>
      <c r="P215" s="32"/>
    </row>
    <row r="216">
      <c r="B216" s="35"/>
      <c r="G216" s="30"/>
      <c r="H216" s="30"/>
      <c r="L216" s="30"/>
      <c r="M216" s="30"/>
      <c r="O216" s="32"/>
      <c r="P216" s="32"/>
    </row>
    <row r="217">
      <c r="B217" s="35"/>
      <c r="G217" s="30"/>
      <c r="H217" s="30"/>
      <c r="L217" s="30"/>
      <c r="M217" s="30"/>
      <c r="O217" s="32"/>
      <c r="P217" s="32"/>
    </row>
    <row r="218">
      <c r="B218" s="35"/>
      <c r="G218" s="30"/>
      <c r="H218" s="30"/>
      <c r="L218" s="30"/>
      <c r="M218" s="30"/>
      <c r="O218" s="32"/>
      <c r="P218" s="32"/>
    </row>
    <row r="219">
      <c r="B219" s="35"/>
      <c r="G219" s="30"/>
      <c r="H219" s="30"/>
      <c r="L219" s="30"/>
      <c r="M219" s="30"/>
      <c r="O219" s="32"/>
      <c r="P219" s="32"/>
    </row>
    <row r="220">
      <c r="B220" s="35"/>
      <c r="G220" s="30"/>
      <c r="H220" s="30"/>
      <c r="L220" s="30"/>
      <c r="M220" s="30"/>
      <c r="O220" s="32"/>
      <c r="P220" s="32"/>
    </row>
    <row r="221">
      <c r="B221" s="35"/>
      <c r="G221" s="30"/>
      <c r="H221" s="30"/>
      <c r="L221" s="30"/>
      <c r="M221" s="30"/>
      <c r="O221" s="32"/>
      <c r="P221" s="32"/>
    </row>
    <row r="222">
      <c r="B222" s="35"/>
      <c r="G222" s="30"/>
      <c r="H222" s="30"/>
      <c r="L222" s="30"/>
      <c r="M222" s="30"/>
      <c r="O222" s="32"/>
      <c r="P222" s="32"/>
    </row>
    <row r="223">
      <c r="B223" s="35"/>
      <c r="G223" s="30"/>
      <c r="H223" s="30"/>
      <c r="L223" s="30"/>
      <c r="M223" s="30"/>
      <c r="O223" s="32"/>
      <c r="P223" s="32"/>
    </row>
    <row r="224">
      <c r="B224" s="35"/>
      <c r="G224" s="30"/>
      <c r="H224" s="30"/>
      <c r="L224" s="30"/>
      <c r="M224" s="30"/>
      <c r="O224" s="32"/>
      <c r="P224" s="32"/>
    </row>
    <row r="225">
      <c r="B225" s="35"/>
      <c r="G225" s="30"/>
      <c r="H225" s="30"/>
      <c r="L225" s="30"/>
      <c r="M225" s="30"/>
      <c r="O225" s="32"/>
      <c r="P225" s="32"/>
    </row>
    <row r="226">
      <c r="B226" s="35"/>
      <c r="G226" s="30"/>
      <c r="H226" s="30"/>
      <c r="L226" s="30"/>
      <c r="M226" s="30"/>
      <c r="O226" s="32"/>
      <c r="P226" s="32"/>
    </row>
    <row r="227">
      <c r="B227" s="35"/>
      <c r="G227" s="30"/>
      <c r="H227" s="30"/>
      <c r="L227" s="30"/>
      <c r="M227" s="30"/>
      <c r="O227" s="32"/>
      <c r="P227" s="32"/>
    </row>
    <row r="228">
      <c r="B228" s="35"/>
      <c r="G228" s="30"/>
      <c r="H228" s="30"/>
      <c r="L228" s="30"/>
      <c r="M228" s="30"/>
      <c r="O228" s="32"/>
      <c r="P228" s="32"/>
    </row>
    <row r="229">
      <c r="B229" s="35"/>
      <c r="G229" s="30"/>
      <c r="H229" s="30"/>
      <c r="L229" s="30"/>
      <c r="M229" s="30"/>
      <c r="O229" s="32"/>
      <c r="P229" s="32"/>
    </row>
    <row r="230">
      <c r="B230" s="35"/>
      <c r="G230" s="30"/>
      <c r="H230" s="30"/>
      <c r="L230" s="30"/>
      <c r="M230" s="30"/>
      <c r="O230" s="32"/>
      <c r="P230" s="32"/>
    </row>
    <row r="231">
      <c r="B231" s="35"/>
      <c r="G231" s="30"/>
      <c r="H231" s="30"/>
      <c r="L231" s="30"/>
      <c r="M231" s="30"/>
      <c r="O231" s="32"/>
      <c r="P231" s="32"/>
    </row>
    <row r="232">
      <c r="B232" s="35"/>
      <c r="G232" s="30"/>
      <c r="H232" s="30"/>
      <c r="L232" s="30"/>
      <c r="M232" s="30"/>
      <c r="O232" s="32"/>
      <c r="P232" s="32"/>
    </row>
    <row r="233">
      <c r="B233" s="35"/>
      <c r="G233" s="30"/>
      <c r="H233" s="30"/>
      <c r="L233" s="30"/>
      <c r="M233" s="30"/>
      <c r="O233" s="32"/>
      <c r="P233" s="32"/>
    </row>
    <row r="234">
      <c r="B234" s="35"/>
      <c r="G234" s="30"/>
      <c r="H234" s="30"/>
      <c r="L234" s="30"/>
      <c r="M234" s="30"/>
      <c r="O234" s="32"/>
      <c r="P234" s="32"/>
    </row>
    <row r="235">
      <c r="B235" s="35"/>
      <c r="G235" s="30"/>
      <c r="H235" s="30"/>
      <c r="L235" s="30"/>
      <c r="M235" s="30"/>
      <c r="O235" s="32"/>
      <c r="P235" s="32"/>
    </row>
    <row r="236">
      <c r="B236" s="35"/>
      <c r="G236" s="30"/>
      <c r="H236" s="30"/>
      <c r="L236" s="30"/>
      <c r="M236" s="30"/>
      <c r="O236" s="32"/>
      <c r="P236" s="32"/>
    </row>
    <row r="237">
      <c r="B237" s="35"/>
      <c r="G237" s="30"/>
      <c r="H237" s="30"/>
      <c r="L237" s="30"/>
      <c r="M237" s="30"/>
      <c r="O237" s="32"/>
      <c r="P237" s="32"/>
    </row>
    <row r="238">
      <c r="B238" s="35"/>
      <c r="G238" s="30"/>
      <c r="H238" s="30"/>
      <c r="L238" s="30"/>
      <c r="M238" s="30"/>
      <c r="O238" s="32"/>
      <c r="P238" s="32"/>
    </row>
    <row r="239">
      <c r="B239" s="35"/>
      <c r="G239" s="30"/>
      <c r="H239" s="30"/>
      <c r="L239" s="30"/>
      <c r="M239" s="30"/>
      <c r="O239" s="32"/>
      <c r="P239" s="32"/>
    </row>
    <row r="240">
      <c r="B240" s="35"/>
      <c r="G240" s="30"/>
      <c r="H240" s="30"/>
      <c r="L240" s="30"/>
      <c r="M240" s="30"/>
      <c r="O240" s="32"/>
      <c r="P240" s="32"/>
    </row>
    <row r="241">
      <c r="B241" s="35"/>
      <c r="G241" s="30"/>
      <c r="H241" s="30"/>
      <c r="L241" s="30"/>
      <c r="M241" s="30"/>
      <c r="O241" s="32"/>
      <c r="P241" s="32"/>
    </row>
    <row r="242">
      <c r="B242" s="35"/>
      <c r="G242" s="30"/>
      <c r="H242" s="30"/>
      <c r="L242" s="30"/>
      <c r="M242" s="30"/>
      <c r="O242" s="32"/>
      <c r="P242" s="32"/>
    </row>
    <row r="243">
      <c r="B243" s="35"/>
      <c r="G243" s="30"/>
      <c r="H243" s="30"/>
      <c r="L243" s="30"/>
      <c r="M243" s="30"/>
      <c r="O243" s="32"/>
      <c r="P243" s="32"/>
    </row>
    <row r="244">
      <c r="B244" s="35"/>
      <c r="G244" s="30"/>
      <c r="H244" s="30"/>
      <c r="L244" s="30"/>
      <c r="M244" s="30"/>
      <c r="O244" s="32"/>
      <c r="P244" s="32"/>
    </row>
    <row r="245">
      <c r="B245" s="35"/>
      <c r="G245" s="30"/>
      <c r="H245" s="30"/>
      <c r="L245" s="30"/>
      <c r="M245" s="30"/>
      <c r="O245" s="32"/>
      <c r="P245" s="32"/>
    </row>
    <row r="246">
      <c r="B246" s="35"/>
      <c r="G246" s="30"/>
      <c r="H246" s="30"/>
      <c r="L246" s="30"/>
      <c r="M246" s="30"/>
      <c r="O246" s="32"/>
      <c r="P246" s="32"/>
    </row>
    <row r="247">
      <c r="B247" s="35"/>
      <c r="G247" s="30"/>
      <c r="H247" s="30"/>
      <c r="L247" s="30"/>
      <c r="M247" s="30"/>
      <c r="O247" s="32"/>
      <c r="P247" s="32"/>
    </row>
    <row r="248">
      <c r="B248" s="35"/>
      <c r="G248" s="30"/>
      <c r="H248" s="30"/>
      <c r="L248" s="30"/>
      <c r="M248" s="30"/>
      <c r="O248" s="32"/>
      <c r="P248" s="32"/>
    </row>
    <row r="249">
      <c r="B249" s="35"/>
      <c r="G249" s="30"/>
      <c r="H249" s="30"/>
      <c r="L249" s="30"/>
      <c r="M249" s="30"/>
      <c r="O249" s="32"/>
      <c r="P249" s="32"/>
    </row>
    <row r="250">
      <c r="B250" s="35"/>
      <c r="G250" s="30"/>
      <c r="H250" s="30"/>
      <c r="L250" s="30"/>
      <c r="M250" s="30"/>
      <c r="O250" s="32"/>
      <c r="P250" s="32"/>
    </row>
    <row r="251">
      <c r="B251" s="35"/>
      <c r="G251" s="30"/>
      <c r="H251" s="30"/>
      <c r="L251" s="30"/>
      <c r="M251" s="30"/>
      <c r="O251" s="32"/>
      <c r="P251" s="32"/>
    </row>
    <row r="252">
      <c r="B252" s="35"/>
      <c r="G252" s="30"/>
      <c r="H252" s="30"/>
      <c r="L252" s="30"/>
      <c r="M252" s="30"/>
      <c r="O252" s="32"/>
      <c r="P252" s="32"/>
    </row>
    <row r="253">
      <c r="B253" s="35"/>
      <c r="G253" s="30"/>
      <c r="H253" s="30"/>
      <c r="L253" s="30"/>
      <c r="M253" s="30"/>
      <c r="O253" s="32"/>
      <c r="P253" s="32"/>
    </row>
    <row r="254">
      <c r="B254" s="35"/>
      <c r="G254" s="30"/>
      <c r="H254" s="30"/>
      <c r="L254" s="30"/>
      <c r="M254" s="30"/>
      <c r="O254" s="32"/>
      <c r="P254" s="32"/>
    </row>
    <row r="255">
      <c r="B255" s="35"/>
      <c r="G255" s="30"/>
      <c r="H255" s="30"/>
      <c r="L255" s="30"/>
      <c r="M255" s="30"/>
      <c r="O255" s="32"/>
      <c r="P255" s="32"/>
    </row>
    <row r="256">
      <c r="B256" s="35"/>
      <c r="G256" s="30"/>
      <c r="H256" s="30"/>
      <c r="L256" s="30"/>
      <c r="M256" s="30"/>
      <c r="O256" s="32"/>
      <c r="P256" s="32"/>
    </row>
    <row r="257">
      <c r="B257" s="35"/>
      <c r="G257" s="30"/>
      <c r="H257" s="30"/>
      <c r="L257" s="30"/>
      <c r="M257" s="30"/>
      <c r="O257" s="32"/>
      <c r="P257" s="32"/>
    </row>
    <row r="258">
      <c r="B258" s="35"/>
      <c r="G258" s="30"/>
      <c r="H258" s="30"/>
      <c r="L258" s="30"/>
      <c r="M258" s="30"/>
      <c r="O258" s="32"/>
      <c r="P258" s="32"/>
    </row>
    <row r="259">
      <c r="B259" s="35"/>
      <c r="G259" s="30"/>
      <c r="H259" s="30"/>
      <c r="L259" s="30"/>
      <c r="M259" s="30"/>
      <c r="O259" s="32"/>
      <c r="P259" s="32"/>
    </row>
    <row r="260">
      <c r="B260" s="35"/>
      <c r="G260" s="30"/>
      <c r="H260" s="30"/>
      <c r="L260" s="30"/>
      <c r="M260" s="30"/>
      <c r="O260" s="32"/>
      <c r="P260" s="32"/>
    </row>
    <row r="261">
      <c r="B261" s="35"/>
      <c r="G261" s="30"/>
      <c r="H261" s="30"/>
      <c r="L261" s="30"/>
      <c r="M261" s="30"/>
      <c r="O261" s="32"/>
      <c r="P261" s="32"/>
    </row>
    <row r="262">
      <c r="B262" s="35"/>
      <c r="G262" s="30"/>
      <c r="H262" s="30"/>
      <c r="L262" s="30"/>
      <c r="M262" s="30"/>
      <c r="O262" s="32"/>
      <c r="P262" s="32"/>
    </row>
    <row r="263">
      <c r="B263" s="35"/>
      <c r="G263" s="30"/>
      <c r="H263" s="30"/>
      <c r="L263" s="30"/>
      <c r="M263" s="30"/>
      <c r="O263" s="32"/>
      <c r="P263" s="32"/>
    </row>
    <row r="264">
      <c r="B264" s="35"/>
      <c r="G264" s="30"/>
      <c r="H264" s="30"/>
      <c r="L264" s="30"/>
      <c r="M264" s="30"/>
      <c r="O264" s="32"/>
      <c r="P264" s="32"/>
    </row>
    <row r="265">
      <c r="B265" s="35"/>
      <c r="G265" s="30"/>
      <c r="H265" s="30"/>
      <c r="L265" s="30"/>
      <c r="M265" s="30"/>
      <c r="O265" s="32"/>
      <c r="P265" s="32"/>
    </row>
    <row r="266">
      <c r="B266" s="35"/>
      <c r="G266" s="30"/>
      <c r="H266" s="30"/>
      <c r="L266" s="30"/>
      <c r="M266" s="30"/>
      <c r="O266" s="32"/>
      <c r="P266" s="32"/>
    </row>
    <row r="267">
      <c r="B267" s="35"/>
      <c r="G267" s="30"/>
      <c r="H267" s="30"/>
      <c r="L267" s="30"/>
      <c r="M267" s="30"/>
      <c r="O267" s="32"/>
      <c r="P267" s="32"/>
    </row>
    <row r="268">
      <c r="B268" s="35"/>
      <c r="G268" s="30"/>
      <c r="H268" s="30"/>
      <c r="L268" s="30"/>
      <c r="M268" s="30"/>
      <c r="O268" s="32"/>
      <c r="P268" s="32"/>
    </row>
    <row r="269">
      <c r="B269" s="35"/>
      <c r="G269" s="30"/>
      <c r="H269" s="30"/>
      <c r="L269" s="30"/>
      <c r="M269" s="30"/>
      <c r="O269" s="32"/>
      <c r="P269" s="32"/>
    </row>
    <row r="270">
      <c r="B270" s="35"/>
      <c r="G270" s="30"/>
      <c r="H270" s="30"/>
      <c r="L270" s="30"/>
      <c r="M270" s="30"/>
      <c r="O270" s="32"/>
      <c r="P270" s="32"/>
    </row>
    <row r="271">
      <c r="B271" s="35"/>
      <c r="G271" s="30"/>
      <c r="H271" s="30"/>
      <c r="L271" s="30"/>
      <c r="M271" s="30"/>
      <c r="O271" s="32"/>
      <c r="P271" s="32"/>
    </row>
    <row r="272">
      <c r="B272" s="35"/>
      <c r="G272" s="30"/>
      <c r="H272" s="30"/>
      <c r="L272" s="30"/>
      <c r="M272" s="30"/>
      <c r="O272" s="32"/>
      <c r="P272" s="32"/>
    </row>
    <row r="273">
      <c r="B273" s="35"/>
      <c r="G273" s="30"/>
      <c r="H273" s="30"/>
      <c r="L273" s="30"/>
      <c r="M273" s="30"/>
      <c r="O273" s="32"/>
      <c r="P273" s="32"/>
    </row>
    <row r="274">
      <c r="B274" s="35"/>
      <c r="G274" s="30"/>
      <c r="H274" s="30"/>
      <c r="L274" s="30"/>
      <c r="M274" s="30"/>
      <c r="O274" s="32"/>
      <c r="P274" s="32"/>
    </row>
    <row r="275">
      <c r="B275" s="35"/>
      <c r="G275" s="30"/>
      <c r="H275" s="30"/>
      <c r="L275" s="30"/>
      <c r="M275" s="30"/>
      <c r="O275" s="32"/>
      <c r="P275" s="32"/>
    </row>
    <row r="276">
      <c r="B276" s="35"/>
      <c r="G276" s="30"/>
      <c r="H276" s="30"/>
      <c r="L276" s="30"/>
      <c r="M276" s="30"/>
      <c r="O276" s="32"/>
      <c r="P276" s="32"/>
    </row>
    <row r="277">
      <c r="B277" s="35"/>
      <c r="G277" s="30"/>
      <c r="H277" s="30"/>
      <c r="L277" s="30"/>
      <c r="M277" s="30"/>
      <c r="O277" s="32"/>
      <c r="P277" s="32"/>
    </row>
    <row r="278">
      <c r="B278" s="35"/>
      <c r="G278" s="30"/>
      <c r="H278" s="30"/>
      <c r="L278" s="30"/>
      <c r="M278" s="30"/>
      <c r="O278" s="32"/>
      <c r="P278" s="32"/>
    </row>
    <row r="279">
      <c r="B279" s="35"/>
      <c r="G279" s="30"/>
      <c r="H279" s="30"/>
      <c r="L279" s="30"/>
      <c r="M279" s="30"/>
      <c r="O279" s="32"/>
      <c r="P279" s="32"/>
    </row>
    <row r="280">
      <c r="B280" s="35"/>
      <c r="G280" s="30"/>
      <c r="H280" s="30"/>
      <c r="L280" s="30"/>
      <c r="M280" s="30"/>
      <c r="O280" s="32"/>
      <c r="P280" s="32"/>
    </row>
    <row r="281">
      <c r="B281" s="35"/>
      <c r="G281" s="30"/>
      <c r="H281" s="30"/>
      <c r="L281" s="30"/>
      <c r="M281" s="30"/>
      <c r="O281" s="32"/>
      <c r="P281" s="32"/>
    </row>
    <row r="282">
      <c r="B282" s="35"/>
      <c r="G282" s="30"/>
      <c r="H282" s="30"/>
      <c r="L282" s="30"/>
      <c r="M282" s="30"/>
      <c r="O282" s="32"/>
      <c r="P282" s="32"/>
    </row>
    <row r="283">
      <c r="B283" s="35"/>
      <c r="G283" s="30"/>
      <c r="H283" s="30"/>
      <c r="L283" s="30"/>
      <c r="M283" s="30"/>
      <c r="O283" s="32"/>
      <c r="P283" s="32"/>
    </row>
    <row r="284">
      <c r="B284" s="35"/>
      <c r="G284" s="30"/>
      <c r="H284" s="30"/>
      <c r="L284" s="30"/>
      <c r="M284" s="30"/>
      <c r="O284" s="32"/>
      <c r="P284" s="32"/>
    </row>
    <row r="285">
      <c r="B285" s="35"/>
      <c r="G285" s="30"/>
      <c r="H285" s="30"/>
      <c r="L285" s="30"/>
      <c r="M285" s="30"/>
      <c r="O285" s="32"/>
      <c r="P285" s="32"/>
    </row>
    <row r="286">
      <c r="B286" s="35"/>
      <c r="G286" s="30"/>
      <c r="H286" s="30"/>
      <c r="L286" s="30"/>
      <c r="M286" s="30"/>
      <c r="O286" s="32"/>
      <c r="P286" s="32"/>
    </row>
    <row r="287">
      <c r="B287" s="35"/>
      <c r="G287" s="30"/>
      <c r="H287" s="30"/>
      <c r="L287" s="30"/>
      <c r="M287" s="30"/>
      <c r="O287" s="32"/>
      <c r="P287" s="32"/>
    </row>
    <row r="288">
      <c r="B288" s="35"/>
      <c r="G288" s="30"/>
      <c r="H288" s="30"/>
      <c r="L288" s="30"/>
      <c r="M288" s="30"/>
      <c r="O288" s="32"/>
      <c r="P288" s="32"/>
    </row>
    <row r="289">
      <c r="B289" s="35"/>
      <c r="G289" s="30"/>
      <c r="H289" s="30"/>
      <c r="L289" s="30"/>
      <c r="M289" s="30"/>
      <c r="O289" s="32"/>
      <c r="P289" s="32"/>
    </row>
    <row r="290">
      <c r="B290" s="35"/>
      <c r="G290" s="30"/>
      <c r="H290" s="30"/>
      <c r="L290" s="30"/>
      <c r="M290" s="30"/>
      <c r="O290" s="32"/>
      <c r="P290" s="32"/>
    </row>
    <row r="291">
      <c r="B291" s="35"/>
      <c r="G291" s="30"/>
      <c r="H291" s="30"/>
      <c r="L291" s="30"/>
      <c r="M291" s="30"/>
      <c r="O291" s="32"/>
      <c r="P291" s="32"/>
    </row>
    <row r="292">
      <c r="B292" s="35"/>
      <c r="G292" s="30"/>
      <c r="H292" s="30"/>
      <c r="L292" s="30"/>
      <c r="M292" s="30"/>
      <c r="O292" s="32"/>
      <c r="P292" s="32"/>
    </row>
    <row r="293">
      <c r="B293" s="35"/>
      <c r="G293" s="30"/>
      <c r="H293" s="30"/>
      <c r="L293" s="30"/>
      <c r="M293" s="30"/>
      <c r="O293" s="32"/>
      <c r="P293" s="32"/>
    </row>
    <row r="294">
      <c r="B294" s="35"/>
      <c r="G294" s="30"/>
      <c r="H294" s="30"/>
      <c r="L294" s="30"/>
      <c r="M294" s="30"/>
      <c r="O294" s="32"/>
      <c r="P294" s="32"/>
    </row>
    <row r="295">
      <c r="B295" s="35"/>
      <c r="G295" s="30"/>
      <c r="H295" s="30"/>
      <c r="L295" s="30"/>
      <c r="M295" s="30"/>
      <c r="O295" s="32"/>
      <c r="P295" s="32"/>
    </row>
    <row r="296">
      <c r="B296" s="35"/>
      <c r="G296" s="30"/>
      <c r="H296" s="30"/>
      <c r="L296" s="30"/>
      <c r="M296" s="30"/>
      <c r="O296" s="32"/>
      <c r="P296" s="32"/>
    </row>
    <row r="297">
      <c r="B297" s="35"/>
      <c r="G297" s="30"/>
      <c r="H297" s="30"/>
      <c r="L297" s="30"/>
      <c r="M297" s="30"/>
      <c r="O297" s="32"/>
      <c r="P297" s="32"/>
    </row>
    <row r="298">
      <c r="B298" s="35"/>
      <c r="G298" s="30"/>
      <c r="H298" s="30"/>
      <c r="L298" s="30"/>
      <c r="M298" s="30"/>
      <c r="O298" s="32"/>
      <c r="P298" s="32"/>
    </row>
    <row r="299">
      <c r="B299" s="35"/>
      <c r="G299" s="30"/>
      <c r="H299" s="30"/>
      <c r="L299" s="30"/>
      <c r="M299" s="30"/>
      <c r="O299" s="32"/>
      <c r="P299" s="32"/>
    </row>
    <row r="300">
      <c r="B300" s="35"/>
      <c r="G300" s="30"/>
      <c r="H300" s="30"/>
      <c r="L300" s="30"/>
      <c r="M300" s="30"/>
      <c r="O300" s="32"/>
      <c r="P300" s="32"/>
    </row>
    <row r="301">
      <c r="B301" s="35"/>
      <c r="G301" s="30"/>
      <c r="H301" s="30"/>
      <c r="L301" s="30"/>
      <c r="M301" s="30"/>
      <c r="O301" s="32"/>
      <c r="P301" s="32"/>
    </row>
    <row r="302">
      <c r="B302" s="35"/>
      <c r="G302" s="30"/>
      <c r="H302" s="30"/>
      <c r="L302" s="30"/>
      <c r="M302" s="30"/>
      <c r="O302" s="32"/>
      <c r="P302" s="32"/>
    </row>
    <row r="303">
      <c r="B303" s="35"/>
      <c r="G303" s="30"/>
      <c r="H303" s="30"/>
      <c r="L303" s="30"/>
      <c r="M303" s="30"/>
      <c r="O303" s="32"/>
      <c r="P303" s="32"/>
    </row>
    <row r="304">
      <c r="B304" s="35"/>
      <c r="G304" s="30"/>
      <c r="H304" s="30"/>
      <c r="L304" s="30"/>
      <c r="M304" s="30"/>
      <c r="O304" s="32"/>
      <c r="P304" s="32"/>
    </row>
    <row r="305">
      <c r="B305" s="35"/>
      <c r="G305" s="30"/>
      <c r="H305" s="30"/>
      <c r="L305" s="30"/>
      <c r="M305" s="30"/>
      <c r="O305" s="32"/>
      <c r="P305" s="32"/>
    </row>
    <row r="306">
      <c r="B306" s="35"/>
      <c r="G306" s="30"/>
      <c r="H306" s="30"/>
      <c r="L306" s="30"/>
      <c r="M306" s="30"/>
      <c r="O306" s="32"/>
      <c r="P306" s="32"/>
    </row>
    <row r="307">
      <c r="B307" s="35"/>
      <c r="G307" s="30"/>
      <c r="H307" s="30"/>
      <c r="L307" s="30"/>
      <c r="M307" s="30"/>
      <c r="O307" s="32"/>
      <c r="P307" s="32"/>
    </row>
    <row r="308">
      <c r="B308" s="35"/>
      <c r="G308" s="30"/>
      <c r="H308" s="30"/>
      <c r="L308" s="30"/>
      <c r="M308" s="30"/>
      <c r="O308" s="32"/>
      <c r="P308" s="32"/>
    </row>
    <row r="309">
      <c r="B309" s="35"/>
      <c r="G309" s="30"/>
      <c r="H309" s="30"/>
      <c r="L309" s="30"/>
      <c r="M309" s="30"/>
      <c r="O309" s="32"/>
      <c r="P309" s="32"/>
    </row>
    <row r="310">
      <c r="B310" s="35"/>
      <c r="G310" s="30"/>
      <c r="H310" s="30"/>
      <c r="L310" s="30"/>
      <c r="M310" s="30"/>
      <c r="O310" s="32"/>
      <c r="P310" s="32"/>
    </row>
    <row r="311">
      <c r="B311" s="35"/>
      <c r="G311" s="30"/>
      <c r="H311" s="30"/>
      <c r="L311" s="30"/>
      <c r="M311" s="30"/>
      <c r="O311" s="32"/>
      <c r="P311" s="32"/>
    </row>
    <row r="312">
      <c r="B312" s="35"/>
      <c r="G312" s="30"/>
      <c r="H312" s="30"/>
      <c r="L312" s="30"/>
      <c r="M312" s="30"/>
      <c r="O312" s="32"/>
      <c r="P312" s="32"/>
    </row>
    <row r="313">
      <c r="B313" s="35"/>
      <c r="G313" s="30"/>
      <c r="H313" s="30"/>
      <c r="L313" s="30"/>
      <c r="M313" s="30"/>
      <c r="O313" s="32"/>
      <c r="P313" s="32"/>
    </row>
    <row r="314">
      <c r="B314" s="35"/>
      <c r="G314" s="30"/>
      <c r="H314" s="30"/>
      <c r="L314" s="30"/>
      <c r="M314" s="30"/>
      <c r="O314" s="32"/>
      <c r="P314" s="32"/>
    </row>
    <row r="315">
      <c r="B315" s="35"/>
      <c r="G315" s="30"/>
      <c r="H315" s="30"/>
      <c r="L315" s="30"/>
      <c r="M315" s="30"/>
      <c r="O315" s="32"/>
      <c r="P315" s="32"/>
    </row>
    <row r="316">
      <c r="B316" s="35"/>
      <c r="G316" s="30"/>
      <c r="H316" s="30"/>
      <c r="L316" s="30"/>
      <c r="M316" s="30"/>
      <c r="O316" s="32"/>
      <c r="P316" s="32"/>
    </row>
    <row r="317">
      <c r="B317" s="35"/>
      <c r="G317" s="30"/>
      <c r="H317" s="30"/>
      <c r="L317" s="30"/>
      <c r="M317" s="30"/>
      <c r="O317" s="32"/>
      <c r="P317" s="32"/>
    </row>
    <row r="318">
      <c r="B318" s="35"/>
      <c r="G318" s="30"/>
      <c r="H318" s="30"/>
      <c r="L318" s="30"/>
      <c r="M318" s="30"/>
      <c r="O318" s="32"/>
      <c r="P318" s="32"/>
    </row>
    <row r="319">
      <c r="B319" s="35"/>
      <c r="G319" s="30"/>
      <c r="H319" s="30"/>
      <c r="L319" s="30"/>
      <c r="M319" s="30"/>
      <c r="O319" s="32"/>
      <c r="P319" s="32"/>
    </row>
    <row r="320">
      <c r="B320" s="35"/>
      <c r="G320" s="30"/>
      <c r="H320" s="30"/>
      <c r="L320" s="30"/>
      <c r="M320" s="30"/>
      <c r="O320" s="32"/>
      <c r="P320" s="32"/>
    </row>
    <row r="321">
      <c r="B321" s="35"/>
      <c r="G321" s="30"/>
      <c r="H321" s="30"/>
      <c r="L321" s="30"/>
      <c r="M321" s="30"/>
      <c r="O321" s="32"/>
      <c r="P321" s="32"/>
    </row>
    <row r="322">
      <c r="B322" s="35"/>
      <c r="G322" s="30"/>
      <c r="H322" s="30"/>
      <c r="L322" s="30"/>
      <c r="M322" s="30"/>
      <c r="O322" s="32"/>
      <c r="P322" s="32"/>
    </row>
    <row r="323">
      <c r="B323" s="35"/>
      <c r="G323" s="30"/>
      <c r="H323" s="30"/>
      <c r="L323" s="30"/>
      <c r="M323" s="30"/>
      <c r="O323" s="32"/>
      <c r="P323" s="32"/>
    </row>
    <row r="324">
      <c r="B324" s="35"/>
      <c r="G324" s="30"/>
      <c r="H324" s="30"/>
      <c r="L324" s="30"/>
      <c r="M324" s="30"/>
      <c r="O324" s="32"/>
      <c r="P324" s="32"/>
    </row>
    <row r="325">
      <c r="B325" s="35"/>
      <c r="G325" s="30"/>
      <c r="H325" s="30"/>
      <c r="L325" s="30"/>
      <c r="M325" s="30"/>
      <c r="O325" s="32"/>
      <c r="P325" s="32"/>
    </row>
    <row r="326">
      <c r="B326" s="35"/>
      <c r="G326" s="30"/>
      <c r="H326" s="30"/>
      <c r="L326" s="30"/>
      <c r="M326" s="30"/>
      <c r="O326" s="32"/>
      <c r="P326" s="32"/>
    </row>
    <row r="327">
      <c r="B327" s="35"/>
      <c r="G327" s="30"/>
      <c r="H327" s="30"/>
      <c r="L327" s="30"/>
      <c r="M327" s="30"/>
      <c r="O327" s="32"/>
      <c r="P327" s="32"/>
    </row>
    <row r="328">
      <c r="B328" s="35"/>
      <c r="G328" s="30"/>
      <c r="H328" s="30"/>
      <c r="L328" s="30"/>
      <c r="M328" s="30"/>
      <c r="O328" s="32"/>
      <c r="P328" s="32"/>
    </row>
    <row r="329">
      <c r="B329" s="35"/>
      <c r="G329" s="30"/>
      <c r="H329" s="30"/>
      <c r="L329" s="30"/>
      <c r="M329" s="30"/>
      <c r="O329" s="32"/>
      <c r="P329" s="32"/>
    </row>
    <row r="330">
      <c r="B330" s="35"/>
      <c r="G330" s="30"/>
      <c r="H330" s="30"/>
      <c r="L330" s="30"/>
      <c r="M330" s="30"/>
      <c r="O330" s="32"/>
      <c r="P330" s="32"/>
    </row>
    <row r="331">
      <c r="B331" s="35"/>
      <c r="G331" s="30"/>
      <c r="H331" s="30"/>
      <c r="L331" s="30"/>
      <c r="M331" s="30"/>
      <c r="O331" s="32"/>
      <c r="P331" s="32"/>
    </row>
    <row r="332">
      <c r="B332" s="35"/>
      <c r="G332" s="30"/>
      <c r="H332" s="30"/>
      <c r="L332" s="30"/>
      <c r="M332" s="30"/>
      <c r="O332" s="32"/>
      <c r="P332" s="32"/>
    </row>
    <row r="333">
      <c r="B333" s="35"/>
      <c r="G333" s="30"/>
      <c r="H333" s="30"/>
      <c r="L333" s="30"/>
      <c r="M333" s="30"/>
      <c r="O333" s="32"/>
      <c r="P333" s="32"/>
    </row>
    <row r="334">
      <c r="B334" s="35"/>
      <c r="G334" s="30"/>
      <c r="H334" s="30"/>
      <c r="L334" s="30"/>
      <c r="M334" s="30"/>
      <c r="O334" s="32"/>
      <c r="P334" s="32"/>
    </row>
    <row r="335">
      <c r="B335" s="35"/>
      <c r="G335" s="30"/>
      <c r="H335" s="30"/>
      <c r="L335" s="30"/>
      <c r="M335" s="30"/>
      <c r="O335" s="32"/>
      <c r="P335" s="32"/>
    </row>
    <row r="336">
      <c r="B336" s="35"/>
      <c r="G336" s="30"/>
      <c r="H336" s="30"/>
      <c r="L336" s="30"/>
      <c r="M336" s="30"/>
      <c r="O336" s="32"/>
      <c r="P336" s="32"/>
    </row>
    <row r="337">
      <c r="B337" s="35"/>
      <c r="G337" s="30"/>
      <c r="H337" s="30"/>
      <c r="L337" s="30"/>
      <c r="M337" s="30"/>
      <c r="O337" s="32"/>
      <c r="P337" s="32"/>
    </row>
    <row r="338">
      <c r="B338" s="35"/>
      <c r="G338" s="30"/>
      <c r="H338" s="30"/>
      <c r="L338" s="30"/>
      <c r="M338" s="30"/>
      <c r="O338" s="32"/>
      <c r="P338" s="32"/>
    </row>
    <row r="339">
      <c r="B339" s="35"/>
      <c r="G339" s="30"/>
      <c r="H339" s="30"/>
      <c r="L339" s="30"/>
      <c r="M339" s="30"/>
      <c r="O339" s="32"/>
      <c r="P339" s="32"/>
    </row>
    <row r="340">
      <c r="B340" s="35"/>
      <c r="G340" s="30"/>
      <c r="H340" s="30"/>
      <c r="L340" s="30"/>
      <c r="M340" s="30"/>
      <c r="O340" s="32"/>
      <c r="P340" s="32"/>
    </row>
    <row r="341">
      <c r="B341" s="35"/>
      <c r="G341" s="30"/>
      <c r="H341" s="30"/>
      <c r="L341" s="30"/>
      <c r="M341" s="30"/>
      <c r="O341" s="32"/>
      <c r="P341" s="32"/>
    </row>
    <row r="342">
      <c r="B342" s="35"/>
      <c r="G342" s="30"/>
      <c r="H342" s="30"/>
      <c r="L342" s="30"/>
      <c r="M342" s="30"/>
      <c r="O342" s="32"/>
      <c r="P342" s="32"/>
    </row>
    <row r="343">
      <c r="B343" s="35"/>
      <c r="G343" s="30"/>
      <c r="H343" s="30"/>
      <c r="L343" s="30"/>
      <c r="M343" s="30"/>
      <c r="O343" s="32"/>
      <c r="P343" s="32"/>
    </row>
    <row r="344">
      <c r="B344" s="35"/>
      <c r="G344" s="30"/>
      <c r="H344" s="30"/>
      <c r="L344" s="30"/>
      <c r="M344" s="30"/>
      <c r="O344" s="32"/>
      <c r="P344" s="32"/>
    </row>
    <row r="345">
      <c r="B345" s="35"/>
      <c r="G345" s="30"/>
      <c r="H345" s="30"/>
      <c r="L345" s="30"/>
      <c r="M345" s="30"/>
      <c r="O345" s="32"/>
      <c r="P345" s="32"/>
    </row>
    <row r="346">
      <c r="B346" s="35"/>
      <c r="G346" s="30"/>
      <c r="H346" s="30"/>
      <c r="L346" s="30"/>
      <c r="M346" s="30"/>
      <c r="O346" s="32"/>
      <c r="P346" s="32"/>
    </row>
    <row r="347">
      <c r="B347" s="35"/>
      <c r="G347" s="30"/>
      <c r="H347" s="30"/>
      <c r="L347" s="30"/>
      <c r="M347" s="30"/>
      <c r="O347" s="32"/>
      <c r="P347" s="32"/>
    </row>
    <row r="348">
      <c r="B348" s="35"/>
      <c r="G348" s="30"/>
      <c r="H348" s="30"/>
      <c r="L348" s="30"/>
      <c r="M348" s="30"/>
      <c r="O348" s="32"/>
      <c r="P348" s="32"/>
    </row>
    <row r="349">
      <c r="B349" s="35"/>
      <c r="G349" s="30"/>
      <c r="H349" s="30"/>
      <c r="L349" s="30"/>
      <c r="M349" s="30"/>
      <c r="O349" s="32"/>
      <c r="P349" s="32"/>
    </row>
    <row r="350">
      <c r="B350" s="35"/>
      <c r="G350" s="30"/>
      <c r="H350" s="30"/>
      <c r="L350" s="30"/>
      <c r="M350" s="30"/>
      <c r="O350" s="32"/>
      <c r="P350" s="32"/>
    </row>
    <row r="351">
      <c r="B351" s="35"/>
      <c r="G351" s="30"/>
      <c r="H351" s="30"/>
      <c r="L351" s="30"/>
      <c r="M351" s="30"/>
      <c r="O351" s="32"/>
      <c r="P351" s="32"/>
    </row>
    <row r="352">
      <c r="B352" s="35"/>
      <c r="G352" s="30"/>
      <c r="H352" s="30"/>
      <c r="L352" s="30"/>
      <c r="M352" s="30"/>
      <c r="O352" s="32"/>
      <c r="P352" s="32"/>
    </row>
    <row r="353">
      <c r="B353" s="35"/>
      <c r="G353" s="30"/>
      <c r="H353" s="30"/>
      <c r="L353" s="30"/>
      <c r="M353" s="30"/>
      <c r="O353" s="32"/>
      <c r="P353" s="32"/>
    </row>
    <row r="354">
      <c r="B354" s="35"/>
      <c r="G354" s="30"/>
      <c r="H354" s="30"/>
      <c r="L354" s="30"/>
      <c r="M354" s="30"/>
      <c r="O354" s="32"/>
      <c r="P354" s="32"/>
    </row>
    <row r="355">
      <c r="B355" s="35"/>
      <c r="G355" s="30"/>
      <c r="H355" s="30"/>
      <c r="L355" s="30"/>
      <c r="M355" s="30"/>
      <c r="O355" s="32"/>
      <c r="P355" s="32"/>
    </row>
    <row r="356">
      <c r="B356" s="35"/>
      <c r="G356" s="30"/>
      <c r="H356" s="30"/>
      <c r="L356" s="30"/>
      <c r="M356" s="30"/>
      <c r="O356" s="32"/>
      <c r="P356" s="32"/>
    </row>
    <row r="357">
      <c r="B357" s="35"/>
      <c r="G357" s="30"/>
      <c r="H357" s="30"/>
      <c r="L357" s="30"/>
      <c r="M357" s="30"/>
      <c r="O357" s="32"/>
      <c r="P357" s="32"/>
    </row>
    <row r="358">
      <c r="B358" s="35"/>
      <c r="G358" s="30"/>
      <c r="H358" s="30"/>
      <c r="L358" s="30"/>
      <c r="M358" s="30"/>
      <c r="O358" s="32"/>
      <c r="P358" s="32"/>
    </row>
    <row r="359">
      <c r="B359" s="35"/>
      <c r="G359" s="30"/>
      <c r="H359" s="30"/>
      <c r="L359" s="30"/>
      <c r="M359" s="30"/>
      <c r="O359" s="32"/>
      <c r="P359" s="32"/>
    </row>
    <row r="360">
      <c r="B360" s="35"/>
      <c r="G360" s="30"/>
      <c r="H360" s="30"/>
      <c r="L360" s="30"/>
      <c r="M360" s="30"/>
      <c r="O360" s="32"/>
      <c r="P360" s="32"/>
    </row>
    <row r="361">
      <c r="B361" s="35"/>
      <c r="G361" s="30"/>
      <c r="H361" s="30"/>
      <c r="L361" s="30"/>
      <c r="M361" s="30"/>
      <c r="O361" s="32"/>
      <c r="P361" s="32"/>
    </row>
    <row r="362">
      <c r="B362" s="35"/>
      <c r="G362" s="30"/>
      <c r="H362" s="30"/>
      <c r="L362" s="30"/>
      <c r="M362" s="30"/>
      <c r="O362" s="32"/>
      <c r="P362" s="32"/>
    </row>
    <row r="363">
      <c r="B363" s="35"/>
      <c r="G363" s="30"/>
      <c r="H363" s="30"/>
      <c r="L363" s="30"/>
      <c r="M363" s="30"/>
      <c r="O363" s="32"/>
      <c r="P363" s="32"/>
    </row>
    <row r="364">
      <c r="B364" s="35"/>
      <c r="G364" s="30"/>
      <c r="H364" s="30"/>
      <c r="L364" s="30"/>
      <c r="M364" s="30"/>
      <c r="O364" s="32"/>
      <c r="P364" s="32"/>
    </row>
    <row r="365">
      <c r="B365" s="35"/>
      <c r="G365" s="30"/>
      <c r="H365" s="30"/>
      <c r="L365" s="30"/>
      <c r="M365" s="30"/>
      <c r="O365" s="32"/>
      <c r="P365" s="32"/>
    </row>
    <row r="366">
      <c r="B366" s="35"/>
      <c r="G366" s="30"/>
      <c r="H366" s="30"/>
      <c r="L366" s="30"/>
      <c r="M366" s="30"/>
      <c r="O366" s="32"/>
      <c r="P366" s="32"/>
    </row>
    <row r="367">
      <c r="B367" s="35"/>
      <c r="G367" s="30"/>
      <c r="H367" s="30"/>
      <c r="L367" s="30"/>
      <c r="M367" s="30"/>
      <c r="O367" s="32"/>
      <c r="P367" s="32"/>
    </row>
    <row r="368">
      <c r="B368" s="35"/>
      <c r="G368" s="30"/>
      <c r="H368" s="30"/>
      <c r="L368" s="30"/>
      <c r="M368" s="30"/>
      <c r="O368" s="32"/>
      <c r="P368" s="32"/>
    </row>
    <row r="369">
      <c r="B369" s="35"/>
      <c r="G369" s="30"/>
      <c r="H369" s="30"/>
      <c r="L369" s="30"/>
      <c r="M369" s="30"/>
      <c r="O369" s="32"/>
      <c r="P369" s="32"/>
    </row>
    <row r="370">
      <c r="B370" s="35"/>
      <c r="G370" s="30"/>
      <c r="H370" s="30"/>
      <c r="L370" s="30"/>
      <c r="M370" s="30"/>
      <c r="O370" s="32"/>
      <c r="P370" s="32"/>
    </row>
    <row r="371">
      <c r="B371" s="35"/>
      <c r="G371" s="30"/>
      <c r="H371" s="30"/>
      <c r="L371" s="30"/>
      <c r="M371" s="30"/>
      <c r="O371" s="32"/>
      <c r="P371" s="32"/>
    </row>
    <row r="372">
      <c r="B372" s="35"/>
      <c r="G372" s="30"/>
      <c r="H372" s="30"/>
      <c r="L372" s="30"/>
      <c r="M372" s="30"/>
      <c r="O372" s="32"/>
      <c r="P372" s="32"/>
    </row>
    <row r="373">
      <c r="B373" s="35"/>
      <c r="G373" s="30"/>
      <c r="H373" s="30"/>
      <c r="L373" s="30"/>
      <c r="M373" s="30"/>
      <c r="O373" s="32"/>
      <c r="P373" s="32"/>
    </row>
    <row r="374">
      <c r="B374" s="35"/>
      <c r="G374" s="30"/>
      <c r="H374" s="30"/>
      <c r="L374" s="30"/>
      <c r="M374" s="30"/>
      <c r="O374" s="32"/>
      <c r="P374" s="32"/>
    </row>
    <row r="375">
      <c r="B375" s="35"/>
      <c r="G375" s="30"/>
      <c r="H375" s="30"/>
      <c r="L375" s="30"/>
      <c r="M375" s="30"/>
      <c r="O375" s="32"/>
      <c r="P375" s="32"/>
    </row>
    <row r="376">
      <c r="B376" s="35"/>
      <c r="G376" s="30"/>
      <c r="H376" s="30"/>
      <c r="L376" s="30"/>
      <c r="M376" s="30"/>
      <c r="O376" s="32"/>
      <c r="P376" s="32"/>
    </row>
    <row r="377">
      <c r="B377" s="35"/>
      <c r="G377" s="30"/>
      <c r="H377" s="30"/>
      <c r="L377" s="30"/>
      <c r="M377" s="30"/>
      <c r="O377" s="32"/>
      <c r="P377" s="32"/>
    </row>
    <row r="378">
      <c r="B378" s="35"/>
      <c r="G378" s="30"/>
      <c r="H378" s="30"/>
      <c r="L378" s="30"/>
      <c r="M378" s="30"/>
      <c r="O378" s="32"/>
      <c r="P378" s="32"/>
    </row>
    <row r="379">
      <c r="B379" s="35"/>
      <c r="G379" s="30"/>
      <c r="H379" s="30"/>
      <c r="L379" s="30"/>
      <c r="M379" s="30"/>
      <c r="O379" s="32"/>
      <c r="P379" s="32"/>
    </row>
    <row r="380">
      <c r="B380" s="35"/>
      <c r="G380" s="30"/>
      <c r="H380" s="30"/>
      <c r="L380" s="30"/>
      <c r="M380" s="30"/>
      <c r="O380" s="32"/>
      <c r="P380" s="32"/>
    </row>
    <row r="381">
      <c r="B381" s="35"/>
      <c r="G381" s="30"/>
      <c r="H381" s="30"/>
      <c r="L381" s="30"/>
      <c r="M381" s="30"/>
      <c r="O381" s="32"/>
      <c r="P381" s="32"/>
    </row>
    <row r="382">
      <c r="B382" s="35"/>
      <c r="G382" s="30"/>
      <c r="H382" s="30"/>
      <c r="L382" s="30"/>
      <c r="M382" s="30"/>
      <c r="O382" s="32"/>
      <c r="P382" s="32"/>
    </row>
    <row r="383">
      <c r="B383" s="35"/>
      <c r="G383" s="30"/>
      <c r="H383" s="30"/>
      <c r="L383" s="30"/>
      <c r="M383" s="30"/>
      <c r="O383" s="32"/>
      <c r="P383" s="32"/>
    </row>
    <row r="384">
      <c r="B384" s="35"/>
      <c r="G384" s="30"/>
      <c r="H384" s="30"/>
      <c r="L384" s="30"/>
      <c r="M384" s="30"/>
      <c r="O384" s="32"/>
      <c r="P384" s="32"/>
    </row>
    <row r="385">
      <c r="B385" s="35"/>
      <c r="G385" s="30"/>
      <c r="H385" s="30"/>
      <c r="L385" s="30"/>
      <c r="M385" s="30"/>
      <c r="O385" s="32"/>
      <c r="P385" s="32"/>
    </row>
    <row r="386">
      <c r="B386" s="35"/>
      <c r="G386" s="30"/>
      <c r="H386" s="30"/>
      <c r="L386" s="30"/>
      <c r="M386" s="30"/>
      <c r="O386" s="32"/>
      <c r="P386" s="32"/>
    </row>
    <row r="387">
      <c r="B387" s="35"/>
      <c r="G387" s="30"/>
      <c r="H387" s="30"/>
      <c r="L387" s="30"/>
      <c r="M387" s="30"/>
      <c r="O387" s="32"/>
      <c r="P387" s="32"/>
    </row>
    <row r="388">
      <c r="B388" s="35"/>
      <c r="G388" s="30"/>
      <c r="H388" s="30"/>
      <c r="L388" s="30"/>
      <c r="M388" s="30"/>
      <c r="O388" s="32"/>
      <c r="P388" s="32"/>
    </row>
    <row r="389">
      <c r="B389" s="35"/>
      <c r="G389" s="30"/>
      <c r="H389" s="30"/>
      <c r="L389" s="30"/>
      <c r="M389" s="30"/>
      <c r="O389" s="32"/>
      <c r="P389" s="32"/>
    </row>
    <row r="390">
      <c r="B390" s="35"/>
      <c r="G390" s="30"/>
      <c r="H390" s="30"/>
      <c r="L390" s="30"/>
      <c r="M390" s="30"/>
      <c r="O390" s="32"/>
      <c r="P390" s="32"/>
    </row>
    <row r="391">
      <c r="B391" s="35"/>
      <c r="G391" s="30"/>
      <c r="H391" s="30"/>
      <c r="L391" s="30"/>
      <c r="M391" s="30"/>
      <c r="O391" s="32"/>
      <c r="P391" s="32"/>
    </row>
    <row r="392">
      <c r="B392" s="35"/>
      <c r="G392" s="30"/>
      <c r="H392" s="30"/>
      <c r="L392" s="30"/>
      <c r="M392" s="30"/>
      <c r="O392" s="32"/>
      <c r="P392" s="32"/>
    </row>
    <row r="393">
      <c r="B393" s="35"/>
      <c r="G393" s="30"/>
      <c r="H393" s="30"/>
      <c r="L393" s="30"/>
      <c r="M393" s="30"/>
      <c r="O393" s="32"/>
      <c r="P393" s="32"/>
    </row>
    <row r="394">
      <c r="B394" s="35"/>
      <c r="G394" s="30"/>
      <c r="H394" s="30"/>
      <c r="L394" s="30"/>
      <c r="M394" s="30"/>
      <c r="O394" s="32"/>
      <c r="P394" s="32"/>
    </row>
    <row r="395">
      <c r="B395" s="35"/>
      <c r="G395" s="30"/>
      <c r="H395" s="30"/>
      <c r="L395" s="30"/>
      <c r="M395" s="30"/>
      <c r="O395" s="32"/>
      <c r="P395" s="32"/>
    </row>
    <row r="396">
      <c r="B396" s="35"/>
      <c r="G396" s="30"/>
      <c r="H396" s="30"/>
      <c r="L396" s="30"/>
      <c r="M396" s="30"/>
      <c r="O396" s="32"/>
      <c r="P396" s="32"/>
    </row>
    <row r="397">
      <c r="B397" s="35"/>
      <c r="G397" s="30"/>
      <c r="H397" s="30"/>
      <c r="L397" s="30"/>
      <c r="M397" s="30"/>
      <c r="O397" s="32"/>
      <c r="P397" s="32"/>
    </row>
    <row r="398">
      <c r="B398" s="35"/>
      <c r="G398" s="30"/>
      <c r="H398" s="30"/>
      <c r="L398" s="30"/>
      <c r="M398" s="30"/>
      <c r="O398" s="32"/>
      <c r="P398" s="32"/>
    </row>
    <row r="399">
      <c r="B399" s="35"/>
      <c r="G399" s="30"/>
      <c r="H399" s="30"/>
      <c r="L399" s="30"/>
      <c r="M399" s="30"/>
      <c r="O399" s="32"/>
      <c r="P399" s="32"/>
    </row>
    <row r="400">
      <c r="B400" s="35"/>
      <c r="G400" s="30"/>
      <c r="H400" s="30"/>
      <c r="L400" s="30"/>
      <c r="M400" s="30"/>
      <c r="O400" s="32"/>
      <c r="P400" s="32"/>
    </row>
    <row r="401">
      <c r="B401" s="35"/>
      <c r="G401" s="30"/>
      <c r="H401" s="30"/>
      <c r="L401" s="30"/>
      <c r="M401" s="30"/>
      <c r="O401" s="32"/>
      <c r="P401" s="32"/>
    </row>
    <row r="402">
      <c r="B402" s="35"/>
      <c r="G402" s="30"/>
      <c r="H402" s="30"/>
      <c r="L402" s="30"/>
      <c r="M402" s="30"/>
      <c r="O402" s="32"/>
      <c r="P402" s="32"/>
    </row>
    <row r="403">
      <c r="B403" s="35"/>
      <c r="G403" s="30"/>
      <c r="H403" s="30"/>
      <c r="L403" s="30"/>
      <c r="M403" s="30"/>
      <c r="O403" s="32"/>
      <c r="P403" s="32"/>
    </row>
    <row r="404">
      <c r="B404" s="35"/>
      <c r="G404" s="30"/>
      <c r="H404" s="30"/>
      <c r="L404" s="30"/>
      <c r="M404" s="30"/>
      <c r="O404" s="32"/>
      <c r="P404" s="32"/>
    </row>
    <row r="405">
      <c r="B405" s="35"/>
      <c r="G405" s="30"/>
      <c r="H405" s="30"/>
      <c r="L405" s="30"/>
      <c r="M405" s="30"/>
      <c r="O405" s="32"/>
      <c r="P405" s="32"/>
    </row>
    <row r="406">
      <c r="B406" s="35"/>
      <c r="G406" s="30"/>
      <c r="H406" s="30"/>
      <c r="L406" s="30"/>
      <c r="M406" s="30"/>
      <c r="O406" s="32"/>
      <c r="P406" s="32"/>
    </row>
    <row r="407">
      <c r="B407" s="35"/>
      <c r="G407" s="30"/>
      <c r="H407" s="30"/>
      <c r="L407" s="30"/>
      <c r="M407" s="30"/>
      <c r="O407" s="32"/>
      <c r="P407" s="32"/>
    </row>
    <row r="408">
      <c r="B408" s="35"/>
      <c r="G408" s="30"/>
      <c r="H408" s="30"/>
      <c r="L408" s="30"/>
      <c r="M408" s="30"/>
      <c r="O408" s="32"/>
      <c r="P408" s="32"/>
    </row>
    <row r="409">
      <c r="B409" s="35"/>
      <c r="G409" s="30"/>
      <c r="H409" s="30"/>
      <c r="L409" s="30"/>
      <c r="M409" s="30"/>
      <c r="O409" s="32"/>
      <c r="P409" s="32"/>
    </row>
    <row r="410">
      <c r="B410" s="35"/>
      <c r="G410" s="30"/>
      <c r="H410" s="30"/>
      <c r="L410" s="30"/>
      <c r="M410" s="30"/>
      <c r="O410" s="32"/>
      <c r="P410" s="32"/>
    </row>
    <row r="411">
      <c r="B411" s="35"/>
      <c r="G411" s="30"/>
      <c r="H411" s="30"/>
      <c r="L411" s="30"/>
      <c r="M411" s="30"/>
      <c r="O411" s="32"/>
      <c r="P411" s="32"/>
    </row>
    <row r="412">
      <c r="B412" s="35"/>
      <c r="G412" s="30"/>
      <c r="H412" s="30"/>
      <c r="L412" s="30"/>
      <c r="M412" s="30"/>
      <c r="O412" s="32"/>
      <c r="P412" s="32"/>
    </row>
    <row r="413">
      <c r="B413" s="35"/>
      <c r="G413" s="30"/>
      <c r="H413" s="30"/>
      <c r="L413" s="30"/>
      <c r="M413" s="30"/>
      <c r="O413" s="32"/>
      <c r="P413" s="32"/>
    </row>
    <row r="414">
      <c r="B414" s="35"/>
      <c r="G414" s="30"/>
      <c r="H414" s="30"/>
      <c r="L414" s="30"/>
      <c r="M414" s="30"/>
      <c r="O414" s="32"/>
      <c r="P414" s="32"/>
    </row>
    <row r="415">
      <c r="B415" s="35"/>
      <c r="G415" s="30"/>
      <c r="H415" s="30"/>
      <c r="L415" s="30"/>
      <c r="M415" s="30"/>
      <c r="O415" s="32"/>
      <c r="P415" s="32"/>
    </row>
    <row r="416">
      <c r="B416" s="35"/>
      <c r="G416" s="30"/>
      <c r="H416" s="30"/>
      <c r="L416" s="30"/>
      <c r="M416" s="30"/>
      <c r="O416" s="32"/>
      <c r="P416" s="32"/>
    </row>
    <row r="417">
      <c r="B417" s="35"/>
      <c r="G417" s="30"/>
      <c r="H417" s="30"/>
      <c r="L417" s="30"/>
      <c r="M417" s="30"/>
      <c r="O417" s="32"/>
      <c r="P417" s="32"/>
    </row>
    <row r="418">
      <c r="B418" s="35"/>
      <c r="G418" s="30"/>
      <c r="H418" s="30"/>
      <c r="L418" s="30"/>
      <c r="M418" s="30"/>
      <c r="O418" s="32"/>
      <c r="P418" s="32"/>
    </row>
    <row r="419">
      <c r="B419" s="35"/>
      <c r="G419" s="30"/>
      <c r="H419" s="30"/>
      <c r="L419" s="30"/>
      <c r="M419" s="30"/>
      <c r="O419" s="32"/>
      <c r="P419" s="32"/>
    </row>
    <row r="420">
      <c r="B420" s="35"/>
      <c r="G420" s="30"/>
      <c r="H420" s="30"/>
      <c r="L420" s="30"/>
      <c r="M420" s="30"/>
      <c r="O420" s="32"/>
      <c r="P420" s="32"/>
    </row>
    <row r="421">
      <c r="B421" s="35"/>
      <c r="G421" s="30"/>
      <c r="H421" s="30"/>
      <c r="L421" s="30"/>
      <c r="M421" s="30"/>
      <c r="O421" s="32"/>
      <c r="P421" s="32"/>
    </row>
    <row r="422">
      <c r="B422" s="35"/>
      <c r="G422" s="30"/>
      <c r="H422" s="30"/>
      <c r="L422" s="30"/>
      <c r="M422" s="30"/>
      <c r="O422" s="32"/>
      <c r="P422" s="32"/>
    </row>
    <row r="423">
      <c r="B423" s="35"/>
      <c r="G423" s="30"/>
      <c r="H423" s="30"/>
      <c r="L423" s="30"/>
      <c r="M423" s="30"/>
      <c r="O423" s="32"/>
      <c r="P423" s="32"/>
    </row>
    <row r="424">
      <c r="B424" s="35"/>
      <c r="G424" s="30"/>
      <c r="H424" s="30"/>
      <c r="L424" s="30"/>
      <c r="M424" s="30"/>
      <c r="O424" s="32"/>
      <c r="P424" s="32"/>
    </row>
    <row r="425">
      <c r="B425" s="35"/>
      <c r="G425" s="30"/>
      <c r="H425" s="30"/>
      <c r="L425" s="30"/>
      <c r="M425" s="30"/>
      <c r="O425" s="32"/>
      <c r="P425" s="32"/>
    </row>
    <row r="426">
      <c r="B426" s="35"/>
      <c r="G426" s="30"/>
      <c r="H426" s="30"/>
      <c r="L426" s="30"/>
      <c r="M426" s="30"/>
      <c r="O426" s="32"/>
      <c r="P426" s="32"/>
    </row>
    <row r="427">
      <c r="B427" s="35"/>
      <c r="G427" s="30"/>
      <c r="H427" s="30"/>
      <c r="L427" s="30"/>
      <c r="M427" s="30"/>
      <c r="O427" s="32"/>
      <c r="P427" s="32"/>
    </row>
    <row r="428">
      <c r="B428" s="35"/>
      <c r="G428" s="30"/>
      <c r="H428" s="30"/>
      <c r="L428" s="30"/>
      <c r="M428" s="30"/>
      <c r="O428" s="32"/>
      <c r="P428" s="32"/>
    </row>
    <row r="429">
      <c r="B429" s="35"/>
      <c r="G429" s="30"/>
      <c r="H429" s="30"/>
      <c r="L429" s="30"/>
      <c r="M429" s="30"/>
      <c r="O429" s="32"/>
      <c r="P429" s="32"/>
    </row>
    <row r="430">
      <c r="B430" s="35"/>
      <c r="G430" s="30"/>
      <c r="H430" s="30"/>
      <c r="L430" s="30"/>
      <c r="M430" s="30"/>
      <c r="O430" s="32"/>
      <c r="P430" s="32"/>
    </row>
    <row r="431">
      <c r="B431" s="35"/>
      <c r="G431" s="30"/>
      <c r="H431" s="30"/>
      <c r="L431" s="30"/>
      <c r="M431" s="30"/>
      <c r="O431" s="32"/>
      <c r="P431" s="32"/>
    </row>
    <row r="432">
      <c r="B432" s="35"/>
      <c r="G432" s="30"/>
      <c r="H432" s="30"/>
      <c r="L432" s="30"/>
      <c r="M432" s="30"/>
      <c r="O432" s="32"/>
      <c r="P432" s="32"/>
    </row>
    <row r="433">
      <c r="B433" s="35"/>
      <c r="G433" s="30"/>
      <c r="H433" s="30"/>
      <c r="L433" s="30"/>
      <c r="M433" s="30"/>
      <c r="O433" s="32"/>
      <c r="P433" s="32"/>
    </row>
    <row r="434">
      <c r="B434" s="35"/>
      <c r="G434" s="30"/>
      <c r="H434" s="30"/>
      <c r="L434" s="30"/>
      <c r="M434" s="30"/>
      <c r="O434" s="32"/>
      <c r="P434" s="32"/>
    </row>
    <row r="435">
      <c r="B435" s="35"/>
      <c r="G435" s="30"/>
      <c r="H435" s="30"/>
      <c r="L435" s="30"/>
      <c r="M435" s="30"/>
      <c r="O435" s="32"/>
      <c r="P435" s="32"/>
    </row>
    <row r="436">
      <c r="B436" s="35"/>
      <c r="G436" s="30"/>
      <c r="H436" s="30"/>
      <c r="L436" s="30"/>
      <c r="M436" s="30"/>
      <c r="O436" s="32"/>
      <c r="P436" s="32"/>
    </row>
    <row r="437">
      <c r="B437" s="35"/>
      <c r="G437" s="30"/>
      <c r="H437" s="30"/>
      <c r="L437" s="30"/>
      <c r="M437" s="30"/>
      <c r="O437" s="32"/>
      <c r="P437" s="32"/>
    </row>
    <row r="438">
      <c r="B438" s="35"/>
      <c r="G438" s="30"/>
      <c r="H438" s="30"/>
      <c r="L438" s="30"/>
      <c r="M438" s="30"/>
      <c r="O438" s="32"/>
      <c r="P438" s="32"/>
    </row>
    <row r="439">
      <c r="B439" s="35"/>
      <c r="G439" s="30"/>
      <c r="H439" s="30"/>
      <c r="L439" s="30"/>
      <c r="M439" s="30"/>
      <c r="O439" s="32"/>
      <c r="P439" s="32"/>
    </row>
    <row r="440">
      <c r="B440" s="35"/>
      <c r="G440" s="30"/>
      <c r="H440" s="30"/>
      <c r="L440" s="30"/>
      <c r="M440" s="30"/>
      <c r="O440" s="32"/>
      <c r="P440" s="32"/>
    </row>
    <row r="441">
      <c r="B441" s="35"/>
      <c r="G441" s="30"/>
      <c r="H441" s="30"/>
      <c r="L441" s="30"/>
      <c r="M441" s="30"/>
      <c r="O441" s="32"/>
      <c r="P441" s="32"/>
    </row>
    <row r="442">
      <c r="B442" s="35"/>
      <c r="G442" s="30"/>
      <c r="H442" s="30"/>
      <c r="L442" s="30"/>
      <c r="M442" s="30"/>
      <c r="O442" s="32"/>
      <c r="P442" s="32"/>
    </row>
    <row r="443">
      <c r="B443" s="35"/>
      <c r="G443" s="30"/>
      <c r="H443" s="30"/>
      <c r="L443" s="30"/>
      <c r="M443" s="30"/>
      <c r="O443" s="32"/>
      <c r="P443" s="32"/>
    </row>
    <row r="444">
      <c r="B444" s="35"/>
      <c r="G444" s="30"/>
      <c r="H444" s="30"/>
      <c r="L444" s="30"/>
      <c r="M444" s="30"/>
      <c r="O444" s="32"/>
      <c r="P444" s="32"/>
    </row>
    <row r="445">
      <c r="B445" s="35"/>
      <c r="G445" s="30"/>
      <c r="H445" s="30"/>
      <c r="L445" s="30"/>
      <c r="M445" s="30"/>
      <c r="O445" s="32"/>
      <c r="P445" s="32"/>
    </row>
    <row r="446">
      <c r="B446" s="35"/>
      <c r="G446" s="30"/>
      <c r="H446" s="30"/>
      <c r="L446" s="30"/>
      <c r="M446" s="30"/>
      <c r="O446" s="32"/>
      <c r="P446" s="32"/>
    </row>
    <row r="447">
      <c r="B447" s="35"/>
      <c r="G447" s="30"/>
      <c r="H447" s="30"/>
      <c r="L447" s="30"/>
      <c r="M447" s="30"/>
      <c r="O447" s="32"/>
      <c r="P447" s="32"/>
    </row>
    <row r="448">
      <c r="B448" s="35"/>
      <c r="G448" s="30"/>
      <c r="H448" s="30"/>
      <c r="L448" s="30"/>
      <c r="M448" s="30"/>
      <c r="O448" s="32"/>
      <c r="P448" s="32"/>
    </row>
    <row r="449">
      <c r="B449" s="35"/>
      <c r="G449" s="30"/>
      <c r="H449" s="30"/>
      <c r="L449" s="30"/>
      <c r="M449" s="30"/>
      <c r="O449" s="32"/>
      <c r="P449" s="32"/>
    </row>
    <row r="450">
      <c r="B450" s="35"/>
      <c r="G450" s="30"/>
      <c r="H450" s="30"/>
      <c r="L450" s="30"/>
      <c r="M450" s="30"/>
      <c r="O450" s="32"/>
      <c r="P450" s="32"/>
    </row>
    <row r="451">
      <c r="B451" s="35"/>
      <c r="G451" s="30"/>
      <c r="H451" s="30"/>
      <c r="L451" s="30"/>
      <c r="M451" s="30"/>
      <c r="O451" s="32"/>
      <c r="P451" s="32"/>
    </row>
    <row r="452">
      <c r="B452" s="35"/>
      <c r="G452" s="30"/>
      <c r="H452" s="30"/>
      <c r="L452" s="30"/>
      <c r="M452" s="30"/>
      <c r="O452" s="32"/>
      <c r="P452" s="32"/>
    </row>
    <row r="453">
      <c r="B453" s="35"/>
      <c r="G453" s="30"/>
      <c r="H453" s="30"/>
      <c r="L453" s="30"/>
      <c r="M453" s="30"/>
      <c r="O453" s="32"/>
      <c r="P453" s="32"/>
    </row>
    <row r="454">
      <c r="B454" s="35"/>
      <c r="G454" s="30"/>
      <c r="H454" s="30"/>
      <c r="L454" s="30"/>
      <c r="M454" s="30"/>
      <c r="O454" s="32"/>
      <c r="P454" s="32"/>
    </row>
    <row r="455">
      <c r="B455" s="35"/>
      <c r="G455" s="30"/>
      <c r="H455" s="30"/>
      <c r="L455" s="30"/>
      <c r="M455" s="30"/>
      <c r="O455" s="32"/>
      <c r="P455" s="32"/>
    </row>
    <row r="456">
      <c r="B456" s="35"/>
      <c r="G456" s="30"/>
      <c r="H456" s="30"/>
      <c r="L456" s="30"/>
      <c r="M456" s="30"/>
      <c r="O456" s="32"/>
      <c r="P456" s="32"/>
    </row>
    <row r="457">
      <c r="B457" s="35"/>
      <c r="G457" s="30"/>
      <c r="H457" s="30"/>
      <c r="L457" s="30"/>
      <c r="M457" s="30"/>
      <c r="O457" s="32"/>
      <c r="P457" s="32"/>
    </row>
    <row r="458">
      <c r="B458" s="35"/>
      <c r="G458" s="30"/>
      <c r="H458" s="30"/>
      <c r="L458" s="30"/>
      <c r="M458" s="30"/>
      <c r="O458" s="32"/>
      <c r="P458" s="32"/>
    </row>
    <row r="459">
      <c r="B459" s="35"/>
      <c r="G459" s="30"/>
      <c r="H459" s="30"/>
      <c r="L459" s="30"/>
      <c r="M459" s="30"/>
      <c r="O459" s="32"/>
      <c r="P459" s="32"/>
    </row>
    <row r="460">
      <c r="B460" s="35"/>
      <c r="G460" s="30"/>
      <c r="H460" s="30"/>
      <c r="L460" s="30"/>
      <c r="M460" s="30"/>
      <c r="O460" s="32"/>
      <c r="P460" s="32"/>
    </row>
    <row r="461">
      <c r="B461" s="35"/>
      <c r="G461" s="30"/>
      <c r="H461" s="30"/>
      <c r="L461" s="30"/>
      <c r="M461" s="30"/>
      <c r="O461" s="32"/>
      <c r="P461" s="32"/>
    </row>
    <row r="462">
      <c r="B462" s="35"/>
      <c r="G462" s="30"/>
      <c r="H462" s="30"/>
      <c r="L462" s="30"/>
      <c r="M462" s="30"/>
      <c r="O462" s="32"/>
      <c r="P462" s="32"/>
    </row>
    <row r="463">
      <c r="B463" s="35"/>
      <c r="G463" s="30"/>
      <c r="H463" s="30"/>
      <c r="L463" s="30"/>
      <c r="M463" s="30"/>
      <c r="O463" s="32"/>
      <c r="P463" s="32"/>
    </row>
    <row r="464">
      <c r="B464" s="35"/>
      <c r="G464" s="30"/>
      <c r="H464" s="30"/>
      <c r="L464" s="30"/>
      <c r="M464" s="30"/>
      <c r="O464" s="32"/>
      <c r="P464" s="32"/>
    </row>
    <row r="465">
      <c r="B465" s="35"/>
      <c r="G465" s="30"/>
      <c r="H465" s="30"/>
      <c r="L465" s="30"/>
      <c r="M465" s="30"/>
      <c r="O465" s="32"/>
      <c r="P465" s="32"/>
    </row>
    <row r="466">
      <c r="B466" s="35"/>
      <c r="G466" s="30"/>
      <c r="H466" s="30"/>
      <c r="L466" s="30"/>
      <c r="M466" s="30"/>
      <c r="O466" s="32"/>
      <c r="P466" s="32"/>
    </row>
    <row r="467">
      <c r="B467" s="35"/>
      <c r="G467" s="30"/>
      <c r="H467" s="30"/>
      <c r="L467" s="30"/>
      <c r="M467" s="30"/>
      <c r="O467" s="32"/>
      <c r="P467" s="32"/>
    </row>
    <row r="468">
      <c r="B468" s="35"/>
      <c r="G468" s="30"/>
      <c r="H468" s="30"/>
      <c r="L468" s="30"/>
      <c r="M468" s="30"/>
      <c r="O468" s="32"/>
      <c r="P468" s="32"/>
    </row>
    <row r="469">
      <c r="B469" s="35"/>
      <c r="G469" s="30"/>
      <c r="H469" s="30"/>
      <c r="L469" s="30"/>
      <c r="M469" s="30"/>
      <c r="O469" s="32"/>
      <c r="P469" s="32"/>
    </row>
    <row r="470">
      <c r="B470" s="35"/>
      <c r="G470" s="30"/>
      <c r="H470" s="30"/>
      <c r="L470" s="30"/>
      <c r="M470" s="30"/>
      <c r="O470" s="32"/>
      <c r="P470" s="32"/>
    </row>
    <row r="471">
      <c r="B471" s="35"/>
      <c r="G471" s="30"/>
      <c r="H471" s="30"/>
      <c r="L471" s="30"/>
      <c r="M471" s="30"/>
      <c r="O471" s="32"/>
      <c r="P471" s="32"/>
    </row>
    <row r="472">
      <c r="B472" s="35"/>
      <c r="G472" s="30"/>
      <c r="H472" s="30"/>
      <c r="L472" s="30"/>
      <c r="M472" s="30"/>
      <c r="O472" s="32"/>
      <c r="P472" s="32"/>
    </row>
    <row r="473">
      <c r="B473" s="35"/>
      <c r="G473" s="30"/>
      <c r="H473" s="30"/>
      <c r="L473" s="30"/>
      <c r="M473" s="30"/>
      <c r="O473" s="32"/>
      <c r="P473" s="32"/>
    </row>
    <row r="474">
      <c r="B474" s="35"/>
      <c r="G474" s="30"/>
      <c r="H474" s="30"/>
      <c r="L474" s="30"/>
      <c r="M474" s="30"/>
      <c r="O474" s="32"/>
      <c r="P474" s="32"/>
    </row>
    <row r="475">
      <c r="B475" s="35"/>
      <c r="G475" s="30"/>
      <c r="H475" s="30"/>
      <c r="L475" s="30"/>
      <c r="M475" s="30"/>
      <c r="O475" s="32"/>
      <c r="P475" s="32"/>
    </row>
    <row r="476">
      <c r="B476" s="35"/>
      <c r="G476" s="30"/>
      <c r="H476" s="30"/>
      <c r="L476" s="30"/>
      <c r="M476" s="30"/>
      <c r="O476" s="32"/>
      <c r="P476" s="32"/>
    </row>
    <row r="477">
      <c r="B477" s="35"/>
      <c r="G477" s="30"/>
      <c r="H477" s="30"/>
      <c r="L477" s="30"/>
      <c r="M477" s="30"/>
      <c r="O477" s="32"/>
      <c r="P477" s="32"/>
    </row>
    <row r="478">
      <c r="B478" s="35"/>
      <c r="G478" s="30"/>
      <c r="H478" s="30"/>
      <c r="L478" s="30"/>
      <c r="M478" s="30"/>
      <c r="O478" s="32"/>
      <c r="P478" s="32"/>
    </row>
    <row r="479">
      <c r="B479" s="35"/>
      <c r="G479" s="30"/>
      <c r="H479" s="30"/>
      <c r="L479" s="30"/>
      <c r="M479" s="30"/>
      <c r="O479" s="32"/>
      <c r="P479" s="32"/>
    </row>
    <row r="480">
      <c r="B480" s="35"/>
      <c r="G480" s="30"/>
      <c r="H480" s="30"/>
      <c r="L480" s="30"/>
      <c r="M480" s="30"/>
      <c r="O480" s="32"/>
      <c r="P480" s="32"/>
    </row>
    <row r="481">
      <c r="B481" s="35"/>
      <c r="G481" s="30"/>
      <c r="H481" s="30"/>
      <c r="L481" s="30"/>
      <c r="M481" s="30"/>
      <c r="O481" s="32"/>
      <c r="P481" s="32"/>
    </row>
    <row r="482">
      <c r="B482" s="35"/>
      <c r="G482" s="30"/>
      <c r="H482" s="30"/>
      <c r="L482" s="30"/>
      <c r="M482" s="30"/>
      <c r="O482" s="32"/>
      <c r="P482" s="32"/>
    </row>
    <row r="483">
      <c r="B483" s="35"/>
      <c r="G483" s="30"/>
      <c r="H483" s="30"/>
      <c r="L483" s="30"/>
      <c r="M483" s="30"/>
      <c r="O483" s="32"/>
      <c r="P483" s="32"/>
    </row>
    <row r="484">
      <c r="B484" s="35"/>
      <c r="G484" s="30"/>
      <c r="H484" s="30"/>
      <c r="L484" s="30"/>
      <c r="M484" s="30"/>
      <c r="O484" s="32"/>
      <c r="P484" s="32"/>
    </row>
    <row r="485">
      <c r="B485" s="35"/>
      <c r="G485" s="30"/>
      <c r="H485" s="30"/>
      <c r="L485" s="30"/>
      <c r="M485" s="30"/>
      <c r="O485" s="32"/>
      <c r="P485" s="32"/>
    </row>
    <row r="486">
      <c r="B486" s="35"/>
      <c r="G486" s="30"/>
      <c r="H486" s="30"/>
      <c r="L486" s="30"/>
      <c r="M486" s="30"/>
      <c r="O486" s="32"/>
      <c r="P486" s="32"/>
    </row>
    <row r="487">
      <c r="B487" s="35"/>
      <c r="G487" s="30"/>
      <c r="H487" s="30"/>
      <c r="L487" s="30"/>
      <c r="M487" s="30"/>
      <c r="O487" s="32"/>
      <c r="P487" s="32"/>
    </row>
    <row r="488">
      <c r="B488" s="35"/>
      <c r="G488" s="30"/>
      <c r="H488" s="30"/>
      <c r="L488" s="30"/>
      <c r="M488" s="30"/>
      <c r="O488" s="32"/>
      <c r="P488" s="32"/>
    </row>
    <row r="489">
      <c r="B489" s="35"/>
      <c r="G489" s="30"/>
      <c r="H489" s="30"/>
      <c r="L489" s="30"/>
      <c r="M489" s="30"/>
      <c r="O489" s="32"/>
      <c r="P489" s="32"/>
    </row>
    <row r="490">
      <c r="B490" s="35"/>
      <c r="G490" s="30"/>
      <c r="H490" s="30"/>
      <c r="L490" s="30"/>
      <c r="M490" s="30"/>
      <c r="O490" s="32"/>
      <c r="P490" s="32"/>
    </row>
    <row r="491">
      <c r="B491" s="35"/>
      <c r="G491" s="30"/>
      <c r="H491" s="30"/>
      <c r="L491" s="30"/>
      <c r="M491" s="30"/>
      <c r="O491" s="32"/>
      <c r="P491" s="32"/>
    </row>
    <row r="492">
      <c r="B492" s="35"/>
      <c r="G492" s="30"/>
      <c r="H492" s="30"/>
      <c r="L492" s="30"/>
      <c r="M492" s="30"/>
      <c r="O492" s="32"/>
      <c r="P492" s="32"/>
    </row>
    <row r="493">
      <c r="B493" s="35"/>
      <c r="G493" s="30"/>
      <c r="H493" s="30"/>
      <c r="L493" s="30"/>
      <c r="M493" s="30"/>
      <c r="O493" s="32"/>
      <c r="P493" s="32"/>
    </row>
    <row r="494">
      <c r="B494" s="35"/>
      <c r="G494" s="30"/>
      <c r="H494" s="30"/>
      <c r="L494" s="30"/>
      <c r="M494" s="30"/>
      <c r="O494" s="32"/>
      <c r="P494" s="32"/>
    </row>
    <row r="495">
      <c r="B495" s="35"/>
      <c r="G495" s="30"/>
      <c r="H495" s="30"/>
      <c r="L495" s="30"/>
      <c r="M495" s="30"/>
      <c r="O495" s="32"/>
      <c r="P495" s="32"/>
    </row>
    <row r="496">
      <c r="B496" s="35"/>
      <c r="G496" s="30"/>
      <c r="H496" s="30"/>
      <c r="L496" s="30"/>
      <c r="M496" s="30"/>
      <c r="O496" s="32"/>
      <c r="P496" s="32"/>
    </row>
    <row r="497">
      <c r="B497" s="35"/>
      <c r="G497" s="30"/>
      <c r="H497" s="30"/>
      <c r="L497" s="30"/>
      <c r="M497" s="30"/>
      <c r="O497" s="32"/>
      <c r="P497" s="32"/>
    </row>
    <row r="498">
      <c r="B498" s="35"/>
      <c r="G498" s="30"/>
      <c r="H498" s="30"/>
      <c r="L498" s="30"/>
      <c r="M498" s="30"/>
      <c r="O498" s="32"/>
      <c r="P498" s="32"/>
    </row>
    <row r="499">
      <c r="B499" s="35"/>
      <c r="G499" s="30"/>
      <c r="H499" s="30"/>
      <c r="L499" s="30"/>
      <c r="M499" s="30"/>
      <c r="O499" s="32"/>
      <c r="P499" s="32"/>
    </row>
    <row r="500">
      <c r="B500" s="35"/>
      <c r="G500" s="30"/>
      <c r="H500" s="30"/>
      <c r="L500" s="30"/>
      <c r="M500" s="30"/>
      <c r="O500" s="32"/>
      <c r="P500" s="32"/>
    </row>
    <row r="501">
      <c r="B501" s="35"/>
      <c r="G501" s="30"/>
      <c r="H501" s="30"/>
      <c r="L501" s="30"/>
      <c r="M501" s="30"/>
      <c r="O501" s="32"/>
      <c r="P501" s="32"/>
    </row>
    <row r="502">
      <c r="B502" s="35"/>
      <c r="G502" s="30"/>
      <c r="H502" s="30"/>
      <c r="L502" s="30"/>
      <c r="M502" s="30"/>
      <c r="O502" s="32"/>
      <c r="P502" s="32"/>
    </row>
    <row r="503">
      <c r="B503" s="35"/>
      <c r="G503" s="30"/>
      <c r="H503" s="30"/>
      <c r="L503" s="30"/>
      <c r="M503" s="30"/>
      <c r="O503" s="32"/>
      <c r="P503" s="32"/>
    </row>
    <row r="504">
      <c r="B504" s="35"/>
      <c r="G504" s="30"/>
      <c r="H504" s="30"/>
      <c r="L504" s="30"/>
      <c r="M504" s="30"/>
      <c r="O504" s="32"/>
      <c r="P504" s="32"/>
    </row>
    <row r="505">
      <c r="B505" s="35"/>
      <c r="G505" s="30"/>
      <c r="H505" s="30"/>
      <c r="L505" s="30"/>
      <c r="M505" s="30"/>
      <c r="O505" s="32"/>
      <c r="P505" s="32"/>
    </row>
    <row r="506">
      <c r="B506" s="35"/>
      <c r="G506" s="30"/>
      <c r="H506" s="30"/>
      <c r="L506" s="30"/>
      <c r="M506" s="30"/>
      <c r="O506" s="32"/>
      <c r="P506" s="32"/>
    </row>
    <row r="507">
      <c r="B507" s="35"/>
      <c r="G507" s="30"/>
      <c r="H507" s="30"/>
      <c r="L507" s="30"/>
      <c r="M507" s="30"/>
      <c r="O507" s="32"/>
      <c r="P507" s="32"/>
    </row>
    <row r="508">
      <c r="B508" s="35"/>
      <c r="G508" s="30"/>
      <c r="H508" s="30"/>
      <c r="L508" s="30"/>
      <c r="M508" s="30"/>
      <c r="O508" s="32"/>
      <c r="P508" s="32"/>
    </row>
    <row r="509">
      <c r="B509" s="35"/>
      <c r="G509" s="30"/>
      <c r="H509" s="30"/>
      <c r="L509" s="30"/>
      <c r="M509" s="30"/>
      <c r="O509" s="32"/>
      <c r="P509" s="32"/>
    </row>
    <row r="510">
      <c r="B510" s="35"/>
      <c r="G510" s="30"/>
      <c r="H510" s="30"/>
      <c r="L510" s="30"/>
      <c r="M510" s="30"/>
      <c r="O510" s="32"/>
      <c r="P510" s="32"/>
    </row>
    <row r="511">
      <c r="B511" s="35"/>
      <c r="G511" s="30"/>
      <c r="H511" s="30"/>
      <c r="L511" s="30"/>
      <c r="M511" s="30"/>
      <c r="O511" s="32"/>
      <c r="P511" s="32"/>
    </row>
    <row r="512">
      <c r="B512" s="35"/>
      <c r="G512" s="30"/>
      <c r="H512" s="30"/>
      <c r="L512" s="30"/>
      <c r="M512" s="30"/>
      <c r="O512" s="32"/>
      <c r="P512" s="32"/>
    </row>
    <row r="513">
      <c r="B513" s="35"/>
      <c r="G513" s="30"/>
      <c r="H513" s="30"/>
      <c r="L513" s="30"/>
      <c r="M513" s="30"/>
      <c r="O513" s="32"/>
      <c r="P513" s="32"/>
    </row>
    <row r="514">
      <c r="B514" s="35"/>
      <c r="G514" s="30"/>
      <c r="H514" s="30"/>
      <c r="L514" s="30"/>
      <c r="M514" s="30"/>
      <c r="O514" s="32"/>
      <c r="P514" s="32"/>
    </row>
    <row r="515">
      <c r="B515" s="35"/>
      <c r="G515" s="30"/>
      <c r="H515" s="30"/>
      <c r="L515" s="30"/>
      <c r="M515" s="30"/>
      <c r="O515" s="32"/>
      <c r="P515" s="32"/>
    </row>
    <row r="516">
      <c r="B516" s="35"/>
      <c r="G516" s="30"/>
      <c r="H516" s="30"/>
      <c r="L516" s="30"/>
      <c r="M516" s="30"/>
      <c r="O516" s="32"/>
      <c r="P516" s="32"/>
    </row>
    <row r="517">
      <c r="B517" s="35"/>
      <c r="G517" s="30"/>
      <c r="H517" s="30"/>
      <c r="L517" s="30"/>
      <c r="M517" s="30"/>
      <c r="O517" s="32"/>
      <c r="P517" s="32"/>
    </row>
    <row r="518">
      <c r="B518" s="35"/>
      <c r="G518" s="30"/>
      <c r="H518" s="30"/>
      <c r="L518" s="30"/>
      <c r="M518" s="30"/>
      <c r="O518" s="32"/>
      <c r="P518" s="32"/>
    </row>
    <row r="519">
      <c r="B519" s="35"/>
      <c r="G519" s="30"/>
      <c r="H519" s="30"/>
      <c r="L519" s="30"/>
      <c r="M519" s="30"/>
      <c r="O519" s="32"/>
      <c r="P519" s="32"/>
    </row>
    <row r="520">
      <c r="B520" s="35"/>
      <c r="G520" s="30"/>
      <c r="H520" s="30"/>
      <c r="L520" s="30"/>
      <c r="M520" s="30"/>
      <c r="O520" s="32"/>
      <c r="P520" s="32"/>
    </row>
    <row r="521">
      <c r="B521" s="35"/>
      <c r="G521" s="30"/>
      <c r="H521" s="30"/>
      <c r="L521" s="30"/>
      <c r="M521" s="30"/>
      <c r="O521" s="32"/>
      <c r="P521" s="32"/>
    </row>
    <row r="522">
      <c r="B522" s="35"/>
      <c r="G522" s="30"/>
      <c r="H522" s="30"/>
      <c r="L522" s="30"/>
      <c r="M522" s="30"/>
      <c r="O522" s="32"/>
      <c r="P522" s="32"/>
    </row>
    <row r="523">
      <c r="B523" s="35"/>
      <c r="G523" s="30"/>
      <c r="H523" s="30"/>
      <c r="L523" s="30"/>
      <c r="M523" s="30"/>
      <c r="O523" s="32"/>
      <c r="P523" s="32"/>
    </row>
    <row r="524">
      <c r="B524" s="35"/>
      <c r="G524" s="30"/>
      <c r="H524" s="30"/>
      <c r="L524" s="30"/>
      <c r="M524" s="30"/>
      <c r="O524" s="32"/>
      <c r="P524" s="32"/>
    </row>
    <row r="525">
      <c r="B525" s="35"/>
      <c r="G525" s="30"/>
      <c r="H525" s="30"/>
      <c r="L525" s="30"/>
      <c r="M525" s="30"/>
      <c r="O525" s="32"/>
      <c r="P525" s="32"/>
    </row>
    <row r="526">
      <c r="B526" s="35"/>
      <c r="G526" s="30"/>
      <c r="H526" s="30"/>
      <c r="L526" s="30"/>
      <c r="M526" s="30"/>
      <c r="O526" s="32"/>
      <c r="P526" s="32"/>
    </row>
    <row r="527">
      <c r="B527" s="35"/>
      <c r="G527" s="30"/>
      <c r="H527" s="30"/>
      <c r="L527" s="30"/>
      <c r="M527" s="30"/>
      <c r="O527" s="32"/>
      <c r="P527" s="32"/>
    </row>
    <row r="528">
      <c r="B528" s="35"/>
      <c r="G528" s="30"/>
      <c r="H528" s="30"/>
      <c r="L528" s="30"/>
      <c r="M528" s="30"/>
      <c r="O528" s="32"/>
      <c r="P528" s="32"/>
    </row>
    <row r="529">
      <c r="B529" s="35"/>
      <c r="G529" s="30"/>
      <c r="H529" s="30"/>
      <c r="L529" s="30"/>
      <c r="M529" s="30"/>
      <c r="O529" s="32"/>
      <c r="P529" s="32"/>
    </row>
    <row r="530">
      <c r="B530" s="35"/>
      <c r="G530" s="30"/>
      <c r="H530" s="30"/>
      <c r="L530" s="30"/>
      <c r="M530" s="30"/>
      <c r="O530" s="32"/>
      <c r="P530" s="32"/>
    </row>
    <row r="531">
      <c r="B531" s="35"/>
      <c r="G531" s="30"/>
      <c r="H531" s="30"/>
      <c r="L531" s="30"/>
      <c r="M531" s="30"/>
      <c r="O531" s="32"/>
      <c r="P531" s="32"/>
    </row>
    <row r="532">
      <c r="B532" s="35"/>
      <c r="G532" s="30"/>
      <c r="H532" s="30"/>
      <c r="L532" s="30"/>
      <c r="M532" s="30"/>
      <c r="O532" s="32"/>
      <c r="P532" s="32"/>
    </row>
    <row r="533">
      <c r="B533" s="35"/>
      <c r="G533" s="30"/>
      <c r="H533" s="30"/>
      <c r="L533" s="30"/>
      <c r="M533" s="30"/>
      <c r="O533" s="32"/>
      <c r="P533" s="32"/>
    </row>
    <row r="534">
      <c r="B534" s="35"/>
      <c r="G534" s="30"/>
      <c r="H534" s="30"/>
      <c r="L534" s="30"/>
      <c r="M534" s="30"/>
      <c r="O534" s="32"/>
      <c r="P534" s="32"/>
    </row>
    <row r="535">
      <c r="B535" s="35"/>
      <c r="G535" s="30"/>
      <c r="H535" s="30"/>
      <c r="L535" s="30"/>
      <c r="M535" s="30"/>
      <c r="O535" s="32"/>
      <c r="P535" s="32"/>
    </row>
    <row r="536">
      <c r="B536" s="35"/>
      <c r="G536" s="30"/>
      <c r="H536" s="30"/>
      <c r="L536" s="30"/>
      <c r="M536" s="30"/>
      <c r="O536" s="32"/>
      <c r="P536" s="32"/>
    </row>
    <row r="537">
      <c r="B537" s="35"/>
      <c r="G537" s="30"/>
      <c r="H537" s="30"/>
      <c r="L537" s="30"/>
      <c r="M537" s="30"/>
      <c r="O537" s="32"/>
      <c r="P537" s="32"/>
    </row>
    <row r="538">
      <c r="B538" s="35"/>
      <c r="G538" s="30"/>
      <c r="H538" s="30"/>
      <c r="L538" s="30"/>
      <c r="M538" s="30"/>
      <c r="O538" s="32"/>
      <c r="P538" s="32"/>
    </row>
    <row r="539">
      <c r="B539" s="35"/>
      <c r="G539" s="30"/>
      <c r="H539" s="30"/>
      <c r="L539" s="30"/>
      <c r="M539" s="30"/>
      <c r="O539" s="32"/>
      <c r="P539" s="32"/>
    </row>
    <row r="540">
      <c r="B540" s="35"/>
      <c r="G540" s="30"/>
      <c r="H540" s="30"/>
      <c r="L540" s="30"/>
      <c r="M540" s="30"/>
      <c r="O540" s="32"/>
      <c r="P540" s="32"/>
    </row>
    <row r="541">
      <c r="B541" s="35"/>
      <c r="G541" s="30"/>
      <c r="H541" s="30"/>
      <c r="L541" s="30"/>
      <c r="M541" s="30"/>
      <c r="O541" s="32"/>
      <c r="P541" s="32"/>
    </row>
    <row r="542">
      <c r="B542" s="35"/>
      <c r="G542" s="30"/>
      <c r="H542" s="30"/>
      <c r="L542" s="30"/>
      <c r="M542" s="30"/>
      <c r="O542" s="32"/>
      <c r="P542" s="32"/>
    </row>
    <row r="543">
      <c r="B543" s="35"/>
      <c r="G543" s="30"/>
      <c r="H543" s="30"/>
      <c r="L543" s="30"/>
      <c r="M543" s="30"/>
      <c r="O543" s="32"/>
      <c r="P543" s="32"/>
    </row>
    <row r="544">
      <c r="B544" s="35"/>
      <c r="G544" s="30"/>
      <c r="H544" s="30"/>
      <c r="L544" s="30"/>
      <c r="M544" s="30"/>
      <c r="O544" s="32"/>
      <c r="P544" s="32"/>
    </row>
    <row r="545">
      <c r="B545" s="35"/>
      <c r="G545" s="30"/>
      <c r="H545" s="30"/>
      <c r="L545" s="30"/>
      <c r="M545" s="30"/>
      <c r="O545" s="32"/>
      <c r="P545" s="32"/>
    </row>
    <row r="546">
      <c r="B546" s="35"/>
      <c r="G546" s="30"/>
      <c r="H546" s="30"/>
      <c r="L546" s="30"/>
      <c r="M546" s="30"/>
      <c r="O546" s="32"/>
      <c r="P546" s="32"/>
    </row>
    <row r="547">
      <c r="B547" s="35"/>
      <c r="G547" s="30"/>
      <c r="H547" s="30"/>
      <c r="L547" s="30"/>
      <c r="M547" s="30"/>
      <c r="O547" s="32"/>
      <c r="P547" s="32"/>
    </row>
    <row r="548">
      <c r="B548" s="35"/>
      <c r="G548" s="30"/>
      <c r="H548" s="30"/>
      <c r="L548" s="30"/>
      <c r="M548" s="30"/>
      <c r="O548" s="32"/>
      <c r="P548" s="32"/>
    </row>
    <row r="549">
      <c r="B549" s="35"/>
      <c r="G549" s="30"/>
      <c r="H549" s="30"/>
      <c r="L549" s="30"/>
      <c r="M549" s="30"/>
      <c r="O549" s="32"/>
      <c r="P549" s="32"/>
    </row>
    <row r="550">
      <c r="B550" s="35"/>
      <c r="G550" s="30"/>
      <c r="H550" s="30"/>
      <c r="L550" s="30"/>
      <c r="M550" s="30"/>
      <c r="O550" s="32"/>
      <c r="P550" s="32"/>
    </row>
    <row r="551">
      <c r="B551" s="35"/>
      <c r="G551" s="30"/>
      <c r="H551" s="30"/>
      <c r="L551" s="30"/>
      <c r="M551" s="30"/>
      <c r="O551" s="32"/>
      <c r="P551" s="32"/>
    </row>
    <row r="552">
      <c r="B552" s="35"/>
      <c r="G552" s="30"/>
      <c r="H552" s="30"/>
      <c r="L552" s="30"/>
      <c r="M552" s="30"/>
      <c r="O552" s="32"/>
      <c r="P552" s="32"/>
    </row>
    <row r="553">
      <c r="B553" s="35"/>
      <c r="G553" s="30"/>
      <c r="H553" s="30"/>
      <c r="L553" s="30"/>
      <c r="M553" s="30"/>
      <c r="O553" s="32"/>
      <c r="P553" s="32"/>
    </row>
    <row r="554">
      <c r="B554" s="35"/>
      <c r="G554" s="30"/>
      <c r="H554" s="30"/>
      <c r="L554" s="30"/>
      <c r="M554" s="30"/>
      <c r="O554" s="32"/>
      <c r="P554" s="32"/>
    </row>
    <row r="555">
      <c r="B555" s="35"/>
      <c r="G555" s="30"/>
      <c r="H555" s="30"/>
      <c r="L555" s="30"/>
      <c r="M555" s="30"/>
      <c r="O555" s="32"/>
      <c r="P555" s="32"/>
    </row>
    <row r="556">
      <c r="B556" s="35"/>
      <c r="G556" s="30"/>
      <c r="H556" s="30"/>
      <c r="L556" s="30"/>
      <c r="M556" s="30"/>
      <c r="O556" s="32"/>
      <c r="P556" s="32"/>
    </row>
    <row r="557">
      <c r="B557" s="35"/>
      <c r="G557" s="30"/>
      <c r="H557" s="30"/>
      <c r="L557" s="30"/>
      <c r="M557" s="30"/>
      <c r="O557" s="32"/>
      <c r="P557" s="32"/>
    </row>
    <row r="558">
      <c r="B558" s="35"/>
      <c r="G558" s="30"/>
      <c r="H558" s="30"/>
      <c r="L558" s="30"/>
      <c r="M558" s="30"/>
      <c r="O558" s="32"/>
      <c r="P558" s="32"/>
    </row>
    <row r="559">
      <c r="B559" s="35"/>
      <c r="G559" s="30"/>
      <c r="H559" s="30"/>
      <c r="L559" s="30"/>
      <c r="M559" s="30"/>
      <c r="O559" s="32"/>
      <c r="P559" s="32"/>
    </row>
    <row r="560">
      <c r="B560" s="35"/>
      <c r="G560" s="30"/>
      <c r="H560" s="30"/>
      <c r="L560" s="30"/>
      <c r="M560" s="30"/>
      <c r="O560" s="32"/>
      <c r="P560" s="32"/>
    </row>
    <row r="561">
      <c r="B561" s="35"/>
      <c r="G561" s="30"/>
      <c r="H561" s="30"/>
      <c r="L561" s="30"/>
      <c r="M561" s="30"/>
      <c r="O561" s="32"/>
      <c r="P561" s="32"/>
    </row>
    <row r="562">
      <c r="B562" s="35"/>
      <c r="G562" s="30"/>
      <c r="H562" s="30"/>
      <c r="L562" s="30"/>
      <c r="M562" s="30"/>
      <c r="O562" s="32"/>
      <c r="P562" s="32"/>
    </row>
    <row r="563">
      <c r="B563" s="35"/>
      <c r="G563" s="30"/>
      <c r="H563" s="30"/>
      <c r="L563" s="30"/>
      <c r="M563" s="30"/>
      <c r="O563" s="32"/>
      <c r="P563" s="32"/>
    </row>
    <row r="564">
      <c r="B564" s="35"/>
      <c r="G564" s="30"/>
      <c r="H564" s="30"/>
      <c r="L564" s="30"/>
      <c r="M564" s="30"/>
      <c r="O564" s="32"/>
      <c r="P564" s="32"/>
    </row>
    <row r="565">
      <c r="B565" s="35"/>
      <c r="G565" s="30"/>
      <c r="H565" s="30"/>
      <c r="L565" s="30"/>
      <c r="M565" s="30"/>
      <c r="O565" s="32"/>
      <c r="P565" s="32"/>
    </row>
    <row r="566">
      <c r="B566" s="35"/>
      <c r="G566" s="30"/>
      <c r="H566" s="30"/>
      <c r="L566" s="30"/>
      <c r="M566" s="30"/>
      <c r="O566" s="32"/>
      <c r="P566" s="32"/>
    </row>
    <row r="567">
      <c r="B567" s="35"/>
      <c r="G567" s="30"/>
      <c r="H567" s="30"/>
      <c r="L567" s="30"/>
      <c r="M567" s="30"/>
      <c r="O567" s="32"/>
      <c r="P567" s="32"/>
    </row>
    <row r="568">
      <c r="B568" s="35"/>
      <c r="G568" s="30"/>
      <c r="H568" s="30"/>
      <c r="L568" s="30"/>
      <c r="M568" s="30"/>
      <c r="O568" s="32"/>
      <c r="P568" s="32"/>
    </row>
    <row r="569">
      <c r="B569" s="35"/>
      <c r="G569" s="30"/>
      <c r="H569" s="30"/>
      <c r="L569" s="30"/>
      <c r="M569" s="30"/>
      <c r="O569" s="32"/>
      <c r="P569" s="32"/>
    </row>
    <row r="570">
      <c r="B570" s="35"/>
      <c r="G570" s="30"/>
      <c r="H570" s="30"/>
      <c r="L570" s="30"/>
      <c r="M570" s="30"/>
      <c r="O570" s="32"/>
      <c r="P570" s="32"/>
    </row>
    <row r="571">
      <c r="B571" s="35"/>
      <c r="G571" s="30"/>
      <c r="H571" s="30"/>
      <c r="L571" s="30"/>
      <c r="M571" s="30"/>
      <c r="O571" s="32"/>
      <c r="P571" s="32"/>
    </row>
    <row r="572">
      <c r="B572" s="35"/>
      <c r="G572" s="30"/>
      <c r="H572" s="30"/>
      <c r="L572" s="30"/>
      <c r="M572" s="30"/>
      <c r="O572" s="32"/>
      <c r="P572" s="32"/>
    </row>
    <row r="573">
      <c r="B573" s="35"/>
      <c r="G573" s="30"/>
      <c r="H573" s="30"/>
      <c r="L573" s="30"/>
      <c r="M573" s="30"/>
      <c r="O573" s="32"/>
      <c r="P573" s="32"/>
    </row>
    <row r="574">
      <c r="B574" s="35"/>
      <c r="G574" s="30"/>
      <c r="H574" s="30"/>
      <c r="L574" s="30"/>
      <c r="M574" s="30"/>
      <c r="O574" s="32"/>
      <c r="P574" s="32"/>
    </row>
    <row r="575">
      <c r="B575" s="35"/>
      <c r="G575" s="30"/>
      <c r="H575" s="30"/>
      <c r="L575" s="30"/>
      <c r="M575" s="30"/>
      <c r="O575" s="32"/>
      <c r="P575" s="32"/>
    </row>
    <row r="576">
      <c r="B576" s="35"/>
      <c r="G576" s="30"/>
      <c r="H576" s="30"/>
      <c r="L576" s="30"/>
      <c r="M576" s="30"/>
      <c r="O576" s="32"/>
      <c r="P576" s="32"/>
    </row>
    <row r="577">
      <c r="B577" s="35"/>
      <c r="G577" s="30"/>
      <c r="H577" s="30"/>
      <c r="L577" s="30"/>
      <c r="M577" s="30"/>
      <c r="O577" s="32"/>
      <c r="P577" s="32"/>
    </row>
    <row r="578">
      <c r="B578" s="35"/>
      <c r="G578" s="30"/>
      <c r="H578" s="30"/>
      <c r="L578" s="30"/>
      <c r="M578" s="30"/>
      <c r="O578" s="32"/>
      <c r="P578" s="32"/>
    </row>
    <row r="579">
      <c r="B579" s="35"/>
      <c r="G579" s="30"/>
      <c r="H579" s="30"/>
      <c r="L579" s="30"/>
      <c r="M579" s="30"/>
      <c r="O579" s="32"/>
      <c r="P579" s="32"/>
    </row>
    <row r="580">
      <c r="B580" s="35"/>
      <c r="G580" s="30"/>
      <c r="H580" s="30"/>
      <c r="L580" s="30"/>
      <c r="M580" s="30"/>
      <c r="O580" s="32"/>
      <c r="P580" s="32"/>
    </row>
    <row r="581">
      <c r="B581" s="35"/>
      <c r="G581" s="30"/>
      <c r="H581" s="30"/>
      <c r="L581" s="30"/>
      <c r="M581" s="30"/>
      <c r="O581" s="32"/>
      <c r="P581" s="32"/>
    </row>
    <row r="582">
      <c r="B582" s="35"/>
      <c r="G582" s="30"/>
      <c r="H582" s="30"/>
      <c r="L582" s="30"/>
      <c r="M582" s="30"/>
      <c r="O582" s="32"/>
      <c r="P582" s="32"/>
    </row>
    <row r="583">
      <c r="B583" s="35"/>
      <c r="G583" s="30"/>
      <c r="H583" s="30"/>
      <c r="L583" s="30"/>
      <c r="M583" s="30"/>
      <c r="O583" s="32"/>
      <c r="P583" s="32"/>
    </row>
    <row r="584">
      <c r="B584" s="35"/>
      <c r="G584" s="30"/>
      <c r="H584" s="30"/>
      <c r="L584" s="30"/>
      <c r="M584" s="30"/>
      <c r="O584" s="32"/>
      <c r="P584" s="32"/>
    </row>
    <row r="585">
      <c r="B585" s="35"/>
      <c r="G585" s="30"/>
      <c r="H585" s="30"/>
      <c r="L585" s="30"/>
      <c r="M585" s="30"/>
      <c r="O585" s="32"/>
      <c r="P585" s="32"/>
    </row>
    <row r="586">
      <c r="B586" s="35"/>
      <c r="G586" s="30"/>
      <c r="H586" s="30"/>
      <c r="L586" s="30"/>
      <c r="M586" s="30"/>
      <c r="O586" s="32"/>
      <c r="P586" s="32"/>
    </row>
    <row r="587">
      <c r="B587" s="35"/>
      <c r="G587" s="30"/>
      <c r="H587" s="30"/>
      <c r="L587" s="30"/>
      <c r="M587" s="30"/>
      <c r="O587" s="32"/>
      <c r="P587" s="32"/>
    </row>
    <row r="588">
      <c r="B588" s="35"/>
      <c r="G588" s="30"/>
      <c r="H588" s="30"/>
      <c r="L588" s="30"/>
      <c r="M588" s="30"/>
      <c r="O588" s="32"/>
      <c r="P588" s="32"/>
    </row>
    <row r="589">
      <c r="B589" s="35"/>
      <c r="G589" s="30"/>
      <c r="H589" s="30"/>
      <c r="L589" s="30"/>
      <c r="M589" s="30"/>
      <c r="O589" s="32"/>
      <c r="P589" s="32"/>
    </row>
    <row r="590">
      <c r="B590" s="35"/>
      <c r="G590" s="30"/>
      <c r="H590" s="30"/>
      <c r="L590" s="30"/>
      <c r="M590" s="30"/>
      <c r="O590" s="32"/>
      <c r="P590" s="32"/>
    </row>
    <row r="591">
      <c r="B591" s="35"/>
      <c r="G591" s="30"/>
      <c r="H591" s="30"/>
      <c r="L591" s="30"/>
      <c r="M591" s="30"/>
      <c r="O591" s="32"/>
      <c r="P591" s="32"/>
    </row>
    <row r="592">
      <c r="B592" s="35"/>
      <c r="G592" s="30"/>
      <c r="H592" s="30"/>
      <c r="L592" s="30"/>
      <c r="M592" s="30"/>
      <c r="O592" s="32"/>
      <c r="P592" s="32"/>
    </row>
    <row r="593">
      <c r="B593" s="35"/>
      <c r="G593" s="30"/>
      <c r="H593" s="30"/>
      <c r="L593" s="30"/>
      <c r="M593" s="30"/>
      <c r="O593" s="32"/>
      <c r="P593" s="32"/>
    </row>
    <row r="594">
      <c r="B594" s="35"/>
      <c r="G594" s="30"/>
      <c r="H594" s="30"/>
      <c r="L594" s="30"/>
      <c r="M594" s="30"/>
      <c r="O594" s="32"/>
      <c r="P594" s="32"/>
    </row>
    <row r="595">
      <c r="B595" s="35"/>
      <c r="G595" s="30"/>
      <c r="H595" s="30"/>
      <c r="L595" s="30"/>
      <c r="M595" s="30"/>
      <c r="O595" s="32"/>
      <c r="P595" s="32"/>
    </row>
    <row r="596">
      <c r="B596" s="35"/>
      <c r="G596" s="30"/>
      <c r="H596" s="30"/>
      <c r="L596" s="30"/>
      <c r="M596" s="30"/>
      <c r="O596" s="32"/>
      <c r="P596" s="32"/>
    </row>
    <row r="597">
      <c r="B597" s="35"/>
      <c r="G597" s="30"/>
      <c r="H597" s="30"/>
      <c r="L597" s="30"/>
      <c r="M597" s="30"/>
      <c r="O597" s="32"/>
      <c r="P597" s="32"/>
    </row>
    <row r="598">
      <c r="B598" s="35"/>
      <c r="G598" s="30"/>
      <c r="H598" s="30"/>
      <c r="L598" s="30"/>
      <c r="M598" s="30"/>
      <c r="O598" s="32"/>
      <c r="P598" s="32"/>
    </row>
    <row r="599">
      <c r="B599" s="35"/>
      <c r="G599" s="30"/>
      <c r="H599" s="30"/>
      <c r="L599" s="30"/>
      <c r="M599" s="30"/>
      <c r="O599" s="32"/>
      <c r="P599" s="32"/>
    </row>
    <row r="600">
      <c r="B600" s="35"/>
      <c r="G600" s="30"/>
      <c r="H600" s="30"/>
      <c r="L600" s="30"/>
      <c r="M600" s="30"/>
      <c r="O600" s="32"/>
      <c r="P600" s="32"/>
    </row>
    <row r="601">
      <c r="B601" s="35"/>
      <c r="G601" s="30"/>
      <c r="H601" s="30"/>
      <c r="L601" s="30"/>
      <c r="M601" s="30"/>
      <c r="O601" s="32"/>
      <c r="P601" s="32"/>
    </row>
    <row r="602">
      <c r="B602" s="35"/>
      <c r="G602" s="30"/>
      <c r="H602" s="30"/>
      <c r="L602" s="30"/>
      <c r="M602" s="30"/>
      <c r="O602" s="32"/>
      <c r="P602" s="32"/>
    </row>
    <row r="603">
      <c r="B603" s="35"/>
      <c r="G603" s="30"/>
      <c r="H603" s="30"/>
      <c r="L603" s="30"/>
      <c r="M603" s="30"/>
      <c r="O603" s="32"/>
      <c r="P603" s="32"/>
    </row>
    <row r="604">
      <c r="B604" s="35"/>
      <c r="G604" s="30"/>
      <c r="H604" s="30"/>
      <c r="L604" s="30"/>
      <c r="M604" s="30"/>
      <c r="O604" s="32"/>
      <c r="P604" s="32"/>
    </row>
    <row r="605">
      <c r="B605" s="35"/>
      <c r="G605" s="30"/>
      <c r="H605" s="30"/>
      <c r="L605" s="30"/>
      <c r="M605" s="30"/>
      <c r="O605" s="32"/>
      <c r="P605" s="32"/>
    </row>
    <row r="606">
      <c r="B606" s="35"/>
      <c r="G606" s="30"/>
      <c r="H606" s="30"/>
      <c r="L606" s="30"/>
      <c r="M606" s="30"/>
      <c r="O606" s="32"/>
      <c r="P606" s="32"/>
    </row>
    <row r="607">
      <c r="B607" s="35"/>
      <c r="G607" s="30"/>
      <c r="H607" s="30"/>
      <c r="L607" s="30"/>
      <c r="M607" s="30"/>
      <c r="O607" s="32"/>
      <c r="P607" s="32"/>
    </row>
    <row r="608">
      <c r="B608" s="35"/>
      <c r="G608" s="30"/>
      <c r="H608" s="30"/>
      <c r="L608" s="30"/>
      <c r="M608" s="30"/>
      <c r="O608" s="32"/>
      <c r="P608" s="32"/>
    </row>
    <row r="609">
      <c r="B609" s="35"/>
      <c r="G609" s="30"/>
      <c r="H609" s="30"/>
      <c r="L609" s="30"/>
      <c r="M609" s="30"/>
      <c r="O609" s="32"/>
      <c r="P609" s="32"/>
    </row>
    <row r="610">
      <c r="B610" s="35"/>
      <c r="G610" s="30"/>
      <c r="H610" s="30"/>
      <c r="L610" s="30"/>
      <c r="M610" s="30"/>
      <c r="O610" s="32"/>
      <c r="P610" s="32"/>
    </row>
    <row r="611">
      <c r="B611" s="35"/>
      <c r="G611" s="30"/>
      <c r="H611" s="30"/>
      <c r="L611" s="30"/>
      <c r="M611" s="30"/>
      <c r="O611" s="32"/>
      <c r="P611" s="32"/>
    </row>
    <row r="612">
      <c r="B612" s="35"/>
      <c r="G612" s="30"/>
      <c r="H612" s="30"/>
      <c r="L612" s="30"/>
      <c r="M612" s="30"/>
      <c r="O612" s="32"/>
      <c r="P612" s="32"/>
    </row>
    <row r="613">
      <c r="B613" s="35"/>
      <c r="G613" s="30"/>
      <c r="H613" s="30"/>
      <c r="L613" s="30"/>
      <c r="M613" s="30"/>
      <c r="O613" s="32"/>
      <c r="P613" s="32"/>
    </row>
    <row r="614">
      <c r="B614" s="35"/>
      <c r="G614" s="30"/>
      <c r="H614" s="30"/>
      <c r="L614" s="30"/>
      <c r="M614" s="30"/>
      <c r="O614" s="32"/>
      <c r="P614" s="32"/>
    </row>
    <row r="615">
      <c r="B615" s="35"/>
      <c r="G615" s="30"/>
      <c r="H615" s="30"/>
      <c r="L615" s="30"/>
      <c r="M615" s="30"/>
      <c r="O615" s="32"/>
      <c r="P615" s="32"/>
    </row>
    <row r="616">
      <c r="B616" s="35"/>
      <c r="G616" s="30"/>
      <c r="H616" s="30"/>
      <c r="L616" s="30"/>
      <c r="M616" s="30"/>
      <c r="O616" s="32"/>
      <c r="P616" s="32"/>
    </row>
    <row r="617">
      <c r="B617" s="35"/>
      <c r="G617" s="30"/>
      <c r="H617" s="30"/>
      <c r="L617" s="30"/>
      <c r="M617" s="30"/>
      <c r="O617" s="32"/>
      <c r="P617" s="32"/>
    </row>
    <row r="618">
      <c r="B618" s="35"/>
      <c r="G618" s="30"/>
      <c r="H618" s="30"/>
      <c r="L618" s="30"/>
      <c r="M618" s="30"/>
      <c r="O618" s="32"/>
      <c r="P618" s="32"/>
    </row>
    <row r="619">
      <c r="B619" s="35"/>
      <c r="G619" s="30"/>
      <c r="H619" s="30"/>
      <c r="L619" s="30"/>
      <c r="M619" s="30"/>
      <c r="O619" s="32"/>
      <c r="P619" s="32"/>
    </row>
    <row r="620">
      <c r="B620" s="35"/>
      <c r="G620" s="30"/>
      <c r="H620" s="30"/>
      <c r="L620" s="30"/>
      <c r="M620" s="30"/>
      <c r="O620" s="32"/>
      <c r="P620" s="32"/>
    </row>
    <row r="621">
      <c r="B621" s="35"/>
      <c r="G621" s="30"/>
      <c r="H621" s="30"/>
      <c r="L621" s="30"/>
      <c r="M621" s="30"/>
      <c r="O621" s="32"/>
      <c r="P621" s="32"/>
    </row>
    <row r="622">
      <c r="B622" s="35"/>
      <c r="G622" s="30"/>
      <c r="H622" s="30"/>
      <c r="L622" s="30"/>
      <c r="M622" s="30"/>
      <c r="O622" s="32"/>
      <c r="P622" s="32"/>
    </row>
    <row r="623">
      <c r="B623" s="35"/>
      <c r="G623" s="30"/>
      <c r="H623" s="30"/>
      <c r="L623" s="30"/>
      <c r="M623" s="30"/>
      <c r="O623" s="32"/>
      <c r="P623" s="32"/>
    </row>
    <row r="624">
      <c r="B624" s="35"/>
      <c r="G624" s="30"/>
      <c r="H624" s="30"/>
      <c r="L624" s="30"/>
      <c r="M624" s="30"/>
      <c r="O624" s="32"/>
      <c r="P624" s="32"/>
    </row>
    <row r="625">
      <c r="B625" s="35"/>
      <c r="G625" s="30"/>
      <c r="H625" s="30"/>
      <c r="L625" s="30"/>
      <c r="M625" s="30"/>
      <c r="O625" s="32"/>
      <c r="P625" s="32"/>
    </row>
    <row r="626">
      <c r="B626" s="35"/>
      <c r="G626" s="30"/>
      <c r="H626" s="30"/>
      <c r="L626" s="30"/>
      <c r="M626" s="30"/>
      <c r="O626" s="32"/>
      <c r="P626" s="32"/>
    </row>
    <row r="627">
      <c r="B627" s="35"/>
      <c r="G627" s="30"/>
      <c r="H627" s="30"/>
      <c r="L627" s="30"/>
      <c r="M627" s="30"/>
      <c r="O627" s="32"/>
      <c r="P627" s="32"/>
    </row>
    <row r="628">
      <c r="B628" s="35"/>
      <c r="G628" s="30"/>
      <c r="H628" s="30"/>
      <c r="L628" s="30"/>
      <c r="M628" s="30"/>
      <c r="O628" s="32"/>
      <c r="P628" s="32"/>
    </row>
    <row r="629">
      <c r="B629" s="35"/>
      <c r="G629" s="30"/>
      <c r="H629" s="30"/>
      <c r="L629" s="30"/>
      <c r="M629" s="30"/>
      <c r="O629" s="32"/>
      <c r="P629" s="32"/>
    </row>
    <row r="630">
      <c r="B630" s="35"/>
      <c r="G630" s="30"/>
      <c r="H630" s="30"/>
      <c r="L630" s="30"/>
      <c r="M630" s="30"/>
      <c r="O630" s="32"/>
      <c r="P630" s="32"/>
    </row>
    <row r="631">
      <c r="B631" s="35"/>
      <c r="G631" s="30"/>
      <c r="H631" s="30"/>
      <c r="L631" s="30"/>
      <c r="M631" s="30"/>
      <c r="O631" s="32"/>
      <c r="P631" s="32"/>
    </row>
    <row r="632">
      <c r="B632" s="35"/>
      <c r="G632" s="30"/>
      <c r="H632" s="30"/>
      <c r="L632" s="30"/>
      <c r="M632" s="30"/>
      <c r="O632" s="32"/>
      <c r="P632" s="32"/>
    </row>
    <row r="633">
      <c r="B633" s="35"/>
      <c r="G633" s="30"/>
      <c r="H633" s="30"/>
      <c r="L633" s="30"/>
      <c r="M633" s="30"/>
      <c r="O633" s="32"/>
      <c r="P633" s="32"/>
    </row>
    <row r="634">
      <c r="B634" s="35"/>
      <c r="G634" s="30"/>
      <c r="H634" s="30"/>
      <c r="L634" s="30"/>
      <c r="M634" s="30"/>
      <c r="O634" s="32"/>
      <c r="P634" s="32"/>
    </row>
    <row r="635">
      <c r="B635" s="35"/>
      <c r="G635" s="30"/>
      <c r="H635" s="30"/>
      <c r="L635" s="30"/>
      <c r="M635" s="30"/>
      <c r="O635" s="32"/>
      <c r="P635" s="32"/>
    </row>
    <row r="636">
      <c r="B636" s="35"/>
      <c r="G636" s="30"/>
      <c r="H636" s="30"/>
      <c r="L636" s="30"/>
      <c r="M636" s="30"/>
      <c r="O636" s="32"/>
      <c r="P636" s="32"/>
    </row>
    <row r="637">
      <c r="B637" s="35"/>
      <c r="G637" s="30"/>
      <c r="H637" s="30"/>
      <c r="L637" s="30"/>
      <c r="M637" s="30"/>
      <c r="O637" s="32"/>
      <c r="P637" s="32"/>
    </row>
    <row r="638">
      <c r="B638" s="35"/>
      <c r="G638" s="30"/>
      <c r="H638" s="30"/>
      <c r="L638" s="30"/>
      <c r="M638" s="30"/>
      <c r="O638" s="32"/>
      <c r="P638" s="32"/>
    </row>
    <row r="639">
      <c r="B639" s="35"/>
      <c r="G639" s="30"/>
      <c r="H639" s="30"/>
      <c r="L639" s="30"/>
      <c r="M639" s="30"/>
      <c r="O639" s="32"/>
      <c r="P639" s="32"/>
    </row>
    <row r="640">
      <c r="B640" s="35"/>
      <c r="G640" s="30"/>
      <c r="H640" s="30"/>
      <c r="L640" s="30"/>
      <c r="M640" s="30"/>
      <c r="O640" s="32"/>
      <c r="P640" s="32"/>
    </row>
    <row r="641">
      <c r="B641" s="35"/>
      <c r="G641" s="30"/>
      <c r="H641" s="30"/>
      <c r="L641" s="30"/>
      <c r="M641" s="30"/>
      <c r="O641" s="32"/>
      <c r="P641" s="32"/>
    </row>
    <row r="642">
      <c r="B642" s="35"/>
      <c r="G642" s="30"/>
      <c r="H642" s="30"/>
      <c r="L642" s="30"/>
      <c r="M642" s="30"/>
      <c r="O642" s="32"/>
      <c r="P642" s="32"/>
    </row>
    <row r="643">
      <c r="B643" s="35"/>
      <c r="G643" s="30"/>
      <c r="H643" s="30"/>
      <c r="L643" s="30"/>
      <c r="M643" s="30"/>
      <c r="O643" s="32"/>
      <c r="P643" s="32"/>
    </row>
    <row r="644">
      <c r="B644" s="35"/>
      <c r="G644" s="30"/>
      <c r="H644" s="30"/>
      <c r="L644" s="30"/>
      <c r="M644" s="30"/>
      <c r="O644" s="32"/>
      <c r="P644" s="32"/>
    </row>
    <row r="645">
      <c r="B645" s="35"/>
      <c r="G645" s="30"/>
      <c r="H645" s="30"/>
      <c r="L645" s="30"/>
      <c r="M645" s="30"/>
      <c r="O645" s="32"/>
      <c r="P645" s="32"/>
    </row>
    <row r="646">
      <c r="B646" s="35"/>
      <c r="G646" s="30"/>
      <c r="H646" s="30"/>
      <c r="L646" s="30"/>
      <c r="M646" s="30"/>
      <c r="O646" s="32"/>
      <c r="P646" s="32"/>
    </row>
    <row r="647">
      <c r="B647" s="35"/>
      <c r="G647" s="30"/>
      <c r="H647" s="30"/>
      <c r="L647" s="30"/>
      <c r="M647" s="30"/>
      <c r="O647" s="32"/>
      <c r="P647" s="32"/>
    </row>
    <row r="648">
      <c r="B648" s="35"/>
      <c r="G648" s="30"/>
      <c r="H648" s="30"/>
      <c r="L648" s="30"/>
      <c r="M648" s="30"/>
      <c r="O648" s="32"/>
      <c r="P648" s="32"/>
    </row>
    <row r="649">
      <c r="B649" s="35"/>
      <c r="G649" s="30"/>
      <c r="H649" s="30"/>
      <c r="L649" s="30"/>
      <c r="M649" s="30"/>
      <c r="O649" s="32"/>
      <c r="P649" s="32"/>
    </row>
    <row r="650">
      <c r="B650" s="35"/>
      <c r="G650" s="30"/>
      <c r="H650" s="30"/>
      <c r="L650" s="30"/>
      <c r="M650" s="30"/>
      <c r="O650" s="32"/>
      <c r="P650" s="32"/>
    </row>
    <row r="651">
      <c r="B651" s="35"/>
      <c r="G651" s="30"/>
      <c r="H651" s="30"/>
      <c r="L651" s="30"/>
      <c r="M651" s="30"/>
      <c r="O651" s="32"/>
      <c r="P651" s="32"/>
    </row>
    <row r="652">
      <c r="B652" s="35"/>
      <c r="G652" s="30"/>
      <c r="H652" s="30"/>
      <c r="L652" s="30"/>
      <c r="M652" s="30"/>
      <c r="O652" s="32"/>
      <c r="P652" s="32"/>
    </row>
    <row r="653">
      <c r="B653" s="35"/>
      <c r="G653" s="30"/>
      <c r="H653" s="30"/>
      <c r="L653" s="30"/>
      <c r="M653" s="30"/>
      <c r="O653" s="32"/>
      <c r="P653" s="32"/>
    </row>
    <row r="654">
      <c r="B654" s="35"/>
      <c r="G654" s="30"/>
      <c r="H654" s="30"/>
      <c r="L654" s="30"/>
      <c r="M654" s="30"/>
      <c r="O654" s="32"/>
      <c r="P654" s="32"/>
    </row>
    <row r="655">
      <c r="B655" s="35"/>
      <c r="G655" s="30"/>
      <c r="H655" s="30"/>
      <c r="L655" s="30"/>
      <c r="M655" s="30"/>
      <c r="O655" s="32"/>
      <c r="P655" s="32"/>
    </row>
    <row r="656">
      <c r="B656" s="35"/>
      <c r="G656" s="30"/>
      <c r="H656" s="30"/>
      <c r="L656" s="30"/>
      <c r="M656" s="30"/>
      <c r="O656" s="32"/>
      <c r="P656" s="32"/>
    </row>
    <row r="657">
      <c r="B657" s="35"/>
      <c r="G657" s="30"/>
      <c r="H657" s="30"/>
      <c r="L657" s="30"/>
      <c r="M657" s="30"/>
      <c r="O657" s="32"/>
      <c r="P657" s="32"/>
    </row>
    <row r="658">
      <c r="B658" s="35"/>
      <c r="G658" s="30"/>
      <c r="H658" s="30"/>
      <c r="L658" s="30"/>
      <c r="M658" s="30"/>
      <c r="O658" s="32"/>
      <c r="P658" s="32"/>
    </row>
    <row r="659">
      <c r="B659" s="35"/>
      <c r="G659" s="30"/>
      <c r="H659" s="30"/>
      <c r="L659" s="30"/>
      <c r="M659" s="30"/>
      <c r="O659" s="32"/>
      <c r="P659" s="32"/>
    </row>
    <row r="660">
      <c r="B660" s="35"/>
      <c r="G660" s="30"/>
      <c r="H660" s="30"/>
      <c r="L660" s="30"/>
      <c r="M660" s="30"/>
      <c r="O660" s="32"/>
      <c r="P660" s="32"/>
    </row>
    <row r="661">
      <c r="B661" s="35"/>
      <c r="G661" s="30"/>
      <c r="H661" s="30"/>
      <c r="L661" s="30"/>
      <c r="M661" s="30"/>
      <c r="O661" s="32"/>
      <c r="P661" s="32"/>
    </row>
    <row r="662">
      <c r="B662" s="35"/>
      <c r="G662" s="30"/>
      <c r="H662" s="30"/>
      <c r="L662" s="30"/>
      <c r="M662" s="30"/>
      <c r="O662" s="32"/>
      <c r="P662" s="32"/>
    </row>
    <row r="663">
      <c r="B663" s="35"/>
      <c r="G663" s="30"/>
      <c r="H663" s="30"/>
      <c r="L663" s="30"/>
      <c r="M663" s="30"/>
      <c r="O663" s="32"/>
      <c r="P663" s="32"/>
    </row>
    <row r="664">
      <c r="B664" s="35"/>
      <c r="G664" s="30"/>
      <c r="H664" s="30"/>
      <c r="L664" s="30"/>
      <c r="M664" s="30"/>
      <c r="O664" s="32"/>
      <c r="P664" s="32"/>
    </row>
    <row r="665">
      <c r="B665" s="35"/>
      <c r="G665" s="30"/>
      <c r="H665" s="30"/>
      <c r="L665" s="30"/>
      <c r="M665" s="30"/>
      <c r="O665" s="32"/>
      <c r="P665" s="32"/>
    </row>
    <row r="666">
      <c r="B666" s="35"/>
      <c r="G666" s="30"/>
      <c r="H666" s="30"/>
      <c r="L666" s="30"/>
      <c r="M666" s="30"/>
      <c r="O666" s="32"/>
      <c r="P666" s="32"/>
    </row>
    <row r="667">
      <c r="B667" s="35"/>
      <c r="G667" s="30"/>
      <c r="H667" s="30"/>
      <c r="L667" s="30"/>
      <c r="M667" s="30"/>
      <c r="O667" s="32"/>
      <c r="P667" s="32"/>
    </row>
    <row r="668">
      <c r="B668" s="35"/>
      <c r="G668" s="30"/>
      <c r="H668" s="30"/>
      <c r="L668" s="30"/>
      <c r="M668" s="30"/>
      <c r="O668" s="32"/>
      <c r="P668" s="32"/>
    </row>
    <row r="669">
      <c r="B669" s="35"/>
      <c r="G669" s="30"/>
      <c r="H669" s="30"/>
      <c r="L669" s="30"/>
      <c r="M669" s="30"/>
      <c r="O669" s="32"/>
      <c r="P669" s="32"/>
    </row>
    <row r="670">
      <c r="B670" s="35"/>
      <c r="G670" s="30"/>
      <c r="H670" s="30"/>
      <c r="L670" s="30"/>
      <c r="M670" s="30"/>
      <c r="O670" s="32"/>
      <c r="P670" s="32"/>
    </row>
    <row r="671">
      <c r="B671" s="35"/>
      <c r="G671" s="30"/>
      <c r="H671" s="30"/>
      <c r="L671" s="30"/>
      <c r="M671" s="30"/>
      <c r="O671" s="32"/>
      <c r="P671" s="32"/>
    </row>
    <row r="672">
      <c r="B672" s="35"/>
      <c r="G672" s="30"/>
      <c r="H672" s="30"/>
      <c r="L672" s="30"/>
      <c r="M672" s="30"/>
      <c r="O672" s="32"/>
      <c r="P672" s="32"/>
    </row>
    <row r="673">
      <c r="B673" s="35"/>
      <c r="G673" s="30"/>
      <c r="H673" s="30"/>
      <c r="L673" s="30"/>
      <c r="M673" s="30"/>
      <c r="O673" s="32"/>
      <c r="P673" s="32"/>
    </row>
    <row r="674">
      <c r="B674" s="35"/>
      <c r="G674" s="30"/>
      <c r="H674" s="30"/>
      <c r="L674" s="30"/>
      <c r="M674" s="30"/>
      <c r="O674" s="32"/>
      <c r="P674" s="32"/>
    </row>
    <row r="675">
      <c r="B675" s="35"/>
      <c r="G675" s="30"/>
      <c r="H675" s="30"/>
      <c r="L675" s="30"/>
      <c r="M675" s="30"/>
      <c r="O675" s="32"/>
      <c r="P675" s="32"/>
    </row>
    <row r="676">
      <c r="B676" s="35"/>
      <c r="G676" s="30"/>
      <c r="H676" s="30"/>
      <c r="L676" s="30"/>
      <c r="M676" s="30"/>
      <c r="O676" s="32"/>
      <c r="P676" s="32"/>
    </row>
    <row r="677">
      <c r="B677" s="35"/>
      <c r="G677" s="30"/>
      <c r="H677" s="30"/>
      <c r="L677" s="30"/>
      <c r="M677" s="30"/>
      <c r="O677" s="32"/>
      <c r="P677" s="32"/>
    </row>
    <row r="678">
      <c r="B678" s="35"/>
      <c r="G678" s="30"/>
      <c r="H678" s="30"/>
      <c r="L678" s="30"/>
      <c r="M678" s="30"/>
      <c r="O678" s="32"/>
      <c r="P678" s="32"/>
    </row>
    <row r="679">
      <c r="B679" s="35"/>
      <c r="G679" s="30"/>
      <c r="H679" s="30"/>
      <c r="L679" s="30"/>
      <c r="M679" s="30"/>
      <c r="O679" s="32"/>
      <c r="P679" s="32"/>
    </row>
    <row r="680">
      <c r="B680" s="35"/>
      <c r="G680" s="30"/>
      <c r="H680" s="30"/>
      <c r="L680" s="30"/>
      <c r="M680" s="30"/>
      <c r="O680" s="32"/>
      <c r="P680" s="32"/>
    </row>
    <row r="681">
      <c r="B681" s="35"/>
      <c r="G681" s="30"/>
      <c r="H681" s="30"/>
      <c r="L681" s="30"/>
      <c r="M681" s="30"/>
      <c r="O681" s="32"/>
      <c r="P681" s="32"/>
    </row>
    <row r="682">
      <c r="B682" s="35"/>
      <c r="G682" s="30"/>
      <c r="H682" s="30"/>
      <c r="L682" s="30"/>
      <c r="M682" s="30"/>
      <c r="O682" s="32"/>
      <c r="P682" s="32"/>
    </row>
    <row r="683">
      <c r="B683" s="35"/>
      <c r="G683" s="30"/>
      <c r="H683" s="30"/>
      <c r="L683" s="30"/>
      <c r="M683" s="30"/>
      <c r="O683" s="32"/>
      <c r="P683" s="32"/>
    </row>
    <row r="684">
      <c r="B684" s="35"/>
      <c r="G684" s="30"/>
      <c r="H684" s="30"/>
      <c r="L684" s="30"/>
      <c r="M684" s="30"/>
      <c r="O684" s="32"/>
      <c r="P684" s="32"/>
    </row>
    <row r="685">
      <c r="B685" s="35"/>
      <c r="G685" s="30"/>
      <c r="H685" s="30"/>
      <c r="L685" s="30"/>
      <c r="M685" s="30"/>
      <c r="O685" s="32"/>
      <c r="P685" s="32"/>
    </row>
    <row r="686">
      <c r="B686" s="35"/>
      <c r="G686" s="30"/>
      <c r="H686" s="30"/>
      <c r="L686" s="30"/>
      <c r="M686" s="30"/>
      <c r="O686" s="32"/>
      <c r="P686" s="32"/>
    </row>
    <row r="687">
      <c r="B687" s="35"/>
      <c r="G687" s="30"/>
      <c r="H687" s="30"/>
      <c r="L687" s="30"/>
      <c r="M687" s="30"/>
      <c r="O687" s="32"/>
      <c r="P687" s="32"/>
    </row>
    <row r="688">
      <c r="B688" s="35"/>
      <c r="G688" s="30"/>
      <c r="H688" s="30"/>
      <c r="L688" s="30"/>
      <c r="M688" s="30"/>
      <c r="O688" s="32"/>
      <c r="P688" s="32"/>
    </row>
    <row r="689">
      <c r="B689" s="35"/>
      <c r="G689" s="30"/>
      <c r="H689" s="30"/>
      <c r="L689" s="30"/>
      <c r="M689" s="30"/>
      <c r="O689" s="32"/>
      <c r="P689" s="32"/>
    </row>
    <row r="690">
      <c r="B690" s="35"/>
      <c r="G690" s="30"/>
      <c r="H690" s="30"/>
      <c r="L690" s="30"/>
      <c r="M690" s="30"/>
      <c r="O690" s="32"/>
      <c r="P690" s="32"/>
    </row>
    <row r="691">
      <c r="B691" s="35"/>
      <c r="G691" s="30"/>
      <c r="H691" s="30"/>
      <c r="L691" s="30"/>
      <c r="M691" s="30"/>
      <c r="O691" s="32"/>
      <c r="P691" s="32"/>
    </row>
    <row r="692">
      <c r="B692" s="35"/>
      <c r="G692" s="30"/>
      <c r="H692" s="30"/>
      <c r="L692" s="30"/>
      <c r="M692" s="30"/>
      <c r="O692" s="32"/>
      <c r="P692" s="32"/>
    </row>
    <row r="693">
      <c r="B693" s="35"/>
      <c r="G693" s="30"/>
      <c r="H693" s="30"/>
      <c r="L693" s="30"/>
      <c r="M693" s="30"/>
      <c r="O693" s="32"/>
      <c r="P693" s="32"/>
    </row>
    <row r="694">
      <c r="B694" s="35"/>
      <c r="G694" s="30"/>
      <c r="H694" s="30"/>
      <c r="L694" s="30"/>
      <c r="M694" s="30"/>
      <c r="O694" s="32"/>
      <c r="P694" s="32"/>
    </row>
    <row r="695">
      <c r="B695" s="35"/>
      <c r="G695" s="30"/>
      <c r="H695" s="30"/>
      <c r="L695" s="30"/>
      <c r="M695" s="30"/>
      <c r="O695" s="32"/>
      <c r="P695" s="32"/>
    </row>
    <row r="696">
      <c r="B696" s="35"/>
      <c r="G696" s="30"/>
      <c r="H696" s="30"/>
      <c r="L696" s="30"/>
      <c r="M696" s="30"/>
      <c r="O696" s="32"/>
      <c r="P696" s="32"/>
    </row>
    <row r="697">
      <c r="B697" s="35"/>
      <c r="G697" s="30"/>
      <c r="H697" s="30"/>
      <c r="L697" s="30"/>
      <c r="M697" s="30"/>
      <c r="O697" s="32"/>
      <c r="P697" s="32"/>
    </row>
    <row r="698">
      <c r="B698" s="35"/>
      <c r="G698" s="30"/>
      <c r="H698" s="30"/>
      <c r="L698" s="30"/>
      <c r="M698" s="30"/>
      <c r="O698" s="32"/>
      <c r="P698" s="32"/>
    </row>
    <row r="699">
      <c r="B699" s="35"/>
      <c r="G699" s="30"/>
      <c r="H699" s="30"/>
      <c r="L699" s="30"/>
      <c r="M699" s="30"/>
      <c r="O699" s="32"/>
      <c r="P699" s="32"/>
    </row>
    <row r="700">
      <c r="B700" s="35"/>
      <c r="G700" s="30"/>
      <c r="H700" s="30"/>
      <c r="L700" s="30"/>
      <c r="M700" s="30"/>
      <c r="O700" s="32"/>
      <c r="P700" s="32"/>
    </row>
    <row r="701">
      <c r="B701" s="35"/>
      <c r="G701" s="30"/>
      <c r="H701" s="30"/>
      <c r="L701" s="30"/>
      <c r="M701" s="30"/>
      <c r="O701" s="32"/>
      <c r="P701" s="32"/>
    </row>
    <row r="702">
      <c r="B702" s="35"/>
      <c r="G702" s="30"/>
      <c r="H702" s="30"/>
      <c r="L702" s="30"/>
      <c r="M702" s="30"/>
      <c r="O702" s="32"/>
      <c r="P702" s="32"/>
    </row>
    <row r="703">
      <c r="B703" s="35"/>
      <c r="G703" s="30"/>
      <c r="H703" s="30"/>
      <c r="L703" s="30"/>
      <c r="M703" s="30"/>
      <c r="O703" s="32"/>
      <c r="P703" s="32"/>
    </row>
    <row r="704">
      <c r="B704" s="35"/>
      <c r="G704" s="30"/>
      <c r="H704" s="30"/>
      <c r="L704" s="30"/>
      <c r="M704" s="30"/>
      <c r="O704" s="32"/>
      <c r="P704" s="32"/>
    </row>
    <row r="705">
      <c r="B705" s="35"/>
      <c r="G705" s="30"/>
      <c r="H705" s="30"/>
      <c r="L705" s="30"/>
      <c r="M705" s="30"/>
      <c r="O705" s="32"/>
      <c r="P705" s="32"/>
    </row>
    <row r="706">
      <c r="B706" s="35"/>
      <c r="G706" s="30"/>
      <c r="H706" s="30"/>
      <c r="L706" s="30"/>
      <c r="M706" s="30"/>
      <c r="O706" s="32"/>
      <c r="P706" s="32"/>
    </row>
    <row r="707">
      <c r="B707" s="35"/>
      <c r="G707" s="30"/>
      <c r="H707" s="30"/>
      <c r="L707" s="30"/>
      <c r="M707" s="30"/>
      <c r="O707" s="32"/>
      <c r="P707" s="32"/>
    </row>
    <row r="708">
      <c r="B708" s="35"/>
      <c r="G708" s="30"/>
      <c r="H708" s="30"/>
      <c r="L708" s="30"/>
      <c r="M708" s="30"/>
      <c r="O708" s="32"/>
      <c r="P708" s="32"/>
    </row>
    <row r="709">
      <c r="B709" s="35"/>
      <c r="G709" s="30"/>
      <c r="H709" s="30"/>
      <c r="L709" s="30"/>
      <c r="M709" s="30"/>
      <c r="O709" s="32"/>
      <c r="P709" s="32"/>
    </row>
    <row r="710">
      <c r="B710" s="35"/>
      <c r="G710" s="30"/>
      <c r="H710" s="30"/>
      <c r="L710" s="30"/>
      <c r="M710" s="30"/>
      <c r="O710" s="32"/>
      <c r="P710" s="32"/>
    </row>
    <row r="711">
      <c r="B711" s="35"/>
      <c r="G711" s="30"/>
      <c r="H711" s="30"/>
      <c r="L711" s="30"/>
      <c r="M711" s="30"/>
      <c r="O711" s="32"/>
      <c r="P711" s="32"/>
    </row>
    <row r="712">
      <c r="B712" s="35"/>
      <c r="G712" s="30"/>
      <c r="H712" s="30"/>
      <c r="L712" s="30"/>
      <c r="M712" s="30"/>
      <c r="O712" s="32"/>
      <c r="P712" s="32"/>
    </row>
    <row r="713">
      <c r="B713" s="35"/>
      <c r="G713" s="30"/>
      <c r="H713" s="30"/>
      <c r="L713" s="30"/>
      <c r="M713" s="30"/>
      <c r="O713" s="32"/>
      <c r="P713" s="32"/>
    </row>
    <row r="714">
      <c r="B714" s="35"/>
      <c r="G714" s="30"/>
      <c r="H714" s="30"/>
      <c r="L714" s="30"/>
      <c r="M714" s="30"/>
      <c r="O714" s="32"/>
      <c r="P714" s="32"/>
    </row>
    <row r="715">
      <c r="B715" s="35"/>
      <c r="G715" s="30"/>
      <c r="H715" s="30"/>
      <c r="L715" s="30"/>
      <c r="M715" s="30"/>
      <c r="O715" s="32"/>
      <c r="P715" s="32"/>
    </row>
    <row r="716">
      <c r="B716" s="35"/>
      <c r="G716" s="30"/>
      <c r="H716" s="30"/>
      <c r="L716" s="30"/>
      <c r="M716" s="30"/>
      <c r="O716" s="32"/>
      <c r="P716" s="32"/>
    </row>
    <row r="717">
      <c r="B717" s="35"/>
      <c r="G717" s="30"/>
      <c r="H717" s="30"/>
      <c r="L717" s="30"/>
      <c r="M717" s="30"/>
      <c r="O717" s="32"/>
      <c r="P717" s="32"/>
    </row>
    <row r="718">
      <c r="B718" s="35"/>
      <c r="G718" s="30"/>
      <c r="H718" s="30"/>
      <c r="L718" s="30"/>
      <c r="M718" s="30"/>
      <c r="O718" s="32"/>
      <c r="P718" s="32"/>
    </row>
    <row r="719">
      <c r="B719" s="35"/>
      <c r="G719" s="30"/>
      <c r="H719" s="30"/>
      <c r="L719" s="30"/>
      <c r="M719" s="30"/>
      <c r="O719" s="32"/>
      <c r="P719" s="32"/>
    </row>
    <row r="720">
      <c r="B720" s="35"/>
      <c r="G720" s="30"/>
      <c r="H720" s="30"/>
      <c r="L720" s="30"/>
      <c r="M720" s="30"/>
      <c r="O720" s="32"/>
      <c r="P720" s="32"/>
    </row>
    <row r="721">
      <c r="B721" s="35"/>
      <c r="G721" s="30"/>
      <c r="H721" s="30"/>
      <c r="L721" s="30"/>
      <c r="M721" s="30"/>
      <c r="O721" s="32"/>
      <c r="P721" s="32"/>
    </row>
    <row r="722">
      <c r="B722" s="35"/>
      <c r="G722" s="30"/>
      <c r="H722" s="30"/>
      <c r="L722" s="30"/>
      <c r="M722" s="30"/>
      <c r="O722" s="32"/>
      <c r="P722" s="32"/>
    </row>
    <row r="723">
      <c r="B723" s="35"/>
      <c r="G723" s="30"/>
      <c r="H723" s="30"/>
      <c r="L723" s="30"/>
      <c r="M723" s="30"/>
      <c r="O723" s="32"/>
      <c r="P723" s="32"/>
    </row>
    <row r="724">
      <c r="B724" s="35"/>
      <c r="G724" s="30"/>
      <c r="H724" s="30"/>
      <c r="L724" s="30"/>
      <c r="M724" s="30"/>
      <c r="O724" s="32"/>
      <c r="P724" s="32"/>
    </row>
    <row r="725">
      <c r="B725" s="35"/>
      <c r="G725" s="30"/>
      <c r="H725" s="30"/>
      <c r="L725" s="30"/>
      <c r="M725" s="30"/>
      <c r="O725" s="32"/>
      <c r="P725" s="32"/>
    </row>
    <row r="726">
      <c r="B726" s="35"/>
      <c r="G726" s="30"/>
      <c r="H726" s="30"/>
      <c r="L726" s="30"/>
      <c r="M726" s="30"/>
      <c r="O726" s="32"/>
      <c r="P726" s="32"/>
    </row>
    <row r="727">
      <c r="B727" s="35"/>
      <c r="G727" s="30"/>
      <c r="H727" s="30"/>
      <c r="L727" s="30"/>
      <c r="M727" s="30"/>
      <c r="O727" s="32"/>
      <c r="P727" s="32"/>
    </row>
    <row r="728">
      <c r="B728" s="35"/>
      <c r="G728" s="30"/>
      <c r="H728" s="30"/>
      <c r="L728" s="30"/>
      <c r="M728" s="30"/>
      <c r="O728" s="32"/>
      <c r="P728" s="32"/>
    </row>
    <row r="729">
      <c r="B729" s="35"/>
      <c r="G729" s="30"/>
      <c r="H729" s="30"/>
      <c r="L729" s="30"/>
      <c r="M729" s="30"/>
      <c r="O729" s="32"/>
      <c r="P729" s="32"/>
    </row>
    <row r="730">
      <c r="B730" s="35"/>
      <c r="G730" s="30"/>
      <c r="H730" s="30"/>
      <c r="L730" s="30"/>
      <c r="M730" s="30"/>
      <c r="O730" s="32"/>
      <c r="P730" s="32"/>
    </row>
    <row r="731">
      <c r="B731" s="35"/>
      <c r="G731" s="30"/>
      <c r="H731" s="30"/>
      <c r="L731" s="30"/>
      <c r="M731" s="30"/>
      <c r="O731" s="32"/>
      <c r="P731" s="32"/>
    </row>
    <row r="732">
      <c r="B732" s="35"/>
      <c r="G732" s="30"/>
      <c r="H732" s="30"/>
      <c r="L732" s="30"/>
      <c r="M732" s="30"/>
      <c r="O732" s="32"/>
      <c r="P732" s="32"/>
    </row>
    <row r="733">
      <c r="B733" s="35"/>
      <c r="G733" s="30"/>
      <c r="H733" s="30"/>
      <c r="L733" s="30"/>
      <c r="M733" s="30"/>
      <c r="O733" s="32"/>
      <c r="P733" s="32"/>
    </row>
    <row r="734">
      <c r="B734" s="35"/>
      <c r="G734" s="30"/>
      <c r="H734" s="30"/>
      <c r="L734" s="30"/>
      <c r="M734" s="30"/>
      <c r="O734" s="32"/>
      <c r="P734" s="32"/>
    </row>
    <row r="735">
      <c r="B735" s="35"/>
      <c r="G735" s="30"/>
      <c r="H735" s="30"/>
      <c r="L735" s="30"/>
      <c r="M735" s="30"/>
      <c r="O735" s="32"/>
      <c r="P735" s="32"/>
    </row>
    <row r="736">
      <c r="B736" s="35"/>
      <c r="G736" s="30"/>
      <c r="H736" s="30"/>
      <c r="L736" s="30"/>
      <c r="M736" s="30"/>
      <c r="O736" s="32"/>
      <c r="P736" s="32"/>
    </row>
    <row r="737">
      <c r="B737" s="35"/>
      <c r="G737" s="30"/>
      <c r="H737" s="30"/>
      <c r="L737" s="30"/>
      <c r="M737" s="30"/>
      <c r="O737" s="32"/>
      <c r="P737" s="32"/>
    </row>
    <row r="738">
      <c r="B738" s="35"/>
      <c r="G738" s="30"/>
      <c r="H738" s="30"/>
      <c r="L738" s="30"/>
      <c r="M738" s="30"/>
      <c r="O738" s="32"/>
      <c r="P738" s="32"/>
    </row>
    <row r="739">
      <c r="B739" s="35"/>
      <c r="G739" s="30"/>
      <c r="H739" s="30"/>
      <c r="L739" s="30"/>
      <c r="M739" s="30"/>
      <c r="O739" s="32"/>
      <c r="P739" s="32"/>
    </row>
    <row r="740">
      <c r="B740" s="35"/>
      <c r="G740" s="30"/>
      <c r="H740" s="30"/>
      <c r="L740" s="30"/>
      <c r="M740" s="30"/>
      <c r="O740" s="32"/>
      <c r="P740" s="32"/>
    </row>
    <row r="741">
      <c r="B741" s="35"/>
      <c r="G741" s="30"/>
      <c r="H741" s="30"/>
      <c r="L741" s="30"/>
      <c r="M741" s="30"/>
      <c r="O741" s="32"/>
      <c r="P741" s="32"/>
    </row>
    <row r="742">
      <c r="B742" s="35"/>
      <c r="G742" s="30"/>
      <c r="H742" s="30"/>
      <c r="L742" s="30"/>
      <c r="M742" s="30"/>
      <c r="O742" s="32"/>
      <c r="P742" s="32"/>
    </row>
    <row r="743">
      <c r="B743" s="35"/>
      <c r="G743" s="30"/>
      <c r="H743" s="30"/>
      <c r="L743" s="30"/>
      <c r="M743" s="30"/>
      <c r="O743" s="32"/>
      <c r="P743" s="32"/>
    </row>
    <row r="744">
      <c r="B744" s="35"/>
      <c r="G744" s="30"/>
      <c r="H744" s="30"/>
      <c r="L744" s="30"/>
      <c r="M744" s="30"/>
      <c r="O744" s="32"/>
      <c r="P744" s="32"/>
    </row>
    <row r="745">
      <c r="B745" s="35"/>
      <c r="G745" s="30"/>
      <c r="H745" s="30"/>
      <c r="L745" s="30"/>
      <c r="M745" s="30"/>
      <c r="O745" s="32"/>
      <c r="P745" s="32"/>
    </row>
    <row r="746">
      <c r="B746" s="35"/>
      <c r="G746" s="30"/>
      <c r="H746" s="30"/>
      <c r="L746" s="30"/>
      <c r="M746" s="30"/>
      <c r="O746" s="32"/>
      <c r="P746" s="32"/>
    </row>
    <row r="747">
      <c r="B747" s="35"/>
      <c r="G747" s="30"/>
      <c r="H747" s="30"/>
      <c r="L747" s="30"/>
      <c r="M747" s="30"/>
      <c r="O747" s="32"/>
      <c r="P747" s="32"/>
    </row>
    <row r="748">
      <c r="B748" s="35"/>
      <c r="G748" s="30"/>
      <c r="H748" s="30"/>
      <c r="L748" s="30"/>
      <c r="M748" s="30"/>
      <c r="O748" s="32"/>
      <c r="P748" s="32"/>
    </row>
    <row r="749">
      <c r="B749" s="35"/>
      <c r="G749" s="30"/>
      <c r="H749" s="30"/>
      <c r="L749" s="30"/>
      <c r="M749" s="30"/>
      <c r="O749" s="32"/>
      <c r="P749" s="32"/>
    </row>
    <row r="750">
      <c r="B750" s="35"/>
      <c r="G750" s="30"/>
      <c r="H750" s="30"/>
      <c r="L750" s="30"/>
      <c r="M750" s="30"/>
      <c r="O750" s="32"/>
      <c r="P750" s="32"/>
    </row>
    <row r="751">
      <c r="B751" s="35"/>
      <c r="G751" s="30"/>
      <c r="H751" s="30"/>
      <c r="L751" s="30"/>
      <c r="M751" s="30"/>
      <c r="O751" s="32"/>
      <c r="P751" s="32"/>
    </row>
    <row r="752">
      <c r="B752" s="35"/>
      <c r="G752" s="30"/>
      <c r="H752" s="30"/>
      <c r="L752" s="30"/>
      <c r="M752" s="30"/>
      <c r="O752" s="32"/>
      <c r="P752" s="32"/>
    </row>
    <row r="753">
      <c r="B753" s="35"/>
      <c r="G753" s="30"/>
      <c r="H753" s="30"/>
      <c r="L753" s="30"/>
      <c r="M753" s="30"/>
      <c r="O753" s="32"/>
      <c r="P753" s="32"/>
    </row>
    <row r="754">
      <c r="B754" s="35"/>
      <c r="G754" s="30"/>
      <c r="H754" s="30"/>
      <c r="L754" s="30"/>
      <c r="M754" s="30"/>
      <c r="O754" s="32"/>
      <c r="P754" s="32"/>
    </row>
    <row r="755">
      <c r="B755" s="35"/>
      <c r="G755" s="30"/>
      <c r="H755" s="30"/>
      <c r="L755" s="30"/>
      <c r="M755" s="30"/>
      <c r="O755" s="32"/>
      <c r="P755" s="32"/>
    </row>
    <row r="756">
      <c r="B756" s="35"/>
      <c r="G756" s="30"/>
      <c r="H756" s="30"/>
      <c r="L756" s="30"/>
      <c r="M756" s="30"/>
      <c r="O756" s="32"/>
      <c r="P756" s="32"/>
    </row>
    <row r="757">
      <c r="B757" s="35"/>
      <c r="G757" s="30"/>
      <c r="H757" s="30"/>
      <c r="L757" s="30"/>
      <c r="M757" s="30"/>
      <c r="O757" s="32"/>
      <c r="P757" s="32"/>
    </row>
    <row r="758">
      <c r="B758" s="35"/>
      <c r="G758" s="30"/>
      <c r="H758" s="30"/>
      <c r="L758" s="30"/>
      <c r="M758" s="30"/>
      <c r="O758" s="32"/>
      <c r="P758" s="32"/>
    </row>
    <row r="759">
      <c r="B759" s="35"/>
      <c r="G759" s="30"/>
      <c r="H759" s="30"/>
      <c r="L759" s="30"/>
      <c r="M759" s="30"/>
      <c r="O759" s="32"/>
      <c r="P759" s="32"/>
    </row>
    <row r="760">
      <c r="B760" s="35"/>
      <c r="G760" s="30"/>
      <c r="H760" s="30"/>
      <c r="L760" s="30"/>
      <c r="M760" s="30"/>
      <c r="O760" s="32"/>
      <c r="P760" s="32"/>
    </row>
    <row r="761">
      <c r="B761" s="35"/>
      <c r="G761" s="30"/>
      <c r="H761" s="30"/>
      <c r="L761" s="30"/>
      <c r="M761" s="30"/>
      <c r="O761" s="32"/>
      <c r="P761" s="32"/>
    </row>
    <row r="762">
      <c r="B762" s="35"/>
      <c r="G762" s="30"/>
      <c r="H762" s="30"/>
      <c r="L762" s="30"/>
      <c r="M762" s="30"/>
      <c r="O762" s="32"/>
      <c r="P762" s="32"/>
    </row>
    <row r="763">
      <c r="B763" s="35"/>
      <c r="G763" s="30"/>
      <c r="H763" s="30"/>
      <c r="L763" s="30"/>
      <c r="M763" s="30"/>
      <c r="O763" s="32"/>
      <c r="P763" s="32"/>
    </row>
    <row r="764">
      <c r="B764" s="35"/>
      <c r="G764" s="30"/>
      <c r="H764" s="30"/>
      <c r="L764" s="30"/>
      <c r="M764" s="30"/>
      <c r="O764" s="32"/>
      <c r="P764" s="32"/>
    </row>
    <row r="765">
      <c r="B765" s="35"/>
      <c r="G765" s="30"/>
      <c r="H765" s="30"/>
      <c r="L765" s="30"/>
      <c r="M765" s="30"/>
      <c r="O765" s="32"/>
      <c r="P765" s="32"/>
    </row>
    <row r="766">
      <c r="B766" s="35"/>
      <c r="G766" s="30"/>
      <c r="H766" s="30"/>
      <c r="L766" s="30"/>
      <c r="M766" s="30"/>
      <c r="O766" s="32"/>
      <c r="P766" s="32"/>
    </row>
    <row r="767">
      <c r="B767" s="35"/>
      <c r="G767" s="30"/>
      <c r="H767" s="30"/>
      <c r="L767" s="30"/>
      <c r="M767" s="30"/>
      <c r="O767" s="32"/>
      <c r="P767" s="32"/>
    </row>
    <row r="768">
      <c r="B768" s="35"/>
      <c r="G768" s="30"/>
      <c r="H768" s="30"/>
      <c r="L768" s="30"/>
      <c r="M768" s="30"/>
      <c r="O768" s="32"/>
      <c r="P768" s="32"/>
    </row>
    <row r="769">
      <c r="B769" s="35"/>
      <c r="G769" s="30"/>
      <c r="H769" s="30"/>
      <c r="L769" s="30"/>
      <c r="M769" s="30"/>
      <c r="O769" s="32"/>
      <c r="P769" s="32"/>
    </row>
    <row r="770">
      <c r="B770" s="35"/>
      <c r="G770" s="30"/>
      <c r="H770" s="30"/>
      <c r="L770" s="30"/>
      <c r="M770" s="30"/>
      <c r="O770" s="32"/>
      <c r="P770" s="32"/>
    </row>
    <row r="771">
      <c r="B771" s="35"/>
      <c r="G771" s="30"/>
      <c r="H771" s="30"/>
      <c r="L771" s="30"/>
      <c r="M771" s="30"/>
      <c r="O771" s="32"/>
      <c r="P771" s="32"/>
    </row>
    <row r="772">
      <c r="B772" s="35"/>
      <c r="G772" s="30"/>
      <c r="H772" s="30"/>
      <c r="L772" s="30"/>
      <c r="M772" s="30"/>
      <c r="O772" s="32"/>
      <c r="P772" s="32"/>
    </row>
    <row r="773">
      <c r="B773" s="35"/>
      <c r="G773" s="30"/>
      <c r="H773" s="30"/>
      <c r="L773" s="30"/>
      <c r="M773" s="30"/>
      <c r="O773" s="32"/>
      <c r="P773" s="32"/>
    </row>
    <row r="774">
      <c r="B774" s="35"/>
      <c r="G774" s="30"/>
      <c r="H774" s="30"/>
      <c r="L774" s="30"/>
      <c r="M774" s="30"/>
      <c r="O774" s="32"/>
      <c r="P774" s="32"/>
    </row>
    <row r="775">
      <c r="B775" s="35"/>
      <c r="G775" s="30"/>
      <c r="H775" s="30"/>
      <c r="L775" s="30"/>
      <c r="M775" s="30"/>
      <c r="O775" s="32"/>
      <c r="P775" s="32"/>
    </row>
    <row r="776">
      <c r="B776" s="35"/>
      <c r="G776" s="30"/>
      <c r="H776" s="30"/>
      <c r="L776" s="30"/>
      <c r="M776" s="30"/>
      <c r="O776" s="32"/>
      <c r="P776" s="32"/>
    </row>
    <row r="777">
      <c r="B777" s="35"/>
      <c r="G777" s="30"/>
      <c r="H777" s="30"/>
      <c r="L777" s="30"/>
      <c r="M777" s="30"/>
      <c r="O777" s="32"/>
      <c r="P777" s="32"/>
    </row>
    <row r="778">
      <c r="B778" s="35"/>
      <c r="G778" s="30"/>
      <c r="H778" s="30"/>
      <c r="L778" s="30"/>
      <c r="M778" s="30"/>
      <c r="O778" s="32"/>
      <c r="P778" s="32"/>
    </row>
    <row r="779">
      <c r="B779" s="35"/>
      <c r="G779" s="30"/>
      <c r="H779" s="30"/>
      <c r="L779" s="30"/>
      <c r="M779" s="30"/>
      <c r="O779" s="32"/>
      <c r="P779" s="32"/>
    </row>
    <row r="780">
      <c r="B780" s="35"/>
      <c r="G780" s="30"/>
      <c r="H780" s="30"/>
      <c r="L780" s="30"/>
      <c r="M780" s="30"/>
      <c r="O780" s="32"/>
      <c r="P780" s="32"/>
    </row>
    <row r="781">
      <c r="B781" s="35"/>
      <c r="G781" s="30"/>
      <c r="H781" s="30"/>
      <c r="L781" s="30"/>
      <c r="M781" s="30"/>
      <c r="O781" s="32"/>
      <c r="P781" s="32"/>
    </row>
    <row r="782">
      <c r="B782" s="35"/>
      <c r="G782" s="30"/>
      <c r="H782" s="30"/>
      <c r="L782" s="30"/>
      <c r="M782" s="30"/>
      <c r="O782" s="32"/>
      <c r="P782" s="32"/>
    </row>
    <row r="783">
      <c r="B783" s="35"/>
      <c r="G783" s="30"/>
      <c r="H783" s="30"/>
      <c r="L783" s="30"/>
      <c r="M783" s="30"/>
      <c r="O783" s="32"/>
      <c r="P783" s="32"/>
    </row>
    <row r="784">
      <c r="B784" s="35"/>
      <c r="G784" s="30"/>
      <c r="H784" s="30"/>
      <c r="L784" s="30"/>
      <c r="M784" s="30"/>
      <c r="O784" s="32"/>
      <c r="P784" s="32"/>
    </row>
    <row r="785">
      <c r="B785" s="35"/>
      <c r="G785" s="30"/>
      <c r="H785" s="30"/>
      <c r="L785" s="30"/>
      <c r="M785" s="30"/>
      <c r="O785" s="32"/>
      <c r="P785" s="32"/>
    </row>
    <row r="786">
      <c r="B786" s="35"/>
      <c r="G786" s="30"/>
      <c r="H786" s="30"/>
      <c r="L786" s="30"/>
      <c r="M786" s="30"/>
      <c r="O786" s="32"/>
      <c r="P786" s="32"/>
    </row>
    <row r="787">
      <c r="B787" s="35"/>
      <c r="G787" s="30"/>
      <c r="H787" s="30"/>
      <c r="L787" s="30"/>
      <c r="M787" s="30"/>
      <c r="O787" s="32"/>
      <c r="P787" s="32"/>
    </row>
    <row r="788">
      <c r="B788" s="35"/>
      <c r="G788" s="30"/>
      <c r="H788" s="30"/>
      <c r="L788" s="30"/>
      <c r="M788" s="30"/>
      <c r="O788" s="32"/>
      <c r="P788" s="32"/>
    </row>
    <row r="789">
      <c r="B789" s="35"/>
      <c r="G789" s="30"/>
      <c r="H789" s="30"/>
      <c r="L789" s="30"/>
      <c r="M789" s="30"/>
      <c r="O789" s="32"/>
      <c r="P789" s="32"/>
    </row>
    <row r="790">
      <c r="B790" s="35"/>
      <c r="G790" s="30"/>
      <c r="H790" s="30"/>
      <c r="L790" s="30"/>
      <c r="M790" s="30"/>
      <c r="O790" s="32"/>
      <c r="P790" s="32"/>
    </row>
    <row r="791">
      <c r="B791" s="35"/>
      <c r="G791" s="30"/>
      <c r="H791" s="30"/>
      <c r="L791" s="30"/>
      <c r="M791" s="30"/>
      <c r="O791" s="32"/>
      <c r="P791" s="32"/>
    </row>
    <row r="792">
      <c r="B792" s="35"/>
      <c r="G792" s="30"/>
      <c r="H792" s="30"/>
      <c r="L792" s="30"/>
      <c r="M792" s="30"/>
      <c r="O792" s="32"/>
      <c r="P792" s="32"/>
    </row>
    <row r="793">
      <c r="B793" s="35"/>
      <c r="G793" s="30"/>
      <c r="H793" s="30"/>
      <c r="L793" s="30"/>
      <c r="M793" s="30"/>
      <c r="O793" s="32"/>
      <c r="P793" s="32"/>
    </row>
    <row r="794">
      <c r="B794" s="35"/>
      <c r="G794" s="30"/>
      <c r="H794" s="30"/>
      <c r="L794" s="30"/>
      <c r="M794" s="30"/>
      <c r="O794" s="32"/>
      <c r="P794" s="32"/>
    </row>
    <row r="795">
      <c r="B795" s="35"/>
      <c r="G795" s="30"/>
      <c r="H795" s="30"/>
      <c r="L795" s="30"/>
      <c r="M795" s="30"/>
      <c r="O795" s="32"/>
      <c r="P795" s="32"/>
    </row>
    <row r="796">
      <c r="B796" s="35"/>
      <c r="G796" s="30"/>
      <c r="H796" s="30"/>
      <c r="L796" s="30"/>
      <c r="M796" s="30"/>
      <c r="O796" s="32"/>
      <c r="P796" s="32"/>
    </row>
    <row r="797">
      <c r="B797" s="35"/>
      <c r="G797" s="30"/>
      <c r="H797" s="30"/>
      <c r="L797" s="30"/>
      <c r="M797" s="30"/>
      <c r="O797" s="32"/>
      <c r="P797" s="32"/>
    </row>
    <row r="798">
      <c r="B798" s="35"/>
      <c r="G798" s="30"/>
      <c r="H798" s="30"/>
      <c r="L798" s="30"/>
      <c r="M798" s="30"/>
      <c r="O798" s="32"/>
      <c r="P798" s="32"/>
    </row>
    <row r="799">
      <c r="B799" s="35"/>
      <c r="G799" s="30"/>
      <c r="H799" s="30"/>
      <c r="L799" s="30"/>
      <c r="M799" s="30"/>
      <c r="O799" s="32"/>
      <c r="P799" s="32"/>
    </row>
    <row r="800">
      <c r="B800" s="35"/>
      <c r="G800" s="30"/>
      <c r="H800" s="30"/>
      <c r="L800" s="30"/>
      <c r="M800" s="30"/>
      <c r="O800" s="32"/>
      <c r="P800" s="32"/>
    </row>
    <row r="801">
      <c r="B801" s="35"/>
      <c r="G801" s="30"/>
      <c r="H801" s="30"/>
      <c r="L801" s="30"/>
      <c r="M801" s="30"/>
      <c r="O801" s="32"/>
      <c r="P801" s="32"/>
    </row>
    <row r="802">
      <c r="B802" s="35"/>
      <c r="G802" s="30"/>
      <c r="H802" s="30"/>
      <c r="L802" s="30"/>
      <c r="M802" s="30"/>
      <c r="O802" s="32"/>
      <c r="P802" s="32"/>
    </row>
    <row r="803">
      <c r="B803" s="35"/>
      <c r="G803" s="30"/>
      <c r="H803" s="30"/>
      <c r="L803" s="30"/>
      <c r="M803" s="30"/>
      <c r="O803" s="32"/>
      <c r="P803" s="32"/>
    </row>
    <row r="804">
      <c r="B804" s="35"/>
      <c r="G804" s="30"/>
      <c r="H804" s="30"/>
      <c r="L804" s="30"/>
      <c r="M804" s="30"/>
      <c r="O804" s="32"/>
      <c r="P804" s="32"/>
    </row>
    <row r="805">
      <c r="B805" s="35"/>
      <c r="G805" s="30"/>
      <c r="H805" s="30"/>
      <c r="L805" s="30"/>
      <c r="M805" s="30"/>
      <c r="O805" s="32"/>
      <c r="P805" s="32"/>
    </row>
    <row r="806">
      <c r="B806" s="35"/>
      <c r="G806" s="30"/>
      <c r="H806" s="30"/>
      <c r="L806" s="30"/>
      <c r="M806" s="30"/>
      <c r="O806" s="32"/>
      <c r="P806" s="32"/>
    </row>
    <row r="807">
      <c r="B807" s="35"/>
      <c r="G807" s="30"/>
      <c r="H807" s="30"/>
      <c r="L807" s="30"/>
      <c r="M807" s="30"/>
      <c r="O807" s="32"/>
      <c r="P807" s="32"/>
    </row>
    <row r="808">
      <c r="B808" s="35"/>
      <c r="G808" s="30"/>
      <c r="H808" s="30"/>
      <c r="L808" s="30"/>
      <c r="M808" s="30"/>
      <c r="O808" s="32"/>
      <c r="P808" s="32"/>
    </row>
    <row r="809">
      <c r="B809" s="35"/>
      <c r="G809" s="30"/>
      <c r="H809" s="30"/>
      <c r="L809" s="30"/>
      <c r="M809" s="30"/>
      <c r="O809" s="32"/>
      <c r="P809" s="32"/>
    </row>
    <row r="810">
      <c r="B810" s="35"/>
      <c r="G810" s="30"/>
      <c r="H810" s="30"/>
      <c r="L810" s="30"/>
      <c r="M810" s="30"/>
      <c r="O810" s="32"/>
      <c r="P810" s="32"/>
    </row>
    <row r="811">
      <c r="B811" s="35"/>
      <c r="G811" s="30"/>
      <c r="H811" s="30"/>
      <c r="L811" s="30"/>
      <c r="M811" s="30"/>
      <c r="O811" s="32"/>
      <c r="P811" s="32"/>
    </row>
    <row r="812">
      <c r="B812" s="35"/>
      <c r="G812" s="30"/>
      <c r="H812" s="30"/>
      <c r="L812" s="30"/>
      <c r="M812" s="30"/>
      <c r="O812" s="32"/>
      <c r="P812" s="32"/>
    </row>
    <row r="813">
      <c r="B813" s="35"/>
      <c r="G813" s="30"/>
      <c r="H813" s="30"/>
      <c r="L813" s="30"/>
      <c r="M813" s="30"/>
      <c r="O813" s="32"/>
      <c r="P813" s="32"/>
    </row>
    <row r="814">
      <c r="B814" s="35"/>
      <c r="G814" s="30"/>
      <c r="H814" s="30"/>
      <c r="L814" s="30"/>
      <c r="M814" s="30"/>
      <c r="O814" s="32"/>
      <c r="P814" s="32"/>
    </row>
    <row r="815">
      <c r="B815" s="35"/>
      <c r="G815" s="30"/>
      <c r="H815" s="30"/>
      <c r="L815" s="30"/>
      <c r="M815" s="30"/>
      <c r="O815" s="32"/>
      <c r="P815" s="32"/>
    </row>
    <row r="816">
      <c r="B816" s="35"/>
      <c r="G816" s="30"/>
      <c r="H816" s="30"/>
      <c r="L816" s="30"/>
      <c r="M816" s="30"/>
      <c r="O816" s="32"/>
      <c r="P816" s="32"/>
    </row>
    <row r="817">
      <c r="B817" s="35"/>
      <c r="G817" s="30"/>
      <c r="H817" s="30"/>
      <c r="L817" s="30"/>
      <c r="M817" s="30"/>
      <c r="O817" s="32"/>
      <c r="P817" s="32"/>
    </row>
    <row r="818">
      <c r="B818" s="35"/>
      <c r="G818" s="30"/>
      <c r="H818" s="30"/>
      <c r="L818" s="30"/>
      <c r="M818" s="30"/>
      <c r="O818" s="32"/>
      <c r="P818" s="32"/>
    </row>
    <row r="819">
      <c r="B819" s="35"/>
      <c r="G819" s="30"/>
      <c r="H819" s="30"/>
      <c r="L819" s="30"/>
      <c r="M819" s="30"/>
      <c r="O819" s="32"/>
      <c r="P819" s="32"/>
    </row>
    <row r="820">
      <c r="B820" s="35"/>
      <c r="G820" s="30"/>
      <c r="H820" s="30"/>
      <c r="L820" s="30"/>
      <c r="M820" s="30"/>
      <c r="O820" s="32"/>
      <c r="P820" s="32"/>
    </row>
    <row r="821">
      <c r="B821" s="35"/>
      <c r="G821" s="30"/>
      <c r="H821" s="30"/>
      <c r="L821" s="30"/>
      <c r="M821" s="30"/>
      <c r="O821" s="32"/>
      <c r="P821" s="32"/>
    </row>
    <row r="822">
      <c r="B822" s="35"/>
      <c r="G822" s="30"/>
      <c r="H822" s="30"/>
      <c r="L822" s="30"/>
      <c r="M822" s="30"/>
      <c r="O822" s="32"/>
      <c r="P822" s="32"/>
    </row>
    <row r="823">
      <c r="B823" s="35"/>
      <c r="G823" s="30"/>
      <c r="H823" s="30"/>
      <c r="L823" s="30"/>
      <c r="M823" s="30"/>
      <c r="O823" s="32"/>
      <c r="P823" s="32"/>
    </row>
    <row r="824">
      <c r="B824" s="35"/>
      <c r="G824" s="30"/>
      <c r="H824" s="30"/>
      <c r="L824" s="30"/>
      <c r="M824" s="30"/>
      <c r="O824" s="32"/>
      <c r="P824" s="32"/>
    </row>
    <row r="825">
      <c r="B825" s="35"/>
      <c r="G825" s="30"/>
      <c r="H825" s="30"/>
      <c r="L825" s="30"/>
      <c r="M825" s="30"/>
      <c r="O825" s="32"/>
      <c r="P825" s="32"/>
    </row>
    <row r="826">
      <c r="B826" s="35"/>
      <c r="G826" s="30"/>
      <c r="H826" s="30"/>
      <c r="L826" s="30"/>
      <c r="M826" s="30"/>
      <c r="O826" s="32"/>
      <c r="P826" s="32"/>
    </row>
    <row r="827">
      <c r="B827" s="35"/>
      <c r="G827" s="30"/>
      <c r="H827" s="30"/>
      <c r="L827" s="30"/>
      <c r="M827" s="30"/>
      <c r="O827" s="32"/>
      <c r="P827" s="32"/>
    </row>
    <row r="828">
      <c r="B828" s="35"/>
      <c r="G828" s="30"/>
      <c r="H828" s="30"/>
      <c r="L828" s="30"/>
      <c r="M828" s="30"/>
      <c r="O828" s="32"/>
      <c r="P828" s="32"/>
    </row>
    <row r="829">
      <c r="B829" s="35"/>
      <c r="G829" s="30"/>
      <c r="H829" s="30"/>
      <c r="L829" s="30"/>
      <c r="M829" s="30"/>
      <c r="O829" s="32"/>
      <c r="P829" s="32"/>
    </row>
    <row r="830">
      <c r="B830" s="35"/>
      <c r="G830" s="30"/>
      <c r="H830" s="30"/>
      <c r="L830" s="30"/>
      <c r="M830" s="30"/>
      <c r="O830" s="32"/>
      <c r="P830" s="32"/>
    </row>
    <row r="831">
      <c r="B831" s="35"/>
      <c r="G831" s="30"/>
      <c r="H831" s="30"/>
      <c r="L831" s="30"/>
      <c r="M831" s="30"/>
      <c r="O831" s="32"/>
      <c r="P831" s="32"/>
    </row>
    <row r="832">
      <c r="B832" s="35"/>
      <c r="G832" s="30"/>
      <c r="H832" s="30"/>
      <c r="L832" s="30"/>
      <c r="M832" s="30"/>
      <c r="O832" s="32"/>
      <c r="P832" s="32"/>
    </row>
    <row r="833">
      <c r="B833" s="35"/>
      <c r="G833" s="30"/>
      <c r="H833" s="30"/>
      <c r="L833" s="30"/>
      <c r="M833" s="30"/>
      <c r="O833" s="32"/>
      <c r="P833" s="32"/>
    </row>
    <row r="834">
      <c r="B834" s="35"/>
      <c r="G834" s="30"/>
      <c r="H834" s="30"/>
      <c r="L834" s="30"/>
      <c r="M834" s="30"/>
      <c r="O834" s="32"/>
      <c r="P834" s="32"/>
    </row>
    <row r="835">
      <c r="B835" s="35"/>
      <c r="G835" s="30"/>
      <c r="H835" s="30"/>
      <c r="L835" s="30"/>
      <c r="M835" s="30"/>
      <c r="O835" s="32"/>
      <c r="P835" s="32"/>
    </row>
    <row r="836">
      <c r="B836" s="35"/>
      <c r="G836" s="30"/>
      <c r="H836" s="30"/>
      <c r="L836" s="30"/>
      <c r="M836" s="30"/>
      <c r="O836" s="32"/>
      <c r="P836" s="32"/>
    </row>
    <row r="837">
      <c r="B837" s="35"/>
      <c r="G837" s="30"/>
      <c r="H837" s="30"/>
      <c r="L837" s="30"/>
      <c r="M837" s="30"/>
      <c r="O837" s="32"/>
      <c r="P837" s="32"/>
    </row>
    <row r="838">
      <c r="B838" s="35"/>
      <c r="G838" s="30"/>
      <c r="H838" s="30"/>
      <c r="L838" s="30"/>
      <c r="M838" s="30"/>
      <c r="O838" s="32"/>
      <c r="P838" s="32"/>
    </row>
    <row r="839">
      <c r="B839" s="35"/>
      <c r="G839" s="30"/>
      <c r="H839" s="30"/>
      <c r="L839" s="30"/>
      <c r="M839" s="30"/>
      <c r="O839" s="32"/>
      <c r="P839" s="32"/>
    </row>
    <row r="840">
      <c r="B840" s="35"/>
      <c r="G840" s="30"/>
      <c r="H840" s="30"/>
      <c r="L840" s="30"/>
      <c r="M840" s="30"/>
      <c r="O840" s="32"/>
      <c r="P840" s="32"/>
    </row>
    <row r="841">
      <c r="B841" s="35"/>
      <c r="G841" s="30"/>
      <c r="H841" s="30"/>
      <c r="L841" s="30"/>
      <c r="M841" s="30"/>
      <c r="O841" s="32"/>
      <c r="P841" s="32"/>
    </row>
    <row r="842">
      <c r="B842" s="35"/>
      <c r="G842" s="30"/>
      <c r="H842" s="30"/>
      <c r="L842" s="30"/>
      <c r="M842" s="30"/>
      <c r="O842" s="32"/>
      <c r="P842" s="32"/>
    </row>
    <row r="843">
      <c r="B843" s="35"/>
      <c r="G843" s="30"/>
      <c r="H843" s="30"/>
      <c r="L843" s="30"/>
      <c r="M843" s="30"/>
      <c r="O843" s="32"/>
      <c r="P843" s="32"/>
    </row>
    <row r="844">
      <c r="B844" s="35"/>
      <c r="G844" s="30"/>
      <c r="H844" s="30"/>
      <c r="L844" s="30"/>
      <c r="M844" s="30"/>
      <c r="O844" s="32"/>
      <c r="P844" s="32"/>
    </row>
    <row r="845">
      <c r="B845" s="35"/>
      <c r="G845" s="30"/>
      <c r="H845" s="30"/>
      <c r="L845" s="30"/>
      <c r="M845" s="30"/>
      <c r="O845" s="32"/>
      <c r="P845" s="32"/>
    </row>
    <row r="846">
      <c r="B846" s="35"/>
      <c r="G846" s="30"/>
      <c r="H846" s="30"/>
      <c r="L846" s="30"/>
      <c r="M846" s="30"/>
      <c r="O846" s="32"/>
      <c r="P846" s="32"/>
    </row>
    <row r="847">
      <c r="B847" s="35"/>
      <c r="G847" s="30"/>
      <c r="H847" s="30"/>
      <c r="L847" s="30"/>
      <c r="M847" s="30"/>
      <c r="O847" s="32"/>
      <c r="P847" s="32"/>
    </row>
    <row r="848">
      <c r="B848" s="35"/>
      <c r="G848" s="30"/>
      <c r="H848" s="30"/>
      <c r="L848" s="30"/>
      <c r="M848" s="30"/>
      <c r="O848" s="32"/>
      <c r="P848" s="32"/>
    </row>
    <row r="849">
      <c r="B849" s="35"/>
      <c r="G849" s="30"/>
      <c r="H849" s="30"/>
      <c r="L849" s="30"/>
      <c r="M849" s="30"/>
      <c r="O849" s="32"/>
      <c r="P849" s="32"/>
    </row>
    <row r="850">
      <c r="B850" s="35"/>
      <c r="G850" s="30"/>
      <c r="H850" s="30"/>
      <c r="L850" s="30"/>
      <c r="M850" s="30"/>
      <c r="O850" s="32"/>
      <c r="P850" s="32"/>
    </row>
    <row r="851">
      <c r="B851" s="35"/>
      <c r="G851" s="30"/>
      <c r="H851" s="30"/>
      <c r="L851" s="30"/>
      <c r="M851" s="30"/>
      <c r="O851" s="32"/>
      <c r="P851" s="32"/>
    </row>
    <row r="852">
      <c r="B852" s="35"/>
      <c r="G852" s="30"/>
      <c r="H852" s="30"/>
      <c r="L852" s="30"/>
      <c r="M852" s="30"/>
      <c r="O852" s="32"/>
      <c r="P852" s="32"/>
    </row>
    <row r="853">
      <c r="B853" s="35"/>
      <c r="G853" s="30"/>
      <c r="H853" s="30"/>
      <c r="L853" s="30"/>
      <c r="M853" s="30"/>
      <c r="O853" s="32"/>
      <c r="P853" s="32"/>
    </row>
    <row r="854">
      <c r="B854" s="35"/>
      <c r="G854" s="30"/>
      <c r="H854" s="30"/>
      <c r="L854" s="30"/>
      <c r="M854" s="30"/>
      <c r="O854" s="32"/>
      <c r="P854" s="32"/>
    </row>
    <row r="855">
      <c r="B855" s="35"/>
      <c r="G855" s="30"/>
      <c r="H855" s="30"/>
      <c r="L855" s="30"/>
      <c r="M855" s="30"/>
      <c r="O855" s="32"/>
      <c r="P855" s="32"/>
    </row>
    <row r="856">
      <c r="B856" s="35"/>
      <c r="G856" s="30"/>
      <c r="H856" s="30"/>
      <c r="L856" s="30"/>
      <c r="M856" s="30"/>
      <c r="O856" s="32"/>
      <c r="P856" s="32"/>
    </row>
    <row r="857">
      <c r="B857" s="35"/>
      <c r="G857" s="30"/>
      <c r="H857" s="30"/>
      <c r="L857" s="30"/>
      <c r="M857" s="30"/>
      <c r="O857" s="32"/>
      <c r="P857" s="32"/>
    </row>
    <row r="858">
      <c r="B858" s="35"/>
      <c r="G858" s="30"/>
      <c r="H858" s="30"/>
      <c r="L858" s="30"/>
      <c r="M858" s="30"/>
      <c r="O858" s="32"/>
      <c r="P858" s="32"/>
    </row>
    <row r="859">
      <c r="B859" s="35"/>
      <c r="G859" s="30"/>
      <c r="H859" s="30"/>
      <c r="L859" s="30"/>
      <c r="M859" s="30"/>
      <c r="O859" s="32"/>
      <c r="P859" s="32"/>
    </row>
    <row r="860">
      <c r="B860" s="35"/>
      <c r="G860" s="30"/>
      <c r="H860" s="30"/>
      <c r="L860" s="30"/>
      <c r="M860" s="30"/>
      <c r="O860" s="32"/>
      <c r="P860" s="32"/>
    </row>
    <row r="861">
      <c r="B861" s="35"/>
      <c r="G861" s="30"/>
      <c r="H861" s="30"/>
      <c r="L861" s="30"/>
      <c r="M861" s="30"/>
      <c r="O861" s="32"/>
      <c r="P861" s="32"/>
    </row>
    <row r="862">
      <c r="B862" s="35"/>
      <c r="G862" s="30"/>
      <c r="H862" s="30"/>
      <c r="L862" s="30"/>
      <c r="M862" s="30"/>
      <c r="O862" s="32"/>
      <c r="P862" s="32"/>
    </row>
    <row r="863">
      <c r="B863" s="35"/>
      <c r="G863" s="30"/>
      <c r="H863" s="30"/>
      <c r="L863" s="30"/>
      <c r="M863" s="30"/>
      <c r="O863" s="32"/>
      <c r="P863" s="32"/>
    </row>
    <row r="864">
      <c r="B864" s="35"/>
      <c r="G864" s="30"/>
      <c r="H864" s="30"/>
      <c r="L864" s="30"/>
      <c r="M864" s="30"/>
      <c r="O864" s="32"/>
      <c r="P864" s="32"/>
    </row>
    <row r="865">
      <c r="B865" s="35"/>
      <c r="G865" s="30"/>
      <c r="H865" s="30"/>
      <c r="L865" s="30"/>
      <c r="M865" s="30"/>
      <c r="O865" s="32"/>
      <c r="P865" s="32"/>
    </row>
    <row r="866">
      <c r="B866" s="35"/>
      <c r="G866" s="30"/>
      <c r="H866" s="30"/>
      <c r="L866" s="30"/>
      <c r="M866" s="30"/>
      <c r="O866" s="32"/>
      <c r="P866" s="32"/>
    </row>
    <row r="867">
      <c r="B867" s="35"/>
      <c r="G867" s="30"/>
      <c r="H867" s="30"/>
      <c r="L867" s="30"/>
      <c r="M867" s="30"/>
      <c r="O867" s="32"/>
      <c r="P867" s="32"/>
    </row>
    <row r="868">
      <c r="B868" s="35"/>
      <c r="G868" s="30"/>
      <c r="H868" s="30"/>
      <c r="L868" s="30"/>
      <c r="M868" s="30"/>
      <c r="O868" s="32"/>
      <c r="P868" s="32"/>
    </row>
    <row r="869">
      <c r="B869" s="35"/>
      <c r="G869" s="30"/>
      <c r="H869" s="30"/>
      <c r="L869" s="30"/>
      <c r="M869" s="30"/>
      <c r="O869" s="32"/>
      <c r="P869" s="32"/>
    </row>
    <row r="870">
      <c r="B870" s="35"/>
      <c r="G870" s="30"/>
      <c r="H870" s="30"/>
      <c r="L870" s="30"/>
      <c r="M870" s="30"/>
      <c r="O870" s="32"/>
      <c r="P870" s="32"/>
    </row>
    <row r="871">
      <c r="B871" s="35"/>
      <c r="G871" s="30"/>
      <c r="H871" s="30"/>
      <c r="L871" s="30"/>
      <c r="M871" s="30"/>
      <c r="O871" s="32"/>
      <c r="P871" s="32"/>
    </row>
    <row r="872">
      <c r="B872" s="35"/>
      <c r="G872" s="30"/>
      <c r="H872" s="30"/>
      <c r="L872" s="30"/>
      <c r="M872" s="30"/>
      <c r="O872" s="32"/>
      <c r="P872" s="32"/>
    </row>
    <row r="873">
      <c r="B873" s="35"/>
      <c r="G873" s="30"/>
      <c r="H873" s="30"/>
      <c r="L873" s="30"/>
      <c r="M873" s="30"/>
      <c r="O873" s="32"/>
      <c r="P873" s="32"/>
    </row>
    <row r="874">
      <c r="B874" s="35"/>
      <c r="G874" s="30"/>
      <c r="H874" s="30"/>
      <c r="L874" s="30"/>
      <c r="M874" s="30"/>
      <c r="O874" s="32"/>
      <c r="P874" s="32"/>
    </row>
    <row r="875">
      <c r="B875" s="35"/>
      <c r="G875" s="30"/>
      <c r="H875" s="30"/>
      <c r="L875" s="30"/>
      <c r="M875" s="30"/>
      <c r="O875" s="32"/>
      <c r="P875" s="32"/>
    </row>
    <row r="876">
      <c r="B876" s="35"/>
      <c r="G876" s="30"/>
      <c r="H876" s="30"/>
      <c r="L876" s="30"/>
      <c r="M876" s="30"/>
      <c r="O876" s="32"/>
      <c r="P876" s="32"/>
    </row>
    <row r="877">
      <c r="B877" s="35"/>
      <c r="G877" s="30"/>
      <c r="H877" s="30"/>
      <c r="L877" s="30"/>
      <c r="M877" s="30"/>
      <c r="O877" s="32"/>
      <c r="P877" s="32"/>
    </row>
    <row r="878">
      <c r="B878" s="35"/>
      <c r="G878" s="30"/>
      <c r="H878" s="30"/>
      <c r="L878" s="30"/>
      <c r="M878" s="30"/>
      <c r="O878" s="32"/>
      <c r="P878" s="32"/>
    </row>
    <row r="879">
      <c r="B879" s="35"/>
      <c r="G879" s="30"/>
      <c r="H879" s="30"/>
      <c r="L879" s="30"/>
      <c r="M879" s="30"/>
      <c r="O879" s="32"/>
      <c r="P879" s="32"/>
    </row>
    <row r="880">
      <c r="B880" s="35"/>
      <c r="G880" s="30"/>
      <c r="H880" s="30"/>
      <c r="L880" s="30"/>
      <c r="M880" s="30"/>
      <c r="O880" s="32"/>
      <c r="P880" s="32"/>
    </row>
    <row r="881">
      <c r="B881" s="35"/>
      <c r="G881" s="30"/>
      <c r="H881" s="30"/>
      <c r="L881" s="30"/>
      <c r="M881" s="30"/>
      <c r="O881" s="32"/>
      <c r="P881" s="32"/>
    </row>
    <row r="882">
      <c r="B882" s="35"/>
      <c r="G882" s="30"/>
      <c r="H882" s="30"/>
      <c r="L882" s="30"/>
      <c r="M882" s="30"/>
      <c r="O882" s="32"/>
      <c r="P882" s="32"/>
    </row>
    <row r="883">
      <c r="B883" s="35"/>
      <c r="G883" s="30"/>
      <c r="H883" s="30"/>
      <c r="L883" s="30"/>
      <c r="M883" s="30"/>
      <c r="O883" s="32"/>
      <c r="P883" s="32"/>
    </row>
    <row r="884">
      <c r="B884" s="35"/>
      <c r="G884" s="30"/>
      <c r="H884" s="30"/>
      <c r="L884" s="30"/>
      <c r="M884" s="30"/>
      <c r="O884" s="32"/>
      <c r="P884" s="32"/>
    </row>
    <row r="885">
      <c r="B885" s="35"/>
      <c r="G885" s="30"/>
      <c r="H885" s="30"/>
      <c r="L885" s="30"/>
      <c r="M885" s="30"/>
      <c r="O885" s="32"/>
      <c r="P885" s="32"/>
    </row>
    <row r="886">
      <c r="B886" s="35"/>
      <c r="G886" s="30"/>
      <c r="H886" s="30"/>
      <c r="L886" s="30"/>
      <c r="M886" s="30"/>
      <c r="O886" s="32"/>
      <c r="P886" s="32"/>
    </row>
    <row r="887">
      <c r="B887" s="35"/>
      <c r="G887" s="30"/>
      <c r="H887" s="30"/>
      <c r="L887" s="30"/>
      <c r="M887" s="30"/>
      <c r="O887" s="32"/>
      <c r="P887" s="32"/>
    </row>
    <row r="888">
      <c r="B888" s="35"/>
      <c r="G888" s="30"/>
      <c r="H888" s="30"/>
      <c r="L888" s="30"/>
      <c r="M888" s="30"/>
      <c r="O888" s="32"/>
      <c r="P888" s="32"/>
    </row>
    <row r="889">
      <c r="B889" s="35"/>
      <c r="G889" s="30"/>
      <c r="H889" s="30"/>
      <c r="L889" s="30"/>
      <c r="M889" s="30"/>
      <c r="O889" s="32"/>
      <c r="P889" s="32"/>
    </row>
    <row r="890">
      <c r="B890" s="35"/>
      <c r="G890" s="30"/>
      <c r="H890" s="30"/>
      <c r="L890" s="30"/>
      <c r="M890" s="30"/>
      <c r="O890" s="32"/>
      <c r="P890" s="32"/>
    </row>
    <row r="891">
      <c r="B891" s="35"/>
      <c r="G891" s="30"/>
      <c r="H891" s="30"/>
      <c r="L891" s="30"/>
      <c r="M891" s="30"/>
      <c r="O891" s="32"/>
      <c r="P891" s="32"/>
    </row>
    <row r="892">
      <c r="B892" s="35"/>
      <c r="G892" s="30"/>
      <c r="H892" s="30"/>
      <c r="L892" s="30"/>
      <c r="M892" s="30"/>
      <c r="O892" s="32"/>
      <c r="P892" s="32"/>
    </row>
    <row r="893">
      <c r="B893" s="35"/>
      <c r="G893" s="30"/>
      <c r="H893" s="30"/>
      <c r="L893" s="30"/>
      <c r="M893" s="30"/>
      <c r="O893" s="32"/>
      <c r="P893" s="32"/>
    </row>
    <row r="894">
      <c r="B894" s="35"/>
      <c r="G894" s="30"/>
      <c r="H894" s="30"/>
      <c r="L894" s="30"/>
      <c r="M894" s="30"/>
      <c r="O894" s="32"/>
      <c r="P894" s="32"/>
    </row>
    <row r="895">
      <c r="B895" s="35"/>
      <c r="G895" s="30"/>
      <c r="H895" s="30"/>
      <c r="L895" s="30"/>
      <c r="M895" s="30"/>
      <c r="O895" s="32"/>
      <c r="P895" s="32"/>
    </row>
    <row r="896">
      <c r="B896" s="35"/>
      <c r="G896" s="30"/>
      <c r="H896" s="30"/>
      <c r="L896" s="30"/>
      <c r="M896" s="30"/>
      <c r="O896" s="32"/>
      <c r="P896" s="32"/>
    </row>
    <row r="897">
      <c r="B897" s="35"/>
      <c r="G897" s="30"/>
      <c r="H897" s="30"/>
      <c r="L897" s="30"/>
      <c r="M897" s="30"/>
      <c r="O897" s="32"/>
      <c r="P897" s="32"/>
    </row>
    <row r="898">
      <c r="B898" s="35"/>
      <c r="G898" s="30"/>
      <c r="H898" s="30"/>
      <c r="L898" s="30"/>
      <c r="M898" s="30"/>
      <c r="O898" s="32"/>
      <c r="P898" s="32"/>
    </row>
    <row r="899">
      <c r="B899" s="35"/>
      <c r="G899" s="30"/>
      <c r="H899" s="30"/>
      <c r="L899" s="30"/>
      <c r="M899" s="30"/>
      <c r="O899" s="32"/>
      <c r="P899" s="32"/>
    </row>
    <row r="900">
      <c r="B900" s="35"/>
      <c r="G900" s="30"/>
      <c r="H900" s="30"/>
      <c r="L900" s="30"/>
      <c r="M900" s="30"/>
      <c r="O900" s="32"/>
      <c r="P900" s="32"/>
    </row>
    <row r="901">
      <c r="B901" s="35"/>
      <c r="G901" s="30"/>
      <c r="H901" s="30"/>
      <c r="L901" s="30"/>
      <c r="M901" s="30"/>
      <c r="O901" s="32"/>
      <c r="P901" s="32"/>
    </row>
    <row r="902">
      <c r="B902" s="35"/>
      <c r="G902" s="30"/>
      <c r="H902" s="30"/>
      <c r="L902" s="30"/>
      <c r="M902" s="30"/>
      <c r="O902" s="32"/>
      <c r="P902" s="32"/>
    </row>
    <row r="903">
      <c r="B903" s="35"/>
      <c r="G903" s="30"/>
      <c r="H903" s="30"/>
      <c r="L903" s="30"/>
      <c r="M903" s="30"/>
      <c r="O903" s="32"/>
      <c r="P903" s="32"/>
    </row>
    <row r="904">
      <c r="B904" s="35"/>
      <c r="G904" s="30"/>
      <c r="H904" s="30"/>
      <c r="L904" s="30"/>
      <c r="M904" s="30"/>
      <c r="O904" s="32"/>
      <c r="P904" s="32"/>
    </row>
    <row r="905">
      <c r="B905" s="35"/>
      <c r="G905" s="30"/>
      <c r="H905" s="30"/>
      <c r="L905" s="30"/>
      <c r="M905" s="30"/>
      <c r="O905" s="32"/>
      <c r="P905" s="32"/>
    </row>
    <row r="906">
      <c r="B906" s="35"/>
      <c r="G906" s="30"/>
      <c r="H906" s="30"/>
      <c r="L906" s="30"/>
      <c r="M906" s="30"/>
      <c r="O906" s="32"/>
      <c r="P906" s="32"/>
    </row>
    <row r="907">
      <c r="B907" s="35"/>
      <c r="G907" s="30"/>
      <c r="H907" s="30"/>
      <c r="L907" s="30"/>
      <c r="M907" s="30"/>
      <c r="O907" s="32"/>
      <c r="P907" s="32"/>
    </row>
    <row r="908">
      <c r="B908" s="35"/>
      <c r="G908" s="30"/>
      <c r="H908" s="30"/>
      <c r="L908" s="30"/>
      <c r="M908" s="30"/>
      <c r="O908" s="32"/>
      <c r="P908" s="32"/>
    </row>
    <row r="909">
      <c r="B909" s="35"/>
      <c r="G909" s="30"/>
      <c r="H909" s="30"/>
      <c r="L909" s="30"/>
      <c r="M909" s="30"/>
      <c r="O909" s="32"/>
      <c r="P909" s="32"/>
    </row>
    <row r="910">
      <c r="B910" s="35"/>
      <c r="G910" s="30"/>
      <c r="H910" s="30"/>
      <c r="L910" s="30"/>
      <c r="M910" s="30"/>
      <c r="O910" s="32"/>
      <c r="P910" s="32"/>
    </row>
    <row r="911">
      <c r="B911" s="35"/>
      <c r="G911" s="30"/>
      <c r="H911" s="30"/>
      <c r="L911" s="30"/>
      <c r="M911" s="30"/>
      <c r="O911" s="32"/>
      <c r="P911" s="32"/>
    </row>
    <row r="912">
      <c r="B912" s="35"/>
      <c r="G912" s="30"/>
      <c r="H912" s="30"/>
      <c r="L912" s="30"/>
      <c r="M912" s="30"/>
      <c r="O912" s="32"/>
      <c r="P912" s="32"/>
    </row>
    <row r="913">
      <c r="B913" s="35"/>
      <c r="G913" s="30"/>
      <c r="H913" s="30"/>
      <c r="L913" s="30"/>
      <c r="M913" s="30"/>
      <c r="O913" s="32"/>
      <c r="P913" s="32"/>
    </row>
    <row r="914">
      <c r="B914" s="35"/>
      <c r="G914" s="30"/>
      <c r="H914" s="30"/>
      <c r="L914" s="30"/>
      <c r="M914" s="30"/>
      <c r="O914" s="32"/>
      <c r="P914" s="32"/>
    </row>
    <row r="915">
      <c r="B915" s="35"/>
      <c r="G915" s="30"/>
      <c r="H915" s="30"/>
      <c r="L915" s="30"/>
      <c r="M915" s="30"/>
      <c r="O915" s="32"/>
      <c r="P915" s="32"/>
    </row>
    <row r="916">
      <c r="B916" s="35"/>
      <c r="G916" s="30"/>
      <c r="H916" s="30"/>
      <c r="L916" s="30"/>
      <c r="M916" s="30"/>
      <c r="O916" s="32"/>
      <c r="P916" s="32"/>
    </row>
    <row r="917">
      <c r="B917" s="35"/>
      <c r="G917" s="30"/>
      <c r="H917" s="30"/>
      <c r="L917" s="30"/>
      <c r="M917" s="30"/>
      <c r="O917" s="32"/>
      <c r="P917" s="32"/>
    </row>
    <row r="918">
      <c r="B918" s="35"/>
      <c r="G918" s="30"/>
      <c r="H918" s="30"/>
      <c r="L918" s="30"/>
      <c r="M918" s="30"/>
      <c r="O918" s="32"/>
      <c r="P918" s="32"/>
    </row>
    <row r="919">
      <c r="B919" s="35"/>
      <c r="G919" s="30"/>
      <c r="H919" s="30"/>
      <c r="L919" s="30"/>
      <c r="M919" s="30"/>
      <c r="O919" s="32"/>
      <c r="P919" s="32"/>
    </row>
    <row r="920">
      <c r="B920" s="35"/>
      <c r="G920" s="30"/>
      <c r="H920" s="30"/>
      <c r="L920" s="30"/>
      <c r="M920" s="30"/>
      <c r="O920" s="32"/>
      <c r="P920" s="32"/>
    </row>
    <row r="921">
      <c r="B921" s="35"/>
      <c r="G921" s="30"/>
      <c r="H921" s="30"/>
      <c r="L921" s="30"/>
      <c r="M921" s="30"/>
      <c r="O921" s="32"/>
      <c r="P921" s="32"/>
    </row>
    <row r="922">
      <c r="B922" s="35"/>
      <c r="G922" s="30"/>
      <c r="H922" s="30"/>
      <c r="L922" s="30"/>
      <c r="M922" s="30"/>
      <c r="O922" s="32"/>
      <c r="P922" s="32"/>
    </row>
    <row r="923">
      <c r="B923" s="35"/>
      <c r="G923" s="30"/>
      <c r="H923" s="30"/>
      <c r="L923" s="30"/>
      <c r="M923" s="30"/>
      <c r="O923" s="32"/>
      <c r="P923" s="32"/>
    </row>
    <row r="924">
      <c r="B924" s="35"/>
      <c r="G924" s="30"/>
      <c r="H924" s="30"/>
      <c r="L924" s="30"/>
      <c r="M924" s="30"/>
      <c r="O924" s="32"/>
      <c r="P924" s="32"/>
    </row>
    <row r="925">
      <c r="B925" s="35"/>
      <c r="G925" s="30"/>
      <c r="H925" s="30"/>
      <c r="L925" s="30"/>
      <c r="M925" s="30"/>
      <c r="O925" s="32"/>
      <c r="P925" s="32"/>
    </row>
    <row r="926">
      <c r="B926" s="35"/>
      <c r="G926" s="30"/>
      <c r="H926" s="30"/>
      <c r="L926" s="30"/>
      <c r="M926" s="30"/>
      <c r="O926" s="32"/>
      <c r="P926" s="32"/>
    </row>
    <row r="927">
      <c r="B927" s="35"/>
      <c r="G927" s="30"/>
      <c r="H927" s="30"/>
      <c r="L927" s="30"/>
      <c r="M927" s="30"/>
      <c r="O927" s="32"/>
      <c r="P927" s="32"/>
    </row>
    <row r="928">
      <c r="B928" s="35"/>
      <c r="G928" s="30"/>
      <c r="H928" s="30"/>
      <c r="L928" s="30"/>
      <c r="M928" s="30"/>
      <c r="O928" s="32"/>
      <c r="P928" s="32"/>
    </row>
    <row r="929">
      <c r="B929" s="35"/>
      <c r="G929" s="30"/>
      <c r="H929" s="30"/>
      <c r="L929" s="30"/>
      <c r="M929" s="30"/>
      <c r="O929" s="32"/>
      <c r="P929" s="32"/>
    </row>
    <row r="930">
      <c r="B930" s="35"/>
      <c r="G930" s="30"/>
      <c r="H930" s="30"/>
      <c r="L930" s="30"/>
      <c r="M930" s="30"/>
      <c r="O930" s="32"/>
      <c r="P930" s="32"/>
    </row>
    <row r="931">
      <c r="B931" s="35"/>
      <c r="G931" s="30"/>
      <c r="H931" s="30"/>
      <c r="L931" s="30"/>
      <c r="M931" s="30"/>
      <c r="O931" s="32"/>
      <c r="P931" s="32"/>
    </row>
    <row r="932">
      <c r="B932" s="35"/>
      <c r="G932" s="30"/>
      <c r="H932" s="30"/>
      <c r="L932" s="30"/>
      <c r="M932" s="30"/>
      <c r="O932" s="32"/>
      <c r="P932" s="32"/>
    </row>
    <row r="933">
      <c r="B933" s="35"/>
      <c r="G933" s="30"/>
      <c r="H933" s="30"/>
      <c r="L933" s="30"/>
      <c r="M933" s="30"/>
      <c r="O933" s="32"/>
      <c r="P933" s="32"/>
    </row>
    <row r="934">
      <c r="B934" s="35"/>
      <c r="G934" s="30"/>
      <c r="H934" s="30"/>
      <c r="L934" s="30"/>
      <c r="M934" s="30"/>
      <c r="O934" s="32"/>
      <c r="P934" s="32"/>
    </row>
    <row r="935">
      <c r="B935" s="35"/>
      <c r="G935" s="30"/>
      <c r="H935" s="30"/>
      <c r="L935" s="30"/>
      <c r="M935" s="30"/>
      <c r="O935" s="32"/>
      <c r="P935" s="32"/>
    </row>
    <row r="936">
      <c r="B936" s="35"/>
      <c r="G936" s="30"/>
      <c r="H936" s="30"/>
      <c r="L936" s="30"/>
      <c r="M936" s="30"/>
      <c r="O936" s="32"/>
      <c r="P936" s="32"/>
    </row>
    <row r="937">
      <c r="B937" s="35"/>
      <c r="G937" s="30"/>
      <c r="H937" s="30"/>
      <c r="L937" s="30"/>
      <c r="M937" s="30"/>
      <c r="O937" s="32"/>
      <c r="P937" s="32"/>
    </row>
    <row r="938">
      <c r="B938" s="35"/>
      <c r="G938" s="30"/>
      <c r="H938" s="30"/>
      <c r="L938" s="30"/>
      <c r="M938" s="30"/>
      <c r="O938" s="32"/>
      <c r="P938" s="32"/>
    </row>
    <row r="939">
      <c r="B939" s="35"/>
      <c r="G939" s="30"/>
      <c r="H939" s="30"/>
      <c r="L939" s="30"/>
      <c r="M939" s="30"/>
      <c r="O939" s="32"/>
      <c r="P939" s="32"/>
    </row>
    <row r="940">
      <c r="B940" s="35"/>
      <c r="G940" s="30"/>
      <c r="H940" s="30"/>
      <c r="L940" s="30"/>
      <c r="M940" s="30"/>
      <c r="O940" s="32"/>
      <c r="P940" s="32"/>
    </row>
    <row r="941">
      <c r="B941" s="35"/>
      <c r="G941" s="30"/>
      <c r="H941" s="30"/>
      <c r="L941" s="30"/>
      <c r="M941" s="30"/>
      <c r="O941" s="32"/>
      <c r="P941" s="32"/>
    </row>
    <row r="942">
      <c r="B942" s="35"/>
      <c r="G942" s="30"/>
      <c r="H942" s="30"/>
      <c r="L942" s="30"/>
      <c r="M942" s="30"/>
      <c r="O942" s="32"/>
      <c r="P942" s="32"/>
    </row>
    <row r="943">
      <c r="B943" s="35"/>
      <c r="G943" s="30"/>
      <c r="H943" s="30"/>
      <c r="L943" s="30"/>
      <c r="M943" s="30"/>
      <c r="O943" s="32"/>
      <c r="P943" s="32"/>
    </row>
    <row r="944">
      <c r="B944" s="35"/>
      <c r="G944" s="30"/>
      <c r="H944" s="30"/>
      <c r="L944" s="30"/>
      <c r="M944" s="30"/>
      <c r="O944" s="32"/>
      <c r="P944" s="32"/>
    </row>
    <row r="945">
      <c r="B945" s="35"/>
      <c r="G945" s="30"/>
      <c r="H945" s="30"/>
      <c r="L945" s="30"/>
      <c r="M945" s="30"/>
      <c r="O945" s="32"/>
      <c r="P945" s="32"/>
    </row>
    <row r="946">
      <c r="B946" s="35"/>
      <c r="G946" s="30"/>
      <c r="H946" s="30"/>
      <c r="L946" s="30"/>
      <c r="M946" s="30"/>
      <c r="O946" s="32"/>
      <c r="P946" s="32"/>
    </row>
    <row r="947">
      <c r="B947" s="35"/>
      <c r="G947" s="30"/>
      <c r="H947" s="30"/>
      <c r="L947" s="30"/>
      <c r="M947" s="30"/>
      <c r="O947" s="32"/>
      <c r="P947" s="32"/>
    </row>
    <row r="948">
      <c r="B948" s="35"/>
      <c r="G948" s="30"/>
      <c r="H948" s="30"/>
      <c r="L948" s="30"/>
      <c r="M948" s="30"/>
      <c r="O948" s="32"/>
      <c r="P948" s="32"/>
    </row>
    <row r="949">
      <c r="B949" s="35"/>
      <c r="G949" s="30"/>
      <c r="H949" s="30"/>
      <c r="L949" s="30"/>
      <c r="M949" s="30"/>
      <c r="O949" s="32"/>
      <c r="P949" s="32"/>
    </row>
    <row r="950">
      <c r="B950" s="35"/>
      <c r="G950" s="30"/>
      <c r="H950" s="30"/>
      <c r="L950" s="30"/>
      <c r="M950" s="30"/>
      <c r="O950" s="32"/>
      <c r="P950" s="32"/>
    </row>
    <row r="951">
      <c r="B951" s="35"/>
      <c r="G951" s="30"/>
      <c r="H951" s="30"/>
      <c r="L951" s="30"/>
      <c r="M951" s="30"/>
      <c r="O951" s="32"/>
      <c r="P951" s="32"/>
    </row>
    <row r="952">
      <c r="B952" s="35"/>
      <c r="G952" s="30"/>
      <c r="H952" s="30"/>
      <c r="L952" s="30"/>
      <c r="M952" s="30"/>
      <c r="O952" s="32"/>
      <c r="P952" s="32"/>
    </row>
    <row r="953">
      <c r="B953" s="35"/>
      <c r="G953" s="30"/>
      <c r="H953" s="30"/>
      <c r="L953" s="30"/>
      <c r="M953" s="30"/>
      <c r="O953" s="32"/>
      <c r="P953" s="32"/>
    </row>
    <row r="954">
      <c r="B954" s="35"/>
      <c r="G954" s="30"/>
      <c r="H954" s="30"/>
      <c r="L954" s="30"/>
      <c r="M954" s="30"/>
      <c r="O954" s="32"/>
      <c r="P954" s="32"/>
    </row>
    <row r="955">
      <c r="B955" s="35"/>
      <c r="G955" s="30"/>
      <c r="H955" s="30"/>
      <c r="L955" s="30"/>
      <c r="M955" s="30"/>
      <c r="O955" s="32"/>
      <c r="P955" s="32"/>
    </row>
    <row r="956">
      <c r="B956" s="35"/>
      <c r="G956" s="30"/>
      <c r="H956" s="30"/>
      <c r="L956" s="30"/>
      <c r="M956" s="30"/>
      <c r="O956" s="32"/>
      <c r="P956" s="32"/>
    </row>
    <row r="957">
      <c r="B957" s="35"/>
      <c r="G957" s="30"/>
      <c r="H957" s="30"/>
      <c r="L957" s="30"/>
      <c r="M957" s="30"/>
      <c r="O957" s="32"/>
      <c r="P957" s="32"/>
    </row>
    <row r="958">
      <c r="B958" s="35"/>
      <c r="G958" s="30"/>
      <c r="H958" s="30"/>
      <c r="L958" s="30"/>
      <c r="M958" s="30"/>
      <c r="O958" s="32"/>
      <c r="P958" s="32"/>
    </row>
    <row r="959">
      <c r="B959" s="35"/>
      <c r="G959" s="30"/>
      <c r="H959" s="30"/>
      <c r="L959" s="30"/>
      <c r="M959" s="30"/>
      <c r="O959" s="32"/>
      <c r="P959" s="32"/>
    </row>
    <row r="960">
      <c r="B960" s="35"/>
      <c r="G960" s="30"/>
      <c r="H960" s="30"/>
      <c r="L960" s="30"/>
      <c r="M960" s="30"/>
      <c r="O960" s="32"/>
      <c r="P960" s="32"/>
    </row>
    <row r="961">
      <c r="B961" s="35"/>
      <c r="G961" s="30"/>
      <c r="H961" s="30"/>
      <c r="L961" s="30"/>
      <c r="M961" s="30"/>
      <c r="O961" s="32"/>
      <c r="P961" s="32"/>
    </row>
    <row r="962">
      <c r="B962" s="35"/>
      <c r="G962" s="30"/>
      <c r="H962" s="30"/>
      <c r="L962" s="30"/>
      <c r="M962" s="30"/>
      <c r="O962" s="32"/>
      <c r="P962" s="32"/>
    </row>
    <row r="963">
      <c r="B963" s="35"/>
      <c r="G963" s="30"/>
      <c r="H963" s="30"/>
      <c r="L963" s="30"/>
      <c r="M963" s="30"/>
      <c r="O963" s="32"/>
      <c r="P963" s="32"/>
    </row>
    <row r="964">
      <c r="B964" s="35"/>
      <c r="G964" s="30"/>
      <c r="H964" s="30"/>
      <c r="L964" s="30"/>
      <c r="M964" s="30"/>
      <c r="O964" s="32"/>
      <c r="P964" s="32"/>
    </row>
    <row r="965">
      <c r="B965" s="35"/>
      <c r="G965" s="30"/>
      <c r="H965" s="30"/>
      <c r="L965" s="30"/>
      <c r="M965" s="30"/>
      <c r="O965" s="32"/>
      <c r="P965" s="32"/>
    </row>
    <row r="966">
      <c r="B966" s="35"/>
      <c r="G966" s="30"/>
      <c r="H966" s="30"/>
      <c r="L966" s="30"/>
      <c r="M966" s="30"/>
      <c r="O966" s="32"/>
      <c r="P966" s="32"/>
    </row>
    <row r="967">
      <c r="B967" s="35"/>
      <c r="G967" s="30"/>
      <c r="H967" s="30"/>
      <c r="L967" s="30"/>
      <c r="M967" s="30"/>
      <c r="O967" s="32"/>
      <c r="P967" s="32"/>
    </row>
    <row r="968">
      <c r="B968" s="35"/>
      <c r="G968" s="30"/>
      <c r="H968" s="30"/>
      <c r="L968" s="30"/>
      <c r="M968" s="30"/>
      <c r="O968" s="32"/>
      <c r="P968" s="32"/>
    </row>
    <row r="969">
      <c r="B969" s="35"/>
      <c r="G969" s="30"/>
      <c r="H969" s="30"/>
      <c r="L969" s="30"/>
      <c r="M969" s="30"/>
      <c r="O969" s="32"/>
      <c r="P969" s="32"/>
    </row>
    <row r="970">
      <c r="B970" s="35"/>
      <c r="G970" s="30"/>
      <c r="H970" s="30"/>
      <c r="L970" s="30"/>
      <c r="M970" s="30"/>
      <c r="O970" s="32"/>
      <c r="P970" s="32"/>
    </row>
    <row r="971">
      <c r="B971" s="35"/>
      <c r="G971" s="30"/>
      <c r="H971" s="30"/>
      <c r="L971" s="30"/>
      <c r="M971" s="30"/>
      <c r="O971" s="32"/>
      <c r="P971" s="32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88"/>
    <col customWidth="1" min="2" max="19" width="9.5"/>
  </cols>
  <sheetData>
    <row r="1">
      <c r="A1" s="1"/>
      <c r="B1" s="2" t="s">
        <v>0</v>
      </c>
      <c r="C1" s="2" t="s">
        <v>2</v>
      </c>
      <c r="D1" s="5" t="s">
        <v>3</v>
      </c>
      <c r="E1" s="2" t="s">
        <v>4</v>
      </c>
      <c r="F1" s="8" t="s">
        <v>6</v>
      </c>
      <c r="G1" s="6" t="s">
        <v>8</v>
      </c>
      <c r="H1" s="6" t="s">
        <v>10</v>
      </c>
      <c r="I1" s="2" t="s">
        <v>12</v>
      </c>
      <c r="J1" s="5" t="s">
        <v>14</v>
      </c>
      <c r="K1" s="2" t="s">
        <v>16</v>
      </c>
      <c r="L1" s="6" t="s">
        <v>19</v>
      </c>
      <c r="M1" s="6" t="s">
        <v>22</v>
      </c>
      <c r="N1" s="2" t="s">
        <v>24</v>
      </c>
      <c r="O1" s="9" t="s">
        <v>26</v>
      </c>
      <c r="P1" s="9" t="s">
        <v>28</v>
      </c>
      <c r="Q1" s="2" t="s">
        <v>30</v>
      </c>
      <c r="R1" s="2" t="s">
        <v>32</v>
      </c>
      <c r="S1" s="9" t="s">
        <v>34</v>
      </c>
    </row>
    <row r="2">
      <c r="A2" s="2" t="s">
        <v>59</v>
      </c>
      <c r="B2" s="11">
        <v>3.0</v>
      </c>
      <c r="C2" s="13">
        <f t="shared" ref="C2:C33" si="1">B2*4</f>
        <v>12</v>
      </c>
      <c r="D2" s="14">
        <v>8.0</v>
      </c>
      <c r="E2" s="11">
        <v>2.0</v>
      </c>
      <c r="F2" s="15">
        <f t="shared" ref="F2:F33" si="2">D2+E2</f>
        <v>10</v>
      </c>
      <c r="G2" s="16">
        <f t="shared" ref="G2:G33" si="3">F2/C2</f>
        <v>0.8333333333</v>
      </c>
      <c r="H2" s="16">
        <f t="shared" ref="H2:H33" si="4">D2/F2</f>
        <v>0.8</v>
      </c>
      <c r="I2" s="13">
        <f t="shared" ref="I2:I33" si="5">J2+K2</f>
        <v>2</v>
      </c>
      <c r="J2" s="14">
        <v>1.0</v>
      </c>
      <c r="K2" s="11">
        <v>1.0</v>
      </c>
      <c r="L2" s="16">
        <f t="shared" ref="L2:L33" si="6">I2/C2</f>
        <v>0.1666666667</v>
      </c>
      <c r="M2" s="16">
        <f t="shared" ref="M2:M33" si="7">J2/I2</f>
        <v>0.5</v>
      </c>
      <c r="N2" s="19">
        <f t="shared" ref="N2:N33" si="8">4*(D2-K2)</f>
        <v>28</v>
      </c>
      <c r="O2" s="18">
        <f t="shared" ref="O2:O33" si="9">N2/C2</f>
        <v>2.333333333</v>
      </c>
      <c r="P2" s="18">
        <f t="shared" ref="P2:P33" si="10">N2/B2</f>
        <v>9.333333333</v>
      </c>
      <c r="Q2" s="11">
        <v>4.0</v>
      </c>
      <c r="R2" s="19">
        <f t="shared" ref="R2:R33" si="11">N2+10*Q2</f>
        <v>68</v>
      </c>
      <c r="S2" s="18">
        <f t="shared" ref="S2:S33" si="12">R2/B2</f>
        <v>22.66666667</v>
      </c>
    </row>
    <row r="3">
      <c r="A3" s="2" t="s">
        <v>68</v>
      </c>
      <c r="B3" s="11">
        <v>3.0</v>
      </c>
      <c r="C3" s="13">
        <f t="shared" si="1"/>
        <v>12</v>
      </c>
      <c r="D3" s="14">
        <v>7.0</v>
      </c>
      <c r="E3" s="20">
        <v>2.0</v>
      </c>
      <c r="F3" s="25">
        <f t="shared" si="2"/>
        <v>9</v>
      </c>
      <c r="G3" s="23">
        <f t="shared" si="3"/>
        <v>0.75</v>
      </c>
      <c r="H3" s="23">
        <f t="shared" si="4"/>
        <v>0.7777777778</v>
      </c>
      <c r="I3" s="36">
        <f t="shared" si="5"/>
        <v>1</v>
      </c>
      <c r="J3" s="14">
        <v>0.0</v>
      </c>
      <c r="K3" s="11">
        <v>1.0</v>
      </c>
      <c r="L3" s="16">
        <f t="shared" si="6"/>
        <v>0.08333333333</v>
      </c>
      <c r="M3" s="16">
        <f t="shared" si="7"/>
        <v>0</v>
      </c>
      <c r="N3" s="19">
        <f t="shared" si="8"/>
        <v>24</v>
      </c>
      <c r="O3" s="18">
        <f t="shared" si="9"/>
        <v>2</v>
      </c>
      <c r="P3" s="18">
        <f t="shared" si="10"/>
        <v>8</v>
      </c>
      <c r="Q3" s="11">
        <v>2.0</v>
      </c>
      <c r="R3" s="19">
        <f t="shared" si="11"/>
        <v>44</v>
      </c>
      <c r="S3" s="18">
        <f t="shared" si="12"/>
        <v>14.66666667</v>
      </c>
    </row>
    <row r="4">
      <c r="A4" s="2" t="s">
        <v>62</v>
      </c>
      <c r="B4" s="11">
        <v>3.0</v>
      </c>
      <c r="C4" s="13">
        <f t="shared" si="1"/>
        <v>12</v>
      </c>
      <c r="D4" s="14">
        <v>5.0</v>
      </c>
      <c r="E4" s="20">
        <v>2.0</v>
      </c>
      <c r="F4" s="25">
        <f t="shared" si="2"/>
        <v>7</v>
      </c>
      <c r="G4" s="23">
        <f t="shared" si="3"/>
        <v>0.5833333333</v>
      </c>
      <c r="H4" s="23">
        <f t="shared" si="4"/>
        <v>0.7142857143</v>
      </c>
      <c r="I4" s="13">
        <f t="shared" si="5"/>
        <v>1</v>
      </c>
      <c r="J4" s="14">
        <v>1.0</v>
      </c>
      <c r="K4" s="11">
        <v>0.0</v>
      </c>
      <c r="L4" s="16">
        <f t="shared" si="6"/>
        <v>0.08333333333</v>
      </c>
      <c r="M4" s="16">
        <f t="shared" si="7"/>
        <v>1</v>
      </c>
      <c r="N4" s="19">
        <f t="shared" si="8"/>
        <v>20</v>
      </c>
      <c r="O4" s="18">
        <f t="shared" si="9"/>
        <v>1.666666667</v>
      </c>
      <c r="P4" s="18">
        <f t="shared" si="10"/>
        <v>6.666666667</v>
      </c>
      <c r="Q4" s="11">
        <v>2.0</v>
      </c>
      <c r="R4" s="19">
        <f t="shared" si="11"/>
        <v>40</v>
      </c>
      <c r="S4" s="18">
        <f t="shared" si="12"/>
        <v>13.33333333</v>
      </c>
    </row>
    <row r="5">
      <c r="A5" s="2" t="s">
        <v>107</v>
      </c>
      <c r="B5" s="11">
        <v>3.0</v>
      </c>
      <c r="C5" s="13">
        <f t="shared" si="1"/>
        <v>12</v>
      </c>
      <c r="D5" s="14">
        <v>4.0</v>
      </c>
      <c r="E5" s="11">
        <v>5.0</v>
      </c>
      <c r="F5" s="15">
        <f t="shared" si="2"/>
        <v>9</v>
      </c>
      <c r="G5" s="16">
        <f t="shared" si="3"/>
        <v>0.75</v>
      </c>
      <c r="H5" s="16">
        <f t="shared" si="4"/>
        <v>0.4444444444</v>
      </c>
      <c r="I5" s="13">
        <f t="shared" si="5"/>
        <v>0</v>
      </c>
      <c r="J5" s="14">
        <v>0.0</v>
      </c>
      <c r="K5" s="11">
        <v>0.0</v>
      </c>
      <c r="L5" s="16">
        <f t="shared" si="6"/>
        <v>0</v>
      </c>
      <c r="M5" s="16" t="str">
        <f t="shared" si="7"/>
        <v>#DIV/0!</v>
      </c>
      <c r="N5" s="19">
        <f t="shared" si="8"/>
        <v>16</v>
      </c>
      <c r="O5" s="18">
        <f t="shared" si="9"/>
        <v>1.333333333</v>
      </c>
      <c r="P5" s="18">
        <f t="shared" si="10"/>
        <v>5.333333333</v>
      </c>
      <c r="Q5" s="11">
        <v>2.0</v>
      </c>
      <c r="R5" s="19">
        <f t="shared" si="11"/>
        <v>36</v>
      </c>
      <c r="S5" s="18">
        <f t="shared" si="12"/>
        <v>12</v>
      </c>
    </row>
    <row r="6">
      <c r="A6" s="2" t="s">
        <v>70</v>
      </c>
      <c r="B6" s="11">
        <v>3.0</v>
      </c>
      <c r="C6" s="13">
        <f t="shared" si="1"/>
        <v>12</v>
      </c>
      <c r="D6" s="14">
        <v>5.0</v>
      </c>
      <c r="E6" s="11">
        <v>7.0</v>
      </c>
      <c r="F6" s="15">
        <f t="shared" si="2"/>
        <v>12</v>
      </c>
      <c r="G6" s="16">
        <f t="shared" si="3"/>
        <v>1</v>
      </c>
      <c r="H6" s="16">
        <f t="shared" si="4"/>
        <v>0.4166666667</v>
      </c>
      <c r="I6" s="13">
        <f t="shared" si="5"/>
        <v>2</v>
      </c>
      <c r="J6" s="14">
        <v>1.0</v>
      </c>
      <c r="K6" s="11">
        <v>1.0</v>
      </c>
      <c r="L6" s="16">
        <f t="shared" si="6"/>
        <v>0.1666666667</v>
      </c>
      <c r="M6" s="16">
        <f t="shared" si="7"/>
        <v>0.5</v>
      </c>
      <c r="N6" s="19">
        <f t="shared" si="8"/>
        <v>16</v>
      </c>
      <c r="O6" s="18">
        <f t="shared" si="9"/>
        <v>1.333333333</v>
      </c>
      <c r="P6" s="18">
        <f t="shared" si="10"/>
        <v>5.333333333</v>
      </c>
      <c r="Q6" s="11">
        <v>2.0</v>
      </c>
      <c r="R6" s="19">
        <f t="shared" si="11"/>
        <v>36</v>
      </c>
      <c r="S6" s="18">
        <f t="shared" si="12"/>
        <v>12</v>
      </c>
    </row>
    <row r="7">
      <c r="A7" s="2" t="s">
        <v>39</v>
      </c>
      <c r="B7" s="11">
        <v>3.0</v>
      </c>
      <c r="C7" s="13">
        <f t="shared" si="1"/>
        <v>12</v>
      </c>
      <c r="D7" s="14">
        <v>6.0</v>
      </c>
      <c r="E7" s="11">
        <v>3.0</v>
      </c>
      <c r="F7" s="15">
        <f t="shared" si="2"/>
        <v>9</v>
      </c>
      <c r="G7" s="16">
        <f t="shared" si="3"/>
        <v>0.75</v>
      </c>
      <c r="H7" s="16">
        <f t="shared" si="4"/>
        <v>0.6666666667</v>
      </c>
      <c r="I7" s="13">
        <f t="shared" si="5"/>
        <v>1</v>
      </c>
      <c r="J7" s="14">
        <v>1.0</v>
      </c>
      <c r="K7" s="11">
        <v>0.0</v>
      </c>
      <c r="L7" s="16">
        <f t="shared" si="6"/>
        <v>0.08333333333</v>
      </c>
      <c r="M7" s="16">
        <f t="shared" si="7"/>
        <v>1</v>
      </c>
      <c r="N7" s="19">
        <f t="shared" si="8"/>
        <v>24</v>
      </c>
      <c r="O7" s="18">
        <f t="shared" si="9"/>
        <v>2</v>
      </c>
      <c r="P7" s="18">
        <f t="shared" si="10"/>
        <v>8</v>
      </c>
      <c r="Q7" s="11">
        <v>1.0</v>
      </c>
      <c r="R7" s="19">
        <f t="shared" si="11"/>
        <v>34</v>
      </c>
      <c r="S7" s="18">
        <f t="shared" si="12"/>
        <v>11.33333333</v>
      </c>
    </row>
    <row r="8">
      <c r="A8" s="2" t="s">
        <v>53</v>
      </c>
      <c r="B8" s="11">
        <v>3.0</v>
      </c>
      <c r="C8" s="13">
        <f t="shared" si="1"/>
        <v>12</v>
      </c>
      <c r="D8" s="14">
        <v>6.0</v>
      </c>
      <c r="E8" s="11">
        <v>5.0</v>
      </c>
      <c r="F8" s="15">
        <f t="shared" si="2"/>
        <v>11</v>
      </c>
      <c r="G8" s="16">
        <f t="shared" si="3"/>
        <v>0.9166666667</v>
      </c>
      <c r="H8" s="16">
        <f t="shared" si="4"/>
        <v>0.5454545455</v>
      </c>
      <c r="I8" s="13">
        <f t="shared" si="5"/>
        <v>1</v>
      </c>
      <c r="J8" s="14">
        <v>1.0</v>
      </c>
      <c r="K8" s="11">
        <v>0.0</v>
      </c>
      <c r="L8" s="16">
        <f t="shared" si="6"/>
        <v>0.08333333333</v>
      </c>
      <c r="M8" s="16">
        <f t="shared" si="7"/>
        <v>1</v>
      </c>
      <c r="N8" s="19">
        <f t="shared" si="8"/>
        <v>24</v>
      </c>
      <c r="O8" s="18">
        <f t="shared" si="9"/>
        <v>2</v>
      </c>
      <c r="P8" s="18">
        <f t="shared" si="10"/>
        <v>8</v>
      </c>
      <c r="Q8" s="11">
        <v>1.0</v>
      </c>
      <c r="R8" s="19">
        <f t="shared" si="11"/>
        <v>34</v>
      </c>
      <c r="S8" s="18">
        <f t="shared" si="12"/>
        <v>11.33333333</v>
      </c>
    </row>
    <row r="9">
      <c r="A9" s="2" t="s">
        <v>56</v>
      </c>
      <c r="B9" s="11">
        <v>3.0</v>
      </c>
      <c r="C9" s="13">
        <f t="shared" si="1"/>
        <v>12</v>
      </c>
      <c r="D9" s="14">
        <v>3.0</v>
      </c>
      <c r="E9" s="20">
        <v>3.0</v>
      </c>
      <c r="F9" s="25">
        <f t="shared" si="2"/>
        <v>6</v>
      </c>
      <c r="G9" s="23">
        <f t="shared" si="3"/>
        <v>0.5</v>
      </c>
      <c r="H9" s="23">
        <f t="shared" si="4"/>
        <v>0.5</v>
      </c>
      <c r="I9" s="13">
        <f t="shared" si="5"/>
        <v>1</v>
      </c>
      <c r="J9" s="14">
        <v>1.0</v>
      </c>
      <c r="K9" s="11">
        <v>0.0</v>
      </c>
      <c r="L9" s="16">
        <f t="shared" si="6"/>
        <v>0.08333333333</v>
      </c>
      <c r="M9" s="16">
        <f t="shared" si="7"/>
        <v>1</v>
      </c>
      <c r="N9" s="19">
        <f t="shared" si="8"/>
        <v>12</v>
      </c>
      <c r="O9" s="18">
        <f t="shared" si="9"/>
        <v>1</v>
      </c>
      <c r="P9" s="18">
        <f t="shared" si="10"/>
        <v>4</v>
      </c>
      <c r="Q9" s="11">
        <v>2.0</v>
      </c>
      <c r="R9" s="19">
        <f t="shared" si="11"/>
        <v>32</v>
      </c>
      <c r="S9" s="18">
        <f t="shared" si="12"/>
        <v>10.66666667</v>
      </c>
    </row>
    <row r="10">
      <c r="A10" s="2" t="s">
        <v>63</v>
      </c>
      <c r="B10" s="11">
        <v>3.0</v>
      </c>
      <c r="C10" s="13">
        <f t="shared" si="1"/>
        <v>12</v>
      </c>
      <c r="D10" s="14">
        <v>5.0</v>
      </c>
      <c r="E10" s="11">
        <v>6.0</v>
      </c>
      <c r="F10" s="15">
        <f t="shared" si="2"/>
        <v>11</v>
      </c>
      <c r="G10" s="16">
        <f t="shared" si="3"/>
        <v>0.9166666667</v>
      </c>
      <c r="H10" s="16">
        <f t="shared" si="4"/>
        <v>0.4545454545</v>
      </c>
      <c r="I10" s="13">
        <f t="shared" si="5"/>
        <v>3</v>
      </c>
      <c r="J10" s="14">
        <v>1.0</v>
      </c>
      <c r="K10" s="11">
        <v>2.0</v>
      </c>
      <c r="L10" s="16">
        <f t="shared" si="6"/>
        <v>0.25</v>
      </c>
      <c r="M10" s="16">
        <f t="shared" si="7"/>
        <v>0.3333333333</v>
      </c>
      <c r="N10" s="19">
        <f t="shared" si="8"/>
        <v>12</v>
      </c>
      <c r="O10" s="18">
        <f t="shared" si="9"/>
        <v>1</v>
      </c>
      <c r="P10" s="18">
        <f t="shared" si="10"/>
        <v>4</v>
      </c>
      <c r="Q10" s="11">
        <v>2.0</v>
      </c>
      <c r="R10" s="19">
        <f t="shared" si="11"/>
        <v>32</v>
      </c>
      <c r="S10" s="18">
        <f t="shared" si="12"/>
        <v>10.66666667</v>
      </c>
    </row>
    <row r="11">
      <c r="A11" s="2" t="s">
        <v>51</v>
      </c>
      <c r="B11" s="11">
        <v>3.0</v>
      </c>
      <c r="C11" s="13">
        <f t="shared" si="1"/>
        <v>12</v>
      </c>
      <c r="D11" s="14">
        <v>3.0</v>
      </c>
      <c r="E11" s="11">
        <v>4.0</v>
      </c>
      <c r="F11" s="15">
        <f t="shared" si="2"/>
        <v>7</v>
      </c>
      <c r="G11" s="16">
        <f t="shared" si="3"/>
        <v>0.5833333333</v>
      </c>
      <c r="H11" s="16">
        <f t="shared" si="4"/>
        <v>0.4285714286</v>
      </c>
      <c r="I11" s="13">
        <f t="shared" si="5"/>
        <v>0</v>
      </c>
      <c r="J11" s="14">
        <v>0.0</v>
      </c>
      <c r="K11" s="11">
        <v>0.0</v>
      </c>
      <c r="L11" s="16">
        <f t="shared" si="6"/>
        <v>0</v>
      </c>
      <c r="M11" s="16" t="str">
        <f t="shared" si="7"/>
        <v>#DIV/0!</v>
      </c>
      <c r="N11" s="19">
        <f t="shared" si="8"/>
        <v>12</v>
      </c>
      <c r="O11" s="18">
        <f t="shared" si="9"/>
        <v>1</v>
      </c>
      <c r="P11" s="18">
        <f t="shared" si="10"/>
        <v>4</v>
      </c>
      <c r="Q11" s="11">
        <v>2.0</v>
      </c>
      <c r="R11" s="19">
        <f t="shared" si="11"/>
        <v>32</v>
      </c>
      <c r="S11" s="18">
        <f t="shared" si="12"/>
        <v>10.66666667</v>
      </c>
    </row>
    <row r="12">
      <c r="A12" s="2" t="s">
        <v>77</v>
      </c>
      <c r="B12" s="11">
        <v>3.0</v>
      </c>
      <c r="C12" s="13">
        <f t="shared" si="1"/>
        <v>12</v>
      </c>
      <c r="D12" s="14">
        <v>5.0</v>
      </c>
      <c r="E12" s="11">
        <v>4.0</v>
      </c>
      <c r="F12" s="15">
        <f t="shared" si="2"/>
        <v>9</v>
      </c>
      <c r="G12" s="16">
        <f t="shared" si="3"/>
        <v>0.75</v>
      </c>
      <c r="H12" s="16">
        <f t="shared" si="4"/>
        <v>0.5555555556</v>
      </c>
      <c r="I12" s="13">
        <f t="shared" si="5"/>
        <v>0</v>
      </c>
      <c r="J12" s="14">
        <v>0.0</v>
      </c>
      <c r="K12" s="11">
        <v>0.0</v>
      </c>
      <c r="L12" s="16">
        <f t="shared" si="6"/>
        <v>0</v>
      </c>
      <c r="M12" s="16" t="str">
        <f t="shared" si="7"/>
        <v>#DIV/0!</v>
      </c>
      <c r="N12" s="19">
        <f t="shared" si="8"/>
        <v>20</v>
      </c>
      <c r="O12" s="18">
        <f t="shared" si="9"/>
        <v>1.666666667</v>
      </c>
      <c r="P12" s="18">
        <f t="shared" si="10"/>
        <v>6.666666667</v>
      </c>
      <c r="Q12" s="11">
        <v>1.0</v>
      </c>
      <c r="R12" s="19">
        <f t="shared" si="11"/>
        <v>30</v>
      </c>
      <c r="S12" s="18">
        <f t="shared" si="12"/>
        <v>10</v>
      </c>
    </row>
    <row r="13">
      <c r="A13" s="2" t="s">
        <v>83</v>
      </c>
      <c r="B13" s="11">
        <v>3.0</v>
      </c>
      <c r="C13" s="13">
        <f t="shared" si="1"/>
        <v>12</v>
      </c>
      <c r="D13" s="14">
        <v>5.0</v>
      </c>
      <c r="E13" s="11">
        <v>5.0</v>
      </c>
      <c r="F13" s="15">
        <f t="shared" si="2"/>
        <v>10</v>
      </c>
      <c r="G13" s="16">
        <f t="shared" si="3"/>
        <v>0.8333333333</v>
      </c>
      <c r="H13" s="16">
        <f t="shared" si="4"/>
        <v>0.5</v>
      </c>
      <c r="I13" s="13">
        <f t="shared" si="5"/>
        <v>1</v>
      </c>
      <c r="J13" s="14">
        <v>1.0</v>
      </c>
      <c r="K13" s="11">
        <v>0.0</v>
      </c>
      <c r="L13" s="16">
        <f t="shared" si="6"/>
        <v>0.08333333333</v>
      </c>
      <c r="M13" s="16">
        <f t="shared" si="7"/>
        <v>1</v>
      </c>
      <c r="N13" s="19">
        <f t="shared" si="8"/>
        <v>20</v>
      </c>
      <c r="O13" s="18">
        <f t="shared" si="9"/>
        <v>1.666666667</v>
      </c>
      <c r="P13" s="18">
        <f t="shared" si="10"/>
        <v>6.666666667</v>
      </c>
      <c r="Q13" s="11">
        <v>1.0</v>
      </c>
      <c r="R13" s="19">
        <f t="shared" si="11"/>
        <v>30</v>
      </c>
      <c r="S13" s="18">
        <f t="shared" si="12"/>
        <v>10</v>
      </c>
    </row>
    <row r="14">
      <c r="A14" s="2" t="s">
        <v>64</v>
      </c>
      <c r="B14" s="11">
        <v>3.0</v>
      </c>
      <c r="C14" s="13">
        <f t="shared" si="1"/>
        <v>12</v>
      </c>
      <c r="D14" s="14">
        <v>4.0</v>
      </c>
      <c r="E14" s="20">
        <v>2.0</v>
      </c>
      <c r="F14" s="25">
        <f t="shared" si="2"/>
        <v>6</v>
      </c>
      <c r="G14" s="23">
        <f t="shared" si="3"/>
        <v>0.5</v>
      </c>
      <c r="H14" s="23">
        <f t="shared" si="4"/>
        <v>0.6666666667</v>
      </c>
      <c r="I14" s="13">
        <f t="shared" si="5"/>
        <v>0</v>
      </c>
      <c r="J14" s="14">
        <v>0.0</v>
      </c>
      <c r="K14" s="11">
        <v>0.0</v>
      </c>
      <c r="L14" s="16">
        <f t="shared" si="6"/>
        <v>0</v>
      </c>
      <c r="M14" s="16" t="str">
        <f t="shared" si="7"/>
        <v>#DIV/0!</v>
      </c>
      <c r="N14" s="19">
        <f t="shared" si="8"/>
        <v>16</v>
      </c>
      <c r="O14" s="18">
        <f t="shared" si="9"/>
        <v>1.333333333</v>
      </c>
      <c r="P14" s="18">
        <f t="shared" si="10"/>
        <v>5.333333333</v>
      </c>
      <c r="Q14" s="11">
        <v>1.0</v>
      </c>
      <c r="R14" s="19">
        <f t="shared" si="11"/>
        <v>26</v>
      </c>
      <c r="S14" s="18">
        <f t="shared" si="12"/>
        <v>8.666666667</v>
      </c>
    </row>
    <row r="15">
      <c r="A15" s="2" t="s">
        <v>79</v>
      </c>
      <c r="B15" s="11">
        <v>3.0</v>
      </c>
      <c r="C15" s="13">
        <f t="shared" si="1"/>
        <v>12</v>
      </c>
      <c r="D15" s="14">
        <v>4.0</v>
      </c>
      <c r="E15" s="11">
        <v>6.0</v>
      </c>
      <c r="F15" s="15">
        <f t="shared" si="2"/>
        <v>10</v>
      </c>
      <c r="G15" s="16">
        <f t="shared" si="3"/>
        <v>0.8333333333</v>
      </c>
      <c r="H15" s="16">
        <f t="shared" si="4"/>
        <v>0.4</v>
      </c>
      <c r="I15" s="13">
        <f t="shared" si="5"/>
        <v>2</v>
      </c>
      <c r="J15" s="14">
        <v>0.0</v>
      </c>
      <c r="K15" s="11">
        <v>2.0</v>
      </c>
      <c r="L15" s="16">
        <f t="shared" si="6"/>
        <v>0.1666666667</v>
      </c>
      <c r="M15" s="16">
        <f t="shared" si="7"/>
        <v>0</v>
      </c>
      <c r="N15" s="19">
        <f t="shared" si="8"/>
        <v>8</v>
      </c>
      <c r="O15" s="18">
        <f t="shared" si="9"/>
        <v>0.6666666667</v>
      </c>
      <c r="P15" s="18">
        <f t="shared" si="10"/>
        <v>2.666666667</v>
      </c>
      <c r="Q15" s="11">
        <v>1.0</v>
      </c>
      <c r="R15" s="19">
        <f t="shared" si="11"/>
        <v>18</v>
      </c>
      <c r="S15" s="18">
        <f t="shared" si="12"/>
        <v>6</v>
      </c>
    </row>
    <row r="16">
      <c r="A16" s="2" t="s">
        <v>47</v>
      </c>
      <c r="B16" s="11">
        <v>3.0</v>
      </c>
      <c r="C16" s="13">
        <f t="shared" si="1"/>
        <v>12</v>
      </c>
      <c r="D16" s="14">
        <v>2.0</v>
      </c>
      <c r="E16" s="11">
        <v>6.0</v>
      </c>
      <c r="F16" s="15">
        <f t="shared" si="2"/>
        <v>8</v>
      </c>
      <c r="G16" s="16">
        <f t="shared" si="3"/>
        <v>0.6666666667</v>
      </c>
      <c r="H16" s="16">
        <f t="shared" si="4"/>
        <v>0.25</v>
      </c>
      <c r="I16" s="13">
        <f t="shared" si="5"/>
        <v>0</v>
      </c>
      <c r="J16" s="14">
        <v>0.0</v>
      </c>
      <c r="K16" s="11">
        <v>0.0</v>
      </c>
      <c r="L16" s="16">
        <f t="shared" si="6"/>
        <v>0</v>
      </c>
      <c r="M16" s="16" t="str">
        <f t="shared" si="7"/>
        <v>#DIV/0!</v>
      </c>
      <c r="N16" s="19">
        <f t="shared" si="8"/>
        <v>8</v>
      </c>
      <c r="O16" s="18">
        <f t="shared" si="9"/>
        <v>0.6666666667</v>
      </c>
      <c r="P16" s="18">
        <f t="shared" si="10"/>
        <v>2.666666667</v>
      </c>
      <c r="Q16" s="11">
        <v>1.0</v>
      </c>
      <c r="R16" s="19">
        <f t="shared" si="11"/>
        <v>18</v>
      </c>
      <c r="S16" s="18">
        <f t="shared" si="12"/>
        <v>6</v>
      </c>
    </row>
    <row r="17">
      <c r="A17" s="2" t="s">
        <v>72</v>
      </c>
      <c r="B17" s="11">
        <v>3.0</v>
      </c>
      <c r="C17" s="13">
        <f t="shared" si="1"/>
        <v>12</v>
      </c>
      <c r="D17" s="14">
        <v>4.0</v>
      </c>
      <c r="E17" s="11">
        <v>5.0</v>
      </c>
      <c r="F17" s="15">
        <f t="shared" si="2"/>
        <v>9</v>
      </c>
      <c r="G17" s="16">
        <f t="shared" si="3"/>
        <v>0.75</v>
      </c>
      <c r="H17" s="16">
        <f t="shared" si="4"/>
        <v>0.4444444444</v>
      </c>
      <c r="I17" s="13">
        <f t="shared" si="5"/>
        <v>0</v>
      </c>
      <c r="J17" s="14">
        <v>0.0</v>
      </c>
      <c r="K17" s="11">
        <v>0.0</v>
      </c>
      <c r="L17" s="16">
        <f t="shared" si="6"/>
        <v>0</v>
      </c>
      <c r="M17" s="16" t="str">
        <f t="shared" si="7"/>
        <v>#DIV/0!</v>
      </c>
      <c r="N17" s="19">
        <f t="shared" si="8"/>
        <v>16</v>
      </c>
      <c r="O17" s="18">
        <f t="shared" si="9"/>
        <v>1.333333333</v>
      </c>
      <c r="P17" s="18">
        <f t="shared" si="10"/>
        <v>5.333333333</v>
      </c>
      <c r="Q17" s="11">
        <v>0.0</v>
      </c>
      <c r="R17" s="19">
        <f t="shared" si="11"/>
        <v>16</v>
      </c>
      <c r="S17" s="18">
        <f t="shared" si="12"/>
        <v>5.333333333</v>
      </c>
    </row>
    <row r="18">
      <c r="A18" s="2" t="s">
        <v>44</v>
      </c>
      <c r="B18" s="11">
        <v>3.0</v>
      </c>
      <c r="C18" s="13">
        <f t="shared" si="1"/>
        <v>12</v>
      </c>
      <c r="D18" s="14">
        <v>2.0</v>
      </c>
      <c r="E18" s="11">
        <v>4.0</v>
      </c>
      <c r="F18" s="15">
        <f t="shared" si="2"/>
        <v>6</v>
      </c>
      <c r="G18" s="16">
        <f t="shared" si="3"/>
        <v>0.5</v>
      </c>
      <c r="H18" s="16">
        <f t="shared" si="4"/>
        <v>0.3333333333</v>
      </c>
      <c r="I18" s="13">
        <f t="shared" si="5"/>
        <v>1</v>
      </c>
      <c r="J18" s="14">
        <v>0.0</v>
      </c>
      <c r="K18" s="11">
        <v>1.0</v>
      </c>
      <c r="L18" s="16">
        <f t="shared" si="6"/>
        <v>0.08333333333</v>
      </c>
      <c r="M18" s="16">
        <f t="shared" si="7"/>
        <v>0</v>
      </c>
      <c r="N18" s="19">
        <f t="shared" si="8"/>
        <v>4</v>
      </c>
      <c r="O18" s="18">
        <f t="shared" si="9"/>
        <v>0.3333333333</v>
      </c>
      <c r="P18" s="18">
        <f t="shared" si="10"/>
        <v>1.333333333</v>
      </c>
      <c r="Q18" s="11">
        <v>1.0</v>
      </c>
      <c r="R18" s="19">
        <f t="shared" si="11"/>
        <v>14</v>
      </c>
      <c r="S18" s="18">
        <f t="shared" si="12"/>
        <v>4.666666667</v>
      </c>
    </row>
    <row r="19">
      <c r="A19" s="2" t="s">
        <v>117</v>
      </c>
      <c r="B19" s="11">
        <v>3.0</v>
      </c>
      <c r="C19" s="13">
        <f t="shared" si="1"/>
        <v>12</v>
      </c>
      <c r="D19" s="14">
        <v>1.0</v>
      </c>
      <c r="E19" s="11">
        <v>2.0</v>
      </c>
      <c r="F19" s="15">
        <f t="shared" si="2"/>
        <v>3</v>
      </c>
      <c r="G19" s="16">
        <f t="shared" si="3"/>
        <v>0.25</v>
      </c>
      <c r="H19" s="16">
        <f t="shared" si="4"/>
        <v>0.3333333333</v>
      </c>
      <c r="I19" s="13">
        <f t="shared" si="5"/>
        <v>0</v>
      </c>
      <c r="J19" s="14">
        <v>0.0</v>
      </c>
      <c r="K19" s="11">
        <v>0.0</v>
      </c>
      <c r="L19" s="16">
        <f t="shared" si="6"/>
        <v>0</v>
      </c>
      <c r="M19" s="16" t="str">
        <f t="shared" si="7"/>
        <v>#DIV/0!</v>
      </c>
      <c r="N19" s="19">
        <f t="shared" si="8"/>
        <v>4</v>
      </c>
      <c r="O19" s="18">
        <f t="shared" si="9"/>
        <v>0.3333333333</v>
      </c>
      <c r="P19" s="18">
        <f t="shared" si="10"/>
        <v>1.333333333</v>
      </c>
      <c r="Q19" s="11">
        <v>1.0</v>
      </c>
      <c r="R19" s="19">
        <f t="shared" si="11"/>
        <v>14</v>
      </c>
      <c r="S19" s="18">
        <f t="shared" si="12"/>
        <v>4.666666667</v>
      </c>
    </row>
    <row r="20">
      <c r="A20" s="2" t="s">
        <v>96</v>
      </c>
      <c r="B20" s="11">
        <v>3.0</v>
      </c>
      <c r="C20" s="13">
        <f t="shared" si="1"/>
        <v>12</v>
      </c>
      <c r="D20" s="14">
        <v>4.0</v>
      </c>
      <c r="E20" s="11">
        <v>6.0</v>
      </c>
      <c r="F20" s="15">
        <f t="shared" si="2"/>
        <v>10</v>
      </c>
      <c r="G20" s="16">
        <f t="shared" si="3"/>
        <v>0.8333333333</v>
      </c>
      <c r="H20" s="16">
        <f t="shared" si="4"/>
        <v>0.4</v>
      </c>
      <c r="I20" s="13">
        <f t="shared" si="5"/>
        <v>5</v>
      </c>
      <c r="J20" s="14">
        <v>1.0</v>
      </c>
      <c r="K20" s="11">
        <v>4.0</v>
      </c>
      <c r="L20" s="16">
        <f t="shared" si="6"/>
        <v>0.4166666667</v>
      </c>
      <c r="M20" s="16">
        <f t="shared" si="7"/>
        <v>0.2</v>
      </c>
      <c r="N20" s="19">
        <f t="shared" si="8"/>
        <v>0</v>
      </c>
      <c r="O20" s="18">
        <f t="shared" si="9"/>
        <v>0</v>
      </c>
      <c r="P20" s="18">
        <f t="shared" si="10"/>
        <v>0</v>
      </c>
      <c r="Q20" s="11">
        <v>1.0</v>
      </c>
      <c r="R20" s="19">
        <f t="shared" si="11"/>
        <v>10</v>
      </c>
      <c r="S20" s="18">
        <f t="shared" si="12"/>
        <v>3.333333333</v>
      </c>
    </row>
    <row r="21">
      <c r="A21" s="2" t="s">
        <v>114</v>
      </c>
      <c r="B21" s="11">
        <v>3.0</v>
      </c>
      <c r="C21" s="13">
        <f t="shared" si="1"/>
        <v>12</v>
      </c>
      <c r="D21" s="14">
        <v>1.0</v>
      </c>
      <c r="E21" s="11">
        <v>7.0</v>
      </c>
      <c r="F21" s="15">
        <f t="shared" si="2"/>
        <v>8</v>
      </c>
      <c r="G21" s="16">
        <f t="shared" si="3"/>
        <v>0.6666666667</v>
      </c>
      <c r="H21" s="16">
        <f t="shared" si="4"/>
        <v>0.125</v>
      </c>
      <c r="I21" s="13">
        <f t="shared" si="5"/>
        <v>1</v>
      </c>
      <c r="J21" s="14">
        <v>0.0</v>
      </c>
      <c r="K21" s="11">
        <v>1.0</v>
      </c>
      <c r="L21" s="16">
        <f t="shared" si="6"/>
        <v>0.08333333333</v>
      </c>
      <c r="M21" s="16">
        <f t="shared" si="7"/>
        <v>0</v>
      </c>
      <c r="N21" s="19">
        <f t="shared" si="8"/>
        <v>0</v>
      </c>
      <c r="O21" s="18">
        <f t="shared" si="9"/>
        <v>0</v>
      </c>
      <c r="P21" s="18">
        <f t="shared" si="10"/>
        <v>0</v>
      </c>
      <c r="Q21" s="11">
        <v>1.0</v>
      </c>
      <c r="R21" s="19">
        <f t="shared" si="11"/>
        <v>10</v>
      </c>
      <c r="S21" s="18">
        <f t="shared" si="12"/>
        <v>3.333333333</v>
      </c>
    </row>
    <row r="22">
      <c r="A22" s="2" t="s">
        <v>104</v>
      </c>
      <c r="B22" s="11">
        <v>3.0</v>
      </c>
      <c r="C22" s="13">
        <f t="shared" si="1"/>
        <v>12</v>
      </c>
      <c r="D22" s="14">
        <v>2.0</v>
      </c>
      <c r="E22" s="20">
        <v>3.0</v>
      </c>
      <c r="F22" s="25">
        <f t="shared" si="2"/>
        <v>5</v>
      </c>
      <c r="G22" s="23">
        <f t="shared" si="3"/>
        <v>0.4166666667</v>
      </c>
      <c r="H22" s="23">
        <f t="shared" si="4"/>
        <v>0.4</v>
      </c>
      <c r="I22" s="13">
        <f t="shared" si="5"/>
        <v>0</v>
      </c>
      <c r="J22" s="14">
        <v>0.0</v>
      </c>
      <c r="K22" s="11">
        <v>0.0</v>
      </c>
      <c r="L22" s="16">
        <f t="shared" si="6"/>
        <v>0</v>
      </c>
      <c r="M22" s="16" t="str">
        <f t="shared" si="7"/>
        <v>#DIV/0!</v>
      </c>
      <c r="N22" s="19">
        <f t="shared" si="8"/>
        <v>8</v>
      </c>
      <c r="O22" s="18">
        <f t="shared" si="9"/>
        <v>0.6666666667</v>
      </c>
      <c r="P22" s="18">
        <f t="shared" si="10"/>
        <v>2.666666667</v>
      </c>
      <c r="Q22" s="11">
        <v>0.0</v>
      </c>
      <c r="R22" s="19">
        <f t="shared" si="11"/>
        <v>8</v>
      </c>
      <c r="S22" s="18">
        <f t="shared" si="12"/>
        <v>2.666666667</v>
      </c>
    </row>
    <row r="23">
      <c r="A23" s="2" t="s">
        <v>88</v>
      </c>
      <c r="B23" s="11">
        <v>3.0</v>
      </c>
      <c r="C23" s="13">
        <f t="shared" si="1"/>
        <v>12</v>
      </c>
      <c r="D23" s="14">
        <v>2.0</v>
      </c>
      <c r="E23" s="20">
        <v>5.0</v>
      </c>
      <c r="F23" s="25">
        <f t="shared" si="2"/>
        <v>7</v>
      </c>
      <c r="G23" s="23">
        <f t="shared" si="3"/>
        <v>0.5833333333</v>
      </c>
      <c r="H23" s="23">
        <f t="shared" si="4"/>
        <v>0.2857142857</v>
      </c>
      <c r="I23" s="13">
        <f t="shared" si="5"/>
        <v>0</v>
      </c>
      <c r="J23" s="14">
        <v>0.0</v>
      </c>
      <c r="K23" s="11">
        <v>0.0</v>
      </c>
      <c r="L23" s="16">
        <f t="shared" si="6"/>
        <v>0</v>
      </c>
      <c r="M23" s="16" t="str">
        <f t="shared" si="7"/>
        <v>#DIV/0!</v>
      </c>
      <c r="N23" s="19">
        <f t="shared" si="8"/>
        <v>8</v>
      </c>
      <c r="O23" s="18">
        <f t="shared" si="9"/>
        <v>0.6666666667</v>
      </c>
      <c r="P23" s="18">
        <f t="shared" si="10"/>
        <v>2.666666667</v>
      </c>
      <c r="Q23" s="11">
        <v>0.0</v>
      </c>
      <c r="R23" s="19">
        <f t="shared" si="11"/>
        <v>8</v>
      </c>
      <c r="S23" s="18">
        <f t="shared" si="12"/>
        <v>2.666666667</v>
      </c>
    </row>
    <row r="24">
      <c r="A24" s="2" t="s">
        <v>111</v>
      </c>
      <c r="B24" s="11">
        <v>3.0</v>
      </c>
      <c r="C24" s="13">
        <f t="shared" si="1"/>
        <v>12</v>
      </c>
      <c r="D24" s="14">
        <v>2.0</v>
      </c>
      <c r="E24" s="11">
        <v>6.0</v>
      </c>
      <c r="F24" s="15">
        <f t="shared" si="2"/>
        <v>8</v>
      </c>
      <c r="G24" s="16">
        <f t="shared" si="3"/>
        <v>0.6666666667</v>
      </c>
      <c r="H24" s="16">
        <f t="shared" si="4"/>
        <v>0.25</v>
      </c>
      <c r="I24" s="13">
        <f t="shared" si="5"/>
        <v>1</v>
      </c>
      <c r="J24" s="14">
        <v>1.0</v>
      </c>
      <c r="K24" s="11">
        <v>0.0</v>
      </c>
      <c r="L24" s="16">
        <f t="shared" si="6"/>
        <v>0.08333333333</v>
      </c>
      <c r="M24" s="16">
        <f t="shared" si="7"/>
        <v>1</v>
      </c>
      <c r="N24" s="19">
        <f t="shared" si="8"/>
        <v>8</v>
      </c>
      <c r="O24" s="18">
        <f t="shared" si="9"/>
        <v>0.6666666667</v>
      </c>
      <c r="P24" s="18">
        <f t="shared" si="10"/>
        <v>2.666666667</v>
      </c>
      <c r="Q24" s="11">
        <v>0.0</v>
      </c>
      <c r="R24" s="19">
        <f t="shared" si="11"/>
        <v>8</v>
      </c>
      <c r="S24" s="18">
        <f t="shared" si="12"/>
        <v>2.666666667</v>
      </c>
    </row>
    <row r="25">
      <c r="A25" s="2" t="s">
        <v>101</v>
      </c>
      <c r="B25" s="11">
        <v>3.0</v>
      </c>
      <c r="C25" s="13">
        <f t="shared" si="1"/>
        <v>12</v>
      </c>
      <c r="D25" s="14">
        <v>2.0</v>
      </c>
      <c r="E25" s="11">
        <v>6.0</v>
      </c>
      <c r="F25" s="15">
        <f t="shared" si="2"/>
        <v>8</v>
      </c>
      <c r="G25" s="16">
        <f t="shared" si="3"/>
        <v>0.6666666667</v>
      </c>
      <c r="H25" s="16">
        <f t="shared" si="4"/>
        <v>0.25</v>
      </c>
      <c r="I25" s="13">
        <f t="shared" si="5"/>
        <v>0</v>
      </c>
      <c r="J25" s="14">
        <v>0.0</v>
      </c>
      <c r="K25" s="11">
        <v>0.0</v>
      </c>
      <c r="L25" s="16">
        <f t="shared" si="6"/>
        <v>0</v>
      </c>
      <c r="M25" s="16" t="str">
        <f t="shared" si="7"/>
        <v>#DIV/0!</v>
      </c>
      <c r="N25" s="19">
        <f t="shared" si="8"/>
        <v>8</v>
      </c>
      <c r="O25" s="18">
        <f t="shared" si="9"/>
        <v>0.6666666667</v>
      </c>
      <c r="P25" s="18">
        <f t="shared" si="10"/>
        <v>2.666666667</v>
      </c>
      <c r="Q25" s="11">
        <v>0.0</v>
      </c>
      <c r="R25" s="19">
        <f t="shared" si="11"/>
        <v>8</v>
      </c>
      <c r="S25" s="18">
        <f t="shared" si="12"/>
        <v>2.666666667</v>
      </c>
    </row>
    <row r="26">
      <c r="A26" s="2" t="s">
        <v>81</v>
      </c>
      <c r="B26" s="11">
        <v>3.0</v>
      </c>
      <c r="C26" s="13">
        <f t="shared" si="1"/>
        <v>12</v>
      </c>
      <c r="D26" s="14">
        <v>2.0</v>
      </c>
      <c r="E26" s="11">
        <v>8.0</v>
      </c>
      <c r="F26" s="15">
        <f t="shared" si="2"/>
        <v>10</v>
      </c>
      <c r="G26" s="16">
        <f t="shared" si="3"/>
        <v>0.8333333333</v>
      </c>
      <c r="H26" s="16">
        <f t="shared" si="4"/>
        <v>0.2</v>
      </c>
      <c r="I26" s="13">
        <f t="shared" si="5"/>
        <v>1</v>
      </c>
      <c r="J26" s="14">
        <v>1.0</v>
      </c>
      <c r="K26" s="11">
        <v>0.0</v>
      </c>
      <c r="L26" s="16">
        <f t="shared" si="6"/>
        <v>0.08333333333</v>
      </c>
      <c r="M26" s="16">
        <f t="shared" si="7"/>
        <v>1</v>
      </c>
      <c r="N26" s="19">
        <f t="shared" si="8"/>
        <v>8</v>
      </c>
      <c r="O26" s="18">
        <f t="shared" si="9"/>
        <v>0.6666666667</v>
      </c>
      <c r="P26" s="18">
        <f t="shared" si="10"/>
        <v>2.666666667</v>
      </c>
      <c r="Q26" s="11">
        <v>0.0</v>
      </c>
      <c r="R26" s="19">
        <f t="shared" si="11"/>
        <v>8</v>
      </c>
      <c r="S26" s="18">
        <f t="shared" si="12"/>
        <v>2.666666667</v>
      </c>
    </row>
    <row r="27">
      <c r="A27" s="2" t="s">
        <v>110</v>
      </c>
      <c r="B27" s="11">
        <v>3.0</v>
      </c>
      <c r="C27" s="13">
        <f t="shared" si="1"/>
        <v>12</v>
      </c>
      <c r="D27" s="14">
        <v>1.0</v>
      </c>
      <c r="E27" s="11">
        <v>3.0</v>
      </c>
      <c r="F27" s="15">
        <f t="shared" si="2"/>
        <v>4</v>
      </c>
      <c r="G27" s="16">
        <f t="shared" si="3"/>
        <v>0.3333333333</v>
      </c>
      <c r="H27" s="16">
        <f t="shared" si="4"/>
        <v>0.25</v>
      </c>
      <c r="I27" s="13">
        <f t="shared" si="5"/>
        <v>0</v>
      </c>
      <c r="J27" s="14">
        <v>0.0</v>
      </c>
      <c r="K27" s="11">
        <v>0.0</v>
      </c>
      <c r="L27" s="16">
        <f t="shared" si="6"/>
        <v>0</v>
      </c>
      <c r="M27" s="16" t="str">
        <f t="shared" si="7"/>
        <v>#DIV/0!</v>
      </c>
      <c r="N27" s="19">
        <f t="shared" si="8"/>
        <v>4</v>
      </c>
      <c r="O27" s="18">
        <f t="shared" si="9"/>
        <v>0.3333333333</v>
      </c>
      <c r="P27" s="18">
        <f t="shared" si="10"/>
        <v>1.333333333</v>
      </c>
      <c r="Q27" s="11">
        <v>0.0</v>
      </c>
      <c r="R27" s="19">
        <f t="shared" si="11"/>
        <v>4</v>
      </c>
      <c r="S27" s="18">
        <f t="shared" si="12"/>
        <v>1.333333333</v>
      </c>
    </row>
    <row r="28">
      <c r="A28" s="2" t="s">
        <v>98</v>
      </c>
      <c r="B28" s="11">
        <v>3.0</v>
      </c>
      <c r="C28" s="13">
        <f t="shared" si="1"/>
        <v>12</v>
      </c>
      <c r="D28" s="14">
        <v>2.0</v>
      </c>
      <c r="E28" s="11">
        <v>6.0</v>
      </c>
      <c r="F28" s="15">
        <f t="shared" si="2"/>
        <v>8</v>
      </c>
      <c r="G28" s="16">
        <f t="shared" si="3"/>
        <v>0.6666666667</v>
      </c>
      <c r="H28" s="16">
        <f t="shared" si="4"/>
        <v>0.25</v>
      </c>
      <c r="I28" s="13">
        <f t="shared" si="5"/>
        <v>2</v>
      </c>
      <c r="J28" s="14">
        <v>1.0</v>
      </c>
      <c r="K28" s="11">
        <v>1.0</v>
      </c>
      <c r="L28" s="16">
        <f t="shared" si="6"/>
        <v>0.1666666667</v>
      </c>
      <c r="M28" s="16">
        <f t="shared" si="7"/>
        <v>0.5</v>
      </c>
      <c r="N28" s="19">
        <f t="shared" si="8"/>
        <v>4</v>
      </c>
      <c r="O28" s="18">
        <f t="shared" si="9"/>
        <v>0.3333333333</v>
      </c>
      <c r="P28" s="18">
        <f t="shared" si="10"/>
        <v>1.333333333</v>
      </c>
      <c r="Q28" s="11">
        <v>0.0</v>
      </c>
      <c r="R28" s="19">
        <f t="shared" si="11"/>
        <v>4</v>
      </c>
      <c r="S28" s="18">
        <f t="shared" si="12"/>
        <v>1.333333333</v>
      </c>
    </row>
    <row r="29">
      <c r="A29" s="2" t="s">
        <v>85</v>
      </c>
      <c r="B29" s="11">
        <v>3.0</v>
      </c>
      <c r="C29" s="13">
        <f t="shared" si="1"/>
        <v>12</v>
      </c>
      <c r="D29" s="14">
        <v>1.0</v>
      </c>
      <c r="E29" s="20">
        <v>5.0</v>
      </c>
      <c r="F29" s="25">
        <f t="shared" si="2"/>
        <v>6</v>
      </c>
      <c r="G29" s="23">
        <f t="shared" si="3"/>
        <v>0.5</v>
      </c>
      <c r="H29" s="23">
        <f t="shared" si="4"/>
        <v>0.1666666667</v>
      </c>
      <c r="I29" s="13">
        <f t="shared" si="5"/>
        <v>0</v>
      </c>
      <c r="J29" s="14">
        <v>0.0</v>
      </c>
      <c r="K29" s="11">
        <v>0.0</v>
      </c>
      <c r="L29" s="16">
        <f t="shared" si="6"/>
        <v>0</v>
      </c>
      <c r="M29" s="16" t="str">
        <f t="shared" si="7"/>
        <v>#DIV/0!</v>
      </c>
      <c r="N29" s="19">
        <f t="shared" si="8"/>
        <v>4</v>
      </c>
      <c r="O29" s="18">
        <f t="shared" si="9"/>
        <v>0.3333333333</v>
      </c>
      <c r="P29" s="18">
        <f t="shared" si="10"/>
        <v>1.333333333</v>
      </c>
      <c r="Q29" s="11">
        <v>0.0</v>
      </c>
      <c r="R29" s="19">
        <f t="shared" si="11"/>
        <v>4</v>
      </c>
      <c r="S29" s="18">
        <f t="shared" si="12"/>
        <v>1.333333333</v>
      </c>
    </row>
    <row r="30">
      <c r="A30" s="2" t="s">
        <v>90</v>
      </c>
      <c r="B30" s="11">
        <v>3.0</v>
      </c>
      <c r="C30" s="13">
        <f t="shared" si="1"/>
        <v>12</v>
      </c>
      <c r="D30" s="14">
        <v>1.0</v>
      </c>
      <c r="E30" s="11">
        <v>5.0</v>
      </c>
      <c r="F30" s="15">
        <f t="shared" si="2"/>
        <v>6</v>
      </c>
      <c r="G30" s="16">
        <f t="shared" si="3"/>
        <v>0.5</v>
      </c>
      <c r="H30" s="16">
        <f t="shared" si="4"/>
        <v>0.1666666667</v>
      </c>
      <c r="I30" s="13">
        <f t="shared" si="5"/>
        <v>0</v>
      </c>
      <c r="J30" s="14">
        <v>0.0</v>
      </c>
      <c r="K30" s="11">
        <v>0.0</v>
      </c>
      <c r="L30" s="16">
        <f t="shared" si="6"/>
        <v>0</v>
      </c>
      <c r="M30" s="16" t="str">
        <f t="shared" si="7"/>
        <v>#DIV/0!</v>
      </c>
      <c r="N30" s="19">
        <f t="shared" si="8"/>
        <v>4</v>
      </c>
      <c r="O30" s="18">
        <f t="shared" si="9"/>
        <v>0.3333333333</v>
      </c>
      <c r="P30" s="18">
        <f t="shared" si="10"/>
        <v>1.333333333</v>
      </c>
      <c r="Q30" s="11">
        <v>0.0</v>
      </c>
      <c r="R30" s="19">
        <f t="shared" si="11"/>
        <v>4</v>
      </c>
      <c r="S30" s="18">
        <f t="shared" si="12"/>
        <v>1.333333333</v>
      </c>
    </row>
    <row r="31">
      <c r="A31" s="2" t="s">
        <v>93</v>
      </c>
      <c r="B31" s="11">
        <v>3.0</v>
      </c>
      <c r="C31" s="13">
        <f t="shared" si="1"/>
        <v>12</v>
      </c>
      <c r="D31" s="14">
        <v>1.0</v>
      </c>
      <c r="E31" s="11">
        <v>10.0</v>
      </c>
      <c r="F31" s="15">
        <f t="shared" si="2"/>
        <v>11</v>
      </c>
      <c r="G31" s="16">
        <f t="shared" si="3"/>
        <v>0.9166666667</v>
      </c>
      <c r="H31" s="16">
        <f t="shared" si="4"/>
        <v>0.09090909091</v>
      </c>
      <c r="I31" s="13">
        <f t="shared" si="5"/>
        <v>0</v>
      </c>
      <c r="J31" s="14">
        <v>0.0</v>
      </c>
      <c r="K31" s="11">
        <v>0.0</v>
      </c>
      <c r="L31" s="16">
        <f t="shared" si="6"/>
        <v>0</v>
      </c>
      <c r="M31" s="16" t="str">
        <f t="shared" si="7"/>
        <v>#DIV/0!</v>
      </c>
      <c r="N31" s="19">
        <f t="shared" si="8"/>
        <v>4</v>
      </c>
      <c r="O31" s="18">
        <f t="shared" si="9"/>
        <v>0.3333333333</v>
      </c>
      <c r="P31" s="18">
        <f t="shared" si="10"/>
        <v>1.333333333</v>
      </c>
      <c r="Q31" s="11">
        <v>0.0</v>
      </c>
      <c r="R31" s="19">
        <f t="shared" si="11"/>
        <v>4</v>
      </c>
      <c r="S31" s="18">
        <f t="shared" si="12"/>
        <v>1.333333333</v>
      </c>
    </row>
    <row r="32">
      <c r="A32" s="2" t="s">
        <v>119</v>
      </c>
      <c r="B32" s="11">
        <v>3.0</v>
      </c>
      <c r="C32" s="13">
        <f t="shared" si="1"/>
        <v>12</v>
      </c>
      <c r="D32" s="14">
        <v>0.0</v>
      </c>
      <c r="E32" s="11">
        <v>5.0</v>
      </c>
      <c r="F32" s="15">
        <f t="shared" si="2"/>
        <v>5</v>
      </c>
      <c r="G32" s="16">
        <f t="shared" si="3"/>
        <v>0.4166666667</v>
      </c>
      <c r="H32" s="16">
        <f t="shared" si="4"/>
        <v>0</v>
      </c>
      <c r="I32" s="13">
        <f t="shared" si="5"/>
        <v>0</v>
      </c>
      <c r="J32" s="14">
        <v>0.0</v>
      </c>
      <c r="K32" s="11">
        <v>0.0</v>
      </c>
      <c r="L32" s="16">
        <f t="shared" si="6"/>
        <v>0</v>
      </c>
      <c r="M32" s="16" t="str">
        <f t="shared" si="7"/>
        <v>#DIV/0!</v>
      </c>
      <c r="N32" s="19">
        <f t="shared" si="8"/>
        <v>0</v>
      </c>
      <c r="O32" s="18">
        <f t="shared" si="9"/>
        <v>0</v>
      </c>
      <c r="P32" s="18">
        <f t="shared" si="10"/>
        <v>0</v>
      </c>
      <c r="Q32" s="11">
        <v>0.0</v>
      </c>
      <c r="R32" s="19">
        <f t="shared" si="11"/>
        <v>0</v>
      </c>
      <c r="S32" s="18">
        <f t="shared" si="12"/>
        <v>0</v>
      </c>
    </row>
    <row r="33">
      <c r="A33" s="2" t="s">
        <v>109</v>
      </c>
      <c r="B33" s="11">
        <v>3.0</v>
      </c>
      <c r="C33" s="13">
        <f t="shared" si="1"/>
        <v>12</v>
      </c>
      <c r="D33" s="14">
        <v>0.0</v>
      </c>
      <c r="E33" s="11">
        <v>6.0</v>
      </c>
      <c r="F33" s="15">
        <f t="shared" si="2"/>
        <v>6</v>
      </c>
      <c r="G33" s="16">
        <f t="shared" si="3"/>
        <v>0.5</v>
      </c>
      <c r="H33" s="16">
        <f t="shared" si="4"/>
        <v>0</v>
      </c>
      <c r="I33" s="13">
        <f t="shared" si="5"/>
        <v>1</v>
      </c>
      <c r="J33" s="14">
        <v>0.0</v>
      </c>
      <c r="K33" s="11">
        <v>1.0</v>
      </c>
      <c r="L33" s="16">
        <f t="shared" si="6"/>
        <v>0.08333333333</v>
      </c>
      <c r="M33" s="16">
        <f t="shared" si="7"/>
        <v>0</v>
      </c>
      <c r="N33" s="19">
        <f t="shared" si="8"/>
        <v>-4</v>
      </c>
      <c r="O33" s="18">
        <f t="shared" si="9"/>
        <v>-0.3333333333</v>
      </c>
      <c r="P33" s="18">
        <f t="shared" si="10"/>
        <v>-1.333333333</v>
      </c>
      <c r="Q33" s="11">
        <v>0.0</v>
      </c>
      <c r="R33" s="19">
        <f t="shared" si="11"/>
        <v>-4</v>
      </c>
      <c r="S33" s="18">
        <f t="shared" si="12"/>
        <v>-1.333333333</v>
      </c>
    </row>
    <row r="34">
      <c r="D34" s="29"/>
      <c r="F34" s="31"/>
      <c r="G34" s="30"/>
      <c r="H34" s="30"/>
      <c r="J34" s="29"/>
      <c r="L34" s="30"/>
      <c r="M34" s="30"/>
      <c r="O34" s="32"/>
      <c r="P34" s="32"/>
      <c r="S34" s="32"/>
    </row>
    <row r="35">
      <c r="D35" s="29"/>
      <c r="F35" s="31"/>
      <c r="G35" s="30"/>
      <c r="H35" s="30"/>
      <c r="J35" s="29"/>
      <c r="L35" s="30"/>
      <c r="M35" s="30"/>
      <c r="O35" s="32"/>
      <c r="P35" s="32"/>
      <c r="S35" s="32"/>
    </row>
    <row r="36">
      <c r="D36" s="29"/>
      <c r="F36" s="31"/>
      <c r="G36" s="30"/>
      <c r="H36" s="30"/>
      <c r="J36" s="29"/>
      <c r="L36" s="30"/>
      <c r="M36" s="30"/>
      <c r="O36" s="32"/>
      <c r="P36" s="32"/>
      <c r="S36" s="32"/>
    </row>
    <row r="37">
      <c r="D37" s="29"/>
      <c r="F37" s="31"/>
      <c r="G37" s="30"/>
      <c r="H37" s="30"/>
      <c r="J37" s="29"/>
      <c r="L37" s="30"/>
      <c r="M37" s="30"/>
      <c r="O37" s="32"/>
      <c r="P37" s="32"/>
      <c r="S37" s="32"/>
    </row>
    <row r="38">
      <c r="D38" s="29"/>
      <c r="F38" s="31"/>
      <c r="G38" s="30"/>
      <c r="H38" s="30"/>
      <c r="J38" s="29"/>
      <c r="L38" s="30"/>
      <c r="M38" s="30"/>
      <c r="O38" s="32"/>
      <c r="P38" s="32"/>
      <c r="S38" s="32"/>
    </row>
    <row r="39">
      <c r="D39" s="29"/>
      <c r="F39" s="31"/>
      <c r="G39" s="30"/>
      <c r="H39" s="30"/>
      <c r="J39" s="29"/>
      <c r="L39" s="30"/>
      <c r="M39" s="30"/>
      <c r="O39" s="32"/>
      <c r="P39" s="32"/>
      <c r="S39" s="32"/>
    </row>
    <row r="40">
      <c r="D40" s="29"/>
      <c r="F40" s="31"/>
      <c r="G40" s="30"/>
      <c r="H40" s="30"/>
      <c r="J40" s="29"/>
      <c r="L40" s="30"/>
      <c r="M40" s="30"/>
      <c r="O40" s="32"/>
      <c r="P40" s="32"/>
      <c r="S40" s="32"/>
    </row>
    <row r="41">
      <c r="D41" s="29"/>
      <c r="F41" s="31"/>
      <c r="G41" s="30"/>
      <c r="H41" s="30"/>
      <c r="J41" s="29"/>
      <c r="L41" s="30"/>
      <c r="M41" s="30"/>
      <c r="O41" s="32"/>
      <c r="P41" s="32"/>
      <c r="S41" s="32"/>
    </row>
    <row r="42">
      <c r="D42" s="29"/>
      <c r="F42" s="31"/>
      <c r="G42" s="30"/>
      <c r="H42" s="30"/>
      <c r="J42" s="29"/>
      <c r="L42" s="30"/>
      <c r="M42" s="30"/>
      <c r="O42" s="32"/>
      <c r="P42" s="32"/>
      <c r="S42" s="32"/>
    </row>
    <row r="43">
      <c r="D43" s="29"/>
      <c r="F43" s="31"/>
      <c r="G43" s="30"/>
      <c r="H43" s="30"/>
      <c r="J43" s="29"/>
      <c r="L43" s="30"/>
      <c r="M43" s="30"/>
      <c r="O43" s="32"/>
      <c r="P43" s="32"/>
      <c r="S43" s="32"/>
    </row>
    <row r="44">
      <c r="D44" s="29"/>
      <c r="F44" s="31"/>
      <c r="G44" s="30"/>
      <c r="H44" s="30"/>
      <c r="J44" s="29"/>
      <c r="L44" s="30"/>
      <c r="M44" s="30"/>
      <c r="O44" s="32"/>
      <c r="P44" s="32"/>
      <c r="S44" s="32"/>
    </row>
    <row r="45">
      <c r="D45" s="29"/>
      <c r="F45" s="31"/>
      <c r="G45" s="30"/>
      <c r="H45" s="30"/>
      <c r="J45" s="29"/>
      <c r="L45" s="30"/>
      <c r="M45" s="30"/>
      <c r="O45" s="32"/>
      <c r="P45" s="32"/>
      <c r="S45" s="32"/>
    </row>
    <row r="46">
      <c r="D46" s="29"/>
      <c r="F46" s="31"/>
      <c r="G46" s="30"/>
      <c r="H46" s="30"/>
      <c r="J46" s="29"/>
      <c r="L46" s="30"/>
      <c r="M46" s="30"/>
      <c r="O46" s="32"/>
      <c r="P46" s="32"/>
      <c r="S46" s="32"/>
    </row>
    <row r="47">
      <c r="D47" s="29"/>
      <c r="F47" s="31"/>
      <c r="G47" s="30"/>
      <c r="H47" s="30"/>
      <c r="J47" s="29"/>
      <c r="L47" s="30"/>
      <c r="M47" s="30"/>
      <c r="O47" s="32"/>
      <c r="P47" s="32"/>
      <c r="S47" s="32"/>
    </row>
    <row r="48">
      <c r="D48" s="29"/>
      <c r="F48" s="31"/>
      <c r="G48" s="30"/>
      <c r="H48" s="30"/>
      <c r="J48" s="29"/>
      <c r="L48" s="30"/>
      <c r="M48" s="30"/>
      <c r="O48" s="32"/>
      <c r="P48" s="32"/>
      <c r="S48" s="32"/>
    </row>
    <row r="49">
      <c r="D49" s="29"/>
      <c r="F49" s="31"/>
      <c r="G49" s="30"/>
      <c r="H49" s="30"/>
      <c r="J49" s="29"/>
      <c r="L49" s="30"/>
      <c r="M49" s="30"/>
      <c r="O49" s="32"/>
      <c r="P49" s="32"/>
      <c r="S49" s="32"/>
    </row>
    <row r="50">
      <c r="D50" s="29"/>
      <c r="F50" s="31"/>
      <c r="G50" s="30"/>
      <c r="H50" s="30"/>
      <c r="J50" s="29"/>
      <c r="L50" s="30"/>
      <c r="M50" s="30"/>
      <c r="O50" s="32"/>
      <c r="P50" s="32"/>
      <c r="S50" s="32"/>
    </row>
    <row r="51">
      <c r="D51" s="29"/>
      <c r="F51" s="31"/>
      <c r="G51" s="30"/>
      <c r="H51" s="30"/>
      <c r="J51" s="29"/>
      <c r="L51" s="30"/>
      <c r="M51" s="30"/>
      <c r="O51" s="32"/>
      <c r="P51" s="32"/>
      <c r="S51" s="32"/>
    </row>
    <row r="52">
      <c r="D52" s="29"/>
      <c r="F52" s="31"/>
      <c r="G52" s="30"/>
      <c r="H52" s="30"/>
      <c r="J52" s="29"/>
      <c r="L52" s="30"/>
      <c r="M52" s="30"/>
      <c r="O52" s="32"/>
      <c r="P52" s="32"/>
      <c r="S52" s="32"/>
    </row>
    <row r="53">
      <c r="D53" s="29"/>
      <c r="F53" s="31"/>
      <c r="G53" s="30"/>
      <c r="H53" s="30"/>
      <c r="J53" s="29"/>
      <c r="L53" s="30"/>
      <c r="M53" s="30"/>
      <c r="O53" s="32"/>
      <c r="P53" s="32"/>
      <c r="S53" s="32"/>
    </row>
    <row r="54">
      <c r="D54" s="29"/>
      <c r="F54" s="31"/>
      <c r="G54" s="30"/>
      <c r="H54" s="30"/>
      <c r="J54" s="29"/>
      <c r="L54" s="30"/>
      <c r="M54" s="30"/>
      <c r="O54" s="32"/>
      <c r="P54" s="32"/>
      <c r="S54" s="32"/>
    </row>
    <row r="55">
      <c r="D55" s="29"/>
      <c r="F55" s="31"/>
      <c r="G55" s="30"/>
      <c r="H55" s="30"/>
      <c r="J55" s="29"/>
      <c r="L55" s="30"/>
      <c r="M55" s="30"/>
      <c r="O55" s="32"/>
      <c r="P55" s="32"/>
      <c r="S55" s="32"/>
    </row>
    <row r="56">
      <c r="D56" s="29"/>
      <c r="F56" s="31"/>
      <c r="G56" s="30"/>
      <c r="H56" s="30"/>
      <c r="J56" s="29"/>
      <c r="L56" s="30"/>
      <c r="M56" s="30"/>
      <c r="O56" s="32"/>
      <c r="P56" s="32"/>
      <c r="S56" s="32"/>
    </row>
    <row r="57">
      <c r="D57" s="29"/>
      <c r="F57" s="31"/>
      <c r="G57" s="30"/>
      <c r="H57" s="30"/>
      <c r="J57" s="29"/>
      <c r="L57" s="30"/>
      <c r="M57" s="30"/>
      <c r="O57" s="32"/>
      <c r="P57" s="32"/>
      <c r="S57" s="32"/>
    </row>
    <row r="58">
      <c r="D58" s="29"/>
      <c r="F58" s="31"/>
      <c r="G58" s="30"/>
      <c r="H58" s="30"/>
      <c r="J58" s="29"/>
      <c r="L58" s="30"/>
      <c r="M58" s="30"/>
      <c r="O58" s="32"/>
      <c r="P58" s="32"/>
      <c r="S58" s="32"/>
    </row>
    <row r="59">
      <c r="D59" s="29"/>
      <c r="F59" s="31"/>
      <c r="G59" s="30"/>
      <c r="H59" s="30"/>
      <c r="J59" s="29"/>
      <c r="L59" s="30"/>
      <c r="M59" s="30"/>
      <c r="O59" s="32"/>
      <c r="P59" s="32"/>
      <c r="S59" s="32"/>
    </row>
    <row r="60">
      <c r="D60" s="29"/>
      <c r="F60" s="31"/>
      <c r="G60" s="30"/>
      <c r="H60" s="30"/>
      <c r="J60" s="29"/>
      <c r="L60" s="30"/>
      <c r="M60" s="30"/>
      <c r="O60" s="32"/>
      <c r="P60" s="32"/>
      <c r="S60" s="32"/>
    </row>
    <row r="61">
      <c r="D61" s="29"/>
      <c r="F61" s="31"/>
      <c r="G61" s="30"/>
      <c r="H61" s="30"/>
      <c r="J61" s="29"/>
      <c r="L61" s="30"/>
      <c r="M61" s="30"/>
      <c r="O61" s="32"/>
      <c r="P61" s="32"/>
      <c r="S61" s="32"/>
    </row>
    <row r="62">
      <c r="D62" s="29"/>
      <c r="F62" s="31"/>
      <c r="G62" s="30"/>
      <c r="H62" s="30"/>
      <c r="J62" s="29"/>
      <c r="L62" s="30"/>
      <c r="M62" s="30"/>
      <c r="O62" s="32"/>
      <c r="P62" s="32"/>
      <c r="S62" s="32"/>
    </row>
    <row r="63">
      <c r="D63" s="29"/>
      <c r="F63" s="31"/>
      <c r="G63" s="30"/>
      <c r="H63" s="30"/>
      <c r="J63" s="29"/>
      <c r="L63" s="30"/>
      <c r="M63" s="30"/>
      <c r="O63" s="32"/>
      <c r="P63" s="32"/>
      <c r="S63" s="32"/>
    </row>
    <row r="64">
      <c r="D64" s="29"/>
      <c r="F64" s="31"/>
      <c r="G64" s="30"/>
      <c r="H64" s="30"/>
      <c r="J64" s="29"/>
      <c r="L64" s="30"/>
      <c r="M64" s="30"/>
      <c r="O64" s="32"/>
      <c r="P64" s="32"/>
      <c r="S64" s="32"/>
    </row>
    <row r="65">
      <c r="D65" s="29"/>
      <c r="F65" s="31"/>
      <c r="G65" s="30"/>
      <c r="H65" s="30"/>
      <c r="J65" s="29"/>
      <c r="L65" s="30"/>
      <c r="M65" s="30"/>
      <c r="O65" s="32"/>
      <c r="P65" s="32"/>
      <c r="S65" s="32"/>
    </row>
    <row r="66">
      <c r="D66" s="29"/>
      <c r="F66" s="31"/>
      <c r="G66" s="30"/>
      <c r="H66" s="30"/>
      <c r="J66" s="29"/>
      <c r="L66" s="30"/>
      <c r="M66" s="30"/>
      <c r="O66" s="32"/>
      <c r="P66" s="32"/>
      <c r="S66" s="32"/>
    </row>
    <row r="67">
      <c r="D67" s="29"/>
      <c r="F67" s="31"/>
      <c r="G67" s="30"/>
      <c r="H67" s="30"/>
      <c r="J67" s="29"/>
      <c r="L67" s="30"/>
      <c r="M67" s="30"/>
      <c r="O67" s="32"/>
      <c r="P67" s="32"/>
      <c r="S67" s="32"/>
    </row>
    <row r="68">
      <c r="D68" s="29"/>
      <c r="F68" s="31"/>
      <c r="G68" s="30"/>
      <c r="H68" s="30"/>
      <c r="J68" s="29"/>
      <c r="L68" s="30"/>
      <c r="M68" s="30"/>
      <c r="O68" s="32"/>
      <c r="P68" s="32"/>
      <c r="S68" s="32"/>
    </row>
    <row r="69">
      <c r="D69" s="29"/>
      <c r="F69" s="31"/>
      <c r="G69" s="30"/>
      <c r="H69" s="30"/>
      <c r="J69" s="29"/>
      <c r="L69" s="30"/>
      <c r="M69" s="30"/>
      <c r="O69" s="32"/>
      <c r="P69" s="32"/>
      <c r="S69" s="32"/>
    </row>
    <row r="70">
      <c r="D70" s="29"/>
      <c r="F70" s="31"/>
      <c r="G70" s="30"/>
      <c r="H70" s="30"/>
      <c r="J70" s="29"/>
      <c r="L70" s="30"/>
      <c r="M70" s="30"/>
      <c r="O70" s="32"/>
      <c r="P70" s="32"/>
      <c r="S70" s="32"/>
    </row>
    <row r="71">
      <c r="D71" s="29"/>
      <c r="F71" s="31"/>
      <c r="G71" s="30"/>
      <c r="H71" s="30"/>
      <c r="J71" s="29"/>
      <c r="L71" s="30"/>
      <c r="M71" s="30"/>
      <c r="O71" s="32"/>
      <c r="P71" s="32"/>
      <c r="S71" s="32"/>
    </row>
    <row r="72">
      <c r="D72" s="29"/>
      <c r="F72" s="31"/>
      <c r="G72" s="30"/>
      <c r="H72" s="30"/>
      <c r="J72" s="29"/>
      <c r="L72" s="30"/>
      <c r="M72" s="30"/>
      <c r="O72" s="32"/>
      <c r="P72" s="32"/>
      <c r="S72" s="32"/>
    </row>
    <row r="73">
      <c r="D73" s="29"/>
      <c r="F73" s="31"/>
      <c r="G73" s="30"/>
      <c r="H73" s="30"/>
      <c r="J73" s="29"/>
      <c r="L73" s="30"/>
      <c r="M73" s="30"/>
      <c r="O73" s="32"/>
      <c r="P73" s="32"/>
      <c r="S73" s="32"/>
    </row>
    <row r="74">
      <c r="D74" s="29"/>
      <c r="F74" s="31"/>
      <c r="G74" s="30"/>
      <c r="H74" s="30"/>
      <c r="J74" s="29"/>
      <c r="L74" s="30"/>
      <c r="M74" s="30"/>
      <c r="O74" s="32"/>
      <c r="P74" s="32"/>
      <c r="S74" s="32"/>
    </row>
    <row r="75">
      <c r="D75" s="29"/>
      <c r="F75" s="31"/>
      <c r="G75" s="30"/>
      <c r="H75" s="30"/>
      <c r="J75" s="29"/>
      <c r="L75" s="30"/>
      <c r="M75" s="30"/>
      <c r="O75" s="32"/>
      <c r="P75" s="32"/>
      <c r="S75" s="32"/>
    </row>
    <row r="76">
      <c r="D76" s="29"/>
      <c r="F76" s="31"/>
      <c r="G76" s="30"/>
      <c r="H76" s="30"/>
      <c r="J76" s="29"/>
      <c r="L76" s="30"/>
      <c r="M76" s="30"/>
      <c r="O76" s="32"/>
      <c r="P76" s="32"/>
      <c r="S76" s="32"/>
    </row>
    <row r="77">
      <c r="D77" s="29"/>
      <c r="F77" s="31"/>
      <c r="G77" s="30"/>
      <c r="H77" s="30"/>
      <c r="J77" s="29"/>
      <c r="L77" s="30"/>
      <c r="M77" s="30"/>
      <c r="O77" s="32"/>
      <c r="P77" s="32"/>
      <c r="S77" s="32"/>
    </row>
    <row r="78">
      <c r="D78" s="29"/>
      <c r="F78" s="31"/>
      <c r="G78" s="30"/>
      <c r="H78" s="30"/>
      <c r="J78" s="29"/>
      <c r="L78" s="30"/>
      <c r="M78" s="30"/>
      <c r="O78" s="32"/>
      <c r="P78" s="32"/>
      <c r="S78" s="32"/>
    </row>
    <row r="79">
      <c r="D79" s="29"/>
      <c r="F79" s="31"/>
      <c r="G79" s="30"/>
      <c r="H79" s="30"/>
      <c r="J79" s="29"/>
      <c r="L79" s="30"/>
      <c r="M79" s="30"/>
      <c r="O79" s="32"/>
      <c r="P79" s="32"/>
      <c r="S79" s="32"/>
    </row>
    <row r="80">
      <c r="D80" s="29"/>
      <c r="F80" s="31"/>
      <c r="G80" s="30"/>
      <c r="H80" s="30"/>
      <c r="J80" s="29"/>
      <c r="L80" s="30"/>
      <c r="M80" s="30"/>
      <c r="O80" s="32"/>
      <c r="P80" s="32"/>
      <c r="S80" s="32"/>
    </row>
    <row r="81">
      <c r="D81" s="29"/>
      <c r="F81" s="31"/>
      <c r="G81" s="30"/>
      <c r="H81" s="30"/>
      <c r="J81" s="29"/>
      <c r="L81" s="30"/>
      <c r="M81" s="30"/>
      <c r="O81" s="32"/>
      <c r="P81" s="32"/>
      <c r="S81" s="32"/>
    </row>
    <row r="82">
      <c r="D82" s="29"/>
      <c r="F82" s="31"/>
      <c r="G82" s="30"/>
      <c r="H82" s="30"/>
      <c r="J82" s="29"/>
      <c r="L82" s="30"/>
      <c r="M82" s="30"/>
      <c r="O82" s="32"/>
      <c r="P82" s="32"/>
      <c r="S82" s="32"/>
    </row>
    <row r="83">
      <c r="D83" s="29"/>
      <c r="F83" s="31"/>
      <c r="G83" s="30"/>
      <c r="H83" s="30"/>
      <c r="J83" s="29"/>
      <c r="L83" s="30"/>
      <c r="M83" s="30"/>
      <c r="O83" s="32"/>
      <c r="P83" s="32"/>
      <c r="S83" s="32"/>
    </row>
    <row r="84">
      <c r="D84" s="29"/>
      <c r="F84" s="31"/>
      <c r="G84" s="30"/>
      <c r="H84" s="30"/>
      <c r="J84" s="29"/>
      <c r="L84" s="30"/>
      <c r="M84" s="30"/>
      <c r="O84" s="32"/>
      <c r="P84" s="32"/>
      <c r="S84" s="32"/>
    </row>
    <row r="85">
      <c r="D85" s="29"/>
      <c r="F85" s="31"/>
      <c r="G85" s="30"/>
      <c r="H85" s="30"/>
      <c r="J85" s="29"/>
      <c r="L85" s="30"/>
      <c r="M85" s="30"/>
      <c r="O85" s="32"/>
      <c r="P85" s="32"/>
      <c r="S85" s="32"/>
    </row>
    <row r="86">
      <c r="D86" s="29"/>
      <c r="F86" s="31"/>
      <c r="G86" s="30"/>
      <c r="H86" s="30"/>
      <c r="J86" s="29"/>
      <c r="L86" s="30"/>
      <c r="M86" s="30"/>
      <c r="O86" s="32"/>
      <c r="P86" s="32"/>
      <c r="S86" s="32"/>
    </row>
    <row r="87">
      <c r="D87" s="29"/>
      <c r="F87" s="31"/>
      <c r="G87" s="30"/>
      <c r="H87" s="30"/>
      <c r="J87" s="29"/>
      <c r="L87" s="30"/>
      <c r="M87" s="30"/>
      <c r="O87" s="32"/>
      <c r="P87" s="32"/>
      <c r="S87" s="32"/>
    </row>
    <row r="88">
      <c r="D88" s="29"/>
      <c r="F88" s="31"/>
      <c r="G88" s="30"/>
      <c r="H88" s="30"/>
      <c r="J88" s="29"/>
      <c r="L88" s="30"/>
      <c r="M88" s="30"/>
      <c r="O88" s="32"/>
      <c r="P88" s="32"/>
      <c r="S88" s="32"/>
    </row>
    <row r="89">
      <c r="D89" s="29"/>
      <c r="F89" s="31"/>
      <c r="G89" s="30"/>
      <c r="H89" s="30"/>
      <c r="J89" s="29"/>
      <c r="L89" s="30"/>
      <c r="M89" s="30"/>
      <c r="O89" s="32"/>
      <c r="P89" s="32"/>
      <c r="S89" s="32"/>
    </row>
    <row r="90">
      <c r="D90" s="29"/>
      <c r="F90" s="31"/>
      <c r="G90" s="30"/>
      <c r="H90" s="30"/>
      <c r="J90" s="29"/>
      <c r="L90" s="30"/>
      <c r="M90" s="30"/>
      <c r="O90" s="32"/>
      <c r="P90" s="32"/>
      <c r="S90" s="32"/>
    </row>
    <row r="91">
      <c r="D91" s="29"/>
      <c r="F91" s="31"/>
      <c r="G91" s="30"/>
      <c r="H91" s="30"/>
      <c r="J91" s="29"/>
      <c r="L91" s="30"/>
      <c r="M91" s="30"/>
      <c r="O91" s="32"/>
      <c r="P91" s="32"/>
      <c r="S91" s="32"/>
    </row>
    <row r="92">
      <c r="D92" s="29"/>
      <c r="F92" s="31"/>
      <c r="G92" s="30"/>
      <c r="H92" s="30"/>
      <c r="J92" s="29"/>
      <c r="L92" s="30"/>
      <c r="M92" s="30"/>
      <c r="O92" s="32"/>
      <c r="P92" s="32"/>
      <c r="S92" s="32"/>
    </row>
    <row r="93">
      <c r="D93" s="29"/>
      <c r="F93" s="31"/>
      <c r="G93" s="30"/>
      <c r="H93" s="30"/>
      <c r="J93" s="29"/>
      <c r="L93" s="30"/>
      <c r="M93" s="30"/>
      <c r="O93" s="32"/>
      <c r="P93" s="32"/>
      <c r="S93" s="32"/>
    </row>
    <row r="94">
      <c r="D94" s="29"/>
      <c r="F94" s="31"/>
      <c r="G94" s="30"/>
      <c r="H94" s="30"/>
      <c r="J94" s="29"/>
      <c r="L94" s="30"/>
      <c r="M94" s="30"/>
      <c r="O94" s="32"/>
      <c r="P94" s="32"/>
      <c r="S94" s="32"/>
    </row>
    <row r="95">
      <c r="D95" s="29"/>
      <c r="F95" s="31"/>
      <c r="G95" s="30"/>
      <c r="H95" s="30"/>
      <c r="J95" s="29"/>
      <c r="L95" s="30"/>
      <c r="M95" s="30"/>
      <c r="O95" s="32"/>
      <c r="P95" s="32"/>
      <c r="S95" s="32"/>
    </row>
    <row r="96">
      <c r="D96" s="29"/>
      <c r="F96" s="31"/>
      <c r="G96" s="30"/>
      <c r="H96" s="30"/>
      <c r="J96" s="29"/>
      <c r="L96" s="30"/>
      <c r="M96" s="30"/>
      <c r="O96" s="32"/>
      <c r="P96" s="32"/>
      <c r="S96" s="32"/>
    </row>
    <row r="97">
      <c r="D97" s="29"/>
      <c r="F97" s="31"/>
      <c r="G97" s="30"/>
      <c r="H97" s="30"/>
      <c r="J97" s="29"/>
      <c r="L97" s="30"/>
      <c r="M97" s="30"/>
      <c r="O97" s="32"/>
      <c r="P97" s="32"/>
      <c r="S97" s="32"/>
    </row>
    <row r="98">
      <c r="D98" s="29"/>
      <c r="F98" s="31"/>
      <c r="G98" s="30"/>
      <c r="H98" s="30"/>
      <c r="J98" s="29"/>
      <c r="L98" s="30"/>
      <c r="M98" s="30"/>
      <c r="O98" s="32"/>
      <c r="P98" s="32"/>
      <c r="S98" s="32"/>
    </row>
    <row r="99">
      <c r="D99" s="29"/>
      <c r="F99" s="31"/>
      <c r="G99" s="30"/>
      <c r="H99" s="30"/>
      <c r="J99" s="29"/>
      <c r="L99" s="30"/>
      <c r="M99" s="30"/>
      <c r="O99" s="32"/>
      <c r="P99" s="32"/>
      <c r="S99" s="32"/>
    </row>
    <row r="100">
      <c r="D100" s="29"/>
      <c r="F100" s="31"/>
      <c r="G100" s="30"/>
      <c r="H100" s="30"/>
      <c r="J100" s="29"/>
      <c r="L100" s="30"/>
      <c r="M100" s="30"/>
      <c r="O100" s="32"/>
      <c r="P100" s="32"/>
      <c r="S100" s="32"/>
    </row>
    <row r="101">
      <c r="D101" s="29"/>
      <c r="F101" s="31"/>
      <c r="G101" s="30"/>
      <c r="H101" s="30"/>
      <c r="J101" s="29"/>
      <c r="L101" s="30"/>
      <c r="M101" s="30"/>
      <c r="O101" s="32"/>
      <c r="P101" s="32"/>
      <c r="S101" s="32"/>
    </row>
    <row r="102">
      <c r="D102" s="29"/>
      <c r="F102" s="31"/>
      <c r="G102" s="30"/>
      <c r="H102" s="30"/>
      <c r="J102" s="29"/>
      <c r="L102" s="30"/>
      <c r="M102" s="30"/>
      <c r="O102" s="32"/>
      <c r="P102" s="32"/>
      <c r="S102" s="32"/>
    </row>
    <row r="103">
      <c r="D103" s="29"/>
      <c r="F103" s="31"/>
      <c r="G103" s="30"/>
      <c r="H103" s="30"/>
      <c r="J103" s="29"/>
      <c r="L103" s="30"/>
      <c r="M103" s="30"/>
      <c r="O103" s="32"/>
      <c r="P103" s="32"/>
      <c r="S103" s="32"/>
    </row>
    <row r="104">
      <c r="D104" s="29"/>
      <c r="F104" s="31"/>
      <c r="G104" s="30"/>
      <c r="H104" s="30"/>
      <c r="J104" s="29"/>
      <c r="L104" s="30"/>
      <c r="M104" s="30"/>
      <c r="O104" s="32"/>
      <c r="P104" s="32"/>
      <c r="S104" s="32"/>
    </row>
    <row r="105">
      <c r="D105" s="29"/>
      <c r="F105" s="31"/>
      <c r="G105" s="30"/>
      <c r="H105" s="30"/>
      <c r="J105" s="29"/>
      <c r="L105" s="30"/>
      <c r="M105" s="30"/>
      <c r="O105" s="32"/>
      <c r="P105" s="32"/>
      <c r="S105" s="32"/>
    </row>
    <row r="106">
      <c r="D106" s="29"/>
      <c r="F106" s="31"/>
      <c r="G106" s="30"/>
      <c r="H106" s="30"/>
      <c r="J106" s="29"/>
      <c r="L106" s="30"/>
      <c r="M106" s="30"/>
      <c r="O106" s="32"/>
      <c r="P106" s="32"/>
      <c r="S106" s="32"/>
    </row>
    <row r="107">
      <c r="D107" s="29"/>
      <c r="F107" s="31"/>
      <c r="G107" s="30"/>
      <c r="H107" s="30"/>
      <c r="J107" s="29"/>
      <c r="L107" s="30"/>
      <c r="M107" s="30"/>
      <c r="O107" s="32"/>
      <c r="P107" s="32"/>
      <c r="S107" s="32"/>
    </row>
    <row r="108">
      <c r="D108" s="29"/>
      <c r="F108" s="31"/>
      <c r="G108" s="30"/>
      <c r="H108" s="30"/>
      <c r="J108" s="29"/>
      <c r="L108" s="30"/>
      <c r="M108" s="30"/>
      <c r="O108" s="32"/>
      <c r="P108" s="32"/>
      <c r="S108" s="32"/>
    </row>
    <row r="109">
      <c r="D109" s="29"/>
      <c r="F109" s="31"/>
      <c r="G109" s="30"/>
      <c r="H109" s="30"/>
      <c r="J109" s="29"/>
      <c r="L109" s="30"/>
      <c r="M109" s="30"/>
      <c r="O109" s="32"/>
      <c r="P109" s="32"/>
      <c r="S109" s="32"/>
    </row>
    <row r="110">
      <c r="D110" s="29"/>
      <c r="F110" s="31"/>
      <c r="G110" s="30"/>
      <c r="H110" s="30"/>
      <c r="J110" s="29"/>
      <c r="L110" s="30"/>
      <c r="M110" s="30"/>
      <c r="O110" s="32"/>
      <c r="P110" s="32"/>
      <c r="S110" s="32"/>
    </row>
    <row r="111">
      <c r="D111" s="29"/>
      <c r="F111" s="31"/>
      <c r="G111" s="30"/>
      <c r="H111" s="30"/>
      <c r="J111" s="29"/>
      <c r="L111" s="30"/>
      <c r="M111" s="30"/>
      <c r="O111" s="32"/>
      <c r="P111" s="32"/>
      <c r="S111" s="32"/>
    </row>
    <row r="112">
      <c r="D112" s="29"/>
      <c r="F112" s="31"/>
      <c r="G112" s="30"/>
      <c r="H112" s="30"/>
      <c r="J112" s="29"/>
      <c r="L112" s="30"/>
      <c r="M112" s="30"/>
      <c r="O112" s="32"/>
      <c r="P112" s="32"/>
      <c r="S112" s="32"/>
    </row>
    <row r="113">
      <c r="D113" s="29"/>
      <c r="F113" s="31"/>
      <c r="G113" s="30"/>
      <c r="H113" s="30"/>
      <c r="J113" s="29"/>
      <c r="L113" s="30"/>
      <c r="M113" s="30"/>
      <c r="O113" s="32"/>
      <c r="P113" s="32"/>
      <c r="S113" s="32"/>
    </row>
    <row r="114">
      <c r="D114" s="29"/>
      <c r="F114" s="31"/>
      <c r="G114" s="30"/>
      <c r="H114" s="30"/>
      <c r="J114" s="29"/>
      <c r="L114" s="30"/>
      <c r="M114" s="30"/>
      <c r="O114" s="32"/>
      <c r="P114" s="32"/>
      <c r="S114" s="32"/>
    </row>
    <row r="115">
      <c r="D115" s="29"/>
      <c r="F115" s="31"/>
      <c r="G115" s="30"/>
      <c r="H115" s="30"/>
      <c r="J115" s="29"/>
      <c r="L115" s="30"/>
      <c r="M115" s="30"/>
      <c r="O115" s="32"/>
      <c r="P115" s="32"/>
      <c r="S115" s="32"/>
    </row>
    <row r="116">
      <c r="D116" s="29"/>
      <c r="F116" s="31"/>
      <c r="G116" s="30"/>
      <c r="H116" s="30"/>
      <c r="J116" s="29"/>
      <c r="L116" s="30"/>
      <c r="M116" s="30"/>
      <c r="O116" s="32"/>
      <c r="P116" s="32"/>
      <c r="S116" s="32"/>
    </row>
    <row r="117">
      <c r="D117" s="29"/>
      <c r="F117" s="31"/>
      <c r="G117" s="30"/>
      <c r="H117" s="30"/>
      <c r="J117" s="29"/>
      <c r="L117" s="30"/>
      <c r="M117" s="30"/>
      <c r="O117" s="32"/>
      <c r="P117" s="32"/>
      <c r="S117" s="32"/>
    </row>
    <row r="118">
      <c r="D118" s="29"/>
      <c r="F118" s="31"/>
      <c r="G118" s="30"/>
      <c r="H118" s="30"/>
      <c r="J118" s="29"/>
      <c r="L118" s="30"/>
      <c r="M118" s="30"/>
      <c r="O118" s="32"/>
      <c r="P118" s="32"/>
      <c r="S118" s="32"/>
    </row>
    <row r="119">
      <c r="D119" s="29"/>
      <c r="F119" s="31"/>
      <c r="G119" s="30"/>
      <c r="H119" s="30"/>
      <c r="J119" s="29"/>
      <c r="L119" s="30"/>
      <c r="M119" s="30"/>
      <c r="O119" s="32"/>
      <c r="P119" s="32"/>
      <c r="S119" s="32"/>
    </row>
    <row r="120">
      <c r="D120" s="29"/>
      <c r="F120" s="31"/>
      <c r="G120" s="30"/>
      <c r="H120" s="30"/>
      <c r="J120" s="29"/>
      <c r="L120" s="30"/>
      <c r="M120" s="30"/>
      <c r="O120" s="32"/>
      <c r="P120" s="32"/>
      <c r="S120" s="32"/>
    </row>
    <row r="121">
      <c r="D121" s="29"/>
      <c r="F121" s="31"/>
      <c r="G121" s="30"/>
      <c r="H121" s="30"/>
      <c r="J121" s="29"/>
      <c r="L121" s="30"/>
      <c r="M121" s="30"/>
      <c r="O121" s="32"/>
      <c r="P121" s="32"/>
      <c r="S121" s="32"/>
    </row>
    <row r="122">
      <c r="D122" s="29"/>
      <c r="F122" s="31"/>
      <c r="G122" s="30"/>
      <c r="H122" s="30"/>
      <c r="J122" s="29"/>
      <c r="L122" s="30"/>
      <c r="M122" s="30"/>
      <c r="O122" s="32"/>
      <c r="P122" s="32"/>
      <c r="S122" s="32"/>
    </row>
    <row r="123">
      <c r="D123" s="29"/>
      <c r="F123" s="31"/>
      <c r="G123" s="30"/>
      <c r="H123" s="30"/>
      <c r="J123" s="29"/>
      <c r="L123" s="30"/>
      <c r="M123" s="30"/>
      <c r="O123" s="32"/>
      <c r="P123" s="32"/>
      <c r="S123" s="32"/>
    </row>
    <row r="124">
      <c r="D124" s="29"/>
      <c r="F124" s="31"/>
      <c r="G124" s="30"/>
      <c r="H124" s="30"/>
      <c r="J124" s="29"/>
      <c r="L124" s="30"/>
      <c r="M124" s="30"/>
      <c r="O124" s="32"/>
      <c r="P124" s="32"/>
      <c r="S124" s="32"/>
    </row>
    <row r="125">
      <c r="D125" s="29"/>
      <c r="F125" s="31"/>
      <c r="G125" s="30"/>
      <c r="H125" s="30"/>
      <c r="J125" s="29"/>
      <c r="L125" s="30"/>
      <c r="M125" s="30"/>
      <c r="O125" s="32"/>
      <c r="P125" s="32"/>
      <c r="S125" s="32"/>
    </row>
    <row r="126">
      <c r="D126" s="29"/>
      <c r="F126" s="31"/>
      <c r="G126" s="30"/>
      <c r="H126" s="30"/>
      <c r="J126" s="29"/>
      <c r="L126" s="30"/>
      <c r="M126" s="30"/>
      <c r="O126" s="32"/>
      <c r="P126" s="32"/>
      <c r="S126" s="32"/>
    </row>
    <row r="127">
      <c r="D127" s="29"/>
      <c r="F127" s="31"/>
      <c r="G127" s="30"/>
      <c r="H127" s="30"/>
      <c r="J127" s="29"/>
      <c r="L127" s="30"/>
      <c r="M127" s="30"/>
      <c r="O127" s="32"/>
      <c r="P127" s="32"/>
      <c r="S127" s="32"/>
    </row>
    <row r="128">
      <c r="D128" s="29"/>
      <c r="F128" s="31"/>
      <c r="G128" s="30"/>
      <c r="H128" s="30"/>
      <c r="J128" s="29"/>
      <c r="L128" s="30"/>
      <c r="M128" s="30"/>
      <c r="O128" s="32"/>
      <c r="P128" s="32"/>
      <c r="S128" s="32"/>
    </row>
    <row r="129">
      <c r="D129" s="29"/>
      <c r="F129" s="31"/>
      <c r="G129" s="30"/>
      <c r="H129" s="30"/>
      <c r="J129" s="29"/>
      <c r="L129" s="30"/>
      <c r="M129" s="30"/>
      <c r="O129" s="32"/>
      <c r="P129" s="32"/>
      <c r="S129" s="32"/>
    </row>
    <row r="130">
      <c r="D130" s="29"/>
      <c r="F130" s="31"/>
      <c r="G130" s="30"/>
      <c r="H130" s="30"/>
      <c r="J130" s="29"/>
      <c r="L130" s="30"/>
      <c r="M130" s="30"/>
      <c r="O130" s="32"/>
      <c r="P130" s="32"/>
      <c r="S130" s="32"/>
    </row>
    <row r="131">
      <c r="D131" s="29"/>
      <c r="F131" s="31"/>
      <c r="G131" s="30"/>
      <c r="H131" s="30"/>
      <c r="J131" s="29"/>
      <c r="L131" s="30"/>
      <c r="M131" s="30"/>
      <c r="O131" s="32"/>
      <c r="P131" s="32"/>
      <c r="S131" s="32"/>
    </row>
    <row r="132">
      <c r="D132" s="29"/>
      <c r="F132" s="31"/>
      <c r="G132" s="30"/>
      <c r="H132" s="30"/>
      <c r="J132" s="29"/>
      <c r="L132" s="30"/>
      <c r="M132" s="30"/>
      <c r="O132" s="32"/>
      <c r="P132" s="32"/>
      <c r="S132" s="32"/>
    </row>
    <row r="133">
      <c r="D133" s="29"/>
      <c r="F133" s="31"/>
      <c r="G133" s="30"/>
      <c r="H133" s="30"/>
      <c r="J133" s="29"/>
      <c r="L133" s="30"/>
      <c r="M133" s="30"/>
      <c r="O133" s="32"/>
      <c r="P133" s="32"/>
      <c r="S133" s="32"/>
    </row>
    <row r="134">
      <c r="D134" s="29"/>
      <c r="F134" s="31"/>
      <c r="G134" s="30"/>
      <c r="H134" s="30"/>
      <c r="J134" s="29"/>
      <c r="L134" s="30"/>
      <c r="M134" s="30"/>
      <c r="O134" s="32"/>
      <c r="P134" s="32"/>
      <c r="S134" s="32"/>
    </row>
    <row r="135">
      <c r="D135" s="29"/>
      <c r="F135" s="31"/>
      <c r="G135" s="30"/>
      <c r="H135" s="30"/>
      <c r="J135" s="29"/>
      <c r="L135" s="30"/>
      <c r="M135" s="30"/>
      <c r="O135" s="32"/>
      <c r="P135" s="32"/>
      <c r="S135" s="32"/>
    </row>
    <row r="136">
      <c r="D136" s="29"/>
      <c r="F136" s="31"/>
      <c r="G136" s="30"/>
      <c r="H136" s="30"/>
      <c r="J136" s="29"/>
      <c r="L136" s="30"/>
      <c r="M136" s="30"/>
      <c r="O136" s="32"/>
      <c r="P136" s="32"/>
      <c r="S136" s="32"/>
    </row>
    <row r="137">
      <c r="D137" s="29"/>
      <c r="F137" s="31"/>
      <c r="G137" s="30"/>
      <c r="H137" s="30"/>
      <c r="J137" s="29"/>
      <c r="L137" s="30"/>
      <c r="M137" s="30"/>
      <c r="O137" s="32"/>
      <c r="P137" s="32"/>
      <c r="S137" s="32"/>
    </row>
    <row r="138">
      <c r="D138" s="29"/>
      <c r="F138" s="31"/>
      <c r="G138" s="30"/>
      <c r="H138" s="30"/>
      <c r="J138" s="29"/>
      <c r="L138" s="30"/>
      <c r="M138" s="30"/>
      <c r="O138" s="32"/>
      <c r="P138" s="32"/>
      <c r="S138" s="32"/>
    </row>
    <row r="139">
      <c r="D139" s="29"/>
      <c r="F139" s="31"/>
      <c r="G139" s="30"/>
      <c r="H139" s="30"/>
      <c r="J139" s="29"/>
      <c r="L139" s="30"/>
      <c r="M139" s="30"/>
      <c r="O139" s="32"/>
      <c r="P139" s="32"/>
      <c r="S139" s="32"/>
    </row>
    <row r="140">
      <c r="D140" s="29"/>
      <c r="F140" s="31"/>
      <c r="G140" s="30"/>
      <c r="H140" s="30"/>
      <c r="J140" s="29"/>
      <c r="L140" s="30"/>
      <c r="M140" s="30"/>
      <c r="O140" s="32"/>
      <c r="P140" s="32"/>
      <c r="S140" s="32"/>
    </row>
    <row r="141">
      <c r="D141" s="29"/>
      <c r="F141" s="31"/>
      <c r="G141" s="30"/>
      <c r="H141" s="30"/>
      <c r="J141" s="29"/>
      <c r="L141" s="30"/>
      <c r="M141" s="30"/>
      <c r="O141" s="32"/>
      <c r="P141" s="32"/>
      <c r="S141" s="32"/>
    </row>
    <row r="142">
      <c r="D142" s="29"/>
      <c r="F142" s="31"/>
      <c r="G142" s="30"/>
      <c r="H142" s="30"/>
      <c r="J142" s="29"/>
      <c r="L142" s="30"/>
      <c r="M142" s="30"/>
      <c r="O142" s="32"/>
      <c r="P142" s="32"/>
      <c r="S142" s="32"/>
    </row>
    <row r="143">
      <c r="D143" s="29"/>
      <c r="F143" s="31"/>
      <c r="G143" s="30"/>
      <c r="H143" s="30"/>
      <c r="J143" s="29"/>
      <c r="L143" s="30"/>
      <c r="M143" s="30"/>
      <c r="O143" s="32"/>
      <c r="P143" s="32"/>
      <c r="S143" s="32"/>
    </row>
    <row r="144">
      <c r="D144" s="29"/>
      <c r="F144" s="31"/>
      <c r="G144" s="30"/>
      <c r="H144" s="30"/>
      <c r="J144" s="29"/>
      <c r="L144" s="30"/>
      <c r="M144" s="30"/>
      <c r="O144" s="32"/>
      <c r="P144" s="32"/>
      <c r="S144" s="32"/>
    </row>
    <row r="145">
      <c r="D145" s="29"/>
      <c r="F145" s="31"/>
      <c r="G145" s="30"/>
      <c r="H145" s="30"/>
      <c r="J145" s="29"/>
      <c r="L145" s="30"/>
      <c r="M145" s="30"/>
      <c r="O145" s="32"/>
      <c r="P145" s="32"/>
      <c r="S145" s="32"/>
    </row>
    <row r="146">
      <c r="D146" s="29"/>
      <c r="F146" s="31"/>
      <c r="G146" s="30"/>
      <c r="H146" s="30"/>
      <c r="J146" s="29"/>
      <c r="L146" s="30"/>
      <c r="M146" s="30"/>
      <c r="O146" s="32"/>
      <c r="P146" s="32"/>
      <c r="S146" s="32"/>
    </row>
    <row r="147">
      <c r="D147" s="29"/>
      <c r="F147" s="31"/>
      <c r="G147" s="30"/>
      <c r="H147" s="30"/>
      <c r="J147" s="29"/>
      <c r="L147" s="30"/>
      <c r="M147" s="30"/>
      <c r="O147" s="32"/>
      <c r="P147" s="32"/>
      <c r="S147" s="32"/>
    </row>
    <row r="148">
      <c r="D148" s="29"/>
      <c r="F148" s="31"/>
      <c r="G148" s="30"/>
      <c r="H148" s="30"/>
      <c r="J148" s="29"/>
      <c r="L148" s="30"/>
      <c r="M148" s="30"/>
      <c r="O148" s="32"/>
      <c r="P148" s="32"/>
      <c r="S148" s="32"/>
    </row>
    <row r="149">
      <c r="D149" s="29"/>
      <c r="F149" s="31"/>
      <c r="G149" s="30"/>
      <c r="H149" s="30"/>
      <c r="J149" s="29"/>
      <c r="L149" s="30"/>
      <c r="M149" s="30"/>
      <c r="O149" s="32"/>
      <c r="P149" s="32"/>
      <c r="S149" s="32"/>
    </row>
    <row r="150">
      <c r="D150" s="29"/>
      <c r="F150" s="31"/>
      <c r="G150" s="30"/>
      <c r="H150" s="30"/>
      <c r="J150" s="29"/>
      <c r="L150" s="30"/>
      <c r="M150" s="30"/>
      <c r="O150" s="32"/>
      <c r="P150" s="32"/>
      <c r="S150" s="32"/>
    </row>
    <row r="151">
      <c r="D151" s="29"/>
      <c r="F151" s="31"/>
      <c r="G151" s="30"/>
      <c r="H151" s="30"/>
      <c r="J151" s="29"/>
      <c r="L151" s="30"/>
      <c r="M151" s="30"/>
      <c r="O151" s="32"/>
      <c r="P151" s="32"/>
      <c r="S151" s="32"/>
    </row>
    <row r="152">
      <c r="D152" s="29"/>
      <c r="F152" s="31"/>
      <c r="G152" s="30"/>
      <c r="H152" s="30"/>
      <c r="J152" s="29"/>
      <c r="L152" s="30"/>
      <c r="M152" s="30"/>
      <c r="O152" s="32"/>
      <c r="P152" s="32"/>
      <c r="S152" s="32"/>
    </row>
    <row r="153">
      <c r="D153" s="29"/>
      <c r="F153" s="31"/>
      <c r="G153" s="30"/>
      <c r="H153" s="30"/>
      <c r="J153" s="29"/>
      <c r="L153" s="30"/>
      <c r="M153" s="30"/>
      <c r="O153" s="32"/>
      <c r="P153" s="32"/>
      <c r="S153" s="32"/>
    </row>
    <row r="154">
      <c r="D154" s="29"/>
      <c r="F154" s="31"/>
      <c r="G154" s="30"/>
      <c r="H154" s="30"/>
      <c r="J154" s="29"/>
      <c r="L154" s="30"/>
      <c r="M154" s="30"/>
      <c r="O154" s="32"/>
      <c r="P154" s="32"/>
      <c r="S154" s="32"/>
    </row>
    <row r="155">
      <c r="D155" s="29"/>
      <c r="F155" s="31"/>
      <c r="G155" s="30"/>
      <c r="H155" s="30"/>
      <c r="J155" s="29"/>
      <c r="L155" s="30"/>
      <c r="M155" s="30"/>
      <c r="O155" s="32"/>
      <c r="P155" s="32"/>
      <c r="S155" s="32"/>
    </row>
    <row r="156">
      <c r="D156" s="29"/>
      <c r="F156" s="31"/>
      <c r="G156" s="30"/>
      <c r="H156" s="30"/>
      <c r="J156" s="29"/>
      <c r="L156" s="30"/>
      <c r="M156" s="30"/>
      <c r="O156" s="32"/>
      <c r="P156" s="32"/>
      <c r="S156" s="32"/>
    </row>
    <row r="157">
      <c r="D157" s="29"/>
      <c r="F157" s="31"/>
      <c r="G157" s="30"/>
      <c r="H157" s="30"/>
      <c r="J157" s="29"/>
      <c r="L157" s="30"/>
      <c r="M157" s="30"/>
      <c r="O157" s="32"/>
      <c r="P157" s="32"/>
      <c r="S157" s="32"/>
    </row>
    <row r="158">
      <c r="D158" s="29"/>
      <c r="F158" s="31"/>
      <c r="G158" s="30"/>
      <c r="H158" s="30"/>
      <c r="J158" s="29"/>
      <c r="L158" s="30"/>
      <c r="M158" s="30"/>
      <c r="O158" s="32"/>
      <c r="P158" s="32"/>
      <c r="S158" s="32"/>
    </row>
    <row r="159">
      <c r="D159" s="29"/>
      <c r="F159" s="31"/>
      <c r="G159" s="30"/>
      <c r="H159" s="30"/>
      <c r="J159" s="29"/>
      <c r="L159" s="30"/>
      <c r="M159" s="30"/>
      <c r="O159" s="32"/>
      <c r="P159" s="32"/>
      <c r="S159" s="32"/>
    </row>
    <row r="160">
      <c r="D160" s="29"/>
      <c r="F160" s="31"/>
      <c r="G160" s="30"/>
      <c r="H160" s="30"/>
      <c r="J160" s="29"/>
      <c r="L160" s="30"/>
      <c r="M160" s="30"/>
      <c r="O160" s="32"/>
      <c r="P160" s="32"/>
      <c r="S160" s="32"/>
    </row>
    <row r="161">
      <c r="D161" s="29"/>
      <c r="F161" s="31"/>
      <c r="G161" s="30"/>
      <c r="H161" s="30"/>
      <c r="J161" s="29"/>
      <c r="L161" s="30"/>
      <c r="M161" s="30"/>
      <c r="O161" s="32"/>
      <c r="P161" s="32"/>
      <c r="S161" s="32"/>
    </row>
    <row r="162">
      <c r="D162" s="29"/>
      <c r="F162" s="31"/>
      <c r="G162" s="30"/>
      <c r="H162" s="30"/>
      <c r="J162" s="29"/>
      <c r="L162" s="30"/>
      <c r="M162" s="30"/>
      <c r="O162" s="32"/>
      <c r="P162" s="32"/>
      <c r="S162" s="32"/>
    </row>
    <row r="163">
      <c r="D163" s="29"/>
      <c r="F163" s="31"/>
      <c r="G163" s="30"/>
      <c r="H163" s="30"/>
      <c r="J163" s="29"/>
      <c r="L163" s="30"/>
      <c r="M163" s="30"/>
      <c r="O163" s="32"/>
      <c r="P163" s="32"/>
      <c r="S163" s="32"/>
    </row>
    <row r="164">
      <c r="D164" s="29"/>
      <c r="F164" s="31"/>
      <c r="G164" s="30"/>
      <c r="H164" s="30"/>
      <c r="J164" s="29"/>
      <c r="L164" s="30"/>
      <c r="M164" s="30"/>
      <c r="O164" s="32"/>
      <c r="P164" s="32"/>
      <c r="S164" s="32"/>
    </row>
    <row r="165">
      <c r="D165" s="29"/>
      <c r="F165" s="31"/>
      <c r="G165" s="30"/>
      <c r="H165" s="30"/>
      <c r="J165" s="29"/>
      <c r="L165" s="30"/>
      <c r="M165" s="30"/>
      <c r="O165" s="32"/>
      <c r="P165" s="32"/>
      <c r="S165" s="32"/>
    </row>
    <row r="166">
      <c r="D166" s="29"/>
      <c r="F166" s="31"/>
      <c r="G166" s="30"/>
      <c r="H166" s="30"/>
      <c r="J166" s="29"/>
      <c r="L166" s="30"/>
      <c r="M166" s="30"/>
      <c r="O166" s="32"/>
      <c r="P166" s="32"/>
      <c r="S166" s="32"/>
    </row>
    <row r="167">
      <c r="D167" s="29"/>
      <c r="F167" s="31"/>
      <c r="G167" s="30"/>
      <c r="H167" s="30"/>
      <c r="J167" s="29"/>
      <c r="L167" s="30"/>
      <c r="M167" s="30"/>
      <c r="O167" s="32"/>
      <c r="P167" s="32"/>
      <c r="S167" s="32"/>
    </row>
    <row r="168">
      <c r="D168" s="29"/>
      <c r="F168" s="31"/>
      <c r="G168" s="30"/>
      <c r="H168" s="30"/>
      <c r="J168" s="29"/>
      <c r="L168" s="30"/>
      <c r="M168" s="30"/>
      <c r="O168" s="32"/>
      <c r="P168" s="32"/>
      <c r="S168" s="32"/>
    </row>
    <row r="169">
      <c r="D169" s="29"/>
      <c r="F169" s="31"/>
      <c r="G169" s="30"/>
      <c r="H169" s="30"/>
      <c r="J169" s="29"/>
      <c r="L169" s="30"/>
      <c r="M169" s="30"/>
      <c r="O169" s="32"/>
      <c r="P169" s="32"/>
      <c r="S169" s="32"/>
    </row>
    <row r="170">
      <c r="D170" s="29"/>
      <c r="F170" s="31"/>
      <c r="G170" s="30"/>
      <c r="H170" s="30"/>
      <c r="J170" s="29"/>
      <c r="L170" s="30"/>
      <c r="M170" s="30"/>
      <c r="O170" s="32"/>
      <c r="P170" s="32"/>
      <c r="S170" s="32"/>
    </row>
    <row r="171">
      <c r="D171" s="29"/>
      <c r="F171" s="31"/>
      <c r="G171" s="30"/>
      <c r="H171" s="30"/>
      <c r="J171" s="29"/>
      <c r="L171" s="30"/>
      <c r="M171" s="30"/>
      <c r="O171" s="32"/>
      <c r="P171" s="32"/>
      <c r="S171" s="32"/>
    </row>
    <row r="172">
      <c r="D172" s="29"/>
      <c r="F172" s="31"/>
      <c r="G172" s="30"/>
      <c r="H172" s="30"/>
      <c r="J172" s="29"/>
      <c r="L172" s="30"/>
      <c r="M172" s="30"/>
      <c r="O172" s="32"/>
      <c r="P172" s="32"/>
      <c r="S172" s="32"/>
    </row>
    <row r="173">
      <c r="D173" s="29"/>
      <c r="F173" s="31"/>
      <c r="G173" s="30"/>
      <c r="H173" s="30"/>
      <c r="J173" s="29"/>
      <c r="L173" s="30"/>
      <c r="M173" s="30"/>
      <c r="O173" s="32"/>
      <c r="P173" s="32"/>
      <c r="S173" s="32"/>
    </row>
    <row r="174">
      <c r="D174" s="29"/>
      <c r="F174" s="31"/>
      <c r="G174" s="30"/>
      <c r="H174" s="30"/>
      <c r="J174" s="29"/>
      <c r="L174" s="30"/>
      <c r="M174" s="30"/>
      <c r="O174" s="32"/>
      <c r="P174" s="32"/>
      <c r="S174" s="32"/>
    </row>
    <row r="175">
      <c r="D175" s="29"/>
      <c r="F175" s="31"/>
      <c r="G175" s="30"/>
      <c r="H175" s="30"/>
      <c r="J175" s="29"/>
      <c r="L175" s="30"/>
      <c r="M175" s="30"/>
      <c r="O175" s="32"/>
      <c r="P175" s="32"/>
      <c r="S175" s="32"/>
    </row>
    <row r="176">
      <c r="D176" s="29"/>
      <c r="F176" s="31"/>
      <c r="G176" s="30"/>
      <c r="H176" s="30"/>
      <c r="J176" s="29"/>
      <c r="L176" s="30"/>
      <c r="M176" s="30"/>
      <c r="O176" s="32"/>
      <c r="P176" s="32"/>
      <c r="S176" s="32"/>
    </row>
    <row r="177">
      <c r="D177" s="29"/>
      <c r="F177" s="31"/>
      <c r="G177" s="30"/>
      <c r="H177" s="30"/>
      <c r="J177" s="29"/>
      <c r="L177" s="30"/>
      <c r="M177" s="30"/>
      <c r="O177" s="32"/>
      <c r="P177" s="32"/>
      <c r="S177" s="32"/>
    </row>
    <row r="178">
      <c r="D178" s="29"/>
      <c r="F178" s="31"/>
      <c r="G178" s="30"/>
      <c r="H178" s="30"/>
      <c r="J178" s="29"/>
      <c r="L178" s="30"/>
      <c r="M178" s="30"/>
      <c r="O178" s="32"/>
      <c r="P178" s="32"/>
      <c r="S178" s="32"/>
    </row>
    <row r="179">
      <c r="D179" s="29"/>
      <c r="F179" s="31"/>
      <c r="G179" s="30"/>
      <c r="H179" s="30"/>
      <c r="J179" s="29"/>
      <c r="L179" s="30"/>
      <c r="M179" s="30"/>
      <c r="O179" s="32"/>
      <c r="P179" s="32"/>
      <c r="S179" s="32"/>
    </row>
    <row r="180">
      <c r="D180" s="29"/>
      <c r="F180" s="31"/>
      <c r="G180" s="30"/>
      <c r="H180" s="30"/>
      <c r="J180" s="29"/>
      <c r="L180" s="30"/>
      <c r="M180" s="30"/>
      <c r="O180" s="32"/>
      <c r="P180" s="32"/>
      <c r="S180" s="32"/>
    </row>
    <row r="181">
      <c r="D181" s="29"/>
      <c r="F181" s="31"/>
      <c r="G181" s="30"/>
      <c r="H181" s="30"/>
      <c r="J181" s="29"/>
      <c r="L181" s="30"/>
      <c r="M181" s="30"/>
      <c r="O181" s="32"/>
      <c r="P181" s="32"/>
      <c r="S181" s="32"/>
    </row>
    <row r="182">
      <c r="D182" s="29"/>
      <c r="F182" s="31"/>
      <c r="G182" s="30"/>
      <c r="H182" s="30"/>
      <c r="J182" s="29"/>
      <c r="L182" s="30"/>
      <c r="M182" s="30"/>
      <c r="O182" s="32"/>
      <c r="P182" s="32"/>
      <c r="S182" s="32"/>
    </row>
    <row r="183">
      <c r="D183" s="29"/>
      <c r="F183" s="31"/>
      <c r="G183" s="30"/>
      <c r="H183" s="30"/>
      <c r="J183" s="29"/>
      <c r="L183" s="30"/>
      <c r="M183" s="30"/>
      <c r="O183" s="32"/>
      <c r="P183" s="32"/>
      <c r="S183" s="32"/>
    </row>
    <row r="184">
      <c r="D184" s="29"/>
      <c r="F184" s="31"/>
      <c r="G184" s="30"/>
      <c r="H184" s="30"/>
      <c r="J184" s="29"/>
      <c r="L184" s="30"/>
      <c r="M184" s="30"/>
      <c r="O184" s="32"/>
      <c r="P184" s="32"/>
      <c r="S184" s="32"/>
    </row>
    <row r="185">
      <c r="D185" s="29"/>
      <c r="F185" s="31"/>
      <c r="G185" s="30"/>
      <c r="H185" s="30"/>
      <c r="J185" s="29"/>
      <c r="L185" s="30"/>
      <c r="M185" s="30"/>
      <c r="O185" s="32"/>
      <c r="P185" s="32"/>
      <c r="S185" s="32"/>
    </row>
    <row r="186">
      <c r="D186" s="29"/>
      <c r="F186" s="31"/>
      <c r="G186" s="30"/>
      <c r="H186" s="30"/>
      <c r="J186" s="29"/>
      <c r="L186" s="30"/>
      <c r="M186" s="30"/>
      <c r="O186" s="32"/>
      <c r="P186" s="32"/>
      <c r="S186" s="32"/>
    </row>
    <row r="187">
      <c r="D187" s="29"/>
      <c r="F187" s="31"/>
      <c r="G187" s="30"/>
      <c r="H187" s="30"/>
      <c r="J187" s="29"/>
      <c r="L187" s="30"/>
      <c r="M187" s="30"/>
      <c r="O187" s="32"/>
      <c r="P187" s="32"/>
      <c r="S187" s="32"/>
    </row>
    <row r="188">
      <c r="D188" s="29"/>
      <c r="F188" s="31"/>
      <c r="G188" s="30"/>
      <c r="H188" s="30"/>
      <c r="J188" s="29"/>
      <c r="L188" s="30"/>
      <c r="M188" s="30"/>
      <c r="O188" s="32"/>
      <c r="P188" s="32"/>
      <c r="S188" s="32"/>
    </row>
    <row r="189">
      <c r="D189" s="29"/>
      <c r="F189" s="31"/>
      <c r="G189" s="30"/>
      <c r="H189" s="30"/>
      <c r="J189" s="29"/>
      <c r="L189" s="30"/>
      <c r="M189" s="30"/>
      <c r="O189" s="32"/>
      <c r="P189" s="32"/>
      <c r="S189" s="32"/>
    </row>
    <row r="190">
      <c r="D190" s="29"/>
      <c r="F190" s="31"/>
      <c r="G190" s="30"/>
      <c r="H190" s="30"/>
      <c r="J190" s="29"/>
      <c r="L190" s="30"/>
      <c r="M190" s="30"/>
      <c r="O190" s="32"/>
      <c r="P190" s="32"/>
      <c r="S190" s="32"/>
    </row>
    <row r="191">
      <c r="D191" s="29"/>
      <c r="F191" s="31"/>
      <c r="G191" s="30"/>
      <c r="H191" s="30"/>
      <c r="J191" s="29"/>
      <c r="L191" s="30"/>
      <c r="M191" s="30"/>
      <c r="O191" s="32"/>
      <c r="P191" s="32"/>
      <c r="S191" s="32"/>
    </row>
    <row r="192">
      <c r="D192" s="29"/>
      <c r="F192" s="31"/>
      <c r="G192" s="30"/>
      <c r="H192" s="30"/>
      <c r="J192" s="29"/>
      <c r="L192" s="30"/>
      <c r="M192" s="30"/>
      <c r="O192" s="32"/>
      <c r="P192" s="32"/>
      <c r="S192" s="32"/>
    </row>
    <row r="193">
      <c r="D193" s="29"/>
      <c r="F193" s="31"/>
      <c r="G193" s="30"/>
      <c r="H193" s="30"/>
      <c r="J193" s="29"/>
      <c r="L193" s="30"/>
      <c r="M193" s="30"/>
      <c r="O193" s="32"/>
      <c r="P193" s="32"/>
      <c r="S193" s="32"/>
    </row>
    <row r="194">
      <c r="D194" s="29"/>
      <c r="F194" s="31"/>
      <c r="G194" s="30"/>
      <c r="H194" s="30"/>
      <c r="J194" s="29"/>
      <c r="L194" s="30"/>
      <c r="M194" s="30"/>
      <c r="O194" s="32"/>
      <c r="P194" s="32"/>
      <c r="S194" s="32"/>
    </row>
    <row r="195">
      <c r="D195" s="29"/>
      <c r="F195" s="31"/>
      <c r="G195" s="30"/>
      <c r="H195" s="30"/>
      <c r="J195" s="29"/>
      <c r="L195" s="30"/>
      <c r="M195" s="30"/>
      <c r="O195" s="32"/>
      <c r="P195" s="32"/>
      <c r="S195" s="32"/>
    </row>
    <row r="196">
      <c r="D196" s="29"/>
      <c r="F196" s="31"/>
      <c r="G196" s="30"/>
      <c r="H196" s="30"/>
      <c r="J196" s="29"/>
      <c r="L196" s="30"/>
      <c r="M196" s="30"/>
      <c r="O196" s="32"/>
      <c r="P196" s="32"/>
      <c r="S196" s="32"/>
    </row>
    <row r="197">
      <c r="D197" s="29"/>
      <c r="F197" s="31"/>
      <c r="G197" s="30"/>
      <c r="H197" s="30"/>
      <c r="J197" s="29"/>
      <c r="L197" s="30"/>
      <c r="M197" s="30"/>
      <c r="O197" s="32"/>
      <c r="P197" s="32"/>
      <c r="S197" s="32"/>
    </row>
    <row r="198">
      <c r="D198" s="29"/>
      <c r="F198" s="31"/>
      <c r="G198" s="30"/>
      <c r="H198" s="30"/>
      <c r="J198" s="29"/>
      <c r="L198" s="30"/>
      <c r="M198" s="30"/>
      <c r="O198" s="32"/>
      <c r="P198" s="32"/>
      <c r="S198" s="32"/>
    </row>
    <row r="199">
      <c r="D199" s="29"/>
      <c r="F199" s="31"/>
      <c r="G199" s="30"/>
      <c r="H199" s="30"/>
      <c r="J199" s="29"/>
      <c r="L199" s="30"/>
      <c r="M199" s="30"/>
      <c r="O199" s="32"/>
      <c r="P199" s="32"/>
      <c r="S199" s="32"/>
    </row>
    <row r="200">
      <c r="D200" s="29"/>
      <c r="F200" s="31"/>
      <c r="G200" s="30"/>
      <c r="H200" s="30"/>
      <c r="J200" s="29"/>
      <c r="L200" s="30"/>
      <c r="M200" s="30"/>
      <c r="O200" s="32"/>
      <c r="P200" s="32"/>
      <c r="S200" s="32"/>
    </row>
    <row r="201">
      <c r="D201" s="29"/>
      <c r="F201" s="31"/>
      <c r="G201" s="30"/>
      <c r="H201" s="30"/>
      <c r="J201" s="29"/>
      <c r="L201" s="30"/>
      <c r="M201" s="30"/>
      <c r="O201" s="32"/>
      <c r="P201" s="32"/>
      <c r="S201" s="32"/>
    </row>
    <row r="202">
      <c r="D202" s="29"/>
      <c r="F202" s="31"/>
      <c r="G202" s="30"/>
      <c r="H202" s="30"/>
      <c r="J202" s="29"/>
      <c r="L202" s="30"/>
      <c r="M202" s="30"/>
      <c r="O202" s="32"/>
      <c r="P202" s="32"/>
      <c r="S202" s="32"/>
    </row>
    <row r="203">
      <c r="D203" s="29"/>
      <c r="F203" s="31"/>
      <c r="G203" s="30"/>
      <c r="H203" s="30"/>
      <c r="J203" s="29"/>
      <c r="L203" s="30"/>
      <c r="M203" s="30"/>
      <c r="O203" s="32"/>
      <c r="P203" s="32"/>
      <c r="S203" s="32"/>
    </row>
    <row r="204">
      <c r="D204" s="29"/>
      <c r="F204" s="31"/>
      <c r="G204" s="30"/>
      <c r="H204" s="30"/>
      <c r="J204" s="29"/>
      <c r="L204" s="30"/>
      <c r="M204" s="30"/>
      <c r="O204" s="32"/>
      <c r="P204" s="32"/>
      <c r="S204" s="32"/>
    </row>
    <row r="205">
      <c r="D205" s="29"/>
      <c r="F205" s="31"/>
      <c r="G205" s="30"/>
      <c r="H205" s="30"/>
      <c r="J205" s="29"/>
      <c r="L205" s="30"/>
      <c r="M205" s="30"/>
      <c r="O205" s="32"/>
      <c r="P205" s="32"/>
      <c r="S205" s="32"/>
    </row>
    <row r="206">
      <c r="D206" s="29"/>
      <c r="F206" s="31"/>
      <c r="G206" s="30"/>
      <c r="H206" s="30"/>
      <c r="J206" s="29"/>
      <c r="L206" s="30"/>
      <c r="M206" s="30"/>
      <c r="O206" s="32"/>
      <c r="P206" s="32"/>
      <c r="S206" s="32"/>
    </row>
    <row r="207">
      <c r="D207" s="29"/>
      <c r="F207" s="31"/>
      <c r="G207" s="30"/>
      <c r="H207" s="30"/>
      <c r="J207" s="29"/>
      <c r="L207" s="30"/>
      <c r="M207" s="30"/>
      <c r="O207" s="32"/>
      <c r="P207" s="32"/>
      <c r="S207" s="32"/>
    </row>
    <row r="208">
      <c r="D208" s="29"/>
      <c r="F208" s="31"/>
      <c r="G208" s="30"/>
      <c r="H208" s="30"/>
      <c r="J208" s="29"/>
      <c r="L208" s="30"/>
      <c r="M208" s="30"/>
      <c r="O208" s="32"/>
      <c r="P208" s="32"/>
      <c r="S208" s="32"/>
    </row>
    <row r="209">
      <c r="D209" s="29"/>
      <c r="F209" s="31"/>
      <c r="G209" s="30"/>
      <c r="H209" s="30"/>
      <c r="J209" s="29"/>
      <c r="L209" s="30"/>
      <c r="M209" s="30"/>
      <c r="O209" s="32"/>
      <c r="P209" s="32"/>
      <c r="S209" s="32"/>
    </row>
    <row r="210">
      <c r="D210" s="29"/>
      <c r="F210" s="31"/>
      <c r="G210" s="30"/>
      <c r="H210" s="30"/>
      <c r="J210" s="29"/>
      <c r="L210" s="30"/>
      <c r="M210" s="30"/>
      <c r="O210" s="32"/>
      <c r="P210" s="32"/>
      <c r="S210" s="32"/>
    </row>
    <row r="211">
      <c r="D211" s="29"/>
      <c r="F211" s="31"/>
      <c r="G211" s="30"/>
      <c r="H211" s="30"/>
      <c r="J211" s="29"/>
      <c r="L211" s="30"/>
      <c r="M211" s="30"/>
      <c r="O211" s="32"/>
      <c r="P211" s="32"/>
      <c r="S211" s="32"/>
    </row>
    <row r="212">
      <c r="D212" s="29"/>
      <c r="F212" s="31"/>
      <c r="G212" s="30"/>
      <c r="H212" s="30"/>
      <c r="J212" s="29"/>
      <c r="L212" s="30"/>
      <c r="M212" s="30"/>
      <c r="O212" s="32"/>
      <c r="P212" s="32"/>
      <c r="S212" s="32"/>
    </row>
    <row r="213">
      <c r="D213" s="29"/>
      <c r="F213" s="31"/>
      <c r="G213" s="30"/>
      <c r="H213" s="30"/>
      <c r="J213" s="29"/>
      <c r="L213" s="30"/>
      <c r="M213" s="30"/>
      <c r="O213" s="32"/>
      <c r="P213" s="32"/>
      <c r="S213" s="32"/>
    </row>
    <row r="214">
      <c r="D214" s="29"/>
      <c r="F214" s="31"/>
      <c r="G214" s="30"/>
      <c r="H214" s="30"/>
      <c r="J214" s="29"/>
      <c r="L214" s="30"/>
      <c r="M214" s="30"/>
      <c r="O214" s="32"/>
      <c r="P214" s="32"/>
      <c r="S214" s="32"/>
    </row>
    <row r="215">
      <c r="D215" s="29"/>
      <c r="F215" s="31"/>
      <c r="G215" s="30"/>
      <c r="H215" s="30"/>
      <c r="J215" s="29"/>
      <c r="L215" s="30"/>
      <c r="M215" s="30"/>
      <c r="O215" s="32"/>
      <c r="P215" s="32"/>
      <c r="S215" s="32"/>
    </row>
    <row r="216">
      <c r="D216" s="29"/>
      <c r="F216" s="31"/>
      <c r="G216" s="30"/>
      <c r="H216" s="30"/>
      <c r="J216" s="29"/>
      <c r="L216" s="30"/>
      <c r="M216" s="30"/>
      <c r="O216" s="32"/>
      <c r="P216" s="32"/>
      <c r="S216" s="32"/>
    </row>
    <row r="217">
      <c r="D217" s="29"/>
      <c r="F217" s="31"/>
      <c r="G217" s="30"/>
      <c r="H217" s="30"/>
      <c r="J217" s="29"/>
      <c r="L217" s="30"/>
      <c r="M217" s="30"/>
      <c r="O217" s="32"/>
      <c r="P217" s="32"/>
      <c r="S217" s="32"/>
    </row>
    <row r="218">
      <c r="D218" s="29"/>
      <c r="F218" s="31"/>
      <c r="G218" s="30"/>
      <c r="H218" s="30"/>
      <c r="J218" s="29"/>
      <c r="L218" s="30"/>
      <c r="M218" s="30"/>
      <c r="O218" s="32"/>
      <c r="P218" s="32"/>
      <c r="S218" s="32"/>
    </row>
    <row r="219">
      <c r="D219" s="29"/>
      <c r="F219" s="31"/>
      <c r="G219" s="30"/>
      <c r="H219" s="30"/>
      <c r="J219" s="29"/>
      <c r="L219" s="30"/>
      <c r="M219" s="30"/>
      <c r="O219" s="32"/>
      <c r="P219" s="32"/>
      <c r="S219" s="32"/>
    </row>
    <row r="220">
      <c r="D220" s="29"/>
      <c r="F220" s="31"/>
      <c r="G220" s="30"/>
      <c r="H220" s="30"/>
      <c r="J220" s="29"/>
      <c r="L220" s="30"/>
      <c r="M220" s="30"/>
      <c r="O220" s="32"/>
      <c r="P220" s="32"/>
      <c r="S220" s="32"/>
    </row>
    <row r="221">
      <c r="D221" s="29"/>
      <c r="F221" s="31"/>
      <c r="G221" s="30"/>
      <c r="H221" s="30"/>
      <c r="J221" s="29"/>
      <c r="L221" s="30"/>
      <c r="M221" s="30"/>
      <c r="O221" s="32"/>
      <c r="P221" s="32"/>
      <c r="S221" s="32"/>
    </row>
    <row r="222">
      <c r="D222" s="29"/>
      <c r="F222" s="31"/>
      <c r="G222" s="30"/>
      <c r="H222" s="30"/>
      <c r="J222" s="29"/>
      <c r="L222" s="30"/>
      <c r="M222" s="30"/>
      <c r="O222" s="32"/>
      <c r="P222" s="32"/>
      <c r="S222" s="32"/>
    </row>
    <row r="223">
      <c r="D223" s="29"/>
      <c r="F223" s="31"/>
      <c r="G223" s="30"/>
      <c r="H223" s="30"/>
      <c r="J223" s="29"/>
      <c r="L223" s="30"/>
      <c r="M223" s="30"/>
      <c r="O223" s="32"/>
      <c r="P223" s="32"/>
      <c r="S223" s="32"/>
    </row>
    <row r="224">
      <c r="D224" s="29"/>
      <c r="F224" s="31"/>
      <c r="G224" s="30"/>
      <c r="H224" s="30"/>
      <c r="J224" s="29"/>
      <c r="L224" s="30"/>
      <c r="M224" s="30"/>
      <c r="O224" s="32"/>
      <c r="P224" s="32"/>
      <c r="S224" s="32"/>
    </row>
    <row r="225">
      <c r="D225" s="29"/>
      <c r="F225" s="31"/>
      <c r="G225" s="30"/>
      <c r="H225" s="30"/>
      <c r="J225" s="29"/>
      <c r="L225" s="30"/>
      <c r="M225" s="30"/>
      <c r="O225" s="32"/>
      <c r="P225" s="32"/>
      <c r="S225" s="32"/>
    </row>
    <row r="226">
      <c r="D226" s="29"/>
      <c r="F226" s="31"/>
      <c r="G226" s="30"/>
      <c r="H226" s="30"/>
      <c r="J226" s="29"/>
      <c r="L226" s="30"/>
      <c r="M226" s="30"/>
      <c r="O226" s="32"/>
      <c r="P226" s="32"/>
      <c r="S226" s="32"/>
    </row>
    <row r="227">
      <c r="D227" s="29"/>
      <c r="F227" s="31"/>
      <c r="G227" s="30"/>
      <c r="H227" s="30"/>
      <c r="J227" s="29"/>
      <c r="L227" s="30"/>
      <c r="M227" s="30"/>
      <c r="O227" s="32"/>
      <c r="P227" s="32"/>
      <c r="S227" s="32"/>
    </row>
    <row r="228">
      <c r="D228" s="29"/>
      <c r="F228" s="31"/>
      <c r="G228" s="30"/>
      <c r="H228" s="30"/>
      <c r="J228" s="29"/>
      <c r="L228" s="30"/>
      <c r="M228" s="30"/>
      <c r="O228" s="32"/>
      <c r="P228" s="32"/>
      <c r="S228" s="32"/>
    </row>
    <row r="229">
      <c r="D229" s="29"/>
      <c r="F229" s="31"/>
      <c r="G229" s="30"/>
      <c r="H229" s="30"/>
      <c r="J229" s="29"/>
      <c r="L229" s="30"/>
      <c r="M229" s="30"/>
      <c r="O229" s="32"/>
      <c r="P229" s="32"/>
      <c r="S229" s="32"/>
    </row>
    <row r="230">
      <c r="D230" s="29"/>
      <c r="F230" s="31"/>
      <c r="G230" s="30"/>
      <c r="H230" s="30"/>
      <c r="J230" s="29"/>
      <c r="L230" s="30"/>
      <c r="M230" s="30"/>
      <c r="O230" s="32"/>
      <c r="P230" s="32"/>
      <c r="S230" s="32"/>
    </row>
    <row r="231">
      <c r="D231" s="29"/>
      <c r="F231" s="31"/>
      <c r="G231" s="30"/>
      <c r="H231" s="30"/>
      <c r="J231" s="29"/>
      <c r="L231" s="30"/>
      <c r="M231" s="30"/>
      <c r="O231" s="32"/>
      <c r="P231" s="32"/>
      <c r="S231" s="32"/>
    </row>
    <row r="232">
      <c r="D232" s="29"/>
      <c r="F232" s="31"/>
      <c r="G232" s="30"/>
      <c r="H232" s="30"/>
      <c r="J232" s="29"/>
      <c r="L232" s="30"/>
      <c r="M232" s="30"/>
      <c r="O232" s="32"/>
      <c r="P232" s="32"/>
      <c r="S232" s="32"/>
    </row>
    <row r="233">
      <c r="D233" s="29"/>
      <c r="F233" s="31"/>
      <c r="G233" s="30"/>
      <c r="H233" s="30"/>
      <c r="J233" s="29"/>
      <c r="L233" s="30"/>
      <c r="M233" s="30"/>
      <c r="O233" s="32"/>
      <c r="P233" s="32"/>
      <c r="S233" s="32"/>
    </row>
    <row r="234">
      <c r="D234" s="29"/>
      <c r="F234" s="31"/>
      <c r="G234" s="30"/>
      <c r="H234" s="30"/>
      <c r="J234" s="29"/>
      <c r="L234" s="30"/>
      <c r="M234" s="30"/>
      <c r="O234" s="32"/>
      <c r="P234" s="32"/>
      <c r="S234" s="32"/>
    </row>
    <row r="235">
      <c r="D235" s="29"/>
      <c r="F235" s="31"/>
      <c r="G235" s="30"/>
      <c r="H235" s="30"/>
      <c r="J235" s="29"/>
      <c r="L235" s="30"/>
      <c r="M235" s="30"/>
      <c r="O235" s="32"/>
      <c r="P235" s="32"/>
      <c r="S235" s="32"/>
    </row>
    <row r="236">
      <c r="D236" s="29"/>
      <c r="F236" s="31"/>
      <c r="G236" s="30"/>
      <c r="H236" s="30"/>
      <c r="J236" s="29"/>
      <c r="L236" s="30"/>
      <c r="M236" s="30"/>
      <c r="O236" s="32"/>
      <c r="P236" s="32"/>
      <c r="S236" s="32"/>
    </row>
    <row r="237">
      <c r="D237" s="29"/>
      <c r="F237" s="31"/>
      <c r="G237" s="30"/>
      <c r="H237" s="30"/>
      <c r="J237" s="29"/>
      <c r="L237" s="30"/>
      <c r="M237" s="30"/>
      <c r="O237" s="32"/>
      <c r="P237" s="32"/>
      <c r="S237" s="32"/>
    </row>
    <row r="238">
      <c r="D238" s="29"/>
      <c r="F238" s="31"/>
      <c r="G238" s="30"/>
      <c r="H238" s="30"/>
      <c r="J238" s="29"/>
      <c r="L238" s="30"/>
      <c r="M238" s="30"/>
      <c r="O238" s="32"/>
      <c r="P238" s="32"/>
      <c r="S238" s="32"/>
    </row>
    <row r="239">
      <c r="D239" s="29"/>
      <c r="F239" s="31"/>
      <c r="G239" s="30"/>
      <c r="H239" s="30"/>
      <c r="J239" s="29"/>
      <c r="L239" s="30"/>
      <c r="M239" s="30"/>
      <c r="O239" s="32"/>
      <c r="P239" s="32"/>
      <c r="S239" s="32"/>
    </row>
    <row r="240">
      <c r="D240" s="29"/>
      <c r="F240" s="31"/>
      <c r="G240" s="30"/>
      <c r="H240" s="30"/>
      <c r="J240" s="29"/>
      <c r="L240" s="30"/>
      <c r="M240" s="30"/>
      <c r="O240" s="32"/>
      <c r="P240" s="32"/>
      <c r="S240" s="32"/>
    </row>
    <row r="241">
      <c r="D241" s="29"/>
      <c r="F241" s="31"/>
      <c r="G241" s="30"/>
      <c r="H241" s="30"/>
      <c r="J241" s="29"/>
      <c r="L241" s="30"/>
      <c r="M241" s="30"/>
      <c r="O241" s="32"/>
      <c r="P241" s="32"/>
      <c r="S241" s="32"/>
    </row>
    <row r="242">
      <c r="D242" s="29"/>
      <c r="F242" s="31"/>
      <c r="G242" s="30"/>
      <c r="H242" s="30"/>
      <c r="J242" s="29"/>
      <c r="L242" s="30"/>
      <c r="M242" s="30"/>
      <c r="O242" s="32"/>
      <c r="P242" s="32"/>
      <c r="S242" s="32"/>
    </row>
    <row r="243">
      <c r="D243" s="29"/>
      <c r="F243" s="31"/>
      <c r="G243" s="30"/>
      <c r="H243" s="30"/>
      <c r="J243" s="29"/>
      <c r="L243" s="30"/>
      <c r="M243" s="30"/>
      <c r="O243" s="32"/>
      <c r="P243" s="32"/>
      <c r="S243" s="32"/>
    </row>
    <row r="244">
      <c r="D244" s="29"/>
      <c r="F244" s="31"/>
      <c r="G244" s="30"/>
      <c r="H244" s="30"/>
      <c r="J244" s="29"/>
      <c r="L244" s="30"/>
      <c r="M244" s="30"/>
      <c r="O244" s="32"/>
      <c r="P244" s="32"/>
      <c r="S244" s="32"/>
    </row>
    <row r="245">
      <c r="D245" s="29"/>
      <c r="F245" s="31"/>
      <c r="G245" s="30"/>
      <c r="H245" s="30"/>
      <c r="J245" s="29"/>
      <c r="L245" s="30"/>
      <c r="M245" s="30"/>
      <c r="O245" s="32"/>
      <c r="P245" s="32"/>
      <c r="S245" s="32"/>
    </row>
    <row r="246">
      <c r="D246" s="29"/>
      <c r="F246" s="31"/>
      <c r="G246" s="30"/>
      <c r="H246" s="30"/>
      <c r="J246" s="29"/>
      <c r="L246" s="30"/>
      <c r="M246" s="30"/>
      <c r="O246" s="32"/>
      <c r="P246" s="32"/>
      <c r="S246" s="32"/>
    </row>
    <row r="247">
      <c r="D247" s="29"/>
      <c r="F247" s="31"/>
      <c r="G247" s="30"/>
      <c r="H247" s="30"/>
      <c r="J247" s="29"/>
      <c r="L247" s="30"/>
      <c r="M247" s="30"/>
      <c r="O247" s="32"/>
      <c r="P247" s="32"/>
      <c r="S247" s="32"/>
    </row>
    <row r="248">
      <c r="D248" s="29"/>
      <c r="F248" s="31"/>
      <c r="G248" s="30"/>
      <c r="H248" s="30"/>
      <c r="J248" s="29"/>
      <c r="L248" s="30"/>
      <c r="M248" s="30"/>
      <c r="O248" s="32"/>
      <c r="P248" s="32"/>
      <c r="S248" s="32"/>
    </row>
    <row r="249">
      <c r="D249" s="29"/>
      <c r="F249" s="31"/>
      <c r="G249" s="30"/>
      <c r="H249" s="30"/>
      <c r="J249" s="29"/>
      <c r="L249" s="30"/>
      <c r="M249" s="30"/>
      <c r="O249" s="32"/>
      <c r="P249" s="32"/>
      <c r="S249" s="32"/>
    </row>
    <row r="250">
      <c r="D250" s="29"/>
      <c r="F250" s="31"/>
      <c r="G250" s="30"/>
      <c r="H250" s="30"/>
      <c r="J250" s="29"/>
      <c r="L250" s="30"/>
      <c r="M250" s="30"/>
      <c r="O250" s="32"/>
      <c r="P250" s="32"/>
      <c r="S250" s="32"/>
    </row>
    <row r="251">
      <c r="D251" s="29"/>
      <c r="F251" s="31"/>
      <c r="G251" s="30"/>
      <c r="H251" s="30"/>
      <c r="J251" s="29"/>
      <c r="L251" s="30"/>
      <c r="M251" s="30"/>
      <c r="O251" s="32"/>
      <c r="P251" s="32"/>
      <c r="S251" s="32"/>
    </row>
    <row r="252">
      <c r="D252" s="29"/>
      <c r="F252" s="31"/>
      <c r="G252" s="30"/>
      <c r="H252" s="30"/>
      <c r="J252" s="29"/>
      <c r="L252" s="30"/>
      <c r="M252" s="30"/>
      <c r="O252" s="32"/>
      <c r="P252" s="32"/>
      <c r="S252" s="32"/>
    </row>
    <row r="253">
      <c r="D253" s="29"/>
      <c r="F253" s="31"/>
      <c r="G253" s="30"/>
      <c r="H253" s="30"/>
      <c r="J253" s="29"/>
      <c r="L253" s="30"/>
      <c r="M253" s="30"/>
      <c r="O253" s="32"/>
      <c r="P253" s="32"/>
      <c r="S253" s="32"/>
    </row>
    <row r="254">
      <c r="D254" s="29"/>
      <c r="F254" s="31"/>
      <c r="G254" s="30"/>
      <c r="H254" s="30"/>
      <c r="J254" s="29"/>
      <c r="L254" s="30"/>
      <c r="M254" s="30"/>
      <c r="O254" s="32"/>
      <c r="P254" s="32"/>
      <c r="S254" s="32"/>
    </row>
    <row r="255">
      <c r="D255" s="29"/>
      <c r="F255" s="31"/>
      <c r="G255" s="30"/>
      <c r="H255" s="30"/>
      <c r="J255" s="29"/>
      <c r="L255" s="30"/>
      <c r="M255" s="30"/>
      <c r="O255" s="32"/>
      <c r="P255" s="32"/>
      <c r="S255" s="32"/>
    </row>
    <row r="256">
      <c r="D256" s="29"/>
      <c r="F256" s="31"/>
      <c r="G256" s="30"/>
      <c r="H256" s="30"/>
      <c r="J256" s="29"/>
      <c r="L256" s="30"/>
      <c r="M256" s="30"/>
      <c r="O256" s="32"/>
      <c r="P256" s="32"/>
      <c r="S256" s="32"/>
    </row>
    <row r="257">
      <c r="D257" s="29"/>
      <c r="F257" s="31"/>
      <c r="G257" s="30"/>
      <c r="H257" s="30"/>
      <c r="J257" s="29"/>
      <c r="L257" s="30"/>
      <c r="M257" s="30"/>
      <c r="O257" s="32"/>
      <c r="P257" s="32"/>
      <c r="S257" s="32"/>
    </row>
    <row r="258">
      <c r="D258" s="29"/>
      <c r="F258" s="31"/>
      <c r="G258" s="30"/>
      <c r="H258" s="30"/>
      <c r="J258" s="29"/>
      <c r="L258" s="30"/>
      <c r="M258" s="30"/>
      <c r="O258" s="32"/>
      <c r="P258" s="32"/>
      <c r="S258" s="32"/>
    </row>
    <row r="259">
      <c r="D259" s="29"/>
      <c r="F259" s="31"/>
      <c r="G259" s="30"/>
      <c r="H259" s="30"/>
      <c r="J259" s="29"/>
      <c r="L259" s="30"/>
      <c r="M259" s="30"/>
      <c r="O259" s="32"/>
      <c r="P259" s="32"/>
      <c r="S259" s="32"/>
    </row>
    <row r="260">
      <c r="D260" s="29"/>
      <c r="F260" s="31"/>
      <c r="G260" s="30"/>
      <c r="H260" s="30"/>
      <c r="J260" s="29"/>
      <c r="L260" s="30"/>
      <c r="M260" s="30"/>
      <c r="O260" s="32"/>
      <c r="P260" s="32"/>
      <c r="S260" s="32"/>
    </row>
    <row r="261">
      <c r="D261" s="29"/>
      <c r="F261" s="31"/>
      <c r="G261" s="30"/>
      <c r="H261" s="30"/>
      <c r="J261" s="29"/>
      <c r="L261" s="30"/>
      <c r="M261" s="30"/>
      <c r="O261" s="32"/>
      <c r="P261" s="32"/>
      <c r="S261" s="32"/>
    </row>
    <row r="262">
      <c r="D262" s="29"/>
      <c r="F262" s="31"/>
      <c r="G262" s="30"/>
      <c r="H262" s="30"/>
      <c r="J262" s="29"/>
      <c r="L262" s="30"/>
      <c r="M262" s="30"/>
      <c r="O262" s="32"/>
      <c r="P262" s="32"/>
      <c r="S262" s="32"/>
    </row>
    <row r="263">
      <c r="D263" s="29"/>
      <c r="F263" s="31"/>
      <c r="G263" s="30"/>
      <c r="H263" s="30"/>
      <c r="J263" s="29"/>
      <c r="L263" s="30"/>
      <c r="M263" s="30"/>
      <c r="O263" s="32"/>
      <c r="P263" s="32"/>
      <c r="S263" s="32"/>
    </row>
    <row r="264">
      <c r="D264" s="29"/>
      <c r="F264" s="31"/>
      <c r="G264" s="30"/>
      <c r="H264" s="30"/>
      <c r="J264" s="29"/>
      <c r="L264" s="30"/>
      <c r="M264" s="30"/>
      <c r="O264" s="32"/>
      <c r="P264" s="32"/>
      <c r="S264" s="32"/>
    </row>
    <row r="265">
      <c r="D265" s="29"/>
      <c r="F265" s="31"/>
      <c r="G265" s="30"/>
      <c r="H265" s="30"/>
      <c r="J265" s="29"/>
      <c r="L265" s="30"/>
      <c r="M265" s="30"/>
      <c r="O265" s="32"/>
      <c r="P265" s="32"/>
      <c r="S265" s="32"/>
    </row>
    <row r="266">
      <c r="D266" s="29"/>
      <c r="F266" s="31"/>
      <c r="G266" s="30"/>
      <c r="H266" s="30"/>
      <c r="J266" s="29"/>
      <c r="L266" s="30"/>
      <c r="M266" s="30"/>
      <c r="O266" s="32"/>
      <c r="P266" s="32"/>
      <c r="S266" s="32"/>
    </row>
    <row r="267">
      <c r="D267" s="29"/>
      <c r="F267" s="31"/>
      <c r="G267" s="30"/>
      <c r="H267" s="30"/>
      <c r="J267" s="29"/>
      <c r="L267" s="30"/>
      <c r="M267" s="30"/>
      <c r="O267" s="32"/>
      <c r="P267" s="32"/>
      <c r="S267" s="32"/>
    </row>
    <row r="268">
      <c r="D268" s="29"/>
      <c r="F268" s="31"/>
      <c r="G268" s="30"/>
      <c r="H268" s="30"/>
      <c r="J268" s="29"/>
      <c r="L268" s="30"/>
      <c r="M268" s="30"/>
      <c r="O268" s="32"/>
      <c r="P268" s="32"/>
      <c r="S268" s="32"/>
    </row>
    <row r="269">
      <c r="D269" s="29"/>
      <c r="F269" s="31"/>
      <c r="G269" s="30"/>
      <c r="H269" s="30"/>
      <c r="J269" s="29"/>
      <c r="L269" s="30"/>
      <c r="M269" s="30"/>
      <c r="O269" s="32"/>
      <c r="P269" s="32"/>
      <c r="S269" s="32"/>
    </row>
    <row r="270">
      <c r="D270" s="29"/>
      <c r="F270" s="31"/>
      <c r="G270" s="30"/>
      <c r="H270" s="30"/>
      <c r="J270" s="29"/>
      <c r="L270" s="30"/>
      <c r="M270" s="30"/>
      <c r="O270" s="32"/>
      <c r="P270" s="32"/>
      <c r="S270" s="32"/>
    </row>
    <row r="271">
      <c r="D271" s="29"/>
      <c r="F271" s="31"/>
      <c r="G271" s="30"/>
      <c r="H271" s="30"/>
      <c r="J271" s="29"/>
      <c r="L271" s="30"/>
      <c r="M271" s="30"/>
      <c r="O271" s="32"/>
      <c r="P271" s="32"/>
      <c r="S271" s="32"/>
    </row>
    <row r="272">
      <c r="D272" s="29"/>
      <c r="F272" s="31"/>
      <c r="G272" s="30"/>
      <c r="H272" s="30"/>
      <c r="J272" s="29"/>
      <c r="L272" s="30"/>
      <c r="M272" s="30"/>
      <c r="O272" s="32"/>
      <c r="P272" s="32"/>
      <c r="S272" s="32"/>
    </row>
    <row r="273">
      <c r="D273" s="29"/>
      <c r="F273" s="31"/>
      <c r="G273" s="30"/>
      <c r="H273" s="30"/>
      <c r="J273" s="29"/>
      <c r="L273" s="30"/>
      <c r="M273" s="30"/>
      <c r="O273" s="32"/>
      <c r="P273" s="32"/>
      <c r="S273" s="32"/>
    </row>
    <row r="274">
      <c r="D274" s="29"/>
      <c r="F274" s="31"/>
      <c r="G274" s="30"/>
      <c r="H274" s="30"/>
      <c r="J274" s="29"/>
      <c r="L274" s="30"/>
      <c r="M274" s="30"/>
      <c r="O274" s="32"/>
      <c r="P274" s="32"/>
      <c r="S274" s="32"/>
    </row>
    <row r="275">
      <c r="D275" s="29"/>
      <c r="F275" s="31"/>
      <c r="G275" s="30"/>
      <c r="H275" s="30"/>
      <c r="J275" s="29"/>
      <c r="L275" s="30"/>
      <c r="M275" s="30"/>
      <c r="O275" s="32"/>
      <c r="P275" s="32"/>
      <c r="S275" s="32"/>
    </row>
    <row r="276">
      <c r="D276" s="29"/>
      <c r="F276" s="31"/>
      <c r="G276" s="30"/>
      <c r="H276" s="30"/>
      <c r="J276" s="29"/>
      <c r="L276" s="30"/>
      <c r="M276" s="30"/>
      <c r="O276" s="32"/>
      <c r="P276" s="32"/>
      <c r="S276" s="32"/>
    </row>
    <row r="277">
      <c r="D277" s="29"/>
      <c r="F277" s="31"/>
      <c r="G277" s="30"/>
      <c r="H277" s="30"/>
      <c r="J277" s="29"/>
      <c r="L277" s="30"/>
      <c r="M277" s="30"/>
      <c r="O277" s="32"/>
      <c r="P277" s="32"/>
      <c r="S277" s="32"/>
    </row>
    <row r="278">
      <c r="D278" s="29"/>
      <c r="F278" s="31"/>
      <c r="G278" s="30"/>
      <c r="H278" s="30"/>
      <c r="J278" s="29"/>
      <c r="L278" s="30"/>
      <c r="M278" s="30"/>
      <c r="O278" s="32"/>
      <c r="P278" s="32"/>
      <c r="S278" s="32"/>
    </row>
    <row r="279">
      <c r="D279" s="29"/>
      <c r="F279" s="31"/>
      <c r="G279" s="30"/>
      <c r="H279" s="30"/>
      <c r="J279" s="29"/>
      <c r="L279" s="30"/>
      <c r="M279" s="30"/>
      <c r="O279" s="32"/>
      <c r="P279" s="32"/>
      <c r="S279" s="32"/>
    </row>
    <row r="280">
      <c r="D280" s="29"/>
      <c r="F280" s="31"/>
      <c r="G280" s="30"/>
      <c r="H280" s="30"/>
      <c r="J280" s="29"/>
      <c r="L280" s="30"/>
      <c r="M280" s="30"/>
      <c r="O280" s="32"/>
      <c r="P280" s="32"/>
      <c r="S280" s="32"/>
    </row>
    <row r="281">
      <c r="D281" s="29"/>
      <c r="F281" s="31"/>
      <c r="G281" s="30"/>
      <c r="H281" s="30"/>
      <c r="J281" s="29"/>
      <c r="L281" s="30"/>
      <c r="M281" s="30"/>
      <c r="O281" s="32"/>
      <c r="P281" s="32"/>
      <c r="S281" s="32"/>
    </row>
    <row r="282">
      <c r="D282" s="29"/>
      <c r="F282" s="31"/>
      <c r="G282" s="30"/>
      <c r="H282" s="30"/>
      <c r="J282" s="29"/>
      <c r="L282" s="30"/>
      <c r="M282" s="30"/>
      <c r="O282" s="32"/>
      <c r="P282" s="32"/>
      <c r="S282" s="32"/>
    </row>
    <row r="283">
      <c r="D283" s="29"/>
      <c r="F283" s="31"/>
      <c r="G283" s="30"/>
      <c r="H283" s="30"/>
      <c r="J283" s="29"/>
      <c r="L283" s="30"/>
      <c r="M283" s="30"/>
      <c r="O283" s="32"/>
      <c r="P283" s="32"/>
      <c r="S283" s="32"/>
    </row>
    <row r="284">
      <c r="D284" s="29"/>
      <c r="F284" s="31"/>
      <c r="G284" s="30"/>
      <c r="H284" s="30"/>
      <c r="J284" s="29"/>
      <c r="L284" s="30"/>
      <c r="M284" s="30"/>
      <c r="O284" s="32"/>
      <c r="P284" s="32"/>
      <c r="S284" s="32"/>
    </row>
    <row r="285">
      <c r="D285" s="29"/>
      <c r="F285" s="31"/>
      <c r="G285" s="30"/>
      <c r="H285" s="30"/>
      <c r="J285" s="29"/>
      <c r="L285" s="30"/>
      <c r="M285" s="30"/>
      <c r="O285" s="32"/>
      <c r="P285" s="32"/>
      <c r="S285" s="32"/>
    </row>
    <row r="286">
      <c r="D286" s="29"/>
      <c r="F286" s="31"/>
      <c r="G286" s="30"/>
      <c r="H286" s="30"/>
      <c r="J286" s="29"/>
      <c r="L286" s="30"/>
      <c r="M286" s="30"/>
      <c r="O286" s="32"/>
      <c r="P286" s="32"/>
      <c r="S286" s="32"/>
    </row>
    <row r="287">
      <c r="D287" s="29"/>
      <c r="F287" s="31"/>
      <c r="G287" s="30"/>
      <c r="H287" s="30"/>
      <c r="J287" s="29"/>
      <c r="L287" s="30"/>
      <c r="M287" s="30"/>
      <c r="O287" s="32"/>
      <c r="P287" s="32"/>
      <c r="S287" s="32"/>
    </row>
    <row r="288">
      <c r="D288" s="29"/>
      <c r="F288" s="31"/>
      <c r="G288" s="30"/>
      <c r="H288" s="30"/>
      <c r="J288" s="29"/>
      <c r="L288" s="30"/>
      <c r="M288" s="30"/>
      <c r="O288" s="32"/>
      <c r="P288" s="32"/>
      <c r="S288" s="32"/>
    </row>
    <row r="289">
      <c r="D289" s="29"/>
      <c r="F289" s="31"/>
      <c r="G289" s="30"/>
      <c r="H289" s="30"/>
      <c r="J289" s="29"/>
      <c r="L289" s="30"/>
      <c r="M289" s="30"/>
      <c r="O289" s="32"/>
      <c r="P289" s="32"/>
      <c r="S289" s="32"/>
    </row>
    <row r="290">
      <c r="D290" s="29"/>
      <c r="F290" s="31"/>
      <c r="G290" s="30"/>
      <c r="H290" s="30"/>
      <c r="J290" s="29"/>
      <c r="L290" s="30"/>
      <c r="M290" s="30"/>
      <c r="O290" s="32"/>
      <c r="P290" s="32"/>
      <c r="S290" s="32"/>
    </row>
    <row r="291">
      <c r="D291" s="29"/>
      <c r="F291" s="31"/>
      <c r="G291" s="30"/>
      <c r="H291" s="30"/>
      <c r="J291" s="29"/>
      <c r="L291" s="30"/>
      <c r="M291" s="30"/>
      <c r="O291" s="32"/>
      <c r="P291" s="32"/>
      <c r="S291" s="32"/>
    </row>
    <row r="292">
      <c r="D292" s="29"/>
      <c r="F292" s="31"/>
      <c r="G292" s="30"/>
      <c r="H292" s="30"/>
      <c r="J292" s="29"/>
      <c r="L292" s="30"/>
      <c r="M292" s="30"/>
      <c r="O292" s="32"/>
      <c r="P292" s="32"/>
      <c r="S292" s="32"/>
    </row>
    <row r="293">
      <c r="D293" s="29"/>
      <c r="F293" s="31"/>
      <c r="G293" s="30"/>
      <c r="H293" s="30"/>
      <c r="J293" s="29"/>
      <c r="L293" s="30"/>
      <c r="M293" s="30"/>
      <c r="O293" s="32"/>
      <c r="P293" s="32"/>
      <c r="S293" s="32"/>
    </row>
    <row r="294">
      <c r="D294" s="29"/>
      <c r="F294" s="31"/>
      <c r="G294" s="30"/>
      <c r="H294" s="30"/>
      <c r="J294" s="29"/>
      <c r="L294" s="30"/>
      <c r="M294" s="30"/>
      <c r="O294" s="32"/>
      <c r="P294" s="32"/>
      <c r="S294" s="32"/>
    </row>
    <row r="295">
      <c r="D295" s="29"/>
      <c r="F295" s="31"/>
      <c r="G295" s="30"/>
      <c r="H295" s="30"/>
      <c r="J295" s="29"/>
      <c r="L295" s="30"/>
      <c r="M295" s="30"/>
      <c r="O295" s="32"/>
      <c r="P295" s="32"/>
      <c r="S295" s="32"/>
    </row>
    <row r="296">
      <c r="D296" s="29"/>
      <c r="F296" s="31"/>
      <c r="G296" s="30"/>
      <c r="H296" s="30"/>
      <c r="J296" s="29"/>
      <c r="L296" s="30"/>
      <c r="M296" s="30"/>
      <c r="O296" s="32"/>
      <c r="P296" s="32"/>
      <c r="S296" s="32"/>
    </row>
    <row r="297">
      <c r="D297" s="29"/>
      <c r="F297" s="31"/>
      <c r="G297" s="30"/>
      <c r="H297" s="30"/>
      <c r="J297" s="29"/>
      <c r="L297" s="30"/>
      <c r="M297" s="30"/>
      <c r="O297" s="32"/>
      <c r="P297" s="32"/>
      <c r="S297" s="32"/>
    </row>
    <row r="298">
      <c r="D298" s="29"/>
      <c r="F298" s="31"/>
      <c r="G298" s="30"/>
      <c r="H298" s="30"/>
      <c r="J298" s="29"/>
      <c r="L298" s="30"/>
      <c r="M298" s="30"/>
      <c r="O298" s="32"/>
      <c r="P298" s="32"/>
      <c r="S298" s="32"/>
    </row>
    <row r="299">
      <c r="D299" s="29"/>
      <c r="F299" s="31"/>
      <c r="G299" s="30"/>
      <c r="H299" s="30"/>
      <c r="J299" s="29"/>
      <c r="L299" s="30"/>
      <c r="M299" s="30"/>
      <c r="O299" s="32"/>
      <c r="P299" s="32"/>
      <c r="S299" s="32"/>
    </row>
    <row r="300">
      <c r="D300" s="29"/>
      <c r="F300" s="31"/>
      <c r="G300" s="30"/>
      <c r="H300" s="30"/>
      <c r="J300" s="29"/>
      <c r="L300" s="30"/>
      <c r="M300" s="30"/>
      <c r="O300" s="32"/>
      <c r="P300" s="32"/>
      <c r="S300" s="32"/>
    </row>
    <row r="301">
      <c r="D301" s="29"/>
      <c r="F301" s="31"/>
      <c r="G301" s="30"/>
      <c r="H301" s="30"/>
      <c r="J301" s="29"/>
      <c r="L301" s="30"/>
      <c r="M301" s="30"/>
      <c r="O301" s="32"/>
      <c r="P301" s="32"/>
      <c r="S301" s="32"/>
    </row>
    <row r="302">
      <c r="D302" s="29"/>
      <c r="F302" s="31"/>
      <c r="G302" s="30"/>
      <c r="H302" s="30"/>
      <c r="J302" s="29"/>
      <c r="L302" s="30"/>
      <c r="M302" s="30"/>
      <c r="O302" s="32"/>
      <c r="P302" s="32"/>
      <c r="S302" s="32"/>
    </row>
    <row r="303">
      <c r="D303" s="29"/>
      <c r="F303" s="31"/>
      <c r="G303" s="30"/>
      <c r="H303" s="30"/>
      <c r="J303" s="29"/>
      <c r="L303" s="30"/>
      <c r="M303" s="30"/>
      <c r="O303" s="32"/>
      <c r="P303" s="32"/>
      <c r="S303" s="32"/>
    </row>
    <row r="304">
      <c r="D304" s="29"/>
      <c r="F304" s="31"/>
      <c r="G304" s="30"/>
      <c r="H304" s="30"/>
      <c r="J304" s="29"/>
      <c r="L304" s="30"/>
      <c r="M304" s="30"/>
      <c r="O304" s="32"/>
      <c r="P304" s="32"/>
      <c r="S304" s="32"/>
    </row>
    <row r="305">
      <c r="D305" s="29"/>
      <c r="F305" s="31"/>
      <c r="G305" s="30"/>
      <c r="H305" s="30"/>
      <c r="J305" s="29"/>
      <c r="L305" s="30"/>
      <c r="M305" s="30"/>
      <c r="O305" s="32"/>
      <c r="P305" s="32"/>
      <c r="S305" s="32"/>
    </row>
    <row r="306">
      <c r="D306" s="29"/>
      <c r="F306" s="31"/>
      <c r="G306" s="30"/>
      <c r="H306" s="30"/>
      <c r="J306" s="29"/>
      <c r="L306" s="30"/>
      <c r="M306" s="30"/>
      <c r="O306" s="32"/>
      <c r="P306" s="32"/>
      <c r="S306" s="32"/>
    </row>
    <row r="307">
      <c r="D307" s="29"/>
      <c r="F307" s="31"/>
      <c r="G307" s="30"/>
      <c r="H307" s="30"/>
      <c r="J307" s="29"/>
      <c r="L307" s="30"/>
      <c r="M307" s="30"/>
      <c r="O307" s="32"/>
      <c r="P307" s="32"/>
      <c r="S307" s="32"/>
    </row>
    <row r="308">
      <c r="D308" s="29"/>
      <c r="F308" s="31"/>
      <c r="G308" s="30"/>
      <c r="H308" s="30"/>
      <c r="J308" s="29"/>
      <c r="L308" s="30"/>
      <c r="M308" s="30"/>
      <c r="O308" s="32"/>
      <c r="P308" s="32"/>
      <c r="S308" s="32"/>
    </row>
    <row r="309">
      <c r="D309" s="29"/>
      <c r="F309" s="31"/>
      <c r="G309" s="30"/>
      <c r="H309" s="30"/>
      <c r="J309" s="29"/>
      <c r="L309" s="30"/>
      <c r="M309" s="30"/>
      <c r="O309" s="32"/>
      <c r="P309" s="32"/>
      <c r="S309" s="32"/>
    </row>
    <row r="310">
      <c r="D310" s="29"/>
      <c r="F310" s="31"/>
      <c r="G310" s="30"/>
      <c r="H310" s="30"/>
      <c r="J310" s="29"/>
      <c r="L310" s="30"/>
      <c r="M310" s="30"/>
      <c r="O310" s="32"/>
      <c r="P310" s="32"/>
      <c r="S310" s="32"/>
    </row>
    <row r="311">
      <c r="D311" s="29"/>
      <c r="F311" s="31"/>
      <c r="G311" s="30"/>
      <c r="H311" s="30"/>
      <c r="J311" s="29"/>
      <c r="L311" s="30"/>
      <c r="M311" s="30"/>
      <c r="O311" s="32"/>
      <c r="P311" s="32"/>
      <c r="S311" s="32"/>
    </row>
    <row r="312">
      <c r="D312" s="29"/>
      <c r="F312" s="31"/>
      <c r="G312" s="30"/>
      <c r="H312" s="30"/>
      <c r="J312" s="29"/>
      <c r="L312" s="30"/>
      <c r="M312" s="30"/>
      <c r="O312" s="32"/>
      <c r="P312" s="32"/>
      <c r="S312" s="32"/>
    </row>
    <row r="313">
      <c r="D313" s="29"/>
      <c r="F313" s="31"/>
      <c r="G313" s="30"/>
      <c r="H313" s="30"/>
      <c r="J313" s="29"/>
      <c r="L313" s="30"/>
      <c r="M313" s="30"/>
      <c r="O313" s="32"/>
      <c r="P313" s="32"/>
      <c r="S313" s="32"/>
    </row>
    <row r="314">
      <c r="D314" s="29"/>
      <c r="F314" s="31"/>
      <c r="G314" s="30"/>
      <c r="H314" s="30"/>
      <c r="J314" s="29"/>
      <c r="L314" s="30"/>
      <c r="M314" s="30"/>
      <c r="O314" s="32"/>
      <c r="P314" s="32"/>
      <c r="S314" s="32"/>
    </row>
    <row r="315">
      <c r="D315" s="29"/>
      <c r="F315" s="31"/>
      <c r="G315" s="30"/>
      <c r="H315" s="30"/>
      <c r="J315" s="29"/>
      <c r="L315" s="30"/>
      <c r="M315" s="30"/>
      <c r="O315" s="32"/>
      <c r="P315" s="32"/>
      <c r="S315" s="32"/>
    </row>
    <row r="316">
      <c r="D316" s="29"/>
      <c r="F316" s="31"/>
      <c r="G316" s="30"/>
      <c r="H316" s="30"/>
      <c r="J316" s="29"/>
      <c r="L316" s="30"/>
      <c r="M316" s="30"/>
      <c r="O316" s="32"/>
      <c r="P316" s="32"/>
      <c r="S316" s="32"/>
    </row>
    <row r="317">
      <c r="D317" s="29"/>
      <c r="F317" s="31"/>
      <c r="G317" s="30"/>
      <c r="H317" s="30"/>
      <c r="J317" s="29"/>
      <c r="L317" s="30"/>
      <c r="M317" s="30"/>
      <c r="O317" s="32"/>
      <c r="P317" s="32"/>
      <c r="S317" s="32"/>
    </row>
    <row r="318">
      <c r="D318" s="29"/>
      <c r="F318" s="31"/>
      <c r="G318" s="30"/>
      <c r="H318" s="30"/>
      <c r="J318" s="29"/>
      <c r="L318" s="30"/>
      <c r="M318" s="30"/>
      <c r="O318" s="32"/>
      <c r="P318" s="32"/>
      <c r="S318" s="32"/>
    </row>
    <row r="319">
      <c r="D319" s="29"/>
      <c r="F319" s="31"/>
      <c r="G319" s="30"/>
      <c r="H319" s="30"/>
      <c r="J319" s="29"/>
      <c r="L319" s="30"/>
      <c r="M319" s="30"/>
      <c r="O319" s="32"/>
      <c r="P319" s="32"/>
      <c r="S319" s="32"/>
    </row>
    <row r="320">
      <c r="D320" s="29"/>
      <c r="F320" s="31"/>
      <c r="G320" s="30"/>
      <c r="H320" s="30"/>
      <c r="J320" s="29"/>
      <c r="L320" s="30"/>
      <c r="M320" s="30"/>
      <c r="O320" s="32"/>
      <c r="P320" s="32"/>
      <c r="S320" s="32"/>
    </row>
    <row r="321">
      <c r="D321" s="29"/>
      <c r="F321" s="31"/>
      <c r="G321" s="30"/>
      <c r="H321" s="30"/>
      <c r="J321" s="29"/>
      <c r="L321" s="30"/>
      <c r="M321" s="30"/>
      <c r="O321" s="32"/>
      <c r="P321" s="32"/>
      <c r="S321" s="32"/>
    </row>
    <row r="322">
      <c r="D322" s="29"/>
      <c r="F322" s="31"/>
      <c r="G322" s="30"/>
      <c r="H322" s="30"/>
      <c r="J322" s="29"/>
      <c r="L322" s="30"/>
      <c r="M322" s="30"/>
      <c r="O322" s="32"/>
      <c r="P322" s="32"/>
      <c r="S322" s="32"/>
    </row>
    <row r="323">
      <c r="D323" s="29"/>
      <c r="F323" s="31"/>
      <c r="G323" s="30"/>
      <c r="H323" s="30"/>
      <c r="J323" s="29"/>
      <c r="L323" s="30"/>
      <c r="M323" s="30"/>
      <c r="O323" s="32"/>
      <c r="P323" s="32"/>
      <c r="S323" s="32"/>
    </row>
    <row r="324">
      <c r="D324" s="29"/>
      <c r="F324" s="31"/>
      <c r="G324" s="30"/>
      <c r="H324" s="30"/>
      <c r="J324" s="29"/>
      <c r="L324" s="30"/>
      <c r="M324" s="30"/>
      <c r="O324" s="32"/>
      <c r="P324" s="32"/>
      <c r="S324" s="32"/>
    </row>
    <row r="325">
      <c r="D325" s="29"/>
      <c r="F325" s="31"/>
      <c r="G325" s="30"/>
      <c r="H325" s="30"/>
      <c r="J325" s="29"/>
      <c r="L325" s="30"/>
      <c r="M325" s="30"/>
      <c r="O325" s="32"/>
      <c r="P325" s="32"/>
      <c r="S325" s="32"/>
    </row>
    <row r="326">
      <c r="D326" s="29"/>
      <c r="F326" s="31"/>
      <c r="G326" s="30"/>
      <c r="H326" s="30"/>
      <c r="J326" s="29"/>
      <c r="L326" s="30"/>
      <c r="M326" s="30"/>
      <c r="O326" s="32"/>
      <c r="P326" s="32"/>
      <c r="S326" s="32"/>
    </row>
    <row r="327">
      <c r="D327" s="29"/>
      <c r="F327" s="31"/>
      <c r="G327" s="30"/>
      <c r="H327" s="30"/>
      <c r="J327" s="29"/>
      <c r="L327" s="30"/>
      <c r="M327" s="30"/>
      <c r="O327" s="32"/>
      <c r="P327" s="32"/>
      <c r="S327" s="32"/>
    </row>
    <row r="328">
      <c r="D328" s="29"/>
      <c r="F328" s="31"/>
      <c r="G328" s="30"/>
      <c r="H328" s="30"/>
      <c r="J328" s="29"/>
      <c r="L328" s="30"/>
      <c r="M328" s="30"/>
      <c r="O328" s="32"/>
      <c r="P328" s="32"/>
      <c r="S328" s="32"/>
    </row>
    <row r="329">
      <c r="D329" s="29"/>
      <c r="F329" s="31"/>
      <c r="G329" s="30"/>
      <c r="H329" s="30"/>
      <c r="J329" s="29"/>
      <c r="L329" s="30"/>
      <c r="M329" s="30"/>
      <c r="O329" s="32"/>
      <c r="P329" s="32"/>
      <c r="S329" s="32"/>
    </row>
    <row r="330">
      <c r="D330" s="29"/>
      <c r="F330" s="31"/>
      <c r="G330" s="30"/>
      <c r="H330" s="30"/>
      <c r="J330" s="29"/>
      <c r="L330" s="30"/>
      <c r="M330" s="30"/>
      <c r="O330" s="32"/>
      <c r="P330" s="32"/>
      <c r="S330" s="32"/>
    </row>
    <row r="331">
      <c r="D331" s="29"/>
      <c r="F331" s="31"/>
      <c r="G331" s="30"/>
      <c r="H331" s="30"/>
      <c r="J331" s="29"/>
      <c r="L331" s="30"/>
      <c r="M331" s="30"/>
      <c r="O331" s="32"/>
      <c r="P331" s="32"/>
      <c r="S331" s="32"/>
    </row>
    <row r="332">
      <c r="D332" s="29"/>
      <c r="F332" s="31"/>
      <c r="G332" s="30"/>
      <c r="H332" s="30"/>
      <c r="J332" s="29"/>
      <c r="L332" s="30"/>
      <c r="M332" s="30"/>
      <c r="O332" s="32"/>
      <c r="P332" s="32"/>
      <c r="S332" s="32"/>
    </row>
    <row r="333">
      <c r="D333" s="29"/>
      <c r="F333" s="31"/>
      <c r="G333" s="30"/>
      <c r="H333" s="30"/>
      <c r="J333" s="29"/>
      <c r="L333" s="30"/>
      <c r="M333" s="30"/>
      <c r="O333" s="32"/>
      <c r="P333" s="32"/>
      <c r="S333" s="32"/>
    </row>
    <row r="334">
      <c r="D334" s="29"/>
      <c r="F334" s="31"/>
      <c r="G334" s="30"/>
      <c r="H334" s="30"/>
      <c r="J334" s="29"/>
      <c r="L334" s="30"/>
      <c r="M334" s="30"/>
      <c r="O334" s="32"/>
      <c r="P334" s="32"/>
      <c r="S334" s="32"/>
    </row>
    <row r="335">
      <c r="D335" s="29"/>
      <c r="F335" s="31"/>
      <c r="G335" s="30"/>
      <c r="H335" s="30"/>
      <c r="J335" s="29"/>
      <c r="L335" s="30"/>
      <c r="M335" s="30"/>
      <c r="O335" s="32"/>
      <c r="P335" s="32"/>
      <c r="S335" s="32"/>
    </row>
    <row r="336">
      <c r="D336" s="29"/>
      <c r="F336" s="31"/>
      <c r="G336" s="30"/>
      <c r="H336" s="30"/>
      <c r="J336" s="29"/>
      <c r="L336" s="30"/>
      <c r="M336" s="30"/>
      <c r="O336" s="32"/>
      <c r="P336" s="32"/>
      <c r="S336" s="32"/>
    </row>
    <row r="337">
      <c r="D337" s="29"/>
      <c r="F337" s="31"/>
      <c r="G337" s="30"/>
      <c r="H337" s="30"/>
      <c r="J337" s="29"/>
      <c r="L337" s="30"/>
      <c r="M337" s="30"/>
      <c r="O337" s="32"/>
      <c r="P337" s="32"/>
      <c r="S337" s="32"/>
    </row>
    <row r="338">
      <c r="D338" s="29"/>
      <c r="F338" s="31"/>
      <c r="G338" s="30"/>
      <c r="H338" s="30"/>
      <c r="J338" s="29"/>
      <c r="L338" s="30"/>
      <c r="M338" s="30"/>
      <c r="O338" s="32"/>
      <c r="P338" s="32"/>
      <c r="S338" s="32"/>
    </row>
    <row r="339">
      <c r="D339" s="29"/>
      <c r="F339" s="31"/>
      <c r="G339" s="30"/>
      <c r="H339" s="30"/>
      <c r="J339" s="29"/>
      <c r="L339" s="30"/>
      <c r="M339" s="30"/>
      <c r="O339" s="32"/>
      <c r="P339" s="32"/>
      <c r="S339" s="32"/>
    </row>
    <row r="340">
      <c r="D340" s="29"/>
      <c r="F340" s="31"/>
      <c r="G340" s="30"/>
      <c r="H340" s="30"/>
      <c r="J340" s="29"/>
      <c r="L340" s="30"/>
      <c r="M340" s="30"/>
      <c r="O340" s="32"/>
      <c r="P340" s="32"/>
      <c r="S340" s="32"/>
    </row>
    <row r="341">
      <c r="D341" s="29"/>
      <c r="F341" s="31"/>
      <c r="G341" s="30"/>
      <c r="H341" s="30"/>
      <c r="J341" s="29"/>
      <c r="L341" s="30"/>
      <c r="M341" s="30"/>
      <c r="O341" s="32"/>
      <c r="P341" s="32"/>
      <c r="S341" s="32"/>
    </row>
    <row r="342">
      <c r="D342" s="29"/>
      <c r="F342" s="31"/>
      <c r="G342" s="30"/>
      <c r="H342" s="30"/>
      <c r="J342" s="29"/>
      <c r="L342" s="30"/>
      <c r="M342" s="30"/>
      <c r="O342" s="32"/>
      <c r="P342" s="32"/>
      <c r="S342" s="32"/>
    </row>
    <row r="343">
      <c r="D343" s="29"/>
      <c r="F343" s="31"/>
      <c r="G343" s="30"/>
      <c r="H343" s="30"/>
      <c r="J343" s="29"/>
      <c r="L343" s="30"/>
      <c r="M343" s="30"/>
      <c r="O343" s="32"/>
      <c r="P343" s="32"/>
      <c r="S343" s="32"/>
    </row>
    <row r="344">
      <c r="D344" s="29"/>
      <c r="F344" s="31"/>
      <c r="G344" s="30"/>
      <c r="H344" s="30"/>
      <c r="J344" s="29"/>
      <c r="L344" s="30"/>
      <c r="M344" s="30"/>
      <c r="O344" s="32"/>
      <c r="P344" s="32"/>
      <c r="S344" s="32"/>
    </row>
    <row r="345">
      <c r="D345" s="29"/>
      <c r="F345" s="31"/>
      <c r="G345" s="30"/>
      <c r="H345" s="30"/>
      <c r="J345" s="29"/>
      <c r="L345" s="30"/>
      <c r="M345" s="30"/>
      <c r="O345" s="32"/>
      <c r="P345" s="32"/>
      <c r="S345" s="32"/>
    </row>
    <row r="346">
      <c r="D346" s="29"/>
      <c r="F346" s="31"/>
      <c r="G346" s="30"/>
      <c r="H346" s="30"/>
      <c r="J346" s="29"/>
      <c r="L346" s="30"/>
      <c r="M346" s="30"/>
      <c r="O346" s="32"/>
      <c r="P346" s="32"/>
      <c r="S346" s="32"/>
    </row>
    <row r="347">
      <c r="D347" s="29"/>
      <c r="F347" s="31"/>
      <c r="G347" s="30"/>
      <c r="H347" s="30"/>
      <c r="J347" s="29"/>
      <c r="L347" s="30"/>
      <c r="M347" s="30"/>
      <c r="O347" s="32"/>
      <c r="P347" s="32"/>
      <c r="S347" s="32"/>
    </row>
    <row r="348">
      <c r="D348" s="29"/>
      <c r="F348" s="31"/>
      <c r="G348" s="30"/>
      <c r="H348" s="30"/>
      <c r="J348" s="29"/>
      <c r="L348" s="30"/>
      <c r="M348" s="30"/>
      <c r="O348" s="32"/>
      <c r="P348" s="32"/>
      <c r="S348" s="32"/>
    </row>
    <row r="349">
      <c r="D349" s="29"/>
      <c r="F349" s="31"/>
      <c r="G349" s="30"/>
      <c r="H349" s="30"/>
      <c r="J349" s="29"/>
      <c r="L349" s="30"/>
      <c r="M349" s="30"/>
      <c r="O349" s="32"/>
      <c r="P349" s="32"/>
      <c r="S349" s="32"/>
    </row>
    <row r="350">
      <c r="D350" s="29"/>
      <c r="F350" s="31"/>
      <c r="G350" s="30"/>
      <c r="H350" s="30"/>
      <c r="J350" s="29"/>
      <c r="L350" s="30"/>
      <c r="M350" s="30"/>
      <c r="O350" s="32"/>
      <c r="P350" s="32"/>
      <c r="S350" s="32"/>
    </row>
    <row r="351">
      <c r="D351" s="29"/>
      <c r="F351" s="31"/>
      <c r="G351" s="30"/>
      <c r="H351" s="30"/>
      <c r="J351" s="29"/>
      <c r="L351" s="30"/>
      <c r="M351" s="30"/>
      <c r="O351" s="32"/>
      <c r="P351" s="32"/>
      <c r="S351" s="32"/>
    </row>
    <row r="352">
      <c r="D352" s="29"/>
      <c r="F352" s="31"/>
      <c r="G352" s="30"/>
      <c r="H352" s="30"/>
      <c r="J352" s="29"/>
      <c r="L352" s="30"/>
      <c r="M352" s="30"/>
      <c r="O352" s="32"/>
      <c r="P352" s="32"/>
      <c r="S352" s="32"/>
    </row>
    <row r="353">
      <c r="D353" s="29"/>
      <c r="F353" s="31"/>
      <c r="G353" s="30"/>
      <c r="H353" s="30"/>
      <c r="J353" s="29"/>
      <c r="L353" s="30"/>
      <c r="M353" s="30"/>
      <c r="O353" s="32"/>
      <c r="P353" s="32"/>
      <c r="S353" s="32"/>
    </row>
    <row r="354">
      <c r="D354" s="29"/>
      <c r="F354" s="31"/>
      <c r="G354" s="30"/>
      <c r="H354" s="30"/>
      <c r="J354" s="29"/>
      <c r="L354" s="30"/>
      <c r="M354" s="30"/>
      <c r="O354" s="32"/>
      <c r="P354" s="32"/>
      <c r="S354" s="32"/>
    </row>
    <row r="355">
      <c r="D355" s="29"/>
      <c r="F355" s="31"/>
      <c r="G355" s="30"/>
      <c r="H355" s="30"/>
      <c r="J355" s="29"/>
      <c r="L355" s="30"/>
      <c r="M355" s="30"/>
      <c r="O355" s="32"/>
      <c r="P355" s="32"/>
      <c r="S355" s="32"/>
    </row>
    <row r="356">
      <c r="D356" s="29"/>
      <c r="F356" s="31"/>
      <c r="G356" s="30"/>
      <c r="H356" s="30"/>
      <c r="J356" s="29"/>
      <c r="L356" s="30"/>
      <c r="M356" s="30"/>
      <c r="O356" s="32"/>
      <c r="P356" s="32"/>
      <c r="S356" s="32"/>
    </row>
    <row r="357">
      <c r="D357" s="29"/>
      <c r="F357" s="31"/>
      <c r="G357" s="30"/>
      <c r="H357" s="30"/>
      <c r="J357" s="29"/>
      <c r="L357" s="30"/>
      <c r="M357" s="30"/>
      <c r="O357" s="32"/>
      <c r="P357" s="32"/>
      <c r="S357" s="32"/>
    </row>
    <row r="358">
      <c r="D358" s="29"/>
      <c r="F358" s="31"/>
      <c r="G358" s="30"/>
      <c r="H358" s="30"/>
      <c r="J358" s="29"/>
      <c r="L358" s="30"/>
      <c r="M358" s="30"/>
      <c r="O358" s="32"/>
      <c r="P358" s="32"/>
      <c r="S358" s="32"/>
    </row>
    <row r="359">
      <c r="D359" s="29"/>
      <c r="F359" s="31"/>
      <c r="G359" s="30"/>
      <c r="H359" s="30"/>
      <c r="J359" s="29"/>
      <c r="L359" s="30"/>
      <c r="M359" s="30"/>
      <c r="O359" s="32"/>
      <c r="P359" s="32"/>
      <c r="S359" s="32"/>
    </row>
    <row r="360">
      <c r="D360" s="29"/>
      <c r="F360" s="31"/>
      <c r="G360" s="30"/>
      <c r="H360" s="30"/>
      <c r="J360" s="29"/>
      <c r="L360" s="30"/>
      <c r="M360" s="30"/>
      <c r="O360" s="32"/>
      <c r="P360" s="32"/>
      <c r="S360" s="32"/>
    </row>
    <row r="361">
      <c r="D361" s="29"/>
      <c r="F361" s="31"/>
      <c r="G361" s="30"/>
      <c r="H361" s="30"/>
      <c r="J361" s="29"/>
      <c r="L361" s="30"/>
      <c r="M361" s="30"/>
      <c r="O361" s="32"/>
      <c r="P361" s="32"/>
      <c r="S361" s="32"/>
    </row>
    <row r="362">
      <c r="D362" s="29"/>
      <c r="F362" s="31"/>
      <c r="G362" s="30"/>
      <c r="H362" s="30"/>
      <c r="J362" s="29"/>
      <c r="L362" s="30"/>
      <c r="M362" s="30"/>
      <c r="O362" s="32"/>
      <c r="P362" s="32"/>
      <c r="S362" s="32"/>
    </row>
    <row r="363">
      <c r="D363" s="29"/>
      <c r="F363" s="31"/>
      <c r="G363" s="30"/>
      <c r="H363" s="30"/>
      <c r="J363" s="29"/>
      <c r="L363" s="30"/>
      <c r="M363" s="30"/>
      <c r="O363" s="32"/>
      <c r="P363" s="32"/>
      <c r="S363" s="32"/>
    </row>
    <row r="364">
      <c r="D364" s="29"/>
      <c r="F364" s="31"/>
      <c r="G364" s="30"/>
      <c r="H364" s="30"/>
      <c r="J364" s="29"/>
      <c r="L364" s="30"/>
      <c r="M364" s="30"/>
      <c r="O364" s="32"/>
      <c r="P364" s="32"/>
      <c r="S364" s="32"/>
    </row>
    <row r="365">
      <c r="D365" s="29"/>
      <c r="F365" s="31"/>
      <c r="G365" s="30"/>
      <c r="H365" s="30"/>
      <c r="J365" s="29"/>
      <c r="L365" s="30"/>
      <c r="M365" s="30"/>
      <c r="O365" s="32"/>
      <c r="P365" s="32"/>
      <c r="S365" s="32"/>
    </row>
    <row r="366">
      <c r="D366" s="29"/>
      <c r="F366" s="31"/>
      <c r="G366" s="30"/>
      <c r="H366" s="30"/>
      <c r="J366" s="29"/>
      <c r="L366" s="30"/>
      <c r="M366" s="30"/>
      <c r="O366" s="32"/>
      <c r="P366" s="32"/>
      <c r="S366" s="32"/>
    </row>
    <row r="367">
      <c r="D367" s="29"/>
      <c r="F367" s="31"/>
      <c r="G367" s="30"/>
      <c r="H367" s="30"/>
      <c r="J367" s="29"/>
      <c r="L367" s="30"/>
      <c r="M367" s="30"/>
      <c r="O367" s="32"/>
      <c r="P367" s="32"/>
      <c r="S367" s="32"/>
    </row>
    <row r="368">
      <c r="D368" s="29"/>
      <c r="F368" s="31"/>
      <c r="G368" s="30"/>
      <c r="H368" s="30"/>
      <c r="J368" s="29"/>
      <c r="L368" s="30"/>
      <c r="M368" s="30"/>
      <c r="O368" s="32"/>
      <c r="P368" s="32"/>
      <c r="S368" s="32"/>
    </row>
    <row r="369">
      <c r="D369" s="29"/>
      <c r="F369" s="31"/>
      <c r="G369" s="30"/>
      <c r="H369" s="30"/>
      <c r="J369" s="29"/>
      <c r="L369" s="30"/>
      <c r="M369" s="30"/>
      <c r="O369" s="32"/>
      <c r="P369" s="32"/>
      <c r="S369" s="32"/>
    </row>
    <row r="370">
      <c r="D370" s="29"/>
      <c r="F370" s="31"/>
      <c r="G370" s="30"/>
      <c r="H370" s="30"/>
      <c r="J370" s="29"/>
      <c r="L370" s="30"/>
      <c r="M370" s="30"/>
      <c r="O370" s="32"/>
      <c r="P370" s="32"/>
      <c r="S370" s="32"/>
    </row>
    <row r="371">
      <c r="D371" s="29"/>
      <c r="F371" s="31"/>
      <c r="G371" s="30"/>
      <c r="H371" s="30"/>
      <c r="J371" s="29"/>
      <c r="L371" s="30"/>
      <c r="M371" s="30"/>
      <c r="O371" s="32"/>
      <c r="P371" s="32"/>
      <c r="S371" s="32"/>
    </row>
    <row r="372">
      <c r="D372" s="29"/>
      <c r="F372" s="31"/>
      <c r="G372" s="30"/>
      <c r="H372" s="30"/>
      <c r="J372" s="29"/>
      <c r="L372" s="30"/>
      <c r="M372" s="30"/>
      <c r="O372" s="32"/>
      <c r="P372" s="32"/>
      <c r="S372" s="32"/>
    </row>
    <row r="373">
      <c r="D373" s="29"/>
      <c r="F373" s="31"/>
      <c r="G373" s="30"/>
      <c r="H373" s="30"/>
      <c r="J373" s="29"/>
      <c r="L373" s="30"/>
      <c r="M373" s="30"/>
      <c r="O373" s="32"/>
      <c r="P373" s="32"/>
      <c r="S373" s="32"/>
    </row>
    <row r="374">
      <c r="D374" s="29"/>
      <c r="F374" s="31"/>
      <c r="G374" s="30"/>
      <c r="H374" s="30"/>
      <c r="J374" s="29"/>
      <c r="L374" s="30"/>
      <c r="M374" s="30"/>
      <c r="O374" s="32"/>
      <c r="P374" s="32"/>
      <c r="S374" s="32"/>
    </row>
    <row r="375">
      <c r="D375" s="29"/>
      <c r="F375" s="31"/>
      <c r="G375" s="30"/>
      <c r="H375" s="30"/>
      <c r="J375" s="29"/>
      <c r="L375" s="30"/>
      <c r="M375" s="30"/>
      <c r="O375" s="32"/>
      <c r="P375" s="32"/>
      <c r="S375" s="32"/>
    </row>
    <row r="376">
      <c r="D376" s="29"/>
      <c r="F376" s="31"/>
      <c r="G376" s="30"/>
      <c r="H376" s="30"/>
      <c r="J376" s="29"/>
      <c r="L376" s="30"/>
      <c r="M376" s="30"/>
      <c r="O376" s="32"/>
      <c r="P376" s="32"/>
      <c r="S376" s="32"/>
    </row>
    <row r="377">
      <c r="D377" s="29"/>
      <c r="F377" s="31"/>
      <c r="G377" s="30"/>
      <c r="H377" s="30"/>
      <c r="J377" s="29"/>
      <c r="L377" s="30"/>
      <c r="M377" s="30"/>
      <c r="O377" s="32"/>
      <c r="P377" s="32"/>
      <c r="S377" s="32"/>
    </row>
    <row r="378">
      <c r="D378" s="29"/>
      <c r="F378" s="31"/>
      <c r="G378" s="30"/>
      <c r="H378" s="30"/>
      <c r="J378" s="29"/>
      <c r="L378" s="30"/>
      <c r="M378" s="30"/>
      <c r="O378" s="32"/>
      <c r="P378" s="32"/>
      <c r="S378" s="32"/>
    </row>
    <row r="379">
      <c r="D379" s="29"/>
      <c r="F379" s="31"/>
      <c r="G379" s="30"/>
      <c r="H379" s="30"/>
      <c r="J379" s="29"/>
      <c r="L379" s="30"/>
      <c r="M379" s="30"/>
      <c r="O379" s="32"/>
      <c r="P379" s="32"/>
      <c r="S379" s="32"/>
    </row>
    <row r="380">
      <c r="D380" s="29"/>
      <c r="F380" s="31"/>
      <c r="G380" s="30"/>
      <c r="H380" s="30"/>
      <c r="J380" s="29"/>
      <c r="L380" s="30"/>
      <c r="M380" s="30"/>
      <c r="O380" s="32"/>
      <c r="P380" s="32"/>
      <c r="S380" s="32"/>
    </row>
    <row r="381">
      <c r="D381" s="29"/>
      <c r="F381" s="31"/>
      <c r="G381" s="30"/>
      <c r="H381" s="30"/>
      <c r="J381" s="29"/>
      <c r="L381" s="30"/>
      <c r="M381" s="30"/>
      <c r="O381" s="32"/>
      <c r="P381" s="32"/>
      <c r="S381" s="32"/>
    </row>
    <row r="382">
      <c r="D382" s="29"/>
      <c r="F382" s="31"/>
      <c r="G382" s="30"/>
      <c r="H382" s="30"/>
      <c r="J382" s="29"/>
      <c r="L382" s="30"/>
      <c r="M382" s="30"/>
      <c r="O382" s="32"/>
      <c r="P382" s="32"/>
      <c r="S382" s="32"/>
    </row>
    <row r="383">
      <c r="D383" s="29"/>
      <c r="F383" s="31"/>
      <c r="G383" s="30"/>
      <c r="H383" s="30"/>
      <c r="J383" s="29"/>
      <c r="L383" s="30"/>
      <c r="M383" s="30"/>
      <c r="O383" s="32"/>
      <c r="P383" s="32"/>
      <c r="S383" s="32"/>
    </row>
    <row r="384">
      <c r="D384" s="29"/>
      <c r="F384" s="31"/>
      <c r="G384" s="30"/>
      <c r="H384" s="30"/>
      <c r="J384" s="29"/>
      <c r="L384" s="30"/>
      <c r="M384" s="30"/>
      <c r="O384" s="32"/>
      <c r="P384" s="32"/>
      <c r="S384" s="32"/>
    </row>
    <row r="385">
      <c r="D385" s="29"/>
      <c r="F385" s="31"/>
      <c r="G385" s="30"/>
      <c r="H385" s="30"/>
      <c r="J385" s="29"/>
      <c r="L385" s="30"/>
      <c r="M385" s="30"/>
      <c r="O385" s="32"/>
      <c r="P385" s="32"/>
      <c r="S385" s="32"/>
    </row>
    <row r="386">
      <c r="D386" s="29"/>
      <c r="F386" s="31"/>
      <c r="G386" s="30"/>
      <c r="H386" s="30"/>
      <c r="J386" s="29"/>
      <c r="L386" s="30"/>
      <c r="M386" s="30"/>
      <c r="O386" s="32"/>
      <c r="P386" s="32"/>
      <c r="S386" s="32"/>
    </row>
    <row r="387">
      <c r="D387" s="29"/>
      <c r="F387" s="31"/>
      <c r="G387" s="30"/>
      <c r="H387" s="30"/>
      <c r="J387" s="29"/>
      <c r="L387" s="30"/>
      <c r="M387" s="30"/>
      <c r="O387" s="32"/>
      <c r="P387" s="32"/>
      <c r="S387" s="32"/>
    </row>
    <row r="388">
      <c r="D388" s="29"/>
      <c r="F388" s="31"/>
      <c r="G388" s="30"/>
      <c r="H388" s="30"/>
      <c r="J388" s="29"/>
      <c r="L388" s="30"/>
      <c r="M388" s="30"/>
      <c r="O388" s="32"/>
      <c r="P388" s="32"/>
      <c r="S388" s="32"/>
    </row>
    <row r="389">
      <c r="D389" s="29"/>
      <c r="F389" s="31"/>
      <c r="G389" s="30"/>
      <c r="H389" s="30"/>
      <c r="J389" s="29"/>
      <c r="L389" s="30"/>
      <c r="M389" s="30"/>
      <c r="O389" s="32"/>
      <c r="P389" s="32"/>
      <c r="S389" s="32"/>
    </row>
    <row r="390">
      <c r="D390" s="29"/>
      <c r="F390" s="31"/>
      <c r="G390" s="30"/>
      <c r="H390" s="30"/>
      <c r="J390" s="29"/>
      <c r="L390" s="30"/>
      <c r="M390" s="30"/>
      <c r="O390" s="32"/>
      <c r="P390" s="32"/>
      <c r="S390" s="32"/>
    </row>
    <row r="391">
      <c r="D391" s="29"/>
      <c r="F391" s="31"/>
      <c r="G391" s="30"/>
      <c r="H391" s="30"/>
      <c r="J391" s="29"/>
      <c r="L391" s="30"/>
      <c r="M391" s="30"/>
      <c r="O391" s="32"/>
      <c r="P391" s="32"/>
      <c r="S391" s="32"/>
    </row>
    <row r="392">
      <c r="D392" s="29"/>
      <c r="F392" s="31"/>
      <c r="G392" s="30"/>
      <c r="H392" s="30"/>
      <c r="J392" s="29"/>
      <c r="L392" s="30"/>
      <c r="M392" s="30"/>
      <c r="O392" s="32"/>
      <c r="P392" s="32"/>
      <c r="S392" s="32"/>
    </row>
    <row r="393">
      <c r="D393" s="29"/>
      <c r="F393" s="31"/>
      <c r="G393" s="30"/>
      <c r="H393" s="30"/>
      <c r="J393" s="29"/>
      <c r="L393" s="30"/>
      <c r="M393" s="30"/>
      <c r="O393" s="32"/>
      <c r="P393" s="32"/>
      <c r="S393" s="32"/>
    </row>
    <row r="394">
      <c r="D394" s="29"/>
      <c r="F394" s="31"/>
      <c r="G394" s="30"/>
      <c r="H394" s="30"/>
      <c r="J394" s="29"/>
      <c r="L394" s="30"/>
      <c r="M394" s="30"/>
      <c r="O394" s="32"/>
      <c r="P394" s="32"/>
      <c r="S394" s="32"/>
    </row>
    <row r="395">
      <c r="D395" s="29"/>
      <c r="F395" s="31"/>
      <c r="G395" s="30"/>
      <c r="H395" s="30"/>
      <c r="J395" s="29"/>
      <c r="L395" s="30"/>
      <c r="M395" s="30"/>
      <c r="O395" s="32"/>
      <c r="P395" s="32"/>
      <c r="S395" s="32"/>
    </row>
    <row r="396">
      <c r="D396" s="29"/>
      <c r="F396" s="31"/>
      <c r="G396" s="30"/>
      <c r="H396" s="30"/>
      <c r="J396" s="29"/>
      <c r="L396" s="30"/>
      <c r="M396" s="30"/>
      <c r="O396" s="32"/>
      <c r="P396" s="32"/>
      <c r="S396" s="32"/>
    </row>
    <row r="397">
      <c r="D397" s="29"/>
      <c r="F397" s="31"/>
      <c r="G397" s="30"/>
      <c r="H397" s="30"/>
      <c r="J397" s="29"/>
      <c r="L397" s="30"/>
      <c r="M397" s="30"/>
      <c r="O397" s="32"/>
      <c r="P397" s="32"/>
      <c r="S397" s="32"/>
    </row>
    <row r="398">
      <c r="D398" s="29"/>
      <c r="F398" s="31"/>
      <c r="G398" s="30"/>
      <c r="H398" s="30"/>
      <c r="J398" s="29"/>
      <c r="L398" s="30"/>
      <c r="M398" s="30"/>
      <c r="O398" s="32"/>
      <c r="P398" s="32"/>
      <c r="S398" s="32"/>
    </row>
    <row r="399">
      <c r="D399" s="29"/>
      <c r="F399" s="31"/>
      <c r="G399" s="30"/>
      <c r="H399" s="30"/>
      <c r="J399" s="29"/>
      <c r="L399" s="30"/>
      <c r="M399" s="30"/>
      <c r="O399" s="32"/>
      <c r="P399" s="32"/>
      <c r="S399" s="32"/>
    </row>
    <row r="400">
      <c r="D400" s="29"/>
      <c r="F400" s="31"/>
      <c r="G400" s="30"/>
      <c r="H400" s="30"/>
      <c r="J400" s="29"/>
      <c r="L400" s="30"/>
      <c r="M400" s="30"/>
      <c r="O400" s="32"/>
      <c r="P400" s="32"/>
      <c r="S400" s="32"/>
    </row>
    <row r="401">
      <c r="D401" s="29"/>
      <c r="F401" s="31"/>
      <c r="G401" s="30"/>
      <c r="H401" s="30"/>
      <c r="J401" s="29"/>
      <c r="L401" s="30"/>
      <c r="M401" s="30"/>
      <c r="O401" s="32"/>
      <c r="P401" s="32"/>
      <c r="S401" s="32"/>
    </row>
    <row r="402">
      <c r="D402" s="29"/>
      <c r="F402" s="31"/>
      <c r="G402" s="30"/>
      <c r="H402" s="30"/>
      <c r="J402" s="29"/>
      <c r="L402" s="30"/>
      <c r="M402" s="30"/>
      <c r="O402" s="32"/>
      <c r="P402" s="32"/>
      <c r="S402" s="32"/>
    </row>
    <row r="403">
      <c r="D403" s="29"/>
      <c r="F403" s="31"/>
      <c r="G403" s="30"/>
      <c r="H403" s="30"/>
      <c r="J403" s="29"/>
      <c r="L403" s="30"/>
      <c r="M403" s="30"/>
      <c r="O403" s="32"/>
      <c r="P403" s="32"/>
      <c r="S403" s="32"/>
    </row>
    <row r="404">
      <c r="D404" s="29"/>
      <c r="F404" s="31"/>
      <c r="G404" s="30"/>
      <c r="H404" s="30"/>
      <c r="J404" s="29"/>
      <c r="L404" s="30"/>
      <c r="M404" s="30"/>
      <c r="O404" s="32"/>
      <c r="P404" s="32"/>
      <c r="S404" s="32"/>
    </row>
    <row r="405">
      <c r="D405" s="29"/>
      <c r="F405" s="31"/>
      <c r="G405" s="30"/>
      <c r="H405" s="30"/>
      <c r="J405" s="29"/>
      <c r="L405" s="30"/>
      <c r="M405" s="30"/>
      <c r="O405" s="32"/>
      <c r="P405" s="32"/>
      <c r="S405" s="32"/>
    </row>
    <row r="406">
      <c r="D406" s="29"/>
      <c r="F406" s="31"/>
      <c r="G406" s="30"/>
      <c r="H406" s="30"/>
      <c r="J406" s="29"/>
      <c r="L406" s="30"/>
      <c r="M406" s="30"/>
      <c r="O406" s="32"/>
      <c r="P406" s="32"/>
      <c r="S406" s="32"/>
    </row>
    <row r="407">
      <c r="D407" s="29"/>
      <c r="F407" s="31"/>
      <c r="G407" s="30"/>
      <c r="H407" s="30"/>
      <c r="J407" s="29"/>
      <c r="L407" s="30"/>
      <c r="M407" s="30"/>
      <c r="O407" s="32"/>
      <c r="P407" s="32"/>
      <c r="S407" s="32"/>
    </row>
    <row r="408">
      <c r="D408" s="29"/>
      <c r="F408" s="31"/>
      <c r="G408" s="30"/>
      <c r="H408" s="30"/>
      <c r="J408" s="29"/>
      <c r="L408" s="30"/>
      <c r="M408" s="30"/>
      <c r="O408" s="32"/>
      <c r="P408" s="32"/>
      <c r="S408" s="32"/>
    </row>
    <row r="409">
      <c r="D409" s="29"/>
      <c r="F409" s="31"/>
      <c r="G409" s="30"/>
      <c r="H409" s="30"/>
      <c r="J409" s="29"/>
      <c r="L409" s="30"/>
      <c r="M409" s="30"/>
      <c r="O409" s="32"/>
      <c r="P409" s="32"/>
      <c r="S409" s="32"/>
    </row>
    <row r="410">
      <c r="D410" s="29"/>
      <c r="F410" s="31"/>
      <c r="G410" s="30"/>
      <c r="H410" s="30"/>
      <c r="J410" s="29"/>
      <c r="L410" s="30"/>
      <c r="M410" s="30"/>
      <c r="O410" s="32"/>
      <c r="P410" s="32"/>
      <c r="S410" s="32"/>
    </row>
    <row r="411">
      <c r="D411" s="29"/>
      <c r="F411" s="31"/>
      <c r="G411" s="30"/>
      <c r="H411" s="30"/>
      <c r="J411" s="29"/>
      <c r="L411" s="30"/>
      <c r="M411" s="30"/>
      <c r="O411" s="32"/>
      <c r="P411" s="32"/>
      <c r="S411" s="32"/>
    </row>
    <row r="412">
      <c r="D412" s="29"/>
      <c r="F412" s="31"/>
      <c r="G412" s="30"/>
      <c r="H412" s="30"/>
      <c r="J412" s="29"/>
      <c r="L412" s="30"/>
      <c r="M412" s="30"/>
      <c r="O412" s="32"/>
      <c r="P412" s="32"/>
      <c r="S412" s="32"/>
    </row>
    <row r="413">
      <c r="D413" s="29"/>
      <c r="F413" s="31"/>
      <c r="G413" s="30"/>
      <c r="H413" s="30"/>
      <c r="J413" s="29"/>
      <c r="L413" s="30"/>
      <c r="M413" s="30"/>
      <c r="O413" s="32"/>
      <c r="P413" s="32"/>
      <c r="S413" s="32"/>
    </row>
    <row r="414">
      <c r="D414" s="29"/>
      <c r="F414" s="31"/>
      <c r="G414" s="30"/>
      <c r="H414" s="30"/>
      <c r="J414" s="29"/>
      <c r="L414" s="30"/>
      <c r="M414" s="30"/>
      <c r="O414" s="32"/>
      <c r="P414" s="32"/>
      <c r="S414" s="32"/>
    </row>
    <row r="415">
      <c r="D415" s="29"/>
      <c r="F415" s="31"/>
      <c r="G415" s="30"/>
      <c r="H415" s="30"/>
      <c r="J415" s="29"/>
      <c r="L415" s="30"/>
      <c r="M415" s="30"/>
      <c r="O415" s="32"/>
      <c r="P415" s="32"/>
      <c r="S415" s="32"/>
    </row>
    <row r="416">
      <c r="D416" s="29"/>
      <c r="F416" s="31"/>
      <c r="G416" s="30"/>
      <c r="H416" s="30"/>
      <c r="J416" s="29"/>
      <c r="L416" s="30"/>
      <c r="M416" s="30"/>
      <c r="O416" s="32"/>
      <c r="P416" s="32"/>
      <c r="S416" s="32"/>
    </row>
    <row r="417">
      <c r="D417" s="29"/>
      <c r="F417" s="31"/>
      <c r="G417" s="30"/>
      <c r="H417" s="30"/>
      <c r="J417" s="29"/>
      <c r="L417" s="30"/>
      <c r="M417" s="30"/>
      <c r="O417" s="32"/>
      <c r="P417" s="32"/>
      <c r="S417" s="32"/>
    </row>
    <row r="418">
      <c r="D418" s="29"/>
      <c r="F418" s="31"/>
      <c r="G418" s="30"/>
      <c r="H418" s="30"/>
      <c r="J418" s="29"/>
      <c r="L418" s="30"/>
      <c r="M418" s="30"/>
      <c r="O418" s="32"/>
      <c r="P418" s="32"/>
      <c r="S418" s="32"/>
    </row>
    <row r="419">
      <c r="D419" s="29"/>
      <c r="F419" s="31"/>
      <c r="G419" s="30"/>
      <c r="H419" s="30"/>
      <c r="J419" s="29"/>
      <c r="L419" s="30"/>
      <c r="M419" s="30"/>
      <c r="O419" s="32"/>
      <c r="P419" s="32"/>
      <c r="S419" s="32"/>
    </row>
    <row r="420">
      <c r="D420" s="29"/>
      <c r="F420" s="31"/>
      <c r="G420" s="30"/>
      <c r="H420" s="30"/>
      <c r="J420" s="29"/>
      <c r="L420" s="30"/>
      <c r="M420" s="30"/>
      <c r="O420" s="32"/>
      <c r="P420" s="32"/>
      <c r="S420" s="32"/>
    </row>
    <row r="421">
      <c r="D421" s="29"/>
      <c r="F421" s="31"/>
      <c r="G421" s="30"/>
      <c r="H421" s="30"/>
      <c r="J421" s="29"/>
      <c r="L421" s="30"/>
      <c r="M421" s="30"/>
      <c r="O421" s="32"/>
      <c r="P421" s="32"/>
      <c r="S421" s="32"/>
    </row>
    <row r="422">
      <c r="D422" s="29"/>
      <c r="F422" s="31"/>
      <c r="G422" s="30"/>
      <c r="H422" s="30"/>
      <c r="J422" s="29"/>
      <c r="L422" s="30"/>
      <c r="M422" s="30"/>
      <c r="O422" s="32"/>
      <c r="P422" s="32"/>
      <c r="S422" s="32"/>
    </row>
    <row r="423">
      <c r="D423" s="29"/>
      <c r="F423" s="31"/>
      <c r="G423" s="30"/>
      <c r="H423" s="30"/>
      <c r="J423" s="29"/>
      <c r="L423" s="30"/>
      <c r="M423" s="30"/>
      <c r="O423" s="32"/>
      <c r="P423" s="32"/>
      <c r="S423" s="32"/>
    </row>
    <row r="424">
      <c r="D424" s="29"/>
      <c r="F424" s="31"/>
      <c r="G424" s="30"/>
      <c r="H424" s="30"/>
      <c r="J424" s="29"/>
      <c r="L424" s="30"/>
      <c r="M424" s="30"/>
      <c r="O424" s="32"/>
      <c r="P424" s="32"/>
      <c r="S424" s="32"/>
    </row>
    <row r="425">
      <c r="D425" s="29"/>
      <c r="F425" s="31"/>
      <c r="G425" s="30"/>
      <c r="H425" s="30"/>
      <c r="J425" s="29"/>
      <c r="L425" s="30"/>
      <c r="M425" s="30"/>
      <c r="O425" s="32"/>
      <c r="P425" s="32"/>
      <c r="S425" s="32"/>
    </row>
    <row r="426">
      <c r="D426" s="29"/>
      <c r="F426" s="31"/>
      <c r="G426" s="30"/>
      <c r="H426" s="30"/>
      <c r="J426" s="29"/>
      <c r="L426" s="30"/>
      <c r="M426" s="30"/>
      <c r="O426" s="32"/>
      <c r="P426" s="32"/>
      <c r="S426" s="32"/>
    </row>
    <row r="427">
      <c r="D427" s="29"/>
      <c r="F427" s="31"/>
      <c r="G427" s="30"/>
      <c r="H427" s="30"/>
      <c r="J427" s="29"/>
      <c r="L427" s="30"/>
      <c r="M427" s="30"/>
      <c r="O427" s="32"/>
      <c r="P427" s="32"/>
      <c r="S427" s="32"/>
    </row>
    <row r="428">
      <c r="D428" s="29"/>
      <c r="F428" s="31"/>
      <c r="G428" s="30"/>
      <c r="H428" s="30"/>
      <c r="J428" s="29"/>
      <c r="L428" s="30"/>
      <c r="M428" s="30"/>
      <c r="O428" s="32"/>
      <c r="P428" s="32"/>
      <c r="S428" s="32"/>
    </row>
    <row r="429">
      <c r="D429" s="29"/>
      <c r="F429" s="31"/>
      <c r="G429" s="30"/>
      <c r="H429" s="30"/>
      <c r="J429" s="29"/>
      <c r="L429" s="30"/>
      <c r="M429" s="30"/>
      <c r="O429" s="32"/>
      <c r="P429" s="32"/>
      <c r="S429" s="32"/>
    </row>
    <row r="430">
      <c r="D430" s="29"/>
      <c r="F430" s="31"/>
      <c r="G430" s="30"/>
      <c r="H430" s="30"/>
      <c r="J430" s="29"/>
      <c r="L430" s="30"/>
      <c r="M430" s="30"/>
      <c r="O430" s="32"/>
      <c r="P430" s="32"/>
      <c r="S430" s="32"/>
    </row>
    <row r="431">
      <c r="D431" s="29"/>
      <c r="F431" s="31"/>
      <c r="G431" s="30"/>
      <c r="H431" s="30"/>
      <c r="J431" s="29"/>
      <c r="L431" s="30"/>
      <c r="M431" s="30"/>
      <c r="O431" s="32"/>
      <c r="P431" s="32"/>
      <c r="S431" s="32"/>
    </row>
    <row r="432">
      <c r="D432" s="29"/>
      <c r="F432" s="31"/>
      <c r="G432" s="30"/>
      <c r="H432" s="30"/>
      <c r="J432" s="29"/>
      <c r="L432" s="30"/>
      <c r="M432" s="30"/>
      <c r="O432" s="32"/>
      <c r="P432" s="32"/>
      <c r="S432" s="32"/>
    </row>
    <row r="433">
      <c r="D433" s="29"/>
      <c r="F433" s="31"/>
      <c r="G433" s="30"/>
      <c r="H433" s="30"/>
      <c r="J433" s="29"/>
      <c r="L433" s="30"/>
      <c r="M433" s="30"/>
      <c r="O433" s="32"/>
      <c r="P433" s="32"/>
      <c r="S433" s="32"/>
    </row>
    <row r="434">
      <c r="D434" s="29"/>
      <c r="F434" s="31"/>
      <c r="G434" s="30"/>
      <c r="H434" s="30"/>
      <c r="J434" s="29"/>
      <c r="L434" s="30"/>
      <c r="M434" s="30"/>
      <c r="O434" s="32"/>
      <c r="P434" s="32"/>
      <c r="S434" s="32"/>
    </row>
    <row r="435">
      <c r="D435" s="29"/>
      <c r="F435" s="31"/>
      <c r="G435" s="30"/>
      <c r="H435" s="30"/>
      <c r="J435" s="29"/>
      <c r="L435" s="30"/>
      <c r="M435" s="30"/>
      <c r="O435" s="32"/>
      <c r="P435" s="32"/>
      <c r="S435" s="32"/>
    </row>
    <row r="436">
      <c r="D436" s="29"/>
      <c r="F436" s="31"/>
      <c r="G436" s="30"/>
      <c r="H436" s="30"/>
      <c r="J436" s="29"/>
      <c r="L436" s="30"/>
      <c r="M436" s="30"/>
      <c r="O436" s="32"/>
      <c r="P436" s="32"/>
      <c r="S436" s="32"/>
    </row>
    <row r="437">
      <c r="D437" s="29"/>
      <c r="F437" s="31"/>
      <c r="G437" s="30"/>
      <c r="H437" s="30"/>
      <c r="J437" s="29"/>
      <c r="L437" s="30"/>
      <c r="M437" s="30"/>
      <c r="O437" s="32"/>
      <c r="P437" s="32"/>
      <c r="S437" s="32"/>
    </row>
    <row r="438">
      <c r="D438" s="29"/>
      <c r="F438" s="31"/>
      <c r="G438" s="30"/>
      <c r="H438" s="30"/>
      <c r="J438" s="29"/>
      <c r="L438" s="30"/>
      <c r="M438" s="30"/>
      <c r="O438" s="32"/>
      <c r="P438" s="32"/>
      <c r="S438" s="32"/>
    </row>
    <row r="439">
      <c r="D439" s="29"/>
      <c r="F439" s="31"/>
      <c r="G439" s="30"/>
      <c r="H439" s="30"/>
      <c r="J439" s="29"/>
      <c r="L439" s="30"/>
      <c r="M439" s="30"/>
      <c r="O439" s="32"/>
      <c r="P439" s="32"/>
      <c r="S439" s="32"/>
    </row>
    <row r="440">
      <c r="D440" s="29"/>
      <c r="F440" s="31"/>
      <c r="G440" s="30"/>
      <c r="H440" s="30"/>
      <c r="J440" s="29"/>
      <c r="L440" s="30"/>
      <c r="M440" s="30"/>
      <c r="O440" s="32"/>
      <c r="P440" s="32"/>
      <c r="S440" s="32"/>
    </row>
    <row r="441">
      <c r="D441" s="29"/>
      <c r="F441" s="31"/>
      <c r="G441" s="30"/>
      <c r="H441" s="30"/>
      <c r="J441" s="29"/>
      <c r="L441" s="30"/>
      <c r="M441" s="30"/>
      <c r="O441" s="32"/>
      <c r="P441" s="32"/>
      <c r="S441" s="32"/>
    </row>
    <row r="442">
      <c r="D442" s="29"/>
      <c r="F442" s="31"/>
      <c r="G442" s="30"/>
      <c r="H442" s="30"/>
      <c r="J442" s="29"/>
      <c r="L442" s="30"/>
      <c r="M442" s="30"/>
      <c r="O442" s="32"/>
      <c r="P442" s="32"/>
      <c r="S442" s="32"/>
    </row>
    <row r="443">
      <c r="D443" s="29"/>
      <c r="F443" s="31"/>
      <c r="G443" s="30"/>
      <c r="H443" s="30"/>
      <c r="J443" s="29"/>
      <c r="L443" s="30"/>
      <c r="M443" s="30"/>
      <c r="O443" s="32"/>
      <c r="P443" s="32"/>
      <c r="S443" s="32"/>
    </row>
    <row r="444">
      <c r="D444" s="29"/>
      <c r="F444" s="31"/>
      <c r="G444" s="30"/>
      <c r="H444" s="30"/>
      <c r="J444" s="29"/>
      <c r="L444" s="30"/>
      <c r="M444" s="30"/>
      <c r="O444" s="32"/>
      <c r="P444" s="32"/>
      <c r="S444" s="32"/>
    </row>
    <row r="445">
      <c r="D445" s="29"/>
      <c r="F445" s="31"/>
      <c r="G445" s="30"/>
      <c r="H445" s="30"/>
      <c r="J445" s="29"/>
      <c r="L445" s="30"/>
      <c r="M445" s="30"/>
      <c r="O445" s="32"/>
      <c r="P445" s="32"/>
      <c r="S445" s="32"/>
    </row>
    <row r="446">
      <c r="D446" s="29"/>
      <c r="F446" s="31"/>
      <c r="G446" s="30"/>
      <c r="H446" s="30"/>
      <c r="J446" s="29"/>
      <c r="L446" s="30"/>
      <c r="M446" s="30"/>
      <c r="O446" s="32"/>
      <c r="P446" s="32"/>
      <c r="S446" s="32"/>
    </row>
    <row r="447">
      <c r="D447" s="29"/>
      <c r="F447" s="31"/>
      <c r="G447" s="30"/>
      <c r="H447" s="30"/>
      <c r="J447" s="29"/>
      <c r="L447" s="30"/>
      <c r="M447" s="30"/>
      <c r="O447" s="32"/>
      <c r="P447" s="32"/>
      <c r="S447" s="32"/>
    </row>
    <row r="448">
      <c r="D448" s="29"/>
      <c r="F448" s="31"/>
      <c r="G448" s="30"/>
      <c r="H448" s="30"/>
      <c r="J448" s="29"/>
      <c r="L448" s="30"/>
      <c r="M448" s="30"/>
      <c r="O448" s="32"/>
      <c r="P448" s="32"/>
      <c r="S448" s="32"/>
    </row>
    <row r="449">
      <c r="D449" s="29"/>
      <c r="F449" s="31"/>
      <c r="G449" s="30"/>
      <c r="H449" s="30"/>
      <c r="J449" s="29"/>
      <c r="L449" s="30"/>
      <c r="M449" s="30"/>
      <c r="O449" s="32"/>
      <c r="P449" s="32"/>
      <c r="S449" s="32"/>
    </row>
    <row r="450">
      <c r="D450" s="29"/>
      <c r="F450" s="31"/>
      <c r="G450" s="30"/>
      <c r="H450" s="30"/>
      <c r="J450" s="29"/>
      <c r="L450" s="30"/>
      <c r="M450" s="30"/>
      <c r="O450" s="32"/>
      <c r="P450" s="32"/>
      <c r="S450" s="32"/>
    </row>
    <row r="451">
      <c r="D451" s="29"/>
      <c r="F451" s="31"/>
      <c r="G451" s="30"/>
      <c r="H451" s="30"/>
      <c r="J451" s="29"/>
      <c r="L451" s="30"/>
      <c r="M451" s="30"/>
      <c r="O451" s="32"/>
      <c r="P451" s="32"/>
      <c r="S451" s="32"/>
    </row>
    <row r="452">
      <c r="D452" s="29"/>
      <c r="F452" s="31"/>
      <c r="G452" s="30"/>
      <c r="H452" s="30"/>
      <c r="J452" s="29"/>
      <c r="L452" s="30"/>
      <c r="M452" s="30"/>
      <c r="O452" s="32"/>
      <c r="P452" s="32"/>
      <c r="S452" s="32"/>
    </row>
    <row r="453">
      <c r="D453" s="29"/>
      <c r="F453" s="31"/>
      <c r="G453" s="30"/>
      <c r="H453" s="30"/>
      <c r="J453" s="29"/>
      <c r="L453" s="30"/>
      <c r="M453" s="30"/>
      <c r="O453" s="32"/>
      <c r="P453" s="32"/>
      <c r="S453" s="32"/>
    </row>
    <row r="454">
      <c r="D454" s="29"/>
      <c r="F454" s="31"/>
      <c r="G454" s="30"/>
      <c r="H454" s="30"/>
      <c r="J454" s="29"/>
      <c r="L454" s="30"/>
      <c r="M454" s="30"/>
      <c r="O454" s="32"/>
      <c r="P454" s="32"/>
      <c r="S454" s="32"/>
    </row>
    <row r="455">
      <c r="D455" s="29"/>
      <c r="F455" s="31"/>
      <c r="G455" s="30"/>
      <c r="H455" s="30"/>
      <c r="J455" s="29"/>
      <c r="L455" s="30"/>
      <c r="M455" s="30"/>
      <c r="O455" s="32"/>
      <c r="P455" s="32"/>
      <c r="S455" s="32"/>
    </row>
    <row r="456">
      <c r="D456" s="29"/>
      <c r="F456" s="31"/>
      <c r="G456" s="30"/>
      <c r="H456" s="30"/>
      <c r="J456" s="29"/>
      <c r="L456" s="30"/>
      <c r="M456" s="30"/>
      <c r="O456" s="32"/>
      <c r="P456" s="32"/>
      <c r="S456" s="32"/>
    </row>
    <row r="457">
      <c r="D457" s="29"/>
      <c r="F457" s="31"/>
      <c r="G457" s="30"/>
      <c r="H457" s="30"/>
      <c r="J457" s="29"/>
      <c r="L457" s="30"/>
      <c r="M457" s="30"/>
      <c r="O457" s="32"/>
      <c r="P457" s="32"/>
      <c r="S457" s="32"/>
    </row>
    <row r="458">
      <c r="D458" s="29"/>
      <c r="F458" s="31"/>
      <c r="G458" s="30"/>
      <c r="H458" s="30"/>
      <c r="J458" s="29"/>
      <c r="L458" s="30"/>
      <c r="M458" s="30"/>
      <c r="O458" s="32"/>
      <c r="P458" s="32"/>
      <c r="S458" s="32"/>
    </row>
    <row r="459">
      <c r="D459" s="29"/>
      <c r="F459" s="31"/>
      <c r="G459" s="30"/>
      <c r="H459" s="30"/>
      <c r="J459" s="29"/>
      <c r="L459" s="30"/>
      <c r="M459" s="30"/>
      <c r="O459" s="32"/>
      <c r="P459" s="32"/>
      <c r="S459" s="32"/>
    </row>
    <row r="460">
      <c r="D460" s="29"/>
      <c r="F460" s="31"/>
      <c r="G460" s="30"/>
      <c r="H460" s="30"/>
      <c r="J460" s="29"/>
      <c r="L460" s="30"/>
      <c r="M460" s="30"/>
      <c r="O460" s="32"/>
      <c r="P460" s="32"/>
      <c r="S460" s="32"/>
    </row>
    <row r="461">
      <c r="D461" s="29"/>
      <c r="F461" s="31"/>
      <c r="G461" s="30"/>
      <c r="H461" s="30"/>
      <c r="J461" s="29"/>
      <c r="L461" s="30"/>
      <c r="M461" s="30"/>
      <c r="O461" s="32"/>
      <c r="P461" s="32"/>
      <c r="S461" s="32"/>
    </row>
    <row r="462">
      <c r="D462" s="29"/>
      <c r="F462" s="31"/>
      <c r="G462" s="30"/>
      <c r="H462" s="30"/>
      <c r="J462" s="29"/>
      <c r="L462" s="30"/>
      <c r="M462" s="30"/>
      <c r="O462" s="32"/>
      <c r="P462" s="32"/>
      <c r="S462" s="32"/>
    </row>
    <row r="463">
      <c r="D463" s="29"/>
      <c r="F463" s="31"/>
      <c r="G463" s="30"/>
      <c r="H463" s="30"/>
      <c r="J463" s="29"/>
      <c r="L463" s="30"/>
      <c r="M463" s="30"/>
      <c r="O463" s="32"/>
      <c r="P463" s="32"/>
      <c r="S463" s="32"/>
    </row>
    <row r="464">
      <c r="D464" s="29"/>
      <c r="F464" s="31"/>
      <c r="G464" s="30"/>
      <c r="H464" s="30"/>
      <c r="J464" s="29"/>
      <c r="L464" s="30"/>
      <c r="M464" s="30"/>
      <c r="O464" s="32"/>
      <c r="P464" s="32"/>
      <c r="S464" s="32"/>
    </row>
    <row r="465">
      <c r="D465" s="29"/>
      <c r="F465" s="31"/>
      <c r="G465" s="30"/>
      <c r="H465" s="30"/>
      <c r="J465" s="29"/>
      <c r="L465" s="30"/>
      <c r="M465" s="30"/>
      <c r="O465" s="32"/>
      <c r="P465" s="32"/>
      <c r="S465" s="32"/>
    </row>
    <row r="466">
      <c r="D466" s="29"/>
      <c r="F466" s="31"/>
      <c r="G466" s="30"/>
      <c r="H466" s="30"/>
      <c r="J466" s="29"/>
      <c r="L466" s="30"/>
      <c r="M466" s="30"/>
      <c r="O466" s="32"/>
      <c r="P466" s="32"/>
      <c r="S466" s="32"/>
    </row>
    <row r="467">
      <c r="D467" s="29"/>
      <c r="F467" s="31"/>
      <c r="G467" s="30"/>
      <c r="H467" s="30"/>
      <c r="J467" s="29"/>
      <c r="L467" s="30"/>
      <c r="M467" s="30"/>
      <c r="O467" s="32"/>
      <c r="P467" s="32"/>
      <c r="S467" s="32"/>
    </row>
    <row r="468">
      <c r="D468" s="29"/>
      <c r="F468" s="31"/>
      <c r="G468" s="30"/>
      <c r="H468" s="30"/>
      <c r="J468" s="29"/>
      <c r="L468" s="30"/>
      <c r="M468" s="30"/>
      <c r="O468" s="32"/>
      <c r="P468" s="32"/>
      <c r="S468" s="32"/>
    </row>
    <row r="469">
      <c r="D469" s="29"/>
      <c r="F469" s="31"/>
      <c r="G469" s="30"/>
      <c r="H469" s="30"/>
      <c r="J469" s="29"/>
      <c r="L469" s="30"/>
      <c r="M469" s="30"/>
      <c r="O469" s="32"/>
      <c r="P469" s="32"/>
      <c r="S469" s="32"/>
    </row>
    <row r="470">
      <c r="D470" s="29"/>
      <c r="F470" s="31"/>
      <c r="G470" s="30"/>
      <c r="H470" s="30"/>
      <c r="J470" s="29"/>
      <c r="L470" s="30"/>
      <c r="M470" s="30"/>
      <c r="O470" s="32"/>
      <c r="P470" s="32"/>
      <c r="S470" s="32"/>
    </row>
    <row r="471">
      <c r="D471" s="29"/>
      <c r="F471" s="31"/>
      <c r="G471" s="30"/>
      <c r="H471" s="30"/>
      <c r="J471" s="29"/>
      <c r="L471" s="30"/>
      <c r="M471" s="30"/>
      <c r="O471" s="32"/>
      <c r="P471" s="32"/>
      <c r="S471" s="32"/>
    </row>
    <row r="472">
      <c r="D472" s="29"/>
      <c r="F472" s="31"/>
      <c r="G472" s="30"/>
      <c r="H472" s="30"/>
      <c r="J472" s="29"/>
      <c r="L472" s="30"/>
      <c r="M472" s="30"/>
      <c r="O472" s="32"/>
      <c r="P472" s="32"/>
      <c r="S472" s="32"/>
    </row>
    <row r="473">
      <c r="D473" s="29"/>
      <c r="F473" s="31"/>
      <c r="G473" s="30"/>
      <c r="H473" s="30"/>
      <c r="J473" s="29"/>
      <c r="L473" s="30"/>
      <c r="M473" s="30"/>
      <c r="O473" s="32"/>
      <c r="P473" s="32"/>
      <c r="S473" s="32"/>
    </row>
    <row r="474">
      <c r="D474" s="29"/>
      <c r="F474" s="31"/>
      <c r="G474" s="30"/>
      <c r="H474" s="30"/>
      <c r="J474" s="29"/>
      <c r="L474" s="30"/>
      <c r="M474" s="30"/>
      <c r="O474" s="32"/>
      <c r="P474" s="32"/>
      <c r="S474" s="32"/>
    </row>
    <row r="475">
      <c r="D475" s="29"/>
      <c r="F475" s="31"/>
      <c r="G475" s="30"/>
      <c r="H475" s="30"/>
      <c r="J475" s="29"/>
      <c r="L475" s="30"/>
      <c r="M475" s="30"/>
      <c r="O475" s="32"/>
      <c r="P475" s="32"/>
      <c r="S475" s="32"/>
    </row>
    <row r="476">
      <c r="D476" s="29"/>
      <c r="F476" s="31"/>
      <c r="G476" s="30"/>
      <c r="H476" s="30"/>
      <c r="J476" s="29"/>
      <c r="L476" s="30"/>
      <c r="M476" s="30"/>
      <c r="O476" s="32"/>
      <c r="P476" s="32"/>
      <c r="S476" s="32"/>
    </row>
    <row r="477">
      <c r="D477" s="29"/>
      <c r="F477" s="31"/>
      <c r="G477" s="30"/>
      <c r="H477" s="30"/>
      <c r="J477" s="29"/>
      <c r="L477" s="30"/>
      <c r="M477" s="30"/>
      <c r="O477" s="32"/>
      <c r="P477" s="32"/>
      <c r="S477" s="32"/>
    </row>
    <row r="478">
      <c r="D478" s="29"/>
      <c r="F478" s="31"/>
      <c r="G478" s="30"/>
      <c r="H478" s="30"/>
      <c r="J478" s="29"/>
      <c r="L478" s="30"/>
      <c r="M478" s="30"/>
      <c r="O478" s="32"/>
      <c r="P478" s="32"/>
      <c r="S478" s="32"/>
    </row>
    <row r="479">
      <c r="D479" s="29"/>
      <c r="F479" s="31"/>
      <c r="G479" s="30"/>
      <c r="H479" s="30"/>
      <c r="J479" s="29"/>
      <c r="L479" s="30"/>
      <c r="M479" s="30"/>
      <c r="O479" s="32"/>
      <c r="P479" s="32"/>
      <c r="S479" s="32"/>
    </row>
    <row r="480">
      <c r="D480" s="29"/>
      <c r="F480" s="31"/>
      <c r="G480" s="30"/>
      <c r="H480" s="30"/>
      <c r="J480" s="29"/>
      <c r="L480" s="30"/>
      <c r="M480" s="30"/>
      <c r="O480" s="32"/>
      <c r="P480" s="32"/>
      <c r="S480" s="32"/>
    </row>
    <row r="481">
      <c r="D481" s="29"/>
      <c r="F481" s="31"/>
      <c r="G481" s="30"/>
      <c r="H481" s="30"/>
      <c r="J481" s="29"/>
      <c r="L481" s="30"/>
      <c r="M481" s="30"/>
      <c r="O481" s="32"/>
      <c r="P481" s="32"/>
      <c r="S481" s="32"/>
    </row>
    <row r="482">
      <c r="D482" s="29"/>
      <c r="F482" s="31"/>
      <c r="G482" s="30"/>
      <c r="H482" s="30"/>
      <c r="J482" s="29"/>
      <c r="L482" s="30"/>
      <c r="M482" s="30"/>
      <c r="O482" s="32"/>
      <c r="P482" s="32"/>
      <c r="S482" s="32"/>
    </row>
    <row r="483">
      <c r="D483" s="29"/>
      <c r="F483" s="31"/>
      <c r="G483" s="30"/>
      <c r="H483" s="30"/>
      <c r="J483" s="29"/>
      <c r="L483" s="30"/>
      <c r="M483" s="30"/>
      <c r="O483" s="32"/>
      <c r="P483" s="32"/>
      <c r="S483" s="32"/>
    </row>
    <row r="484">
      <c r="D484" s="29"/>
      <c r="F484" s="31"/>
      <c r="G484" s="30"/>
      <c r="H484" s="30"/>
      <c r="J484" s="29"/>
      <c r="L484" s="30"/>
      <c r="M484" s="30"/>
      <c r="O484" s="32"/>
      <c r="P484" s="32"/>
      <c r="S484" s="32"/>
    </row>
    <row r="485">
      <c r="D485" s="29"/>
      <c r="F485" s="31"/>
      <c r="G485" s="30"/>
      <c r="H485" s="30"/>
      <c r="J485" s="29"/>
      <c r="L485" s="30"/>
      <c r="M485" s="30"/>
      <c r="O485" s="32"/>
      <c r="P485" s="32"/>
      <c r="S485" s="32"/>
    </row>
    <row r="486">
      <c r="D486" s="29"/>
      <c r="F486" s="31"/>
      <c r="G486" s="30"/>
      <c r="H486" s="30"/>
      <c r="J486" s="29"/>
      <c r="L486" s="30"/>
      <c r="M486" s="30"/>
      <c r="O486" s="32"/>
      <c r="P486" s="32"/>
      <c r="S486" s="32"/>
    </row>
    <row r="487">
      <c r="D487" s="29"/>
      <c r="F487" s="31"/>
      <c r="G487" s="30"/>
      <c r="H487" s="30"/>
      <c r="J487" s="29"/>
      <c r="L487" s="30"/>
      <c r="M487" s="30"/>
      <c r="O487" s="32"/>
      <c r="P487" s="32"/>
      <c r="S487" s="32"/>
    </row>
    <row r="488">
      <c r="D488" s="29"/>
      <c r="F488" s="31"/>
      <c r="G488" s="30"/>
      <c r="H488" s="30"/>
      <c r="J488" s="29"/>
      <c r="L488" s="30"/>
      <c r="M488" s="30"/>
      <c r="O488" s="32"/>
      <c r="P488" s="32"/>
      <c r="S488" s="32"/>
    </row>
    <row r="489">
      <c r="D489" s="29"/>
      <c r="F489" s="31"/>
      <c r="G489" s="30"/>
      <c r="H489" s="30"/>
      <c r="J489" s="29"/>
      <c r="L489" s="30"/>
      <c r="M489" s="30"/>
      <c r="O489" s="32"/>
      <c r="P489" s="32"/>
      <c r="S489" s="32"/>
    </row>
    <row r="490">
      <c r="D490" s="29"/>
      <c r="F490" s="31"/>
      <c r="G490" s="30"/>
      <c r="H490" s="30"/>
      <c r="J490" s="29"/>
      <c r="L490" s="30"/>
      <c r="M490" s="30"/>
      <c r="O490" s="32"/>
      <c r="P490" s="32"/>
      <c r="S490" s="32"/>
    </row>
    <row r="491">
      <c r="D491" s="29"/>
      <c r="F491" s="31"/>
      <c r="G491" s="30"/>
      <c r="H491" s="30"/>
      <c r="J491" s="29"/>
      <c r="L491" s="30"/>
      <c r="M491" s="30"/>
      <c r="O491" s="32"/>
      <c r="P491" s="32"/>
      <c r="S491" s="32"/>
    </row>
    <row r="492">
      <c r="D492" s="29"/>
      <c r="F492" s="31"/>
      <c r="G492" s="30"/>
      <c r="H492" s="30"/>
      <c r="J492" s="29"/>
      <c r="L492" s="30"/>
      <c r="M492" s="30"/>
      <c r="O492" s="32"/>
      <c r="P492" s="32"/>
      <c r="S492" s="32"/>
    </row>
    <row r="493">
      <c r="D493" s="29"/>
      <c r="F493" s="31"/>
      <c r="G493" s="30"/>
      <c r="H493" s="30"/>
      <c r="J493" s="29"/>
      <c r="L493" s="30"/>
      <c r="M493" s="30"/>
      <c r="O493" s="32"/>
      <c r="P493" s="32"/>
      <c r="S493" s="32"/>
    </row>
    <row r="494">
      <c r="D494" s="29"/>
      <c r="F494" s="31"/>
      <c r="G494" s="30"/>
      <c r="H494" s="30"/>
      <c r="J494" s="29"/>
      <c r="L494" s="30"/>
      <c r="M494" s="30"/>
      <c r="O494" s="32"/>
      <c r="P494" s="32"/>
      <c r="S494" s="32"/>
    </row>
    <row r="495">
      <c r="D495" s="29"/>
      <c r="F495" s="31"/>
      <c r="G495" s="30"/>
      <c r="H495" s="30"/>
      <c r="J495" s="29"/>
      <c r="L495" s="30"/>
      <c r="M495" s="30"/>
      <c r="O495" s="32"/>
      <c r="P495" s="32"/>
      <c r="S495" s="32"/>
    </row>
    <row r="496">
      <c r="D496" s="29"/>
      <c r="F496" s="31"/>
      <c r="G496" s="30"/>
      <c r="H496" s="30"/>
      <c r="J496" s="29"/>
      <c r="L496" s="30"/>
      <c r="M496" s="30"/>
      <c r="O496" s="32"/>
      <c r="P496" s="32"/>
      <c r="S496" s="32"/>
    </row>
    <row r="497">
      <c r="D497" s="29"/>
      <c r="F497" s="31"/>
      <c r="G497" s="30"/>
      <c r="H497" s="30"/>
      <c r="J497" s="29"/>
      <c r="L497" s="30"/>
      <c r="M497" s="30"/>
      <c r="O497" s="32"/>
      <c r="P497" s="32"/>
      <c r="S497" s="32"/>
    </row>
    <row r="498">
      <c r="D498" s="29"/>
      <c r="F498" s="31"/>
      <c r="G498" s="30"/>
      <c r="H498" s="30"/>
      <c r="J498" s="29"/>
      <c r="L498" s="30"/>
      <c r="M498" s="30"/>
      <c r="O498" s="32"/>
      <c r="P498" s="32"/>
      <c r="S498" s="32"/>
    </row>
    <row r="499">
      <c r="D499" s="29"/>
      <c r="F499" s="31"/>
      <c r="G499" s="30"/>
      <c r="H499" s="30"/>
      <c r="J499" s="29"/>
      <c r="L499" s="30"/>
      <c r="M499" s="30"/>
      <c r="O499" s="32"/>
      <c r="P499" s="32"/>
      <c r="S499" s="32"/>
    </row>
    <row r="500">
      <c r="D500" s="29"/>
      <c r="F500" s="31"/>
      <c r="G500" s="30"/>
      <c r="H500" s="30"/>
      <c r="J500" s="29"/>
      <c r="L500" s="30"/>
      <c r="M500" s="30"/>
      <c r="O500" s="32"/>
      <c r="P500" s="32"/>
      <c r="S500" s="32"/>
    </row>
    <row r="501">
      <c r="D501" s="29"/>
      <c r="F501" s="31"/>
      <c r="G501" s="30"/>
      <c r="H501" s="30"/>
      <c r="J501" s="29"/>
      <c r="L501" s="30"/>
      <c r="M501" s="30"/>
      <c r="O501" s="32"/>
      <c r="P501" s="32"/>
      <c r="S501" s="32"/>
    </row>
    <row r="502">
      <c r="D502" s="29"/>
      <c r="F502" s="31"/>
      <c r="G502" s="30"/>
      <c r="H502" s="30"/>
      <c r="J502" s="29"/>
      <c r="L502" s="30"/>
      <c r="M502" s="30"/>
      <c r="O502" s="32"/>
      <c r="P502" s="32"/>
      <c r="S502" s="32"/>
    </row>
    <row r="503">
      <c r="D503" s="29"/>
      <c r="F503" s="31"/>
      <c r="G503" s="30"/>
      <c r="H503" s="30"/>
      <c r="J503" s="29"/>
      <c r="L503" s="30"/>
      <c r="M503" s="30"/>
      <c r="O503" s="32"/>
      <c r="P503" s="32"/>
      <c r="S503" s="32"/>
    </row>
    <row r="504">
      <c r="D504" s="29"/>
      <c r="F504" s="31"/>
      <c r="G504" s="30"/>
      <c r="H504" s="30"/>
      <c r="J504" s="29"/>
      <c r="L504" s="30"/>
      <c r="M504" s="30"/>
      <c r="O504" s="32"/>
      <c r="P504" s="32"/>
      <c r="S504" s="32"/>
    </row>
    <row r="505">
      <c r="D505" s="29"/>
      <c r="F505" s="31"/>
      <c r="G505" s="30"/>
      <c r="H505" s="30"/>
      <c r="J505" s="29"/>
      <c r="L505" s="30"/>
      <c r="M505" s="30"/>
      <c r="O505" s="32"/>
      <c r="P505" s="32"/>
      <c r="S505" s="32"/>
    </row>
    <row r="506">
      <c r="D506" s="29"/>
      <c r="F506" s="31"/>
      <c r="G506" s="30"/>
      <c r="H506" s="30"/>
      <c r="J506" s="29"/>
      <c r="L506" s="30"/>
      <c r="M506" s="30"/>
      <c r="O506" s="32"/>
      <c r="P506" s="32"/>
      <c r="S506" s="32"/>
    </row>
    <row r="507">
      <c r="D507" s="29"/>
      <c r="F507" s="31"/>
      <c r="G507" s="30"/>
      <c r="H507" s="30"/>
      <c r="J507" s="29"/>
      <c r="L507" s="30"/>
      <c r="M507" s="30"/>
      <c r="O507" s="32"/>
      <c r="P507" s="32"/>
      <c r="S507" s="32"/>
    </row>
    <row r="508">
      <c r="D508" s="29"/>
      <c r="F508" s="31"/>
      <c r="G508" s="30"/>
      <c r="H508" s="30"/>
      <c r="J508" s="29"/>
      <c r="L508" s="30"/>
      <c r="M508" s="30"/>
      <c r="O508" s="32"/>
      <c r="P508" s="32"/>
      <c r="S508" s="32"/>
    </row>
    <row r="509">
      <c r="D509" s="29"/>
      <c r="F509" s="31"/>
      <c r="G509" s="30"/>
      <c r="H509" s="30"/>
      <c r="J509" s="29"/>
      <c r="L509" s="30"/>
      <c r="M509" s="30"/>
      <c r="O509" s="32"/>
      <c r="P509" s="32"/>
      <c r="S509" s="32"/>
    </row>
    <row r="510">
      <c r="D510" s="29"/>
      <c r="F510" s="31"/>
      <c r="G510" s="30"/>
      <c r="H510" s="30"/>
      <c r="J510" s="29"/>
      <c r="L510" s="30"/>
      <c r="M510" s="30"/>
      <c r="O510" s="32"/>
      <c r="P510" s="32"/>
      <c r="S510" s="32"/>
    </row>
    <row r="511">
      <c r="D511" s="29"/>
      <c r="F511" s="31"/>
      <c r="G511" s="30"/>
      <c r="H511" s="30"/>
      <c r="J511" s="29"/>
      <c r="L511" s="30"/>
      <c r="M511" s="30"/>
      <c r="O511" s="32"/>
      <c r="P511" s="32"/>
      <c r="S511" s="32"/>
    </row>
    <row r="512">
      <c r="D512" s="29"/>
      <c r="F512" s="31"/>
      <c r="G512" s="30"/>
      <c r="H512" s="30"/>
      <c r="J512" s="29"/>
      <c r="L512" s="30"/>
      <c r="M512" s="30"/>
      <c r="O512" s="32"/>
      <c r="P512" s="32"/>
      <c r="S512" s="32"/>
    </row>
    <row r="513">
      <c r="D513" s="29"/>
      <c r="F513" s="31"/>
      <c r="G513" s="30"/>
      <c r="H513" s="30"/>
      <c r="J513" s="29"/>
      <c r="L513" s="30"/>
      <c r="M513" s="30"/>
      <c r="O513" s="32"/>
      <c r="P513" s="32"/>
      <c r="S513" s="32"/>
    </row>
    <row r="514">
      <c r="D514" s="29"/>
      <c r="F514" s="31"/>
      <c r="G514" s="30"/>
      <c r="H514" s="30"/>
      <c r="J514" s="29"/>
      <c r="L514" s="30"/>
      <c r="M514" s="30"/>
      <c r="O514" s="32"/>
      <c r="P514" s="32"/>
      <c r="S514" s="32"/>
    </row>
    <row r="515">
      <c r="D515" s="29"/>
      <c r="F515" s="31"/>
      <c r="G515" s="30"/>
      <c r="H515" s="30"/>
      <c r="J515" s="29"/>
      <c r="L515" s="30"/>
      <c r="M515" s="30"/>
      <c r="O515" s="32"/>
      <c r="P515" s="32"/>
      <c r="S515" s="32"/>
    </row>
    <row r="516">
      <c r="D516" s="29"/>
      <c r="F516" s="31"/>
      <c r="G516" s="30"/>
      <c r="H516" s="30"/>
      <c r="J516" s="29"/>
      <c r="L516" s="30"/>
      <c r="M516" s="30"/>
      <c r="O516" s="32"/>
      <c r="P516" s="32"/>
      <c r="S516" s="32"/>
    </row>
    <row r="517">
      <c r="D517" s="29"/>
      <c r="F517" s="31"/>
      <c r="G517" s="30"/>
      <c r="H517" s="30"/>
      <c r="J517" s="29"/>
      <c r="L517" s="30"/>
      <c r="M517" s="30"/>
      <c r="O517" s="32"/>
      <c r="P517" s="32"/>
      <c r="S517" s="32"/>
    </row>
    <row r="518">
      <c r="D518" s="29"/>
      <c r="F518" s="31"/>
      <c r="G518" s="30"/>
      <c r="H518" s="30"/>
      <c r="J518" s="29"/>
      <c r="L518" s="30"/>
      <c r="M518" s="30"/>
      <c r="O518" s="32"/>
      <c r="P518" s="32"/>
      <c r="S518" s="32"/>
    </row>
    <row r="519">
      <c r="D519" s="29"/>
      <c r="F519" s="31"/>
      <c r="G519" s="30"/>
      <c r="H519" s="30"/>
      <c r="J519" s="29"/>
      <c r="L519" s="30"/>
      <c r="M519" s="30"/>
      <c r="O519" s="32"/>
      <c r="P519" s="32"/>
      <c r="S519" s="32"/>
    </row>
    <row r="520">
      <c r="D520" s="29"/>
      <c r="F520" s="31"/>
      <c r="G520" s="30"/>
      <c r="H520" s="30"/>
      <c r="J520" s="29"/>
      <c r="L520" s="30"/>
      <c r="M520" s="30"/>
      <c r="O520" s="32"/>
      <c r="P520" s="32"/>
      <c r="S520" s="32"/>
    </row>
    <row r="521">
      <c r="D521" s="29"/>
      <c r="F521" s="31"/>
      <c r="G521" s="30"/>
      <c r="H521" s="30"/>
      <c r="J521" s="29"/>
      <c r="L521" s="30"/>
      <c r="M521" s="30"/>
      <c r="O521" s="32"/>
      <c r="P521" s="32"/>
      <c r="S521" s="32"/>
    </row>
    <row r="522">
      <c r="D522" s="29"/>
      <c r="F522" s="31"/>
      <c r="G522" s="30"/>
      <c r="H522" s="30"/>
      <c r="J522" s="29"/>
      <c r="L522" s="30"/>
      <c r="M522" s="30"/>
      <c r="O522" s="32"/>
      <c r="P522" s="32"/>
      <c r="S522" s="32"/>
    </row>
    <row r="523">
      <c r="D523" s="29"/>
      <c r="F523" s="31"/>
      <c r="G523" s="30"/>
      <c r="H523" s="30"/>
      <c r="J523" s="29"/>
      <c r="L523" s="30"/>
      <c r="M523" s="30"/>
      <c r="O523" s="32"/>
      <c r="P523" s="32"/>
      <c r="S523" s="32"/>
    </row>
    <row r="524">
      <c r="D524" s="29"/>
      <c r="F524" s="31"/>
      <c r="G524" s="30"/>
      <c r="H524" s="30"/>
      <c r="J524" s="29"/>
      <c r="L524" s="30"/>
      <c r="M524" s="30"/>
      <c r="O524" s="32"/>
      <c r="P524" s="32"/>
      <c r="S524" s="32"/>
    </row>
    <row r="525">
      <c r="D525" s="29"/>
      <c r="F525" s="31"/>
      <c r="G525" s="30"/>
      <c r="H525" s="30"/>
      <c r="J525" s="29"/>
      <c r="L525" s="30"/>
      <c r="M525" s="30"/>
      <c r="O525" s="32"/>
      <c r="P525" s="32"/>
      <c r="S525" s="32"/>
    </row>
    <row r="526">
      <c r="D526" s="29"/>
      <c r="F526" s="31"/>
      <c r="G526" s="30"/>
      <c r="H526" s="30"/>
      <c r="J526" s="29"/>
      <c r="L526" s="30"/>
      <c r="M526" s="30"/>
      <c r="O526" s="32"/>
      <c r="P526" s="32"/>
      <c r="S526" s="32"/>
    </row>
    <row r="527">
      <c r="D527" s="29"/>
      <c r="F527" s="31"/>
      <c r="G527" s="30"/>
      <c r="H527" s="30"/>
      <c r="J527" s="29"/>
      <c r="L527" s="30"/>
      <c r="M527" s="30"/>
      <c r="O527" s="32"/>
      <c r="P527" s="32"/>
      <c r="S527" s="32"/>
    </row>
    <row r="528">
      <c r="D528" s="29"/>
      <c r="F528" s="31"/>
      <c r="G528" s="30"/>
      <c r="H528" s="30"/>
      <c r="J528" s="29"/>
      <c r="L528" s="30"/>
      <c r="M528" s="30"/>
      <c r="O528" s="32"/>
      <c r="P528" s="32"/>
      <c r="S528" s="32"/>
    </row>
    <row r="529">
      <c r="D529" s="29"/>
      <c r="F529" s="31"/>
      <c r="G529" s="30"/>
      <c r="H529" s="30"/>
      <c r="J529" s="29"/>
      <c r="L529" s="30"/>
      <c r="M529" s="30"/>
      <c r="O529" s="32"/>
      <c r="P529" s="32"/>
      <c r="S529" s="32"/>
    </row>
    <row r="530">
      <c r="D530" s="29"/>
      <c r="F530" s="31"/>
      <c r="G530" s="30"/>
      <c r="H530" s="30"/>
      <c r="J530" s="29"/>
      <c r="L530" s="30"/>
      <c r="M530" s="30"/>
      <c r="O530" s="32"/>
      <c r="P530" s="32"/>
      <c r="S530" s="32"/>
    </row>
    <row r="531">
      <c r="D531" s="29"/>
      <c r="F531" s="31"/>
      <c r="G531" s="30"/>
      <c r="H531" s="30"/>
      <c r="J531" s="29"/>
      <c r="L531" s="30"/>
      <c r="M531" s="30"/>
      <c r="O531" s="32"/>
      <c r="P531" s="32"/>
      <c r="S531" s="32"/>
    </row>
    <row r="532">
      <c r="D532" s="29"/>
      <c r="F532" s="31"/>
      <c r="G532" s="30"/>
      <c r="H532" s="30"/>
      <c r="J532" s="29"/>
      <c r="L532" s="30"/>
      <c r="M532" s="30"/>
      <c r="O532" s="32"/>
      <c r="P532" s="32"/>
      <c r="S532" s="32"/>
    </row>
    <row r="533">
      <c r="D533" s="29"/>
      <c r="F533" s="31"/>
      <c r="G533" s="30"/>
      <c r="H533" s="30"/>
      <c r="J533" s="29"/>
      <c r="L533" s="30"/>
      <c r="M533" s="30"/>
      <c r="O533" s="32"/>
      <c r="P533" s="32"/>
      <c r="S533" s="32"/>
    </row>
    <row r="534">
      <c r="D534" s="29"/>
      <c r="F534" s="31"/>
      <c r="G534" s="30"/>
      <c r="H534" s="30"/>
      <c r="J534" s="29"/>
      <c r="L534" s="30"/>
      <c r="M534" s="30"/>
      <c r="O534" s="32"/>
      <c r="P534" s="32"/>
      <c r="S534" s="32"/>
    </row>
    <row r="535">
      <c r="D535" s="29"/>
      <c r="F535" s="31"/>
      <c r="G535" s="30"/>
      <c r="H535" s="30"/>
      <c r="J535" s="29"/>
      <c r="L535" s="30"/>
      <c r="M535" s="30"/>
      <c r="O535" s="32"/>
      <c r="P535" s="32"/>
      <c r="S535" s="32"/>
    </row>
    <row r="536">
      <c r="D536" s="29"/>
      <c r="F536" s="31"/>
      <c r="G536" s="30"/>
      <c r="H536" s="30"/>
      <c r="J536" s="29"/>
      <c r="L536" s="30"/>
      <c r="M536" s="30"/>
      <c r="O536" s="32"/>
      <c r="P536" s="32"/>
      <c r="S536" s="32"/>
    </row>
    <row r="537">
      <c r="D537" s="29"/>
      <c r="F537" s="31"/>
      <c r="G537" s="30"/>
      <c r="H537" s="30"/>
      <c r="J537" s="29"/>
      <c r="L537" s="30"/>
      <c r="M537" s="30"/>
      <c r="O537" s="32"/>
      <c r="P537" s="32"/>
      <c r="S537" s="32"/>
    </row>
    <row r="538">
      <c r="D538" s="29"/>
      <c r="F538" s="31"/>
      <c r="G538" s="30"/>
      <c r="H538" s="30"/>
      <c r="J538" s="29"/>
      <c r="L538" s="30"/>
      <c r="M538" s="30"/>
      <c r="O538" s="32"/>
      <c r="P538" s="32"/>
      <c r="S538" s="32"/>
    </row>
    <row r="539">
      <c r="D539" s="29"/>
      <c r="F539" s="31"/>
      <c r="G539" s="30"/>
      <c r="H539" s="30"/>
      <c r="J539" s="29"/>
      <c r="L539" s="30"/>
      <c r="M539" s="30"/>
      <c r="O539" s="32"/>
      <c r="P539" s="32"/>
      <c r="S539" s="32"/>
    </row>
    <row r="540">
      <c r="D540" s="29"/>
      <c r="F540" s="31"/>
      <c r="G540" s="30"/>
      <c r="H540" s="30"/>
      <c r="J540" s="29"/>
      <c r="L540" s="30"/>
      <c r="M540" s="30"/>
      <c r="O540" s="32"/>
      <c r="P540" s="32"/>
      <c r="S540" s="32"/>
    </row>
    <row r="541">
      <c r="D541" s="29"/>
      <c r="F541" s="31"/>
      <c r="G541" s="30"/>
      <c r="H541" s="30"/>
      <c r="J541" s="29"/>
      <c r="L541" s="30"/>
      <c r="M541" s="30"/>
      <c r="O541" s="32"/>
      <c r="P541" s="32"/>
      <c r="S541" s="32"/>
    </row>
    <row r="542">
      <c r="D542" s="29"/>
      <c r="F542" s="31"/>
      <c r="G542" s="30"/>
      <c r="H542" s="30"/>
      <c r="J542" s="29"/>
      <c r="L542" s="30"/>
      <c r="M542" s="30"/>
      <c r="O542" s="32"/>
      <c r="P542" s="32"/>
      <c r="S542" s="32"/>
    </row>
    <row r="543">
      <c r="D543" s="29"/>
      <c r="F543" s="31"/>
      <c r="G543" s="30"/>
      <c r="H543" s="30"/>
      <c r="J543" s="29"/>
      <c r="L543" s="30"/>
      <c r="M543" s="30"/>
      <c r="O543" s="32"/>
      <c r="P543" s="32"/>
      <c r="S543" s="32"/>
    </row>
    <row r="544">
      <c r="D544" s="29"/>
      <c r="F544" s="31"/>
      <c r="G544" s="30"/>
      <c r="H544" s="30"/>
      <c r="J544" s="29"/>
      <c r="L544" s="30"/>
      <c r="M544" s="30"/>
      <c r="O544" s="32"/>
      <c r="P544" s="32"/>
      <c r="S544" s="32"/>
    </row>
    <row r="545">
      <c r="D545" s="29"/>
      <c r="F545" s="31"/>
      <c r="G545" s="30"/>
      <c r="H545" s="30"/>
      <c r="J545" s="29"/>
      <c r="L545" s="30"/>
      <c r="M545" s="30"/>
      <c r="O545" s="32"/>
      <c r="P545" s="32"/>
      <c r="S545" s="32"/>
    </row>
    <row r="546">
      <c r="D546" s="29"/>
      <c r="F546" s="31"/>
      <c r="G546" s="30"/>
      <c r="H546" s="30"/>
      <c r="J546" s="29"/>
      <c r="L546" s="30"/>
      <c r="M546" s="30"/>
      <c r="O546" s="32"/>
      <c r="P546" s="32"/>
      <c r="S546" s="32"/>
    </row>
    <row r="547">
      <c r="D547" s="29"/>
      <c r="F547" s="31"/>
      <c r="G547" s="30"/>
      <c r="H547" s="30"/>
      <c r="J547" s="29"/>
      <c r="L547" s="30"/>
      <c r="M547" s="30"/>
      <c r="O547" s="32"/>
      <c r="P547" s="32"/>
      <c r="S547" s="32"/>
    </row>
    <row r="548">
      <c r="D548" s="29"/>
      <c r="F548" s="31"/>
      <c r="G548" s="30"/>
      <c r="H548" s="30"/>
      <c r="J548" s="29"/>
      <c r="L548" s="30"/>
      <c r="M548" s="30"/>
      <c r="O548" s="32"/>
      <c r="P548" s="32"/>
      <c r="S548" s="32"/>
    </row>
    <row r="549">
      <c r="D549" s="29"/>
      <c r="F549" s="31"/>
      <c r="G549" s="30"/>
      <c r="H549" s="30"/>
      <c r="J549" s="29"/>
      <c r="L549" s="30"/>
      <c r="M549" s="30"/>
      <c r="O549" s="32"/>
      <c r="P549" s="32"/>
      <c r="S549" s="32"/>
    </row>
    <row r="550">
      <c r="D550" s="29"/>
      <c r="F550" s="31"/>
      <c r="G550" s="30"/>
      <c r="H550" s="30"/>
      <c r="J550" s="29"/>
      <c r="L550" s="30"/>
      <c r="M550" s="30"/>
      <c r="O550" s="32"/>
      <c r="P550" s="32"/>
      <c r="S550" s="32"/>
    </row>
    <row r="551">
      <c r="D551" s="29"/>
      <c r="F551" s="31"/>
      <c r="G551" s="30"/>
      <c r="H551" s="30"/>
      <c r="J551" s="29"/>
      <c r="L551" s="30"/>
      <c r="M551" s="30"/>
      <c r="O551" s="32"/>
      <c r="P551" s="32"/>
      <c r="S551" s="32"/>
    </row>
    <row r="552">
      <c r="D552" s="29"/>
      <c r="F552" s="31"/>
      <c r="G552" s="30"/>
      <c r="H552" s="30"/>
      <c r="J552" s="29"/>
      <c r="L552" s="30"/>
      <c r="M552" s="30"/>
      <c r="O552" s="32"/>
      <c r="P552" s="32"/>
      <c r="S552" s="32"/>
    </row>
    <row r="553">
      <c r="D553" s="29"/>
      <c r="F553" s="31"/>
      <c r="G553" s="30"/>
      <c r="H553" s="30"/>
      <c r="J553" s="29"/>
      <c r="L553" s="30"/>
      <c r="M553" s="30"/>
      <c r="O553" s="32"/>
      <c r="P553" s="32"/>
      <c r="S553" s="32"/>
    </row>
    <row r="554">
      <c r="D554" s="29"/>
      <c r="F554" s="31"/>
      <c r="G554" s="30"/>
      <c r="H554" s="30"/>
      <c r="J554" s="29"/>
      <c r="L554" s="30"/>
      <c r="M554" s="30"/>
      <c r="O554" s="32"/>
      <c r="P554" s="32"/>
      <c r="S554" s="32"/>
    </row>
    <row r="555">
      <c r="D555" s="29"/>
      <c r="F555" s="31"/>
      <c r="G555" s="30"/>
      <c r="H555" s="30"/>
      <c r="J555" s="29"/>
      <c r="L555" s="30"/>
      <c r="M555" s="30"/>
      <c r="O555" s="32"/>
      <c r="P555" s="32"/>
      <c r="S555" s="32"/>
    </row>
    <row r="556">
      <c r="D556" s="29"/>
      <c r="F556" s="31"/>
      <c r="G556" s="30"/>
      <c r="H556" s="30"/>
      <c r="J556" s="29"/>
      <c r="L556" s="30"/>
      <c r="M556" s="30"/>
      <c r="O556" s="32"/>
      <c r="P556" s="32"/>
      <c r="S556" s="32"/>
    </row>
    <row r="557">
      <c r="D557" s="29"/>
      <c r="F557" s="31"/>
      <c r="G557" s="30"/>
      <c r="H557" s="30"/>
      <c r="J557" s="29"/>
      <c r="L557" s="30"/>
      <c r="M557" s="30"/>
      <c r="O557" s="32"/>
      <c r="P557" s="32"/>
      <c r="S557" s="32"/>
    </row>
    <row r="558">
      <c r="D558" s="29"/>
      <c r="F558" s="31"/>
      <c r="G558" s="30"/>
      <c r="H558" s="30"/>
      <c r="J558" s="29"/>
      <c r="L558" s="30"/>
      <c r="M558" s="30"/>
      <c r="O558" s="32"/>
      <c r="P558" s="32"/>
      <c r="S558" s="32"/>
    </row>
    <row r="559">
      <c r="D559" s="29"/>
      <c r="F559" s="31"/>
      <c r="G559" s="30"/>
      <c r="H559" s="30"/>
      <c r="J559" s="29"/>
      <c r="L559" s="30"/>
      <c r="M559" s="30"/>
      <c r="O559" s="32"/>
      <c r="P559" s="32"/>
      <c r="S559" s="32"/>
    </row>
    <row r="560">
      <c r="D560" s="29"/>
      <c r="F560" s="31"/>
      <c r="G560" s="30"/>
      <c r="H560" s="30"/>
      <c r="J560" s="29"/>
      <c r="L560" s="30"/>
      <c r="M560" s="30"/>
      <c r="O560" s="32"/>
      <c r="P560" s="32"/>
      <c r="S560" s="32"/>
    </row>
    <row r="561">
      <c r="D561" s="29"/>
      <c r="F561" s="31"/>
      <c r="G561" s="30"/>
      <c r="H561" s="30"/>
      <c r="J561" s="29"/>
      <c r="L561" s="30"/>
      <c r="M561" s="30"/>
      <c r="O561" s="32"/>
      <c r="P561" s="32"/>
      <c r="S561" s="32"/>
    </row>
    <row r="562">
      <c r="D562" s="29"/>
      <c r="F562" s="31"/>
      <c r="G562" s="30"/>
      <c r="H562" s="30"/>
      <c r="J562" s="29"/>
      <c r="L562" s="30"/>
      <c r="M562" s="30"/>
      <c r="O562" s="32"/>
      <c r="P562" s="32"/>
      <c r="S562" s="32"/>
    </row>
    <row r="563">
      <c r="D563" s="29"/>
      <c r="F563" s="31"/>
      <c r="G563" s="30"/>
      <c r="H563" s="30"/>
      <c r="J563" s="29"/>
      <c r="L563" s="30"/>
      <c r="M563" s="30"/>
      <c r="O563" s="32"/>
      <c r="P563" s="32"/>
      <c r="S563" s="32"/>
    </row>
    <row r="564">
      <c r="D564" s="29"/>
      <c r="F564" s="31"/>
      <c r="G564" s="30"/>
      <c r="H564" s="30"/>
      <c r="J564" s="29"/>
      <c r="L564" s="30"/>
      <c r="M564" s="30"/>
      <c r="O564" s="32"/>
      <c r="P564" s="32"/>
      <c r="S564" s="32"/>
    </row>
    <row r="565">
      <c r="D565" s="29"/>
      <c r="F565" s="31"/>
      <c r="G565" s="30"/>
      <c r="H565" s="30"/>
      <c r="J565" s="29"/>
      <c r="L565" s="30"/>
      <c r="M565" s="30"/>
      <c r="O565" s="32"/>
      <c r="P565" s="32"/>
      <c r="S565" s="32"/>
    </row>
    <row r="566">
      <c r="D566" s="29"/>
      <c r="F566" s="31"/>
      <c r="G566" s="30"/>
      <c r="H566" s="30"/>
      <c r="J566" s="29"/>
      <c r="L566" s="30"/>
      <c r="M566" s="30"/>
      <c r="O566" s="32"/>
      <c r="P566" s="32"/>
      <c r="S566" s="32"/>
    </row>
    <row r="567">
      <c r="D567" s="29"/>
      <c r="F567" s="31"/>
      <c r="G567" s="30"/>
      <c r="H567" s="30"/>
      <c r="J567" s="29"/>
      <c r="L567" s="30"/>
      <c r="M567" s="30"/>
      <c r="O567" s="32"/>
      <c r="P567" s="32"/>
      <c r="S567" s="32"/>
    </row>
    <row r="568">
      <c r="D568" s="29"/>
      <c r="F568" s="31"/>
      <c r="G568" s="30"/>
      <c r="H568" s="30"/>
      <c r="J568" s="29"/>
      <c r="L568" s="30"/>
      <c r="M568" s="30"/>
      <c r="O568" s="32"/>
      <c r="P568" s="32"/>
      <c r="S568" s="32"/>
    </row>
    <row r="569">
      <c r="D569" s="29"/>
      <c r="F569" s="31"/>
      <c r="G569" s="30"/>
      <c r="H569" s="30"/>
      <c r="J569" s="29"/>
      <c r="L569" s="30"/>
      <c r="M569" s="30"/>
      <c r="O569" s="32"/>
      <c r="P569" s="32"/>
      <c r="S569" s="32"/>
    </row>
    <row r="570">
      <c r="D570" s="29"/>
      <c r="F570" s="31"/>
      <c r="G570" s="30"/>
      <c r="H570" s="30"/>
      <c r="J570" s="29"/>
      <c r="L570" s="30"/>
      <c r="M570" s="30"/>
      <c r="O570" s="32"/>
      <c r="P570" s="32"/>
      <c r="S570" s="32"/>
    </row>
    <row r="571">
      <c r="D571" s="29"/>
      <c r="F571" s="31"/>
      <c r="G571" s="30"/>
      <c r="H571" s="30"/>
      <c r="J571" s="29"/>
      <c r="L571" s="30"/>
      <c r="M571" s="30"/>
      <c r="O571" s="32"/>
      <c r="P571" s="32"/>
      <c r="S571" s="32"/>
    </row>
    <row r="572">
      <c r="D572" s="29"/>
      <c r="F572" s="31"/>
      <c r="G572" s="30"/>
      <c r="H572" s="30"/>
      <c r="J572" s="29"/>
      <c r="L572" s="30"/>
      <c r="M572" s="30"/>
      <c r="O572" s="32"/>
      <c r="P572" s="32"/>
      <c r="S572" s="32"/>
    </row>
    <row r="573">
      <c r="D573" s="29"/>
      <c r="F573" s="31"/>
      <c r="G573" s="30"/>
      <c r="H573" s="30"/>
      <c r="J573" s="29"/>
      <c r="L573" s="30"/>
      <c r="M573" s="30"/>
      <c r="O573" s="32"/>
      <c r="P573" s="32"/>
      <c r="S573" s="32"/>
    </row>
    <row r="574">
      <c r="D574" s="29"/>
      <c r="F574" s="31"/>
      <c r="G574" s="30"/>
      <c r="H574" s="30"/>
      <c r="J574" s="29"/>
      <c r="L574" s="30"/>
      <c r="M574" s="30"/>
      <c r="O574" s="32"/>
      <c r="P574" s="32"/>
      <c r="S574" s="32"/>
    </row>
    <row r="575">
      <c r="D575" s="29"/>
      <c r="F575" s="31"/>
      <c r="G575" s="30"/>
      <c r="H575" s="30"/>
      <c r="J575" s="29"/>
      <c r="L575" s="30"/>
      <c r="M575" s="30"/>
      <c r="O575" s="32"/>
      <c r="P575" s="32"/>
      <c r="S575" s="32"/>
    </row>
    <row r="576">
      <c r="D576" s="29"/>
      <c r="F576" s="31"/>
      <c r="G576" s="30"/>
      <c r="H576" s="30"/>
      <c r="J576" s="29"/>
      <c r="L576" s="30"/>
      <c r="M576" s="30"/>
      <c r="O576" s="32"/>
      <c r="P576" s="32"/>
      <c r="S576" s="32"/>
    </row>
    <row r="577">
      <c r="D577" s="29"/>
      <c r="F577" s="31"/>
      <c r="G577" s="30"/>
      <c r="H577" s="30"/>
      <c r="J577" s="29"/>
      <c r="L577" s="30"/>
      <c r="M577" s="30"/>
      <c r="O577" s="32"/>
      <c r="P577" s="32"/>
      <c r="S577" s="32"/>
    </row>
    <row r="578">
      <c r="D578" s="29"/>
      <c r="F578" s="31"/>
      <c r="G578" s="30"/>
      <c r="H578" s="30"/>
      <c r="J578" s="29"/>
      <c r="L578" s="30"/>
      <c r="M578" s="30"/>
      <c r="O578" s="32"/>
      <c r="P578" s="32"/>
      <c r="S578" s="32"/>
    </row>
    <row r="579">
      <c r="D579" s="29"/>
      <c r="F579" s="31"/>
      <c r="G579" s="30"/>
      <c r="H579" s="30"/>
      <c r="J579" s="29"/>
      <c r="L579" s="30"/>
      <c r="M579" s="30"/>
      <c r="O579" s="32"/>
      <c r="P579" s="32"/>
      <c r="S579" s="32"/>
    </row>
    <row r="580">
      <c r="D580" s="29"/>
      <c r="F580" s="31"/>
      <c r="G580" s="30"/>
      <c r="H580" s="30"/>
      <c r="J580" s="29"/>
      <c r="L580" s="30"/>
      <c r="M580" s="30"/>
      <c r="O580" s="32"/>
      <c r="P580" s="32"/>
      <c r="S580" s="32"/>
    </row>
    <row r="581">
      <c r="D581" s="29"/>
      <c r="F581" s="31"/>
      <c r="G581" s="30"/>
      <c r="H581" s="30"/>
      <c r="J581" s="29"/>
      <c r="L581" s="30"/>
      <c r="M581" s="30"/>
      <c r="O581" s="32"/>
      <c r="P581" s="32"/>
      <c r="S581" s="32"/>
    </row>
    <row r="582">
      <c r="D582" s="29"/>
      <c r="F582" s="31"/>
      <c r="G582" s="30"/>
      <c r="H582" s="30"/>
      <c r="J582" s="29"/>
      <c r="L582" s="30"/>
      <c r="M582" s="30"/>
      <c r="O582" s="32"/>
      <c r="P582" s="32"/>
      <c r="S582" s="32"/>
    </row>
    <row r="583">
      <c r="D583" s="29"/>
      <c r="F583" s="31"/>
      <c r="G583" s="30"/>
      <c r="H583" s="30"/>
      <c r="J583" s="29"/>
      <c r="L583" s="30"/>
      <c r="M583" s="30"/>
      <c r="O583" s="32"/>
      <c r="P583" s="32"/>
      <c r="S583" s="32"/>
    </row>
    <row r="584">
      <c r="D584" s="29"/>
      <c r="F584" s="31"/>
      <c r="G584" s="30"/>
      <c r="H584" s="30"/>
      <c r="J584" s="29"/>
      <c r="L584" s="30"/>
      <c r="M584" s="30"/>
      <c r="O584" s="32"/>
      <c r="P584" s="32"/>
      <c r="S584" s="32"/>
    </row>
    <row r="585">
      <c r="D585" s="29"/>
      <c r="F585" s="31"/>
      <c r="G585" s="30"/>
      <c r="H585" s="30"/>
      <c r="J585" s="29"/>
      <c r="L585" s="30"/>
      <c r="M585" s="30"/>
      <c r="O585" s="32"/>
      <c r="P585" s="32"/>
      <c r="S585" s="32"/>
    </row>
    <row r="586">
      <c r="D586" s="29"/>
      <c r="F586" s="31"/>
      <c r="G586" s="30"/>
      <c r="H586" s="30"/>
      <c r="J586" s="29"/>
      <c r="L586" s="30"/>
      <c r="M586" s="30"/>
      <c r="O586" s="32"/>
      <c r="P586" s="32"/>
      <c r="S586" s="32"/>
    </row>
    <row r="587">
      <c r="D587" s="29"/>
      <c r="F587" s="31"/>
      <c r="G587" s="30"/>
      <c r="H587" s="30"/>
      <c r="J587" s="29"/>
      <c r="L587" s="30"/>
      <c r="M587" s="30"/>
      <c r="O587" s="32"/>
      <c r="P587" s="32"/>
      <c r="S587" s="32"/>
    </row>
    <row r="588">
      <c r="D588" s="29"/>
      <c r="F588" s="31"/>
      <c r="G588" s="30"/>
      <c r="H588" s="30"/>
      <c r="J588" s="29"/>
      <c r="L588" s="30"/>
      <c r="M588" s="30"/>
      <c r="O588" s="32"/>
      <c r="P588" s="32"/>
      <c r="S588" s="32"/>
    </row>
    <row r="589">
      <c r="D589" s="29"/>
      <c r="F589" s="31"/>
      <c r="G589" s="30"/>
      <c r="H589" s="30"/>
      <c r="J589" s="29"/>
      <c r="L589" s="30"/>
      <c r="M589" s="30"/>
      <c r="O589" s="32"/>
      <c r="P589" s="32"/>
      <c r="S589" s="32"/>
    </row>
    <row r="590">
      <c r="D590" s="29"/>
      <c r="F590" s="31"/>
      <c r="G590" s="30"/>
      <c r="H590" s="30"/>
      <c r="J590" s="29"/>
      <c r="L590" s="30"/>
      <c r="M590" s="30"/>
      <c r="O590" s="32"/>
      <c r="P590" s="32"/>
      <c r="S590" s="32"/>
    </row>
    <row r="591">
      <c r="D591" s="29"/>
      <c r="F591" s="31"/>
      <c r="G591" s="30"/>
      <c r="H591" s="30"/>
      <c r="J591" s="29"/>
      <c r="L591" s="30"/>
      <c r="M591" s="30"/>
      <c r="O591" s="32"/>
      <c r="P591" s="32"/>
      <c r="S591" s="32"/>
    </row>
    <row r="592">
      <c r="D592" s="29"/>
      <c r="F592" s="31"/>
      <c r="G592" s="30"/>
      <c r="H592" s="30"/>
      <c r="J592" s="29"/>
      <c r="L592" s="30"/>
      <c r="M592" s="30"/>
      <c r="O592" s="32"/>
      <c r="P592" s="32"/>
      <c r="S592" s="32"/>
    </row>
    <row r="593">
      <c r="D593" s="29"/>
      <c r="F593" s="31"/>
      <c r="G593" s="30"/>
      <c r="H593" s="30"/>
      <c r="J593" s="29"/>
      <c r="L593" s="30"/>
      <c r="M593" s="30"/>
      <c r="O593" s="32"/>
      <c r="P593" s="32"/>
      <c r="S593" s="32"/>
    </row>
    <row r="594">
      <c r="D594" s="29"/>
      <c r="F594" s="31"/>
      <c r="G594" s="30"/>
      <c r="H594" s="30"/>
      <c r="J594" s="29"/>
      <c r="L594" s="30"/>
      <c r="M594" s="30"/>
      <c r="O594" s="32"/>
      <c r="P594" s="32"/>
      <c r="S594" s="32"/>
    </row>
    <row r="595">
      <c r="D595" s="29"/>
      <c r="F595" s="31"/>
      <c r="G595" s="30"/>
      <c r="H595" s="30"/>
      <c r="J595" s="29"/>
      <c r="L595" s="30"/>
      <c r="M595" s="30"/>
      <c r="O595" s="32"/>
      <c r="P595" s="32"/>
      <c r="S595" s="32"/>
    </row>
    <row r="596">
      <c r="D596" s="29"/>
      <c r="F596" s="31"/>
      <c r="G596" s="30"/>
      <c r="H596" s="30"/>
      <c r="J596" s="29"/>
      <c r="L596" s="30"/>
      <c r="M596" s="30"/>
      <c r="O596" s="32"/>
      <c r="P596" s="32"/>
      <c r="S596" s="32"/>
    </row>
    <row r="597">
      <c r="D597" s="29"/>
      <c r="F597" s="31"/>
      <c r="G597" s="30"/>
      <c r="H597" s="30"/>
      <c r="J597" s="29"/>
      <c r="L597" s="30"/>
      <c r="M597" s="30"/>
      <c r="O597" s="32"/>
      <c r="P597" s="32"/>
      <c r="S597" s="32"/>
    </row>
    <row r="598">
      <c r="D598" s="29"/>
      <c r="F598" s="31"/>
      <c r="G598" s="30"/>
      <c r="H598" s="30"/>
      <c r="J598" s="29"/>
      <c r="L598" s="30"/>
      <c r="M598" s="30"/>
      <c r="O598" s="32"/>
      <c r="P598" s="32"/>
      <c r="S598" s="32"/>
    </row>
    <row r="599">
      <c r="D599" s="29"/>
      <c r="F599" s="31"/>
      <c r="G599" s="30"/>
      <c r="H599" s="30"/>
      <c r="J599" s="29"/>
      <c r="L599" s="30"/>
      <c r="M599" s="30"/>
      <c r="O599" s="32"/>
      <c r="P599" s="32"/>
      <c r="S599" s="32"/>
    </row>
    <row r="600">
      <c r="D600" s="29"/>
      <c r="F600" s="31"/>
      <c r="G600" s="30"/>
      <c r="H600" s="30"/>
      <c r="J600" s="29"/>
      <c r="L600" s="30"/>
      <c r="M600" s="30"/>
      <c r="O600" s="32"/>
      <c r="P600" s="32"/>
      <c r="S600" s="32"/>
    </row>
    <row r="601">
      <c r="D601" s="29"/>
      <c r="F601" s="31"/>
      <c r="G601" s="30"/>
      <c r="H601" s="30"/>
      <c r="J601" s="29"/>
      <c r="L601" s="30"/>
      <c r="M601" s="30"/>
      <c r="O601" s="32"/>
      <c r="P601" s="32"/>
      <c r="S601" s="32"/>
    </row>
    <row r="602">
      <c r="D602" s="29"/>
      <c r="F602" s="31"/>
      <c r="G602" s="30"/>
      <c r="H602" s="30"/>
      <c r="J602" s="29"/>
      <c r="L602" s="30"/>
      <c r="M602" s="30"/>
      <c r="O602" s="32"/>
      <c r="P602" s="32"/>
      <c r="S602" s="32"/>
    </row>
    <row r="603">
      <c r="D603" s="29"/>
      <c r="F603" s="31"/>
      <c r="G603" s="30"/>
      <c r="H603" s="30"/>
      <c r="J603" s="29"/>
      <c r="L603" s="30"/>
      <c r="M603" s="30"/>
      <c r="O603" s="32"/>
      <c r="P603" s="32"/>
      <c r="S603" s="32"/>
    </row>
    <row r="604">
      <c r="D604" s="29"/>
      <c r="F604" s="31"/>
      <c r="G604" s="30"/>
      <c r="H604" s="30"/>
      <c r="J604" s="29"/>
      <c r="L604" s="30"/>
      <c r="M604" s="30"/>
      <c r="O604" s="32"/>
      <c r="P604" s="32"/>
      <c r="S604" s="32"/>
    </row>
    <row r="605">
      <c r="D605" s="29"/>
      <c r="F605" s="31"/>
      <c r="G605" s="30"/>
      <c r="H605" s="30"/>
      <c r="J605" s="29"/>
      <c r="L605" s="30"/>
      <c r="M605" s="30"/>
      <c r="O605" s="32"/>
      <c r="P605" s="32"/>
      <c r="S605" s="32"/>
    </row>
    <row r="606">
      <c r="D606" s="29"/>
      <c r="F606" s="31"/>
      <c r="G606" s="30"/>
      <c r="H606" s="30"/>
      <c r="J606" s="29"/>
      <c r="L606" s="30"/>
      <c r="M606" s="30"/>
      <c r="O606" s="32"/>
      <c r="P606" s="32"/>
      <c r="S606" s="32"/>
    </row>
    <row r="607">
      <c r="D607" s="29"/>
      <c r="F607" s="31"/>
      <c r="G607" s="30"/>
      <c r="H607" s="30"/>
      <c r="J607" s="29"/>
      <c r="L607" s="30"/>
      <c r="M607" s="30"/>
      <c r="O607" s="32"/>
      <c r="P607" s="32"/>
      <c r="S607" s="32"/>
    </row>
    <row r="608">
      <c r="D608" s="29"/>
      <c r="F608" s="31"/>
      <c r="G608" s="30"/>
      <c r="H608" s="30"/>
      <c r="J608" s="29"/>
      <c r="L608" s="30"/>
      <c r="M608" s="30"/>
      <c r="O608" s="32"/>
      <c r="P608" s="32"/>
      <c r="S608" s="32"/>
    </row>
    <row r="609">
      <c r="D609" s="29"/>
      <c r="F609" s="31"/>
      <c r="G609" s="30"/>
      <c r="H609" s="30"/>
      <c r="J609" s="29"/>
      <c r="L609" s="30"/>
      <c r="M609" s="30"/>
      <c r="O609" s="32"/>
      <c r="P609" s="32"/>
      <c r="S609" s="32"/>
    </row>
    <row r="610">
      <c r="D610" s="29"/>
      <c r="F610" s="31"/>
      <c r="G610" s="30"/>
      <c r="H610" s="30"/>
      <c r="J610" s="29"/>
      <c r="L610" s="30"/>
      <c r="M610" s="30"/>
      <c r="O610" s="32"/>
      <c r="P610" s="32"/>
      <c r="S610" s="32"/>
    </row>
    <row r="611">
      <c r="D611" s="29"/>
      <c r="F611" s="31"/>
      <c r="G611" s="30"/>
      <c r="H611" s="30"/>
      <c r="J611" s="29"/>
      <c r="L611" s="30"/>
      <c r="M611" s="30"/>
      <c r="O611" s="32"/>
      <c r="P611" s="32"/>
      <c r="S611" s="32"/>
    </row>
    <row r="612">
      <c r="D612" s="29"/>
      <c r="F612" s="31"/>
      <c r="G612" s="30"/>
      <c r="H612" s="30"/>
      <c r="J612" s="29"/>
      <c r="L612" s="30"/>
      <c r="M612" s="30"/>
      <c r="O612" s="32"/>
      <c r="P612" s="32"/>
      <c r="S612" s="32"/>
    </row>
    <row r="613">
      <c r="D613" s="29"/>
      <c r="F613" s="31"/>
      <c r="G613" s="30"/>
      <c r="H613" s="30"/>
      <c r="J613" s="29"/>
      <c r="L613" s="30"/>
      <c r="M613" s="30"/>
      <c r="O613" s="32"/>
      <c r="P613" s="32"/>
      <c r="S613" s="32"/>
    </row>
    <row r="614">
      <c r="D614" s="29"/>
      <c r="F614" s="31"/>
      <c r="G614" s="30"/>
      <c r="H614" s="30"/>
      <c r="J614" s="29"/>
      <c r="L614" s="30"/>
      <c r="M614" s="30"/>
      <c r="O614" s="32"/>
      <c r="P614" s="32"/>
      <c r="S614" s="32"/>
    </row>
    <row r="615">
      <c r="D615" s="29"/>
      <c r="F615" s="31"/>
      <c r="G615" s="30"/>
      <c r="H615" s="30"/>
      <c r="J615" s="29"/>
      <c r="L615" s="30"/>
      <c r="M615" s="30"/>
      <c r="O615" s="32"/>
      <c r="P615" s="32"/>
      <c r="S615" s="32"/>
    </row>
    <row r="616">
      <c r="D616" s="29"/>
      <c r="F616" s="31"/>
      <c r="G616" s="30"/>
      <c r="H616" s="30"/>
      <c r="J616" s="29"/>
      <c r="L616" s="30"/>
      <c r="M616" s="30"/>
      <c r="O616" s="32"/>
      <c r="P616" s="32"/>
      <c r="S616" s="32"/>
    </row>
    <row r="617">
      <c r="D617" s="29"/>
      <c r="F617" s="31"/>
      <c r="G617" s="30"/>
      <c r="H617" s="30"/>
      <c r="J617" s="29"/>
      <c r="L617" s="30"/>
      <c r="M617" s="30"/>
      <c r="O617" s="32"/>
      <c r="P617" s="32"/>
      <c r="S617" s="32"/>
    </row>
    <row r="618">
      <c r="D618" s="29"/>
      <c r="F618" s="31"/>
      <c r="G618" s="30"/>
      <c r="H618" s="30"/>
      <c r="J618" s="29"/>
      <c r="L618" s="30"/>
      <c r="M618" s="30"/>
      <c r="O618" s="32"/>
      <c r="P618" s="32"/>
      <c r="S618" s="32"/>
    </row>
    <row r="619">
      <c r="D619" s="29"/>
      <c r="F619" s="31"/>
      <c r="G619" s="30"/>
      <c r="H619" s="30"/>
      <c r="J619" s="29"/>
      <c r="L619" s="30"/>
      <c r="M619" s="30"/>
      <c r="O619" s="32"/>
      <c r="P619" s="32"/>
      <c r="S619" s="32"/>
    </row>
    <row r="620">
      <c r="D620" s="29"/>
      <c r="F620" s="31"/>
      <c r="G620" s="30"/>
      <c r="H620" s="30"/>
      <c r="J620" s="29"/>
      <c r="L620" s="30"/>
      <c r="M620" s="30"/>
      <c r="O620" s="32"/>
      <c r="P620" s="32"/>
      <c r="S620" s="32"/>
    </row>
    <row r="621">
      <c r="D621" s="29"/>
      <c r="F621" s="31"/>
      <c r="G621" s="30"/>
      <c r="H621" s="30"/>
      <c r="J621" s="29"/>
      <c r="L621" s="30"/>
      <c r="M621" s="30"/>
      <c r="O621" s="32"/>
      <c r="P621" s="32"/>
      <c r="S621" s="32"/>
    </row>
    <row r="622">
      <c r="D622" s="29"/>
      <c r="F622" s="31"/>
      <c r="G622" s="30"/>
      <c r="H622" s="30"/>
      <c r="J622" s="29"/>
      <c r="L622" s="30"/>
      <c r="M622" s="30"/>
      <c r="O622" s="32"/>
      <c r="P622" s="32"/>
      <c r="S622" s="32"/>
    </row>
    <row r="623">
      <c r="D623" s="29"/>
      <c r="F623" s="31"/>
      <c r="G623" s="30"/>
      <c r="H623" s="30"/>
      <c r="J623" s="29"/>
      <c r="L623" s="30"/>
      <c r="M623" s="30"/>
      <c r="O623" s="32"/>
      <c r="P623" s="32"/>
      <c r="S623" s="32"/>
    </row>
    <row r="624">
      <c r="D624" s="29"/>
      <c r="F624" s="31"/>
      <c r="G624" s="30"/>
      <c r="H624" s="30"/>
      <c r="J624" s="29"/>
      <c r="L624" s="30"/>
      <c r="M624" s="30"/>
      <c r="O624" s="32"/>
      <c r="P624" s="32"/>
      <c r="S624" s="32"/>
    </row>
    <row r="625">
      <c r="D625" s="29"/>
      <c r="F625" s="31"/>
      <c r="G625" s="30"/>
      <c r="H625" s="30"/>
      <c r="J625" s="29"/>
      <c r="L625" s="30"/>
      <c r="M625" s="30"/>
      <c r="O625" s="32"/>
      <c r="P625" s="32"/>
      <c r="S625" s="32"/>
    </row>
    <row r="626">
      <c r="D626" s="29"/>
      <c r="F626" s="31"/>
      <c r="G626" s="30"/>
      <c r="H626" s="30"/>
      <c r="J626" s="29"/>
      <c r="L626" s="30"/>
      <c r="M626" s="30"/>
      <c r="O626" s="32"/>
      <c r="P626" s="32"/>
      <c r="S626" s="32"/>
    </row>
    <row r="627">
      <c r="D627" s="29"/>
      <c r="F627" s="31"/>
      <c r="G627" s="30"/>
      <c r="H627" s="30"/>
      <c r="J627" s="29"/>
      <c r="L627" s="30"/>
      <c r="M627" s="30"/>
      <c r="O627" s="32"/>
      <c r="P627" s="32"/>
      <c r="S627" s="32"/>
    </row>
    <row r="628">
      <c r="D628" s="29"/>
      <c r="F628" s="31"/>
      <c r="G628" s="30"/>
      <c r="H628" s="30"/>
      <c r="J628" s="29"/>
      <c r="L628" s="30"/>
      <c r="M628" s="30"/>
      <c r="O628" s="32"/>
      <c r="P628" s="32"/>
      <c r="S628" s="32"/>
    </row>
    <row r="629">
      <c r="D629" s="29"/>
      <c r="F629" s="31"/>
      <c r="G629" s="30"/>
      <c r="H629" s="30"/>
      <c r="J629" s="29"/>
      <c r="L629" s="30"/>
      <c r="M629" s="30"/>
      <c r="O629" s="32"/>
      <c r="P629" s="32"/>
      <c r="S629" s="32"/>
    </row>
    <row r="630">
      <c r="D630" s="29"/>
      <c r="F630" s="31"/>
      <c r="G630" s="30"/>
      <c r="H630" s="30"/>
      <c r="J630" s="29"/>
      <c r="L630" s="30"/>
      <c r="M630" s="30"/>
      <c r="O630" s="32"/>
      <c r="P630" s="32"/>
      <c r="S630" s="32"/>
    </row>
    <row r="631">
      <c r="D631" s="29"/>
      <c r="F631" s="31"/>
      <c r="G631" s="30"/>
      <c r="H631" s="30"/>
      <c r="J631" s="29"/>
      <c r="L631" s="30"/>
      <c r="M631" s="30"/>
      <c r="O631" s="32"/>
      <c r="P631" s="32"/>
      <c r="S631" s="32"/>
    </row>
    <row r="632">
      <c r="D632" s="29"/>
      <c r="F632" s="31"/>
      <c r="G632" s="30"/>
      <c r="H632" s="30"/>
      <c r="J632" s="29"/>
      <c r="L632" s="30"/>
      <c r="M632" s="30"/>
      <c r="O632" s="32"/>
      <c r="P632" s="32"/>
      <c r="S632" s="32"/>
    </row>
    <row r="633">
      <c r="D633" s="29"/>
      <c r="F633" s="31"/>
      <c r="G633" s="30"/>
      <c r="H633" s="30"/>
      <c r="J633" s="29"/>
      <c r="L633" s="30"/>
      <c r="M633" s="30"/>
      <c r="O633" s="32"/>
      <c r="P633" s="32"/>
      <c r="S633" s="32"/>
    </row>
    <row r="634">
      <c r="D634" s="29"/>
      <c r="F634" s="31"/>
      <c r="G634" s="30"/>
      <c r="H634" s="30"/>
      <c r="J634" s="29"/>
      <c r="L634" s="30"/>
      <c r="M634" s="30"/>
      <c r="O634" s="32"/>
      <c r="P634" s="32"/>
      <c r="S634" s="32"/>
    </row>
    <row r="635">
      <c r="D635" s="29"/>
      <c r="F635" s="31"/>
      <c r="G635" s="30"/>
      <c r="H635" s="30"/>
      <c r="J635" s="29"/>
      <c r="L635" s="30"/>
      <c r="M635" s="30"/>
      <c r="O635" s="32"/>
      <c r="P635" s="32"/>
      <c r="S635" s="32"/>
    </row>
    <row r="636">
      <c r="D636" s="29"/>
      <c r="F636" s="31"/>
      <c r="G636" s="30"/>
      <c r="H636" s="30"/>
      <c r="J636" s="29"/>
      <c r="L636" s="30"/>
      <c r="M636" s="30"/>
      <c r="O636" s="32"/>
      <c r="P636" s="32"/>
      <c r="S636" s="32"/>
    </row>
    <row r="637">
      <c r="D637" s="29"/>
      <c r="F637" s="31"/>
      <c r="G637" s="30"/>
      <c r="H637" s="30"/>
      <c r="J637" s="29"/>
      <c r="L637" s="30"/>
      <c r="M637" s="30"/>
      <c r="O637" s="32"/>
      <c r="P637" s="32"/>
      <c r="S637" s="32"/>
    </row>
    <row r="638">
      <c r="D638" s="29"/>
      <c r="F638" s="31"/>
      <c r="G638" s="30"/>
      <c r="H638" s="30"/>
      <c r="J638" s="29"/>
      <c r="L638" s="30"/>
      <c r="M638" s="30"/>
      <c r="O638" s="32"/>
      <c r="P638" s="32"/>
      <c r="S638" s="32"/>
    </row>
    <row r="639">
      <c r="D639" s="29"/>
      <c r="F639" s="31"/>
      <c r="G639" s="30"/>
      <c r="H639" s="30"/>
      <c r="J639" s="29"/>
      <c r="L639" s="30"/>
      <c r="M639" s="30"/>
      <c r="O639" s="32"/>
      <c r="P639" s="32"/>
      <c r="S639" s="32"/>
    </row>
    <row r="640">
      <c r="D640" s="29"/>
      <c r="F640" s="31"/>
      <c r="G640" s="30"/>
      <c r="H640" s="30"/>
      <c r="J640" s="29"/>
      <c r="L640" s="30"/>
      <c r="M640" s="30"/>
      <c r="O640" s="32"/>
      <c r="P640" s="32"/>
      <c r="S640" s="32"/>
    </row>
    <row r="641">
      <c r="D641" s="29"/>
      <c r="F641" s="31"/>
      <c r="G641" s="30"/>
      <c r="H641" s="30"/>
      <c r="J641" s="29"/>
      <c r="L641" s="30"/>
      <c r="M641" s="30"/>
      <c r="O641" s="32"/>
      <c r="P641" s="32"/>
      <c r="S641" s="32"/>
    </row>
    <row r="642">
      <c r="D642" s="29"/>
      <c r="F642" s="31"/>
      <c r="G642" s="30"/>
      <c r="H642" s="30"/>
      <c r="J642" s="29"/>
      <c r="L642" s="30"/>
      <c r="M642" s="30"/>
      <c r="O642" s="32"/>
      <c r="P642" s="32"/>
      <c r="S642" s="32"/>
    </row>
    <row r="643">
      <c r="D643" s="29"/>
      <c r="F643" s="31"/>
      <c r="G643" s="30"/>
      <c r="H643" s="30"/>
      <c r="J643" s="29"/>
      <c r="L643" s="30"/>
      <c r="M643" s="30"/>
      <c r="O643" s="32"/>
      <c r="P643" s="32"/>
      <c r="S643" s="32"/>
    </row>
    <row r="644">
      <c r="D644" s="29"/>
      <c r="F644" s="31"/>
      <c r="G644" s="30"/>
      <c r="H644" s="30"/>
      <c r="J644" s="29"/>
      <c r="L644" s="30"/>
      <c r="M644" s="30"/>
      <c r="O644" s="32"/>
      <c r="P644" s="32"/>
      <c r="S644" s="32"/>
    </row>
    <row r="645">
      <c r="D645" s="29"/>
      <c r="F645" s="31"/>
      <c r="G645" s="30"/>
      <c r="H645" s="30"/>
      <c r="J645" s="29"/>
      <c r="L645" s="30"/>
      <c r="M645" s="30"/>
      <c r="O645" s="32"/>
      <c r="P645" s="32"/>
      <c r="S645" s="32"/>
    </row>
    <row r="646">
      <c r="D646" s="29"/>
      <c r="F646" s="31"/>
      <c r="G646" s="30"/>
      <c r="H646" s="30"/>
      <c r="J646" s="29"/>
      <c r="L646" s="30"/>
      <c r="M646" s="30"/>
      <c r="O646" s="32"/>
      <c r="P646" s="32"/>
      <c r="S646" s="32"/>
    </row>
    <row r="647">
      <c r="D647" s="29"/>
      <c r="F647" s="31"/>
      <c r="G647" s="30"/>
      <c r="H647" s="30"/>
      <c r="J647" s="29"/>
      <c r="L647" s="30"/>
      <c r="M647" s="30"/>
      <c r="O647" s="32"/>
      <c r="P647" s="32"/>
      <c r="S647" s="32"/>
    </row>
    <row r="648">
      <c r="D648" s="29"/>
      <c r="F648" s="31"/>
      <c r="G648" s="30"/>
      <c r="H648" s="30"/>
      <c r="J648" s="29"/>
      <c r="L648" s="30"/>
      <c r="M648" s="30"/>
      <c r="O648" s="32"/>
      <c r="P648" s="32"/>
      <c r="S648" s="32"/>
    </row>
    <row r="649">
      <c r="D649" s="29"/>
      <c r="F649" s="31"/>
      <c r="G649" s="30"/>
      <c r="H649" s="30"/>
      <c r="J649" s="29"/>
      <c r="L649" s="30"/>
      <c r="M649" s="30"/>
      <c r="O649" s="32"/>
      <c r="P649" s="32"/>
      <c r="S649" s="32"/>
    </row>
    <row r="650">
      <c r="D650" s="29"/>
      <c r="F650" s="31"/>
      <c r="G650" s="30"/>
      <c r="H650" s="30"/>
      <c r="J650" s="29"/>
      <c r="L650" s="30"/>
      <c r="M650" s="30"/>
      <c r="O650" s="32"/>
      <c r="P650" s="32"/>
      <c r="S650" s="32"/>
    </row>
    <row r="651">
      <c r="D651" s="29"/>
      <c r="F651" s="31"/>
      <c r="G651" s="30"/>
      <c r="H651" s="30"/>
      <c r="J651" s="29"/>
      <c r="L651" s="30"/>
      <c r="M651" s="30"/>
      <c r="O651" s="32"/>
      <c r="P651" s="32"/>
      <c r="S651" s="32"/>
    </row>
    <row r="652">
      <c r="D652" s="29"/>
      <c r="F652" s="31"/>
      <c r="G652" s="30"/>
      <c r="H652" s="30"/>
      <c r="J652" s="29"/>
      <c r="L652" s="30"/>
      <c r="M652" s="30"/>
      <c r="O652" s="32"/>
      <c r="P652" s="32"/>
      <c r="S652" s="32"/>
    </row>
    <row r="653">
      <c r="D653" s="29"/>
      <c r="F653" s="31"/>
      <c r="G653" s="30"/>
      <c r="H653" s="30"/>
      <c r="J653" s="29"/>
      <c r="L653" s="30"/>
      <c r="M653" s="30"/>
      <c r="O653" s="32"/>
      <c r="P653" s="32"/>
      <c r="S653" s="32"/>
    </row>
    <row r="654">
      <c r="D654" s="29"/>
      <c r="F654" s="31"/>
      <c r="G654" s="30"/>
      <c r="H654" s="30"/>
      <c r="J654" s="29"/>
      <c r="L654" s="30"/>
      <c r="M654" s="30"/>
      <c r="O654" s="32"/>
      <c r="P654" s="32"/>
      <c r="S654" s="32"/>
    </row>
    <row r="655">
      <c r="D655" s="29"/>
      <c r="F655" s="31"/>
      <c r="G655" s="30"/>
      <c r="H655" s="30"/>
      <c r="J655" s="29"/>
      <c r="L655" s="30"/>
      <c r="M655" s="30"/>
      <c r="O655" s="32"/>
      <c r="P655" s="32"/>
      <c r="S655" s="32"/>
    </row>
    <row r="656">
      <c r="D656" s="29"/>
      <c r="F656" s="31"/>
      <c r="G656" s="30"/>
      <c r="H656" s="30"/>
      <c r="J656" s="29"/>
      <c r="L656" s="30"/>
      <c r="M656" s="30"/>
      <c r="O656" s="32"/>
      <c r="P656" s="32"/>
      <c r="S656" s="32"/>
    </row>
    <row r="657">
      <c r="D657" s="29"/>
      <c r="F657" s="31"/>
      <c r="G657" s="30"/>
      <c r="H657" s="30"/>
      <c r="J657" s="29"/>
      <c r="L657" s="30"/>
      <c r="M657" s="30"/>
      <c r="O657" s="32"/>
      <c r="P657" s="32"/>
      <c r="S657" s="32"/>
    </row>
    <row r="658">
      <c r="D658" s="29"/>
      <c r="F658" s="31"/>
      <c r="G658" s="30"/>
      <c r="H658" s="30"/>
      <c r="J658" s="29"/>
      <c r="L658" s="30"/>
      <c r="M658" s="30"/>
      <c r="O658" s="32"/>
      <c r="P658" s="32"/>
      <c r="S658" s="32"/>
    </row>
    <row r="659">
      <c r="D659" s="29"/>
      <c r="F659" s="31"/>
      <c r="G659" s="30"/>
      <c r="H659" s="30"/>
      <c r="J659" s="29"/>
      <c r="L659" s="30"/>
      <c r="M659" s="30"/>
      <c r="O659" s="32"/>
      <c r="P659" s="32"/>
      <c r="S659" s="32"/>
    </row>
    <row r="660">
      <c r="D660" s="29"/>
      <c r="F660" s="31"/>
      <c r="G660" s="30"/>
      <c r="H660" s="30"/>
      <c r="J660" s="29"/>
      <c r="L660" s="30"/>
      <c r="M660" s="30"/>
      <c r="O660" s="32"/>
      <c r="P660" s="32"/>
      <c r="S660" s="32"/>
    </row>
    <row r="661">
      <c r="D661" s="29"/>
      <c r="F661" s="31"/>
      <c r="G661" s="30"/>
      <c r="H661" s="30"/>
      <c r="J661" s="29"/>
      <c r="L661" s="30"/>
      <c r="M661" s="30"/>
      <c r="O661" s="32"/>
      <c r="P661" s="32"/>
      <c r="S661" s="32"/>
    </row>
    <row r="662">
      <c r="D662" s="29"/>
      <c r="F662" s="31"/>
      <c r="G662" s="30"/>
      <c r="H662" s="30"/>
      <c r="J662" s="29"/>
      <c r="L662" s="30"/>
      <c r="M662" s="30"/>
      <c r="O662" s="32"/>
      <c r="P662" s="32"/>
      <c r="S662" s="32"/>
    </row>
    <row r="663">
      <c r="D663" s="29"/>
      <c r="F663" s="31"/>
      <c r="G663" s="30"/>
      <c r="H663" s="30"/>
      <c r="J663" s="29"/>
      <c r="L663" s="30"/>
      <c r="M663" s="30"/>
      <c r="O663" s="32"/>
      <c r="P663" s="32"/>
      <c r="S663" s="32"/>
    </row>
    <row r="664">
      <c r="D664" s="29"/>
      <c r="F664" s="31"/>
      <c r="G664" s="30"/>
      <c r="H664" s="30"/>
      <c r="J664" s="29"/>
      <c r="L664" s="30"/>
      <c r="M664" s="30"/>
      <c r="O664" s="32"/>
      <c r="P664" s="32"/>
      <c r="S664" s="32"/>
    </row>
    <row r="665">
      <c r="D665" s="29"/>
      <c r="F665" s="31"/>
      <c r="G665" s="30"/>
      <c r="H665" s="30"/>
      <c r="J665" s="29"/>
      <c r="L665" s="30"/>
      <c r="M665" s="30"/>
      <c r="O665" s="32"/>
      <c r="P665" s="32"/>
      <c r="S665" s="32"/>
    </row>
    <row r="666">
      <c r="D666" s="29"/>
      <c r="F666" s="31"/>
      <c r="G666" s="30"/>
      <c r="H666" s="30"/>
      <c r="J666" s="29"/>
      <c r="L666" s="30"/>
      <c r="M666" s="30"/>
      <c r="O666" s="32"/>
      <c r="P666" s="32"/>
      <c r="S666" s="32"/>
    </row>
    <row r="667">
      <c r="D667" s="29"/>
      <c r="F667" s="31"/>
      <c r="G667" s="30"/>
      <c r="H667" s="30"/>
      <c r="J667" s="29"/>
      <c r="L667" s="30"/>
      <c r="M667" s="30"/>
      <c r="O667" s="32"/>
      <c r="P667" s="32"/>
      <c r="S667" s="32"/>
    </row>
    <row r="668">
      <c r="D668" s="29"/>
      <c r="F668" s="31"/>
      <c r="G668" s="30"/>
      <c r="H668" s="30"/>
      <c r="J668" s="29"/>
      <c r="L668" s="30"/>
      <c r="M668" s="30"/>
      <c r="O668" s="32"/>
      <c r="P668" s="32"/>
      <c r="S668" s="32"/>
    </row>
    <row r="669">
      <c r="D669" s="29"/>
      <c r="F669" s="31"/>
      <c r="G669" s="30"/>
      <c r="H669" s="30"/>
      <c r="J669" s="29"/>
      <c r="L669" s="30"/>
      <c r="M669" s="30"/>
      <c r="O669" s="32"/>
      <c r="P669" s="32"/>
      <c r="S669" s="32"/>
    </row>
    <row r="670">
      <c r="D670" s="29"/>
      <c r="F670" s="31"/>
      <c r="G670" s="30"/>
      <c r="H670" s="30"/>
      <c r="J670" s="29"/>
      <c r="L670" s="30"/>
      <c r="M670" s="30"/>
      <c r="O670" s="32"/>
      <c r="P670" s="32"/>
      <c r="S670" s="32"/>
    </row>
    <row r="671">
      <c r="D671" s="29"/>
      <c r="F671" s="31"/>
      <c r="G671" s="30"/>
      <c r="H671" s="30"/>
      <c r="J671" s="29"/>
      <c r="L671" s="30"/>
      <c r="M671" s="30"/>
      <c r="O671" s="32"/>
      <c r="P671" s="32"/>
      <c r="S671" s="32"/>
    </row>
    <row r="672">
      <c r="D672" s="29"/>
      <c r="F672" s="31"/>
      <c r="G672" s="30"/>
      <c r="H672" s="30"/>
      <c r="J672" s="29"/>
      <c r="L672" s="30"/>
      <c r="M672" s="30"/>
      <c r="O672" s="32"/>
      <c r="P672" s="32"/>
      <c r="S672" s="32"/>
    </row>
    <row r="673">
      <c r="D673" s="29"/>
      <c r="F673" s="31"/>
      <c r="G673" s="30"/>
      <c r="H673" s="30"/>
      <c r="J673" s="29"/>
      <c r="L673" s="30"/>
      <c r="M673" s="30"/>
      <c r="O673" s="32"/>
      <c r="P673" s="32"/>
      <c r="S673" s="32"/>
    </row>
    <row r="674">
      <c r="D674" s="29"/>
      <c r="F674" s="31"/>
      <c r="G674" s="30"/>
      <c r="H674" s="30"/>
      <c r="J674" s="29"/>
      <c r="L674" s="30"/>
      <c r="M674" s="30"/>
      <c r="O674" s="32"/>
      <c r="P674" s="32"/>
      <c r="S674" s="32"/>
    </row>
    <row r="675">
      <c r="D675" s="29"/>
      <c r="F675" s="31"/>
      <c r="G675" s="30"/>
      <c r="H675" s="30"/>
      <c r="J675" s="29"/>
      <c r="L675" s="30"/>
      <c r="M675" s="30"/>
      <c r="O675" s="32"/>
      <c r="P675" s="32"/>
      <c r="S675" s="32"/>
    </row>
    <row r="676">
      <c r="D676" s="29"/>
      <c r="F676" s="31"/>
      <c r="G676" s="30"/>
      <c r="H676" s="30"/>
      <c r="J676" s="29"/>
      <c r="L676" s="30"/>
      <c r="M676" s="30"/>
      <c r="O676" s="32"/>
      <c r="P676" s="32"/>
      <c r="S676" s="32"/>
    </row>
    <row r="677">
      <c r="D677" s="29"/>
      <c r="F677" s="31"/>
      <c r="G677" s="30"/>
      <c r="H677" s="30"/>
      <c r="J677" s="29"/>
      <c r="L677" s="30"/>
      <c r="M677" s="30"/>
      <c r="O677" s="32"/>
      <c r="P677" s="32"/>
      <c r="S677" s="32"/>
    </row>
    <row r="678">
      <c r="D678" s="29"/>
      <c r="F678" s="31"/>
      <c r="G678" s="30"/>
      <c r="H678" s="30"/>
      <c r="J678" s="29"/>
      <c r="L678" s="30"/>
      <c r="M678" s="30"/>
      <c r="O678" s="32"/>
      <c r="P678" s="32"/>
      <c r="S678" s="32"/>
    </row>
    <row r="679">
      <c r="D679" s="29"/>
      <c r="F679" s="31"/>
      <c r="G679" s="30"/>
      <c r="H679" s="30"/>
      <c r="J679" s="29"/>
      <c r="L679" s="30"/>
      <c r="M679" s="30"/>
      <c r="O679" s="32"/>
      <c r="P679" s="32"/>
      <c r="S679" s="32"/>
    </row>
    <row r="680">
      <c r="D680" s="29"/>
      <c r="F680" s="31"/>
      <c r="G680" s="30"/>
      <c r="H680" s="30"/>
      <c r="J680" s="29"/>
      <c r="L680" s="30"/>
      <c r="M680" s="30"/>
      <c r="O680" s="32"/>
      <c r="P680" s="32"/>
      <c r="S680" s="32"/>
    </row>
    <row r="681">
      <c r="D681" s="29"/>
      <c r="F681" s="31"/>
      <c r="G681" s="30"/>
      <c r="H681" s="30"/>
      <c r="J681" s="29"/>
      <c r="L681" s="30"/>
      <c r="M681" s="30"/>
      <c r="O681" s="32"/>
      <c r="P681" s="32"/>
      <c r="S681" s="32"/>
    </row>
    <row r="682">
      <c r="D682" s="29"/>
      <c r="F682" s="31"/>
      <c r="G682" s="30"/>
      <c r="H682" s="30"/>
      <c r="J682" s="29"/>
      <c r="L682" s="30"/>
      <c r="M682" s="30"/>
      <c r="O682" s="32"/>
      <c r="P682" s="32"/>
      <c r="S682" s="32"/>
    </row>
    <row r="683">
      <c r="D683" s="29"/>
      <c r="F683" s="31"/>
      <c r="G683" s="30"/>
      <c r="H683" s="30"/>
      <c r="J683" s="29"/>
      <c r="L683" s="30"/>
      <c r="M683" s="30"/>
      <c r="O683" s="32"/>
      <c r="P683" s="32"/>
      <c r="S683" s="32"/>
    </row>
    <row r="684">
      <c r="D684" s="29"/>
      <c r="F684" s="31"/>
      <c r="G684" s="30"/>
      <c r="H684" s="30"/>
      <c r="J684" s="29"/>
      <c r="L684" s="30"/>
      <c r="M684" s="30"/>
      <c r="O684" s="32"/>
      <c r="P684" s="32"/>
      <c r="S684" s="32"/>
    </row>
    <row r="685">
      <c r="D685" s="29"/>
      <c r="F685" s="31"/>
      <c r="G685" s="30"/>
      <c r="H685" s="30"/>
      <c r="J685" s="29"/>
      <c r="L685" s="30"/>
      <c r="M685" s="30"/>
      <c r="O685" s="32"/>
      <c r="P685" s="32"/>
      <c r="S685" s="32"/>
    </row>
    <row r="686">
      <c r="D686" s="29"/>
      <c r="F686" s="31"/>
      <c r="G686" s="30"/>
      <c r="H686" s="30"/>
      <c r="J686" s="29"/>
      <c r="L686" s="30"/>
      <c r="M686" s="30"/>
      <c r="O686" s="32"/>
      <c r="P686" s="32"/>
      <c r="S686" s="32"/>
    </row>
    <row r="687">
      <c r="D687" s="29"/>
      <c r="F687" s="31"/>
      <c r="G687" s="30"/>
      <c r="H687" s="30"/>
      <c r="J687" s="29"/>
      <c r="L687" s="30"/>
      <c r="M687" s="30"/>
      <c r="O687" s="32"/>
      <c r="P687" s="32"/>
      <c r="S687" s="32"/>
    </row>
    <row r="688">
      <c r="D688" s="29"/>
      <c r="F688" s="31"/>
      <c r="G688" s="30"/>
      <c r="H688" s="30"/>
      <c r="J688" s="29"/>
      <c r="L688" s="30"/>
      <c r="M688" s="30"/>
      <c r="O688" s="32"/>
      <c r="P688" s="32"/>
      <c r="S688" s="32"/>
    </row>
    <row r="689">
      <c r="D689" s="29"/>
      <c r="F689" s="31"/>
      <c r="G689" s="30"/>
      <c r="H689" s="30"/>
      <c r="J689" s="29"/>
      <c r="L689" s="30"/>
      <c r="M689" s="30"/>
      <c r="O689" s="32"/>
      <c r="P689" s="32"/>
      <c r="S689" s="32"/>
    </row>
    <row r="690">
      <c r="D690" s="29"/>
      <c r="F690" s="31"/>
      <c r="G690" s="30"/>
      <c r="H690" s="30"/>
      <c r="J690" s="29"/>
      <c r="L690" s="30"/>
      <c r="M690" s="30"/>
      <c r="O690" s="32"/>
      <c r="P690" s="32"/>
      <c r="S690" s="32"/>
    </row>
    <row r="691">
      <c r="D691" s="29"/>
      <c r="F691" s="31"/>
      <c r="G691" s="30"/>
      <c r="H691" s="30"/>
      <c r="J691" s="29"/>
      <c r="L691" s="30"/>
      <c r="M691" s="30"/>
      <c r="O691" s="32"/>
      <c r="P691" s="32"/>
      <c r="S691" s="32"/>
    </row>
    <row r="692">
      <c r="D692" s="29"/>
      <c r="F692" s="31"/>
      <c r="G692" s="30"/>
      <c r="H692" s="30"/>
      <c r="J692" s="29"/>
      <c r="L692" s="30"/>
      <c r="M692" s="30"/>
      <c r="O692" s="32"/>
      <c r="P692" s="32"/>
      <c r="S692" s="32"/>
    </row>
    <row r="693">
      <c r="D693" s="29"/>
      <c r="F693" s="31"/>
      <c r="G693" s="30"/>
      <c r="H693" s="30"/>
      <c r="J693" s="29"/>
      <c r="L693" s="30"/>
      <c r="M693" s="30"/>
      <c r="O693" s="32"/>
      <c r="P693" s="32"/>
      <c r="S693" s="32"/>
    </row>
    <row r="694">
      <c r="D694" s="29"/>
      <c r="F694" s="31"/>
      <c r="G694" s="30"/>
      <c r="H694" s="30"/>
      <c r="J694" s="29"/>
      <c r="L694" s="30"/>
      <c r="M694" s="30"/>
      <c r="O694" s="32"/>
      <c r="P694" s="32"/>
      <c r="S694" s="32"/>
    </row>
    <row r="695">
      <c r="D695" s="29"/>
      <c r="F695" s="31"/>
      <c r="G695" s="30"/>
      <c r="H695" s="30"/>
      <c r="J695" s="29"/>
      <c r="L695" s="30"/>
      <c r="M695" s="30"/>
      <c r="O695" s="32"/>
      <c r="P695" s="32"/>
      <c r="S695" s="32"/>
    </row>
    <row r="696">
      <c r="D696" s="29"/>
      <c r="F696" s="31"/>
      <c r="G696" s="30"/>
      <c r="H696" s="30"/>
      <c r="J696" s="29"/>
      <c r="L696" s="30"/>
      <c r="M696" s="30"/>
      <c r="O696" s="32"/>
      <c r="P696" s="32"/>
      <c r="S696" s="32"/>
    </row>
    <row r="697">
      <c r="D697" s="29"/>
      <c r="F697" s="31"/>
      <c r="G697" s="30"/>
      <c r="H697" s="30"/>
      <c r="J697" s="29"/>
      <c r="L697" s="30"/>
      <c r="M697" s="30"/>
      <c r="O697" s="32"/>
      <c r="P697" s="32"/>
      <c r="S697" s="32"/>
    </row>
    <row r="698">
      <c r="D698" s="29"/>
      <c r="F698" s="31"/>
      <c r="G698" s="30"/>
      <c r="H698" s="30"/>
      <c r="J698" s="29"/>
      <c r="L698" s="30"/>
      <c r="M698" s="30"/>
      <c r="O698" s="32"/>
      <c r="P698" s="32"/>
      <c r="S698" s="32"/>
    </row>
    <row r="699">
      <c r="D699" s="29"/>
      <c r="F699" s="31"/>
      <c r="G699" s="30"/>
      <c r="H699" s="30"/>
      <c r="J699" s="29"/>
      <c r="L699" s="30"/>
      <c r="M699" s="30"/>
      <c r="O699" s="32"/>
      <c r="P699" s="32"/>
      <c r="S699" s="32"/>
    </row>
    <row r="700">
      <c r="D700" s="29"/>
      <c r="F700" s="31"/>
      <c r="G700" s="30"/>
      <c r="H700" s="30"/>
      <c r="J700" s="29"/>
      <c r="L700" s="30"/>
      <c r="M700" s="30"/>
      <c r="O700" s="32"/>
      <c r="P700" s="32"/>
      <c r="S700" s="32"/>
    </row>
    <row r="701">
      <c r="D701" s="29"/>
      <c r="F701" s="31"/>
      <c r="G701" s="30"/>
      <c r="H701" s="30"/>
      <c r="J701" s="29"/>
      <c r="L701" s="30"/>
      <c r="M701" s="30"/>
      <c r="O701" s="32"/>
      <c r="P701" s="32"/>
      <c r="S701" s="32"/>
    </row>
    <row r="702">
      <c r="D702" s="29"/>
      <c r="F702" s="31"/>
      <c r="G702" s="30"/>
      <c r="H702" s="30"/>
      <c r="J702" s="29"/>
      <c r="L702" s="30"/>
      <c r="M702" s="30"/>
      <c r="O702" s="32"/>
      <c r="P702" s="32"/>
      <c r="S702" s="32"/>
    </row>
    <row r="703">
      <c r="D703" s="29"/>
      <c r="F703" s="31"/>
      <c r="G703" s="30"/>
      <c r="H703" s="30"/>
      <c r="J703" s="29"/>
      <c r="L703" s="30"/>
      <c r="M703" s="30"/>
      <c r="O703" s="32"/>
      <c r="P703" s="32"/>
      <c r="S703" s="32"/>
    </row>
    <row r="704">
      <c r="D704" s="29"/>
      <c r="F704" s="31"/>
      <c r="G704" s="30"/>
      <c r="H704" s="30"/>
      <c r="J704" s="29"/>
      <c r="L704" s="30"/>
      <c r="M704" s="30"/>
      <c r="O704" s="32"/>
      <c r="P704" s="32"/>
      <c r="S704" s="32"/>
    </row>
    <row r="705">
      <c r="D705" s="29"/>
      <c r="F705" s="31"/>
      <c r="G705" s="30"/>
      <c r="H705" s="30"/>
      <c r="J705" s="29"/>
      <c r="L705" s="30"/>
      <c r="M705" s="30"/>
      <c r="O705" s="32"/>
      <c r="P705" s="32"/>
      <c r="S705" s="32"/>
    </row>
    <row r="706">
      <c r="D706" s="29"/>
      <c r="F706" s="31"/>
      <c r="G706" s="30"/>
      <c r="H706" s="30"/>
      <c r="J706" s="29"/>
      <c r="L706" s="30"/>
      <c r="M706" s="30"/>
      <c r="O706" s="32"/>
      <c r="P706" s="32"/>
      <c r="S706" s="32"/>
    </row>
    <row r="707">
      <c r="D707" s="29"/>
      <c r="F707" s="31"/>
      <c r="G707" s="30"/>
      <c r="H707" s="30"/>
      <c r="J707" s="29"/>
      <c r="L707" s="30"/>
      <c r="M707" s="30"/>
      <c r="O707" s="32"/>
      <c r="P707" s="32"/>
      <c r="S707" s="32"/>
    </row>
    <row r="708">
      <c r="D708" s="29"/>
      <c r="F708" s="31"/>
      <c r="G708" s="30"/>
      <c r="H708" s="30"/>
      <c r="J708" s="29"/>
      <c r="L708" s="30"/>
      <c r="M708" s="30"/>
      <c r="O708" s="32"/>
      <c r="P708" s="32"/>
      <c r="S708" s="32"/>
    </row>
    <row r="709">
      <c r="D709" s="29"/>
      <c r="F709" s="31"/>
      <c r="G709" s="30"/>
      <c r="H709" s="30"/>
      <c r="J709" s="29"/>
      <c r="L709" s="30"/>
      <c r="M709" s="30"/>
      <c r="O709" s="32"/>
      <c r="P709" s="32"/>
      <c r="S709" s="32"/>
    </row>
    <row r="710">
      <c r="D710" s="29"/>
      <c r="F710" s="31"/>
      <c r="G710" s="30"/>
      <c r="H710" s="30"/>
      <c r="J710" s="29"/>
      <c r="L710" s="30"/>
      <c r="M710" s="30"/>
      <c r="O710" s="32"/>
      <c r="P710" s="32"/>
      <c r="S710" s="32"/>
    </row>
    <row r="711">
      <c r="D711" s="29"/>
      <c r="F711" s="31"/>
      <c r="G711" s="30"/>
      <c r="H711" s="30"/>
      <c r="J711" s="29"/>
      <c r="L711" s="30"/>
      <c r="M711" s="30"/>
      <c r="O711" s="32"/>
      <c r="P711" s="32"/>
      <c r="S711" s="32"/>
    </row>
    <row r="712">
      <c r="D712" s="29"/>
      <c r="F712" s="31"/>
      <c r="G712" s="30"/>
      <c r="H712" s="30"/>
      <c r="J712" s="29"/>
      <c r="L712" s="30"/>
      <c r="M712" s="30"/>
      <c r="O712" s="32"/>
      <c r="P712" s="32"/>
      <c r="S712" s="32"/>
    </row>
    <row r="713">
      <c r="D713" s="29"/>
      <c r="F713" s="31"/>
      <c r="G713" s="30"/>
      <c r="H713" s="30"/>
      <c r="J713" s="29"/>
      <c r="L713" s="30"/>
      <c r="M713" s="30"/>
      <c r="O713" s="32"/>
      <c r="P713" s="32"/>
      <c r="S713" s="32"/>
    </row>
    <row r="714">
      <c r="D714" s="29"/>
      <c r="F714" s="31"/>
      <c r="G714" s="30"/>
      <c r="H714" s="30"/>
      <c r="J714" s="29"/>
      <c r="L714" s="30"/>
      <c r="M714" s="30"/>
      <c r="O714" s="32"/>
      <c r="P714" s="32"/>
      <c r="S714" s="32"/>
    </row>
    <row r="715">
      <c r="D715" s="29"/>
      <c r="F715" s="31"/>
      <c r="G715" s="30"/>
      <c r="H715" s="30"/>
      <c r="J715" s="29"/>
      <c r="L715" s="30"/>
      <c r="M715" s="30"/>
      <c r="O715" s="32"/>
      <c r="P715" s="32"/>
      <c r="S715" s="32"/>
    </row>
    <row r="716">
      <c r="D716" s="29"/>
      <c r="F716" s="31"/>
      <c r="G716" s="30"/>
      <c r="H716" s="30"/>
      <c r="J716" s="29"/>
      <c r="L716" s="30"/>
      <c r="M716" s="30"/>
      <c r="O716" s="32"/>
      <c r="P716" s="32"/>
      <c r="S716" s="32"/>
    </row>
    <row r="717">
      <c r="D717" s="29"/>
      <c r="F717" s="31"/>
      <c r="G717" s="30"/>
      <c r="H717" s="30"/>
      <c r="J717" s="29"/>
      <c r="L717" s="30"/>
      <c r="M717" s="30"/>
      <c r="O717" s="32"/>
      <c r="P717" s="32"/>
      <c r="S717" s="32"/>
    </row>
    <row r="718">
      <c r="D718" s="29"/>
      <c r="F718" s="31"/>
      <c r="G718" s="30"/>
      <c r="H718" s="30"/>
      <c r="J718" s="29"/>
      <c r="L718" s="30"/>
      <c r="M718" s="30"/>
      <c r="O718" s="32"/>
      <c r="P718" s="32"/>
      <c r="S718" s="32"/>
    </row>
    <row r="719">
      <c r="D719" s="29"/>
      <c r="F719" s="31"/>
      <c r="G719" s="30"/>
      <c r="H719" s="30"/>
      <c r="J719" s="29"/>
      <c r="L719" s="30"/>
      <c r="M719" s="30"/>
      <c r="O719" s="32"/>
      <c r="P719" s="32"/>
      <c r="S719" s="32"/>
    </row>
    <row r="720">
      <c r="D720" s="29"/>
      <c r="F720" s="31"/>
      <c r="G720" s="30"/>
      <c r="H720" s="30"/>
      <c r="J720" s="29"/>
      <c r="L720" s="30"/>
      <c r="M720" s="30"/>
      <c r="O720" s="32"/>
      <c r="P720" s="32"/>
      <c r="S720" s="32"/>
    </row>
    <row r="721">
      <c r="D721" s="29"/>
      <c r="F721" s="31"/>
      <c r="G721" s="30"/>
      <c r="H721" s="30"/>
      <c r="J721" s="29"/>
      <c r="L721" s="30"/>
      <c r="M721" s="30"/>
      <c r="O721" s="32"/>
      <c r="P721" s="32"/>
      <c r="S721" s="32"/>
    </row>
    <row r="722">
      <c r="D722" s="29"/>
      <c r="F722" s="31"/>
      <c r="G722" s="30"/>
      <c r="H722" s="30"/>
      <c r="J722" s="29"/>
      <c r="L722" s="30"/>
      <c r="M722" s="30"/>
      <c r="O722" s="32"/>
      <c r="P722" s="32"/>
      <c r="S722" s="32"/>
    </row>
    <row r="723">
      <c r="D723" s="29"/>
      <c r="F723" s="31"/>
      <c r="G723" s="30"/>
      <c r="H723" s="30"/>
      <c r="J723" s="29"/>
      <c r="L723" s="30"/>
      <c r="M723" s="30"/>
      <c r="O723" s="32"/>
      <c r="P723" s="32"/>
      <c r="S723" s="32"/>
    </row>
    <row r="724">
      <c r="D724" s="29"/>
      <c r="F724" s="31"/>
      <c r="G724" s="30"/>
      <c r="H724" s="30"/>
      <c r="J724" s="29"/>
      <c r="L724" s="30"/>
      <c r="M724" s="30"/>
      <c r="O724" s="32"/>
      <c r="P724" s="32"/>
      <c r="S724" s="32"/>
    </row>
    <row r="725">
      <c r="D725" s="29"/>
      <c r="F725" s="31"/>
      <c r="G725" s="30"/>
      <c r="H725" s="30"/>
      <c r="J725" s="29"/>
      <c r="L725" s="30"/>
      <c r="M725" s="30"/>
      <c r="O725" s="32"/>
      <c r="P725" s="32"/>
      <c r="S725" s="32"/>
    </row>
    <row r="726">
      <c r="D726" s="29"/>
      <c r="F726" s="31"/>
      <c r="G726" s="30"/>
      <c r="H726" s="30"/>
      <c r="J726" s="29"/>
      <c r="L726" s="30"/>
      <c r="M726" s="30"/>
      <c r="O726" s="32"/>
      <c r="P726" s="32"/>
      <c r="S726" s="32"/>
    </row>
    <row r="727">
      <c r="D727" s="29"/>
      <c r="F727" s="31"/>
      <c r="G727" s="30"/>
      <c r="H727" s="30"/>
      <c r="J727" s="29"/>
      <c r="L727" s="30"/>
      <c r="M727" s="30"/>
      <c r="O727" s="32"/>
      <c r="P727" s="32"/>
      <c r="S727" s="32"/>
    </row>
    <row r="728">
      <c r="D728" s="29"/>
      <c r="F728" s="31"/>
      <c r="G728" s="30"/>
      <c r="H728" s="30"/>
      <c r="J728" s="29"/>
      <c r="L728" s="30"/>
      <c r="M728" s="30"/>
      <c r="O728" s="32"/>
      <c r="P728" s="32"/>
      <c r="S728" s="32"/>
    </row>
    <row r="729">
      <c r="D729" s="29"/>
      <c r="F729" s="31"/>
      <c r="G729" s="30"/>
      <c r="H729" s="30"/>
      <c r="J729" s="29"/>
      <c r="L729" s="30"/>
      <c r="M729" s="30"/>
      <c r="O729" s="32"/>
      <c r="P729" s="32"/>
      <c r="S729" s="32"/>
    </row>
    <row r="730">
      <c r="D730" s="29"/>
      <c r="F730" s="31"/>
      <c r="G730" s="30"/>
      <c r="H730" s="30"/>
      <c r="J730" s="29"/>
      <c r="L730" s="30"/>
      <c r="M730" s="30"/>
      <c r="O730" s="32"/>
      <c r="P730" s="32"/>
      <c r="S730" s="32"/>
    </row>
    <row r="731">
      <c r="D731" s="29"/>
      <c r="F731" s="31"/>
      <c r="G731" s="30"/>
      <c r="H731" s="30"/>
      <c r="J731" s="29"/>
      <c r="L731" s="30"/>
      <c r="M731" s="30"/>
      <c r="O731" s="32"/>
      <c r="P731" s="32"/>
      <c r="S731" s="32"/>
    </row>
    <row r="732">
      <c r="D732" s="29"/>
      <c r="F732" s="31"/>
      <c r="G732" s="30"/>
      <c r="H732" s="30"/>
      <c r="J732" s="29"/>
      <c r="L732" s="30"/>
      <c r="M732" s="30"/>
      <c r="O732" s="32"/>
      <c r="P732" s="32"/>
      <c r="S732" s="32"/>
    </row>
    <row r="733">
      <c r="D733" s="29"/>
      <c r="F733" s="31"/>
      <c r="G733" s="30"/>
      <c r="H733" s="30"/>
      <c r="J733" s="29"/>
      <c r="L733" s="30"/>
      <c r="M733" s="30"/>
      <c r="O733" s="32"/>
      <c r="P733" s="32"/>
      <c r="S733" s="32"/>
    </row>
    <row r="734">
      <c r="D734" s="29"/>
      <c r="F734" s="31"/>
      <c r="G734" s="30"/>
      <c r="H734" s="30"/>
      <c r="J734" s="29"/>
      <c r="L734" s="30"/>
      <c r="M734" s="30"/>
      <c r="O734" s="32"/>
      <c r="P734" s="32"/>
      <c r="S734" s="32"/>
    </row>
    <row r="735">
      <c r="D735" s="29"/>
      <c r="F735" s="31"/>
      <c r="G735" s="30"/>
      <c r="H735" s="30"/>
      <c r="J735" s="29"/>
      <c r="L735" s="30"/>
      <c r="M735" s="30"/>
      <c r="O735" s="32"/>
      <c r="P735" s="32"/>
      <c r="S735" s="32"/>
    </row>
    <row r="736">
      <c r="D736" s="29"/>
      <c r="F736" s="31"/>
      <c r="G736" s="30"/>
      <c r="H736" s="30"/>
      <c r="J736" s="29"/>
      <c r="L736" s="30"/>
      <c r="M736" s="30"/>
      <c r="O736" s="32"/>
      <c r="P736" s="32"/>
      <c r="S736" s="32"/>
    </row>
    <row r="737">
      <c r="D737" s="29"/>
      <c r="F737" s="31"/>
      <c r="G737" s="30"/>
      <c r="H737" s="30"/>
      <c r="J737" s="29"/>
      <c r="L737" s="30"/>
      <c r="M737" s="30"/>
      <c r="O737" s="32"/>
      <c r="P737" s="32"/>
      <c r="S737" s="32"/>
    </row>
    <row r="738">
      <c r="D738" s="29"/>
      <c r="F738" s="31"/>
      <c r="G738" s="30"/>
      <c r="H738" s="30"/>
      <c r="J738" s="29"/>
      <c r="L738" s="30"/>
      <c r="M738" s="30"/>
      <c r="O738" s="32"/>
      <c r="P738" s="32"/>
      <c r="S738" s="32"/>
    </row>
    <row r="739">
      <c r="D739" s="29"/>
      <c r="F739" s="31"/>
      <c r="G739" s="30"/>
      <c r="H739" s="30"/>
      <c r="J739" s="29"/>
      <c r="L739" s="30"/>
      <c r="M739" s="30"/>
      <c r="O739" s="32"/>
      <c r="P739" s="32"/>
      <c r="S739" s="32"/>
    </row>
    <row r="740">
      <c r="D740" s="29"/>
      <c r="F740" s="31"/>
      <c r="G740" s="30"/>
      <c r="H740" s="30"/>
      <c r="J740" s="29"/>
      <c r="L740" s="30"/>
      <c r="M740" s="30"/>
      <c r="O740" s="32"/>
      <c r="P740" s="32"/>
      <c r="S740" s="32"/>
    </row>
    <row r="741">
      <c r="D741" s="29"/>
      <c r="F741" s="31"/>
      <c r="G741" s="30"/>
      <c r="H741" s="30"/>
      <c r="J741" s="29"/>
      <c r="L741" s="30"/>
      <c r="M741" s="30"/>
      <c r="O741" s="32"/>
      <c r="P741" s="32"/>
      <c r="S741" s="32"/>
    </row>
    <row r="742">
      <c r="D742" s="29"/>
      <c r="F742" s="31"/>
      <c r="G742" s="30"/>
      <c r="H742" s="30"/>
      <c r="J742" s="29"/>
      <c r="L742" s="30"/>
      <c r="M742" s="30"/>
      <c r="O742" s="32"/>
      <c r="P742" s="32"/>
      <c r="S742" s="32"/>
    </row>
    <row r="743">
      <c r="D743" s="29"/>
      <c r="F743" s="31"/>
      <c r="G743" s="30"/>
      <c r="H743" s="30"/>
      <c r="J743" s="29"/>
      <c r="L743" s="30"/>
      <c r="M743" s="30"/>
      <c r="O743" s="32"/>
      <c r="P743" s="32"/>
      <c r="S743" s="32"/>
    </row>
    <row r="744">
      <c r="D744" s="29"/>
      <c r="F744" s="31"/>
      <c r="G744" s="30"/>
      <c r="H744" s="30"/>
      <c r="J744" s="29"/>
      <c r="L744" s="30"/>
      <c r="M744" s="30"/>
      <c r="O744" s="32"/>
      <c r="P744" s="32"/>
      <c r="S744" s="32"/>
    </row>
    <row r="745">
      <c r="D745" s="29"/>
      <c r="F745" s="31"/>
      <c r="G745" s="30"/>
      <c r="H745" s="30"/>
      <c r="J745" s="29"/>
      <c r="L745" s="30"/>
      <c r="M745" s="30"/>
      <c r="O745" s="32"/>
      <c r="P745" s="32"/>
      <c r="S745" s="32"/>
    </row>
    <row r="746">
      <c r="D746" s="29"/>
      <c r="F746" s="31"/>
      <c r="G746" s="30"/>
      <c r="H746" s="30"/>
      <c r="J746" s="29"/>
      <c r="L746" s="30"/>
      <c r="M746" s="30"/>
      <c r="O746" s="32"/>
      <c r="P746" s="32"/>
      <c r="S746" s="32"/>
    </row>
    <row r="747">
      <c r="D747" s="29"/>
      <c r="F747" s="31"/>
      <c r="G747" s="30"/>
      <c r="H747" s="30"/>
      <c r="J747" s="29"/>
      <c r="L747" s="30"/>
      <c r="M747" s="30"/>
      <c r="O747" s="32"/>
      <c r="P747" s="32"/>
      <c r="S747" s="32"/>
    </row>
    <row r="748">
      <c r="D748" s="29"/>
      <c r="F748" s="31"/>
      <c r="G748" s="30"/>
      <c r="H748" s="30"/>
      <c r="J748" s="29"/>
      <c r="L748" s="30"/>
      <c r="M748" s="30"/>
      <c r="O748" s="32"/>
      <c r="P748" s="32"/>
      <c r="S748" s="32"/>
    </row>
    <row r="749">
      <c r="D749" s="29"/>
      <c r="F749" s="31"/>
      <c r="G749" s="30"/>
      <c r="H749" s="30"/>
      <c r="J749" s="29"/>
      <c r="L749" s="30"/>
      <c r="M749" s="30"/>
      <c r="O749" s="32"/>
      <c r="P749" s="32"/>
      <c r="S749" s="32"/>
    </row>
    <row r="750">
      <c r="D750" s="29"/>
      <c r="F750" s="31"/>
      <c r="G750" s="30"/>
      <c r="H750" s="30"/>
      <c r="J750" s="29"/>
      <c r="L750" s="30"/>
      <c r="M750" s="30"/>
      <c r="O750" s="32"/>
      <c r="P750" s="32"/>
      <c r="S750" s="32"/>
    </row>
    <row r="751">
      <c r="D751" s="29"/>
      <c r="F751" s="31"/>
      <c r="G751" s="30"/>
      <c r="H751" s="30"/>
      <c r="J751" s="29"/>
      <c r="L751" s="30"/>
      <c r="M751" s="30"/>
      <c r="O751" s="32"/>
      <c r="P751" s="32"/>
      <c r="S751" s="32"/>
    </row>
    <row r="752">
      <c r="D752" s="29"/>
      <c r="F752" s="31"/>
      <c r="G752" s="30"/>
      <c r="H752" s="30"/>
      <c r="J752" s="29"/>
      <c r="L752" s="30"/>
      <c r="M752" s="30"/>
      <c r="O752" s="32"/>
      <c r="P752" s="32"/>
      <c r="S752" s="32"/>
    </row>
    <row r="753">
      <c r="D753" s="29"/>
      <c r="F753" s="31"/>
      <c r="G753" s="30"/>
      <c r="H753" s="30"/>
      <c r="J753" s="29"/>
      <c r="L753" s="30"/>
      <c r="M753" s="30"/>
      <c r="O753" s="32"/>
      <c r="P753" s="32"/>
      <c r="S753" s="32"/>
    </row>
    <row r="754">
      <c r="D754" s="29"/>
      <c r="F754" s="31"/>
      <c r="G754" s="30"/>
      <c r="H754" s="30"/>
      <c r="J754" s="29"/>
      <c r="L754" s="30"/>
      <c r="M754" s="30"/>
      <c r="O754" s="32"/>
      <c r="P754" s="32"/>
      <c r="S754" s="32"/>
    </row>
    <row r="755">
      <c r="D755" s="29"/>
      <c r="F755" s="31"/>
      <c r="G755" s="30"/>
      <c r="H755" s="30"/>
      <c r="J755" s="29"/>
      <c r="L755" s="30"/>
      <c r="M755" s="30"/>
      <c r="O755" s="32"/>
      <c r="P755" s="32"/>
      <c r="S755" s="32"/>
    </row>
    <row r="756">
      <c r="D756" s="29"/>
      <c r="F756" s="31"/>
      <c r="G756" s="30"/>
      <c r="H756" s="30"/>
      <c r="J756" s="29"/>
      <c r="L756" s="30"/>
      <c r="M756" s="30"/>
      <c r="O756" s="32"/>
      <c r="P756" s="32"/>
      <c r="S756" s="32"/>
    </row>
    <row r="757">
      <c r="D757" s="29"/>
      <c r="F757" s="31"/>
      <c r="G757" s="30"/>
      <c r="H757" s="30"/>
      <c r="J757" s="29"/>
      <c r="L757" s="30"/>
      <c r="M757" s="30"/>
      <c r="O757" s="32"/>
      <c r="P757" s="32"/>
      <c r="S757" s="32"/>
    </row>
    <row r="758">
      <c r="D758" s="29"/>
      <c r="F758" s="31"/>
      <c r="G758" s="30"/>
      <c r="H758" s="30"/>
      <c r="J758" s="29"/>
      <c r="L758" s="30"/>
      <c r="M758" s="30"/>
      <c r="O758" s="32"/>
      <c r="P758" s="32"/>
      <c r="S758" s="32"/>
    </row>
    <row r="759">
      <c r="D759" s="29"/>
      <c r="F759" s="31"/>
      <c r="G759" s="30"/>
      <c r="H759" s="30"/>
      <c r="J759" s="29"/>
      <c r="L759" s="30"/>
      <c r="M759" s="30"/>
      <c r="O759" s="32"/>
      <c r="P759" s="32"/>
      <c r="S759" s="32"/>
    </row>
    <row r="760">
      <c r="D760" s="29"/>
      <c r="F760" s="31"/>
      <c r="G760" s="30"/>
      <c r="H760" s="30"/>
      <c r="J760" s="29"/>
      <c r="L760" s="30"/>
      <c r="M760" s="30"/>
      <c r="O760" s="32"/>
      <c r="P760" s="32"/>
      <c r="S760" s="32"/>
    </row>
    <row r="761">
      <c r="D761" s="29"/>
      <c r="F761" s="31"/>
      <c r="G761" s="30"/>
      <c r="H761" s="30"/>
      <c r="J761" s="29"/>
      <c r="L761" s="30"/>
      <c r="M761" s="30"/>
      <c r="O761" s="32"/>
      <c r="P761" s="32"/>
      <c r="S761" s="32"/>
    </row>
    <row r="762">
      <c r="D762" s="29"/>
      <c r="F762" s="31"/>
      <c r="G762" s="30"/>
      <c r="H762" s="30"/>
      <c r="J762" s="29"/>
      <c r="L762" s="30"/>
      <c r="M762" s="30"/>
      <c r="O762" s="32"/>
      <c r="P762" s="32"/>
      <c r="S762" s="32"/>
    </row>
    <row r="763">
      <c r="D763" s="29"/>
      <c r="F763" s="31"/>
      <c r="G763" s="30"/>
      <c r="H763" s="30"/>
      <c r="J763" s="29"/>
      <c r="L763" s="30"/>
      <c r="M763" s="30"/>
      <c r="O763" s="32"/>
      <c r="P763" s="32"/>
      <c r="S763" s="32"/>
    </row>
    <row r="764">
      <c r="D764" s="29"/>
      <c r="F764" s="31"/>
      <c r="G764" s="30"/>
      <c r="H764" s="30"/>
      <c r="J764" s="29"/>
      <c r="L764" s="30"/>
      <c r="M764" s="30"/>
      <c r="O764" s="32"/>
      <c r="P764" s="32"/>
      <c r="S764" s="32"/>
    </row>
    <row r="765">
      <c r="D765" s="29"/>
      <c r="F765" s="31"/>
      <c r="G765" s="30"/>
      <c r="H765" s="30"/>
      <c r="J765" s="29"/>
      <c r="L765" s="30"/>
      <c r="M765" s="30"/>
      <c r="O765" s="32"/>
      <c r="P765" s="32"/>
      <c r="S765" s="32"/>
    </row>
    <row r="766">
      <c r="D766" s="29"/>
      <c r="F766" s="31"/>
      <c r="G766" s="30"/>
      <c r="H766" s="30"/>
      <c r="J766" s="29"/>
      <c r="L766" s="30"/>
      <c r="M766" s="30"/>
      <c r="O766" s="32"/>
      <c r="P766" s="32"/>
      <c r="S766" s="32"/>
    </row>
    <row r="767">
      <c r="D767" s="29"/>
      <c r="F767" s="31"/>
      <c r="G767" s="30"/>
      <c r="H767" s="30"/>
      <c r="J767" s="29"/>
      <c r="L767" s="30"/>
      <c r="M767" s="30"/>
      <c r="O767" s="32"/>
      <c r="P767" s="32"/>
      <c r="S767" s="32"/>
    </row>
    <row r="768">
      <c r="D768" s="29"/>
      <c r="F768" s="31"/>
      <c r="G768" s="30"/>
      <c r="H768" s="30"/>
      <c r="J768" s="29"/>
      <c r="L768" s="30"/>
      <c r="M768" s="30"/>
      <c r="O768" s="32"/>
      <c r="P768" s="32"/>
      <c r="S768" s="32"/>
    </row>
    <row r="769">
      <c r="D769" s="29"/>
      <c r="F769" s="31"/>
      <c r="G769" s="30"/>
      <c r="H769" s="30"/>
      <c r="J769" s="29"/>
      <c r="L769" s="30"/>
      <c r="M769" s="30"/>
      <c r="O769" s="32"/>
      <c r="P769" s="32"/>
      <c r="S769" s="32"/>
    </row>
    <row r="770">
      <c r="D770" s="29"/>
      <c r="F770" s="31"/>
      <c r="G770" s="30"/>
      <c r="H770" s="30"/>
      <c r="J770" s="29"/>
      <c r="L770" s="30"/>
      <c r="M770" s="30"/>
      <c r="O770" s="32"/>
      <c r="P770" s="32"/>
      <c r="S770" s="32"/>
    </row>
    <row r="771">
      <c r="D771" s="29"/>
      <c r="F771" s="31"/>
      <c r="G771" s="30"/>
      <c r="H771" s="30"/>
      <c r="J771" s="29"/>
      <c r="L771" s="30"/>
      <c r="M771" s="30"/>
      <c r="O771" s="32"/>
      <c r="P771" s="32"/>
      <c r="S771" s="32"/>
    </row>
    <row r="772">
      <c r="D772" s="29"/>
      <c r="F772" s="31"/>
      <c r="G772" s="30"/>
      <c r="H772" s="30"/>
      <c r="J772" s="29"/>
      <c r="L772" s="30"/>
      <c r="M772" s="30"/>
      <c r="O772" s="32"/>
      <c r="P772" s="32"/>
      <c r="S772" s="32"/>
    </row>
    <row r="773">
      <c r="D773" s="29"/>
      <c r="F773" s="31"/>
      <c r="G773" s="30"/>
      <c r="H773" s="30"/>
      <c r="J773" s="29"/>
      <c r="L773" s="30"/>
      <c r="M773" s="30"/>
      <c r="O773" s="32"/>
      <c r="P773" s="32"/>
      <c r="S773" s="32"/>
    </row>
    <row r="774">
      <c r="D774" s="29"/>
      <c r="F774" s="31"/>
      <c r="G774" s="30"/>
      <c r="H774" s="30"/>
      <c r="J774" s="29"/>
      <c r="L774" s="30"/>
      <c r="M774" s="30"/>
      <c r="O774" s="32"/>
      <c r="P774" s="32"/>
      <c r="S774" s="32"/>
    </row>
    <row r="775">
      <c r="D775" s="29"/>
      <c r="F775" s="31"/>
      <c r="G775" s="30"/>
      <c r="H775" s="30"/>
      <c r="J775" s="29"/>
      <c r="L775" s="30"/>
      <c r="M775" s="30"/>
      <c r="O775" s="32"/>
      <c r="P775" s="32"/>
      <c r="S775" s="32"/>
    </row>
    <row r="776">
      <c r="D776" s="29"/>
      <c r="F776" s="31"/>
      <c r="G776" s="30"/>
      <c r="H776" s="30"/>
      <c r="J776" s="29"/>
      <c r="L776" s="30"/>
      <c r="M776" s="30"/>
      <c r="O776" s="32"/>
      <c r="P776" s="32"/>
      <c r="S776" s="32"/>
    </row>
    <row r="777">
      <c r="D777" s="29"/>
      <c r="F777" s="31"/>
      <c r="G777" s="30"/>
      <c r="H777" s="30"/>
      <c r="J777" s="29"/>
      <c r="L777" s="30"/>
      <c r="M777" s="30"/>
      <c r="O777" s="32"/>
      <c r="P777" s="32"/>
      <c r="S777" s="32"/>
    </row>
    <row r="778">
      <c r="D778" s="29"/>
      <c r="F778" s="31"/>
      <c r="G778" s="30"/>
      <c r="H778" s="30"/>
      <c r="J778" s="29"/>
      <c r="L778" s="30"/>
      <c r="M778" s="30"/>
      <c r="O778" s="32"/>
      <c r="P778" s="32"/>
      <c r="S778" s="32"/>
    </row>
    <row r="779">
      <c r="D779" s="29"/>
      <c r="F779" s="31"/>
      <c r="G779" s="30"/>
      <c r="H779" s="30"/>
      <c r="J779" s="29"/>
      <c r="L779" s="30"/>
      <c r="M779" s="30"/>
      <c r="O779" s="32"/>
      <c r="P779" s="32"/>
      <c r="S779" s="32"/>
    </row>
    <row r="780">
      <c r="D780" s="29"/>
      <c r="F780" s="31"/>
      <c r="G780" s="30"/>
      <c r="H780" s="30"/>
      <c r="J780" s="29"/>
      <c r="L780" s="30"/>
      <c r="M780" s="30"/>
      <c r="O780" s="32"/>
      <c r="P780" s="32"/>
      <c r="S780" s="32"/>
    </row>
    <row r="781">
      <c r="D781" s="29"/>
      <c r="F781" s="31"/>
      <c r="G781" s="30"/>
      <c r="H781" s="30"/>
      <c r="J781" s="29"/>
      <c r="L781" s="30"/>
      <c r="M781" s="30"/>
      <c r="O781" s="32"/>
      <c r="P781" s="32"/>
      <c r="S781" s="32"/>
    </row>
    <row r="782">
      <c r="D782" s="29"/>
      <c r="F782" s="31"/>
      <c r="G782" s="30"/>
      <c r="H782" s="30"/>
      <c r="J782" s="29"/>
      <c r="L782" s="30"/>
      <c r="M782" s="30"/>
      <c r="O782" s="32"/>
      <c r="P782" s="32"/>
      <c r="S782" s="32"/>
    </row>
    <row r="783">
      <c r="D783" s="29"/>
      <c r="F783" s="31"/>
      <c r="G783" s="30"/>
      <c r="H783" s="30"/>
      <c r="J783" s="29"/>
      <c r="L783" s="30"/>
      <c r="M783" s="30"/>
      <c r="O783" s="32"/>
      <c r="P783" s="32"/>
      <c r="S783" s="32"/>
    </row>
    <row r="784">
      <c r="D784" s="29"/>
      <c r="F784" s="31"/>
      <c r="G784" s="30"/>
      <c r="H784" s="30"/>
      <c r="J784" s="29"/>
      <c r="L784" s="30"/>
      <c r="M784" s="30"/>
      <c r="O784" s="32"/>
      <c r="P784" s="32"/>
      <c r="S784" s="32"/>
    </row>
    <row r="785">
      <c r="D785" s="29"/>
      <c r="F785" s="31"/>
      <c r="G785" s="30"/>
      <c r="H785" s="30"/>
      <c r="J785" s="29"/>
      <c r="L785" s="30"/>
      <c r="M785" s="30"/>
      <c r="O785" s="32"/>
      <c r="P785" s="32"/>
      <c r="S785" s="32"/>
    </row>
    <row r="786">
      <c r="D786" s="29"/>
      <c r="F786" s="31"/>
      <c r="G786" s="30"/>
      <c r="H786" s="30"/>
      <c r="J786" s="29"/>
      <c r="L786" s="30"/>
      <c r="M786" s="30"/>
      <c r="O786" s="32"/>
      <c r="P786" s="32"/>
      <c r="S786" s="32"/>
    </row>
    <row r="787">
      <c r="D787" s="29"/>
      <c r="F787" s="31"/>
      <c r="G787" s="30"/>
      <c r="H787" s="30"/>
      <c r="J787" s="29"/>
      <c r="L787" s="30"/>
      <c r="M787" s="30"/>
      <c r="O787" s="32"/>
      <c r="P787" s="32"/>
      <c r="S787" s="32"/>
    </row>
    <row r="788">
      <c r="D788" s="29"/>
      <c r="F788" s="31"/>
      <c r="G788" s="30"/>
      <c r="H788" s="30"/>
      <c r="J788" s="29"/>
      <c r="L788" s="30"/>
      <c r="M788" s="30"/>
      <c r="O788" s="32"/>
      <c r="P788" s="32"/>
      <c r="S788" s="32"/>
    </row>
    <row r="789">
      <c r="D789" s="29"/>
      <c r="F789" s="31"/>
      <c r="G789" s="30"/>
      <c r="H789" s="30"/>
      <c r="J789" s="29"/>
      <c r="L789" s="30"/>
      <c r="M789" s="30"/>
      <c r="O789" s="32"/>
      <c r="P789" s="32"/>
      <c r="S789" s="32"/>
    </row>
    <row r="790">
      <c r="D790" s="29"/>
      <c r="F790" s="31"/>
      <c r="G790" s="30"/>
      <c r="H790" s="30"/>
      <c r="J790" s="29"/>
      <c r="L790" s="30"/>
      <c r="M790" s="30"/>
      <c r="O790" s="32"/>
      <c r="P790" s="32"/>
      <c r="S790" s="32"/>
    </row>
    <row r="791">
      <c r="D791" s="29"/>
      <c r="F791" s="31"/>
      <c r="G791" s="30"/>
      <c r="H791" s="30"/>
      <c r="J791" s="29"/>
      <c r="L791" s="30"/>
      <c r="M791" s="30"/>
      <c r="O791" s="32"/>
      <c r="P791" s="32"/>
      <c r="S791" s="32"/>
    </row>
    <row r="792">
      <c r="D792" s="29"/>
      <c r="F792" s="31"/>
      <c r="G792" s="30"/>
      <c r="H792" s="30"/>
      <c r="J792" s="29"/>
      <c r="L792" s="30"/>
      <c r="M792" s="30"/>
      <c r="O792" s="32"/>
      <c r="P792" s="32"/>
      <c r="S792" s="32"/>
    </row>
    <row r="793">
      <c r="D793" s="29"/>
      <c r="F793" s="31"/>
      <c r="G793" s="30"/>
      <c r="H793" s="30"/>
      <c r="J793" s="29"/>
      <c r="L793" s="30"/>
      <c r="M793" s="30"/>
      <c r="O793" s="32"/>
      <c r="P793" s="32"/>
      <c r="S793" s="32"/>
    </row>
    <row r="794">
      <c r="D794" s="29"/>
      <c r="F794" s="31"/>
      <c r="G794" s="30"/>
      <c r="H794" s="30"/>
      <c r="J794" s="29"/>
      <c r="L794" s="30"/>
      <c r="M794" s="30"/>
      <c r="O794" s="32"/>
      <c r="P794" s="32"/>
      <c r="S794" s="32"/>
    </row>
    <row r="795">
      <c r="D795" s="29"/>
      <c r="F795" s="31"/>
      <c r="G795" s="30"/>
      <c r="H795" s="30"/>
      <c r="J795" s="29"/>
      <c r="L795" s="30"/>
      <c r="M795" s="30"/>
      <c r="O795" s="32"/>
      <c r="P795" s="32"/>
      <c r="S795" s="32"/>
    </row>
    <row r="796">
      <c r="D796" s="29"/>
      <c r="F796" s="31"/>
      <c r="G796" s="30"/>
      <c r="H796" s="30"/>
      <c r="J796" s="29"/>
      <c r="L796" s="30"/>
      <c r="M796" s="30"/>
      <c r="O796" s="32"/>
      <c r="P796" s="32"/>
      <c r="S796" s="32"/>
    </row>
    <row r="797">
      <c r="D797" s="29"/>
      <c r="F797" s="31"/>
      <c r="G797" s="30"/>
      <c r="H797" s="30"/>
      <c r="J797" s="29"/>
      <c r="L797" s="30"/>
      <c r="M797" s="30"/>
      <c r="O797" s="32"/>
      <c r="P797" s="32"/>
      <c r="S797" s="32"/>
    </row>
    <row r="798">
      <c r="D798" s="29"/>
      <c r="F798" s="31"/>
      <c r="G798" s="30"/>
      <c r="H798" s="30"/>
      <c r="J798" s="29"/>
      <c r="L798" s="30"/>
      <c r="M798" s="30"/>
      <c r="O798" s="32"/>
      <c r="P798" s="32"/>
      <c r="S798" s="32"/>
    </row>
    <row r="799">
      <c r="D799" s="29"/>
      <c r="F799" s="31"/>
      <c r="G799" s="30"/>
      <c r="H799" s="30"/>
      <c r="J799" s="29"/>
      <c r="L799" s="30"/>
      <c r="M799" s="30"/>
      <c r="O799" s="32"/>
      <c r="P799" s="32"/>
      <c r="S799" s="32"/>
    </row>
    <row r="800">
      <c r="D800" s="29"/>
      <c r="F800" s="31"/>
      <c r="G800" s="30"/>
      <c r="H800" s="30"/>
      <c r="J800" s="29"/>
      <c r="L800" s="30"/>
      <c r="M800" s="30"/>
      <c r="O800" s="32"/>
      <c r="P800" s="32"/>
      <c r="S800" s="32"/>
    </row>
    <row r="801">
      <c r="D801" s="29"/>
      <c r="F801" s="31"/>
      <c r="G801" s="30"/>
      <c r="H801" s="30"/>
      <c r="J801" s="29"/>
      <c r="L801" s="30"/>
      <c r="M801" s="30"/>
      <c r="O801" s="32"/>
      <c r="P801" s="32"/>
      <c r="S801" s="32"/>
    </row>
    <row r="802">
      <c r="D802" s="29"/>
      <c r="F802" s="31"/>
      <c r="G802" s="30"/>
      <c r="H802" s="30"/>
      <c r="J802" s="29"/>
      <c r="L802" s="30"/>
      <c r="M802" s="30"/>
      <c r="O802" s="32"/>
      <c r="P802" s="32"/>
      <c r="S802" s="32"/>
    </row>
    <row r="803">
      <c r="D803" s="29"/>
      <c r="F803" s="31"/>
      <c r="G803" s="30"/>
      <c r="H803" s="30"/>
      <c r="J803" s="29"/>
      <c r="L803" s="30"/>
      <c r="M803" s="30"/>
      <c r="O803" s="32"/>
      <c r="P803" s="32"/>
      <c r="S803" s="32"/>
    </row>
    <row r="804">
      <c r="D804" s="29"/>
      <c r="F804" s="31"/>
      <c r="G804" s="30"/>
      <c r="H804" s="30"/>
      <c r="J804" s="29"/>
      <c r="L804" s="30"/>
      <c r="M804" s="30"/>
      <c r="O804" s="32"/>
      <c r="P804" s="32"/>
      <c r="S804" s="32"/>
    </row>
    <row r="805">
      <c r="D805" s="29"/>
      <c r="F805" s="31"/>
      <c r="G805" s="30"/>
      <c r="H805" s="30"/>
      <c r="J805" s="29"/>
      <c r="L805" s="30"/>
      <c r="M805" s="30"/>
      <c r="O805" s="32"/>
      <c r="P805" s="32"/>
      <c r="S805" s="32"/>
    </row>
    <row r="806">
      <c r="D806" s="29"/>
      <c r="F806" s="31"/>
      <c r="G806" s="30"/>
      <c r="H806" s="30"/>
      <c r="J806" s="29"/>
      <c r="L806" s="30"/>
      <c r="M806" s="30"/>
      <c r="O806" s="32"/>
      <c r="P806" s="32"/>
      <c r="S806" s="32"/>
    </row>
    <row r="807">
      <c r="D807" s="29"/>
      <c r="F807" s="31"/>
      <c r="G807" s="30"/>
      <c r="H807" s="30"/>
      <c r="J807" s="29"/>
      <c r="L807" s="30"/>
      <c r="M807" s="30"/>
      <c r="O807" s="32"/>
      <c r="P807" s="32"/>
      <c r="S807" s="32"/>
    </row>
    <row r="808">
      <c r="D808" s="29"/>
      <c r="F808" s="31"/>
      <c r="G808" s="30"/>
      <c r="H808" s="30"/>
      <c r="J808" s="29"/>
      <c r="L808" s="30"/>
      <c r="M808" s="30"/>
      <c r="O808" s="32"/>
      <c r="P808" s="32"/>
      <c r="S808" s="32"/>
    </row>
    <row r="809">
      <c r="D809" s="29"/>
      <c r="F809" s="31"/>
      <c r="G809" s="30"/>
      <c r="H809" s="30"/>
      <c r="J809" s="29"/>
      <c r="L809" s="30"/>
      <c r="M809" s="30"/>
      <c r="O809" s="32"/>
      <c r="P809" s="32"/>
      <c r="S809" s="32"/>
    </row>
    <row r="810">
      <c r="D810" s="29"/>
      <c r="F810" s="31"/>
      <c r="G810" s="30"/>
      <c r="H810" s="30"/>
      <c r="J810" s="29"/>
      <c r="L810" s="30"/>
      <c r="M810" s="30"/>
      <c r="O810" s="32"/>
      <c r="P810" s="32"/>
      <c r="S810" s="32"/>
    </row>
    <row r="811">
      <c r="D811" s="29"/>
      <c r="F811" s="31"/>
      <c r="G811" s="30"/>
      <c r="H811" s="30"/>
      <c r="J811" s="29"/>
      <c r="L811" s="30"/>
      <c r="M811" s="30"/>
      <c r="O811" s="32"/>
      <c r="P811" s="32"/>
      <c r="S811" s="32"/>
    </row>
    <row r="812">
      <c r="D812" s="29"/>
      <c r="F812" s="31"/>
      <c r="G812" s="30"/>
      <c r="H812" s="30"/>
      <c r="J812" s="29"/>
      <c r="L812" s="30"/>
      <c r="M812" s="30"/>
      <c r="O812" s="32"/>
      <c r="P812" s="32"/>
      <c r="S812" s="32"/>
    </row>
    <row r="813">
      <c r="D813" s="29"/>
      <c r="F813" s="31"/>
      <c r="G813" s="30"/>
      <c r="H813" s="30"/>
      <c r="J813" s="29"/>
      <c r="L813" s="30"/>
      <c r="M813" s="30"/>
      <c r="O813" s="32"/>
      <c r="P813" s="32"/>
      <c r="S813" s="32"/>
    </row>
    <row r="814">
      <c r="D814" s="29"/>
      <c r="F814" s="31"/>
      <c r="G814" s="30"/>
      <c r="H814" s="30"/>
      <c r="J814" s="29"/>
      <c r="L814" s="30"/>
      <c r="M814" s="30"/>
      <c r="O814" s="32"/>
      <c r="P814" s="32"/>
      <c r="S814" s="32"/>
    </row>
    <row r="815">
      <c r="D815" s="29"/>
      <c r="F815" s="31"/>
      <c r="G815" s="30"/>
      <c r="H815" s="30"/>
      <c r="J815" s="29"/>
      <c r="L815" s="30"/>
      <c r="M815" s="30"/>
      <c r="O815" s="32"/>
      <c r="P815" s="32"/>
      <c r="S815" s="32"/>
    </row>
    <row r="816">
      <c r="D816" s="29"/>
      <c r="F816" s="31"/>
      <c r="G816" s="30"/>
      <c r="H816" s="30"/>
      <c r="J816" s="29"/>
      <c r="L816" s="30"/>
      <c r="M816" s="30"/>
      <c r="O816" s="32"/>
      <c r="P816" s="32"/>
      <c r="S816" s="32"/>
    </row>
    <row r="817">
      <c r="D817" s="29"/>
      <c r="F817" s="31"/>
      <c r="G817" s="30"/>
      <c r="H817" s="30"/>
      <c r="J817" s="29"/>
      <c r="L817" s="30"/>
      <c r="M817" s="30"/>
      <c r="O817" s="32"/>
      <c r="P817" s="32"/>
      <c r="S817" s="32"/>
    </row>
    <row r="818">
      <c r="D818" s="29"/>
      <c r="F818" s="31"/>
      <c r="G818" s="30"/>
      <c r="H818" s="30"/>
      <c r="J818" s="29"/>
      <c r="L818" s="30"/>
      <c r="M818" s="30"/>
      <c r="O818" s="32"/>
      <c r="P818" s="32"/>
      <c r="S818" s="32"/>
    </row>
    <row r="819">
      <c r="D819" s="29"/>
      <c r="F819" s="31"/>
      <c r="G819" s="30"/>
      <c r="H819" s="30"/>
      <c r="J819" s="29"/>
      <c r="L819" s="30"/>
      <c r="M819" s="30"/>
      <c r="O819" s="32"/>
      <c r="P819" s="32"/>
      <c r="S819" s="32"/>
    </row>
    <row r="820">
      <c r="D820" s="29"/>
      <c r="F820" s="31"/>
      <c r="G820" s="30"/>
      <c r="H820" s="30"/>
      <c r="J820" s="29"/>
      <c r="L820" s="30"/>
      <c r="M820" s="30"/>
      <c r="O820" s="32"/>
      <c r="P820" s="32"/>
      <c r="S820" s="32"/>
    </row>
    <row r="821">
      <c r="D821" s="29"/>
      <c r="F821" s="31"/>
      <c r="G821" s="30"/>
      <c r="H821" s="30"/>
      <c r="J821" s="29"/>
      <c r="L821" s="30"/>
      <c r="M821" s="30"/>
      <c r="O821" s="32"/>
      <c r="P821" s="32"/>
      <c r="S821" s="32"/>
    </row>
    <row r="822">
      <c r="D822" s="29"/>
      <c r="F822" s="31"/>
      <c r="G822" s="30"/>
      <c r="H822" s="30"/>
      <c r="J822" s="29"/>
      <c r="L822" s="30"/>
      <c r="M822" s="30"/>
      <c r="O822" s="32"/>
      <c r="P822" s="32"/>
      <c r="S822" s="32"/>
    </row>
    <row r="823">
      <c r="D823" s="29"/>
      <c r="F823" s="31"/>
      <c r="G823" s="30"/>
      <c r="H823" s="30"/>
      <c r="J823" s="29"/>
      <c r="L823" s="30"/>
      <c r="M823" s="30"/>
      <c r="O823" s="32"/>
      <c r="P823" s="32"/>
      <c r="S823" s="32"/>
    </row>
    <row r="824">
      <c r="D824" s="29"/>
      <c r="F824" s="31"/>
      <c r="G824" s="30"/>
      <c r="H824" s="30"/>
      <c r="J824" s="29"/>
      <c r="L824" s="30"/>
      <c r="M824" s="30"/>
      <c r="O824" s="32"/>
      <c r="P824" s="32"/>
      <c r="S824" s="32"/>
    </row>
    <row r="825">
      <c r="D825" s="29"/>
      <c r="F825" s="31"/>
      <c r="G825" s="30"/>
      <c r="H825" s="30"/>
      <c r="J825" s="29"/>
      <c r="L825" s="30"/>
      <c r="M825" s="30"/>
      <c r="O825" s="32"/>
      <c r="P825" s="32"/>
      <c r="S825" s="32"/>
    </row>
    <row r="826">
      <c r="D826" s="29"/>
      <c r="F826" s="31"/>
      <c r="G826" s="30"/>
      <c r="H826" s="30"/>
      <c r="J826" s="29"/>
      <c r="L826" s="30"/>
      <c r="M826" s="30"/>
      <c r="O826" s="32"/>
      <c r="P826" s="32"/>
      <c r="S826" s="32"/>
    </row>
    <row r="827">
      <c r="D827" s="29"/>
      <c r="F827" s="31"/>
      <c r="G827" s="30"/>
      <c r="H827" s="30"/>
      <c r="J827" s="29"/>
      <c r="L827" s="30"/>
      <c r="M827" s="30"/>
      <c r="O827" s="32"/>
      <c r="P827" s="32"/>
      <c r="S827" s="32"/>
    </row>
    <row r="828">
      <c r="D828" s="29"/>
      <c r="F828" s="31"/>
      <c r="G828" s="30"/>
      <c r="H828" s="30"/>
      <c r="J828" s="29"/>
      <c r="L828" s="30"/>
      <c r="M828" s="30"/>
      <c r="O828" s="32"/>
      <c r="P828" s="32"/>
      <c r="S828" s="32"/>
    </row>
    <row r="829">
      <c r="D829" s="29"/>
      <c r="F829" s="31"/>
      <c r="G829" s="30"/>
      <c r="H829" s="30"/>
      <c r="J829" s="29"/>
      <c r="L829" s="30"/>
      <c r="M829" s="30"/>
      <c r="O829" s="32"/>
      <c r="P829" s="32"/>
      <c r="S829" s="32"/>
    </row>
    <row r="830">
      <c r="D830" s="29"/>
      <c r="F830" s="31"/>
      <c r="G830" s="30"/>
      <c r="H830" s="30"/>
      <c r="J830" s="29"/>
      <c r="L830" s="30"/>
      <c r="M830" s="30"/>
      <c r="O830" s="32"/>
      <c r="P830" s="32"/>
      <c r="S830" s="32"/>
    </row>
    <row r="831">
      <c r="D831" s="29"/>
      <c r="F831" s="31"/>
      <c r="G831" s="30"/>
      <c r="H831" s="30"/>
      <c r="J831" s="29"/>
      <c r="L831" s="30"/>
      <c r="M831" s="30"/>
      <c r="O831" s="32"/>
      <c r="P831" s="32"/>
      <c r="S831" s="32"/>
    </row>
    <row r="832">
      <c r="D832" s="29"/>
      <c r="F832" s="31"/>
      <c r="G832" s="30"/>
      <c r="H832" s="30"/>
      <c r="J832" s="29"/>
      <c r="L832" s="30"/>
      <c r="M832" s="30"/>
      <c r="O832" s="32"/>
      <c r="P832" s="32"/>
      <c r="S832" s="32"/>
    </row>
    <row r="833">
      <c r="D833" s="29"/>
      <c r="F833" s="31"/>
      <c r="G833" s="30"/>
      <c r="H833" s="30"/>
      <c r="J833" s="29"/>
      <c r="L833" s="30"/>
      <c r="M833" s="30"/>
      <c r="O833" s="32"/>
      <c r="P833" s="32"/>
      <c r="S833" s="32"/>
    </row>
    <row r="834">
      <c r="D834" s="29"/>
      <c r="F834" s="31"/>
      <c r="G834" s="30"/>
      <c r="H834" s="30"/>
      <c r="J834" s="29"/>
      <c r="L834" s="30"/>
      <c r="M834" s="30"/>
      <c r="O834" s="32"/>
      <c r="P834" s="32"/>
      <c r="S834" s="32"/>
    </row>
    <row r="835">
      <c r="D835" s="29"/>
      <c r="F835" s="31"/>
      <c r="G835" s="30"/>
      <c r="H835" s="30"/>
      <c r="J835" s="29"/>
      <c r="L835" s="30"/>
      <c r="M835" s="30"/>
      <c r="O835" s="32"/>
      <c r="P835" s="32"/>
      <c r="S835" s="32"/>
    </row>
    <row r="836">
      <c r="D836" s="29"/>
      <c r="F836" s="31"/>
      <c r="G836" s="30"/>
      <c r="H836" s="30"/>
      <c r="J836" s="29"/>
      <c r="L836" s="30"/>
      <c r="M836" s="30"/>
      <c r="O836" s="32"/>
      <c r="P836" s="32"/>
      <c r="S836" s="32"/>
    </row>
    <row r="837">
      <c r="D837" s="29"/>
      <c r="F837" s="31"/>
      <c r="G837" s="30"/>
      <c r="H837" s="30"/>
      <c r="J837" s="29"/>
      <c r="L837" s="30"/>
      <c r="M837" s="30"/>
      <c r="O837" s="32"/>
      <c r="P837" s="32"/>
      <c r="S837" s="32"/>
    </row>
    <row r="838">
      <c r="D838" s="29"/>
      <c r="F838" s="31"/>
      <c r="G838" s="30"/>
      <c r="H838" s="30"/>
      <c r="J838" s="29"/>
      <c r="L838" s="30"/>
      <c r="M838" s="30"/>
      <c r="O838" s="32"/>
      <c r="P838" s="32"/>
      <c r="S838" s="32"/>
    </row>
    <row r="839">
      <c r="D839" s="29"/>
      <c r="F839" s="31"/>
      <c r="G839" s="30"/>
      <c r="H839" s="30"/>
      <c r="J839" s="29"/>
      <c r="L839" s="30"/>
      <c r="M839" s="30"/>
      <c r="O839" s="32"/>
      <c r="P839" s="32"/>
      <c r="S839" s="32"/>
    </row>
    <row r="840">
      <c r="D840" s="29"/>
      <c r="F840" s="31"/>
      <c r="G840" s="30"/>
      <c r="H840" s="30"/>
      <c r="J840" s="29"/>
      <c r="L840" s="30"/>
      <c r="M840" s="30"/>
      <c r="O840" s="32"/>
      <c r="P840" s="32"/>
      <c r="S840" s="32"/>
    </row>
    <row r="841">
      <c r="D841" s="29"/>
      <c r="F841" s="31"/>
      <c r="G841" s="30"/>
      <c r="H841" s="30"/>
      <c r="J841" s="29"/>
      <c r="L841" s="30"/>
      <c r="M841" s="30"/>
      <c r="O841" s="32"/>
      <c r="P841" s="32"/>
      <c r="S841" s="32"/>
    </row>
    <row r="842">
      <c r="D842" s="29"/>
      <c r="F842" s="31"/>
      <c r="G842" s="30"/>
      <c r="H842" s="30"/>
      <c r="J842" s="29"/>
      <c r="L842" s="30"/>
      <c r="M842" s="30"/>
      <c r="O842" s="32"/>
      <c r="P842" s="32"/>
      <c r="S842" s="32"/>
    </row>
    <row r="843">
      <c r="D843" s="29"/>
      <c r="F843" s="31"/>
      <c r="G843" s="30"/>
      <c r="H843" s="30"/>
      <c r="J843" s="29"/>
      <c r="L843" s="30"/>
      <c r="M843" s="30"/>
      <c r="O843" s="32"/>
      <c r="P843" s="32"/>
      <c r="S843" s="32"/>
    </row>
    <row r="844">
      <c r="D844" s="29"/>
      <c r="F844" s="31"/>
      <c r="G844" s="30"/>
      <c r="H844" s="30"/>
      <c r="J844" s="29"/>
      <c r="L844" s="30"/>
      <c r="M844" s="30"/>
      <c r="O844" s="32"/>
      <c r="P844" s="32"/>
      <c r="S844" s="32"/>
    </row>
    <row r="845">
      <c r="D845" s="29"/>
      <c r="F845" s="31"/>
      <c r="G845" s="30"/>
      <c r="H845" s="30"/>
      <c r="J845" s="29"/>
      <c r="L845" s="30"/>
      <c r="M845" s="30"/>
      <c r="O845" s="32"/>
      <c r="P845" s="32"/>
      <c r="S845" s="32"/>
    </row>
    <row r="846">
      <c r="D846" s="29"/>
      <c r="F846" s="31"/>
      <c r="G846" s="30"/>
      <c r="H846" s="30"/>
      <c r="J846" s="29"/>
      <c r="L846" s="30"/>
      <c r="M846" s="30"/>
      <c r="O846" s="32"/>
      <c r="P846" s="32"/>
      <c r="S846" s="32"/>
    </row>
    <row r="847">
      <c r="D847" s="29"/>
      <c r="F847" s="31"/>
      <c r="G847" s="30"/>
      <c r="H847" s="30"/>
      <c r="J847" s="29"/>
      <c r="L847" s="30"/>
      <c r="M847" s="30"/>
      <c r="O847" s="32"/>
      <c r="P847" s="32"/>
      <c r="S847" s="32"/>
    </row>
    <row r="848">
      <c r="D848" s="29"/>
      <c r="F848" s="31"/>
      <c r="G848" s="30"/>
      <c r="H848" s="30"/>
      <c r="J848" s="29"/>
      <c r="L848" s="30"/>
      <c r="M848" s="30"/>
      <c r="O848" s="32"/>
      <c r="P848" s="32"/>
      <c r="S848" s="32"/>
    </row>
    <row r="849">
      <c r="D849" s="29"/>
      <c r="F849" s="31"/>
      <c r="G849" s="30"/>
      <c r="H849" s="30"/>
      <c r="J849" s="29"/>
      <c r="L849" s="30"/>
      <c r="M849" s="30"/>
      <c r="O849" s="32"/>
      <c r="P849" s="32"/>
      <c r="S849" s="32"/>
    </row>
    <row r="850">
      <c r="D850" s="29"/>
      <c r="F850" s="31"/>
      <c r="G850" s="30"/>
      <c r="H850" s="30"/>
      <c r="J850" s="29"/>
      <c r="L850" s="30"/>
      <c r="M850" s="30"/>
      <c r="O850" s="32"/>
      <c r="P850" s="32"/>
      <c r="S850" s="32"/>
    </row>
    <row r="851">
      <c r="D851" s="29"/>
      <c r="F851" s="31"/>
      <c r="G851" s="30"/>
      <c r="H851" s="30"/>
      <c r="J851" s="29"/>
      <c r="L851" s="30"/>
      <c r="M851" s="30"/>
      <c r="O851" s="32"/>
      <c r="P851" s="32"/>
      <c r="S851" s="32"/>
    </row>
    <row r="852">
      <c r="D852" s="29"/>
      <c r="F852" s="31"/>
      <c r="G852" s="30"/>
      <c r="H852" s="30"/>
      <c r="J852" s="29"/>
      <c r="L852" s="30"/>
      <c r="M852" s="30"/>
      <c r="O852" s="32"/>
      <c r="P852" s="32"/>
      <c r="S852" s="32"/>
    </row>
    <row r="853">
      <c r="D853" s="29"/>
      <c r="F853" s="31"/>
      <c r="G853" s="30"/>
      <c r="H853" s="30"/>
      <c r="J853" s="29"/>
      <c r="L853" s="30"/>
      <c r="M853" s="30"/>
      <c r="O853" s="32"/>
      <c r="P853" s="32"/>
      <c r="S853" s="32"/>
    </row>
    <row r="854">
      <c r="D854" s="29"/>
      <c r="F854" s="31"/>
      <c r="G854" s="30"/>
      <c r="H854" s="30"/>
      <c r="J854" s="29"/>
      <c r="L854" s="30"/>
      <c r="M854" s="30"/>
      <c r="O854" s="32"/>
      <c r="P854" s="32"/>
      <c r="S854" s="32"/>
    </row>
    <row r="855">
      <c r="D855" s="29"/>
      <c r="F855" s="31"/>
      <c r="G855" s="30"/>
      <c r="H855" s="30"/>
      <c r="J855" s="29"/>
      <c r="L855" s="30"/>
      <c r="M855" s="30"/>
      <c r="O855" s="32"/>
      <c r="P855" s="32"/>
      <c r="S855" s="32"/>
    </row>
    <row r="856">
      <c r="D856" s="29"/>
      <c r="F856" s="31"/>
      <c r="G856" s="30"/>
      <c r="H856" s="30"/>
      <c r="J856" s="29"/>
      <c r="L856" s="30"/>
      <c r="M856" s="30"/>
      <c r="O856" s="32"/>
      <c r="P856" s="32"/>
      <c r="S856" s="32"/>
    </row>
    <row r="857">
      <c r="D857" s="29"/>
      <c r="F857" s="31"/>
      <c r="G857" s="30"/>
      <c r="H857" s="30"/>
      <c r="J857" s="29"/>
      <c r="L857" s="30"/>
      <c r="M857" s="30"/>
      <c r="O857" s="32"/>
      <c r="P857" s="32"/>
      <c r="S857" s="32"/>
    </row>
    <row r="858">
      <c r="D858" s="29"/>
      <c r="F858" s="31"/>
      <c r="G858" s="30"/>
      <c r="H858" s="30"/>
      <c r="J858" s="29"/>
      <c r="L858" s="30"/>
      <c r="M858" s="30"/>
      <c r="O858" s="32"/>
      <c r="P858" s="32"/>
      <c r="S858" s="32"/>
    </row>
    <row r="859">
      <c r="D859" s="29"/>
      <c r="F859" s="31"/>
      <c r="G859" s="30"/>
      <c r="H859" s="30"/>
      <c r="J859" s="29"/>
      <c r="L859" s="30"/>
      <c r="M859" s="30"/>
      <c r="O859" s="32"/>
      <c r="P859" s="32"/>
      <c r="S859" s="32"/>
    </row>
    <row r="860">
      <c r="D860" s="29"/>
      <c r="F860" s="31"/>
      <c r="G860" s="30"/>
      <c r="H860" s="30"/>
      <c r="J860" s="29"/>
      <c r="L860" s="30"/>
      <c r="M860" s="30"/>
      <c r="O860" s="32"/>
      <c r="P860" s="32"/>
      <c r="S860" s="32"/>
    </row>
    <row r="861">
      <c r="D861" s="29"/>
      <c r="F861" s="31"/>
      <c r="G861" s="30"/>
      <c r="H861" s="30"/>
      <c r="J861" s="29"/>
      <c r="L861" s="30"/>
      <c r="M861" s="30"/>
      <c r="O861" s="32"/>
      <c r="P861" s="32"/>
      <c r="S861" s="32"/>
    </row>
    <row r="862">
      <c r="D862" s="29"/>
      <c r="F862" s="31"/>
      <c r="G862" s="30"/>
      <c r="H862" s="30"/>
      <c r="J862" s="29"/>
      <c r="L862" s="30"/>
      <c r="M862" s="30"/>
      <c r="O862" s="32"/>
      <c r="P862" s="32"/>
      <c r="S862" s="32"/>
    </row>
    <row r="863">
      <c r="D863" s="29"/>
      <c r="F863" s="31"/>
      <c r="G863" s="30"/>
      <c r="H863" s="30"/>
      <c r="J863" s="29"/>
      <c r="L863" s="30"/>
      <c r="M863" s="30"/>
      <c r="O863" s="32"/>
      <c r="P863" s="32"/>
      <c r="S863" s="32"/>
    </row>
    <row r="864">
      <c r="D864" s="29"/>
      <c r="F864" s="31"/>
      <c r="G864" s="30"/>
      <c r="H864" s="30"/>
      <c r="J864" s="29"/>
      <c r="L864" s="30"/>
      <c r="M864" s="30"/>
      <c r="O864" s="32"/>
      <c r="P864" s="32"/>
      <c r="S864" s="32"/>
    </row>
    <row r="865">
      <c r="D865" s="29"/>
      <c r="F865" s="31"/>
      <c r="G865" s="30"/>
      <c r="H865" s="30"/>
      <c r="J865" s="29"/>
      <c r="L865" s="30"/>
      <c r="M865" s="30"/>
      <c r="O865" s="32"/>
      <c r="P865" s="32"/>
      <c r="S865" s="32"/>
    </row>
    <row r="866">
      <c r="D866" s="29"/>
      <c r="F866" s="31"/>
      <c r="G866" s="30"/>
      <c r="H866" s="30"/>
      <c r="J866" s="29"/>
      <c r="L866" s="30"/>
      <c r="M866" s="30"/>
      <c r="O866" s="32"/>
      <c r="P866" s="32"/>
      <c r="S866" s="32"/>
    </row>
    <row r="867">
      <c r="D867" s="29"/>
      <c r="F867" s="31"/>
      <c r="G867" s="30"/>
      <c r="H867" s="30"/>
      <c r="J867" s="29"/>
      <c r="L867" s="30"/>
      <c r="M867" s="30"/>
      <c r="O867" s="32"/>
      <c r="P867" s="32"/>
      <c r="S867" s="32"/>
    </row>
    <row r="868">
      <c r="D868" s="29"/>
      <c r="F868" s="31"/>
      <c r="G868" s="30"/>
      <c r="H868" s="30"/>
      <c r="J868" s="29"/>
      <c r="L868" s="30"/>
      <c r="M868" s="30"/>
      <c r="O868" s="32"/>
      <c r="P868" s="32"/>
      <c r="S868" s="32"/>
    </row>
    <row r="869">
      <c r="D869" s="29"/>
      <c r="F869" s="31"/>
      <c r="G869" s="30"/>
      <c r="H869" s="30"/>
      <c r="J869" s="29"/>
      <c r="L869" s="30"/>
      <c r="M869" s="30"/>
      <c r="O869" s="32"/>
      <c r="P869" s="32"/>
      <c r="S869" s="32"/>
    </row>
    <row r="870">
      <c r="D870" s="29"/>
      <c r="F870" s="31"/>
      <c r="G870" s="30"/>
      <c r="H870" s="30"/>
      <c r="J870" s="29"/>
      <c r="L870" s="30"/>
      <c r="M870" s="30"/>
      <c r="O870" s="32"/>
      <c r="P870" s="32"/>
      <c r="S870" s="32"/>
    </row>
    <row r="871">
      <c r="D871" s="29"/>
      <c r="F871" s="31"/>
      <c r="G871" s="30"/>
      <c r="H871" s="30"/>
      <c r="J871" s="29"/>
      <c r="L871" s="30"/>
      <c r="M871" s="30"/>
      <c r="O871" s="32"/>
      <c r="P871" s="32"/>
      <c r="S871" s="32"/>
    </row>
    <row r="872">
      <c r="D872" s="29"/>
      <c r="F872" s="31"/>
      <c r="G872" s="30"/>
      <c r="H872" s="30"/>
      <c r="J872" s="29"/>
      <c r="L872" s="30"/>
      <c r="M872" s="30"/>
      <c r="O872" s="32"/>
      <c r="P872" s="32"/>
      <c r="S872" s="32"/>
    </row>
    <row r="873">
      <c r="D873" s="29"/>
      <c r="F873" s="31"/>
      <c r="G873" s="30"/>
      <c r="H873" s="30"/>
      <c r="J873" s="29"/>
      <c r="L873" s="30"/>
      <c r="M873" s="30"/>
      <c r="O873" s="32"/>
      <c r="P873" s="32"/>
      <c r="S873" s="32"/>
    </row>
    <row r="874">
      <c r="D874" s="29"/>
      <c r="F874" s="31"/>
      <c r="G874" s="30"/>
      <c r="H874" s="30"/>
      <c r="J874" s="29"/>
      <c r="L874" s="30"/>
      <c r="M874" s="30"/>
      <c r="O874" s="32"/>
      <c r="P874" s="32"/>
      <c r="S874" s="32"/>
    </row>
    <row r="875">
      <c r="D875" s="29"/>
      <c r="F875" s="31"/>
      <c r="G875" s="30"/>
      <c r="H875" s="30"/>
      <c r="J875" s="29"/>
      <c r="L875" s="30"/>
      <c r="M875" s="30"/>
      <c r="O875" s="32"/>
      <c r="P875" s="32"/>
      <c r="S875" s="32"/>
    </row>
    <row r="876">
      <c r="D876" s="29"/>
      <c r="F876" s="31"/>
      <c r="G876" s="30"/>
      <c r="H876" s="30"/>
      <c r="J876" s="29"/>
      <c r="L876" s="30"/>
      <c r="M876" s="30"/>
      <c r="O876" s="32"/>
      <c r="P876" s="32"/>
      <c r="S876" s="32"/>
    </row>
    <row r="877">
      <c r="D877" s="29"/>
      <c r="F877" s="31"/>
      <c r="G877" s="30"/>
      <c r="H877" s="30"/>
      <c r="J877" s="29"/>
      <c r="L877" s="30"/>
      <c r="M877" s="30"/>
      <c r="O877" s="32"/>
      <c r="P877" s="32"/>
      <c r="S877" s="32"/>
    </row>
    <row r="878">
      <c r="D878" s="29"/>
      <c r="F878" s="31"/>
      <c r="G878" s="30"/>
      <c r="H878" s="30"/>
      <c r="J878" s="29"/>
      <c r="L878" s="30"/>
      <c r="M878" s="30"/>
      <c r="O878" s="32"/>
      <c r="P878" s="32"/>
      <c r="S878" s="32"/>
    </row>
    <row r="879">
      <c r="D879" s="29"/>
      <c r="F879" s="31"/>
      <c r="G879" s="30"/>
      <c r="H879" s="30"/>
      <c r="J879" s="29"/>
      <c r="L879" s="30"/>
      <c r="M879" s="30"/>
      <c r="O879" s="32"/>
      <c r="P879" s="32"/>
      <c r="S879" s="32"/>
    </row>
    <row r="880">
      <c r="D880" s="29"/>
      <c r="F880" s="31"/>
      <c r="G880" s="30"/>
      <c r="H880" s="30"/>
      <c r="J880" s="29"/>
      <c r="L880" s="30"/>
      <c r="M880" s="30"/>
      <c r="O880" s="32"/>
      <c r="P880" s="32"/>
      <c r="S880" s="32"/>
    </row>
    <row r="881">
      <c r="D881" s="29"/>
      <c r="F881" s="31"/>
      <c r="G881" s="30"/>
      <c r="H881" s="30"/>
      <c r="J881" s="29"/>
      <c r="L881" s="30"/>
      <c r="M881" s="30"/>
      <c r="O881" s="32"/>
      <c r="P881" s="32"/>
      <c r="S881" s="32"/>
    </row>
    <row r="882">
      <c r="D882" s="29"/>
      <c r="F882" s="31"/>
      <c r="G882" s="30"/>
      <c r="H882" s="30"/>
      <c r="J882" s="29"/>
      <c r="L882" s="30"/>
      <c r="M882" s="30"/>
      <c r="O882" s="32"/>
      <c r="P882" s="32"/>
      <c r="S882" s="32"/>
    </row>
    <row r="883">
      <c r="D883" s="29"/>
      <c r="F883" s="31"/>
      <c r="G883" s="30"/>
      <c r="H883" s="30"/>
      <c r="J883" s="29"/>
      <c r="L883" s="30"/>
      <c r="M883" s="30"/>
      <c r="O883" s="32"/>
      <c r="P883" s="32"/>
      <c r="S883" s="32"/>
    </row>
    <row r="884">
      <c r="D884" s="29"/>
      <c r="F884" s="31"/>
      <c r="G884" s="30"/>
      <c r="H884" s="30"/>
      <c r="J884" s="29"/>
      <c r="L884" s="30"/>
      <c r="M884" s="30"/>
      <c r="O884" s="32"/>
      <c r="P884" s="32"/>
      <c r="S884" s="32"/>
    </row>
    <row r="885">
      <c r="D885" s="29"/>
      <c r="F885" s="31"/>
      <c r="G885" s="30"/>
      <c r="H885" s="30"/>
      <c r="J885" s="29"/>
      <c r="L885" s="30"/>
      <c r="M885" s="30"/>
      <c r="O885" s="32"/>
      <c r="P885" s="32"/>
      <c r="S885" s="32"/>
    </row>
    <row r="886">
      <c r="D886" s="29"/>
      <c r="F886" s="31"/>
      <c r="G886" s="30"/>
      <c r="H886" s="30"/>
      <c r="J886" s="29"/>
      <c r="L886" s="30"/>
      <c r="M886" s="30"/>
      <c r="O886" s="32"/>
      <c r="P886" s="32"/>
      <c r="S886" s="32"/>
    </row>
    <row r="887">
      <c r="D887" s="29"/>
      <c r="F887" s="31"/>
      <c r="G887" s="30"/>
      <c r="H887" s="30"/>
      <c r="J887" s="29"/>
      <c r="L887" s="30"/>
      <c r="M887" s="30"/>
      <c r="O887" s="32"/>
      <c r="P887" s="32"/>
      <c r="S887" s="32"/>
    </row>
    <row r="888">
      <c r="D888" s="29"/>
      <c r="F888" s="31"/>
      <c r="G888" s="30"/>
      <c r="H888" s="30"/>
      <c r="J888" s="29"/>
      <c r="L888" s="30"/>
      <c r="M888" s="30"/>
      <c r="O888" s="32"/>
      <c r="P888" s="32"/>
      <c r="S888" s="32"/>
    </row>
    <row r="889">
      <c r="D889" s="29"/>
      <c r="F889" s="31"/>
      <c r="G889" s="30"/>
      <c r="H889" s="30"/>
      <c r="J889" s="29"/>
      <c r="L889" s="30"/>
      <c r="M889" s="30"/>
      <c r="O889" s="32"/>
      <c r="P889" s="32"/>
      <c r="S889" s="32"/>
    </row>
    <row r="890">
      <c r="D890" s="29"/>
      <c r="F890" s="31"/>
      <c r="G890" s="30"/>
      <c r="H890" s="30"/>
      <c r="J890" s="29"/>
      <c r="L890" s="30"/>
      <c r="M890" s="30"/>
      <c r="O890" s="32"/>
      <c r="P890" s="32"/>
      <c r="S890" s="32"/>
    </row>
    <row r="891">
      <c r="D891" s="29"/>
      <c r="F891" s="31"/>
      <c r="G891" s="30"/>
      <c r="H891" s="30"/>
      <c r="J891" s="29"/>
      <c r="L891" s="30"/>
      <c r="M891" s="30"/>
      <c r="O891" s="32"/>
      <c r="P891" s="32"/>
      <c r="S891" s="32"/>
    </row>
    <row r="892">
      <c r="D892" s="29"/>
      <c r="F892" s="31"/>
      <c r="G892" s="30"/>
      <c r="H892" s="30"/>
      <c r="J892" s="29"/>
      <c r="L892" s="30"/>
      <c r="M892" s="30"/>
      <c r="O892" s="32"/>
      <c r="P892" s="32"/>
      <c r="S892" s="32"/>
    </row>
    <row r="893">
      <c r="D893" s="29"/>
      <c r="F893" s="31"/>
      <c r="G893" s="30"/>
      <c r="H893" s="30"/>
      <c r="J893" s="29"/>
      <c r="L893" s="30"/>
      <c r="M893" s="30"/>
      <c r="O893" s="32"/>
      <c r="P893" s="32"/>
      <c r="S893" s="32"/>
    </row>
    <row r="894">
      <c r="D894" s="29"/>
      <c r="F894" s="31"/>
      <c r="G894" s="30"/>
      <c r="H894" s="30"/>
      <c r="J894" s="29"/>
      <c r="L894" s="30"/>
      <c r="M894" s="30"/>
      <c r="O894" s="32"/>
      <c r="P894" s="32"/>
      <c r="S894" s="32"/>
    </row>
    <row r="895">
      <c r="D895" s="29"/>
      <c r="F895" s="31"/>
      <c r="G895" s="30"/>
      <c r="H895" s="30"/>
      <c r="J895" s="29"/>
      <c r="L895" s="30"/>
      <c r="M895" s="30"/>
      <c r="O895" s="32"/>
      <c r="P895" s="32"/>
      <c r="S895" s="32"/>
    </row>
    <row r="896">
      <c r="D896" s="29"/>
      <c r="F896" s="31"/>
      <c r="G896" s="30"/>
      <c r="H896" s="30"/>
      <c r="J896" s="29"/>
      <c r="L896" s="30"/>
      <c r="M896" s="30"/>
      <c r="O896" s="32"/>
      <c r="P896" s="32"/>
      <c r="S896" s="32"/>
    </row>
    <row r="897">
      <c r="D897" s="29"/>
      <c r="F897" s="31"/>
      <c r="G897" s="30"/>
      <c r="H897" s="30"/>
      <c r="J897" s="29"/>
      <c r="L897" s="30"/>
      <c r="M897" s="30"/>
      <c r="O897" s="32"/>
      <c r="P897" s="32"/>
      <c r="S897" s="32"/>
    </row>
    <row r="898">
      <c r="D898" s="29"/>
      <c r="F898" s="31"/>
      <c r="G898" s="30"/>
      <c r="H898" s="30"/>
      <c r="J898" s="29"/>
      <c r="L898" s="30"/>
      <c r="M898" s="30"/>
      <c r="O898" s="32"/>
      <c r="P898" s="32"/>
      <c r="S898" s="32"/>
    </row>
    <row r="899">
      <c r="D899" s="29"/>
      <c r="F899" s="31"/>
      <c r="G899" s="30"/>
      <c r="H899" s="30"/>
      <c r="J899" s="29"/>
      <c r="L899" s="30"/>
      <c r="M899" s="30"/>
      <c r="O899" s="32"/>
      <c r="P899" s="32"/>
      <c r="S899" s="32"/>
    </row>
    <row r="900">
      <c r="D900" s="29"/>
      <c r="F900" s="31"/>
      <c r="G900" s="30"/>
      <c r="H900" s="30"/>
      <c r="J900" s="29"/>
      <c r="L900" s="30"/>
      <c r="M900" s="30"/>
      <c r="O900" s="32"/>
      <c r="P900" s="32"/>
      <c r="S900" s="32"/>
    </row>
    <row r="901">
      <c r="D901" s="29"/>
      <c r="F901" s="31"/>
      <c r="G901" s="30"/>
      <c r="H901" s="30"/>
      <c r="J901" s="29"/>
      <c r="L901" s="30"/>
      <c r="M901" s="30"/>
      <c r="O901" s="32"/>
      <c r="P901" s="32"/>
      <c r="S901" s="32"/>
    </row>
    <row r="902">
      <c r="D902" s="29"/>
      <c r="F902" s="31"/>
      <c r="G902" s="30"/>
      <c r="H902" s="30"/>
      <c r="J902" s="29"/>
      <c r="L902" s="30"/>
      <c r="M902" s="30"/>
      <c r="O902" s="32"/>
      <c r="P902" s="32"/>
      <c r="S902" s="32"/>
    </row>
    <row r="903">
      <c r="D903" s="29"/>
      <c r="F903" s="31"/>
      <c r="G903" s="30"/>
      <c r="H903" s="30"/>
      <c r="J903" s="29"/>
      <c r="L903" s="30"/>
      <c r="M903" s="30"/>
      <c r="O903" s="32"/>
      <c r="P903" s="32"/>
      <c r="S903" s="32"/>
    </row>
    <row r="904">
      <c r="D904" s="29"/>
      <c r="F904" s="31"/>
      <c r="G904" s="30"/>
      <c r="H904" s="30"/>
      <c r="J904" s="29"/>
      <c r="L904" s="30"/>
      <c r="M904" s="30"/>
      <c r="O904" s="32"/>
      <c r="P904" s="32"/>
      <c r="S904" s="32"/>
    </row>
    <row r="905">
      <c r="D905" s="29"/>
      <c r="F905" s="31"/>
      <c r="G905" s="30"/>
      <c r="H905" s="30"/>
      <c r="J905" s="29"/>
      <c r="L905" s="30"/>
      <c r="M905" s="30"/>
      <c r="O905" s="32"/>
      <c r="P905" s="32"/>
      <c r="S905" s="32"/>
    </row>
    <row r="906">
      <c r="D906" s="29"/>
      <c r="F906" s="31"/>
      <c r="G906" s="30"/>
      <c r="H906" s="30"/>
      <c r="J906" s="29"/>
      <c r="L906" s="30"/>
      <c r="M906" s="30"/>
      <c r="O906" s="32"/>
      <c r="P906" s="32"/>
      <c r="S906" s="32"/>
    </row>
    <row r="907">
      <c r="D907" s="29"/>
      <c r="F907" s="31"/>
      <c r="G907" s="30"/>
      <c r="H907" s="30"/>
      <c r="J907" s="29"/>
      <c r="L907" s="30"/>
      <c r="M907" s="30"/>
      <c r="O907" s="32"/>
      <c r="P907" s="32"/>
      <c r="S907" s="32"/>
    </row>
    <row r="908">
      <c r="D908" s="29"/>
      <c r="F908" s="31"/>
      <c r="G908" s="30"/>
      <c r="H908" s="30"/>
      <c r="J908" s="29"/>
      <c r="L908" s="30"/>
      <c r="M908" s="30"/>
      <c r="O908" s="32"/>
      <c r="P908" s="32"/>
      <c r="S908" s="32"/>
    </row>
    <row r="909">
      <c r="D909" s="29"/>
      <c r="F909" s="31"/>
      <c r="G909" s="30"/>
      <c r="H909" s="30"/>
      <c r="J909" s="29"/>
      <c r="L909" s="30"/>
      <c r="M909" s="30"/>
      <c r="O909" s="32"/>
      <c r="P909" s="32"/>
      <c r="S909" s="32"/>
    </row>
    <row r="910">
      <c r="D910" s="29"/>
      <c r="F910" s="31"/>
      <c r="G910" s="30"/>
      <c r="H910" s="30"/>
      <c r="J910" s="29"/>
      <c r="L910" s="30"/>
      <c r="M910" s="30"/>
      <c r="O910" s="32"/>
      <c r="P910" s="32"/>
      <c r="S910" s="32"/>
    </row>
    <row r="911">
      <c r="D911" s="29"/>
      <c r="F911" s="31"/>
      <c r="G911" s="30"/>
      <c r="H911" s="30"/>
      <c r="J911" s="29"/>
      <c r="L911" s="30"/>
      <c r="M911" s="30"/>
      <c r="O911" s="32"/>
      <c r="P911" s="32"/>
      <c r="S911" s="32"/>
    </row>
    <row r="912">
      <c r="D912" s="29"/>
      <c r="F912" s="31"/>
      <c r="G912" s="30"/>
      <c r="H912" s="30"/>
      <c r="J912" s="29"/>
      <c r="L912" s="30"/>
      <c r="M912" s="30"/>
      <c r="O912" s="32"/>
      <c r="P912" s="32"/>
      <c r="S912" s="32"/>
    </row>
    <row r="913">
      <c r="D913" s="29"/>
      <c r="F913" s="31"/>
      <c r="G913" s="30"/>
      <c r="H913" s="30"/>
      <c r="J913" s="29"/>
      <c r="L913" s="30"/>
      <c r="M913" s="30"/>
      <c r="O913" s="32"/>
      <c r="P913" s="32"/>
      <c r="S913" s="32"/>
    </row>
    <row r="914">
      <c r="D914" s="29"/>
      <c r="F914" s="31"/>
      <c r="G914" s="30"/>
      <c r="H914" s="30"/>
      <c r="J914" s="29"/>
      <c r="L914" s="30"/>
      <c r="M914" s="30"/>
      <c r="O914" s="32"/>
      <c r="P914" s="32"/>
      <c r="S914" s="32"/>
    </row>
    <row r="915">
      <c r="D915" s="29"/>
      <c r="F915" s="31"/>
      <c r="G915" s="30"/>
      <c r="H915" s="30"/>
      <c r="J915" s="29"/>
      <c r="L915" s="30"/>
      <c r="M915" s="30"/>
      <c r="O915" s="32"/>
      <c r="P915" s="32"/>
      <c r="S915" s="32"/>
    </row>
    <row r="916">
      <c r="D916" s="29"/>
      <c r="F916" s="31"/>
      <c r="G916" s="30"/>
      <c r="H916" s="30"/>
      <c r="J916" s="29"/>
      <c r="L916" s="30"/>
      <c r="M916" s="30"/>
      <c r="O916" s="32"/>
      <c r="P916" s="32"/>
      <c r="S916" s="32"/>
    </row>
    <row r="917">
      <c r="D917" s="29"/>
      <c r="F917" s="31"/>
      <c r="G917" s="30"/>
      <c r="H917" s="30"/>
      <c r="J917" s="29"/>
      <c r="L917" s="30"/>
      <c r="M917" s="30"/>
      <c r="O917" s="32"/>
      <c r="P917" s="32"/>
      <c r="S917" s="32"/>
    </row>
    <row r="918">
      <c r="D918" s="29"/>
      <c r="F918" s="31"/>
      <c r="G918" s="30"/>
      <c r="H918" s="30"/>
      <c r="J918" s="29"/>
      <c r="L918" s="30"/>
      <c r="M918" s="30"/>
      <c r="O918" s="32"/>
      <c r="P918" s="32"/>
      <c r="S918" s="32"/>
    </row>
    <row r="919">
      <c r="D919" s="29"/>
      <c r="F919" s="31"/>
      <c r="G919" s="30"/>
      <c r="H919" s="30"/>
      <c r="J919" s="29"/>
      <c r="L919" s="30"/>
      <c r="M919" s="30"/>
      <c r="O919" s="32"/>
      <c r="P919" s="32"/>
      <c r="S919" s="32"/>
    </row>
    <row r="920">
      <c r="D920" s="29"/>
      <c r="F920" s="31"/>
      <c r="G920" s="30"/>
      <c r="H920" s="30"/>
      <c r="J920" s="29"/>
      <c r="L920" s="30"/>
      <c r="M920" s="30"/>
      <c r="O920" s="32"/>
      <c r="P920" s="32"/>
      <c r="S920" s="32"/>
    </row>
    <row r="921">
      <c r="D921" s="29"/>
      <c r="F921" s="31"/>
      <c r="G921" s="30"/>
      <c r="H921" s="30"/>
      <c r="J921" s="29"/>
      <c r="L921" s="30"/>
      <c r="M921" s="30"/>
      <c r="O921" s="32"/>
      <c r="P921" s="32"/>
      <c r="S921" s="32"/>
    </row>
    <row r="922">
      <c r="D922" s="29"/>
      <c r="F922" s="31"/>
      <c r="G922" s="30"/>
      <c r="H922" s="30"/>
      <c r="J922" s="29"/>
      <c r="L922" s="30"/>
      <c r="M922" s="30"/>
      <c r="O922" s="32"/>
      <c r="P922" s="32"/>
      <c r="S922" s="32"/>
    </row>
    <row r="923">
      <c r="D923" s="29"/>
      <c r="F923" s="31"/>
      <c r="G923" s="30"/>
      <c r="H923" s="30"/>
      <c r="J923" s="29"/>
      <c r="L923" s="30"/>
      <c r="M923" s="30"/>
      <c r="O923" s="32"/>
      <c r="P923" s="32"/>
      <c r="S923" s="32"/>
    </row>
    <row r="924">
      <c r="D924" s="29"/>
      <c r="F924" s="31"/>
      <c r="G924" s="30"/>
      <c r="H924" s="30"/>
      <c r="J924" s="29"/>
      <c r="L924" s="30"/>
      <c r="M924" s="30"/>
      <c r="O924" s="32"/>
      <c r="P924" s="32"/>
      <c r="S924" s="32"/>
    </row>
    <row r="925">
      <c r="D925" s="29"/>
      <c r="F925" s="31"/>
      <c r="G925" s="30"/>
      <c r="H925" s="30"/>
      <c r="J925" s="29"/>
      <c r="L925" s="30"/>
      <c r="M925" s="30"/>
      <c r="O925" s="32"/>
      <c r="P925" s="32"/>
      <c r="S925" s="32"/>
    </row>
    <row r="926">
      <c r="D926" s="29"/>
      <c r="F926" s="31"/>
      <c r="G926" s="30"/>
      <c r="H926" s="30"/>
      <c r="J926" s="29"/>
      <c r="L926" s="30"/>
      <c r="M926" s="30"/>
      <c r="O926" s="32"/>
      <c r="P926" s="32"/>
      <c r="S926" s="32"/>
    </row>
    <row r="927">
      <c r="D927" s="29"/>
      <c r="F927" s="31"/>
      <c r="G927" s="30"/>
      <c r="H927" s="30"/>
      <c r="J927" s="29"/>
      <c r="L927" s="30"/>
      <c r="M927" s="30"/>
      <c r="O927" s="32"/>
      <c r="P927" s="32"/>
      <c r="S927" s="32"/>
    </row>
    <row r="928">
      <c r="D928" s="29"/>
      <c r="F928" s="31"/>
      <c r="G928" s="30"/>
      <c r="H928" s="30"/>
      <c r="J928" s="29"/>
      <c r="L928" s="30"/>
      <c r="M928" s="30"/>
      <c r="O928" s="32"/>
      <c r="P928" s="32"/>
      <c r="S928" s="32"/>
    </row>
    <row r="929">
      <c r="D929" s="29"/>
      <c r="F929" s="31"/>
      <c r="G929" s="30"/>
      <c r="H929" s="30"/>
      <c r="J929" s="29"/>
      <c r="L929" s="30"/>
      <c r="M929" s="30"/>
      <c r="O929" s="32"/>
      <c r="P929" s="32"/>
      <c r="S929" s="32"/>
    </row>
    <row r="930">
      <c r="D930" s="29"/>
      <c r="F930" s="31"/>
      <c r="G930" s="30"/>
      <c r="H930" s="30"/>
      <c r="J930" s="29"/>
      <c r="L930" s="30"/>
      <c r="M930" s="30"/>
      <c r="O930" s="32"/>
      <c r="P930" s="32"/>
      <c r="S930" s="32"/>
    </row>
    <row r="931">
      <c r="D931" s="29"/>
      <c r="F931" s="31"/>
      <c r="G931" s="30"/>
      <c r="H931" s="30"/>
      <c r="J931" s="29"/>
      <c r="L931" s="30"/>
      <c r="M931" s="30"/>
      <c r="O931" s="32"/>
      <c r="P931" s="32"/>
      <c r="S931" s="32"/>
    </row>
    <row r="932">
      <c r="D932" s="29"/>
      <c r="F932" s="31"/>
      <c r="G932" s="30"/>
      <c r="H932" s="30"/>
      <c r="J932" s="29"/>
      <c r="L932" s="30"/>
      <c r="M932" s="30"/>
      <c r="O932" s="32"/>
      <c r="P932" s="32"/>
      <c r="S932" s="32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13"/>
    <col customWidth="1" min="2" max="16" width="9.5"/>
  </cols>
  <sheetData>
    <row r="1">
      <c r="A1" s="1"/>
      <c r="B1" s="3" t="s">
        <v>0</v>
      </c>
      <c r="C1" s="2" t="s">
        <v>2</v>
      </c>
      <c r="D1" s="2" t="s">
        <v>3</v>
      </c>
      <c r="E1" s="2" t="s">
        <v>4</v>
      </c>
      <c r="F1" s="2" t="s">
        <v>6</v>
      </c>
      <c r="G1" s="6" t="s">
        <v>8</v>
      </c>
      <c r="H1" s="6" t="s">
        <v>10</v>
      </c>
      <c r="I1" s="2" t="s">
        <v>12</v>
      </c>
      <c r="J1" s="2" t="s">
        <v>14</v>
      </c>
      <c r="K1" s="2" t="s">
        <v>16</v>
      </c>
      <c r="L1" s="6" t="s">
        <v>19</v>
      </c>
      <c r="M1" s="6" t="s">
        <v>22</v>
      </c>
      <c r="N1" s="2" t="s">
        <v>24</v>
      </c>
      <c r="O1" s="9" t="s">
        <v>26</v>
      </c>
      <c r="P1" s="9" t="s">
        <v>28</v>
      </c>
    </row>
    <row r="2">
      <c r="A2" s="2" t="s">
        <v>116</v>
      </c>
      <c r="B2" s="10">
        <v>3.0</v>
      </c>
      <c r="C2" s="12">
        <f t="shared" ref="C2:C139" si="1">B2*4</f>
        <v>12</v>
      </c>
      <c r="D2" s="11">
        <v>6.0</v>
      </c>
      <c r="E2" s="11">
        <v>2.0</v>
      </c>
      <c r="F2" s="12">
        <f t="shared" ref="F2:F139" si="2">D2+E2</f>
        <v>8</v>
      </c>
      <c r="G2" s="16">
        <f t="shared" ref="G2:G139" si="3">F2/C2</f>
        <v>0.6666666667</v>
      </c>
      <c r="H2" s="16">
        <f t="shared" ref="H2:H60" si="4">D2/F2</f>
        <v>0.75</v>
      </c>
      <c r="I2" s="12">
        <f t="shared" ref="I2:I139" si="5">J2+K2</f>
        <v>2</v>
      </c>
      <c r="J2" s="11">
        <v>2.0</v>
      </c>
      <c r="K2" s="11">
        <v>0.0</v>
      </c>
      <c r="L2" s="16">
        <f t="shared" ref="L2:L139" si="6">I2/C2</f>
        <v>0.1666666667</v>
      </c>
      <c r="M2" s="16">
        <f>J2/I2</f>
        <v>1</v>
      </c>
      <c r="N2" s="12">
        <f t="shared" ref="N2:N139" si="7">4*(D2-K2)</f>
        <v>24</v>
      </c>
      <c r="O2" s="18">
        <f t="shared" ref="O2:O139" si="8">N2/C2</f>
        <v>2</v>
      </c>
      <c r="P2" s="18">
        <f t="shared" ref="P2:P139" si="9">N2/B2</f>
        <v>8</v>
      </c>
    </row>
    <row r="3">
      <c r="A3" s="2" t="s">
        <v>40</v>
      </c>
      <c r="B3" s="10">
        <v>1.0</v>
      </c>
      <c r="C3" s="12">
        <f t="shared" si="1"/>
        <v>4</v>
      </c>
      <c r="D3" s="11">
        <v>2.0</v>
      </c>
      <c r="E3" s="11">
        <v>1.0</v>
      </c>
      <c r="F3" s="12">
        <f t="shared" si="2"/>
        <v>3</v>
      </c>
      <c r="G3" s="16">
        <f t="shared" si="3"/>
        <v>0.75</v>
      </c>
      <c r="H3" s="16">
        <f t="shared" si="4"/>
        <v>0.6666666667</v>
      </c>
      <c r="I3" s="12">
        <f t="shared" si="5"/>
        <v>0</v>
      </c>
      <c r="J3" s="11">
        <v>0.0</v>
      </c>
      <c r="K3" s="11">
        <v>0.0</v>
      </c>
      <c r="L3" s="16">
        <f t="shared" si="6"/>
        <v>0</v>
      </c>
      <c r="M3" s="11" t="s">
        <v>41</v>
      </c>
      <c r="N3" s="12">
        <f t="shared" si="7"/>
        <v>8</v>
      </c>
      <c r="O3" s="18">
        <f t="shared" si="8"/>
        <v>2</v>
      </c>
      <c r="P3" s="18">
        <f t="shared" si="9"/>
        <v>8</v>
      </c>
    </row>
    <row r="4">
      <c r="A4" s="2" t="s">
        <v>42</v>
      </c>
      <c r="B4" s="10">
        <v>3.0</v>
      </c>
      <c r="C4" s="12">
        <f t="shared" si="1"/>
        <v>12</v>
      </c>
      <c r="D4" s="11">
        <v>5.0</v>
      </c>
      <c r="E4" s="20">
        <v>2.0</v>
      </c>
      <c r="F4" s="21">
        <f t="shared" si="2"/>
        <v>7</v>
      </c>
      <c r="G4" s="23">
        <f t="shared" si="3"/>
        <v>0.5833333333</v>
      </c>
      <c r="H4" s="23">
        <f t="shared" si="4"/>
        <v>0.7142857143</v>
      </c>
      <c r="I4" s="12">
        <f t="shared" si="5"/>
        <v>1</v>
      </c>
      <c r="J4" s="11">
        <v>1.0</v>
      </c>
      <c r="K4" s="11">
        <v>0.0</v>
      </c>
      <c r="L4" s="16">
        <f t="shared" si="6"/>
        <v>0.08333333333</v>
      </c>
      <c r="M4" s="16">
        <f t="shared" ref="M4:M5" si="10">J4/I4</f>
        <v>1</v>
      </c>
      <c r="N4" s="12">
        <f t="shared" si="7"/>
        <v>20</v>
      </c>
      <c r="O4" s="18">
        <f t="shared" si="8"/>
        <v>1.666666667</v>
      </c>
      <c r="P4" s="18">
        <f t="shared" si="9"/>
        <v>6.666666667</v>
      </c>
    </row>
    <row r="5">
      <c r="A5" s="2" t="s">
        <v>71</v>
      </c>
      <c r="B5" s="10">
        <v>3.0</v>
      </c>
      <c r="C5" s="12">
        <f t="shared" si="1"/>
        <v>12</v>
      </c>
      <c r="D5" s="11">
        <v>6.0</v>
      </c>
      <c r="E5" s="11">
        <v>3.0</v>
      </c>
      <c r="F5" s="12">
        <f t="shared" si="2"/>
        <v>9</v>
      </c>
      <c r="G5" s="16">
        <f t="shared" si="3"/>
        <v>0.75</v>
      </c>
      <c r="H5" s="16">
        <f t="shared" si="4"/>
        <v>0.6666666667</v>
      </c>
      <c r="I5" s="12">
        <f t="shared" si="5"/>
        <v>1</v>
      </c>
      <c r="J5" s="11">
        <v>0.0</v>
      </c>
      <c r="K5" s="11">
        <v>1.0</v>
      </c>
      <c r="L5" s="16">
        <f t="shared" si="6"/>
        <v>0.08333333333</v>
      </c>
      <c r="M5" s="16">
        <f t="shared" si="10"/>
        <v>0</v>
      </c>
      <c r="N5" s="12">
        <f t="shared" si="7"/>
        <v>20</v>
      </c>
      <c r="O5" s="18">
        <f t="shared" si="8"/>
        <v>1.666666667</v>
      </c>
      <c r="P5" s="18">
        <f t="shared" si="9"/>
        <v>6.666666667</v>
      </c>
    </row>
    <row r="6">
      <c r="A6" s="2" t="s">
        <v>145</v>
      </c>
      <c r="B6" s="10">
        <v>3.0</v>
      </c>
      <c r="C6" s="12">
        <f t="shared" si="1"/>
        <v>12</v>
      </c>
      <c r="D6" s="11">
        <v>5.0</v>
      </c>
      <c r="E6" s="11">
        <v>3.0</v>
      </c>
      <c r="F6" s="12">
        <f t="shared" si="2"/>
        <v>8</v>
      </c>
      <c r="G6" s="16">
        <f t="shared" si="3"/>
        <v>0.6666666667</v>
      </c>
      <c r="H6" s="16">
        <f t="shared" si="4"/>
        <v>0.625</v>
      </c>
      <c r="I6" s="12">
        <f t="shared" si="5"/>
        <v>0</v>
      </c>
      <c r="J6" s="11">
        <v>0.0</v>
      </c>
      <c r="K6" s="11">
        <v>0.0</v>
      </c>
      <c r="L6" s="16">
        <f t="shared" si="6"/>
        <v>0</v>
      </c>
      <c r="M6" s="11" t="s">
        <v>41</v>
      </c>
      <c r="N6" s="12">
        <f t="shared" si="7"/>
        <v>20</v>
      </c>
      <c r="O6" s="18">
        <f t="shared" si="8"/>
        <v>1.666666667</v>
      </c>
      <c r="P6" s="18">
        <f t="shared" si="9"/>
        <v>6.666666667</v>
      </c>
    </row>
    <row r="7">
      <c r="A7" s="2" t="s">
        <v>50</v>
      </c>
      <c r="B7" s="10">
        <v>3.0</v>
      </c>
      <c r="C7" s="12">
        <f t="shared" si="1"/>
        <v>12</v>
      </c>
      <c r="D7" s="11">
        <v>5.0</v>
      </c>
      <c r="E7" s="20">
        <v>4.0</v>
      </c>
      <c r="F7" s="21">
        <f t="shared" si="2"/>
        <v>9</v>
      </c>
      <c r="G7" s="23">
        <f t="shared" si="3"/>
        <v>0.75</v>
      </c>
      <c r="H7" s="23">
        <f t="shared" si="4"/>
        <v>0.5555555556</v>
      </c>
      <c r="I7" s="12">
        <f t="shared" si="5"/>
        <v>2</v>
      </c>
      <c r="J7" s="11">
        <v>2.0</v>
      </c>
      <c r="K7" s="11">
        <v>0.0</v>
      </c>
      <c r="L7" s="16">
        <f t="shared" si="6"/>
        <v>0.1666666667</v>
      </c>
      <c r="M7" s="16">
        <f>J7/I7</f>
        <v>1</v>
      </c>
      <c r="N7" s="12">
        <f t="shared" si="7"/>
        <v>20</v>
      </c>
      <c r="O7" s="18">
        <f t="shared" si="8"/>
        <v>1.666666667</v>
      </c>
      <c r="P7" s="18">
        <f t="shared" si="9"/>
        <v>6.666666667</v>
      </c>
    </row>
    <row r="8">
      <c r="A8" s="2" t="s">
        <v>73</v>
      </c>
      <c r="B8" s="10">
        <v>3.0</v>
      </c>
      <c r="C8" s="12">
        <f t="shared" si="1"/>
        <v>12</v>
      </c>
      <c r="D8" s="11">
        <v>5.0</v>
      </c>
      <c r="E8" s="11">
        <v>6.0</v>
      </c>
      <c r="F8" s="12">
        <f t="shared" si="2"/>
        <v>11</v>
      </c>
      <c r="G8" s="16">
        <f t="shared" si="3"/>
        <v>0.9166666667</v>
      </c>
      <c r="H8" s="16">
        <f t="shared" si="4"/>
        <v>0.4545454545</v>
      </c>
      <c r="I8" s="12">
        <f t="shared" si="5"/>
        <v>0</v>
      </c>
      <c r="J8" s="11">
        <v>0.0</v>
      </c>
      <c r="K8" s="11">
        <v>0.0</v>
      </c>
      <c r="L8" s="16">
        <f t="shared" si="6"/>
        <v>0</v>
      </c>
      <c r="M8" s="11" t="s">
        <v>41</v>
      </c>
      <c r="N8" s="12">
        <f t="shared" si="7"/>
        <v>20</v>
      </c>
      <c r="O8" s="18">
        <f t="shared" si="8"/>
        <v>1.666666667</v>
      </c>
      <c r="P8" s="18">
        <f t="shared" si="9"/>
        <v>6.666666667</v>
      </c>
    </row>
    <row r="9">
      <c r="A9" s="2" t="s">
        <v>138</v>
      </c>
      <c r="B9" s="10">
        <v>2.5</v>
      </c>
      <c r="C9" s="12">
        <f t="shared" si="1"/>
        <v>10</v>
      </c>
      <c r="D9" s="11">
        <v>4.0</v>
      </c>
      <c r="E9" s="11">
        <v>1.0</v>
      </c>
      <c r="F9" s="12">
        <f t="shared" si="2"/>
        <v>5</v>
      </c>
      <c r="G9" s="16">
        <f t="shared" si="3"/>
        <v>0.5</v>
      </c>
      <c r="H9" s="16">
        <f t="shared" si="4"/>
        <v>0.8</v>
      </c>
      <c r="I9" s="12">
        <f t="shared" si="5"/>
        <v>0</v>
      </c>
      <c r="J9" s="11">
        <v>0.0</v>
      </c>
      <c r="K9" s="11">
        <v>0.0</v>
      </c>
      <c r="L9" s="16">
        <f t="shared" si="6"/>
        <v>0</v>
      </c>
      <c r="M9" s="11" t="s">
        <v>41</v>
      </c>
      <c r="N9" s="12">
        <f t="shared" si="7"/>
        <v>16</v>
      </c>
      <c r="O9" s="18">
        <f t="shared" si="8"/>
        <v>1.6</v>
      </c>
      <c r="P9" s="18">
        <f t="shared" si="9"/>
        <v>6.4</v>
      </c>
    </row>
    <row r="10">
      <c r="A10" s="2" t="s">
        <v>60</v>
      </c>
      <c r="B10" s="10">
        <v>3.0</v>
      </c>
      <c r="C10" s="12">
        <f t="shared" si="1"/>
        <v>12</v>
      </c>
      <c r="D10" s="11">
        <v>4.0</v>
      </c>
      <c r="E10" s="11">
        <v>1.0</v>
      </c>
      <c r="F10" s="12">
        <f t="shared" si="2"/>
        <v>5</v>
      </c>
      <c r="G10" s="16">
        <f t="shared" si="3"/>
        <v>0.4166666667</v>
      </c>
      <c r="H10" s="16">
        <f t="shared" si="4"/>
        <v>0.8</v>
      </c>
      <c r="I10" s="12">
        <f t="shared" si="5"/>
        <v>1</v>
      </c>
      <c r="J10" s="11">
        <v>1.0</v>
      </c>
      <c r="K10" s="11">
        <v>0.0</v>
      </c>
      <c r="L10" s="16">
        <f t="shared" si="6"/>
        <v>0.08333333333</v>
      </c>
      <c r="M10" s="16">
        <f t="shared" ref="M10:M13" si="11">J10/I10</f>
        <v>1</v>
      </c>
      <c r="N10" s="12">
        <f t="shared" si="7"/>
        <v>16</v>
      </c>
      <c r="O10" s="18">
        <f t="shared" si="8"/>
        <v>1.333333333</v>
      </c>
      <c r="P10" s="18">
        <f t="shared" si="9"/>
        <v>5.333333333</v>
      </c>
    </row>
    <row r="11">
      <c r="A11" s="2" t="s">
        <v>69</v>
      </c>
      <c r="B11" s="10">
        <v>3.0</v>
      </c>
      <c r="C11" s="12">
        <f t="shared" si="1"/>
        <v>12</v>
      </c>
      <c r="D11" s="11">
        <v>4.0</v>
      </c>
      <c r="E11" s="11">
        <v>1.0</v>
      </c>
      <c r="F11" s="12">
        <f t="shared" si="2"/>
        <v>5</v>
      </c>
      <c r="G11" s="16">
        <f t="shared" si="3"/>
        <v>0.4166666667</v>
      </c>
      <c r="H11" s="16">
        <f t="shared" si="4"/>
        <v>0.8</v>
      </c>
      <c r="I11" s="12">
        <f t="shared" si="5"/>
        <v>1</v>
      </c>
      <c r="J11" s="11">
        <v>1.0</v>
      </c>
      <c r="K11" s="11">
        <v>0.0</v>
      </c>
      <c r="L11" s="16">
        <f t="shared" si="6"/>
        <v>0.08333333333</v>
      </c>
      <c r="M11" s="16">
        <f t="shared" si="11"/>
        <v>1</v>
      </c>
      <c r="N11" s="12">
        <f t="shared" si="7"/>
        <v>16</v>
      </c>
      <c r="O11" s="18">
        <f t="shared" si="8"/>
        <v>1.333333333</v>
      </c>
      <c r="P11" s="18">
        <f t="shared" si="9"/>
        <v>5.333333333</v>
      </c>
    </row>
    <row r="12">
      <c r="A12" s="2" t="s">
        <v>82</v>
      </c>
      <c r="B12" s="10">
        <v>3.0</v>
      </c>
      <c r="C12" s="12">
        <f t="shared" si="1"/>
        <v>12</v>
      </c>
      <c r="D12" s="11">
        <v>4.0</v>
      </c>
      <c r="E12" s="11">
        <v>4.0</v>
      </c>
      <c r="F12" s="12">
        <f t="shared" si="2"/>
        <v>8</v>
      </c>
      <c r="G12" s="16">
        <f t="shared" si="3"/>
        <v>0.6666666667</v>
      </c>
      <c r="H12" s="16">
        <f t="shared" si="4"/>
        <v>0.5</v>
      </c>
      <c r="I12" s="12">
        <f t="shared" si="5"/>
        <v>1</v>
      </c>
      <c r="J12" s="11">
        <v>1.0</v>
      </c>
      <c r="K12" s="11">
        <v>0.0</v>
      </c>
      <c r="L12" s="16">
        <f t="shared" si="6"/>
        <v>0.08333333333</v>
      </c>
      <c r="M12" s="16">
        <f t="shared" si="11"/>
        <v>1</v>
      </c>
      <c r="N12" s="12">
        <f t="shared" si="7"/>
        <v>16</v>
      </c>
      <c r="O12" s="18">
        <f t="shared" si="8"/>
        <v>1.333333333</v>
      </c>
      <c r="P12" s="18">
        <f t="shared" si="9"/>
        <v>5.333333333</v>
      </c>
    </row>
    <row r="13">
      <c r="A13" s="2" t="s">
        <v>86</v>
      </c>
      <c r="B13" s="10">
        <v>3.0</v>
      </c>
      <c r="C13" s="12">
        <f t="shared" si="1"/>
        <v>12</v>
      </c>
      <c r="D13" s="11">
        <v>4.0</v>
      </c>
      <c r="E13" s="11">
        <v>6.0</v>
      </c>
      <c r="F13" s="12">
        <f t="shared" si="2"/>
        <v>10</v>
      </c>
      <c r="G13" s="16">
        <f t="shared" si="3"/>
        <v>0.8333333333</v>
      </c>
      <c r="H13" s="16">
        <f t="shared" si="4"/>
        <v>0.4</v>
      </c>
      <c r="I13" s="12">
        <f t="shared" si="5"/>
        <v>1</v>
      </c>
      <c r="J13" s="11">
        <v>1.0</v>
      </c>
      <c r="K13" s="11">
        <v>0.0</v>
      </c>
      <c r="L13" s="16">
        <f t="shared" si="6"/>
        <v>0.08333333333</v>
      </c>
      <c r="M13" s="16">
        <f t="shared" si="11"/>
        <v>1</v>
      </c>
      <c r="N13" s="12">
        <f t="shared" si="7"/>
        <v>16</v>
      </c>
      <c r="O13" s="18">
        <f t="shared" si="8"/>
        <v>1.333333333</v>
      </c>
      <c r="P13" s="18">
        <f t="shared" si="9"/>
        <v>5.333333333</v>
      </c>
    </row>
    <row r="14">
      <c r="A14" s="2" t="s">
        <v>144</v>
      </c>
      <c r="B14" s="10">
        <v>3.0</v>
      </c>
      <c r="C14" s="12">
        <f t="shared" si="1"/>
        <v>12</v>
      </c>
      <c r="D14" s="11">
        <v>3.0</v>
      </c>
      <c r="E14" s="11">
        <v>0.0</v>
      </c>
      <c r="F14" s="12">
        <f t="shared" si="2"/>
        <v>3</v>
      </c>
      <c r="G14" s="16">
        <f t="shared" si="3"/>
        <v>0.25</v>
      </c>
      <c r="H14" s="16">
        <f t="shared" si="4"/>
        <v>1</v>
      </c>
      <c r="I14" s="12">
        <f t="shared" si="5"/>
        <v>0</v>
      </c>
      <c r="J14" s="11">
        <v>0.0</v>
      </c>
      <c r="K14" s="11">
        <v>0.0</v>
      </c>
      <c r="L14" s="16">
        <f t="shared" si="6"/>
        <v>0</v>
      </c>
      <c r="M14" s="11" t="s">
        <v>41</v>
      </c>
      <c r="N14" s="12">
        <f t="shared" si="7"/>
        <v>12</v>
      </c>
      <c r="O14" s="18">
        <f t="shared" si="8"/>
        <v>1</v>
      </c>
      <c r="P14" s="18">
        <f t="shared" si="9"/>
        <v>4</v>
      </c>
    </row>
    <row r="15">
      <c r="A15" s="2" t="s">
        <v>74</v>
      </c>
      <c r="B15" s="10">
        <v>2.0</v>
      </c>
      <c r="C15" s="12">
        <f t="shared" si="1"/>
        <v>8</v>
      </c>
      <c r="D15" s="11">
        <v>2.0</v>
      </c>
      <c r="E15" s="11">
        <v>0.0</v>
      </c>
      <c r="F15" s="12">
        <f t="shared" si="2"/>
        <v>2</v>
      </c>
      <c r="G15" s="16">
        <f t="shared" si="3"/>
        <v>0.25</v>
      </c>
      <c r="H15" s="16">
        <f t="shared" si="4"/>
        <v>1</v>
      </c>
      <c r="I15" s="12">
        <f t="shared" si="5"/>
        <v>0</v>
      </c>
      <c r="J15" s="11">
        <v>0.0</v>
      </c>
      <c r="K15" s="11">
        <v>0.0</v>
      </c>
      <c r="L15" s="16">
        <f t="shared" si="6"/>
        <v>0</v>
      </c>
      <c r="M15" s="11" t="s">
        <v>41</v>
      </c>
      <c r="N15" s="12">
        <f t="shared" si="7"/>
        <v>8</v>
      </c>
      <c r="O15" s="18">
        <f t="shared" si="8"/>
        <v>1</v>
      </c>
      <c r="P15" s="18">
        <f t="shared" si="9"/>
        <v>4</v>
      </c>
    </row>
    <row r="16">
      <c r="A16" s="2" t="s">
        <v>112</v>
      </c>
      <c r="B16" s="10">
        <v>3.0</v>
      </c>
      <c r="C16" s="12">
        <f t="shared" si="1"/>
        <v>12</v>
      </c>
      <c r="D16" s="11">
        <v>3.0</v>
      </c>
      <c r="E16" s="20">
        <v>0.0</v>
      </c>
      <c r="F16" s="21">
        <f t="shared" si="2"/>
        <v>3</v>
      </c>
      <c r="G16" s="23">
        <f t="shared" si="3"/>
        <v>0.25</v>
      </c>
      <c r="H16" s="23">
        <f t="shared" si="4"/>
        <v>1</v>
      </c>
      <c r="I16" s="12">
        <f t="shared" si="5"/>
        <v>1</v>
      </c>
      <c r="J16" s="11">
        <v>1.0</v>
      </c>
      <c r="K16" s="11">
        <v>0.0</v>
      </c>
      <c r="L16" s="16">
        <f t="shared" si="6"/>
        <v>0.08333333333</v>
      </c>
      <c r="M16" s="16">
        <f>J16/I16</f>
        <v>1</v>
      </c>
      <c r="N16" s="12">
        <f t="shared" si="7"/>
        <v>12</v>
      </c>
      <c r="O16" s="18">
        <f t="shared" si="8"/>
        <v>1</v>
      </c>
      <c r="P16" s="18">
        <f t="shared" si="9"/>
        <v>4</v>
      </c>
    </row>
    <row r="17">
      <c r="A17" s="2" t="s">
        <v>160</v>
      </c>
      <c r="B17" s="10">
        <v>1.0</v>
      </c>
      <c r="C17" s="12">
        <f t="shared" si="1"/>
        <v>4</v>
      </c>
      <c r="D17" s="11">
        <v>1.0</v>
      </c>
      <c r="E17" s="11">
        <v>0.0</v>
      </c>
      <c r="F17" s="12">
        <f t="shared" si="2"/>
        <v>1</v>
      </c>
      <c r="G17" s="16">
        <f t="shared" si="3"/>
        <v>0.25</v>
      </c>
      <c r="H17" s="16">
        <f t="shared" si="4"/>
        <v>1</v>
      </c>
      <c r="I17" s="12">
        <f t="shared" si="5"/>
        <v>0</v>
      </c>
      <c r="J17" s="11">
        <v>0.0</v>
      </c>
      <c r="K17" s="11">
        <v>0.0</v>
      </c>
      <c r="L17" s="16">
        <f t="shared" si="6"/>
        <v>0</v>
      </c>
      <c r="M17" s="11" t="s">
        <v>41</v>
      </c>
      <c r="N17" s="12">
        <f t="shared" si="7"/>
        <v>4</v>
      </c>
      <c r="O17" s="18">
        <f t="shared" si="8"/>
        <v>1</v>
      </c>
      <c r="P17" s="18">
        <f t="shared" si="9"/>
        <v>4</v>
      </c>
    </row>
    <row r="18">
      <c r="A18" s="2" t="s">
        <v>137</v>
      </c>
      <c r="B18" s="10">
        <v>3.0</v>
      </c>
      <c r="C18" s="12">
        <f t="shared" si="1"/>
        <v>12</v>
      </c>
      <c r="D18" s="11">
        <v>3.0</v>
      </c>
      <c r="E18" s="11">
        <v>3.0</v>
      </c>
      <c r="F18" s="12">
        <f t="shared" si="2"/>
        <v>6</v>
      </c>
      <c r="G18" s="16">
        <f t="shared" si="3"/>
        <v>0.5</v>
      </c>
      <c r="H18" s="16">
        <f t="shared" si="4"/>
        <v>0.5</v>
      </c>
      <c r="I18" s="12">
        <f t="shared" si="5"/>
        <v>0</v>
      </c>
      <c r="J18" s="11">
        <v>0.0</v>
      </c>
      <c r="K18" s="11">
        <v>0.0</v>
      </c>
      <c r="L18" s="16">
        <f t="shared" si="6"/>
        <v>0</v>
      </c>
      <c r="M18" s="11" t="s">
        <v>41</v>
      </c>
      <c r="N18" s="12">
        <f t="shared" si="7"/>
        <v>12</v>
      </c>
      <c r="O18" s="18">
        <f t="shared" si="8"/>
        <v>1</v>
      </c>
      <c r="P18" s="18">
        <f t="shared" si="9"/>
        <v>4</v>
      </c>
    </row>
    <row r="19">
      <c r="A19" s="2" t="s">
        <v>54</v>
      </c>
      <c r="B19" s="10">
        <v>3.0</v>
      </c>
      <c r="C19" s="12">
        <f t="shared" si="1"/>
        <v>12</v>
      </c>
      <c r="D19" s="11">
        <v>3.0</v>
      </c>
      <c r="E19" s="11">
        <v>3.0</v>
      </c>
      <c r="F19" s="12">
        <f t="shared" si="2"/>
        <v>6</v>
      </c>
      <c r="G19" s="16">
        <f t="shared" si="3"/>
        <v>0.5</v>
      </c>
      <c r="H19" s="16">
        <f t="shared" si="4"/>
        <v>0.5</v>
      </c>
      <c r="I19" s="12">
        <f t="shared" si="5"/>
        <v>0</v>
      </c>
      <c r="J19" s="11">
        <v>0.0</v>
      </c>
      <c r="K19" s="11">
        <v>0.0</v>
      </c>
      <c r="L19" s="16">
        <f t="shared" si="6"/>
        <v>0</v>
      </c>
      <c r="M19" s="11" t="s">
        <v>41</v>
      </c>
      <c r="N19" s="12">
        <f t="shared" si="7"/>
        <v>12</v>
      </c>
      <c r="O19" s="18">
        <f t="shared" si="8"/>
        <v>1</v>
      </c>
      <c r="P19" s="18">
        <f t="shared" si="9"/>
        <v>4</v>
      </c>
    </row>
    <row r="20">
      <c r="A20" s="2" t="s">
        <v>125</v>
      </c>
      <c r="B20" s="10">
        <v>3.0</v>
      </c>
      <c r="C20" s="12">
        <f t="shared" si="1"/>
        <v>12</v>
      </c>
      <c r="D20" s="11">
        <v>3.0</v>
      </c>
      <c r="E20" s="11">
        <v>4.0</v>
      </c>
      <c r="F20" s="12">
        <f t="shared" si="2"/>
        <v>7</v>
      </c>
      <c r="G20" s="16">
        <f t="shared" si="3"/>
        <v>0.5833333333</v>
      </c>
      <c r="H20" s="16">
        <f t="shared" si="4"/>
        <v>0.4285714286</v>
      </c>
      <c r="I20" s="12">
        <f t="shared" si="5"/>
        <v>0</v>
      </c>
      <c r="J20" s="11">
        <v>0.0</v>
      </c>
      <c r="K20" s="11">
        <v>0.0</v>
      </c>
      <c r="L20" s="16">
        <f t="shared" si="6"/>
        <v>0</v>
      </c>
      <c r="M20" s="11" t="s">
        <v>41</v>
      </c>
      <c r="N20" s="12">
        <f t="shared" si="7"/>
        <v>12</v>
      </c>
      <c r="O20" s="18">
        <f t="shared" si="8"/>
        <v>1</v>
      </c>
      <c r="P20" s="18">
        <f t="shared" si="9"/>
        <v>4</v>
      </c>
    </row>
    <row r="21">
      <c r="A21" s="2" t="s">
        <v>99</v>
      </c>
      <c r="B21" s="10">
        <v>2.5</v>
      </c>
      <c r="C21" s="12">
        <f t="shared" si="1"/>
        <v>10</v>
      </c>
      <c r="D21" s="11">
        <v>2.0</v>
      </c>
      <c r="E21" s="11">
        <v>1.0</v>
      </c>
      <c r="F21" s="12">
        <f t="shared" si="2"/>
        <v>3</v>
      </c>
      <c r="G21" s="16">
        <f t="shared" si="3"/>
        <v>0.3</v>
      </c>
      <c r="H21" s="16">
        <f t="shared" si="4"/>
        <v>0.6666666667</v>
      </c>
      <c r="I21" s="12">
        <f t="shared" si="5"/>
        <v>0</v>
      </c>
      <c r="J21" s="11">
        <v>0.0</v>
      </c>
      <c r="K21" s="11">
        <v>0.0</v>
      </c>
      <c r="L21" s="16">
        <f t="shared" si="6"/>
        <v>0</v>
      </c>
      <c r="M21" s="11" t="s">
        <v>41</v>
      </c>
      <c r="N21" s="12">
        <f t="shared" si="7"/>
        <v>8</v>
      </c>
      <c r="O21" s="18">
        <f t="shared" si="8"/>
        <v>0.8</v>
      </c>
      <c r="P21" s="18">
        <f t="shared" si="9"/>
        <v>3.2</v>
      </c>
    </row>
    <row r="22">
      <c r="A22" s="2" t="s">
        <v>162</v>
      </c>
      <c r="B22" s="10">
        <v>2.5</v>
      </c>
      <c r="C22" s="12">
        <f t="shared" si="1"/>
        <v>10</v>
      </c>
      <c r="D22" s="11">
        <v>2.0</v>
      </c>
      <c r="E22" s="11">
        <v>3.0</v>
      </c>
      <c r="F22" s="12">
        <f t="shared" si="2"/>
        <v>5</v>
      </c>
      <c r="G22" s="16">
        <f t="shared" si="3"/>
        <v>0.5</v>
      </c>
      <c r="H22" s="16">
        <f t="shared" si="4"/>
        <v>0.4</v>
      </c>
      <c r="I22" s="12">
        <f t="shared" si="5"/>
        <v>0</v>
      </c>
      <c r="J22" s="11">
        <v>0.0</v>
      </c>
      <c r="K22" s="11">
        <v>0.0</v>
      </c>
      <c r="L22" s="16">
        <f t="shared" si="6"/>
        <v>0</v>
      </c>
      <c r="M22" s="11" t="s">
        <v>41</v>
      </c>
      <c r="N22" s="12">
        <f t="shared" si="7"/>
        <v>8</v>
      </c>
      <c r="O22" s="18">
        <f t="shared" si="8"/>
        <v>0.8</v>
      </c>
      <c r="P22" s="18">
        <f t="shared" si="9"/>
        <v>3.2</v>
      </c>
    </row>
    <row r="23">
      <c r="A23" s="2" t="s">
        <v>43</v>
      </c>
      <c r="B23" s="10">
        <v>3.0</v>
      </c>
      <c r="C23" s="12">
        <f t="shared" si="1"/>
        <v>12</v>
      </c>
      <c r="D23" s="11">
        <v>2.0</v>
      </c>
      <c r="E23" s="20">
        <v>0.0</v>
      </c>
      <c r="F23" s="21">
        <f t="shared" si="2"/>
        <v>2</v>
      </c>
      <c r="G23" s="23">
        <f t="shared" si="3"/>
        <v>0.1666666667</v>
      </c>
      <c r="H23" s="23">
        <f t="shared" si="4"/>
        <v>1</v>
      </c>
      <c r="I23" s="12">
        <f t="shared" si="5"/>
        <v>0</v>
      </c>
      <c r="J23" s="11">
        <v>0.0</v>
      </c>
      <c r="K23" s="11">
        <v>0.0</v>
      </c>
      <c r="L23" s="16">
        <f t="shared" si="6"/>
        <v>0</v>
      </c>
      <c r="M23" s="11" t="s">
        <v>41</v>
      </c>
      <c r="N23" s="12">
        <f t="shared" si="7"/>
        <v>8</v>
      </c>
      <c r="O23" s="18">
        <f t="shared" si="8"/>
        <v>0.6666666667</v>
      </c>
      <c r="P23" s="18">
        <f t="shared" si="9"/>
        <v>2.666666667</v>
      </c>
    </row>
    <row r="24">
      <c r="A24" s="2" t="s">
        <v>122</v>
      </c>
      <c r="B24" s="10">
        <v>3.0</v>
      </c>
      <c r="C24" s="12">
        <f t="shared" si="1"/>
        <v>12</v>
      </c>
      <c r="D24" s="11">
        <v>2.0</v>
      </c>
      <c r="E24" s="11">
        <v>0.0</v>
      </c>
      <c r="F24" s="12">
        <f t="shared" si="2"/>
        <v>2</v>
      </c>
      <c r="G24" s="16">
        <f t="shared" si="3"/>
        <v>0.1666666667</v>
      </c>
      <c r="H24" s="16">
        <f t="shared" si="4"/>
        <v>1</v>
      </c>
      <c r="I24" s="12">
        <f t="shared" si="5"/>
        <v>0</v>
      </c>
      <c r="J24" s="11">
        <v>0.0</v>
      </c>
      <c r="K24" s="11">
        <v>0.0</v>
      </c>
      <c r="L24" s="16">
        <f t="shared" si="6"/>
        <v>0</v>
      </c>
      <c r="M24" s="11" t="s">
        <v>41</v>
      </c>
      <c r="N24" s="12">
        <f t="shared" si="7"/>
        <v>8</v>
      </c>
      <c r="O24" s="18">
        <f t="shared" si="8"/>
        <v>0.6666666667</v>
      </c>
      <c r="P24" s="18">
        <f t="shared" si="9"/>
        <v>2.666666667</v>
      </c>
    </row>
    <row r="25">
      <c r="A25" s="2" t="s">
        <v>189</v>
      </c>
      <c r="B25" s="10">
        <v>3.0</v>
      </c>
      <c r="C25" s="12">
        <f t="shared" si="1"/>
        <v>12</v>
      </c>
      <c r="D25" s="11">
        <v>2.0</v>
      </c>
      <c r="E25" s="11">
        <v>0.0</v>
      </c>
      <c r="F25" s="12">
        <f t="shared" si="2"/>
        <v>2</v>
      </c>
      <c r="G25" s="16">
        <f t="shared" si="3"/>
        <v>0.1666666667</v>
      </c>
      <c r="H25" s="16">
        <f t="shared" si="4"/>
        <v>1</v>
      </c>
      <c r="I25" s="12">
        <f t="shared" si="5"/>
        <v>0</v>
      </c>
      <c r="J25" s="11">
        <v>0.0</v>
      </c>
      <c r="K25" s="11">
        <v>0.0</v>
      </c>
      <c r="L25" s="16">
        <f t="shared" si="6"/>
        <v>0</v>
      </c>
      <c r="M25" s="11" t="s">
        <v>41</v>
      </c>
      <c r="N25" s="12">
        <f t="shared" si="7"/>
        <v>8</v>
      </c>
      <c r="O25" s="18">
        <f t="shared" si="8"/>
        <v>0.6666666667</v>
      </c>
      <c r="P25" s="18">
        <f t="shared" si="9"/>
        <v>2.666666667</v>
      </c>
    </row>
    <row r="26">
      <c r="A26" s="2" t="s">
        <v>124</v>
      </c>
      <c r="B26" s="10">
        <v>1.5</v>
      </c>
      <c r="C26" s="12">
        <f t="shared" si="1"/>
        <v>6</v>
      </c>
      <c r="D26" s="11">
        <v>1.0</v>
      </c>
      <c r="E26" s="11">
        <v>0.0</v>
      </c>
      <c r="F26" s="12">
        <f t="shared" si="2"/>
        <v>1</v>
      </c>
      <c r="G26" s="16">
        <f t="shared" si="3"/>
        <v>0.1666666667</v>
      </c>
      <c r="H26" s="16">
        <f t="shared" si="4"/>
        <v>1</v>
      </c>
      <c r="I26" s="12">
        <f t="shared" si="5"/>
        <v>0</v>
      </c>
      <c r="J26" s="11">
        <v>0.0</v>
      </c>
      <c r="K26" s="11">
        <v>0.0</v>
      </c>
      <c r="L26" s="16">
        <f t="shared" si="6"/>
        <v>0</v>
      </c>
      <c r="M26" s="11" t="s">
        <v>41</v>
      </c>
      <c r="N26" s="12">
        <f t="shared" si="7"/>
        <v>4</v>
      </c>
      <c r="O26" s="18">
        <f t="shared" si="8"/>
        <v>0.6666666667</v>
      </c>
      <c r="P26" s="18">
        <f t="shared" si="9"/>
        <v>2.666666667</v>
      </c>
    </row>
    <row r="27">
      <c r="A27" s="2" t="s">
        <v>147</v>
      </c>
      <c r="B27" s="10">
        <v>1.5</v>
      </c>
      <c r="C27" s="12">
        <f t="shared" si="1"/>
        <v>6</v>
      </c>
      <c r="D27" s="11">
        <v>1.0</v>
      </c>
      <c r="E27" s="11">
        <v>0.0</v>
      </c>
      <c r="F27" s="12">
        <f t="shared" si="2"/>
        <v>1</v>
      </c>
      <c r="G27" s="16">
        <f t="shared" si="3"/>
        <v>0.1666666667</v>
      </c>
      <c r="H27" s="16">
        <f t="shared" si="4"/>
        <v>1</v>
      </c>
      <c r="I27" s="12">
        <f t="shared" si="5"/>
        <v>0</v>
      </c>
      <c r="J27" s="11">
        <v>0.0</v>
      </c>
      <c r="K27" s="11">
        <v>0.0</v>
      </c>
      <c r="L27" s="16">
        <f t="shared" si="6"/>
        <v>0</v>
      </c>
      <c r="M27" s="11" t="s">
        <v>41</v>
      </c>
      <c r="N27" s="12">
        <f t="shared" si="7"/>
        <v>4</v>
      </c>
      <c r="O27" s="18">
        <f t="shared" si="8"/>
        <v>0.6666666667</v>
      </c>
      <c r="P27" s="18">
        <f t="shared" si="9"/>
        <v>2.666666667</v>
      </c>
    </row>
    <row r="28">
      <c r="A28" s="2" t="s">
        <v>128</v>
      </c>
      <c r="B28" s="10">
        <v>3.0</v>
      </c>
      <c r="C28" s="12">
        <f t="shared" si="1"/>
        <v>12</v>
      </c>
      <c r="D28" s="11">
        <v>2.0</v>
      </c>
      <c r="E28" s="11">
        <v>1.0</v>
      </c>
      <c r="F28" s="12">
        <f t="shared" si="2"/>
        <v>3</v>
      </c>
      <c r="G28" s="16">
        <f t="shared" si="3"/>
        <v>0.25</v>
      </c>
      <c r="H28" s="16">
        <f t="shared" si="4"/>
        <v>0.6666666667</v>
      </c>
      <c r="I28" s="12">
        <f t="shared" si="5"/>
        <v>0</v>
      </c>
      <c r="J28" s="11">
        <v>0.0</v>
      </c>
      <c r="K28" s="11">
        <v>0.0</v>
      </c>
      <c r="L28" s="16">
        <f t="shared" si="6"/>
        <v>0</v>
      </c>
      <c r="M28" s="11" t="s">
        <v>41</v>
      </c>
      <c r="N28" s="12">
        <f t="shared" si="7"/>
        <v>8</v>
      </c>
      <c r="O28" s="18">
        <f t="shared" si="8"/>
        <v>0.6666666667</v>
      </c>
      <c r="P28" s="18">
        <f t="shared" si="9"/>
        <v>2.666666667</v>
      </c>
    </row>
    <row r="29">
      <c r="A29" s="2" t="s">
        <v>46</v>
      </c>
      <c r="B29" s="10">
        <v>3.0</v>
      </c>
      <c r="C29" s="12">
        <f t="shared" si="1"/>
        <v>12</v>
      </c>
      <c r="D29" s="11">
        <v>2.0</v>
      </c>
      <c r="E29" s="11">
        <v>1.0</v>
      </c>
      <c r="F29" s="12">
        <f t="shared" si="2"/>
        <v>3</v>
      </c>
      <c r="G29" s="16">
        <f t="shared" si="3"/>
        <v>0.25</v>
      </c>
      <c r="H29" s="16">
        <f t="shared" si="4"/>
        <v>0.6666666667</v>
      </c>
      <c r="I29" s="12">
        <f t="shared" si="5"/>
        <v>0</v>
      </c>
      <c r="J29" s="11">
        <v>0.0</v>
      </c>
      <c r="K29" s="11">
        <v>0.0</v>
      </c>
      <c r="L29" s="16">
        <f t="shared" si="6"/>
        <v>0</v>
      </c>
      <c r="M29" s="11" t="s">
        <v>41</v>
      </c>
      <c r="N29" s="12">
        <f t="shared" si="7"/>
        <v>8</v>
      </c>
      <c r="O29" s="18">
        <f t="shared" si="8"/>
        <v>0.6666666667</v>
      </c>
      <c r="P29" s="18">
        <f t="shared" si="9"/>
        <v>2.666666667</v>
      </c>
    </row>
    <row r="30">
      <c r="A30" s="2" t="s">
        <v>65</v>
      </c>
      <c r="B30" s="10">
        <v>3.0</v>
      </c>
      <c r="C30" s="12">
        <f t="shared" si="1"/>
        <v>12</v>
      </c>
      <c r="D30" s="11">
        <v>2.0</v>
      </c>
      <c r="E30" s="11">
        <v>1.0</v>
      </c>
      <c r="F30" s="12">
        <f t="shared" si="2"/>
        <v>3</v>
      </c>
      <c r="G30" s="16">
        <f t="shared" si="3"/>
        <v>0.25</v>
      </c>
      <c r="H30" s="16">
        <f t="shared" si="4"/>
        <v>0.6666666667</v>
      </c>
      <c r="I30" s="12">
        <f t="shared" si="5"/>
        <v>0</v>
      </c>
      <c r="J30" s="11">
        <v>0.0</v>
      </c>
      <c r="K30" s="11">
        <v>0.0</v>
      </c>
      <c r="L30" s="16">
        <f t="shared" si="6"/>
        <v>0</v>
      </c>
      <c r="M30" s="11" t="s">
        <v>41</v>
      </c>
      <c r="N30" s="12">
        <f t="shared" si="7"/>
        <v>8</v>
      </c>
      <c r="O30" s="18">
        <f t="shared" si="8"/>
        <v>0.6666666667</v>
      </c>
      <c r="P30" s="18">
        <f t="shared" si="9"/>
        <v>2.666666667</v>
      </c>
    </row>
    <row r="31">
      <c r="A31" s="2" t="s">
        <v>188</v>
      </c>
      <c r="B31" s="10">
        <v>3.0</v>
      </c>
      <c r="C31" s="12">
        <f t="shared" si="1"/>
        <v>12</v>
      </c>
      <c r="D31" s="11">
        <v>3.0</v>
      </c>
      <c r="E31" s="11">
        <v>3.0</v>
      </c>
      <c r="F31" s="12">
        <f t="shared" si="2"/>
        <v>6</v>
      </c>
      <c r="G31" s="16">
        <f t="shared" si="3"/>
        <v>0.5</v>
      </c>
      <c r="H31" s="16">
        <f t="shared" si="4"/>
        <v>0.5</v>
      </c>
      <c r="I31" s="12">
        <f t="shared" si="5"/>
        <v>1</v>
      </c>
      <c r="J31" s="11">
        <v>0.0</v>
      </c>
      <c r="K31" s="11">
        <v>1.0</v>
      </c>
      <c r="L31" s="16">
        <f t="shared" si="6"/>
        <v>0.08333333333</v>
      </c>
      <c r="M31" s="16">
        <f>J31/I31</f>
        <v>0</v>
      </c>
      <c r="N31" s="12">
        <f t="shared" si="7"/>
        <v>8</v>
      </c>
      <c r="O31" s="18">
        <f t="shared" si="8"/>
        <v>0.6666666667</v>
      </c>
      <c r="P31" s="18">
        <f t="shared" si="9"/>
        <v>2.666666667</v>
      </c>
    </row>
    <row r="32">
      <c r="A32" s="2" t="s">
        <v>66</v>
      </c>
      <c r="B32" s="10">
        <v>3.0</v>
      </c>
      <c r="C32" s="12">
        <f t="shared" si="1"/>
        <v>12</v>
      </c>
      <c r="D32" s="11">
        <v>2.0</v>
      </c>
      <c r="E32" s="11">
        <v>2.0</v>
      </c>
      <c r="F32" s="12">
        <f t="shared" si="2"/>
        <v>4</v>
      </c>
      <c r="G32" s="16">
        <f t="shared" si="3"/>
        <v>0.3333333333</v>
      </c>
      <c r="H32" s="16">
        <f t="shared" si="4"/>
        <v>0.5</v>
      </c>
      <c r="I32" s="12">
        <f t="shared" si="5"/>
        <v>0</v>
      </c>
      <c r="J32" s="11">
        <v>0.0</v>
      </c>
      <c r="K32" s="11">
        <v>0.0</v>
      </c>
      <c r="L32" s="16">
        <f t="shared" si="6"/>
        <v>0</v>
      </c>
      <c r="M32" s="11" t="s">
        <v>41</v>
      </c>
      <c r="N32" s="12">
        <f t="shared" si="7"/>
        <v>8</v>
      </c>
      <c r="O32" s="18">
        <f t="shared" si="8"/>
        <v>0.6666666667</v>
      </c>
      <c r="P32" s="18">
        <f t="shared" si="9"/>
        <v>2.666666667</v>
      </c>
    </row>
    <row r="33">
      <c r="A33" s="2" t="s">
        <v>87</v>
      </c>
      <c r="B33" s="10">
        <v>3.0</v>
      </c>
      <c r="C33" s="12">
        <f t="shared" si="1"/>
        <v>12</v>
      </c>
      <c r="D33" s="11">
        <v>2.0</v>
      </c>
      <c r="E33" s="11">
        <v>2.0</v>
      </c>
      <c r="F33" s="12">
        <f t="shared" si="2"/>
        <v>4</v>
      </c>
      <c r="G33" s="16">
        <f t="shared" si="3"/>
        <v>0.3333333333</v>
      </c>
      <c r="H33" s="16">
        <f t="shared" si="4"/>
        <v>0.5</v>
      </c>
      <c r="I33" s="12">
        <f t="shared" si="5"/>
        <v>0</v>
      </c>
      <c r="J33" s="11">
        <v>0.0</v>
      </c>
      <c r="K33" s="11">
        <v>0.0</v>
      </c>
      <c r="L33" s="16">
        <f t="shared" si="6"/>
        <v>0</v>
      </c>
      <c r="M33" s="11" t="s">
        <v>41</v>
      </c>
      <c r="N33" s="12">
        <f t="shared" si="7"/>
        <v>8</v>
      </c>
      <c r="O33" s="18">
        <f t="shared" si="8"/>
        <v>0.6666666667</v>
      </c>
      <c r="P33" s="18">
        <f t="shared" si="9"/>
        <v>2.666666667</v>
      </c>
    </row>
    <row r="34">
      <c r="A34" s="2" t="s">
        <v>156</v>
      </c>
      <c r="B34" s="10">
        <v>3.0</v>
      </c>
      <c r="C34" s="12">
        <f t="shared" si="1"/>
        <v>12</v>
      </c>
      <c r="D34" s="11">
        <v>2.0</v>
      </c>
      <c r="E34" s="11">
        <v>3.0</v>
      </c>
      <c r="F34" s="12">
        <f t="shared" si="2"/>
        <v>5</v>
      </c>
      <c r="G34" s="16">
        <f t="shared" si="3"/>
        <v>0.4166666667</v>
      </c>
      <c r="H34" s="16">
        <f t="shared" si="4"/>
        <v>0.4</v>
      </c>
      <c r="I34" s="12">
        <f t="shared" si="5"/>
        <v>0</v>
      </c>
      <c r="J34" s="11">
        <v>0.0</v>
      </c>
      <c r="K34" s="11">
        <v>0.0</v>
      </c>
      <c r="L34" s="16">
        <f t="shared" si="6"/>
        <v>0</v>
      </c>
      <c r="M34" s="11" t="s">
        <v>41</v>
      </c>
      <c r="N34" s="12">
        <f t="shared" si="7"/>
        <v>8</v>
      </c>
      <c r="O34" s="18">
        <f t="shared" si="8"/>
        <v>0.6666666667</v>
      </c>
      <c r="P34" s="18">
        <f t="shared" si="9"/>
        <v>2.666666667</v>
      </c>
    </row>
    <row r="35">
      <c r="A35" s="2" t="s">
        <v>118</v>
      </c>
      <c r="B35" s="10">
        <v>3.0</v>
      </c>
      <c r="C35" s="12">
        <f t="shared" si="1"/>
        <v>12</v>
      </c>
      <c r="D35" s="11">
        <v>2.0</v>
      </c>
      <c r="E35" s="11">
        <v>4.0</v>
      </c>
      <c r="F35" s="12">
        <f t="shared" si="2"/>
        <v>6</v>
      </c>
      <c r="G35" s="16">
        <f t="shared" si="3"/>
        <v>0.5</v>
      </c>
      <c r="H35" s="16">
        <f t="shared" si="4"/>
        <v>0.3333333333</v>
      </c>
      <c r="I35" s="12">
        <f t="shared" si="5"/>
        <v>1</v>
      </c>
      <c r="J35" s="11">
        <v>1.0</v>
      </c>
      <c r="K35" s="11">
        <v>0.0</v>
      </c>
      <c r="L35" s="16">
        <f t="shared" si="6"/>
        <v>0.08333333333</v>
      </c>
      <c r="M35" s="16">
        <f>J35/I35</f>
        <v>1</v>
      </c>
      <c r="N35" s="12">
        <f t="shared" si="7"/>
        <v>8</v>
      </c>
      <c r="O35" s="18">
        <f t="shared" si="8"/>
        <v>0.6666666667</v>
      </c>
      <c r="P35" s="18">
        <f t="shared" si="9"/>
        <v>2.666666667</v>
      </c>
    </row>
    <row r="36">
      <c r="A36" s="2" t="s">
        <v>175</v>
      </c>
      <c r="B36" s="10">
        <v>1.5</v>
      </c>
      <c r="C36" s="12">
        <f t="shared" si="1"/>
        <v>6</v>
      </c>
      <c r="D36" s="11">
        <v>1.0</v>
      </c>
      <c r="E36" s="11">
        <v>2.0</v>
      </c>
      <c r="F36" s="12">
        <f t="shared" si="2"/>
        <v>3</v>
      </c>
      <c r="G36" s="16">
        <f t="shared" si="3"/>
        <v>0.5</v>
      </c>
      <c r="H36" s="16">
        <f t="shared" si="4"/>
        <v>0.3333333333</v>
      </c>
      <c r="I36" s="12">
        <f t="shared" si="5"/>
        <v>0</v>
      </c>
      <c r="J36" s="11">
        <v>0.0</v>
      </c>
      <c r="K36" s="11">
        <v>0.0</v>
      </c>
      <c r="L36" s="16">
        <f t="shared" si="6"/>
        <v>0</v>
      </c>
      <c r="M36" s="11" t="s">
        <v>41</v>
      </c>
      <c r="N36" s="12">
        <f t="shared" si="7"/>
        <v>4</v>
      </c>
      <c r="O36" s="18">
        <f t="shared" si="8"/>
        <v>0.6666666667</v>
      </c>
      <c r="P36" s="18">
        <f t="shared" si="9"/>
        <v>2.666666667</v>
      </c>
    </row>
    <row r="37">
      <c r="A37" s="2" t="s">
        <v>135</v>
      </c>
      <c r="B37" s="10">
        <v>3.0</v>
      </c>
      <c r="C37" s="12">
        <f t="shared" si="1"/>
        <v>12</v>
      </c>
      <c r="D37" s="11">
        <v>2.0</v>
      </c>
      <c r="E37" s="11">
        <v>4.0</v>
      </c>
      <c r="F37" s="12">
        <f t="shared" si="2"/>
        <v>6</v>
      </c>
      <c r="G37" s="16">
        <f t="shared" si="3"/>
        <v>0.5</v>
      </c>
      <c r="H37" s="16">
        <f t="shared" si="4"/>
        <v>0.3333333333</v>
      </c>
      <c r="I37" s="12">
        <f t="shared" si="5"/>
        <v>0</v>
      </c>
      <c r="J37" s="11">
        <v>0.0</v>
      </c>
      <c r="K37" s="11">
        <v>0.0</v>
      </c>
      <c r="L37" s="16">
        <f t="shared" si="6"/>
        <v>0</v>
      </c>
      <c r="M37" s="11" t="s">
        <v>41</v>
      </c>
      <c r="N37" s="12">
        <f t="shared" si="7"/>
        <v>8</v>
      </c>
      <c r="O37" s="18">
        <f t="shared" si="8"/>
        <v>0.6666666667</v>
      </c>
      <c r="P37" s="18">
        <f t="shared" si="9"/>
        <v>2.666666667</v>
      </c>
    </row>
    <row r="38">
      <c r="A38" s="2" t="s">
        <v>201</v>
      </c>
      <c r="B38" s="10">
        <v>2.0</v>
      </c>
      <c r="C38" s="12">
        <f t="shared" si="1"/>
        <v>8</v>
      </c>
      <c r="D38" s="11">
        <v>1.0</v>
      </c>
      <c r="E38" s="11">
        <v>0.0</v>
      </c>
      <c r="F38" s="12">
        <f t="shared" si="2"/>
        <v>1</v>
      </c>
      <c r="G38" s="16">
        <f t="shared" si="3"/>
        <v>0.125</v>
      </c>
      <c r="H38" s="16">
        <f t="shared" si="4"/>
        <v>1</v>
      </c>
      <c r="I38" s="12">
        <f t="shared" si="5"/>
        <v>0</v>
      </c>
      <c r="J38" s="11">
        <v>0.0</v>
      </c>
      <c r="K38" s="11">
        <v>0.0</v>
      </c>
      <c r="L38" s="16">
        <f t="shared" si="6"/>
        <v>0</v>
      </c>
      <c r="M38" s="11" t="s">
        <v>41</v>
      </c>
      <c r="N38" s="12">
        <f t="shared" si="7"/>
        <v>4</v>
      </c>
      <c r="O38" s="18">
        <f t="shared" si="8"/>
        <v>0.5</v>
      </c>
      <c r="P38" s="18">
        <f t="shared" si="9"/>
        <v>2</v>
      </c>
    </row>
    <row r="39">
      <c r="A39" s="2" t="s">
        <v>115</v>
      </c>
      <c r="B39" s="10">
        <v>2.0</v>
      </c>
      <c r="C39" s="12">
        <f t="shared" si="1"/>
        <v>8</v>
      </c>
      <c r="D39" s="11">
        <v>1.0</v>
      </c>
      <c r="E39" s="20">
        <v>0.0</v>
      </c>
      <c r="F39" s="21">
        <f t="shared" si="2"/>
        <v>1</v>
      </c>
      <c r="G39" s="23">
        <f t="shared" si="3"/>
        <v>0.125</v>
      </c>
      <c r="H39" s="23">
        <f t="shared" si="4"/>
        <v>1</v>
      </c>
      <c r="I39" s="12">
        <f t="shared" si="5"/>
        <v>0</v>
      </c>
      <c r="J39" s="11">
        <v>0.0</v>
      </c>
      <c r="K39" s="11">
        <v>0.0</v>
      </c>
      <c r="L39" s="16">
        <f t="shared" si="6"/>
        <v>0</v>
      </c>
      <c r="M39" s="11" t="s">
        <v>41</v>
      </c>
      <c r="N39" s="12">
        <f t="shared" si="7"/>
        <v>4</v>
      </c>
      <c r="O39" s="18">
        <f t="shared" si="8"/>
        <v>0.5</v>
      </c>
      <c r="P39" s="18">
        <f t="shared" si="9"/>
        <v>2</v>
      </c>
    </row>
    <row r="40">
      <c r="A40" s="2" t="s">
        <v>75</v>
      </c>
      <c r="B40" s="10">
        <v>2.0</v>
      </c>
      <c r="C40" s="12">
        <f t="shared" si="1"/>
        <v>8</v>
      </c>
      <c r="D40" s="11">
        <v>1.0</v>
      </c>
      <c r="E40" s="11">
        <v>0.0</v>
      </c>
      <c r="F40" s="12">
        <f t="shared" si="2"/>
        <v>1</v>
      </c>
      <c r="G40" s="16">
        <f t="shared" si="3"/>
        <v>0.125</v>
      </c>
      <c r="H40" s="16">
        <f t="shared" si="4"/>
        <v>1</v>
      </c>
      <c r="I40" s="12">
        <f t="shared" si="5"/>
        <v>0</v>
      </c>
      <c r="J40" s="11">
        <v>0.0</v>
      </c>
      <c r="K40" s="11">
        <v>0.0</v>
      </c>
      <c r="L40" s="16">
        <f t="shared" si="6"/>
        <v>0</v>
      </c>
      <c r="M40" s="11" t="s">
        <v>41</v>
      </c>
      <c r="N40" s="12">
        <f t="shared" si="7"/>
        <v>4</v>
      </c>
      <c r="O40" s="18">
        <f t="shared" si="8"/>
        <v>0.5</v>
      </c>
      <c r="P40" s="18">
        <f t="shared" si="9"/>
        <v>2</v>
      </c>
    </row>
    <row r="41">
      <c r="A41" s="2" t="s">
        <v>92</v>
      </c>
      <c r="B41" s="10">
        <v>2.0</v>
      </c>
      <c r="C41" s="12">
        <f t="shared" si="1"/>
        <v>8</v>
      </c>
      <c r="D41" s="11">
        <v>1.0</v>
      </c>
      <c r="E41" s="20">
        <v>0.0</v>
      </c>
      <c r="F41" s="21">
        <f t="shared" si="2"/>
        <v>1</v>
      </c>
      <c r="G41" s="23">
        <f t="shared" si="3"/>
        <v>0.125</v>
      </c>
      <c r="H41" s="23">
        <f t="shared" si="4"/>
        <v>1</v>
      </c>
      <c r="I41" s="12">
        <f t="shared" si="5"/>
        <v>0</v>
      </c>
      <c r="J41" s="11">
        <v>0.0</v>
      </c>
      <c r="K41" s="11">
        <v>0.0</v>
      </c>
      <c r="L41" s="16">
        <f t="shared" si="6"/>
        <v>0</v>
      </c>
      <c r="M41" s="11" t="s">
        <v>41</v>
      </c>
      <c r="N41" s="12">
        <f t="shared" si="7"/>
        <v>4</v>
      </c>
      <c r="O41" s="18">
        <f t="shared" si="8"/>
        <v>0.5</v>
      </c>
      <c r="P41" s="18">
        <f t="shared" si="9"/>
        <v>2</v>
      </c>
    </row>
    <row r="42">
      <c r="A42" s="2" t="s">
        <v>168</v>
      </c>
      <c r="B42" s="10">
        <v>2.0</v>
      </c>
      <c r="C42" s="12">
        <f t="shared" si="1"/>
        <v>8</v>
      </c>
      <c r="D42" s="11">
        <v>1.0</v>
      </c>
      <c r="E42" s="20">
        <v>1.0</v>
      </c>
      <c r="F42" s="21">
        <f t="shared" si="2"/>
        <v>2</v>
      </c>
      <c r="G42" s="23">
        <f t="shared" si="3"/>
        <v>0.25</v>
      </c>
      <c r="H42" s="23">
        <f t="shared" si="4"/>
        <v>0.5</v>
      </c>
      <c r="I42" s="12">
        <f t="shared" si="5"/>
        <v>0</v>
      </c>
      <c r="J42" s="11">
        <v>0.0</v>
      </c>
      <c r="K42" s="11">
        <v>0.0</v>
      </c>
      <c r="L42" s="16">
        <f t="shared" si="6"/>
        <v>0</v>
      </c>
      <c r="M42" s="11" t="s">
        <v>41</v>
      </c>
      <c r="N42" s="12">
        <f t="shared" si="7"/>
        <v>4</v>
      </c>
      <c r="O42" s="18">
        <f t="shared" si="8"/>
        <v>0.5</v>
      </c>
      <c r="P42" s="18">
        <f t="shared" si="9"/>
        <v>2</v>
      </c>
    </row>
    <row r="43">
      <c r="A43" s="2" t="s">
        <v>158</v>
      </c>
      <c r="B43" s="10">
        <v>2.5</v>
      </c>
      <c r="C43" s="12">
        <f t="shared" si="1"/>
        <v>10</v>
      </c>
      <c r="D43" s="11">
        <v>1.0</v>
      </c>
      <c r="E43" s="11">
        <v>1.0</v>
      </c>
      <c r="F43" s="12">
        <f t="shared" si="2"/>
        <v>2</v>
      </c>
      <c r="G43" s="16">
        <f t="shared" si="3"/>
        <v>0.2</v>
      </c>
      <c r="H43" s="16">
        <f t="shared" si="4"/>
        <v>0.5</v>
      </c>
      <c r="I43" s="12">
        <f t="shared" si="5"/>
        <v>0</v>
      </c>
      <c r="J43" s="11">
        <v>0.0</v>
      </c>
      <c r="K43" s="11">
        <v>0.0</v>
      </c>
      <c r="L43" s="16">
        <f t="shared" si="6"/>
        <v>0</v>
      </c>
      <c r="M43" s="11" t="s">
        <v>41</v>
      </c>
      <c r="N43" s="12">
        <f t="shared" si="7"/>
        <v>4</v>
      </c>
      <c r="O43" s="18">
        <f t="shared" si="8"/>
        <v>0.4</v>
      </c>
      <c r="P43" s="18">
        <f t="shared" si="9"/>
        <v>1.6</v>
      </c>
    </row>
    <row r="44">
      <c r="A44" s="2" t="s">
        <v>163</v>
      </c>
      <c r="B44" s="10">
        <v>2.5</v>
      </c>
      <c r="C44" s="12">
        <f t="shared" si="1"/>
        <v>10</v>
      </c>
      <c r="D44" s="11">
        <v>1.0</v>
      </c>
      <c r="E44" s="11">
        <v>3.0</v>
      </c>
      <c r="F44" s="12">
        <f t="shared" si="2"/>
        <v>4</v>
      </c>
      <c r="G44" s="16">
        <f t="shared" si="3"/>
        <v>0.4</v>
      </c>
      <c r="H44" s="16">
        <f t="shared" si="4"/>
        <v>0.25</v>
      </c>
      <c r="I44" s="12">
        <f t="shared" si="5"/>
        <v>0</v>
      </c>
      <c r="J44" s="11">
        <v>0.0</v>
      </c>
      <c r="K44" s="11">
        <v>0.0</v>
      </c>
      <c r="L44" s="16">
        <f t="shared" si="6"/>
        <v>0</v>
      </c>
      <c r="M44" s="11" t="s">
        <v>41</v>
      </c>
      <c r="N44" s="12">
        <f t="shared" si="7"/>
        <v>4</v>
      </c>
      <c r="O44" s="18">
        <f t="shared" si="8"/>
        <v>0.4</v>
      </c>
      <c r="P44" s="18">
        <f t="shared" si="9"/>
        <v>1.6</v>
      </c>
    </row>
    <row r="45">
      <c r="A45" s="2" t="s">
        <v>123</v>
      </c>
      <c r="B45" s="10">
        <v>3.0</v>
      </c>
      <c r="C45" s="12">
        <f t="shared" si="1"/>
        <v>12</v>
      </c>
      <c r="D45" s="11">
        <v>1.0</v>
      </c>
      <c r="E45" s="20">
        <v>0.0</v>
      </c>
      <c r="F45" s="21">
        <f t="shared" si="2"/>
        <v>1</v>
      </c>
      <c r="G45" s="23">
        <f t="shared" si="3"/>
        <v>0.08333333333</v>
      </c>
      <c r="H45" s="23">
        <f t="shared" si="4"/>
        <v>1</v>
      </c>
      <c r="I45" s="12">
        <f t="shared" si="5"/>
        <v>1</v>
      </c>
      <c r="J45" s="11">
        <v>1.0</v>
      </c>
      <c r="K45" s="11">
        <v>0.0</v>
      </c>
      <c r="L45" s="16">
        <f t="shared" si="6"/>
        <v>0.08333333333</v>
      </c>
      <c r="M45" s="16">
        <f>J45/I45</f>
        <v>1</v>
      </c>
      <c r="N45" s="12">
        <f t="shared" si="7"/>
        <v>4</v>
      </c>
      <c r="O45" s="18">
        <f t="shared" si="8"/>
        <v>0.3333333333</v>
      </c>
      <c r="P45" s="18">
        <f t="shared" si="9"/>
        <v>1.333333333</v>
      </c>
    </row>
    <row r="46">
      <c r="A46" s="2" t="s">
        <v>195</v>
      </c>
      <c r="B46" s="10">
        <v>3.0</v>
      </c>
      <c r="C46" s="12">
        <f t="shared" si="1"/>
        <v>12</v>
      </c>
      <c r="D46" s="11">
        <v>1.0</v>
      </c>
      <c r="E46" s="11">
        <v>0.0</v>
      </c>
      <c r="F46" s="12">
        <f t="shared" si="2"/>
        <v>1</v>
      </c>
      <c r="G46" s="16">
        <f t="shared" si="3"/>
        <v>0.08333333333</v>
      </c>
      <c r="H46" s="16">
        <f t="shared" si="4"/>
        <v>1</v>
      </c>
      <c r="I46" s="12">
        <f t="shared" si="5"/>
        <v>0</v>
      </c>
      <c r="J46" s="11">
        <v>0.0</v>
      </c>
      <c r="K46" s="11">
        <v>0.0</v>
      </c>
      <c r="L46" s="16">
        <f t="shared" si="6"/>
        <v>0</v>
      </c>
      <c r="M46" s="11" t="s">
        <v>41</v>
      </c>
      <c r="N46" s="12">
        <f t="shared" si="7"/>
        <v>4</v>
      </c>
      <c r="O46" s="18">
        <f t="shared" si="8"/>
        <v>0.3333333333</v>
      </c>
      <c r="P46" s="18">
        <f t="shared" si="9"/>
        <v>1.333333333</v>
      </c>
    </row>
    <row r="47">
      <c r="A47" s="2" t="s">
        <v>48</v>
      </c>
      <c r="B47" s="10">
        <v>3.0</v>
      </c>
      <c r="C47" s="12">
        <f t="shared" si="1"/>
        <v>12</v>
      </c>
      <c r="D47" s="11">
        <v>1.0</v>
      </c>
      <c r="E47" s="11">
        <v>0.0</v>
      </c>
      <c r="F47" s="12">
        <f t="shared" si="2"/>
        <v>1</v>
      </c>
      <c r="G47" s="16">
        <f t="shared" si="3"/>
        <v>0.08333333333</v>
      </c>
      <c r="H47" s="16">
        <f t="shared" si="4"/>
        <v>1</v>
      </c>
      <c r="I47" s="12">
        <f t="shared" si="5"/>
        <v>0</v>
      </c>
      <c r="J47" s="11">
        <v>0.0</v>
      </c>
      <c r="K47" s="11">
        <v>0.0</v>
      </c>
      <c r="L47" s="16">
        <f t="shared" si="6"/>
        <v>0</v>
      </c>
      <c r="M47" s="11" t="s">
        <v>41</v>
      </c>
      <c r="N47" s="12">
        <f t="shared" si="7"/>
        <v>4</v>
      </c>
      <c r="O47" s="18">
        <f t="shared" si="8"/>
        <v>0.3333333333</v>
      </c>
      <c r="P47" s="18">
        <f t="shared" si="9"/>
        <v>1.333333333</v>
      </c>
    </row>
    <row r="48">
      <c r="A48" s="2" t="s">
        <v>133</v>
      </c>
      <c r="B48" s="10">
        <v>3.0</v>
      </c>
      <c r="C48" s="12">
        <f t="shared" si="1"/>
        <v>12</v>
      </c>
      <c r="D48" s="11">
        <v>1.0</v>
      </c>
      <c r="E48" s="11">
        <v>0.0</v>
      </c>
      <c r="F48" s="12">
        <f t="shared" si="2"/>
        <v>1</v>
      </c>
      <c r="G48" s="16">
        <f t="shared" si="3"/>
        <v>0.08333333333</v>
      </c>
      <c r="H48" s="16">
        <f t="shared" si="4"/>
        <v>1</v>
      </c>
      <c r="I48" s="12">
        <f t="shared" si="5"/>
        <v>0</v>
      </c>
      <c r="J48" s="11">
        <v>0.0</v>
      </c>
      <c r="K48" s="11">
        <v>0.0</v>
      </c>
      <c r="L48" s="16">
        <f t="shared" si="6"/>
        <v>0</v>
      </c>
      <c r="M48" s="11" t="s">
        <v>41</v>
      </c>
      <c r="N48" s="12">
        <f t="shared" si="7"/>
        <v>4</v>
      </c>
      <c r="O48" s="18">
        <f t="shared" si="8"/>
        <v>0.3333333333</v>
      </c>
      <c r="P48" s="18">
        <f t="shared" si="9"/>
        <v>1.333333333</v>
      </c>
    </row>
    <row r="49">
      <c r="A49" s="2" t="s">
        <v>154</v>
      </c>
      <c r="B49" s="10">
        <v>3.0</v>
      </c>
      <c r="C49" s="12">
        <f t="shared" si="1"/>
        <v>12</v>
      </c>
      <c r="D49" s="11">
        <v>1.0</v>
      </c>
      <c r="E49" s="11">
        <v>0.0</v>
      </c>
      <c r="F49" s="12">
        <f t="shared" si="2"/>
        <v>1</v>
      </c>
      <c r="G49" s="16">
        <f t="shared" si="3"/>
        <v>0.08333333333</v>
      </c>
      <c r="H49" s="16">
        <f t="shared" si="4"/>
        <v>1</v>
      </c>
      <c r="I49" s="12">
        <f t="shared" si="5"/>
        <v>0</v>
      </c>
      <c r="J49" s="11">
        <v>0.0</v>
      </c>
      <c r="K49" s="11">
        <v>0.0</v>
      </c>
      <c r="L49" s="16">
        <f t="shared" si="6"/>
        <v>0</v>
      </c>
      <c r="M49" s="11" t="s">
        <v>41</v>
      </c>
      <c r="N49" s="12">
        <f t="shared" si="7"/>
        <v>4</v>
      </c>
      <c r="O49" s="18">
        <f t="shared" si="8"/>
        <v>0.3333333333</v>
      </c>
      <c r="P49" s="18">
        <f t="shared" si="9"/>
        <v>1.333333333</v>
      </c>
    </row>
    <row r="50">
      <c r="A50" s="2" t="s">
        <v>80</v>
      </c>
      <c r="B50" s="10">
        <v>3.0</v>
      </c>
      <c r="C50" s="12">
        <f t="shared" si="1"/>
        <v>12</v>
      </c>
      <c r="D50" s="11">
        <v>1.0</v>
      </c>
      <c r="E50" s="20">
        <v>1.0</v>
      </c>
      <c r="F50" s="21">
        <f t="shared" si="2"/>
        <v>2</v>
      </c>
      <c r="G50" s="23">
        <f t="shared" si="3"/>
        <v>0.1666666667</v>
      </c>
      <c r="H50" s="23">
        <f t="shared" si="4"/>
        <v>0.5</v>
      </c>
      <c r="I50" s="12">
        <f t="shared" si="5"/>
        <v>0</v>
      </c>
      <c r="J50" s="11">
        <v>0.0</v>
      </c>
      <c r="K50" s="11">
        <v>0.0</v>
      </c>
      <c r="L50" s="16">
        <f t="shared" si="6"/>
        <v>0</v>
      </c>
      <c r="M50" s="11" t="s">
        <v>41</v>
      </c>
      <c r="N50" s="12">
        <f t="shared" si="7"/>
        <v>4</v>
      </c>
      <c r="O50" s="18">
        <f t="shared" si="8"/>
        <v>0.3333333333</v>
      </c>
      <c r="P50" s="18">
        <f t="shared" si="9"/>
        <v>1.333333333</v>
      </c>
    </row>
    <row r="51">
      <c r="A51" s="2" t="s">
        <v>143</v>
      </c>
      <c r="B51" s="10">
        <v>3.0</v>
      </c>
      <c r="C51" s="12">
        <f t="shared" si="1"/>
        <v>12</v>
      </c>
      <c r="D51" s="11">
        <v>1.0</v>
      </c>
      <c r="E51" s="11">
        <v>1.0</v>
      </c>
      <c r="F51" s="12">
        <f t="shared" si="2"/>
        <v>2</v>
      </c>
      <c r="G51" s="16">
        <f t="shared" si="3"/>
        <v>0.1666666667</v>
      </c>
      <c r="H51" s="16">
        <f t="shared" si="4"/>
        <v>0.5</v>
      </c>
      <c r="I51" s="12">
        <f t="shared" si="5"/>
        <v>0</v>
      </c>
      <c r="J51" s="11">
        <v>0.0</v>
      </c>
      <c r="K51" s="11">
        <v>0.0</v>
      </c>
      <c r="L51" s="16">
        <f t="shared" si="6"/>
        <v>0</v>
      </c>
      <c r="M51" s="11" t="s">
        <v>41</v>
      </c>
      <c r="N51" s="12">
        <f t="shared" si="7"/>
        <v>4</v>
      </c>
      <c r="O51" s="18">
        <f t="shared" si="8"/>
        <v>0.3333333333</v>
      </c>
      <c r="P51" s="18">
        <f t="shared" si="9"/>
        <v>1.333333333</v>
      </c>
    </row>
    <row r="52">
      <c r="A52" s="2" t="s">
        <v>89</v>
      </c>
      <c r="B52" s="10">
        <v>3.0</v>
      </c>
      <c r="C52" s="12">
        <f t="shared" si="1"/>
        <v>12</v>
      </c>
      <c r="D52" s="11">
        <v>1.0</v>
      </c>
      <c r="E52" s="11">
        <v>1.0</v>
      </c>
      <c r="F52" s="12">
        <f t="shared" si="2"/>
        <v>2</v>
      </c>
      <c r="G52" s="16">
        <f t="shared" si="3"/>
        <v>0.1666666667</v>
      </c>
      <c r="H52" s="16">
        <f t="shared" si="4"/>
        <v>0.5</v>
      </c>
      <c r="I52" s="12">
        <f t="shared" si="5"/>
        <v>0</v>
      </c>
      <c r="J52" s="11">
        <v>0.0</v>
      </c>
      <c r="K52" s="11">
        <v>0.0</v>
      </c>
      <c r="L52" s="16">
        <f t="shared" si="6"/>
        <v>0</v>
      </c>
      <c r="M52" s="11" t="s">
        <v>41</v>
      </c>
      <c r="N52" s="12">
        <f t="shared" si="7"/>
        <v>4</v>
      </c>
      <c r="O52" s="18">
        <f t="shared" si="8"/>
        <v>0.3333333333</v>
      </c>
      <c r="P52" s="18">
        <f t="shared" si="9"/>
        <v>1.333333333</v>
      </c>
    </row>
    <row r="53">
      <c r="A53" s="2" t="s">
        <v>152</v>
      </c>
      <c r="B53" s="10">
        <v>3.0</v>
      </c>
      <c r="C53" s="12">
        <f t="shared" si="1"/>
        <v>12</v>
      </c>
      <c r="D53" s="11">
        <v>1.0</v>
      </c>
      <c r="E53" s="11">
        <v>1.0</v>
      </c>
      <c r="F53" s="12">
        <f t="shared" si="2"/>
        <v>2</v>
      </c>
      <c r="G53" s="16">
        <f t="shared" si="3"/>
        <v>0.1666666667</v>
      </c>
      <c r="H53" s="16">
        <f t="shared" si="4"/>
        <v>0.5</v>
      </c>
      <c r="I53" s="12">
        <f t="shared" si="5"/>
        <v>1</v>
      </c>
      <c r="J53" s="11">
        <v>1.0</v>
      </c>
      <c r="K53" s="11">
        <v>0.0</v>
      </c>
      <c r="L53" s="16">
        <f t="shared" si="6"/>
        <v>0.08333333333</v>
      </c>
      <c r="M53" s="16">
        <f>J53/I53</f>
        <v>1</v>
      </c>
      <c r="N53" s="12">
        <f t="shared" si="7"/>
        <v>4</v>
      </c>
      <c r="O53" s="18">
        <f t="shared" si="8"/>
        <v>0.3333333333</v>
      </c>
      <c r="P53" s="18">
        <f t="shared" si="9"/>
        <v>1.333333333</v>
      </c>
    </row>
    <row r="54">
      <c r="A54" s="2" t="s">
        <v>200</v>
      </c>
      <c r="B54" s="10">
        <v>3.0</v>
      </c>
      <c r="C54" s="12">
        <f t="shared" si="1"/>
        <v>12</v>
      </c>
      <c r="D54" s="11">
        <v>1.0</v>
      </c>
      <c r="E54" s="11">
        <v>1.0</v>
      </c>
      <c r="F54" s="12">
        <f t="shared" si="2"/>
        <v>2</v>
      </c>
      <c r="G54" s="16">
        <f t="shared" si="3"/>
        <v>0.1666666667</v>
      </c>
      <c r="H54" s="16">
        <f t="shared" si="4"/>
        <v>0.5</v>
      </c>
      <c r="I54" s="12">
        <f t="shared" si="5"/>
        <v>0</v>
      </c>
      <c r="J54" s="11">
        <v>0.0</v>
      </c>
      <c r="K54" s="11">
        <v>0.0</v>
      </c>
      <c r="L54" s="16">
        <f t="shared" si="6"/>
        <v>0</v>
      </c>
      <c r="M54" s="11" t="s">
        <v>41</v>
      </c>
      <c r="N54" s="12">
        <f t="shared" si="7"/>
        <v>4</v>
      </c>
      <c r="O54" s="18">
        <f t="shared" si="8"/>
        <v>0.3333333333</v>
      </c>
      <c r="P54" s="18">
        <f t="shared" si="9"/>
        <v>1.333333333</v>
      </c>
    </row>
    <row r="55">
      <c r="A55" s="2" t="s">
        <v>78</v>
      </c>
      <c r="B55" s="10">
        <v>3.0</v>
      </c>
      <c r="C55" s="12">
        <f t="shared" si="1"/>
        <v>12</v>
      </c>
      <c r="D55" s="11">
        <v>1.0</v>
      </c>
      <c r="E55" s="20">
        <v>1.0</v>
      </c>
      <c r="F55" s="21">
        <f t="shared" si="2"/>
        <v>2</v>
      </c>
      <c r="G55" s="23">
        <f t="shared" si="3"/>
        <v>0.1666666667</v>
      </c>
      <c r="H55" s="23">
        <f t="shared" si="4"/>
        <v>0.5</v>
      </c>
      <c r="I55" s="12">
        <f t="shared" si="5"/>
        <v>0</v>
      </c>
      <c r="J55" s="11">
        <v>0.0</v>
      </c>
      <c r="K55" s="11">
        <v>0.0</v>
      </c>
      <c r="L55" s="16">
        <f t="shared" si="6"/>
        <v>0</v>
      </c>
      <c r="M55" s="11" t="s">
        <v>41</v>
      </c>
      <c r="N55" s="12">
        <f t="shared" si="7"/>
        <v>4</v>
      </c>
      <c r="O55" s="18">
        <f t="shared" si="8"/>
        <v>0.3333333333</v>
      </c>
      <c r="P55" s="18">
        <f t="shared" si="9"/>
        <v>1.333333333</v>
      </c>
    </row>
    <row r="56">
      <c r="A56" s="2" t="s">
        <v>127</v>
      </c>
      <c r="B56" s="10">
        <v>3.0</v>
      </c>
      <c r="C56" s="12">
        <f t="shared" si="1"/>
        <v>12</v>
      </c>
      <c r="D56" s="11">
        <v>1.0</v>
      </c>
      <c r="E56" s="11">
        <v>2.0</v>
      </c>
      <c r="F56" s="12">
        <f t="shared" si="2"/>
        <v>3</v>
      </c>
      <c r="G56" s="16">
        <f t="shared" si="3"/>
        <v>0.25</v>
      </c>
      <c r="H56" s="16">
        <f t="shared" si="4"/>
        <v>0.3333333333</v>
      </c>
      <c r="I56" s="12">
        <f t="shared" si="5"/>
        <v>0</v>
      </c>
      <c r="J56" s="11">
        <v>0.0</v>
      </c>
      <c r="K56" s="11">
        <v>0.0</v>
      </c>
      <c r="L56" s="16">
        <f t="shared" si="6"/>
        <v>0</v>
      </c>
      <c r="M56" s="11" t="s">
        <v>41</v>
      </c>
      <c r="N56" s="12">
        <f t="shared" si="7"/>
        <v>4</v>
      </c>
      <c r="O56" s="18">
        <f t="shared" si="8"/>
        <v>0.3333333333</v>
      </c>
      <c r="P56" s="18">
        <f t="shared" si="9"/>
        <v>1.333333333</v>
      </c>
    </row>
    <row r="57">
      <c r="A57" s="2" t="s">
        <v>129</v>
      </c>
      <c r="B57" s="10">
        <v>3.0</v>
      </c>
      <c r="C57" s="12">
        <f t="shared" si="1"/>
        <v>12</v>
      </c>
      <c r="D57" s="11">
        <v>1.0</v>
      </c>
      <c r="E57" s="11">
        <v>2.0</v>
      </c>
      <c r="F57" s="12">
        <f t="shared" si="2"/>
        <v>3</v>
      </c>
      <c r="G57" s="16">
        <f t="shared" si="3"/>
        <v>0.25</v>
      </c>
      <c r="H57" s="16">
        <f t="shared" si="4"/>
        <v>0.3333333333</v>
      </c>
      <c r="I57" s="12">
        <f t="shared" si="5"/>
        <v>0</v>
      </c>
      <c r="J57" s="11">
        <v>0.0</v>
      </c>
      <c r="K57" s="11">
        <v>0.0</v>
      </c>
      <c r="L57" s="16">
        <f t="shared" si="6"/>
        <v>0</v>
      </c>
      <c r="M57" s="11" t="s">
        <v>41</v>
      </c>
      <c r="N57" s="12">
        <f t="shared" si="7"/>
        <v>4</v>
      </c>
      <c r="O57" s="18">
        <f t="shared" si="8"/>
        <v>0.3333333333</v>
      </c>
      <c r="P57" s="18">
        <f t="shared" si="9"/>
        <v>1.333333333</v>
      </c>
    </row>
    <row r="58">
      <c r="A58" s="2" t="s">
        <v>192</v>
      </c>
      <c r="B58" s="10">
        <v>3.0</v>
      </c>
      <c r="C58" s="12">
        <f t="shared" si="1"/>
        <v>12</v>
      </c>
      <c r="D58" s="11">
        <v>1.0</v>
      </c>
      <c r="E58" s="11">
        <v>3.0</v>
      </c>
      <c r="F58" s="12">
        <f t="shared" si="2"/>
        <v>4</v>
      </c>
      <c r="G58" s="16">
        <f t="shared" si="3"/>
        <v>0.3333333333</v>
      </c>
      <c r="H58" s="16">
        <f t="shared" si="4"/>
        <v>0.25</v>
      </c>
      <c r="I58" s="12">
        <f t="shared" si="5"/>
        <v>0</v>
      </c>
      <c r="J58" s="11">
        <v>0.0</v>
      </c>
      <c r="K58" s="11">
        <v>0.0</v>
      </c>
      <c r="L58" s="16">
        <f t="shared" si="6"/>
        <v>0</v>
      </c>
      <c r="M58" s="11" t="s">
        <v>41</v>
      </c>
      <c r="N58" s="12">
        <f t="shared" si="7"/>
        <v>4</v>
      </c>
      <c r="O58" s="18">
        <f t="shared" si="8"/>
        <v>0.3333333333</v>
      </c>
      <c r="P58" s="18">
        <f t="shared" si="9"/>
        <v>1.333333333</v>
      </c>
    </row>
    <row r="59">
      <c r="A59" s="2" t="s">
        <v>179</v>
      </c>
      <c r="B59" s="10">
        <v>3.0</v>
      </c>
      <c r="C59" s="12">
        <f t="shared" si="1"/>
        <v>12</v>
      </c>
      <c r="D59" s="11">
        <v>1.0</v>
      </c>
      <c r="E59" s="11">
        <v>5.0</v>
      </c>
      <c r="F59" s="12">
        <f t="shared" si="2"/>
        <v>6</v>
      </c>
      <c r="G59" s="16">
        <f t="shared" si="3"/>
        <v>0.5</v>
      </c>
      <c r="H59" s="16">
        <f t="shared" si="4"/>
        <v>0.1666666667</v>
      </c>
      <c r="I59" s="12">
        <f t="shared" si="5"/>
        <v>0</v>
      </c>
      <c r="J59" s="11">
        <v>0.0</v>
      </c>
      <c r="K59" s="11">
        <v>0.0</v>
      </c>
      <c r="L59" s="16">
        <f t="shared" si="6"/>
        <v>0</v>
      </c>
      <c r="M59" s="11" t="s">
        <v>41</v>
      </c>
      <c r="N59" s="12">
        <f t="shared" si="7"/>
        <v>4</v>
      </c>
      <c r="O59" s="18">
        <f t="shared" si="8"/>
        <v>0.3333333333</v>
      </c>
      <c r="P59" s="18">
        <f t="shared" si="9"/>
        <v>1.333333333</v>
      </c>
    </row>
    <row r="60">
      <c r="A60" s="2" t="s">
        <v>140</v>
      </c>
      <c r="B60" s="10">
        <v>3.0</v>
      </c>
      <c r="C60" s="12">
        <f t="shared" si="1"/>
        <v>12</v>
      </c>
      <c r="D60" s="11">
        <v>1.0</v>
      </c>
      <c r="E60" s="11">
        <v>6.0</v>
      </c>
      <c r="F60" s="12">
        <f t="shared" si="2"/>
        <v>7</v>
      </c>
      <c r="G60" s="16">
        <f t="shared" si="3"/>
        <v>0.5833333333</v>
      </c>
      <c r="H60" s="16">
        <f t="shared" si="4"/>
        <v>0.1428571429</v>
      </c>
      <c r="I60" s="12">
        <f t="shared" si="5"/>
        <v>0</v>
      </c>
      <c r="J60" s="11">
        <v>0.0</v>
      </c>
      <c r="K60" s="11">
        <v>0.0</v>
      </c>
      <c r="L60" s="16">
        <f t="shared" si="6"/>
        <v>0</v>
      </c>
      <c r="M60" s="11" t="s">
        <v>41</v>
      </c>
      <c r="N60" s="12">
        <f t="shared" si="7"/>
        <v>4</v>
      </c>
      <c r="O60" s="18">
        <f t="shared" si="8"/>
        <v>0.3333333333</v>
      </c>
      <c r="P60" s="18">
        <f t="shared" si="9"/>
        <v>1.333333333</v>
      </c>
    </row>
    <row r="61">
      <c r="A61" s="2" t="s">
        <v>194</v>
      </c>
      <c r="B61" s="10">
        <v>3.0</v>
      </c>
      <c r="C61" s="12">
        <f t="shared" si="1"/>
        <v>12</v>
      </c>
      <c r="D61" s="11">
        <v>0.0</v>
      </c>
      <c r="E61" s="11">
        <v>0.0</v>
      </c>
      <c r="F61" s="12">
        <f t="shared" si="2"/>
        <v>0</v>
      </c>
      <c r="G61" s="16">
        <f t="shared" si="3"/>
        <v>0</v>
      </c>
      <c r="H61" s="11" t="s">
        <v>41</v>
      </c>
      <c r="I61" s="12">
        <f t="shared" si="5"/>
        <v>0</v>
      </c>
      <c r="J61" s="11">
        <v>0.0</v>
      </c>
      <c r="K61" s="11">
        <v>0.0</v>
      </c>
      <c r="L61" s="16">
        <f t="shared" si="6"/>
        <v>0</v>
      </c>
      <c r="M61" s="11" t="s">
        <v>41</v>
      </c>
      <c r="N61" s="12">
        <f t="shared" si="7"/>
        <v>0</v>
      </c>
      <c r="O61" s="18">
        <f t="shared" si="8"/>
        <v>0</v>
      </c>
      <c r="P61" s="18">
        <f t="shared" si="9"/>
        <v>0</v>
      </c>
    </row>
    <row r="62">
      <c r="A62" s="2" t="s">
        <v>190</v>
      </c>
      <c r="B62" s="10">
        <v>3.0</v>
      </c>
      <c r="C62" s="12">
        <f t="shared" si="1"/>
        <v>12</v>
      </c>
      <c r="D62" s="11">
        <v>0.0</v>
      </c>
      <c r="E62" s="11">
        <v>0.0</v>
      </c>
      <c r="F62" s="12">
        <f t="shared" si="2"/>
        <v>0</v>
      </c>
      <c r="G62" s="16">
        <f t="shared" si="3"/>
        <v>0</v>
      </c>
      <c r="H62" s="11" t="s">
        <v>41</v>
      </c>
      <c r="I62" s="12">
        <f t="shared" si="5"/>
        <v>0</v>
      </c>
      <c r="J62" s="11">
        <v>0.0</v>
      </c>
      <c r="K62" s="11">
        <v>0.0</v>
      </c>
      <c r="L62" s="16">
        <f t="shared" si="6"/>
        <v>0</v>
      </c>
      <c r="M62" s="11" t="s">
        <v>41</v>
      </c>
      <c r="N62" s="12">
        <f t="shared" si="7"/>
        <v>0</v>
      </c>
      <c r="O62" s="18">
        <f t="shared" si="8"/>
        <v>0</v>
      </c>
      <c r="P62" s="18">
        <f t="shared" si="9"/>
        <v>0</v>
      </c>
    </row>
    <row r="63">
      <c r="A63" s="2" t="s">
        <v>142</v>
      </c>
      <c r="B63" s="10">
        <v>3.0</v>
      </c>
      <c r="C63" s="12">
        <f t="shared" si="1"/>
        <v>12</v>
      </c>
      <c r="D63" s="11">
        <v>0.0</v>
      </c>
      <c r="E63" s="20">
        <v>0.0</v>
      </c>
      <c r="F63" s="21">
        <f t="shared" si="2"/>
        <v>0</v>
      </c>
      <c r="G63" s="23">
        <f t="shared" si="3"/>
        <v>0</v>
      </c>
      <c r="H63" s="20" t="s">
        <v>41</v>
      </c>
      <c r="I63" s="12">
        <f t="shared" si="5"/>
        <v>0</v>
      </c>
      <c r="J63" s="11">
        <v>0.0</v>
      </c>
      <c r="K63" s="11">
        <v>0.0</v>
      </c>
      <c r="L63" s="16">
        <f t="shared" si="6"/>
        <v>0</v>
      </c>
      <c r="M63" s="11" t="s">
        <v>41</v>
      </c>
      <c r="N63" s="12">
        <f t="shared" si="7"/>
        <v>0</v>
      </c>
      <c r="O63" s="18">
        <f t="shared" si="8"/>
        <v>0</v>
      </c>
      <c r="P63" s="18">
        <f t="shared" si="9"/>
        <v>0</v>
      </c>
    </row>
    <row r="64">
      <c r="A64" s="2" t="s">
        <v>126</v>
      </c>
      <c r="B64" s="10">
        <v>3.0</v>
      </c>
      <c r="C64" s="12">
        <f t="shared" si="1"/>
        <v>12</v>
      </c>
      <c r="D64" s="11">
        <v>0.0</v>
      </c>
      <c r="E64" s="11">
        <v>0.0</v>
      </c>
      <c r="F64" s="12">
        <f t="shared" si="2"/>
        <v>0</v>
      </c>
      <c r="G64" s="16">
        <f t="shared" si="3"/>
        <v>0</v>
      </c>
      <c r="H64" s="11" t="s">
        <v>41</v>
      </c>
      <c r="I64" s="12">
        <f t="shared" si="5"/>
        <v>0</v>
      </c>
      <c r="J64" s="11">
        <v>0.0</v>
      </c>
      <c r="K64" s="11">
        <v>0.0</v>
      </c>
      <c r="L64" s="16">
        <f t="shared" si="6"/>
        <v>0</v>
      </c>
      <c r="M64" s="11" t="s">
        <v>41</v>
      </c>
      <c r="N64" s="12">
        <f t="shared" si="7"/>
        <v>0</v>
      </c>
      <c r="O64" s="18">
        <f t="shared" si="8"/>
        <v>0</v>
      </c>
      <c r="P64" s="18">
        <f t="shared" si="9"/>
        <v>0</v>
      </c>
    </row>
    <row r="65">
      <c r="A65" s="2" t="s">
        <v>106</v>
      </c>
      <c r="B65" s="10">
        <v>3.0</v>
      </c>
      <c r="C65" s="12">
        <f t="shared" si="1"/>
        <v>12</v>
      </c>
      <c r="D65" s="11">
        <v>0.0</v>
      </c>
      <c r="E65" s="11">
        <v>0.0</v>
      </c>
      <c r="F65" s="12">
        <f t="shared" si="2"/>
        <v>0</v>
      </c>
      <c r="G65" s="16">
        <f t="shared" si="3"/>
        <v>0</v>
      </c>
      <c r="H65" s="11" t="s">
        <v>41</v>
      </c>
      <c r="I65" s="12">
        <f t="shared" si="5"/>
        <v>0</v>
      </c>
      <c r="J65" s="11">
        <v>0.0</v>
      </c>
      <c r="K65" s="11">
        <v>0.0</v>
      </c>
      <c r="L65" s="16">
        <f t="shared" si="6"/>
        <v>0</v>
      </c>
      <c r="M65" s="11" t="s">
        <v>41</v>
      </c>
      <c r="N65" s="12">
        <f t="shared" si="7"/>
        <v>0</v>
      </c>
      <c r="O65" s="18">
        <f t="shared" si="8"/>
        <v>0</v>
      </c>
      <c r="P65" s="18">
        <f t="shared" si="9"/>
        <v>0</v>
      </c>
    </row>
    <row r="66">
      <c r="A66" s="2" t="s">
        <v>203</v>
      </c>
      <c r="B66" s="10">
        <v>3.0</v>
      </c>
      <c r="C66" s="12">
        <f t="shared" si="1"/>
        <v>12</v>
      </c>
      <c r="D66" s="11">
        <v>0.0</v>
      </c>
      <c r="E66" s="11">
        <v>0.0</v>
      </c>
      <c r="F66" s="12">
        <f t="shared" si="2"/>
        <v>0</v>
      </c>
      <c r="G66" s="16">
        <f t="shared" si="3"/>
        <v>0</v>
      </c>
      <c r="H66" s="11" t="s">
        <v>41</v>
      </c>
      <c r="I66" s="12">
        <f t="shared" si="5"/>
        <v>0</v>
      </c>
      <c r="J66" s="11">
        <v>0.0</v>
      </c>
      <c r="K66" s="11">
        <v>0.0</v>
      </c>
      <c r="L66" s="16">
        <f t="shared" si="6"/>
        <v>0</v>
      </c>
      <c r="M66" s="11" t="s">
        <v>41</v>
      </c>
      <c r="N66" s="12">
        <f t="shared" si="7"/>
        <v>0</v>
      </c>
      <c r="O66" s="18">
        <f t="shared" si="8"/>
        <v>0</v>
      </c>
      <c r="P66" s="18">
        <f t="shared" si="9"/>
        <v>0</v>
      </c>
    </row>
    <row r="67">
      <c r="A67" s="2" t="s">
        <v>84</v>
      </c>
      <c r="B67" s="10">
        <v>3.0</v>
      </c>
      <c r="C67" s="12">
        <f t="shared" si="1"/>
        <v>12</v>
      </c>
      <c r="D67" s="11">
        <v>0.0</v>
      </c>
      <c r="E67" s="11">
        <v>0.0</v>
      </c>
      <c r="F67" s="12">
        <f t="shared" si="2"/>
        <v>0</v>
      </c>
      <c r="G67" s="16">
        <f t="shared" si="3"/>
        <v>0</v>
      </c>
      <c r="H67" s="11" t="s">
        <v>41</v>
      </c>
      <c r="I67" s="12">
        <f t="shared" si="5"/>
        <v>0</v>
      </c>
      <c r="J67" s="11">
        <v>0.0</v>
      </c>
      <c r="K67" s="11">
        <v>0.0</v>
      </c>
      <c r="L67" s="16">
        <f t="shared" si="6"/>
        <v>0</v>
      </c>
      <c r="M67" s="11" t="s">
        <v>41</v>
      </c>
      <c r="N67" s="12">
        <f t="shared" si="7"/>
        <v>0</v>
      </c>
      <c r="O67" s="18">
        <f t="shared" si="8"/>
        <v>0</v>
      </c>
      <c r="P67" s="18">
        <f t="shared" si="9"/>
        <v>0</v>
      </c>
    </row>
    <row r="68">
      <c r="A68" s="2" t="s">
        <v>148</v>
      </c>
      <c r="B68" s="10">
        <v>3.0</v>
      </c>
      <c r="C68" s="12">
        <f t="shared" si="1"/>
        <v>12</v>
      </c>
      <c r="D68" s="11">
        <v>0.0</v>
      </c>
      <c r="E68" s="11">
        <v>0.0</v>
      </c>
      <c r="F68" s="12">
        <f t="shared" si="2"/>
        <v>0</v>
      </c>
      <c r="G68" s="16">
        <f t="shared" si="3"/>
        <v>0</v>
      </c>
      <c r="H68" s="11" t="s">
        <v>41</v>
      </c>
      <c r="I68" s="12">
        <f t="shared" si="5"/>
        <v>0</v>
      </c>
      <c r="J68" s="11">
        <v>0.0</v>
      </c>
      <c r="K68" s="11">
        <v>0.0</v>
      </c>
      <c r="L68" s="16">
        <f t="shared" si="6"/>
        <v>0</v>
      </c>
      <c r="M68" s="11" t="s">
        <v>41</v>
      </c>
      <c r="N68" s="12">
        <f t="shared" si="7"/>
        <v>0</v>
      </c>
      <c r="O68" s="18">
        <f t="shared" si="8"/>
        <v>0</v>
      </c>
      <c r="P68" s="18">
        <f t="shared" si="9"/>
        <v>0</v>
      </c>
    </row>
    <row r="69">
      <c r="A69" s="2" t="s">
        <v>191</v>
      </c>
      <c r="B69" s="10">
        <v>3.0</v>
      </c>
      <c r="C69" s="12">
        <f t="shared" si="1"/>
        <v>12</v>
      </c>
      <c r="D69" s="11">
        <v>0.0</v>
      </c>
      <c r="E69" s="11">
        <v>0.0</v>
      </c>
      <c r="F69" s="12">
        <f t="shared" si="2"/>
        <v>0</v>
      </c>
      <c r="G69" s="16">
        <f t="shared" si="3"/>
        <v>0</v>
      </c>
      <c r="H69" s="11" t="s">
        <v>41</v>
      </c>
      <c r="I69" s="12">
        <f t="shared" si="5"/>
        <v>0</v>
      </c>
      <c r="J69" s="11">
        <v>0.0</v>
      </c>
      <c r="K69" s="11">
        <v>0.0</v>
      </c>
      <c r="L69" s="16">
        <f t="shared" si="6"/>
        <v>0</v>
      </c>
      <c r="M69" s="11" t="s">
        <v>41</v>
      </c>
      <c r="N69" s="12">
        <f t="shared" si="7"/>
        <v>0</v>
      </c>
      <c r="O69" s="18">
        <f t="shared" si="8"/>
        <v>0</v>
      </c>
      <c r="P69" s="18">
        <f t="shared" si="9"/>
        <v>0</v>
      </c>
    </row>
    <row r="70">
      <c r="A70" s="2" t="s">
        <v>35</v>
      </c>
      <c r="B70" s="10">
        <v>3.0</v>
      </c>
      <c r="C70" s="12">
        <f t="shared" si="1"/>
        <v>12</v>
      </c>
      <c r="D70" s="11">
        <v>0.0</v>
      </c>
      <c r="E70" s="11">
        <v>0.0</v>
      </c>
      <c r="F70" s="12">
        <f t="shared" si="2"/>
        <v>0</v>
      </c>
      <c r="G70" s="16">
        <f t="shared" si="3"/>
        <v>0</v>
      </c>
      <c r="H70" s="11" t="s">
        <v>41</v>
      </c>
      <c r="I70" s="12">
        <f t="shared" si="5"/>
        <v>0</v>
      </c>
      <c r="J70" s="11">
        <v>0.0</v>
      </c>
      <c r="K70" s="11">
        <v>0.0</v>
      </c>
      <c r="L70" s="16">
        <f t="shared" si="6"/>
        <v>0</v>
      </c>
      <c r="M70" s="11" t="s">
        <v>41</v>
      </c>
      <c r="N70" s="12">
        <f t="shared" si="7"/>
        <v>0</v>
      </c>
      <c r="O70" s="18">
        <f t="shared" si="8"/>
        <v>0</v>
      </c>
      <c r="P70" s="18">
        <f t="shared" si="9"/>
        <v>0</v>
      </c>
    </row>
    <row r="71">
      <c r="A71" s="2" t="s">
        <v>149</v>
      </c>
      <c r="B71" s="10">
        <v>3.0</v>
      </c>
      <c r="C71" s="12">
        <f t="shared" si="1"/>
        <v>12</v>
      </c>
      <c r="D71" s="11">
        <v>0.0</v>
      </c>
      <c r="E71" s="11">
        <v>0.0</v>
      </c>
      <c r="F71" s="12">
        <f t="shared" si="2"/>
        <v>0</v>
      </c>
      <c r="G71" s="16">
        <f t="shared" si="3"/>
        <v>0</v>
      </c>
      <c r="H71" s="11" t="s">
        <v>41</v>
      </c>
      <c r="I71" s="12">
        <f t="shared" si="5"/>
        <v>0</v>
      </c>
      <c r="J71" s="11">
        <v>0.0</v>
      </c>
      <c r="K71" s="11">
        <v>0.0</v>
      </c>
      <c r="L71" s="16">
        <f t="shared" si="6"/>
        <v>0</v>
      </c>
      <c r="M71" s="11" t="s">
        <v>41</v>
      </c>
      <c r="N71" s="12">
        <f t="shared" si="7"/>
        <v>0</v>
      </c>
      <c r="O71" s="18">
        <f t="shared" si="8"/>
        <v>0</v>
      </c>
      <c r="P71" s="18">
        <f t="shared" si="9"/>
        <v>0</v>
      </c>
    </row>
    <row r="72">
      <c r="A72" s="2" t="s">
        <v>108</v>
      </c>
      <c r="B72" s="10">
        <v>3.0</v>
      </c>
      <c r="C72" s="12">
        <f t="shared" si="1"/>
        <v>12</v>
      </c>
      <c r="D72" s="11">
        <v>0.0</v>
      </c>
      <c r="E72" s="11">
        <v>0.0</v>
      </c>
      <c r="F72" s="12">
        <f t="shared" si="2"/>
        <v>0</v>
      </c>
      <c r="G72" s="16">
        <f t="shared" si="3"/>
        <v>0</v>
      </c>
      <c r="H72" s="11" t="s">
        <v>41</v>
      </c>
      <c r="I72" s="12">
        <f t="shared" si="5"/>
        <v>0</v>
      </c>
      <c r="J72" s="11">
        <v>0.0</v>
      </c>
      <c r="K72" s="11">
        <v>0.0</v>
      </c>
      <c r="L72" s="16">
        <f t="shared" si="6"/>
        <v>0</v>
      </c>
      <c r="M72" s="11" t="s">
        <v>41</v>
      </c>
      <c r="N72" s="12">
        <f t="shared" si="7"/>
        <v>0</v>
      </c>
      <c r="O72" s="18">
        <f t="shared" si="8"/>
        <v>0</v>
      </c>
      <c r="P72" s="18">
        <f t="shared" si="9"/>
        <v>0</v>
      </c>
    </row>
    <row r="73">
      <c r="A73" s="2" t="s">
        <v>205</v>
      </c>
      <c r="B73" s="10">
        <v>3.0</v>
      </c>
      <c r="C73" s="12">
        <f t="shared" si="1"/>
        <v>12</v>
      </c>
      <c r="D73" s="11">
        <v>0.0</v>
      </c>
      <c r="E73" s="11">
        <v>0.0</v>
      </c>
      <c r="F73" s="12">
        <f t="shared" si="2"/>
        <v>0</v>
      </c>
      <c r="G73" s="16">
        <f t="shared" si="3"/>
        <v>0</v>
      </c>
      <c r="H73" s="11" t="s">
        <v>41</v>
      </c>
      <c r="I73" s="12">
        <f t="shared" si="5"/>
        <v>0</v>
      </c>
      <c r="J73" s="11">
        <v>0.0</v>
      </c>
      <c r="K73" s="11">
        <v>0.0</v>
      </c>
      <c r="L73" s="16">
        <f t="shared" si="6"/>
        <v>0</v>
      </c>
      <c r="M73" s="11" t="s">
        <v>41</v>
      </c>
      <c r="N73" s="12">
        <f t="shared" si="7"/>
        <v>0</v>
      </c>
      <c r="O73" s="18">
        <f t="shared" si="8"/>
        <v>0</v>
      </c>
      <c r="P73" s="18">
        <f t="shared" si="9"/>
        <v>0</v>
      </c>
    </row>
    <row r="74">
      <c r="A74" s="2" t="s">
        <v>132</v>
      </c>
      <c r="B74" s="10">
        <v>3.0</v>
      </c>
      <c r="C74" s="12">
        <f t="shared" si="1"/>
        <v>12</v>
      </c>
      <c r="D74" s="11">
        <v>0.0</v>
      </c>
      <c r="E74" s="20">
        <v>0.0</v>
      </c>
      <c r="F74" s="21">
        <f t="shared" si="2"/>
        <v>0</v>
      </c>
      <c r="G74" s="23">
        <f t="shared" si="3"/>
        <v>0</v>
      </c>
      <c r="H74" s="20" t="s">
        <v>41</v>
      </c>
      <c r="I74" s="12">
        <f t="shared" si="5"/>
        <v>0</v>
      </c>
      <c r="J74" s="11">
        <v>0.0</v>
      </c>
      <c r="K74" s="11">
        <v>0.0</v>
      </c>
      <c r="L74" s="16">
        <f t="shared" si="6"/>
        <v>0</v>
      </c>
      <c r="M74" s="11" t="s">
        <v>41</v>
      </c>
      <c r="N74" s="12">
        <f t="shared" si="7"/>
        <v>0</v>
      </c>
      <c r="O74" s="18">
        <f t="shared" si="8"/>
        <v>0</v>
      </c>
      <c r="P74" s="18">
        <f t="shared" si="9"/>
        <v>0</v>
      </c>
    </row>
    <row r="75">
      <c r="A75" s="2" t="s">
        <v>105</v>
      </c>
      <c r="B75" s="10">
        <v>3.0</v>
      </c>
      <c r="C75" s="12">
        <f t="shared" si="1"/>
        <v>12</v>
      </c>
      <c r="D75" s="11">
        <v>0.0</v>
      </c>
      <c r="E75" s="11">
        <v>0.0</v>
      </c>
      <c r="F75" s="12">
        <f t="shared" si="2"/>
        <v>0</v>
      </c>
      <c r="G75" s="16">
        <f t="shared" si="3"/>
        <v>0</v>
      </c>
      <c r="H75" s="11" t="s">
        <v>41</v>
      </c>
      <c r="I75" s="12">
        <f t="shared" si="5"/>
        <v>0</v>
      </c>
      <c r="J75" s="11">
        <v>0.0</v>
      </c>
      <c r="K75" s="11">
        <v>0.0</v>
      </c>
      <c r="L75" s="16">
        <f t="shared" si="6"/>
        <v>0</v>
      </c>
      <c r="M75" s="11" t="s">
        <v>41</v>
      </c>
      <c r="N75" s="12">
        <f t="shared" si="7"/>
        <v>0</v>
      </c>
      <c r="O75" s="18">
        <f t="shared" si="8"/>
        <v>0</v>
      </c>
      <c r="P75" s="18">
        <f t="shared" si="9"/>
        <v>0</v>
      </c>
    </row>
    <row r="76">
      <c r="A76" s="2" t="s">
        <v>197</v>
      </c>
      <c r="B76" s="10">
        <v>3.0</v>
      </c>
      <c r="C76" s="12">
        <f t="shared" si="1"/>
        <v>12</v>
      </c>
      <c r="D76" s="11">
        <v>0.0</v>
      </c>
      <c r="E76" s="11">
        <v>0.0</v>
      </c>
      <c r="F76" s="12">
        <f t="shared" si="2"/>
        <v>0</v>
      </c>
      <c r="G76" s="16">
        <f t="shared" si="3"/>
        <v>0</v>
      </c>
      <c r="H76" s="11" t="s">
        <v>41</v>
      </c>
      <c r="I76" s="12">
        <f t="shared" si="5"/>
        <v>0</v>
      </c>
      <c r="J76" s="11">
        <v>0.0</v>
      </c>
      <c r="K76" s="11">
        <v>0.0</v>
      </c>
      <c r="L76" s="16">
        <f t="shared" si="6"/>
        <v>0</v>
      </c>
      <c r="M76" s="11" t="s">
        <v>41</v>
      </c>
      <c r="N76" s="12">
        <f t="shared" si="7"/>
        <v>0</v>
      </c>
      <c r="O76" s="18">
        <f t="shared" si="8"/>
        <v>0</v>
      </c>
      <c r="P76" s="18">
        <f t="shared" si="9"/>
        <v>0</v>
      </c>
    </row>
    <row r="77">
      <c r="A77" s="2" t="s">
        <v>113</v>
      </c>
      <c r="B77" s="10">
        <v>3.0</v>
      </c>
      <c r="C77" s="12">
        <f t="shared" si="1"/>
        <v>12</v>
      </c>
      <c r="D77" s="11">
        <v>0.0</v>
      </c>
      <c r="E77" s="11">
        <v>0.0</v>
      </c>
      <c r="F77" s="12">
        <f t="shared" si="2"/>
        <v>0</v>
      </c>
      <c r="G77" s="16">
        <f t="shared" si="3"/>
        <v>0</v>
      </c>
      <c r="H77" s="11" t="s">
        <v>41</v>
      </c>
      <c r="I77" s="12">
        <f t="shared" si="5"/>
        <v>0</v>
      </c>
      <c r="J77" s="11">
        <v>0.0</v>
      </c>
      <c r="K77" s="11">
        <v>0.0</v>
      </c>
      <c r="L77" s="16">
        <f t="shared" si="6"/>
        <v>0</v>
      </c>
      <c r="M77" s="11" t="s">
        <v>41</v>
      </c>
      <c r="N77" s="12">
        <f t="shared" si="7"/>
        <v>0</v>
      </c>
      <c r="O77" s="18">
        <f t="shared" si="8"/>
        <v>0</v>
      </c>
      <c r="P77" s="18">
        <f t="shared" si="9"/>
        <v>0</v>
      </c>
    </row>
    <row r="78">
      <c r="A78" s="2" t="s">
        <v>100</v>
      </c>
      <c r="B78" s="10">
        <v>3.0</v>
      </c>
      <c r="C78" s="12">
        <f t="shared" si="1"/>
        <v>12</v>
      </c>
      <c r="D78" s="11">
        <v>0.0</v>
      </c>
      <c r="E78" s="11">
        <v>0.0</v>
      </c>
      <c r="F78" s="12">
        <f t="shared" si="2"/>
        <v>0</v>
      </c>
      <c r="G78" s="16">
        <f t="shared" si="3"/>
        <v>0</v>
      </c>
      <c r="H78" s="11" t="s">
        <v>41</v>
      </c>
      <c r="I78" s="12">
        <f t="shared" si="5"/>
        <v>0</v>
      </c>
      <c r="J78" s="11">
        <v>0.0</v>
      </c>
      <c r="K78" s="11">
        <v>0.0</v>
      </c>
      <c r="L78" s="16">
        <f t="shared" si="6"/>
        <v>0</v>
      </c>
      <c r="M78" s="11" t="s">
        <v>41</v>
      </c>
      <c r="N78" s="12">
        <f t="shared" si="7"/>
        <v>0</v>
      </c>
      <c r="O78" s="18">
        <f t="shared" si="8"/>
        <v>0</v>
      </c>
      <c r="P78" s="18">
        <f t="shared" si="9"/>
        <v>0</v>
      </c>
    </row>
    <row r="79">
      <c r="A79" s="2" t="s">
        <v>169</v>
      </c>
      <c r="B79" s="10">
        <v>3.0</v>
      </c>
      <c r="C79" s="12">
        <f t="shared" si="1"/>
        <v>12</v>
      </c>
      <c r="D79" s="11">
        <v>0.0</v>
      </c>
      <c r="E79" s="11">
        <v>0.0</v>
      </c>
      <c r="F79" s="12">
        <f t="shared" si="2"/>
        <v>0</v>
      </c>
      <c r="G79" s="16">
        <f t="shared" si="3"/>
        <v>0</v>
      </c>
      <c r="H79" s="11" t="s">
        <v>41</v>
      </c>
      <c r="I79" s="12">
        <f t="shared" si="5"/>
        <v>0</v>
      </c>
      <c r="J79" s="11">
        <v>0.0</v>
      </c>
      <c r="K79" s="11">
        <v>0.0</v>
      </c>
      <c r="L79" s="16">
        <f t="shared" si="6"/>
        <v>0</v>
      </c>
      <c r="M79" s="11" t="s">
        <v>41</v>
      </c>
      <c r="N79" s="12">
        <f t="shared" si="7"/>
        <v>0</v>
      </c>
      <c r="O79" s="18">
        <f t="shared" si="8"/>
        <v>0</v>
      </c>
      <c r="P79" s="18">
        <f t="shared" si="9"/>
        <v>0</v>
      </c>
    </row>
    <row r="80">
      <c r="A80" s="2" t="s">
        <v>153</v>
      </c>
      <c r="B80" s="10">
        <v>3.0</v>
      </c>
      <c r="C80" s="12">
        <f t="shared" si="1"/>
        <v>12</v>
      </c>
      <c r="D80" s="11">
        <v>0.0</v>
      </c>
      <c r="E80" s="11">
        <v>0.0</v>
      </c>
      <c r="F80" s="12">
        <f t="shared" si="2"/>
        <v>0</v>
      </c>
      <c r="G80" s="16">
        <f t="shared" si="3"/>
        <v>0</v>
      </c>
      <c r="H80" s="11" t="s">
        <v>41</v>
      </c>
      <c r="I80" s="12">
        <f t="shared" si="5"/>
        <v>0</v>
      </c>
      <c r="J80" s="11">
        <v>0.0</v>
      </c>
      <c r="K80" s="11">
        <v>0.0</v>
      </c>
      <c r="L80" s="16">
        <f t="shared" si="6"/>
        <v>0</v>
      </c>
      <c r="M80" s="11" t="s">
        <v>41</v>
      </c>
      <c r="N80" s="12">
        <f t="shared" si="7"/>
        <v>0</v>
      </c>
      <c r="O80" s="18">
        <f t="shared" si="8"/>
        <v>0</v>
      </c>
      <c r="P80" s="18">
        <f t="shared" si="9"/>
        <v>0</v>
      </c>
    </row>
    <row r="81">
      <c r="A81" s="2" t="s">
        <v>58</v>
      </c>
      <c r="B81" s="10">
        <v>3.0</v>
      </c>
      <c r="C81" s="12">
        <f t="shared" si="1"/>
        <v>12</v>
      </c>
      <c r="D81" s="11">
        <v>0.0</v>
      </c>
      <c r="E81" s="11">
        <v>0.0</v>
      </c>
      <c r="F81" s="12">
        <f t="shared" si="2"/>
        <v>0</v>
      </c>
      <c r="G81" s="16">
        <f t="shared" si="3"/>
        <v>0</v>
      </c>
      <c r="H81" s="11" t="s">
        <v>41</v>
      </c>
      <c r="I81" s="12">
        <f t="shared" si="5"/>
        <v>0</v>
      </c>
      <c r="J81" s="11">
        <v>0.0</v>
      </c>
      <c r="K81" s="11">
        <v>0.0</v>
      </c>
      <c r="L81" s="16">
        <f t="shared" si="6"/>
        <v>0</v>
      </c>
      <c r="M81" s="11" t="s">
        <v>41</v>
      </c>
      <c r="N81" s="12">
        <f t="shared" si="7"/>
        <v>0</v>
      </c>
      <c r="O81" s="18">
        <f t="shared" si="8"/>
        <v>0</v>
      </c>
      <c r="P81" s="18">
        <f t="shared" si="9"/>
        <v>0</v>
      </c>
    </row>
    <row r="82">
      <c r="A82" s="2" t="s">
        <v>150</v>
      </c>
      <c r="B82" s="10">
        <v>3.0</v>
      </c>
      <c r="C82" s="12">
        <f t="shared" si="1"/>
        <v>12</v>
      </c>
      <c r="D82" s="11">
        <v>0.0</v>
      </c>
      <c r="E82" s="11">
        <v>0.0</v>
      </c>
      <c r="F82" s="12">
        <f t="shared" si="2"/>
        <v>0</v>
      </c>
      <c r="G82" s="16">
        <f t="shared" si="3"/>
        <v>0</v>
      </c>
      <c r="H82" s="11" t="s">
        <v>41</v>
      </c>
      <c r="I82" s="12">
        <f t="shared" si="5"/>
        <v>0</v>
      </c>
      <c r="J82" s="11">
        <v>0.0</v>
      </c>
      <c r="K82" s="11">
        <v>0.0</v>
      </c>
      <c r="L82" s="16">
        <f t="shared" si="6"/>
        <v>0</v>
      </c>
      <c r="M82" s="11" t="s">
        <v>41</v>
      </c>
      <c r="N82" s="12">
        <f t="shared" si="7"/>
        <v>0</v>
      </c>
      <c r="O82" s="18">
        <f t="shared" si="8"/>
        <v>0</v>
      </c>
      <c r="P82" s="18">
        <f t="shared" si="9"/>
        <v>0</v>
      </c>
    </row>
    <row r="83">
      <c r="A83" s="2" t="s">
        <v>134</v>
      </c>
      <c r="B83" s="10">
        <v>3.0</v>
      </c>
      <c r="C83" s="12">
        <f t="shared" si="1"/>
        <v>12</v>
      </c>
      <c r="D83" s="11">
        <v>0.0</v>
      </c>
      <c r="E83" s="11">
        <v>0.0</v>
      </c>
      <c r="F83" s="12">
        <f t="shared" si="2"/>
        <v>0</v>
      </c>
      <c r="G83" s="16">
        <f t="shared" si="3"/>
        <v>0</v>
      </c>
      <c r="H83" s="11" t="s">
        <v>41</v>
      </c>
      <c r="I83" s="12">
        <f t="shared" si="5"/>
        <v>0</v>
      </c>
      <c r="J83" s="11">
        <v>0.0</v>
      </c>
      <c r="K83" s="11">
        <v>0.0</v>
      </c>
      <c r="L83" s="16">
        <f t="shared" si="6"/>
        <v>0</v>
      </c>
      <c r="M83" s="11" t="s">
        <v>41</v>
      </c>
      <c r="N83" s="12">
        <f t="shared" si="7"/>
        <v>0</v>
      </c>
      <c r="O83" s="18">
        <f t="shared" si="8"/>
        <v>0</v>
      </c>
      <c r="P83" s="18">
        <f t="shared" si="9"/>
        <v>0</v>
      </c>
    </row>
    <row r="84">
      <c r="A84" s="2" t="s">
        <v>155</v>
      </c>
      <c r="B84" s="10">
        <v>3.0</v>
      </c>
      <c r="C84" s="12">
        <f t="shared" si="1"/>
        <v>12</v>
      </c>
      <c r="D84" s="11">
        <v>0.0</v>
      </c>
      <c r="E84" s="11">
        <v>0.0</v>
      </c>
      <c r="F84" s="12">
        <f t="shared" si="2"/>
        <v>0</v>
      </c>
      <c r="G84" s="16">
        <f t="shared" si="3"/>
        <v>0</v>
      </c>
      <c r="H84" s="11" t="s">
        <v>41</v>
      </c>
      <c r="I84" s="12">
        <f t="shared" si="5"/>
        <v>0</v>
      </c>
      <c r="J84" s="11">
        <v>0.0</v>
      </c>
      <c r="K84" s="11">
        <v>0.0</v>
      </c>
      <c r="L84" s="16">
        <f t="shared" si="6"/>
        <v>0</v>
      </c>
      <c r="M84" s="11" t="s">
        <v>41</v>
      </c>
      <c r="N84" s="12">
        <f t="shared" si="7"/>
        <v>0</v>
      </c>
      <c r="O84" s="18">
        <f t="shared" si="8"/>
        <v>0</v>
      </c>
      <c r="P84" s="18">
        <f t="shared" si="9"/>
        <v>0</v>
      </c>
    </row>
    <row r="85">
      <c r="A85" s="2" t="s">
        <v>67</v>
      </c>
      <c r="B85" s="10">
        <v>3.0</v>
      </c>
      <c r="C85" s="12">
        <f t="shared" si="1"/>
        <v>12</v>
      </c>
      <c r="D85" s="11">
        <v>0.0</v>
      </c>
      <c r="E85" s="11">
        <v>0.0</v>
      </c>
      <c r="F85" s="12">
        <f t="shared" si="2"/>
        <v>0</v>
      </c>
      <c r="G85" s="16">
        <f t="shared" si="3"/>
        <v>0</v>
      </c>
      <c r="H85" s="11" t="s">
        <v>41</v>
      </c>
      <c r="I85" s="12">
        <f t="shared" si="5"/>
        <v>0</v>
      </c>
      <c r="J85" s="11">
        <v>0.0</v>
      </c>
      <c r="K85" s="11">
        <v>0.0</v>
      </c>
      <c r="L85" s="16">
        <f t="shared" si="6"/>
        <v>0</v>
      </c>
      <c r="M85" s="11" t="s">
        <v>41</v>
      </c>
      <c r="N85" s="12">
        <f t="shared" si="7"/>
        <v>0</v>
      </c>
      <c r="O85" s="18">
        <f t="shared" si="8"/>
        <v>0</v>
      </c>
      <c r="P85" s="18">
        <f t="shared" si="9"/>
        <v>0</v>
      </c>
    </row>
    <row r="86">
      <c r="A86" s="2" t="s">
        <v>103</v>
      </c>
      <c r="B86" s="10">
        <v>3.0</v>
      </c>
      <c r="C86" s="12">
        <f t="shared" si="1"/>
        <v>12</v>
      </c>
      <c r="D86" s="11">
        <v>0.0</v>
      </c>
      <c r="E86" s="11">
        <v>0.0</v>
      </c>
      <c r="F86" s="12">
        <f t="shared" si="2"/>
        <v>0</v>
      </c>
      <c r="G86" s="16">
        <f t="shared" si="3"/>
        <v>0</v>
      </c>
      <c r="H86" s="11" t="s">
        <v>41</v>
      </c>
      <c r="I86" s="12">
        <f t="shared" si="5"/>
        <v>0</v>
      </c>
      <c r="J86" s="11">
        <v>0.0</v>
      </c>
      <c r="K86" s="11">
        <v>0.0</v>
      </c>
      <c r="L86" s="16">
        <f t="shared" si="6"/>
        <v>0</v>
      </c>
      <c r="M86" s="11" t="s">
        <v>41</v>
      </c>
      <c r="N86" s="12">
        <f t="shared" si="7"/>
        <v>0</v>
      </c>
      <c r="O86" s="18">
        <f t="shared" si="8"/>
        <v>0</v>
      </c>
      <c r="P86" s="18">
        <f t="shared" si="9"/>
        <v>0</v>
      </c>
    </row>
    <row r="87">
      <c r="A87" s="2" t="s">
        <v>61</v>
      </c>
      <c r="B87" s="10">
        <v>3.0</v>
      </c>
      <c r="C87" s="12">
        <f t="shared" si="1"/>
        <v>12</v>
      </c>
      <c r="D87" s="11">
        <v>0.0</v>
      </c>
      <c r="E87" s="11">
        <v>0.0</v>
      </c>
      <c r="F87" s="12">
        <f t="shared" si="2"/>
        <v>0</v>
      </c>
      <c r="G87" s="16">
        <f t="shared" si="3"/>
        <v>0</v>
      </c>
      <c r="H87" s="11" t="s">
        <v>41</v>
      </c>
      <c r="I87" s="12">
        <f t="shared" si="5"/>
        <v>0</v>
      </c>
      <c r="J87" s="11">
        <v>0.0</v>
      </c>
      <c r="K87" s="11">
        <v>0.0</v>
      </c>
      <c r="L87" s="16">
        <f t="shared" si="6"/>
        <v>0</v>
      </c>
      <c r="M87" s="11" t="s">
        <v>41</v>
      </c>
      <c r="N87" s="12">
        <f t="shared" si="7"/>
        <v>0</v>
      </c>
      <c r="O87" s="18">
        <f t="shared" si="8"/>
        <v>0</v>
      </c>
      <c r="P87" s="18">
        <f t="shared" si="9"/>
        <v>0</v>
      </c>
    </row>
    <row r="88">
      <c r="A88" s="2" t="s">
        <v>159</v>
      </c>
      <c r="B88" s="10">
        <v>2.5</v>
      </c>
      <c r="C88" s="12">
        <f t="shared" si="1"/>
        <v>10</v>
      </c>
      <c r="D88" s="11">
        <v>0.0</v>
      </c>
      <c r="E88" s="11">
        <v>0.0</v>
      </c>
      <c r="F88" s="12">
        <f t="shared" si="2"/>
        <v>0</v>
      </c>
      <c r="G88" s="16">
        <f t="shared" si="3"/>
        <v>0</v>
      </c>
      <c r="H88" s="11" t="s">
        <v>41</v>
      </c>
      <c r="I88" s="12">
        <f t="shared" si="5"/>
        <v>0</v>
      </c>
      <c r="J88" s="11">
        <v>0.0</v>
      </c>
      <c r="K88" s="11">
        <v>0.0</v>
      </c>
      <c r="L88" s="16">
        <f t="shared" si="6"/>
        <v>0</v>
      </c>
      <c r="M88" s="11" t="s">
        <v>41</v>
      </c>
      <c r="N88" s="12">
        <f t="shared" si="7"/>
        <v>0</v>
      </c>
      <c r="O88" s="18">
        <f t="shared" si="8"/>
        <v>0</v>
      </c>
      <c r="P88" s="18">
        <f t="shared" si="9"/>
        <v>0</v>
      </c>
    </row>
    <row r="89">
      <c r="A89" s="2" t="s">
        <v>209</v>
      </c>
      <c r="B89" s="10">
        <v>2.5</v>
      </c>
      <c r="C89" s="12">
        <f t="shared" si="1"/>
        <v>10</v>
      </c>
      <c r="D89" s="11">
        <v>0.0</v>
      </c>
      <c r="E89" s="11">
        <v>0.0</v>
      </c>
      <c r="F89" s="12">
        <f t="shared" si="2"/>
        <v>0</v>
      </c>
      <c r="G89" s="16">
        <f t="shared" si="3"/>
        <v>0</v>
      </c>
      <c r="H89" s="11" t="s">
        <v>41</v>
      </c>
      <c r="I89" s="12">
        <f t="shared" si="5"/>
        <v>0</v>
      </c>
      <c r="J89" s="11">
        <v>0.0</v>
      </c>
      <c r="K89" s="11">
        <v>0.0</v>
      </c>
      <c r="L89" s="16">
        <f t="shared" si="6"/>
        <v>0</v>
      </c>
      <c r="M89" s="11" t="s">
        <v>41</v>
      </c>
      <c r="N89" s="12">
        <f t="shared" si="7"/>
        <v>0</v>
      </c>
      <c r="O89" s="18">
        <f t="shared" si="8"/>
        <v>0</v>
      </c>
      <c r="P89" s="18">
        <f t="shared" si="9"/>
        <v>0</v>
      </c>
    </row>
    <row r="90">
      <c r="A90" s="2" t="s">
        <v>165</v>
      </c>
      <c r="B90" s="10">
        <v>2.5</v>
      </c>
      <c r="C90" s="12">
        <f t="shared" si="1"/>
        <v>10</v>
      </c>
      <c r="D90" s="11">
        <v>0.0</v>
      </c>
      <c r="E90" s="11">
        <v>0.0</v>
      </c>
      <c r="F90" s="12">
        <f t="shared" si="2"/>
        <v>0</v>
      </c>
      <c r="G90" s="16">
        <f t="shared" si="3"/>
        <v>0</v>
      </c>
      <c r="H90" s="11" t="s">
        <v>41</v>
      </c>
      <c r="I90" s="12">
        <f t="shared" si="5"/>
        <v>0</v>
      </c>
      <c r="J90" s="11">
        <v>0.0</v>
      </c>
      <c r="K90" s="11">
        <v>0.0</v>
      </c>
      <c r="L90" s="16">
        <f t="shared" si="6"/>
        <v>0</v>
      </c>
      <c r="M90" s="11" t="s">
        <v>41</v>
      </c>
      <c r="N90" s="12">
        <f t="shared" si="7"/>
        <v>0</v>
      </c>
      <c r="O90" s="18">
        <f t="shared" si="8"/>
        <v>0</v>
      </c>
      <c r="P90" s="18">
        <f t="shared" si="9"/>
        <v>0</v>
      </c>
    </row>
    <row r="91">
      <c r="A91" s="2" t="s">
        <v>166</v>
      </c>
      <c r="B91" s="10">
        <v>2.0</v>
      </c>
      <c r="C91" s="12">
        <f t="shared" si="1"/>
        <v>8</v>
      </c>
      <c r="D91" s="11">
        <v>0.0</v>
      </c>
      <c r="E91" s="20">
        <v>0.0</v>
      </c>
      <c r="F91" s="21">
        <f t="shared" si="2"/>
        <v>0</v>
      </c>
      <c r="G91" s="23">
        <f t="shared" si="3"/>
        <v>0</v>
      </c>
      <c r="H91" s="20" t="s">
        <v>41</v>
      </c>
      <c r="I91" s="12">
        <f t="shared" si="5"/>
        <v>0</v>
      </c>
      <c r="J91" s="11">
        <v>0.0</v>
      </c>
      <c r="K91" s="11">
        <v>0.0</v>
      </c>
      <c r="L91" s="16">
        <f t="shared" si="6"/>
        <v>0</v>
      </c>
      <c r="M91" s="11" t="s">
        <v>41</v>
      </c>
      <c r="N91" s="12">
        <f t="shared" si="7"/>
        <v>0</v>
      </c>
      <c r="O91" s="18">
        <f t="shared" si="8"/>
        <v>0</v>
      </c>
      <c r="P91" s="18">
        <f t="shared" si="9"/>
        <v>0</v>
      </c>
    </row>
    <row r="92">
      <c r="A92" s="2" t="s">
        <v>170</v>
      </c>
      <c r="B92" s="10">
        <v>2.0</v>
      </c>
      <c r="C92" s="12">
        <f t="shared" si="1"/>
        <v>8</v>
      </c>
      <c r="D92" s="11">
        <v>0.0</v>
      </c>
      <c r="E92" s="11">
        <v>0.0</v>
      </c>
      <c r="F92" s="12">
        <f t="shared" si="2"/>
        <v>0</v>
      </c>
      <c r="G92" s="16">
        <f t="shared" si="3"/>
        <v>0</v>
      </c>
      <c r="H92" s="11" t="s">
        <v>41</v>
      </c>
      <c r="I92" s="12">
        <f t="shared" si="5"/>
        <v>0</v>
      </c>
      <c r="J92" s="11">
        <v>0.0</v>
      </c>
      <c r="K92" s="11">
        <v>0.0</v>
      </c>
      <c r="L92" s="16">
        <f t="shared" si="6"/>
        <v>0</v>
      </c>
      <c r="M92" s="11" t="s">
        <v>41</v>
      </c>
      <c r="N92" s="12">
        <f t="shared" si="7"/>
        <v>0</v>
      </c>
      <c r="O92" s="18">
        <f t="shared" si="8"/>
        <v>0</v>
      </c>
      <c r="P92" s="18">
        <f t="shared" si="9"/>
        <v>0</v>
      </c>
    </row>
    <row r="93">
      <c r="A93" s="2" t="s">
        <v>171</v>
      </c>
      <c r="B93" s="10">
        <v>2.0</v>
      </c>
      <c r="C93" s="12">
        <f t="shared" si="1"/>
        <v>8</v>
      </c>
      <c r="D93" s="11">
        <v>0.0</v>
      </c>
      <c r="E93" s="11">
        <v>0.0</v>
      </c>
      <c r="F93" s="12">
        <f t="shared" si="2"/>
        <v>0</v>
      </c>
      <c r="G93" s="16">
        <f t="shared" si="3"/>
        <v>0</v>
      </c>
      <c r="H93" s="11" t="s">
        <v>41</v>
      </c>
      <c r="I93" s="12">
        <f t="shared" si="5"/>
        <v>0</v>
      </c>
      <c r="J93" s="11">
        <v>0.0</v>
      </c>
      <c r="K93" s="11">
        <v>0.0</v>
      </c>
      <c r="L93" s="16">
        <f t="shared" si="6"/>
        <v>0</v>
      </c>
      <c r="M93" s="11" t="s">
        <v>41</v>
      </c>
      <c r="N93" s="12">
        <f t="shared" si="7"/>
        <v>0</v>
      </c>
      <c r="O93" s="18">
        <f t="shared" si="8"/>
        <v>0</v>
      </c>
      <c r="P93" s="18">
        <f t="shared" si="9"/>
        <v>0</v>
      </c>
    </row>
    <row r="94">
      <c r="A94" s="2" t="s">
        <v>141</v>
      </c>
      <c r="B94" s="10">
        <v>2.0</v>
      </c>
      <c r="C94" s="12">
        <f t="shared" si="1"/>
        <v>8</v>
      </c>
      <c r="D94" s="11">
        <v>0.0</v>
      </c>
      <c r="E94" s="11">
        <v>0.0</v>
      </c>
      <c r="F94" s="12">
        <f t="shared" si="2"/>
        <v>0</v>
      </c>
      <c r="G94" s="16">
        <f t="shared" si="3"/>
        <v>0</v>
      </c>
      <c r="H94" s="11" t="s">
        <v>41</v>
      </c>
      <c r="I94" s="12">
        <f t="shared" si="5"/>
        <v>0</v>
      </c>
      <c r="J94" s="11">
        <v>0.0</v>
      </c>
      <c r="K94" s="11">
        <v>0.0</v>
      </c>
      <c r="L94" s="16">
        <f t="shared" si="6"/>
        <v>0</v>
      </c>
      <c r="M94" s="11" t="s">
        <v>41</v>
      </c>
      <c r="N94" s="12">
        <f t="shared" si="7"/>
        <v>0</v>
      </c>
      <c r="O94" s="18">
        <f t="shared" si="8"/>
        <v>0</v>
      </c>
      <c r="P94" s="18">
        <f t="shared" si="9"/>
        <v>0</v>
      </c>
    </row>
    <row r="95">
      <c r="A95" s="2" t="s">
        <v>202</v>
      </c>
      <c r="B95" s="10">
        <v>2.0</v>
      </c>
      <c r="C95" s="12">
        <f t="shared" si="1"/>
        <v>8</v>
      </c>
      <c r="D95" s="11">
        <v>0.0</v>
      </c>
      <c r="E95" s="11">
        <v>0.0</v>
      </c>
      <c r="F95" s="12">
        <f t="shared" si="2"/>
        <v>0</v>
      </c>
      <c r="G95" s="16">
        <f t="shared" si="3"/>
        <v>0</v>
      </c>
      <c r="H95" s="11" t="s">
        <v>41</v>
      </c>
      <c r="I95" s="12">
        <f t="shared" si="5"/>
        <v>0</v>
      </c>
      <c r="J95" s="11">
        <v>0.0</v>
      </c>
      <c r="K95" s="11">
        <v>0.0</v>
      </c>
      <c r="L95" s="16">
        <f t="shared" si="6"/>
        <v>0</v>
      </c>
      <c r="M95" s="11" t="s">
        <v>41</v>
      </c>
      <c r="N95" s="12">
        <f t="shared" si="7"/>
        <v>0</v>
      </c>
      <c r="O95" s="18">
        <f t="shared" si="8"/>
        <v>0</v>
      </c>
      <c r="P95" s="18">
        <f t="shared" si="9"/>
        <v>0</v>
      </c>
    </row>
    <row r="96">
      <c r="A96" s="2" t="s">
        <v>121</v>
      </c>
      <c r="B96" s="10">
        <v>2.0</v>
      </c>
      <c r="C96" s="12">
        <f t="shared" si="1"/>
        <v>8</v>
      </c>
      <c r="D96" s="11">
        <v>0.0</v>
      </c>
      <c r="E96" s="11">
        <v>0.0</v>
      </c>
      <c r="F96" s="12">
        <f t="shared" si="2"/>
        <v>0</v>
      </c>
      <c r="G96" s="16">
        <f t="shared" si="3"/>
        <v>0</v>
      </c>
      <c r="H96" s="11" t="s">
        <v>41</v>
      </c>
      <c r="I96" s="12">
        <f t="shared" si="5"/>
        <v>0</v>
      </c>
      <c r="J96" s="11">
        <v>0.0</v>
      </c>
      <c r="K96" s="11">
        <v>0.0</v>
      </c>
      <c r="L96" s="16">
        <f t="shared" si="6"/>
        <v>0</v>
      </c>
      <c r="M96" s="11" t="s">
        <v>41</v>
      </c>
      <c r="N96" s="12">
        <f t="shared" si="7"/>
        <v>0</v>
      </c>
      <c r="O96" s="18">
        <f t="shared" si="8"/>
        <v>0</v>
      </c>
      <c r="P96" s="18">
        <f t="shared" si="9"/>
        <v>0</v>
      </c>
    </row>
    <row r="97">
      <c r="A97" s="2" t="s">
        <v>206</v>
      </c>
      <c r="B97" s="10">
        <v>3.0</v>
      </c>
      <c r="C97" s="12">
        <f t="shared" si="1"/>
        <v>12</v>
      </c>
      <c r="D97" s="11">
        <v>0.0</v>
      </c>
      <c r="E97" s="20">
        <v>0.0</v>
      </c>
      <c r="F97" s="21">
        <f t="shared" si="2"/>
        <v>0</v>
      </c>
      <c r="G97" s="23">
        <f t="shared" si="3"/>
        <v>0</v>
      </c>
      <c r="H97" s="20" t="s">
        <v>41</v>
      </c>
      <c r="I97" s="12">
        <f t="shared" si="5"/>
        <v>0</v>
      </c>
      <c r="J97" s="11">
        <v>0.0</v>
      </c>
      <c r="K97" s="11">
        <v>0.0</v>
      </c>
      <c r="L97" s="16">
        <f t="shared" si="6"/>
        <v>0</v>
      </c>
      <c r="M97" s="11" t="s">
        <v>41</v>
      </c>
      <c r="N97" s="12">
        <f t="shared" si="7"/>
        <v>0</v>
      </c>
      <c r="O97" s="18">
        <f t="shared" si="8"/>
        <v>0</v>
      </c>
      <c r="P97" s="18">
        <f t="shared" si="9"/>
        <v>0</v>
      </c>
    </row>
    <row r="98">
      <c r="A98" s="2" t="s">
        <v>94</v>
      </c>
      <c r="B98" s="10">
        <v>1.5</v>
      </c>
      <c r="C98" s="12">
        <f t="shared" si="1"/>
        <v>6</v>
      </c>
      <c r="D98" s="11">
        <v>0.0</v>
      </c>
      <c r="E98" s="11">
        <v>0.0</v>
      </c>
      <c r="F98" s="12">
        <f t="shared" si="2"/>
        <v>0</v>
      </c>
      <c r="G98" s="16">
        <f t="shared" si="3"/>
        <v>0</v>
      </c>
      <c r="H98" s="11" t="s">
        <v>41</v>
      </c>
      <c r="I98" s="12">
        <f t="shared" si="5"/>
        <v>0</v>
      </c>
      <c r="J98" s="11">
        <v>0.0</v>
      </c>
      <c r="K98" s="11">
        <v>0.0</v>
      </c>
      <c r="L98" s="16">
        <f t="shared" si="6"/>
        <v>0</v>
      </c>
      <c r="M98" s="11" t="s">
        <v>41</v>
      </c>
      <c r="N98" s="12">
        <f t="shared" si="7"/>
        <v>0</v>
      </c>
      <c r="O98" s="18">
        <f t="shared" si="8"/>
        <v>0</v>
      </c>
      <c r="P98" s="18">
        <f t="shared" si="9"/>
        <v>0</v>
      </c>
    </row>
    <row r="99">
      <c r="A99" s="2" t="s">
        <v>176</v>
      </c>
      <c r="B99" s="10">
        <v>1.5</v>
      </c>
      <c r="C99" s="12">
        <f t="shared" si="1"/>
        <v>6</v>
      </c>
      <c r="D99" s="11">
        <v>0.0</v>
      </c>
      <c r="E99" s="11">
        <v>0.0</v>
      </c>
      <c r="F99" s="12">
        <f t="shared" si="2"/>
        <v>0</v>
      </c>
      <c r="G99" s="16">
        <f t="shared" si="3"/>
        <v>0</v>
      </c>
      <c r="H99" s="11" t="s">
        <v>41</v>
      </c>
      <c r="I99" s="12">
        <f t="shared" si="5"/>
        <v>0</v>
      </c>
      <c r="J99" s="11">
        <v>0.0</v>
      </c>
      <c r="K99" s="11">
        <v>0.0</v>
      </c>
      <c r="L99" s="16">
        <f t="shared" si="6"/>
        <v>0</v>
      </c>
      <c r="M99" s="11" t="s">
        <v>41</v>
      </c>
      <c r="N99" s="12">
        <f t="shared" si="7"/>
        <v>0</v>
      </c>
      <c r="O99" s="18">
        <f t="shared" si="8"/>
        <v>0</v>
      </c>
      <c r="P99" s="18">
        <f t="shared" si="9"/>
        <v>0</v>
      </c>
    </row>
    <row r="100">
      <c r="A100" s="2" t="s">
        <v>177</v>
      </c>
      <c r="B100" s="10">
        <v>1.5</v>
      </c>
      <c r="C100" s="12">
        <f t="shared" si="1"/>
        <v>6</v>
      </c>
      <c r="D100" s="11">
        <v>0.0</v>
      </c>
      <c r="E100" s="20">
        <v>0.0</v>
      </c>
      <c r="F100" s="21">
        <f t="shared" si="2"/>
        <v>0</v>
      </c>
      <c r="G100" s="23">
        <f t="shared" si="3"/>
        <v>0</v>
      </c>
      <c r="H100" s="20" t="s">
        <v>41</v>
      </c>
      <c r="I100" s="12">
        <f t="shared" si="5"/>
        <v>0</v>
      </c>
      <c r="J100" s="11">
        <v>0.0</v>
      </c>
      <c r="K100" s="11">
        <v>0.0</v>
      </c>
      <c r="L100" s="16">
        <f t="shared" si="6"/>
        <v>0</v>
      </c>
      <c r="M100" s="11" t="s">
        <v>41</v>
      </c>
      <c r="N100" s="12">
        <f t="shared" si="7"/>
        <v>0</v>
      </c>
      <c r="O100" s="18">
        <f t="shared" si="8"/>
        <v>0</v>
      </c>
      <c r="P100" s="18">
        <f t="shared" si="9"/>
        <v>0</v>
      </c>
    </row>
    <row r="101">
      <c r="A101" s="2" t="s">
        <v>157</v>
      </c>
      <c r="B101" s="10">
        <v>1.5</v>
      </c>
      <c r="C101" s="12">
        <f t="shared" si="1"/>
        <v>6</v>
      </c>
      <c r="D101" s="11">
        <v>0.0</v>
      </c>
      <c r="E101" s="11">
        <v>0.0</v>
      </c>
      <c r="F101" s="12">
        <f t="shared" si="2"/>
        <v>0</v>
      </c>
      <c r="G101" s="16">
        <f t="shared" si="3"/>
        <v>0</v>
      </c>
      <c r="H101" s="11" t="s">
        <v>41</v>
      </c>
      <c r="I101" s="12">
        <f t="shared" si="5"/>
        <v>0</v>
      </c>
      <c r="J101" s="11">
        <v>0.0</v>
      </c>
      <c r="K101" s="11">
        <v>0.0</v>
      </c>
      <c r="L101" s="16">
        <f t="shared" si="6"/>
        <v>0</v>
      </c>
      <c r="M101" s="11" t="s">
        <v>41</v>
      </c>
      <c r="N101" s="12">
        <f t="shared" si="7"/>
        <v>0</v>
      </c>
      <c r="O101" s="18">
        <f t="shared" si="8"/>
        <v>0</v>
      </c>
      <c r="P101" s="18">
        <f t="shared" si="9"/>
        <v>0</v>
      </c>
    </row>
    <row r="102">
      <c r="A102" s="2" t="s">
        <v>180</v>
      </c>
      <c r="B102" s="10">
        <v>1.5</v>
      </c>
      <c r="C102" s="12">
        <f t="shared" si="1"/>
        <v>6</v>
      </c>
      <c r="D102" s="11">
        <v>0.0</v>
      </c>
      <c r="E102" s="11">
        <v>0.0</v>
      </c>
      <c r="F102" s="12">
        <f t="shared" si="2"/>
        <v>0</v>
      </c>
      <c r="G102" s="16">
        <f t="shared" si="3"/>
        <v>0</v>
      </c>
      <c r="H102" s="11" t="s">
        <v>41</v>
      </c>
      <c r="I102" s="12">
        <f t="shared" si="5"/>
        <v>0</v>
      </c>
      <c r="J102" s="11">
        <v>0.0</v>
      </c>
      <c r="K102" s="11">
        <v>0.0</v>
      </c>
      <c r="L102" s="16">
        <f t="shared" si="6"/>
        <v>0</v>
      </c>
      <c r="M102" s="11" t="s">
        <v>41</v>
      </c>
      <c r="N102" s="12">
        <f t="shared" si="7"/>
        <v>0</v>
      </c>
      <c r="O102" s="18">
        <f t="shared" si="8"/>
        <v>0</v>
      </c>
      <c r="P102" s="18">
        <f t="shared" si="9"/>
        <v>0</v>
      </c>
    </row>
    <row r="103">
      <c r="A103" s="2" t="s">
        <v>76</v>
      </c>
      <c r="B103" s="10">
        <v>1.0</v>
      </c>
      <c r="C103" s="12">
        <f t="shared" si="1"/>
        <v>4</v>
      </c>
      <c r="D103" s="11">
        <v>0.0</v>
      </c>
      <c r="E103" s="11">
        <v>0.0</v>
      </c>
      <c r="F103" s="12">
        <f t="shared" si="2"/>
        <v>0</v>
      </c>
      <c r="G103" s="16">
        <f t="shared" si="3"/>
        <v>0</v>
      </c>
      <c r="H103" s="11" t="s">
        <v>41</v>
      </c>
      <c r="I103" s="12">
        <f t="shared" si="5"/>
        <v>0</v>
      </c>
      <c r="J103" s="11">
        <v>0.0</v>
      </c>
      <c r="K103" s="11">
        <v>0.0</v>
      </c>
      <c r="L103" s="16">
        <f t="shared" si="6"/>
        <v>0</v>
      </c>
      <c r="M103" s="11" t="s">
        <v>41</v>
      </c>
      <c r="N103" s="12">
        <f t="shared" si="7"/>
        <v>0</v>
      </c>
      <c r="O103" s="18">
        <f t="shared" si="8"/>
        <v>0</v>
      </c>
      <c r="P103" s="18">
        <f t="shared" si="9"/>
        <v>0</v>
      </c>
    </row>
    <row r="104">
      <c r="A104" s="2" t="s">
        <v>130</v>
      </c>
      <c r="B104" s="10">
        <v>1.0</v>
      </c>
      <c r="C104" s="12">
        <f t="shared" si="1"/>
        <v>4</v>
      </c>
      <c r="D104" s="11">
        <v>0.0</v>
      </c>
      <c r="E104" s="11">
        <v>0.0</v>
      </c>
      <c r="F104" s="12">
        <f t="shared" si="2"/>
        <v>0</v>
      </c>
      <c r="G104" s="16">
        <f t="shared" si="3"/>
        <v>0</v>
      </c>
      <c r="H104" s="11" t="s">
        <v>41</v>
      </c>
      <c r="I104" s="12">
        <f t="shared" si="5"/>
        <v>0</v>
      </c>
      <c r="J104" s="11">
        <v>0.0</v>
      </c>
      <c r="K104" s="11">
        <v>0.0</v>
      </c>
      <c r="L104" s="16">
        <f t="shared" si="6"/>
        <v>0</v>
      </c>
      <c r="M104" s="11" t="s">
        <v>41</v>
      </c>
      <c r="N104" s="12">
        <f t="shared" si="7"/>
        <v>0</v>
      </c>
      <c r="O104" s="18">
        <f t="shared" si="8"/>
        <v>0</v>
      </c>
      <c r="P104" s="18">
        <f t="shared" si="9"/>
        <v>0</v>
      </c>
    </row>
    <row r="105">
      <c r="A105" s="2" t="s">
        <v>183</v>
      </c>
      <c r="B105" s="10">
        <v>3.0</v>
      </c>
      <c r="C105" s="12">
        <f t="shared" si="1"/>
        <v>12</v>
      </c>
      <c r="D105" s="11">
        <v>0.0</v>
      </c>
      <c r="E105" s="11">
        <v>0.0</v>
      </c>
      <c r="F105" s="12">
        <f t="shared" si="2"/>
        <v>0</v>
      </c>
      <c r="G105" s="16">
        <f t="shared" si="3"/>
        <v>0</v>
      </c>
      <c r="H105" s="11" t="s">
        <v>41</v>
      </c>
      <c r="I105" s="12">
        <f t="shared" si="5"/>
        <v>0</v>
      </c>
      <c r="J105" s="11">
        <v>0.0</v>
      </c>
      <c r="K105" s="11">
        <v>0.0</v>
      </c>
      <c r="L105" s="16">
        <f t="shared" si="6"/>
        <v>0</v>
      </c>
      <c r="M105" s="11" t="s">
        <v>41</v>
      </c>
      <c r="N105" s="12">
        <f t="shared" si="7"/>
        <v>0</v>
      </c>
      <c r="O105" s="18">
        <f t="shared" si="8"/>
        <v>0</v>
      </c>
      <c r="P105" s="18">
        <f t="shared" si="9"/>
        <v>0</v>
      </c>
    </row>
    <row r="106">
      <c r="A106" s="2" t="s">
        <v>199</v>
      </c>
      <c r="B106" s="10">
        <v>3.0</v>
      </c>
      <c r="C106" s="12">
        <f t="shared" si="1"/>
        <v>12</v>
      </c>
      <c r="D106" s="11">
        <v>0.0</v>
      </c>
      <c r="E106" s="11">
        <v>0.0</v>
      </c>
      <c r="F106" s="12">
        <f t="shared" si="2"/>
        <v>0</v>
      </c>
      <c r="G106" s="16">
        <f t="shared" si="3"/>
        <v>0</v>
      </c>
      <c r="H106" s="11" t="s">
        <v>41</v>
      </c>
      <c r="I106" s="12">
        <f t="shared" si="5"/>
        <v>0</v>
      </c>
      <c r="J106" s="11">
        <v>0.0</v>
      </c>
      <c r="K106" s="11">
        <v>0.0</v>
      </c>
      <c r="L106" s="16">
        <f t="shared" si="6"/>
        <v>0</v>
      </c>
      <c r="M106" s="11" t="s">
        <v>41</v>
      </c>
      <c r="N106" s="12">
        <f t="shared" si="7"/>
        <v>0</v>
      </c>
      <c r="O106" s="18">
        <f t="shared" si="8"/>
        <v>0</v>
      </c>
      <c r="P106" s="18">
        <f t="shared" si="9"/>
        <v>0</v>
      </c>
    </row>
    <row r="107">
      <c r="A107" s="2" t="s">
        <v>208</v>
      </c>
      <c r="B107" s="10">
        <v>1.0</v>
      </c>
      <c r="C107" s="12">
        <f t="shared" si="1"/>
        <v>4</v>
      </c>
      <c r="D107" s="11">
        <v>0.0</v>
      </c>
      <c r="E107" s="11">
        <v>0.0</v>
      </c>
      <c r="F107" s="12">
        <f t="shared" si="2"/>
        <v>0</v>
      </c>
      <c r="G107" s="16">
        <f t="shared" si="3"/>
        <v>0</v>
      </c>
      <c r="H107" s="11" t="s">
        <v>41</v>
      </c>
      <c r="I107" s="12">
        <f t="shared" si="5"/>
        <v>0</v>
      </c>
      <c r="J107" s="11">
        <v>0.0</v>
      </c>
      <c r="K107" s="11">
        <v>0.0</v>
      </c>
      <c r="L107" s="16">
        <f t="shared" si="6"/>
        <v>0</v>
      </c>
      <c r="M107" s="11" t="s">
        <v>41</v>
      </c>
      <c r="N107" s="12">
        <f t="shared" si="7"/>
        <v>0</v>
      </c>
      <c r="O107" s="18">
        <f t="shared" si="8"/>
        <v>0</v>
      </c>
      <c r="P107" s="18">
        <f t="shared" si="9"/>
        <v>0</v>
      </c>
    </row>
    <row r="108">
      <c r="A108" s="2" t="s">
        <v>102</v>
      </c>
      <c r="B108" s="10">
        <v>3.0</v>
      </c>
      <c r="C108" s="12">
        <f t="shared" si="1"/>
        <v>12</v>
      </c>
      <c r="D108" s="11">
        <v>0.0</v>
      </c>
      <c r="E108" s="11">
        <v>0.0</v>
      </c>
      <c r="F108" s="12">
        <f t="shared" si="2"/>
        <v>0</v>
      </c>
      <c r="G108" s="16">
        <f t="shared" si="3"/>
        <v>0</v>
      </c>
      <c r="H108" s="11" t="s">
        <v>41</v>
      </c>
      <c r="I108" s="12">
        <f t="shared" si="5"/>
        <v>0</v>
      </c>
      <c r="J108" s="11">
        <v>0.0</v>
      </c>
      <c r="K108" s="11">
        <v>0.0</v>
      </c>
      <c r="L108" s="16">
        <f t="shared" si="6"/>
        <v>0</v>
      </c>
      <c r="M108" s="11" t="s">
        <v>41</v>
      </c>
      <c r="N108" s="12">
        <f t="shared" si="7"/>
        <v>0</v>
      </c>
      <c r="O108" s="18">
        <f t="shared" si="8"/>
        <v>0</v>
      </c>
      <c r="P108" s="18">
        <f t="shared" si="9"/>
        <v>0</v>
      </c>
    </row>
    <row r="109">
      <c r="A109" s="2" t="s">
        <v>184</v>
      </c>
      <c r="B109" s="10">
        <v>1.5</v>
      </c>
      <c r="C109" s="12">
        <f t="shared" si="1"/>
        <v>6</v>
      </c>
      <c r="D109" s="11">
        <v>0.0</v>
      </c>
      <c r="E109" s="11">
        <v>0.0</v>
      </c>
      <c r="F109" s="12">
        <f t="shared" si="2"/>
        <v>0</v>
      </c>
      <c r="G109" s="16">
        <f t="shared" si="3"/>
        <v>0</v>
      </c>
      <c r="H109" s="11" t="s">
        <v>41</v>
      </c>
      <c r="I109" s="12">
        <f t="shared" si="5"/>
        <v>0</v>
      </c>
      <c r="J109" s="11">
        <v>0.0</v>
      </c>
      <c r="K109" s="11">
        <v>0.0</v>
      </c>
      <c r="L109" s="16">
        <f t="shared" si="6"/>
        <v>0</v>
      </c>
      <c r="M109" s="11" t="s">
        <v>41</v>
      </c>
      <c r="N109" s="12">
        <f t="shared" si="7"/>
        <v>0</v>
      </c>
      <c r="O109" s="18">
        <f t="shared" si="8"/>
        <v>0</v>
      </c>
      <c r="P109" s="18">
        <f t="shared" si="9"/>
        <v>0</v>
      </c>
    </row>
    <row r="110">
      <c r="A110" s="2" t="s">
        <v>185</v>
      </c>
      <c r="B110" s="10">
        <v>2.0</v>
      </c>
      <c r="C110" s="12">
        <f t="shared" si="1"/>
        <v>8</v>
      </c>
      <c r="D110" s="11">
        <v>0.0</v>
      </c>
      <c r="E110" s="20">
        <v>0.0</v>
      </c>
      <c r="F110" s="21">
        <f t="shared" si="2"/>
        <v>0</v>
      </c>
      <c r="G110" s="23">
        <f t="shared" si="3"/>
        <v>0</v>
      </c>
      <c r="H110" s="20" t="s">
        <v>41</v>
      </c>
      <c r="I110" s="12">
        <f t="shared" si="5"/>
        <v>0</v>
      </c>
      <c r="J110" s="11">
        <v>0.0</v>
      </c>
      <c r="K110" s="11">
        <v>0.0</v>
      </c>
      <c r="L110" s="16">
        <f t="shared" si="6"/>
        <v>0</v>
      </c>
      <c r="M110" s="11" t="s">
        <v>41</v>
      </c>
      <c r="N110" s="12">
        <f t="shared" si="7"/>
        <v>0</v>
      </c>
      <c r="O110" s="18">
        <f t="shared" si="8"/>
        <v>0</v>
      </c>
      <c r="P110" s="18">
        <f t="shared" si="9"/>
        <v>0</v>
      </c>
    </row>
    <row r="111">
      <c r="A111" s="2" t="s">
        <v>55</v>
      </c>
      <c r="B111" s="10">
        <v>2.5</v>
      </c>
      <c r="C111" s="12">
        <f t="shared" si="1"/>
        <v>10</v>
      </c>
      <c r="D111" s="11">
        <v>0.0</v>
      </c>
      <c r="E111" s="20">
        <v>0.0</v>
      </c>
      <c r="F111" s="21">
        <f t="shared" si="2"/>
        <v>0</v>
      </c>
      <c r="G111" s="23">
        <f t="shared" si="3"/>
        <v>0</v>
      </c>
      <c r="H111" s="20" t="s">
        <v>41</v>
      </c>
      <c r="I111" s="12">
        <f t="shared" si="5"/>
        <v>0</v>
      </c>
      <c r="J111" s="11">
        <v>0.0</v>
      </c>
      <c r="K111" s="11">
        <v>0.0</v>
      </c>
      <c r="L111" s="16">
        <f t="shared" si="6"/>
        <v>0</v>
      </c>
      <c r="M111" s="11" t="s">
        <v>41</v>
      </c>
      <c r="N111" s="12">
        <f t="shared" si="7"/>
        <v>0</v>
      </c>
      <c r="O111" s="18">
        <f t="shared" si="8"/>
        <v>0</v>
      </c>
      <c r="P111" s="18">
        <f t="shared" si="9"/>
        <v>0</v>
      </c>
    </row>
    <row r="112">
      <c r="A112" s="2" t="s">
        <v>181</v>
      </c>
      <c r="B112" s="10">
        <v>2.5</v>
      </c>
      <c r="C112" s="12">
        <f t="shared" si="1"/>
        <v>10</v>
      </c>
      <c r="D112" s="11">
        <v>0.0</v>
      </c>
      <c r="E112" s="20">
        <v>0.0</v>
      </c>
      <c r="F112" s="21">
        <f t="shared" si="2"/>
        <v>0</v>
      </c>
      <c r="G112" s="23">
        <f t="shared" si="3"/>
        <v>0</v>
      </c>
      <c r="H112" s="20" t="s">
        <v>41</v>
      </c>
      <c r="I112" s="12">
        <f t="shared" si="5"/>
        <v>0</v>
      </c>
      <c r="J112" s="11">
        <v>0.0</v>
      </c>
      <c r="K112" s="11">
        <v>0.0</v>
      </c>
      <c r="L112" s="16">
        <f t="shared" si="6"/>
        <v>0</v>
      </c>
      <c r="M112" s="11" t="s">
        <v>41</v>
      </c>
      <c r="N112" s="12">
        <f t="shared" si="7"/>
        <v>0</v>
      </c>
      <c r="O112" s="18">
        <f t="shared" si="8"/>
        <v>0</v>
      </c>
      <c r="P112" s="18">
        <f t="shared" si="9"/>
        <v>0</v>
      </c>
    </row>
    <row r="113">
      <c r="A113" s="2" t="s">
        <v>186</v>
      </c>
      <c r="B113" s="10">
        <v>2.0</v>
      </c>
      <c r="C113" s="12">
        <f t="shared" si="1"/>
        <v>8</v>
      </c>
      <c r="D113" s="11">
        <v>0.0</v>
      </c>
      <c r="E113" s="20">
        <v>0.0</v>
      </c>
      <c r="F113" s="21">
        <f t="shared" si="2"/>
        <v>0</v>
      </c>
      <c r="G113" s="23">
        <f t="shared" si="3"/>
        <v>0</v>
      </c>
      <c r="H113" s="20" t="s">
        <v>41</v>
      </c>
      <c r="I113" s="12">
        <f t="shared" si="5"/>
        <v>0</v>
      </c>
      <c r="J113" s="11">
        <v>0.0</v>
      </c>
      <c r="K113" s="11">
        <v>0.0</v>
      </c>
      <c r="L113" s="16">
        <f t="shared" si="6"/>
        <v>0</v>
      </c>
      <c r="M113" s="11" t="s">
        <v>41</v>
      </c>
      <c r="N113" s="12">
        <f t="shared" si="7"/>
        <v>0</v>
      </c>
      <c r="O113" s="18">
        <f t="shared" si="8"/>
        <v>0</v>
      </c>
      <c r="P113" s="18">
        <f t="shared" si="9"/>
        <v>0</v>
      </c>
    </row>
    <row r="114">
      <c r="A114" s="2" t="s">
        <v>204</v>
      </c>
      <c r="B114" s="10">
        <v>0.5</v>
      </c>
      <c r="C114" s="12">
        <f t="shared" si="1"/>
        <v>2</v>
      </c>
      <c r="D114" s="11">
        <v>0.0</v>
      </c>
      <c r="E114" s="11">
        <v>0.0</v>
      </c>
      <c r="F114" s="12">
        <f t="shared" si="2"/>
        <v>0</v>
      </c>
      <c r="G114" s="16">
        <f t="shared" si="3"/>
        <v>0</v>
      </c>
      <c r="H114" s="11" t="s">
        <v>41</v>
      </c>
      <c r="I114" s="12">
        <f t="shared" si="5"/>
        <v>0</v>
      </c>
      <c r="J114" s="11">
        <v>0.0</v>
      </c>
      <c r="K114" s="11">
        <v>0.0</v>
      </c>
      <c r="L114" s="16">
        <f t="shared" si="6"/>
        <v>0</v>
      </c>
      <c r="M114" s="11" t="s">
        <v>41</v>
      </c>
      <c r="N114" s="12">
        <f t="shared" si="7"/>
        <v>0</v>
      </c>
      <c r="O114" s="18">
        <f t="shared" si="8"/>
        <v>0</v>
      </c>
      <c r="P114" s="18">
        <f t="shared" si="9"/>
        <v>0</v>
      </c>
    </row>
    <row r="115">
      <c r="A115" s="2" t="s">
        <v>45</v>
      </c>
      <c r="B115" s="10">
        <v>3.0</v>
      </c>
      <c r="C115" s="12">
        <f t="shared" si="1"/>
        <v>12</v>
      </c>
      <c r="D115" s="11">
        <v>0.0</v>
      </c>
      <c r="E115" s="11">
        <v>0.0</v>
      </c>
      <c r="F115" s="12">
        <f t="shared" si="2"/>
        <v>0</v>
      </c>
      <c r="G115" s="16">
        <f t="shared" si="3"/>
        <v>0</v>
      </c>
      <c r="H115" s="11" t="s">
        <v>41</v>
      </c>
      <c r="I115" s="12">
        <f t="shared" si="5"/>
        <v>0</v>
      </c>
      <c r="J115" s="11">
        <v>0.0</v>
      </c>
      <c r="K115" s="11">
        <v>0.0</v>
      </c>
      <c r="L115" s="16">
        <f t="shared" si="6"/>
        <v>0</v>
      </c>
      <c r="M115" s="11" t="s">
        <v>41</v>
      </c>
      <c r="N115" s="12">
        <f t="shared" si="7"/>
        <v>0</v>
      </c>
      <c r="O115" s="18">
        <f t="shared" si="8"/>
        <v>0</v>
      </c>
      <c r="P115" s="18">
        <f t="shared" si="9"/>
        <v>0</v>
      </c>
    </row>
    <row r="116">
      <c r="A116" s="2" t="s">
        <v>91</v>
      </c>
      <c r="B116" s="10">
        <v>1.5</v>
      </c>
      <c r="C116" s="12">
        <f t="shared" si="1"/>
        <v>6</v>
      </c>
      <c r="D116" s="11">
        <v>0.0</v>
      </c>
      <c r="E116" s="20">
        <v>0.0</v>
      </c>
      <c r="F116" s="21">
        <f t="shared" si="2"/>
        <v>0</v>
      </c>
      <c r="G116" s="23">
        <f t="shared" si="3"/>
        <v>0</v>
      </c>
      <c r="H116" s="20" t="s">
        <v>41</v>
      </c>
      <c r="I116" s="12">
        <f t="shared" si="5"/>
        <v>0</v>
      </c>
      <c r="J116" s="11">
        <v>0.0</v>
      </c>
      <c r="K116" s="11">
        <v>0.0</v>
      </c>
      <c r="L116" s="16">
        <f t="shared" si="6"/>
        <v>0</v>
      </c>
      <c r="M116" s="11" t="s">
        <v>41</v>
      </c>
      <c r="N116" s="12">
        <f t="shared" si="7"/>
        <v>0</v>
      </c>
      <c r="O116" s="18">
        <f t="shared" si="8"/>
        <v>0</v>
      </c>
      <c r="P116" s="18">
        <f t="shared" si="9"/>
        <v>0</v>
      </c>
    </row>
    <row r="117">
      <c r="A117" s="2" t="s">
        <v>174</v>
      </c>
      <c r="B117" s="10">
        <v>1.5</v>
      </c>
      <c r="C117" s="12">
        <f t="shared" si="1"/>
        <v>6</v>
      </c>
      <c r="D117" s="11">
        <v>0.0</v>
      </c>
      <c r="E117" s="20">
        <v>0.0</v>
      </c>
      <c r="F117" s="21">
        <f t="shared" si="2"/>
        <v>0</v>
      </c>
      <c r="G117" s="23">
        <f t="shared" si="3"/>
        <v>0</v>
      </c>
      <c r="H117" s="20" t="s">
        <v>41</v>
      </c>
      <c r="I117" s="12">
        <f t="shared" si="5"/>
        <v>0</v>
      </c>
      <c r="J117" s="11">
        <v>0.0</v>
      </c>
      <c r="K117" s="11">
        <v>0.0</v>
      </c>
      <c r="L117" s="16">
        <f t="shared" si="6"/>
        <v>0</v>
      </c>
      <c r="M117" s="11" t="s">
        <v>41</v>
      </c>
      <c r="N117" s="12">
        <f t="shared" si="7"/>
        <v>0</v>
      </c>
      <c r="O117" s="18">
        <f t="shared" si="8"/>
        <v>0</v>
      </c>
      <c r="P117" s="18">
        <f t="shared" si="9"/>
        <v>0</v>
      </c>
    </row>
    <row r="118">
      <c r="A118" s="2" t="s">
        <v>161</v>
      </c>
      <c r="B118" s="10">
        <v>2.5</v>
      </c>
      <c r="C118" s="12">
        <f t="shared" si="1"/>
        <v>10</v>
      </c>
      <c r="D118" s="11">
        <v>1.0</v>
      </c>
      <c r="E118" s="11">
        <v>2.0</v>
      </c>
      <c r="F118" s="12">
        <f t="shared" si="2"/>
        <v>3</v>
      </c>
      <c r="G118" s="16">
        <f t="shared" si="3"/>
        <v>0.3</v>
      </c>
      <c r="H118" s="16">
        <f t="shared" ref="H118:H139" si="12">D118/F118</f>
        <v>0.3333333333</v>
      </c>
      <c r="I118" s="12">
        <f t="shared" si="5"/>
        <v>1</v>
      </c>
      <c r="J118" s="11">
        <v>0.0</v>
      </c>
      <c r="K118" s="11">
        <v>1.0</v>
      </c>
      <c r="L118" s="16">
        <f t="shared" si="6"/>
        <v>0.1</v>
      </c>
      <c r="M118" s="16">
        <f t="shared" ref="M118:M119" si="13">J118/I118</f>
        <v>0</v>
      </c>
      <c r="N118" s="12">
        <f t="shared" si="7"/>
        <v>0</v>
      </c>
      <c r="O118" s="18">
        <f t="shared" si="8"/>
        <v>0</v>
      </c>
      <c r="P118" s="18">
        <f t="shared" si="9"/>
        <v>0</v>
      </c>
    </row>
    <row r="119">
      <c r="A119" s="2" t="s">
        <v>97</v>
      </c>
      <c r="B119" s="10">
        <v>3.0</v>
      </c>
      <c r="C119" s="12">
        <f t="shared" si="1"/>
        <v>12</v>
      </c>
      <c r="D119" s="11">
        <v>1.0</v>
      </c>
      <c r="E119" s="20">
        <v>3.0</v>
      </c>
      <c r="F119" s="21">
        <f t="shared" si="2"/>
        <v>4</v>
      </c>
      <c r="G119" s="23">
        <f t="shared" si="3"/>
        <v>0.3333333333</v>
      </c>
      <c r="H119" s="23">
        <f t="shared" si="12"/>
        <v>0.25</v>
      </c>
      <c r="I119" s="12">
        <f t="shared" si="5"/>
        <v>1</v>
      </c>
      <c r="J119" s="11">
        <v>0.0</v>
      </c>
      <c r="K119" s="11">
        <v>1.0</v>
      </c>
      <c r="L119" s="16">
        <f t="shared" si="6"/>
        <v>0.08333333333</v>
      </c>
      <c r="M119" s="16">
        <f t="shared" si="13"/>
        <v>0</v>
      </c>
      <c r="N119" s="12">
        <f t="shared" si="7"/>
        <v>0</v>
      </c>
      <c r="O119" s="18">
        <f t="shared" si="8"/>
        <v>0</v>
      </c>
      <c r="P119" s="18">
        <f t="shared" si="9"/>
        <v>0</v>
      </c>
    </row>
    <row r="120">
      <c r="A120" s="2" t="s">
        <v>146</v>
      </c>
      <c r="B120" s="10">
        <v>3.0</v>
      </c>
      <c r="C120" s="12">
        <f t="shared" si="1"/>
        <v>12</v>
      </c>
      <c r="D120" s="11">
        <v>0.0</v>
      </c>
      <c r="E120" s="20">
        <v>1.0</v>
      </c>
      <c r="F120" s="21">
        <f t="shared" si="2"/>
        <v>1</v>
      </c>
      <c r="G120" s="23">
        <f t="shared" si="3"/>
        <v>0.08333333333</v>
      </c>
      <c r="H120" s="23">
        <f t="shared" si="12"/>
        <v>0</v>
      </c>
      <c r="I120" s="12">
        <f t="shared" si="5"/>
        <v>0</v>
      </c>
      <c r="J120" s="11">
        <v>0.0</v>
      </c>
      <c r="K120" s="11">
        <v>0.0</v>
      </c>
      <c r="L120" s="16">
        <f t="shared" si="6"/>
        <v>0</v>
      </c>
      <c r="M120" s="11" t="s">
        <v>41</v>
      </c>
      <c r="N120" s="12">
        <f t="shared" si="7"/>
        <v>0</v>
      </c>
      <c r="O120" s="18">
        <f t="shared" si="8"/>
        <v>0</v>
      </c>
      <c r="P120" s="18">
        <f t="shared" si="9"/>
        <v>0</v>
      </c>
    </row>
    <row r="121">
      <c r="A121" s="2" t="s">
        <v>193</v>
      </c>
      <c r="B121" s="10">
        <v>3.0</v>
      </c>
      <c r="C121" s="12">
        <f t="shared" si="1"/>
        <v>12</v>
      </c>
      <c r="D121" s="11">
        <v>0.0</v>
      </c>
      <c r="E121" s="11">
        <v>3.0</v>
      </c>
      <c r="F121" s="12">
        <f t="shared" si="2"/>
        <v>3</v>
      </c>
      <c r="G121" s="16">
        <f t="shared" si="3"/>
        <v>0.25</v>
      </c>
      <c r="H121" s="16">
        <f t="shared" si="12"/>
        <v>0</v>
      </c>
      <c r="I121" s="12">
        <f t="shared" si="5"/>
        <v>0</v>
      </c>
      <c r="J121" s="11">
        <v>0.0</v>
      </c>
      <c r="K121" s="11">
        <v>0.0</v>
      </c>
      <c r="L121" s="16">
        <f t="shared" si="6"/>
        <v>0</v>
      </c>
      <c r="M121" s="11" t="s">
        <v>41</v>
      </c>
      <c r="N121" s="12">
        <f t="shared" si="7"/>
        <v>0</v>
      </c>
      <c r="O121" s="18">
        <f t="shared" si="8"/>
        <v>0</v>
      </c>
      <c r="P121" s="18">
        <f t="shared" si="9"/>
        <v>0</v>
      </c>
    </row>
    <row r="122">
      <c r="A122" s="2" t="s">
        <v>139</v>
      </c>
      <c r="B122" s="10">
        <v>3.0</v>
      </c>
      <c r="C122" s="12">
        <f t="shared" si="1"/>
        <v>12</v>
      </c>
      <c r="D122" s="11">
        <v>0.0</v>
      </c>
      <c r="E122" s="11">
        <v>1.0</v>
      </c>
      <c r="F122" s="12">
        <f t="shared" si="2"/>
        <v>1</v>
      </c>
      <c r="G122" s="16">
        <f t="shared" si="3"/>
        <v>0.08333333333</v>
      </c>
      <c r="H122" s="16">
        <f t="shared" si="12"/>
        <v>0</v>
      </c>
      <c r="I122" s="12">
        <f t="shared" si="5"/>
        <v>0</v>
      </c>
      <c r="J122" s="11">
        <v>0.0</v>
      </c>
      <c r="K122" s="11">
        <v>0.0</v>
      </c>
      <c r="L122" s="16">
        <f t="shared" si="6"/>
        <v>0</v>
      </c>
      <c r="M122" s="11" t="s">
        <v>41</v>
      </c>
      <c r="N122" s="12">
        <f t="shared" si="7"/>
        <v>0</v>
      </c>
      <c r="O122" s="18">
        <f t="shared" si="8"/>
        <v>0</v>
      </c>
      <c r="P122" s="18">
        <f t="shared" si="9"/>
        <v>0</v>
      </c>
    </row>
    <row r="123">
      <c r="A123" s="2" t="s">
        <v>131</v>
      </c>
      <c r="B123" s="10">
        <v>3.0</v>
      </c>
      <c r="C123" s="12">
        <f t="shared" si="1"/>
        <v>12</v>
      </c>
      <c r="D123" s="11">
        <v>0.0</v>
      </c>
      <c r="E123" s="11">
        <v>1.0</v>
      </c>
      <c r="F123" s="12">
        <f t="shared" si="2"/>
        <v>1</v>
      </c>
      <c r="G123" s="16">
        <f t="shared" si="3"/>
        <v>0.08333333333</v>
      </c>
      <c r="H123" s="16">
        <f t="shared" si="12"/>
        <v>0</v>
      </c>
      <c r="I123" s="12">
        <f t="shared" si="5"/>
        <v>0</v>
      </c>
      <c r="J123" s="11">
        <v>0.0</v>
      </c>
      <c r="K123" s="11">
        <v>0.0</v>
      </c>
      <c r="L123" s="16">
        <f t="shared" si="6"/>
        <v>0</v>
      </c>
      <c r="M123" s="11" t="s">
        <v>41</v>
      </c>
      <c r="N123" s="12">
        <f t="shared" si="7"/>
        <v>0</v>
      </c>
      <c r="O123" s="18">
        <f t="shared" si="8"/>
        <v>0</v>
      </c>
      <c r="P123" s="18">
        <f t="shared" si="9"/>
        <v>0</v>
      </c>
    </row>
    <row r="124">
      <c r="A124" s="2" t="s">
        <v>172</v>
      </c>
      <c r="B124" s="10">
        <v>3.0</v>
      </c>
      <c r="C124" s="12">
        <f t="shared" si="1"/>
        <v>12</v>
      </c>
      <c r="D124" s="11">
        <v>0.0</v>
      </c>
      <c r="E124" s="11">
        <v>1.0</v>
      </c>
      <c r="F124" s="12">
        <f t="shared" si="2"/>
        <v>1</v>
      </c>
      <c r="G124" s="16">
        <f t="shared" si="3"/>
        <v>0.08333333333</v>
      </c>
      <c r="H124" s="16">
        <f t="shared" si="12"/>
        <v>0</v>
      </c>
      <c r="I124" s="12">
        <f t="shared" si="5"/>
        <v>0</v>
      </c>
      <c r="J124" s="11">
        <v>0.0</v>
      </c>
      <c r="K124" s="11">
        <v>0.0</v>
      </c>
      <c r="L124" s="16">
        <f t="shared" si="6"/>
        <v>0</v>
      </c>
      <c r="M124" s="11" t="s">
        <v>41</v>
      </c>
      <c r="N124" s="12">
        <f t="shared" si="7"/>
        <v>0</v>
      </c>
      <c r="O124" s="18">
        <f t="shared" si="8"/>
        <v>0</v>
      </c>
      <c r="P124" s="18">
        <f t="shared" si="9"/>
        <v>0</v>
      </c>
    </row>
    <row r="125">
      <c r="A125" s="2" t="s">
        <v>196</v>
      </c>
      <c r="B125" s="10">
        <v>3.0</v>
      </c>
      <c r="C125" s="12">
        <f t="shared" si="1"/>
        <v>12</v>
      </c>
      <c r="D125" s="11">
        <v>0.0</v>
      </c>
      <c r="E125" s="11">
        <v>2.0</v>
      </c>
      <c r="F125" s="12">
        <f t="shared" si="2"/>
        <v>2</v>
      </c>
      <c r="G125" s="16">
        <f t="shared" si="3"/>
        <v>0.1666666667</v>
      </c>
      <c r="H125" s="16">
        <f t="shared" si="12"/>
        <v>0</v>
      </c>
      <c r="I125" s="12">
        <f t="shared" si="5"/>
        <v>0</v>
      </c>
      <c r="J125" s="11">
        <v>0.0</v>
      </c>
      <c r="K125" s="11">
        <v>0.0</v>
      </c>
      <c r="L125" s="16">
        <f t="shared" si="6"/>
        <v>0</v>
      </c>
      <c r="M125" s="11" t="s">
        <v>41</v>
      </c>
      <c r="N125" s="12">
        <f t="shared" si="7"/>
        <v>0</v>
      </c>
      <c r="O125" s="18">
        <f t="shared" si="8"/>
        <v>0</v>
      </c>
      <c r="P125" s="18">
        <f t="shared" si="9"/>
        <v>0</v>
      </c>
    </row>
    <row r="126">
      <c r="A126" s="2" t="s">
        <v>95</v>
      </c>
      <c r="B126" s="10">
        <v>3.0</v>
      </c>
      <c r="C126" s="12">
        <f t="shared" si="1"/>
        <v>12</v>
      </c>
      <c r="D126" s="11">
        <v>0.0</v>
      </c>
      <c r="E126" s="11">
        <v>2.0</v>
      </c>
      <c r="F126" s="12">
        <f t="shared" si="2"/>
        <v>2</v>
      </c>
      <c r="G126" s="16">
        <f t="shared" si="3"/>
        <v>0.1666666667</v>
      </c>
      <c r="H126" s="16">
        <f t="shared" si="12"/>
        <v>0</v>
      </c>
      <c r="I126" s="12">
        <f t="shared" si="5"/>
        <v>0</v>
      </c>
      <c r="J126" s="11">
        <v>0.0</v>
      </c>
      <c r="K126" s="11">
        <v>0.0</v>
      </c>
      <c r="L126" s="16">
        <f t="shared" si="6"/>
        <v>0</v>
      </c>
      <c r="M126" s="11" t="s">
        <v>41</v>
      </c>
      <c r="N126" s="12">
        <f t="shared" si="7"/>
        <v>0</v>
      </c>
      <c r="O126" s="18">
        <f t="shared" si="8"/>
        <v>0</v>
      </c>
      <c r="P126" s="18">
        <f t="shared" si="9"/>
        <v>0</v>
      </c>
    </row>
    <row r="127">
      <c r="A127" s="2" t="s">
        <v>151</v>
      </c>
      <c r="B127" s="10">
        <v>3.0</v>
      </c>
      <c r="C127" s="12">
        <f t="shared" si="1"/>
        <v>12</v>
      </c>
      <c r="D127" s="11">
        <v>0.0</v>
      </c>
      <c r="E127" s="20">
        <v>2.0</v>
      </c>
      <c r="F127" s="21">
        <f t="shared" si="2"/>
        <v>2</v>
      </c>
      <c r="G127" s="23">
        <f t="shared" si="3"/>
        <v>0.1666666667</v>
      </c>
      <c r="H127" s="23">
        <f t="shared" si="12"/>
        <v>0</v>
      </c>
      <c r="I127" s="12">
        <f t="shared" si="5"/>
        <v>0</v>
      </c>
      <c r="J127" s="11">
        <v>0.0</v>
      </c>
      <c r="K127" s="11">
        <v>0.0</v>
      </c>
      <c r="L127" s="16">
        <f t="shared" si="6"/>
        <v>0</v>
      </c>
      <c r="M127" s="11" t="s">
        <v>41</v>
      </c>
      <c r="N127" s="12">
        <f t="shared" si="7"/>
        <v>0</v>
      </c>
      <c r="O127" s="18">
        <f t="shared" si="8"/>
        <v>0</v>
      </c>
      <c r="P127" s="18">
        <f t="shared" si="9"/>
        <v>0</v>
      </c>
    </row>
    <row r="128">
      <c r="A128" s="2" t="s">
        <v>52</v>
      </c>
      <c r="B128" s="10">
        <v>3.0</v>
      </c>
      <c r="C128" s="12">
        <f t="shared" si="1"/>
        <v>12</v>
      </c>
      <c r="D128" s="11">
        <v>0.0</v>
      </c>
      <c r="E128" s="11">
        <v>1.0</v>
      </c>
      <c r="F128" s="12">
        <f t="shared" si="2"/>
        <v>1</v>
      </c>
      <c r="G128" s="16">
        <f t="shared" si="3"/>
        <v>0.08333333333</v>
      </c>
      <c r="H128" s="16">
        <f t="shared" si="12"/>
        <v>0</v>
      </c>
      <c r="I128" s="12">
        <f t="shared" si="5"/>
        <v>0</v>
      </c>
      <c r="J128" s="11">
        <v>0.0</v>
      </c>
      <c r="K128" s="11">
        <v>0.0</v>
      </c>
      <c r="L128" s="16">
        <f t="shared" si="6"/>
        <v>0</v>
      </c>
      <c r="M128" s="11" t="s">
        <v>41</v>
      </c>
      <c r="N128" s="12">
        <f t="shared" si="7"/>
        <v>0</v>
      </c>
      <c r="O128" s="18">
        <f t="shared" si="8"/>
        <v>0</v>
      </c>
      <c r="P128" s="18">
        <f t="shared" si="9"/>
        <v>0</v>
      </c>
    </row>
    <row r="129">
      <c r="A129" s="2" t="s">
        <v>198</v>
      </c>
      <c r="B129" s="10">
        <v>3.0</v>
      </c>
      <c r="C129" s="12">
        <f t="shared" si="1"/>
        <v>12</v>
      </c>
      <c r="D129" s="11">
        <v>0.0</v>
      </c>
      <c r="E129" s="11">
        <v>1.0</v>
      </c>
      <c r="F129" s="12">
        <f t="shared" si="2"/>
        <v>1</v>
      </c>
      <c r="G129" s="16">
        <f t="shared" si="3"/>
        <v>0.08333333333</v>
      </c>
      <c r="H129" s="16">
        <f t="shared" si="12"/>
        <v>0</v>
      </c>
      <c r="I129" s="12">
        <f t="shared" si="5"/>
        <v>0</v>
      </c>
      <c r="J129" s="11">
        <v>0.0</v>
      </c>
      <c r="K129" s="11">
        <v>0.0</v>
      </c>
      <c r="L129" s="16">
        <f t="shared" si="6"/>
        <v>0</v>
      </c>
      <c r="M129" s="11" t="s">
        <v>41</v>
      </c>
      <c r="N129" s="12">
        <f t="shared" si="7"/>
        <v>0</v>
      </c>
      <c r="O129" s="18">
        <f t="shared" si="8"/>
        <v>0</v>
      </c>
      <c r="P129" s="18">
        <f t="shared" si="9"/>
        <v>0</v>
      </c>
    </row>
    <row r="130">
      <c r="A130" s="2" t="s">
        <v>57</v>
      </c>
      <c r="B130" s="10">
        <v>3.0</v>
      </c>
      <c r="C130" s="12">
        <f t="shared" si="1"/>
        <v>12</v>
      </c>
      <c r="D130" s="11">
        <v>0.0</v>
      </c>
      <c r="E130" s="11">
        <v>1.0</v>
      </c>
      <c r="F130" s="12">
        <f t="shared" si="2"/>
        <v>1</v>
      </c>
      <c r="G130" s="16">
        <f t="shared" si="3"/>
        <v>0.08333333333</v>
      </c>
      <c r="H130" s="16">
        <f t="shared" si="12"/>
        <v>0</v>
      </c>
      <c r="I130" s="12">
        <f t="shared" si="5"/>
        <v>0</v>
      </c>
      <c r="J130" s="11">
        <v>0.0</v>
      </c>
      <c r="K130" s="11">
        <v>0.0</v>
      </c>
      <c r="L130" s="16">
        <f t="shared" si="6"/>
        <v>0</v>
      </c>
      <c r="M130" s="11" t="s">
        <v>41</v>
      </c>
      <c r="N130" s="12">
        <f t="shared" si="7"/>
        <v>0</v>
      </c>
      <c r="O130" s="18">
        <f t="shared" si="8"/>
        <v>0</v>
      </c>
      <c r="P130" s="18">
        <f t="shared" si="9"/>
        <v>0</v>
      </c>
    </row>
    <row r="131">
      <c r="A131" s="2" t="s">
        <v>49</v>
      </c>
      <c r="B131" s="10">
        <v>3.0</v>
      </c>
      <c r="C131" s="12">
        <f t="shared" si="1"/>
        <v>12</v>
      </c>
      <c r="D131" s="11">
        <v>0.0</v>
      </c>
      <c r="E131" s="11">
        <v>6.0</v>
      </c>
      <c r="F131" s="12">
        <f t="shared" si="2"/>
        <v>6</v>
      </c>
      <c r="G131" s="16">
        <f t="shared" si="3"/>
        <v>0.5</v>
      </c>
      <c r="H131" s="16">
        <f t="shared" si="12"/>
        <v>0</v>
      </c>
      <c r="I131" s="12">
        <f t="shared" si="5"/>
        <v>0</v>
      </c>
      <c r="J131" s="11">
        <v>0.0</v>
      </c>
      <c r="K131" s="11">
        <v>0.0</v>
      </c>
      <c r="L131" s="16">
        <f t="shared" si="6"/>
        <v>0</v>
      </c>
      <c r="M131" s="11" t="s">
        <v>41</v>
      </c>
      <c r="N131" s="12">
        <f t="shared" si="7"/>
        <v>0</v>
      </c>
      <c r="O131" s="18">
        <f t="shared" si="8"/>
        <v>0</v>
      </c>
      <c r="P131" s="18">
        <f t="shared" si="9"/>
        <v>0</v>
      </c>
    </row>
    <row r="132">
      <c r="A132" s="2" t="s">
        <v>120</v>
      </c>
      <c r="B132" s="10">
        <v>3.0</v>
      </c>
      <c r="C132" s="12">
        <f t="shared" si="1"/>
        <v>12</v>
      </c>
      <c r="D132" s="11">
        <v>0.0</v>
      </c>
      <c r="E132" s="11">
        <v>1.0</v>
      </c>
      <c r="F132" s="12">
        <f t="shared" si="2"/>
        <v>1</v>
      </c>
      <c r="G132" s="16">
        <f t="shared" si="3"/>
        <v>0.08333333333</v>
      </c>
      <c r="H132" s="16">
        <f t="shared" si="12"/>
        <v>0</v>
      </c>
      <c r="I132" s="12">
        <f t="shared" si="5"/>
        <v>0</v>
      </c>
      <c r="J132" s="11">
        <v>0.0</v>
      </c>
      <c r="K132" s="11">
        <v>0.0</v>
      </c>
      <c r="L132" s="16">
        <f t="shared" si="6"/>
        <v>0</v>
      </c>
      <c r="M132" s="11" t="s">
        <v>41</v>
      </c>
      <c r="N132" s="12">
        <f t="shared" si="7"/>
        <v>0</v>
      </c>
      <c r="O132" s="18">
        <f t="shared" si="8"/>
        <v>0</v>
      </c>
      <c r="P132" s="18">
        <f t="shared" si="9"/>
        <v>0</v>
      </c>
    </row>
    <row r="133">
      <c r="A133" s="2" t="s">
        <v>207</v>
      </c>
      <c r="B133" s="10">
        <v>2.5</v>
      </c>
      <c r="C133" s="12">
        <f t="shared" si="1"/>
        <v>10</v>
      </c>
      <c r="D133" s="11">
        <v>0.0</v>
      </c>
      <c r="E133" s="11">
        <v>1.0</v>
      </c>
      <c r="F133" s="12">
        <f t="shared" si="2"/>
        <v>1</v>
      </c>
      <c r="G133" s="16">
        <f t="shared" si="3"/>
        <v>0.1</v>
      </c>
      <c r="H133" s="16">
        <f t="shared" si="12"/>
        <v>0</v>
      </c>
      <c r="I133" s="12">
        <f t="shared" si="5"/>
        <v>0</v>
      </c>
      <c r="J133" s="11">
        <v>0.0</v>
      </c>
      <c r="K133" s="11">
        <v>0.0</v>
      </c>
      <c r="L133" s="16">
        <f t="shared" si="6"/>
        <v>0</v>
      </c>
      <c r="M133" s="11" t="s">
        <v>41</v>
      </c>
      <c r="N133" s="12">
        <f t="shared" si="7"/>
        <v>0</v>
      </c>
      <c r="O133" s="18">
        <f t="shared" si="8"/>
        <v>0</v>
      </c>
      <c r="P133" s="18">
        <f t="shared" si="9"/>
        <v>0</v>
      </c>
    </row>
    <row r="134">
      <c r="A134" s="2" t="s">
        <v>173</v>
      </c>
      <c r="B134" s="10">
        <v>3.0</v>
      </c>
      <c r="C134" s="12">
        <f t="shared" si="1"/>
        <v>12</v>
      </c>
      <c r="D134" s="11">
        <v>0.0</v>
      </c>
      <c r="E134" s="20">
        <v>1.0</v>
      </c>
      <c r="F134" s="21">
        <f t="shared" si="2"/>
        <v>1</v>
      </c>
      <c r="G134" s="23">
        <f t="shared" si="3"/>
        <v>0.08333333333</v>
      </c>
      <c r="H134" s="23">
        <f t="shared" si="12"/>
        <v>0</v>
      </c>
      <c r="I134" s="12">
        <f t="shared" si="5"/>
        <v>0</v>
      </c>
      <c r="J134" s="11">
        <v>0.0</v>
      </c>
      <c r="K134" s="11">
        <v>0.0</v>
      </c>
      <c r="L134" s="16">
        <f t="shared" si="6"/>
        <v>0</v>
      </c>
      <c r="M134" s="11" t="s">
        <v>41</v>
      </c>
      <c r="N134" s="12">
        <f t="shared" si="7"/>
        <v>0</v>
      </c>
      <c r="O134" s="18">
        <f t="shared" si="8"/>
        <v>0</v>
      </c>
      <c r="P134" s="18">
        <f t="shared" si="9"/>
        <v>0</v>
      </c>
    </row>
    <row r="135">
      <c r="A135" s="2" t="s">
        <v>182</v>
      </c>
      <c r="B135" s="10">
        <v>1.5</v>
      </c>
      <c r="C135" s="12">
        <f t="shared" si="1"/>
        <v>6</v>
      </c>
      <c r="D135" s="11">
        <v>0.0</v>
      </c>
      <c r="E135" s="11">
        <v>1.0</v>
      </c>
      <c r="F135" s="12">
        <f t="shared" si="2"/>
        <v>1</v>
      </c>
      <c r="G135" s="16">
        <f t="shared" si="3"/>
        <v>0.1666666667</v>
      </c>
      <c r="H135" s="16">
        <f t="shared" si="12"/>
        <v>0</v>
      </c>
      <c r="I135" s="12">
        <f t="shared" si="5"/>
        <v>0</v>
      </c>
      <c r="J135" s="11">
        <v>0.0</v>
      </c>
      <c r="K135" s="11">
        <v>0.0</v>
      </c>
      <c r="L135" s="16">
        <f t="shared" si="6"/>
        <v>0</v>
      </c>
      <c r="M135" s="11" t="s">
        <v>41</v>
      </c>
      <c r="N135" s="12">
        <f t="shared" si="7"/>
        <v>0</v>
      </c>
      <c r="O135" s="18">
        <f t="shared" si="8"/>
        <v>0</v>
      </c>
      <c r="P135" s="18">
        <f t="shared" si="9"/>
        <v>0</v>
      </c>
    </row>
    <row r="136">
      <c r="A136" s="2" t="s">
        <v>136</v>
      </c>
      <c r="B136" s="10">
        <v>3.0</v>
      </c>
      <c r="C136" s="12">
        <f t="shared" si="1"/>
        <v>12</v>
      </c>
      <c r="D136" s="11">
        <v>0.0</v>
      </c>
      <c r="E136" s="11">
        <v>1.0</v>
      </c>
      <c r="F136" s="12">
        <f t="shared" si="2"/>
        <v>1</v>
      </c>
      <c r="G136" s="16">
        <f t="shared" si="3"/>
        <v>0.08333333333</v>
      </c>
      <c r="H136" s="16">
        <f t="shared" si="12"/>
        <v>0</v>
      </c>
      <c r="I136" s="12">
        <f t="shared" si="5"/>
        <v>0</v>
      </c>
      <c r="J136" s="11">
        <v>0.0</v>
      </c>
      <c r="K136" s="11">
        <v>0.0</v>
      </c>
      <c r="L136" s="16">
        <f t="shared" si="6"/>
        <v>0</v>
      </c>
      <c r="M136" s="11" t="s">
        <v>41</v>
      </c>
      <c r="N136" s="12">
        <f t="shared" si="7"/>
        <v>0</v>
      </c>
      <c r="O136" s="18">
        <f t="shared" si="8"/>
        <v>0</v>
      </c>
      <c r="P136" s="18">
        <f t="shared" si="9"/>
        <v>0</v>
      </c>
    </row>
    <row r="137">
      <c r="A137" s="2" t="s">
        <v>178</v>
      </c>
      <c r="B137" s="10">
        <v>3.0</v>
      </c>
      <c r="C137" s="12">
        <f t="shared" si="1"/>
        <v>12</v>
      </c>
      <c r="D137" s="11">
        <v>0.0</v>
      </c>
      <c r="E137" s="11">
        <v>6.0</v>
      </c>
      <c r="F137" s="12">
        <f t="shared" si="2"/>
        <v>6</v>
      </c>
      <c r="G137" s="16">
        <f t="shared" si="3"/>
        <v>0.5</v>
      </c>
      <c r="H137" s="16">
        <f t="shared" si="12"/>
        <v>0</v>
      </c>
      <c r="I137" s="12">
        <f t="shared" si="5"/>
        <v>0</v>
      </c>
      <c r="J137" s="11">
        <v>0.0</v>
      </c>
      <c r="K137" s="11">
        <v>0.0</v>
      </c>
      <c r="L137" s="16">
        <f t="shared" si="6"/>
        <v>0</v>
      </c>
      <c r="M137" s="11" t="s">
        <v>41</v>
      </c>
      <c r="N137" s="12">
        <f t="shared" si="7"/>
        <v>0</v>
      </c>
      <c r="O137" s="18">
        <f t="shared" si="8"/>
        <v>0</v>
      </c>
      <c r="P137" s="18">
        <f t="shared" si="9"/>
        <v>0</v>
      </c>
    </row>
    <row r="138">
      <c r="A138" s="2" t="s">
        <v>187</v>
      </c>
      <c r="B138" s="10">
        <v>3.0</v>
      </c>
      <c r="C138" s="12">
        <f t="shared" si="1"/>
        <v>12</v>
      </c>
      <c r="D138" s="11">
        <v>0.0</v>
      </c>
      <c r="E138" s="20">
        <v>1.0</v>
      </c>
      <c r="F138" s="21">
        <f t="shared" si="2"/>
        <v>1</v>
      </c>
      <c r="G138" s="23">
        <f t="shared" si="3"/>
        <v>0.08333333333</v>
      </c>
      <c r="H138" s="23">
        <f t="shared" si="12"/>
        <v>0</v>
      </c>
      <c r="I138" s="12">
        <f t="shared" si="5"/>
        <v>0</v>
      </c>
      <c r="J138" s="11">
        <v>0.0</v>
      </c>
      <c r="K138" s="11">
        <v>0.0</v>
      </c>
      <c r="L138" s="16">
        <f t="shared" si="6"/>
        <v>0</v>
      </c>
      <c r="M138" s="11" t="s">
        <v>41</v>
      </c>
      <c r="N138" s="12">
        <f t="shared" si="7"/>
        <v>0</v>
      </c>
      <c r="O138" s="18">
        <f t="shared" si="8"/>
        <v>0</v>
      </c>
      <c r="P138" s="18">
        <f t="shared" si="9"/>
        <v>0</v>
      </c>
    </row>
    <row r="139">
      <c r="A139" s="2" t="s">
        <v>167</v>
      </c>
      <c r="B139" s="10">
        <v>3.0</v>
      </c>
      <c r="C139" s="12">
        <f t="shared" si="1"/>
        <v>12</v>
      </c>
      <c r="D139" s="11">
        <v>0.0</v>
      </c>
      <c r="E139" s="20">
        <v>1.0</v>
      </c>
      <c r="F139" s="21">
        <f t="shared" si="2"/>
        <v>1</v>
      </c>
      <c r="G139" s="23">
        <f t="shared" si="3"/>
        <v>0.08333333333</v>
      </c>
      <c r="H139" s="23">
        <f t="shared" si="12"/>
        <v>0</v>
      </c>
      <c r="I139" s="12">
        <f t="shared" si="5"/>
        <v>1</v>
      </c>
      <c r="J139" s="11">
        <v>0.0</v>
      </c>
      <c r="K139" s="11">
        <v>1.0</v>
      </c>
      <c r="L139" s="16">
        <f t="shared" si="6"/>
        <v>0.08333333333</v>
      </c>
      <c r="M139" s="16">
        <f>J139/I139</f>
        <v>0</v>
      </c>
      <c r="N139" s="12">
        <f t="shared" si="7"/>
        <v>-4</v>
      </c>
      <c r="O139" s="18">
        <f t="shared" si="8"/>
        <v>-0.3333333333</v>
      </c>
      <c r="P139" s="18">
        <f t="shared" si="9"/>
        <v>-1.333333333</v>
      </c>
    </row>
    <row r="140">
      <c r="A140" s="34"/>
      <c r="B140" s="35"/>
      <c r="G140" s="30"/>
      <c r="H140" s="30"/>
      <c r="L140" s="30"/>
      <c r="M140" s="30"/>
      <c r="O140" s="32"/>
      <c r="P140" s="32"/>
    </row>
    <row r="141">
      <c r="A141" s="34"/>
      <c r="B141" s="35"/>
      <c r="G141" s="30"/>
      <c r="H141" s="30"/>
      <c r="L141" s="30"/>
      <c r="M141" s="30"/>
      <c r="O141" s="32"/>
      <c r="P141" s="32"/>
    </row>
    <row r="142">
      <c r="B142" s="35"/>
      <c r="G142" s="30"/>
      <c r="H142" s="30"/>
      <c r="L142" s="30"/>
      <c r="M142" s="30"/>
      <c r="O142" s="32"/>
      <c r="P142" s="32"/>
    </row>
    <row r="143">
      <c r="B143" s="35"/>
      <c r="G143" s="30"/>
      <c r="H143" s="30"/>
      <c r="L143" s="30"/>
      <c r="M143" s="30"/>
      <c r="O143" s="32"/>
      <c r="P143" s="32"/>
    </row>
    <row r="144">
      <c r="B144" s="35"/>
      <c r="G144" s="30"/>
      <c r="H144" s="30"/>
      <c r="L144" s="30"/>
      <c r="M144" s="30"/>
      <c r="O144" s="32"/>
      <c r="P144" s="32"/>
    </row>
    <row r="145">
      <c r="B145" s="35"/>
      <c r="G145" s="30"/>
      <c r="H145" s="30"/>
      <c r="L145" s="30"/>
      <c r="M145" s="30"/>
      <c r="O145" s="32"/>
      <c r="P145" s="32"/>
    </row>
    <row r="146">
      <c r="B146" s="35"/>
      <c r="G146" s="30"/>
      <c r="H146" s="30"/>
      <c r="L146" s="30"/>
      <c r="M146" s="30"/>
      <c r="O146" s="32"/>
      <c r="P146" s="32"/>
    </row>
    <row r="147">
      <c r="B147" s="35"/>
      <c r="G147" s="30"/>
      <c r="H147" s="30"/>
      <c r="L147" s="30"/>
      <c r="M147" s="30"/>
      <c r="O147" s="32"/>
      <c r="P147" s="32"/>
    </row>
    <row r="148">
      <c r="B148" s="35"/>
      <c r="G148" s="30"/>
      <c r="H148" s="30"/>
      <c r="L148" s="30"/>
      <c r="M148" s="30"/>
      <c r="O148" s="32"/>
      <c r="P148" s="32"/>
    </row>
    <row r="149">
      <c r="B149" s="35"/>
      <c r="G149" s="30"/>
      <c r="H149" s="30"/>
      <c r="L149" s="30"/>
      <c r="M149" s="30"/>
      <c r="O149" s="32"/>
      <c r="P149" s="32"/>
    </row>
    <row r="150">
      <c r="B150" s="35"/>
      <c r="G150" s="30"/>
      <c r="H150" s="30"/>
      <c r="L150" s="30"/>
      <c r="M150" s="30"/>
      <c r="O150" s="32"/>
      <c r="P150" s="32"/>
    </row>
    <row r="151">
      <c r="B151" s="35"/>
      <c r="G151" s="30"/>
      <c r="H151" s="30"/>
      <c r="L151" s="30"/>
      <c r="M151" s="30"/>
      <c r="O151" s="32"/>
      <c r="P151" s="32"/>
    </row>
    <row r="152">
      <c r="B152" s="35"/>
      <c r="G152" s="30"/>
      <c r="H152" s="30"/>
      <c r="L152" s="30"/>
      <c r="M152" s="30"/>
      <c r="O152" s="32"/>
      <c r="P152" s="32"/>
    </row>
    <row r="153">
      <c r="B153" s="35"/>
      <c r="G153" s="30"/>
      <c r="H153" s="30"/>
      <c r="L153" s="30"/>
      <c r="M153" s="30"/>
      <c r="O153" s="32"/>
      <c r="P153" s="32"/>
    </row>
    <row r="154">
      <c r="B154" s="35"/>
      <c r="G154" s="30"/>
      <c r="H154" s="30"/>
      <c r="L154" s="30"/>
      <c r="M154" s="30"/>
      <c r="O154" s="32"/>
      <c r="P154" s="32"/>
    </row>
    <row r="155">
      <c r="B155" s="35"/>
      <c r="G155" s="30"/>
      <c r="H155" s="30"/>
      <c r="L155" s="30"/>
      <c r="M155" s="30"/>
      <c r="O155" s="32"/>
      <c r="P155" s="32"/>
    </row>
    <row r="156">
      <c r="B156" s="35"/>
      <c r="G156" s="30"/>
      <c r="H156" s="30"/>
      <c r="L156" s="30"/>
      <c r="M156" s="30"/>
      <c r="O156" s="32"/>
      <c r="P156" s="32"/>
    </row>
    <row r="157">
      <c r="B157" s="35"/>
      <c r="G157" s="30"/>
      <c r="H157" s="30"/>
      <c r="L157" s="30"/>
      <c r="M157" s="30"/>
      <c r="O157" s="32"/>
      <c r="P157" s="32"/>
    </row>
    <row r="158">
      <c r="B158" s="35"/>
      <c r="G158" s="30"/>
      <c r="H158" s="30"/>
      <c r="L158" s="30"/>
      <c r="M158" s="30"/>
      <c r="O158" s="32"/>
      <c r="P158" s="32"/>
    </row>
    <row r="159">
      <c r="B159" s="35"/>
      <c r="G159" s="30"/>
      <c r="H159" s="30"/>
      <c r="L159" s="30"/>
      <c r="M159" s="30"/>
      <c r="O159" s="32"/>
      <c r="P159" s="32"/>
    </row>
    <row r="160">
      <c r="B160" s="35"/>
      <c r="G160" s="30"/>
      <c r="H160" s="30"/>
      <c r="L160" s="30"/>
      <c r="M160" s="30"/>
      <c r="O160" s="32"/>
      <c r="P160" s="32"/>
    </row>
    <row r="161">
      <c r="B161" s="35"/>
      <c r="G161" s="30"/>
      <c r="H161" s="30"/>
      <c r="L161" s="30"/>
      <c r="M161" s="30"/>
      <c r="O161" s="32"/>
      <c r="P161" s="32"/>
    </row>
    <row r="162">
      <c r="B162" s="35"/>
      <c r="G162" s="30"/>
      <c r="H162" s="30"/>
      <c r="L162" s="30"/>
      <c r="M162" s="30"/>
      <c r="O162" s="32"/>
      <c r="P162" s="32"/>
    </row>
    <row r="163">
      <c r="B163" s="35"/>
      <c r="G163" s="30"/>
      <c r="H163" s="30"/>
      <c r="L163" s="30"/>
      <c r="M163" s="30"/>
      <c r="O163" s="32"/>
      <c r="P163" s="32"/>
    </row>
    <row r="164">
      <c r="B164" s="35"/>
      <c r="G164" s="30"/>
      <c r="H164" s="30"/>
      <c r="L164" s="30"/>
      <c r="M164" s="30"/>
      <c r="O164" s="32"/>
      <c r="P164" s="32"/>
    </row>
    <row r="165">
      <c r="B165" s="35"/>
      <c r="G165" s="30"/>
      <c r="H165" s="30"/>
      <c r="L165" s="30"/>
      <c r="M165" s="30"/>
      <c r="O165" s="32"/>
      <c r="P165" s="32"/>
    </row>
    <row r="166">
      <c r="B166" s="35"/>
      <c r="G166" s="30"/>
      <c r="H166" s="30"/>
      <c r="L166" s="30"/>
      <c r="M166" s="30"/>
      <c r="O166" s="32"/>
      <c r="P166" s="32"/>
    </row>
    <row r="167">
      <c r="B167" s="35"/>
      <c r="G167" s="30"/>
      <c r="H167" s="30"/>
      <c r="L167" s="30"/>
      <c r="M167" s="30"/>
      <c r="O167" s="32"/>
      <c r="P167" s="32"/>
    </row>
    <row r="168">
      <c r="B168" s="35"/>
      <c r="G168" s="30"/>
      <c r="H168" s="30"/>
      <c r="L168" s="30"/>
      <c r="M168" s="30"/>
      <c r="O168" s="32"/>
      <c r="P168" s="32"/>
    </row>
    <row r="169">
      <c r="B169" s="35"/>
      <c r="G169" s="30"/>
      <c r="H169" s="30"/>
      <c r="L169" s="30"/>
      <c r="M169" s="30"/>
      <c r="O169" s="32"/>
      <c r="P169" s="32"/>
    </row>
    <row r="170">
      <c r="B170" s="35"/>
      <c r="G170" s="30"/>
      <c r="H170" s="30"/>
      <c r="L170" s="30"/>
      <c r="M170" s="30"/>
      <c r="O170" s="32"/>
      <c r="P170" s="32"/>
    </row>
    <row r="171">
      <c r="B171" s="35"/>
      <c r="G171" s="30"/>
      <c r="H171" s="30"/>
      <c r="L171" s="30"/>
      <c r="M171" s="30"/>
      <c r="O171" s="32"/>
      <c r="P171" s="32"/>
    </row>
    <row r="172">
      <c r="B172" s="35"/>
      <c r="G172" s="30"/>
      <c r="H172" s="30"/>
      <c r="L172" s="30"/>
      <c r="M172" s="30"/>
      <c r="O172" s="32"/>
      <c r="P172" s="32"/>
    </row>
    <row r="173">
      <c r="B173" s="35"/>
      <c r="G173" s="30"/>
      <c r="H173" s="30"/>
      <c r="L173" s="30"/>
      <c r="M173" s="30"/>
      <c r="O173" s="32"/>
      <c r="P173" s="32"/>
    </row>
    <row r="174">
      <c r="B174" s="35"/>
      <c r="G174" s="30"/>
      <c r="H174" s="30"/>
      <c r="L174" s="30"/>
      <c r="M174" s="30"/>
      <c r="O174" s="32"/>
      <c r="P174" s="32"/>
    </row>
    <row r="175">
      <c r="B175" s="35"/>
      <c r="G175" s="30"/>
      <c r="H175" s="30"/>
      <c r="L175" s="30"/>
      <c r="M175" s="30"/>
      <c r="O175" s="32"/>
      <c r="P175" s="32"/>
    </row>
    <row r="176">
      <c r="B176" s="35"/>
      <c r="G176" s="30"/>
      <c r="H176" s="30"/>
      <c r="L176" s="30"/>
      <c r="M176" s="30"/>
      <c r="O176" s="32"/>
      <c r="P176" s="32"/>
    </row>
    <row r="177">
      <c r="B177" s="35"/>
      <c r="G177" s="30"/>
      <c r="H177" s="30"/>
      <c r="L177" s="30"/>
      <c r="M177" s="30"/>
      <c r="O177" s="32"/>
      <c r="P177" s="32"/>
    </row>
    <row r="178">
      <c r="B178" s="35"/>
      <c r="G178" s="30"/>
      <c r="H178" s="30"/>
      <c r="L178" s="30"/>
      <c r="M178" s="30"/>
      <c r="O178" s="32"/>
      <c r="P178" s="32"/>
    </row>
    <row r="179">
      <c r="B179" s="35"/>
      <c r="G179" s="30"/>
      <c r="H179" s="30"/>
      <c r="L179" s="30"/>
      <c r="M179" s="30"/>
      <c r="O179" s="32"/>
      <c r="P179" s="32"/>
    </row>
    <row r="180">
      <c r="B180" s="35"/>
      <c r="G180" s="30"/>
      <c r="H180" s="30"/>
      <c r="L180" s="30"/>
      <c r="M180" s="30"/>
      <c r="O180" s="32"/>
      <c r="P180" s="32"/>
    </row>
    <row r="181">
      <c r="B181" s="35"/>
      <c r="G181" s="30"/>
      <c r="H181" s="30"/>
      <c r="L181" s="30"/>
      <c r="M181" s="30"/>
      <c r="O181" s="32"/>
      <c r="P181" s="32"/>
    </row>
    <row r="182">
      <c r="B182" s="35"/>
      <c r="G182" s="30"/>
      <c r="H182" s="30"/>
      <c r="L182" s="30"/>
      <c r="M182" s="30"/>
      <c r="O182" s="32"/>
      <c r="P182" s="32"/>
    </row>
    <row r="183">
      <c r="B183" s="35"/>
      <c r="G183" s="30"/>
      <c r="H183" s="30"/>
      <c r="L183" s="30"/>
      <c r="M183" s="30"/>
      <c r="O183" s="32"/>
      <c r="P183" s="32"/>
    </row>
    <row r="184">
      <c r="B184" s="35"/>
      <c r="G184" s="30"/>
      <c r="H184" s="30"/>
      <c r="L184" s="30"/>
      <c r="M184" s="30"/>
      <c r="O184" s="32"/>
      <c r="P184" s="32"/>
    </row>
    <row r="185">
      <c r="B185" s="35"/>
      <c r="G185" s="30"/>
      <c r="H185" s="30"/>
      <c r="L185" s="30"/>
      <c r="M185" s="30"/>
      <c r="O185" s="32"/>
      <c r="P185" s="32"/>
    </row>
    <row r="186">
      <c r="B186" s="35"/>
      <c r="G186" s="30"/>
      <c r="H186" s="30"/>
      <c r="L186" s="30"/>
      <c r="M186" s="30"/>
      <c r="O186" s="32"/>
      <c r="P186" s="32"/>
    </row>
    <row r="187">
      <c r="B187" s="35"/>
      <c r="G187" s="30"/>
      <c r="H187" s="30"/>
      <c r="L187" s="30"/>
      <c r="M187" s="30"/>
      <c r="O187" s="32"/>
      <c r="P187" s="32"/>
    </row>
    <row r="188">
      <c r="B188" s="35"/>
      <c r="G188" s="30"/>
      <c r="H188" s="30"/>
      <c r="L188" s="30"/>
      <c r="M188" s="30"/>
      <c r="O188" s="32"/>
      <c r="P188" s="32"/>
    </row>
    <row r="189">
      <c r="B189" s="35"/>
      <c r="G189" s="30"/>
      <c r="H189" s="30"/>
      <c r="L189" s="30"/>
      <c r="M189" s="30"/>
      <c r="O189" s="32"/>
      <c r="P189" s="32"/>
    </row>
    <row r="190">
      <c r="B190" s="35"/>
      <c r="G190" s="30"/>
      <c r="H190" s="30"/>
      <c r="L190" s="30"/>
      <c r="M190" s="30"/>
      <c r="O190" s="32"/>
      <c r="P190" s="32"/>
    </row>
    <row r="191">
      <c r="B191" s="35"/>
      <c r="G191" s="30"/>
      <c r="H191" s="30"/>
      <c r="L191" s="30"/>
      <c r="M191" s="30"/>
      <c r="O191" s="32"/>
      <c r="P191" s="32"/>
    </row>
    <row r="192">
      <c r="B192" s="35"/>
      <c r="G192" s="30"/>
      <c r="H192" s="30"/>
      <c r="L192" s="30"/>
      <c r="M192" s="30"/>
      <c r="O192" s="32"/>
      <c r="P192" s="32"/>
    </row>
    <row r="193">
      <c r="B193" s="35"/>
      <c r="G193" s="30"/>
      <c r="H193" s="30"/>
      <c r="L193" s="30"/>
      <c r="M193" s="30"/>
      <c r="O193" s="32"/>
      <c r="P193" s="32"/>
    </row>
    <row r="194">
      <c r="B194" s="35"/>
      <c r="G194" s="30"/>
      <c r="H194" s="30"/>
      <c r="L194" s="30"/>
      <c r="M194" s="30"/>
      <c r="O194" s="32"/>
      <c r="P194" s="32"/>
    </row>
    <row r="195">
      <c r="B195" s="35"/>
      <c r="G195" s="30"/>
      <c r="H195" s="30"/>
      <c r="L195" s="30"/>
      <c r="M195" s="30"/>
      <c r="O195" s="32"/>
      <c r="P195" s="32"/>
    </row>
    <row r="196">
      <c r="B196" s="35"/>
      <c r="G196" s="30"/>
      <c r="H196" s="30"/>
      <c r="L196" s="30"/>
      <c r="M196" s="30"/>
      <c r="O196" s="32"/>
      <c r="P196" s="32"/>
    </row>
    <row r="197">
      <c r="B197" s="35"/>
      <c r="G197" s="30"/>
      <c r="H197" s="30"/>
      <c r="L197" s="30"/>
      <c r="M197" s="30"/>
      <c r="O197" s="32"/>
      <c r="P197" s="32"/>
    </row>
    <row r="198">
      <c r="B198" s="35"/>
      <c r="G198" s="30"/>
      <c r="H198" s="30"/>
      <c r="L198" s="30"/>
      <c r="M198" s="30"/>
      <c r="O198" s="32"/>
      <c r="P198" s="32"/>
    </row>
    <row r="199">
      <c r="B199" s="35"/>
      <c r="G199" s="30"/>
      <c r="H199" s="30"/>
      <c r="L199" s="30"/>
      <c r="M199" s="30"/>
      <c r="O199" s="32"/>
      <c r="P199" s="32"/>
    </row>
    <row r="200">
      <c r="B200" s="35"/>
      <c r="G200" s="30"/>
      <c r="H200" s="30"/>
      <c r="L200" s="30"/>
      <c r="M200" s="30"/>
      <c r="O200" s="32"/>
      <c r="P200" s="32"/>
    </row>
    <row r="201">
      <c r="B201" s="35"/>
      <c r="G201" s="30"/>
      <c r="H201" s="30"/>
      <c r="L201" s="30"/>
      <c r="M201" s="30"/>
      <c r="O201" s="32"/>
      <c r="P201" s="32"/>
    </row>
    <row r="202">
      <c r="B202" s="35"/>
      <c r="G202" s="30"/>
      <c r="H202" s="30"/>
      <c r="L202" s="30"/>
      <c r="M202" s="30"/>
      <c r="O202" s="32"/>
      <c r="P202" s="32"/>
    </row>
    <row r="203">
      <c r="B203" s="35"/>
      <c r="G203" s="30"/>
      <c r="H203" s="30"/>
      <c r="L203" s="30"/>
      <c r="M203" s="30"/>
      <c r="O203" s="32"/>
      <c r="P203" s="32"/>
    </row>
    <row r="204">
      <c r="B204" s="35"/>
      <c r="G204" s="30"/>
      <c r="H204" s="30"/>
      <c r="L204" s="30"/>
      <c r="M204" s="30"/>
      <c r="O204" s="32"/>
      <c r="P204" s="32"/>
    </row>
    <row r="205">
      <c r="B205" s="35"/>
      <c r="G205" s="30"/>
      <c r="H205" s="30"/>
      <c r="L205" s="30"/>
      <c r="M205" s="30"/>
      <c r="O205" s="32"/>
      <c r="P205" s="32"/>
    </row>
    <row r="206">
      <c r="B206" s="35"/>
      <c r="G206" s="30"/>
      <c r="H206" s="30"/>
      <c r="L206" s="30"/>
      <c r="M206" s="30"/>
      <c r="O206" s="32"/>
      <c r="P206" s="32"/>
    </row>
    <row r="207">
      <c r="B207" s="35"/>
      <c r="G207" s="30"/>
      <c r="H207" s="30"/>
      <c r="L207" s="30"/>
      <c r="M207" s="30"/>
      <c r="O207" s="32"/>
      <c r="P207" s="32"/>
    </row>
    <row r="208">
      <c r="B208" s="35"/>
      <c r="G208" s="30"/>
      <c r="H208" s="30"/>
      <c r="L208" s="30"/>
      <c r="M208" s="30"/>
      <c r="O208" s="32"/>
      <c r="P208" s="32"/>
    </row>
    <row r="209">
      <c r="B209" s="35"/>
      <c r="G209" s="30"/>
      <c r="H209" s="30"/>
      <c r="L209" s="30"/>
      <c r="M209" s="30"/>
      <c r="O209" s="32"/>
      <c r="P209" s="32"/>
    </row>
    <row r="210">
      <c r="B210" s="35"/>
      <c r="G210" s="30"/>
      <c r="H210" s="30"/>
      <c r="L210" s="30"/>
      <c r="M210" s="30"/>
      <c r="O210" s="32"/>
      <c r="P210" s="32"/>
    </row>
    <row r="211">
      <c r="B211" s="35"/>
      <c r="G211" s="30"/>
      <c r="H211" s="30"/>
      <c r="L211" s="30"/>
      <c r="M211" s="30"/>
      <c r="O211" s="32"/>
      <c r="P211" s="32"/>
    </row>
    <row r="212">
      <c r="B212" s="35"/>
      <c r="G212" s="30"/>
      <c r="H212" s="30"/>
      <c r="L212" s="30"/>
      <c r="M212" s="30"/>
      <c r="O212" s="32"/>
      <c r="P212" s="32"/>
    </row>
    <row r="213">
      <c r="B213" s="35"/>
      <c r="G213" s="30"/>
      <c r="H213" s="30"/>
      <c r="L213" s="30"/>
      <c r="M213" s="30"/>
      <c r="O213" s="32"/>
      <c r="P213" s="32"/>
    </row>
    <row r="214">
      <c r="B214" s="35"/>
      <c r="G214" s="30"/>
      <c r="H214" s="30"/>
      <c r="L214" s="30"/>
      <c r="M214" s="30"/>
      <c r="O214" s="32"/>
      <c r="P214" s="32"/>
    </row>
    <row r="215">
      <c r="B215" s="35"/>
      <c r="G215" s="30"/>
      <c r="H215" s="30"/>
      <c r="L215" s="30"/>
      <c r="M215" s="30"/>
      <c r="O215" s="32"/>
      <c r="P215" s="32"/>
    </row>
    <row r="216">
      <c r="B216" s="35"/>
      <c r="G216" s="30"/>
      <c r="H216" s="30"/>
      <c r="L216" s="30"/>
      <c r="M216" s="30"/>
      <c r="O216" s="32"/>
      <c r="P216" s="32"/>
    </row>
    <row r="217">
      <c r="B217" s="35"/>
      <c r="G217" s="30"/>
      <c r="H217" s="30"/>
      <c r="L217" s="30"/>
      <c r="M217" s="30"/>
      <c r="O217" s="32"/>
      <c r="P217" s="32"/>
    </row>
    <row r="218">
      <c r="B218" s="35"/>
      <c r="G218" s="30"/>
      <c r="H218" s="30"/>
      <c r="L218" s="30"/>
      <c r="M218" s="30"/>
      <c r="O218" s="32"/>
      <c r="P218" s="32"/>
    </row>
    <row r="219">
      <c r="B219" s="35"/>
      <c r="G219" s="30"/>
      <c r="H219" s="30"/>
      <c r="L219" s="30"/>
      <c r="M219" s="30"/>
      <c r="O219" s="32"/>
      <c r="P219" s="32"/>
    </row>
    <row r="220">
      <c r="B220" s="35"/>
      <c r="G220" s="30"/>
      <c r="H220" s="30"/>
      <c r="L220" s="30"/>
      <c r="M220" s="30"/>
      <c r="O220" s="32"/>
      <c r="P220" s="32"/>
    </row>
    <row r="221">
      <c r="B221" s="35"/>
      <c r="G221" s="30"/>
      <c r="H221" s="30"/>
      <c r="L221" s="30"/>
      <c r="M221" s="30"/>
      <c r="O221" s="32"/>
      <c r="P221" s="32"/>
    </row>
    <row r="222">
      <c r="B222" s="35"/>
      <c r="G222" s="30"/>
      <c r="H222" s="30"/>
      <c r="L222" s="30"/>
      <c r="M222" s="30"/>
      <c r="O222" s="32"/>
      <c r="P222" s="32"/>
    </row>
    <row r="223">
      <c r="B223" s="35"/>
      <c r="G223" s="30"/>
      <c r="H223" s="30"/>
      <c r="L223" s="30"/>
      <c r="M223" s="30"/>
      <c r="O223" s="32"/>
      <c r="P223" s="32"/>
    </row>
    <row r="224">
      <c r="B224" s="35"/>
      <c r="G224" s="30"/>
      <c r="H224" s="30"/>
      <c r="L224" s="30"/>
      <c r="M224" s="30"/>
      <c r="O224" s="32"/>
      <c r="P224" s="32"/>
    </row>
    <row r="225">
      <c r="B225" s="35"/>
      <c r="G225" s="30"/>
      <c r="H225" s="30"/>
      <c r="L225" s="30"/>
      <c r="M225" s="30"/>
      <c r="O225" s="32"/>
      <c r="P225" s="32"/>
    </row>
    <row r="226">
      <c r="B226" s="35"/>
      <c r="G226" s="30"/>
      <c r="H226" s="30"/>
      <c r="L226" s="30"/>
      <c r="M226" s="30"/>
      <c r="O226" s="32"/>
      <c r="P226" s="32"/>
    </row>
    <row r="227">
      <c r="B227" s="35"/>
      <c r="G227" s="30"/>
      <c r="H227" s="30"/>
      <c r="L227" s="30"/>
      <c r="M227" s="30"/>
      <c r="O227" s="32"/>
      <c r="P227" s="32"/>
    </row>
    <row r="228">
      <c r="B228" s="35"/>
      <c r="G228" s="30"/>
      <c r="H228" s="30"/>
      <c r="L228" s="30"/>
      <c r="M228" s="30"/>
      <c r="O228" s="32"/>
      <c r="P228" s="32"/>
    </row>
    <row r="229">
      <c r="B229" s="35"/>
      <c r="G229" s="30"/>
      <c r="H229" s="30"/>
      <c r="L229" s="30"/>
      <c r="M229" s="30"/>
      <c r="O229" s="32"/>
      <c r="P229" s="32"/>
    </row>
    <row r="230">
      <c r="B230" s="35"/>
      <c r="G230" s="30"/>
      <c r="H230" s="30"/>
      <c r="L230" s="30"/>
      <c r="M230" s="30"/>
      <c r="O230" s="32"/>
      <c r="P230" s="32"/>
    </row>
    <row r="231">
      <c r="B231" s="35"/>
      <c r="G231" s="30"/>
      <c r="H231" s="30"/>
      <c r="L231" s="30"/>
      <c r="M231" s="30"/>
      <c r="O231" s="32"/>
      <c r="P231" s="32"/>
    </row>
    <row r="232">
      <c r="B232" s="35"/>
      <c r="G232" s="30"/>
      <c r="H232" s="30"/>
      <c r="L232" s="30"/>
      <c r="M232" s="30"/>
      <c r="O232" s="32"/>
      <c r="P232" s="32"/>
    </row>
    <row r="233">
      <c r="B233" s="35"/>
      <c r="G233" s="30"/>
      <c r="H233" s="30"/>
      <c r="L233" s="30"/>
      <c r="M233" s="30"/>
      <c r="O233" s="32"/>
      <c r="P233" s="32"/>
    </row>
    <row r="234">
      <c r="B234" s="35"/>
      <c r="G234" s="30"/>
      <c r="H234" s="30"/>
      <c r="L234" s="30"/>
      <c r="M234" s="30"/>
      <c r="O234" s="32"/>
      <c r="P234" s="32"/>
    </row>
    <row r="235">
      <c r="B235" s="35"/>
      <c r="G235" s="30"/>
      <c r="H235" s="30"/>
      <c r="L235" s="30"/>
      <c r="M235" s="30"/>
      <c r="O235" s="32"/>
      <c r="P235" s="32"/>
    </row>
    <row r="236">
      <c r="B236" s="35"/>
      <c r="G236" s="30"/>
      <c r="H236" s="30"/>
      <c r="L236" s="30"/>
      <c r="M236" s="30"/>
      <c r="O236" s="32"/>
      <c r="P236" s="32"/>
    </row>
    <row r="237">
      <c r="B237" s="35"/>
      <c r="G237" s="30"/>
      <c r="H237" s="30"/>
      <c r="L237" s="30"/>
      <c r="M237" s="30"/>
      <c r="O237" s="32"/>
      <c r="P237" s="32"/>
    </row>
    <row r="238">
      <c r="B238" s="35"/>
      <c r="G238" s="30"/>
      <c r="H238" s="30"/>
      <c r="L238" s="30"/>
      <c r="M238" s="30"/>
      <c r="O238" s="32"/>
      <c r="P238" s="32"/>
    </row>
    <row r="239">
      <c r="B239" s="35"/>
      <c r="G239" s="30"/>
      <c r="H239" s="30"/>
      <c r="L239" s="30"/>
      <c r="M239" s="30"/>
      <c r="O239" s="32"/>
      <c r="P239" s="32"/>
    </row>
    <row r="240">
      <c r="B240" s="35"/>
      <c r="G240" s="30"/>
      <c r="H240" s="30"/>
      <c r="L240" s="30"/>
      <c r="M240" s="30"/>
      <c r="O240" s="32"/>
      <c r="P240" s="32"/>
    </row>
    <row r="241">
      <c r="B241" s="35"/>
      <c r="G241" s="30"/>
      <c r="H241" s="30"/>
      <c r="L241" s="30"/>
      <c r="M241" s="30"/>
      <c r="O241" s="32"/>
      <c r="P241" s="32"/>
    </row>
    <row r="242">
      <c r="B242" s="35"/>
      <c r="G242" s="30"/>
      <c r="H242" s="30"/>
      <c r="L242" s="30"/>
      <c r="M242" s="30"/>
      <c r="O242" s="32"/>
      <c r="P242" s="32"/>
    </row>
    <row r="243">
      <c r="B243" s="35"/>
      <c r="G243" s="30"/>
      <c r="H243" s="30"/>
      <c r="L243" s="30"/>
      <c r="M243" s="30"/>
      <c r="O243" s="32"/>
      <c r="P243" s="32"/>
    </row>
    <row r="244">
      <c r="B244" s="35"/>
      <c r="G244" s="30"/>
      <c r="H244" s="30"/>
      <c r="L244" s="30"/>
      <c r="M244" s="30"/>
      <c r="O244" s="32"/>
      <c r="P244" s="32"/>
    </row>
    <row r="245">
      <c r="B245" s="35"/>
      <c r="G245" s="30"/>
      <c r="H245" s="30"/>
      <c r="L245" s="30"/>
      <c r="M245" s="30"/>
      <c r="O245" s="32"/>
      <c r="P245" s="32"/>
    </row>
    <row r="246">
      <c r="B246" s="35"/>
      <c r="G246" s="30"/>
      <c r="H246" s="30"/>
      <c r="L246" s="30"/>
      <c r="M246" s="30"/>
      <c r="O246" s="32"/>
      <c r="P246" s="32"/>
    </row>
    <row r="247">
      <c r="B247" s="35"/>
      <c r="G247" s="30"/>
      <c r="H247" s="30"/>
      <c r="L247" s="30"/>
      <c r="M247" s="30"/>
      <c r="O247" s="32"/>
      <c r="P247" s="32"/>
    </row>
    <row r="248">
      <c r="B248" s="35"/>
      <c r="G248" s="30"/>
      <c r="H248" s="30"/>
      <c r="L248" s="30"/>
      <c r="M248" s="30"/>
      <c r="O248" s="32"/>
      <c r="P248" s="32"/>
    </row>
    <row r="249">
      <c r="B249" s="35"/>
      <c r="G249" s="30"/>
      <c r="H249" s="30"/>
      <c r="L249" s="30"/>
      <c r="M249" s="30"/>
      <c r="O249" s="32"/>
      <c r="P249" s="32"/>
    </row>
    <row r="250">
      <c r="B250" s="35"/>
      <c r="G250" s="30"/>
      <c r="H250" s="30"/>
      <c r="L250" s="30"/>
      <c r="M250" s="30"/>
      <c r="O250" s="32"/>
      <c r="P250" s="32"/>
    </row>
    <row r="251">
      <c r="B251" s="35"/>
      <c r="G251" s="30"/>
      <c r="H251" s="30"/>
      <c r="L251" s="30"/>
      <c r="M251" s="30"/>
      <c r="O251" s="32"/>
      <c r="P251" s="32"/>
    </row>
    <row r="252">
      <c r="B252" s="35"/>
      <c r="G252" s="30"/>
      <c r="H252" s="30"/>
      <c r="L252" s="30"/>
      <c r="M252" s="30"/>
      <c r="O252" s="32"/>
      <c r="P252" s="32"/>
    </row>
    <row r="253">
      <c r="B253" s="35"/>
      <c r="G253" s="30"/>
      <c r="H253" s="30"/>
      <c r="L253" s="30"/>
      <c r="M253" s="30"/>
      <c r="O253" s="32"/>
      <c r="P253" s="32"/>
    </row>
    <row r="254">
      <c r="B254" s="35"/>
      <c r="G254" s="30"/>
      <c r="H254" s="30"/>
      <c r="L254" s="30"/>
      <c r="M254" s="30"/>
      <c r="O254" s="32"/>
      <c r="P254" s="32"/>
    </row>
    <row r="255">
      <c r="B255" s="35"/>
      <c r="G255" s="30"/>
      <c r="H255" s="30"/>
      <c r="L255" s="30"/>
      <c r="M255" s="30"/>
      <c r="O255" s="32"/>
      <c r="P255" s="32"/>
    </row>
    <row r="256">
      <c r="B256" s="35"/>
      <c r="G256" s="30"/>
      <c r="H256" s="30"/>
      <c r="L256" s="30"/>
      <c r="M256" s="30"/>
      <c r="O256" s="32"/>
      <c r="P256" s="32"/>
    </row>
    <row r="257">
      <c r="B257" s="35"/>
      <c r="G257" s="30"/>
      <c r="H257" s="30"/>
      <c r="L257" s="30"/>
      <c r="M257" s="30"/>
      <c r="O257" s="32"/>
      <c r="P257" s="32"/>
    </row>
    <row r="258">
      <c r="B258" s="35"/>
      <c r="G258" s="30"/>
      <c r="H258" s="30"/>
      <c r="L258" s="30"/>
      <c r="M258" s="30"/>
      <c r="O258" s="32"/>
      <c r="P258" s="32"/>
    </row>
    <row r="259">
      <c r="B259" s="35"/>
      <c r="G259" s="30"/>
      <c r="H259" s="30"/>
      <c r="L259" s="30"/>
      <c r="M259" s="30"/>
      <c r="O259" s="32"/>
      <c r="P259" s="32"/>
    </row>
    <row r="260">
      <c r="B260" s="35"/>
      <c r="G260" s="30"/>
      <c r="H260" s="30"/>
      <c r="L260" s="30"/>
      <c r="M260" s="30"/>
      <c r="O260" s="32"/>
      <c r="P260" s="32"/>
    </row>
    <row r="261">
      <c r="B261" s="35"/>
      <c r="G261" s="30"/>
      <c r="H261" s="30"/>
      <c r="L261" s="30"/>
      <c r="M261" s="30"/>
      <c r="O261" s="32"/>
      <c r="P261" s="32"/>
    </row>
    <row r="262">
      <c r="B262" s="35"/>
      <c r="G262" s="30"/>
      <c r="H262" s="30"/>
      <c r="L262" s="30"/>
      <c r="M262" s="30"/>
      <c r="O262" s="32"/>
      <c r="P262" s="32"/>
    </row>
    <row r="263">
      <c r="B263" s="35"/>
      <c r="G263" s="30"/>
      <c r="H263" s="30"/>
      <c r="L263" s="30"/>
      <c r="M263" s="30"/>
      <c r="O263" s="32"/>
      <c r="P263" s="32"/>
    </row>
    <row r="264">
      <c r="B264" s="35"/>
      <c r="G264" s="30"/>
      <c r="H264" s="30"/>
      <c r="L264" s="30"/>
      <c r="M264" s="30"/>
      <c r="O264" s="32"/>
      <c r="P264" s="32"/>
    </row>
    <row r="265">
      <c r="B265" s="35"/>
      <c r="G265" s="30"/>
      <c r="H265" s="30"/>
      <c r="L265" s="30"/>
      <c r="M265" s="30"/>
      <c r="O265" s="32"/>
      <c r="P265" s="32"/>
    </row>
    <row r="266">
      <c r="B266" s="35"/>
      <c r="G266" s="30"/>
      <c r="H266" s="30"/>
      <c r="L266" s="30"/>
      <c r="M266" s="30"/>
      <c r="O266" s="32"/>
      <c r="P266" s="32"/>
    </row>
    <row r="267">
      <c r="B267" s="35"/>
      <c r="G267" s="30"/>
      <c r="H267" s="30"/>
      <c r="L267" s="30"/>
      <c r="M267" s="30"/>
      <c r="O267" s="32"/>
      <c r="P267" s="32"/>
    </row>
    <row r="268">
      <c r="B268" s="35"/>
      <c r="G268" s="30"/>
      <c r="H268" s="30"/>
      <c r="L268" s="30"/>
      <c r="M268" s="30"/>
      <c r="O268" s="32"/>
      <c r="P268" s="32"/>
    </row>
    <row r="269">
      <c r="B269" s="35"/>
      <c r="G269" s="30"/>
      <c r="H269" s="30"/>
      <c r="L269" s="30"/>
      <c r="M269" s="30"/>
      <c r="O269" s="32"/>
      <c r="P269" s="32"/>
    </row>
    <row r="270">
      <c r="B270" s="35"/>
      <c r="G270" s="30"/>
      <c r="H270" s="30"/>
      <c r="L270" s="30"/>
      <c r="M270" s="30"/>
      <c r="O270" s="32"/>
      <c r="P270" s="32"/>
    </row>
    <row r="271">
      <c r="B271" s="35"/>
      <c r="G271" s="30"/>
      <c r="H271" s="30"/>
      <c r="L271" s="30"/>
      <c r="M271" s="30"/>
      <c r="O271" s="32"/>
      <c r="P271" s="32"/>
    </row>
    <row r="272">
      <c r="B272" s="35"/>
      <c r="G272" s="30"/>
      <c r="H272" s="30"/>
      <c r="L272" s="30"/>
      <c r="M272" s="30"/>
      <c r="O272" s="32"/>
      <c r="P272" s="32"/>
    </row>
    <row r="273">
      <c r="B273" s="35"/>
      <c r="G273" s="30"/>
      <c r="H273" s="30"/>
      <c r="L273" s="30"/>
      <c r="M273" s="30"/>
      <c r="O273" s="32"/>
      <c r="P273" s="32"/>
    </row>
    <row r="274">
      <c r="B274" s="35"/>
      <c r="G274" s="30"/>
      <c r="H274" s="30"/>
      <c r="L274" s="30"/>
      <c r="M274" s="30"/>
      <c r="O274" s="32"/>
      <c r="P274" s="32"/>
    </row>
    <row r="275">
      <c r="B275" s="35"/>
      <c r="G275" s="30"/>
      <c r="H275" s="30"/>
      <c r="L275" s="30"/>
      <c r="M275" s="30"/>
      <c r="O275" s="32"/>
      <c r="P275" s="32"/>
    </row>
    <row r="276">
      <c r="B276" s="35"/>
      <c r="G276" s="30"/>
      <c r="H276" s="30"/>
      <c r="L276" s="30"/>
      <c r="M276" s="30"/>
      <c r="O276" s="32"/>
      <c r="P276" s="32"/>
    </row>
    <row r="277">
      <c r="B277" s="35"/>
      <c r="G277" s="30"/>
      <c r="H277" s="30"/>
      <c r="L277" s="30"/>
      <c r="M277" s="30"/>
      <c r="O277" s="32"/>
      <c r="P277" s="32"/>
    </row>
    <row r="278">
      <c r="B278" s="35"/>
      <c r="G278" s="30"/>
      <c r="H278" s="30"/>
      <c r="L278" s="30"/>
      <c r="M278" s="30"/>
      <c r="O278" s="32"/>
      <c r="P278" s="32"/>
    </row>
    <row r="279">
      <c r="B279" s="35"/>
      <c r="G279" s="30"/>
      <c r="H279" s="30"/>
      <c r="L279" s="30"/>
      <c r="M279" s="30"/>
      <c r="O279" s="32"/>
      <c r="P279" s="32"/>
    </row>
    <row r="280">
      <c r="B280" s="35"/>
      <c r="G280" s="30"/>
      <c r="H280" s="30"/>
      <c r="L280" s="30"/>
      <c r="M280" s="30"/>
      <c r="O280" s="32"/>
      <c r="P280" s="32"/>
    </row>
    <row r="281">
      <c r="B281" s="35"/>
      <c r="G281" s="30"/>
      <c r="H281" s="30"/>
      <c r="L281" s="30"/>
      <c r="M281" s="30"/>
      <c r="O281" s="32"/>
      <c r="P281" s="32"/>
    </row>
    <row r="282">
      <c r="B282" s="35"/>
      <c r="G282" s="30"/>
      <c r="H282" s="30"/>
      <c r="L282" s="30"/>
      <c r="M282" s="30"/>
      <c r="O282" s="32"/>
      <c r="P282" s="32"/>
    </row>
    <row r="283">
      <c r="B283" s="35"/>
      <c r="G283" s="30"/>
      <c r="H283" s="30"/>
      <c r="L283" s="30"/>
      <c r="M283" s="30"/>
      <c r="O283" s="32"/>
      <c r="P283" s="32"/>
    </row>
    <row r="284">
      <c r="B284" s="35"/>
      <c r="G284" s="30"/>
      <c r="H284" s="30"/>
      <c r="L284" s="30"/>
      <c r="M284" s="30"/>
      <c r="O284" s="32"/>
      <c r="P284" s="32"/>
    </row>
    <row r="285">
      <c r="B285" s="35"/>
      <c r="G285" s="30"/>
      <c r="H285" s="30"/>
      <c r="L285" s="30"/>
      <c r="M285" s="30"/>
      <c r="O285" s="32"/>
      <c r="P285" s="32"/>
    </row>
    <row r="286">
      <c r="B286" s="35"/>
      <c r="G286" s="30"/>
      <c r="H286" s="30"/>
      <c r="L286" s="30"/>
      <c r="M286" s="30"/>
      <c r="O286" s="32"/>
      <c r="P286" s="32"/>
    </row>
    <row r="287">
      <c r="B287" s="35"/>
      <c r="G287" s="30"/>
      <c r="H287" s="30"/>
      <c r="L287" s="30"/>
      <c r="M287" s="30"/>
      <c r="O287" s="32"/>
      <c r="P287" s="32"/>
    </row>
    <row r="288">
      <c r="B288" s="35"/>
      <c r="G288" s="30"/>
      <c r="H288" s="30"/>
      <c r="L288" s="30"/>
      <c r="M288" s="30"/>
      <c r="O288" s="32"/>
      <c r="P288" s="32"/>
    </row>
    <row r="289">
      <c r="B289" s="35"/>
      <c r="G289" s="30"/>
      <c r="H289" s="30"/>
      <c r="L289" s="30"/>
      <c r="M289" s="30"/>
      <c r="O289" s="32"/>
      <c r="P289" s="32"/>
    </row>
    <row r="290">
      <c r="B290" s="35"/>
      <c r="G290" s="30"/>
      <c r="H290" s="30"/>
      <c r="L290" s="30"/>
      <c r="M290" s="30"/>
      <c r="O290" s="32"/>
      <c r="P290" s="32"/>
    </row>
    <row r="291">
      <c r="B291" s="35"/>
      <c r="G291" s="30"/>
      <c r="H291" s="30"/>
      <c r="L291" s="30"/>
      <c r="M291" s="30"/>
      <c r="O291" s="32"/>
      <c r="P291" s="32"/>
    </row>
    <row r="292">
      <c r="B292" s="35"/>
      <c r="G292" s="30"/>
      <c r="H292" s="30"/>
      <c r="L292" s="30"/>
      <c r="M292" s="30"/>
      <c r="O292" s="32"/>
      <c r="P292" s="32"/>
    </row>
    <row r="293">
      <c r="B293" s="35"/>
      <c r="G293" s="30"/>
      <c r="H293" s="30"/>
      <c r="L293" s="30"/>
      <c r="M293" s="30"/>
      <c r="O293" s="32"/>
      <c r="P293" s="32"/>
    </row>
    <row r="294">
      <c r="B294" s="35"/>
      <c r="G294" s="30"/>
      <c r="H294" s="30"/>
      <c r="L294" s="30"/>
      <c r="M294" s="30"/>
      <c r="O294" s="32"/>
      <c r="P294" s="32"/>
    </row>
    <row r="295">
      <c r="B295" s="35"/>
      <c r="G295" s="30"/>
      <c r="H295" s="30"/>
      <c r="L295" s="30"/>
      <c r="M295" s="30"/>
      <c r="O295" s="32"/>
      <c r="P295" s="32"/>
    </row>
    <row r="296">
      <c r="B296" s="35"/>
      <c r="G296" s="30"/>
      <c r="H296" s="30"/>
      <c r="L296" s="30"/>
      <c r="M296" s="30"/>
      <c r="O296" s="32"/>
      <c r="P296" s="32"/>
    </row>
    <row r="297">
      <c r="B297" s="35"/>
      <c r="G297" s="30"/>
      <c r="H297" s="30"/>
      <c r="L297" s="30"/>
      <c r="M297" s="30"/>
      <c r="O297" s="32"/>
      <c r="P297" s="32"/>
    </row>
    <row r="298">
      <c r="B298" s="35"/>
      <c r="G298" s="30"/>
      <c r="H298" s="30"/>
      <c r="L298" s="30"/>
      <c r="M298" s="30"/>
      <c r="O298" s="32"/>
      <c r="P298" s="32"/>
    </row>
    <row r="299">
      <c r="B299" s="35"/>
      <c r="G299" s="30"/>
      <c r="H299" s="30"/>
      <c r="L299" s="30"/>
      <c r="M299" s="30"/>
      <c r="O299" s="32"/>
      <c r="P299" s="32"/>
    </row>
    <row r="300">
      <c r="B300" s="35"/>
      <c r="G300" s="30"/>
      <c r="H300" s="30"/>
      <c r="L300" s="30"/>
      <c r="M300" s="30"/>
      <c r="O300" s="32"/>
      <c r="P300" s="32"/>
    </row>
    <row r="301">
      <c r="B301" s="35"/>
      <c r="G301" s="30"/>
      <c r="H301" s="30"/>
      <c r="L301" s="30"/>
      <c r="M301" s="30"/>
      <c r="O301" s="32"/>
      <c r="P301" s="32"/>
    </row>
    <row r="302">
      <c r="B302" s="35"/>
      <c r="G302" s="30"/>
      <c r="H302" s="30"/>
      <c r="L302" s="30"/>
      <c r="M302" s="30"/>
      <c r="O302" s="32"/>
      <c r="P302" s="32"/>
    </row>
    <row r="303">
      <c r="B303" s="35"/>
      <c r="G303" s="30"/>
      <c r="H303" s="30"/>
      <c r="L303" s="30"/>
      <c r="M303" s="30"/>
      <c r="O303" s="32"/>
      <c r="P303" s="32"/>
    </row>
    <row r="304">
      <c r="B304" s="35"/>
      <c r="G304" s="30"/>
      <c r="H304" s="30"/>
      <c r="L304" s="30"/>
      <c r="M304" s="30"/>
      <c r="O304" s="32"/>
      <c r="P304" s="32"/>
    </row>
    <row r="305">
      <c r="B305" s="35"/>
      <c r="G305" s="30"/>
      <c r="H305" s="30"/>
      <c r="L305" s="30"/>
      <c r="M305" s="30"/>
      <c r="O305" s="32"/>
      <c r="P305" s="32"/>
    </row>
    <row r="306">
      <c r="B306" s="35"/>
      <c r="G306" s="30"/>
      <c r="H306" s="30"/>
      <c r="L306" s="30"/>
      <c r="M306" s="30"/>
      <c r="O306" s="32"/>
      <c r="P306" s="32"/>
    </row>
    <row r="307">
      <c r="B307" s="35"/>
      <c r="G307" s="30"/>
      <c r="H307" s="30"/>
      <c r="L307" s="30"/>
      <c r="M307" s="30"/>
      <c r="O307" s="32"/>
      <c r="P307" s="32"/>
    </row>
    <row r="308">
      <c r="B308" s="35"/>
      <c r="G308" s="30"/>
      <c r="H308" s="30"/>
      <c r="L308" s="30"/>
      <c r="M308" s="30"/>
      <c r="O308" s="32"/>
      <c r="P308" s="32"/>
    </row>
    <row r="309">
      <c r="B309" s="35"/>
      <c r="G309" s="30"/>
      <c r="H309" s="30"/>
      <c r="L309" s="30"/>
      <c r="M309" s="30"/>
      <c r="O309" s="32"/>
      <c r="P309" s="32"/>
    </row>
    <row r="310">
      <c r="B310" s="35"/>
      <c r="G310" s="30"/>
      <c r="H310" s="30"/>
      <c r="L310" s="30"/>
      <c r="M310" s="30"/>
      <c r="O310" s="32"/>
      <c r="P310" s="32"/>
    </row>
    <row r="311">
      <c r="B311" s="35"/>
      <c r="G311" s="30"/>
      <c r="H311" s="30"/>
      <c r="L311" s="30"/>
      <c r="M311" s="30"/>
      <c r="O311" s="32"/>
      <c r="P311" s="32"/>
    </row>
    <row r="312">
      <c r="B312" s="35"/>
      <c r="G312" s="30"/>
      <c r="H312" s="30"/>
      <c r="L312" s="30"/>
      <c r="M312" s="30"/>
      <c r="O312" s="32"/>
      <c r="P312" s="32"/>
    </row>
    <row r="313">
      <c r="B313" s="35"/>
      <c r="G313" s="30"/>
      <c r="H313" s="30"/>
      <c r="L313" s="30"/>
      <c r="M313" s="30"/>
      <c r="O313" s="32"/>
      <c r="P313" s="32"/>
    </row>
    <row r="314">
      <c r="B314" s="35"/>
      <c r="G314" s="30"/>
      <c r="H314" s="30"/>
      <c r="L314" s="30"/>
      <c r="M314" s="30"/>
      <c r="O314" s="32"/>
      <c r="P314" s="32"/>
    </row>
    <row r="315">
      <c r="B315" s="35"/>
      <c r="G315" s="30"/>
      <c r="H315" s="30"/>
      <c r="L315" s="30"/>
      <c r="M315" s="30"/>
      <c r="O315" s="32"/>
      <c r="P315" s="32"/>
    </row>
    <row r="316">
      <c r="B316" s="35"/>
      <c r="G316" s="30"/>
      <c r="H316" s="30"/>
      <c r="L316" s="30"/>
      <c r="M316" s="30"/>
      <c r="O316" s="32"/>
      <c r="P316" s="32"/>
    </row>
    <row r="317">
      <c r="B317" s="35"/>
      <c r="G317" s="30"/>
      <c r="H317" s="30"/>
      <c r="L317" s="30"/>
      <c r="M317" s="30"/>
      <c r="O317" s="32"/>
      <c r="P317" s="32"/>
    </row>
    <row r="318">
      <c r="B318" s="35"/>
      <c r="G318" s="30"/>
      <c r="H318" s="30"/>
      <c r="L318" s="30"/>
      <c r="M318" s="30"/>
      <c r="O318" s="32"/>
      <c r="P318" s="32"/>
    </row>
    <row r="319">
      <c r="B319" s="35"/>
      <c r="G319" s="30"/>
      <c r="H319" s="30"/>
      <c r="L319" s="30"/>
      <c r="M319" s="30"/>
      <c r="O319" s="32"/>
      <c r="P319" s="32"/>
    </row>
    <row r="320">
      <c r="B320" s="35"/>
      <c r="G320" s="30"/>
      <c r="H320" s="30"/>
      <c r="L320" s="30"/>
      <c r="M320" s="30"/>
      <c r="O320" s="32"/>
      <c r="P320" s="32"/>
    </row>
    <row r="321">
      <c r="B321" s="35"/>
      <c r="G321" s="30"/>
      <c r="H321" s="30"/>
      <c r="L321" s="30"/>
      <c r="M321" s="30"/>
      <c r="O321" s="32"/>
      <c r="P321" s="32"/>
    </row>
    <row r="322">
      <c r="B322" s="35"/>
      <c r="G322" s="30"/>
      <c r="H322" s="30"/>
      <c r="L322" s="30"/>
      <c r="M322" s="30"/>
      <c r="O322" s="32"/>
      <c r="P322" s="32"/>
    </row>
    <row r="323">
      <c r="B323" s="35"/>
      <c r="G323" s="30"/>
      <c r="H323" s="30"/>
      <c r="L323" s="30"/>
      <c r="M323" s="30"/>
      <c r="O323" s="32"/>
      <c r="P323" s="32"/>
    </row>
    <row r="324">
      <c r="B324" s="35"/>
      <c r="G324" s="30"/>
      <c r="H324" s="30"/>
      <c r="L324" s="30"/>
      <c r="M324" s="30"/>
      <c r="O324" s="32"/>
      <c r="P324" s="32"/>
    </row>
    <row r="325">
      <c r="B325" s="35"/>
      <c r="G325" s="30"/>
      <c r="H325" s="30"/>
      <c r="L325" s="30"/>
      <c r="M325" s="30"/>
      <c r="O325" s="32"/>
      <c r="P325" s="32"/>
    </row>
    <row r="326">
      <c r="B326" s="35"/>
      <c r="G326" s="30"/>
      <c r="H326" s="30"/>
      <c r="L326" s="30"/>
      <c r="M326" s="30"/>
      <c r="O326" s="32"/>
      <c r="P326" s="32"/>
    </row>
    <row r="327">
      <c r="B327" s="35"/>
      <c r="G327" s="30"/>
      <c r="H327" s="30"/>
      <c r="L327" s="30"/>
      <c r="M327" s="30"/>
      <c r="O327" s="32"/>
      <c r="P327" s="32"/>
    </row>
    <row r="328">
      <c r="B328" s="35"/>
      <c r="G328" s="30"/>
      <c r="H328" s="30"/>
      <c r="L328" s="30"/>
      <c r="M328" s="30"/>
      <c r="O328" s="32"/>
      <c r="P328" s="32"/>
    </row>
    <row r="329">
      <c r="B329" s="35"/>
      <c r="G329" s="30"/>
      <c r="H329" s="30"/>
      <c r="L329" s="30"/>
      <c r="M329" s="30"/>
      <c r="O329" s="32"/>
      <c r="P329" s="32"/>
    </row>
    <row r="330">
      <c r="B330" s="35"/>
      <c r="G330" s="30"/>
      <c r="H330" s="30"/>
      <c r="L330" s="30"/>
      <c r="M330" s="30"/>
      <c r="O330" s="32"/>
      <c r="P330" s="32"/>
    </row>
    <row r="331">
      <c r="B331" s="35"/>
      <c r="G331" s="30"/>
      <c r="H331" s="30"/>
      <c r="L331" s="30"/>
      <c r="M331" s="30"/>
      <c r="O331" s="32"/>
      <c r="P331" s="32"/>
    </row>
    <row r="332">
      <c r="B332" s="35"/>
      <c r="G332" s="30"/>
      <c r="H332" s="30"/>
      <c r="L332" s="30"/>
      <c r="M332" s="30"/>
      <c r="O332" s="32"/>
      <c r="P332" s="32"/>
    </row>
    <row r="333">
      <c r="B333" s="35"/>
      <c r="G333" s="30"/>
      <c r="H333" s="30"/>
      <c r="L333" s="30"/>
      <c r="M333" s="30"/>
      <c r="O333" s="32"/>
      <c r="P333" s="32"/>
    </row>
    <row r="334">
      <c r="B334" s="35"/>
      <c r="G334" s="30"/>
      <c r="H334" s="30"/>
      <c r="L334" s="30"/>
      <c r="M334" s="30"/>
      <c r="O334" s="32"/>
      <c r="P334" s="32"/>
    </row>
    <row r="335">
      <c r="B335" s="35"/>
      <c r="G335" s="30"/>
      <c r="H335" s="30"/>
      <c r="L335" s="30"/>
      <c r="M335" s="30"/>
      <c r="O335" s="32"/>
      <c r="P335" s="32"/>
    </row>
    <row r="336">
      <c r="B336" s="35"/>
      <c r="G336" s="30"/>
      <c r="H336" s="30"/>
      <c r="L336" s="30"/>
      <c r="M336" s="30"/>
      <c r="O336" s="32"/>
      <c r="P336" s="32"/>
    </row>
    <row r="337">
      <c r="B337" s="35"/>
      <c r="G337" s="30"/>
      <c r="H337" s="30"/>
      <c r="L337" s="30"/>
      <c r="M337" s="30"/>
      <c r="O337" s="32"/>
      <c r="P337" s="32"/>
    </row>
    <row r="338">
      <c r="B338" s="35"/>
      <c r="G338" s="30"/>
      <c r="H338" s="30"/>
      <c r="L338" s="30"/>
      <c r="M338" s="30"/>
      <c r="O338" s="32"/>
      <c r="P338" s="32"/>
    </row>
    <row r="339">
      <c r="B339" s="35"/>
      <c r="G339" s="30"/>
      <c r="H339" s="30"/>
      <c r="L339" s="30"/>
      <c r="M339" s="30"/>
      <c r="O339" s="32"/>
      <c r="P339" s="32"/>
    </row>
    <row r="340">
      <c r="B340" s="35"/>
      <c r="G340" s="30"/>
      <c r="H340" s="30"/>
      <c r="L340" s="30"/>
      <c r="M340" s="30"/>
      <c r="O340" s="32"/>
      <c r="P340" s="32"/>
    </row>
    <row r="341">
      <c r="B341" s="35"/>
      <c r="G341" s="30"/>
      <c r="H341" s="30"/>
      <c r="L341" s="30"/>
      <c r="M341" s="30"/>
      <c r="O341" s="32"/>
      <c r="P341" s="32"/>
    </row>
    <row r="342">
      <c r="B342" s="35"/>
      <c r="G342" s="30"/>
      <c r="H342" s="30"/>
      <c r="L342" s="30"/>
      <c r="M342" s="30"/>
      <c r="O342" s="32"/>
      <c r="P342" s="32"/>
    </row>
    <row r="343">
      <c r="B343" s="35"/>
      <c r="G343" s="30"/>
      <c r="H343" s="30"/>
      <c r="L343" s="30"/>
      <c r="M343" s="30"/>
      <c r="O343" s="32"/>
      <c r="P343" s="32"/>
    </row>
    <row r="344">
      <c r="B344" s="35"/>
      <c r="G344" s="30"/>
      <c r="H344" s="30"/>
      <c r="L344" s="30"/>
      <c r="M344" s="30"/>
      <c r="O344" s="32"/>
      <c r="P344" s="32"/>
    </row>
    <row r="345">
      <c r="B345" s="35"/>
      <c r="G345" s="30"/>
      <c r="H345" s="30"/>
      <c r="L345" s="30"/>
      <c r="M345" s="30"/>
      <c r="O345" s="32"/>
      <c r="P345" s="32"/>
    </row>
    <row r="346">
      <c r="B346" s="35"/>
      <c r="G346" s="30"/>
      <c r="H346" s="30"/>
      <c r="L346" s="30"/>
      <c r="M346" s="30"/>
      <c r="O346" s="32"/>
      <c r="P346" s="32"/>
    </row>
    <row r="347">
      <c r="B347" s="35"/>
      <c r="G347" s="30"/>
      <c r="H347" s="30"/>
      <c r="L347" s="30"/>
      <c r="M347" s="30"/>
      <c r="O347" s="32"/>
      <c r="P347" s="32"/>
    </row>
    <row r="348">
      <c r="B348" s="35"/>
      <c r="G348" s="30"/>
      <c r="H348" s="30"/>
      <c r="L348" s="30"/>
      <c r="M348" s="30"/>
      <c r="O348" s="32"/>
      <c r="P348" s="32"/>
    </row>
    <row r="349">
      <c r="B349" s="35"/>
      <c r="G349" s="30"/>
      <c r="H349" s="30"/>
      <c r="L349" s="30"/>
      <c r="M349" s="30"/>
      <c r="O349" s="32"/>
      <c r="P349" s="32"/>
    </row>
    <row r="350">
      <c r="B350" s="35"/>
      <c r="G350" s="30"/>
      <c r="H350" s="30"/>
      <c r="L350" s="30"/>
      <c r="M350" s="30"/>
      <c r="O350" s="32"/>
      <c r="P350" s="32"/>
    </row>
    <row r="351">
      <c r="B351" s="35"/>
      <c r="G351" s="30"/>
      <c r="H351" s="30"/>
      <c r="L351" s="30"/>
      <c r="M351" s="30"/>
      <c r="O351" s="32"/>
      <c r="P351" s="32"/>
    </row>
    <row r="352">
      <c r="B352" s="35"/>
      <c r="G352" s="30"/>
      <c r="H352" s="30"/>
      <c r="L352" s="30"/>
      <c r="M352" s="30"/>
      <c r="O352" s="32"/>
      <c r="P352" s="32"/>
    </row>
    <row r="353">
      <c r="B353" s="35"/>
      <c r="G353" s="30"/>
      <c r="H353" s="30"/>
      <c r="L353" s="30"/>
      <c r="M353" s="30"/>
      <c r="O353" s="32"/>
      <c r="P353" s="32"/>
    </row>
    <row r="354">
      <c r="B354" s="35"/>
      <c r="G354" s="30"/>
      <c r="H354" s="30"/>
      <c r="L354" s="30"/>
      <c r="M354" s="30"/>
      <c r="O354" s="32"/>
      <c r="P354" s="32"/>
    </row>
    <row r="355">
      <c r="B355" s="35"/>
      <c r="G355" s="30"/>
      <c r="H355" s="30"/>
      <c r="L355" s="30"/>
      <c r="M355" s="30"/>
      <c r="O355" s="32"/>
      <c r="P355" s="32"/>
    </row>
    <row r="356">
      <c r="B356" s="35"/>
      <c r="G356" s="30"/>
      <c r="H356" s="30"/>
      <c r="L356" s="30"/>
      <c r="M356" s="30"/>
      <c r="O356" s="32"/>
      <c r="P356" s="32"/>
    </row>
    <row r="357">
      <c r="B357" s="35"/>
      <c r="G357" s="30"/>
      <c r="H357" s="30"/>
      <c r="L357" s="30"/>
      <c r="M357" s="30"/>
      <c r="O357" s="32"/>
      <c r="P357" s="32"/>
    </row>
    <row r="358">
      <c r="B358" s="35"/>
      <c r="G358" s="30"/>
      <c r="H358" s="30"/>
      <c r="L358" s="30"/>
      <c r="M358" s="30"/>
      <c r="O358" s="32"/>
      <c r="P358" s="32"/>
    </row>
    <row r="359">
      <c r="B359" s="35"/>
      <c r="G359" s="30"/>
      <c r="H359" s="30"/>
      <c r="L359" s="30"/>
      <c r="M359" s="30"/>
      <c r="O359" s="32"/>
      <c r="P359" s="32"/>
    </row>
    <row r="360">
      <c r="B360" s="35"/>
      <c r="G360" s="30"/>
      <c r="H360" s="30"/>
      <c r="L360" s="30"/>
      <c r="M360" s="30"/>
      <c r="O360" s="32"/>
      <c r="P360" s="32"/>
    </row>
    <row r="361">
      <c r="B361" s="35"/>
      <c r="G361" s="30"/>
      <c r="H361" s="30"/>
      <c r="L361" s="30"/>
      <c r="M361" s="30"/>
      <c r="O361" s="32"/>
      <c r="P361" s="32"/>
    </row>
    <row r="362">
      <c r="B362" s="35"/>
      <c r="G362" s="30"/>
      <c r="H362" s="30"/>
      <c r="L362" s="30"/>
      <c r="M362" s="30"/>
      <c r="O362" s="32"/>
      <c r="P362" s="32"/>
    </row>
    <row r="363">
      <c r="B363" s="35"/>
      <c r="G363" s="30"/>
      <c r="H363" s="30"/>
      <c r="L363" s="30"/>
      <c r="M363" s="30"/>
      <c r="O363" s="32"/>
      <c r="P363" s="32"/>
    </row>
    <row r="364">
      <c r="B364" s="35"/>
      <c r="G364" s="30"/>
      <c r="H364" s="30"/>
      <c r="L364" s="30"/>
      <c r="M364" s="30"/>
      <c r="O364" s="32"/>
      <c r="P364" s="32"/>
    </row>
    <row r="365">
      <c r="B365" s="35"/>
      <c r="G365" s="30"/>
      <c r="H365" s="30"/>
      <c r="L365" s="30"/>
      <c r="M365" s="30"/>
      <c r="O365" s="32"/>
      <c r="P365" s="32"/>
    </row>
    <row r="366">
      <c r="B366" s="35"/>
      <c r="G366" s="30"/>
      <c r="H366" s="30"/>
      <c r="L366" s="30"/>
      <c r="M366" s="30"/>
      <c r="O366" s="32"/>
      <c r="P366" s="32"/>
    </row>
    <row r="367">
      <c r="B367" s="35"/>
      <c r="G367" s="30"/>
      <c r="H367" s="30"/>
      <c r="L367" s="30"/>
      <c r="M367" s="30"/>
      <c r="O367" s="32"/>
      <c r="P367" s="32"/>
    </row>
    <row r="368">
      <c r="B368" s="35"/>
      <c r="G368" s="30"/>
      <c r="H368" s="30"/>
      <c r="L368" s="30"/>
      <c r="M368" s="30"/>
      <c r="O368" s="32"/>
      <c r="P368" s="32"/>
    </row>
    <row r="369">
      <c r="B369" s="35"/>
      <c r="G369" s="30"/>
      <c r="H369" s="30"/>
      <c r="L369" s="30"/>
      <c r="M369" s="30"/>
      <c r="O369" s="32"/>
      <c r="P369" s="32"/>
    </row>
    <row r="370">
      <c r="B370" s="35"/>
      <c r="G370" s="30"/>
      <c r="H370" s="30"/>
      <c r="L370" s="30"/>
      <c r="M370" s="30"/>
      <c r="O370" s="32"/>
      <c r="P370" s="32"/>
    </row>
    <row r="371">
      <c r="B371" s="35"/>
      <c r="G371" s="30"/>
      <c r="H371" s="30"/>
      <c r="L371" s="30"/>
      <c r="M371" s="30"/>
      <c r="O371" s="32"/>
      <c r="P371" s="32"/>
    </row>
    <row r="372">
      <c r="B372" s="35"/>
      <c r="G372" s="30"/>
      <c r="H372" s="30"/>
      <c r="L372" s="30"/>
      <c r="M372" s="30"/>
      <c r="O372" s="32"/>
      <c r="P372" s="32"/>
    </row>
    <row r="373">
      <c r="B373" s="35"/>
      <c r="G373" s="30"/>
      <c r="H373" s="30"/>
      <c r="L373" s="30"/>
      <c r="M373" s="30"/>
      <c r="O373" s="32"/>
      <c r="P373" s="32"/>
    </row>
    <row r="374">
      <c r="B374" s="35"/>
      <c r="G374" s="30"/>
      <c r="H374" s="30"/>
      <c r="L374" s="30"/>
      <c r="M374" s="30"/>
      <c r="O374" s="32"/>
      <c r="P374" s="32"/>
    </row>
    <row r="375">
      <c r="B375" s="35"/>
      <c r="G375" s="30"/>
      <c r="H375" s="30"/>
      <c r="L375" s="30"/>
      <c r="M375" s="30"/>
      <c r="O375" s="32"/>
      <c r="P375" s="32"/>
    </row>
    <row r="376">
      <c r="B376" s="35"/>
      <c r="G376" s="30"/>
      <c r="H376" s="30"/>
      <c r="L376" s="30"/>
      <c r="M376" s="30"/>
      <c r="O376" s="32"/>
      <c r="P376" s="32"/>
    </row>
    <row r="377">
      <c r="B377" s="35"/>
      <c r="G377" s="30"/>
      <c r="H377" s="30"/>
      <c r="L377" s="30"/>
      <c r="M377" s="30"/>
      <c r="O377" s="32"/>
      <c r="P377" s="32"/>
    </row>
    <row r="378">
      <c r="B378" s="35"/>
      <c r="G378" s="30"/>
      <c r="H378" s="30"/>
      <c r="L378" s="30"/>
      <c r="M378" s="30"/>
      <c r="O378" s="32"/>
      <c r="P378" s="32"/>
    </row>
    <row r="379">
      <c r="B379" s="35"/>
      <c r="G379" s="30"/>
      <c r="H379" s="30"/>
      <c r="L379" s="30"/>
      <c r="M379" s="30"/>
      <c r="O379" s="32"/>
      <c r="P379" s="32"/>
    </row>
    <row r="380">
      <c r="B380" s="35"/>
      <c r="G380" s="30"/>
      <c r="H380" s="30"/>
      <c r="L380" s="30"/>
      <c r="M380" s="30"/>
      <c r="O380" s="32"/>
      <c r="P380" s="32"/>
    </row>
    <row r="381">
      <c r="B381" s="35"/>
      <c r="G381" s="30"/>
      <c r="H381" s="30"/>
      <c r="L381" s="30"/>
      <c r="M381" s="30"/>
      <c r="O381" s="32"/>
      <c r="P381" s="32"/>
    </row>
    <row r="382">
      <c r="B382" s="35"/>
      <c r="G382" s="30"/>
      <c r="H382" s="30"/>
      <c r="L382" s="30"/>
      <c r="M382" s="30"/>
      <c r="O382" s="32"/>
      <c r="P382" s="32"/>
    </row>
    <row r="383">
      <c r="B383" s="35"/>
      <c r="G383" s="30"/>
      <c r="H383" s="30"/>
      <c r="L383" s="30"/>
      <c r="M383" s="30"/>
      <c r="O383" s="32"/>
      <c r="P383" s="32"/>
    </row>
    <row r="384">
      <c r="B384" s="35"/>
      <c r="G384" s="30"/>
      <c r="H384" s="30"/>
      <c r="L384" s="30"/>
      <c r="M384" s="30"/>
      <c r="O384" s="32"/>
      <c r="P384" s="32"/>
    </row>
    <row r="385">
      <c r="B385" s="35"/>
      <c r="G385" s="30"/>
      <c r="H385" s="30"/>
      <c r="L385" s="30"/>
      <c r="M385" s="30"/>
      <c r="O385" s="32"/>
      <c r="P385" s="32"/>
    </row>
    <row r="386">
      <c r="B386" s="35"/>
      <c r="G386" s="30"/>
      <c r="H386" s="30"/>
      <c r="L386" s="30"/>
      <c r="M386" s="30"/>
      <c r="O386" s="32"/>
      <c r="P386" s="32"/>
    </row>
    <row r="387">
      <c r="B387" s="35"/>
      <c r="G387" s="30"/>
      <c r="H387" s="30"/>
      <c r="L387" s="30"/>
      <c r="M387" s="30"/>
      <c r="O387" s="32"/>
      <c r="P387" s="32"/>
    </row>
    <row r="388">
      <c r="B388" s="35"/>
      <c r="G388" s="30"/>
      <c r="H388" s="30"/>
      <c r="L388" s="30"/>
      <c r="M388" s="30"/>
      <c r="O388" s="32"/>
      <c r="P388" s="32"/>
    </row>
    <row r="389">
      <c r="B389" s="35"/>
      <c r="G389" s="30"/>
      <c r="H389" s="30"/>
      <c r="L389" s="30"/>
      <c r="M389" s="30"/>
      <c r="O389" s="32"/>
      <c r="P389" s="32"/>
    </row>
    <row r="390">
      <c r="B390" s="35"/>
      <c r="G390" s="30"/>
      <c r="H390" s="30"/>
      <c r="L390" s="30"/>
      <c r="M390" s="30"/>
      <c r="O390" s="32"/>
      <c r="P390" s="32"/>
    </row>
    <row r="391">
      <c r="B391" s="35"/>
      <c r="G391" s="30"/>
      <c r="H391" s="30"/>
      <c r="L391" s="30"/>
      <c r="M391" s="30"/>
      <c r="O391" s="32"/>
      <c r="P391" s="32"/>
    </row>
    <row r="392">
      <c r="B392" s="35"/>
      <c r="G392" s="30"/>
      <c r="H392" s="30"/>
      <c r="L392" s="30"/>
      <c r="M392" s="30"/>
      <c r="O392" s="32"/>
      <c r="P392" s="32"/>
    </row>
    <row r="393">
      <c r="B393" s="35"/>
      <c r="G393" s="30"/>
      <c r="H393" s="30"/>
      <c r="L393" s="30"/>
      <c r="M393" s="30"/>
      <c r="O393" s="32"/>
      <c r="P393" s="32"/>
    </row>
    <row r="394">
      <c r="B394" s="35"/>
      <c r="G394" s="30"/>
      <c r="H394" s="30"/>
      <c r="L394" s="30"/>
      <c r="M394" s="30"/>
      <c r="O394" s="32"/>
      <c r="P394" s="32"/>
    </row>
    <row r="395">
      <c r="B395" s="35"/>
      <c r="G395" s="30"/>
      <c r="H395" s="30"/>
      <c r="L395" s="30"/>
      <c r="M395" s="30"/>
      <c r="O395" s="32"/>
      <c r="P395" s="32"/>
    </row>
    <row r="396">
      <c r="B396" s="35"/>
      <c r="G396" s="30"/>
      <c r="H396" s="30"/>
      <c r="L396" s="30"/>
      <c r="M396" s="30"/>
      <c r="O396" s="32"/>
      <c r="P396" s="32"/>
    </row>
    <row r="397">
      <c r="B397" s="35"/>
      <c r="G397" s="30"/>
      <c r="H397" s="30"/>
      <c r="L397" s="30"/>
      <c r="M397" s="30"/>
      <c r="O397" s="32"/>
      <c r="P397" s="32"/>
    </row>
    <row r="398">
      <c r="B398" s="35"/>
      <c r="G398" s="30"/>
      <c r="H398" s="30"/>
      <c r="L398" s="30"/>
      <c r="M398" s="30"/>
      <c r="O398" s="32"/>
      <c r="P398" s="32"/>
    </row>
    <row r="399">
      <c r="B399" s="35"/>
      <c r="G399" s="30"/>
      <c r="H399" s="30"/>
      <c r="L399" s="30"/>
      <c r="M399" s="30"/>
      <c r="O399" s="32"/>
      <c r="P399" s="32"/>
    </row>
    <row r="400">
      <c r="B400" s="35"/>
      <c r="G400" s="30"/>
      <c r="H400" s="30"/>
      <c r="L400" s="30"/>
      <c r="M400" s="30"/>
      <c r="O400" s="32"/>
      <c r="P400" s="32"/>
    </row>
    <row r="401">
      <c r="B401" s="35"/>
      <c r="G401" s="30"/>
      <c r="H401" s="30"/>
      <c r="L401" s="30"/>
      <c r="M401" s="30"/>
      <c r="O401" s="32"/>
      <c r="P401" s="32"/>
    </row>
    <row r="402">
      <c r="B402" s="35"/>
      <c r="G402" s="30"/>
      <c r="H402" s="30"/>
      <c r="L402" s="30"/>
      <c r="M402" s="30"/>
      <c r="O402" s="32"/>
      <c r="P402" s="32"/>
    </row>
    <row r="403">
      <c r="B403" s="35"/>
      <c r="G403" s="30"/>
      <c r="H403" s="30"/>
      <c r="L403" s="30"/>
      <c r="M403" s="30"/>
      <c r="O403" s="32"/>
      <c r="P403" s="32"/>
    </row>
    <row r="404">
      <c r="B404" s="35"/>
      <c r="G404" s="30"/>
      <c r="H404" s="30"/>
      <c r="L404" s="30"/>
      <c r="M404" s="30"/>
      <c r="O404" s="32"/>
      <c r="P404" s="32"/>
    </row>
    <row r="405">
      <c r="B405" s="35"/>
      <c r="G405" s="30"/>
      <c r="H405" s="30"/>
      <c r="L405" s="30"/>
      <c r="M405" s="30"/>
      <c r="O405" s="32"/>
      <c r="P405" s="32"/>
    </row>
    <row r="406">
      <c r="B406" s="35"/>
      <c r="G406" s="30"/>
      <c r="H406" s="30"/>
      <c r="L406" s="30"/>
      <c r="M406" s="30"/>
      <c r="O406" s="32"/>
      <c r="P406" s="32"/>
    </row>
    <row r="407">
      <c r="B407" s="35"/>
      <c r="G407" s="30"/>
      <c r="H407" s="30"/>
      <c r="L407" s="30"/>
      <c r="M407" s="30"/>
      <c r="O407" s="32"/>
      <c r="P407" s="32"/>
    </row>
    <row r="408">
      <c r="B408" s="35"/>
      <c r="G408" s="30"/>
      <c r="H408" s="30"/>
      <c r="L408" s="30"/>
      <c r="M408" s="30"/>
      <c r="O408" s="32"/>
      <c r="P408" s="32"/>
    </row>
    <row r="409">
      <c r="B409" s="35"/>
      <c r="G409" s="30"/>
      <c r="H409" s="30"/>
      <c r="L409" s="30"/>
      <c r="M409" s="30"/>
      <c r="O409" s="32"/>
      <c r="P409" s="32"/>
    </row>
    <row r="410">
      <c r="B410" s="35"/>
      <c r="G410" s="30"/>
      <c r="H410" s="30"/>
      <c r="L410" s="30"/>
      <c r="M410" s="30"/>
      <c r="O410" s="32"/>
      <c r="P410" s="32"/>
    </row>
    <row r="411">
      <c r="B411" s="35"/>
      <c r="G411" s="30"/>
      <c r="H411" s="30"/>
      <c r="L411" s="30"/>
      <c r="M411" s="30"/>
      <c r="O411" s="32"/>
      <c r="P411" s="32"/>
    </row>
    <row r="412">
      <c r="B412" s="35"/>
      <c r="G412" s="30"/>
      <c r="H412" s="30"/>
      <c r="L412" s="30"/>
      <c r="M412" s="30"/>
      <c r="O412" s="32"/>
      <c r="P412" s="32"/>
    </row>
    <row r="413">
      <c r="B413" s="35"/>
      <c r="G413" s="30"/>
      <c r="H413" s="30"/>
      <c r="L413" s="30"/>
      <c r="M413" s="30"/>
      <c r="O413" s="32"/>
      <c r="P413" s="32"/>
    </row>
    <row r="414">
      <c r="B414" s="35"/>
      <c r="G414" s="30"/>
      <c r="H414" s="30"/>
      <c r="L414" s="30"/>
      <c r="M414" s="30"/>
      <c r="O414" s="32"/>
      <c r="P414" s="32"/>
    </row>
    <row r="415">
      <c r="B415" s="35"/>
      <c r="G415" s="30"/>
      <c r="H415" s="30"/>
      <c r="L415" s="30"/>
      <c r="M415" s="30"/>
      <c r="O415" s="32"/>
      <c r="P415" s="32"/>
    </row>
    <row r="416">
      <c r="B416" s="35"/>
      <c r="G416" s="30"/>
      <c r="H416" s="30"/>
      <c r="L416" s="30"/>
      <c r="M416" s="30"/>
      <c r="O416" s="32"/>
      <c r="P416" s="32"/>
    </row>
    <row r="417">
      <c r="B417" s="35"/>
      <c r="G417" s="30"/>
      <c r="H417" s="30"/>
      <c r="L417" s="30"/>
      <c r="M417" s="30"/>
      <c r="O417" s="32"/>
      <c r="P417" s="32"/>
    </row>
    <row r="418">
      <c r="B418" s="35"/>
      <c r="G418" s="30"/>
      <c r="H418" s="30"/>
      <c r="L418" s="30"/>
      <c r="M418" s="30"/>
      <c r="O418" s="32"/>
      <c r="P418" s="32"/>
    </row>
    <row r="419">
      <c r="B419" s="35"/>
      <c r="G419" s="30"/>
      <c r="H419" s="30"/>
      <c r="L419" s="30"/>
      <c r="M419" s="30"/>
      <c r="O419" s="32"/>
      <c r="P419" s="32"/>
    </row>
    <row r="420">
      <c r="B420" s="35"/>
      <c r="G420" s="30"/>
      <c r="H420" s="30"/>
      <c r="L420" s="30"/>
      <c r="M420" s="30"/>
      <c r="O420" s="32"/>
      <c r="P420" s="32"/>
    </row>
    <row r="421">
      <c r="B421" s="35"/>
      <c r="G421" s="30"/>
      <c r="H421" s="30"/>
      <c r="L421" s="30"/>
      <c r="M421" s="30"/>
      <c r="O421" s="32"/>
      <c r="P421" s="32"/>
    </row>
    <row r="422">
      <c r="B422" s="35"/>
      <c r="G422" s="30"/>
      <c r="H422" s="30"/>
      <c r="L422" s="30"/>
      <c r="M422" s="30"/>
      <c r="O422" s="32"/>
      <c r="P422" s="32"/>
    </row>
    <row r="423">
      <c r="B423" s="35"/>
      <c r="G423" s="30"/>
      <c r="H423" s="30"/>
      <c r="L423" s="30"/>
      <c r="M423" s="30"/>
      <c r="O423" s="32"/>
      <c r="P423" s="32"/>
    </row>
    <row r="424">
      <c r="B424" s="35"/>
      <c r="G424" s="30"/>
      <c r="H424" s="30"/>
      <c r="L424" s="30"/>
      <c r="M424" s="30"/>
      <c r="O424" s="32"/>
      <c r="P424" s="32"/>
    </row>
    <row r="425">
      <c r="B425" s="35"/>
      <c r="G425" s="30"/>
      <c r="H425" s="30"/>
      <c r="L425" s="30"/>
      <c r="M425" s="30"/>
      <c r="O425" s="32"/>
      <c r="P425" s="32"/>
    </row>
    <row r="426">
      <c r="B426" s="35"/>
      <c r="G426" s="30"/>
      <c r="H426" s="30"/>
      <c r="L426" s="30"/>
      <c r="M426" s="30"/>
      <c r="O426" s="32"/>
      <c r="P426" s="32"/>
    </row>
    <row r="427">
      <c r="B427" s="35"/>
      <c r="G427" s="30"/>
      <c r="H427" s="30"/>
      <c r="L427" s="30"/>
      <c r="M427" s="30"/>
      <c r="O427" s="32"/>
      <c r="P427" s="32"/>
    </row>
    <row r="428">
      <c r="B428" s="35"/>
      <c r="G428" s="30"/>
      <c r="H428" s="30"/>
      <c r="L428" s="30"/>
      <c r="M428" s="30"/>
      <c r="O428" s="32"/>
      <c r="P428" s="32"/>
    </row>
    <row r="429">
      <c r="B429" s="35"/>
      <c r="G429" s="30"/>
      <c r="H429" s="30"/>
      <c r="L429" s="30"/>
      <c r="M429" s="30"/>
      <c r="O429" s="32"/>
      <c r="P429" s="32"/>
    </row>
    <row r="430">
      <c r="B430" s="35"/>
      <c r="G430" s="30"/>
      <c r="H430" s="30"/>
      <c r="L430" s="30"/>
      <c r="M430" s="30"/>
      <c r="O430" s="32"/>
      <c r="P430" s="32"/>
    </row>
    <row r="431">
      <c r="B431" s="35"/>
      <c r="G431" s="30"/>
      <c r="H431" s="30"/>
      <c r="L431" s="30"/>
      <c r="M431" s="30"/>
      <c r="O431" s="32"/>
      <c r="P431" s="32"/>
    </row>
    <row r="432">
      <c r="B432" s="35"/>
      <c r="G432" s="30"/>
      <c r="H432" s="30"/>
      <c r="L432" s="30"/>
      <c r="M432" s="30"/>
      <c r="O432" s="32"/>
      <c r="P432" s="32"/>
    </row>
    <row r="433">
      <c r="B433" s="35"/>
      <c r="G433" s="30"/>
      <c r="H433" s="30"/>
      <c r="L433" s="30"/>
      <c r="M433" s="30"/>
      <c r="O433" s="32"/>
      <c r="P433" s="32"/>
    </row>
    <row r="434">
      <c r="B434" s="35"/>
      <c r="G434" s="30"/>
      <c r="H434" s="30"/>
      <c r="L434" s="30"/>
      <c r="M434" s="30"/>
      <c r="O434" s="32"/>
      <c r="P434" s="32"/>
    </row>
    <row r="435">
      <c r="B435" s="35"/>
      <c r="G435" s="30"/>
      <c r="H435" s="30"/>
      <c r="L435" s="30"/>
      <c r="M435" s="30"/>
      <c r="O435" s="32"/>
      <c r="P435" s="32"/>
    </row>
    <row r="436">
      <c r="B436" s="35"/>
      <c r="G436" s="30"/>
      <c r="H436" s="30"/>
      <c r="L436" s="30"/>
      <c r="M436" s="30"/>
      <c r="O436" s="32"/>
      <c r="P436" s="32"/>
    </row>
    <row r="437">
      <c r="B437" s="35"/>
      <c r="G437" s="30"/>
      <c r="H437" s="30"/>
      <c r="L437" s="30"/>
      <c r="M437" s="30"/>
      <c r="O437" s="32"/>
      <c r="P437" s="32"/>
    </row>
    <row r="438">
      <c r="B438" s="35"/>
      <c r="G438" s="30"/>
      <c r="H438" s="30"/>
      <c r="L438" s="30"/>
      <c r="M438" s="30"/>
      <c r="O438" s="32"/>
      <c r="P438" s="32"/>
    </row>
    <row r="439">
      <c r="B439" s="35"/>
      <c r="G439" s="30"/>
      <c r="H439" s="30"/>
      <c r="L439" s="30"/>
      <c r="M439" s="30"/>
      <c r="O439" s="32"/>
      <c r="P439" s="32"/>
    </row>
    <row r="440">
      <c r="B440" s="35"/>
      <c r="G440" s="30"/>
      <c r="H440" s="30"/>
      <c r="L440" s="30"/>
      <c r="M440" s="30"/>
      <c r="O440" s="32"/>
      <c r="P440" s="32"/>
    </row>
    <row r="441">
      <c r="B441" s="35"/>
      <c r="G441" s="30"/>
      <c r="H441" s="30"/>
      <c r="L441" s="30"/>
      <c r="M441" s="30"/>
      <c r="O441" s="32"/>
      <c r="P441" s="32"/>
    </row>
    <row r="442">
      <c r="B442" s="35"/>
      <c r="G442" s="30"/>
      <c r="H442" s="30"/>
      <c r="L442" s="30"/>
      <c r="M442" s="30"/>
      <c r="O442" s="32"/>
      <c r="P442" s="32"/>
    </row>
    <row r="443">
      <c r="B443" s="35"/>
      <c r="G443" s="30"/>
      <c r="H443" s="30"/>
      <c r="L443" s="30"/>
      <c r="M443" s="30"/>
      <c r="O443" s="32"/>
      <c r="P443" s="32"/>
    </row>
    <row r="444">
      <c r="B444" s="35"/>
      <c r="G444" s="30"/>
      <c r="H444" s="30"/>
      <c r="L444" s="30"/>
      <c r="M444" s="30"/>
      <c r="O444" s="32"/>
      <c r="P444" s="32"/>
    </row>
    <row r="445">
      <c r="B445" s="35"/>
      <c r="G445" s="30"/>
      <c r="H445" s="30"/>
      <c r="L445" s="30"/>
      <c r="M445" s="30"/>
      <c r="O445" s="32"/>
      <c r="P445" s="32"/>
    </row>
    <row r="446">
      <c r="B446" s="35"/>
      <c r="G446" s="30"/>
      <c r="H446" s="30"/>
      <c r="L446" s="30"/>
      <c r="M446" s="30"/>
      <c r="O446" s="32"/>
      <c r="P446" s="32"/>
    </row>
    <row r="447">
      <c r="B447" s="35"/>
      <c r="G447" s="30"/>
      <c r="H447" s="30"/>
      <c r="L447" s="30"/>
      <c r="M447" s="30"/>
      <c r="O447" s="32"/>
      <c r="P447" s="32"/>
    </row>
    <row r="448">
      <c r="B448" s="35"/>
      <c r="G448" s="30"/>
      <c r="H448" s="30"/>
      <c r="L448" s="30"/>
      <c r="M448" s="30"/>
      <c r="O448" s="32"/>
      <c r="P448" s="32"/>
    </row>
    <row r="449">
      <c r="B449" s="35"/>
      <c r="G449" s="30"/>
      <c r="H449" s="30"/>
      <c r="L449" s="30"/>
      <c r="M449" s="30"/>
      <c r="O449" s="32"/>
      <c r="P449" s="32"/>
    </row>
    <row r="450">
      <c r="B450" s="35"/>
      <c r="G450" s="30"/>
      <c r="H450" s="30"/>
      <c r="L450" s="30"/>
      <c r="M450" s="30"/>
      <c r="O450" s="32"/>
      <c r="P450" s="32"/>
    </row>
    <row r="451">
      <c r="B451" s="35"/>
      <c r="G451" s="30"/>
      <c r="H451" s="30"/>
      <c r="L451" s="30"/>
      <c r="M451" s="30"/>
      <c r="O451" s="32"/>
      <c r="P451" s="32"/>
    </row>
    <row r="452">
      <c r="B452" s="35"/>
      <c r="G452" s="30"/>
      <c r="H452" s="30"/>
      <c r="L452" s="30"/>
      <c r="M452" s="30"/>
      <c r="O452" s="32"/>
      <c r="P452" s="32"/>
    </row>
    <row r="453">
      <c r="B453" s="35"/>
      <c r="G453" s="30"/>
      <c r="H453" s="30"/>
      <c r="L453" s="30"/>
      <c r="M453" s="30"/>
      <c r="O453" s="32"/>
      <c r="P453" s="32"/>
    </row>
    <row r="454">
      <c r="B454" s="35"/>
      <c r="G454" s="30"/>
      <c r="H454" s="30"/>
      <c r="L454" s="30"/>
      <c r="M454" s="30"/>
      <c r="O454" s="32"/>
      <c r="P454" s="32"/>
    </row>
    <row r="455">
      <c r="B455" s="35"/>
      <c r="G455" s="30"/>
      <c r="H455" s="30"/>
      <c r="L455" s="30"/>
      <c r="M455" s="30"/>
      <c r="O455" s="32"/>
      <c r="P455" s="32"/>
    </row>
    <row r="456">
      <c r="B456" s="35"/>
      <c r="G456" s="30"/>
      <c r="H456" s="30"/>
      <c r="L456" s="30"/>
      <c r="M456" s="30"/>
      <c r="O456" s="32"/>
      <c r="P456" s="32"/>
    </row>
    <row r="457">
      <c r="B457" s="35"/>
      <c r="G457" s="30"/>
      <c r="H457" s="30"/>
      <c r="L457" s="30"/>
      <c r="M457" s="30"/>
      <c r="O457" s="32"/>
      <c r="P457" s="32"/>
    </row>
    <row r="458">
      <c r="B458" s="35"/>
      <c r="G458" s="30"/>
      <c r="H458" s="30"/>
      <c r="L458" s="30"/>
      <c r="M458" s="30"/>
      <c r="O458" s="32"/>
      <c r="P458" s="32"/>
    </row>
    <row r="459">
      <c r="B459" s="35"/>
      <c r="G459" s="30"/>
      <c r="H459" s="30"/>
      <c r="L459" s="30"/>
      <c r="M459" s="30"/>
      <c r="O459" s="32"/>
      <c r="P459" s="32"/>
    </row>
    <row r="460">
      <c r="B460" s="35"/>
      <c r="G460" s="30"/>
      <c r="H460" s="30"/>
      <c r="L460" s="30"/>
      <c r="M460" s="30"/>
      <c r="O460" s="32"/>
      <c r="P460" s="32"/>
    </row>
    <row r="461">
      <c r="B461" s="35"/>
      <c r="G461" s="30"/>
      <c r="H461" s="30"/>
      <c r="L461" s="30"/>
      <c r="M461" s="30"/>
      <c r="O461" s="32"/>
      <c r="P461" s="32"/>
    </row>
    <row r="462">
      <c r="B462" s="35"/>
      <c r="G462" s="30"/>
      <c r="H462" s="30"/>
      <c r="L462" s="30"/>
      <c r="M462" s="30"/>
      <c r="O462" s="32"/>
      <c r="P462" s="32"/>
    </row>
    <row r="463">
      <c r="B463" s="35"/>
      <c r="G463" s="30"/>
      <c r="H463" s="30"/>
      <c r="L463" s="30"/>
      <c r="M463" s="30"/>
      <c r="O463" s="32"/>
      <c r="P463" s="32"/>
    </row>
    <row r="464">
      <c r="B464" s="35"/>
      <c r="G464" s="30"/>
      <c r="H464" s="30"/>
      <c r="L464" s="30"/>
      <c r="M464" s="30"/>
      <c r="O464" s="32"/>
      <c r="P464" s="32"/>
    </row>
    <row r="465">
      <c r="B465" s="35"/>
      <c r="G465" s="30"/>
      <c r="H465" s="30"/>
      <c r="L465" s="30"/>
      <c r="M465" s="30"/>
      <c r="O465" s="32"/>
      <c r="P465" s="32"/>
    </row>
    <row r="466">
      <c r="B466" s="35"/>
      <c r="G466" s="30"/>
      <c r="H466" s="30"/>
      <c r="L466" s="30"/>
      <c r="M466" s="30"/>
      <c r="O466" s="32"/>
      <c r="P466" s="32"/>
    </row>
    <row r="467">
      <c r="B467" s="35"/>
      <c r="G467" s="30"/>
      <c r="H467" s="30"/>
      <c r="L467" s="30"/>
      <c r="M467" s="30"/>
      <c r="O467" s="32"/>
      <c r="P467" s="32"/>
    </row>
    <row r="468">
      <c r="B468" s="35"/>
      <c r="G468" s="30"/>
      <c r="H468" s="30"/>
      <c r="L468" s="30"/>
      <c r="M468" s="30"/>
      <c r="O468" s="32"/>
      <c r="P468" s="32"/>
    </row>
    <row r="469">
      <c r="B469" s="35"/>
      <c r="G469" s="30"/>
      <c r="H469" s="30"/>
      <c r="L469" s="30"/>
      <c r="M469" s="30"/>
      <c r="O469" s="32"/>
      <c r="P469" s="32"/>
    </row>
    <row r="470">
      <c r="B470" s="35"/>
      <c r="G470" s="30"/>
      <c r="H470" s="30"/>
      <c r="L470" s="30"/>
      <c r="M470" s="30"/>
      <c r="O470" s="32"/>
      <c r="P470" s="32"/>
    </row>
    <row r="471">
      <c r="B471" s="35"/>
      <c r="G471" s="30"/>
      <c r="H471" s="30"/>
      <c r="L471" s="30"/>
      <c r="M471" s="30"/>
      <c r="O471" s="32"/>
      <c r="P471" s="32"/>
    </row>
    <row r="472">
      <c r="B472" s="35"/>
      <c r="G472" s="30"/>
      <c r="H472" s="30"/>
      <c r="L472" s="30"/>
      <c r="M472" s="30"/>
      <c r="O472" s="32"/>
      <c r="P472" s="32"/>
    </row>
    <row r="473">
      <c r="B473" s="35"/>
      <c r="G473" s="30"/>
      <c r="H473" s="30"/>
      <c r="L473" s="30"/>
      <c r="M473" s="30"/>
      <c r="O473" s="32"/>
      <c r="P473" s="32"/>
    </row>
    <row r="474">
      <c r="B474" s="35"/>
      <c r="G474" s="30"/>
      <c r="H474" s="30"/>
      <c r="L474" s="30"/>
      <c r="M474" s="30"/>
      <c r="O474" s="32"/>
      <c r="P474" s="32"/>
    </row>
    <row r="475">
      <c r="B475" s="35"/>
      <c r="G475" s="30"/>
      <c r="H475" s="30"/>
      <c r="L475" s="30"/>
      <c r="M475" s="30"/>
      <c r="O475" s="32"/>
      <c r="P475" s="32"/>
    </row>
    <row r="476">
      <c r="B476" s="35"/>
      <c r="G476" s="30"/>
      <c r="H476" s="30"/>
      <c r="L476" s="30"/>
      <c r="M476" s="30"/>
      <c r="O476" s="32"/>
      <c r="P476" s="32"/>
    </row>
    <row r="477">
      <c r="B477" s="35"/>
      <c r="G477" s="30"/>
      <c r="H477" s="30"/>
      <c r="L477" s="30"/>
      <c r="M477" s="30"/>
      <c r="O477" s="32"/>
      <c r="P477" s="32"/>
    </row>
    <row r="478">
      <c r="B478" s="35"/>
      <c r="G478" s="30"/>
      <c r="H478" s="30"/>
      <c r="L478" s="30"/>
      <c r="M478" s="30"/>
      <c r="O478" s="32"/>
      <c r="P478" s="32"/>
    </row>
    <row r="479">
      <c r="B479" s="35"/>
      <c r="G479" s="30"/>
      <c r="H479" s="30"/>
      <c r="L479" s="30"/>
      <c r="M479" s="30"/>
      <c r="O479" s="32"/>
      <c r="P479" s="32"/>
    </row>
    <row r="480">
      <c r="B480" s="35"/>
      <c r="G480" s="30"/>
      <c r="H480" s="30"/>
      <c r="L480" s="30"/>
      <c r="M480" s="30"/>
      <c r="O480" s="32"/>
      <c r="P480" s="32"/>
    </row>
    <row r="481">
      <c r="B481" s="35"/>
      <c r="G481" s="30"/>
      <c r="H481" s="30"/>
      <c r="L481" s="30"/>
      <c r="M481" s="30"/>
      <c r="O481" s="32"/>
      <c r="P481" s="32"/>
    </row>
    <row r="482">
      <c r="B482" s="35"/>
      <c r="G482" s="30"/>
      <c r="H482" s="30"/>
      <c r="L482" s="30"/>
      <c r="M482" s="30"/>
      <c r="O482" s="32"/>
      <c r="P482" s="32"/>
    </row>
    <row r="483">
      <c r="B483" s="35"/>
      <c r="G483" s="30"/>
      <c r="H483" s="30"/>
      <c r="L483" s="30"/>
      <c r="M483" s="30"/>
      <c r="O483" s="32"/>
      <c r="P483" s="32"/>
    </row>
    <row r="484">
      <c r="B484" s="35"/>
      <c r="G484" s="30"/>
      <c r="H484" s="30"/>
      <c r="L484" s="30"/>
      <c r="M484" s="30"/>
      <c r="O484" s="32"/>
      <c r="P484" s="32"/>
    </row>
    <row r="485">
      <c r="B485" s="35"/>
      <c r="G485" s="30"/>
      <c r="H485" s="30"/>
      <c r="L485" s="30"/>
      <c r="M485" s="30"/>
      <c r="O485" s="32"/>
      <c r="P485" s="32"/>
    </row>
    <row r="486">
      <c r="B486" s="35"/>
      <c r="G486" s="30"/>
      <c r="H486" s="30"/>
      <c r="L486" s="30"/>
      <c r="M486" s="30"/>
      <c r="O486" s="32"/>
      <c r="P486" s="32"/>
    </row>
    <row r="487">
      <c r="B487" s="35"/>
      <c r="G487" s="30"/>
      <c r="H487" s="30"/>
      <c r="L487" s="30"/>
      <c r="M487" s="30"/>
      <c r="O487" s="32"/>
      <c r="P487" s="32"/>
    </row>
    <row r="488">
      <c r="B488" s="35"/>
      <c r="G488" s="30"/>
      <c r="H488" s="30"/>
      <c r="L488" s="30"/>
      <c r="M488" s="30"/>
      <c r="O488" s="32"/>
      <c r="P488" s="32"/>
    </row>
    <row r="489">
      <c r="B489" s="35"/>
      <c r="G489" s="30"/>
      <c r="H489" s="30"/>
      <c r="L489" s="30"/>
      <c r="M489" s="30"/>
      <c r="O489" s="32"/>
      <c r="P489" s="32"/>
    </row>
    <row r="490">
      <c r="B490" s="35"/>
      <c r="G490" s="30"/>
      <c r="H490" s="30"/>
      <c r="L490" s="30"/>
      <c r="M490" s="30"/>
      <c r="O490" s="32"/>
      <c r="P490" s="32"/>
    </row>
    <row r="491">
      <c r="B491" s="35"/>
      <c r="G491" s="30"/>
      <c r="H491" s="30"/>
      <c r="L491" s="30"/>
      <c r="M491" s="30"/>
      <c r="O491" s="32"/>
      <c r="P491" s="32"/>
    </row>
    <row r="492">
      <c r="B492" s="35"/>
      <c r="G492" s="30"/>
      <c r="H492" s="30"/>
      <c r="L492" s="30"/>
      <c r="M492" s="30"/>
      <c r="O492" s="32"/>
      <c r="P492" s="32"/>
    </row>
    <row r="493">
      <c r="B493" s="35"/>
      <c r="G493" s="30"/>
      <c r="H493" s="30"/>
      <c r="L493" s="30"/>
      <c r="M493" s="30"/>
      <c r="O493" s="32"/>
      <c r="P493" s="32"/>
    </row>
    <row r="494">
      <c r="B494" s="35"/>
      <c r="G494" s="30"/>
      <c r="H494" s="30"/>
      <c r="L494" s="30"/>
      <c r="M494" s="30"/>
      <c r="O494" s="32"/>
      <c r="P494" s="32"/>
    </row>
    <row r="495">
      <c r="B495" s="35"/>
      <c r="G495" s="30"/>
      <c r="H495" s="30"/>
      <c r="L495" s="30"/>
      <c r="M495" s="30"/>
      <c r="O495" s="32"/>
      <c r="P495" s="32"/>
    </row>
    <row r="496">
      <c r="B496" s="35"/>
      <c r="G496" s="30"/>
      <c r="H496" s="30"/>
      <c r="L496" s="30"/>
      <c r="M496" s="30"/>
      <c r="O496" s="32"/>
      <c r="P496" s="32"/>
    </row>
    <row r="497">
      <c r="B497" s="35"/>
      <c r="G497" s="30"/>
      <c r="H497" s="30"/>
      <c r="L497" s="30"/>
      <c r="M497" s="30"/>
      <c r="O497" s="32"/>
      <c r="P497" s="32"/>
    </row>
    <row r="498">
      <c r="B498" s="35"/>
      <c r="G498" s="30"/>
      <c r="H498" s="30"/>
      <c r="L498" s="30"/>
      <c r="M498" s="30"/>
      <c r="O498" s="32"/>
      <c r="P498" s="32"/>
    </row>
    <row r="499">
      <c r="B499" s="35"/>
      <c r="G499" s="30"/>
      <c r="H499" s="30"/>
      <c r="L499" s="30"/>
      <c r="M499" s="30"/>
      <c r="O499" s="32"/>
      <c r="P499" s="32"/>
    </row>
    <row r="500">
      <c r="B500" s="35"/>
      <c r="G500" s="30"/>
      <c r="H500" s="30"/>
      <c r="L500" s="30"/>
      <c r="M500" s="30"/>
      <c r="O500" s="32"/>
      <c r="P500" s="32"/>
    </row>
    <row r="501">
      <c r="B501" s="35"/>
      <c r="G501" s="30"/>
      <c r="H501" s="30"/>
      <c r="L501" s="30"/>
      <c r="M501" s="30"/>
      <c r="O501" s="32"/>
      <c r="P501" s="32"/>
    </row>
    <row r="502">
      <c r="B502" s="35"/>
      <c r="G502" s="30"/>
      <c r="H502" s="30"/>
      <c r="L502" s="30"/>
      <c r="M502" s="30"/>
      <c r="O502" s="32"/>
      <c r="P502" s="32"/>
    </row>
    <row r="503">
      <c r="B503" s="35"/>
      <c r="G503" s="30"/>
      <c r="H503" s="30"/>
      <c r="L503" s="30"/>
      <c r="M503" s="30"/>
      <c r="O503" s="32"/>
      <c r="P503" s="32"/>
    </row>
    <row r="504">
      <c r="B504" s="35"/>
      <c r="G504" s="30"/>
      <c r="H504" s="30"/>
      <c r="L504" s="30"/>
      <c r="M504" s="30"/>
      <c r="O504" s="32"/>
      <c r="P504" s="32"/>
    </row>
    <row r="505">
      <c r="B505" s="35"/>
      <c r="G505" s="30"/>
      <c r="H505" s="30"/>
      <c r="L505" s="30"/>
      <c r="M505" s="30"/>
      <c r="O505" s="32"/>
      <c r="P505" s="32"/>
    </row>
    <row r="506">
      <c r="B506" s="35"/>
      <c r="G506" s="30"/>
      <c r="H506" s="30"/>
      <c r="L506" s="30"/>
      <c r="M506" s="30"/>
      <c r="O506" s="32"/>
      <c r="P506" s="32"/>
    </row>
    <row r="507">
      <c r="B507" s="35"/>
      <c r="G507" s="30"/>
      <c r="H507" s="30"/>
      <c r="L507" s="30"/>
      <c r="M507" s="30"/>
      <c r="O507" s="32"/>
      <c r="P507" s="32"/>
    </row>
    <row r="508">
      <c r="B508" s="35"/>
      <c r="G508" s="30"/>
      <c r="H508" s="30"/>
      <c r="L508" s="30"/>
      <c r="M508" s="30"/>
      <c r="O508" s="32"/>
      <c r="P508" s="32"/>
    </row>
    <row r="509">
      <c r="B509" s="35"/>
      <c r="G509" s="30"/>
      <c r="H509" s="30"/>
      <c r="L509" s="30"/>
      <c r="M509" s="30"/>
      <c r="O509" s="32"/>
      <c r="P509" s="32"/>
    </row>
    <row r="510">
      <c r="B510" s="35"/>
      <c r="G510" s="30"/>
      <c r="H510" s="30"/>
      <c r="L510" s="30"/>
      <c r="M510" s="30"/>
      <c r="O510" s="32"/>
      <c r="P510" s="32"/>
    </row>
    <row r="511">
      <c r="B511" s="35"/>
      <c r="G511" s="30"/>
      <c r="H511" s="30"/>
      <c r="L511" s="30"/>
      <c r="M511" s="30"/>
      <c r="O511" s="32"/>
      <c r="P511" s="32"/>
    </row>
    <row r="512">
      <c r="B512" s="35"/>
      <c r="G512" s="30"/>
      <c r="H512" s="30"/>
      <c r="L512" s="30"/>
      <c r="M512" s="30"/>
      <c r="O512" s="32"/>
      <c r="P512" s="32"/>
    </row>
    <row r="513">
      <c r="B513" s="35"/>
      <c r="G513" s="30"/>
      <c r="H513" s="30"/>
      <c r="L513" s="30"/>
      <c r="M513" s="30"/>
      <c r="O513" s="32"/>
      <c r="P513" s="32"/>
    </row>
    <row r="514">
      <c r="B514" s="35"/>
      <c r="G514" s="30"/>
      <c r="H514" s="30"/>
      <c r="L514" s="30"/>
      <c r="M514" s="30"/>
      <c r="O514" s="32"/>
      <c r="P514" s="32"/>
    </row>
    <row r="515">
      <c r="B515" s="35"/>
      <c r="G515" s="30"/>
      <c r="H515" s="30"/>
      <c r="L515" s="30"/>
      <c r="M515" s="30"/>
      <c r="O515" s="32"/>
      <c r="P515" s="32"/>
    </row>
    <row r="516">
      <c r="B516" s="35"/>
      <c r="G516" s="30"/>
      <c r="H516" s="30"/>
      <c r="L516" s="30"/>
      <c r="M516" s="30"/>
      <c r="O516" s="32"/>
      <c r="P516" s="32"/>
    </row>
    <row r="517">
      <c r="B517" s="35"/>
      <c r="G517" s="30"/>
      <c r="H517" s="30"/>
      <c r="L517" s="30"/>
      <c r="M517" s="30"/>
      <c r="O517" s="32"/>
      <c r="P517" s="32"/>
    </row>
    <row r="518">
      <c r="B518" s="35"/>
      <c r="G518" s="30"/>
      <c r="H518" s="30"/>
      <c r="L518" s="30"/>
      <c r="M518" s="30"/>
      <c r="O518" s="32"/>
      <c r="P518" s="32"/>
    </row>
    <row r="519">
      <c r="B519" s="35"/>
      <c r="G519" s="30"/>
      <c r="H519" s="30"/>
      <c r="L519" s="30"/>
      <c r="M519" s="30"/>
      <c r="O519" s="32"/>
      <c r="P519" s="32"/>
    </row>
    <row r="520">
      <c r="B520" s="35"/>
      <c r="G520" s="30"/>
      <c r="H520" s="30"/>
      <c r="L520" s="30"/>
      <c r="M520" s="30"/>
      <c r="O520" s="32"/>
      <c r="P520" s="32"/>
    </row>
    <row r="521">
      <c r="B521" s="35"/>
      <c r="G521" s="30"/>
      <c r="H521" s="30"/>
      <c r="L521" s="30"/>
      <c r="M521" s="30"/>
      <c r="O521" s="32"/>
      <c r="P521" s="32"/>
    </row>
    <row r="522">
      <c r="B522" s="35"/>
      <c r="G522" s="30"/>
      <c r="H522" s="30"/>
      <c r="L522" s="30"/>
      <c r="M522" s="30"/>
      <c r="O522" s="32"/>
      <c r="P522" s="32"/>
    </row>
    <row r="523">
      <c r="B523" s="35"/>
      <c r="G523" s="30"/>
      <c r="H523" s="30"/>
      <c r="L523" s="30"/>
      <c r="M523" s="30"/>
      <c r="O523" s="32"/>
      <c r="P523" s="32"/>
    </row>
    <row r="524">
      <c r="B524" s="35"/>
      <c r="G524" s="30"/>
      <c r="H524" s="30"/>
      <c r="L524" s="30"/>
      <c r="M524" s="30"/>
      <c r="O524" s="32"/>
      <c r="P524" s="32"/>
    </row>
    <row r="525">
      <c r="B525" s="35"/>
      <c r="G525" s="30"/>
      <c r="H525" s="30"/>
      <c r="L525" s="30"/>
      <c r="M525" s="30"/>
      <c r="O525" s="32"/>
      <c r="P525" s="32"/>
    </row>
    <row r="526">
      <c r="B526" s="35"/>
      <c r="G526" s="30"/>
      <c r="H526" s="30"/>
      <c r="L526" s="30"/>
      <c r="M526" s="30"/>
      <c r="O526" s="32"/>
      <c r="P526" s="32"/>
    </row>
    <row r="527">
      <c r="B527" s="35"/>
      <c r="G527" s="30"/>
      <c r="H527" s="30"/>
      <c r="L527" s="30"/>
      <c r="M527" s="30"/>
      <c r="O527" s="32"/>
      <c r="P527" s="32"/>
    </row>
    <row r="528">
      <c r="B528" s="35"/>
      <c r="G528" s="30"/>
      <c r="H528" s="30"/>
      <c r="L528" s="30"/>
      <c r="M528" s="30"/>
      <c r="O528" s="32"/>
      <c r="P528" s="32"/>
    </row>
    <row r="529">
      <c r="B529" s="35"/>
      <c r="G529" s="30"/>
      <c r="H529" s="30"/>
      <c r="L529" s="30"/>
      <c r="M529" s="30"/>
      <c r="O529" s="32"/>
      <c r="P529" s="32"/>
    </row>
    <row r="530">
      <c r="B530" s="35"/>
      <c r="G530" s="30"/>
      <c r="H530" s="30"/>
      <c r="L530" s="30"/>
      <c r="M530" s="30"/>
      <c r="O530" s="32"/>
      <c r="P530" s="32"/>
    </row>
    <row r="531">
      <c r="B531" s="35"/>
      <c r="G531" s="30"/>
      <c r="H531" s="30"/>
      <c r="L531" s="30"/>
      <c r="M531" s="30"/>
      <c r="O531" s="32"/>
      <c r="P531" s="32"/>
    </row>
    <row r="532">
      <c r="B532" s="35"/>
      <c r="G532" s="30"/>
      <c r="H532" s="30"/>
      <c r="L532" s="30"/>
      <c r="M532" s="30"/>
      <c r="O532" s="32"/>
      <c r="P532" s="32"/>
    </row>
    <row r="533">
      <c r="B533" s="35"/>
      <c r="G533" s="30"/>
      <c r="H533" s="30"/>
      <c r="L533" s="30"/>
      <c r="M533" s="30"/>
      <c r="O533" s="32"/>
      <c r="P533" s="32"/>
    </row>
    <row r="534">
      <c r="B534" s="35"/>
      <c r="G534" s="30"/>
      <c r="H534" s="30"/>
      <c r="L534" s="30"/>
      <c r="M534" s="30"/>
      <c r="O534" s="32"/>
      <c r="P534" s="32"/>
    </row>
    <row r="535">
      <c r="B535" s="35"/>
      <c r="G535" s="30"/>
      <c r="H535" s="30"/>
      <c r="L535" s="30"/>
      <c r="M535" s="30"/>
      <c r="O535" s="32"/>
      <c r="P535" s="32"/>
    </row>
    <row r="536">
      <c r="B536" s="35"/>
      <c r="G536" s="30"/>
      <c r="H536" s="30"/>
      <c r="L536" s="30"/>
      <c r="M536" s="30"/>
      <c r="O536" s="32"/>
      <c r="P536" s="32"/>
    </row>
    <row r="537">
      <c r="B537" s="35"/>
      <c r="G537" s="30"/>
      <c r="H537" s="30"/>
      <c r="L537" s="30"/>
      <c r="M537" s="30"/>
      <c r="O537" s="32"/>
      <c r="P537" s="32"/>
    </row>
    <row r="538">
      <c r="B538" s="35"/>
      <c r="G538" s="30"/>
      <c r="H538" s="30"/>
      <c r="L538" s="30"/>
      <c r="M538" s="30"/>
      <c r="O538" s="32"/>
      <c r="P538" s="32"/>
    </row>
    <row r="539">
      <c r="B539" s="35"/>
      <c r="G539" s="30"/>
      <c r="H539" s="30"/>
      <c r="L539" s="30"/>
      <c r="M539" s="30"/>
      <c r="O539" s="32"/>
      <c r="P539" s="32"/>
    </row>
    <row r="540">
      <c r="B540" s="35"/>
      <c r="G540" s="30"/>
      <c r="H540" s="30"/>
      <c r="L540" s="30"/>
      <c r="M540" s="30"/>
      <c r="O540" s="32"/>
      <c r="P540" s="32"/>
    </row>
    <row r="541">
      <c r="B541" s="35"/>
      <c r="G541" s="30"/>
      <c r="H541" s="30"/>
      <c r="L541" s="30"/>
      <c r="M541" s="30"/>
      <c r="O541" s="32"/>
      <c r="P541" s="32"/>
    </row>
    <row r="542">
      <c r="B542" s="35"/>
      <c r="G542" s="30"/>
      <c r="H542" s="30"/>
      <c r="L542" s="30"/>
      <c r="M542" s="30"/>
      <c r="O542" s="32"/>
      <c r="P542" s="32"/>
    </row>
    <row r="543">
      <c r="B543" s="35"/>
      <c r="G543" s="30"/>
      <c r="H543" s="30"/>
      <c r="L543" s="30"/>
      <c r="M543" s="30"/>
      <c r="O543" s="32"/>
      <c r="P543" s="32"/>
    </row>
    <row r="544">
      <c r="B544" s="35"/>
      <c r="G544" s="30"/>
      <c r="H544" s="30"/>
      <c r="L544" s="30"/>
      <c r="M544" s="30"/>
      <c r="O544" s="32"/>
      <c r="P544" s="32"/>
    </row>
    <row r="545">
      <c r="B545" s="35"/>
      <c r="G545" s="30"/>
      <c r="H545" s="30"/>
      <c r="L545" s="30"/>
      <c r="M545" s="30"/>
      <c r="O545" s="32"/>
      <c r="P545" s="32"/>
    </row>
    <row r="546">
      <c r="B546" s="35"/>
      <c r="G546" s="30"/>
      <c r="H546" s="30"/>
      <c r="L546" s="30"/>
      <c r="M546" s="30"/>
      <c r="O546" s="32"/>
      <c r="P546" s="32"/>
    </row>
    <row r="547">
      <c r="B547" s="35"/>
      <c r="G547" s="30"/>
      <c r="H547" s="30"/>
      <c r="L547" s="30"/>
      <c r="M547" s="30"/>
      <c r="O547" s="32"/>
      <c r="P547" s="32"/>
    </row>
    <row r="548">
      <c r="B548" s="35"/>
      <c r="G548" s="30"/>
      <c r="H548" s="30"/>
      <c r="L548" s="30"/>
      <c r="M548" s="30"/>
      <c r="O548" s="32"/>
      <c r="P548" s="32"/>
    </row>
    <row r="549">
      <c r="B549" s="35"/>
      <c r="G549" s="30"/>
      <c r="H549" s="30"/>
      <c r="L549" s="30"/>
      <c r="M549" s="30"/>
      <c r="O549" s="32"/>
      <c r="P549" s="32"/>
    </row>
    <row r="550">
      <c r="B550" s="35"/>
      <c r="G550" s="30"/>
      <c r="H550" s="30"/>
      <c r="L550" s="30"/>
      <c r="M550" s="30"/>
      <c r="O550" s="32"/>
      <c r="P550" s="32"/>
    </row>
    <row r="551">
      <c r="B551" s="35"/>
      <c r="G551" s="30"/>
      <c r="H551" s="30"/>
      <c r="L551" s="30"/>
      <c r="M551" s="30"/>
      <c r="O551" s="32"/>
      <c r="P551" s="32"/>
    </row>
    <row r="552">
      <c r="B552" s="35"/>
      <c r="G552" s="30"/>
      <c r="H552" s="30"/>
      <c r="L552" s="30"/>
      <c r="M552" s="30"/>
      <c r="O552" s="32"/>
      <c r="P552" s="32"/>
    </row>
    <row r="553">
      <c r="B553" s="35"/>
      <c r="G553" s="30"/>
      <c r="H553" s="30"/>
      <c r="L553" s="30"/>
      <c r="M553" s="30"/>
      <c r="O553" s="32"/>
      <c r="P553" s="32"/>
    </row>
    <row r="554">
      <c r="B554" s="35"/>
      <c r="G554" s="30"/>
      <c r="H554" s="30"/>
      <c r="L554" s="30"/>
      <c r="M554" s="30"/>
      <c r="O554" s="32"/>
      <c r="P554" s="32"/>
    </row>
    <row r="555">
      <c r="B555" s="35"/>
      <c r="G555" s="30"/>
      <c r="H555" s="30"/>
      <c r="L555" s="30"/>
      <c r="M555" s="30"/>
      <c r="O555" s="32"/>
      <c r="P555" s="32"/>
    </row>
    <row r="556">
      <c r="B556" s="35"/>
      <c r="G556" s="30"/>
      <c r="H556" s="30"/>
      <c r="L556" s="30"/>
      <c r="M556" s="30"/>
      <c r="O556" s="32"/>
      <c r="P556" s="32"/>
    </row>
    <row r="557">
      <c r="B557" s="35"/>
      <c r="G557" s="30"/>
      <c r="H557" s="30"/>
      <c r="L557" s="30"/>
      <c r="M557" s="30"/>
      <c r="O557" s="32"/>
      <c r="P557" s="32"/>
    </row>
    <row r="558">
      <c r="B558" s="35"/>
      <c r="G558" s="30"/>
      <c r="H558" s="30"/>
      <c r="L558" s="30"/>
      <c r="M558" s="30"/>
      <c r="O558" s="32"/>
      <c r="P558" s="32"/>
    </row>
    <row r="559">
      <c r="B559" s="35"/>
      <c r="G559" s="30"/>
      <c r="H559" s="30"/>
      <c r="L559" s="30"/>
      <c r="M559" s="30"/>
      <c r="O559" s="32"/>
      <c r="P559" s="32"/>
    </row>
    <row r="560">
      <c r="B560" s="35"/>
      <c r="G560" s="30"/>
      <c r="H560" s="30"/>
      <c r="L560" s="30"/>
      <c r="M560" s="30"/>
      <c r="O560" s="32"/>
      <c r="P560" s="32"/>
    </row>
    <row r="561">
      <c r="B561" s="35"/>
      <c r="G561" s="30"/>
      <c r="H561" s="30"/>
      <c r="L561" s="30"/>
      <c r="M561" s="30"/>
      <c r="O561" s="32"/>
      <c r="P561" s="32"/>
    </row>
    <row r="562">
      <c r="B562" s="35"/>
      <c r="G562" s="30"/>
      <c r="H562" s="30"/>
      <c r="L562" s="30"/>
      <c r="M562" s="30"/>
      <c r="O562" s="32"/>
      <c r="P562" s="32"/>
    </row>
    <row r="563">
      <c r="B563" s="35"/>
      <c r="G563" s="30"/>
      <c r="H563" s="30"/>
      <c r="L563" s="30"/>
      <c r="M563" s="30"/>
      <c r="O563" s="32"/>
      <c r="P563" s="32"/>
    </row>
    <row r="564">
      <c r="B564" s="35"/>
      <c r="G564" s="30"/>
      <c r="H564" s="30"/>
      <c r="L564" s="30"/>
      <c r="M564" s="30"/>
      <c r="O564" s="32"/>
      <c r="P564" s="32"/>
    </row>
    <row r="565">
      <c r="B565" s="35"/>
      <c r="G565" s="30"/>
      <c r="H565" s="30"/>
      <c r="L565" s="30"/>
      <c r="M565" s="30"/>
      <c r="O565" s="32"/>
      <c r="P565" s="32"/>
    </row>
    <row r="566">
      <c r="B566" s="35"/>
      <c r="G566" s="30"/>
      <c r="H566" s="30"/>
      <c r="L566" s="30"/>
      <c r="M566" s="30"/>
      <c r="O566" s="32"/>
      <c r="P566" s="32"/>
    </row>
    <row r="567">
      <c r="B567" s="35"/>
      <c r="G567" s="30"/>
      <c r="H567" s="30"/>
      <c r="L567" s="30"/>
      <c r="M567" s="30"/>
      <c r="O567" s="32"/>
      <c r="P567" s="32"/>
    </row>
    <row r="568">
      <c r="B568" s="35"/>
      <c r="G568" s="30"/>
      <c r="H568" s="30"/>
      <c r="L568" s="30"/>
      <c r="M568" s="30"/>
      <c r="O568" s="32"/>
      <c r="P568" s="32"/>
    </row>
    <row r="569">
      <c r="B569" s="35"/>
      <c r="G569" s="30"/>
      <c r="H569" s="30"/>
      <c r="L569" s="30"/>
      <c r="M569" s="30"/>
      <c r="O569" s="32"/>
      <c r="P569" s="32"/>
    </row>
    <row r="570">
      <c r="B570" s="35"/>
      <c r="G570" s="30"/>
      <c r="H570" s="30"/>
      <c r="L570" s="30"/>
      <c r="M570" s="30"/>
      <c r="O570" s="32"/>
      <c r="P570" s="32"/>
    </row>
    <row r="571">
      <c r="B571" s="35"/>
      <c r="G571" s="30"/>
      <c r="H571" s="30"/>
      <c r="L571" s="30"/>
      <c r="M571" s="30"/>
      <c r="O571" s="32"/>
      <c r="P571" s="32"/>
    </row>
    <row r="572">
      <c r="B572" s="35"/>
      <c r="G572" s="30"/>
      <c r="H572" s="30"/>
      <c r="L572" s="30"/>
      <c r="M572" s="30"/>
      <c r="O572" s="32"/>
      <c r="P572" s="32"/>
    </row>
    <row r="573">
      <c r="B573" s="35"/>
      <c r="G573" s="30"/>
      <c r="H573" s="30"/>
      <c r="L573" s="30"/>
      <c r="M573" s="30"/>
      <c r="O573" s="32"/>
      <c r="P573" s="32"/>
    </row>
    <row r="574">
      <c r="B574" s="35"/>
      <c r="G574" s="30"/>
      <c r="H574" s="30"/>
      <c r="L574" s="30"/>
      <c r="M574" s="30"/>
      <c r="O574" s="32"/>
      <c r="P574" s="32"/>
    </row>
    <row r="575">
      <c r="B575" s="35"/>
      <c r="G575" s="30"/>
      <c r="H575" s="30"/>
      <c r="L575" s="30"/>
      <c r="M575" s="30"/>
      <c r="O575" s="32"/>
      <c r="P575" s="32"/>
    </row>
    <row r="576">
      <c r="B576" s="35"/>
      <c r="G576" s="30"/>
      <c r="H576" s="30"/>
      <c r="L576" s="30"/>
      <c r="M576" s="30"/>
      <c r="O576" s="32"/>
      <c r="P576" s="32"/>
    </row>
    <row r="577">
      <c r="B577" s="35"/>
      <c r="G577" s="30"/>
      <c r="H577" s="30"/>
      <c r="L577" s="30"/>
      <c r="M577" s="30"/>
      <c r="O577" s="32"/>
      <c r="P577" s="32"/>
    </row>
    <row r="578">
      <c r="B578" s="35"/>
      <c r="G578" s="30"/>
      <c r="H578" s="30"/>
      <c r="L578" s="30"/>
      <c r="M578" s="30"/>
      <c r="O578" s="32"/>
      <c r="P578" s="32"/>
    </row>
    <row r="579">
      <c r="B579" s="35"/>
      <c r="G579" s="30"/>
      <c r="H579" s="30"/>
      <c r="L579" s="30"/>
      <c r="M579" s="30"/>
      <c r="O579" s="32"/>
      <c r="P579" s="32"/>
    </row>
    <row r="580">
      <c r="B580" s="35"/>
      <c r="G580" s="30"/>
      <c r="H580" s="30"/>
      <c r="L580" s="30"/>
      <c r="M580" s="30"/>
      <c r="O580" s="32"/>
      <c r="P580" s="32"/>
    </row>
    <row r="581">
      <c r="B581" s="35"/>
      <c r="G581" s="30"/>
      <c r="H581" s="30"/>
      <c r="L581" s="30"/>
      <c r="M581" s="30"/>
      <c r="O581" s="32"/>
      <c r="P581" s="32"/>
    </row>
    <row r="582">
      <c r="B582" s="35"/>
      <c r="G582" s="30"/>
      <c r="H582" s="30"/>
      <c r="L582" s="30"/>
      <c r="M582" s="30"/>
      <c r="O582" s="32"/>
      <c r="P582" s="32"/>
    </row>
    <row r="583">
      <c r="B583" s="35"/>
      <c r="G583" s="30"/>
      <c r="H583" s="30"/>
      <c r="L583" s="30"/>
      <c r="M583" s="30"/>
      <c r="O583" s="32"/>
      <c r="P583" s="32"/>
    </row>
    <row r="584">
      <c r="B584" s="35"/>
      <c r="G584" s="30"/>
      <c r="H584" s="30"/>
      <c r="L584" s="30"/>
      <c r="M584" s="30"/>
      <c r="O584" s="32"/>
      <c r="P584" s="32"/>
    </row>
    <row r="585">
      <c r="B585" s="35"/>
      <c r="G585" s="30"/>
      <c r="H585" s="30"/>
      <c r="L585" s="30"/>
      <c r="M585" s="30"/>
      <c r="O585" s="32"/>
      <c r="P585" s="32"/>
    </row>
    <row r="586">
      <c r="B586" s="35"/>
      <c r="G586" s="30"/>
      <c r="H586" s="30"/>
      <c r="L586" s="30"/>
      <c r="M586" s="30"/>
      <c r="O586" s="32"/>
      <c r="P586" s="32"/>
    </row>
    <row r="587">
      <c r="B587" s="35"/>
      <c r="G587" s="30"/>
      <c r="H587" s="30"/>
      <c r="L587" s="30"/>
      <c r="M587" s="30"/>
      <c r="O587" s="32"/>
      <c r="P587" s="32"/>
    </row>
    <row r="588">
      <c r="B588" s="35"/>
      <c r="G588" s="30"/>
      <c r="H588" s="30"/>
      <c r="L588" s="30"/>
      <c r="M588" s="30"/>
      <c r="O588" s="32"/>
      <c r="P588" s="32"/>
    </row>
    <row r="589">
      <c r="B589" s="35"/>
      <c r="G589" s="30"/>
      <c r="H589" s="30"/>
      <c r="L589" s="30"/>
      <c r="M589" s="30"/>
      <c r="O589" s="32"/>
      <c r="P589" s="32"/>
    </row>
    <row r="590">
      <c r="B590" s="35"/>
      <c r="G590" s="30"/>
      <c r="H590" s="30"/>
      <c r="L590" s="30"/>
      <c r="M590" s="30"/>
      <c r="O590" s="32"/>
      <c r="P590" s="32"/>
    </row>
    <row r="591">
      <c r="B591" s="35"/>
      <c r="G591" s="30"/>
      <c r="H591" s="30"/>
      <c r="L591" s="30"/>
      <c r="M591" s="30"/>
      <c r="O591" s="32"/>
      <c r="P591" s="32"/>
    </row>
    <row r="592">
      <c r="B592" s="35"/>
      <c r="G592" s="30"/>
      <c r="H592" s="30"/>
      <c r="L592" s="30"/>
      <c r="M592" s="30"/>
      <c r="O592" s="32"/>
      <c r="P592" s="32"/>
    </row>
    <row r="593">
      <c r="B593" s="35"/>
      <c r="G593" s="30"/>
      <c r="H593" s="30"/>
      <c r="L593" s="30"/>
      <c r="M593" s="30"/>
      <c r="O593" s="32"/>
      <c r="P593" s="32"/>
    </row>
    <row r="594">
      <c r="B594" s="35"/>
      <c r="G594" s="30"/>
      <c r="H594" s="30"/>
      <c r="L594" s="30"/>
      <c r="M594" s="30"/>
      <c r="O594" s="32"/>
      <c r="P594" s="32"/>
    </row>
    <row r="595">
      <c r="B595" s="35"/>
      <c r="G595" s="30"/>
      <c r="H595" s="30"/>
      <c r="L595" s="30"/>
      <c r="M595" s="30"/>
      <c r="O595" s="32"/>
      <c r="P595" s="32"/>
    </row>
    <row r="596">
      <c r="B596" s="35"/>
      <c r="G596" s="30"/>
      <c r="H596" s="30"/>
      <c r="L596" s="30"/>
      <c r="M596" s="30"/>
      <c r="O596" s="32"/>
      <c r="P596" s="32"/>
    </row>
    <row r="597">
      <c r="B597" s="35"/>
      <c r="G597" s="30"/>
      <c r="H597" s="30"/>
      <c r="L597" s="30"/>
      <c r="M597" s="30"/>
      <c r="O597" s="32"/>
      <c r="P597" s="32"/>
    </row>
    <row r="598">
      <c r="B598" s="35"/>
      <c r="G598" s="30"/>
      <c r="H598" s="30"/>
      <c r="L598" s="30"/>
      <c r="M598" s="30"/>
      <c r="O598" s="32"/>
      <c r="P598" s="32"/>
    </row>
    <row r="599">
      <c r="B599" s="35"/>
      <c r="G599" s="30"/>
      <c r="H599" s="30"/>
      <c r="L599" s="30"/>
      <c r="M599" s="30"/>
      <c r="O599" s="32"/>
      <c r="P599" s="32"/>
    </row>
    <row r="600">
      <c r="B600" s="35"/>
      <c r="G600" s="30"/>
      <c r="H600" s="30"/>
      <c r="L600" s="30"/>
      <c r="M600" s="30"/>
      <c r="O600" s="32"/>
      <c r="P600" s="32"/>
    </row>
    <row r="601">
      <c r="B601" s="35"/>
      <c r="G601" s="30"/>
      <c r="H601" s="30"/>
      <c r="L601" s="30"/>
      <c r="M601" s="30"/>
      <c r="O601" s="32"/>
      <c r="P601" s="32"/>
    </row>
    <row r="602">
      <c r="B602" s="35"/>
      <c r="G602" s="30"/>
      <c r="H602" s="30"/>
      <c r="L602" s="30"/>
      <c r="M602" s="30"/>
      <c r="O602" s="32"/>
      <c r="P602" s="32"/>
    </row>
    <row r="603">
      <c r="B603" s="35"/>
      <c r="G603" s="30"/>
      <c r="H603" s="30"/>
      <c r="L603" s="30"/>
      <c r="M603" s="30"/>
      <c r="O603" s="32"/>
      <c r="P603" s="32"/>
    </row>
    <row r="604">
      <c r="B604" s="35"/>
      <c r="G604" s="30"/>
      <c r="H604" s="30"/>
      <c r="L604" s="30"/>
      <c r="M604" s="30"/>
      <c r="O604" s="32"/>
      <c r="P604" s="32"/>
    </row>
    <row r="605">
      <c r="B605" s="35"/>
      <c r="G605" s="30"/>
      <c r="H605" s="30"/>
      <c r="L605" s="30"/>
      <c r="M605" s="30"/>
      <c r="O605" s="32"/>
      <c r="P605" s="32"/>
    </row>
    <row r="606">
      <c r="B606" s="35"/>
      <c r="G606" s="30"/>
      <c r="H606" s="30"/>
      <c r="L606" s="30"/>
      <c r="M606" s="30"/>
      <c r="O606" s="32"/>
      <c r="P606" s="32"/>
    </row>
    <row r="607">
      <c r="B607" s="35"/>
      <c r="G607" s="30"/>
      <c r="H607" s="30"/>
      <c r="L607" s="30"/>
      <c r="M607" s="30"/>
      <c r="O607" s="32"/>
      <c r="P607" s="32"/>
    </row>
    <row r="608">
      <c r="B608" s="35"/>
      <c r="G608" s="30"/>
      <c r="H608" s="30"/>
      <c r="L608" s="30"/>
      <c r="M608" s="30"/>
      <c r="O608" s="32"/>
      <c r="P608" s="32"/>
    </row>
    <row r="609">
      <c r="B609" s="35"/>
      <c r="G609" s="30"/>
      <c r="H609" s="30"/>
      <c r="L609" s="30"/>
      <c r="M609" s="30"/>
      <c r="O609" s="32"/>
      <c r="P609" s="32"/>
    </row>
    <row r="610">
      <c r="B610" s="35"/>
      <c r="G610" s="30"/>
      <c r="H610" s="30"/>
      <c r="L610" s="30"/>
      <c r="M610" s="30"/>
      <c r="O610" s="32"/>
      <c r="P610" s="32"/>
    </row>
    <row r="611">
      <c r="B611" s="35"/>
      <c r="G611" s="30"/>
      <c r="H611" s="30"/>
      <c r="L611" s="30"/>
      <c r="M611" s="30"/>
      <c r="O611" s="32"/>
      <c r="P611" s="32"/>
    </row>
    <row r="612">
      <c r="B612" s="35"/>
      <c r="G612" s="30"/>
      <c r="H612" s="30"/>
      <c r="L612" s="30"/>
      <c r="M612" s="30"/>
      <c r="O612" s="32"/>
      <c r="P612" s="32"/>
    </row>
    <row r="613">
      <c r="B613" s="35"/>
      <c r="G613" s="30"/>
      <c r="H613" s="30"/>
      <c r="L613" s="30"/>
      <c r="M613" s="30"/>
      <c r="O613" s="32"/>
      <c r="P613" s="32"/>
    </row>
    <row r="614">
      <c r="B614" s="35"/>
      <c r="G614" s="30"/>
      <c r="H614" s="30"/>
      <c r="L614" s="30"/>
      <c r="M614" s="30"/>
      <c r="O614" s="32"/>
      <c r="P614" s="32"/>
    </row>
    <row r="615">
      <c r="B615" s="35"/>
      <c r="G615" s="30"/>
      <c r="H615" s="30"/>
      <c r="L615" s="30"/>
      <c r="M615" s="30"/>
      <c r="O615" s="32"/>
      <c r="P615" s="32"/>
    </row>
    <row r="616">
      <c r="B616" s="35"/>
      <c r="G616" s="30"/>
      <c r="H616" s="30"/>
      <c r="L616" s="30"/>
      <c r="M616" s="30"/>
      <c r="O616" s="32"/>
      <c r="P616" s="32"/>
    </row>
    <row r="617">
      <c r="B617" s="35"/>
      <c r="G617" s="30"/>
      <c r="H617" s="30"/>
      <c r="L617" s="30"/>
      <c r="M617" s="30"/>
      <c r="O617" s="32"/>
      <c r="P617" s="32"/>
    </row>
    <row r="618">
      <c r="B618" s="35"/>
      <c r="G618" s="30"/>
      <c r="H618" s="30"/>
      <c r="L618" s="30"/>
      <c r="M618" s="30"/>
      <c r="O618" s="32"/>
      <c r="P618" s="32"/>
    </row>
    <row r="619">
      <c r="B619" s="35"/>
      <c r="G619" s="30"/>
      <c r="H619" s="30"/>
      <c r="L619" s="30"/>
      <c r="M619" s="30"/>
      <c r="O619" s="32"/>
      <c r="P619" s="32"/>
    </row>
    <row r="620">
      <c r="B620" s="35"/>
      <c r="G620" s="30"/>
      <c r="H620" s="30"/>
      <c r="L620" s="30"/>
      <c r="M620" s="30"/>
      <c r="O620" s="32"/>
      <c r="P620" s="32"/>
    </row>
    <row r="621">
      <c r="B621" s="35"/>
      <c r="G621" s="30"/>
      <c r="H621" s="30"/>
      <c r="L621" s="30"/>
      <c r="M621" s="30"/>
      <c r="O621" s="32"/>
      <c r="P621" s="32"/>
    </row>
    <row r="622">
      <c r="B622" s="35"/>
      <c r="G622" s="30"/>
      <c r="H622" s="30"/>
      <c r="L622" s="30"/>
      <c r="M622" s="30"/>
      <c r="O622" s="32"/>
      <c r="P622" s="32"/>
    </row>
    <row r="623">
      <c r="B623" s="35"/>
      <c r="G623" s="30"/>
      <c r="H623" s="30"/>
      <c r="L623" s="30"/>
      <c r="M623" s="30"/>
      <c r="O623" s="32"/>
      <c r="P623" s="32"/>
    </row>
    <row r="624">
      <c r="B624" s="35"/>
      <c r="G624" s="30"/>
      <c r="H624" s="30"/>
      <c r="L624" s="30"/>
      <c r="M624" s="30"/>
      <c r="O624" s="32"/>
      <c r="P624" s="32"/>
    </row>
    <row r="625">
      <c r="B625" s="35"/>
      <c r="G625" s="30"/>
      <c r="H625" s="30"/>
      <c r="L625" s="30"/>
      <c r="M625" s="30"/>
      <c r="O625" s="32"/>
      <c r="P625" s="32"/>
    </row>
    <row r="626">
      <c r="B626" s="35"/>
      <c r="G626" s="30"/>
      <c r="H626" s="30"/>
      <c r="L626" s="30"/>
      <c r="M626" s="30"/>
      <c r="O626" s="32"/>
      <c r="P626" s="32"/>
    </row>
    <row r="627">
      <c r="B627" s="35"/>
      <c r="G627" s="30"/>
      <c r="H627" s="30"/>
      <c r="L627" s="30"/>
      <c r="M627" s="30"/>
      <c r="O627" s="32"/>
      <c r="P627" s="32"/>
    </row>
    <row r="628">
      <c r="B628" s="35"/>
      <c r="G628" s="30"/>
      <c r="H628" s="30"/>
      <c r="L628" s="30"/>
      <c r="M628" s="30"/>
      <c r="O628" s="32"/>
      <c r="P628" s="32"/>
    </row>
    <row r="629">
      <c r="B629" s="35"/>
      <c r="G629" s="30"/>
      <c r="H629" s="30"/>
      <c r="L629" s="30"/>
      <c r="M629" s="30"/>
      <c r="O629" s="32"/>
      <c r="P629" s="32"/>
    </row>
    <row r="630">
      <c r="B630" s="35"/>
      <c r="G630" s="30"/>
      <c r="H630" s="30"/>
      <c r="L630" s="30"/>
      <c r="M630" s="30"/>
      <c r="O630" s="32"/>
      <c r="P630" s="32"/>
    </row>
    <row r="631">
      <c r="B631" s="35"/>
      <c r="G631" s="30"/>
      <c r="H631" s="30"/>
      <c r="L631" s="30"/>
      <c r="M631" s="30"/>
      <c r="O631" s="32"/>
      <c r="P631" s="32"/>
    </row>
    <row r="632">
      <c r="B632" s="35"/>
      <c r="G632" s="30"/>
      <c r="H632" s="30"/>
      <c r="L632" s="30"/>
      <c r="M632" s="30"/>
      <c r="O632" s="32"/>
      <c r="P632" s="32"/>
    </row>
    <row r="633">
      <c r="B633" s="35"/>
      <c r="G633" s="30"/>
      <c r="H633" s="30"/>
      <c r="L633" s="30"/>
      <c r="M633" s="30"/>
      <c r="O633" s="32"/>
      <c r="P633" s="32"/>
    </row>
    <row r="634">
      <c r="B634" s="35"/>
      <c r="G634" s="30"/>
      <c r="H634" s="30"/>
      <c r="L634" s="30"/>
      <c r="M634" s="30"/>
      <c r="O634" s="32"/>
      <c r="P634" s="32"/>
    </row>
    <row r="635">
      <c r="B635" s="35"/>
      <c r="G635" s="30"/>
      <c r="H635" s="30"/>
      <c r="L635" s="30"/>
      <c r="M635" s="30"/>
      <c r="O635" s="32"/>
      <c r="P635" s="32"/>
    </row>
    <row r="636">
      <c r="B636" s="35"/>
      <c r="G636" s="30"/>
      <c r="H636" s="30"/>
      <c r="L636" s="30"/>
      <c r="M636" s="30"/>
      <c r="O636" s="32"/>
      <c r="P636" s="32"/>
    </row>
    <row r="637">
      <c r="B637" s="35"/>
      <c r="G637" s="30"/>
      <c r="H637" s="30"/>
      <c r="L637" s="30"/>
      <c r="M637" s="30"/>
      <c r="O637" s="32"/>
      <c r="P637" s="32"/>
    </row>
    <row r="638">
      <c r="B638" s="35"/>
      <c r="G638" s="30"/>
      <c r="H638" s="30"/>
      <c r="L638" s="30"/>
      <c r="M638" s="30"/>
      <c r="O638" s="32"/>
      <c r="P638" s="32"/>
    </row>
    <row r="639">
      <c r="B639" s="35"/>
      <c r="G639" s="30"/>
      <c r="H639" s="30"/>
      <c r="L639" s="30"/>
      <c r="M639" s="30"/>
      <c r="O639" s="32"/>
      <c r="P639" s="32"/>
    </row>
    <row r="640">
      <c r="B640" s="35"/>
      <c r="G640" s="30"/>
      <c r="H640" s="30"/>
      <c r="L640" s="30"/>
      <c r="M640" s="30"/>
      <c r="O640" s="32"/>
      <c r="P640" s="32"/>
    </row>
    <row r="641">
      <c r="B641" s="35"/>
      <c r="G641" s="30"/>
      <c r="H641" s="30"/>
      <c r="L641" s="30"/>
      <c r="M641" s="30"/>
      <c r="O641" s="32"/>
      <c r="P641" s="32"/>
    </row>
    <row r="642">
      <c r="B642" s="35"/>
      <c r="G642" s="30"/>
      <c r="H642" s="30"/>
      <c r="L642" s="30"/>
      <c r="M642" s="30"/>
      <c r="O642" s="32"/>
      <c r="P642" s="32"/>
    </row>
    <row r="643">
      <c r="B643" s="35"/>
      <c r="G643" s="30"/>
      <c r="H643" s="30"/>
      <c r="L643" s="30"/>
      <c r="M643" s="30"/>
      <c r="O643" s="32"/>
      <c r="P643" s="32"/>
    </row>
    <row r="644">
      <c r="B644" s="35"/>
      <c r="G644" s="30"/>
      <c r="H644" s="30"/>
      <c r="L644" s="30"/>
      <c r="M644" s="30"/>
      <c r="O644" s="32"/>
      <c r="P644" s="32"/>
    </row>
    <row r="645">
      <c r="B645" s="35"/>
      <c r="G645" s="30"/>
      <c r="H645" s="30"/>
      <c r="L645" s="30"/>
      <c r="M645" s="30"/>
      <c r="O645" s="32"/>
      <c r="P645" s="32"/>
    </row>
    <row r="646">
      <c r="B646" s="35"/>
      <c r="G646" s="30"/>
      <c r="H646" s="30"/>
      <c r="L646" s="30"/>
      <c r="M646" s="30"/>
      <c r="O646" s="32"/>
      <c r="P646" s="32"/>
    </row>
    <row r="647">
      <c r="B647" s="35"/>
      <c r="G647" s="30"/>
      <c r="H647" s="30"/>
      <c r="L647" s="30"/>
      <c r="M647" s="30"/>
      <c r="O647" s="32"/>
      <c r="P647" s="32"/>
    </row>
    <row r="648">
      <c r="B648" s="35"/>
      <c r="G648" s="30"/>
      <c r="H648" s="30"/>
      <c r="L648" s="30"/>
      <c r="M648" s="30"/>
      <c r="O648" s="32"/>
      <c r="P648" s="32"/>
    </row>
    <row r="649">
      <c r="B649" s="35"/>
      <c r="G649" s="30"/>
      <c r="H649" s="30"/>
      <c r="L649" s="30"/>
      <c r="M649" s="30"/>
      <c r="O649" s="32"/>
      <c r="P649" s="32"/>
    </row>
    <row r="650">
      <c r="B650" s="35"/>
      <c r="G650" s="30"/>
      <c r="H650" s="30"/>
      <c r="L650" s="30"/>
      <c r="M650" s="30"/>
      <c r="O650" s="32"/>
      <c r="P650" s="32"/>
    </row>
    <row r="651">
      <c r="B651" s="35"/>
      <c r="G651" s="30"/>
      <c r="H651" s="30"/>
      <c r="L651" s="30"/>
      <c r="M651" s="30"/>
      <c r="O651" s="32"/>
      <c r="P651" s="32"/>
    </row>
    <row r="652">
      <c r="B652" s="35"/>
      <c r="G652" s="30"/>
      <c r="H652" s="30"/>
      <c r="L652" s="30"/>
      <c r="M652" s="30"/>
      <c r="O652" s="32"/>
      <c r="P652" s="32"/>
    </row>
    <row r="653">
      <c r="B653" s="35"/>
      <c r="G653" s="30"/>
      <c r="H653" s="30"/>
      <c r="L653" s="30"/>
      <c r="M653" s="30"/>
      <c r="O653" s="32"/>
      <c r="P653" s="32"/>
    </row>
    <row r="654">
      <c r="B654" s="35"/>
      <c r="G654" s="30"/>
      <c r="H654" s="30"/>
      <c r="L654" s="30"/>
      <c r="M654" s="30"/>
      <c r="O654" s="32"/>
      <c r="P654" s="32"/>
    </row>
    <row r="655">
      <c r="B655" s="35"/>
      <c r="G655" s="30"/>
      <c r="H655" s="30"/>
      <c r="L655" s="30"/>
      <c r="M655" s="30"/>
      <c r="O655" s="32"/>
      <c r="P655" s="32"/>
    </row>
    <row r="656">
      <c r="B656" s="35"/>
      <c r="G656" s="30"/>
      <c r="H656" s="30"/>
      <c r="L656" s="30"/>
      <c r="M656" s="30"/>
      <c r="O656" s="32"/>
      <c r="P656" s="32"/>
    </row>
    <row r="657">
      <c r="B657" s="35"/>
      <c r="G657" s="30"/>
      <c r="H657" s="30"/>
      <c r="L657" s="30"/>
      <c r="M657" s="30"/>
      <c r="O657" s="32"/>
      <c r="P657" s="32"/>
    </row>
    <row r="658">
      <c r="B658" s="35"/>
      <c r="G658" s="30"/>
      <c r="H658" s="30"/>
      <c r="L658" s="30"/>
      <c r="M658" s="30"/>
      <c r="O658" s="32"/>
      <c r="P658" s="32"/>
    </row>
    <row r="659">
      <c r="B659" s="35"/>
      <c r="G659" s="30"/>
      <c r="H659" s="30"/>
      <c r="L659" s="30"/>
      <c r="M659" s="30"/>
      <c r="O659" s="32"/>
      <c r="P659" s="32"/>
    </row>
    <row r="660">
      <c r="B660" s="35"/>
      <c r="G660" s="30"/>
      <c r="H660" s="30"/>
      <c r="L660" s="30"/>
      <c r="M660" s="30"/>
      <c r="O660" s="32"/>
      <c r="P660" s="32"/>
    </row>
    <row r="661">
      <c r="B661" s="35"/>
      <c r="G661" s="30"/>
      <c r="H661" s="30"/>
      <c r="L661" s="30"/>
      <c r="M661" s="30"/>
      <c r="O661" s="32"/>
      <c r="P661" s="32"/>
    </row>
    <row r="662">
      <c r="B662" s="35"/>
      <c r="G662" s="30"/>
      <c r="H662" s="30"/>
      <c r="L662" s="30"/>
      <c r="M662" s="30"/>
      <c r="O662" s="32"/>
      <c r="P662" s="32"/>
    </row>
    <row r="663">
      <c r="B663" s="35"/>
      <c r="G663" s="30"/>
      <c r="H663" s="30"/>
      <c r="L663" s="30"/>
      <c r="M663" s="30"/>
      <c r="O663" s="32"/>
      <c r="P663" s="32"/>
    </row>
    <row r="664">
      <c r="B664" s="35"/>
      <c r="G664" s="30"/>
      <c r="H664" s="30"/>
      <c r="L664" s="30"/>
      <c r="M664" s="30"/>
      <c r="O664" s="32"/>
      <c r="P664" s="32"/>
    </row>
    <row r="665">
      <c r="B665" s="35"/>
      <c r="G665" s="30"/>
      <c r="H665" s="30"/>
      <c r="L665" s="30"/>
      <c r="M665" s="30"/>
      <c r="O665" s="32"/>
      <c r="P665" s="32"/>
    </row>
    <row r="666">
      <c r="B666" s="35"/>
      <c r="G666" s="30"/>
      <c r="H666" s="30"/>
      <c r="L666" s="30"/>
      <c r="M666" s="30"/>
      <c r="O666" s="32"/>
      <c r="P666" s="32"/>
    </row>
    <row r="667">
      <c r="B667" s="35"/>
      <c r="G667" s="30"/>
      <c r="H667" s="30"/>
      <c r="L667" s="30"/>
      <c r="M667" s="30"/>
      <c r="O667" s="32"/>
      <c r="P667" s="32"/>
    </row>
    <row r="668">
      <c r="B668" s="35"/>
      <c r="G668" s="30"/>
      <c r="H668" s="30"/>
      <c r="L668" s="30"/>
      <c r="M668" s="30"/>
      <c r="O668" s="32"/>
      <c r="P668" s="32"/>
    </row>
    <row r="669">
      <c r="B669" s="35"/>
      <c r="G669" s="30"/>
      <c r="H669" s="30"/>
      <c r="L669" s="30"/>
      <c r="M669" s="30"/>
      <c r="O669" s="32"/>
      <c r="P669" s="32"/>
    </row>
    <row r="670">
      <c r="B670" s="35"/>
      <c r="G670" s="30"/>
      <c r="H670" s="30"/>
      <c r="L670" s="30"/>
      <c r="M670" s="30"/>
      <c r="O670" s="32"/>
      <c r="P670" s="32"/>
    </row>
    <row r="671">
      <c r="B671" s="35"/>
      <c r="G671" s="30"/>
      <c r="H671" s="30"/>
      <c r="L671" s="30"/>
      <c r="M671" s="30"/>
      <c r="O671" s="32"/>
      <c r="P671" s="32"/>
    </row>
    <row r="672">
      <c r="B672" s="35"/>
      <c r="G672" s="30"/>
      <c r="H672" s="30"/>
      <c r="L672" s="30"/>
      <c r="M672" s="30"/>
      <c r="O672" s="32"/>
      <c r="P672" s="32"/>
    </row>
    <row r="673">
      <c r="B673" s="35"/>
      <c r="G673" s="30"/>
      <c r="H673" s="30"/>
      <c r="L673" s="30"/>
      <c r="M673" s="30"/>
      <c r="O673" s="32"/>
      <c r="P673" s="32"/>
    </row>
    <row r="674">
      <c r="B674" s="35"/>
      <c r="G674" s="30"/>
      <c r="H674" s="30"/>
      <c r="L674" s="30"/>
      <c r="M674" s="30"/>
      <c r="O674" s="32"/>
      <c r="P674" s="32"/>
    </row>
    <row r="675">
      <c r="B675" s="35"/>
      <c r="G675" s="30"/>
      <c r="H675" s="30"/>
      <c r="L675" s="30"/>
      <c r="M675" s="30"/>
      <c r="O675" s="32"/>
      <c r="P675" s="32"/>
    </row>
    <row r="676">
      <c r="B676" s="35"/>
      <c r="G676" s="30"/>
      <c r="H676" s="30"/>
      <c r="L676" s="30"/>
      <c r="M676" s="30"/>
      <c r="O676" s="32"/>
      <c r="P676" s="32"/>
    </row>
    <row r="677">
      <c r="B677" s="35"/>
      <c r="G677" s="30"/>
      <c r="H677" s="30"/>
      <c r="L677" s="30"/>
      <c r="M677" s="30"/>
      <c r="O677" s="32"/>
      <c r="P677" s="32"/>
    </row>
    <row r="678">
      <c r="B678" s="35"/>
      <c r="G678" s="30"/>
      <c r="H678" s="30"/>
      <c r="L678" s="30"/>
      <c r="M678" s="30"/>
      <c r="O678" s="32"/>
      <c r="P678" s="32"/>
    </row>
    <row r="679">
      <c r="B679" s="35"/>
      <c r="G679" s="30"/>
      <c r="H679" s="30"/>
      <c r="L679" s="30"/>
      <c r="M679" s="30"/>
      <c r="O679" s="32"/>
      <c r="P679" s="32"/>
    </row>
    <row r="680">
      <c r="B680" s="35"/>
      <c r="G680" s="30"/>
      <c r="H680" s="30"/>
      <c r="L680" s="30"/>
      <c r="M680" s="30"/>
      <c r="O680" s="32"/>
      <c r="P680" s="32"/>
    </row>
    <row r="681">
      <c r="B681" s="35"/>
      <c r="G681" s="30"/>
      <c r="H681" s="30"/>
      <c r="L681" s="30"/>
      <c r="M681" s="30"/>
      <c r="O681" s="32"/>
      <c r="P681" s="32"/>
    </row>
    <row r="682">
      <c r="B682" s="35"/>
      <c r="G682" s="30"/>
      <c r="H682" s="30"/>
      <c r="L682" s="30"/>
      <c r="M682" s="30"/>
      <c r="O682" s="32"/>
      <c r="P682" s="32"/>
    </row>
    <row r="683">
      <c r="B683" s="35"/>
      <c r="G683" s="30"/>
      <c r="H683" s="30"/>
      <c r="L683" s="30"/>
      <c r="M683" s="30"/>
      <c r="O683" s="32"/>
      <c r="P683" s="32"/>
    </row>
    <row r="684">
      <c r="B684" s="35"/>
      <c r="G684" s="30"/>
      <c r="H684" s="30"/>
      <c r="L684" s="30"/>
      <c r="M684" s="30"/>
      <c r="O684" s="32"/>
      <c r="P684" s="32"/>
    </row>
    <row r="685">
      <c r="B685" s="35"/>
      <c r="G685" s="30"/>
      <c r="H685" s="30"/>
      <c r="L685" s="30"/>
      <c r="M685" s="30"/>
      <c r="O685" s="32"/>
      <c r="P685" s="32"/>
    </row>
    <row r="686">
      <c r="B686" s="35"/>
      <c r="G686" s="30"/>
      <c r="H686" s="30"/>
      <c r="L686" s="30"/>
      <c r="M686" s="30"/>
      <c r="O686" s="32"/>
      <c r="P686" s="32"/>
    </row>
    <row r="687">
      <c r="B687" s="35"/>
      <c r="G687" s="30"/>
      <c r="H687" s="30"/>
      <c r="L687" s="30"/>
      <c r="M687" s="30"/>
      <c r="O687" s="32"/>
      <c r="P687" s="32"/>
    </row>
    <row r="688">
      <c r="B688" s="35"/>
      <c r="G688" s="30"/>
      <c r="H688" s="30"/>
      <c r="L688" s="30"/>
      <c r="M688" s="30"/>
      <c r="O688" s="32"/>
      <c r="P688" s="32"/>
    </row>
    <row r="689">
      <c r="B689" s="35"/>
      <c r="G689" s="30"/>
      <c r="H689" s="30"/>
      <c r="L689" s="30"/>
      <c r="M689" s="30"/>
      <c r="O689" s="32"/>
      <c r="P689" s="32"/>
    </row>
    <row r="690">
      <c r="B690" s="35"/>
      <c r="G690" s="30"/>
      <c r="H690" s="30"/>
      <c r="L690" s="30"/>
      <c r="M690" s="30"/>
      <c r="O690" s="32"/>
      <c r="P690" s="32"/>
    </row>
    <row r="691">
      <c r="B691" s="35"/>
      <c r="G691" s="30"/>
      <c r="H691" s="30"/>
      <c r="L691" s="30"/>
      <c r="M691" s="30"/>
      <c r="O691" s="32"/>
      <c r="P691" s="32"/>
    </row>
    <row r="692">
      <c r="B692" s="35"/>
      <c r="G692" s="30"/>
      <c r="H692" s="30"/>
      <c r="L692" s="30"/>
      <c r="M692" s="30"/>
      <c r="O692" s="32"/>
      <c r="P692" s="32"/>
    </row>
    <row r="693">
      <c r="B693" s="35"/>
      <c r="G693" s="30"/>
      <c r="H693" s="30"/>
      <c r="L693" s="30"/>
      <c r="M693" s="30"/>
      <c r="O693" s="32"/>
      <c r="P693" s="32"/>
    </row>
    <row r="694">
      <c r="B694" s="35"/>
      <c r="G694" s="30"/>
      <c r="H694" s="30"/>
      <c r="L694" s="30"/>
      <c r="M694" s="30"/>
      <c r="O694" s="32"/>
      <c r="P694" s="32"/>
    </row>
    <row r="695">
      <c r="B695" s="35"/>
      <c r="G695" s="30"/>
      <c r="H695" s="30"/>
      <c r="L695" s="30"/>
      <c r="M695" s="30"/>
      <c r="O695" s="32"/>
      <c r="P695" s="32"/>
    </row>
    <row r="696">
      <c r="B696" s="35"/>
      <c r="G696" s="30"/>
      <c r="H696" s="30"/>
      <c r="L696" s="30"/>
      <c r="M696" s="30"/>
      <c r="O696" s="32"/>
      <c r="P696" s="32"/>
    </row>
    <row r="697">
      <c r="B697" s="35"/>
      <c r="G697" s="30"/>
      <c r="H697" s="30"/>
      <c r="L697" s="30"/>
      <c r="M697" s="30"/>
      <c r="O697" s="32"/>
      <c r="P697" s="32"/>
    </row>
    <row r="698">
      <c r="B698" s="35"/>
      <c r="G698" s="30"/>
      <c r="H698" s="30"/>
      <c r="L698" s="30"/>
      <c r="M698" s="30"/>
      <c r="O698" s="32"/>
      <c r="P698" s="32"/>
    </row>
    <row r="699">
      <c r="B699" s="35"/>
      <c r="G699" s="30"/>
      <c r="H699" s="30"/>
      <c r="L699" s="30"/>
      <c r="M699" s="30"/>
      <c r="O699" s="32"/>
      <c r="P699" s="32"/>
    </row>
    <row r="700">
      <c r="B700" s="35"/>
      <c r="G700" s="30"/>
      <c r="H700" s="30"/>
      <c r="L700" s="30"/>
      <c r="M700" s="30"/>
      <c r="O700" s="32"/>
      <c r="P700" s="32"/>
    </row>
    <row r="701">
      <c r="B701" s="35"/>
      <c r="G701" s="30"/>
      <c r="H701" s="30"/>
      <c r="L701" s="30"/>
      <c r="M701" s="30"/>
      <c r="O701" s="32"/>
      <c r="P701" s="32"/>
    </row>
    <row r="702">
      <c r="B702" s="35"/>
      <c r="G702" s="30"/>
      <c r="H702" s="30"/>
      <c r="L702" s="30"/>
      <c r="M702" s="30"/>
      <c r="O702" s="32"/>
      <c r="P702" s="32"/>
    </row>
    <row r="703">
      <c r="B703" s="35"/>
      <c r="G703" s="30"/>
      <c r="H703" s="30"/>
      <c r="L703" s="30"/>
      <c r="M703" s="30"/>
      <c r="O703" s="32"/>
      <c r="P703" s="32"/>
    </row>
    <row r="704">
      <c r="B704" s="35"/>
      <c r="G704" s="30"/>
      <c r="H704" s="30"/>
      <c r="L704" s="30"/>
      <c r="M704" s="30"/>
      <c r="O704" s="32"/>
      <c r="P704" s="32"/>
    </row>
    <row r="705">
      <c r="B705" s="35"/>
      <c r="G705" s="30"/>
      <c r="H705" s="30"/>
      <c r="L705" s="30"/>
      <c r="M705" s="30"/>
      <c r="O705" s="32"/>
      <c r="P705" s="32"/>
    </row>
    <row r="706">
      <c r="B706" s="35"/>
      <c r="G706" s="30"/>
      <c r="H706" s="30"/>
      <c r="L706" s="30"/>
      <c r="M706" s="30"/>
      <c r="O706" s="32"/>
      <c r="P706" s="32"/>
    </row>
    <row r="707">
      <c r="B707" s="35"/>
      <c r="G707" s="30"/>
      <c r="H707" s="30"/>
      <c r="L707" s="30"/>
      <c r="M707" s="30"/>
      <c r="O707" s="32"/>
      <c r="P707" s="32"/>
    </row>
    <row r="708">
      <c r="B708" s="35"/>
      <c r="G708" s="30"/>
      <c r="H708" s="30"/>
      <c r="L708" s="30"/>
      <c r="M708" s="30"/>
      <c r="O708" s="32"/>
      <c r="P708" s="32"/>
    </row>
    <row r="709">
      <c r="B709" s="35"/>
      <c r="G709" s="30"/>
      <c r="H709" s="30"/>
      <c r="L709" s="30"/>
      <c r="M709" s="30"/>
      <c r="O709" s="32"/>
      <c r="P709" s="32"/>
    </row>
    <row r="710">
      <c r="B710" s="35"/>
      <c r="G710" s="30"/>
      <c r="H710" s="30"/>
      <c r="L710" s="30"/>
      <c r="M710" s="30"/>
      <c r="O710" s="32"/>
      <c r="P710" s="32"/>
    </row>
    <row r="711">
      <c r="B711" s="35"/>
      <c r="G711" s="30"/>
      <c r="H711" s="30"/>
      <c r="L711" s="30"/>
      <c r="M711" s="30"/>
      <c r="O711" s="32"/>
      <c r="P711" s="32"/>
    </row>
    <row r="712">
      <c r="B712" s="35"/>
      <c r="G712" s="30"/>
      <c r="H712" s="30"/>
      <c r="L712" s="30"/>
      <c r="M712" s="30"/>
      <c r="O712" s="32"/>
      <c r="P712" s="32"/>
    </row>
    <row r="713">
      <c r="B713" s="35"/>
      <c r="G713" s="30"/>
      <c r="H713" s="30"/>
      <c r="L713" s="30"/>
      <c r="M713" s="30"/>
      <c r="O713" s="32"/>
      <c r="P713" s="32"/>
    </row>
    <row r="714">
      <c r="B714" s="35"/>
      <c r="G714" s="30"/>
      <c r="H714" s="30"/>
      <c r="L714" s="30"/>
      <c r="M714" s="30"/>
      <c r="O714" s="32"/>
      <c r="P714" s="32"/>
    </row>
    <row r="715">
      <c r="B715" s="35"/>
      <c r="G715" s="30"/>
      <c r="H715" s="30"/>
      <c r="L715" s="30"/>
      <c r="M715" s="30"/>
      <c r="O715" s="32"/>
      <c r="P715" s="32"/>
    </row>
    <row r="716">
      <c r="B716" s="35"/>
      <c r="G716" s="30"/>
      <c r="H716" s="30"/>
      <c r="L716" s="30"/>
      <c r="M716" s="30"/>
      <c r="O716" s="32"/>
      <c r="P716" s="32"/>
    </row>
    <row r="717">
      <c r="B717" s="35"/>
      <c r="G717" s="30"/>
      <c r="H717" s="30"/>
      <c r="L717" s="30"/>
      <c r="M717" s="30"/>
      <c r="O717" s="32"/>
      <c r="P717" s="32"/>
    </row>
    <row r="718">
      <c r="B718" s="35"/>
      <c r="G718" s="30"/>
      <c r="H718" s="30"/>
      <c r="L718" s="30"/>
      <c r="M718" s="30"/>
      <c r="O718" s="32"/>
      <c r="P718" s="32"/>
    </row>
    <row r="719">
      <c r="B719" s="35"/>
      <c r="G719" s="30"/>
      <c r="H719" s="30"/>
      <c r="L719" s="30"/>
      <c r="M719" s="30"/>
      <c r="O719" s="32"/>
      <c r="P719" s="32"/>
    </row>
    <row r="720">
      <c r="B720" s="35"/>
      <c r="G720" s="30"/>
      <c r="H720" s="30"/>
      <c r="L720" s="30"/>
      <c r="M720" s="30"/>
      <c r="O720" s="32"/>
      <c r="P720" s="32"/>
    </row>
    <row r="721">
      <c r="B721" s="35"/>
      <c r="G721" s="30"/>
      <c r="H721" s="30"/>
      <c r="L721" s="30"/>
      <c r="M721" s="30"/>
      <c r="O721" s="32"/>
      <c r="P721" s="32"/>
    </row>
    <row r="722">
      <c r="B722" s="35"/>
      <c r="G722" s="30"/>
      <c r="H722" s="30"/>
      <c r="L722" s="30"/>
      <c r="M722" s="30"/>
      <c r="O722" s="32"/>
      <c r="P722" s="32"/>
    </row>
    <row r="723">
      <c r="B723" s="35"/>
      <c r="G723" s="30"/>
      <c r="H723" s="30"/>
      <c r="L723" s="30"/>
      <c r="M723" s="30"/>
      <c r="O723" s="32"/>
      <c r="P723" s="32"/>
    </row>
    <row r="724">
      <c r="B724" s="35"/>
      <c r="G724" s="30"/>
      <c r="H724" s="30"/>
      <c r="L724" s="30"/>
      <c r="M724" s="30"/>
      <c r="O724" s="32"/>
      <c r="P724" s="32"/>
    </row>
    <row r="725">
      <c r="B725" s="35"/>
      <c r="G725" s="30"/>
      <c r="H725" s="30"/>
      <c r="L725" s="30"/>
      <c r="M725" s="30"/>
      <c r="O725" s="32"/>
      <c r="P725" s="32"/>
    </row>
    <row r="726">
      <c r="B726" s="35"/>
      <c r="G726" s="30"/>
      <c r="H726" s="30"/>
      <c r="L726" s="30"/>
      <c r="M726" s="30"/>
      <c r="O726" s="32"/>
      <c r="P726" s="32"/>
    </row>
    <row r="727">
      <c r="B727" s="35"/>
      <c r="G727" s="30"/>
      <c r="H727" s="30"/>
      <c r="L727" s="30"/>
      <c r="M727" s="30"/>
      <c r="O727" s="32"/>
      <c r="P727" s="32"/>
    </row>
    <row r="728">
      <c r="B728" s="35"/>
      <c r="G728" s="30"/>
      <c r="H728" s="30"/>
      <c r="L728" s="30"/>
      <c r="M728" s="30"/>
      <c r="O728" s="32"/>
      <c r="P728" s="32"/>
    </row>
    <row r="729">
      <c r="B729" s="35"/>
      <c r="G729" s="30"/>
      <c r="H729" s="30"/>
      <c r="L729" s="30"/>
      <c r="M729" s="30"/>
      <c r="O729" s="32"/>
      <c r="P729" s="32"/>
    </row>
    <row r="730">
      <c r="B730" s="35"/>
      <c r="G730" s="30"/>
      <c r="H730" s="30"/>
      <c r="L730" s="30"/>
      <c r="M730" s="30"/>
      <c r="O730" s="32"/>
      <c r="P730" s="32"/>
    </row>
    <row r="731">
      <c r="B731" s="35"/>
      <c r="G731" s="30"/>
      <c r="H731" s="30"/>
      <c r="L731" s="30"/>
      <c r="M731" s="30"/>
      <c r="O731" s="32"/>
      <c r="P731" s="32"/>
    </row>
    <row r="732">
      <c r="B732" s="35"/>
      <c r="G732" s="30"/>
      <c r="H732" s="30"/>
      <c r="L732" s="30"/>
      <c r="M732" s="30"/>
      <c r="O732" s="32"/>
      <c r="P732" s="32"/>
    </row>
    <row r="733">
      <c r="B733" s="35"/>
      <c r="G733" s="30"/>
      <c r="H733" s="30"/>
      <c r="L733" s="30"/>
      <c r="M733" s="30"/>
      <c r="O733" s="32"/>
      <c r="P733" s="32"/>
    </row>
    <row r="734">
      <c r="B734" s="35"/>
      <c r="G734" s="30"/>
      <c r="H734" s="30"/>
      <c r="L734" s="30"/>
      <c r="M734" s="30"/>
      <c r="O734" s="32"/>
      <c r="P734" s="32"/>
    </row>
    <row r="735">
      <c r="B735" s="35"/>
      <c r="G735" s="30"/>
      <c r="H735" s="30"/>
      <c r="L735" s="30"/>
      <c r="M735" s="30"/>
      <c r="O735" s="32"/>
      <c r="P735" s="32"/>
    </row>
    <row r="736">
      <c r="B736" s="35"/>
      <c r="G736" s="30"/>
      <c r="H736" s="30"/>
      <c r="L736" s="30"/>
      <c r="M736" s="30"/>
      <c r="O736" s="32"/>
      <c r="P736" s="32"/>
    </row>
    <row r="737">
      <c r="B737" s="35"/>
      <c r="G737" s="30"/>
      <c r="H737" s="30"/>
      <c r="L737" s="30"/>
      <c r="M737" s="30"/>
      <c r="O737" s="32"/>
      <c r="P737" s="32"/>
    </row>
    <row r="738">
      <c r="B738" s="35"/>
      <c r="G738" s="30"/>
      <c r="H738" s="30"/>
      <c r="L738" s="30"/>
      <c r="M738" s="30"/>
      <c r="O738" s="32"/>
      <c r="P738" s="32"/>
    </row>
    <row r="739">
      <c r="B739" s="35"/>
      <c r="G739" s="30"/>
      <c r="H739" s="30"/>
      <c r="L739" s="30"/>
      <c r="M739" s="30"/>
      <c r="O739" s="32"/>
      <c r="P739" s="32"/>
    </row>
    <row r="740">
      <c r="B740" s="35"/>
      <c r="G740" s="30"/>
      <c r="H740" s="30"/>
      <c r="L740" s="30"/>
      <c r="M740" s="30"/>
      <c r="O740" s="32"/>
      <c r="P740" s="32"/>
    </row>
    <row r="741">
      <c r="B741" s="35"/>
      <c r="G741" s="30"/>
      <c r="H741" s="30"/>
      <c r="L741" s="30"/>
      <c r="M741" s="30"/>
      <c r="O741" s="32"/>
      <c r="P741" s="32"/>
    </row>
    <row r="742">
      <c r="B742" s="35"/>
      <c r="G742" s="30"/>
      <c r="H742" s="30"/>
      <c r="L742" s="30"/>
      <c r="M742" s="30"/>
      <c r="O742" s="32"/>
      <c r="P742" s="32"/>
    </row>
    <row r="743">
      <c r="B743" s="35"/>
      <c r="G743" s="30"/>
      <c r="H743" s="30"/>
      <c r="L743" s="30"/>
      <c r="M743" s="30"/>
      <c r="O743" s="32"/>
      <c r="P743" s="32"/>
    </row>
    <row r="744">
      <c r="B744" s="35"/>
      <c r="G744" s="30"/>
      <c r="H744" s="30"/>
      <c r="L744" s="30"/>
      <c r="M744" s="30"/>
      <c r="O744" s="32"/>
      <c r="P744" s="32"/>
    </row>
    <row r="745">
      <c r="B745" s="35"/>
      <c r="G745" s="30"/>
      <c r="H745" s="30"/>
      <c r="L745" s="30"/>
      <c r="M745" s="30"/>
      <c r="O745" s="32"/>
      <c r="P745" s="32"/>
    </row>
    <row r="746">
      <c r="B746" s="35"/>
      <c r="G746" s="30"/>
      <c r="H746" s="30"/>
      <c r="L746" s="30"/>
      <c r="M746" s="30"/>
      <c r="O746" s="32"/>
      <c r="P746" s="32"/>
    </row>
    <row r="747">
      <c r="B747" s="35"/>
      <c r="G747" s="30"/>
      <c r="H747" s="30"/>
      <c r="L747" s="30"/>
      <c r="M747" s="30"/>
      <c r="O747" s="32"/>
      <c r="P747" s="32"/>
    </row>
    <row r="748">
      <c r="B748" s="35"/>
      <c r="G748" s="30"/>
      <c r="H748" s="30"/>
      <c r="L748" s="30"/>
      <c r="M748" s="30"/>
      <c r="O748" s="32"/>
      <c r="P748" s="32"/>
    </row>
    <row r="749">
      <c r="B749" s="35"/>
      <c r="G749" s="30"/>
      <c r="H749" s="30"/>
      <c r="L749" s="30"/>
      <c r="M749" s="30"/>
      <c r="O749" s="32"/>
      <c r="P749" s="32"/>
    </row>
    <row r="750">
      <c r="B750" s="35"/>
      <c r="G750" s="30"/>
      <c r="H750" s="30"/>
      <c r="L750" s="30"/>
      <c r="M750" s="30"/>
      <c r="O750" s="32"/>
      <c r="P750" s="32"/>
    </row>
    <row r="751">
      <c r="B751" s="35"/>
      <c r="G751" s="30"/>
      <c r="H751" s="30"/>
      <c r="L751" s="30"/>
      <c r="M751" s="30"/>
      <c r="O751" s="32"/>
      <c r="P751" s="32"/>
    </row>
    <row r="752">
      <c r="B752" s="35"/>
      <c r="G752" s="30"/>
      <c r="H752" s="30"/>
      <c r="L752" s="30"/>
      <c r="M752" s="30"/>
      <c r="O752" s="32"/>
      <c r="P752" s="32"/>
    </row>
    <row r="753">
      <c r="B753" s="35"/>
      <c r="G753" s="30"/>
      <c r="H753" s="30"/>
      <c r="L753" s="30"/>
      <c r="M753" s="30"/>
      <c r="O753" s="32"/>
      <c r="P753" s="32"/>
    </row>
    <row r="754">
      <c r="B754" s="35"/>
      <c r="G754" s="30"/>
      <c r="H754" s="30"/>
      <c r="L754" s="30"/>
      <c r="M754" s="30"/>
      <c r="O754" s="32"/>
      <c r="P754" s="32"/>
    </row>
    <row r="755">
      <c r="B755" s="35"/>
      <c r="G755" s="30"/>
      <c r="H755" s="30"/>
      <c r="L755" s="30"/>
      <c r="M755" s="30"/>
      <c r="O755" s="32"/>
      <c r="P755" s="32"/>
    </row>
    <row r="756">
      <c r="B756" s="35"/>
      <c r="G756" s="30"/>
      <c r="H756" s="30"/>
      <c r="L756" s="30"/>
      <c r="M756" s="30"/>
      <c r="O756" s="32"/>
      <c r="P756" s="32"/>
    </row>
    <row r="757">
      <c r="B757" s="35"/>
      <c r="G757" s="30"/>
      <c r="H757" s="30"/>
      <c r="L757" s="30"/>
      <c r="M757" s="30"/>
      <c r="O757" s="32"/>
      <c r="P757" s="32"/>
    </row>
    <row r="758">
      <c r="B758" s="35"/>
      <c r="G758" s="30"/>
      <c r="H758" s="30"/>
      <c r="L758" s="30"/>
      <c r="M758" s="30"/>
      <c r="O758" s="32"/>
      <c r="P758" s="32"/>
    </row>
    <row r="759">
      <c r="B759" s="35"/>
      <c r="G759" s="30"/>
      <c r="H759" s="30"/>
      <c r="L759" s="30"/>
      <c r="M759" s="30"/>
      <c r="O759" s="32"/>
      <c r="P759" s="32"/>
    </row>
    <row r="760">
      <c r="B760" s="35"/>
      <c r="G760" s="30"/>
      <c r="H760" s="30"/>
      <c r="L760" s="30"/>
      <c r="M760" s="30"/>
      <c r="O760" s="32"/>
      <c r="P760" s="32"/>
    </row>
    <row r="761">
      <c r="B761" s="35"/>
      <c r="G761" s="30"/>
      <c r="H761" s="30"/>
      <c r="L761" s="30"/>
      <c r="M761" s="30"/>
      <c r="O761" s="32"/>
      <c r="P761" s="32"/>
    </row>
    <row r="762">
      <c r="B762" s="35"/>
      <c r="G762" s="30"/>
      <c r="H762" s="30"/>
      <c r="L762" s="30"/>
      <c r="M762" s="30"/>
      <c r="O762" s="32"/>
      <c r="P762" s="32"/>
    </row>
    <row r="763">
      <c r="B763" s="35"/>
      <c r="G763" s="30"/>
      <c r="H763" s="30"/>
      <c r="L763" s="30"/>
      <c r="M763" s="30"/>
      <c r="O763" s="32"/>
      <c r="P763" s="32"/>
    </row>
    <row r="764">
      <c r="B764" s="35"/>
      <c r="G764" s="30"/>
      <c r="H764" s="30"/>
      <c r="L764" s="30"/>
      <c r="M764" s="30"/>
      <c r="O764" s="32"/>
      <c r="P764" s="32"/>
    </row>
    <row r="765">
      <c r="B765" s="35"/>
      <c r="G765" s="30"/>
      <c r="H765" s="30"/>
      <c r="L765" s="30"/>
      <c r="M765" s="30"/>
      <c r="O765" s="32"/>
      <c r="P765" s="32"/>
    </row>
    <row r="766">
      <c r="B766" s="35"/>
      <c r="G766" s="30"/>
      <c r="H766" s="30"/>
      <c r="L766" s="30"/>
      <c r="M766" s="30"/>
      <c r="O766" s="32"/>
      <c r="P766" s="32"/>
    </row>
    <row r="767">
      <c r="B767" s="35"/>
      <c r="G767" s="30"/>
      <c r="H767" s="30"/>
      <c r="L767" s="30"/>
      <c r="M767" s="30"/>
      <c r="O767" s="32"/>
      <c r="P767" s="32"/>
    </row>
    <row r="768">
      <c r="B768" s="35"/>
      <c r="G768" s="30"/>
      <c r="H768" s="30"/>
      <c r="L768" s="30"/>
      <c r="M768" s="30"/>
      <c r="O768" s="32"/>
      <c r="P768" s="32"/>
    </row>
    <row r="769">
      <c r="B769" s="35"/>
      <c r="G769" s="30"/>
      <c r="H769" s="30"/>
      <c r="L769" s="30"/>
      <c r="M769" s="30"/>
      <c r="O769" s="32"/>
      <c r="P769" s="32"/>
    </row>
    <row r="770">
      <c r="B770" s="35"/>
      <c r="G770" s="30"/>
      <c r="H770" s="30"/>
      <c r="L770" s="30"/>
      <c r="M770" s="30"/>
      <c r="O770" s="32"/>
      <c r="P770" s="32"/>
    </row>
    <row r="771">
      <c r="B771" s="35"/>
      <c r="G771" s="30"/>
      <c r="H771" s="30"/>
      <c r="L771" s="30"/>
      <c r="M771" s="30"/>
      <c r="O771" s="32"/>
      <c r="P771" s="32"/>
    </row>
    <row r="772">
      <c r="B772" s="35"/>
      <c r="G772" s="30"/>
      <c r="H772" s="30"/>
      <c r="L772" s="30"/>
      <c r="M772" s="30"/>
      <c r="O772" s="32"/>
      <c r="P772" s="32"/>
    </row>
    <row r="773">
      <c r="B773" s="35"/>
      <c r="G773" s="30"/>
      <c r="H773" s="30"/>
      <c r="L773" s="30"/>
      <c r="M773" s="30"/>
      <c r="O773" s="32"/>
      <c r="P773" s="32"/>
    </row>
    <row r="774">
      <c r="B774" s="35"/>
      <c r="G774" s="30"/>
      <c r="H774" s="30"/>
      <c r="L774" s="30"/>
      <c r="M774" s="30"/>
      <c r="O774" s="32"/>
      <c r="P774" s="32"/>
    </row>
    <row r="775">
      <c r="B775" s="35"/>
      <c r="G775" s="30"/>
      <c r="H775" s="30"/>
      <c r="L775" s="30"/>
      <c r="M775" s="30"/>
      <c r="O775" s="32"/>
      <c r="P775" s="32"/>
    </row>
    <row r="776">
      <c r="B776" s="35"/>
      <c r="G776" s="30"/>
      <c r="H776" s="30"/>
      <c r="L776" s="30"/>
      <c r="M776" s="30"/>
      <c r="O776" s="32"/>
      <c r="P776" s="32"/>
    </row>
    <row r="777">
      <c r="B777" s="35"/>
      <c r="G777" s="30"/>
      <c r="H777" s="30"/>
      <c r="L777" s="30"/>
      <c r="M777" s="30"/>
      <c r="O777" s="32"/>
      <c r="P777" s="32"/>
    </row>
    <row r="778">
      <c r="B778" s="35"/>
      <c r="G778" s="30"/>
      <c r="H778" s="30"/>
      <c r="L778" s="30"/>
      <c r="M778" s="30"/>
      <c r="O778" s="32"/>
      <c r="P778" s="32"/>
    </row>
    <row r="779">
      <c r="B779" s="35"/>
      <c r="G779" s="30"/>
      <c r="H779" s="30"/>
      <c r="L779" s="30"/>
      <c r="M779" s="30"/>
      <c r="O779" s="32"/>
      <c r="P779" s="32"/>
    </row>
    <row r="780">
      <c r="B780" s="35"/>
      <c r="G780" s="30"/>
      <c r="H780" s="30"/>
      <c r="L780" s="30"/>
      <c r="M780" s="30"/>
      <c r="O780" s="32"/>
      <c r="P780" s="32"/>
    </row>
    <row r="781">
      <c r="B781" s="35"/>
      <c r="G781" s="30"/>
      <c r="H781" s="30"/>
      <c r="L781" s="30"/>
      <c r="M781" s="30"/>
      <c r="O781" s="32"/>
      <c r="P781" s="32"/>
    </row>
    <row r="782">
      <c r="B782" s="35"/>
      <c r="G782" s="30"/>
      <c r="H782" s="30"/>
      <c r="L782" s="30"/>
      <c r="M782" s="30"/>
      <c r="O782" s="32"/>
      <c r="P782" s="32"/>
    </row>
    <row r="783">
      <c r="B783" s="35"/>
      <c r="G783" s="30"/>
      <c r="H783" s="30"/>
      <c r="L783" s="30"/>
      <c r="M783" s="30"/>
      <c r="O783" s="32"/>
      <c r="P783" s="32"/>
    </row>
    <row r="784">
      <c r="B784" s="35"/>
      <c r="G784" s="30"/>
      <c r="H784" s="30"/>
      <c r="L784" s="30"/>
      <c r="M784" s="30"/>
      <c r="O784" s="32"/>
      <c r="P784" s="32"/>
    </row>
    <row r="785">
      <c r="B785" s="35"/>
      <c r="G785" s="30"/>
      <c r="H785" s="30"/>
      <c r="L785" s="30"/>
      <c r="M785" s="30"/>
      <c r="O785" s="32"/>
      <c r="P785" s="32"/>
    </row>
    <row r="786">
      <c r="B786" s="35"/>
      <c r="G786" s="30"/>
      <c r="H786" s="30"/>
      <c r="L786" s="30"/>
      <c r="M786" s="30"/>
      <c r="O786" s="32"/>
      <c r="P786" s="32"/>
    </row>
    <row r="787">
      <c r="B787" s="35"/>
      <c r="G787" s="30"/>
      <c r="H787" s="30"/>
      <c r="L787" s="30"/>
      <c r="M787" s="30"/>
      <c r="O787" s="32"/>
      <c r="P787" s="32"/>
    </row>
    <row r="788">
      <c r="B788" s="35"/>
      <c r="G788" s="30"/>
      <c r="H788" s="30"/>
      <c r="L788" s="30"/>
      <c r="M788" s="30"/>
      <c r="O788" s="32"/>
      <c r="P788" s="32"/>
    </row>
    <row r="789">
      <c r="B789" s="35"/>
      <c r="G789" s="30"/>
      <c r="H789" s="30"/>
      <c r="L789" s="30"/>
      <c r="M789" s="30"/>
      <c r="O789" s="32"/>
      <c r="P789" s="32"/>
    </row>
    <row r="790">
      <c r="B790" s="35"/>
      <c r="G790" s="30"/>
      <c r="H790" s="30"/>
      <c r="L790" s="30"/>
      <c r="M790" s="30"/>
      <c r="O790" s="32"/>
      <c r="P790" s="32"/>
    </row>
    <row r="791">
      <c r="B791" s="35"/>
      <c r="G791" s="30"/>
      <c r="H791" s="30"/>
      <c r="L791" s="30"/>
      <c r="M791" s="30"/>
      <c r="O791" s="32"/>
      <c r="P791" s="32"/>
    </row>
    <row r="792">
      <c r="B792" s="35"/>
      <c r="G792" s="30"/>
      <c r="H792" s="30"/>
      <c r="L792" s="30"/>
      <c r="M792" s="30"/>
      <c r="O792" s="32"/>
      <c r="P792" s="32"/>
    </row>
    <row r="793">
      <c r="B793" s="35"/>
      <c r="G793" s="30"/>
      <c r="H793" s="30"/>
      <c r="L793" s="30"/>
      <c r="M793" s="30"/>
      <c r="O793" s="32"/>
      <c r="P793" s="32"/>
    </row>
    <row r="794">
      <c r="B794" s="35"/>
      <c r="G794" s="30"/>
      <c r="H794" s="30"/>
      <c r="L794" s="30"/>
      <c r="M794" s="30"/>
      <c r="O794" s="32"/>
      <c r="P794" s="32"/>
    </row>
    <row r="795">
      <c r="B795" s="35"/>
      <c r="G795" s="30"/>
      <c r="H795" s="30"/>
      <c r="L795" s="30"/>
      <c r="M795" s="30"/>
      <c r="O795" s="32"/>
      <c r="P795" s="32"/>
    </row>
    <row r="796">
      <c r="B796" s="35"/>
      <c r="G796" s="30"/>
      <c r="H796" s="30"/>
      <c r="L796" s="30"/>
      <c r="M796" s="30"/>
      <c r="O796" s="32"/>
      <c r="P796" s="32"/>
    </row>
    <row r="797">
      <c r="B797" s="35"/>
      <c r="G797" s="30"/>
      <c r="H797" s="30"/>
      <c r="L797" s="30"/>
      <c r="M797" s="30"/>
      <c r="O797" s="32"/>
      <c r="P797" s="32"/>
    </row>
    <row r="798">
      <c r="B798" s="35"/>
      <c r="G798" s="30"/>
      <c r="H798" s="30"/>
      <c r="L798" s="30"/>
      <c r="M798" s="30"/>
      <c r="O798" s="32"/>
      <c r="P798" s="32"/>
    </row>
    <row r="799">
      <c r="B799" s="35"/>
      <c r="G799" s="30"/>
      <c r="H799" s="30"/>
      <c r="L799" s="30"/>
      <c r="M799" s="30"/>
      <c r="O799" s="32"/>
      <c r="P799" s="32"/>
    </row>
    <row r="800">
      <c r="B800" s="35"/>
      <c r="G800" s="30"/>
      <c r="H800" s="30"/>
      <c r="L800" s="30"/>
      <c r="M800" s="30"/>
      <c r="O800" s="32"/>
      <c r="P800" s="32"/>
    </row>
    <row r="801">
      <c r="B801" s="35"/>
      <c r="G801" s="30"/>
      <c r="H801" s="30"/>
      <c r="L801" s="30"/>
      <c r="M801" s="30"/>
      <c r="O801" s="32"/>
      <c r="P801" s="32"/>
    </row>
    <row r="802">
      <c r="B802" s="35"/>
      <c r="G802" s="30"/>
      <c r="H802" s="30"/>
      <c r="L802" s="30"/>
      <c r="M802" s="30"/>
      <c r="O802" s="32"/>
      <c r="P802" s="32"/>
    </row>
    <row r="803">
      <c r="B803" s="35"/>
      <c r="G803" s="30"/>
      <c r="H803" s="30"/>
      <c r="L803" s="30"/>
      <c r="M803" s="30"/>
      <c r="O803" s="32"/>
      <c r="P803" s="32"/>
    </row>
    <row r="804">
      <c r="B804" s="35"/>
      <c r="G804" s="30"/>
      <c r="H804" s="30"/>
      <c r="L804" s="30"/>
      <c r="M804" s="30"/>
      <c r="O804" s="32"/>
      <c r="P804" s="32"/>
    </row>
    <row r="805">
      <c r="B805" s="35"/>
      <c r="G805" s="30"/>
      <c r="H805" s="30"/>
      <c r="L805" s="30"/>
      <c r="M805" s="30"/>
      <c r="O805" s="32"/>
      <c r="P805" s="32"/>
    </row>
    <row r="806">
      <c r="B806" s="35"/>
      <c r="G806" s="30"/>
      <c r="H806" s="30"/>
      <c r="L806" s="30"/>
      <c r="M806" s="30"/>
      <c r="O806" s="32"/>
      <c r="P806" s="32"/>
    </row>
    <row r="807">
      <c r="B807" s="35"/>
      <c r="G807" s="30"/>
      <c r="H807" s="30"/>
      <c r="L807" s="30"/>
      <c r="M807" s="30"/>
      <c r="O807" s="32"/>
      <c r="P807" s="32"/>
    </row>
    <row r="808">
      <c r="B808" s="35"/>
      <c r="G808" s="30"/>
      <c r="H808" s="30"/>
      <c r="L808" s="30"/>
      <c r="M808" s="30"/>
      <c r="O808" s="32"/>
      <c r="P808" s="32"/>
    </row>
    <row r="809">
      <c r="B809" s="35"/>
      <c r="G809" s="30"/>
      <c r="H809" s="30"/>
      <c r="L809" s="30"/>
      <c r="M809" s="30"/>
      <c r="O809" s="32"/>
      <c r="P809" s="32"/>
    </row>
    <row r="810">
      <c r="B810" s="35"/>
      <c r="G810" s="30"/>
      <c r="H810" s="30"/>
      <c r="L810" s="30"/>
      <c r="M810" s="30"/>
      <c r="O810" s="32"/>
      <c r="P810" s="32"/>
    </row>
    <row r="811">
      <c r="B811" s="35"/>
      <c r="G811" s="30"/>
      <c r="H811" s="30"/>
      <c r="L811" s="30"/>
      <c r="M811" s="30"/>
      <c r="O811" s="32"/>
      <c r="P811" s="32"/>
    </row>
    <row r="812">
      <c r="B812" s="35"/>
      <c r="G812" s="30"/>
      <c r="H812" s="30"/>
      <c r="L812" s="30"/>
      <c r="M812" s="30"/>
      <c r="O812" s="32"/>
      <c r="P812" s="32"/>
    </row>
    <row r="813">
      <c r="B813" s="35"/>
      <c r="G813" s="30"/>
      <c r="H813" s="30"/>
      <c r="L813" s="30"/>
      <c r="M813" s="30"/>
      <c r="O813" s="32"/>
      <c r="P813" s="32"/>
    </row>
    <row r="814">
      <c r="B814" s="35"/>
      <c r="G814" s="30"/>
      <c r="H814" s="30"/>
      <c r="L814" s="30"/>
      <c r="M814" s="30"/>
      <c r="O814" s="32"/>
      <c r="P814" s="32"/>
    </row>
    <row r="815">
      <c r="B815" s="35"/>
      <c r="G815" s="30"/>
      <c r="H815" s="30"/>
      <c r="L815" s="30"/>
      <c r="M815" s="30"/>
      <c r="O815" s="32"/>
      <c r="P815" s="32"/>
    </row>
    <row r="816">
      <c r="B816" s="35"/>
      <c r="G816" s="30"/>
      <c r="H816" s="30"/>
      <c r="L816" s="30"/>
      <c r="M816" s="30"/>
      <c r="O816" s="32"/>
      <c r="P816" s="32"/>
    </row>
    <row r="817">
      <c r="B817" s="35"/>
      <c r="G817" s="30"/>
      <c r="H817" s="30"/>
      <c r="L817" s="30"/>
      <c r="M817" s="30"/>
      <c r="O817" s="32"/>
      <c r="P817" s="32"/>
    </row>
    <row r="818">
      <c r="B818" s="35"/>
      <c r="G818" s="30"/>
      <c r="H818" s="30"/>
      <c r="L818" s="30"/>
      <c r="M818" s="30"/>
      <c r="O818" s="32"/>
      <c r="P818" s="32"/>
    </row>
    <row r="819">
      <c r="B819" s="35"/>
      <c r="G819" s="30"/>
      <c r="H819" s="30"/>
      <c r="L819" s="30"/>
      <c r="M819" s="30"/>
      <c r="O819" s="32"/>
      <c r="P819" s="32"/>
    </row>
    <row r="820">
      <c r="B820" s="35"/>
      <c r="G820" s="30"/>
      <c r="H820" s="30"/>
      <c r="L820" s="30"/>
      <c r="M820" s="30"/>
      <c r="O820" s="32"/>
      <c r="P820" s="32"/>
    </row>
    <row r="821">
      <c r="B821" s="35"/>
      <c r="G821" s="30"/>
      <c r="H821" s="30"/>
      <c r="L821" s="30"/>
      <c r="M821" s="30"/>
      <c r="O821" s="32"/>
      <c r="P821" s="32"/>
    </row>
    <row r="822">
      <c r="B822" s="35"/>
      <c r="G822" s="30"/>
      <c r="H822" s="30"/>
      <c r="L822" s="30"/>
      <c r="M822" s="30"/>
      <c r="O822" s="32"/>
      <c r="P822" s="32"/>
    </row>
    <row r="823">
      <c r="B823" s="35"/>
      <c r="G823" s="30"/>
      <c r="H823" s="30"/>
      <c r="L823" s="30"/>
      <c r="M823" s="30"/>
      <c r="O823" s="32"/>
      <c r="P823" s="32"/>
    </row>
    <row r="824">
      <c r="B824" s="35"/>
      <c r="G824" s="30"/>
      <c r="H824" s="30"/>
      <c r="L824" s="30"/>
      <c r="M824" s="30"/>
      <c r="O824" s="32"/>
      <c r="P824" s="32"/>
    </row>
    <row r="825">
      <c r="B825" s="35"/>
      <c r="G825" s="30"/>
      <c r="H825" s="30"/>
      <c r="L825" s="30"/>
      <c r="M825" s="30"/>
      <c r="O825" s="32"/>
      <c r="P825" s="32"/>
    </row>
    <row r="826">
      <c r="B826" s="35"/>
      <c r="G826" s="30"/>
      <c r="H826" s="30"/>
      <c r="L826" s="30"/>
      <c r="M826" s="30"/>
      <c r="O826" s="32"/>
      <c r="P826" s="32"/>
    </row>
    <row r="827">
      <c r="B827" s="35"/>
      <c r="G827" s="30"/>
      <c r="H827" s="30"/>
      <c r="L827" s="30"/>
      <c r="M827" s="30"/>
      <c r="O827" s="32"/>
      <c r="P827" s="32"/>
    </row>
    <row r="828">
      <c r="B828" s="35"/>
      <c r="G828" s="30"/>
      <c r="H828" s="30"/>
      <c r="L828" s="30"/>
      <c r="M828" s="30"/>
      <c r="O828" s="32"/>
      <c r="P828" s="32"/>
    </row>
    <row r="829">
      <c r="B829" s="35"/>
      <c r="G829" s="30"/>
      <c r="H829" s="30"/>
      <c r="L829" s="30"/>
      <c r="M829" s="30"/>
      <c r="O829" s="32"/>
      <c r="P829" s="32"/>
    </row>
    <row r="830">
      <c r="B830" s="35"/>
      <c r="G830" s="30"/>
      <c r="H830" s="30"/>
      <c r="L830" s="30"/>
      <c r="M830" s="30"/>
      <c r="O830" s="32"/>
      <c r="P830" s="32"/>
    </row>
    <row r="831">
      <c r="B831" s="35"/>
      <c r="G831" s="30"/>
      <c r="H831" s="30"/>
      <c r="L831" s="30"/>
      <c r="M831" s="30"/>
      <c r="O831" s="32"/>
      <c r="P831" s="32"/>
    </row>
    <row r="832">
      <c r="B832" s="35"/>
      <c r="G832" s="30"/>
      <c r="H832" s="30"/>
      <c r="L832" s="30"/>
      <c r="M832" s="30"/>
      <c r="O832" s="32"/>
      <c r="P832" s="32"/>
    </row>
    <row r="833">
      <c r="B833" s="35"/>
      <c r="G833" s="30"/>
      <c r="H833" s="30"/>
      <c r="L833" s="30"/>
      <c r="M833" s="30"/>
      <c r="O833" s="32"/>
      <c r="P833" s="32"/>
    </row>
    <row r="834">
      <c r="B834" s="35"/>
      <c r="G834" s="30"/>
      <c r="H834" s="30"/>
      <c r="L834" s="30"/>
      <c r="M834" s="30"/>
      <c r="O834" s="32"/>
      <c r="P834" s="32"/>
    </row>
    <row r="835">
      <c r="B835" s="35"/>
      <c r="G835" s="30"/>
      <c r="H835" s="30"/>
      <c r="L835" s="30"/>
      <c r="M835" s="30"/>
      <c r="O835" s="32"/>
      <c r="P835" s="32"/>
    </row>
    <row r="836">
      <c r="B836" s="35"/>
      <c r="G836" s="30"/>
      <c r="H836" s="30"/>
      <c r="L836" s="30"/>
      <c r="M836" s="30"/>
      <c r="O836" s="32"/>
      <c r="P836" s="32"/>
    </row>
    <row r="837">
      <c r="B837" s="35"/>
      <c r="G837" s="30"/>
      <c r="H837" s="30"/>
      <c r="L837" s="30"/>
      <c r="M837" s="30"/>
      <c r="O837" s="32"/>
      <c r="P837" s="32"/>
    </row>
    <row r="838">
      <c r="B838" s="35"/>
      <c r="G838" s="30"/>
      <c r="H838" s="30"/>
      <c r="L838" s="30"/>
      <c r="M838" s="30"/>
      <c r="O838" s="32"/>
      <c r="P838" s="32"/>
    </row>
    <row r="839">
      <c r="B839" s="35"/>
      <c r="G839" s="30"/>
      <c r="H839" s="30"/>
      <c r="L839" s="30"/>
      <c r="M839" s="30"/>
      <c r="O839" s="32"/>
      <c r="P839" s="32"/>
    </row>
    <row r="840">
      <c r="B840" s="35"/>
      <c r="G840" s="30"/>
      <c r="H840" s="30"/>
      <c r="L840" s="30"/>
      <c r="M840" s="30"/>
      <c r="O840" s="32"/>
      <c r="P840" s="32"/>
    </row>
    <row r="841">
      <c r="B841" s="35"/>
      <c r="G841" s="30"/>
      <c r="H841" s="30"/>
      <c r="L841" s="30"/>
      <c r="M841" s="30"/>
      <c r="O841" s="32"/>
      <c r="P841" s="32"/>
    </row>
    <row r="842">
      <c r="B842" s="35"/>
      <c r="G842" s="30"/>
      <c r="H842" s="30"/>
      <c r="L842" s="30"/>
      <c r="M842" s="30"/>
      <c r="O842" s="32"/>
      <c r="P842" s="32"/>
    </row>
    <row r="843">
      <c r="B843" s="35"/>
      <c r="G843" s="30"/>
      <c r="H843" s="30"/>
      <c r="L843" s="30"/>
      <c r="M843" s="30"/>
      <c r="O843" s="32"/>
      <c r="P843" s="32"/>
    </row>
    <row r="844">
      <c r="B844" s="35"/>
      <c r="G844" s="30"/>
      <c r="H844" s="30"/>
      <c r="L844" s="30"/>
      <c r="M844" s="30"/>
      <c r="O844" s="32"/>
      <c r="P844" s="32"/>
    </row>
    <row r="845">
      <c r="B845" s="35"/>
      <c r="G845" s="30"/>
      <c r="H845" s="30"/>
      <c r="L845" s="30"/>
      <c r="M845" s="30"/>
      <c r="O845" s="32"/>
      <c r="P845" s="32"/>
    </row>
    <row r="846">
      <c r="B846" s="35"/>
      <c r="G846" s="30"/>
      <c r="H846" s="30"/>
      <c r="L846" s="30"/>
      <c r="M846" s="30"/>
      <c r="O846" s="32"/>
      <c r="P846" s="32"/>
    </row>
    <row r="847">
      <c r="B847" s="35"/>
      <c r="G847" s="30"/>
      <c r="H847" s="30"/>
      <c r="L847" s="30"/>
      <c r="M847" s="30"/>
      <c r="O847" s="32"/>
      <c r="P847" s="32"/>
    </row>
    <row r="848">
      <c r="B848" s="35"/>
      <c r="G848" s="30"/>
      <c r="H848" s="30"/>
      <c r="L848" s="30"/>
      <c r="M848" s="30"/>
      <c r="O848" s="32"/>
      <c r="P848" s="32"/>
    </row>
    <row r="849">
      <c r="B849" s="35"/>
      <c r="G849" s="30"/>
      <c r="H849" s="30"/>
      <c r="L849" s="30"/>
      <c r="M849" s="30"/>
      <c r="O849" s="32"/>
      <c r="P849" s="32"/>
    </row>
    <row r="850">
      <c r="B850" s="35"/>
      <c r="G850" s="30"/>
      <c r="H850" s="30"/>
      <c r="L850" s="30"/>
      <c r="M850" s="30"/>
      <c r="O850" s="32"/>
      <c r="P850" s="32"/>
    </row>
    <row r="851">
      <c r="B851" s="35"/>
      <c r="G851" s="30"/>
      <c r="H851" s="30"/>
      <c r="L851" s="30"/>
      <c r="M851" s="30"/>
      <c r="O851" s="32"/>
      <c r="P851" s="32"/>
    </row>
    <row r="852">
      <c r="B852" s="35"/>
      <c r="G852" s="30"/>
      <c r="H852" s="30"/>
      <c r="L852" s="30"/>
      <c r="M852" s="30"/>
      <c r="O852" s="32"/>
      <c r="P852" s="32"/>
    </row>
    <row r="853">
      <c r="B853" s="35"/>
      <c r="G853" s="30"/>
      <c r="H853" s="30"/>
      <c r="L853" s="30"/>
      <c r="M853" s="30"/>
      <c r="O853" s="32"/>
      <c r="P853" s="32"/>
    </row>
    <row r="854">
      <c r="B854" s="35"/>
      <c r="G854" s="30"/>
      <c r="H854" s="30"/>
      <c r="L854" s="30"/>
      <c r="M854" s="30"/>
      <c r="O854" s="32"/>
      <c r="P854" s="32"/>
    </row>
    <row r="855">
      <c r="B855" s="35"/>
      <c r="G855" s="30"/>
      <c r="H855" s="30"/>
      <c r="L855" s="30"/>
      <c r="M855" s="30"/>
      <c r="O855" s="32"/>
      <c r="P855" s="32"/>
    </row>
    <row r="856">
      <c r="B856" s="35"/>
      <c r="G856" s="30"/>
      <c r="H856" s="30"/>
      <c r="L856" s="30"/>
      <c r="M856" s="30"/>
      <c r="O856" s="32"/>
      <c r="P856" s="32"/>
    </row>
    <row r="857">
      <c r="B857" s="35"/>
      <c r="G857" s="30"/>
      <c r="H857" s="30"/>
      <c r="L857" s="30"/>
      <c r="M857" s="30"/>
      <c r="O857" s="32"/>
      <c r="P857" s="32"/>
    </row>
    <row r="858">
      <c r="B858" s="35"/>
      <c r="G858" s="30"/>
      <c r="H858" s="30"/>
      <c r="L858" s="30"/>
      <c r="M858" s="30"/>
      <c r="O858" s="32"/>
      <c r="P858" s="32"/>
    </row>
    <row r="859">
      <c r="B859" s="35"/>
      <c r="G859" s="30"/>
      <c r="H859" s="30"/>
      <c r="L859" s="30"/>
      <c r="M859" s="30"/>
      <c r="O859" s="32"/>
      <c r="P859" s="32"/>
    </row>
    <row r="860">
      <c r="B860" s="35"/>
      <c r="G860" s="30"/>
      <c r="H860" s="30"/>
      <c r="L860" s="30"/>
      <c r="M860" s="30"/>
      <c r="O860" s="32"/>
      <c r="P860" s="32"/>
    </row>
    <row r="861">
      <c r="B861" s="35"/>
      <c r="G861" s="30"/>
      <c r="H861" s="30"/>
      <c r="L861" s="30"/>
      <c r="M861" s="30"/>
      <c r="O861" s="32"/>
      <c r="P861" s="32"/>
    </row>
    <row r="862">
      <c r="B862" s="35"/>
      <c r="G862" s="30"/>
      <c r="H862" s="30"/>
      <c r="L862" s="30"/>
      <c r="M862" s="30"/>
      <c r="O862" s="32"/>
      <c r="P862" s="32"/>
    </row>
    <row r="863">
      <c r="B863" s="35"/>
      <c r="G863" s="30"/>
      <c r="H863" s="30"/>
      <c r="L863" s="30"/>
      <c r="M863" s="30"/>
      <c r="O863" s="32"/>
      <c r="P863" s="32"/>
    </row>
    <row r="864">
      <c r="B864" s="35"/>
      <c r="G864" s="30"/>
      <c r="H864" s="30"/>
      <c r="L864" s="30"/>
      <c r="M864" s="30"/>
      <c r="O864" s="32"/>
      <c r="P864" s="32"/>
    </row>
    <row r="865">
      <c r="B865" s="35"/>
      <c r="G865" s="30"/>
      <c r="H865" s="30"/>
      <c r="L865" s="30"/>
      <c r="M865" s="30"/>
      <c r="O865" s="32"/>
      <c r="P865" s="32"/>
    </row>
    <row r="866">
      <c r="B866" s="35"/>
      <c r="G866" s="30"/>
      <c r="H866" s="30"/>
      <c r="L866" s="30"/>
      <c r="M866" s="30"/>
      <c r="O866" s="32"/>
      <c r="P866" s="32"/>
    </row>
    <row r="867">
      <c r="B867" s="35"/>
      <c r="G867" s="30"/>
      <c r="H867" s="30"/>
      <c r="L867" s="30"/>
      <c r="M867" s="30"/>
      <c r="O867" s="32"/>
      <c r="P867" s="32"/>
    </row>
    <row r="868">
      <c r="B868" s="35"/>
      <c r="G868" s="30"/>
      <c r="H868" s="30"/>
      <c r="L868" s="30"/>
      <c r="M868" s="30"/>
      <c r="O868" s="32"/>
      <c r="P868" s="32"/>
    </row>
    <row r="869">
      <c r="B869" s="35"/>
      <c r="G869" s="30"/>
      <c r="H869" s="30"/>
      <c r="L869" s="30"/>
      <c r="M869" s="30"/>
      <c r="O869" s="32"/>
      <c r="P869" s="32"/>
    </row>
    <row r="870">
      <c r="B870" s="35"/>
      <c r="G870" s="30"/>
      <c r="H870" s="30"/>
      <c r="L870" s="30"/>
      <c r="M870" s="30"/>
      <c r="O870" s="32"/>
      <c r="P870" s="32"/>
    </row>
    <row r="871">
      <c r="B871" s="35"/>
      <c r="G871" s="30"/>
      <c r="H871" s="30"/>
      <c r="L871" s="30"/>
      <c r="M871" s="30"/>
      <c r="O871" s="32"/>
      <c r="P871" s="32"/>
    </row>
    <row r="872">
      <c r="B872" s="35"/>
      <c r="G872" s="30"/>
      <c r="H872" s="30"/>
      <c r="L872" s="30"/>
      <c r="M872" s="30"/>
      <c r="O872" s="32"/>
      <c r="P872" s="32"/>
    </row>
    <row r="873">
      <c r="B873" s="35"/>
      <c r="G873" s="30"/>
      <c r="H873" s="30"/>
      <c r="L873" s="30"/>
      <c r="M873" s="30"/>
      <c r="O873" s="32"/>
      <c r="P873" s="32"/>
    </row>
    <row r="874">
      <c r="B874" s="35"/>
      <c r="G874" s="30"/>
      <c r="H874" s="30"/>
      <c r="L874" s="30"/>
      <c r="M874" s="30"/>
      <c r="O874" s="32"/>
      <c r="P874" s="32"/>
    </row>
    <row r="875">
      <c r="B875" s="35"/>
      <c r="G875" s="30"/>
      <c r="H875" s="30"/>
      <c r="L875" s="30"/>
      <c r="M875" s="30"/>
      <c r="O875" s="32"/>
      <c r="P875" s="32"/>
    </row>
    <row r="876">
      <c r="B876" s="35"/>
      <c r="G876" s="30"/>
      <c r="H876" s="30"/>
      <c r="L876" s="30"/>
      <c r="M876" s="30"/>
      <c r="O876" s="32"/>
      <c r="P876" s="32"/>
    </row>
    <row r="877">
      <c r="B877" s="35"/>
      <c r="G877" s="30"/>
      <c r="H877" s="30"/>
      <c r="L877" s="30"/>
      <c r="M877" s="30"/>
      <c r="O877" s="32"/>
      <c r="P877" s="32"/>
    </row>
    <row r="878">
      <c r="B878" s="35"/>
      <c r="G878" s="30"/>
      <c r="H878" s="30"/>
      <c r="L878" s="30"/>
      <c r="M878" s="30"/>
      <c r="O878" s="32"/>
      <c r="P878" s="32"/>
    </row>
    <row r="879">
      <c r="B879" s="35"/>
      <c r="G879" s="30"/>
      <c r="H879" s="30"/>
      <c r="L879" s="30"/>
      <c r="M879" s="30"/>
      <c r="O879" s="32"/>
      <c r="P879" s="32"/>
    </row>
    <row r="880">
      <c r="B880" s="35"/>
      <c r="G880" s="30"/>
      <c r="H880" s="30"/>
      <c r="L880" s="30"/>
      <c r="M880" s="30"/>
      <c r="O880" s="32"/>
      <c r="P880" s="32"/>
    </row>
    <row r="881">
      <c r="B881" s="35"/>
      <c r="G881" s="30"/>
      <c r="H881" s="30"/>
      <c r="L881" s="30"/>
      <c r="M881" s="30"/>
      <c r="O881" s="32"/>
      <c r="P881" s="32"/>
    </row>
    <row r="882">
      <c r="B882" s="35"/>
      <c r="G882" s="30"/>
      <c r="H882" s="30"/>
      <c r="L882" s="30"/>
      <c r="M882" s="30"/>
      <c r="O882" s="32"/>
      <c r="P882" s="32"/>
    </row>
    <row r="883">
      <c r="B883" s="35"/>
      <c r="G883" s="30"/>
      <c r="H883" s="30"/>
      <c r="L883" s="30"/>
      <c r="M883" s="30"/>
      <c r="O883" s="32"/>
      <c r="P883" s="32"/>
    </row>
    <row r="884">
      <c r="B884" s="35"/>
      <c r="G884" s="30"/>
      <c r="H884" s="30"/>
      <c r="L884" s="30"/>
      <c r="M884" s="30"/>
      <c r="O884" s="32"/>
      <c r="P884" s="32"/>
    </row>
    <row r="885">
      <c r="B885" s="35"/>
      <c r="G885" s="30"/>
      <c r="H885" s="30"/>
      <c r="L885" s="30"/>
      <c r="M885" s="30"/>
      <c r="O885" s="32"/>
      <c r="P885" s="32"/>
    </row>
    <row r="886">
      <c r="B886" s="35"/>
      <c r="G886" s="30"/>
      <c r="H886" s="30"/>
      <c r="L886" s="30"/>
      <c r="M886" s="30"/>
      <c r="O886" s="32"/>
      <c r="P886" s="32"/>
    </row>
    <row r="887">
      <c r="B887" s="35"/>
      <c r="G887" s="30"/>
      <c r="H887" s="30"/>
      <c r="L887" s="30"/>
      <c r="M887" s="30"/>
      <c r="O887" s="32"/>
      <c r="P887" s="32"/>
    </row>
    <row r="888">
      <c r="B888" s="35"/>
      <c r="G888" s="30"/>
      <c r="H888" s="30"/>
      <c r="L888" s="30"/>
      <c r="M888" s="30"/>
      <c r="O888" s="32"/>
      <c r="P888" s="32"/>
    </row>
    <row r="889">
      <c r="B889" s="35"/>
      <c r="G889" s="30"/>
      <c r="H889" s="30"/>
      <c r="L889" s="30"/>
      <c r="M889" s="30"/>
      <c r="O889" s="32"/>
      <c r="P889" s="32"/>
    </row>
    <row r="890">
      <c r="B890" s="35"/>
      <c r="G890" s="30"/>
      <c r="H890" s="30"/>
      <c r="L890" s="30"/>
      <c r="M890" s="30"/>
      <c r="O890" s="32"/>
      <c r="P890" s="32"/>
    </row>
    <row r="891">
      <c r="B891" s="35"/>
      <c r="G891" s="30"/>
      <c r="H891" s="30"/>
      <c r="L891" s="30"/>
      <c r="M891" s="30"/>
      <c r="O891" s="32"/>
      <c r="P891" s="32"/>
    </row>
    <row r="892">
      <c r="B892" s="35"/>
      <c r="G892" s="30"/>
      <c r="H892" s="30"/>
      <c r="L892" s="30"/>
      <c r="M892" s="30"/>
      <c r="O892" s="32"/>
      <c r="P892" s="32"/>
    </row>
    <row r="893">
      <c r="B893" s="35"/>
      <c r="G893" s="30"/>
      <c r="H893" s="30"/>
      <c r="L893" s="30"/>
      <c r="M893" s="30"/>
      <c r="O893" s="32"/>
      <c r="P893" s="32"/>
    </row>
    <row r="894">
      <c r="B894" s="35"/>
      <c r="G894" s="30"/>
      <c r="H894" s="30"/>
      <c r="L894" s="30"/>
      <c r="M894" s="30"/>
      <c r="O894" s="32"/>
      <c r="P894" s="32"/>
    </row>
    <row r="895">
      <c r="B895" s="35"/>
      <c r="G895" s="30"/>
      <c r="H895" s="30"/>
      <c r="L895" s="30"/>
      <c r="M895" s="30"/>
      <c r="O895" s="32"/>
      <c r="P895" s="32"/>
    </row>
    <row r="896">
      <c r="B896" s="35"/>
      <c r="G896" s="30"/>
      <c r="H896" s="30"/>
      <c r="L896" s="30"/>
      <c r="M896" s="30"/>
      <c r="O896" s="32"/>
      <c r="P896" s="32"/>
    </row>
    <row r="897">
      <c r="B897" s="35"/>
      <c r="G897" s="30"/>
      <c r="H897" s="30"/>
      <c r="L897" s="30"/>
      <c r="M897" s="30"/>
      <c r="O897" s="32"/>
      <c r="P897" s="32"/>
    </row>
    <row r="898">
      <c r="B898" s="35"/>
      <c r="G898" s="30"/>
      <c r="H898" s="30"/>
      <c r="L898" s="30"/>
      <c r="M898" s="30"/>
      <c r="O898" s="32"/>
      <c r="P898" s="32"/>
    </row>
    <row r="899">
      <c r="B899" s="35"/>
      <c r="G899" s="30"/>
      <c r="H899" s="30"/>
      <c r="L899" s="30"/>
      <c r="M899" s="30"/>
      <c r="O899" s="32"/>
      <c r="P899" s="32"/>
    </row>
    <row r="900">
      <c r="B900" s="35"/>
      <c r="G900" s="30"/>
      <c r="H900" s="30"/>
      <c r="L900" s="30"/>
      <c r="M900" s="30"/>
      <c r="O900" s="32"/>
      <c r="P900" s="32"/>
    </row>
    <row r="901">
      <c r="B901" s="35"/>
      <c r="G901" s="30"/>
      <c r="H901" s="30"/>
      <c r="L901" s="30"/>
      <c r="M901" s="30"/>
      <c r="O901" s="32"/>
      <c r="P901" s="32"/>
    </row>
    <row r="902">
      <c r="B902" s="35"/>
      <c r="G902" s="30"/>
      <c r="H902" s="30"/>
      <c r="L902" s="30"/>
      <c r="M902" s="30"/>
      <c r="O902" s="32"/>
      <c r="P902" s="32"/>
    </row>
    <row r="903">
      <c r="B903" s="35"/>
      <c r="G903" s="30"/>
      <c r="H903" s="30"/>
      <c r="L903" s="30"/>
      <c r="M903" s="30"/>
      <c r="O903" s="32"/>
      <c r="P903" s="32"/>
    </row>
    <row r="904">
      <c r="B904" s="35"/>
      <c r="G904" s="30"/>
      <c r="H904" s="30"/>
      <c r="L904" s="30"/>
      <c r="M904" s="30"/>
      <c r="O904" s="32"/>
      <c r="P904" s="32"/>
    </row>
    <row r="905">
      <c r="B905" s="35"/>
      <c r="G905" s="30"/>
      <c r="H905" s="30"/>
      <c r="L905" s="30"/>
      <c r="M905" s="30"/>
      <c r="O905" s="32"/>
      <c r="P905" s="32"/>
    </row>
    <row r="906">
      <c r="B906" s="35"/>
      <c r="G906" s="30"/>
      <c r="H906" s="30"/>
      <c r="L906" s="30"/>
      <c r="M906" s="30"/>
      <c r="O906" s="32"/>
      <c r="P906" s="32"/>
    </row>
    <row r="907">
      <c r="B907" s="35"/>
      <c r="G907" s="30"/>
      <c r="H907" s="30"/>
      <c r="L907" s="30"/>
      <c r="M907" s="30"/>
      <c r="O907" s="32"/>
      <c r="P907" s="32"/>
    </row>
    <row r="908">
      <c r="B908" s="35"/>
      <c r="G908" s="30"/>
      <c r="H908" s="30"/>
      <c r="L908" s="30"/>
      <c r="M908" s="30"/>
      <c r="O908" s="32"/>
      <c r="P908" s="32"/>
    </row>
    <row r="909">
      <c r="B909" s="35"/>
      <c r="G909" s="30"/>
      <c r="H909" s="30"/>
      <c r="L909" s="30"/>
      <c r="M909" s="30"/>
      <c r="O909" s="32"/>
      <c r="P909" s="32"/>
    </row>
    <row r="910">
      <c r="B910" s="35"/>
      <c r="G910" s="30"/>
      <c r="H910" s="30"/>
      <c r="L910" s="30"/>
      <c r="M910" s="30"/>
      <c r="O910" s="32"/>
      <c r="P910" s="32"/>
    </row>
    <row r="911">
      <c r="B911" s="35"/>
      <c r="G911" s="30"/>
      <c r="H911" s="30"/>
      <c r="L911" s="30"/>
      <c r="M911" s="30"/>
      <c r="O911" s="32"/>
      <c r="P911" s="32"/>
    </row>
    <row r="912">
      <c r="B912" s="35"/>
      <c r="G912" s="30"/>
      <c r="H912" s="30"/>
      <c r="L912" s="30"/>
      <c r="M912" s="30"/>
      <c r="O912" s="32"/>
      <c r="P912" s="32"/>
    </row>
    <row r="913">
      <c r="B913" s="35"/>
      <c r="G913" s="30"/>
      <c r="H913" s="30"/>
      <c r="L913" s="30"/>
      <c r="M913" s="30"/>
      <c r="O913" s="32"/>
      <c r="P913" s="32"/>
    </row>
    <row r="914">
      <c r="B914" s="35"/>
      <c r="G914" s="30"/>
      <c r="H914" s="30"/>
      <c r="L914" s="30"/>
      <c r="M914" s="30"/>
      <c r="O914" s="32"/>
      <c r="P914" s="32"/>
    </row>
    <row r="915">
      <c r="B915" s="35"/>
      <c r="G915" s="30"/>
      <c r="H915" s="30"/>
      <c r="L915" s="30"/>
      <c r="M915" s="30"/>
      <c r="O915" s="32"/>
      <c r="P915" s="32"/>
    </row>
    <row r="916">
      <c r="B916" s="35"/>
      <c r="G916" s="30"/>
      <c r="H916" s="30"/>
      <c r="L916" s="30"/>
      <c r="M916" s="30"/>
      <c r="O916" s="32"/>
      <c r="P916" s="32"/>
    </row>
    <row r="917">
      <c r="B917" s="35"/>
      <c r="G917" s="30"/>
      <c r="H917" s="30"/>
      <c r="L917" s="30"/>
      <c r="M917" s="30"/>
      <c r="O917" s="32"/>
      <c r="P917" s="32"/>
    </row>
    <row r="918">
      <c r="B918" s="35"/>
      <c r="G918" s="30"/>
      <c r="H918" s="30"/>
      <c r="L918" s="30"/>
      <c r="M918" s="30"/>
      <c r="O918" s="32"/>
      <c r="P918" s="32"/>
    </row>
    <row r="919">
      <c r="B919" s="35"/>
      <c r="G919" s="30"/>
      <c r="H919" s="30"/>
      <c r="L919" s="30"/>
      <c r="M919" s="30"/>
      <c r="O919" s="32"/>
      <c r="P919" s="32"/>
    </row>
    <row r="920">
      <c r="B920" s="35"/>
      <c r="G920" s="30"/>
      <c r="H920" s="30"/>
      <c r="L920" s="30"/>
      <c r="M920" s="30"/>
      <c r="O920" s="32"/>
      <c r="P920" s="32"/>
    </row>
    <row r="921">
      <c r="B921" s="35"/>
      <c r="G921" s="30"/>
      <c r="H921" s="30"/>
      <c r="L921" s="30"/>
      <c r="M921" s="30"/>
      <c r="O921" s="32"/>
      <c r="P921" s="32"/>
    </row>
    <row r="922">
      <c r="B922" s="35"/>
      <c r="G922" s="30"/>
      <c r="H922" s="30"/>
      <c r="L922" s="30"/>
      <c r="M922" s="30"/>
      <c r="O922" s="32"/>
      <c r="P922" s="32"/>
    </row>
    <row r="923">
      <c r="B923" s="35"/>
      <c r="G923" s="30"/>
      <c r="H923" s="30"/>
      <c r="L923" s="30"/>
      <c r="M923" s="30"/>
      <c r="O923" s="32"/>
      <c r="P923" s="32"/>
    </row>
    <row r="924">
      <c r="B924" s="35"/>
      <c r="G924" s="30"/>
      <c r="H924" s="30"/>
      <c r="L924" s="30"/>
      <c r="M924" s="30"/>
      <c r="O924" s="32"/>
      <c r="P924" s="32"/>
    </row>
    <row r="925">
      <c r="B925" s="35"/>
      <c r="G925" s="30"/>
      <c r="H925" s="30"/>
      <c r="L925" s="30"/>
      <c r="M925" s="30"/>
      <c r="O925" s="32"/>
      <c r="P925" s="32"/>
    </row>
    <row r="926">
      <c r="B926" s="35"/>
      <c r="G926" s="30"/>
      <c r="H926" s="30"/>
      <c r="L926" s="30"/>
      <c r="M926" s="30"/>
      <c r="O926" s="32"/>
      <c r="P926" s="32"/>
    </row>
    <row r="927">
      <c r="B927" s="35"/>
      <c r="G927" s="30"/>
      <c r="H927" s="30"/>
      <c r="L927" s="30"/>
      <c r="M927" s="30"/>
      <c r="O927" s="32"/>
      <c r="P927" s="32"/>
    </row>
    <row r="928">
      <c r="B928" s="35"/>
      <c r="G928" s="30"/>
      <c r="H928" s="30"/>
      <c r="L928" s="30"/>
      <c r="M928" s="30"/>
      <c r="O928" s="32"/>
      <c r="P928" s="32"/>
    </row>
    <row r="929">
      <c r="B929" s="35"/>
      <c r="G929" s="30"/>
      <c r="H929" s="30"/>
      <c r="L929" s="30"/>
      <c r="M929" s="30"/>
      <c r="O929" s="32"/>
      <c r="P929" s="32"/>
    </row>
    <row r="930">
      <c r="B930" s="35"/>
      <c r="G930" s="30"/>
      <c r="H930" s="30"/>
      <c r="L930" s="30"/>
      <c r="M930" s="30"/>
      <c r="O930" s="32"/>
      <c r="P930" s="32"/>
    </row>
    <row r="931">
      <c r="B931" s="35"/>
      <c r="G931" s="30"/>
      <c r="H931" s="30"/>
      <c r="L931" s="30"/>
      <c r="M931" s="30"/>
      <c r="O931" s="32"/>
      <c r="P931" s="32"/>
    </row>
    <row r="932">
      <c r="B932" s="35"/>
      <c r="G932" s="30"/>
      <c r="H932" s="30"/>
      <c r="L932" s="30"/>
      <c r="M932" s="30"/>
      <c r="O932" s="32"/>
      <c r="P932" s="32"/>
    </row>
    <row r="933">
      <c r="B933" s="35"/>
      <c r="G933" s="30"/>
      <c r="H933" s="30"/>
      <c r="L933" s="30"/>
      <c r="M933" s="30"/>
      <c r="O933" s="32"/>
      <c r="P933" s="32"/>
    </row>
    <row r="934">
      <c r="B934" s="35"/>
      <c r="G934" s="30"/>
      <c r="H934" s="30"/>
      <c r="L934" s="30"/>
      <c r="M934" s="30"/>
      <c r="O934" s="32"/>
      <c r="P934" s="32"/>
    </row>
    <row r="935">
      <c r="B935" s="35"/>
      <c r="G935" s="30"/>
      <c r="H935" s="30"/>
      <c r="L935" s="30"/>
      <c r="M935" s="30"/>
      <c r="O935" s="32"/>
      <c r="P935" s="32"/>
    </row>
    <row r="936">
      <c r="B936" s="35"/>
      <c r="G936" s="30"/>
      <c r="H936" s="30"/>
      <c r="L936" s="30"/>
      <c r="M936" s="30"/>
      <c r="O936" s="32"/>
      <c r="P936" s="32"/>
    </row>
    <row r="937">
      <c r="B937" s="35"/>
      <c r="G937" s="30"/>
      <c r="H937" s="30"/>
      <c r="L937" s="30"/>
      <c r="M937" s="30"/>
      <c r="O937" s="32"/>
      <c r="P937" s="32"/>
    </row>
    <row r="938">
      <c r="B938" s="35"/>
      <c r="G938" s="30"/>
      <c r="H938" s="30"/>
      <c r="L938" s="30"/>
      <c r="M938" s="30"/>
      <c r="O938" s="32"/>
      <c r="P938" s="32"/>
    </row>
    <row r="939">
      <c r="B939" s="35"/>
      <c r="G939" s="30"/>
      <c r="H939" s="30"/>
      <c r="L939" s="30"/>
      <c r="M939" s="30"/>
      <c r="O939" s="32"/>
      <c r="P939" s="32"/>
    </row>
    <row r="940">
      <c r="B940" s="35"/>
      <c r="G940" s="30"/>
      <c r="H940" s="30"/>
      <c r="L940" s="30"/>
      <c r="M940" s="30"/>
      <c r="O940" s="32"/>
      <c r="P940" s="32"/>
    </row>
    <row r="941">
      <c r="B941" s="35"/>
      <c r="G941" s="30"/>
      <c r="H941" s="30"/>
      <c r="L941" s="30"/>
      <c r="M941" s="30"/>
      <c r="O941" s="32"/>
      <c r="P941" s="32"/>
    </row>
    <row r="942">
      <c r="B942" s="35"/>
      <c r="G942" s="30"/>
      <c r="H942" s="30"/>
      <c r="L942" s="30"/>
      <c r="M942" s="30"/>
      <c r="O942" s="32"/>
      <c r="P942" s="32"/>
    </row>
    <row r="943">
      <c r="B943" s="35"/>
      <c r="G943" s="30"/>
      <c r="H943" s="30"/>
      <c r="L943" s="30"/>
      <c r="M943" s="30"/>
      <c r="O943" s="32"/>
      <c r="P943" s="32"/>
    </row>
    <row r="944">
      <c r="B944" s="35"/>
      <c r="G944" s="30"/>
      <c r="H944" s="30"/>
      <c r="L944" s="30"/>
      <c r="M944" s="30"/>
      <c r="O944" s="32"/>
      <c r="P944" s="32"/>
    </row>
    <row r="945">
      <c r="B945" s="35"/>
      <c r="G945" s="30"/>
      <c r="H945" s="30"/>
      <c r="L945" s="30"/>
      <c r="M945" s="30"/>
      <c r="O945" s="32"/>
      <c r="P945" s="32"/>
    </row>
    <row r="946">
      <c r="B946" s="35"/>
      <c r="G946" s="30"/>
      <c r="H946" s="30"/>
      <c r="L946" s="30"/>
      <c r="M946" s="30"/>
      <c r="O946" s="32"/>
      <c r="P946" s="32"/>
    </row>
    <row r="947">
      <c r="B947" s="35"/>
      <c r="G947" s="30"/>
      <c r="H947" s="30"/>
      <c r="L947" s="30"/>
      <c r="M947" s="30"/>
      <c r="O947" s="32"/>
      <c r="P947" s="32"/>
    </row>
    <row r="948">
      <c r="B948" s="35"/>
      <c r="G948" s="30"/>
      <c r="H948" s="30"/>
      <c r="L948" s="30"/>
      <c r="M948" s="30"/>
      <c r="O948" s="32"/>
      <c r="P948" s="32"/>
    </row>
    <row r="949">
      <c r="B949" s="35"/>
      <c r="G949" s="30"/>
      <c r="H949" s="30"/>
      <c r="L949" s="30"/>
      <c r="M949" s="30"/>
      <c r="O949" s="32"/>
      <c r="P949" s="32"/>
    </row>
    <row r="950">
      <c r="B950" s="35"/>
      <c r="G950" s="30"/>
      <c r="H950" s="30"/>
      <c r="L950" s="30"/>
      <c r="M950" s="30"/>
      <c r="O950" s="32"/>
      <c r="P950" s="32"/>
    </row>
    <row r="951">
      <c r="B951" s="35"/>
      <c r="G951" s="30"/>
      <c r="H951" s="30"/>
      <c r="L951" s="30"/>
      <c r="M951" s="30"/>
      <c r="O951" s="32"/>
      <c r="P951" s="32"/>
    </row>
    <row r="952">
      <c r="B952" s="35"/>
      <c r="G952" s="30"/>
      <c r="H952" s="30"/>
      <c r="L952" s="30"/>
      <c r="M952" s="30"/>
      <c r="O952" s="32"/>
      <c r="P952" s="32"/>
    </row>
    <row r="953">
      <c r="B953" s="35"/>
      <c r="G953" s="30"/>
      <c r="H953" s="30"/>
      <c r="L953" s="30"/>
      <c r="M953" s="30"/>
      <c r="O953" s="32"/>
      <c r="P953" s="32"/>
    </row>
    <row r="954">
      <c r="B954" s="35"/>
      <c r="G954" s="30"/>
      <c r="H954" s="30"/>
      <c r="L954" s="30"/>
      <c r="M954" s="30"/>
      <c r="O954" s="32"/>
      <c r="P954" s="32"/>
    </row>
    <row r="955">
      <c r="B955" s="35"/>
      <c r="G955" s="30"/>
      <c r="H955" s="30"/>
      <c r="L955" s="30"/>
      <c r="M955" s="30"/>
      <c r="O955" s="32"/>
      <c r="P955" s="32"/>
    </row>
    <row r="956">
      <c r="B956" s="35"/>
      <c r="G956" s="30"/>
      <c r="H956" s="30"/>
      <c r="L956" s="30"/>
      <c r="M956" s="30"/>
      <c r="O956" s="32"/>
      <c r="P956" s="32"/>
    </row>
    <row r="957">
      <c r="B957" s="35"/>
      <c r="G957" s="30"/>
      <c r="H957" s="30"/>
      <c r="L957" s="30"/>
      <c r="M957" s="30"/>
      <c r="O957" s="32"/>
      <c r="P957" s="32"/>
    </row>
    <row r="958">
      <c r="B958" s="35"/>
      <c r="G958" s="30"/>
      <c r="H958" s="30"/>
      <c r="L958" s="30"/>
      <c r="M958" s="30"/>
      <c r="O958" s="32"/>
      <c r="P958" s="32"/>
    </row>
    <row r="959">
      <c r="B959" s="35"/>
      <c r="G959" s="30"/>
      <c r="H959" s="30"/>
      <c r="L959" s="30"/>
      <c r="M959" s="30"/>
      <c r="O959" s="32"/>
      <c r="P959" s="32"/>
    </row>
    <row r="960">
      <c r="B960" s="35"/>
      <c r="G960" s="30"/>
      <c r="H960" s="30"/>
      <c r="L960" s="30"/>
      <c r="M960" s="30"/>
      <c r="O960" s="32"/>
      <c r="P960" s="32"/>
    </row>
    <row r="961">
      <c r="B961" s="35"/>
      <c r="G961" s="30"/>
      <c r="H961" s="30"/>
      <c r="L961" s="30"/>
      <c r="M961" s="30"/>
      <c r="O961" s="32"/>
      <c r="P961" s="32"/>
    </row>
    <row r="962">
      <c r="B962" s="35"/>
      <c r="G962" s="30"/>
      <c r="H962" s="30"/>
      <c r="L962" s="30"/>
      <c r="M962" s="30"/>
      <c r="O962" s="32"/>
      <c r="P962" s="32"/>
    </row>
    <row r="963">
      <c r="B963" s="35"/>
      <c r="G963" s="30"/>
      <c r="H963" s="30"/>
      <c r="L963" s="30"/>
      <c r="M963" s="30"/>
      <c r="O963" s="32"/>
      <c r="P963" s="32"/>
    </row>
    <row r="964">
      <c r="B964" s="35"/>
      <c r="G964" s="30"/>
      <c r="H964" s="30"/>
      <c r="L964" s="30"/>
      <c r="M964" s="30"/>
      <c r="O964" s="32"/>
      <c r="P964" s="32"/>
    </row>
    <row r="965">
      <c r="B965" s="35"/>
      <c r="G965" s="30"/>
      <c r="H965" s="30"/>
      <c r="L965" s="30"/>
      <c r="M965" s="30"/>
      <c r="O965" s="32"/>
      <c r="P965" s="32"/>
    </row>
    <row r="966">
      <c r="B966" s="35"/>
      <c r="G966" s="30"/>
      <c r="H966" s="30"/>
      <c r="L966" s="30"/>
      <c r="M966" s="30"/>
      <c r="O966" s="32"/>
      <c r="P966" s="32"/>
    </row>
    <row r="967">
      <c r="B967" s="35"/>
      <c r="G967" s="30"/>
      <c r="H967" s="30"/>
      <c r="L967" s="30"/>
      <c r="M967" s="30"/>
      <c r="O967" s="32"/>
      <c r="P967" s="32"/>
    </row>
    <row r="968">
      <c r="B968" s="35"/>
      <c r="G968" s="30"/>
      <c r="H968" s="30"/>
      <c r="L968" s="30"/>
      <c r="M968" s="30"/>
      <c r="O968" s="32"/>
      <c r="P968" s="32"/>
    </row>
    <row r="969">
      <c r="B969" s="35"/>
      <c r="G969" s="30"/>
      <c r="H969" s="30"/>
      <c r="L969" s="30"/>
      <c r="M969" s="30"/>
      <c r="O969" s="32"/>
      <c r="P969" s="32"/>
    </row>
    <row r="970">
      <c r="B970" s="35"/>
      <c r="G970" s="30"/>
      <c r="H970" s="30"/>
      <c r="L970" s="30"/>
      <c r="M970" s="30"/>
      <c r="O970" s="32"/>
      <c r="P970" s="32"/>
    </row>
    <row r="971">
      <c r="B971" s="35"/>
      <c r="G971" s="30"/>
      <c r="H971" s="30"/>
      <c r="L971" s="30"/>
      <c r="M971" s="30"/>
      <c r="O971" s="32"/>
      <c r="P971" s="32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88"/>
    <col customWidth="1" min="2" max="19" width="9.5"/>
  </cols>
  <sheetData>
    <row r="1">
      <c r="A1" s="1"/>
      <c r="B1" s="2" t="s">
        <v>0</v>
      </c>
      <c r="C1" s="2" t="s">
        <v>2</v>
      </c>
      <c r="D1" s="5" t="s">
        <v>3</v>
      </c>
      <c r="E1" s="2" t="s">
        <v>4</v>
      </c>
      <c r="F1" s="8" t="s">
        <v>6</v>
      </c>
      <c r="G1" s="6" t="s">
        <v>8</v>
      </c>
      <c r="H1" s="6" t="s">
        <v>10</v>
      </c>
      <c r="I1" s="2" t="s">
        <v>12</v>
      </c>
      <c r="J1" s="5" t="s">
        <v>14</v>
      </c>
      <c r="K1" s="2" t="s">
        <v>16</v>
      </c>
      <c r="L1" s="6" t="s">
        <v>19</v>
      </c>
      <c r="M1" s="6" t="s">
        <v>22</v>
      </c>
      <c r="N1" s="2" t="s">
        <v>24</v>
      </c>
      <c r="O1" s="9" t="s">
        <v>26</v>
      </c>
      <c r="P1" s="9" t="s">
        <v>28</v>
      </c>
      <c r="Q1" s="2" t="s">
        <v>30</v>
      </c>
      <c r="R1" s="2" t="s">
        <v>32</v>
      </c>
      <c r="S1" s="9" t="s">
        <v>34</v>
      </c>
    </row>
    <row r="2">
      <c r="A2" s="2" t="s">
        <v>51</v>
      </c>
      <c r="B2" s="11">
        <v>3.0</v>
      </c>
      <c r="C2" s="13">
        <f t="shared" ref="C2:C33" si="1">B2*4</f>
        <v>12</v>
      </c>
      <c r="D2" s="14">
        <v>6.0</v>
      </c>
      <c r="E2" s="11">
        <v>4.0</v>
      </c>
      <c r="F2" s="15">
        <f t="shared" ref="F2:F33" si="2">D2+E2</f>
        <v>10</v>
      </c>
      <c r="G2" s="16">
        <f t="shared" ref="G2:G33" si="3">F2/C2</f>
        <v>0.8333333333</v>
      </c>
      <c r="H2" s="16">
        <f t="shared" ref="H2:H33" si="4">D2/F2</f>
        <v>0.6</v>
      </c>
      <c r="I2" s="13">
        <f t="shared" ref="I2:I33" si="5">J2+K2</f>
        <v>1</v>
      </c>
      <c r="J2" s="14">
        <v>0.0</v>
      </c>
      <c r="K2" s="11">
        <v>1.0</v>
      </c>
      <c r="L2" s="16">
        <f t="shared" ref="L2:L33" si="6">I2/C2</f>
        <v>0.08333333333</v>
      </c>
      <c r="M2" s="16">
        <f t="shared" ref="M2:M33" si="7">J2/I2</f>
        <v>0</v>
      </c>
      <c r="N2" s="19">
        <f t="shared" ref="N2:N33" si="8">4*(D2-K2)</f>
        <v>20</v>
      </c>
      <c r="O2" s="18">
        <f t="shared" ref="O2:O33" si="9">N2/C2</f>
        <v>1.666666667</v>
      </c>
      <c r="P2" s="18">
        <f t="shared" ref="P2:P33" si="10">N2/B2</f>
        <v>6.666666667</v>
      </c>
      <c r="Q2" s="11">
        <v>5.0</v>
      </c>
      <c r="R2" s="19">
        <f t="shared" ref="R2:R33" si="11">N2+10*Q2</f>
        <v>70</v>
      </c>
      <c r="S2" s="18">
        <f t="shared" ref="S2:S33" si="12">R2/B2</f>
        <v>23.33333333</v>
      </c>
    </row>
    <row r="3">
      <c r="A3" s="2" t="s">
        <v>39</v>
      </c>
      <c r="B3" s="11">
        <v>3.0</v>
      </c>
      <c r="C3" s="13">
        <f t="shared" si="1"/>
        <v>12</v>
      </c>
      <c r="D3" s="14">
        <v>8.0</v>
      </c>
      <c r="E3" s="11">
        <v>4.0</v>
      </c>
      <c r="F3" s="15">
        <f t="shared" si="2"/>
        <v>12</v>
      </c>
      <c r="G3" s="16">
        <f t="shared" si="3"/>
        <v>1</v>
      </c>
      <c r="H3" s="16">
        <f t="shared" si="4"/>
        <v>0.6666666667</v>
      </c>
      <c r="I3" s="13">
        <f t="shared" si="5"/>
        <v>2</v>
      </c>
      <c r="J3" s="14">
        <v>2.0</v>
      </c>
      <c r="K3" s="11">
        <v>0.0</v>
      </c>
      <c r="L3" s="16">
        <f t="shared" si="6"/>
        <v>0.1666666667</v>
      </c>
      <c r="M3" s="16">
        <f t="shared" si="7"/>
        <v>1</v>
      </c>
      <c r="N3" s="19">
        <f t="shared" si="8"/>
        <v>32</v>
      </c>
      <c r="O3" s="18">
        <f t="shared" si="9"/>
        <v>2.666666667</v>
      </c>
      <c r="P3" s="18">
        <f t="shared" si="10"/>
        <v>10.66666667</v>
      </c>
      <c r="Q3" s="11">
        <v>2.0</v>
      </c>
      <c r="R3" s="19">
        <f t="shared" si="11"/>
        <v>52</v>
      </c>
      <c r="S3" s="18">
        <f t="shared" si="12"/>
        <v>17.33333333</v>
      </c>
    </row>
    <row r="4">
      <c r="A4" s="2" t="s">
        <v>56</v>
      </c>
      <c r="B4" s="11">
        <v>3.0</v>
      </c>
      <c r="C4" s="13">
        <f t="shared" si="1"/>
        <v>12</v>
      </c>
      <c r="D4" s="14">
        <v>5.0</v>
      </c>
      <c r="E4" s="20">
        <v>4.0</v>
      </c>
      <c r="F4" s="25">
        <f t="shared" si="2"/>
        <v>9</v>
      </c>
      <c r="G4" s="23">
        <f t="shared" si="3"/>
        <v>0.75</v>
      </c>
      <c r="H4" s="23">
        <f t="shared" si="4"/>
        <v>0.5555555556</v>
      </c>
      <c r="I4" s="13">
        <f t="shared" si="5"/>
        <v>2</v>
      </c>
      <c r="J4" s="14">
        <v>2.0</v>
      </c>
      <c r="K4" s="11">
        <v>0.0</v>
      </c>
      <c r="L4" s="16">
        <f t="shared" si="6"/>
        <v>0.1666666667</v>
      </c>
      <c r="M4" s="16">
        <f t="shared" si="7"/>
        <v>1</v>
      </c>
      <c r="N4" s="19">
        <f t="shared" si="8"/>
        <v>20</v>
      </c>
      <c r="O4" s="18">
        <f t="shared" si="9"/>
        <v>1.666666667</v>
      </c>
      <c r="P4" s="18">
        <f t="shared" si="10"/>
        <v>6.666666667</v>
      </c>
      <c r="Q4" s="11">
        <v>3.0</v>
      </c>
      <c r="R4" s="19">
        <f t="shared" si="11"/>
        <v>50</v>
      </c>
      <c r="S4" s="18">
        <f t="shared" si="12"/>
        <v>16.66666667</v>
      </c>
    </row>
    <row r="5">
      <c r="A5" s="2" t="s">
        <v>63</v>
      </c>
      <c r="B5" s="11">
        <v>3.0</v>
      </c>
      <c r="C5" s="13">
        <f t="shared" si="1"/>
        <v>12</v>
      </c>
      <c r="D5" s="14">
        <v>5.0</v>
      </c>
      <c r="E5" s="11">
        <v>6.0</v>
      </c>
      <c r="F5" s="15">
        <f t="shared" si="2"/>
        <v>11</v>
      </c>
      <c r="G5" s="16">
        <f t="shared" si="3"/>
        <v>0.9166666667</v>
      </c>
      <c r="H5" s="16">
        <f t="shared" si="4"/>
        <v>0.4545454545</v>
      </c>
      <c r="I5" s="13">
        <f t="shared" si="5"/>
        <v>0</v>
      </c>
      <c r="J5" s="14">
        <v>0.0</v>
      </c>
      <c r="K5" s="11">
        <v>0.0</v>
      </c>
      <c r="L5" s="16">
        <f t="shared" si="6"/>
        <v>0</v>
      </c>
      <c r="M5" s="16" t="str">
        <f t="shared" si="7"/>
        <v>#DIV/0!</v>
      </c>
      <c r="N5" s="19">
        <f t="shared" si="8"/>
        <v>20</v>
      </c>
      <c r="O5" s="18">
        <f t="shared" si="9"/>
        <v>1.666666667</v>
      </c>
      <c r="P5" s="18">
        <f t="shared" si="10"/>
        <v>6.666666667</v>
      </c>
      <c r="Q5" s="11">
        <v>3.0</v>
      </c>
      <c r="R5" s="19">
        <f t="shared" si="11"/>
        <v>50</v>
      </c>
      <c r="S5" s="18">
        <f t="shared" si="12"/>
        <v>16.66666667</v>
      </c>
    </row>
    <row r="6">
      <c r="A6" s="2" t="s">
        <v>44</v>
      </c>
      <c r="B6" s="11">
        <v>3.0</v>
      </c>
      <c r="C6" s="13">
        <f t="shared" si="1"/>
        <v>12</v>
      </c>
      <c r="D6" s="14">
        <v>6.0</v>
      </c>
      <c r="E6" s="11">
        <v>3.0</v>
      </c>
      <c r="F6" s="15">
        <f t="shared" si="2"/>
        <v>9</v>
      </c>
      <c r="G6" s="16">
        <f t="shared" si="3"/>
        <v>0.75</v>
      </c>
      <c r="H6" s="16">
        <f t="shared" si="4"/>
        <v>0.6666666667</v>
      </c>
      <c r="I6" s="13">
        <f t="shared" si="5"/>
        <v>0</v>
      </c>
      <c r="J6" s="14">
        <v>0.0</v>
      </c>
      <c r="K6" s="11">
        <v>0.0</v>
      </c>
      <c r="L6" s="16">
        <f t="shared" si="6"/>
        <v>0</v>
      </c>
      <c r="M6" s="16" t="str">
        <f t="shared" si="7"/>
        <v>#DIV/0!</v>
      </c>
      <c r="N6" s="19">
        <f t="shared" si="8"/>
        <v>24</v>
      </c>
      <c r="O6" s="18">
        <f t="shared" si="9"/>
        <v>2</v>
      </c>
      <c r="P6" s="18">
        <f t="shared" si="10"/>
        <v>8</v>
      </c>
      <c r="Q6" s="11">
        <v>2.0</v>
      </c>
      <c r="R6" s="19">
        <f t="shared" si="11"/>
        <v>44</v>
      </c>
      <c r="S6" s="18">
        <f t="shared" si="12"/>
        <v>14.66666667</v>
      </c>
    </row>
    <row r="7">
      <c r="A7" s="2" t="s">
        <v>62</v>
      </c>
      <c r="B7" s="11">
        <v>3.0</v>
      </c>
      <c r="C7" s="13">
        <f t="shared" si="1"/>
        <v>12</v>
      </c>
      <c r="D7" s="14">
        <v>5.0</v>
      </c>
      <c r="E7" s="20">
        <v>4.0</v>
      </c>
      <c r="F7" s="25">
        <f t="shared" si="2"/>
        <v>9</v>
      </c>
      <c r="G7" s="23">
        <f t="shared" si="3"/>
        <v>0.75</v>
      </c>
      <c r="H7" s="23">
        <f t="shared" si="4"/>
        <v>0.5555555556</v>
      </c>
      <c r="I7" s="13">
        <f t="shared" si="5"/>
        <v>1</v>
      </c>
      <c r="J7" s="14">
        <v>1.0</v>
      </c>
      <c r="K7" s="11">
        <v>0.0</v>
      </c>
      <c r="L7" s="16">
        <f t="shared" si="6"/>
        <v>0.08333333333</v>
      </c>
      <c r="M7" s="16">
        <f t="shared" si="7"/>
        <v>1</v>
      </c>
      <c r="N7" s="19">
        <f t="shared" si="8"/>
        <v>20</v>
      </c>
      <c r="O7" s="18">
        <f t="shared" si="9"/>
        <v>1.666666667</v>
      </c>
      <c r="P7" s="18">
        <f t="shared" si="10"/>
        <v>6.666666667</v>
      </c>
      <c r="Q7" s="11">
        <v>2.0</v>
      </c>
      <c r="R7" s="19">
        <f t="shared" si="11"/>
        <v>40</v>
      </c>
      <c r="S7" s="18">
        <f t="shared" si="12"/>
        <v>13.33333333</v>
      </c>
    </row>
    <row r="8">
      <c r="A8" s="2" t="s">
        <v>70</v>
      </c>
      <c r="B8" s="11">
        <v>3.0</v>
      </c>
      <c r="C8" s="13">
        <f t="shared" si="1"/>
        <v>12</v>
      </c>
      <c r="D8" s="14">
        <v>6.0</v>
      </c>
      <c r="E8" s="11">
        <v>6.0</v>
      </c>
      <c r="F8" s="15">
        <f t="shared" si="2"/>
        <v>12</v>
      </c>
      <c r="G8" s="16">
        <f t="shared" si="3"/>
        <v>1</v>
      </c>
      <c r="H8" s="16">
        <f t="shared" si="4"/>
        <v>0.5</v>
      </c>
      <c r="I8" s="13">
        <f t="shared" si="5"/>
        <v>1</v>
      </c>
      <c r="J8" s="14">
        <v>0.0</v>
      </c>
      <c r="K8" s="11">
        <v>1.0</v>
      </c>
      <c r="L8" s="16">
        <f t="shared" si="6"/>
        <v>0.08333333333</v>
      </c>
      <c r="M8" s="16">
        <f t="shared" si="7"/>
        <v>0</v>
      </c>
      <c r="N8" s="19">
        <f t="shared" si="8"/>
        <v>20</v>
      </c>
      <c r="O8" s="18">
        <f t="shared" si="9"/>
        <v>1.666666667</v>
      </c>
      <c r="P8" s="18">
        <f t="shared" si="10"/>
        <v>6.666666667</v>
      </c>
      <c r="Q8" s="11">
        <v>2.0</v>
      </c>
      <c r="R8" s="19">
        <f t="shared" si="11"/>
        <v>40</v>
      </c>
      <c r="S8" s="18">
        <f t="shared" si="12"/>
        <v>13.33333333</v>
      </c>
    </row>
    <row r="9">
      <c r="A9" s="2" t="s">
        <v>68</v>
      </c>
      <c r="B9" s="11">
        <v>3.0</v>
      </c>
      <c r="C9" s="13">
        <f t="shared" si="1"/>
        <v>12</v>
      </c>
      <c r="D9" s="14">
        <v>7.0</v>
      </c>
      <c r="E9" s="20">
        <v>3.0</v>
      </c>
      <c r="F9" s="25">
        <f t="shared" si="2"/>
        <v>10</v>
      </c>
      <c r="G9" s="23">
        <f t="shared" si="3"/>
        <v>0.8333333333</v>
      </c>
      <c r="H9" s="23">
        <f t="shared" si="4"/>
        <v>0.7</v>
      </c>
      <c r="I9" s="13">
        <f t="shared" si="5"/>
        <v>0</v>
      </c>
      <c r="J9" s="14">
        <v>0.0</v>
      </c>
      <c r="K9" s="11">
        <v>0.0</v>
      </c>
      <c r="L9" s="16">
        <f t="shared" si="6"/>
        <v>0</v>
      </c>
      <c r="M9" s="16" t="str">
        <f t="shared" si="7"/>
        <v>#DIV/0!</v>
      </c>
      <c r="N9" s="19">
        <f t="shared" si="8"/>
        <v>28</v>
      </c>
      <c r="O9" s="18">
        <f t="shared" si="9"/>
        <v>2.333333333</v>
      </c>
      <c r="P9" s="18">
        <f t="shared" si="10"/>
        <v>9.333333333</v>
      </c>
      <c r="Q9" s="11">
        <v>1.0</v>
      </c>
      <c r="R9" s="19">
        <f t="shared" si="11"/>
        <v>38</v>
      </c>
      <c r="S9" s="18">
        <f t="shared" si="12"/>
        <v>12.66666667</v>
      </c>
    </row>
    <row r="10">
      <c r="A10" s="2" t="s">
        <v>79</v>
      </c>
      <c r="B10" s="11">
        <v>3.0</v>
      </c>
      <c r="C10" s="13">
        <f t="shared" si="1"/>
        <v>12</v>
      </c>
      <c r="D10" s="14">
        <v>7.0</v>
      </c>
      <c r="E10" s="11">
        <v>3.0</v>
      </c>
      <c r="F10" s="15">
        <f t="shared" si="2"/>
        <v>10</v>
      </c>
      <c r="G10" s="16">
        <f t="shared" si="3"/>
        <v>0.8333333333</v>
      </c>
      <c r="H10" s="16">
        <f t="shared" si="4"/>
        <v>0.7</v>
      </c>
      <c r="I10" s="13">
        <f t="shared" si="5"/>
        <v>0</v>
      </c>
      <c r="J10" s="14">
        <v>0.0</v>
      </c>
      <c r="K10" s="11">
        <v>0.0</v>
      </c>
      <c r="L10" s="16">
        <f t="shared" si="6"/>
        <v>0</v>
      </c>
      <c r="M10" s="16" t="str">
        <f t="shared" si="7"/>
        <v>#DIV/0!</v>
      </c>
      <c r="N10" s="19">
        <f t="shared" si="8"/>
        <v>28</v>
      </c>
      <c r="O10" s="18">
        <f t="shared" si="9"/>
        <v>2.333333333</v>
      </c>
      <c r="P10" s="18">
        <f t="shared" si="10"/>
        <v>9.333333333</v>
      </c>
      <c r="Q10" s="11">
        <v>1.0</v>
      </c>
      <c r="R10" s="19">
        <f t="shared" si="11"/>
        <v>38</v>
      </c>
      <c r="S10" s="18">
        <f t="shared" si="12"/>
        <v>12.66666667</v>
      </c>
    </row>
    <row r="11">
      <c r="A11" s="2" t="s">
        <v>53</v>
      </c>
      <c r="B11" s="11">
        <v>3.0</v>
      </c>
      <c r="C11" s="13">
        <f t="shared" si="1"/>
        <v>12</v>
      </c>
      <c r="D11" s="14">
        <v>4.0</v>
      </c>
      <c r="E11" s="11">
        <v>2.0</v>
      </c>
      <c r="F11" s="15">
        <f t="shared" si="2"/>
        <v>6</v>
      </c>
      <c r="G11" s="16">
        <f t="shared" si="3"/>
        <v>0.5</v>
      </c>
      <c r="H11" s="16">
        <f t="shared" si="4"/>
        <v>0.6666666667</v>
      </c>
      <c r="I11" s="13">
        <f t="shared" si="5"/>
        <v>1</v>
      </c>
      <c r="J11" s="14">
        <v>1.0</v>
      </c>
      <c r="K11" s="11">
        <v>0.0</v>
      </c>
      <c r="L11" s="16">
        <f t="shared" si="6"/>
        <v>0.08333333333</v>
      </c>
      <c r="M11" s="16">
        <f t="shared" si="7"/>
        <v>1</v>
      </c>
      <c r="N11" s="19">
        <f t="shared" si="8"/>
        <v>16</v>
      </c>
      <c r="O11" s="18">
        <f t="shared" si="9"/>
        <v>1.333333333</v>
      </c>
      <c r="P11" s="18">
        <f t="shared" si="10"/>
        <v>5.333333333</v>
      </c>
      <c r="Q11" s="11">
        <v>2.0</v>
      </c>
      <c r="R11" s="19">
        <f t="shared" si="11"/>
        <v>36</v>
      </c>
      <c r="S11" s="18">
        <f t="shared" si="12"/>
        <v>12</v>
      </c>
    </row>
    <row r="12">
      <c r="A12" s="2" t="s">
        <v>81</v>
      </c>
      <c r="B12" s="11">
        <v>3.0</v>
      </c>
      <c r="C12" s="13">
        <f t="shared" si="1"/>
        <v>12</v>
      </c>
      <c r="D12" s="14">
        <v>6.0</v>
      </c>
      <c r="E12" s="11">
        <v>6.0</v>
      </c>
      <c r="F12" s="15">
        <f t="shared" si="2"/>
        <v>12</v>
      </c>
      <c r="G12" s="16">
        <f t="shared" si="3"/>
        <v>1</v>
      </c>
      <c r="H12" s="16">
        <f t="shared" si="4"/>
        <v>0.5</v>
      </c>
      <c r="I12" s="13">
        <f t="shared" si="5"/>
        <v>0</v>
      </c>
      <c r="J12" s="14">
        <v>0.0</v>
      </c>
      <c r="K12" s="11">
        <v>0.0</v>
      </c>
      <c r="L12" s="16">
        <f t="shared" si="6"/>
        <v>0</v>
      </c>
      <c r="M12" s="16" t="str">
        <f t="shared" si="7"/>
        <v>#DIV/0!</v>
      </c>
      <c r="N12" s="19">
        <f t="shared" si="8"/>
        <v>24</v>
      </c>
      <c r="O12" s="18">
        <f t="shared" si="9"/>
        <v>2</v>
      </c>
      <c r="P12" s="18">
        <f t="shared" si="10"/>
        <v>8</v>
      </c>
      <c r="Q12" s="11">
        <v>1.0</v>
      </c>
      <c r="R12" s="19">
        <f t="shared" si="11"/>
        <v>34</v>
      </c>
      <c r="S12" s="18">
        <f t="shared" si="12"/>
        <v>11.33333333</v>
      </c>
    </row>
    <row r="13">
      <c r="A13" s="2" t="s">
        <v>104</v>
      </c>
      <c r="B13" s="11">
        <v>3.0</v>
      </c>
      <c r="C13" s="13">
        <f t="shared" si="1"/>
        <v>12</v>
      </c>
      <c r="D13" s="14">
        <v>3.0</v>
      </c>
      <c r="E13" s="20">
        <v>2.0</v>
      </c>
      <c r="F13" s="25">
        <f t="shared" si="2"/>
        <v>5</v>
      </c>
      <c r="G13" s="23">
        <f t="shared" si="3"/>
        <v>0.4166666667</v>
      </c>
      <c r="H13" s="23">
        <f t="shared" si="4"/>
        <v>0.6</v>
      </c>
      <c r="I13" s="13">
        <f t="shared" si="5"/>
        <v>2</v>
      </c>
      <c r="J13" s="14">
        <v>1.0</v>
      </c>
      <c r="K13" s="11">
        <v>1.0</v>
      </c>
      <c r="L13" s="16">
        <f t="shared" si="6"/>
        <v>0.1666666667</v>
      </c>
      <c r="M13" s="16">
        <f t="shared" si="7"/>
        <v>0.5</v>
      </c>
      <c r="N13" s="19">
        <f t="shared" si="8"/>
        <v>8</v>
      </c>
      <c r="O13" s="18">
        <f t="shared" si="9"/>
        <v>0.6666666667</v>
      </c>
      <c r="P13" s="18">
        <f t="shared" si="10"/>
        <v>2.666666667</v>
      </c>
      <c r="Q13" s="11">
        <v>2.0</v>
      </c>
      <c r="R13" s="19">
        <f t="shared" si="11"/>
        <v>28</v>
      </c>
      <c r="S13" s="18">
        <f t="shared" si="12"/>
        <v>9.333333333</v>
      </c>
    </row>
    <row r="14">
      <c r="A14" s="2" t="s">
        <v>77</v>
      </c>
      <c r="B14" s="11">
        <v>3.0</v>
      </c>
      <c r="C14" s="13">
        <f t="shared" si="1"/>
        <v>12</v>
      </c>
      <c r="D14" s="14">
        <v>4.0</v>
      </c>
      <c r="E14" s="11">
        <v>3.0</v>
      </c>
      <c r="F14" s="15">
        <f t="shared" si="2"/>
        <v>7</v>
      </c>
      <c r="G14" s="16">
        <f t="shared" si="3"/>
        <v>0.5833333333</v>
      </c>
      <c r="H14" s="16">
        <f t="shared" si="4"/>
        <v>0.5714285714</v>
      </c>
      <c r="I14" s="13">
        <f t="shared" si="5"/>
        <v>1</v>
      </c>
      <c r="J14" s="14">
        <v>1.0</v>
      </c>
      <c r="K14" s="11">
        <v>0.0</v>
      </c>
      <c r="L14" s="16">
        <f t="shared" si="6"/>
        <v>0.08333333333</v>
      </c>
      <c r="M14" s="16">
        <f t="shared" si="7"/>
        <v>1</v>
      </c>
      <c r="N14" s="19">
        <f t="shared" si="8"/>
        <v>16</v>
      </c>
      <c r="O14" s="18">
        <f t="shared" si="9"/>
        <v>1.333333333</v>
      </c>
      <c r="P14" s="18">
        <f t="shared" si="10"/>
        <v>5.333333333</v>
      </c>
      <c r="Q14" s="11">
        <v>1.0</v>
      </c>
      <c r="R14" s="19">
        <f t="shared" si="11"/>
        <v>26</v>
      </c>
      <c r="S14" s="18">
        <f t="shared" si="12"/>
        <v>8.666666667</v>
      </c>
    </row>
    <row r="15">
      <c r="A15" s="2" t="s">
        <v>96</v>
      </c>
      <c r="B15" s="11">
        <v>3.0</v>
      </c>
      <c r="C15" s="13">
        <f t="shared" si="1"/>
        <v>12</v>
      </c>
      <c r="D15" s="14">
        <v>4.0</v>
      </c>
      <c r="E15" s="11">
        <v>4.0</v>
      </c>
      <c r="F15" s="15">
        <f t="shared" si="2"/>
        <v>8</v>
      </c>
      <c r="G15" s="16">
        <f t="shared" si="3"/>
        <v>0.6666666667</v>
      </c>
      <c r="H15" s="16">
        <f t="shared" si="4"/>
        <v>0.5</v>
      </c>
      <c r="I15" s="13">
        <f t="shared" si="5"/>
        <v>1</v>
      </c>
      <c r="J15" s="14">
        <v>1.0</v>
      </c>
      <c r="K15" s="11">
        <v>0.0</v>
      </c>
      <c r="L15" s="16">
        <f t="shared" si="6"/>
        <v>0.08333333333</v>
      </c>
      <c r="M15" s="16">
        <f t="shared" si="7"/>
        <v>1</v>
      </c>
      <c r="N15" s="19">
        <f t="shared" si="8"/>
        <v>16</v>
      </c>
      <c r="O15" s="18">
        <f t="shared" si="9"/>
        <v>1.333333333</v>
      </c>
      <c r="P15" s="18">
        <f t="shared" si="10"/>
        <v>5.333333333</v>
      </c>
      <c r="Q15" s="11">
        <v>1.0</v>
      </c>
      <c r="R15" s="19">
        <f t="shared" si="11"/>
        <v>26</v>
      </c>
      <c r="S15" s="18">
        <f t="shared" si="12"/>
        <v>8.666666667</v>
      </c>
    </row>
    <row r="16">
      <c r="A16" s="2" t="s">
        <v>47</v>
      </c>
      <c r="B16" s="11">
        <v>3.0</v>
      </c>
      <c r="C16" s="13">
        <f t="shared" si="1"/>
        <v>12</v>
      </c>
      <c r="D16" s="14">
        <v>4.0</v>
      </c>
      <c r="E16" s="11">
        <v>5.0</v>
      </c>
      <c r="F16" s="15">
        <f t="shared" si="2"/>
        <v>9</v>
      </c>
      <c r="G16" s="16">
        <f t="shared" si="3"/>
        <v>0.75</v>
      </c>
      <c r="H16" s="16">
        <f t="shared" si="4"/>
        <v>0.4444444444</v>
      </c>
      <c r="I16" s="13">
        <f t="shared" si="5"/>
        <v>0</v>
      </c>
      <c r="J16" s="14">
        <v>0.0</v>
      </c>
      <c r="K16" s="11">
        <v>0.0</v>
      </c>
      <c r="L16" s="16">
        <f t="shared" si="6"/>
        <v>0</v>
      </c>
      <c r="M16" s="16" t="str">
        <f t="shared" si="7"/>
        <v>#DIV/0!</v>
      </c>
      <c r="N16" s="19">
        <f t="shared" si="8"/>
        <v>16</v>
      </c>
      <c r="O16" s="18">
        <f t="shared" si="9"/>
        <v>1.333333333</v>
      </c>
      <c r="P16" s="18">
        <f t="shared" si="10"/>
        <v>5.333333333</v>
      </c>
      <c r="Q16" s="11">
        <v>1.0</v>
      </c>
      <c r="R16" s="19">
        <f t="shared" si="11"/>
        <v>26</v>
      </c>
      <c r="S16" s="18">
        <f t="shared" si="12"/>
        <v>8.666666667</v>
      </c>
    </row>
    <row r="17">
      <c r="A17" s="2" t="s">
        <v>93</v>
      </c>
      <c r="B17" s="11">
        <v>3.0</v>
      </c>
      <c r="C17" s="13">
        <f t="shared" si="1"/>
        <v>12</v>
      </c>
      <c r="D17" s="14">
        <v>4.0</v>
      </c>
      <c r="E17" s="11">
        <v>6.0</v>
      </c>
      <c r="F17" s="15">
        <f t="shared" si="2"/>
        <v>10</v>
      </c>
      <c r="G17" s="16">
        <f t="shared" si="3"/>
        <v>0.8333333333</v>
      </c>
      <c r="H17" s="16">
        <f t="shared" si="4"/>
        <v>0.4</v>
      </c>
      <c r="I17" s="13">
        <f t="shared" si="5"/>
        <v>0</v>
      </c>
      <c r="J17" s="14">
        <v>0.0</v>
      </c>
      <c r="K17" s="11">
        <v>0.0</v>
      </c>
      <c r="L17" s="16">
        <f t="shared" si="6"/>
        <v>0</v>
      </c>
      <c r="M17" s="16" t="str">
        <f t="shared" si="7"/>
        <v>#DIV/0!</v>
      </c>
      <c r="N17" s="19">
        <f t="shared" si="8"/>
        <v>16</v>
      </c>
      <c r="O17" s="18">
        <f t="shared" si="9"/>
        <v>1.333333333</v>
      </c>
      <c r="P17" s="18">
        <f t="shared" si="10"/>
        <v>5.333333333</v>
      </c>
      <c r="Q17" s="11">
        <v>1.0</v>
      </c>
      <c r="R17" s="19">
        <f t="shared" si="11"/>
        <v>26</v>
      </c>
      <c r="S17" s="18">
        <f t="shared" si="12"/>
        <v>8.666666667</v>
      </c>
    </row>
    <row r="18">
      <c r="A18" s="2" t="s">
        <v>101</v>
      </c>
      <c r="B18" s="11">
        <v>3.0</v>
      </c>
      <c r="C18" s="13">
        <f t="shared" si="1"/>
        <v>12</v>
      </c>
      <c r="D18" s="14">
        <v>3.0</v>
      </c>
      <c r="E18" s="11">
        <v>4.0</v>
      </c>
      <c r="F18" s="15">
        <f t="shared" si="2"/>
        <v>7</v>
      </c>
      <c r="G18" s="16">
        <f t="shared" si="3"/>
        <v>0.5833333333</v>
      </c>
      <c r="H18" s="16">
        <f t="shared" si="4"/>
        <v>0.4285714286</v>
      </c>
      <c r="I18" s="13">
        <f t="shared" si="5"/>
        <v>0</v>
      </c>
      <c r="J18" s="14">
        <v>0.0</v>
      </c>
      <c r="K18" s="11">
        <v>0.0</v>
      </c>
      <c r="L18" s="16">
        <f t="shared" si="6"/>
        <v>0</v>
      </c>
      <c r="M18" s="16" t="str">
        <f t="shared" si="7"/>
        <v>#DIV/0!</v>
      </c>
      <c r="N18" s="19">
        <f t="shared" si="8"/>
        <v>12</v>
      </c>
      <c r="O18" s="18">
        <f t="shared" si="9"/>
        <v>1</v>
      </c>
      <c r="P18" s="18">
        <f t="shared" si="10"/>
        <v>4</v>
      </c>
      <c r="Q18" s="11">
        <v>1.0</v>
      </c>
      <c r="R18" s="19">
        <f t="shared" si="11"/>
        <v>22</v>
      </c>
      <c r="S18" s="18">
        <f t="shared" si="12"/>
        <v>7.333333333</v>
      </c>
    </row>
    <row r="19">
      <c r="A19" s="2" t="s">
        <v>90</v>
      </c>
      <c r="B19" s="11">
        <v>3.0</v>
      </c>
      <c r="C19" s="13">
        <f t="shared" si="1"/>
        <v>12</v>
      </c>
      <c r="D19" s="14">
        <v>3.0</v>
      </c>
      <c r="E19" s="11">
        <v>5.0</v>
      </c>
      <c r="F19" s="15">
        <f t="shared" si="2"/>
        <v>8</v>
      </c>
      <c r="G19" s="16">
        <f t="shared" si="3"/>
        <v>0.6666666667</v>
      </c>
      <c r="H19" s="16">
        <f t="shared" si="4"/>
        <v>0.375</v>
      </c>
      <c r="I19" s="13">
        <f t="shared" si="5"/>
        <v>0</v>
      </c>
      <c r="J19" s="14">
        <v>0.0</v>
      </c>
      <c r="K19" s="11">
        <v>0.0</v>
      </c>
      <c r="L19" s="16">
        <f t="shared" si="6"/>
        <v>0</v>
      </c>
      <c r="M19" s="16" t="str">
        <f t="shared" si="7"/>
        <v>#DIV/0!</v>
      </c>
      <c r="N19" s="19">
        <f t="shared" si="8"/>
        <v>12</v>
      </c>
      <c r="O19" s="18">
        <f t="shared" si="9"/>
        <v>1</v>
      </c>
      <c r="P19" s="18">
        <f t="shared" si="10"/>
        <v>4</v>
      </c>
      <c r="Q19" s="11">
        <v>1.0</v>
      </c>
      <c r="R19" s="19">
        <f t="shared" si="11"/>
        <v>22</v>
      </c>
      <c r="S19" s="18">
        <f t="shared" si="12"/>
        <v>7.333333333</v>
      </c>
    </row>
    <row r="20">
      <c r="A20" s="2" t="s">
        <v>72</v>
      </c>
      <c r="B20" s="11">
        <v>3.0</v>
      </c>
      <c r="C20" s="13">
        <f t="shared" si="1"/>
        <v>12</v>
      </c>
      <c r="D20" s="14">
        <v>3.0</v>
      </c>
      <c r="E20" s="11">
        <v>7.0</v>
      </c>
      <c r="F20" s="15">
        <f t="shared" si="2"/>
        <v>10</v>
      </c>
      <c r="G20" s="16">
        <f t="shared" si="3"/>
        <v>0.8333333333</v>
      </c>
      <c r="H20" s="16">
        <f t="shared" si="4"/>
        <v>0.3</v>
      </c>
      <c r="I20" s="13">
        <f t="shared" si="5"/>
        <v>0</v>
      </c>
      <c r="J20" s="14">
        <v>0.0</v>
      </c>
      <c r="K20" s="11">
        <v>0.0</v>
      </c>
      <c r="L20" s="16">
        <f t="shared" si="6"/>
        <v>0</v>
      </c>
      <c r="M20" s="16" t="str">
        <f t="shared" si="7"/>
        <v>#DIV/0!</v>
      </c>
      <c r="N20" s="19">
        <f t="shared" si="8"/>
        <v>12</v>
      </c>
      <c r="O20" s="18">
        <f t="shared" si="9"/>
        <v>1</v>
      </c>
      <c r="P20" s="18">
        <f t="shared" si="10"/>
        <v>4</v>
      </c>
      <c r="Q20" s="11">
        <v>1.0</v>
      </c>
      <c r="R20" s="19">
        <f t="shared" si="11"/>
        <v>22</v>
      </c>
      <c r="S20" s="18">
        <f t="shared" si="12"/>
        <v>7.333333333</v>
      </c>
    </row>
    <row r="21">
      <c r="A21" s="2" t="s">
        <v>83</v>
      </c>
      <c r="B21" s="11">
        <v>3.0</v>
      </c>
      <c r="C21" s="13">
        <f t="shared" si="1"/>
        <v>12</v>
      </c>
      <c r="D21" s="14">
        <v>5.0</v>
      </c>
      <c r="E21" s="11">
        <v>6.0</v>
      </c>
      <c r="F21" s="15">
        <f t="shared" si="2"/>
        <v>11</v>
      </c>
      <c r="G21" s="16">
        <f t="shared" si="3"/>
        <v>0.9166666667</v>
      </c>
      <c r="H21" s="16">
        <f t="shared" si="4"/>
        <v>0.4545454545</v>
      </c>
      <c r="I21" s="13">
        <f t="shared" si="5"/>
        <v>1</v>
      </c>
      <c r="J21" s="14">
        <v>1.0</v>
      </c>
      <c r="K21" s="11">
        <v>0.0</v>
      </c>
      <c r="L21" s="16">
        <f t="shared" si="6"/>
        <v>0.08333333333</v>
      </c>
      <c r="M21" s="16">
        <f t="shared" si="7"/>
        <v>1</v>
      </c>
      <c r="N21" s="19">
        <f t="shared" si="8"/>
        <v>20</v>
      </c>
      <c r="O21" s="18">
        <f t="shared" si="9"/>
        <v>1.666666667</v>
      </c>
      <c r="P21" s="18">
        <f t="shared" si="10"/>
        <v>6.666666667</v>
      </c>
      <c r="Q21" s="11">
        <v>0.0</v>
      </c>
      <c r="R21" s="19">
        <f t="shared" si="11"/>
        <v>20</v>
      </c>
      <c r="S21" s="18">
        <f t="shared" si="12"/>
        <v>6.666666667</v>
      </c>
    </row>
    <row r="22">
      <c r="A22" s="2" t="s">
        <v>98</v>
      </c>
      <c r="B22" s="11">
        <v>3.0</v>
      </c>
      <c r="C22" s="13">
        <f t="shared" si="1"/>
        <v>12</v>
      </c>
      <c r="D22" s="14">
        <v>2.0</v>
      </c>
      <c r="E22" s="20">
        <v>5.0</v>
      </c>
      <c r="F22" s="25">
        <f t="shared" si="2"/>
        <v>7</v>
      </c>
      <c r="G22" s="23">
        <f t="shared" si="3"/>
        <v>0.5833333333</v>
      </c>
      <c r="H22" s="23">
        <f t="shared" si="4"/>
        <v>0.2857142857</v>
      </c>
      <c r="I22" s="13">
        <f t="shared" si="5"/>
        <v>0</v>
      </c>
      <c r="J22" s="14">
        <v>0.0</v>
      </c>
      <c r="K22" s="11">
        <v>0.0</v>
      </c>
      <c r="L22" s="16">
        <f t="shared" si="6"/>
        <v>0</v>
      </c>
      <c r="M22" s="16" t="str">
        <f t="shared" si="7"/>
        <v>#DIV/0!</v>
      </c>
      <c r="N22" s="19">
        <f t="shared" si="8"/>
        <v>8</v>
      </c>
      <c r="O22" s="18">
        <f t="shared" si="9"/>
        <v>0.6666666667</v>
      </c>
      <c r="P22" s="18">
        <f t="shared" si="10"/>
        <v>2.666666667</v>
      </c>
      <c r="Q22" s="11">
        <v>1.0</v>
      </c>
      <c r="R22" s="19">
        <f t="shared" si="11"/>
        <v>18</v>
      </c>
      <c r="S22" s="18">
        <f t="shared" si="12"/>
        <v>6</v>
      </c>
    </row>
    <row r="23">
      <c r="A23" s="2" t="s">
        <v>110</v>
      </c>
      <c r="B23" s="11">
        <v>3.0</v>
      </c>
      <c r="C23" s="13">
        <f t="shared" si="1"/>
        <v>12</v>
      </c>
      <c r="D23" s="14">
        <v>4.0</v>
      </c>
      <c r="E23" s="11">
        <v>3.0</v>
      </c>
      <c r="F23" s="15">
        <f t="shared" si="2"/>
        <v>7</v>
      </c>
      <c r="G23" s="16">
        <f t="shared" si="3"/>
        <v>0.5833333333</v>
      </c>
      <c r="H23" s="16">
        <f t="shared" si="4"/>
        <v>0.5714285714</v>
      </c>
      <c r="I23" s="13">
        <f t="shared" si="5"/>
        <v>0</v>
      </c>
      <c r="J23" s="14">
        <v>0.0</v>
      </c>
      <c r="K23" s="11">
        <v>0.0</v>
      </c>
      <c r="L23" s="16">
        <f t="shared" si="6"/>
        <v>0</v>
      </c>
      <c r="M23" s="16" t="str">
        <f t="shared" si="7"/>
        <v>#DIV/0!</v>
      </c>
      <c r="N23" s="19">
        <f t="shared" si="8"/>
        <v>16</v>
      </c>
      <c r="O23" s="18">
        <f t="shared" si="9"/>
        <v>1.333333333</v>
      </c>
      <c r="P23" s="18">
        <f t="shared" si="10"/>
        <v>5.333333333</v>
      </c>
      <c r="Q23" s="11">
        <v>0.0</v>
      </c>
      <c r="R23" s="19">
        <f t="shared" si="11"/>
        <v>16</v>
      </c>
      <c r="S23" s="18">
        <f t="shared" si="12"/>
        <v>5.333333333</v>
      </c>
    </row>
    <row r="24">
      <c r="A24" s="2" t="s">
        <v>111</v>
      </c>
      <c r="B24" s="11">
        <v>3.0</v>
      </c>
      <c r="C24" s="13">
        <f t="shared" si="1"/>
        <v>12</v>
      </c>
      <c r="D24" s="14">
        <v>4.0</v>
      </c>
      <c r="E24" s="11">
        <v>6.0</v>
      </c>
      <c r="F24" s="15">
        <f t="shared" si="2"/>
        <v>10</v>
      </c>
      <c r="G24" s="16">
        <f t="shared" si="3"/>
        <v>0.8333333333</v>
      </c>
      <c r="H24" s="16">
        <f t="shared" si="4"/>
        <v>0.4</v>
      </c>
      <c r="I24" s="13">
        <f t="shared" si="5"/>
        <v>0</v>
      </c>
      <c r="J24" s="14">
        <v>0.0</v>
      </c>
      <c r="K24" s="11">
        <v>0.0</v>
      </c>
      <c r="L24" s="16">
        <f t="shared" si="6"/>
        <v>0</v>
      </c>
      <c r="M24" s="16" t="str">
        <f t="shared" si="7"/>
        <v>#DIV/0!</v>
      </c>
      <c r="N24" s="19">
        <f t="shared" si="8"/>
        <v>16</v>
      </c>
      <c r="O24" s="18">
        <f t="shared" si="9"/>
        <v>1.333333333</v>
      </c>
      <c r="P24" s="18">
        <f t="shared" si="10"/>
        <v>5.333333333</v>
      </c>
      <c r="Q24" s="11">
        <v>0.0</v>
      </c>
      <c r="R24" s="19">
        <f t="shared" si="11"/>
        <v>16</v>
      </c>
      <c r="S24" s="18">
        <f t="shared" si="12"/>
        <v>5.333333333</v>
      </c>
    </row>
    <row r="25">
      <c r="A25" s="2" t="s">
        <v>59</v>
      </c>
      <c r="B25" s="11">
        <v>3.0</v>
      </c>
      <c r="C25" s="13">
        <f t="shared" si="1"/>
        <v>12</v>
      </c>
      <c r="D25" s="14">
        <v>3.0</v>
      </c>
      <c r="E25" s="11">
        <v>4.0</v>
      </c>
      <c r="F25" s="15">
        <f t="shared" si="2"/>
        <v>7</v>
      </c>
      <c r="G25" s="16">
        <f t="shared" si="3"/>
        <v>0.5833333333</v>
      </c>
      <c r="H25" s="16">
        <f t="shared" si="4"/>
        <v>0.4285714286</v>
      </c>
      <c r="I25" s="13">
        <f t="shared" si="5"/>
        <v>0</v>
      </c>
      <c r="J25" s="14">
        <v>0.0</v>
      </c>
      <c r="K25" s="11">
        <v>0.0</v>
      </c>
      <c r="L25" s="16">
        <f t="shared" si="6"/>
        <v>0</v>
      </c>
      <c r="M25" s="16" t="str">
        <f t="shared" si="7"/>
        <v>#DIV/0!</v>
      </c>
      <c r="N25" s="19">
        <f t="shared" si="8"/>
        <v>12</v>
      </c>
      <c r="O25" s="18">
        <f t="shared" si="9"/>
        <v>1</v>
      </c>
      <c r="P25" s="18">
        <f t="shared" si="10"/>
        <v>4</v>
      </c>
      <c r="Q25" s="11">
        <v>0.0</v>
      </c>
      <c r="R25" s="19">
        <f t="shared" si="11"/>
        <v>12</v>
      </c>
      <c r="S25" s="18">
        <f t="shared" si="12"/>
        <v>4</v>
      </c>
    </row>
    <row r="26">
      <c r="A26" s="2" t="s">
        <v>119</v>
      </c>
      <c r="B26" s="11">
        <v>3.0</v>
      </c>
      <c r="C26" s="13">
        <f t="shared" si="1"/>
        <v>12</v>
      </c>
      <c r="D26" s="14">
        <v>3.0</v>
      </c>
      <c r="E26" s="11">
        <v>5.0</v>
      </c>
      <c r="F26" s="15">
        <f t="shared" si="2"/>
        <v>8</v>
      </c>
      <c r="G26" s="16">
        <f t="shared" si="3"/>
        <v>0.6666666667</v>
      </c>
      <c r="H26" s="16">
        <f t="shared" si="4"/>
        <v>0.375</v>
      </c>
      <c r="I26" s="13">
        <f t="shared" si="5"/>
        <v>0</v>
      </c>
      <c r="J26" s="14">
        <v>0.0</v>
      </c>
      <c r="K26" s="11">
        <v>0.0</v>
      </c>
      <c r="L26" s="16">
        <f t="shared" si="6"/>
        <v>0</v>
      </c>
      <c r="M26" s="16" t="str">
        <f t="shared" si="7"/>
        <v>#DIV/0!</v>
      </c>
      <c r="N26" s="19">
        <f t="shared" si="8"/>
        <v>12</v>
      </c>
      <c r="O26" s="18">
        <f t="shared" si="9"/>
        <v>1</v>
      </c>
      <c r="P26" s="18">
        <f t="shared" si="10"/>
        <v>4</v>
      </c>
      <c r="Q26" s="11">
        <v>0.0</v>
      </c>
      <c r="R26" s="19">
        <f t="shared" si="11"/>
        <v>12</v>
      </c>
      <c r="S26" s="18">
        <f t="shared" si="12"/>
        <v>4</v>
      </c>
    </row>
    <row r="27">
      <c r="A27" s="2" t="s">
        <v>85</v>
      </c>
      <c r="B27" s="11">
        <v>3.0</v>
      </c>
      <c r="C27" s="13">
        <f t="shared" si="1"/>
        <v>12</v>
      </c>
      <c r="D27" s="14">
        <v>2.0</v>
      </c>
      <c r="E27" s="20">
        <v>2.0</v>
      </c>
      <c r="F27" s="25">
        <f t="shared" si="2"/>
        <v>4</v>
      </c>
      <c r="G27" s="23">
        <f t="shared" si="3"/>
        <v>0.3333333333</v>
      </c>
      <c r="H27" s="23">
        <f t="shared" si="4"/>
        <v>0.5</v>
      </c>
      <c r="I27" s="13">
        <f t="shared" si="5"/>
        <v>1</v>
      </c>
      <c r="J27" s="14">
        <v>1.0</v>
      </c>
      <c r="K27" s="11">
        <v>0.0</v>
      </c>
      <c r="L27" s="16">
        <f t="shared" si="6"/>
        <v>0.08333333333</v>
      </c>
      <c r="M27" s="16">
        <f t="shared" si="7"/>
        <v>1</v>
      </c>
      <c r="N27" s="19">
        <f t="shared" si="8"/>
        <v>8</v>
      </c>
      <c r="O27" s="18">
        <f t="shared" si="9"/>
        <v>0.6666666667</v>
      </c>
      <c r="P27" s="18">
        <f t="shared" si="10"/>
        <v>2.666666667</v>
      </c>
      <c r="Q27" s="11">
        <v>0.0</v>
      </c>
      <c r="R27" s="19">
        <f t="shared" si="11"/>
        <v>8</v>
      </c>
      <c r="S27" s="18">
        <f t="shared" si="12"/>
        <v>2.666666667</v>
      </c>
    </row>
    <row r="28">
      <c r="A28" s="2" t="s">
        <v>64</v>
      </c>
      <c r="B28" s="11">
        <v>3.0</v>
      </c>
      <c r="C28" s="13">
        <f t="shared" si="1"/>
        <v>12</v>
      </c>
      <c r="D28" s="14">
        <v>2.0</v>
      </c>
      <c r="E28" s="11">
        <v>2.0</v>
      </c>
      <c r="F28" s="15">
        <f t="shared" si="2"/>
        <v>4</v>
      </c>
      <c r="G28" s="16">
        <f t="shared" si="3"/>
        <v>0.3333333333</v>
      </c>
      <c r="H28" s="16">
        <f t="shared" si="4"/>
        <v>0.5</v>
      </c>
      <c r="I28" s="13">
        <f t="shared" si="5"/>
        <v>0</v>
      </c>
      <c r="J28" s="14">
        <v>0.0</v>
      </c>
      <c r="K28" s="11">
        <v>0.0</v>
      </c>
      <c r="L28" s="16">
        <f t="shared" si="6"/>
        <v>0</v>
      </c>
      <c r="M28" s="16" t="str">
        <f t="shared" si="7"/>
        <v>#DIV/0!</v>
      </c>
      <c r="N28" s="19">
        <f t="shared" si="8"/>
        <v>8</v>
      </c>
      <c r="O28" s="18">
        <f t="shared" si="9"/>
        <v>0.6666666667</v>
      </c>
      <c r="P28" s="18">
        <f t="shared" si="10"/>
        <v>2.666666667</v>
      </c>
      <c r="Q28" s="11">
        <v>0.0</v>
      </c>
      <c r="R28" s="19">
        <f t="shared" si="11"/>
        <v>8</v>
      </c>
      <c r="S28" s="18">
        <f t="shared" si="12"/>
        <v>2.666666667</v>
      </c>
    </row>
    <row r="29">
      <c r="A29" s="2" t="s">
        <v>109</v>
      </c>
      <c r="B29" s="11">
        <v>3.0</v>
      </c>
      <c r="C29" s="13">
        <f t="shared" si="1"/>
        <v>12</v>
      </c>
      <c r="D29" s="14">
        <v>3.0</v>
      </c>
      <c r="E29" s="11">
        <v>4.0</v>
      </c>
      <c r="F29" s="15">
        <f t="shared" si="2"/>
        <v>7</v>
      </c>
      <c r="G29" s="16">
        <f t="shared" si="3"/>
        <v>0.5833333333</v>
      </c>
      <c r="H29" s="16">
        <f t="shared" si="4"/>
        <v>0.4285714286</v>
      </c>
      <c r="I29" s="13">
        <f t="shared" si="5"/>
        <v>2</v>
      </c>
      <c r="J29" s="14">
        <v>1.0</v>
      </c>
      <c r="K29" s="11">
        <v>1.0</v>
      </c>
      <c r="L29" s="16">
        <f t="shared" si="6"/>
        <v>0.1666666667</v>
      </c>
      <c r="M29" s="16">
        <f t="shared" si="7"/>
        <v>0.5</v>
      </c>
      <c r="N29" s="19">
        <f t="shared" si="8"/>
        <v>8</v>
      </c>
      <c r="O29" s="18">
        <f t="shared" si="9"/>
        <v>0.6666666667</v>
      </c>
      <c r="P29" s="18">
        <f t="shared" si="10"/>
        <v>2.666666667</v>
      </c>
      <c r="Q29" s="11">
        <v>0.0</v>
      </c>
      <c r="R29" s="19">
        <f t="shared" si="11"/>
        <v>8</v>
      </c>
      <c r="S29" s="18">
        <f t="shared" si="12"/>
        <v>2.666666667</v>
      </c>
    </row>
    <row r="30">
      <c r="A30" s="2" t="s">
        <v>88</v>
      </c>
      <c r="B30" s="11">
        <v>3.0</v>
      </c>
      <c r="C30" s="13">
        <f t="shared" si="1"/>
        <v>12</v>
      </c>
      <c r="D30" s="14">
        <v>3.0</v>
      </c>
      <c r="E30" s="20">
        <v>5.0</v>
      </c>
      <c r="F30" s="25">
        <f t="shared" si="2"/>
        <v>8</v>
      </c>
      <c r="G30" s="23">
        <f t="shared" si="3"/>
        <v>0.6666666667</v>
      </c>
      <c r="H30" s="23">
        <f t="shared" si="4"/>
        <v>0.375</v>
      </c>
      <c r="I30" s="13">
        <f t="shared" si="5"/>
        <v>1</v>
      </c>
      <c r="J30" s="14">
        <v>0.0</v>
      </c>
      <c r="K30" s="11">
        <v>1.0</v>
      </c>
      <c r="L30" s="16">
        <f t="shared" si="6"/>
        <v>0.08333333333</v>
      </c>
      <c r="M30" s="16">
        <f t="shared" si="7"/>
        <v>0</v>
      </c>
      <c r="N30" s="19">
        <f t="shared" si="8"/>
        <v>8</v>
      </c>
      <c r="O30" s="18">
        <f t="shared" si="9"/>
        <v>0.6666666667</v>
      </c>
      <c r="P30" s="18">
        <f t="shared" si="10"/>
        <v>2.666666667</v>
      </c>
      <c r="Q30" s="11">
        <v>0.0</v>
      </c>
      <c r="R30" s="19">
        <f t="shared" si="11"/>
        <v>8</v>
      </c>
      <c r="S30" s="18">
        <f t="shared" si="12"/>
        <v>2.666666667</v>
      </c>
    </row>
    <row r="31">
      <c r="A31" s="2" t="s">
        <v>114</v>
      </c>
      <c r="B31" s="11">
        <v>3.0</v>
      </c>
      <c r="C31" s="13">
        <f t="shared" si="1"/>
        <v>12</v>
      </c>
      <c r="D31" s="14">
        <v>2.0</v>
      </c>
      <c r="E31" s="11">
        <v>6.0</v>
      </c>
      <c r="F31" s="15">
        <f t="shared" si="2"/>
        <v>8</v>
      </c>
      <c r="G31" s="16">
        <f t="shared" si="3"/>
        <v>0.6666666667</v>
      </c>
      <c r="H31" s="16">
        <f t="shared" si="4"/>
        <v>0.25</v>
      </c>
      <c r="I31" s="13">
        <f t="shared" si="5"/>
        <v>0</v>
      </c>
      <c r="J31" s="14">
        <v>0.0</v>
      </c>
      <c r="K31" s="11">
        <v>0.0</v>
      </c>
      <c r="L31" s="16">
        <f t="shared" si="6"/>
        <v>0</v>
      </c>
      <c r="M31" s="16" t="str">
        <f t="shared" si="7"/>
        <v>#DIV/0!</v>
      </c>
      <c r="N31" s="19">
        <f t="shared" si="8"/>
        <v>8</v>
      </c>
      <c r="O31" s="18">
        <f t="shared" si="9"/>
        <v>0.6666666667</v>
      </c>
      <c r="P31" s="18">
        <f t="shared" si="10"/>
        <v>2.666666667</v>
      </c>
      <c r="Q31" s="11">
        <v>0.0</v>
      </c>
      <c r="R31" s="19">
        <f t="shared" si="11"/>
        <v>8</v>
      </c>
      <c r="S31" s="18">
        <f t="shared" si="12"/>
        <v>2.666666667</v>
      </c>
    </row>
    <row r="32">
      <c r="A32" s="2" t="s">
        <v>107</v>
      </c>
      <c r="B32" s="11">
        <v>3.0</v>
      </c>
      <c r="C32" s="13">
        <f t="shared" si="1"/>
        <v>12</v>
      </c>
      <c r="D32" s="14">
        <v>1.0</v>
      </c>
      <c r="E32" s="11">
        <v>4.0</v>
      </c>
      <c r="F32" s="15">
        <f t="shared" si="2"/>
        <v>5</v>
      </c>
      <c r="G32" s="16">
        <f t="shared" si="3"/>
        <v>0.4166666667</v>
      </c>
      <c r="H32" s="16">
        <f t="shared" si="4"/>
        <v>0.2</v>
      </c>
      <c r="I32" s="13">
        <f t="shared" si="5"/>
        <v>0</v>
      </c>
      <c r="J32" s="14">
        <v>0.0</v>
      </c>
      <c r="K32" s="11">
        <v>0.0</v>
      </c>
      <c r="L32" s="16">
        <f t="shared" si="6"/>
        <v>0</v>
      </c>
      <c r="M32" s="16" t="str">
        <f t="shared" si="7"/>
        <v>#DIV/0!</v>
      </c>
      <c r="N32" s="19">
        <f t="shared" si="8"/>
        <v>4</v>
      </c>
      <c r="O32" s="18">
        <f t="shared" si="9"/>
        <v>0.3333333333</v>
      </c>
      <c r="P32" s="18">
        <f t="shared" si="10"/>
        <v>1.333333333</v>
      </c>
      <c r="Q32" s="11">
        <v>0.0</v>
      </c>
      <c r="R32" s="19">
        <f t="shared" si="11"/>
        <v>4</v>
      </c>
      <c r="S32" s="18">
        <f t="shared" si="12"/>
        <v>1.333333333</v>
      </c>
    </row>
    <row r="33">
      <c r="A33" s="2" t="s">
        <v>117</v>
      </c>
      <c r="B33" s="11">
        <v>3.0</v>
      </c>
      <c r="C33" s="13">
        <f t="shared" si="1"/>
        <v>12</v>
      </c>
      <c r="D33" s="14">
        <v>1.0</v>
      </c>
      <c r="E33" s="11">
        <v>6.0</v>
      </c>
      <c r="F33" s="15">
        <f t="shared" si="2"/>
        <v>7</v>
      </c>
      <c r="G33" s="16">
        <f t="shared" si="3"/>
        <v>0.5833333333</v>
      </c>
      <c r="H33" s="16">
        <f t="shared" si="4"/>
        <v>0.1428571429</v>
      </c>
      <c r="I33" s="13">
        <f t="shared" si="5"/>
        <v>0</v>
      </c>
      <c r="J33" s="14">
        <v>0.0</v>
      </c>
      <c r="K33" s="11">
        <v>0.0</v>
      </c>
      <c r="L33" s="16">
        <f t="shared" si="6"/>
        <v>0</v>
      </c>
      <c r="M33" s="16" t="str">
        <f t="shared" si="7"/>
        <v>#DIV/0!</v>
      </c>
      <c r="N33" s="19">
        <f t="shared" si="8"/>
        <v>4</v>
      </c>
      <c r="O33" s="18">
        <f t="shared" si="9"/>
        <v>0.3333333333</v>
      </c>
      <c r="P33" s="18">
        <f t="shared" si="10"/>
        <v>1.333333333</v>
      </c>
      <c r="Q33" s="11">
        <v>0.0</v>
      </c>
      <c r="R33" s="19">
        <f t="shared" si="11"/>
        <v>4</v>
      </c>
      <c r="S33" s="18">
        <f t="shared" si="12"/>
        <v>1.333333333</v>
      </c>
    </row>
    <row r="34">
      <c r="D34" s="29"/>
      <c r="F34" s="31"/>
      <c r="G34" s="30"/>
      <c r="H34" s="30"/>
      <c r="J34" s="29"/>
      <c r="L34" s="30"/>
      <c r="M34" s="30"/>
      <c r="O34" s="32"/>
      <c r="P34" s="32"/>
      <c r="S34" s="32"/>
    </row>
    <row r="35">
      <c r="D35" s="29"/>
      <c r="F35" s="31"/>
      <c r="G35" s="30"/>
      <c r="H35" s="30"/>
      <c r="J35" s="29"/>
      <c r="L35" s="30"/>
      <c r="M35" s="30"/>
      <c r="O35" s="32"/>
      <c r="P35" s="32"/>
      <c r="S35" s="32"/>
    </row>
    <row r="36">
      <c r="D36" s="29"/>
      <c r="F36" s="31"/>
      <c r="G36" s="30"/>
      <c r="H36" s="30"/>
      <c r="J36" s="29"/>
      <c r="L36" s="30"/>
      <c r="M36" s="30"/>
      <c r="O36" s="32"/>
      <c r="P36" s="32"/>
      <c r="S36" s="32"/>
    </row>
    <row r="37">
      <c r="D37" s="29"/>
      <c r="F37" s="31"/>
      <c r="G37" s="30"/>
      <c r="H37" s="30"/>
      <c r="J37" s="29"/>
      <c r="L37" s="30"/>
      <c r="M37" s="30"/>
      <c r="O37" s="32"/>
      <c r="P37" s="32"/>
      <c r="S37" s="32"/>
    </row>
    <row r="38">
      <c r="D38" s="29"/>
      <c r="F38" s="31"/>
      <c r="G38" s="30"/>
      <c r="H38" s="30"/>
      <c r="J38" s="29"/>
      <c r="L38" s="30"/>
      <c r="M38" s="30"/>
      <c r="O38" s="32"/>
      <c r="P38" s="32"/>
      <c r="S38" s="32"/>
    </row>
    <row r="39">
      <c r="D39" s="29"/>
      <c r="F39" s="31"/>
      <c r="G39" s="30"/>
      <c r="H39" s="30"/>
      <c r="J39" s="29"/>
      <c r="L39" s="30"/>
      <c r="M39" s="30"/>
      <c r="O39" s="32"/>
      <c r="P39" s="32"/>
      <c r="S39" s="32"/>
    </row>
    <row r="40">
      <c r="D40" s="29"/>
      <c r="F40" s="31"/>
      <c r="G40" s="30"/>
      <c r="H40" s="30"/>
      <c r="J40" s="29"/>
      <c r="L40" s="30"/>
      <c r="M40" s="30"/>
      <c r="O40" s="32"/>
      <c r="P40" s="32"/>
      <c r="S40" s="32"/>
    </row>
    <row r="41">
      <c r="D41" s="29"/>
      <c r="F41" s="31"/>
      <c r="G41" s="30"/>
      <c r="H41" s="30"/>
      <c r="J41" s="29"/>
      <c r="L41" s="30"/>
      <c r="M41" s="30"/>
      <c r="O41" s="32"/>
      <c r="P41" s="32"/>
      <c r="S41" s="32"/>
    </row>
    <row r="42">
      <c r="D42" s="29"/>
      <c r="F42" s="31"/>
      <c r="G42" s="30"/>
      <c r="H42" s="30"/>
      <c r="J42" s="29"/>
      <c r="L42" s="30"/>
      <c r="M42" s="30"/>
      <c r="O42" s="32"/>
      <c r="P42" s="32"/>
      <c r="S42" s="32"/>
    </row>
    <row r="43">
      <c r="D43" s="29"/>
      <c r="F43" s="31"/>
      <c r="G43" s="30"/>
      <c r="H43" s="30"/>
      <c r="J43" s="29"/>
      <c r="L43" s="30"/>
      <c r="M43" s="30"/>
      <c r="O43" s="32"/>
      <c r="P43" s="32"/>
      <c r="S43" s="32"/>
    </row>
    <row r="44">
      <c r="D44" s="29"/>
      <c r="F44" s="31"/>
      <c r="G44" s="30"/>
      <c r="H44" s="30"/>
      <c r="J44" s="29"/>
      <c r="L44" s="30"/>
      <c r="M44" s="30"/>
      <c r="O44" s="32"/>
      <c r="P44" s="32"/>
      <c r="S44" s="32"/>
    </row>
    <row r="45">
      <c r="D45" s="29"/>
      <c r="F45" s="31"/>
      <c r="G45" s="30"/>
      <c r="H45" s="30"/>
      <c r="J45" s="29"/>
      <c r="L45" s="30"/>
      <c r="M45" s="30"/>
      <c r="O45" s="32"/>
      <c r="P45" s="32"/>
      <c r="S45" s="32"/>
    </row>
    <row r="46">
      <c r="D46" s="29"/>
      <c r="F46" s="31"/>
      <c r="G46" s="30"/>
      <c r="H46" s="30"/>
      <c r="J46" s="29"/>
      <c r="L46" s="30"/>
      <c r="M46" s="30"/>
      <c r="O46" s="32"/>
      <c r="P46" s="32"/>
      <c r="S46" s="32"/>
    </row>
    <row r="47">
      <c r="D47" s="29"/>
      <c r="F47" s="31"/>
      <c r="G47" s="30"/>
      <c r="H47" s="30"/>
      <c r="J47" s="29"/>
      <c r="L47" s="30"/>
      <c r="M47" s="30"/>
      <c r="O47" s="32"/>
      <c r="P47" s="32"/>
      <c r="S47" s="32"/>
    </row>
    <row r="48">
      <c r="D48" s="29"/>
      <c r="F48" s="31"/>
      <c r="G48" s="30"/>
      <c r="H48" s="30"/>
      <c r="J48" s="29"/>
      <c r="L48" s="30"/>
      <c r="M48" s="30"/>
      <c r="O48" s="32"/>
      <c r="P48" s="32"/>
      <c r="S48" s="32"/>
    </row>
    <row r="49">
      <c r="D49" s="29"/>
      <c r="F49" s="31"/>
      <c r="G49" s="30"/>
      <c r="H49" s="30"/>
      <c r="J49" s="29"/>
      <c r="L49" s="30"/>
      <c r="M49" s="30"/>
      <c r="O49" s="32"/>
      <c r="P49" s="32"/>
      <c r="S49" s="32"/>
    </row>
    <row r="50">
      <c r="D50" s="29"/>
      <c r="F50" s="31"/>
      <c r="G50" s="30"/>
      <c r="H50" s="30"/>
      <c r="J50" s="29"/>
      <c r="L50" s="30"/>
      <c r="M50" s="30"/>
      <c r="O50" s="32"/>
      <c r="P50" s="32"/>
      <c r="S50" s="32"/>
    </row>
    <row r="51">
      <c r="D51" s="29"/>
      <c r="F51" s="31"/>
      <c r="G51" s="30"/>
      <c r="H51" s="30"/>
      <c r="J51" s="29"/>
      <c r="L51" s="30"/>
      <c r="M51" s="30"/>
      <c r="O51" s="32"/>
      <c r="P51" s="32"/>
      <c r="S51" s="32"/>
    </row>
    <row r="52">
      <c r="D52" s="29"/>
      <c r="F52" s="31"/>
      <c r="G52" s="30"/>
      <c r="H52" s="30"/>
      <c r="J52" s="29"/>
      <c r="L52" s="30"/>
      <c r="M52" s="30"/>
      <c r="O52" s="32"/>
      <c r="P52" s="32"/>
      <c r="S52" s="32"/>
    </row>
    <row r="53">
      <c r="D53" s="29"/>
      <c r="F53" s="31"/>
      <c r="G53" s="30"/>
      <c r="H53" s="30"/>
      <c r="J53" s="29"/>
      <c r="L53" s="30"/>
      <c r="M53" s="30"/>
      <c r="O53" s="32"/>
      <c r="P53" s="32"/>
      <c r="S53" s="32"/>
    </row>
    <row r="54">
      <c r="D54" s="29"/>
      <c r="F54" s="31"/>
      <c r="G54" s="30"/>
      <c r="H54" s="30"/>
      <c r="J54" s="29"/>
      <c r="L54" s="30"/>
      <c r="M54" s="30"/>
      <c r="O54" s="32"/>
      <c r="P54" s="32"/>
      <c r="S54" s="32"/>
    </row>
    <row r="55">
      <c r="D55" s="29"/>
      <c r="F55" s="31"/>
      <c r="G55" s="30"/>
      <c r="H55" s="30"/>
      <c r="J55" s="29"/>
      <c r="L55" s="30"/>
      <c r="M55" s="30"/>
      <c r="O55" s="32"/>
      <c r="P55" s="32"/>
      <c r="S55" s="32"/>
    </row>
    <row r="56">
      <c r="D56" s="29"/>
      <c r="F56" s="31"/>
      <c r="G56" s="30"/>
      <c r="H56" s="30"/>
      <c r="J56" s="29"/>
      <c r="L56" s="30"/>
      <c r="M56" s="30"/>
      <c r="O56" s="32"/>
      <c r="P56" s="32"/>
      <c r="S56" s="32"/>
    </row>
    <row r="57">
      <c r="D57" s="29"/>
      <c r="F57" s="31"/>
      <c r="G57" s="30"/>
      <c r="H57" s="30"/>
      <c r="J57" s="29"/>
      <c r="L57" s="30"/>
      <c r="M57" s="30"/>
      <c r="O57" s="32"/>
      <c r="P57" s="32"/>
      <c r="S57" s="32"/>
    </row>
    <row r="58">
      <c r="D58" s="29"/>
      <c r="F58" s="31"/>
      <c r="G58" s="30"/>
      <c r="H58" s="30"/>
      <c r="J58" s="29"/>
      <c r="L58" s="30"/>
      <c r="M58" s="30"/>
      <c r="O58" s="32"/>
      <c r="P58" s="32"/>
      <c r="S58" s="32"/>
    </row>
    <row r="59">
      <c r="D59" s="29"/>
      <c r="F59" s="31"/>
      <c r="G59" s="30"/>
      <c r="H59" s="30"/>
      <c r="J59" s="29"/>
      <c r="L59" s="30"/>
      <c r="M59" s="30"/>
      <c r="O59" s="32"/>
      <c r="P59" s="32"/>
      <c r="S59" s="32"/>
    </row>
    <row r="60">
      <c r="D60" s="29"/>
      <c r="F60" s="31"/>
      <c r="G60" s="30"/>
      <c r="H60" s="30"/>
      <c r="J60" s="29"/>
      <c r="L60" s="30"/>
      <c r="M60" s="30"/>
      <c r="O60" s="32"/>
      <c r="P60" s="32"/>
      <c r="S60" s="32"/>
    </row>
    <row r="61">
      <c r="D61" s="29"/>
      <c r="F61" s="31"/>
      <c r="G61" s="30"/>
      <c r="H61" s="30"/>
      <c r="J61" s="29"/>
      <c r="L61" s="30"/>
      <c r="M61" s="30"/>
      <c r="O61" s="32"/>
      <c r="P61" s="32"/>
      <c r="S61" s="32"/>
    </row>
    <row r="62">
      <c r="D62" s="29"/>
      <c r="F62" s="31"/>
      <c r="G62" s="30"/>
      <c r="H62" s="30"/>
      <c r="J62" s="29"/>
      <c r="L62" s="30"/>
      <c r="M62" s="30"/>
      <c r="O62" s="32"/>
      <c r="P62" s="32"/>
      <c r="S62" s="32"/>
    </row>
    <row r="63">
      <c r="D63" s="29"/>
      <c r="F63" s="31"/>
      <c r="G63" s="30"/>
      <c r="H63" s="30"/>
      <c r="J63" s="29"/>
      <c r="L63" s="30"/>
      <c r="M63" s="30"/>
      <c r="O63" s="32"/>
      <c r="P63" s="32"/>
      <c r="S63" s="32"/>
    </row>
    <row r="64">
      <c r="D64" s="29"/>
      <c r="F64" s="31"/>
      <c r="G64" s="30"/>
      <c r="H64" s="30"/>
      <c r="J64" s="29"/>
      <c r="L64" s="30"/>
      <c r="M64" s="30"/>
      <c r="O64" s="32"/>
      <c r="P64" s="32"/>
      <c r="S64" s="32"/>
    </row>
    <row r="65">
      <c r="D65" s="29"/>
      <c r="F65" s="31"/>
      <c r="G65" s="30"/>
      <c r="H65" s="30"/>
      <c r="J65" s="29"/>
      <c r="L65" s="30"/>
      <c r="M65" s="30"/>
      <c r="O65" s="32"/>
      <c r="P65" s="32"/>
      <c r="S65" s="32"/>
    </row>
    <row r="66">
      <c r="D66" s="29"/>
      <c r="F66" s="31"/>
      <c r="G66" s="30"/>
      <c r="H66" s="30"/>
      <c r="J66" s="29"/>
      <c r="L66" s="30"/>
      <c r="M66" s="30"/>
      <c r="O66" s="32"/>
      <c r="P66" s="32"/>
      <c r="S66" s="32"/>
    </row>
    <row r="67">
      <c r="D67" s="29"/>
      <c r="F67" s="31"/>
      <c r="G67" s="30"/>
      <c r="H67" s="30"/>
      <c r="J67" s="29"/>
      <c r="L67" s="30"/>
      <c r="M67" s="30"/>
      <c r="O67" s="32"/>
      <c r="P67" s="32"/>
      <c r="S67" s="32"/>
    </row>
    <row r="68">
      <c r="D68" s="29"/>
      <c r="F68" s="31"/>
      <c r="G68" s="30"/>
      <c r="H68" s="30"/>
      <c r="J68" s="29"/>
      <c r="L68" s="30"/>
      <c r="M68" s="30"/>
      <c r="O68" s="32"/>
      <c r="P68" s="32"/>
      <c r="S68" s="32"/>
    </row>
    <row r="69">
      <c r="D69" s="29"/>
      <c r="F69" s="31"/>
      <c r="G69" s="30"/>
      <c r="H69" s="30"/>
      <c r="J69" s="29"/>
      <c r="L69" s="30"/>
      <c r="M69" s="30"/>
      <c r="O69" s="32"/>
      <c r="P69" s="32"/>
      <c r="S69" s="32"/>
    </row>
    <row r="70">
      <c r="D70" s="29"/>
      <c r="F70" s="31"/>
      <c r="G70" s="30"/>
      <c r="H70" s="30"/>
      <c r="J70" s="29"/>
      <c r="L70" s="30"/>
      <c r="M70" s="30"/>
      <c r="O70" s="32"/>
      <c r="P70" s="32"/>
      <c r="S70" s="32"/>
    </row>
    <row r="71">
      <c r="D71" s="29"/>
      <c r="F71" s="31"/>
      <c r="G71" s="30"/>
      <c r="H71" s="30"/>
      <c r="J71" s="29"/>
      <c r="L71" s="30"/>
      <c r="M71" s="30"/>
      <c r="O71" s="32"/>
      <c r="P71" s="32"/>
      <c r="S71" s="32"/>
    </row>
    <row r="72">
      <c r="D72" s="29"/>
      <c r="F72" s="31"/>
      <c r="G72" s="30"/>
      <c r="H72" s="30"/>
      <c r="J72" s="29"/>
      <c r="L72" s="30"/>
      <c r="M72" s="30"/>
      <c r="O72" s="32"/>
      <c r="P72" s="32"/>
      <c r="S72" s="32"/>
    </row>
    <row r="73">
      <c r="D73" s="29"/>
      <c r="F73" s="31"/>
      <c r="G73" s="30"/>
      <c r="H73" s="30"/>
      <c r="J73" s="29"/>
      <c r="L73" s="30"/>
      <c r="M73" s="30"/>
      <c r="O73" s="32"/>
      <c r="P73" s="32"/>
      <c r="S73" s="32"/>
    </row>
    <row r="74">
      <c r="D74" s="29"/>
      <c r="F74" s="31"/>
      <c r="G74" s="30"/>
      <c r="H74" s="30"/>
      <c r="J74" s="29"/>
      <c r="L74" s="30"/>
      <c r="M74" s="30"/>
      <c r="O74" s="32"/>
      <c r="P74" s="32"/>
      <c r="S74" s="32"/>
    </row>
    <row r="75">
      <c r="D75" s="29"/>
      <c r="F75" s="31"/>
      <c r="G75" s="30"/>
      <c r="H75" s="30"/>
      <c r="J75" s="29"/>
      <c r="L75" s="30"/>
      <c r="M75" s="30"/>
      <c r="O75" s="32"/>
      <c r="P75" s="32"/>
      <c r="S75" s="32"/>
    </row>
    <row r="76">
      <c r="D76" s="29"/>
      <c r="F76" s="31"/>
      <c r="G76" s="30"/>
      <c r="H76" s="30"/>
      <c r="J76" s="29"/>
      <c r="L76" s="30"/>
      <c r="M76" s="30"/>
      <c r="O76" s="32"/>
      <c r="P76" s="32"/>
      <c r="S76" s="32"/>
    </row>
    <row r="77">
      <c r="D77" s="29"/>
      <c r="F77" s="31"/>
      <c r="G77" s="30"/>
      <c r="H77" s="30"/>
      <c r="J77" s="29"/>
      <c r="L77" s="30"/>
      <c r="M77" s="30"/>
      <c r="O77" s="32"/>
      <c r="P77" s="32"/>
      <c r="S77" s="32"/>
    </row>
    <row r="78">
      <c r="D78" s="29"/>
      <c r="F78" s="31"/>
      <c r="G78" s="30"/>
      <c r="H78" s="30"/>
      <c r="J78" s="29"/>
      <c r="L78" s="30"/>
      <c r="M78" s="30"/>
      <c r="O78" s="32"/>
      <c r="P78" s="32"/>
      <c r="S78" s="32"/>
    </row>
    <row r="79">
      <c r="D79" s="29"/>
      <c r="F79" s="31"/>
      <c r="G79" s="30"/>
      <c r="H79" s="30"/>
      <c r="J79" s="29"/>
      <c r="L79" s="30"/>
      <c r="M79" s="30"/>
      <c r="O79" s="32"/>
      <c r="P79" s="32"/>
      <c r="S79" s="32"/>
    </row>
    <row r="80">
      <c r="D80" s="29"/>
      <c r="F80" s="31"/>
      <c r="G80" s="30"/>
      <c r="H80" s="30"/>
      <c r="J80" s="29"/>
      <c r="L80" s="30"/>
      <c r="M80" s="30"/>
      <c r="O80" s="32"/>
      <c r="P80" s="32"/>
      <c r="S80" s="32"/>
    </row>
    <row r="81">
      <c r="D81" s="29"/>
      <c r="F81" s="31"/>
      <c r="G81" s="30"/>
      <c r="H81" s="30"/>
      <c r="J81" s="29"/>
      <c r="L81" s="30"/>
      <c r="M81" s="30"/>
      <c r="O81" s="32"/>
      <c r="P81" s="32"/>
      <c r="S81" s="32"/>
    </row>
    <row r="82">
      <c r="D82" s="29"/>
      <c r="F82" s="31"/>
      <c r="G82" s="30"/>
      <c r="H82" s="30"/>
      <c r="J82" s="29"/>
      <c r="L82" s="30"/>
      <c r="M82" s="30"/>
      <c r="O82" s="32"/>
      <c r="P82" s="32"/>
      <c r="S82" s="32"/>
    </row>
    <row r="83">
      <c r="D83" s="29"/>
      <c r="F83" s="31"/>
      <c r="G83" s="30"/>
      <c r="H83" s="30"/>
      <c r="J83" s="29"/>
      <c r="L83" s="30"/>
      <c r="M83" s="30"/>
      <c r="O83" s="32"/>
      <c r="P83" s="32"/>
      <c r="S83" s="32"/>
    </row>
    <row r="84">
      <c r="D84" s="29"/>
      <c r="F84" s="31"/>
      <c r="G84" s="30"/>
      <c r="H84" s="30"/>
      <c r="J84" s="29"/>
      <c r="L84" s="30"/>
      <c r="M84" s="30"/>
      <c r="O84" s="32"/>
      <c r="P84" s="32"/>
      <c r="S84" s="32"/>
    </row>
    <row r="85">
      <c r="D85" s="29"/>
      <c r="F85" s="31"/>
      <c r="G85" s="30"/>
      <c r="H85" s="30"/>
      <c r="J85" s="29"/>
      <c r="L85" s="30"/>
      <c r="M85" s="30"/>
      <c r="O85" s="32"/>
      <c r="P85" s="32"/>
      <c r="S85" s="32"/>
    </row>
    <row r="86">
      <c r="D86" s="29"/>
      <c r="F86" s="31"/>
      <c r="G86" s="30"/>
      <c r="H86" s="30"/>
      <c r="J86" s="29"/>
      <c r="L86" s="30"/>
      <c r="M86" s="30"/>
      <c r="O86" s="32"/>
      <c r="P86" s="32"/>
      <c r="S86" s="32"/>
    </row>
    <row r="87">
      <c r="D87" s="29"/>
      <c r="F87" s="31"/>
      <c r="G87" s="30"/>
      <c r="H87" s="30"/>
      <c r="J87" s="29"/>
      <c r="L87" s="30"/>
      <c r="M87" s="30"/>
      <c r="O87" s="32"/>
      <c r="P87" s="32"/>
      <c r="S87" s="32"/>
    </row>
    <row r="88">
      <c r="D88" s="29"/>
      <c r="F88" s="31"/>
      <c r="G88" s="30"/>
      <c r="H88" s="30"/>
      <c r="J88" s="29"/>
      <c r="L88" s="30"/>
      <c r="M88" s="30"/>
      <c r="O88" s="32"/>
      <c r="P88" s="32"/>
      <c r="S88" s="32"/>
    </row>
    <row r="89">
      <c r="D89" s="29"/>
      <c r="F89" s="31"/>
      <c r="G89" s="30"/>
      <c r="H89" s="30"/>
      <c r="J89" s="29"/>
      <c r="L89" s="30"/>
      <c r="M89" s="30"/>
      <c r="O89" s="32"/>
      <c r="P89" s="32"/>
      <c r="S89" s="32"/>
    </row>
    <row r="90">
      <c r="D90" s="29"/>
      <c r="F90" s="31"/>
      <c r="G90" s="30"/>
      <c r="H90" s="30"/>
      <c r="J90" s="29"/>
      <c r="L90" s="30"/>
      <c r="M90" s="30"/>
      <c r="O90" s="32"/>
      <c r="P90" s="32"/>
      <c r="S90" s="32"/>
    </row>
    <row r="91">
      <c r="D91" s="29"/>
      <c r="F91" s="31"/>
      <c r="G91" s="30"/>
      <c r="H91" s="30"/>
      <c r="J91" s="29"/>
      <c r="L91" s="30"/>
      <c r="M91" s="30"/>
      <c r="O91" s="32"/>
      <c r="P91" s="32"/>
      <c r="S91" s="32"/>
    </row>
    <row r="92">
      <c r="D92" s="29"/>
      <c r="F92" s="31"/>
      <c r="G92" s="30"/>
      <c r="H92" s="30"/>
      <c r="J92" s="29"/>
      <c r="L92" s="30"/>
      <c r="M92" s="30"/>
      <c r="O92" s="32"/>
      <c r="P92" s="32"/>
      <c r="S92" s="32"/>
    </row>
    <row r="93">
      <c r="D93" s="29"/>
      <c r="F93" s="31"/>
      <c r="G93" s="30"/>
      <c r="H93" s="30"/>
      <c r="J93" s="29"/>
      <c r="L93" s="30"/>
      <c r="M93" s="30"/>
      <c r="O93" s="32"/>
      <c r="P93" s="32"/>
      <c r="S93" s="32"/>
    </row>
    <row r="94">
      <c r="D94" s="29"/>
      <c r="F94" s="31"/>
      <c r="G94" s="30"/>
      <c r="H94" s="30"/>
      <c r="J94" s="29"/>
      <c r="L94" s="30"/>
      <c r="M94" s="30"/>
      <c r="O94" s="32"/>
      <c r="P94" s="32"/>
      <c r="S94" s="32"/>
    </row>
    <row r="95">
      <c r="D95" s="29"/>
      <c r="F95" s="31"/>
      <c r="G95" s="30"/>
      <c r="H95" s="30"/>
      <c r="J95" s="29"/>
      <c r="L95" s="30"/>
      <c r="M95" s="30"/>
      <c r="O95" s="32"/>
      <c r="P95" s="32"/>
      <c r="S95" s="32"/>
    </row>
    <row r="96">
      <c r="D96" s="29"/>
      <c r="F96" s="31"/>
      <c r="G96" s="30"/>
      <c r="H96" s="30"/>
      <c r="J96" s="29"/>
      <c r="L96" s="30"/>
      <c r="M96" s="30"/>
      <c r="O96" s="32"/>
      <c r="P96" s="32"/>
      <c r="S96" s="32"/>
    </row>
    <row r="97">
      <c r="D97" s="29"/>
      <c r="F97" s="31"/>
      <c r="G97" s="30"/>
      <c r="H97" s="30"/>
      <c r="J97" s="29"/>
      <c r="L97" s="30"/>
      <c r="M97" s="30"/>
      <c r="O97" s="32"/>
      <c r="P97" s="32"/>
      <c r="S97" s="32"/>
    </row>
    <row r="98">
      <c r="D98" s="29"/>
      <c r="F98" s="31"/>
      <c r="G98" s="30"/>
      <c r="H98" s="30"/>
      <c r="J98" s="29"/>
      <c r="L98" s="30"/>
      <c r="M98" s="30"/>
      <c r="O98" s="32"/>
      <c r="P98" s="32"/>
      <c r="S98" s="32"/>
    </row>
    <row r="99">
      <c r="D99" s="29"/>
      <c r="F99" s="31"/>
      <c r="G99" s="30"/>
      <c r="H99" s="30"/>
      <c r="J99" s="29"/>
      <c r="L99" s="30"/>
      <c r="M99" s="30"/>
      <c r="O99" s="32"/>
      <c r="P99" s="32"/>
      <c r="S99" s="32"/>
    </row>
    <row r="100">
      <c r="D100" s="29"/>
      <c r="F100" s="31"/>
      <c r="G100" s="30"/>
      <c r="H100" s="30"/>
      <c r="J100" s="29"/>
      <c r="L100" s="30"/>
      <c r="M100" s="30"/>
      <c r="O100" s="32"/>
      <c r="P100" s="32"/>
      <c r="S100" s="32"/>
    </row>
    <row r="101">
      <c r="D101" s="29"/>
      <c r="F101" s="31"/>
      <c r="G101" s="30"/>
      <c r="H101" s="30"/>
      <c r="J101" s="29"/>
      <c r="L101" s="30"/>
      <c r="M101" s="30"/>
      <c r="O101" s="32"/>
      <c r="P101" s="32"/>
      <c r="S101" s="32"/>
    </row>
    <row r="102">
      <c r="D102" s="29"/>
      <c r="F102" s="31"/>
      <c r="G102" s="30"/>
      <c r="H102" s="30"/>
      <c r="J102" s="29"/>
      <c r="L102" s="30"/>
      <c r="M102" s="30"/>
      <c r="O102" s="32"/>
      <c r="P102" s="32"/>
      <c r="S102" s="32"/>
    </row>
    <row r="103">
      <c r="D103" s="29"/>
      <c r="F103" s="31"/>
      <c r="G103" s="30"/>
      <c r="H103" s="30"/>
      <c r="J103" s="29"/>
      <c r="L103" s="30"/>
      <c r="M103" s="30"/>
      <c r="O103" s="32"/>
      <c r="P103" s="32"/>
      <c r="S103" s="32"/>
    </row>
    <row r="104">
      <c r="D104" s="29"/>
      <c r="F104" s="31"/>
      <c r="G104" s="30"/>
      <c r="H104" s="30"/>
      <c r="J104" s="29"/>
      <c r="L104" s="30"/>
      <c r="M104" s="30"/>
      <c r="O104" s="32"/>
      <c r="P104" s="32"/>
      <c r="S104" s="32"/>
    </row>
    <row r="105">
      <c r="D105" s="29"/>
      <c r="F105" s="31"/>
      <c r="G105" s="30"/>
      <c r="H105" s="30"/>
      <c r="J105" s="29"/>
      <c r="L105" s="30"/>
      <c r="M105" s="30"/>
      <c r="O105" s="32"/>
      <c r="P105" s="32"/>
      <c r="S105" s="32"/>
    </row>
    <row r="106">
      <c r="D106" s="29"/>
      <c r="F106" s="31"/>
      <c r="G106" s="30"/>
      <c r="H106" s="30"/>
      <c r="J106" s="29"/>
      <c r="L106" s="30"/>
      <c r="M106" s="30"/>
      <c r="O106" s="32"/>
      <c r="P106" s="32"/>
      <c r="S106" s="32"/>
    </row>
    <row r="107">
      <c r="D107" s="29"/>
      <c r="F107" s="31"/>
      <c r="G107" s="30"/>
      <c r="H107" s="30"/>
      <c r="J107" s="29"/>
      <c r="L107" s="30"/>
      <c r="M107" s="30"/>
      <c r="O107" s="32"/>
      <c r="P107" s="32"/>
      <c r="S107" s="32"/>
    </row>
    <row r="108">
      <c r="D108" s="29"/>
      <c r="F108" s="31"/>
      <c r="G108" s="30"/>
      <c r="H108" s="30"/>
      <c r="J108" s="29"/>
      <c r="L108" s="30"/>
      <c r="M108" s="30"/>
      <c r="O108" s="32"/>
      <c r="P108" s="32"/>
      <c r="S108" s="32"/>
    </row>
    <row r="109">
      <c r="D109" s="29"/>
      <c r="F109" s="31"/>
      <c r="G109" s="30"/>
      <c r="H109" s="30"/>
      <c r="J109" s="29"/>
      <c r="L109" s="30"/>
      <c r="M109" s="30"/>
      <c r="O109" s="32"/>
      <c r="P109" s="32"/>
      <c r="S109" s="32"/>
    </row>
    <row r="110">
      <c r="D110" s="29"/>
      <c r="F110" s="31"/>
      <c r="G110" s="30"/>
      <c r="H110" s="30"/>
      <c r="J110" s="29"/>
      <c r="L110" s="30"/>
      <c r="M110" s="30"/>
      <c r="O110" s="32"/>
      <c r="P110" s="32"/>
      <c r="S110" s="32"/>
    </row>
    <row r="111">
      <c r="D111" s="29"/>
      <c r="F111" s="31"/>
      <c r="G111" s="30"/>
      <c r="H111" s="30"/>
      <c r="J111" s="29"/>
      <c r="L111" s="30"/>
      <c r="M111" s="30"/>
      <c r="O111" s="32"/>
      <c r="P111" s="32"/>
      <c r="S111" s="32"/>
    </row>
    <row r="112">
      <c r="D112" s="29"/>
      <c r="F112" s="31"/>
      <c r="G112" s="30"/>
      <c r="H112" s="30"/>
      <c r="J112" s="29"/>
      <c r="L112" s="30"/>
      <c r="M112" s="30"/>
      <c r="O112" s="32"/>
      <c r="P112" s="32"/>
      <c r="S112" s="32"/>
    </row>
    <row r="113">
      <c r="D113" s="29"/>
      <c r="F113" s="31"/>
      <c r="G113" s="30"/>
      <c r="H113" s="30"/>
      <c r="J113" s="29"/>
      <c r="L113" s="30"/>
      <c r="M113" s="30"/>
      <c r="O113" s="32"/>
      <c r="P113" s="32"/>
      <c r="S113" s="32"/>
    </row>
    <row r="114">
      <c r="D114" s="29"/>
      <c r="F114" s="31"/>
      <c r="G114" s="30"/>
      <c r="H114" s="30"/>
      <c r="J114" s="29"/>
      <c r="L114" s="30"/>
      <c r="M114" s="30"/>
      <c r="O114" s="32"/>
      <c r="P114" s="32"/>
      <c r="S114" s="32"/>
    </row>
    <row r="115">
      <c r="D115" s="29"/>
      <c r="F115" s="31"/>
      <c r="G115" s="30"/>
      <c r="H115" s="30"/>
      <c r="J115" s="29"/>
      <c r="L115" s="30"/>
      <c r="M115" s="30"/>
      <c r="O115" s="32"/>
      <c r="P115" s="32"/>
      <c r="S115" s="32"/>
    </row>
    <row r="116">
      <c r="D116" s="29"/>
      <c r="F116" s="31"/>
      <c r="G116" s="30"/>
      <c r="H116" s="30"/>
      <c r="J116" s="29"/>
      <c r="L116" s="30"/>
      <c r="M116" s="30"/>
      <c r="O116" s="32"/>
      <c r="P116" s="32"/>
      <c r="S116" s="32"/>
    </row>
    <row r="117">
      <c r="D117" s="29"/>
      <c r="F117" s="31"/>
      <c r="G117" s="30"/>
      <c r="H117" s="30"/>
      <c r="J117" s="29"/>
      <c r="L117" s="30"/>
      <c r="M117" s="30"/>
      <c r="O117" s="32"/>
      <c r="P117" s="32"/>
      <c r="S117" s="32"/>
    </row>
    <row r="118">
      <c r="D118" s="29"/>
      <c r="F118" s="31"/>
      <c r="G118" s="30"/>
      <c r="H118" s="30"/>
      <c r="J118" s="29"/>
      <c r="L118" s="30"/>
      <c r="M118" s="30"/>
      <c r="O118" s="32"/>
      <c r="P118" s="32"/>
      <c r="S118" s="32"/>
    </row>
    <row r="119">
      <c r="D119" s="29"/>
      <c r="F119" s="31"/>
      <c r="G119" s="30"/>
      <c r="H119" s="30"/>
      <c r="J119" s="29"/>
      <c r="L119" s="30"/>
      <c r="M119" s="30"/>
      <c r="O119" s="32"/>
      <c r="P119" s="32"/>
      <c r="S119" s="32"/>
    </row>
    <row r="120">
      <c r="D120" s="29"/>
      <c r="F120" s="31"/>
      <c r="G120" s="30"/>
      <c r="H120" s="30"/>
      <c r="J120" s="29"/>
      <c r="L120" s="30"/>
      <c r="M120" s="30"/>
      <c r="O120" s="32"/>
      <c r="P120" s="32"/>
      <c r="S120" s="32"/>
    </row>
    <row r="121">
      <c r="D121" s="29"/>
      <c r="F121" s="31"/>
      <c r="G121" s="30"/>
      <c r="H121" s="30"/>
      <c r="J121" s="29"/>
      <c r="L121" s="30"/>
      <c r="M121" s="30"/>
      <c r="O121" s="32"/>
      <c r="P121" s="32"/>
      <c r="S121" s="32"/>
    </row>
    <row r="122">
      <c r="D122" s="29"/>
      <c r="F122" s="31"/>
      <c r="G122" s="30"/>
      <c r="H122" s="30"/>
      <c r="J122" s="29"/>
      <c r="L122" s="30"/>
      <c r="M122" s="30"/>
      <c r="O122" s="32"/>
      <c r="P122" s="32"/>
      <c r="S122" s="32"/>
    </row>
    <row r="123">
      <c r="D123" s="29"/>
      <c r="F123" s="31"/>
      <c r="G123" s="30"/>
      <c r="H123" s="30"/>
      <c r="J123" s="29"/>
      <c r="L123" s="30"/>
      <c r="M123" s="30"/>
      <c r="O123" s="32"/>
      <c r="P123" s="32"/>
      <c r="S123" s="32"/>
    </row>
    <row r="124">
      <c r="D124" s="29"/>
      <c r="F124" s="31"/>
      <c r="G124" s="30"/>
      <c r="H124" s="30"/>
      <c r="J124" s="29"/>
      <c r="L124" s="30"/>
      <c r="M124" s="30"/>
      <c r="O124" s="32"/>
      <c r="P124" s="32"/>
      <c r="S124" s="32"/>
    </row>
    <row r="125">
      <c r="D125" s="29"/>
      <c r="F125" s="31"/>
      <c r="G125" s="30"/>
      <c r="H125" s="30"/>
      <c r="J125" s="29"/>
      <c r="L125" s="30"/>
      <c r="M125" s="30"/>
      <c r="O125" s="32"/>
      <c r="P125" s="32"/>
      <c r="S125" s="32"/>
    </row>
    <row r="126">
      <c r="D126" s="29"/>
      <c r="F126" s="31"/>
      <c r="G126" s="30"/>
      <c r="H126" s="30"/>
      <c r="J126" s="29"/>
      <c r="L126" s="30"/>
      <c r="M126" s="30"/>
      <c r="O126" s="32"/>
      <c r="P126" s="32"/>
      <c r="S126" s="32"/>
    </row>
    <row r="127">
      <c r="D127" s="29"/>
      <c r="F127" s="31"/>
      <c r="G127" s="30"/>
      <c r="H127" s="30"/>
      <c r="J127" s="29"/>
      <c r="L127" s="30"/>
      <c r="M127" s="30"/>
      <c r="O127" s="32"/>
      <c r="P127" s="32"/>
      <c r="S127" s="32"/>
    </row>
    <row r="128">
      <c r="D128" s="29"/>
      <c r="F128" s="31"/>
      <c r="G128" s="30"/>
      <c r="H128" s="30"/>
      <c r="J128" s="29"/>
      <c r="L128" s="30"/>
      <c r="M128" s="30"/>
      <c r="O128" s="32"/>
      <c r="P128" s="32"/>
      <c r="S128" s="32"/>
    </row>
    <row r="129">
      <c r="D129" s="29"/>
      <c r="F129" s="31"/>
      <c r="G129" s="30"/>
      <c r="H129" s="30"/>
      <c r="J129" s="29"/>
      <c r="L129" s="30"/>
      <c r="M129" s="30"/>
      <c r="O129" s="32"/>
      <c r="P129" s="32"/>
      <c r="S129" s="32"/>
    </row>
    <row r="130">
      <c r="D130" s="29"/>
      <c r="F130" s="31"/>
      <c r="G130" s="30"/>
      <c r="H130" s="30"/>
      <c r="J130" s="29"/>
      <c r="L130" s="30"/>
      <c r="M130" s="30"/>
      <c r="O130" s="32"/>
      <c r="P130" s="32"/>
      <c r="S130" s="32"/>
    </row>
    <row r="131">
      <c r="D131" s="29"/>
      <c r="F131" s="31"/>
      <c r="G131" s="30"/>
      <c r="H131" s="30"/>
      <c r="J131" s="29"/>
      <c r="L131" s="30"/>
      <c r="M131" s="30"/>
      <c r="O131" s="32"/>
      <c r="P131" s="32"/>
      <c r="S131" s="32"/>
    </row>
    <row r="132">
      <c r="D132" s="29"/>
      <c r="F132" s="31"/>
      <c r="G132" s="30"/>
      <c r="H132" s="30"/>
      <c r="J132" s="29"/>
      <c r="L132" s="30"/>
      <c r="M132" s="30"/>
      <c r="O132" s="32"/>
      <c r="P132" s="32"/>
      <c r="S132" s="32"/>
    </row>
    <row r="133">
      <c r="D133" s="29"/>
      <c r="F133" s="31"/>
      <c r="G133" s="30"/>
      <c r="H133" s="30"/>
      <c r="J133" s="29"/>
      <c r="L133" s="30"/>
      <c r="M133" s="30"/>
      <c r="O133" s="32"/>
      <c r="P133" s="32"/>
      <c r="S133" s="32"/>
    </row>
    <row r="134">
      <c r="D134" s="29"/>
      <c r="F134" s="31"/>
      <c r="G134" s="30"/>
      <c r="H134" s="30"/>
      <c r="J134" s="29"/>
      <c r="L134" s="30"/>
      <c r="M134" s="30"/>
      <c r="O134" s="32"/>
      <c r="P134" s="32"/>
      <c r="S134" s="32"/>
    </row>
    <row r="135">
      <c r="D135" s="29"/>
      <c r="F135" s="31"/>
      <c r="G135" s="30"/>
      <c r="H135" s="30"/>
      <c r="J135" s="29"/>
      <c r="L135" s="30"/>
      <c r="M135" s="30"/>
      <c r="O135" s="32"/>
      <c r="P135" s="32"/>
      <c r="S135" s="32"/>
    </row>
    <row r="136">
      <c r="D136" s="29"/>
      <c r="F136" s="31"/>
      <c r="G136" s="30"/>
      <c r="H136" s="30"/>
      <c r="J136" s="29"/>
      <c r="L136" s="30"/>
      <c r="M136" s="30"/>
      <c r="O136" s="32"/>
      <c r="P136" s="32"/>
      <c r="S136" s="32"/>
    </row>
    <row r="137">
      <c r="D137" s="29"/>
      <c r="F137" s="31"/>
      <c r="G137" s="30"/>
      <c r="H137" s="30"/>
      <c r="J137" s="29"/>
      <c r="L137" s="30"/>
      <c r="M137" s="30"/>
      <c r="O137" s="32"/>
      <c r="P137" s="32"/>
      <c r="S137" s="32"/>
    </row>
    <row r="138">
      <c r="D138" s="29"/>
      <c r="F138" s="31"/>
      <c r="G138" s="30"/>
      <c r="H138" s="30"/>
      <c r="J138" s="29"/>
      <c r="L138" s="30"/>
      <c r="M138" s="30"/>
      <c r="O138" s="32"/>
      <c r="P138" s="32"/>
      <c r="S138" s="32"/>
    </row>
    <row r="139">
      <c r="D139" s="29"/>
      <c r="F139" s="31"/>
      <c r="G139" s="30"/>
      <c r="H139" s="30"/>
      <c r="J139" s="29"/>
      <c r="L139" s="30"/>
      <c r="M139" s="30"/>
      <c r="O139" s="32"/>
      <c r="P139" s="32"/>
      <c r="S139" s="32"/>
    </row>
    <row r="140">
      <c r="D140" s="29"/>
      <c r="F140" s="31"/>
      <c r="G140" s="30"/>
      <c r="H140" s="30"/>
      <c r="J140" s="29"/>
      <c r="L140" s="30"/>
      <c r="M140" s="30"/>
      <c r="O140" s="32"/>
      <c r="P140" s="32"/>
      <c r="S140" s="32"/>
    </row>
    <row r="141">
      <c r="D141" s="29"/>
      <c r="F141" s="31"/>
      <c r="G141" s="30"/>
      <c r="H141" s="30"/>
      <c r="J141" s="29"/>
      <c r="L141" s="30"/>
      <c r="M141" s="30"/>
      <c r="O141" s="32"/>
      <c r="P141" s="32"/>
      <c r="S141" s="32"/>
    </row>
    <row r="142">
      <c r="D142" s="29"/>
      <c r="F142" s="31"/>
      <c r="G142" s="30"/>
      <c r="H142" s="30"/>
      <c r="J142" s="29"/>
      <c r="L142" s="30"/>
      <c r="M142" s="30"/>
      <c r="O142" s="32"/>
      <c r="P142" s="32"/>
      <c r="S142" s="32"/>
    </row>
    <row r="143">
      <c r="D143" s="29"/>
      <c r="F143" s="31"/>
      <c r="G143" s="30"/>
      <c r="H143" s="30"/>
      <c r="J143" s="29"/>
      <c r="L143" s="30"/>
      <c r="M143" s="30"/>
      <c r="O143" s="32"/>
      <c r="P143" s="32"/>
      <c r="S143" s="32"/>
    </row>
    <row r="144">
      <c r="D144" s="29"/>
      <c r="F144" s="31"/>
      <c r="G144" s="30"/>
      <c r="H144" s="30"/>
      <c r="J144" s="29"/>
      <c r="L144" s="30"/>
      <c r="M144" s="30"/>
      <c r="O144" s="32"/>
      <c r="P144" s="32"/>
      <c r="S144" s="32"/>
    </row>
    <row r="145">
      <c r="D145" s="29"/>
      <c r="F145" s="31"/>
      <c r="G145" s="30"/>
      <c r="H145" s="30"/>
      <c r="J145" s="29"/>
      <c r="L145" s="30"/>
      <c r="M145" s="30"/>
      <c r="O145" s="32"/>
      <c r="P145" s="32"/>
      <c r="S145" s="32"/>
    </row>
    <row r="146">
      <c r="D146" s="29"/>
      <c r="F146" s="31"/>
      <c r="G146" s="30"/>
      <c r="H146" s="30"/>
      <c r="J146" s="29"/>
      <c r="L146" s="30"/>
      <c r="M146" s="30"/>
      <c r="O146" s="32"/>
      <c r="P146" s="32"/>
      <c r="S146" s="32"/>
    </row>
    <row r="147">
      <c r="D147" s="29"/>
      <c r="F147" s="31"/>
      <c r="G147" s="30"/>
      <c r="H147" s="30"/>
      <c r="J147" s="29"/>
      <c r="L147" s="30"/>
      <c r="M147" s="30"/>
      <c r="O147" s="32"/>
      <c r="P147" s="32"/>
      <c r="S147" s="32"/>
    </row>
    <row r="148">
      <c r="D148" s="29"/>
      <c r="F148" s="31"/>
      <c r="G148" s="30"/>
      <c r="H148" s="30"/>
      <c r="J148" s="29"/>
      <c r="L148" s="30"/>
      <c r="M148" s="30"/>
      <c r="O148" s="32"/>
      <c r="P148" s="32"/>
      <c r="S148" s="32"/>
    </row>
    <row r="149">
      <c r="D149" s="29"/>
      <c r="F149" s="31"/>
      <c r="G149" s="30"/>
      <c r="H149" s="30"/>
      <c r="J149" s="29"/>
      <c r="L149" s="30"/>
      <c r="M149" s="30"/>
      <c r="O149" s="32"/>
      <c r="P149" s="32"/>
      <c r="S149" s="32"/>
    </row>
    <row r="150">
      <c r="D150" s="29"/>
      <c r="F150" s="31"/>
      <c r="G150" s="30"/>
      <c r="H150" s="30"/>
      <c r="J150" s="29"/>
      <c r="L150" s="30"/>
      <c r="M150" s="30"/>
      <c r="O150" s="32"/>
      <c r="P150" s="32"/>
      <c r="S150" s="32"/>
    </row>
    <row r="151">
      <c r="D151" s="29"/>
      <c r="F151" s="31"/>
      <c r="G151" s="30"/>
      <c r="H151" s="30"/>
      <c r="J151" s="29"/>
      <c r="L151" s="30"/>
      <c r="M151" s="30"/>
      <c r="O151" s="32"/>
      <c r="P151" s="32"/>
      <c r="S151" s="32"/>
    </row>
    <row r="152">
      <c r="D152" s="29"/>
      <c r="F152" s="31"/>
      <c r="G152" s="30"/>
      <c r="H152" s="30"/>
      <c r="J152" s="29"/>
      <c r="L152" s="30"/>
      <c r="M152" s="30"/>
      <c r="O152" s="32"/>
      <c r="P152" s="32"/>
      <c r="S152" s="32"/>
    </row>
    <row r="153">
      <c r="D153" s="29"/>
      <c r="F153" s="31"/>
      <c r="G153" s="30"/>
      <c r="H153" s="30"/>
      <c r="J153" s="29"/>
      <c r="L153" s="30"/>
      <c r="M153" s="30"/>
      <c r="O153" s="32"/>
      <c r="P153" s="32"/>
      <c r="S153" s="32"/>
    </row>
    <row r="154">
      <c r="D154" s="29"/>
      <c r="F154" s="31"/>
      <c r="G154" s="30"/>
      <c r="H154" s="30"/>
      <c r="J154" s="29"/>
      <c r="L154" s="30"/>
      <c r="M154" s="30"/>
      <c r="O154" s="32"/>
      <c r="P154" s="32"/>
      <c r="S154" s="32"/>
    </row>
    <row r="155">
      <c r="D155" s="29"/>
      <c r="F155" s="31"/>
      <c r="G155" s="30"/>
      <c r="H155" s="30"/>
      <c r="J155" s="29"/>
      <c r="L155" s="30"/>
      <c r="M155" s="30"/>
      <c r="O155" s="32"/>
      <c r="P155" s="32"/>
      <c r="S155" s="32"/>
    </row>
    <row r="156">
      <c r="D156" s="29"/>
      <c r="F156" s="31"/>
      <c r="G156" s="30"/>
      <c r="H156" s="30"/>
      <c r="J156" s="29"/>
      <c r="L156" s="30"/>
      <c r="M156" s="30"/>
      <c r="O156" s="32"/>
      <c r="P156" s="32"/>
      <c r="S156" s="32"/>
    </row>
    <row r="157">
      <c r="D157" s="29"/>
      <c r="F157" s="31"/>
      <c r="G157" s="30"/>
      <c r="H157" s="30"/>
      <c r="J157" s="29"/>
      <c r="L157" s="30"/>
      <c r="M157" s="30"/>
      <c r="O157" s="32"/>
      <c r="P157" s="32"/>
      <c r="S157" s="32"/>
    </row>
    <row r="158">
      <c r="D158" s="29"/>
      <c r="F158" s="31"/>
      <c r="G158" s="30"/>
      <c r="H158" s="30"/>
      <c r="J158" s="29"/>
      <c r="L158" s="30"/>
      <c r="M158" s="30"/>
      <c r="O158" s="32"/>
      <c r="P158" s="32"/>
      <c r="S158" s="32"/>
    </row>
    <row r="159">
      <c r="D159" s="29"/>
      <c r="F159" s="31"/>
      <c r="G159" s="30"/>
      <c r="H159" s="30"/>
      <c r="J159" s="29"/>
      <c r="L159" s="30"/>
      <c r="M159" s="30"/>
      <c r="O159" s="32"/>
      <c r="P159" s="32"/>
      <c r="S159" s="32"/>
    </row>
    <row r="160">
      <c r="D160" s="29"/>
      <c r="F160" s="31"/>
      <c r="G160" s="30"/>
      <c r="H160" s="30"/>
      <c r="J160" s="29"/>
      <c r="L160" s="30"/>
      <c r="M160" s="30"/>
      <c r="O160" s="32"/>
      <c r="P160" s="32"/>
      <c r="S160" s="32"/>
    </row>
    <row r="161">
      <c r="D161" s="29"/>
      <c r="F161" s="31"/>
      <c r="G161" s="30"/>
      <c r="H161" s="30"/>
      <c r="J161" s="29"/>
      <c r="L161" s="30"/>
      <c r="M161" s="30"/>
      <c r="O161" s="32"/>
      <c r="P161" s="32"/>
      <c r="S161" s="32"/>
    </row>
    <row r="162">
      <c r="D162" s="29"/>
      <c r="F162" s="31"/>
      <c r="G162" s="30"/>
      <c r="H162" s="30"/>
      <c r="J162" s="29"/>
      <c r="L162" s="30"/>
      <c r="M162" s="30"/>
      <c r="O162" s="32"/>
      <c r="P162" s="32"/>
      <c r="S162" s="32"/>
    </row>
    <row r="163">
      <c r="D163" s="29"/>
      <c r="F163" s="31"/>
      <c r="G163" s="30"/>
      <c r="H163" s="30"/>
      <c r="J163" s="29"/>
      <c r="L163" s="30"/>
      <c r="M163" s="30"/>
      <c r="O163" s="32"/>
      <c r="P163" s="32"/>
      <c r="S163" s="32"/>
    </row>
    <row r="164">
      <c r="D164" s="29"/>
      <c r="F164" s="31"/>
      <c r="G164" s="30"/>
      <c r="H164" s="30"/>
      <c r="J164" s="29"/>
      <c r="L164" s="30"/>
      <c r="M164" s="30"/>
      <c r="O164" s="32"/>
      <c r="P164" s="32"/>
      <c r="S164" s="32"/>
    </row>
    <row r="165">
      <c r="D165" s="29"/>
      <c r="F165" s="31"/>
      <c r="G165" s="30"/>
      <c r="H165" s="30"/>
      <c r="J165" s="29"/>
      <c r="L165" s="30"/>
      <c r="M165" s="30"/>
      <c r="O165" s="32"/>
      <c r="P165" s="32"/>
      <c r="S165" s="32"/>
    </row>
    <row r="166">
      <c r="D166" s="29"/>
      <c r="F166" s="31"/>
      <c r="G166" s="30"/>
      <c r="H166" s="30"/>
      <c r="J166" s="29"/>
      <c r="L166" s="30"/>
      <c r="M166" s="30"/>
      <c r="O166" s="32"/>
      <c r="P166" s="32"/>
      <c r="S166" s="32"/>
    </row>
    <row r="167">
      <c r="D167" s="29"/>
      <c r="F167" s="31"/>
      <c r="G167" s="30"/>
      <c r="H167" s="30"/>
      <c r="J167" s="29"/>
      <c r="L167" s="30"/>
      <c r="M167" s="30"/>
      <c r="O167" s="32"/>
      <c r="P167" s="32"/>
      <c r="S167" s="32"/>
    </row>
    <row r="168">
      <c r="D168" s="29"/>
      <c r="F168" s="31"/>
      <c r="G168" s="30"/>
      <c r="H168" s="30"/>
      <c r="J168" s="29"/>
      <c r="L168" s="30"/>
      <c r="M168" s="30"/>
      <c r="O168" s="32"/>
      <c r="P168" s="32"/>
      <c r="S168" s="32"/>
    </row>
    <row r="169">
      <c r="D169" s="29"/>
      <c r="F169" s="31"/>
      <c r="G169" s="30"/>
      <c r="H169" s="30"/>
      <c r="J169" s="29"/>
      <c r="L169" s="30"/>
      <c r="M169" s="30"/>
      <c r="O169" s="32"/>
      <c r="P169" s="32"/>
      <c r="S169" s="32"/>
    </row>
    <row r="170">
      <c r="D170" s="29"/>
      <c r="F170" s="31"/>
      <c r="G170" s="30"/>
      <c r="H170" s="30"/>
      <c r="J170" s="29"/>
      <c r="L170" s="30"/>
      <c r="M170" s="30"/>
      <c r="O170" s="32"/>
      <c r="P170" s="32"/>
      <c r="S170" s="32"/>
    </row>
    <row r="171">
      <c r="D171" s="29"/>
      <c r="F171" s="31"/>
      <c r="G171" s="30"/>
      <c r="H171" s="30"/>
      <c r="J171" s="29"/>
      <c r="L171" s="30"/>
      <c r="M171" s="30"/>
      <c r="O171" s="32"/>
      <c r="P171" s="32"/>
      <c r="S171" s="32"/>
    </row>
    <row r="172">
      <c r="D172" s="29"/>
      <c r="F172" s="31"/>
      <c r="G172" s="30"/>
      <c r="H172" s="30"/>
      <c r="J172" s="29"/>
      <c r="L172" s="30"/>
      <c r="M172" s="30"/>
      <c r="O172" s="32"/>
      <c r="P172" s="32"/>
      <c r="S172" s="32"/>
    </row>
    <row r="173">
      <c r="D173" s="29"/>
      <c r="F173" s="31"/>
      <c r="G173" s="30"/>
      <c r="H173" s="30"/>
      <c r="J173" s="29"/>
      <c r="L173" s="30"/>
      <c r="M173" s="30"/>
      <c r="O173" s="32"/>
      <c r="P173" s="32"/>
      <c r="S173" s="32"/>
    </row>
    <row r="174">
      <c r="D174" s="29"/>
      <c r="F174" s="31"/>
      <c r="G174" s="30"/>
      <c r="H174" s="30"/>
      <c r="J174" s="29"/>
      <c r="L174" s="30"/>
      <c r="M174" s="30"/>
      <c r="O174" s="32"/>
      <c r="P174" s="32"/>
      <c r="S174" s="32"/>
    </row>
    <row r="175">
      <c r="D175" s="29"/>
      <c r="F175" s="31"/>
      <c r="G175" s="30"/>
      <c r="H175" s="30"/>
      <c r="J175" s="29"/>
      <c r="L175" s="30"/>
      <c r="M175" s="30"/>
      <c r="O175" s="32"/>
      <c r="P175" s="32"/>
      <c r="S175" s="32"/>
    </row>
    <row r="176">
      <c r="D176" s="29"/>
      <c r="F176" s="31"/>
      <c r="G176" s="30"/>
      <c r="H176" s="30"/>
      <c r="J176" s="29"/>
      <c r="L176" s="30"/>
      <c r="M176" s="30"/>
      <c r="O176" s="32"/>
      <c r="P176" s="32"/>
      <c r="S176" s="32"/>
    </row>
    <row r="177">
      <c r="D177" s="29"/>
      <c r="F177" s="31"/>
      <c r="G177" s="30"/>
      <c r="H177" s="30"/>
      <c r="J177" s="29"/>
      <c r="L177" s="30"/>
      <c r="M177" s="30"/>
      <c r="O177" s="32"/>
      <c r="P177" s="32"/>
      <c r="S177" s="32"/>
    </row>
    <row r="178">
      <c r="D178" s="29"/>
      <c r="F178" s="31"/>
      <c r="G178" s="30"/>
      <c r="H178" s="30"/>
      <c r="J178" s="29"/>
      <c r="L178" s="30"/>
      <c r="M178" s="30"/>
      <c r="O178" s="32"/>
      <c r="P178" s="32"/>
      <c r="S178" s="32"/>
    </row>
    <row r="179">
      <c r="D179" s="29"/>
      <c r="F179" s="31"/>
      <c r="G179" s="30"/>
      <c r="H179" s="30"/>
      <c r="J179" s="29"/>
      <c r="L179" s="30"/>
      <c r="M179" s="30"/>
      <c r="O179" s="32"/>
      <c r="P179" s="32"/>
      <c r="S179" s="32"/>
    </row>
    <row r="180">
      <c r="D180" s="29"/>
      <c r="F180" s="31"/>
      <c r="G180" s="30"/>
      <c r="H180" s="30"/>
      <c r="J180" s="29"/>
      <c r="L180" s="30"/>
      <c r="M180" s="30"/>
      <c r="O180" s="32"/>
      <c r="P180" s="32"/>
      <c r="S180" s="32"/>
    </row>
    <row r="181">
      <c r="D181" s="29"/>
      <c r="F181" s="31"/>
      <c r="G181" s="30"/>
      <c r="H181" s="30"/>
      <c r="J181" s="29"/>
      <c r="L181" s="30"/>
      <c r="M181" s="30"/>
      <c r="O181" s="32"/>
      <c r="P181" s="32"/>
      <c r="S181" s="32"/>
    </row>
    <row r="182">
      <c r="D182" s="29"/>
      <c r="F182" s="31"/>
      <c r="G182" s="30"/>
      <c r="H182" s="30"/>
      <c r="J182" s="29"/>
      <c r="L182" s="30"/>
      <c r="M182" s="30"/>
      <c r="O182" s="32"/>
      <c r="P182" s="32"/>
      <c r="S182" s="32"/>
    </row>
    <row r="183">
      <c r="D183" s="29"/>
      <c r="F183" s="31"/>
      <c r="G183" s="30"/>
      <c r="H183" s="30"/>
      <c r="J183" s="29"/>
      <c r="L183" s="30"/>
      <c r="M183" s="30"/>
      <c r="O183" s="32"/>
      <c r="P183" s="32"/>
      <c r="S183" s="32"/>
    </row>
    <row r="184">
      <c r="D184" s="29"/>
      <c r="F184" s="31"/>
      <c r="G184" s="30"/>
      <c r="H184" s="30"/>
      <c r="J184" s="29"/>
      <c r="L184" s="30"/>
      <c r="M184" s="30"/>
      <c r="O184" s="32"/>
      <c r="P184" s="32"/>
      <c r="S184" s="32"/>
    </row>
    <row r="185">
      <c r="D185" s="29"/>
      <c r="F185" s="31"/>
      <c r="G185" s="30"/>
      <c r="H185" s="30"/>
      <c r="J185" s="29"/>
      <c r="L185" s="30"/>
      <c r="M185" s="30"/>
      <c r="O185" s="32"/>
      <c r="P185" s="32"/>
      <c r="S185" s="32"/>
    </row>
    <row r="186">
      <c r="D186" s="29"/>
      <c r="F186" s="31"/>
      <c r="G186" s="30"/>
      <c r="H186" s="30"/>
      <c r="J186" s="29"/>
      <c r="L186" s="30"/>
      <c r="M186" s="30"/>
      <c r="O186" s="32"/>
      <c r="P186" s="32"/>
      <c r="S186" s="32"/>
    </row>
    <row r="187">
      <c r="D187" s="29"/>
      <c r="F187" s="31"/>
      <c r="G187" s="30"/>
      <c r="H187" s="30"/>
      <c r="J187" s="29"/>
      <c r="L187" s="30"/>
      <c r="M187" s="30"/>
      <c r="O187" s="32"/>
      <c r="P187" s="32"/>
      <c r="S187" s="32"/>
    </row>
    <row r="188">
      <c r="D188" s="29"/>
      <c r="F188" s="31"/>
      <c r="G188" s="30"/>
      <c r="H188" s="30"/>
      <c r="J188" s="29"/>
      <c r="L188" s="30"/>
      <c r="M188" s="30"/>
      <c r="O188" s="32"/>
      <c r="P188" s="32"/>
      <c r="S188" s="32"/>
    </row>
    <row r="189">
      <c r="D189" s="29"/>
      <c r="F189" s="31"/>
      <c r="G189" s="30"/>
      <c r="H189" s="30"/>
      <c r="J189" s="29"/>
      <c r="L189" s="30"/>
      <c r="M189" s="30"/>
      <c r="O189" s="32"/>
      <c r="P189" s="32"/>
      <c r="S189" s="32"/>
    </row>
    <row r="190">
      <c r="D190" s="29"/>
      <c r="F190" s="31"/>
      <c r="G190" s="30"/>
      <c r="H190" s="30"/>
      <c r="J190" s="29"/>
      <c r="L190" s="30"/>
      <c r="M190" s="30"/>
      <c r="O190" s="32"/>
      <c r="P190" s="32"/>
      <c r="S190" s="32"/>
    </row>
    <row r="191">
      <c r="D191" s="29"/>
      <c r="F191" s="31"/>
      <c r="G191" s="30"/>
      <c r="H191" s="30"/>
      <c r="J191" s="29"/>
      <c r="L191" s="30"/>
      <c r="M191" s="30"/>
      <c r="O191" s="32"/>
      <c r="P191" s="32"/>
      <c r="S191" s="32"/>
    </row>
    <row r="192">
      <c r="D192" s="29"/>
      <c r="F192" s="31"/>
      <c r="G192" s="30"/>
      <c r="H192" s="30"/>
      <c r="J192" s="29"/>
      <c r="L192" s="30"/>
      <c r="M192" s="30"/>
      <c r="O192" s="32"/>
      <c r="P192" s="32"/>
      <c r="S192" s="32"/>
    </row>
    <row r="193">
      <c r="D193" s="29"/>
      <c r="F193" s="31"/>
      <c r="G193" s="30"/>
      <c r="H193" s="30"/>
      <c r="J193" s="29"/>
      <c r="L193" s="30"/>
      <c r="M193" s="30"/>
      <c r="O193" s="32"/>
      <c r="P193" s="32"/>
      <c r="S193" s="32"/>
    </row>
    <row r="194">
      <c r="D194" s="29"/>
      <c r="F194" s="31"/>
      <c r="G194" s="30"/>
      <c r="H194" s="30"/>
      <c r="J194" s="29"/>
      <c r="L194" s="30"/>
      <c r="M194" s="30"/>
      <c r="O194" s="32"/>
      <c r="P194" s="32"/>
      <c r="S194" s="32"/>
    </row>
    <row r="195">
      <c r="D195" s="29"/>
      <c r="F195" s="31"/>
      <c r="G195" s="30"/>
      <c r="H195" s="30"/>
      <c r="J195" s="29"/>
      <c r="L195" s="30"/>
      <c r="M195" s="30"/>
      <c r="O195" s="32"/>
      <c r="P195" s="32"/>
      <c r="S195" s="32"/>
    </row>
    <row r="196">
      <c r="D196" s="29"/>
      <c r="F196" s="31"/>
      <c r="G196" s="30"/>
      <c r="H196" s="30"/>
      <c r="J196" s="29"/>
      <c r="L196" s="30"/>
      <c r="M196" s="30"/>
      <c r="O196" s="32"/>
      <c r="P196" s="32"/>
      <c r="S196" s="32"/>
    </row>
    <row r="197">
      <c r="D197" s="29"/>
      <c r="F197" s="31"/>
      <c r="G197" s="30"/>
      <c r="H197" s="30"/>
      <c r="J197" s="29"/>
      <c r="L197" s="30"/>
      <c r="M197" s="30"/>
      <c r="O197" s="32"/>
      <c r="P197" s="32"/>
      <c r="S197" s="32"/>
    </row>
    <row r="198">
      <c r="D198" s="29"/>
      <c r="F198" s="31"/>
      <c r="G198" s="30"/>
      <c r="H198" s="30"/>
      <c r="J198" s="29"/>
      <c r="L198" s="30"/>
      <c r="M198" s="30"/>
      <c r="O198" s="32"/>
      <c r="P198" s="32"/>
      <c r="S198" s="32"/>
    </row>
    <row r="199">
      <c r="D199" s="29"/>
      <c r="F199" s="31"/>
      <c r="G199" s="30"/>
      <c r="H199" s="30"/>
      <c r="J199" s="29"/>
      <c r="L199" s="30"/>
      <c r="M199" s="30"/>
      <c r="O199" s="32"/>
      <c r="P199" s="32"/>
      <c r="S199" s="32"/>
    </row>
    <row r="200">
      <c r="D200" s="29"/>
      <c r="F200" s="31"/>
      <c r="G200" s="30"/>
      <c r="H200" s="30"/>
      <c r="J200" s="29"/>
      <c r="L200" s="30"/>
      <c r="M200" s="30"/>
      <c r="O200" s="32"/>
      <c r="P200" s="32"/>
      <c r="S200" s="32"/>
    </row>
    <row r="201">
      <c r="D201" s="29"/>
      <c r="F201" s="31"/>
      <c r="G201" s="30"/>
      <c r="H201" s="30"/>
      <c r="J201" s="29"/>
      <c r="L201" s="30"/>
      <c r="M201" s="30"/>
      <c r="O201" s="32"/>
      <c r="P201" s="32"/>
      <c r="S201" s="32"/>
    </row>
    <row r="202">
      <c r="D202" s="29"/>
      <c r="F202" s="31"/>
      <c r="G202" s="30"/>
      <c r="H202" s="30"/>
      <c r="J202" s="29"/>
      <c r="L202" s="30"/>
      <c r="M202" s="30"/>
      <c r="O202" s="32"/>
      <c r="P202" s="32"/>
      <c r="S202" s="32"/>
    </row>
    <row r="203">
      <c r="D203" s="29"/>
      <c r="F203" s="31"/>
      <c r="G203" s="30"/>
      <c r="H203" s="30"/>
      <c r="J203" s="29"/>
      <c r="L203" s="30"/>
      <c r="M203" s="30"/>
      <c r="O203" s="32"/>
      <c r="P203" s="32"/>
      <c r="S203" s="32"/>
    </row>
    <row r="204">
      <c r="D204" s="29"/>
      <c r="F204" s="31"/>
      <c r="G204" s="30"/>
      <c r="H204" s="30"/>
      <c r="J204" s="29"/>
      <c r="L204" s="30"/>
      <c r="M204" s="30"/>
      <c r="O204" s="32"/>
      <c r="P204" s="32"/>
      <c r="S204" s="32"/>
    </row>
    <row r="205">
      <c r="D205" s="29"/>
      <c r="F205" s="31"/>
      <c r="G205" s="30"/>
      <c r="H205" s="30"/>
      <c r="J205" s="29"/>
      <c r="L205" s="30"/>
      <c r="M205" s="30"/>
      <c r="O205" s="32"/>
      <c r="P205" s="32"/>
      <c r="S205" s="32"/>
    </row>
    <row r="206">
      <c r="D206" s="29"/>
      <c r="F206" s="31"/>
      <c r="G206" s="30"/>
      <c r="H206" s="30"/>
      <c r="J206" s="29"/>
      <c r="L206" s="30"/>
      <c r="M206" s="30"/>
      <c r="O206" s="32"/>
      <c r="P206" s="32"/>
      <c r="S206" s="32"/>
    </row>
    <row r="207">
      <c r="D207" s="29"/>
      <c r="F207" s="31"/>
      <c r="G207" s="30"/>
      <c r="H207" s="30"/>
      <c r="J207" s="29"/>
      <c r="L207" s="30"/>
      <c r="M207" s="30"/>
      <c r="O207" s="32"/>
      <c r="P207" s="32"/>
      <c r="S207" s="32"/>
    </row>
    <row r="208">
      <c r="D208" s="29"/>
      <c r="F208" s="31"/>
      <c r="G208" s="30"/>
      <c r="H208" s="30"/>
      <c r="J208" s="29"/>
      <c r="L208" s="30"/>
      <c r="M208" s="30"/>
      <c r="O208" s="32"/>
      <c r="P208" s="32"/>
      <c r="S208" s="32"/>
    </row>
    <row r="209">
      <c r="D209" s="29"/>
      <c r="F209" s="31"/>
      <c r="G209" s="30"/>
      <c r="H209" s="30"/>
      <c r="J209" s="29"/>
      <c r="L209" s="30"/>
      <c r="M209" s="30"/>
      <c r="O209" s="32"/>
      <c r="P209" s="32"/>
      <c r="S209" s="32"/>
    </row>
    <row r="210">
      <c r="D210" s="29"/>
      <c r="F210" s="31"/>
      <c r="G210" s="30"/>
      <c r="H210" s="30"/>
      <c r="J210" s="29"/>
      <c r="L210" s="30"/>
      <c r="M210" s="30"/>
      <c r="O210" s="32"/>
      <c r="P210" s="32"/>
      <c r="S210" s="32"/>
    </row>
    <row r="211">
      <c r="D211" s="29"/>
      <c r="F211" s="31"/>
      <c r="G211" s="30"/>
      <c r="H211" s="30"/>
      <c r="J211" s="29"/>
      <c r="L211" s="30"/>
      <c r="M211" s="30"/>
      <c r="O211" s="32"/>
      <c r="P211" s="32"/>
      <c r="S211" s="32"/>
    </row>
    <row r="212">
      <c r="D212" s="29"/>
      <c r="F212" s="31"/>
      <c r="G212" s="30"/>
      <c r="H212" s="30"/>
      <c r="J212" s="29"/>
      <c r="L212" s="30"/>
      <c r="M212" s="30"/>
      <c r="O212" s="32"/>
      <c r="P212" s="32"/>
      <c r="S212" s="32"/>
    </row>
    <row r="213">
      <c r="D213" s="29"/>
      <c r="F213" s="31"/>
      <c r="G213" s="30"/>
      <c r="H213" s="30"/>
      <c r="J213" s="29"/>
      <c r="L213" s="30"/>
      <c r="M213" s="30"/>
      <c r="O213" s="32"/>
      <c r="P213" s="32"/>
      <c r="S213" s="32"/>
    </row>
    <row r="214">
      <c r="D214" s="29"/>
      <c r="F214" s="31"/>
      <c r="G214" s="30"/>
      <c r="H214" s="30"/>
      <c r="J214" s="29"/>
      <c r="L214" s="30"/>
      <c r="M214" s="30"/>
      <c r="O214" s="32"/>
      <c r="P214" s="32"/>
      <c r="S214" s="32"/>
    </row>
    <row r="215">
      <c r="D215" s="29"/>
      <c r="F215" s="31"/>
      <c r="G215" s="30"/>
      <c r="H215" s="30"/>
      <c r="J215" s="29"/>
      <c r="L215" s="30"/>
      <c r="M215" s="30"/>
      <c r="O215" s="32"/>
      <c r="P215" s="32"/>
      <c r="S215" s="32"/>
    </row>
    <row r="216">
      <c r="D216" s="29"/>
      <c r="F216" s="31"/>
      <c r="G216" s="30"/>
      <c r="H216" s="30"/>
      <c r="J216" s="29"/>
      <c r="L216" s="30"/>
      <c r="M216" s="30"/>
      <c r="O216" s="32"/>
      <c r="P216" s="32"/>
      <c r="S216" s="32"/>
    </row>
    <row r="217">
      <c r="D217" s="29"/>
      <c r="F217" s="31"/>
      <c r="G217" s="30"/>
      <c r="H217" s="30"/>
      <c r="J217" s="29"/>
      <c r="L217" s="30"/>
      <c r="M217" s="30"/>
      <c r="O217" s="32"/>
      <c r="P217" s="32"/>
      <c r="S217" s="32"/>
    </row>
    <row r="218">
      <c r="D218" s="29"/>
      <c r="F218" s="31"/>
      <c r="G218" s="30"/>
      <c r="H218" s="30"/>
      <c r="J218" s="29"/>
      <c r="L218" s="30"/>
      <c r="M218" s="30"/>
      <c r="O218" s="32"/>
      <c r="P218" s="32"/>
      <c r="S218" s="32"/>
    </row>
    <row r="219">
      <c r="D219" s="29"/>
      <c r="F219" s="31"/>
      <c r="G219" s="30"/>
      <c r="H219" s="30"/>
      <c r="J219" s="29"/>
      <c r="L219" s="30"/>
      <c r="M219" s="30"/>
      <c r="O219" s="32"/>
      <c r="P219" s="32"/>
      <c r="S219" s="32"/>
    </row>
    <row r="220">
      <c r="D220" s="29"/>
      <c r="F220" s="31"/>
      <c r="G220" s="30"/>
      <c r="H220" s="30"/>
      <c r="J220" s="29"/>
      <c r="L220" s="30"/>
      <c r="M220" s="30"/>
      <c r="O220" s="32"/>
      <c r="P220" s="32"/>
      <c r="S220" s="32"/>
    </row>
    <row r="221">
      <c r="D221" s="29"/>
      <c r="F221" s="31"/>
      <c r="G221" s="30"/>
      <c r="H221" s="30"/>
      <c r="J221" s="29"/>
      <c r="L221" s="30"/>
      <c r="M221" s="30"/>
      <c r="O221" s="32"/>
      <c r="P221" s="32"/>
      <c r="S221" s="32"/>
    </row>
    <row r="222">
      <c r="D222" s="29"/>
      <c r="F222" s="31"/>
      <c r="G222" s="30"/>
      <c r="H222" s="30"/>
      <c r="J222" s="29"/>
      <c r="L222" s="30"/>
      <c r="M222" s="30"/>
      <c r="O222" s="32"/>
      <c r="P222" s="32"/>
      <c r="S222" s="32"/>
    </row>
    <row r="223">
      <c r="D223" s="29"/>
      <c r="F223" s="31"/>
      <c r="G223" s="30"/>
      <c r="H223" s="30"/>
      <c r="J223" s="29"/>
      <c r="L223" s="30"/>
      <c r="M223" s="30"/>
      <c r="O223" s="32"/>
      <c r="P223" s="32"/>
      <c r="S223" s="32"/>
    </row>
    <row r="224">
      <c r="D224" s="29"/>
      <c r="F224" s="31"/>
      <c r="G224" s="30"/>
      <c r="H224" s="30"/>
      <c r="J224" s="29"/>
      <c r="L224" s="30"/>
      <c r="M224" s="30"/>
      <c r="O224" s="32"/>
      <c r="P224" s="32"/>
      <c r="S224" s="32"/>
    </row>
    <row r="225">
      <c r="D225" s="29"/>
      <c r="F225" s="31"/>
      <c r="G225" s="30"/>
      <c r="H225" s="30"/>
      <c r="J225" s="29"/>
      <c r="L225" s="30"/>
      <c r="M225" s="30"/>
      <c r="O225" s="32"/>
      <c r="P225" s="32"/>
      <c r="S225" s="32"/>
    </row>
    <row r="226">
      <c r="D226" s="29"/>
      <c r="F226" s="31"/>
      <c r="G226" s="30"/>
      <c r="H226" s="30"/>
      <c r="J226" s="29"/>
      <c r="L226" s="30"/>
      <c r="M226" s="30"/>
      <c r="O226" s="32"/>
      <c r="P226" s="32"/>
      <c r="S226" s="32"/>
    </row>
    <row r="227">
      <c r="D227" s="29"/>
      <c r="F227" s="31"/>
      <c r="G227" s="30"/>
      <c r="H227" s="30"/>
      <c r="J227" s="29"/>
      <c r="L227" s="30"/>
      <c r="M227" s="30"/>
      <c r="O227" s="32"/>
      <c r="P227" s="32"/>
      <c r="S227" s="32"/>
    </row>
    <row r="228">
      <c r="D228" s="29"/>
      <c r="F228" s="31"/>
      <c r="G228" s="30"/>
      <c r="H228" s="30"/>
      <c r="J228" s="29"/>
      <c r="L228" s="30"/>
      <c r="M228" s="30"/>
      <c r="O228" s="32"/>
      <c r="P228" s="32"/>
      <c r="S228" s="32"/>
    </row>
    <row r="229">
      <c r="D229" s="29"/>
      <c r="F229" s="31"/>
      <c r="G229" s="30"/>
      <c r="H229" s="30"/>
      <c r="J229" s="29"/>
      <c r="L229" s="30"/>
      <c r="M229" s="30"/>
      <c r="O229" s="32"/>
      <c r="P229" s="32"/>
      <c r="S229" s="32"/>
    </row>
    <row r="230">
      <c r="D230" s="29"/>
      <c r="F230" s="31"/>
      <c r="G230" s="30"/>
      <c r="H230" s="30"/>
      <c r="J230" s="29"/>
      <c r="L230" s="30"/>
      <c r="M230" s="30"/>
      <c r="O230" s="32"/>
      <c r="P230" s="32"/>
      <c r="S230" s="32"/>
    </row>
    <row r="231">
      <c r="D231" s="29"/>
      <c r="F231" s="31"/>
      <c r="G231" s="30"/>
      <c r="H231" s="30"/>
      <c r="J231" s="29"/>
      <c r="L231" s="30"/>
      <c r="M231" s="30"/>
      <c r="O231" s="32"/>
      <c r="P231" s="32"/>
      <c r="S231" s="32"/>
    </row>
    <row r="232">
      <c r="D232" s="29"/>
      <c r="F232" s="31"/>
      <c r="G232" s="30"/>
      <c r="H232" s="30"/>
      <c r="J232" s="29"/>
      <c r="L232" s="30"/>
      <c r="M232" s="30"/>
      <c r="O232" s="32"/>
      <c r="P232" s="32"/>
      <c r="S232" s="32"/>
    </row>
    <row r="233">
      <c r="D233" s="29"/>
      <c r="F233" s="31"/>
      <c r="G233" s="30"/>
      <c r="H233" s="30"/>
      <c r="J233" s="29"/>
      <c r="L233" s="30"/>
      <c r="M233" s="30"/>
      <c r="O233" s="32"/>
      <c r="P233" s="32"/>
      <c r="S233" s="32"/>
    </row>
    <row r="234">
      <c r="D234" s="29"/>
      <c r="F234" s="31"/>
      <c r="G234" s="30"/>
      <c r="H234" s="30"/>
      <c r="J234" s="29"/>
      <c r="L234" s="30"/>
      <c r="M234" s="30"/>
      <c r="O234" s="32"/>
      <c r="P234" s="32"/>
      <c r="S234" s="32"/>
    </row>
    <row r="235">
      <c r="D235" s="29"/>
      <c r="F235" s="31"/>
      <c r="G235" s="30"/>
      <c r="H235" s="30"/>
      <c r="J235" s="29"/>
      <c r="L235" s="30"/>
      <c r="M235" s="30"/>
      <c r="O235" s="32"/>
      <c r="P235" s="32"/>
      <c r="S235" s="32"/>
    </row>
    <row r="236">
      <c r="D236" s="29"/>
      <c r="F236" s="31"/>
      <c r="G236" s="30"/>
      <c r="H236" s="30"/>
      <c r="J236" s="29"/>
      <c r="L236" s="30"/>
      <c r="M236" s="30"/>
      <c r="O236" s="32"/>
      <c r="P236" s="32"/>
      <c r="S236" s="32"/>
    </row>
    <row r="237">
      <c r="D237" s="29"/>
      <c r="F237" s="31"/>
      <c r="G237" s="30"/>
      <c r="H237" s="30"/>
      <c r="J237" s="29"/>
      <c r="L237" s="30"/>
      <c r="M237" s="30"/>
      <c r="O237" s="32"/>
      <c r="P237" s="32"/>
      <c r="S237" s="32"/>
    </row>
    <row r="238">
      <c r="D238" s="29"/>
      <c r="F238" s="31"/>
      <c r="G238" s="30"/>
      <c r="H238" s="30"/>
      <c r="J238" s="29"/>
      <c r="L238" s="30"/>
      <c r="M238" s="30"/>
      <c r="O238" s="32"/>
      <c r="P238" s="32"/>
      <c r="S238" s="32"/>
    </row>
    <row r="239">
      <c r="D239" s="29"/>
      <c r="F239" s="31"/>
      <c r="G239" s="30"/>
      <c r="H239" s="30"/>
      <c r="J239" s="29"/>
      <c r="L239" s="30"/>
      <c r="M239" s="30"/>
      <c r="O239" s="32"/>
      <c r="P239" s="32"/>
      <c r="S239" s="32"/>
    </row>
    <row r="240">
      <c r="D240" s="29"/>
      <c r="F240" s="31"/>
      <c r="G240" s="30"/>
      <c r="H240" s="30"/>
      <c r="J240" s="29"/>
      <c r="L240" s="30"/>
      <c r="M240" s="30"/>
      <c r="O240" s="32"/>
      <c r="P240" s="32"/>
      <c r="S240" s="32"/>
    </row>
    <row r="241">
      <c r="D241" s="29"/>
      <c r="F241" s="31"/>
      <c r="G241" s="30"/>
      <c r="H241" s="30"/>
      <c r="J241" s="29"/>
      <c r="L241" s="30"/>
      <c r="M241" s="30"/>
      <c r="O241" s="32"/>
      <c r="P241" s="32"/>
      <c r="S241" s="32"/>
    </row>
    <row r="242">
      <c r="D242" s="29"/>
      <c r="F242" s="31"/>
      <c r="G242" s="30"/>
      <c r="H242" s="30"/>
      <c r="J242" s="29"/>
      <c r="L242" s="30"/>
      <c r="M242" s="30"/>
      <c r="O242" s="32"/>
      <c r="P242" s="32"/>
      <c r="S242" s="32"/>
    </row>
    <row r="243">
      <c r="D243" s="29"/>
      <c r="F243" s="31"/>
      <c r="G243" s="30"/>
      <c r="H243" s="30"/>
      <c r="J243" s="29"/>
      <c r="L243" s="30"/>
      <c r="M243" s="30"/>
      <c r="O243" s="32"/>
      <c r="P243" s="32"/>
      <c r="S243" s="32"/>
    </row>
    <row r="244">
      <c r="D244" s="29"/>
      <c r="F244" s="31"/>
      <c r="G244" s="30"/>
      <c r="H244" s="30"/>
      <c r="J244" s="29"/>
      <c r="L244" s="30"/>
      <c r="M244" s="30"/>
      <c r="O244" s="32"/>
      <c r="P244" s="32"/>
      <c r="S244" s="32"/>
    </row>
    <row r="245">
      <c r="D245" s="29"/>
      <c r="F245" s="31"/>
      <c r="G245" s="30"/>
      <c r="H245" s="30"/>
      <c r="J245" s="29"/>
      <c r="L245" s="30"/>
      <c r="M245" s="30"/>
      <c r="O245" s="32"/>
      <c r="P245" s="32"/>
      <c r="S245" s="32"/>
    </row>
    <row r="246">
      <c r="D246" s="29"/>
      <c r="F246" s="31"/>
      <c r="G246" s="30"/>
      <c r="H246" s="30"/>
      <c r="J246" s="29"/>
      <c r="L246" s="30"/>
      <c r="M246" s="30"/>
      <c r="O246" s="32"/>
      <c r="P246" s="32"/>
      <c r="S246" s="32"/>
    </row>
    <row r="247">
      <c r="D247" s="29"/>
      <c r="F247" s="31"/>
      <c r="G247" s="30"/>
      <c r="H247" s="30"/>
      <c r="J247" s="29"/>
      <c r="L247" s="30"/>
      <c r="M247" s="30"/>
      <c r="O247" s="32"/>
      <c r="P247" s="32"/>
      <c r="S247" s="32"/>
    </row>
    <row r="248">
      <c r="D248" s="29"/>
      <c r="F248" s="31"/>
      <c r="G248" s="30"/>
      <c r="H248" s="30"/>
      <c r="J248" s="29"/>
      <c r="L248" s="30"/>
      <c r="M248" s="30"/>
      <c r="O248" s="32"/>
      <c r="P248" s="32"/>
      <c r="S248" s="32"/>
    </row>
    <row r="249">
      <c r="D249" s="29"/>
      <c r="F249" s="31"/>
      <c r="G249" s="30"/>
      <c r="H249" s="30"/>
      <c r="J249" s="29"/>
      <c r="L249" s="30"/>
      <c r="M249" s="30"/>
      <c r="O249" s="32"/>
      <c r="P249" s="32"/>
      <c r="S249" s="32"/>
    </row>
    <row r="250">
      <c r="D250" s="29"/>
      <c r="F250" s="31"/>
      <c r="G250" s="30"/>
      <c r="H250" s="30"/>
      <c r="J250" s="29"/>
      <c r="L250" s="30"/>
      <c r="M250" s="30"/>
      <c r="O250" s="32"/>
      <c r="P250" s="32"/>
      <c r="S250" s="32"/>
    </row>
    <row r="251">
      <c r="D251" s="29"/>
      <c r="F251" s="31"/>
      <c r="G251" s="30"/>
      <c r="H251" s="30"/>
      <c r="J251" s="29"/>
      <c r="L251" s="30"/>
      <c r="M251" s="30"/>
      <c r="O251" s="32"/>
      <c r="P251" s="32"/>
      <c r="S251" s="32"/>
    </row>
    <row r="252">
      <c r="D252" s="29"/>
      <c r="F252" s="31"/>
      <c r="G252" s="30"/>
      <c r="H252" s="30"/>
      <c r="J252" s="29"/>
      <c r="L252" s="30"/>
      <c r="M252" s="30"/>
      <c r="O252" s="32"/>
      <c r="P252" s="32"/>
      <c r="S252" s="32"/>
    </row>
    <row r="253">
      <c r="D253" s="29"/>
      <c r="F253" s="31"/>
      <c r="G253" s="30"/>
      <c r="H253" s="30"/>
      <c r="J253" s="29"/>
      <c r="L253" s="30"/>
      <c r="M253" s="30"/>
      <c r="O253" s="32"/>
      <c r="P253" s="32"/>
      <c r="S253" s="32"/>
    </row>
    <row r="254">
      <c r="D254" s="29"/>
      <c r="F254" s="31"/>
      <c r="G254" s="30"/>
      <c r="H254" s="30"/>
      <c r="J254" s="29"/>
      <c r="L254" s="30"/>
      <c r="M254" s="30"/>
      <c r="O254" s="32"/>
      <c r="P254" s="32"/>
      <c r="S254" s="32"/>
    </row>
    <row r="255">
      <c r="D255" s="29"/>
      <c r="F255" s="31"/>
      <c r="G255" s="30"/>
      <c r="H255" s="30"/>
      <c r="J255" s="29"/>
      <c r="L255" s="30"/>
      <c r="M255" s="30"/>
      <c r="O255" s="32"/>
      <c r="P255" s="32"/>
      <c r="S255" s="32"/>
    </row>
    <row r="256">
      <c r="D256" s="29"/>
      <c r="F256" s="31"/>
      <c r="G256" s="30"/>
      <c r="H256" s="30"/>
      <c r="J256" s="29"/>
      <c r="L256" s="30"/>
      <c r="M256" s="30"/>
      <c r="O256" s="32"/>
      <c r="P256" s="32"/>
      <c r="S256" s="32"/>
    </row>
    <row r="257">
      <c r="D257" s="29"/>
      <c r="F257" s="31"/>
      <c r="G257" s="30"/>
      <c r="H257" s="30"/>
      <c r="J257" s="29"/>
      <c r="L257" s="30"/>
      <c r="M257" s="30"/>
      <c r="O257" s="32"/>
      <c r="P257" s="32"/>
      <c r="S257" s="32"/>
    </row>
    <row r="258">
      <c r="D258" s="29"/>
      <c r="F258" s="31"/>
      <c r="G258" s="30"/>
      <c r="H258" s="30"/>
      <c r="J258" s="29"/>
      <c r="L258" s="30"/>
      <c r="M258" s="30"/>
      <c r="O258" s="32"/>
      <c r="P258" s="32"/>
      <c r="S258" s="32"/>
    </row>
    <row r="259">
      <c r="D259" s="29"/>
      <c r="F259" s="31"/>
      <c r="G259" s="30"/>
      <c r="H259" s="30"/>
      <c r="J259" s="29"/>
      <c r="L259" s="30"/>
      <c r="M259" s="30"/>
      <c r="O259" s="32"/>
      <c r="P259" s="32"/>
      <c r="S259" s="32"/>
    </row>
    <row r="260">
      <c r="D260" s="29"/>
      <c r="F260" s="31"/>
      <c r="G260" s="30"/>
      <c r="H260" s="30"/>
      <c r="J260" s="29"/>
      <c r="L260" s="30"/>
      <c r="M260" s="30"/>
      <c r="O260" s="32"/>
      <c r="P260" s="32"/>
      <c r="S260" s="32"/>
    </row>
    <row r="261">
      <c r="D261" s="29"/>
      <c r="F261" s="31"/>
      <c r="G261" s="30"/>
      <c r="H261" s="30"/>
      <c r="J261" s="29"/>
      <c r="L261" s="30"/>
      <c r="M261" s="30"/>
      <c r="O261" s="32"/>
      <c r="P261" s="32"/>
      <c r="S261" s="32"/>
    </row>
    <row r="262">
      <c r="D262" s="29"/>
      <c r="F262" s="31"/>
      <c r="G262" s="30"/>
      <c r="H262" s="30"/>
      <c r="J262" s="29"/>
      <c r="L262" s="30"/>
      <c r="M262" s="30"/>
      <c r="O262" s="32"/>
      <c r="P262" s="32"/>
      <c r="S262" s="32"/>
    </row>
    <row r="263">
      <c r="D263" s="29"/>
      <c r="F263" s="31"/>
      <c r="G263" s="30"/>
      <c r="H263" s="30"/>
      <c r="J263" s="29"/>
      <c r="L263" s="30"/>
      <c r="M263" s="30"/>
      <c r="O263" s="32"/>
      <c r="P263" s="32"/>
      <c r="S263" s="32"/>
    </row>
    <row r="264">
      <c r="D264" s="29"/>
      <c r="F264" s="31"/>
      <c r="G264" s="30"/>
      <c r="H264" s="30"/>
      <c r="J264" s="29"/>
      <c r="L264" s="30"/>
      <c r="M264" s="30"/>
      <c r="O264" s="32"/>
      <c r="P264" s="32"/>
      <c r="S264" s="32"/>
    </row>
    <row r="265">
      <c r="D265" s="29"/>
      <c r="F265" s="31"/>
      <c r="G265" s="30"/>
      <c r="H265" s="30"/>
      <c r="J265" s="29"/>
      <c r="L265" s="30"/>
      <c r="M265" s="30"/>
      <c r="O265" s="32"/>
      <c r="P265" s="32"/>
      <c r="S265" s="32"/>
    </row>
    <row r="266">
      <c r="D266" s="29"/>
      <c r="F266" s="31"/>
      <c r="G266" s="30"/>
      <c r="H266" s="30"/>
      <c r="J266" s="29"/>
      <c r="L266" s="30"/>
      <c r="M266" s="30"/>
      <c r="O266" s="32"/>
      <c r="P266" s="32"/>
      <c r="S266" s="32"/>
    </row>
    <row r="267">
      <c r="D267" s="29"/>
      <c r="F267" s="31"/>
      <c r="G267" s="30"/>
      <c r="H267" s="30"/>
      <c r="J267" s="29"/>
      <c r="L267" s="30"/>
      <c r="M267" s="30"/>
      <c r="O267" s="32"/>
      <c r="P267" s="32"/>
      <c r="S267" s="32"/>
    </row>
    <row r="268">
      <c r="D268" s="29"/>
      <c r="F268" s="31"/>
      <c r="G268" s="30"/>
      <c r="H268" s="30"/>
      <c r="J268" s="29"/>
      <c r="L268" s="30"/>
      <c r="M268" s="30"/>
      <c r="O268" s="32"/>
      <c r="P268" s="32"/>
      <c r="S268" s="32"/>
    </row>
    <row r="269">
      <c r="D269" s="29"/>
      <c r="F269" s="31"/>
      <c r="G269" s="30"/>
      <c r="H269" s="30"/>
      <c r="J269" s="29"/>
      <c r="L269" s="30"/>
      <c r="M269" s="30"/>
      <c r="O269" s="32"/>
      <c r="P269" s="32"/>
      <c r="S269" s="32"/>
    </row>
    <row r="270">
      <c r="D270" s="29"/>
      <c r="F270" s="31"/>
      <c r="G270" s="30"/>
      <c r="H270" s="30"/>
      <c r="J270" s="29"/>
      <c r="L270" s="30"/>
      <c r="M270" s="30"/>
      <c r="O270" s="32"/>
      <c r="P270" s="32"/>
      <c r="S270" s="32"/>
    </row>
    <row r="271">
      <c r="D271" s="29"/>
      <c r="F271" s="31"/>
      <c r="G271" s="30"/>
      <c r="H271" s="30"/>
      <c r="J271" s="29"/>
      <c r="L271" s="30"/>
      <c r="M271" s="30"/>
      <c r="O271" s="32"/>
      <c r="P271" s="32"/>
      <c r="S271" s="32"/>
    </row>
    <row r="272">
      <c r="D272" s="29"/>
      <c r="F272" s="31"/>
      <c r="G272" s="30"/>
      <c r="H272" s="30"/>
      <c r="J272" s="29"/>
      <c r="L272" s="30"/>
      <c r="M272" s="30"/>
      <c r="O272" s="32"/>
      <c r="P272" s="32"/>
      <c r="S272" s="32"/>
    </row>
    <row r="273">
      <c r="D273" s="29"/>
      <c r="F273" s="31"/>
      <c r="G273" s="30"/>
      <c r="H273" s="30"/>
      <c r="J273" s="29"/>
      <c r="L273" s="30"/>
      <c r="M273" s="30"/>
      <c r="O273" s="32"/>
      <c r="P273" s="32"/>
      <c r="S273" s="32"/>
    </row>
    <row r="274">
      <c r="D274" s="29"/>
      <c r="F274" s="31"/>
      <c r="G274" s="30"/>
      <c r="H274" s="30"/>
      <c r="J274" s="29"/>
      <c r="L274" s="30"/>
      <c r="M274" s="30"/>
      <c r="O274" s="32"/>
      <c r="P274" s="32"/>
      <c r="S274" s="32"/>
    </row>
    <row r="275">
      <c r="D275" s="29"/>
      <c r="F275" s="31"/>
      <c r="G275" s="30"/>
      <c r="H275" s="30"/>
      <c r="J275" s="29"/>
      <c r="L275" s="30"/>
      <c r="M275" s="30"/>
      <c r="O275" s="32"/>
      <c r="P275" s="32"/>
      <c r="S275" s="32"/>
    </row>
    <row r="276">
      <c r="D276" s="29"/>
      <c r="F276" s="31"/>
      <c r="G276" s="30"/>
      <c r="H276" s="30"/>
      <c r="J276" s="29"/>
      <c r="L276" s="30"/>
      <c r="M276" s="30"/>
      <c r="O276" s="32"/>
      <c r="P276" s="32"/>
      <c r="S276" s="32"/>
    </row>
    <row r="277">
      <c r="D277" s="29"/>
      <c r="F277" s="31"/>
      <c r="G277" s="30"/>
      <c r="H277" s="30"/>
      <c r="J277" s="29"/>
      <c r="L277" s="30"/>
      <c r="M277" s="30"/>
      <c r="O277" s="32"/>
      <c r="P277" s="32"/>
      <c r="S277" s="32"/>
    </row>
    <row r="278">
      <c r="D278" s="29"/>
      <c r="F278" s="31"/>
      <c r="G278" s="30"/>
      <c r="H278" s="30"/>
      <c r="J278" s="29"/>
      <c r="L278" s="30"/>
      <c r="M278" s="30"/>
      <c r="O278" s="32"/>
      <c r="P278" s="32"/>
      <c r="S278" s="32"/>
    </row>
    <row r="279">
      <c r="D279" s="29"/>
      <c r="F279" s="31"/>
      <c r="G279" s="30"/>
      <c r="H279" s="30"/>
      <c r="J279" s="29"/>
      <c r="L279" s="30"/>
      <c r="M279" s="30"/>
      <c r="O279" s="32"/>
      <c r="P279" s="32"/>
      <c r="S279" s="32"/>
    </row>
    <row r="280">
      <c r="D280" s="29"/>
      <c r="F280" s="31"/>
      <c r="G280" s="30"/>
      <c r="H280" s="30"/>
      <c r="J280" s="29"/>
      <c r="L280" s="30"/>
      <c r="M280" s="30"/>
      <c r="O280" s="32"/>
      <c r="P280" s="32"/>
      <c r="S280" s="32"/>
    </row>
    <row r="281">
      <c r="D281" s="29"/>
      <c r="F281" s="31"/>
      <c r="G281" s="30"/>
      <c r="H281" s="30"/>
      <c r="J281" s="29"/>
      <c r="L281" s="30"/>
      <c r="M281" s="30"/>
      <c r="O281" s="32"/>
      <c r="P281" s="32"/>
      <c r="S281" s="32"/>
    </row>
    <row r="282">
      <c r="D282" s="29"/>
      <c r="F282" s="31"/>
      <c r="G282" s="30"/>
      <c r="H282" s="30"/>
      <c r="J282" s="29"/>
      <c r="L282" s="30"/>
      <c r="M282" s="30"/>
      <c r="O282" s="32"/>
      <c r="P282" s="32"/>
      <c r="S282" s="32"/>
    </row>
    <row r="283">
      <c r="D283" s="29"/>
      <c r="F283" s="31"/>
      <c r="G283" s="30"/>
      <c r="H283" s="30"/>
      <c r="J283" s="29"/>
      <c r="L283" s="30"/>
      <c r="M283" s="30"/>
      <c r="O283" s="32"/>
      <c r="P283" s="32"/>
      <c r="S283" s="32"/>
    </row>
    <row r="284">
      <c r="D284" s="29"/>
      <c r="F284" s="31"/>
      <c r="G284" s="30"/>
      <c r="H284" s="30"/>
      <c r="J284" s="29"/>
      <c r="L284" s="30"/>
      <c r="M284" s="30"/>
      <c r="O284" s="32"/>
      <c r="P284" s="32"/>
      <c r="S284" s="32"/>
    </row>
    <row r="285">
      <c r="D285" s="29"/>
      <c r="F285" s="31"/>
      <c r="G285" s="30"/>
      <c r="H285" s="30"/>
      <c r="J285" s="29"/>
      <c r="L285" s="30"/>
      <c r="M285" s="30"/>
      <c r="O285" s="32"/>
      <c r="P285" s="32"/>
      <c r="S285" s="32"/>
    </row>
    <row r="286">
      <c r="D286" s="29"/>
      <c r="F286" s="31"/>
      <c r="G286" s="30"/>
      <c r="H286" s="30"/>
      <c r="J286" s="29"/>
      <c r="L286" s="30"/>
      <c r="M286" s="30"/>
      <c r="O286" s="32"/>
      <c r="P286" s="32"/>
      <c r="S286" s="32"/>
    </row>
    <row r="287">
      <c r="D287" s="29"/>
      <c r="F287" s="31"/>
      <c r="G287" s="30"/>
      <c r="H287" s="30"/>
      <c r="J287" s="29"/>
      <c r="L287" s="30"/>
      <c r="M287" s="30"/>
      <c r="O287" s="32"/>
      <c r="P287" s="32"/>
      <c r="S287" s="32"/>
    </row>
    <row r="288">
      <c r="D288" s="29"/>
      <c r="F288" s="31"/>
      <c r="G288" s="30"/>
      <c r="H288" s="30"/>
      <c r="J288" s="29"/>
      <c r="L288" s="30"/>
      <c r="M288" s="30"/>
      <c r="O288" s="32"/>
      <c r="P288" s="32"/>
      <c r="S288" s="32"/>
    </row>
    <row r="289">
      <c r="D289" s="29"/>
      <c r="F289" s="31"/>
      <c r="G289" s="30"/>
      <c r="H289" s="30"/>
      <c r="J289" s="29"/>
      <c r="L289" s="30"/>
      <c r="M289" s="30"/>
      <c r="O289" s="32"/>
      <c r="P289" s="32"/>
      <c r="S289" s="32"/>
    </row>
    <row r="290">
      <c r="D290" s="29"/>
      <c r="F290" s="31"/>
      <c r="G290" s="30"/>
      <c r="H290" s="30"/>
      <c r="J290" s="29"/>
      <c r="L290" s="30"/>
      <c r="M290" s="30"/>
      <c r="O290" s="32"/>
      <c r="P290" s="32"/>
      <c r="S290" s="32"/>
    </row>
    <row r="291">
      <c r="D291" s="29"/>
      <c r="F291" s="31"/>
      <c r="G291" s="30"/>
      <c r="H291" s="30"/>
      <c r="J291" s="29"/>
      <c r="L291" s="30"/>
      <c r="M291" s="30"/>
      <c r="O291" s="32"/>
      <c r="P291" s="32"/>
      <c r="S291" s="32"/>
    </row>
    <row r="292">
      <c r="D292" s="29"/>
      <c r="F292" s="31"/>
      <c r="G292" s="30"/>
      <c r="H292" s="30"/>
      <c r="J292" s="29"/>
      <c r="L292" s="30"/>
      <c r="M292" s="30"/>
      <c r="O292" s="32"/>
      <c r="P292" s="32"/>
      <c r="S292" s="32"/>
    </row>
    <row r="293">
      <c r="D293" s="29"/>
      <c r="F293" s="31"/>
      <c r="G293" s="30"/>
      <c r="H293" s="30"/>
      <c r="J293" s="29"/>
      <c r="L293" s="30"/>
      <c r="M293" s="30"/>
      <c r="O293" s="32"/>
      <c r="P293" s="32"/>
      <c r="S293" s="32"/>
    </row>
    <row r="294">
      <c r="D294" s="29"/>
      <c r="F294" s="31"/>
      <c r="G294" s="30"/>
      <c r="H294" s="30"/>
      <c r="J294" s="29"/>
      <c r="L294" s="30"/>
      <c r="M294" s="30"/>
      <c r="O294" s="32"/>
      <c r="P294" s="32"/>
      <c r="S294" s="32"/>
    </row>
    <row r="295">
      <c r="D295" s="29"/>
      <c r="F295" s="31"/>
      <c r="G295" s="30"/>
      <c r="H295" s="30"/>
      <c r="J295" s="29"/>
      <c r="L295" s="30"/>
      <c r="M295" s="30"/>
      <c r="O295" s="32"/>
      <c r="P295" s="32"/>
      <c r="S295" s="32"/>
    </row>
    <row r="296">
      <c r="D296" s="29"/>
      <c r="F296" s="31"/>
      <c r="G296" s="30"/>
      <c r="H296" s="30"/>
      <c r="J296" s="29"/>
      <c r="L296" s="30"/>
      <c r="M296" s="30"/>
      <c r="O296" s="32"/>
      <c r="P296" s="32"/>
      <c r="S296" s="32"/>
    </row>
    <row r="297">
      <c r="D297" s="29"/>
      <c r="F297" s="31"/>
      <c r="G297" s="30"/>
      <c r="H297" s="30"/>
      <c r="J297" s="29"/>
      <c r="L297" s="30"/>
      <c r="M297" s="30"/>
      <c r="O297" s="32"/>
      <c r="P297" s="32"/>
      <c r="S297" s="32"/>
    </row>
    <row r="298">
      <c r="D298" s="29"/>
      <c r="F298" s="31"/>
      <c r="G298" s="30"/>
      <c r="H298" s="30"/>
      <c r="J298" s="29"/>
      <c r="L298" s="30"/>
      <c r="M298" s="30"/>
      <c r="O298" s="32"/>
      <c r="P298" s="32"/>
      <c r="S298" s="32"/>
    </row>
    <row r="299">
      <c r="D299" s="29"/>
      <c r="F299" s="31"/>
      <c r="G299" s="30"/>
      <c r="H299" s="30"/>
      <c r="J299" s="29"/>
      <c r="L299" s="30"/>
      <c r="M299" s="30"/>
      <c r="O299" s="32"/>
      <c r="P299" s="32"/>
      <c r="S299" s="32"/>
    </row>
    <row r="300">
      <c r="D300" s="29"/>
      <c r="F300" s="31"/>
      <c r="G300" s="30"/>
      <c r="H300" s="30"/>
      <c r="J300" s="29"/>
      <c r="L300" s="30"/>
      <c r="M300" s="30"/>
      <c r="O300" s="32"/>
      <c r="P300" s="32"/>
      <c r="S300" s="32"/>
    </row>
    <row r="301">
      <c r="D301" s="29"/>
      <c r="F301" s="31"/>
      <c r="G301" s="30"/>
      <c r="H301" s="30"/>
      <c r="J301" s="29"/>
      <c r="L301" s="30"/>
      <c r="M301" s="30"/>
      <c r="O301" s="32"/>
      <c r="P301" s="32"/>
      <c r="S301" s="32"/>
    </row>
    <row r="302">
      <c r="D302" s="29"/>
      <c r="F302" s="31"/>
      <c r="G302" s="30"/>
      <c r="H302" s="30"/>
      <c r="J302" s="29"/>
      <c r="L302" s="30"/>
      <c r="M302" s="30"/>
      <c r="O302" s="32"/>
      <c r="P302" s="32"/>
      <c r="S302" s="32"/>
    </row>
    <row r="303">
      <c r="D303" s="29"/>
      <c r="F303" s="31"/>
      <c r="G303" s="30"/>
      <c r="H303" s="30"/>
      <c r="J303" s="29"/>
      <c r="L303" s="30"/>
      <c r="M303" s="30"/>
      <c r="O303" s="32"/>
      <c r="P303" s="32"/>
      <c r="S303" s="32"/>
    </row>
    <row r="304">
      <c r="D304" s="29"/>
      <c r="F304" s="31"/>
      <c r="G304" s="30"/>
      <c r="H304" s="30"/>
      <c r="J304" s="29"/>
      <c r="L304" s="30"/>
      <c r="M304" s="30"/>
      <c r="O304" s="32"/>
      <c r="P304" s="32"/>
      <c r="S304" s="32"/>
    </row>
    <row r="305">
      <c r="D305" s="29"/>
      <c r="F305" s="31"/>
      <c r="G305" s="30"/>
      <c r="H305" s="30"/>
      <c r="J305" s="29"/>
      <c r="L305" s="30"/>
      <c r="M305" s="30"/>
      <c r="O305" s="32"/>
      <c r="P305" s="32"/>
      <c r="S305" s="32"/>
    </row>
    <row r="306">
      <c r="D306" s="29"/>
      <c r="F306" s="31"/>
      <c r="G306" s="30"/>
      <c r="H306" s="30"/>
      <c r="J306" s="29"/>
      <c r="L306" s="30"/>
      <c r="M306" s="30"/>
      <c r="O306" s="32"/>
      <c r="P306" s="32"/>
      <c r="S306" s="32"/>
    </row>
    <row r="307">
      <c r="D307" s="29"/>
      <c r="F307" s="31"/>
      <c r="G307" s="30"/>
      <c r="H307" s="30"/>
      <c r="J307" s="29"/>
      <c r="L307" s="30"/>
      <c r="M307" s="30"/>
      <c r="O307" s="32"/>
      <c r="P307" s="32"/>
      <c r="S307" s="32"/>
    </row>
    <row r="308">
      <c r="D308" s="29"/>
      <c r="F308" s="31"/>
      <c r="G308" s="30"/>
      <c r="H308" s="30"/>
      <c r="J308" s="29"/>
      <c r="L308" s="30"/>
      <c r="M308" s="30"/>
      <c r="O308" s="32"/>
      <c r="P308" s="32"/>
      <c r="S308" s="32"/>
    </row>
    <row r="309">
      <c r="D309" s="29"/>
      <c r="F309" s="31"/>
      <c r="G309" s="30"/>
      <c r="H309" s="30"/>
      <c r="J309" s="29"/>
      <c r="L309" s="30"/>
      <c r="M309" s="30"/>
      <c r="O309" s="32"/>
      <c r="P309" s="32"/>
      <c r="S309" s="32"/>
    </row>
    <row r="310">
      <c r="D310" s="29"/>
      <c r="F310" s="31"/>
      <c r="G310" s="30"/>
      <c r="H310" s="30"/>
      <c r="J310" s="29"/>
      <c r="L310" s="30"/>
      <c r="M310" s="30"/>
      <c r="O310" s="32"/>
      <c r="P310" s="32"/>
      <c r="S310" s="32"/>
    </row>
    <row r="311">
      <c r="D311" s="29"/>
      <c r="F311" s="31"/>
      <c r="G311" s="30"/>
      <c r="H311" s="30"/>
      <c r="J311" s="29"/>
      <c r="L311" s="30"/>
      <c r="M311" s="30"/>
      <c r="O311" s="32"/>
      <c r="P311" s="32"/>
      <c r="S311" s="32"/>
    </row>
    <row r="312">
      <c r="D312" s="29"/>
      <c r="F312" s="31"/>
      <c r="G312" s="30"/>
      <c r="H312" s="30"/>
      <c r="J312" s="29"/>
      <c r="L312" s="30"/>
      <c r="M312" s="30"/>
      <c r="O312" s="32"/>
      <c r="P312" s="32"/>
      <c r="S312" s="32"/>
    </row>
    <row r="313">
      <c r="D313" s="29"/>
      <c r="F313" s="31"/>
      <c r="G313" s="30"/>
      <c r="H313" s="30"/>
      <c r="J313" s="29"/>
      <c r="L313" s="30"/>
      <c r="M313" s="30"/>
      <c r="O313" s="32"/>
      <c r="P313" s="32"/>
      <c r="S313" s="32"/>
    </row>
    <row r="314">
      <c r="D314" s="29"/>
      <c r="F314" s="31"/>
      <c r="G314" s="30"/>
      <c r="H314" s="30"/>
      <c r="J314" s="29"/>
      <c r="L314" s="30"/>
      <c r="M314" s="30"/>
      <c r="O314" s="32"/>
      <c r="P314" s="32"/>
      <c r="S314" s="32"/>
    </row>
    <row r="315">
      <c r="D315" s="29"/>
      <c r="F315" s="31"/>
      <c r="G315" s="30"/>
      <c r="H315" s="30"/>
      <c r="J315" s="29"/>
      <c r="L315" s="30"/>
      <c r="M315" s="30"/>
      <c r="O315" s="32"/>
      <c r="P315" s="32"/>
      <c r="S315" s="32"/>
    </row>
    <row r="316">
      <c r="D316" s="29"/>
      <c r="F316" s="31"/>
      <c r="G316" s="30"/>
      <c r="H316" s="30"/>
      <c r="J316" s="29"/>
      <c r="L316" s="30"/>
      <c r="M316" s="30"/>
      <c r="O316" s="32"/>
      <c r="P316" s="32"/>
      <c r="S316" s="32"/>
    </row>
    <row r="317">
      <c r="D317" s="29"/>
      <c r="F317" s="31"/>
      <c r="G317" s="30"/>
      <c r="H317" s="30"/>
      <c r="J317" s="29"/>
      <c r="L317" s="30"/>
      <c r="M317" s="30"/>
      <c r="O317" s="32"/>
      <c r="P317" s="32"/>
      <c r="S317" s="32"/>
    </row>
    <row r="318">
      <c r="D318" s="29"/>
      <c r="F318" s="31"/>
      <c r="G318" s="30"/>
      <c r="H318" s="30"/>
      <c r="J318" s="29"/>
      <c r="L318" s="30"/>
      <c r="M318" s="30"/>
      <c r="O318" s="32"/>
      <c r="P318" s="32"/>
      <c r="S318" s="32"/>
    </row>
    <row r="319">
      <c r="D319" s="29"/>
      <c r="F319" s="31"/>
      <c r="G319" s="30"/>
      <c r="H319" s="30"/>
      <c r="J319" s="29"/>
      <c r="L319" s="30"/>
      <c r="M319" s="30"/>
      <c r="O319" s="32"/>
      <c r="P319" s="32"/>
      <c r="S319" s="32"/>
    </row>
    <row r="320">
      <c r="D320" s="29"/>
      <c r="F320" s="31"/>
      <c r="G320" s="30"/>
      <c r="H320" s="30"/>
      <c r="J320" s="29"/>
      <c r="L320" s="30"/>
      <c r="M320" s="30"/>
      <c r="O320" s="32"/>
      <c r="P320" s="32"/>
      <c r="S320" s="32"/>
    </row>
    <row r="321">
      <c r="D321" s="29"/>
      <c r="F321" s="31"/>
      <c r="G321" s="30"/>
      <c r="H321" s="30"/>
      <c r="J321" s="29"/>
      <c r="L321" s="30"/>
      <c r="M321" s="30"/>
      <c r="O321" s="32"/>
      <c r="P321" s="32"/>
      <c r="S321" s="32"/>
    </row>
    <row r="322">
      <c r="D322" s="29"/>
      <c r="F322" s="31"/>
      <c r="G322" s="30"/>
      <c r="H322" s="30"/>
      <c r="J322" s="29"/>
      <c r="L322" s="30"/>
      <c r="M322" s="30"/>
      <c r="O322" s="32"/>
      <c r="P322" s="32"/>
      <c r="S322" s="32"/>
    </row>
    <row r="323">
      <c r="D323" s="29"/>
      <c r="F323" s="31"/>
      <c r="G323" s="30"/>
      <c r="H323" s="30"/>
      <c r="J323" s="29"/>
      <c r="L323" s="30"/>
      <c r="M323" s="30"/>
      <c r="O323" s="32"/>
      <c r="P323" s="32"/>
      <c r="S323" s="32"/>
    </row>
    <row r="324">
      <c r="D324" s="29"/>
      <c r="F324" s="31"/>
      <c r="G324" s="30"/>
      <c r="H324" s="30"/>
      <c r="J324" s="29"/>
      <c r="L324" s="30"/>
      <c r="M324" s="30"/>
      <c r="O324" s="32"/>
      <c r="P324" s="32"/>
      <c r="S324" s="32"/>
    </row>
    <row r="325">
      <c r="D325" s="29"/>
      <c r="F325" s="31"/>
      <c r="G325" s="30"/>
      <c r="H325" s="30"/>
      <c r="J325" s="29"/>
      <c r="L325" s="30"/>
      <c r="M325" s="30"/>
      <c r="O325" s="32"/>
      <c r="P325" s="32"/>
      <c r="S325" s="32"/>
    </row>
    <row r="326">
      <c r="D326" s="29"/>
      <c r="F326" s="31"/>
      <c r="G326" s="30"/>
      <c r="H326" s="30"/>
      <c r="J326" s="29"/>
      <c r="L326" s="30"/>
      <c r="M326" s="30"/>
      <c r="O326" s="32"/>
      <c r="P326" s="32"/>
      <c r="S326" s="32"/>
    </row>
    <row r="327">
      <c r="D327" s="29"/>
      <c r="F327" s="31"/>
      <c r="G327" s="30"/>
      <c r="H327" s="30"/>
      <c r="J327" s="29"/>
      <c r="L327" s="30"/>
      <c r="M327" s="30"/>
      <c r="O327" s="32"/>
      <c r="P327" s="32"/>
      <c r="S327" s="32"/>
    </row>
    <row r="328">
      <c r="D328" s="29"/>
      <c r="F328" s="31"/>
      <c r="G328" s="30"/>
      <c r="H328" s="30"/>
      <c r="J328" s="29"/>
      <c r="L328" s="30"/>
      <c r="M328" s="30"/>
      <c r="O328" s="32"/>
      <c r="P328" s="32"/>
      <c r="S328" s="32"/>
    </row>
    <row r="329">
      <c r="D329" s="29"/>
      <c r="F329" s="31"/>
      <c r="G329" s="30"/>
      <c r="H329" s="30"/>
      <c r="J329" s="29"/>
      <c r="L329" s="30"/>
      <c r="M329" s="30"/>
      <c r="O329" s="32"/>
      <c r="P329" s="32"/>
      <c r="S329" s="32"/>
    </row>
    <row r="330">
      <c r="D330" s="29"/>
      <c r="F330" s="31"/>
      <c r="G330" s="30"/>
      <c r="H330" s="30"/>
      <c r="J330" s="29"/>
      <c r="L330" s="30"/>
      <c r="M330" s="30"/>
      <c r="O330" s="32"/>
      <c r="P330" s="32"/>
      <c r="S330" s="32"/>
    </row>
    <row r="331">
      <c r="D331" s="29"/>
      <c r="F331" s="31"/>
      <c r="G331" s="30"/>
      <c r="H331" s="30"/>
      <c r="J331" s="29"/>
      <c r="L331" s="30"/>
      <c r="M331" s="30"/>
      <c r="O331" s="32"/>
      <c r="P331" s="32"/>
      <c r="S331" s="32"/>
    </row>
    <row r="332">
      <c r="D332" s="29"/>
      <c r="F332" s="31"/>
      <c r="G332" s="30"/>
      <c r="H332" s="30"/>
      <c r="J332" s="29"/>
      <c r="L332" s="30"/>
      <c r="M332" s="30"/>
      <c r="O332" s="32"/>
      <c r="P332" s="32"/>
      <c r="S332" s="32"/>
    </row>
    <row r="333">
      <c r="D333" s="29"/>
      <c r="F333" s="31"/>
      <c r="G333" s="30"/>
      <c r="H333" s="30"/>
      <c r="J333" s="29"/>
      <c r="L333" s="30"/>
      <c r="M333" s="30"/>
      <c r="O333" s="32"/>
      <c r="P333" s="32"/>
      <c r="S333" s="32"/>
    </row>
    <row r="334">
      <c r="D334" s="29"/>
      <c r="F334" s="31"/>
      <c r="G334" s="30"/>
      <c r="H334" s="30"/>
      <c r="J334" s="29"/>
      <c r="L334" s="30"/>
      <c r="M334" s="30"/>
      <c r="O334" s="32"/>
      <c r="P334" s="32"/>
      <c r="S334" s="32"/>
    </row>
    <row r="335">
      <c r="D335" s="29"/>
      <c r="F335" s="31"/>
      <c r="G335" s="30"/>
      <c r="H335" s="30"/>
      <c r="J335" s="29"/>
      <c r="L335" s="30"/>
      <c r="M335" s="30"/>
      <c r="O335" s="32"/>
      <c r="P335" s="32"/>
      <c r="S335" s="32"/>
    </row>
    <row r="336">
      <c r="D336" s="29"/>
      <c r="F336" s="31"/>
      <c r="G336" s="30"/>
      <c r="H336" s="30"/>
      <c r="J336" s="29"/>
      <c r="L336" s="30"/>
      <c r="M336" s="30"/>
      <c r="O336" s="32"/>
      <c r="P336" s="32"/>
      <c r="S336" s="32"/>
    </row>
    <row r="337">
      <c r="D337" s="29"/>
      <c r="F337" s="31"/>
      <c r="G337" s="30"/>
      <c r="H337" s="30"/>
      <c r="J337" s="29"/>
      <c r="L337" s="30"/>
      <c r="M337" s="30"/>
      <c r="O337" s="32"/>
      <c r="P337" s="32"/>
      <c r="S337" s="32"/>
    </row>
    <row r="338">
      <c r="D338" s="29"/>
      <c r="F338" s="31"/>
      <c r="G338" s="30"/>
      <c r="H338" s="30"/>
      <c r="J338" s="29"/>
      <c r="L338" s="30"/>
      <c r="M338" s="30"/>
      <c r="O338" s="32"/>
      <c r="P338" s="32"/>
      <c r="S338" s="32"/>
    </row>
    <row r="339">
      <c r="D339" s="29"/>
      <c r="F339" s="31"/>
      <c r="G339" s="30"/>
      <c r="H339" s="30"/>
      <c r="J339" s="29"/>
      <c r="L339" s="30"/>
      <c r="M339" s="30"/>
      <c r="O339" s="32"/>
      <c r="P339" s="32"/>
      <c r="S339" s="32"/>
    </row>
    <row r="340">
      <c r="D340" s="29"/>
      <c r="F340" s="31"/>
      <c r="G340" s="30"/>
      <c r="H340" s="30"/>
      <c r="J340" s="29"/>
      <c r="L340" s="30"/>
      <c r="M340" s="30"/>
      <c r="O340" s="32"/>
      <c r="P340" s="32"/>
      <c r="S340" s="32"/>
    </row>
    <row r="341">
      <c r="D341" s="29"/>
      <c r="F341" s="31"/>
      <c r="G341" s="30"/>
      <c r="H341" s="30"/>
      <c r="J341" s="29"/>
      <c r="L341" s="30"/>
      <c r="M341" s="30"/>
      <c r="O341" s="32"/>
      <c r="P341" s="32"/>
      <c r="S341" s="32"/>
    </row>
    <row r="342">
      <c r="D342" s="29"/>
      <c r="F342" s="31"/>
      <c r="G342" s="30"/>
      <c r="H342" s="30"/>
      <c r="J342" s="29"/>
      <c r="L342" s="30"/>
      <c r="M342" s="30"/>
      <c r="O342" s="32"/>
      <c r="P342" s="32"/>
      <c r="S342" s="32"/>
    </row>
    <row r="343">
      <c r="D343" s="29"/>
      <c r="F343" s="31"/>
      <c r="G343" s="30"/>
      <c r="H343" s="30"/>
      <c r="J343" s="29"/>
      <c r="L343" s="30"/>
      <c r="M343" s="30"/>
      <c r="O343" s="32"/>
      <c r="P343" s="32"/>
      <c r="S343" s="32"/>
    </row>
    <row r="344">
      <c r="D344" s="29"/>
      <c r="F344" s="31"/>
      <c r="G344" s="30"/>
      <c r="H344" s="30"/>
      <c r="J344" s="29"/>
      <c r="L344" s="30"/>
      <c r="M344" s="30"/>
      <c r="O344" s="32"/>
      <c r="P344" s="32"/>
      <c r="S344" s="32"/>
    </row>
    <row r="345">
      <c r="D345" s="29"/>
      <c r="F345" s="31"/>
      <c r="G345" s="30"/>
      <c r="H345" s="30"/>
      <c r="J345" s="29"/>
      <c r="L345" s="30"/>
      <c r="M345" s="30"/>
      <c r="O345" s="32"/>
      <c r="P345" s="32"/>
      <c r="S345" s="32"/>
    </row>
    <row r="346">
      <c r="D346" s="29"/>
      <c r="F346" s="31"/>
      <c r="G346" s="30"/>
      <c r="H346" s="30"/>
      <c r="J346" s="29"/>
      <c r="L346" s="30"/>
      <c r="M346" s="30"/>
      <c r="O346" s="32"/>
      <c r="P346" s="32"/>
      <c r="S346" s="32"/>
    </row>
    <row r="347">
      <c r="D347" s="29"/>
      <c r="F347" s="31"/>
      <c r="G347" s="30"/>
      <c r="H347" s="30"/>
      <c r="J347" s="29"/>
      <c r="L347" s="30"/>
      <c r="M347" s="30"/>
      <c r="O347" s="32"/>
      <c r="P347" s="32"/>
      <c r="S347" s="32"/>
    </row>
    <row r="348">
      <c r="D348" s="29"/>
      <c r="F348" s="31"/>
      <c r="G348" s="30"/>
      <c r="H348" s="30"/>
      <c r="J348" s="29"/>
      <c r="L348" s="30"/>
      <c r="M348" s="30"/>
      <c r="O348" s="32"/>
      <c r="P348" s="32"/>
      <c r="S348" s="32"/>
    </row>
    <row r="349">
      <c r="D349" s="29"/>
      <c r="F349" s="31"/>
      <c r="G349" s="30"/>
      <c r="H349" s="30"/>
      <c r="J349" s="29"/>
      <c r="L349" s="30"/>
      <c r="M349" s="30"/>
      <c r="O349" s="32"/>
      <c r="P349" s="32"/>
      <c r="S349" s="32"/>
    </row>
    <row r="350">
      <c r="D350" s="29"/>
      <c r="F350" s="31"/>
      <c r="G350" s="30"/>
      <c r="H350" s="30"/>
      <c r="J350" s="29"/>
      <c r="L350" s="30"/>
      <c r="M350" s="30"/>
      <c r="O350" s="32"/>
      <c r="P350" s="32"/>
      <c r="S350" s="32"/>
    </row>
    <row r="351">
      <c r="D351" s="29"/>
      <c r="F351" s="31"/>
      <c r="G351" s="30"/>
      <c r="H351" s="30"/>
      <c r="J351" s="29"/>
      <c r="L351" s="30"/>
      <c r="M351" s="30"/>
      <c r="O351" s="32"/>
      <c r="P351" s="32"/>
      <c r="S351" s="32"/>
    </row>
    <row r="352">
      <c r="D352" s="29"/>
      <c r="F352" s="31"/>
      <c r="G352" s="30"/>
      <c r="H352" s="30"/>
      <c r="J352" s="29"/>
      <c r="L352" s="30"/>
      <c r="M352" s="30"/>
      <c r="O352" s="32"/>
      <c r="P352" s="32"/>
      <c r="S352" s="32"/>
    </row>
    <row r="353">
      <c r="D353" s="29"/>
      <c r="F353" s="31"/>
      <c r="G353" s="30"/>
      <c r="H353" s="30"/>
      <c r="J353" s="29"/>
      <c r="L353" s="30"/>
      <c r="M353" s="30"/>
      <c r="O353" s="32"/>
      <c r="P353" s="32"/>
      <c r="S353" s="32"/>
    </row>
    <row r="354">
      <c r="D354" s="29"/>
      <c r="F354" s="31"/>
      <c r="G354" s="30"/>
      <c r="H354" s="30"/>
      <c r="J354" s="29"/>
      <c r="L354" s="30"/>
      <c r="M354" s="30"/>
      <c r="O354" s="32"/>
      <c r="P354" s="32"/>
      <c r="S354" s="32"/>
    </row>
    <row r="355">
      <c r="D355" s="29"/>
      <c r="F355" s="31"/>
      <c r="G355" s="30"/>
      <c r="H355" s="30"/>
      <c r="J355" s="29"/>
      <c r="L355" s="30"/>
      <c r="M355" s="30"/>
      <c r="O355" s="32"/>
      <c r="P355" s="32"/>
      <c r="S355" s="32"/>
    </row>
    <row r="356">
      <c r="D356" s="29"/>
      <c r="F356" s="31"/>
      <c r="G356" s="30"/>
      <c r="H356" s="30"/>
      <c r="J356" s="29"/>
      <c r="L356" s="30"/>
      <c r="M356" s="30"/>
      <c r="O356" s="32"/>
      <c r="P356" s="32"/>
      <c r="S356" s="32"/>
    </row>
    <row r="357">
      <c r="D357" s="29"/>
      <c r="F357" s="31"/>
      <c r="G357" s="30"/>
      <c r="H357" s="30"/>
      <c r="J357" s="29"/>
      <c r="L357" s="30"/>
      <c r="M357" s="30"/>
      <c r="O357" s="32"/>
      <c r="P357" s="32"/>
      <c r="S357" s="32"/>
    </row>
    <row r="358">
      <c r="D358" s="29"/>
      <c r="F358" s="31"/>
      <c r="G358" s="30"/>
      <c r="H358" s="30"/>
      <c r="J358" s="29"/>
      <c r="L358" s="30"/>
      <c r="M358" s="30"/>
      <c r="O358" s="32"/>
      <c r="P358" s="32"/>
      <c r="S358" s="32"/>
    </row>
    <row r="359">
      <c r="D359" s="29"/>
      <c r="F359" s="31"/>
      <c r="G359" s="30"/>
      <c r="H359" s="30"/>
      <c r="J359" s="29"/>
      <c r="L359" s="30"/>
      <c r="M359" s="30"/>
      <c r="O359" s="32"/>
      <c r="P359" s="32"/>
      <c r="S359" s="32"/>
    </row>
    <row r="360">
      <c r="D360" s="29"/>
      <c r="F360" s="31"/>
      <c r="G360" s="30"/>
      <c r="H360" s="30"/>
      <c r="J360" s="29"/>
      <c r="L360" s="30"/>
      <c r="M360" s="30"/>
      <c r="O360" s="32"/>
      <c r="P360" s="32"/>
      <c r="S360" s="32"/>
    </row>
    <row r="361">
      <c r="D361" s="29"/>
      <c r="F361" s="31"/>
      <c r="G361" s="30"/>
      <c r="H361" s="30"/>
      <c r="J361" s="29"/>
      <c r="L361" s="30"/>
      <c r="M361" s="30"/>
      <c r="O361" s="32"/>
      <c r="P361" s="32"/>
      <c r="S361" s="32"/>
    </row>
    <row r="362">
      <c r="D362" s="29"/>
      <c r="F362" s="31"/>
      <c r="G362" s="30"/>
      <c r="H362" s="30"/>
      <c r="J362" s="29"/>
      <c r="L362" s="30"/>
      <c r="M362" s="30"/>
      <c r="O362" s="32"/>
      <c r="P362" s="32"/>
      <c r="S362" s="32"/>
    </row>
    <row r="363">
      <c r="D363" s="29"/>
      <c r="F363" s="31"/>
      <c r="G363" s="30"/>
      <c r="H363" s="30"/>
      <c r="J363" s="29"/>
      <c r="L363" s="30"/>
      <c r="M363" s="30"/>
      <c r="O363" s="32"/>
      <c r="P363" s="32"/>
      <c r="S363" s="32"/>
    </row>
    <row r="364">
      <c r="D364" s="29"/>
      <c r="F364" s="31"/>
      <c r="G364" s="30"/>
      <c r="H364" s="30"/>
      <c r="J364" s="29"/>
      <c r="L364" s="30"/>
      <c r="M364" s="30"/>
      <c r="O364" s="32"/>
      <c r="P364" s="32"/>
      <c r="S364" s="32"/>
    </row>
    <row r="365">
      <c r="D365" s="29"/>
      <c r="F365" s="31"/>
      <c r="G365" s="30"/>
      <c r="H365" s="30"/>
      <c r="J365" s="29"/>
      <c r="L365" s="30"/>
      <c r="M365" s="30"/>
      <c r="O365" s="32"/>
      <c r="P365" s="32"/>
      <c r="S365" s="32"/>
    </row>
    <row r="366">
      <c r="D366" s="29"/>
      <c r="F366" s="31"/>
      <c r="G366" s="30"/>
      <c r="H366" s="30"/>
      <c r="J366" s="29"/>
      <c r="L366" s="30"/>
      <c r="M366" s="30"/>
      <c r="O366" s="32"/>
      <c r="P366" s="32"/>
      <c r="S366" s="32"/>
    </row>
    <row r="367">
      <c r="D367" s="29"/>
      <c r="F367" s="31"/>
      <c r="G367" s="30"/>
      <c r="H367" s="30"/>
      <c r="J367" s="29"/>
      <c r="L367" s="30"/>
      <c r="M367" s="30"/>
      <c r="O367" s="32"/>
      <c r="P367" s="32"/>
      <c r="S367" s="32"/>
    </row>
    <row r="368">
      <c r="D368" s="29"/>
      <c r="F368" s="31"/>
      <c r="G368" s="30"/>
      <c r="H368" s="30"/>
      <c r="J368" s="29"/>
      <c r="L368" s="30"/>
      <c r="M368" s="30"/>
      <c r="O368" s="32"/>
      <c r="P368" s="32"/>
      <c r="S368" s="32"/>
    </row>
    <row r="369">
      <c r="D369" s="29"/>
      <c r="F369" s="31"/>
      <c r="G369" s="30"/>
      <c r="H369" s="30"/>
      <c r="J369" s="29"/>
      <c r="L369" s="30"/>
      <c r="M369" s="30"/>
      <c r="O369" s="32"/>
      <c r="P369" s="32"/>
      <c r="S369" s="32"/>
    </row>
    <row r="370">
      <c r="D370" s="29"/>
      <c r="F370" s="31"/>
      <c r="G370" s="30"/>
      <c r="H370" s="30"/>
      <c r="J370" s="29"/>
      <c r="L370" s="30"/>
      <c r="M370" s="30"/>
      <c r="O370" s="32"/>
      <c r="P370" s="32"/>
      <c r="S370" s="32"/>
    </row>
    <row r="371">
      <c r="D371" s="29"/>
      <c r="F371" s="31"/>
      <c r="G371" s="30"/>
      <c r="H371" s="30"/>
      <c r="J371" s="29"/>
      <c r="L371" s="30"/>
      <c r="M371" s="30"/>
      <c r="O371" s="32"/>
      <c r="P371" s="32"/>
      <c r="S371" s="32"/>
    </row>
    <row r="372">
      <c r="D372" s="29"/>
      <c r="F372" s="31"/>
      <c r="G372" s="30"/>
      <c r="H372" s="30"/>
      <c r="J372" s="29"/>
      <c r="L372" s="30"/>
      <c r="M372" s="30"/>
      <c r="O372" s="32"/>
      <c r="P372" s="32"/>
      <c r="S372" s="32"/>
    </row>
    <row r="373">
      <c r="D373" s="29"/>
      <c r="F373" s="31"/>
      <c r="G373" s="30"/>
      <c r="H373" s="30"/>
      <c r="J373" s="29"/>
      <c r="L373" s="30"/>
      <c r="M373" s="30"/>
      <c r="O373" s="32"/>
      <c r="P373" s="32"/>
      <c r="S373" s="32"/>
    </row>
    <row r="374">
      <c r="D374" s="29"/>
      <c r="F374" s="31"/>
      <c r="G374" s="30"/>
      <c r="H374" s="30"/>
      <c r="J374" s="29"/>
      <c r="L374" s="30"/>
      <c r="M374" s="30"/>
      <c r="O374" s="32"/>
      <c r="P374" s="32"/>
      <c r="S374" s="32"/>
    </row>
    <row r="375">
      <c r="D375" s="29"/>
      <c r="F375" s="31"/>
      <c r="G375" s="30"/>
      <c r="H375" s="30"/>
      <c r="J375" s="29"/>
      <c r="L375" s="30"/>
      <c r="M375" s="30"/>
      <c r="O375" s="32"/>
      <c r="P375" s="32"/>
      <c r="S375" s="32"/>
    </row>
    <row r="376">
      <c r="D376" s="29"/>
      <c r="F376" s="31"/>
      <c r="G376" s="30"/>
      <c r="H376" s="30"/>
      <c r="J376" s="29"/>
      <c r="L376" s="30"/>
      <c r="M376" s="30"/>
      <c r="O376" s="32"/>
      <c r="P376" s="32"/>
      <c r="S376" s="32"/>
    </row>
    <row r="377">
      <c r="D377" s="29"/>
      <c r="F377" s="31"/>
      <c r="G377" s="30"/>
      <c r="H377" s="30"/>
      <c r="J377" s="29"/>
      <c r="L377" s="30"/>
      <c r="M377" s="30"/>
      <c r="O377" s="32"/>
      <c r="P377" s="32"/>
      <c r="S377" s="32"/>
    </row>
    <row r="378">
      <c r="D378" s="29"/>
      <c r="F378" s="31"/>
      <c r="G378" s="30"/>
      <c r="H378" s="30"/>
      <c r="J378" s="29"/>
      <c r="L378" s="30"/>
      <c r="M378" s="30"/>
      <c r="O378" s="32"/>
      <c r="P378" s="32"/>
      <c r="S378" s="32"/>
    </row>
    <row r="379">
      <c r="D379" s="29"/>
      <c r="F379" s="31"/>
      <c r="G379" s="30"/>
      <c r="H379" s="30"/>
      <c r="J379" s="29"/>
      <c r="L379" s="30"/>
      <c r="M379" s="30"/>
      <c r="O379" s="32"/>
      <c r="P379" s="32"/>
      <c r="S379" s="32"/>
    </row>
    <row r="380">
      <c r="D380" s="29"/>
      <c r="F380" s="31"/>
      <c r="G380" s="30"/>
      <c r="H380" s="30"/>
      <c r="J380" s="29"/>
      <c r="L380" s="30"/>
      <c r="M380" s="30"/>
      <c r="O380" s="32"/>
      <c r="P380" s="32"/>
      <c r="S380" s="32"/>
    </row>
    <row r="381">
      <c r="D381" s="29"/>
      <c r="F381" s="31"/>
      <c r="G381" s="30"/>
      <c r="H381" s="30"/>
      <c r="J381" s="29"/>
      <c r="L381" s="30"/>
      <c r="M381" s="30"/>
      <c r="O381" s="32"/>
      <c r="P381" s="32"/>
      <c r="S381" s="32"/>
    </row>
    <row r="382">
      <c r="D382" s="29"/>
      <c r="F382" s="31"/>
      <c r="G382" s="30"/>
      <c r="H382" s="30"/>
      <c r="J382" s="29"/>
      <c r="L382" s="30"/>
      <c r="M382" s="30"/>
      <c r="O382" s="32"/>
      <c r="P382" s="32"/>
      <c r="S382" s="32"/>
    </row>
    <row r="383">
      <c r="D383" s="29"/>
      <c r="F383" s="31"/>
      <c r="G383" s="30"/>
      <c r="H383" s="30"/>
      <c r="J383" s="29"/>
      <c r="L383" s="30"/>
      <c r="M383" s="30"/>
      <c r="O383" s="32"/>
      <c r="P383" s="32"/>
      <c r="S383" s="32"/>
    </row>
    <row r="384">
      <c r="D384" s="29"/>
      <c r="F384" s="31"/>
      <c r="G384" s="30"/>
      <c r="H384" s="30"/>
      <c r="J384" s="29"/>
      <c r="L384" s="30"/>
      <c r="M384" s="30"/>
      <c r="O384" s="32"/>
      <c r="P384" s="32"/>
      <c r="S384" s="32"/>
    </row>
    <row r="385">
      <c r="D385" s="29"/>
      <c r="F385" s="31"/>
      <c r="G385" s="30"/>
      <c r="H385" s="30"/>
      <c r="J385" s="29"/>
      <c r="L385" s="30"/>
      <c r="M385" s="30"/>
      <c r="O385" s="32"/>
      <c r="P385" s="32"/>
      <c r="S385" s="32"/>
    </row>
    <row r="386">
      <c r="D386" s="29"/>
      <c r="F386" s="31"/>
      <c r="G386" s="30"/>
      <c r="H386" s="30"/>
      <c r="J386" s="29"/>
      <c r="L386" s="30"/>
      <c r="M386" s="30"/>
      <c r="O386" s="32"/>
      <c r="P386" s="32"/>
      <c r="S386" s="32"/>
    </row>
    <row r="387">
      <c r="D387" s="29"/>
      <c r="F387" s="31"/>
      <c r="G387" s="30"/>
      <c r="H387" s="30"/>
      <c r="J387" s="29"/>
      <c r="L387" s="30"/>
      <c r="M387" s="30"/>
      <c r="O387" s="32"/>
      <c r="P387" s="32"/>
      <c r="S387" s="32"/>
    </row>
    <row r="388">
      <c r="D388" s="29"/>
      <c r="F388" s="31"/>
      <c r="G388" s="30"/>
      <c r="H388" s="30"/>
      <c r="J388" s="29"/>
      <c r="L388" s="30"/>
      <c r="M388" s="30"/>
      <c r="O388" s="32"/>
      <c r="P388" s="32"/>
      <c r="S388" s="32"/>
    </row>
    <row r="389">
      <c r="D389" s="29"/>
      <c r="F389" s="31"/>
      <c r="G389" s="30"/>
      <c r="H389" s="30"/>
      <c r="J389" s="29"/>
      <c r="L389" s="30"/>
      <c r="M389" s="30"/>
      <c r="O389" s="32"/>
      <c r="P389" s="32"/>
      <c r="S389" s="32"/>
    </row>
    <row r="390">
      <c r="D390" s="29"/>
      <c r="F390" s="31"/>
      <c r="G390" s="30"/>
      <c r="H390" s="30"/>
      <c r="J390" s="29"/>
      <c r="L390" s="30"/>
      <c r="M390" s="30"/>
      <c r="O390" s="32"/>
      <c r="P390" s="32"/>
      <c r="S390" s="32"/>
    </row>
    <row r="391">
      <c r="D391" s="29"/>
      <c r="F391" s="31"/>
      <c r="G391" s="30"/>
      <c r="H391" s="30"/>
      <c r="J391" s="29"/>
      <c r="L391" s="30"/>
      <c r="M391" s="30"/>
      <c r="O391" s="32"/>
      <c r="P391" s="32"/>
      <c r="S391" s="32"/>
    </row>
    <row r="392">
      <c r="D392" s="29"/>
      <c r="F392" s="31"/>
      <c r="G392" s="30"/>
      <c r="H392" s="30"/>
      <c r="J392" s="29"/>
      <c r="L392" s="30"/>
      <c r="M392" s="30"/>
      <c r="O392" s="32"/>
      <c r="P392" s="32"/>
      <c r="S392" s="32"/>
    </row>
    <row r="393">
      <c r="D393" s="29"/>
      <c r="F393" s="31"/>
      <c r="G393" s="30"/>
      <c r="H393" s="30"/>
      <c r="J393" s="29"/>
      <c r="L393" s="30"/>
      <c r="M393" s="30"/>
      <c r="O393" s="32"/>
      <c r="P393" s="32"/>
      <c r="S393" s="32"/>
    </row>
    <row r="394">
      <c r="D394" s="29"/>
      <c r="F394" s="31"/>
      <c r="G394" s="30"/>
      <c r="H394" s="30"/>
      <c r="J394" s="29"/>
      <c r="L394" s="30"/>
      <c r="M394" s="30"/>
      <c r="O394" s="32"/>
      <c r="P394" s="32"/>
      <c r="S394" s="32"/>
    </row>
    <row r="395">
      <c r="D395" s="29"/>
      <c r="F395" s="31"/>
      <c r="G395" s="30"/>
      <c r="H395" s="30"/>
      <c r="J395" s="29"/>
      <c r="L395" s="30"/>
      <c r="M395" s="30"/>
      <c r="O395" s="32"/>
      <c r="P395" s="32"/>
      <c r="S395" s="32"/>
    </row>
    <row r="396">
      <c r="D396" s="29"/>
      <c r="F396" s="31"/>
      <c r="G396" s="30"/>
      <c r="H396" s="30"/>
      <c r="J396" s="29"/>
      <c r="L396" s="30"/>
      <c r="M396" s="30"/>
      <c r="O396" s="32"/>
      <c r="P396" s="32"/>
      <c r="S396" s="32"/>
    </row>
    <row r="397">
      <c r="D397" s="29"/>
      <c r="F397" s="31"/>
      <c r="G397" s="30"/>
      <c r="H397" s="30"/>
      <c r="J397" s="29"/>
      <c r="L397" s="30"/>
      <c r="M397" s="30"/>
      <c r="O397" s="32"/>
      <c r="P397" s="32"/>
      <c r="S397" s="32"/>
    </row>
    <row r="398">
      <c r="D398" s="29"/>
      <c r="F398" s="31"/>
      <c r="G398" s="30"/>
      <c r="H398" s="30"/>
      <c r="J398" s="29"/>
      <c r="L398" s="30"/>
      <c r="M398" s="30"/>
      <c r="O398" s="32"/>
      <c r="P398" s="32"/>
      <c r="S398" s="32"/>
    </row>
    <row r="399">
      <c r="D399" s="29"/>
      <c r="F399" s="31"/>
      <c r="G399" s="30"/>
      <c r="H399" s="30"/>
      <c r="J399" s="29"/>
      <c r="L399" s="30"/>
      <c r="M399" s="30"/>
      <c r="O399" s="32"/>
      <c r="P399" s="32"/>
      <c r="S399" s="32"/>
    </row>
    <row r="400">
      <c r="D400" s="29"/>
      <c r="F400" s="31"/>
      <c r="G400" s="30"/>
      <c r="H400" s="30"/>
      <c r="J400" s="29"/>
      <c r="L400" s="30"/>
      <c r="M400" s="30"/>
      <c r="O400" s="32"/>
      <c r="P400" s="32"/>
      <c r="S400" s="32"/>
    </row>
    <row r="401">
      <c r="D401" s="29"/>
      <c r="F401" s="31"/>
      <c r="G401" s="30"/>
      <c r="H401" s="30"/>
      <c r="J401" s="29"/>
      <c r="L401" s="30"/>
      <c r="M401" s="30"/>
      <c r="O401" s="32"/>
      <c r="P401" s="32"/>
      <c r="S401" s="32"/>
    </row>
    <row r="402">
      <c r="D402" s="29"/>
      <c r="F402" s="31"/>
      <c r="G402" s="30"/>
      <c r="H402" s="30"/>
      <c r="J402" s="29"/>
      <c r="L402" s="30"/>
      <c r="M402" s="30"/>
      <c r="O402" s="32"/>
      <c r="P402" s="32"/>
      <c r="S402" s="32"/>
    </row>
    <row r="403">
      <c r="D403" s="29"/>
      <c r="F403" s="31"/>
      <c r="G403" s="30"/>
      <c r="H403" s="30"/>
      <c r="J403" s="29"/>
      <c r="L403" s="30"/>
      <c r="M403" s="30"/>
      <c r="O403" s="32"/>
      <c r="P403" s="32"/>
      <c r="S403" s="32"/>
    </row>
    <row r="404">
      <c r="D404" s="29"/>
      <c r="F404" s="31"/>
      <c r="G404" s="30"/>
      <c r="H404" s="30"/>
      <c r="J404" s="29"/>
      <c r="L404" s="30"/>
      <c r="M404" s="30"/>
      <c r="O404" s="32"/>
      <c r="P404" s="32"/>
      <c r="S404" s="32"/>
    </row>
    <row r="405">
      <c r="D405" s="29"/>
      <c r="F405" s="31"/>
      <c r="G405" s="30"/>
      <c r="H405" s="30"/>
      <c r="J405" s="29"/>
      <c r="L405" s="30"/>
      <c r="M405" s="30"/>
      <c r="O405" s="32"/>
      <c r="P405" s="32"/>
      <c r="S405" s="32"/>
    </row>
    <row r="406">
      <c r="D406" s="29"/>
      <c r="F406" s="31"/>
      <c r="G406" s="30"/>
      <c r="H406" s="30"/>
      <c r="J406" s="29"/>
      <c r="L406" s="30"/>
      <c r="M406" s="30"/>
      <c r="O406" s="32"/>
      <c r="P406" s="32"/>
      <c r="S406" s="32"/>
    </row>
    <row r="407">
      <c r="D407" s="29"/>
      <c r="F407" s="31"/>
      <c r="G407" s="30"/>
      <c r="H407" s="30"/>
      <c r="J407" s="29"/>
      <c r="L407" s="30"/>
      <c r="M407" s="30"/>
      <c r="O407" s="32"/>
      <c r="P407" s="32"/>
      <c r="S407" s="32"/>
    </row>
    <row r="408">
      <c r="D408" s="29"/>
      <c r="F408" s="31"/>
      <c r="G408" s="30"/>
      <c r="H408" s="30"/>
      <c r="J408" s="29"/>
      <c r="L408" s="30"/>
      <c r="M408" s="30"/>
      <c r="O408" s="32"/>
      <c r="P408" s="32"/>
      <c r="S408" s="32"/>
    </row>
    <row r="409">
      <c r="D409" s="29"/>
      <c r="F409" s="31"/>
      <c r="G409" s="30"/>
      <c r="H409" s="30"/>
      <c r="J409" s="29"/>
      <c r="L409" s="30"/>
      <c r="M409" s="30"/>
      <c r="O409" s="32"/>
      <c r="P409" s="32"/>
      <c r="S409" s="32"/>
    </row>
    <row r="410">
      <c r="D410" s="29"/>
      <c r="F410" s="31"/>
      <c r="G410" s="30"/>
      <c r="H410" s="30"/>
      <c r="J410" s="29"/>
      <c r="L410" s="30"/>
      <c r="M410" s="30"/>
      <c r="O410" s="32"/>
      <c r="P410" s="32"/>
      <c r="S410" s="32"/>
    </row>
    <row r="411">
      <c r="D411" s="29"/>
      <c r="F411" s="31"/>
      <c r="G411" s="30"/>
      <c r="H411" s="30"/>
      <c r="J411" s="29"/>
      <c r="L411" s="30"/>
      <c r="M411" s="30"/>
      <c r="O411" s="32"/>
      <c r="P411" s="32"/>
      <c r="S411" s="32"/>
    </row>
    <row r="412">
      <c r="D412" s="29"/>
      <c r="F412" s="31"/>
      <c r="G412" s="30"/>
      <c r="H412" s="30"/>
      <c r="J412" s="29"/>
      <c r="L412" s="30"/>
      <c r="M412" s="30"/>
      <c r="O412" s="32"/>
      <c r="P412" s="32"/>
      <c r="S412" s="32"/>
    </row>
    <row r="413">
      <c r="D413" s="29"/>
      <c r="F413" s="31"/>
      <c r="G413" s="30"/>
      <c r="H413" s="30"/>
      <c r="J413" s="29"/>
      <c r="L413" s="30"/>
      <c r="M413" s="30"/>
      <c r="O413" s="32"/>
      <c r="P413" s="32"/>
      <c r="S413" s="32"/>
    </row>
    <row r="414">
      <c r="D414" s="29"/>
      <c r="F414" s="31"/>
      <c r="G414" s="30"/>
      <c r="H414" s="30"/>
      <c r="J414" s="29"/>
      <c r="L414" s="30"/>
      <c r="M414" s="30"/>
      <c r="O414" s="32"/>
      <c r="P414" s="32"/>
      <c r="S414" s="32"/>
    </row>
    <row r="415">
      <c r="D415" s="29"/>
      <c r="F415" s="31"/>
      <c r="G415" s="30"/>
      <c r="H415" s="30"/>
      <c r="J415" s="29"/>
      <c r="L415" s="30"/>
      <c r="M415" s="30"/>
      <c r="O415" s="32"/>
      <c r="P415" s="32"/>
      <c r="S415" s="32"/>
    </row>
    <row r="416">
      <c r="D416" s="29"/>
      <c r="F416" s="31"/>
      <c r="G416" s="30"/>
      <c r="H416" s="30"/>
      <c r="J416" s="29"/>
      <c r="L416" s="30"/>
      <c r="M416" s="30"/>
      <c r="O416" s="32"/>
      <c r="P416" s="32"/>
      <c r="S416" s="32"/>
    </row>
    <row r="417">
      <c r="D417" s="29"/>
      <c r="F417" s="31"/>
      <c r="G417" s="30"/>
      <c r="H417" s="30"/>
      <c r="J417" s="29"/>
      <c r="L417" s="30"/>
      <c r="M417" s="30"/>
      <c r="O417" s="32"/>
      <c r="P417" s="32"/>
      <c r="S417" s="32"/>
    </row>
    <row r="418">
      <c r="D418" s="29"/>
      <c r="F418" s="31"/>
      <c r="G418" s="30"/>
      <c r="H418" s="30"/>
      <c r="J418" s="29"/>
      <c r="L418" s="30"/>
      <c r="M418" s="30"/>
      <c r="O418" s="32"/>
      <c r="P418" s="32"/>
      <c r="S418" s="32"/>
    </row>
    <row r="419">
      <c r="D419" s="29"/>
      <c r="F419" s="31"/>
      <c r="G419" s="30"/>
      <c r="H419" s="30"/>
      <c r="J419" s="29"/>
      <c r="L419" s="30"/>
      <c r="M419" s="30"/>
      <c r="O419" s="32"/>
      <c r="P419" s="32"/>
      <c r="S419" s="32"/>
    </row>
    <row r="420">
      <c r="D420" s="29"/>
      <c r="F420" s="31"/>
      <c r="G420" s="30"/>
      <c r="H420" s="30"/>
      <c r="J420" s="29"/>
      <c r="L420" s="30"/>
      <c r="M420" s="30"/>
      <c r="O420" s="32"/>
      <c r="P420" s="32"/>
      <c r="S420" s="32"/>
    </row>
    <row r="421">
      <c r="D421" s="29"/>
      <c r="F421" s="31"/>
      <c r="G421" s="30"/>
      <c r="H421" s="30"/>
      <c r="J421" s="29"/>
      <c r="L421" s="30"/>
      <c r="M421" s="30"/>
      <c r="O421" s="32"/>
      <c r="P421" s="32"/>
      <c r="S421" s="32"/>
    </row>
    <row r="422">
      <c r="D422" s="29"/>
      <c r="F422" s="31"/>
      <c r="G422" s="30"/>
      <c r="H422" s="30"/>
      <c r="J422" s="29"/>
      <c r="L422" s="30"/>
      <c r="M422" s="30"/>
      <c r="O422" s="32"/>
      <c r="P422" s="32"/>
      <c r="S422" s="32"/>
    </row>
    <row r="423">
      <c r="D423" s="29"/>
      <c r="F423" s="31"/>
      <c r="G423" s="30"/>
      <c r="H423" s="30"/>
      <c r="J423" s="29"/>
      <c r="L423" s="30"/>
      <c r="M423" s="30"/>
      <c r="O423" s="32"/>
      <c r="P423" s="32"/>
      <c r="S423" s="32"/>
    </row>
    <row r="424">
      <c r="D424" s="29"/>
      <c r="F424" s="31"/>
      <c r="G424" s="30"/>
      <c r="H424" s="30"/>
      <c r="J424" s="29"/>
      <c r="L424" s="30"/>
      <c r="M424" s="30"/>
      <c r="O424" s="32"/>
      <c r="P424" s="32"/>
      <c r="S424" s="32"/>
    </row>
    <row r="425">
      <c r="D425" s="29"/>
      <c r="F425" s="31"/>
      <c r="G425" s="30"/>
      <c r="H425" s="30"/>
      <c r="J425" s="29"/>
      <c r="L425" s="30"/>
      <c r="M425" s="30"/>
      <c r="O425" s="32"/>
      <c r="P425" s="32"/>
      <c r="S425" s="32"/>
    </row>
    <row r="426">
      <c r="D426" s="29"/>
      <c r="F426" s="31"/>
      <c r="G426" s="30"/>
      <c r="H426" s="30"/>
      <c r="J426" s="29"/>
      <c r="L426" s="30"/>
      <c r="M426" s="30"/>
      <c r="O426" s="32"/>
      <c r="P426" s="32"/>
      <c r="S426" s="32"/>
    </row>
    <row r="427">
      <c r="D427" s="29"/>
      <c r="F427" s="31"/>
      <c r="G427" s="30"/>
      <c r="H427" s="30"/>
      <c r="J427" s="29"/>
      <c r="L427" s="30"/>
      <c r="M427" s="30"/>
      <c r="O427" s="32"/>
      <c r="P427" s="32"/>
      <c r="S427" s="32"/>
    </row>
    <row r="428">
      <c r="D428" s="29"/>
      <c r="F428" s="31"/>
      <c r="G428" s="30"/>
      <c r="H428" s="30"/>
      <c r="J428" s="29"/>
      <c r="L428" s="30"/>
      <c r="M428" s="30"/>
      <c r="O428" s="32"/>
      <c r="P428" s="32"/>
      <c r="S428" s="32"/>
    </row>
    <row r="429">
      <c r="D429" s="29"/>
      <c r="F429" s="31"/>
      <c r="G429" s="30"/>
      <c r="H429" s="30"/>
      <c r="J429" s="29"/>
      <c r="L429" s="30"/>
      <c r="M429" s="30"/>
      <c r="O429" s="32"/>
      <c r="P429" s="32"/>
      <c r="S429" s="32"/>
    </row>
    <row r="430">
      <c r="D430" s="29"/>
      <c r="F430" s="31"/>
      <c r="G430" s="30"/>
      <c r="H430" s="30"/>
      <c r="J430" s="29"/>
      <c r="L430" s="30"/>
      <c r="M430" s="30"/>
      <c r="O430" s="32"/>
      <c r="P430" s="32"/>
      <c r="S430" s="32"/>
    </row>
    <row r="431">
      <c r="D431" s="29"/>
      <c r="F431" s="31"/>
      <c r="G431" s="30"/>
      <c r="H431" s="30"/>
      <c r="J431" s="29"/>
      <c r="L431" s="30"/>
      <c r="M431" s="30"/>
      <c r="O431" s="32"/>
      <c r="P431" s="32"/>
      <c r="S431" s="32"/>
    </row>
    <row r="432">
      <c r="D432" s="29"/>
      <c r="F432" s="31"/>
      <c r="G432" s="30"/>
      <c r="H432" s="30"/>
      <c r="J432" s="29"/>
      <c r="L432" s="30"/>
      <c r="M432" s="30"/>
      <c r="O432" s="32"/>
      <c r="P432" s="32"/>
      <c r="S432" s="32"/>
    </row>
    <row r="433">
      <c r="D433" s="29"/>
      <c r="F433" s="31"/>
      <c r="G433" s="30"/>
      <c r="H433" s="30"/>
      <c r="J433" s="29"/>
      <c r="L433" s="30"/>
      <c r="M433" s="30"/>
      <c r="O433" s="32"/>
      <c r="P433" s="32"/>
      <c r="S433" s="32"/>
    </row>
    <row r="434">
      <c r="D434" s="29"/>
      <c r="F434" s="31"/>
      <c r="G434" s="30"/>
      <c r="H434" s="30"/>
      <c r="J434" s="29"/>
      <c r="L434" s="30"/>
      <c r="M434" s="30"/>
      <c r="O434" s="32"/>
      <c r="P434" s="32"/>
      <c r="S434" s="32"/>
    </row>
    <row r="435">
      <c r="D435" s="29"/>
      <c r="F435" s="31"/>
      <c r="G435" s="30"/>
      <c r="H435" s="30"/>
      <c r="J435" s="29"/>
      <c r="L435" s="30"/>
      <c r="M435" s="30"/>
      <c r="O435" s="32"/>
      <c r="P435" s="32"/>
      <c r="S435" s="32"/>
    </row>
    <row r="436">
      <c r="D436" s="29"/>
      <c r="F436" s="31"/>
      <c r="G436" s="30"/>
      <c r="H436" s="30"/>
      <c r="J436" s="29"/>
      <c r="L436" s="30"/>
      <c r="M436" s="30"/>
      <c r="O436" s="32"/>
      <c r="P436" s="32"/>
      <c r="S436" s="32"/>
    </row>
    <row r="437">
      <c r="D437" s="29"/>
      <c r="F437" s="31"/>
      <c r="G437" s="30"/>
      <c r="H437" s="30"/>
      <c r="J437" s="29"/>
      <c r="L437" s="30"/>
      <c r="M437" s="30"/>
      <c r="O437" s="32"/>
      <c r="P437" s="32"/>
      <c r="S437" s="32"/>
    </row>
    <row r="438">
      <c r="D438" s="29"/>
      <c r="F438" s="31"/>
      <c r="G438" s="30"/>
      <c r="H438" s="30"/>
      <c r="J438" s="29"/>
      <c r="L438" s="30"/>
      <c r="M438" s="30"/>
      <c r="O438" s="32"/>
      <c r="P438" s="32"/>
      <c r="S438" s="32"/>
    </row>
    <row r="439">
      <c r="D439" s="29"/>
      <c r="F439" s="31"/>
      <c r="G439" s="30"/>
      <c r="H439" s="30"/>
      <c r="J439" s="29"/>
      <c r="L439" s="30"/>
      <c r="M439" s="30"/>
      <c r="O439" s="32"/>
      <c r="P439" s="32"/>
      <c r="S439" s="32"/>
    </row>
    <row r="440">
      <c r="D440" s="29"/>
      <c r="F440" s="31"/>
      <c r="G440" s="30"/>
      <c r="H440" s="30"/>
      <c r="J440" s="29"/>
      <c r="L440" s="30"/>
      <c r="M440" s="30"/>
      <c r="O440" s="32"/>
      <c r="P440" s="32"/>
      <c r="S440" s="32"/>
    </row>
    <row r="441">
      <c r="D441" s="29"/>
      <c r="F441" s="31"/>
      <c r="G441" s="30"/>
      <c r="H441" s="30"/>
      <c r="J441" s="29"/>
      <c r="L441" s="30"/>
      <c r="M441" s="30"/>
      <c r="O441" s="32"/>
      <c r="P441" s="32"/>
      <c r="S441" s="32"/>
    </row>
    <row r="442">
      <c r="D442" s="29"/>
      <c r="F442" s="31"/>
      <c r="G442" s="30"/>
      <c r="H442" s="30"/>
      <c r="J442" s="29"/>
      <c r="L442" s="30"/>
      <c r="M442" s="30"/>
      <c r="O442" s="32"/>
      <c r="P442" s="32"/>
      <c r="S442" s="32"/>
    </row>
    <row r="443">
      <c r="D443" s="29"/>
      <c r="F443" s="31"/>
      <c r="G443" s="30"/>
      <c r="H443" s="30"/>
      <c r="J443" s="29"/>
      <c r="L443" s="30"/>
      <c r="M443" s="30"/>
      <c r="O443" s="32"/>
      <c r="P443" s="32"/>
      <c r="S443" s="32"/>
    </row>
    <row r="444">
      <c r="D444" s="29"/>
      <c r="F444" s="31"/>
      <c r="G444" s="30"/>
      <c r="H444" s="30"/>
      <c r="J444" s="29"/>
      <c r="L444" s="30"/>
      <c r="M444" s="30"/>
      <c r="O444" s="32"/>
      <c r="P444" s="32"/>
      <c r="S444" s="32"/>
    </row>
    <row r="445">
      <c r="D445" s="29"/>
      <c r="F445" s="31"/>
      <c r="G445" s="30"/>
      <c r="H445" s="30"/>
      <c r="J445" s="29"/>
      <c r="L445" s="30"/>
      <c r="M445" s="30"/>
      <c r="O445" s="32"/>
      <c r="P445" s="32"/>
      <c r="S445" s="32"/>
    </row>
    <row r="446">
      <c r="D446" s="29"/>
      <c r="F446" s="31"/>
      <c r="G446" s="30"/>
      <c r="H446" s="30"/>
      <c r="J446" s="29"/>
      <c r="L446" s="30"/>
      <c r="M446" s="30"/>
      <c r="O446" s="32"/>
      <c r="P446" s="32"/>
      <c r="S446" s="32"/>
    </row>
    <row r="447">
      <c r="D447" s="29"/>
      <c r="F447" s="31"/>
      <c r="G447" s="30"/>
      <c r="H447" s="30"/>
      <c r="J447" s="29"/>
      <c r="L447" s="30"/>
      <c r="M447" s="30"/>
      <c r="O447" s="32"/>
      <c r="P447" s="32"/>
      <c r="S447" s="32"/>
    </row>
    <row r="448">
      <c r="D448" s="29"/>
      <c r="F448" s="31"/>
      <c r="G448" s="30"/>
      <c r="H448" s="30"/>
      <c r="J448" s="29"/>
      <c r="L448" s="30"/>
      <c r="M448" s="30"/>
      <c r="O448" s="32"/>
      <c r="P448" s="32"/>
      <c r="S448" s="32"/>
    </row>
    <row r="449">
      <c r="D449" s="29"/>
      <c r="F449" s="31"/>
      <c r="G449" s="30"/>
      <c r="H449" s="30"/>
      <c r="J449" s="29"/>
      <c r="L449" s="30"/>
      <c r="M449" s="30"/>
      <c r="O449" s="32"/>
      <c r="P449" s="32"/>
      <c r="S449" s="32"/>
    </row>
    <row r="450">
      <c r="D450" s="29"/>
      <c r="F450" s="31"/>
      <c r="G450" s="30"/>
      <c r="H450" s="30"/>
      <c r="J450" s="29"/>
      <c r="L450" s="30"/>
      <c r="M450" s="30"/>
      <c r="O450" s="32"/>
      <c r="P450" s="32"/>
      <c r="S450" s="32"/>
    </row>
    <row r="451">
      <c r="D451" s="29"/>
      <c r="F451" s="31"/>
      <c r="G451" s="30"/>
      <c r="H451" s="30"/>
      <c r="J451" s="29"/>
      <c r="L451" s="30"/>
      <c r="M451" s="30"/>
      <c r="O451" s="32"/>
      <c r="P451" s="32"/>
      <c r="S451" s="32"/>
    </row>
    <row r="452">
      <c r="D452" s="29"/>
      <c r="F452" s="31"/>
      <c r="G452" s="30"/>
      <c r="H452" s="30"/>
      <c r="J452" s="29"/>
      <c r="L452" s="30"/>
      <c r="M452" s="30"/>
      <c r="O452" s="32"/>
      <c r="P452" s="32"/>
      <c r="S452" s="32"/>
    </row>
    <row r="453">
      <c r="D453" s="29"/>
      <c r="F453" s="31"/>
      <c r="G453" s="30"/>
      <c r="H453" s="30"/>
      <c r="J453" s="29"/>
      <c r="L453" s="30"/>
      <c r="M453" s="30"/>
      <c r="O453" s="32"/>
      <c r="P453" s="32"/>
      <c r="S453" s="32"/>
    </row>
    <row r="454">
      <c r="D454" s="29"/>
      <c r="F454" s="31"/>
      <c r="G454" s="30"/>
      <c r="H454" s="30"/>
      <c r="J454" s="29"/>
      <c r="L454" s="30"/>
      <c r="M454" s="30"/>
      <c r="O454" s="32"/>
      <c r="P454" s="32"/>
      <c r="S454" s="32"/>
    </row>
    <row r="455">
      <c r="D455" s="29"/>
      <c r="F455" s="31"/>
      <c r="G455" s="30"/>
      <c r="H455" s="30"/>
      <c r="J455" s="29"/>
      <c r="L455" s="30"/>
      <c r="M455" s="30"/>
      <c r="O455" s="32"/>
      <c r="P455" s="32"/>
      <c r="S455" s="32"/>
    </row>
    <row r="456">
      <c r="D456" s="29"/>
      <c r="F456" s="31"/>
      <c r="G456" s="30"/>
      <c r="H456" s="30"/>
      <c r="J456" s="29"/>
      <c r="L456" s="30"/>
      <c r="M456" s="30"/>
      <c r="O456" s="32"/>
      <c r="P456" s="32"/>
      <c r="S456" s="32"/>
    </row>
    <row r="457">
      <c r="D457" s="29"/>
      <c r="F457" s="31"/>
      <c r="G457" s="30"/>
      <c r="H457" s="30"/>
      <c r="J457" s="29"/>
      <c r="L457" s="30"/>
      <c r="M457" s="30"/>
      <c r="O457" s="32"/>
      <c r="P457" s="32"/>
      <c r="S457" s="32"/>
    </row>
    <row r="458">
      <c r="D458" s="29"/>
      <c r="F458" s="31"/>
      <c r="G458" s="30"/>
      <c r="H458" s="30"/>
      <c r="J458" s="29"/>
      <c r="L458" s="30"/>
      <c r="M458" s="30"/>
      <c r="O458" s="32"/>
      <c r="P458" s="32"/>
      <c r="S458" s="32"/>
    </row>
    <row r="459">
      <c r="D459" s="29"/>
      <c r="F459" s="31"/>
      <c r="G459" s="30"/>
      <c r="H459" s="30"/>
      <c r="J459" s="29"/>
      <c r="L459" s="30"/>
      <c r="M459" s="30"/>
      <c r="O459" s="32"/>
      <c r="P459" s="32"/>
      <c r="S459" s="32"/>
    </row>
    <row r="460">
      <c r="D460" s="29"/>
      <c r="F460" s="31"/>
      <c r="G460" s="30"/>
      <c r="H460" s="30"/>
      <c r="J460" s="29"/>
      <c r="L460" s="30"/>
      <c r="M460" s="30"/>
      <c r="O460" s="32"/>
      <c r="P460" s="32"/>
      <c r="S460" s="32"/>
    </row>
    <row r="461">
      <c r="D461" s="29"/>
      <c r="F461" s="31"/>
      <c r="G461" s="30"/>
      <c r="H461" s="30"/>
      <c r="J461" s="29"/>
      <c r="L461" s="30"/>
      <c r="M461" s="30"/>
      <c r="O461" s="32"/>
      <c r="P461" s="32"/>
      <c r="S461" s="32"/>
    </row>
    <row r="462">
      <c r="D462" s="29"/>
      <c r="F462" s="31"/>
      <c r="G462" s="30"/>
      <c r="H462" s="30"/>
      <c r="J462" s="29"/>
      <c r="L462" s="30"/>
      <c r="M462" s="30"/>
      <c r="O462" s="32"/>
      <c r="P462" s="32"/>
      <c r="S462" s="32"/>
    </row>
    <row r="463">
      <c r="D463" s="29"/>
      <c r="F463" s="31"/>
      <c r="G463" s="30"/>
      <c r="H463" s="30"/>
      <c r="J463" s="29"/>
      <c r="L463" s="30"/>
      <c r="M463" s="30"/>
      <c r="O463" s="32"/>
      <c r="P463" s="32"/>
      <c r="S463" s="32"/>
    </row>
    <row r="464">
      <c r="D464" s="29"/>
      <c r="F464" s="31"/>
      <c r="G464" s="30"/>
      <c r="H464" s="30"/>
      <c r="J464" s="29"/>
      <c r="L464" s="30"/>
      <c r="M464" s="30"/>
      <c r="O464" s="32"/>
      <c r="P464" s="32"/>
      <c r="S464" s="32"/>
    </row>
    <row r="465">
      <c r="D465" s="29"/>
      <c r="F465" s="31"/>
      <c r="G465" s="30"/>
      <c r="H465" s="30"/>
      <c r="J465" s="29"/>
      <c r="L465" s="30"/>
      <c r="M465" s="30"/>
      <c r="O465" s="32"/>
      <c r="P465" s="32"/>
      <c r="S465" s="32"/>
    </row>
    <row r="466">
      <c r="D466" s="29"/>
      <c r="F466" s="31"/>
      <c r="G466" s="30"/>
      <c r="H466" s="30"/>
      <c r="J466" s="29"/>
      <c r="L466" s="30"/>
      <c r="M466" s="30"/>
      <c r="O466" s="32"/>
      <c r="P466" s="32"/>
      <c r="S466" s="32"/>
    </row>
    <row r="467">
      <c r="D467" s="29"/>
      <c r="F467" s="31"/>
      <c r="G467" s="30"/>
      <c r="H467" s="30"/>
      <c r="J467" s="29"/>
      <c r="L467" s="30"/>
      <c r="M467" s="30"/>
      <c r="O467" s="32"/>
      <c r="P467" s="32"/>
      <c r="S467" s="32"/>
    </row>
    <row r="468">
      <c r="D468" s="29"/>
      <c r="F468" s="31"/>
      <c r="G468" s="30"/>
      <c r="H468" s="30"/>
      <c r="J468" s="29"/>
      <c r="L468" s="30"/>
      <c r="M468" s="30"/>
      <c r="O468" s="32"/>
      <c r="P468" s="32"/>
      <c r="S468" s="32"/>
    </row>
    <row r="469">
      <c r="D469" s="29"/>
      <c r="F469" s="31"/>
      <c r="G469" s="30"/>
      <c r="H469" s="30"/>
      <c r="J469" s="29"/>
      <c r="L469" s="30"/>
      <c r="M469" s="30"/>
      <c r="O469" s="32"/>
      <c r="P469" s="32"/>
      <c r="S469" s="32"/>
    </row>
    <row r="470">
      <c r="D470" s="29"/>
      <c r="F470" s="31"/>
      <c r="G470" s="30"/>
      <c r="H470" s="30"/>
      <c r="J470" s="29"/>
      <c r="L470" s="30"/>
      <c r="M470" s="30"/>
      <c r="O470" s="32"/>
      <c r="P470" s="32"/>
      <c r="S470" s="32"/>
    </row>
    <row r="471">
      <c r="D471" s="29"/>
      <c r="F471" s="31"/>
      <c r="G471" s="30"/>
      <c r="H471" s="30"/>
      <c r="J471" s="29"/>
      <c r="L471" s="30"/>
      <c r="M471" s="30"/>
      <c r="O471" s="32"/>
      <c r="P471" s="32"/>
      <c r="S471" s="32"/>
    </row>
    <row r="472">
      <c r="D472" s="29"/>
      <c r="F472" s="31"/>
      <c r="G472" s="30"/>
      <c r="H472" s="30"/>
      <c r="J472" s="29"/>
      <c r="L472" s="30"/>
      <c r="M472" s="30"/>
      <c r="O472" s="32"/>
      <c r="P472" s="32"/>
      <c r="S472" s="32"/>
    </row>
    <row r="473">
      <c r="D473" s="29"/>
      <c r="F473" s="31"/>
      <c r="G473" s="30"/>
      <c r="H473" s="30"/>
      <c r="J473" s="29"/>
      <c r="L473" s="30"/>
      <c r="M473" s="30"/>
      <c r="O473" s="32"/>
      <c r="P473" s="32"/>
      <c r="S473" s="32"/>
    </row>
    <row r="474">
      <c r="D474" s="29"/>
      <c r="F474" s="31"/>
      <c r="G474" s="30"/>
      <c r="H474" s="30"/>
      <c r="J474" s="29"/>
      <c r="L474" s="30"/>
      <c r="M474" s="30"/>
      <c r="O474" s="32"/>
      <c r="P474" s="32"/>
      <c r="S474" s="32"/>
    </row>
    <row r="475">
      <c r="D475" s="29"/>
      <c r="F475" s="31"/>
      <c r="G475" s="30"/>
      <c r="H475" s="30"/>
      <c r="J475" s="29"/>
      <c r="L475" s="30"/>
      <c r="M475" s="30"/>
      <c r="O475" s="32"/>
      <c r="P475" s="32"/>
      <c r="S475" s="32"/>
    </row>
    <row r="476">
      <c r="D476" s="29"/>
      <c r="F476" s="31"/>
      <c r="G476" s="30"/>
      <c r="H476" s="30"/>
      <c r="J476" s="29"/>
      <c r="L476" s="30"/>
      <c r="M476" s="30"/>
      <c r="O476" s="32"/>
      <c r="P476" s="32"/>
      <c r="S476" s="32"/>
    </row>
    <row r="477">
      <c r="D477" s="29"/>
      <c r="F477" s="31"/>
      <c r="G477" s="30"/>
      <c r="H477" s="30"/>
      <c r="J477" s="29"/>
      <c r="L477" s="30"/>
      <c r="M477" s="30"/>
      <c r="O477" s="32"/>
      <c r="P477" s="32"/>
      <c r="S477" s="32"/>
    </row>
    <row r="478">
      <c r="D478" s="29"/>
      <c r="F478" s="31"/>
      <c r="G478" s="30"/>
      <c r="H478" s="30"/>
      <c r="J478" s="29"/>
      <c r="L478" s="30"/>
      <c r="M478" s="30"/>
      <c r="O478" s="32"/>
      <c r="P478" s="32"/>
      <c r="S478" s="32"/>
    </row>
    <row r="479">
      <c r="D479" s="29"/>
      <c r="F479" s="31"/>
      <c r="G479" s="30"/>
      <c r="H479" s="30"/>
      <c r="J479" s="29"/>
      <c r="L479" s="30"/>
      <c r="M479" s="30"/>
      <c r="O479" s="32"/>
      <c r="P479" s="32"/>
      <c r="S479" s="32"/>
    </row>
    <row r="480">
      <c r="D480" s="29"/>
      <c r="F480" s="31"/>
      <c r="G480" s="30"/>
      <c r="H480" s="30"/>
      <c r="J480" s="29"/>
      <c r="L480" s="30"/>
      <c r="M480" s="30"/>
      <c r="O480" s="32"/>
      <c r="P480" s="32"/>
      <c r="S480" s="32"/>
    </row>
    <row r="481">
      <c r="D481" s="29"/>
      <c r="F481" s="31"/>
      <c r="G481" s="30"/>
      <c r="H481" s="30"/>
      <c r="J481" s="29"/>
      <c r="L481" s="30"/>
      <c r="M481" s="30"/>
      <c r="O481" s="32"/>
      <c r="P481" s="32"/>
      <c r="S481" s="32"/>
    </row>
    <row r="482">
      <c r="D482" s="29"/>
      <c r="F482" s="31"/>
      <c r="G482" s="30"/>
      <c r="H482" s="30"/>
      <c r="J482" s="29"/>
      <c r="L482" s="30"/>
      <c r="M482" s="30"/>
      <c r="O482" s="32"/>
      <c r="P482" s="32"/>
      <c r="S482" s="32"/>
    </row>
    <row r="483">
      <c r="D483" s="29"/>
      <c r="F483" s="31"/>
      <c r="G483" s="30"/>
      <c r="H483" s="30"/>
      <c r="J483" s="29"/>
      <c r="L483" s="30"/>
      <c r="M483" s="30"/>
      <c r="O483" s="32"/>
      <c r="P483" s="32"/>
      <c r="S483" s="32"/>
    </row>
    <row r="484">
      <c r="D484" s="29"/>
      <c r="F484" s="31"/>
      <c r="G484" s="30"/>
      <c r="H484" s="30"/>
      <c r="J484" s="29"/>
      <c r="L484" s="30"/>
      <c r="M484" s="30"/>
      <c r="O484" s="32"/>
      <c r="P484" s="32"/>
      <c r="S484" s="32"/>
    </row>
    <row r="485">
      <c r="D485" s="29"/>
      <c r="F485" s="31"/>
      <c r="G485" s="30"/>
      <c r="H485" s="30"/>
      <c r="J485" s="29"/>
      <c r="L485" s="30"/>
      <c r="M485" s="30"/>
      <c r="O485" s="32"/>
      <c r="P485" s="32"/>
      <c r="S485" s="32"/>
    </row>
    <row r="486">
      <c r="D486" s="29"/>
      <c r="F486" s="31"/>
      <c r="G486" s="30"/>
      <c r="H486" s="30"/>
      <c r="J486" s="29"/>
      <c r="L486" s="30"/>
      <c r="M486" s="30"/>
      <c r="O486" s="32"/>
      <c r="P486" s="32"/>
      <c r="S486" s="32"/>
    </row>
    <row r="487">
      <c r="D487" s="29"/>
      <c r="F487" s="31"/>
      <c r="G487" s="30"/>
      <c r="H487" s="30"/>
      <c r="J487" s="29"/>
      <c r="L487" s="30"/>
      <c r="M487" s="30"/>
      <c r="O487" s="32"/>
      <c r="P487" s="32"/>
      <c r="S487" s="32"/>
    </row>
    <row r="488">
      <c r="D488" s="29"/>
      <c r="F488" s="31"/>
      <c r="G488" s="30"/>
      <c r="H488" s="30"/>
      <c r="J488" s="29"/>
      <c r="L488" s="30"/>
      <c r="M488" s="30"/>
      <c r="O488" s="32"/>
      <c r="P488" s="32"/>
      <c r="S488" s="32"/>
    </row>
    <row r="489">
      <c r="D489" s="29"/>
      <c r="F489" s="31"/>
      <c r="G489" s="30"/>
      <c r="H489" s="30"/>
      <c r="J489" s="29"/>
      <c r="L489" s="30"/>
      <c r="M489" s="30"/>
      <c r="O489" s="32"/>
      <c r="P489" s="32"/>
      <c r="S489" s="32"/>
    </row>
    <row r="490">
      <c r="D490" s="29"/>
      <c r="F490" s="31"/>
      <c r="G490" s="30"/>
      <c r="H490" s="30"/>
      <c r="J490" s="29"/>
      <c r="L490" s="30"/>
      <c r="M490" s="30"/>
      <c r="O490" s="32"/>
      <c r="P490" s="32"/>
      <c r="S490" s="32"/>
    </row>
    <row r="491">
      <c r="D491" s="29"/>
      <c r="F491" s="31"/>
      <c r="G491" s="30"/>
      <c r="H491" s="30"/>
      <c r="J491" s="29"/>
      <c r="L491" s="30"/>
      <c r="M491" s="30"/>
      <c r="O491" s="32"/>
      <c r="P491" s="32"/>
      <c r="S491" s="32"/>
    </row>
    <row r="492">
      <c r="D492" s="29"/>
      <c r="F492" s="31"/>
      <c r="G492" s="30"/>
      <c r="H492" s="30"/>
      <c r="J492" s="29"/>
      <c r="L492" s="30"/>
      <c r="M492" s="30"/>
      <c r="O492" s="32"/>
      <c r="P492" s="32"/>
      <c r="S492" s="32"/>
    </row>
    <row r="493">
      <c r="D493" s="29"/>
      <c r="F493" s="31"/>
      <c r="G493" s="30"/>
      <c r="H493" s="30"/>
      <c r="J493" s="29"/>
      <c r="L493" s="30"/>
      <c r="M493" s="30"/>
      <c r="O493" s="32"/>
      <c r="P493" s="32"/>
      <c r="S493" s="32"/>
    </row>
    <row r="494">
      <c r="D494" s="29"/>
      <c r="F494" s="31"/>
      <c r="G494" s="30"/>
      <c r="H494" s="30"/>
      <c r="J494" s="29"/>
      <c r="L494" s="30"/>
      <c r="M494" s="30"/>
      <c r="O494" s="32"/>
      <c r="P494" s="32"/>
      <c r="S494" s="32"/>
    </row>
    <row r="495">
      <c r="D495" s="29"/>
      <c r="F495" s="31"/>
      <c r="G495" s="30"/>
      <c r="H495" s="30"/>
      <c r="J495" s="29"/>
      <c r="L495" s="30"/>
      <c r="M495" s="30"/>
      <c r="O495" s="32"/>
      <c r="P495" s="32"/>
      <c r="S495" s="32"/>
    </row>
    <row r="496">
      <c r="D496" s="29"/>
      <c r="F496" s="31"/>
      <c r="G496" s="30"/>
      <c r="H496" s="30"/>
      <c r="J496" s="29"/>
      <c r="L496" s="30"/>
      <c r="M496" s="30"/>
      <c r="O496" s="32"/>
      <c r="P496" s="32"/>
      <c r="S496" s="32"/>
    </row>
    <row r="497">
      <c r="D497" s="29"/>
      <c r="F497" s="31"/>
      <c r="G497" s="30"/>
      <c r="H497" s="30"/>
      <c r="J497" s="29"/>
      <c r="L497" s="30"/>
      <c r="M497" s="30"/>
      <c r="O497" s="32"/>
      <c r="P497" s="32"/>
      <c r="S497" s="32"/>
    </row>
    <row r="498">
      <c r="D498" s="29"/>
      <c r="F498" s="31"/>
      <c r="G498" s="30"/>
      <c r="H498" s="30"/>
      <c r="J498" s="29"/>
      <c r="L498" s="30"/>
      <c r="M498" s="30"/>
      <c r="O498" s="32"/>
      <c r="P498" s="32"/>
      <c r="S498" s="32"/>
    </row>
    <row r="499">
      <c r="D499" s="29"/>
      <c r="F499" s="31"/>
      <c r="G499" s="30"/>
      <c r="H499" s="30"/>
      <c r="J499" s="29"/>
      <c r="L499" s="30"/>
      <c r="M499" s="30"/>
      <c r="O499" s="32"/>
      <c r="P499" s="32"/>
      <c r="S499" s="32"/>
    </row>
    <row r="500">
      <c r="D500" s="29"/>
      <c r="F500" s="31"/>
      <c r="G500" s="30"/>
      <c r="H500" s="30"/>
      <c r="J500" s="29"/>
      <c r="L500" s="30"/>
      <c r="M500" s="30"/>
      <c r="O500" s="32"/>
      <c r="P500" s="32"/>
      <c r="S500" s="32"/>
    </row>
    <row r="501">
      <c r="D501" s="29"/>
      <c r="F501" s="31"/>
      <c r="G501" s="30"/>
      <c r="H501" s="30"/>
      <c r="J501" s="29"/>
      <c r="L501" s="30"/>
      <c r="M501" s="30"/>
      <c r="O501" s="32"/>
      <c r="P501" s="32"/>
      <c r="S501" s="32"/>
    </row>
    <row r="502">
      <c r="D502" s="29"/>
      <c r="F502" s="31"/>
      <c r="G502" s="30"/>
      <c r="H502" s="30"/>
      <c r="J502" s="29"/>
      <c r="L502" s="30"/>
      <c r="M502" s="30"/>
      <c r="O502" s="32"/>
      <c r="P502" s="32"/>
      <c r="S502" s="32"/>
    </row>
    <row r="503">
      <c r="D503" s="29"/>
      <c r="F503" s="31"/>
      <c r="G503" s="30"/>
      <c r="H503" s="30"/>
      <c r="J503" s="29"/>
      <c r="L503" s="30"/>
      <c r="M503" s="30"/>
      <c r="O503" s="32"/>
      <c r="P503" s="32"/>
      <c r="S503" s="32"/>
    </row>
    <row r="504">
      <c r="D504" s="29"/>
      <c r="F504" s="31"/>
      <c r="G504" s="30"/>
      <c r="H504" s="30"/>
      <c r="J504" s="29"/>
      <c r="L504" s="30"/>
      <c r="M504" s="30"/>
      <c r="O504" s="32"/>
      <c r="P504" s="32"/>
      <c r="S504" s="32"/>
    </row>
    <row r="505">
      <c r="D505" s="29"/>
      <c r="F505" s="31"/>
      <c r="G505" s="30"/>
      <c r="H505" s="30"/>
      <c r="J505" s="29"/>
      <c r="L505" s="30"/>
      <c r="M505" s="30"/>
      <c r="O505" s="32"/>
      <c r="P505" s="32"/>
      <c r="S505" s="32"/>
    </row>
    <row r="506">
      <c r="D506" s="29"/>
      <c r="F506" s="31"/>
      <c r="G506" s="30"/>
      <c r="H506" s="30"/>
      <c r="J506" s="29"/>
      <c r="L506" s="30"/>
      <c r="M506" s="30"/>
      <c r="O506" s="32"/>
      <c r="P506" s="32"/>
      <c r="S506" s="32"/>
    </row>
    <row r="507">
      <c r="D507" s="29"/>
      <c r="F507" s="31"/>
      <c r="G507" s="30"/>
      <c r="H507" s="30"/>
      <c r="J507" s="29"/>
      <c r="L507" s="30"/>
      <c r="M507" s="30"/>
      <c r="O507" s="32"/>
      <c r="P507" s="32"/>
      <c r="S507" s="32"/>
    </row>
    <row r="508">
      <c r="D508" s="29"/>
      <c r="F508" s="31"/>
      <c r="G508" s="30"/>
      <c r="H508" s="30"/>
      <c r="J508" s="29"/>
      <c r="L508" s="30"/>
      <c r="M508" s="30"/>
      <c r="O508" s="32"/>
      <c r="P508" s="32"/>
      <c r="S508" s="32"/>
    </row>
    <row r="509">
      <c r="D509" s="29"/>
      <c r="F509" s="31"/>
      <c r="G509" s="30"/>
      <c r="H509" s="30"/>
      <c r="J509" s="29"/>
      <c r="L509" s="30"/>
      <c r="M509" s="30"/>
      <c r="O509" s="32"/>
      <c r="P509" s="32"/>
      <c r="S509" s="32"/>
    </row>
    <row r="510">
      <c r="D510" s="29"/>
      <c r="F510" s="31"/>
      <c r="G510" s="30"/>
      <c r="H510" s="30"/>
      <c r="J510" s="29"/>
      <c r="L510" s="30"/>
      <c r="M510" s="30"/>
      <c r="O510" s="32"/>
      <c r="P510" s="32"/>
      <c r="S510" s="32"/>
    </row>
    <row r="511">
      <c r="D511" s="29"/>
      <c r="F511" s="31"/>
      <c r="G511" s="30"/>
      <c r="H511" s="30"/>
      <c r="J511" s="29"/>
      <c r="L511" s="30"/>
      <c r="M511" s="30"/>
      <c r="O511" s="32"/>
      <c r="P511" s="32"/>
      <c r="S511" s="32"/>
    </row>
    <row r="512">
      <c r="D512" s="29"/>
      <c r="F512" s="31"/>
      <c r="G512" s="30"/>
      <c r="H512" s="30"/>
      <c r="J512" s="29"/>
      <c r="L512" s="30"/>
      <c r="M512" s="30"/>
      <c r="O512" s="32"/>
      <c r="P512" s="32"/>
      <c r="S512" s="32"/>
    </row>
    <row r="513">
      <c r="D513" s="29"/>
      <c r="F513" s="31"/>
      <c r="G513" s="30"/>
      <c r="H513" s="30"/>
      <c r="J513" s="29"/>
      <c r="L513" s="30"/>
      <c r="M513" s="30"/>
      <c r="O513" s="32"/>
      <c r="P513" s="32"/>
      <c r="S513" s="32"/>
    </row>
    <row r="514">
      <c r="D514" s="29"/>
      <c r="F514" s="31"/>
      <c r="G514" s="30"/>
      <c r="H514" s="30"/>
      <c r="J514" s="29"/>
      <c r="L514" s="30"/>
      <c r="M514" s="30"/>
      <c r="O514" s="32"/>
      <c r="P514" s="32"/>
      <c r="S514" s="32"/>
    </row>
    <row r="515">
      <c r="D515" s="29"/>
      <c r="F515" s="31"/>
      <c r="G515" s="30"/>
      <c r="H515" s="30"/>
      <c r="J515" s="29"/>
      <c r="L515" s="30"/>
      <c r="M515" s="30"/>
      <c r="O515" s="32"/>
      <c r="P515" s="32"/>
      <c r="S515" s="32"/>
    </row>
    <row r="516">
      <c r="D516" s="29"/>
      <c r="F516" s="31"/>
      <c r="G516" s="30"/>
      <c r="H516" s="30"/>
      <c r="J516" s="29"/>
      <c r="L516" s="30"/>
      <c r="M516" s="30"/>
      <c r="O516" s="32"/>
      <c r="P516" s="32"/>
      <c r="S516" s="32"/>
    </row>
    <row r="517">
      <c r="D517" s="29"/>
      <c r="F517" s="31"/>
      <c r="G517" s="30"/>
      <c r="H517" s="30"/>
      <c r="J517" s="29"/>
      <c r="L517" s="30"/>
      <c r="M517" s="30"/>
      <c r="O517" s="32"/>
      <c r="P517" s="32"/>
      <c r="S517" s="32"/>
    </row>
    <row r="518">
      <c r="D518" s="29"/>
      <c r="F518" s="31"/>
      <c r="G518" s="30"/>
      <c r="H518" s="30"/>
      <c r="J518" s="29"/>
      <c r="L518" s="30"/>
      <c r="M518" s="30"/>
      <c r="O518" s="32"/>
      <c r="P518" s="32"/>
      <c r="S518" s="32"/>
    </row>
    <row r="519">
      <c r="D519" s="29"/>
      <c r="F519" s="31"/>
      <c r="G519" s="30"/>
      <c r="H519" s="30"/>
      <c r="J519" s="29"/>
      <c r="L519" s="30"/>
      <c r="M519" s="30"/>
      <c r="O519" s="32"/>
      <c r="P519" s="32"/>
      <c r="S519" s="32"/>
    </row>
    <row r="520">
      <c r="D520" s="29"/>
      <c r="F520" s="31"/>
      <c r="G520" s="30"/>
      <c r="H520" s="30"/>
      <c r="J520" s="29"/>
      <c r="L520" s="30"/>
      <c r="M520" s="30"/>
      <c r="O520" s="32"/>
      <c r="P520" s="32"/>
      <c r="S520" s="32"/>
    </row>
    <row r="521">
      <c r="D521" s="29"/>
      <c r="F521" s="31"/>
      <c r="G521" s="30"/>
      <c r="H521" s="30"/>
      <c r="J521" s="29"/>
      <c r="L521" s="30"/>
      <c r="M521" s="30"/>
      <c r="O521" s="32"/>
      <c r="P521" s="32"/>
      <c r="S521" s="32"/>
    </row>
    <row r="522">
      <c r="D522" s="29"/>
      <c r="F522" s="31"/>
      <c r="G522" s="30"/>
      <c r="H522" s="30"/>
      <c r="J522" s="29"/>
      <c r="L522" s="30"/>
      <c r="M522" s="30"/>
      <c r="O522" s="32"/>
      <c r="P522" s="32"/>
      <c r="S522" s="32"/>
    </row>
    <row r="523">
      <c r="D523" s="29"/>
      <c r="F523" s="31"/>
      <c r="G523" s="30"/>
      <c r="H523" s="30"/>
      <c r="J523" s="29"/>
      <c r="L523" s="30"/>
      <c r="M523" s="30"/>
      <c r="O523" s="32"/>
      <c r="P523" s="32"/>
      <c r="S523" s="32"/>
    </row>
    <row r="524">
      <c r="D524" s="29"/>
      <c r="F524" s="31"/>
      <c r="G524" s="30"/>
      <c r="H524" s="30"/>
      <c r="J524" s="29"/>
      <c r="L524" s="30"/>
      <c r="M524" s="30"/>
      <c r="O524" s="32"/>
      <c r="P524" s="32"/>
      <c r="S524" s="32"/>
    </row>
    <row r="525">
      <c r="D525" s="29"/>
      <c r="F525" s="31"/>
      <c r="G525" s="30"/>
      <c r="H525" s="30"/>
      <c r="J525" s="29"/>
      <c r="L525" s="30"/>
      <c r="M525" s="30"/>
      <c r="O525" s="32"/>
      <c r="P525" s="32"/>
      <c r="S525" s="32"/>
    </row>
    <row r="526">
      <c r="D526" s="29"/>
      <c r="F526" s="31"/>
      <c r="G526" s="30"/>
      <c r="H526" s="30"/>
      <c r="J526" s="29"/>
      <c r="L526" s="30"/>
      <c r="M526" s="30"/>
      <c r="O526" s="32"/>
      <c r="P526" s="32"/>
      <c r="S526" s="32"/>
    </row>
    <row r="527">
      <c r="D527" s="29"/>
      <c r="F527" s="31"/>
      <c r="G527" s="30"/>
      <c r="H527" s="30"/>
      <c r="J527" s="29"/>
      <c r="L527" s="30"/>
      <c r="M527" s="30"/>
      <c r="O527" s="32"/>
      <c r="P527" s="32"/>
      <c r="S527" s="32"/>
    </row>
    <row r="528">
      <c r="D528" s="29"/>
      <c r="F528" s="31"/>
      <c r="G528" s="30"/>
      <c r="H528" s="30"/>
      <c r="J528" s="29"/>
      <c r="L528" s="30"/>
      <c r="M528" s="30"/>
      <c r="O528" s="32"/>
      <c r="P528" s="32"/>
      <c r="S528" s="32"/>
    </row>
    <row r="529">
      <c r="D529" s="29"/>
      <c r="F529" s="31"/>
      <c r="G529" s="30"/>
      <c r="H529" s="30"/>
      <c r="J529" s="29"/>
      <c r="L529" s="30"/>
      <c r="M529" s="30"/>
      <c r="O529" s="32"/>
      <c r="P529" s="32"/>
      <c r="S529" s="32"/>
    </row>
    <row r="530">
      <c r="D530" s="29"/>
      <c r="F530" s="31"/>
      <c r="G530" s="30"/>
      <c r="H530" s="30"/>
      <c r="J530" s="29"/>
      <c r="L530" s="30"/>
      <c r="M530" s="30"/>
      <c r="O530" s="32"/>
      <c r="P530" s="32"/>
      <c r="S530" s="32"/>
    </row>
    <row r="531">
      <c r="D531" s="29"/>
      <c r="F531" s="31"/>
      <c r="G531" s="30"/>
      <c r="H531" s="30"/>
      <c r="J531" s="29"/>
      <c r="L531" s="30"/>
      <c r="M531" s="30"/>
      <c r="O531" s="32"/>
      <c r="P531" s="32"/>
      <c r="S531" s="32"/>
    </row>
    <row r="532">
      <c r="D532" s="29"/>
      <c r="F532" s="31"/>
      <c r="G532" s="30"/>
      <c r="H532" s="30"/>
      <c r="J532" s="29"/>
      <c r="L532" s="30"/>
      <c r="M532" s="30"/>
      <c r="O532" s="32"/>
      <c r="P532" s="32"/>
      <c r="S532" s="32"/>
    </row>
    <row r="533">
      <c r="D533" s="29"/>
      <c r="F533" s="31"/>
      <c r="G533" s="30"/>
      <c r="H533" s="30"/>
      <c r="J533" s="29"/>
      <c r="L533" s="30"/>
      <c r="M533" s="30"/>
      <c r="O533" s="32"/>
      <c r="P533" s="32"/>
      <c r="S533" s="32"/>
    </row>
    <row r="534">
      <c r="D534" s="29"/>
      <c r="F534" s="31"/>
      <c r="G534" s="30"/>
      <c r="H534" s="30"/>
      <c r="J534" s="29"/>
      <c r="L534" s="30"/>
      <c r="M534" s="30"/>
      <c r="O534" s="32"/>
      <c r="P534" s="32"/>
      <c r="S534" s="32"/>
    </row>
    <row r="535">
      <c r="D535" s="29"/>
      <c r="F535" s="31"/>
      <c r="G535" s="30"/>
      <c r="H535" s="30"/>
      <c r="J535" s="29"/>
      <c r="L535" s="30"/>
      <c r="M535" s="30"/>
      <c r="O535" s="32"/>
      <c r="P535" s="32"/>
      <c r="S535" s="32"/>
    </row>
    <row r="536">
      <c r="D536" s="29"/>
      <c r="F536" s="31"/>
      <c r="G536" s="30"/>
      <c r="H536" s="30"/>
      <c r="J536" s="29"/>
      <c r="L536" s="30"/>
      <c r="M536" s="30"/>
      <c r="O536" s="32"/>
      <c r="P536" s="32"/>
      <c r="S536" s="32"/>
    </row>
    <row r="537">
      <c r="D537" s="29"/>
      <c r="F537" s="31"/>
      <c r="G537" s="30"/>
      <c r="H537" s="30"/>
      <c r="J537" s="29"/>
      <c r="L537" s="30"/>
      <c r="M537" s="30"/>
      <c r="O537" s="32"/>
      <c r="P537" s="32"/>
      <c r="S537" s="32"/>
    </row>
    <row r="538">
      <c r="D538" s="29"/>
      <c r="F538" s="31"/>
      <c r="G538" s="30"/>
      <c r="H538" s="30"/>
      <c r="J538" s="29"/>
      <c r="L538" s="30"/>
      <c r="M538" s="30"/>
      <c r="O538" s="32"/>
      <c r="P538" s="32"/>
      <c r="S538" s="32"/>
    </row>
    <row r="539">
      <c r="D539" s="29"/>
      <c r="F539" s="31"/>
      <c r="G539" s="30"/>
      <c r="H539" s="30"/>
      <c r="J539" s="29"/>
      <c r="L539" s="30"/>
      <c r="M539" s="30"/>
      <c r="O539" s="32"/>
      <c r="P539" s="32"/>
      <c r="S539" s="32"/>
    </row>
    <row r="540">
      <c r="D540" s="29"/>
      <c r="F540" s="31"/>
      <c r="G540" s="30"/>
      <c r="H540" s="30"/>
      <c r="J540" s="29"/>
      <c r="L540" s="30"/>
      <c r="M540" s="30"/>
      <c r="O540" s="32"/>
      <c r="P540" s="32"/>
      <c r="S540" s="32"/>
    </row>
    <row r="541">
      <c r="D541" s="29"/>
      <c r="F541" s="31"/>
      <c r="G541" s="30"/>
      <c r="H541" s="30"/>
      <c r="J541" s="29"/>
      <c r="L541" s="30"/>
      <c r="M541" s="30"/>
      <c r="O541" s="32"/>
      <c r="P541" s="32"/>
      <c r="S541" s="32"/>
    </row>
    <row r="542">
      <c r="D542" s="29"/>
      <c r="F542" s="31"/>
      <c r="G542" s="30"/>
      <c r="H542" s="30"/>
      <c r="J542" s="29"/>
      <c r="L542" s="30"/>
      <c r="M542" s="30"/>
      <c r="O542" s="32"/>
      <c r="P542" s="32"/>
      <c r="S542" s="32"/>
    </row>
    <row r="543">
      <c r="D543" s="29"/>
      <c r="F543" s="31"/>
      <c r="G543" s="30"/>
      <c r="H543" s="30"/>
      <c r="J543" s="29"/>
      <c r="L543" s="30"/>
      <c r="M543" s="30"/>
      <c r="O543" s="32"/>
      <c r="P543" s="32"/>
      <c r="S543" s="32"/>
    </row>
    <row r="544">
      <c r="D544" s="29"/>
      <c r="F544" s="31"/>
      <c r="G544" s="30"/>
      <c r="H544" s="30"/>
      <c r="J544" s="29"/>
      <c r="L544" s="30"/>
      <c r="M544" s="30"/>
      <c r="O544" s="32"/>
      <c r="P544" s="32"/>
      <c r="S544" s="32"/>
    </row>
    <row r="545">
      <c r="D545" s="29"/>
      <c r="F545" s="31"/>
      <c r="G545" s="30"/>
      <c r="H545" s="30"/>
      <c r="J545" s="29"/>
      <c r="L545" s="30"/>
      <c r="M545" s="30"/>
      <c r="O545" s="32"/>
      <c r="P545" s="32"/>
      <c r="S545" s="32"/>
    </row>
    <row r="546">
      <c r="D546" s="29"/>
      <c r="F546" s="31"/>
      <c r="G546" s="30"/>
      <c r="H546" s="30"/>
      <c r="J546" s="29"/>
      <c r="L546" s="30"/>
      <c r="M546" s="30"/>
      <c r="O546" s="32"/>
      <c r="P546" s="32"/>
      <c r="S546" s="32"/>
    </row>
    <row r="547">
      <c r="D547" s="29"/>
      <c r="F547" s="31"/>
      <c r="G547" s="30"/>
      <c r="H547" s="30"/>
      <c r="J547" s="29"/>
      <c r="L547" s="30"/>
      <c r="M547" s="30"/>
      <c r="O547" s="32"/>
      <c r="P547" s="32"/>
      <c r="S547" s="32"/>
    </row>
    <row r="548">
      <c r="D548" s="29"/>
      <c r="F548" s="31"/>
      <c r="G548" s="30"/>
      <c r="H548" s="30"/>
      <c r="J548" s="29"/>
      <c r="L548" s="30"/>
      <c r="M548" s="30"/>
      <c r="O548" s="32"/>
      <c r="P548" s="32"/>
      <c r="S548" s="32"/>
    </row>
    <row r="549">
      <c r="D549" s="29"/>
      <c r="F549" s="31"/>
      <c r="G549" s="30"/>
      <c r="H549" s="30"/>
      <c r="J549" s="29"/>
      <c r="L549" s="30"/>
      <c r="M549" s="30"/>
      <c r="O549" s="32"/>
      <c r="P549" s="32"/>
      <c r="S549" s="32"/>
    </row>
    <row r="550">
      <c r="D550" s="29"/>
      <c r="F550" s="31"/>
      <c r="G550" s="30"/>
      <c r="H550" s="30"/>
      <c r="J550" s="29"/>
      <c r="L550" s="30"/>
      <c r="M550" s="30"/>
      <c r="O550" s="32"/>
      <c r="P550" s="32"/>
      <c r="S550" s="32"/>
    </row>
    <row r="551">
      <c r="D551" s="29"/>
      <c r="F551" s="31"/>
      <c r="G551" s="30"/>
      <c r="H551" s="30"/>
      <c r="J551" s="29"/>
      <c r="L551" s="30"/>
      <c r="M551" s="30"/>
      <c r="O551" s="32"/>
      <c r="P551" s="32"/>
      <c r="S551" s="32"/>
    </row>
    <row r="552">
      <c r="D552" s="29"/>
      <c r="F552" s="31"/>
      <c r="G552" s="30"/>
      <c r="H552" s="30"/>
      <c r="J552" s="29"/>
      <c r="L552" s="30"/>
      <c r="M552" s="30"/>
      <c r="O552" s="32"/>
      <c r="P552" s="32"/>
      <c r="S552" s="32"/>
    </row>
    <row r="553">
      <c r="D553" s="29"/>
      <c r="F553" s="31"/>
      <c r="G553" s="30"/>
      <c r="H553" s="30"/>
      <c r="J553" s="29"/>
      <c r="L553" s="30"/>
      <c r="M553" s="30"/>
      <c r="O553" s="32"/>
      <c r="P553" s="32"/>
      <c r="S553" s="32"/>
    </row>
    <row r="554">
      <c r="D554" s="29"/>
      <c r="F554" s="31"/>
      <c r="G554" s="30"/>
      <c r="H554" s="30"/>
      <c r="J554" s="29"/>
      <c r="L554" s="30"/>
      <c r="M554" s="30"/>
      <c r="O554" s="32"/>
      <c r="P554" s="32"/>
      <c r="S554" s="32"/>
    </row>
    <row r="555">
      <c r="D555" s="29"/>
      <c r="F555" s="31"/>
      <c r="G555" s="30"/>
      <c r="H555" s="30"/>
      <c r="J555" s="29"/>
      <c r="L555" s="30"/>
      <c r="M555" s="30"/>
      <c r="O555" s="32"/>
      <c r="P555" s="32"/>
      <c r="S555" s="32"/>
    </row>
    <row r="556">
      <c r="D556" s="29"/>
      <c r="F556" s="31"/>
      <c r="G556" s="30"/>
      <c r="H556" s="30"/>
      <c r="J556" s="29"/>
      <c r="L556" s="30"/>
      <c r="M556" s="30"/>
      <c r="O556" s="32"/>
      <c r="P556" s="32"/>
      <c r="S556" s="32"/>
    </row>
    <row r="557">
      <c r="D557" s="29"/>
      <c r="F557" s="31"/>
      <c r="G557" s="30"/>
      <c r="H557" s="30"/>
      <c r="J557" s="29"/>
      <c r="L557" s="30"/>
      <c r="M557" s="30"/>
      <c r="O557" s="32"/>
      <c r="P557" s="32"/>
      <c r="S557" s="32"/>
    </row>
    <row r="558">
      <c r="D558" s="29"/>
      <c r="F558" s="31"/>
      <c r="G558" s="30"/>
      <c r="H558" s="30"/>
      <c r="J558" s="29"/>
      <c r="L558" s="30"/>
      <c r="M558" s="30"/>
      <c r="O558" s="32"/>
      <c r="P558" s="32"/>
      <c r="S558" s="32"/>
    </row>
    <row r="559">
      <c r="D559" s="29"/>
      <c r="F559" s="31"/>
      <c r="G559" s="30"/>
      <c r="H559" s="30"/>
      <c r="J559" s="29"/>
      <c r="L559" s="30"/>
      <c r="M559" s="30"/>
      <c r="O559" s="32"/>
      <c r="P559" s="32"/>
      <c r="S559" s="32"/>
    </row>
    <row r="560">
      <c r="D560" s="29"/>
      <c r="F560" s="31"/>
      <c r="G560" s="30"/>
      <c r="H560" s="30"/>
      <c r="J560" s="29"/>
      <c r="L560" s="30"/>
      <c r="M560" s="30"/>
      <c r="O560" s="32"/>
      <c r="P560" s="32"/>
      <c r="S560" s="32"/>
    </row>
    <row r="561">
      <c r="D561" s="29"/>
      <c r="F561" s="31"/>
      <c r="G561" s="30"/>
      <c r="H561" s="30"/>
      <c r="J561" s="29"/>
      <c r="L561" s="30"/>
      <c r="M561" s="30"/>
      <c r="O561" s="32"/>
      <c r="P561" s="32"/>
      <c r="S561" s="32"/>
    </row>
    <row r="562">
      <c r="D562" s="29"/>
      <c r="F562" s="31"/>
      <c r="G562" s="30"/>
      <c r="H562" s="30"/>
      <c r="J562" s="29"/>
      <c r="L562" s="30"/>
      <c r="M562" s="30"/>
      <c r="O562" s="32"/>
      <c r="P562" s="32"/>
      <c r="S562" s="32"/>
    </row>
    <row r="563">
      <c r="D563" s="29"/>
      <c r="F563" s="31"/>
      <c r="G563" s="30"/>
      <c r="H563" s="30"/>
      <c r="J563" s="29"/>
      <c r="L563" s="30"/>
      <c r="M563" s="30"/>
      <c r="O563" s="32"/>
      <c r="P563" s="32"/>
      <c r="S563" s="32"/>
    </row>
    <row r="564">
      <c r="D564" s="29"/>
      <c r="F564" s="31"/>
      <c r="G564" s="30"/>
      <c r="H564" s="30"/>
      <c r="J564" s="29"/>
      <c r="L564" s="30"/>
      <c r="M564" s="30"/>
      <c r="O564" s="32"/>
      <c r="P564" s="32"/>
      <c r="S564" s="32"/>
    </row>
    <row r="565">
      <c r="D565" s="29"/>
      <c r="F565" s="31"/>
      <c r="G565" s="30"/>
      <c r="H565" s="30"/>
      <c r="J565" s="29"/>
      <c r="L565" s="30"/>
      <c r="M565" s="30"/>
      <c r="O565" s="32"/>
      <c r="P565" s="32"/>
      <c r="S565" s="32"/>
    </row>
    <row r="566">
      <c r="D566" s="29"/>
      <c r="F566" s="31"/>
      <c r="G566" s="30"/>
      <c r="H566" s="30"/>
      <c r="J566" s="29"/>
      <c r="L566" s="30"/>
      <c r="M566" s="30"/>
      <c r="O566" s="32"/>
      <c r="P566" s="32"/>
      <c r="S566" s="32"/>
    </row>
    <row r="567">
      <c r="D567" s="29"/>
      <c r="F567" s="31"/>
      <c r="G567" s="30"/>
      <c r="H567" s="30"/>
      <c r="J567" s="29"/>
      <c r="L567" s="30"/>
      <c r="M567" s="30"/>
      <c r="O567" s="32"/>
      <c r="P567" s="32"/>
      <c r="S567" s="32"/>
    </row>
    <row r="568">
      <c r="D568" s="29"/>
      <c r="F568" s="31"/>
      <c r="G568" s="30"/>
      <c r="H568" s="30"/>
      <c r="J568" s="29"/>
      <c r="L568" s="30"/>
      <c r="M568" s="30"/>
      <c r="O568" s="32"/>
      <c r="P568" s="32"/>
      <c r="S568" s="32"/>
    </row>
    <row r="569">
      <c r="D569" s="29"/>
      <c r="F569" s="31"/>
      <c r="G569" s="30"/>
      <c r="H569" s="30"/>
      <c r="J569" s="29"/>
      <c r="L569" s="30"/>
      <c r="M569" s="30"/>
      <c r="O569" s="32"/>
      <c r="P569" s="32"/>
      <c r="S569" s="32"/>
    </row>
    <row r="570">
      <c r="D570" s="29"/>
      <c r="F570" s="31"/>
      <c r="G570" s="30"/>
      <c r="H570" s="30"/>
      <c r="J570" s="29"/>
      <c r="L570" s="30"/>
      <c r="M570" s="30"/>
      <c r="O570" s="32"/>
      <c r="P570" s="32"/>
      <c r="S570" s="32"/>
    </row>
    <row r="571">
      <c r="D571" s="29"/>
      <c r="F571" s="31"/>
      <c r="G571" s="30"/>
      <c r="H571" s="30"/>
      <c r="J571" s="29"/>
      <c r="L571" s="30"/>
      <c r="M571" s="30"/>
      <c r="O571" s="32"/>
      <c r="P571" s="32"/>
      <c r="S571" s="32"/>
    </row>
    <row r="572">
      <c r="D572" s="29"/>
      <c r="F572" s="31"/>
      <c r="G572" s="30"/>
      <c r="H572" s="30"/>
      <c r="J572" s="29"/>
      <c r="L572" s="30"/>
      <c r="M572" s="30"/>
      <c r="O572" s="32"/>
      <c r="P572" s="32"/>
      <c r="S572" s="32"/>
    </row>
    <row r="573">
      <c r="D573" s="29"/>
      <c r="F573" s="31"/>
      <c r="G573" s="30"/>
      <c r="H573" s="30"/>
      <c r="J573" s="29"/>
      <c r="L573" s="30"/>
      <c r="M573" s="30"/>
      <c r="O573" s="32"/>
      <c r="P573" s="32"/>
      <c r="S573" s="32"/>
    </row>
    <row r="574">
      <c r="D574" s="29"/>
      <c r="F574" s="31"/>
      <c r="G574" s="30"/>
      <c r="H574" s="30"/>
      <c r="J574" s="29"/>
      <c r="L574" s="30"/>
      <c r="M574" s="30"/>
      <c r="O574" s="32"/>
      <c r="P574" s="32"/>
      <c r="S574" s="32"/>
    </row>
    <row r="575">
      <c r="D575" s="29"/>
      <c r="F575" s="31"/>
      <c r="G575" s="30"/>
      <c r="H575" s="30"/>
      <c r="J575" s="29"/>
      <c r="L575" s="30"/>
      <c r="M575" s="30"/>
      <c r="O575" s="32"/>
      <c r="P575" s="32"/>
      <c r="S575" s="32"/>
    </row>
    <row r="576">
      <c r="D576" s="29"/>
      <c r="F576" s="31"/>
      <c r="G576" s="30"/>
      <c r="H576" s="30"/>
      <c r="J576" s="29"/>
      <c r="L576" s="30"/>
      <c r="M576" s="30"/>
      <c r="O576" s="32"/>
      <c r="P576" s="32"/>
      <c r="S576" s="32"/>
    </row>
    <row r="577">
      <c r="D577" s="29"/>
      <c r="F577" s="31"/>
      <c r="G577" s="30"/>
      <c r="H577" s="30"/>
      <c r="J577" s="29"/>
      <c r="L577" s="30"/>
      <c r="M577" s="30"/>
      <c r="O577" s="32"/>
      <c r="P577" s="32"/>
      <c r="S577" s="32"/>
    </row>
    <row r="578">
      <c r="D578" s="29"/>
      <c r="F578" s="31"/>
      <c r="G578" s="30"/>
      <c r="H578" s="30"/>
      <c r="J578" s="29"/>
      <c r="L578" s="30"/>
      <c r="M578" s="30"/>
      <c r="O578" s="32"/>
      <c r="P578" s="32"/>
      <c r="S578" s="32"/>
    </row>
    <row r="579">
      <c r="D579" s="29"/>
      <c r="F579" s="31"/>
      <c r="G579" s="30"/>
      <c r="H579" s="30"/>
      <c r="J579" s="29"/>
      <c r="L579" s="30"/>
      <c r="M579" s="30"/>
      <c r="O579" s="32"/>
      <c r="P579" s="32"/>
      <c r="S579" s="32"/>
    </row>
    <row r="580">
      <c r="D580" s="29"/>
      <c r="F580" s="31"/>
      <c r="G580" s="30"/>
      <c r="H580" s="30"/>
      <c r="J580" s="29"/>
      <c r="L580" s="30"/>
      <c r="M580" s="30"/>
      <c r="O580" s="32"/>
      <c r="P580" s="32"/>
      <c r="S580" s="32"/>
    </row>
    <row r="581">
      <c r="D581" s="29"/>
      <c r="F581" s="31"/>
      <c r="G581" s="30"/>
      <c r="H581" s="30"/>
      <c r="J581" s="29"/>
      <c r="L581" s="30"/>
      <c r="M581" s="30"/>
      <c r="O581" s="32"/>
      <c r="P581" s="32"/>
      <c r="S581" s="32"/>
    </row>
    <row r="582">
      <c r="D582" s="29"/>
      <c r="F582" s="31"/>
      <c r="G582" s="30"/>
      <c r="H582" s="30"/>
      <c r="J582" s="29"/>
      <c r="L582" s="30"/>
      <c r="M582" s="30"/>
      <c r="O582" s="32"/>
      <c r="P582" s="32"/>
      <c r="S582" s="32"/>
    </row>
    <row r="583">
      <c r="D583" s="29"/>
      <c r="F583" s="31"/>
      <c r="G583" s="30"/>
      <c r="H583" s="30"/>
      <c r="J583" s="29"/>
      <c r="L583" s="30"/>
      <c r="M583" s="30"/>
      <c r="O583" s="32"/>
      <c r="P583" s="32"/>
      <c r="S583" s="32"/>
    </row>
    <row r="584">
      <c r="D584" s="29"/>
      <c r="F584" s="31"/>
      <c r="G584" s="30"/>
      <c r="H584" s="30"/>
      <c r="J584" s="29"/>
      <c r="L584" s="30"/>
      <c r="M584" s="30"/>
      <c r="O584" s="32"/>
      <c r="P584" s="32"/>
      <c r="S584" s="32"/>
    </row>
    <row r="585">
      <c r="D585" s="29"/>
      <c r="F585" s="31"/>
      <c r="G585" s="30"/>
      <c r="H585" s="30"/>
      <c r="J585" s="29"/>
      <c r="L585" s="30"/>
      <c r="M585" s="30"/>
      <c r="O585" s="32"/>
      <c r="P585" s="32"/>
      <c r="S585" s="32"/>
    </row>
    <row r="586">
      <c r="D586" s="29"/>
      <c r="F586" s="31"/>
      <c r="G586" s="30"/>
      <c r="H586" s="30"/>
      <c r="J586" s="29"/>
      <c r="L586" s="30"/>
      <c r="M586" s="30"/>
      <c r="O586" s="32"/>
      <c r="P586" s="32"/>
      <c r="S586" s="32"/>
    </row>
    <row r="587">
      <c r="D587" s="29"/>
      <c r="F587" s="31"/>
      <c r="G587" s="30"/>
      <c r="H587" s="30"/>
      <c r="J587" s="29"/>
      <c r="L587" s="30"/>
      <c r="M587" s="30"/>
      <c r="O587" s="32"/>
      <c r="P587" s="32"/>
      <c r="S587" s="32"/>
    </row>
    <row r="588">
      <c r="D588" s="29"/>
      <c r="F588" s="31"/>
      <c r="G588" s="30"/>
      <c r="H588" s="30"/>
      <c r="J588" s="29"/>
      <c r="L588" s="30"/>
      <c r="M588" s="30"/>
      <c r="O588" s="32"/>
      <c r="P588" s="32"/>
      <c r="S588" s="32"/>
    </row>
    <row r="589">
      <c r="D589" s="29"/>
      <c r="F589" s="31"/>
      <c r="G589" s="30"/>
      <c r="H589" s="30"/>
      <c r="J589" s="29"/>
      <c r="L589" s="30"/>
      <c r="M589" s="30"/>
      <c r="O589" s="32"/>
      <c r="P589" s="32"/>
      <c r="S589" s="32"/>
    </row>
    <row r="590">
      <c r="D590" s="29"/>
      <c r="F590" s="31"/>
      <c r="G590" s="30"/>
      <c r="H590" s="30"/>
      <c r="J590" s="29"/>
      <c r="L590" s="30"/>
      <c r="M590" s="30"/>
      <c r="O590" s="32"/>
      <c r="P590" s="32"/>
      <c r="S590" s="32"/>
    </row>
    <row r="591">
      <c r="D591" s="29"/>
      <c r="F591" s="31"/>
      <c r="G591" s="30"/>
      <c r="H591" s="30"/>
      <c r="J591" s="29"/>
      <c r="L591" s="30"/>
      <c r="M591" s="30"/>
      <c r="O591" s="32"/>
      <c r="P591" s="32"/>
      <c r="S591" s="32"/>
    </row>
    <row r="592">
      <c r="D592" s="29"/>
      <c r="F592" s="31"/>
      <c r="G592" s="30"/>
      <c r="H592" s="30"/>
      <c r="J592" s="29"/>
      <c r="L592" s="30"/>
      <c r="M592" s="30"/>
      <c r="O592" s="32"/>
      <c r="P592" s="32"/>
      <c r="S592" s="32"/>
    </row>
    <row r="593">
      <c r="D593" s="29"/>
      <c r="F593" s="31"/>
      <c r="G593" s="30"/>
      <c r="H593" s="30"/>
      <c r="J593" s="29"/>
      <c r="L593" s="30"/>
      <c r="M593" s="30"/>
      <c r="O593" s="32"/>
      <c r="P593" s="32"/>
      <c r="S593" s="32"/>
    </row>
    <row r="594">
      <c r="D594" s="29"/>
      <c r="F594" s="31"/>
      <c r="G594" s="30"/>
      <c r="H594" s="30"/>
      <c r="J594" s="29"/>
      <c r="L594" s="30"/>
      <c r="M594" s="30"/>
      <c r="O594" s="32"/>
      <c r="P594" s="32"/>
      <c r="S594" s="32"/>
    </row>
    <row r="595">
      <c r="D595" s="29"/>
      <c r="F595" s="31"/>
      <c r="G595" s="30"/>
      <c r="H595" s="30"/>
      <c r="J595" s="29"/>
      <c r="L595" s="30"/>
      <c r="M595" s="30"/>
      <c r="O595" s="32"/>
      <c r="P595" s="32"/>
      <c r="S595" s="32"/>
    </row>
    <row r="596">
      <c r="D596" s="29"/>
      <c r="F596" s="31"/>
      <c r="G596" s="30"/>
      <c r="H596" s="30"/>
      <c r="J596" s="29"/>
      <c r="L596" s="30"/>
      <c r="M596" s="30"/>
      <c r="O596" s="32"/>
      <c r="P596" s="32"/>
      <c r="S596" s="32"/>
    </row>
    <row r="597">
      <c r="D597" s="29"/>
      <c r="F597" s="31"/>
      <c r="G597" s="30"/>
      <c r="H597" s="30"/>
      <c r="J597" s="29"/>
      <c r="L597" s="30"/>
      <c r="M597" s="30"/>
      <c r="O597" s="32"/>
      <c r="P597" s="32"/>
      <c r="S597" s="32"/>
    </row>
    <row r="598">
      <c r="D598" s="29"/>
      <c r="F598" s="31"/>
      <c r="G598" s="30"/>
      <c r="H598" s="30"/>
      <c r="J598" s="29"/>
      <c r="L598" s="30"/>
      <c r="M598" s="30"/>
      <c r="O598" s="32"/>
      <c r="P598" s="32"/>
      <c r="S598" s="32"/>
    </row>
    <row r="599">
      <c r="D599" s="29"/>
      <c r="F599" s="31"/>
      <c r="G599" s="30"/>
      <c r="H599" s="30"/>
      <c r="J599" s="29"/>
      <c r="L599" s="30"/>
      <c r="M599" s="30"/>
      <c r="O599" s="32"/>
      <c r="P599" s="32"/>
      <c r="S599" s="32"/>
    </row>
    <row r="600">
      <c r="D600" s="29"/>
      <c r="F600" s="31"/>
      <c r="G600" s="30"/>
      <c r="H600" s="30"/>
      <c r="J600" s="29"/>
      <c r="L600" s="30"/>
      <c r="M600" s="30"/>
      <c r="O600" s="32"/>
      <c r="P600" s="32"/>
      <c r="S600" s="32"/>
    </row>
    <row r="601">
      <c r="D601" s="29"/>
      <c r="F601" s="31"/>
      <c r="G601" s="30"/>
      <c r="H601" s="30"/>
      <c r="J601" s="29"/>
      <c r="L601" s="30"/>
      <c r="M601" s="30"/>
      <c r="O601" s="32"/>
      <c r="P601" s="32"/>
      <c r="S601" s="32"/>
    </row>
    <row r="602">
      <c r="D602" s="29"/>
      <c r="F602" s="31"/>
      <c r="G602" s="30"/>
      <c r="H602" s="30"/>
      <c r="J602" s="29"/>
      <c r="L602" s="30"/>
      <c r="M602" s="30"/>
      <c r="O602" s="32"/>
      <c r="P602" s="32"/>
      <c r="S602" s="32"/>
    </row>
    <row r="603">
      <c r="D603" s="29"/>
      <c r="F603" s="31"/>
      <c r="G603" s="30"/>
      <c r="H603" s="30"/>
      <c r="J603" s="29"/>
      <c r="L603" s="30"/>
      <c r="M603" s="30"/>
      <c r="O603" s="32"/>
      <c r="P603" s="32"/>
      <c r="S603" s="32"/>
    </row>
    <row r="604">
      <c r="D604" s="29"/>
      <c r="F604" s="31"/>
      <c r="G604" s="30"/>
      <c r="H604" s="30"/>
      <c r="J604" s="29"/>
      <c r="L604" s="30"/>
      <c r="M604" s="30"/>
      <c r="O604" s="32"/>
      <c r="P604" s="32"/>
      <c r="S604" s="32"/>
    </row>
    <row r="605">
      <c r="D605" s="29"/>
      <c r="F605" s="31"/>
      <c r="G605" s="30"/>
      <c r="H605" s="30"/>
      <c r="J605" s="29"/>
      <c r="L605" s="30"/>
      <c r="M605" s="30"/>
      <c r="O605" s="32"/>
      <c r="P605" s="32"/>
      <c r="S605" s="32"/>
    </row>
    <row r="606">
      <c r="D606" s="29"/>
      <c r="F606" s="31"/>
      <c r="G606" s="30"/>
      <c r="H606" s="30"/>
      <c r="J606" s="29"/>
      <c r="L606" s="30"/>
      <c r="M606" s="30"/>
      <c r="O606" s="32"/>
      <c r="P606" s="32"/>
      <c r="S606" s="32"/>
    </row>
    <row r="607">
      <c r="D607" s="29"/>
      <c r="F607" s="31"/>
      <c r="G607" s="30"/>
      <c r="H607" s="30"/>
      <c r="J607" s="29"/>
      <c r="L607" s="30"/>
      <c r="M607" s="30"/>
      <c r="O607" s="32"/>
      <c r="P607" s="32"/>
      <c r="S607" s="32"/>
    </row>
    <row r="608">
      <c r="D608" s="29"/>
      <c r="F608" s="31"/>
      <c r="G608" s="30"/>
      <c r="H608" s="30"/>
      <c r="J608" s="29"/>
      <c r="L608" s="30"/>
      <c r="M608" s="30"/>
      <c r="O608" s="32"/>
      <c r="P608" s="32"/>
      <c r="S608" s="32"/>
    </row>
    <row r="609">
      <c r="D609" s="29"/>
      <c r="F609" s="31"/>
      <c r="G609" s="30"/>
      <c r="H609" s="30"/>
      <c r="J609" s="29"/>
      <c r="L609" s="30"/>
      <c r="M609" s="30"/>
      <c r="O609" s="32"/>
      <c r="P609" s="32"/>
      <c r="S609" s="32"/>
    </row>
    <row r="610">
      <c r="D610" s="29"/>
      <c r="F610" s="31"/>
      <c r="G610" s="30"/>
      <c r="H610" s="30"/>
      <c r="J610" s="29"/>
      <c r="L610" s="30"/>
      <c r="M610" s="30"/>
      <c r="O610" s="32"/>
      <c r="P610" s="32"/>
      <c r="S610" s="32"/>
    </row>
    <row r="611">
      <c r="D611" s="29"/>
      <c r="F611" s="31"/>
      <c r="G611" s="30"/>
      <c r="H611" s="30"/>
      <c r="J611" s="29"/>
      <c r="L611" s="30"/>
      <c r="M611" s="30"/>
      <c r="O611" s="32"/>
      <c r="P611" s="32"/>
      <c r="S611" s="32"/>
    </row>
    <row r="612">
      <c r="D612" s="29"/>
      <c r="F612" s="31"/>
      <c r="G612" s="30"/>
      <c r="H612" s="30"/>
      <c r="J612" s="29"/>
      <c r="L612" s="30"/>
      <c r="M612" s="30"/>
      <c r="O612" s="32"/>
      <c r="P612" s="32"/>
      <c r="S612" s="32"/>
    </row>
    <row r="613">
      <c r="D613" s="29"/>
      <c r="F613" s="31"/>
      <c r="G613" s="30"/>
      <c r="H613" s="30"/>
      <c r="J613" s="29"/>
      <c r="L613" s="30"/>
      <c r="M613" s="30"/>
      <c r="O613" s="32"/>
      <c r="P613" s="32"/>
      <c r="S613" s="32"/>
    </row>
    <row r="614">
      <c r="D614" s="29"/>
      <c r="F614" s="31"/>
      <c r="G614" s="30"/>
      <c r="H614" s="30"/>
      <c r="J614" s="29"/>
      <c r="L614" s="30"/>
      <c r="M614" s="30"/>
      <c r="O614" s="32"/>
      <c r="P614" s="32"/>
      <c r="S614" s="32"/>
    </row>
    <row r="615">
      <c r="D615" s="29"/>
      <c r="F615" s="31"/>
      <c r="G615" s="30"/>
      <c r="H615" s="30"/>
      <c r="J615" s="29"/>
      <c r="L615" s="30"/>
      <c r="M615" s="30"/>
      <c r="O615" s="32"/>
      <c r="P615" s="32"/>
      <c r="S615" s="32"/>
    </row>
    <row r="616">
      <c r="D616" s="29"/>
      <c r="F616" s="31"/>
      <c r="G616" s="30"/>
      <c r="H616" s="30"/>
      <c r="J616" s="29"/>
      <c r="L616" s="30"/>
      <c r="M616" s="30"/>
      <c r="O616" s="32"/>
      <c r="P616" s="32"/>
      <c r="S616" s="32"/>
    </row>
    <row r="617">
      <c r="D617" s="29"/>
      <c r="F617" s="31"/>
      <c r="G617" s="30"/>
      <c r="H617" s="30"/>
      <c r="J617" s="29"/>
      <c r="L617" s="30"/>
      <c r="M617" s="30"/>
      <c r="O617" s="32"/>
      <c r="P617" s="32"/>
      <c r="S617" s="32"/>
    </row>
    <row r="618">
      <c r="D618" s="29"/>
      <c r="F618" s="31"/>
      <c r="G618" s="30"/>
      <c r="H618" s="30"/>
      <c r="J618" s="29"/>
      <c r="L618" s="30"/>
      <c r="M618" s="30"/>
      <c r="O618" s="32"/>
      <c r="P618" s="32"/>
      <c r="S618" s="32"/>
    </row>
    <row r="619">
      <c r="D619" s="29"/>
      <c r="F619" s="31"/>
      <c r="G619" s="30"/>
      <c r="H619" s="30"/>
      <c r="J619" s="29"/>
      <c r="L619" s="30"/>
      <c r="M619" s="30"/>
      <c r="O619" s="32"/>
      <c r="P619" s="32"/>
      <c r="S619" s="32"/>
    </row>
    <row r="620">
      <c r="D620" s="29"/>
      <c r="F620" s="31"/>
      <c r="G620" s="30"/>
      <c r="H620" s="30"/>
      <c r="J620" s="29"/>
      <c r="L620" s="30"/>
      <c r="M620" s="30"/>
      <c r="O620" s="32"/>
      <c r="P620" s="32"/>
      <c r="S620" s="32"/>
    </row>
    <row r="621">
      <c r="D621" s="29"/>
      <c r="F621" s="31"/>
      <c r="G621" s="30"/>
      <c r="H621" s="30"/>
      <c r="J621" s="29"/>
      <c r="L621" s="30"/>
      <c r="M621" s="30"/>
      <c r="O621" s="32"/>
      <c r="P621" s="32"/>
      <c r="S621" s="32"/>
    </row>
    <row r="622">
      <c r="D622" s="29"/>
      <c r="F622" s="31"/>
      <c r="G622" s="30"/>
      <c r="H622" s="30"/>
      <c r="J622" s="29"/>
      <c r="L622" s="30"/>
      <c r="M622" s="30"/>
      <c r="O622" s="32"/>
      <c r="P622" s="32"/>
      <c r="S622" s="32"/>
    </row>
    <row r="623">
      <c r="D623" s="29"/>
      <c r="F623" s="31"/>
      <c r="G623" s="30"/>
      <c r="H623" s="30"/>
      <c r="J623" s="29"/>
      <c r="L623" s="30"/>
      <c r="M623" s="30"/>
      <c r="O623" s="32"/>
      <c r="P623" s="32"/>
      <c r="S623" s="32"/>
    </row>
    <row r="624">
      <c r="D624" s="29"/>
      <c r="F624" s="31"/>
      <c r="G624" s="30"/>
      <c r="H624" s="30"/>
      <c r="J624" s="29"/>
      <c r="L624" s="30"/>
      <c r="M624" s="30"/>
      <c r="O624" s="32"/>
      <c r="P624" s="32"/>
      <c r="S624" s="32"/>
    </row>
    <row r="625">
      <c r="D625" s="29"/>
      <c r="F625" s="31"/>
      <c r="G625" s="30"/>
      <c r="H625" s="30"/>
      <c r="J625" s="29"/>
      <c r="L625" s="30"/>
      <c r="M625" s="30"/>
      <c r="O625" s="32"/>
      <c r="P625" s="32"/>
      <c r="S625" s="32"/>
    </row>
    <row r="626">
      <c r="D626" s="29"/>
      <c r="F626" s="31"/>
      <c r="G626" s="30"/>
      <c r="H626" s="30"/>
      <c r="J626" s="29"/>
      <c r="L626" s="30"/>
      <c r="M626" s="30"/>
      <c r="O626" s="32"/>
      <c r="P626" s="32"/>
      <c r="S626" s="32"/>
    </row>
    <row r="627">
      <c r="D627" s="29"/>
      <c r="F627" s="31"/>
      <c r="G627" s="30"/>
      <c r="H627" s="30"/>
      <c r="J627" s="29"/>
      <c r="L627" s="30"/>
      <c r="M627" s="30"/>
      <c r="O627" s="32"/>
      <c r="P627" s="32"/>
      <c r="S627" s="32"/>
    </row>
    <row r="628">
      <c r="D628" s="29"/>
      <c r="F628" s="31"/>
      <c r="G628" s="30"/>
      <c r="H628" s="30"/>
      <c r="J628" s="29"/>
      <c r="L628" s="30"/>
      <c r="M628" s="30"/>
      <c r="O628" s="32"/>
      <c r="P628" s="32"/>
      <c r="S628" s="32"/>
    </row>
    <row r="629">
      <c r="D629" s="29"/>
      <c r="F629" s="31"/>
      <c r="G629" s="30"/>
      <c r="H629" s="30"/>
      <c r="J629" s="29"/>
      <c r="L629" s="30"/>
      <c r="M629" s="30"/>
      <c r="O629" s="32"/>
      <c r="P629" s="32"/>
      <c r="S629" s="32"/>
    </row>
    <row r="630">
      <c r="D630" s="29"/>
      <c r="F630" s="31"/>
      <c r="G630" s="30"/>
      <c r="H630" s="30"/>
      <c r="J630" s="29"/>
      <c r="L630" s="30"/>
      <c r="M630" s="30"/>
      <c r="O630" s="32"/>
      <c r="P630" s="32"/>
      <c r="S630" s="32"/>
    </row>
    <row r="631">
      <c r="D631" s="29"/>
      <c r="F631" s="31"/>
      <c r="G631" s="30"/>
      <c r="H631" s="30"/>
      <c r="J631" s="29"/>
      <c r="L631" s="30"/>
      <c r="M631" s="30"/>
      <c r="O631" s="32"/>
      <c r="P631" s="32"/>
      <c r="S631" s="32"/>
    </row>
    <row r="632">
      <c r="D632" s="29"/>
      <c r="F632" s="31"/>
      <c r="G632" s="30"/>
      <c r="H632" s="30"/>
      <c r="J632" s="29"/>
      <c r="L632" s="30"/>
      <c r="M632" s="30"/>
      <c r="O632" s="32"/>
      <c r="P632" s="32"/>
      <c r="S632" s="32"/>
    </row>
    <row r="633">
      <c r="D633" s="29"/>
      <c r="F633" s="31"/>
      <c r="G633" s="30"/>
      <c r="H633" s="30"/>
      <c r="J633" s="29"/>
      <c r="L633" s="30"/>
      <c r="M633" s="30"/>
      <c r="O633" s="32"/>
      <c r="P633" s="32"/>
      <c r="S633" s="32"/>
    </row>
    <row r="634">
      <c r="D634" s="29"/>
      <c r="F634" s="31"/>
      <c r="G634" s="30"/>
      <c r="H634" s="30"/>
      <c r="J634" s="29"/>
      <c r="L634" s="30"/>
      <c r="M634" s="30"/>
      <c r="O634" s="32"/>
      <c r="P634" s="32"/>
      <c r="S634" s="32"/>
    </row>
    <row r="635">
      <c r="D635" s="29"/>
      <c r="F635" s="31"/>
      <c r="G635" s="30"/>
      <c r="H635" s="30"/>
      <c r="J635" s="29"/>
      <c r="L635" s="30"/>
      <c r="M635" s="30"/>
      <c r="O635" s="32"/>
      <c r="P635" s="32"/>
      <c r="S635" s="32"/>
    </row>
    <row r="636">
      <c r="D636" s="29"/>
      <c r="F636" s="31"/>
      <c r="G636" s="30"/>
      <c r="H636" s="30"/>
      <c r="J636" s="29"/>
      <c r="L636" s="30"/>
      <c r="M636" s="30"/>
      <c r="O636" s="32"/>
      <c r="P636" s="32"/>
      <c r="S636" s="32"/>
    </row>
    <row r="637">
      <c r="D637" s="29"/>
      <c r="F637" s="31"/>
      <c r="G637" s="30"/>
      <c r="H637" s="30"/>
      <c r="J637" s="29"/>
      <c r="L637" s="30"/>
      <c r="M637" s="30"/>
      <c r="O637" s="32"/>
      <c r="P637" s="32"/>
      <c r="S637" s="32"/>
    </row>
    <row r="638">
      <c r="D638" s="29"/>
      <c r="F638" s="31"/>
      <c r="G638" s="30"/>
      <c r="H638" s="30"/>
      <c r="J638" s="29"/>
      <c r="L638" s="30"/>
      <c r="M638" s="30"/>
      <c r="O638" s="32"/>
      <c r="P638" s="32"/>
      <c r="S638" s="32"/>
    </row>
    <row r="639">
      <c r="D639" s="29"/>
      <c r="F639" s="31"/>
      <c r="G639" s="30"/>
      <c r="H639" s="30"/>
      <c r="J639" s="29"/>
      <c r="L639" s="30"/>
      <c r="M639" s="30"/>
      <c r="O639" s="32"/>
      <c r="P639" s="32"/>
      <c r="S639" s="32"/>
    </row>
    <row r="640">
      <c r="D640" s="29"/>
      <c r="F640" s="31"/>
      <c r="G640" s="30"/>
      <c r="H640" s="30"/>
      <c r="J640" s="29"/>
      <c r="L640" s="30"/>
      <c r="M640" s="30"/>
      <c r="O640" s="32"/>
      <c r="P640" s="32"/>
      <c r="S640" s="32"/>
    </row>
    <row r="641">
      <c r="D641" s="29"/>
      <c r="F641" s="31"/>
      <c r="G641" s="30"/>
      <c r="H641" s="30"/>
      <c r="J641" s="29"/>
      <c r="L641" s="30"/>
      <c r="M641" s="30"/>
      <c r="O641" s="32"/>
      <c r="P641" s="32"/>
      <c r="S641" s="32"/>
    </row>
    <row r="642">
      <c r="D642" s="29"/>
      <c r="F642" s="31"/>
      <c r="G642" s="30"/>
      <c r="H642" s="30"/>
      <c r="J642" s="29"/>
      <c r="L642" s="30"/>
      <c r="M642" s="30"/>
      <c r="O642" s="32"/>
      <c r="P642" s="32"/>
      <c r="S642" s="32"/>
    </row>
    <row r="643">
      <c r="D643" s="29"/>
      <c r="F643" s="31"/>
      <c r="G643" s="30"/>
      <c r="H643" s="30"/>
      <c r="J643" s="29"/>
      <c r="L643" s="30"/>
      <c r="M643" s="30"/>
      <c r="O643" s="32"/>
      <c r="P643" s="32"/>
      <c r="S643" s="32"/>
    </row>
    <row r="644">
      <c r="D644" s="29"/>
      <c r="F644" s="31"/>
      <c r="G644" s="30"/>
      <c r="H644" s="30"/>
      <c r="J644" s="29"/>
      <c r="L644" s="30"/>
      <c r="M644" s="30"/>
      <c r="O644" s="32"/>
      <c r="P644" s="32"/>
      <c r="S644" s="32"/>
    </row>
    <row r="645">
      <c r="D645" s="29"/>
      <c r="F645" s="31"/>
      <c r="G645" s="30"/>
      <c r="H645" s="30"/>
      <c r="J645" s="29"/>
      <c r="L645" s="30"/>
      <c r="M645" s="30"/>
      <c r="O645" s="32"/>
      <c r="P645" s="32"/>
      <c r="S645" s="32"/>
    </row>
    <row r="646">
      <c r="D646" s="29"/>
      <c r="F646" s="31"/>
      <c r="G646" s="30"/>
      <c r="H646" s="30"/>
      <c r="J646" s="29"/>
      <c r="L646" s="30"/>
      <c r="M646" s="30"/>
      <c r="O646" s="32"/>
      <c r="P646" s="32"/>
      <c r="S646" s="32"/>
    </row>
    <row r="647">
      <c r="D647" s="29"/>
      <c r="F647" s="31"/>
      <c r="G647" s="30"/>
      <c r="H647" s="30"/>
      <c r="J647" s="29"/>
      <c r="L647" s="30"/>
      <c r="M647" s="30"/>
      <c r="O647" s="32"/>
      <c r="P647" s="32"/>
      <c r="S647" s="32"/>
    </row>
    <row r="648">
      <c r="D648" s="29"/>
      <c r="F648" s="31"/>
      <c r="G648" s="30"/>
      <c r="H648" s="30"/>
      <c r="J648" s="29"/>
      <c r="L648" s="30"/>
      <c r="M648" s="30"/>
      <c r="O648" s="32"/>
      <c r="P648" s="32"/>
      <c r="S648" s="32"/>
    </row>
    <row r="649">
      <c r="D649" s="29"/>
      <c r="F649" s="31"/>
      <c r="G649" s="30"/>
      <c r="H649" s="30"/>
      <c r="J649" s="29"/>
      <c r="L649" s="30"/>
      <c r="M649" s="30"/>
      <c r="O649" s="32"/>
      <c r="P649" s="32"/>
      <c r="S649" s="32"/>
    </row>
    <row r="650">
      <c r="D650" s="29"/>
      <c r="F650" s="31"/>
      <c r="G650" s="30"/>
      <c r="H650" s="30"/>
      <c r="J650" s="29"/>
      <c r="L650" s="30"/>
      <c r="M650" s="30"/>
      <c r="O650" s="32"/>
      <c r="P650" s="32"/>
      <c r="S650" s="32"/>
    </row>
    <row r="651">
      <c r="D651" s="29"/>
      <c r="F651" s="31"/>
      <c r="G651" s="30"/>
      <c r="H651" s="30"/>
      <c r="J651" s="29"/>
      <c r="L651" s="30"/>
      <c r="M651" s="30"/>
      <c r="O651" s="32"/>
      <c r="P651" s="32"/>
      <c r="S651" s="32"/>
    </row>
    <row r="652">
      <c r="D652" s="29"/>
      <c r="F652" s="31"/>
      <c r="G652" s="30"/>
      <c r="H652" s="30"/>
      <c r="J652" s="29"/>
      <c r="L652" s="30"/>
      <c r="M652" s="30"/>
      <c r="O652" s="32"/>
      <c r="P652" s="32"/>
      <c r="S652" s="32"/>
    </row>
    <row r="653">
      <c r="D653" s="29"/>
      <c r="F653" s="31"/>
      <c r="G653" s="30"/>
      <c r="H653" s="30"/>
      <c r="J653" s="29"/>
      <c r="L653" s="30"/>
      <c r="M653" s="30"/>
      <c r="O653" s="32"/>
      <c r="P653" s="32"/>
      <c r="S653" s="32"/>
    </row>
    <row r="654">
      <c r="D654" s="29"/>
      <c r="F654" s="31"/>
      <c r="G654" s="30"/>
      <c r="H654" s="30"/>
      <c r="J654" s="29"/>
      <c r="L654" s="30"/>
      <c r="M654" s="30"/>
      <c r="O654" s="32"/>
      <c r="P654" s="32"/>
      <c r="S654" s="32"/>
    </row>
    <row r="655">
      <c r="D655" s="29"/>
      <c r="F655" s="31"/>
      <c r="G655" s="30"/>
      <c r="H655" s="30"/>
      <c r="J655" s="29"/>
      <c r="L655" s="30"/>
      <c r="M655" s="30"/>
      <c r="O655" s="32"/>
      <c r="P655" s="32"/>
      <c r="S655" s="32"/>
    </row>
    <row r="656">
      <c r="D656" s="29"/>
      <c r="F656" s="31"/>
      <c r="G656" s="30"/>
      <c r="H656" s="30"/>
      <c r="J656" s="29"/>
      <c r="L656" s="30"/>
      <c r="M656" s="30"/>
      <c r="O656" s="32"/>
      <c r="P656" s="32"/>
      <c r="S656" s="32"/>
    </row>
    <row r="657">
      <c r="D657" s="29"/>
      <c r="F657" s="31"/>
      <c r="G657" s="30"/>
      <c r="H657" s="30"/>
      <c r="J657" s="29"/>
      <c r="L657" s="30"/>
      <c r="M657" s="30"/>
      <c r="O657" s="32"/>
      <c r="P657" s="32"/>
      <c r="S657" s="32"/>
    </row>
    <row r="658">
      <c r="D658" s="29"/>
      <c r="F658" s="31"/>
      <c r="G658" s="30"/>
      <c r="H658" s="30"/>
      <c r="J658" s="29"/>
      <c r="L658" s="30"/>
      <c r="M658" s="30"/>
      <c r="O658" s="32"/>
      <c r="P658" s="32"/>
      <c r="S658" s="32"/>
    </row>
    <row r="659">
      <c r="D659" s="29"/>
      <c r="F659" s="31"/>
      <c r="G659" s="30"/>
      <c r="H659" s="30"/>
      <c r="J659" s="29"/>
      <c r="L659" s="30"/>
      <c r="M659" s="30"/>
      <c r="O659" s="32"/>
      <c r="P659" s="32"/>
      <c r="S659" s="32"/>
    </row>
    <row r="660">
      <c r="D660" s="29"/>
      <c r="F660" s="31"/>
      <c r="G660" s="30"/>
      <c r="H660" s="30"/>
      <c r="J660" s="29"/>
      <c r="L660" s="30"/>
      <c r="M660" s="30"/>
      <c r="O660" s="32"/>
      <c r="P660" s="32"/>
      <c r="S660" s="32"/>
    </row>
    <row r="661">
      <c r="D661" s="29"/>
      <c r="F661" s="31"/>
      <c r="G661" s="30"/>
      <c r="H661" s="30"/>
      <c r="J661" s="29"/>
      <c r="L661" s="30"/>
      <c r="M661" s="30"/>
      <c r="O661" s="32"/>
      <c r="P661" s="32"/>
      <c r="S661" s="32"/>
    </row>
    <row r="662">
      <c r="D662" s="29"/>
      <c r="F662" s="31"/>
      <c r="G662" s="30"/>
      <c r="H662" s="30"/>
      <c r="J662" s="29"/>
      <c r="L662" s="30"/>
      <c r="M662" s="30"/>
      <c r="O662" s="32"/>
      <c r="P662" s="32"/>
      <c r="S662" s="32"/>
    </row>
    <row r="663">
      <c r="D663" s="29"/>
      <c r="F663" s="31"/>
      <c r="G663" s="30"/>
      <c r="H663" s="30"/>
      <c r="J663" s="29"/>
      <c r="L663" s="30"/>
      <c r="M663" s="30"/>
      <c r="O663" s="32"/>
      <c r="P663" s="32"/>
      <c r="S663" s="32"/>
    </row>
    <row r="664">
      <c r="D664" s="29"/>
      <c r="F664" s="31"/>
      <c r="G664" s="30"/>
      <c r="H664" s="30"/>
      <c r="J664" s="29"/>
      <c r="L664" s="30"/>
      <c r="M664" s="30"/>
      <c r="O664" s="32"/>
      <c r="P664" s="32"/>
      <c r="S664" s="32"/>
    </row>
    <row r="665">
      <c r="D665" s="29"/>
      <c r="F665" s="31"/>
      <c r="G665" s="30"/>
      <c r="H665" s="30"/>
      <c r="J665" s="29"/>
      <c r="L665" s="30"/>
      <c r="M665" s="30"/>
      <c r="O665" s="32"/>
      <c r="P665" s="32"/>
      <c r="S665" s="32"/>
    </row>
    <row r="666">
      <c r="D666" s="29"/>
      <c r="F666" s="31"/>
      <c r="G666" s="30"/>
      <c r="H666" s="30"/>
      <c r="J666" s="29"/>
      <c r="L666" s="30"/>
      <c r="M666" s="30"/>
      <c r="O666" s="32"/>
      <c r="P666" s="32"/>
      <c r="S666" s="32"/>
    </row>
    <row r="667">
      <c r="D667" s="29"/>
      <c r="F667" s="31"/>
      <c r="G667" s="30"/>
      <c r="H667" s="30"/>
      <c r="J667" s="29"/>
      <c r="L667" s="30"/>
      <c r="M667" s="30"/>
      <c r="O667" s="32"/>
      <c r="P667" s="32"/>
      <c r="S667" s="32"/>
    </row>
    <row r="668">
      <c r="D668" s="29"/>
      <c r="F668" s="31"/>
      <c r="G668" s="30"/>
      <c r="H668" s="30"/>
      <c r="J668" s="29"/>
      <c r="L668" s="30"/>
      <c r="M668" s="30"/>
      <c r="O668" s="32"/>
      <c r="P668" s="32"/>
      <c r="S668" s="32"/>
    </row>
    <row r="669">
      <c r="D669" s="29"/>
      <c r="F669" s="31"/>
      <c r="G669" s="30"/>
      <c r="H669" s="30"/>
      <c r="J669" s="29"/>
      <c r="L669" s="30"/>
      <c r="M669" s="30"/>
      <c r="O669" s="32"/>
      <c r="P669" s="32"/>
      <c r="S669" s="32"/>
    </row>
    <row r="670">
      <c r="D670" s="29"/>
      <c r="F670" s="31"/>
      <c r="G670" s="30"/>
      <c r="H670" s="30"/>
      <c r="J670" s="29"/>
      <c r="L670" s="30"/>
      <c r="M670" s="30"/>
      <c r="O670" s="32"/>
      <c r="P670" s="32"/>
      <c r="S670" s="32"/>
    </row>
    <row r="671">
      <c r="D671" s="29"/>
      <c r="F671" s="31"/>
      <c r="G671" s="30"/>
      <c r="H671" s="30"/>
      <c r="J671" s="29"/>
      <c r="L671" s="30"/>
      <c r="M671" s="30"/>
      <c r="O671" s="32"/>
      <c r="P671" s="32"/>
      <c r="S671" s="32"/>
    </row>
    <row r="672">
      <c r="D672" s="29"/>
      <c r="F672" s="31"/>
      <c r="G672" s="30"/>
      <c r="H672" s="30"/>
      <c r="J672" s="29"/>
      <c r="L672" s="30"/>
      <c r="M672" s="30"/>
      <c r="O672" s="32"/>
      <c r="P672" s="32"/>
      <c r="S672" s="32"/>
    </row>
    <row r="673">
      <c r="D673" s="29"/>
      <c r="F673" s="31"/>
      <c r="G673" s="30"/>
      <c r="H673" s="30"/>
      <c r="J673" s="29"/>
      <c r="L673" s="30"/>
      <c r="M673" s="30"/>
      <c r="O673" s="32"/>
      <c r="P673" s="32"/>
      <c r="S673" s="32"/>
    </row>
    <row r="674">
      <c r="D674" s="29"/>
      <c r="F674" s="31"/>
      <c r="G674" s="30"/>
      <c r="H674" s="30"/>
      <c r="J674" s="29"/>
      <c r="L674" s="30"/>
      <c r="M674" s="30"/>
      <c r="O674" s="32"/>
      <c r="P674" s="32"/>
      <c r="S674" s="32"/>
    </row>
    <row r="675">
      <c r="D675" s="29"/>
      <c r="F675" s="31"/>
      <c r="G675" s="30"/>
      <c r="H675" s="30"/>
      <c r="J675" s="29"/>
      <c r="L675" s="30"/>
      <c r="M675" s="30"/>
      <c r="O675" s="32"/>
      <c r="P675" s="32"/>
      <c r="S675" s="32"/>
    </row>
    <row r="676">
      <c r="D676" s="29"/>
      <c r="F676" s="31"/>
      <c r="G676" s="30"/>
      <c r="H676" s="30"/>
      <c r="J676" s="29"/>
      <c r="L676" s="30"/>
      <c r="M676" s="30"/>
      <c r="O676" s="32"/>
      <c r="P676" s="32"/>
      <c r="S676" s="32"/>
    </row>
    <row r="677">
      <c r="D677" s="29"/>
      <c r="F677" s="31"/>
      <c r="G677" s="30"/>
      <c r="H677" s="30"/>
      <c r="J677" s="29"/>
      <c r="L677" s="30"/>
      <c r="M677" s="30"/>
      <c r="O677" s="32"/>
      <c r="P677" s="32"/>
      <c r="S677" s="32"/>
    </row>
    <row r="678">
      <c r="D678" s="29"/>
      <c r="F678" s="31"/>
      <c r="G678" s="30"/>
      <c r="H678" s="30"/>
      <c r="J678" s="29"/>
      <c r="L678" s="30"/>
      <c r="M678" s="30"/>
      <c r="O678" s="32"/>
      <c r="P678" s="32"/>
      <c r="S678" s="32"/>
    </row>
    <row r="679">
      <c r="D679" s="29"/>
      <c r="F679" s="31"/>
      <c r="G679" s="30"/>
      <c r="H679" s="30"/>
      <c r="J679" s="29"/>
      <c r="L679" s="30"/>
      <c r="M679" s="30"/>
      <c r="O679" s="32"/>
      <c r="P679" s="32"/>
      <c r="S679" s="32"/>
    </row>
    <row r="680">
      <c r="D680" s="29"/>
      <c r="F680" s="31"/>
      <c r="G680" s="30"/>
      <c r="H680" s="30"/>
      <c r="J680" s="29"/>
      <c r="L680" s="30"/>
      <c r="M680" s="30"/>
      <c r="O680" s="32"/>
      <c r="P680" s="32"/>
      <c r="S680" s="32"/>
    </row>
    <row r="681">
      <c r="D681" s="29"/>
      <c r="F681" s="31"/>
      <c r="G681" s="30"/>
      <c r="H681" s="30"/>
      <c r="J681" s="29"/>
      <c r="L681" s="30"/>
      <c r="M681" s="30"/>
      <c r="O681" s="32"/>
      <c r="P681" s="32"/>
      <c r="S681" s="32"/>
    </row>
    <row r="682">
      <c r="D682" s="29"/>
      <c r="F682" s="31"/>
      <c r="G682" s="30"/>
      <c r="H682" s="30"/>
      <c r="J682" s="29"/>
      <c r="L682" s="30"/>
      <c r="M682" s="30"/>
      <c r="O682" s="32"/>
      <c r="P682" s="32"/>
      <c r="S682" s="32"/>
    </row>
    <row r="683">
      <c r="D683" s="29"/>
      <c r="F683" s="31"/>
      <c r="G683" s="30"/>
      <c r="H683" s="30"/>
      <c r="J683" s="29"/>
      <c r="L683" s="30"/>
      <c r="M683" s="30"/>
      <c r="O683" s="32"/>
      <c r="P683" s="32"/>
      <c r="S683" s="32"/>
    </row>
    <row r="684">
      <c r="D684" s="29"/>
      <c r="F684" s="31"/>
      <c r="G684" s="30"/>
      <c r="H684" s="30"/>
      <c r="J684" s="29"/>
      <c r="L684" s="30"/>
      <c r="M684" s="30"/>
      <c r="O684" s="32"/>
      <c r="P684" s="32"/>
      <c r="S684" s="32"/>
    </row>
    <row r="685">
      <c r="D685" s="29"/>
      <c r="F685" s="31"/>
      <c r="G685" s="30"/>
      <c r="H685" s="30"/>
      <c r="J685" s="29"/>
      <c r="L685" s="30"/>
      <c r="M685" s="30"/>
      <c r="O685" s="32"/>
      <c r="P685" s="32"/>
      <c r="S685" s="32"/>
    </row>
    <row r="686">
      <c r="D686" s="29"/>
      <c r="F686" s="31"/>
      <c r="G686" s="30"/>
      <c r="H686" s="30"/>
      <c r="J686" s="29"/>
      <c r="L686" s="30"/>
      <c r="M686" s="30"/>
      <c r="O686" s="32"/>
      <c r="P686" s="32"/>
      <c r="S686" s="32"/>
    </row>
    <row r="687">
      <c r="D687" s="29"/>
      <c r="F687" s="31"/>
      <c r="G687" s="30"/>
      <c r="H687" s="30"/>
      <c r="J687" s="29"/>
      <c r="L687" s="30"/>
      <c r="M687" s="30"/>
      <c r="O687" s="32"/>
      <c r="P687" s="32"/>
      <c r="S687" s="32"/>
    </row>
    <row r="688">
      <c r="D688" s="29"/>
      <c r="F688" s="31"/>
      <c r="G688" s="30"/>
      <c r="H688" s="30"/>
      <c r="J688" s="29"/>
      <c r="L688" s="30"/>
      <c r="M688" s="30"/>
      <c r="O688" s="32"/>
      <c r="P688" s="32"/>
      <c r="S688" s="32"/>
    </row>
    <row r="689">
      <c r="D689" s="29"/>
      <c r="F689" s="31"/>
      <c r="G689" s="30"/>
      <c r="H689" s="30"/>
      <c r="J689" s="29"/>
      <c r="L689" s="30"/>
      <c r="M689" s="30"/>
      <c r="O689" s="32"/>
      <c r="P689" s="32"/>
      <c r="S689" s="32"/>
    </row>
    <row r="690">
      <c r="D690" s="29"/>
      <c r="F690" s="31"/>
      <c r="G690" s="30"/>
      <c r="H690" s="30"/>
      <c r="J690" s="29"/>
      <c r="L690" s="30"/>
      <c r="M690" s="30"/>
      <c r="O690" s="32"/>
      <c r="P690" s="32"/>
      <c r="S690" s="32"/>
    </row>
    <row r="691">
      <c r="D691" s="29"/>
      <c r="F691" s="31"/>
      <c r="G691" s="30"/>
      <c r="H691" s="30"/>
      <c r="J691" s="29"/>
      <c r="L691" s="30"/>
      <c r="M691" s="30"/>
      <c r="O691" s="32"/>
      <c r="P691" s="32"/>
      <c r="S691" s="32"/>
    </row>
    <row r="692">
      <c r="D692" s="29"/>
      <c r="F692" s="31"/>
      <c r="G692" s="30"/>
      <c r="H692" s="30"/>
      <c r="J692" s="29"/>
      <c r="L692" s="30"/>
      <c r="M692" s="30"/>
      <c r="O692" s="32"/>
      <c r="P692" s="32"/>
      <c r="S692" s="32"/>
    </row>
    <row r="693">
      <c r="D693" s="29"/>
      <c r="F693" s="31"/>
      <c r="G693" s="30"/>
      <c r="H693" s="30"/>
      <c r="J693" s="29"/>
      <c r="L693" s="30"/>
      <c r="M693" s="30"/>
      <c r="O693" s="32"/>
      <c r="P693" s="32"/>
      <c r="S693" s="32"/>
    </row>
    <row r="694">
      <c r="D694" s="29"/>
      <c r="F694" s="31"/>
      <c r="G694" s="30"/>
      <c r="H694" s="30"/>
      <c r="J694" s="29"/>
      <c r="L694" s="30"/>
      <c r="M694" s="30"/>
      <c r="O694" s="32"/>
      <c r="P694" s="32"/>
      <c r="S694" s="32"/>
    </row>
    <row r="695">
      <c r="D695" s="29"/>
      <c r="F695" s="31"/>
      <c r="G695" s="30"/>
      <c r="H695" s="30"/>
      <c r="J695" s="29"/>
      <c r="L695" s="30"/>
      <c r="M695" s="30"/>
      <c r="O695" s="32"/>
      <c r="P695" s="32"/>
      <c r="S695" s="32"/>
    </row>
    <row r="696">
      <c r="D696" s="29"/>
      <c r="F696" s="31"/>
      <c r="G696" s="30"/>
      <c r="H696" s="30"/>
      <c r="J696" s="29"/>
      <c r="L696" s="30"/>
      <c r="M696" s="30"/>
      <c r="O696" s="32"/>
      <c r="P696" s="32"/>
      <c r="S696" s="32"/>
    </row>
    <row r="697">
      <c r="D697" s="29"/>
      <c r="F697" s="31"/>
      <c r="G697" s="30"/>
      <c r="H697" s="30"/>
      <c r="J697" s="29"/>
      <c r="L697" s="30"/>
      <c r="M697" s="30"/>
      <c r="O697" s="32"/>
      <c r="P697" s="32"/>
      <c r="S697" s="32"/>
    </row>
    <row r="698">
      <c r="D698" s="29"/>
      <c r="F698" s="31"/>
      <c r="G698" s="30"/>
      <c r="H698" s="30"/>
      <c r="J698" s="29"/>
      <c r="L698" s="30"/>
      <c r="M698" s="30"/>
      <c r="O698" s="32"/>
      <c r="P698" s="32"/>
      <c r="S698" s="32"/>
    </row>
    <row r="699">
      <c r="D699" s="29"/>
      <c r="F699" s="31"/>
      <c r="G699" s="30"/>
      <c r="H699" s="30"/>
      <c r="J699" s="29"/>
      <c r="L699" s="30"/>
      <c r="M699" s="30"/>
      <c r="O699" s="32"/>
      <c r="P699" s="32"/>
      <c r="S699" s="32"/>
    </row>
    <row r="700">
      <c r="D700" s="29"/>
      <c r="F700" s="31"/>
      <c r="G700" s="30"/>
      <c r="H700" s="30"/>
      <c r="J700" s="29"/>
      <c r="L700" s="30"/>
      <c r="M700" s="30"/>
      <c r="O700" s="32"/>
      <c r="P700" s="32"/>
      <c r="S700" s="32"/>
    </row>
    <row r="701">
      <c r="D701" s="29"/>
      <c r="F701" s="31"/>
      <c r="G701" s="30"/>
      <c r="H701" s="30"/>
      <c r="J701" s="29"/>
      <c r="L701" s="30"/>
      <c r="M701" s="30"/>
      <c r="O701" s="32"/>
      <c r="P701" s="32"/>
      <c r="S701" s="32"/>
    </row>
    <row r="702">
      <c r="D702" s="29"/>
      <c r="F702" s="31"/>
      <c r="G702" s="30"/>
      <c r="H702" s="30"/>
      <c r="J702" s="29"/>
      <c r="L702" s="30"/>
      <c r="M702" s="30"/>
      <c r="O702" s="32"/>
      <c r="P702" s="32"/>
      <c r="S702" s="32"/>
    </row>
    <row r="703">
      <c r="D703" s="29"/>
      <c r="F703" s="31"/>
      <c r="G703" s="30"/>
      <c r="H703" s="30"/>
      <c r="J703" s="29"/>
      <c r="L703" s="30"/>
      <c r="M703" s="30"/>
      <c r="O703" s="32"/>
      <c r="P703" s="32"/>
      <c r="S703" s="32"/>
    </row>
    <row r="704">
      <c r="D704" s="29"/>
      <c r="F704" s="31"/>
      <c r="G704" s="30"/>
      <c r="H704" s="30"/>
      <c r="J704" s="29"/>
      <c r="L704" s="30"/>
      <c r="M704" s="30"/>
      <c r="O704" s="32"/>
      <c r="P704" s="32"/>
      <c r="S704" s="32"/>
    </row>
    <row r="705">
      <c r="D705" s="29"/>
      <c r="F705" s="31"/>
      <c r="G705" s="30"/>
      <c r="H705" s="30"/>
      <c r="J705" s="29"/>
      <c r="L705" s="30"/>
      <c r="M705" s="30"/>
      <c r="O705" s="32"/>
      <c r="P705" s="32"/>
      <c r="S705" s="32"/>
    </row>
    <row r="706">
      <c r="D706" s="29"/>
      <c r="F706" s="31"/>
      <c r="G706" s="30"/>
      <c r="H706" s="30"/>
      <c r="J706" s="29"/>
      <c r="L706" s="30"/>
      <c r="M706" s="30"/>
      <c r="O706" s="32"/>
      <c r="P706" s="32"/>
      <c r="S706" s="32"/>
    </row>
    <row r="707">
      <c r="D707" s="29"/>
      <c r="F707" s="31"/>
      <c r="G707" s="30"/>
      <c r="H707" s="30"/>
      <c r="J707" s="29"/>
      <c r="L707" s="30"/>
      <c r="M707" s="30"/>
      <c r="O707" s="32"/>
      <c r="P707" s="32"/>
      <c r="S707" s="32"/>
    </row>
    <row r="708">
      <c r="D708" s="29"/>
      <c r="F708" s="31"/>
      <c r="G708" s="30"/>
      <c r="H708" s="30"/>
      <c r="J708" s="29"/>
      <c r="L708" s="30"/>
      <c r="M708" s="30"/>
      <c r="O708" s="32"/>
      <c r="P708" s="32"/>
      <c r="S708" s="32"/>
    </row>
    <row r="709">
      <c r="D709" s="29"/>
      <c r="F709" s="31"/>
      <c r="G709" s="30"/>
      <c r="H709" s="30"/>
      <c r="J709" s="29"/>
      <c r="L709" s="30"/>
      <c r="M709" s="30"/>
      <c r="O709" s="32"/>
      <c r="P709" s="32"/>
      <c r="S709" s="32"/>
    </row>
    <row r="710">
      <c r="D710" s="29"/>
      <c r="F710" s="31"/>
      <c r="G710" s="30"/>
      <c r="H710" s="30"/>
      <c r="J710" s="29"/>
      <c r="L710" s="30"/>
      <c r="M710" s="30"/>
      <c r="O710" s="32"/>
      <c r="P710" s="32"/>
      <c r="S710" s="32"/>
    </row>
    <row r="711">
      <c r="D711" s="29"/>
      <c r="F711" s="31"/>
      <c r="G711" s="30"/>
      <c r="H711" s="30"/>
      <c r="J711" s="29"/>
      <c r="L711" s="30"/>
      <c r="M711" s="30"/>
      <c r="O711" s="32"/>
      <c r="P711" s="32"/>
      <c r="S711" s="32"/>
    </row>
    <row r="712">
      <c r="D712" s="29"/>
      <c r="F712" s="31"/>
      <c r="G712" s="30"/>
      <c r="H712" s="30"/>
      <c r="J712" s="29"/>
      <c r="L712" s="30"/>
      <c r="M712" s="30"/>
      <c r="O712" s="32"/>
      <c r="P712" s="32"/>
      <c r="S712" s="32"/>
    </row>
    <row r="713">
      <c r="D713" s="29"/>
      <c r="F713" s="31"/>
      <c r="G713" s="30"/>
      <c r="H713" s="30"/>
      <c r="J713" s="29"/>
      <c r="L713" s="30"/>
      <c r="M713" s="30"/>
      <c r="O713" s="32"/>
      <c r="P713" s="32"/>
      <c r="S713" s="32"/>
    </row>
    <row r="714">
      <c r="D714" s="29"/>
      <c r="F714" s="31"/>
      <c r="G714" s="30"/>
      <c r="H714" s="30"/>
      <c r="J714" s="29"/>
      <c r="L714" s="30"/>
      <c r="M714" s="30"/>
      <c r="O714" s="32"/>
      <c r="P714" s="32"/>
      <c r="S714" s="32"/>
    </row>
    <row r="715">
      <c r="D715" s="29"/>
      <c r="F715" s="31"/>
      <c r="G715" s="30"/>
      <c r="H715" s="30"/>
      <c r="J715" s="29"/>
      <c r="L715" s="30"/>
      <c r="M715" s="30"/>
      <c r="O715" s="32"/>
      <c r="P715" s="32"/>
      <c r="S715" s="32"/>
    </row>
    <row r="716">
      <c r="D716" s="29"/>
      <c r="F716" s="31"/>
      <c r="G716" s="30"/>
      <c r="H716" s="30"/>
      <c r="J716" s="29"/>
      <c r="L716" s="30"/>
      <c r="M716" s="30"/>
      <c r="O716" s="32"/>
      <c r="P716" s="32"/>
      <c r="S716" s="32"/>
    </row>
    <row r="717">
      <c r="D717" s="29"/>
      <c r="F717" s="31"/>
      <c r="G717" s="30"/>
      <c r="H717" s="30"/>
      <c r="J717" s="29"/>
      <c r="L717" s="30"/>
      <c r="M717" s="30"/>
      <c r="O717" s="32"/>
      <c r="P717" s="32"/>
      <c r="S717" s="32"/>
    </row>
    <row r="718">
      <c r="D718" s="29"/>
      <c r="F718" s="31"/>
      <c r="G718" s="30"/>
      <c r="H718" s="30"/>
      <c r="J718" s="29"/>
      <c r="L718" s="30"/>
      <c r="M718" s="30"/>
      <c r="O718" s="32"/>
      <c r="P718" s="32"/>
      <c r="S718" s="32"/>
    </row>
    <row r="719">
      <c r="D719" s="29"/>
      <c r="F719" s="31"/>
      <c r="G719" s="30"/>
      <c r="H719" s="30"/>
      <c r="J719" s="29"/>
      <c r="L719" s="30"/>
      <c r="M719" s="30"/>
      <c r="O719" s="32"/>
      <c r="P719" s="32"/>
      <c r="S719" s="32"/>
    </row>
    <row r="720">
      <c r="D720" s="29"/>
      <c r="F720" s="31"/>
      <c r="G720" s="30"/>
      <c r="H720" s="30"/>
      <c r="J720" s="29"/>
      <c r="L720" s="30"/>
      <c r="M720" s="30"/>
      <c r="O720" s="32"/>
      <c r="P720" s="32"/>
      <c r="S720" s="32"/>
    </row>
    <row r="721">
      <c r="D721" s="29"/>
      <c r="F721" s="31"/>
      <c r="G721" s="30"/>
      <c r="H721" s="30"/>
      <c r="J721" s="29"/>
      <c r="L721" s="30"/>
      <c r="M721" s="30"/>
      <c r="O721" s="32"/>
      <c r="P721" s="32"/>
      <c r="S721" s="32"/>
    </row>
    <row r="722">
      <c r="D722" s="29"/>
      <c r="F722" s="31"/>
      <c r="G722" s="30"/>
      <c r="H722" s="30"/>
      <c r="J722" s="29"/>
      <c r="L722" s="30"/>
      <c r="M722" s="30"/>
      <c r="O722" s="32"/>
      <c r="P722" s="32"/>
      <c r="S722" s="32"/>
    </row>
    <row r="723">
      <c r="D723" s="29"/>
      <c r="F723" s="31"/>
      <c r="G723" s="30"/>
      <c r="H723" s="30"/>
      <c r="J723" s="29"/>
      <c r="L723" s="30"/>
      <c r="M723" s="30"/>
      <c r="O723" s="32"/>
      <c r="P723" s="32"/>
      <c r="S723" s="32"/>
    </row>
    <row r="724">
      <c r="D724" s="29"/>
      <c r="F724" s="31"/>
      <c r="G724" s="30"/>
      <c r="H724" s="30"/>
      <c r="J724" s="29"/>
      <c r="L724" s="30"/>
      <c r="M724" s="30"/>
      <c r="O724" s="32"/>
      <c r="P724" s="32"/>
      <c r="S724" s="32"/>
    </row>
    <row r="725">
      <c r="D725" s="29"/>
      <c r="F725" s="31"/>
      <c r="G725" s="30"/>
      <c r="H725" s="30"/>
      <c r="J725" s="29"/>
      <c r="L725" s="30"/>
      <c r="M725" s="30"/>
      <c r="O725" s="32"/>
      <c r="P725" s="32"/>
      <c r="S725" s="32"/>
    </row>
    <row r="726">
      <c r="D726" s="29"/>
      <c r="F726" s="31"/>
      <c r="G726" s="30"/>
      <c r="H726" s="30"/>
      <c r="J726" s="29"/>
      <c r="L726" s="30"/>
      <c r="M726" s="30"/>
      <c r="O726" s="32"/>
      <c r="P726" s="32"/>
      <c r="S726" s="32"/>
    </row>
    <row r="727">
      <c r="D727" s="29"/>
      <c r="F727" s="31"/>
      <c r="G727" s="30"/>
      <c r="H727" s="30"/>
      <c r="J727" s="29"/>
      <c r="L727" s="30"/>
      <c r="M727" s="30"/>
      <c r="O727" s="32"/>
      <c r="P727" s="32"/>
      <c r="S727" s="32"/>
    </row>
    <row r="728">
      <c r="D728" s="29"/>
      <c r="F728" s="31"/>
      <c r="G728" s="30"/>
      <c r="H728" s="30"/>
      <c r="J728" s="29"/>
      <c r="L728" s="30"/>
      <c r="M728" s="30"/>
      <c r="O728" s="32"/>
      <c r="P728" s="32"/>
      <c r="S728" s="32"/>
    </row>
    <row r="729">
      <c r="D729" s="29"/>
      <c r="F729" s="31"/>
      <c r="G729" s="30"/>
      <c r="H729" s="30"/>
      <c r="J729" s="29"/>
      <c r="L729" s="30"/>
      <c r="M729" s="30"/>
      <c r="O729" s="32"/>
      <c r="P729" s="32"/>
      <c r="S729" s="32"/>
    </row>
    <row r="730">
      <c r="D730" s="29"/>
      <c r="F730" s="31"/>
      <c r="G730" s="30"/>
      <c r="H730" s="30"/>
      <c r="J730" s="29"/>
      <c r="L730" s="30"/>
      <c r="M730" s="30"/>
      <c r="O730" s="32"/>
      <c r="P730" s="32"/>
      <c r="S730" s="32"/>
    </row>
    <row r="731">
      <c r="D731" s="29"/>
      <c r="F731" s="31"/>
      <c r="G731" s="30"/>
      <c r="H731" s="30"/>
      <c r="J731" s="29"/>
      <c r="L731" s="30"/>
      <c r="M731" s="30"/>
      <c r="O731" s="32"/>
      <c r="P731" s="32"/>
      <c r="S731" s="32"/>
    </row>
    <row r="732">
      <c r="D732" s="29"/>
      <c r="F732" s="31"/>
      <c r="G732" s="30"/>
      <c r="H732" s="30"/>
      <c r="J732" s="29"/>
      <c r="L732" s="30"/>
      <c r="M732" s="30"/>
      <c r="O732" s="32"/>
      <c r="P732" s="32"/>
      <c r="S732" s="32"/>
    </row>
    <row r="733">
      <c r="D733" s="29"/>
      <c r="F733" s="31"/>
      <c r="G733" s="30"/>
      <c r="H733" s="30"/>
      <c r="J733" s="29"/>
      <c r="L733" s="30"/>
      <c r="M733" s="30"/>
      <c r="O733" s="32"/>
      <c r="P733" s="32"/>
      <c r="S733" s="32"/>
    </row>
    <row r="734">
      <c r="D734" s="29"/>
      <c r="F734" s="31"/>
      <c r="G734" s="30"/>
      <c r="H734" s="30"/>
      <c r="J734" s="29"/>
      <c r="L734" s="30"/>
      <c r="M734" s="30"/>
      <c r="O734" s="32"/>
      <c r="P734" s="32"/>
      <c r="S734" s="32"/>
    </row>
    <row r="735">
      <c r="D735" s="29"/>
      <c r="F735" s="31"/>
      <c r="G735" s="30"/>
      <c r="H735" s="30"/>
      <c r="J735" s="29"/>
      <c r="L735" s="30"/>
      <c r="M735" s="30"/>
      <c r="O735" s="32"/>
      <c r="P735" s="32"/>
      <c r="S735" s="32"/>
    </row>
    <row r="736">
      <c r="D736" s="29"/>
      <c r="F736" s="31"/>
      <c r="G736" s="30"/>
      <c r="H736" s="30"/>
      <c r="J736" s="29"/>
      <c r="L736" s="30"/>
      <c r="M736" s="30"/>
      <c r="O736" s="32"/>
      <c r="P736" s="32"/>
      <c r="S736" s="32"/>
    </row>
    <row r="737">
      <c r="D737" s="29"/>
      <c r="F737" s="31"/>
      <c r="G737" s="30"/>
      <c r="H737" s="30"/>
      <c r="J737" s="29"/>
      <c r="L737" s="30"/>
      <c r="M737" s="30"/>
      <c r="O737" s="32"/>
      <c r="P737" s="32"/>
      <c r="S737" s="32"/>
    </row>
    <row r="738">
      <c r="D738" s="29"/>
      <c r="F738" s="31"/>
      <c r="G738" s="30"/>
      <c r="H738" s="30"/>
      <c r="J738" s="29"/>
      <c r="L738" s="30"/>
      <c r="M738" s="30"/>
      <c r="O738" s="32"/>
      <c r="P738" s="32"/>
      <c r="S738" s="32"/>
    </row>
    <row r="739">
      <c r="D739" s="29"/>
      <c r="F739" s="31"/>
      <c r="G739" s="30"/>
      <c r="H739" s="30"/>
      <c r="J739" s="29"/>
      <c r="L739" s="30"/>
      <c r="M739" s="30"/>
      <c r="O739" s="32"/>
      <c r="P739" s="32"/>
      <c r="S739" s="32"/>
    </row>
    <row r="740">
      <c r="D740" s="29"/>
      <c r="F740" s="31"/>
      <c r="G740" s="30"/>
      <c r="H740" s="30"/>
      <c r="J740" s="29"/>
      <c r="L740" s="30"/>
      <c r="M740" s="30"/>
      <c r="O740" s="32"/>
      <c r="P740" s="32"/>
      <c r="S740" s="32"/>
    </row>
    <row r="741">
      <c r="D741" s="29"/>
      <c r="F741" s="31"/>
      <c r="G741" s="30"/>
      <c r="H741" s="30"/>
      <c r="J741" s="29"/>
      <c r="L741" s="30"/>
      <c r="M741" s="30"/>
      <c r="O741" s="32"/>
      <c r="P741" s="32"/>
      <c r="S741" s="32"/>
    </row>
    <row r="742">
      <c r="D742" s="29"/>
      <c r="F742" s="31"/>
      <c r="G742" s="30"/>
      <c r="H742" s="30"/>
      <c r="J742" s="29"/>
      <c r="L742" s="30"/>
      <c r="M742" s="30"/>
      <c r="O742" s="32"/>
      <c r="P742" s="32"/>
      <c r="S742" s="32"/>
    </row>
    <row r="743">
      <c r="D743" s="29"/>
      <c r="F743" s="31"/>
      <c r="G743" s="30"/>
      <c r="H743" s="30"/>
      <c r="J743" s="29"/>
      <c r="L743" s="30"/>
      <c r="M743" s="30"/>
      <c r="O743" s="32"/>
      <c r="P743" s="32"/>
      <c r="S743" s="32"/>
    </row>
    <row r="744">
      <c r="D744" s="29"/>
      <c r="F744" s="31"/>
      <c r="G744" s="30"/>
      <c r="H744" s="30"/>
      <c r="J744" s="29"/>
      <c r="L744" s="30"/>
      <c r="M744" s="30"/>
      <c r="O744" s="32"/>
      <c r="P744" s="32"/>
      <c r="S744" s="32"/>
    </row>
    <row r="745">
      <c r="D745" s="29"/>
      <c r="F745" s="31"/>
      <c r="G745" s="30"/>
      <c r="H745" s="30"/>
      <c r="J745" s="29"/>
      <c r="L745" s="30"/>
      <c r="M745" s="30"/>
      <c r="O745" s="32"/>
      <c r="P745" s="32"/>
      <c r="S745" s="32"/>
    </row>
    <row r="746">
      <c r="D746" s="29"/>
      <c r="F746" s="31"/>
      <c r="G746" s="30"/>
      <c r="H746" s="30"/>
      <c r="J746" s="29"/>
      <c r="L746" s="30"/>
      <c r="M746" s="30"/>
      <c r="O746" s="32"/>
      <c r="P746" s="32"/>
      <c r="S746" s="32"/>
    </row>
    <row r="747">
      <c r="D747" s="29"/>
      <c r="F747" s="31"/>
      <c r="G747" s="30"/>
      <c r="H747" s="30"/>
      <c r="J747" s="29"/>
      <c r="L747" s="30"/>
      <c r="M747" s="30"/>
      <c r="O747" s="32"/>
      <c r="P747" s="32"/>
      <c r="S747" s="32"/>
    </row>
    <row r="748">
      <c r="D748" s="29"/>
      <c r="F748" s="31"/>
      <c r="G748" s="30"/>
      <c r="H748" s="30"/>
      <c r="J748" s="29"/>
      <c r="L748" s="30"/>
      <c r="M748" s="30"/>
      <c r="O748" s="32"/>
      <c r="P748" s="32"/>
      <c r="S748" s="32"/>
    </row>
    <row r="749">
      <c r="D749" s="29"/>
      <c r="F749" s="31"/>
      <c r="G749" s="30"/>
      <c r="H749" s="30"/>
      <c r="J749" s="29"/>
      <c r="L749" s="30"/>
      <c r="M749" s="30"/>
      <c r="O749" s="32"/>
      <c r="P749" s="32"/>
      <c r="S749" s="32"/>
    </row>
    <row r="750">
      <c r="D750" s="29"/>
      <c r="F750" s="31"/>
      <c r="G750" s="30"/>
      <c r="H750" s="30"/>
      <c r="J750" s="29"/>
      <c r="L750" s="30"/>
      <c r="M750" s="30"/>
      <c r="O750" s="32"/>
      <c r="P750" s="32"/>
      <c r="S750" s="32"/>
    </row>
    <row r="751">
      <c r="D751" s="29"/>
      <c r="F751" s="31"/>
      <c r="G751" s="30"/>
      <c r="H751" s="30"/>
      <c r="J751" s="29"/>
      <c r="L751" s="30"/>
      <c r="M751" s="30"/>
      <c r="O751" s="32"/>
      <c r="P751" s="32"/>
      <c r="S751" s="32"/>
    </row>
    <row r="752">
      <c r="D752" s="29"/>
      <c r="F752" s="31"/>
      <c r="G752" s="30"/>
      <c r="H752" s="30"/>
      <c r="J752" s="29"/>
      <c r="L752" s="30"/>
      <c r="M752" s="30"/>
      <c r="O752" s="32"/>
      <c r="P752" s="32"/>
      <c r="S752" s="32"/>
    </row>
    <row r="753">
      <c r="D753" s="29"/>
      <c r="F753" s="31"/>
      <c r="G753" s="30"/>
      <c r="H753" s="30"/>
      <c r="J753" s="29"/>
      <c r="L753" s="30"/>
      <c r="M753" s="30"/>
      <c r="O753" s="32"/>
      <c r="P753" s="32"/>
      <c r="S753" s="32"/>
    </row>
    <row r="754">
      <c r="D754" s="29"/>
      <c r="F754" s="31"/>
      <c r="G754" s="30"/>
      <c r="H754" s="30"/>
      <c r="J754" s="29"/>
      <c r="L754" s="30"/>
      <c r="M754" s="30"/>
      <c r="O754" s="32"/>
      <c r="P754" s="32"/>
      <c r="S754" s="32"/>
    </row>
    <row r="755">
      <c r="D755" s="29"/>
      <c r="F755" s="31"/>
      <c r="G755" s="30"/>
      <c r="H755" s="30"/>
      <c r="J755" s="29"/>
      <c r="L755" s="30"/>
      <c r="M755" s="30"/>
      <c r="O755" s="32"/>
      <c r="P755" s="32"/>
      <c r="S755" s="32"/>
    </row>
    <row r="756">
      <c r="D756" s="29"/>
      <c r="F756" s="31"/>
      <c r="G756" s="30"/>
      <c r="H756" s="30"/>
      <c r="J756" s="29"/>
      <c r="L756" s="30"/>
      <c r="M756" s="30"/>
      <c r="O756" s="32"/>
      <c r="P756" s="32"/>
      <c r="S756" s="32"/>
    </row>
    <row r="757">
      <c r="D757" s="29"/>
      <c r="F757" s="31"/>
      <c r="G757" s="30"/>
      <c r="H757" s="30"/>
      <c r="J757" s="29"/>
      <c r="L757" s="30"/>
      <c r="M757" s="30"/>
      <c r="O757" s="32"/>
      <c r="P757" s="32"/>
      <c r="S757" s="32"/>
    </row>
    <row r="758">
      <c r="D758" s="29"/>
      <c r="F758" s="31"/>
      <c r="G758" s="30"/>
      <c r="H758" s="30"/>
      <c r="J758" s="29"/>
      <c r="L758" s="30"/>
      <c r="M758" s="30"/>
      <c r="O758" s="32"/>
      <c r="P758" s="32"/>
      <c r="S758" s="32"/>
    </row>
    <row r="759">
      <c r="D759" s="29"/>
      <c r="F759" s="31"/>
      <c r="G759" s="30"/>
      <c r="H759" s="30"/>
      <c r="J759" s="29"/>
      <c r="L759" s="30"/>
      <c r="M759" s="30"/>
      <c r="O759" s="32"/>
      <c r="P759" s="32"/>
      <c r="S759" s="32"/>
    </row>
    <row r="760">
      <c r="D760" s="29"/>
      <c r="F760" s="31"/>
      <c r="G760" s="30"/>
      <c r="H760" s="30"/>
      <c r="J760" s="29"/>
      <c r="L760" s="30"/>
      <c r="M760" s="30"/>
      <c r="O760" s="32"/>
      <c r="P760" s="32"/>
      <c r="S760" s="32"/>
    </row>
    <row r="761">
      <c r="D761" s="29"/>
      <c r="F761" s="31"/>
      <c r="G761" s="30"/>
      <c r="H761" s="30"/>
      <c r="J761" s="29"/>
      <c r="L761" s="30"/>
      <c r="M761" s="30"/>
      <c r="O761" s="32"/>
      <c r="P761" s="32"/>
      <c r="S761" s="32"/>
    </row>
    <row r="762">
      <c r="D762" s="29"/>
      <c r="F762" s="31"/>
      <c r="G762" s="30"/>
      <c r="H762" s="30"/>
      <c r="J762" s="29"/>
      <c r="L762" s="30"/>
      <c r="M762" s="30"/>
      <c r="O762" s="32"/>
      <c r="P762" s="32"/>
      <c r="S762" s="32"/>
    </row>
    <row r="763">
      <c r="D763" s="29"/>
      <c r="F763" s="31"/>
      <c r="G763" s="30"/>
      <c r="H763" s="30"/>
      <c r="J763" s="29"/>
      <c r="L763" s="30"/>
      <c r="M763" s="30"/>
      <c r="O763" s="32"/>
      <c r="P763" s="32"/>
      <c r="S763" s="32"/>
    </row>
    <row r="764">
      <c r="D764" s="29"/>
      <c r="F764" s="31"/>
      <c r="G764" s="30"/>
      <c r="H764" s="30"/>
      <c r="J764" s="29"/>
      <c r="L764" s="30"/>
      <c r="M764" s="30"/>
      <c r="O764" s="32"/>
      <c r="P764" s="32"/>
      <c r="S764" s="32"/>
    </row>
    <row r="765">
      <c r="D765" s="29"/>
      <c r="F765" s="31"/>
      <c r="G765" s="30"/>
      <c r="H765" s="30"/>
      <c r="J765" s="29"/>
      <c r="L765" s="30"/>
      <c r="M765" s="30"/>
      <c r="O765" s="32"/>
      <c r="P765" s="32"/>
      <c r="S765" s="32"/>
    </row>
    <row r="766">
      <c r="D766" s="29"/>
      <c r="F766" s="31"/>
      <c r="G766" s="30"/>
      <c r="H766" s="30"/>
      <c r="J766" s="29"/>
      <c r="L766" s="30"/>
      <c r="M766" s="30"/>
      <c r="O766" s="32"/>
      <c r="P766" s="32"/>
      <c r="S766" s="32"/>
    </row>
    <row r="767">
      <c r="D767" s="29"/>
      <c r="F767" s="31"/>
      <c r="G767" s="30"/>
      <c r="H767" s="30"/>
      <c r="J767" s="29"/>
      <c r="L767" s="30"/>
      <c r="M767" s="30"/>
      <c r="O767" s="32"/>
      <c r="P767" s="32"/>
      <c r="S767" s="32"/>
    </row>
    <row r="768">
      <c r="D768" s="29"/>
      <c r="F768" s="31"/>
      <c r="G768" s="30"/>
      <c r="H768" s="30"/>
      <c r="J768" s="29"/>
      <c r="L768" s="30"/>
      <c r="M768" s="30"/>
      <c r="O768" s="32"/>
      <c r="P768" s="32"/>
      <c r="S768" s="32"/>
    </row>
    <row r="769">
      <c r="D769" s="29"/>
      <c r="F769" s="31"/>
      <c r="G769" s="30"/>
      <c r="H769" s="30"/>
      <c r="J769" s="29"/>
      <c r="L769" s="30"/>
      <c r="M769" s="30"/>
      <c r="O769" s="32"/>
      <c r="P769" s="32"/>
      <c r="S769" s="32"/>
    </row>
    <row r="770">
      <c r="D770" s="29"/>
      <c r="F770" s="31"/>
      <c r="G770" s="30"/>
      <c r="H770" s="30"/>
      <c r="J770" s="29"/>
      <c r="L770" s="30"/>
      <c r="M770" s="30"/>
      <c r="O770" s="32"/>
      <c r="P770" s="32"/>
      <c r="S770" s="32"/>
    </row>
    <row r="771">
      <c r="D771" s="29"/>
      <c r="F771" s="31"/>
      <c r="G771" s="30"/>
      <c r="H771" s="30"/>
      <c r="J771" s="29"/>
      <c r="L771" s="30"/>
      <c r="M771" s="30"/>
      <c r="O771" s="32"/>
      <c r="P771" s="32"/>
      <c r="S771" s="32"/>
    </row>
    <row r="772">
      <c r="D772" s="29"/>
      <c r="F772" s="31"/>
      <c r="G772" s="30"/>
      <c r="H772" s="30"/>
      <c r="J772" s="29"/>
      <c r="L772" s="30"/>
      <c r="M772" s="30"/>
      <c r="O772" s="32"/>
      <c r="P772" s="32"/>
      <c r="S772" s="32"/>
    </row>
    <row r="773">
      <c r="D773" s="29"/>
      <c r="F773" s="31"/>
      <c r="G773" s="30"/>
      <c r="H773" s="30"/>
      <c r="J773" s="29"/>
      <c r="L773" s="30"/>
      <c r="M773" s="30"/>
      <c r="O773" s="32"/>
      <c r="P773" s="32"/>
      <c r="S773" s="32"/>
    </row>
    <row r="774">
      <c r="D774" s="29"/>
      <c r="F774" s="31"/>
      <c r="G774" s="30"/>
      <c r="H774" s="30"/>
      <c r="J774" s="29"/>
      <c r="L774" s="30"/>
      <c r="M774" s="30"/>
      <c r="O774" s="32"/>
      <c r="P774" s="32"/>
      <c r="S774" s="32"/>
    </row>
    <row r="775">
      <c r="D775" s="29"/>
      <c r="F775" s="31"/>
      <c r="G775" s="30"/>
      <c r="H775" s="30"/>
      <c r="J775" s="29"/>
      <c r="L775" s="30"/>
      <c r="M775" s="30"/>
      <c r="O775" s="32"/>
      <c r="P775" s="32"/>
      <c r="S775" s="32"/>
    </row>
    <row r="776">
      <c r="D776" s="29"/>
      <c r="F776" s="31"/>
      <c r="G776" s="30"/>
      <c r="H776" s="30"/>
      <c r="J776" s="29"/>
      <c r="L776" s="30"/>
      <c r="M776" s="30"/>
      <c r="O776" s="32"/>
      <c r="P776" s="32"/>
      <c r="S776" s="32"/>
    </row>
    <row r="777">
      <c r="D777" s="29"/>
      <c r="F777" s="31"/>
      <c r="G777" s="30"/>
      <c r="H777" s="30"/>
      <c r="J777" s="29"/>
      <c r="L777" s="30"/>
      <c r="M777" s="30"/>
      <c r="O777" s="32"/>
      <c r="P777" s="32"/>
      <c r="S777" s="32"/>
    </row>
    <row r="778">
      <c r="D778" s="29"/>
      <c r="F778" s="31"/>
      <c r="G778" s="30"/>
      <c r="H778" s="30"/>
      <c r="J778" s="29"/>
      <c r="L778" s="30"/>
      <c r="M778" s="30"/>
      <c r="O778" s="32"/>
      <c r="P778" s="32"/>
      <c r="S778" s="32"/>
    </row>
    <row r="779">
      <c r="D779" s="29"/>
      <c r="F779" s="31"/>
      <c r="G779" s="30"/>
      <c r="H779" s="30"/>
      <c r="J779" s="29"/>
      <c r="L779" s="30"/>
      <c r="M779" s="30"/>
      <c r="O779" s="32"/>
      <c r="P779" s="32"/>
      <c r="S779" s="32"/>
    </row>
    <row r="780">
      <c r="D780" s="29"/>
      <c r="F780" s="31"/>
      <c r="G780" s="30"/>
      <c r="H780" s="30"/>
      <c r="J780" s="29"/>
      <c r="L780" s="30"/>
      <c r="M780" s="30"/>
      <c r="O780" s="32"/>
      <c r="P780" s="32"/>
      <c r="S780" s="32"/>
    </row>
    <row r="781">
      <c r="D781" s="29"/>
      <c r="F781" s="31"/>
      <c r="G781" s="30"/>
      <c r="H781" s="30"/>
      <c r="J781" s="29"/>
      <c r="L781" s="30"/>
      <c r="M781" s="30"/>
      <c r="O781" s="32"/>
      <c r="P781" s="32"/>
      <c r="S781" s="32"/>
    </row>
    <row r="782">
      <c r="D782" s="29"/>
      <c r="F782" s="31"/>
      <c r="G782" s="30"/>
      <c r="H782" s="30"/>
      <c r="J782" s="29"/>
      <c r="L782" s="30"/>
      <c r="M782" s="30"/>
      <c r="O782" s="32"/>
      <c r="P782" s="32"/>
      <c r="S782" s="32"/>
    </row>
    <row r="783">
      <c r="D783" s="29"/>
      <c r="F783" s="31"/>
      <c r="G783" s="30"/>
      <c r="H783" s="30"/>
      <c r="J783" s="29"/>
      <c r="L783" s="30"/>
      <c r="M783" s="30"/>
      <c r="O783" s="32"/>
      <c r="P783" s="32"/>
      <c r="S783" s="32"/>
    </row>
    <row r="784">
      <c r="D784" s="29"/>
      <c r="F784" s="31"/>
      <c r="G784" s="30"/>
      <c r="H784" s="30"/>
      <c r="J784" s="29"/>
      <c r="L784" s="30"/>
      <c r="M784" s="30"/>
      <c r="O784" s="32"/>
      <c r="P784" s="32"/>
      <c r="S784" s="32"/>
    </row>
    <row r="785">
      <c r="D785" s="29"/>
      <c r="F785" s="31"/>
      <c r="G785" s="30"/>
      <c r="H785" s="30"/>
      <c r="J785" s="29"/>
      <c r="L785" s="30"/>
      <c r="M785" s="30"/>
      <c r="O785" s="32"/>
      <c r="P785" s="32"/>
      <c r="S785" s="32"/>
    </row>
    <row r="786">
      <c r="D786" s="29"/>
      <c r="F786" s="31"/>
      <c r="G786" s="30"/>
      <c r="H786" s="30"/>
      <c r="J786" s="29"/>
      <c r="L786" s="30"/>
      <c r="M786" s="30"/>
      <c r="O786" s="32"/>
      <c r="P786" s="32"/>
      <c r="S786" s="32"/>
    </row>
    <row r="787">
      <c r="D787" s="29"/>
      <c r="F787" s="31"/>
      <c r="G787" s="30"/>
      <c r="H787" s="30"/>
      <c r="J787" s="29"/>
      <c r="L787" s="30"/>
      <c r="M787" s="30"/>
      <c r="O787" s="32"/>
      <c r="P787" s="32"/>
      <c r="S787" s="32"/>
    </row>
    <row r="788">
      <c r="D788" s="29"/>
      <c r="F788" s="31"/>
      <c r="G788" s="30"/>
      <c r="H788" s="30"/>
      <c r="J788" s="29"/>
      <c r="L788" s="30"/>
      <c r="M788" s="30"/>
      <c r="O788" s="32"/>
      <c r="P788" s="32"/>
      <c r="S788" s="32"/>
    </row>
    <row r="789">
      <c r="D789" s="29"/>
      <c r="F789" s="31"/>
      <c r="G789" s="30"/>
      <c r="H789" s="30"/>
      <c r="J789" s="29"/>
      <c r="L789" s="30"/>
      <c r="M789" s="30"/>
      <c r="O789" s="32"/>
      <c r="P789" s="32"/>
      <c r="S789" s="32"/>
    </row>
    <row r="790">
      <c r="D790" s="29"/>
      <c r="F790" s="31"/>
      <c r="G790" s="30"/>
      <c r="H790" s="30"/>
      <c r="J790" s="29"/>
      <c r="L790" s="30"/>
      <c r="M790" s="30"/>
      <c r="O790" s="32"/>
      <c r="P790" s="32"/>
      <c r="S790" s="32"/>
    </row>
    <row r="791">
      <c r="D791" s="29"/>
      <c r="F791" s="31"/>
      <c r="G791" s="30"/>
      <c r="H791" s="30"/>
      <c r="J791" s="29"/>
      <c r="L791" s="30"/>
      <c r="M791" s="30"/>
      <c r="O791" s="32"/>
      <c r="P791" s="32"/>
      <c r="S791" s="32"/>
    </row>
    <row r="792">
      <c r="D792" s="29"/>
      <c r="F792" s="31"/>
      <c r="G792" s="30"/>
      <c r="H792" s="30"/>
      <c r="J792" s="29"/>
      <c r="L792" s="30"/>
      <c r="M792" s="30"/>
      <c r="O792" s="32"/>
      <c r="P792" s="32"/>
      <c r="S792" s="32"/>
    </row>
    <row r="793">
      <c r="D793" s="29"/>
      <c r="F793" s="31"/>
      <c r="G793" s="30"/>
      <c r="H793" s="30"/>
      <c r="J793" s="29"/>
      <c r="L793" s="30"/>
      <c r="M793" s="30"/>
      <c r="O793" s="32"/>
      <c r="P793" s="32"/>
      <c r="S793" s="32"/>
    </row>
    <row r="794">
      <c r="D794" s="29"/>
      <c r="F794" s="31"/>
      <c r="G794" s="30"/>
      <c r="H794" s="30"/>
      <c r="J794" s="29"/>
      <c r="L794" s="30"/>
      <c r="M794" s="30"/>
      <c r="O794" s="32"/>
      <c r="P794" s="32"/>
      <c r="S794" s="32"/>
    </row>
    <row r="795">
      <c r="D795" s="29"/>
      <c r="F795" s="31"/>
      <c r="G795" s="30"/>
      <c r="H795" s="30"/>
      <c r="J795" s="29"/>
      <c r="L795" s="30"/>
      <c r="M795" s="30"/>
      <c r="O795" s="32"/>
      <c r="P795" s="32"/>
      <c r="S795" s="32"/>
    </row>
    <row r="796">
      <c r="D796" s="29"/>
      <c r="F796" s="31"/>
      <c r="G796" s="30"/>
      <c r="H796" s="30"/>
      <c r="J796" s="29"/>
      <c r="L796" s="30"/>
      <c r="M796" s="30"/>
      <c r="O796" s="32"/>
      <c r="P796" s="32"/>
      <c r="S796" s="32"/>
    </row>
    <row r="797">
      <c r="D797" s="29"/>
      <c r="F797" s="31"/>
      <c r="G797" s="30"/>
      <c r="H797" s="30"/>
      <c r="J797" s="29"/>
      <c r="L797" s="30"/>
      <c r="M797" s="30"/>
      <c r="O797" s="32"/>
      <c r="P797" s="32"/>
      <c r="S797" s="32"/>
    </row>
    <row r="798">
      <c r="D798" s="29"/>
      <c r="F798" s="31"/>
      <c r="G798" s="30"/>
      <c r="H798" s="30"/>
      <c r="J798" s="29"/>
      <c r="L798" s="30"/>
      <c r="M798" s="30"/>
      <c r="O798" s="32"/>
      <c r="P798" s="32"/>
      <c r="S798" s="32"/>
    </row>
    <row r="799">
      <c r="D799" s="29"/>
      <c r="F799" s="31"/>
      <c r="G799" s="30"/>
      <c r="H799" s="30"/>
      <c r="J799" s="29"/>
      <c r="L799" s="30"/>
      <c r="M799" s="30"/>
      <c r="O799" s="32"/>
      <c r="P799" s="32"/>
      <c r="S799" s="32"/>
    </row>
    <row r="800">
      <c r="D800" s="29"/>
      <c r="F800" s="31"/>
      <c r="G800" s="30"/>
      <c r="H800" s="30"/>
      <c r="J800" s="29"/>
      <c r="L800" s="30"/>
      <c r="M800" s="30"/>
      <c r="O800" s="32"/>
      <c r="P800" s="32"/>
      <c r="S800" s="32"/>
    </row>
    <row r="801">
      <c r="D801" s="29"/>
      <c r="F801" s="31"/>
      <c r="G801" s="30"/>
      <c r="H801" s="30"/>
      <c r="J801" s="29"/>
      <c r="L801" s="30"/>
      <c r="M801" s="30"/>
      <c r="O801" s="32"/>
      <c r="P801" s="32"/>
      <c r="S801" s="32"/>
    </row>
    <row r="802">
      <c r="D802" s="29"/>
      <c r="F802" s="31"/>
      <c r="G802" s="30"/>
      <c r="H802" s="30"/>
      <c r="J802" s="29"/>
      <c r="L802" s="30"/>
      <c r="M802" s="30"/>
      <c r="O802" s="32"/>
      <c r="P802" s="32"/>
      <c r="S802" s="32"/>
    </row>
    <row r="803">
      <c r="D803" s="29"/>
      <c r="F803" s="31"/>
      <c r="G803" s="30"/>
      <c r="H803" s="30"/>
      <c r="J803" s="29"/>
      <c r="L803" s="30"/>
      <c r="M803" s="30"/>
      <c r="O803" s="32"/>
      <c r="P803" s="32"/>
      <c r="S803" s="32"/>
    </row>
    <row r="804">
      <c r="D804" s="29"/>
      <c r="F804" s="31"/>
      <c r="G804" s="30"/>
      <c r="H804" s="30"/>
      <c r="J804" s="29"/>
      <c r="L804" s="30"/>
      <c r="M804" s="30"/>
      <c r="O804" s="32"/>
      <c r="P804" s="32"/>
      <c r="S804" s="32"/>
    </row>
    <row r="805">
      <c r="D805" s="29"/>
      <c r="F805" s="31"/>
      <c r="G805" s="30"/>
      <c r="H805" s="30"/>
      <c r="J805" s="29"/>
      <c r="L805" s="30"/>
      <c r="M805" s="30"/>
      <c r="O805" s="32"/>
      <c r="P805" s="32"/>
      <c r="S805" s="32"/>
    </row>
    <row r="806">
      <c r="D806" s="29"/>
      <c r="F806" s="31"/>
      <c r="G806" s="30"/>
      <c r="H806" s="30"/>
      <c r="J806" s="29"/>
      <c r="L806" s="30"/>
      <c r="M806" s="30"/>
      <c r="O806" s="32"/>
      <c r="P806" s="32"/>
      <c r="S806" s="32"/>
    </row>
    <row r="807">
      <c r="D807" s="29"/>
      <c r="F807" s="31"/>
      <c r="G807" s="30"/>
      <c r="H807" s="30"/>
      <c r="J807" s="29"/>
      <c r="L807" s="30"/>
      <c r="M807" s="30"/>
      <c r="O807" s="32"/>
      <c r="P807" s="32"/>
      <c r="S807" s="32"/>
    </row>
    <row r="808">
      <c r="D808" s="29"/>
      <c r="F808" s="31"/>
      <c r="G808" s="30"/>
      <c r="H808" s="30"/>
      <c r="J808" s="29"/>
      <c r="L808" s="30"/>
      <c r="M808" s="30"/>
      <c r="O808" s="32"/>
      <c r="P808" s="32"/>
      <c r="S808" s="32"/>
    </row>
    <row r="809">
      <c r="D809" s="29"/>
      <c r="F809" s="31"/>
      <c r="G809" s="30"/>
      <c r="H809" s="30"/>
      <c r="J809" s="29"/>
      <c r="L809" s="30"/>
      <c r="M809" s="30"/>
      <c r="O809" s="32"/>
      <c r="P809" s="32"/>
      <c r="S809" s="32"/>
    </row>
    <row r="810">
      <c r="D810" s="29"/>
      <c r="F810" s="31"/>
      <c r="G810" s="30"/>
      <c r="H810" s="30"/>
      <c r="J810" s="29"/>
      <c r="L810" s="30"/>
      <c r="M810" s="30"/>
      <c r="O810" s="32"/>
      <c r="P810" s="32"/>
      <c r="S810" s="32"/>
    </row>
    <row r="811">
      <c r="D811" s="29"/>
      <c r="F811" s="31"/>
      <c r="G811" s="30"/>
      <c r="H811" s="30"/>
      <c r="J811" s="29"/>
      <c r="L811" s="30"/>
      <c r="M811" s="30"/>
      <c r="O811" s="32"/>
      <c r="P811" s="32"/>
      <c r="S811" s="32"/>
    </row>
    <row r="812">
      <c r="D812" s="29"/>
      <c r="F812" s="31"/>
      <c r="G812" s="30"/>
      <c r="H812" s="30"/>
      <c r="J812" s="29"/>
      <c r="L812" s="30"/>
      <c r="M812" s="30"/>
      <c r="O812" s="32"/>
      <c r="P812" s="32"/>
      <c r="S812" s="32"/>
    </row>
    <row r="813">
      <c r="D813" s="29"/>
      <c r="F813" s="31"/>
      <c r="G813" s="30"/>
      <c r="H813" s="30"/>
      <c r="J813" s="29"/>
      <c r="L813" s="30"/>
      <c r="M813" s="30"/>
      <c r="O813" s="32"/>
      <c r="P813" s="32"/>
      <c r="S813" s="32"/>
    </row>
    <row r="814">
      <c r="D814" s="29"/>
      <c r="F814" s="31"/>
      <c r="G814" s="30"/>
      <c r="H814" s="30"/>
      <c r="J814" s="29"/>
      <c r="L814" s="30"/>
      <c r="M814" s="30"/>
      <c r="O814" s="32"/>
      <c r="P814" s="32"/>
      <c r="S814" s="32"/>
    </row>
    <row r="815">
      <c r="D815" s="29"/>
      <c r="F815" s="31"/>
      <c r="G815" s="30"/>
      <c r="H815" s="30"/>
      <c r="J815" s="29"/>
      <c r="L815" s="30"/>
      <c r="M815" s="30"/>
      <c r="O815" s="32"/>
      <c r="P815" s="32"/>
      <c r="S815" s="32"/>
    </row>
    <row r="816">
      <c r="D816" s="29"/>
      <c r="F816" s="31"/>
      <c r="G816" s="30"/>
      <c r="H816" s="30"/>
      <c r="J816" s="29"/>
      <c r="L816" s="30"/>
      <c r="M816" s="30"/>
      <c r="O816" s="32"/>
      <c r="P816" s="32"/>
      <c r="S816" s="32"/>
    </row>
    <row r="817">
      <c r="D817" s="29"/>
      <c r="F817" s="31"/>
      <c r="G817" s="30"/>
      <c r="H817" s="30"/>
      <c r="J817" s="29"/>
      <c r="L817" s="30"/>
      <c r="M817" s="30"/>
      <c r="O817" s="32"/>
      <c r="P817" s="32"/>
      <c r="S817" s="32"/>
    </row>
    <row r="818">
      <c r="D818" s="29"/>
      <c r="F818" s="31"/>
      <c r="G818" s="30"/>
      <c r="H818" s="30"/>
      <c r="J818" s="29"/>
      <c r="L818" s="30"/>
      <c r="M818" s="30"/>
      <c r="O818" s="32"/>
      <c r="P818" s="32"/>
      <c r="S818" s="32"/>
    </row>
    <row r="819">
      <c r="D819" s="29"/>
      <c r="F819" s="31"/>
      <c r="G819" s="30"/>
      <c r="H819" s="30"/>
      <c r="J819" s="29"/>
      <c r="L819" s="30"/>
      <c r="M819" s="30"/>
      <c r="O819" s="32"/>
      <c r="P819" s="32"/>
      <c r="S819" s="32"/>
    </row>
    <row r="820">
      <c r="D820" s="29"/>
      <c r="F820" s="31"/>
      <c r="G820" s="30"/>
      <c r="H820" s="30"/>
      <c r="J820" s="29"/>
      <c r="L820" s="30"/>
      <c r="M820" s="30"/>
      <c r="O820" s="32"/>
      <c r="P820" s="32"/>
      <c r="S820" s="32"/>
    </row>
    <row r="821">
      <c r="D821" s="29"/>
      <c r="F821" s="31"/>
      <c r="G821" s="30"/>
      <c r="H821" s="30"/>
      <c r="J821" s="29"/>
      <c r="L821" s="30"/>
      <c r="M821" s="30"/>
      <c r="O821" s="32"/>
      <c r="P821" s="32"/>
      <c r="S821" s="32"/>
    </row>
    <row r="822">
      <c r="D822" s="29"/>
      <c r="F822" s="31"/>
      <c r="G822" s="30"/>
      <c r="H822" s="30"/>
      <c r="J822" s="29"/>
      <c r="L822" s="30"/>
      <c r="M822" s="30"/>
      <c r="O822" s="32"/>
      <c r="P822" s="32"/>
      <c r="S822" s="32"/>
    </row>
    <row r="823">
      <c r="D823" s="29"/>
      <c r="F823" s="31"/>
      <c r="G823" s="30"/>
      <c r="H823" s="30"/>
      <c r="J823" s="29"/>
      <c r="L823" s="30"/>
      <c r="M823" s="30"/>
      <c r="O823" s="32"/>
      <c r="P823" s="32"/>
      <c r="S823" s="32"/>
    </row>
    <row r="824">
      <c r="D824" s="29"/>
      <c r="F824" s="31"/>
      <c r="G824" s="30"/>
      <c r="H824" s="30"/>
      <c r="J824" s="29"/>
      <c r="L824" s="30"/>
      <c r="M824" s="30"/>
      <c r="O824" s="32"/>
      <c r="P824" s="32"/>
      <c r="S824" s="32"/>
    </row>
    <row r="825">
      <c r="D825" s="29"/>
      <c r="F825" s="31"/>
      <c r="G825" s="30"/>
      <c r="H825" s="30"/>
      <c r="J825" s="29"/>
      <c r="L825" s="30"/>
      <c r="M825" s="30"/>
      <c r="O825" s="32"/>
      <c r="P825" s="32"/>
      <c r="S825" s="32"/>
    </row>
    <row r="826">
      <c r="D826" s="29"/>
      <c r="F826" s="31"/>
      <c r="G826" s="30"/>
      <c r="H826" s="30"/>
      <c r="J826" s="29"/>
      <c r="L826" s="30"/>
      <c r="M826" s="30"/>
      <c r="O826" s="32"/>
      <c r="P826" s="32"/>
      <c r="S826" s="32"/>
    </row>
    <row r="827">
      <c r="D827" s="29"/>
      <c r="F827" s="31"/>
      <c r="G827" s="30"/>
      <c r="H827" s="30"/>
      <c r="J827" s="29"/>
      <c r="L827" s="30"/>
      <c r="M827" s="30"/>
      <c r="O827" s="32"/>
      <c r="P827" s="32"/>
      <c r="S827" s="32"/>
    </row>
    <row r="828">
      <c r="D828" s="29"/>
      <c r="F828" s="31"/>
      <c r="G828" s="30"/>
      <c r="H828" s="30"/>
      <c r="J828" s="29"/>
      <c r="L828" s="30"/>
      <c r="M828" s="30"/>
      <c r="O828" s="32"/>
      <c r="P828" s="32"/>
      <c r="S828" s="32"/>
    </row>
    <row r="829">
      <c r="D829" s="29"/>
      <c r="F829" s="31"/>
      <c r="G829" s="30"/>
      <c r="H829" s="30"/>
      <c r="J829" s="29"/>
      <c r="L829" s="30"/>
      <c r="M829" s="30"/>
      <c r="O829" s="32"/>
      <c r="P829" s="32"/>
      <c r="S829" s="32"/>
    </row>
    <row r="830">
      <c r="D830" s="29"/>
      <c r="F830" s="31"/>
      <c r="G830" s="30"/>
      <c r="H830" s="30"/>
      <c r="J830" s="29"/>
      <c r="L830" s="30"/>
      <c r="M830" s="30"/>
      <c r="O830" s="32"/>
      <c r="P830" s="32"/>
      <c r="S830" s="32"/>
    </row>
    <row r="831">
      <c r="D831" s="29"/>
      <c r="F831" s="31"/>
      <c r="G831" s="30"/>
      <c r="H831" s="30"/>
      <c r="J831" s="29"/>
      <c r="L831" s="30"/>
      <c r="M831" s="30"/>
      <c r="O831" s="32"/>
      <c r="P831" s="32"/>
      <c r="S831" s="32"/>
    </row>
    <row r="832">
      <c r="D832" s="29"/>
      <c r="F832" s="31"/>
      <c r="G832" s="30"/>
      <c r="H832" s="30"/>
      <c r="J832" s="29"/>
      <c r="L832" s="30"/>
      <c r="M832" s="30"/>
      <c r="O832" s="32"/>
      <c r="P832" s="32"/>
      <c r="S832" s="32"/>
    </row>
    <row r="833">
      <c r="D833" s="29"/>
      <c r="F833" s="31"/>
      <c r="G833" s="30"/>
      <c r="H833" s="30"/>
      <c r="J833" s="29"/>
      <c r="L833" s="30"/>
      <c r="M833" s="30"/>
      <c r="O833" s="32"/>
      <c r="P833" s="32"/>
      <c r="S833" s="32"/>
    </row>
    <row r="834">
      <c r="D834" s="29"/>
      <c r="F834" s="31"/>
      <c r="G834" s="30"/>
      <c r="H834" s="30"/>
      <c r="J834" s="29"/>
      <c r="L834" s="30"/>
      <c r="M834" s="30"/>
      <c r="O834" s="32"/>
      <c r="P834" s="32"/>
      <c r="S834" s="32"/>
    </row>
    <row r="835">
      <c r="D835" s="29"/>
      <c r="F835" s="31"/>
      <c r="G835" s="30"/>
      <c r="H835" s="30"/>
      <c r="J835" s="29"/>
      <c r="L835" s="30"/>
      <c r="M835" s="30"/>
      <c r="O835" s="32"/>
      <c r="P835" s="32"/>
      <c r="S835" s="32"/>
    </row>
    <row r="836">
      <c r="D836" s="29"/>
      <c r="F836" s="31"/>
      <c r="G836" s="30"/>
      <c r="H836" s="30"/>
      <c r="J836" s="29"/>
      <c r="L836" s="30"/>
      <c r="M836" s="30"/>
      <c r="O836" s="32"/>
      <c r="P836" s="32"/>
      <c r="S836" s="32"/>
    </row>
    <row r="837">
      <c r="D837" s="29"/>
      <c r="F837" s="31"/>
      <c r="G837" s="30"/>
      <c r="H837" s="30"/>
      <c r="J837" s="29"/>
      <c r="L837" s="30"/>
      <c r="M837" s="30"/>
      <c r="O837" s="32"/>
      <c r="P837" s="32"/>
      <c r="S837" s="32"/>
    </row>
    <row r="838">
      <c r="D838" s="29"/>
      <c r="F838" s="31"/>
      <c r="G838" s="30"/>
      <c r="H838" s="30"/>
      <c r="J838" s="29"/>
      <c r="L838" s="30"/>
      <c r="M838" s="30"/>
      <c r="O838" s="32"/>
      <c r="P838" s="32"/>
      <c r="S838" s="32"/>
    </row>
    <row r="839">
      <c r="D839" s="29"/>
      <c r="F839" s="31"/>
      <c r="G839" s="30"/>
      <c r="H839" s="30"/>
      <c r="J839" s="29"/>
      <c r="L839" s="30"/>
      <c r="M839" s="30"/>
      <c r="O839" s="32"/>
      <c r="P839" s="32"/>
      <c r="S839" s="32"/>
    </row>
    <row r="840">
      <c r="D840" s="29"/>
      <c r="F840" s="31"/>
      <c r="G840" s="30"/>
      <c r="H840" s="30"/>
      <c r="J840" s="29"/>
      <c r="L840" s="30"/>
      <c r="M840" s="30"/>
      <c r="O840" s="32"/>
      <c r="P840" s="32"/>
      <c r="S840" s="32"/>
    </row>
    <row r="841">
      <c r="D841" s="29"/>
      <c r="F841" s="31"/>
      <c r="G841" s="30"/>
      <c r="H841" s="30"/>
      <c r="J841" s="29"/>
      <c r="L841" s="30"/>
      <c r="M841" s="30"/>
      <c r="O841" s="32"/>
      <c r="P841" s="32"/>
      <c r="S841" s="32"/>
    </row>
    <row r="842">
      <c r="D842" s="29"/>
      <c r="F842" s="31"/>
      <c r="G842" s="30"/>
      <c r="H842" s="30"/>
      <c r="J842" s="29"/>
      <c r="L842" s="30"/>
      <c r="M842" s="30"/>
      <c r="O842" s="32"/>
      <c r="P842" s="32"/>
      <c r="S842" s="32"/>
    </row>
    <row r="843">
      <c r="D843" s="29"/>
      <c r="F843" s="31"/>
      <c r="G843" s="30"/>
      <c r="H843" s="30"/>
      <c r="J843" s="29"/>
      <c r="L843" s="30"/>
      <c r="M843" s="30"/>
      <c r="O843" s="32"/>
      <c r="P843" s="32"/>
      <c r="S843" s="32"/>
    </row>
    <row r="844">
      <c r="D844" s="29"/>
      <c r="F844" s="31"/>
      <c r="G844" s="30"/>
      <c r="H844" s="30"/>
      <c r="J844" s="29"/>
      <c r="L844" s="30"/>
      <c r="M844" s="30"/>
      <c r="O844" s="32"/>
      <c r="P844" s="32"/>
      <c r="S844" s="32"/>
    </row>
    <row r="845">
      <c r="D845" s="29"/>
      <c r="F845" s="31"/>
      <c r="G845" s="30"/>
      <c r="H845" s="30"/>
      <c r="J845" s="29"/>
      <c r="L845" s="30"/>
      <c r="M845" s="30"/>
      <c r="O845" s="32"/>
      <c r="P845" s="32"/>
      <c r="S845" s="32"/>
    </row>
    <row r="846">
      <c r="D846" s="29"/>
      <c r="F846" s="31"/>
      <c r="G846" s="30"/>
      <c r="H846" s="30"/>
      <c r="J846" s="29"/>
      <c r="L846" s="30"/>
      <c r="M846" s="30"/>
      <c r="O846" s="32"/>
      <c r="P846" s="32"/>
      <c r="S846" s="32"/>
    </row>
    <row r="847">
      <c r="D847" s="29"/>
      <c r="F847" s="31"/>
      <c r="G847" s="30"/>
      <c r="H847" s="30"/>
      <c r="J847" s="29"/>
      <c r="L847" s="30"/>
      <c r="M847" s="30"/>
      <c r="O847" s="32"/>
      <c r="P847" s="32"/>
      <c r="S847" s="32"/>
    </row>
    <row r="848">
      <c r="D848" s="29"/>
      <c r="F848" s="31"/>
      <c r="G848" s="30"/>
      <c r="H848" s="30"/>
      <c r="J848" s="29"/>
      <c r="L848" s="30"/>
      <c r="M848" s="30"/>
      <c r="O848" s="32"/>
      <c r="P848" s="32"/>
      <c r="S848" s="32"/>
    </row>
    <row r="849">
      <c r="D849" s="29"/>
      <c r="F849" s="31"/>
      <c r="G849" s="30"/>
      <c r="H849" s="30"/>
      <c r="J849" s="29"/>
      <c r="L849" s="30"/>
      <c r="M849" s="30"/>
      <c r="O849" s="32"/>
      <c r="P849" s="32"/>
      <c r="S849" s="32"/>
    </row>
    <row r="850">
      <c r="D850" s="29"/>
      <c r="F850" s="31"/>
      <c r="G850" s="30"/>
      <c r="H850" s="30"/>
      <c r="J850" s="29"/>
      <c r="L850" s="30"/>
      <c r="M850" s="30"/>
      <c r="O850" s="32"/>
      <c r="P850" s="32"/>
      <c r="S850" s="32"/>
    </row>
    <row r="851">
      <c r="D851" s="29"/>
      <c r="F851" s="31"/>
      <c r="G851" s="30"/>
      <c r="H851" s="30"/>
      <c r="J851" s="29"/>
      <c r="L851" s="30"/>
      <c r="M851" s="30"/>
      <c r="O851" s="32"/>
      <c r="P851" s="32"/>
      <c r="S851" s="32"/>
    </row>
    <row r="852">
      <c r="D852" s="29"/>
      <c r="F852" s="31"/>
      <c r="G852" s="30"/>
      <c r="H852" s="30"/>
      <c r="J852" s="29"/>
      <c r="L852" s="30"/>
      <c r="M852" s="30"/>
      <c r="O852" s="32"/>
      <c r="P852" s="32"/>
      <c r="S852" s="32"/>
    </row>
    <row r="853">
      <c r="D853" s="29"/>
      <c r="F853" s="31"/>
      <c r="G853" s="30"/>
      <c r="H853" s="30"/>
      <c r="J853" s="29"/>
      <c r="L853" s="30"/>
      <c r="M853" s="30"/>
      <c r="O853" s="32"/>
      <c r="P853" s="32"/>
      <c r="S853" s="32"/>
    </row>
    <row r="854">
      <c r="D854" s="29"/>
      <c r="F854" s="31"/>
      <c r="G854" s="30"/>
      <c r="H854" s="30"/>
      <c r="J854" s="29"/>
      <c r="L854" s="30"/>
      <c r="M854" s="30"/>
      <c r="O854" s="32"/>
      <c r="P854" s="32"/>
      <c r="S854" s="32"/>
    </row>
    <row r="855">
      <c r="D855" s="29"/>
      <c r="F855" s="31"/>
      <c r="G855" s="30"/>
      <c r="H855" s="30"/>
      <c r="J855" s="29"/>
      <c r="L855" s="30"/>
      <c r="M855" s="30"/>
      <c r="O855" s="32"/>
      <c r="P855" s="32"/>
      <c r="S855" s="32"/>
    </row>
    <row r="856">
      <c r="D856" s="29"/>
      <c r="F856" s="31"/>
      <c r="G856" s="30"/>
      <c r="H856" s="30"/>
      <c r="J856" s="29"/>
      <c r="L856" s="30"/>
      <c r="M856" s="30"/>
      <c r="O856" s="32"/>
      <c r="P856" s="32"/>
      <c r="S856" s="32"/>
    </row>
    <row r="857">
      <c r="D857" s="29"/>
      <c r="F857" s="31"/>
      <c r="G857" s="30"/>
      <c r="H857" s="30"/>
      <c r="J857" s="29"/>
      <c r="L857" s="30"/>
      <c r="M857" s="30"/>
      <c r="O857" s="32"/>
      <c r="P857" s="32"/>
      <c r="S857" s="32"/>
    </row>
    <row r="858">
      <c r="D858" s="29"/>
      <c r="F858" s="31"/>
      <c r="G858" s="30"/>
      <c r="H858" s="30"/>
      <c r="J858" s="29"/>
      <c r="L858" s="30"/>
      <c r="M858" s="30"/>
      <c r="O858" s="32"/>
      <c r="P858" s="32"/>
      <c r="S858" s="32"/>
    </row>
    <row r="859">
      <c r="D859" s="29"/>
      <c r="F859" s="31"/>
      <c r="G859" s="30"/>
      <c r="H859" s="30"/>
      <c r="J859" s="29"/>
      <c r="L859" s="30"/>
      <c r="M859" s="30"/>
      <c r="O859" s="32"/>
      <c r="P859" s="32"/>
      <c r="S859" s="32"/>
    </row>
    <row r="860">
      <c r="D860" s="29"/>
      <c r="F860" s="31"/>
      <c r="G860" s="30"/>
      <c r="H860" s="30"/>
      <c r="J860" s="29"/>
      <c r="L860" s="30"/>
      <c r="M860" s="30"/>
      <c r="O860" s="32"/>
      <c r="P860" s="32"/>
      <c r="S860" s="32"/>
    </row>
    <row r="861">
      <c r="D861" s="29"/>
      <c r="F861" s="31"/>
      <c r="G861" s="30"/>
      <c r="H861" s="30"/>
      <c r="J861" s="29"/>
      <c r="L861" s="30"/>
      <c r="M861" s="30"/>
      <c r="O861" s="32"/>
      <c r="P861" s="32"/>
      <c r="S861" s="32"/>
    </row>
    <row r="862">
      <c r="D862" s="29"/>
      <c r="F862" s="31"/>
      <c r="G862" s="30"/>
      <c r="H862" s="30"/>
      <c r="J862" s="29"/>
      <c r="L862" s="30"/>
      <c r="M862" s="30"/>
      <c r="O862" s="32"/>
      <c r="P862" s="32"/>
      <c r="S862" s="32"/>
    </row>
    <row r="863">
      <c r="D863" s="29"/>
      <c r="F863" s="31"/>
      <c r="G863" s="30"/>
      <c r="H863" s="30"/>
      <c r="J863" s="29"/>
      <c r="L863" s="30"/>
      <c r="M863" s="30"/>
      <c r="O863" s="32"/>
      <c r="P863" s="32"/>
      <c r="S863" s="32"/>
    </row>
    <row r="864">
      <c r="D864" s="29"/>
      <c r="F864" s="31"/>
      <c r="G864" s="30"/>
      <c r="H864" s="30"/>
      <c r="J864" s="29"/>
      <c r="L864" s="30"/>
      <c r="M864" s="30"/>
      <c r="O864" s="32"/>
      <c r="P864" s="32"/>
      <c r="S864" s="32"/>
    </row>
    <row r="865">
      <c r="D865" s="29"/>
      <c r="F865" s="31"/>
      <c r="G865" s="30"/>
      <c r="H865" s="30"/>
      <c r="J865" s="29"/>
      <c r="L865" s="30"/>
      <c r="M865" s="30"/>
      <c r="O865" s="32"/>
      <c r="P865" s="32"/>
      <c r="S865" s="32"/>
    </row>
    <row r="866">
      <c r="D866" s="29"/>
      <c r="F866" s="31"/>
      <c r="G866" s="30"/>
      <c r="H866" s="30"/>
      <c r="J866" s="29"/>
      <c r="L866" s="30"/>
      <c r="M866" s="30"/>
      <c r="O866" s="32"/>
      <c r="P866" s="32"/>
      <c r="S866" s="32"/>
    </row>
    <row r="867">
      <c r="D867" s="29"/>
      <c r="F867" s="31"/>
      <c r="G867" s="30"/>
      <c r="H867" s="30"/>
      <c r="J867" s="29"/>
      <c r="L867" s="30"/>
      <c r="M867" s="30"/>
      <c r="O867" s="32"/>
      <c r="P867" s="32"/>
      <c r="S867" s="32"/>
    </row>
    <row r="868">
      <c r="D868" s="29"/>
      <c r="F868" s="31"/>
      <c r="G868" s="30"/>
      <c r="H868" s="30"/>
      <c r="J868" s="29"/>
      <c r="L868" s="30"/>
      <c r="M868" s="30"/>
      <c r="O868" s="32"/>
      <c r="P868" s="32"/>
      <c r="S868" s="32"/>
    </row>
    <row r="869">
      <c r="D869" s="29"/>
      <c r="F869" s="31"/>
      <c r="G869" s="30"/>
      <c r="H869" s="30"/>
      <c r="J869" s="29"/>
      <c r="L869" s="30"/>
      <c r="M869" s="30"/>
      <c r="O869" s="32"/>
      <c r="P869" s="32"/>
      <c r="S869" s="32"/>
    </row>
    <row r="870">
      <c r="D870" s="29"/>
      <c r="F870" s="31"/>
      <c r="G870" s="30"/>
      <c r="H870" s="30"/>
      <c r="J870" s="29"/>
      <c r="L870" s="30"/>
      <c r="M870" s="30"/>
      <c r="O870" s="32"/>
      <c r="P870" s="32"/>
      <c r="S870" s="32"/>
    </row>
    <row r="871">
      <c r="D871" s="29"/>
      <c r="F871" s="31"/>
      <c r="G871" s="30"/>
      <c r="H871" s="30"/>
      <c r="J871" s="29"/>
      <c r="L871" s="30"/>
      <c r="M871" s="30"/>
      <c r="O871" s="32"/>
      <c r="P871" s="32"/>
      <c r="S871" s="32"/>
    </row>
    <row r="872">
      <c r="D872" s="29"/>
      <c r="F872" s="31"/>
      <c r="G872" s="30"/>
      <c r="H872" s="30"/>
      <c r="J872" s="29"/>
      <c r="L872" s="30"/>
      <c r="M872" s="30"/>
      <c r="O872" s="32"/>
      <c r="P872" s="32"/>
      <c r="S872" s="32"/>
    </row>
    <row r="873">
      <c r="D873" s="29"/>
      <c r="F873" s="31"/>
      <c r="G873" s="30"/>
      <c r="H873" s="30"/>
      <c r="J873" s="29"/>
      <c r="L873" s="30"/>
      <c r="M873" s="30"/>
      <c r="O873" s="32"/>
      <c r="P873" s="32"/>
      <c r="S873" s="32"/>
    </row>
    <row r="874">
      <c r="D874" s="29"/>
      <c r="F874" s="31"/>
      <c r="G874" s="30"/>
      <c r="H874" s="30"/>
      <c r="J874" s="29"/>
      <c r="L874" s="30"/>
      <c r="M874" s="30"/>
      <c r="O874" s="32"/>
      <c r="P874" s="32"/>
      <c r="S874" s="32"/>
    </row>
    <row r="875">
      <c r="D875" s="29"/>
      <c r="F875" s="31"/>
      <c r="G875" s="30"/>
      <c r="H875" s="30"/>
      <c r="J875" s="29"/>
      <c r="L875" s="30"/>
      <c r="M875" s="30"/>
      <c r="O875" s="32"/>
      <c r="P875" s="32"/>
      <c r="S875" s="32"/>
    </row>
    <row r="876">
      <c r="D876" s="29"/>
      <c r="F876" s="31"/>
      <c r="G876" s="30"/>
      <c r="H876" s="30"/>
      <c r="J876" s="29"/>
      <c r="L876" s="30"/>
      <c r="M876" s="30"/>
      <c r="O876" s="32"/>
      <c r="P876" s="32"/>
      <c r="S876" s="32"/>
    </row>
    <row r="877">
      <c r="D877" s="29"/>
      <c r="F877" s="31"/>
      <c r="G877" s="30"/>
      <c r="H877" s="30"/>
      <c r="J877" s="29"/>
      <c r="L877" s="30"/>
      <c r="M877" s="30"/>
      <c r="O877" s="32"/>
      <c r="P877" s="32"/>
      <c r="S877" s="32"/>
    </row>
    <row r="878">
      <c r="D878" s="29"/>
      <c r="F878" s="31"/>
      <c r="G878" s="30"/>
      <c r="H878" s="30"/>
      <c r="J878" s="29"/>
      <c r="L878" s="30"/>
      <c r="M878" s="30"/>
      <c r="O878" s="32"/>
      <c r="P878" s="32"/>
      <c r="S878" s="32"/>
    </row>
    <row r="879">
      <c r="D879" s="29"/>
      <c r="F879" s="31"/>
      <c r="G879" s="30"/>
      <c r="H879" s="30"/>
      <c r="J879" s="29"/>
      <c r="L879" s="30"/>
      <c r="M879" s="30"/>
      <c r="O879" s="32"/>
      <c r="P879" s="32"/>
      <c r="S879" s="32"/>
    </row>
    <row r="880">
      <c r="D880" s="29"/>
      <c r="F880" s="31"/>
      <c r="G880" s="30"/>
      <c r="H880" s="30"/>
      <c r="J880" s="29"/>
      <c r="L880" s="30"/>
      <c r="M880" s="30"/>
      <c r="O880" s="32"/>
      <c r="P880" s="32"/>
      <c r="S880" s="32"/>
    </row>
    <row r="881">
      <c r="D881" s="29"/>
      <c r="F881" s="31"/>
      <c r="G881" s="30"/>
      <c r="H881" s="30"/>
      <c r="J881" s="29"/>
      <c r="L881" s="30"/>
      <c r="M881" s="30"/>
      <c r="O881" s="32"/>
      <c r="P881" s="32"/>
      <c r="S881" s="32"/>
    </row>
    <row r="882">
      <c r="D882" s="29"/>
      <c r="F882" s="31"/>
      <c r="G882" s="30"/>
      <c r="H882" s="30"/>
      <c r="J882" s="29"/>
      <c r="L882" s="30"/>
      <c r="M882" s="30"/>
      <c r="O882" s="32"/>
      <c r="P882" s="32"/>
      <c r="S882" s="32"/>
    </row>
    <row r="883">
      <c r="D883" s="29"/>
      <c r="F883" s="31"/>
      <c r="G883" s="30"/>
      <c r="H883" s="30"/>
      <c r="J883" s="29"/>
      <c r="L883" s="30"/>
      <c r="M883" s="30"/>
      <c r="O883" s="32"/>
      <c r="P883" s="32"/>
      <c r="S883" s="32"/>
    </row>
    <row r="884">
      <c r="D884" s="29"/>
      <c r="F884" s="31"/>
      <c r="G884" s="30"/>
      <c r="H884" s="30"/>
      <c r="J884" s="29"/>
      <c r="L884" s="30"/>
      <c r="M884" s="30"/>
      <c r="O884" s="32"/>
      <c r="P884" s="32"/>
      <c r="S884" s="32"/>
    </row>
    <row r="885">
      <c r="D885" s="29"/>
      <c r="F885" s="31"/>
      <c r="G885" s="30"/>
      <c r="H885" s="30"/>
      <c r="J885" s="29"/>
      <c r="L885" s="30"/>
      <c r="M885" s="30"/>
      <c r="O885" s="32"/>
      <c r="P885" s="32"/>
      <c r="S885" s="32"/>
    </row>
    <row r="886">
      <c r="D886" s="29"/>
      <c r="F886" s="31"/>
      <c r="G886" s="30"/>
      <c r="H886" s="30"/>
      <c r="J886" s="29"/>
      <c r="L886" s="30"/>
      <c r="M886" s="30"/>
      <c r="O886" s="32"/>
      <c r="P886" s="32"/>
      <c r="S886" s="32"/>
    </row>
    <row r="887">
      <c r="D887" s="29"/>
      <c r="F887" s="31"/>
      <c r="G887" s="30"/>
      <c r="H887" s="30"/>
      <c r="J887" s="29"/>
      <c r="L887" s="30"/>
      <c r="M887" s="30"/>
      <c r="O887" s="32"/>
      <c r="P887" s="32"/>
      <c r="S887" s="32"/>
    </row>
    <row r="888">
      <c r="D888" s="29"/>
      <c r="F888" s="31"/>
      <c r="G888" s="30"/>
      <c r="H888" s="30"/>
      <c r="J888" s="29"/>
      <c r="L888" s="30"/>
      <c r="M888" s="30"/>
      <c r="O888" s="32"/>
      <c r="P888" s="32"/>
      <c r="S888" s="32"/>
    </row>
    <row r="889">
      <c r="D889" s="29"/>
      <c r="F889" s="31"/>
      <c r="G889" s="30"/>
      <c r="H889" s="30"/>
      <c r="J889" s="29"/>
      <c r="L889" s="30"/>
      <c r="M889" s="30"/>
      <c r="O889" s="32"/>
      <c r="P889" s="32"/>
      <c r="S889" s="32"/>
    </row>
    <row r="890">
      <c r="D890" s="29"/>
      <c r="F890" s="31"/>
      <c r="G890" s="30"/>
      <c r="H890" s="30"/>
      <c r="J890" s="29"/>
      <c r="L890" s="30"/>
      <c r="M890" s="30"/>
      <c r="O890" s="32"/>
      <c r="P890" s="32"/>
      <c r="S890" s="32"/>
    </row>
    <row r="891">
      <c r="D891" s="29"/>
      <c r="F891" s="31"/>
      <c r="G891" s="30"/>
      <c r="H891" s="30"/>
      <c r="J891" s="29"/>
      <c r="L891" s="30"/>
      <c r="M891" s="30"/>
      <c r="O891" s="32"/>
      <c r="P891" s="32"/>
      <c r="S891" s="32"/>
    </row>
    <row r="892">
      <c r="D892" s="29"/>
      <c r="F892" s="31"/>
      <c r="G892" s="30"/>
      <c r="H892" s="30"/>
      <c r="J892" s="29"/>
      <c r="L892" s="30"/>
      <c r="M892" s="30"/>
      <c r="O892" s="32"/>
      <c r="P892" s="32"/>
      <c r="S892" s="32"/>
    </row>
    <row r="893">
      <c r="D893" s="29"/>
      <c r="F893" s="31"/>
      <c r="G893" s="30"/>
      <c r="H893" s="30"/>
      <c r="J893" s="29"/>
      <c r="L893" s="30"/>
      <c r="M893" s="30"/>
      <c r="O893" s="32"/>
      <c r="P893" s="32"/>
      <c r="S893" s="32"/>
    </row>
    <row r="894">
      <c r="D894" s="29"/>
      <c r="F894" s="31"/>
      <c r="G894" s="30"/>
      <c r="H894" s="30"/>
      <c r="J894" s="29"/>
      <c r="L894" s="30"/>
      <c r="M894" s="30"/>
      <c r="O894" s="32"/>
      <c r="P894" s="32"/>
      <c r="S894" s="32"/>
    </row>
    <row r="895">
      <c r="D895" s="29"/>
      <c r="F895" s="31"/>
      <c r="G895" s="30"/>
      <c r="H895" s="30"/>
      <c r="J895" s="29"/>
      <c r="L895" s="30"/>
      <c r="M895" s="30"/>
      <c r="O895" s="32"/>
      <c r="P895" s="32"/>
      <c r="S895" s="32"/>
    </row>
    <row r="896">
      <c r="D896" s="29"/>
      <c r="F896" s="31"/>
      <c r="G896" s="30"/>
      <c r="H896" s="30"/>
      <c r="J896" s="29"/>
      <c r="L896" s="30"/>
      <c r="M896" s="30"/>
      <c r="O896" s="32"/>
      <c r="P896" s="32"/>
      <c r="S896" s="32"/>
    </row>
    <row r="897">
      <c r="D897" s="29"/>
      <c r="F897" s="31"/>
      <c r="G897" s="30"/>
      <c r="H897" s="30"/>
      <c r="J897" s="29"/>
      <c r="L897" s="30"/>
      <c r="M897" s="30"/>
      <c r="O897" s="32"/>
      <c r="P897" s="32"/>
      <c r="S897" s="32"/>
    </row>
    <row r="898">
      <c r="D898" s="29"/>
      <c r="F898" s="31"/>
      <c r="G898" s="30"/>
      <c r="H898" s="30"/>
      <c r="J898" s="29"/>
      <c r="L898" s="30"/>
      <c r="M898" s="30"/>
      <c r="O898" s="32"/>
      <c r="P898" s="32"/>
      <c r="S898" s="32"/>
    </row>
    <row r="899">
      <c r="D899" s="29"/>
      <c r="F899" s="31"/>
      <c r="G899" s="30"/>
      <c r="H899" s="30"/>
      <c r="J899" s="29"/>
      <c r="L899" s="30"/>
      <c r="M899" s="30"/>
      <c r="O899" s="32"/>
      <c r="P899" s="32"/>
      <c r="S899" s="32"/>
    </row>
    <row r="900">
      <c r="D900" s="29"/>
      <c r="F900" s="31"/>
      <c r="G900" s="30"/>
      <c r="H900" s="30"/>
      <c r="J900" s="29"/>
      <c r="L900" s="30"/>
      <c r="M900" s="30"/>
      <c r="O900" s="32"/>
      <c r="P900" s="32"/>
      <c r="S900" s="32"/>
    </row>
    <row r="901">
      <c r="D901" s="29"/>
      <c r="F901" s="31"/>
      <c r="G901" s="30"/>
      <c r="H901" s="30"/>
      <c r="J901" s="29"/>
      <c r="L901" s="30"/>
      <c r="M901" s="30"/>
      <c r="O901" s="32"/>
      <c r="P901" s="32"/>
      <c r="S901" s="32"/>
    </row>
    <row r="902">
      <c r="D902" s="29"/>
      <c r="F902" s="31"/>
      <c r="G902" s="30"/>
      <c r="H902" s="30"/>
      <c r="J902" s="29"/>
      <c r="L902" s="30"/>
      <c r="M902" s="30"/>
      <c r="O902" s="32"/>
      <c r="P902" s="32"/>
      <c r="S902" s="32"/>
    </row>
    <row r="903">
      <c r="D903" s="29"/>
      <c r="F903" s="31"/>
      <c r="G903" s="30"/>
      <c r="H903" s="30"/>
      <c r="J903" s="29"/>
      <c r="L903" s="30"/>
      <c r="M903" s="30"/>
      <c r="O903" s="32"/>
      <c r="P903" s="32"/>
      <c r="S903" s="32"/>
    </row>
    <row r="904">
      <c r="D904" s="29"/>
      <c r="F904" s="31"/>
      <c r="G904" s="30"/>
      <c r="H904" s="30"/>
      <c r="J904" s="29"/>
      <c r="L904" s="30"/>
      <c r="M904" s="30"/>
      <c r="O904" s="32"/>
      <c r="P904" s="32"/>
      <c r="S904" s="32"/>
    </row>
    <row r="905">
      <c r="D905" s="29"/>
      <c r="F905" s="31"/>
      <c r="G905" s="30"/>
      <c r="H905" s="30"/>
      <c r="J905" s="29"/>
      <c r="L905" s="30"/>
      <c r="M905" s="30"/>
      <c r="O905" s="32"/>
      <c r="P905" s="32"/>
      <c r="S905" s="32"/>
    </row>
    <row r="906">
      <c r="D906" s="29"/>
      <c r="F906" s="31"/>
      <c r="G906" s="30"/>
      <c r="H906" s="30"/>
      <c r="J906" s="29"/>
      <c r="L906" s="30"/>
      <c r="M906" s="30"/>
      <c r="O906" s="32"/>
      <c r="P906" s="32"/>
      <c r="S906" s="32"/>
    </row>
    <row r="907">
      <c r="D907" s="29"/>
      <c r="F907" s="31"/>
      <c r="G907" s="30"/>
      <c r="H907" s="30"/>
      <c r="J907" s="29"/>
      <c r="L907" s="30"/>
      <c r="M907" s="30"/>
      <c r="O907" s="32"/>
      <c r="P907" s="32"/>
      <c r="S907" s="32"/>
    </row>
    <row r="908">
      <c r="D908" s="29"/>
      <c r="F908" s="31"/>
      <c r="G908" s="30"/>
      <c r="H908" s="30"/>
      <c r="J908" s="29"/>
      <c r="L908" s="30"/>
      <c r="M908" s="30"/>
      <c r="O908" s="32"/>
      <c r="P908" s="32"/>
      <c r="S908" s="32"/>
    </row>
    <row r="909">
      <c r="D909" s="29"/>
      <c r="F909" s="31"/>
      <c r="G909" s="30"/>
      <c r="H909" s="30"/>
      <c r="J909" s="29"/>
      <c r="L909" s="30"/>
      <c r="M909" s="30"/>
      <c r="O909" s="32"/>
      <c r="P909" s="32"/>
      <c r="S909" s="32"/>
    </row>
    <row r="910">
      <c r="D910" s="29"/>
      <c r="F910" s="31"/>
      <c r="G910" s="30"/>
      <c r="H910" s="30"/>
      <c r="J910" s="29"/>
      <c r="L910" s="30"/>
      <c r="M910" s="30"/>
      <c r="O910" s="32"/>
      <c r="P910" s="32"/>
      <c r="S910" s="32"/>
    </row>
    <row r="911">
      <c r="D911" s="29"/>
      <c r="F911" s="31"/>
      <c r="G911" s="30"/>
      <c r="H911" s="30"/>
      <c r="J911" s="29"/>
      <c r="L911" s="30"/>
      <c r="M911" s="30"/>
      <c r="O911" s="32"/>
      <c r="P911" s="32"/>
      <c r="S911" s="32"/>
    </row>
    <row r="912">
      <c r="D912" s="29"/>
      <c r="F912" s="31"/>
      <c r="G912" s="30"/>
      <c r="H912" s="30"/>
      <c r="J912" s="29"/>
      <c r="L912" s="30"/>
      <c r="M912" s="30"/>
      <c r="O912" s="32"/>
      <c r="P912" s="32"/>
      <c r="S912" s="32"/>
    </row>
    <row r="913">
      <c r="D913" s="29"/>
      <c r="F913" s="31"/>
      <c r="G913" s="30"/>
      <c r="H913" s="30"/>
      <c r="J913" s="29"/>
      <c r="L913" s="30"/>
      <c r="M913" s="30"/>
      <c r="O913" s="32"/>
      <c r="P913" s="32"/>
      <c r="S913" s="32"/>
    </row>
    <row r="914">
      <c r="D914" s="29"/>
      <c r="F914" s="31"/>
      <c r="G914" s="30"/>
      <c r="H914" s="30"/>
      <c r="J914" s="29"/>
      <c r="L914" s="30"/>
      <c r="M914" s="30"/>
      <c r="O914" s="32"/>
      <c r="P914" s="32"/>
      <c r="S914" s="32"/>
    </row>
    <row r="915">
      <c r="D915" s="29"/>
      <c r="F915" s="31"/>
      <c r="G915" s="30"/>
      <c r="H915" s="30"/>
      <c r="J915" s="29"/>
      <c r="L915" s="30"/>
      <c r="M915" s="30"/>
      <c r="O915" s="32"/>
      <c r="P915" s="32"/>
      <c r="S915" s="32"/>
    </row>
    <row r="916">
      <c r="D916" s="29"/>
      <c r="F916" s="31"/>
      <c r="G916" s="30"/>
      <c r="H916" s="30"/>
      <c r="J916" s="29"/>
      <c r="L916" s="30"/>
      <c r="M916" s="30"/>
      <c r="O916" s="32"/>
      <c r="P916" s="32"/>
      <c r="S916" s="32"/>
    </row>
    <row r="917">
      <c r="D917" s="29"/>
      <c r="F917" s="31"/>
      <c r="G917" s="30"/>
      <c r="H917" s="30"/>
      <c r="J917" s="29"/>
      <c r="L917" s="30"/>
      <c r="M917" s="30"/>
      <c r="O917" s="32"/>
      <c r="P917" s="32"/>
      <c r="S917" s="32"/>
    </row>
    <row r="918">
      <c r="D918" s="29"/>
      <c r="F918" s="31"/>
      <c r="G918" s="30"/>
      <c r="H918" s="30"/>
      <c r="J918" s="29"/>
      <c r="L918" s="30"/>
      <c r="M918" s="30"/>
      <c r="O918" s="32"/>
      <c r="P918" s="32"/>
      <c r="S918" s="32"/>
    </row>
    <row r="919">
      <c r="D919" s="29"/>
      <c r="F919" s="31"/>
      <c r="G919" s="30"/>
      <c r="H919" s="30"/>
      <c r="J919" s="29"/>
      <c r="L919" s="30"/>
      <c r="M919" s="30"/>
      <c r="O919" s="32"/>
      <c r="P919" s="32"/>
      <c r="S919" s="32"/>
    </row>
    <row r="920">
      <c r="D920" s="29"/>
      <c r="F920" s="31"/>
      <c r="G920" s="30"/>
      <c r="H920" s="30"/>
      <c r="J920" s="29"/>
      <c r="L920" s="30"/>
      <c r="M920" s="30"/>
      <c r="O920" s="32"/>
      <c r="P920" s="32"/>
      <c r="S920" s="32"/>
    </row>
    <row r="921">
      <c r="D921" s="29"/>
      <c r="F921" s="31"/>
      <c r="G921" s="30"/>
      <c r="H921" s="30"/>
      <c r="J921" s="29"/>
      <c r="L921" s="30"/>
      <c r="M921" s="30"/>
      <c r="O921" s="32"/>
      <c r="P921" s="32"/>
      <c r="S921" s="32"/>
    </row>
    <row r="922">
      <c r="D922" s="29"/>
      <c r="F922" s="31"/>
      <c r="G922" s="30"/>
      <c r="H922" s="30"/>
      <c r="J922" s="29"/>
      <c r="L922" s="30"/>
      <c r="M922" s="30"/>
      <c r="O922" s="32"/>
      <c r="P922" s="32"/>
      <c r="S922" s="32"/>
    </row>
    <row r="923">
      <c r="D923" s="29"/>
      <c r="F923" s="31"/>
      <c r="G923" s="30"/>
      <c r="H923" s="30"/>
      <c r="J923" s="29"/>
      <c r="L923" s="30"/>
      <c r="M923" s="30"/>
      <c r="O923" s="32"/>
      <c r="P923" s="32"/>
      <c r="S923" s="32"/>
    </row>
    <row r="924">
      <c r="D924" s="29"/>
      <c r="F924" s="31"/>
      <c r="G924" s="30"/>
      <c r="H924" s="30"/>
      <c r="J924" s="29"/>
      <c r="L924" s="30"/>
      <c r="M924" s="30"/>
      <c r="O924" s="32"/>
      <c r="P924" s="32"/>
      <c r="S924" s="32"/>
    </row>
    <row r="925">
      <c r="D925" s="29"/>
      <c r="F925" s="31"/>
      <c r="G925" s="30"/>
      <c r="H925" s="30"/>
      <c r="J925" s="29"/>
      <c r="L925" s="30"/>
      <c r="M925" s="30"/>
      <c r="O925" s="32"/>
      <c r="P925" s="32"/>
      <c r="S925" s="32"/>
    </row>
    <row r="926">
      <c r="D926" s="29"/>
      <c r="F926" s="31"/>
      <c r="G926" s="30"/>
      <c r="H926" s="30"/>
      <c r="J926" s="29"/>
      <c r="L926" s="30"/>
      <c r="M926" s="30"/>
      <c r="O926" s="32"/>
      <c r="P926" s="32"/>
      <c r="S926" s="32"/>
    </row>
    <row r="927">
      <c r="D927" s="29"/>
      <c r="F927" s="31"/>
      <c r="G927" s="30"/>
      <c r="H927" s="30"/>
      <c r="J927" s="29"/>
      <c r="L927" s="30"/>
      <c r="M927" s="30"/>
      <c r="O927" s="32"/>
      <c r="P927" s="32"/>
      <c r="S927" s="32"/>
    </row>
    <row r="928">
      <c r="D928" s="29"/>
      <c r="F928" s="31"/>
      <c r="G928" s="30"/>
      <c r="H928" s="30"/>
      <c r="J928" s="29"/>
      <c r="L928" s="30"/>
      <c r="M928" s="30"/>
      <c r="O928" s="32"/>
      <c r="P928" s="32"/>
      <c r="S928" s="32"/>
    </row>
    <row r="929">
      <c r="D929" s="29"/>
      <c r="F929" s="31"/>
      <c r="G929" s="30"/>
      <c r="H929" s="30"/>
      <c r="J929" s="29"/>
      <c r="L929" s="30"/>
      <c r="M929" s="30"/>
      <c r="O929" s="32"/>
      <c r="P929" s="32"/>
      <c r="S929" s="32"/>
    </row>
    <row r="930">
      <c r="D930" s="29"/>
      <c r="F930" s="31"/>
      <c r="G930" s="30"/>
      <c r="H930" s="30"/>
      <c r="J930" s="29"/>
      <c r="L930" s="30"/>
      <c r="M930" s="30"/>
      <c r="O930" s="32"/>
      <c r="P930" s="32"/>
      <c r="S930" s="32"/>
    </row>
    <row r="931">
      <c r="D931" s="29"/>
      <c r="F931" s="31"/>
      <c r="G931" s="30"/>
      <c r="H931" s="30"/>
      <c r="J931" s="29"/>
      <c r="L931" s="30"/>
      <c r="M931" s="30"/>
      <c r="O931" s="32"/>
      <c r="P931" s="32"/>
      <c r="S931" s="32"/>
    </row>
    <row r="932">
      <c r="D932" s="29"/>
      <c r="F932" s="31"/>
      <c r="G932" s="30"/>
      <c r="H932" s="30"/>
      <c r="J932" s="29"/>
      <c r="L932" s="30"/>
      <c r="M932" s="30"/>
      <c r="O932" s="32"/>
      <c r="P932" s="32"/>
      <c r="S932" s="32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5.13"/>
    <col customWidth="1" min="2" max="16" width="9.5"/>
  </cols>
  <sheetData>
    <row r="1">
      <c r="A1" s="1"/>
      <c r="B1" s="3" t="s">
        <v>0</v>
      </c>
      <c r="C1" s="2" t="s">
        <v>2</v>
      </c>
      <c r="D1" s="2" t="s">
        <v>3</v>
      </c>
      <c r="E1" s="2" t="s">
        <v>4</v>
      </c>
      <c r="F1" s="2" t="s">
        <v>6</v>
      </c>
      <c r="G1" s="6" t="s">
        <v>8</v>
      </c>
      <c r="H1" s="6" t="s">
        <v>10</v>
      </c>
      <c r="I1" s="2" t="s">
        <v>12</v>
      </c>
      <c r="J1" s="2" t="s">
        <v>14</v>
      </c>
      <c r="K1" s="2" t="s">
        <v>16</v>
      </c>
      <c r="L1" s="6" t="s">
        <v>19</v>
      </c>
      <c r="M1" s="6" t="s">
        <v>22</v>
      </c>
      <c r="N1" s="2" t="s">
        <v>24</v>
      </c>
      <c r="O1" s="9" t="s">
        <v>26</v>
      </c>
      <c r="P1" s="9" t="s">
        <v>28</v>
      </c>
    </row>
    <row r="2">
      <c r="A2" s="2" t="s">
        <v>46</v>
      </c>
      <c r="B2" s="10">
        <v>3.0</v>
      </c>
      <c r="C2" s="12">
        <f t="shared" ref="C2:C139" si="1">B2*3</f>
        <v>9</v>
      </c>
      <c r="D2" s="11">
        <v>4.0</v>
      </c>
      <c r="E2" s="11">
        <v>0.0</v>
      </c>
      <c r="F2" s="12">
        <f t="shared" ref="F2:F139" si="2">D2+E2</f>
        <v>4</v>
      </c>
      <c r="G2" s="16">
        <f t="shared" ref="G2:G139" si="3">F2/C2</f>
        <v>0.4444444444</v>
      </c>
      <c r="H2" s="16">
        <f t="shared" ref="H2:H48" si="4">D2/F2</f>
        <v>1</v>
      </c>
      <c r="I2" s="12">
        <f t="shared" ref="I2:I139" si="5">J2+K2</f>
        <v>1</v>
      </c>
      <c r="J2" s="11">
        <v>1.0</v>
      </c>
      <c r="K2" s="11">
        <v>0.0</v>
      </c>
      <c r="L2" s="16">
        <f t="shared" ref="L2:L139" si="6">I2/C2</f>
        <v>0.1111111111</v>
      </c>
      <c r="M2" s="16">
        <f>J2/I2</f>
        <v>1</v>
      </c>
      <c r="N2" s="12">
        <f t="shared" ref="N2:N139" si="7">4*(D2-K2)</f>
        <v>16</v>
      </c>
      <c r="O2" s="18">
        <f t="shared" ref="O2:O139" si="8">N2/C2</f>
        <v>1.777777778</v>
      </c>
      <c r="P2" s="18">
        <f t="shared" ref="P2:P139" si="9">N2/B2</f>
        <v>5.333333333</v>
      </c>
    </row>
    <row r="3">
      <c r="A3" s="2" t="s">
        <v>75</v>
      </c>
      <c r="B3" s="28">
        <f>1/3+1+1/3</f>
        <v>1.666666667</v>
      </c>
      <c r="C3" s="12">
        <f t="shared" si="1"/>
        <v>5</v>
      </c>
      <c r="D3" s="11">
        <v>2.0</v>
      </c>
      <c r="E3" s="20">
        <v>0.0</v>
      </c>
      <c r="F3" s="21">
        <f t="shared" si="2"/>
        <v>2</v>
      </c>
      <c r="G3" s="23">
        <f t="shared" si="3"/>
        <v>0.4</v>
      </c>
      <c r="H3" s="23">
        <f t="shared" si="4"/>
        <v>1</v>
      </c>
      <c r="I3" s="12">
        <f t="shared" si="5"/>
        <v>0</v>
      </c>
      <c r="J3" s="11">
        <v>0.0</v>
      </c>
      <c r="K3" s="11">
        <v>0.0</v>
      </c>
      <c r="L3" s="16">
        <f t="shared" si="6"/>
        <v>0</v>
      </c>
      <c r="M3" s="11" t="s">
        <v>41</v>
      </c>
      <c r="N3" s="12">
        <f t="shared" si="7"/>
        <v>8</v>
      </c>
      <c r="O3" s="18">
        <f t="shared" si="8"/>
        <v>1.6</v>
      </c>
      <c r="P3" s="18">
        <f t="shared" si="9"/>
        <v>4.8</v>
      </c>
    </row>
    <row r="4">
      <c r="A4" s="2" t="s">
        <v>80</v>
      </c>
      <c r="B4" s="10">
        <v>3.0</v>
      </c>
      <c r="C4" s="12">
        <f t="shared" si="1"/>
        <v>9</v>
      </c>
      <c r="D4" s="11">
        <v>3.0</v>
      </c>
      <c r="E4" s="20">
        <v>0.0</v>
      </c>
      <c r="F4" s="21">
        <f t="shared" si="2"/>
        <v>3</v>
      </c>
      <c r="G4" s="23">
        <f t="shared" si="3"/>
        <v>0.3333333333</v>
      </c>
      <c r="H4" s="23">
        <f t="shared" si="4"/>
        <v>1</v>
      </c>
      <c r="I4" s="12">
        <f t="shared" si="5"/>
        <v>0</v>
      </c>
      <c r="J4" s="11">
        <v>0.0</v>
      </c>
      <c r="K4" s="11">
        <v>0.0</v>
      </c>
      <c r="L4" s="16">
        <f t="shared" si="6"/>
        <v>0</v>
      </c>
      <c r="M4" s="11" t="s">
        <v>41</v>
      </c>
      <c r="N4" s="12">
        <f t="shared" si="7"/>
        <v>12</v>
      </c>
      <c r="O4" s="18">
        <f t="shared" si="8"/>
        <v>1.333333333</v>
      </c>
      <c r="P4" s="18">
        <f t="shared" si="9"/>
        <v>4</v>
      </c>
    </row>
    <row r="5">
      <c r="A5" s="2" t="s">
        <v>199</v>
      </c>
      <c r="B5" s="10">
        <v>3.0</v>
      </c>
      <c r="C5" s="12">
        <f t="shared" si="1"/>
        <v>9</v>
      </c>
      <c r="D5" s="11">
        <v>3.0</v>
      </c>
      <c r="E5" s="11">
        <v>0.0</v>
      </c>
      <c r="F5" s="12">
        <f t="shared" si="2"/>
        <v>3</v>
      </c>
      <c r="G5" s="16">
        <f t="shared" si="3"/>
        <v>0.3333333333</v>
      </c>
      <c r="H5" s="16">
        <f t="shared" si="4"/>
        <v>1</v>
      </c>
      <c r="I5" s="12">
        <f t="shared" si="5"/>
        <v>1</v>
      </c>
      <c r="J5" s="11">
        <v>1.0</v>
      </c>
      <c r="K5" s="11">
        <v>0.0</v>
      </c>
      <c r="L5" s="16">
        <f t="shared" si="6"/>
        <v>0.1111111111</v>
      </c>
      <c r="M5" s="16">
        <f>J5/I5</f>
        <v>1</v>
      </c>
      <c r="N5" s="12">
        <f t="shared" si="7"/>
        <v>12</v>
      </c>
      <c r="O5" s="18">
        <f t="shared" si="8"/>
        <v>1.333333333</v>
      </c>
      <c r="P5" s="18">
        <f t="shared" si="9"/>
        <v>4</v>
      </c>
    </row>
    <row r="6">
      <c r="A6" s="2" t="s">
        <v>92</v>
      </c>
      <c r="B6" s="10">
        <v>2.0</v>
      </c>
      <c r="C6" s="12">
        <f t="shared" si="1"/>
        <v>6</v>
      </c>
      <c r="D6" s="11">
        <v>2.0</v>
      </c>
      <c r="E6" s="20">
        <v>0.0</v>
      </c>
      <c r="F6" s="21">
        <f t="shared" si="2"/>
        <v>2</v>
      </c>
      <c r="G6" s="23">
        <f t="shared" si="3"/>
        <v>0.3333333333</v>
      </c>
      <c r="H6" s="23">
        <f t="shared" si="4"/>
        <v>1</v>
      </c>
      <c r="I6" s="12">
        <f t="shared" si="5"/>
        <v>0</v>
      </c>
      <c r="J6" s="11">
        <v>0.0</v>
      </c>
      <c r="K6" s="11">
        <v>0.0</v>
      </c>
      <c r="L6" s="16">
        <f t="shared" si="6"/>
        <v>0</v>
      </c>
      <c r="M6" s="11" t="s">
        <v>41</v>
      </c>
      <c r="N6" s="12">
        <f t="shared" si="7"/>
        <v>8</v>
      </c>
      <c r="O6" s="18">
        <f t="shared" si="8"/>
        <v>1.333333333</v>
      </c>
      <c r="P6" s="18">
        <f t="shared" si="9"/>
        <v>4</v>
      </c>
    </row>
    <row r="7">
      <c r="A7" s="2" t="s">
        <v>69</v>
      </c>
      <c r="B7" s="10">
        <v>3.0</v>
      </c>
      <c r="C7" s="12">
        <f t="shared" si="1"/>
        <v>9</v>
      </c>
      <c r="D7" s="11">
        <v>3.0</v>
      </c>
      <c r="E7" s="11">
        <v>1.0</v>
      </c>
      <c r="F7" s="12">
        <f t="shared" si="2"/>
        <v>4</v>
      </c>
      <c r="G7" s="16">
        <f t="shared" si="3"/>
        <v>0.4444444444</v>
      </c>
      <c r="H7" s="16">
        <f t="shared" si="4"/>
        <v>0.75</v>
      </c>
      <c r="I7" s="12">
        <f t="shared" si="5"/>
        <v>1</v>
      </c>
      <c r="J7" s="11">
        <v>1.0</v>
      </c>
      <c r="K7" s="11">
        <v>0.0</v>
      </c>
      <c r="L7" s="16">
        <f t="shared" si="6"/>
        <v>0.1111111111</v>
      </c>
      <c r="M7" s="16">
        <f t="shared" ref="M7:M9" si="10">J7/I7</f>
        <v>1</v>
      </c>
      <c r="N7" s="12">
        <f t="shared" si="7"/>
        <v>12</v>
      </c>
      <c r="O7" s="18">
        <f t="shared" si="8"/>
        <v>1.333333333</v>
      </c>
      <c r="P7" s="18">
        <f t="shared" si="9"/>
        <v>4</v>
      </c>
    </row>
    <row r="8">
      <c r="A8" s="2" t="s">
        <v>121</v>
      </c>
      <c r="B8" s="10">
        <v>2.0</v>
      </c>
      <c r="C8" s="12">
        <f t="shared" si="1"/>
        <v>6</v>
      </c>
      <c r="D8" s="11">
        <v>2.0</v>
      </c>
      <c r="E8" s="11">
        <v>1.0</v>
      </c>
      <c r="F8" s="12">
        <f t="shared" si="2"/>
        <v>3</v>
      </c>
      <c r="G8" s="16">
        <f t="shared" si="3"/>
        <v>0.5</v>
      </c>
      <c r="H8" s="16">
        <f t="shared" si="4"/>
        <v>0.6666666667</v>
      </c>
      <c r="I8" s="12">
        <f t="shared" si="5"/>
        <v>1</v>
      </c>
      <c r="J8" s="11">
        <v>1.0</v>
      </c>
      <c r="K8" s="11">
        <v>0.0</v>
      </c>
      <c r="L8" s="16">
        <f t="shared" si="6"/>
        <v>0.1666666667</v>
      </c>
      <c r="M8" s="16">
        <f t="shared" si="10"/>
        <v>1</v>
      </c>
      <c r="N8" s="12">
        <f t="shared" si="7"/>
        <v>8</v>
      </c>
      <c r="O8" s="18">
        <f t="shared" si="8"/>
        <v>1.333333333</v>
      </c>
      <c r="P8" s="18">
        <f t="shared" si="9"/>
        <v>4</v>
      </c>
    </row>
    <row r="9">
      <c r="A9" s="2" t="s">
        <v>48</v>
      </c>
      <c r="B9" s="10">
        <v>3.0</v>
      </c>
      <c r="C9" s="12">
        <f t="shared" si="1"/>
        <v>9</v>
      </c>
      <c r="D9" s="11">
        <v>3.0</v>
      </c>
      <c r="E9" s="11">
        <v>3.0</v>
      </c>
      <c r="F9" s="12">
        <f t="shared" si="2"/>
        <v>6</v>
      </c>
      <c r="G9" s="16">
        <f t="shared" si="3"/>
        <v>0.6666666667</v>
      </c>
      <c r="H9" s="16">
        <f t="shared" si="4"/>
        <v>0.5</v>
      </c>
      <c r="I9" s="12">
        <f t="shared" si="5"/>
        <v>1</v>
      </c>
      <c r="J9" s="11">
        <v>1.0</v>
      </c>
      <c r="K9" s="11">
        <v>0.0</v>
      </c>
      <c r="L9" s="16">
        <f t="shared" si="6"/>
        <v>0.1111111111</v>
      </c>
      <c r="M9" s="16">
        <f t="shared" si="10"/>
        <v>1</v>
      </c>
      <c r="N9" s="12">
        <f t="shared" si="7"/>
        <v>12</v>
      </c>
      <c r="O9" s="18">
        <f t="shared" si="8"/>
        <v>1.333333333</v>
      </c>
      <c r="P9" s="18">
        <f t="shared" si="9"/>
        <v>4</v>
      </c>
    </row>
    <row r="10">
      <c r="A10" s="2" t="s">
        <v>130</v>
      </c>
      <c r="B10" s="10">
        <v>1.0</v>
      </c>
      <c r="C10" s="12">
        <f t="shared" si="1"/>
        <v>3</v>
      </c>
      <c r="D10" s="11">
        <v>1.0</v>
      </c>
      <c r="E10" s="11">
        <v>1.0</v>
      </c>
      <c r="F10" s="12">
        <f t="shared" si="2"/>
        <v>2</v>
      </c>
      <c r="G10" s="16">
        <f t="shared" si="3"/>
        <v>0.6666666667</v>
      </c>
      <c r="H10" s="16">
        <f t="shared" si="4"/>
        <v>0.5</v>
      </c>
      <c r="I10" s="12">
        <f t="shared" si="5"/>
        <v>0</v>
      </c>
      <c r="J10" s="11">
        <v>0.0</v>
      </c>
      <c r="K10" s="11">
        <v>0.0</v>
      </c>
      <c r="L10" s="16">
        <f t="shared" si="6"/>
        <v>0</v>
      </c>
      <c r="M10" s="11" t="s">
        <v>41</v>
      </c>
      <c r="N10" s="12">
        <f t="shared" si="7"/>
        <v>4</v>
      </c>
      <c r="O10" s="18">
        <f t="shared" si="8"/>
        <v>1.333333333</v>
      </c>
      <c r="P10" s="18">
        <f t="shared" si="9"/>
        <v>4</v>
      </c>
    </row>
    <row r="11">
      <c r="A11" s="2" t="s">
        <v>40</v>
      </c>
      <c r="B11" s="10">
        <v>1.0</v>
      </c>
      <c r="C11" s="12">
        <f t="shared" si="1"/>
        <v>3</v>
      </c>
      <c r="D11" s="11">
        <v>1.0</v>
      </c>
      <c r="E11" s="11">
        <v>1.0</v>
      </c>
      <c r="F11" s="12">
        <f t="shared" si="2"/>
        <v>2</v>
      </c>
      <c r="G11" s="16">
        <f t="shared" si="3"/>
        <v>0.6666666667</v>
      </c>
      <c r="H11" s="16">
        <f t="shared" si="4"/>
        <v>0.5</v>
      </c>
      <c r="I11" s="12">
        <f t="shared" si="5"/>
        <v>0</v>
      </c>
      <c r="J11" s="11">
        <v>0.0</v>
      </c>
      <c r="K11" s="11">
        <v>0.0</v>
      </c>
      <c r="L11" s="16">
        <f t="shared" si="6"/>
        <v>0</v>
      </c>
      <c r="M11" s="11" t="s">
        <v>41</v>
      </c>
      <c r="N11" s="12">
        <f t="shared" si="7"/>
        <v>4</v>
      </c>
      <c r="O11" s="18">
        <f t="shared" si="8"/>
        <v>1.333333333</v>
      </c>
      <c r="P11" s="18">
        <f t="shared" si="9"/>
        <v>4</v>
      </c>
    </row>
    <row r="12">
      <c r="A12" s="2" t="s">
        <v>140</v>
      </c>
      <c r="B12" s="10">
        <v>3.0</v>
      </c>
      <c r="C12" s="12">
        <f t="shared" si="1"/>
        <v>9</v>
      </c>
      <c r="D12" s="11">
        <v>3.0</v>
      </c>
      <c r="E12" s="11">
        <v>4.0</v>
      </c>
      <c r="F12" s="12">
        <f t="shared" si="2"/>
        <v>7</v>
      </c>
      <c r="G12" s="16">
        <f t="shared" si="3"/>
        <v>0.7777777778</v>
      </c>
      <c r="H12" s="16">
        <f t="shared" si="4"/>
        <v>0.4285714286</v>
      </c>
      <c r="I12" s="12">
        <f t="shared" si="5"/>
        <v>0</v>
      </c>
      <c r="J12" s="11">
        <v>0.0</v>
      </c>
      <c r="K12" s="11">
        <v>0.0</v>
      </c>
      <c r="L12" s="16">
        <f t="shared" si="6"/>
        <v>0</v>
      </c>
      <c r="M12" s="11" t="s">
        <v>41</v>
      </c>
      <c r="N12" s="12">
        <f t="shared" si="7"/>
        <v>12</v>
      </c>
      <c r="O12" s="18">
        <f t="shared" si="8"/>
        <v>1.333333333</v>
      </c>
      <c r="P12" s="18">
        <f t="shared" si="9"/>
        <v>4</v>
      </c>
    </row>
    <row r="13">
      <c r="A13" s="2" t="s">
        <v>146</v>
      </c>
      <c r="B13" s="10">
        <v>3.0</v>
      </c>
      <c r="C13" s="12">
        <f t="shared" si="1"/>
        <v>9</v>
      </c>
      <c r="D13" s="11">
        <v>2.0</v>
      </c>
      <c r="E13" s="20">
        <v>1.0</v>
      </c>
      <c r="F13" s="21">
        <f t="shared" si="2"/>
        <v>3</v>
      </c>
      <c r="G13" s="23">
        <f t="shared" si="3"/>
        <v>0.3333333333</v>
      </c>
      <c r="H13" s="23">
        <f t="shared" si="4"/>
        <v>0.6666666667</v>
      </c>
      <c r="I13" s="12">
        <f t="shared" si="5"/>
        <v>0</v>
      </c>
      <c r="J13" s="11">
        <v>0.0</v>
      </c>
      <c r="K13" s="11">
        <v>0.0</v>
      </c>
      <c r="L13" s="16">
        <f t="shared" si="6"/>
        <v>0</v>
      </c>
      <c r="M13" s="11" t="s">
        <v>41</v>
      </c>
      <c r="N13" s="12">
        <f t="shared" si="7"/>
        <v>8</v>
      </c>
      <c r="O13" s="18">
        <f t="shared" si="8"/>
        <v>0.8888888889</v>
      </c>
      <c r="P13" s="18">
        <f t="shared" si="9"/>
        <v>2.666666667</v>
      </c>
    </row>
    <row r="14">
      <c r="A14" s="2" t="s">
        <v>127</v>
      </c>
      <c r="B14" s="10">
        <v>3.0</v>
      </c>
      <c r="C14" s="12">
        <f t="shared" si="1"/>
        <v>9</v>
      </c>
      <c r="D14" s="11">
        <v>2.0</v>
      </c>
      <c r="E14" s="11">
        <v>1.0</v>
      </c>
      <c r="F14" s="12">
        <f t="shared" si="2"/>
        <v>3</v>
      </c>
      <c r="G14" s="16">
        <f t="shared" si="3"/>
        <v>0.3333333333</v>
      </c>
      <c r="H14" s="16">
        <f t="shared" si="4"/>
        <v>0.6666666667</v>
      </c>
      <c r="I14" s="12">
        <f t="shared" si="5"/>
        <v>0</v>
      </c>
      <c r="J14" s="11">
        <v>0.0</v>
      </c>
      <c r="K14" s="11">
        <v>0.0</v>
      </c>
      <c r="L14" s="16">
        <f t="shared" si="6"/>
        <v>0</v>
      </c>
      <c r="M14" s="11" t="s">
        <v>41</v>
      </c>
      <c r="N14" s="12">
        <f t="shared" si="7"/>
        <v>8</v>
      </c>
      <c r="O14" s="18">
        <f t="shared" si="8"/>
        <v>0.8888888889</v>
      </c>
      <c r="P14" s="18">
        <f t="shared" si="9"/>
        <v>2.666666667</v>
      </c>
    </row>
    <row r="15">
      <c r="A15" s="2" t="s">
        <v>82</v>
      </c>
      <c r="B15" s="10">
        <v>3.0</v>
      </c>
      <c r="C15" s="12">
        <f t="shared" si="1"/>
        <v>9</v>
      </c>
      <c r="D15" s="11">
        <v>2.0</v>
      </c>
      <c r="E15" s="11">
        <v>2.0</v>
      </c>
      <c r="F15" s="12">
        <f t="shared" si="2"/>
        <v>4</v>
      </c>
      <c r="G15" s="16">
        <f t="shared" si="3"/>
        <v>0.4444444444</v>
      </c>
      <c r="H15" s="16">
        <f t="shared" si="4"/>
        <v>0.5</v>
      </c>
      <c r="I15" s="12">
        <f t="shared" si="5"/>
        <v>0</v>
      </c>
      <c r="J15" s="11">
        <v>0.0</v>
      </c>
      <c r="K15" s="11">
        <v>0.0</v>
      </c>
      <c r="L15" s="16">
        <f t="shared" si="6"/>
        <v>0</v>
      </c>
      <c r="M15" s="11" t="s">
        <v>41</v>
      </c>
      <c r="N15" s="12">
        <f t="shared" si="7"/>
        <v>8</v>
      </c>
      <c r="O15" s="18">
        <f t="shared" si="8"/>
        <v>0.8888888889</v>
      </c>
      <c r="P15" s="18">
        <f t="shared" si="9"/>
        <v>2.666666667</v>
      </c>
    </row>
    <row r="16">
      <c r="A16" s="2" t="s">
        <v>58</v>
      </c>
      <c r="B16" s="10">
        <v>3.0</v>
      </c>
      <c r="C16" s="12">
        <f t="shared" si="1"/>
        <v>9</v>
      </c>
      <c r="D16" s="11">
        <v>2.0</v>
      </c>
      <c r="E16" s="11">
        <v>2.0</v>
      </c>
      <c r="F16" s="12">
        <f t="shared" si="2"/>
        <v>4</v>
      </c>
      <c r="G16" s="16">
        <f t="shared" si="3"/>
        <v>0.4444444444</v>
      </c>
      <c r="H16" s="16">
        <f t="shared" si="4"/>
        <v>0.5</v>
      </c>
      <c r="I16" s="12">
        <f t="shared" si="5"/>
        <v>0</v>
      </c>
      <c r="J16" s="11">
        <v>0.0</v>
      </c>
      <c r="K16" s="11">
        <v>0.0</v>
      </c>
      <c r="L16" s="16">
        <f t="shared" si="6"/>
        <v>0</v>
      </c>
      <c r="M16" s="11" t="s">
        <v>41</v>
      </c>
      <c r="N16" s="12">
        <f t="shared" si="7"/>
        <v>8</v>
      </c>
      <c r="O16" s="18">
        <f t="shared" si="8"/>
        <v>0.8888888889</v>
      </c>
      <c r="P16" s="18">
        <f t="shared" si="9"/>
        <v>2.666666667</v>
      </c>
    </row>
    <row r="17">
      <c r="A17" s="2" t="s">
        <v>71</v>
      </c>
      <c r="B17" s="10">
        <v>3.0</v>
      </c>
      <c r="C17" s="12">
        <f t="shared" si="1"/>
        <v>9</v>
      </c>
      <c r="D17" s="11">
        <v>2.0</v>
      </c>
      <c r="E17" s="11">
        <v>2.0</v>
      </c>
      <c r="F17" s="12">
        <f t="shared" si="2"/>
        <v>4</v>
      </c>
      <c r="G17" s="16">
        <f t="shared" si="3"/>
        <v>0.4444444444</v>
      </c>
      <c r="H17" s="16">
        <f t="shared" si="4"/>
        <v>0.5</v>
      </c>
      <c r="I17" s="12">
        <f t="shared" si="5"/>
        <v>1</v>
      </c>
      <c r="J17" s="11">
        <v>1.0</v>
      </c>
      <c r="K17" s="11">
        <v>0.0</v>
      </c>
      <c r="L17" s="16">
        <f t="shared" si="6"/>
        <v>0.1111111111</v>
      </c>
      <c r="M17" s="16">
        <f>J17/I17</f>
        <v>1</v>
      </c>
      <c r="N17" s="12">
        <f t="shared" si="7"/>
        <v>8</v>
      </c>
      <c r="O17" s="18">
        <f t="shared" si="8"/>
        <v>0.8888888889</v>
      </c>
      <c r="P17" s="18">
        <f t="shared" si="9"/>
        <v>2.666666667</v>
      </c>
    </row>
    <row r="18">
      <c r="A18" s="2" t="s">
        <v>73</v>
      </c>
      <c r="B18" s="10">
        <v>3.0</v>
      </c>
      <c r="C18" s="12">
        <f t="shared" si="1"/>
        <v>9</v>
      </c>
      <c r="D18" s="11">
        <v>2.0</v>
      </c>
      <c r="E18" s="11">
        <v>5.0</v>
      </c>
      <c r="F18" s="12">
        <f t="shared" si="2"/>
        <v>7</v>
      </c>
      <c r="G18" s="16">
        <f t="shared" si="3"/>
        <v>0.7777777778</v>
      </c>
      <c r="H18" s="16">
        <f t="shared" si="4"/>
        <v>0.2857142857</v>
      </c>
      <c r="I18" s="12">
        <f t="shared" si="5"/>
        <v>0</v>
      </c>
      <c r="J18" s="11">
        <v>0.0</v>
      </c>
      <c r="K18" s="11">
        <v>0.0</v>
      </c>
      <c r="L18" s="16">
        <f t="shared" si="6"/>
        <v>0</v>
      </c>
      <c r="M18" s="11" t="s">
        <v>41</v>
      </c>
      <c r="N18" s="12">
        <f t="shared" si="7"/>
        <v>8</v>
      </c>
      <c r="O18" s="18">
        <f t="shared" si="8"/>
        <v>0.8888888889</v>
      </c>
      <c r="P18" s="18">
        <f t="shared" si="9"/>
        <v>2.666666667</v>
      </c>
    </row>
    <row r="19">
      <c r="A19" s="2" t="s">
        <v>157</v>
      </c>
      <c r="B19" s="27">
        <f>1+2/3</f>
        <v>1.666666667</v>
      </c>
      <c r="C19" s="12">
        <f t="shared" si="1"/>
        <v>5</v>
      </c>
      <c r="D19" s="11">
        <v>1.0</v>
      </c>
      <c r="E19" s="11">
        <v>1.0</v>
      </c>
      <c r="F19" s="12">
        <f t="shared" si="2"/>
        <v>2</v>
      </c>
      <c r="G19" s="16">
        <f t="shared" si="3"/>
        <v>0.4</v>
      </c>
      <c r="H19" s="16">
        <f t="shared" si="4"/>
        <v>0.5</v>
      </c>
      <c r="I19" s="12">
        <f t="shared" si="5"/>
        <v>0</v>
      </c>
      <c r="J19" s="11">
        <v>0.0</v>
      </c>
      <c r="K19" s="11">
        <v>0.0</v>
      </c>
      <c r="L19" s="16">
        <f t="shared" si="6"/>
        <v>0</v>
      </c>
      <c r="M19" s="11" t="s">
        <v>41</v>
      </c>
      <c r="N19" s="12">
        <f t="shared" si="7"/>
        <v>4</v>
      </c>
      <c r="O19" s="18">
        <f t="shared" si="8"/>
        <v>0.8</v>
      </c>
      <c r="P19" s="18">
        <f t="shared" si="9"/>
        <v>2.4</v>
      </c>
    </row>
    <row r="20">
      <c r="A20" s="2" t="s">
        <v>207</v>
      </c>
      <c r="B20" s="27">
        <f>2+1/3</f>
        <v>2.333333333</v>
      </c>
      <c r="C20" s="12">
        <f t="shared" si="1"/>
        <v>7</v>
      </c>
      <c r="D20" s="11">
        <v>1.0</v>
      </c>
      <c r="E20" s="11">
        <v>2.0</v>
      </c>
      <c r="F20" s="12">
        <f t="shared" si="2"/>
        <v>3</v>
      </c>
      <c r="G20" s="16">
        <f t="shared" si="3"/>
        <v>0.4285714286</v>
      </c>
      <c r="H20" s="16">
        <f t="shared" si="4"/>
        <v>0.3333333333</v>
      </c>
      <c r="I20" s="12">
        <f t="shared" si="5"/>
        <v>0</v>
      </c>
      <c r="J20" s="11">
        <v>0.0</v>
      </c>
      <c r="K20" s="11">
        <v>0.0</v>
      </c>
      <c r="L20" s="16">
        <f t="shared" si="6"/>
        <v>0</v>
      </c>
      <c r="M20" s="11" t="s">
        <v>41</v>
      </c>
      <c r="N20" s="12">
        <f t="shared" si="7"/>
        <v>4</v>
      </c>
      <c r="O20" s="18">
        <f t="shared" si="8"/>
        <v>0.5714285714</v>
      </c>
      <c r="P20" s="18">
        <f t="shared" si="9"/>
        <v>1.714285714</v>
      </c>
    </row>
    <row r="21">
      <c r="A21" s="2" t="s">
        <v>165</v>
      </c>
      <c r="B21" s="28">
        <f>2/3+1+1</f>
        <v>2.666666667</v>
      </c>
      <c r="C21" s="12">
        <f t="shared" si="1"/>
        <v>8</v>
      </c>
      <c r="D21" s="11">
        <v>1.0</v>
      </c>
      <c r="E21" s="11">
        <v>0.0</v>
      </c>
      <c r="F21" s="12">
        <f t="shared" si="2"/>
        <v>1</v>
      </c>
      <c r="G21" s="16">
        <f t="shared" si="3"/>
        <v>0.125</v>
      </c>
      <c r="H21" s="16">
        <f t="shared" si="4"/>
        <v>1</v>
      </c>
      <c r="I21" s="12">
        <f t="shared" si="5"/>
        <v>0</v>
      </c>
      <c r="J21" s="11">
        <v>0.0</v>
      </c>
      <c r="K21" s="11">
        <v>0.0</v>
      </c>
      <c r="L21" s="16">
        <f t="shared" si="6"/>
        <v>0</v>
      </c>
      <c r="M21" s="11" t="s">
        <v>41</v>
      </c>
      <c r="N21" s="12">
        <f t="shared" si="7"/>
        <v>4</v>
      </c>
      <c r="O21" s="18">
        <f t="shared" si="8"/>
        <v>0.5</v>
      </c>
      <c r="P21" s="18">
        <f t="shared" si="9"/>
        <v>1.5</v>
      </c>
    </row>
    <row r="22">
      <c r="A22" s="2" t="s">
        <v>138</v>
      </c>
      <c r="B22" s="28">
        <f>2/3+2</f>
        <v>2.666666667</v>
      </c>
      <c r="C22" s="12">
        <f t="shared" si="1"/>
        <v>8</v>
      </c>
      <c r="D22" s="11">
        <v>1.0</v>
      </c>
      <c r="E22" s="11">
        <v>2.0</v>
      </c>
      <c r="F22" s="12">
        <f t="shared" si="2"/>
        <v>3</v>
      </c>
      <c r="G22" s="16">
        <f t="shared" si="3"/>
        <v>0.375</v>
      </c>
      <c r="H22" s="16">
        <f t="shared" si="4"/>
        <v>0.3333333333</v>
      </c>
      <c r="I22" s="12">
        <f t="shared" si="5"/>
        <v>0</v>
      </c>
      <c r="J22" s="11">
        <v>0.0</v>
      </c>
      <c r="K22" s="11">
        <v>0.0</v>
      </c>
      <c r="L22" s="16">
        <f t="shared" si="6"/>
        <v>0</v>
      </c>
      <c r="M22" s="11" t="s">
        <v>41</v>
      </c>
      <c r="N22" s="12">
        <f t="shared" si="7"/>
        <v>4</v>
      </c>
      <c r="O22" s="18">
        <f t="shared" si="8"/>
        <v>0.5</v>
      </c>
      <c r="P22" s="18">
        <f t="shared" si="9"/>
        <v>1.5</v>
      </c>
    </row>
    <row r="23">
      <c r="A23" s="2" t="s">
        <v>35</v>
      </c>
      <c r="B23" s="10">
        <v>3.0</v>
      </c>
      <c r="C23" s="12">
        <f t="shared" si="1"/>
        <v>9</v>
      </c>
      <c r="D23" s="11">
        <v>1.0</v>
      </c>
      <c r="E23" s="11">
        <v>0.0</v>
      </c>
      <c r="F23" s="12">
        <f t="shared" si="2"/>
        <v>1</v>
      </c>
      <c r="G23" s="16">
        <f t="shared" si="3"/>
        <v>0.1111111111</v>
      </c>
      <c r="H23" s="16">
        <f t="shared" si="4"/>
        <v>1</v>
      </c>
      <c r="I23" s="12">
        <f t="shared" si="5"/>
        <v>0</v>
      </c>
      <c r="J23" s="11">
        <v>0.0</v>
      </c>
      <c r="K23" s="11">
        <v>0.0</v>
      </c>
      <c r="L23" s="16">
        <f t="shared" si="6"/>
        <v>0</v>
      </c>
      <c r="M23" s="11" t="s">
        <v>41</v>
      </c>
      <c r="N23" s="12">
        <f t="shared" si="7"/>
        <v>4</v>
      </c>
      <c r="O23" s="18">
        <f t="shared" si="8"/>
        <v>0.4444444444</v>
      </c>
      <c r="P23" s="18">
        <f t="shared" si="9"/>
        <v>1.333333333</v>
      </c>
    </row>
    <row r="24">
      <c r="A24" s="2" t="s">
        <v>131</v>
      </c>
      <c r="B24" s="10">
        <v>3.0</v>
      </c>
      <c r="C24" s="12">
        <f t="shared" si="1"/>
        <v>9</v>
      </c>
      <c r="D24" s="11">
        <v>1.0</v>
      </c>
      <c r="E24" s="11">
        <v>0.0</v>
      </c>
      <c r="F24" s="12">
        <f t="shared" si="2"/>
        <v>1</v>
      </c>
      <c r="G24" s="16">
        <f t="shared" si="3"/>
        <v>0.1111111111</v>
      </c>
      <c r="H24" s="16">
        <f t="shared" si="4"/>
        <v>1</v>
      </c>
      <c r="I24" s="12">
        <f t="shared" si="5"/>
        <v>0</v>
      </c>
      <c r="J24" s="11">
        <v>0.0</v>
      </c>
      <c r="K24" s="11">
        <v>0.0</v>
      </c>
      <c r="L24" s="16">
        <f t="shared" si="6"/>
        <v>0</v>
      </c>
      <c r="M24" s="11" t="s">
        <v>41</v>
      </c>
      <c r="N24" s="12">
        <f t="shared" si="7"/>
        <v>4</v>
      </c>
      <c r="O24" s="18">
        <f t="shared" si="8"/>
        <v>0.4444444444</v>
      </c>
      <c r="P24" s="18">
        <f t="shared" si="9"/>
        <v>1.333333333</v>
      </c>
    </row>
    <row r="25">
      <c r="A25" s="2" t="s">
        <v>95</v>
      </c>
      <c r="B25" s="10">
        <v>3.0</v>
      </c>
      <c r="C25" s="12">
        <f t="shared" si="1"/>
        <v>9</v>
      </c>
      <c r="D25" s="11">
        <v>1.0</v>
      </c>
      <c r="E25" s="11">
        <v>0.0</v>
      </c>
      <c r="F25" s="12">
        <f t="shared" si="2"/>
        <v>1</v>
      </c>
      <c r="G25" s="16">
        <f t="shared" si="3"/>
        <v>0.1111111111</v>
      </c>
      <c r="H25" s="16">
        <f t="shared" si="4"/>
        <v>1</v>
      </c>
      <c r="I25" s="12">
        <f t="shared" si="5"/>
        <v>0</v>
      </c>
      <c r="J25" s="11">
        <v>0.0</v>
      </c>
      <c r="K25" s="11">
        <v>0.0</v>
      </c>
      <c r="L25" s="16">
        <f t="shared" si="6"/>
        <v>0</v>
      </c>
      <c r="M25" s="11" t="s">
        <v>41</v>
      </c>
      <c r="N25" s="12">
        <f t="shared" si="7"/>
        <v>4</v>
      </c>
      <c r="O25" s="18">
        <f t="shared" si="8"/>
        <v>0.4444444444</v>
      </c>
      <c r="P25" s="18">
        <f t="shared" si="9"/>
        <v>1.333333333</v>
      </c>
    </row>
    <row r="26">
      <c r="A26" s="2" t="s">
        <v>43</v>
      </c>
      <c r="B26" s="10">
        <v>3.0</v>
      </c>
      <c r="C26" s="12">
        <f t="shared" si="1"/>
        <v>9</v>
      </c>
      <c r="D26" s="11">
        <v>1.0</v>
      </c>
      <c r="E26" s="20">
        <v>0.0</v>
      </c>
      <c r="F26" s="21">
        <f t="shared" si="2"/>
        <v>1</v>
      </c>
      <c r="G26" s="23">
        <f t="shared" si="3"/>
        <v>0.1111111111</v>
      </c>
      <c r="H26" s="23">
        <f t="shared" si="4"/>
        <v>1</v>
      </c>
      <c r="I26" s="12">
        <f t="shared" si="5"/>
        <v>1</v>
      </c>
      <c r="J26" s="11">
        <v>1.0</v>
      </c>
      <c r="K26" s="11">
        <v>0.0</v>
      </c>
      <c r="L26" s="16">
        <f t="shared" si="6"/>
        <v>0.1111111111</v>
      </c>
      <c r="M26" s="16">
        <f>J26/I26</f>
        <v>1</v>
      </c>
      <c r="N26" s="12">
        <f t="shared" si="7"/>
        <v>4</v>
      </c>
      <c r="O26" s="18">
        <f t="shared" si="8"/>
        <v>0.4444444444</v>
      </c>
      <c r="P26" s="18">
        <f t="shared" si="9"/>
        <v>1.333333333</v>
      </c>
    </row>
    <row r="27">
      <c r="A27" s="2" t="s">
        <v>52</v>
      </c>
      <c r="B27" s="10">
        <v>3.0</v>
      </c>
      <c r="C27" s="12">
        <f t="shared" si="1"/>
        <v>9</v>
      </c>
      <c r="D27" s="11">
        <v>1.0</v>
      </c>
      <c r="E27" s="11">
        <v>0.0</v>
      </c>
      <c r="F27" s="12">
        <f t="shared" si="2"/>
        <v>1</v>
      </c>
      <c r="G27" s="16">
        <f t="shared" si="3"/>
        <v>0.1111111111</v>
      </c>
      <c r="H27" s="16">
        <f t="shared" si="4"/>
        <v>1</v>
      </c>
      <c r="I27" s="12">
        <f t="shared" si="5"/>
        <v>0</v>
      </c>
      <c r="J27" s="11">
        <v>0.0</v>
      </c>
      <c r="K27" s="11">
        <v>0.0</v>
      </c>
      <c r="L27" s="16">
        <f t="shared" si="6"/>
        <v>0</v>
      </c>
      <c r="M27" s="11" t="s">
        <v>41</v>
      </c>
      <c r="N27" s="12">
        <f t="shared" si="7"/>
        <v>4</v>
      </c>
      <c r="O27" s="18">
        <f t="shared" si="8"/>
        <v>0.4444444444</v>
      </c>
      <c r="P27" s="18">
        <f t="shared" si="9"/>
        <v>1.333333333</v>
      </c>
    </row>
    <row r="28">
      <c r="A28" s="2" t="s">
        <v>197</v>
      </c>
      <c r="B28" s="10">
        <v>3.0</v>
      </c>
      <c r="C28" s="12">
        <f t="shared" si="1"/>
        <v>9</v>
      </c>
      <c r="D28" s="11">
        <v>1.0</v>
      </c>
      <c r="E28" s="11">
        <v>0.0</v>
      </c>
      <c r="F28" s="12">
        <f t="shared" si="2"/>
        <v>1</v>
      </c>
      <c r="G28" s="16">
        <f t="shared" si="3"/>
        <v>0.1111111111</v>
      </c>
      <c r="H28" s="16">
        <f t="shared" si="4"/>
        <v>1</v>
      </c>
      <c r="I28" s="12">
        <f t="shared" si="5"/>
        <v>0</v>
      </c>
      <c r="J28" s="11">
        <v>0.0</v>
      </c>
      <c r="K28" s="11">
        <v>0.0</v>
      </c>
      <c r="L28" s="16">
        <f t="shared" si="6"/>
        <v>0</v>
      </c>
      <c r="M28" s="11" t="s">
        <v>41</v>
      </c>
      <c r="N28" s="12">
        <f t="shared" si="7"/>
        <v>4</v>
      </c>
      <c r="O28" s="18">
        <f t="shared" si="8"/>
        <v>0.4444444444</v>
      </c>
      <c r="P28" s="18">
        <f t="shared" si="9"/>
        <v>1.333333333</v>
      </c>
    </row>
    <row r="29">
      <c r="A29" s="2" t="s">
        <v>113</v>
      </c>
      <c r="B29" s="10">
        <v>3.0</v>
      </c>
      <c r="C29" s="12">
        <f t="shared" si="1"/>
        <v>9</v>
      </c>
      <c r="D29" s="11">
        <v>1.0</v>
      </c>
      <c r="E29" s="11">
        <v>0.0</v>
      </c>
      <c r="F29" s="12">
        <f t="shared" si="2"/>
        <v>1</v>
      </c>
      <c r="G29" s="16">
        <f t="shared" si="3"/>
        <v>0.1111111111</v>
      </c>
      <c r="H29" s="16">
        <f t="shared" si="4"/>
        <v>1</v>
      </c>
      <c r="I29" s="12">
        <f t="shared" si="5"/>
        <v>0</v>
      </c>
      <c r="J29" s="11">
        <v>0.0</v>
      </c>
      <c r="K29" s="11">
        <v>0.0</v>
      </c>
      <c r="L29" s="16">
        <f t="shared" si="6"/>
        <v>0</v>
      </c>
      <c r="M29" s="11" t="s">
        <v>41</v>
      </c>
      <c r="N29" s="12">
        <f t="shared" si="7"/>
        <v>4</v>
      </c>
      <c r="O29" s="18">
        <f t="shared" si="8"/>
        <v>0.4444444444</v>
      </c>
      <c r="P29" s="18">
        <f t="shared" si="9"/>
        <v>1.333333333</v>
      </c>
    </row>
    <row r="30">
      <c r="A30" s="2" t="s">
        <v>100</v>
      </c>
      <c r="B30" s="10">
        <v>3.0</v>
      </c>
      <c r="C30" s="12">
        <f t="shared" si="1"/>
        <v>9</v>
      </c>
      <c r="D30" s="11">
        <v>1.0</v>
      </c>
      <c r="E30" s="20">
        <v>0.0</v>
      </c>
      <c r="F30" s="21">
        <f t="shared" si="2"/>
        <v>1</v>
      </c>
      <c r="G30" s="23">
        <f t="shared" si="3"/>
        <v>0.1111111111</v>
      </c>
      <c r="H30" s="23">
        <f t="shared" si="4"/>
        <v>1</v>
      </c>
      <c r="I30" s="12">
        <f t="shared" si="5"/>
        <v>0</v>
      </c>
      <c r="J30" s="11">
        <v>0.0</v>
      </c>
      <c r="K30" s="11">
        <v>0.0</v>
      </c>
      <c r="L30" s="16">
        <f t="shared" si="6"/>
        <v>0</v>
      </c>
      <c r="M30" s="11" t="s">
        <v>41</v>
      </c>
      <c r="N30" s="12">
        <f t="shared" si="7"/>
        <v>4</v>
      </c>
      <c r="O30" s="18">
        <f t="shared" si="8"/>
        <v>0.4444444444</v>
      </c>
      <c r="P30" s="18">
        <f t="shared" si="9"/>
        <v>1.333333333</v>
      </c>
    </row>
    <row r="31">
      <c r="A31" s="2" t="s">
        <v>133</v>
      </c>
      <c r="B31" s="10">
        <v>3.0</v>
      </c>
      <c r="C31" s="12">
        <f t="shared" si="1"/>
        <v>9</v>
      </c>
      <c r="D31" s="11">
        <v>1.0</v>
      </c>
      <c r="E31" s="11">
        <v>0.0</v>
      </c>
      <c r="F31" s="12">
        <f t="shared" si="2"/>
        <v>1</v>
      </c>
      <c r="G31" s="16">
        <f t="shared" si="3"/>
        <v>0.1111111111</v>
      </c>
      <c r="H31" s="16">
        <f t="shared" si="4"/>
        <v>1</v>
      </c>
      <c r="I31" s="12">
        <f t="shared" si="5"/>
        <v>0</v>
      </c>
      <c r="J31" s="11">
        <v>0.0</v>
      </c>
      <c r="K31" s="11">
        <v>0.0</v>
      </c>
      <c r="L31" s="16">
        <f t="shared" si="6"/>
        <v>0</v>
      </c>
      <c r="M31" s="11" t="s">
        <v>41</v>
      </c>
      <c r="N31" s="12">
        <f t="shared" si="7"/>
        <v>4</v>
      </c>
      <c r="O31" s="18">
        <f t="shared" si="8"/>
        <v>0.4444444444</v>
      </c>
      <c r="P31" s="18">
        <f t="shared" si="9"/>
        <v>1.333333333</v>
      </c>
    </row>
    <row r="32">
      <c r="A32" s="2" t="s">
        <v>102</v>
      </c>
      <c r="B32" s="10">
        <v>3.0</v>
      </c>
      <c r="C32" s="12">
        <f t="shared" si="1"/>
        <v>9</v>
      </c>
      <c r="D32" s="11">
        <v>1.0</v>
      </c>
      <c r="E32" s="11">
        <v>0.0</v>
      </c>
      <c r="F32" s="12">
        <f t="shared" si="2"/>
        <v>1</v>
      </c>
      <c r="G32" s="16">
        <f t="shared" si="3"/>
        <v>0.1111111111</v>
      </c>
      <c r="H32" s="16">
        <f t="shared" si="4"/>
        <v>1</v>
      </c>
      <c r="I32" s="12">
        <f t="shared" si="5"/>
        <v>0</v>
      </c>
      <c r="J32" s="11">
        <v>0.0</v>
      </c>
      <c r="K32" s="11">
        <v>0.0</v>
      </c>
      <c r="L32" s="16">
        <f t="shared" si="6"/>
        <v>0</v>
      </c>
      <c r="M32" s="11" t="s">
        <v>41</v>
      </c>
      <c r="N32" s="12">
        <f t="shared" si="7"/>
        <v>4</v>
      </c>
      <c r="O32" s="18">
        <f t="shared" si="8"/>
        <v>0.4444444444</v>
      </c>
      <c r="P32" s="18">
        <f t="shared" si="9"/>
        <v>1.333333333</v>
      </c>
    </row>
    <row r="33">
      <c r="A33" s="2" t="s">
        <v>42</v>
      </c>
      <c r="B33" s="10">
        <v>3.0</v>
      </c>
      <c r="C33" s="12">
        <f t="shared" si="1"/>
        <v>9</v>
      </c>
      <c r="D33" s="11">
        <v>2.0</v>
      </c>
      <c r="E33" s="20">
        <v>2.0</v>
      </c>
      <c r="F33" s="21">
        <f t="shared" si="2"/>
        <v>4</v>
      </c>
      <c r="G33" s="23">
        <f t="shared" si="3"/>
        <v>0.4444444444</v>
      </c>
      <c r="H33" s="23">
        <f t="shared" si="4"/>
        <v>0.5</v>
      </c>
      <c r="I33" s="12">
        <f t="shared" si="5"/>
        <v>2</v>
      </c>
      <c r="J33" s="11">
        <v>1.0</v>
      </c>
      <c r="K33" s="11">
        <v>1.0</v>
      </c>
      <c r="L33" s="16">
        <f t="shared" si="6"/>
        <v>0.2222222222</v>
      </c>
      <c r="M33" s="16">
        <f t="shared" ref="M33:M34" si="11">J33/I33</f>
        <v>0.5</v>
      </c>
      <c r="N33" s="12">
        <f t="shared" si="7"/>
        <v>4</v>
      </c>
      <c r="O33" s="18">
        <f t="shared" si="8"/>
        <v>0.4444444444</v>
      </c>
      <c r="P33" s="18">
        <f t="shared" si="9"/>
        <v>1.333333333</v>
      </c>
    </row>
    <row r="34">
      <c r="A34" s="2" t="s">
        <v>49</v>
      </c>
      <c r="B34" s="10">
        <v>3.0</v>
      </c>
      <c r="C34" s="12">
        <f t="shared" si="1"/>
        <v>9</v>
      </c>
      <c r="D34" s="11">
        <v>2.0</v>
      </c>
      <c r="E34" s="11">
        <v>2.0</v>
      </c>
      <c r="F34" s="12">
        <f t="shared" si="2"/>
        <v>4</v>
      </c>
      <c r="G34" s="16">
        <f t="shared" si="3"/>
        <v>0.4444444444</v>
      </c>
      <c r="H34" s="16">
        <f t="shared" si="4"/>
        <v>0.5</v>
      </c>
      <c r="I34" s="12">
        <f t="shared" si="5"/>
        <v>1</v>
      </c>
      <c r="J34" s="11">
        <v>0.0</v>
      </c>
      <c r="K34" s="11">
        <v>1.0</v>
      </c>
      <c r="L34" s="16">
        <f t="shared" si="6"/>
        <v>0.1111111111</v>
      </c>
      <c r="M34" s="16">
        <f t="shared" si="11"/>
        <v>0</v>
      </c>
      <c r="N34" s="12">
        <f t="shared" si="7"/>
        <v>4</v>
      </c>
      <c r="O34" s="18">
        <f t="shared" si="8"/>
        <v>0.4444444444</v>
      </c>
      <c r="P34" s="18">
        <f t="shared" si="9"/>
        <v>1.333333333</v>
      </c>
    </row>
    <row r="35">
      <c r="A35" s="2" t="s">
        <v>142</v>
      </c>
      <c r="B35" s="10">
        <v>3.0</v>
      </c>
      <c r="C35" s="12">
        <f t="shared" si="1"/>
        <v>9</v>
      </c>
      <c r="D35" s="11">
        <v>1.0</v>
      </c>
      <c r="E35" s="20">
        <v>1.0</v>
      </c>
      <c r="F35" s="21">
        <f t="shared" si="2"/>
        <v>2</v>
      </c>
      <c r="G35" s="23">
        <f t="shared" si="3"/>
        <v>0.2222222222</v>
      </c>
      <c r="H35" s="23">
        <f t="shared" si="4"/>
        <v>0.5</v>
      </c>
      <c r="I35" s="12">
        <f t="shared" si="5"/>
        <v>0</v>
      </c>
      <c r="J35" s="11">
        <v>0.0</v>
      </c>
      <c r="K35" s="11">
        <v>0.0</v>
      </c>
      <c r="L35" s="16">
        <f t="shared" si="6"/>
        <v>0</v>
      </c>
      <c r="M35" s="11" t="s">
        <v>41</v>
      </c>
      <c r="N35" s="12">
        <f t="shared" si="7"/>
        <v>4</v>
      </c>
      <c r="O35" s="18">
        <f t="shared" si="8"/>
        <v>0.4444444444</v>
      </c>
      <c r="P35" s="18">
        <f t="shared" si="9"/>
        <v>1.333333333</v>
      </c>
    </row>
    <row r="36">
      <c r="A36" s="2" t="s">
        <v>66</v>
      </c>
      <c r="B36" s="10">
        <v>3.0</v>
      </c>
      <c r="C36" s="12">
        <f t="shared" si="1"/>
        <v>9</v>
      </c>
      <c r="D36" s="11">
        <v>1.0</v>
      </c>
      <c r="E36" s="11">
        <v>1.0</v>
      </c>
      <c r="F36" s="12">
        <f t="shared" si="2"/>
        <v>2</v>
      </c>
      <c r="G36" s="16">
        <f t="shared" si="3"/>
        <v>0.2222222222</v>
      </c>
      <c r="H36" s="16">
        <f t="shared" si="4"/>
        <v>0.5</v>
      </c>
      <c r="I36" s="12">
        <f t="shared" si="5"/>
        <v>0</v>
      </c>
      <c r="J36" s="11">
        <v>0.0</v>
      </c>
      <c r="K36" s="11">
        <v>0.0</v>
      </c>
      <c r="L36" s="16">
        <f t="shared" si="6"/>
        <v>0</v>
      </c>
      <c r="M36" s="11" t="s">
        <v>41</v>
      </c>
      <c r="N36" s="12">
        <f t="shared" si="7"/>
        <v>4</v>
      </c>
      <c r="O36" s="18">
        <f t="shared" si="8"/>
        <v>0.4444444444</v>
      </c>
      <c r="P36" s="18">
        <f t="shared" si="9"/>
        <v>1.333333333</v>
      </c>
    </row>
    <row r="37">
      <c r="A37" s="2" t="s">
        <v>108</v>
      </c>
      <c r="B37" s="10">
        <v>3.0</v>
      </c>
      <c r="C37" s="12">
        <f t="shared" si="1"/>
        <v>9</v>
      </c>
      <c r="D37" s="11">
        <v>1.0</v>
      </c>
      <c r="E37" s="11">
        <v>1.0</v>
      </c>
      <c r="F37" s="12">
        <f t="shared" si="2"/>
        <v>2</v>
      </c>
      <c r="G37" s="16">
        <f t="shared" si="3"/>
        <v>0.2222222222</v>
      </c>
      <c r="H37" s="16">
        <f t="shared" si="4"/>
        <v>0.5</v>
      </c>
      <c r="I37" s="12">
        <f t="shared" si="5"/>
        <v>0</v>
      </c>
      <c r="J37" s="11">
        <v>0.0</v>
      </c>
      <c r="K37" s="11">
        <v>0.0</v>
      </c>
      <c r="L37" s="16">
        <f t="shared" si="6"/>
        <v>0</v>
      </c>
      <c r="M37" s="11" t="s">
        <v>41</v>
      </c>
      <c r="N37" s="12">
        <f t="shared" si="7"/>
        <v>4</v>
      </c>
      <c r="O37" s="18">
        <f t="shared" si="8"/>
        <v>0.4444444444</v>
      </c>
      <c r="P37" s="18">
        <f t="shared" si="9"/>
        <v>1.333333333</v>
      </c>
    </row>
    <row r="38">
      <c r="A38" s="2" t="s">
        <v>132</v>
      </c>
      <c r="B38" s="10">
        <v>3.0</v>
      </c>
      <c r="C38" s="12">
        <f t="shared" si="1"/>
        <v>9</v>
      </c>
      <c r="D38" s="11">
        <v>1.0</v>
      </c>
      <c r="E38" s="20">
        <v>1.0</v>
      </c>
      <c r="F38" s="21">
        <f t="shared" si="2"/>
        <v>2</v>
      </c>
      <c r="G38" s="23">
        <f t="shared" si="3"/>
        <v>0.2222222222</v>
      </c>
      <c r="H38" s="23">
        <f t="shared" si="4"/>
        <v>0.5</v>
      </c>
      <c r="I38" s="12">
        <f t="shared" si="5"/>
        <v>0</v>
      </c>
      <c r="J38" s="11">
        <v>0.0</v>
      </c>
      <c r="K38" s="11">
        <v>0.0</v>
      </c>
      <c r="L38" s="16">
        <f t="shared" si="6"/>
        <v>0</v>
      </c>
      <c r="M38" s="11" t="s">
        <v>41</v>
      </c>
      <c r="N38" s="12">
        <f t="shared" si="7"/>
        <v>4</v>
      </c>
      <c r="O38" s="18">
        <f t="shared" si="8"/>
        <v>0.4444444444</v>
      </c>
      <c r="P38" s="18">
        <f t="shared" si="9"/>
        <v>1.333333333</v>
      </c>
    </row>
    <row r="39">
      <c r="A39" s="2" t="s">
        <v>118</v>
      </c>
      <c r="B39" s="10">
        <v>3.0</v>
      </c>
      <c r="C39" s="12">
        <f t="shared" si="1"/>
        <v>9</v>
      </c>
      <c r="D39" s="11">
        <v>1.0</v>
      </c>
      <c r="E39" s="20">
        <v>1.0</v>
      </c>
      <c r="F39" s="21">
        <f t="shared" si="2"/>
        <v>2</v>
      </c>
      <c r="G39" s="23">
        <f t="shared" si="3"/>
        <v>0.2222222222</v>
      </c>
      <c r="H39" s="23">
        <f t="shared" si="4"/>
        <v>0.5</v>
      </c>
      <c r="I39" s="12">
        <f t="shared" si="5"/>
        <v>0</v>
      </c>
      <c r="J39" s="11">
        <v>0.0</v>
      </c>
      <c r="K39" s="11">
        <v>0.0</v>
      </c>
      <c r="L39" s="16">
        <f t="shared" si="6"/>
        <v>0</v>
      </c>
      <c r="M39" s="11" t="s">
        <v>41</v>
      </c>
      <c r="N39" s="12">
        <f t="shared" si="7"/>
        <v>4</v>
      </c>
      <c r="O39" s="18">
        <f t="shared" si="8"/>
        <v>0.4444444444</v>
      </c>
      <c r="P39" s="18">
        <f t="shared" si="9"/>
        <v>1.333333333</v>
      </c>
    </row>
    <row r="40">
      <c r="A40" s="2" t="s">
        <v>150</v>
      </c>
      <c r="B40" s="10">
        <v>3.0</v>
      </c>
      <c r="C40" s="12">
        <f t="shared" si="1"/>
        <v>9</v>
      </c>
      <c r="D40" s="11">
        <v>1.0</v>
      </c>
      <c r="E40" s="11">
        <v>1.0</v>
      </c>
      <c r="F40" s="12">
        <f t="shared" si="2"/>
        <v>2</v>
      </c>
      <c r="G40" s="16">
        <f t="shared" si="3"/>
        <v>0.2222222222</v>
      </c>
      <c r="H40" s="16">
        <f t="shared" si="4"/>
        <v>0.5</v>
      </c>
      <c r="I40" s="12">
        <f t="shared" si="5"/>
        <v>0</v>
      </c>
      <c r="J40" s="11">
        <v>0.0</v>
      </c>
      <c r="K40" s="11">
        <v>0.0</v>
      </c>
      <c r="L40" s="16">
        <f t="shared" si="6"/>
        <v>0</v>
      </c>
      <c r="M40" s="11" t="s">
        <v>41</v>
      </c>
      <c r="N40" s="12">
        <f t="shared" si="7"/>
        <v>4</v>
      </c>
      <c r="O40" s="18">
        <f t="shared" si="8"/>
        <v>0.4444444444</v>
      </c>
      <c r="P40" s="18">
        <f t="shared" si="9"/>
        <v>1.333333333</v>
      </c>
    </row>
    <row r="41">
      <c r="A41" s="2" t="s">
        <v>167</v>
      </c>
      <c r="B41" s="10">
        <v>3.0</v>
      </c>
      <c r="C41" s="12">
        <f t="shared" si="1"/>
        <v>9</v>
      </c>
      <c r="D41" s="11">
        <v>1.0</v>
      </c>
      <c r="E41" s="20">
        <v>1.0</v>
      </c>
      <c r="F41" s="21">
        <f t="shared" si="2"/>
        <v>2</v>
      </c>
      <c r="G41" s="23">
        <f t="shared" si="3"/>
        <v>0.2222222222</v>
      </c>
      <c r="H41" s="23">
        <f t="shared" si="4"/>
        <v>0.5</v>
      </c>
      <c r="I41" s="12">
        <f t="shared" si="5"/>
        <v>0</v>
      </c>
      <c r="J41" s="11">
        <v>0.0</v>
      </c>
      <c r="K41" s="11">
        <v>0.0</v>
      </c>
      <c r="L41" s="16">
        <f t="shared" si="6"/>
        <v>0</v>
      </c>
      <c r="M41" s="11" t="s">
        <v>41</v>
      </c>
      <c r="N41" s="12">
        <f t="shared" si="7"/>
        <v>4</v>
      </c>
      <c r="O41" s="18">
        <f t="shared" si="8"/>
        <v>0.4444444444</v>
      </c>
      <c r="P41" s="18">
        <f t="shared" si="9"/>
        <v>1.333333333</v>
      </c>
    </row>
    <row r="42">
      <c r="A42" s="2" t="s">
        <v>112</v>
      </c>
      <c r="B42" s="10">
        <v>3.0</v>
      </c>
      <c r="C42" s="12">
        <f t="shared" si="1"/>
        <v>9</v>
      </c>
      <c r="D42" s="11">
        <v>1.0</v>
      </c>
      <c r="E42" s="20">
        <v>1.0</v>
      </c>
      <c r="F42" s="21">
        <f t="shared" si="2"/>
        <v>2</v>
      </c>
      <c r="G42" s="23">
        <f t="shared" si="3"/>
        <v>0.2222222222</v>
      </c>
      <c r="H42" s="23">
        <f t="shared" si="4"/>
        <v>0.5</v>
      </c>
      <c r="I42" s="12">
        <f t="shared" si="5"/>
        <v>0</v>
      </c>
      <c r="J42" s="11">
        <v>0.0</v>
      </c>
      <c r="K42" s="11">
        <v>0.0</v>
      </c>
      <c r="L42" s="16">
        <f t="shared" si="6"/>
        <v>0</v>
      </c>
      <c r="M42" s="11" t="s">
        <v>41</v>
      </c>
      <c r="N42" s="12">
        <f t="shared" si="7"/>
        <v>4</v>
      </c>
      <c r="O42" s="18">
        <f t="shared" si="8"/>
        <v>0.4444444444</v>
      </c>
      <c r="P42" s="18">
        <f t="shared" si="9"/>
        <v>1.333333333</v>
      </c>
    </row>
    <row r="43">
      <c r="A43" s="2" t="s">
        <v>178</v>
      </c>
      <c r="B43" s="10">
        <v>3.0</v>
      </c>
      <c r="C43" s="12">
        <f t="shared" si="1"/>
        <v>9</v>
      </c>
      <c r="D43" s="11">
        <v>1.0</v>
      </c>
      <c r="E43" s="11">
        <v>1.0</v>
      </c>
      <c r="F43" s="12">
        <f t="shared" si="2"/>
        <v>2</v>
      </c>
      <c r="G43" s="16">
        <f t="shared" si="3"/>
        <v>0.2222222222</v>
      </c>
      <c r="H43" s="16">
        <f t="shared" si="4"/>
        <v>0.5</v>
      </c>
      <c r="I43" s="12">
        <f t="shared" si="5"/>
        <v>0</v>
      </c>
      <c r="J43" s="11">
        <v>0.0</v>
      </c>
      <c r="K43" s="11">
        <v>0.0</v>
      </c>
      <c r="L43" s="16">
        <f t="shared" si="6"/>
        <v>0</v>
      </c>
      <c r="M43" s="11" t="s">
        <v>41</v>
      </c>
      <c r="N43" s="12">
        <f t="shared" si="7"/>
        <v>4</v>
      </c>
      <c r="O43" s="18">
        <f t="shared" si="8"/>
        <v>0.4444444444</v>
      </c>
      <c r="P43" s="18">
        <f t="shared" si="9"/>
        <v>1.333333333</v>
      </c>
    </row>
    <row r="44">
      <c r="A44" s="2" t="s">
        <v>50</v>
      </c>
      <c r="B44" s="10">
        <v>3.0</v>
      </c>
      <c r="C44" s="12">
        <f t="shared" si="1"/>
        <v>9</v>
      </c>
      <c r="D44" s="11">
        <v>2.0</v>
      </c>
      <c r="E44" s="20">
        <v>3.0</v>
      </c>
      <c r="F44" s="21">
        <f t="shared" si="2"/>
        <v>5</v>
      </c>
      <c r="G44" s="23">
        <f t="shared" si="3"/>
        <v>0.5555555556</v>
      </c>
      <c r="H44" s="23">
        <f t="shared" si="4"/>
        <v>0.4</v>
      </c>
      <c r="I44" s="12">
        <f t="shared" si="5"/>
        <v>1</v>
      </c>
      <c r="J44" s="11">
        <v>0.0</v>
      </c>
      <c r="K44" s="11">
        <v>1.0</v>
      </c>
      <c r="L44" s="16">
        <f t="shared" si="6"/>
        <v>0.1111111111</v>
      </c>
      <c r="M44" s="16">
        <f>J44/I44</f>
        <v>0</v>
      </c>
      <c r="N44" s="12">
        <f t="shared" si="7"/>
        <v>4</v>
      </c>
      <c r="O44" s="18">
        <f t="shared" si="8"/>
        <v>0.4444444444</v>
      </c>
      <c r="P44" s="18">
        <f t="shared" si="9"/>
        <v>1.333333333</v>
      </c>
    </row>
    <row r="45">
      <c r="A45" s="2" t="s">
        <v>139</v>
      </c>
      <c r="B45" s="10">
        <v>3.0</v>
      </c>
      <c r="C45" s="12">
        <f t="shared" si="1"/>
        <v>9</v>
      </c>
      <c r="D45" s="11">
        <v>1.0</v>
      </c>
      <c r="E45" s="11">
        <v>2.0</v>
      </c>
      <c r="F45" s="12">
        <f t="shared" si="2"/>
        <v>3</v>
      </c>
      <c r="G45" s="16">
        <f t="shared" si="3"/>
        <v>0.3333333333</v>
      </c>
      <c r="H45" s="16">
        <f t="shared" si="4"/>
        <v>0.3333333333</v>
      </c>
      <c r="I45" s="12">
        <f t="shared" si="5"/>
        <v>0</v>
      </c>
      <c r="J45" s="11">
        <v>0.0</v>
      </c>
      <c r="K45" s="11">
        <v>0.0</v>
      </c>
      <c r="L45" s="16">
        <f t="shared" si="6"/>
        <v>0</v>
      </c>
      <c r="M45" s="11" t="s">
        <v>41</v>
      </c>
      <c r="N45" s="12">
        <f t="shared" si="7"/>
        <v>4</v>
      </c>
      <c r="O45" s="18">
        <f t="shared" si="8"/>
        <v>0.4444444444</v>
      </c>
      <c r="P45" s="18">
        <f t="shared" si="9"/>
        <v>1.333333333</v>
      </c>
    </row>
    <row r="46">
      <c r="A46" s="2" t="s">
        <v>152</v>
      </c>
      <c r="B46" s="10">
        <v>3.0</v>
      </c>
      <c r="C46" s="12">
        <f t="shared" si="1"/>
        <v>9</v>
      </c>
      <c r="D46" s="11">
        <v>1.0</v>
      </c>
      <c r="E46" s="11">
        <v>2.0</v>
      </c>
      <c r="F46" s="12">
        <f t="shared" si="2"/>
        <v>3</v>
      </c>
      <c r="G46" s="16">
        <f t="shared" si="3"/>
        <v>0.3333333333</v>
      </c>
      <c r="H46" s="16">
        <f t="shared" si="4"/>
        <v>0.3333333333</v>
      </c>
      <c r="I46" s="12">
        <f t="shared" si="5"/>
        <v>0</v>
      </c>
      <c r="J46" s="11">
        <v>0.0</v>
      </c>
      <c r="K46" s="11">
        <v>0.0</v>
      </c>
      <c r="L46" s="16">
        <f t="shared" si="6"/>
        <v>0</v>
      </c>
      <c r="M46" s="11" t="s">
        <v>41</v>
      </c>
      <c r="N46" s="12">
        <f t="shared" si="7"/>
        <v>4</v>
      </c>
      <c r="O46" s="18">
        <f t="shared" si="8"/>
        <v>0.4444444444</v>
      </c>
      <c r="P46" s="18">
        <f t="shared" si="9"/>
        <v>1.333333333</v>
      </c>
    </row>
    <row r="47">
      <c r="A47" s="2" t="s">
        <v>135</v>
      </c>
      <c r="B47" s="10">
        <v>3.0</v>
      </c>
      <c r="C47" s="12">
        <f t="shared" si="1"/>
        <v>9</v>
      </c>
      <c r="D47" s="11">
        <v>1.0</v>
      </c>
      <c r="E47" s="11">
        <v>2.0</v>
      </c>
      <c r="F47" s="12">
        <f t="shared" si="2"/>
        <v>3</v>
      </c>
      <c r="G47" s="16">
        <f t="shared" si="3"/>
        <v>0.3333333333</v>
      </c>
      <c r="H47" s="16">
        <f t="shared" si="4"/>
        <v>0.3333333333</v>
      </c>
      <c r="I47" s="12">
        <f t="shared" si="5"/>
        <v>0</v>
      </c>
      <c r="J47" s="11">
        <v>0.0</v>
      </c>
      <c r="K47" s="11">
        <v>0.0</v>
      </c>
      <c r="L47" s="16">
        <f t="shared" si="6"/>
        <v>0</v>
      </c>
      <c r="M47" s="11" t="s">
        <v>41</v>
      </c>
      <c r="N47" s="12">
        <f t="shared" si="7"/>
        <v>4</v>
      </c>
      <c r="O47" s="18">
        <f t="shared" si="8"/>
        <v>0.4444444444</v>
      </c>
      <c r="P47" s="18">
        <f t="shared" si="9"/>
        <v>1.333333333</v>
      </c>
    </row>
    <row r="48">
      <c r="A48" s="2" t="s">
        <v>137</v>
      </c>
      <c r="B48" s="10">
        <v>3.0</v>
      </c>
      <c r="C48" s="12">
        <f t="shared" si="1"/>
        <v>9</v>
      </c>
      <c r="D48" s="11">
        <v>1.0</v>
      </c>
      <c r="E48" s="11">
        <v>3.0</v>
      </c>
      <c r="F48" s="12">
        <f t="shared" si="2"/>
        <v>4</v>
      </c>
      <c r="G48" s="16">
        <f t="shared" si="3"/>
        <v>0.4444444444</v>
      </c>
      <c r="H48" s="16">
        <f t="shared" si="4"/>
        <v>0.25</v>
      </c>
      <c r="I48" s="12">
        <f t="shared" si="5"/>
        <v>0</v>
      </c>
      <c r="J48" s="11">
        <v>0.0</v>
      </c>
      <c r="K48" s="11">
        <v>0.0</v>
      </c>
      <c r="L48" s="16">
        <f t="shared" si="6"/>
        <v>0</v>
      </c>
      <c r="M48" s="11" t="s">
        <v>41</v>
      </c>
      <c r="N48" s="12">
        <f t="shared" si="7"/>
        <v>4</v>
      </c>
      <c r="O48" s="18">
        <f t="shared" si="8"/>
        <v>0.4444444444</v>
      </c>
      <c r="P48" s="18">
        <f t="shared" si="9"/>
        <v>1.333333333</v>
      </c>
    </row>
    <row r="49">
      <c r="A49" s="2" t="s">
        <v>194</v>
      </c>
      <c r="B49" s="10">
        <v>3.0</v>
      </c>
      <c r="C49" s="12">
        <f t="shared" si="1"/>
        <v>9</v>
      </c>
      <c r="D49" s="11">
        <v>0.0</v>
      </c>
      <c r="E49" s="11">
        <v>0.0</v>
      </c>
      <c r="F49" s="12">
        <f t="shared" si="2"/>
        <v>0</v>
      </c>
      <c r="G49" s="16">
        <f t="shared" si="3"/>
        <v>0</v>
      </c>
      <c r="H49" s="11" t="s">
        <v>41</v>
      </c>
      <c r="I49" s="12">
        <f t="shared" si="5"/>
        <v>0</v>
      </c>
      <c r="J49" s="11">
        <v>0.0</v>
      </c>
      <c r="K49" s="11">
        <v>0.0</v>
      </c>
      <c r="L49" s="16">
        <f t="shared" si="6"/>
        <v>0</v>
      </c>
      <c r="M49" s="11" t="s">
        <v>41</v>
      </c>
      <c r="N49" s="12">
        <f t="shared" si="7"/>
        <v>0</v>
      </c>
      <c r="O49" s="18">
        <f t="shared" si="8"/>
        <v>0</v>
      </c>
      <c r="P49" s="18">
        <f t="shared" si="9"/>
        <v>0</v>
      </c>
    </row>
    <row r="50">
      <c r="A50" s="2" t="s">
        <v>125</v>
      </c>
      <c r="B50" s="10">
        <v>3.0</v>
      </c>
      <c r="C50" s="12">
        <f t="shared" si="1"/>
        <v>9</v>
      </c>
      <c r="D50" s="11">
        <v>0.0</v>
      </c>
      <c r="E50" s="11">
        <v>0.0</v>
      </c>
      <c r="F50" s="12">
        <f t="shared" si="2"/>
        <v>0</v>
      </c>
      <c r="G50" s="16">
        <f t="shared" si="3"/>
        <v>0</v>
      </c>
      <c r="H50" s="11" t="s">
        <v>41</v>
      </c>
      <c r="I50" s="12">
        <f t="shared" si="5"/>
        <v>0</v>
      </c>
      <c r="J50" s="11">
        <v>0.0</v>
      </c>
      <c r="K50" s="11">
        <v>0.0</v>
      </c>
      <c r="L50" s="16">
        <f t="shared" si="6"/>
        <v>0</v>
      </c>
      <c r="M50" s="11" t="s">
        <v>41</v>
      </c>
      <c r="N50" s="12">
        <f t="shared" si="7"/>
        <v>0</v>
      </c>
      <c r="O50" s="18">
        <f t="shared" si="8"/>
        <v>0</v>
      </c>
      <c r="P50" s="18">
        <f t="shared" si="9"/>
        <v>0</v>
      </c>
    </row>
    <row r="51">
      <c r="A51" s="2" t="s">
        <v>126</v>
      </c>
      <c r="B51" s="10">
        <v>3.0</v>
      </c>
      <c r="C51" s="12">
        <f t="shared" si="1"/>
        <v>9</v>
      </c>
      <c r="D51" s="11">
        <v>0.0</v>
      </c>
      <c r="E51" s="11">
        <v>0.0</v>
      </c>
      <c r="F51" s="12">
        <f t="shared" si="2"/>
        <v>0</v>
      </c>
      <c r="G51" s="16">
        <f t="shared" si="3"/>
        <v>0</v>
      </c>
      <c r="H51" s="11" t="s">
        <v>41</v>
      </c>
      <c r="I51" s="12">
        <f t="shared" si="5"/>
        <v>0</v>
      </c>
      <c r="J51" s="11">
        <v>0.0</v>
      </c>
      <c r="K51" s="11">
        <v>0.0</v>
      </c>
      <c r="L51" s="16">
        <f t="shared" si="6"/>
        <v>0</v>
      </c>
      <c r="M51" s="11" t="s">
        <v>41</v>
      </c>
      <c r="N51" s="12">
        <f t="shared" si="7"/>
        <v>0</v>
      </c>
      <c r="O51" s="18">
        <f t="shared" si="8"/>
        <v>0</v>
      </c>
      <c r="P51" s="18">
        <f t="shared" si="9"/>
        <v>0</v>
      </c>
    </row>
    <row r="52">
      <c r="A52" s="2" t="s">
        <v>203</v>
      </c>
      <c r="B52" s="10">
        <v>3.0</v>
      </c>
      <c r="C52" s="12">
        <f t="shared" si="1"/>
        <v>9</v>
      </c>
      <c r="D52" s="11">
        <v>0.0</v>
      </c>
      <c r="E52" s="11">
        <v>0.0</v>
      </c>
      <c r="F52" s="12">
        <f t="shared" si="2"/>
        <v>0</v>
      </c>
      <c r="G52" s="16">
        <f t="shared" si="3"/>
        <v>0</v>
      </c>
      <c r="H52" s="11" t="s">
        <v>41</v>
      </c>
      <c r="I52" s="12">
        <f t="shared" si="5"/>
        <v>0</v>
      </c>
      <c r="J52" s="11">
        <v>0.0</v>
      </c>
      <c r="K52" s="11">
        <v>0.0</v>
      </c>
      <c r="L52" s="16">
        <f t="shared" si="6"/>
        <v>0</v>
      </c>
      <c r="M52" s="11" t="s">
        <v>41</v>
      </c>
      <c r="N52" s="12">
        <f t="shared" si="7"/>
        <v>0</v>
      </c>
      <c r="O52" s="18">
        <f t="shared" si="8"/>
        <v>0</v>
      </c>
      <c r="P52" s="18">
        <f t="shared" si="9"/>
        <v>0</v>
      </c>
    </row>
    <row r="53">
      <c r="A53" s="2" t="s">
        <v>195</v>
      </c>
      <c r="B53" s="10">
        <v>3.0</v>
      </c>
      <c r="C53" s="12">
        <f t="shared" si="1"/>
        <v>9</v>
      </c>
      <c r="D53" s="11">
        <v>0.0</v>
      </c>
      <c r="E53" s="11">
        <v>0.0</v>
      </c>
      <c r="F53" s="12">
        <f t="shared" si="2"/>
        <v>0</v>
      </c>
      <c r="G53" s="16">
        <f t="shared" si="3"/>
        <v>0</v>
      </c>
      <c r="H53" s="11" t="s">
        <v>41</v>
      </c>
      <c r="I53" s="12">
        <f t="shared" si="5"/>
        <v>0</v>
      </c>
      <c r="J53" s="11">
        <v>0.0</v>
      </c>
      <c r="K53" s="11">
        <v>0.0</v>
      </c>
      <c r="L53" s="16">
        <f t="shared" si="6"/>
        <v>0</v>
      </c>
      <c r="M53" s="11" t="s">
        <v>41</v>
      </c>
      <c r="N53" s="12">
        <f t="shared" si="7"/>
        <v>0</v>
      </c>
      <c r="O53" s="18">
        <f t="shared" si="8"/>
        <v>0</v>
      </c>
      <c r="P53" s="18">
        <f t="shared" si="9"/>
        <v>0</v>
      </c>
    </row>
    <row r="54">
      <c r="A54" s="2" t="s">
        <v>84</v>
      </c>
      <c r="B54" s="10">
        <v>3.0</v>
      </c>
      <c r="C54" s="12">
        <f t="shared" si="1"/>
        <v>9</v>
      </c>
      <c r="D54" s="11">
        <v>0.0</v>
      </c>
      <c r="E54" s="11">
        <v>0.0</v>
      </c>
      <c r="F54" s="12">
        <f t="shared" si="2"/>
        <v>0</v>
      </c>
      <c r="G54" s="16">
        <f t="shared" si="3"/>
        <v>0</v>
      </c>
      <c r="H54" s="11" t="s">
        <v>41</v>
      </c>
      <c r="I54" s="12">
        <f t="shared" si="5"/>
        <v>0</v>
      </c>
      <c r="J54" s="11">
        <v>0.0</v>
      </c>
      <c r="K54" s="11">
        <v>0.0</v>
      </c>
      <c r="L54" s="16">
        <f t="shared" si="6"/>
        <v>0</v>
      </c>
      <c r="M54" s="11" t="s">
        <v>41</v>
      </c>
      <c r="N54" s="12">
        <f t="shared" si="7"/>
        <v>0</v>
      </c>
      <c r="O54" s="18">
        <f t="shared" si="8"/>
        <v>0</v>
      </c>
      <c r="P54" s="18">
        <f t="shared" si="9"/>
        <v>0</v>
      </c>
    </row>
    <row r="55">
      <c r="A55" s="2" t="s">
        <v>148</v>
      </c>
      <c r="B55" s="10">
        <v>3.0</v>
      </c>
      <c r="C55" s="12">
        <f t="shared" si="1"/>
        <v>9</v>
      </c>
      <c r="D55" s="11">
        <v>0.0</v>
      </c>
      <c r="E55" s="11">
        <v>0.0</v>
      </c>
      <c r="F55" s="12">
        <f t="shared" si="2"/>
        <v>0</v>
      </c>
      <c r="G55" s="16">
        <f t="shared" si="3"/>
        <v>0</v>
      </c>
      <c r="H55" s="11" t="s">
        <v>41</v>
      </c>
      <c r="I55" s="12">
        <f t="shared" si="5"/>
        <v>0</v>
      </c>
      <c r="J55" s="11">
        <v>0.0</v>
      </c>
      <c r="K55" s="11">
        <v>0.0</v>
      </c>
      <c r="L55" s="16">
        <f t="shared" si="6"/>
        <v>0</v>
      </c>
      <c r="M55" s="11" t="s">
        <v>41</v>
      </c>
      <c r="N55" s="12">
        <f t="shared" si="7"/>
        <v>0</v>
      </c>
      <c r="O55" s="18">
        <f t="shared" si="8"/>
        <v>0</v>
      </c>
      <c r="P55" s="18">
        <f t="shared" si="9"/>
        <v>0</v>
      </c>
    </row>
    <row r="56">
      <c r="A56" s="2" t="s">
        <v>60</v>
      </c>
      <c r="B56" s="10">
        <v>3.0</v>
      </c>
      <c r="C56" s="12">
        <f t="shared" si="1"/>
        <v>9</v>
      </c>
      <c r="D56" s="11">
        <v>0.0</v>
      </c>
      <c r="E56" s="11">
        <v>0.0</v>
      </c>
      <c r="F56" s="12">
        <f t="shared" si="2"/>
        <v>0</v>
      </c>
      <c r="G56" s="16">
        <f t="shared" si="3"/>
        <v>0</v>
      </c>
      <c r="H56" s="11" t="s">
        <v>41</v>
      </c>
      <c r="I56" s="12">
        <f t="shared" si="5"/>
        <v>0</v>
      </c>
      <c r="J56" s="11">
        <v>0.0</v>
      </c>
      <c r="K56" s="11">
        <v>0.0</v>
      </c>
      <c r="L56" s="16">
        <f t="shared" si="6"/>
        <v>0</v>
      </c>
      <c r="M56" s="11" t="s">
        <v>41</v>
      </c>
      <c r="N56" s="12">
        <f t="shared" si="7"/>
        <v>0</v>
      </c>
      <c r="O56" s="18">
        <f t="shared" si="8"/>
        <v>0</v>
      </c>
      <c r="P56" s="18">
        <f t="shared" si="9"/>
        <v>0</v>
      </c>
    </row>
    <row r="57">
      <c r="A57" s="2" t="s">
        <v>191</v>
      </c>
      <c r="B57" s="10">
        <v>3.0</v>
      </c>
      <c r="C57" s="12">
        <f t="shared" si="1"/>
        <v>9</v>
      </c>
      <c r="D57" s="11">
        <v>0.0</v>
      </c>
      <c r="E57" s="11">
        <v>0.0</v>
      </c>
      <c r="F57" s="12">
        <f t="shared" si="2"/>
        <v>0</v>
      </c>
      <c r="G57" s="16">
        <f t="shared" si="3"/>
        <v>0</v>
      </c>
      <c r="H57" s="11" t="s">
        <v>41</v>
      </c>
      <c r="I57" s="12">
        <f t="shared" si="5"/>
        <v>0</v>
      </c>
      <c r="J57" s="11">
        <v>0.0</v>
      </c>
      <c r="K57" s="11">
        <v>0.0</v>
      </c>
      <c r="L57" s="16">
        <f t="shared" si="6"/>
        <v>0</v>
      </c>
      <c r="M57" s="11" t="s">
        <v>41</v>
      </c>
      <c r="N57" s="12">
        <f t="shared" si="7"/>
        <v>0</v>
      </c>
      <c r="O57" s="18">
        <f t="shared" si="8"/>
        <v>0</v>
      </c>
      <c r="P57" s="18">
        <f t="shared" si="9"/>
        <v>0</v>
      </c>
    </row>
    <row r="58">
      <c r="A58" s="2" t="s">
        <v>87</v>
      </c>
      <c r="B58" s="10">
        <v>3.0</v>
      </c>
      <c r="C58" s="12">
        <f t="shared" si="1"/>
        <v>9</v>
      </c>
      <c r="D58" s="11">
        <v>0.0</v>
      </c>
      <c r="E58" s="11">
        <v>0.0</v>
      </c>
      <c r="F58" s="12">
        <f t="shared" si="2"/>
        <v>0</v>
      </c>
      <c r="G58" s="16">
        <f t="shared" si="3"/>
        <v>0</v>
      </c>
      <c r="H58" s="11" t="s">
        <v>41</v>
      </c>
      <c r="I58" s="12">
        <f t="shared" si="5"/>
        <v>0</v>
      </c>
      <c r="J58" s="11">
        <v>0.0</v>
      </c>
      <c r="K58" s="11">
        <v>0.0</v>
      </c>
      <c r="L58" s="16">
        <f t="shared" si="6"/>
        <v>0</v>
      </c>
      <c r="M58" s="11" t="s">
        <v>41</v>
      </c>
      <c r="N58" s="12">
        <f t="shared" si="7"/>
        <v>0</v>
      </c>
      <c r="O58" s="18">
        <f t="shared" si="8"/>
        <v>0</v>
      </c>
      <c r="P58" s="18">
        <f t="shared" si="9"/>
        <v>0</v>
      </c>
    </row>
    <row r="59">
      <c r="A59" s="2" t="s">
        <v>172</v>
      </c>
      <c r="B59" s="10">
        <v>3.0</v>
      </c>
      <c r="C59" s="12">
        <f t="shared" si="1"/>
        <v>9</v>
      </c>
      <c r="D59" s="11">
        <v>0.0</v>
      </c>
      <c r="E59" s="11">
        <v>0.0</v>
      </c>
      <c r="F59" s="12">
        <f t="shared" si="2"/>
        <v>0</v>
      </c>
      <c r="G59" s="16">
        <f t="shared" si="3"/>
        <v>0</v>
      </c>
      <c r="H59" s="11" t="s">
        <v>41</v>
      </c>
      <c r="I59" s="12">
        <f t="shared" si="5"/>
        <v>0</v>
      </c>
      <c r="J59" s="11">
        <v>0.0</v>
      </c>
      <c r="K59" s="11">
        <v>0.0</v>
      </c>
      <c r="L59" s="16">
        <f t="shared" si="6"/>
        <v>0</v>
      </c>
      <c r="M59" s="11" t="s">
        <v>41</v>
      </c>
      <c r="N59" s="12">
        <f t="shared" si="7"/>
        <v>0</v>
      </c>
      <c r="O59" s="18">
        <f t="shared" si="8"/>
        <v>0</v>
      </c>
      <c r="P59" s="18">
        <f t="shared" si="9"/>
        <v>0</v>
      </c>
    </row>
    <row r="60">
      <c r="A60" s="2" t="s">
        <v>151</v>
      </c>
      <c r="B60" s="10">
        <v>3.0</v>
      </c>
      <c r="C60" s="12">
        <f t="shared" si="1"/>
        <v>9</v>
      </c>
      <c r="D60" s="11">
        <v>0.0</v>
      </c>
      <c r="E60" s="20">
        <v>0.0</v>
      </c>
      <c r="F60" s="21">
        <f t="shared" si="2"/>
        <v>0</v>
      </c>
      <c r="G60" s="23">
        <f t="shared" si="3"/>
        <v>0</v>
      </c>
      <c r="H60" s="20" t="s">
        <v>41</v>
      </c>
      <c r="I60" s="12">
        <f t="shared" si="5"/>
        <v>0</v>
      </c>
      <c r="J60" s="11">
        <v>0.0</v>
      </c>
      <c r="K60" s="11">
        <v>0.0</v>
      </c>
      <c r="L60" s="16">
        <f t="shared" si="6"/>
        <v>0</v>
      </c>
      <c r="M60" s="11" t="s">
        <v>41</v>
      </c>
      <c r="N60" s="12">
        <f t="shared" si="7"/>
        <v>0</v>
      </c>
      <c r="O60" s="18">
        <f t="shared" si="8"/>
        <v>0</v>
      </c>
      <c r="P60" s="18">
        <f t="shared" si="9"/>
        <v>0</v>
      </c>
    </row>
    <row r="61">
      <c r="A61" s="2" t="s">
        <v>145</v>
      </c>
      <c r="B61" s="10">
        <v>3.0</v>
      </c>
      <c r="C61" s="12">
        <f t="shared" si="1"/>
        <v>9</v>
      </c>
      <c r="D61" s="11">
        <v>0.0</v>
      </c>
      <c r="E61" s="11">
        <v>0.0</v>
      </c>
      <c r="F61" s="12">
        <f t="shared" si="2"/>
        <v>0</v>
      </c>
      <c r="G61" s="16">
        <f t="shared" si="3"/>
        <v>0</v>
      </c>
      <c r="H61" s="11" t="s">
        <v>41</v>
      </c>
      <c r="I61" s="12">
        <f t="shared" si="5"/>
        <v>0</v>
      </c>
      <c r="J61" s="11">
        <v>0.0</v>
      </c>
      <c r="K61" s="11">
        <v>0.0</v>
      </c>
      <c r="L61" s="16">
        <f t="shared" si="6"/>
        <v>0</v>
      </c>
      <c r="M61" s="11" t="s">
        <v>41</v>
      </c>
      <c r="N61" s="12">
        <f t="shared" si="7"/>
        <v>0</v>
      </c>
      <c r="O61" s="18">
        <f t="shared" si="8"/>
        <v>0</v>
      </c>
      <c r="P61" s="18">
        <f t="shared" si="9"/>
        <v>0</v>
      </c>
    </row>
    <row r="62">
      <c r="A62" s="2" t="s">
        <v>153</v>
      </c>
      <c r="B62" s="10">
        <v>3.0</v>
      </c>
      <c r="C62" s="12">
        <f t="shared" si="1"/>
        <v>9</v>
      </c>
      <c r="D62" s="11">
        <v>0.0</v>
      </c>
      <c r="E62" s="11">
        <v>0.0</v>
      </c>
      <c r="F62" s="12">
        <f t="shared" si="2"/>
        <v>0</v>
      </c>
      <c r="G62" s="16">
        <f t="shared" si="3"/>
        <v>0</v>
      </c>
      <c r="H62" s="11" t="s">
        <v>41</v>
      </c>
      <c r="I62" s="12">
        <f t="shared" si="5"/>
        <v>0</v>
      </c>
      <c r="J62" s="11">
        <v>0.0</v>
      </c>
      <c r="K62" s="11">
        <v>0.0</v>
      </c>
      <c r="L62" s="16">
        <f t="shared" si="6"/>
        <v>0</v>
      </c>
      <c r="M62" s="11" t="s">
        <v>41</v>
      </c>
      <c r="N62" s="12">
        <f t="shared" si="7"/>
        <v>0</v>
      </c>
      <c r="O62" s="18">
        <f t="shared" si="8"/>
        <v>0</v>
      </c>
      <c r="P62" s="18">
        <f t="shared" si="9"/>
        <v>0</v>
      </c>
    </row>
    <row r="63">
      <c r="A63" s="2" t="s">
        <v>198</v>
      </c>
      <c r="B63" s="10">
        <v>3.0</v>
      </c>
      <c r="C63" s="12">
        <f t="shared" si="1"/>
        <v>9</v>
      </c>
      <c r="D63" s="11">
        <v>0.0</v>
      </c>
      <c r="E63" s="11">
        <v>0.0</v>
      </c>
      <c r="F63" s="12">
        <f t="shared" si="2"/>
        <v>0</v>
      </c>
      <c r="G63" s="16">
        <f t="shared" si="3"/>
        <v>0</v>
      </c>
      <c r="H63" s="11" t="s">
        <v>41</v>
      </c>
      <c r="I63" s="12">
        <f t="shared" si="5"/>
        <v>0</v>
      </c>
      <c r="J63" s="11">
        <v>0.0</v>
      </c>
      <c r="K63" s="11">
        <v>0.0</v>
      </c>
      <c r="L63" s="16">
        <f t="shared" si="6"/>
        <v>0</v>
      </c>
      <c r="M63" s="11" t="s">
        <v>41</v>
      </c>
      <c r="N63" s="12">
        <f t="shared" si="7"/>
        <v>0</v>
      </c>
      <c r="O63" s="18">
        <f t="shared" si="8"/>
        <v>0</v>
      </c>
      <c r="P63" s="18">
        <f t="shared" si="9"/>
        <v>0</v>
      </c>
    </row>
    <row r="64">
      <c r="A64" s="2" t="s">
        <v>116</v>
      </c>
      <c r="B64" s="10">
        <v>3.0</v>
      </c>
      <c r="C64" s="12">
        <f t="shared" si="1"/>
        <v>9</v>
      </c>
      <c r="D64" s="11">
        <v>0.0</v>
      </c>
      <c r="E64" s="11">
        <v>0.0</v>
      </c>
      <c r="F64" s="12">
        <f t="shared" si="2"/>
        <v>0</v>
      </c>
      <c r="G64" s="16">
        <f t="shared" si="3"/>
        <v>0</v>
      </c>
      <c r="H64" s="11" t="s">
        <v>41</v>
      </c>
      <c r="I64" s="12">
        <f t="shared" si="5"/>
        <v>0</v>
      </c>
      <c r="J64" s="11">
        <v>0.0</v>
      </c>
      <c r="K64" s="11">
        <v>0.0</v>
      </c>
      <c r="L64" s="16">
        <f t="shared" si="6"/>
        <v>0</v>
      </c>
      <c r="M64" s="11" t="s">
        <v>41</v>
      </c>
      <c r="N64" s="12">
        <f t="shared" si="7"/>
        <v>0</v>
      </c>
      <c r="O64" s="18">
        <f t="shared" si="8"/>
        <v>0</v>
      </c>
      <c r="P64" s="18">
        <f t="shared" si="9"/>
        <v>0</v>
      </c>
    </row>
    <row r="65">
      <c r="A65" s="2" t="s">
        <v>144</v>
      </c>
      <c r="B65" s="10">
        <v>3.0</v>
      </c>
      <c r="C65" s="12">
        <f t="shared" si="1"/>
        <v>9</v>
      </c>
      <c r="D65" s="11">
        <v>0.0</v>
      </c>
      <c r="E65" s="11">
        <v>0.0</v>
      </c>
      <c r="F65" s="12">
        <f t="shared" si="2"/>
        <v>0</v>
      </c>
      <c r="G65" s="16">
        <f t="shared" si="3"/>
        <v>0</v>
      </c>
      <c r="H65" s="11" t="s">
        <v>41</v>
      </c>
      <c r="I65" s="12">
        <f t="shared" si="5"/>
        <v>0</v>
      </c>
      <c r="J65" s="11">
        <v>0.0</v>
      </c>
      <c r="K65" s="11">
        <v>0.0</v>
      </c>
      <c r="L65" s="16">
        <f t="shared" si="6"/>
        <v>0</v>
      </c>
      <c r="M65" s="11" t="s">
        <v>41</v>
      </c>
      <c r="N65" s="12">
        <f t="shared" si="7"/>
        <v>0</v>
      </c>
      <c r="O65" s="18">
        <f t="shared" si="8"/>
        <v>0</v>
      </c>
      <c r="P65" s="18">
        <f t="shared" si="9"/>
        <v>0</v>
      </c>
    </row>
    <row r="66">
      <c r="A66" s="2" t="s">
        <v>200</v>
      </c>
      <c r="B66" s="10">
        <v>3.0</v>
      </c>
      <c r="C66" s="12">
        <f t="shared" si="1"/>
        <v>9</v>
      </c>
      <c r="D66" s="11">
        <v>0.0</v>
      </c>
      <c r="E66" s="11">
        <v>0.0</v>
      </c>
      <c r="F66" s="12">
        <f t="shared" si="2"/>
        <v>0</v>
      </c>
      <c r="G66" s="16">
        <f t="shared" si="3"/>
        <v>0</v>
      </c>
      <c r="H66" s="11" t="s">
        <v>41</v>
      </c>
      <c r="I66" s="12">
        <f t="shared" si="5"/>
        <v>0</v>
      </c>
      <c r="J66" s="11">
        <v>0.0</v>
      </c>
      <c r="K66" s="11">
        <v>0.0</v>
      </c>
      <c r="L66" s="16">
        <f t="shared" si="6"/>
        <v>0</v>
      </c>
      <c r="M66" s="11" t="s">
        <v>41</v>
      </c>
      <c r="N66" s="12">
        <f t="shared" si="7"/>
        <v>0</v>
      </c>
      <c r="O66" s="18">
        <f t="shared" si="8"/>
        <v>0</v>
      </c>
      <c r="P66" s="18">
        <f t="shared" si="9"/>
        <v>0</v>
      </c>
    </row>
    <row r="67">
      <c r="A67" s="2" t="s">
        <v>134</v>
      </c>
      <c r="B67" s="10">
        <v>3.0</v>
      </c>
      <c r="C67" s="12">
        <f t="shared" si="1"/>
        <v>9</v>
      </c>
      <c r="D67" s="11">
        <v>0.0</v>
      </c>
      <c r="E67" s="11">
        <v>0.0</v>
      </c>
      <c r="F67" s="12">
        <f t="shared" si="2"/>
        <v>0</v>
      </c>
      <c r="G67" s="16">
        <f t="shared" si="3"/>
        <v>0</v>
      </c>
      <c r="H67" s="11" t="s">
        <v>41</v>
      </c>
      <c r="I67" s="12">
        <f t="shared" si="5"/>
        <v>0</v>
      </c>
      <c r="J67" s="11">
        <v>0.0</v>
      </c>
      <c r="K67" s="11">
        <v>0.0</v>
      </c>
      <c r="L67" s="16">
        <f t="shared" si="6"/>
        <v>0</v>
      </c>
      <c r="M67" s="11" t="s">
        <v>41</v>
      </c>
      <c r="N67" s="12">
        <f t="shared" si="7"/>
        <v>0</v>
      </c>
      <c r="O67" s="18">
        <f t="shared" si="8"/>
        <v>0</v>
      </c>
      <c r="P67" s="18">
        <f t="shared" si="9"/>
        <v>0</v>
      </c>
    </row>
    <row r="68">
      <c r="A68" s="2" t="s">
        <v>154</v>
      </c>
      <c r="B68" s="10">
        <v>3.0</v>
      </c>
      <c r="C68" s="12">
        <f t="shared" si="1"/>
        <v>9</v>
      </c>
      <c r="D68" s="11">
        <v>0.0</v>
      </c>
      <c r="E68" s="11">
        <v>0.0</v>
      </c>
      <c r="F68" s="12">
        <f t="shared" si="2"/>
        <v>0</v>
      </c>
      <c r="G68" s="16">
        <f t="shared" si="3"/>
        <v>0</v>
      </c>
      <c r="H68" s="11" t="s">
        <v>41</v>
      </c>
      <c r="I68" s="12">
        <f t="shared" si="5"/>
        <v>0</v>
      </c>
      <c r="J68" s="11">
        <v>0.0</v>
      </c>
      <c r="K68" s="11">
        <v>0.0</v>
      </c>
      <c r="L68" s="16">
        <f t="shared" si="6"/>
        <v>0</v>
      </c>
      <c r="M68" s="11" t="s">
        <v>41</v>
      </c>
      <c r="N68" s="12">
        <f t="shared" si="7"/>
        <v>0</v>
      </c>
      <c r="O68" s="18">
        <f t="shared" si="8"/>
        <v>0</v>
      </c>
      <c r="P68" s="18">
        <f t="shared" si="9"/>
        <v>0</v>
      </c>
    </row>
    <row r="69">
      <c r="A69" s="2" t="s">
        <v>103</v>
      </c>
      <c r="B69" s="10">
        <v>3.0</v>
      </c>
      <c r="C69" s="12">
        <f t="shared" si="1"/>
        <v>9</v>
      </c>
      <c r="D69" s="11">
        <v>0.0</v>
      </c>
      <c r="E69" s="11">
        <v>0.0</v>
      </c>
      <c r="F69" s="12">
        <f t="shared" si="2"/>
        <v>0</v>
      </c>
      <c r="G69" s="16">
        <f t="shared" si="3"/>
        <v>0</v>
      </c>
      <c r="H69" s="11" t="s">
        <v>41</v>
      </c>
      <c r="I69" s="12">
        <f t="shared" si="5"/>
        <v>0</v>
      </c>
      <c r="J69" s="11">
        <v>0.0</v>
      </c>
      <c r="K69" s="11">
        <v>0.0</v>
      </c>
      <c r="L69" s="16">
        <f t="shared" si="6"/>
        <v>0</v>
      </c>
      <c r="M69" s="11" t="s">
        <v>41</v>
      </c>
      <c r="N69" s="12">
        <f t="shared" si="7"/>
        <v>0</v>
      </c>
      <c r="O69" s="18">
        <f t="shared" si="8"/>
        <v>0</v>
      </c>
      <c r="P69" s="18">
        <f t="shared" si="9"/>
        <v>0</v>
      </c>
    </row>
    <row r="70">
      <c r="A70" s="2" t="s">
        <v>158</v>
      </c>
      <c r="B70" s="27">
        <f>2+2/3</f>
        <v>2.666666667</v>
      </c>
      <c r="C70" s="12">
        <f t="shared" si="1"/>
        <v>8</v>
      </c>
      <c r="D70" s="11">
        <v>0.0</v>
      </c>
      <c r="E70" s="11">
        <v>0.0</v>
      </c>
      <c r="F70" s="12">
        <f t="shared" si="2"/>
        <v>0</v>
      </c>
      <c r="G70" s="16">
        <f t="shared" si="3"/>
        <v>0</v>
      </c>
      <c r="H70" s="11" t="s">
        <v>41</v>
      </c>
      <c r="I70" s="12">
        <f t="shared" si="5"/>
        <v>0</v>
      </c>
      <c r="J70" s="11">
        <v>0.0</v>
      </c>
      <c r="K70" s="11">
        <v>0.0</v>
      </c>
      <c r="L70" s="16">
        <f t="shared" si="6"/>
        <v>0</v>
      </c>
      <c r="M70" s="11" t="s">
        <v>41</v>
      </c>
      <c r="N70" s="12">
        <f t="shared" si="7"/>
        <v>0</v>
      </c>
      <c r="O70" s="18">
        <f t="shared" si="8"/>
        <v>0</v>
      </c>
      <c r="P70" s="18">
        <f t="shared" si="9"/>
        <v>0</v>
      </c>
    </row>
    <row r="71">
      <c r="A71" s="2" t="s">
        <v>170</v>
      </c>
      <c r="B71" s="28">
        <f>2/3+2</f>
        <v>2.666666667</v>
      </c>
      <c r="C71" s="12">
        <f t="shared" si="1"/>
        <v>8</v>
      </c>
      <c r="D71" s="11">
        <v>0.0</v>
      </c>
      <c r="E71" s="11">
        <v>0.0</v>
      </c>
      <c r="F71" s="12">
        <f t="shared" si="2"/>
        <v>0</v>
      </c>
      <c r="G71" s="16">
        <f t="shared" si="3"/>
        <v>0</v>
      </c>
      <c r="H71" s="11" t="s">
        <v>41</v>
      </c>
      <c r="I71" s="12">
        <f t="shared" si="5"/>
        <v>0</v>
      </c>
      <c r="J71" s="11">
        <v>0.0</v>
      </c>
      <c r="K71" s="11">
        <v>0.0</v>
      </c>
      <c r="L71" s="16">
        <f t="shared" si="6"/>
        <v>0</v>
      </c>
      <c r="M71" s="11" t="s">
        <v>41</v>
      </c>
      <c r="N71" s="12">
        <f t="shared" si="7"/>
        <v>0</v>
      </c>
      <c r="O71" s="18">
        <f t="shared" si="8"/>
        <v>0</v>
      </c>
      <c r="P71" s="18">
        <f t="shared" si="9"/>
        <v>0</v>
      </c>
    </row>
    <row r="72">
      <c r="A72" s="2" t="s">
        <v>209</v>
      </c>
      <c r="B72" s="27">
        <f>1+2/3+1</f>
        <v>2.666666667</v>
      </c>
      <c r="C72" s="12">
        <f t="shared" si="1"/>
        <v>8</v>
      </c>
      <c r="D72" s="11">
        <v>0.0</v>
      </c>
      <c r="E72" s="11">
        <v>0.0</v>
      </c>
      <c r="F72" s="12">
        <f t="shared" si="2"/>
        <v>0</v>
      </c>
      <c r="G72" s="16">
        <f t="shared" si="3"/>
        <v>0</v>
      </c>
      <c r="H72" s="11" t="s">
        <v>41</v>
      </c>
      <c r="I72" s="12">
        <f t="shared" si="5"/>
        <v>0</v>
      </c>
      <c r="J72" s="11">
        <v>0.0</v>
      </c>
      <c r="K72" s="11">
        <v>0.0</v>
      </c>
      <c r="L72" s="16">
        <f t="shared" si="6"/>
        <v>0</v>
      </c>
      <c r="M72" s="11" t="s">
        <v>41</v>
      </c>
      <c r="N72" s="12">
        <f t="shared" si="7"/>
        <v>0</v>
      </c>
      <c r="O72" s="18">
        <f t="shared" si="8"/>
        <v>0</v>
      </c>
      <c r="P72" s="18">
        <f t="shared" si="9"/>
        <v>0</v>
      </c>
    </row>
    <row r="73">
      <c r="A73" s="2" t="s">
        <v>159</v>
      </c>
      <c r="B73" s="27">
        <f>2+1/3</f>
        <v>2.333333333</v>
      </c>
      <c r="C73" s="12">
        <f t="shared" si="1"/>
        <v>7</v>
      </c>
      <c r="D73" s="11">
        <v>0.0</v>
      </c>
      <c r="E73" s="11">
        <v>0.0</v>
      </c>
      <c r="F73" s="12">
        <f t="shared" si="2"/>
        <v>0</v>
      </c>
      <c r="G73" s="16">
        <f t="shared" si="3"/>
        <v>0</v>
      </c>
      <c r="H73" s="11" t="s">
        <v>41</v>
      </c>
      <c r="I73" s="12">
        <f t="shared" si="5"/>
        <v>0</v>
      </c>
      <c r="J73" s="11">
        <v>0.0</v>
      </c>
      <c r="K73" s="11">
        <v>0.0</v>
      </c>
      <c r="L73" s="16">
        <f t="shared" si="6"/>
        <v>0</v>
      </c>
      <c r="M73" s="11" t="s">
        <v>41</v>
      </c>
      <c r="N73" s="12">
        <f t="shared" si="7"/>
        <v>0</v>
      </c>
      <c r="O73" s="18">
        <f t="shared" si="8"/>
        <v>0</v>
      </c>
      <c r="P73" s="18">
        <f t="shared" si="9"/>
        <v>0</v>
      </c>
    </row>
    <row r="74">
      <c r="A74" s="2" t="s">
        <v>99</v>
      </c>
      <c r="B74" s="28">
        <f>1/3+1+1</f>
        <v>2.333333333</v>
      </c>
      <c r="C74" s="12">
        <f t="shared" si="1"/>
        <v>7</v>
      </c>
      <c r="D74" s="11">
        <v>0.0</v>
      </c>
      <c r="E74" s="11">
        <v>0.0</v>
      </c>
      <c r="F74" s="12">
        <f t="shared" si="2"/>
        <v>0</v>
      </c>
      <c r="G74" s="16">
        <f t="shared" si="3"/>
        <v>0</v>
      </c>
      <c r="H74" s="11" t="s">
        <v>41</v>
      </c>
      <c r="I74" s="12">
        <f t="shared" si="5"/>
        <v>0</v>
      </c>
      <c r="J74" s="11">
        <v>0.0</v>
      </c>
      <c r="K74" s="11">
        <v>0.0</v>
      </c>
      <c r="L74" s="16">
        <f t="shared" si="6"/>
        <v>0</v>
      </c>
      <c r="M74" s="11" t="s">
        <v>41</v>
      </c>
      <c r="N74" s="12">
        <f t="shared" si="7"/>
        <v>0</v>
      </c>
      <c r="O74" s="18">
        <f t="shared" si="8"/>
        <v>0</v>
      </c>
      <c r="P74" s="18">
        <f t="shared" si="9"/>
        <v>0</v>
      </c>
    </row>
    <row r="75">
      <c r="A75" s="2" t="s">
        <v>166</v>
      </c>
      <c r="B75" s="33">
        <v>2.0</v>
      </c>
      <c r="C75" s="12">
        <f t="shared" si="1"/>
        <v>6</v>
      </c>
      <c r="D75" s="11">
        <v>0.0</v>
      </c>
      <c r="E75" s="20">
        <v>0.0</v>
      </c>
      <c r="F75" s="21">
        <f t="shared" si="2"/>
        <v>0</v>
      </c>
      <c r="G75" s="23">
        <f t="shared" si="3"/>
        <v>0</v>
      </c>
      <c r="H75" s="20" t="s">
        <v>41</v>
      </c>
      <c r="I75" s="12">
        <f t="shared" si="5"/>
        <v>0</v>
      </c>
      <c r="J75" s="11">
        <v>0.0</v>
      </c>
      <c r="K75" s="11">
        <v>0.0</v>
      </c>
      <c r="L75" s="16">
        <f t="shared" si="6"/>
        <v>0</v>
      </c>
      <c r="M75" s="11" t="s">
        <v>41</v>
      </c>
      <c r="N75" s="12">
        <f t="shared" si="7"/>
        <v>0</v>
      </c>
      <c r="O75" s="18">
        <f t="shared" si="8"/>
        <v>0</v>
      </c>
      <c r="P75" s="18">
        <f t="shared" si="9"/>
        <v>0</v>
      </c>
    </row>
    <row r="76">
      <c r="A76" s="2" t="s">
        <v>168</v>
      </c>
      <c r="B76" s="33">
        <v>2.0</v>
      </c>
      <c r="C76" s="12">
        <f t="shared" si="1"/>
        <v>6</v>
      </c>
      <c r="D76" s="11">
        <v>0.0</v>
      </c>
      <c r="E76" s="20">
        <v>0.0</v>
      </c>
      <c r="F76" s="21">
        <f t="shared" si="2"/>
        <v>0</v>
      </c>
      <c r="G76" s="23">
        <f t="shared" si="3"/>
        <v>0</v>
      </c>
      <c r="H76" s="20" t="s">
        <v>41</v>
      </c>
      <c r="I76" s="12">
        <f t="shared" si="5"/>
        <v>0</v>
      </c>
      <c r="J76" s="11">
        <v>0.0</v>
      </c>
      <c r="K76" s="11">
        <v>0.0</v>
      </c>
      <c r="L76" s="16">
        <f t="shared" si="6"/>
        <v>0</v>
      </c>
      <c r="M76" s="11" t="s">
        <v>41</v>
      </c>
      <c r="N76" s="12">
        <f t="shared" si="7"/>
        <v>0</v>
      </c>
      <c r="O76" s="18">
        <f t="shared" si="8"/>
        <v>0</v>
      </c>
      <c r="P76" s="18">
        <f t="shared" si="9"/>
        <v>0</v>
      </c>
    </row>
    <row r="77">
      <c r="A77" s="2" t="s">
        <v>115</v>
      </c>
      <c r="B77" s="33">
        <v>2.0</v>
      </c>
      <c r="C77" s="12">
        <f t="shared" si="1"/>
        <v>6</v>
      </c>
      <c r="D77" s="11">
        <v>0.0</v>
      </c>
      <c r="E77" s="20">
        <v>0.0</v>
      </c>
      <c r="F77" s="21">
        <f t="shared" si="2"/>
        <v>0</v>
      </c>
      <c r="G77" s="23">
        <f t="shared" si="3"/>
        <v>0</v>
      </c>
      <c r="H77" s="20" t="s">
        <v>41</v>
      </c>
      <c r="I77" s="12">
        <f t="shared" si="5"/>
        <v>0</v>
      </c>
      <c r="J77" s="11">
        <v>0.0</v>
      </c>
      <c r="K77" s="11">
        <v>0.0</v>
      </c>
      <c r="L77" s="16">
        <f t="shared" si="6"/>
        <v>0</v>
      </c>
      <c r="M77" s="11" t="s">
        <v>41</v>
      </c>
      <c r="N77" s="12">
        <f t="shared" si="7"/>
        <v>0</v>
      </c>
      <c r="O77" s="18">
        <f t="shared" si="8"/>
        <v>0</v>
      </c>
      <c r="P77" s="18">
        <f t="shared" si="9"/>
        <v>0</v>
      </c>
    </row>
    <row r="78">
      <c r="A78" s="2" t="s">
        <v>171</v>
      </c>
      <c r="B78" s="10">
        <v>2.0</v>
      </c>
      <c r="C78" s="12">
        <f t="shared" si="1"/>
        <v>6</v>
      </c>
      <c r="D78" s="11">
        <v>0.0</v>
      </c>
      <c r="E78" s="11">
        <v>0.0</v>
      </c>
      <c r="F78" s="12">
        <f t="shared" si="2"/>
        <v>0</v>
      </c>
      <c r="G78" s="16">
        <f t="shared" si="3"/>
        <v>0</v>
      </c>
      <c r="H78" s="11" t="s">
        <v>41</v>
      </c>
      <c r="I78" s="12">
        <f t="shared" si="5"/>
        <v>0</v>
      </c>
      <c r="J78" s="11">
        <v>0.0</v>
      </c>
      <c r="K78" s="11">
        <v>0.0</v>
      </c>
      <c r="L78" s="16">
        <f t="shared" si="6"/>
        <v>0</v>
      </c>
      <c r="M78" s="11" t="s">
        <v>41</v>
      </c>
      <c r="N78" s="12">
        <f t="shared" si="7"/>
        <v>0</v>
      </c>
      <c r="O78" s="18">
        <f t="shared" si="8"/>
        <v>0</v>
      </c>
      <c r="P78" s="18">
        <f t="shared" si="9"/>
        <v>0</v>
      </c>
    </row>
    <row r="79">
      <c r="A79" s="2" t="s">
        <v>74</v>
      </c>
      <c r="B79" s="33">
        <v>2.0</v>
      </c>
      <c r="C79" s="12">
        <f t="shared" si="1"/>
        <v>6</v>
      </c>
      <c r="D79" s="11">
        <v>0.0</v>
      </c>
      <c r="E79" s="20">
        <v>0.0</v>
      </c>
      <c r="F79" s="21">
        <f t="shared" si="2"/>
        <v>0</v>
      </c>
      <c r="G79" s="23">
        <f t="shared" si="3"/>
        <v>0</v>
      </c>
      <c r="H79" s="20" t="s">
        <v>41</v>
      </c>
      <c r="I79" s="12">
        <f t="shared" si="5"/>
        <v>0</v>
      </c>
      <c r="J79" s="11">
        <v>0.0</v>
      </c>
      <c r="K79" s="11">
        <v>0.0</v>
      </c>
      <c r="L79" s="16">
        <f t="shared" si="6"/>
        <v>0</v>
      </c>
      <c r="M79" s="11" t="s">
        <v>41</v>
      </c>
      <c r="N79" s="12">
        <f t="shared" si="7"/>
        <v>0</v>
      </c>
      <c r="O79" s="18">
        <f t="shared" si="8"/>
        <v>0</v>
      </c>
      <c r="P79" s="18">
        <f t="shared" si="9"/>
        <v>0</v>
      </c>
    </row>
    <row r="80">
      <c r="A80" s="2" t="s">
        <v>206</v>
      </c>
      <c r="B80" s="10">
        <v>3.0</v>
      </c>
      <c r="C80" s="12">
        <f t="shared" si="1"/>
        <v>9</v>
      </c>
      <c r="D80" s="11">
        <v>0.0</v>
      </c>
      <c r="E80" s="20">
        <v>0.0</v>
      </c>
      <c r="F80" s="21">
        <f t="shared" si="2"/>
        <v>0</v>
      </c>
      <c r="G80" s="23">
        <f t="shared" si="3"/>
        <v>0</v>
      </c>
      <c r="H80" s="20" t="s">
        <v>41</v>
      </c>
      <c r="I80" s="12">
        <f t="shared" si="5"/>
        <v>0</v>
      </c>
      <c r="J80" s="11">
        <v>0.0</v>
      </c>
      <c r="K80" s="11">
        <v>0.0</v>
      </c>
      <c r="L80" s="16">
        <f t="shared" si="6"/>
        <v>0</v>
      </c>
      <c r="M80" s="11" t="s">
        <v>41</v>
      </c>
      <c r="N80" s="12">
        <f t="shared" si="7"/>
        <v>0</v>
      </c>
      <c r="O80" s="18">
        <f t="shared" si="8"/>
        <v>0</v>
      </c>
      <c r="P80" s="18">
        <f t="shared" si="9"/>
        <v>0</v>
      </c>
    </row>
    <row r="81">
      <c r="A81" s="2" t="s">
        <v>94</v>
      </c>
      <c r="B81" s="27">
        <f t="shared" ref="B81:B82" si="12">1+2/3</f>
        <v>1.666666667</v>
      </c>
      <c r="C81" s="12">
        <f t="shared" si="1"/>
        <v>5</v>
      </c>
      <c r="D81" s="11">
        <v>0.0</v>
      </c>
      <c r="E81" s="11">
        <v>0.0</v>
      </c>
      <c r="F81" s="12">
        <f t="shared" si="2"/>
        <v>0</v>
      </c>
      <c r="G81" s="16">
        <f t="shared" si="3"/>
        <v>0</v>
      </c>
      <c r="H81" s="11" t="s">
        <v>41</v>
      </c>
      <c r="I81" s="12">
        <f t="shared" si="5"/>
        <v>0</v>
      </c>
      <c r="J81" s="11">
        <v>0.0</v>
      </c>
      <c r="K81" s="11">
        <v>0.0</v>
      </c>
      <c r="L81" s="16">
        <f t="shared" si="6"/>
        <v>0</v>
      </c>
      <c r="M81" s="11" t="s">
        <v>41</v>
      </c>
      <c r="N81" s="12">
        <f t="shared" si="7"/>
        <v>0</v>
      </c>
      <c r="O81" s="18">
        <f t="shared" si="8"/>
        <v>0</v>
      </c>
      <c r="P81" s="18">
        <f t="shared" si="9"/>
        <v>0</v>
      </c>
    </row>
    <row r="82">
      <c r="A82" s="2" t="s">
        <v>175</v>
      </c>
      <c r="B82" s="27">
        <f t="shared" si="12"/>
        <v>1.666666667</v>
      </c>
      <c r="C82" s="12">
        <f t="shared" si="1"/>
        <v>5</v>
      </c>
      <c r="D82" s="11">
        <v>0.0</v>
      </c>
      <c r="E82" s="11">
        <v>0.0</v>
      </c>
      <c r="F82" s="12">
        <f t="shared" si="2"/>
        <v>0</v>
      </c>
      <c r="G82" s="16">
        <f t="shared" si="3"/>
        <v>0</v>
      </c>
      <c r="H82" s="11" t="s">
        <v>41</v>
      </c>
      <c r="I82" s="12">
        <f t="shared" si="5"/>
        <v>0</v>
      </c>
      <c r="J82" s="11">
        <v>0.0</v>
      </c>
      <c r="K82" s="11">
        <v>0.0</v>
      </c>
      <c r="L82" s="16">
        <f t="shared" si="6"/>
        <v>0</v>
      </c>
      <c r="M82" s="11" t="s">
        <v>41</v>
      </c>
      <c r="N82" s="12">
        <f t="shared" si="7"/>
        <v>0</v>
      </c>
      <c r="O82" s="18">
        <f t="shared" si="8"/>
        <v>0</v>
      </c>
      <c r="P82" s="18">
        <f t="shared" si="9"/>
        <v>0</v>
      </c>
    </row>
    <row r="83">
      <c r="A83" s="2" t="s">
        <v>177</v>
      </c>
      <c r="B83" s="28">
        <f t="shared" ref="B83:B84" si="13">2/3+1</f>
        <v>1.666666667</v>
      </c>
      <c r="C83" s="12">
        <f t="shared" si="1"/>
        <v>5</v>
      </c>
      <c r="D83" s="11">
        <v>0.0</v>
      </c>
      <c r="E83" s="20">
        <v>0.0</v>
      </c>
      <c r="F83" s="21">
        <f t="shared" si="2"/>
        <v>0</v>
      </c>
      <c r="G83" s="23">
        <f t="shared" si="3"/>
        <v>0</v>
      </c>
      <c r="H83" s="20" t="s">
        <v>41</v>
      </c>
      <c r="I83" s="12">
        <f t="shared" si="5"/>
        <v>0</v>
      </c>
      <c r="J83" s="11">
        <v>0.0</v>
      </c>
      <c r="K83" s="11">
        <v>0.0</v>
      </c>
      <c r="L83" s="16">
        <f t="shared" si="6"/>
        <v>0</v>
      </c>
      <c r="M83" s="11" t="s">
        <v>41</v>
      </c>
      <c r="N83" s="12">
        <f t="shared" si="7"/>
        <v>0</v>
      </c>
      <c r="O83" s="18">
        <f t="shared" si="8"/>
        <v>0</v>
      </c>
      <c r="P83" s="18">
        <f t="shared" si="9"/>
        <v>0</v>
      </c>
    </row>
    <row r="84">
      <c r="A84" s="2" t="s">
        <v>182</v>
      </c>
      <c r="B84" s="27">
        <f t="shared" si="13"/>
        <v>1.666666667</v>
      </c>
      <c r="C84" s="12">
        <f t="shared" si="1"/>
        <v>5</v>
      </c>
      <c r="D84" s="11">
        <v>0.0</v>
      </c>
      <c r="E84" s="11">
        <v>0.0</v>
      </c>
      <c r="F84" s="12">
        <f t="shared" si="2"/>
        <v>0</v>
      </c>
      <c r="G84" s="16">
        <f t="shared" si="3"/>
        <v>0</v>
      </c>
      <c r="H84" s="11" t="s">
        <v>41</v>
      </c>
      <c r="I84" s="12">
        <f t="shared" si="5"/>
        <v>0</v>
      </c>
      <c r="J84" s="11">
        <v>0.0</v>
      </c>
      <c r="K84" s="11">
        <v>0.0</v>
      </c>
      <c r="L84" s="16">
        <f t="shared" si="6"/>
        <v>0</v>
      </c>
      <c r="M84" s="11" t="s">
        <v>41</v>
      </c>
      <c r="N84" s="12">
        <f t="shared" si="7"/>
        <v>0</v>
      </c>
      <c r="O84" s="18">
        <f t="shared" si="8"/>
        <v>0</v>
      </c>
      <c r="P84" s="18">
        <f t="shared" si="9"/>
        <v>0</v>
      </c>
    </row>
    <row r="85">
      <c r="A85" s="2" t="s">
        <v>202</v>
      </c>
      <c r="B85" s="27">
        <f>1/3+1/3+1</f>
        <v>1.666666667</v>
      </c>
      <c r="C85" s="12">
        <f t="shared" si="1"/>
        <v>5</v>
      </c>
      <c r="D85" s="11">
        <v>0.0</v>
      </c>
      <c r="E85" s="11">
        <v>0.0</v>
      </c>
      <c r="F85" s="12">
        <f t="shared" si="2"/>
        <v>0</v>
      </c>
      <c r="G85" s="16">
        <f t="shared" si="3"/>
        <v>0</v>
      </c>
      <c r="H85" s="11" t="s">
        <v>41</v>
      </c>
      <c r="I85" s="12">
        <f t="shared" si="5"/>
        <v>0</v>
      </c>
      <c r="J85" s="11">
        <v>0.0</v>
      </c>
      <c r="K85" s="11">
        <v>0.0</v>
      </c>
      <c r="L85" s="16">
        <f t="shared" si="6"/>
        <v>0</v>
      </c>
      <c r="M85" s="11" t="s">
        <v>41</v>
      </c>
      <c r="N85" s="12">
        <f t="shared" si="7"/>
        <v>0</v>
      </c>
      <c r="O85" s="18">
        <f t="shared" si="8"/>
        <v>0</v>
      </c>
      <c r="P85" s="18">
        <f t="shared" si="9"/>
        <v>0</v>
      </c>
    </row>
    <row r="86">
      <c r="A86" s="2" t="s">
        <v>124</v>
      </c>
      <c r="B86" s="27">
        <f t="shared" ref="B86:B88" si="14">1/3+1</f>
        <v>1.333333333</v>
      </c>
      <c r="C86" s="12">
        <f t="shared" si="1"/>
        <v>4</v>
      </c>
      <c r="D86" s="11">
        <v>0.0</v>
      </c>
      <c r="E86" s="11">
        <v>0.0</v>
      </c>
      <c r="F86" s="12">
        <f t="shared" si="2"/>
        <v>0</v>
      </c>
      <c r="G86" s="16">
        <f t="shared" si="3"/>
        <v>0</v>
      </c>
      <c r="H86" s="11" t="s">
        <v>41</v>
      </c>
      <c r="I86" s="12">
        <f t="shared" si="5"/>
        <v>0</v>
      </c>
      <c r="J86" s="11">
        <v>0.0</v>
      </c>
      <c r="K86" s="11">
        <v>0.0</v>
      </c>
      <c r="L86" s="16">
        <f t="shared" si="6"/>
        <v>0</v>
      </c>
      <c r="M86" s="11" t="s">
        <v>41</v>
      </c>
      <c r="N86" s="12">
        <f t="shared" si="7"/>
        <v>0</v>
      </c>
      <c r="O86" s="18">
        <f t="shared" si="8"/>
        <v>0</v>
      </c>
      <c r="P86" s="18">
        <f t="shared" si="9"/>
        <v>0</v>
      </c>
    </row>
    <row r="87">
      <c r="A87" s="2" t="s">
        <v>176</v>
      </c>
      <c r="B87" s="28">
        <f t="shared" si="14"/>
        <v>1.333333333</v>
      </c>
      <c r="C87" s="12">
        <f t="shared" si="1"/>
        <v>4</v>
      </c>
      <c r="D87" s="11">
        <v>0.0</v>
      </c>
      <c r="E87" s="11">
        <v>0.0</v>
      </c>
      <c r="F87" s="12">
        <f t="shared" si="2"/>
        <v>0</v>
      </c>
      <c r="G87" s="16">
        <f t="shared" si="3"/>
        <v>0</v>
      </c>
      <c r="H87" s="11" t="s">
        <v>41</v>
      </c>
      <c r="I87" s="12">
        <f t="shared" si="5"/>
        <v>0</v>
      </c>
      <c r="J87" s="11">
        <v>0.0</v>
      </c>
      <c r="K87" s="11">
        <v>0.0</v>
      </c>
      <c r="L87" s="16">
        <f t="shared" si="6"/>
        <v>0</v>
      </c>
      <c r="M87" s="11" t="s">
        <v>41</v>
      </c>
      <c r="N87" s="12">
        <f t="shared" si="7"/>
        <v>0</v>
      </c>
      <c r="O87" s="18">
        <f t="shared" si="8"/>
        <v>0</v>
      </c>
      <c r="P87" s="18">
        <f t="shared" si="9"/>
        <v>0</v>
      </c>
    </row>
    <row r="88">
      <c r="A88" s="2" t="s">
        <v>180</v>
      </c>
      <c r="B88" s="27">
        <f t="shared" si="14"/>
        <v>1.333333333</v>
      </c>
      <c r="C88" s="12">
        <f t="shared" si="1"/>
        <v>4</v>
      </c>
      <c r="D88" s="11">
        <v>0.0</v>
      </c>
      <c r="E88" s="11">
        <v>0.0</v>
      </c>
      <c r="F88" s="12">
        <f t="shared" si="2"/>
        <v>0</v>
      </c>
      <c r="G88" s="16">
        <f t="shared" si="3"/>
        <v>0</v>
      </c>
      <c r="H88" s="11" t="s">
        <v>41</v>
      </c>
      <c r="I88" s="12">
        <f t="shared" si="5"/>
        <v>0</v>
      </c>
      <c r="J88" s="11">
        <v>0.0</v>
      </c>
      <c r="K88" s="11">
        <v>0.0</v>
      </c>
      <c r="L88" s="16">
        <f t="shared" si="6"/>
        <v>0</v>
      </c>
      <c r="M88" s="11" t="s">
        <v>41</v>
      </c>
      <c r="N88" s="12">
        <f t="shared" si="7"/>
        <v>0</v>
      </c>
      <c r="O88" s="18">
        <f t="shared" si="8"/>
        <v>0</v>
      </c>
      <c r="P88" s="18">
        <f t="shared" si="9"/>
        <v>0</v>
      </c>
    </row>
    <row r="89">
      <c r="A89" s="2" t="s">
        <v>160</v>
      </c>
      <c r="B89" s="10">
        <v>1.0</v>
      </c>
      <c r="C89" s="12">
        <f t="shared" si="1"/>
        <v>3</v>
      </c>
      <c r="D89" s="11">
        <v>0.0</v>
      </c>
      <c r="E89" s="11">
        <v>0.0</v>
      </c>
      <c r="F89" s="12">
        <f t="shared" si="2"/>
        <v>0</v>
      </c>
      <c r="G89" s="16">
        <f t="shared" si="3"/>
        <v>0</v>
      </c>
      <c r="H89" s="11" t="s">
        <v>41</v>
      </c>
      <c r="I89" s="12">
        <f t="shared" si="5"/>
        <v>0</v>
      </c>
      <c r="J89" s="11">
        <v>0.0</v>
      </c>
      <c r="K89" s="11">
        <v>0.0</v>
      </c>
      <c r="L89" s="16">
        <f t="shared" si="6"/>
        <v>0</v>
      </c>
      <c r="M89" s="11" t="s">
        <v>41</v>
      </c>
      <c r="N89" s="12">
        <f t="shared" si="7"/>
        <v>0</v>
      </c>
      <c r="O89" s="18">
        <f t="shared" si="8"/>
        <v>0</v>
      </c>
      <c r="P89" s="18">
        <f t="shared" si="9"/>
        <v>0</v>
      </c>
    </row>
    <row r="90">
      <c r="A90" s="2" t="s">
        <v>136</v>
      </c>
      <c r="B90" s="10">
        <v>3.0</v>
      </c>
      <c r="C90" s="12">
        <f t="shared" si="1"/>
        <v>9</v>
      </c>
      <c r="D90" s="11">
        <v>0.0</v>
      </c>
      <c r="E90" s="11">
        <v>0.0</v>
      </c>
      <c r="F90" s="12">
        <f t="shared" si="2"/>
        <v>0</v>
      </c>
      <c r="G90" s="16">
        <f t="shared" si="3"/>
        <v>0</v>
      </c>
      <c r="H90" s="11" t="s">
        <v>41</v>
      </c>
      <c r="I90" s="12">
        <f t="shared" si="5"/>
        <v>0</v>
      </c>
      <c r="J90" s="11">
        <v>0.0</v>
      </c>
      <c r="K90" s="11">
        <v>0.0</v>
      </c>
      <c r="L90" s="16">
        <f t="shared" si="6"/>
        <v>0</v>
      </c>
      <c r="M90" s="11" t="s">
        <v>41</v>
      </c>
      <c r="N90" s="12">
        <f t="shared" si="7"/>
        <v>0</v>
      </c>
      <c r="O90" s="18">
        <f t="shared" si="8"/>
        <v>0</v>
      </c>
      <c r="P90" s="18">
        <f t="shared" si="9"/>
        <v>0</v>
      </c>
    </row>
    <row r="91">
      <c r="A91" s="2" t="s">
        <v>183</v>
      </c>
      <c r="B91" s="10">
        <v>3.0</v>
      </c>
      <c r="C91" s="12">
        <f t="shared" si="1"/>
        <v>9</v>
      </c>
      <c r="D91" s="11">
        <v>0.0</v>
      </c>
      <c r="E91" s="11">
        <v>0.0</v>
      </c>
      <c r="F91" s="12">
        <f t="shared" si="2"/>
        <v>0</v>
      </c>
      <c r="G91" s="16">
        <f t="shared" si="3"/>
        <v>0</v>
      </c>
      <c r="H91" s="11" t="s">
        <v>41</v>
      </c>
      <c r="I91" s="12">
        <f t="shared" si="5"/>
        <v>0</v>
      </c>
      <c r="J91" s="11">
        <v>0.0</v>
      </c>
      <c r="K91" s="11">
        <v>0.0</v>
      </c>
      <c r="L91" s="16">
        <f t="shared" si="6"/>
        <v>0</v>
      </c>
      <c r="M91" s="11" t="s">
        <v>41</v>
      </c>
      <c r="N91" s="12">
        <f t="shared" si="7"/>
        <v>0</v>
      </c>
      <c r="O91" s="18">
        <f t="shared" si="8"/>
        <v>0</v>
      </c>
      <c r="P91" s="18">
        <f t="shared" si="9"/>
        <v>0</v>
      </c>
    </row>
    <row r="92">
      <c r="A92" s="2" t="s">
        <v>208</v>
      </c>
      <c r="B92" s="10">
        <v>1.0</v>
      </c>
      <c r="C92" s="12">
        <f t="shared" si="1"/>
        <v>3</v>
      </c>
      <c r="D92" s="11">
        <v>0.0</v>
      </c>
      <c r="E92" s="11">
        <v>0.0</v>
      </c>
      <c r="F92" s="12">
        <f t="shared" si="2"/>
        <v>0</v>
      </c>
      <c r="G92" s="16">
        <f t="shared" si="3"/>
        <v>0</v>
      </c>
      <c r="H92" s="11" t="s">
        <v>41</v>
      </c>
      <c r="I92" s="12">
        <f t="shared" si="5"/>
        <v>0</v>
      </c>
      <c r="J92" s="11">
        <v>0.0</v>
      </c>
      <c r="K92" s="11">
        <v>0.0</v>
      </c>
      <c r="L92" s="16">
        <f t="shared" si="6"/>
        <v>0</v>
      </c>
      <c r="M92" s="11" t="s">
        <v>41</v>
      </c>
      <c r="N92" s="12">
        <f t="shared" si="7"/>
        <v>0</v>
      </c>
      <c r="O92" s="18">
        <f t="shared" si="8"/>
        <v>0</v>
      </c>
      <c r="P92" s="18">
        <f t="shared" si="9"/>
        <v>0</v>
      </c>
    </row>
    <row r="93">
      <c r="A93" s="2" t="s">
        <v>184</v>
      </c>
      <c r="B93" s="28">
        <f>2/3+1</f>
        <v>1.666666667</v>
      </c>
      <c r="C93" s="12">
        <f t="shared" si="1"/>
        <v>5</v>
      </c>
      <c r="D93" s="11">
        <v>0.0</v>
      </c>
      <c r="E93" s="11">
        <v>0.0</v>
      </c>
      <c r="F93" s="12">
        <f t="shared" si="2"/>
        <v>0</v>
      </c>
      <c r="G93" s="16">
        <f t="shared" si="3"/>
        <v>0</v>
      </c>
      <c r="H93" s="11" t="s">
        <v>41</v>
      </c>
      <c r="I93" s="12">
        <f t="shared" si="5"/>
        <v>0</v>
      </c>
      <c r="J93" s="11">
        <v>0.0</v>
      </c>
      <c r="K93" s="11">
        <v>0.0</v>
      </c>
      <c r="L93" s="16">
        <f t="shared" si="6"/>
        <v>0</v>
      </c>
      <c r="M93" s="11" t="s">
        <v>41</v>
      </c>
      <c r="N93" s="12">
        <f t="shared" si="7"/>
        <v>0</v>
      </c>
      <c r="O93" s="18">
        <f t="shared" si="8"/>
        <v>0</v>
      </c>
      <c r="P93" s="18">
        <f t="shared" si="9"/>
        <v>0</v>
      </c>
    </row>
    <row r="94">
      <c r="A94" s="2" t="s">
        <v>147</v>
      </c>
      <c r="B94" s="28">
        <f>1/3+1</f>
        <v>1.333333333</v>
      </c>
      <c r="C94" s="12">
        <f t="shared" si="1"/>
        <v>4</v>
      </c>
      <c r="D94" s="11">
        <v>0.0</v>
      </c>
      <c r="E94" s="11">
        <v>0.0</v>
      </c>
      <c r="F94" s="12">
        <f t="shared" si="2"/>
        <v>0</v>
      </c>
      <c r="G94" s="16">
        <f t="shared" si="3"/>
        <v>0</v>
      </c>
      <c r="H94" s="11" t="s">
        <v>41</v>
      </c>
      <c r="I94" s="12">
        <f t="shared" si="5"/>
        <v>0</v>
      </c>
      <c r="J94" s="11">
        <v>0.0</v>
      </c>
      <c r="K94" s="11">
        <v>0.0</v>
      </c>
      <c r="L94" s="16">
        <f t="shared" si="6"/>
        <v>0</v>
      </c>
      <c r="M94" s="11" t="s">
        <v>41</v>
      </c>
      <c r="N94" s="12">
        <f t="shared" si="7"/>
        <v>0</v>
      </c>
      <c r="O94" s="18">
        <f t="shared" si="8"/>
        <v>0</v>
      </c>
      <c r="P94" s="18">
        <f t="shared" si="9"/>
        <v>0</v>
      </c>
    </row>
    <row r="95">
      <c r="A95" s="2" t="s">
        <v>185</v>
      </c>
      <c r="B95" s="27">
        <f>1+2/3+2/3</f>
        <v>2.333333333</v>
      </c>
      <c r="C95" s="12">
        <f t="shared" si="1"/>
        <v>7</v>
      </c>
      <c r="D95" s="11">
        <v>0.0</v>
      </c>
      <c r="E95" s="20">
        <v>0.0</v>
      </c>
      <c r="F95" s="21">
        <f t="shared" si="2"/>
        <v>0</v>
      </c>
      <c r="G95" s="23">
        <f t="shared" si="3"/>
        <v>0</v>
      </c>
      <c r="H95" s="20" t="s">
        <v>41</v>
      </c>
      <c r="I95" s="12">
        <f t="shared" si="5"/>
        <v>0</v>
      </c>
      <c r="J95" s="11">
        <v>0.0</v>
      </c>
      <c r="K95" s="11">
        <v>0.0</v>
      </c>
      <c r="L95" s="16">
        <f t="shared" si="6"/>
        <v>0</v>
      </c>
      <c r="M95" s="11" t="s">
        <v>41</v>
      </c>
      <c r="N95" s="12">
        <f t="shared" si="7"/>
        <v>0</v>
      </c>
      <c r="O95" s="18">
        <f t="shared" si="8"/>
        <v>0</v>
      </c>
      <c r="P95" s="18">
        <f t="shared" si="9"/>
        <v>0</v>
      </c>
    </row>
    <row r="96">
      <c r="A96" s="2" t="s">
        <v>55</v>
      </c>
      <c r="B96" s="27">
        <f>2+1/3</f>
        <v>2.333333333</v>
      </c>
      <c r="C96" s="12">
        <f t="shared" si="1"/>
        <v>7</v>
      </c>
      <c r="D96" s="11">
        <v>0.0</v>
      </c>
      <c r="E96" s="20">
        <v>0.0</v>
      </c>
      <c r="F96" s="21">
        <f t="shared" si="2"/>
        <v>0</v>
      </c>
      <c r="G96" s="23">
        <f t="shared" si="3"/>
        <v>0</v>
      </c>
      <c r="H96" s="20" t="s">
        <v>41</v>
      </c>
      <c r="I96" s="12">
        <f t="shared" si="5"/>
        <v>0</v>
      </c>
      <c r="J96" s="11">
        <v>0.0</v>
      </c>
      <c r="K96" s="11">
        <v>0.0</v>
      </c>
      <c r="L96" s="16">
        <f t="shared" si="6"/>
        <v>0</v>
      </c>
      <c r="M96" s="11" t="s">
        <v>41</v>
      </c>
      <c r="N96" s="12">
        <f t="shared" si="7"/>
        <v>0</v>
      </c>
      <c r="O96" s="18">
        <f t="shared" si="8"/>
        <v>0</v>
      </c>
      <c r="P96" s="18">
        <f t="shared" si="9"/>
        <v>0</v>
      </c>
    </row>
    <row r="97">
      <c r="A97" s="2" t="s">
        <v>186</v>
      </c>
      <c r="B97" s="33">
        <v>2.0</v>
      </c>
      <c r="C97" s="12">
        <f t="shared" si="1"/>
        <v>6</v>
      </c>
      <c r="D97" s="11">
        <v>0.0</v>
      </c>
      <c r="E97" s="20">
        <v>0.0</v>
      </c>
      <c r="F97" s="21">
        <f t="shared" si="2"/>
        <v>0</v>
      </c>
      <c r="G97" s="23">
        <f t="shared" si="3"/>
        <v>0</v>
      </c>
      <c r="H97" s="20" t="s">
        <v>41</v>
      </c>
      <c r="I97" s="12">
        <f t="shared" si="5"/>
        <v>0</v>
      </c>
      <c r="J97" s="11">
        <v>0.0</v>
      </c>
      <c r="K97" s="11">
        <v>0.0</v>
      </c>
      <c r="L97" s="16">
        <f t="shared" si="6"/>
        <v>0</v>
      </c>
      <c r="M97" s="11" t="s">
        <v>41</v>
      </c>
      <c r="N97" s="12">
        <f t="shared" si="7"/>
        <v>0</v>
      </c>
      <c r="O97" s="18">
        <f t="shared" si="8"/>
        <v>0</v>
      </c>
      <c r="P97" s="18">
        <f t="shared" si="9"/>
        <v>0</v>
      </c>
    </row>
    <row r="98">
      <c r="A98" s="2" t="s">
        <v>181</v>
      </c>
      <c r="B98" s="27">
        <f>1/3+2</f>
        <v>2.333333333</v>
      </c>
      <c r="C98" s="12">
        <f t="shared" si="1"/>
        <v>7</v>
      </c>
      <c r="D98" s="11">
        <v>0.0</v>
      </c>
      <c r="E98" s="20">
        <v>0.0</v>
      </c>
      <c r="F98" s="21">
        <f t="shared" si="2"/>
        <v>0</v>
      </c>
      <c r="G98" s="23">
        <f t="shared" si="3"/>
        <v>0</v>
      </c>
      <c r="H98" s="20" t="s">
        <v>41</v>
      </c>
      <c r="I98" s="12">
        <f t="shared" si="5"/>
        <v>0</v>
      </c>
      <c r="J98" s="11">
        <v>0.0</v>
      </c>
      <c r="K98" s="11">
        <v>0.0</v>
      </c>
      <c r="L98" s="16">
        <f t="shared" si="6"/>
        <v>0</v>
      </c>
      <c r="M98" s="11" t="s">
        <v>41</v>
      </c>
      <c r="N98" s="12">
        <f t="shared" si="7"/>
        <v>0</v>
      </c>
      <c r="O98" s="18">
        <f t="shared" si="8"/>
        <v>0</v>
      </c>
      <c r="P98" s="18">
        <f t="shared" si="9"/>
        <v>0</v>
      </c>
    </row>
    <row r="99">
      <c r="A99" s="2" t="s">
        <v>204</v>
      </c>
      <c r="B99" s="27">
        <f>1/3</f>
        <v>0.3333333333</v>
      </c>
      <c r="C99" s="12">
        <f t="shared" si="1"/>
        <v>1</v>
      </c>
      <c r="D99" s="11">
        <v>0.0</v>
      </c>
      <c r="E99" s="11">
        <v>0.0</v>
      </c>
      <c r="F99" s="12">
        <f t="shared" si="2"/>
        <v>0</v>
      </c>
      <c r="G99" s="16">
        <f t="shared" si="3"/>
        <v>0</v>
      </c>
      <c r="H99" s="11" t="s">
        <v>41</v>
      </c>
      <c r="I99" s="12">
        <f t="shared" si="5"/>
        <v>0</v>
      </c>
      <c r="J99" s="11">
        <v>0.0</v>
      </c>
      <c r="K99" s="11">
        <v>0.0</v>
      </c>
      <c r="L99" s="16">
        <f t="shared" si="6"/>
        <v>0</v>
      </c>
      <c r="M99" s="11" t="s">
        <v>41</v>
      </c>
      <c r="N99" s="12">
        <f t="shared" si="7"/>
        <v>0</v>
      </c>
      <c r="O99" s="18">
        <f t="shared" si="8"/>
        <v>0</v>
      </c>
      <c r="P99" s="18">
        <f t="shared" si="9"/>
        <v>0</v>
      </c>
    </row>
    <row r="100">
      <c r="A100" s="2" t="s">
        <v>187</v>
      </c>
      <c r="B100" s="10">
        <v>3.0</v>
      </c>
      <c r="C100" s="12">
        <f t="shared" si="1"/>
        <v>9</v>
      </c>
      <c r="D100" s="11">
        <v>0.0</v>
      </c>
      <c r="E100" s="20">
        <v>0.0</v>
      </c>
      <c r="F100" s="21">
        <f t="shared" si="2"/>
        <v>0</v>
      </c>
      <c r="G100" s="23">
        <f t="shared" si="3"/>
        <v>0</v>
      </c>
      <c r="H100" s="20" t="s">
        <v>41</v>
      </c>
      <c r="I100" s="12">
        <f t="shared" si="5"/>
        <v>0</v>
      </c>
      <c r="J100" s="11">
        <v>0.0</v>
      </c>
      <c r="K100" s="11">
        <v>0.0</v>
      </c>
      <c r="L100" s="16">
        <f t="shared" si="6"/>
        <v>0</v>
      </c>
      <c r="M100" s="11" t="s">
        <v>41</v>
      </c>
      <c r="N100" s="12">
        <f t="shared" si="7"/>
        <v>0</v>
      </c>
      <c r="O100" s="18">
        <f t="shared" si="8"/>
        <v>0</v>
      </c>
      <c r="P100" s="18">
        <f t="shared" si="9"/>
        <v>0</v>
      </c>
    </row>
    <row r="101">
      <c r="A101" s="2" t="s">
        <v>123</v>
      </c>
      <c r="B101" s="10">
        <v>3.0</v>
      </c>
      <c r="C101" s="12">
        <f t="shared" si="1"/>
        <v>9</v>
      </c>
      <c r="D101" s="11">
        <v>0.0</v>
      </c>
      <c r="E101" s="20">
        <v>0.0</v>
      </c>
      <c r="F101" s="21">
        <f t="shared" si="2"/>
        <v>0</v>
      </c>
      <c r="G101" s="23">
        <f t="shared" si="3"/>
        <v>0</v>
      </c>
      <c r="H101" s="20" t="s">
        <v>41</v>
      </c>
      <c r="I101" s="12">
        <f t="shared" si="5"/>
        <v>0</v>
      </c>
      <c r="J101" s="11">
        <v>0.0</v>
      </c>
      <c r="K101" s="11">
        <v>0.0</v>
      </c>
      <c r="L101" s="16">
        <f t="shared" si="6"/>
        <v>0</v>
      </c>
      <c r="M101" s="11" t="s">
        <v>41</v>
      </c>
      <c r="N101" s="12">
        <f t="shared" si="7"/>
        <v>0</v>
      </c>
      <c r="O101" s="18">
        <f t="shared" si="8"/>
        <v>0</v>
      </c>
      <c r="P101" s="18">
        <f t="shared" si="9"/>
        <v>0</v>
      </c>
    </row>
    <row r="102">
      <c r="A102" s="2" t="s">
        <v>174</v>
      </c>
      <c r="B102" s="33">
        <v>2.0</v>
      </c>
      <c r="C102" s="12">
        <f t="shared" si="1"/>
        <v>6</v>
      </c>
      <c r="D102" s="11">
        <v>0.0</v>
      </c>
      <c r="E102" s="20">
        <v>0.0</v>
      </c>
      <c r="F102" s="21">
        <f t="shared" si="2"/>
        <v>0</v>
      </c>
      <c r="G102" s="23">
        <f t="shared" si="3"/>
        <v>0</v>
      </c>
      <c r="H102" s="20" t="s">
        <v>41</v>
      </c>
      <c r="I102" s="12">
        <f t="shared" si="5"/>
        <v>0</v>
      </c>
      <c r="J102" s="11">
        <v>0.0</v>
      </c>
      <c r="K102" s="11">
        <v>0.0</v>
      </c>
      <c r="L102" s="16">
        <f t="shared" si="6"/>
        <v>0</v>
      </c>
      <c r="M102" s="11" t="s">
        <v>41</v>
      </c>
      <c r="N102" s="12">
        <f t="shared" si="7"/>
        <v>0</v>
      </c>
      <c r="O102" s="18">
        <f t="shared" si="8"/>
        <v>0</v>
      </c>
      <c r="P102" s="18">
        <f t="shared" si="9"/>
        <v>0</v>
      </c>
    </row>
    <row r="103">
      <c r="A103" s="2" t="s">
        <v>201</v>
      </c>
      <c r="B103" s="10">
        <v>2.0</v>
      </c>
      <c r="C103" s="12">
        <f t="shared" si="1"/>
        <v>6</v>
      </c>
      <c r="D103" s="11">
        <v>0.0</v>
      </c>
      <c r="E103" s="11">
        <v>0.0</v>
      </c>
      <c r="F103" s="12">
        <f t="shared" si="2"/>
        <v>0</v>
      </c>
      <c r="G103" s="16">
        <f t="shared" si="3"/>
        <v>0</v>
      </c>
      <c r="H103" s="11" t="s">
        <v>41</v>
      </c>
      <c r="I103" s="12">
        <f t="shared" si="5"/>
        <v>0</v>
      </c>
      <c r="J103" s="11">
        <v>0.0</v>
      </c>
      <c r="K103" s="11">
        <v>0.0</v>
      </c>
      <c r="L103" s="16">
        <f t="shared" si="6"/>
        <v>0</v>
      </c>
      <c r="M103" s="11" t="s">
        <v>41</v>
      </c>
      <c r="N103" s="12">
        <f t="shared" si="7"/>
        <v>0</v>
      </c>
      <c r="O103" s="18">
        <f t="shared" si="8"/>
        <v>0</v>
      </c>
      <c r="P103" s="18">
        <f t="shared" si="9"/>
        <v>0</v>
      </c>
    </row>
    <row r="104">
      <c r="A104" s="2" t="s">
        <v>91</v>
      </c>
      <c r="B104" s="33">
        <v>1.0</v>
      </c>
      <c r="C104" s="12">
        <f t="shared" si="1"/>
        <v>3</v>
      </c>
      <c r="D104" s="11">
        <v>0.0</v>
      </c>
      <c r="E104" s="20">
        <v>0.0</v>
      </c>
      <c r="F104" s="21">
        <f t="shared" si="2"/>
        <v>0</v>
      </c>
      <c r="G104" s="23">
        <f t="shared" si="3"/>
        <v>0</v>
      </c>
      <c r="H104" s="20" t="s">
        <v>41</v>
      </c>
      <c r="I104" s="12">
        <f t="shared" si="5"/>
        <v>0</v>
      </c>
      <c r="J104" s="11">
        <v>0.0</v>
      </c>
      <c r="K104" s="11">
        <v>0.0</v>
      </c>
      <c r="L104" s="16">
        <f t="shared" si="6"/>
        <v>0</v>
      </c>
      <c r="M104" s="11" t="s">
        <v>41</v>
      </c>
      <c r="N104" s="12">
        <f t="shared" si="7"/>
        <v>0</v>
      </c>
      <c r="O104" s="18">
        <f t="shared" si="8"/>
        <v>0</v>
      </c>
      <c r="P104" s="18">
        <f t="shared" si="9"/>
        <v>0</v>
      </c>
    </row>
    <row r="105">
      <c r="A105" s="2" t="s">
        <v>205</v>
      </c>
      <c r="B105" s="10">
        <v>3.0</v>
      </c>
      <c r="C105" s="12">
        <f t="shared" si="1"/>
        <v>9</v>
      </c>
      <c r="D105" s="11">
        <v>1.0</v>
      </c>
      <c r="E105" s="11">
        <v>2.0</v>
      </c>
      <c r="F105" s="12">
        <f t="shared" si="2"/>
        <v>3</v>
      </c>
      <c r="G105" s="16">
        <f t="shared" si="3"/>
        <v>0.3333333333</v>
      </c>
      <c r="H105" s="16">
        <f t="shared" ref="H105:H139" si="15">D105/F105</f>
        <v>0.3333333333</v>
      </c>
      <c r="I105" s="12">
        <f t="shared" si="5"/>
        <v>1</v>
      </c>
      <c r="J105" s="11">
        <v>0.0</v>
      </c>
      <c r="K105" s="11">
        <v>1.0</v>
      </c>
      <c r="L105" s="16">
        <f t="shared" si="6"/>
        <v>0.1111111111</v>
      </c>
      <c r="M105" s="16">
        <f t="shared" ref="M105:M106" si="16">J105/I105</f>
        <v>0</v>
      </c>
      <c r="N105" s="12">
        <f t="shared" si="7"/>
        <v>0</v>
      </c>
      <c r="O105" s="18">
        <f t="shared" si="8"/>
        <v>0</v>
      </c>
      <c r="P105" s="18">
        <f t="shared" si="9"/>
        <v>0</v>
      </c>
    </row>
    <row r="106">
      <c r="A106" s="2" t="s">
        <v>61</v>
      </c>
      <c r="B106" s="10">
        <v>3.0</v>
      </c>
      <c r="C106" s="12">
        <f t="shared" si="1"/>
        <v>9</v>
      </c>
      <c r="D106" s="11">
        <v>1.0</v>
      </c>
      <c r="E106" s="11">
        <v>2.0</v>
      </c>
      <c r="F106" s="12">
        <f t="shared" si="2"/>
        <v>3</v>
      </c>
      <c r="G106" s="16">
        <f t="shared" si="3"/>
        <v>0.3333333333</v>
      </c>
      <c r="H106" s="16">
        <f t="shared" si="15"/>
        <v>0.3333333333</v>
      </c>
      <c r="I106" s="12">
        <f t="shared" si="5"/>
        <v>2</v>
      </c>
      <c r="J106" s="11">
        <v>1.0</v>
      </c>
      <c r="K106" s="11">
        <v>1.0</v>
      </c>
      <c r="L106" s="16">
        <f t="shared" si="6"/>
        <v>0.2222222222</v>
      </c>
      <c r="M106" s="16">
        <f t="shared" si="16"/>
        <v>0.5</v>
      </c>
      <c r="N106" s="12">
        <f t="shared" si="7"/>
        <v>0</v>
      </c>
      <c r="O106" s="18">
        <f t="shared" si="8"/>
        <v>0</v>
      </c>
      <c r="P106" s="18">
        <f t="shared" si="9"/>
        <v>0</v>
      </c>
    </row>
    <row r="107">
      <c r="A107" s="2" t="s">
        <v>45</v>
      </c>
      <c r="B107" s="10">
        <v>3.0</v>
      </c>
      <c r="C107" s="12">
        <f t="shared" si="1"/>
        <v>9</v>
      </c>
      <c r="D107" s="11">
        <v>0.0</v>
      </c>
      <c r="E107" s="11">
        <v>1.0</v>
      </c>
      <c r="F107" s="12">
        <f t="shared" si="2"/>
        <v>1</v>
      </c>
      <c r="G107" s="16">
        <f t="shared" si="3"/>
        <v>0.1111111111</v>
      </c>
      <c r="H107" s="16">
        <f t="shared" si="15"/>
        <v>0</v>
      </c>
      <c r="I107" s="12">
        <f t="shared" si="5"/>
        <v>0</v>
      </c>
      <c r="J107" s="11">
        <v>0.0</v>
      </c>
      <c r="K107" s="11">
        <v>0.0</v>
      </c>
      <c r="L107" s="16">
        <f t="shared" si="6"/>
        <v>0</v>
      </c>
      <c r="M107" s="11" t="s">
        <v>41</v>
      </c>
      <c r="N107" s="12">
        <f t="shared" si="7"/>
        <v>0</v>
      </c>
      <c r="O107" s="18">
        <f t="shared" si="8"/>
        <v>0</v>
      </c>
      <c r="P107" s="18">
        <f t="shared" si="9"/>
        <v>0</v>
      </c>
    </row>
    <row r="108">
      <c r="A108" s="2" t="s">
        <v>193</v>
      </c>
      <c r="B108" s="10">
        <v>3.0</v>
      </c>
      <c r="C108" s="12">
        <f t="shared" si="1"/>
        <v>9</v>
      </c>
      <c r="D108" s="11">
        <v>0.0</v>
      </c>
      <c r="E108" s="11">
        <v>1.0</v>
      </c>
      <c r="F108" s="12">
        <f t="shared" si="2"/>
        <v>1</v>
      </c>
      <c r="G108" s="16">
        <f t="shared" si="3"/>
        <v>0.1111111111</v>
      </c>
      <c r="H108" s="16">
        <f t="shared" si="15"/>
        <v>0</v>
      </c>
      <c r="I108" s="12">
        <f t="shared" si="5"/>
        <v>0</v>
      </c>
      <c r="J108" s="11">
        <v>0.0</v>
      </c>
      <c r="K108" s="11">
        <v>0.0</v>
      </c>
      <c r="L108" s="16">
        <f t="shared" si="6"/>
        <v>0</v>
      </c>
      <c r="M108" s="11" t="s">
        <v>41</v>
      </c>
      <c r="N108" s="12">
        <f t="shared" si="7"/>
        <v>0</v>
      </c>
      <c r="O108" s="18">
        <f t="shared" si="8"/>
        <v>0</v>
      </c>
      <c r="P108" s="18">
        <f t="shared" si="9"/>
        <v>0</v>
      </c>
    </row>
    <row r="109">
      <c r="A109" s="2" t="s">
        <v>188</v>
      </c>
      <c r="B109" s="10">
        <v>3.0</v>
      </c>
      <c r="C109" s="12">
        <f t="shared" si="1"/>
        <v>9</v>
      </c>
      <c r="D109" s="11">
        <v>0.0</v>
      </c>
      <c r="E109" s="11">
        <v>1.0</v>
      </c>
      <c r="F109" s="12">
        <f t="shared" si="2"/>
        <v>1</v>
      </c>
      <c r="G109" s="16">
        <f t="shared" si="3"/>
        <v>0.1111111111</v>
      </c>
      <c r="H109" s="16">
        <f t="shared" si="15"/>
        <v>0</v>
      </c>
      <c r="I109" s="12">
        <f t="shared" si="5"/>
        <v>0</v>
      </c>
      <c r="J109" s="11">
        <v>0.0</v>
      </c>
      <c r="K109" s="11">
        <v>0.0</v>
      </c>
      <c r="L109" s="16">
        <f t="shared" si="6"/>
        <v>0</v>
      </c>
      <c r="M109" s="11" t="s">
        <v>41</v>
      </c>
      <c r="N109" s="12">
        <f t="shared" si="7"/>
        <v>0</v>
      </c>
      <c r="O109" s="18">
        <f t="shared" si="8"/>
        <v>0</v>
      </c>
      <c r="P109" s="18">
        <f t="shared" si="9"/>
        <v>0</v>
      </c>
    </row>
    <row r="110">
      <c r="A110" s="2" t="s">
        <v>190</v>
      </c>
      <c r="B110" s="10">
        <v>3.0</v>
      </c>
      <c r="C110" s="12">
        <f t="shared" si="1"/>
        <v>9</v>
      </c>
      <c r="D110" s="11">
        <v>0.0</v>
      </c>
      <c r="E110" s="11">
        <v>1.0</v>
      </c>
      <c r="F110" s="12">
        <f t="shared" si="2"/>
        <v>1</v>
      </c>
      <c r="G110" s="16">
        <f t="shared" si="3"/>
        <v>0.1111111111</v>
      </c>
      <c r="H110" s="16">
        <f t="shared" si="15"/>
        <v>0</v>
      </c>
      <c r="I110" s="12">
        <f t="shared" si="5"/>
        <v>0</v>
      </c>
      <c r="J110" s="11">
        <v>0.0</v>
      </c>
      <c r="K110" s="11">
        <v>0.0</v>
      </c>
      <c r="L110" s="16">
        <f t="shared" si="6"/>
        <v>0</v>
      </c>
      <c r="M110" s="11" t="s">
        <v>41</v>
      </c>
      <c r="N110" s="12">
        <f t="shared" si="7"/>
        <v>0</v>
      </c>
      <c r="O110" s="18">
        <f t="shared" si="8"/>
        <v>0</v>
      </c>
      <c r="P110" s="18">
        <f t="shared" si="9"/>
        <v>0</v>
      </c>
    </row>
    <row r="111">
      <c r="A111" s="2" t="s">
        <v>156</v>
      </c>
      <c r="B111" s="10">
        <v>3.0</v>
      </c>
      <c r="C111" s="12">
        <f t="shared" si="1"/>
        <v>9</v>
      </c>
      <c r="D111" s="11">
        <v>0.0</v>
      </c>
      <c r="E111" s="11">
        <v>2.0</v>
      </c>
      <c r="F111" s="12">
        <f t="shared" si="2"/>
        <v>2</v>
      </c>
      <c r="G111" s="16">
        <f t="shared" si="3"/>
        <v>0.2222222222</v>
      </c>
      <c r="H111" s="16">
        <f t="shared" si="15"/>
        <v>0</v>
      </c>
      <c r="I111" s="12">
        <f t="shared" si="5"/>
        <v>0</v>
      </c>
      <c r="J111" s="11">
        <v>0.0</v>
      </c>
      <c r="K111" s="11">
        <v>0.0</v>
      </c>
      <c r="L111" s="16">
        <f t="shared" si="6"/>
        <v>0</v>
      </c>
      <c r="M111" s="11" t="s">
        <v>41</v>
      </c>
      <c r="N111" s="12">
        <f t="shared" si="7"/>
        <v>0</v>
      </c>
      <c r="O111" s="18">
        <f t="shared" si="8"/>
        <v>0</v>
      </c>
      <c r="P111" s="18">
        <f t="shared" si="9"/>
        <v>0</v>
      </c>
    </row>
    <row r="112">
      <c r="A112" s="2" t="s">
        <v>192</v>
      </c>
      <c r="B112" s="10">
        <v>3.0</v>
      </c>
      <c r="C112" s="12">
        <f t="shared" si="1"/>
        <v>9</v>
      </c>
      <c r="D112" s="11">
        <v>0.0</v>
      </c>
      <c r="E112" s="11">
        <v>2.0</v>
      </c>
      <c r="F112" s="12">
        <f t="shared" si="2"/>
        <v>2</v>
      </c>
      <c r="G112" s="16">
        <f t="shared" si="3"/>
        <v>0.2222222222</v>
      </c>
      <c r="H112" s="16">
        <f t="shared" si="15"/>
        <v>0</v>
      </c>
      <c r="I112" s="12">
        <f t="shared" si="5"/>
        <v>0</v>
      </c>
      <c r="J112" s="11">
        <v>0.0</v>
      </c>
      <c r="K112" s="11">
        <v>0.0</v>
      </c>
      <c r="L112" s="16">
        <f t="shared" si="6"/>
        <v>0</v>
      </c>
      <c r="M112" s="11" t="s">
        <v>41</v>
      </c>
      <c r="N112" s="12">
        <f t="shared" si="7"/>
        <v>0</v>
      </c>
      <c r="O112" s="18">
        <f t="shared" si="8"/>
        <v>0</v>
      </c>
      <c r="P112" s="18">
        <f t="shared" si="9"/>
        <v>0</v>
      </c>
    </row>
    <row r="113">
      <c r="A113" s="2" t="s">
        <v>106</v>
      </c>
      <c r="B113" s="10">
        <v>3.0</v>
      </c>
      <c r="C113" s="12">
        <f t="shared" si="1"/>
        <v>9</v>
      </c>
      <c r="D113" s="11">
        <v>0.0</v>
      </c>
      <c r="E113" s="11">
        <v>3.0</v>
      </c>
      <c r="F113" s="12">
        <f t="shared" si="2"/>
        <v>3</v>
      </c>
      <c r="G113" s="16">
        <f t="shared" si="3"/>
        <v>0.3333333333</v>
      </c>
      <c r="H113" s="16">
        <f t="shared" si="15"/>
        <v>0</v>
      </c>
      <c r="I113" s="12">
        <f t="shared" si="5"/>
        <v>0</v>
      </c>
      <c r="J113" s="11">
        <v>0.0</v>
      </c>
      <c r="K113" s="11">
        <v>0.0</v>
      </c>
      <c r="L113" s="16">
        <f t="shared" si="6"/>
        <v>0</v>
      </c>
      <c r="M113" s="11" t="s">
        <v>41</v>
      </c>
      <c r="N113" s="12">
        <f t="shared" si="7"/>
        <v>0</v>
      </c>
      <c r="O113" s="18">
        <f t="shared" si="8"/>
        <v>0</v>
      </c>
      <c r="P113" s="18">
        <f t="shared" si="9"/>
        <v>0</v>
      </c>
    </row>
    <row r="114">
      <c r="A114" s="2" t="s">
        <v>128</v>
      </c>
      <c r="B114" s="10">
        <v>3.0</v>
      </c>
      <c r="C114" s="12">
        <f t="shared" si="1"/>
        <v>9</v>
      </c>
      <c r="D114" s="11">
        <v>0.0</v>
      </c>
      <c r="E114" s="11">
        <v>1.0</v>
      </c>
      <c r="F114" s="12">
        <f t="shared" si="2"/>
        <v>1</v>
      </c>
      <c r="G114" s="16">
        <f t="shared" si="3"/>
        <v>0.1111111111</v>
      </c>
      <c r="H114" s="16">
        <f t="shared" si="15"/>
        <v>0</v>
      </c>
      <c r="I114" s="12">
        <f t="shared" si="5"/>
        <v>0</v>
      </c>
      <c r="J114" s="11">
        <v>0.0</v>
      </c>
      <c r="K114" s="11">
        <v>0.0</v>
      </c>
      <c r="L114" s="16">
        <f t="shared" si="6"/>
        <v>0</v>
      </c>
      <c r="M114" s="11" t="s">
        <v>41</v>
      </c>
      <c r="N114" s="12">
        <f t="shared" si="7"/>
        <v>0</v>
      </c>
      <c r="O114" s="18">
        <f t="shared" si="8"/>
        <v>0</v>
      </c>
      <c r="P114" s="18">
        <f t="shared" si="9"/>
        <v>0</v>
      </c>
    </row>
    <row r="115">
      <c r="A115" s="2" t="s">
        <v>149</v>
      </c>
      <c r="B115" s="10">
        <v>3.0</v>
      </c>
      <c r="C115" s="12">
        <f t="shared" si="1"/>
        <v>9</v>
      </c>
      <c r="D115" s="11">
        <v>0.0</v>
      </c>
      <c r="E115" s="11">
        <v>2.0</v>
      </c>
      <c r="F115" s="12">
        <f t="shared" si="2"/>
        <v>2</v>
      </c>
      <c r="G115" s="16">
        <f t="shared" si="3"/>
        <v>0.2222222222</v>
      </c>
      <c r="H115" s="16">
        <f t="shared" si="15"/>
        <v>0</v>
      </c>
      <c r="I115" s="12">
        <f t="shared" si="5"/>
        <v>0</v>
      </c>
      <c r="J115" s="11">
        <v>0.0</v>
      </c>
      <c r="K115" s="11">
        <v>0.0</v>
      </c>
      <c r="L115" s="16">
        <f t="shared" si="6"/>
        <v>0</v>
      </c>
      <c r="M115" s="11" t="s">
        <v>41</v>
      </c>
      <c r="N115" s="12">
        <f t="shared" si="7"/>
        <v>0</v>
      </c>
      <c r="O115" s="18">
        <f t="shared" si="8"/>
        <v>0</v>
      </c>
      <c r="P115" s="18">
        <f t="shared" si="9"/>
        <v>0</v>
      </c>
    </row>
    <row r="116">
      <c r="A116" s="2" t="s">
        <v>129</v>
      </c>
      <c r="B116" s="10">
        <v>3.0</v>
      </c>
      <c r="C116" s="12">
        <f t="shared" si="1"/>
        <v>9</v>
      </c>
      <c r="D116" s="11">
        <v>0.0</v>
      </c>
      <c r="E116" s="11">
        <v>1.0</v>
      </c>
      <c r="F116" s="12">
        <f t="shared" si="2"/>
        <v>1</v>
      </c>
      <c r="G116" s="16">
        <f t="shared" si="3"/>
        <v>0.1111111111</v>
      </c>
      <c r="H116" s="16">
        <f t="shared" si="15"/>
        <v>0</v>
      </c>
      <c r="I116" s="12">
        <f t="shared" si="5"/>
        <v>0</v>
      </c>
      <c r="J116" s="11">
        <v>0.0</v>
      </c>
      <c r="K116" s="11">
        <v>0.0</v>
      </c>
      <c r="L116" s="16">
        <f t="shared" si="6"/>
        <v>0</v>
      </c>
      <c r="M116" s="11" t="s">
        <v>41</v>
      </c>
      <c r="N116" s="12">
        <f t="shared" si="7"/>
        <v>0</v>
      </c>
      <c r="O116" s="18">
        <f t="shared" si="8"/>
        <v>0</v>
      </c>
      <c r="P116" s="18">
        <f t="shared" si="9"/>
        <v>0</v>
      </c>
    </row>
    <row r="117">
      <c r="A117" s="2" t="s">
        <v>143</v>
      </c>
      <c r="B117" s="10">
        <v>3.0</v>
      </c>
      <c r="C117" s="12">
        <f t="shared" si="1"/>
        <v>9</v>
      </c>
      <c r="D117" s="11">
        <v>0.0</v>
      </c>
      <c r="E117" s="11">
        <v>1.0</v>
      </c>
      <c r="F117" s="12">
        <f t="shared" si="2"/>
        <v>1</v>
      </c>
      <c r="G117" s="16">
        <f t="shared" si="3"/>
        <v>0.1111111111</v>
      </c>
      <c r="H117" s="16">
        <f t="shared" si="15"/>
        <v>0</v>
      </c>
      <c r="I117" s="12">
        <f t="shared" si="5"/>
        <v>0</v>
      </c>
      <c r="J117" s="11">
        <v>0.0</v>
      </c>
      <c r="K117" s="11">
        <v>0.0</v>
      </c>
      <c r="L117" s="16">
        <f t="shared" si="6"/>
        <v>0</v>
      </c>
      <c r="M117" s="11" t="s">
        <v>41</v>
      </c>
      <c r="N117" s="12">
        <f t="shared" si="7"/>
        <v>0</v>
      </c>
      <c r="O117" s="18">
        <f t="shared" si="8"/>
        <v>0</v>
      </c>
      <c r="P117" s="18">
        <f t="shared" si="9"/>
        <v>0</v>
      </c>
    </row>
    <row r="118">
      <c r="A118" s="2" t="s">
        <v>89</v>
      </c>
      <c r="B118" s="10">
        <v>3.0</v>
      </c>
      <c r="C118" s="12">
        <f t="shared" si="1"/>
        <v>9</v>
      </c>
      <c r="D118" s="11">
        <v>0.0</v>
      </c>
      <c r="E118" s="11">
        <v>1.0</v>
      </c>
      <c r="F118" s="12">
        <f t="shared" si="2"/>
        <v>1</v>
      </c>
      <c r="G118" s="16">
        <f t="shared" si="3"/>
        <v>0.1111111111</v>
      </c>
      <c r="H118" s="16">
        <f t="shared" si="15"/>
        <v>0</v>
      </c>
      <c r="I118" s="12">
        <f t="shared" si="5"/>
        <v>0</v>
      </c>
      <c r="J118" s="11">
        <v>0.0</v>
      </c>
      <c r="K118" s="11">
        <v>0.0</v>
      </c>
      <c r="L118" s="16">
        <f t="shared" si="6"/>
        <v>0</v>
      </c>
      <c r="M118" s="11" t="s">
        <v>41</v>
      </c>
      <c r="N118" s="12">
        <f t="shared" si="7"/>
        <v>0</v>
      </c>
      <c r="O118" s="18">
        <f t="shared" si="8"/>
        <v>0</v>
      </c>
      <c r="P118" s="18">
        <f t="shared" si="9"/>
        <v>0</v>
      </c>
    </row>
    <row r="119">
      <c r="A119" s="2" t="s">
        <v>105</v>
      </c>
      <c r="B119" s="10">
        <v>3.0</v>
      </c>
      <c r="C119" s="12">
        <f t="shared" si="1"/>
        <v>9</v>
      </c>
      <c r="D119" s="11">
        <v>0.0</v>
      </c>
      <c r="E119" s="11">
        <v>1.0</v>
      </c>
      <c r="F119" s="12">
        <f t="shared" si="2"/>
        <v>1</v>
      </c>
      <c r="G119" s="16">
        <f t="shared" si="3"/>
        <v>0.1111111111</v>
      </c>
      <c r="H119" s="16">
        <f t="shared" si="15"/>
        <v>0</v>
      </c>
      <c r="I119" s="12">
        <f t="shared" si="5"/>
        <v>0</v>
      </c>
      <c r="J119" s="11">
        <v>0.0</v>
      </c>
      <c r="K119" s="11">
        <v>0.0</v>
      </c>
      <c r="L119" s="16">
        <f t="shared" si="6"/>
        <v>0</v>
      </c>
      <c r="M119" s="11" t="s">
        <v>41</v>
      </c>
      <c r="N119" s="12">
        <f t="shared" si="7"/>
        <v>0</v>
      </c>
      <c r="O119" s="18">
        <f t="shared" si="8"/>
        <v>0</v>
      </c>
      <c r="P119" s="18">
        <f t="shared" si="9"/>
        <v>0</v>
      </c>
    </row>
    <row r="120">
      <c r="A120" s="2" t="s">
        <v>169</v>
      </c>
      <c r="B120" s="10">
        <v>3.0</v>
      </c>
      <c r="C120" s="12">
        <f t="shared" si="1"/>
        <v>9</v>
      </c>
      <c r="D120" s="11">
        <v>0.0</v>
      </c>
      <c r="E120" s="11">
        <v>2.0</v>
      </c>
      <c r="F120" s="12">
        <f t="shared" si="2"/>
        <v>2</v>
      </c>
      <c r="G120" s="16">
        <f t="shared" si="3"/>
        <v>0.2222222222</v>
      </c>
      <c r="H120" s="16">
        <f t="shared" si="15"/>
        <v>0</v>
      </c>
      <c r="I120" s="12">
        <f t="shared" si="5"/>
        <v>0</v>
      </c>
      <c r="J120" s="11">
        <v>0.0</v>
      </c>
      <c r="K120" s="11">
        <v>0.0</v>
      </c>
      <c r="L120" s="16">
        <f t="shared" si="6"/>
        <v>0</v>
      </c>
      <c r="M120" s="11" t="s">
        <v>41</v>
      </c>
      <c r="N120" s="12">
        <f t="shared" si="7"/>
        <v>0</v>
      </c>
      <c r="O120" s="18">
        <f t="shared" si="8"/>
        <v>0</v>
      </c>
      <c r="P120" s="18">
        <f t="shared" si="9"/>
        <v>0</v>
      </c>
    </row>
    <row r="121">
      <c r="A121" s="2" t="s">
        <v>179</v>
      </c>
      <c r="B121" s="10">
        <v>3.0</v>
      </c>
      <c r="C121" s="12">
        <f t="shared" si="1"/>
        <v>9</v>
      </c>
      <c r="D121" s="11">
        <v>0.0</v>
      </c>
      <c r="E121" s="11">
        <v>4.0</v>
      </c>
      <c r="F121" s="12">
        <f t="shared" si="2"/>
        <v>4</v>
      </c>
      <c r="G121" s="16">
        <f t="shared" si="3"/>
        <v>0.4444444444</v>
      </c>
      <c r="H121" s="16">
        <f t="shared" si="15"/>
        <v>0</v>
      </c>
      <c r="I121" s="12">
        <f t="shared" si="5"/>
        <v>0</v>
      </c>
      <c r="J121" s="11">
        <v>0.0</v>
      </c>
      <c r="K121" s="11">
        <v>0.0</v>
      </c>
      <c r="L121" s="16">
        <f t="shared" si="6"/>
        <v>0</v>
      </c>
      <c r="M121" s="11" t="s">
        <v>41</v>
      </c>
      <c r="N121" s="12">
        <f t="shared" si="7"/>
        <v>0</v>
      </c>
      <c r="O121" s="18">
        <f t="shared" si="8"/>
        <v>0</v>
      </c>
      <c r="P121" s="18">
        <f t="shared" si="9"/>
        <v>0</v>
      </c>
    </row>
    <row r="122">
      <c r="A122" s="2" t="s">
        <v>57</v>
      </c>
      <c r="B122" s="10">
        <v>3.0</v>
      </c>
      <c r="C122" s="12">
        <f t="shared" si="1"/>
        <v>9</v>
      </c>
      <c r="D122" s="11">
        <v>0.0</v>
      </c>
      <c r="E122" s="11">
        <v>3.0</v>
      </c>
      <c r="F122" s="12">
        <f t="shared" si="2"/>
        <v>3</v>
      </c>
      <c r="G122" s="16">
        <f t="shared" si="3"/>
        <v>0.3333333333</v>
      </c>
      <c r="H122" s="16">
        <f t="shared" si="15"/>
        <v>0</v>
      </c>
      <c r="I122" s="12">
        <f t="shared" si="5"/>
        <v>0</v>
      </c>
      <c r="J122" s="11">
        <v>0.0</v>
      </c>
      <c r="K122" s="11">
        <v>0.0</v>
      </c>
      <c r="L122" s="16">
        <f t="shared" si="6"/>
        <v>0</v>
      </c>
      <c r="M122" s="11" t="s">
        <v>41</v>
      </c>
      <c r="N122" s="12">
        <f t="shared" si="7"/>
        <v>0</v>
      </c>
      <c r="O122" s="18">
        <f t="shared" si="8"/>
        <v>0</v>
      </c>
      <c r="P122" s="18">
        <f t="shared" si="9"/>
        <v>0</v>
      </c>
    </row>
    <row r="123">
      <c r="A123" s="2" t="s">
        <v>189</v>
      </c>
      <c r="B123" s="10">
        <v>3.0</v>
      </c>
      <c r="C123" s="12">
        <f t="shared" si="1"/>
        <v>9</v>
      </c>
      <c r="D123" s="11">
        <v>0.0</v>
      </c>
      <c r="E123" s="11">
        <v>2.0</v>
      </c>
      <c r="F123" s="12">
        <f t="shared" si="2"/>
        <v>2</v>
      </c>
      <c r="G123" s="16">
        <f t="shared" si="3"/>
        <v>0.2222222222</v>
      </c>
      <c r="H123" s="16">
        <f t="shared" si="15"/>
        <v>0</v>
      </c>
      <c r="I123" s="12">
        <f t="shared" si="5"/>
        <v>0</v>
      </c>
      <c r="J123" s="11">
        <v>0.0</v>
      </c>
      <c r="K123" s="11">
        <v>0.0</v>
      </c>
      <c r="L123" s="16">
        <f t="shared" si="6"/>
        <v>0</v>
      </c>
      <c r="M123" s="11" t="s">
        <v>41</v>
      </c>
      <c r="N123" s="12">
        <f t="shared" si="7"/>
        <v>0</v>
      </c>
      <c r="O123" s="18">
        <f t="shared" si="8"/>
        <v>0</v>
      </c>
      <c r="P123" s="18">
        <f t="shared" si="9"/>
        <v>0</v>
      </c>
    </row>
    <row r="124">
      <c r="A124" s="2" t="s">
        <v>155</v>
      </c>
      <c r="B124" s="10">
        <v>3.0</v>
      </c>
      <c r="C124" s="12">
        <f t="shared" si="1"/>
        <v>9</v>
      </c>
      <c r="D124" s="11">
        <v>0.0</v>
      </c>
      <c r="E124" s="11">
        <v>1.0</v>
      </c>
      <c r="F124" s="12">
        <f t="shared" si="2"/>
        <v>1</v>
      </c>
      <c r="G124" s="16">
        <f t="shared" si="3"/>
        <v>0.1111111111</v>
      </c>
      <c r="H124" s="16">
        <f t="shared" si="15"/>
        <v>0</v>
      </c>
      <c r="I124" s="12">
        <f t="shared" si="5"/>
        <v>0</v>
      </c>
      <c r="J124" s="11">
        <v>0.0</v>
      </c>
      <c r="K124" s="11">
        <v>0.0</v>
      </c>
      <c r="L124" s="16">
        <f t="shared" si="6"/>
        <v>0</v>
      </c>
      <c r="M124" s="11" t="s">
        <v>41</v>
      </c>
      <c r="N124" s="12">
        <f t="shared" si="7"/>
        <v>0</v>
      </c>
      <c r="O124" s="18">
        <f t="shared" si="8"/>
        <v>0</v>
      </c>
      <c r="P124" s="18">
        <f t="shared" si="9"/>
        <v>0</v>
      </c>
    </row>
    <row r="125">
      <c r="A125" s="2" t="s">
        <v>67</v>
      </c>
      <c r="B125" s="10">
        <v>3.0</v>
      </c>
      <c r="C125" s="12">
        <f t="shared" si="1"/>
        <v>9</v>
      </c>
      <c r="D125" s="11">
        <v>0.0</v>
      </c>
      <c r="E125" s="11">
        <v>1.0</v>
      </c>
      <c r="F125" s="12">
        <f t="shared" si="2"/>
        <v>1</v>
      </c>
      <c r="G125" s="16">
        <f t="shared" si="3"/>
        <v>0.1111111111</v>
      </c>
      <c r="H125" s="16">
        <f t="shared" si="15"/>
        <v>0</v>
      </c>
      <c r="I125" s="12">
        <f t="shared" si="5"/>
        <v>0</v>
      </c>
      <c r="J125" s="11">
        <v>0.0</v>
      </c>
      <c r="K125" s="11">
        <v>0.0</v>
      </c>
      <c r="L125" s="16">
        <f t="shared" si="6"/>
        <v>0</v>
      </c>
      <c r="M125" s="11" t="s">
        <v>41</v>
      </c>
      <c r="N125" s="12">
        <f t="shared" si="7"/>
        <v>0</v>
      </c>
      <c r="O125" s="18">
        <f t="shared" si="8"/>
        <v>0</v>
      </c>
      <c r="P125" s="18">
        <f t="shared" si="9"/>
        <v>0</v>
      </c>
    </row>
    <row r="126">
      <c r="A126" s="2" t="s">
        <v>120</v>
      </c>
      <c r="B126" s="10">
        <v>3.0</v>
      </c>
      <c r="C126" s="12">
        <f t="shared" si="1"/>
        <v>9</v>
      </c>
      <c r="D126" s="11">
        <v>0.0</v>
      </c>
      <c r="E126" s="11">
        <v>1.0</v>
      </c>
      <c r="F126" s="12">
        <f t="shared" si="2"/>
        <v>1</v>
      </c>
      <c r="G126" s="16">
        <f t="shared" si="3"/>
        <v>0.1111111111</v>
      </c>
      <c r="H126" s="16">
        <f t="shared" si="15"/>
        <v>0</v>
      </c>
      <c r="I126" s="12">
        <f t="shared" si="5"/>
        <v>0</v>
      </c>
      <c r="J126" s="11">
        <v>0.0</v>
      </c>
      <c r="K126" s="11">
        <v>0.0</v>
      </c>
      <c r="L126" s="16">
        <f t="shared" si="6"/>
        <v>0</v>
      </c>
      <c r="M126" s="11" t="s">
        <v>41</v>
      </c>
      <c r="N126" s="12">
        <f t="shared" si="7"/>
        <v>0</v>
      </c>
      <c r="O126" s="18">
        <f t="shared" si="8"/>
        <v>0</v>
      </c>
      <c r="P126" s="18">
        <f t="shared" si="9"/>
        <v>0</v>
      </c>
    </row>
    <row r="127">
      <c r="A127" s="2" t="s">
        <v>141</v>
      </c>
      <c r="B127" s="28">
        <f>2/3+2</f>
        <v>2.666666667</v>
      </c>
      <c r="C127" s="12">
        <f t="shared" si="1"/>
        <v>8</v>
      </c>
      <c r="D127" s="11">
        <v>0.0</v>
      </c>
      <c r="E127" s="20">
        <v>2.0</v>
      </c>
      <c r="F127" s="21">
        <f t="shared" si="2"/>
        <v>2</v>
      </c>
      <c r="G127" s="23">
        <f t="shared" si="3"/>
        <v>0.25</v>
      </c>
      <c r="H127" s="23">
        <f t="shared" si="15"/>
        <v>0</v>
      </c>
      <c r="I127" s="12">
        <f t="shared" si="5"/>
        <v>0</v>
      </c>
      <c r="J127" s="11">
        <v>0.0</v>
      </c>
      <c r="K127" s="11">
        <v>0.0</v>
      </c>
      <c r="L127" s="16">
        <f t="shared" si="6"/>
        <v>0</v>
      </c>
      <c r="M127" s="11" t="s">
        <v>41</v>
      </c>
      <c r="N127" s="12">
        <f t="shared" si="7"/>
        <v>0</v>
      </c>
      <c r="O127" s="18">
        <f t="shared" si="8"/>
        <v>0</v>
      </c>
      <c r="P127" s="18">
        <f t="shared" si="9"/>
        <v>0</v>
      </c>
    </row>
    <row r="128">
      <c r="A128" s="2" t="s">
        <v>161</v>
      </c>
      <c r="B128" s="27">
        <f>1+2/3+1</f>
        <v>2.666666667</v>
      </c>
      <c r="C128" s="12">
        <f t="shared" si="1"/>
        <v>8</v>
      </c>
      <c r="D128" s="11">
        <v>0.0</v>
      </c>
      <c r="E128" s="11">
        <v>2.0</v>
      </c>
      <c r="F128" s="12">
        <f t="shared" si="2"/>
        <v>2</v>
      </c>
      <c r="G128" s="16">
        <f t="shared" si="3"/>
        <v>0.25</v>
      </c>
      <c r="H128" s="16">
        <f t="shared" si="15"/>
        <v>0</v>
      </c>
      <c r="I128" s="12">
        <f t="shared" si="5"/>
        <v>0</v>
      </c>
      <c r="J128" s="11">
        <v>0.0</v>
      </c>
      <c r="K128" s="11">
        <v>0.0</v>
      </c>
      <c r="L128" s="16">
        <f t="shared" si="6"/>
        <v>0</v>
      </c>
      <c r="M128" s="11" t="s">
        <v>41</v>
      </c>
      <c r="N128" s="12">
        <f t="shared" si="7"/>
        <v>0</v>
      </c>
      <c r="O128" s="18">
        <f t="shared" si="8"/>
        <v>0</v>
      </c>
      <c r="P128" s="18">
        <f t="shared" si="9"/>
        <v>0</v>
      </c>
    </row>
    <row r="129">
      <c r="A129" s="2" t="s">
        <v>162</v>
      </c>
      <c r="B129" s="27">
        <f>2+2/3</f>
        <v>2.666666667</v>
      </c>
      <c r="C129" s="12">
        <f t="shared" si="1"/>
        <v>8</v>
      </c>
      <c r="D129" s="11">
        <v>0.0</v>
      </c>
      <c r="E129" s="11">
        <v>1.0</v>
      </c>
      <c r="F129" s="12">
        <f t="shared" si="2"/>
        <v>1</v>
      </c>
      <c r="G129" s="16">
        <f t="shared" si="3"/>
        <v>0.125</v>
      </c>
      <c r="H129" s="16">
        <f t="shared" si="15"/>
        <v>0</v>
      </c>
      <c r="I129" s="12">
        <f t="shared" si="5"/>
        <v>0</v>
      </c>
      <c r="J129" s="11">
        <v>0.0</v>
      </c>
      <c r="K129" s="11">
        <v>0.0</v>
      </c>
      <c r="L129" s="16">
        <f t="shared" si="6"/>
        <v>0</v>
      </c>
      <c r="M129" s="11" t="s">
        <v>41</v>
      </c>
      <c r="N129" s="12">
        <f t="shared" si="7"/>
        <v>0</v>
      </c>
      <c r="O129" s="18">
        <f t="shared" si="8"/>
        <v>0</v>
      </c>
      <c r="P129" s="18">
        <f t="shared" si="9"/>
        <v>0</v>
      </c>
    </row>
    <row r="130">
      <c r="A130" s="2" t="s">
        <v>163</v>
      </c>
      <c r="B130" s="27">
        <f>1+1/3+1</f>
        <v>2.333333333</v>
      </c>
      <c r="C130" s="12">
        <f t="shared" si="1"/>
        <v>7</v>
      </c>
      <c r="D130" s="11">
        <v>0.0</v>
      </c>
      <c r="E130" s="11">
        <v>1.0</v>
      </c>
      <c r="F130" s="12">
        <f t="shared" si="2"/>
        <v>1</v>
      </c>
      <c r="G130" s="16">
        <f t="shared" si="3"/>
        <v>0.1428571429</v>
      </c>
      <c r="H130" s="16">
        <f t="shared" si="15"/>
        <v>0</v>
      </c>
      <c r="I130" s="12">
        <f t="shared" si="5"/>
        <v>0</v>
      </c>
      <c r="J130" s="11">
        <v>0.0</v>
      </c>
      <c r="K130" s="11">
        <v>0.0</v>
      </c>
      <c r="L130" s="16">
        <f t="shared" si="6"/>
        <v>0</v>
      </c>
      <c r="M130" s="11" t="s">
        <v>41</v>
      </c>
      <c r="N130" s="12">
        <f t="shared" si="7"/>
        <v>0</v>
      </c>
      <c r="O130" s="18">
        <f t="shared" si="8"/>
        <v>0</v>
      </c>
      <c r="P130" s="18">
        <f t="shared" si="9"/>
        <v>0</v>
      </c>
    </row>
    <row r="131">
      <c r="A131" s="2" t="s">
        <v>173</v>
      </c>
      <c r="B131" s="10">
        <v>3.0</v>
      </c>
      <c r="C131" s="12">
        <f t="shared" si="1"/>
        <v>9</v>
      </c>
      <c r="D131" s="11">
        <v>0.0</v>
      </c>
      <c r="E131" s="20">
        <v>2.0</v>
      </c>
      <c r="F131" s="21">
        <f t="shared" si="2"/>
        <v>2</v>
      </c>
      <c r="G131" s="23">
        <f t="shared" si="3"/>
        <v>0.2222222222</v>
      </c>
      <c r="H131" s="23">
        <f t="shared" si="15"/>
        <v>0</v>
      </c>
      <c r="I131" s="12">
        <f t="shared" si="5"/>
        <v>0</v>
      </c>
      <c r="J131" s="11">
        <v>0.0</v>
      </c>
      <c r="K131" s="11">
        <v>0.0</v>
      </c>
      <c r="L131" s="16">
        <f t="shared" si="6"/>
        <v>0</v>
      </c>
      <c r="M131" s="11" t="s">
        <v>41</v>
      </c>
      <c r="N131" s="12">
        <f t="shared" si="7"/>
        <v>0</v>
      </c>
      <c r="O131" s="18">
        <f t="shared" si="8"/>
        <v>0</v>
      </c>
      <c r="P131" s="18">
        <f t="shared" si="9"/>
        <v>0</v>
      </c>
    </row>
    <row r="132">
      <c r="A132" s="2" t="s">
        <v>76</v>
      </c>
      <c r="B132" s="10">
        <v>1.0</v>
      </c>
      <c r="C132" s="12">
        <f t="shared" si="1"/>
        <v>3</v>
      </c>
      <c r="D132" s="11">
        <v>0.0</v>
      </c>
      <c r="E132" s="11">
        <v>1.0</v>
      </c>
      <c r="F132" s="12">
        <f t="shared" si="2"/>
        <v>1</v>
      </c>
      <c r="G132" s="16">
        <f t="shared" si="3"/>
        <v>0.3333333333</v>
      </c>
      <c r="H132" s="16">
        <f t="shared" si="15"/>
        <v>0</v>
      </c>
      <c r="I132" s="12">
        <f t="shared" si="5"/>
        <v>0</v>
      </c>
      <c r="J132" s="11">
        <v>0.0</v>
      </c>
      <c r="K132" s="11">
        <v>0.0</v>
      </c>
      <c r="L132" s="16">
        <f t="shared" si="6"/>
        <v>0</v>
      </c>
      <c r="M132" s="11" t="s">
        <v>41</v>
      </c>
      <c r="N132" s="12">
        <f t="shared" si="7"/>
        <v>0</v>
      </c>
      <c r="O132" s="18">
        <f t="shared" si="8"/>
        <v>0</v>
      </c>
      <c r="P132" s="18">
        <f t="shared" si="9"/>
        <v>0</v>
      </c>
    </row>
    <row r="133">
      <c r="A133" s="2" t="s">
        <v>65</v>
      </c>
      <c r="B133" s="10">
        <v>3.0</v>
      </c>
      <c r="C133" s="12">
        <f t="shared" si="1"/>
        <v>9</v>
      </c>
      <c r="D133" s="11">
        <v>0.0</v>
      </c>
      <c r="E133" s="11">
        <v>4.0</v>
      </c>
      <c r="F133" s="12">
        <f t="shared" si="2"/>
        <v>4</v>
      </c>
      <c r="G133" s="16">
        <f t="shared" si="3"/>
        <v>0.4444444444</v>
      </c>
      <c r="H133" s="16">
        <f t="shared" si="15"/>
        <v>0</v>
      </c>
      <c r="I133" s="12">
        <f t="shared" si="5"/>
        <v>0</v>
      </c>
      <c r="J133" s="11">
        <v>0.0</v>
      </c>
      <c r="K133" s="11">
        <v>0.0</v>
      </c>
      <c r="L133" s="16">
        <f t="shared" si="6"/>
        <v>0</v>
      </c>
      <c r="M133" s="11" t="s">
        <v>41</v>
      </c>
      <c r="N133" s="12">
        <f t="shared" si="7"/>
        <v>0</v>
      </c>
      <c r="O133" s="18">
        <f t="shared" si="8"/>
        <v>0</v>
      </c>
      <c r="P133" s="18">
        <f t="shared" si="9"/>
        <v>0</v>
      </c>
    </row>
    <row r="134">
      <c r="A134" s="2" t="s">
        <v>97</v>
      </c>
      <c r="B134" s="10">
        <v>2.0</v>
      </c>
      <c r="C134" s="12">
        <f t="shared" si="1"/>
        <v>6</v>
      </c>
      <c r="D134" s="11">
        <v>0.0</v>
      </c>
      <c r="E134" s="20">
        <v>3.0</v>
      </c>
      <c r="F134" s="21">
        <f t="shared" si="2"/>
        <v>3</v>
      </c>
      <c r="G134" s="23">
        <f t="shared" si="3"/>
        <v>0.5</v>
      </c>
      <c r="H134" s="23">
        <f t="shared" si="15"/>
        <v>0</v>
      </c>
      <c r="I134" s="12">
        <f t="shared" si="5"/>
        <v>0</v>
      </c>
      <c r="J134" s="11">
        <v>0.0</v>
      </c>
      <c r="K134" s="11">
        <v>0.0</v>
      </c>
      <c r="L134" s="16">
        <f t="shared" si="6"/>
        <v>0</v>
      </c>
      <c r="M134" s="11" t="s">
        <v>41</v>
      </c>
      <c r="N134" s="12">
        <f t="shared" si="7"/>
        <v>0</v>
      </c>
      <c r="O134" s="18">
        <f t="shared" si="8"/>
        <v>0</v>
      </c>
      <c r="P134" s="18">
        <f t="shared" si="9"/>
        <v>0</v>
      </c>
    </row>
    <row r="135">
      <c r="A135" s="2" t="s">
        <v>78</v>
      </c>
      <c r="B135" s="10">
        <v>3.0</v>
      </c>
      <c r="C135" s="12">
        <f t="shared" si="1"/>
        <v>9</v>
      </c>
      <c r="D135" s="11">
        <v>0.0</v>
      </c>
      <c r="E135" s="20">
        <v>2.0</v>
      </c>
      <c r="F135" s="21">
        <f t="shared" si="2"/>
        <v>2</v>
      </c>
      <c r="G135" s="23">
        <f t="shared" si="3"/>
        <v>0.2222222222</v>
      </c>
      <c r="H135" s="23">
        <f t="shared" si="15"/>
        <v>0</v>
      </c>
      <c r="I135" s="12">
        <f t="shared" si="5"/>
        <v>0</v>
      </c>
      <c r="J135" s="11">
        <v>0.0</v>
      </c>
      <c r="K135" s="11">
        <v>0.0</v>
      </c>
      <c r="L135" s="16">
        <f t="shared" si="6"/>
        <v>0</v>
      </c>
      <c r="M135" s="11" t="s">
        <v>41</v>
      </c>
      <c r="N135" s="12">
        <f t="shared" si="7"/>
        <v>0</v>
      </c>
      <c r="O135" s="18">
        <f t="shared" si="8"/>
        <v>0</v>
      </c>
      <c r="P135" s="18">
        <f t="shared" si="9"/>
        <v>0</v>
      </c>
    </row>
    <row r="136">
      <c r="A136" s="2" t="s">
        <v>54</v>
      </c>
      <c r="B136" s="10">
        <v>3.0</v>
      </c>
      <c r="C136" s="12">
        <f t="shared" si="1"/>
        <v>9</v>
      </c>
      <c r="D136" s="11">
        <v>1.0</v>
      </c>
      <c r="E136" s="11">
        <v>4.0</v>
      </c>
      <c r="F136" s="12">
        <f t="shared" si="2"/>
        <v>5</v>
      </c>
      <c r="G136" s="16">
        <f t="shared" si="3"/>
        <v>0.5555555556</v>
      </c>
      <c r="H136" s="16">
        <f t="shared" si="15"/>
        <v>0.2</v>
      </c>
      <c r="I136" s="12">
        <f t="shared" si="5"/>
        <v>2</v>
      </c>
      <c r="J136" s="11">
        <v>0.0</v>
      </c>
      <c r="K136" s="11">
        <v>2.0</v>
      </c>
      <c r="L136" s="16">
        <f t="shared" si="6"/>
        <v>0.2222222222</v>
      </c>
      <c r="M136" s="16">
        <f t="shared" ref="M136:M139" si="17">J136/I136</f>
        <v>0</v>
      </c>
      <c r="N136" s="12">
        <f t="shared" si="7"/>
        <v>-4</v>
      </c>
      <c r="O136" s="18">
        <f t="shared" si="8"/>
        <v>-0.4444444444</v>
      </c>
      <c r="P136" s="18">
        <f t="shared" si="9"/>
        <v>-1.333333333</v>
      </c>
    </row>
    <row r="137">
      <c r="A137" s="2" t="s">
        <v>86</v>
      </c>
      <c r="B137" s="10">
        <v>3.0</v>
      </c>
      <c r="C137" s="12">
        <f t="shared" si="1"/>
        <v>9</v>
      </c>
      <c r="D137" s="11">
        <v>0.0</v>
      </c>
      <c r="E137" s="11">
        <v>4.0</v>
      </c>
      <c r="F137" s="12">
        <f t="shared" si="2"/>
        <v>4</v>
      </c>
      <c r="G137" s="16">
        <f t="shared" si="3"/>
        <v>0.4444444444</v>
      </c>
      <c r="H137" s="16">
        <f t="shared" si="15"/>
        <v>0</v>
      </c>
      <c r="I137" s="12">
        <f t="shared" si="5"/>
        <v>1</v>
      </c>
      <c r="J137" s="11">
        <v>0.0</v>
      </c>
      <c r="K137" s="11">
        <v>1.0</v>
      </c>
      <c r="L137" s="16">
        <f t="shared" si="6"/>
        <v>0.1111111111</v>
      </c>
      <c r="M137" s="16">
        <f t="shared" si="17"/>
        <v>0</v>
      </c>
      <c r="N137" s="12">
        <f t="shared" si="7"/>
        <v>-4</v>
      </c>
      <c r="O137" s="18">
        <f t="shared" si="8"/>
        <v>-0.4444444444</v>
      </c>
      <c r="P137" s="18">
        <f t="shared" si="9"/>
        <v>-1.333333333</v>
      </c>
    </row>
    <row r="138">
      <c r="A138" s="2" t="s">
        <v>196</v>
      </c>
      <c r="B138" s="10">
        <v>3.0</v>
      </c>
      <c r="C138" s="12">
        <f t="shared" si="1"/>
        <v>9</v>
      </c>
      <c r="D138" s="11">
        <v>0.0</v>
      </c>
      <c r="E138" s="11">
        <v>2.0</v>
      </c>
      <c r="F138" s="12">
        <f t="shared" si="2"/>
        <v>2</v>
      </c>
      <c r="G138" s="16">
        <f t="shared" si="3"/>
        <v>0.2222222222</v>
      </c>
      <c r="H138" s="16">
        <f t="shared" si="15"/>
        <v>0</v>
      </c>
      <c r="I138" s="12">
        <f t="shared" si="5"/>
        <v>1</v>
      </c>
      <c r="J138" s="11">
        <v>0.0</v>
      </c>
      <c r="K138" s="11">
        <v>1.0</v>
      </c>
      <c r="L138" s="16">
        <f t="shared" si="6"/>
        <v>0.1111111111</v>
      </c>
      <c r="M138" s="16">
        <f t="shared" si="17"/>
        <v>0</v>
      </c>
      <c r="N138" s="12">
        <f t="shared" si="7"/>
        <v>-4</v>
      </c>
      <c r="O138" s="18">
        <f t="shared" si="8"/>
        <v>-0.4444444444</v>
      </c>
      <c r="P138" s="18">
        <f t="shared" si="9"/>
        <v>-1.333333333</v>
      </c>
    </row>
    <row r="139">
      <c r="A139" s="2" t="s">
        <v>122</v>
      </c>
      <c r="B139" s="10">
        <v>3.0</v>
      </c>
      <c r="C139" s="12">
        <f t="shared" si="1"/>
        <v>9</v>
      </c>
      <c r="D139" s="11">
        <v>0.0</v>
      </c>
      <c r="E139" s="11">
        <v>6.0</v>
      </c>
      <c r="F139" s="12">
        <f t="shared" si="2"/>
        <v>6</v>
      </c>
      <c r="G139" s="16">
        <f t="shared" si="3"/>
        <v>0.6666666667</v>
      </c>
      <c r="H139" s="16">
        <f t="shared" si="15"/>
        <v>0</v>
      </c>
      <c r="I139" s="12">
        <f t="shared" si="5"/>
        <v>1</v>
      </c>
      <c r="J139" s="11">
        <v>0.0</v>
      </c>
      <c r="K139" s="11">
        <v>1.0</v>
      </c>
      <c r="L139" s="16">
        <f t="shared" si="6"/>
        <v>0.1111111111</v>
      </c>
      <c r="M139" s="16">
        <f t="shared" si="17"/>
        <v>0</v>
      </c>
      <c r="N139" s="12">
        <f t="shared" si="7"/>
        <v>-4</v>
      </c>
      <c r="O139" s="18">
        <f t="shared" si="8"/>
        <v>-0.4444444444</v>
      </c>
      <c r="P139" s="18">
        <f t="shared" si="9"/>
        <v>-1.333333333</v>
      </c>
    </row>
    <row r="140">
      <c r="A140" s="34"/>
      <c r="B140" s="42"/>
      <c r="G140" s="30"/>
      <c r="H140" s="30"/>
      <c r="L140" s="30"/>
      <c r="M140" s="30"/>
      <c r="O140" s="32"/>
      <c r="P140" s="32"/>
    </row>
    <row r="141">
      <c r="A141" s="34"/>
      <c r="B141" s="35"/>
      <c r="G141" s="30"/>
      <c r="H141" s="30"/>
      <c r="L141" s="30"/>
      <c r="M141" s="30"/>
      <c r="O141" s="32"/>
      <c r="P141" s="32"/>
    </row>
    <row r="142">
      <c r="B142" s="35"/>
      <c r="G142" s="30"/>
      <c r="H142" s="30"/>
      <c r="L142" s="30"/>
      <c r="M142" s="30"/>
      <c r="O142" s="32"/>
      <c r="P142" s="32"/>
    </row>
    <row r="143">
      <c r="B143" s="35"/>
      <c r="G143" s="30"/>
      <c r="H143" s="30"/>
      <c r="L143" s="30"/>
      <c r="M143" s="30"/>
      <c r="O143" s="32"/>
      <c r="P143" s="32"/>
    </row>
    <row r="144">
      <c r="B144" s="35"/>
      <c r="G144" s="30"/>
      <c r="H144" s="30"/>
      <c r="L144" s="30"/>
      <c r="M144" s="30"/>
      <c r="O144" s="32"/>
      <c r="P144" s="32"/>
    </row>
    <row r="145">
      <c r="B145" s="35"/>
      <c r="G145" s="30"/>
      <c r="H145" s="30"/>
      <c r="L145" s="30"/>
      <c r="M145" s="30"/>
      <c r="O145" s="32"/>
      <c r="P145" s="32"/>
    </row>
    <row r="146">
      <c r="B146" s="35"/>
      <c r="G146" s="30"/>
      <c r="H146" s="30"/>
      <c r="L146" s="30"/>
      <c r="M146" s="30"/>
      <c r="O146" s="32"/>
      <c r="P146" s="32"/>
    </row>
    <row r="147">
      <c r="B147" s="35"/>
      <c r="G147" s="30"/>
      <c r="H147" s="30"/>
      <c r="L147" s="30"/>
      <c r="M147" s="30"/>
      <c r="O147" s="32"/>
      <c r="P147" s="32"/>
    </row>
    <row r="148">
      <c r="B148" s="35"/>
      <c r="G148" s="30"/>
      <c r="H148" s="30"/>
      <c r="L148" s="30"/>
      <c r="M148" s="30"/>
      <c r="O148" s="32"/>
      <c r="P148" s="32"/>
    </row>
    <row r="149">
      <c r="B149" s="35"/>
      <c r="G149" s="30"/>
      <c r="H149" s="30"/>
      <c r="L149" s="30"/>
      <c r="M149" s="30"/>
      <c r="O149" s="32"/>
      <c r="P149" s="32"/>
    </row>
    <row r="150">
      <c r="B150" s="35"/>
      <c r="G150" s="30"/>
      <c r="H150" s="30"/>
      <c r="L150" s="30"/>
      <c r="M150" s="30"/>
      <c r="O150" s="32"/>
      <c r="P150" s="32"/>
    </row>
    <row r="151">
      <c r="B151" s="35"/>
      <c r="G151" s="30"/>
      <c r="H151" s="30"/>
      <c r="L151" s="30"/>
      <c r="M151" s="30"/>
      <c r="O151" s="32"/>
      <c r="P151" s="32"/>
    </row>
    <row r="152">
      <c r="B152" s="35"/>
      <c r="G152" s="30"/>
      <c r="H152" s="30"/>
      <c r="L152" s="30"/>
      <c r="M152" s="30"/>
      <c r="O152" s="32"/>
      <c r="P152" s="32"/>
    </row>
    <row r="153">
      <c r="B153" s="35"/>
      <c r="G153" s="30"/>
      <c r="H153" s="30"/>
      <c r="L153" s="30"/>
      <c r="M153" s="30"/>
      <c r="O153" s="32"/>
      <c r="P153" s="32"/>
    </row>
    <row r="154">
      <c r="B154" s="35"/>
      <c r="G154" s="30"/>
      <c r="H154" s="30"/>
      <c r="L154" s="30"/>
      <c r="M154" s="30"/>
      <c r="O154" s="32"/>
      <c r="P154" s="32"/>
    </row>
    <row r="155">
      <c r="B155" s="35"/>
      <c r="G155" s="30"/>
      <c r="H155" s="30"/>
      <c r="L155" s="30"/>
      <c r="M155" s="30"/>
      <c r="O155" s="32"/>
      <c r="P155" s="32"/>
    </row>
    <row r="156">
      <c r="B156" s="35"/>
      <c r="G156" s="30"/>
      <c r="H156" s="30"/>
      <c r="L156" s="30"/>
      <c r="M156" s="30"/>
      <c r="O156" s="32"/>
      <c r="P156" s="32"/>
    </row>
    <row r="157">
      <c r="B157" s="35"/>
      <c r="G157" s="30"/>
      <c r="H157" s="30"/>
      <c r="L157" s="30"/>
      <c r="M157" s="30"/>
      <c r="O157" s="32"/>
      <c r="P157" s="32"/>
    </row>
    <row r="158">
      <c r="B158" s="35"/>
      <c r="G158" s="30"/>
      <c r="H158" s="30"/>
      <c r="L158" s="30"/>
      <c r="M158" s="30"/>
      <c r="O158" s="32"/>
      <c r="P158" s="32"/>
    </row>
    <row r="159">
      <c r="B159" s="35"/>
      <c r="G159" s="30"/>
      <c r="H159" s="30"/>
      <c r="L159" s="30"/>
      <c r="M159" s="30"/>
      <c r="O159" s="32"/>
      <c r="P159" s="32"/>
    </row>
    <row r="160">
      <c r="B160" s="35"/>
      <c r="G160" s="30"/>
      <c r="H160" s="30"/>
      <c r="L160" s="30"/>
      <c r="M160" s="30"/>
      <c r="O160" s="32"/>
      <c r="P160" s="32"/>
    </row>
    <row r="161">
      <c r="B161" s="35"/>
      <c r="G161" s="30"/>
      <c r="H161" s="30"/>
      <c r="L161" s="30"/>
      <c r="M161" s="30"/>
      <c r="O161" s="32"/>
      <c r="P161" s="32"/>
    </row>
    <row r="162">
      <c r="B162" s="35"/>
      <c r="G162" s="30"/>
      <c r="H162" s="30"/>
      <c r="L162" s="30"/>
      <c r="M162" s="30"/>
      <c r="O162" s="32"/>
      <c r="P162" s="32"/>
    </row>
    <row r="163">
      <c r="B163" s="35"/>
      <c r="G163" s="30"/>
      <c r="H163" s="30"/>
      <c r="L163" s="30"/>
      <c r="M163" s="30"/>
      <c r="O163" s="32"/>
      <c r="P163" s="32"/>
    </row>
    <row r="164">
      <c r="B164" s="35"/>
      <c r="G164" s="30"/>
      <c r="H164" s="30"/>
      <c r="L164" s="30"/>
      <c r="M164" s="30"/>
      <c r="O164" s="32"/>
      <c r="P164" s="32"/>
    </row>
    <row r="165">
      <c r="B165" s="35"/>
      <c r="G165" s="30"/>
      <c r="H165" s="30"/>
      <c r="L165" s="30"/>
      <c r="M165" s="30"/>
      <c r="O165" s="32"/>
      <c r="P165" s="32"/>
    </row>
    <row r="166">
      <c r="B166" s="35"/>
      <c r="G166" s="30"/>
      <c r="H166" s="30"/>
      <c r="L166" s="30"/>
      <c r="M166" s="30"/>
      <c r="O166" s="32"/>
      <c r="P166" s="32"/>
    </row>
    <row r="167">
      <c r="B167" s="35"/>
      <c r="G167" s="30"/>
      <c r="H167" s="30"/>
      <c r="L167" s="30"/>
      <c r="M167" s="30"/>
      <c r="O167" s="32"/>
      <c r="P167" s="32"/>
    </row>
    <row r="168">
      <c r="B168" s="35"/>
      <c r="G168" s="30"/>
      <c r="H168" s="30"/>
      <c r="L168" s="30"/>
      <c r="M168" s="30"/>
      <c r="O168" s="32"/>
      <c r="P168" s="32"/>
    </row>
    <row r="169">
      <c r="B169" s="35"/>
      <c r="G169" s="30"/>
      <c r="H169" s="30"/>
      <c r="L169" s="30"/>
      <c r="M169" s="30"/>
      <c r="O169" s="32"/>
      <c r="P169" s="32"/>
    </row>
    <row r="170">
      <c r="B170" s="35"/>
      <c r="G170" s="30"/>
      <c r="H170" s="30"/>
      <c r="L170" s="30"/>
      <c r="M170" s="30"/>
      <c r="O170" s="32"/>
      <c r="P170" s="32"/>
    </row>
    <row r="171">
      <c r="B171" s="35"/>
      <c r="G171" s="30"/>
      <c r="H171" s="30"/>
      <c r="L171" s="30"/>
      <c r="M171" s="30"/>
      <c r="O171" s="32"/>
      <c r="P171" s="32"/>
    </row>
    <row r="172">
      <c r="B172" s="35"/>
      <c r="G172" s="30"/>
      <c r="H172" s="30"/>
      <c r="L172" s="30"/>
      <c r="M172" s="30"/>
      <c r="O172" s="32"/>
      <c r="P172" s="32"/>
    </row>
    <row r="173">
      <c r="B173" s="35"/>
      <c r="G173" s="30"/>
      <c r="H173" s="30"/>
      <c r="L173" s="30"/>
      <c r="M173" s="30"/>
      <c r="O173" s="32"/>
      <c r="P173" s="32"/>
    </row>
    <row r="174">
      <c r="B174" s="35"/>
      <c r="G174" s="30"/>
      <c r="H174" s="30"/>
      <c r="L174" s="30"/>
      <c r="M174" s="30"/>
      <c r="O174" s="32"/>
      <c r="P174" s="32"/>
    </row>
    <row r="175">
      <c r="B175" s="35"/>
      <c r="G175" s="30"/>
      <c r="H175" s="30"/>
      <c r="L175" s="30"/>
      <c r="M175" s="30"/>
      <c r="O175" s="32"/>
      <c r="P175" s="32"/>
    </row>
    <row r="176">
      <c r="B176" s="35"/>
      <c r="G176" s="30"/>
      <c r="H176" s="30"/>
      <c r="L176" s="30"/>
      <c r="M176" s="30"/>
      <c r="O176" s="32"/>
      <c r="P176" s="32"/>
    </row>
    <row r="177">
      <c r="B177" s="35"/>
      <c r="G177" s="30"/>
      <c r="H177" s="30"/>
      <c r="L177" s="30"/>
      <c r="M177" s="30"/>
      <c r="O177" s="32"/>
      <c r="P177" s="32"/>
    </row>
    <row r="178">
      <c r="B178" s="35"/>
      <c r="G178" s="30"/>
      <c r="H178" s="30"/>
      <c r="L178" s="30"/>
      <c r="M178" s="30"/>
      <c r="O178" s="32"/>
      <c r="P178" s="32"/>
    </row>
    <row r="179">
      <c r="B179" s="35"/>
      <c r="G179" s="30"/>
      <c r="H179" s="30"/>
      <c r="L179" s="30"/>
      <c r="M179" s="30"/>
      <c r="O179" s="32"/>
      <c r="P179" s="32"/>
    </row>
    <row r="180">
      <c r="B180" s="35"/>
      <c r="G180" s="30"/>
      <c r="H180" s="30"/>
      <c r="L180" s="30"/>
      <c r="M180" s="30"/>
      <c r="O180" s="32"/>
      <c r="P180" s="32"/>
    </row>
    <row r="181">
      <c r="B181" s="35"/>
      <c r="G181" s="30"/>
      <c r="H181" s="30"/>
      <c r="L181" s="30"/>
      <c r="M181" s="30"/>
      <c r="O181" s="32"/>
      <c r="P181" s="32"/>
    </row>
    <row r="182">
      <c r="B182" s="35"/>
      <c r="G182" s="30"/>
      <c r="H182" s="30"/>
      <c r="L182" s="30"/>
      <c r="M182" s="30"/>
      <c r="O182" s="32"/>
      <c r="P182" s="32"/>
    </row>
    <row r="183">
      <c r="B183" s="35"/>
      <c r="G183" s="30"/>
      <c r="H183" s="30"/>
      <c r="L183" s="30"/>
      <c r="M183" s="30"/>
      <c r="O183" s="32"/>
      <c r="P183" s="32"/>
    </row>
    <row r="184">
      <c r="B184" s="35"/>
      <c r="G184" s="30"/>
      <c r="H184" s="30"/>
      <c r="L184" s="30"/>
      <c r="M184" s="30"/>
      <c r="O184" s="32"/>
      <c r="P184" s="32"/>
    </row>
    <row r="185">
      <c r="B185" s="35"/>
      <c r="G185" s="30"/>
      <c r="H185" s="30"/>
      <c r="L185" s="30"/>
      <c r="M185" s="30"/>
      <c r="O185" s="32"/>
      <c r="P185" s="32"/>
    </row>
    <row r="186">
      <c r="B186" s="35"/>
      <c r="G186" s="30"/>
      <c r="H186" s="30"/>
      <c r="L186" s="30"/>
      <c r="M186" s="30"/>
      <c r="O186" s="32"/>
      <c r="P186" s="32"/>
    </row>
    <row r="187">
      <c r="B187" s="35"/>
      <c r="G187" s="30"/>
      <c r="H187" s="30"/>
      <c r="L187" s="30"/>
      <c r="M187" s="30"/>
      <c r="O187" s="32"/>
      <c r="P187" s="32"/>
    </row>
    <row r="188">
      <c r="B188" s="35"/>
      <c r="G188" s="30"/>
      <c r="H188" s="30"/>
      <c r="L188" s="30"/>
      <c r="M188" s="30"/>
      <c r="O188" s="32"/>
      <c r="P188" s="32"/>
    </row>
    <row r="189">
      <c r="B189" s="35"/>
      <c r="G189" s="30"/>
      <c r="H189" s="30"/>
      <c r="L189" s="30"/>
      <c r="M189" s="30"/>
      <c r="O189" s="32"/>
      <c r="P189" s="32"/>
    </row>
    <row r="190">
      <c r="B190" s="35"/>
      <c r="G190" s="30"/>
      <c r="H190" s="30"/>
      <c r="L190" s="30"/>
      <c r="M190" s="30"/>
      <c r="O190" s="32"/>
      <c r="P190" s="32"/>
    </row>
    <row r="191">
      <c r="B191" s="35"/>
      <c r="G191" s="30"/>
      <c r="H191" s="30"/>
      <c r="L191" s="30"/>
      <c r="M191" s="30"/>
      <c r="O191" s="32"/>
      <c r="P191" s="32"/>
    </row>
    <row r="192">
      <c r="B192" s="35"/>
      <c r="G192" s="30"/>
      <c r="H192" s="30"/>
      <c r="L192" s="30"/>
      <c r="M192" s="30"/>
      <c r="O192" s="32"/>
      <c r="P192" s="32"/>
    </row>
    <row r="193">
      <c r="B193" s="35"/>
      <c r="G193" s="30"/>
      <c r="H193" s="30"/>
      <c r="L193" s="30"/>
      <c r="M193" s="30"/>
      <c r="O193" s="32"/>
      <c r="P193" s="32"/>
    </row>
    <row r="194">
      <c r="B194" s="35"/>
      <c r="G194" s="30"/>
      <c r="H194" s="30"/>
      <c r="L194" s="30"/>
      <c r="M194" s="30"/>
      <c r="O194" s="32"/>
      <c r="P194" s="32"/>
    </row>
    <row r="195">
      <c r="B195" s="35"/>
      <c r="G195" s="30"/>
      <c r="H195" s="30"/>
      <c r="L195" s="30"/>
      <c r="M195" s="30"/>
      <c r="O195" s="32"/>
      <c r="P195" s="32"/>
    </row>
    <row r="196">
      <c r="B196" s="35"/>
      <c r="G196" s="30"/>
      <c r="H196" s="30"/>
      <c r="L196" s="30"/>
      <c r="M196" s="30"/>
      <c r="O196" s="32"/>
      <c r="P196" s="32"/>
    </row>
    <row r="197">
      <c r="B197" s="35"/>
      <c r="G197" s="30"/>
      <c r="H197" s="30"/>
      <c r="L197" s="30"/>
      <c r="M197" s="30"/>
      <c r="O197" s="32"/>
      <c r="P197" s="32"/>
    </row>
    <row r="198">
      <c r="B198" s="35"/>
      <c r="G198" s="30"/>
      <c r="H198" s="30"/>
      <c r="L198" s="30"/>
      <c r="M198" s="30"/>
      <c r="O198" s="32"/>
      <c r="P198" s="32"/>
    </row>
    <row r="199">
      <c r="B199" s="35"/>
      <c r="G199" s="30"/>
      <c r="H199" s="30"/>
      <c r="L199" s="30"/>
      <c r="M199" s="30"/>
      <c r="O199" s="32"/>
      <c r="P199" s="32"/>
    </row>
    <row r="200">
      <c r="B200" s="35"/>
      <c r="G200" s="30"/>
      <c r="H200" s="30"/>
      <c r="L200" s="30"/>
      <c r="M200" s="30"/>
      <c r="O200" s="32"/>
      <c r="P200" s="32"/>
    </row>
    <row r="201">
      <c r="B201" s="35"/>
      <c r="G201" s="30"/>
      <c r="H201" s="30"/>
      <c r="L201" s="30"/>
      <c r="M201" s="30"/>
      <c r="O201" s="32"/>
      <c r="P201" s="32"/>
    </row>
    <row r="202">
      <c r="B202" s="35"/>
      <c r="G202" s="30"/>
      <c r="H202" s="30"/>
      <c r="L202" s="30"/>
      <c r="M202" s="30"/>
      <c r="O202" s="32"/>
      <c r="P202" s="32"/>
    </row>
    <row r="203">
      <c r="B203" s="35"/>
      <c r="G203" s="30"/>
      <c r="H203" s="30"/>
      <c r="L203" s="30"/>
      <c r="M203" s="30"/>
      <c r="O203" s="32"/>
      <c r="P203" s="32"/>
    </row>
    <row r="204">
      <c r="B204" s="35"/>
      <c r="G204" s="30"/>
      <c r="H204" s="30"/>
      <c r="L204" s="30"/>
      <c r="M204" s="30"/>
      <c r="O204" s="32"/>
      <c r="P204" s="32"/>
    </row>
    <row r="205">
      <c r="B205" s="35"/>
      <c r="G205" s="30"/>
      <c r="H205" s="30"/>
      <c r="L205" s="30"/>
      <c r="M205" s="30"/>
      <c r="O205" s="32"/>
      <c r="P205" s="32"/>
    </row>
    <row r="206">
      <c r="B206" s="35"/>
      <c r="G206" s="30"/>
      <c r="H206" s="30"/>
      <c r="L206" s="30"/>
      <c r="M206" s="30"/>
      <c r="O206" s="32"/>
      <c r="P206" s="32"/>
    </row>
    <row r="207">
      <c r="B207" s="35"/>
      <c r="G207" s="30"/>
      <c r="H207" s="30"/>
      <c r="L207" s="30"/>
      <c r="M207" s="30"/>
      <c r="O207" s="32"/>
      <c r="P207" s="32"/>
    </row>
    <row r="208">
      <c r="B208" s="35"/>
      <c r="G208" s="30"/>
      <c r="H208" s="30"/>
      <c r="L208" s="30"/>
      <c r="M208" s="30"/>
      <c r="O208" s="32"/>
      <c r="P208" s="32"/>
    </row>
    <row r="209">
      <c r="B209" s="35"/>
      <c r="G209" s="30"/>
      <c r="H209" s="30"/>
      <c r="L209" s="30"/>
      <c r="M209" s="30"/>
      <c r="O209" s="32"/>
      <c r="P209" s="32"/>
    </row>
    <row r="210">
      <c r="B210" s="35"/>
      <c r="G210" s="30"/>
      <c r="H210" s="30"/>
      <c r="L210" s="30"/>
      <c r="M210" s="30"/>
      <c r="O210" s="32"/>
      <c r="P210" s="32"/>
    </row>
    <row r="211">
      <c r="B211" s="35"/>
      <c r="G211" s="30"/>
      <c r="H211" s="30"/>
      <c r="L211" s="30"/>
      <c r="M211" s="30"/>
      <c r="O211" s="32"/>
      <c r="P211" s="32"/>
    </row>
    <row r="212">
      <c r="B212" s="35"/>
      <c r="G212" s="30"/>
      <c r="H212" s="30"/>
      <c r="L212" s="30"/>
      <c r="M212" s="30"/>
      <c r="O212" s="32"/>
      <c r="P212" s="32"/>
    </row>
    <row r="213">
      <c r="B213" s="35"/>
      <c r="G213" s="30"/>
      <c r="H213" s="30"/>
      <c r="L213" s="30"/>
      <c r="M213" s="30"/>
      <c r="O213" s="32"/>
      <c r="P213" s="32"/>
    </row>
    <row r="214">
      <c r="B214" s="35"/>
      <c r="G214" s="30"/>
      <c r="H214" s="30"/>
      <c r="L214" s="30"/>
      <c r="M214" s="30"/>
      <c r="O214" s="32"/>
      <c r="P214" s="32"/>
    </row>
    <row r="215">
      <c r="B215" s="35"/>
      <c r="G215" s="30"/>
      <c r="H215" s="30"/>
      <c r="L215" s="30"/>
      <c r="M215" s="30"/>
      <c r="O215" s="32"/>
      <c r="P215" s="32"/>
    </row>
    <row r="216">
      <c r="B216" s="35"/>
      <c r="G216" s="30"/>
      <c r="H216" s="30"/>
      <c r="L216" s="30"/>
      <c r="M216" s="30"/>
      <c r="O216" s="32"/>
      <c r="P216" s="32"/>
    </row>
    <row r="217">
      <c r="B217" s="35"/>
      <c r="G217" s="30"/>
      <c r="H217" s="30"/>
      <c r="L217" s="30"/>
      <c r="M217" s="30"/>
      <c r="O217" s="32"/>
      <c r="P217" s="32"/>
    </row>
    <row r="218">
      <c r="B218" s="35"/>
      <c r="G218" s="30"/>
      <c r="H218" s="30"/>
      <c r="L218" s="30"/>
      <c r="M218" s="30"/>
      <c r="O218" s="32"/>
      <c r="P218" s="32"/>
    </row>
    <row r="219">
      <c r="B219" s="35"/>
      <c r="G219" s="30"/>
      <c r="H219" s="30"/>
      <c r="L219" s="30"/>
      <c r="M219" s="30"/>
      <c r="O219" s="32"/>
      <c r="P219" s="32"/>
    </row>
    <row r="220">
      <c r="B220" s="35"/>
      <c r="G220" s="30"/>
      <c r="H220" s="30"/>
      <c r="L220" s="30"/>
      <c r="M220" s="30"/>
      <c r="O220" s="32"/>
      <c r="P220" s="32"/>
    </row>
    <row r="221">
      <c r="B221" s="35"/>
      <c r="G221" s="30"/>
      <c r="H221" s="30"/>
      <c r="L221" s="30"/>
      <c r="M221" s="30"/>
      <c r="O221" s="32"/>
      <c r="P221" s="32"/>
    </row>
    <row r="222">
      <c r="B222" s="35"/>
      <c r="G222" s="30"/>
      <c r="H222" s="30"/>
      <c r="L222" s="30"/>
      <c r="M222" s="30"/>
      <c r="O222" s="32"/>
      <c r="P222" s="32"/>
    </row>
    <row r="223">
      <c r="B223" s="35"/>
      <c r="G223" s="30"/>
      <c r="H223" s="30"/>
      <c r="L223" s="30"/>
      <c r="M223" s="30"/>
      <c r="O223" s="32"/>
      <c r="P223" s="32"/>
    </row>
    <row r="224">
      <c r="B224" s="35"/>
      <c r="G224" s="30"/>
      <c r="H224" s="30"/>
      <c r="L224" s="30"/>
      <c r="M224" s="30"/>
      <c r="O224" s="32"/>
      <c r="P224" s="32"/>
    </row>
    <row r="225">
      <c r="B225" s="35"/>
      <c r="G225" s="30"/>
      <c r="H225" s="30"/>
      <c r="L225" s="30"/>
      <c r="M225" s="30"/>
      <c r="O225" s="32"/>
      <c r="P225" s="32"/>
    </row>
    <row r="226">
      <c r="B226" s="35"/>
      <c r="G226" s="30"/>
      <c r="H226" s="30"/>
      <c r="L226" s="30"/>
      <c r="M226" s="30"/>
      <c r="O226" s="32"/>
      <c r="P226" s="32"/>
    </row>
    <row r="227">
      <c r="B227" s="35"/>
      <c r="G227" s="30"/>
      <c r="H227" s="30"/>
      <c r="L227" s="30"/>
      <c r="M227" s="30"/>
      <c r="O227" s="32"/>
      <c r="P227" s="32"/>
    </row>
    <row r="228">
      <c r="B228" s="35"/>
      <c r="G228" s="30"/>
      <c r="H228" s="30"/>
      <c r="L228" s="30"/>
      <c r="M228" s="30"/>
      <c r="O228" s="32"/>
      <c r="P228" s="32"/>
    </row>
    <row r="229">
      <c r="B229" s="35"/>
      <c r="G229" s="30"/>
      <c r="H229" s="30"/>
      <c r="L229" s="30"/>
      <c r="M229" s="30"/>
      <c r="O229" s="32"/>
      <c r="P229" s="32"/>
    </row>
    <row r="230">
      <c r="B230" s="35"/>
      <c r="G230" s="30"/>
      <c r="H230" s="30"/>
      <c r="L230" s="30"/>
      <c r="M230" s="30"/>
      <c r="O230" s="32"/>
      <c r="P230" s="32"/>
    </row>
    <row r="231">
      <c r="B231" s="35"/>
      <c r="G231" s="30"/>
      <c r="H231" s="30"/>
      <c r="L231" s="30"/>
      <c r="M231" s="30"/>
      <c r="O231" s="32"/>
      <c r="P231" s="32"/>
    </row>
    <row r="232">
      <c r="B232" s="35"/>
      <c r="G232" s="30"/>
      <c r="H232" s="30"/>
      <c r="L232" s="30"/>
      <c r="M232" s="30"/>
      <c r="O232" s="32"/>
      <c r="P232" s="32"/>
    </row>
    <row r="233">
      <c r="B233" s="35"/>
      <c r="G233" s="30"/>
      <c r="H233" s="30"/>
      <c r="L233" s="30"/>
      <c r="M233" s="30"/>
      <c r="O233" s="32"/>
      <c r="P233" s="32"/>
    </row>
    <row r="234">
      <c r="B234" s="35"/>
      <c r="G234" s="30"/>
      <c r="H234" s="30"/>
      <c r="L234" s="30"/>
      <c r="M234" s="30"/>
      <c r="O234" s="32"/>
      <c r="P234" s="32"/>
    </row>
    <row r="235">
      <c r="B235" s="35"/>
      <c r="G235" s="30"/>
      <c r="H235" s="30"/>
      <c r="L235" s="30"/>
      <c r="M235" s="30"/>
      <c r="O235" s="32"/>
      <c r="P235" s="32"/>
    </row>
    <row r="236">
      <c r="B236" s="35"/>
      <c r="G236" s="30"/>
      <c r="H236" s="30"/>
      <c r="L236" s="30"/>
      <c r="M236" s="30"/>
      <c r="O236" s="32"/>
      <c r="P236" s="32"/>
    </row>
    <row r="237">
      <c r="B237" s="35"/>
      <c r="G237" s="30"/>
      <c r="H237" s="30"/>
      <c r="L237" s="30"/>
      <c r="M237" s="30"/>
      <c r="O237" s="32"/>
      <c r="P237" s="32"/>
    </row>
    <row r="238">
      <c r="B238" s="35"/>
      <c r="G238" s="30"/>
      <c r="H238" s="30"/>
      <c r="L238" s="30"/>
      <c r="M238" s="30"/>
      <c r="O238" s="32"/>
      <c r="P238" s="32"/>
    </row>
    <row r="239">
      <c r="B239" s="35"/>
      <c r="G239" s="30"/>
      <c r="H239" s="30"/>
      <c r="L239" s="30"/>
      <c r="M239" s="30"/>
      <c r="O239" s="32"/>
      <c r="P239" s="32"/>
    </row>
    <row r="240">
      <c r="B240" s="35"/>
      <c r="G240" s="30"/>
      <c r="H240" s="30"/>
      <c r="L240" s="30"/>
      <c r="M240" s="30"/>
      <c r="O240" s="32"/>
      <c r="P240" s="32"/>
    </row>
    <row r="241">
      <c r="B241" s="35"/>
      <c r="G241" s="30"/>
      <c r="H241" s="30"/>
      <c r="L241" s="30"/>
      <c r="M241" s="30"/>
      <c r="O241" s="32"/>
      <c r="P241" s="32"/>
    </row>
    <row r="242">
      <c r="B242" s="35"/>
      <c r="G242" s="30"/>
      <c r="H242" s="30"/>
      <c r="L242" s="30"/>
      <c r="M242" s="30"/>
      <c r="O242" s="32"/>
      <c r="P242" s="32"/>
    </row>
    <row r="243">
      <c r="B243" s="35"/>
      <c r="G243" s="30"/>
      <c r="H243" s="30"/>
      <c r="L243" s="30"/>
      <c r="M243" s="30"/>
      <c r="O243" s="32"/>
      <c r="P243" s="32"/>
    </row>
    <row r="244">
      <c r="B244" s="35"/>
      <c r="G244" s="30"/>
      <c r="H244" s="30"/>
      <c r="L244" s="30"/>
      <c r="M244" s="30"/>
      <c r="O244" s="32"/>
      <c r="P244" s="32"/>
    </row>
    <row r="245">
      <c r="B245" s="35"/>
      <c r="G245" s="30"/>
      <c r="H245" s="30"/>
      <c r="L245" s="30"/>
      <c r="M245" s="30"/>
      <c r="O245" s="32"/>
      <c r="P245" s="32"/>
    </row>
    <row r="246">
      <c r="B246" s="35"/>
      <c r="G246" s="30"/>
      <c r="H246" s="30"/>
      <c r="L246" s="30"/>
      <c r="M246" s="30"/>
      <c r="O246" s="32"/>
      <c r="P246" s="32"/>
    </row>
    <row r="247">
      <c r="B247" s="35"/>
      <c r="G247" s="30"/>
      <c r="H247" s="30"/>
      <c r="L247" s="30"/>
      <c r="M247" s="30"/>
      <c r="O247" s="32"/>
      <c r="P247" s="32"/>
    </row>
    <row r="248">
      <c r="B248" s="35"/>
      <c r="G248" s="30"/>
      <c r="H248" s="30"/>
      <c r="L248" s="30"/>
      <c r="M248" s="30"/>
      <c r="O248" s="32"/>
      <c r="P248" s="32"/>
    </row>
    <row r="249">
      <c r="B249" s="35"/>
      <c r="G249" s="30"/>
      <c r="H249" s="30"/>
      <c r="L249" s="30"/>
      <c r="M249" s="30"/>
      <c r="O249" s="32"/>
      <c r="P249" s="32"/>
    </row>
    <row r="250">
      <c r="B250" s="35"/>
      <c r="G250" s="30"/>
      <c r="H250" s="30"/>
      <c r="L250" s="30"/>
      <c r="M250" s="30"/>
      <c r="O250" s="32"/>
      <c r="P250" s="32"/>
    </row>
    <row r="251">
      <c r="B251" s="35"/>
      <c r="G251" s="30"/>
      <c r="H251" s="30"/>
      <c r="L251" s="30"/>
      <c r="M251" s="30"/>
      <c r="O251" s="32"/>
      <c r="P251" s="32"/>
    </row>
    <row r="252">
      <c r="B252" s="35"/>
      <c r="G252" s="30"/>
      <c r="H252" s="30"/>
      <c r="L252" s="30"/>
      <c r="M252" s="30"/>
      <c r="O252" s="32"/>
      <c r="P252" s="32"/>
    </row>
    <row r="253">
      <c r="B253" s="35"/>
      <c r="G253" s="30"/>
      <c r="H253" s="30"/>
      <c r="L253" s="30"/>
      <c r="M253" s="30"/>
      <c r="O253" s="32"/>
      <c r="P253" s="32"/>
    </row>
    <row r="254">
      <c r="B254" s="35"/>
      <c r="G254" s="30"/>
      <c r="H254" s="30"/>
      <c r="L254" s="30"/>
      <c r="M254" s="30"/>
      <c r="O254" s="32"/>
      <c r="P254" s="32"/>
    </row>
    <row r="255">
      <c r="B255" s="35"/>
      <c r="G255" s="30"/>
      <c r="H255" s="30"/>
      <c r="L255" s="30"/>
      <c r="M255" s="30"/>
      <c r="O255" s="32"/>
      <c r="P255" s="32"/>
    </row>
    <row r="256">
      <c r="B256" s="35"/>
      <c r="G256" s="30"/>
      <c r="H256" s="30"/>
      <c r="L256" s="30"/>
      <c r="M256" s="30"/>
      <c r="O256" s="32"/>
      <c r="P256" s="32"/>
    </row>
    <row r="257">
      <c r="B257" s="35"/>
      <c r="G257" s="30"/>
      <c r="H257" s="30"/>
      <c r="L257" s="30"/>
      <c r="M257" s="30"/>
      <c r="O257" s="32"/>
      <c r="P257" s="32"/>
    </row>
    <row r="258">
      <c r="B258" s="35"/>
      <c r="G258" s="30"/>
      <c r="H258" s="30"/>
      <c r="L258" s="30"/>
      <c r="M258" s="30"/>
      <c r="O258" s="32"/>
      <c r="P258" s="32"/>
    </row>
    <row r="259">
      <c r="B259" s="35"/>
      <c r="G259" s="30"/>
      <c r="H259" s="30"/>
      <c r="L259" s="30"/>
      <c r="M259" s="30"/>
      <c r="O259" s="32"/>
      <c r="P259" s="32"/>
    </row>
    <row r="260">
      <c r="B260" s="35"/>
      <c r="G260" s="30"/>
      <c r="H260" s="30"/>
      <c r="L260" s="30"/>
      <c r="M260" s="30"/>
      <c r="O260" s="32"/>
      <c r="P260" s="32"/>
    </row>
    <row r="261">
      <c r="B261" s="35"/>
      <c r="G261" s="30"/>
      <c r="H261" s="30"/>
      <c r="L261" s="30"/>
      <c r="M261" s="30"/>
      <c r="O261" s="32"/>
      <c r="P261" s="32"/>
    </row>
    <row r="262">
      <c r="B262" s="35"/>
      <c r="G262" s="30"/>
      <c r="H262" s="30"/>
      <c r="L262" s="30"/>
      <c r="M262" s="30"/>
      <c r="O262" s="32"/>
      <c r="P262" s="32"/>
    </row>
    <row r="263">
      <c r="B263" s="35"/>
      <c r="G263" s="30"/>
      <c r="H263" s="30"/>
      <c r="L263" s="30"/>
      <c r="M263" s="30"/>
      <c r="O263" s="32"/>
      <c r="P263" s="32"/>
    </row>
    <row r="264">
      <c r="B264" s="35"/>
      <c r="G264" s="30"/>
      <c r="H264" s="30"/>
      <c r="L264" s="30"/>
      <c r="M264" s="30"/>
      <c r="O264" s="32"/>
      <c r="P264" s="32"/>
    </row>
    <row r="265">
      <c r="B265" s="35"/>
      <c r="G265" s="30"/>
      <c r="H265" s="30"/>
      <c r="L265" s="30"/>
      <c r="M265" s="30"/>
      <c r="O265" s="32"/>
      <c r="P265" s="32"/>
    </row>
    <row r="266">
      <c r="B266" s="35"/>
      <c r="G266" s="30"/>
      <c r="H266" s="30"/>
      <c r="L266" s="30"/>
      <c r="M266" s="30"/>
      <c r="O266" s="32"/>
      <c r="P266" s="32"/>
    </row>
    <row r="267">
      <c r="B267" s="35"/>
      <c r="G267" s="30"/>
      <c r="H267" s="30"/>
      <c r="L267" s="30"/>
      <c r="M267" s="30"/>
      <c r="O267" s="32"/>
      <c r="P267" s="32"/>
    </row>
    <row r="268">
      <c r="B268" s="35"/>
      <c r="G268" s="30"/>
      <c r="H268" s="30"/>
      <c r="L268" s="30"/>
      <c r="M268" s="30"/>
      <c r="O268" s="32"/>
      <c r="P268" s="32"/>
    </row>
    <row r="269">
      <c r="B269" s="35"/>
      <c r="G269" s="30"/>
      <c r="H269" s="30"/>
      <c r="L269" s="30"/>
      <c r="M269" s="30"/>
      <c r="O269" s="32"/>
      <c r="P269" s="32"/>
    </row>
    <row r="270">
      <c r="B270" s="35"/>
      <c r="G270" s="30"/>
      <c r="H270" s="30"/>
      <c r="L270" s="30"/>
      <c r="M270" s="30"/>
      <c r="O270" s="32"/>
      <c r="P270" s="32"/>
    </row>
    <row r="271">
      <c r="B271" s="35"/>
      <c r="G271" s="30"/>
      <c r="H271" s="30"/>
      <c r="L271" s="30"/>
      <c r="M271" s="30"/>
      <c r="O271" s="32"/>
      <c r="P271" s="32"/>
    </row>
    <row r="272">
      <c r="B272" s="35"/>
      <c r="G272" s="30"/>
      <c r="H272" s="30"/>
      <c r="L272" s="30"/>
      <c r="M272" s="30"/>
      <c r="O272" s="32"/>
      <c r="P272" s="32"/>
    </row>
    <row r="273">
      <c r="B273" s="35"/>
      <c r="G273" s="30"/>
      <c r="H273" s="30"/>
      <c r="L273" s="30"/>
      <c r="M273" s="30"/>
      <c r="O273" s="32"/>
      <c r="P273" s="32"/>
    </row>
    <row r="274">
      <c r="B274" s="35"/>
      <c r="G274" s="30"/>
      <c r="H274" s="30"/>
      <c r="L274" s="30"/>
      <c r="M274" s="30"/>
      <c r="O274" s="32"/>
      <c r="P274" s="32"/>
    </row>
    <row r="275">
      <c r="B275" s="35"/>
      <c r="G275" s="30"/>
      <c r="H275" s="30"/>
      <c r="L275" s="30"/>
      <c r="M275" s="30"/>
      <c r="O275" s="32"/>
      <c r="P275" s="32"/>
    </row>
    <row r="276">
      <c r="B276" s="35"/>
      <c r="G276" s="30"/>
      <c r="H276" s="30"/>
      <c r="L276" s="30"/>
      <c r="M276" s="30"/>
      <c r="O276" s="32"/>
      <c r="P276" s="32"/>
    </row>
    <row r="277">
      <c r="B277" s="35"/>
      <c r="G277" s="30"/>
      <c r="H277" s="30"/>
      <c r="L277" s="30"/>
      <c r="M277" s="30"/>
      <c r="O277" s="32"/>
      <c r="P277" s="32"/>
    </row>
    <row r="278">
      <c r="B278" s="35"/>
      <c r="G278" s="30"/>
      <c r="H278" s="30"/>
      <c r="L278" s="30"/>
      <c r="M278" s="30"/>
      <c r="O278" s="32"/>
      <c r="P278" s="32"/>
    </row>
    <row r="279">
      <c r="B279" s="35"/>
      <c r="G279" s="30"/>
      <c r="H279" s="30"/>
      <c r="L279" s="30"/>
      <c r="M279" s="30"/>
      <c r="O279" s="32"/>
      <c r="P279" s="32"/>
    </row>
    <row r="280">
      <c r="B280" s="35"/>
      <c r="G280" s="30"/>
      <c r="H280" s="30"/>
      <c r="L280" s="30"/>
      <c r="M280" s="30"/>
      <c r="O280" s="32"/>
      <c r="P280" s="32"/>
    </row>
    <row r="281">
      <c r="B281" s="35"/>
      <c r="G281" s="30"/>
      <c r="H281" s="30"/>
      <c r="L281" s="30"/>
      <c r="M281" s="30"/>
      <c r="O281" s="32"/>
      <c r="P281" s="32"/>
    </row>
    <row r="282">
      <c r="B282" s="35"/>
      <c r="G282" s="30"/>
      <c r="H282" s="30"/>
      <c r="L282" s="30"/>
      <c r="M282" s="30"/>
      <c r="O282" s="32"/>
      <c r="P282" s="32"/>
    </row>
    <row r="283">
      <c r="B283" s="35"/>
      <c r="G283" s="30"/>
      <c r="H283" s="30"/>
      <c r="L283" s="30"/>
      <c r="M283" s="30"/>
      <c r="O283" s="32"/>
      <c r="P283" s="32"/>
    </row>
    <row r="284">
      <c r="B284" s="35"/>
      <c r="G284" s="30"/>
      <c r="H284" s="30"/>
      <c r="L284" s="30"/>
      <c r="M284" s="30"/>
      <c r="O284" s="32"/>
      <c r="P284" s="32"/>
    </row>
    <row r="285">
      <c r="B285" s="35"/>
      <c r="G285" s="30"/>
      <c r="H285" s="30"/>
      <c r="L285" s="30"/>
      <c r="M285" s="30"/>
      <c r="O285" s="32"/>
      <c r="P285" s="32"/>
    </row>
    <row r="286">
      <c r="B286" s="35"/>
      <c r="G286" s="30"/>
      <c r="H286" s="30"/>
      <c r="L286" s="30"/>
      <c r="M286" s="30"/>
      <c r="O286" s="32"/>
      <c r="P286" s="32"/>
    </row>
    <row r="287">
      <c r="B287" s="35"/>
      <c r="G287" s="30"/>
      <c r="H287" s="30"/>
      <c r="L287" s="30"/>
      <c r="M287" s="30"/>
      <c r="O287" s="32"/>
      <c r="P287" s="32"/>
    </row>
    <row r="288">
      <c r="B288" s="35"/>
      <c r="G288" s="30"/>
      <c r="H288" s="30"/>
      <c r="L288" s="30"/>
      <c r="M288" s="30"/>
      <c r="O288" s="32"/>
      <c r="P288" s="32"/>
    </row>
    <row r="289">
      <c r="B289" s="35"/>
      <c r="G289" s="30"/>
      <c r="H289" s="30"/>
      <c r="L289" s="30"/>
      <c r="M289" s="30"/>
      <c r="O289" s="32"/>
      <c r="P289" s="32"/>
    </row>
    <row r="290">
      <c r="B290" s="35"/>
      <c r="G290" s="30"/>
      <c r="H290" s="30"/>
      <c r="L290" s="30"/>
      <c r="M290" s="30"/>
      <c r="O290" s="32"/>
      <c r="P290" s="32"/>
    </row>
    <row r="291">
      <c r="B291" s="35"/>
      <c r="G291" s="30"/>
      <c r="H291" s="30"/>
      <c r="L291" s="30"/>
      <c r="M291" s="30"/>
      <c r="O291" s="32"/>
      <c r="P291" s="32"/>
    </row>
    <row r="292">
      <c r="B292" s="35"/>
      <c r="G292" s="30"/>
      <c r="H292" s="30"/>
      <c r="L292" s="30"/>
      <c r="M292" s="30"/>
      <c r="O292" s="32"/>
      <c r="P292" s="32"/>
    </row>
    <row r="293">
      <c r="B293" s="35"/>
      <c r="G293" s="30"/>
      <c r="H293" s="30"/>
      <c r="L293" s="30"/>
      <c r="M293" s="30"/>
      <c r="O293" s="32"/>
      <c r="P293" s="32"/>
    </row>
    <row r="294">
      <c r="B294" s="35"/>
      <c r="G294" s="30"/>
      <c r="H294" s="30"/>
      <c r="L294" s="30"/>
      <c r="M294" s="30"/>
      <c r="O294" s="32"/>
      <c r="P294" s="32"/>
    </row>
    <row r="295">
      <c r="B295" s="35"/>
      <c r="G295" s="30"/>
      <c r="H295" s="30"/>
      <c r="L295" s="30"/>
      <c r="M295" s="30"/>
      <c r="O295" s="32"/>
      <c r="P295" s="32"/>
    </row>
    <row r="296">
      <c r="B296" s="35"/>
      <c r="G296" s="30"/>
      <c r="H296" s="30"/>
      <c r="L296" s="30"/>
      <c r="M296" s="30"/>
      <c r="O296" s="32"/>
      <c r="P296" s="32"/>
    </row>
    <row r="297">
      <c r="B297" s="35"/>
      <c r="G297" s="30"/>
      <c r="H297" s="30"/>
      <c r="L297" s="30"/>
      <c r="M297" s="30"/>
      <c r="O297" s="32"/>
      <c r="P297" s="32"/>
    </row>
    <row r="298">
      <c r="B298" s="35"/>
      <c r="G298" s="30"/>
      <c r="H298" s="30"/>
      <c r="L298" s="30"/>
      <c r="M298" s="30"/>
      <c r="O298" s="32"/>
      <c r="P298" s="32"/>
    </row>
    <row r="299">
      <c r="B299" s="35"/>
      <c r="G299" s="30"/>
      <c r="H299" s="30"/>
      <c r="L299" s="30"/>
      <c r="M299" s="30"/>
      <c r="O299" s="32"/>
      <c r="P299" s="32"/>
    </row>
    <row r="300">
      <c r="B300" s="35"/>
      <c r="G300" s="30"/>
      <c r="H300" s="30"/>
      <c r="L300" s="30"/>
      <c r="M300" s="30"/>
      <c r="O300" s="32"/>
      <c r="P300" s="32"/>
    </row>
    <row r="301">
      <c r="B301" s="35"/>
      <c r="G301" s="30"/>
      <c r="H301" s="30"/>
      <c r="L301" s="30"/>
      <c r="M301" s="30"/>
      <c r="O301" s="32"/>
      <c r="P301" s="32"/>
    </row>
    <row r="302">
      <c r="B302" s="35"/>
      <c r="G302" s="30"/>
      <c r="H302" s="30"/>
      <c r="L302" s="30"/>
      <c r="M302" s="30"/>
      <c r="O302" s="32"/>
      <c r="P302" s="32"/>
    </row>
    <row r="303">
      <c r="B303" s="35"/>
      <c r="G303" s="30"/>
      <c r="H303" s="30"/>
      <c r="L303" s="30"/>
      <c r="M303" s="30"/>
      <c r="O303" s="32"/>
      <c r="P303" s="32"/>
    </row>
    <row r="304">
      <c r="B304" s="35"/>
      <c r="G304" s="30"/>
      <c r="H304" s="30"/>
      <c r="L304" s="30"/>
      <c r="M304" s="30"/>
      <c r="O304" s="32"/>
      <c r="P304" s="32"/>
    </row>
    <row r="305">
      <c r="B305" s="35"/>
      <c r="G305" s="30"/>
      <c r="H305" s="30"/>
      <c r="L305" s="30"/>
      <c r="M305" s="30"/>
      <c r="O305" s="32"/>
      <c r="P305" s="32"/>
    </row>
    <row r="306">
      <c r="B306" s="35"/>
      <c r="G306" s="30"/>
      <c r="H306" s="30"/>
      <c r="L306" s="30"/>
      <c r="M306" s="30"/>
      <c r="O306" s="32"/>
      <c r="P306" s="32"/>
    </row>
    <row r="307">
      <c r="B307" s="35"/>
      <c r="G307" s="30"/>
      <c r="H307" s="30"/>
      <c r="L307" s="30"/>
      <c r="M307" s="30"/>
      <c r="O307" s="32"/>
      <c r="P307" s="32"/>
    </row>
    <row r="308">
      <c r="B308" s="35"/>
      <c r="G308" s="30"/>
      <c r="H308" s="30"/>
      <c r="L308" s="30"/>
      <c r="M308" s="30"/>
      <c r="O308" s="32"/>
      <c r="P308" s="32"/>
    </row>
    <row r="309">
      <c r="B309" s="35"/>
      <c r="G309" s="30"/>
      <c r="H309" s="30"/>
      <c r="L309" s="30"/>
      <c r="M309" s="30"/>
      <c r="O309" s="32"/>
      <c r="P309" s="32"/>
    </row>
    <row r="310">
      <c r="B310" s="35"/>
      <c r="G310" s="30"/>
      <c r="H310" s="30"/>
      <c r="L310" s="30"/>
      <c r="M310" s="30"/>
      <c r="O310" s="32"/>
      <c r="P310" s="32"/>
    </row>
    <row r="311">
      <c r="B311" s="35"/>
      <c r="G311" s="30"/>
      <c r="H311" s="30"/>
      <c r="L311" s="30"/>
      <c r="M311" s="30"/>
      <c r="O311" s="32"/>
      <c r="P311" s="32"/>
    </row>
    <row r="312">
      <c r="B312" s="35"/>
      <c r="G312" s="30"/>
      <c r="H312" s="30"/>
      <c r="L312" s="30"/>
      <c r="M312" s="30"/>
      <c r="O312" s="32"/>
      <c r="P312" s="32"/>
    </row>
    <row r="313">
      <c r="B313" s="35"/>
      <c r="G313" s="30"/>
      <c r="H313" s="30"/>
      <c r="L313" s="30"/>
      <c r="M313" s="30"/>
      <c r="O313" s="32"/>
      <c r="P313" s="32"/>
    </row>
    <row r="314">
      <c r="B314" s="35"/>
      <c r="G314" s="30"/>
      <c r="H314" s="30"/>
      <c r="L314" s="30"/>
      <c r="M314" s="30"/>
      <c r="O314" s="32"/>
      <c r="P314" s="32"/>
    </row>
    <row r="315">
      <c r="B315" s="35"/>
      <c r="G315" s="30"/>
      <c r="H315" s="30"/>
      <c r="L315" s="30"/>
      <c r="M315" s="30"/>
      <c r="O315" s="32"/>
      <c r="P315" s="32"/>
    </row>
    <row r="316">
      <c r="B316" s="35"/>
      <c r="G316" s="30"/>
      <c r="H316" s="30"/>
      <c r="L316" s="30"/>
      <c r="M316" s="30"/>
      <c r="O316" s="32"/>
      <c r="P316" s="32"/>
    </row>
    <row r="317">
      <c r="B317" s="35"/>
      <c r="G317" s="30"/>
      <c r="H317" s="30"/>
      <c r="L317" s="30"/>
      <c r="M317" s="30"/>
      <c r="O317" s="32"/>
      <c r="P317" s="32"/>
    </row>
    <row r="318">
      <c r="B318" s="35"/>
      <c r="G318" s="30"/>
      <c r="H318" s="30"/>
      <c r="L318" s="30"/>
      <c r="M318" s="30"/>
      <c r="O318" s="32"/>
      <c r="P318" s="32"/>
    </row>
    <row r="319">
      <c r="B319" s="35"/>
      <c r="G319" s="30"/>
      <c r="H319" s="30"/>
      <c r="L319" s="30"/>
      <c r="M319" s="30"/>
      <c r="O319" s="32"/>
      <c r="P319" s="32"/>
    </row>
    <row r="320">
      <c r="B320" s="35"/>
      <c r="G320" s="30"/>
      <c r="H320" s="30"/>
      <c r="L320" s="30"/>
      <c r="M320" s="30"/>
      <c r="O320" s="32"/>
      <c r="P320" s="32"/>
    </row>
    <row r="321">
      <c r="B321" s="35"/>
      <c r="G321" s="30"/>
      <c r="H321" s="30"/>
      <c r="L321" s="30"/>
      <c r="M321" s="30"/>
      <c r="O321" s="32"/>
      <c r="P321" s="32"/>
    </row>
    <row r="322">
      <c r="B322" s="35"/>
      <c r="G322" s="30"/>
      <c r="H322" s="30"/>
      <c r="L322" s="30"/>
      <c r="M322" s="30"/>
      <c r="O322" s="32"/>
      <c r="P322" s="32"/>
    </row>
    <row r="323">
      <c r="B323" s="35"/>
      <c r="G323" s="30"/>
      <c r="H323" s="30"/>
      <c r="L323" s="30"/>
      <c r="M323" s="30"/>
      <c r="O323" s="32"/>
      <c r="P323" s="32"/>
    </row>
    <row r="324">
      <c r="B324" s="35"/>
      <c r="G324" s="30"/>
      <c r="H324" s="30"/>
      <c r="L324" s="30"/>
      <c r="M324" s="30"/>
      <c r="O324" s="32"/>
      <c r="P324" s="32"/>
    </row>
    <row r="325">
      <c r="B325" s="35"/>
      <c r="G325" s="30"/>
      <c r="H325" s="30"/>
      <c r="L325" s="30"/>
      <c r="M325" s="30"/>
      <c r="O325" s="32"/>
      <c r="P325" s="32"/>
    </row>
    <row r="326">
      <c r="B326" s="35"/>
      <c r="G326" s="30"/>
      <c r="H326" s="30"/>
      <c r="L326" s="30"/>
      <c r="M326" s="30"/>
      <c r="O326" s="32"/>
      <c r="P326" s="32"/>
    </row>
    <row r="327">
      <c r="B327" s="35"/>
      <c r="G327" s="30"/>
      <c r="H327" s="30"/>
      <c r="L327" s="30"/>
      <c r="M327" s="30"/>
      <c r="O327" s="32"/>
      <c r="P327" s="32"/>
    </row>
    <row r="328">
      <c r="B328" s="35"/>
      <c r="G328" s="30"/>
      <c r="H328" s="30"/>
      <c r="L328" s="30"/>
      <c r="M328" s="30"/>
      <c r="O328" s="32"/>
      <c r="P328" s="32"/>
    </row>
    <row r="329">
      <c r="B329" s="35"/>
      <c r="G329" s="30"/>
      <c r="H329" s="30"/>
      <c r="L329" s="30"/>
      <c r="M329" s="30"/>
      <c r="O329" s="32"/>
      <c r="P329" s="32"/>
    </row>
    <row r="330">
      <c r="B330" s="35"/>
      <c r="G330" s="30"/>
      <c r="H330" s="30"/>
      <c r="L330" s="30"/>
      <c r="M330" s="30"/>
      <c r="O330" s="32"/>
      <c r="P330" s="32"/>
    </row>
    <row r="331">
      <c r="B331" s="35"/>
      <c r="G331" s="30"/>
      <c r="H331" s="30"/>
      <c r="L331" s="30"/>
      <c r="M331" s="30"/>
      <c r="O331" s="32"/>
      <c r="P331" s="32"/>
    </row>
    <row r="332">
      <c r="B332" s="35"/>
      <c r="G332" s="30"/>
      <c r="H332" s="30"/>
      <c r="L332" s="30"/>
      <c r="M332" s="30"/>
      <c r="O332" s="32"/>
      <c r="P332" s="32"/>
    </row>
    <row r="333">
      <c r="B333" s="35"/>
      <c r="G333" s="30"/>
      <c r="H333" s="30"/>
      <c r="L333" s="30"/>
      <c r="M333" s="30"/>
      <c r="O333" s="32"/>
      <c r="P333" s="32"/>
    </row>
    <row r="334">
      <c r="B334" s="35"/>
      <c r="G334" s="30"/>
      <c r="H334" s="30"/>
      <c r="L334" s="30"/>
      <c r="M334" s="30"/>
      <c r="O334" s="32"/>
      <c r="P334" s="32"/>
    </row>
    <row r="335">
      <c r="B335" s="35"/>
      <c r="G335" s="30"/>
      <c r="H335" s="30"/>
      <c r="L335" s="30"/>
      <c r="M335" s="30"/>
      <c r="O335" s="32"/>
      <c r="P335" s="32"/>
    </row>
    <row r="336">
      <c r="B336" s="35"/>
      <c r="G336" s="30"/>
      <c r="H336" s="30"/>
      <c r="L336" s="30"/>
      <c r="M336" s="30"/>
      <c r="O336" s="32"/>
      <c r="P336" s="32"/>
    </row>
    <row r="337">
      <c r="B337" s="35"/>
      <c r="G337" s="30"/>
      <c r="H337" s="30"/>
      <c r="L337" s="30"/>
      <c r="M337" s="30"/>
      <c r="O337" s="32"/>
      <c r="P337" s="32"/>
    </row>
    <row r="338">
      <c r="B338" s="35"/>
      <c r="G338" s="30"/>
      <c r="H338" s="30"/>
      <c r="L338" s="30"/>
      <c r="M338" s="30"/>
      <c r="O338" s="32"/>
      <c r="P338" s="32"/>
    </row>
    <row r="339">
      <c r="B339" s="35"/>
      <c r="G339" s="30"/>
      <c r="H339" s="30"/>
      <c r="L339" s="30"/>
      <c r="M339" s="30"/>
      <c r="O339" s="32"/>
      <c r="P339" s="32"/>
    </row>
    <row r="340">
      <c r="B340" s="35"/>
      <c r="G340" s="30"/>
      <c r="H340" s="30"/>
      <c r="L340" s="30"/>
      <c r="M340" s="30"/>
      <c r="O340" s="32"/>
      <c r="P340" s="32"/>
    </row>
    <row r="341">
      <c r="B341" s="35"/>
      <c r="G341" s="30"/>
      <c r="H341" s="30"/>
      <c r="L341" s="30"/>
      <c r="M341" s="30"/>
      <c r="O341" s="32"/>
      <c r="P341" s="32"/>
    </row>
    <row r="342">
      <c r="B342" s="35"/>
      <c r="G342" s="30"/>
      <c r="H342" s="30"/>
      <c r="L342" s="30"/>
      <c r="M342" s="30"/>
      <c r="O342" s="32"/>
      <c r="P342" s="32"/>
    </row>
    <row r="343">
      <c r="B343" s="35"/>
      <c r="G343" s="30"/>
      <c r="H343" s="30"/>
      <c r="L343" s="30"/>
      <c r="M343" s="30"/>
      <c r="O343" s="32"/>
      <c r="P343" s="32"/>
    </row>
    <row r="344">
      <c r="B344" s="35"/>
      <c r="G344" s="30"/>
      <c r="H344" s="30"/>
      <c r="L344" s="30"/>
      <c r="M344" s="30"/>
      <c r="O344" s="32"/>
      <c r="P344" s="32"/>
    </row>
    <row r="345">
      <c r="B345" s="35"/>
      <c r="G345" s="30"/>
      <c r="H345" s="30"/>
      <c r="L345" s="30"/>
      <c r="M345" s="30"/>
      <c r="O345" s="32"/>
      <c r="P345" s="32"/>
    </row>
    <row r="346">
      <c r="B346" s="35"/>
      <c r="G346" s="30"/>
      <c r="H346" s="30"/>
      <c r="L346" s="30"/>
      <c r="M346" s="30"/>
      <c r="O346" s="32"/>
      <c r="P346" s="32"/>
    </row>
    <row r="347">
      <c r="B347" s="35"/>
      <c r="G347" s="30"/>
      <c r="H347" s="30"/>
      <c r="L347" s="30"/>
      <c r="M347" s="30"/>
      <c r="O347" s="32"/>
      <c r="P347" s="32"/>
    </row>
    <row r="348">
      <c r="B348" s="35"/>
      <c r="G348" s="30"/>
      <c r="H348" s="30"/>
      <c r="L348" s="30"/>
      <c r="M348" s="30"/>
      <c r="O348" s="32"/>
      <c r="P348" s="32"/>
    </row>
    <row r="349">
      <c r="B349" s="35"/>
      <c r="G349" s="30"/>
      <c r="H349" s="30"/>
      <c r="L349" s="30"/>
      <c r="M349" s="30"/>
      <c r="O349" s="32"/>
      <c r="P349" s="32"/>
    </row>
    <row r="350">
      <c r="B350" s="35"/>
      <c r="G350" s="30"/>
      <c r="H350" s="30"/>
      <c r="L350" s="30"/>
      <c r="M350" s="30"/>
      <c r="O350" s="32"/>
      <c r="P350" s="32"/>
    </row>
    <row r="351">
      <c r="B351" s="35"/>
      <c r="G351" s="30"/>
      <c r="H351" s="30"/>
      <c r="L351" s="30"/>
      <c r="M351" s="30"/>
      <c r="O351" s="32"/>
      <c r="P351" s="32"/>
    </row>
    <row r="352">
      <c r="B352" s="35"/>
      <c r="G352" s="30"/>
      <c r="H352" s="30"/>
      <c r="L352" s="30"/>
      <c r="M352" s="30"/>
      <c r="O352" s="32"/>
      <c r="P352" s="32"/>
    </row>
    <row r="353">
      <c r="B353" s="35"/>
      <c r="G353" s="30"/>
      <c r="H353" s="30"/>
      <c r="L353" s="30"/>
      <c r="M353" s="30"/>
      <c r="O353" s="32"/>
      <c r="P353" s="32"/>
    </row>
    <row r="354">
      <c r="B354" s="35"/>
      <c r="G354" s="30"/>
      <c r="H354" s="30"/>
      <c r="L354" s="30"/>
      <c r="M354" s="30"/>
      <c r="O354" s="32"/>
      <c r="P354" s="32"/>
    </row>
    <row r="355">
      <c r="B355" s="35"/>
      <c r="G355" s="30"/>
      <c r="H355" s="30"/>
      <c r="L355" s="30"/>
      <c r="M355" s="30"/>
      <c r="O355" s="32"/>
      <c r="P355" s="32"/>
    </row>
    <row r="356">
      <c r="B356" s="35"/>
      <c r="G356" s="30"/>
      <c r="H356" s="30"/>
      <c r="L356" s="30"/>
      <c r="M356" s="30"/>
      <c r="O356" s="32"/>
      <c r="P356" s="32"/>
    </row>
    <row r="357">
      <c r="B357" s="35"/>
      <c r="G357" s="30"/>
      <c r="H357" s="30"/>
      <c r="L357" s="30"/>
      <c r="M357" s="30"/>
      <c r="O357" s="32"/>
      <c r="P357" s="32"/>
    </row>
    <row r="358">
      <c r="B358" s="35"/>
      <c r="G358" s="30"/>
      <c r="H358" s="30"/>
      <c r="L358" s="30"/>
      <c r="M358" s="30"/>
      <c r="O358" s="32"/>
      <c r="P358" s="32"/>
    </row>
    <row r="359">
      <c r="B359" s="35"/>
      <c r="G359" s="30"/>
      <c r="H359" s="30"/>
      <c r="L359" s="30"/>
      <c r="M359" s="30"/>
      <c r="O359" s="32"/>
      <c r="P359" s="32"/>
    </row>
    <row r="360">
      <c r="B360" s="35"/>
      <c r="G360" s="30"/>
      <c r="H360" s="30"/>
      <c r="L360" s="30"/>
      <c r="M360" s="30"/>
      <c r="O360" s="32"/>
      <c r="P360" s="32"/>
    </row>
    <row r="361">
      <c r="B361" s="35"/>
      <c r="G361" s="30"/>
      <c r="H361" s="30"/>
      <c r="L361" s="30"/>
      <c r="M361" s="30"/>
      <c r="O361" s="32"/>
      <c r="P361" s="32"/>
    </row>
    <row r="362">
      <c r="B362" s="35"/>
      <c r="G362" s="30"/>
      <c r="H362" s="30"/>
      <c r="L362" s="30"/>
      <c r="M362" s="30"/>
      <c r="O362" s="32"/>
      <c r="P362" s="32"/>
    </row>
    <row r="363">
      <c r="B363" s="35"/>
      <c r="G363" s="30"/>
      <c r="H363" s="30"/>
      <c r="L363" s="30"/>
      <c r="M363" s="30"/>
      <c r="O363" s="32"/>
      <c r="P363" s="32"/>
    </row>
    <row r="364">
      <c r="B364" s="35"/>
      <c r="G364" s="30"/>
      <c r="H364" s="30"/>
      <c r="L364" s="30"/>
      <c r="M364" s="30"/>
      <c r="O364" s="32"/>
      <c r="P364" s="32"/>
    </row>
    <row r="365">
      <c r="B365" s="35"/>
      <c r="G365" s="30"/>
      <c r="H365" s="30"/>
      <c r="L365" s="30"/>
      <c r="M365" s="30"/>
      <c r="O365" s="32"/>
      <c r="P365" s="32"/>
    </row>
    <row r="366">
      <c r="B366" s="35"/>
      <c r="G366" s="30"/>
      <c r="H366" s="30"/>
      <c r="L366" s="30"/>
      <c r="M366" s="30"/>
      <c r="O366" s="32"/>
      <c r="P366" s="32"/>
    </row>
    <row r="367">
      <c r="B367" s="35"/>
      <c r="G367" s="30"/>
      <c r="H367" s="30"/>
      <c r="L367" s="30"/>
      <c r="M367" s="30"/>
      <c r="O367" s="32"/>
      <c r="P367" s="32"/>
    </row>
    <row r="368">
      <c r="B368" s="35"/>
      <c r="G368" s="30"/>
      <c r="H368" s="30"/>
      <c r="L368" s="30"/>
      <c r="M368" s="30"/>
      <c r="O368" s="32"/>
      <c r="P368" s="32"/>
    </row>
    <row r="369">
      <c r="B369" s="35"/>
      <c r="G369" s="30"/>
      <c r="H369" s="30"/>
      <c r="L369" s="30"/>
      <c r="M369" s="30"/>
      <c r="O369" s="32"/>
      <c r="P369" s="32"/>
    </row>
    <row r="370">
      <c r="B370" s="35"/>
      <c r="G370" s="30"/>
      <c r="H370" s="30"/>
      <c r="L370" s="30"/>
      <c r="M370" s="30"/>
      <c r="O370" s="32"/>
      <c r="P370" s="32"/>
    </row>
    <row r="371">
      <c r="B371" s="35"/>
      <c r="G371" s="30"/>
      <c r="H371" s="30"/>
      <c r="L371" s="30"/>
      <c r="M371" s="30"/>
      <c r="O371" s="32"/>
      <c r="P371" s="32"/>
    </row>
    <row r="372">
      <c r="B372" s="35"/>
      <c r="G372" s="30"/>
      <c r="H372" s="30"/>
      <c r="L372" s="30"/>
      <c r="M372" s="30"/>
      <c r="O372" s="32"/>
      <c r="P372" s="32"/>
    </row>
    <row r="373">
      <c r="B373" s="35"/>
      <c r="G373" s="30"/>
      <c r="H373" s="30"/>
      <c r="L373" s="30"/>
      <c r="M373" s="30"/>
      <c r="O373" s="32"/>
      <c r="P373" s="32"/>
    </row>
    <row r="374">
      <c r="B374" s="35"/>
      <c r="G374" s="30"/>
      <c r="H374" s="30"/>
      <c r="L374" s="30"/>
      <c r="M374" s="30"/>
      <c r="O374" s="32"/>
      <c r="P374" s="32"/>
    </row>
    <row r="375">
      <c r="B375" s="35"/>
      <c r="G375" s="30"/>
      <c r="H375" s="30"/>
      <c r="L375" s="30"/>
      <c r="M375" s="30"/>
      <c r="O375" s="32"/>
      <c r="P375" s="32"/>
    </row>
    <row r="376">
      <c r="B376" s="35"/>
      <c r="G376" s="30"/>
      <c r="H376" s="30"/>
      <c r="L376" s="30"/>
      <c r="M376" s="30"/>
      <c r="O376" s="32"/>
      <c r="P376" s="32"/>
    </row>
    <row r="377">
      <c r="B377" s="35"/>
      <c r="G377" s="30"/>
      <c r="H377" s="30"/>
      <c r="L377" s="30"/>
      <c r="M377" s="30"/>
      <c r="O377" s="32"/>
      <c r="P377" s="32"/>
    </row>
    <row r="378">
      <c r="B378" s="35"/>
      <c r="G378" s="30"/>
      <c r="H378" s="30"/>
      <c r="L378" s="30"/>
      <c r="M378" s="30"/>
      <c r="O378" s="32"/>
      <c r="P378" s="32"/>
    </row>
    <row r="379">
      <c r="B379" s="35"/>
      <c r="G379" s="30"/>
      <c r="H379" s="30"/>
      <c r="L379" s="30"/>
      <c r="M379" s="30"/>
      <c r="O379" s="32"/>
      <c r="P379" s="32"/>
    </row>
    <row r="380">
      <c r="B380" s="35"/>
      <c r="G380" s="30"/>
      <c r="H380" s="30"/>
      <c r="L380" s="30"/>
      <c r="M380" s="30"/>
      <c r="O380" s="32"/>
      <c r="P380" s="32"/>
    </row>
    <row r="381">
      <c r="B381" s="35"/>
      <c r="G381" s="30"/>
      <c r="H381" s="30"/>
      <c r="L381" s="30"/>
      <c r="M381" s="30"/>
      <c r="O381" s="32"/>
      <c r="P381" s="32"/>
    </row>
    <row r="382">
      <c r="B382" s="35"/>
      <c r="G382" s="30"/>
      <c r="H382" s="30"/>
      <c r="L382" s="30"/>
      <c r="M382" s="30"/>
      <c r="O382" s="32"/>
      <c r="P382" s="32"/>
    </row>
    <row r="383">
      <c r="B383" s="35"/>
      <c r="G383" s="30"/>
      <c r="H383" s="30"/>
      <c r="L383" s="30"/>
      <c r="M383" s="30"/>
      <c r="O383" s="32"/>
      <c r="P383" s="32"/>
    </row>
    <row r="384">
      <c r="B384" s="35"/>
      <c r="G384" s="30"/>
      <c r="H384" s="30"/>
      <c r="L384" s="30"/>
      <c r="M384" s="30"/>
      <c r="O384" s="32"/>
      <c r="P384" s="32"/>
    </row>
    <row r="385">
      <c r="B385" s="35"/>
      <c r="G385" s="30"/>
      <c r="H385" s="30"/>
      <c r="L385" s="30"/>
      <c r="M385" s="30"/>
      <c r="O385" s="32"/>
      <c r="P385" s="32"/>
    </row>
    <row r="386">
      <c r="B386" s="35"/>
      <c r="G386" s="30"/>
      <c r="H386" s="30"/>
      <c r="L386" s="30"/>
      <c r="M386" s="30"/>
      <c r="O386" s="32"/>
      <c r="P386" s="32"/>
    </row>
    <row r="387">
      <c r="B387" s="35"/>
      <c r="G387" s="30"/>
      <c r="H387" s="30"/>
      <c r="L387" s="30"/>
      <c r="M387" s="30"/>
      <c r="O387" s="32"/>
      <c r="P387" s="32"/>
    </row>
    <row r="388">
      <c r="B388" s="35"/>
      <c r="G388" s="30"/>
      <c r="H388" s="30"/>
      <c r="L388" s="30"/>
      <c r="M388" s="30"/>
      <c r="O388" s="32"/>
      <c r="P388" s="32"/>
    </row>
    <row r="389">
      <c r="B389" s="35"/>
      <c r="G389" s="30"/>
      <c r="H389" s="30"/>
      <c r="L389" s="30"/>
      <c r="M389" s="30"/>
      <c r="O389" s="32"/>
      <c r="P389" s="32"/>
    </row>
    <row r="390">
      <c r="B390" s="35"/>
      <c r="G390" s="30"/>
      <c r="H390" s="30"/>
      <c r="L390" s="30"/>
      <c r="M390" s="30"/>
      <c r="O390" s="32"/>
      <c r="P390" s="32"/>
    </row>
    <row r="391">
      <c r="B391" s="35"/>
      <c r="G391" s="30"/>
      <c r="H391" s="30"/>
      <c r="L391" s="30"/>
      <c r="M391" s="30"/>
      <c r="O391" s="32"/>
      <c r="P391" s="32"/>
    </row>
    <row r="392">
      <c r="B392" s="35"/>
      <c r="G392" s="30"/>
      <c r="H392" s="30"/>
      <c r="L392" s="30"/>
      <c r="M392" s="30"/>
      <c r="O392" s="32"/>
      <c r="P392" s="32"/>
    </row>
    <row r="393">
      <c r="B393" s="35"/>
      <c r="G393" s="30"/>
      <c r="H393" s="30"/>
      <c r="L393" s="30"/>
      <c r="M393" s="30"/>
      <c r="O393" s="32"/>
      <c r="P393" s="32"/>
    </row>
    <row r="394">
      <c r="B394" s="35"/>
      <c r="G394" s="30"/>
      <c r="H394" s="30"/>
      <c r="L394" s="30"/>
      <c r="M394" s="30"/>
      <c r="O394" s="32"/>
      <c r="P394" s="32"/>
    </row>
    <row r="395">
      <c r="B395" s="35"/>
      <c r="G395" s="30"/>
      <c r="H395" s="30"/>
      <c r="L395" s="30"/>
      <c r="M395" s="30"/>
      <c r="O395" s="32"/>
      <c r="P395" s="32"/>
    </row>
    <row r="396">
      <c r="B396" s="35"/>
      <c r="G396" s="30"/>
      <c r="H396" s="30"/>
      <c r="L396" s="30"/>
      <c r="M396" s="30"/>
      <c r="O396" s="32"/>
      <c r="P396" s="32"/>
    </row>
    <row r="397">
      <c r="B397" s="35"/>
      <c r="G397" s="30"/>
      <c r="H397" s="30"/>
      <c r="L397" s="30"/>
      <c r="M397" s="30"/>
      <c r="O397" s="32"/>
      <c r="P397" s="32"/>
    </row>
    <row r="398">
      <c r="B398" s="35"/>
      <c r="G398" s="30"/>
      <c r="H398" s="30"/>
      <c r="L398" s="30"/>
      <c r="M398" s="30"/>
      <c r="O398" s="32"/>
      <c r="P398" s="32"/>
    </row>
    <row r="399">
      <c r="B399" s="35"/>
      <c r="G399" s="30"/>
      <c r="H399" s="30"/>
      <c r="L399" s="30"/>
      <c r="M399" s="30"/>
      <c r="O399" s="32"/>
      <c r="P399" s="32"/>
    </row>
    <row r="400">
      <c r="B400" s="35"/>
      <c r="G400" s="30"/>
      <c r="H400" s="30"/>
      <c r="L400" s="30"/>
      <c r="M400" s="30"/>
      <c r="O400" s="32"/>
      <c r="P400" s="32"/>
    </row>
    <row r="401">
      <c r="B401" s="35"/>
      <c r="G401" s="30"/>
      <c r="H401" s="30"/>
      <c r="L401" s="30"/>
      <c r="M401" s="30"/>
      <c r="O401" s="32"/>
      <c r="P401" s="32"/>
    </row>
    <row r="402">
      <c r="B402" s="35"/>
      <c r="G402" s="30"/>
      <c r="H402" s="30"/>
      <c r="L402" s="30"/>
      <c r="M402" s="30"/>
      <c r="O402" s="32"/>
      <c r="P402" s="32"/>
    </row>
    <row r="403">
      <c r="B403" s="35"/>
      <c r="G403" s="30"/>
      <c r="H403" s="30"/>
      <c r="L403" s="30"/>
      <c r="M403" s="30"/>
      <c r="O403" s="32"/>
      <c r="P403" s="32"/>
    </row>
    <row r="404">
      <c r="B404" s="35"/>
      <c r="G404" s="30"/>
      <c r="H404" s="30"/>
      <c r="L404" s="30"/>
      <c r="M404" s="30"/>
      <c r="O404" s="32"/>
      <c r="P404" s="32"/>
    </row>
    <row r="405">
      <c r="B405" s="35"/>
      <c r="G405" s="30"/>
      <c r="H405" s="30"/>
      <c r="L405" s="30"/>
      <c r="M405" s="30"/>
      <c r="O405" s="32"/>
      <c r="P405" s="32"/>
    </row>
    <row r="406">
      <c r="B406" s="35"/>
      <c r="G406" s="30"/>
      <c r="H406" s="30"/>
      <c r="L406" s="30"/>
      <c r="M406" s="30"/>
      <c r="O406" s="32"/>
      <c r="P406" s="32"/>
    </row>
    <row r="407">
      <c r="B407" s="35"/>
      <c r="G407" s="30"/>
      <c r="H407" s="30"/>
      <c r="L407" s="30"/>
      <c r="M407" s="30"/>
      <c r="O407" s="32"/>
      <c r="P407" s="32"/>
    </row>
    <row r="408">
      <c r="B408" s="35"/>
      <c r="G408" s="30"/>
      <c r="H408" s="30"/>
      <c r="L408" s="30"/>
      <c r="M408" s="30"/>
      <c r="O408" s="32"/>
      <c r="P408" s="32"/>
    </row>
    <row r="409">
      <c r="B409" s="35"/>
      <c r="G409" s="30"/>
      <c r="H409" s="30"/>
      <c r="L409" s="30"/>
      <c r="M409" s="30"/>
      <c r="O409" s="32"/>
      <c r="P409" s="32"/>
    </row>
    <row r="410">
      <c r="B410" s="35"/>
      <c r="G410" s="30"/>
      <c r="H410" s="30"/>
      <c r="L410" s="30"/>
      <c r="M410" s="30"/>
      <c r="O410" s="32"/>
      <c r="P410" s="32"/>
    </row>
    <row r="411">
      <c r="B411" s="35"/>
      <c r="G411" s="30"/>
      <c r="H411" s="30"/>
      <c r="L411" s="30"/>
      <c r="M411" s="30"/>
      <c r="O411" s="32"/>
      <c r="P411" s="32"/>
    </row>
    <row r="412">
      <c r="B412" s="35"/>
      <c r="G412" s="30"/>
      <c r="H412" s="30"/>
      <c r="L412" s="30"/>
      <c r="M412" s="30"/>
      <c r="O412" s="32"/>
      <c r="P412" s="32"/>
    </row>
    <row r="413">
      <c r="B413" s="35"/>
      <c r="G413" s="30"/>
      <c r="H413" s="30"/>
      <c r="L413" s="30"/>
      <c r="M413" s="30"/>
      <c r="O413" s="32"/>
      <c r="P413" s="32"/>
    </row>
    <row r="414">
      <c r="B414" s="35"/>
      <c r="G414" s="30"/>
      <c r="H414" s="30"/>
      <c r="L414" s="30"/>
      <c r="M414" s="30"/>
      <c r="O414" s="32"/>
      <c r="P414" s="32"/>
    </row>
    <row r="415">
      <c r="B415" s="35"/>
      <c r="G415" s="30"/>
      <c r="H415" s="30"/>
      <c r="L415" s="30"/>
      <c r="M415" s="30"/>
      <c r="O415" s="32"/>
      <c r="P415" s="32"/>
    </row>
    <row r="416">
      <c r="B416" s="35"/>
      <c r="G416" s="30"/>
      <c r="H416" s="30"/>
      <c r="L416" s="30"/>
      <c r="M416" s="30"/>
      <c r="O416" s="32"/>
      <c r="P416" s="32"/>
    </row>
    <row r="417">
      <c r="B417" s="35"/>
      <c r="G417" s="30"/>
      <c r="H417" s="30"/>
      <c r="L417" s="30"/>
      <c r="M417" s="30"/>
      <c r="O417" s="32"/>
      <c r="P417" s="32"/>
    </row>
    <row r="418">
      <c r="B418" s="35"/>
      <c r="G418" s="30"/>
      <c r="H418" s="30"/>
      <c r="L418" s="30"/>
      <c r="M418" s="30"/>
      <c r="O418" s="32"/>
      <c r="P418" s="32"/>
    </row>
    <row r="419">
      <c r="B419" s="35"/>
      <c r="G419" s="30"/>
      <c r="H419" s="30"/>
      <c r="L419" s="30"/>
      <c r="M419" s="30"/>
      <c r="O419" s="32"/>
      <c r="P419" s="32"/>
    </row>
    <row r="420">
      <c r="B420" s="35"/>
      <c r="G420" s="30"/>
      <c r="H420" s="30"/>
      <c r="L420" s="30"/>
      <c r="M420" s="30"/>
      <c r="O420" s="32"/>
      <c r="P420" s="32"/>
    </row>
    <row r="421">
      <c r="B421" s="35"/>
      <c r="G421" s="30"/>
      <c r="H421" s="30"/>
      <c r="L421" s="30"/>
      <c r="M421" s="30"/>
      <c r="O421" s="32"/>
      <c r="P421" s="32"/>
    </row>
    <row r="422">
      <c r="B422" s="35"/>
      <c r="G422" s="30"/>
      <c r="H422" s="30"/>
      <c r="L422" s="30"/>
      <c r="M422" s="30"/>
      <c r="O422" s="32"/>
      <c r="P422" s="32"/>
    </row>
    <row r="423">
      <c r="B423" s="35"/>
      <c r="G423" s="30"/>
      <c r="H423" s="30"/>
      <c r="L423" s="30"/>
      <c r="M423" s="30"/>
      <c r="O423" s="32"/>
      <c r="P423" s="32"/>
    </row>
    <row r="424">
      <c r="B424" s="35"/>
      <c r="G424" s="30"/>
      <c r="H424" s="30"/>
      <c r="L424" s="30"/>
      <c r="M424" s="30"/>
      <c r="O424" s="32"/>
      <c r="P424" s="32"/>
    </row>
    <row r="425">
      <c r="B425" s="35"/>
      <c r="G425" s="30"/>
      <c r="H425" s="30"/>
      <c r="L425" s="30"/>
      <c r="M425" s="30"/>
      <c r="O425" s="32"/>
      <c r="P425" s="32"/>
    </row>
    <row r="426">
      <c r="B426" s="35"/>
      <c r="G426" s="30"/>
      <c r="H426" s="30"/>
      <c r="L426" s="30"/>
      <c r="M426" s="30"/>
      <c r="O426" s="32"/>
      <c r="P426" s="32"/>
    </row>
    <row r="427">
      <c r="B427" s="35"/>
      <c r="G427" s="30"/>
      <c r="H427" s="30"/>
      <c r="L427" s="30"/>
      <c r="M427" s="30"/>
      <c r="O427" s="32"/>
      <c r="P427" s="32"/>
    </row>
    <row r="428">
      <c r="B428" s="35"/>
      <c r="G428" s="30"/>
      <c r="H428" s="30"/>
      <c r="L428" s="30"/>
      <c r="M428" s="30"/>
      <c r="O428" s="32"/>
      <c r="P428" s="32"/>
    </row>
    <row r="429">
      <c r="B429" s="35"/>
      <c r="G429" s="30"/>
      <c r="H429" s="30"/>
      <c r="L429" s="30"/>
      <c r="M429" s="30"/>
      <c r="O429" s="32"/>
      <c r="P429" s="32"/>
    </row>
    <row r="430">
      <c r="B430" s="35"/>
      <c r="G430" s="30"/>
      <c r="H430" s="30"/>
      <c r="L430" s="30"/>
      <c r="M430" s="30"/>
      <c r="O430" s="32"/>
      <c r="P430" s="32"/>
    </row>
    <row r="431">
      <c r="B431" s="35"/>
      <c r="G431" s="30"/>
      <c r="H431" s="30"/>
      <c r="L431" s="30"/>
      <c r="M431" s="30"/>
      <c r="O431" s="32"/>
      <c r="P431" s="32"/>
    </row>
    <row r="432">
      <c r="B432" s="35"/>
      <c r="G432" s="30"/>
      <c r="H432" s="30"/>
      <c r="L432" s="30"/>
      <c r="M432" s="30"/>
      <c r="O432" s="32"/>
      <c r="P432" s="32"/>
    </row>
    <row r="433">
      <c r="B433" s="35"/>
      <c r="G433" s="30"/>
      <c r="H433" s="30"/>
      <c r="L433" s="30"/>
      <c r="M433" s="30"/>
      <c r="O433" s="32"/>
      <c r="P433" s="32"/>
    </row>
    <row r="434">
      <c r="B434" s="35"/>
      <c r="G434" s="30"/>
      <c r="H434" s="30"/>
      <c r="L434" s="30"/>
      <c r="M434" s="30"/>
      <c r="O434" s="32"/>
      <c r="P434" s="32"/>
    </row>
    <row r="435">
      <c r="B435" s="35"/>
      <c r="G435" s="30"/>
      <c r="H435" s="30"/>
      <c r="L435" s="30"/>
      <c r="M435" s="30"/>
      <c r="O435" s="32"/>
      <c r="P435" s="32"/>
    </row>
    <row r="436">
      <c r="B436" s="35"/>
      <c r="G436" s="30"/>
      <c r="H436" s="30"/>
      <c r="L436" s="30"/>
      <c r="M436" s="30"/>
      <c r="O436" s="32"/>
      <c r="P436" s="32"/>
    </row>
    <row r="437">
      <c r="B437" s="35"/>
      <c r="G437" s="30"/>
      <c r="H437" s="30"/>
      <c r="L437" s="30"/>
      <c r="M437" s="30"/>
      <c r="O437" s="32"/>
      <c r="P437" s="32"/>
    </row>
    <row r="438">
      <c r="B438" s="35"/>
      <c r="G438" s="30"/>
      <c r="H438" s="30"/>
      <c r="L438" s="30"/>
      <c r="M438" s="30"/>
      <c r="O438" s="32"/>
      <c r="P438" s="32"/>
    </row>
    <row r="439">
      <c r="B439" s="35"/>
      <c r="G439" s="30"/>
      <c r="H439" s="30"/>
      <c r="L439" s="30"/>
      <c r="M439" s="30"/>
      <c r="O439" s="32"/>
      <c r="P439" s="32"/>
    </row>
    <row r="440">
      <c r="B440" s="35"/>
      <c r="G440" s="30"/>
      <c r="H440" s="30"/>
      <c r="L440" s="30"/>
      <c r="M440" s="30"/>
      <c r="O440" s="32"/>
      <c r="P440" s="32"/>
    </row>
    <row r="441">
      <c r="B441" s="35"/>
      <c r="G441" s="30"/>
      <c r="H441" s="30"/>
      <c r="L441" s="30"/>
      <c r="M441" s="30"/>
      <c r="O441" s="32"/>
      <c r="P441" s="32"/>
    </row>
    <row r="442">
      <c r="B442" s="35"/>
      <c r="G442" s="30"/>
      <c r="H442" s="30"/>
      <c r="L442" s="30"/>
      <c r="M442" s="30"/>
      <c r="O442" s="32"/>
      <c r="P442" s="32"/>
    </row>
    <row r="443">
      <c r="B443" s="35"/>
      <c r="G443" s="30"/>
      <c r="H443" s="30"/>
      <c r="L443" s="30"/>
      <c r="M443" s="30"/>
      <c r="O443" s="32"/>
      <c r="P443" s="32"/>
    </row>
    <row r="444">
      <c r="B444" s="35"/>
      <c r="G444" s="30"/>
      <c r="H444" s="30"/>
      <c r="L444" s="30"/>
      <c r="M444" s="30"/>
      <c r="O444" s="32"/>
      <c r="P444" s="32"/>
    </row>
    <row r="445">
      <c r="B445" s="35"/>
      <c r="G445" s="30"/>
      <c r="H445" s="30"/>
      <c r="L445" s="30"/>
      <c r="M445" s="30"/>
      <c r="O445" s="32"/>
      <c r="P445" s="32"/>
    </row>
    <row r="446">
      <c r="B446" s="35"/>
      <c r="G446" s="30"/>
      <c r="H446" s="30"/>
      <c r="L446" s="30"/>
      <c r="M446" s="30"/>
      <c r="O446" s="32"/>
      <c r="P446" s="32"/>
    </row>
    <row r="447">
      <c r="B447" s="35"/>
      <c r="G447" s="30"/>
      <c r="H447" s="30"/>
      <c r="L447" s="30"/>
      <c r="M447" s="30"/>
      <c r="O447" s="32"/>
      <c r="P447" s="32"/>
    </row>
    <row r="448">
      <c r="B448" s="35"/>
      <c r="G448" s="30"/>
      <c r="H448" s="30"/>
      <c r="L448" s="30"/>
      <c r="M448" s="30"/>
      <c r="O448" s="32"/>
      <c r="P448" s="32"/>
    </row>
    <row r="449">
      <c r="B449" s="35"/>
      <c r="G449" s="30"/>
      <c r="H449" s="30"/>
      <c r="L449" s="30"/>
      <c r="M449" s="30"/>
      <c r="O449" s="32"/>
      <c r="P449" s="32"/>
    </row>
    <row r="450">
      <c r="B450" s="35"/>
      <c r="G450" s="30"/>
      <c r="H450" s="30"/>
      <c r="L450" s="30"/>
      <c r="M450" s="30"/>
      <c r="O450" s="32"/>
      <c r="P450" s="32"/>
    </row>
    <row r="451">
      <c r="B451" s="35"/>
      <c r="G451" s="30"/>
      <c r="H451" s="30"/>
      <c r="L451" s="30"/>
      <c r="M451" s="30"/>
      <c r="O451" s="32"/>
      <c r="P451" s="32"/>
    </row>
    <row r="452">
      <c r="B452" s="35"/>
      <c r="G452" s="30"/>
      <c r="H452" s="30"/>
      <c r="L452" s="30"/>
      <c r="M452" s="30"/>
      <c r="O452" s="32"/>
      <c r="P452" s="32"/>
    </row>
    <row r="453">
      <c r="B453" s="35"/>
      <c r="G453" s="30"/>
      <c r="H453" s="30"/>
      <c r="L453" s="30"/>
      <c r="M453" s="30"/>
      <c r="O453" s="32"/>
      <c r="P453" s="32"/>
    </row>
    <row r="454">
      <c r="B454" s="35"/>
      <c r="G454" s="30"/>
      <c r="H454" s="30"/>
      <c r="L454" s="30"/>
      <c r="M454" s="30"/>
      <c r="O454" s="32"/>
      <c r="P454" s="32"/>
    </row>
    <row r="455">
      <c r="B455" s="35"/>
      <c r="G455" s="30"/>
      <c r="H455" s="30"/>
      <c r="L455" s="30"/>
      <c r="M455" s="30"/>
      <c r="O455" s="32"/>
      <c r="P455" s="32"/>
    </row>
    <row r="456">
      <c r="B456" s="35"/>
      <c r="G456" s="30"/>
      <c r="H456" s="30"/>
      <c r="L456" s="30"/>
      <c r="M456" s="30"/>
      <c r="O456" s="32"/>
      <c r="P456" s="32"/>
    </row>
    <row r="457">
      <c r="B457" s="35"/>
      <c r="G457" s="30"/>
      <c r="H457" s="30"/>
      <c r="L457" s="30"/>
      <c r="M457" s="30"/>
      <c r="O457" s="32"/>
      <c r="P457" s="32"/>
    </row>
    <row r="458">
      <c r="B458" s="35"/>
      <c r="G458" s="30"/>
      <c r="H458" s="30"/>
      <c r="L458" s="30"/>
      <c r="M458" s="30"/>
      <c r="O458" s="32"/>
      <c r="P458" s="32"/>
    </row>
    <row r="459">
      <c r="B459" s="35"/>
      <c r="G459" s="30"/>
      <c r="H459" s="30"/>
      <c r="L459" s="30"/>
      <c r="M459" s="30"/>
      <c r="O459" s="32"/>
      <c r="P459" s="32"/>
    </row>
    <row r="460">
      <c r="B460" s="35"/>
      <c r="G460" s="30"/>
      <c r="H460" s="30"/>
      <c r="L460" s="30"/>
      <c r="M460" s="30"/>
      <c r="O460" s="32"/>
      <c r="P460" s="32"/>
    </row>
    <row r="461">
      <c r="B461" s="35"/>
      <c r="G461" s="30"/>
      <c r="H461" s="30"/>
      <c r="L461" s="30"/>
      <c r="M461" s="30"/>
      <c r="O461" s="32"/>
      <c r="P461" s="32"/>
    </row>
    <row r="462">
      <c r="B462" s="35"/>
      <c r="G462" s="30"/>
      <c r="H462" s="30"/>
      <c r="L462" s="30"/>
      <c r="M462" s="30"/>
      <c r="O462" s="32"/>
      <c r="P462" s="32"/>
    </row>
    <row r="463">
      <c r="B463" s="35"/>
      <c r="G463" s="30"/>
      <c r="H463" s="30"/>
      <c r="L463" s="30"/>
      <c r="M463" s="30"/>
      <c r="O463" s="32"/>
      <c r="P463" s="32"/>
    </row>
    <row r="464">
      <c r="B464" s="35"/>
      <c r="G464" s="30"/>
      <c r="H464" s="30"/>
      <c r="L464" s="30"/>
      <c r="M464" s="30"/>
      <c r="O464" s="32"/>
      <c r="P464" s="32"/>
    </row>
    <row r="465">
      <c r="B465" s="35"/>
      <c r="G465" s="30"/>
      <c r="H465" s="30"/>
      <c r="L465" s="30"/>
      <c r="M465" s="30"/>
      <c r="O465" s="32"/>
      <c r="P465" s="32"/>
    </row>
    <row r="466">
      <c r="B466" s="35"/>
      <c r="G466" s="30"/>
      <c r="H466" s="30"/>
      <c r="L466" s="30"/>
      <c r="M466" s="30"/>
      <c r="O466" s="32"/>
      <c r="P466" s="32"/>
    </row>
    <row r="467">
      <c r="B467" s="35"/>
      <c r="G467" s="30"/>
      <c r="H467" s="30"/>
      <c r="L467" s="30"/>
      <c r="M467" s="30"/>
      <c r="O467" s="32"/>
      <c r="P467" s="32"/>
    </row>
    <row r="468">
      <c r="B468" s="35"/>
      <c r="G468" s="30"/>
      <c r="H468" s="30"/>
      <c r="L468" s="30"/>
      <c r="M468" s="30"/>
      <c r="O468" s="32"/>
      <c r="P468" s="32"/>
    </row>
    <row r="469">
      <c r="B469" s="35"/>
      <c r="G469" s="30"/>
      <c r="H469" s="30"/>
      <c r="L469" s="30"/>
      <c r="M469" s="30"/>
      <c r="O469" s="32"/>
      <c r="P469" s="32"/>
    </row>
    <row r="470">
      <c r="B470" s="35"/>
      <c r="G470" s="30"/>
      <c r="H470" s="30"/>
      <c r="L470" s="30"/>
      <c r="M470" s="30"/>
      <c r="O470" s="32"/>
      <c r="P470" s="32"/>
    </row>
    <row r="471">
      <c r="B471" s="35"/>
      <c r="G471" s="30"/>
      <c r="H471" s="30"/>
      <c r="L471" s="30"/>
      <c r="M471" s="30"/>
      <c r="O471" s="32"/>
      <c r="P471" s="32"/>
    </row>
    <row r="472">
      <c r="B472" s="35"/>
      <c r="G472" s="30"/>
      <c r="H472" s="30"/>
      <c r="L472" s="30"/>
      <c r="M472" s="30"/>
      <c r="O472" s="32"/>
      <c r="P472" s="32"/>
    </row>
    <row r="473">
      <c r="B473" s="35"/>
      <c r="G473" s="30"/>
      <c r="H473" s="30"/>
      <c r="L473" s="30"/>
      <c r="M473" s="30"/>
      <c r="O473" s="32"/>
      <c r="P473" s="32"/>
    </row>
    <row r="474">
      <c r="B474" s="35"/>
      <c r="G474" s="30"/>
      <c r="H474" s="30"/>
      <c r="L474" s="30"/>
      <c r="M474" s="30"/>
      <c r="O474" s="32"/>
      <c r="P474" s="32"/>
    </row>
    <row r="475">
      <c r="B475" s="35"/>
      <c r="G475" s="30"/>
      <c r="H475" s="30"/>
      <c r="L475" s="30"/>
      <c r="M475" s="30"/>
      <c r="O475" s="32"/>
      <c r="P475" s="32"/>
    </row>
    <row r="476">
      <c r="B476" s="35"/>
      <c r="G476" s="30"/>
      <c r="H476" s="30"/>
      <c r="L476" s="30"/>
      <c r="M476" s="30"/>
      <c r="O476" s="32"/>
      <c r="P476" s="32"/>
    </row>
    <row r="477">
      <c r="B477" s="35"/>
      <c r="G477" s="30"/>
      <c r="H477" s="30"/>
      <c r="L477" s="30"/>
      <c r="M477" s="30"/>
      <c r="O477" s="32"/>
      <c r="P477" s="32"/>
    </row>
    <row r="478">
      <c r="B478" s="35"/>
      <c r="G478" s="30"/>
      <c r="H478" s="30"/>
      <c r="L478" s="30"/>
      <c r="M478" s="30"/>
      <c r="O478" s="32"/>
      <c r="P478" s="32"/>
    </row>
    <row r="479">
      <c r="B479" s="35"/>
      <c r="G479" s="30"/>
      <c r="H479" s="30"/>
      <c r="L479" s="30"/>
      <c r="M479" s="30"/>
      <c r="O479" s="32"/>
      <c r="P479" s="32"/>
    </row>
    <row r="480">
      <c r="B480" s="35"/>
      <c r="G480" s="30"/>
      <c r="H480" s="30"/>
      <c r="L480" s="30"/>
      <c r="M480" s="30"/>
      <c r="O480" s="32"/>
      <c r="P480" s="32"/>
    </row>
    <row r="481">
      <c r="B481" s="35"/>
      <c r="G481" s="30"/>
      <c r="H481" s="30"/>
      <c r="L481" s="30"/>
      <c r="M481" s="30"/>
      <c r="O481" s="32"/>
      <c r="P481" s="32"/>
    </row>
    <row r="482">
      <c r="B482" s="35"/>
      <c r="G482" s="30"/>
      <c r="H482" s="30"/>
      <c r="L482" s="30"/>
      <c r="M482" s="30"/>
      <c r="O482" s="32"/>
      <c r="P482" s="32"/>
    </row>
    <row r="483">
      <c r="B483" s="35"/>
      <c r="G483" s="30"/>
      <c r="H483" s="30"/>
      <c r="L483" s="30"/>
      <c r="M483" s="30"/>
      <c r="O483" s="32"/>
      <c r="P483" s="32"/>
    </row>
    <row r="484">
      <c r="B484" s="35"/>
      <c r="G484" s="30"/>
      <c r="H484" s="30"/>
      <c r="L484" s="30"/>
      <c r="M484" s="30"/>
      <c r="O484" s="32"/>
      <c r="P484" s="32"/>
    </row>
    <row r="485">
      <c r="B485" s="35"/>
      <c r="G485" s="30"/>
      <c r="H485" s="30"/>
      <c r="L485" s="30"/>
      <c r="M485" s="30"/>
      <c r="O485" s="32"/>
      <c r="P485" s="32"/>
    </row>
    <row r="486">
      <c r="B486" s="35"/>
      <c r="G486" s="30"/>
      <c r="H486" s="30"/>
      <c r="L486" s="30"/>
      <c r="M486" s="30"/>
      <c r="O486" s="32"/>
      <c r="P486" s="32"/>
    </row>
    <row r="487">
      <c r="B487" s="35"/>
      <c r="G487" s="30"/>
      <c r="H487" s="30"/>
      <c r="L487" s="30"/>
      <c r="M487" s="30"/>
      <c r="O487" s="32"/>
      <c r="P487" s="32"/>
    </row>
    <row r="488">
      <c r="B488" s="35"/>
      <c r="G488" s="30"/>
      <c r="H488" s="30"/>
      <c r="L488" s="30"/>
      <c r="M488" s="30"/>
      <c r="O488" s="32"/>
      <c r="P488" s="32"/>
    </row>
    <row r="489">
      <c r="B489" s="35"/>
      <c r="G489" s="30"/>
      <c r="H489" s="30"/>
      <c r="L489" s="30"/>
      <c r="M489" s="30"/>
      <c r="O489" s="32"/>
      <c r="P489" s="32"/>
    </row>
    <row r="490">
      <c r="B490" s="35"/>
      <c r="G490" s="30"/>
      <c r="H490" s="30"/>
      <c r="L490" s="30"/>
      <c r="M490" s="30"/>
      <c r="O490" s="32"/>
      <c r="P490" s="32"/>
    </row>
    <row r="491">
      <c r="B491" s="35"/>
      <c r="G491" s="30"/>
      <c r="H491" s="30"/>
      <c r="L491" s="30"/>
      <c r="M491" s="30"/>
      <c r="O491" s="32"/>
      <c r="P491" s="32"/>
    </row>
    <row r="492">
      <c r="B492" s="35"/>
      <c r="G492" s="30"/>
      <c r="H492" s="30"/>
      <c r="L492" s="30"/>
      <c r="M492" s="30"/>
      <c r="O492" s="32"/>
      <c r="P492" s="32"/>
    </row>
    <row r="493">
      <c r="B493" s="35"/>
      <c r="G493" s="30"/>
      <c r="H493" s="30"/>
      <c r="L493" s="30"/>
      <c r="M493" s="30"/>
      <c r="O493" s="32"/>
      <c r="P493" s="32"/>
    </row>
    <row r="494">
      <c r="B494" s="35"/>
      <c r="G494" s="30"/>
      <c r="H494" s="30"/>
      <c r="L494" s="30"/>
      <c r="M494" s="30"/>
      <c r="O494" s="32"/>
      <c r="P494" s="32"/>
    </row>
    <row r="495">
      <c r="B495" s="35"/>
      <c r="G495" s="30"/>
      <c r="H495" s="30"/>
      <c r="L495" s="30"/>
      <c r="M495" s="30"/>
      <c r="O495" s="32"/>
      <c r="P495" s="32"/>
    </row>
    <row r="496">
      <c r="B496" s="35"/>
      <c r="G496" s="30"/>
      <c r="H496" s="30"/>
      <c r="L496" s="30"/>
      <c r="M496" s="30"/>
      <c r="O496" s="32"/>
      <c r="P496" s="32"/>
    </row>
    <row r="497">
      <c r="B497" s="35"/>
      <c r="G497" s="30"/>
      <c r="H497" s="30"/>
      <c r="L497" s="30"/>
      <c r="M497" s="30"/>
      <c r="O497" s="32"/>
      <c r="P497" s="32"/>
    </row>
    <row r="498">
      <c r="B498" s="35"/>
      <c r="G498" s="30"/>
      <c r="H498" s="30"/>
      <c r="L498" s="30"/>
      <c r="M498" s="30"/>
      <c r="O498" s="32"/>
      <c r="P498" s="32"/>
    </row>
    <row r="499">
      <c r="B499" s="35"/>
      <c r="G499" s="30"/>
      <c r="H499" s="30"/>
      <c r="L499" s="30"/>
      <c r="M499" s="30"/>
      <c r="O499" s="32"/>
      <c r="P499" s="32"/>
    </row>
    <row r="500">
      <c r="B500" s="35"/>
      <c r="G500" s="30"/>
      <c r="H500" s="30"/>
      <c r="L500" s="30"/>
      <c r="M500" s="30"/>
      <c r="O500" s="32"/>
      <c r="P500" s="32"/>
    </row>
    <row r="501">
      <c r="B501" s="35"/>
      <c r="G501" s="30"/>
      <c r="H501" s="30"/>
      <c r="L501" s="30"/>
      <c r="M501" s="30"/>
      <c r="O501" s="32"/>
      <c r="P501" s="32"/>
    </row>
    <row r="502">
      <c r="B502" s="35"/>
      <c r="G502" s="30"/>
      <c r="H502" s="30"/>
      <c r="L502" s="30"/>
      <c r="M502" s="30"/>
      <c r="O502" s="32"/>
      <c r="P502" s="32"/>
    </row>
    <row r="503">
      <c r="B503" s="35"/>
      <c r="G503" s="30"/>
      <c r="H503" s="30"/>
      <c r="L503" s="30"/>
      <c r="M503" s="30"/>
      <c r="O503" s="32"/>
      <c r="P503" s="32"/>
    </row>
    <row r="504">
      <c r="B504" s="35"/>
      <c r="G504" s="30"/>
      <c r="H504" s="30"/>
      <c r="L504" s="30"/>
      <c r="M504" s="30"/>
      <c r="O504" s="32"/>
      <c r="P504" s="32"/>
    </row>
    <row r="505">
      <c r="B505" s="35"/>
      <c r="G505" s="30"/>
      <c r="H505" s="30"/>
      <c r="L505" s="30"/>
      <c r="M505" s="30"/>
      <c r="O505" s="32"/>
      <c r="P505" s="32"/>
    </row>
    <row r="506">
      <c r="B506" s="35"/>
      <c r="G506" s="30"/>
      <c r="H506" s="30"/>
      <c r="L506" s="30"/>
      <c r="M506" s="30"/>
      <c r="O506" s="32"/>
      <c r="P506" s="32"/>
    </row>
    <row r="507">
      <c r="B507" s="35"/>
      <c r="G507" s="30"/>
      <c r="H507" s="30"/>
      <c r="L507" s="30"/>
      <c r="M507" s="30"/>
      <c r="O507" s="32"/>
      <c r="P507" s="32"/>
    </row>
    <row r="508">
      <c r="B508" s="35"/>
      <c r="G508" s="30"/>
      <c r="H508" s="30"/>
      <c r="L508" s="30"/>
      <c r="M508" s="30"/>
      <c r="O508" s="32"/>
      <c r="P508" s="32"/>
    </row>
    <row r="509">
      <c r="B509" s="35"/>
      <c r="G509" s="30"/>
      <c r="H509" s="30"/>
      <c r="L509" s="30"/>
      <c r="M509" s="30"/>
      <c r="O509" s="32"/>
      <c r="P509" s="32"/>
    </row>
    <row r="510">
      <c r="B510" s="35"/>
      <c r="G510" s="30"/>
      <c r="H510" s="30"/>
      <c r="L510" s="30"/>
      <c r="M510" s="30"/>
      <c r="O510" s="32"/>
      <c r="P510" s="32"/>
    </row>
    <row r="511">
      <c r="B511" s="35"/>
      <c r="G511" s="30"/>
      <c r="H511" s="30"/>
      <c r="L511" s="30"/>
      <c r="M511" s="30"/>
      <c r="O511" s="32"/>
      <c r="P511" s="32"/>
    </row>
    <row r="512">
      <c r="B512" s="35"/>
      <c r="G512" s="30"/>
      <c r="H512" s="30"/>
      <c r="L512" s="30"/>
      <c r="M512" s="30"/>
      <c r="O512" s="32"/>
      <c r="P512" s="32"/>
    </row>
    <row r="513">
      <c r="B513" s="35"/>
      <c r="G513" s="30"/>
      <c r="H513" s="30"/>
      <c r="L513" s="30"/>
      <c r="M513" s="30"/>
      <c r="O513" s="32"/>
      <c r="P513" s="32"/>
    </row>
    <row r="514">
      <c r="B514" s="35"/>
      <c r="G514" s="30"/>
      <c r="H514" s="30"/>
      <c r="L514" s="30"/>
      <c r="M514" s="30"/>
      <c r="O514" s="32"/>
      <c r="P514" s="32"/>
    </row>
    <row r="515">
      <c r="B515" s="35"/>
      <c r="G515" s="30"/>
      <c r="H515" s="30"/>
      <c r="L515" s="30"/>
      <c r="M515" s="30"/>
      <c r="O515" s="32"/>
      <c r="P515" s="32"/>
    </row>
    <row r="516">
      <c r="B516" s="35"/>
      <c r="G516" s="30"/>
      <c r="H516" s="30"/>
      <c r="L516" s="30"/>
      <c r="M516" s="30"/>
      <c r="O516" s="32"/>
      <c r="P516" s="32"/>
    </row>
    <row r="517">
      <c r="B517" s="35"/>
      <c r="G517" s="30"/>
      <c r="H517" s="30"/>
      <c r="L517" s="30"/>
      <c r="M517" s="30"/>
      <c r="O517" s="32"/>
      <c r="P517" s="32"/>
    </row>
    <row r="518">
      <c r="B518" s="35"/>
      <c r="G518" s="30"/>
      <c r="H518" s="30"/>
      <c r="L518" s="30"/>
      <c r="M518" s="30"/>
      <c r="O518" s="32"/>
      <c r="P518" s="32"/>
    </row>
    <row r="519">
      <c r="B519" s="35"/>
      <c r="G519" s="30"/>
      <c r="H519" s="30"/>
      <c r="L519" s="30"/>
      <c r="M519" s="30"/>
      <c r="O519" s="32"/>
      <c r="P519" s="32"/>
    </row>
    <row r="520">
      <c r="B520" s="35"/>
      <c r="G520" s="30"/>
      <c r="H520" s="30"/>
      <c r="L520" s="30"/>
      <c r="M520" s="30"/>
      <c r="O520" s="32"/>
      <c r="P520" s="32"/>
    </row>
    <row r="521">
      <c r="B521" s="35"/>
      <c r="G521" s="30"/>
      <c r="H521" s="30"/>
      <c r="L521" s="30"/>
      <c r="M521" s="30"/>
      <c r="O521" s="32"/>
      <c r="P521" s="32"/>
    </row>
    <row r="522">
      <c r="B522" s="35"/>
      <c r="G522" s="30"/>
      <c r="H522" s="30"/>
      <c r="L522" s="30"/>
      <c r="M522" s="30"/>
      <c r="O522" s="32"/>
      <c r="P522" s="32"/>
    </row>
    <row r="523">
      <c r="B523" s="35"/>
      <c r="G523" s="30"/>
      <c r="H523" s="30"/>
      <c r="L523" s="30"/>
      <c r="M523" s="30"/>
      <c r="O523" s="32"/>
      <c r="P523" s="32"/>
    </row>
    <row r="524">
      <c r="B524" s="35"/>
      <c r="G524" s="30"/>
      <c r="H524" s="30"/>
      <c r="L524" s="30"/>
      <c r="M524" s="30"/>
      <c r="O524" s="32"/>
      <c r="P524" s="32"/>
    </row>
    <row r="525">
      <c r="B525" s="35"/>
      <c r="G525" s="30"/>
      <c r="H525" s="30"/>
      <c r="L525" s="30"/>
      <c r="M525" s="30"/>
      <c r="O525" s="32"/>
      <c r="P525" s="32"/>
    </row>
    <row r="526">
      <c r="B526" s="35"/>
      <c r="G526" s="30"/>
      <c r="H526" s="30"/>
      <c r="L526" s="30"/>
      <c r="M526" s="30"/>
      <c r="O526" s="32"/>
      <c r="P526" s="32"/>
    </row>
    <row r="527">
      <c r="B527" s="35"/>
      <c r="G527" s="30"/>
      <c r="H527" s="30"/>
      <c r="L527" s="30"/>
      <c r="M527" s="30"/>
      <c r="O527" s="32"/>
      <c r="P527" s="32"/>
    </row>
    <row r="528">
      <c r="B528" s="35"/>
      <c r="G528" s="30"/>
      <c r="H528" s="30"/>
      <c r="L528" s="30"/>
      <c r="M528" s="30"/>
      <c r="O528" s="32"/>
      <c r="P528" s="32"/>
    </row>
    <row r="529">
      <c r="B529" s="35"/>
      <c r="G529" s="30"/>
      <c r="H529" s="30"/>
      <c r="L529" s="30"/>
      <c r="M529" s="30"/>
      <c r="O529" s="32"/>
      <c r="P529" s="32"/>
    </row>
    <row r="530">
      <c r="B530" s="35"/>
      <c r="G530" s="30"/>
      <c r="H530" s="30"/>
      <c r="L530" s="30"/>
      <c r="M530" s="30"/>
      <c r="O530" s="32"/>
      <c r="P530" s="32"/>
    </row>
    <row r="531">
      <c r="B531" s="35"/>
      <c r="G531" s="30"/>
      <c r="H531" s="30"/>
      <c r="L531" s="30"/>
      <c r="M531" s="30"/>
      <c r="O531" s="32"/>
      <c r="P531" s="32"/>
    </row>
    <row r="532">
      <c r="B532" s="35"/>
      <c r="G532" s="30"/>
      <c r="H532" s="30"/>
      <c r="L532" s="30"/>
      <c r="M532" s="30"/>
      <c r="O532" s="32"/>
      <c r="P532" s="32"/>
    </row>
    <row r="533">
      <c r="B533" s="35"/>
      <c r="G533" s="30"/>
      <c r="H533" s="30"/>
      <c r="L533" s="30"/>
      <c r="M533" s="30"/>
      <c r="O533" s="32"/>
      <c r="P533" s="32"/>
    </row>
    <row r="534">
      <c r="B534" s="35"/>
      <c r="G534" s="30"/>
      <c r="H534" s="30"/>
      <c r="L534" s="30"/>
      <c r="M534" s="30"/>
      <c r="O534" s="32"/>
      <c r="P534" s="32"/>
    </row>
    <row r="535">
      <c r="B535" s="35"/>
      <c r="G535" s="30"/>
      <c r="H535" s="30"/>
      <c r="L535" s="30"/>
      <c r="M535" s="30"/>
      <c r="O535" s="32"/>
      <c r="P535" s="32"/>
    </row>
    <row r="536">
      <c r="B536" s="35"/>
      <c r="G536" s="30"/>
      <c r="H536" s="30"/>
      <c r="L536" s="30"/>
      <c r="M536" s="30"/>
      <c r="O536" s="32"/>
      <c r="P536" s="32"/>
    </row>
    <row r="537">
      <c r="B537" s="35"/>
      <c r="G537" s="30"/>
      <c r="H537" s="30"/>
      <c r="L537" s="30"/>
      <c r="M537" s="30"/>
      <c r="O537" s="32"/>
      <c r="P537" s="32"/>
    </row>
    <row r="538">
      <c r="B538" s="35"/>
      <c r="G538" s="30"/>
      <c r="H538" s="30"/>
      <c r="L538" s="30"/>
      <c r="M538" s="30"/>
      <c r="O538" s="32"/>
      <c r="P538" s="32"/>
    </row>
    <row r="539">
      <c r="B539" s="35"/>
      <c r="G539" s="30"/>
      <c r="H539" s="30"/>
      <c r="L539" s="30"/>
      <c r="M539" s="30"/>
      <c r="O539" s="32"/>
      <c r="P539" s="32"/>
    </row>
    <row r="540">
      <c r="B540" s="35"/>
      <c r="G540" s="30"/>
      <c r="H540" s="30"/>
      <c r="L540" s="30"/>
      <c r="M540" s="30"/>
      <c r="O540" s="32"/>
      <c r="P540" s="32"/>
    </row>
    <row r="541">
      <c r="B541" s="35"/>
      <c r="G541" s="30"/>
      <c r="H541" s="30"/>
      <c r="L541" s="30"/>
      <c r="M541" s="30"/>
      <c r="O541" s="32"/>
      <c r="P541" s="32"/>
    </row>
    <row r="542">
      <c r="B542" s="35"/>
      <c r="G542" s="30"/>
      <c r="H542" s="30"/>
      <c r="L542" s="30"/>
      <c r="M542" s="30"/>
      <c r="O542" s="32"/>
      <c r="P542" s="32"/>
    </row>
    <row r="543">
      <c r="B543" s="35"/>
      <c r="G543" s="30"/>
      <c r="H543" s="30"/>
      <c r="L543" s="30"/>
      <c r="M543" s="30"/>
      <c r="O543" s="32"/>
      <c r="P543" s="32"/>
    </row>
    <row r="544">
      <c r="B544" s="35"/>
      <c r="G544" s="30"/>
      <c r="H544" s="30"/>
      <c r="L544" s="30"/>
      <c r="M544" s="30"/>
      <c r="O544" s="32"/>
      <c r="P544" s="32"/>
    </row>
    <row r="545">
      <c r="B545" s="35"/>
      <c r="G545" s="30"/>
      <c r="H545" s="30"/>
      <c r="L545" s="30"/>
      <c r="M545" s="30"/>
      <c r="O545" s="32"/>
      <c r="P545" s="32"/>
    </row>
    <row r="546">
      <c r="B546" s="35"/>
      <c r="G546" s="30"/>
      <c r="H546" s="30"/>
      <c r="L546" s="30"/>
      <c r="M546" s="30"/>
      <c r="O546" s="32"/>
      <c r="P546" s="32"/>
    </row>
    <row r="547">
      <c r="B547" s="35"/>
      <c r="G547" s="30"/>
      <c r="H547" s="30"/>
      <c r="L547" s="30"/>
      <c r="M547" s="30"/>
      <c r="O547" s="32"/>
      <c r="P547" s="32"/>
    </row>
    <row r="548">
      <c r="B548" s="35"/>
      <c r="G548" s="30"/>
      <c r="H548" s="30"/>
      <c r="L548" s="30"/>
      <c r="M548" s="30"/>
      <c r="O548" s="32"/>
      <c r="P548" s="32"/>
    </row>
    <row r="549">
      <c r="B549" s="35"/>
      <c r="G549" s="30"/>
      <c r="H549" s="30"/>
      <c r="L549" s="30"/>
      <c r="M549" s="30"/>
      <c r="O549" s="32"/>
      <c r="P549" s="32"/>
    </row>
    <row r="550">
      <c r="B550" s="35"/>
      <c r="G550" s="30"/>
      <c r="H550" s="30"/>
      <c r="L550" s="30"/>
      <c r="M550" s="30"/>
      <c r="O550" s="32"/>
      <c r="P550" s="32"/>
    </row>
    <row r="551">
      <c r="B551" s="35"/>
      <c r="G551" s="30"/>
      <c r="H551" s="30"/>
      <c r="L551" s="30"/>
      <c r="M551" s="30"/>
      <c r="O551" s="32"/>
      <c r="P551" s="32"/>
    </row>
    <row r="552">
      <c r="B552" s="35"/>
      <c r="G552" s="30"/>
      <c r="H552" s="30"/>
      <c r="L552" s="30"/>
      <c r="M552" s="30"/>
      <c r="O552" s="32"/>
      <c r="P552" s="32"/>
    </row>
    <row r="553">
      <c r="B553" s="35"/>
      <c r="G553" s="30"/>
      <c r="H553" s="30"/>
      <c r="L553" s="30"/>
      <c r="M553" s="30"/>
      <c r="O553" s="32"/>
      <c r="P553" s="32"/>
    </row>
    <row r="554">
      <c r="B554" s="35"/>
      <c r="G554" s="30"/>
      <c r="H554" s="30"/>
      <c r="L554" s="30"/>
      <c r="M554" s="30"/>
      <c r="O554" s="32"/>
      <c r="P554" s="32"/>
    </row>
    <row r="555">
      <c r="B555" s="35"/>
      <c r="G555" s="30"/>
      <c r="H555" s="30"/>
      <c r="L555" s="30"/>
      <c r="M555" s="30"/>
      <c r="O555" s="32"/>
      <c r="P555" s="32"/>
    </row>
    <row r="556">
      <c r="B556" s="35"/>
      <c r="G556" s="30"/>
      <c r="H556" s="30"/>
      <c r="L556" s="30"/>
      <c r="M556" s="30"/>
      <c r="O556" s="32"/>
      <c r="P556" s="32"/>
    </row>
    <row r="557">
      <c r="B557" s="35"/>
      <c r="G557" s="30"/>
      <c r="H557" s="30"/>
      <c r="L557" s="30"/>
      <c r="M557" s="30"/>
      <c r="O557" s="32"/>
      <c r="P557" s="32"/>
    </row>
    <row r="558">
      <c r="B558" s="35"/>
      <c r="G558" s="30"/>
      <c r="H558" s="30"/>
      <c r="L558" s="30"/>
      <c r="M558" s="30"/>
      <c r="O558" s="32"/>
      <c r="P558" s="32"/>
    </row>
    <row r="559">
      <c r="B559" s="35"/>
      <c r="G559" s="30"/>
      <c r="H559" s="30"/>
      <c r="L559" s="30"/>
      <c r="M559" s="30"/>
      <c r="O559" s="32"/>
      <c r="P559" s="32"/>
    </row>
    <row r="560">
      <c r="B560" s="35"/>
      <c r="G560" s="30"/>
      <c r="H560" s="30"/>
      <c r="L560" s="30"/>
      <c r="M560" s="30"/>
      <c r="O560" s="32"/>
      <c r="P560" s="32"/>
    </row>
    <row r="561">
      <c r="B561" s="35"/>
      <c r="G561" s="30"/>
      <c r="H561" s="30"/>
      <c r="L561" s="30"/>
      <c r="M561" s="30"/>
      <c r="O561" s="32"/>
      <c r="P561" s="32"/>
    </row>
    <row r="562">
      <c r="B562" s="35"/>
      <c r="G562" s="30"/>
      <c r="H562" s="30"/>
      <c r="L562" s="30"/>
      <c r="M562" s="30"/>
      <c r="O562" s="32"/>
      <c r="P562" s="32"/>
    </row>
    <row r="563">
      <c r="B563" s="35"/>
      <c r="G563" s="30"/>
      <c r="H563" s="30"/>
      <c r="L563" s="30"/>
      <c r="M563" s="30"/>
      <c r="O563" s="32"/>
      <c r="P563" s="32"/>
    </row>
    <row r="564">
      <c r="B564" s="35"/>
      <c r="G564" s="30"/>
      <c r="H564" s="30"/>
      <c r="L564" s="30"/>
      <c r="M564" s="30"/>
      <c r="O564" s="32"/>
      <c r="P564" s="32"/>
    </row>
    <row r="565">
      <c r="B565" s="35"/>
      <c r="G565" s="30"/>
      <c r="H565" s="30"/>
      <c r="L565" s="30"/>
      <c r="M565" s="30"/>
      <c r="O565" s="32"/>
      <c r="P565" s="32"/>
    </row>
    <row r="566">
      <c r="B566" s="35"/>
      <c r="G566" s="30"/>
      <c r="H566" s="30"/>
      <c r="L566" s="30"/>
      <c r="M566" s="30"/>
      <c r="O566" s="32"/>
      <c r="P566" s="32"/>
    </row>
    <row r="567">
      <c r="B567" s="35"/>
      <c r="G567" s="30"/>
      <c r="H567" s="30"/>
      <c r="L567" s="30"/>
      <c r="M567" s="30"/>
      <c r="O567" s="32"/>
      <c r="P567" s="32"/>
    </row>
    <row r="568">
      <c r="B568" s="35"/>
      <c r="G568" s="30"/>
      <c r="H568" s="30"/>
      <c r="L568" s="30"/>
      <c r="M568" s="30"/>
      <c r="O568" s="32"/>
      <c r="P568" s="32"/>
    </row>
    <row r="569">
      <c r="B569" s="35"/>
      <c r="G569" s="30"/>
      <c r="H569" s="30"/>
      <c r="L569" s="30"/>
      <c r="M569" s="30"/>
      <c r="O569" s="32"/>
      <c r="P569" s="32"/>
    </row>
    <row r="570">
      <c r="B570" s="35"/>
      <c r="G570" s="30"/>
      <c r="H570" s="30"/>
      <c r="L570" s="30"/>
      <c r="M570" s="30"/>
      <c r="O570" s="32"/>
      <c r="P570" s="32"/>
    </row>
    <row r="571">
      <c r="B571" s="35"/>
      <c r="G571" s="30"/>
      <c r="H571" s="30"/>
      <c r="L571" s="30"/>
      <c r="M571" s="30"/>
      <c r="O571" s="32"/>
      <c r="P571" s="32"/>
    </row>
    <row r="572">
      <c r="B572" s="35"/>
      <c r="G572" s="30"/>
      <c r="H572" s="30"/>
      <c r="L572" s="30"/>
      <c r="M572" s="30"/>
      <c r="O572" s="32"/>
      <c r="P572" s="32"/>
    </row>
    <row r="573">
      <c r="B573" s="35"/>
      <c r="G573" s="30"/>
      <c r="H573" s="30"/>
      <c r="L573" s="30"/>
      <c r="M573" s="30"/>
      <c r="O573" s="32"/>
      <c r="P573" s="32"/>
    </row>
    <row r="574">
      <c r="B574" s="35"/>
      <c r="G574" s="30"/>
      <c r="H574" s="30"/>
      <c r="L574" s="30"/>
      <c r="M574" s="30"/>
      <c r="O574" s="32"/>
      <c r="P574" s="32"/>
    </row>
    <row r="575">
      <c r="B575" s="35"/>
      <c r="G575" s="30"/>
      <c r="H575" s="30"/>
      <c r="L575" s="30"/>
      <c r="M575" s="30"/>
      <c r="O575" s="32"/>
      <c r="P575" s="32"/>
    </row>
    <row r="576">
      <c r="B576" s="35"/>
      <c r="G576" s="30"/>
      <c r="H576" s="30"/>
      <c r="L576" s="30"/>
      <c r="M576" s="30"/>
      <c r="O576" s="32"/>
      <c r="P576" s="32"/>
    </row>
    <row r="577">
      <c r="B577" s="35"/>
      <c r="G577" s="30"/>
      <c r="H577" s="30"/>
      <c r="L577" s="30"/>
      <c r="M577" s="30"/>
      <c r="O577" s="32"/>
      <c r="P577" s="32"/>
    </row>
    <row r="578">
      <c r="B578" s="35"/>
      <c r="G578" s="30"/>
      <c r="H578" s="30"/>
      <c r="L578" s="30"/>
      <c r="M578" s="30"/>
      <c r="O578" s="32"/>
      <c r="P578" s="32"/>
    </row>
    <row r="579">
      <c r="B579" s="35"/>
      <c r="G579" s="30"/>
      <c r="H579" s="30"/>
      <c r="L579" s="30"/>
      <c r="M579" s="30"/>
      <c r="O579" s="32"/>
      <c r="P579" s="32"/>
    </row>
    <row r="580">
      <c r="B580" s="35"/>
      <c r="G580" s="30"/>
      <c r="H580" s="30"/>
      <c r="L580" s="30"/>
      <c r="M580" s="30"/>
      <c r="O580" s="32"/>
      <c r="P580" s="32"/>
    </row>
    <row r="581">
      <c r="B581" s="35"/>
      <c r="G581" s="30"/>
      <c r="H581" s="30"/>
      <c r="L581" s="30"/>
      <c r="M581" s="30"/>
      <c r="O581" s="32"/>
      <c r="P581" s="32"/>
    </row>
    <row r="582">
      <c r="B582" s="35"/>
      <c r="G582" s="30"/>
      <c r="H582" s="30"/>
      <c r="L582" s="30"/>
      <c r="M582" s="30"/>
      <c r="O582" s="32"/>
      <c r="P582" s="32"/>
    </row>
    <row r="583">
      <c r="B583" s="35"/>
      <c r="G583" s="30"/>
      <c r="H583" s="30"/>
      <c r="L583" s="30"/>
      <c r="M583" s="30"/>
      <c r="O583" s="32"/>
      <c r="P583" s="32"/>
    </row>
    <row r="584">
      <c r="B584" s="35"/>
      <c r="G584" s="30"/>
      <c r="H584" s="30"/>
      <c r="L584" s="30"/>
      <c r="M584" s="30"/>
      <c r="O584" s="32"/>
      <c r="P584" s="32"/>
    </row>
    <row r="585">
      <c r="B585" s="35"/>
      <c r="G585" s="30"/>
      <c r="H585" s="30"/>
      <c r="L585" s="30"/>
      <c r="M585" s="30"/>
      <c r="O585" s="32"/>
      <c r="P585" s="32"/>
    </row>
    <row r="586">
      <c r="B586" s="35"/>
      <c r="G586" s="30"/>
      <c r="H586" s="30"/>
      <c r="L586" s="30"/>
      <c r="M586" s="30"/>
      <c r="O586" s="32"/>
      <c r="P586" s="32"/>
    </row>
    <row r="587">
      <c r="B587" s="35"/>
      <c r="G587" s="30"/>
      <c r="H587" s="30"/>
      <c r="L587" s="30"/>
      <c r="M587" s="30"/>
      <c r="O587" s="32"/>
      <c r="P587" s="32"/>
    </row>
    <row r="588">
      <c r="B588" s="35"/>
      <c r="G588" s="30"/>
      <c r="H588" s="30"/>
      <c r="L588" s="30"/>
      <c r="M588" s="30"/>
      <c r="O588" s="32"/>
      <c r="P588" s="32"/>
    </row>
    <row r="589">
      <c r="B589" s="35"/>
      <c r="G589" s="30"/>
      <c r="H589" s="30"/>
      <c r="L589" s="30"/>
      <c r="M589" s="30"/>
      <c r="O589" s="32"/>
      <c r="P589" s="32"/>
    </row>
    <row r="590">
      <c r="B590" s="35"/>
      <c r="G590" s="30"/>
      <c r="H590" s="30"/>
      <c r="L590" s="30"/>
      <c r="M590" s="30"/>
      <c r="O590" s="32"/>
      <c r="P590" s="32"/>
    </row>
    <row r="591">
      <c r="B591" s="35"/>
      <c r="G591" s="30"/>
      <c r="H591" s="30"/>
      <c r="L591" s="30"/>
      <c r="M591" s="30"/>
      <c r="O591" s="32"/>
      <c r="P591" s="32"/>
    </row>
    <row r="592">
      <c r="B592" s="35"/>
      <c r="G592" s="30"/>
      <c r="H592" s="30"/>
      <c r="L592" s="30"/>
      <c r="M592" s="30"/>
      <c r="O592" s="32"/>
      <c r="P592" s="32"/>
    </row>
    <row r="593">
      <c r="B593" s="35"/>
      <c r="G593" s="30"/>
      <c r="H593" s="30"/>
      <c r="L593" s="30"/>
      <c r="M593" s="30"/>
      <c r="O593" s="32"/>
      <c r="P593" s="32"/>
    </row>
    <row r="594">
      <c r="B594" s="35"/>
      <c r="G594" s="30"/>
      <c r="H594" s="30"/>
      <c r="L594" s="30"/>
      <c r="M594" s="30"/>
      <c r="O594" s="32"/>
      <c r="P594" s="32"/>
    </row>
    <row r="595">
      <c r="B595" s="35"/>
      <c r="G595" s="30"/>
      <c r="H595" s="30"/>
      <c r="L595" s="30"/>
      <c r="M595" s="30"/>
      <c r="O595" s="32"/>
      <c r="P595" s="32"/>
    </row>
    <row r="596">
      <c r="B596" s="35"/>
      <c r="G596" s="30"/>
      <c r="H596" s="30"/>
      <c r="L596" s="30"/>
      <c r="M596" s="30"/>
      <c r="O596" s="32"/>
      <c r="P596" s="32"/>
    </row>
    <row r="597">
      <c r="B597" s="35"/>
      <c r="G597" s="30"/>
      <c r="H597" s="30"/>
      <c r="L597" s="30"/>
      <c r="M597" s="30"/>
      <c r="O597" s="32"/>
      <c r="P597" s="32"/>
    </row>
    <row r="598">
      <c r="B598" s="35"/>
      <c r="G598" s="30"/>
      <c r="H598" s="30"/>
      <c r="L598" s="30"/>
      <c r="M598" s="30"/>
      <c r="O598" s="32"/>
      <c r="P598" s="32"/>
    </row>
    <row r="599">
      <c r="B599" s="35"/>
      <c r="G599" s="30"/>
      <c r="H599" s="30"/>
      <c r="L599" s="30"/>
      <c r="M599" s="30"/>
      <c r="O599" s="32"/>
      <c r="P599" s="32"/>
    </row>
    <row r="600">
      <c r="B600" s="35"/>
      <c r="G600" s="30"/>
      <c r="H600" s="30"/>
      <c r="L600" s="30"/>
      <c r="M600" s="30"/>
      <c r="O600" s="32"/>
      <c r="P600" s="32"/>
    </row>
    <row r="601">
      <c r="B601" s="35"/>
      <c r="G601" s="30"/>
      <c r="H601" s="30"/>
      <c r="L601" s="30"/>
      <c r="M601" s="30"/>
      <c r="O601" s="32"/>
      <c r="P601" s="32"/>
    </row>
    <row r="602">
      <c r="B602" s="35"/>
      <c r="G602" s="30"/>
      <c r="H602" s="30"/>
      <c r="L602" s="30"/>
      <c r="M602" s="30"/>
      <c r="O602" s="32"/>
      <c r="P602" s="32"/>
    </row>
    <row r="603">
      <c r="B603" s="35"/>
      <c r="G603" s="30"/>
      <c r="H603" s="30"/>
      <c r="L603" s="30"/>
      <c r="M603" s="30"/>
      <c r="O603" s="32"/>
      <c r="P603" s="32"/>
    </row>
    <row r="604">
      <c r="B604" s="35"/>
      <c r="G604" s="30"/>
      <c r="H604" s="30"/>
      <c r="L604" s="30"/>
      <c r="M604" s="30"/>
      <c r="O604" s="32"/>
      <c r="P604" s="32"/>
    </row>
    <row r="605">
      <c r="B605" s="35"/>
      <c r="G605" s="30"/>
      <c r="H605" s="30"/>
      <c r="L605" s="30"/>
      <c r="M605" s="30"/>
      <c r="O605" s="32"/>
      <c r="P605" s="32"/>
    </row>
    <row r="606">
      <c r="B606" s="35"/>
      <c r="G606" s="30"/>
      <c r="H606" s="30"/>
      <c r="L606" s="30"/>
      <c r="M606" s="30"/>
      <c r="O606" s="32"/>
      <c r="P606" s="32"/>
    </row>
    <row r="607">
      <c r="B607" s="35"/>
      <c r="G607" s="30"/>
      <c r="H607" s="30"/>
      <c r="L607" s="30"/>
      <c r="M607" s="30"/>
      <c r="O607" s="32"/>
      <c r="P607" s="32"/>
    </row>
    <row r="608">
      <c r="B608" s="35"/>
      <c r="G608" s="30"/>
      <c r="H608" s="30"/>
      <c r="L608" s="30"/>
      <c r="M608" s="30"/>
      <c r="O608" s="32"/>
      <c r="P608" s="32"/>
    </row>
    <row r="609">
      <c r="B609" s="35"/>
      <c r="G609" s="30"/>
      <c r="H609" s="30"/>
      <c r="L609" s="30"/>
      <c r="M609" s="30"/>
      <c r="O609" s="32"/>
      <c r="P609" s="32"/>
    </row>
    <row r="610">
      <c r="B610" s="35"/>
      <c r="G610" s="30"/>
      <c r="H610" s="30"/>
      <c r="L610" s="30"/>
      <c r="M610" s="30"/>
      <c r="O610" s="32"/>
      <c r="P610" s="32"/>
    </row>
    <row r="611">
      <c r="B611" s="35"/>
      <c r="G611" s="30"/>
      <c r="H611" s="30"/>
      <c r="L611" s="30"/>
      <c r="M611" s="30"/>
      <c r="O611" s="32"/>
      <c r="P611" s="32"/>
    </row>
    <row r="612">
      <c r="B612" s="35"/>
      <c r="G612" s="30"/>
      <c r="H612" s="30"/>
      <c r="L612" s="30"/>
      <c r="M612" s="30"/>
      <c r="O612" s="32"/>
      <c r="P612" s="32"/>
    </row>
    <row r="613">
      <c r="B613" s="35"/>
      <c r="G613" s="30"/>
      <c r="H613" s="30"/>
      <c r="L613" s="30"/>
      <c r="M613" s="30"/>
      <c r="O613" s="32"/>
      <c r="P613" s="32"/>
    </row>
    <row r="614">
      <c r="B614" s="35"/>
      <c r="G614" s="30"/>
      <c r="H614" s="30"/>
      <c r="L614" s="30"/>
      <c r="M614" s="30"/>
      <c r="O614" s="32"/>
      <c r="P614" s="32"/>
    </row>
    <row r="615">
      <c r="B615" s="35"/>
      <c r="G615" s="30"/>
      <c r="H615" s="30"/>
      <c r="L615" s="30"/>
      <c r="M615" s="30"/>
      <c r="O615" s="32"/>
      <c r="P615" s="32"/>
    </row>
    <row r="616">
      <c r="B616" s="35"/>
      <c r="G616" s="30"/>
      <c r="H616" s="30"/>
      <c r="L616" s="30"/>
      <c r="M616" s="30"/>
      <c r="O616" s="32"/>
      <c r="P616" s="32"/>
    </row>
    <row r="617">
      <c r="B617" s="35"/>
      <c r="G617" s="30"/>
      <c r="H617" s="30"/>
      <c r="L617" s="30"/>
      <c r="M617" s="30"/>
      <c r="O617" s="32"/>
      <c r="P617" s="32"/>
    </row>
    <row r="618">
      <c r="B618" s="35"/>
      <c r="G618" s="30"/>
      <c r="H618" s="30"/>
      <c r="L618" s="30"/>
      <c r="M618" s="30"/>
      <c r="O618" s="32"/>
      <c r="P618" s="32"/>
    </row>
    <row r="619">
      <c r="B619" s="35"/>
      <c r="G619" s="30"/>
      <c r="H619" s="30"/>
      <c r="L619" s="30"/>
      <c r="M619" s="30"/>
      <c r="O619" s="32"/>
      <c r="P619" s="32"/>
    </row>
    <row r="620">
      <c r="B620" s="35"/>
      <c r="G620" s="30"/>
      <c r="H620" s="30"/>
      <c r="L620" s="30"/>
      <c r="M620" s="30"/>
      <c r="O620" s="32"/>
      <c r="P620" s="32"/>
    </row>
    <row r="621">
      <c r="B621" s="35"/>
      <c r="G621" s="30"/>
      <c r="H621" s="30"/>
      <c r="L621" s="30"/>
      <c r="M621" s="30"/>
      <c r="O621" s="32"/>
      <c r="P621" s="32"/>
    </row>
    <row r="622">
      <c r="B622" s="35"/>
      <c r="G622" s="30"/>
      <c r="H622" s="30"/>
      <c r="L622" s="30"/>
      <c r="M622" s="30"/>
      <c r="O622" s="32"/>
      <c r="P622" s="32"/>
    </row>
    <row r="623">
      <c r="B623" s="35"/>
      <c r="G623" s="30"/>
      <c r="H623" s="30"/>
      <c r="L623" s="30"/>
      <c r="M623" s="30"/>
      <c r="O623" s="32"/>
      <c r="P623" s="32"/>
    </row>
    <row r="624">
      <c r="B624" s="35"/>
      <c r="G624" s="30"/>
      <c r="H624" s="30"/>
      <c r="L624" s="30"/>
      <c r="M624" s="30"/>
      <c r="O624" s="32"/>
      <c r="P624" s="32"/>
    </row>
    <row r="625">
      <c r="B625" s="35"/>
      <c r="G625" s="30"/>
      <c r="H625" s="30"/>
      <c r="L625" s="30"/>
      <c r="M625" s="30"/>
      <c r="O625" s="32"/>
      <c r="P625" s="32"/>
    </row>
    <row r="626">
      <c r="B626" s="35"/>
      <c r="G626" s="30"/>
      <c r="H626" s="30"/>
      <c r="L626" s="30"/>
      <c r="M626" s="30"/>
      <c r="O626" s="32"/>
      <c r="P626" s="32"/>
    </row>
    <row r="627">
      <c r="B627" s="35"/>
      <c r="G627" s="30"/>
      <c r="H627" s="30"/>
      <c r="L627" s="30"/>
      <c r="M627" s="30"/>
      <c r="O627" s="32"/>
      <c r="P627" s="32"/>
    </row>
    <row r="628">
      <c r="B628" s="35"/>
      <c r="G628" s="30"/>
      <c r="H628" s="30"/>
      <c r="L628" s="30"/>
      <c r="M628" s="30"/>
      <c r="O628" s="32"/>
      <c r="P628" s="32"/>
    </row>
    <row r="629">
      <c r="B629" s="35"/>
      <c r="G629" s="30"/>
      <c r="H629" s="30"/>
      <c r="L629" s="30"/>
      <c r="M629" s="30"/>
      <c r="O629" s="32"/>
      <c r="P629" s="32"/>
    </row>
    <row r="630">
      <c r="B630" s="35"/>
      <c r="G630" s="30"/>
      <c r="H630" s="30"/>
      <c r="L630" s="30"/>
      <c r="M630" s="30"/>
      <c r="O630" s="32"/>
      <c r="P630" s="32"/>
    </row>
    <row r="631">
      <c r="B631" s="35"/>
      <c r="G631" s="30"/>
      <c r="H631" s="30"/>
      <c r="L631" s="30"/>
      <c r="M631" s="30"/>
      <c r="O631" s="32"/>
      <c r="P631" s="32"/>
    </row>
    <row r="632">
      <c r="B632" s="35"/>
      <c r="G632" s="30"/>
      <c r="H632" s="30"/>
      <c r="L632" s="30"/>
      <c r="M632" s="30"/>
      <c r="O632" s="32"/>
      <c r="P632" s="32"/>
    </row>
    <row r="633">
      <c r="B633" s="35"/>
      <c r="G633" s="30"/>
      <c r="H633" s="30"/>
      <c r="L633" s="30"/>
      <c r="M633" s="30"/>
      <c r="O633" s="32"/>
      <c r="P633" s="32"/>
    </row>
    <row r="634">
      <c r="B634" s="35"/>
      <c r="G634" s="30"/>
      <c r="H634" s="30"/>
      <c r="L634" s="30"/>
      <c r="M634" s="30"/>
      <c r="O634" s="32"/>
      <c r="P634" s="32"/>
    </row>
    <row r="635">
      <c r="B635" s="35"/>
      <c r="G635" s="30"/>
      <c r="H635" s="30"/>
      <c r="L635" s="30"/>
      <c r="M635" s="30"/>
      <c r="O635" s="32"/>
      <c r="P635" s="32"/>
    </row>
    <row r="636">
      <c r="B636" s="35"/>
      <c r="G636" s="30"/>
      <c r="H636" s="30"/>
      <c r="L636" s="30"/>
      <c r="M636" s="30"/>
      <c r="O636" s="32"/>
      <c r="P636" s="32"/>
    </row>
    <row r="637">
      <c r="B637" s="35"/>
      <c r="G637" s="30"/>
      <c r="H637" s="30"/>
      <c r="L637" s="30"/>
      <c r="M637" s="30"/>
      <c r="O637" s="32"/>
      <c r="P637" s="32"/>
    </row>
    <row r="638">
      <c r="B638" s="35"/>
      <c r="G638" s="30"/>
      <c r="H638" s="30"/>
      <c r="L638" s="30"/>
      <c r="M638" s="30"/>
      <c r="O638" s="32"/>
      <c r="P638" s="32"/>
    </row>
    <row r="639">
      <c r="B639" s="35"/>
      <c r="G639" s="30"/>
      <c r="H639" s="30"/>
      <c r="L639" s="30"/>
      <c r="M639" s="30"/>
      <c r="O639" s="32"/>
      <c r="P639" s="32"/>
    </row>
    <row r="640">
      <c r="B640" s="35"/>
      <c r="G640" s="30"/>
      <c r="H640" s="30"/>
      <c r="L640" s="30"/>
      <c r="M640" s="30"/>
      <c r="O640" s="32"/>
      <c r="P640" s="32"/>
    </row>
    <row r="641">
      <c r="B641" s="35"/>
      <c r="G641" s="30"/>
      <c r="H641" s="30"/>
      <c r="L641" s="30"/>
      <c r="M641" s="30"/>
      <c r="O641" s="32"/>
      <c r="P641" s="32"/>
    </row>
    <row r="642">
      <c r="B642" s="35"/>
      <c r="G642" s="30"/>
      <c r="H642" s="30"/>
      <c r="L642" s="30"/>
      <c r="M642" s="30"/>
      <c r="O642" s="32"/>
      <c r="P642" s="32"/>
    </row>
    <row r="643">
      <c r="B643" s="35"/>
      <c r="G643" s="30"/>
      <c r="H643" s="30"/>
      <c r="L643" s="30"/>
      <c r="M643" s="30"/>
      <c r="O643" s="32"/>
      <c r="P643" s="32"/>
    </row>
    <row r="644">
      <c r="B644" s="35"/>
      <c r="G644" s="30"/>
      <c r="H644" s="30"/>
      <c r="L644" s="30"/>
      <c r="M644" s="30"/>
      <c r="O644" s="32"/>
      <c r="P644" s="32"/>
    </row>
    <row r="645">
      <c r="B645" s="35"/>
      <c r="G645" s="30"/>
      <c r="H645" s="30"/>
      <c r="L645" s="30"/>
      <c r="M645" s="30"/>
      <c r="O645" s="32"/>
      <c r="P645" s="32"/>
    </row>
    <row r="646">
      <c r="B646" s="35"/>
      <c r="G646" s="30"/>
      <c r="H646" s="30"/>
      <c r="L646" s="30"/>
      <c r="M646" s="30"/>
      <c r="O646" s="32"/>
      <c r="P646" s="32"/>
    </row>
    <row r="647">
      <c r="B647" s="35"/>
      <c r="G647" s="30"/>
      <c r="H647" s="30"/>
      <c r="L647" s="30"/>
      <c r="M647" s="30"/>
      <c r="O647" s="32"/>
      <c r="P647" s="32"/>
    </row>
    <row r="648">
      <c r="B648" s="35"/>
      <c r="G648" s="30"/>
      <c r="H648" s="30"/>
      <c r="L648" s="30"/>
      <c r="M648" s="30"/>
      <c r="O648" s="32"/>
      <c r="P648" s="32"/>
    </row>
    <row r="649">
      <c r="B649" s="35"/>
      <c r="G649" s="30"/>
      <c r="H649" s="30"/>
      <c r="L649" s="30"/>
      <c r="M649" s="30"/>
      <c r="O649" s="32"/>
      <c r="P649" s="32"/>
    </row>
    <row r="650">
      <c r="B650" s="35"/>
      <c r="G650" s="30"/>
      <c r="H650" s="30"/>
      <c r="L650" s="30"/>
      <c r="M650" s="30"/>
      <c r="O650" s="32"/>
      <c r="P650" s="32"/>
    </row>
    <row r="651">
      <c r="B651" s="35"/>
      <c r="G651" s="30"/>
      <c r="H651" s="30"/>
      <c r="L651" s="30"/>
      <c r="M651" s="30"/>
      <c r="O651" s="32"/>
      <c r="P651" s="32"/>
    </row>
    <row r="652">
      <c r="B652" s="35"/>
      <c r="G652" s="30"/>
      <c r="H652" s="30"/>
      <c r="L652" s="30"/>
      <c r="M652" s="30"/>
      <c r="O652" s="32"/>
      <c r="P652" s="32"/>
    </row>
    <row r="653">
      <c r="B653" s="35"/>
      <c r="G653" s="30"/>
      <c r="H653" s="30"/>
      <c r="L653" s="30"/>
      <c r="M653" s="30"/>
      <c r="O653" s="32"/>
      <c r="P653" s="32"/>
    </row>
    <row r="654">
      <c r="B654" s="35"/>
      <c r="G654" s="30"/>
      <c r="H654" s="30"/>
      <c r="L654" s="30"/>
      <c r="M654" s="30"/>
      <c r="O654" s="32"/>
      <c r="P654" s="32"/>
    </row>
    <row r="655">
      <c r="B655" s="35"/>
      <c r="G655" s="30"/>
      <c r="H655" s="30"/>
      <c r="L655" s="30"/>
      <c r="M655" s="30"/>
      <c r="O655" s="32"/>
      <c r="P655" s="32"/>
    </row>
    <row r="656">
      <c r="B656" s="35"/>
      <c r="G656" s="30"/>
      <c r="H656" s="30"/>
      <c r="L656" s="30"/>
      <c r="M656" s="30"/>
      <c r="O656" s="32"/>
      <c r="P656" s="32"/>
    </row>
    <row r="657">
      <c r="B657" s="35"/>
      <c r="G657" s="30"/>
      <c r="H657" s="30"/>
      <c r="L657" s="30"/>
      <c r="M657" s="30"/>
      <c r="O657" s="32"/>
      <c r="P657" s="32"/>
    </row>
    <row r="658">
      <c r="B658" s="35"/>
      <c r="G658" s="30"/>
      <c r="H658" s="30"/>
      <c r="L658" s="30"/>
      <c r="M658" s="30"/>
      <c r="O658" s="32"/>
      <c r="P658" s="32"/>
    </row>
    <row r="659">
      <c r="B659" s="35"/>
      <c r="G659" s="30"/>
      <c r="H659" s="30"/>
      <c r="L659" s="30"/>
      <c r="M659" s="30"/>
      <c r="O659" s="32"/>
      <c r="P659" s="32"/>
    </row>
    <row r="660">
      <c r="B660" s="35"/>
      <c r="G660" s="30"/>
      <c r="H660" s="30"/>
      <c r="L660" s="30"/>
      <c r="M660" s="30"/>
      <c r="O660" s="32"/>
      <c r="P660" s="32"/>
    </row>
    <row r="661">
      <c r="B661" s="35"/>
      <c r="G661" s="30"/>
      <c r="H661" s="30"/>
      <c r="L661" s="30"/>
      <c r="M661" s="30"/>
      <c r="O661" s="32"/>
      <c r="P661" s="32"/>
    </row>
    <row r="662">
      <c r="B662" s="35"/>
      <c r="G662" s="30"/>
      <c r="H662" s="30"/>
      <c r="L662" s="30"/>
      <c r="M662" s="30"/>
      <c r="O662" s="32"/>
      <c r="P662" s="32"/>
    </row>
    <row r="663">
      <c r="B663" s="35"/>
      <c r="G663" s="30"/>
      <c r="H663" s="30"/>
      <c r="L663" s="30"/>
      <c r="M663" s="30"/>
      <c r="O663" s="32"/>
      <c r="P663" s="32"/>
    </row>
    <row r="664">
      <c r="B664" s="35"/>
      <c r="G664" s="30"/>
      <c r="H664" s="30"/>
      <c r="L664" s="30"/>
      <c r="M664" s="30"/>
      <c r="O664" s="32"/>
      <c r="P664" s="32"/>
    </row>
    <row r="665">
      <c r="B665" s="35"/>
      <c r="G665" s="30"/>
      <c r="H665" s="30"/>
      <c r="L665" s="30"/>
      <c r="M665" s="30"/>
      <c r="O665" s="32"/>
      <c r="P665" s="32"/>
    </row>
    <row r="666">
      <c r="B666" s="35"/>
      <c r="G666" s="30"/>
      <c r="H666" s="30"/>
      <c r="L666" s="30"/>
      <c r="M666" s="30"/>
      <c r="O666" s="32"/>
      <c r="P666" s="32"/>
    </row>
    <row r="667">
      <c r="B667" s="35"/>
      <c r="G667" s="30"/>
      <c r="H667" s="30"/>
      <c r="L667" s="30"/>
      <c r="M667" s="30"/>
      <c r="O667" s="32"/>
      <c r="P667" s="32"/>
    </row>
    <row r="668">
      <c r="B668" s="35"/>
      <c r="G668" s="30"/>
      <c r="H668" s="30"/>
      <c r="L668" s="30"/>
      <c r="M668" s="30"/>
      <c r="O668" s="32"/>
      <c r="P668" s="32"/>
    </row>
    <row r="669">
      <c r="B669" s="35"/>
      <c r="G669" s="30"/>
      <c r="H669" s="30"/>
      <c r="L669" s="30"/>
      <c r="M669" s="30"/>
      <c r="O669" s="32"/>
      <c r="P669" s="32"/>
    </row>
    <row r="670">
      <c r="B670" s="35"/>
      <c r="G670" s="30"/>
      <c r="H670" s="30"/>
      <c r="L670" s="30"/>
      <c r="M670" s="30"/>
      <c r="O670" s="32"/>
      <c r="P670" s="32"/>
    </row>
    <row r="671">
      <c r="B671" s="35"/>
      <c r="G671" s="30"/>
      <c r="H671" s="30"/>
      <c r="L671" s="30"/>
      <c r="M671" s="30"/>
      <c r="O671" s="32"/>
      <c r="P671" s="32"/>
    </row>
    <row r="672">
      <c r="B672" s="35"/>
      <c r="G672" s="30"/>
      <c r="H672" s="30"/>
      <c r="L672" s="30"/>
      <c r="M672" s="30"/>
      <c r="O672" s="32"/>
      <c r="P672" s="32"/>
    </row>
    <row r="673">
      <c r="B673" s="35"/>
      <c r="G673" s="30"/>
      <c r="H673" s="30"/>
      <c r="L673" s="30"/>
      <c r="M673" s="30"/>
      <c r="O673" s="32"/>
      <c r="P673" s="32"/>
    </row>
    <row r="674">
      <c r="B674" s="35"/>
      <c r="G674" s="30"/>
      <c r="H674" s="30"/>
      <c r="L674" s="30"/>
      <c r="M674" s="30"/>
      <c r="O674" s="32"/>
      <c r="P674" s="32"/>
    </row>
    <row r="675">
      <c r="B675" s="35"/>
      <c r="G675" s="30"/>
      <c r="H675" s="30"/>
      <c r="L675" s="30"/>
      <c r="M675" s="30"/>
      <c r="O675" s="32"/>
      <c r="P675" s="32"/>
    </row>
    <row r="676">
      <c r="B676" s="35"/>
      <c r="G676" s="30"/>
      <c r="H676" s="30"/>
      <c r="L676" s="30"/>
      <c r="M676" s="30"/>
      <c r="O676" s="32"/>
      <c r="P676" s="32"/>
    </row>
    <row r="677">
      <c r="B677" s="35"/>
      <c r="G677" s="30"/>
      <c r="H677" s="30"/>
      <c r="L677" s="30"/>
      <c r="M677" s="30"/>
      <c r="O677" s="32"/>
      <c r="P677" s="32"/>
    </row>
    <row r="678">
      <c r="B678" s="35"/>
      <c r="G678" s="30"/>
      <c r="H678" s="30"/>
      <c r="L678" s="30"/>
      <c r="M678" s="30"/>
      <c r="O678" s="32"/>
      <c r="P678" s="32"/>
    </row>
    <row r="679">
      <c r="B679" s="35"/>
      <c r="G679" s="30"/>
      <c r="H679" s="30"/>
      <c r="L679" s="30"/>
      <c r="M679" s="30"/>
      <c r="O679" s="32"/>
      <c r="P679" s="32"/>
    </row>
    <row r="680">
      <c r="B680" s="35"/>
      <c r="G680" s="30"/>
      <c r="H680" s="30"/>
      <c r="L680" s="30"/>
      <c r="M680" s="30"/>
      <c r="O680" s="32"/>
      <c r="P680" s="32"/>
    </row>
    <row r="681">
      <c r="B681" s="35"/>
      <c r="G681" s="30"/>
      <c r="H681" s="30"/>
      <c r="L681" s="30"/>
      <c r="M681" s="30"/>
      <c r="O681" s="32"/>
      <c r="P681" s="32"/>
    </row>
    <row r="682">
      <c r="B682" s="35"/>
      <c r="G682" s="30"/>
      <c r="H682" s="30"/>
      <c r="L682" s="30"/>
      <c r="M682" s="30"/>
      <c r="O682" s="32"/>
      <c r="P682" s="32"/>
    </row>
    <row r="683">
      <c r="B683" s="35"/>
      <c r="G683" s="30"/>
      <c r="H683" s="30"/>
      <c r="L683" s="30"/>
      <c r="M683" s="30"/>
      <c r="O683" s="32"/>
      <c r="P683" s="32"/>
    </row>
    <row r="684">
      <c r="B684" s="35"/>
      <c r="G684" s="30"/>
      <c r="H684" s="30"/>
      <c r="L684" s="30"/>
      <c r="M684" s="30"/>
      <c r="O684" s="32"/>
      <c r="P684" s="32"/>
    </row>
    <row r="685">
      <c r="B685" s="35"/>
      <c r="G685" s="30"/>
      <c r="H685" s="30"/>
      <c r="L685" s="30"/>
      <c r="M685" s="30"/>
      <c r="O685" s="32"/>
      <c r="P685" s="32"/>
    </row>
    <row r="686">
      <c r="B686" s="35"/>
      <c r="G686" s="30"/>
      <c r="H686" s="30"/>
      <c r="L686" s="30"/>
      <c r="M686" s="30"/>
      <c r="O686" s="32"/>
      <c r="P686" s="32"/>
    </row>
    <row r="687">
      <c r="B687" s="35"/>
      <c r="G687" s="30"/>
      <c r="H687" s="30"/>
      <c r="L687" s="30"/>
      <c r="M687" s="30"/>
      <c r="O687" s="32"/>
      <c r="P687" s="32"/>
    </row>
    <row r="688">
      <c r="B688" s="35"/>
      <c r="G688" s="30"/>
      <c r="H688" s="30"/>
      <c r="L688" s="30"/>
      <c r="M688" s="30"/>
      <c r="O688" s="32"/>
      <c r="P688" s="32"/>
    </row>
    <row r="689">
      <c r="B689" s="35"/>
      <c r="G689" s="30"/>
      <c r="H689" s="30"/>
      <c r="L689" s="30"/>
      <c r="M689" s="30"/>
      <c r="O689" s="32"/>
      <c r="P689" s="32"/>
    </row>
    <row r="690">
      <c r="B690" s="35"/>
      <c r="G690" s="30"/>
      <c r="H690" s="30"/>
      <c r="L690" s="30"/>
      <c r="M690" s="30"/>
      <c r="O690" s="32"/>
      <c r="P690" s="32"/>
    </row>
    <row r="691">
      <c r="B691" s="35"/>
      <c r="G691" s="30"/>
      <c r="H691" s="30"/>
      <c r="L691" s="30"/>
      <c r="M691" s="30"/>
      <c r="O691" s="32"/>
      <c r="P691" s="32"/>
    </row>
    <row r="692">
      <c r="B692" s="35"/>
      <c r="G692" s="30"/>
      <c r="H692" s="30"/>
      <c r="L692" s="30"/>
      <c r="M692" s="30"/>
      <c r="O692" s="32"/>
      <c r="P692" s="32"/>
    </row>
    <row r="693">
      <c r="B693" s="35"/>
      <c r="G693" s="30"/>
      <c r="H693" s="30"/>
      <c r="L693" s="30"/>
      <c r="M693" s="30"/>
      <c r="O693" s="32"/>
      <c r="P693" s="32"/>
    </row>
    <row r="694">
      <c r="B694" s="35"/>
      <c r="G694" s="30"/>
      <c r="H694" s="30"/>
      <c r="L694" s="30"/>
      <c r="M694" s="30"/>
      <c r="O694" s="32"/>
      <c r="P694" s="32"/>
    </row>
    <row r="695">
      <c r="B695" s="35"/>
      <c r="G695" s="30"/>
      <c r="H695" s="30"/>
      <c r="L695" s="30"/>
      <c r="M695" s="30"/>
      <c r="O695" s="32"/>
      <c r="P695" s="32"/>
    </row>
    <row r="696">
      <c r="B696" s="35"/>
      <c r="G696" s="30"/>
      <c r="H696" s="30"/>
      <c r="L696" s="30"/>
      <c r="M696" s="30"/>
      <c r="O696" s="32"/>
      <c r="P696" s="32"/>
    </row>
    <row r="697">
      <c r="B697" s="35"/>
      <c r="G697" s="30"/>
      <c r="H697" s="30"/>
      <c r="L697" s="30"/>
      <c r="M697" s="30"/>
      <c r="O697" s="32"/>
      <c r="P697" s="32"/>
    </row>
    <row r="698">
      <c r="B698" s="35"/>
      <c r="G698" s="30"/>
      <c r="H698" s="30"/>
      <c r="L698" s="30"/>
      <c r="M698" s="30"/>
      <c r="O698" s="32"/>
      <c r="P698" s="32"/>
    </row>
    <row r="699">
      <c r="B699" s="35"/>
      <c r="G699" s="30"/>
      <c r="H699" s="30"/>
      <c r="L699" s="30"/>
      <c r="M699" s="30"/>
      <c r="O699" s="32"/>
      <c r="P699" s="32"/>
    </row>
    <row r="700">
      <c r="B700" s="35"/>
      <c r="G700" s="30"/>
      <c r="H700" s="30"/>
      <c r="L700" s="30"/>
      <c r="M700" s="30"/>
      <c r="O700" s="32"/>
      <c r="P700" s="32"/>
    </row>
    <row r="701">
      <c r="B701" s="35"/>
      <c r="G701" s="30"/>
      <c r="H701" s="30"/>
      <c r="L701" s="30"/>
      <c r="M701" s="30"/>
      <c r="O701" s="32"/>
      <c r="P701" s="32"/>
    </row>
    <row r="702">
      <c r="B702" s="35"/>
      <c r="G702" s="30"/>
      <c r="H702" s="30"/>
      <c r="L702" s="30"/>
      <c r="M702" s="30"/>
      <c r="O702" s="32"/>
      <c r="P702" s="32"/>
    </row>
    <row r="703">
      <c r="B703" s="35"/>
      <c r="G703" s="30"/>
      <c r="H703" s="30"/>
      <c r="L703" s="30"/>
      <c r="M703" s="30"/>
      <c r="O703" s="32"/>
      <c r="P703" s="32"/>
    </row>
    <row r="704">
      <c r="B704" s="35"/>
      <c r="G704" s="30"/>
      <c r="H704" s="30"/>
      <c r="L704" s="30"/>
      <c r="M704" s="30"/>
      <c r="O704" s="32"/>
      <c r="P704" s="32"/>
    </row>
    <row r="705">
      <c r="B705" s="35"/>
      <c r="G705" s="30"/>
      <c r="H705" s="30"/>
      <c r="L705" s="30"/>
      <c r="M705" s="30"/>
      <c r="O705" s="32"/>
      <c r="P705" s="32"/>
    </row>
    <row r="706">
      <c r="B706" s="35"/>
      <c r="G706" s="30"/>
      <c r="H706" s="30"/>
      <c r="L706" s="30"/>
      <c r="M706" s="30"/>
      <c r="O706" s="32"/>
      <c r="P706" s="32"/>
    </row>
    <row r="707">
      <c r="B707" s="35"/>
      <c r="G707" s="30"/>
      <c r="H707" s="30"/>
      <c r="L707" s="30"/>
      <c r="M707" s="30"/>
      <c r="O707" s="32"/>
      <c r="P707" s="32"/>
    </row>
    <row r="708">
      <c r="B708" s="35"/>
      <c r="G708" s="30"/>
      <c r="H708" s="30"/>
      <c r="L708" s="30"/>
      <c r="M708" s="30"/>
      <c r="O708" s="32"/>
      <c r="P708" s="32"/>
    </row>
    <row r="709">
      <c r="B709" s="35"/>
      <c r="G709" s="30"/>
      <c r="H709" s="30"/>
      <c r="L709" s="30"/>
      <c r="M709" s="30"/>
      <c r="O709" s="32"/>
      <c r="P709" s="32"/>
    </row>
    <row r="710">
      <c r="B710" s="35"/>
      <c r="G710" s="30"/>
      <c r="H710" s="30"/>
      <c r="L710" s="30"/>
      <c r="M710" s="30"/>
      <c r="O710" s="32"/>
      <c r="P710" s="32"/>
    </row>
    <row r="711">
      <c r="B711" s="35"/>
      <c r="G711" s="30"/>
      <c r="H711" s="30"/>
      <c r="L711" s="30"/>
      <c r="M711" s="30"/>
      <c r="O711" s="32"/>
      <c r="P711" s="32"/>
    </row>
    <row r="712">
      <c r="B712" s="35"/>
      <c r="G712" s="30"/>
      <c r="H712" s="30"/>
      <c r="L712" s="30"/>
      <c r="M712" s="30"/>
      <c r="O712" s="32"/>
      <c r="P712" s="32"/>
    </row>
    <row r="713">
      <c r="B713" s="35"/>
      <c r="G713" s="30"/>
      <c r="H713" s="30"/>
      <c r="L713" s="30"/>
      <c r="M713" s="30"/>
      <c r="O713" s="32"/>
      <c r="P713" s="32"/>
    </row>
    <row r="714">
      <c r="B714" s="35"/>
      <c r="G714" s="30"/>
      <c r="H714" s="30"/>
      <c r="L714" s="30"/>
      <c r="M714" s="30"/>
      <c r="O714" s="32"/>
      <c r="P714" s="32"/>
    </row>
    <row r="715">
      <c r="B715" s="35"/>
      <c r="G715" s="30"/>
      <c r="H715" s="30"/>
      <c r="L715" s="30"/>
      <c r="M715" s="30"/>
      <c r="O715" s="32"/>
      <c r="P715" s="32"/>
    </row>
    <row r="716">
      <c r="B716" s="35"/>
      <c r="G716" s="30"/>
      <c r="H716" s="30"/>
      <c r="L716" s="30"/>
      <c r="M716" s="30"/>
      <c r="O716" s="32"/>
      <c r="P716" s="32"/>
    </row>
    <row r="717">
      <c r="B717" s="35"/>
      <c r="G717" s="30"/>
      <c r="H717" s="30"/>
      <c r="L717" s="30"/>
      <c r="M717" s="30"/>
      <c r="O717" s="32"/>
      <c r="P717" s="32"/>
    </row>
    <row r="718">
      <c r="B718" s="35"/>
      <c r="G718" s="30"/>
      <c r="H718" s="30"/>
      <c r="L718" s="30"/>
      <c r="M718" s="30"/>
      <c r="O718" s="32"/>
      <c r="P718" s="32"/>
    </row>
    <row r="719">
      <c r="B719" s="35"/>
      <c r="G719" s="30"/>
      <c r="H719" s="30"/>
      <c r="L719" s="30"/>
      <c r="M719" s="30"/>
      <c r="O719" s="32"/>
      <c r="P719" s="32"/>
    </row>
    <row r="720">
      <c r="B720" s="35"/>
      <c r="G720" s="30"/>
      <c r="H720" s="30"/>
      <c r="L720" s="30"/>
      <c r="M720" s="30"/>
      <c r="O720" s="32"/>
      <c r="P720" s="32"/>
    </row>
    <row r="721">
      <c r="B721" s="35"/>
      <c r="G721" s="30"/>
      <c r="H721" s="30"/>
      <c r="L721" s="30"/>
      <c r="M721" s="30"/>
      <c r="O721" s="32"/>
      <c r="P721" s="32"/>
    </row>
    <row r="722">
      <c r="B722" s="35"/>
      <c r="G722" s="30"/>
      <c r="H722" s="30"/>
      <c r="L722" s="30"/>
      <c r="M722" s="30"/>
      <c r="O722" s="32"/>
      <c r="P722" s="32"/>
    </row>
    <row r="723">
      <c r="B723" s="35"/>
      <c r="G723" s="30"/>
      <c r="H723" s="30"/>
      <c r="L723" s="30"/>
      <c r="M723" s="30"/>
      <c r="O723" s="32"/>
      <c r="P723" s="32"/>
    </row>
    <row r="724">
      <c r="B724" s="35"/>
      <c r="G724" s="30"/>
      <c r="H724" s="30"/>
      <c r="L724" s="30"/>
      <c r="M724" s="30"/>
      <c r="O724" s="32"/>
      <c r="P724" s="32"/>
    </row>
    <row r="725">
      <c r="B725" s="35"/>
      <c r="G725" s="30"/>
      <c r="H725" s="30"/>
      <c r="L725" s="30"/>
      <c r="M725" s="30"/>
      <c r="O725" s="32"/>
      <c r="P725" s="32"/>
    </row>
    <row r="726">
      <c r="B726" s="35"/>
      <c r="G726" s="30"/>
      <c r="H726" s="30"/>
      <c r="L726" s="30"/>
      <c r="M726" s="30"/>
      <c r="O726" s="32"/>
      <c r="P726" s="32"/>
    </row>
    <row r="727">
      <c r="B727" s="35"/>
      <c r="G727" s="30"/>
      <c r="H727" s="30"/>
      <c r="L727" s="30"/>
      <c r="M727" s="30"/>
      <c r="O727" s="32"/>
      <c r="P727" s="32"/>
    </row>
    <row r="728">
      <c r="B728" s="35"/>
      <c r="G728" s="30"/>
      <c r="H728" s="30"/>
      <c r="L728" s="30"/>
      <c r="M728" s="30"/>
      <c r="O728" s="32"/>
      <c r="P728" s="32"/>
    </row>
    <row r="729">
      <c r="B729" s="35"/>
      <c r="G729" s="30"/>
      <c r="H729" s="30"/>
      <c r="L729" s="30"/>
      <c r="M729" s="30"/>
      <c r="O729" s="32"/>
      <c r="P729" s="32"/>
    </row>
    <row r="730">
      <c r="B730" s="35"/>
      <c r="G730" s="30"/>
      <c r="H730" s="30"/>
      <c r="L730" s="30"/>
      <c r="M730" s="30"/>
      <c r="O730" s="32"/>
      <c r="P730" s="32"/>
    </row>
    <row r="731">
      <c r="B731" s="35"/>
      <c r="G731" s="30"/>
      <c r="H731" s="30"/>
      <c r="L731" s="30"/>
      <c r="M731" s="30"/>
      <c r="O731" s="32"/>
      <c r="P731" s="32"/>
    </row>
    <row r="732">
      <c r="B732" s="35"/>
      <c r="G732" s="30"/>
      <c r="H732" s="30"/>
      <c r="L732" s="30"/>
      <c r="M732" s="30"/>
      <c r="O732" s="32"/>
      <c r="P732" s="32"/>
    </row>
    <row r="733">
      <c r="B733" s="35"/>
      <c r="G733" s="30"/>
      <c r="H733" s="30"/>
      <c r="L733" s="30"/>
      <c r="M733" s="30"/>
      <c r="O733" s="32"/>
      <c r="P733" s="32"/>
    </row>
    <row r="734">
      <c r="B734" s="35"/>
      <c r="G734" s="30"/>
      <c r="H734" s="30"/>
      <c r="L734" s="30"/>
      <c r="M734" s="30"/>
      <c r="O734" s="32"/>
      <c r="P734" s="32"/>
    </row>
    <row r="735">
      <c r="B735" s="35"/>
      <c r="G735" s="30"/>
      <c r="H735" s="30"/>
      <c r="L735" s="30"/>
      <c r="M735" s="30"/>
      <c r="O735" s="32"/>
      <c r="P735" s="32"/>
    </row>
    <row r="736">
      <c r="B736" s="35"/>
      <c r="G736" s="30"/>
      <c r="H736" s="30"/>
      <c r="L736" s="30"/>
      <c r="M736" s="30"/>
      <c r="O736" s="32"/>
      <c r="P736" s="32"/>
    </row>
    <row r="737">
      <c r="B737" s="35"/>
      <c r="G737" s="30"/>
      <c r="H737" s="30"/>
      <c r="L737" s="30"/>
      <c r="M737" s="30"/>
      <c r="O737" s="32"/>
      <c r="P737" s="32"/>
    </row>
    <row r="738">
      <c r="B738" s="35"/>
      <c r="G738" s="30"/>
      <c r="H738" s="30"/>
      <c r="L738" s="30"/>
      <c r="M738" s="30"/>
      <c r="O738" s="32"/>
      <c r="P738" s="32"/>
    </row>
    <row r="739">
      <c r="B739" s="35"/>
      <c r="G739" s="30"/>
      <c r="H739" s="30"/>
      <c r="L739" s="30"/>
      <c r="M739" s="30"/>
      <c r="O739" s="32"/>
      <c r="P739" s="32"/>
    </row>
    <row r="740">
      <c r="B740" s="35"/>
      <c r="G740" s="30"/>
      <c r="H740" s="30"/>
      <c r="L740" s="30"/>
      <c r="M740" s="30"/>
      <c r="O740" s="32"/>
      <c r="P740" s="32"/>
    </row>
    <row r="741">
      <c r="B741" s="35"/>
      <c r="G741" s="30"/>
      <c r="H741" s="30"/>
      <c r="L741" s="30"/>
      <c r="M741" s="30"/>
      <c r="O741" s="32"/>
      <c r="P741" s="32"/>
    </row>
    <row r="742">
      <c r="B742" s="35"/>
      <c r="G742" s="30"/>
      <c r="H742" s="30"/>
      <c r="L742" s="30"/>
      <c r="M742" s="30"/>
      <c r="O742" s="32"/>
      <c r="P742" s="32"/>
    </row>
    <row r="743">
      <c r="B743" s="35"/>
      <c r="G743" s="30"/>
      <c r="H743" s="30"/>
      <c r="L743" s="30"/>
      <c r="M743" s="30"/>
      <c r="O743" s="32"/>
      <c r="P743" s="32"/>
    </row>
    <row r="744">
      <c r="B744" s="35"/>
      <c r="G744" s="30"/>
      <c r="H744" s="30"/>
      <c r="L744" s="30"/>
      <c r="M744" s="30"/>
      <c r="O744" s="32"/>
      <c r="P744" s="32"/>
    </row>
    <row r="745">
      <c r="B745" s="35"/>
      <c r="G745" s="30"/>
      <c r="H745" s="30"/>
      <c r="L745" s="30"/>
      <c r="M745" s="30"/>
      <c r="O745" s="32"/>
      <c r="P745" s="32"/>
    </row>
    <row r="746">
      <c r="B746" s="35"/>
      <c r="G746" s="30"/>
      <c r="H746" s="30"/>
      <c r="L746" s="30"/>
      <c r="M746" s="30"/>
      <c r="O746" s="32"/>
      <c r="P746" s="32"/>
    </row>
    <row r="747">
      <c r="B747" s="35"/>
      <c r="G747" s="30"/>
      <c r="H747" s="30"/>
      <c r="L747" s="30"/>
      <c r="M747" s="30"/>
      <c r="O747" s="32"/>
      <c r="P747" s="32"/>
    </row>
    <row r="748">
      <c r="B748" s="35"/>
      <c r="G748" s="30"/>
      <c r="H748" s="30"/>
      <c r="L748" s="30"/>
      <c r="M748" s="30"/>
      <c r="O748" s="32"/>
      <c r="P748" s="32"/>
    </row>
    <row r="749">
      <c r="B749" s="35"/>
      <c r="G749" s="30"/>
      <c r="H749" s="30"/>
      <c r="L749" s="30"/>
      <c r="M749" s="30"/>
      <c r="O749" s="32"/>
      <c r="P749" s="32"/>
    </row>
    <row r="750">
      <c r="B750" s="35"/>
      <c r="G750" s="30"/>
      <c r="H750" s="30"/>
      <c r="L750" s="30"/>
      <c r="M750" s="30"/>
      <c r="O750" s="32"/>
      <c r="P750" s="32"/>
    </row>
    <row r="751">
      <c r="B751" s="35"/>
      <c r="G751" s="30"/>
      <c r="H751" s="30"/>
      <c r="L751" s="30"/>
      <c r="M751" s="30"/>
      <c r="O751" s="32"/>
      <c r="P751" s="32"/>
    </row>
    <row r="752">
      <c r="B752" s="35"/>
      <c r="G752" s="30"/>
      <c r="H752" s="30"/>
      <c r="L752" s="30"/>
      <c r="M752" s="30"/>
      <c r="O752" s="32"/>
      <c r="P752" s="32"/>
    </row>
    <row r="753">
      <c r="B753" s="35"/>
      <c r="G753" s="30"/>
      <c r="H753" s="30"/>
      <c r="L753" s="30"/>
      <c r="M753" s="30"/>
      <c r="O753" s="32"/>
      <c r="P753" s="32"/>
    </row>
    <row r="754">
      <c r="B754" s="35"/>
      <c r="G754" s="30"/>
      <c r="H754" s="30"/>
      <c r="L754" s="30"/>
      <c r="M754" s="30"/>
      <c r="O754" s="32"/>
      <c r="P754" s="32"/>
    </row>
    <row r="755">
      <c r="B755" s="35"/>
      <c r="G755" s="30"/>
      <c r="H755" s="30"/>
      <c r="L755" s="30"/>
      <c r="M755" s="30"/>
      <c r="O755" s="32"/>
      <c r="P755" s="32"/>
    </row>
    <row r="756">
      <c r="B756" s="35"/>
      <c r="G756" s="30"/>
      <c r="H756" s="30"/>
      <c r="L756" s="30"/>
      <c r="M756" s="30"/>
      <c r="O756" s="32"/>
      <c r="P756" s="32"/>
    </row>
    <row r="757">
      <c r="B757" s="35"/>
      <c r="G757" s="30"/>
      <c r="H757" s="30"/>
      <c r="L757" s="30"/>
      <c r="M757" s="30"/>
      <c r="O757" s="32"/>
      <c r="P757" s="32"/>
    </row>
    <row r="758">
      <c r="B758" s="35"/>
      <c r="G758" s="30"/>
      <c r="H758" s="30"/>
      <c r="L758" s="30"/>
      <c r="M758" s="30"/>
      <c r="O758" s="32"/>
      <c r="P758" s="32"/>
    </row>
    <row r="759">
      <c r="B759" s="35"/>
      <c r="G759" s="30"/>
      <c r="H759" s="30"/>
      <c r="L759" s="30"/>
      <c r="M759" s="30"/>
      <c r="O759" s="32"/>
      <c r="P759" s="32"/>
    </row>
    <row r="760">
      <c r="B760" s="35"/>
      <c r="G760" s="30"/>
      <c r="H760" s="30"/>
      <c r="L760" s="30"/>
      <c r="M760" s="30"/>
      <c r="O760" s="32"/>
      <c r="P760" s="32"/>
    </row>
    <row r="761">
      <c r="B761" s="35"/>
      <c r="G761" s="30"/>
      <c r="H761" s="30"/>
      <c r="L761" s="30"/>
      <c r="M761" s="30"/>
      <c r="O761" s="32"/>
      <c r="P761" s="32"/>
    </row>
    <row r="762">
      <c r="B762" s="35"/>
      <c r="G762" s="30"/>
      <c r="H762" s="30"/>
      <c r="L762" s="30"/>
      <c r="M762" s="30"/>
      <c r="O762" s="32"/>
      <c r="P762" s="32"/>
    </row>
    <row r="763">
      <c r="B763" s="35"/>
      <c r="G763" s="30"/>
      <c r="H763" s="30"/>
      <c r="L763" s="30"/>
      <c r="M763" s="30"/>
      <c r="O763" s="32"/>
      <c r="P763" s="32"/>
    </row>
    <row r="764">
      <c r="B764" s="35"/>
      <c r="G764" s="30"/>
      <c r="H764" s="30"/>
      <c r="L764" s="30"/>
      <c r="M764" s="30"/>
      <c r="O764" s="32"/>
      <c r="P764" s="32"/>
    </row>
    <row r="765">
      <c r="B765" s="35"/>
      <c r="G765" s="30"/>
      <c r="H765" s="30"/>
      <c r="L765" s="30"/>
      <c r="M765" s="30"/>
      <c r="O765" s="32"/>
      <c r="P765" s="32"/>
    </row>
    <row r="766">
      <c r="B766" s="35"/>
      <c r="G766" s="30"/>
      <c r="H766" s="30"/>
      <c r="L766" s="30"/>
      <c r="M766" s="30"/>
      <c r="O766" s="32"/>
      <c r="P766" s="32"/>
    </row>
    <row r="767">
      <c r="B767" s="35"/>
      <c r="G767" s="30"/>
      <c r="H767" s="30"/>
      <c r="L767" s="30"/>
      <c r="M767" s="30"/>
      <c r="O767" s="32"/>
      <c r="P767" s="32"/>
    </row>
    <row r="768">
      <c r="B768" s="35"/>
      <c r="G768" s="30"/>
      <c r="H768" s="30"/>
      <c r="L768" s="30"/>
      <c r="M768" s="30"/>
      <c r="O768" s="32"/>
      <c r="P768" s="32"/>
    </row>
    <row r="769">
      <c r="B769" s="35"/>
      <c r="G769" s="30"/>
      <c r="H769" s="30"/>
      <c r="L769" s="30"/>
      <c r="M769" s="30"/>
      <c r="O769" s="32"/>
      <c r="P769" s="32"/>
    </row>
    <row r="770">
      <c r="B770" s="35"/>
      <c r="G770" s="30"/>
      <c r="H770" s="30"/>
      <c r="L770" s="30"/>
      <c r="M770" s="30"/>
      <c r="O770" s="32"/>
      <c r="P770" s="32"/>
    </row>
    <row r="771">
      <c r="B771" s="35"/>
      <c r="G771" s="30"/>
      <c r="H771" s="30"/>
      <c r="L771" s="30"/>
      <c r="M771" s="30"/>
      <c r="O771" s="32"/>
      <c r="P771" s="32"/>
    </row>
    <row r="772">
      <c r="B772" s="35"/>
      <c r="G772" s="30"/>
      <c r="H772" s="30"/>
      <c r="L772" s="30"/>
      <c r="M772" s="30"/>
      <c r="O772" s="32"/>
      <c r="P772" s="32"/>
    </row>
    <row r="773">
      <c r="B773" s="35"/>
      <c r="G773" s="30"/>
      <c r="H773" s="30"/>
      <c r="L773" s="30"/>
      <c r="M773" s="30"/>
      <c r="O773" s="32"/>
      <c r="P773" s="32"/>
    </row>
    <row r="774">
      <c r="B774" s="35"/>
      <c r="G774" s="30"/>
      <c r="H774" s="30"/>
      <c r="L774" s="30"/>
      <c r="M774" s="30"/>
      <c r="O774" s="32"/>
      <c r="P774" s="32"/>
    </row>
    <row r="775">
      <c r="B775" s="35"/>
      <c r="G775" s="30"/>
      <c r="H775" s="30"/>
      <c r="L775" s="30"/>
      <c r="M775" s="30"/>
      <c r="O775" s="32"/>
      <c r="P775" s="32"/>
    </row>
    <row r="776">
      <c r="B776" s="35"/>
      <c r="G776" s="30"/>
      <c r="H776" s="30"/>
      <c r="L776" s="30"/>
      <c r="M776" s="30"/>
      <c r="O776" s="32"/>
      <c r="P776" s="32"/>
    </row>
    <row r="777">
      <c r="B777" s="35"/>
      <c r="G777" s="30"/>
      <c r="H777" s="30"/>
      <c r="L777" s="30"/>
      <c r="M777" s="30"/>
      <c r="O777" s="32"/>
      <c r="P777" s="32"/>
    </row>
    <row r="778">
      <c r="B778" s="35"/>
      <c r="G778" s="30"/>
      <c r="H778" s="30"/>
      <c r="L778" s="30"/>
      <c r="M778" s="30"/>
      <c r="O778" s="32"/>
      <c r="P778" s="32"/>
    </row>
    <row r="779">
      <c r="B779" s="35"/>
      <c r="G779" s="30"/>
      <c r="H779" s="30"/>
      <c r="L779" s="30"/>
      <c r="M779" s="30"/>
      <c r="O779" s="32"/>
      <c r="P779" s="32"/>
    </row>
    <row r="780">
      <c r="B780" s="35"/>
      <c r="G780" s="30"/>
      <c r="H780" s="30"/>
      <c r="L780" s="30"/>
      <c r="M780" s="30"/>
      <c r="O780" s="32"/>
      <c r="P780" s="32"/>
    </row>
    <row r="781">
      <c r="B781" s="35"/>
      <c r="G781" s="30"/>
      <c r="H781" s="30"/>
      <c r="L781" s="30"/>
      <c r="M781" s="30"/>
      <c r="O781" s="32"/>
      <c r="P781" s="32"/>
    </row>
    <row r="782">
      <c r="B782" s="35"/>
      <c r="G782" s="30"/>
      <c r="H782" s="30"/>
      <c r="L782" s="30"/>
      <c r="M782" s="30"/>
      <c r="O782" s="32"/>
      <c r="P782" s="32"/>
    </row>
    <row r="783">
      <c r="B783" s="35"/>
      <c r="G783" s="30"/>
      <c r="H783" s="30"/>
      <c r="L783" s="30"/>
      <c r="M783" s="30"/>
      <c r="O783" s="32"/>
      <c r="P783" s="32"/>
    </row>
    <row r="784">
      <c r="B784" s="35"/>
      <c r="G784" s="30"/>
      <c r="H784" s="30"/>
      <c r="L784" s="30"/>
      <c r="M784" s="30"/>
      <c r="O784" s="32"/>
      <c r="P784" s="32"/>
    </row>
    <row r="785">
      <c r="B785" s="35"/>
      <c r="G785" s="30"/>
      <c r="H785" s="30"/>
      <c r="L785" s="30"/>
      <c r="M785" s="30"/>
      <c r="O785" s="32"/>
      <c r="P785" s="32"/>
    </row>
    <row r="786">
      <c r="B786" s="35"/>
      <c r="G786" s="30"/>
      <c r="H786" s="30"/>
      <c r="L786" s="30"/>
      <c r="M786" s="30"/>
      <c r="O786" s="32"/>
      <c r="P786" s="32"/>
    </row>
    <row r="787">
      <c r="B787" s="35"/>
      <c r="G787" s="30"/>
      <c r="H787" s="30"/>
      <c r="L787" s="30"/>
      <c r="M787" s="30"/>
      <c r="O787" s="32"/>
      <c r="P787" s="32"/>
    </row>
    <row r="788">
      <c r="B788" s="35"/>
      <c r="G788" s="30"/>
      <c r="H788" s="30"/>
      <c r="L788" s="30"/>
      <c r="M788" s="30"/>
      <c r="O788" s="32"/>
      <c r="P788" s="32"/>
    </row>
    <row r="789">
      <c r="B789" s="35"/>
      <c r="G789" s="30"/>
      <c r="H789" s="30"/>
      <c r="L789" s="30"/>
      <c r="M789" s="30"/>
      <c r="O789" s="32"/>
      <c r="P789" s="32"/>
    </row>
    <row r="790">
      <c r="B790" s="35"/>
      <c r="G790" s="30"/>
      <c r="H790" s="30"/>
      <c r="L790" s="30"/>
      <c r="M790" s="30"/>
      <c r="O790" s="32"/>
      <c r="P790" s="32"/>
    </row>
    <row r="791">
      <c r="B791" s="35"/>
      <c r="G791" s="30"/>
      <c r="H791" s="30"/>
      <c r="L791" s="30"/>
      <c r="M791" s="30"/>
      <c r="O791" s="32"/>
      <c r="P791" s="32"/>
    </row>
    <row r="792">
      <c r="B792" s="35"/>
      <c r="G792" s="30"/>
      <c r="H792" s="30"/>
      <c r="L792" s="30"/>
      <c r="M792" s="30"/>
      <c r="O792" s="32"/>
      <c r="P792" s="32"/>
    </row>
    <row r="793">
      <c r="B793" s="35"/>
      <c r="G793" s="30"/>
      <c r="H793" s="30"/>
      <c r="L793" s="30"/>
      <c r="M793" s="30"/>
      <c r="O793" s="32"/>
      <c r="P793" s="32"/>
    </row>
    <row r="794">
      <c r="B794" s="35"/>
      <c r="G794" s="30"/>
      <c r="H794" s="30"/>
      <c r="L794" s="30"/>
      <c r="M794" s="30"/>
      <c r="O794" s="32"/>
      <c r="P794" s="32"/>
    </row>
    <row r="795">
      <c r="B795" s="35"/>
      <c r="G795" s="30"/>
      <c r="H795" s="30"/>
      <c r="L795" s="30"/>
      <c r="M795" s="30"/>
      <c r="O795" s="32"/>
      <c r="P795" s="32"/>
    </row>
    <row r="796">
      <c r="B796" s="35"/>
      <c r="G796" s="30"/>
      <c r="H796" s="30"/>
      <c r="L796" s="30"/>
      <c r="M796" s="30"/>
      <c r="O796" s="32"/>
      <c r="P796" s="32"/>
    </row>
    <row r="797">
      <c r="B797" s="35"/>
      <c r="G797" s="30"/>
      <c r="H797" s="30"/>
      <c r="L797" s="30"/>
      <c r="M797" s="30"/>
      <c r="O797" s="32"/>
      <c r="P797" s="32"/>
    </row>
    <row r="798">
      <c r="B798" s="35"/>
      <c r="G798" s="30"/>
      <c r="H798" s="30"/>
      <c r="L798" s="30"/>
      <c r="M798" s="30"/>
      <c r="O798" s="32"/>
      <c r="P798" s="32"/>
    </row>
    <row r="799">
      <c r="B799" s="35"/>
      <c r="G799" s="30"/>
      <c r="H799" s="30"/>
      <c r="L799" s="30"/>
      <c r="M799" s="30"/>
      <c r="O799" s="32"/>
      <c r="P799" s="32"/>
    </row>
    <row r="800">
      <c r="B800" s="35"/>
      <c r="G800" s="30"/>
      <c r="H800" s="30"/>
      <c r="L800" s="30"/>
      <c r="M800" s="30"/>
      <c r="O800" s="32"/>
      <c r="P800" s="32"/>
    </row>
    <row r="801">
      <c r="B801" s="35"/>
      <c r="G801" s="30"/>
      <c r="H801" s="30"/>
      <c r="L801" s="30"/>
      <c r="M801" s="30"/>
      <c r="O801" s="32"/>
      <c r="P801" s="32"/>
    </row>
    <row r="802">
      <c r="B802" s="35"/>
      <c r="G802" s="30"/>
      <c r="H802" s="30"/>
      <c r="L802" s="30"/>
      <c r="M802" s="30"/>
      <c r="O802" s="32"/>
      <c r="P802" s="32"/>
    </row>
    <row r="803">
      <c r="B803" s="35"/>
      <c r="G803" s="30"/>
      <c r="H803" s="30"/>
      <c r="L803" s="30"/>
      <c r="M803" s="30"/>
      <c r="O803" s="32"/>
      <c r="P803" s="32"/>
    </row>
    <row r="804">
      <c r="B804" s="35"/>
      <c r="G804" s="30"/>
      <c r="H804" s="30"/>
      <c r="L804" s="30"/>
      <c r="M804" s="30"/>
      <c r="O804" s="32"/>
      <c r="P804" s="32"/>
    </row>
    <row r="805">
      <c r="B805" s="35"/>
      <c r="G805" s="30"/>
      <c r="H805" s="30"/>
      <c r="L805" s="30"/>
      <c r="M805" s="30"/>
      <c r="O805" s="32"/>
      <c r="P805" s="32"/>
    </row>
    <row r="806">
      <c r="B806" s="35"/>
      <c r="G806" s="30"/>
      <c r="H806" s="30"/>
      <c r="L806" s="30"/>
      <c r="M806" s="30"/>
      <c r="O806" s="32"/>
      <c r="P806" s="32"/>
    </row>
    <row r="807">
      <c r="B807" s="35"/>
      <c r="G807" s="30"/>
      <c r="H807" s="30"/>
      <c r="L807" s="30"/>
      <c r="M807" s="30"/>
      <c r="O807" s="32"/>
      <c r="P807" s="32"/>
    </row>
    <row r="808">
      <c r="B808" s="35"/>
      <c r="G808" s="30"/>
      <c r="H808" s="30"/>
      <c r="L808" s="30"/>
      <c r="M808" s="30"/>
      <c r="O808" s="32"/>
      <c r="P808" s="32"/>
    </row>
    <row r="809">
      <c r="B809" s="35"/>
      <c r="G809" s="30"/>
      <c r="H809" s="30"/>
      <c r="L809" s="30"/>
      <c r="M809" s="30"/>
      <c r="O809" s="32"/>
      <c r="P809" s="32"/>
    </row>
    <row r="810">
      <c r="B810" s="35"/>
      <c r="G810" s="30"/>
      <c r="H810" s="30"/>
      <c r="L810" s="30"/>
      <c r="M810" s="30"/>
      <c r="O810" s="32"/>
      <c r="P810" s="32"/>
    </row>
    <row r="811">
      <c r="B811" s="35"/>
      <c r="G811" s="30"/>
      <c r="H811" s="30"/>
      <c r="L811" s="30"/>
      <c r="M811" s="30"/>
      <c r="O811" s="32"/>
      <c r="P811" s="32"/>
    </row>
    <row r="812">
      <c r="B812" s="35"/>
      <c r="G812" s="30"/>
      <c r="H812" s="30"/>
      <c r="L812" s="30"/>
      <c r="M812" s="30"/>
      <c r="O812" s="32"/>
      <c r="P812" s="32"/>
    </row>
    <row r="813">
      <c r="B813" s="35"/>
      <c r="G813" s="30"/>
      <c r="H813" s="30"/>
      <c r="L813" s="30"/>
      <c r="M813" s="30"/>
      <c r="O813" s="32"/>
      <c r="P813" s="32"/>
    </row>
    <row r="814">
      <c r="B814" s="35"/>
      <c r="G814" s="30"/>
      <c r="H814" s="30"/>
      <c r="L814" s="30"/>
      <c r="M814" s="30"/>
      <c r="O814" s="32"/>
      <c r="P814" s="32"/>
    </row>
    <row r="815">
      <c r="B815" s="35"/>
      <c r="G815" s="30"/>
      <c r="H815" s="30"/>
      <c r="L815" s="30"/>
      <c r="M815" s="30"/>
      <c r="O815" s="32"/>
      <c r="P815" s="32"/>
    </row>
    <row r="816">
      <c r="B816" s="35"/>
      <c r="G816" s="30"/>
      <c r="H816" s="30"/>
      <c r="L816" s="30"/>
      <c r="M816" s="30"/>
      <c r="O816" s="32"/>
      <c r="P816" s="32"/>
    </row>
    <row r="817">
      <c r="B817" s="35"/>
      <c r="G817" s="30"/>
      <c r="H817" s="30"/>
      <c r="L817" s="30"/>
      <c r="M817" s="30"/>
      <c r="O817" s="32"/>
      <c r="P817" s="32"/>
    </row>
    <row r="818">
      <c r="B818" s="35"/>
      <c r="G818" s="30"/>
      <c r="H818" s="30"/>
      <c r="L818" s="30"/>
      <c r="M818" s="30"/>
      <c r="O818" s="32"/>
      <c r="P818" s="32"/>
    </row>
    <row r="819">
      <c r="B819" s="35"/>
      <c r="G819" s="30"/>
      <c r="H819" s="30"/>
      <c r="L819" s="30"/>
      <c r="M819" s="30"/>
      <c r="O819" s="32"/>
      <c r="P819" s="32"/>
    </row>
    <row r="820">
      <c r="B820" s="35"/>
      <c r="G820" s="30"/>
      <c r="H820" s="30"/>
      <c r="L820" s="30"/>
      <c r="M820" s="30"/>
      <c r="O820" s="32"/>
      <c r="P820" s="32"/>
    </row>
    <row r="821">
      <c r="B821" s="35"/>
      <c r="G821" s="30"/>
      <c r="H821" s="30"/>
      <c r="L821" s="30"/>
      <c r="M821" s="30"/>
      <c r="O821" s="32"/>
      <c r="P821" s="32"/>
    </row>
    <row r="822">
      <c r="B822" s="35"/>
      <c r="G822" s="30"/>
      <c r="H822" s="30"/>
      <c r="L822" s="30"/>
      <c r="M822" s="30"/>
      <c r="O822" s="32"/>
      <c r="P822" s="32"/>
    </row>
    <row r="823">
      <c r="B823" s="35"/>
      <c r="G823" s="30"/>
      <c r="H823" s="30"/>
      <c r="L823" s="30"/>
      <c r="M823" s="30"/>
      <c r="O823" s="32"/>
      <c r="P823" s="32"/>
    </row>
    <row r="824">
      <c r="B824" s="35"/>
      <c r="G824" s="30"/>
      <c r="H824" s="30"/>
      <c r="L824" s="30"/>
      <c r="M824" s="30"/>
      <c r="O824" s="32"/>
      <c r="P824" s="32"/>
    </row>
    <row r="825">
      <c r="B825" s="35"/>
      <c r="G825" s="30"/>
      <c r="H825" s="30"/>
      <c r="L825" s="30"/>
      <c r="M825" s="30"/>
      <c r="O825" s="32"/>
      <c r="P825" s="32"/>
    </row>
    <row r="826">
      <c r="B826" s="35"/>
      <c r="G826" s="30"/>
      <c r="H826" s="30"/>
      <c r="L826" s="30"/>
      <c r="M826" s="30"/>
      <c r="O826" s="32"/>
      <c r="P826" s="32"/>
    </row>
    <row r="827">
      <c r="B827" s="35"/>
      <c r="G827" s="30"/>
      <c r="H827" s="30"/>
      <c r="L827" s="30"/>
      <c r="M827" s="30"/>
      <c r="O827" s="32"/>
      <c r="P827" s="32"/>
    </row>
    <row r="828">
      <c r="B828" s="35"/>
      <c r="G828" s="30"/>
      <c r="H828" s="30"/>
      <c r="L828" s="30"/>
      <c r="M828" s="30"/>
      <c r="O828" s="32"/>
      <c r="P828" s="32"/>
    </row>
    <row r="829">
      <c r="B829" s="35"/>
      <c r="G829" s="30"/>
      <c r="H829" s="30"/>
      <c r="L829" s="30"/>
      <c r="M829" s="30"/>
      <c r="O829" s="32"/>
      <c r="P829" s="32"/>
    </row>
    <row r="830">
      <c r="B830" s="35"/>
      <c r="G830" s="30"/>
      <c r="H830" s="30"/>
      <c r="L830" s="30"/>
      <c r="M830" s="30"/>
      <c r="O830" s="32"/>
      <c r="P830" s="32"/>
    </row>
    <row r="831">
      <c r="B831" s="35"/>
      <c r="G831" s="30"/>
      <c r="H831" s="30"/>
      <c r="L831" s="30"/>
      <c r="M831" s="30"/>
      <c r="O831" s="32"/>
      <c r="P831" s="32"/>
    </row>
    <row r="832">
      <c r="B832" s="35"/>
      <c r="G832" s="30"/>
      <c r="H832" s="30"/>
      <c r="L832" s="30"/>
      <c r="M832" s="30"/>
      <c r="O832" s="32"/>
      <c r="P832" s="32"/>
    </row>
    <row r="833">
      <c r="B833" s="35"/>
      <c r="G833" s="30"/>
      <c r="H833" s="30"/>
      <c r="L833" s="30"/>
      <c r="M833" s="30"/>
      <c r="O833" s="32"/>
      <c r="P833" s="32"/>
    </row>
    <row r="834">
      <c r="B834" s="35"/>
      <c r="G834" s="30"/>
      <c r="H834" s="30"/>
      <c r="L834" s="30"/>
      <c r="M834" s="30"/>
      <c r="O834" s="32"/>
      <c r="P834" s="32"/>
    </row>
    <row r="835">
      <c r="B835" s="35"/>
      <c r="G835" s="30"/>
      <c r="H835" s="30"/>
      <c r="L835" s="30"/>
      <c r="M835" s="30"/>
      <c r="O835" s="32"/>
      <c r="P835" s="32"/>
    </row>
    <row r="836">
      <c r="B836" s="35"/>
      <c r="G836" s="30"/>
      <c r="H836" s="30"/>
      <c r="L836" s="30"/>
      <c r="M836" s="30"/>
      <c r="O836" s="32"/>
      <c r="P836" s="32"/>
    </row>
    <row r="837">
      <c r="B837" s="35"/>
      <c r="G837" s="30"/>
      <c r="H837" s="30"/>
      <c r="L837" s="30"/>
      <c r="M837" s="30"/>
      <c r="O837" s="32"/>
      <c r="P837" s="32"/>
    </row>
    <row r="838">
      <c r="B838" s="35"/>
      <c r="G838" s="30"/>
      <c r="H838" s="30"/>
      <c r="L838" s="30"/>
      <c r="M838" s="30"/>
      <c r="O838" s="32"/>
      <c r="P838" s="32"/>
    </row>
    <row r="839">
      <c r="B839" s="35"/>
      <c r="G839" s="30"/>
      <c r="H839" s="30"/>
      <c r="L839" s="30"/>
      <c r="M839" s="30"/>
      <c r="O839" s="32"/>
      <c r="P839" s="32"/>
    </row>
    <row r="840">
      <c r="B840" s="35"/>
      <c r="G840" s="30"/>
      <c r="H840" s="30"/>
      <c r="L840" s="30"/>
      <c r="M840" s="30"/>
      <c r="O840" s="32"/>
      <c r="P840" s="32"/>
    </row>
    <row r="841">
      <c r="B841" s="35"/>
      <c r="G841" s="30"/>
      <c r="H841" s="30"/>
      <c r="L841" s="30"/>
      <c r="M841" s="30"/>
      <c r="O841" s="32"/>
      <c r="P841" s="32"/>
    </row>
    <row r="842">
      <c r="B842" s="35"/>
      <c r="G842" s="30"/>
      <c r="H842" s="30"/>
      <c r="L842" s="30"/>
      <c r="M842" s="30"/>
      <c r="O842" s="32"/>
      <c r="P842" s="32"/>
    </row>
    <row r="843">
      <c r="B843" s="35"/>
      <c r="G843" s="30"/>
      <c r="H843" s="30"/>
      <c r="L843" s="30"/>
      <c r="M843" s="30"/>
      <c r="O843" s="32"/>
      <c r="P843" s="32"/>
    </row>
    <row r="844">
      <c r="B844" s="35"/>
      <c r="G844" s="30"/>
      <c r="H844" s="30"/>
      <c r="L844" s="30"/>
      <c r="M844" s="30"/>
      <c r="O844" s="32"/>
      <c r="P844" s="32"/>
    </row>
    <row r="845">
      <c r="B845" s="35"/>
      <c r="G845" s="30"/>
      <c r="H845" s="30"/>
      <c r="L845" s="30"/>
      <c r="M845" s="30"/>
      <c r="O845" s="32"/>
      <c r="P845" s="32"/>
    </row>
    <row r="846">
      <c r="B846" s="35"/>
      <c r="G846" s="30"/>
      <c r="H846" s="30"/>
      <c r="L846" s="30"/>
      <c r="M846" s="30"/>
      <c r="O846" s="32"/>
      <c r="P846" s="32"/>
    </row>
    <row r="847">
      <c r="B847" s="35"/>
      <c r="G847" s="30"/>
      <c r="H847" s="30"/>
      <c r="L847" s="30"/>
      <c r="M847" s="30"/>
      <c r="O847" s="32"/>
      <c r="P847" s="32"/>
    </row>
    <row r="848">
      <c r="B848" s="35"/>
      <c r="G848" s="30"/>
      <c r="H848" s="30"/>
      <c r="L848" s="30"/>
      <c r="M848" s="30"/>
      <c r="O848" s="32"/>
      <c r="P848" s="32"/>
    </row>
    <row r="849">
      <c r="B849" s="35"/>
      <c r="G849" s="30"/>
      <c r="H849" s="30"/>
      <c r="L849" s="30"/>
      <c r="M849" s="30"/>
      <c r="O849" s="32"/>
      <c r="P849" s="32"/>
    </row>
    <row r="850">
      <c r="B850" s="35"/>
      <c r="G850" s="30"/>
      <c r="H850" s="30"/>
      <c r="L850" s="30"/>
      <c r="M850" s="30"/>
      <c r="O850" s="32"/>
      <c r="P850" s="32"/>
    </row>
    <row r="851">
      <c r="B851" s="35"/>
      <c r="G851" s="30"/>
      <c r="H851" s="30"/>
      <c r="L851" s="30"/>
      <c r="M851" s="30"/>
      <c r="O851" s="32"/>
      <c r="P851" s="32"/>
    </row>
    <row r="852">
      <c r="B852" s="35"/>
      <c r="G852" s="30"/>
      <c r="H852" s="30"/>
      <c r="L852" s="30"/>
      <c r="M852" s="30"/>
      <c r="O852" s="32"/>
      <c r="P852" s="32"/>
    </row>
    <row r="853">
      <c r="B853" s="35"/>
      <c r="G853" s="30"/>
      <c r="H853" s="30"/>
      <c r="L853" s="30"/>
      <c r="M853" s="30"/>
      <c r="O853" s="32"/>
      <c r="P853" s="32"/>
    </row>
    <row r="854">
      <c r="B854" s="35"/>
      <c r="G854" s="30"/>
      <c r="H854" s="30"/>
      <c r="L854" s="30"/>
      <c r="M854" s="30"/>
      <c r="O854" s="32"/>
      <c r="P854" s="32"/>
    </row>
    <row r="855">
      <c r="B855" s="35"/>
      <c r="G855" s="30"/>
      <c r="H855" s="30"/>
      <c r="L855" s="30"/>
      <c r="M855" s="30"/>
      <c r="O855" s="32"/>
      <c r="P855" s="32"/>
    </row>
    <row r="856">
      <c r="B856" s="35"/>
      <c r="G856" s="30"/>
      <c r="H856" s="30"/>
      <c r="L856" s="30"/>
      <c r="M856" s="30"/>
      <c r="O856" s="32"/>
      <c r="P856" s="32"/>
    </row>
    <row r="857">
      <c r="B857" s="35"/>
      <c r="G857" s="30"/>
      <c r="H857" s="30"/>
      <c r="L857" s="30"/>
      <c r="M857" s="30"/>
      <c r="O857" s="32"/>
      <c r="P857" s="32"/>
    </row>
    <row r="858">
      <c r="B858" s="35"/>
      <c r="G858" s="30"/>
      <c r="H858" s="30"/>
      <c r="L858" s="30"/>
      <c r="M858" s="30"/>
      <c r="O858" s="32"/>
      <c r="P858" s="32"/>
    </row>
    <row r="859">
      <c r="B859" s="35"/>
      <c r="G859" s="30"/>
      <c r="H859" s="30"/>
      <c r="L859" s="30"/>
      <c r="M859" s="30"/>
      <c r="O859" s="32"/>
      <c r="P859" s="32"/>
    </row>
    <row r="860">
      <c r="B860" s="35"/>
      <c r="G860" s="30"/>
      <c r="H860" s="30"/>
      <c r="L860" s="30"/>
      <c r="M860" s="30"/>
      <c r="O860" s="32"/>
      <c r="P860" s="32"/>
    </row>
    <row r="861">
      <c r="B861" s="35"/>
      <c r="G861" s="30"/>
      <c r="H861" s="30"/>
      <c r="L861" s="30"/>
      <c r="M861" s="30"/>
      <c r="O861" s="32"/>
      <c r="P861" s="32"/>
    </row>
    <row r="862">
      <c r="B862" s="35"/>
      <c r="G862" s="30"/>
      <c r="H862" s="30"/>
      <c r="L862" s="30"/>
      <c r="M862" s="30"/>
      <c r="O862" s="32"/>
      <c r="P862" s="32"/>
    </row>
    <row r="863">
      <c r="B863" s="35"/>
      <c r="G863" s="30"/>
      <c r="H863" s="30"/>
      <c r="L863" s="30"/>
      <c r="M863" s="30"/>
      <c r="O863" s="32"/>
      <c r="P863" s="32"/>
    </row>
    <row r="864">
      <c r="B864" s="35"/>
      <c r="G864" s="30"/>
      <c r="H864" s="30"/>
      <c r="L864" s="30"/>
      <c r="M864" s="30"/>
      <c r="O864" s="32"/>
      <c r="P864" s="32"/>
    </row>
    <row r="865">
      <c r="B865" s="35"/>
      <c r="G865" s="30"/>
      <c r="H865" s="30"/>
      <c r="L865" s="30"/>
      <c r="M865" s="30"/>
      <c r="O865" s="32"/>
      <c r="P865" s="32"/>
    </row>
    <row r="866">
      <c r="B866" s="35"/>
      <c r="G866" s="30"/>
      <c r="H866" s="30"/>
      <c r="L866" s="30"/>
      <c r="M866" s="30"/>
      <c r="O866" s="32"/>
      <c r="P866" s="32"/>
    </row>
    <row r="867">
      <c r="B867" s="35"/>
      <c r="G867" s="30"/>
      <c r="H867" s="30"/>
      <c r="L867" s="30"/>
      <c r="M867" s="30"/>
      <c r="O867" s="32"/>
      <c r="P867" s="32"/>
    </row>
    <row r="868">
      <c r="B868" s="35"/>
      <c r="G868" s="30"/>
      <c r="H868" s="30"/>
      <c r="L868" s="30"/>
      <c r="M868" s="30"/>
      <c r="O868" s="32"/>
      <c r="P868" s="32"/>
    </row>
    <row r="869">
      <c r="B869" s="35"/>
      <c r="G869" s="30"/>
      <c r="H869" s="30"/>
      <c r="L869" s="30"/>
      <c r="M869" s="30"/>
      <c r="O869" s="32"/>
      <c r="P869" s="32"/>
    </row>
    <row r="870">
      <c r="B870" s="35"/>
      <c r="G870" s="30"/>
      <c r="H870" s="30"/>
      <c r="L870" s="30"/>
      <c r="M870" s="30"/>
      <c r="O870" s="32"/>
      <c r="P870" s="32"/>
    </row>
    <row r="871">
      <c r="B871" s="35"/>
      <c r="G871" s="30"/>
      <c r="H871" s="30"/>
      <c r="L871" s="30"/>
      <c r="M871" s="30"/>
      <c r="O871" s="32"/>
      <c r="P871" s="32"/>
    </row>
    <row r="872">
      <c r="B872" s="35"/>
      <c r="G872" s="30"/>
      <c r="H872" s="30"/>
      <c r="L872" s="30"/>
      <c r="M872" s="30"/>
      <c r="O872" s="32"/>
      <c r="P872" s="32"/>
    </row>
    <row r="873">
      <c r="B873" s="35"/>
      <c r="G873" s="30"/>
      <c r="H873" s="30"/>
      <c r="L873" s="30"/>
      <c r="M873" s="30"/>
      <c r="O873" s="32"/>
      <c r="P873" s="32"/>
    </row>
    <row r="874">
      <c r="B874" s="35"/>
      <c r="G874" s="30"/>
      <c r="H874" s="30"/>
      <c r="L874" s="30"/>
      <c r="M874" s="30"/>
      <c r="O874" s="32"/>
      <c r="P874" s="32"/>
    </row>
    <row r="875">
      <c r="B875" s="35"/>
      <c r="G875" s="30"/>
      <c r="H875" s="30"/>
      <c r="L875" s="30"/>
      <c r="M875" s="30"/>
      <c r="O875" s="32"/>
      <c r="P875" s="32"/>
    </row>
    <row r="876">
      <c r="B876" s="35"/>
      <c r="G876" s="30"/>
      <c r="H876" s="30"/>
      <c r="L876" s="30"/>
      <c r="M876" s="30"/>
      <c r="O876" s="32"/>
      <c r="P876" s="32"/>
    </row>
    <row r="877">
      <c r="B877" s="35"/>
      <c r="G877" s="30"/>
      <c r="H877" s="30"/>
      <c r="L877" s="30"/>
      <c r="M877" s="30"/>
      <c r="O877" s="32"/>
      <c r="P877" s="32"/>
    </row>
    <row r="878">
      <c r="B878" s="35"/>
      <c r="G878" s="30"/>
      <c r="H878" s="30"/>
      <c r="L878" s="30"/>
      <c r="M878" s="30"/>
      <c r="O878" s="32"/>
      <c r="P878" s="32"/>
    </row>
    <row r="879">
      <c r="B879" s="35"/>
      <c r="G879" s="30"/>
      <c r="H879" s="30"/>
      <c r="L879" s="30"/>
      <c r="M879" s="30"/>
      <c r="O879" s="32"/>
      <c r="P879" s="32"/>
    </row>
    <row r="880">
      <c r="B880" s="35"/>
      <c r="G880" s="30"/>
      <c r="H880" s="30"/>
      <c r="L880" s="30"/>
      <c r="M880" s="30"/>
      <c r="O880" s="32"/>
      <c r="P880" s="32"/>
    </row>
    <row r="881">
      <c r="B881" s="35"/>
      <c r="G881" s="30"/>
      <c r="H881" s="30"/>
      <c r="L881" s="30"/>
      <c r="M881" s="30"/>
      <c r="O881" s="32"/>
      <c r="P881" s="32"/>
    </row>
    <row r="882">
      <c r="B882" s="35"/>
      <c r="G882" s="30"/>
      <c r="H882" s="30"/>
      <c r="L882" s="30"/>
      <c r="M882" s="30"/>
      <c r="O882" s="32"/>
      <c r="P882" s="32"/>
    </row>
    <row r="883">
      <c r="B883" s="35"/>
      <c r="G883" s="30"/>
      <c r="H883" s="30"/>
      <c r="L883" s="30"/>
      <c r="M883" s="30"/>
      <c r="O883" s="32"/>
      <c r="P883" s="32"/>
    </row>
    <row r="884">
      <c r="B884" s="35"/>
      <c r="G884" s="30"/>
      <c r="H884" s="30"/>
      <c r="L884" s="30"/>
      <c r="M884" s="30"/>
      <c r="O884" s="32"/>
      <c r="P884" s="32"/>
    </row>
    <row r="885">
      <c r="B885" s="35"/>
      <c r="G885" s="30"/>
      <c r="H885" s="30"/>
      <c r="L885" s="30"/>
      <c r="M885" s="30"/>
      <c r="O885" s="32"/>
      <c r="P885" s="32"/>
    </row>
    <row r="886">
      <c r="B886" s="35"/>
      <c r="G886" s="30"/>
      <c r="H886" s="30"/>
      <c r="L886" s="30"/>
      <c r="M886" s="30"/>
      <c r="O886" s="32"/>
      <c r="P886" s="32"/>
    </row>
    <row r="887">
      <c r="B887" s="35"/>
      <c r="G887" s="30"/>
      <c r="H887" s="30"/>
      <c r="L887" s="30"/>
      <c r="M887" s="30"/>
      <c r="O887" s="32"/>
      <c r="P887" s="32"/>
    </row>
    <row r="888">
      <c r="B888" s="35"/>
      <c r="G888" s="30"/>
      <c r="H888" s="30"/>
      <c r="L888" s="30"/>
      <c r="M888" s="30"/>
      <c r="O888" s="32"/>
      <c r="P888" s="32"/>
    </row>
    <row r="889">
      <c r="B889" s="35"/>
      <c r="G889" s="30"/>
      <c r="H889" s="30"/>
      <c r="L889" s="30"/>
      <c r="M889" s="30"/>
      <c r="O889" s="32"/>
      <c r="P889" s="32"/>
    </row>
    <row r="890">
      <c r="B890" s="35"/>
      <c r="G890" s="30"/>
      <c r="H890" s="30"/>
      <c r="L890" s="30"/>
      <c r="M890" s="30"/>
      <c r="O890" s="32"/>
      <c r="P890" s="32"/>
    </row>
    <row r="891">
      <c r="B891" s="35"/>
      <c r="G891" s="30"/>
      <c r="H891" s="30"/>
      <c r="L891" s="30"/>
      <c r="M891" s="30"/>
      <c r="O891" s="32"/>
      <c r="P891" s="32"/>
    </row>
    <row r="892">
      <c r="B892" s="35"/>
      <c r="G892" s="30"/>
      <c r="H892" s="30"/>
      <c r="L892" s="30"/>
      <c r="M892" s="30"/>
      <c r="O892" s="32"/>
      <c r="P892" s="32"/>
    </row>
    <row r="893">
      <c r="B893" s="35"/>
      <c r="G893" s="30"/>
      <c r="H893" s="30"/>
      <c r="L893" s="30"/>
      <c r="M893" s="30"/>
      <c r="O893" s="32"/>
      <c r="P893" s="32"/>
    </row>
    <row r="894">
      <c r="B894" s="35"/>
      <c r="G894" s="30"/>
      <c r="H894" s="30"/>
      <c r="L894" s="30"/>
      <c r="M894" s="30"/>
      <c r="O894" s="32"/>
      <c r="P894" s="32"/>
    </row>
    <row r="895">
      <c r="B895" s="35"/>
      <c r="G895" s="30"/>
      <c r="H895" s="30"/>
      <c r="L895" s="30"/>
      <c r="M895" s="30"/>
      <c r="O895" s="32"/>
      <c r="P895" s="32"/>
    </row>
    <row r="896">
      <c r="B896" s="35"/>
      <c r="G896" s="30"/>
      <c r="H896" s="30"/>
      <c r="L896" s="30"/>
      <c r="M896" s="30"/>
      <c r="O896" s="32"/>
      <c r="P896" s="32"/>
    </row>
    <row r="897">
      <c r="B897" s="35"/>
      <c r="G897" s="30"/>
      <c r="H897" s="30"/>
      <c r="L897" s="30"/>
      <c r="M897" s="30"/>
      <c r="O897" s="32"/>
      <c r="P897" s="32"/>
    </row>
    <row r="898">
      <c r="B898" s="35"/>
      <c r="G898" s="30"/>
      <c r="H898" s="30"/>
      <c r="L898" s="30"/>
      <c r="M898" s="30"/>
      <c r="O898" s="32"/>
      <c r="P898" s="32"/>
    </row>
    <row r="899">
      <c r="B899" s="35"/>
      <c r="G899" s="30"/>
      <c r="H899" s="30"/>
      <c r="L899" s="30"/>
      <c r="M899" s="30"/>
      <c r="O899" s="32"/>
      <c r="P899" s="32"/>
    </row>
    <row r="900">
      <c r="B900" s="35"/>
      <c r="G900" s="30"/>
      <c r="H900" s="30"/>
      <c r="L900" s="30"/>
      <c r="M900" s="30"/>
      <c r="O900" s="32"/>
      <c r="P900" s="32"/>
    </row>
    <row r="901">
      <c r="B901" s="35"/>
      <c r="G901" s="30"/>
      <c r="H901" s="30"/>
      <c r="L901" s="30"/>
      <c r="M901" s="30"/>
      <c r="O901" s="32"/>
      <c r="P901" s="32"/>
    </row>
    <row r="902">
      <c r="B902" s="35"/>
      <c r="G902" s="30"/>
      <c r="H902" s="30"/>
      <c r="L902" s="30"/>
      <c r="M902" s="30"/>
      <c r="O902" s="32"/>
      <c r="P902" s="32"/>
    </row>
    <row r="903">
      <c r="B903" s="35"/>
      <c r="G903" s="30"/>
      <c r="H903" s="30"/>
      <c r="L903" s="30"/>
      <c r="M903" s="30"/>
      <c r="O903" s="32"/>
      <c r="P903" s="32"/>
    </row>
    <row r="904">
      <c r="B904" s="35"/>
      <c r="G904" s="30"/>
      <c r="H904" s="30"/>
      <c r="L904" s="30"/>
      <c r="M904" s="30"/>
      <c r="O904" s="32"/>
      <c r="P904" s="32"/>
    </row>
    <row r="905">
      <c r="B905" s="35"/>
      <c r="G905" s="30"/>
      <c r="H905" s="30"/>
      <c r="L905" s="30"/>
      <c r="M905" s="30"/>
      <c r="O905" s="32"/>
      <c r="P905" s="32"/>
    </row>
    <row r="906">
      <c r="B906" s="35"/>
      <c r="G906" s="30"/>
      <c r="H906" s="30"/>
      <c r="L906" s="30"/>
      <c r="M906" s="30"/>
      <c r="O906" s="32"/>
      <c r="P906" s="32"/>
    </row>
    <row r="907">
      <c r="B907" s="35"/>
      <c r="G907" s="30"/>
      <c r="H907" s="30"/>
      <c r="L907" s="30"/>
      <c r="M907" s="30"/>
      <c r="O907" s="32"/>
      <c r="P907" s="32"/>
    </row>
    <row r="908">
      <c r="B908" s="35"/>
      <c r="G908" s="30"/>
      <c r="H908" s="30"/>
      <c r="L908" s="30"/>
      <c r="M908" s="30"/>
      <c r="O908" s="32"/>
      <c r="P908" s="32"/>
    </row>
    <row r="909">
      <c r="B909" s="35"/>
      <c r="G909" s="30"/>
      <c r="H909" s="30"/>
      <c r="L909" s="30"/>
      <c r="M909" s="30"/>
      <c r="O909" s="32"/>
      <c r="P909" s="32"/>
    </row>
    <row r="910">
      <c r="B910" s="35"/>
      <c r="G910" s="30"/>
      <c r="H910" s="30"/>
      <c r="L910" s="30"/>
      <c r="M910" s="30"/>
      <c r="O910" s="32"/>
      <c r="P910" s="32"/>
    </row>
    <row r="911">
      <c r="B911" s="35"/>
      <c r="G911" s="30"/>
      <c r="H911" s="30"/>
      <c r="L911" s="30"/>
      <c r="M911" s="30"/>
      <c r="O911" s="32"/>
      <c r="P911" s="32"/>
    </row>
    <row r="912">
      <c r="B912" s="35"/>
      <c r="G912" s="30"/>
      <c r="H912" s="30"/>
      <c r="L912" s="30"/>
      <c r="M912" s="30"/>
      <c r="O912" s="32"/>
      <c r="P912" s="32"/>
    </row>
    <row r="913">
      <c r="B913" s="35"/>
      <c r="G913" s="30"/>
      <c r="H913" s="30"/>
      <c r="L913" s="30"/>
      <c r="M913" s="30"/>
      <c r="O913" s="32"/>
      <c r="P913" s="32"/>
    </row>
    <row r="914">
      <c r="B914" s="35"/>
      <c r="G914" s="30"/>
      <c r="H914" s="30"/>
      <c r="L914" s="30"/>
      <c r="M914" s="30"/>
      <c r="O914" s="32"/>
      <c r="P914" s="32"/>
    </row>
    <row r="915">
      <c r="B915" s="35"/>
      <c r="G915" s="30"/>
      <c r="H915" s="30"/>
      <c r="L915" s="30"/>
      <c r="M915" s="30"/>
      <c r="O915" s="32"/>
      <c r="P915" s="32"/>
    </row>
    <row r="916">
      <c r="B916" s="35"/>
      <c r="G916" s="30"/>
      <c r="H916" s="30"/>
      <c r="L916" s="30"/>
      <c r="M916" s="30"/>
      <c r="O916" s="32"/>
      <c r="P916" s="32"/>
    </row>
    <row r="917">
      <c r="B917" s="35"/>
      <c r="G917" s="30"/>
      <c r="H917" s="30"/>
      <c r="L917" s="30"/>
      <c r="M917" s="30"/>
      <c r="O917" s="32"/>
      <c r="P917" s="32"/>
    </row>
    <row r="918">
      <c r="B918" s="35"/>
      <c r="G918" s="30"/>
      <c r="H918" s="30"/>
      <c r="L918" s="30"/>
      <c r="M918" s="30"/>
      <c r="O918" s="32"/>
      <c r="P918" s="32"/>
    </row>
    <row r="919">
      <c r="B919" s="35"/>
      <c r="G919" s="30"/>
      <c r="H919" s="30"/>
      <c r="L919" s="30"/>
      <c r="M919" s="30"/>
      <c r="O919" s="32"/>
      <c r="P919" s="32"/>
    </row>
    <row r="920">
      <c r="B920" s="35"/>
      <c r="G920" s="30"/>
      <c r="H920" s="30"/>
      <c r="L920" s="30"/>
      <c r="M920" s="30"/>
      <c r="O920" s="32"/>
      <c r="P920" s="32"/>
    </row>
    <row r="921">
      <c r="B921" s="35"/>
      <c r="G921" s="30"/>
      <c r="H921" s="30"/>
      <c r="L921" s="30"/>
      <c r="M921" s="30"/>
      <c r="O921" s="32"/>
      <c r="P921" s="32"/>
    </row>
    <row r="922">
      <c r="B922" s="35"/>
      <c r="G922" s="30"/>
      <c r="H922" s="30"/>
      <c r="L922" s="30"/>
      <c r="M922" s="30"/>
      <c r="O922" s="32"/>
      <c r="P922" s="32"/>
    </row>
    <row r="923">
      <c r="B923" s="35"/>
      <c r="G923" s="30"/>
      <c r="H923" s="30"/>
      <c r="L923" s="30"/>
      <c r="M923" s="30"/>
      <c r="O923" s="32"/>
      <c r="P923" s="32"/>
    </row>
    <row r="924">
      <c r="B924" s="35"/>
      <c r="G924" s="30"/>
      <c r="H924" s="30"/>
      <c r="L924" s="30"/>
      <c r="M924" s="30"/>
      <c r="O924" s="32"/>
      <c r="P924" s="32"/>
    </row>
    <row r="925">
      <c r="B925" s="35"/>
      <c r="G925" s="30"/>
      <c r="H925" s="30"/>
      <c r="L925" s="30"/>
      <c r="M925" s="30"/>
      <c r="O925" s="32"/>
      <c r="P925" s="32"/>
    </row>
    <row r="926">
      <c r="B926" s="35"/>
      <c r="G926" s="30"/>
      <c r="H926" s="30"/>
      <c r="L926" s="30"/>
      <c r="M926" s="30"/>
      <c r="O926" s="32"/>
      <c r="P926" s="32"/>
    </row>
    <row r="927">
      <c r="B927" s="35"/>
      <c r="G927" s="30"/>
      <c r="H927" s="30"/>
      <c r="L927" s="30"/>
      <c r="M927" s="30"/>
      <c r="O927" s="32"/>
      <c r="P927" s="32"/>
    </row>
    <row r="928">
      <c r="B928" s="35"/>
      <c r="G928" s="30"/>
      <c r="H928" s="30"/>
      <c r="L928" s="30"/>
      <c r="M928" s="30"/>
      <c r="O928" s="32"/>
      <c r="P928" s="32"/>
    </row>
    <row r="929">
      <c r="B929" s="35"/>
      <c r="G929" s="30"/>
      <c r="H929" s="30"/>
      <c r="L929" s="30"/>
      <c r="M929" s="30"/>
      <c r="O929" s="32"/>
      <c r="P929" s="32"/>
    </row>
    <row r="930">
      <c r="B930" s="35"/>
      <c r="G930" s="30"/>
      <c r="H930" s="30"/>
      <c r="L930" s="30"/>
      <c r="M930" s="30"/>
      <c r="O930" s="32"/>
      <c r="P930" s="32"/>
    </row>
    <row r="931">
      <c r="B931" s="35"/>
      <c r="G931" s="30"/>
      <c r="H931" s="30"/>
      <c r="L931" s="30"/>
      <c r="M931" s="30"/>
      <c r="O931" s="32"/>
      <c r="P931" s="32"/>
    </row>
    <row r="932">
      <c r="B932" s="35"/>
      <c r="G932" s="30"/>
      <c r="H932" s="30"/>
      <c r="L932" s="30"/>
      <c r="M932" s="30"/>
      <c r="O932" s="32"/>
      <c r="P932" s="32"/>
    </row>
    <row r="933">
      <c r="B933" s="35"/>
      <c r="G933" s="30"/>
      <c r="H933" s="30"/>
      <c r="L933" s="30"/>
      <c r="M933" s="30"/>
      <c r="O933" s="32"/>
      <c r="P933" s="32"/>
    </row>
    <row r="934">
      <c r="B934" s="35"/>
      <c r="G934" s="30"/>
      <c r="H934" s="30"/>
      <c r="L934" s="30"/>
      <c r="M934" s="30"/>
      <c r="O934" s="32"/>
      <c r="P934" s="32"/>
    </row>
    <row r="935">
      <c r="B935" s="35"/>
      <c r="G935" s="30"/>
      <c r="H935" s="30"/>
      <c r="L935" s="30"/>
      <c r="M935" s="30"/>
      <c r="O935" s="32"/>
      <c r="P935" s="32"/>
    </row>
    <row r="936">
      <c r="B936" s="35"/>
      <c r="G936" s="30"/>
      <c r="H936" s="30"/>
      <c r="L936" s="30"/>
      <c r="M936" s="30"/>
      <c r="O936" s="32"/>
      <c r="P936" s="32"/>
    </row>
    <row r="937">
      <c r="B937" s="35"/>
      <c r="G937" s="30"/>
      <c r="H937" s="30"/>
      <c r="L937" s="30"/>
      <c r="M937" s="30"/>
      <c r="O937" s="32"/>
      <c r="P937" s="32"/>
    </row>
    <row r="938">
      <c r="B938" s="35"/>
      <c r="G938" s="30"/>
      <c r="H938" s="30"/>
      <c r="L938" s="30"/>
      <c r="M938" s="30"/>
      <c r="O938" s="32"/>
      <c r="P938" s="32"/>
    </row>
    <row r="939">
      <c r="B939" s="35"/>
      <c r="G939" s="30"/>
      <c r="H939" s="30"/>
      <c r="L939" s="30"/>
      <c r="M939" s="30"/>
      <c r="O939" s="32"/>
      <c r="P939" s="32"/>
    </row>
    <row r="940">
      <c r="B940" s="35"/>
      <c r="G940" s="30"/>
      <c r="H940" s="30"/>
      <c r="L940" s="30"/>
      <c r="M940" s="30"/>
      <c r="O940" s="32"/>
      <c r="P940" s="32"/>
    </row>
    <row r="941">
      <c r="B941" s="35"/>
      <c r="G941" s="30"/>
      <c r="H941" s="30"/>
      <c r="L941" s="30"/>
      <c r="M941" s="30"/>
      <c r="O941" s="32"/>
      <c r="P941" s="32"/>
    </row>
    <row r="942">
      <c r="B942" s="35"/>
      <c r="G942" s="30"/>
      <c r="H942" s="30"/>
      <c r="L942" s="30"/>
      <c r="M942" s="30"/>
      <c r="O942" s="32"/>
      <c r="P942" s="32"/>
    </row>
    <row r="943">
      <c r="B943" s="35"/>
      <c r="G943" s="30"/>
      <c r="H943" s="30"/>
      <c r="L943" s="30"/>
      <c r="M943" s="30"/>
      <c r="O943" s="32"/>
      <c r="P943" s="32"/>
    </row>
    <row r="944">
      <c r="B944" s="35"/>
      <c r="G944" s="30"/>
      <c r="H944" s="30"/>
      <c r="L944" s="30"/>
      <c r="M944" s="30"/>
      <c r="O944" s="32"/>
      <c r="P944" s="32"/>
    </row>
    <row r="945">
      <c r="B945" s="35"/>
      <c r="G945" s="30"/>
      <c r="H945" s="30"/>
      <c r="L945" s="30"/>
      <c r="M945" s="30"/>
      <c r="O945" s="32"/>
      <c r="P945" s="32"/>
    </row>
    <row r="946">
      <c r="B946" s="35"/>
      <c r="G946" s="30"/>
      <c r="H946" s="30"/>
      <c r="L946" s="30"/>
      <c r="M946" s="30"/>
      <c r="O946" s="32"/>
      <c r="P946" s="32"/>
    </row>
    <row r="947">
      <c r="B947" s="35"/>
      <c r="G947" s="30"/>
      <c r="H947" s="30"/>
      <c r="L947" s="30"/>
      <c r="M947" s="30"/>
      <c r="O947" s="32"/>
      <c r="P947" s="32"/>
    </row>
    <row r="948">
      <c r="B948" s="35"/>
      <c r="G948" s="30"/>
      <c r="H948" s="30"/>
      <c r="L948" s="30"/>
      <c r="M948" s="30"/>
      <c r="O948" s="32"/>
      <c r="P948" s="32"/>
    </row>
    <row r="949">
      <c r="B949" s="35"/>
      <c r="G949" s="30"/>
      <c r="H949" s="30"/>
      <c r="L949" s="30"/>
      <c r="M949" s="30"/>
      <c r="O949" s="32"/>
      <c r="P949" s="32"/>
    </row>
    <row r="950">
      <c r="B950" s="35"/>
      <c r="G950" s="30"/>
      <c r="H950" s="30"/>
      <c r="L950" s="30"/>
      <c r="M950" s="30"/>
      <c r="O950" s="32"/>
      <c r="P950" s="32"/>
    </row>
    <row r="951">
      <c r="B951" s="35"/>
      <c r="G951" s="30"/>
      <c r="H951" s="30"/>
      <c r="L951" s="30"/>
      <c r="M951" s="30"/>
      <c r="O951" s="32"/>
      <c r="P951" s="32"/>
    </row>
    <row r="952">
      <c r="B952" s="35"/>
      <c r="G952" s="30"/>
      <c r="H952" s="30"/>
      <c r="L952" s="30"/>
      <c r="M952" s="30"/>
      <c r="O952" s="32"/>
      <c r="P952" s="32"/>
    </row>
    <row r="953">
      <c r="B953" s="35"/>
      <c r="G953" s="30"/>
      <c r="H953" s="30"/>
      <c r="L953" s="30"/>
      <c r="M953" s="30"/>
      <c r="O953" s="32"/>
      <c r="P953" s="32"/>
    </row>
    <row r="954">
      <c r="B954" s="35"/>
      <c r="G954" s="30"/>
      <c r="H954" s="30"/>
      <c r="L954" s="30"/>
      <c r="M954" s="30"/>
      <c r="O954" s="32"/>
      <c r="P954" s="32"/>
    </row>
    <row r="955">
      <c r="B955" s="35"/>
      <c r="G955" s="30"/>
      <c r="H955" s="30"/>
      <c r="L955" s="30"/>
      <c r="M955" s="30"/>
      <c r="O955" s="32"/>
      <c r="P955" s="32"/>
    </row>
    <row r="956">
      <c r="B956" s="35"/>
      <c r="G956" s="30"/>
      <c r="H956" s="30"/>
      <c r="L956" s="30"/>
      <c r="M956" s="30"/>
      <c r="O956" s="32"/>
      <c r="P956" s="32"/>
    </row>
    <row r="957">
      <c r="B957" s="35"/>
      <c r="G957" s="30"/>
      <c r="H957" s="30"/>
      <c r="L957" s="30"/>
      <c r="M957" s="30"/>
      <c r="O957" s="32"/>
      <c r="P957" s="32"/>
    </row>
    <row r="958">
      <c r="B958" s="35"/>
      <c r="G958" s="30"/>
      <c r="H958" s="30"/>
      <c r="L958" s="30"/>
      <c r="M958" s="30"/>
      <c r="O958" s="32"/>
      <c r="P958" s="32"/>
    </row>
    <row r="959">
      <c r="B959" s="35"/>
      <c r="G959" s="30"/>
      <c r="H959" s="30"/>
      <c r="L959" s="30"/>
      <c r="M959" s="30"/>
      <c r="O959" s="32"/>
      <c r="P959" s="32"/>
    </row>
    <row r="960">
      <c r="B960" s="35"/>
      <c r="G960" s="30"/>
      <c r="H960" s="30"/>
      <c r="L960" s="30"/>
      <c r="M960" s="30"/>
      <c r="O960" s="32"/>
      <c r="P960" s="32"/>
    </row>
    <row r="961">
      <c r="B961" s="35"/>
      <c r="G961" s="30"/>
      <c r="H961" s="30"/>
      <c r="L961" s="30"/>
      <c r="M961" s="30"/>
      <c r="O961" s="32"/>
      <c r="P961" s="32"/>
    </row>
    <row r="962">
      <c r="B962" s="35"/>
      <c r="G962" s="30"/>
      <c r="H962" s="30"/>
      <c r="L962" s="30"/>
      <c r="M962" s="30"/>
      <c r="O962" s="32"/>
      <c r="P962" s="32"/>
    </row>
    <row r="963">
      <c r="B963" s="35"/>
      <c r="G963" s="30"/>
      <c r="H963" s="30"/>
      <c r="L963" s="30"/>
      <c r="M963" s="30"/>
      <c r="O963" s="32"/>
      <c r="P963" s="32"/>
    </row>
    <row r="964">
      <c r="B964" s="35"/>
      <c r="G964" s="30"/>
      <c r="H964" s="30"/>
      <c r="L964" s="30"/>
      <c r="M964" s="30"/>
      <c r="O964" s="32"/>
      <c r="P964" s="32"/>
    </row>
    <row r="965">
      <c r="B965" s="35"/>
      <c r="G965" s="30"/>
      <c r="H965" s="30"/>
      <c r="L965" s="30"/>
      <c r="M965" s="30"/>
      <c r="O965" s="32"/>
      <c r="P965" s="32"/>
    </row>
    <row r="966">
      <c r="B966" s="35"/>
      <c r="G966" s="30"/>
      <c r="H966" s="30"/>
      <c r="L966" s="30"/>
      <c r="M966" s="30"/>
      <c r="O966" s="32"/>
      <c r="P966" s="32"/>
    </row>
    <row r="967">
      <c r="B967" s="35"/>
      <c r="G967" s="30"/>
      <c r="H967" s="30"/>
      <c r="L967" s="30"/>
      <c r="M967" s="30"/>
      <c r="O967" s="32"/>
      <c r="P967" s="32"/>
    </row>
    <row r="968">
      <c r="B968" s="35"/>
      <c r="G968" s="30"/>
      <c r="H968" s="30"/>
      <c r="L968" s="30"/>
      <c r="M968" s="30"/>
      <c r="O968" s="32"/>
      <c r="P968" s="32"/>
    </row>
    <row r="969">
      <c r="B969" s="35"/>
      <c r="G969" s="30"/>
      <c r="H969" s="30"/>
      <c r="L969" s="30"/>
      <c r="M969" s="30"/>
      <c r="O969" s="32"/>
      <c r="P969" s="32"/>
    </row>
    <row r="970">
      <c r="B970" s="35"/>
      <c r="G970" s="30"/>
      <c r="H970" s="30"/>
      <c r="L970" s="30"/>
      <c r="M970" s="30"/>
      <c r="O970" s="32"/>
      <c r="P970" s="32"/>
    </row>
    <row r="971">
      <c r="B971" s="35"/>
      <c r="G971" s="30"/>
      <c r="H971" s="30"/>
      <c r="L971" s="30"/>
      <c r="M971" s="30"/>
      <c r="O971" s="32"/>
      <c r="P971" s="32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88"/>
    <col customWidth="1" min="2" max="19" width="9.5"/>
  </cols>
  <sheetData>
    <row r="1">
      <c r="A1" s="1"/>
      <c r="B1" s="2" t="s">
        <v>0</v>
      </c>
      <c r="C1" s="2" t="s">
        <v>2</v>
      </c>
      <c r="D1" s="5" t="s">
        <v>3</v>
      </c>
      <c r="E1" s="2" t="s">
        <v>4</v>
      </c>
      <c r="F1" s="8" t="s">
        <v>6</v>
      </c>
      <c r="G1" s="6" t="s">
        <v>8</v>
      </c>
      <c r="H1" s="6" t="s">
        <v>10</v>
      </c>
      <c r="I1" s="2" t="s">
        <v>12</v>
      </c>
      <c r="J1" s="5" t="s">
        <v>14</v>
      </c>
      <c r="K1" s="2" t="s">
        <v>16</v>
      </c>
      <c r="L1" s="6" t="s">
        <v>19</v>
      </c>
      <c r="M1" s="6" t="s">
        <v>22</v>
      </c>
      <c r="N1" s="2" t="s">
        <v>24</v>
      </c>
      <c r="O1" s="9" t="s">
        <v>26</v>
      </c>
      <c r="P1" s="9" t="s">
        <v>28</v>
      </c>
      <c r="Q1" s="2" t="s">
        <v>30</v>
      </c>
      <c r="R1" s="2" t="s">
        <v>32</v>
      </c>
      <c r="S1" s="9" t="s">
        <v>34</v>
      </c>
    </row>
    <row r="2">
      <c r="A2" s="2" t="s">
        <v>53</v>
      </c>
      <c r="B2" s="11">
        <v>3.0</v>
      </c>
      <c r="C2" s="13">
        <f t="shared" ref="C2:C33" si="1">B2*3</f>
        <v>9</v>
      </c>
      <c r="D2" s="14">
        <v>5.0</v>
      </c>
      <c r="E2" s="11">
        <v>3.0</v>
      </c>
      <c r="F2" s="15">
        <f t="shared" ref="F2:F33" si="2">D2+E2</f>
        <v>8</v>
      </c>
      <c r="G2" s="16">
        <f t="shared" ref="G2:G33" si="3">F2/C2</f>
        <v>0.8888888889</v>
      </c>
      <c r="H2" s="16">
        <f t="shared" ref="H2:H33" si="4">D2/F2</f>
        <v>0.625</v>
      </c>
      <c r="I2" s="13">
        <f t="shared" ref="I2:I33" si="5">J2+K2</f>
        <v>1</v>
      </c>
      <c r="J2" s="14">
        <v>1.0</v>
      </c>
      <c r="K2" s="11">
        <v>0.0</v>
      </c>
      <c r="L2" s="16">
        <f t="shared" ref="L2:L33" si="6">I2/C2</f>
        <v>0.1111111111</v>
      </c>
      <c r="M2" s="16">
        <f>J2/I2</f>
        <v>1</v>
      </c>
      <c r="N2" s="19">
        <f t="shared" ref="N2:N33" si="7">4*(D2-K2)</f>
        <v>20</v>
      </c>
      <c r="O2" s="18">
        <f t="shared" ref="O2:O33" si="8">N2/C2</f>
        <v>2.222222222</v>
      </c>
      <c r="P2" s="18">
        <f t="shared" ref="P2:P33" si="9">N2/B2</f>
        <v>6.666666667</v>
      </c>
      <c r="Q2" s="11">
        <v>4.0</v>
      </c>
      <c r="R2" s="19">
        <f t="shared" ref="R2:R33" si="10">N2+10*Q2</f>
        <v>60</v>
      </c>
      <c r="S2" s="18">
        <f t="shared" ref="S2:S33" si="11">R2/B2</f>
        <v>20</v>
      </c>
    </row>
    <row r="3">
      <c r="A3" s="2" t="s">
        <v>47</v>
      </c>
      <c r="B3" s="11">
        <v>3.0</v>
      </c>
      <c r="C3" s="13">
        <f t="shared" si="1"/>
        <v>9</v>
      </c>
      <c r="D3" s="14">
        <v>4.0</v>
      </c>
      <c r="E3" s="11">
        <v>3.0</v>
      </c>
      <c r="F3" s="15">
        <f t="shared" si="2"/>
        <v>7</v>
      </c>
      <c r="G3" s="16">
        <f t="shared" si="3"/>
        <v>0.7777777778</v>
      </c>
      <c r="H3" s="16">
        <f t="shared" si="4"/>
        <v>0.5714285714</v>
      </c>
      <c r="I3" s="13">
        <f t="shared" si="5"/>
        <v>0</v>
      </c>
      <c r="J3" s="14">
        <v>0.0</v>
      </c>
      <c r="K3" s="11">
        <v>0.0</v>
      </c>
      <c r="L3" s="16">
        <f t="shared" si="6"/>
        <v>0</v>
      </c>
      <c r="M3" s="11" t="s">
        <v>41</v>
      </c>
      <c r="N3" s="19">
        <f t="shared" si="7"/>
        <v>16</v>
      </c>
      <c r="O3" s="18">
        <f t="shared" si="8"/>
        <v>1.777777778</v>
      </c>
      <c r="P3" s="18">
        <f t="shared" si="9"/>
        <v>5.333333333</v>
      </c>
      <c r="Q3" s="11">
        <v>3.0</v>
      </c>
      <c r="R3" s="19">
        <f t="shared" si="10"/>
        <v>46</v>
      </c>
      <c r="S3" s="18">
        <f t="shared" si="11"/>
        <v>15.33333333</v>
      </c>
    </row>
    <row r="4">
      <c r="A4" s="2" t="s">
        <v>62</v>
      </c>
      <c r="B4" s="11">
        <v>3.0</v>
      </c>
      <c r="C4" s="13">
        <f t="shared" si="1"/>
        <v>9</v>
      </c>
      <c r="D4" s="14">
        <v>4.0</v>
      </c>
      <c r="E4" s="20">
        <v>3.0</v>
      </c>
      <c r="F4" s="25">
        <f t="shared" si="2"/>
        <v>7</v>
      </c>
      <c r="G4" s="23">
        <f t="shared" si="3"/>
        <v>0.7777777778</v>
      </c>
      <c r="H4" s="23">
        <f t="shared" si="4"/>
        <v>0.5714285714</v>
      </c>
      <c r="I4" s="13">
        <f t="shared" si="5"/>
        <v>0</v>
      </c>
      <c r="J4" s="14">
        <v>0.0</v>
      </c>
      <c r="K4" s="11">
        <v>0.0</v>
      </c>
      <c r="L4" s="16">
        <f t="shared" si="6"/>
        <v>0</v>
      </c>
      <c r="M4" s="11" t="s">
        <v>41</v>
      </c>
      <c r="N4" s="19">
        <f t="shared" si="7"/>
        <v>16</v>
      </c>
      <c r="O4" s="18">
        <f t="shared" si="8"/>
        <v>1.777777778</v>
      </c>
      <c r="P4" s="18">
        <f t="shared" si="9"/>
        <v>5.333333333</v>
      </c>
      <c r="Q4" s="11">
        <v>3.0</v>
      </c>
      <c r="R4" s="19">
        <f t="shared" si="10"/>
        <v>46</v>
      </c>
      <c r="S4" s="18">
        <f t="shared" si="11"/>
        <v>15.33333333</v>
      </c>
    </row>
    <row r="5">
      <c r="A5" s="2" t="s">
        <v>44</v>
      </c>
      <c r="B5" s="11">
        <v>3.0</v>
      </c>
      <c r="C5" s="13">
        <f t="shared" si="1"/>
        <v>9</v>
      </c>
      <c r="D5" s="14">
        <v>3.0</v>
      </c>
      <c r="E5" s="11">
        <v>3.0</v>
      </c>
      <c r="F5" s="15">
        <f t="shared" si="2"/>
        <v>6</v>
      </c>
      <c r="G5" s="16">
        <f t="shared" si="3"/>
        <v>0.6666666667</v>
      </c>
      <c r="H5" s="16">
        <f t="shared" si="4"/>
        <v>0.5</v>
      </c>
      <c r="I5" s="13">
        <f t="shared" si="5"/>
        <v>0</v>
      </c>
      <c r="J5" s="14">
        <v>0.0</v>
      </c>
      <c r="K5" s="11">
        <v>0.0</v>
      </c>
      <c r="L5" s="16">
        <f t="shared" si="6"/>
        <v>0</v>
      </c>
      <c r="M5" s="11" t="s">
        <v>41</v>
      </c>
      <c r="N5" s="19">
        <f t="shared" si="7"/>
        <v>12</v>
      </c>
      <c r="O5" s="18">
        <f t="shared" si="8"/>
        <v>1.333333333</v>
      </c>
      <c r="P5" s="18">
        <f t="shared" si="9"/>
        <v>4</v>
      </c>
      <c r="Q5" s="11">
        <v>3.0</v>
      </c>
      <c r="R5" s="19">
        <f t="shared" si="10"/>
        <v>42</v>
      </c>
      <c r="S5" s="18">
        <f t="shared" si="11"/>
        <v>14</v>
      </c>
    </row>
    <row r="6">
      <c r="A6" s="2" t="s">
        <v>88</v>
      </c>
      <c r="B6" s="11">
        <v>3.0</v>
      </c>
      <c r="C6" s="13">
        <f t="shared" si="1"/>
        <v>9</v>
      </c>
      <c r="D6" s="14">
        <v>2.0</v>
      </c>
      <c r="E6" s="20">
        <v>5.0</v>
      </c>
      <c r="F6" s="25">
        <f t="shared" si="2"/>
        <v>7</v>
      </c>
      <c r="G6" s="23">
        <f t="shared" si="3"/>
        <v>0.7777777778</v>
      </c>
      <c r="H6" s="23">
        <f t="shared" si="4"/>
        <v>0.2857142857</v>
      </c>
      <c r="I6" s="13">
        <f t="shared" si="5"/>
        <v>0</v>
      </c>
      <c r="J6" s="14">
        <v>0.0</v>
      </c>
      <c r="K6" s="11">
        <v>0.0</v>
      </c>
      <c r="L6" s="16">
        <f t="shared" si="6"/>
        <v>0</v>
      </c>
      <c r="M6" s="11" t="s">
        <v>41</v>
      </c>
      <c r="N6" s="19">
        <f t="shared" si="7"/>
        <v>8</v>
      </c>
      <c r="O6" s="18">
        <f t="shared" si="8"/>
        <v>0.8888888889</v>
      </c>
      <c r="P6" s="18">
        <f t="shared" si="9"/>
        <v>2.666666667</v>
      </c>
      <c r="Q6" s="11">
        <v>2.0</v>
      </c>
      <c r="R6" s="19">
        <f t="shared" si="10"/>
        <v>28</v>
      </c>
      <c r="S6" s="18">
        <f t="shared" si="11"/>
        <v>9.333333333</v>
      </c>
    </row>
    <row r="7">
      <c r="A7" s="2" t="s">
        <v>101</v>
      </c>
      <c r="B7" s="11">
        <v>3.0</v>
      </c>
      <c r="C7" s="13">
        <f t="shared" si="1"/>
        <v>9</v>
      </c>
      <c r="D7" s="14">
        <v>3.0</v>
      </c>
      <c r="E7" s="11">
        <v>2.0</v>
      </c>
      <c r="F7" s="15">
        <f t="shared" si="2"/>
        <v>5</v>
      </c>
      <c r="G7" s="16">
        <f t="shared" si="3"/>
        <v>0.5555555556</v>
      </c>
      <c r="H7" s="16">
        <f t="shared" si="4"/>
        <v>0.6</v>
      </c>
      <c r="I7" s="13">
        <f t="shared" si="5"/>
        <v>1</v>
      </c>
      <c r="J7" s="14">
        <v>1.0</v>
      </c>
      <c r="K7" s="11">
        <v>0.0</v>
      </c>
      <c r="L7" s="16">
        <f t="shared" si="6"/>
        <v>0.1111111111</v>
      </c>
      <c r="M7" s="16">
        <f>J7/I7</f>
        <v>1</v>
      </c>
      <c r="N7" s="19">
        <f t="shared" si="7"/>
        <v>12</v>
      </c>
      <c r="O7" s="18">
        <f t="shared" si="8"/>
        <v>1.333333333</v>
      </c>
      <c r="P7" s="18">
        <f t="shared" si="9"/>
        <v>4</v>
      </c>
      <c r="Q7" s="11">
        <v>1.0</v>
      </c>
      <c r="R7" s="19">
        <f t="shared" si="10"/>
        <v>22</v>
      </c>
      <c r="S7" s="18">
        <f t="shared" si="11"/>
        <v>7.333333333</v>
      </c>
    </row>
    <row r="8">
      <c r="A8" s="2" t="s">
        <v>39</v>
      </c>
      <c r="B8" s="11">
        <v>3.0</v>
      </c>
      <c r="C8" s="13">
        <f t="shared" si="1"/>
        <v>9</v>
      </c>
      <c r="D8" s="14">
        <v>3.0</v>
      </c>
      <c r="E8" s="11">
        <v>6.0</v>
      </c>
      <c r="F8" s="15">
        <f t="shared" si="2"/>
        <v>9</v>
      </c>
      <c r="G8" s="16">
        <f t="shared" si="3"/>
        <v>1</v>
      </c>
      <c r="H8" s="16">
        <f t="shared" si="4"/>
        <v>0.3333333333</v>
      </c>
      <c r="I8" s="13">
        <f t="shared" si="5"/>
        <v>0</v>
      </c>
      <c r="J8" s="14">
        <v>0.0</v>
      </c>
      <c r="K8" s="11">
        <v>0.0</v>
      </c>
      <c r="L8" s="16">
        <f t="shared" si="6"/>
        <v>0</v>
      </c>
      <c r="M8" s="11" t="s">
        <v>41</v>
      </c>
      <c r="N8" s="19">
        <f t="shared" si="7"/>
        <v>12</v>
      </c>
      <c r="O8" s="18">
        <f t="shared" si="8"/>
        <v>1.333333333</v>
      </c>
      <c r="P8" s="18">
        <f t="shared" si="9"/>
        <v>4</v>
      </c>
      <c r="Q8" s="11">
        <v>1.0</v>
      </c>
      <c r="R8" s="19">
        <f t="shared" si="10"/>
        <v>22</v>
      </c>
      <c r="S8" s="18">
        <f t="shared" si="11"/>
        <v>7.333333333</v>
      </c>
    </row>
    <row r="9">
      <c r="A9" s="2" t="s">
        <v>85</v>
      </c>
      <c r="B9" s="11">
        <v>3.0</v>
      </c>
      <c r="C9" s="13">
        <f t="shared" si="1"/>
        <v>9</v>
      </c>
      <c r="D9" s="14">
        <v>5.0</v>
      </c>
      <c r="E9" s="20">
        <v>1.0</v>
      </c>
      <c r="F9" s="25">
        <f t="shared" si="2"/>
        <v>6</v>
      </c>
      <c r="G9" s="23">
        <f t="shared" si="3"/>
        <v>0.6666666667</v>
      </c>
      <c r="H9" s="23">
        <f t="shared" si="4"/>
        <v>0.8333333333</v>
      </c>
      <c r="I9" s="13">
        <f t="shared" si="5"/>
        <v>0</v>
      </c>
      <c r="J9" s="14">
        <v>0.0</v>
      </c>
      <c r="K9" s="11">
        <v>0.0</v>
      </c>
      <c r="L9" s="16">
        <f t="shared" si="6"/>
        <v>0</v>
      </c>
      <c r="M9" s="11" t="s">
        <v>41</v>
      </c>
      <c r="N9" s="19">
        <f t="shared" si="7"/>
        <v>20</v>
      </c>
      <c r="O9" s="18">
        <f t="shared" si="8"/>
        <v>2.222222222</v>
      </c>
      <c r="P9" s="18">
        <f t="shared" si="9"/>
        <v>6.666666667</v>
      </c>
      <c r="Q9" s="11">
        <v>0.0</v>
      </c>
      <c r="R9" s="19">
        <f t="shared" si="10"/>
        <v>20</v>
      </c>
      <c r="S9" s="18">
        <f t="shared" si="11"/>
        <v>6.666666667</v>
      </c>
    </row>
    <row r="10">
      <c r="A10" s="2" t="s">
        <v>59</v>
      </c>
      <c r="B10" s="11">
        <v>3.0</v>
      </c>
      <c r="C10" s="13">
        <f t="shared" si="1"/>
        <v>9</v>
      </c>
      <c r="D10" s="14">
        <v>5.0</v>
      </c>
      <c r="E10" s="11">
        <v>1.0</v>
      </c>
      <c r="F10" s="15">
        <f t="shared" si="2"/>
        <v>6</v>
      </c>
      <c r="G10" s="16">
        <f t="shared" si="3"/>
        <v>0.6666666667</v>
      </c>
      <c r="H10" s="16">
        <f t="shared" si="4"/>
        <v>0.8333333333</v>
      </c>
      <c r="I10" s="13">
        <f t="shared" si="5"/>
        <v>1</v>
      </c>
      <c r="J10" s="14">
        <v>1.0</v>
      </c>
      <c r="K10" s="11">
        <v>0.0</v>
      </c>
      <c r="L10" s="16">
        <f t="shared" si="6"/>
        <v>0.1111111111</v>
      </c>
      <c r="M10" s="16">
        <f t="shared" ref="M10:M12" si="12">J10/I10</f>
        <v>1</v>
      </c>
      <c r="N10" s="19">
        <f t="shared" si="7"/>
        <v>20</v>
      </c>
      <c r="O10" s="18">
        <f t="shared" si="8"/>
        <v>2.222222222</v>
      </c>
      <c r="P10" s="18">
        <f t="shared" si="9"/>
        <v>6.666666667</v>
      </c>
      <c r="Q10" s="11">
        <v>0.0</v>
      </c>
      <c r="R10" s="19">
        <f t="shared" si="10"/>
        <v>20</v>
      </c>
      <c r="S10" s="18">
        <f t="shared" si="11"/>
        <v>6.666666667</v>
      </c>
    </row>
    <row r="11">
      <c r="A11" s="2" t="s">
        <v>63</v>
      </c>
      <c r="B11" s="11">
        <v>3.0</v>
      </c>
      <c r="C11" s="13">
        <f t="shared" si="1"/>
        <v>9</v>
      </c>
      <c r="D11" s="14">
        <v>3.0</v>
      </c>
      <c r="E11" s="11">
        <v>5.0</v>
      </c>
      <c r="F11" s="15">
        <f t="shared" si="2"/>
        <v>8</v>
      </c>
      <c r="G11" s="16">
        <f t="shared" si="3"/>
        <v>0.8888888889</v>
      </c>
      <c r="H11" s="16">
        <f t="shared" si="4"/>
        <v>0.375</v>
      </c>
      <c r="I11" s="13">
        <f t="shared" si="5"/>
        <v>1</v>
      </c>
      <c r="J11" s="14">
        <v>0.0</v>
      </c>
      <c r="K11" s="11">
        <v>1.0</v>
      </c>
      <c r="L11" s="16">
        <f t="shared" si="6"/>
        <v>0.1111111111</v>
      </c>
      <c r="M11" s="16">
        <f t="shared" si="12"/>
        <v>0</v>
      </c>
      <c r="N11" s="19">
        <f t="shared" si="7"/>
        <v>8</v>
      </c>
      <c r="O11" s="18">
        <f t="shared" si="8"/>
        <v>0.8888888889</v>
      </c>
      <c r="P11" s="18">
        <f t="shared" si="9"/>
        <v>2.666666667</v>
      </c>
      <c r="Q11" s="11">
        <v>1.0</v>
      </c>
      <c r="R11" s="19">
        <f t="shared" si="10"/>
        <v>18</v>
      </c>
      <c r="S11" s="18">
        <f t="shared" si="11"/>
        <v>6</v>
      </c>
    </row>
    <row r="12">
      <c r="A12" s="2" t="s">
        <v>51</v>
      </c>
      <c r="B12" s="11">
        <v>3.0</v>
      </c>
      <c r="C12" s="13">
        <f t="shared" si="1"/>
        <v>9</v>
      </c>
      <c r="D12" s="14">
        <v>3.0</v>
      </c>
      <c r="E12" s="11">
        <v>5.0</v>
      </c>
      <c r="F12" s="15">
        <f t="shared" si="2"/>
        <v>8</v>
      </c>
      <c r="G12" s="16">
        <f t="shared" si="3"/>
        <v>0.8888888889</v>
      </c>
      <c r="H12" s="16">
        <f t="shared" si="4"/>
        <v>0.375</v>
      </c>
      <c r="I12" s="13">
        <f t="shared" si="5"/>
        <v>3</v>
      </c>
      <c r="J12" s="14">
        <v>2.0</v>
      </c>
      <c r="K12" s="11">
        <v>1.0</v>
      </c>
      <c r="L12" s="16">
        <f t="shared" si="6"/>
        <v>0.3333333333</v>
      </c>
      <c r="M12" s="16">
        <f t="shared" si="12"/>
        <v>0.6666666667</v>
      </c>
      <c r="N12" s="19">
        <f t="shared" si="7"/>
        <v>8</v>
      </c>
      <c r="O12" s="18">
        <f t="shared" si="8"/>
        <v>0.8888888889</v>
      </c>
      <c r="P12" s="18">
        <f t="shared" si="9"/>
        <v>2.666666667</v>
      </c>
      <c r="Q12" s="11">
        <v>1.0</v>
      </c>
      <c r="R12" s="19">
        <f t="shared" si="10"/>
        <v>18</v>
      </c>
      <c r="S12" s="18">
        <f t="shared" si="11"/>
        <v>6</v>
      </c>
    </row>
    <row r="13">
      <c r="A13" s="2" t="s">
        <v>81</v>
      </c>
      <c r="B13" s="11">
        <v>3.0</v>
      </c>
      <c r="C13" s="13">
        <f t="shared" si="1"/>
        <v>9</v>
      </c>
      <c r="D13" s="14">
        <v>2.0</v>
      </c>
      <c r="E13" s="11">
        <v>7.0</v>
      </c>
      <c r="F13" s="15">
        <f t="shared" si="2"/>
        <v>9</v>
      </c>
      <c r="G13" s="16">
        <f t="shared" si="3"/>
        <v>1</v>
      </c>
      <c r="H13" s="16">
        <f t="shared" si="4"/>
        <v>0.2222222222</v>
      </c>
      <c r="I13" s="13">
        <f t="shared" si="5"/>
        <v>0</v>
      </c>
      <c r="J13" s="14">
        <v>0.0</v>
      </c>
      <c r="K13" s="11">
        <v>0.0</v>
      </c>
      <c r="L13" s="16">
        <f t="shared" si="6"/>
        <v>0</v>
      </c>
      <c r="M13" s="11" t="s">
        <v>41</v>
      </c>
      <c r="N13" s="19">
        <f t="shared" si="7"/>
        <v>8</v>
      </c>
      <c r="O13" s="18">
        <f t="shared" si="8"/>
        <v>0.8888888889</v>
      </c>
      <c r="P13" s="18">
        <f t="shared" si="9"/>
        <v>2.666666667</v>
      </c>
      <c r="Q13" s="11">
        <v>1.0</v>
      </c>
      <c r="R13" s="19">
        <f t="shared" si="10"/>
        <v>18</v>
      </c>
      <c r="S13" s="18">
        <f t="shared" si="11"/>
        <v>6</v>
      </c>
    </row>
    <row r="14">
      <c r="A14" s="2" t="s">
        <v>98</v>
      </c>
      <c r="B14" s="11">
        <v>3.0</v>
      </c>
      <c r="C14" s="13">
        <f t="shared" si="1"/>
        <v>9</v>
      </c>
      <c r="D14" s="14">
        <v>4.0</v>
      </c>
      <c r="E14" s="20">
        <v>2.0</v>
      </c>
      <c r="F14" s="25">
        <f t="shared" si="2"/>
        <v>6</v>
      </c>
      <c r="G14" s="23">
        <f t="shared" si="3"/>
        <v>0.6666666667</v>
      </c>
      <c r="H14" s="23">
        <f t="shared" si="4"/>
        <v>0.6666666667</v>
      </c>
      <c r="I14" s="13">
        <f t="shared" si="5"/>
        <v>1</v>
      </c>
      <c r="J14" s="14">
        <v>1.0</v>
      </c>
      <c r="K14" s="11">
        <v>0.0</v>
      </c>
      <c r="L14" s="16">
        <f t="shared" si="6"/>
        <v>0.1111111111</v>
      </c>
      <c r="M14" s="16">
        <f>J14/I14</f>
        <v>1</v>
      </c>
      <c r="N14" s="19">
        <f t="shared" si="7"/>
        <v>16</v>
      </c>
      <c r="O14" s="18">
        <f t="shared" si="8"/>
        <v>1.777777778</v>
      </c>
      <c r="P14" s="18">
        <f t="shared" si="9"/>
        <v>5.333333333</v>
      </c>
      <c r="Q14" s="11">
        <v>0.0</v>
      </c>
      <c r="R14" s="19">
        <f t="shared" si="10"/>
        <v>16</v>
      </c>
      <c r="S14" s="18">
        <f t="shared" si="11"/>
        <v>5.333333333</v>
      </c>
    </row>
    <row r="15">
      <c r="A15" s="2" t="s">
        <v>90</v>
      </c>
      <c r="B15" s="11">
        <v>3.0</v>
      </c>
      <c r="C15" s="13">
        <f t="shared" si="1"/>
        <v>9</v>
      </c>
      <c r="D15" s="14">
        <v>1.0</v>
      </c>
      <c r="E15" s="11">
        <v>5.0</v>
      </c>
      <c r="F15" s="15">
        <f t="shared" si="2"/>
        <v>6</v>
      </c>
      <c r="G15" s="16">
        <f t="shared" si="3"/>
        <v>0.6666666667</v>
      </c>
      <c r="H15" s="16">
        <f t="shared" si="4"/>
        <v>0.1666666667</v>
      </c>
      <c r="I15" s="13">
        <f t="shared" si="5"/>
        <v>0</v>
      </c>
      <c r="J15" s="14">
        <v>0.0</v>
      </c>
      <c r="K15" s="11">
        <v>0.0</v>
      </c>
      <c r="L15" s="16">
        <f t="shared" si="6"/>
        <v>0</v>
      </c>
      <c r="M15" s="11" t="s">
        <v>41</v>
      </c>
      <c r="N15" s="19">
        <f t="shared" si="7"/>
        <v>4</v>
      </c>
      <c r="O15" s="18">
        <f t="shared" si="8"/>
        <v>0.4444444444</v>
      </c>
      <c r="P15" s="18">
        <f t="shared" si="9"/>
        <v>1.333333333</v>
      </c>
      <c r="Q15" s="11">
        <v>1.0</v>
      </c>
      <c r="R15" s="19">
        <f t="shared" si="10"/>
        <v>14</v>
      </c>
      <c r="S15" s="18">
        <f t="shared" si="11"/>
        <v>4.666666667</v>
      </c>
    </row>
    <row r="16">
      <c r="A16" s="2" t="s">
        <v>114</v>
      </c>
      <c r="B16" s="11">
        <v>3.0</v>
      </c>
      <c r="C16" s="13">
        <f t="shared" si="1"/>
        <v>9</v>
      </c>
      <c r="D16" s="14">
        <v>3.0</v>
      </c>
      <c r="E16" s="11">
        <v>4.0</v>
      </c>
      <c r="F16" s="15">
        <f t="shared" si="2"/>
        <v>7</v>
      </c>
      <c r="G16" s="16">
        <f t="shared" si="3"/>
        <v>0.7777777778</v>
      </c>
      <c r="H16" s="16">
        <f t="shared" si="4"/>
        <v>0.4285714286</v>
      </c>
      <c r="I16" s="13">
        <f t="shared" si="5"/>
        <v>0</v>
      </c>
      <c r="J16" s="14">
        <v>0.0</v>
      </c>
      <c r="K16" s="11">
        <v>0.0</v>
      </c>
      <c r="L16" s="16">
        <f t="shared" si="6"/>
        <v>0</v>
      </c>
      <c r="M16" s="11" t="s">
        <v>41</v>
      </c>
      <c r="N16" s="19">
        <f t="shared" si="7"/>
        <v>12</v>
      </c>
      <c r="O16" s="18">
        <f t="shared" si="8"/>
        <v>1.333333333</v>
      </c>
      <c r="P16" s="18">
        <f t="shared" si="9"/>
        <v>4</v>
      </c>
      <c r="Q16" s="11">
        <v>0.0</v>
      </c>
      <c r="R16" s="19">
        <f t="shared" si="10"/>
        <v>12</v>
      </c>
      <c r="S16" s="18">
        <f t="shared" si="11"/>
        <v>4</v>
      </c>
    </row>
    <row r="17">
      <c r="A17" s="2" t="s">
        <v>77</v>
      </c>
      <c r="B17" s="11">
        <v>3.0</v>
      </c>
      <c r="C17" s="13">
        <f t="shared" si="1"/>
        <v>9</v>
      </c>
      <c r="D17" s="14">
        <v>2.0</v>
      </c>
      <c r="E17" s="11">
        <v>1.0</v>
      </c>
      <c r="F17" s="15">
        <f t="shared" si="2"/>
        <v>3</v>
      </c>
      <c r="G17" s="16">
        <f t="shared" si="3"/>
        <v>0.3333333333</v>
      </c>
      <c r="H17" s="16">
        <f t="shared" si="4"/>
        <v>0.6666666667</v>
      </c>
      <c r="I17" s="13">
        <f t="shared" si="5"/>
        <v>0</v>
      </c>
      <c r="J17" s="14">
        <v>0.0</v>
      </c>
      <c r="K17" s="11">
        <v>0.0</v>
      </c>
      <c r="L17" s="16">
        <f t="shared" si="6"/>
        <v>0</v>
      </c>
      <c r="M17" s="11" t="s">
        <v>41</v>
      </c>
      <c r="N17" s="19">
        <f t="shared" si="7"/>
        <v>8</v>
      </c>
      <c r="O17" s="18">
        <f t="shared" si="8"/>
        <v>0.8888888889</v>
      </c>
      <c r="P17" s="18">
        <f t="shared" si="9"/>
        <v>2.666666667</v>
      </c>
      <c r="Q17" s="11">
        <v>0.0</v>
      </c>
      <c r="R17" s="19">
        <f t="shared" si="10"/>
        <v>8</v>
      </c>
      <c r="S17" s="18">
        <f t="shared" si="11"/>
        <v>2.666666667</v>
      </c>
    </row>
    <row r="18">
      <c r="A18" s="2" t="s">
        <v>64</v>
      </c>
      <c r="B18" s="11">
        <v>3.0</v>
      </c>
      <c r="C18" s="13">
        <f t="shared" si="1"/>
        <v>9</v>
      </c>
      <c r="D18" s="14">
        <v>2.0</v>
      </c>
      <c r="E18" s="20">
        <v>1.0</v>
      </c>
      <c r="F18" s="25">
        <f t="shared" si="2"/>
        <v>3</v>
      </c>
      <c r="G18" s="23">
        <f t="shared" si="3"/>
        <v>0.3333333333</v>
      </c>
      <c r="H18" s="23">
        <f t="shared" si="4"/>
        <v>0.6666666667</v>
      </c>
      <c r="I18" s="13">
        <f t="shared" si="5"/>
        <v>1</v>
      </c>
      <c r="J18" s="14">
        <v>1.0</v>
      </c>
      <c r="K18" s="11">
        <v>0.0</v>
      </c>
      <c r="L18" s="16">
        <f t="shared" si="6"/>
        <v>0.1111111111</v>
      </c>
      <c r="M18" s="16">
        <f t="shared" ref="M18:M19" si="13">J18/I18</f>
        <v>1</v>
      </c>
      <c r="N18" s="19">
        <f t="shared" si="7"/>
        <v>8</v>
      </c>
      <c r="O18" s="18">
        <f t="shared" si="8"/>
        <v>0.8888888889</v>
      </c>
      <c r="P18" s="18">
        <f t="shared" si="9"/>
        <v>2.666666667</v>
      </c>
      <c r="Q18" s="11">
        <v>0.0</v>
      </c>
      <c r="R18" s="19">
        <f t="shared" si="10"/>
        <v>8</v>
      </c>
      <c r="S18" s="18">
        <f t="shared" si="11"/>
        <v>2.666666667</v>
      </c>
    </row>
    <row r="19">
      <c r="A19" s="2" t="s">
        <v>68</v>
      </c>
      <c r="B19" s="11">
        <v>3.0</v>
      </c>
      <c r="C19" s="13">
        <f t="shared" si="1"/>
        <v>9</v>
      </c>
      <c r="D19" s="14">
        <v>3.0</v>
      </c>
      <c r="E19" s="20">
        <v>3.0</v>
      </c>
      <c r="F19" s="25">
        <f t="shared" si="2"/>
        <v>6</v>
      </c>
      <c r="G19" s="23">
        <f t="shared" si="3"/>
        <v>0.6666666667</v>
      </c>
      <c r="H19" s="23">
        <f t="shared" si="4"/>
        <v>0.5</v>
      </c>
      <c r="I19" s="13">
        <f t="shared" si="5"/>
        <v>2</v>
      </c>
      <c r="J19" s="14">
        <v>1.0</v>
      </c>
      <c r="K19" s="11">
        <v>1.0</v>
      </c>
      <c r="L19" s="16">
        <f t="shared" si="6"/>
        <v>0.2222222222</v>
      </c>
      <c r="M19" s="16">
        <f t="shared" si="13"/>
        <v>0.5</v>
      </c>
      <c r="N19" s="19">
        <f t="shared" si="7"/>
        <v>8</v>
      </c>
      <c r="O19" s="18">
        <f t="shared" si="8"/>
        <v>0.8888888889</v>
      </c>
      <c r="P19" s="18">
        <f t="shared" si="9"/>
        <v>2.666666667</v>
      </c>
      <c r="Q19" s="11">
        <v>0.0</v>
      </c>
      <c r="R19" s="19">
        <f t="shared" si="10"/>
        <v>8</v>
      </c>
      <c r="S19" s="18">
        <f t="shared" si="11"/>
        <v>2.666666667</v>
      </c>
    </row>
    <row r="20">
      <c r="A20" s="2" t="s">
        <v>96</v>
      </c>
      <c r="B20" s="11">
        <v>3.0</v>
      </c>
      <c r="C20" s="13">
        <f t="shared" si="1"/>
        <v>9</v>
      </c>
      <c r="D20" s="14">
        <v>2.0</v>
      </c>
      <c r="E20" s="11">
        <v>4.0</v>
      </c>
      <c r="F20" s="15">
        <f t="shared" si="2"/>
        <v>6</v>
      </c>
      <c r="G20" s="16">
        <f t="shared" si="3"/>
        <v>0.6666666667</v>
      </c>
      <c r="H20" s="16">
        <f t="shared" si="4"/>
        <v>0.3333333333</v>
      </c>
      <c r="I20" s="13">
        <f t="shared" si="5"/>
        <v>0</v>
      </c>
      <c r="J20" s="14">
        <v>0.0</v>
      </c>
      <c r="K20" s="11">
        <v>0.0</v>
      </c>
      <c r="L20" s="16">
        <f t="shared" si="6"/>
        <v>0</v>
      </c>
      <c r="M20" s="11" t="s">
        <v>41</v>
      </c>
      <c r="N20" s="19">
        <f t="shared" si="7"/>
        <v>8</v>
      </c>
      <c r="O20" s="18">
        <f t="shared" si="8"/>
        <v>0.8888888889</v>
      </c>
      <c r="P20" s="18">
        <f t="shared" si="9"/>
        <v>2.666666667</v>
      </c>
      <c r="Q20" s="11">
        <v>0.0</v>
      </c>
      <c r="R20" s="19">
        <f t="shared" si="10"/>
        <v>8</v>
      </c>
      <c r="S20" s="18">
        <f t="shared" si="11"/>
        <v>2.666666667</v>
      </c>
    </row>
    <row r="21">
      <c r="A21" s="2" t="s">
        <v>109</v>
      </c>
      <c r="B21" s="11">
        <v>3.0</v>
      </c>
      <c r="C21" s="13">
        <f t="shared" si="1"/>
        <v>9</v>
      </c>
      <c r="D21" s="14">
        <v>2.0</v>
      </c>
      <c r="E21" s="11">
        <v>4.0</v>
      </c>
      <c r="F21" s="15">
        <f t="shared" si="2"/>
        <v>6</v>
      </c>
      <c r="G21" s="16">
        <f t="shared" si="3"/>
        <v>0.6666666667</v>
      </c>
      <c r="H21" s="16">
        <f t="shared" si="4"/>
        <v>0.3333333333</v>
      </c>
      <c r="I21" s="13">
        <f t="shared" si="5"/>
        <v>0</v>
      </c>
      <c r="J21" s="14">
        <v>0.0</v>
      </c>
      <c r="K21" s="11">
        <v>0.0</v>
      </c>
      <c r="L21" s="16">
        <f t="shared" si="6"/>
        <v>0</v>
      </c>
      <c r="M21" s="11" t="s">
        <v>41</v>
      </c>
      <c r="N21" s="19">
        <f t="shared" si="7"/>
        <v>8</v>
      </c>
      <c r="O21" s="18">
        <f t="shared" si="8"/>
        <v>0.8888888889</v>
      </c>
      <c r="P21" s="18">
        <f t="shared" si="9"/>
        <v>2.666666667</v>
      </c>
      <c r="Q21" s="11">
        <v>0.0</v>
      </c>
      <c r="R21" s="19">
        <f t="shared" si="10"/>
        <v>8</v>
      </c>
      <c r="S21" s="18">
        <f t="shared" si="11"/>
        <v>2.666666667</v>
      </c>
    </row>
    <row r="22">
      <c r="A22" s="2" t="s">
        <v>104</v>
      </c>
      <c r="B22" s="11">
        <v>3.0</v>
      </c>
      <c r="C22" s="13">
        <f t="shared" si="1"/>
        <v>9</v>
      </c>
      <c r="D22" s="14">
        <v>2.0</v>
      </c>
      <c r="E22" s="20">
        <v>4.0</v>
      </c>
      <c r="F22" s="25">
        <f t="shared" si="2"/>
        <v>6</v>
      </c>
      <c r="G22" s="23">
        <f t="shared" si="3"/>
        <v>0.6666666667</v>
      </c>
      <c r="H22" s="23">
        <f t="shared" si="4"/>
        <v>0.3333333333</v>
      </c>
      <c r="I22" s="13">
        <f t="shared" si="5"/>
        <v>0</v>
      </c>
      <c r="J22" s="14">
        <v>0.0</v>
      </c>
      <c r="K22" s="11">
        <v>0.0</v>
      </c>
      <c r="L22" s="16">
        <f t="shared" si="6"/>
        <v>0</v>
      </c>
      <c r="M22" s="11" t="s">
        <v>41</v>
      </c>
      <c r="N22" s="19">
        <f t="shared" si="7"/>
        <v>8</v>
      </c>
      <c r="O22" s="18">
        <f t="shared" si="8"/>
        <v>0.8888888889</v>
      </c>
      <c r="P22" s="18">
        <f t="shared" si="9"/>
        <v>2.666666667</v>
      </c>
      <c r="Q22" s="11">
        <v>0.0</v>
      </c>
      <c r="R22" s="19">
        <f t="shared" si="10"/>
        <v>8</v>
      </c>
      <c r="S22" s="18">
        <f t="shared" si="11"/>
        <v>2.666666667</v>
      </c>
    </row>
    <row r="23">
      <c r="A23" s="2" t="s">
        <v>72</v>
      </c>
      <c r="B23" s="11">
        <v>3.0</v>
      </c>
      <c r="C23" s="13">
        <f t="shared" si="1"/>
        <v>9</v>
      </c>
      <c r="D23" s="14">
        <v>2.0</v>
      </c>
      <c r="E23" s="11">
        <v>5.0</v>
      </c>
      <c r="F23" s="15">
        <f t="shared" si="2"/>
        <v>7</v>
      </c>
      <c r="G23" s="16">
        <f t="shared" si="3"/>
        <v>0.7777777778</v>
      </c>
      <c r="H23" s="16">
        <f t="shared" si="4"/>
        <v>0.2857142857</v>
      </c>
      <c r="I23" s="13">
        <f t="shared" si="5"/>
        <v>0</v>
      </c>
      <c r="J23" s="14">
        <v>0.0</v>
      </c>
      <c r="K23" s="11">
        <v>0.0</v>
      </c>
      <c r="L23" s="16">
        <f t="shared" si="6"/>
        <v>0</v>
      </c>
      <c r="M23" s="11" t="s">
        <v>41</v>
      </c>
      <c r="N23" s="19">
        <f t="shared" si="7"/>
        <v>8</v>
      </c>
      <c r="O23" s="18">
        <f t="shared" si="8"/>
        <v>0.8888888889</v>
      </c>
      <c r="P23" s="18">
        <f t="shared" si="9"/>
        <v>2.666666667</v>
      </c>
      <c r="Q23" s="11">
        <v>0.0</v>
      </c>
      <c r="R23" s="19">
        <f t="shared" si="10"/>
        <v>8</v>
      </c>
      <c r="S23" s="18">
        <f t="shared" si="11"/>
        <v>2.666666667</v>
      </c>
    </row>
    <row r="24">
      <c r="A24" s="2" t="s">
        <v>56</v>
      </c>
      <c r="B24" s="11">
        <v>3.0</v>
      </c>
      <c r="C24" s="13">
        <f t="shared" si="1"/>
        <v>9</v>
      </c>
      <c r="D24" s="14">
        <v>2.0</v>
      </c>
      <c r="E24" s="20">
        <v>3.0</v>
      </c>
      <c r="F24" s="25">
        <f t="shared" si="2"/>
        <v>5</v>
      </c>
      <c r="G24" s="23">
        <f t="shared" si="3"/>
        <v>0.5555555556</v>
      </c>
      <c r="H24" s="23">
        <f t="shared" si="4"/>
        <v>0.4</v>
      </c>
      <c r="I24" s="13">
        <f t="shared" si="5"/>
        <v>1</v>
      </c>
      <c r="J24" s="14">
        <v>0.0</v>
      </c>
      <c r="K24" s="11">
        <v>1.0</v>
      </c>
      <c r="L24" s="16">
        <f t="shared" si="6"/>
        <v>0.1111111111</v>
      </c>
      <c r="M24" s="16">
        <f t="shared" ref="M24:M25" si="14">J24/I24</f>
        <v>0</v>
      </c>
      <c r="N24" s="19">
        <f t="shared" si="7"/>
        <v>4</v>
      </c>
      <c r="O24" s="18">
        <f t="shared" si="8"/>
        <v>0.4444444444</v>
      </c>
      <c r="P24" s="18">
        <f t="shared" si="9"/>
        <v>1.333333333</v>
      </c>
      <c r="Q24" s="11">
        <v>0.0</v>
      </c>
      <c r="R24" s="19">
        <f t="shared" si="10"/>
        <v>4</v>
      </c>
      <c r="S24" s="18">
        <f t="shared" si="11"/>
        <v>1.333333333</v>
      </c>
    </row>
    <row r="25">
      <c r="A25" s="2" t="s">
        <v>79</v>
      </c>
      <c r="B25" s="11">
        <v>3.0</v>
      </c>
      <c r="C25" s="13">
        <f t="shared" si="1"/>
        <v>9</v>
      </c>
      <c r="D25" s="14">
        <v>2.0</v>
      </c>
      <c r="E25" s="11">
        <v>6.0</v>
      </c>
      <c r="F25" s="15">
        <f t="shared" si="2"/>
        <v>8</v>
      </c>
      <c r="G25" s="16">
        <f t="shared" si="3"/>
        <v>0.8888888889</v>
      </c>
      <c r="H25" s="16">
        <f t="shared" si="4"/>
        <v>0.25</v>
      </c>
      <c r="I25" s="13">
        <f t="shared" si="5"/>
        <v>1</v>
      </c>
      <c r="J25" s="14">
        <v>0.0</v>
      </c>
      <c r="K25" s="11">
        <v>1.0</v>
      </c>
      <c r="L25" s="16">
        <f t="shared" si="6"/>
        <v>0.1111111111</v>
      </c>
      <c r="M25" s="16">
        <f t="shared" si="14"/>
        <v>0</v>
      </c>
      <c r="N25" s="19">
        <f t="shared" si="7"/>
        <v>4</v>
      </c>
      <c r="O25" s="18">
        <f t="shared" si="8"/>
        <v>0.4444444444</v>
      </c>
      <c r="P25" s="18">
        <f t="shared" si="9"/>
        <v>1.333333333</v>
      </c>
      <c r="Q25" s="11">
        <v>0.0</v>
      </c>
      <c r="R25" s="19">
        <f t="shared" si="10"/>
        <v>4</v>
      </c>
      <c r="S25" s="18">
        <f t="shared" si="11"/>
        <v>1.333333333</v>
      </c>
    </row>
    <row r="26">
      <c r="A26" s="2" t="s">
        <v>119</v>
      </c>
      <c r="B26" s="11">
        <v>3.0</v>
      </c>
      <c r="C26" s="13">
        <f t="shared" si="1"/>
        <v>9</v>
      </c>
      <c r="D26" s="14">
        <v>1.0</v>
      </c>
      <c r="E26" s="11">
        <v>3.0</v>
      </c>
      <c r="F26" s="15">
        <f t="shared" si="2"/>
        <v>4</v>
      </c>
      <c r="G26" s="16">
        <f t="shared" si="3"/>
        <v>0.4444444444</v>
      </c>
      <c r="H26" s="16">
        <f t="shared" si="4"/>
        <v>0.25</v>
      </c>
      <c r="I26" s="13">
        <f t="shared" si="5"/>
        <v>0</v>
      </c>
      <c r="J26" s="14">
        <v>0.0</v>
      </c>
      <c r="K26" s="11">
        <v>0.0</v>
      </c>
      <c r="L26" s="16">
        <f t="shared" si="6"/>
        <v>0</v>
      </c>
      <c r="M26" s="11" t="s">
        <v>41</v>
      </c>
      <c r="N26" s="19">
        <f t="shared" si="7"/>
        <v>4</v>
      </c>
      <c r="O26" s="18">
        <f t="shared" si="8"/>
        <v>0.4444444444</v>
      </c>
      <c r="P26" s="18">
        <f t="shared" si="9"/>
        <v>1.333333333</v>
      </c>
      <c r="Q26" s="11">
        <v>0.0</v>
      </c>
      <c r="R26" s="19">
        <f t="shared" si="10"/>
        <v>4</v>
      </c>
      <c r="S26" s="18">
        <f t="shared" si="11"/>
        <v>1.333333333</v>
      </c>
    </row>
    <row r="27">
      <c r="A27" s="2" t="s">
        <v>111</v>
      </c>
      <c r="B27" s="11">
        <v>3.0</v>
      </c>
      <c r="C27" s="13">
        <f t="shared" si="1"/>
        <v>9</v>
      </c>
      <c r="D27" s="14">
        <v>1.0</v>
      </c>
      <c r="E27" s="11">
        <v>5.0</v>
      </c>
      <c r="F27" s="15">
        <f t="shared" si="2"/>
        <v>6</v>
      </c>
      <c r="G27" s="16">
        <f t="shared" si="3"/>
        <v>0.6666666667</v>
      </c>
      <c r="H27" s="16">
        <f t="shared" si="4"/>
        <v>0.1666666667</v>
      </c>
      <c r="I27" s="13">
        <f t="shared" si="5"/>
        <v>0</v>
      </c>
      <c r="J27" s="14">
        <v>0.0</v>
      </c>
      <c r="K27" s="11">
        <v>0.0</v>
      </c>
      <c r="L27" s="16">
        <f t="shared" si="6"/>
        <v>0</v>
      </c>
      <c r="M27" s="11" t="s">
        <v>41</v>
      </c>
      <c r="N27" s="19">
        <f t="shared" si="7"/>
        <v>4</v>
      </c>
      <c r="O27" s="18">
        <f t="shared" si="8"/>
        <v>0.4444444444</v>
      </c>
      <c r="P27" s="18">
        <f t="shared" si="9"/>
        <v>1.333333333</v>
      </c>
      <c r="Q27" s="11">
        <v>0.0</v>
      </c>
      <c r="R27" s="19">
        <f t="shared" si="10"/>
        <v>4</v>
      </c>
      <c r="S27" s="18">
        <f t="shared" si="11"/>
        <v>1.333333333</v>
      </c>
    </row>
    <row r="28">
      <c r="A28" s="2" t="s">
        <v>93</v>
      </c>
      <c r="B28" s="11">
        <v>3.0</v>
      </c>
      <c r="C28" s="13">
        <f t="shared" si="1"/>
        <v>9</v>
      </c>
      <c r="D28" s="14">
        <v>1.0</v>
      </c>
      <c r="E28" s="11">
        <v>6.0</v>
      </c>
      <c r="F28" s="15">
        <f t="shared" si="2"/>
        <v>7</v>
      </c>
      <c r="G28" s="16">
        <f t="shared" si="3"/>
        <v>0.7777777778</v>
      </c>
      <c r="H28" s="16">
        <f t="shared" si="4"/>
        <v>0.1428571429</v>
      </c>
      <c r="I28" s="13">
        <f t="shared" si="5"/>
        <v>0</v>
      </c>
      <c r="J28" s="14">
        <v>0.0</v>
      </c>
      <c r="K28" s="11">
        <v>0.0</v>
      </c>
      <c r="L28" s="16">
        <f t="shared" si="6"/>
        <v>0</v>
      </c>
      <c r="M28" s="11" t="s">
        <v>41</v>
      </c>
      <c r="N28" s="19">
        <f t="shared" si="7"/>
        <v>4</v>
      </c>
      <c r="O28" s="18">
        <f t="shared" si="8"/>
        <v>0.4444444444</v>
      </c>
      <c r="P28" s="18">
        <f t="shared" si="9"/>
        <v>1.333333333</v>
      </c>
      <c r="Q28" s="11">
        <v>0.0</v>
      </c>
      <c r="R28" s="19">
        <f t="shared" si="10"/>
        <v>4</v>
      </c>
      <c r="S28" s="18">
        <f t="shared" si="11"/>
        <v>1.333333333</v>
      </c>
    </row>
    <row r="29">
      <c r="A29" s="2" t="s">
        <v>83</v>
      </c>
      <c r="B29" s="11">
        <v>3.0</v>
      </c>
      <c r="C29" s="13">
        <f t="shared" si="1"/>
        <v>9</v>
      </c>
      <c r="D29" s="14">
        <v>1.0</v>
      </c>
      <c r="E29" s="11">
        <v>5.0</v>
      </c>
      <c r="F29" s="15">
        <f t="shared" si="2"/>
        <v>6</v>
      </c>
      <c r="G29" s="16">
        <f t="shared" si="3"/>
        <v>0.6666666667</v>
      </c>
      <c r="H29" s="16">
        <f t="shared" si="4"/>
        <v>0.1666666667</v>
      </c>
      <c r="I29" s="13">
        <f t="shared" si="5"/>
        <v>1</v>
      </c>
      <c r="J29" s="14">
        <v>0.0</v>
      </c>
      <c r="K29" s="11">
        <v>1.0</v>
      </c>
      <c r="L29" s="16">
        <f t="shared" si="6"/>
        <v>0.1111111111</v>
      </c>
      <c r="M29" s="16">
        <f>J29/I29</f>
        <v>0</v>
      </c>
      <c r="N29" s="19">
        <f t="shared" si="7"/>
        <v>0</v>
      </c>
      <c r="O29" s="18">
        <f t="shared" si="8"/>
        <v>0</v>
      </c>
      <c r="P29" s="18">
        <f t="shared" si="9"/>
        <v>0</v>
      </c>
      <c r="Q29" s="11">
        <v>0.0</v>
      </c>
      <c r="R29" s="19">
        <f t="shared" si="10"/>
        <v>0</v>
      </c>
      <c r="S29" s="18">
        <f t="shared" si="11"/>
        <v>0</v>
      </c>
    </row>
    <row r="30">
      <c r="A30" s="2" t="s">
        <v>110</v>
      </c>
      <c r="B30" s="11">
        <v>3.0</v>
      </c>
      <c r="C30" s="13">
        <f t="shared" si="1"/>
        <v>9</v>
      </c>
      <c r="D30" s="14">
        <v>0.0</v>
      </c>
      <c r="E30" s="11">
        <v>4.0</v>
      </c>
      <c r="F30" s="15">
        <f t="shared" si="2"/>
        <v>4</v>
      </c>
      <c r="G30" s="16">
        <f t="shared" si="3"/>
        <v>0.4444444444</v>
      </c>
      <c r="H30" s="16">
        <f t="shared" si="4"/>
        <v>0</v>
      </c>
      <c r="I30" s="13">
        <f t="shared" si="5"/>
        <v>0</v>
      </c>
      <c r="J30" s="14">
        <v>0.0</v>
      </c>
      <c r="K30" s="11">
        <v>0.0</v>
      </c>
      <c r="L30" s="16">
        <f t="shared" si="6"/>
        <v>0</v>
      </c>
      <c r="M30" s="11" t="s">
        <v>41</v>
      </c>
      <c r="N30" s="19">
        <f t="shared" si="7"/>
        <v>0</v>
      </c>
      <c r="O30" s="18">
        <f t="shared" si="8"/>
        <v>0</v>
      </c>
      <c r="P30" s="18">
        <f t="shared" si="9"/>
        <v>0</v>
      </c>
      <c r="Q30" s="11">
        <v>0.0</v>
      </c>
      <c r="R30" s="19">
        <f t="shared" si="10"/>
        <v>0</v>
      </c>
      <c r="S30" s="18">
        <f t="shared" si="11"/>
        <v>0</v>
      </c>
    </row>
    <row r="31">
      <c r="A31" s="2" t="s">
        <v>117</v>
      </c>
      <c r="B31" s="11">
        <v>3.0</v>
      </c>
      <c r="C31" s="13">
        <f t="shared" si="1"/>
        <v>9</v>
      </c>
      <c r="D31" s="14">
        <v>0.0</v>
      </c>
      <c r="E31" s="11">
        <v>4.0</v>
      </c>
      <c r="F31" s="15">
        <f t="shared" si="2"/>
        <v>4</v>
      </c>
      <c r="G31" s="16">
        <f t="shared" si="3"/>
        <v>0.4444444444</v>
      </c>
      <c r="H31" s="16">
        <f t="shared" si="4"/>
        <v>0</v>
      </c>
      <c r="I31" s="13">
        <f t="shared" si="5"/>
        <v>0</v>
      </c>
      <c r="J31" s="14">
        <v>0.0</v>
      </c>
      <c r="K31" s="11">
        <v>0.0</v>
      </c>
      <c r="L31" s="16">
        <f t="shared" si="6"/>
        <v>0</v>
      </c>
      <c r="M31" s="11" t="s">
        <v>41</v>
      </c>
      <c r="N31" s="19">
        <f t="shared" si="7"/>
        <v>0</v>
      </c>
      <c r="O31" s="18">
        <f t="shared" si="8"/>
        <v>0</v>
      </c>
      <c r="P31" s="18">
        <f t="shared" si="9"/>
        <v>0</v>
      </c>
      <c r="Q31" s="11">
        <v>0.0</v>
      </c>
      <c r="R31" s="19">
        <f t="shared" si="10"/>
        <v>0</v>
      </c>
      <c r="S31" s="18">
        <f t="shared" si="11"/>
        <v>0</v>
      </c>
    </row>
    <row r="32">
      <c r="A32" s="2" t="s">
        <v>107</v>
      </c>
      <c r="B32" s="11">
        <v>3.0</v>
      </c>
      <c r="C32" s="13">
        <f t="shared" si="1"/>
        <v>9</v>
      </c>
      <c r="D32" s="14">
        <v>1.0</v>
      </c>
      <c r="E32" s="11">
        <v>5.0</v>
      </c>
      <c r="F32" s="15">
        <f t="shared" si="2"/>
        <v>6</v>
      </c>
      <c r="G32" s="16">
        <f t="shared" si="3"/>
        <v>0.6666666667</v>
      </c>
      <c r="H32" s="16">
        <f t="shared" si="4"/>
        <v>0.1666666667</v>
      </c>
      <c r="I32" s="13">
        <f t="shared" si="5"/>
        <v>2</v>
      </c>
      <c r="J32" s="14">
        <v>0.0</v>
      </c>
      <c r="K32" s="11">
        <v>2.0</v>
      </c>
      <c r="L32" s="16">
        <f t="shared" si="6"/>
        <v>0.2222222222</v>
      </c>
      <c r="M32" s="16">
        <f t="shared" ref="M32:M33" si="15">J32/I32</f>
        <v>0</v>
      </c>
      <c r="N32" s="19">
        <f t="shared" si="7"/>
        <v>-4</v>
      </c>
      <c r="O32" s="18">
        <f t="shared" si="8"/>
        <v>-0.4444444444</v>
      </c>
      <c r="P32" s="18">
        <f t="shared" si="9"/>
        <v>-1.333333333</v>
      </c>
      <c r="Q32" s="11">
        <v>0.0</v>
      </c>
      <c r="R32" s="19">
        <f t="shared" si="10"/>
        <v>-4</v>
      </c>
      <c r="S32" s="18">
        <f t="shared" si="11"/>
        <v>-1.333333333</v>
      </c>
    </row>
    <row r="33">
      <c r="A33" s="2" t="s">
        <v>70</v>
      </c>
      <c r="B33" s="11">
        <v>3.0</v>
      </c>
      <c r="C33" s="13">
        <f t="shared" si="1"/>
        <v>9</v>
      </c>
      <c r="D33" s="14">
        <v>1.0</v>
      </c>
      <c r="E33" s="11">
        <v>6.0</v>
      </c>
      <c r="F33" s="15">
        <f t="shared" si="2"/>
        <v>7</v>
      </c>
      <c r="G33" s="16">
        <f t="shared" si="3"/>
        <v>0.7777777778</v>
      </c>
      <c r="H33" s="16">
        <f t="shared" si="4"/>
        <v>0.1428571429</v>
      </c>
      <c r="I33" s="13">
        <f t="shared" si="5"/>
        <v>2</v>
      </c>
      <c r="J33" s="14">
        <v>0.0</v>
      </c>
      <c r="K33" s="11">
        <v>2.0</v>
      </c>
      <c r="L33" s="16">
        <f t="shared" si="6"/>
        <v>0.2222222222</v>
      </c>
      <c r="M33" s="16">
        <f t="shared" si="15"/>
        <v>0</v>
      </c>
      <c r="N33" s="19">
        <f t="shared" si="7"/>
        <v>-4</v>
      </c>
      <c r="O33" s="18">
        <f t="shared" si="8"/>
        <v>-0.4444444444</v>
      </c>
      <c r="P33" s="18">
        <f t="shared" si="9"/>
        <v>-1.333333333</v>
      </c>
      <c r="Q33" s="11">
        <v>0.0</v>
      </c>
      <c r="R33" s="19">
        <f t="shared" si="10"/>
        <v>-4</v>
      </c>
      <c r="S33" s="18">
        <f t="shared" si="11"/>
        <v>-1.333333333</v>
      </c>
    </row>
    <row r="34">
      <c r="D34" s="29"/>
      <c r="F34" s="31"/>
      <c r="G34" s="30"/>
      <c r="H34" s="30"/>
      <c r="J34" s="29"/>
      <c r="L34" s="30"/>
      <c r="M34" s="30"/>
      <c r="O34" s="32"/>
      <c r="P34" s="32"/>
      <c r="S34" s="32"/>
    </row>
    <row r="35">
      <c r="D35" s="29"/>
      <c r="F35" s="31"/>
      <c r="G35" s="30"/>
      <c r="H35" s="30"/>
      <c r="J35" s="29"/>
      <c r="L35" s="30"/>
      <c r="M35" s="30"/>
      <c r="O35" s="32"/>
      <c r="P35" s="32"/>
      <c r="S35" s="32"/>
    </row>
    <row r="36">
      <c r="D36" s="29"/>
      <c r="F36" s="31"/>
      <c r="G36" s="30"/>
      <c r="H36" s="30"/>
      <c r="J36" s="29"/>
      <c r="L36" s="30"/>
      <c r="M36" s="30"/>
      <c r="O36" s="32"/>
      <c r="P36" s="32"/>
      <c r="S36" s="32"/>
    </row>
    <row r="37">
      <c r="D37" s="29"/>
      <c r="F37" s="31"/>
      <c r="G37" s="30"/>
      <c r="H37" s="30"/>
      <c r="J37" s="29"/>
      <c r="L37" s="30"/>
      <c r="M37" s="30"/>
      <c r="O37" s="32"/>
      <c r="P37" s="32"/>
      <c r="S37" s="32"/>
    </row>
    <row r="38">
      <c r="D38" s="29"/>
      <c r="F38" s="31"/>
      <c r="G38" s="30"/>
      <c r="H38" s="30"/>
      <c r="J38" s="29"/>
      <c r="L38" s="30"/>
      <c r="M38" s="30"/>
      <c r="O38" s="32"/>
      <c r="P38" s="32"/>
      <c r="S38" s="32"/>
    </row>
    <row r="39">
      <c r="D39" s="29"/>
      <c r="F39" s="31"/>
      <c r="G39" s="30"/>
      <c r="H39" s="30"/>
      <c r="J39" s="29"/>
      <c r="L39" s="30"/>
      <c r="M39" s="30"/>
      <c r="O39" s="32"/>
      <c r="P39" s="32"/>
      <c r="S39" s="32"/>
    </row>
    <row r="40">
      <c r="D40" s="29"/>
      <c r="F40" s="31"/>
      <c r="G40" s="30"/>
      <c r="H40" s="30"/>
      <c r="J40" s="29"/>
      <c r="L40" s="30"/>
      <c r="M40" s="30"/>
      <c r="O40" s="32"/>
      <c r="P40" s="32"/>
      <c r="S40" s="32"/>
    </row>
    <row r="41">
      <c r="D41" s="29"/>
      <c r="F41" s="31"/>
      <c r="G41" s="30"/>
      <c r="H41" s="30"/>
      <c r="J41" s="29"/>
      <c r="L41" s="30"/>
      <c r="M41" s="30"/>
      <c r="O41" s="32"/>
      <c r="P41" s="32"/>
      <c r="S41" s="32"/>
    </row>
    <row r="42">
      <c r="D42" s="29"/>
      <c r="F42" s="31"/>
      <c r="G42" s="30"/>
      <c r="H42" s="30"/>
      <c r="J42" s="29"/>
      <c r="L42" s="30"/>
      <c r="M42" s="30"/>
      <c r="O42" s="32"/>
      <c r="P42" s="32"/>
      <c r="S42" s="32"/>
    </row>
    <row r="43">
      <c r="D43" s="29"/>
      <c r="F43" s="31"/>
      <c r="G43" s="30"/>
      <c r="H43" s="30"/>
      <c r="J43" s="29"/>
      <c r="L43" s="30"/>
      <c r="M43" s="30"/>
      <c r="O43" s="32"/>
      <c r="P43" s="32"/>
      <c r="S43" s="32"/>
    </row>
    <row r="44">
      <c r="D44" s="29"/>
      <c r="F44" s="31"/>
      <c r="G44" s="30"/>
      <c r="H44" s="30"/>
      <c r="J44" s="29"/>
      <c r="L44" s="30"/>
      <c r="M44" s="30"/>
      <c r="O44" s="32"/>
      <c r="P44" s="32"/>
      <c r="S44" s="32"/>
    </row>
    <row r="45">
      <c r="D45" s="29"/>
      <c r="F45" s="31"/>
      <c r="G45" s="30"/>
      <c r="H45" s="30"/>
      <c r="J45" s="29"/>
      <c r="L45" s="30"/>
      <c r="M45" s="30"/>
      <c r="O45" s="32"/>
      <c r="P45" s="32"/>
      <c r="S45" s="32"/>
    </row>
    <row r="46">
      <c r="D46" s="29"/>
      <c r="F46" s="31"/>
      <c r="G46" s="30"/>
      <c r="H46" s="30"/>
      <c r="J46" s="29"/>
      <c r="L46" s="30"/>
      <c r="M46" s="30"/>
      <c r="O46" s="32"/>
      <c r="P46" s="32"/>
      <c r="S46" s="32"/>
    </row>
    <row r="47">
      <c r="D47" s="29"/>
      <c r="F47" s="31"/>
      <c r="G47" s="30"/>
      <c r="H47" s="30"/>
      <c r="J47" s="29"/>
      <c r="L47" s="30"/>
      <c r="M47" s="30"/>
      <c r="O47" s="32"/>
      <c r="P47" s="32"/>
      <c r="S47" s="32"/>
    </row>
    <row r="48">
      <c r="D48" s="29"/>
      <c r="F48" s="31"/>
      <c r="G48" s="30"/>
      <c r="H48" s="30"/>
      <c r="J48" s="29"/>
      <c r="L48" s="30"/>
      <c r="M48" s="30"/>
      <c r="O48" s="32"/>
      <c r="P48" s="32"/>
      <c r="S48" s="32"/>
    </row>
    <row r="49">
      <c r="D49" s="29"/>
      <c r="F49" s="31"/>
      <c r="G49" s="30"/>
      <c r="H49" s="30"/>
      <c r="J49" s="29"/>
      <c r="L49" s="30"/>
      <c r="M49" s="30"/>
      <c r="O49" s="32"/>
      <c r="P49" s="32"/>
      <c r="S49" s="32"/>
    </row>
    <row r="50">
      <c r="D50" s="29"/>
      <c r="F50" s="31"/>
      <c r="G50" s="30"/>
      <c r="H50" s="30"/>
      <c r="J50" s="29"/>
      <c r="L50" s="30"/>
      <c r="M50" s="30"/>
      <c r="O50" s="32"/>
      <c r="P50" s="32"/>
      <c r="S50" s="32"/>
    </row>
    <row r="51">
      <c r="D51" s="29"/>
      <c r="F51" s="31"/>
      <c r="G51" s="30"/>
      <c r="H51" s="30"/>
      <c r="J51" s="29"/>
      <c r="L51" s="30"/>
      <c r="M51" s="30"/>
      <c r="O51" s="32"/>
      <c r="P51" s="32"/>
      <c r="S51" s="32"/>
    </row>
    <row r="52">
      <c r="D52" s="29"/>
      <c r="F52" s="31"/>
      <c r="G52" s="30"/>
      <c r="H52" s="30"/>
      <c r="J52" s="29"/>
      <c r="L52" s="30"/>
      <c r="M52" s="30"/>
      <c r="O52" s="32"/>
      <c r="P52" s="32"/>
      <c r="S52" s="32"/>
    </row>
    <row r="53">
      <c r="D53" s="29"/>
      <c r="F53" s="31"/>
      <c r="G53" s="30"/>
      <c r="H53" s="30"/>
      <c r="J53" s="29"/>
      <c r="L53" s="30"/>
      <c r="M53" s="30"/>
      <c r="O53" s="32"/>
      <c r="P53" s="32"/>
      <c r="S53" s="32"/>
    </row>
    <row r="54">
      <c r="D54" s="29"/>
      <c r="F54" s="31"/>
      <c r="G54" s="30"/>
      <c r="H54" s="30"/>
      <c r="J54" s="29"/>
      <c r="L54" s="30"/>
      <c r="M54" s="30"/>
      <c r="O54" s="32"/>
      <c r="P54" s="32"/>
      <c r="S54" s="32"/>
    </row>
    <row r="55">
      <c r="D55" s="29"/>
      <c r="F55" s="31"/>
      <c r="G55" s="30"/>
      <c r="H55" s="30"/>
      <c r="J55" s="29"/>
      <c r="L55" s="30"/>
      <c r="M55" s="30"/>
      <c r="O55" s="32"/>
      <c r="P55" s="32"/>
      <c r="S55" s="32"/>
    </row>
    <row r="56">
      <c r="D56" s="29"/>
      <c r="F56" s="31"/>
      <c r="G56" s="30"/>
      <c r="H56" s="30"/>
      <c r="J56" s="29"/>
      <c r="L56" s="30"/>
      <c r="M56" s="30"/>
      <c r="O56" s="32"/>
      <c r="P56" s="32"/>
      <c r="S56" s="32"/>
    </row>
    <row r="57">
      <c r="D57" s="29"/>
      <c r="F57" s="31"/>
      <c r="G57" s="30"/>
      <c r="H57" s="30"/>
      <c r="J57" s="29"/>
      <c r="L57" s="30"/>
      <c r="M57" s="30"/>
      <c r="O57" s="32"/>
      <c r="P57" s="32"/>
      <c r="S57" s="32"/>
    </row>
    <row r="58">
      <c r="D58" s="29"/>
      <c r="F58" s="31"/>
      <c r="G58" s="30"/>
      <c r="H58" s="30"/>
      <c r="J58" s="29"/>
      <c r="L58" s="30"/>
      <c r="M58" s="30"/>
      <c r="O58" s="32"/>
      <c r="P58" s="32"/>
      <c r="S58" s="32"/>
    </row>
    <row r="59">
      <c r="D59" s="29"/>
      <c r="F59" s="31"/>
      <c r="G59" s="30"/>
      <c r="H59" s="30"/>
      <c r="J59" s="29"/>
      <c r="L59" s="30"/>
      <c r="M59" s="30"/>
      <c r="O59" s="32"/>
      <c r="P59" s="32"/>
      <c r="S59" s="32"/>
    </row>
    <row r="60">
      <c r="D60" s="29"/>
      <c r="F60" s="31"/>
      <c r="G60" s="30"/>
      <c r="H60" s="30"/>
      <c r="J60" s="29"/>
      <c r="L60" s="30"/>
      <c r="M60" s="30"/>
      <c r="O60" s="32"/>
      <c r="P60" s="32"/>
      <c r="S60" s="32"/>
    </row>
    <row r="61">
      <c r="D61" s="29"/>
      <c r="F61" s="31"/>
      <c r="G61" s="30"/>
      <c r="H61" s="30"/>
      <c r="J61" s="29"/>
      <c r="L61" s="30"/>
      <c r="M61" s="30"/>
      <c r="O61" s="32"/>
      <c r="P61" s="32"/>
      <c r="S61" s="32"/>
    </row>
    <row r="62">
      <c r="D62" s="29"/>
      <c r="F62" s="31"/>
      <c r="G62" s="30"/>
      <c r="H62" s="30"/>
      <c r="J62" s="29"/>
      <c r="L62" s="30"/>
      <c r="M62" s="30"/>
      <c r="O62" s="32"/>
      <c r="P62" s="32"/>
      <c r="S62" s="32"/>
    </row>
    <row r="63">
      <c r="D63" s="29"/>
      <c r="F63" s="31"/>
      <c r="G63" s="30"/>
      <c r="H63" s="30"/>
      <c r="J63" s="29"/>
      <c r="L63" s="30"/>
      <c r="M63" s="30"/>
      <c r="O63" s="32"/>
      <c r="P63" s="32"/>
      <c r="S63" s="32"/>
    </row>
    <row r="64">
      <c r="D64" s="29"/>
      <c r="F64" s="31"/>
      <c r="G64" s="30"/>
      <c r="H64" s="30"/>
      <c r="J64" s="29"/>
      <c r="L64" s="30"/>
      <c r="M64" s="30"/>
      <c r="O64" s="32"/>
      <c r="P64" s="32"/>
      <c r="S64" s="32"/>
    </row>
    <row r="65">
      <c r="D65" s="29"/>
      <c r="F65" s="31"/>
      <c r="G65" s="30"/>
      <c r="H65" s="30"/>
      <c r="J65" s="29"/>
      <c r="L65" s="30"/>
      <c r="M65" s="30"/>
      <c r="O65" s="32"/>
      <c r="P65" s="32"/>
      <c r="S65" s="32"/>
    </row>
    <row r="66">
      <c r="D66" s="29"/>
      <c r="F66" s="31"/>
      <c r="G66" s="30"/>
      <c r="H66" s="30"/>
      <c r="J66" s="29"/>
      <c r="L66" s="30"/>
      <c r="M66" s="30"/>
      <c r="O66" s="32"/>
      <c r="P66" s="32"/>
      <c r="S66" s="32"/>
    </row>
    <row r="67">
      <c r="D67" s="29"/>
      <c r="F67" s="31"/>
      <c r="G67" s="30"/>
      <c r="H67" s="30"/>
      <c r="J67" s="29"/>
      <c r="L67" s="30"/>
      <c r="M67" s="30"/>
      <c r="O67" s="32"/>
      <c r="P67" s="32"/>
      <c r="S67" s="32"/>
    </row>
    <row r="68">
      <c r="D68" s="29"/>
      <c r="F68" s="31"/>
      <c r="G68" s="30"/>
      <c r="H68" s="30"/>
      <c r="J68" s="29"/>
      <c r="L68" s="30"/>
      <c r="M68" s="30"/>
      <c r="O68" s="32"/>
      <c r="P68" s="32"/>
      <c r="S68" s="32"/>
    </row>
    <row r="69">
      <c r="D69" s="29"/>
      <c r="F69" s="31"/>
      <c r="G69" s="30"/>
      <c r="H69" s="30"/>
      <c r="J69" s="29"/>
      <c r="L69" s="30"/>
      <c r="M69" s="30"/>
      <c r="O69" s="32"/>
      <c r="P69" s="32"/>
      <c r="S69" s="32"/>
    </row>
    <row r="70">
      <c r="D70" s="29"/>
      <c r="F70" s="31"/>
      <c r="G70" s="30"/>
      <c r="H70" s="30"/>
      <c r="J70" s="29"/>
      <c r="L70" s="30"/>
      <c r="M70" s="30"/>
      <c r="O70" s="32"/>
      <c r="P70" s="32"/>
      <c r="S70" s="32"/>
    </row>
    <row r="71">
      <c r="D71" s="29"/>
      <c r="F71" s="31"/>
      <c r="G71" s="30"/>
      <c r="H71" s="30"/>
      <c r="J71" s="29"/>
      <c r="L71" s="30"/>
      <c r="M71" s="30"/>
      <c r="O71" s="32"/>
      <c r="P71" s="32"/>
      <c r="S71" s="32"/>
    </row>
    <row r="72">
      <c r="D72" s="29"/>
      <c r="F72" s="31"/>
      <c r="G72" s="30"/>
      <c r="H72" s="30"/>
      <c r="J72" s="29"/>
      <c r="L72" s="30"/>
      <c r="M72" s="30"/>
      <c r="O72" s="32"/>
      <c r="P72" s="32"/>
      <c r="S72" s="32"/>
    </row>
    <row r="73">
      <c r="D73" s="29"/>
      <c r="F73" s="31"/>
      <c r="G73" s="30"/>
      <c r="H73" s="30"/>
      <c r="J73" s="29"/>
      <c r="L73" s="30"/>
      <c r="M73" s="30"/>
      <c r="O73" s="32"/>
      <c r="P73" s="32"/>
      <c r="S73" s="32"/>
    </row>
    <row r="74">
      <c r="D74" s="29"/>
      <c r="F74" s="31"/>
      <c r="G74" s="30"/>
      <c r="H74" s="30"/>
      <c r="J74" s="29"/>
      <c r="L74" s="30"/>
      <c r="M74" s="30"/>
      <c r="O74" s="32"/>
      <c r="P74" s="32"/>
      <c r="S74" s="32"/>
    </row>
    <row r="75">
      <c r="D75" s="29"/>
      <c r="F75" s="31"/>
      <c r="G75" s="30"/>
      <c r="H75" s="30"/>
      <c r="J75" s="29"/>
      <c r="L75" s="30"/>
      <c r="M75" s="30"/>
      <c r="O75" s="32"/>
      <c r="P75" s="32"/>
      <c r="S75" s="32"/>
    </row>
    <row r="76">
      <c r="D76" s="29"/>
      <c r="F76" s="31"/>
      <c r="G76" s="30"/>
      <c r="H76" s="30"/>
      <c r="J76" s="29"/>
      <c r="L76" s="30"/>
      <c r="M76" s="30"/>
      <c r="O76" s="32"/>
      <c r="P76" s="32"/>
      <c r="S76" s="32"/>
    </row>
    <row r="77">
      <c r="D77" s="29"/>
      <c r="F77" s="31"/>
      <c r="G77" s="30"/>
      <c r="H77" s="30"/>
      <c r="J77" s="29"/>
      <c r="L77" s="30"/>
      <c r="M77" s="30"/>
      <c r="O77" s="32"/>
      <c r="P77" s="32"/>
      <c r="S77" s="32"/>
    </row>
    <row r="78">
      <c r="D78" s="29"/>
      <c r="F78" s="31"/>
      <c r="G78" s="30"/>
      <c r="H78" s="30"/>
      <c r="J78" s="29"/>
      <c r="L78" s="30"/>
      <c r="M78" s="30"/>
      <c r="O78" s="32"/>
      <c r="P78" s="32"/>
      <c r="S78" s="32"/>
    </row>
    <row r="79">
      <c r="D79" s="29"/>
      <c r="F79" s="31"/>
      <c r="G79" s="30"/>
      <c r="H79" s="30"/>
      <c r="J79" s="29"/>
      <c r="L79" s="30"/>
      <c r="M79" s="30"/>
      <c r="O79" s="32"/>
      <c r="P79" s="32"/>
      <c r="S79" s="32"/>
    </row>
    <row r="80">
      <c r="D80" s="29"/>
      <c r="F80" s="31"/>
      <c r="G80" s="30"/>
      <c r="H80" s="30"/>
      <c r="J80" s="29"/>
      <c r="L80" s="30"/>
      <c r="M80" s="30"/>
      <c r="O80" s="32"/>
      <c r="P80" s="32"/>
      <c r="S80" s="32"/>
    </row>
    <row r="81">
      <c r="D81" s="29"/>
      <c r="F81" s="31"/>
      <c r="G81" s="30"/>
      <c r="H81" s="30"/>
      <c r="J81" s="29"/>
      <c r="L81" s="30"/>
      <c r="M81" s="30"/>
      <c r="O81" s="32"/>
      <c r="P81" s="32"/>
      <c r="S81" s="32"/>
    </row>
    <row r="82">
      <c r="D82" s="29"/>
      <c r="F82" s="31"/>
      <c r="G82" s="30"/>
      <c r="H82" s="30"/>
      <c r="J82" s="29"/>
      <c r="L82" s="30"/>
      <c r="M82" s="30"/>
      <c r="O82" s="32"/>
      <c r="P82" s="32"/>
      <c r="S82" s="32"/>
    </row>
    <row r="83">
      <c r="D83" s="29"/>
      <c r="F83" s="31"/>
      <c r="G83" s="30"/>
      <c r="H83" s="30"/>
      <c r="J83" s="29"/>
      <c r="L83" s="30"/>
      <c r="M83" s="30"/>
      <c r="O83" s="32"/>
      <c r="P83" s="32"/>
      <c r="S83" s="32"/>
    </row>
    <row r="84">
      <c r="D84" s="29"/>
      <c r="F84" s="31"/>
      <c r="G84" s="30"/>
      <c r="H84" s="30"/>
      <c r="J84" s="29"/>
      <c r="L84" s="30"/>
      <c r="M84" s="30"/>
      <c r="O84" s="32"/>
      <c r="P84" s="32"/>
      <c r="S84" s="32"/>
    </row>
    <row r="85">
      <c r="D85" s="29"/>
      <c r="F85" s="31"/>
      <c r="G85" s="30"/>
      <c r="H85" s="30"/>
      <c r="J85" s="29"/>
      <c r="L85" s="30"/>
      <c r="M85" s="30"/>
      <c r="O85" s="32"/>
      <c r="P85" s="32"/>
      <c r="S85" s="32"/>
    </row>
    <row r="86">
      <c r="D86" s="29"/>
      <c r="F86" s="31"/>
      <c r="G86" s="30"/>
      <c r="H86" s="30"/>
      <c r="J86" s="29"/>
      <c r="L86" s="30"/>
      <c r="M86" s="30"/>
      <c r="O86" s="32"/>
      <c r="P86" s="32"/>
      <c r="S86" s="32"/>
    </row>
    <row r="87">
      <c r="D87" s="29"/>
      <c r="F87" s="31"/>
      <c r="G87" s="30"/>
      <c r="H87" s="30"/>
      <c r="J87" s="29"/>
      <c r="L87" s="30"/>
      <c r="M87" s="30"/>
      <c r="O87" s="32"/>
      <c r="P87" s="32"/>
      <c r="S87" s="32"/>
    </row>
    <row r="88">
      <c r="D88" s="29"/>
      <c r="F88" s="31"/>
      <c r="G88" s="30"/>
      <c r="H88" s="30"/>
      <c r="J88" s="29"/>
      <c r="L88" s="30"/>
      <c r="M88" s="30"/>
      <c r="O88" s="32"/>
      <c r="P88" s="32"/>
      <c r="S88" s="32"/>
    </row>
    <row r="89">
      <c r="D89" s="29"/>
      <c r="F89" s="31"/>
      <c r="G89" s="30"/>
      <c r="H89" s="30"/>
      <c r="J89" s="29"/>
      <c r="L89" s="30"/>
      <c r="M89" s="30"/>
      <c r="O89" s="32"/>
      <c r="P89" s="32"/>
      <c r="S89" s="32"/>
    </row>
    <row r="90">
      <c r="D90" s="29"/>
      <c r="F90" s="31"/>
      <c r="G90" s="30"/>
      <c r="H90" s="30"/>
      <c r="J90" s="29"/>
      <c r="L90" s="30"/>
      <c r="M90" s="30"/>
      <c r="O90" s="32"/>
      <c r="P90" s="32"/>
      <c r="S90" s="32"/>
    </row>
    <row r="91">
      <c r="D91" s="29"/>
      <c r="F91" s="31"/>
      <c r="G91" s="30"/>
      <c r="H91" s="30"/>
      <c r="J91" s="29"/>
      <c r="L91" s="30"/>
      <c r="M91" s="30"/>
      <c r="O91" s="32"/>
      <c r="P91" s="32"/>
      <c r="S91" s="32"/>
    </row>
    <row r="92">
      <c r="D92" s="29"/>
      <c r="F92" s="31"/>
      <c r="G92" s="30"/>
      <c r="H92" s="30"/>
      <c r="J92" s="29"/>
      <c r="L92" s="30"/>
      <c r="M92" s="30"/>
      <c r="O92" s="32"/>
      <c r="P92" s="32"/>
      <c r="S92" s="32"/>
    </row>
    <row r="93">
      <c r="D93" s="29"/>
      <c r="F93" s="31"/>
      <c r="G93" s="30"/>
      <c r="H93" s="30"/>
      <c r="J93" s="29"/>
      <c r="L93" s="30"/>
      <c r="M93" s="30"/>
      <c r="O93" s="32"/>
      <c r="P93" s="32"/>
      <c r="S93" s="32"/>
    </row>
    <row r="94">
      <c r="D94" s="29"/>
      <c r="F94" s="31"/>
      <c r="G94" s="30"/>
      <c r="H94" s="30"/>
      <c r="J94" s="29"/>
      <c r="L94" s="30"/>
      <c r="M94" s="30"/>
      <c r="O94" s="32"/>
      <c r="P94" s="32"/>
      <c r="S94" s="32"/>
    </row>
    <row r="95">
      <c r="D95" s="29"/>
      <c r="F95" s="31"/>
      <c r="G95" s="30"/>
      <c r="H95" s="30"/>
      <c r="J95" s="29"/>
      <c r="L95" s="30"/>
      <c r="M95" s="30"/>
      <c r="O95" s="32"/>
      <c r="P95" s="32"/>
      <c r="S95" s="32"/>
    </row>
    <row r="96">
      <c r="D96" s="29"/>
      <c r="F96" s="31"/>
      <c r="G96" s="30"/>
      <c r="H96" s="30"/>
      <c r="J96" s="29"/>
      <c r="L96" s="30"/>
      <c r="M96" s="30"/>
      <c r="O96" s="32"/>
      <c r="P96" s="32"/>
      <c r="S96" s="32"/>
    </row>
    <row r="97">
      <c r="D97" s="29"/>
      <c r="F97" s="31"/>
      <c r="G97" s="30"/>
      <c r="H97" s="30"/>
      <c r="J97" s="29"/>
      <c r="L97" s="30"/>
      <c r="M97" s="30"/>
      <c r="O97" s="32"/>
      <c r="P97" s="32"/>
      <c r="S97" s="32"/>
    </row>
    <row r="98">
      <c r="D98" s="29"/>
      <c r="F98" s="31"/>
      <c r="G98" s="30"/>
      <c r="H98" s="30"/>
      <c r="J98" s="29"/>
      <c r="L98" s="30"/>
      <c r="M98" s="30"/>
      <c r="O98" s="32"/>
      <c r="P98" s="32"/>
      <c r="S98" s="32"/>
    </row>
    <row r="99">
      <c r="D99" s="29"/>
      <c r="F99" s="31"/>
      <c r="G99" s="30"/>
      <c r="H99" s="30"/>
      <c r="J99" s="29"/>
      <c r="L99" s="30"/>
      <c r="M99" s="30"/>
      <c r="O99" s="32"/>
      <c r="P99" s="32"/>
      <c r="S99" s="32"/>
    </row>
    <row r="100">
      <c r="D100" s="29"/>
      <c r="F100" s="31"/>
      <c r="G100" s="30"/>
      <c r="H100" s="30"/>
      <c r="J100" s="29"/>
      <c r="L100" s="30"/>
      <c r="M100" s="30"/>
      <c r="O100" s="32"/>
      <c r="P100" s="32"/>
      <c r="S100" s="32"/>
    </row>
    <row r="101">
      <c r="D101" s="29"/>
      <c r="F101" s="31"/>
      <c r="G101" s="30"/>
      <c r="H101" s="30"/>
      <c r="J101" s="29"/>
      <c r="L101" s="30"/>
      <c r="M101" s="30"/>
      <c r="O101" s="32"/>
      <c r="P101" s="32"/>
      <c r="S101" s="32"/>
    </row>
    <row r="102">
      <c r="D102" s="29"/>
      <c r="F102" s="31"/>
      <c r="G102" s="30"/>
      <c r="H102" s="30"/>
      <c r="J102" s="29"/>
      <c r="L102" s="30"/>
      <c r="M102" s="30"/>
      <c r="O102" s="32"/>
      <c r="P102" s="32"/>
      <c r="S102" s="32"/>
    </row>
    <row r="103">
      <c r="D103" s="29"/>
      <c r="F103" s="31"/>
      <c r="G103" s="30"/>
      <c r="H103" s="30"/>
      <c r="J103" s="29"/>
      <c r="L103" s="30"/>
      <c r="M103" s="30"/>
      <c r="O103" s="32"/>
      <c r="P103" s="32"/>
      <c r="S103" s="32"/>
    </row>
    <row r="104">
      <c r="D104" s="29"/>
      <c r="F104" s="31"/>
      <c r="G104" s="30"/>
      <c r="H104" s="30"/>
      <c r="J104" s="29"/>
      <c r="L104" s="30"/>
      <c r="M104" s="30"/>
      <c r="O104" s="32"/>
      <c r="P104" s="32"/>
      <c r="S104" s="32"/>
    </row>
    <row r="105">
      <c r="D105" s="29"/>
      <c r="F105" s="31"/>
      <c r="G105" s="30"/>
      <c r="H105" s="30"/>
      <c r="J105" s="29"/>
      <c r="L105" s="30"/>
      <c r="M105" s="30"/>
      <c r="O105" s="32"/>
      <c r="P105" s="32"/>
      <c r="S105" s="32"/>
    </row>
    <row r="106">
      <c r="D106" s="29"/>
      <c r="F106" s="31"/>
      <c r="G106" s="30"/>
      <c r="H106" s="30"/>
      <c r="J106" s="29"/>
      <c r="L106" s="30"/>
      <c r="M106" s="30"/>
      <c r="O106" s="32"/>
      <c r="P106" s="32"/>
      <c r="S106" s="32"/>
    </row>
    <row r="107">
      <c r="D107" s="29"/>
      <c r="F107" s="31"/>
      <c r="G107" s="30"/>
      <c r="H107" s="30"/>
      <c r="J107" s="29"/>
      <c r="L107" s="30"/>
      <c r="M107" s="30"/>
      <c r="O107" s="32"/>
      <c r="P107" s="32"/>
      <c r="S107" s="32"/>
    </row>
    <row r="108">
      <c r="D108" s="29"/>
      <c r="F108" s="31"/>
      <c r="G108" s="30"/>
      <c r="H108" s="30"/>
      <c r="J108" s="29"/>
      <c r="L108" s="30"/>
      <c r="M108" s="30"/>
      <c r="O108" s="32"/>
      <c r="P108" s="32"/>
      <c r="S108" s="32"/>
    </row>
    <row r="109">
      <c r="D109" s="29"/>
      <c r="F109" s="31"/>
      <c r="G109" s="30"/>
      <c r="H109" s="30"/>
      <c r="J109" s="29"/>
      <c r="L109" s="30"/>
      <c r="M109" s="30"/>
      <c r="O109" s="32"/>
      <c r="P109" s="32"/>
      <c r="S109" s="32"/>
    </row>
    <row r="110">
      <c r="D110" s="29"/>
      <c r="F110" s="31"/>
      <c r="G110" s="30"/>
      <c r="H110" s="30"/>
      <c r="J110" s="29"/>
      <c r="L110" s="30"/>
      <c r="M110" s="30"/>
      <c r="O110" s="32"/>
      <c r="P110" s="32"/>
      <c r="S110" s="32"/>
    </row>
    <row r="111">
      <c r="D111" s="29"/>
      <c r="F111" s="31"/>
      <c r="G111" s="30"/>
      <c r="H111" s="30"/>
      <c r="J111" s="29"/>
      <c r="L111" s="30"/>
      <c r="M111" s="30"/>
      <c r="O111" s="32"/>
      <c r="P111" s="32"/>
      <c r="S111" s="32"/>
    </row>
    <row r="112">
      <c r="D112" s="29"/>
      <c r="F112" s="31"/>
      <c r="G112" s="30"/>
      <c r="H112" s="30"/>
      <c r="J112" s="29"/>
      <c r="L112" s="30"/>
      <c r="M112" s="30"/>
      <c r="O112" s="32"/>
      <c r="P112" s="32"/>
      <c r="S112" s="32"/>
    </row>
    <row r="113">
      <c r="D113" s="29"/>
      <c r="F113" s="31"/>
      <c r="G113" s="30"/>
      <c r="H113" s="30"/>
      <c r="J113" s="29"/>
      <c r="L113" s="30"/>
      <c r="M113" s="30"/>
      <c r="O113" s="32"/>
      <c r="P113" s="32"/>
      <c r="S113" s="32"/>
    </row>
    <row r="114">
      <c r="D114" s="29"/>
      <c r="F114" s="31"/>
      <c r="G114" s="30"/>
      <c r="H114" s="30"/>
      <c r="J114" s="29"/>
      <c r="L114" s="30"/>
      <c r="M114" s="30"/>
      <c r="O114" s="32"/>
      <c r="P114" s="32"/>
      <c r="S114" s="32"/>
    </row>
    <row r="115">
      <c r="D115" s="29"/>
      <c r="F115" s="31"/>
      <c r="G115" s="30"/>
      <c r="H115" s="30"/>
      <c r="J115" s="29"/>
      <c r="L115" s="30"/>
      <c r="M115" s="30"/>
      <c r="O115" s="32"/>
      <c r="P115" s="32"/>
      <c r="S115" s="32"/>
    </row>
    <row r="116">
      <c r="D116" s="29"/>
      <c r="F116" s="31"/>
      <c r="G116" s="30"/>
      <c r="H116" s="30"/>
      <c r="J116" s="29"/>
      <c r="L116" s="30"/>
      <c r="M116" s="30"/>
      <c r="O116" s="32"/>
      <c r="P116" s="32"/>
      <c r="S116" s="32"/>
    </row>
    <row r="117">
      <c r="D117" s="29"/>
      <c r="F117" s="31"/>
      <c r="G117" s="30"/>
      <c r="H117" s="30"/>
      <c r="J117" s="29"/>
      <c r="L117" s="30"/>
      <c r="M117" s="30"/>
      <c r="O117" s="32"/>
      <c r="P117" s="32"/>
      <c r="S117" s="32"/>
    </row>
    <row r="118">
      <c r="D118" s="29"/>
      <c r="F118" s="31"/>
      <c r="G118" s="30"/>
      <c r="H118" s="30"/>
      <c r="J118" s="29"/>
      <c r="L118" s="30"/>
      <c r="M118" s="30"/>
      <c r="O118" s="32"/>
      <c r="P118" s="32"/>
      <c r="S118" s="32"/>
    </row>
    <row r="119">
      <c r="D119" s="29"/>
      <c r="F119" s="31"/>
      <c r="G119" s="30"/>
      <c r="H119" s="30"/>
      <c r="J119" s="29"/>
      <c r="L119" s="30"/>
      <c r="M119" s="30"/>
      <c r="O119" s="32"/>
      <c r="P119" s="32"/>
      <c r="S119" s="32"/>
    </row>
    <row r="120">
      <c r="D120" s="29"/>
      <c r="F120" s="31"/>
      <c r="G120" s="30"/>
      <c r="H120" s="30"/>
      <c r="J120" s="29"/>
      <c r="L120" s="30"/>
      <c r="M120" s="30"/>
      <c r="O120" s="32"/>
      <c r="P120" s="32"/>
      <c r="S120" s="32"/>
    </row>
    <row r="121">
      <c r="D121" s="29"/>
      <c r="F121" s="31"/>
      <c r="G121" s="30"/>
      <c r="H121" s="30"/>
      <c r="J121" s="29"/>
      <c r="L121" s="30"/>
      <c r="M121" s="30"/>
      <c r="O121" s="32"/>
      <c r="P121" s="32"/>
      <c r="S121" s="32"/>
    </row>
    <row r="122">
      <c r="D122" s="29"/>
      <c r="F122" s="31"/>
      <c r="G122" s="30"/>
      <c r="H122" s="30"/>
      <c r="J122" s="29"/>
      <c r="L122" s="30"/>
      <c r="M122" s="30"/>
      <c r="O122" s="32"/>
      <c r="P122" s="32"/>
      <c r="S122" s="32"/>
    </row>
    <row r="123">
      <c r="D123" s="29"/>
      <c r="F123" s="31"/>
      <c r="G123" s="30"/>
      <c r="H123" s="30"/>
      <c r="J123" s="29"/>
      <c r="L123" s="30"/>
      <c r="M123" s="30"/>
      <c r="O123" s="32"/>
      <c r="P123" s="32"/>
      <c r="S123" s="32"/>
    </row>
    <row r="124">
      <c r="D124" s="29"/>
      <c r="F124" s="31"/>
      <c r="G124" s="30"/>
      <c r="H124" s="30"/>
      <c r="J124" s="29"/>
      <c r="L124" s="30"/>
      <c r="M124" s="30"/>
      <c r="O124" s="32"/>
      <c r="P124" s="32"/>
      <c r="S124" s="32"/>
    </row>
    <row r="125">
      <c r="D125" s="29"/>
      <c r="F125" s="31"/>
      <c r="G125" s="30"/>
      <c r="H125" s="30"/>
      <c r="J125" s="29"/>
      <c r="L125" s="30"/>
      <c r="M125" s="30"/>
      <c r="O125" s="32"/>
      <c r="P125" s="32"/>
      <c r="S125" s="32"/>
    </row>
    <row r="126">
      <c r="D126" s="29"/>
      <c r="F126" s="31"/>
      <c r="G126" s="30"/>
      <c r="H126" s="30"/>
      <c r="J126" s="29"/>
      <c r="L126" s="30"/>
      <c r="M126" s="30"/>
      <c r="O126" s="32"/>
      <c r="P126" s="32"/>
      <c r="S126" s="32"/>
    </row>
    <row r="127">
      <c r="D127" s="29"/>
      <c r="F127" s="31"/>
      <c r="G127" s="30"/>
      <c r="H127" s="30"/>
      <c r="J127" s="29"/>
      <c r="L127" s="30"/>
      <c r="M127" s="30"/>
      <c r="O127" s="32"/>
      <c r="P127" s="32"/>
      <c r="S127" s="32"/>
    </row>
    <row r="128">
      <c r="D128" s="29"/>
      <c r="F128" s="31"/>
      <c r="G128" s="30"/>
      <c r="H128" s="30"/>
      <c r="J128" s="29"/>
      <c r="L128" s="30"/>
      <c r="M128" s="30"/>
      <c r="O128" s="32"/>
      <c r="P128" s="32"/>
      <c r="S128" s="32"/>
    </row>
    <row r="129">
      <c r="D129" s="29"/>
      <c r="F129" s="31"/>
      <c r="G129" s="30"/>
      <c r="H129" s="30"/>
      <c r="J129" s="29"/>
      <c r="L129" s="30"/>
      <c r="M129" s="30"/>
      <c r="O129" s="32"/>
      <c r="P129" s="32"/>
      <c r="S129" s="32"/>
    </row>
    <row r="130">
      <c r="D130" s="29"/>
      <c r="F130" s="31"/>
      <c r="G130" s="30"/>
      <c r="H130" s="30"/>
      <c r="J130" s="29"/>
      <c r="L130" s="30"/>
      <c r="M130" s="30"/>
      <c r="O130" s="32"/>
      <c r="P130" s="32"/>
      <c r="S130" s="32"/>
    </row>
    <row r="131">
      <c r="D131" s="29"/>
      <c r="F131" s="31"/>
      <c r="G131" s="30"/>
      <c r="H131" s="30"/>
      <c r="J131" s="29"/>
      <c r="L131" s="30"/>
      <c r="M131" s="30"/>
      <c r="O131" s="32"/>
      <c r="P131" s="32"/>
      <c r="S131" s="32"/>
    </row>
    <row r="132">
      <c r="D132" s="29"/>
      <c r="F132" s="31"/>
      <c r="G132" s="30"/>
      <c r="H132" s="30"/>
      <c r="J132" s="29"/>
      <c r="L132" s="30"/>
      <c r="M132" s="30"/>
      <c r="O132" s="32"/>
      <c r="P132" s="32"/>
      <c r="S132" s="32"/>
    </row>
    <row r="133">
      <c r="D133" s="29"/>
      <c r="F133" s="31"/>
      <c r="G133" s="30"/>
      <c r="H133" s="30"/>
      <c r="J133" s="29"/>
      <c r="L133" s="30"/>
      <c r="M133" s="30"/>
      <c r="O133" s="32"/>
      <c r="P133" s="32"/>
      <c r="S133" s="32"/>
    </row>
    <row r="134">
      <c r="D134" s="29"/>
      <c r="F134" s="31"/>
      <c r="G134" s="30"/>
      <c r="H134" s="30"/>
      <c r="J134" s="29"/>
      <c r="L134" s="30"/>
      <c r="M134" s="30"/>
      <c r="O134" s="32"/>
      <c r="P134" s="32"/>
      <c r="S134" s="32"/>
    </row>
    <row r="135">
      <c r="D135" s="29"/>
      <c r="F135" s="31"/>
      <c r="G135" s="30"/>
      <c r="H135" s="30"/>
      <c r="J135" s="29"/>
      <c r="L135" s="30"/>
      <c r="M135" s="30"/>
      <c r="O135" s="32"/>
      <c r="P135" s="32"/>
      <c r="S135" s="32"/>
    </row>
    <row r="136">
      <c r="D136" s="29"/>
      <c r="F136" s="31"/>
      <c r="G136" s="30"/>
      <c r="H136" s="30"/>
      <c r="J136" s="29"/>
      <c r="L136" s="30"/>
      <c r="M136" s="30"/>
      <c r="O136" s="32"/>
      <c r="P136" s="32"/>
      <c r="S136" s="32"/>
    </row>
    <row r="137">
      <c r="D137" s="29"/>
      <c r="F137" s="31"/>
      <c r="G137" s="30"/>
      <c r="H137" s="30"/>
      <c r="J137" s="29"/>
      <c r="L137" s="30"/>
      <c r="M137" s="30"/>
      <c r="O137" s="32"/>
      <c r="P137" s="32"/>
      <c r="S137" s="32"/>
    </row>
    <row r="138">
      <c r="D138" s="29"/>
      <c r="F138" s="31"/>
      <c r="G138" s="30"/>
      <c r="H138" s="30"/>
      <c r="J138" s="29"/>
      <c r="L138" s="30"/>
      <c r="M138" s="30"/>
      <c r="O138" s="32"/>
      <c r="P138" s="32"/>
      <c r="S138" s="32"/>
    </row>
    <row r="139">
      <c r="D139" s="29"/>
      <c r="F139" s="31"/>
      <c r="G139" s="30"/>
      <c r="H139" s="30"/>
      <c r="J139" s="29"/>
      <c r="L139" s="30"/>
      <c r="M139" s="30"/>
      <c r="O139" s="32"/>
      <c r="P139" s="32"/>
      <c r="S139" s="32"/>
    </row>
    <row r="140">
      <c r="D140" s="29"/>
      <c r="F140" s="31"/>
      <c r="G140" s="30"/>
      <c r="H140" s="30"/>
      <c r="J140" s="29"/>
      <c r="L140" s="30"/>
      <c r="M140" s="30"/>
      <c r="O140" s="32"/>
      <c r="P140" s="32"/>
      <c r="S140" s="32"/>
    </row>
    <row r="141">
      <c r="D141" s="29"/>
      <c r="F141" s="31"/>
      <c r="G141" s="30"/>
      <c r="H141" s="30"/>
      <c r="J141" s="29"/>
      <c r="L141" s="30"/>
      <c r="M141" s="30"/>
      <c r="O141" s="32"/>
      <c r="P141" s="32"/>
      <c r="S141" s="32"/>
    </row>
    <row r="142">
      <c r="D142" s="29"/>
      <c r="F142" s="31"/>
      <c r="G142" s="30"/>
      <c r="H142" s="30"/>
      <c r="J142" s="29"/>
      <c r="L142" s="30"/>
      <c r="M142" s="30"/>
      <c r="O142" s="32"/>
      <c r="P142" s="32"/>
      <c r="S142" s="32"/>
    </row>
    <row r="143">
      <c r="D143" s="29"/>
      <c r="F143" s="31"/>
      <c r="G143" s="30"/>
      <c r="H143" s="30"/>
      <c r="J143" s="29"/>
      <c r="L143" s="30"/>
      <c r="M143" s="30"/>
      <c r="O143" s="32"/>
      <c r="P143" s="32"/>
      <c r="S143" s="32"/>
    </row>
    <row r="144">
      <c r="D144" s="29"/>
      <c r="F144" s="31"/>
      <c r="G144" s="30"/>
      <c r="H144" s="30"/>
      <c r="J144" s="29"/>
      <c r="L144" s="30"/>
      <c r="M144" s="30"/>
      <c r="O144" s="32"/>
      <c r="P144" s="32"/>
      <c r="S144" s="32"/>
    </row>
    <row r="145">
      <c r="D145" s="29"/>
      <c r="F145" s="31"/>
      <c r="G145" s="30"/>
      <c r="H145" s="30"/>
      <c r="J145" s="29"/>
      <c r="L145" s="30"/>
      <c r="M145" s="30"/>
      <c r="O145" s="32"/>
      <c r="P145" s="32"/>
      <c r="S145" s="32"/>
    </row>
    <row r="146">
      <c r="D146" s="29"/>
      <c r="F146" s="31"/>
      <c r="G146" s="30"/>
      <c r="H146" s="30"/>
      <c r="J146" s="29"/>
      <c r="L146" s="30"/>
      <c r="M146" s="30"/>
      <c r="O146" s="32"/>
      <c r="P146" s="32"/>
      <c r="S146" s="32"/>
    </row>
    <row r="147">
      <c r="D147" s="29"/>
      <c r="F147" s="31"/>
      <c r="G147" s="30"/>
      <c r="H147" s="30"/>
      <c r="J147" s="29"/>
      <c r="L147" s="30"/>
      <c r="M147" s="30"/>
      <c r="O147" s="32"/>
      <c r="P147" s="32"/>
      <c r="S147" s="32"/>
    </row>
    <row r="148">
      <c r="D148" s="29"/>
      <c r="F148" s="31"/>
      <c r="G148" s="30"/>
      <c r="H148" s="30"/>
      <c r="J148" s="29"/>
      <c r="L148" s="30"/>
      <c r="M148" s="30"/>
      <c r="O148" s="32"/>
      <c r="P148" s="32"/>
      <c r="S148" s="32"/>
    </row>
    <row r="149">
      <c r="D149" s="29"/>
      <c r="F149" s="31"/>
      <c r="G149" s="30"/>
      <c r="H149" s="30"/>
      <c r="J149" s="29"/>
      <c r="L149" s="30"/>
      <c r="M149" s="30"/>
      <c r="O149" s="32"/>
      <c r="P149" s="32"/>
      <c r="S149" s="32"/>
    </row>
    <row r="150">
      <c r="D150" s="29"/>
      <c r="F150" s="31"/>
      <c r="G150" s="30"/>
      <c r="H150" s="30"/>
      <c r="J150" s="29"/>
      <c r="L150" s="30"/>
      <c r="M150" s="30"/>
      <c r="O150" s="32"/>
      <c r="P150" s="32"/>
      <c r="S150" s="32"/>
    </row>
    <row r="151">
      <c r="D151" s="29"/>
      <c r="F151" s="31"/>
      <c r="G151" s="30"/>
      <c r="H151" s="30"/>
      <c r="J151" s="29"/>
      <c r="L151" s="30"/>
      <c r="M151" s="30"/>
      <c r="O151" s="32"/>
      <c r="P151" s="32"/>
      <c r="S151" s="32"/>
    </row>
    <row r="152">
      <c r="D152" s="29"/>
      <c r="F152" s="31"/>
      <c r="G152" s="30"/>
      <c r="H152" s="30"/>
      <c r="J152" s="29"/>
      <c r="L152" s="30"/>
      <c r="M152" s="30"/>
      <c r="O152" s="32"/>
      <c r="P152" s="32"/>
      <c r="S152" s="32"/>
    </row>
    <row r="153">
      <c r="D153" s="29"/>
      <c r="F153" s="31"/>
      <c r="G153" s="30"/>
      <c r="H153" s="30"/>
      <c r="J153" s="29"/>
      <c r="L153" s="30"/>
      <c r="M153" s="30"/>
      <c r="O153" s="32"/>
      <c r="P153" s="32"/>
      <c r="S153" s="32"/>
    </row>
    <row r="154">
      <c r="D154" s="29"/>
      <c r="F154" s="31"/>
      <c r="G154" s="30"/>
      <c r="H154" s="30"/>
      <c r="J154" s="29"/>
      <c r="L154" s="30"/>
      <c r="M154" s="30"/>
      <c r="O154" s="32"/>
      <c r="P154" s="32"/>
      <c r="S154" s="32"/>
    </row>
    <row r="155">
      <c r="D155" s="29"/>
      <c r="F155" s="31"/>
      <c r="G155" s="30"/>
      <c r="H155" s="30"/>
      <c r="J155" s="29"/>
      <c r="L155" s="30"/>
      <c r="M155" s="30"/>
      <c r="O155" s="32"/>
      <c r="P155" s="32"/>
      <c r="S155" s="32"/>
    </row>
    <row r="156">
      <c r="D156" s="29"/>
      <c r="F156" s="31"/>
      <c r="G156" s="30"/>
      <c r="H156" s="30"/>
      <c r="J156" s="29"/>
      <c r="L156" s="30"/>
      <c r="M156" s="30"/>
      <c r="O156" s="32"/>
      <c r="P156" s="32"/>
      <c r="S156" s="32"/>
    </row>
    <row r="157">
      <c r="D157" s="29"/>
      <c r="F157" s="31"/>
      <c r="G157" s="30"/>
      <c r="H157" s="30"/>
      <c r="J157" s="29"/>
      <c r="L157" s="30"/>
      <c r="M157" s="30"/>
      <c r="O157" s="32"/>
      <c r="P157" s="32"/>
      <c r="S157" s="32"/>
    </row>
    <row r="158">
      <c r="D158" s="29"/>
      <c r="F158" s="31"/>
      <c r="G158" s="30"/>
      <c r="H158" s="30"/>
      <c r="J158" s="29"/>
      <c r="L158" s="30"/>
      <c r="M158" s="30"/>
      <c r="O158" s="32"/>
      <c r="P158" s="32"/>
      <c r="S158" s="32"/>
    </row>
    <row r="159">
      <c r="D159" s="29"/>
      <c r="F159" s="31"/>
      <c r="G159" s="30"/>
      <c r="H159" s="30"/>
      <c r="J159" s="29"/>
      <c r="L159" s="30"/>
      <c r="M159" s="30"/>
      <c r="O159" s="32"/>
      <c r="P159" s="32"/>
      <c r="S159" s="32"/>
    </row>
    <row r="160">
      <c r="D160" s="29"/>
      <c r="F160" s="31"/>
      <c r="G160" s="30"/>
      <c r="H160" s="30"/>
      <c r="J160" s="29"/>
      <c r="L160" s="30"/>
      <c r="M160" s="30"/>
      <c r="O160" s="32"/>
      <c r="P160" s="32"/>
      <c r="S160" s="32"/>
    </row>
    <row r="161">
      <c r="D161" s="29"/>
      <c r="F161" s="31"/>
      <c r="G161" s="30"/>
      <c r="H161" s="30"/>
      <c r="J161" s="29"/>
      <c r="L161" s="30"/>
      <c r="M161" s="30"/>
      <c r="O161" s="32"/>
      <c r="P161" s="32"/>
      <c r="S161" s="32"/>
    </row>
    <row r="162">
      <c r="D162" s="29"/>
      <c r="F162" s="31"/>
      <c r="G162" s="30"/>
      <c r="H162" s="30"/>
      <c r="J162" s="29"/>
      <c r="L162" s="30"/>
      <c r="M162" s="30"/>
      <c r="O162" s="32"/>
      <c r="P162" s="32"/>
      <c r="S162" s="32"/>
    </row>
    <row r="163">
      <c r="D163" s="29"/>
      <c r="F163" s="31"/>
      <c r="G163" s="30"/>
      <c r="H163" s="30"/>
      <c r="J163" s="29"/>
      <c r="L163" s="30"/>
      <c r="M163" s="30"/>
      <c r="O163" s="32"/>
      <c r="P163" s="32"/>
      <c r="S163" s="32"/>
    </row>
    <row r="164">
      <c r="D164" s="29"/>
      <c r="F164" s="31"/>
      <c r="G164" s="30"/>
      <c r="H164" s="30"/>
      <c r="J164" s="29"/>
      <c r="L164" s="30"/>
      <c r="M164" s="30"/>
      <c r="O164" s="32"/>
      <c r="P164" s="32"/>
      <c r="S164" s="32"/>
    </row>
    <row r="165">
      <c r="D165" s="29"/>
      <c r="F165" s="31"/>
      <c r="G165" s="30"/>
      <c r="H165" s="30"/>
      <c r="J165" s="29"/>
      <c r="L165" s="30"/>
      <c r="M165" s="30"/>
      <c r="O165" s="32"/>
      <c r="P165" s="32"/>
      <c r="S165" s="32"/>
    </row>
    <row r="166">
      <c r="D166" s="29"/>
      <c r="F166" s="31"/>
      <c r="G166" s="30"/>
      <c r="H166" s="30"/>
      <c r="J166" s="29"/>
      <c r="L166" s="30"/>
      <c r="M166" s="30"/>
      <c r="O166" s="32"/>
      <c r="P166" s="32"/>
      <c r="S166" s="32"/>
    </row>
    <row r="167">
      <c r="D167" s="29"/>
      <c r="F167" s="31"/>
      <c r="G167" s="30"/>
      <c r="H167" s="30"/>
      <c r="J167" s="29"/>
      <c r="L167" s="30"/>
      <c r="M167" s="30"/>
      <c r="O167" s="32"/>
      <c r="P167" s="32"/>
      <c r="S167" s="32"/>
    </row>
    <row r="168">
      <c r="D168" s="29"/>
      <c r="F168" s="31"/>
      <c r="G168" s="30"/>
      <c r="H168" s="30"/>
      <c r="J168" s="29"/>
      <c r="L168" s="30"/>
      <c r="M168" s="30"/>
      <c r="O168" s="32"/>
      <c r="P168" s="32"/>
      <c r="S168" s="32"/>
    </row>
    <row r="169">
      <c r="D169" s="29"/>
      <c r="F169" s="31"/>
      <c r="G169" s="30"/>
      <c r="H169" s="30"/>
      <c r="J169" s="29"/>
      <c r="L169" s="30"/>
      <c r="M169" s="30"/>
      <c r="O169" s="32"/>
      <c r="P169" s="32"/>
      <c r="S169" s="32"/>
    </row>
    <row r="170">
      <c r="D170" s="29"/>
      <c r="F170" s="31"/>
      <c r="G170" s="30"/>
      <c r="H170" s="30"/>
      <c r="J170" s="29"/>
      <c r="L170" s="30"/>
      <c r="M170" s="30"/>
      <c r="O170" s="32"/>
      <c r="P170" s="32"/>
      <c r="S170" s="32"/>
    </row>
    <row r="171">
      <c r="D171" s="29"/>
      <c r="F171" s="31"/>
      <c r="G171" s="30"/>
      <c r="H171" s="30"/>
      <c r="J171" s="29"/>
      <c r="L171" s="30"/>
      <c r="M171" s="30"/>
      <c r="O171" s="32"/>
      <c r="P171" s="32"/>
      <c r="S171" s="32"/>
    </row>
    <row r="172">
      <c r="D172" s="29"/>
      <c r="F172" s="31"/>
      <c r="G172" s="30"/>
      <c r="H172" s="30"/>
      <c r="J172" s="29"/>
      <c r="L172" s="30"/>
      <c r="M172" s="30"/>
      <c r="O172" s="32"/>
      <c r="P172" s="32"/>
      <c r="S172" s="32"/>
    </row>
    <row r="173">
      <c r="D173" s="29"/>
      <c r="F173" s="31"/>
      <c r="G173" s="30"/>
      <c r="H173" s="30"/>
      <c r="J173" s="29"/>
      <c r="L173" s="30"/>
      <c r="M173" s="30"/>
      <c r="O173" s="32"/>
      <c r="P173" s="32"/>
      <c r="S173" s="32"/>
    </row>
    <row r="174">
      <c r="D174" s="29"/>
      <c r="F174" s="31"/>
      <c r="G174" s="30"/>
      <c r="H174" s="30"/>
      <c r="J174" s="29"/>
      <c r="L174" s="30"/>
      <c r="M174" s="30"/>
      <c r="O174" s="32"/>
      <c r="P174" s="32"/>
      <c r="S174" s="32"/>
    </row>
    <row r="175">
      <c r="D175" s="29"/>
      <c r="F175" s="31"/>
      <c r="G175" s="30"/>
      <c r="H175" s="30"/>
      <c r="J175" s="29"/>
      <c r="L175" s="30"/>
      <c r="M175" s="30"/>
      <c r="O175" s="32"/>
      <c r="P175" s="32"/>
      <c r="S175" s="32"/>
    </row>
    <row r="176">
      <c r="D176" s="29"/>
      <c r="F176" s="31"/>
      <c r="G176" s="30"/>
      <c r="H176" s="30"/>
      <c r="J176" s="29"/>
      <c r="L176" s="30"/>
      <c r="M176" s="30"/>
      <c r="O176" s="32"/>
      <c r="P176" s="32"/>
      <c r="S176" s="32"/>
    </row>
    <row r="177">
      <c r="D177" s="29"/>
      <c r="F177" s="31"/>
      <c r="G177" s="30"/>
      <c r="H177" s="30"/>
      <c r="J177" s="29"/>
      <c r="L177" s="30"/>
      <c r="M177" s="30"/>
      <c r="O177" s="32"/>
      <c r="P177" s="32"/>
      <c r="S177" s="32"/>
    </row>
    <row r="178">
      <c r="D178" s="29"/>
      <c r="F178" s="31"/>
      <c r="G178" s="30"/>
      <c r="H178" s="30"/>
      <c r="J178" s="29"/>
      <c r="L178" s="30"/>
      <c r="M178" s="30"/>
      <c r="O178" s="32"/>
      <c r="P178" s="32"/>
      <c r="S178" s="32"/>
    </row>
    <row r="179">
      <c r="D179" s="29"/>
      <c r="F179" s="31"/>
      <c r="G179" s="30"/>
      <c r="H179" s="30"/>
      <c r="J179" s="29"/>
      <c r="L179" s="30"/>
      <c r="M179" s="30"/>
      <c r="O179" s="32"/>
      <c r="P179" s="32"/>
      <c r="S179" s="32"/>
    </row>
    <row r="180">
      <c r="D180" s="29"/>
      <c r="F180" s="31"/>
      <c r="G180" s="30"/>
      <c r="H180" s="30"/>
      <c r="J180" s="29"/>
      <c r="L180" s="30"/>
      <c r="M180" s="30"/>
      <c r="O180" s="32"/>
      <c r="P180" s="32"/>
      <c r="S180" s="32"/>
    </row>
    <row r="181">
      <c r="D181" s="29"/>
      <c r="F181" s="31"/>
      <c r="G181" s="30"/>
      <c r="H181" s="30"/>
      <c r="J181" s="29"/>
      <c r="L181" s="30"/>
      <c r="M181" s="30"/>
      <c r="O181" s="32"/>
      <c r="P181" s="32"/>
      <c r="S181" s="32"/>
    </row>
    <row r="182">
      <c r="D182" s="29"/>
      <c r="F182" s="31"/>
      <c r="G182" s="30"/>
      <c r="H182" s="30"/>
      <c r="J182" s="29"/>
      <c r="L182" s="30"/>
      <c r="M182" s="30"/>
      <c r="O182" s="32"/>
      <c r="P182" s="32"/>
      <c r="S182" s="32"/>
    </row>
    <row r="183">
      <c r="D183" s="29"/>
      <c r="F183" s="31"/>
      <c r="G183" s="30"/>
      <c r="H183" s="30"/>
      <c r="J183" s="29"/>
      <c r="L183" s="30"/>
      <c r="M183" s="30"/>
      <c r="O183" s="32"/>
      <c r="P183" s="32"/>
      <c r="S183" s="32"/>
    </row>
    <row r="184">
      <c r="D184" s="29"/>
      <c r="F184" s="31"/>
      <c r="G184" s="30"/>
      <c r="H184" s="30"/>
      <c r="J184" s="29"/>
      <c r="L184" s="30"/>
      <c r="M184" s="30"/>
      <c r="O184" s="32"/>
      <c r="P184" s="32"/>
      <c r="S184" s="32"/>
    </row>
    <row r="185">
      <c r="D185" s="29"/>
      <c r="F185" s="31"/>
      <c r="G185" s="30"/>
      <c r="H185" s="30"/>
      <c r="J185" s="29"/>
      <c r="L185" s="30"/>
      <c r="M185" s="30"/>
      <c r="O185" s="32"/>
      <c r="P185" s="32"/>
      <c r="S185" s="32"/>
    </row>
    <row r="186">
      <c r="D186" s="29"/>
      <c r="F186" s="31"/>
      <c r="G186" s="30"/>
      <c r="H186" s="30"/>
      <c r="J186" s="29"/>
      <c r="L186" s="30"/>
      <c r="M186" s="30"/>
      <c r="O186" s="32"/>
      <c r="P186" s="32"/>
      <c r="S186" s="32"/>
    </row>
    <row r="187">
      <c r="D187" s="29"/>
      <c r="F187" s="31"/>
      <c r="G187" s="30"/>
      <c r="H187" s="30"/>
      <c r="J187" s="29"/>
      <c r="L187" s="30"/>
      <c r="M187" s="30"/>
      <c r="O187" s="32"/>
      <c r="P187" s="32"/>
      <c r="S187" s="32"/>
    </row>
    <row r="188">
      <c r="D188" s="29"/>
      <c r="F188" s="31"/>
      <c r="G188" s="30"/>
      <c r="H188" s="30"/>
      <c r="J188" s="29"/>
      <c r="L188" s="30"/>
      <c r="M188" s="30"/>
      <c r="O188" s="32"/>
      <c r="P188" s="32"/>
      <c r="S188" s="32"/>
    </row>
    <row r="189">
      <c r="D189" s="29"/>
      <c r="F189" s="31"/>
      <c r="G189" s="30"/>
      <c r="H189" s="30"/>
      <c r="J189" s="29"/>
      <c r="L189" s="30"/>
      <c r="M189" s="30"/>
      <c r="O189" s="32"/>
      <c r="P189" s="32"/>
      <c r="S189" s="32"/>
    </row>
    <row r="190">
      <c r="D190" s="29"/>
      <c r="F190" s="31"/>
      <c r="G190" s="30"/>
      <c r="H190" s="30"/>
      <c r="J190" s="29"/>
      <c r="L190" s="30"/>
      <c r="M190" s="30"/>
      <c r="O190" s="32"/>
      <c r="P190" s="32"/>
      <c r="S190" s="32"/>
    </row>
    <row r="191">
      <c r="D191" s="29"/>
      <c r="F191" s="31"/>
      <c r="G191" s="30"/>
      <c r="H191" s="30"/>
      <c r="J191" s="29"/>
      <c r="L191" s="30"/>
      <c r="M191" s="30"/>
      <c r="O191" s="32"/>
      <c r="P191" s="32"/>
      <c r="S191" s="32"/>
    </row>
    <row r="192">
      <c r="D192" s="29"/>
      <c r="F192" s="31"/>
      <c r="G192" s="30"/>
      <c r="H192" s="30"/>
      <c r="J192" s="29"/>
      <c r="L192" s="30"/>
      <c r="M192" s="30"/>
      <c r="O192" s="32"/>
      <c r="P192" s="32"/>
      <c r="S192" s="32"/>
    </row>
    <row r="193">
      <c r="D193" s="29"/>
      <c r="F193" s="31"/>
      <c r="G193" s="30"/>
      <c r="H193" s="30"/>
      <c r="J193" s="29"/>
      <c r="L193" s="30"/>
      <c r="M193" s="30"/>
      <c r="O193" s="32"/>
      <c r="P193" s="32"/>
      <c r="S193" s="32"/>
    </row>
    <row r="194">
      <c r="D194" s="29"/>
      <c r="F194" s="31"/>
      <c r="G194" s="30"/>
      <c r="H194" s="30"/>
      <c r="J194" s="29"/>
      <c r="L194" s="30"/>
      <c r="M194" s="30"/>
      <c r="O194" s="32"/>
      <c r="P194" s="32"/>
      <c r="S194" s="32"/>
    </row>
    <row r="195">
      <c r="D195" s="29"/>
      <c r="F195" s="31"/>
      <c r="G195" s="30"/>
      <c r="H195" s="30"/>
      <c r="J195" s="29"/>
      <c r="L195" s="30"/>
      <c r="M195" s="30"/>
      <c r="O195" s="32"/>
      <c r="P195" s="32"/>
      <c r="S195" s="32"/>
    </row>
    <row r="196">
      <c r="D196" s="29"/>
      <c r="F196" s="31"/>
      <c r="G196" s="30"/>
      <c r="H196" s="30"/>
      <c r="J196" s="29"/>
      <c r="L196" s="30"/>
      <c r="M196" s="30"/>
      <c r="O196" s="32"/>
      <c r="P196" s="32"/>
      <c r="S196" s="32"/>
    </row>
    <row r="197">
      <c r="D197" s="29"/>
      <c r="F197" s="31"/>
      <c r="G197" s="30"/>
      <c r="H197" s="30"/>
      <c r="J197" s="29"/>
      <c r="L197" s="30"/>
      <c r="M197" s="30"/>
      <c r="O197" s="32"/>
      <c r="P197" s="32"/>
      <c r="S197" s="32"/>
    </row>
    <row r="198">
      <c r="D198" s="29"/>
      <c r="F198" s="31"/>
      <c r="G198" s="30"/>
      <c r="H198" s="30"/>
      <c r="J198" s="29"/>
      <c r="L198" s="30"/>
      <c r="M198" s="30"/>
      <c r="O198" s="32"/>
      <c r="P198" s="32"/>
      <c r="S198" s="32"/>
    </row>
    <row r="199">
      <c r="D199" s="29"/>
      <c r="F199" s="31"/>
      <c r="G199" s="30"/>
      <c r="H199" s="30"/>
      <c r="J199" s="29"/>
      <c r="L199" s="30"/>
      <c r="M199" s="30"/>
      <c r="O199" s="32"/>
      <c r="P199" s="32"/>
      <c r="S199" s="32"/>
    </row>
    <row r="200">
      <c r="D200" s="29"/>
      <c r="F200" s="31"/>
      <c r="G200" s="30"/>
      <c r="H200" s="30"/>
      <c r="J200" s="29"/>
      <c r="L200" s="30"/>
      <c r="M200" s="30"/>
      <c r="O200" s="32"/>
      <c r="P200" s="32"/>
      <c r="S200" s="32"/>
    </row>
    <row r="201">
      <c r="D201" s="29"/>
      <c r="F201" s="31"/>
      <c r="G201" s="30"/>
      <c r="H201" s="30"/>
      <c r="J201" s="29"/>
      <c r="L201" s="30"/>
      <c r="M201" s="30"/>
      <c r="O201" s="32"/>
      <c r="P201" s="32"/>
      <c r="S201" s="32"/>
    </row>
    <row r="202">
      <c r="D202" s="29"/>
      <c r="F202" s="31"/>
      <c r="G202" s="30"/>
      <c r="H202" s="30"/>
      <c r="J202" s="29"/>
      <c r="L202" s="30"/>
      <c r="M202" s="30"/>
      <c r="O202" s="32"/>
      <c r="P202" s="32"/>
      <c r="S202" s="32"/>
    </row>
    <row r="203">
      <c r="D203" s="29"/>
      <c r="F203" s="31"/>
      <c r="G203" s="30"/>
      <c r="H203" s="30"/>
      <c r="J203" s="29"/>
      <c r="L203" s="30"/>
      <c r="M203" s="30"/>
      <c r="O203" s="32"/>
      <c r="P203" s="32"/>
      <c r="S203" s="32"/>
    </row>
    <row r="204">
      <c r="D204" s="29"/>
      <c r="F204" s="31"/>
      <c r="G204" s="30"/>
      <c r="H204" s="30"/>
      <c r="J204" s="29"/>
      <c r="L204" s="30"/>
      <c r="M204" s="30"/>
      <c r="O204" s="32"/>
      <c r="P204" s="32"/>
      <c r="S204" s="32"/>
    </row>
    <row r="205">
      <c r="D205" s="29"/>
      <c r="F205" s="31"/>
      <c r="G205" s="30"/>
      <c r="H205" s="30"/>
      <c r="J205" s="29"/>
      <c r="L205" s="30"/>
      <c r="M205" s="30"/>
      <c r="O205" s="32"/>
      <c r="P205" s="32"/>
      <c r="S205" s="32"/>
    </row>
    <row r="206">
      <c r="D206" s="29"/>
      <c r="F206" s="31"/>
      <c r="G206" s="30"/>
      <c r="H206" s="30"/>
      <c r="J206" s="29"/>
      <c r="L206" s="30"/>
      <c r="M206" s="30"/>
      <c r="O206" s="32"/>
      <c r="P206" s="32"/>
      <c r="S206" s="32"/>
    </row>
    <row r="207">
      <c r="D207" s="29"/>
      <c r="F207" s="31"/>
      <c r="G207" s="30"/>
      <c r="H207" s="30"/>
      <c r="J207" s="29"/>
      <c r="L207" s="30"/>
      <c r="M207" s="30"/>
      <c r="O207" s="32"/>
      <c r="P207" s="32"/>
      <c r="S207" s="32"/>
    </row>
    <row r="208">
      <c r="D208" s="29"/>
      <c r="F208" s="31"/>
      <c r="G208" s="30"/>
      <c r="H208" s="30"/>
      <c r="J208" s="29"/>
      <c r="L208" s="30"/>
      <c r="M208" s="30"/>
      <c r="O208" s="32"/>
      <c r="P208" s="32"/>
      <c r="S208" s="32"/>
    </row>
    <row r="209">
      <c r="D209" s="29"/>
      <c r="F209" s="31"/>
      <c r="G209" s="30"/>
      <c r="H209" s="30"/>
      <c r="J209" s="29"/>
      <c r="L209" s="30"/>
      <c r="M209" s="30"/>
      <c r="O209" s="32"/>
      <c r="P209" s="32"/>
      <c r="S209" s="32"/>
    </row>
    <row r="210">
      <c r="D210" s="29"/>
      <c r="F210" s="31"/>
      <c r="G210" s="30"/>
      <c r="H210" s="30"/>
      <c r="J210" s="29"/>
      <c r="L210" s="30"/>
      <c r="M210" s="30"/>
      <c r="O210" s="32"/>
      <c r="P210" s="32"/>
      <c r="S210" s="32"/>
    </row>
    <row r="211">
      <c r="D211" s="29"/>
      <c r="F211" s="31"/>
      <c r="G211" s="30"/>
      <c r="H211" s="30"/>
      <c r="J211" s="29"/>
      <c r="L211" s="30"/>
      <c r="M211" s="30"/>
      <c r="O211" s="32"/>
      <c r="P211" s="32"/>
      <c r="S211" s="32"/>
    </row>
    <row r="212">
      <c r="D212" s="29"/>
      <c r="F212" s="31"/>
      <c r="G212" s="30"/>
      <c r="H212" s="30"/>
      <c r="J212" s="29"/>
      <c r="L212" s="30"/>
      <c r="M212" s="30"/>
      <c r="O212" s="32"/>
      <c r="P212" s="32"/>
      <c r="S212" s="32"/>
    </row>
    <row r="213">
      <c r="D213" s="29"/>
      <c r="F213" s="31"/>
      <c r="G213" s="30"/>
      <c r="H213" s="30"/>
      <c r="J213" s="29"/>
      <c r="L213" s="30"/>
      <c r="M213" s="30"/>
      <c r="O213" s="32"/>
      <c r="P213" s="32"/>
      <c r="S213" s="32"/>
    </row>
    <row r="214">
      <c r="D214" s="29"/>
      <c r="F214" s="31"/>
      <c r="G214" s="30"/>
      <c r="H214" s="30"/>
      <c r="J214" s="29"/>
      <c r="L214" s="30"/>
      <c r="M214" s="30"/>
      <c r="O214" s="32"/>
      <c r="P214" s="32"/>
      <c r="S214" s="32"/>
    </row>
    <row r="215">
      <c r="D215" s="29"/>
      <c r="F215" s="31"/>
      <c r="G215" s="30"/>
      <c r="H215" s="30"/>
      <c r="J215" s="29"/>
      <c r="L215" s="30"/>
      <c r="M215" s="30"/>
      <c r="O215" s="32"/>
      <c r="P215" s="32"/>
      <c r="S215" s="32"/>
    </row>
    <row r="216">
      <c r="D216" s="29"/>
      <c r="F216" s="31"/>
      <c r="G216" s="30"/>
      <c r="H216" s="30"/>
      <c r="J216" s="29"/>
      <c r="L216" s="30"/>
      <c r="M216" s="30"/>
      <c r="O216" s="32"/>
      <c r="P216" s="32"/>
      <c r="S216" s="32"/>
    </row>
    <row r="217">
      <c r="D217" s="29"/>
      <c r="F217" s="31"/>
      <c r="G217" s="30"/>
      <c r="H217" s="30"/>
      <c r="J217" s="29"/>
      <c r="L217" s="30"/>
      <c r="M217" s="30"/>
      <c r="O217" s="32"/>
      <c r="P217" s="32"/>
      <c r="S217" s="32"/>
    </row>
    <row r="218">
      <c r="D218" s="29"/>
      <c r="F218" s="31"/>
      <c r="G218" s="30"/>
      <c r="H218" s="30"/>
      <c r="J218" s="29"/>
      <c r="L218" s="30"/>
      <c r="M218" s="30"/>
      <c r="O218" s="32"/>
      <c r="P218" s="32"/>
      <c r="S218" s="32"/>
    </row>
    <row r="219">
      <c r="D219" s="29"/>
      <c r="F219" s="31"/>
      <c r="G219" s="30"/>
      <c r="H219" s="30"/>
      <c r="J219" s="29"/>
      <c r="L219" s="30"/>
      <c r="M219" s="30"/>
      <c r="O219" s="32"/>
      <c r="P219" s="32"/>
      <c r="S219" s="32"/>
    </row>
    <row r="220">
      <c r="D220" s="29"/>
      <c r="F220" s="31"/>
      <c r="G220" s="30"/>
      <c r="H220" s="30"/>
      <c r="J220" s="29"/>
      <c r="L220" s="30"/>
      <c r="M220" s="30"/>
      <c r="O220" s="32"/>
      <c r="P220" s="32"/>
      <c r="S220" s="32"/>
    </row>
    <row r="221">
      <c r="D221" s="29"/>
      <c r="F221" s="31"/>
      <c r="G221" s="30"/>
      <c r="H221" s="30"/>
      <c r="J221" s="29"/>
      <c r="L221" s="30"/>
      <c r="M221" s="30"/>
      <c r="O221" s="32"/>
      <c r="P221" s="32"/>
      <c r="S221" s="32"/>
    </row>
    <row r="222">
      <c r="D222" s="29"/>
      <c r="F222" s="31"/>
      <c r="G222" s="30"/>
      <c r="H222" s="30"/>
      <c r="J222" s="29"/>
      <c r="L222" s="30"/>
      <c r="M222" s="30"/>
      <c r="O222" s="32"/>
      <c r="P222" s="32"/>
      <c r="S222" s="32"/>
    </row>
    <row r="223">
      <c r="D223" s="29"/>
      <c r="F223" s="31"/>
      <c r="G223" s="30"/>
      <c r="H223" s="30"/>
      <c r="J223" s="29"/>
      <c r="L223" s="30"/>
      <c r="M223" s="30"/>
      <c r="O223" s="32"/>
      <c r="P223" s="32"/>
      <c r="S223" s="32"/>
    </row>
    <row r="224">
      <c r="D224" s="29"/>
      <c r="F224" s="31"/>
      <c r="G224" s="30"/>
      <c r="H224" s="30"/>
      <c r="J224" s="29"/>
      <c r="L224" s="30"/>
      <c r="M224" s="30"/>
      <c r="O224" s="32"/>
      <c r="P224" s="32"/>
      <c r="S224" s="32"/>
    </row>
    <row r="225">
      <c r="D225" s="29"/>
      <c r="F225" s="31"/>
      <c r="G225" s="30"/>
      <c r="H225" s="30"/>
      <c r="J225" s="29"/>
      <c r="L225" s="30"/>
      <c r="M225" s="30"/>
      <c r="O225" s="32"/>
      <c r="P225" s="32"/>
      <c r="S225" s="32"/>
    </row>
    <row r="226">
      <c r="D226" s="29"/>
      <c r="F226" s="31"/>
      <c r="G226" s="30"/>
      <c r="H226" s="30"/>
      <c r="J226" s="29"/>
      <c r="L226" s="30"/>
      <c r="M226" s="30"/>
      <c r="O226" s="32"/>
      <c r="P226" s="32"/>
      <c r="S226" s="32"/>
    </row>
    <row r="227">
      <c r="D227" s="29"/>
      <c r="F227" s="31"/>
      <c r="G227" s="30"/>
      <c r="H227" s="30"/>
      <c r="J227" s="29"/>
      <c r="L227" s="30"/>
      <c r="M227" s="30"/>
      <c r="O227" s="32"/>
      <c r="P227" s="32"/>
      <c r="S227" s="32"/>
    </row>
    <row r="228">
      <c r="D228" s="29"/>
      <c r="F228" s="31"/>
      <c r="G228" s="30"/>
      <c r="H228" s="30"/>
      <c r="J228" s="29"/>
      <c r="L228" s="30"/>
      <c r="M228" s="30"/>
      <c r="O228" s="32"/>
      <c r="P228" s="32"/>
      <c r="S228" s="32"/>
    </row>
    <row r="229">
      <c r="D229" s="29"/>
      <c r="F229" s="31"/>
      <c r="G229" s="30"/>
      <c r="H229" s="30"/>
      <c r="J229" s="29"/>
      <c r="L229" s="30"/>
      <c r="M229" s="30"/>
      <c r="O229" s="32"/>
      <c r="P229" s="32"/>
      <c r="S229" s="32"/>
    </row>
    <row r="230">
      <c r="D230" s="29"/>
      <c r="F230" s="31"/>
      <c r="G230" s="30"/>
      <c r="H230" s="30"/>
      <c r="J230" s="29"/>
      <c r="L230" s="30"/>
      <c r="M230" s="30"/>
      <c r="O230" s="32"/>
      <c r="P230" s="32"/>
      <c r="S230" s="32"/>
    </row>
    <row r="231">
      <c r="D231" s="29"/>
      <c r="F231" s="31"/>
      <c r="G231" s="30"/>
      <c r="H231" s="30"/>
      <c r="J231" s="29"/>
      <c r="L231" s="30"/>
      <c r="M231" s="30"/>
      <c r="O231" s="32"/>
      <c r="P231" s="32"/>
      <c r="S231" s="32"/>
    </row>
    <row r="232">
      <c r="D232" s="29"/>
      <c r="F232" s="31"/>
      <c r="G232" s="30"/>
      <c r="H232" s="30"/>
      <c r="J232" s="29"/>
      <c r="L232" s="30"/>
      <c r="M232" s="30"/>
      <c r="O232" s="32"/>
      <c r="P232" s="32"/>
      <c r="S232" s="32"/>
    </row>
    <row r="233">
      <c r="D233" s="29"/>
      <c r="F233" s="31"/>
      <c r="G233" s="30"/>
      <c r="H233" s="30"/>
      <c r="J233" s="29"/>
      <c r="L233" s="30"/>
      <c r="M233" s="30"/>
      <c r="O233" s="32"/>
      <c r="P233" s="32"/>
      <c r="S233" s="32"/>
    </row>
    <row r="234">
      <c r="D234" s="29"/>
      <c r="F234" s="31"/>
      <c r="G234" s="30"/>
      <c r="H234" s="30"/>
      <c r="J234" s="29"/>
      <c r="L234" s="30"/>
      <c r="M234" s="30"/>
      <c r="O234" s="32"/>
      <c r="P234" s="32"/>
      <c r="S234" s="32"/>
    </row>
    <row r="235">
      <c r="D235" s="29"/>
      <c r="F235" s="31"/>
      <c r="G235" s="30"/>
      <c r="H235" s="30"/>
      <c r="J235" s="29"/>
      <c r="L235" s="30"/>
      <c r="M235" s="30"/>
      <c r="O235" s="32"/>
      <c r="P235" s="32"/>
      <c r="S235" s="32"/>
    </row>
    <row r="236">
      <c r="D236" s="29"/>
      <c r="F236" s="31"/>
      <c r="G236" s="30"/>
      <c r="H236" s="30"/>
      <c r="J236" s="29"/>
      <c r="L236" s="30"/>
      <c r="M236" s="30"/>
      <c r="O236" s="32"/>
      <c r="P236" s="32"/>
      <c r="S236" s="32"/>
    </row>
    <row r="237">
      <c r="D237" s="29"/>
      <c r="F237" s="31"/>
      <c r="G237" s="30"/>
      <c r="H237" s="30"/>
      <c r="J237" s="29"/>
      <c r="L237" s="30"/>
      <c r="M237" s="30"/>
      <c r="O237" s="32"/>
      <c r="P237" s="32"/>
      <c r="S237" s="32"/>
    </row>
    <row r="238">
      <c r="D238" s="29"/>
      <c r="F238" s="31"/>
      <c r="G238" s="30"/>
      <c r="H238" s="30"/>
      <c r="J238" s="29"/>
      <c r="L238" s="30"/>
      <c r="M238" s="30"/>
      <c r="O238" s="32"/>
      <c r="P238" s="32"/>
      <c r="S238" s="32"/>
    </row>
    <row r="239">
      <c r="D239" s="29"/>
      <c r="F239" s="31"/>
      <c r="G239" s="30"/>
      <c r="H239" s="30"/>
      <c r="J239" s="29"/>
      <c r="L239" s="30"/>
      <c r="M239" s="30"/>
      <c r="O239" s="32"/>
      <c r="P239" s="32"/>
      <c r="S239" s="32"/>
    </row>
    <row r="240">
      <c r="D240" s="29"/>
      <c r="F240" s="31"/>
      <c r="G240" s="30"/>
      <c r="H240" s="30"/>
      <c r="J240" s="29"/>
      <c r="L240" s="30"/>
      <c r="M240" s="30"/>
      <c r="O240" s="32"/>
      <c r="P240" s="32"/>
      <c r="S240" s="32"/>
    </row>
    <row r="241">
      <c r="D241" s="29"/>
      <c r="F241" s="31"/>
      <c r="G241" s="30"/>
      <c r="H241" s="30"/>
      <c r="J241" s="29"/>
      <c r="L241" s="30"/>
      <c r="M241" s="30"/>
      <c r="O241" s="32"/>
      <c r="P241" s="32"/>
      <c r="S241" s="32"/>
    </row>
    <row r="242">
      <c r="D242" s="29"/>
      <c r="F242" s="31"/>
      <c r="G242" s="30"/>
      <c r="H242" s="30"/>
      <c r="J242" s="29"/>
      <c r="L242" s="30"/>
      <c r="M242" s="30"/>
      <c r="O242" s="32"/>
      <c r="P242" s="32"/>
      <c r="S242" s="32"/>
    </row>
    <row r="243">
      <c r="D243" s="29"/>
      <c r="F243" s="31"/>
      <c r="G243" s="30"/>
      <c r="H243" s="30"/>
      <c r="J243" s="29"/>
      <c r="L243" s="30"/>
      <c r="M243" s="30"/>
      <c r="O243" s="32"/>
      <c r="P243" s="32"/>
      <c r="S243" s="32"/>
    </row>
    <row r="244">
      <c r="D244" s="29"/>
      <c r="F244" s="31"/>
      <c r="G244" s="30"/>
      <c r="H244" s="30"/>
      <c r="J244" s="29"/>
      <c r="L244" s="30"/>
      <c r="M244" s="30"/>
      <c r="O244" s="32"/>
      <c r="P244" s="32"/>
      <c r="S244" s="32"/>
    </row>
    <row r="245">
      <c r="D245" s="29"/>
      <c r="F245" s="31"/>
      <c r="G245" s="30"/>
      <c r="H245" s="30"/>
      <c r="J245" s="29"/>
      <c r="L245" s="30"/>
      <c r="M245" s="30"/>
      <c r="O245" s="32"/>
      <c r="P245" s="32"/>
      <c r="S245" s="32"/>
    </row>
    <row r="246">
      <c r="D246" s="29"/>
      <c r="F246" s="31"/>
      <c r="G246" s="30"/>
      <c r="H246" s="30"/>
      <c r="J246" s="29"/>
      <c r="L246" s="30"/>
      <c r="M246" s="30"/>
      <c r="O246" s="32"/>
      <c r="P246" s="32"/>
      <c r="S246" s="32"/>
    </row>
    <row r="247">
      <c r="D247" s="29"/>
      <c r="F247" s="31"/>
      <c r="G247" s="30"/>
      <c r="H247" s="30"/>
      <c r="J247" s="29"/>
      <c r="L247" s="30"/>
      <c r="M247" s="30"/>
      <c r="O247" s="32"/>
      <c r="P247" s="32"/>
      <c r="S247" s="32"/>
    </row>
    <row r="248">
      <c r="D248" s="29"/>
      <c r="F248" s="31"/>
      <c r="G248" s="30"/>
      <c r="H248" s="30"/>
      <c r="J248" s="29"/>
      <c r="L248" s="30"/>
      <c r="M248" s="30"/>
      <c r="O248" s="32"/>
      <c r="P248" s="32"/>
      <c r="S248" s="32"/>
    </row>
    <row r="249">
      <c r="D249" s="29"/>
      <c r="F249" s="31"/>
      <c r="G249" s="30"/>
      <c r="H249" s="30"/>
      <c r="J249" s="29"/>
      <c r="L249" s="30"/>
      <c r="M249" s="30"/>
      <c r="O249" s="32"/>
      <c r="P249" s="32"/>
      <c r="S249" s="32"/>
    </row>
    <row r="250">
      <c r="D250" s="29"/>
      <c r="F250" s="31"/>
      <c r="G250" s="30"/>
      <c r="H250" s="30"/>
      <c r="J250" s="29"/>
      <c r="L250" s="30"/>
      <c r="M250" s="30"/>
      <c r="O250" s="32"/>
      <c r="P250" s="32"/>
      <c r="S250" s="32"/>
    </row>
    <row r="251">
      <c r="D251" s="29"/>
      <c r="F251" s="31"/>
      <c r="G251" s="30"/>
      <c r="H251" s="30"/>
      <c r="J251" s="29"/>
      <c r="L251" s="30"/>
      <c r="M251" s="30"/>
      <c r="O251" s="32"/>
      <c r="P251" s="32"/>
      <c r="S251" s="32"/>
    </row>
    <row r="252">
      <c r="D252" s="29"/>
      <c r="F252" s="31"/>
      <c r="G252" s="30"/>
      <c r="H252" s="30"/>
      <c r="J252" s="29"/>
      <c r="L252" s="30"/>
      <c r="M252" s="30"/>
      <c r="O252" s="32"/>
      <c r="P252" s="32"/>
      <c r="S252" s="32"/>
    </row>
    <row r="253">
      <c r="D253" s="29"/>
      <c r="F253" s="31"/>
      <c r="G253" s="30"/>
      <c r="H253" s="30"/>
      <c r="J253" s="29"/>
      <c r="L253" s="30"/>
      <c r="M253" s="30"/>
      <c r="O253" s="32"/>
      <c r="P253" s="32"/>
      <c r="S253" s="32"/>
    </row>
    <row r="254">
      <c r="D254" s="29"/>
      <c r="F254" s="31"/>
      <c r="G254" s="30"/>
      <c r="H254" s="30"/>
      <c r="J254" s="29"/>
      <c r="L254" s="30"/>
      <c r="M254" s="30"/>
      <c r="O254" s="32"/>
      <c r="P254" s="32"/>
      <c r="S254" s="32"/>
    </row>
    <row r="255">
      <c r="D255" s="29"/>
      <c r="F255" s="31"/>
      <c r="G255" s="30"/>
      <c r="H255" s="30"/>
      <c r="J255" s="29"/>
      <c r="L255" s="30"/>
      <c r="M255" s="30"/>
      <c r="O255" s="32"/>
      <c r="P255" s="32"/>
      <c r="S255" s="32"/>
    </row>
    <row r="256">
      <c r="D256" s="29"/>
      <c r="F256" s="31"/>
      <c r="G256" s="30"/>
      <c r="H256" s="30"/>
      <c r="J256" s="29"/>
      <c r="L256" s="30"/>
      <c r="M256" s="30"/>
      <c r="O256" s="32"/>
      <c r="P256" s="32"/>
      <c r="S256" s="32"/>
    </row>
    <row r="257">
      <c r="D257" s="29"/>
      <c r="F257" s="31"/>
      <c r="G257" s="30"/>
      <c r="H257" s="30"/>
      <c r="J257" s="29"/>
      <c r="L257" s="30"/>
      <c r="M257" s="30"/>
      <c r="O257" s="32"/>
      <c r="P257" s="32"/>
      <c r="S257" s="32"/>
    </row>
    <row r="258">
      <c r="D258" s="29"/>
      <c r="F258" s="31"/>
      <c r="G258" s="30"/>
      <c r="H258" s="30"/>
      <c r="J258" s="29"/>
      <c r="L258" s="30"/>
      <c r="M258" s="30"/>
      <c r="O258" s="32"/>
      <c r="P258" s="32"/>
      <c r="S258" s="32"/>
    </row>
    <row r="259">
      <c r="D259" s="29"/>
      <c r="F259" s="31"/>
      <c r="G259" s="30"/>
      <c r="H259" s="30"/>
      <c r="J259" s="29"/>
      <c r="L259" s="30"/>
      <c r="M259" s="30"/>
      <c r="O259" s="32"/>
      <c r="P259" s="32"/>
      <c r="S259" s="32"/>
    </row>
    <row r="260">
      <c r="D260" s="29"/>
      <c r="F260" s="31"/>
      <c r="G260" s="30"/>
      <c r="H260" s="30"/>
      <c r="J260" s="29"/>
      <c r="L260" s="30"/>
      <c r="M260" s="30"/>
      <c r="O260" s="32"/>
      <c r="P260" s="32"/>
      <c r="S260" s="32"/>
    </row>
    <row r="261">
      <c r="D261" s="29"/>
      <c r="F261" s="31"/>
      <c r="G261" s="30"/>
      <c r="H261" s="30"/>
      <c r="J261" s="29"/>
      <c r="L261" s="30"/>
      <c r="M261" s="30"/>
      <c r="O261" s="32"/>
      <c r="P261" s="32"/>
      <c r="S261" s="32"/>
    </row>
    <row r="262">
      <c r="D262" s="29"/>
      <c r="F262" s="31"/>
      <c r="G262" s="30"/>
      <c r="H262" s="30"/>
      <c r="J262" s="29"/>
      <c r="L262" s="30"/>
      <c r="M262" s="30"/>
      <c r="O262" s="32"/>
      <c r="P262" s="32"/>
      <c r="S262" s="32"/>
    </row>
    <row r="263">
      <c r="D263" s="29"/>
      <c r="F263" s="31"/>
      <c r="G263" s="30"/>
      <c r="H263" s="30"/>
      <c r="J263" s="29"/>
      <c r="L263" s="30"/>
      <c r="M263" s="30"/>
      <c r="O263" s="32"/>
      <c r="P263" s="32"/>
      <c r="S263" s="32"/>
    </row>
    <row r="264">
      <c r="D264" s="29"/>
      <c r="F264" s="31"/>
      <c r="G264" s="30"/>
      <c r="H264" s="30"/>
      <c r="J264" s="29"/>
      <c r="L264" s="30"/>
      <c r="M264" s="30"/>
      <c r="O264" s="32"/>
      <c r="P264" s="32"/>
      <c r="S264" s="32"/>
    </row>
    <row r="265">
      <c r="D265" s="29"/>
      <c r="F265" s="31"/>
      <c r="G265" s="30"/>
      <c r="H265" s="30"/>
      <c r="J265" s="29"/>
      <c r="L265" s="30"/>
      <c r="M265" s="30"/>
      <c r="O265" s="32"/>
      <c r="P265" s="32"/>
      <c r="S265" s="32"/>
    </row>
    <row r="266">
      <c r="D266" s="29"/>
      <c r="F266" s="31"/>
      <c r="G266" s="30"/>
      <c r="H266" s="30"/>
      <c r="J266" s="29"/>
      <c r="L266" s="30"/>
      <c r="M266" s="30"/>
      <c r="O266" s="32"/>
      <c r="P266" s="32"/>
      <c r="S266" s="32"/>
    </row>
    <row r="267">
      <c r="D267" s="29"/>
      <c r="F267" s="31"/>
      <c r="G267" s="30"/>
      <c r="H267" s="30"/>
      <c r="J267" s="29"/>
      <c r="L267" s="30"/>
      <c r="M267" s="30"/>
      <c r="O267" s="32"/>
      <c r="P267" s="32"/>
      <c r="S267" s="32"/>
    </row>
    <row r="268">
      <c r="D268" s="29"/>
      <c r="F268" s="31"/>
      <c r="G268" s="30"/>
      <c r="H268" s="30"/>
      <c r="J268" s="29"/>
      <c r="L268" s="30"/>
      <c r="M268" s="30"/>
      <c r="O268" s="32"/>
      <c r="P268" s="32"/>
      <c r="S268" s="32"/>
    </row>
    <row r="269">
      <c r="D269" s="29"/>
      <c r="F269" s="31"/>
      <c r="G269" s="30"/>
      <c r="H269" s="30"/>
      <c r="J269" s="29"/>
      <c r="L269" s="30"/>
      <c r="M269" s="30"/>
      <c r="O269" s="32"/>
      <c r="P269" s="32"/>
      <c r="S269" s="32"/>
    </row>
    <row r="270">
      <c r="D270" s="29"/>
      <c r="F270" s="31"/>
      <c r="G270" s="30"/>
      <c r="H270" s="30"/>
      <c r="J270" s="29"/>
      <c r="L270" s="30"/>
      <c r="M270" s="30"/>
      <c r="O270" s="32"/>
      <c r="P270" s="32"/>
      <c r="S270" s="32"/>
    </row>
    <row r="271">
      <c r="D271" s="29"/>
      <c r="F271" s="31"/>
      <c r="G271" s="30"/>
      <c r="H271" s="30"/>
      <c r="J271" s="29"/>
      <c r="L271" s="30"/>
      <c r="M271" s="30"/>
      <c r="O271" s="32"/>
      <c r="P271" s="32"/>
      <c r="S271" s="32"/>
    </row>
    <row r="272">
      <c r="D272" s="29"/>
      <c r="F272" s="31"/>
      <c r="G272" s="30"/>
      <c r="H272" s="30"/>
      <c r="J272" s="29"/>
      <c r="L272" s="30"/>
      <c r="M272" s="30"/>
      <c r="O272" s="32"/>
      <c r="P272" s="32"/>
      <c r="S272" s="32"/>
    </row>
    <row r="273">
      <c r="D273" s="29"/>
      <c r="F273" s="31"/>
      <c r="G273" s="30"/>
      <c r="H273" s="30"/>
      <c r="J273" s="29"/>
      <c r="L273" s="30"/>
      <c r="M273" s="30"/>
      <c r="O273" s="32"/>
      <c r="P273" s="32"/>
      <c r="S273" s="32"/>
    </row>
    <row r="274">
      <c r="D274" s="29"/>
      <c r="F274" s="31"/>
      <c r="G274" s="30"/>
      <c r="H274" s="30"/>
      <c r="J274" s="29"/>
      <c r="L274" s="30"/>
      <c r="M274" s="30"/>
      <c r="O274" s="32"/>
      <c r="P274" s="32"/>
      <c r="S274" s="32"/>
    </row>
    <row r="275">
      <c r="D275" s="29"/>
      <c r="F275" s="31"/>
      <c r="G275" s="30"/>
      <c r="H275" s="30"/>
      <c r="J275" s="29"/>
      <c r="L275" s="30"/>
      <c r="M275" s="30"/>
      <c r="O275" s="32"/>
      <c r="P275" s="32"/>
      <c r="S275" s="32"/>
    </row>
    <row r="276">
      <c r="D276" s="29"/>
      <c r="F276" s="31"/>
      <c r="G276" s="30"/>
      <c r="H276" s="30"/>
      <c r="J276" s="29"/>
      <c r="L276" s="30"/>
      <c r="M276" s="30"/>
      <c r="O276" s="32"/>
      <c r="P276" s="32"/>
      <c r="S276" s="32"/>
    </row>
    <row r="277">
      <c r="D277" s="29"/>
      <c r="F277" s="31"/>
      <c r="G277" s="30"/>
      <c r="H277" s="30"/>
      <c r="J277" s="29"/>
      <c r="L277" s="30"/>
      <c r="M277" s="30"/>
      <c r="O277" s="32"/>
      <c r="P277" s="32"/>
      <c r="S277" s="32"/>
    </row>
    <row r="278">
      <c r="D278" s="29"/>
      <c r="F278" s="31"/>
      <c r="G278" s="30"/>
      <c r="H278" s="30"/>
      <c r="J278" s="29"/>
      <c r="L278" s="30"/>
      <c r="M278" s="30"/>
      <c r="O278" s="32"/>
      <c r="P278" s="32"/>
      <c r="S278" s="32"/>
    </row>
    <row r="279">
      <c r="D279" s="29"/>
      <c r="F279" s="31"/>
      <c r="G279" s="30"/>
      <c r="H279" s="30"/>
      <c r="J279" s="29"/>
      <c r="L279" s="30"/>
      <c r="M279" s="30"/>
      <c r="O279" s="32"/>
      <c r="P279" s="32"/>
      <c r="S279" s="32"/>
    </row>
    <row r="280">
      <c r="D280" s="29"/>
      <c r="F280" s="31"/>
      <c r="G280" s="30"/>
      <c r="H280" s="30"/>
      <c r="J280" s="29"/>
      <c r="L280" s="30"/>
      <c r="M280" s="30"/>
      <c r="O280" s="32"/>
      <c r="P280" s="32"/>
      <c r="S280" s="32"/>
    </row>
    <row r="281">
      <c r="D281" s="29"/>
      <c r="F281" s="31"/>
      <c r="G281" s="30"/>
      <c r="H281" s="30"/>
      <c r="J281" s="29"/>
      <c r="L281" s="30"/>
      <c r="M281" s="30"/>
      <c r="O281" s="32"/>
      <c r="P281" s="32"/>
      <c r="S281" s="32"/>
    </row>
    <row r="282">
      <c r="D282" s="29"/>
      <c r="F282" s="31"/>
      <c r="G282" s="30"/>
      <c r="H282" s="30"/>
      <c r="J282" s="29"/>
      <c r="L282" s="30"/>
      <c r="M282" s="30"/>
      <c r="O282" s="32"/>
      <c r="P282" s="32"/>
      <c r="S282" s="32"/>
    </row>
    <row r="283">
      <c r="D283" s="29"/>
      <c r="F283" s="31"/>
      <c r="G283" s="30"/>
      <c r="H283" s="30"/>
      <c r="J283" s="29"/>
      <c r="L283" s="30"/>
      <c r="M283" s="30"/>
      <c r="O283" s="32"/>
      <c r="P283" s="32"/>
      <c r="S283" s="32"/>
    </row>
    <row r="284">
      <c r="D284" s="29"/>
      <c r="F284" s="31"/>
      <c r="G284" s="30"/>
      <c r="H284" s="30"/>
      <c r="J284" s="29"/>
      <c r="L284" s="30"/>
      <c r="M284" s="30"/>
      <c r="O284" s="32"/>
      <c r="P284" s="32"/>
      <c r="S284" s="32"/>
    </row>
    <row r="285">
      <c r="D285" s="29"/>
      <c r="F285" s="31"/>
      <c r="G285" s="30"/>
      <c r="H285" s="30"/>
      <c r="J285" s="29"/>
      <c r="L285" s="30"/>
      <c r="M285" s="30"/>
      <c r="O285" s="32"/>
      <c r="P285" s="32"/>
      <c r="S285" s="32"/>
    </row>
    <row r="286">
      <c r="D286" s="29"/>
      <c r="F286" s="31"/>
      <c r="G286" s="30"/>
      <c r="H286" s="30"/>
      <c r="J286" s="29"/>
      <c r="L286" s="30"/>
      <c r="M286" s="30"/>
      <c r="O286" s="32"/>
      <c r="P286" s="32"/>
      <c r="S286" s="32"/>
    </row>
    <row r="287">
      <c r="D287" s="29"/>
      <c r="F287" s="31"/>
      <c r="G287" s="30"/>
      <c r="H287" s="30"/>
      <c r="J287" s="29"/>
      <c r="L287" s="30"/>
      <c r="M287" s="30"/>
      <c r="O287" s="32"/>
      <c r="P287" s="32"/>
      <c r="S287" s="32"/>
    </row>
    <row r="288">
      <c r="D288" s="29"/>
      <c r="F288" s="31"/>
      <c r="G288" s="30"/>
      <c r="H288" s="30"/>
      <c r="J288" s="29"/>
      <c r="L288" s="30"/>
      <c r="M288" s="30"/>
      <c r="O288" s="32"/>
      <c r="P288" s="32"/>
      <c r="S288" s="32"/>
    </row>
    <row r="289">
      <c r="D289" s="29"/>
      <c r="F289" s="31"/>
      <c r="G289" s="30"/>
      <c r="H289" s="30"/>
      <c r="J289" s="29"/>
      <c r="L289" s="30"/>
      <c r="M289" s="30"/>
      <c r="O289" s="32"/>
      <c r="P289" s="32"/>
      <c r="S289" s="32"/>
    </row>
    <row r="290">
      <c r="D290" s="29"/>
      <c r="F290" s="31"/>
      <c r="G290" s="30"/>
      <c r="H290" s="30"/>
      <c r="J290" s="29"/>
      <c r="L290" s="30"/>
      <c r="M290" s="30"/>
      <c r="O290" s="32"/>
      <c r="P290" s="32"/>
      <c r="S290" s="32"/>
    </row>
    <row r="291">
      <c r="D291" s="29"/>
      <c r="F291" s="31"/>
      <c r="G291" s="30"/>
      <c r="H291" s="30"/>
      <c r="J291" s="29"/>
      <c r="L291" s="30"/>
      <c r="M291" s="30"/>
      <c r="O291" s="32"/>
      <c r="P291" s="32"/>
      <c r="S291" s="32"/>
    </row>
    <row r="292">
      <c r="D292" s="29"/>
      <c r="F292" s="31"/>
      <c r="G292" s="30"/>
      <c r="H292" s="30"/>
      <c r="J292" s="29"/>
      <c r="L292" s="30"/>
      <c r="M292" s="30"/>
      <c r="O292" s="32"/>
      <c r="P292" s="32"/>
      <c r="S292" s="32"/>
    </row>
    <row r="293">
      <c r="D293" s="29"/>
      <c r="F293" s="31"/>
      <c r="G293" s="30"/>
      <c r="H293" s="30"/>
      <c r="J293" s="29"/>
      <c r="L293" s="30"/>
      <c r="M293" s="30"/>
      <c r="O293" s="32"/>
      <c r="P293" s="32"/>
      <c r="S293" s="32"/>
    </row>
    <row r="294">
      <c r="D294" s="29"/>
      <c r="F294" s="31"/>
      <c r="G294" s="30"/>
      <c r="H294" s="30"/>
      <c r="J294" s="29"/>
      <c r="L294" s="30"/>
      <c r="M294" s="30"/>
      <c r="O294" s="32"/>
      <c r="P294" s="32"/>
      <c r="S294" s="32"/>
    </row>
    <row r="295">
      <c r="D295" s="29"/>
      <c r="F295" s="31"/>
      <c r="G295" s="30"/>
      <c r="H295" s="30"/>
      <c r="J295" s="29"/>
      <c r="L295" s="30"/>
      <c r="M295" s="30"/>
      <c r="O295" s="32"/>
      <c r="P295" s="32"/>
      <c r="S295" s="32"/>
    </row>
    <row r="296">
      <c r="D296" s="29"/>
      <c r="F296" s="31"/>
      <c r="G296" s="30"/>
      <c r="H296" s="30"/>
      <c r="J296" s="29"/>
      <c r="L296" s="30"/>
      <c r="M296" s="30"/>
      <c r="O296" s="32"/>
      <c r="P296" s="32"/>
      <c r="S296" s="32"/>
    </row>
    <row r="297">
      <c r="D297" s="29"/>
      <c r="F297" s="31"/>
      <c r="G297" s="30"/>
      <c r="H297" s="30"/>
      <c r="J297" s="29"/>
      <c r="L297" s="30"/>
      <c r="M297" s="30"/>
      <c r="O297" s="32"/>
      <c r="P297" s="32"/>
      <c r="S297" s="32"/>
    </row>
    <row r="298">
      <c r="D298" s="29"/>
      <c r="F298" s="31"/>
      <c r="G298" s="30"/>
      <c r="H298" s="30"/>
      <c r="J298" s="29"/>
      <c r="L298" s="30"/>
      <c r="M298" s="30"/>
      <c r="O298" s="32"/>
      <c r="P298" s="32"/>
      <c r="S298" s="32"/>
    </row>
    <row r="299">
      <c r="D299" s="29"/>
      <c r="F299" s="31"/>
      <c r="G299" s="30"/>
      <c r="H299" s="30"/>
      <c r="J299" s="29"/>
      <c r="L299" s="30"/>
      <c r="M299" s="30"/>
      <c r="O299" s="32"/>
      <c r="P299" s="32"/>
      <c r="S299" s="32"/>
    </row>
    <row r="300">
      <c r="D300" s="29"/>
      <c r="F300" s="31"/>
      <c r="G300" s="30"/>
      <c r="H300" s="30"/>
      <c r="J300" s="29"/>
      <c r="L300" s="30"/>
      <c r="M300" s="30"/>
      <c r="O300" s="32"/>
      <c r="P300" s="32"/>
      <c r="S300" s="32"/>
    </row>
    <row r="301">
      <c r="D301" s="29"/>
      <c r="F301" s="31"/>
      <c r="G301" s="30"/>
      <c r="H301" s="30"/>
      <c r="J301" s="29"/>
      <c r="L301" s="30"/>
      <c r="M301" s="30"/>
      <c r="O301" s="32"/>
      <c r="P301" s="32"/>
      <c r="S301" s="32"/>
    </row>
    <row r="302">
      <c r="D302" s="29"/>
      <c r="F302" s="31"/>
      <c r="G302" s="30"/>
      <c r="H302" s="30"/>
      <c r="J302" s="29"/>
      <c r="L302" s="30"/>
      <c r="M302" s="30"/>
      <c r="O302" s="32"/>
      <c r="P302" s="32"/>
      <c r="S302" s="32"/>
    </row>
    <row r="303">
      <c r="D303" s="29"/>
      <c r="F303" s="31"/>
      <c r="G303" s="30"/>
      <c r="H303" s="30"/>
      <c r="J303" s="29"/>
      <c r="L303" s="30"/>
      <c r="M303" s="30"/>
      <c r="O303" s="32"/>
      <c r="P303" s="32"/>
      <c r="S303" s="32"/>
    </row>
    <row r="304">
      <c r="D304" s="29"/>
      <c r="F304" s="31"/>
      <c r="G304" s="30"/>
      <c r="H304" s="30"/>
      <c r="J304" s="29"/>
      <c r="L304" s="30"/>
      <c r="M304" s="30"/>
      <c r="O304" s="32"/>
      <c r="P304" s="32"/>
      <c r="S304" s="32"/>
    </row>
    <row r="305">
      <c r="D305" s="29"/>
      <c r="F305" s="31"/>
      <c r="G305" s="30"/>
      <c r="H305" s="30"/>
      <c r="J305" s="29"/>
      <c r="L305" s="30"/>
      <c r="M305" s="30"/>
      <c r="O305" s="32"/>
      <c r="P305" s="32"/>
      <c r="S305" s="32"/>
    </row>
    <row r="306">
      <c r="D306" s="29"/>
      <c r="F306" s="31"/>
      <c r="G306" s="30"/>
      <c r="H306" s="30"/>
      <c r="J306" s="29"/>
      <c r="L306" s="30"/>
      <c r="M306" s="30"/>
      <c r="O306" s="32"/>
      <c r="P306" s="32"/>
      <c r="S306" s="32"/>
    </row>
    <row r="307">
      <c r="D307" s="29"/>
      <c r="F307" s="31"/>
      <c r="G307" s="30"/>
      <c r="H307" s="30"/>
      <c r="J307" s="29"/>
      <c r="L307" s="30"/>
      <c r="M307" s="30"/>
      <c r="O307" s="32"/>
      <c r="P307" s="32"/>
      <c r="S307" s="32"/>
    </row>
    <row r="308">
      <c r="D308" s="29"/>
      <c r="F308" s="31"/>
      <c r="G308" s="30"/>
      <c r="H308" s="30"/>
      <c r="J308" s="29"/>
      <c r="L308" s="30"/>
      <c r="M308" s="30"/>
      <c r="O308" s="32"/>
      <c r="P308" s="32"/>
      <c r="S308" s="32"/>
    </row>
    <row r="309">
      <c r="D309" s="29"/>
      <c r="F309" s="31"/>
      <c r="G309" s="30"/>
      <c r="H309" s="30"/>
      <c r="J309" s="29"/>
      <c r="L309" s="30"/>
      <c r="M309" s="30"/>
      <c r="O309" s="32"/>
      <c r="P309" s="32"/>
      <c r="S309" s="32"/>
    </row>
    <row r="310">
      <c r="D310" s="29"/>
      <c r="F310" s="31"/>
      <c r="G310" s="30"/>
      <c r="H310" s="30"/>
      <c r="J310" s="29"/>
      <c r="L310" s="30"/>
      <c r="M310" s="30"/>
      <c r="O310" s="32"/>
      <c r="P310" s="32"/>
      <c r="S310" s="32"/>
    </row>
    <row r="311">
      <c r="D311" s="29"/>
      <c r="F311" s="31"/>
      <c r="G311" s="30"/>
      <c r="H311" s="30"/>
      <c r="J311" s="29"/>
      <c r="L311" s="30"/>
      <c r="M311" s="30"/>
      <c r="O311" s="32"/>
      <c r="P311" s="32"/>
      <c r="S311" s="32"/>
    </row>
    <row r="312">
      <c r="D312" s="29"/>
      <c r="F312" s="31"/>
      <c r="G312" s="30"/>
      <c r="H312" s="30"/>
      <c r="J312" s="29"/>
      <c r="L312" s="30"/>
      <c r="M312" s="30"/>
      <c r="O312" s="32"/>
      <c r="P312" s="32"/>
      <c r="S312" s="32"/>
    </row>
    <row r="313">
      <c r="D313" s="29"/>
      <c r="F313" s="31"/>
      <c r="G313" s="30"/>
      <c r="H313" s="30"/>
      <c r="J313" s="29"/>
      <c r="L313" s="30"/>
      <c r="M313" s="30"/>
      <c r="O313" s="32"/>
      <c r="P313" s="32"/>
      <c r="S313" s="32"/>
    </row>
    <row r="314">
      <c r="D314" s="29"/>
      <c r="F314" s="31"/>
      <c r="G314" s="30"/>
      <c r="H314" s="30"/>
      <c r="J314" s="29"/>
      <c r="L314" s="30"/>
      <c r="M314" s="30"/>
      <c r="O314" s="32"/>
      <c r="P314" s="32"/>
      <c r="S314" s="32"/>
    </row>
    <row r="315">
      <c r="D315" s="29"/>
      <c r="F315" s="31"/>
      <c r="G315" s="30"/>
      <c r="H315" s="30"/>
      <c r="J315" s="29"/>
      <c r="L315" s="30"/>
      <c r="M315" s="30"/>
      <c r="O315" s="32"/>
      <c r="P315" s="32"/>
      <c r="S315" s="32"/>
    </row>
    <row r="316">
      <c r="D316" s="29"/>
      <c r="F316" s="31"/>
      <c r="G316" s="30"/>
      <c r="H316" s="30"/>
      <c r="J316" s="29"/>
      <c r="L316" s="30"/>
      <c r="M316" s="30"/>
      <c r="O316" s="32"/>
      <c r="P316" s="32"/>
      <c r="S316" s="32"/>
    </row>
    <row r="317">
      <c r="D317" s="29"/>
      <c r="F317" s="31"/>
      <c r="G317" s="30"/>
      <c r="H317" s="30"/>
      <c r="J317" s="29"/>
      <c r="L317" s="30"/>
      <c r="M317" s="30"/>
      <c r="O317" s="32"/>
      <c r="P317" s="32"/>
      <c r="S317" s="32"/>
    </row>
    <row r="318">
      <c r="D318" s="29"/>
      <c r="F318" s="31"/>
      <c r="G318" s="30"/>
      <c r="H318" s="30"/>
      <c r="J318" s="29"/>
      <c r="L318" s="30"/>
      <c r="M318" s="30"/>
      <c r="O318" s="32"/>
      <c r="P318" s="32"/>
      <c r="S318" s="32"/>
    </row>
    <row r="319">
      <c r="D319" s="29"/>
      <c r="F319" s="31"/>
      <c r="G319" s="30"/>
      <c r="H319" s="30"/>
      <c r="J319" s="29"/>
      <c r="L319" s="30"/>
      <c r="M319" s="30"/>
      <c r="O319" s="32"/>
      <c r="P319" s="32"/>
      <c r="S319" s="32"/>
    </row>
    <row r="320">
      <c r="D320" s="29"/>
      <c r="F320" s="31"/>
      <c r="G320" s="30"/>
      <c r="H320" s="30"/>
      <c r="J320" s="29"/>
      <c r="L320" s="30"/>
      <c r="M320" s="30"/>
      <c r="O320" s="32"/>
      <c r="P320" s="32"/>
      <c r="S320" s="32"/>
    </row>
    <row r="321">
      <c r="D321" s="29"/>
      <c r="F321" s="31"/>
      <c r="G321" s="30"/>
      <c r="H321" s="30"/>
      <c r="J321" s="29"/>
      <c r="L321" s="30"/>
      <c r="M321" s="30"/>
      <c r="O321" s="32"/>
      <c r="P321" s="32"/>
      <c r="S321" s="32"/>
    </row>
    <row r="322">
      <c r="D322" s="29"/>
      <c r="F322" s="31"/>
      <c r="G322" s="30"/>
      <c r="H322" s="30"/>
      <c r="J322" s="29"/>
      <c r="L322" s="30"/>
      <c r="M322" s="30"/>
      <c r="O322" s="32"/>
      <c r="P322" s="32"/>
      <c r="S322" s="32"/>
    </row>
    <row r="323">
      <c r="D323" s="29"/>
      <c r="F323" s="31"/>
      <c r="G323" s="30"/>
      <c r="H323" s="30"/>
      <c r="J323" s="29"/>
      <c r="L323" s="30"/>
      <c r="M323" s="30"/>
      <c r="O323" s="32"/>
      <c r="P323" s="32"/>
      <c r="S323" s="32"/>
    </row>
    <row r="324">
      <c r="D324" s="29"/>
      <c r="F324" s="31"/>
      <c r="G324" s="30"/>
      <c r="H324" s="30"/>
      <c r="J324" s="29"/>
      <c r="L324" s="30"/>
      <c r="M324" s="30"/>
      <c r="O324" s="32"/>
      <c r="P324" s="32"/>
      <c r="S324" s="32"/>
    </row>
    <row r="325">
      <c r="D325" s="29"/>
      <c r="F325" s="31"/>
      <c r="G325" s="30"/>
      <c r="H325" s="30"/>
      <c r="J325" s="29"/>
      <c r="L325" s="30"/>
      <c r="M325" s="30"/>
      <c r="O325" s="32"/>
      <c r="P325" s="32"/>
      <c r="S325" s="32"/>
    </row>
    <row r="326">
      <c r="D326" s="29"/>
      <c r="F326" s="31"/>
      <c r="G326" s="30"/>
      <c r="H326" s="30"/>
      <c r="J326" s="29"/>
      <c r="L326" s="30"/>
      <c r="M326" s="30"/>
      <c r="O326" s="32"/>
      <c r="P326" s="32"/>
      <c r="S326" s="32"/>
    </row>
    <row r="327">
      <c r="D327" s="29"/>
      <c r="F327" s="31"/>
      <c r="G327" s="30"/>
      <c r="H327" s="30"/>
      <c r="J327" s="29"/>
      <c r="L327" s="30"/>
      <c r="M327" s="30"/>
      <c r="O327" s="32"/>
      <c r="P327" s="32"/>
      <c r="S327" s="32"/>
    </row>
    <row r="328">
      <c r="D328" s="29"/>
      <c r="F328" s="31"/>
      <c r="G328" s="30"/>
      <c r="H328" s="30"/>
      <c r="J328" s="29"/>
      <c r="L328" s="30"/>
      <c r="M328" s="30"/>
      <c r="O328" s="32"/>
      <c r="P328" s="32"/>
      <c r="S328" s="32"/>
    </row>
    <row r="329">
      <c r="D329" s="29"/>
      <c r="F329" s="31"/>
      <c r="G329" s="30"/>
      <c r="H329" s="30"/>
      <c r="J329" s="29"/>
      <c r="L329" s="30"/>
      <c r="M329" s="30"/>
      <c r="O329" s="32"/>
      <c r="P329" s="32"/>
      <c r="S329" s="32"/>
    </row>
    <row r="330">
      <c r="D330" s="29"/>
      <c r="F330" s="31"/>
      <c r="G330" s="30"/>
      <c r="H330" s="30"/>
      <c r="J330" s="29"/>
      <c r="L330" s="30"/>
      <c r="M330" s="30"/>
      <c r="O330" s="32"/>
      <c r="P330" s="32"/>
      <c r="S330" s="32"/>
    </row>
    <row r="331">
      <c r="D331" s="29"/>
      <c r="F331" s="31"/>
      <c r="G331" s="30"/>
      <c r="H331" s="30"/>
      <c r="J331" s="29"/>
      <c r="L331" s="30"/>
      <c r="M331" s="30"/>
      <c r="O331" s="32"/>
      <c r="P331" s="32"/>
      <c r="S331" s="32"/>
    </row>
    <row r="332">
      <c r="D332" s="29"/>
      <c r="F332" s="31"/>
      <c r="G332" s="30"/>
      <c r="H332" s="30"/>
      <c r="J332" s="29"/>
      <c r="L332" s="30"/>
      <c r="M332" s="30"/>
      <c r="O332" s="32"/>
      <c r="P332" s="32"/>
      <c r="S332" s="32"/>
    </row>
    <row r="333">
      <c r="D333" s="29"/>
      <c r="F333" s="31"/>
      <c r="G333" s="30"/>
      <c r="H333" s="30"/>
      <c r="J333" s="29"/>
      <c r="L333" s="30"/>
      <c r="M333" s="30"/>
      <c r="O333" s="32"/>
      <c r="P333" s="32"/>
      <c r="S333" s="32"/>
    </row>
    <row r="334">
      <c r="D334" s="29"/>
      <c r="F334" s="31"/>
      <c r="G334" s="30"/>
      <c r="H334" s="30"/>
      <c r="J334" s="29"/>
      <c r="L334" s="30"/>
      <c r="M334" s="30"/>
      <c r="O334" s="32"/>
      <c r="P334" s="32"/>
      <c r="S334" s="32"/>
    </row>
    <row r="335">
      <c r="D335" s="29"/>
      <c r="F335" s="31"/>
      <c r="G335" s="30"/>
      <c r="H335" s="30"/>
      <c r="J335" s="29"/>
      <c r="L335" s="30"/>
      <c r="M335" s="30"/>
      <c r="O335" s="32"/>
      <c r="P335" s="32"/>
      <c r="S335" s="32"/>
    </row>
    <row r="336">
      <c r="D336" s="29"/>
      <c r="F336" s="31"/>
      <c r="G336" s="30"/>
      <c r="H336" s="30"/>
      <c r="J336" s="29"/>
      <c r="L336" s="30"/>
      <c r="M336" s="30"/>
      <c r="O336" s="32"/>
      <c r="P336" s="32"/>
      <c r="S336" s="32"/>
    </row>
    <row r="337">
      <c r="D337" s="29"/>
      <c r="F337" s="31"/>
      <c r="G337" s="30"/>
      <c r="H337" s="30"/>
      <c r="J337" s="29"/>
      <c r="L337" s="30"/>
      <c r="M337" s="30"/>
      <c r="O337" s="32"/>
      <c r="P337" s="32"/>
      <c r="S337" s="32"/>
    </row>
    <row r="338">
      <c r="D338" s="29"/>
      <c r="F338" s="31"/>
      <c r="G338" s="30"/>
      <c r="H338" s="30"/>
      <c r="J338" s="29"/>
      <c r="L338" s="30"/>
      <c r="M338" s="30"/>
      <c r="O338" s="32"/>
      <c r="P338" s="32"/>
      <c r="S338" s="32"/>
    </row>
    <row r="339">
      <c r="D339" s="29"/>
      <c r="F339" s="31"/>
      <c r="G339" s="30"/>
      <c r="H339" s="30"/>
      <c r="J339" s="29"/>
      <c r="L339" s="30"/>
      <c r="M339" s="30"/>
      <c r="O339" s="32"/>
      <c r="P339" s="32"/>
      <c r="S339" s="32"/>
    </row>
    <row r="340">
      <c r="D340" s="29"/>
      <c r="F340" s="31"/>
      <c r="G340" s="30"/>
      <c r="H340" s="30"/>
      <c r="J340" s="29"/>
      <c r="L340" s="30"/>
      <c r="M340" s="30"/>
      <c r="O340" s="32"/>
      <c r="P340" s="32"/>
      <c r="S340" s="32"/>
    </row>
    <row r="341">
      <c r="D341" s="29"/>
      <c r="F341" s="31"/>
      <c r="G341" s="30"/>
      <c r="H341" s="30"/>
      <c r="J341" s="29"/>
      <c r="L341" s="30"/>
      <c r="M341" s="30"/>
      <c r="O341" s="32"/>
      <c r="P341" s="32"/>
      <c r="S341" s="32"/>
    </row>
    <row r="342">
      <c r="D342" s="29"/>
      <c r="F342" s="31"/>
      <c r="G342" s="30"/>
      <c r="H342" s="30"/>
      <c r="J342" s="29"/>
      <c r="L342" s="30"/>
      <c r="M342" s="30"/>
      <c r="O342" s="32"/>
      <c r="P342" s="32"/>
      <c r="S342" s="32"/>
    </row>
    <row r="343">
      <c r="D343" s="29"/>
      <c r="F343" s="31"/>
      <c r="G343" s="30"/>
      <c r="H343" s="30"/>
      <c r="J343" s="29"/>
      <c r="L343" s="30"/>
      <c r="M343" s="30"/>
      <c r="O343" s="32"/>
      <c r="P343" s="32"/>
      <c r="S343" s="32"/>
    </row>
    <row r="344">
      <c r="D344" s="29"/>
      <c r="F344" s="31"/>
      <c r="G344" s="30"/>
      <c r="H344" s="30"/>
      <c r="J344" s="29"/>
      <c r="L344" s="30"/>
      <c r="M344" s="30"/>
      <c r="O344" s="32"/>
      <c r="P344" s="32"/>
      <c r="S344" s="32"/>
    </row>
    <row r="345">
      <c r="D345" s="29"/>
      <c r="F345" s="31"/>
      <c r="G345" s="30"/>
      <c r="H345" s="30"/>
      <c r="J345" s="29"/>
      <c r="L345" s="30"/>
      <c r="M345" s="30"/>
      <c r="O345" s="32"/>
      <c r="P345" s="32"/>
      <c r="S345" s="32"/>
    </row>
    <row r="346">
      <c r="D346" s="29"/>
      <c r="F346" s="31"/>
      <c r="G346" s="30"/>
      <c r="H346" s="30"/>
      <c r="J346" s="29"/>
      <c r="L346" s="30"/>
      <c r="M346" s="30"/>
      <c r="O346" s="32"/>
      <c r="P346" s="32"/>
      <c r="S346" s="32"/>
    </row>
    <row r="347">
      <c r="D347" s="29"/>
      <c r="F347" s="31"/>
      <c r="G347" s="30"/>
      <c r="H347" s="30"/>
      <c r="J347" s="29"/>
      <c r="L347" s="30"/>
      <c r="M347" s="30"/>
      <c r="O347" s="32"/>
      <c r="P347" s="32"/>
      <c r="S347" s="32"/>
    </row>
    <row r="348">
      <c r="D348" s="29"/>
      <c r="F348" s="31"/>
      <c r="G348" s="30"/>
      <c r="H348" s="30"/>
      <c r="J348" s="29"/>
      <c r="L348" s="30"/>
      <c r="M348" s="30"/>
      <c r="O348" s="32"/>
      <c r="P348" s="32"/>
      <c r="S348" s="32"/>
    </row>
    <row r="349">
      <c r="D349" s="29"/>
      <c r="F349" s="31"/>
      <c r="G349" s="30"/>
      <c r="H349" s="30"/>
      <c r="J349" s="29"/>
      <c r="L349" s="30"/>
      <c r="M349" s="30"/>
      <c r="O349" s="32"/>
      <c r="P349" s="32"/>
      <c r="S349" s="32"/>
    </row>
    <row r="350">
      <c r="D350" s="29"/>
      <c r="F350" s="31"/>
      <c r="G350" s="30"/>
      <c r="H350" s="30"/>
      <c r="J350" s="29"/>
      <c r="L350" s="30"/>
      <c r="M350" s="30"/>
      <c r="O350" s="32"/>
      <c r="P350" s="32"/>
      <c r="S350" s="32"/>
    </row>
    <row r="351">
      <c r="D351" s="29"/>
      <c r="F351" s="31"/>
      <c r="G351" s="30"/>
      <c r="H351" s="30"/>
      <c r="J351" s="29"/>
      <c r="L351" s="30"/>
      <c r="M351" s="30"/>
      <c r="O351" s="32"/>
      <c r="P351" s="32"/>
      <c r="S351" s="32"/>
    </row>
    <row r="352">
      <c r="D352" s="29"/>
      <c r="F352" s="31"/>
      <c r="G352" s="30"/>
      <c r="H352" s="30"/>
      <c r="J352" s="29"/>
      <c r="L352" s="30"/>
      <c r="M352" s="30"/>
      <c r="O352" s="32"/>
      <c r="P352" s="32"/>
      <c r="S352" s="32"/>
    </row>
    <row r="353">
      <c r="D353" s="29"/>
      <c r="F353" s="31"/>
      <c r="G353" s="30"/>
      <c r="H353" s="30"/>
      <c r="J353" s="29"/>
      <c r="L353" s="30"/>
      <c r="M353" s="30"/>
      <c r="O353" s="32"/>
      <c r="P353" s="32"/>
      <c r="S353" s="32"/>
    </row>
    <row r="354">
      <c r="D354" s="29"/>
      <c r="F354" s="31"/>
      <c r="G354" s="30"/>
      <c r="H354" s="30"/>
      <c r="J354" s="29"/>
      <c r="L354" s="30"/>
      <c r="M354" s="30"/>
      <c r="O354" s="32"/>
      <c r="P354" s="32"/>
      <c r="S354" s="32"/>
    </row>
    <row r="355">
      <c r="D355" s="29"/>
      <c r="F355" s="31"/>
      <c r="G355" s="30"/>
      <c r="H355" s="30"/>
      <c r="J355" s="29"/>
      <c r="L355" s="30"/>
      <c r="M355" s="30"/>
      <c r="O355" s="32"/>
      <c r="P355" s="32"/>
      <c r="S355" s="32"/>
    </row>
    <row r="356">
      <c r="D356" s="29"/>
      <c r="F356" s="31"/>
      <c r="G356" s="30"/>
      <c r="H356" s="30"/>
      <c r="J356" s="29"/>
      <c r="L356" s="30"/>
      <c r="M356" s="30"/>
      <c r="O356" s="32"/>
      <c r="P356" s="32"/>
      <c r="S356" s="32"/>
    </row>
    <row r="357">
      <c r="D357" s="29"/>
      <c r="F357" s="31"/>
      <c r="G357" s="30"/>
      <c r="H357" s="30"/>
      <c r="J357" s="29"/>
      <c r="L357" s="30"/>
      <c r="M357" s="30"/>
      <c r="O357" s="32"/>
      <c r="P357" s="32"/>
      <c r="S357" s="32"/>
    </row>
    <row r="358">
      <c r="D358" s="29"/>
      <c r="F358" s="31"/>
      <c r="G358" s="30"/>
      <c r="H358" s="30"/>
      <c r="J358" s="29"/>
      <c r="L358" s="30"/>
      <c r="M358" s="30"/>
      <c r="O358" s="32"/>
      <c r="P358" s="32"/>
      <c r="S358" s="32"/>
    </row>
    <row r="359">
      <c r="D359" s="29"/>
      <c r="F359" s="31"/>
      <c r="G359" s="30"/>
      <c r="H359" s="30"/>
      <c r="J359" s="29"/>
      <c r="L359" s="30"/>
      <c r="M359" s="30"/>
      <c r="O359" s="32"/>
      <c r="P359" s="32"/>
      <c r="S359" s="32"/>
    </row>
    <row r="360">
      <c r="D360" s="29"/>
      <c r="F360" s="31"/>
      <c r="G360" s="30"/>
      <c r="H360" s="30"/>
      <c r="J360" s="29"/>
      <c r="L360" s="30"/>
      <c r="M360" s="30"/>
      <c r="O360" s="32"/>
      <c r="P360" s="32"/>
      <c r="S360" s="32"/>
    </row>
    <row r="361">
      <c r="D361" s="29"/>
      <c r="F361" s="31"/>
      <c r="G361" s="30"/>
      <c r="H361" s="30"/>
      <c r="J361" s="29"/>
      <c r="L361" s="30"/>
      <c r="M361" s="30"/>
      <c r="O361" s="32"/>
      <c r="P361" s="32"/>
      <c r="S361" s="32"/>
    </row>
    <row r="362">
      <c r="D362" s="29"/>
      <c r="F362" s="31"/>
      <c r="G362" s="30"/>
      <c r="H362" s="30"/>
      <c r="J362" s="29"/>
      <c r="L362" s="30"/>
      <c r="M362" s="30"/>
      <c r="O362" s="32"/>
      <c r="P362" s="32"/>
      <c r="S362" s="32"/>
    </row>
    <row r="363">
      <c r="D363" s="29"/>
      <c r="F363" s="31"/>
      <c r="G363" s="30"/>
      <c r="H363" s="30"/>
      <c r="J363" s="29"/>
      <c r="L363" s="30"/>
      <c r="M363" s="30"/>
      <c r="O363" s="32"/>
      <c r="P363" s="32"/>
      <c r="S363" s="32"/>
    </row>
    <row r="364">
      <c r="D364" s="29"/>
      <c r="F364" s="31"/>
      <c r="G364" s="30"/>
      <c r="H364" s="30"/>
      <c r="J364" s="29"/>
      <c r="L364" s="30"/>
      <c r="M364" s="30"/>
      <c r="O364" s="32"/>
      <c r="P364" s="32"/>
      <c r="S364" s="32"/>
    </row>
    <row r="365">
      <c r="D365" s="29"/>
      <c r="F365" s="31"/>
      <c r="G365" s="30"/>
      <c r="H365" s="30"/>
      <c r="J365" s="29"/>
      <c r="L365" s="30"/>
      <c r="M365" s="30"/>
      <c r="O365" s="32"/>
      <c r="P365" s="32"/>
      <c r="S365" s="32"/>
    </row>
    <row r="366">
      <c r="D366" s="29"/>
      <c r="F366" s="31"/>
      <c r="G366" s="30"/>
      <c r="H366" s="30"/>
      <c r="J366" s="29"/>
      <c r="L366" s="30"/>
      <c r="M366" s="30"/>
      <c r="O366" s="32"/>
      <c r="P366" s="32"/>
      <c r="S366" s="32"/>
    </row>
    <row r="367">
      <c r="D367" s="29"/>
      <c r="F367" s="31"/>
      <c r="G367" s="30"/>
      <c r="H367" s="30"/>
      <c r="J367" s="29"/>
      <c r="L367" s="30"/>
      <c r="M367" s="30"/>
      <c r="O367" s="32"/>
      <c r="P367" s="32"/>
      <c r="S367" s="32"/>
    </row>
    <row r="368">
      <c r="D368" s="29"/>
      <c r="F368" s="31"/>
      <c r="G368" s="30"/>
      <c r="H368" s="30"/>
      <c r="J368" s="29"/>
      <c r="L368" s="30"/>
      <c r="M368" s="30"/>
      <c r="O368" s="32"/>
      <c r="P368" s="32"/>
      <c r="S368" s="32"/>
    </row>
    <row r="369">
      <c r="D369" s="29"/>
      <c r="F369" s="31"/>
      <c r="G369" s="30"/>
      <c r="H369" s="30"/>
      <c r="J369" s="29"/>
      <c r="L369" s="30"/>
      <c r="M369" s="30"/>
      <c r="O369" s="32"/>
      <c r="P369" s="32"/>
      <c r="S369" s="32"/>
    </row>
    <row r="370">
      <c r="D370" s="29"/>
      <c r="F370" s="31"/>
      <c r="G370" s="30"/>
      <c r="H370" s="30"/>
      <c r="J370" s="29"/>
      <c r="L370" s="30"/>
      <c r="M370" s="30"/>
      <c r="O370" s="32"/>
      <c r="P370" s="32"/>
      <c r="S370" s="32"/>
    </row>
    <row r="371">
      <c r="D371" s="29"/>
      <c r="F371" s="31"/>
      <c r="G371" s="30"/>
      <c r="H371" s="30"/>
      <c r="J371" s="29"/>
      <c r="L371" s="30"/>
      <c r="M371" s="30"/>
      <c r="O371" s="32"/>
      <c r="P371" s="32"/>
      <c r="S371" s="32"/>
    </row>
    <row r="372">
      <c r="D372" s="29"/>
      <c r="F372" s="31"/>
      <c r="G372" s="30"/>
      <c r="H372" s="30"/>
      <c r="J372" s="29"/>
      <c r="L372" s="30"/>
      <c r="M372" s="30"/>
      <c r="O372" s="32"/>
      <c r="P372" s="32"/>
      <c r="S372" s="32"/>
    </row>
    <row r="373">
      <c r="D373" s="29"/>
      <c r="F373" s="31"/>
      <c r="G373" s="30"/>
      <c r="H373" s="30"/>
      <c r="J373" s="29"/>
      <c r="L373" s="30"/>
      <c r="M373" s="30"/>
      <c r="O373" s="32"/>
      <c r="P373" s="32"/>
      <c r="S373" s="32"/>
    </row>
    <row r="374">
      <c r="D374" s="29"/>
      <c r="F374" s="31"/>
      <c r="G374" s="30"/>
      <c r="H374" s="30"/>
      <c r="J374" s="29"/>
      <c r="L374" s="30"/>
      <c r="M374" s="30"/>
      <c r="O374" s="32"/>
      <c r="P374" s="32"/>
      <c r="S374" s="32"/>
    </row>
    <row r="375">
      <c r="D375" s="29"/>
      <c r="F375" s="31"/>
      <c r="G375" s="30"/>
      <c r="H375" s="30"/>
      <c r="J375" s="29"/>
      <c r="L375" s="30"/>
      <c r="M375" s="30"/>
      <c r="O375" s="32"/>
      <c r="P375" s="32"/>
      <c r="S375" s="32"/>
    </row>
    <row r="376">
      <c r="D376" s="29"/>
      <c r="F376" s="31"/>
      <c r="G376" s="30"/>
      <c r="H376" s="30"/>
      <c r="J376" s="29"/>
      <c r="L376" s="30"/>
      <c r="M376" s="30"/>
      <c r="O376" s="32"/>
      <c r="P376" s="32"/>
      <c r="S376" s="32"/>
    </row>
    <row r="377">
      <c r="D377" s="29"/>
      <c r="F377" s="31"/>
      <c r="G377" s="30"/>
      <c r="H377" s="30"/>
      <c r="J377" s="29"/>
      <c r="L377" s="30"/>
      <c r="M377" s="30"/>
      <c r="O377" s="32"/>
      <c r="P377" s="32"/>
      <c r="S377" s="32"/>
    </row>
    <row r="378">
      <c r="D378" s="29"/>
      <c r="F378" s="31"/>
      <c r="G378" s="30"/>
      <c r="H378" s="30"/>
      <c r="J378" s="29"/>
      <c r="L378" s="30"/>
      <c r="M378" s="30"/>
      <c r="O378" s="32"/>
      <c r="P378" s="32"/>
      <c r="S378" s="32"/>
    </row>
    <row r="379">
      <c r="D379" s="29"/>
      <c r="F379" s="31"/>
      <c r="G379" s="30"/>
      <c r="H379" s="30"/>
      <c r="J379" s="29"/>
      <c r="L379" s="30"/>
      <c r="M379" s="30"/>
      <c r="O379" s="32"/>
      <c r="P379" s="32"/>
      <c r="S379" s="32"/>
    </row>
    <row r="380">
      <c r="D380" s="29"/>
      <c r="F380" s="31"/>
      <c r="G380" s="30"/>
      <c r="H380" s="30"/>
      <c r="J380" s="29"/>
      <c r="L380" s="30"/>
      <c r="M380" s="30"/>
      <c r="O380" s="32"/>
      <c r="P380" s="32"/>
      <c r="S380" s="32"/>
    </row>
    <row r="381">
      <c r="D381" s="29"/>
      <c r="F381" s="31"/>
      <c r="G381" s="30"/>
      <c r="H381" s="30"/>
      <c r="J381" s="29"/>
      <c r="L381" s="30"/>
      <c r="M381" s="30"/>
      <c r="O381" s="32"/>
      <c r="P381" s="32"/>
      <c r="S381" s="32"/>
    </row>
    <row r="382">
      <c r="D382" s="29"/>
      <c r="F382" s="31"/>
      <c r="G382" s="30"/>
      <c r="H382" s="30"/>
      <c r="J382" s="29"/>
      <c r="L382" s="30"/>
      <c r="M382" s="30"/>
      <c r="O382" s="32"/>
      <c r="P382" s="32"/>
      <c r="S382" s="32"/>
    </row>
    <row r="383">
      <c r="D383" s="29"/>
      <c r="F383" s="31"/>
      <c r="G383" s="30"/>
      <c r="H383" s="30"/>
      <c r="J383" s="29"/>
      <c r="L383" s="30"/>
      <c r="M383" s="30"/>
      <c r="O383" s="32"/>
      <c r="P383" s="32"/>
      <c r="S383" s="32"/>
    </row>
    <row r="384">
      <c r="D384" s="29"/>
      <c r="F384" s="31"/>
      <c r="G384" s="30"/>
      <c r="H384" s="30"/>
      <c r="J384" s="29"/>
      <c r="L384" s="30"/>
      <c r="M384" s="30"/>
      <c r="O384" s="32"/>
      <c r="P384" s="32"/>
      <c r="S384" s="32"/>
    </row>
    <row r="385">
      <c r="D385" s="29"/>
      <c r="F385" s="31"/>
      <c r="G385" s="30"/>
      <c r="H385" s="30"/>
      <c r="J385" s="29"/>
      <c r="L385" s="30"/>
      <c r="M385" s="30"/>
      <c r="O385" s="32"/>
      <c r="P385" s="32"/>
      <c r="S385" s="32"/>
    </row>
    <row r="386">
      <c r="D386" s="29"/>
      <c r="F386" s="31"/>
      <c r="G386" s="30"/>
      <c r="H386" s="30"/>
      <c r="J386" s="29"/>
      <c r="L386" s="30"/>
      <c r="M386" s="30"/>
      <c r="O386" s="32"/>
      <c r="P386" s="32"/>
      <c r="S386" s="32"/>
    </row>
    <row r="387">
      <c r="D387" s="29"/>
      <c r="F387" s="31"/>
      <c r="G387" s="30"/>
      <c r="H387" s="30"/>
      <c r="J387" s="29"/>
      <c r="L387" s="30"/>
      <c r="M387" s="30"/>
      <c r="O387" s="32"/>
      <c r="P387" s="32"/>
      <c r="S387" s="32"/>
    </row>
    <row r="388">
      <c r="D388" s="29"/>
      <c r="F388" s="31"/>
      <c r="G388" s="30"/>
      <c r="H388" s="30"/>
      <c r="J388" s="29"/>
      <c r="L388" s="30"/>
      <c r="M388" s="30"/>
      <c r="O388" s="32"/>
      <c r="P388" s="32"/>
      <c r="S388" s="32"/>
    </row>
    <row r="389">
      <c r="D389" s="29"/>
      <c r="F389" s="31"/>
      <c r="G389" s="30"/>
      <c r="H389" s="30"/>
      <c r="J389" s="29"/>
      <c r="L389" s="30"/>
      <c r="M389" s="30"/>
      <c r="O389" s="32"/>
      <c r="P389" s="32"/>
      <c r="S389" s="32"/>
    </row>
    <row r="390">
      <c r="D390" s="29"/>
      <c r="F390" s="31"/>
      <c r="G390" s="30"/>
      <c r="H390" s="30"/>
      <c r="J390" s="29"/>
      <c r="L390" s="30"/>
      <c r="M390" s="30"/>
      <c r="O390" s="32"/>
      <c r="P390" s="32"/>
      <c r="S390" s="32"/>
    </row>
    <row r="391">
      <c r="D391" s="29"/>
      <c r="F391" s="31"/>
      <c r="G391" s="30"/>
      <c r="H391" s="30"/>
      <c r="J391" s="29"/>
      <c r="L391" s="30"/>
      <c r="M391" s="30"/>
      <c r="O391" s="32"/>
      <c r="P391" s="32"/>
      <c r="S391" s="32"/>
    </row>
    <row r="392">
      <c r="D392" s="29"/>
      <c r="F392" s="31"/>
      <c r="G392" s="30"/>
      <c r="H392" s="30"/>
      <c r="J392" s="29"/>
      <c r="L392" s="30"/>
      <c r="M392" s="30"/>
      <c r="O392" s="32"/>
      <c r="P392" s="32"/>
      <c r="S392" s="32"/>
    </row>
    <row r="393">
      <c r="D393" s="29"/>
      <c r="F393" s="31"/>
      <c r="G393" s="30"/>
      <c r="H393" s="30"/>
      <c r="J393" s="29"/>
      <c r="L393" s="30"/>
      <c r="M393" s="30"/>
      <c r="O393" s="32"/>
      <c r="P393" s="32"/>
      <c r="S393" s="32"/>
    </row>
    <row r="394">
      <c r="D394" s="29"/>
      <c r="F394" s="31"/>
      <c r="G394" s="30"/>
      <c r="H394" s="30"/>
      <c r="J394" s="29"/>
      <c r="L394" s="30"/>
      <c r="M394" s="30"/>
      <c r="O394" s="32"/>
      <c r="P394" s="32"/>
      <c r="S394" s="32"/>
    </row>
    <row r="395">
      <c r="D395" s="29"/>
      <c r="F395" s="31"/>
      <c r="G395" s="30"/>
      <c r="H395" s="30"/>
      <c r="J395" s="29"/>
      <c r="L395" s="30"/>
      <c r="M395" s="30"/>
      <c r="O395" s="32"/>
      <c r="P395" s="32"/>
      <c r="S395" s="32"/>
    </row>
    <row r="396">
      <c r="D396" s="29"/>
      <c r="F396" s="31"/>
      <c r="G396" s="30"/>
      <c r="H396" s="30"/>
      <c r="J396" s="29"/>
      <c r="L396" s="30"/>
      <c r="M396" s="30"/>
      <c r="O396" s="32"/>
      <c r="P396" s="32"/>
      <c r="S396" s="32"/>
    </row>
    <row r="397">
      <c r="D397" s="29"/>
      <c r="F397" s="31"/>
      <c r="G397" s="30"/>
      <c r="H397" s="30"/>
      <c r="J397" s="29"/>
      <c r="L397" s="30"/>
      <c r="M397" s="30"/>
      <c r="O397" s="32"/>
      <c r="P397" s="32"/>
      <c r="S397" s="32"/>
    </row>
    <row r="398">
      <c r="D398" s="29"/>
      <c r="F398" s="31"/>
      <c r="G398" s="30"/>
      <c r="H398" s="30"/>
      <c r="J398" s="29"/>
      <c r="L398" s="30"/>
      <c r="M398" s="30"/>
      <c r="O398" s="32"/>
      <c r="P398" s="32"/>
      <c r="S398" s="32"/>
    </row>
    <row r="399">
      <c r="D399" s="29"/>
      <c r="F399" s="31"/>
      <c r="G399" s="30"/>
      <c r="H399" s="30"/>
      <c r="J399" s="29"/>
      <c r="L399" s="30"/>
      <c r="M399" s="30"/>
      <c r="O399" s="32"/>
      <c r="P399" s="32"/>
      <c r="S399" s="32"/>
    </row>
    <row r="400">
      <c r="D400" s="29"/>
      <c r="F400" s="31"/>
      <c r="G400" s="30"/>
      <c r="H400" s="30"/>
      <c r="J400" s="29"/>
      <c r="L400" s="30"/>
      <c r="M400" s="30"/>
      <c r="O400" s="32"/>
      <c r="P400" s="32"/>
      <c r="S400" s="32"/>
    </row>
    <row r="401">
      <c r="D401" s="29"/>
      <c r="F401" s="31"/>
      <c r="G401" s="30"/>
      <c r="H401" s="30"/>
      <c r="J401" s="29"/>
      <c r="L401" s="30"/>
      <c r="M401" s="30"/>
      <c r="O401" s="32"/>
      <c r="P401" s="32"/>
      <c r="S401" s="32"/>
    </row>
    <row r="402">
      <c r="D402" s="29"/>
      <c r="F402" s="31"/>
      <c r="G402" s="30"/>
      <c r="H402" s="30"/>
      <c r="J402" s="29"/>
      <c r="L402" s="30"/>
      <c r="M402" s="30"/>
      <c r="O402" s="32"/>
      <c r="P402" s="32"/>
      <c r="S402" s="32"/>
    </row>
    <row r="403">
      <c r="D403" s="29"/>
      <c r="F403" s="31"/>
      <c r="G403" s="30"/>
      <c r="H403" s="30"/>
      <c r="J403" s="29"/>
      <c r="L403" s="30"/>
      <c r="M403" s="30"/>
      <c r="O403" s="32"/>
      <c r="P403" s="32"/>
      <c r="S403" s="32"/>
    </row>
    <row r="404">
      <c r="D404" s="29"/>
      <c r="F404" s="31"/>
      <c r="G404" s="30"/>
      <c r="H404" s="30"/>
      <c r="J404" s="29"/>
      <c r="L404" s="30"/>
      <c r="M404" s="30"/>
      <c r="O404" s="32"/>
      <c r="P404" s="32"/>
      <c r="S404" s="32"/>
    </row>
    <row r="405">
      <c r="D405" s="29"/>
      <c r="F405" s="31"/>
      <c r="G405" s="30"/>
      <c r="H405" s="30"/>
      <c r="J405" s="29"/>
      <c r="L405" s="30"/>
      <c r="M405" s="30"/>
      <c r="O405" s="32"/>
      <c r="P405" s="32"/>
      <c r="S405" s="32"/>
    </row>
    <row r="406">
      <c r="D406" s="29"/>
      <c r="F406" s="31"/>
      <c r="G406" s="30"/>
      <c r="H406" s="30"/>
      <c r="J406" s="29"/>
      <c r="L406" s="30"/>
      <c r="M406" s="30"/>
      <c r="O406" s="32"/>
      <c r="P406" s="32"/>
      <c r="S406" s="32"/>
    </row>
    <row r="407">
      <c r="D407" s="29"/>
      <c r="F407" s="31"/>
      <c r="G407" s="30"/>
      <c r="H407" s="30"/>
      <c r="J407" s="29"/>
      <c r="L407" s="30"/>
      <c r="M407" s="30"/>
      <c r="O407" s="32"/>
      <c r="P407" s="32"/>
      <c r="S407" s="32"/>
    </row>
    <row r="408">
      <c r="D408" s="29"/>
      <c r="F408" s="31"/>
      <c r="G408" s="30"/>
      <c r="H408" s="30"/>
      <c r="J408" s="29"/>
      <c r="L408" s="30"/>
      <c r="M408" s="30"/>
      <c r="O408" s="32"/>
      <c r="P408" s="32"/>
      <c r="S408" s="32"/>
    </row>
    <row r="409">
      <c r="D409" s="29"/>
      <c r="F409" s="31"/>
      <c r="G409" s="30"/>
      <c r="H409" s="30"/>
      <c r="J409" s="29"/>
      <c r="L409" s="30"/>
      <c r="M409" s="30"/>
      <c r="O409" s="32"/>
      <c r="P409" s="32"/>
      <c r="S409" s="32"/>
    </row>
    <row r="410">
      <c r="D410" s="29"/>
      <c r="F410" s="31"/>
      <c r="G410" s="30"/>
      <c r="H410" s="30"/>
      <c r="J410" s="29"/>
      <c r="L410" s="30"/>
      <c r="M410" s="30"/>
      <c r="O410" s="32"/>
      <c r="P410" s="32"/>
      <c r="S410" s="32"/>
    </row>
    <row r="411">
      <c r="D411" s="29"/>
      <c r="F411" s="31"/>
      <c r="G411" s="30"/>
      <c r="H411" s="30"/>
      <c r="J411" s="29"/>
      <c r="L411" s="30"/>
      <c r="M411" s="30"/>
      <c r="O411" s="32"/>
      <c r="P411" s="32"/>
      <c r="S411" s="32"/>
    </row>
    <row r="412">
      <c r="D412" s="29"/>
      <c r="F412" s="31"/>
      <c r="G412" s="30"/>
      <c r="H412" s="30"/>
      <c r="J412" s="29"/>
      <c r="L412" s="30"/>
      <c r="M412" s="30"/>
      <c r="O412" s="32"/>
      <c r="P412" s="32"/>
      <c r="S412" s="32"/>
    </row>
    <row r="413">
      <c r="D413" s="29"/>
      <c r="F413" s="31"/>
      <c r="G413" s="30"/>
      <c r="H413" s="30"/>
      <c r="J413" s="29"/>
      <c r="L413" s="30"/>
      <c r="M413" s="30"/>
      <c r="O413" s="32"/>
      <c r="P413" s="32"/>
      <c r="S413" s="32"/>
    </row>
    <row r="414">
      <c r="D414" s="29"/>
      <c r="F414" s="31"/>
      <c r="G414" s="30"/>
      <c r="H414" s="30"/>
      <c r="J414" s="29"/>
      <c r="L414" s="30"/>
      <c r="M414" s="30"/>
      <c r="O414" s="32"/>
      <c r="P414" s="32"/>
      <c r="S414" s="32"/>
    </row>
    <row r="415">
      <c r="D415" s="29"/>
      <c r="F415" s="31"/>
      <c r="G415" s="30"/>
      <c r="H415" s="30"/>
      <c r="J415" s="29"/>
      <c r="L415" s="30"/>
      <c r="M415" s="30"/>
      <c r="O415" s="32"/>
      <c r="P415" s="32"/>
      <c r="S415" s="32"/>
    </row>
    <row r="416">
      <c r="D416" s="29"/>
      <c r="F416" s="31"/>
      <c r="G416" s="30"/>
      <c r="H416" s="30"/>
      <c r="J416" s="29"/>
      <c r="L416" s="30"/>
      <c r="M416" s="30"/>
      <c r="O416" s="32"/>
      <c r="P416" s="32"/>
      <c r="S416" s="32"/>
    </row>
    <row r="417">
      <c r="D417" s="29"/>
      <c r="F417" s="31"/>
      <c r="G417" s="30"/>
      <c r="H417" s="30"/>
      <c r="J417" s="29"/>
      <c r="L417" s="30"/>
      <c r="M417" s="30"/>
      <c r="O417" s="32"/>
      <c r="P417" s="32"/>
      <c r="S417" s="32"/>
    </row>
    <row r="418">
      <c r="D418" s="29"/>
      <c r="F418" s="31"/>
      <c r="G418" s="30"/>
      <c r="H418" s="30"/>
      <c r="J418" s="29"/>
      <c r="L418" s="30"/>
      <c r="M418" s="30"/>
      <c r="O418" s="32"/>
      <c r="P418" s="32"/>
      <c r="S418" s="32"/>
    </row>
    <row r="419">
      <c r="D419" s="29"/>
      <c r="F419" s="31"/>
      <c r="G419" s="30"/>
      <c r="H419" s="30"/>
      <c r="J419" s="29"/>
      <c r="L419" s="30"/>
      <c r="M419" s="30"/>
      <c r="O419" s="32"/>
      <c r="P419" s="32"/>
      <c r="S419" s="32"/>
    </row>
    <row r="420">
      <c r="D420" s="29"/>
      <c r="F420" s="31"/>
      <c r="G420" s="30"/>
      <c r="H420" s="30"/>
      <c r="J420" s="29"/>
      <c r="L420" s="30"/>
      <c r="M420" s="30"/>
      <c r="O420" s="32"/>
      <c r="P420" s="32"/>
      <c r="S420" s="32"/>
    </row>
    <row r="421">
      <c r="D421" s="29"/>
      <c r="F421" s="31"/>
      <c r="G421" s="30"/>
      <c r="H421" s="30"/>
      <c r="J421" s="29"/>
      <c r="L421" s="30"/>
      <c r="M421" s="30"/>
      <c r="O421" s="32"/>
      <c r="P421" s="32"/>
      <c r="S421" s="32"/>
    </row>
    <row r="422">
      <c r="D422" s="29"/>
      <c r="F422" s="31"/>
      <c r="G422" s="30"/>
      <c r="H422" s="30"/>
      <c r="J422" s="29"/>
      <c r="L422" s="30"/>
      <c r="M422" s="30"/>
      <c r="O422" s="32"/>
      <c r="P422" s="32"/>
      <c r="S422" s="32"/>
    </row>
    <row r="423">
      <c r="D423" s="29"/>
      <c r="F423" s="31"/>
      <c r="G423" s="30"/>
      <c r="H423" s="30"/>
      <c r="J423" s="29"/>
      <c r="L423" s="30"/>
      <c r="M423" s="30"/>
      <c r="O423" s="32"/>
      <c r="P423" s="32"/>
      <c r="S423" s="32"/>
    </row>
    <row r="424">
      <c r="D424" s="29"/>
      <c r="F424" s="31"/>
      <c r="G424" s="30"/>
      <c r="H424" s="30"/>
      <c r="J424" s="29"/>
      <c r="L424" s="30"/>
      <c r="M424" s="30"/>
      <c r="O424" s="32"/>
      <c r="P424" s="32"/>
      <c r="S424" s="32"/>
    </row>
    <row r="425">
      <c r="D425" s="29"/>
      <c r="F425" s="31"/>
      <c r="G425" s="30"/>
      <c r="H425" s="30"/>
      <c r="J425" s="29"/>
      <c r="L425" s="30"/>
      <c r="M425" s="30"/>
      <c r="O425" s="32"/>
      <c r="P425" s="32"/>
      <c r="S425" s="32"/>
    </row>
    <row r="426">
      <c r="D426" s="29"/>
      <c r="F426" s="31"/>
      <c r="G426" s="30"/>
      <c r="H426" s="30"/>
      <c r="J426" s="29"/>
      <c r="L426" s="30"/>
      <c r="M426" s="30"/>
      <c r="O426" s="32"/>
      <c r="P426" s="32"/>
      <c r="S426" s="32"/>
    </row>
    <row r="427">
      <c r="D427" s="29"/>
      <c r="F427" s="31"/>
      <c r="G427" s="30"/>
      <c r="H427" s="30"/>
      <c r="J427" s="29"/>
      <c r="L427" s="30"/>
      <c r="M427" s="30"/>
      <c r="O427" s="32"/>
      <c r="P427" s="32"/>
      <c r="S427" s="32"/>
    </row>
    <row r="428">
      <c r="D428" s="29"/>
      <c r="F428" s="31"/>
      <c r="G428" s="30"/>
      <c r="H428" s="30"/>
      <c r="J428" s="29"/>
      <c r="L428" s="30"/>
      <c r="M428" s="30"/>
      <c r="O428" s="32"/>
      <c r="P428" s="32"/>
      <c r="S428" s="32"/>
    </row>
    <row r="429">
      <c r="D429" s="29"/>
      <c r="F429" s="31"/>
      <c r="G429" s="30"/>
      <c r="H429" s="30"/>
      <c r="J429" s="29"/>
      <c r="L429" s="30"/>
      <c r="M429" s="30"/>
      <c r="O429" s="32"/>
      <c r="P429" s="32"/>
      <c r="S429" s="32"/>
    </row>
    <row r="430">
      <c r="D430" s="29"/>
      <c r="F430" s="31"/>
      <c r="G430" s="30"/>
      <c r="H430" s="30"/>
      <c r="J430" s="29"/>
      <c r="L430" s="30"/>
      <c r="M430" s="30"/>
      <c r="O430" s="32"/>
      <c r="P430" s="32"/>
      <c r="S430" s="32"/>
    </row>
    <row r="431">
      <c r="D431" s="29"/>
      <c r="F431" s="31"/>
      <c r="G431" s="30"/>
      <c r="H431" s="30"/>
      <c r="J431" s="29"/>
      <c r="L431" s="30"/>
      <c r="M431" s="30"/>
      <c r="O431" s="32"/>
      <c r="P431" s="32"/>
      <c r="S431" s="32"/>
    </row>
    <row r="432">
      <c r="D432" s="29"/>
      <c r="F432" s="31"/>
      <c r="G432" s="30"/>
      <c r="H432" s="30"/>
      <c r="J432" s="29"/>
      <c r="L432" s="30"/>
      <c r="M432" s="30"/>
      <c r="O432" s="32"/>
      <c r="P432" s="32"/>
      <c r="S432" s="32"/>
    </row>
    <row r="433">
      <c r="D433" s="29"/>
      <c r="F433" s="31"/>
      <c r="G433" s="30"/>
      <c r="H433" s="30"/>
      <c r="J433" s="29"/>
      <c r="L433" s="30"/>
      <c r="M433" s="30"/>
      <c r="O433" s="32"/>
      <c r="P433" s="32"/>
      <c r="S433" s="32"/>
    </row>
    <row r="434">
      <c r="D434" s="29"/>
      <c r="F434" s="31"/>
      <c r="G434" s="30"/>
      <c r="H434" s="30"/>
      <c r="J434" s="29"/>
      <c r="L434" s="30"/>
      <c r="M434" s="30"/>
      <c r="O434" s="32"/>
      <c r="P434" s="32"/>
      <c r="S434" s="32"/>
    </row>
    <row r="435">
      <c r="D435" s="29"/>
      <c r="F435" s="31"/>
      <c r="G435" s="30"/>
      <c r="H435" s="30"/>
      <c r="J435" s="29"/>
      <c r="L435" s="30"/>
      <c r="M435" s="30"/>
      <c r="O435" s="32"/>
      <c r="P435" s="32"/>
      <c r="S435" s="32"/>
    </row>
    <row r="436">
      <c r="D436" s="29"/>
      <c r="F436" s="31"/>
      <c r="G436" s="30"/>
      <c r="H436" s="30"/>
      <c r="J436" s="29"/>
      <c r="L436" s="30"/>
      <c r="M436" s="30"/>
      <c r="O436" s="32"/>
      <c r="P436" s="32"/>
      <c r="S436" s="32"/>
    </row>
    <row r="437">
      <c r="D437" s="29"/>
      <c r="F437" s="31"/>
      <c r="G437" s="30"/>
      <c r="H437" s="30"/>
      <c r="J437" s="29"/>
      <c r="L437" s="30"/>
      <c r="M437" s="30"/>
      <c r="O437" s="32"/>
      <c r="P437" s="32"/>
      <c r="S437" s="32"/>
    </row>
    <row r="438">
      <c r="D438" s="29"/>
      <c r="F438" s="31"/>
      <c r="G438" s="30"/>
      <c r="H438" s="30"/>
      <c r="J438" s="29"/>
      <c r="L438" s="30"/>
      <c r="M438" s="30"/>
      <c r="O438" s="32"/>
      <c r="P438" s="32"/>
      <c r="S438" s="32"/>
    </row>
    <row r="439">
      <c r="D439" s="29"/>
      <c r="F439" s="31"/>
      <c r="G439" s="30"/>
      <c r="H439" s="30"/>
      <c r="J439" s="29"/>
      <c r="L439" s="30"/>
      <c r="M439" s="30"/>
      <c r="O439" s="32"/>
      <c r="P439" s="32"/>
      <c r="S439" s="32"/>
    </row>
    <row r="440">
      <c r="D440" s="29"/>
      <c r="F440" s="31"/>
      <c r="G440" s="30"/>
      <c r="H440" s="30"/>
      <c r="J440" s="29"/>
      <c r="L440" s="30"/>
      <c r="M440" s="30"/>
      <c r="O440" s="32"/>
      <c r="P440" s="32"/>
      <c r="S440" s="32"/>
    </row>
    <row r="441">
      <c r="D441" s="29"/>
      <c r="F441" s="31"/>
      <c r="G441" s="30"/>
      <c r="H441" s="30"/>
      <c r="J441" s="29"/>
      <c r="L441" s="30"/>
      <c r="M441" s="30"/>
      <c r="O441" s="32"/>
      <c r="P441" s="32"/>
      <c r="S441" s="32"/>
    </row>
    <row r="442">
      <c r="D442" s="29"/>
      <c r="F442" s="31"/>
      <c r="G442" s="30"/>
      <c r="H442" s="30"/>
      <c r="J442" s="29"/>
      <c r="L442" s="30"/>
      <c r="M442" s="30"/>
      <c r="O442" s="32"/>
      <c r="P442" s="32"/>
      <c r="S442" s="32"/>
    </row>
    <row r="443">
      <c r="D443" s="29"/>
      <c r="F443" s="31"/>
      <c r="G443" s="30"/>
      <c r="H443" s="30"/>
      <c r="J443" s="29"/>
      <c r="L443" s="30"/>
      <c r="M443" s="30"/>
      <c r="O443" s="32"/>
      <c r="P443" s="32"/>
      <c r="S443" s="32"/>
    </row>
    <row r="444">
      <c r="D444" s="29"/>
      <c r="F444" s="31"/>
      <c r="G444" s="30"/>
      <c r="H444" s="30"/>
      <c r="J444" s="29"/>
      <c r="L444" s="30"/>
      <c r="M444" s="30"/>
      <c r="O444" s="32"/>
      <c r="P444" s="32"/>
      <c r="S444" s="32"/>
    </row>
    <row r="445">
      <c r="D445" s="29"/>
      <c r="F445" s="31"/>
      <c r="G445" s="30"/>
      <c r="H445" s="30"/>
      <c r="J445" s="29"/>
      <c r="L445" s="30"/>
      <c r="M445" s="30"/>
      <c r="O445" s="32"/>
      <c r="P445" s="32"/>
      <c r="S445" s="32"/>
    </row>
    <row r="446">
      <c r="D446" s="29"/>
      <c r="F446" s="31"/>
      <c r="G446" s="30"/>
      <c r="H446" s="30"/>
      <c r="J446" s="29"/>
      <c r="L446" s="30"/>
      <c r="M446" s="30"/>
      <c r="O446" s="32"/>
      <c r="P446" s="32"/>
      <c r="S446" s="32"/>
    </row>
    <row r="447">
      <c r="D447" s="29"/>
      <c r="F447" s="31"/>
      <c r="G447" s="30"/>
      <c r="H447" s="30"/>
      <c r="J447" s="29"/>
      <c r="L447" s="30"/>
      <c r="M447" s="30"/>
      <c r="O447" s="32"/>
      <c r="P447" s="32"/>
      <c r="S447" s="32"/>
    </row>
    <row r="448">
      <c r="D448" s="29"/>
      <c r="F448" s="31"/>
      <c r="G448" s="30"/>
      <c r="H448" s="30"/>
      <c r="J448" s="29"/>
      <c r="L448" s="30"/>
      <c r="M448" s="30"/>
      <c r="O448" s="32"/>
      <c r="P448" s="32"/>
      <c r="S448" s="32"/>
    </row>
    <row r="449">
      <c r="D449" s="29"/>
      <c r="F449" s="31"/>
      <c r="G449" s="30"/>
      <c r="H449" s="30"/>
      <c r="J449" s="29"/>
      <c r="L449" s="30"/>
      <c r="M449" s="30"/>
      <c r="O449" s="32"/>
      <c r="P449" s="32"/>
      <c r="S449" s="32"/>
    </row>
    <row r="450">
      <c r="D450" s="29"/>
      <c r="F450" s="31"/>
      <c r="G450" s="30"/>
      <c r="H450" s="30"/>
      <c r="J450" s="29"/>
      <c r="L450" s="30"/>
      <c r="M450" s="30"/>
      <c r="O450" s="32"/>
      <c r="P450" s="32"/>
      <c r="S450" s="32"/>
    </row>
    <row r="451">
      <c r="D451" s="29"/>
      <c r="F451" s="31"/>
      <c r="G451" s="30"/>
      <c r="H451" s="30"/>
      <c r="J451" s="29"/>
      <c r="L451" s="30"/>
      <c r="M451" s="30"/>
      <c r="O451" s="32"/>
      <c r="P451" s="32"/>
      <c r="S451" s="32"/>
    </row>
    <row r="452">
      <c r="D452" s="29"/>
      <c r="F452" s="31"/>
      <c r="G452" s="30"/>
      <c r="H452" s="30"/>
      <c r="J452" s="29"/>
      <c r="L452" s="30"/>
      <c r="M452" s="30"/>
      <c r="O452" s="32"/>
      <c r="P452" s="32"/>
      <c r="S452" s="32"/>
    </row>
    <row r="453">
      <c r="D453" s="29"/>
      <c r="F453" s="31"/>
      <c r="G453" s="30"/>
      <c r="H453" s="30"/>
      <c r="J453" s="29"/>
      <c r="L453" s="30"/>
      <c r="M453" s="30"/>
      <c r="O453" s="32"/>
      <c r="P453" s="32"/>
      <c r="S453" s="32"/>
    </row>
    <row r="454">
      <c r="D454" s="29"/>
      <c r="F454" s="31"/>
      <c r="G454" s="30"/>
      <c r="H454" s="30"/>
      <c r="J454" s="29"/>
      <c r="L454" s="30"/>
      <c r="M454" s="30"/>
      <c r="O454" s="32"/>
      <c r="P454" s="32"/>
      <c r="S454" s="32"/>
    </row>
    <row r="455">
      <c r="D455" s="29"/>
      <c r="F455" s="31"/>
      <c r="G455" s="30"/>
      <c r="H455" s="30"/>
      <c r="J455" s="29"/>
      <c r="L455" s="30"/>
      <c r="M455" s="30"/>
      <c r="O455" s="32"/>
      <c r="P455" s="32"/>
      <c r="S455" s="32"/>
    </row>
    <row r="456">
      <c r="D456" s="29"/>
      <c r="F456" s="31"/>
      <c r="G456" s="30"/>
      <c r="H456" s="30"/>
      <c r="J456" s="29"/>
      <c r="L456" s="30"/>
      <c r="M456" s="30"/>
      <c r="O456" s="32"/>
      <c r="P456" s="32"/>
      <c r="S456" s="32"/>
    </row>
    <row r="457">
      <c r="D457" s="29"/>
      <c r="F457" s="31"/>
      <c r="G457" s="30"/>
      <c r="H457" s="30"/>
      <c r="J457" s="29"/>
      <c r="L457" s="30"/>
      <c r="M457" s="30"/>
      <c r="O457" s="32"/>
      <c r="P457" s="32"/>
      <c r="S457" s="32"/>
    </row>
    <row r="458">
      <c r="D458" s="29"/>
      <c r="F458" s="31"/>
      <c r="G458" s="30"/>
      <c r="H458" s="30"/>
      <c r="J458" s="29"/>
      <c r="L458" s="30"/>
      <c r="M458" s="30"/>
      <c r="O458" s="32"/>
      <c r="P458" s="32"/>
      <c r="S458" s="32"/>
    </row>
    <row r="459">
      <c r="D459" s="29"/>
      <c r="F459" s="31"/>
      <c r="G459" s="30"/>
      <c r="H459" s="30"/>
      <c r="J459" s="29"/>
      <c r="L459" s="30"/>
      <c r="M459" s="30"/>
      <c r="O459" s="32"/>
      <c r="P459" s="32"/>
      <c r="S459" s="32"/>
    </row>
    <row r="460">
      <c r="D460" s="29"/>
      <c r="F460" s="31"/>
      <c r="G460" s="30"/>
      <c r="H460" s="30"/>
      <c r="J460" s="29"/>
      <c r="L460" s="30"/>
      <c r="M460" s="30"/>
      <c r="O460" s="32"/>
      <c r="P460" s="32"/>
      <c r="S460" s="32"/>
    </row>
    <row r="461">
      <c r="D461" s="29"/>
      <c r="F461" s="31"/>
      <c r="G461" s="30"/>
      <c r="H461" s="30"/>
      <c r="J461" s="29"/>
      <c r="L461" s="30"/>
      <c r="M461" s="30"/>
      <c r="O461" s="32"/>
      <c r="P461" s="32"/>
      <c r="S461" s="32"/>
    </row>
    <row r="462">
      <c r="D462" s="29"/>
      <c r="F462" s="31"/>
      <c r="G462" s="30"/>
      <c r="H462" s="30"/>
      <c r="J462" s="29"/>
      <c r="L462" s="30"/>
      <c r="M462" s="30"/>
      <c r="O462" s="32"/>
      <c r="P462" s="32"/>
      <c r="S462" s="32"/>
    </row>
    <row r="463">
      <c r="D463" s="29"/>
      <c r="F463" s="31"/>
      <c r="G463" s="30"/>
      <c r="H463" s="30"/>
      <c r="J463" s="29"/>
      <c r="L463" s="30"/>
      <c r="M463" s="30"/>
      <c r="O463" s="32"/>
      <c r="P463" s="32"/>
      <c r="S463" s="32"/>
    </row>
    <row r="464">
      <c r="D464" s="29"/>
      <c r="F464" s="31"/>
      <c r="G464" s="30"/>
      <c r="H464" s="30"/>
      <c r="J464" s="29"/>
      <c r="L464" s="30"/>
      <c r="M464" s="30"/>
      <c r="O464" s="32"/>
      <c r="P464" s="32"/>
      <c r="S464" s="32"/>
    </row>
    <row r="465">
      <c r="D465" s="29"/>
      <c r="F465" s="31"/>
      <c r="G465" s="30"/>
      <c r="H465" s="30"/>
      <c r="J465" s="29"/>
      <c r="L465" s="30"/>
      <c r="M465" s="30"/>
      <c r="O465" s="32"/>
      <c r="P465" s="32"/>
      <c r="S465" s="32"/>
    </row>
    <row r="466">
      <c r="D466" s="29"/>
      <c r="F466" s="31"/>
      <c r="G466" s="30"/>
      <c r="H466" s="30"/>
      <c r="J466" s="29"/>
      <c r="L466" s="30"/>
      <c r="M466" s="30"/>
      <c r="O466" s="32"/>
      <c r="P466" s="32"/>
      <c r="S466" s="32"/>
    </row>
    <row r="467">
      <c r="D467" s="29"/>
      <c r="F467" s="31"/>
      <c r="G467" s="30"/>
      <c r="H467" s="30"/>
      <c r="J467" s="29"/>
      <c r="L467" s="30"/>
      <c r="M467" s="30"/>
      <c r="O467" s="32"/>
      <c r="P467" s="32"/>
      <c r="S467" s="32"/>
    </row>
    <row r="468">
      <c r="D468" s="29"/>
      <c r="F468" s="31"/>
      <c r="G468" s="30"/>
      <c r="H468" s="30"/>
      <c r="J468" s="29"/>
      <c r="L468" s="30"/>
      <c r="M468" s="30"/>
      <c r="O468" s="32"/>
      <c r="P468" s="32"/>
      <c r="S468" s="32"/>
    </row>
    <row r="469">
      <c r="D469" s="29"/>
      <c r="F469" s="31"/>
      <c r="G469" s="30"/>
      <c r="H469" s="30"/>
      <c r="J469" s="29"/>
      <c r="L469" s="30"/>
      <c r="M469" s="30"/>
      <c r="O469" s="32"/>
      <c r="P469" s="32"/>
      <c r="S469" s="32"/>
    </row>
    <row r="470">
      <c r="D470" s="29"/>
      <c r="F470" s="31"/>
      <c r="G470" s="30"/>
      <c r="H470" s="30"/>
      <c r="J470" s="29"/>
      <c r="L470" s="30"/>
      <c r="M470" s="30"/>
      <c r="O470" s="32"/>
      <c r="P470" s="32"/>
      <c r="S470" s="32"/>
    </row>
    <row r="471">
      <c r="D471" s="29"/>
      <c r="F471" s="31"/>
      <c r="G471" s="30"/>
      <c r="H471" s="30"/>
      <c r="J471" s="29"/>
      <c r="L471" s="30"/>
      <c r="M471" s="30"/>
      <c r="O471" s="32"/>
      <c r="P471" s="32"/>
      <c r="S471" s="32"/>
    </row>
    <row r="472">
      <c r="D472" s="29"/>
      <c r="F472" s="31"/>
      <c r="G472" s="30"/>
      <c r="H472" s="30"/>
      <c r="J472" s="29"/>
      <c r="L472" s="30"/>
      <c r="M472" s="30"/>
      <c r="O472" s="32"/>
      <c r="P472" s="32"/>
      <c r="S472" s="32"/>
    </row>
    <row r="473">
      <c r="D473" s="29"/>
      <c r="F473" s="31"/>
      <c r="G473" s="30"/>
      <c r="H473" s="30"/>
      <c r="J473" s="29"/>
      <c r="L473" s="30"/>
      <c r="M473" s="30"/>
      <c r="O473" s="32"/>
      <c r="P473" s="32"/>
      <c r="S473" s="32"/>
    </row>
    <row r="474">
      <c r="D474" s="29"/>
      <c r="F474" s="31"/>
      <c r="G474" s="30"/>
      <c r="H474" s="30"/>
      <c r="J474" s="29"/>
      <c r="L474" s="30"/>
      <c r="M474" s="30"/>
      <c r="O474" s="32"/>
      <c r="P474" s="32"/>
      <c r="S474" s="32"/>
    </row>
    <row r="475">
      <c r="D475" s="29"/>
      <c r="F475" s="31"/>
      <c r="G475" s="30"/>
      <c r="H475" s="30"/>
      <c r="J475" s="29"/>
      <c r="L475" s="30"/>
      <c r="M475" s="30"/>
      <c r="O475" s="32"/>
      <c r="P475" s="32"/>
      <c r="S475" s="32"/>
    </row>
    <row r="476">
      <c r="D476" s="29"/>
      <c r="F476" s="31"/>
      <c r="G476" s="30"/>
      <c r="H476" s="30"/>
      <c r="J476" s="29"/>
      <c r="L476" s="30"/>
      <c r="M476" s="30"/>
      <c r="O476" s="32"/>
      <c r="P476" s="32"/>
      <c r="S476" s="32"/>
    </row>
    <row r="477">
      <c r="D477" s="29"/>
      <c r="F477" s="31"/>
      <c r="G477" s="30"/>
      <c r="H477" s="30"/>
      <c r="J477" s="29"/>
      <c r="L477" s="30"/>
      <c r="M477" s="30"/>
      <c r="O477" s="32"/>
      <c r="P477" s="32"/>
      <c r="S477" s="32"/>
    </row>
    <row r="478">
      <c r="D478" s="29"/>
      <c r="F478" s="31"/>
      <c r="G478" s="30"/>
      <c r="H478" s="30"/>
      <c r="J478" s="29"/>
      <c r="L478" s="30"/>
      <c r="M478" s="30"/>
      <c r="O478" s="32"/>
      <c r="P478" s="32"/>
      <c r="S478" s="32"/>
    </row>
    <row r="479">
      <c r="D479" s="29"/>
      <c r="F479" s="31"/>
      <c r="G479" s="30"/>
      <c r="H479" s="30"/>
      <c r="J479" s="29"/>
      <c r="L479" s="30"/>
      <c r="M479" s="30"/>
      <c r="O479" s="32"/>
      <c r="P479" s="32"/>
      <c r="S479" s="32"/>
    </row>
    <row r="480">
      <c r="D480" s="29"/>
      <c r="F480" s="31"/>
      <c r="G480" s="30"/>
      <c r="H480" s="30"/>
      <c r="J480" s="29"/>
      <c r="L480" s="30"/>
      <c r="M480" s="30"/>
      <c r="O480" s="32"/>
      <c r="P480" s="32"/>
      <c r="S480" s="32"/>
    </row>
    <row r="481">
      <c r="D481" s="29"/>
      <c r="F481" s="31"/>
      <c r="G481" s="30"/>
      <c r="H481" s="30"/>
      <c r="J481" s="29"/>
      <c r="L481" s="30"/>
      <c r="M481" s="30"/>
      <c r="O481" s="32"/>
      <c r="P481" s="32"/>
      <c r="S481" s="32"/>
    </row>
    <row r="482">
      <c r="D482" s="29"/>
      <c r="F482" s="31"/>
      <c r="G482" s="30"/>
      <c r="H482" s="30"/>
      <c r="J482" s="29"/>
      <c r="L482" s="30"/>
      <c r="M482" s="30"/>
      <c r="O482" s="32"/>
      <c r="P482" s="32"/>
      <c r="S482" s="32"/>
    </row>
    <row r="483">
      <c r="D483" s="29"/>
      <c r="F483" s="31"/>
      <c r="G483" s="30"/>
      <c r="H483" s="30"/>
      <c r="J483" s="29"/>
      <c r="L483" s="30"/>
      <c r="M483" s="30"/>
      <c r="O483" s="32"/>
      <c r="P483" s="32"/>
      <c r="S483" s="32"/>
    </row>
    <row r="484">
      <c r="D484" s="29"/>
      <c r="F484" s="31"/>
      <c r="G484" s="30"/>
      <c r="H484" s="30"/>
      <c r="J484" s="29"/>
      <c r="L484" s="30"/>
      <c r="M484" s="30"/>
      <c r="O484" s="32"/>
      <c r="P484" s="32"/>
      <c r="S484" s="32"/>
    </row>
    <row r="485">
      <c r="D485" s="29"/>
      <c r="F485" s="31"/>
      <c r="G485" s="30"/>
      <c r="H485" s="30"/>
      <c r="J485" s="29"/>
      <c r="L485" s="30"/>
      <c r="M485" s="30"/>
      <c r="O485" s="32"/>
      <c r="P485" s="32"/>
      <c r="S485" s="32"/>
    </row>
    <row r="486">
      <c r="D486" s="29"/>
      <c r="F486" s="31"/>
      <c r="G486" s="30"/>
      <c r="H486" s="30"/>
      <c r="J486" s="29"/>
      <c r="L486" s="30"/>
      <c r="M486" s="30"/>
      <c r="O486" s="32"/>
      <c r="P486" s="32"/>
      <c r="S486" s="32"/>
    </row>
    <row r="487">
      <c r="D487" s="29"/>
      <c r="F487" s="31"/>
      <c r="G487" s="30"/>
      <c r="H487" s="30"/>
      <c r="J487" s="29"/>
      <c r="L487" s="30"/>
      <c r="M487" s="30"/>
      <c r="O487" s="32"/>
      <c r="P487" s="32"/>
      <c r="S487" s="32"/>
    </row>
    <row r="488">
      <c r="D488" s="29"/>
      <c r="F488" s="31"/>
      <c r="G488" s="30"/>
      <c r="H488" s="30"/>
      <c r="J488" s="29"/>
      <c r="L488" s="30"/>
      <c r="M488" s="30"/>
      <c r="O488" s="32"/>
      <c r="P488" s="32"/>
      <c r="S488" s="32"/>
    </row>
    <row r="489">
      <c r="D489" s="29"/>
      <c r="F489" s="31"/>
      <c r="G489" s="30"/>
      <c r="H489" s="30"/>
      <c r="J489" s="29"/>
      <c r="L489" s="30"/>
      <c r="M489" s="30"/>
      <c r="O489" s="32"/>
      <c r="P489" s="32"/>
      <c r="S489" s="32"/>
    </row>
    <row r="490">
      <c r="D490" s="29"/>
      <c r="F490" s="31"/>
      <c r="G490" s="30"/>
      <c r="H490" s="30"/>
      <c r="J490" s="29"/>
      <c r="L490" s="30"/>
      <c r="M490" s="30"/>
      <c r="O490" s="32"/>
      <c r="P490" s="32"/>
      <c r="S490" s="32"/>
    </row>
    <row r="491">
      <c r="D491" s="29"/>
      <c r="F491" s="31"/>
      <c r="G491" s="30"/>
      <c r="H491" s="30"/>
      <c r="J491" s="29"/>
      <c r="L491" s="30"/>
      <c r="M491" s="30"/>
      <c r="O491" s="32"/>
      <c r="P491" s="32"/>
      <c r="S491" s="32"/>
    </row>
    <row r="492">
      <c r="D492" s="29"/>
      <c r="F492" s="31"/>
      <c r="G492" s="30"/>
      <c r="H492" s="30"/>
      <c r="J492" s="29"/>
      <c r="L492" s="30"/>
      <c r="M492" s="30"/>
      <c r="O492" s="32"/>
      <c r="P492" s="32"/>
      <c r="S492" s="32"/>
    </row>
    <row r="493">
      <c r="D493" s="29"/>
      <c r="F493" s="31"/>
      <c r="G493" s="30"/>
      <c r="H493" s="30"/>
      <c r="J493" s="29"/>
      <c r="L493" s="30"/>
      <c r="M493" s="30"/>
      <c r="O493" s="32"/>
      <c r="P493" s="32"/>
      <c r="S493" s="32"/>
    </row>
    <row r="494">
      <c r="D494" s="29"/>
      <c r="F494" s="31"/>
      <c r="G494" s="30"/>
      <c r="H494" s="30"/>
      <c r="J494" s="29"/>
      <c r="L494" s="30"/>
      <c r="M494" s="30"/>
      <c r="O494" s="32"/>
      <c r="P494" s="32"/>
      <c r="S494" s="32"/>
    </row>
    <row r="495">
      <c r="D495" s="29"/>
      <c r="F495" s="31"/>
      <c r="G495" s="30"/>
      <c r="H495" s="30"/>
      <c r="J495" s="29"/>
      <c r="L495" s="30"/>
      <c r="M495" s="30"/>
      <c r="O495" s="32"/>
      <c r="P495" s="32"/>
      <c r="S495" s="32"/>
    </row>
    <row r="496">
      <c r="D496" s="29"/>
      <c r="F496" s="31"/>
      <c r="G496" s="30"/>
      <c r="H496" s="30"/>
      <c r="J496" s="29"/>
      <c r="L496" s="30"/>
      <c r="M496" s="30"/>
      <c r="O496" s="32"/>
      <c r="P496" s="32"/>
      <c r="S496" s="32"/>
    </row>
    <row r="497">
      <c r="D497" s="29"/>
      <c r="F497" s="31"/>
      <c r="G497" s="30"/>
      <c r="H497" s="30"/>
      <c r="J497" s="29"/>
      <c r="L497" s="30"/>
      <c r="M497" s="30"/>
      <c r="O497" s="32"/>
      <c r="P497" s="32"/>
      <c r="S497" s="32"/>
    </row>
    <row r="498">
      <c r="D498" s="29"/>
      <c r="F498" s="31"/>
      <c r="G498" s="30"/>
      <c r="H498" s="30"/>
      <c r="J498" s="29"/>
      <c r="L498" s="30"/>
      <c r="M498" s="30"/>
      <c r="O498" s="32"/>
      <c r="P498" s="32"/>
      <c r="S498" s="32"/>
    </row>
    <row r="499">
      <c r="D499" s="29"/>
      <c r="F499" s="31"/>
      <c r="G499" s="30"/>
      <c r="H499" s="30"/>
      <c r="J499" s="29"/>
      <c r="L499" s="30"/>
      <c r="M499" s="30"/>
      <c r="O499" s="32"/>
      <c r="P499" s="32"/>
      <c r="S499" s="32"/>
    </row>
    <row r="500">
      <c r="D500" s="29"/>
      <c r="F500" s="31"/>
      <c r="G500" s="30"/>
      <c r="H500" s="30"/>
      <c r="J500" s="29"/>
      <c r="L500" s="30"/>
      <c r="M500" s="30"/>
      <c r="O500" s="32"/>
      <c r="P500" s="32"/>
      <c r="S500" s="32"/>
    </row>
    <row r="501">
      <c r="D501" s="29"/>
      <c r="F501" s="31"/>
      <c r="G501" s="30"/>
      <c r="H501" s="30"/>
      <c r="J501" s="29"/>
      <c r="L501" s="30"/>
      <c r="M501" s="30"/>
      <c r="O501" s="32"/>
      <c r="P501" s="32"/>
      <c r="S501" s="32"/>
    </row>
    <row r="502">
      <c r="D502" s="29"/>
      <c r="F502" s="31"/>
      <c r="G502" s="30"/>
      <c r="H502" s="30"/>
      <c r="J502" s="29"/>
      <c r="L502" s="30"/>
      <c r="M502" s="30"/>
      <c r="O502" s="32"/>
      <c r="P502" s="32"/>
      <c r="S502" s="32"/>
    </row>
    <row r="503">
      <c r="D503" s="29"/>
      <c r="F503" s="31"/>
      <c r="G503" s="30"/>
      <c r="H503" s="30"/>
      <c r="J503" s="29"/>
      <c r="L503" s="30"/>
      <c r="M503" s="30"/>
      <c r="O503" s="32"/>
      <c r="P503" s="32"/>
      <c r="S503" s="32"/>
    </row>
    <row r="504">
      <c r="D504" s="29"/>
      <c r="F504" s="31"/>
      <c r="G504" s="30"/>
      <c r="H504" s="30"/>
      <c r="J504" s="29"/>
      <c r="L504" s="30"/>
      <c r="M504" s="30"/>
      <c r="O504" s="32"/>
      <c r="P504" s="32"/>
      <c r="S504" s="32"/>
    </row>
    <row r="505">
      <c r="D505" s="29"/>
      <c r="F505" s="31"/>
      <c r="G505" s="30"/>
      <c r="H505" s="30"/>
      <c r="J505" s="29"/>
      <c r="L505" s="30"/>
      <c r="M505" s="30"/>
      <c r="O505" s="32"/>
      <c r="P505" s="32"/>
      <c r="S505" s="32"/>
    </row>
    <row r="506">
      <c r="D506" s="29"/>
      <c r="F506" s="31"/>
      <c r="G506" s="30"/>
      <c r="H506" s="30"/>
      <c r="J506" s="29"/>
      <c r="L506" s="30"/>
      <c r="M506" s="30"/>
      <c r="O506" s="32"/>
      <c r="P506" s="32"/>
      <c r="S506" s="32"/>
    </row>
    <row r="507">
      <c r="D507" s="29"/>
      <c r="F507" s="31"/>
      <c r="G507" s="30"/>
      <c r="H507" s="30"/>
      <c r="J507" s="29"/>
      <c r="L507" s="30"/>
      <c r="M507" s="30"/>
      <c r="O507" s="32"/>
      <c r="P507" s="32"/>
      <c r="S507" s="32"/>
    </row>
    <row r="508">
      <c r="D508" s="29"/>
      <c r="F508" s="31"/>
      <c r="G508" s="30"/>
      <c r="H508" s="30"/>
      <c r="J508" s="29"/>
      <c r="L508" s="30"/>
      <c r="M508" s="30"/>
      <c r="O508" s="32"/>
      <c r="P508" s="32"/>
      <c r="S508" s="32"/>
    </row>
    <row r="509">
      <c r="D509" s="29"/>
      <c r="F509" s="31"/>
      <c r="G509" s="30"/>
      <c r="H509" s="30"/>
      <c r="J509" s="29"/>
      <c r="L509" s="30"/>
      <c r="M509" s="30"/>
      <c r="O509" s="32"/>
      <c r="P509" s="32"/>
      <c r="S509" s="32"/>
    </row>
    <row r="510">
      <c r="D510" s="29"/>
      <c r="F510" s="31"/>
      <c r="G510" s="30"/>
      <c r="H510" s="30"/>
      <c r="J510" s="29"/>
      <c r="L510" s="30"/>
      <c r="M510" s="30"/>
      <c r="O510" s="32"/>
      <c r="P510" s="32"/>
      <c r="S510" s="32"/>
    </row>
    <row r="511">
      <c r="D511" s="29"/>
      <c r="F511" s="31"/>
      <c r="G511" s="30"/>
      <c r="H511" s="30"/>
      <c r="J511" s="29"/>
      <c r="L511" s="30"/>
      <c r="M511" s="30"/>
      <c r="O511" s="32"/>
      <c r="P511" s="32"/>
      <c r="S511" s="32"/>
    </row>
    <row r="512">
      <c r="D512" s="29"/>
      <c r="F512" s="31"/>
      <c r="G512" s="30"/>
      <c r="H512" s="30"/>
      <c r="J512" s="29"/>
      <c r="L512" s="30"/>
      <c r="M512" s="30"/>
      <c r="O512" s="32"/>
      <c r="P512" s="32"/>
      <c r="S512" s="32"/>
    </row>
    <row r="513">
      <c r="D513" s="29"/>
      <c r="F513" s="31"/>
      <c r="G513" s="30"/>
      <c r="H513" s="30"/>
      <c r="J513" s="29"/>
      <c r="L513" s="30"/>
      <c r="M513" s="30"/>
      <c r="O513" s="32"/>
      <c r="P513" s="32"/>
      <c r="S513" s="32"/>
    </row>
    <row r="514">
      <c r="D514" s="29"/>
      <c r="F514" s="31"/>
      <c r="G514" s="30"/>
      <c r="H514" s="30"/>
      <c r="J514" s="29"/>
      <c r="L514" s="30"/>
      <c r="M514" s="30"/>
      <c r="O514" s="32"/>
      <c r="P514" s="32"/>
      <c r="S514" s="32"/>
    </row>
    <row r="515">
      <c r="D515" s="29"/>
      <c r="F515" s="31"/>
      <c r="G515" s="30"/>
      <c r="H515" s="30"/>
      <c r="J515" s="29"/>
      <c r="L515" s="30"/>
      <c r="M515" s="30"/>
      <c r="O515" s="32"/>
      <c r="P515" s="32"/>
      <c r="S515" s="32"/>
    </row>
    <row r="516">
      <c r="D516" s="29"/>
      <c r="F516" s="31"/>
      <c r="G516" s="30"/>
      <c r="H516" s="30"/>
      <c r="J516" s="29"/>
      <c r="L516" s="30"/>
      <c r="M516" s="30"/>
      <c r="O516" s="32"/>
      <c r="P516" s="32"/>
      <c r="S516" s="32"/>
    </row>
    <row r="517">
      <c r="D517" s="29"/>
      <c r="F517" s="31"/>
      <c r="G517" s="30"/>
      <c r="H517" s="30"/>
      <c r="J517" s="29"/>
      <c r="L517" s="30"/>
      <c r="M517" s="30"/>
      <c r="O517" s="32"/>
      <c r="P517" s="32"/>
      <c r="S517" s="32"/>
    </row>
    <row r="518">
      <c r="D518" s="29"/>
      <c r="F518" s="31"/>
      <c r="G518" s="30"/>
      <c r="H518" s="30"/>
      <c r="J518" s="29"/>
      <c r="L518" s="30"/>
      <c r="M518" s="30"/>
      <c r="O518" s="32"/>
      <c r="P518" s="32"/>
      <c r="S518" s="32"/>
    </row>
    <row r="519">
      <c r="D519" s="29"/>
      <c r="F519" s="31"/>
      <c r="G519" s="30"/>
      <c r="H519" s="30"/>
      <c r="J519" s="29"/>
      <c r="L519" s="30"/>
      <c r="M519" s="30"/>
      <c r="O519" s="32"/>
      <c r="P519" s="32"/>
      <c r="S519" s="32"/>
    </row>
    <row r="520">
      <c r="D520" s="29"/>
      <c r="F520" s="31"/>
      <c r="G520" s="30"/>
      <c r="H520" s="30"/>
      <c r="J520" s="29"/>
      <c r="L520" s="30"/>
      <c r="M520" s="30"/>
      <c r="O520" s="32"/>
      <c r="P520" s="32"/>
      <c r="S520" s="32"/>
    </row>
    <row r="521">
      <c r="D521" s="29"/>
      <c r="F521" s="31"/>
      <c r="G521" s="30"/>
      <c r="H521" s="30"/>
      <c r="J521" s="29"/>
      <c r="L521" s="30"/>
      <c r="M521" s="30"/>
      <c r="O521" s="32"/>
      <c r="P521" s="32"/>
      <c r="S521" s="32"/>
    </row>
    <row r="522">
      <c r="D522" s="29"/>
      <c r="F522" s="31"/>
      <c r="G522" s="30"/>
      <c r="H522" s="30"/>
      <c r="J522" s="29"/>
      <c r="L522" s="30"/>
      <c r="M522" s="30"/>
      <c r="O522" s="32"/>
      <c r="P522" s="32"/>
      <c r="S522" s="32"/>
    </row>
    <row r="523">
      <c r="D523" s="29"/>
      <c r="F523" s="31"/>
      <c r="G523" s="30"/>
      <c r="H523" s="30"/>
      <c r="J523" s="29"/>
      <c r="L523" s="30"/>
      <c r="M523" s="30"/>
      <c r="O523" s="32"/>
      <c r="P523" s="32"/>
      <c r="S523" s="32"/>
    </row>
    <row r="524">
      <c r="D524" s="29"/>
      <c r="F524" s="31"/>
      <c r="G524" s="30"/>
      <c r="H524" s="30"/>
      <c r="J524" s="29"/>
      <c r="L524" s="30"/>
      <c r="M524" s="30"/>
      <c r="O524" s="32"/>
      <c r="P524" s="32"/>
      <c r="S524" s="32"/>
    </row>
    <row r="525">
      <c r="D525" s="29"/>
      <c r="F525" s="31"/>
      <c r="G525" s="30"/>
      <c r="H525" s="30"/>
      <c r="J525" s="29"/>
      <c r="L525" s="30"/>
      <c r="M525" s="30"/>
      <c r="O525" s="32"/>
      <c r="P525" s="32"/>
      <c r="S525" s="32"/>
    </row>
    <row r="526">
      <c r="D526" s="29"/>
      <c r="F526" s="31"/>
      <c r="G526" s="30"/>
      <c r="H526" s="30"/>
      <c r="J526" s="29"/>
      <c r="L526" s="30"/>
      <c r="M526" s="30"/>
      <c r="O526" s="32"/>
      <c r="P526" s="32"/>
      <c r="S526" s="32"/>
    </row>
    <row r="527">
      <c r="D527" s="29"/>
      <c r="F527" s="31"/>
      <c r="G527" s="30"/>
      <c r="H527" s="30"/>
      <c r="J527" s="29"/>
      <c r="L527" s="30"/>
      <c r="M527" s="30"/>
      <c r="O527" s="32"/>
      <c r="P527" s="32"/>
      <c r="S527" s="32"/>
    </row>
    <row r="528">
      <c r="D528" s="29"/>
      <c r="F528" s="31"/>
      <c r="G528" s="30"/>
      <c r="H528" s="30"/>
      <c r="J528" s="29"/>
      <c r="L528" s="30"/>
      <c r="M528" s="30"/>
      <c r="O528" s="32"/>
      <c r="P528" s="32"/>
      <c r="S528" s="32"/>
    </row>
    <row r="529">
      <c r="D529" s="29"/>
      <c r="F529" s="31"/>
      <c r="G529" s="30"/>
      <c r="H529" s="30"/>
      <c r="J529" s="29"/>
      <c r="L529" s="30"/>
      <c r="M529" s="30"/>
      <c r="O529" s="32"/>
      <c r="P529" s="32"/>
      <c r="S529" s="32"/>
    </row>
    <row r="530">
      <c r="D530" s="29"/>
      <c r="F530" s="31"/>
      <c r="G530" s="30"/>
      <c r="H530" s="30"/>
      <c r="J530" s="29"/>
      <c r="L530" s="30"/>
      <c r="M530" s="30"/>
      <c r="O530" s="32"/>
      <c r="P530" s="32"/>
      <c r="S530" s="32"/>
    </row>
    <row r="531">
      <c r="D531" s="29"/>
      <c r="F531" s="31"/>
      <c r="G531" s="30"/>
      <c r="H531" s="30"/>
      <c r="J531" s="29"/>
      <c r="L531" s="30"/>
      <c r="M531" s="30"/>
      <c r="O531" s="32"/>
      <c r="P531" s="32"/>
      <c r="S531" s="32"/>
    </row>
    <row r="532">
      <c r="D532" s="29"/>
      <c r="F532" s="31"/>
      <c r="G532" s="30"/>
      <c r="H532" s="30"/>
      <c r="J532" s="29"/>
      <c r="L532" s="30"/>
      <c r="M532" s="30"/>
      <c r="O532" s="32"/>
      <c r="P532" s="32"/>
      <c r="S532" s="32"/>
    </row>
    <row r="533">
      <c r="D533" s="29"/>
      <c r="F533" s="31"/>
      <c r="G533" s="30"/>
      <c r="H533" s="30"/>
      <c r="J533" s="29"/>
      <c r="L533" s="30"/>
      <c r="M533" s="30"/>
      <c r="O533" s="32"/>
      <c r="P533" s="32"/>
      <c r="S533" s="32"/>
    </row>
    <row r="534">
      <c r="D534" s="29"/>
      <c r="F534" s="31"/>
      <c r="G534" s="30"/>
      <c r="H534" s="30"/>
      <c r="J534" s="29"/>
      <c r="L534" s="30"/>
      <c r="M534" s="30"/>
      <c r="O534" s="32"/>
      <c r="P534" s="32"/>
      <c r="S534" s="32"/>
    </row>
    <row r="535">
      <c r="D535" s="29"/>
      <c r="F535" s="31"/>
      <c r="G535" s="30"/>
      <c r="H535" s="30"/>
      <c r="J535" s="29"/>
      <c r="L535" s="30"/>
      <c r="M535" s="30"/>
      <c r="O535" s="32"/>
      <c r="P535" s="32"/>
      <c r="S535" s="32"/>
    </row>
    <row r="536">
      <c r="D536" s="29"/>
      <c r="F536" s="31"/>
      <c r="G536" s="30"/>
      <c r="H536" s="30"/>
      <c r="J536" s="29"/>
      <c r="L536" s="30"/>
      <c r="M536" s="30"/>
      <c r="O536" s="32"/>
      <c r="P536" s="32"/>
      <c r="S536" s="32"/>
    </row>
    <row r="537">
      <c r="D537" s="29"/>
      <c r="F537" s="31"/>
      <c r="G537" s="30"/>
      <c r="H537" s="30"/>
      <c r="J537" s="29"/>
      <c r="L537" s="30"/>
      <c r="M537" s="30"/>
      <c r="O537" s="32"/>
      <c r="P537" s="32"/>
      <c r="S537" s="32"/>
    </row>
    <row r="538">
      <c r="D538" s="29"/>
      <c r="F538" s="31"/>
      <c r="G538" s="30"/>
      <c r="H538" s="30"/>
      <c r="J538" s="29"/>
      <c r="L538" s="30"/>
      <c r="M538" s="30"/>
      <c r="O538" s="32"/>
      <c r="P538" s="32"/>
      <c r="S538" s="32"/>
    </row>
    <row r="539">
      <c r="D539" s="29"/>
      <c r="F539" s="31"/>
      <c r="G539" s="30"/>
      <c r="H539" s="30"/>
      <c r="J539" s="29"/>
      <c r="L539" s="30"/>
      <c r="M539" s="30"/>
      <c r="O539" s="32"/>
      <c r="P539" s="32"/>
      <c r="S539" s="32"/>
    </row>
    <row r="540">
      <c r="D540" s="29"/>
      <c r="F540" s="31"/>
      <c r="G540" s="30"/>
      <c r="H540" s="30"/>
      <c r="J540" s="29"/>
      <c r="L540" s="30"/>
      <c r="M540" s="30"/>
      <c r="O540" s="32"/>
      <c r="P540" s="32"/>
      <c r="S540" s="32"/>
    </row>
    <row r="541">
      <c r="D541" s="29"/>
      <c r="F541" s="31"/>
      <c r="G541" s="30"/>
      <c r="H541" s="30"/>
      <c r="J541" s="29"/>
      <c r="L541" s="30"/>
      <c r="M541" s="30"/>
      <c r="O541" s="32"/>
      <c r="P541" s="32"/>
      <c r="S541" s="32"/>
    </row>
    <row r="542">
      <c r="D542" s="29"/>
      <c r="F542" s="31"/>
      <c r="G542" s="30"/>
      <c r="H542" s="30"/>
      <c r="J542" s="29"/>
      <c r="L542" s="30"/>
      <c r="M542" s="30"/>
      <c r="O542" s="32"/>
      <c r="P542" s="32"/>
      <c r="S542" s="32"/>
    </row>
    <row r="543">
      <c r="D543" s="29"/>
      <c r="F543" s="31"/>
      <c r="G543" s="30"/>
      <c r="H543" s="30"/>
      <c r="J543" s="29"/>
      <c r="L543" s="30"/>
      <c r="M543" s="30"/>
      <c r="O543" s="32"/>
      <c r="P543" s="32"/>
      <c r="S543" s="32"/>
    </row>
    <row r="544">
      <c r="D544" s="29"/>
      <c r="F544" s="31"/>
      <c r="G544" s="30"/>
      <c r="H544" s="30"/>
      <c r="J544" s="29"/>
      <c r="L544" s="30"/>
      <c r="M544" s="30"/>
      <c r="O544" s="32"/>
      <c r="P544" s="32"/>
      <c r="S544" s="32"/>
    </row>
    <row r="545">
      <c r="D545" s="29"/>
      <c r="F545" s="31"/>
      <c r="G545" s="30"/>
      <c r="H545" s="30"/>
      <c r="J545" s="29"/>
      <c r="L545" s="30"/>
      <c r="M545" s="30"/>
      <c r="O545" s="32"/>
      <c r="P545" s="32"/>
      <c r="S545" s="32"/>
    </row>
    <row r="546">
      <c r="D546" s="29"/>
      <c r="F546" s="31"/>
      <c r="G546" s="30"/>
      <c r="H546" s="30"/>
      <c r="J546" s="29"/>
      <c r="L546" s="30"/>
      <c r="M546" s="30"/>
      <c r="O546" s="32"/>
      <c r="P546" s="32"/>
      <c r="S546" s="32"/>
    </row>
    <row r="547">
      <c r="D547" s="29"/>
      <c r="F547" s="31"/>
      <c r="G547" s="30"/>
      <c r="H547" s="30"/>
      <c r="J547" s="29"/>
      <c r="L547" s="30"/>
      <c r="M547" s="30"/>
      <c r="O547" s="32"/>
      <c r="P547" s="32"/>
      <c r="S547" s="32"/>
    </row>
    <row r="548">
      <c r="D548" s="29"/>
      <c r="F548" s="31"/>
      <c r="G548" s="30"/>
      <c r="H548" s="30"/>
      <c r="J548" s="29"/>
      <c r="L548" s="30"/>
      <c r="M548" s="30"/>
      <c r="O548" s="32"/>
      <c r="P548" s="32"/>
      <c r="S548" s="32"/>
    </row>
    <row r="549">
      <c r="D549" s="29"/>
      <c r="F549" s="31"/>
      <c r="G549" s="30"/>
      <c r="H549" s="30"/>
      <c r="J549" s="29"/>
      <c r="L549" s="30"/>
      <c r="M549" s="30"/>
      <c r="O549" s="32"/>
      <c r="P549" s="32"/>
      <c r="S549" s="32"/>
    </row>
    <row r="550">
      <c r="D550" s="29"/>
      <c r="F550" s="31"/>
      <c r="G550" s="30"/>
      <c r="H550" s="30"/>
      <c r="J550" s="29"/>
      <c r="L550" s="30"/>
      <c r="M550" s="30"/>
      <c r="O550" s="32"/>
      <c r="P550" s="32"/>
      <c r="S550" s="32"/>
    </row>
    <row r="551">
      <c r="D551" s="29"/>
      <c r="F551" s="31"/>
      <c r="G551" s="30"/>
      <c r="H551" s="30"/>
      <c r="J551" s="29"/>
      <c r="L551" s="30"/>
      <c r="M551" s="30"/>
      <c r="O551" s="32"/>
      <c r="P551" s="32"/>
      <c r="S551" s="32"/>
    </row>
    <row r="552">
      <c r="D552" s="29"/>
      <c r="F552" s="31"/>
      <c r="G552" s="30"/>
      <c r="H552" s="30"/>
      <c r="J552" s="29"/>
      <c r="L552" s="30"/>
      <c r="M552" s="30"/>
      <c r="O552" s="32"/>
      <c r="P552" s="32"/>
      <c r="S552" s="32"/>
    </row>
    <row r="553">
      <c r="D553" s="29"/>
      <c r="F553" s="31"/>
      <c r="G553" s="30"/>
      <c r="H553" s="30"/>
      <c r="J553" s="29"/>
      <c r="L553" s="30"/>
      <c r="M553" s="30"/>
      <c r="O553" s="32"/>
      <c r="P553" s="32"/>
      <c r="S553" s="32"/>
    </row>
    <row r="554">
      <c r="D554" s="29"/>
      <c r="F554" s="31"/>
      <c r="G554" s="30"/>
      <c r="H554" s="30"/>
      <c r="J554" s="29"/>
      <c r="L554" s="30"/>
      <c r="M554" s="30"/>
      <c r="O554" s="32"/>
      <c r="P554" s="32"/>
      <c r="S554" s="32"/>
    </row>
    <row r="555">
      <c r="D555" s="29"/>
      <c r="F555" s="31"/>
      <c r="G555" s="30"/>
      <c r="H555" s="30"/>
      <c r="J555" s="29"/>
      <c r="L555" s="30"/>
      <c r="M555" s="30"/>
      <c r="O555" s="32"/>
      <c r="P555" s="32"/>
      <c r="S555" s="32"/>
    </row>
    <row r="556">
      <c r="D556" s="29"/>
      <c r="F556" s="31"/>
      <c r="G556" s="30"/>
      <c r="H556" s="30"/>
      <c r="J556" s="29"/>
      <c r="L556" s="30"/>
      <c r="M556" s="30"/>
      <c r="O556" s="32"/>
      <c r="P556" s="32"/>
      <c r="S556" s="32"/>
    </row>
    <row r="557">
      <c r="D557" s="29"/>
      <c r="F557" s="31"/>
      <c r="G557" s="30"/>
      <c r="H557" s="30"/>
      <c r="J557" s="29"/>
      <c r="L557" s="30"/>
      <c r="M557" s="30"/>
      <c r="O557" s="32"/>
      <c r="P557" s="32"/>
      <c r="S557" s="32"/>
    </row>
    <row r="558">
      <c r="D558" s="29"/>
      <c r="F558" s="31"/>
      <c r="G558" s="30"/>
      <c r="H558" s="30"/>
      <c r="J558" s="29"/>
      <c r="L558" s="30"/>
      <c r="M558" s="30"/>
      <c r="O558" s="32"/>
      <c r="P558" s="32"/>
      <c r="S558" s="32"/>
    </row>
    <row r="559">
      <c r="D559" s="29"/>
      <c r="F559" s="31"/>
      <c r="G559" s="30"/>
      <c r="H559" s="30"/>
      <c r="J559" s="29"/>
      <c r="L559" s="30"/>
      <c r="M559" s="30"/>
      <c r="O559" s="32"/>
      <c r="P559" s="32"/>
      <c r="S559" s="32"/>
    </row>
    <row r="560">
      <c r="D560" s="29"/>
      <c r="F560" s="31"/>
      <c r="G560" s="30"/>
      <c r="H560" s="30"/>
      <c r="J560" s="29"/>
      <c r="L560" s="30"/>
      <c r="M560" s="30"/>
      <c r="O560" s="32"/>
      <c r="P560" s="32"/>
      <c r="S560" s="32"/>
    </row>
    <row r="561">
      <c r="D561" s="29"/>
      <c r="F561" s="31"/>
      <c r="G561" s="30"/>
      <c r="H561" s="30"/>
      <c r="J561" s="29"/>
      <c r="L561" s="30"/>
      <c r="M561" s="30"/>
      <c r="O561" s="32"/>
      <c r="P561" s="32"/>
      <c r="S561" s="32"/>
    </row>
    <row r="562">
      <c r="D562" s="29"/>
      <c r="F562" s="31"/>
      <c r="G562" s="30"/>
      <c r="H562" s="30"/>
      <c r="J562" s="29"/>
      <c r="L562" s="30"/>
      <c r="M562" s="30"/>
      <c r="O562" s="32"/>
      <c r="P562" s="32"/>
      <c r="S562" s="32"/>
    </row>
    <row r="563">
      <c r="D563" s="29"/>
      <c r="F563" s="31"/>
      <c r="G563" s="30"/>
      <c r="H563" s="30"/>
      <c r="J563" s="29"/>
      <c r="L563" s="30"/>
      <c r="M563" s="30"/>
      <c r="O563" s="32"/>
      <c r="P563" s="32"/>
      <c r="S563" s="32"/>
    </row>
    <row r="564">
      <c r="D564" s="29"/>
      <c r="F564" s="31"/>
      <c r="G564" s="30"/>
      <c r="H564" s="30"/>
      <c r="J564" s="29"/>
      <c r="L564" s="30"/>
      <c r="M564" s="30"/>
      <c r="O564" s="32"/>
      <c r="P564" s="32"/>
      <c r="S564" s="32"/>
    </row>
    <row r="565">
      <c r="D565" s="29"/>
      <c r="F565" s="31"/>
      <c r="G565" s="30"/>
      <c r="H565" s="30"/>
      <c r="J565" s="29"/>
      <c r="L565" s="30"/>
      <c r="M565" s="30"/>
      <c r="O565" s="32"/>
      <c r="P565" s="32"/>
      <c r="S565" s="32"/>
    </row>
    <row r="566">
      <c r="D566" s="29"/>
      <c r="F566" s="31"/>
      <c r="G566" s="30"/>
      <c r="H566" s="30"/>
      <c r="J566" s="29"/>
      <c r="L566" s="30"/>
      <c r="M566" s="30"/>
      <c r="O566" s="32"/>
      <c r="P566" s="32"/>
      <c r="S566" s="32"/>
    </row>
    <row r="567">
      <c r="D567" s="29"/>
      <c r="F567" s="31"/>
      <c r="G567" s="30"/>
      <c r="H567" s="30"/>
      <c r="J567" s="29"/>
      <c r="L567" s="30"/>
      <c r="M567" s="30"/>
      <c r="O567" s="32"/>
      <c r="P567" s="32"/>
      <c r="S567" s="32"/>
    </row>
    <row r="568">
      <c r="D568" s="29"/>
      <c r="F568" s="31"/>
      <c r="G568" s="30"/>
      <c r="H568" s="30"/>
      <c r="J568" s="29"/>
      <c r="L568" s="30"/>
      <c r="M568" s="30"/>
      <c r="O568" s="32"/>
      <c r="P568" s="32"/>
      <c r="S568" s="32"/>
    </row>
    <row r="569">
      <c r="D569" s="29"/>
      <c r="F569" s="31"/>
      <c r="G569" s="30"/>
      <c r="H569" s="30"/>
      <c r="J569" s="29"/>
      <c r="L569" s="30"/>
      <c r="M569" s="30"/>
      <c r="O569" s="32"/>
      <c r="P569" s="32"/>
      <c r="S569" s="32"/>
    </row>
    <row r="570">
      <c r="D570" s="29"/>
      <c r="F570" s="31"/>
      <c r="G570" s="30"/>
      <c r="H570" s="30"/>
      <c r="J570" s="29"/>
      <c r="L570" s="30"/>
      <c r="M570" s="30"/>
      <c r="O570" s="32"/>
      <c r="P570" s="32"/>
      <c r="S570" s="32"/>
    </row>
    <row r="571">
      <c r="D571" s="29"/>
      <c r="F571" s="31"/>
      <c r="G571" s="30"/>
      <c r="H571" s="30"/>
      <c r="J571" s="29"/>
      <c r="L571" s="30"/>
      <c r="M571" s="30"/>
      <c r="O571" s="32"/>
      <c r="P571" s="32"/>
      <c r="S571" s="32"/>
    </row>
    <row r="572">
      <c r="D572" s="29"/>
      <c r="F572" s="31"/>
      <c r="G572" s="30"/>
      <c r="H572" s="30"/>
      <c r="J572" s="29"/>
      <c r="L572" s="30"/>
      <c r="M572" s="30"/>
      <c r="O572" s="32"/>
      <c r="P572" s="32"/>
      <c r="S572" s="32"/>
    </row>
    <row r="573">
      <c r="D573" s="29"/>
      <c r="F573" s="31"/>
      <c r="G573" s="30"/>
      <c r="H573" s="30"/>
      <c r="J573" s="29"/>
      <c r="L573" s="30"/>
      <c r="M573" s="30"/>
      <c r="O573" s="32"/>
      <c r="P573" s="32"/>
      <c r="S573" s="32"/>
    </row>
    <row r="574">
      <c r="D574" s="29"/>
      <c r="F574" s="31"/>
      <c r="G574" s="30"/>
      <c r="H574" s="30"/>
      <c r="J574" s="29"/>
      <c r="L574" s="30"/>
      <c r="M574" s="30"/>
      <c r="O574" s="32"/>
      <c r="P574" s="32"/>
      <c r="S574" s="32"/>
    </row>
    <row r="575">
      <c r="D575" s="29"/>
      <c r="F575" s="31"/>
      <c r="G575" s="30"/>
      <c r="H575" s="30"/>
      <c r="J575" s="29"/>
      <c r="L575" s="30"/>
      <c r="M575" s="30"/>
      <c r="O575" s="32"/>
      <c r="P575" s="32"/>
      <c r="S575" s="32"/>
    </row>
    <row r="576">
      <c r="D576" s="29"/>
      <c r="F576" s="31"/>
      <c r="G576" s="30"/>
      <c r="H576" s="30"/>
      <c r="J576" s="29"/>
      <c r="L576" s="30"/>
      <c r="M576" s="30"/>
      <c r="O576" s="32"/>
      <c r="P576" s="32"/>
      <c r="S576" s="32"/>
    </row>
    <row r="577">
      <c r="D577" s="29"/>
      <c r="F577" s="31"/>
      <c r="G577" s="30"/>
      <c r="H577" s="30"/>
      <c r="J577" s="29"/>
      <c r="L577" s="30"/>
      <c r="M577" s="30"/>
      <c r="O577" s="32"/>
      <c r="P577" s="32"/>
      <c r="S577" s="32"/>
    </row>
    <row r="578">
      <c r="D578" s="29"/>
      <c r="F578" s="31"/>
      <c r="G578" s="30"/>
      <c r="H578" s="30"/>
      <c r="J578" s="29"/>
      <c r="L578" s="30"/>
      <c r="M578" s="30"/>
      <c r="O578" s="32"/>
      <c r="P578" s="32"/>
      <c r="S578" s="32"/>
    </row>
    <row r="579">
      <c r="D579" s="29"/>
      <c r="F579" s="31"/>
      <c r="G579" s="30"/>
      <c r="H579" s="30"/>
      <c r="J579" s="29"/>
      <c r="L579" s="30"/>
      <c r="M579" s="30"/>
      <c r="O579" s="32"/>
      <c r="P579" s="32"/>
      <c r="S579" s="32"/>
    </row>
    <row r="580">
      <c r="D580" s="29"/>
      <c r="F580" s="31"/>
      <c r="G580" s="30"/>
      <c r="H580" s="30"/>
      <c r="J580" s="29"/>
      <c r="L580" s="30"/>
      <c r="M580" s="30"/>
      <c r="O580" s="32"/>
      <c r="P580" s="32"/>
      <c r="S580" s="32"/>
    </row>
    <row r="581">
      <c r="D581" s="29"/>
      <c r="F581" s="31"/>
      <c r="G581" s="30"/>
      <c r="H581" s="30"/>
      <c r="J581" s="29"/>
      <c r="L581" s="30"/>
      <c r="M581" s="30"/>
      <c r="O581" s="32"/>
      <c r="P581" s="32"/>
      <c r="S581" s="32"/>
    </row>
    <row r="582">
      <c r="D582" s="29"/>
      <c r="F582" s="31"/>
      <c r="G582" s="30"/>
      <c r="H582" s="30"/>
      <c r="J582" s="29"/>
      <c r="L582" s="30"/>
      <c r="M582" s="30"/>
      <c r="O582" s="32"/>
      <c r="P582" s="32"/>
      <c r="S582" s="32"/>
    </row>
    <row r="583">
      <c r="D583" s="29"/>
      <c r="F583" s="31"/>
      <c r="G583" s="30"/>
      <c r="H583" s="30"/>
      <c r="J583" s="29"/>
      <c r="L583" s="30"/>
      <c r="M583" s="30"/>
      <c r="O583" s="32"/>
      <c r="P583" s="32"/>
      <c r="S583" s="32"/>
    </row>
    <row r="584">
      <c r="D584" s="29"/>
      <c r="F584" s="31"/>
      <c r="G584" s="30"/>
      <c r="H584" s="30"/>
      <c r="J584" s="29"/>
      <c r="L584" s="30"/>
      <c r="M584" s="30"/>
      <c r="O584" s="32"/>
      <c r="P584" s="32"/>
      <c r="S584" s="32"/>
    </row>
    <row r="585">
      <c r="D585" s="29"/>
      <c r="F585" s="31"/>
      <c r="G585" s="30"/>
      <c r="H585" s="30"/>
      <c r="J585" s="29"/>
      <c r="L585" s="30"/>
      <c r="M585" s="30"/>
      <c r="O585" s="32"/>
      <c r="P585" s="32"/>
      <c r="S585" s="32"/>
    </row>
    <row r="586">
      <c r="D586" s="29"/>
      <c r="F586" s="31"/>
      <c r="G586" s="30"/>
      <c r="H586" s="30"/>
      <c r="J586" s="29"/>
      <c r="L586" s="30"/>
      <c r="M586" s="30"/>
      <c r="O586" s="32"/>
      <c r="P586" s="32"/>
      <c r="S586" s="32"/>
    </row>
    <row r="587">
      <c r="D587" s="29"/>
      <c r="F587" s="31"/>
      <c r="G587" s="30"/>
      <c r="H587" s="30"/>
      <c r="J587" s="29"/>
      <c r="L587" s="30"/>
      <c r="M587" s="30"/>
      <c r="O587" s="32"/>
      <c r="P587" s="32"/>
      <c r="S587" s="32"/>
    </row>
    <row r="588">
      <c r="D588" s="29"/>
      <c r="F588" s="31"/>
      <c r="G588" s="30"/>
      <c r="H588" s="30"/>
      <c r="J588" s="29"/>
      <c r="L588" s="30"/>
      <c r="M588" s="30"/>
      <c r="O588" s="32"/>
      <c r="P588" s="32"/>
      <c r="S588" s="32"/>
    </row>
    <row r="589">
      <c r="D589" s="29"/>
      <c r="F589" s="31"/>
      <c r="G589" s="30"/>
      <c r="H589" s="30"/>
      <c r="J589" s="29"/>
      <c r="L589" s="30"/>
      <c r="M589" s="30"/>
      <c r="O589" s="32"/>
      <c r="P589" s="32"/>
      <c r="S589" s="32"/>
    </row>
    <row r="590">
      <c r="D590" s="29"/>
      <c r="F590" s="31"/>
      <c r="G590" s="30"/>
      <c r="H590" s="30"/>
      <c r="J590" s="29"/>
      <c r="L590" s="30"/>
      <c r="M590" s="30"/>
      <c r="O590" s="32"/>
      <c r="P590" s="32"/>
      <c r="S590" s="32"/>
    </row>
    <row r="591">
      <c r="D591" s="29"/>
      <c r="F591" s="31"/>
      <c r="G591" s="30"/>
      <c r="H591" s="30"/>
      <c r="J591" s="29"/>
      <c r="L591" s="30"/>
      <c r="M591" s="30"/>
      <c r="O591" s="32"/>
      <c r="P591" s="32"/>
      <c r="S591" s="32"/>
    </row>
    <row r="592">
      <c r="D592" s="29"/>
      <c r="F592" s="31"/>
      <c r="G592" s="30"/>
      <c r="H592" s="30"/>
      <c r="J592" s="29"/>
      <c r="L592" s="30"/>
      <c r="M592" s="30"/>
      <c r="O592" s="32"/>
      <c r="P592" s="32"/>
      <c r="S592" s="32"/>
    </row>
    <row r="593">
      <c r="D593" s="29"/>
      <c r="F593" s="31"/>
      <c r="G593" s="30"/>
      <c r="H593" s="30"/>
      <c r="J593" s="29"/>
      <c r="L593" s="30"/>
      <c r="M593" s="30"/>
      <c r="O593" s="32"/>
      <c r="P593" s="32"/>
      <c r="S593" s="32"/>
    </row>
    <row r="594">
      <c r="D594" s="29"/>
      <c r="F594" s="31"/>
      <c r="G594" s="30"/>
      <c r="H594" s="30"/>
      <c r="J594" s="29"/>
      <c r="L594" s="30"/>
      <c r="M594" s="30"/>
      <c r="O594" s="32"/>
      <c r="P594" s="32"/>
      <c r="S594" s="32"/>
    </row>
    <row r="595">
      <c r="D595" s="29"/>
      <c r="F595" s="31"/>
      <c r="G595" s="30"/>
      <c r="H595" s="30"/>
      <c r="J595" s="29"/>
      <c r="L595" s="30"/>
      <c r="M595" s="30"/>
      <c r="O595" s="32"/>
      <c r="P595" s="32"/>
      <c r="S595" s="32"/>
    </row>
    <row r="596">
      <c r="D596" s="29"/>
      <c r="F596" s="31"/>
      <c r="G596" s="30"/>
      <c r="H596" s="30"/>
      <c r="J596" s="29"/>
      <c r="L596" s="30"/>
      <c r="M596" s="30"/>
      <c r="O596" s="32"/>
      <c r="P596" s="32"/>
      <c r="S596" s="32"/>
    </row>
    <row r="597">
      <c r="D597" s="29"/>
      <c r="F597" s="31"/>
      <c r="G597" s="30"/>
      <c r="H597" s="30"/>
      <c r="J597" s="29"/>
      <c r="L597" s="30"/>
      <c r="M597" s="30"/>
      <c r="O597" s="32"/>
      <c r="P597" s="32"/>
      <c r="S597" s="32"/>
    </row>
    <row r="598">
      <c r="D598" s="29"/>
      <c r="F598" s="31"/>
      <c r="G598" s="30"/>
      <c r="H598" s="30"/>
      <c r="J598" s="29"/>
      <c r="L598" s="30"/>
      <c r="M598" s="30"/>
      <c r="O598" s="32"/>
      <c r="P598" s="32"/>
      <c r="S598" s="32"/>
    </row>
    <row r="599">
      <c r="D599" s="29"/>
      <c r="F599" s="31"/>
      <c r="G599" s="30"/>
      <c r="H599" s="30"/>
      <c r="J599" s="29"/>
      <c r="L599" s="30"/>
      <c r="M599" s="30"/>
      <c r="O599" s="32"/>
      <c r="P599" s="32"/>
      <c r="S599" s="32"/>
    </row>
    <row r="600">
      <c r="D600" s="29"/>
      <c r="F600" s="31"/>
      <c r="G600" s="30"/>
      <c r="H600" s="30"/>
      <c r="J600" s="29"/>
      <c r="L600" s="30"/>
      <c r="M600" s="30"/>
      <c r="O600" s="32"/>
      <c r="P600" s="32"/>
      <c r="S600" s="32"/>
    </row>
    <row r="601">
      <c r="D601" s="29"/>
      <c r="F601" s="31"/>
      <c r="G601" s="30"/>
      <c r="H601" s="30"/>
      <c r="J601" s="29"/>
      <c r="L601" s="30"/>
      <c r="M601" s="30"/>
      <c r="O601" s="32"/>
      <c r="P601" s="32"/>
      <c r="S601" s="32"/>
    </row>
    <row r="602">
      <c r="D602" s="29"/>
      <c r="F602" s="31"/>
      <c r="G602" s="30"/>
      <c r="H602" s="30"/>
      <c r="J602" s="29"/>
      <c r="L602" s="30"/>
      <c r="M602" s="30"/>
      <c r="O602" s="32"/>
      <c r="P602" s="32"/>
      <c r="S602" s="32"/>
    </row>
    <row r="603">
      <c r="D603" s="29"/>
      <c r="F603" s="31"/>
      <c r="G603" s="30"/>
      <c r="H603" s="30"/>
      <c r="J603" s="29"/>
      <c r="L603" s="30"/>
      <c r="M603" s="30"/>
      <c r="O603" s="32"/>
      <c r="P603" s="32"/>
      <c r="S603" s="32"/>
    </row>
    <row r="604">
      <c r="D604" s="29"/>
      <c r="F604" s="31"/>
      <c r="G604" s="30"/>
      <c r="H604" s="30"/>
      <c r="J604" s="29"/>
      <c r="L604" s="30"/>
      <c r="M604" s="30"/>
      <c r="O604" s="32"/>
      <c r="P604" s="32"/>
      <c r="S604" s="32"/>
    </row>
    <row r="605">
      <c r="D605" s="29"/>
      <c r="F605" s="31"/>
      <c r="G605" s="30"/>
      <c r="H605" s="30"/>
      <c r="J605" s="29"/>
      <c r="L605" s="30"/>
      <c r="M605" s="30"/>
      <c r="O605" s="32"/>
      <c r="P605" s="32"/>
      <c r="S605" s="32"/>
    </row>
    <row r="606">
      <c r="D606" s="29"/>
      <c r="F606" s="31"/>
      <c r="G606" s="30"/>
      <c r="H606" s="30"/>
      <c r="J606" s="29"/>
      <c r="L606" s="30"/>
      <c r="M606" s="30"/>
      <c r="O606" s="32"/>
      <c r="P606" s="32"/>
      <c r="S606" s="32"/>
    </row>
    <row r="607">
      <c r="D607" s="29"/>
      <c r="F607" s="31"/>
      <c r="G607" s="30"/>
      <c r="H607" s="30"/>
      <c r="J607" s="29"/>
      <c r="L607" s="30"/>
      <c r="M607" s="30"/>
      <c r="O607" s="32"/>
      <c r="P607" s="32"/>
      <c r="S607" s="32"/>
    </row>
    <row r="608">
      <c r="D608" s="29"/>
      <c r="F608" s="31"/>
      <c r="G608" s="30"/>
      <c r="H608" s="30"/>
      <c r="J608" s="29"/>
      <c r="L608" s="30"/>
      <c r="M608" s="30"/>
      <c r="O608" s="32"/>
      <c r="P608" s="32"/>
      <c r="S608" s="32"/>
    </row>
    <row r="609">
      <c r="D609" s="29"/>
      <c r="F609" s="31"/>
      <c r="G609" s="30"/>
      <c r="H609" s="30"/>
      <c r="J609" s="29"/>
      <c r="L609" s="30"/>
      <c r="M609" s="30"/>
      <c r="O609" s="32"/>
      <c r="P609" s="32"/>
      <c r="S609" s="32"/>
    </row>
    <row r="610">
      <c r="D610" s="29"/>
      <c r="F610" s="31"/>
      <c r="G610" s="30"/>
      <c r="H610" s="30"/>
      <c r="J610" s="29"/>
      <c r="L610" s="30"/>
      <c r="M610" s="30"/>
      <c r="O610" s="32"/>
      <c r="P610" s="32"/>
      <c r="S610" s="32"/>
    </row>
    <row r="611">
      <c r="D611" s="29"/>
      <c r="F611" s="31"/>
      <c r="G611" s="30"/>
      <c r="H611" s="30"/>
      <c r="J611" s="29"/>
      <c r="L611" s="30"/>
      <c r="M611" s="30"/>
      <c r="O611" s="32"/>
      <c r="P611" s="32"/>
      <c r="S611" s="32"/>
    </row>
    <row r="612">
      <c r="D612" s="29"/>
      <c r="F612" s="31"/>
      <c r="G612" s="30"/>
      <c r="H612" s="30"/>
      <c r="J612" s="29"/>
      <c r="L612" s="30"/>
      <c r="M612" s="30"/>
      <c r="O612" s="32"/>
      <c r="P612" s="32"/>
      <c r="S612" s="32"/>
    </row>
    <row r="613">
      <c r="D613" s="29"/>
      <c r="F613" s="31"/>
      <c r="G613" s="30"/>
      <c r="H613" s="30"/>
      <c r="J613" s="29"/>
      <c r="L613" s="30"/>
      <c r="M613" s="30"/>
      <c r="O613" s="32"/>
      <c r="P613" s="32"/>
      <c r="S613" s="32"/>
    </row>
    <row r="614">
      <c r="D614" s="29"/>
      <c r="F614" s="31"/>
      <c r="G614" s="30"/>
      <c r="H614" s="30"/>
      <c r="J614" s="29"/>
      <c r="L614" s="30"/>
      <c r="M614" s="30"/>
      <c r="O614" s="32"/>
      <c r="P614" s="32"/>
      <c r="S614" s="32"/>
    </row>
    <row r="615">
      <c r="D615" s="29"/>
      <c r="F615" s="31"/>
      <c r="G615" s="30"/>
      <c r="H615" s="30"/>
      <c r="J615" s="29"/>
      <c r="L615" s="30"/>
      <c r="M615" s="30"/>
      <c r="O615" s="32"/>
      <c r="P615" s="32"/>
      <c r="S615" s="32"/>
    </row>
    <row r="616">
      <c r="D616" s="29"/>
      <c r="F616" s="31"/>
      <c r="G616" s="30"/>
      <c r="H616" s="30"/>
      <c r="J616" s="29"/>
      <c r="L616" s="30"/>
      <c r="M616" s="30"/>
      <c r="O616" s="32"/>
      <c r="P616" s="32"/>
      <c r="S616" s="32"/>
    </row>
    <row r="617">
      <c r="D617" s="29"/>
      <c r="F617" s="31"/>
      <c r="G617" s="30"/>
      <c r="H617" s="30"/>
      <c r="J617" s="29"/>
      <c r="L617" s="30"/>
      <c r="M617" s="30"/>
      <c r="O617" s="32"/>
      <c r="P617" s="32"/>
      <c r="S617" s="32"/>
    </row>
    <row r="618">
      <c r="D618" s="29"/>
      <c r="F618" s="31"/>
      <c r="G618" s="30"/>
      <c r="H618" s="30"/>
      <c r="J618" s="29"/>
      <c r="L618" s="30"/>
      <c r="M618" s="30"/>
      <c r="O618" s="32"/>
      <c r="P618" s="32"/>
      <c r="S618" s="32"/>
    </row>
    <row r="619">
      <c r="D619" s="29"/>
      <c r="F619" s="31"/>
      <c r="G619" s="30"/>
      <c r="H619" s="30"/>
      <c r="J619" s="29"/>
      <c r="L619" s="30"/>
      <c r="M619" s="30"/>
      <c r="O619" s="32"/>
      <c r="P619" s="32"/>
      <c r="S619" s="32"/>
    </row>
    <row r="620">
      <c r="D620" s="29"/>
      <c r="F620" s="31"/>
      <c r="G620" s="30"/>
      <c r="H620" s="30"/>
      <c r="J620" s="29"/>
      <c r="L620" s="30"/>
      <c r="M620" s="30"/>
      <c r="O620" s="32"/>
      <c r="P620" s="32"/>
      <c r="S620" s="32"/>
    </row>
    <row r="621">
      <c r="D621" s="29"/>
      <c r="F621" s="31"/>
      <c r="G621" s="30"/>
      <c r="H621" s="30"/>
      <c r="J621" s="29"/>
      <c r="L621" s="30"/>
      <c r="M621" s="30"/>
      <c r="O621" s="32"/>
      <c r="P621" s="32"/>
      <c r="S621" s="32"/>
    </row>
    <row r="622">
      <c r="D622" s="29"/>
      <c r="F622" s="31"/>
      <c r="G622" s="30"/>
      <c r="H622" s="30"/>
      <c r="J622" s="29"/>
      <c r="L622" s="30"/>
      <c r="M622" s="30"/>
      <c r="O622" s="32"/>
      <c r="P622" s="32"/>
      <c r="S622" s="32"/>
    </row>
    <row r="623">
      <c r="D623" s="29"/>
      <c r="F623" s="31"/>
      <c r="G623" s="30"/>
      <c r="H623" s="30"/>
      <c r="J623" s="29"/>
      <c r="L623" s="30"/>
      <c r="M623" s="30"/>
      <c r="O623" s="32"/>
      <c r="P623" s="32"/>
      <c r="S623" s="32"/>
    </row>
    <row r="624">
      <c r="D624" s="29"/>
      <c r="F624" s="31"/>
      <c r="G624" s="30"/>
      <c r="H624" s="30"/>
      <c r="J624" s="29"/>
      <c r="L624" s="30"/>
      <c r="M624" s="30"/>
      <c r="O624" s="32"/>
      <c r="P624" s="32"/>
      <c r="S624" s="32"/>
    </row>
    <row r="625">
      <c r="D625" s="29"/>
      <c r="F625" s="31"/>
      <c r="G625" s="30"/>
      <c r="H625" s="30"/>
      <c r="J625" s="29"/>
      <c r="L625" s="30"/>
      <c r="M625" s="30"/>
      <c r="O625" s="32"/>
      <c r="P625" s="32"/>
      <c r="S625" s="32"/>
    </row>
    <row r="626">
      <c r="D626" s="29"/>
      <c r="F626" s="31"/>
      <c r="G626" s="30"/>
      <c r="H626" s="30"/>
      <c r="J626" s="29"/>
      <c r="L626" s="30"/>
      <c r="M626" s="30"/>
      <c r="O626" s="32"/>
      <c r="P626" s="32"/>
      <c r="S626" s="32"/>
    </row>
    <row r="627">
      <c r="D627" s="29"/>
      <c r="F627" s="31"/>
      <c r="G627" s="30"/>
      <c r="H627" s="30"/>
      <c r="J627" s="29"/>
      <c r="L627" s="30"/>
      <c r="M627" s="30"/>
      <c r="O627" s="32"/>
      <c r="P627" s="32"/>
      <c r="S627" s="32"/>
    </row>
    <row r="628">
      <c r="D628" s="29"/>
      <c r="F628" s="31"/>
      <c r="G628" s="30"/>
      <c r="H628" s="30"/>
      <c r="J628" s="29"/>
      <c r="L628" s="30"/>
      <c r="M628" s="30"/>
      <c r="O628" s="32"/>
      <c r="P628" s="32"/>
      <c r="S628" s="32"/>
    </row>
    <row r="629">
      <c r="D629" s="29"/>
      <c r="F629" s="31"/>
      <c r="G629" s="30"/>
      <c r="H629" s="30"/>
      <c r="J629" s="29"/>
      <c r="L629" s="30"/>
      <c r="M629" s="30"/>
      <c r="O629" s="32"/>
      <c r="P629" s="32"/>
      <c r="S629" s="32"/>
    </row>
    <row r="630">
      <c r="D630" s="29"/>
      <c r="F630" s="31"/>
      <c r="G630" s="30"/>
      <c r="H630" s="30"/>
      <c r="J630" s="29"/>
      <c r="L630" s="30"/>
      <c r="M630" s="30"/>
      <c r="O630" s="32"/>
      <c r="P630" s="32"/>
      <c r="S630" s="32"/>
    </row>
    <row r="631">
      <c r="D631" s="29"/>
      <c r="F631" s="31"/>
      <c r="G631" s="30"/>
      <c r="H631" s="30"/>
      <c r="J631" s="29"/>
      <c r="L631" s="30"/>
      <c r="M631" s="30"/>
      <c r="O631" s="32"/>
      <c r="P631" s="32"/>
      <c r="S631" s="32"/>
    </row>
    <row r="632">
      <c r="D632" s="29"/>
      <c r="F632" s="31"/>
      <c r="G632" s="30"/>
      <c r="H632" s="30"/>
      <c r="J632" s="29"/>
      <c r="L632" s="30"/>
      <c r="M632" s="30"/>
      <c r="O632" s="32"/>
      <c r="P632" s="32"/>
      <c r="S632" s="32"/>
    </row>
    <row r="633">
      <c r="D633" s="29"/>
      <c r="F633" s="31"/>
      <c r="G633" s="30"/>
      <c r="H633" s="30"/>
      <c r="J633" s="29"/>
      <c r="L633" s="30"/>
      <c r="M633" s="30"/>
      <c r="O633" s="32"/>
      <c r="P633" s="32"/>
      <c r="S633" s="32"/>
    </row>
    <row r="634">
      <c r="D634" s="29"/>
      <c r="F634" s="31"/>
      <c r="G634" s="30"/>
      <c r="H634" s="30"/>
      <c r="J634" s="29"/>
      <c r="L634" s="30"/>
      <c r="M634" s="30"/>
      <c r="O634" s="32"/>
      <c r="P634" s="32"/>
      <c r="S634" s="32"/>
    </row>
    <row r="635">
      <c r="D635" s="29"/>
      <c r="F635" s="31"/>
      <c r="G635" s="30"/>
      <c r="H635" s="30"/>
      <c r="J635" s="29"/>
      <c r="L635" s="30"/>
      <c r="M635" s="30"/>
      <c r="O635" s="32"/>
      <c r="P635" s="32"/>
      <c r="S635" s="32"/>
    </row>
    <row r="636">
      <c r="D636" s="29"/>
      <c r="F636" s="31"/>
      <c r="G636" s="30"/>
      <c r="H636" s="30"/>
      <c r="J636" s="29"/>
      <c r="L636" s="30"/>
      <c r="M636" s="30"/>
      <c r="O636" s="32"/>
      <c r="P636" s="32"/>
      <c r="S636" s="32"/>
    </row>
    <row r="637">
      <c r="D637" s="29"/>
      <c r="F637" s="31"/>
      <c r="G637" s="30"/>
      <c r="H637" s="30"/>
      <c r="J637" s="29"/>
      <c r="L637" s="30"/>
      <c r="M637" s="30"/>
      <c r="O637" s="32"/>
      <c r="P637" s="32"/>
      <c r="S637" s="32"/>
    </row>
    <row r="638">
      <c r="D638" s="29"/>
      <c r="F638" s="31"/>
      <c r="G638" s="30"/>
      <c r="H638" s="30"/>
      <c r="J638" s="29"/>
      <c r="L638" s="30"/>
      <c r="M638" s="30"/>
      <c r="O638" s="32"/>
      <c r="P638" s="32"/>
      <c r="S638" s="32"/>
    </row>
    <row r="639">
      <c r="D639" s="29"/>
      <c r="F639" s="31"/>
      <c r="G639" s="30"/>
      <c r="H639" s="30"/>
      <c r="J639" s="29"/>
      <c r="L639" s="30"/>
      <c r="M639" s="30"/>
      <c r="O639" s="32"/>
      <c r="P639" s="32"/>
      <c r="S639" s="32"/>
    </row>
    <row r="640">
      <c r="D640" s="29"/>
      <c r="F640" s="31"/>
      <c r="G640" s="30"/>
      <c r="H640" s="30"/>
      <c r="J640" s="29"/>
      <c r="L640" s="30"/>
      <c r="M640" s="30"/>
      <c r="O640" s="32"/>
      <c r="P640" s="32"/>
      <c r="S640" s="32"/>
    </row>
    <row r="641">
      <c r="D641" s="29"/>
      <c r="F641" s="31"/>
      <c r="G641" s="30"/>
      <c r="H641" s="30"/>
      <c r="J641" s="29"/>
      <c r="L641" s="30"/>
      <c r="M641" s="30"/>
      <c r="O641" s="32"/>
      <c r="P641" s="32"/>
      <c r="S641" s="32"/>
    </row>
    <row r="642">
      <c r="D642" s="29"/>
      <c r="F642" s="31"/>
      <c r="G642" s="30"/>
      <c r="H642" s="30"/>
      <c r="J642" s="29"/>
      <c r="L642" s="30"/>
      <c r="M642" s="30"/>
      <c r="O642" s="32"/>
      <c r="P642" s="32"/>
      <c r="S642" s="32"/>
    </row>
    <row r="643">
      <c r="D643" s="29"/>
      <c r="F643" s="31"/>
      <c r="G643" s="30"/>
      <c r="H643" s="30"/>
      <c r="J643" s="29"/>
      <c r="L643" s="30"/>
      <c r="M643" s="30"/>
      <c r="O643" s="32"/>
      <c r="P643" s="32"/>
      <c r="S643" s="32"/>
    </row>
    <row r="644">
      <c r="D644" s="29"/>
      <c r="F644" s="31"/>
      <c r="G644" s="30"/>
      <c r="H644" s="30"/>
      <c r="J644" s="29"/>
      <c r="L644" s="30"/>
      <c r="M644" s="30"/>
      <c r="O644" s="32"/>
      <c r="P644" s="32"/>
      <c r="S644" s="32"/>
    </row>
    <row r="645">
      <c r="D645" s="29"/>
      <c r="F645" s="31"/>
      <c r="G645" s="30"/>
      <c r="H645" s="30"/>
      <c r="J645" s="29"/>
      <c r="L645" s="30"/>
      <c r="M645" s="30"/>
      <c r="O645" s="32"/>
      <c r="P645" s="32"/>
      <c r="S645" s="32"/>
    </row>
    <row r="646">
      <c r="D646" s="29"/>
      <c r="F646" s="31"/>
      <c r="G646" s="30"/>
      <c r="H646" s="30"/>
      <c r="J646" s="29"/>
      <c r="L646" s="30"/>
      <c r="M646" s="30"/>
      <c r="O646" s="32"/>
      <c r="P646" s="32"/>
      <c r="S646" s="32"/>
    </row>
    <row r="647">
      <c r="D647" s="29"/>
      <c r="F647" s="31"/>
      <c r="G647" s="30"/>
      <c r="H647" s="30"/>
      <c r="J647" s="29"/>
      <c r="L647" s="30"/>
      <c r="M647" s="30"/>
      <c r="O647" s="32"/>
      <c r="P647" s="32"/>
      <c r="S647" s="32"/>
    </row>
    <row r="648">
      <c r="D648" s="29"/>
      <c r="F648" s="31"/>
      <c r="G648" s="30"/>
      <c r="H648" s="30"/>
      <c r="J648" s="29"/>
      <c r="L648" s="30"/>
      <c r="M648" s="30"/>
      <c r="O648" s="32"/>
      <c r="P648" s="32"/>
      <c r="S648" s="32"/>
    </row>
    <row r="649">
      <c r="D649" s="29"/>
      <c r="F649" s="31"/>
      <c r="G649" s="30"/>
      <c r="H649" s="30"/>
      <c r="J649" s="29"/>
      <c r="L649" s="30"/>
      <c r="M649" s="30"/>
      <c r="O649" s="32"/>
      <c r="P649" s="32"/>
      <c r="S649" s="32"/>
    </row>
    <row r="650">
      <c r="D650" s="29"/>
      <c r="F650" s="31"/>
      <c r="G650" s="30"/>
      <c r="H650" s="30"/>
      <c r="J650" s="29"/>
      <c r="L650" s="30"/>
      <c r="M650" s="30"/>
      <c r="O650" s="32"/>
      <c r="P650" s="32"/>
      <c r="S650" s="32"/>
    </row>
    <row r="651">
      <c r="D651" s="29"/>
      <c r="F651" s="31"/>
      <c r="G651" s="30"/>
      <c r="H651" s="30"/>
      <c r="J651" s="29"/>
      <c r="L651" s="30"/>
      <c r="M651" s="30"/>
      <c r="O651" s="32"/>
      <c r="P651" s="32"/>
      <c r="S651" s="32"/>
    </row>
    <row r="652">
      <c r="D652" s="29"/>
      <c r="F652" s="31"/>
      <c r="G652" s="30"/>
      <c r="H652" s="30"/>
      <c r="J652" s="29"/>
      <c r="L652" s="30"/>
      <c r="M652" s="30"/>
      <c r="O652" s="32"/>
      <c r="P652" s="32"/>
      <c r="S652" s="32"/>
    </row>
    <row r="653">
      <c r="D653" s="29"/>
      <c r="F653" s="31"/>
      <c r="G653" s="30"/>
      <c r="H653" s="30"/>
      <c r="J653" s="29"/>
      <c r="L653" s="30"/>
      <c r="M653" s="30"/>
      <c r="O653" s="32"/>
      <c r="P653" s="32"/>
      <c r="S653" s="32"/>
    </row>
    <row r="654">
      <c r="D654" s="29"/>
      <c r="F654" s="31"/>
      <c r="G654" s="30"/>
      <c r="H654" s="30"/>
      <c r="J654" s="29"/>
      <c r="L654" s="30"/>
      <c r="M654" s="30"/>
      <c r="O654" s="32"/>
      <c r="P654" s="32"/>
      <c r="S654" s="32"/>
    </row>
    <row r="655">
      <c r="D655" s="29"/>
      <c r="F655" s="31"/>
      <c r="G655" s="30"/>
      <c r="H655" s="30"/>
      <c r="J655" s="29"/>
      <c r="L655" s="30"/>
      <c r="M655" s="30"/>
      <c r="O655" s="32"/>
      <c r="P655" s="32"/>
      <c r="S655" s="32"/>
    </row>
    <row r="656">
      <c r="D656" s="29"/>
      <c r="F656" s="31"/>
      <c r="G656" s="30"/>
      <c r="H656" s="30"/>
      <c r="J656" s="29"/>
      <c r="L656" s="30"/>
      <c r="M656" s="30"/>
      <c r="O656" s="32"/>
      <c r="P656" s="32"/>
      <c r="S656" s="32"/>
    </row>
    <row r="657">
      <c r="D657" s="29"/>
      <c r="F657" s="31"/>
      <c r="G657" s="30"/>
      <c r="H657" s="30"/>
      <c r="J657" s="29"/>
      <c r="L657" s="30"/>
      <c r="M657" s="30"/>
      <c r="O657" s="32"/>
      <c r="P657" s="32"/>
      <c r="S657" s="32"/>
    </row>
    <row r="658">
      <c r="D658" s="29"/>
      <c r="F658" s="31"/>
      <c r="G658" s="30"/>
      <c r="H658" s="30"/>
      <c r="J658" s="29"/>
      <c r="L658" s="30"/>
      <c r="M658" s="30"/>
      <c r="O658" s="32"/>
      <c r="P658" s="32"/>
      <c r="S658" s="32"/>
    </row>
    <row r="659">
      <c r="D659" s="29"/>
      <c r="F659" s="31"/>
      <c r="G659" s="30"/>
      <c r="H659" s="30"/>
      <c r="J659" s="29"/>
      <c r="L659" s="30"/>
      <c r="M659" s="30"/>
      <c r="O659" s="32"/>
      <c r="P659" s="32"/>
      <c r="S659" s="32"/>
    </row>
    <row r="660">
      <c r="D660" s="29"/>
      <c r="F660" s="31"/>
      <c r="G660" s="30"/>
      <c r="H660" s="30"/>
      <c r="J660" s="29"/>
      <c r="L660" s="30"/>
      <c r="M660" s="30"/>
      <c r="O660" s="32"/>
      <c r="P660" s="32"/>
      <c r="S660" s="32"/>
    </row>
    <row r="661">
      <c r="D661" s="29"/>
      <c r="F661" s="31"/>
      <c r="G661" s="30"/>
      <c r="H661" s="30"/>
      <c r="J661" s="29"/>
      <c r="L661" s="30"/>
      <c r="M661" s="30"/>
      <c r="O661" s="32"/>
      <c r="P661" s="32"/>
      <c r="S661" s="32"/>
    </row>
    <row r="662">
      <c r="D662" s="29"/>
      <c r="F662" s="31"/>
      <c r="G662" s="30"/>
      <c r="H662" s="30"/>
      <c r="J662" s="29"/>
      <c r="L662" s="30"/>
      <c r="M662" s="30"/>
      <c r="O662" s="32"/>
      <c r="P662" s="32"/>
      <c r="S662" s="32"/>
    </row>
    <row r="663">
      <c r="D663" s="29"/>
      <c r="F663" s="31"/>
      <c r="G663" s="30"/>
      <c r="H663" s="30"/>
      <c r="J663" s="29"/>
      <c r="L663" s="30"/>
      <c r="M663" s="30"/>
      <c r="O663" s="32"/>
      <c r="P663" s="32"/>
      <c r="S663" s="32"/>
    </row>
    <row r="664">
      <c r="D664" s="29"/>
      <c r="F664" s="31"/>
      <c r="G664" s="30"/>
      <c r="H664" s="30"/>
      <c r="J664" s="29"/>
      <c r="L664" s="30"/>
      <c r="M664" s="30"/>
      <c r="O664" s="32"/>
      <c r="P664" s="32"/>
      <c r="S664" s="32"/>
    </row>
    <row r="665">
      <c r="D665" s="29"/>
      <c r="F665" s="31"/>
      <c r="G665" s="30"/>
      <c r="H665" s="30"/>
      <c r="J665" s="29"/>
      <c r="L665" s="30"/>
      <c r="M665" s="30"/>
      <c r="O665" s="32"/>
      <c r="P665" s="32"/>
      <c r="S665" s="32"/>
    </row>
    <row r="666">
      <c r="D666" s="29"/>
      <c r="F666" s="31"/>
      <c r="G666" s="30"/>
      <c r="H666" s="30"/>
      <c r="J666" s="29"/>
      <c r="L666" s="30"/>
      <c r="M666" s="30"/>
      <c r="O666" s="32"/>
      <c r="P666" s="32"/>
      <c r="S666" s="32"/>
    </row>
    <row r="667">
      <c r="D667" s="29"/>
      <c r="F667" s="31"/>
      <c r="G667" s="30"/>
      <c r="H667" s="30"/>
      <c r="J667" s="29"/>
      <c r="L667" s="30"/>
      <c r="M667" s="30"/>
      <c r="O667" s="32"/>
      <c r="P667" s="32"/>
      <c r="S667" s="32"/>
    </row>
    <row r="668">
      <c r="D668" s="29"/>
      <c r="F668" s="31"/>
      <c r="G668" s="30"/>
      <c r="H668" s="30"/>
      <c r="J668" s="29"/>
      <c r="L668" s="30"/>
      <c r="M668" s="30"/>
      <c r="O668" s="32"/>
      <c r="P668" s="32"/>
      <c r="S668" s="32"/>
    </row>
    <row r="669">
      <c r="D669" s="29"/>
      <c r="F669" s="31"/>
      <c r="G669" s="30"/>
      <c r="H669" s="30"/>
      <c r="J669" s="29"/>
      <c r="L669" s="30"/>
      <c r="M669" s="30"/>
      <c r="O669" s="32"/>
      <c r="P669" s="32"/>
      <c r="S669" s="32"/>
    </row>
    <row r="670">
      <c r="D670" s="29"/>
      <c r="F670" s="31"/>
      <c r="G670" s="30"/>
      <c r="H670" s="30"/>
      <c r="J670" s="29"/>
      <c r="L670" s="30"/>
      <c r="M670" s="30"/>
      <c r="O670" s="32"/>
      <c r="P670" s="32"/>
      <c r="S670" s="32"/>
    </row>
    <row r="671">
      <c r="D671" s="29"/>
      <c r="F671" s="31"/>
      <c r="G671" s="30"/>
      <c r="H671" s="30"/>
      <c r="J671" s="29"/>
      <c r="L671" s="30"/>
      <c r="M671" s="30"/>
      <c r="O671" s="32"/>
      <c r="P671" s="32"/>
      <c r="S671" s="32"/>
    </row>
    <row r="672">
      <c r="D672" s="29"/>
      <c r="F672" s="31"/>
      <c r="G672" s="30"/>
      <c r="H672" s="30"/>
      <c r="J672" s="29"/>
      <c r="L672" s="30"/>
      <c r="M672" s="30"/>
      <c r="O672" s="32"/>
      <c r="P672" s="32"/>
      <c r="S672" s="32"/>
    </row>
    <row r="673">
      <c r="D673" s="29"/>
      <c r="F673" s="31"/>
      <c r="G673" s="30"/>
      <c r="H673" s="30"/>
      <c r="J673" s="29"/>
      <c r="L673" s="30"/>
      <c r="M673" s="30"/>
      <c r="O673" s="32"/>
      <c r="P673" s="32"/>
      <c r="S673" s="32"/>
    </row>
    <row r="674">
      <c r="D674" s="29"/>
      <c r="F674" s="31"/>
      <c r="G674" s="30"/>
      <c r="H674" s="30"/>
      <c r="J674" s="29"/>
      <c r="L674" s="30"/>
      <c r="M674" s="30"/>
      <c r="O674" s="32"/>
      <c r="P674" s="32"/>
      <c r="S674" s="32"/>
    </row>
    <row r="675">
      <c r="D675" s="29"/>
      <c r="F675" s="31"/>
      <c r="G675" s="30"/>
      <c r="H675" s="30"/>
      <c r="J675" s="29"/>
      <c r="L675" s="30"/>
      <c r="M675" s="30"/>
      <c r="O675" s="32"/>
      <c r="P675" s="32"/>
      <c r="S675" s="32"/>
    </row>
    <row r="676">
      <c r="D676" s="29"/>
      <c r="F676" s="31"/>
      <c r="G676" s="30"/>
      <c r="H676" s="30"/>
      <c r="J676" s="29"/>
      <c r="L676" s="30"/>
      <c r="M676" s="30"/>
      <c r="O676" s="32"/>
      <c r="P676" s="32"/>
      <c r="S676" s="32"/>
    </row>
    <row r="677">
      <c r="D677" s="29"/>
      <c r="F677" s="31"/>
      <c r="G677" s="30"/>
      <c r="H677" s="30"/>
      <c r="J677" s="29"/>
      <c r="L677" s="30"/>
      <c r="M677" s="30"/>
      <c r="O677" s="32"/>
      <c r="P677" s="32"/>
      <c r="S677" s="32"/>
    </row>
    <row r="678">
      <c r="D678" s="29"/>
      <c r="F678" s="31"/>
      <c r="G678" s="30"/>
      <c r="H678" s="30"/>
      <c r="J678" s="29"/>
      <c r="L678" s="30"/>
      <c r="M678" s="30"/>
      <c r="O678" s="32"/>
      <c r="P678" s="32"/>
      <c r="S678" s="32"/>
    </row>
    <row r="679">
      <c r="D679" s="29"/>
      <c r="F679" s="31"/>
      <c r="G679" s="30"/>
      <c r="H679" s="30"/>
      <c r="J679" s="29"/>
      <c r="L679" s="30"/>
      <c r="M679" s="30"/>
      <c r="O679" s="32"/>
      <c r="P679" s="32"/>
      <c r="S679" s="32"/>
    </row>
    <row r="680">
      <c r="D680" s="29"/>
      <c r="F680" s="31"/>
      <c r="G680" s="30"/>
      <c r="H680" s="30"/>
      <c r="J680" s="29"/>
      <c r="L680" s="30"/>
      <c r="M680" s="30"/>
      <c r="O680" s="32"/>
      <c r="P680" s="32"/>
      <c r="S680" s="32"/>
    </row>
    <row r="681">
      <c r="D681" s="29"/>
      <c r="F681" s="31"/>
      <c r="G681" s="30"/>
      <c r="H681" s="30"/>
      <c r="J681" s="29"/>
      <c r="L681" s="30"/>
      <c r="M681" s="30"/>
      <c r="O681" s="32"/>
      <c r="P681" s="32"/>
      <c r="S681" s="32"/>
    </row>
    <row r="682">
      <c r="D682" s="29"/>
      <c r="F682" s="31"/>
      <c r="G682" s="30"/>
      <c r="H682" s="30"/>
      <c r="J682" s="29"/>
      <c r="L682" s="30"/>
      <c r="M682" s="30"/>
      <c r="O682" s="32"/>
      <c r="P682" s="32"/>
      <c r="S682" s="32"/>
    </row>
    <row r="683">
      <c r="D683" s="29"/>
      <c r="F683" s="31"/>
      <c r="G683" s="30"/>
      <c r="H683" s="30"/>
      <c r="J683" s="29"/>
      <c r="L683" s="30"/>
      <c r="M683" s="30"/>
      <c r="O683" s="32"/>
      <c r="P683" s="32"/>
      <c r="S683" s="32"/>
    </row>
    <row r="684">
      <c r="D684" s="29"/>
      <c r="F684" s="31"/>
      <c r="G684" s="30"/>
      <c r="H684" s="30"/>
      <c r="J684" s="29"/>
      <c r="L684" s="30"/>
      <c r="M684" s="30"/>
      <c r="O684" s="32"/>
      <c r="P684" s="32"/>
      <c r="S684" s="32"/>
    </row>
    <row r="685">
      <c r="D685" s="29"/>
      <c r="F685" s="31"/>
      <c r="G685" s="30"/>
      <c r="H685" s="30"/>
      <c r="J685" s="29"/>
      <c r="L685" s="30"/>
      <c r="M685" s="30"/>
      <c r="O685" s="32"/>
      <c r="P685" s="32"/>
      <c r="S685" s="32"/>
    </row>
    <row r="686">
      <c r="D686" s="29"/>
      <c r="F686" s="31"/>
      <c r="G686" s="30"/>
      <c r="H686" s="30"/>
      <c r="J686" s="29"/>
      <c r="L686" s="30"/>
      <c r="M686" s="30"/>
      <c r="O686" s="32"/>
      <c r="P686" s="32"/>
      <c r="S686" s="32"/>
    </row>
    <row r="687">
      <c r="D687" s="29"/>
      <c r="F687" s="31"/>
      <c r="G687" s="30"/>
      <c r="H687" s="30"/>
      <c r="J687" s="29"/>
      <c r="L687" s="30"/>
      <c r="M687" s="30"/>
      <c r="O687" s="32"/>
      <c r="P687" s="32"/>
      <c r="S687" s="32"/>
    </row>
    <row r="688">
      <c r="D688" s="29"/>
      <c r="F688" s="31"/>
      <c r="G688" s="30"/>
      <c r="H688" s="30"/>
      <c r="J688" s="29"/>
      <c r="L688" s="30"/>
      <c r="M688" s="30"/>
      <c r="O688" s="32"/>
      <c r="P688" s="32"/>
      <c r="S688" s="32"/>
    </row>
    <row r="689">
      <c r="D689" s="29"/>
      <c r="F689" s="31"/>
      <c r="G689" s="30"/>
      <c r="H689" s="30"/>
      <c r="J689" s="29"/>
      <c r="L689" s="30"/>
      <c r="M689" s="30"/>
      <c r="O689" s="32"/>
      <c r="P689" s="32"/>
      <c r="S689" s="32"/>
    </row>
    <row r="690">
      <c r="D690" s="29"/>
      <c r="F690" s="31"/>
      <c r="G690" s="30"/>
      <c r="H690" s="30"/>
      <c r="J690" s="29"/>
      <c r="L690" s="30"/>
      <c r="M690" s="30"/>
      <c r="O690" s="32"/>
      <c r="P690" s="32"/>
      <c r="S690" s="32"/>
    </row>
    <row r="691">
      <c r="D691" s="29"/>
      <c r="F691" s="31"/>
      <c r="G691" s="30"/>
      <c r="H691" s="30"/>
      <c r="J691" s="29"/>
      <c r="L691" s="30"/>
      <c r="M691" s="30"/>
      <c r="O691" s="32"/>
      <c r="P691" s="32"/>
      <c r="S691" s="32"/>
    </row>
    <row r="692">
      <c r="D692" s="29"/>
      <c r="F692" s="31"/>
      <c r="G692" s="30"/>
      <c r="H692" s="30"/>
      <c r="J692" s="29"/>
      <c r="L692" s="30"/>
      <c r="M692" s="30"/>
      <c r="O692" s="32"/>
      <c r="P692" s="32"/>
      <c r="S692" s="32"/>
    </row>
    <row r="693">
      <c r="D693" s="29"/>
      <c r="F693" s="31"/>
      <c r="G693" s="30"/>
      <c r="H693" s="30"/>
      <c r="J693" s="29"/>
      <c r="L693" s="30"/>
      <c r="M693" s="30"/>
      <c r="O693" s="32"/>
      <c r="P693" s="32"/>
      <c r="S693" s="32"/>
    </row>
    <row r="694">
      <c r="D694" s="29"/>
      <c r="F694" s="31"/>
      <c r="G694" s="30"/>
      <c r="H694" s="30"/>
      <c r="J694" s="29"/>
      <c r="L694" s="30"/>
      <c r="M694" s="30"/>
      <c r="O694" s="32"/>
      <c r="P694" s="32"/>
      <c r="S694" s="32"/>
    </row>
    <row r="695">
      <c r="D695" s="29"/>
      <c r="F695" s="31"/>
      <c r="G695" s="30"/>
      <c r="H695" s="30"/>
      <c r="J695" s="29"/>
      <c r="L695" s="30"/>
      <c r="M695" s="30"/>
      <c r="O695" s="32"/>
      <c r="P695" s="32"/>
      <c r="S695" s="32"/>
    </row>
    <row r="696">
      <c r="D696" s="29"/>
      <c r="F696" s="31"/>
      <c r="G696" s="30"/>
      <c r="H696" s="30"/>
      <c r="J696" s="29"/>
      <c r="L696" s="30"/>
      <c r="M696" s="30"/>
      <c r="O696" s="32"/>
      <c r="P696" s="32"/>
      <c r="S696" s="32"/>
    </row>
    <row r="697">
      <c r="D697" s="29"/>
      <c r="F697" s="31"/>
      <c r="G697" s="30"/>
      <c r="H697" s="30"/>
      <c r="J697" s="29"/>
      <c r="L697" s="30"/>
      <c r="M697" s="30"/>
      <c r="O697" s="32"/>
      <c r="P697" s="32"/>
      <c r="S697" s="32"/>
    </row>
    <row r="698">
      <c r="D698" s="29"/>
      <c r="F698" s="31"/>
      <c r="G698" s="30"/>
      <c r="H698" s="30"/>
      <c r="J698" s="29"/>
      <c r="L698" s="30"/>
      <c r="M698" s="30"/>
      <c r="O698" s="32"/>
      <c r="P698" s="32"/>
      <c r="S698" s="32"/>
    </row>
    <row r="699">
      <c r="D699" s="29"/>
      <c r="F699" s="31"/>
      <c r="G699" s="30"/>
      <c r="H699" s="30"/>
      <c r="J699" s="29"/>
      <c r="L699" s="30"/>
      <c r="M699" s="30"/>
      <c r="O699" s="32"/>
      <c r="P699" s="32"/>
      <c r="S699" s="32"/>
    </row>
    <row r="700">
      <c r="D700" s="29"/>
      <c r="F700" s="31"/>
      <c r="G700" s="30"/>
      <c r="H700" s="30"/>
      <c r="J700" s="29"/>
      <c r="L700" s="30"/>
      <c r="M700" s="30"/>
      <c r="O700" s="32"/>
      <c r="P700" s="32"/>
      <c r="S700" s="32"/>
    </row>
    <row r="701">
      <c r="D701" s="29"/>
      <c r="F701" s="31"/>
      <c r="G701" s="30"/>
      <c r="H701" s="30"/>
      <c r="J701" s="29"/>
      <c r="L701" s="30"/>
      <c r="M701" s="30"/>
      <c r="O701" s="32"/>
      <c r="P701" s="32"/>
      <c r="S701" s="32"/>
    </row>
    <row r="702">
      <c r="D702" s="29"/>
      <c r="F702" s="31"/>
      <c r="G702" s="30"/>
      <c r="H702" s="30"/>
      <c r="J702" s="29"/>
      <c r="L702" s="30"/>
      <c r="M702" s="30"/>
      <c r="O702" s="32"/>
      <c r="P702" s="32"/>
      <c r="S702" s="32"/>
    </row>
    <row r="703">
      <c r="D703" s="29"/>
      <c r="F703" s="31"/>
      <c r="G703" s="30"/>
      <c r="H703" s="30"/>
      <c r="J703" s="29"/>
      <c r="L703" s="30"/>
      <c r="M703" s="30"/>
      <c r="O703" s="32"/>
      <c r="P703" s="32"/>
      <c r="S703" s="32"/>
    </row>
    <row r="704">
      <c r="D704" s="29"/>
      <c r="F704" s="31"/>
      <c r="G704" s="30"/>
      <c r="H704" s="30"/>
      <c r="J704" s="29"/>
      <c r="L704" s="30"/>
      <c r="M704" s="30"/>
      <c r="O704" s="32"/>
      <c r="P704" s="32"/>
      <c r="S704" s="32"/>
    </row>
    <row r="705">
      <c r="D705" s="29"/>
      <c r="F705" s="31"/>
      <c r="G705" s="30"/>
      <c r="H705" s="30"/>
      <c r="J705" s="29"/>
      <c r="L705" s="30"/>
      <c r="M705" s="30"/>
      <c r="O705" s="32"/>
      <c r="P705" s="32"/>
      <c r="S705" s="32"/>
    </row>
    <row r="706">
      <c r="D706" s="29"/>
      <c r="F706" s="31"/>
      <c r="G706" s="30"/>
      <c r="H706" s="30"/>
      <c r="J706" s="29"/>
      <c r="L706" s="30"/>
      <c r="M706" s="30"/>
      <c r="O706" s="32"/>
      <c r="P706" s="32"/>
      <c r="S706" s="32"/>
    </row>
    <row r="707">
      <c r="D707" s="29"/>
      <c r="F707" s="31"/>
      <c r="G707" s="30"/>
      <c r="H707" s="30"/>
      <c r="J707" s="29"/>
      <c r="L707" s="30"/>
      <c r="M707" s="30"/>
      <c r="O707" s="32"/>
      <c r="P707" s="32"/>
      <c r="S707" s="32"/>
    </row>
    <row r="708">
      <c r="D708" s="29"/>
      <c r="F708" s="31"/>
      <c r="G708" s="30"/>
      <c r="H708" s="30"/>
      <c r="J708" s="29"/>
      <c r="L708" s="30"/>
      <c r="M708" s="30"/>
      <c r="O708" s="32"/>
      <c r="P708" s="32"/>
      <c r="S708" s="32"/>
    </row>
    <row r="709">
      <c r="D709" s="29"/>
      <c r="F709" s="31"/>
      <c r="G709" s="30"/>
      <c r="H709" s="30"/>
      <c r="J709" s="29"/>
      <c r="L709" s="30"/>
      <c r="M709" s="30"/>
      <c r="O709" s="32"/>
      <c r="P709" s="32"/>
      <c r="S709" s="32"/>
    </row>
    <row r="710">
      <c r="D710" s="29"/>
      <c r="F710" s="31"/>
      <c r="G710" s="30"/>
      <c r="H710" s="30"/>
      <c r="J710" s="29"/>
      <c r="L710" s="30"/>
      <c r="M710" s="30"/>
      <c r="O710" s="32"/>
      <c r="P710" s="32"/>
      <c r="S710" s="32"/>
    </row>
    <row r="711">
      <c r="D711" s="29"/>
      <c r="F711" s="31"/>
      <c r="G711" s="30"/>
      <c r="H711" s="30"/>
      <c r="J711" s="29"/>
      <c r="L711" s="30"/>
      <c r="M711" s="30"/>
      <c r="O711" s="32"/>
      <c r="P711" s="32"/>
      <c r="S711" s="32"/>
    </row>
    <row r="712">
      <c r="D712" s="29"/>
      <c r="F712" s="31"/>
      <c r="G712" s="30"/>
      <c r="H712" s="30"/>
      <c r="J712" s="29"/>
      <c r="L712" s="30"/>
      <c r="M712" s="30"/>
      <c r="O712" s="32"/>
      <c r="P712" s="32"/>
      <c r="S712" s="32"/>
    </row>
    <row r="713">
      <c r="D713" s="29"/>
      <c r="F713" s="31"/>
      <c r="G713" s="30"/>
      <c r="H713" s="30"/>
      <c r="J713" s="29"/>
      <c r="L713" s="30"/>
      <c r="M713" s="30"/>
      <c r="O713" s="32"/>
      <c r="P713" s="32"/>
      <c r="S713" s="32"/>
    </row>
    <row r="714">
      <c r="D714" s="29"/>
      <c r="F714" s="31"/>
      <c r="G714" s="30"/>
      <c r="H714" s="30"/>
      <c r="J714" s="29"/>
      <c r="L714" s="30"/>
      <c r="M714" s="30"/>
      <c r="O714" s="32"/>
      <c r="P714" s="32"/>
      <c r="S714" s="32"/>
    </row>
    <row r="715">
      <c r="D715" s="29"/>
      <c r="F715" s="31"/>
      <c r="G715" s="30"/>
      <c r="H715" s="30"/>
      <c r="J715" s="29"/>
      <c r="L715" s="30"/>
      <c r="M715" s="30"/>
      <c r="O715" s="32"/>
      <c r="P715" s="32"/>
      <c r="S715" s="32"/>
    </row>
    <row r="716">
      <c r="D716" s="29"/>
      <c r="F716" s="31"/>
      <c r="G716" s="30"/>
      <c r="H716" s="30"/>
      <c r="J716" s="29"/>
      <c r="L716" s="30"/>
      <c r="M716" s="30"/>
      <c r="O716" s="32"/>
      <c r="P716" s="32"/>
      <c r="S716" s="32"/>
    </row>
    <row r="717">
      <c r="D717" s="29"/>
      <c r="F717" s="31"/>
      <c r="G717" s="30"/>
      <c r="H717" s="30"/>
      <c r="J717" s="29"/>
      <c r="L717" s="30"/>
      <c r="M717" s="30"/>
      <c r="O717" s="32"/>
      <c r="P717" s="32"/>
      <c r="S717" s="32"/>
    </row>
    <row r="718">
      <c r="D718" s="29"/>
      <c r="F718" s="31"/>
      <c r="G718" s="30"/>
      <c r="H718" s="30"/>
      <c r="J718" s="29"/>
      <c r="L718" s="30"/>
      <c r="M718" s="30"/>
      <c r="O718" s="32"/>
      <c r="P718" s="32"/>
      <c r="S718" s="32"/>
    </row>
    <row r="719">
      <c r="D719" s="29"/>
      <c r="F719" s="31"/>
      <c r="G719" s="30"/>
      <c r="H719" s="30"/>
      <c r="J719" s="29"/>
      <c r="L719" s="30"/>
      <c r="M719" s="30"/>
      <c r="O719" s="32"/>
      <c r="P719" s="32"/>
      <c r="S719" s="32"/>
    </row>
    <row r="720">
      <c r="D720" s="29"/>
      <c r="F720" s="31"/>
      <c r="G720" s="30"/>
      <c r="H720" s="30"/>
      <c r="J720" s="29"/>
      <c r="L720" s="30"/>
      <c r="M720" s="30"/>
      <c r="O720" s="32"/>
      <c r="P720" s="32"/>
      <c r="S720" s="32"/>
    </row>
    <row r="721">
      <c r="D721" s="29"/>
      <c r="F721" s="31"/>
      <c r="G721" s="30"/>
      <c r="H721" s="30"/>
      <c r="J721" s="29"/>
      <c r="L721" s="30"/>
      <c r="M721" s="30"/>
      <c r="O721" s="32"/>
      <c r="P721" s="32"/>
      <c r="S721" s="32"/>
    </row>
    <row r="722">
      <c r="D722" s="29"/>
      <c r="F722" s="31"/>
      <c r="G722" s="30"/>
      <c r="H722" s="30"/>
      <c r="J722" s="29"/>
      <c r="L722" s="30"/>
      <c r="M722" s="30"/>
      <c r="O722" s="32"/>
      <c r="P722" s="32"/>
      <c r="S722" s="32"/>
    </row>
    <row r="723">
      <c r="D723" s="29"/>
      <c r="F723" s="31"/>
      <c r="G723" s="30"/>
      <c r="H723" s="30"/>
      <c r="J723" s="29"/>
      <c r="L723" s="30"/>
      <c r="M723" s="30"/>
      <c r="O723" s="32"/>
      <c r="P723" s="32"/>
      <c r="S723" s="32"/>
    </row>
    <row r="724">
      <c r="D724" s="29"/>
      <c r="F724" s="31"/>
      <c r="G724" s="30"/>
      <c r="H724" s="30"/>
      <c r="J724" s="29"/>
      <c r="L724" s="30"/>
      <c r="M724" s="30"/>
      <c r="O724" s="32"/>
      <c r="P724" s="32"/>
      <c r="S724" s="32"/>
    </row>
    <row r="725">
      <c r="D725" s="29"/>
      <c r="F725" s="31"/>
      <c r="G725" s="30"/>
      <c r="H725" s="30"/>
      <c r="J725" s="29"/>
      <c r="L725" s="30"/>
      <c r="M725" s="30"/>
      <c r="O725" s="32"/>
      <c r="P725" s="32"/>
      <c r="S725" s="32"/>
    </row>
    <row r="726">
      <c r="D726" s="29"/>
      <c r="F726" s="31"/>
      <c r="G726" s="30"/>
      <c r="H726" s="30"/>
      <c r="J726" s="29"/>
      <c r="L726" s="30"/>
      <c r="M726" s="30"/>
      <c r="O726" s="32"/>
      <c r="P726" s="32"/>
      <c r="S726" s="32"/>
    </row>
    <row r="727">
      <c r="D727" s="29"/>
      <c r="F727" s="31"/>
      <c r="G727" s="30"/>
      <c r="H727" s="30"/>
      <c r="J727" s="29"/>
      <c r="L727" s="30"/>
      <c r="M727" s="30"/>
      <c r="O727" s="32"/>
      <c r="P727" s="32"/>
      <c r="S727" s="32"/>
    </row>
    <row r="728">
      <c r="D728" s="29"/>
      <c r="F728" s="31"/>
      <c r="G728" s="30"/>
      <c r="H728" s="30"/>
      <c r="J728" s="29"/>
      <c r="L728" s="30"/>
      <c r="M728" s="30"/>
      <c r="O728" s="32"/>
      <c r="P728" s="32"/>
      <c r="S728" s="32"/>
    </row>
    <row r="729">
      <c r="D729" s="29"/>
      <c r="F729" s="31"/>
      <c r="G729" s="30"/>
      <c r="H729" s="30"/>
      <c r="J729" s="29"/>
      <c r="L729" s="30"/>
      <c r="M729" s="30"/>
      <c r="O729" s="32"/>
      <c r="P729" s="32"/>
      <c r="S729" s="32"/>
    </row>
    <row r="730">
      <c r="D730" s="29"/>
      <c r="F730" s="31"/>
      <c r="G730" s="30"/>
      <c r="H730" s="30"/>
      <c r="J730" s="29"/>
      <c r="L730" s="30"/>
      <c r="M730" s="30"/>
      <c r="O730" s="32"/>
      <c r="P730" s="32"/>
      <c r="S730" s="32"/>
    </row>
    <row r="731">
      <c r="D731" s="29"/>
      <c r="F731" s="31"/>
      <c r="G731" s="30"/>
      <c r="H731" s="30"/>
      <c r="J731" s="29"/>
      <c r="L731" s="30"/>
      <c r="M731" s="30"/>
      <c r="O731" s="32"/>
      <c r="P731" s="32"/>
      <c r="S731" s="32"/>
    </row>
    <row r="732">
      <c r="D732" s="29"/>
      <c r="F732" s="31"/>
      <c r="G732" s="30"/>
      <c r="H732" s="30"/>
      <c r="J732" s="29"/>
      <c r="L732" s="30"/>
      <c r="M732" s="30"/>
      <c r="O732" s="32"/>
      <c r="P732" s="32"/>
      <c r="S732" s="32"/>
    </row>
    <row r="733">
      <c r="D733" s="29"/>
      <c r="F733" s="31"/>
      <c r="G733" s="30"/>
      <c r="H733" s="30"/>
      <c r="J733" s="29"/>
      <c r="L733" s="30"/>
      <c r="M733" s="30"/>
      <c r="O733" s="32"/>
      <c r="P733" s="32"/>
      <c r="S733" s="32"/>
    </row>
    <row r="734">
      <c r="D734" s="29"/>
      <c r="F734" s="31"/>
      <c r="G734" s="30"/>
      <c r="H734" s="30"/>
      <c r="J734" s="29"/>
      <c r="L734" s="30"/>
      <c r="M734" s="30"/>
      <c r="O734" s="32"/>
      <c r="P734" s="32"/>
      <c r="S734" s="32"/>
    </row>
    <row r="735">
      <c r="D735" s="29"/>
      <c r="F735" s="31"/>
      <c r="G735" s="30"/>
      <c r="H735" s="30"/>
      <c r="J735" s="29"/>
      <c r="L735" s="30"/>
      <c r="M735" s="30"/>
      <c r="O735" s="32"/>
      <c r="P735" s="32"/>
      <c r="S735" s="32"/>
    </row>
    <row r="736">
      <c r="D736" s="29"/>
      <c r="F736" s="31"/>
      <c r="G736" s="30"/>
      <c r="H736" s="30"/>
      <c r="J736" s="29"/>
      <c r="L736" s="30"/>
      <c r="M736" s="30"/>
      <c r="O736" s="32"/>
      <c r="P736" s="32"/>
      <c r="S736" s="32"/>
    </row>
    <row r="737">
      <c r="D737" s="29"/>
      <c r="F737" s="31"/>
      <c r="G737" s="30"/>
      <c r="H737" s="30"/>
      <c r="J737" s="29"/>
      <c r="L737" s="30"/>
      <c r="M737" s="30"/>
      <c r="O737" s="32"/>
      <c r="P737" s="32"/>
      <c r="S737" s="32"/>
    </row>
    <row r="738">
      <c r="D738" s="29"/>
      <c r="F738" s="31"/>
      <c r="G738" s="30"/>
      <c r="H738" s="30"/>
      <c r="J738" s="29"/>
      <c r="L738" s="30"/>
      <c r="M738" s="30"/>
      <c r="O738" s="32"/>
      <c r="P738" s="32"/>
      <c r="S738" s="32"/>
    </row>
    <row r="739">
      <c r="D739" s="29"/>
      <c r="F739" s="31"/>
      <c r="G739" s="30"/>
      <c r="H739" s="30"/>
      <c r="J739" s="29"/>
      <c r="L739" s="30"/>
      <c r="M739" s="30"/>
      <c r="O739" s="32"/>
      <c r="P739" s="32"/>
      <c r="S739" s="32"/>
    </row>
    <row r="740">
      <c r="D740" s="29"/>
      <c r="F740" s="31"/>
      <c r="G740" s="30"/>
      <c r="H740" s="30"/>
      <c r="J740" s="29"/>
      <c r="L740" s="30"/>
      <c r="M740" s="30"/>
      <c r="O740" s="32"/>
      <c r="P740" s="32"/>
      <c r="S740" s="32"/>
    </row>
    <row r="741">
      <c r="D741" s="29"/>
      <c r="F741" s="31"/>
      <c r="G741" s="30"/>
      <c r="H741" s="30"/>
      <c r="J741" s="29"/>
      <c r="L741" s="30"/>
      <c r="M741" s="30"/>
      <c r="O741" s="32"/>
      <c r="P741" s="32"/>
      <c r="S741" s="32"/>
    </row>
    <row r="742">
      <c r="D742" s="29"/>
      <c r="F742" s="31"/>
      <c r="G742" s="30"/>
      <c r="H742" s="30"/>
      <c r="J742" s="29"/>
      <c r="L742" s="30"/>
      <c r="M742" s="30"/>
      <c r="O742" s="32"/>
      <c r="P742" s="32"/>
      <c r="S742" s="32"/>
    </row>
    <row r="743">
      <c r="D743" s="29"/>
      <c r="F743" s="31"/>
      <c r="G743" s="30"/>
      <c r="H743" s="30"/>
      <c r="J743" s="29"/>
      <c r="L743" s="30"/>
      <c r="M743" s="30"/>
      <c r="O743" s="32"/>
      <c r="P743" s="32"/>
      <c r="S743" s="32"/>
    </row>
    <row r="744">
      <c r="D744" s="29"/>
      <c r="F744" s="31"/>
      <c r="G744" s="30"/>
      <c r="H744" s="30"/>
      <c r="J744" s="29"/>
      <c r="L744" s="30"/>
      <c r="M744" s="30"/>
      <c r="O744" s="32"/>
      <c r="P744" s="32"/>
      <c r="S744" s="32"/>
    </row>
    <row r="745">
      <c r="D745" s="29"/>
      <c r="F745" s="31"/>
      <c r="G745" s="30"/>
      <c r="H745" s="30"/>
      <c r="J745" s="29"/>
      <c r="L745" s="30"/>
      <c r="M745" s="30"/>
      <c r="O745" s="32"/>
      <c r="P745" s="32"/>
      <c r="S745" s="32"/>
    </row>
    <row r="746">
      <c r="D746" s="29"/>
      <c r="F746" s="31"/>
      <c r="G746" s="30"/>
      <c r="H746" s="30"/>
      <c r="J746" s="29"/>
      <c r="L746" s="30"/>
      <c r="M746" s="30"/>
      <c r="O746" s="32"/>
      <c r="P746" s="32"/>
      <c r="S746" s="32"/>
    </row>
    <row r="747">
      <c r="D747" s="29"/>
      <c r="F747" s="31"/>
      <c r="G747" s="30"/>
      <c r="H747" s="30"/>
      <c r="J747" s="29"/>
      <c r="L747" s="30"/>
      <c r="M747" s="30"/>
      <c r="O747" s="32"/>
      <c r="P747" s="32"/>
      <c r="S747" s="32"/>
    </row>
    <row r="748">
      <c r="D748" s="29"/>
      <c r="F748" s="31"/>
      <c r="G748" s="30"/>
      <c r="H748" s="30"/>
      <c r="J748" s="29"/>
      <c r="L748" s="30"/>
      <c r="M748" s="30"/>
      <c r="O748" s="32"/>
      <c r="P748" s="32"/>
      <c r="S748" s="32"/>
    </row>
    <row r="749">
      <c r="D749" s="29"/>
      <c r="F749" s="31"/>
      <c r="G749" s="30"/>
      <c r="H749" s="30"/>
      <c r="J749" s="29"/>
      <c r="L749" s="30"/>
      <c r="M749" s="30"/>
      <c r="O749" s="32"/>
      <c r="P749" s="32"/>
      <c r="S749" s="32"/>
    </row>
    <row r="750">
      <c r="D750" s="29"/>
      <c r="F750" s="31"/>
      <c r="G750" s="30"/>
      <c r="H750" s="30"/>
      <c r="J750" s="29"/>
      <c r="L750" s="30"/>
      <c r="M750" s="30"/>
      <c r="O750" s="32"/>
      <c r="P750" s="32"/>
      <c r="S750" s="32"/>
    </row>
    <row r="751">
      <c r="D751" s="29"/>
      <c r="F751" s="31"/>
      <c r="G751" s="30"/>
      <c r="H751" s="30"/>
      <c r="J751" s="29"/>
      <c r="L751" s="30"/>
      <c r="M751" s="30"/>
      <c r="O751" s="32"/>
      <c r="P751" s="32"/>
      <c r="S751" s="32"/>
    </row>
    <row r="752">
      <c r="D752" s="29"/>
      <c r="F752" s="31"/>
      <c r="G752" s="30"/>
      <c r="H752" s="30"/>
      <c r="J752" s="29"/>
      <c r="L752" s="30"/>
      <c r="M752" s="30"/>
      <c r="O752" s="32"/>
      <c r="P752" s="32"/>
      <c r="S752" s="32"/>
    </row>
    <row r="753">
      <c r="D753" s="29"/>
      <c r="F753" s="31"/>
      <c r="G753" s="30"/>
      <c r="H753" s="30"/>
      <c r="J753" s="29"/>
      <c r="L753" s="30"/>
      <c r="M753" s="30"/>
      <c r="O753" s="32"/>
      <c r="P753" s="32"/>
      <c r="S753" s="32"/>
    </row>
    <row r="754">
      <c r="D754" s="29"/>
      <c r="F754" s="31"/>
      <c r="G754" s="30"/>
      <c r="H754" s="30"/>
      <c r="J754" s="29"/>
      <c r="L754" s="30"/>
      <c r="M754" s="30"/>
      <c r="O754" s="32"/>
      <c r="P754" s="32"/>
      <c r="S754" s="32"/>
    </row>
    <row r="755">
      <c r="D755" s="29"/>
      <c r="F755" s="31"/>
      <c r="G755" s="30"/>
      <c r="H755" s="30"/>
      <c r="J755" s="29"/>
      <c r="L755" s="30"/>
      <c r="M755" s="30"/>
      <c r="O755" s="32"/>
      <c r="P755" s="32"/>
      <c r="S755" s="32"/>
    </row>
    <row r="756">
      <c r="D756" s="29"/>
      <c r="F756" s="31"/>
      <c r="G756" s="30"/>
      <c r="H756" s="30"/>
      <c r="J756" s="29"/>
      <c r="L756" s="30"/>
      <c r="M756" s="30"/>
      <c r="O756" s="32"/>
      <c r="P756" s="32"/>
      <c r="S756" s="32"/>
    </row>
    <row r="757">
      <c r="D757" s="29"/>
      <c r="F757" s="31"/>
      <c r="G757" s="30"/>
      <c r="H757" s="30"/>
      <c r="J757" s="29"/>
      <c r="L757" s="30"/>
      <c r="M757" s="30"/>
      <c r="O757" s="32"/>
      <c r="P757" s="32"/>
      <c r="S757" s="32"/>
    </row>
    <row r="758">
      <c r="D758" s="29"/>
      <c r="F758" s="31"/>
      <c r="G758" s="30"/>
      <c r="H758" s="30"/>
      <c r="J758" s="29"/>
      <c r="L758" s="30"/>
      <c r="M758" s="30"/>
      <c r="O758" s="32"/>
      <c r="P758" s="32"/>
      <c r="S758" s="32"/>
    </row>
    <row r="759">
      <c r="D759" s="29"/>
      <c r="F759" s="31"/>
      <c r="G759" s="30"/>
      <c r="H759" s="30"/>
      <c r="J759" s="29"/>
      <c r="L759" s="30"/>
      <c r="M759" s="30"/>
      <c r="O759" s="32"/>
      <c r="P759" s="32"/>
      <c r="S759" s="32"/>
    </row>
    <row r="760">
      <c r="D760" s="29"/>
      <c r="F760" s="31"/>
      <c r="G760" s="30"/>
      <c r="H760" s="30"/>
      <c r="J760" s="29"/>
      <c r="L760" s="30"/>
      <c r="M760" s="30"/>
      <c r="O760" s="32"/>
      <c r="P760" s="32"/>
      <c r="S760" s="32"/>
    </row>
    <row r="761">
      <c r="D761" s="29"/>
      <c r="F761" s="31"/>
      <c r="G761" s="30"/>
      <c r="H761" s="30"/>
      <c r="J761" s="29"/>
      <c r="L761" s="30"/>
      <c r="M761" s="30"/>
      <c r="O761" s="32"/>
      <c r="P761" s="32"/>
      <c r="S761" s="32"/>
    </row>
    <row r="762">
      <c r="D762" s="29"/>
      <c r="F762" s="31"/>
      <c r="G762" s="30"/>
      <c r="H762" s="30"/>
      <c r="J762" s="29"/>
      <c r="L762" s="30"/>
      <c r="M762" s="30"/>
      <c r="O762" s="32"/>
      <c r="P762" s="32"/>
      <c r="S762" s="32"/>
    </row>
    <row r="763">
      <c r="D763" s="29"/>
      <c r="F763" s="31"/>
      <c r="G763" s="30"/>
      <c r="H763" s="30"/>
      <c r="J763" s="29"/>
      <c r="L763" s="30"/>
      <c r="M763" s="30"/>
      <c r="O763" s="32"/>
      <c r="P763" s="32"/>
      <c r="S763" s="32"/>
    </row>
    <row r="764">
      <c r="D764" s="29"/>
      <c r="F764" s="31"/>
      <c r="G764" s="30"/>
      <c r="H764" s="30"/>
      <c r="J764" s="29"/>
      <c r="L764" s="30"/>
      <c r="M764" s="30"/>
      <c r="O764" s="32"/>
      <c r="P764" s="32"/>
      <c r="S764" s="32"/>
    </row>
    <row r="765">
      <c r="D765" s="29"/>
      <c r="F765" s="31"/>
      <c r="G765" s="30"/>
      <c r="H765" s="30"/>
      <c r="J765" s="29"/>
      <c r="L765" s="30"/>
      <c r="M765" s="30"/>
      <c r="O765" s="32"/>
      <c r="P765" s="32"/>
      <c r="S765" s="32"/>
    </row>
    <row r="766">
      <c r="D766" s="29"/>
      <c r="F766" s="31"/>
      <c r="G766" s="30"/>
      <c r="H766" s="30"/>
      <c r="J766" s="29"/>
      <c r="L766" s="30"/>
      <c r="M766" s="30"/>
      <c r="O766" s="32"/>
      <c r="P766" s="32"/>
      <c r="S766" s="32"/>
    </row>
    <row r="767">
      <c r="D767" s="29"/>
      <c r="F767" s="31"/>
      <c r="G767" s="30"/>
      <c r="H767" s="30"/>
      <c r="J767" s="29"/>
      <c r="L767" s="30"/>
      <c r="M767" s="30"/>
      <c r="O767" s="32"/>
      <c r="P767" s="32"/>
      <c r="S767" s="32"/>
    </row>
    <row r="768">
      <c r="D768" s="29"/>
      <c r="F768" s="31"/>
      <c r="G768" s="30"/>
      <c r="H768" s="30"/>
      <c r="J768" s="29"/>
      <c r="L768" s="30"/>
      <c r="M768" s="30"/>
      <c r="O768" s="32"/>
      <c r="P768" s="32"/>
      <c r="S768" s="32"/>
    </row>
    <row r="769">
      <c r="D769" s="29"/>
      <c r="F769" s="31"/>
      <c r="G769" s="30"/>
      <c r="H769" s="30"/>
      <c r="J769" s="29"/>
      <c r="L769" s="30"/>
      <c r="M769" s="30"/>
      <c r="O769" s="32"/>
      <c r="P769" s="32"/>
      <c r="S769" s="32"/>
    </row>
    <row r="770">
      <c r="D770" s="29"/>
      <c r="F770" s="31"/>
      <c r="G770" s="30"/>
      <c r="H770" s="30"/>
      <c r="J770" s="29"/>
      <c r="L770" s="30"/>
      <c r="M770" s="30"/>
      <c r="O770" s="32"/>
      <c r="P770" s="32"/>
      <c r="S770" s="32"/>
    </row>
    <row r="771">
      <c r="D771" s="29"/>
      <c r="F771" s="31"/>
      <c r="G771" s="30"/>
      <c r="H771" s="30"/>
      <c r="J771" s="29"/>
      <c r="L771" s="30"/>
      <c r="M771" s="30"/>
      <c r="O771" s="32"/>
      <c r="P771" s="32"/>
      <c r="S771" s="32"/>
    </row>
    <row r="772">
      <c r="D772" s="29"/>
      <c r="F772" s="31"/>
      <c r="G772" s="30"/>
      <c r="H772" s="30"/>
      <c r="J772" s="29"/>
      <c r="L772" s="30"/>
      <c r="M772" s="30"/>
      <c r="O772" s="32"/>
      <c r="P772" s="32"/>
      <c r="S772" s="32"/>
    </row>
    <row r="773">
      <c r="D773" s="29"/>
      <c r="F773" s="31"/>
      <c r="G773" s="30"/>
      <c r="H773" s="30"/>
      <c r="J773" s="29"/>
      <c r="L773" s="30"/>
      <c r="M773" s="30"/>
      <c r="O773" s="32"/>
      <c r="P773" s="32"/>
      <c r="S773" s="32"/>
    </row>
    <row r="774">
      <c r="D774" s="29"/>
      <c r="F774" s="31"/>
      <c r="G774" s="30"/>
      <c r="H774" s="30"/>
      <c r="J774" s="29"/>
      <c r="L774" s="30"/>
      <c r="M774" s="30"/>
      <c r="O774" s="32"/>
      <c r="P774" s="32"/>
      <c r="S774" s="32"/>
    </row>
    <row r="775">
      <c r="D775" s="29"/>
      <c r="F775" s="31"/>
      <c r="G775" s="30"/>
      <c r="H775" s="30"/>
      <c r="J775" s="29"/>
      <c r="L775" s="30"/>
      <c r="M775" s="30"/>
      <c r="O775" s="32"/>
      <c r="P775" s="32"/>
      <c r="S775" s="32"/>
    </row>
    <row r="776">
      <c r="D776" s="29"/>
      <c r="F776" s="31"/>
      <c r="G776" s="30"/>
      <c r="H776" s="30"/>
      <c r="J776" s="29"/>
      <c r="L776" s="30"/>
      <c r="M776" s="30"/>
      <c r="O776" s="32"/>
      <c r="P776" s="32"/>
      <c r="S776" s="32"/>
    </row>
    <row r="777">
      <c r="D777" s="29"/>
      <c r="F777" s="31"/>
      <c r="G777" s="30"/>
      <c r="H777" s="30"/>
      <c r="J777" s="29"/>
      <c r="L777" s="30"/>
      <c r="M777" s="30"/>
      <c r="O777" s="32"/>
      <c r="P777" s="32"/>
      <c r="S777" s="32"/>
    </row>
    <row r="778">
      <c r="D778" s="29"/>
      <c r="F778" s="31"/>
      <c r="G778" s="30"/>
      <c r="H778" s="30"/>
      <c r="J778" s="29"/>
      <c r="L778" s="30"/>
      <c r="M778" s="30"/>
      <c r="O778" s="32"/>
      <c r="P778" s="32"/>
      <c r="S778" s="32"/>
    </row>
    <row r="779">
      <c r="D779" s="29"/>
      <c r="F779" s="31"/>
      <c r="G779" s="30"/>
      <c r="H779" s="30"/>
      <c r="J779" s="29"/>
      <c r="L779" s="30"/>
      <c r="M779" s="30"/>
      <c r="O779" s="32"/>
      <c r="P779" s="32"/>
      <c r="S779" s="32"/>
    </row>
    <row r="780">
      <c r="D780" s="29"/>
      <c r="F780" s="31"/>
      <c r="G780" s="30"/>
      <c r="H780" s="30"/>
      <c r="J780" s="29"/>
      <c r="L780" s="30"/>
      <c r="M780" s="30"/>
      <c r="O780" s="32"/>
      <c r="P780" s="32"/>
      <c r="S780" s="32"/>
    </row>
    <row r="781">
      <c r="D781" s="29"/>
      <c r="F781" s="31"/>
      <c r="G781" s="30"/>
      <c r="H781" s="30"/>
      <c r="J781" s="29"/>
      <c r="L781" s="30"/>
      <c r="M781" s="30"/>
      <c r="O781" s="32"/>
      <c r="P781" s="32"/>
      <c r="S781" s="32"/>
    </row>
    <row r="782">
      <c r="D782" s="29"/>
      <c r="F782" s="31"/>
      <c r="G782" s="30"/>
      <c r="H782" s="30"/>
      <c r="J782" s="29"/>
      <c r="L782" s="30"/>
      <c r="M782" s="30"/>
      <c r="O782" s="32"/>
      <c r="P782" s="32"/>
      <c r="S782" s="32"/>
    </row>
    <row r="783">
      <c r="D783" s="29"/>
      <c r="F783" s="31"/>
      <c r="G783" s="30"/>
      <c r="H783" s="30"/>
      <c r="J783" s="29"/>
      <c r="L783" s="30"/>
      <c r="M783" s="30"/>
      <c r="O783" s="32"/>
      <c r="P783" s="32"/>
      <c r="S783" s="32"/>
    </row>
    <row r="784">
      <c r="D784" s="29"/>
      <c r="F784" s="31"/>
      <c r="G784" s="30"/>
      <c r="H784" s="30"/>
      <c r="J784" s="29"/>
      <c r="L784" s="30"/>
      <c r="M784" s="30"/>
      <c r="O784" s="32"/>
      <c r="P784" s="32"/>
      <c r="S784" s="32"/>
    </row>
    <row r="785">
      <c r="D785" s="29"/>
      <c r="F785" s="31"/>
      <c r="G785" s="30"/>
      <c r="H785" s="30"/>
      <c r="J785" s="29"/>
      <c r="L785" s="30"/>
      <c r="M785" s="30"/>
      <c r="O785" s="32"/>
      <c r="P785" s="32"/>
      <c r="S785" s="32"/>
    </row>
    <row r="786">
      <c r="D786" s="29"/>
      <c r="F786" s="31"/>
      <c r="G786" s="30"/>
      <c r="H786" s="30"/>
      <c r="J786" s="29"/>
      <c r="L786" s="30"/>
      <c r="M786" s="30"/>
      <c r="O786" s="32"/>
      <c r="P786" s="32"/>
      <c r="S786" s="32"/>
    </row>
    <row r="787">
      <c r="D787" s="29"/>
      <c r="F787" s="31"/>
      <c r="G787" s="30"/>
      <c r="H787" s="30"/>
      <c r="J787" s="29"/>
      <c r="L787" s="30"/>
      <c r="M787" s="30"/>
      <c r="O787" s="32"/>
      <c r="P787" s="32"/>
      <c r="S787" s="32"/>
    </row>
    <row r="788">
      <c r="D788" s="29"/>
      <c r="F788" s="31"/>
      <c r="G788" s="30"/>
      <c r="H788" s="30"/>
      <c r="J788" s="29"/>
      <c r="L788" s="30"/>
      <c r="M788" s="30"/>
      <c r="O788" s="32"/>
      <c r="P788" s="32"/>
      <c r="S788" s="32"/>
    </row>
    <row r="789">
      <c r="D789" s="29"/>
      <c r="F789" s="31"/>
      <c r="G789" s="30"/>
      <c r="H789" s="30"/>
      <c r="J789" s="29"/>
      <c r="L789" s="30"/>
      <c r="M789" s="30"/>
      <c r="O789" s="32"/>
      <c r="P789" s="32"/>
      <c r="S789" s="32"/>
    </row>
    <row r="790">
      <c r="D790" s="29"/>
      <c r="F790" s="31"/>
      <c r="G790" s="30"/>
      <c r="H790" s="30"/>
      <c r="J790" s="29"/>
      <c r="L790" s="30"/>
      <c r="M790" s="30"/>
      <c r="O790" s="32"/>
      <c r="P790" s="32"/>
      <c r="S790" s="32"/>
    </row>
    <row r="791">
      <c r="D791" s="29"/>
      <c r="F791" s="31"/>
      <c r="G791" s="30"/>
      <c r="H791" s="30"/>
      <c r="J791" s="29"/>
      <c r="L791" s="30"/>
      <c r="M791" s="30"/>
      <c r="O791" s="32"/>
      <c r="P791" s="32"/>
      <c r="S791" s="32"/>
    </row>
    <row r="792">
      <c r="D792" s="29"/>
      <c r="F792" s="31"/>
      <c r="G792" s="30"/>
      <c r="H792" s="30"/>
      <c r="J792" s="29"/>
      <c r="L792" s="30"/>
      <c r="M792" s="30"/>
      <c r="O792" s="32"/>
      <c r="P792" s="32"/>
      <c r="S792" s="32"/>
    </row>
    <row r="793">
      <c r="D793" s="29"/>
      <c r="F793" s="31"/>
      <c r="G793" s="30"/>
      <c r="H793" s="30"/>
      <c r="J793" s="29"/>
      <c r="L793" s="30"/>
      <c r="M793" s="30"/>
      <c r="O793" s="32"/>
      <c r="P793" s="32"/>
      <c r="S793" s="32"/>
    </row>
    <row r="794">
      <c r="D794" s="29"/>
      <c r="F794" s="31"/>
      <c r="G794" s="30"/>
      <c r="H794" s="30"/>
      <c r="J794" s="29"/>
      <c r="L794" s="30"/>
      <c r="M794" s="30"/>
      <c r="O794" s="32"/>
      <c r="P794" s="32"/>
      <c r="S794" s="32"/>
    </row>
    <row r="795">
      <c r="D795" s="29"/>
      <c r="F795" s="31"/>
      <c r="G795" s="30"/>
      <c r="H795" s="30"/>
      <c r="J795" s="29"/>
      <c r="L795" s="30"/>
      <c r="M795" s="30"/>
      <c r="O795" s="32"/>
      <c r="P795" s="32"/>
      <c r="S795" s="32"/>
    </row>
    <row r="796">
      <c r="D796" s="29"/>
      <c r="F796" s="31"/>
      <c r="G796" s="30"/>
      <c r="H796" s="30"/>
      <c r="J796" s="29"/>
      <c r="L796" s="30"/>
      <c r="M796" s="30"/>
      <c r="O796" s="32"/>
      <c r="P796" s="32"/>
      <c r="S796" s="32"/>
    </row>
    <row r="797">
      <c r="D797" s="29"/>
      <c r="F797" s="31"/>
      <c r="G797" s="30"/>
      <c r="H797" s="30"/>
      <c r="J797" s="29"/>
      <c r="L797" s="30"/>
      <c r="M797" s="30"/>
      <c r="O797" s="32"/>
      <c r="P797" s="32"/>
      <c r="S797" s="32"/>
    </row>
    <row r="798">
      <c r="D798" s="29"/>
      <c r="F798" s="31"/>
      <c r="G798" s="30"/>
      <c r="H798" s="30"/>
      <c r="J798" s="29"/>
      <c r="L798" s="30"/>
      <c r="M798" s="30"/>
      <c r="O798" s="32"/>
      <c r="P798" s="32"/>
      <c r="S798" s="32"/>
    </row>
    <row r="799">
      <c r="D799" s="29"/>
      <c r="F799" s="31"/>
      <c r="G799" s="30"/>
      <c r="H799" s="30"/>
      <c r="J799" s="29"/>
      <c r="L799" s="30"/>
      <c r="M799" s="30"/>
      <c r="O799" s="32"/>
      <c r="P799" s="32"/>
      <c r="S799" s="32"/>
    </row>
    <row r="800">
      <c r="D800" s="29"/>
      <c r="F800" s="31"/>
      <c r="G800" s="30"/>
      <c r="H800" s="30"/>
      <c r="J800" s="29"/>
      <c r="L800" s="30"/>
      <c r="M800" s="30"/>
      <c r="O800" s="32"/>
      <c r="P800" s="32"/>
      <c r="S800" s="32"/>
    </row>
    <row r="801">
      <c r="D801" s="29"/>
      <c r="F801" s="31"/>
      <c r="G801" s="30"/>
      <c r="H801" s="30"/>
      <c r="J801" s="29"/>
      <c r="L801" s="30"/>
      <c r="M801" s="30"/>
      <c r="O801" s="32"/>
      <c r="P801" s="32"/>
      <c r="S801" s="32"/>
    </row>
    <row r="802">
      <c r="D802" s="29"/>
      <c r="F802" s="31"/>
      <c r="G802" s="30"/>
      <c r="H802" s="30"/>
      <c r="J802" s="29"/>
      <c r="L802" s="30"/>
      <c r="M802" s="30"/>
      <c r="O802" s="32"/>
      <c r="P802" s="32"/>
      <c r="S802" s="32"/>
    </row>
    <row r="803">
      <c r="D803" s="29"/>
      <c r="F803" s="31"/>
      <c r="G803" s="30"/>
      <c r="H803" s="30"/>
      <c r="J803" s="29"/>
      <c r="L803" s="30"/>
      <c r="M803" s="30"/>
      <c r="O803" s="32"/>
      <c r="P803" s="32"/>
      <c r="S803" s="32"/>
    </row>
    <row r="804">
      <c r="D804" s="29"/>
      <c r="F804" s="31"/>
      <c r="G804" s="30"/>
      <c r="H804" s="30"/>
      <c r="J804" s="29"/>
      <c r="L804" s="30"/>
      <c r="M804" s="30"/>
      <c r="O804" s="32"/>
      <c r="P804" s="32"/>
      <c r="S804" s="32"/>
    </row>
    <row r="805">
      <c r="D805" s="29"/>
      <c r="F805" s="31"/>
      <c r="G805" s="30"/>
      <c r="H805" s="30"/>
      <c r="J805" s="29"/>
      <c r="L805" s="30"/>
      <c r="M805" s="30"/>
      <c r="O805" s="32"/>
      <c r="P805" s="32"/>
      <c r="S805" s="32"/>
    </row>
    <row r="806">
      <c r="D806" s="29"/>
      <c r="F806" s="31"/>
      <c r="G806" s="30"/>
      <c r="H806" s="30"/>
      <c r="J806" s="29"/>
      <c r="L806" s="30"/>
      <c r="M806" s="30"/>
      <c r="O806" s="32"/>
      <c r="P806" s="32"/>
      <c r="S806" s="32"/>
    </row>
    <row r="807">
      <c r="D807" s="29"/>
      <c r="F807" s="31"/>
      <c r="G807" s="30"/>
      <c r="H807" s="30"/>
      <c r="J807" s="29"/>
      <c r="L807" s="30"/>
      <c r="M807" s="30"/>
      <c r="O807" s="32"/>
      <c r="P807" s="32"/>
      <c r="S807" s="32"/>
    </row>
    <row r="808">
      <c r="D808" s="29"/>
      <c r="F808" s="31"/>
      <c r="G808" s="30"/>
      <c r="H808" s="30"/>
      <c r="J808" s="29"/>
      <c r="L808" s="30"/>
      <c r="M808" s="30"/>
      <c r="O808" s="32"/>
      <c r="P808" s="32"/>
      <c r="S808" s="32"/>
    </row>
    <row r="809">
      <c r="D809" s="29"/>
      <c r="F809" s="31"/>
      <c r="G809" s="30"/>
      <c r="H809" s="30"/>
      <c r="J809" s="29"/>
      <c r="L809" s="30"/>
      <c r="M809" s="30"/>
      <c r="O809" s="32"/>
      <c r="P809" s="32"/>
      <c r="S809" s="32"/>
    </row>
    <row r="810">
      <c r="D810" s="29"/>
      <c r="F810" s="31"/>
      <c r="G810" s="30"/>
      <c r="H810" s="30"/>
      <c r="J810" s="29"/>
      <c r="L810" s="30"/>
      <c r="M810" s="30"/>
      <c r="O810" s="32"/>
      <c r="P810" s="32"/>
      <c r="S810" s="32"/>
    </row>
    <row r="811">
      <c r="D811" s="29"/>
      <c r="F811" s="31"/>
      <c r="G811" s="30"/>
      <c r="H811" s="30"/>
      <c r="J811" s="29"/>
      <c r="L811" s="30"/>
      <c r="M811" s="30"/>
      <c r="O811" s="32"/>
      <c r="P811" s="32"/>
      <c r="S811" s="32"/>
    </row>
    <row r="812">
      <c r="D812" s="29"/>
      <c r="F812" s="31"/>
      <c r="G812" s="30"/>
      <c r="H812" s="30"/>
      <c r="J812" s="29"/>
      <c r="L812" s="30"/>
      <c r="M812" s="30"/>
      <c r="O812" s="32"/>
      <c r="P812" s="32"/>
      <c r="S812" s="32"/>
    </row>
    <row r="813">
      <c r="D813" s="29"/>
      <c r="F813" s="31"/>
      <c r="G813" s="30"/>
      <c r="H813" s="30"/>
      <c r="J813" s="29"/>
      <c r="L813" s="30"/>
      <c r="M813" s="30"/>
      <c r="O813" s="32"/>
      <c r="P813" s="32"/>
      <c r="S813" s="32"/>
    </row>
    <row r="814">
      <c r="D814" s="29"/>
      <c r="F814" s="31"/>
      <c r="G814" s="30"/>
      <c r="H814" s="30"/>
      <c r="J814" s="29"/>
      <c r="L814" s="30"/>
      <c r="M814" s="30"/>
      <c r="O814" s="32"/>
      <c r="P814" s="32"/>
      <c r="S814" s="32"/>
    </row>
    <row r="815">
      <c r="D815" s="29"/>
      <c r="F815" s="31"/>
      <c r="G815" s="30"/>
      <c r="H815" s="30"/>
      <c r="J815" s="29"/>
      <c r="L815" s="30"/>
      <c r="M815" s="30"/>
      <c r="O815" s="32"/>
      <c r="P815" s="32"/>
      <c r="S815" s="32"/>
    </row>
    <row r="816">
      <c r="D816" s="29"/>
      <c r="F816" s="31"/>
      <c r="G816" s="30"/>
      <c r="H816" s="30"/>
      <c r="J816" s="29"/>
      <c r="L816" s="30"/>
      <c r="M816" s="30"/>
      <c r="O816" s="32"/>
      <c r="P816" s="32"/>
      <c r="S816" s="32"/>
    </row>
    <row r="817">
      <c r="D817" s="29"/>
      <c r="F817" s="31"/>
      <c r="G817" s="30"/>
      <c r="H817" s="30"/>
      <c r="J817" s="29"/>
      <c r="L817" s="30"/>
      <c r="M817" s="30"/>
      <c r="O817" s="32"/>
      <c r="P817" s="32"/>
      <c r="S817" s="32"/>
    </row>
    <row r="818">
      <c r="D818" s="29"/>
      <c r="F818" s="31"/>
      <c r="G818" s="30"/>
      <c r="H818" s="30"/>
      <c r="J818" s="29"/>
      <c r="L818" s="30"/>
      <c r="M818" s="30"/>
      <c r="O818" s="32"/>
      <c r="P818" s="32"/>
      <c r="S818" s="32"/>
    </row>
    <row r="819">
      <c r="D819" s="29"/>
      <c r="F819" s="31"/>
      <c r="G819" s="30"/>
      <c r="H819" s="30"/>
      <c r="J819" s="29"/>
      <c r="L819" s="30"/>
      <c r="M819" s="30"/>
      <c r="O819" s="32"/>
      <c r="P819" s="32"/>
      <c r="S819" s="32"/>
    </row>
    <row r="820">
      <c r="D820" s="29"/>
      <c r="F820" s="31"/>
      <c r="G820" s="30"/>
      <c r="H820" s="30"/>
      <c r="J820" s="29"/>
      <c r="L820" s="30"/>
      <c r="M820" s="30"/>
      <c r="O820" s="32"/>
      <c r="P820" s="32"/>
      <c r="S820" s="32"/>
    </row>
    <row r="821">
      <c r="D821" s="29"/>
      <c r="F821" s="31"/>
      <c r="G821" s="30"/>
      <c r="H821" s="30"/>
      <c r="J821" s="29"/>
      <c r="L821" s="30"/>
      <c r="M821" s="30"/>
      <c r="O821" s="32"/>
      <c r="P821" s="32"/>
      <c r="S821" s="32"/>
    </row>
    <row r="822">
      <c r="D822" s="29"/>
      <c r="F822" s="31"/>
      <c r="G822" s="30"/>
      <c r="H822" s="30"/>
      <c r="J822" s="29"/>
      <c r="L822" s="30"/>
      <c r="M822" s="30"/>
      <c r="O822" s="32"/>
      <c r="P822" s="32"/>
      <c r="S822" s="32"/>
    </row>
    <row r="823">
      <c r="D823" s="29"/>
      <c r="F823" s="31"/>
      <c r="G823" s="30"/>
      <c r="H823" s="30"/>
      <c r="J823" s="29"/>
      <c r="L823" s="30"/>
      <c r="M823" s="30"/>
      <c r="O823" s="32"/>
      <c r="P823" s="32"/>
      <c r="S823" s="32"/>
    </row>
    <row r="824">
      <c r="D824" s="29"/>
      <c r="F824" s="31"/>
      <c r="G824" s="30"/>
      <c r="H824" s="30"/>
      <c r="J824" s="29"/>
      <c r="L824" s="30"/>
      <c r="M824" s="30"/>
      <c r="O824" s="32"/>
      <c r="P824" s="32"/>
      <c r="S824" s="32"/>
    </row>
    <row r="825">
      <c r="D825" s="29"/>
      <c r="F825" s="31"/>
      <c r="G825" s="30"/>
      <c r="H825" s="30"/>
      <c r="J825" s="29"/>
      <c r="L825" s="30"/>
      <c r="M825" s="30"/>
      <c r="O825" s="32"/>
      <c r="P825" s="32"/>
      <c r="S825" s="32"/>
    </row>
    <row r="826">
      <c r="D826" s="29"/>
      <c r="F826" s="31"/>
      <c r="G826" s="30"/>
      <c r="H826" s="30"/>
      <c r="J826" s="29"/>
      <c r="L826" s="30"/>
      <c r="M826" s="30"/>
      <c r="O826" s="32"/>
      <c r="P826" s="32"/>
      <c r="S826" s="32"/>
    </row>
    <row r="827">
      <c r="D827" s="29"/>
      <c r="F827" s="31"/>
      <c r="G827" s="30"/>
      <c r="H827" s="30"/>
      <c r="J827" s="29"/>
      <c r="L827" s="30"/>
      <c r="M827" s="30"/>
      <c r="O827" s="32"/>
      <c r="P827" s="32"/>
      <c r="S827" s="32"/>
    </row>
    <row r="828">
      <c r="D828" s="29"/>
      <c r="F828" s="31"/>
      <c r="G828" s="30"/>
      <c r="H828" s="30"/>
      <c r="J828" s="29"/>
      <c r="L828" s="30"/>
      <c r="M828" s="30"/>
      <c r="O828" s="32"/>
      <c r="P828" s="32"/>
      <c r="S828" s="32"/>
    </row>
    <row r="829">
      <c r="D829" s="29"/>
      <c r="F829" s="31"/>
      <c r="G829" s="30"/>
      <c r="H829" s="30"/>
      <c r="J829" s="29"/>
      <c r="L829" s="30"/>
      <c r="M829" s="30"/>
      <c r="O829" s="32"/>
      <c r="P829" s="32"/>
      <c r="S829" s="32"/>
    </row>
    <row r="830">
      <c r="D830" s="29"/>
      <c r="F830" s="31"/>
      <c r="G830" s="30"/>
      <c r="H830" s="30"/>
      <c r="J830" s="29"/>
      <c r="L830" s="30"/>
      <c r="M830" s="30"/>
      <c r="O830" s="32"/>
      <c r="P830" s="32"/>
      <c r="S830" s="32"/>
    </row>
    <row r="831">
      <c r="D831" s="29"/>
      <c r="F831" s="31"/>
      <c r="G831" s="30"/>
      <c r="H831" s="30"/>
      <c r="J831" s="29"/>
      <c r="L831" s="30"/>
      <c r="M831" s="30"/>
      <c r="O831" s="32"/>
      <c r="P831" s="32"/>
      <c r="S831" s="32"/>
    </row>
    <row r="832">
      <c r="D832" s="29"/>
      <c r="F832" s="31"/>
      <c r="G832" s="30"/>
      <c r="H832" s="30"/>
      <c r="J832" s="29"/>
      <c r="L832" s="30"/>
      <c r="M832" s="30"/>
      <c r="O832" s="32"/>
      <c r="P832" s="32"/>
      <c r="S832" s="32"/>
    </row>
    <row r="833">
      <c r="D833" s="29"/>
      <c r="F833" s="31"/>
      <c r="G833" s="30"/>
      <c r="H833" s="30"/>
      <c r="J833" s="29"/>
      <c r="L833" s="30"/>
      <c r="M833" s="30"/>
      <c r="O833" s="32"/>
      <c r="P833" s="32"/>
      <c r="S833" s="32"/>
    </row>
    <row r="834">
      <c r="D834" s="29"/>
      <c r="F834" s="31"/>
      <c r="G834" s="30"/>
      <c r="H834" s="30"/>
      <c r="J834" s="29"/>
      <c r="L834" s="30"/>
      <c r="M834" s="30"/>
      <c r="O834" s="32"/>
      <c r="P834" s="32"/>
      <c r="S834" s="32"/>
    </row>
    <row r="835">
      <c r="D835" s="29"/>
      <c r="F835" s="31"/>
      <c r="G835" s="30"/>
      <c r="H835" s="30"/>
      <c r="J835" s="29"/>
      <c r="L835" s="30"/>
      <c r="M835" s="30"/>
      <c r="O835" s="32"/>
      <c r="P835" s="32"/>
      <c r="S835" s="32"/>
    </row>
    <row r="836">
      <c r="D836" s="29"/>
      <c r="F836" s="31"/>
      <c r="G836" s="30"/>
      <c r="H836" s="30"/>
      <c r="J836" s="29"/>
      <c r="L836" s="30"/>
      <c r="M836" s="30"/>
      <c r="O836" s="32"/>
      <c r="P836" s="32"/>
      <c r="S836" s="32"/>
    </row>
    <row r="837">
      <c r="D837" s="29"/>
      <c r="F837" s="31"/>
      <c r="G837" s="30"/>
      <c r="H837" s="30"/>
      <c r="J837" s="29"/>
      <c r="L837" s="30"/>
      <c r="M837" s="30"/>
      <c r="O837" s="32"/>
      <c r="P837" s="32"/>
      <c r="S837" s="32"/>
    </row>
    <row r="838">
      <c r="D838" s="29"/>
      <c r="F838" s="31"/>
      <c r="G838" s="30"/>
      <c r="H838" s="30"/>
      <c r="J838" s="29"/>
      <c r="L838" s="30"/>
      <c r="M838" s="30"/>
      <c r="O838" s="32"/>
      <c r="P838" s="32"/>
      <c r="S838" s="32"/>
    </row>
    <row r="839">
      <c r="D839" s="29"/>
      <c r="F839" s="31"/>
      <c r="G839" s="30"/>
      <c r="H839" s="30"/>
      <c r="J839" s="29"/>
      <c r="L839" s="30"/>
      <c r="M839" s="30"/>
      <c r="O839" s="32"/>
      <c r="P839" s="32"/>
      <c r="S839" s="32"/>
    </row>
    <row r="840">
      <c r="D840" s="29"/>
      <c r="F840" s="31"/>
      <c r="G840" s="30"/>
      <c r="H840" s="30"/>
      <c r="J840" s="29"/>
      <c r="L840" s="30"/>
      <c r="M840" s="30"/>
      <c r="O840" s="32"/>
      <c r="P840" s="32"/>
      <c r="S840" s="32"/>
    </row>
    <row r="841">
      <c r="D841" s="29"/>
      <c r="F841" s="31"/>
      <c r="G841" s="30"/>
      <c r="H841" s="30"/>
      <c r="J841" s="29"/>
      <c r="L841" s="30"/>
      <c r="M841" s="30"/>
      <c r="O841" s="32"/>
      <c r="P841" s="32"/>
      <c r="S841" s="32"/>
    </row>
    <row r="842">
      <c r="D842" s="29"/>
      <c r="F842" s="31"/>
      <c r="G842" s="30"/>
      <c r="H842" s="30"/>
      <c r="J842" s="29"/>
      <c r="L842" s="30"/>
      <c r="M842" s="30"/>
      <c r="O842" s="32"/>
      <c r="P842" s="32"/>
      <c r="S842" s="32"/>
    </row>
    <row r="843">
      <c r="D843" s="29"/>
      <c r="F843" s="31"/>
      <c r="G843" s="30"/>
      <c r="H843" s="30"/>
      <c r="J843" s="29"/>
      <c r="L843" s="30"/>
      <c r="M843" s="30"/>
      <c r="O843" s="32"/>
      <c r="P843" s="32"/>
      <c r="S843" s="32"/>
    </row>
    <row r="844">
      <c r="D844" s="29"/>
      <c r="F844" s="31"/>
      <c r="G844" s="30"/>
      <c r="H844" s="30"/>
      <c r="J844" s="29"/>
      <c r="L844" s="30"/>
      <c r="M844" s="30"/>
      <c r="O844" s="32"/>
      <c r="P844" s="32"/>
      <c r="S844" s="32"/>
    </row>
    <row r="845">
      <c r="D845" s="29"/>
      <c r="F845" s="31"/>
      <c r="G845" s="30"/>
      <c r="H845" s="30"/>
      <c r="J845" s="29"/>
      <c r="L845" s="30"/>
      <c r="M845" s="30"/>
      <c r="O845" s="32"/>
      <c r="P845" s="32"/>
      <c r="S845" s="32"/>
    </row>
    <row r="846">
      <c r="D846" s="29"/>
      <c r="F846" s="31"/>
      <c r="G846" s="30"/>
      <c r="H846" s="30"/>
      <c r="J846" s="29"/>
      <c r="L846" s="30"/>
      <c r="M846" s="30"/>
      <c r="O846" s="32"/>
      <c r="P846" s="32"/>
      <c r="S846" s="32"/>
    </row>
    <row r="847">
      <c r="D847" s="29"/>
      <c r="F847" s="31"/>
      <c r="G847" s="30"/>
      <c r="H847" s="30"/>
      <c r="J847" s="29"/>
      <c r="L847" s="30"/>
      <c r="M847" s="30"/>
      <c r="O847" s="32"/>
      <c r="P847" s="32"/>
      <c r="S847" s="32"/>
    </row>
    <row r="848">
      <c r="D848" s="29"/>
      <c r="F848" s="31"/>
      <c r="G848" s="30"/>
      <c r="H848" s="30"/>
      <c r="J848" s="29"/>
      <c r="L848" s="30"/>
      <c r="M848" s="30"/>
      <c r="O848" s="32"/>
      <c r="P848" s="32"/>
      <c r="S848" s="32"/>
    </row>
    <row r="849">
      <c r="D849" s="29"/>
      <c r="F849" s="31"/>
      <c r="G849" s="30"/>
      <c r="H849" s="30"/>
      <c r="J849" s="29"/>
      <c r="L849" s="30"/>
      <c r="M849" s="30"/>
      <c r="O849" s="32"/>
      <c r="P849" s="32"/>
      <c r="S849" s="32"/>
    </row>
    <row r="850">
      <c r="D850" s="29"/>
      <c r="F850" s="31"/>
      <c r="G850" s="30"/>
      <c r="H850" s="30"/>
      <c r="J850" s="29"/>
      <c r="L850" s="30"/>
      <c r="M850" s="30"/>
      <c r="O850" s="32"/>
      <c r="P850" s="32"/>
      <c r="S850" s="32"/>
    </row>
    <row r="851">
      <c r="D851" s="29"/>
      <c r="F851" s="31"/>
      <c r="G851" s="30"/>
      <c r="H851" s="30"/>
      <c r="J851" s="29"/>
      <c r="L851" s="30"/>
      <c r="M851" s="30"/>
      <c r="O851" s="32"/>
      <c r="P851" s="32"/>
      <c r="S851" s="32"/>
    </row>
    <row r="852">
      <c r="D852" s="29"/>
      <c r="F852" s="31"/>
      <c r="G852" s="30"/>
      <c r="H852" s="30"/>
      <c r="J852" s="29"/>
      <c r="L852" s="30"/>
      <c r="M852" s="30"/>
      <c r="O852" s="32"/>
      <c r="P852" s="32"/>
      <c r="S852" s="32"/>
    </row>
    <row r="853">
      <c r="D853" s="29"/>
      <c r="F853" s="31"/>
      <c r="G853" s="30"/>
      <c r="H853" s="30"/>
      <c r="J853" s="29"/>
      <c r="L853" s="30"/>
      <c r="M853" s="30"/>
      <c r="O853" s="32"/>
      <c r="P853" s="32"/>
      <c r="S853" s="32"/>
    </row>
    <row r="854">
      <c r="D854" s="29"/>
      <c r="F854" s="31"/>
      <c r="G854" s="30"/>
      <c r="H854" s="30"/>
      <c r="J854" s="29"/>
      <c r="L854" s="30"/>
      <c r="M854" s="30"/>
      <c r="O854" s="32"/>
      <c r="P854" s="32"/>
      <c r="S854" s="32"/>
    </row>
    <row r="855">
      <c r="D855" s="29"/>
      <c r="F855" s="31"/>
      <c r="G855" s="30"/>
      <c r="H855" s="30"/>
      <c r="J855" s="29"/>
      <c r="L855" s="30"/>
      <c r="M855" s="30"/>
      <c r="O855" s="32"/>
      <c r="P855" s="32"/>
      <c r="S855" s="32"/>
    </row>
    <row r="856">
      <c r="D856" s="29"/>
      <c r="F856" s="31"/>
      <c r="G856" s="30"/>
      <c r="H856" s="30"/>
      <c r="J856" s="29"/>
      <c r="L856" s="30"/>
      <c r="M856" s="30"/>
      <c r="O856" s="32"/>
      <c r="P856" s="32"/>
      <c r="S856" s="32"/>
    </row>
    <row r="857">
      <c r="D857" s="29"/>
      <c r="F857" s="31"/>
      <c r="G857" s="30"/>
      <c r="H857" s="30"/>
      <c r="J857" s="29"/>
      <c r="L857" s="30"/>
      <c r="M857" s="30"/>
      <c r="O857" s="32"/>
      <c r="P857" s="32"/>
      <c r="S857" s="32"/>
    </row>
    <row r="858">
      <c r="D858" s="29"/>
      <c r="F858" s="31"/>
      <c r="G858" s="30"/>
      <c r="H858" s="30"/>
      <c r="J858" s="29"/>
      <c r="L858" s="30"/>
      <c r="M858" s="30"/>
      <c r="O858" s="32"/>
      <c r="P858" s="32"/>
      <c r="S858" s="32"/>
    </row>
    <row r="859">
      <c r="D859" s="29"/>
      <c r="F859" s="31"/>
      <c r="G859" s="30"/>
      <c r="H859" s="30"/>
      <c r="J859" s="29"/>
      <c r="L859" s="30"/>
      <c r="M859" s="30"/>
      <c r="O859" s="32"/>
      <c r="P859" s="32"/>
      <c r="S859" s="32"/>
    </row>
    <row r="860">
      <c r="D860" s="29"/>
      <c r="F860" s="31"/>
      <c r="G860" s="30"/>
      <c r="H860" s="30"/>
      <c r="J860" s="29"/>
      <c r="L860" s="30"/>
      <c r="M860" s="30"/>
      <c r="O860" s="32"/>
      <c r="P860" s="32"/>
      <c r="S860" s="32"/>
    </row>
    <row r="861">
      <c r="D861" s="29"/>
      <c r="F861" s="31"/>
      <c r="G861" s="30"/>
      <c r="H861" s="30"/>
      <c r="J861" s="29"/>
      <c r="L861" s="30"/>
      <c r="M861" s="30"/>
      <c r="O861" s="32"/>
      <c r="P861" s="32"/>
      <c r="S861" s="32"/>
    </row>
    <row r="862">
      <c r="D862" s="29"/>
      <c r="F862" s="31"/>
      <c r="G862" s="30"/>
      <c r="H862" s="30"/>
      <c r="J862" s="29"/>
      <c r="L862" s="30"/>
      <c r="M862" s="30"/>
      <c r="O862" s="32"/>
      <c r="P862" s="32"/>
      <c r="S862" s="32"/>
    </row>
    <row r="863">
      <c r="D863" s="29"/>
      <c r="F863" s="31"/>
      <c r="G863" s="30"/>
      <c r="H863" s="30"/>
      <c r="J863" s="29"/>
      <c r="L863" s="30"/>
      <c r="M863" s="30"/>
      <c r="O863" s="32"/>
      <c r="P863" s="32"/>
      <c r="S863" s="32"/>
    </row>
    <row r="864">
      <c r="D864" s="29"/>
      <c r="F864" s="31"/>
      <c r="G864" s="30"/>
      <c r="H864" s="30"/>
      <c r="J864" s="29"/>
      <c r="L864" s="30"/>
      <c r="M864" s="30"/>
      <c r="O864" s="32"/>
      <c r="P864" s="32"/>
      <c r="S864" s="32"/>
    </row>
    <row r="865">
      <c r="D865" s="29"/>
      <c r="F865" s="31"/>
      <c r="G865" s="30"/>
      <c r="H865" s="30"/>
      <c r="J865" s="29"/>
      <c r="L865" s="30"/>
      <c r="M865" s="30"/>
      <c r="O865" s="32"/>
      <c r="P865" s="32"/>
      <c r="S865" s="32"/>
    </row>
    <row r="866">
      <c r="D866" s="29"/>
      <c r="F866" s="31"/>
      <c r="G866" s="30"/>
      <c r="H866" s="30"/>
      <c r="J866" s="29"/>
      <c r="L866" s="30"/>
      <c r="M866" s="30"/>
      <c r="O866" s="32"/>
      <c r="P866" s="32"/>
      <c r="S866" s="32"/>
    </row>
    <row r="867">
      <c r="D867" s="29"/>
      <c r="F867" s="31"/>
      <c r="G867" s="30"/>
      <c r="H867" s="30"/>
      <c r="J867" s="29"/>
      <c r="L867" s="30"/>
      <c r="M867" s="30"/>
      <c r="O867" s="32"/>
      <c r="P867" s="32"/>
      <c r="S867" s="32"/>
    </row>
    <row r="868">
      <c r="D868" s="29"/>
      <c r="F868" s="31"/>
      <c r="G868" s="30"/>
      <c r="H868" s="30"/>
      <c r="J868" s="29"/>
      <c r="L868" s="30"/>
      <c r="M868" s="30"/>
      <c r="O868" s="32"/>
      <c r="P868" s="32"/>
      <c r="S868" s="32"/>
    </row>
    <row r="869">
      <c r="D869" s="29"/>
      <c r="F869" s="31"/>
      <c r="G869" s="30"/>
      <c r="H869" s="30"/>
      <c r="J869" s="29"/>
      <c r="L869" s="30"/>
      <c r="M869" s="30"/>
      <c r="O869" s="32"/>
      <c r="P869" s="32"/>
      <c r="S869" s="32"/>
    </row>
    <row r="870">
      <c r="D870" s="29"/>
      <c r="F870" s="31"/>
      <c r="G870" s="30"/>
      <c r="H870" s="30"/>
      <c r="J870" s="29"/>
      <c r="L870" s="30"/>
      <c r="M870" s="30"/>
      <c r="O870" s="32"/>
      <c r="P870" s="32"/>
      <c r="S870" s="32"/>
    </row>
    <row r="871">
      <c r="D871" s="29"/>
      <c r="F871" s="31"/>
      <c r="G871" s="30"/>
      <c r="H871" s="30"/>
      <c r="J871" s="29"/>
      <c r="L871" s="30"/>
      <c r="M871" s="30"/>
      <c r="O871" s="32"/>
      <c r="P871" s="32"/>
      <c r="S871" s="32"/>
    </row>
    <row r="872">
      <c r="D872" s="29"/>
      <c r="F872" s="31"/>
      <c r="G872" s="30"/>
      <c r="H872" s="30"/>
      <c r="J872" s="29"/>
      <c r="L872" s="30"/>
      <c r="M872" s="30"/>
      <c r="O872" s="32"/>
      <c r="P872" s="32"/>
      <c r="S872" s="32"/>
    </row>
    <row r="873">
      <c r="D873" s="29"/>
      <c r="F873" s="31"/>
      <c r="G873" s="30"/>
      <c r="H873" s="30"/>
      <c r="J873" s="29"/>
      <c r="L873" s="30"/>
      <c r="M873" s="30"/>
      <c r="O873" s="32"/>
      <c r="P873" s="32"/>
      <c r="S873" s="32"/>
    </row>
    <row r="874">
      <c r="D874" s="29"/>
      <c r="F874" s="31"/>
      <c r="G874" s="30"/>
      <c r="H874" s="30"/>
      <c r="J874" s="29"/>
      <c r="L874" s="30"/>
      <c r="M874" s="30"/>
      <c r="O874" s="32"/>
      <c r="P874" s="32"/>
      <c r="S874" s="32"/>
    </row>
    <row r="875">
      <c r="D875" s="29"/>
      <c r="F875" s="31"/>
      <c r="G875" s="30"/>
      <c r="H875" s="30"/>
      <c r="J875" s="29"/>
      <c r="L875" s="30"/>
      <c r="M875" s="30"/>
      <c r="O875" s="32"/>
      <c r="P875" s="32"/>
      <c r="S875" s="32"/>
    </row>
    <row r="876">
      <c r="D876" s="29"/>
      <c r="F876" s="31"/>
      <c r="G876" s="30"/>
      <c r="H876" s="30"/>
      <c r="J876" s="29"/>
      <c r="L876" s="30"/>
      <c r="M876" s="30"/>
      <c r="O876" s="32"/>
      <c r="P876" s="32"/>
      <c r="S876" s="32"/>
    </row>
    <row r="877">
      <c r="D877" s="29"/>
      <c r="F877" s="31"/>
      <c r="G877" s="30"/>
      <c r="H877" s="30"/>
      <c r="J877" s="29"/>
      <c r="L877" s="30"/>
      <c r="M877" s="30"/>
      <c r="O877" s="32"/>
      <c r="P877" s="32"/>
      <c r="S877" s="32"/>
    </row>
    <row r="878">
      <c r="D878" s="29"/>
      <c r="F878" s="31"/>
      <c r="G878" s="30"/>
      <c r="H878" s="30"/>
      <c r="J878" s="29"/>
      <c r="L878" s="30"/>
      <c r="M878" s="30"/>
      <c r="O878" s="32"/>
      <c r="P878" s="32"/>
      <c r="S878" s="32"/>
    </row>
    <row r="879">
      <c r="D879" s="29"/>
      <c r="F879" s="31"/>
      <c r="G879" s="30"/>
      <c r="H879" s="30"/>
      <c r="J879" s="29"/>
      <c r="L879" s="30"/>
      <c r="M879" s="30"/>
      <c r="O879" s="32"/>
      <c r="P879" s="32"/>
      <c r="S879" s="32"/>
    </row>
    <row r="880">
      <c r="D880" s="29"/>
      <c r="F880" s="31"/>
      <c r="G880" s="30"/>
      <c r="H880" s="30"/>
      <c r="J880" s="29"/>
      <c r="L880" s="30"/>
      <c r="M880" s="30"/>
      <c r="O880" s="32"/>
      <c r="P880" s="32"/>
      <c r="S880" s="32"/>
    </row>
    <row r="881">
      <c r="D881" s="29"/>
      <c r="F881" s="31"/>
      <c r="G881" s="30"/>
      <c r="H881" s="30"/>
      <c r="J881" s="29"/>
      <c r="L881" s="30"/>
      <c r="M881" s="30"/>
      <c r="O881" s="32"/>
      <c r="P881" s="32"/>
      <c r="S881" s="32"/>
    </row>
    <row r="882">
      <c r="D882" s="29"/>
      <c r="F882" s="31"/>
      <c r="G882" s="30"/>
      <c r="H882" s="30"/>
      <c r="J882" s="29"/>
      <c r="L882" s="30"/>
      <c r="M882" s="30"/>
      <c r="O882" s="32"/>
      <c r="P882" s="32"/>
      <c r="S882" s="32"/>
    </row>
    <row r="883">
      <c r="D883" s="29"/>
      <c r="F883" s="31"/>
      <c r="G883" s="30"/>
      <c r="H883" s="30"/>
      <c r="J883" s="29"/>
      <c r="L883" s="30"/>
      <c r="M883" s="30"/>
      <c r="O883" s="32"/>
      <c r="P883" s="32"/>
      <c r="S883" s="32"/>
    </row>
    <row r="884">
      <c r="D884" s="29"/>
      <c r="F884" s="31"/>
      <c r="G884" s="30"/>
      <c r="H884" s="30"/>
      <c r="J884" s="29"/>
      <c r="L884" s="30"/>
      <c r="M884" s="30"/>
      <c r="O884" s="32"/>
      <c r="P884" s="32"/>
      <c r="S884" s="32"/>
    </row>
    <row r="885">
      <c r="D885" s="29"/>
      <c r="F885" s="31"/>
      <c r="G885" s="30"/>
      <c r="H885" s="30"/>
      <c r="J885" s="29"/>
      <c r="L885" s="30"/>
      <c r="M885" s="30"/>
      <c r="O885" s="32"/>
      <c r="P885" s="32"/>
      <c r="S885" s="32"/>
    </row>
    <row r="886">
      <c r="D886" s="29"/>
      <c r="F886" s="31"/>
      <c r="G886" s="30"/>
      <c r="H886" s="30"/>
      <c r="J886" s="29"/>
      <c r="L886" s="30"/>
      <c r="M886" s="30"/>
      <c r="O886" s="32"/>
      <c r="P886" s="32"/>
      <c r="S886" s="32"/>
    </row>
    <row r="887">
      <c r="D887" s="29"/>
      <c r="F887" s="31"/>
      <c r="G887" s="30"/>
      <c r="H887" s="30"/>
      <c r="J887" s="29"/>
      <c r="L887" s="30"/>
      <c r="M887" s="30"/>
      <c r="O887" s="32"/>
      <c r="P887" s="32"/>
      <c r="S887" s="32"/>
    </row>
    <row r="888">
      <c r="D888" s="29"/>
      <c r="F888" s="31"/>
      <c r="G888" s="30"/>
      <c r="H888" s="30"/>
      <c r="J888" s="29"/>
      <c r="L888" s="30"/>
      <c r="M888" s="30"/>
      <c r="O888" s="32"/>
      <c r="P888" s="32"/>
      <c r="S888" s="32"/>
    </row>
    <row r="889">
      <c r="D889" s="29"/>
      <c r="F889" s="31"/>
      <c r="G889" s="30"/>
      <c r="H889" s="30"/>
      <c r="J889" s="29"/>
      <c r="L889" s="30"/>
      <c r="M889" s="30"/>
      <c r="O889" s="32"/>
      <c r="P889" s="32"/>
      <c r="S889" s="32"/>
    </row>
    <row r="890">
      <c r="D890" s="29"/>
      <c r="F890" s="31"/>
      <c r="G890" s="30"/>
      <c r="H890" s="30"/>
      <c r="J890" s="29"/>
      <c r="L890" s="30"/>
      <c r="M890" s="30"/>
      <c r="O890" s="32"/>
      <c r="P890" s="32"/>
      <c r="S890" s="32"/>
    </row>
    <row r="891">
      <c r="D891" s="29"/>
      <c r="F891" s="31"/>
      <c r="G891" s="30"/>
      <c r="H891" s="30"/>
      <c r="J891" s="29"/>
      <c r="L891" s="30"/>
      <c r="M891" s="30"/>
      <c r="O891" s="32"/>
      <c r="P891" s="32"/>
      <c r="S891" s="32"/>
    </row>
    <row r="892">
      <c r="D892" s="29"/>
      <c r="F892" s="31"/>
      <c r="G892" s="30"/>
      <c r="H892" s="30"/>
      <c r="J892" s="29"/>
      <c r="L892" s="30"/>
      <c r="M892" s="30"/>
      <c r="O892" s="32"/>
      <c r="P892" s="32"/>
      <c r="S892" s="32"/>
    </row>
    <row r="893">
      <c r="D893" s="29"/>
      <c r="F893" s="31"/>
      <c r="G893" s="30"/>
      <c r="H893" s="30"/>
      <c r="J893" s="29"/>
      <c r="L893" s="30"/>
      <c r="M893" s="30"/>
      <c r="O893" s="32"/>
      <c r="P893" s="32"/>
      <c r="S893" s="32"/>
    </row>
    <row r="894">
      <c r="D894" s="29"/>
      <c r="F894" s="31"/>
      <c r="G894" s="30"/>
      <c r="H894" s="30"/>
      <c r="J894" s="29"/>
      <c r="L894" s="30"/>
      <c r="M894" s="30"/>
      <c r="O894" s="32"/>
      <c r="P894" s="32"/>
      <c r="S894" s="32"/>
    </row>
    <row r="895">
      <c r="D895" s="29"/>
      <c r="F895" s="31"/>
      <c r="G895" s="30"/>
      <c r="H895" s="30"/>
      <c r="J895" s="29"/>
      <c r="L895" s="30"/>
      <c r="M895" s="30"/>
      <c r="O895" s="32"/>
      <c r="P895" s="32"/>
      <c r="S895" s="32"/>
    </row>
    <row r="896">
      <c r="D896" s="29"/>
      <c r="F896" s="31"/>
      <c r="G896" s="30"/>
      <c r="H896" s="30"/>
      <c r="J896" s="29"/>
      <c r="L896" s="30"/>
      <c r="M896" s="30"/>
      <c r="O896" s="32"/>
      <c r="P896" s="32"/>
      <c r="S896" s="32"/>
    </row>
    <row r="897">
      <c r="D897" s="29"/>
      <c r="F897" s="31"/>
      <c r="G897" s="30"/>
      <c r="H897" s="30"/>
      <c r="J897" s="29"/>
      <c r="L897" s="30"/>
      <c r="M897" s="30"/>
      <c r="O897" s="32"/>
      <c r="P897" s="32"/>
      <c r="S897" s="32"/>
    </row>
    <row r="898">
      <c r="D898" s="29"/>
      <c r="F898" s="31"/>
      <c r="G898" s="30"/>
      <c r="H898" s="30"/>
      <c r="J898" s="29"/>
      <c r="L898" s="30"/>
      <c r="M898" s="30"/>
      <c r="O898" s="32"/>
      <c r="P898" s="32"/>
      <c r="S898" s="32"/>
    </row>
    <row r="899">
      <c r="D899" s="29"/>
      <c r="F899" s="31"/>
      <c r="G899" s="30"/>
      <c r="H899" s="30"/>
      <c r="J899" s="29"/>
      <c r="L899" s="30"/>
      <c r="M899" s="30"/>
      <c r="O899" s="32"/>
      <c r="P899" s="32"/>
      <c r="S899" s="32"/>
    </row>
    <row r="900">
      <c r="D900" s="29"/>
      <c r="F900" s="31"/>
      <c r="G900" s="30"/>
      <c r="H900" s="30"/>
      <c r="J900" s="29"/>
      <c r="L900" s="30"/>
      <c r="M900" s="30"/>
      <c r="O900" s="32"/>
      <c r="P900" s="32"/>
      <c r="S900" s="32"/>
    </row>
    <row r="901">
      <c r="D901" s="29"/>
      <c r="F901" s="31"/>
      <c r="G901" s="30"/>
      <c r="H901" s="30"/>
      <c r="J901" s="29"/>
      <c r="L901" s="30"/>
      <c r="M901" s="30"/>
      <c r="O901" s="32"/>
      <c r="P901" s="32"/>
      <c r="S901" s="32"/>
    </row>
    <row r="902">
      <c r="D902" s="29"/>
      <c r="F902" s="31"/>
      <c r="G902" s="30"/>
      <c r="H902" s="30"/>
      <c r="J902" s="29"/>
      <c r="L902" s="30"/>
      <c r="M902" s="30"/>
      <c r="O902" s="32"/>
      <c r="P902" s="32"/>
      <c r="S902" s="32"/>
    </row>
    <row r="903">
      <c r="D903" s="29"/>
      <c r="F903" s="31"/>
      <c r="G903" s="30"/>
      <c r="H903" s="30"/>
      <c r="J903" s="29"/>
      <c r="L903" s="30"/>
      <c r="M903" s="30"/>
      <c r="O903" s="32"/>
      <c r="P903" s="32"/>
      <c r="S903" s="32"/>
    </row>
    <row r="904">
      <c r="D904" s="29"/>
      <c r="F904" s="31"/>
      <c r="G904" s="30"/>
      <c r="H904" s="30"/>
      <c r="J904" s="29"/>
      <c r="L904" s="30"/>
      <c r="M904" s="30"/>
      <c r="O904" s="32"/>
      <c r="P904" s="32"/>
      <c r="S904" s="32"/>
    </row>
    <row r="905">
      <c r="D905" s="29"/>
      <c r="F905" s="31"/>
      <c r="G905" s="30"/>
      <c r="H905" s="30"/>
      <c r="J905" s="29"/>
      <c r="L905" s="30"/>
      <c r="M905" s="30"/>
      <c r="O905" s="32"/>
      <c r="P905" s="32"/>
      <c r="S905" s="32"/>
    </row>
    <row r="906">
      <c r="D906" s="29"/>
      <c r="F906" s="31"/>
      <c r="G906" s="30"/>
      <c r="H906" s="30"/>
      <c r="J906" s="29"/>
      <c r="L906" s="30"/>
      <c r="M906" s="30"/>
      <c r="O906" s="32"/>
      <c r="P906" s="32"/>
      <c r="S906" s="32"/>
    </row>
    <row r="907">
      <c r="D907" s="29"/>
      <c r="F907" s="31"/>
      <c r="G907" s="30"/>
      <c r="H907" s="30"/>
      <c r="J907" s="29"/>
      <c r="L907" s="30"/>
      <c r="M907" s="30"/>
      <c r="O907" s="32"/>
      <c r="P907" s="32"/>
      <c r="S907" s="32"/>
    </row>
    <row r="908">
      <c r="D908" s="29"/>
      <c r="F908" s="31"/>
      <c r="G908" s="30"/>
      <c r="H908" s="30"/>
      <c r="J908" s="29"/>
      <c r="L908" s="30"/>
      <c r="M908" s="30"/>
      <c r="O908" s="32"/>
      <c r="P908" s="32"/>
      <c r="S908" s="32"/>
    </row>
    <row r="909">
      <c r="D909" s="29"/>
      <c r="F909" s="31"/>
      <c r="G909" s="30"/>
      <c r="H909" s="30"/>
      <c r="J909" s="29"/>
      <c r="L909" s="30"/>
      <c r="M909" s="30"/>
      <c r="O909" s="32"/>
      <c r="P909" s="32"/>
      <c r="S909" s="32"/>
    </row>
    <row r="910">
      <c r="D910" s="29"/>
      <c r="F910" s="31"/>
      <c r="G910" s="30"/>
      <c r="H910" s="30"/>
      <c r="J910" s="29"/>
      <c r="L910" s="30"/>
      <c r="M910" s="30"/>
      <c r="O910" s="32"/>
      <c r="P910" s="32"/>
      <c r="S910" s="32"/>
    </row>
    <row r="911">
      <c r="D911" s="29"/>
      <c r="F911" s="31"/>
      <c r="G911" s="30"/>
      <c r="H911" s="30"/>
      <c r="J911" s="29"/>
      <c r="L911" s="30"/>
      <c r="M911" s="30"/>
      <c r="O911" s="32"/>
      <c r="P911" s="32"/>
      <c r="S911" s="32"/>
    </row>
    <row r="912">
      <c r="D912" s="29"/>
      <c r="F912" s="31"/>
      <c r="G912" s="30"/>
      <c r="H912" s="30"/>
      <c r="J912" s="29"/>
      <c r="L912" s="30"/>
      <c r="M912" s="30"/>
      <c r="O912" s="32"/>
      <c r="P912" s="32"/>
      <c r="S912" s="32"/>
    </row>
    <row r="913">
      <c r="D913" s="29"/>
      <c r="F913" s="31"/>
      <c r="G913" s="30"/>
      <c r="H913" s="30"/>
      <c r="J913" s="29"/>
      <c r="L913" s="30"/>
      <c r="M913" s="30"/>
      <c r="O913" s="32"/>
      <c r="P913" s="32"/>
      <c r="S913" s="32"/>
    </row>
    <row r="914">
      <c r="D914" s="29"/>
      <c r="F914" s="31"/>
      <c r="G914" s="30"/>
      <c r="H914" s="30"/>
      <c r="J914" s="29"/>
      <c r="L914" s="30"/>
      <c r="M914" s="30"/>
      <c r="O914" s="32"/>
      <c r="P914" s="32"/>
      <c r="S914" s="32"/>
    </row>
    <row r="915">
      <c r="D915" s="29"/>
      <c r="F915" s="31"/>
      <c r="G915" s="30"/>
      <c r="H915" s="30"/>
      <c r="J915" s="29"/>
      <c r="L915" s="30"/>
      <c r="M915" s="30"/>
      <c r="O915" s="32"/>
      <c r="P915" s="32"/>
      <c r="S915" s="32"/>
    </row>
    <row r="916">
      <c r="D916" s="29"/>
      <c r="F916" s="31"/>
      <c r="G916" s="30"/>
      <c r="H916" s="30"/>
      <c r="J916" s="29"/>
      <c r="L916" s="30"/>
      <c r="M916" s="30"/>
      <c r="O916" s="32"/>
      <c r="P916" s="32"/>
      <c r="S916" s="32"/>
    </row>
    <row r="917">
      <c r="D917" s="29"/>
      <c r="F917" s="31"/>
      <c r="G917" s="30"/>
      <c r="H917" s="30"/>
      <c r="J917" s="29"/>
      <c r="L917" s="30"/>
      <c r="M917" s="30"/>
      <c r="O917" s="32"/>
      <c r="P917" s="32"/>
      <c r="S917" s="32"/>
    </row>
    <row r="918">
      <c r="D918" s="29"/>
      <c r="F918" s="31"/>
      <c r="G918" s="30"/>
      <c r="H918" s="30"/>
      <c r="J918" s="29"/>
      <c r="L918" s="30"/>
      <c r="M918" s="30"/>
      <c r="O918" s="32"/>
      <c r="P918" s="32"/>
      <c r="S918" s="32"/>
    </row>
    <row r="919">
      <c r="D919" s="29"/>
      <c r="F919" s="31"/>
      <c r="G919" s="30"/>
      <c r="H919" s="30"/>
      <c r="J919" s="29"/>
      <c r="L919" s="30"/>
      <c r="M919" s="30"/>
      <c r="O919" s="32"/>
      <c r="P919" s="32"/>
      <c r="S919" s="32"/>
    </row>
    <row r="920">
      <c r="D920" s="29"/>
      <c r="F920" s="31"/>
      <c r="G920" s="30"/>
      <c r="H920" s="30"/>
      <c r="J920" s="29"/>
      <c r="L920" s="30"/>
      <c r="M920" s="30"/>
      <c r="O920" s="32"/>
      <c r="P920" s="32"/>
      <c r="S920" s="32"/>
    </row>
    <row r="921">
      <c r="D921" s="29"/>
      <c r="F921" s="31"/>
      <c r="G921" s="30"/>
      <c r="H921" s="30"/>
      <c r="J921" s="29"/>
      <c r="L921" s="30"/>
      <c r="M921" s="30"/>
      <c r="O921" s="32"/>
      <c r="P921" s="32"/>
      <c r="S921" s="32"/>
    </row>
    <row r="922">
      <c r="D922" s="29"/>
      <c r="F922" s="31"/>
      <c r="G922" s="30"/>
      <c r="H922" s="30"/>
      <c r="J922" s="29"/>
      <c r="L922" s="30"/>
      <c r="M922" s="30"/>
      <c r="O922" s="32"/>
      <c r="P922" s="32"/>
      <c r="S922" s="32"/>
    </row>
    <row r="923">
      <c r="D923" s="29"/>
      <c r="F923" s="31"/>
      <c r="G923" s="30"/>
      <c r="H923" s="30"/>
      <c r="J923" s="29"/>
      <c r="L923" s="30"/>
      <c r="M923" s="30"/>
      <c r="O923" s="32"/>
      <c r="P923" s="32"/>
      <c r="S923" s="32"/>
    </row>
    <row r="924">
      <c r="D924" s="29"/>
      <c r="F924" s="31"/>
      <c r="G924" s="30"/>
      <c r="H924" s="30"/>
      <c r="J924" s="29"/>
      <c r="L924" s="30"/>
      <c r="M924" s="30"/>
      <c r="O924" s="32"/>
      <c r="P924" s="32"/>
      <c r="S924" s="32"/>
    </row>
    <row r="925">
      <c r="D925" s="29"/>
      <c r="F925" s="31"/>
      <c r="G925" s="30"/>
      <c r="H925" s="30"/>
      <c r="J925" s="29"/>
      <c r="L925" s="30"/>
      <c r="M925" s="30"/>
      <c r="O925" s="32"/>
      <c r="P925" s="32"/>
      <c r="S925" s="32"/>
    </row>
    <row r="926">
      <c r="D926" s="29"/>
      <c r="F926" s="31"/>
      <c r="G926" s="30"/>
      <c r="H926" s="30"/>
      <c r="J926" s="29"/>
      <c r="L926" s="30"/>
      <c r="M926" s="30"/>
      <c r="O926" s="32"/>
      <c r="P926" s="32"/>
      <c r="S926" s="32"/>
    </row>
    <row r="927">
      <c r="D927" s="29"/>
      <c r="F927" s="31"/>
      <c r="G927" s="30"/>
      <c r="H927" s="30"/>
      <c r="J927" s="29"/>
      <c r="L927" s="30"/>
      <c r="M927" s="30"/>
      <c r="O927" s="32"/>
      <c r="P927" s="32"/>
      <c r="S927" s="32"/>
    </row>
    <row r="928">
      <c r="D928" s="29"/>
      <c r="F928" s="31"/>
      <c r="G928" s="30"/>
      <c r="H928" s="30"/>
      <c r="J928" s="29"/>
      <c r="L928" s="30"/>
      <c r="M928" s="30"/>
      <c r="O928" s="32"/>
      <c r="P928" s="32"/>
      <c r="S928" s="32"/>
    </row>
    <row r="929">
      <c r="D929" s="29"/>
      <c r="F929" s="31"/>
      <c r="G929" s="30"/>
      <c r="H929" s="30"/>
      <c r="J929" s="29"/>
      <c r="L929" s="30"/>
      <c r="M929" s="30"/>
      <c r="O929" s="32"/>
      <c r="P929" s="32"/>
      <c r="S929" s="32"/>
    </row>
    <row r="930">
      <c r="D930" s="29"/>
      <c r="F930" s="31"/>
      <c r="G930" s="30"/>
      <c r="H930" s="30"/>
      <c r="J930" s="29"/>
      <c r="L930" s="30"/>
      <c r="M930" s="30"/>
      <c r="O930" s="32"/>
      <c r="P930" s="32"/>
      <c r="S930" s="32"/>
    </row>
    <row r="931">
      <c r="D931" s="29"/>
      <c r="F931" s="31"/>
      <c r="G931" s="30"/>
      <c r="H931" s="30"/>
      <c r="J931" s="29"/>
      <c r="L931" s="30"/>
      <c r="M931" s="30"/>
      <c r="O931" s="32"/>
      <c r="P931" s="32"/>
      <c r="S931" s="32"/>
    </row>
    <row r="932">
      <c r="D932" s="29"/>
      <c r="F932" s="31"/>
      <c r="G932" s="30"/>
      <c r="H932" s="30"/>
      <c r="J932" s="29"/>
      <c r="L932" s="30"/>
      <c r="M932" s="30"/>
      <c r="O932" s="32"/>
      <c r="P932" s="32"/>
      <c r="S932" s="32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88"/>
    <col customWidth="1" min="2" max="22" width="6.38"/>
  </cols>
  <sheetData>
    <row r="1">
      <c r="A1" s="1"/>
      <c r="B1" s="2" t="s">
        <v>37</v>
      </c>
      <c r="C1" s="2">
        <v>10.0</v>
      </c>
      <c r="D1" s="37" t="s">
        <v>210</v>
      </c>
      <c r="E1" s="2" t="s">
        <v>30</v>
      </c>
      <c r="F1" s="2">
        <v>10.0</v>
      </c>
      <c r="G1" s="37" t="s">
        <v>210</v>
      </c>
      <c r="H1" s="2" t="s">
        <v>3</v>
      </c>
      <c r="I1" s="2">
        <v>10.0</v>
      </c>
      <c r="J1" s="37" t="s">
        <v>210</v>
      </c>
      <c r="K1" s="2" t="s">
        <v>211</v>
      </c>
      <c r="L1" s="2">
        <v>10.0</v>
      </c>
      <c r="M1" s="38" t="s">
        <v>210</v>
      </c>
      <c r="N1" s="2" t="s">
        <v>212</v>
      </c>
      <c r="O1" s="2">
        <v>10.0</v>
      </c>
      <c r="P1" s="38" t="s">
        <v>210</v>
      </c>
      <c r="Q1" s="2" t="s">
        <v>213</v>
      </c>
      <c r="R1" s="2">
        <v>10.0</v>
      </c>
      <c r="S1" s="38" t="s">
        <v>210</v>
      </c>
      <c r="T1" s="2" t="s">
        <v>214</v>
      </c>
      <c r="U1" s="2">
        <v>10.0</v>
      </c>
      <c r="V1" s="38" t="s">
        <v>210</v>
      </c>
    </row>
    <row r="2">
      <c r="A2" s="2" t="s">
        <v>44</v>
      </c>
      <c r="B2" s="11">
        <v>32.0</v>
      </c>
      <c r="C2" s="11">
        <v>22.0</v>
      </c>
      <c r="D2" s="39">
        <f t="shared" ref="D2:D33" si="1">C2/B2</f>
        <v>0.6875</v>
      </c>
      <c r="E2" s="11">
        <v>9.0</v>
      </c>
      <c r="F2" s="11">
        <v>8.0</v>
      </c>
      <c r="G2" s="39">
        <f t="shared" ref="G2:G11" si="2">F2/E2</f>
        <v>0.8888888889</v>
      </c>
      <c r="H2" s="11">
        <v>9.0</v>
      </c>
      <c r="I2" s="11">
        <v>6.0</v>
      </c>
      <c r="J2" s="39">
        <f t="shared" ref="J2:J5" si="3">I2/H2</f>
        <v>0.6666666667</v>
      </c>
      <c r="K2" s="11">
        <v>3.0</v>
      </c>
      <c r="L2" s="11">
        <v>2.0</v>
      </c>
      <c r="M2" s="39">
        <f t="shared" ref="M2:M11" si="4">L2/K2</f>
        <v>0.6666666667</v>
      </c>
      <c r="N2" s="11">
        <v>3.0</v>
      </c>
      <c r="O2" s="11">
        <v>3.0</v>
      </c>
      <c r="P2" s="39">
        <f t="shared" ref="P2:P11" si="5">O2/N2</f>
        <v>1</v>
      </c>
      <c r="Q2" s="11">
        <v>2.0</v>
      </c>
      <c r="R2" s="11">
        <v>1.0</v>
      </c>
      <c r="S2" s="39">
        <f t="shared" ref="S2:S21" si="6">R2/Q2</f>
        <v>0.5</v>
      </c>
      <c r="T2" s="11">
        <v>6.0</v>
      </c>
      <c r="U2" s="11">
        <v>2.0</v>
      </c>
      <c r="V2" s="39">
        <f t="shared" ref="V2:V33" si="7">U2/T2</f>
        <v>0.3333333333</v>
      </c>
    </row>
    <row r="3">
      <c r="A3" s="2" t="s">
        <v>51</v>
      </c>
      <c r="B3" s="11">
        <v>29.0</v>
      </c>
      <c r="C3" s="11">
        <v>16.0</v>
      </c>
      <c r="D3" s="39">
        <f t="shared" si="1"/>
        <v>0.5517241379</v>
      </c>
      <c r="E3" s="11">
        <v>6.0</v>
      </c>
      <c r="F3" s="11">
        <v>4.0</v>
      </c>
      <c r="G3" s="39">
        <f t="shared" si="2"/>
        <v>0.6666666667</v>
      </c>
      <c r="H3" s="11">
        <v>7.0</v>
      </c>
      <c r="I3" s="11">
        <v>3.0</v>
      </c>
      <c r="J3" s="39">
        <f t="shared" si="3"/>
        <v>0.4285714286</v>
      </c>
      <c r="K3" s="11">
        <v>3.0</v>
      </c>
      <c r="L3" s="11">
        <v>1.0</v>
      </c>
      <c r="M3" s="39">
        <f t="shared" si="4"/>
        <v>0.3333333333</v>
      </c>
      <c r="N3" s="11">
        <v>4.0</v>
      </c>
      <c r="O3" s="11">
        <v>1.0</v>
      </c>
      <c r="P3" s="39">
        <f t="shared" si="5"/>
        <v>0.25</v>
      </c>
      <c r="Q3" s="11">
        <v>3.0</v>
      </c>
      <c r="R3" s="11">
        <v>2.0</v>
      </c>
      <c r="S3" s="39">
        <f t="shared" si="6"/>
        <v>0.6666666667</v>
      </c>
      <c r="T3" s="11">
        <v>6.0</v>
      </c>
      <c r="U3" s="11">
        <v>4.0</v>
      </c>
      <c r="V3" s="39">
        <f t="shared" si="7"/>
        <v>0.6666666667</v>
      </c>
    </row>
    <row r="4">
      <c r="A4" s="2" t="s">
        <v>39</v>
      </c>
      <c r="B4" s="11">
        <v>38.0</v>
      </c>
      <c r="C4" s="11">
        <v>19.0</v>
      </c>
      <c r="D4" s="39">
        <f t="shared" si="1"/>
        <v>0.5</v>
      </c>
      <c r="E4" s="11">
        <v>9.0</v>
      </c>
      <c r="F4" s="11">
        <v>8.0</v>
      </c>
      <c r="G4" s="39">
        <f t="shared" si="2"/>
        <v>0.8888888889</v>
      </c>
      <c r="H4" s="11">
        <v>7.0</v>
      </c>
      <c r="I4" s="11">
        <v>4.0</v>
      </c>
      <c r="J4" s="39">
        <f t="shared" si="3"/>
        <v>0.5714285714</v>
      </c>
      <c r="K4" s="11">
        <v>5.0</v>
      </c>
      <c r="L4" s="11">
        <v>1.0</v>
      </c>
      <c r="M4" s="39">
        <f t="shared" si="4"/>
        <v>0.2</v>
      </c>
      <c r="N4" s="11">
        <v>3.0</v>
      </c>
      <c r="O4" s="11">
        <v>1.0</v>
      </c>
      <c r="P4" s="39">
        <f t="shared" si="5"/>
        <v>0.3333333333</v>
      </c>
      <c r="Q4" s="11">
        <v>6.0</v>
      </c>
      <c r="R4" s="11">
        <v>1.0</v>
      </c>
      <c r="S4" s="39">
        <f t="shared" si="6"/>
        <v>0.1666666667</v>
      </c>
      <c r="T4" s="11">
        <v>8.0</v>
      </c>
      <c r="U4" s="11">
        <v>4.0</v>
      </c>
      <c r="V4" s="39">
        <f t="shared" si="7"/>
        <v>0.5</v>
      </c>
    </row>
    <row r="5">
      <c r="A5" s="2" t="s">
        <v>47</v>
      </c>
      <c r="B5" s="11">
        <v>31.0</v>
      </c>
      <c r="C5" s="11">
        <v>15.0</v>
      </c>
      <c r="D5" s="39">
        <f t="shared" si="1"/>
        <v>0.4838709677</v>
      </c>
      <c r="E5" s="11">
        <v>7.0</v>
      </c>
      <c r="F5" s="11">
        <v>7.0</v>
      </c>
      <c r="G5" s="39">
        <f t="shared" si="2"/>
        <v>1</v>
      </c>
      <c r="H5" s="11">
        <v>7.0</v>
      </c>
      <c r="I5" s="11">
        <v>1.0</v>
      </c>
      <c r="J5" s="39">
        <f t="shared" si="3"/>
        <v>0.1428571429</v>
      </c>
      <c r="K5" s="11">
        <v>6.0</v>
      </c>
      <c r="L5" s="11">
        <v>2.0</v>
      </c>
      <c r="M5" s="39">
        <f t="shared" si="4"/>
        <v>0.3333333333</v>
      </c>
      <c r="N5" s="11">
        <v>4.0</v>
      </c>
      <c r="O5" s="11">
        <v>3.0</v>
      </c>
      <c r="P5" s="39">
        <f t="shared" si="5"/>
        <v>0.75</v>
      </c>
      <c r="Q5" s="11">
        <v>2.0</v>
      </c>
      <c r="R5" s="11">
        <v>1.0</v>
      </c>
      <c r="S5" s="39">
        <f t="shared" si="6"/>
        <v>0.5</v>
      </c>
      <c r="T5" s="11">
        <v>4.0</v>
      </c>
      <c r="U5" s="11">
        <v>1.0</v>
      </c>
      <c r="V5" s="39">
        <f t="shared" si="7"/>
        <v>0.25</v>
      </c>
    </row>
    <row r="6">
      <c r="A6" s="2" t="s">
        <v>64</v>
      </c>
      <c r="B6" s="11">
        <v>20.0</v>
      </c>
      <c r="C6" s="11">
        <v>9.0</v>
      </c>
      <c r="D6" s="39">
        <f t="shared" si="1"/>
        <v>0.45</v>
      </c>
      <c r="E6" s="11">
        <v>8.0</v>
      </c>
      <c r="F6" s="11">
        <v>6.0</v>
      </c>
      <c r="G6" s="39">
        <f t="shared" si="2"/>
        <v>0.75</v>
      </c>
      <c r="H6" s="11">
        <v>0.0</v>
      </c>
      <c r="I6" s="11">
        <v>0.0</v>
      </c>
      <c r="J6" s="40" t="s">
        <v>41</v>
      </c>
      <c r="K6" s="11">
        <v>4.0</v>
      </c>
      <c r="L6" s="11">
        <v>2.0</v>
      </c>
      <c r="M6" s="39">
        <f t="shared" si="4"/>
        <v>0.5</v>
      </c>
      <c r="N6" s="11">
        <v>2.0</v>
      </c>
      <c r="O6" s="11">
        <v>0.0</v>
      </c>
      <c r="P6" s="39">
        <f t="shared" si="5"/>
        <v>0</v>
      </c>
      <c r="Q6" s="11">
        <v>4.0</v>
      </c>
      <c r="R6" s="11">
        <v>1.0</v>
      </c>
      <c r="S6" s="39">
        <f t="shared" si="6"/>
        <v>0.25</v>
      </c>
      <c r="T6" s="11">
        <v>2.0</v>
      </c>
      <c r="U6" s="11">
        <v>0.0</v>
      </c>
      <c r="V6" s="39">
        <f t="shared" si="7"/>
        <v>0</v>
      </c>
    </row>
    <row r="7">
      <c r="A7" s="2" t="s">
        <v>56</v>
      </c>
      <c r="B7" s="11">
        <v>30.0</v>
      </c>
      <c r="C7" s="11">
        <v>13.0</v>
      </c>
      <c r="D7" s="39">
        <f t="shared" si="1"/>
        <v>0.4333333333</v>
      </c>
      <c r="E7" s="11">
        <v>7.0</v>
      </c>
      <c r="F7" s="11">
        <v>3.0</v>
      </c>
      <c r="G7" s="39">
        <f t="shared" si="2"/>
        <v>0.4285714286</v>
      </c>
      <c r="H7" s="11">
        <v>9.0</v>
      </c>
      <c r="I7" s="11">
        <v>5.0</v>
      </c>
      <c r="J7" s="39">
        <f t="shared" ref="J7:J33" si="8">I7/H7</f>
        <v>0.5555555556</v>
      </c>
      <c r="K7" s="11">
        <v>4.0</v>
      </c>
      <c r="L7" s="11">
        <v>0.0</v>
      </c>
      <c r="M7" s="39">
        <f t="shared" si="4"/>
        <v>0</v>
      </c>
      <c r="N7" s="11">
        <v>2.0</v>
      </c>
      <c r="O7" s="11">
        <v>0.0</v>
      </c>
      <c r="P7" s="39">
        <f t="shared" si="5"/>
        <v>0</v>
      </c>
      <c r="Q7" s="11">
        <v>3.0</v>
      </c>
      <c r="R7" s="11">
        <v>2.0</v>
      </c>
      <c r="S7" s="39">
        <f t="shared" si="6"/>
        <v>0.6666666667</v>
      </c>
      <c r="T7" s="11">
        <v>5.0</v>
      </c>
      <c r="U7" s="11">
        <v>3.0</v>
      </c>
      <c r="V7" s="39">
        <f t="shared" si="7"/>
        <v>0.6</v>
      </c>
    </row>
    <row r="8">
      <c r="A8" s="2" t="s">
        <v>62</v>
      </c>
      <c r="B8" s="11">
        <v>30.0</v>
      </c>
      <c r="C8" s="11">
        <v>12.0</v>
      </c>
      <c r="D8" s="39">
        <f t="shared" si="1"/>
        <v>0.4</v>
      </c>
      <c r="E8" s="11">
        <v>6.0</v>
      </c>
      <c r="F8" s="11">
        <v>2.0</v>
      </c>
      <c r="G8" s="39">
        <f t="shared" si="2"/>
        <v>0.3333333333</v>
      </c>
      <c r="H8" s="11">
        <v>7.0</v>
      </c>
      <c r="I8" s="11">
        <v>3.0</v>
      </c>
      <c r="J8" s="39">
        <f t="shared" si="8"/>
        <v>0.4285714286</v>
      </c>
      <c r="K8" s="11">
        <v>3.0</v>
      </c>
      <c r="L8" s="11">
        <v>0.0</v>
      </c>
      <c r="M8" s="39">
        <f t="shared" si="4"/>
        <v>0</v>
      </c>
      <c r="N8" s="11">
        <v>4.0</v>
      </c>
      <c r="O8" s="11">
        <v>3.0</v>
      </c>
      <c r="P8" s="39">
        <f t="shared" si="5"/>
        <v>0.75</v>
      </c>
      <c r="Q8" s="11">
        <v>5.0</v>
      </c>
      <c r="R8" s="11">
        <v>2.0</v>
      </c>
      <c r="S8" s="39">
        <f t="shared" si="6"/>
        <v>0.4</v>
      </c>
      <c r="T8" s="11">
        <v>5.0</v>
      </c>
      <c r="U8" s="11">
        <v>2.0</v>
      </c>
      <c r="V8" s="39">
        <f t="shared" si="7"/>
        <v>0.4</v>
      </c>
    </row>
    <row r="9">
      <c r="A9" s="2" t="s">
        <v>53</v>
      </c>
      <c r="B9" s="11">
        <v>33.0</v>
      </c>
      <c r="C9" s="11">
        <v>13.0</v>
      </c>
      <c r="D9" s="39">
        <f t="shared" si="1"/>
        <v>0.3939393939</v>
      </c>
      <c r="E9" s="11">
        <v>5.0</v>
      </c>
      <c r="F9" s="11">
        <v>3.0</v>
      </c>
      <c r="G9" s="39">
        <f t="shared" si="2"/>
        <v>0.6</v>
      </c>
      <c r="H9" s="11">
        <v>7.0</v>
      </c>
      <c r="I9" s="11">
        <v>1.0</v>
      </c>
      <c r="J9" s="39">
        <f t="shared" si="8"/>
        <v>0.1428571429</v>
      </c>
      <c r="K9" s="11">
        <v>7.0</v>
      </c>
      <c r="L9" s="11">
        <v>2.0</v>
      </c>
      <c r="M9" s="39">
        <f t="shared" si="4"/>
        <v>0.2857142857</v>
      </c>
      <c r="N9" s="11">
        <v>5.0</v>
      </c>
      <c r="O9" s="11">
        <v>4.0</v>
      </c>
      <c r="P9" s="39">
        <f t="shared" si="5"/>
        <v>0.8</v>
      </c>
      <c r="Q9" s="11">
        <v>6.0</v>
      </c>
      <c r="R9" s="11">
        <v>1.0</v>
      </c>
      <c r="S9" s="39">
        <f t="shared" si="6"/>
        <v>0.1666666667</v>
      </c>
      <c r="T9" s="11">
        <v>4.0</v>
      </c>
      <c r="U9" s="11">
        <v>2.0</v>
      </c>
      <c r="V9" s="39">
        <f t="shared" si="7"/>
        <v>0.5</v>
      </c>
    </row>
    <row r="10">
      <c r="A10" s="2" t="s">
        <v>63</v>
      </c>
      <c r="B10" s="11">
        <v>29.0</v>
      </c>
      <c r="C10" s="11">
        <v>10.0</v>
      </c>
      <c r="D10" s="39">
        <f t="shared" si="1"/>
        <v>0.3448275862</v>
      </c>
      <c r="E10" s="11">
        <v>6.0</v>
      </c>
      <c r="F10" s="11">
        <v>2.0</v>
      </c>
      <c r="G10" s="39">
        <f t="shared" si="2"/>
        <v>0.3333333333</v>
      </c>
      <c r="H10" s="11">
        <v>5.0</v>
      </c>
      <c r="I10" s="11">
        <v>1.0</v>
      </c>
      <c r="J10" s="39">
        <f t="shared" si="8"/>
        <v>0.2</v>
      </c>
      <c r="K10" s="11">
        <v>5.0</v>
      </c>
      <c r="L10" s="11">
        <v>1.0</v>
      </c>
      <c r="M10" s="39">
        <f t="shared" si="4"/>
        <v>0.2</v>
      </c>
      <c r="N10" s="11">
        <v>3.0</v>
      </c>
      <c r="O10" s="11">
        <v>1.0</v>
      </c>
      <c r="P10" s="39">
        <f t="shared" si="5"/>
        <v>0.3333333333</v>
      </c>
      <c r="Q10" s="11">
        <v>5.0</v>
      </c>
      <c r="R10" s="11">
        <v>2.0</v>
      </c>
      <c r="S10" s="39">
        <f t="shared" si="6"/>
        <v>0.4</v>
      </c>
      <c r="T10" s="11">
        <v>5.0</v>
      </c>
      <c r="U10" s="11">
        <v>3.0</v>
      </c>
      <c r="V10" s="39">
        <f t="shared" si="7"/>
        <v>0.6</v>
      </c>
    </row>
    <row r="11">
      <c r="A11" s="2" t="s">
        <v>70</v>
      </c>
      <c r="B11" s="11">
        <v>27.0</v>
      </c>
      <c r="C11" s="11">
        <v>9.0</v>
      </c>
      <c r="D11" s="39">
        <f t="shared" si="1"/>
        <v>0.3333333333</v>
      </c>
      <c r="E11" s="11">
        <v>3.0</v>
      </c>
      <c r="F11" s="11">
        <v>2.0</v>
      </c>
      <c r="G11" s="39">
        <f t="shared" si="2"/>
        <v>0.6666666667</v>
      </c>
      <c r="H11" s="41">
        <v>5.0</v>
      </c>
      <c r="I11" s="41">
        <v>3.0</v>
      </c>
      <c r="J11" s="39">
        <f t="shared" si="8"/>
        <v>0.6</v>
      </c>
      <c r="K11" s="11">
        <v>7.0</v>
      </c>
      <c r="L11" s="11">
        <v>0.0</v>
      </c>
      <c r="M11" s="39">
        <f t="shared" si="4"/>
        <v>0</v>
      </c>
      <c r="N11" s="11">
        <v>2.0</v>
      </c>
      <c r="O11" s="11">
        <v>0.0</v>
      </c>
      <c r="P11" s="39">
        <f t="shared" si="5"/>
        <v>0</v>
      </c>
      <c r="Q11" s="11">
        <v>4.0</v>
      </c>
      <c r="R11" s="11">
        <v>2.0</v>
      </c>
      <c r="S11" s="39">
        <f t="shared" si="6"/>
        <v>0.5</v>
      </c>
      <c r="T11" s="11">
        <v>6.0</v>
      </c>
      <c r="U11" s="11">
        <v>2.0</v>
      </c>
      <c r="V11" s="39">
        <f t="shared" si="7"/>
        <v>0.3333333333</v>
      </c>
    </row>
    <row r="12">
      <c r="A12" s="2" t="s">
        <v>117</v>
      </c>
      <c r="B12" s="11">
        <v>3.0</v>
      </c>
      <c r="C12" s="11">
        <v>1.0</v>
      </c>
      <c r="D12" s="39">
        <f t="shared" si="1"/>
        <v>0.3333333333</v>
      </c>
      <c r="E12" s="11">
        <v>0.0</v>
      </c>
      <c r="F12" s="11">
        <v>0.0</v>
      </c>
      <c r="G12" s="40" t="s">
        <v>41</v>
      </c>
      <c r="H12" s="11">
        <v>1.0</v>
      </c>
      <c r="I12" s="11">
        <v>0.0</v>
      </c>
      <c r="J12" s="39">
        <f t="shared" si="8"/>
        <v>0</v>
      </c>
      <c r="K12" s="11">
        <v>0.0</v>
      </c>
      <c r="L12" s="11">
        <v>0.0</v>
      </c>
      <c r="M12" s="40" t="s">
        <v>41</v>
      </c>
      <c r="N12" s="11">
        <v>0.0</v>
      </c>
      <c r="O12" s="11">
        <v>0.0</v>
      </c>
      <c r="P12" s="40" t="s">
        <v>41</v>
      </c>
      <c r="Q12" s="11">
        <v>1.0</v>
      </c>
      <c r="R12" s="11">
        <v>1.0</v>
      </c>
      <c r="S12" s="39">
        <f t="shared" si="6"/>
        <v>1</v>
      </c>
      <c r="T12" s="11">
        <v>1.0</v>
      </c>
      <c r="U12" s="11">
        <v>0.0</v>
      </c>
      <c r="V12" s="39">
        <f t="shared" si="7"/>
        <v>0</v>
      </c>
    </row>
    <row r="13">
      <c r="A13" s="2" t="s">
        <v>59</v>
      </c>
      <c r="B13" s="11">
        <v>34.0</v>
      </c>
      <c r="C13" s="11">
        <v>10.0</v>
      </c>
      <c r="D13" s="39">
        <f t="shared" si="1"/>
        <v>0.2941176471</v>
      </c>
      <c r="E13" s="11">
        <v>5.0</v>
      </c>
      <c r="F13" s="11">
        <v>3.0</v>
      </c>
      <c r="G13" s="39">
        <f t="shared" ref="G13:G24" si="9">F13/E13</f>
        <v>0.6</v>
      </c>
      <c r="H13" s="11">
        <v>7.0</v>
      </c>
      <c r="I13" s="11">
        <v>2.0</v>
      </c>
      <c r="J13" s="39">
        <f t="shared" si="8"/>
        <v>0.2857142857</v>
      </c>
      <c r="K13" s="11">
        <v>6.0</v>
      </c>
      <c r="L13" s="11">
        <v>1.0</v>
      </c>
      <c r="M13" s="39">
        <f t="shared" ref="M13:M33" si="10">L13/K13</f>
        <v>0.1666666667</v>
      </c>
      <c r="N13" s="11">
        <v>5.0</v>
      </c>
      <c r="O13" s="11">
        <v>0.0</v>
      </c>
      <c r="P13" s="39">
        <f t="shared" ref="P13:P31" si="11">O13/N13</f>
        <v>0</v>
      </c>
      <c r="Q13" s="11">
        <v>8.0</v>
      </c>
      <c r="R13" s="11">
        <v>4.0</v>
      </c>
      <c r="S13" s="39">
        <f t="shared" si="6"/>
        <v>0.5</v>
      </c>
      <c r="T13" s="11">
        <v>3.0</v>
      </c>
      <c r="U13" s="11">
        <v>0.0</v>
      </c>
      <c r="V13" s="39">
        <f t="shared" si="7"/>
        <v>0</v>
      </c>
    </row>
    <row r="14">
      <c r="A14" s="2" t="s">
        <v>81</v>
      </c>
      <c r="B14" s="11">
        <v>18.0</v>
      </c>
      <c r="C14" s="11">
        <v>5.0</v>
      </c>
      <c r="D14" s="39">
        <f t="shared" si="1"/>
        <v>0.2777777778</v>
      </c>
      <c r="E14" s="11">
        <v>5.0</v>
      </c>
      <c r="F14" s="11">
        <v>2.0</v>
      </c>
      <c r="G14" s="39">
        <f t="shared" si="9"/>
        <v>0.4</v>
      </c>
      <c r="H14" s="11">
        <v>2.0</v>
      </c>
      <c r="I14" s="11">
        <v>1.0</v>
      </c>
      <c r="J14" s="39">
        <f t="shared" si="8"/>
        <v>0.5</v>
      </c>
      <c r="K14" s="11">
        <v>1.0</v>
      </c>
      <c r="L14" s="11">
        <v>0.0</v>
      </c>
      <c r="M14" s="39">
        <f t="shared" si="10"/>
        <v>0</v>
      </c>
      <c r="N14" s="11">
        <v>2.0</v>
      </c>
      <c r="O14" s="11">
        <v>1.0</v>
      </c>
      <c r="P14" s="39">
        <f t="shared" si="11"/>
        <v>0.5</v>
      </c>
      <c r="Q14" s="11">
        <v>2.0</v>
      </c>
      <c r="R14" s="11">
        <v>0.0</v>
      </c>
      <c r="S14" s="39">
        <f t="shared" si="6"/>
        <v>0</v>
      </c>
      <c r="T14" s="11">
        <v>6.0</v>
      </c>
      <c r="U14" s="11">
        <v>1.0</v>
      </c>
      <c r="V14" s="39">
        <f t="shared" si="7"/>
        <v>0.1666666667</v>
      </c>
    </row>
    <row r="15">
      <c r="A15" s="2" t="s">
        <v>107</v>
      </c>
      <c r="B15" s="41">
        <v>12.0</v>
      </c>
      <c r="C15" s="41">
        <v>3.0</v>
      </c>
      <c r="D15" s="39">
        <f t="shared" si="1"/>
        <v>0.25</v>
      </c>
      <c r="E15" s="41">
        <v>1.0</v>
      </c>
      <c r="F15" s="41">
        <v>1.0</v>
      </c>
      <c r="G15" s="39">
        <f t="shared" si="9"/>
        <v>1</v>
      </c>
      <c r="H15" s="41">
        <v>2.0</v>
      </c>
      <c r="I15" s="41">
        <v>0.0</v>
      </c>
      <c r="J15" s="39">
        <f t="shared" si="8"/>
        <v>0</v>
      </c>
      <c r="K15" s="11">
        <v>3.0</v>
      </c>
      <c r="L15" s="11">
        <v>0.0</v>
      </c>
      <c r="M15" s="39">
        <f t="shared" si="10"/>
        <v>0</v>
      </c>
      <c r="N15" s="11">
        <v>1.0</v>
      </c>
      <c r="O15" s="11">
        <v>0.0</v>
      </c>
      <c r="P15" s="39">
        <f t="shared" si="11"/>
        <v>0</v>
      </c>
      <c r="Q15" s="11">
        <v>4.0</v>
      </c>
      <c r="R15" s="11">
        <v>2.0</v>
      </c>
      <c r="S15" s="39">
        <f t="shared" si="6"/>
        <v>0.5</v>
      </c>
      <c r="T15" s="11">
        <v>1.0</v>
      </c>
      <c r="U15" s="11">
        <v>0.0</v>
      </c>
      <c r="V15" s="39">
        <f t="shared" si="7"/>
        <v>0</v>
      </c>
    </row>
    <row r="16">
      <c r="A16" s="2" t="s">
        <v>77</v>
      </c>
      <c r="B16" s="11">
        <v>22.0</v>
      </c>
      <c r="C16" s="11">
        <v>5.0</v>
      </c>
      <c r="D16" s="39">
        <f t="shared" si="1"/>
        <v>0.2272727273</v>
      </c>
      <c r="E16" s="11">
        <v>4.0</v>
      </c>
      <c r="F16" s="11">
        <v>2.0</v>
      </c>
      <c r="G16" s="39">
        <f t="shared" si="9"/>
        <v>0.5</v>
      </c>
      <c r="H16" s="11">
        <v>3.0</v>
      </c>
      <c r="I16" s="11">
        <v>0.0</v>
      </c>
      <c r="J16" s="39">
        <f t="shared" si="8"/>
        <v>0</v>
      </c>
      <c r="K16" s="11">
        <v>3.0</v>
      </c>
      <c r="L16" s="11">
        <v>1.0</v>
      </c>
      <c r="M16" s="39">
        <f t="shared" si="10"/>
        <v>0.3333333333</v>
      </c>
      <c r="N16" s="11">
        <v>2.0</v>
      </c>
      <c r="O16" s="11">
        <v>0.0</v>
      </c>
      <c r="P16" s="39">
        <f t="shared" si="11"/>
        <v>0</v>
      </c>
      <c r="Q16" s="11">
        <v>5.0</v>
      </c>
      <c r="R16" s="11">
        <v>1.0</v>
      </c>
      <c r="S16" s="39">
        <f t="shared" si="6"/>
        <v>0.2</v>
      </c>
      <c r="T16" s="11">
        <v>5.0</v>
      </c>
      <c r="U16" s="11">
        <v>0.0</v>
      </c>
      <c r="V16" s="39">
        <f t="shared" si="7"/>
        <v>0</v>
      </c>
    </row>
    <row r="17">
      <c r="A17" s="2" t="s">
        <v>79</v>
      </c>
      <c r="B17" s="11">
        <v>23.0</v>
      </c>
      <c r="C17" s="11">
        <v>5.0</v>
      </c>
      <c r="D17" s="39">
        <f t="shared" si="1"/>
        <v>0.2173913043</v>
      </c>
      <c r="E17" s="11">
        <v>4.0</v>
      </c>
      <c r="F17" s="11">
        <v>1.0</v>
      </c>
      <c r="G17" s="39">
        <f t="shared" si="9"/>
        <v>0.25</v>
      </c>
      <c r="H17" s="11">
        <v>3.0</v>
      </c>
      <c r="I17" s="11">
        <v>1.0</v>
      </c>
      <c r="J17" s="39">
        <f t="shared" si="8"/>
        <v>0.3333333333</v>
      </c>
      <c r="K17" s="11">
        <v>3.0</v>
      </c>
      <c r="L17" s="11">
        <v>1.0</v>
      </c>
      <c r="M17" s="39">
        <f t="shared" si="10"/>
        <v>0.3333333333</v>
      </c>
      <c r="N17" s="11">
        <v>2.0</v>
      </c>
      <c r="O17" s="11">
        <v>0.0</v>
      </c>
      <c r="P17" s="39">
        <f t="shared" si="11"/>
        <v>0</v>
      </c>
      <c r="Q17" s="11">
        <v>4.0</v>
      </c>
      <c r="R17" s="11">
        <v>1.0</v>
      </c>
      <c r="S17" s="39">
        <f t="shared" si="6"/>
        <v>0.25</v>
      </c>
      <c r="T17" s="11">
        <v>6.0</v>
      </c>
      <c r="U17" s="11">
        <v>1.0</v>
      </c>
      <c r="V17" s="39">
        <f t="shared" si="7"/>
        <v>0.1666666667</v>
      </c>
    </row>
    <row r="18">
      <c r="A18" s="2" t="s">
        <v>83</v>
      </c>
      <c r="B18" s="11">
        <v>21.0</v>
      </c>
      <c r="C18" s="11">
        <v>4.0</v>
      </c>
      <c r="D18" s="39">
        <f t="shared" si="1"/>
        <v>0.1904761905</v>
      </c>
      <c r="E18" s="11">
        <v>3.0</v>
      </c>
      <c r="F18" s="11">
        <v>0.0</v>
      </c>
      <c r="G18" s="39">
        <f t="shared" si="9"/>
        <v>0</v>
      </c>
      <c r="H18" s="11">
        <v>3.0</v>
      </c>
      <c r="I18" s="11">
        <v>1.0</v>
      </c>
      <c r="J18" s="39">
        <f t="shared" si="8"/>
        <v>0.3333333333</v>
      </c>
      <c r="K18" s="11">
        <v>4.0</v>
      </c>
      <c r="L18" s="11">
        <v>1.0</v>
      </c>
      <c r="M18" s="39">
        <f t="shared" si="10"/>
        <v>0.25</v>
      </c>
      <c r="N18" s="11">
        <v>1.0</v>
      </c>
      <c r="O18" s="11">
        <v>0.0</v>
      </c>
      <c r="P18" s="39">
        <f t="shared" si="11"/>
        <v>0</v>
      </c>
      <c r="Q18" s="11">
        <v>5.0</v>
      </c>
      <c r="R18" s="11">
        <v>1.0</v>
      </c>
      <c r="S18" s="39">
        <f t="shared" si="6"/>
        <v>0.2</v>
      </c>
      <c r="T18" s="11">
        <v>5.0</v>
      </c>
      <c r="U18" s="11">
        <v>1.0</v>
      </c>
      <c r="V18" s="39">
        <f t="shared" si="7"/>
        <v>0.2</v>
      </c>
    </row>
    <row r="19">
      <c r="A19" s="2" t="s">
        <v>93</v>
      </c>
      <c r="B19" s="11">
        <v>16.0</v>
      </c>
      <c r="C19" s="11">
        <v>3.0</v>
      </c>
      <c r="D19" s="39">
        <f t="shared" si="1"/>
        <v>0.1875</v>
      </c>
      <c r="E19" s="11">
        <v>6.0</v>
      </c>
      <c r="F19" s="11">
        <v>0.0</v>
      </c>
      <c r="G19" s="39">
        <f t="shared" si="9"/>
        <v>0</v>
      </c>
      <c r="H19" s="11">
        <v>2.0</v>
      </c>
      <c r="I19" s="11">
        <v>2.0</v>
      </c>
      <c r="J19" s="39">
        <f t="shared" si="8"/>
        <v>1</v>
      </c>
      <c r="K19" s="11">
        <v>2.0</v>
      </c>
      <c r="L19" s="11">
        <v>0.0</v>
      </c>
      <c r="M19" s="39">
        <f t="shared" si="10"/>
        <v>0</v>
      </c>
      <c r="N19" s="11">
        <v>1.0</v>
      </c>
      <c r="O19" s="11">
        <v>0.0</v>
      </c>
      <c r="P19" s="39">
        <f t="shared" si="11"/>
        <v>0</v>
      </c>
      <c r="Q19" s="11">
        <v>1.0</v>
      </c>
      <c r="R19" s="11">
        <v>0.0</v>
      </c>
      <c r="S19" s="39">
        <f t="shared" si="6"/>
        <v>0</v>
      </c>
      <c r="T19" s="11">
        <v>4.0</v>
      </c>
      <c r="U19" s="11">
        <v>1.0</v>
      </c>
      <c r="V19" s="39">
        <f t="shared" si="7"/>
        <v>0.25</v>
      </c>
    </row>
    <row r="20">
      <c r="A20" s="2" t="s">
        <v>72</v>
      </c>
      <c r="B20" s="11">
        <v>23.0</v>
      </c>
      <c r="C20" s="11">
        <v>4.0</v>
      </c>
      <c r="D20" s="39">
        <f t="shared" si="1"/>
        <v>0.1739130435</v>
      </c>
      <c r="E20" s="11">
        <v>4.0</v>
      </c>
      <c r="F20" s="11">
        <v>1.0</v>
      </c>
      <c r="G20" s="39">
        <f t="shared" si="9"/>
        <v>0.25</v>
      </c>
      <c r="H20" s="11">
        <v>6.0</v>
      </c>
      <c r="I20" s="11">
        <v>1.0</v>
      </c>
      <c r="J20" s="39">
        <f t="shared" si="8"/>
        <v>0.1666666667</v>
      </c>
      <c r="K20" s="11">
        <v>6.0</v>
      </c>
      <c r="L20" s="11">
        <v>0.0</v>
      </c>
      <c r="M20" s="39">
        <f t="shared" si="10"/>
        <v>0</v>
      </c>
      <c r="N20" s="11">
        <v>1.0</v>
      </c>
      <c r="O20" s="11">
        <v>0.0</v>
      </c>
      <c r="P20" s="39">
        <f t="shared" si="11"/>
        <v>0</v>
      </c>
      <c r="Q20" s="11">
        <v>4.0</v>
      </c>
      <c r="R20" s="11">
        <v>0.0</v>
      </c>
      <c r="S20" s="39">
        <f t="shared" si="6"/>
        <v>0</v>
      </c>
      <c r="T20" s="11">
        <v>3.0</v>
      </c>
      <c r="U20" s="11">
        <v>1.0</v>
      </c>
      <c r="V20" s="39">
        <f t="shared" si="7"/>
        <v>0.3333333333</v>
      </c>
    </row>
    <row r="21">
      <c r="A21" s="2" t="s">
        <v>88</v>
      </c>
      <c r="B21" s="11">
        <v>18.0</v>
      </c>
      <c r="C21" s="11">
        <v>3.0</v>
      </c>
      <c r="D21" s="39">
        <f t="shared" si="1"/>
        <v>0.1666666667</v>
      </c>
      <c r="E21" s="11">
        <v>6.0</v>
      </c>
      <c r="F21" s="11">
        <v>1.0</v>
      </c>
      <c r="G21" s="39">
        <f t="shared" si="9"/>
        <v>0.1666666667</v>
      </c>
      <c r="H21" s="11">
        <v>2.0</v>
      </c>
      <c r="I21" s="11">
        <v>0.0</v>
      </c>
      <c r="J21" s="39">
        <f t="shared" si="8"/>
        <v>0</v>
      </c>
      <c r="K21" s="11">
        <v>3.0</v>
      </c>
      <c r="L21" s="11">
        <v>0.0</v>
      </c>
      <c r="M21" s="39">
        <f t="shared" si="10"/>
        <v>0</v>
      </c>
      <c r="N21" s="11">
        <v>2.0</v>
      </c>
      <c r="O21" s="11">
        <v>2.0</v>
      </c>
      <c r="P21" s="39">
        <f t="shared" si="11"/>
        <v>1</v>
      </c>
      <c r="Q21" s="11">
        <v>2.0</v>
      </c>
      <c r="R21" s="11">
        <v>0.0</v>
      </c>
      <c r="S21" s="39">
        <f t="shared" si="6"/>
        <v>0</v>
      </c>
      <c r="T21" s="11">
        <v>3.0</v>
      </c>
      <c r="U21" s="11">
        <v>0.0</v>
      </c>
      <c r="V21" s="39">
        <f t="shared" si="7"/>
        <v>0</v>
      </c>
    </row>
    <row r="22">
      <c r="A22" s="2" t="s">
        <v>109</v>
      </c>
      <c r="B22" s="11">
        <v>12.0</v>
      </c>
      <c r="C22" s="11">
        <v>2.0</v>
      </c>
      <c r="D22" s="39">
        <f t="shared" si="1"/>
        <v>0.1666666667</v>
      </c>
      <c r="E22" s="11">
        <v>1.0</v>
      </c>
      <c r="F22" s="11">
        <v>1.0</v>
      </c>
      <c r="G22" s="39">
        <f t="shared" si="9"/>
        <v>1</v>
      </c>
      <c r="H22" s="11">
        <v>3.0</v>
      </c>
      <c r="I22" s="11">
        <v>0.0</v>
      </c>
      <c r="J22" s="39">
        <f t="shared" si="8"/>
        <v>0</v>
      </c>
      <c r="K22" s="11">
        <v>3.0</v>
      </c>
      <c r="L22" s="11">
        <v>0.0</v>
      </c>
      <c r="M22" s="39">
        <f t="shared" si="10"/>
        <v>0</v>
      </c>
      <c r="N22" s="11">
        <v>2.0</v>
      </c>
      <c r="O22" s="11">
        <v>1.0</v>
      </c>
      <c r="P22" s="39">
        <f t="shared" si="11"/>
        <v>0.5</v>
      </c>
      <c r="Q22" s="11">
        <v>0.0</v>
      </c>
      <c r="R22" s="11">
        <v>0.0</v>
      </c>
      <c r="S22" s="40" t="s">
        <v>41</v>
      </c>
      <c r="T22" s="11">
        <v>3.0</v>
      </c>
      <c r="U22" s="11">
        <v>0.0</v>
      </c>
      <c r="V22" s="39">
        <f t="shared" si="7"/>
        <v>0</v>
      </c>
    </row>
    <row r="23">
      <c r="A23" s="2" t="s">
        <v>90</v>
      </c>
      <c r="B23" s="41">
        <v>18.0</v>
      </c>
      <c r="C23" s="41">
        <v>3.0</v>
      </c>
      <c r="D23" s="39">
        <f t="shared" si="1"/>
        <v>0.1666666667</v>
      </c>
      <c r="E23" s="41">
        <v>4.0</v>
      </c>
      <c r="F23" s="41">
        <v>1.0</v>
      </c>
      <c r="G23" s="39">
        <f t="shared" si="9"/>
        <v>0.25</v>
      </c>
      <c r="H23" s="41">
        <v>5.0</v>
      </c>
      <c r="I23" s="41">
        <v>0.0</v>
      </c>
      <c r="J23" s="39">
        <f t="shared" si="8"/>
        <v>0</v>
      </c>
      <c r="K23" s="11">
        <v>3.0</v>
      </c>
      <c r="L23" s="11">
        <v>0.0</v>
      </c>
      <c r="M23" s="39">
        <f t="shared" si="10"/>
        <v>0</v>
      </c>
      <c r="N23" s="11">
        <v>1.0</v>
      </c>
      <c r="O23" s="11">
        <v>1.0</v>
      </c>
      <c r="P23" s="39">
        <f t="shared" si="11"/>
        <v>1</v>
      </c>
      <c r="Q23" s="11">
        <v>1.0</v>
      </c>
      <c r="R23" s="11">
        <v>0.0</v>
      </c>
      <c r="S23" s="39">
        <f t="shared" ref="S23:S32" si="12">R23/Q23</f>
        <v>0</v>
      </c>
      <c r="T23" s="11">
        <v>3.0</v>
      </c>
      <c r="U23" s="11">
        <v>1.0</v>
      </c>
      <c r="V23" s="39">
        <f t="shared" si="7"/>
        <v>0.3333333333</v>
      </c>
    </row>
    <row r="24">
      <c r="A24" s="2" t="s">
        <v>68</v>
      </c>
      <c r="B24" s="41">
        <v>30.0</v>
      </c>
      <c r="C24" s="41">
        <v>5.0</v>
      </c>
      <c r="D24" s="39">
        <f t="shared" si="1"/>
        <v>0.1666666667</v>
      </c>
      <c r="E24" s="41">
        <v>6.0</v>
      </c>
      <c r="F24" s="41">
        <v>1.0</v>
      </c>
      <c r="G24" s="39">
        <f t="shared" si="9"/>
        <v>0.1666666667</v>
      </c>
      <c r="H24" s="41">
        <v>5.0</v>
      </c>
      <c r="I24" s="41">
        <v>1.0</v>
      </c>
      <c r="J24" s="39">
        <f t="shared" si="8"/>
        <v>0.2</v>
      </c>
      <c r="K24" s="11">
        <v>2.0</v>
      </c>
      <c r="L24" s="11">
        <v>0.0</v>
      </c>
      <c r="M24" s="39">
        <f t="shared" si="10"/>
        <v>0</v>
      </c>
      <c r="N24" s="11">
        <v>3.0</v>
      </c>
      <c r="O24" s="11">
        <v>0.0</v>
      </c>
      <c r="P24" s="39">
        <f t="shared" si="11"/>
        <v>0</v>
      </c>
      <c r="Q24" s="11">
        <v>7.0</v>
      </c>
      <c r="R24" s="11">
        <v>2.0</v>
      </c>
      <c r="S24" s="39">
        <f t="shared" si="12"/>
        <v>0.2857142857</v>
      </c>
      <c r="T24" s="11">
        <v>7.0</v>
      </c>
      <c r="U24" s="11">
        <v>1.0</v>
      </c>
      <c r="V24" s="39">
        <f t="shared" si="7"/>
        <v>0.1428571429</v>
      </c>
    </row>
    <row r="25">
      <c r="A25" s="2" t="s">
        <v>104</v>
      </c>
      <c r="B25" s="11">
        <v>13.0</v>
      </c>
      <c r="C25" s="11">
        <v>2.0</v>
      </c>
      <c r="D25" s="39">
        <f t="shared" si="1"/>
        <v>0.1538461538</v>
      </c>
      <c r="E25" s="11">
        <v>0.0</v>
      </c>
      <c r="F25" s="11">
        <v>0.0</v>
      </c>
      <c r="G25" s="40" t="s">
        <v>41</v>
      </c>
      <c r="H25" s="11">
        <v>2.0</v>
      </c>
      <c r="I25" s="11">
        <v>0.0</v>
      </c>
      <c r="J25" s="39">
        <f t="shared" si="8"/>
        <v>0</v>
      </c>
      <c r="K25" s="11">
        <v>4.0</v>
      </c>
      <c r="L25" s="11">
        <v>0.0</v>
      </c>
      <c r="M25" s="39">
        <f t="shared" si="10"/>
        <v>0</v>
      </c>
      <c r="N25" s="11">
        <v>2.0</v>
      </c>
      <c r="O25" s="11">
        <v>0.0</v>
      </c>
      <c r="P25" s="39">
        <f t="shared" si="11"/>
        <v>0</v>
      </c>
      <c r="Q25" s="11">
        <v>2.0</v>
      </c>
      <c r="R25" s="11">
        <v>0.0</v>
      </c>
      <c r="S25" s="39">
        <f t="shared" si="12"/>
        <v>0</v>
      </c>
      <c r="T25" s="11">
        <v>3.0</v>
      </c>
      <c r="U25" s="11">
        <v>2.0</v>
      </c>
      <c r="V25" s="39">
        <f t="shared" si="7"/>
        <v>0.6666666667</v>
      </c>
    </row>
    <row r="26">
      <c r="A26" s="2" t="s">
        <v>101</v>
      </c>
      <c r="B26" s="11">
        <v>13.0</v>
      </c>
      <c r="C26" s="11">
        <v>2.0</v>
      </c>
      <c r="D26" s="39">
        <f t="shared" si="1"/>
        <v>0.1538461538</v>
      </c>
      <c r="E26" s="11">
        <v>1.0</v>
      </c>
      <c r="F26" s="11">
        <v>0.0</v>
      </c>
      <c r="G26" s="39">
        <f t="shared" ref="G26:G29" si="13">F26/E26</f>
        <v>0</v>
      </c>
      <c r="H26" s="11">
        <v>3.0</v>
      </c>
      <c r="I26" s="11">
        <v>0.0</v>
      </c>
      <c r="J26" s="39">
        <f t="shared" si="8"/>
        <v>0</v>
      </c>
      <c r="K26" s="11">
        <v>1.0</v>
      </c>
      <c r="L26" s="11">
        <v>0.0</v>
      </c>
      <c r="M26" s="39">
        <f t="shared" si="10"/>
        <v>0</v>
      </c>
      <c r="N26" s="11">
        <v>3.0</v>
      </c>
      <c r="O26" s="11">
        <v>1.0</v>
      </c>
      <c r="P26" s="39">
        <f t="shared" si="11"/>
        <v>0.3333333333</v>
      </c>
      <c r="Q26" s="11">
        <v>2.0</v>
      </c>
      <c r="R26" s="11">
        <v>0.0</v>
      </c>
      <c r="S26" s="39">
        <f t="shared" si="12"/>
        <v>0</v>
      </c>
      <c r="T26" s="11">
        <v>3.0</v>
      </c>
      <c r="U26" s="11">
        <v>1.0</v>
      </c>
      <c r="V26" s="39">
        <f t="shared" si="7"/>
        <v>0.3333333333</v>
      </c>
    </row>
    <row r="27">
      <c r="A27" s="2" t="s">
        <v>85</v>
      </c>
      <c r="B27" s="11">
        <v>20.0</v>
      </c>
      <c r="C27" s="11">
        <v>3.0</v>
      </c>
      <c r="D27" s="39">
        <f t="shared" si="1"/>
        <v>0.15</v>
      </c>
      <c r="E27" s="11">
        <v>3.0</v>
      </c>
      <c r="F27" s="11">
        <v>2.0</v>
      </c>
      <c r="G27" s="39">
        <f t="shared" si="13"/>
        <v>0.6666666667</v>
      </c>
      <c r="H27" s="11">
        <v>3.0</v>
      </c>
      <c r="I27" s="11">
        <v>0.0</v>
      </c>
      <c r="J27" s="39">
        <f t="shared" si="8"/>
        <v>0</v>
      </c>
      <c r="K27" s="11">
        <v>6.0</v>
      </c>
      <c r="L27" s="11">
        <v>1.0</v>
      </c>
      <c r="M27" s="39">
        <f t="shared" si="10"/>
        <v>0.1666666667</v>
      </c>
      <c r="N27" s="11">
        <v>5.0</v>
      </c>
      <c r="O27" s="11">
        <v>0.0</v>
      </c>
      <c r="P27" s="39">
        <f t="shared" si="11"/>
        <v>0</v>
      </c>
      <c r="Q27" s="11">
        <v>1.0</v>
      </c>
      <c r="R27" s="11">
        <v>0.0</v>
      </c>
      <c r="S27" s="39">
        <f t="shared" si="12"/>
        <v>0</v>
      </c>
      <c r="T27" s="11">
        <v>2.0</v>
      </c>
      <c r="U27" s="11">
        <v>0.0</v>
      </c>
      <c r="V27" s="39">
        <f t="shared" si="7"/>
        <v>0</v>
      </c>
    </row>
    <row r="28">
      <c r="A28" s="2" t="s">
        <v>98</v>
      </c>
      <c r="B28" s="11">
        <v>16.0</v>
      </c>
      <c r="C28" s="11">
        <v>2.0</v>
      </c>
      <c r="D28" s="39">
        <f t="shared" si="1"/>
        <v>0.125</v>
      </c>
      <c r="E28" s="11">
        <v>2.0</v>
      </c>
      <c r="F28" s="11">
        <v>0.0</v>
      </c>
      <c r="G28" s="39">
        <f t="shared" si="13"/>
        <v>0</v>
      </c>
      <c r="H28" s="11">
        <v>3.0</v>
      </c>
      <c r="I28" s="11">
        <v>1.0</v>
      </c>
      <c r="J28" s="39">
        <f t="shared" si="8"/>
        <v>0.3333333333</v>
      </c>
      <c r="K28" s="11">
        <v>3.0</v>
      </c>
      <c r="L28" s="11">
        <v>0.0</v>
      </c>
      <c r="M28" s="39">
        <f t="shared" si="10"/>
        <v>0</v>
      </c>
      <c r="N28" s="11">
        <v>4.0</v>
      </c>
      <c r="O28" s="11">
        <v>0.0</v>
      </c>
      <c r="P28" s="39">
        <f t="shared" si="11"/>
        <v>0</v>
      </c>
      <c r="Q28" s="11">
        <v>2.0</v>
      </c>
      <c r="R28" s="11">
        <v>0.0</v>
      </c>
      <c r="S28" s="39">
        <f t="shared" si="12"/>
        <v>0</v>
      </c>
      <c r="T28" s="11">
        <v>2.0</v>
      </c>
      <c r="U28" s="11">
        <v>1.0</v>
      </c>
      <c r="V28" s="39">
        <f t="shared" si="7"/>
        <v>0.5</v>
      </c>
    </row>
    <row r="29">
      <c r="A29" s="2" t="s">
        <v>96</v>
      </c>
      <c r="B29" s="11">
        <v>18.0</v>
      </c>
      <c r="C29" s="11">
        <v>2.0</v>
      </c>
      <c r="D29" s="39">
        <f t="shared" si="1"/>
        <v>0.1111111111</v>
      </c>
      <c r="E29" s="11">
        <v>2.0</v>
      </c>
      <c r="F29" s="11">
        <v>0.0</v>
      </c>
      <c r="G29" s="39">
        <f t="shared" si="13"/>
        <v>0</v>
      </c>
      <c r="H29" s="11">
        <v>4.0</v>
      </c>
      <c r="I29" s="11">
        <v>0.0</v>
      </c>
      <c r="J29" s="39">
        <f t="shared" si="8"/>
        <v>0</v>
      </c>
      <c r="K29" s="11">
        <v>2.0</v>
      </c>
      <c r="L29" s="11">
        <v>0.0</v>
      </c>
      <c r="M29" s="39">
        <f t="shared" si="10"/>
        <v>0</v>
      </c>
      <c r="N29" s="11">
        <v>2.0</v>
      </c>
      <c r="O29" s="11">
        <v>0.0</v>
      </c>
      <c r="P29" s="39">
        <f t="shared" si="11"/>
        <v>0</v>
      </c>
      <c r="Q29" s="11">
        <v>4.0</v>
      </c>
      <c r="R29" s="11">
        <v>1.0</v>
      </c>
      <c r="S29" s="39">
        <f t="shared" si="12"/>
        <v>0.25</v>
      </c>
      <c r="T29" s="11">
        <v>4.0</v>
      </c>
      <c r="U29" s="11">
        <v>1.0</v>
      </c>
      <c r="V29" s="39">
        <f t="shared" si="7"/>
        <v>0.25</v>
      </c>
    </row>
    <row r="30">
      <c r="A30" s="2" t="s">
        <v>111</v>
      </c>
      <c r="B30" s="11">
        <v>10.0</v>
      </c>
      <c r="C30" s="11">
        <v>1.0</v>
      </c>
      <c r="D30" s="39">
        <f t="shared" si="1"/>
        <v>0.1</v>
      </c>
      <c r="E30" s="11">
        <v>0.0</v>
      </c>
      <c r="F30" s="11">
        <v>0.0</v>
      </c>
      <c r="G30" s="40" t="s">
        <v>41</v>
      </c>
      <c r="H30" s="11">
        <v>1.0</v>
      </c>
      <c r="I30" s="11">
        <v>0.0</v>
      </c>
      <c r="J30" s="39">
        <f t="shared" si="8"/>
        <v>0</v>
      </c>
      <c r="K30" s="11">
        <v>2.0</v>
      </c>
      <c r="L30" s="11">
        <v>0.0</v>
      </c>
      <c r="M30" s="39">
        <f t="shared" si="10"/>
        <v>0</v>
      </c>
      <c r="N30" s="11">
        <v>1.0</v>
      </c>
      <c r="O30" s="11">
        <v>0.0</v>
      </c>
      <c r="P30" s="39">
        <f t="shared" si="11"/>
        <v>0</v>
      </c>
      <c r="Q30" s="11">
        <v>2.0</v>
      </c>
      <c r="R30" s="11">
        <v>1.0</v>
      </c>
      <c r="S30" s="39">
        <f t="shared" si="12"/>
        <v>0.5</v>
      </c>
      <c r="T30" s="11">
        <v>4.0</v>
      </c>
      <c r="U30" s="11">
        <v>0.0</v>
      </c>
      <c r="V30" s="39">
        <f t="shared" si="7"/>
        <v>0</v>
      </c>
    </row>
    <row r="31">
      <c r="A31" s="2" t="s">
        <v>114</v>
      </c>
      <c r="B31" s="11">
        <v>12.0</v>
      </c>
      <c r="C31" s="11">
        <v>1.0</v>
      </c>
      <c r="D31" s="39">
        <f t="shared" si="1"/>
        <v>0.08333333333</v>
      </c>
      <c r="E31" s="11">
        <v>2.0</v>
      </c>
      <c r="F31" s="11">
        <v>0.0</v>
      </c>
      <c r="G31" s="39">
        <f t="shared" ref="G31:G33" si="14">F31/E31</f>
        <v>0</v>
      </c>
      <c r="H31" s="11">
        <v>1.0</v>
      </c>
      <c r="I31" s="11">
        <v>0.0</v>
      </c>
      <c r="J31" s="39">
        <f t="shared" si="8"/>
        <v>0</v>
      </c>
      <c r="K31" s="11">
        <v>2.0</v>
      </c>
      <c r="L31" s="11">
        <v>0.0</v>
      </c>
      <c r="M31" s="39">
        <f t="shared" si="10"/>
        <v>0</v>
      </c>
      <c r="N31" s="11">
        <v>3.0</v>
      </c>
      <c r="O31" s="11">
        <v>0.0</v>
      </c>
      <c r="P31" s="39">
        <f t="shared" si="11"/>
        <v>0</v>
      </c>
      <c r="Q31" s="11">
        <v>1.0</v>
      </c>
      <c r="R31" s="11">
        <v>1.0</v>
      </c>
      <c r="S31" s="39">
        <f t="shared" si="12"/>
        <v>1</v>
      </c>
      <c r="T31" s="11">
        <v>2.0</v>
      </c>
      <c r="U31" s="11">
        <v>0.0</v>
      </c>
      <c r="V31" s="39">
        <f t="shared" si="7"/>
        <v>0</v>
      </c>
    </row>
    <row r="32">
      <c r="A32" s="2" t="s">
        <v>110</v>
      </c>
      <c r="B32" s="11">
        <v>12.0</v>
      </c>
      <c r="C32" s="11">
        <v>1.0</v>
      </c>
      <c r="D32" s="39">
        <f t="shared" si="1"/>
        <v>0.08333333333</v>
      </c>
      <c r="E32" s="11">
        <v>2.0</v>
      </c>
      <c r="F32" s="11">
        <v>1.0</v>
      </c>
      <c r="G32" s="39">
        <f t="shared" si="14"/>
        <v>0.5</v>
      </c>
      <c r="H32" s="11">
        <v>1.0</v>
      </c>
      <c r="I32" s="11">
        <v>0.0</v>
      </c>
      <c r="J32" s="39">
        <f t="shared" si="8"/>
        <v>0</v>
      </c>
      <c r="K32" s="11">
        <v>4.0</v>
      </c>
      <c r="L32" s="11">
        <v>0.0</v>
      </c>
      <c r="M32" s="39">
        <f t="shared" si="10"/>
        <v>0</v>
      </c>
      <c r="N32" s="11">
        <v>0.0</v>
      </c>
      <c r="O32" s="11">
        <v>0.0</v>
      </c>
      <c r="P32" s="40" t="s">
        <v>41</v>
      </c>
      <c r="Q32" s="11">
        <v>1.0</v>
      </c>
      <c r="R32" s="11">
        <v>0.0</v>
      </c>
      <c r="S32" s="39">
        <f t="shared" si="12"/>
        <v>0</v>
      </c>
      <c r="T32" s="11">
        <v>4.0</v>
      </c>
      <c r="U32" s="11">
        <v>0.0</v>
      </c>
      <c r="V32" s="39">
        <f t="shared" si="7"/>
        <v>0</v>
      </c>
    </row>
    <row r="33">
      <c r="A33" s="2" t="s">
        <v>119</v>
      </c>
      <c r="B33" s="11">
        <v>7.0</v>
      </c>
      <c r="C33" s="11">
        <v>0.0</v>
      </c>
      <c r="D33" s="39">
        <f t="shared" si="1"/>
        <v>0</v>
      </c>
      <c r="E33" s="11">
        <v>1.0</v>
      </c>
      <c r="F33" s="11">
        <v>0.0</v>
      </c>
      <c r="G33" s="39">
        <f t="shared" si="14"/>
        <v>0</v>
      </c>
      <c r="H33" s="11">
        <v>1.0</v>
      </c>
      <c r="I33" s="11">
        <v>0.0</v>
      </c>
      <c r="J33" s="39">
        <f t="shared" si="8"/>
        <v>0</v>
      </c>
      <c r="K33" s="11">
        <v>1.0</v>
      </c>
      <c r="L33" s="11">
        <v>0.0</v>
      </c>
      <c r="M33" s="39">
        <f t="shared" si="10"/>
        <v>0</v>
      </c>
      <c r="N33" s="11">
        <v>1.0</v>
      </c>
      <c r="O33" s="11">
        <v>0.0</v>
      </c>
      <c r="P33" s="39">
        <f>O33/N33</f>
        <v>0</v>
      </c>
      <c r="Q33" s="11">
        <v>0.0</v>
      </c>
      <c r="R33" s="11">
        <v>0.0</v>
      </c>
      <c r="S33" s="40" t="s">
        <v>41</v>
      </c>
      <c r="T33" s="11">
        <v>3.0</v>
      </c>
      <c r="U33" s="11">
        <v>0.0</v>
      </c>
      <c r="V33" s="39">
        <f t="shared" si="7"/>
        <v>0</v>
      </c>
    </row>
    <row r="34">
      <c r="B34" s="1"/>
      <c r="C34" s="1"/>
      <c r="M34" s="30"/>
      <c r="P34" s="30"/>
      <c r="S34" s="30"/>
      <c r="V34" s="30"/>
    </row>
    <row r="35">
      <c r="B35" s="1"/>
      <c r="C35" s="1"/>
      <c r="M35" s="30"/>
      <c r="P35" s="30"/>
      <c r="S35" s="30"/>
      <c r="V35" s="30"/>
    </row>
    <row r="36">
      <c r="B36" s="1"/>
      <c r="C36" s="1"/>
      <c r="M36" s="30"/>
      <c r="P36" s="30"/>
      <c r="S36" s="30"/>
      <c r="V36" s="30"/>
    </row>
    <row r="37">
      <c r="B37" s="1"/>
      <c r="C37" s="1"/>
      <c r="M37" s="30"/>
      <c r="P37" s="30"/>
      <c r="S37" s="30"/>
      <c r="V37" s="30"/>
    </row>
    <row r="38">
      <c r="B38" s="1"/>
      <c r="C38" s="1"/>
      <c r="M38" s="30"/>
      <c r="P38" s="30"/>
      <c r="S38" s="30"/>
      <c r="V38" s="30"/>
    </row>
    <row r="39">
      <c r="B39" s="1"/>
      <c r="C39" s="1"/>
      <c r="M39" s="30"/>
      <c r="P39" s="30"/>
      <c r="S39" s="30"/>
      <c r="V39" s="30"/>
    </row>
    <row r="40">
      <c r="B40" s="1"/>
      <c r="C40" s="1"/>
      <c r="M40" s="30"/>
      <c r="P40" s="30"/>
      <c r="S40" s="30"/>
      <c r="V40" s="30"/>
    </row>
    <row r="41">
      <c r="B41" s="1"/>
      <c r="C41" s="1"/>
      <c r="M41" s="30"/>
      <c r="P41" s="30"/>
      <c r="S41" s="30"/>
      <c r="V41" s="30"/>
    </row>
    <row r="42">
      <c r="B42" s="1"/>
      <c r="C42" s="1"/>
      <c r="M42" s="30"/>
      <c r="P42" s="30"/>
      <c r="S42" s="30"/>
      <c r="V42" s="30"/>
    </row>
    <row r="43">
      <c r="B43" s="1"/>
      <c r="C43" s="1"/>
      <c r="M43" s="30"/>
      <c r="P43" s="30"/>
      <c r="S43" s="30"/>
      <c r="V43" s="30"/>
    </row>
    <row r="44">
      <c r="B44" s="1"/>
      <c r="C44" s="1"/>
      <c r="M44" s="30"/>
      <c r="P44" s="30"/>
      <c r="S44" s="30"/>
      <c r="V44" s="30"/>
    </row>
    <row r="45">
      <c r="B45" s="1"/>
      <c r="C45" s="1"/>
      <c r="M45" s="30"/>
      <c r="P45" s="30"/>
      <c r="S45" s="30"/>
      <c r="V45" s="30"/>
    </row>
    <row r="46">
      <c r="B46" s="1"/>
      <c r="C46" s="1"/>
      <c r="M46" s="30"/>
      <c r="P46" s="30"/>
      <c r="S46" s="30"/>
      <c r="V46" s="30"/>
    </row>
    <row r="47">
      <c r="B47" s="1"/>
      <c r="C47" s="1"/>
      <c r="M47" s="30"/>
      <c r="P47" s="30"/>
      <c r="S47" s="30"/>
      <c r="V47" s="30"/>
    </row>
    <row r="48">
      <c r="B48" s="1"/>
      <c r="C48" s="1"/>
      <c r="M48" s="30"/>
      <c r="P48" s="30"/>
      <c r="S48" s="30"/>
      <c r="V48" s="30"/>
    </row>
    <row r="49">
      <c r="B49" s="1"/>
      <c r="C49" s="1"/>
      <c r="M49" s="30"/>
      <c r="P49" s="30"/>
      <c r="S49" s="30"/>
      <c r="V49" s="30"/>
    </row>
    <row r="50">
      <c r="B50" s="1"/>
      <c r="C50" s="1"/>
      <c r="M50" s="30"/>
      <c r="P50" s="30"/>
      <c r="S50" s="30"/>
      <c r="V50" s="30"/>
    </row>
    <row r="51">
      <c r="B51" s="1"/>
      <c r="C51" s="1"/>
      <c r="M51" s="30"/>
      <c r="P51" s="30"/>
      <c r="S51" s="30"/>
      <c r="V51" s="30"/>
    </row>
    <row r="52">
      <c r="B52" s="1"/>
      <c r="C52" s="1"/>
      <c r="M52" s="30"/>
      <c r="P52" s="30"/>
      <c r="S52" s="30"/>
      <c r="V52" s="30"/>
    </row>
    <row r="53">
      <c r="B53" s="1"/>
      <c r="C53" s="1"/>
      <c r="M53" s="30"/>
      <c r="P53" s="30"/>
      <c r="S53" s="30"/>
      <c r="V53" s="30"/>
    </row>
    <row r="54">
      <c r="B54" s="1"/>
      <c r="C54" s="1"/>
      <c r="M54" s="30"/>
      <c r="P54" s="30"/>
      <c r="S54" s="30"/>
      <c r="V54" s="30"/>
    </row>
    <row r="55">
      <c r="B55" s="1"/>
      <c r="C55" s="1"/>
      <c r="M55" s="30"/>
      <c r="P55" s="30"/>
      <c r="S55" s="30"/>
      <c r="V55" s="30"/>
    </row>
    <row r="56">
      <c r="B56" s="1"/>
      <c r="C56" s="1"/>
      <c r="M56" s="30"/>
      <c r="P56" s="30"/>
      <c r="S56" s="30"/>
      <c r="V56" s="30"/>
    </row>
    <row r="57">
      <c r="B57" s="1"/>
      <c r="C57" s="1"/>
      <c r="M57" s="30"/>
      <c r="P57" s="30"/>
      <c r="S57" s="30"/>
      <c r="V57" s="30"/>
    </row>
    <row r="58">
      <c r="B58" s="1"/>
      <c r="C58" s="1"/>
      <c r="M58" s="30"/>
      <c r="P58" s="30"/>
      <c r="S58" s="30"/>
      <c r="V58" s="30"/>
    </row>
    <row r="59">
      <c r="B59" s="1"/>
      <c r="C59" s="1"/>
      <c r="M59" s="30"/>
      <c r="P59" s="30"/>
      <c r="S59" s="30"/>
      <c r="V59" s="30"/>
    </row>
    <row r="60">
      <c r="B60" s="1"/>
      <c r="C60" s="1"/>
      <c r="M60" s="30"/>
      <c r="P60" s="30"/>
      <c r="S60" s="30"/>
      <c r="V60" s="30"/>
    </row>
    <row r="61">
      <c r="B61" s="1"/>
      <c r="C61" s="1"/>
      <c r="M61" s="30"/>
      <c r="P61" s="30"/>
      <c r="S61" s="30"/>
      <c r="V61" s="30"/>
    </row>
    <row r="62">
      <c r="B62" s="1"/>
      <c r="C62" s="1"/>
      <c r="M62" s="30"/>
      <c r="P62" s="30"/>
      <c r="S62" s="30"/>
      <c r="V62" s="30"/>
    </row>
    <row r="63">
      <c r="B63" s="1"/>
      <c r="C63" s="1"/>
      <c r="M63" s="30"/>
      <c r="P63" s="30"/>
      <c r="S63" s="30"/>
      <c r="V63" s="30"/>
    </row>
    <row r="64">
      <c r="B64" s="1"/>
      <c r="C64" s="1"/>
      <c r="M64" s="30"/>
      <c r="P64" s="30"/>
      <c r="S64" s="30"/>
      <c r="V64" s="30"/>
    </row>
    <row r="65">
      <c r="B65" s="1"/>
      <c r="C65" s="1"/>
      <c r="M65" s="30"/>
      <c r="P65" s="30"/>
      <c r="S65" s="30"/>
      <c r="V65" s="30"/>
    </row>
    <row r="66">
      <c r="B66" s="1"/>
      <c r="C66" s="1"/>
      <c r="M66" s="30"/>
      <c r="P66" s="30"/>
      <c r="S66" s="30"/>
      <c r="V66" s="30"/>
    </row>
    <row r="67">
      <c r="B67" s="1"/>
      <c r="C67" s="1"/>
      <c r="M67" s="30"/>
      <c r="P67" s="30"/>
      <c r="S67" s="30"/>
      <c r="V67" s="30"/>
    </row>
    <row r="68">
      <c r="B68" s="1"/>
      <c r="C68" s="1"/>
      <c r="M68" s="30"/>
      <c r="P68" s="30"/>
      <c r="S68" s="30"/>
      <c r="V68" s="30"/>
    </row>
    <row r="69">
      <c r="B69" s="1"/>
      <c r="C69" s="1"/>
      <c r="M69" s="30"/>
      <c r="P69" s="30"/>
      <c r="S69" s="30"/>
      <c r="V69" s="30"/>
    </row>
    <row r="70">
      <c r="B70" s="1"/>
      <c r="C70" s="1"/>
      <c r="M70" s="30"/>
      <c r="P70" s="30"/>
      <c r="S70" s="30"/>
      <c r="V70" s="30"/>
    </row>
    <row r="71">
      <c r="B71" s="1"/>
      <c r="C71" s="1"/>
      <c r="M71" s="30"/>
      <c r="P71" s="30"/>
      <c r="S71" s="30"/>
      <c r="V71" s="30"/>
    </row>
    <row r="72">
      <c r="B72" s="1"/>
      <c r="C72" s="1"/>
      <c r="M72" s="30"/>
      <c r="P72" s="30"/>
      <c r="S72" s="30"/>
      <c r="V72" s="30"/>
    </row>
    <row r="73">
      <c r="B73" s="1"/>
      <c r="C73" s="1"/>
      <c r="M73" s="30"/>
      <c r="P73" s="30"/>
      <c r="S73" s="30"/>
      <c r="V73" s="30"/>
    </row>
    <row r="74">
      <c r="B74" s="1"/>
      <c r="C74" s="1"/>
      <c r="M74" s="30"/>
      <c r="P74" s="30"/>
      <c r="S74" s="30"/>
      <c r="V74" s="30"/>
    </row>
    <row r="75">
      <c r="B75" s="1"/>
      <c r="C75" s="1"/>
      <c r="M75" s="30"/>
      <c r="P75" s="30"/>
      <c r="S75" s="30"/>
      <c r="V75" s="30"/>
    </row>
    <row r="76">
      <c r="B76" s="1"/>
      <c r="C76" s="1"/>
      <c r="M76" s="30"/>
      <c r="P76" s="30"/>
      <c r="S76" s="30"/>
      <c r="V76" s="30"/>
    </row>
    <row r="77">
      <c r="B77" s="1"/>
      <c r="C77" s="1"/>
      <c r="M77" s="30"/>
      <c r="P77" s="30"/>
      <c r="S77" s="30"/>
      <c r="V77" s="30"/>
    </row>
    <row r="78">
      <c r="B78" s="1"/>
      <c r="C78" s="1"/>
      <c r="M78" s="30"/>
      <c r="P78" s="30"/>
      <c r="S78" s="30"/>
      <c r="V78" s="30"/>
    </row>
    <row r="79">
      <c r="B79" s="1"/>
      <c r="C79" s="1"/>
      <c r="M79" s="30"/>
      <c r="P79" s="30"/>
      <c r="S79" s="30"/>
      <c r="V79" s="30"/>
    </row>
    <row r="80">
      <c r="B80" s="1"/>
      <c r="C80" s="1"/>
      <c r="M80" s="30"/>
      <c r="P80" s="30"/>
      <c r="S80" s="30"/>
      <c r="V80" s="30"/>
    </row>
    <row r="81">
      <c r="B81" s="1"/>
      <c r="C81" s="1"/>
      <c r="M81" s="30"/>
      <c r="P81" s="30"/>
      <c r="S81" s="30"/>
      <c r="V81" s="30"/>
    </row>
    <row r="82">
      <c r="B82" s="1"/>
      <c r="C82" s="1"/>
      <c r="M82" s="30"/>
      <c r="P82" s="30"/>
      <c r="S82" s="30"/>
      <c r="V82" s="30"/>
    </row>
    <row r="83">
      <c r="B83" s="1"/>
      <c r="C83" s="1"/>
      <c r="M83" s="30"/>
      <c r="P83" s="30"/>
      <c r="S83" s="30"/>
      <c r="V83" s="30"/>
    </row>
    <row r="84">
      <c r="B84" s="1"/>
      <c r="C84" s="1"/>
      <c r="M84" s="30"/>
      <c r="P84" s="30"/>
      <c r="S84" s="30"/>
      <c r="V84" s="30"/>
    </row>
    <row r="85">
      <c r="B85" s="1"/>
      <c r="C85" s="1"/>
      <c r="M85" s="30"/>
      <c r="P85" s="30"/>
      <c r="S85" s="30"/>
      <c r="V85" s="30"/>
    </row>
    <row r="86">
      <c r="B86" s="1"/>
      <c r="C86" s="1"/>
      <c r="M86" s="30"/>
      <c r="P86" s="30"/>
      <c r="S86" s="30"/>
      <c r="V86" s="30"/>
    </row>
    <row r="87">
      <c r="B87" s="1"/>
      <c r="C87" s="1"/>
      <c r="M87" s="30"/>
      <c r="P87" s="30"/>
      <c r="S87" s="30"/>
      <c r="V87" s="30"/>
    </row>
    <row r="88">
      <c r="B88" s="1"/>
      <c r="C88" s="1"/>
      <c r="M88" s="30"/>
      <c r="P88" s="30"/>
      <c r="S88" s="30"/>
      <c r="V88" s="30"/>
    </row>
    <row r="89">
      <c r="B89" s="1"/>
      <c r="C89" s="1"/>
      <c r="M89" s="30"/>
      <c r="P89" s="30"/>
      <c r="S89" s="30"/>
      <c r="V89" s="30"/>
    </row>
    <row r="90">
      <c r="B90" s="1"/>
      <c r="C90" s="1"/>
      <c r="M90" s="30"/>
      <c r="P90" s="30"/>
      <c r="S90" s="30"/>
      <c r="V90" s="30"/>
    </row>
    <row r="91">
      <c r="B91" s="1"/>
      <c r="C91" s="1"/>
      <c r="M91" s="30"/>
      <c r="P91" s="30"/>
      <c r="S91" s="30"/>
      <c r="V91" s="30"/>
    </row>
    <row r="92">
      <c r="B92" s="1"/>
      <c r="C92" s="1"/>
      <c r="M92" s="30"/>
      <c r="P92" s="30"/>
      <c r="S92" s="30"/>
      <c r="V92" s="30"/>
    </row>
    <row r="93">
      <c r="B93" s="1"/>
      <c r="C93" s="1"/>
      <c r="M93" s="30"/>
      <c r="P93" s="30"/>
      <c r="S93" s="30"/>
      <c r="V93" s="30"/>
    </row>
    <row r="94">
      <c r="B94" s="1"/>
      <c r="C94" s="1"/>
      <c r="M94" s="30"/>
      <c r="P94" s="30"/>
      <c r="S94" s="30"/>
      <c r="V94" s="30"/>
    </row>
    <row r="95">
      <c r="B95" s="1"/>
      <c r="C95" s="1"/>
      <c r="M95" s="30"/>
      <c r="P95" s="30"/>
      <c r="S95" s="30"/>
      <c r="V95" s="30"/>
    </row>
    <row r="96">
      <c r="B96" s="1"/>
      <c r="C96" s="1"/>
      <c r="M96" s="30"/>
      <c r="P96" s="30"/>
      <c r="S96" s="30"/>
      <c r="V96" s="30"/>
    </row>
    <row r="97">
      <c r="B97" s="1"/>
      <c r="C97" s="1"/>
      <c r="M97" s="30"/>
      <c r="P97" s="30"/>
      <c r="S97" s="30"/>
      <c r="V97" s="30"/>
    </row>
    <row r="98">
      <c r="B98" s="1"/>
      <c r="C98" s="1"/>
      <c r="M98" s="30"/>
      <c r="P98" s="30"/>
      <c r="S98" s="30"/>
      <c r="V98" s="30"/>
    </row>
    <row r="99">
      <c r="B99" s="1"/>
      <c r="C99" s="1"/>
      <c r="M99" s="30"/>
      <c r="P99" s="30"/>
      <c r="S99" s="30"/>
      <c r="V99" s="30"/>
    </row>
    <row r="100">
      <c r="B100" s="1"/>
      <c r="C100" s="1"/>
      <c r="M100" s="30"/>
      <c r="P100" s="30"/>
      <c r="S100" s="30"/>
      <c r="V100" s="30"/>
    </row>
    <row r="101">
      <c r="B101" s="1"/>
      <c r="C101" s="1"/>
      <c r="M101" s="30"/>
      <c r="P101" s="30"/>
      <c r="S101" s="30"/>
      <c r="V101" s="30"/>
    </row>
    <row r="102">
      <c r="B102" s="1"/>
      <c r="C102" s="1"/>
      <c r="M102" s="30"/>
      <c r="P102" s="30"/>
      <c r="S102" s="30"/>
      <c r="V102" s="30"/>
    </row>
    <row r="103">
      <c r="B103" s="1"/>
      <c r="C103" s="1"/>
      <c r="M103" s="30"/>
      <c r="P103" s="30"/>
      <c r="S103" s="30"/>
      <c r="V103" s="30"/>
    </row>
    <row r="104">
      <c r="B104" s="1"/>
      <c r="C104" s="1"/>
      <c r="M104" s="30"/>
      <c r="P104" s="30"/>
      <c r="S104" s="30"/>
      <c r="V104" s="30"/>
    </row>
    <row r="105">
      <c r="B105" s="1"/>
      <c r="C105" s="1"/>
      <c r="M105" s="30"/>
      <c r="P105" s="30"/>
      <c r="S105" s="30"/>
      <c r="V105" s="30"/>
    </row>
    <row r="106">
      <c r="B106" s="1"/>
      <c r="C106" s="1"/>
      <c r="M106" s="30"/>
      <c r="P106" s="30"/>
      <c r="S106" s="30"/>
      <c r="V106" s="30"/>
    </row>
    <row r="107">
      <c r="B107" s="1"/>
      <c r="C107" s="1"/>
      <c r="M107" s="30"/>
      <c r="P107" s="30"/>
      <c r="S107" s="30"/>
      <c r="V107" s="30"/>
    </row>
    <row r="108">
      <c r="B108" s="1"/>
      <c r="C108" s="1"/>
      <c r="M108" s="30"/>
      <c r="P108" s="30"/>
      <c r="S108" s="30"/>
      <c r="V108" s="30"/>
    </row>
    <row r="109">
      <c r="B109" s="1"/>
      <c r="C109" s="1"/>
      <c r="M109" s="30"/>
      <c r="P109" s="30"/>
      <c r="S109" s="30"/>
      <c r="V109" s="30"/>
    </row>
    <row r="110">
      <c r="B110" s="1"/>
      <c r="C110" s="1"/>
      <c r="M110" s="30"/>
      <c r="P110" s="30"/>
      <c r="S110" s="30"/>
      <c r="V110" s="30"/>
    </row>
    <row r="111">
      <c r="B111" s="1"/>
      <c r="C111" s="1"/>
      <c r="M111" s="30"/>
      <c r="P111" s="30"/>
      <c r="S111" s="30"/>
      <c r="V111" s="30"/>
    </row>
    <row r="112">
      <c r="B112" s="1"/>
      <c r="C112" s="1"/>
      <c r="M112" s="30"/>
      <c r="P112" s="30"/>
      <c r="S112" s="30"/>
      <c r="V112" s="30"/>
    </row>
    <row r="113">
      <c r="B113" s="1"/>
      <c r="C113" s="1"/>
      <c r="M113" s="30"/>
      <c r="P113" s="30"/>
      <c r="S113" s="30"/>
      <c r="V113" s="30"/>
    </row>
    <row r="114">
      <c r="B114" s="1"/>
      <c r="C114" s="1"/>
      <c r="M114" s="30"/>
      <c r="P114" s="30"/>
      <c r="S114" s="30"/>
      <c r="V114" s="30"/>
    </row>
    <row r="115">
      <c r="B115" s="1"/>
      <c r="C115" s="1"/>
      <c r="M115" s="30"/>
      <c r="P115" s="30"/>
      <c r="S115" s="30"/>
      <c r="V115" s="30"/>
    </row>
    <row r="116">
      <c r="B116" s="1"/>
      <c r="C116" s="1"/>
      <c r="M116" s="30"/>
      <c r="P116" s="30"/>
      <c r="S116" s="30"/>
      <c r="V116" s="30"/>
    </row>
    <row r="117">
      <c r="B117" s="1"/>
      <c r="C117" s="1"/>
      <c r="M117" s="30"/>
      <c r="P117" s="30"/>
      <c r="S117" s="30"/>
      <c r="V117" s="30"/>
    </row>
    <row r="118">
      <c r="B118" s="1"/>
      <c r="C118" s="1"/>
      <c r="M118" s="30"/>
      <c r="P118" s="30"/>
      <c r="S118" s="30"/>
      <c r="V118" s="30"/>
    </row>
    <row r="119">
      <c r="B119" s="1"/>
      <c r="C119" s="1"/>
      <c r="M119" s="30"/>
      <c r="P119" s="30"/>
      <c r="S119" s="30"/>
      <c r="V119" s="30"/>
    </row>
    <row r="120">
      <c r="B120" s="1"/>
      <c r="C120" s="1"/>
      <c r="M120" s="30"/>
      <c r="P120" s="30"/>
      <c r="S120" s="30"/>
      <c r="V120" s="30"/>
    </row>
    <row r="121">
      <c r="B121" s="1"/>
      <c r="C121" s="1"/>
      <c r="M121" s="30"/>
      <c r="P121" s="30"/>
      <c r="S121" s="30"/>
      <c r="V121" s="30"/>
    </row>
    <row r="122">
      <c r="B122" s="1"/>
      <c r="C122" s="1"/>
      <c r="M122" s="30"/>
      <c r="P122" s="30"/>
      <c r="S122" s="30"/>
      <c r="V122" s="30"/>
    </row>
    <row r="123">
      <c r="B123" s="1"/>
      <c r="C123" s="1"/>
      <c r="M123" s="30"/>
      <c r="P123" s="30"/>
      <c r="S123" s="30"/>
      <c r="V123" s="30"/>
    </row>
    <row r="124">
      <c r="B124" s="1"/>
      <c r="C124" s="1"/>
      <c r="M124" s="30"/>
      <c r="P124" s="30"/>
      <c r="S124" s="30"/>
      <c r="V124" s="30"/>
    </row>
    <row r="125">
      <c r="B125" s="1"/>
      <c r="C125" s="1"/>
      <c r="M125" s="30"/>
      <c r="P125" s="30"/>
      <c r="S125" s="30"/>
      <c r="V125" s="30"/>
    </row>
    <row r="126">
      <c r="B126" s="1"/>
      <c r="C126" s="1"/>
      <c r="M126" s="30"/>
      <c r="P126" s="30"/>
      <c r="S126" s="30"/>
      <c r="V126" s="30"/>
    </row>
    <row r="127">
      <c r="B127" s="1"/>
      <c r="C127" s="1"/>
      <c r="M127" s="30"/>
      <c r="P127" s="30"/>
      <c r="S127" s="30"/>
      <c r="V127" s="30"/>
    </row>
    <row r="128">
      <c r="B128" s="1"/>
      <c r="C128" s="1"/>
      <c r="M128" s="30"/>
      <c r="P128" s="30"/>
      <c r="S128" s="30"/>
      <c r="V128" s="30"/>
    </row>
    <row r="129">
      <c r="B129" s="1"/>
      <c r="C129" s="1"/>
      <c r="M129" s="30"/>
      <c r="P129" s="30"/>
      <c r="S129" s="30"/>
      <c r="V129" s="30"/>
    </row>
    <row r="130">
      <c r="B130" s="1"/>
      <c r="C130" s="1"/>
      <c r="M130" s="30"/>
      <c r="P130" s="30"/>
      <c r="S130" s="30"/>
      <c r="V130" s="30"/>
    </row>
    <row r="131">
      <c r="B131" s="1"/>
      <c r="C131" s="1"/>
      <c r="M131" s="30"/>
      <c r="P131" s="30"/>
      <c r="S131" s="30"/>
      <c r="V131" s="30"/>
    </row>
    <row r="132">
      <c r="B132" s="1"/>
      <c r="C132" s="1"/>
      <c r="M132" s="30"/>
      <c r="P132" s="30"/>
      <c r="S132" s="30"/>
      <c r="V132" s="30"/>
    </row>
    <row r="133">
      <c r="B133" s="1"/>
      <c r="C133" s="1"/>
      <c r="M133" s="30"/>
      <c r="P133" s="30"/>
      <c r="S133" s="30"/>
      <c r="V133" s="30"/>
    </row>
    <row r="134">
      <c r="B134" s="1"/>
      <c r="C134" s="1"/>
      <c r="M134" s="30"/>
      <c r="P134" s="30"/>
      <c r="S134" s="30"/>
      <c r="V134" s="30"/>
    </row>
    <row r="135">
      <c r="B135" s="1"/>
      <c r="C135" s="1"/>
      <c r="M135" s="30"/>
      <c r="P135" s="30"/>
      <c r="S135" s="30"/>
      <c r="V135" s="30"/>
    </row>
    <row r="136">
      <c r="B136" s="1"/>
      <c r="C136" s="1"/>
      <c r="M136" s="30"/>
      <c r="P136" s="30"/>
      <c r="S136" s="30"/>
      <c r="V136" s="30"/>
    </row>
    <row r="137">
      <c r="B137" s="1"/>
      <c r="C137" s="1"/>
      <c r="M137" s="30"/>
      <c r="P137" s="30"/>
      <c r="S137" s="30"/>
      <c r="V137" s="30"/>
    </row>
    <row r="138">
      <c r="B138" s="1"/>
      <c r="C138" s="1"/>
      <c r="M138" s="30"/>
      <c r="P138" s="30"/>
      <c r="S138" s="30"/>
      <c r="V138" s="30"/>
    </row>
    <row r="139">
      <c r="B139" s="1"/>
      <c r="C139" s="1"/>
      <c r="M139" s="30"/>
      <c r="P139" s="30"/>
      <c r="S139" s="30"/>
      <c r="V139" s="30"/>
    </row>
    <row r="140">
      <c r="B140" s="1"/>
      <c r="C140" s="1"/>
      <c r="M140" s="30"/>
      <c r="P140" s="30"/>
      <c r="S140" s="30"/>
      <c r="V140" s="30"/>
    </row>
    <row r="141">
      <c r="B141" s="1"/>
      <c r="C141" s="1"/>
      <c r="M141" s="30"/>
      <c r="P141" s="30"/>
      <c r="S141" s="30"/>
      <c r="V141" s="30"/>
    </row>
    <row r="142">
      <c r="B142" s="1"/>
      <c r="C142" s="1"/>
      <c r="M142" s="30"/>
      <c r="P142" s="30"/>
      <c r="S142" s="30"/>
      <c r="V142" s="30"/>
    </row>
    <row r="143">
      <c r="B143" s="1"/>
      <c r="C143" s="1"/>
      <c r="M143" s="30"/>
      <c r="P143" s="30"/>
      <c r="S143" s="30"/>
      <c r="V143" s="30"/>
    </row>
    <row r="144">
      <c r="B144" s="1"/>
      <c r="C144" s="1"/>
      <c r="M144" s="30"/>
      <c r="P144" s="30"/>
      <c r="S144" s="30"/>
      <c r="V144" s="30"/>
    </row>
    <row r="145">
      <c r="B145" s="1"/>
      <c r="C145" s="1"/>
      <c r="M145" s="30"/>
      <c r="P145" s="30"/>
      <c r="S145" s="30"/>
      <c r="V145" s="30"/>
    </row>
    <row r="146">
      <c r="B146" s="1"/>
      <c r="C146" s="1"/>
      <c r="M146" s="30"/>
      <c r="P146" s="30"/>
      <c r="S146" s="30"/>
      <c r="V146" s="30"/>
    </row>
    <row r="147">
      <c r="B147" s="1"/>
      <c r="C147" s="1"/>
      <c r="M147" s="30"/>
      <c r="P147" s="30"/>
      <c r="S147" s="30"/>
      <c r="V147" s="30"/>
    </row>
    <row r="148">
      <c r="B148" s="1"/>
      <c r="C148" s="1"/>
      <c r="M148" s="30"/>
      <c r="P148" s="30"/>
      <c r="S148" s="30"/>
      <c r="V148" s="30"/>
    </row>
    <row r="149">
      <c r="B149" s="1"/>
      <c r="C149" s="1"/>
      <c r="M149" s="30"/>
      <c r="P149" s="30"/>
      <c r="S149" s="30"/>
      <c r="V149" s="30"/>
    </row>
    <row r="150">
      <c r="B150" s="1"/>
      <c r="C150" s="1"/>
      <c r="M150" s="30"/>
      <c r="P150" s="30"/>
      <c r="S150" s="30"/>
      <c r="V150" s="30"/>
    </row>
    <row r="151">
      <c r="B151" s="1"/>
      <c r="C151" s="1"/>
      <c r="M151" s="30"/>
      <c r="P151" s="30"/>
      <c r="S151" s="30"/>
      <c r="V151" s="30"/>
    </row>
    <row r="152">
      <c r="B152" s="1"/>
      <c r="C152" s="1"/>
      <c r="M152" s="30"/>
      <c r="P152" s="30"/>
      <c r="S152" s="30"/>
      <c r="V152" s="30"/>
    </row>
    <row r="153">
      <c r="B153" s="1"/>
      <c r="C153" s="1"/>
      <c r="M153" s="30"/>
      <c r="P153" s="30"/>
      <c r="S153" s="30"/>
      <c r="V153" s="30"/>
    </row>
    <row r="154">
      <c r="B154" s="1"/>
      <c r="C154" s="1"/>
      <c r="M154" s="30"/>
      <c r="P154" s="30"/>
      <c r="S154" s="30"/>
      <c r="V154" s="30"/>
    </row>
    <row r="155">
      <c r="B155" s="1"/>
      <c r="C155" s="1"/>
      <c r="M155" s="30"/>
      <c r="P155" s="30"/>
      <c r="S155" s="30"/>
      <c r="V155" s="30"/>
    </row>
    <row r="156">
      <c r="B156" s="1"/>
      <c r="C156" s="1"/>
      <c r="M156" s="30"/>
      <c r="P156" s="30"/>
      <c r="S156" s="30"/>
      <c r="V156" s="30"/>
    </row>
    <row r="157">
      <c r="B157" s="1"/>
      <c r="C157" s="1"/>
      <c r="M157" s="30"/>
      <c r="P157" s="30"/>
      <c r="S157" s="30"/>
      <c r="V157" s="30"/>
    </row>
    <row r="158">
      <c r="B158" s="1"/>
      <c r="C158" s="1"/>
      <c r="M158" s="30"/>
      <c r="P158" s="30"/>
      <c r="S158" s="30"/>
      <c r="V158" s="30"/>
    </row>
    <row r="159">
      <c r="B159" s="1"/>
      <c r="C159" s="1"/>
      <c r="M159" s="30"/>
      <c r="P159" s="30"/>
      <c r="S159" s="30"/>
      <c r="V159" s="30"/>
    </row>
    <row r="160">
      <c r="B160" s="1"/>
      <c r="C160" s="1"/>
      <c r="M160" s="30"/>
      <c r="P160" s="30"/>
      <c r="S160" s="30"/>
      <c r="V160" s="30"/>
    </row>
    <row r="161">
      <c r="B161" s="1"/>
      <c r="C161" s="1"/>
      <c r="M161" s="30"/>
      <c r="P161" s="30"/>
      <c r="S161" s="30"/>
      <c r="V161" s="30"/>
    </row>
    <row r="162">
      <c r="B162" s="1"/>
      <c r="C162" s="1"/>
      <c r="M162" s="30"/>
      <c r="P162" s="30"/>
      <c r="S162" s="30"/>
      <c r="V162" s="30"/>
    </row>
    <row r="163">
      <c r="B163" s="1"/>
      <c r="C163" s="1"/>
      <c r="M163" s="30"/>
      <c r="P163" s="30"/>
      <c r="S163" s="30"/>
      <c r="V163" s="30"/>
    </row>
    <row r="164">
      <c r="B164" s="1"/>
      <c r="C164" s="1"/>
      <c r="M164" s="30"/>
      <c r="P164" s="30"/>
      <c r="S164" s="30"/>
      <c r="V164" s="30"/>
    </row>
    <row r="165">
      <c r="B165" s="1"/>
      <c r="C165" s="1"/>
      <c r="M165" s="30"/>
      <c r="P165" s="30"/>
      <c r="S165" s="30"/>
      <c r="V165" s="30"/>
    </row>
    <row r="166">
      <c r="B166" s="1"/>
      <c r="C166" s="1"/>
      <c r="M166" s="30"/>
      <c r="P166" s="30"/>
      <c r="S166" s="30"/>
      <c r="V166" s="30"/>
    </row>
    <row r="167">
      <c r="B167" s="1"/>
      <c r="C167" s="1"/>
      <c r="M167" s="30"/>
      <c r="P167" s="30"/>
      <c r="S167" s="30"/>
      <c r="V167" s="30"/>
    </row>
    <row r="168">
      <c r="B168" s="1"/>
      <c r="C168" s="1"/>
      <c r="M168" s="30"/>
      <c r="P168" s="30"/>
      <c r="S168" s="30"/>
      <c r="V168" s="30"/>
    </row>
    <row r="169">
      <c r="B169" s="1"/>
      <c r="C169" s="1"/>
      <c r="M169" s="30"/>
      <c r="P169" s="30"/>
      <c r="S169" s="30"/>
      <c r="V169" s="30"/>
    </row>
    <row r="170">
      <c r="B170" s="1"/>
      <c r="C170" s="1"/>
      <c r="M170" s="30"/>
      <c r="P170" s="30"/>
      <c r="S170" s="30"/>
      <c r="V170" s="30"/>
    </row>
    <row r="171">
      <c r="B171" s="1"/>
      <c r="C171" s="1"/>
      <c r="M171" s="30"/>
      <c r="P171" s="30"/>
      <c r="S171" s="30"/>
      <c r="V171" s="30"/>
    </row>
    <row r="172">
      <c r="B172" s="1"/>
      <c r="C172" s="1"/>
      <c r="M172" s="30"/>
      <c r="P172" s="30"/>
      <c r="S172" s="30"/>
      <c r="V172" s="30"/>
    </row>
    <row r="173">
      <c r="B173" s="1"/>
      <c r="C173" s="1"/>
      <c r="M173" s="30"/>
      <c r="P173" s="30"/>
      <c r="S173" s="30"/>
      <c r="V173" s="30"/>
    </row>
    <row r="174">
      <c r="B174" s="1"/>
      <c r="C174" s="1"/>
      <c r="M174" s="30"/>
      <c r="P174" s="30"/>
      <c r="S174" s="30"/>
      <c r="V174" s="30"/>
    </row>
    <row r="175">
      <c r="B175" s="1"/>
      <c r="C175" s="1"/>
      <c r="M175" s="30"/>
      <c r="P175" s="30"/>
      <c r="S175" s="30"/>
      <c r="V175" s="30"/>
    </row>
    <row r="176">
      <c r="B176" s="1"/>
      <c r="C176" s="1"/>
      <c r="M176" s="30"/>
      <c r="P176" s="30"/>
      <c r="S176" s="30"/>
      <c r="V176" s="30"/>
    </row>
    <row r="177">
      <c r="B177" s="1"/>
      <c r="C177" s="1"/>
      <c r="M177" s="30"/>
      <c r="P177" s="30"/>
      <c r="S177" s="30"/>
      <c r="V177" s="30"/>
    </row>
    <row r="178">
      <c r="B178" s="1"/>
      <c r="C178" s="1"/>
      <c r="M178" s="30"/>
      <c r="P178" s="30"/>
      <c r="S178" s="30"/>
      <c r="V178" s="30"/>
    </row>
    <row r="179">
      <c r="B179" s="1"/>
      <c r="C179" s="1"/>
      <c r="M179" s="30"/>
      <c r="P179" s="30"/>
      <c r="S179" s="30"/>
      <c r="V179" s="30"/>
    </row>
    <row r="180">
      <c r="B180" s="1"/>
      <c r="C180" s="1"/>
      <c r="M180" s="30"/>
      <c r="P180" s="30"/>
      <c r="S180" s="30"/>
      <c r="V180" s="30"/>
    </row>
    <row r="181">
      <c r="B181" s="1"/>
      <c r="C181" s="1"/>
      <c r="M181" s="30"/>
      <c r="P181" s="30"/>
      <c r="S181" s="30"/>
      <c r="V181" s="30"/>
    </row>
    <row r="182">
      <c r="B182" s="1"/>
      <c r="C182" s="1"/>
      <c r="M182" s="30"/>
      <c r="P182" s="30"/>
      <c r="S182" s="30"/>
      <c r="V182" s="30"/>
    </row>
    <row r="183">
      <c r="B183" s="1"/>
      <c r="C183" s="1"/>
      <c r="M183" s="30"/>
      <c r="P183" s="30"/>
      <c r="S183" s="30"/>
      <c r="V183" s="30"/>
    </row>
    <row r="184">
      <c r="B184" s="1"/>
      <c r="C184" s="1"/>
      <c r="M184" s="30"/>
      <c r="P184" s="30"/>
      <c r="S184" s="30"/>
      <c r="V184" s="30"/>
    </row>
    <row r="185">
      <c r="B185" s="1"/>
      <c r="C185" s="1"/>
      <c r="M185" s="30"/>
      <c r="P185" s="30"/>
      <c r="S185" s="30"/>
      <c r="V185" s="30"/>
    </row>
    <row r="186">
      <c r="B186" s="1"/>
      <c r="C186" s="1"/>
      <c r="M186" s="30"/>
      <c r="P186" s="30"/>
      <c r="S186" s="30"/>
      <c r="V186" s="30"/>
    </row>
    <row r="187">
      <c r="B187" s="1"/>
      <c r="C187" s="1"/>
      <c r="M187" s="30"/>
      <c r="P187" s="30"/>
      <c r="S187" s="30"/>
      <c r="V187" s="30"/>
    </row>
    <row r="188">
      <c r="B188" s="1"/>
      <c r="C188" s="1"/>
      <c r="M188" s="30"/>
      <c r="P188" s="30"/>
      <c r="S188" s="30"/>
      <c r="V188" s="30"/>
    </row>
    <row r="189">
      <c r="B189" s="1"/>
      <c r="C189" s="1"/>
      <c r="M189" s="30"/>
      <c r="P189" s="30"/>
      <c r="S189" s="30"/>
      <c r="V189" s="30"/>
    </row>
    <row r="190">
      <c r="B190" s="1"/>
      <c r="C190" s="1"/>
      <c r="M190" s="30"/>
      <c r="P190" s="30"/>
      <c r="S190" s="30"/>
      <c r="V190" s="30"/>
    </row>
    <row r="191">
      <c r="B191" s="1"/>
      <c r="C191" s="1"/>
      <c r="M191" s="30"/>
      <c r="P191" s="30"/>
      <c r="S191" s="30"/>
      <c r="V191" s="30"/>
    </row>
    <row r="192">
      <c r="B192" s="1"/>
      <c r="C192" s="1"/>
      <c r="M192" s="30"/>
      <c r="P192" s="30"/>
      <c r="S192" s="30"/>
      <c r="V192" s="30"/>
    </row>
    <row r="193">
      <c r="B193" s="1"/>
      <c r="C193" s="1"/>
      <c r="M193" s="30"/>
      <c r="P193" s="30"/>
      <c r="S193" s="30"/>
      <c r="V193" s="30"/>
    </row>
    <row r="194">
      <c r="B194" s="1"/>
      <c r="C194" s="1"/>
      <c r="M194" s="30"/>
      <c r="P194" s="30"/>
      <c r="S194" s="30"/>
      <c r="V194" s="30"/>
    </row>
    <row r="195">
      <c r="B195" s="1"/>
      <c r="C195" s="1"/>
      <c r="M195" s="30"/>
      <c r="P195" s="30"/>
      <c r="S195" s="30"/>
      <c r="V195" s="30"/>
    </row>
    <row r="196">
      <c r="B196" s="1"/>
      <c r="C196" s="1"/>
      <c r="M196" s="30"/>
      <c r="P196" s="30"/>
      <c r="S196" s="30"/>
      <c r="V196" s="30"/>
    </row>
    <row r="197">
      <c r="B197" s="1"/>
      <c r="C197" s="1"/>
      <c r="M197" s="30"/>
      <c r="P197" s="30"/>
      <c r="S197" s="30"/>
      <c r="V197" s="30"/>
    </row>
    <row r="198">
      <c r="B198" s="1"/>
      <c r="C198" s="1"/>
      <c r="M198" s="30"/>
      <c r="P198" s="30"/>
      <c r="S198" s="30"/>
      <c r="V198" s="30"/>
    </row>
    <row r="199">
      <c r="B199" s="1"/>
      <c r="C199" s="1"/>
      <c r="M199" s="30"/>
      <c r="P199" s="30"/>
      <c r="S199" s="30"/>
      <c r="V199" s="30"/>
    </row>
    <row r="200">
      <c r="B200" s="1"/>
      <c r="C200" s="1"/>
      <c r="M200" s="30"/>
      <c r="P200" s="30"/>
      <c r="S200" s="30"/>
      <c r="V200" s="30"/>
    </row>
    <row r="201">
      <c r="B201" s="1"/>
      <c r="C201" s="1"/>
      <c r="M201" s="30"/>
      <c r="P201" s="30"/>
      <c r="S201" s="30"/>
      <c r="V201" s="30"/>
    </row>
    <row r="202">
      <c r="B202" s="1"/>
      <c r="C202" s="1"/>
      <c r="M202" s="30"/>
      <c r="P202" s="30"/>
      <c r="S202" s="30"/>
      <c r="V202" s="30"/>
    </row>
    <row r="203">
      <c r="B203" s="1"/>
      <c r="C203" s="1"/>
      <c r="M203" s="30"/>
      <c r="P203" s="30"/>
      <c r="S203" s="30"/>
      <c r="V203" s="30"/>
    </row>
    <row r="204">
      <c r="B204" s="1"/>
      <c r="C204" s="1"/>
      <c r="M204" s="30"/>
      <c r="P204" s="30"/>
      <c r="S204" s="30"/>
      <c r="V204" s="30"/>
    </row>
    <row r="205">
      <c r="B205" s="1"/>
      <c r="C205" s="1"/>
      <c r="M205" s="30"/>
      <c r="P205" s="30"/>
      <c r="S205" s="30"/>
      <c r="V205" s="30"/>
    </row>
    <row r="206">
      <c r="B206" s="1"/>
      <c r="C206" s="1"/>
      <c r="M206" s="30"/>
      <c r="P206" s="30"/>
      <c r="S206" s="30"/>
      <c r="V206" s="30"/>
    </row>
    <row r="207">
      <c r="B207" s="1"/>
      <c r="C207" s="1"/>
      <c r="M207" s="30"/>
      <c r="P207" s="30"/>
      <c r="S207" s="30"/>
      <c r="V207" s="30"/>
    </row>
    <row r="208">
      <c r="B208" s="1"/>
      <c r="C208" s="1"/>
      <c r="M208" s="30"/>
      <c r="P208" s="30"/>
      <c r="S208" s="30"/>
      <c r="V208" s="30"/>
    </row>
    <row r="209">
      <c r="B209" s="1"/>
      <c r="C209" s="1"/>
      <c r="M209" s="30"/>
      <c r="P209" s="30"/>
      <c r="S209" s="30"/>
      <c r="V209" s="30"/>
    </row>
    <row r="210">
      <c r="B210" s="1"/>
      <c r="C210" s="1"/>
      <c r="M210" s="30"/>
      <c r="P210" s="30"/>
      <c r="S210" s="30"/>
      <c r="V210" s="30"/>
    </row>
    <row r="211">
      <c r="B211" s="1"/>
      <c r="C211" s="1"/>
      <c r="M211" s="30"/>
      <c r="P211" s="30"/>
      <c r="S211" s="30"/>
      <c r="V211" s="30"/>
    </row>
    <row r="212">
      <c r="B212" s="1"/>
      <c r="C212" s="1"/>
      <c r="M212" s="30"/>
      <c r="P212" s="30"/>
      <c r="S212" s="30"/>
      <c r="V212" s="30"/>
    </row>
    <row r="213">
      <c r="B213" s="1"/>
      <c r="C213" s="1"/>
      <c r="M213" s="30"/>
      <c r="P213" s="30"/>
      <c r="S213" s="30"/>
      <c r="V213" s="30"/>
    </row>
    <row r="214">
      <c r="B214" s="1"/>
      <c r="C214" s="1"/>
      <c r="M214" s="30"/>
      <c r="P214" s="30"/>
      <c r="S214" s="30"/>
      <c r="V214" s="30"/>
    </row>
    <row r="215">
      <c r="B215" s="1"/>
      <c r="C215" s="1"/>
      <c r="M215" s="30"/>
      <c r="P215" s="30"/>
      <c r="S215" s="30"/>
      <c r="V215" s="30"/>
    </row>
    <row r="216">
      <c r="B216" s="1"/>
      <c r="C216" s="1"/>
      <c r="M216" s="30"/>
      <c r="P216" s="30"/>
      <c r="S216" s="30"/>
      <c r="V216" s="30"/>
    </row>
    <row r="217">
      <c r="B217" s="1"/>
      <c r="C217" s="1"/>
      <c r="M217" s="30"/>
      <c r="P217" s="30"/>
      <c r="S217" s="30"/>
      <c r="V217" s="30"/>
    </row>
    <row r="218">
      <c r="B218" s="1"/>
      <c r="C218" s="1"/>
      <c r="M218" s="30"/>
      <c r="P218" s="30"/>
      <c r="S218" s="30"/>
      <c r="V218" s="30"/>
    </row>
    <row r="219">
      <c r="B219" s="1"/>
      <c r="C219" s="1"/>
      <c r="M219" s="30"/>
      <c r="P219" s="30"/>
      <c r="S219" s="30"/>
      <c r="V219" s="30"/>
    </row>
    <row r="220">
      <c r="B220" s="1"/>
      <c r="C220" s="1"/>
      <c r="M220" s="30"/>
      <c r="P220" s="30"/>
      <c r="S220" s="30"/>
      <c r="V220" s="30"/>
    </row>
    <row r="221">
      <c r="B221" s="1"/>
      <c r="C221" s="1"/>
      <c r="M221" s="30"/>
      <c r="P221" s="30"/>
      <c r="S221" s="30"/>
      <c r="V221" s="30"/>
    </row>
    <row r="222">
      <c r="B222" s="1"/>
      <c r="C222" s="1"/>
      <c r="M222" s="30"/>
      <c r="P222" s="30"/>
      <c r="S222" s="30"/>
      <c r="V222" s="30"/>
    </row>
    <row r="223">
      <c r="B223" s="1"/>
      <c r="C223" s="1"/>
      <c r="M223" s="30"/>
      <c r="P223" s="30"/>
      <c r="S223" s="30"/>
      <c r="V223" s="30"/>
    </row>
    <row r="224">
      <c r="B224" s="1"/>
      <c r="C224" s="1"/>
      <c r="M224" s="30"/>
      <c r="P224" s="30"/>
      <c r="S224" s="30"/>
      <c r="V224" s="30"/>
    </row>
    <row r="225">
      <c r="B225" s="1"/>
      <c r="C225" s="1"/>
      <c r="M225" s="30"/>
      <c r="P225" s="30"/>
      <c r="S225" s="30"/>
      <c r="V225" s="30"/>
    </row>
    <row r="226">
      <c r="B226" s="1"/>
      <c r="C226" s="1"/>
      <c r="M226" s="30"/>
      <c r="P226" s="30"/>
      <c r="S226" s="30"/>
      <c r="V226" s="30"/>
    </row>
    <row r="227">
      <c r="B227" s="1"/>
      <c r="C227" s="1"/>
      <c r="M227" s="30"/>
      <c r="P227" s="30"/>
      <c r="S227" s="30"/>
      <c r="V227" s="30"/>
    </row>
    <row r="228">
      <c r="B228" s="1"/>
      <c r="C228" s="1"/>
      <c r="M228" s="30"/>
      <c r="P228" s="30"/>
      <c r="S228" s="30"/>
      <c r="V228" s="30"/>
    </row>
    <row r="229">
      <c r="B229" s="1"/>
      <c r="C229" s="1"/>
      <c r="M229" s="30"/>
      <c r="P229" s="30"/>
      <c r="S229" s="30"/>
      <c r="V229" s="30"/>
    </row>
    <row r="230">
      <c r="B230" s="1"/>
      <c r="C230" s="1"/>
      <c r="M230" s="30"/>
      <c r="P230" s="30"/>
      <c r="S230" s="30"/>
      <c r="V230" s="30"/>
    </row>
    <row r="231">
      <c r="B231" s="1"/>
      <c r="C231" s="1"/>
      <c r="M231" s="30"/>
      <c r="P231" s="30"/>
      <c r="S231" s="30"/>
      <c r="V231" s="30"/>
    </row>
    <row r="232">
      <c r="B232" s="1"/>
      <c r="C232" s="1"/>
      <c r="M232" s="30"/>
      <c r="P232" s="30"/>
      <c r="S232" s="30"/>
      <c r="V232" s="30"/>
    </row>
    <row r="233">
      <c r="B233" s="1"/>
      <c r="C233" s="1"/>
      <c r="M233" s="30"/>
      <c r="P233" s="30"/>
      <c r="S233" s="30"/>
      <c r="V233" s="30"/>
    </row>
    <row r="234">
      <c r="B234" s="1"/>
      <c r="C234" s="1"/>
      <c r="M234" s="30"/>
      <c r="P234" s="30"/>
      <c r="S234" s="30"/>
      <c r="V234" s="30"/>
    </row>
    <row r="235">
      <c r="B235" s="1"/>
      <c r="C235" s="1"/>
      <c r="M235" s="30"/>
      <c r="P235" s="30"/>
      <c r="S235" s="30"/>
      <c r="V235" s="30"/>
    </row>
    <row r="236">
      <c r="B236" s="1"/>
      <c r="C236" s="1"/>
      <c r="M236" s="30"/>
      <c r="P236" s="30"/>
      <c r="S236" s="30"/>
      <c r="V236" s="30"/>
    </row>
    <row r="237">
      <c r="B237" s="1"/>
      <c r="C237" s="1"/>
      <c r="M237" s="30"/>
      <c r="P237" s="30"/>
      <c r="S237" s="30"/>
      <c r="V237" s="30"/>
    </row>
    <row r="238">
      <c r="B238" s="1"/>
      <c r="C238" s="1"/>
      <c r="M238" s="30"/>
      <c r="P238" s="30"/>
      <c r="S238" s="30"/>
      <c r="V238" s="30"/>
    </row>
    <row r="239">
      <c r="B239" s="1"/>
      <c r="C239" s="1"/>
      <c r="M239" s="30"/>
      <c r="P239" s="30"/>
      <c r="S239" s="30"/>
      <c r="V239" s="30"/>
    </row>
    <row r="240">
      <c r="B240" s="1"/>
      <c r="C240" s="1"/>
      <c r="M240" s="30"/>
      <c r="P240" s="30"/>
      <c r="S240" s="30"/>
      <c r="V240" s="30"/>
    </row>
    <row r="241">
      <c r="B241" s="1"/>
      <c r="C241" s="1"/>
      <c r="M241" s="30"/>
      <c r="P241" s="30"/>
      <c r="S241" s="30"/>
      <c r="V241" s="30"/>
    </row>
    <row r="242">
      <c r="B242" s="1"/>
      <c r="C242" s="1"/>
      <c r="M242" s="30"/>
      <c r="P242" s="30"/>
      <c r="S242" s="30"/>
      <c r="V242" s="30"/>
    </row>
    <row r="243">
      <c r="B243" s="1"/>
      <c r="C243" s="1"/>
      <c r="M243" s="30"/>
      <c r="P243" s="30"/>
      <c r="S243" s="30"/>
      <c r="V243" s="30"/>
    </row>
    <row r="244">
      <c r="B244" s="1"/>
      <c r="C244" s="1"/>
      <c r="M244" s="30"/>
      <c r="P244" s="30"/>
      <c r="S244" s="30"/>
      <c r="V244" s="30"/>
    </row>
    <row r="245">
      <c r="B245" s="1"/>
      <c r="C245" s="1"/>
      <c r="M245" s="30"/>
      <c r="P245" s="30"/>
      <c r="S245" s="30"/>
      <c r="V245" s="30"/>
    </row>
    <row r="246">
      <c r="B246" s="1"/>
      <c r="C246" s="1"/>
      <c r="M246" s="30"/>
      <c r="P246" s="30"/>
      <c r="S246" s="30"/>
      <c r="V246" s="30"/>
    </row>
    <row r="247">
      <c r="B247" s="1"/>
      <c r="C247" s="1"/>
      <c r="M247" s="30"/>
      <c r="P247" s="30"/>
      <c r="S247" s="30"/>
      <c r="V247" s="30"/>
    </row>
    <row r="248">
      <c r="B248" s="1"/>
      <c r="C248" s="1"/>
      <c r="M248" s="30"/>
      <c r="P248" s="30"/>
      <c r="S248" s="30"/>
      <c r="V248" s="30"/>
    </row>
    <row r="249">
      <c r="B249" s="1"/>
      <c r="C249" s="1"/>
      <c r="M249" s="30"/>
      <c r="P249" s="30"/>
      <c r="S249" s="30"/>
      <c r="V249" s="30"/>
    </row>
    <row r="250">
      <c r="B250" s="1"/>
      <c r="C250" s="1"/>
      <c r="M250" s="30"/>
      <c r="P250" s="30"/>
      <c r="S250" s="30"/>
      <c r="V250" s="30"/>
    </row>
    <row r="251">
      <c r="B251" s="1"/>
      <c r="C251" s="1"/>
      <c r="M251" s="30"/>
      <c r="P251" s="30"/>
      <c r="S251" s="30"/>
      <c r="V251" s="30"/>
    </row>
    <row r="252">
      <c r="B252" s="1"/>
      <c r="C252" s="1"/>
      <c r="M252" s="30"/>
      <c r="P252" s="30"/>
      <c r="S252" s="30"/>
      <c r="V252" s="30"/>
    </row>
    <row r="253">
      <c r="B253" s="1"/>
      <c r="C253" s="1"/>
      <c r="M253" s="30"/>
      <c r="P253" s="30"/>
      <c r="S253" s="30"/>
      <c r="V253" s="30"/>
    </row>
    <row r="254">
      <c r="B254" s="1"/>
      <c r="C254" s="1"/>
      <c r="M254" s="30"/>
      <c r="P254" s="30"/>
      <c r="S254" s="30"/>
      <c r="V254" s="30"/>
    </row>
    <row r="255">
      <c r="B255" s="1"/>
      <c r="C255" s="1"/>
      <c r="M255" s="30"/>
      <c r="P255" s="30"/>
      <c r="S255" s="30"/>
      <c r="V255" s="30"/>
    </row>
    <row r="256">
      <c r="B256" s="1"/>
      <c r="C256" s="1"/>
      <c r="M256" s="30"/>
      <c r="P256" s="30"/>
      <c r="S256" s="30"/>
      <c r="V256" s="30"/>
    </row>
    <row r="257">
      <c r="B257" s="1"/>
      <c r="C257" s="1"/>
      <c r="M257" s="30"/>
      <c r="P257" s="30"/>
      <c r="S257" s="30"/>
      <c r="V257" s="30"/>
    </row>
    <row r="258">
      <c r="B258" s="1"/>
      <c r="C258" s="1"/>
      <c r="M258" s="30"/>
      <c r="P258" s="30"/>
      <c r="S258" s="30"/>
      <c r="V258" s="30"/>
    </row>
    <row r="259">
      <c r="B259" s="1"/>
      <c r="C259" s="1"/>
      <c r="M259" s="30"/>
      <c r="P259" s="30"/>
      <c r="S259" s="30"/>
      <c r="V259" s="30"/>
    </row>
    <row r="260">
      <c r="B260" s="1"/>
      <c r="C260" s="1"/>
      <c r="M260" s="30"/>
      <c r="P260" s="30"/>
      <c r="S260" s="30"/>
      <c r="V260" s="30"/>
    </row>
    <row r="261">
      <c r="B261" s="1"/>
      <c r="C261" s="1"/>
      <c r="M261" s="30"/>
      <c r="P261" s="30"/>
      <c r="S261" s="30"/>
      <c r="V261" s="30"/>
    </row>
    <row r="262">
      <c r="B262" s="1"/>
      <c r="C262" s="1"/>
      <c r="M262" s="30"/>
      <c r="P262" s="30"/>
      <c r="S262" s="30"/>
      <c r="V262" s="30"/>
    </row>
    <row r="263">
      <c r="B263" s="1"/>
      <c r="C263" s="1"/>
      <c r="M263" s="30"/>
      <c r="P263" s="30"/>
      <c r="S263" s="30"/>
      <c r="V263" s="30"/>
    </row>
    <row r="264">
      <c r="B264" s="1"/>
      <c r="C264" s="1"/>
      <c r="M264" s="30"/>
      <c r="P264" s="30"/>
      <c r="S264" s="30"/>
      <c r="V264" s="30"/>
    </row>
    <row r="265">
      <c r="B265" s="1"/>
      <c r="C265" s="1"/>
      <c r="M265" s="30"/>
      <c r="P265" s="30"/>
      <c r="S265" s="30"/>
      <c r="V265" s="30"/>
    </row>
    <row r="266">
      <c r="B266" s="1"/>
      <c r="C266" s="1"/>
      <c r="M266" s="30"/>
      <c r="P266" s="30"/>
      <c r="S266" s="30"/>
      <c r="V266" s="30"/>
    </row>
    <row r="267">
      <c r="B267" s="1"/>
      <c r="C267" s="1"/>
      <c r="M267" s="30"/>
      <c r="P267" s="30"/>
      <c r="S267" s="30"/>
      <c r="V267" s="30"/>
    </row>
    <row r="268">
      <c r="B268" s="1"/>
      <c r="C268" s="1"/>
      <c r="M268" s="30"/>
      <c r="P268" s="30"/>
      <c r="S268" s="30"/>
      <c r="V268" s="30"/>
    </row>
    <row r="269">
      <c r="B269" s="1"/>
      <c r="C269" s="1"/>
      <c r="M269" s="30"/>
      <c r="P269" s="30"/>
      <c r="S269" s="30"/>
      <c r="V269" s="30"/>
    </row>
    <row r="270">
      <c r="B270" s="1"/>
      <c r="C270" s="1"/>
      <c r="M270" s="30"/>
      <c r="P270" s="30"/>
      <c r="S270" s="30"/>
      <c r="V270" s="30"/>
    </row>
    <row r="271">
      <c r="B271" s="1"/>
      <c r="C271" s="1"/>
      <c r="M271" s="30"/>
      <c r="P271" s="30"/>
      <c r="S271" s="30"/>
      <c r="V271" s="30"/>
    </row>
    <row r="272">
      <c r="B272" s="1"/>
      <c r="C272" s="1"/>
      <c r="M272" s="30"/>
      <c r="P272" s="30"/>
      <c r="S272" s="30"/>
      <c r="V272" s="30"/>
    </row>
    <row r="273">
      <c r="B273" s="1"/>
      <c r="C273" s="1"/>
      <c r="M273" s="30"/>
      <c r="P273" s="30"/>
      <c r="S273" s="30"/>
      <c r="V273" s="30"/>
    </row>
    <row r="274">
      <c r="B274" s="1"/>
      <c r="C274" s="1"/>
      <c r="M274" s="30"/>
      <c r="P274" s="30"/>
      <c r="S274" s="30"/>
      <c r="V274" s="30"/>
    </row>
    <row r="275">
      <c r="B275" s="1"/>
      <c r="C275" s="1"/>
      <c r="M275" s="30"/>
      <c r="P275" s="30"/>
      <c r="S275" s="30"/>
      <c r="V275" s="30"/>
    </row>
    <row r="276">
      <c r="B276" s="1"/>
      <c r="C276" s="1"/>
      <c r="M276" s="30"/>
      <c r="P276" s="30"/>
      <c r="S276" s="30"/>
      <c r="V276" s="30"/>
    </row>
    <row r="277">
      <c r="B277" s="1"/>
      <c r="C277" s="1"/>
      <c r="M277" s="30"/>
      <c r="P277" s="30"/>
      <c r="S277" s="30"/>
      <c r="V277" s="30"/>
    </row>
    <row r="278">
      <c r="B278" s="1"/>
      <c r="C278" s="1"/>
      <c r="M278" s="30"/>
      <c r="P278" s="30"/>
      <c r="S278" s="30"/>
      <c r="V278" s="30"/>
    </row>
    <row r="279">
      <c r="B279" s="1"/>
      <c r="C279" s="1"/>
      <c r="M279" s="30"/>
      <c r="P279" s="30"/>
      <c r="S279" s="30"/>
      <c r="V279" s="30"/>
    </row>
    <row r="280">
      <c r="B280" s="1"/>
      <c r="C280" s="1"/>
      <c r="M280" s="30"/>
      <c r="P280" s="30"/>
      <c r="S280" s="30"/>
      <c r="V280" s="30"/>
    </row>
    <row r="281">
      <c r="B281" s="1"/>
      <c r="C281" s="1"/>
      <c r="M281" s="30"/>
      <c r="P281" s="30"/>
      <c r="S281" s="30"/>
      <c r="V281" s="30"/>
    </row>
    <row r="282">
      <c r="B282" s="1"/>
      <c r="C282" s="1"/>
      <c r="M282" s="30"/>
      <c r="P282" s="30"/>
      <c r="S282" s="30"/>
      <c r="V282" s="30"/>
    </row>
    <row r="283">
      <c r="B283" s="1"/>
      <c r="C283" s="1"/>
      <c r="M283" s="30"/>
      <c r="P283" s="30"/>
      <c r="S283" s="30"/>
      <c r="V283" s="30"/>
    </row>
    <row r="284">
      <c r="B284" s="1"/>
      <c r="C284" s="1"/>
      <c r="M284" s="30"/>
      <c r="P284" s="30"/>
      <c r="S284" s="30"/>
      <c r="V284" s="30"/>
    </row>
    <row r="285">
      <c r="B285" s="1"/>
      <c r="C285" s="1"/>
      <c r="M285" s="30"/>
      <c r="P285" s="30"/>
      <c r="S285" s="30"/>
      <c r="V285" s="30"/>
    </row>
    <row r="286">
      <c r="B286" s="1"/>
      <c r="C286" s="1"/>
      <c r="M286" s="30"/>
      <c r="P286" s="30"/>
      <c r="S286" s="30"/>
      <c r="V286" s="30"/>
    </row>
    <row r="287">
      <c r="B287" s="1"/>
      <c r="C287" s="1"/>
      <c r="M287" s="30"/>
      <c r="P287" s="30"/>
      <c r="S287" s="30"/>
      <c r="V287" s="30"/>
    </row>
    <row r="288">
      <c r="B288" s="1"/>
      <c r="C288" s="1"/>
      <c r="M288" s="30"/>
      <c r="P288" s="30"/>
      <c r="S288" s="30"/>
      <c r="V288" s="30"/>
    </row>
    <row r="289">
      <c r="B289" s="1"/>
      <c r="C289" s="1"/>
      <c r="M289" s="30"/>
      <c r="P289" s="30"/>
      <c r="S289" s="30"/>
      <c r="V289" s="30"/>
    </row>
    <row r="290">
      <c r="B290" s="1"/>
      <c r="C290" s="1"/>
      <c r="M290" s="30"/>
      <c r="P290" s="30"/>
      <c r="S290" s="30"/>
      <c r="V290" s="30"/>
    </row>
    <row r="291">
      <c r="B291" s="1"/>
      <c r="C291" s="1"/>
      <c r="M291" s="30"/>
      <c r="P291" s="30"/>
      <c r="S291" s="30"/>
      <c r="V291" s="30"/>
    </row>
    <row r="292">
      <c r="B292" s="1"/>
      <c r="C292" s="1"/>
      <c r="M292" s="30"/>
      <c r="P292" s="30"/>
      <c r="S292" s="30"/>
      <c r="V292" s="30"/>
    </row>
    <row r="293">
      <c r="B293" s="1"/>
      <c r="C293" s="1"/>
      <c r="M293" s="30"/>
      <c r="P293" s="30"/>
      <c r="S293" s="30"/>
      <c r="V293" s="30"/>
    </row>
    <row r="294">
      <c r="B294" s="1"/>
      <c r="C294" s="1"/>
      <c r="M294" s="30"/>
      <c r="P294" s="30"/>
      <c r="S294" s="30"/>
      <c r="V294" s="30"/>
    </row>
    <row r="295">
      <c r="B295" s="1"/>
      <c r="C295" s="1"/>
      <c r="M295" s="30"/>
      <c r="P295" s="30"/>
      <c r="S295" s="30"/>
      <c r="V295" s="30"/>
    </row>
    <row r="296">
      <c r="B296" s="1"/>
      <c r="C296" s="1"/>
      <c r="M296" s="30"/>
      <c r="P296" s="30"/>
      <c r="S296" s="30"/>
      <c r="V296" s="30"/>
    </row>
    <row r="297">
      <c r="B297" s="1"/>
      <c r="C297" s="1"/>
      <c r="M297" s="30"/>
      <c r="P297" s="30"/>
      <c r="S297" s="30"/>
      <c r="V297" s="30"/>
    </row>
    <row r="298">
      <c r="B298" s="1"/>
      <c r="C298" s="1"/>
      <c r="M298" s="30"/>
      <c r="P298" s="30"/>
      <c r="S298" s="30"/>
      <c r="V298" s="30"/>
    </row>
    <row r="299">
      <c r="B299" s="1"/>
      <c r="C299" s="1"/>
      <c r="M299" s="30"/>
      <c r="P299" s="30"/>
      <c r="S299" s="30"/>
      <c r="V299" s="30"/>
    </row>
    <row r="300">
      <c r="B300" s="1"/>
      <c r="C300" s="1"/>
      <c r="M300" s="30"/>
      <c r="P300" s="30"/>
      <c r="S300" s="30"/>
      <c r="V300" s="30"/>
    </row>
    <row r="301">
      <c r="B301" s="1"/>
      <c r="C301" s="1"/>
      <c r="M301" s="30"/>
      <c r="P301" s="30"/>
      <c r="S301" s="30"/>
      <c r="V301" s="30"/>
    </row>
    <row r="302">
      <c r="B302" s="1"/>
      <c r="C302" s="1"/>
      <c r="M302" s="30"/>
      <c r="P302" s="30"/>
      <c r="S302" s="30"/>
      <c r="V302" s="30"/>
    </row>
    <row r="303">
      <c r="B303" s="1"/>
      <c r="C303" s="1"/>
      <c r="M303" s="30"/>
      <c r="P303" s="30"/>
      <c r="S303" s="30"/>
      <c r="V303" s="30"/>
    </row>
    <row r="304">
      <c r="B304" s="1"/>
      <c r="C304" s="1"/>
      <c r="M304" s="30"/>
      <c r="P304" s="30"/>
      <c r="S304" s="30"/>
      <c r="V304" s="30"/>
    </row>
    <row r="305">
      <c r="B305" s="1"/>
      <c r="C305" s="1"/>
      <c r="M305" s="30"/>
      <c r="P305" s="30"/>
      <c r="S305" s="30"/>
      <c r="V305" s="30"/>
    </row>
    <row r="306">
      <c r="B306" s="1"/>
      <c r="C306" s="1"/>
      <c r="M306" s="30"/>
      <c r="P306" s="30"/>
      <c r="S306" s="30"/>
      <c r="V306" s="30"/>
    </row>
    <row r="307">
      <c r="B307" s="1"/>
      <c r="C307" s="1"/>
      <c r="M307" s="30"/>
      <c r="P307" s="30"/>
      <c r="S307" s="30"/>
      <c r="V307" s="30"/>
    </row>
    <row r="308">
      <c r="B308" s="1"/>
      <c r="C308" s="1"/>
      <c r="M308" s="30"/>
      <c r="P308" s="30"/>
      <c r="S308" s="30"/>
      <c r="V308" s="30"/>
    </row>
    <row r="309">
      <c r="B309" s="1"/>
      <c r="C309" s="1"/>
      <c r="M309" s="30"/>
      <c r="P309" s="30"/>
      <c r="S309" s="30"/>
      <c r="V309" s="30"/>
    </row>
    <row r="310">
      <c r="B310" s="1"/>
      <c r="C310" s="1"/>
      <c r="M310" s="30"/>
      <c r="P310" s="30"/>
      <c r="S310" s="30"/>
      <c r="V310" s="30"/>
    </row>
    <row r="311">
      <c r="B311" s="1"/>
      <c r="C311" s="1"/>
      <c r="M311" s="30"/>
      <c r="P311" s="30"/>
      <c r="S311" s="30"/>
      <c r="V311" s="30"/>
    </row>
    <row r="312">
      <c r="B312" s="1"/>
      <c r="C312" s="1"/>
      <c r="M312" s="30"/>
      <c r="P312" s="30"/>
      <c r="S312" s="30"/>
      <c r="V312" s="30"/>
    </row>
    <row r="313">
      <c r="B313" s="1"/>
      <c r="C313" s="1"/>
      <c r="M313" s="30"/>
      <c r="P313" s="30"/>
      <c r="S313" s="30"/>
      <c r="V313" s="30"/>
    </row>
    <row r="314">
      <c r="B314" s="1"/>
      <c r="C314" s="1"/>
      <c r="M314" s="30"/>
      <c r="P314" s="30"/>
      <c r="S314" s="30"/>
      <c r="V314" s="30"/>
    </row>
    <row r="315">
      <c r="B315" s="1"/>
      <c r="C315" s="1"/>
      <c r="M315" s="30"/>
      <c r="P315" s="30"/>
      <c r="S315" s="30"/>
      <c r="V315" s="30"/>
    </row>
    <row r="316">
      <c r="B316" s="1"/>
      <c r="C316" s="1"/>
      <c r="M316" s="30"/>
      <c r="P316" s="30"/>
      <c r="S316" s="30"/>
      <c r="V316" s="30"/>
    </row>
    <row r="317">
      <c r="B317" s="1"/>
      <c r="C317" s="1"/>
      <c r="M317" s="30"/>
      <c r="P317" s="30"/>
      <c r="S317" s="30"/>
      <c r="V317" s="30"/>
    </row>
    <row r="318">
      <c r="B318" s="1"/>
      <c r="C318" s="1"/>
      <c r="M318" s="30"/>
      <c r="P318" s="30"/>
      <c r="S318" s="30"/>
      <c r="V318" s="30"/>
    </row>
    <row r="319">
      <c r="B319" s="1"/>
      <c r="C319" s="1"/>
      <c r="M319" s="30"/>
      <c r="P319" s="30"/>
      <c r="S319" s="30"/>
      <c r="V319" s="30"/>
    </row>
    <row r="320">
      <c r="B320" s="1"/>
      <c r="C320" s="1"/>
      <c r="M320" s="30"/>
      <c r="P320" s="30"/>
      <c r="S320" s="30"/>
      <c r="V320" s="30"/>
    </row>
    <row r="321">
      <c r="B321" s="1"/>
      <c r="C321" s="1"/>
      <c r="M321" s="30"/>
      <c r="P321" s="30"/>
      <c r="S321" s="30"/>
      <c r="V321" s="30"/>
    </row>
    <row r="322">
      <c r="B322" s="1"/>
      <c r="C322" s="1"/>
      <c r="M322" s="30"/>
      <c r="P322" s="30"/>
      <c r="S322" s="30"/>
      <c r="V322" s="30"/>
    </row>
    <row r="323">
      <c r="B323" s="1"/>
      <c r="C323" s="1"/>
      <c r="M323" s="30"/>
      <c r="P323" s="30"/>
      <c r="S323" s="30"/>
      <c r="V323" s="30"/>
    </row>
    <row r="324">
      <c r="B324" s="1"/>
      <c r="C324" s="1"/>
      <c r="M324" s="30"/>
      <c r="P324" s="30"/>
      <c r="S324" s="30"/>
      <c r="V324" s="30"/>
    </row>
    <row r="325">
      <c r="B325" s="1"/>
      <c r="C325" s="1"/>
      <c r="M325" s="30"/>
      <c r="P325" s="30"/>
      <c r="S325" s="30"/>
      <c r="V325" s="30"/>
    </row>
    <row r="326">
      <c r="B326" s="1"/>
      <c r="C326" s="1"/>
      <c r="M326" s="30"/>
      <c r="P326" s="30"/>
      <c r="S326" s="30"/>
      <c r="V326" s="30"/>
    </row>
    <row r="327">
      <c r="B327" s="1"/>
      <c r="C327" s="1"/>
      <c r="M327" s="30"/>
      <c r="P327" s="30"/>
      <c r="S327" s="30"/>
      <c r="V327" s="30"/>
    </row>
    <row r="328">
      <c r="B328" s="1"/>
      <c r="C328" s="1"/>
      <c r="M328" s="30"/>
      <c r="P328" s="30"/>
      <c r="S328" s="30"/>
      <c r="V328" s="30"/>
    </row>
    <row r="329">
      <c r="B329" s="1"/>
      <c r="C329" s="1"/>
      <c r="M329" s="30"/>
      <c r="P329" s="30"/>
      <c r="S329" s="30"/>
      <c r="V329" s="30"/>
    </row>
    <row r="330">
      <c r="B330" s="1"/>
      <c r="C330" s="1"/>
      <c r="M330" s="30"/>
      <c r="P330" s="30"/>
      <c r="S330" s="30"/>
      <c r="V330" s="30"/>
    </row>
    <row r="331">
      <c r="B331" s="1"/>
      <c r="C331" s="1"/>
      <c r="M331" s="30"/>
      <c r="P331" s="30"/>
      <c r="S331" s="30"/>
      <c r="V331" s="30"/>
    </row>
    <row r="332">
      <c r="B332" s="1"/>
      <c r="C332" s="1"/>
      <c r="M332" s="30"/>
      <c r="P332" s="30"/>
      <c r="S332" s="30"/>
      <c r="V332" s="30"/>
    </row>
    <row r="333">
      <c r="B333" s="1"/>
      <c r="C333" s="1"/>
      <c r="M333" s="30"/>
      <c r="P333" s="30"/>
      <c r="S333" s="30"/>
      <c r="V333" s="30"/>
    </row>
    <row r="334">
      <c r="B334" s="1"/>
      <c r="C334" s="1"/>
      <c r="M334" s="30"/>
      <c r="P334" s="30"/>
      <c r="S334" s="30"/>
      <c r="V334" s="30"/>
    </row>
    <row r="335">
      <c r="B335" s="1"/>
      <c r="C335" s="1"/>
      <c r="M335" s="30"/>
      <c r="P335" s="30"/>
      <c r="S335" s="30"/>
      <c r="V335" s="30"/>
    </row>
    <row r="336">
      <c r="B336" s="1"/>
      <c r="C336" s="1"/>
      <c r="M336" s="30"/>
      <c r="P336" s="30"/>
      <c r="S336" s="30"/>
      <c r="V336" s="30"/>
    </row>
    <row r="337">
      <c r="B337" s="1"/>
      <c r="C337" s="1"/>
      <c r="M337" s="30"/>
      <c r="P337" s="30"/>
      <c r="S337" s="30"/>
      <c r="V337" s="30"/>
    </row>
    <row r="338">
      <c r="B338" s="1"/>
      <c r="C338" s="1"/>
      <c r="M338" s="30"/>
      <c r="P338" s="30"/>
      <c r="S338" s="30"/>
      <c r="V338" s="30"/>
    </row>
    <row r="339">
      <c r="B339" s="1"/>
      <c r="C339" s="1"/>
      <c r="M339" s="30"/>
      <c r="P339" s="30"/>
      <c r="S339" s="30"/>
      <c r="V339" s="30"/>
    </row>
    <row r="340">
      <c r="B340" s="1"/>
      <c r="C340" s="1"/>
      <c r="M340" s="30"/>
      <c r="P340" s="30"/>
      <c r="S340" s="30"/>
      <c r="V340" s="30"/>
    </row>
    <row r="341">
      <c r="B341" s="1"/>
      <c r="C341" s="1"/>
      <c r="M341" s="30"/>
      <c r="P341" s="30"/>
      <c r="S341" s="30"/>
      <c r="V341" s="30"/>
    </row>
    <row r="342">
      <c r="B342" s="1"/>
      <c r="C342" s="1"/>
      <c r="M342" s="30"/>
      <c r="P342" s="30"/>
      <c r="S342" s="30"/>
      <c r="V342" s="30"/>
    </row>
    <row r="343">
      <c r="B343" s="1"/>
      <c r="C343" s="1"/>
      <c r="M343" s="30"/>
      <c r="P343" s="30"/>
      <c r="S343" s="30"/>
      <c r="V343" s="30"/>
    </row>
    <row r="344">
      <c r="B344" s="1"/>
      <c r="C344" s="1"/>
      <c r="M344" s="30"/>
      <c r="P344" s="30"/>
      <c r="S344" s="30"/>
      <c r="V344" s="30"/>
    </row>
    <row r="345">
      <c r="B345" s="1"/>
      <c r="C345" s="1"/>
      <c r="M345" s="30"/>
      <c r="P345" s="30"/>
      <c r="S345" s="30"/>
      <c r="V345" s="30"/>
    </row>
    <row r="346">
      <c r="B346" s="1"/>
      <c r="C346" s="1"/>
      <c r="M346" s="30"/>
      <c r="P346" s="30"/>
      <c r="S346" s="30"/>
      <c r="V346" s="30"/>
    </row>
    <row r="347">
      <c r="B347" s="1"/>
      <c r="C347" s="1"/>
      <c r="M347" s="30"/>
      <c r="P347" s="30"/>
      <c r="S347" s="30"/>
      <c r="V347" s="30"/>
    </row>
    <row r="348">
      <c r="B348" s="1"/>
      <c r="C348" s="1"/>
      <c r="M348" s="30"/>
      <c r="P348" s="30"/>
      <c r="S348" s="30"/>
      <c r="V348" s="30"/>
    </row>
    <row r="349">
      <c r="B349" s="1"/>
      <c r="C349" s="1"/>
      <c r="M349" s="30"/>
      <c r="P349" s="30"/>
      <c r="S349" s="30"/>
      <c r="V349" s="30"/>
    </row>
    <row r="350">
      <c r="B350" s="1"/>
      <c r="C350" s="1"/>
      <c r="M350" s="30"/>
      <c r="P350" s="30"/>
      <c r="S350" s="30"/>
      <c r="V350" s="30"/>
    </row>
    <row r="351">
      <c r="B351" s="1"/>
      <c r="C351" s="1"/>
      <c r="M351" s="30"/>
      <c r="P351" s="30"/>
      <c r="S351" s="30"/>
      <c r="V351" s="30"/>
    </row>
    <row r="352">
      <c r="B352" s="1"/>
      <c r="C352" s="1"/>
      <c r="M352" s="30"/>
      <c r="P352" s="30"/>
      <c r="S352" s="30"/>
      <c r="V352" s="30"/>
    </row>
    <row r="353">
      <c r="B353" s="1"/>
      <c r="C353" s="1"/>
      <c r="M353" s="30"/>
      <c r="P353" s="30"/>
      <c r="S353" s="30"/>
      <c r="V353" s="30"/>
    </row>
    <row r="354">
      <c r="B354" s="1"/>
      <c r="C354" s="1"/>
      <c r="M354" s="30"/>
      <c r="P354" s="30"/>
      <c r="S354" s="30"/>
      <c r="V354" s="30"/>
    </row>
    <row r="355">
      <c r="B355" s="1"/>
      <c r="C355" s="1"/>
      <c r="M355" s="30"/>
      <c r="P355" s="30"/>
      <c r="S355" s="30"/>
      <c r="V355" s="30"/>
    </row>
    <row r="356">
      <c r="B356" s="1"/>
      <c r="C356" s="1"/>
      <c r="M356" s="30"/>
      <c r="P356" s="30"/>
      <c r="S356" s="30"/>
      <c r="V356" s="30"/>
    </row>
    <row r="357">
      <c r="B357" s="1"/>
      <c r="C357" s="1"/>
      <c r="M357" s="30"/>
      <c r="P357" s="30"/>
      <c r="S357" s="30"/>
      <c r="V357" s="30"/>
    </row>
    <row r="358">
      <c r="B358" s="1"/>
      <c r="C358" s="1"/>
      <c r="M358" s="30"/>
      <c r="P358" s="30"/>
      <c r="S358" s="30"/>
      <c r="V358" s="30"/>
    </row>
    <row r="359">
      <c r="B359" s="1"/>
      <c r="C359" s="1"/>
      <c r="M359" s="30"/>
      <c r="P359" s="30"/>
      <c r="S359" s="30"/>
      <c r="V359" s="30"/>
    </row>
    <row r="360">
      <c r="B360" s="1"/>
      <c r="C360" s="1"/>
      <c r="M360" s="30"/>
      <c r="P360" s="30"/>
      <c r="S360" s="30"/>
      <c r="V360" s="30"/>
    </row>
    <row r="361">
      <c r="B361" s="1"/>
      <c r="C361" s="1"/>
      <c r="M361" s="30"/>
      <c r="P361" s="30"/>
      <c r="S361" s="30"/>
      <c r="V361" s="30"/>
    </row>
    <row r="362">
      <c r="B362" s="1"/>
      <c r="C362" s="1"/>
      <c r="M362" s="30"/>
      <c r="P362" s="30"/>
      <c r="S362" s="30"/>
      <c r="V362" s="30"/>
    </row>
    <row r="363">
      <c r="B363" s="1"/>
      <c r="C363" s="1"/>
      <c r="M363" s="30"/>
      <c r="P363" s="30"/>
      <c r="S363" s="30"/>
      <c r="V363" s="30"/>
    </row>
    <row r="364">
      <c r="B364" s="1"/>
      <c r="C364" s="1"/>
      <c r="M364" s="30"/>
      <c r="P364" s="30"/>
      <c r="S364" s="30"/>
      <c r="V364" s="30"/>
    </row>
    <row r="365">
      <c r="B365" s="1"/>
      <c r="C365" s="1"/>
      <c r="M365" s="30"/>
      <c r="P365" s="30"/>
      <c r="S365" s="30"/>
      <c r="V365" s="30"/>
    </row>
    <row r="366">
      <c r="B366" s="1"/>
      <c r="C366" s="1"/>
      <c r="M366" s="30"/>
      <c r="P366" s="30"/>
      <c r="S366" s="30"/>
      <c r="V366" s="30"/>
    </row>
    <row r="367">
      <c r="B367" s="1"/>
      <c r="C367" s="1"/>
      <c r="M367" s="30"/>
      <c r="P367" s="30"/>
      <c r="S367" s="30"/>
      <c r="V367" s="30"/>
    </row>
    <row r="368">
      <c r="B368" s="1"/>
      <c r="C368" s="1"/>
      <c r="M368" s="30"/>
      <c r="P368" s="30"/>
      <c r="S368" s="30"/>
      <c r="V368" s="30"/>
    </row>
    <row r="369">
      <c r="B369" s="1"/>
      <c r="C369" s="1"/>
      <c r="M369" s="30"/>
      <c r="P369" s="30"/>
      <c r="S369" s="30"/>
      <c r="V369" s="30"/>
    </row>
    <row r="370">
      <c r="B370" s="1"/>
      <c r="C370" s="1"/>
      <c r="M370" s="30"/>
      <c r="P370" s="30"/>
      <c r="S370" s="30"/>
      <c r="V370" s="30"/>
    </row>
    <row r="371">
      <c r="B371" s="1"/>
      <c r="C371" s="1"/>
      <c r="M371" s="30"/>
      <c r="P371" s="30"/>
      <c r="S371" s="30"/>
      <c r="V371" s="30"/>
    </row>
    <row r="372">
      <c r="B372" s="1"/>
      <c r="C372" s="1"/>
      <c r="M372" s="30"/>
      <c r="P372" s="30"/>
      <c r="S372" s="30"/>
      <c r="V372" s="30"/>
    </row>
    <row r="373">
      <c r="B373" s="1"/>
      <c r="C373" s="1"/>
      <c r="M373" s="30"/>
      <c r="P373" s="30"/>
      <c r="S373" s="30"/>
      <c r="V373" s="30"/>
    </row>
    <row r="374">
      <c r="B374" s="1"/>
      <c r="C374" s="1"/>
      <c r="M374" s="30"/>
      <c r="P374" s="30"/>
      <c r="S374" s="30"/>
      <c r="V374" s="30"/>
    </row>
    <row r="375">
      <c r="B375" s="1"/>
      <c r="C375" s="1"/>
      <c r="M375" s="30"/>
      <c r="P375" s="30"/>
      <c r="S375" s="30"/>
      <c r="V375" s="30"/>
    </row>
    <row r="376">
      <c r="B376" s="1"/>
      <c r="C376" s="1"/>
      <c r="M376" s="30"/>
      <c r="P376" s="30"/>
      <c r="S376" s="30"/>
      <c r="V376" s="30"/>
    </row>
    <row r="377">
      <c r="B377" s="1"/>
      <c r="C377" s="1"/>
      <c r="M377" s="30"/>
      <c r="P377" s="30"/>
      <c r="S377" s="30"/>
      <c r="V377" s="30"/>
    </row>
    <row r="378">
      <c r="B378" s="1"/>
      <c r="C378" s="1"/>
      <c r="M378" s="30"/>
      <c r="P378" s="30"/>
      <c r="S378" s="30"/>
      <c r="V378" s="30"/>
    </row>
    <row r="379">
      <c r="B379" s="1"/>
      <c r="C379" s="1"/>
      <c r="M379" s="30"/>
      <c r="P379" s="30"/>
      <c r="S379" s="30"/>
      <c r="V379" s="30"/>
    </row>
    <row r="380">
      <c r="B380" s="1"/>
      <c r="C380" s="1"/>
      <c r="M380" s="30"/>
      <c r="P380" s="30"/>
      <c r="S380" s="30"/>
      <c r="V380" s="30"/>
    </row>
    <row r="381">
      <c r="B381" s="1"/>
      <c r="C381" s="1"/>
      <c r="M381" s="30"/>
      <c r="P381" s="30"/>
      <c r="S381" s="30"/>
      <c r="V381" s="30"/>
    </row>
    <row r="382">
      <c r="B382" s="1"/>
      <c r="C382" s="1"/>
      <c r="M382" s="30"/>
      <c r="P382" s="30"/>
      <c r="S382" s="30"/>
      <c r="V382" s="30"/>
    </row>
    <row r="383">
      <c r="B383" s="1"/>
      <c r="C383" s="1"/>
      <c r="M383" s="30"/>
      <c r="P383" s="30"/>
      <c r="S383" s="30"/>
      <c r="V383" s="30"/>
    </row>
    <row r="384">
      <c r="B384" s="1"/>
      <c r="C384" s="1"/>
      <c r="M384" s="30"/>
      <c r="P384" s="30"/>
      <c r="S384" s="30"/>
      <c r="V384" s="30"/>
    </row>
    <row r="385">
      <c r="B385" s="1"/>
      <c r="C385" s="1"/>
      <c r="M385" s="30"/>
      <c r="P385" s="30"/>
      <c r="S385" s="30"/>
      <c r="V385" s="30"/>
    </row>
    <row r="386">
      <c r="B386" s="1"/>
      <c r="C386" s="1"/>
      <c r="M386" s="30"/>
      <c r="P386" s="30"/>
      <c r="S386" s="30"/>
      <c r="V386" s="30"/>
    </row>
    <row r="387">
      <c r="B387" s="1"/>
      <c r="C387" s="1"/>
      <c r="M387" s="30"/>
      <c r="P387" s="30"/>
      <c r="S387" s="30"/>
      <c r="V387" s="30"/>
    </row>
    <row r="388">
      <c r="B388" s="1"/>
      <c r="C388" s="1"/>
      <c r="M388" s="30"/>
      <c r="P388" s="30"/>
      <c r="S388" s="30"/>
      <c r="V388" s="30"/>
    </row>
    <row r="389">
      <c r="B389" s="1"/>
      <c r="C389" s="1"/>
      <c r="M389" s="30"/>
      <c r="P389" s="30"/>
      <c r="S389" s="30"/>
      <c r="V389" s="30"/>
    </row>
    <row r="390">
      <c r="B390" s="1"/>
      <c r="C390" s="1"/>
      <c r="M390" s="30"/>
      <c r="P390" s="30"/>
      <c r="S390" s="30"/>
      <c r="V390" s="30"/>
    </row>
    <row r="391">
      <c r="B391" s="1"/>
      <c r="C391" s="1"/>
      <c r="M391" s="30"/>
      <c r="P391" s="30"/>
      <c r="S391" s="30"/>
      <c r="V391" s="30"/>
    </row>
    <row r="392">
      <c r="B392" s="1"/>
      <c r="C392" s="1"/>
      <c r="M392" s="30"/>
      <c r="P392" s="30"/>
      <c r="S392" s="30"/>
      <c r="V392" s="30"/>
    </row>
    <row r="393">
      <c r="B393" s="1"/>
      <c r="C393" s="1"/>
      <c r="M393" s="30"/>
      <c r="P393" s="30"/>
      <c r="S393" s="30"/>
      <c r="V393" s="30"/>
    </row>
    <row r="394">
      <c r="B394" s="1"/>
      <c r="C394" s="1"/>
      <c r="M394" s="30"/>
      <c r="P394" s="30"/>
      <c r="S394" s="30"/>
      <c r="V394" s="30"/>
    </row>
    <row r="395">
      <c r="B395" s="1"/>
      <c r="C395" s="1"/>
      <c r="M395" s="30"/>
      <c r="P395" s="30"/>
      <c r="S395" s="30"/>
      <c r="V395" s="30"/>
    </row>
    <row r="396">
      <c r="B396" s="1"/>
      <c r="C396" s="1"/>
      <c r="M396" s="30"/>
      <c r="P396" s="30"/>
      <c r="S396" s="30"/>
      <c r="V396" s="30"/>
    </row>
    <row r="397">
      <c r="B397" s="1"/>
      <c r="C397" s="1"/>
      <c r="M397" s="30"/>
      <c r="P397" s="30"/>
      <c r="S397" s="30"/>
      <c r="V397" s="30"/>
    </row>
    <row r="398">
      <c r="B398" s="1"/>
      <c r="C398" s="1"/>
      <c r="M398" s="30"/>
      <c r="P398" s="30"/>
      <c r="S398" s="30"/>
      <c r="V398" s="30"/>
    </row>
    <row r="399">
      <c r="B399" s="1"/>
      <c r="C399" s="1"/>
      <c r="M399" s="30"/>
      <c r="P399" s="30"/>
      <c r="S399" s="30"/>
      <c r="V399" s="30"/>
    </row>
    <row r="400">
      <c r="B400" s="1"/>
      <c r="C400" s="1"/>
      <c r="M400" s="30"/>
      <c r="P400" s="30"/>
      <c r="S400" s="30"/>
      <c r="V400" s="30"/>
    </row>
    <row r="401">
      <c r="B401" s="1"/>
      <c r="C401" s="1"/>
      <c r="M401" s="30"/>
      <c r="P401" s="30"/>
      <c r="S401" s="30"/>
      <c r="V401" s="30"/>
    </row>
    <row r="402">
      <c r="B402" s="1"/>
      <c r="C402" s="1"/>
      <c r="M402" s="30"/>
      <c r="P402" s="30"/>
      <c r="S402" s="30"/>
      <c r="V402" s="30"/>
    </row>
    <row r="403">
      <c r="B403" s="1"/>
      <c r="C403" s="1"/>
      <c r="M403" s="30"/>
      <c r="P403" s="30"/>
      <c r="S403" s="30"/>
      <c r="V403" s="30"/>
    </row>
    <row r="404">
      <c r="B404" s="1"/>
      <c r="C404" s="1"/>
      <c r="M404" s="30"/>
      <c r="P404" s="30"/>
      <c r="S404" s="30"/>
      <c r="V404" s="30"/>
    </row>
    <row r="405">
      <c r="B405" s="1"/>
      <c r="C405" s="1"/>
      <c r="M405" s="30"/>
      <c r="P405" s="30"/>
      <c r="S405" s="30"/>
      <c r="V405" s="30"/>
    </row>
    <row r="406">
      <c r="B406" s="1"/>
      <c r="C406" s="1"/>
      <c r="M406" s="30"/>
      <c r="P406" s="30"/>
      <c r="S406" s="30"/>
      <c r="V406" s="30"/>
    </row>
    <row r="407">
      <c r="B407" s="1"/>
      <c r="C407" s="1"/>
      <c r="M407" s="30"/>
      <c r="P407" s="30"/>
      <c r="S407" s="30"/>
      <c r="V407" s="30"/>
    </row>
    <row r="408">
      <c r="B408" s="1"/>
      <c r="C408" s="1"/>
      <c r="M408" s="30"/>
      <c r="P408" s="30"/>
      <c r="S408" s="30"/>
      <c r="V408" s="30"/>
    </row>
    <row r="409">
      <c r="B409" s="1"/>
      <c r="C409" s="1"/>
      <c r="M409" s="30"/>
      <c r="P409" s="30"/>
      <c r="S409" s="30"/>
      <c r="V409" s="30"/>
    </row>
    <row r="410">
      <c r="B410" s="1"/>
      <c r="C410" s="1"/>
      <c r="M410" s="30"/>
      <c r="P410" s="30"/>
      <c r="S410" s="30"/>
      <c r="V410" s="30"/>
    </row>
    <row r="411">
      <c r="B411" s="1"/>
      <c r="C411" s="1"/>
      <c r="M411" s="30"/>
      <c r="P411" s="30"/>
      <c r="S411" s="30"/>
      <c r="V411" s="30"/>
    </row>
    <row r="412">
      <c r="B412" s="1"/>
      <c r="C412" s="1"/>
      <c r="M412" s="30"/>
      <c r="P412" s="30"/>
      <c r="S412" s="30"/>
      <c r="V412" s="30"/>
    </row>
    <row r="413">
      <c r="B413" s="1"/>
      <c r="C413" s="1"/>
      <c r="M413" s="30"/>
      <c r="P413" s="30"/>
      <c r="S413" s="30"/>
      <c r="V413" s="30"/>
    </row>
    <row r="414">
      <c r="B414" s="1"/>
      <c r="C414" s="1"/>
      <c r="M414" s="30"/>
      <c r="P414" s="30"/>
      <c r="S414" s="30"/>
      <c r="V414" s="30"/>
    </row>
    <row r="415">
      <c r="B415" s="1"/>
      <c r="C415" s="1"/>
      <c r="M415" s="30"/>
      <c r="P415" s="30"/>
      <c r="S415" s="30"/>
      <c r="V415" s="30"/>
    </row>
    <row r="416">
      <c r="B416" s="1"/>
      <c r="C416" s="1"/>
      <c r="M416" s="30"/>
      <c r="P416" s="30"/>
      <c r="S416" s="30"/>
      <c r="V416" s="30"/>
    </row>
    <row r="417">
      <c r="B417" s="1"/>
      <c r="C417" s="1"/>
      <c r="M417" s="30"/>
      <c r="P417" s="30"/>
      <c r="S417" s="30"/>
      <c r="V417" s="30"/>
    </row>
    <row r="418">
      <c r="B418" s="1"/>
      <c r="C418" s="1"/>
      <c r="M418" s="30"/>
      <c r="P418" s="30"/>
      <c r="S418" s="30"/>
      <c r="V418" s="30"/>
    </row>
    <row r="419">
      <c r="B419" s="1"/>
      <c r="C419" s="1"/>
      <c r="M419" s="30"/>
      <c r="P419" s="30"/>
      <c r="S419" s="30"/>
      <c r="V419" s="30"/>
    </row>
    <row r="420">
      <c r="B420" s="1"/>
      <c r="C420" s="1"/>
      <c r="M420" s="30"/>
      <c r="P420" s="30"/>
      <c r="S420" s="30"/>
      <c r="V420" s="30"/>
    </row>
    <row r="421">
      <c r="B421" s="1"/>
      <c r="C421" s="1"/>
      <c r="M421" s="30"/>
      <c r="P421" s="30"/>
      <c r="S421" s="30"/>
      <c r="V421" s="30"/>
    </row>
    <row r="422">
      <c r="B422" s="1"/>
      <c r="C422" s="1"/>
      <c r="M422" s="30"/>
      <c r="P422" s="30"/>
      <c r="S422" s="30"/>
      <c r="V422" s="30"/>
    </row>
    <row r="423">
      <c r="B423" s="1"/>
      <c r="C423" s="1"/>
      <c r="M423" s="30"/>
      <c r="P423" s="30"/>
      <c r="S423" s="30"/>
      <c r="V423" s="30"/>
    </row>
    <row r="424">
      <c r="B424" s="1"/>
      <c r="C424" s="1"/>
      <c r="M424" s="30"/>
      <c r="P424" s="30"/>
      <c r="S424" s="30"/>
      <c r="V424" s="30"/>
    </row>
    <row r="425">
      <c r="B425" s="1"/>
      <c r="C425" s="1"/>
      <c r="M425" s="30"/>
      <c r="P425" s="30"/>
      <c r="S425" s="30"/>
      <c r="V425" s="30"/>
    </row>
    <row r="426">
      <c r="B426" s="1"/>
      <c r="C426" s="1"/>
      <c r="M426" s="30"/>
      <c r="P426" s="30"/>
      <c r="S426" s="30"/>
      <c r="V426" s="30"/>
    </row>
    <row r="427">
      <c r="B427" s="1"/>
      <c r="C427" s="1"/>
      <c r="M427" s="30"/>
      <c r="P427" s="30"/>
      <c r="S427" s="30"/>
      <c r="V427" s="30"/>
    </row>
    <row r="428">
      <c r="B428" s="1"/>
      <c r="C428" s="1"/>
      <c r="M428" s="30"/>
      <c r="P428" s="30"/>
      <c r="S428" s="30"/>
      <c r="V428" s="30"/>
    </row>
    <row r="429">
      <c r="B429" s="1"/>
      <c r="C429" s="1"/>
      <c r="M429" s="30"/>
      <c r="P429" s="30"/>
      <c r="S429" s="30"/>
      <c r="V429" s="30"/>
    </row>
    <row r="430">
      <c r="B430" s="1"/>
      <c r="C430" s="1"/>
      <c r="M430" s="30"/>
      <c r="P430" s="30"/>
      <c r="S430" s="30"/>
      <c r="V430" s="30"/>
    </row>
    <row r="431">
      <c r="B431" s="1"/>
      <c r="C431" s="1"/>
      <c r="M431" s="30"/>
      <c r="P431" s="30"/>
      <c r="S431" s="30"/>
      <c r="V431" s="30"/>
    </row>
    <row r="432">
      <c r="B432" s="1"/>
      <c r="C432" s="1"/>
      <c r="M432" s="30"/>
      <c r="P432" s="30"/>
      <c r="S432" s="30"/>
      <c r="V432" s="30"/>
    </row>
    <row r="433">
      <c r="B433" s="1"/>
      <c r="C433" s="1"/>
      <c r="M433" s="30"/>
      <c r="P433" s="30"/>
      <c r="S433" s="30"/>
      <c r="V433" s="30"/>
    </row>
    <row r="434">
      <c r="B434" s="1"/>
      <c r="C434" s="1"/>
      <c r="M434" s="30"/>
      <c r="P434" s="30"/>
      <c r="S434" s="30"/>
      <c r="V434" s="30"/>
    </row>
    <row r="435">
      <c r="B435" s="1"/>
      <c r="C435" s="1"/>
      <c r="M435" s="30"/>
      <c r="P435" s="30"/>
      <c r="S435" s="30"/>
      <c r="V435" s="30"/>
    </row>
    <row r="436">
      <c r="B436" s="1"/>
      <c r="C436" s="1"/>
      <c r="M436" s="30"/>
      <c r="P436" s="30"/>
      <c r="S436" s="30"/>
      <c r="V436" s="30"/>
    </row>
    <row r="437">
      <c r="B437" s="1"/>
      <c r="C437" s="1"/>
      <c r="M437" s="30"/>
      <c r="P437" s="30"/>
      <c r="S437" s="30"/>
      <c r="V437" s="30"/>
    </row>
    <row r="438">
      <c r="B438" s="1"/>
      <c r="C438" s="1"/>
      <c r="M438" s="30"/>
      <c r="P438" s="30"/>
      <c r="S438" s="30"/>
      <c r="V438" s="30"/>
    </row>
    <row r="439">
      <c r="B439" s="1"/>
      <c r="C439" s="1"/>
      <c r="M439" s="30"/>
      <c r="P439" s="30"/>
      <c r="S439" s="30"/>
      <c r="V439" s="30"/>
    </row>
    <row r="440">
      <c r="B440" s="1"/>
      <c r="C440" s="1"/>
      <c r="M440" s="30"/>
      <c r="P440" s="30"/>
      <c r="S440" s="30"/>
      <c r="V440" s="30"/>
    </row>
    <row r="441">
      <c r="B441" s="1"/>
      <c r="C441" s="1"/>
      <c r="M441" s="30"/>
      <c r="P441" s="30"/>
      <c r="S441" s="30"/>
      <c r="V441" s="30"/>
    </row>
    <row r="442">
      <c r="B442" s="1"/>
      <c r="C442" s="1"/>
      <c r="M442" s="30"/>
      <c r="P442" s="30"/>
      <c r="S442" s="30"/>
      <c r="V442" s="30"/>
    </row>
    <row r="443">
      <c r="B443" s="1"/>
      <c r="C443" s="1"/>
      <c r="M443" s="30"/>
      <c r="P443" s="30"/>
      <c r="S443" s="30"/>
      <c r="V443" s="30"/>
    </row>
    <row r="444">
      <c r="B444" s="1"/>
      <c r="C444" s="1"/>
      <c r="M444" s="30"/>
      <c r="P444" s="30"/>
      <c r="S444" s="30"/>
      <c r="V444" s="30"/>
    </row>
    <row r="445">
      <c r="B445" s="1"/>
      <c r="C445" s="1"/>
      <c r="M445" s="30"/>
      <c r="P445" s="30"/>
      <c r="S445" s="30"/>
      <c r="V445" s="30"/>
    </row>
    <row r="446">
      <c r="B446" s="1"/>
      <c r="C446" s="1"/>
      <c r="M446" s="30"/>
      <c r="P446" s="30"/>
      <c r="S446" s="30"/>
      <c r="V446" s="30"/>
    </row>
    <row r="447">
      <c r="B447" s="1"/>
      <c r="C447" s="1"/>
      <c r="M447" s="30"/>
      <c r="P447" s="30"/>
      <c r="S447" s="30"/>
      <c r="V447" s="30"/>
    </row>
    <row r="448">
      <c r="B448" s="1"/>
      <c r="C448" s="1"/>
      <c r="M448" s="30"/>
      <c r="P448" s="30"/>
      <c r="S448" s="30"/>
      <c r="V448" s="30"/>
    </row>
    <row r="449">
      <c r="B449" s="1"/>
      <c r="C449" s="1"/>
      <c r="M449" s="30"/>
      <c r="P449" s="30"/>
      <c r="S449" s="30"/>
      <c r="V449" s="30"/>
    </row>
    <row r="450">
      <c r="B450" s="1"/>
      <c r="C450" s="1"/>
      <c r="M450" s="30"/>
      <c r="P450" s="30"/>
      <c r="S450" s="30"/>
      <c r="V450" s="30"/>
    </row>
    <row r="451">
      <c r="B451" s="1"/>
      <c r="C451" s="1"/>
      <c r="M451" s="30"/>
      <c r="P451" s="30"/>
      <c r="S451" s="30"/>
      <c r="V451" s="30"/>
    </row>
    <row r="452">
      <c r="B452" s="1"/>
      <c r="C452" s="1"/>
      <c r="M452" s="30"/>
      <c r="P452" s="30"/>
      <c r="S452" s="30"/>
      <c r="V452" s="30"/>
    </row>
    <row r="453">
      <c r="B453" s="1"/>
      <c r="C453" s="1"/>
      <c r="M453" s="30"/>
      <c r="P453" s="30"/>
      <c r="S453" s="30"/>
      <c r="V453" s="30"/>
    </row>
    <row r="454">
      <c r="B454" s="1"/>
      <c r="C454" s="1"/>
      <c r="M454" s="30"/>
      <c r="P454" s="30"/>
      <c r="S454" s="30"/>
      <c r="V454" s="30"/>
    </row>
    <row r="455">
      <c r="B455" s="1"/>
      <c r="C455" s="1"/>
      <c r="M455" s="30"/>
      <c r="P455" s="30"/>
      <c r="S455" s="30"/>
      <c r="V455" s="30"/>
    </row>
    <row r="456">
      <c r="B456" s="1"/>
      <c r="C456" s="1"/>
      <c r="M456" s="30"/>
      <c r="P456" s="30"/>
      <c r="S456" s="30"/>
      <c r="V456" s="30"/>
    </row>
    <row r="457">
      <c r="B457" s="1"/>
      <c r="C457" s="1"/>
      <c r="M457" s="30"/>
      <c r="P457" s="30"/>
      <c r="S457" s="30"/>
      <c r="V457" s="30"/>
    </row>
    <row r="458">
      <c r="B458" s="1"/>
      <c r="C458" s="1"/>
      <c r="M458" s="30"/>
      <c r="P458" s="30"/>
      <c r="S458" s="30"/>
      <c r="V458" s="30"/>
    </row>
    <row r="459">
      <c r="B459" s="1"/>
      <c r="C459" s="1"/>
      <c r="M459" s="30"/>
      <c r="P459" s="30"/>
      <c r="S459" s="30"/>
      <c r="V459" s="30"/>
    </row>
    <row r="460">
      <c r="B460" s="1"/>
      <c r="C460" s="1"/>
      <c r="M460" s="30"/>
      <c r="P460" s="30"/>
      <c r="S460" s="30"/>
      <c r="V460" s="30"/>
    </row>
    <row r="461">
      <c r="B461" s="1"/>
      <c r="C461" s="1"/>
      <c r="M461" s="30"/>
      <c r="P461" s="30"/>
      <c r="S461" s="30"/>
      <c r="V461" s="30"/>
    </row>
    <row r="462">
      <c r="B462" s="1"/>
      <c r="C462" s="1"/>
      <c r="M462" s="30"/>
      <c r="P462" s="30"/>
      <c r="S462" s="30"/>
      <c r="V462" s="30"/>
    </row>
    <row r="463">
      <c r="B463" s="1"/>
      <c r="C463" s="1"/>
      <c r="M463" s="30"/>
      <c r="P463" s="30"/>
      <c r="S463" s="30"/>
      <c r="V463" s="30"/>
    </row>
    <row r="464">
      <c r="B464" s="1"/>
      <c r="C464" s="1"/>
      <c r="M464" s="30"/>
      <c r="P464" s="30"/>
      <c r="S464" s="30"/>
      <c r="V464" s="30"/>
    </row>
    <row r="465">
      <c r="B465" s="1"/>
      <c r="C465" s="1"/>
      <c r="M465" s="30"/>
      <c r="P465" s="30"/>
      <c r="S465" s="30"/>
      <c r="V465" s="30"/>
    </row>
    <row r="466">
      <c r="B466" s="1"/>
      <c r="C466" s="1"/>
      <c r="M466" s="30"/>
      <c r="P466" s="30"/>
      <c r="S466" s="30"/>
      <c r="V466" s="30"/>
    </row>
    <row r="467">
      <c r="B467" s="1"/>
      <c r="C467" s="1"/>
      <c r="M467" s="30"/>
      <c r="P467" s="30"/>
      <c r="S467" s="30"/>
      <c r="V467" s="30"/>
    </row>
    <row r="468">
      <c r="B468" s="1"/>
      <c r="C468" s="1"/>
      <c r="M468" s="30"/>
      <c r="P468" s="30"/>
      <c r="S468" s="30"/>
      <c r="V468" s="30"/>
    </row>
    <row r="469">
      <c r="B469" s="1"/>
      <c r="C469" s="1"/>
      <c r="M469" s="30"/>
      <c r="P469" s="30"/>
      <c r="S469" s="30"/>
      <c r="V469" s="30"/>
    </row>
    <row r="470">
      <c r="B470" s="1"/>
      <c r="C470" s="1"/>
      <c r="M470" s="30"/>
      <c r="P470" s="30"/>
      <c r="S470" s="30"/>
      <c r="V470" s="30"/>
    </row>
    <row r="471">
      <c r="B471" s="1"/>
      <c r="C471" s="1"/>
      <c r="M471" s="30"/>
      <c r="P471" s="30"/>
      <c r="S471" s="30"/>
      <c r="V471" s="30"/>
    </row>
    <row r="472">
      <c r="B472" s="1"/>
      <c r="C472" s="1"/>
      <c r="M472" s="30"/>
      <c r="P472" s="30"/>
      <c r="S472" s="30"/>
      <c r="V472" s="30"/>
    </row>
    <row r="473">
      <c r="B473" s="1"/>
      <c r="C473" s="1"/>
      <c r="M473" s="30"/>
      <c r="P473" s="30"/>
      <c r="S473" s="30"/>
      <c r="V473" s="30"/>
    </row>
    <row r="474">
      <c r="B474" s="1"/>
      <c r="C474" s="1"/>
      <c r="M474" s="30"/>
      <c r="P474" s="30"/>
      <c r="S474" s="30"/>
      <c r="V474" s="30"/>
    </row>
    <row r="475">
      <c r="B475" s="1"/>
      <c r="C475" s="1"/>
      <c r="M475" s="30"/>
      <c r="P475" s="30"/>
      <c r="S475" s="30"/>
      <c r="V475" s="30"/>
    </row>
    <row r="476">
      <c r="B476" s="1"/>
      <c r="C476" s="1"/>
      <c r="M476" s="30"/>
      <c r="P476" s="30"/>
      <c r="S476" s="30"/>
      <c r="V476" s="30"/>
    </row>
    <row r="477">
      <c r="B477" s="1"/>
      <c r="C477" s="1"/>
      <c r="M477" s="30"/>
      <c r="P477" s="30"/>
      <c r="S477" s="30"/>
      <c r="V477" s="30"/>
    </row>
    <row r="478">
      <c r="B478" s="1"/>
      <c r="C478" s="1"/>
      <c r="M478" s="30"/>
      <c r="P478" s="30"/>
      <c r="S478" s="30"/>
      <c r="V478" s="30"/>
    </row>
    <row r="479">
      <c r="B479" s="1"/>
      <c r="C479" s="1"/>
      <c r="M479" s="30"/>
      <c r="P479" s="30"/>
      <c r="S479" s="30"/>
      <c r="V479" s="30"/>
    </row>
    <row r="480">
      <c r="B480" s="1"/>
      <c r="C480" s="1"/>
      <c r="M480" s="30"/>
      <c r="P480" s="30"/>
      <c r="S480" s="30"/>
      <c r="V480" s="30"/>
    </row>
    <row r="481">
      <c r="B481" s="1"/>
      <c r="C481" s="1"/>
      <c r="M481" s="30"/>
      <c r="P481" s="30"/>
      <c r="S481" s="30"/>
      <c r="V481" s="30"/>
    </row>
    <row r="482">
      <c r="B482" s="1"/>
      <c r="C482" s="1"/>
      <c r="M482" s="30"/>
      <c r="P482" s="30"/>
      <c r="S482" s="30"/>
      <c r="V482" s="30"/>
    </row>
    <row r="483">
      <c r="B483" s="1"/>
      <c r="C483" s="1"/>
      <c r="M483" s="30"/>
      <c r="P483" s="30"/>
      <c r="S483" s="30"/>
      <c r="V483" s="30"/>
    </row>
    <row r="484">
      <c r="B484" s="1"/>
      <c r="C484" s="1"/>
      <c r="M484" s="30"/>
      <c r="P484" s="30"/>
      <c r="S484" s="30"/>
      <c r="V484" s="30"/>
    </row>
    <row r="485">
      <c r="B485" s="1"/>
      <c r="C485" s="1"/>
      <c r="M485" s="30"/>
      <c r="P485" s="30"/>
      <c r="S485" s="30"/>
      <c r="V485" s="30"/>
    </row>
    <row r="486">
      <c r="B486" s="1"/>
      <c r="C486" s="1"/>
      <c r="M486" s="30"/>
      <c r="P486" s="30"/>
      <c r="S486" s="30"/>
      <c r="V486" s="30"/>
    </row>
    <row r="487">
      <c r="B487" s="1"/>
      <c r="C487" s="1"/>
      <c r="M487" s="30"/>
      <c r="P487" s="30"/>
      <c r="S487" s="30"/>
      <c r="V487" s="30"/>
    </row>
    <row r="488">
      <c r="B488" s="1"/>
      <c r="C488" s="1"/>
      <c r="M488" s="30"/>
      <c r="P488" s="30"/>
      <c r="S488" s="30"/>
      <c r="V488" s="30"/>
    </row>
    <row r="489">
      <c r="B489" s="1"/>
      <c r="C489" s="1"/>
      <c r="M489" s="30"/>
      <c r="P489" s="30"/>
      <c r="S489" s="30"/>
      <c r="V489" s="30"/>
    </row>
    <row r="490">
      <c r="B490" s="1"/>
      <c r="C490" s="1"/>
      <c r="M490" s="30"/>
      <c r="P490" s="30"/>
      <c r="S490" s="30"/>
      <c r="V490" s="30"/>
    </row>
    <row r="491">
      <c r="B491" s="1"/>
      <c r="C491" s="1"/>
      <c r="M491" s="30"/>
      <c r="P491" s="30"/>
      <c r="S491" s="30"/>
      <c r="V491" s="30"/>
    </row>
    <row r="492">
      <c r="B492" s="1"/>
      <c r="C492" s="1"/>
      <c r="M492" s="30"/>
      <c r="P492" s="30"/>
      <c r="S492" s="30"/>
      <c r="V492" s="30"/>
    </row>
    <row r="493">
      <c r="B493" s="1"/>
      <c r="C493" s="1"/>
      <c r="M493" s="30"/>
      <c r="P493" s="30"/>
      <c r="S493" s="30"/>
      <c r="V493" s="30"/>
    </row>
    <row r="494">
      <c r="B494" s="1"/>
      <c r="C494" s="1"/>
      <c r="M494" s="30"/>
      <c r="P494" s="30"/>
      <c r="S494" s="30"/>
      <c r="V494" s="30"/>
    </row>
    <row r="495">
      <c r="B495" s="1"/>
      <c r="C495" s="1"/>
      <c r="M495" s="30"/>
      <c r="P495" s="30"/>
      <c r="S495" s="30"/>
      <c r="V495" s="30"/>
    </row>
    <row r="496">
      <c r="B496" s="1"/>
      <c r="C496" s="1"/>
      <c r="M496" s="30"/>
      <c r="P496" s="30"/>
      <c r="S496" s="30"/>
      <c r="V496" s="30"/>
    </row>
    <row r="497">
      <c r="B497" s="1"/>
      <c r="C497" s="1"/>
      <c r="M497" s="30"/>
      <c r="P497" s="30"/>
      <c r="S497" s="30"/>
      <c r="V497" s="30"/>
    </row>
    <row r="498">
      <c r="B498" s="1"/>
      <c r="C498" s="1"/>
      <c r="M498" s="30"/>
      <c r="P498" s="30"/>
      <c r="S498" s="30"/>
      <c r="V498" s="30"/>
    </row>
    <row r="499">
      <c r="B499" s="1"/>
      <c r="C499" s="1"/>
      <c r="M499" s="30"/>
      <c r="P499" s="30"/>
      <c r="S499" s="30"/>
      <c r="V499" s="30"/>
    </row>
    <row r="500">
      <c r="B500" s="1"/>
      <c r="C500" s="1"/>
      <c r="M500" s="30"/>
      <c r="P500" s="30"/>
      <c r="S500" s="30"/>
      <c r="V500" s="30"/>
    </row>
    <row r="501">
      <c r="B501" s="1"/>
      <c r="C501" s="1"/>
      <c r="M501" s="30"/>
      <c r="P501" s="30"/>
      <c r="S501" s="30"/>
      <c r="V501" s="30"/>
    </row>
    <row r="502">
      <c r="B502" s="1"/>
      <c r="C502" s="1"/>
      <c r="M502" s="30"/>
      <c r="P502" s="30"/>
      <c r="S502" s="30"/>
      <c r="V502" s="30"/>
    </row>
    <row r="503">
      <c r="B503" s="1"/>
      <c r="C503" s="1"/>
      <c r="M503" s="30"/>
      <c r="P503" s="30"/>
      <c r="S503" s="30"/>
      <c r="V503" s="30"/>
    </row>
    <row r="504">
      <c r="B504" s="1"/>
      <c r="C504" s="1"/>
      <c r="M504" s="30"/>
      <c r="P504" s="30"/>
      <c r="S504" s="30"/>
      <c r="V504" s="30"/>
    </row>
    <row r="505">
      <c r="B505" s="1"/>
      <c r="C505" s="1"/>
      <c r="M505" s="30"/>
      <c r="P505" s="30"/>
      <c r="S505" s="30"/>
      <c r="V505" s="30"/>
    </row>
    <row r="506">
      <c r="B506" s="1"/>
      <c r="C506" s="1"/>
      <c r="M506" s="30"/>
      <c r="P506" s="30"/>
      <c r="S506" s="30"/>
      <c r="V506" s="30"/>
    </row>
    <row r="507">
      <c r="B507" s="1"/>
      <c r="C507" s="1"/>
      <c r="M507" s="30"/>
      <c r="P507" s="30"/>
      <c r="S507" s="30"/>
      <c r="V507" s="30"/>
    </row>
    <row r="508">
      <c r="B508" s="1"/>
      <c r="C508" s="1"/>
      <c r="M508" s="30"/>
      <c r="P508" s="30"/>
      <c r="S508" s="30"/>
      <c r="V508" s="30"/>
    </row>
    <row r="509">
      <c r="B509" s="1"/>
      <c r="C509" s="1"/>
      <c r="M509" s="30"/>
      <c r="P509" s="30"/>
      <c r="S509" s="30"/>
      <c r="V509" s="30"/>
    </row>
    <row r="510">
      <c r="B510" s="1"/>
      <c r="C510" s="1"/>
      <c r="M510" s="30"/>
      <c r="P510" s="30"/>
      <c r="S510" s="30"/>
      <c r="V510" s="30"/>
    </row>
    <row r="511">
      <c r="B511" s="1"/>
      <c r="C511" s="1"/>
      <c r="M511" s="30"/>
      <c r="P511" s="30"/>
      <c r="S511" s="30"/>
      <c r="V511" s="30"/>
    </row>
    <row r="512">
      <c r="B512" s="1"/>
      <c r="C512" s="1"/>
      <c r="M512" s="30"/>
      <c r="P512" s="30"/>
      <c r="S512" s="30"/>
      <c r="V512" s="30"/>
    </row>
    <row r="513">
      <c r="B513" s="1"/>
      <c r="C513" s="1"/>
      <c r="M513" s="30"/>
      <c r="P513" s="30"/>
      <c r="S513" s="30"/>
      <c r="V513" s="30"/>
    </row>
    <row r="514">
      <c r="B514" s="1"/>
      <c r="C514" s="1"/>
      <c r="M514" s="30"/>
      <c r="P514" s="30"/>
      <c r="S514" s="30"/>
      <c r="V514" s="30"/>
    </row>
    <row r="515">
      <c r="B515" s="1"/>
      <c r="C515" s="1"/>
      <c r="M515" s="30"/>
      <c r="P515" s="30"/>
      <c r="S515" s="30"/>
      <c r="V515" s="30"/>
    </row>
    <row r="516">
      <c r="B516" s="1"/>
      <c r="C516" s="1"/>
      <c r="M516" s="30"/>
      <c r="P516" s="30"/>
      <c r="S516" s="30"/>
      <c r="V516" s="30"/>
    </row>
    <row r="517">
      <c r="B517" s="1"/>
      <c r="C517" s="1"/>
      <c r="M517" s="30"/>
      <c r="P517" s="30"/>
      <c r="S517" s="30"/>
      <c r="V517" s="30"/>
    </row>
    <row r="518">
      <c r="B518" s="1"/>
      <c r="C518" s="1"/>
      <c r="M518" s="30"/>
      <c r="P518" s="30"/>
      <c r="S518" s="30"/>
      <c r="V518" s="30"/>
    </row>
    <row r="519">
      <c r="B519" s="1"/>
      <c r="C519" s="1"/>
      <c r="M519" s="30"/>
      <c r="P519" s="30"/>
      <c r="S519" s="30"/>
      <c r="V519" s="30"/>
    </row>
    <row r="520">
      <c r="B520" s="1"/>
      <c r="C520" s="1"/>
      <c r="M520" s="30"/>
      <c r="P520" s="30"/>
      <c r="S520" s="30"/>
      <c r="V520" s="30"/>
    </row>
    <row r="521">
      <c r="B521" s="1"/>
      <c r="C521" s="1"/>
      <c r="M521" s="30"/>
      <c r="P521" s="30"/>
      <c r="S521" s="30"/>
      <c r="V521" s="30"/>
    </row>
    <row r="522">
      <c r="B522" s="1"/>
      <c r="C522" s="1"/>
      <c r="M522" s="30"/>
      <c r="P522" s="30"/>
      <c r="S522" s="30"/>
      <c r="V522" s="30"/>
    </row>
    <row r="523">
      <c r="B523" s="1"/>
      <c r="C523" s="1"/>
      <c r="M523" s="30"/>
      <c r="P523" s="30"/>
      <c r="S523" s="30"/>
      <c r="V523" s="30"/>
    </row>
    <row r="524">
      <c r="B524" s="1"/>
      <c r="C524" s="1"/>
      <c r="M524" s="30"/>
      <c r="P524" s="30"/>
      <c r="S524" s="30"/>
      <c r="V524" s="30"/>
    </row>
    <row r="525">
      <c r="B525" s="1"/>
      <c r="C525" s="1"/>
      <c r="M525" s="30"/>
      <c r="P525" s="30"/>
      <c r="S525" s="30"/>
      <c r="V525" s="30"/>
    </row>
    <row r="526">
      <c r="B526" s="1"/>
      <c r="C526" s="1"/>
      <c r="M526" s="30"/>
      <c r="P526" s="30"/>
      <c r="S526" s="30"/>
      <c r="V526" s="30"/>
    </row>
    <row r="527">
      <c r="B527" s="1"/>
      <c r="C527" s="1"/>
      <c r="M527" s="30"/>
      <c r="P527" s="30"/>
      <c r="S527" s="30"/>
      <c r="V527" s="30"/>
    </row>
    <row r="528">
      <c r="B528" s="1"/>
      <c r="C528" s="1"/>
      <c r="M528" s="30"/>
      <c r="P528" s="30"/>
      <c r="S528" s="30"/>
      <c r="V528" s="30"/>
    </row>
    <row r="529">
      <c r="B529" s="1"/>
      <c r="C529" s="1"/>
      <c r="M529" s="30"/>
      <c r="P529" s="30"/>
      <c r="S529" s="30"/>
      <c r="V529" s="30"/>
    </row>
    <row r="530">
      <c r="B530" s="1"/>
      <c r="C530" s="1"/>
      <c r="M530" s="30"/>
      <c r="P530" s="30"/>
      <c r="S530" s="30"/>
      <c r="V530" s="30"/>
    </row>
    <row r="531">
      <c r="B531" s="1"/>
      <c r="C531" s="1"/>
      <c r="M531" s="30"/>
      <c r="P531" s="30"/>
      <c r="S531" s="30"/>
      <c r="V531" s="30"/>
    </row>
    <row r="532">
      <c r="B532" s="1"/>
      <c r="C532" s="1"/>
      <c r="M532" s="30"/>
      <c r="P532" s="30"/>
      <c r="S532" s="30"/>
      <c r="V532" s="30"/>
    </row>
    <row r="533">
      <c r="B533" s="1"/>
      <c r="C533" s="1"/>
      <c r="M533" s="30"/>
      <c r="P533" s="30"/>
      <c r="S533" s="30"/>
      <c r="V533" s="30"/>
    </row>
    <row r="534">
      <c r="B534" s="1"/>
      <c r="C534" s="1"/>
      <c r="M534" s="30"/>
      <c r="P534" s="30"/>
      <c r="S534" s="30"/>
      <c r="V534" s="30"/>
    </row>
    <row r="535">
      <c r="B535" s="1"/>
      <c r="C535" s="1"/>
      <c r="M535" s="30"/>
      <c r="P535" s="30"/>
      <c r="S535" s="30"/>
      <c r="V535" s="30"/>
    </row>
    <row r="536">
      <c r="B536" s="1"/>
      <c r="C536" s="1"/>
      <c r="M536" s="30"/>
      <c r="P536" s="30"/>
      <c r="S536" s="30"/>
      <c r="V536" s="30"/>
    </row>
    <row r="537">
      <c r="B537" s="1"/>
      <c r="C537" s="1"/>
      <c r="M537" s="30"/>
      <c r="P537" s="30"/>
      <c r="S537" s="30"/>
      <c r="V537" s="30"/>
    </row>
    <row r="538">
      <c r="B538" s="1"/>
      <c r="C538" s="1"/>
      <c r="M538" s="30"/>
      <c r="P538" s="30"/>
      <c r="S538" s="30"/>
      <c r="V538" s="30"/>
    </row>
    <row r="539">
      <c r="B539" s="1"/>
      <c r="C539" s="1"/>
      <c r="M539" s="30"/>
      <c r="P539" s="30"/>
      <c r="S539" s="30"/>
      <c r="V539" s="30"/>
    </row>
    <row r="540">
      <c r="B540" s="1"/>
      <c r="C540" s="1"/>
      <c r="M540" s="30"/>
      <c r="P540" s="30"/>
      <c r="S540" s="30"/>
      <c r="V540" s="30"/>
    </row>
    <row r="541">
      <c r="B541" s="1"/>
      <c r="C541" s="1"/>
      <c r="M541" s="30"/>
      <c r="P541" s="30"/>
      <c r="S541" s="30"/>
      <c r="V541" s="30"/>
    </row>
    <row r="542">
      <c r="B542" s="1"/>
      <c r="C542" s="1"/>
      <c r="M542" s="30"/>
      <c r="P542" s="30"/>
      <c r="S542" s="30"/>
      <c r="V542" s="30"/>
    </row>
    <row r="543">
      <c r="B543" s="1"/>
      <c r="C543" s="1"/>
      <c r="M543" s="30"/>
      <c r="P543" s="30"/>
      <c r="S543" s="30"/>
      <c r="V543" s="30"/>
    </row>
    <row r="544">
      <c r="B544" s="1"/>
      <c r="C544" s="1"/>
      <c r="M544" s="30"/>
      <c r="P544" s="30"/>
      <c r="S544" s="30"/>
      <c r="V544" s="30"/>
    </row>
    <row r="545">
      <c r="B545" s="1"/>
      <c r="C545" s="1"/>
      <c r="M545" s="30"/>
      <c r="P545" s="30"/>
      <c r="S545" s="30"/>
      <c r="V545" s="30"/>
    </row>
    <row r="546">
      <c r="B546" s="1"/>
      <c r="C546" s="1"/>
      <c r="M546" s="30"/>
      <c r="P546" s="30"/>
      <c r="S546" s="30"/>
      <c r="V546" s="30"/>
    </row>
    <row r="547">
      <c r="B547" s="1"/>
      <c r="C547" s="1"/>
      <c r="M547" s="30"/>
      <c r="P547" s="30"/>
      <c r="S547" s="30"/>
      <c r="V547" s="30"/>
    </row>
    <row r="548">
      <c r="B548" s="1"/>
      <c r="C548" s="1"/>
      <c r="M548" s="30"/>
      <c r="P548" s="30"/>
      <c r="S548" s="30"/>
      <c r="V548" s="30"/>
    </row>
    <row r="549">
      <c r="B549" s="1"/>
      <c r="C549" s="1"/>
      <c r="M549" s="30"/>
      <c r="P549" s="30"/>
      <c r="S549" s="30"/>
      <c r="V549" s="30"/>
    </row>
    <row r="550">
      <c r="B550" s="1"/>
      <c r="C550" s="1"/>
      <c r="M550" s="30"/>
      <c r="P550" s="30"/>
      <c r="S550" s="30"/>
      <c r="V550" s="30"/>
    </row>
    <row r="551">
      <c r="B551" s="1"/>
      <c r="C551" s="1"/>
      <c r="M551" s="30"/>
      <c r="P551" s="30"/>
      <c r="S551" s="30"/>
      <c r="V551" s="30"/>
    </row>
    <row r="552">
      <c r="B552" s="1"/>
      <c r="C552" s="1"/>
      <c r="M552" s="30"/>
      <c r="P552" s="30"/>
      <c r="S552" s="30"/>
      <c r="V552" s="30"/>
    </row>
    <row r="553">
      <c r="B553" s="1"/>
      <c r="C553" s="1"/>
      <c r="M553" s="30"/>
      <c r="P553" s="30"/>
      <c r="S553" s="30"/>
      <c r="V553" s="30"/>
    </row>
    <row r="554">
      <c r="B554" s="1"/>
      <c r="C554" s="1"/>
      <c r="M554" s="30"/>
      <c r="P554" s="30"/>
      <c r="S554" s="30"/>
      <c r="V554" s="30"/>
    </row>
    <row r="555">
      <c r="B555" s="1"/>
      <c r="C555" s="1"/>
      <c r="M555" s="30"/>
      <c r="P555" s="30"/>
      <c r="S555" s="30"/>
      <c r="V555" s="30"/>
    </row>
    <row r="556">
      <c r="B556" s="1"/>
      <c r="C556" s="1"/>
      <c r="M556" s="30"/>
      <c r="P556" s="30"/>
      <c r="S556" s="30"/>
      <c r="V556" s="30"/>
    </row>
    <row r="557">
      <c r="B557" s="1"/>
      <c r="C557" s="1"/>
      <c r="M557" s="30"/>
      <c r="P557" s="30"/>
      <c r="S557" s="30"/>
      <c r="V557" s="30"/>
    </row>
    <row r="558">
      <c r="B558" s="1"/>
      <c r="C558" s="1"/>
      <c r="M558" s="30"/>
      <c r="P558" s="30"/>
      <c r="S558" s="30"/>
      <c r="V558" s="30"/>
    </row>
    <row r="559">
      <c r="B559" s="1"/>
      <c r="C559" s="1"/>
      <c r="M559" s="30"/>
      <c r="P559" s="30"/>
      <c r="S559" s="30"/>
      <c r="V559" s="30"/>
    </row>
    <row r="560">
      <c r="B560" s="1"/>
      <c r="C560" s="1"/>
      <c r="M560" s="30"/>
      <c r="P560" s="30"/>
      <c r="S560" s="30"/>
      <c r="V560" s="30"/>
    </row>
    <row r="561">
      <c r="B561" s="1"/>
      <c r="C561" s="1"/>
      <c r="M561" s="30"/>
      <c r="P561" s="30"/>
      <c r="S561" s="30"/>
      <c r="V561" s="30"/>
    </row>
    <row r="562">
      <c r="B562" s="1"/>
      <c r="C562" s="1"/>
      <c r="M562" s="30"/>
      <c r="P562" s="30"/>
      <c r="S562" s="30"/>
      <c r="V562" s="30"/>
    </row>
    <row r="563">
      <c r="B563" s="1"/>
      <c r="C563" s="1"/>
      <c r="M563" s="30"/>
      <c r="P563" s="30"/>
      <c r="S563" s="30"/>
      <c r="V563" s="30"/>
    </row>
    <row r="564">
      <c r="B564" s="1"/>
      <c r="C564" s="1"/>
      <c r="M564" s="30"/>
      <c r="P564" s="30"/>
      <c r="S564" s="30"/>
      <c r="V564" s="30"/>
    </row>
    <row r="565">
      <c r="B565" s="1"/>
      <c r="C565" s="1"/>
      <c r="M565" s="30"/>
      <c r="P565" s="30"/>
      <c r="S565" s="30"/>
      <c r="V565" s="30"/>
    </row>
    <row r="566">
      <c r="B566" s="1"/>
      <c r="C566" s="1"/>
      <c r="M566" s="30"/>
      <c r="P566" s="30"/>
      <c r="S566" s="30"/>
      <c r="V566" s="30"/>
    </row>
    <row r="567">
      <c r="B567" s="1"/>
      <c r="C567" s="1"/>
      <c r="M567" s="30"/>
      <c r="P567" s="30"/>
      <c r="S567" s="30"/>
      <c r="V567" s="30"/>
    </row>
    <row r="568">
      <c r="B568" s="1"/>
      <c r="C568" s="1"/>
      <c r="M568" s="30"/>
      <c r="P568" s="30"/>
      <c r="S568" s="30"/>
      <c r="V568" s="30"/>
    </row>
    <row r="569">
      <c r="B569" s="1"/>
      <c r="C569" s="1"/>
      <c r="M569" s="30"/>
      <c r="P569" s="30"/>
      <c r="S569" s="30"/>
      <c r="V569" s="30"/>
    </row>
    <row r="570">
      <c r="B570" s="1"/>
      <c r="C570" s="1"/>
      <c r="M570" s="30"/>
      <c r="P570" s="30"/>
      <c r="S570" s="30"/>
      <c r="V570" s="30"/>
    </row>
    <row r="571">
      <c r="B571" s="1"/>
      <c r="C571" s="1"/>
      <c r="M571" s="30"/>
      <c r="P571" s="30"/>
      <c r="S571" s="30"/>
      <c r="V571" s="30"/>
    </row>
    <row r="572">
      <c r="B572" s="1"/>
      <c r="C572" s="1"/>
      <c r="M572" s="30"/>
      <c r="P572" s="30"/>
      <c r="S572" s="30"/>
      <c r="V572" s="30"/>
    </row>
    <row r="573">
      <c r="B573" s="1"/>
      <c r="C573" s="1"/>
      <c r="M573" s="30"/>
      <c r="P573" s="30"/>
      <c r="S573" s="30"/>
      <c r="V573" s="30"/>
    </row>
    <row r="574">
      <c r="B574" s="1"/>
      <c r="C574" s="1"/>
      <c r="M574" s="30"/>
      <c r="P574" s="30"/>
      <c r="S574" s="30"/>
      <c r="V574" s="30"/>
    </row>
    <row r="575">
      <c r="B575" s="1"/>
      <c r="C575" s="1"/>
      <c r="M575" s="30"/>
      <c r="P575" s="30"/>
      <c r="S575" s="30"/>
      <c r="V575" s="30"/>
    </row>
    <row r="576">
      <c r="B576" s="1"/>
      <c r="C576" s="1"/>
      <c r="M576" s="30"/>
      <c r="P576" s="30"/>
      <c r="S576" s="30"/>
      <c r="V576" s="30"/>
    </row>
    <row r="577">
      <c r="B577" s="1"/>
      <c r="C577" s="1"/>
      <c r="M577" s="30"/>
      <c r="P577" s="30"/>
      <c r="S577" s="30"/>
      <c r="V577" s="30"/>
    </row>
    <row r="578">
      <c r="B578" s="1"/>
      <c r="C578" s="1"/>
      <c r="M578" s="30"/>
      <c r="P578" s="30"/>
      <c r="S578" s="30"/>
      <c r="V578" s="30"/>
    </row>
    <row r="579">
      <c r="B579" s="1"/>
      <c r="C579" s="1"/>
      <c r="M579" s="30"/>
      <c r="P579" s="30"/>
      <c r="S579" s="30"/>
      <c r="V579" s="30"/>
    </row>
    <row r="580">
      <c r="B580" s="1"/>
      <c r="C580" s="1"/>
      <c r="M580" s="30"/>
      <c r="P580" s="30"/>
      <c r="S580" s="30"/>
      <c r="V580" s="30"/>
    </row>
    <row r="581">
      <c r="B581" s="1"/>
      <c r="C581" s="1"/>
      <c r="M581" s="30"/>
      <c r="P581" s="30"/>
      <c r="S581" s="30"/>
      <c r="V581" s="30"/>
    </row>
    <row r="582">
      <c r="B582" s="1"/>
      <c r="C582" s="1"/>
      <c r="M582" s="30"/>
      <c r="P582" s="30"/>
      <c r="S582" s="30"/>
      <c r="V582" s="30"/>
    </row>
    <row r="583">
      <c r="B583" s="1"/>
      <c r="C583" s="1"/>
      <c r="M583" s="30"/>
      <c r="P583" s="30"/>
      <c r="S583" s="30"/>
      <c r="V583" s="30"/>
    </row>
    <row r="584">
      <c r="B584" s="1"/>
      <c r="C584" s="1"/>
      <c r="M584" s="30"/>
      <c r="P584" s="30"/>
      <c r="S584" s="30"/>
      <c r="V584" s="30"/>
    </row>
    <row r="585">
      <c r="B585" s="1"/>
      <c r="C585" s="1"/>
      <c r="M585" s="30"/>
      <c r="P585" s="30"/>
      <c r="S585" s="30"/>
      <c r="V585" s="30"/>
    </row>
    <row r="586">
      <c r="B586" s="1"/>
      <c r="C586" s="1"/>
      <c r="M586" s="30"/>
      <c r="P586" s="30"/>
      <c r="S586" s="30"/>
      <c r="V586" s="30"/>
    </row>
    <row r="587">
      <c r="B587" s="1"/>
      <c r="C587" s="1"/>
      <c r="M587" s="30"/>
      <c r="P587" s="30"/>
      <c r="S587" s="30"/>
      <c r="V587" s="30"/>
    </row>
    <row r="588">
      <c r="B588" s="1"/>
      <c r="C588" s="1"/>
      <c r="M588" s="30"/>
      <c r="P588" s="30"/>
      <c r="S588" s="30"/>
      <c r="V588" s="30"/>
    </row>
    <row r="589">
      <c r="B589" s="1"/>
      <c r="C589" s="1"/>
      <c r="M589" s="30"/>
      <c r="P589" s="30"/>
      <c r="S589" s="30"/>
      <c r="V589" s="30"/>
    </row>
    <row r="590">
      <c r="B590" s="1"/>
      <c r="C590" s="1"/>
      <c r="M590" s="30"/>
      <c r="P590" s="30"/>
      <c r="S590" s="30"/>
      <c r="V590" s="30"/>
    </row>
    <row r="591">
      <c r="B591" s="1"/>
      <c r="C591" s="1"/>
      <c r="M591" s="30"/>
      <c r="P591" s="30"/>
      <c r="S591" s="30"/>
      <c r="V591" s="30"/>
    </row>
    <row r="592">
      <c r="B592" s="1"/>
      <c r="C592" s="1"/>
      <c r="M592" s="30"/>
      <c r="P592" s="30"/>
      <c r="S592" s="30"/>
      <c r="V592" s="30"/>
    </row>
    <row r="593">
      <c r="B593" s="1"/>
      <c r="C593" s="1"/>
      <c r="M593" s="30"/>
      <c r="P593" s="30"/>
      <c r="S593" s="30"/>
      <c r="V593" s="30"/>
    </row>
    <row r="594">
      <c r="B594" s="1"/>
      <c r="C594" s="1"/>
      <c r="M594" s="30"/>
      <c r="P594" s="30"/>
      <c r="S594" s="30"/>
      <c r="V594" s="30"/>
    </row>
    <row r="595">
      <c r="B595" s="1"/>
      <c r="C595" s="1"/>
      <c r="M595" s="30"/>
      <c r="P595" s="30"/>
      <c r="S595" s="30"/>
      <c r="V595" s="30"/>
    </row>
    <row r="596">
      <c r="B596" s="1"/>
      <c r="C596" s="1"/>
      <c r="M596" s="30"/>
      <c r="P596" s="30"/>
      <c r="S596" s="30"/>
      <c r="V596" s="30"/>
    </row>
    <row r="597">
      <c r="B597" s="1"/>
      <c r="C597" s="1"/>
      <c r="M597" s="30"/>
      <c r="P597" s="30"/>
      <c r="S597" s="30"/>
      <c r="V597" s="30"/>
    </row>
    <row r="598">
      <c r="B598" s="1"/>
      <c r="C598" s="1"/>
      <c r="M598" s="30"/>
      <c r="P598" s="30"/>
      <c r="S598" s="30"/>
      <c r="V598" s="30"/>
    </row>
    <row r="599">
      <c r="B599" s="1"/>
      <c r="C599" s="1"/>
      <c r="M599" s="30"/>
      <c r="P599" s="30"/>
      <c r="S599" s="30"/>
      <c r="V599" s="30"/>
    </row>
    <row r="600">
      <c r="B600" s="1"/>
      <c r="C600" s="1"/>
      <c r="M600" s="30"/>
      <c r="P600" s="30"/>
      <c r="S600" s="30"/>
      <c r="V600" s="30"/>
    </row>
    <row r="601">
      <c r="B601" s="1"/>
      <c r="C601" s="1"/>
      <c r="M601" s="30"/>
      <c r="P601" s="30"/>
      <c r="S601" s="30"/>
      <c r="V601" s="30"/>
    </row>
    <row r="602">
      <c r="B602" s="1"/>
      <c r="C602" s="1"/>
      <c r="M602" s="30"/>
      <c r="P602" s="30"/>
      <c r="S602" s="30"/>
      <c r="V602" s="30"/>
    </row>
    <row r="603">
      <c r="B603" s="1"/>
      <c r="C603" s="1"/>
      <c r="M603" s="30"/>
      <c r="P603" s="30"/>
      <c r="S603" s="30"/>
      <c r="V603" s="30"/>
    </row>
    <row r="604">
      <c r="B604" s="1"/>
      <c r="C604" s="1"/>
      <c r="M604" s="30"/>
      <c r="P604" s="30"/>
      <c r="S604" s="30"/>
      <c r="V604" s="30"/>
    </row>
    <row r="605">
      <c r="B605" s="1"/>
      <c r="C605" s="1"/>
      <c r="M605" s="30"/>
      <c r="P605" s="30"/>
      <c r="S605" s="30"/>
      <c r="V605" s="30"/>
    </row>
    <row r="606">
      <c r="B606" s="1"/>
      <c r="C606" s="1"/>
      <c r="M606" s="30"/>
      <c r="P606" s="30"/>
      <c r="S606" s="30"/>
      <c r="V606" s="30"/>
    </row>
    <row r="607">
      <c r="B607" s="1"/>
      <c r="C607" s="1"/>
      <c r="M607" s="30"/>
      <c r="P607" s="30"/>
      <c r="S607" s="30"/>
      <c r="V607" s="30"/>
    </row>
    <row r="608">
      <c r="B608" s="1"/>
      <c r="C608" s="1"/>
      <c r="M608" s="30"/>
      <c r="P608" s="30"/>
      <c r="S608" s="30"/>
      <c r="V608" s="30"/>
    </row>
    <row r="609">
      <c r="B609" s="1"/>
      <c r="C609" s="1"/>
      <c r="M609" s="30"/>
      <c r="P609" s="30"/>
      <c r="S609" s="30"/>
      <c r="V609" s="30"/>
    </row>
    <row r="610">
      <c r="B610" s="1"/>
      <c r="C610" s="1"/>
      <c r="M610" s="30"/>
      <c r="P610" s="30"/>
      <c r="S610" s="30"/>
      <c r="V610" s="30"/>
    </row>
    <row r="611">
      <c r="B611" s="1"/>
      <c r="C611" s="1"/>
      <c r="M611" s="30"/>
      <c r="P611" s="30"/>
      <c r="S611" s="30"/>
      <c r="V611" s="30"/>
    </row>
    <row r="612">
      <c r="B612" s="1"/>
      <c r="C612" s="1"/>
      <c r="M612" s="30"/>
      <c r="P612" s="30"/>
      <c r="S612" s="30"/>
      <c r="V612" s="30"/>
    </row>
    <row r="613">
      <c r="B613" s="1"/>
      <c r="C613" s="1"/>
      <c r="M613" s="30"/>
      <c r="P613" s="30"/>
      <c r="S613" s="30"/>
      <c r="V613" s="30"/>
    </row>
    <row r="614">
      <c r="B614" s="1"/>
      <c r="C614" s="1"/>
      <c r="M614" s="30"/>
      <c r="P614" s="30"/>
      <c r="S614" s="30"/>
      <c r="V614" s="30"/>
    </row>
    <row r="615">
      <c r="B615" s="1"/>
      <c r="C615" s="1"/>
      <c r="M615" s="30"/>
      <c r="P615" s="30"/>
      <c r="S615" s="30"/>
      <c r="V615" s="30"/>
    </row>
    <row r="616">
      <c r="B616" s="1"/>
      <c r="C616" s="1"/>
      <c r="M616" s="30"/>
      <c r="P616" s="30"/>
      <c r="S616" s="30"/>
      <c r="V616" s="30"/>
    </row>
    <row r="617">
      <c r="B617" s="1"/>
      <c r="C617" s="1"/>
      <c r="M617" s="30"/>
      <c r="P617" s="30"/>
      <c r="S617" s="30"/>
      <c r="V617" s="30"/>
    </row>
    <row r="618">
      <c r="B618" s="1"/>
      <c r="C618" s="1"/>
      <c r="M618" s="30"/>
      <c r="P618" s="30"/>
      <c r="S618" s="30"/>
      <c r="V618" s="30"/>
    </row>
    <row r="619">
      <c r="B619" s="1"/>
      <c r="C619" s="1"/>
      <c r="M619" s="30"/>
      <c r="P619" s="30"/>
      <c r="S619" s="30"/>
      <c r="V619" s="30"/>
    </row>
    <row r="620">
      <c r="B620" s="1"/>
      <c r="C620" s="1"/>
      <c r="M620" s="30"/>
      <c r="P620" s="30"/>
      <c r="S620" s="30"/>
      <c r="V620" s="30"/>
    </row>
    <row r="621">
      <c r="B621" s="1"/>
      <c r="C621" s="1"/>
      <c r="M621" s="30"/>
      <c r="P621" s="30"/>
      <c r="S621" s="30"/>
      <c r="V621" s="30"/>
    </row>
    <row r="622">
      <c r="B622" s="1"/>
      <c r="C622" s="1"/>
      <c r="M622" s="30"/>
      <c r="P622" s="30"/>
      <c r="S622" s="30"/>
      <c r="V622" s="30"/>
    </row>
    <row r="623">
      <c r="B623" s="1"/>
      <c r="C623" s="1"/>
      <c r="M623" s="30"/>
      <c r="P623" s="30"/>
      <c r="S623" s="30"/>
      <c r="V623" s="30"/>
    </row>
    <row r="624">
      <c r="B624" s="1"/>
      <c r="C624" s="1"/>
      <c r="M624" s="30"/>
      <c r="P624" s="30"/>
      <c r="S624" s="30"/>
      <c r="V624" s="30"/>
    </row>
    <row r="625">
      <c r="B625" s="1"/>
      <c r="C625" s="1"/>
      <c r="M625" s="30"/>
      <c r="P625" s="30"/>
      <c r="S625" s="30"/>
      <c r="V625" s="30"/>
    </row>
    <row r="626">
      <c r="B626" s="1"/>
      <c r="C626" s="1"/>
      <c r="M626" s="30"/>
      <c r="P626" s="30"/>
      <c r="S626" s="30"/>
      <c r="V626" s="30"/>
    </row>
    <row r="627">
      <c r="B627" s="1"/>
      <c r="C627" s="1"/>
      <c r="M627" s="30"/>
      <c r="P627" s="30"/>
      <c r="S627" s="30"/>
      <c r="V627" s="30"/>
    </row>
    <row r="628">
      <c r="B628" s="1"/>
      <c r="C628" s="1"/>
      <c r="M628" s="30"/>
      <c r="P628" s="30"/>
      <c r="S628" s="30"/>
      <c r="V628" s="30"/>
    </row>
    <row r="629">
      <c r="B629" s="1"/>
      <c r="C629" s="1"/>
      <c r="M629" s="30"/>
      <c r="P629" s="30"/>
      <c r="S629" s="30"/>
      <c r="V629" s="30"/>
    </row>
    <row r="630">
      <c r="B630" s="1"/>
      <c r="C630" s="1"/>
      <c r="M630" s="30"/>
      <c r="P630" s="30"/>
      <c r="S630" s="30"/>
      <c r="V630" s="30"/>
    </row>
    <row r="631">
      <c r="B631" s="1"/>
      <c r="C631" s="1"/>
      <c r="M631" s="30"/>
      <c r="P631" s="30"/>
      <c r="S631" s="30"/>
      <c r="V631" s="30"/>
    </row>
    <row r="632">
      <c r="B632" s="1"/>
      <c r="C632" s="1"/>
      <c r="M632" s="30"/>
      <c r="P632" s="30"/>
      <c r="S632" s="30"/>
      <c r="V632" s="30"/>
    </row>
    <row r="633">
      <c r="B633" s="1"/>
      <c r="C633" s="1"/>
      <c r="M633" s="30"/>
      <c r="P633" s="30"/>
      <c r="S633" s="30"/>
      <c r="V633" s="30"/>
    </row>
    <row r="634">
      <c r="B634" s="1"/>
      <c r="C634" s="1"/>
      <c r="M634" s="30"/>
      <c r="P634" s="30"/>
      <c r="S634" s="30"/>
      <c r="V634" s="30"/>
    </row>
    <row r="635">
      <c r="B635" s="1"/>
      <c r="C635" s="1"/>
      <c r="M635" s="30"/>
      <c r="P635" s="30"/>
      <c r="S635" s="30"/>
      <c r="V635" s="30"/>
    </row>
    <row r="636">
      <c r="B636" s="1"/>
      <c r="C636" s="1"/>
      <c r="M636" s="30"/>
      <c r="P636" s="30"/>
      <c r="S636" s="30"/>
      <c r="V636" s="30"/>
    </row>
    <row r="637">
      <c r="B637" s="1"/>
      <c r="C637" s="1"/>
      <c r="M637" s="30"/>
      <c r="P637" s="30"/>
      <c r="S637" s="30"/>
      <c r="V637" s="30"/>
    </row>
    <row r="638">
      <c r="B638" s="1"/>
      <c r="C638" s="1"/>
      <c r="M638" s="30"/>
      <c r="P638" s="30"/>
      <c r="S638" s="30"/>
      <c r="V638" s="30"/>
    </row>
    <row r="639">
      <c r="B639" s="1"/>
      <c r="C639" s="1"/>
      <c r="M639" s="30"/>
      <c r="P639" s="30"/>
      <c r="S639" s="30"/>
      <c r="V639" s="30"/>
    </row>
    <row r="640">
      <c r="B640" s="1"/>
      <c r="C640" s="1"/>
      <c r="M640" s="30"/>
      <c r="P640" s="30"/>
      <c r="S640" s="30"/>
      <c r="V640" s="30"/>
    </row>
    <row r="641">
      <c r="B641" s="1"/>
      <c r="C641" s="1"/>
      <c r="M641" s="30"/>
      <c r="P641" s="30"/>
      <c r="S641" s="30"/>
      <c r="V641" s="30"/>
    </row>
    <row r="642">
      <c r="B642" s="1"/>
      <c r="C642" s="1"/>
      <c r="M642" s="30"/>
      <c r="P642" s="30"/>
      <c r="S642" s="30"/>
      <c r="V642" s="30"/>
    </row>
    <row r="643">
      <c r="B643" s="1"/>
      <c r="C643" s="1"/>
      <c r="M643" s="30"/>
      <c r="P643" s="30"/>
      <c r="S643" s="30"/>
      <c r="V643" s="30"/>
    </row>
    <row r="644">
      <c r="B644" s="1"/>
      <c r="C644" s="1"/>
      <c r="M644" s="30"/>
      <c r="P644" s="30"/>
      <c r="S644" s="30"/>
      <c r="V644" s="30"/>
    </row>
    <row r="645">
      <c r="B645" s="1"/>
      <c r="C645" s="1"/>
      <c r="M645" s="30"/>
      <c r="P645" s="30"/>
      <c r="S645" s="30"/>
      <c r="V645" s="30"/>
    </row>
    <row r="646">
      <c r="B646" s="1"/>
      <c r="C646" s="1"/>
      <c r="M646" s="30"/>
      <c r="P646" s="30"/>
      <c r="S646" s="30"/>
      <c r="V646" s="30"/>
    </row>
    <row r="647">
      <c r="B647" s="1"/>
      <c r="C647" s="1"/>
      <c r="M647" s="30"/>
      <c r="P647" s="30"/>
      <c r="S647" s="30"/>
      <c r="V647" s="30"/>
    </row>
    <row r="648">
      <c r="B648" s="1"/>
      <c r="C648" s="1"/>
      <c r="M648" s="30"/>
      <c r="P648" s="30"/>
      <c r="S648" s="30"/>
      <c r="V648" s="30"/>
    </row>
    <row r="649">
      <c r="B649" s="1"/>
      <c r="C649" s="1"/>
      <c r="M649" s="30"/>
      <c r="P649" s="30"/>
      <c r="S649" s="30"/>
      <c r="V649" s="30"/>
    </row>
    <row r="650">
      <c r="B650" s="1"/>
      <c r="C650" s="1"/>
      <c r="M650" s="30"/>
      <c r="P650" s="30"/>
      <c r="S650" s="30"/>
      <c r="V650" s="30"/>
    </row>
    <row r="651">
      <c r="B651" s="1"/>
      <c r="C651" s="1"/>
      <c r="M651" s="30"/>
      <c r="P651" s="30"/>
      <c r="S651" s="30"/>
      <c r="V651" s="30"/>
    </row>
    <row r="652">
      <c r="B652" s="1"/>
      <c r="C652" s="1"/>
      <c r="M652" s="30"/>
      <c r="P652" s="30"/>
      <c r="S652" s="30"/>
      <c r="V652" s="30"/>
    </row>
    <row r="653">
      <c r="B653" s="1"/>
      <c r="C653" s="1"/>
      <c r="M653" s="30"/>
      <c r="P653" s="30"/>
      <c r="S653" s="30"/>
      <c r="V653" s="30"/>
    </row>
    <row r="654">
      <c r="B654" s="1"/>
      <c r="C654" s="1"/>
      <c r="M654" s="30"/>
      <c r="P654" s="30"/>
      <c r="S654" s="30"/>
      <c r="V654" s="30"/>
    </row>
    <row r="655">
      <c r="B655" s="1"/>
      <c r="C655" s="1"/>
      <c r="M655" s="30"/>
      <c r="P655" s="30"/>
      <c r="S655" s="30"/>
      <c r="V655" s="30"/>
    </row>
    <row r="656">
      <c r="B656" s="1"/>
      <c r="C656" s="1"/>
      <c r="M656" s="30"/>
      <c r="P656" s="30"/>
      <c r="S656" s="30"/>
      <c r="V656" s="30"/>
    </row>
    <row r="657">
      <c r="B657" s="1"/>
      <c r="C657" s="1"/>
      <c r="M657" s="30"/>
      <c r="P657" s="30"/>
      <c r="S657" s="30"/>
      <c r="V657" s="30"/>
    </row>
    <row r="658">
      <c r="B658" s="1"/>
      <c r="C658" s="1"/>
      <c r="M658" s="30"/>
      <c r="P658" s="30"/>
      <c r="S658" s="30"/>
      <c r="V658" s="30"/>
    </row>
    <row r="659">
      <c r="B659" s="1"/>
      <c r="C659" s="1"/>
      <c r="M659" s="30"/>
      <c r="P659" s="30"/>
      <c r="S659" s="30"/>
      <c r="V659" s="30"/>
    </row>
    <row r="660">
      <c r="B660" s="1"/>
      <c r="C660" s="1"/>
      <c r="M660" s="30"/>
      <c r="P660" s="30"/>
      <c r="S660" s="30"/>
      <c r="V660" s="30"/>
    </row>
    <row r="661">
      <c r="B661" s="1"/>
      <c r="C661" s="1"/>
      <c r="M661" s="30"/>
      <c r="P661" s="30"/>
      <c r="S661" s="30"/>
      <c r="V661" s="30"/>
    </row>
    <row r="662">
      <c r="B662" s="1"/>
      <c r="C662" s="1"/>
      <c r="M662" s="30"/>
      <c r="P662" s="30"/>
      <c r="S662" s="30"/>
      <c r="V662" s="30"/>
    </row>
    <row r="663">
      <c r="B663" s="1"/>
      <c r="C663" s="1"/>
      <c r="M663" s="30"/>
      <c r="P663" s="30"/>
      <c r="S663" s="30"/>
      <c r="V663" s="30"/>
    </row>
    <row r="664">
      <c r="B664" s="1"/>
      <c r="C664" s="1"/>
      <c r="M664" s="30"/>
      <c r="P664" s="30"/>
      <c r="S664" s="30"/>
      <c r="V664" s="30"/>
    </row>
    <row r="665">
      <c r="B665" s="1"/>
      <c r="C665" s="1"/>
      <c r="M665" s="30"/>
      <c r="P665" s="30"/>
      <c r="S665" s="30"/>
      <c r="V665" s="30"/>
    </row>
    <row r="666">
      <c r="B666" s="1"/>
      <c r="C666" s="1"/>
      <c r="M666" s="30"/>
      <c r="P666" s="30"/>
      <c r="S666" s="30"/>
      <c r="V666" s="30"/>
    </row>
    <row r="667">
      <c r="B667" s="1"/>
      <c r="C667" s="1"/>
      <c r="M667" s="30"/>
      <c r="P667" s="30"/>
      <c r="S667" s="30"/>
      <c r="V667" s="30"/>
    </row>
    <row r="668">
      <c r="B668" s="1"/>
      <c r="C668" s="1"/>
      <c r="M668" s="30"/>
      <c r="P668" s="30"/>
      <c r="S668" s="30"/>
      <c r="V668" s="30"/>
    </row>
    <row r="669">
      <c r="B669" s="1"/>
      <c r="C669" s="1"/>
      <c r="M669" s="30"/>
      <c r="P669" s="30"/>
      <c r="S669" s="30"/>
      <c r="V669" s="30"/>
    </row>
    <row r="670">
      <c r="B670" s="1"/>
      <c r="C670" s="1"/>
      <c r="M670" s="30"/>
      <c r="P670" s="30"/>
      <c r="S670" s="30"/>
      <c r="V670" s="30"/>
    </row>
    <row r="671">
      <c r="B671" s="1"/>
      <c r="C671" s="1"/>
      <c r="M671" s="30"/>
      <c r="P671" s="30"/>
      <c r="S671" s="30"/>
      <c r="V671" s="30"/>
    </row>
    <row r="672">
      <c r="B672" s="1"/>
      <c r="C672" s="1"/>
      <c r="M672" s="30"/>
      <c r="P672" s="30"/>
      <c r="S672" s="30"/>
      <c r="V672" s="30"/>
    </row>
    <row r="673">
      <c r="B673" s="1"/>
      <c r="C673" s="1"/>
      <c r="M673" s="30"/>
      <c r="P673" s="30"/>
      <c r="S673" s="30"/>
      <c r="V673" s="30"/>
    </row>
    <row r="674">
      <c r="B674" s="1"/>
      <c r="C674" s="1"/>
      <c r="M674" s="30"/>
      <c r="P674" s="30"/>
      <c r="S674" s="30"/>
      <c r="V674" s="30"/>
    </row>
    <row r="675">
      <c r="B675" s="1"/>
      <c r="C675" s="1"/>
      <c r="M675" s="30"/>
      <c r="P675" s="30"/>
      <c r="S675" s="30"/>
      <c r="V675" s="30"/>
    </row>
    <row r="676">
      <c r="B676" s="1"/>
      <c r="C676" s="1"/>
      <c r="M676" s="30"/>
      <c r="P676" s="30"/>
      <c r="S676" s="30"/>
      <c r="V676" s="30"/>
    </row>
    <row r="677">
      <c r="B677" s="1"/>
      <c r="C677" s="1"/>
      <c r="M677" s="30"/>
      <c r="P677" s="30"/>
      <c r="S677" s="30"/>
      <c r="V677" s="30"/>
    </row>
    <row r="678">
      <c r="B678" s="1"/>
      <c r="C678" s="1"/>
      <c r="M678" s="30"/>
      <c r="P678" s="30"/>
      <c r="S678" s="30"/>
      <c r="V678" s="30"/>
    </row>
    <row r="679">
      <c r="B679" s="1"/>
      <c r="C679" s="1"/>
      <c r="M679" s="30"/>
      <c r="P679" s="30"/>
      <c r="S679" s="30"/>
      <c r="V679" s="30"/>
    </row>
    <row r="680">
      <c r="B680" s="1"/>
      <c r="C680" s="1"/>
      <c r="M680" s="30"/>
      <c r="P680" s="30"/>
      <c r="S680" s="30"/>
      <c r="V680" s="30"/>
    </row>
    <row r="681">
      <c r="B681" s="1"/>
      <c r="C681" s="1"/>
      <c r="M681" s="30"/>
      <c r="P681" s="30"/>
      <c r="S681" s="30"/>
      <c r="V681" s="30"/>
    </row>
    <row r="682">
      <c r="B682" s="1"/>
      <c r="C682" s="1"/>
      <c r="M682" s="30"/>
      <c r="P682" s="30"/>
      <c r="S682" s="30"/>
      <c r="V682" s="30"/>
    </row>
    <row r="683">
      <c r="B683" s="1"/>
      <c r="C683" s="1"/>
      <c r="M683" s="30"/>
      <c r="P683" s="30"/>
      <c r="S683" s="30"/>
      <c r="V683" s="30"/>
    </row>
    <row r="684">
      <c r="B684" s="1"/>
      <c r="C684" s="1"/>
      <c r="M684" s="30"/>
      <c r="P684" s="30"/>
      <c r="S684" s="30"/>
      <c r="V684" s="30"/>
    </row>
    <row r="685">
      <c r="B685" s="1"/>
      <c r="C685" s="1"/>
      <c r="M685" s="30"/>
      <c r="P685" s="30"/>
      <c r="S685" s="30"/>
      <c r="V685" s="30"/>
    </row>
    <row r="686">
      <c r="B686" s="1"/>
      <c r="C686" s="1"/>
      <c r="M686" s="30"/>
      <c r="P686" s="30"/>
      <c r="S686" s="30"/>
      <c r="V686" s="30"/>
    </row>
    <row r="687">
      <c r="B687" s="1"/>
      <c r="C687" s="1"/>
      <c r="M687" s="30"/>
      <c r="P687" s="30"/>
      <c r="S687" s="30"/>
      <c r="V687" s="30"/>
    </row>
    <row r="688">
      <c r="B688" s="1"/>
      <c r="C688" s="1"/>
      <c r="M688" s="30"/>
      <c r="P688" s="30"/>
      <c r="S688" s="30"/>
      <c r="V688" s="30"/>
    </row>
    <row r="689">
      <c r="B689" s="1"/>
      <c r="C689" s="1"/>
      <c r="M689" s="30"/>
      <c r="P689" s="30"/>
      <c r="S689" s="30"/>
      <c r="V689" s="30"/>
    </row>
    <row r="690">
      <c r="B690" s="1"/>
      <c r="C690" s="1"/>
      <c r="M690" s="30"/>
      <c r="P690" s="30"/>
      <c r="S690" s="30"/>
      <c r="V690" s="30"/>
    </row>
    <row r="691">
      <c r="B691" s="1"/>
      <c r="C691" s="1"/>
      <c r="M691" s="30"/>
      <c r="P691" s="30"/>
      <c r="S691" s="30"/>
      <c r="V691" s="30"/>
    </row>
    <row r="692">
      <c r="B692" s="1"/>
      <c r="C692" s="1"/>
      <c r="M692" s="30"/>
      <c r="P692" s="30"/>
      <c r="S692" s="30"/>
      <c r="V692" s="30"/>
    </row>
    <row r="693">
      <c r="B693" s="1"/>
      <c r="C693" s="1"/>
      <c r="M693" s="30"/>
      <c r="P693" s="30"/>
      <c r="S693" s="30"/>
      <c r="V693" s="30"/>
    </row>
    <row r="694">
      <c r="B694" s="1"/>
      <c r="C694" s="1"/>
      <c r="M694" s="30"/>
      <c r="P694" s="30"/>
      <c r="S694" s="30"/>
      <c r="V694" s="30"/>
    </row>
    <row r="695">
      <c r="B695" s="1"/>
      <c r="C695" s="1"/>
      <c r="M695" s="30"/>
      <c r="P695" s="30"/>
      <c r="S695" s="30"/>
      <c r="V695" s="30"/>
    </row>
    <row r="696">
      <c r="B696" s="1"/>
      <c r="C696" s="1"/>
      <c r="M696" s="30"/>
      <c r="P696" s="30"/>
      <c r="S696" s="30"/>
      <c r="V696" s="30"/>
    </row>
    <row r="697">
      <c r="B697" s="1"/>
      <c r="C697" s="1"/>
      <c r="M697" s="30"/>
      <c r="P697" s="30"/>
      <c r="S697" s="30"/>
      <c r="V697" s="30"/>
    </row>
    <row r="698">
      <c r="B698" s="1"/>
      <c r="C698" s="1"/>
      <c r="M698" s="30"/>
      <c r="P698" s="30"/>
      <c r="S698" s="30"/>
      <c r="V698" s="30"/>
    </row>
    <row r="699">
      <c r="B699" s="1"/>
      <c r="C699" s="1"/>
      <c r="M699" s="30"/>
      <c r="P699" s="30"/>
      <c r="S699" s="30"/>
      <c r="V699" s="30"/>
    </row>
    <row r="700">
      <c r="B700" s="1"/>
      <c r="C700" s="1"/>
      <c r="M700" s="30"/>
      <c r="P700" s="30"/>
      <c r="S700" s="30"/>
      <c r="V700" s="30"/>
    </row>
    <row r="701">
      <c r="B701" s="1"/>
      <c r="C701" s="1"/>
      <c r="M701" s="30"/>
      <c r="P701" s="30"/>
      <c r="S701" s="30"/>
      <c r="V701" s="30"/>
    </row>
    <row r="702">
      <c r="B702" s="1"/>
      <c r="C702" s="1"/>
      <c r="M702" s="30"/>
      <c r="P702" s="30"/>
      <c r="S702" s="30"/>
      <c r="V702" s="30"/>
    </row>
    <row r="703">
      <c r="B703" s="1"/>
      <c r="C703" s="1"/>
      <c r="M703" s="30"/>
      <c r="P703" s="30"/>
      <c r="S703" s="30"/>
      <c r="V703" s="30"/>
    </row>
    <row r="704">
      <c r="B704" s="1"/>
      <c r="C704" s="1"/>
      <c r="M704" s="30"/>
      <c r="P704" s="30"/>
      <c r="S704" s="30"/>
      <c r="V704" s="30"/>
    </row>
    <row r="705">
      <c r="B705" s="1"/>
      <c r="C705" s="1"/>
      <c r="M705" s="30"/>
      <c r="P705" s="30"/>
      <c r="S705" s="30"/>
      <c r="V705" s="30"/>
    </row>
    <row r="706">
      <c r="B706" s="1"/>
      <c r="C706" s="1"/>
      <c r="M706" s="30"/>
      <c r="P706" s="30"/>
      <c r="S706" s="30"/>
      <c r="V706" s="30"/>
    </row>
    <row r="707">
      <c r="B707" s="1"/>
      <c r="C707" s="1"/>
      <c r="M707" s="30"/>
      <c r="P707" s="30"/>
      <c r="S707" s="30"/>
      <c r="V707" s="30"/>
    </row>
    <row r="708">
      <c r="B708" s="1"/>
      <c r="C708" s="1"/>
      <c r="M708" s="30"/>
      <c r="P708" s="30"/>
      <c r="S708" s="30"/>
      <c r="V708" s="30"/>
    </row>
    <row r="709">
      <c r="B709" s="1"/>
      <c r="C709" s="1"/>
      <c r="M709" s="30"/>
      <c r="P709" s="30"/>
      <c r="S709" s="30"/>
      <c r="V709" s="30"/>
    </row>
    <row r="710">
      <c r="B710" s="1"/>
      <c r="C710" s="1"/>
      <c r="M710" s="30"/>
      <c r="P710" s="30"/>
      <c r="S710" s="30"/>
      <c r="V710" s="30"/>
    </row>
    <row r="711">
      <c r="B711" s="1"/>
      <c r="C711" s="1"/>
      <c r="M711" s="30"/>
      <c r="P711" s="30"/>
      <c r="S711" s="30"/>
      <c r="V711" s="30"/>
    </row>
    <row r="712">
      <c r="B712" s="1"/>
      <c r="C712" s="1"/>
      <c r="M712" s="30"/>
      <c r="P712" s="30"/>
      <c r="S712" s="30"/>
      <c r="V712" s="30"/>
    </row>
    <row r="713">
      <c r="B713" s="1"/>
      <c r="C713" s="1"/>
      <c r="M713" s="30"/>
      <c r="P713" s="30"/>
      <c r="S713" s="30"/>
      <c r="V713" s="30"/>
    </row>
    <row r="714">
      <c r="B714" s="1"/>
      <c r="C714" s="1"/>
      <c r="M714" s="30"/>
      <c r="P714" s="30"/>
      <c r="S714" s="30"/>
      <c r="V714" s="30"/>
    </row>
    <row r="715">
      <c r="B715" s="1"/>
      <c r="C715" s="1"/>
      <c r="M715" s="30"/>
      <c r="P715" s="30"/>
      <c r="S715" s="30"/>
      <c r="V715" s="30"/>
    </row>
    <row r="716">
      <c r="B716" s="1"/>
      <c r="C716" s="1"/>
      <c r="M716" s="30"/>
      <c r="P716" s="30"/>
      <c r="S716" s="30"/>
      <c r="V716" s="30"/>
    </row>
    <row r="717">
      <c r="B717" s="1"/>
      <c r="C717" s="1"/>
      <c r="M717" s="30"/>
      <c r="P717" s="30"/>
      <c r="S717" s="30"/>
      <c r="V717" s="30"/>
    </row>
    <row r="718">
      <c r="B718" s="1"/>
      <c r="C718" s="1"/>
      <c r="M718" s="30"/>
      <c r="P718" s="30"/>
      <c r="S718" s="30"/>
      <c r="V718" s="30"/>
    </row>
    <row r="719">
      <c r="B719" s="1"/>
      <c r="C719" s="1"/>
      <c r="M719" s="30"/>
      <c r="P719" s="30"/>
      <c r="S719" s="30"/>
      <c r="V719" s="30"/>
    </row>
    <row r="720">
      <c r="B720" s="1"/>
      <c r="C720" s="1"/>
      <c r="M720" s="30"/>
      <c r="P720" s="30"/>
      <c r="S720" s="30"/>
      <c r="V720" s="30"/>
    </row>
    <row r="721">
      <c r="B721" s="1"/>
      <c r="C721" s="1"/>
      <c r="M721" s="30"/>
      <c r="P721" s="30"/>
      <c r="S721" s="30"/>
      <c r="V721" s="30"/>
    </row>
    <row r="722">
      <c r="B722" s="1"/>
      <c r="C722" s="1"/>
      <c r="M722" s="30"/>
      <c r="P722" s="30"/>
      <c r="S722" s="30"/>
      <c r="V722" s="30"/>
    </row>
    <row r="723">
      <c r="B723" s="1"/>
      <c r="C723" s="1"/>
      <c r="M723" s="30"/>
      <c r="P723" s="30"/>
      <c r="S723" s="30"/>
      <c r="V723" s="30"/>
    </row>
    <row r="724">
      <c r="B724" s="1"/>
      <c r="C724" s="1"/>
      <c r="M724" s="30"/>
      <c r="P724" s="30"/>
      <c r="S724" s="30"/>
      <c r="V724" s="30"/>
    </row>
    <row r="725">
      <c r="B725" s="1"/>
      <c r="C725" s="1"/>
      <c r="M725" s="30"/>
      <c r="P725" s="30"/>
      <c r="S725" s="30"/>
      <c r="V725" s="30"/>
    </row>
    <row r="726">
      <c r="B726" s="1"/>
      <c r="C726" s="1"/>
      <c r="M726" s="30"/>
      <c r="P726" s="30"/>
      <c r="S726" s="30"/>
      <c r="V726" s="30"/>
    </row>
    <row r="727">
      <c r="B727" s="1"/>
      <c r="C727" s="1"/>
      <c r="M727" s="30"/>
      <c r="P727" s="30"/>
      <c r="S727" s="30"/>
      <c r="V727" s="30"/>
    </row>
    <row r="728">
      <c r="B728" s="1"/>
      <c r="C728" s="1"/>
      <c r="M728" s="30"/>
      <c r="P728" s="30"/>
      <c r="S728" s="30"/>
      <c r="V728" s="30"/>
    </row>
    <row r="729">
      <c r="B729" s="1"/>
      <c r="C729" s="1"/>
      <c r="M729" s="30"/>
      <c r="P729" s="30"/>
      <c r="S729" s="30"/>
      <c r="V729" s="30"/>
    </row>
    <row r="730">
      <c r="B730" s="1"/>
      <c r="C730" s="1"/>
      <c r="M730" s="30"/>
      <c r="P730" s="30"/>
      <c r="S730" s="30"/>
      <c r="V730" s="30"/>
    </row>
    <row r="731">
      <c r="B731" s="1"/>
      <c r="C731" s="1"/>
      <c r="M731" s="30"/>
      <c r="P731" s="30"/>
      <c r="S731" s="30"/>
      <c r="V731" s="30"/>
    </row>
    <row r="732">
      <c r="B732" s="1"/>
      <c r="C732" s="1"/>
      <c r="M732" s="30"/>
      <c r="P732" s="30"/>
      <c r="S732" s="30"/>
      <c r="V732" s="30"/>
    </row>
    <row r="733">
      <c r="B733" s="1"/>
      <c r="C733" s="1"/>
      <c r="M733" s="30"/>
      <c r="P733" s="30"/>
      <c r="S733" s="30"/>
      <c r="V733" s="30"/>
    </row>
    <row r="734">
      <c r="B734" s="1"/>
      <c r="C734" s="1"/>
      <c r="M734" s="30"/>
      <c r="P734" s="30"/>
      <c r="S734" s="30"/>
      <c r="V734" s="30"/>
    </row>
    <row r="735">
      <c r="B735" s="1"/>
      <c r="C735" s="1"/>
      <c r="M735" s="30"/>
      <c r="P735" s="30"/>
      <c r="S735" s="30"/>
      <c r="V735" s="30"/>
    </row>
    <row r="736">
      <c r="B736" s="1"/>
      <c r="C736" s="1"/>
      <c r="M736" s="30"/>
      <c r="P736" s="30"/>
      <c r="S736" s="30"/>
      <c r="V736" s="30"/>
    </row>
    <row r="737">
      <c r="B737" s="1"/>
      <c r="C737" s="1"/>
      <c r="M737" s="30"/>
      <c r="P737" s="30"/>
      <c r="S737" s="30"/>
      <c r="V737" s="30"/>
    </row>
    <row r="738">
      <c r="B738" s="1"/>
      <c r="C738" s="1"/>
      <c r="M738" s="30"/>
      <c r="P738" s="30"/>
      <c r="S738" s="30"/>
      <c r="V738" s="30"/>
    </row>
    <row r="739">
      <c r="B739" s="1"/>
      <c r="C739" s="1"/>
      <c r="M739" s="30"/>
      <c r="P739" s="30"/>
      <c r="S739" s="30"/>
      <c r="V739" s="30"/>
    </row>
    <row r="740">
      <c r="B740" s="1"/>
      <c r="C740" s="1"/>
      <c r="M740" s="30"/>
      <c r="P740" s="30"/>
      <c r="S740" s="30"/>
      <c r="V740" s="30"/>
    </row>
    <row r="741">
      <c r="B741" s="1"/>
      <c r="C741" s="1"/>
      <c r="M741" s="30"/>
      <c r="P741" s="30"/>
      <c r="S741" s="30"/>
      <c r="V741" s="30"/>
    </row>
    <row r="742">
      <c r="B742" s="1"/>
      <c r="C742" s="1"/>
      <c r="M742" s="30"/>
      <c r="P742" s="30"/>
      <c r="S742" s="30"/>
      <c r="V742" s="30"/>
    </row>
    <row r="743">
      <c r="B743" s="1"/>
      <c r="C743" s="1"/>
      <c r="M743" s="30"/>
      <c r="P743" s="30"/>
      <c r="S743" s="30"/>
      <c r="V743" s="30"/>
    </row>
    <row r="744">
      <c r="B744" s="1"/>
      <c r="C744" s="1"/>
      <c r="M744" s="30"/>
      <c r="P744" s="30"/>
      <c r="S744" s="30"/>
      <c r="V744" s="30"/>
    </row>
    <row r="745">
      <c r="B745" s="1"/>
      <c r="C745" s="1"/>
      <c r="M745" s="30"/>
      <c r="P745" s="30"/>
      <c r="S745" s="30"/>
      <c r="V745" s="30"/>
    </row>
    <row r="746">
      <c r="B746" s="1"/>
      <c r="C746" s="1"/>
      <c r="M746" s="30"/>
      <c r="P746" s="30"/>
      <c r="S746" s="30"/>
      <c r="V746" s="30"/>
    </row>
    <row r="747">
      <c r="B747" s="1"/>
      <c r="C747" s="1"/>
      <c r="M747" s="30"/>
      <c r="P747" s="30"/>
      <c r="S747" s="30"/>
      <c r="V747" s="30"/>
    </row>
    <row r="748">
      <c r="B748" s="1"/>
      <c r="C748" s="1"/>
      <c r="M748" s="30"/>
      <c r="P748" s="30"/>
      <c r="S748" s="30"/>
      <c r="V748" s="30"/>
    </row>
    <row r="749">
      <c r="B749" s="1"/>
      <c r="C749" s="1"/>
      <c r="M749" s="30"/>
      <c r="P749" s="30"/>
      <c r="S749" s="30"/>
      <c r="V749" s="30"/>
    </row>
    <row r="750">
      <c r="B750" s="1"/>
      <c r="C750" s="1"/>
      <c r="M750" s="30"/>
      <c r="P750" s="30"/>
      <c r="S750" s="30"/>
      <c r="V750" s="30"/>
    </row>
    <row r="751">
      <c r="B751" s="1"/>
      <c r="C751" s="1"/>
      <c r="M751" s="30"/>
      <c r="P751" s="30"/>
      <c r="S751" s="30"/>
      <c r="V751" s="30"/>
    </row>
    <row r="752">
      <c r="B752" s="1"/>
      <c r="C752" s="1"/>
      <c r="M752" s="30"/>
      <c r="P752" s="30"/>
      <c r="S752" s="30"/>
      <c r="V752" s="30"/>
    </row>
    <row r="753">
      <c r="B753" s="1"/>
      <c r="C753" s="1"/>
      <c r="M753" s="30"/>
      <c r="P753" s="30"/>
      <c r="S753" s="30"/>
      <c r="V753" s="30"/>
    </row>
    <row r="754">
      <c r="B754" s="1"/>
      <c r="C754" s="1"/>
      <c r="M754" s="30"/>
      <c r="P754" s="30"/>
      <c r="S754" s="30"/>
      <c r="V754" s="30"/>
    </row>
    <row r="755">
      <c r="B755" s="1"/>
      <c r="C755" s="1"/>
      <c r="M755" s="30"/>
      <c r="P755" s="30"/>
      <c r="S755" s="30"/>
      <c r="V755" s="30"/>
    </row>
    <row r="756">
      <c r="B756" s="1"/>
      <c r="C756" s="1"/>
      <c r="M756" s="30"/>
      <c r="P756" s="30"/>
      <c r="S756" s="30"/>
      <c r="V756" s="30"/>
    </row>
    <row r="757">
      <c r="B757" s="1"/>
      <c r="C757" s="1"/>
      <c r="M757" s="30"/>
      <c r="P757" s="30"/>
      <c r="S757" s="30"/>
      <c r="V757" s="30"/>
    </row>
    <row r="758">
      <c r="B758" s="1"/>
      <c r="C758" s="1"/>
      <c r="M758" s="30"/>
      <c r="P758" s="30"/>
      <c r="S758" s="30"/>
      <c r="V758" s="30"/>
    </row>
    <row r="759">
      <c r="B759" s="1"/>
      <c r="C759" s="1"/>
      <c r="M759" s="30"/>
      <c r="P759" s="30"/>
      <c r="S759" s="30"/>
      <c r="V759" s="30"/>
    </row>
    <row r="760">
      <c r="B760" s="1"/>
      <c r="C760" s="1"/>
      <c r="M760" s="30"/>
      <c r="P760" s="30"/>
      <c r="S760" s="30"/>
      <c r="V760" s="30"/>
    </row>
    <row r="761">
      <c r="B761" s="1"/>
      <c r="C761" s="1"/>
      <c r="M761" s="30"/>
      <c r="P761" s="30"/>
      <c r="S761" s="30"/>
      <c r="V761" s="30"/>
    </row>
    <row r="762">
      <c r="B762" s="1"/>
      <c r="C762" s="1"/>
      <c r="M762" s="30"/>
      <c r="P762" s="30"/>
      <c r="S762" s="30"/>
      <c r="V762" s="30"/>
    </row>
    <row r="763">
      <c r="B763" s="1"/>
      <c r="C763" s="1"/>
      <c r="M763" s="30"/>
      <c r="P763" s="30"/>
      <c r="S763" s="30"/>
      <c r="V763" s="30"/>
    </row>
    <row r="764">
      <c r="B764" s="1"/>
      <c r="C764" s="1"/>
      <c r="M764" s="30"/>
      <c r="P764" s="30"/>
      <c r="S764" s="30"/>
      <c r="V764" s="30"/>
    </row>
    <row r="765">
      <c r="B765" s="1"/>
      <c r="C765" s="1"/>
      <c r="M765" s="30"/>
      <c r="P765" s="30"/>
      <c r="S765" s="30"/>
      <c r="V765" s="30"/>
    </row>
    <row r="766">
      <c r="B766" s="1"/>
      <c r="C766" s="1"/>
      <c r="M766" s="30"/>
      <c r="P766" s="30"/>
      <c r="S766" s="30"/>
      <c r="V766" s="30"/>
    </row>
    <row r="767">
      <c r="B767" s="1"/>
      <c r="C767" s="1"/>
      <c r="M767" s="30"/>
      <c r="P767" s="30"/>
      <c r="S767" s="30"/>
      <c r="V767" s="30"/>
    </row>
    <row r="768">
      <c r="B768" s="1"/>
      <c r="C768" s="1"/>
      <c r="M768" s="30"/>
      <c r="P768" s="30"/>
      <c r="S768" s="30"/>
      <c r="V768" s="30"/>
    </row>
    <row r="769">
      <c r="B769" s="1"/>
      <c r="C769" s="1"/>
      <c r="M769" s="30"/>
      <c r="P769" s="30"/>
      <c r="S769" s="30"/>
      <c r="V769" s="30"/>
    </row>
    <row r="770">
      <c r="B770" s="1"/>
      <c r="C770" s="1"/>
      <c r="M770" s="30"/>
      <c r="P770" s="30"/>
      <c r="S770" s="30"/>
      <c r="V770" s="30"/>
    </row>
    <row r="771">
      <c r="B771" s="1"/>
      <c r="C771" s="1"/>
      <c r="M771" s="30"/>
      <c r="P771" s="30"/>
      <c r="S771" s="30"/>
      <c r="V771" s="30"/>
    </row>
    <row r="772">
      <c r="B772" s="1"/>
      <c r="C772" s="1"/>
      <c r="M772" s="30"/>
      <c r="P772" s="30"/>
      <c r="S772" s="30"/>
      <c r="V772" s="30"/>
    </row>
    <row r="773">
      <c r="B773" s="1"/>
      <c r="C773" s="1"/>
      <c r="M773" s="30"/>
      <c r="P773" s="30"/>
      <c r="S773" s="30"/>
      <c r="V773" s="30"/>
    </row>
    <row r="774">
      <c r="B774" s="1"/>
      <c r="C774" s="1"/>
      <c r="M774" s="30"/>
      <c r="P774" s="30"/>
      <c r="S774" s="30"/>
      <c r="V774" s="30"/>
    </row>
    <row r="775">
      <c r="B775" s="1"/>
      <c r="C775" s="1"/>
      <c r="M775" s="30"/>
      <c r="P775" s="30"/>
      <c r="S775" s="30"/>
      <c r="V775" s="30"/>
    </row>
    <row r="776">
      <c r="B776" s="1"/>
      <c r="C776" s="1"/>
      <c r="M776" s="30"/>
      <c r="P776" s="30"/>
      <c r="S776" s="30"/>
      <c r="V776" s="30"/>
    </row>
    <row r="777">
      <c r="B777" s="1"/>
      <c r="C777" s="1"/>
      <c r="M777" s="30"/>
      <c r="P777" s="30"/>
      <c r="S777" s="30"/>
      <c r="V777" s="30"/>
    </row>
    <row r="778">
      <c r="B778" s="1"/>
      <c r="C778" s="1"/>
      <c r="M778" s="30"/>
      <c r="P778" s="30"/>
      <c r="S778" s="30"/>
      <c r="V778" s="30"/>
    </row>
    <row r="779">
      <c r="B779" s="1"/>
      <c r="C779" s="1"/>
      <c r="M779" s="30"/>
      <c r="P779" s="30"/>
      <c r="S779" s="30"/>
      <c r="V779" s="30"/>
    </row>
    <row r="780">
      <c r="B780" s="1"/>
      <c r="C780" s="1"/>
      <c r="M780" s="30"/>
      <c r="P780" s="30"/>
      <c r="S780" s="30"/>
      <c r="V780" s="30"/>
    </row>
    <row r="781">
      <c r="B781" s="1"/>
      <c r="C781" s="1"/>
      <c r="M781" s="30"/>
      <c r="P781" s="30"/>
      <c r="S781" s="30"/>
      <c r="V781" s="30"/>
    </row>
    <row r="782">
      <c r="B782" s="1"/>
      <c r="C782" s="1"/>
      <c r="M782" s="30"/>
      <c r="P782" s="30"/>
      <c r="S782" s="30"/>
      <c r="V782" s="30"/>
    </row>
    <row r="783">
      <c r="B783" s="1"/>
      <c r="C783" s="1"/>
      <c r="M783" s="30"/>
      <c r="P783" s="30"/>
      <c r="S783" s="30"/>
      <c r="V783" s="30"/>
    </row>
    <row r="784">
      <c r="B784" s="1"/>
      <c r="C784" s="1"/>
      <c r="M784" s="30"/>
      <c r="P784" s="30"/>
      <c r="S784" s="30"/>
      <c r="V784" s="30"/>
    </row>
    <row r="785">
      <c r="B785" s="1"/>
      <c r="C785" s="1"/>
      <c r="M785" s="30"/>
      <c r="P785" s="30"/>
      <c r="S785" s="30"/>
      <c r="V785" s="30"/>
    </row>
    <row r="786">
      <c r="B786" s="1"/>
      <c r="C786" s="1"/>
      <c r="M786" s="30"/>
      <c r="P786" s="30"/>
      <c r="S786" s="30"/>
      <c r="V786" s="30"/>
    </row>
    <row r="787">
      <c r="B787" s="1"/>
      <c r="C787" s="1"/>
      <c r="M787" s="30"/>
      <c r="P787" s="30"/>
      <c r="S787" s="30"/>
      <c r="V787" s="30"/>
    </row>
    <row r="788">
      <c r="B788" s="1"/>
      <c r="C788" s="1"/>
      <c r="M788" s="30"/>
      <c r="P788" s="30"/>
      <c r="S788" s="30"/>
      <c r="V788" s="30"/>
    </row>
    <row r="789">
      <c r="B789" s="1"/>
      <c r="C789" s="1"/>
      <c r="M789" s="30"/>
      <c r="P789" s="30"/>
      <c r="S789" s="30"/>
      <c r="V789" s="30"/>
    </row>
    <row r="790">
      <c r="B790" s="1"/>
      <c r="C790" s="1"/>
      <c r="M790" s="30"/>
      <c r="P790" s="30"/>
      <c r="S790" s="30"/>
      <c r="V790" s="30"/>
    </row>
    <row r="791">
      <c r="B791" s="1"/>
      <c r="C791" s="1"/>
      <c r="M791" s="30"/>
      <c r="P791" s="30"/>
      <c r="S791" s="30"/>
      <c r="V791" s="30"/>
    </row>
    <row r="792">
      <c r="B792" s="1"/>
      <c r="C792" s="1"/>
      <c r="M792" s="30"/>
      <c r="P792" s="30"/>
      <c r="S792" s="30"/>
      <c r="V792" s="30"/>
    </row>
    <row r="793">
      <c r="B793" s="1"/>
      <c r="C793" s="1"/>
      <c r="M793" s="30"/>
      <c r="P793" s="30"/>
      <c r="S793" s="30"/>
      <c r="V793" s="30"/>
    </row>
    <row r="794">
      <c r="B794" s="1"/>
      <c r="C794" s="1"/>
      <c r="M794" s="30"/>
      <c r="P794" s="30"/>
      <c r="S794" s="30"/>
      <c r="V794" s="30"/>
    </row>
    <row r="795">
      <c r="B795" s="1"/>
      <c r="C795" s="1"/>
      <c r="M795" s="30"/>
      <c r="P795" s="30"/>
      <c r="S795" s="30"/>
      <c r="V795" s="30"/>
    </row>
    <row r="796">
      <c r="B796" s="1"/>
      <c r="C796" s="1"/>
      <c r="M796" s="30"/>
      <c r="P796" s="30"/>
      <c r="S796" s="30"/>
      <c r="V796" s="30"/>
    </row>
    <row r="797">
      <c r="B797" s="1"/>
      <c r="C797" s="1"/>
      <c r="M797" s="30"/>
      <c r="P797" s="30"/>
      <c r="S797" s="30"/>
      <c r="V797" s="30"/>
    </row>
    <row r="798">
      <c r="B798" s="1"/>
      <c r="C798" s="1"/>
      <c r="M798" s="30"/>
      <c r="P798" s="30"/>
      <c r="S798" s="30"/>
      <c r="V798" s="30"/>
    </row>
    <row r="799">
      <c r="B799" s="1"/>
      <c r="C799" s="1"/>
      <c r="M799" s="30"/>
      <c r="P799" s="30"/>
      <c r="S799" s="30"/>
      <c r="V799" s="30"/>
    </row>
    <row r="800">
      <c r="B800" s="1"/>
      <c r="C800" s="1"/>
      <c r="M800" s="30"/>
      <c r="P800" s="30"/>
      <c r="S800" s="30"/>
      <c r="V800" s="30"/>
    </row>
    <row r="801">
      <c r="B801" s="1"/>
      <c r="C801" s="1"/>
      <c r="M801" s="30"/>
      <c r="P801" s="30"/>
      <c r="S801" s="30"/>
      <c r="V801" s="30"/>
    </row>
    <row r="802">
      <c r="B802" s="1"/>
      <c r="C802" s="1"/>
      <c r="M802" s="30"/>
      <c r="P802" s="30"/>
      <c r="S802" s="30"/>
      <c r="V802" s="30"/>
    </row>
    <row r="803">
      <c r="B803" s="1"/>
      <c r="C803" s="1"/>
      <c r="M803" s="30"/>
      <c r="P803" s="30"/>
      <c r="S803" s="30"/>
      <c r="V803" s="30"/>
    </row>
    <row r="804">
      <c r="B804" s="1"/>
      <c r="C804" s="1"/>
      <c r="M804" s="30"/>
      <c r="P804" s="30"/>
      <c r="S804" s="30"/>
      <c r="V804" s="30"/>
    </row>
    <row r="805">
      <c r="B805" s="1"/>
      <c r="C805" s="1"/>
      <c r="M805" s="30"/>
      <c r="P805" s="30"/>
      <c r="S805" s="30"/>
      <c r="V805" s="30"/>
    </row>
    <row r="806">
      <c r="B806" s="1"/>
      <c r="C806" s="1"/>
      <c r="M806" s="30"/>
      <c r="P806" s="30"/>
      <c r="S806" s="30"/>
      <c r="V806" s="30"/>
    </row>
    <row r="807">
      <c r="B807" s="1"/>
      <c r="C807" s="1"/>
      <c r="M807" s="30"/>
      <c r="P807" s="30"/>
      <c r="S807" s="30"/>
      <c r="V807" s="30"/>
    </row>
    <row r="808">
      <c r="B808" s="1"/>
      <c r="C808" s="1"/>
      <c r="M808" s="30"/>
      <c r="P808" s="30"/>
      <c r="S808" s="30"/>
      <c r="V808" s="30"/>
    </row>
    <row r="809">
      <c r="B809" s="1"/>
      <c r="C809" s="1"/>
      <c r="M809" s="30"/>
      <c r="P809" s="30"/>
      <c r="S809" s="30"/>
      <c r="V809" s="30"/>
    </row>
    <row r="810">
      <c r="B810" s="1"/>
      <c r="C810" s="1"/>
      <c r="M810" s="30"/>
      <c r="P810" s="30"/>
      <c r="S810" s="30"/>
      <c r="V810" s="30"/>
    </row>
    <row r="811">
      <c r="B811" s="1"/>
      <c r="C811" s="1"/>
      <c r="M811" s="30"/>
      <c r="P811" s="30"/>
      <c r="S811" s="30"/>
      <c r="V811" s="30"/>
    </row>
    <row r="812">
      <c r="B812" s="1"/>
      <c r="C812" s="1"/>
      <c r="M812" s="30"/>
      <c r="P812" s="30"/>
      <c r="S812" s="30"/>
      <c r="V812" s="30"/>
    </row>
    <row r="813">
      <c r="B813" s="1"/>
      <c r="C813" s="1"/>
      <c r="M813" s="30"/>
      <c r="P813" s="30"/>
      <c r="S813" s="30"/>
      <c r="V813" s="30"/>
    </row>
    <row r="814">
      <c r="B814" s="1"/>
      <c r="C814" s="1"/>
      <c r="M814" s="30"/>
      <c r="P814" s="30"/>
      <c r="S814" s="30"/>
      <c r="V814" s="30"/>
    </row>
    <row r="815">
      <c r="B815" s="1"/>
      <c r="C815" s="1"/>
      <c r="M815" s="30"/>
      <c r="P815" s="30"/>
      <c r="S815" s="30"/>
      <c r="V815" s="30"/>
    </row>
    <row r="816">
      <c r="B816" s="1"/>
      <c r="C816" s="1"/>
      <c r="M816" s="30"/>
      <c r="P816" s="30"/>
      <c r="S816" s="30"/>
      <c r="V816" s="30"/>
    </row>
    <row r="817">
      <c r="B817" s="1"/>
      <c r="C817" s="1"/>
      <c r="M817" s="30"/>
      <c r="P817" s="30"/>
      <c r="S817" s="30"/>
      <c r="V817" s="30"/>
    </row>
    <row r="818">
      <c r="B818" s="1"/>
      <c r="C818" s="1"/>
      <c r="M818" s="30"/>
      <c r="P818" s="30"/>
      <c r="S818" s="30"/>
      <c r="V818" s="30"/>
    </row>
    <row r="819">
      <c r="B819" s="1"/>
      <c r="C819" s="1"/>
      <c r="M819" s="30"/>
      <c r="P819" s="30"/>
      <c r="S819" s="30"/>
      <c r="V819" s="30"/>
    </row>
    <row r="820">
      <c r="B820" s="1"/>
      <c r="C820" s="1"/>
      <c r="M820" s="30"/>
      <c r="P820" s="30"/>
      <c r="S820" s="30"/>
      <c r="V820" s="30"/>
    </row>
    <row r="821">
      <c r="B821" s="1"/>
      <c r="C821" s="1"/>
      <c r="M821" s="30"/>
      <c r="P821" s="30"/>
      <c r="S821" s="30"/>
      <c r="V821" s="30"/>
    </row>
    <row r="822">
      <c r="B822" s="1"/>
      <c r="C822" s="1"/>
      <c r="M822" s="30"/>
      <c r="P822" s="30"/>
      <c r="S822" s="30"/>
      <c r="V822" s="30"/>
    </row>
    <row r="823">
      <c r="B823" s="1"/>
      <c r="C823" s="1"/>
      <c r="M823" s="30"/>
      <c r="P823" s="30"/>
      <c r="S823" s="30"/>
      <c r="V823" s="30"/>
    </row>
    <row r="824">
      <c r="B824" s="1"/>
      <c r="C824" s="1"/>
      <c r="M824" s="30"/>
      <c r="P824" s="30"/>
      <c r="S824" s="30"/>
      <c r="V824" s="30"/>
    </row>
    <row r="825">
      <c r="B825" s="1"/>
      <c r="C825" s="1"/>
      <c r="M825" s="30"/>
      <c r="P825" s="30"/>
      <c r="S825" s="30"/>
      <c r="V825" s="30"/>
    </row>
    <row r="826">
      <c r="B826" s="1"/>
      <c r="C826" s="1"/>
      <c r="M826" s="30"/>
      <c r="P826" s="30"/>
      <c r="S826" s="30"/>
      <c r="V826" s="30"/>
    </row>
    <row r="827">
      <c r="B827" s="1"/>
      <c r="C827" s="1"/>
      <c r="M827" s="30"/>
      <c r="P827" s="30"/>
      <c r="S827" s="30"/>
      <c r="V827" s="30"/>
    </row>
    <row r="828">
      <c r="B828" s="1"/>
      <c r="C828" s="1"/>
      <c r="M828" s="30"/>
      <c r="P828" s="30"/>
      <c r="S828" s="30"/>
      <c r="V828" s="30"/>
    </row>
    <row r="829">
      <c r="B829" s="1"/>
      <c r="C829" s="1"/>
      <c r="M829" s="30"/>
      <c r="P829" s="30"/>
      <c r="S829" s="30"/>
      <c r="V829" s="30"/>
    </row>
    <row r="830">
      <c r="B830" s="1"/>
      <c r="C830" s="1"/>
      <c r="M830" s="30"/>
      <c r="P830" s="30"/>
      <c r="S830" s="30"/>
      <c r="V830" s="30"/>
    </row>
    <row r="831">
      <c r="B831" s="1"/>
      <c r="C831" s="1"/>
      <c r="M831" s="30"/>
      <c r="P831" s="30"/>
      <c r="S831" s="30"/>
      <c r="V831" s="30"/>
    </row>
    <row r="832">
      <c r="B832" s="1"/>
      <c r="C832" s="1"/>
      <c r="M832" s="30"/>
      <c r="P832" s="30"/>
      <c r="S832" s="30"/>
      <c r="V832" s="30"/>
    </row>
    <row r="833">
      <c r="B833" s="1"/>
      <c r="C833" s="1"/>
      <c r="M833" s="30"/>
      <c r="P833" s="30"/>
      <c r="S833" s="30"/>
      <c r="V833" s="30"/>
    </row>
    <row r="834">
      <c r="B834" s="1"/>
      <c r="C834" s="1"/>
      <c r="M834" s="30"/>
      <c r="P834" s="30"/>
      <c r="S834" s="30"/>
      <c r="V834" s="30"/>
    </row>
    <row r="835">
      <c r="B835" s="1"/>
      <c r="C835" s="1"/>
      <c r="M835" s="30"/>
      <c r="P835" s="30"/>
      <c r="S835" s="30"/>
      <c r="V835" s="30"/>
    </row>
    <row r="836">
      <c r="B836" s="1"/>
      <c r="C836" s="1"/>
      <c r="M836" s="30"/>
      <c r="P836" s="30"/>
      <c r="S836" s="30"/>
      <c r="V836" s="30"/>
    </row>
    <row r="837">
      <c r="B837" s="1"/>
      <c r="C837" s="1"/>
      <c r="M837" s="30"/>
      <c r="P837" s="30"/>
      <c r="S837" s="30"/>
      <c r="V837" s="30"/>
    </row>
    <row r="838">
      <c r="B838" s="1"/>
      <c r="C838" s="1"/>
      <c r="M838" s="30"/>
      <c r="P838" s="30"/>
      <c r="S838" s="30"/>
      <c r="V838" s="30"/>
    </row>
    <row r="839">
      <c r="B839" s="1"/>
      <c r="C839" s="1"/>
      <c r="M839" s="30"/>
      <c r="P839" s="30"/>
      <c r="S839" s="30"/>
      <c r="V839" s="30"/>
    </row>
    <row r="840">
      <c r="B840" s="1"/>
      <c r="C840" s="1"/>
      <c r="M840" s="30"/>
      <c r="P840" s="30"/>
      <c r="S840" s="30"/>
      <c r="V840" s="30"/>
    </row>
    <row r="841">
      <c r="B841" s="1"/>
      <c r="C841" s="1"/>
      <c r="M841" s="30"/>
      <c r="P841" s="30"/>
      <c r="S841" s="30"/>
      <c r="V841" s="30"/>
    </row>
    <row r="842">
      <c r="B842" s="1"/>
      <c r="C842" s="1"/>
      <c r="M842" s="30"/>
      <c r="P842" s="30"/>
      <c r="S842" s="30"/>
      <c r="V842" s="30"/>
    </row>
    <row r="843">
      <c r="B843" s="1"/>
      <c r="C843" s="1"/>
      <c r="M843" s="30"/>
      <c r="P843" s="30"/>
      <c r="S843" s="30"/>
      <c r="V843" s="30"/>
    </row>
    <row r="844">
      <c r="B844" s="1"/>
      <c r="C844" s="1"/>
      <c r="M844" s="30"/>
      <c r="P844" s="30"/>
      <c r="S844" s="30"/>
      <c r="V844" s="30"/>
    </row>
    <row r="845">
      <c r="B845" s="1"/>
      <c r="C845" s="1"/>
      <c r="M845" s="30"/>
      <c r="P845" s="30"/>
      <c r="S845" s="30"/>
      <c r="V845" s="30"/>
    </row>
    <row r="846">
      <c r="B846" s="1"/>
      <c r="C846" s="1"/>
      <c r="M846" s="30"/>
      <c r="P846" s="30"/>
      <c r="S846" s="30"/>
      <c r="V846" s="30"/>
    </row>
    <row r="847">
      <c r="B847" s="1"/>
      <c r="C847" s="1"/>
      <c r="M847" s="30"/>
      <c r="P847" s="30"/>
      <c r="S847" s="30"/>
      <c r="V847" s="30"/>
    </row>
    <row r="848">
      <c r="B848" s="1"/>
      <c r="C848" s="1"/>
      <c r="M848" s="30"/>
      <c r="P848" s="30"/>
      <c r="S848" s="30"/>
      <c r="V848" s="30"/>
    </row>
    <row r="849">
      <c r="B849" s="1"/>
      <c r="C849" s="1"/>
      <c r="M849" s="30"/>
      <c r="P849" s="30"/>
      <c r="S849" s="30"/>
      <c r="V849" s="30"/>
    </row>
    <row r="850">
      <c r="B850" s="1"/>
      <c r="C850" s="1"/>
      <c r="M850" s="30"/>
      <c r="P850" s="30"/>
      <c r="S850" s="30"/>
      <c r="V850" s="30"/>
    </row>
    <row r="851">
      <c r="B851" s="1"/>
      <c r="C851" s="1"/>
      <c r="M851" s="30"/>
      <c r="P851" s="30"/>
      <c r="S851" s="30"/>
      <c r="V851" s="30"/>
    </row>
    <row r="852">
      <c r="B852" s="1"/>
      <c r="C852" s="1"/>
      <c r="M852" s="30"/>
      <c r="P852" s="30"/>
      <c r="S852" s="30"/>
      <c r="V852" s="30"/>
    </row>
    <row r="853">
      <c r="B853" s="1"/>
      <c r="C853" s="1"/>
      <c r="M853" s="30"/>
      <c r="P853" s="30"/>
      <c r="S853" s="30"/>
      <c r="V853" s="30"/>
    </row>
    <row r="854">
      <c r="B854" s="1"/>
      <c r="C854" s="1"/>
      <c r="M854" s="30"/>
      <c r="P854" s="30"/>
      <c r="S854" s="30"/>
      <c r="V854" s="30"/>
    </row>
    <row r="855">
      <c r="B855" s="1"/>
      <c r="C855" s="1"/>
      <c r="M855" s="30"/>
      <c r="P855" s="30"/>
      <c r="S855" s="30"/>
      <c r="V855" s="30"/>
    </row>
    <row r="856">
      <c r="B856" s="1"/>
      <c r="C856" s="1"/>
      <c r="M856" s="30"/>
      <c r="P856" s="30"/>
      <c r="S856" s="30"/>
      <c r="V856" s="30"/>
    </row>
    <row r="857">
      <c r="B857" s="1"/>
      <c r="C857" s="1"/>
      <c r="M857" s="30"/>
      <c r="P857" s="30"/>
      <c r="S857" s="30"/>
      <c r="V857" s="30"/>
    </row>
    <row r="858">
      <c r="B858" s="1"/>
      <c r="C858" s="1"/>
      <c r="M858" s="30"/>
      <c r="P858" s="30"/>
      <c r="S858" s="30"/>
      <c r="V858" s="30"/>
    </row>
    <row r="859">
      <c r="B859" s="1"/>
      <c r="C859" s="1"/>
      <c r="M859" s="30"/>
      <c r="P859" s="30"/>
      <c r="S859" s="30"/>
      <c r="V859" s="30"/>
    </row>
    <row r="860">
      <c r="B860" s="1"/>
      <c r="C860" s="1"/>
      <c r="M860" s="30"/>
      <c r="P860" s="30"/>
      <c r="S860" s="30"/>
      <c r="V860" s="30"/>
    </row>
    <row r="861">
      <c r="B861" s="1"/>
      <c r="C861" s="1"/>
      <c r="M861" s="30"/>
      <c r="P861" s="30"/>
      <c r="S861" s="30"/>
      <c r="V861" s="30"/>
    </row>
    <row r="862">
      <c r="B862" s="1"/>
      <c r="C862" s="1"/>
      <c r="M862" s="30"/>
      <c r="P862" s="30"/>
      <c r="S862" s="30"/>
      <c r="V862" s="30"/>
    </row>
    <row r="863">
      <c r="B863" s="1"/>
      <c r="C863" s="1"/>
      <c r="M863" s="30"/>
      <c r="P863" s="30"/>
      <c r="S863" s="30"/>
      <c r="V863" s="30"/>
    </row>
    <row r="864">
      <c r="B864" s="1"/>
      <c r="C864" s="1"/>
      <c r="M864" s="30"/>
      <c r="P864" s="30"/>
      <c r="S864" s="30"/>
      <c r="V864" s="30"/>
    </row>
    <row r="865">
      <c r="B865" s="1"/>
      <c r="C865" s="1"/>
      <c r="M865" s="30"/>
      <c r="P865" s="30"/>
      <c r="S865" s="30"/>
      <c r="V865" s="30"/>
    </row>
    <row r="866">
      <c r="B866" s="1"/>
      <c r="C866" s="1"/>
      <c r="M866" s="30"/>
      <c r="P866" s="30"/>
      <c r="S866" s="30"/>
      <c r="V866" s="30"/>
    </row>
    <row r="867">
      <c r="B867" s="1"/>
      <c r="C867" s="1"/>
      <c r="M867" s="30"/>
      <c r="P867" s="30"/>
      <c r="S867" s="30"/>
      <c r="V867" s="30"/>
    </row>
    <row r="868">
      <c r="B868" s="1"/>
      <c r="C868" s="1"/>
      <c r="M868" s="30"/>
      <c r="P868" s="30"/>
      <c r="S868" s="30"/>
      <c r="V868" s="30"/>
    </row>
    <row r="869">
      <c r="B869" s="1"/>
      <c r="C869" s="1"/>
      <c r="M869" s="30"/>
      <c r="P869" s="30"/>
      <c r="S869" s="30"/>
      <c r="V869" s="30"/>
    </row>
    <row r="870">
      <c r="B870" s="1"/>
      <c r="C870" s="1"/>
      <c r="M870" s="30"/>
      <c r="P870" s="30"/>
      <c r="S870" s="30"/>
      <c r="V870" s="30"/>
    </row>
    <row r="871">
      <c r="B871" s="1"/>
      <c r="C871" s="1"/>
      <c r="M871" s="30"/>
      <c r="P871" s="30"/>
      <c r="S871" s="30"/>
      <c r="V871" s="30"/>
    </row>
    <row r="872">
      <c r="B872" s="1"/>
      <c r="C872" s="1"/>
      <c r="M872" s="30"/>
      <c r="P872" s="30"/>
      <c r="S872" s="30"/>
      <c r="V872" s="30"/>
    </row>
    <row r="873">
      <c r="B873" s="1"/>
      <c r="C873" s="1"/>
      <c r="M873" s="30"/>
      <c r="P873" s="30"/>
      <c r="S873" s="30"/>
      <c r="V873" s="30"/>
    </row>
    <row r="874">
      <c r="B874" s="1"/>
      <c r="C874" s="1"/>
      <c r="M874" s="30"/>
      <c r="P874" s="30"/>
      <c r="S874" s="30"/>
      <c r="V874" s="30"/>
    </row>
    <row r="875">
      <c r="B875" s="1"/>
      <c r="C875" s="1"/>
      <c r="M875" s="30"/>
      <c r="P875" s="30"/>
      <c r="S875" s="30"/>
      <c r="V875" s="30"/>
    </row>
    <row r="876">
      <c r="B876" s="1"/>
      <c r="C876" s="1"/>
      <c r="M876" s="30"/>
      <c r="P876" s="30"/>
      <c r="S876" s="30"/>
      <c r="V876" s="30"/>
    </row>
    <row r="877">
      <c r="B877" s="1"/>
      <c r="C877" s="1"/>
      <c r="M877" s="30"/>
      <c r="P877" s="30"/>
      <c r="S877" s="30"/>
      <c r="V877" s="30"/>
    </row>
    <row r="878">
      <c r="B878" s="1"/>
      <c r="C878" s="1"/>
      <c r="M878" s="30"/>
      <c r="P878" s="30"/>
      <c r="S878" s="30"/>
      <c r="V878" s="30"/>
    </row>
    <row r="879">
      <c r="B879" s="1"/>
      <c r="C879" s="1"/>
      <c r="M879" s="30"/>
      <c r="P879" s="30"/>
      <c r="S879" s="30"/>
      <c r="V879" s="30"/>
    </row>
    <row r="880">
      <c r="B880" s="1"/>
      <c r="C880" s="1"/>
      <c r="M880" s="30"/>
      <c r="P880" s="30"/>
      <c r="S880" s="30"/>
      <c r="V880" s="30"/>
    </row>
    <row r="881">
      <c r="B881" s="1"/>
      <c r="C881" s="1"/>
      <c r="M881" s="30"/>
      <c r="P881" s="30"/>
      <c r="S881" s="30"/>
      <c r="V881" s="30"/>
    </row>
    <row r="882">
      <c r="B882" s="1"/>
      <c r="C882" s="1"/>
      <c r="M882" s="30"/>
      <c r="P882" s="30"/>
      <c r="S882" s="30"/>
      <c r="V882" s="30"/>
    </row>
    <row r="883">
      <c r="B883" s="1"/>
      <c r="C883" s="1"/>
      <c r="M883" s="30"/>
      <c r="P883" s="30"/>
      <c r="S883" s="30"/>
      <c r="V883" s="30"/>
    </row>
    <row r="884">
      <c r="B884" s="1"/>
      <c r="C884" s="1"/>
      <c r="M884" s="30"/>
      <c r="P884" s="30"/>
      <c r="S884" s="30"/>
      <c r="V884" s="30"/>
    </row>
    <row r="885">
      <c r="B885" s="1"/>
      <c r="C885" s="1"/>
      <c r="M885" s="30"/>
      <c r="P885" s="30"/>
      <c r="S885" s="30"/>
      <c r="V885" s="30"/>
    </row>
    <row r="886">
      <c r="B886" s="1"/>
      <c r="C886" s="1"/>
      <c r="M886" s="30"/>
      <c r="P886" s="30"/>
      <c r="S886" s="30"/>
      <c r="V886" s="30"/>
    </row>
    <row r="887">
      <c r="B887" s="1"/>
      <c r="C887" s="1"/>
      <c r="M887" s="30"/>
      <c r="P887" s="30"/>
      <c r="S887" s="30"/>
      <c r="V887" s="30"/>
    </row>
    <row r="888">
      <c r="B888" s="1"/>
      <c r="C888" s="1"/>
      <c r="M888" s="30"/>
      <c r="P888" s="30"/>
      <c r="S888" s="30"/>
      <c r="V888" s="30"/>
    </row>
    <row r="889">
      <c r="B889" s="1"/>
      <c r="C889" s="1"/>
      <c r="M889" s="30"/>
      <c r="P889" s="30"/>
      <c r="S889" s="30"/>
      <c r="V889" s="30"/>
    </row>
    <row r="890">
      <c r="B890" s="1"/>
      <c r="C890" s="1"/>
      <c r="M890" s="30"/>
      <c r="P890" s="30"/>
      <c r="S890" s="30"/>
      <c r="V890" s="30"/>
    </row>
    <row r="891">
      <c r="B891" s="1"/>
      <c r="C891" s="1"/>
      <c r="M891" s="30"/>
      <c r="P891" s="30"/>
      <c r="S891" s="30"/>
      <c r="V891" s="30"/>
    </row>
    <row r="892">
      <c r="B892" s="1"/>
      <c r="C892" s="1"/>
      <c r="M892" s="30"/>
      <c r="P892" s="30"/>
      <c r="S892" s="30"/>
      <c r="V892" s="30"/>
    </row>
    <row r="893">
      <c r="B893" s="1"/>
      <c r="C893" s="1"/>
      <c r="M893" s="30"/>
      <c r="P893" s="30"/>
      <c r="S893" s="30"/>
      <c r="V893" s="30"/>
    </row>
    <row r="894">
      <c r="B894" s="1"/>
      <c r="C894" s="1"/>
      <c r="M894" s="30"/>
      <c r="P894" s="30"/>
      <c r="S894" s="30"/>
      <c r="V894" s="30"/>
    </row>
    <row r="895">
      <c r="B895" s="1"/>
      <c r="C895" s="1"/>
      <c r="M895" s="30"/>
      <c r="P895" s="30"/>
      <c r="S895" s="30"/>
      <c r="V895" s="30"/>
    </row>
    <row r="896">
      <c r="B896" s="1"/>
      <c r="C896" s="1"/>
      <c r="M896" s="30"/>
      <c r="P896" s="30"/>
      <c r="S896" s="30"/>
      <c r="V896" s="30"/>
    </row>
    <row r="897">
      <c r="B897" s="1"/>
      <c r="C897" s="1"/>
      <c r="M897" s="30"/>
      <c r="P897" s="30"/>
      <c r="S897" s="30"/>
      <c r="V897" s="30"/>
    </row>
    <row r="898">
      <c r="B898" s="1"/>
      <c r="C898" s="1"/>
      <c r="M898" s="30"/>
      <c r="P898" s="30"/>
      <c r="S898" s="30"/>
      <c r="V898" s="30"/>
    </row>
    <row r="899">
      <c r="B899" s="1"/>
      <c r="C899" s="1"/>
      <c r="M899" s="30"/>
      <c r="P899" s="30"/>
      <c r="S899" s="30"/>
      <c r="V899" s="30"/>
    </row>
    <row r="900">
      <c r="B900" s="1"/>
      <c r="C900" s="1"/>
      <c r="M900" s="30"/>
      <c r="P900" s="30"/>
      <c r="S900" s="30"/>
      <c r="V900" s="30"/>
    </row>
    <row r="901">
      <c r="B901" s="1"/>
      <c r="C901" s="1"/>
      <c r="M901" s="30"/>
      <c r="P901" s="30"/>
      <c r="S901" s="30"/>
      <c r="V901" s="30"/>
    </row>
    <row r="902">
      <c r="B902" s="1"/>
      <c r="C902" s="1"/>
      <c r="M902" s="30"/>
      <c r="P902" s="30"/>
      <c r="S902" s="30"/>
      <c r="V902" s="30"/>
    </row>
    <row r="903">
      <c r="B903" s="1"/>
      <c r="C903" s="1"/>
      <c r="M903" s="30"/>
      <c r="P903" s="30"/>
      <c r="S903" s="30"/>
      <c r="V903" s="30"/>
    </row>
    <row r="904">
      <c r="B904" s="1"/>
      <c r="C904" s="1"/>
      <c r="M904" s="30"/>
      <c r="P904" s="30"/>
      <c r="S904" s="30"/>
      <c r="V904" s="30"/>
    </row>
    <row r="905">
      <c r="B905" s="1"/>
      <c r="C905" s="1"/>
      <c r="M905" s="30"/>
      <c r="P905" s="30"/>
      <c r="S905" s="30"/>
      <c r="V905" s="30"/>
    </row>
    <row r="906">
      <c r="B906" s="1"/>
      <c r="C906" s="1"/>
      <c r="M906" s="30"/>
      <c r="P906" s="30"/>
      <c r="S906" s="30"/>
      <c r="V906" s="30"/>
    </row>
    <row r="907">
      <c r="B907" s="1"/>
      <c r="C907" s="1"/>
      <c r="M907" s="30"/>
      <c r="P907" s="30"/>
      <c r="S907" s="30"/>
      <c r="V907" s="30"/>
    </row>
    <row r="908">
      <c r="B908" s="1"/>
      <c r="C908" s="1"/>
      <c r="M908" s="30"/>
      <c r="P908" s="30"/>
      <c r="S908" s="30"/>
      <c r="V908" s="30"/>
    </row>
    <row r="909">
      <c r="B909" s="1"/>
      <c r="C909" s="1"/>
      <c r="M909" s="30"/>
      <c r="P909" s="30"/>
      <c r="S909" s="30"/>
      <c r="V909" s="30"/>
    </row>
    <row r="910">
      <c r="B910" s="1"/>
      <c r="C910" s="1"/>
      <c r="M910" s="30"/>
      <c r="P910" s="30"/>
      <c r="S910" s="30"/>
      <c r="V910" s="30"/>
    </row>
    <row r="911">
      <c r="B911" s="1"/>
      <c r="C911" s="1"/>
      <c r="M911" s="30"/>
      <c r="P911" s="30"/>
      <c r="S911" s="30"/>
      <c r="V911" s="30"/>
    </row>
    <row r="912">
      <c r="B912" s="1"/>
      <c r="C912" s="1"/>
      <c r="M912" s="30"/>
      <c r="P912" s="30"/>
      <c r="S912" s="30"/>
      <c r="V912" s="30"/>
    </row>
    <row r="913">
      <c r="B913" s="1"/>
      <c r="C913" s="1"/>
      <c r="M913" s="30"/>
      <c r="P913" s="30"/>
      <c r="S913" s="30"/>
      <c r="V913" s="30"/>
    </row>
    <row r="914">
      <c r="B914" s="1"/>
      <c r="C914" s="1"/>
      <c r="M914" s="30"/>
      <c r="P914" s="30"/>
      <c r="S914" s="30"/>
      <c r="V914" s="30"/>
    </row>
    <row r="915">
      <c r="B915" s="1"/>
      <c r="C915" s="1"/>
      <c r="M915" s="30"/>
      <c r="P915" s="30"/>
      <c r="S915" s="30"/>
      <c r="V915" s="30"/>
    </row>
    <row r="916">
      <c r="B916" s="1"/>
      <c r="C916" s="1"/>
      <c r="M916" s="30"/>
      <c r="P916" s="30"/>
      <c r="S916" s="30"/>
      <c r="V916" s="30"/>
    </row>
    <row r="917">
      <c r="B917" s="1"/>
      <c r="C917" s="1"/>
      <c r="M917" s="30"/>
      <c r="P917" s="30"/>
      <c r="S917" s="30"/>
      <c r="V917" s="30"/>
    </row>
    <row r="918">
      <c r="B918" s="1"/>
      <c r="C918" s="1"/>
      <c r="M918" s="30"/>
      <c r="P918" s="30"/>
      <c r="S918" s="30"/>
      <c r="V918" s="30"/>
    </row>
    <row r="919">
      <c r="B919" s="1"/>
      <c r="C919" s="1"/>
      <c r="M919" s="30"/>
      <c r="P919" s="30"/>
      <c r="S919" s="30"/>
      <c r="V919" s="30"/>
    </row>
    <row r="920">
      <c r="B920" s="1"/>
      <c r="C920" s="1"/>
      <c r="M920" s="30"/>
      <c r="P920" s="30"/>
      <c r="S920" s="30"/>
      <c r="V920" s="30"/>
    </row>
    <row r="921">
      <c r="B921" s="1"/>
      <c r="C921" s="1"/>
      <c r="M921" s="30"/>
      <c r="P921" s="30"/>
      <c r="S921" s="30"/>
      <c r="V921" s="30"/>
    </row>
    <row r="922">
      <c r="B922" s="1"/>
      <c r="C922" s="1"/>
      <c r="M922" s="30"/>
      <c r="P922" s="30"/>
      <c r="S922" s="30"/>
      <c r="V922" s="30"/>
    </row>
    <row r="923">
      <c r="B923" s="1"/>
      <c r="C923" s="1"/>
      <c r="M923" s="30"/>
      <c r="P923" s="30"/>
      <c r="S923" s="30"/>
      <c r="V923" s="30"/>
    </row>
    <row r="924">
      <c r="B924" s="1"/>
      <c r="C924" s="1"/>
      <c r="M924" s="30"/>
      <c r="P924" s="30"/>
      <c r="S924" s="30"/>
      <c r="V924" s="30"/>
    </row>
    <row r="925">
      <c r="B925" s="1"/>
      <c r="C925" s="1"/>
      <c r="M925" s="30"/>
      <c r="P925" s="30"/>
      <c r="S925" s="30"/>
      <c r="V925" s="30"/>
    </row>
    <row r="926">
      <c r="B926" s="1"/>
      <c r="C926" s="1"/>
      <c r="M926" s="30"/>
      <c r="P926" s="30"/>
      <c r="S926" s="30"/>
      <c r="V926" s="30"/>
    </row>
    <row r="927">
      <c r="B927" s="1"/>
      <c r="C927" s="1"/>
      <c r="M927" s="30"/>
      <c r="P927" s="30"/>
      <c r="S927" s="30"/>
      <c r="V927" s="30"/>
    </row>
    <row r="928">
      <c r="B928" s="1"/>
      <c r="C928" s="1"/>
      <c r="M928" s="30"/>
      <c r="P928" s="30"/>
      <c r="S928" s="30"/>
      <c r="V928" s="30"/>
    </row>
    <row r="929">
      <c r="B929" s="1"/>
      <c r="C929" s="1"/>
      <c r="M929" s="30"/>
      <c r="P929" s="30"/>
      <c r="S929" s="30"/>
      <c r="V929" s="30"/>
    </row>
    <row r="930">
      <c r="B930" s="1"/>
      <c r="C930" s="1"/>
      <c r="M930" s="30"/>
      <c r="P930" s="30"/>
      <c r="S930" s="30"/>
      <c r="V930" s="30"/>
    </row>
    <row r="931">
      <c r="B931" s="1"/>
      <c r="C931" s="1"/>
      <c r="M931" s="30"/>
      <c r="P931" s="30"/>
      <c r="S931" s="30"/>
      <c r="V931" s="30"/>
    </row>
    <row r="932">
      <c r="B932" s="1"/>
      <c r="C932" s="1"/>
      <c r="M932" s="30"/>
      <c r="P932" s="30"/>
      <c r="S932" s="30"/>
      <c r="V932" s="30"/>
    </row>
    <row r="933">
      <c r="B933" s="1"/>
      <c r="C933" s="1"/>
      <c r="M933" s="30"/>
      <c r="P933" s="30"/>
      <c r="S933" s="30"/>
      <c r="V933" s="30"/>
    </row>
    <row r="934">
      <c r="B934" s="1"/>
      <c r="C934" s="1"/>
      <c r="M934" s="30"/>
      <c r="P934" s="30"/>
      <c r="S934" s="30"/>
      <c r="V934" s="30"/>
    </row>
    <row r="935">
      <c r="B935" s="1"/>
      <c r="C935" s="1"/>
      <c r="M935" s="30"/>
      <c r="P935" s="30"/>
      <c r="S935" s="30"/>
      <c r="V935" s="30"/>
    </row>
    <row r="936">
      <c r="B936" s="1"/>
      <c r="C936" s="1"/>
      <c r="M936" s="30"/>
      <c r="P936" s="30"/>
      <c r="S936" s="30"/>
      <c r="V936" s="30"/>
    </row>
    <row r="937">
      <c r="B937" s="1"/>
      <c r="C937" s="1"/>
      <c r="M937" s="30"/>
      <c r="P937" s="30"/>
      <c r="S937" s="30"/>
      <c r="V937" s="30"/>
    </row>
    <row r="938">
      <c r="B938" s="1"/>
      <c r="C938" s="1"/>
      <c r="M938" s="30"/>
      <c r="P938" s="30"/>
      <c r="S938" s="30"/>
      <c r="V938" s="30"/>
    </row>
    <row r="939">
      <c r="B939" s="1"/>
      <c r="C939" s="1"/>
      <c r="M939" s="30"/>
      <c r="P939" s="30"/>
      <c r="S939" s="30"/>
      <c r="V939" s="30"/>
    </row>
    <row r="940">
      <c r="B940" s="1"/>
      <c r="C940" s="1"/>
      <c r="M940" s="30"/>
      <c r="P940" s="30"/>
      <c r="S940" s="30"/>
      <c r="V940" s="30"/>
    </row>
    <row r="941">
      <c r="B941" s="1"/>
      <c r="C941" s="1"/>
      <c r="M941" s="30"/>
      <c r="P941" s="30"/>
      <c r="S941" s="30"/>
      <c r="V941" s="30"/>
    </row>
    <row r="942">
      <c r="B942" s="1"/>
      <c r="C942" s="1"/>
      <c r="M942" s="30"/>
      <c r="P942" s="30"/>
      <c r="S942" s="30"/>
      <c r="V942" s="30"/>
    </row>
    <row r="943">
      <c r="B943" s="1"/>
      <c r="C943" s="1"/>
      <c r="M943" s="30"/>
      <c r="P943" s="30"/>
      <c r="S943" s="30"/>
      <c r="V943" s="30"/>
    </row>
    <row r="944">
      <c r="B944" s="1"/>
      <c r="C944" s="1"/>
      <c r="M944" s="30"/>
      <c r="P944" s="30"/>
      <c r="S944" s="30"/>
      <c r="V944" s="30"/>
    </row>
    <row r="945">
      <c r="B945" s="1"/>
      <c r="C945" s="1"/>
      <c r="M945" s="30"/>
      <c r="P945" s="30"/>
      <c r="S945" s="30"/>
      <c r="V945" s="30"/>
    </row>
    <row r="946">
      <c r="B946" s="1"/>
      <c r="C946" s="1"/>
      <c r="M946" s="30"/>
      <c r="P946" s="30"/>
      <c r="S946" s="30"/>
      <c r="V946" s="30"/>
    </row>
    <row r="947">
      <c r="B947" s="1"/>
      <c r="C947" s="1"/>
      <c r="M947" s="30"/>
      <c r="P947" s="30"/>
      <c r="S947" s="30"/>
      <c r="V947" s="30"/>
    </row>
    <row r="948">
      <c r="B948" s="1"/>
      <c r="C948" s="1"/>
      <c r="M948" s="30"/>
      <c r="P948" s="30"/>
      <c r="S948" s="30"/>
      <c r="V948" s="30"/>
    </row>
    <row r="949">
      <c r="B949" s="1"/>
      <c r="C949" s="1"/>
      <c r="M949" s="30"/>
      <c r="P949" s="30"/>
      <c r="S949" s="30"/>
      <c r="V949" s="30"/>
    </row>
    <row r="950">
      <c r="B950" s="1"/>
      <c r="C950" s="1"/>
      <c r="M950" s="30"/>
      <c r="P950" s="30"/>
      <c r="S950" s="30"/>
      <c r="V950" s="30"/>
    </row>
    <row r="951">
      <c r="B951" s="1"/>
      <c r="C951" s="1"/>
      <c r="M951" s="30"/>
      <c r="P951" s="30"/>
      <c r="S951" s="30"/>
      <c r="V951" s="30"/>
    </row>
    <row r="952">
      <c r="B952" s="1"/>
      <c r="C952" s="1"/>
      <c r="M952" s="30"/>
      <c r="P952" s="30"/>
      <c r="S952" s="30"/>
      <c r="V952" s="30"/>
    </row>
    <row r="953">
      <c r="B953" s="1"/>
      <c r="C953" s="1"/>
      <c r="M953" s="30"/>
      <c r="P953" s="30"/>
      <c r="S953" s="30"/>
      <c r="V953" s="30"/>
    </row>
    <row r="954">
      <c r="B954" s="1"/>
      <c r="C954" s="1"/>
      <c r="M954" s="30"/>
      <c r="P954" s="30"/>
      <c r="S954" s="30"/>
      <c r="V954" s="30"/>
    </row>
    <row r="955">
      <c r="B955" s="1"/>
      <c r="C955" s="1"/>
      <c r="M955" s="30"/>
      <c r="P955" s="30"/>
      <c r="S955" s="30"/>
      <c r="V955" s="30"/>
    </row>
    <row r="956">
      <c r="B956" s="1"/>
      <c r="C956" s="1"/>
      <c r="M956" s="30"/>
      <c r="P956" s="30"/>
      <c r="S956" s="30"/>
      <c r="V956" s="30"/>
    </row>
    <row r="957">
      <c r="B957" s="1"/>
      <c r="C957" s="1"/>
      <c r="M957" s="30"/>
      <c r="P957" s="30"/>
      <c r="S957" s="30"/>
      <c r="V957" s="30"/>
    </row>
    <row r="958">
      <c r="B958" s="1"/>
      <c r="C958" s="1"/>
      <c r="M958" s="30"/>
      <c r="P958" s="30"/>
      <c r="S958" s="30"/>
      <c r="V958" s="30"/>
    </row>
    <row r="959">
      <c r="B959" s="1"/>
      <c r="C959" s="1"/>
      <c r="M959" s="30"/>
      <c r="P959" s="30"/>
      <c r="S959" s="30"/>
      <c r="V959" s="30"/>
    </row>
    <row r="960">
      <c r="B960" s="1"/>
      <c r="C960" s="1"/>
      <c r="M960" s="30"/>
      <c r="P960" s="30"/>
      <c r="S960" s="30"/>
      <c r="V960" s="30"/>
    </row>
    <row r="961">
      <c r="B961" s="1"/>
      <c r="C961" s="1"/>
      <c r="M961" s="30"/>
      <c r="P961" s="30"/>
      <c r="S961" s="30"/>
      <c r="V961" s="30"/>
    </row>
    <row r="962">
      <c r="B962" s="1"/>
      <c r="C962" s="1"/>
      <c r="M962" s="30"/>
      <c r="P962" s="30"/>
      <c r="S962" s="30"/>
      <c r="V962" s="30"/>
    </row>
    <row r="963">
      <c r="B963" s="1"/>
      <c r="C963" s="1"/>
      <c r="M963" s="30"/>
      <c r="P963" s="30"/>
      <c r="S963" s="30"/>
      <c r="V963" s="30"/>
    </row>
    <row r="964">
      <c r="B964" s="1"/>
      <c r="C964" s="1"/>
      <c r="M964" s="30"/>
      <c r="P964" s="30"/>
      <c r="S964" s="30"/>
      <c r="V964" s="30"/>
    </row>
    <row r="965">
      <c r="B965" s="1"/>
      <c r="C965" s="1"/>
      <c r="M965" s="30"/>
      <c r="P965" s="30"/>
      <c r="S965" s="30"/>
      <c r="V965" s="30"/>
    </row>
    <row r="966">
      <c r="B966" s="1"/>
      <c r="C966" s="1"/>
      <c r="M966" s="30"/>
      <c r="P966" s="30"/>
      <c r="S966" s="30"/>
      <c r="V966" s="30"/>
    </row>
    <row r="967">
      <c r="B967" s="1"/>
      <c r="C967" s="1"/>
      <c r="M967" s="30"/>
      <c r="P967" s="30"/>
      <c r="S967" s="30"/>
      <c r="V967" s="30"/>
    </row>
    <row r="968">
      <c r="B968" s="1"/>
      <c r="C968" s="1"/>
      <c r="M968" s="30"/>
      <c r="P968" s="30"/>
      <c r="S968" s="30"/>
      <c r="V968" s="30"/>
    </row>
    <row r="969">
      <c r="B969" s="1"/>
      <c r="C969" s="1"/>
      <c r="M969" s="30"/>
      <c r="P969" s="30"/>
      <c r="S969" s="30"/>
      <c r="V969" s="30"/>
    </row>
    <row r="970">
      <c r="B970" s="1"/>
      <c r="C970" s="1"/>
      <c r="M970" s="30"/>
      <c r="P970" s="30"/>
      <c r="S970" s="30"/>
      <c r="V970" s="30"/>
    </row>
    <row r="971">
      <c r="B971" s="1"/>
      <c r="C971" s="1"/>
      <c r="M971" s="30"/>
      <c r="P971" s="30"/>
      <c r="S971" s="30"/>
      <c r="V971" s="30"/>
    </row>
    <row r="972">
      <c r="B972" s="1"/>
      <c r="C972" s="1"/>
      <c r="M972" s="30"/>
      <c r="P972" s="30"/>
      <c r="S972" s="30"/>
      <c r="V972" s="30"/>
    </row>
    <row r="973">
      <c r="B973" s="1"/>
      <c r="C973" s="1"/>
      <c r="M973" s="30"/>
      <c r="P973" s="30"/>
      <c r="S973" s="30"/>
      <c r="V973" s="30"/>
    </row>
    <row r="974">
      <c r="B974" s="1"/>
      <c r="C974" s="1"/>
      <c r="M974" s="30"/>
      <c r="P974" s="30"/>
      <c r="S974" s="30"/>
      <c r="V974" s="30"/>
    </row>
    <row r="975">
      <c r="B975" s="1"/>
      <c r="C975" s="1"/>
      <c r="M975" s="30"/>
      <c r="P975" s="30"/>
      <c r="S975" s="30"/>
      <c r="V975" s="30"/>
    </row>
    <row r="976">
      <c r="B976" s="1"/>
      <c r="C976" s="1"/>
      <c r="M976" s="30"/>
      <c r="P976" s="30"/>
      <c r="S976" s="30"/>
      <c r="V976" s="30"/>
    </row>
    <row r="977">
      <c r="B977" s="1"/>
      <c r="C977" s="1"/>
      <c r="M977" s="30"/>
      <c r="P977" s="30"/>
      <c r="S977" s="30"/>
      <c r="V977" s="30"/>
    </row>
    <row r="978">
      <c r="B978" s="1"/>
      <c r="C978" s="1"/>
      <c r="M978" s="30"/>
      <c r="P978" s="30"/>
      <c r="S978" s="30"/>
      <c r="V978" s="30"/>
    </row>
    <row r="979">
      <c r="B979" s="1"/>
      <c r="C979" s="1"/>
      <c r="M979" s="30"/>
      <c r="P979" s="30"/>
      <c r="S979" s="30"/>
      <c r="V979" s="30"/>
    </row>
    <row r="980">
      <c r="B980" s="1"/>
      <c r="C980" s="1"/>
      <c r="M980" s="30"/>
      <c r="P980" s="30"/>
      <c r="S980" s="30"/>
      <c r="V980" s="30"/>
    </row>
    <row r="981">
      <c r="B981" s="1"/>
      <c r="C981" s="1"/>
      <c r="M981" s="30"/>
      <c r="P981" s="30"/>
      <c r="S981" s="30"/>
      <c r="V981" s="30"/>
    </row>
    <row r="982">
      <c r="B982" s="1"/>
      <c r="C982" s="1"/>
      <c r="M982" s="30"/>
      <c r="P982" s="30"/>
      <c r="S982" s="30"/>
      <c r="V982" s="30"/>
    </row>
    <row r="983">
      <c r="B983" s="1"/>
      <c r="C983" s="1"/>
      <c r="M983" s="30"/>
      <c r="P983" s="30"/>
      <c r="S983" s="30"/>
      <c r="V983" s="30"/>
    </row>
    <row r="984">
      <c r="B984" s="1"/>
      <c r="C984" s="1"/>
      <c r="M984" s="30"/>
      <c r="P984" s="30"/>
      <c r="S984" s="30"/>
      <c r="V984" s="30"/>
    </row>
    <row r="985">
      <c r="B985" s="1"/>
      <c r="C985" s="1"/>
      <c r="M985" s="30"/>
      <c r="P985" s="30"/>
      <c r="S985" s="30"/>
      <c r="V985" s="30"/>
    </row>
    <row r="986">
      <c r="B986" s="1"/>
      <c r="C986" s="1"/>
      <c r="M986" s="30"/>
      <c r="P986" s="30"/>
      <c r="S986" s="30"/>
      <c r="V986" s="30"/>
    </row>
    <row r="987">
      <c r="B987" s="1"/>
      <c r="C987" s="1"/>
      <c r="M987" s="30"/>
      <c r="P987" s="30"/>
      <c r="S987" s="30"/>
      <c r="V987" s="30"/>
    </row>
    <row r="988">
      <c r="B988" s="1"/>
      <c r="C988" s="1"/>
      <c r="M988" s="30"/>
      <c r="P988" s="30"/>
      <c r="S988" s="30"/>
      <c r="V988" s="30"/>
    </row>
    <row r="989">
      <c r="B989" s="1"/>
      <c r="C989" s="1"/>
      <c r="M989" s="30"/>
      <c r="P989" s="30"/>
      <c r="S989" s="30"/>
      <c r="V989" s="30"/>
    </row>
    <row r="990">
      <c r="B990" s="1"/>
      <c r="C990" s="1"/>
      <c r="M990" s="30"/>
      <c r="P990" s="30"/>
      <c r="S990" s="30"/>
      <c r="V990" s="30"/>
    </row>
    <row r="991">
      <c r="B991" s="1"/>
      <c r="C991" s="1"/>
      <c r="M991" s="30"/>
      <c r="P991" s="30"/>
      <c r="S991" s="30"/>
      <c r="V991" s="30"/>
    </row>
    <row r="992">
      <c r="B992" s="1"/>
      <c r="C992" s="1"/>
      <c r="M992" s="30"/>
      <c r="P992" s="30"/>
      <c r="S992" s="30"/>
      <c r="V992" s="30"/>
    </row>
    <row r="993">
      <c r="B993" s="1"/>
      <c r="C993" s="1"/>
      <c r="M993" s="30"/>
      <c r="P993" s="30"/>
      <c r="S993" s="30"/>
      <c r="V993" s="30"/>
    </row>
    <row r="994">
      <c r="B994" s="1"/>
      <c r="C994" s="1"/>
      <c r="M994" s="30"/>
      <c r="P994" s="30"/>
      <c r="S994" s="30"/>
      <c r="V994" s="30"/>
    </row>
    <row r="995">
      <c r="B995" s="1"/>
      <c r="C995" s="1"/>
      <c r="M995" s="30"/>
      <c r="P995" s="30"/>
      <c r="S995" s="30"/>
      <c r="V995" s="30"/>
    </row>
    <row r="996">
      <c r="B996" s="1"/>
      <c r="C996" s="1"/>
      <c r="M996" s="30"/>
      <c r="P996" s="30"/>
      <c r="S996" s="30"/>
      <c r="V996" s="30"/>
    </row>
    <row r="997">
      <c r="B997" s="1"/>
      <c r="C997" s="1"/>
      <c r="M997" s="30"/>
      <c r="P997" s="30"/>
      <c r="S997" s="30"/>
      <c r="V997" s="30"/>
    </row>
    <row r="998">
      <c r="B998" s="1"/>
      <c r="C998" s="1"/>
      <c r="M998" s="30"/>
      <c r="P998" s="30"/>
      <c r="S998" s="30"/>
      <c r="V998" s="30"/>
    </row>
    <row r="999">
      <c r="B999" s="1"/>
      <c r="C999" s="1"/>
      <c r="M999" s="30"/>
      <c r="P999" s="30"/>
      <c r="S999" s="30"/>
      <c r="V999" s="30"/>
    </row>
    <row r="1000">
      <c r="B1000" s="1"/>
      <c r="C1000" s="1"/>
      <c r="M1000" s="30"/>
      <c r="P1000" s="30"/>
      <c r="S1000" s="30"/>
      <c r="V1000" s="30"/>
    </row>
  </sheetData>
  <drawing r:id="rId1"/>
</worksheet>
</file>