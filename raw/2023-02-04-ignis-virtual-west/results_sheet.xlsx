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R Schedule" sheetId="1" r:id="rId5"/>
    <sheet state="visible" name="Double Elimination" sheetId="2" r:id="rId6"/>
    <sheet state="hidden" name="Seeding" sheetId="3" r:id="rId7"/>
    <sheet state="visible" name="Round Robin" sheetId="4" r:id="rId8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$&quot;#,##0"/>
  </numFmts>
  <fonts count="29">
    <font>
      <sz val="10.0"/>
      <color rgb="FF000000"/>
      <name val="Arial"/>
      <scheme val="minor"/>
    </font>
    <font>
      <b/>
      <sz val="12.0"/>
      <color theme="1"/>
      <name val="Asap"/>
    </font>
    <font>
      <sz val="12.0"/>
      <color theme="1"/>
      <name val="Asap"/>
    </font>
    <font>
      <b/>
      <sz val="18.0"/>
      <color theme="1"/>
      <name val="Asap"/>
    </font>
    <font>
      <b/>
      <sz val="14.0"/>
      <color theme="1"/>
      <name val="Asap"/>
    </font>
    <font/>
    <font>
      <sz val="16.0"/>
      <color theme="1"/>
      <name val="Asap"/>
    </font>
    <font>
      <b/>
      <sz val="14.0"/>
      <color theme="1"/>
      <name val="Calibri"/>
    </font>
    <font>
      <sz val="10.0"/>
      <color theme="1"/>
      <name val="Asap"/>
    </font>
    <font>
      <sz val="16.0"/>
      <color rgb="FFFFFFFF"/>
      <name val="Asap"/>
    </font>
    <font>
      <color theme="1"/>
      <name val="Arial"/>
    </font>
    <font>
      <sz val="14.0"/>
      <color theme="1"/>
      <name val="Asap"/>
    </font>
    <font>
      <sz val="18.0"/>
      <color theme="1"/>
      <name val="Asap"/>
    </font>
    <font>
      <i/>
      <sz val="12.0"/>
      <color theme="1"/>
      <name val="Asap"/>
    </font>
    <font>
      <sz val="14.0"/>
      <color theme="1"/>
      <name val="Calibri"/>
    </font>
    <font>
      <sz val="9.0"/>
      <color theme="1"/>
      <name val="Asap"/>
    </font>
    <font>
      <sz val="12.0"/>
      <color rgb="FFF4CCCC"/>
      <name val="Asap"/>
    </font>
    <font>
      <b/>
      <sz val="12.0"/>
      <color rgb="FFFFFFFF"/>
      <name val="Asap"/>
    </font>
    <font>
      <sz val="12.0"/>
      <color rgb="FFFFFFFF"/>
      <name val="Asap"/>
    </font>
    <font>
      <sz val="12.0"/>
      <color rgb="FF000000"/>
      <name val="Asap"/>
    </font>
    <font>
      <b/>
      <sz val="10.0"/>
      <color theme="1"/>
      <name val="Asap"/>
    </font>
    <font>
      <sz val="12.0"/>
      <color rgb="FFE06666"/>
      <name val="Asap"/>
    </font>
    <font>
      <sz val="10.0"/>
      <color rgb="FF000000"/>
      <name val="Asap"/>
    </font>
    <font>
      <b/>
      <sz val="18.0"/>
      <color rgb="FF000000"/>
      <name val="Asap"/>
    </font>
    <font>
      <b/>
      <color rgb="FF000000"/>
      <name val="Arial"/>
      <scheme val="minor"/>
    </font>
    <font>
      <b/>
      <sz val="16.0"/>
      <color theme="1"/>
      <name val="Asap"/>
    </font>
    <font>
      <color rgb="FF000000"/>
      <name val="Asap"/>
    </font>
    <font>
      <sz val="16.0"/>
      <color rgb="FF000000"/>
      <name val="Asap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8CAC5"/>
        <bgColor rgb="FFF8CAC5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48">
    <border/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D9D9D9"/>
      </right>
      <top style="double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double">
        <color rgb="FF000000"/>
      </top>
      <bottom style="thin">
        <color rgb="FF000000"/>
      </bottom>
    </border>
    <border>
      <left style="thin">
        <color rgb="FFD9D9D9"/>
      </left>
      <right style="double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medium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double">
        <color rgb="FF000000"/>
      </right>
    </border>
    <border>
      <left style="thin">
        <color rgb="FFB7B7B7"/>
      </left>
      <right style="double">
        <color rgb="FF000000"/>
      </right>
      <bottom style="thin">
        <color rgb="FFB7B7B7"/>
      </bottom>
    </border>
    <border>
      <right style="double">
        <color rgb="FF000000"/>
      </right>
      <bottom style="thin">
        <color rgb="FFB7B7B7"/>
      </bottom>
    </border>
    <border>
      <bottom style="double">
        <color rgb="FF000000"/>
      </bottom>
    </border>
    <border>
      <left style="double">
        <color rgb="FF000000"/>
      </lef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medium">
        <color rgb="FF000000"/>
      </right>
      <bottom style="thin">
        <color rgb="FFB7B7B7"/>
      </bottom>
    </border>
    <border>
      <left style="double">
        <color rgb="FF000000"/>
      </left>
      <right style="thin">
        <color rgb="FF000000"/>
      </right>
    </border>
    <border>
      <right style="thin">
        <color rgb="FF000000"/>
      </right>
    </border>
    <border>
      <left style="double">
        <color rgb="FF000000"/>
      </left>
      <top style="double">
        <color rgb="FF000000"/>
      </top>
    </border>
    <border>
      <bottom style="thin">
        <color rgb="FFFFFFFF"/>
      </bottom>
    </border>
    <border>
      <top style="double">
        <color rgb="FF000000"/>
      </top>
    </border>
    <border>
      <right style="double">
        <color rgb="FF000000"/>
      </right>
      <bottom style="thin">
        <color rgb="FFFFFFFF"/>
      </bottom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medium">
        <color rgb="FF000000"/>
      </right>
      <top style="thin">
        <color rgb="FFB7B7B7"/>
      </top>
      <bottom style="double">
        <color rgb="FF000000"/>
      </bottom>
    </border>
    <border>
      <left style="thin">
        <color rgb="FFB7B7B7"/>
      </left>
      <right style="thin">
        <color rgb="FFB7B7B7"/>
      </right>
      <bottom style="double">
        <color rgb="FF000000"/>
      </bottom>
    </border>
    <border>
      <left style="thin">
        <color rgb="FFB7B7B7"/>
      </left>
      <right style="double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B7B7B7"/>
      </bottom>
    </border>
    <border>
      <right style="thin">
        <color rgb="FFCCCCCC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hair">
        <color rgb="FFB7B7B7"/>
      </right>
      <top style="thin">
        <color rgb="FFB7B7B7"/>
      </top>
      <bottom style="thin">
        <color rgb="FFB7B7B7"/>
      </bottom>
    </border>
    <border>
      <left style="hair">
        <color rgb="FFCCCCCC"/>
      </left>
      <right style="thin">
        <color rgb="FFCCCCCC"/>
      </right>
      <bottom style="thin">
        <color rgb="FFB7B7B7"/>
      </bottom>
    </border>
    <border>
      <left style="hair">
        <color rgb="FFCCCCCC"/>
      </left>
      <bottom style="thin">
        <color rgb="FFB7B7B7"/>
      </bottom>
    </border>
    <border>
      <right style="hair">
        <color rgb="FFB7B7B7"/>
      </right>
      <top style="thin">
        <color rgb="FFCCCCCC"/>
      </top>
    </border>
    <border>
      <left style="hair">
        <color rgb="FFCCCCCC"/>
      </left>
      <right style="thin">
        <color rgb="FFCCCCCC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B7B7B7"/>
      </top>
      <bottom style="thin">
        <color rgb="FFB7B7B7"/>
      </bottom>
    </border>
    <border>
      <left style="hair">
        <color rgb="FFCCCCCC"/>
      </left>
      <top style="thin">
        <color rgb="FFB7B7B7"/>
      </top>
      <bottom style="thin">
        <color rgb="FFB7B7B7"/>
      </bottom>
    </border>
    <border>
      <left style="thin">
        <color rgb="FFCCCCCC"/>
      </left>
      <right style="hair">
        <color rgb="FFB7B7B7"/>
      </right>
      <top style="thin">
        <color rgb="FFCCCCCC"/>
      </top>
    </border>
    <border>
      <left style="hair">
        <color rgb="FFCCCCCC"/>
      </left>
      <right style="thin">
        <color rgb="FFCCCCCC"/>
      </right>
      <top style="thin">
        <color rgb="FFB7B7B7"/>
      </top>
    </border>
    <border>
      <top style="thin">
        <color rgb="FFB7B7B7"/>
      </top>
    </border>
    <border>
      <right style="thin">
        <color rgb="FFCCCCCC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double">
        <color rgb="FF000000"/>
      </left>
      <bottom style="double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bottom"/>
    </xf>
    <xf borderId="6" fillId="0" fontId="1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 vertical="center"/>
    </xf>
    <xf borderId="8" fillId="0" fontId="5" numFmtId="0" xfId="0" applyBorder="1" applyFont="1"/>
    <xf borderId="7" fillId="0" fontId="1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center" readingOrder="0" vertical="center"/>
    </xf>
    <xf borderId="9" fillId="0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10" fillId="0" fontId="1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center" readingOrder="0"/>
    </xf>
    <xf borderId="11" fillId="0" fontId="5" numFmtId="0" xfId="0" applyBorder="1" applyFont="1"/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horizontal="center"/>
    </xf>
    <xf borderId="0" fillId="0" fontId="4" numFmtId="0" xfId="0" applyAlignment="1" applyFont="1">
      <alignment horizontal="center"/>
    </xf>
    <xf borderId="9" fillId="0" fontId="2" numFmtId="0" xfId="0" applyAlignment="1" applyBorder="1" applyFont="1">
      <alignment readingOrder="0" shrinkToFit="0" vertical="bottom" wrapText="0"/>
    </xf>
    <xf borderId="12" fillId="0" fontId="4" numFmtId="0" xfId="0" applyAlignment="1" applyBorder="1" applyFont="1">
      <alignment horizontal="center" readingOrder="0" shrinkToFit="0" vertical="center" wrapText="0"/>
    </xf>
    <xf borderId="10" fillId="0" fontId="2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horizontal="center" readingOrder="0" vertical="center"/>
    </xf>
    <xf borderId="13" fillId="0" fontId="10" numFmtId="0" xfId="0" applyAlignment="1" applyBorder="1" applyFont="1">
      <alignment vertical="bottom"/>
    </xf>
    <xf borderId="0" fillId="0" fontId="11" numFmtId="0" xfId="0" applyAlignment="1" applyFont="1">
      <alignment shrinkToFit="0" wrapText="0"/>
    </xf>
    <xf borderId="0" fillId="0" fontId="12" numFmtId="0" xfId="0" applyAlignment="1" applyFont="1">
      <alignment readingOrder="0"/>
    </xf>
    <xf borderId="14" fillId="0" fontId="1" numFmtId="0" xfId="0" applyAlignment="1" applyBorder="1" applyFont="1">
      <alignment horizontal="center" vertical="bottom"/>
    </xf>
    <xf borderId="0" fillId="0" fontId="11" numFmtId="0" xfId="0" applyAlignment="1" applyFont="1">
      <alignment horizontal="left" shrinkToFit="0" wrapText="0"/>
    </xf>
    <xf borderId="0" fillId="0" fontId="1" numFmtId="0" xfId="0" applyAlignment="1" applyFont="1">
      <alignment readingOrder="0"/>
    </xf>
    <xf borderId="15" fillId="0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2" numFmtId="0" xfId="0" applyFont="1"/>
    <xf borderId="16" fillId="0" fontId="1" numFmtId="0" xfId="0" applyAlignment="1" applyBorder="1" applyFont="1">
      <alignment horizontal="center" vertical="bottom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/>
    </xf>
    <xf borderId="17" fillId="0" fontId="1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/>
    </xf>
    <xf borderId="0" fillId="0" fontId="14" numFmtId="164" xfId="0" applyAlignment="1" applyFont="1" applyNumberFormat="1">
      <alignment horizontal="center"/>
    </xf>
    <xf borderId="18" fillId="0" fontId="1" numFmtId="0" xfId="0" applyAlignment="1" applyBorder="1" applyFont="1">
      <alignment horizontal="center" vertical="bottom"/>
    </xf>
    <xf borderId="12" fillId="0" fontId="13" numFmtId="0" xfId="0" applyAlignment="1" applyBorder="1" applyFont="1">
      <alignment horizontal="center" readingOrder="0" shrinkToFit="0" vertical="center" wrapText="0"/>
    </xf>
    <xf borderId="19" fillId="0" fontId="2" numFmtId="0" xfId="0" applyAlignment="1" applyBorder="1" applyFont="1">
      <alignment horizontal="center" vertical="bottom"/>
    </xf>
    <xf borderId="0" fillId="0" fontId="13" numFmtId="0" xfId="0" applyAlignment="1" applyFont="1">
      <alignment shrinkToFit="0" vertical="center" wrapText="0"/>
    </xf>
    <xf borderId="0" fillId="0" fontId="2" numFmtId="1" xfId="0" applyFont="1" applyNumberFormat="1"/>
    <xf borderId="0" fillId="0" fontId="2" numFmtId="0" xfId="0" applyFont="1"/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Font="1"/>
    <xf borderId="0" fillId="0" fontId="17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8" fillId="0" fontId="2" numFmtId="0" xfId="0" applyAlignment="1" applyBorder="1" applyFont="1">
      <alignment horizontal="center" vertical="bottom"/>
    </xf>
    <xf borderId="0" fillId="0" fontId="8" numFmtId="0" xfId="0" applyAlignment="1" applyFont="1">
      <alignment shrinkToFit="0" wrapText="0"/>
    </xf>
    <xf borderId="0" fillId="0" fontId="2" numFmtId="1" xfId="0" applyAlignment="1" applyFont="1" applyNumberFormat="1">
      <alignment vertical="bottom"/>
    </xf>
    <xf borderId="0" fillId="0" fontId="8" numFmtId="0" xfId="0" applyAlignment="1" applyFont="1">
      <alignment horizontal="center" shrinkToFit="0" wrapText="0"/>
    </xf>
    <xf borderId="0" fillId="0" fontId="16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8" numFmtId="0" xfId="0" applyAlignment="1" applyFont="1">
      <alignment horizontal="left" shrinkToFit="0" wrapText="0"/>
    </xf>
    <xf borderId="0" fillId="0" fontId="19" numFmtId="0" xfId="0" applyAlignment="1" applyFont="1">
      <alignment readingOrder="0" vertical="bottom"/>
    </xf>
    <xf borderId="0" fillId="2" fontId="8" numFmtId="0" xfId="0" applyAlignment="1" applyFill="1" applyFont="1">
      <alignment horizontal="left" readingOrder="0" shrinkToFit="0" wrapText="0"/>
    </xf>
    <xf borderId="0" fillId="3" fontId="8" numFmtId="0" xfId="0" applyAlignment="1" applyFill="1" applyFont="1">
      <alignment horizontal="center" readingOrder="0" shrinkToFit="0" wrapText="0"/>
    </xf>
    <xf borderId="20" fillId="2" fontId="2" numFmtId="0" xfId="0" applyBorder="1" applyFill="1" applyFont="1"/>
    <xf borderId="19" fillId="0" fontId="2" numFmtId="0" xfId="0" applyAlignment="1" applyBorder="1" applyFont="1">
      <alignment horizontal="center" vertical="bottom"/>
    </xf>
    <xf borderId="0" fillId="0" fontId="20" numFmtId="0" xfId="0" applyAlignment="1" applyFont="1">
      <alignment horizontal="center" readingOrder="0" shrinkToFit="0" vertical="center" wrapText="0"/>
    </xf>
    <xf borderId="21" fillId="0" fontId="2" numFmtId="0" xfId="0" applyAlignment="1" applyBorder="1" applyFont="1">
      <alignment horizontal="center" vertical="bottom"/>
    </xf>
    <xf borderId="22" fillId="2" fontId="2" numFmtId="0" xfId="0" applyBorder="1" applyFill="1" applyFont="1"/>
    <xf borderId="0" fillId="4" fontId="21" numFmtId="0" xfId="0" applyAlignment="1" applyFill="1" applyFont="1">
      <alignment horizontal="center" readingOrder="0" shrinkToFit="0" vertical="center" wrapText="0"/>
    </xf>
    <xf borderId="22" fillId="0" fontId="5" numFmtId="0" xfId="0" applyBorder="1" applyFont="1"/>
    <xf borderId="23" fillId="0" fontId="2" numFmtId="0" xfId="0" applyAlignment="1" applyBorder="1" applyFont="1">
      <alignment horizontal="center" vertical="bottom"/>
    </xf>
    <xf borderId="0" fillId="2" fontId="8" numFmtId="0" xfId="0" applyAlignment="1" applyFill="1" applyFont="1">
      <alignment readingOrder="0" shrinkToFit="0" wrapText="0"/>
    </xf>
    <xf borderId="0" fillId="0" fontId="8" numFmtId="0" xfId="0" applyAlignment="1" applyFont="1">
      <alignment horizontal="center" readingOrder="0" shrinkToFit="0" wrapText="0"/>
    </xf>
    <xf borderId="24" fillId="0" fontId="5" numFmtId="0" xfId="0" applyBorder="1" applyFont="1"/>
    <xf borderId="0" fillId="0" fontId="18" numFmtId="0" xfId="0" applyFont="1"/>
    <xf borderId="0" fillId="0" fontId="2" numFmtId="0" xfId="0" applyAlignment="1" applyFont="1">
      <alignment horizontal="center" vertical="bottom"/>
    </xf>
    <xf borderId="0" fillId="0" fontId="19" numFmtId="0" xfId="0" applyAlignment="1" applyFont="1">
      <alignment readingOrder="0"/>
    </xf>
    <xf borderId="0" fillId="3" fontId="8" numFmtId="0" xfId="0" applyAlignment="1" applyFill="1" applyFont="1">
      <alignment horizontal="center" shrinkToFit="0" wrapText="0"/>
    </xf>
    <xf borderId="0" fillId="0" fontId="2" numFmtId="0" xfId="0" applyAlignment="1" applyFont="1">
      <alignment horizontal="center" readingOrder="0"/>
    </xf>
    <xf borderId="12" fillId="0" fontId="5" numFmtId="0" xfId="0" applyBorder="1" applyFont="1"/>
    <xf borderId="14" fillId="0" fontId="2" numFmtId="0" xfId="0" applyAlignment="1" applyBorder="1" applyFont="1">
      <alignment horizontal="center" readingOrder="0"/>
    </xf>
    <xf borderId="15" fillId="0" fontId="2" numFmtId="0" xfId="0" applyAlignment="1" applyBorder="1" applyFont="1">
      <alignment readingOrder="0"/>
    </xf>
    <xf borderId="15" fillId="0" fontId="5" numFmtId="0" xfId="0" applyBorder="1" applyFont="1"/>
    <xf borderId="25" fillId="0" fontId="1" numFmtId="0" xfId="0" applyAlignment="1" applyBorder="1" applyFont="1">
      <alignment horizontal="center" vertical="bottom"/>
    </xf>
    <xf borderId="26" fillId="0" fontId="2" numFmtId="0" xfId="0" applyAlignment="1" applyBorder="1" applyFont="1">
      <alignment horizontal="center" vertical="bottom"/>
    </xf>
    <xf borderId="0" fillId="2" fontId="2" numFmtId="0" xfId="0" applyFill="1" applyFont="1"/>
    <xf borderId="0" fillId="0" fontId="22" numFmtId="0" xfId="0" applyAlignment="1" applyFont="1">
      <alignment shrinkToFit="0" wrapText="0"/>
    </xf>
    <xf borderId="11" fillId="0" fontId="2" numFmtId="0" xfId="0" applyAlignment="1" applyBorder="1" applyFont="1">
      <alignment horizontal="center" vertical="bottom"/>
    </xf>
    <xf borderId="0" fillId="0" fontId="22" numFmtId="0" xfId="0" applyAlignment="1" applyFont="1">
      <alignment horizontal="left" shrinkToFit="0" wrapText="0"/>
    </xf>
    <xf borderId="15" fillId="0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vertical="bottom"/>
    </xf>
    <xf borderId="15" fillId="0" fontId="2" numFmtId="1" xfId="0" applyAlignment="1" applyBorder="1" applyFont="1" applyNumberFormat="1">
      <alignment horizontal="center" readingOrder="0"/>
    </xf>
    <xf borderId="28" fillId="0" fontId="1" numFmtId="0" xfId="0" applyAlignment="1" applyBorder="1" applyFont="1">
      <alignment horizontal="center" readingOrder="0" vertical="bottom"/>
    </xf>
    <xf borderId="15" fillId="0" fontId="2" numFmtId="49" xfId="0" applyAlignment="1" applyBorder="1" applyFont="1" applyNumberFormat="1">
      <alignment horizontal="center" readingOrder="0"/>
    </xf>
    <xf borderId="8" fillId="2" fontId="16" numFmtId="0" xfId="0" applyBorder="1" applyFill="1" applyFont="1"/>
    <xf borderId="29" fillId="0" fontId="2" numFmtId="0" xfId="0" applyAlignment="1" applyBorder="1" applyFont="1">
      <alignment readingOrder="0" shrinkToFit="0" vertical="bottom" wrapText="0"/>
    </xf>
    <xf borderId="0" fillId="0" fontId="14" numFmtId="164" xfId="0" applyAlignment="1" applyFont="1" applyNumberFormat="1">
      <alignment horizontal="center" vertical="bottom"/>
    </xf>
    <xf borderId="0" fillId="0" fontId="19" numFmtId="0" xfId="0" applyAlignment="1" applyFont="1">
      <alignment horizontal="left"/>
    </xf>
    <xf borderId="30" fillId="0" fontId="2" numFmtId="0" xfId="0" applyAlignment="1" applyBorder="1" applyFont="1">
      <alignment readingOrder="0" shrinkToFit="0" vertical="bottom" wrapText="0"/>
    </xf>
    <xf borderId="19" fillId="5" fontId="19" numFmtId="0" xfId="0" applyAlignment="1" applyBorder="1" applyFill="1" applyFont="1">
      <alignment horizontal="left"/>
    </xf>
    <xf borderId="27" fillId="0" fontId="2" numFmtId="0" xfId="0" applyAlignment="1" applyBorder="1" applyFont="1">
      <alignment readingOrder="0" shrinkToFit="0" vertical="bottom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vertical="bottom"/>
    </xf>
    <xf borderId="31" fillId="6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32" fillId="0" fontId="5" numFmtId="0" xfId="0" applyBorder="1" applyFont="1"/>
    <xf borderId="0" fillId="0" fontId="2" numFmtId="0" xfId="0" applyAlignment="1" applyFont="1">
      <alignment readingOrder="0" shrinkToFit="0" vertical="bottom" wrapText="0"/>
    </xf>
    <xf borderId="0" fillId="0" fontId="24" numFmtId="165" xfId="0" applyFont="1" applyNumberFormat="1"/>
    <xf borderId="0" fillId="0" fontId="25" numFmtId="0" xfId="0" applyAlignment="1" applyFont="1">
      <alignment horizontal="center" vertical="center"/>
    </xf>
    <xf borderId="33" fillId="0" fontId="2" numFmtId="0" xfId="0" applyAlignment="1" applyBorder="1" applyFont="1">
      <alignment readingOrder="0"/>
    </xf>
    <xf borderId="0" fillId="0" fontId="2" numFmtId="0" xfId="0" applyAlignment="1" applyFont="1">
      <alignment readingOrder="0" shrinkToFit="0" vertical="bottom" wrapText="0"/>
    </xf>
    <xf borderId="34" fillId="0" fontId="2" numFmtId="0" xfId="0" applyAlignment="1" applyBorder="1" applyFont="1">
      <alignment readingOrder="0"/>
    </xf>
    <xf borderId="0" fillId="5" fontId="26" numFmtId="0" xfId="0" applyAlignment="1" applyFill="1" applyFont="1">
      <alignment readingOrder="0" shrinkToFit="0" wrapText="0"/>
    </xf>
    <xf borderId="0" fillId="0" fontId="1" numFmtId="0" xfId="0" applyAlignment="1" applyFont="1">
      <alignment horizontal="center" vertical="bottom"/>
    </xf>
    <xf borderId="35" fillId="0" fontId="2" numFmtId="0" xfId="0" applyAlignment="1" applyBorder="1" applyFont="1">
      <alignment readingOrder="0"/>
    </xf>
    <xf borderId="0" fillId="2" fontId="22" numFmtId="0" xfId="0" applyAlignment="1" applyFill="1" applyFont="1">
      <alignment shrinkToFit="0" vertical="center" wrapText="1"/>
    </xf>
    <xf borderId="0" fillId="0" fontId="2" numFmtId="0" xfId="0" applyAlignment="1" applyFont="1">
      <alignment readingOrder="0" vertical="bottom"/>
    </xf>
    <xf borderId="0" fillId="0" fontId="2" numFmtId="1" xfId="0" applyAlignment="1" applyFont="1" applyNumberFormat="1">
      <alignment horizontal="center"/>
    </xf>
    <xf borderId="0" fillId="0" fontId="1" numFmtId="0" xfId="0" applyAlignment="1" applyFont="1">
      <alignment vertical="bottom"/>
    </xf>
    <xf borderId="0" fillId="5" fontId="19" numFmtId="0" xfId="0" applyAlignment="1" applyFill="1" applyFont="1">
      <alignment horizontal="center"/>
    </xf>
    <xf borderId="0" fillId="0" fontId="27" numFmtId="0" xfId="0" applyAlignment="1" applyFont="1">
      <alignment shrinkToFit="0" vertical="center" wrapText="1"/>
    </xf>
    <xf borderId="0" fillId="5" fontId="19" numFmtId="1" xfId="0" applyAlignment="1" applyFill="1" applyFont="1" applyNumberFormat="1">
      <alignment horizontal="center"/>
    </xf>
    <xf borderId="0" fillId="0" fontId="8" numFmtId="0" xfId="0" applyAlignment="1" applyFont="1">
      <alignment readingOrder="0" shrinkToFit="0" wrapText="0"/>
    </xf>
    <xf borderId="0" fillId="0" fontId="14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49" xfId="0" applyAlignment="1" applyFont="1" applyNumberFormat="1">
      <alignment horizontal="center" readingOrder="0"/>
    </xf>
    <xf borderId="8" fillId="2" fontId="16" numFmtId="0" xfId="0" applyAlignment="1" applyBorder="1" applyFill="1" applyFont="1">
      <alignment shrinkToFit="0" wrapText="0"/>
    </xf>
    <xf borderId="0" fillId="0" fontId="18" numFmtId="164" xfId="0" applyFont="1" applyNumberFormat="1"/>
    <xf borderId="0" fillId="5" fontId="28" numFmtId="0" xfId="0" applyAlignment="1" applyFill="1" applyFont="1">
      <alignment readingOrder="0"/>
    </xf>
    <xf borderId="19" fillId="0" fontId="2" numFmtId="0" xfId="0" applyAlignment="1" applyBorder="1" applyFont="1">
      <alignment readingOrder="0"/>
    </xf>
    <xf borderId="0" fillId="2" fontId="8" numFmtId="0" xfId="0" applyAlignment="1" applyFill="1" applyFont="1">
      <alignment shrinkToFit="0" wrapText="0"/>
    </xf>
    <xf borderId="36" fillId="0" fontId="2" numFmtId="0" xfId="0" applyAlignment="1" applyBorder="1" applyFont="1">
      <alignment readingOrder="0"/>
    </xf>
    <xf borderId="37" fillId="0" fontId="2" numFmtId="0" xfId="0" applyAlignment="1" applyBorder="1" applyFont="1">
      <alignment readingOrder="0"/>
    </xf>
    <xf borderId="38" fillId="6" fontId="2" numFmtId="0" xfId="0" applyAlignment="1" applyBorder="1" applyFill="1" applyFont="1">
      <alignment horizontal="center" readingOrder="0"/>
    </xf>
    <xf borderId="0" fillId="2" fontId="8" numFmtId="0" xfId="0" applyAlignment="1" applyFill="1" applyFont="1">
      <alignment horizontal="left" readingOrder="0" shrinkToFit="0" vertical="center" wrapText="0"/>
    </xf>
    <xf borderId="39" fillId="0" fontId="5" numFmtId="0" xfId="0" applyBorder="1" applyFont="1"/>
    <xf borderId="40" fillId="0" fontId="2" numFmtId="0" xfId="0" applyAlignment="1" applyBorder="1" applyFont="1">
      <alignment readingOrder="0"/>
    </xf>
    <xf borderId="41" fillId="0" fontId="2" numFmtId="0" xfId="0" applyAlignment="1" applyBorder="1" applyFont="1">
      <alignment readingOrder="0"/>
    </xf>
    <xf borderId="42" fillId="0" fontId="2" numFmtId="0" xfId="0" applyAlignment="1" applyBorder="1" applyFont="1">
      <alignment readingOrder="0"/>
    </xf>
    <xf borderId="43" fillId="6" fontId="2" numFmtId="0" xfId="0" applyAlignment="1" applyBorder="1" applyFill="1" applyFont="1">
      <alignment horizontal="center" readingOrder="0"/>
    </xf>
    <xf borderId="44" fillId="0" fontId="5" numFmtId="0" xfId="0" applyBorder="1" applyFont="1"/>
    <xf borderId="0" fillId="0" fontId="2" numFmtId="49" xfId="0" applyAlignment="1" applyFont="1" applyNumberFormat="1">
      <alignment horizontal="center"/>
    </xf>
    <xf borderId="45" fillId="6" fontId="2" numFmtId="0" xfId="0" applyAlignment="1" applyBorder="1" applyFill="1" applyFont="1">
      <alignment horizontal="center" readingOrder="0"/>
    </xf>
    <xf borderId="46" fillId="0" fontId="5" numFmtId="0" xfId="0" applyBorder="1" applyFont="1"/>
    <xf borderId="0" fillId="0" fontId="2" numFmtId="0" xfId="0" applyAlignment="1" applyFont="1">
      <alignment horizontal="center"/>
    </xf>
    <xf borderId="47" fillId="0" fontId="5" numFmtId="0" xfId="0" applyBorder="1" applyFont="1"/>
    <xf borderId="11" fillId="2" fontId="2" numFmtId="0" xfId="0" applyBorder="1" applyFill="1" applyFont="1"/>
    <xf borderId="27" fillId="0" fontId="5" numFmtId="0" xfId="0" applyBorder="1" applyFont="1"/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6" width="16.38"/>
    <col customWidth="1" hidden="1" min="7" max="7" width="16.38"/>
    <col customWidth="1" min="8" max="8" width="6.38"/>
    <col customWidth="1" min="9" max="9" width="10.13"/>
    <col customWidth="1" min="10" max="10" width="15.13"/>
    <col customWidth="1" min="11" max="13" width="10.13"/>
    <col customWidth="1" min="14" max="14" width="12.63"/>
  </cols>
  <sheetData>
    <row r="1" ht="22.5" customHeight="1">
      <c r="A1" s="1" t="str">
        <f>IFERROR(__xludf.DUMMYFUNCTION("importrange(""https://docs.google.com/spreadsheets/d/12IzKdE78PZ-ibDG550MiOi4Nyf49AANMRCUCOwqVMIY/edit?usp=sharing"",""West RR Schedule!A1:N"")"),"")</f>
        <v/>
      </c>
      <c r="B1" s="2">
        <f>IFERROR(__xludf.DUMMYFUNCTION("""COMPUTED_VALUE"""),1.0)</f>
        <v>1</v>
      </c>
      <c r="C1" s="3">
        <f>IFERROR(__xludf.DUMMYFUNCTION("""COMPUTED_VALUE"""),2.0)</f>
        <v>2</v>
      </c>
      <c r="D1" s="3">
        <f>IFERROR(__xludf.DUMMYFUNCTION("""COMPUTED_VALUE"""),3.0)</f>
        <v>3</v>
      </c>
      <c r="E1" s="3">
        <f>IFERROR(__xludf.DUMMYFUNCTION("""COMPUTED_VALUE"""),4.0)</f>
        <v>4</v>
      </c>
      <c r="F1" s="4">
        <f>IFERROR(__xludf.DUMMYFUNCTION("""COMPUTED_VALUE"""),5.0)</f>
        <v>5</v>
      </c>
      <c r="G1" s="5">
        <f>IFERROR(__xludf.DUMMYFUNCTION("""COMPUTED_VALUE"""),6.0)</f>
        <v>6</v>
      </c>
      <c r="H1" s="6"/>
      <c r="I1" s="7" t="str">
        <f>IFERROR(__xludf.DUMMYFUNCTION("""COMPUTED_VALUE"""),"Schedule: (All times in Pacific Time)")</f>
        <v>Schedule: (All times in Pacific Time)</v>
      </c>
      <c r="N1" s="8"/>
    </row>
    <row r="2" ht="22.5" customHeight="1">
      <c r="A2" s="9" t="str">
        <f>IFERROR(__xludf.DUMMYFUNCTION("""COMPUTED_VALUE"""),"Ampere")</f>
        <v>Ampere</v>
      </c>
      <c r="B2" s="10" t="str">
        <f>IFERROR(__xludf.DUMMYFUNCTION("""COMPUTED_VALUE"""),"Enloe A")</f>
        <v>Enloe A</v>
      </c>
      <c r="C2" s="13" t="str">
        <f>IFERROR(__xludf.DUMMYFUNCTION("""COMPUTED_VALUE"""),"Lakeside B")</f>
        <v>Lakeside B</v>
      </c>
      <c r="D2" s="13" t="str">
        <f>IFERROR(__xludf.DUMMYFUNCTION("""COMPUTED_VALUE"""),"Pullman A")</f>
        <v>Pullman A</v>
      </c>
      <c r="E2" s="13" t="str">
        <f>IFERROR(__xludf.DUMMYFUNCTION("""COMPUTED_VALUE"""),"Rock Bridge A")</f>
        <v>Rock Bridge A</v>
      </c>
      <c r="F2" s="15" t="str">
        <f>IFERROR(__xludf.DUMMYFUNCTION("""COMPUTED_VALUE"""),"Roosevelt B")</f>
        <v>Roosevelt B</v>
      </c>
      <c r="G2" s="17" t="str">
        <f>IFERROR(__xludf.DUMMYFUNCTION("""COMPUTED_VALUE"""),"BYE")</f>
        <v>BYE</v>
      </c>
      <c r="H2" s="6"/>
      <c r="I2" s="19"/>
      <c r="J2" s="19"/>
      <c r="K2" s="19"/>
      <c r="L2" s="19"/>
      <c r="M2" s="19"/>
      <c r="N2" s="20"/>
    </row>
    <row r="3" ht="22.5" customHeight="1">
      <c r="A3" s="9" t="str">
        <f>IFERROR(__xludf.DUMMYFUNCTION("""COMPUTED_VALUE"""),"Bohr")</f>
        <v>Bohr</v>
      </c>
      <c r="B3" s="10" t="str">
        <f>IFERROR(__xludf.DUMMYFUNCTION("""COMPUTED_VALUE"""),"Canyon Crest B")</f>
        <v>Canyon Crest B</v>
      </c>
      <c r="C3" s="10" t="str">
        <f>IFERROR(__xludf.DUMMYFUNCTION("""COMPUTED_VALUE"""),"MSJ A")</f>
        <v>MSJ A</v>
      </c>
      <c r="D3" s="10" t="str">
        <f>IFERROR(__xludf.DUMMYFUNCTION("""COMPUTED_VALUE"""),"North ID STEM")</f>
        <v>North ID STEM</v>
      </c>
      <c r="E3" s="10" t="str">
        <f>IFERROR(__xludf.DUMMYFUNCTION("""COMPUTED_VALUE"""),"Pali")</f>
        <v>Pali</v>
      </c>
      <c r="F3" s="23" t="str">
        <f>IFERROR(__xludf.DUMMYFUNCTION("""COMPUTED_VALUE"""),"Rock Bridge B")</f>
        <v>Rock Bridge B</v>
      </c>
      <c r="G3" s="25" t="str">
        <f>IFERROR(__xludf.DUMMYFUNCTION("""COMPUTED_VALUE"""),"BYE")</f>
        <v>BYE</v>
      </c>
      <c r="H3" s="6"/>
      <c r="I3" s="27"/>
      <c r="J3" s="30" t="str">
        <f>IFERROR(__xludf.DUMMYFUNCTION("""COMPUTED_VALUE"""),"Time")</f>
        <v>Time</v>
      </c>
      <c r="K3" s="33" t="str">
        <f>IFERROR(__xludf.DUMMYFUNCTION("""COMPUTED_VALUE"""),"Room 1")</f>
        <v>Room 1</v>
      </c>
      <c r="L3" s="33" t="str">
        <f>IFERROR(__xludf.DUMMYFUNCTION("""COMPUTED_VALUE"""),"Room 2")</f>
        <v>Room 2</v>
      </c>
      <c r="M3" s="37" t="str">
        <f>IFERROR(__xludf.DUMMYFUNCTION("""COMPUTED_VALUE"""),"Bye")</f>
        <v>Bye</v>
      </c>
      <c r="N3" s="20"/>
    </row>
    <row r="4" ht="22.5" customHeight="1">
      <c r="A4" s="40" t="str">
        <f>IFERROR(__xludf.DUMMYFUNCTION("""COMPUTED_VALUE"""),"Curie")</f>
        <v>Curie</v>
      </c>
      <c r="B4" s="10" t="str">
        <f>IFERROR(__xludf.DUMMYFUNCTION("""COMPUTED_VALUE"""),"Amador Valley B")</f>
        <v>Amador Valley B</v>
      </c>
      <c r="C4" s="10" t="str">
        <f>IFERROR(__xludf.DUMMYFUNCTION("""COMPUTED_VALUE"""),"Lakeside A")</f>
        <v>Lakeside A</v>
      </c>
      <c r="D4" s="10" t="str">
        <f>IFERROR(__xludf.DUMMYFUNCTION("""COMPUTED_VALUE"""),"NoHo A")</f>
        <v>NoHo A</v>
      </c>
      <c r="E4" s="10" t="str">
        <f>IFERROR(__xludf.DUMMYFUNCTION("""COMPUTED_VALUE"""),"Pullman B")</f>
        <v>Pullman B</v>
      </c>
      <c r="F4" s="23" t="str">
        <f>IFERROR(__xludf.DUMMYFUNCTION("""COMPUTED_VALUE"""),"Roosevelt A")</f>
        <v>Roosevelt A</v>
      </c>
      <c r="G4" s="25" t="str">
        <f>IFERROR(__xludf.DUMMYFUNCTION("""COMPUTED_VALUE"""),"BYE")</f>
        <v>BYE</v>
      </c>
      <c r="H4" s="6"/>
      <c r="I4" s="43" t="str">
        <f>IFERROR(__xludf.DUMMYFUNCTION("""COMPUTED_VALUE"""),"Round 1")</f>
        <v>Round 1</v>
      </c>
      <c r="J4" s="45" t="str">
        <f>IFERROR(__xludf.DUMMYFUNCTION("""COMPUTED_VALUE"""),"8:00-8:40")</f>
        <v>8:00-8:40</v>
      </c>
      <c r="K4" s="8" t="str">
        <f>IFERROR(__xludf.DUMMYFUNCTION("""COMPUTED_VALUE"""),"1 vs 2")</f>
        <v>1 vs 2</v>
      </c>
      <c r="L4" s="8" t="str">
        <f>IFERROR(__xludf.DUMMYFUNCTION("""COMPUTED_VALUE"""),"4 vs 5")</f>
        <v>4 vs 5</v>
      </c>
      <c r="M4" s="56">
        <f>IFERROR(__xludf.DUMMYFUNCTION("""COMPUTED_VALUE"""),3.0)</f>
        <v>3</v>
      </c>
      <c r="N4" s="20"/>
    </row>
    <row r="5" ht="22.5" customHeight="1">
      <c r="A5" s="9" t="str">
        <f>IFERROR(__xludf.DUMMYFUNCTION("""COMPUTED_VALUE"""),"Darwin")</f>
        <v>Darwin</v>
      </c>
      <c r="B5" s="10" t="str">
        <f>IFERROR(__xludf.DUMMYFUNCTION("""COMPUTED_VALUE"""),"American B")</f>
        <v>American B</v>
      </c>
      <c r="C5" s="10" t="str">
        <f>IFERROR(__xludf.DUMMYFUNCTION("""COMPUTED_VALUE"""),"Bentonville")</f>
        <v>Bentonville</v>
      </c>
      <c r="D5" s="10" t="str">
        <f>IFERROR(__xludf.DUMMYFUNCTION("""COMPUTED_VALUE"""),"Canyon Crest A")</f>
        <v>Canyon Crest A</v>
      </c>
      <c r="E5" s="10" t="str">
        <f>IFERROR(__xludf.DUMMYFUNCTION("""COMPUTED_VALUE"""),"NCSSM A")</f>
        <v>NCSSM A</v>
      </c>
      <c r="F5" s="23" t="str">
        <f>IFERROR(__xludf.DUMMYFUNCTION("""COMPUTED_VALUE"""),"Wayzata C")</f>
        <v>Wayzata C</v>
      </c>
      <c r="G5" s="25" t="str">
        <f>IFERROR(__xludf.DUMMYFUNCTION("""COMPUTED_VALUE"""),"BYE")</f>
        <v>BYE</v>
      </c>
      <c r="H5" s="36"/>
      <c r="I5" s="43" t="str">
        <f>IFERROR(__xludf.DUMMYFUNCTION("""COMPUTED_VALUE"""),"Round 2")</f>
        <v>Round 2</v>
      </c>
      <c r="J5" s="68" t="str">
        <f>IFERROR(__xludf.DUMMYFUNCTION("""COMPUTED_VALUE"""),"8:40-9:20")</f>
        <v>8:40-9:20</v>
      </c>
      <c r="K5" s="70" t="str">
        <f>IFERROR(__xludf.DUMMYFUNCTION("""COMPUTED_VALUE"""),"3 vs 4")</f>
        <v>3 vs 4</v>
      </c>
      <c r="L5" s="70" t="str">
        <f>IFERROR(__xludf.DUMMYFUNCTION("""COMPUTED_VALUE"""),"2 vs 5")</f>
        <v>2 vs 5</v>
      </c>
      <c r="M5" s="74">
        <f>IFERROR(__xludf.DUMMYFUNCTION("""COMPUTED_VALUE"""),1.0)</f>
        <v>1</v>
      </c>
      <c r="N5" s="20"/>
    </row>
    <row r="6" ht="22.5" customHeight="1">
      <c r="A6" s="40" t="str">
        <f>IFERROR(__xludf.DUMMYFUNCTION("""COMPUTED_VALUE"""),"Einstein")</f>
        <v>Einstein</v>
      </c>
      <c r="B6" s="10" t="str">
        <f>IFERROR(__xludf.DUMMYFUNCTION("""COMPUTED_VALUE"""),"Amador Valley A")</f>
        <v>Amador Valley A</v>
      </c>
      <c r="C6" s="10" t="str">
        <f>IFERROR(__xludf.DUMMYFUNCTION("""COMPUTED_VALUE"""),"Interlake C")</f>
        <v>Interlake C</v>
      </c>
      <c r="D6" s="10" t="str">
        <f>IFERROR(__xludf.DUMMYFUNCTION("""COMPUTED_VALUE"""),"James Ruse B")</f>
        <v>James Ruse B</v>
      </c>
      <c r="E6" s="10" t="str">
        <f>IFERROR(__xludf.DUMMYFUNCTION("""COMPUTED_VALUE"""),"MSJ B")</f>
        <v>MSJ B</v>
      </c>
      <c r="F6" s="23" t="str">
        <f>IFERROR(__xludf.DUMMYFUNCTION("""COMPUTED_VALUE"""),"Tesla STEM A")</f>
        <v>Tesla STEM A</v>
      </c>
      <c r="G6" s="25" t="str">
        <f>IFERROR(__xludf.DUMMYFUNCTION("""COMPUTED_VALUE"""),"BYE")</f>
        <v>BYE</v>
      </c>
      <c r="H6" s="36"/>
      <c r="I6" s="43" t="str">
        <f>IFERROR(__xludf.DUMMYFUNCTION("""COMPUTED_VALUE"""),"Round 3")</f>
        <v>Round 3</v>
      </c>
      <c r="J6" s="68" t="str">
        <f>IFERROR(__xludf.DUMMYFUNCTION("""COMPUTED_VALUE"""),"9:20-10:00")</f>
        <v>9:20-10:00</v>
      </c>
      <c r="K6" s="79" t="str">
        <f>IFERROR(__xludf.DUMMYFUNCTION("""COMPUTED_VALUE"""),"1 vs 5")</f>
        <v>1 vs 5</v>
      </c>
      <c r="L6" s="79" t="str">
        <f>IFERROR(__xludf.DUMMYFUNCTION("""COMPUTED_VALUE"""),"2 vs 3")</f>
        <v>2 vs 3</v>
      </c>
      <c r="M6" s="56">
        <f>IFERROR(__xludf.DUMMYFUNCTION("""COMPUTED_VALUE"""),4.0)</f>
        <v>4</v>
      </c>
      <c r="N6" s="20"/>
    </row>
    <row r="7" ht="22.5" customHeight="1">
      <c r="A7" s="9" t="str">
        <f>IFERROR(__xludf.DUMMYFUNCTION("""COMPUTED_VALUE"""),"Franklin")</f>
        <v>Franklin</v>
      </c>
      <c r="B7" s="10" t="str">
        <f>IFERROR(__xludf.DUMMYFUNCTION("""COMPUTED_VALUE"""),"American A")</f>
        <v>American A</v>
      </c>
      <c r="C7" s="13" t="str">
        <f>IFERROR(__xludf.DUMMYFUNCTION("""COMPUTED_VALUE"""),"Baulkham Hills")</f>
        <v>Baulkham Hills</v>
      </c>
      <c r="D7" s="13" t="str">
        <f>IFERROR(__xludf.DUMMYFUNCTION("""COMPUTED_VALUE"""),"Enloe B")</f>
        <v>Enloe B</v>
      </c>
      <c r="E7" s="10" t="str">
        <f>IFERROR(__xludf.DUMMYFUNCTION("""COMPUTED_VALUE"""),"James Ruse C")</f>
        <v>James Ruse C</v>
      </c>
      <c r="F7" s="23" t="str">
        <f>IFERROR(__xludf.DUMMYFUNCTION("""COMPUTED_VALUE"""),"Wayzata A")</f>
        <v>Wayzata A</v>
      </c>
      <c r="G7" s="25" t="str">
        <f>IFERROR(__xludf.DUMMYFUNCTION("""COMPUTED_VALUE"""),"BYE")</f>
        <v>BYE</v>
      </c>
      <c r="H7" s="36"/>
      <c r="I7" s="43" t="str">
        <f>IFERROR(__xludf.DUMMYFUNCTION("""COMPUTED_VALUE"""),"Round 4")</f>
        <v>Round 4</v>
      </c>
      <c r="J7" s="68" t="str">
        <f>IFERROR(__xludf.DUMMYFUNCTION("""COMPUTED_VALUE"""),"10:00-10:40")</f>
        <v>10:00-10:40</v>
      </c>
      <c r="K7" s="79" t="str">
        <f>IFERROR(__xludf.DUMMYFUNCTION("""COMPUTED_VALUE"""),"3 vs 5")</f>
        <v>3 vs 5</v>
      </c>
      <c r="L7" s="79" t="str">
        <f>IFERROR(__xludf.DUMMYFUNCTION("""COMPUTED_VALUE"""),"1 vs 4")</f>
        <v>1 vs 4</v>
      </c>
      <c r="M7" s="56">
        <f>IFERROR(__xludf.DUMMYFUNCTION("""COMPUTED_VALUE"""),2.0)</f>
        <v>2</v>
      </c>
      <c r="N7" s="20"/>
    </row>
    <row r="8" ht="22.5" customHeight="1">
      <c r="A8" s="40" t="str">
        <f>IFERROR(__xludf.DUMMYFUNCTION("""COMPUTED_VALUE"""),"Goodall")</f>
        <v>Goodall</v>
      </c>
      <c r="B8" s="13" t="str">
        <f>IFERROR(__xludf.DUMMYFUNCTION("""COMPUTED_VALUE"""),"Interlake A")</f>
        <v>Interlake A</v>
      </c>
      <c r="C8" s="13" t="str">
        <f>IFERROR(__xludf.DUMMYFUNCTION("""COMPUTED_VALUE"""),"James Ruse D")</f>
        <v>James Ruse D</v>
      </c>
      <c r="D8" s="10" t="str">
        <f>IFERROR(__xludf.DUMMYFUNCTION("""COMPUTED_VALUE"""),"NoHo B")</f>
        <v>NoHo B</v>
      </c>
      <c r="E8" s="10" t="str">
        <f>IFERROR(__xludf.DUMMYFUNCTION("""COMPUTED_VALUE"""),"Venice")</f>
        <v>Venice</v>
      </c>
      <c r="F8" s="23" t="str">
        <f>IFERROR(__xludf.DUMMYFUNCTION("""COMPUTED_VALUE"""),"Wayzata B")</f>
        <v>Wayzata B</v>
      </c>
      <c r="G8" s="25" t="str">
        <f>IFERROR(__xludf.DUMMYFUNCTION("""COMPUTED_VALUE"""),"BYE")</f>
        <v>BYE</v>
      </c>
      <c r="H8" s="36"/>
      <c r="I8" s="87" t="str">
        <f>IFERROR(__xludf.DUMMYFUNCTION("""COMPUTED_VALUE"""),"Round 5")</f>
        <v>Round 5</v>
      </c>
      <c r="J8" s="88" t="str">
        <f>IFERROR(__xludf.DUMMYFUNCTION("""COMPUTED_VALUE"""),"10:40-11:20")</f>
        <v>10:40-11:20</v>
      </c>
      <c r="K8" s="91" t="str">
        <f>IFERROR(__xludf.DUMMYFUNCTION("""COMPUTED_VALUE"""),"2 vs 4")</f>
        <v>2 vs 4</v>
      </c>
      <c r="L8" s="91" t="str">
        <f>IFERROR(__xludf.DUMMYFUNCTION("""COMPUTED_VALUE"""),"1 vs 3")</f>
        <v>1 vs 3</v>
      </c>
      <c r="M8" s="94">
        <f>IFERROR(__xludf.DUMMYFUNCTION("""COMPUTED_VALUE"""),5.0)</f>
        <v>5</v>
      </c>
      <c r="N8" s="6"/>
    </row>
    <row r="9" ht="22.5" customHeight="1">
      <c r="A9" s="96" t="str">
        <f>IFERROR(__xludf.DUMMYFUNCTION("""COMPUTED_VALUE"""),"Hawking")</f>
        <v>Hawking</v>
      </c>
      <c r="B9" s="99" t="str">
        <f>IFERROR(__xludf.DUMMYFUNCTION("""COMPUTED_VALUE"""),"Fossil Ridge")</f>
        <v>Fossil Ridge</v>
      </c>
      <c r="C9" s="99" t="str">
        <f>IFERROR(__xludf.DUMMYFUNCTION("""COMPUTED_VALUE"""),"Interlake D")</f>
        <v>Interlake D</v>
      </c>
      <c r="D9" s="99" t="str">
        <f>IFERROR(__xludf.DUMMYFUNCTION("""COMPUTED_VALUE"""),"James Ruse A")</f>
        <v>James Ruse A</v>
      </c>
      <c r="E9" s="99" t="str">
        <f>IFERROR(__xludf.DUMMYFUNCTION("""COMPUTED_VALUE"""),"NCSSM B")</f>
        <v>NCSSM B</v>
      </c>
      <c r="F9" s="102" t="str">
        <f>IFERROR(__xludf.DUMMYFUNCTION("""COMPUTED_VALUE"""),"Tesla STEM B")</f>
        <v>Tesla STEM B</v>
      </c>
      <c r="G9" s="104" t="str">
        <f>IFERROR(__xludf.DUMMYFUNCTION("""COMPUTED_VALUE"""),"BYE")</f>
        <v>BYE</v>
      </c>
      <c r="H9" s="36"/>
      <c r="I9" s="106"/>
      <c r="J9" s="106"/>
      <c r="K9" s="106"/>
      <c r="L9" s="106"/>
      <c r="M9" s="106"/>
      <c r="N9" s="6"/>
    </row>
    <row r="10" ht="22.5" customHeight="1">
      <c r="A10" s="108"/>
      <c r="B10" s="110"/>
      <c r="C10" s="110"/>
      <c r="D10" s="110"/>
      <c r="E10" s="110"/>
      <c r="F10" s="110"/>
      <c r="G10" s="110"/>
      <c r="H10" s="6"/>
      <c r="I10" s="112"/>
      <c r="N10" s="6"/>
    </row>
    <row r="11" ht="22.5" customHeight="1">
      <c r="A11" s="108"/>
      <c r="B11" s="114" t="str">
        <f>IFERROR(__xludf.DUMMYFUNCTION("""COMPUTED_VALUE"""),"Bolded spots have been changed since the original release.")</f>
        <v>Bolded spots have been changed since the original release.</v>
      </c>
      <c r="C11" s="110"/>
      <c r="D11" s="110"/>
      <c r="E11" s="110"/>
      <c r="F11" s="110"/>
      <c r="G11" s="110"/>
      <c r="H11" s="6"/>
      <c r="I11" s="54"/>
      <c r="J11" s="117"/>
      <c r="K11" s="117"/>
      <c r="L11" s="117"/>
      <c r="M11" s="117"/>
      <c r="N11" s="6"/>
    </row>
    <row r="12" ht="22.5" customHeight="1">
      <c r="A12" s="108"/>
      <c r="B12" s="110"/>
      <c r="C12" s="110"/>
      <c r="D12" s="110"/>
      <c r="E12" s="110"/>
      <c r="F12" s="110"/>
      <c r="G12" s="110"/>
      <c r="H12" s="6"/>
      <c r="I12" s="117"/>
      <c r="J12" s="8"/>
      <c r="K12" s="8"/>
      <c r="L12" s="8"/>
      <c r="M12" s="8"/>
      <c r="N12" s="6"/>
    </row>
    <row r="13" ht="22.5" customHeight="1">
      <c r="A13" s="108"/>
      <c r="B13" s="110"/>
      <c r="C13" s="110"/>
      <c r="D13" s="110"/>
      <c r="E13" s="110"/>
      <c r="F13" s="110"/>
      <c r="G13" s="110"/>
      <c r="H13" s="6"/>
      <c r="I13" s="117"/>
      <c r="J13" s="8"/>
      <c r="K13" s="8"/>
      <c r="L13" s="8"/>
      <c r="M13" s="8"/>
      <c r="N13" s="6"/>
    </row>
    <row r="14" ht="22.5" customHeight="1">
      <c r="A14" s="108"/>
      <c r="B14" s="110"/>
      <c r="C14" s="110"/>
      <c r="D14" s="110"/>
      <c r="E14" s="110"/>
      <c r="F14" s="110"/>
      <c r="G14" s="110"/>
      <c r="H14" s="6"/>
      <c r="I14" s="117"/>
      <c r="J14" s="8"/>
      <c r="K14" s="8"/>
      <c r="L14" s="8"/>
      <c r="M14" s="8"/>
      <c r="N14" s="6"/>
    </row>
    <row r="15" ht="22.5" customHeight="1">
      <c r="A15" s="108"/>
      <c r="B15" s="110"/>
      <c r="C15" s="110"/>
      <c r="D15" s="110"/>
      <c r="E15" s="110"/>
      <c r="F15" s="110"/>
      <c r="G15" s="110"/>
      <c r="H15" s="6"/>
      <c r="I15" s="117"/>
      <c r="J15" s="8"/>
      <c r="K15" s="8"/>
      <c r="L15" s="8"/>
      <c r="M15" s="8"/>
      <c r="N15" s="6"/>
    </row>
    <row r="16" ht="22.5" customHeight="1">
      <c r="A16" s="108"/>
      <c r="B16" s="110"/>
      <c r="C16" s="110"/>
      <c r="D16" s="110"/>
      <c r="E16" s="110"/>
      <c r="F16" s="110"/>
      <c r="G16" s="110"/>
      <c r="H16" s="6"/>
      <c r="I16" s="117"/>
      <c r="J16" s="8"/>
      <c r="K16" s="8"/>
      <c r="L16" s="8"/>
      <c r="M16" s="8"/>
      <c r="N16" s="6"/>
    </row>
    <row r="17" ht="22.5" customHeight="1">
      <c r="A17" s="108"/>
      <c r="B17" s="110"/>
      <c r="C17" s="110"/>
      <c r="D17" s="110"/>
      <c r="E17" s="110"/>
      <c r="F17" s="110"/>
      <c r="G17" s="110"/>
      <c r="H17" s="6"/>
      <c r="I17" s="6"/>
      <c r="J17" s="120"/>
      <c r="K17" s="120"/>
      <c r="L17" s="120"/>
      <c r="M17" s="122"/>
      <c r="N17" s="6"/>
    </row>
    <row r="18" ht="22.5" customHeight="1">
      <c r="A18" s="108"/>
      <c r="B18" s="110"/>
      <c r="C18" s="110"/>
      <c r="D18" s="110"/>
      <c r="E18" s="110"/>
      <c r="F18" s="110"/>
      <c r="G18" s="110"/>
      <c r="H18" s="6"/>
      <c r="I18" s="6"/>
      <c r="J18" s="120"/>
      <c r="K18" s="120"/>
      <c r="L18" s="120"/>
      <c r="M18" s="122"/>
      <c r="N18" s="6"/>
    </row>
    <row r="19" ht="22.5" customHeight="1">
      <c r="A19" s="108"/>
      <c r="B19" s="110"/>
      <c r="C19" s="110"/>
      <c r="D19" s="110"/>
      <c r="E19" s="110"/>
      <c r="F19" s="110"/>
      <c r="G19" s="110"/>
      <c r="H19" s="6"/>
      <c r="I19" s="6"/>
      <c r="J19" s="120"/>
      <c r="K19" s="120"/>
      <c r="L19" s="120"/>
      <c r="M19" s="122"/>
      <c r="N19" s="6"/>
    </row>
    <row r="20" ht="22.5" customHeight="1">
      <c r="A20" s="108"/>
      <c r="B20" s="110"/>
      <c r="C20" s="110"/>
      <c r="D20" s="110"/>
      <c r="E20" s="110"/>
      <c r="F20" s="110"/>
      <c r="G20" s="110"/>
      <c r="H20" s="6"/>
      <c r="I20" s="6"/>
      <c r="J20" s="120"/>
      <c r="K20" s="120"/>
      <c r="L20" s="120"/>
      <c r="M20" s="122"/>
      <c r="N20" s="6"/>
    </row>
    <row r="21" ht="22.5" customHeight="1">
      <c r="A21" s="108"/>
      <c r="B21" s="110"/>
      <c r="C21" s="110"/>
      <c r="D21" s="110"/>
      <c r="E21" s="110"/>
      <c r="F21" s="110"/>
      <c r="G21" s="110"/>
      <c r="H21" s="6"/>
      <c r="I21" s="6"/>
      <c r="J21" s="120"/>
      <c r="K21" s="120"/>
      <c r="L21" s="120"/>
      <c r="M21" s="122"/>
      <c r="N21" s="6"/>
    </row>
    <row r="22" ht="22.5" customHeight="1">
      <c r="A22" s="108"/>
      <c r="B22" s="110"/>
      <c r="C22" s="110"/>
      <c r="D22" s="110"/>
      <c r="E22" s="110"/>
      <c r="F22" s="110"/>
      <c r="G22" s="110"/>
      <c r="H22" s="6"/>
      <c r="I22" s="6"/>
      <c r="J22" s="120"/>
      <c r="K22" s="120"/>
      <c r="L22" s="120"/>
      <c r="M22" s="122"/>
      <c r="N22" s="6"/>
    </row>
    <row r="23" ht="22.5" customHeight="1">
      <c r="A23" s="108"/>
      <c r="B23" s="110"/>
      <c r="C23" s="110"/>
      <c r="D23" s="110"/>
      <c r="E23" s="110"/>
      <c r="F23" s="110"/>
      <c r="G23" s="110"/>
      <c r="H23" s="6"/>
      <c r="I23" s="6"/>
      <c r="J23" s="120"/>
      <c r="K23" s="120"/>
      <c r="L23" s="120"/>
      <c r="M23" s="122"/>
      <c r="N23" s="6"/>
    </row>
    <row r="24" ht="22.5" customHeight="1">
      <c r="A24" s="108"/>
      <c r="B24" s="110"/>
      <c r="C24" s="110"/>
      <c r="D24" s="110"/>
      <c r="E24" s="110"/>
      <c r="F24" s="110"/>
      <c r="G24" s="110"/>
      <c r="H24" s="6"/>
      <c r="I24" s="6"/>
      <c r="J24" s="120"/>
      <c r="K24" s="120"/>
      <c r="L24" s="120"/>
      <c r="M24" s="122"/>
      <c r="N24" s="6"/>
    </row>
    <row r="25" ht="22.5" customHeight="1">
      <c r="A25" s="108"/>
      <c r="B25" s="110"/>
      <c r="C25" s="110"/>
      <c r="D25" s="110"/>
      <c r="E25" s="110"/>
      <c r="F25" s="110"/>
      <c r="G25" s="110"/>
      <c r="H25" s="6"/>
      <c r="I25" s="6"/>
      <c r="J25" s="120"/>
      <c r="K25" s="120"/>
      <c r="L25" s="120"/>
      <c r="M25" s="122"/>
      <c r="N25" s="6"/>
    </row>
    <row r="26" ht="22.5" customHeight="1">
      <c r="A26" s="108"/>
      <c r="B26" s="110"/>
      <c r="C26" s="110"/>
      <c r="D26" s="110"/>
      <c r="E26" s="110"/>
      <c r="F26" s="110"/>
      <c r="G26" s="110"/>
      <c r="H26" s="6"/>
      <c r="I26" s="6"/>
      <c r="J26" s="120"/>
      <c r="K26" s="120"/>
      <c r="L26" s="120"/>
      <c r="M26" s="122"/>
      <c r="N26" s="6"/>
    </row>
    <row r="27" ht="22.5" customHeight="1">
      <c r="A27" s="108"/>
      <c r="B27" s="110"/>
      <c r="C27" s="110"/>
      <c r="D27" s="110"/>
      <c r="E27" s="110"/>
      <c r="F27" s="110"/>
      <c r="G27" s="110"/>
      <c r="H27" s="6"/>
      <c r="I27" s="6"/>
      <c r="J27" s="120"/>
      <c r="K27" s="120"/>
      <c r="L27" s="120"/>
      <c r="M27" s="122"/>
      <c r="N27" s="6"/>
    </row>
    <row r="28" ht="22.5" customHeight="1">
      <c r="A28" s="108"/>
      <c r="B28" s="110"/>
      <c r="C28" s="110"/>
      <c r="D28" s="110"/>
      <c r="E28" s="110"/>
      <c r="F28" s="110"/>
      <c r="G28" s="110"/>
      <c r="H28" s="6"/>
      <c r="I28" s="6"/>
      <c r="J28" s="120"/>
      <c r="K28" s="120"/>
      <c r="L28" s="120"/>
      <c r="M28" s="122"/>
      <c r="N28" s="6"/>
    </row>
    <row r="29" ht="22.5" customHeight="1">
      <c r="A29" s="108"/>
      <c r="B29" s="110"/>
      <c r="C29" s="110"/>
      <c r="D29" s="110"/>
      <c r="E29" s="110"/>
      <c r="F29" s="110"/>
      <c r="G29" s="110"/>
      <c r="H29" s="6"/>
      <c r="I29" s="6"/>
      <c r="J29" s="120"/>
      <c r="K29" s="120"/>
      <c r="L29" s="120"/>
      <c r="M29" s="122"/>
      <c r="N29" s="6"/>
    </row>
    <row r="30" ht="22.5" customHeight="1">
      <c r="A30" s="108"/>
      <c r="B30" s="110"/>
      <c r="C30" s="110"/>
      <c r="D30" s="110"/>
      <c r="E30" s="110"/>
      <c r="F30" s="110"/>
      <c r="G30" s="110"/>
      <c r="H30" s="6"/>
      <c r="I30" s="6"/>
      <c r="J30" s="120"/>
      <c r="K30" s="120"/>
      <c r="L30" s="120"/>
      <c r="M30" s="122"/>
      <c r="N30" s="6"/>
    </row>
    <row r="31" ht="22.5" customHeight="1">
      <c r="A31" s="108"/>
      <c r="B31" s="110"/>
      <c r="C31" s="110"/>
      <c r="D31" s="110"/>
      <c r="E31" s="110"/>
      <c r="F31" s="110"/>
      <c r="G31" s="110"/>
      <c r="H31" s="6"/>
      <c r="I31" s="6"/>
      <c r="J31" s="120"/>
      <c r="K31" s="120"/>
      <c r="L31" s="120"/>
      <c r="M31" s="122"/>
      <c r="N31" s="6"/>
    </row>
    <row r="32" ht="22.5" customHeight="1">
      <c r="A32" s="108"/>
      <c r="B32" s="110"/>
      <c r="C32" s="110"/>
      <c r="D32" s="110"/>
      <c r="E32" s="110"/>
      <c r="F32" s="110"/>
      <c r="G32" s="110"/>
      <c r="H32" s="6"/>
      <c r="I32" s="6"/>
      <c r="J32" s="120"/>
      <c r="K32" s="120"/>
      <c r="L32" s="120"/>
      <c r="M32" s="122"/>
      <c r="N32" s="6"/>
    </row>
    <row r="33" ht="22.5" customHeight="1">
      <c r="A33" s="108"/>
      <c r="B33" s="110"/>
      <c r="C33" s="110"/>
      <c r="D33" s="110"/>
      <c r="E33" s="110"/>
      <c r="F33" s="110"/>
      <c r="G33" s="110"/>
      <c r="H33" s="6"/>
      <c r="I33" s="6"/>
      <c r="J33" s="120"/>
      <c r="K33" s="120"/>
      <c r="L33" s="120"/>
      <c r="M33" s="122"/>
      <c r="N33" s="6"/>
    </row>
    <row r="34" ht="22.5" customHeight="1">
      <c r="A34" s="108"/>
      <c r="B34" s="110"/>
      <c r="C34" s="110"/>
      <c r="D34" s="110"/>
      <c r="E34" s="110"/>
      <c r="F34" s="110"/>
      <c r="G34" s="110"/>
      <c r="H34" s="6"/>
      <c r="I34" s="6"/>
      <c r="J34" s="120"/>
      <c r="K34" s="120"/>
      <c r="L34" s="120"/>
      <c r="M34" s="122"/>
      <c r="N34" s="6"/>
    </row>
    <row r="35" ht="22.5" customHeight="1">
      <c r="A35" s="108"/>
      <c r="B35" s="110"/>
      <c r="C35" s="110"/>
      <c r="D35" s="110"/>
      <c r="E35" s="110"/>
      <c r="F35" s="110"/>
      <c r="G35" s="110"/>
      <c r="H35" s="6"/>
      <c r="I35" s="6"/>
      <c r="J35" s="120"/>
      <c r="K35" s="120"/>
      <c r="L35" s="120"/>
      <c r="M35" s="122"/>
      <c r="N35" s="6"/>
    </row>
    <row r="36" ht="22.5" customHeight="1">
      <c r="A36" s="108"/>
      <c r="B36" s="110"/>
      <c r="C36" s="110"/>
      <c r="D36" s="110"/>
      <c r="E36" s="110"/>
      <c r="F36" s="110"/>
      <c r="G36" s="110"/>
      <c r="H36" s="6"/>
      <c r="I36" s="6"/>
      <c r="J36" s="120"/>
      <c r="K36" s="120"/>
      <c r="L36" s="120"/>
      <c r="M36" s="122"/>
      <c r="N36" s="6"/>
    </row>
    <row r="37" ht="22.5" customHeight="1">
      <c r="A37" s="108"/>
      <c r="B37" s="110"/>
      <c r="C37" s="110"/>
      <c r="D37" s="110"/>
      <c r="E37" s="110"/>
      <c r="F37" s="110"/>
      <c r="G37" s="110"/>
      <c r="H37" s="6"/>
      <c r="I37" s="6"/>
      <c r="J37" s="120"/>
      <c r="K37" s="120"/>
      <c r="L37" s="120"/>
      <c r="M37" s="122"/>
      <c r="N37" s="6"/>
    </row>
    <row r="38" ht="22.5" customHeight="1">
      <c r="A38" s="108"/>
      <c r="B38" s="110"/>
      <c r="C38" s="110"/>
      <c r="D38" s="110"/>
      <c r="E38" s="110"/>
      <c r="F38" s="110"/>
      <c r="G38" s="110"/>
      <c r="H38" s="6"/>
      <c r="I38" s="6"/>
      <c r="J38" s="120"/>
      <c r="K38" s="120"/>
      <c r="L38" s="120"/>
      <c r="M38" s="122"/>
      <c r="N38" s="6"/>
    </row>
    <row r="39" ht="22.5" customHeight="1">
      <c r="A39" s="108"/>
      <c r="B39" s="110"/>
      <c r="C39" s="110"/>
      <c r="D39" s="110"/>
      <c r="E39" s="110"/>
      <c r="F39" s="110"/>
      <c r="G39" s="110"/>
      <c r="H39" s="6"/>
      <c r="I39" s="6"/>
      <c r="J39" s="120"/>
      <c r="K39" s="120"/>
      <c r="L39" s="120"/>
      <c r="M39" s="122"/>
      <c r="N39" s="6"/>
    </row>
    <row r="40" ht="22.5" customHeight="1">
      <c r="A40" s="108"/>
      <c r="B40" s="110"/>
      <c r="C40" s="110"/>
      <c r="D40" s="110"/>
      <c r="E40" s="110"/>
      <c r="F40" s="110"/>
      <c r="G40" s="110"/>
      <c r="H40" s="6"/>
      <c r="I40" s="6"/>
      <c r="J40" s="120"/>
      <c r="K40" s="120"/>
      <c r="L40" s="120"/>
      <c r="M40" s="122"/>
      <c r="N40" s="6"/>
    </row>
    <row r="41" ht="22.5" customHeight="1">
      <c r="A41" s="108"/>
      <c r="B41" s="110"/>
      <c r="C41" s="110"/>
      <c r="D41" s="110"/>
      <c r="E41" s="110"/>
      <c r="F41" s="110"/>
      <c r="G41" s="110"/>
      <c r="H41" s="6"/>
      <c r="I41" s="6"/>
      <c r="J41" s="120"/>
      <c r="K41" s="120"/>
      <c r="L41" s="120"/>
      <c r="M41" s="122"/>
      <c r="N41" s="6"/>
    </row>
    <row r="42" ht="22.5" customHeight="1">
      <c r="A42" s="108"/>
      <c r="B42" s="110"/>
      <c r="C42" s="110"/>
      <c r="D42" s="110"/>
      <c r="E42" s="110"/>
      <c r="F42" s="110"/>
      <c r="G42" s="110"/>
      <c r="H42" s="6"/>
      <c r="I42" s="6"/>
      <c r="J42" s="120"/>
      <c r="K42" s="120"/>
      <c r="L42" s="120"/>
      <c r="M42" s="122"/>
      <c r="N42" s="6"/>
    </row>
    <row r="43" ht="22.5" customHeight="1">
      <c r="A43" s="108"/>
      <c r="B43" s="110"/>
      <c r="C43" s="110"/>
      <c r="D43" s="110"/>
      <c r="E43" s="110"/>
      <c r="F43" s="110"/>
      <c r="G43" s="110"/>
      <c r="H43" s="6"/>
      <c r="I43" s="6"/>
      <c r="J43" s="120"/>
      <c r="K43" s="120"/>
      <c r="L43" s="120"/>
      <c r="M43" s="122"/>
      <c r="N43" s="6"/>
    </row>
    <row r="44" ht="22.5" customHeight="1">
      <c r="A44" s="108"/>
      <c r="B44" s="110"/>
      <c r="C44" s="110"/>
      <c r="D44" s="110"/>
      <c r="E44" s="110"/>
      <c r="F44" s="110"/>
      <c r="G44" s="110"/>
      <c r="H44" s="6"/>
      <c r="I44" s="6"/>
      <c r="J44" s="120"/>
      <c r="K44" s="120"/>
      <c r="L44" s="120"/>
      <c r="M44" s="122"/>
      <c r="N44" s="6"/>
    </row>
    <row r="45" ht="22.5" customHeight="1">
      <c r="A45" s="108"/>
      <c r="B45" s="110"/>
      <c r="C45" s="110"/>
      <c r="D45" s="110"/>
      <c r="E45" s="110"/>
      <c r="F45" s="110"/>
      <c r="G45" s="110"/>
      <c r="H45" s="6"/>
      <c r="I45" s="6"/>
      <c r="J45" s="120"/>
      <c r="K45" s="120"/>
      <c r="L45" s="120"/>
      <c r="M45" s="122"/>
      <c r="N45" s="6"/>
    </row>
    <row r="46" ht="22.5" customHeight="1">
      <c r="A46" s="108"/>
      <c r="B46" s="110"/>
      <c r="C46" s="110"/>
      <c r="D46" s="110"/>
      <c r="E46" s="110"/>
      <c r="F46" s="110"/>
      <c r="G46" s="110"/>
      <c r="H46" s="6"/>
      <c r="I46" s="6"/>
      <c r="J46" s="120"/>
      <c r="K46" s="120"/>
      <c r="L46" s="120"/>
      <c r="M46" s="122"/>
      <c r="N46" s="6"/>
    </row>
    <row r="47" ht="22.5" customHeight="1">
      <c r="A47" s="108"/>
      <c r="B47" s="110"/>
      <c r="C47" s="110"/>
      <c r="D47" s="110"/>
      <c r="E47" s="110"/>
      <c r="F47" s="110"/>
      <c r="G47" s="110"/>
      <c r="H47" s="6"/>
      <c r="I47" s="6"/>
      <c r="J47" s="120"/>
      <c r="K47" s="120"/>
      <c r="L47" s="120"/>
      <c r="M47" s="122"/>
      <c r="N47" s="6"/>
    </row>
    <row r="48" ht="22.5" customHeight="1">
      <c r="A48" s="108"/>
      <c r="B48" s="110"/>
      <c r="C48" s="110"/>
      <c r="D48" s="110"/>
      <c r="E48" s="110"/>
      <c r="F48" s="110"/>
      <c r="G48" s="110"/>
      <c r="H48" s="6"/>
      <c r="I48" s="6"/>
      <c r="J48" s="120"/>
      <c r="K48" s="120"/>
      <c r="L48" s="120"/>
      <c r="M48" s="122"/>
      <c r="N48" s="6"/>
    </row>
    <row r="49" ht="22.5" customHeight="1">
      <c r="A49" s="108"/>
      <c r="B49" s="110"/>
      <c r="C49" s="110"/>
      <c r="D49" s="110"/>
      <c r="E49" s="110"/>
      <c r="F49" s="110"/>
      <c r="G49" s="110"/>
      <c r="H49" s="6"/>
      <c r="I49" s="6"/>
      <c r="J49" s="120"/>
      <c r="K49" s="120"/>
      <c r="L49" s="120"/>
      <c r="M49" s="122"/>
      <c r="N49" s="6"/>
    </row>
    <row r="50" ht="22.5" customHeight="1">
      <c r="A50" s="108"/>
      <c r="B50" s="110"/>
      <c r="C50" s="110"/>
      <c r="D50" s="110"/>
      <c r="E50" s="110"/>
      <c r="F50" s="110"/>
      <c r="G50" s="110"/>
      <c r="H50" s="6"/>
      <c r="I50" s="6"/>
      <c r="J50" s="120"/>
      <c r="K50" s="120"/>
      <c r="L50" s="120"/>
      <c r="M50" s="122"/>
      <c r="N50" s="6"/>
    </row>
    <row r="51" ht="22.5" customHeight="1">
      <c r="A51" s="108"/>
      <c r="B51" s="110"/>
      <c r="C51" s="110"/>
      <c r="D51" s="110"/>
      <c r="E51" s="110"/>
      <c r="F51" s="110"/>
      <c r="G51" s="110"/>
      <c r="H51" s="6"/>
      <c r="I51" s="6"/>
      <c r="J51" s="120"/>
      <c r="K51" s="120"/>
      <c r="L51" s="120"/>
      <c r="M51" s="122"/>
      <c r="N51" s="6"/>
    </row>
    <row r="52" ht="22.5" customHeight="1">
      <c r="A52" s="108"/>
      <c r="B52" s="110"/>
      <c r="C52" s="110"/>
      <c r="D52" s="110"/>
      <c r="E52" s="110"/>
      <c r="F52" s="110"/>
      <c r="G52" s="110"/>
      <c r="H52" s="6"/>
      <c r="I52" s="6"/>
      <c r="J52" s="120"/>
      <c r="K52" s="120"/>
      <c r="L52" s="120"/>
      <c r="M52" s="122"/>
      <c r="N52" s="6"/>
    </row>
    <row r="53" ht="22.5" customHeight="1">
      <c r="A53" s="108"/>
      <c r="B53" s="110"/>
      <c r="C53" s="110"/>
      <c r="D53" s="110"/>
      <c r="E53" s="110"/>
      <c r="F53" s="110"/>
      <c r="G53" s="110"/>
      <c r="H53" s="6"/>
      <c r="I53" s="6"/>
      <c r="J53" s="120"/>
      <c r="K53" s="120"/>
      <c r="L53" s="120"/>
      <c r="M53" s="122"/>
      <c r="N53" s="6"/>
    </row>
    <row r="54" ht="22.5" customHeight="1">
      <c r="A54" s="108"/>
      <c r="B54" s="110"/>
      <c r="C54" s="110"/>
      <c r="D54" s="110"/>
      <c r="E54" s="110"/>
      <c r="F54" s="110"/>
      <c r="G54" s="110"/>
      <c r="H54" s="6"/>
      <c r="I54" s="6"/>
      <c r="J54" s="120"/>
      <c r="K54" s="120"/>
      <c r="L54" s="120"/>
      <c r="M54" s="122"/>
      <c r="N54" s="6"/>
    </row>
    <row r="55" ht="22.5" customHeight="1">
      <c r="A55" s="108"/>
      <c r="B55" s="110"/>
      <c r="C55" s="110"/>
      <c r="D55" s="110"/>
      <c r="E55" s="110"/>
      <c r="F55" s="110"/>
      <c r="G55" s="110"/>
      <c r="H55" s="6"/>
      <c r="I55" s="6"/>
      <c r="J55" s="120"/>
      <c r="K55" s="120"/>
      <c r="L55" s="120"/>
      <c r="M55" s="122"/>
      <c r="N55" s="6"/>
    </row>
    <row r="56" ht="22.5" customHeight="1">
      <c r="A56" s="108"/>
      <c r="B56" s="110"/>
      <c r="C56" s="110"/>
      <c r="D56" s="110"/>
      <c r="E56" s="110"/>
      <c r="F56" s="110"/>
      <c r="G56" s="110"/>
      <c r="H56" s="6"/>
      <c r="I56" s="6"/>
      <c r="J56" s="120"/>
      <c r="K56" s="120"/>
      <c r="L56" s="120"/>
      <c r="M56" s="122"/>
      <c r="N56" s="6"/>
    </row>
    <row r="57" ht="22.5" customHeight="1">
      <c r="A57" s="108"/>
      <c r="B57" s="110"/>
      <c r="C57" s="110"/>
      <c r="D57" s="110"/>
      <c r="E57" s="110"/>
      <c r="F57" s="110"/>
      <c r="G57" s="110"/>
      <c r="H57" s="6"/>
      <c r="I57" s="6"/>
      <c r="J57" s="120"/>
      <c r="K57" s="120"/>
      <c r="L57" s="120"/>
      <c r="M57" s="122"/>
      <c r="N57" s="6"/>
    </row>
    <row r="58" ht="22.5" customHeight="1">
      <c r="A58" s="108"/>
      <c r="B58" s="110"/>
      <c r="C58" s="110"/>
      <c r="D58" s="110"/>
      <c r="E58" s="110"/>
      <c r="F58" s="110"/>
      <c r="G58" s="110"/>
      <c r="H58" s="6"/>
      <c r="I58" s="6"/>
      <c r="J58" s="120"/>
      <c r="K58" s="120"/>
      <c r="L58" s="120"/>
      <c r="M58" s="122"/>
      <c r="N58" s="6"/>
    </row>
    <row r="59" ht="22.5" customHeight="1">
      <c r="A59" s="108"/>
      <c r="B59" s="110"/>
      <c r="C59" s="110"/>
      <c r="D59" s="110"/>
      <c r="E59" s="110"/>
      <c r="F59" s="110"/>
      <c r="G59" s="110"/>
      <c r="H59" s="6"/>
      <c r="I59" s="6"/>
      <c r="J59" s="120"/>
      <c r="K59" s="120"/>
      <c r="L59" s="120"/>
      <c r="M59" s="122"/>
      <c r="N59" s="6"/>
    </row>
    <row r="60" ht="22.5" customHeight="1">
      <c r="A60" s="108"/>
      <c r="B60" s="110"/>
      <c r="C60" s="110"/>
      <c r="D60" s="110"/>
      <c r="E60" s="110"/>
      <c r="F60" s="110"/>
      <c r="G60" s="110"/>
      <c r="H60" s="6"/>
      <c r="I60" s="6"/>
      <c r="J60" s="120"/>
      <c r="K60" s="120"/>
      <c r="L60" s="120"/>
      <c r="M60" s="122"/>
      <c r="N60" s="6"/>
    </row>
    <row r="61" ht="22.5" customHeight="1">
      <c r="A61" s="108"/>
      <c r="B61" s="110"/>
      <c r="C61" s="110"/>
      <c r="D61" s="110"/>
      <c r="E61" s="110"/>
      <c r="F61" s="110"/>
      <c r="G61" s="110"/>
      <c r="H61" s="6"/>
      <c r="I61" s="6"/>
      <c r="J61" s="120"/>
      <c r="K61" s="120"/>
      <c r="L61" s="120"/>
      <c r="M61" s="122"/>
      <c r="N61" s="6"/>
    </row>
    <row r="62" ht="22.5" customHeight="1">
      <c r="A62" s="108"/>
      <c r="B62" s="110"/>
      <c r="C62" s="110"/>
      <c r="D62" s="110"/>
      <c r="E62" s="110"/>
      <c r="F62" s="110"/>
      <c r="G62" s="110"/>
      <c r="H62" s="6"/>
      <c r="I62" s="6"/>
      <c r="J62" s="120"/>
      <c r="K62" s="120"/>
      <c r="L62" s="120"/>
      <c r="M62" s="122"/>
      <c r="N62" s="6"/>
    </row>
    <row r="63" ht="22.5" customHeight="1">
      <c r="A63" s="108"/>
      <c r="B63" s="110"/>
      <c r="C63" s="110"/>
      <c r="D63" s="110"/>
      <c r="E63" s="110"/>
      <c r="F63" s="110"/>
      <c r="G63" s="110"/>
      <c r="H63" s="6"/>
      <c r="I63" s="6"/>
      <c r="J63" s="120"/>
      <c r="K63" s="120"/>
      <c r="L63" s="120"/>
      <c r="M63" s="122"/>
      <c r="N63" s="6"/>
    </row>
    <row r="64" ht="22.5" customHeight="1">
      <c r="A64" s="108"/>
      <c r="B64" s="110"/>
      <c r="C64" s="110"/>
      <c r="D64" s="110"/>
      <c r="E64" s="110"/>
      <c r="F64" s="110"/>
      <c r="G64" s="110"/>
      <c r="H64" s="6"/>
      <c r="I64" s="6"/>
      <c r="J64" s="120"/>
      <c r="K64" s="120"/>
      <c r="L64" s="120"/>
      <c r="M64" s="122"/>
      <c r="N64" s="6"/>
    </row>
    <row r="65" ht="22.5" customHeight="1">
      <c r="A65" s="108"/>
      <c r="B65" s="110"/>
      <c r="C65" s="110"/>
      <c r="D65" s="110"/>
      <c r="E65" s="110"/>
      <c r="F65" s="110"/>
      <c r="G65" s="110"/>
      <c r="H65" s="6"/>
      <c r="I65" s="6"/>
      <c r="J65" s="120"/>
      <c r="K65" s="120"/>
      <c r="L65" s="120"/>
      <c r="M65" s="122"/>
      <c r="N65" s="6"/>
    </row>
    <row r="66" ht="22.5" customHeight="1">
      <c r="A66" s="108"/>
      <c r="B66" s="110"/>
      <c r="C66" s="110"/>
      <c r="D66" s="110"/>
      <c r="E66" s="110"/>
      <c r="F66" s="110"/>
      <c r="G66" s="110"/>
      <c r="H66" s="6"/>
      <c r="I66" s="6"/>
      <c r="J66" s="120"/>
      <c r="K66" s="120"/>
      <c r="L66" s="120"/>
      <c r="M66" s="122"/>
      <c r="N66" s="6"/>
    </row>
    <row r="67" ht="22.5" customHeight="1">
      <c r="A67" s="108"/>
      <c r="B67" s="110"/>
      <c r="C67" s="110"/>
      <c r="D67" s="110"/>
      <c r="E67" s="110"/>
      <c r="F67" s="110"/>
      <c r="G67" s="110"/>
      <c r="H67" s="6"/>
      <c r="I67" s="6"/>
      <c r="J67" s="120"/>
      <c r="K67" s="120"/>
      <c r="L67" s="120"/>
      <c r="M67" s="122"/>
      <c r="N67" s="6"/>
    </row>
    <row r="68" ht="22.5" customHeight="1">
      <c r="A68" s="108"/>
      <c r="B68" s="110"/>
      <c r="C68" s="110"/>
      <c r="D68" s="110"/>
      <c r="E68" s="110"/>
      <c r="F68" s="110"/>
      <c r="G68" s="110"/>
      <c r="H68" s="6"/>
      <c r="I68" s="6"/>
      <c r="J68" s="120"/>
      <c r="K68" s="120"/>
      <c r="L68" s="120"/>
      <c r="M68" s="122"/>
      <c r="N68" s="6"/>
    </row>
    <row r="69" ht="22.5" customHeight="1">
      <c r="A69" s="108"/>
      <c r="B69" s="110"/>
      <c r="C69" s="110"/>
      <c r="D69" s="110"/>
      <c r="E69" s="110"/>
      <c r="F69" s="110"/>
      <c r="G69" s="110"/>
      <c r="H69" s="6"/>
      <c r="I69" s="6"/>
      <c r="J69" s="120"/>
      <c r="K69" s="120"/>
      <c r="L69" s="120"/>
      <c r="M69" s="122"/>
      <c r="N69" s="6"/>
    </row>
    <row r="70" ht="22.5" customHeight="1">
      <c r="A70" s="108"/>
      <c r="B70" s="110"/>
      <c r="C70" s="110"/>
      <c r="D70" s="110"/>
      <c r="E70" s="110"/>
      <c r="F70" s="110"/>
      <c r="G70" s="110"/>
      <c r="H70" s="6"/>
      <c r="I70" s="6"/>
      <c r="J70" s="120"/>
      <c r="K70" s="120"/>
      <c r="L70" s="120"/>
      <c r="M70" s="122"/>
      <c r="N70" s="6"/>
    </row>
    <row r="71" ht="22.5" customHeight="1">
      <c r="A71" s="108"/>
      <c r="B71" s="110"/>
      <c r="C71" s="110"/>
      <c r="D71" s="110"/>
      <c r="E71" s="110"/>
      <c r="F71" s="110"/>
      <c r="G71" s="110"/>
      <c r="H71" s="6"/>
      <c r="I71" s="6"/>
      <c r="J71" s="120"/>
      <c r="K71" s="120"/>
      <c r="L71" s="120"/>
      <c r="M71" s="122"/>
      <c r="N71" s="6"/>
    </row>
    <row r="72" ht="22.5" customHeight="1">
      <c r="A72" s="108"/>
      <c r="B72" s="110"/>
      <c r="C72" s="110"/>
      <c r="D72" s="110"/>
      <c r="E72" s="110"/>
      <c r="F72" s="110"/>
      <c r="G72" s="110"/>
      <c r="H72" s="6"/>
      <c r="I72" s="6"/>
      <c r="J72" s="120"/>
      <c r="K72" s="120"/>
      <c r="L72" s="120"/>
      <c r="M72" s="122"/>
      <c r="N72" s="6"/>
    </row>
    <row r="73" ht="22.5" customHeight="1">
      <c r="A73" s="108"/>
      <c r="B73" s="110"/>
      <c r="C73" s="110"/>
      <c r="D73" s="110"/>
      <c r="E73" s="110"/>
      <c r="F73" s="110"/>
      <c r="G73" s="110"/>
      <c r="H73" s="6"/>
      <c r="I73" s="6"/>
      <c r="J73" s="120"/>
      <c r="K73" s="120"/>
      <c r="L73" s="120"/>
      <c r="M73" s="122"/>
      <c r="N73" s="6"/>
    </row>
    <row r="74" ht="22.5" customHeight="1">
      <c r="A74" s="108"/>
      <c r="B74" s="110"/>
      <c r="C74" s="110"/>
      <c r="D74" s="110"/>
      <c r="E74" s="110"/>
      <c r="F74" s="110"/>
      <c r="G74" s="110"/>
      <c r="H74" s="6"/>
      <c r="I74" s="6"/>
      <c r="J74" s="120"/>
      <c r="K74" s="120"/>
      <c r="L74" s="120"/>
      <c r="M74" s="122"/>
      <c r="N74" s="6"/>
    </row>
    <row r="75" ht="22.5" customHeight="1">
      <c r="A75" s="108"/>
      <c r="B75" s="110"/>
      <c r="C75" s="110"/>
      <c r="D75" s="110"/>
      <c r="E75" s="110"/>
      <c r="F75" s="110"/>
      <c r="G75" s="110"/>
      <c r="H75" s="6"/>
      <c r="I75" s="6"/>
      <c r="J75" s="120"/>
      <c r="K75" s="120"/>
      <c r="L75" s="120"/>
      <c r="M75" s="122"/>
      <c r="N75" s="6"/>
    </row>
    <row r="76" ht="22.5" customHeight="1">
      <c r="A76" s="108"/>
      <c r="B76" s="110"/>
      <c r="C76" s="110"/>
      <c r="D76" s="110"/>
      <c r="E76" s="110"/>
      <c r="F76" s="110"/>
      <c r="G76" s="110"/>
      <c r="H76" s="6"/>
      <c r="I76" s="6"/>
      <c r="J76" s="120"/>
      <c r="K76" s="120"/>
      <c r="L76" s="120"/>
      <c r="M76" s="122"/>
      <c r="N76" s="6"/>
    </row>
    <row r="77" ht="22.5" customHeight="1">
      <c r="A77" s="108"/>
      <c r="B77" s="110"/>
      <c r="C77" s="110"/>
      <c r="D77" s="110"/>
      <c r="E77" s="110"/>
      <c r="F77" s="110"/>
      <c r="G77" s="110"/>
      <c r="H77" s="6"/>
      <c r="I77" s="6"/>
      <c r="J77" s="120"/>
      <c r="K77" s="120"/>
      <c r="L77" s="120"/>
      <c r="M77" s="122"/>
      <c r="N77" s="6"/>
    </row>
    <row r="78" ht="22.5" customHeight="1">
      <c r="A78" s="108"/>
      <c r="B78" s="110"/>
      <c r="C78" s="110"/>
      <c r="D78" s="110"/>
      <c r="E78" s="110"/>
      <c r="F78" s="110"/>
      <c r="G78" s="110"/>
      <c r="H78" s="6"/>
      <c r="I78" s="6"/>
      <c r="J78" s="120"/>
      <c r="K78" s="120"/>
      <c r="L78" s="120"/>
      <c r="M78" s="122"/>
      <c r="N78" s="6"/>
    </row>
    <row r="79" ht="22.5" customHeight="1">
      <c r="A79" s="108"/>
      <c r="B79" s="110"/>
      <c r="C79" s="110"/>
      <c r="D79" s="110"/>
      <c r="E79" s="110"/>
      <c r="F79" s="110"/>
      <c r="G79" s="110"/>
      <c r="H79" s="6"/>
      <c r="I79" s="6"/>
      <c r="J79" s="120"/>
      <c r="K79" s="120"/>
      <c r="L79" s="120"/>
      <c r="M79" s="122"/>
      <c r="N79" s="6"/>
    </row>
    <row r="80" ht="22.5" customHeight="1">
      <c r="A80" s="108"/>
      <c r="B80" s="110"/>
      <c r="C80" s="110"/>
      <c r="D80" s="110"/>
      <c r="E80" s="110"/>
      <c r="F80" s="110"/>
      <c r="G80" s="110"/>
      <c r="H80" s="6"/>
      <c r="I80" s="6"/>
      <c r="J80" s="120"/>
      <c r="K80" s="120"/>
      <c r="L80" s="120"/>
      <c r="M80" s="122"/>
      <c r="N80" s="6"/>
    </row>
    <row r="81" ht="22.5" customHeight="1">
      <c r="A81" s="108"/>
      <c r="B81" s="110"/>
      <c r="C81" s="110"/>
      <c r="D81" s="110"/>
      <c r="E81" s="110"/>
      <c r="F81" s="110"/>
      <c r="G81" s="110"/>
      <c r="H81" s="6"/>
      <c r="I81" s="6"/>
      <c r="J81" s="120"/>
      <c r="K81" s="120"/>
      <c r="L81" s="120"/>
      <c r="M81" s="122"/>
      <c r="N81" s="6"/>
    </row>
    <row r="82" ht="22.5" customHeight="1">
      <c r="A82" s="108"/>
      <c r="B82" s="110"/>
      <c r="C82" s="110"/>
      <c r="D82" s="110"/>
      <c r="E82" s="110"/>
      <c r="F82" s="110"/>
      <c r="G82" s="110"/>
      <c r="H82" s="6"/>
      <c r="I82" s="6"/>
      <c r="J82" s="120"/>
      <c r="K82" s="120"/>
      <c r="L82" s="120"/>
      <c r="M82" s="122"/>
      <c r="N82" s="6"/>
    </row>
    <row r="83" ht="22.5" customHeight="1">
      <c r="A83" s="108"/>
      <c r="B83" s="110"/>
      <c r="C83" s="110"/>
      <c r="D83" s="110"/>
      <c r="E83" s="110"/>
      <c r="F83" s="110"/>
      <c r="G83" s="110"/>
      <c r="H83" s="6"/>
      <c r="I83" s="6"/>
      <c r="J83" s="120"/>
      <c r="K83" s="120"/>
      <c r="L83" s="120"/>
      <c r="M83" s="122"/>
      <c r="N83" s="6"/>
    </row>
    <row r="84" ht="22.5" customHeight="1">
      <c r="A84" s="108"/>
      <c r="B84" s="110"/>
      <c r="C84" s="110"/>
      <c r="D84" s="110"/>
      <c r="E84" s="110"/>
      <c r="F84" s="110"/>
      <c r="G84" s="110"/>
      <c r="H84" s="6"/>
      <c r="I84" s="6"/>
      <c r="J84" s="120"/>
      <c r="K84" s="120"/>
      <c r="L84" s="120"/>
      <c r="M84" s="122"/>
      <c r="N84" s="6"/>
    </row>
    <row r="85" ht="22.5" customHeight="1">
      <c r="A85" s="108"/>
      <c r="B85" s="110"/>
      <c r="C85" s="110"/>
      <c r="D85" s="110"/>
      <c r="E85" s="110"/>
      <c r="F85" s="110"/>
      <c r="G85" s="110"/>
      <c r="H85" s="6"/>
      <c r="I85" s="6"/>
      <c r="J85" s="120"/>
      <c r="K85" s="120"/>
      <c r="L85" s="120"/>
      <c r="M85" s="122"/>
      <c r="N85" s="6"/>
    </row>
    <row r="86" ht="22.5" customHeight="1">
      <c r="A86" s="108"/>
      <c r="B86" s="110"/>
      <c r="C86" s="110"/>
      <c r="D86" s="110"/>
      <c r="E86" s="110"/>
      <c r="F86" s="110"/>
      <c r="G86" s="110"/>
      <c r="H86" s="6"/>
      <c r="I86" s="6"/>
      <c r="J86" s="120"/>
      <c r="K86" s="120"/>
      <c r="L86" s="120"/>
      <c r="M86" s="122"/>
      <c r="N86" s="6"/>
    </row>
    <row r="87" ht="22.5" customHeight="1">
      <c r="A87" s="108"/>
      <c r="B87" s="110"/>
      <c r="C87" s="110"/>
      <c r="D87" s="110"/>
      <c r="E87" s="110"/>
      <c r="F87" s="110"/>
      <c r="G87" s="110"/>
      <c r="H87" s="6"/>
      <c r="I87" s="6"/>
      <c r="J87" s="120"/>
      <c r="K87" s="120"/>
      <c r="L87" s="120"/>
      <c r="M87" s="122"/>
      <c r="N87" s="6"/>
    </row>
    <row r="88" ht="22.5" customHeight="1">
      <c r="A88" s="108"/>
      <c r="B88" s="110"/>
      <c r="C88" s="110"/>
      <c r="D88" s="110"/>
      <c r="E88" s="110"/>
      <c r="F88" s="110"/>
      <c r="G88" s="110"/>
      <c r="H88" s="6"/>
      <c r="I88" s="6"/>
      <c r="J88" s="120"/>
      <c r="K88" s="120"/>
      <c r="L88" s="120"/>
      <c r="M88" s="122"/>
      <c r="N88" s="6"/>
    </row>
    <row r="89" ht="22.5" customHeight="1">
      <c r="A89" s="108"/>
      <c r="B89" s="110"/>
      <c r="C89" s="110"/>
      <c r="D89" s="110"/>
      <c r="E89" s="110"/>
      <c r="F89" s="110"/>
      <c r="G89" s="110"/>
      <c r="H89" s="6"/>
      <c r="I89" s="6"/>
      <c r="J89" s="120"/>
      <c r="K89" s="120"/>
      <c r="L89" s="120"/>
      <c r="M89" s="122"/>
      <c r="N89" s="6"/>
    </row>
    <row r="90" ht="22.5" customHeight="1">
      <c r="A90" s="108"/>
      <c r="B90" s="110"/>
      <c r="C90" s="110"/>
      <c r="D90" s="110"/>
      <c r="E90" s="110"/>
      <c r="F90" s="110"/>
      <c r="G90" s="110"/>
      <c r="H90" s="6"/>
      <c r="I90" s="6"/>
      <c r="J90" s="120"/>
      <c r="K90" s="120"/>
      <c r="L90" s="120"/>
      <c r="M90" s="122"/>
      <c r="N90" s="6"/>
    </row>
    <row r="91" ht="22.5" customHeight="1">
      <c r="A91" s="108"/>
      <c r="B91" s="110"/>
      <c r="C91" s="110"/>
      <c r="D91" s="110"/>
      <c r="E91" s="110"/>
      <c r="F91" s="110"/>
      <c r="G91" s="110"/>
      <c r="H91" s="6"/>
      <c r="I91" s="6"/>
      <c r="J91" s="120"/>
      <c r="K91" s="120"/>
      <c r="L91" s="120"/>
      <c r="M91" s="122"/>
      <c r="N91" s="6"/>
    </row>
    <row r="92" ht="22.5" customHeight="1">
      <c r="A92" s="108"/>
      <c r="B92" s="110"/>
      <c r="C92" s="110"/>
      <c r="D92" s="110"/>
      <c r="E92" s="110"/>
      <c r="F92" s="110"/>
      <c r="G92" s="110"/>
      <c r="H92" s="6"/>
      <c r="I92" s="6"/>
      <c r="J92" s="120"/>
      <c r="K92" s="120"/>
      <c r="L92" s="120"/>
      <c r="M92" s="122"/>
      <c r="N92" s="6"/>
    </row>
    <row r="93" ht="22.5" customHeight="1">
      <c r="A93" s="108"/>
      <c r="B93" s="110"/>
      <c r="C93" s="110"/>
      <c r="D93" s="110"/>
      <c r="E93" s="110"/>
      <c r="F93" s="110"/>
      <c r="G93" s="110"/>
      <c r="H93" s="6"/>
      <c r="I93" s="6"/>
      <c r="J93" s="120"/>
      <c r="K93" s="120"/>
      <c r="L93" s="120"/>
      <c r="M93" s="122"/>
      <c r="N93" s="6"/>
    </row>
    <row r="94" ht="22.5" customHeight="1">
      <c r="A94" s="108"/>
      <c r="B94" s="110"/>
      <c r="C94" s="110"/>
      <c r="D94" s="110"/>
      <c r="E94" s="110"/>
      <c r="F94" s="110"/>
      <c r="G94" s="110"/>
      <c r="H94" s="6"/>
      <c r="I94" s="6"/>
      <c r="J94" s="120"/>
      <c r="K94" s="120"/>
      <c r="L94" s="120"/>
      <c r="M94" s="122"/>
      <c r="N94" s="6"/>
    </row>
    <row r="95" ht="22.5" customHeight="1">
      <c r="A95" s="108"/>
      <c r="B95" s="110"/>
      <c r="C95" s="110"/>
      <c r="D95" s="110"/>
      <c r="E95" s="110"/>
      <c r="F95" s="110"/>
      <c r="G95" s="110"/>
      <c r="H95" s="6"/>
      <c r="I95" s="6"/>
      <c r="J95" s="120"/>
      <c r="K95" s="120"/>
      <c r="L95" s="120"/>
      <c r="M95" s="122"/>
      <c r="N95" s="6"/>
    </row>
    <row r="96" ht="22.5" customHeight="1">
      <c r="A96" s="108"/>
      <c r="B96" s="110"/>
      <c r="C96" s="110"/>
      <c r="D96" s="110"/>
      <c r="E96" s="110"/>
      <c r="F96" s="110"/>
      <c r="G96" s="110"/>
      <c r="H96" s="6"/>
      <c r="I96" s="6"/>
      <c r="J96" s="120"/>
      <c r="K96" s="120"/>
      <c r="L96" s="120"/>
      <c r="M96" s="122"/>
      <c r="N96" s="6"/>
    </row>
    <row r="97" ht="22.5" customHeight="1">
      <c r="A97" s="108"/>
      <c r="B97" s="110"/>
      <c r="C97" s="110"/>
      <c r="D97" s="110"/>
      <c r="E97" s="110"/>
      <c r="F97" s="110"/>
      <c r="G97" s="110"/>
      <c r="H97" s="6"/>
      <c r="I97" s="6"/>
      <c r="J97" s="120"/>
      <c r="K97" s="120"/>
      <c r="L97" s="120"/>
      <c r="M97" s="122"/>
      <c r="N97" s="6"/>
    </row>
    <row r="98" ht="22.5" customHeight="1">
      <c r="A98" s="108"/>
      <c r="B98" s="110"/>
      <c r="C98" s="110"/>
      <c r="D98" s="110"/>
      <c r="E98" s="110"/>
      <c r="F98" s="110"/>
      <c r="G98" s="110"/>
      <c r="H98" s="6"/>
      <c r="I98" s="6"/>
      <c r="J98" s="120"/>
      <c r="K98" s="120"/>
      <c r="L98" s="120"/>
      <c r="M98" s="122"/>
      <c r="N98" s="6"/>
    </row>
    <row r="99" ht="22.5" customHeight="1">
      <c r="A99" s="108"/>
      <c r="B99" s="110"/>
      <c r="C99" s="110"/>
      <c r="D99" s="110"/>
      <c r="E99" s="110"/>
      <c r="F99" s="110"/>
      <c r="G99" s="110"/>
      <c r="H99" s="6"/>
      <c r="I99" s="6"/>
      <c r="J99" s="120"/>
      <c r="K99" s="120"/>
      <c r="L99" s="120"/>
      <c r="M99" s="122"/>
      <c r="N99" s="6"/>
    </row>
    <row r="100" ht="22.5" customHeight="1">
      <c r="A100" s="108"/>
      <c r="B100" s="110"/>
      <c r="C100" s="110"/>
      <c r="D100" s="110"/>
      <c r="E100" s="110"/>
      <c r="F100" s="110"/>
      <c r="G100" s="110"/>
      <c r="H100" s="6"/>
      <c r="I100" s="6"/>
      <c r="J100" s="120"/>
      <c r="K100" s="120"/>
      <c r="L100" s="120"/>
      <c r="M100" s="122"/>
      <c r="N100" s="6"/>
    </row>
    <row r="101" ht="22.5" customHeight="1">
      <c r="A101" s="108"/>
      <c r="B101" s="110"/>
      <c r="C101" s="110"/>
      <c r="D101" s="110"/>
      <c r="E101" s="110"/>
      <c r="F101" s="110"/>
      <c r="G101" s="110"/>
      <c r="H101" s="6"/>
      <c r="I101" s="6"/>
      <c r="J101" s="120"/>
      <c r="K101" s="120"/>
      <c r="L101" s="120"/>
      <c r="M101" s="122"/>
      <c r="N101" s="6"/>
    </row>
    <row r="102" ht="22.5" customHeight="1">
      <c r="A102" s="108"/>
      <c r="B102" s="110"/>
      <c r="C102" s="110"/>
      <c r="D102" s="110"/>
      <c r="E102" s="110"/>
      <c r="F102" s="110"/>
      <c r="G102" s="110"/>
      <c r="H102" s="6"/>
      <c r="I102" s="6"/>
      <c r="J102" s="120"/>
      <c r="K102" s="120"/>
      <c r="L102" s="120"/>
      <c r="M102" s="122"/>
      <c r="N102" s="6"/>
    </row>
    <row r="103" ht="22.5" customHeight="1">
      <c r="A103" s="108"/>
      <c r="B103" s="110"/>
      <c r="C103" s="110"/>
      <c r="D103" s="110"/>
      <c r="E103" s="110"/>
      <c r="F103" s="110"/>
      <c r="G103" s="110"/>
      <c r="H103" s="6"/>
      <c r="I103" s="6"/>
      <c r="J103" s="120"/>
      <c r="K103" s="120"/>
      <c r="L103" s="120"/>
      <c r="M103" s="122"/>
      <c r="N103" s="6"/>
    </row>
    <row r="104" ht="22.5" customHeight="1">
      <c r="A104" s="108"/>
      <c r="B104" s="110"/>
      <c r="C104" s="110"/>
      <c r="D104" s="110"/>
      <c r="E104" s="110"/>
      <c r="F104" s="110"/>
      <c r="G104" s="110"/>
      <c r="H104" s="6"/>
      <c r="I104" s="6"/>
      <c r="J104" s="120"/>
      <c r="K104" s="120"/>
      <c r="L104" s="120"/>
      <c r="M104" s="122"/>
      <c r="N104" s="6"/>
    </row>
    <row r="105" ht="22.5" customHeight="1">
      <c r="A105" s="108"/>
      <c r="B105" s="110"/>
      <c r="C105" s="110"/>
      <c r="D105" s="110"/>
      <c r="E105" s="110"/>
      <c r="F105" s="110"/>
      <c r="G105" s="110"/>
      <c r="H105" s="6"/>
      <c r="I105" s="6"/>
      <c r="J105" s="120"/>
      <c r="K105" s="120"/>
      <c r="L105" s="120"/>
      <c r="M105" s="122"/>
      <c r="N105" s="6"/>
    </row>
    <row r="106" ht="22.5" customHeight="1">
      <c r="A106" s="108"/>
      <c r="B106" s="110"/>
      <c r="C106" s="110"/>
      <c r="D106" s="110"/>
      <c r="E106" s="110"/>
      <c r="F106" s="110"/>
      <c r="G106" s="110"/>
      <c r="H106" s="6"/>
      <c r="I106" s="6"/>
      <c r="J106" s="120"/>
      <c r="K106" s="120"/>
      <c r="L106" s="120"/>
      <c r="M106" s="122"/>
      <c r="N106" s="6"/>
    </row>
    <row r="107" ht="22.5" customHeight="1">
      <c r="A107" s="108"/>
      <c r="B107" s="110"/>
      <c r="C107" s="110"/>
      <c r="D107" s="110"/>
      <c r="E107" s="110"/>
      <c r="F107" s="110"/>
      <c r="G107" s="110"/>
      <c r="H107" s="6"/>
      <c r="I107" s="6"/>
      <c r="J107" s="120"/>
      <c r="K107" s="120"/>
      <c r="L107" s="120"/>
      <c r="M107" s="122"/>
      <c r="N107" s="6"/>
    </row>
    <row r="108" ht="22.5" customHeight="1">
      <c r="A108" s="108"/>
      <c r="B108" s="110"/>
      <c r="C108" s="110"/>
      <c r="D108" s="110"/>
      <c r="E108" s="110"/>
      <c r="F108" s="110"/>
      <c r="G108" s="110"/>
      <c r="H108" s="6"/>
      <c r="I108" s="6"/>
      <c r="J108" s="120"/>
      <c r="K108" s="120"/>
      <c r="L108" s="120"/>
      <c r="M108" s="122"/>
      <c r="N108" s="6"/>
    </row>
    <row r="109" ht="22.5" customHeight="1">
      <c r="A109" s="108"/>
      <c r="B109" s="110"/>
      <c r="C109" s="110"/>
      <c r="D109" s="110"/>
      <c r="E109" s="110"/>
      <c r="F109" s="110"/>
      <c r="G109" s="110"/>
      <c r="H109" s="6"/>
      <c r="I109" s="6"/>
      <c r="J109" s="120"/>
      <c r="K109" s="120"/>
      <c r="L109" s="120"/>
      <c r="M109" s="122"/>
      <c r="N109" s="6"/>
    </row>
    <row r="110" ht="22.5" customHeight="1">
      <c r="A110" s="108"/>
      <c r="B110" s="110"/>
      <c r="C110" s="110"/>
      <c r="D110" s="110"/>
      <c r="E110" s="110"/>
      <c r="F110" s="110"/>
      <c r="G110" s="110"/>
      <c r="H110" s="6"/>
      <c r="I110" s="6"/>
      <c r="J110" s="120"/>
      <c r="K110" s="120"/>
      <c r="L110" s="120"/>
      <c r="M110" s="122"/>
      <c r="N110" s="6"/>
    </row>
    <row r="111" ht="22.5" customHeight="1">
      <c r="A111" s="108"/>
      <c r="B111" s="110"/>
      <c r="C111" s="110"/>
      <c r="D111" s="110"/>
      <c r="E111" s="110"/>
      <c r="F111" s="110"/>
      <c r="G111" s="110"/>
      <c r="H111" s="6"/>
      <c r="I111" s="6"/>
      <c r="J111" s="120"/>
      <c r="K111" s="120"/>
      <c r="L111" s="120"/>
      <c r="M111" s="122"/>
      <c r="N111" s="6"/>
    </row>
    <row r="112" ht="22.5" customHeight="1">
      <c r="A112" s="108"/>
      <c r="B112" s="110"/>
      <c r="C112" s="110"/>
      <c r="D112" s="110"/>
      <c r="E112" s="110"/>
      <c r="F112" s="110"/>
      <c r="G112" s="110"/>
      <c r="H112" s="6"/>
      <c r="I112" s="6"/>
      <c r="J112" s="120"/>
      <c r="K112" s="120"/>
      <c r="L112" s="120"/>
      <c r="M112" s="122"/>
      <c r="N112" s="6"/>
    </row>
    <row r="113" ht="22.5" customHeight="1">
      <c r="A113" s="108"/>
      <c r="B113" s="110"/>
      <c r="C113" s="110"/>
      <c r="D113" s="110"/>
      <c r="E113" s="110"/>
      <c r="F113" s="110"/>
      <c r="G113" s="110"/>
      <c r="H113" s="6"/>
      <c r="I113" s="6"/>
      <c r="J113" s="120"/>
      <c r="K113" s="120"/>
      <c r="L113" s="120"/>
      <c r="M113" s="122"/>
      <c r="N113" s="6"/>
    </row>
    <row r="114" ht="22.5" customHeight="1">
      <c r="A114" s="108"/>
      <c r="B114" s="110"/>
      <c r="C114" s="110"/>
      <c r="D114" s="110"/>
      <c r="E114" s="110"/>
      <c r="F114" s="110"/>
      <c r="G114" s="110"/>
      <c r="H114" s="6"/>
      <c r="I114" s="6"/>
      <c r="J114" s="120"/>
      <c r="K114" s="120"/>
      <c r="L114" s="120"/>
      <c r="M114" s="122"/>
      <c r="N114" s="6"/>
    </row>
    <row r="115" ht="22.5" customHeight="1">
      <c r="A115" s="108"/>
      <c r="B115" s="110"/>
      <c r="C115" s="110"/>
      <c r="D115" s="110"/>
      <c r="E115" s="110"/>
      <c r="F115" s="110"/>
      <c r="G115" s="110"/>
      <c r="H115" s="6"/>
      <c r="I115" s="6"/>
      <c r="J115" s="120"/>
      <c r="K115" s="120"/>
      <c r="L115" s="120"/>
      <c r="M115" s="122"/>
      <c r="N115" s="6"/>
    </row>
    <row r="116" ht="22.5" customHeight="1">
      <c r="A116" s="108"/>
      <c r="B116" s="110"/>
      <c r="C116" s="110"/>
      <c r="D116" s="110"/>
      <c r="E116" s="110"/>
      <c r="F116" s="110"/>
      <c r="G116" s="110"/>
      <c r="H116" s="6"/>
      <c r="I116" s="6"/>
      <c r="J116" s="120"/>
      <c r="K116" s="120"/>
      <c r="L116" s="120"/>
      <c r="M116" s="122"/>
      <c r="N116" s="6"/>
    </row>
    <row r="117" ht="22.5" customHeight="1">
      <c r="A117" s="108"/>
      <c r="B117" s="110"/>
      <c r="C117" s="110"/>
      <c r="D117" s="110"/>
      <c r="E117" s="110"/>
      <c r="F117" s="110"/>
      <c r="G117" s="110"/>
      <c r="H117" s="6"/>
      <c r="I117" s="6"/>
      <c r="J117" s="120"/>
      <c r="K117" s="120"/>
      <c r="L117" s="120"/>
      <c r="M117" s="122"/>
      <c r="N117" s="6"/>
    </row>
    <row r="118" ht="22.5" customHeight="1">
      <c r="A118" s="108"/>
      <c r="B118" s="110"/>
      <c r="C118" s="110"/>
      <c r="D118" s="110"/>
      <c r="E118" s="110"/>
      <c r="F118" s="110"/>
      <c r="G118" s="110"/>
      <c r="H118" s="6"/>
      <c r="I118" s="6"/>
      <c r="J118" s="120"/>
      <c r="K118" s="120"/>
      <c r="L118" s="120"/>
      <c r="M118" s="122"/>
      <c r="N118" s="6"/>
    </row>
    <row r="119" ht="22.5" customHeight="1">
      <c r="A119" s="108"/>
      <c r="B119" s="110"/>
      <c r="C119" s="110"/>
      <c r="D119" s="110"/>
      <c r="E119" s="110"/>
      <c r="F119" s="110"/>
      <c r="G119" s="110"/>
      <c r="H119" s="6"/>
      <c r="I119" s="6"/>
      <c r="J119" s="120"/>
      <c r="K119" s="120"/>
      <c r="L119" s="120"/>
      <c r="M119" s="122"/>
      <c r="N119" s="6"/>
    </row>
    <row r="120" ht="22.5" customHeight="1">
      <c r="A120" s="108"/>
      <c r="B120" s="110"/>
      <c r="C120" s="110"/>
      <c r="D120" s="110"/>
      <c r="E120" s="110"/>
      <c r="F120" s="110"/>
      <c r="G120" s="110"/>
      <c r="H120" s="6"/>
      <c r="I120" s="6"/>
      <c r="J120" s="120"/>
      <c r="K120" s="120"/>
      <c r="L120" s="120"/>
      <c r="M120" s="122"/>
      <c r="N120" s="6"/>
    </row>
    <row r="121" ht="22.5" customHeight="1">
      <c r="A121" s="108"/>
      <c r="B121" s="110"/>
      <c r="C121" s="110"/>
      <c r="D121" s="110"/>
      <c r="E121" s="110"/>
      <c r="F121" s="110"/>
      <c r="G121" s="110"/>
      <c r="H121" s="6"/>
      <c r="I121" s="6"/>
      <c r="J121" s="120"/>
      <c r="K121" s="120"/>
      <c r="L121" s="120"/>
      <c r="M121" s="122"/>
      <c r="N121" s="6"/>
    </row>
    <row r="122" ht="22.5" customHeight="1">
      <c r="A122" s="108"/>
      <c r="B122" s="110"/>
      <c r="C122" s="110"/>
      <c r="D122" s="110"/>
      <c r="E122" s="110"/>
      <c r="F122" s="110"/>
      <c r="G122" s="110"/>
      <c r="H122" s="6"/>
      <c r="I122" s="6"/>
      <c r="J122" s="120"/>
      <c r="K122" s="120"/>
      <c r="L122" s="120"/>
      <c r="M122" s="122"/>
      <c r="N122" s="6"/>
    </row>
    <row r="123" ht="22.5" customHeight="1">
      <c r="A123" s="108"/>
      <c r="B123" s="110"/>
      <c r="C123" s="110"/>
      <c r="D123" s="110"/>
      <c r="E123" s="110"/>
      <c r="F123" s="110"/>
      <c r="G123" s="110"/>
      <c r="H123" s="6"/>
      <c r="I123" s="6"/>
      <c r="J123" s="120"/>
      <c r="K123" s="120"/>
      <c r="L123" s="120"/>
      <c r="M123" s="122"/>
      <c r="N123" s="6"/>
    </row>
    <row r="124" ht="22.5" customHeight="1">
      <c r="A124" s="108"/>
      <c r="B124" s="110"/>
      <c r="C124" s="110"/>
      <c r="D124" s="110"/>
      <c r="E124" s="110"/>
      <c r="F124" s="110"/>
      <c r="G124" s="110"/>
      <c r="H124" s="6"/>
      <c r="I124" s="6"/>
      <c r="J124" s="120"/>
      <c r="K124" s="120"/>
      <c r="L124" s="120"/>
      <c r="M124" s="122"/>
      <c r="N124" s="6"/>
    </row>
    <row r="125" ht="22.5" customHeight="1">
      <c r="A125" s="108"/>
      <c r="B125" s="110"/>
      <c r="C125" s="110"/>
      <c r="D125" s="110"/>
      <c r="E125" s="110"/>
      <c r="F125" s="110"/>
      <c r="G125" s="110"/>
      <c r="H125" s="6"/>
      <c r="I125" s="6"/>
      <c r="J125" s="120"/>
      <c r="K125" s="120"/>
      <c r="L125" s="120"/>
      <c r="M125" s="122"/>
      <c r="N125" s="6"/>
    </row>
    <row r="126" ht="22.5" customHeight="1">
      <c r="A126" s="108"/>
      <c r="B126" s="110"/>
      <c r="C126" s="110"/>
      <c r="D126" s="110"/>
      <c r="E126" s="110"/>
      <c r="F126" s="110"/>
      <c r="G126" s="110"/>
      <c r="H126" s="6"/>
      <c r="I126" s="6"/>
      <c r="J126" s="120"/>
      <c r="K126" s="120"/>
      <c r="L126" s="120"/>
      <c r="M126" s="122"/>
      <c r="N126" s="6"/>
    </row>
    <row r="127" ht="22.5" customHeight="1">
      <c r="A127" s="108"/>
      <c r="B127" s="110"/>
      <c r="C127" s="110"/>
      <c r="D127" s="110"/>
      <c r="E127" s="110"/>
      <c r="F127" s="110"/>
      <c r="G127" s="110"/>
      <c r="H127" s="6"/>
      <c r="I127" s="6"/>
      <c r="J127" s="120"/>
      <c r="K127" s="120"/>
      <c r="L127" s="120"/>
      <c r="M127" s="122"/>
      <c r="N127" s="6"/>
    </row>
    <row r="128" ht="22.5" customHeight="1">
      <c r="A128" s="108"/>
      <c r="B128" s="110"/>
      <c r="C128" s="110"/>
      <c r="D128" s="110"/>
      <c r="E128" s="110"/>
      <c r="F128" s="110"/>
      <c r="G128" s="110"/>
      <c r="H128" s="6"/>
      <c r="I128" s="6"/>
      <c r="J128" s="120"/>
      <c r="K128" s="120"/>
      <c r="L128" s="120"/>
      <c r="M128" s="122"/>
      <c r="N128" s="6"/>
    </row>
    <row r="129" ht="22.5" customHeight="1">
      <c r="A129" s="108"/>
      <c r="B129" s="110"/>
      <c r="C129" s="110"/>
      <c r="D129" s="110"/>
      <c r="E129" s="110"/>
      <c r="F129" s="110"/>
      <c r="G129" s="110"/>
      <c r="H129" s="6"/>
      <c r="I129" s="6"/>
      <c r="J129" s="120"/>
      <c r="K129" s="120"/>
      <c r="L129" s="120"/>
      <c r="M129" s="122"/>
      <c r="N129" s="6"/>
    </row>
    <row r="130" ht="22.5" customHeight="1">
      <c r="A130" s="108"/>
      <c r="B130" s="110"/>
      <c r="C130" s="110"/>
      <c r="D130" s="110"/>
      <c r="E130" s="110"/>
      <c r="F130" s="110"/>
      <c r="G130" s="110"/>
      <c r="H130" s="6"/>
      <c r="I130" s="6"/>
      <c r="J130" s="120"/>
      <c r="K130" s="120"/>
      <c r="L130" s="120"/>
      <c r="M130" s="122"/>
      <c r="N130" s="6"/>
    </row>
    <row r="131" ht="22.5" customHeight="1">
      <c r="A131" s="108"/>
      <c r="B131" s="110"/>
      <c r="C131" s="110"/>
      <c r="D131" s="110"/>
      <c r="E131" s="110"/>
      <c r="F131" s="110"/>
      <c r="G131" s="110"/>
      <c r="H131" s="6"/>
      <c r="I131" s="6"/>
      <c r="J131" s="120"/>
      <c r="K131" s="120"/>
      <c r="L131" s="120"/>
      <c r="M131" s="122"/>
      <c r="N131" s="6"/>
    </row>
    <row r="132" ht="22.5" customHeight="1">
      <c r="A132" s="108"/>
      <c r="B132" s="110"/>
      <c r="C132" s="110"/>
      <c r="D132" s="110"/>
      <c r="E132" s="110"/>
      <c r="F132" s="110"/>
      <c r="G132" s="110"/>
      <c r="H132" s="6"/>
      <c r="I132" s="6"/>
      <c r="J132" s="120"/>
      <c r="K132" s="120"/>
      <c r="L132" s="120"/>
      <c r="M132" s="122"/>
      <c r="N132" s="6"/>
    </row>
    <row r="133" ht="22.5" customHeight="1">
      <c r="A133" s="108"/>
      <c r="B133" s="110"/>
      <c r="C133" s="110"/>
      <c r="D133" s="110"/>
      <c r="E133" s="110"/>
      <c r="F133" s="110"/>
      <c r="G133" s="110"/>
      <c r="H133" s="6"/>
      <c r="I133" s="6"/>
      <c r="J133" s="120"/>
      <c r="K133" s="120"/>
      <c r="L133" s="120"/>
      <c r="M133" s="122"/>
      <c r="N133" s="6"/>
    </row>
    <row r="134" ht="22.5" customHeight="1">
      <c r="A134" s="108"/>
      <c r="B134" s="110"/>
      <c r="C134" s="110"/>
      <c r="D134" s="110"/>
      <c r="E134" s="110"/>
      <c r="F134" s="110"/>
      <c r="G134" s="110"/>
      <c r="H134" s="6"/>
      <c r="I134" s="6"/>
      <c r="J134" s="120"/>
      <c r="K134" s="120"/>
      <c r="L134" s="120"/>
      <c r="M134" s="122"/>
      <c r="N134" s="6"/>
    </row>
    <row r="135" ht="22.5" customHeight="1">
      <c r="A135" s="108"/>
      <c r="B135" s="110"/>
      <c r="C135" s="110"/>
      <c r="D135" s="110"/>
      <c r="E135" s="110"/>
      <c r="F135" s="110"/>
      <c r="G135" s="110"/>
      <c r="H135" s="6"/>
      <c r="I135" s="6"/>
      <c r="J135" s="120"/>
      <c r="K135" s="120"/>
      <c r="L135" s="120"/>
      <c r="M135" s="122"/>
      <c r="N135" s="6"/>
    </row>
    <row r="136" ht="22.5" customHeight="1">
      <c r="A136" s="108"/>
      <c r="B136" s="110"/>
      <c r="C136" s="110"/>
      <c r="D136" s="110"/>
      <c r="E136" s="110"/>
      <c r="F136" s="110"/>
      <c r="G136" s="110"/>
      <c r="H136" s="6"/>
      <c r="I136" s="6"/>
      <c r="J136" s="120"/>
      <c r="K136" s="120"/>
      <c r="L136" s="120"/>
      <c r="M136" s="122"/>
      <c r="N136" s="6"/>
    </row>
    <row r="137" ht="22.5" customHeight="1">
      <c r="A137" s="108"/>
      <c r="B137" s="110"/>
      <c r="C137" s="110"/>
      <c r="D137" s="110"/>
      <c r="E137" s="110"/>
      <c r="F137" s="110"/>
      <c r="G137" s="110"/>
      <c r="H137" s="6"/>
      <c r="I137" s="6"/>
      <c r="J137" s="120"/>
      <c r="K137" s="120"/>
      <c r="L137" s="120"/>
      <c r="M137" s="122"/>
      <c r="N137" s="6"/>
    </row>
    <row r="138" ht="22.5" customHeight="1">
      <c r="A138" s="108"/>
      <c r="B138" s="110"/>
      <c r="C138" s="110"/>
      <c r="D138" s="110"/>
      <c r="E138" s="110"/>
      <c r="F138" s="110"/>
      <c r="G138" s="110"/>
      <c r="H138" s="6"/>
      <c r="I138" s="6"/>
      <c r="J138" s="120"/>
      <c r="K138" s="120"/>
      <c r="L138" s="120"/>
      <c r="M138" s="122"/>
      <c r="N138" s="6"/>
    </row>
    <row r="139" ht="22.5" customHeight="1">
      <c r="A139" s="108"/>
      <c r="B139" s="110"/>
      <c r="C139" s="110"/>
      <c r="D139" s="110"/>
      <c r="E139" s="110"/>
      <c r="F139" s="110"/>
      <c r="G139" s="110"/>
      <c r="H139" s="6"/>
      <c r="I139" s="6"/>
      <c r="J139" s="120"/>
      <c r="K139" s="120"/>
      <c r="L139" s="120"/>
      <c r="M139" s="122"/>
      <c r="N139" s="6"/>
    </row>
    <row r="140" ht="22.5" customHeight="1">
      <c r="A140" s="108"/>
      <c r="B140" s="110"/>
      <c r="C140" s="110"/>
      <c r="D140" s="110"/>
      <c r="E140" s="110"/>
      <c r="F140" s="110"/>
      <c r="G140" s="110"/>
      <c r="H140" s="6"/>
      <c r="I140" s="6"/>
      <c r="J140" s="120"/>
      <c r="K140" s="120"/>
      <c r="L140" s="120"/>
      <c r="M140" s="122"/>
      <c r="N140" s="6"/>
    </row>
    <row r="141" ht="22.5" customHeight="1">
      <c r="A141" s="108"/>
      <c r="B141" s="110"/>
      <c r="C141" s="110"/>
      <c r="D141" s="110"/>
      <c r="E141" s="110"/>
      <c r="F141" s="110"/>
      <c r="G141" s="110"/>
      <c r="H141" s="6"/>
      <c r="I141" s="6"/>
      <c r="J141" s="120"/>
      <c r="K141" s="120"/>
      <c r="L141" s="120"/>
      <c r="M141" s="122"/>
      <c r="N141" s="6"/>
    </row>
    <row r="142" ht="22.5" customHeight="1">
      <c r="A142" s="108"/>
      <c r="B142" s="110"/>
      <c r="C142" s="110"/>
      <c r="D142" s="110"/>
      <c r="E142" s="110"/>
      <c r="F142" s="110"/>
      <c r="G142" s="110"/>
      <c r="H142" s="6"/>
      <c r="I142" s="6"/>
      <c r="J142" s="120"/>
      <c r="K142" s="120"/>
      <c r="L142" s="120"/>
      <c r="M142" s="122"/>
      <c r="N142" s="6"/>
    </row>
    <row r="143" ht="22.5" customHeight="1">
      <c r="A143" s="108"/>
      <c r="B143" s="110"/>
      <c r="C143" s="110"/>
      <c r="D143" s="110"/>
      <c r="E143" s="110"/>
      <c r="F143" s="110"/>
      <c r="G143" s="110"/>
      <c r="H143" s="6"/>
      <c r="I143" s="6"/>
      <c r="J143" s="120"/>
      <c r="K143" s="120"/>
      <c r="L143" s="120"/>
      <c r="M143" s="122"/>
      <c r="N143" s="6"/>
    </row>
    <row r="144" ht="22.5" customHeight="1">
      <c r="A144" s="108"/>
      <c r="B144" s="110"/>
      <c r="C144" s="110"/>
      <c r="D144" s="110"/>
      <c r="E144" s="110"/>
      <c r="F144" s="110"/>
      <c r="G144" s="110"/>
      <c r="H144" s="6"/>
      <c r="I144" s="6"/>
      <c r="J144" s="120"/>
      <c r="K144" s="120"/>
      <c r="L144" s="120"/>
      <c r="M144" s="122"/>
      <c r="N144" s="6"/>
    </row>
    <row r="145" ht="22.5" customHeight="1">
      <c r="A145" s="108"/>
      <c r="B145" s="110"/>
      <c r="C145" s="110"/>
      <c r="D145" s="110"/>
      <c r="E145" s="110"/>
      <c r="F145" s="110"/>
      <c r="G145" s="110"/>
      <c r="H145" s="6"/>
      <c r="I145" s="6"/>
      <c r="J145" s="120"/>
      <c r="K145" s="120"/>
      <c r="L145" s="120"/>
      <c r="M145" s="122"/>
      <c r="N145" s="6"/>
    </row>
    <row r="146" ht="22.5" customHeight="1">
      <c r="A146" s="108"/>
      <c r="B146" s="110"/>
      <c r="C146" s="110"/>
      <c r="D146" s="110"/>
      <c r="E146" s="110"/>
      <c r="F146" s="110"/>
      <c r="G146" s="110"/>
      <c r="H146" s="6"/>
      <c r="I146" s="6"/>
      <c r="J146" s="120"/>
      <c r="K146" s="120"/>
      <c r="L146" s="120"/>
      <c r="M146" s="122"/>
      <c r="N146" s="6"/>
    </row>
    <row r="147" ht="22.5" customHeight="1">
      <c r="A147" s="108"/>
      <c r="B147" s="110"/>
      <c r="C147" s="110"/>
      <c r="D147" s="110"/>
      <c r="E147" s="110"/>
      <c r="F147" s="110"/>
      <c r="G147" s="110"/>
      <c r="H147" s="6"/>
      <c r="I147" s="6"/>
      <c r="J147" s="120"/>
      <c r="K147" s="120"/>
      <c r="L147" s="120"/>
      <c r="M147" s="122"/>
      <c r="N147" s="6"/>
    </row>
    <row r="148" ht="22.5" customHeight="1">
      <c r="A148" s="108"/>
      <c r="B148" s="110"/>
      <c r="C148" s="110"/>
      <c r="D148" s="110"/>
      <c r="E148" s="110"/>
      <c r="F148" s="110"/>
      <c r="G148" s="110"/>
      <c r="H148" s="6"/>
      <c r="I148" s="6"/>
      <c r="J148" s="120"/>
      <c r="K148" s="120"/>
      <c r="L148" s="120"/>
      <c r="M148" s="122"/>
      <c r="N148" s="6"/>
    </row>
    <row r="149" ht="22.5" customHeight="1">
      <c r="A149" s="108"/>
      <c r="B149" s="110"/>
      <c r="C149" s="110"/>
      <c r="D149" s="110"/>
      <c r="E149" s="110"/>
      <c r="F149" s="110"/>
      <c r="G149" s="110"/>
      <c r="H149" s="6"/>
      <c r="I149" s="6"/>
      <c r="J149" s="120"/>
      <c r="K149" s="120"/>
      <c r="L149" s="120"/>
      <c r="M149" s="122"/>
      <c r="N149" s="6"/>
    </row>
    <row r="150" ht="22.5" customHeight="1">
      <c r="A150" s="108"/>
      <c r="B150" s="110"/>
      <c r="C150" s="110"/>
      <c r="D150" s="110"/>
      <c r="E150" s="110"/>
      <c r="F150" s="110"/>
      <c r="G150" s="110"/>
      <c r="H150" s="6"/>
      <c r="I150" s="6"/>
      <c r="J150" s="120"/>
      <c r="K150" s="120"/>
      <c r="L150" s="120"/>
      <c r="M150" s="122"/>
      <c r="N150" s="6"/>
    </row>
    <row r="151" ht="22.5" customHeight="1">
      <c r="A151" s="108"/>
      <c r="B151" s="110"/>
      <c r="C151" s="110"/>
      <c r="D151" s="110"/>
      <c r="E151" s="110"/>
      <c r="F151" s="110"/>
      <c r="G151" s="110"/>
      <c r="H151" s="6"/>
      <c r="I151" s="6"/>
      <c r="J151" s="120"/>
      <c r="K151" s="120"/>
      <c r="L151" s="120"/>
      <c r="M151" s="122"/>
      <c r="N151" s="6"/>
    </row>
    <row r="152" ht="22.5" customHeight="1">
      <c r="A152" s="108"/>
      <c r="B152" s="110"/>
      <c r="C152" s="110"/>
      <c r="D152" s="110"/>
      <c r="E152" s="110"/>
      <c r="F152" s="110"/>
      <c r="G152" s="110"/>
      <c r="H152" s="6"/>
      <c r="I152" s="6"/>
      <c r="J152" s="120"/>
      <c r="K152" s="120"/>
      <c r="L152" s="120"/>
      <c r="M152" s="122"/>
      <c r="N152" s="6"/>
    </row>
    <row r="153" ht="22.5" customHeight="1">
      <c r="A153" s="108"/>
      <c r="B153" s="110"/>
      <c r="C153" s="110"/>
      <c r="D153" s="110"/>
      <c r="E153" s="110"/>
      <c r="F153" s="110"/>
      <c r="G153" s="110"/>
      <c r="H153" s="6"/>
      <c r="I153" s="6"/>
      <c r="J153" s="120"/>
      <c r="K153" s="120"/>
      <c r="L153" s="120"/>
      <c r="M153" s="122"/>
      <c r="N153" s="6"/>
    </row>
    <row r="154" ht="22.5" customHeight="1">
      <c r="A154" s="108"/>
      <c r="B154" s="110"/>
      <c r="C154" s="110"/>
      <c r="D154" s="110"/>
      <c r="E154" s="110"/>
      <c r="F154" s="110"/>
      <c r="G154" s="110"/>
      <c r="H154" s="6"/>
      <c r="I154" s="6"/>
      <c r="J154" s="120"/>
      <c r="K154" s="120"/>
      <c r="L154" s="120"/>
      <c r="M154" s="122"/>
      <c r="N154" s="6"/>
    </row>
    <row r="155" ht="22.5" customHeight="1">
      <c r="A155" s="108"/>
      <c r="B155" s="110"/>
      <c r="C155" s="110"/>
      <c r="D155" s="110"/>
      <c r="E155" s="110"/>
      <c r="F155" s="110"/>
      <c r="G155" s="110"/>
      <c r="H155" s="6"/>
      <c r="I155" s="6"/>
      <c r="J155" s="120"/>
      <c r="K155" s="120"/>
      <c r="L155" s="120"/>
      <c r="M155" s="122"/>
      <c r="N155" s="6"/>
    </row>
    <row r="156" ht="22.5" customHeight="1">
      <c r="A156" s="108"/>
      <c r="B156" s="110"/>
      <c r="C156" s="110"/>
      <c r="D156" s="110"/>
      <c r="E156" s="110"/>
      <c r="F156" s="110"/>
      <c r="G156" s="110"/>
      <c r="H156" s="6"/>
      <c r="I156" s="6"/>
      <c r="J156" s="120"/>
      <c r="K156" s="120"/>
      <c r="L156" s="120"/>
      <c r="M156" s="122"/>
      <c r="N156" s="6"/>
    </row>
    <row r="157" ht="22.5" customHeight="1">
      <c r="A157" s="108"/>
      <c r="B157" s="110"/>
      <c r="C157" s="110"/>
      <c r="D157" s="110"/>
      <c r="E157" s="110"/>
      <c r="F157" s="110"/>
      <c r="G157" s="110"/>
      <c r="H157" s="6"/>
      <c r="I157" s="6"/>
      <c r="J157" s="120"/>
      <c r="K157" s="120"/>
      <c r="L157" s="120"/>
      <c r="M157" s="122"/>
      <c r="N157" s="6"/>
    </row>
    <row r="158" ht="22.5" customHeight="1">
      <c r="A158" s="108"/>
      <c r="B158" s="110"/>
      <c r="C158" s="110"/>
      <c r="D158" s="110"/>
      <c r="E158" s="110"/>
      <c r="F158" s="110"/>
      <c r="G158" s="110"/>
      <c r="H158" s="6"/>
      <c r="I158" s="6"/>
      <c r="J158" s="120"/>
      <c r="K158" s="120"/>
      <c r="L158" s="120"/>
      <c r="M158" s="122"/>
      <c r="N158" s="6"/>
    </row>
    <row r="159" ht="22.5" customHeight="1">
      <c r="A159" s="108"/>
      <c r="B159" s="110"/>
      <c r="C159" s="110"/>
      <c r="D159" s="110"/>
      <c r="E159" s="110"/>
      <c r="F159" s="110"/>
      <c r="G159" s="110"/>
      <c r="H159" s="6"/>
      <c r="I159" s="6"/>
      <c r="J159" s="120"/>
      <c r="K159" s="120"/>
      <c r="L159" s="120"/>
      <c r="M159" s="122"/>
      <c r="N159" s="6"/>
    </row>
    <row r="160" ht="22.5" customHeight="1">
      <c r="A160" s="108"/>
      <c r="B160" s="110"/>
      <c r="C160" s="110"/>
      <c r="D160" s="110"/>
      <c r="E160" s="110"/>
      <c r="F160" s="110"/>
      <c r="G160" s="110"/>
      <c r="H160" s="6"/>
      <c r="I160" s="6"/>
      <c r="J160" s="120"/>
      <c r="K160" s="120"/>
      <c r="L160" s="120"/>
      <c r="M160" s="122"/>
      <c r="N160" s="6"/>
    </row>
    <row r="161" ht="22.5" customHeight="1">
      <c r="A161" s="108"/>
      <c r="B161" s="110"/>
      <c r="C161" s="110"/>
      <c r="D161" s="110"/>
      <c r="E161" s="110"/>
      <c r="F161" s="110"/>
      <c r="G161" s="110"/>
      <c r="H161" s="6"/>
      <c r="I161" s="6"/>
      <c r="J161" s="120"/>
      <c r="K161" s="120"/>
      <c r="L161" s="120"/>
      <c r="M161" s="122"/>
      <c r="N161" s="6"/>
    </row>
    <row r="162" ht="22.5" customHeight="1">
      <c r="A162" s="108"/>
      <c r="B162" s="110"/>
      <c r="C162" s="110"/>
      <c r="D162" s="110"/>
      <c r="E162" s="110"/>
      <c r="F162" s="110"/>
      <c r="G162" s="110"/>
      <c r="H162" s="6"/>
      <c r="I162" s="6"/>
      <c r="J162" s="120"/>
      <c r="K162" s="120"/>
      <c r="L162" s="120"/>
      <c r="M162" s="122"/>
      <c r="N162" s="6"/>
    </row>
    <row r="163" ht="22.5" customHeight="1">
      <c r="A163" s="108"/>
      <c r="B163" s="110"/>
      <c r="C163" s="110"/>
      <c r="D163" s="110"/>
      <c r="E163" s="110"/>
      <c r="F163" s="110"/>
      <c r="G163" s="110"/>
      <c r="H163" s="6"/>
      <c r="I163" s="6"/>
      <c r="J163" s="120"/>
      <c r="K163" s="120"/>
      <c r="L163" s="120"/>
      <c r="M163" s="122"/>
      <c r="N163" s="6"/>
    </row>
    <row r="164" ht="22.5" customHeight="1">
      <c r="A164" s="108"/>
      <c r="B164" s="110"/>
      <c r="C164" s="110"/>
      <c r="D164" s="110"/>
      <c r="E164" s="110"/>
      <c r="F164" s="110"/>
      <c r="G164" s="110"/>
      <c r="H164" s="6"/>
      <c r="I164" s="6"/>
      <c r="J164" s="120"/>
      <c r="K164" s="120"/>
      <c r="L164" s="120"/>
      <c r="M164" s="122"/>
      <c r="N164" s="6"/>
    </row>
    <row r="165" ht="22.5" customHeight="1">
      <c r="A165" s="108"/>
      <c r="B165" s="110"/>
      <c r="C165" s="110"/>
      <c r="D165" s="110"/>
      <c r="E165" s="110"/>
      <c r="F165" s="110"/>
      <c r="G165" s="110"/>
      <c r="H165" s="6"/>
      <c r="I165" s="6"/>
      <c r="J165" s="120"/>
      <c r="K165" s="120"/>
      <c r="L165" s="120"/>
      <c r="M165" s="122"/>
      <c r="N165" s="6"/>
    </row>
    <row r="166" ht="22.5" customHeight="1">
      <c r="A166" s="108"/>
      <c r="B166" s="110"/>
      <c r="C166" s="110"/>
      <c r="D166" s="110"/>
      <c r="E166" s="110"/>
      <c r="F166" s="110"/>
      <c r="G166" s="110"/>
      <c r="H166" s="6"/>
      <c r="I166" s="6"/>
      <c r="J166" s="120"/>
      <c r="K166" s="120"/>
      <c r="L166" s="120"/>
      <c r="M166" s="122"/>
      <c r="N166" s="6"/>
    </row>
    <row r="167" ht="22.5" customHeight="1">
      <c r="A167" s="108"/>
      <c r="B167" s="110"/>
      <c r="C167" s="110"/>
      <c r="D167" s="110"/>
      <c r="E167" s="110"/>
      <c r="F167" s="110"/>
      <c r="G167" s="110"/>
      <c r="H167" s="6"/>
      <c r="I167" s="6"/>
      <c r="J167" s="120"/>
      <c r="K167" s="120"/>
      <c r="L167" s="120"/>
      <c r="M167" s="122"/>
      <c r="N167" s="6"/>
    </row>
    <row r="168" ht="22.5" customHeight="1">
      <c r="A168" s="108"/>
      <c r="B168" s="110"/>
      <c r="C168" s="110"/>
      <c r="D168" s="110"/>
      <c r="E168" s="110"/>
      <c r="F168" s="110"/>
      <c r="G168" s="110"/>
      <c r="H168" s="6"/>
      <c r="I168" s="6"/>
      <c r="J168" s="120"/>
      <c r="K168" s="120"/>
      <c r="L168" s="120"/>
      <c r="M168" s="122"/>
      <c r="N168" s="6"/>
    </row>
    <row r="169" ht="22.5" customHeight="1">
      <c r="A169" s="108"/>
      <c r="B169" s="110"/>
      <c r="C169" s="110"/>
      <c r="D169" s="110"/>
      <c r="E169" s="110"/>
      <c r="F169" s="110"/>
      <c r="G169" s="110"/>
      <c r="H169" s="6"/>
      <c r="I169" s="6"/>
      <c r="J169" s="120"/>
      <c r="K169" s="120"/>
      <c r="L169" s="120"/>
      <c r="M169" s="122"/>
      <c r="N169" s="6"/>
    </row>
    <row r="170" ht="22.5" customHeight="1">
      <c r="A170" s="108"/>
      <c r="B170" s="110"/>
      <c r="C170" s="110"/>
      <c r="D170" s="110"/>
      <c r="E170" s="110"/>
      <c r="F170" s="110"/>
      <c r="G170" s="110"/>
      <c r="H170" s="6"/>
      <c r="I170" s="6"/>
      <c r="J170" s="120"/>
      <c r="K170" s="120"/>
      <c r="L170" s="120"/>
      <c r="M170" s="122"/>
      <c r="N170" s="6"/>
    </row>
    <row r="171" ht="22.5" customHeight="1">
      <c r="A171" s="108"/>
      <c r="B171" s="110"/>
      <c r="C171" s="110"/>
      <c r="D171" s="110"/>
      <c r="E171" s="110"/>
      <c r="F171" s="110"/>
      <c r="G171" s="110"/>
      <c r="H171" s="6"/>
      <c r="I171" s="6"/>
      <c r="J171" s="120"/>
      <c r="K171" s="120"/>
      <c r="L171" s="120"/>
      <c r="M171" s="122"/>
      <c r="N171" s="6"/>
    </row>
    <row r="172" ht="22.5" customHeight="1">
      <c r="A172" s="108"/>
      <c r="B172" s="110"/>
      <c r="C172" s="110"/>
      <c r="D172" s="110"/>
      <c r="E172" s="110"/>
      <c r="F172" s="110"/>
      <c r="G172" s="110"/>
      <c r="H172" s="6"/>
      <c r="I172" s="6"/>
      <c r="J172" s="120"/>
      <c r="K172" s="120"/>
      <c r="L172" s="120"/>
      <c r="M172" s="122"/>
      <c r="N172" s="6"/>
    </row>
    <row r="173" ht="22.5" customHeight="1">
      <c r="A173" s="108"/>
      <c r="B173" s="110"/>
      <c r="C173" s="110"/>
      <c r="D173" s="110"/>
      <c r="E173" s="110"/>
      <c r="F173" s="110"/>
      <c r="G173" s="110"/>
      <c r="H173" s="6"/>
      <c r="I173" s="6"/>
      <c r="J173" s="120"/>
      <c r="K173" s="120"/>
      <c r="L173" s="120"/>
      <c r="M173" s="122"/>
      <c r="N173" s="6"/>
    </row>
    <row r="174" ht="22.5" customHeight="1">
      <c r="A174" s="108"/>
      <c r="B174" s="110"/>
      <c r="C174" s="110"/>
      <c r="D174" s="110"/>
      <c r="E174" s="110"/>
      <c r="F174" s="110"/>
      <c r="G174" s="110"/>
      <c r="H174" s="6"/>
      <c r="I174" s="6"/>
      <c r="J174" s="120"/>
      <c r="K174" s="120"/>
      <c r="L174" s="120"/>
      <c r="M174" s="122"/>
      <c r="N174" s="6"/>
    </row>
    <row r="175" ht="22.5" customHeight="1">
      <c r="A175" s="108"/>
      <c r="B175" s="110"/>
      <c r="C175" s="110"/>
      <c r="D175" s="110"/>
      <c r="E175" s="110"/>
      <c r="F175" s="110"/>
      <c r="G175" s="110"/>
      <c r="H175" s="6"/>
      <c r="I175" s="6"/>
      <c r="J175" s="120"/>
      <c r="K175" s="120"/>
      <c r="L175" s="120"/>
      <c r="M175" s="122"/>
      <c r="N175" s="6"/>
    </row>
    <row r="176" ht="22.5" customHeight="1">
      <c r="A176" s="108"/>
      <c r="B176" s="110"/>
      <c r="C176" s="110"/>
      <c r="D176" s="110"/>
      <c r="E176" s="110"/>
      <c r="F176" s="110"/>
      <c r="G176" s="110"/>
      <c r="H176" s="6"/>
      <c r="I176" s="6"/>
      <c r="J176" s="120"/>
      <c r="K176" s="120"/>
      <c r="L176" s="120"/>
      <c r="M176" s="122"/>
      <c r="N176" s="6"/>
    </row>
    <row r="177" ht="22.5" customHeight="1">
      <c r="A177" s="108"/>
      <c r="B177" s="110"/>
      <c r="C177" s="110"/>
      <c r="D177" s="110"/>
      <c r="E177" s="110"/>
      <c r="F177" s="110"/>
      <c r="G177" s="110"/>
      <c r="H177" s="6"/>
      <c r="I177" s="6"/>
      <c r="J177" s="120"/>
      <c r="K177" s="120"/>
      <c r="L177" s="120"/>
      <c r="M177" s="122"/>
      <c r="N177" s="6"/>
    </row>
    <row r="178" ht="22.5" customHeight="1">
      <c r="A178" s="108"/>
      <c r="B178" s="110"/>
      <c r="C178" s="110"/>
      <c r="D178" s="110"/>
      <c r="E178" s="110"/>
      <c r="F178" s="110"/>
      <c r="G178" s="110"/>
      <c r="H178" s="6"/>
      <c r="I178" s="6"/>
      <c r="J178" s="120"/>
      <c r="K178" s="120"/>
      <c r="L178" s="120"/>
      <c r="M178" s="122"/>
      <c r="N178" s="6"/>
    </row>
    <row r="179" ht="22.5" customHeight="1">
      <c r="A179" s="108"/>
      <c r="B179" s="110"/>
      <c r="C179" s="110"/>
      <c r="D179" s="110"/>
      <c r="E179" s="110"/>
      <c r="F179" s="110"/>
      <c r="G179" s="110"/>
      <c r="H179" s="6"/>
      <c r="I179" s="6"/>
      <c r="J179" s="120"/>
      <c r="K179" s="120"/>
      <c r="L179" s="120"/>
      <c r="M179" s="122"/>
      <c r="N179" s="6"/>
    </row>
    <row r="180" ht="22.5" customHeight="1">
      <c r="A180" s="108"/>
      <c r="B180" s="110"/>
      <c r="C180" s="110"/>
      <c r="D180" s="110"/>
      <c r="E180" s="110"/>
      <c r="F180" s="110"/>
      <c r="G180" s="110"/>
      <c r="H180" s="6"/>
      <c r="I180" s="6"/>
      <c r="J180" s="120"/>
      <c r="K180" s="120"/>
      <c r="L180" s="120"/>
      <c r="M180" s="122"/>
      <c r="N180" s="6"/>
    </row>
    <row r="181" ht="22.5" customHeight="1">
      <c r="A181" s="108"/>
      <c r="B181" s="110"/>
      <c r="C181" s="110"/>
      <c r="D181" s="110"/>
      <c r="E181" s="110"/>
      <c r="F181" s="110"/>
      <c r="G181" s="110"/>
      <c r="H181" s="6"/>
      <c r="I181" s="6"/>
      <c r="J181" s="120"/>
      <c r="K181" s="120"/>
      <c r="L181" s="120"/>
      <c r="M181" s="122"/>
      <c r="N181" s="6"/>
    </row>
    <row r="182" ht="22.5" customHeight="1">
      <c r="A182" s="108"/>
      <c r="B182" s="110"/>
      <c r="C182" s="110"/>
      <c r="D182" s="110"/>
      <c r="E182" s="110"/>
      <c r="F182" s="110"/>
      <c r="G182" s="110"/>
      <c r="H182" s="6"/>
      <c r="I182" s="6"/>
      <c r="J182" s="120"/>
      <c r="K182" s="120"/>
      <c r="L182" s="120"/>
      <c r="M182" s="122"/>
      <c r="N182" s="6"/>
    </row>
    <row r="183" ht="22.5" customHeight="1">
      <c r="A183" s="108"/>
      <c r="B183" s="110"/>
      <c r="C183" s="110"/>
      <c r="D183" s="110"/>
      <c r="E183" s="110"/>
      <c r="F183" s="110"/>
      <c r="G183" s="110"/>
      <c r="H183" s="6"/>
      <c r="I183" s="6"/>
      <c r="J183" s="120"/>
      <c r="K183" s="120"/>
      <c r="L183" s="120"/>
      <c r="M183" s="122"/>
      <c r="N183" s="6"/>
    </row>
    <row r="184" ht="22.5" customHeight="1">
      <c r="A184" s="108"/>
      <c r="B184" s="110"/>
      <c r="C184" s="110"/>
      <c r="D184" s="110"/>
      <c r="E184" s="110"/>
      <c r="F184" s="110"/>
      <c r="G184" s="110"/>
      <c r="H184" s="6"/>
      <c r="I184" s="6"/>
      <c r="J184" s="120"/>
      <c r="K184" s="120"/>
      <c r="L184" s="120"/>
      <c r="M184" s="122"/>
      <c r="N184" s="6"/>
    </row>
    <row r="185" ht="22.5" customHeight="1">
      <c r="A185" s="108"/>
      <c r="B185" s="110"/>
      <c r="C185" s="110"/>
      <c r="D185" s="110"/>
      <c r="E185" s="110"/>
      <c r="F185" s="110"/>
      <c r="G185" s="110"/>
      <c r="H185" s="6"/>
      <c r="I185" s="6"/>
      <c r="J185" s="120"/>
      <c r="K185" s="120"/>
      <c r="L185" s="120"/>
      <c r="M185" s="122"/>
      <c r="N185" s="6"/>
    </row>
    <row r="186" ht="22.5" customHeight="1">
      <c r="A186" s="108"/>
      <c r="B186" s="110"/>
      <c r="C186" s="110"/>
      <c r="D186" s="110"/>
      <c r="E186" s="110"/>
      <c r="F186" s="110"/>
      <c r="G186" s="110"/>
      <c r="H186" s="6"/>
      <c r="I186" s="6"/>
      <c r="J186" s="120"/>
      <c r="K186" s="120"/>
      <c r="L186" s="120"/>
      <c r="M186" s="122"/>
      <c r="N186" s="6"/>
    </row>
    <row r="187" ht="22.5" customHeight="1">
      <c r="A187" s="108"/>
      <c r="B187" s="110"/>
      <c r="C187" s="110"/>
      <c r="D187" s="110"/>
      <c r="E187" s="110"/>
      <c r="F187" s="110"/>
      <c r="G187" s="110"/>
      <c r="H187" s="6"/>
      <c r="I187" s="6"/>
      <c r="J187" s="120"/>
      <c r="K187" s="120"/>
      <c r="L187" s="120"/>
      <c r="M187" s="122"/>
      <c r="N187" s="6"/>
    </row>
    <row r="188" ht="22.5" customHeight="1">
      <c r="A188" s="108"/>
      <c r="B188" s="110"/>
      <c r="C188" s="110"/>
      <c r="D188" s="110"/>
      <c r="E188" s="110"/>
      <c r="F188" s="110"/>
      <c r="G188" s="110"/>
      <c r="H188" s="6"/>
      <c r="I188" s="6"/>
      <c r="J188" s="120"/>
      <c r="K188" s="120"/>
      <c r="L188" s="120"/>
      <c r="M188" s="122"/>
      <c r="N188" s="6"/>
    </row>
    <row r="189" ht="22.5" customHeight="1">
      <c r="A189" s="108"/>
      <c r="B189" s="110"/>
      <c r="C189" s="110"/>
      <c r="D189" s="110"/>
      <c r="E189" s="110"/>
      <c r="F189" s="110"/>
      <c r="G189" s="110"/>
      <c r="H189" s="6"/>
      <c r="I189" s="6"/>
      <c r="J189" s="120"/>
      <c r="K189" s="120"/>
      <c r="L189" s="120"/>
      <c r="M189" s="122"/>
      <c r="N189" s="6"/>
    </row>
    <row r="190" ht="22.5" customHeight="1">
      <c r="A190" s="108"/>
      <c r="B190" s="110"/>
      <c r="C190" s="110"/>
      <c r="D190" s="110"/>
      <c r="E190" s="110"/>
      <c r="F190" s="110"/>
      <c r="G190" s="110"/>
      <c r="H190" s="6"/>
      <c r="I190" s="6"/>
      <c r="J190" s="120"/>
      <c r="K190" s="120"/>
      <c r="L190" s="120"/>
      <c r="M190" s="122"/>
      <c r="N190" s="6"/>
    </row>
    <row r="191" ht="22.5" customHeight="1">
      <c r="A191" s="108"/>
      <c r="B191" s="110"/>
      <c r="C191" s="110"/>
      <c r="D191" s="110"/>
      <c r="E191" s="110"/>
      <c r="F191" s="110"/>
      <c r="G191" s="110"/>
      <c r="H191" s="6"/>
      <c r="I191" s="6"/>
      <c r="J191" s="120"/>
      <c r="K191" s="120"/>
      <c r="L191" s="120"/>
      <c r="M191" s="122"/>
      <c r="N191" s="6"/>
    </row>
    <row r="192" ht="22.5" customHeight="1">
      <c r="A192" s="108"/>
      <c r="B192" s="110"/>
      <c r="C192" s="110"/>
      <c r="D192" s="110"/>
      <c r="E192" s="110"/>
      <c r="F192" s="110"/>
      <c r="G192" s="110"/>
      <c r="H192" s="6"/>
      <c r="I192" s="6"/>
      <c r="J192" s="120"/>
      <c r="K192" s="120"/>
      <c r="L192" s="120"/>
      <c r="M192" s="122"/>
      <c r="N192" s="6"/>
    </row>
    <row r="193" ht="22.5" customHeight="1">
      <c r="A193" s="108"/>
      <c r="B193" s="110"/>
      <c r="C193" s="110"/>
      <c r="D193" s="110"/>
      <c r="E193" s="110"/>
      <c r="F193" s="110"/>
      <c r="G193" s="110"/>
      <c r="H193" s="6"/>
      <c r="I193" s="6"/>
      <c r="J193" s="120"/>
      <c r="K193" s="120"/>
      <c r="L193" s="120"/>
      <c r="M193" s="122"/>
      <c r="N193" s="6"/>
    </row>
    <row r="194" ht="22.5" customHeight="1">
      <c r="A194" s="108"/>
      <c r="B194" s="110"/>
      <c r="C194" s="110"/>
      <c r="D194" s="110"/>
      <c r="E194" s="110"/>
      <c r="F194" s="110"/>
      <c r="G194" s="110"/>
      <c r="H194" s="6"/>
      <c r="I194" s="6"/>
      <c r="J194" s="120"/>
      <c r="K194" s="120"/>
      <c r="L194" s="120"/>
      <c r="M194" s="122"/>
      <c r="N194" s="6"/>
    </row>
    <row r="195" ht="22.5" customHeight="1">
      <c r="A195" s="108"/>
      <c r="B195" s="110"/>
      <c r="C195" s="110"/>
      <c r="D195" s="110"/>
      <c r="E195" s="110"/>
      <c r="F195" s="110"/>
      <c r="G195" s="110"/>
      <c r="H195" s="6"/>
      <c r="I195" s="6"/>
      <c r="J195" s="120"/>
      <c r="K195" s="120"/>
      <c r="L195" s="120"/>
      <c r="M195" s="122"/>
      <c r="N195" s="6"/>
    </row>
    <row r="196" ht="22.5" customHeight="1">
      <c r="A196" s="108"/>
      <c r="B196" s="110"/>
      <c r="C196" s="110"/>
      <c r="D196" s="110"/>
      <c r="E196" s="110"/>
      <c r="F196" s="110"/>
      <c r="G196" s="110"/>
      <c r="H196" s="6"/>
      <c r="I196" s="6"/>
      <c r="J196" s="120"/>
      <c r="K196" s="120"/>
      <c r="L196" s="120"/>
      <c r="M196" s="122"/>
      <c r="N196" s="6"/>
    </row>
    <row r="197" ht="22.5" customHeight="1">
      <c r="A197" s="108"/>
      <c r="B197" s="110"/>
      <c r="C197" s="110"/>
      <c r="D197" s="110"/>
      <c r="E197" s="110"/>
      <c r="F197" s="110"/>
      <c r="G197" s="110"/>
      <c r="H197" s="6"/>
      <c r="I197" s="6"/>
      <c r="J197" s="120"/>
      <c r="K197" s="120"/>
      <c r="L197" s="120"/>
      <c r="M197" s="122"/>
      <c r="N197" s="6"/>
    </row>
    <row r="198" ht="22.5" customHeight="1">
      <c r="A198" s="108"/>
      <c r="B198" s="110"/>
      <c r="C198" s="110"/>
      <c r="D198" s="110"/>
      <c r="E198" s="110"/>
      <c r="F198" s="110"/>
      <c r="G198" s="110"/>
      <c r="H198" s="6"/>
      <c r="I198" s="6"/>
      <c r="J198" s="120"/>
      <c r="K198" s="120"/>
      <c r="L198" s="120"/>
      <c r="M198" s="122"/>
      <c r="N198" s="6"/>
    </row>
    <row r="199" ht="22.5" customHeight="1">
      <c r="A199" s="108"/>
      <c r="B199" s="110"/>
      <c r="C199" s="110"/>
      <c r="D199" s="110"/>
      <c r="E199" s="110"/>
      <c r="F199" s="110"/>
      <c r="G199" s="110"/>
      <c r="H199" s="6"/>
      <c r="I199" s="6"/>
      <c r="J199" s="120"/>
      <c r="K199" s="120"/>
      <c r="L199" s="120"/>
      <c r="M199" s="122"/>
      <c r="N199" s="6"/>
    </row>
    <row r="200" ht="22.5" customHeight="1">
      <c r="A200" s="108"/>
      <c r="B200" s="110"/>
      <c r="C200" s="110"/>
      <c r="D200" s="110"/>
      <c r="E200" s="110"/>
      <c r="F200" s="110"/>
      <c r="G200" s="110"/>
      <c r="H200" s="6"/>
      <c r="I200" s="6"/>
      <c r="J200" s="120"/>
      <c r="K200" s="120"/>
      <c r="L200" s="120"/>
      <c r="M200" s="122"/>
      <c r="N200" s="6"/>
    </row>
    <row r="201" ht="22.5" customHeight="1">
      <c r="A201" s="108"/>
      <c r="B201" s="110"/>
      <c r="C201" s="110"/>
      <c r="D201" s="110"/>
      <c r="E201" s="110"/>
      <c r="F201" s="110"/>
      <c r="G201" s="110"/>
      <c r="H201" s="6"/>
      <c r="I201" s="6"/>
      <c r="J201" s="120"/>
      <c r="K201" s="120"/>
      <c r="L201" s="120"/>
      <c r="M201" s="122"/>
      <c r="N201" s="6"/>
    </row>
    <row r="202" ht="22.5" customHeight="1">
      <c r="A202" s="108"/>
      <c r="B202" s="110"/>
      <c r="C202" s="110"/>
      <c r="D202" s="110"/>
      <c r="E202" s="110"/>
      <c r="F202" s="110"/>
      <c r="G202" s="110"/>
      <c r="H202" s="6"/>
      <c r="I202" s="6"/>
      <c r="J202" s="120"/>
      <c r="K202" s="120"/>
      <c r="L202" s="120"/>
      <c r="M202" s="122"/>
      <c r="N202" s="6"/>
    </row>
    <row r="203" ht="22.5" customHeight="1">
      <c r="A203" s="108"/>
      <c r="B203" s="110"/>
      <c r="C203" s="110"/>
      <c r="D203" s="110"/>
      <c r="E203" s="110"/>
      <c r="F203" s="110"/>
      <c r="G203" s="110"/>
      <c r="H203" s="6"/>
      <c r="I203" s="6"/>
      <c r="J203" s="120"/>
      <c r="K203" s="120"/>
      <c r="L203" s="120"/>
      <c r="M203" s="122"/>
      <c r="N203" s="6"/>
    </row>
    <row r="204" ht="22.5" customHeight="1">
      <c r="A204" s="108"/>
      <c r="B204" s="110"/>
      <c r="C204" s="110"/>
      <c r="D204" s="110"/>
      <c r="E204" s="110"/>
      <c r="F204" s="110"/>
      <c r="G204" s="110"/>
      <c r="H204" s="6"/>
      <c r="I204" s="6"/>
      <c r="J204" s="120"/>
      <c r="K204" s="120"/>
      <c r="L204" s="120"/>
      <c r="M204" s="122"/>
      <c r="N204" s="6"/>
    </row>
    <row r="205" ht="22.5" customHeight="1">
      <c r="A205" s="108"/>
      <c r="B205" s="110"/>
      <c r="C205" s="110"/>
      <c r="D205" s="110"/>
      <c r="E205" s="110"/>
      <c r="F205" s="110"/>
      <c r="G205" s="110"/>
      <c r="H205" s="6"/>
      <c r="I205" s="6"/>
      <c r="J205" s="120"/>
      <c r="K205" s="120"/>
      <c r="L205" s="120"/>
      <c r="M205" s="122"/>
      <c r="N205" s="6"/>
    </row>
    <row r="206" ht="22.5" customHeight="1">
      <c r="A206" s="108"/>
      <c r="B206" s="110"/>
      <c r="C206" s="110"/>
      <c r="D206" s="110"/>
      <c r="E206" s="110"/>
      <c r="F206" s="110"/>
      <c r="G206" s="110"/>
      <c r="H206" s="6"/>
      <c r="I206" s="6"/>
      <c r="J206" s="120"/>
      <c r="K206" s="120"/>
      <c r="L206" s="120"/>
      <c r="M206" s="122"/>
      <c r="N206" s="6"/>
    </row>
    <row r="207" ht="22.5" customHeight="1">
      <c r="A207" s="108"/>
      <c r="B207" s="110"/>
      <c r="C207" s="110"/>
      <c r="D207" s="110"/>
      <c r="E207" s="110"/>
      <c r="F207" s="110"/>
      <c r="G207" s="110"/>
      <c r="H207" s="6"/>
      <c r="I207" s="6"/>
      <c r="J207" s="120"/>
      <c r="K207" s="120"/>
      <c r="L207" s="120"/>
      <c r="M207" s="122"/>
      <c r="N207" s="6"/>
    </row>
    <row r="208" ht="22.5" customHeight="1">
      <c r="A208" s="108"/>
      <c r="B208" s="110"/>
      <c r="C208" s="110"/>
      <c r="D208" s="110"/>
      <c r="E208" s="110"/>
      <c r="F208" s="110"/>
      <c r="G208" s="110"/>
      <c r="H208" s="6"/>
      <c r="I208" s="6"/>
      <c r="J208" s="120"/>
      <c r="K208" s="120"/>
      <c r="L208" s="120"/>
      <c r="M208" s="122"/>
      <c r="N208" s="6"/>
    </row>
    <row r="209" ht="22.5" customHeight="1">
      <c r="A209" s="108"/>
      <c r="B209" s="110"/>
      <c r="C209" s="110"/>
      <c r="D209" s="110"/>
      <c r="E209" s="110"/>
      <c r="F209" s="110"/>
      <c r="G209" s="110"/>
      <c r="H209" s="6"/>
      <c r="I209" s="6"/>
      <c r="J209" s="120"/>
      <c r="K209" s="120"/>
      <c r="L209" s="120"/>
      <c r="M209" s="122"/>
      <c r="N209" s="6"/>
    </row>
    <row r="210" ht="22.5" customHeight="1">
      <c r="A210" s="108"/>
      <c r="B210" s="110"/>
      <c r="C210" s="110"/>
      <c r="D210" s="110"/>
      <c r="E210" s="110"/>
      <c r="F210" s="110"/>
      <c r="G210" s="110"/>
      <c r="H210" s="6"/>
      <c r="I210" s="6"/>
      <c r="J210" s="120"/>
      <c r="K210" s="120"/>
      <c r="L210" s="120"/>
      <c r="M210" s="122"/>
      <c r="N210" s="6"/>
    </row>
    <row r="211" ht="22.5" customHeight="1">
      <c r="A211" s="108"/>
      <c r="B211" s="110"/>
      <c r="C211" s="110"/>
      <c r="D211" s="110"/>
      <c r="E211" s="110"/>
      <c r="F211" s="110"/>
      <c r="G211" s="110"/>
      <c r="H211" s="6"/>
      <c r="I211" s="6"/>
      <c r="J211" s="120"/>
      <c r="K211" s="120"/>
      <c r="L211" s="120"/>
      <c r="M211" s="122"/>
      <c r="N211" s="6"/>
    </row>
    <row r="212" ht="22.5" customHeight="1">
      <c r="A212" s="108"/>
      <c r="B212" s="110"/>
      <c r="C212" s="110"/>
      <c r="D212" s="110"/>
      <c r="E212" s="110"/>
      <c r="F212" s="110"/>
      <c r="G212" s="110"/>
      <c r="H212" s="6"/>
      <c r="I212" s="6"/>
      <c r="J212" s="120"/>
      <c r="K212" s="120"/>
      <c r="L212" s="120"/>
      <c r="M212" s="122"/>
      <c r="N212" s="6"/>
    </row>
    <row r="213" ht="22.5" customHeight="1">
      <c r="A213" s="108"/>
      <c r="B213" s="110"/>
      <c r="C213" s="110"/>
      <c r="D213" s="110"/>
      <c r="E213" s="110"/>
      <c r="F213" s="110"/>
      <c r="G213" s="110"/>
      <c r="H213" s="6"/>
      <c r="I213" s="6"/>
      <c r="J213" s="120"/>
      <c r="K213" s="120"/>
      <c r="L213" s="120"/>
      <c r="M213" s="122"/>
      <c r="N213" s="6"/>
    </row>
    <row r="214" ht="22.5" customHeight="1">
      <c r="A214" s="108"/>
      <c r="B214" s="110"/>
      <c r="C214" s="110"/>
      <c r="D214" s="110"/>
      <c r="E214" s="110"/>
      <c r="F214" s="110"/>
      <c r="G214" s="110"/>
      <c r="H214" s="6"/>
      <c r="I214" s="6"/>
      <c r="J214" s="120"/>
      <c r="K214" s="120"/>
      <c r="L214" s="120"/>
      <c r="M214" s="122"/>
      <c r="N214" s="6"/>
    </row>
    <row r="215" ht="22.5" customHeight="1">
      <c r="A215" s="108"/>
      <c r="B215" s="110"/>
      <c r="C215" s="110"/>
      <c r="D215" s="110"/>
      <c r="E215" s="110"/>
      <c r="F215" s="110"/>
      <c r="G215" s="110"/>
      <c r="H215" s="6"/>
      <c r="I215" s="6"/>
      <c r="J215" s="120"/>
      <c r="K215" s="120"/>
      <c r="L215" s="120"/>
      <c r="M215" s="122"/>
      <c r="N215" s="6"/>
    </row>
    <row r="216" ht="22.5" customHeight="1">
      <c r="A216" s="108"/>
      <c r="B216" s="110"/>
      <c r="C216" s="110"/>
      <c r="D216" s="110"/>
      <c r="E216" s="110"/>
      <c r="F216" s="110"/>
      <c r="G216" s="110"/>
      <c r="H216" s="6"/>
      <c r="I216" s="6"/>
      <c r="J216" s="120"/>
      <c r="K216" s="120"/>
      <c r="L216" s="120"/>
      <c r="M216" s="122"/>
      <c r="N216" s="6"/>
    </row>
    <row r="217" ht="22.5" customHeight="1">
      <c r="A217" s="108"/>
      <c r="B217" s="110"/>
      <c r="C217" s="110"/>
      <c r="D217" s="110"/>
      <c r="E217" s="110"/>
      <c r="F217" s="110"/>
      <c r="G217" s="110"/>
      <c r="H217" s="6"/>
      <c r="I217" s="6"/>
      <c r="J217" s="120"/>
      <c r="K217" s="120"/>
      <c r="L217" s="120"/>
      <c r="M217" s="122"/>
      <c r="N217" s="6"/>
    </row>
    <row r="218" ht="22.5" customHeight="1">
      <c r="A218" s="108"/>
      <c r="B218" s="110"/>
      <c r="C218" s="110"/>
      <c r="D218" s="110"/>
      <c r="E218" s="110"/>
      <c r="F218" s="110"/>
      <c r="G218" s="110"/>
      <c r="H218" s="6"/>
      <c r="I218" s="6"/>
      <c r="J218" s="120"/>
      <c r="K218" s="120"/>
      <c r="L218" s="120"/>
      <c r="M218" s="122"/>
      <c r="N218" s="6"/>
    </row>
    <row r="219" ht="22.5" customHeight="1">
      <c r="A219" s="108"/>
      <c r="B219" s="110"/>
      <c r="C219" s="110"/>
      <c r="D219" s="110"/>
      <c r="E219" s="110"/>
      <c r="F219" s="110"/>
      <c r="G219" s="110"/>
      <c r="H219" s="6"/>
      <c r="I219" s="6"/>
      <c r="J219" s="120"/>
      <c r="K219" s="120"/>
      <c r="L219" s="120"/>
      <c r="M219" s="122"/>
      <c r="N219" s="6"/>
    </row>
    <row r="220" ht="22.5" customHeight="1">
      <c r="A220" s="108"/>
      <c r="B220" s="110"/>
      <c r="C220" s="110"/>
      <c r="D220" s="110"/>
      <c r="E220" s="110"/>
      <c r="F220" s="110"/>
      <c r="G220" s="110"/>
      <c r="H220" s="6"/>
      <c r="I220" s="6"/>
      <c r="J220" s="120"/>
      <c r="K220" s="120"/>
      <c r="L220" s="120"/>
      <c r="M220" s="122"/>
      <c r="N220" s="6"/>
    </row>
    <row r="221" ht="22.5" customHeight="1">
      <c r="A221" s="108"/>
      <c r="B221" s="110"/>
      <c r="C221" s="110"/>
      <c r="D221" s="110"/>
      <c r="E221" s="110"/>
      <c r="F221" s="110"/>
      <c r="G221" s="110"/>
      <c r="H221" s="6"/>
      <c r="I221" s="6"/>
      <c r="J221" s="120"/>
      <c r="K221" s="120"/>
      <c r="L221" s="120"/>
      <c r="M221" s="122"/>
      <c r="N221" s="6"/>
    </row>
    <row r="222" ht="22.5" customHeight="1">
      <c r="A222" s="108"/>
      <c r="B222" s="110"/>
      <c r="C222" s="110"/>
      <c r="D222" s="110"/>
      <c r="E222" s="110"/>
      <c r="F222" s="110"/>
      <c r="G222" s="110"/>
      <c r="H222" s="6"/>
      <c r="I222" s="6"/>
      <c r="J222" s="120"/>
      <c r="K222" s="120"/>
      <c r="L222" s="120"/>
      <c r="M222" s="122"/>
      <c r="N222" s="6"/>
    </row>
    <row r="223" ht="22.5" customHeight="1">
      <c r="A223" s="108"/>
      <c r="B223" s="110"/>
      <c r="C223" s="110"/>
      <c r="D223" s="110"/>
      <c r="E223" s="110"/>
      <c r="F223" s="110"/>
      <c r="G223" s="110"/>
      <c r="H223" s="6"/>
      <c r="I223" s="6"/>
      <c r="J223" s="120"/>
      <c r="K223" s="120"/>
      <c r="L223" s="120"/>
      <c r="M223" s="122"/>
      <c r="N223" s="6"/>
    </row>
    <row r="224" ht="22.5" customHeight="1">
      <c r="A224" s="108"/>
      <c r="B224" s="110"/>
      <c r="C224" s="110"/>
      <c r="D224" s="110"/>
      <c r="E224" s="110"/>
      <c r="F224" s="110"/>
      <c r="G224" s="110"/>
      <c r="H224" s="6"/>
      <c r="I224" s="6"/>
      <c r="J224" s="120"/>
      <c r="K224" s="120"/>
      <c r="L224" s="120"/>
      <c r="M224" s="122"/>
      <c r="N224" s="6"/>
    </row>
    <row r="225" ht="22.5" customHeight="1">
      <c r="A225" s="108"/>
      <c r="B225" s="110"/>
      <c r="C225" s="110"/>
      <c r="D225" s="110"/>
      <c r="E225" s="110"/>
      <c r="F225" s="110"/>
      <c r="G225" s="110"/>
      <c r="H225" s="6"/>
      <c r="I225" s="6"/>
      <c r="J225" s="120"/>
      <c r="K225" s="120"/>
      <c r="L225" s="120"/>
      <c r="M225" s="122"/>
      <c r="N225" s="6"/>
    </row>
    <row r="226" ht="22.5" customHeight="1">
      <c r="A226" s="108"/>
      <c r="B226" s="110"/>
      <c r="C226" s="110"/>
      <c r="D226" s="110"/>
      <c r="E226" s="110"/>
      <c r="F226" s="110"/>
      <c r="G226" s="110"/>
      <c r="H226" s="6"/>
      <c r="I226" s="6"/>
      <c r="J226" s="120"/>
      <c r="K226" s="120"/>
      <c r="L226" s="120"/>
      <c r="M226" s="122"/>
      <c r="N226" s="6"/>
    </row>
    <row r="227" ht="22.5" customHeight="1">
      <c r="A227" s="108"/>
      <c r="B227" s="110"/>
      <c r="C227" s="110"/>
      <c r="D227" s="110"/>
      <c r="E227" s="110"/>
      <c r="F227" s="110"/>
      <c r="G227" s="110"/>
      <c r="H227" s="6"/>
      <c r="I227" s="6"/>
      <c r="J227" s="120"/>
      <c r="K227" s="120"/>
      <c r="L227" s="120"/>
      <c r="M227" s="122"/>
      <c r="N227" s="6"/>
    </row>
    <row r="228" ht="22.5" customHeight="1">
      <c r="A228" s="108"/>
      <c r="B228" s="110"/>
      <c r="C228" s="110"/>
      <c r="D228" s="110"/>
      <c r="E228" s="110"/>
      <c r="F228" s="110"/>
      <c r="G228" s="110"/>
      <c r="H228" s="6"/>
      <c r="I228" s="6"/>
      <c r="J228" s="120"/>
      <c r="K228" s="120"/>
      <c r="L228" s="120"/>
      <c r="M228" s="122"/>
      <c r="N228" s="6"/>
    </row>
    <row r="229" ht="22.5" customHeight="1">
      <c r="A229" s="108"/>
      <c r="B229" s="110"/>
      <c r="C229" s="110"/>
      <c r="D229" s="110"/>
      <c r="E229" s="110"/>
      <c r="F229" s="110"/>
      <c r="G229" s="110"/>
      <c r="H229" s="6"/>
      <c r="I229" s="6"/>
      <c r="J229" s="120"/>
      <c r="K229" s="120"/>
      <c r="L229" s="120"/>
      <c r="M229" s="122"/>
      <c r="N229" s="6"/>
    </row>
    <row r="230" ht="22.5" customHeight="1">
      <c r="A230" s="108"/>
      <c r="B230" s="110"/>
      <c r="C230" s="110"/>
      <c r="D230" s="110"/>
      <c r="E230" s="110"/>
      <c r="F230" s="110"/>
      <c r="G230" s="110"/>
      <c r="H230" s="6"/>
      <c r="I230" s="6"/>
      <c r="J230" s="120"/>
      <c r="K230" s="120"/>
      <c r="L230" s="120"/>
      <c r="M230" s="122"/>
      <c r="N230" s="6"/>
    </row>
    <row r="231" ht="22.5" customHeight="1">
      <c r="A231" s="108"/>
      <c r="B231" s="110"/>
      <c r="C231" s="110"/>
      <c r="D231" s="110"/>
      <c r="E231" s="110"/>
      <c r="F231" s="110"/>
      <c r="G231" s="110"/>
      <c r="H231" s="6"/>
      <c r="I231" s="6"/>
      <c r="J231" s="120"/>
      <c r="K231" s="120"/>
      <c r="L231" s="120"/>
      <c r="M231" s="122"/>
      <c r="N231" s="6"/>
    </row>
    <row r="232" ht="22.5" customHeight="1">
      <c r="A232" s="108"/>
      <c r="B232" s="110"/>
      <c r="C232" s="110"/>
      <c r="D232" s="110"/>
      <c r="E232" s="110"/>
      <c r="F232" s="110"/>
      <c r="G232" s="110"/>
      <c r="H232" s="6"/>
      <c r="I232" s="6"/>
      <c r="J232" s="120"/>
      <c r="K232" s="120"/>
      <c r="L232" s="120"/>
      <c r="M232" s="122"/>
      <c r="N232" s="6"/>
    </row>
    <row r="233" ht="22.5" customHeight="1">
      <c r="A233" s="108"/>
      <c r="B233" s="110"/>
      <c r="C233" s="110"/>
      <c r="D233" s="110"/>
      <c r="E233" s="110"/>
      <c r="F233" s="110"/>
      <c r="G233" s="110"/>
      <c r="H233" s="6"/>
      <c r="I233" s="6"/>
      <c r="J233" s="120"/>
      <c r="K233" s="120"/>
      <c r="L233" s="120"/>
      <c r="M233" s="122"/>
      <c r="N233" s="6"/>
    </row>
    <row r="234" ht="22.5" customHeight="1">
      <c r="A234" s="108"/>
      <c r="B234" s="110"/>
      <c r="C234" s="110"/>
      <c r="D234" s="110"/>
      <c r="E234" s="110"/>
      <c r="F234" s="110"/>
      <c r="G234" s="110"/>
      <c r="H234" s="6"/>
      <c r="I234" s="6"/>
      <c r="J234" s="120"/>
      <c r="K234" s="120"/>
      <c r="L234" s="120"/>
      <c r="M234" s="122"/>
      <c r="N234" s="6"/>
    </row>
    <row r="235" ht="22.5" customHeight="1">
      <c r="A235" s="108"/>
      <c r="B235" s="110"/>
      <c r="C235" s="110"/>
      <c r="D235" s="110"/>
      <c r="E235" s="110"/>
      <c r="F235" s="110"/>
      <c r="G235" s="110"/>
      <c r="H235" s="6"/>
      <c r="I235" s="6"/>
      <c r="J235" s="120"/>
      <c r="K235" s="120"/>
      <c r="L235" s="120"/>
      <c r="M235" s="122"/>
      <c r="N235" s="6"/>
    </row>
    <row r="236" ht="22.5" customHeight="1">
      <c r="A236" s="108"/>
      <c r="B236" s="110"/>
      <c r="C236" s="110"/>
      <c r="D236" s="110"/>
      <c r="E236" s="110"/>
      <c r="F236" s="110"/>
      <c r="G236" s="110"/>
      <c r="H236" s="6"/>
      <c r="I236" s="6"/>
      <c r="J236" s="120"/>
      <c r="K236" s="120"/>
      <c r="L236" s="120"/>
      <c r="M236" s="122"/>
      <c r="N236" s="6"/>
    </row>
    <row r="237" ht="22.5" customHeight="1">
      <c r="A237" s="108"/>
      <c r="B237" s="110"/>
      <c r="C237" s="110"/>
      <c r="D237" s="110"/>
      <c r="E237" s="110"/>
      <c r="F237" s="110"/>
      <c r="G237" s="110"/>
      <c r="H237" s="6"/>
      <c r="I237" s="6"/>
      <c r="J237" s="120"/>
      <c r="K237" s="120"/>
      <c r="L237" s="120"/>
      <c r="M237" s="122"/>
      <c r="N237" s="6"/>
    </row>
    <row r="238" ht="22.5" customHeight="1">
      <c r="A238" s="108"/>
      <c r="B238" s="110"/>
      <c r="C238" s="110"/>
      <c r="D238" s="110"/>
      <c r="E238" s="110"/>
      <c r="F238" s="110"/>
      <c r="G238" s="110"/>
      <c r="H238" s="6"/>
      <c r="I238" s="6"/>
      <c r="J238" s="120"/>
      <c r="K238" s="120"/>
      <c r="L238" s="120"/>
      <c r="M238" s="122"/>
      <c r="N238" s="6"/>
    </row>
    <row r="239" ht="22.5" customHeight="1">
      <c r="A239" s="108"/>
      <c r="B239" s="110"/>
      <c r="C239" s="110"/>
      <c r="D239" s="110"/>
      <c r="E239" s="110"/>
      <c r="F239" s="110"/>
      <c r="G239" s="110"/>
      <c r="H239" s="6"/>
      <c r="I239" s="6"/>
      <c r="J239" s="120"/>
      <c r="K239" s="120"/>
      <c r="L239" s="120"/>
      <c r="M239" s="122"/>
      <c r="N239" s="6"/>
    </row>
    <row r="240" ht="22.5" customHeight="1">
      <c r="A240" s="108"/>
      <c r="B240" s="110"/>
      <c r="C240" s="110"/>
      <c r="D240" s="110"/>
      <c r="E240" s="110"/>
      <c r="F240" s="110"/>
      <c r="G240" s="110"/>
      <c r="H240" s="6"/>
      <c r="I240" s="6"/>
      <c r="J240" s="120"/>
      <c r="K240" s="120"/>
      <c r="L240" s="120"/>
      <c r="M240" s="122"/>
      <c r="N240" s="6"/>
    </row>
    <row r="241" ht="22.5" customHeight="1">
      <c r="A241" s="108"/>
      <c r="B241" s="110"/>
      <c r="C241" s="110"/>
      <c r="D241" s="110"/>
      <c r="E241" s="110"/>
      <c r="F241" s="110"/>
      <c r="G241" s="110"/>
      <c r="H241" s="6"/>
      <c r="I241" s="6"/>
      <c r="J241" s="120"/>
      <c r="K241" s="120"/>
      <c r="L241" s="120"/>
      <c r="M241" s="122"/>
      <c r="N241" s="6"/>
    </row>
    <row r="242" ht="22.5" customHeight="1">
      <c r="A242" s="108"/>
      <c r="B242" s="110"/>
      <c r="C242" s="110"/>
      <c r="D242" s="110"/>
      <c r="E242" s="110"/>
      <c r="F242" s="110"/>
      <c r="G242" s="110"/>
      <c r="H242" s="6"/>
      <c r="I242" s="6"/>
      <c r="J242" s="120"/>
      <c r="K242" s="120"/>
      <c r="L242" s="120"/>
      <c r="M242" s="122"/>
      <c r="N242" s="6"/>
    </row>
    <row r="243" ht="22.5" customHeight="1">
      <c r="A243" s="108"/>
      <c r="B243" s="110"/>
      <c r="C243" s="110"/>
      <c r="D243" s="110"/>
      <c r="E243" s="110"/>
      <c r="F243" s="110"/>
      <c r="G243" s="110"/>
      <c r="H243" s="6"/>
      <c r="I243" s="6"/>
      <c r="J243" s="120"/>
      <c r="K243" s="120"/>
      <c r="L243" s="120"/>
      <c r="M243" s="122"/>
      <c r="N243" s="6"/>
    </row>
    <row r="244" ht="22.5" customHeight="1">
      <c r="A244" s="108"/>
      <c r="B244" s="110"/>
      <c r="C244" s="110"/>
      <c r="D244" s="110"/>
      <c r="E244" s="110"/>
      <c r="F244" s="110"/>
      <c r="G244" s="110"/>
      <c r="H244" s="6"/>
      <c r="I244" s="6"/>
      <c r="J244" s="120"/>
      <c r="K244" s="120"/>
      <c r="L244" s="120"/>
      <c r="M244" s="122"/>
      <c r="N244" s="6"/>
    </row>
    <row r="245" ht="22.5" customHeight="1">
      <c r="A245" s="108"/>
      <c r="B245" s="110"/>
      <c r="C245" s="110"/>
      <c r="D245" s="110"/>
      <c r="E245" s="110"/>
      <c r="F245" s="110"/>
      <c r="G245" s="110"/>
      <c r="H245" s="6"/>
      <c r="I245" s="6"/>
      <c r="J245" s="120"/>
      <c r="K245" s="120"/>
      <c r="L245" s="120"/>
      <c r="M245" s="122"/>
      <c r="N245" s="6"/>
    </row>
    <row r="246" ht="22.5" customHeight="1">
      <c r="A246" s="108"/>
      <c r="B246" s="110"/>
      <c r="C246" s="110"/>
      <c r="D246" s="110"/>
      <c r="E246" s="110"/>
      <c r="F246" s="110"/>
      <c r="G246" s="110"/>
      <c r="H246" s="6"/>
      <c r="I246" s="6"/>
      <c r="J246" s="120"/>
      <c r="K246" s="120"/>
      <c r="L246" s="120"/>
      <c r="M246" s="122"/>
      <c r="N246" s="6"/>
    </row>
    <row r="247" ht="22.5" customHeight="1">
      <c r="A247" s="108"/>
      <c r="B247" s="110"/>
      <c r="C247" s="110"/>
      <c r="D247" s="110"/>
      <c r="E247" s="110"/>
      <c r="F247" s="110"/>
      <c r="G247" s="110"/>
      <c r="H247" s="6"/>
      <c r="I247" s="6"/>
      <c r="J247" s="120"/>
      <c r="K247" s="120"/>
      <c r="L247" s="120"/>
      <c r="M247" s="122"/>
      <c r="N247" s="6"/>
    </row>
    <row r="248" ht="22.5" customHeight="1">
      <c r="A248" s="108"/>
      <c r="B248" s="110"/>
      <c r="C248" s="110"/>
      <c r="D248" s="110"/>
      <c r="E248" s="110"/>
      <c r="F248" s="110"/>
      <c r="G248" s="110"/>
      <c r="H248" s="6"/>
      <c r="I248" s="6"/>
      <c r="J248" s="120"/>
      <c r="K248" s="120"/>
      <c r="L248" s="120"/>
      <c r="M248" s="122"/>
      <c r="N248" s="6"/>
    </row>
    <row r="249" ht="22.5" customHeight="1">
      <c r="A249" s="108"/>
      <c r="B249" s="110"/>
      <c r="C249" s="110"/>
      <c r="D249" s="110"/>
      <c r="E249" s="110"/>
      <c r="F249" s="110"/>
      <c r="G249" s="110"/>
      <c r="H249" s="6"/>
      <c r="I249" s="6"/>
      <c r="J249" s="120"/>
      <c r="K249" s="120"/>
      <c r="L249" s="120"/>
      <c r="M249" s="122"/>
      <c r="N249" s="6"/>
    </row>
    <row r="250" ht="22.5" customHeight="1">
      <c r="A250" s="108"/>
      <c r="B250" s="110"/>
      <c r="C250" s="110"/>
      <c r="D250" s="110"/>
      <c r="E250" s="110"/>
      <c r="F250" s="110"/>
      <c r="G250" s="110"/>
      <c r="H250" s="6"/>
      <c r="I250" s="6"/>
      <c r="J250" s="120"/>
      <c r="K250" s="120"/>
      <c r="L250" s="120"/>
      <c r="M250" s="122"/>
      <c r="N250" s="6"/>
    </row>
    <row r="251" ht="22.5" customHeight="1">
      <c r="A251" s="108"/>
      <c r="B251" s="110"/>
      <c r="C251" s="110"/>
      <c r="D251" s="110"/>
      <c r="E251" s="110"/>
      <c r="F251" s="110"/>
      <c r="G251" s="110"/>
      <c r="H251" s="6"/>
      <c r="I251" s="6"/>
      <c r="J251" s="120"/>
      <c r="K251" s="120"/>
      <c r="L251" s="120"/>
      <c r="M251" s="122"/>
      <c r="N251" s="6"/>
    </row>
    <row r="252" ht="22.5" customHeight="1">
      <c r="A252" s="108"/>
      <c r="B252" s="110"/>
      <c r="C252" s="110"/>
      <c r="D252" s="110"/>
      <c r="E252" s="110"/>
      <c r="F252" s="110"/>
      <c r="G252" s="110"/>
      <c r="H252" s="6"/>
      <c r="I252" s="6"/>
      <c r="J252" s="120"/>
      <c r="K252" s="120"/>
      <c r="L252" s="120"/>
      <c r="M252" s="122"/>
      <c r="N252" s="6"/>
    </row>
    <row r="253" ht="22.5" customHeight="1">
      <c r="A253" s="108"/>
      <c r="B253" s="110"/>
      <c r="C253" s="110"/>
      <c r="D253" s="110"/>
      <c r="E253" s="110"/>
      <c r="F253" s="110"/>
      <c r="G253" s="110"/>
      <c r="H253" s="6"/>
      <c r="I253" s="6"/>
      <c r="J253" s="120"/>
      <c r="K253" s="120"/>
      <c r="L253" s="120"/>
      <c r="M253" s="122"/>
      <c r="N253" s="6"/>
    </row>
    <row r="254" ht="22.5" customHeight="1">
      <c r="A254" s="108"/>
      <c r="B254" s="110"/>
      <c r="C254" s="110"/>
      <c r="D254" s="110"/>
      <c r="E254" s="110"/>
      <c r="F254" s="110"/>
      <c r="G254" s="110"/>
      <c r="H254" s="6"/>
      <c r="I254" s="6"/>
      <c r="J254" s="120"/>
      <c r="K254" s="120"/>
      <c r="L254" s="120"/>
      <c r="M254" s="122"/>
      <c r="N254" s="6"/>
    </row>
    <row r="255" ht="22.5" customHeight="1">
      <c r="A255" s="108"/>
      <c r="B255" s="110"/>
      <c r="C255" s="110"/>
      <c r="D255" s="110"/>
      <c r="E255" s="110"/>
      <c r="F255" s="110"/>
      <c r="G255" s="110"/>
      <c r="H255" s="6"/>
      <c r="I255" s="6"/>
      <c r="J255" s="120"/>
      <c r="K255" s="120"/>
      <c r="L255" s="120"/>
      <c r="M255" s="122"/>
      <c r="N255" s="6"/>
    </row>
    <row r="256" ht="22.5" customHeight="1">
      <c r="A256" s="108"/>
      <c r="B256" s="110"/>
      <c r="C256" s="110"/>
      <c r="D256" s="110"/>
      <c r="E256" s="110"/>
      <c r="F256" s="110"/>
      <c r="G256" s="110"/>
      <c r="H256" s="6"/>
      <c r="I256" s="6"/>
      <c r="J256" s="120"/>
      <c r="K256" s="120"/>
      <c r="L256" s="120"/>
      <c r="M256" s="122"/>
      <c r="N256" s="6"/>
    </row>
    <row r="257" ht="22.5" customHeight="1">
      <c r="A257" s="108"/>
      <c r="B257" s="110"/>
      <c r="C257" s="110"/>
      <c r="D257" s="110"/>
      <c r="E257" s="110"/>
      <c r="F257" s="110"/>
      <c r="G257" s="110"/>
      <c r="H257" s="6"/>
      <c r="I257" s="6"/>
      <c r="J257" s="120"/>
      <c r="K257" s="120"/>
      <c r="L257" s="120"/>
      <c r="M257" s="122"/>
      <c r="N257" s="6"/>
    </row>
    <row r="258" ht="22.5" customHeight="1">
      <c r="A258" s="108"/>
      <c r="B258" s="110"/>
      <c r="C258" s="110"/>
      <c r="D258" s="110"/>
      <c r="E258" s="110"/>
      <c r="F258" s="110"/>
      <c r="G258" s="110"/>
      <c r="H258" s="6"/>
      <c r="I258" s="6"/>
      <c r="J258" s="120"/>
      <c r="K258" s="120"/>
      <c r="L258" s="120"/>
      <c r="M258" s="122"/>
      <c r="N258" s="6"/>
    </row>
    <row r="259" ht="22.5" customHeight="1">
      <c r="A259" s="108"/>
      <c r="B259" s="110"/>
      <c r="C259" s="110"/>
      <c r="D259" s="110"/>
      <c r="E259" s="110"/>
      <c r="F259" s="110"/>
      <c r="G259" s="110"/>
      <c r="H259" s="6"/>
      <c r="I259" s="6"/>
      <c r="J259" s="120"/>
      <c r="K259" s="120"/>
      <c r="L259" s="120"/>
      <c r="M259" s="122"/>
      <c r="N259" s="6"/>
    </row>
    <row r="260" ht="22.5" customHeight="1">
      <c r="A260" s="108"/>
      <c r="B260" s="110"/>
      <c r="C260" s="110"/>
      <c r="D260" s="110"/>
      <c r="E260" s="110"/>
      <c r="F260" s="110"/>
      <c r="G260" s="110"/>
      <c r="H260" s="6"/>
      <c r="I260" s="6"/>
      <c r="J260" s="120"/>
      <c r="K260" s="120"/>
      <c r="L260" s="120"/>
      <c r="M260" s="122"/>
      <c r="N260" s="6"/>
    </row>
    <row r="261" ht="22.5" customHeight="1">
      <c r="A261" s="108"/>
      <c r="B261" s="110"/>
      <c r="C261" s="110"/>
      <c r="D261" s="110"/>
      <c r="E261" s="110"/>
      <c r="F261" s="110"/>
      <c r="G261" s="110"/>
      <c r="H261" s="6"/>
      <c r="I261" s="6"/>
      <c r="J261" s="120"/>
      <c r="K261" s="120"/>
      <c r="L261" s="120"/>
      <c r="M261" s="122"/>
      <c r="N261" s="6"/>
    </row>
    <row r="262" ht="22.5" customHeight="1">
      <c r="A262" s="108"/>
      <c r="B262" s="110"/>
      <c r="C262" s="110"/>
      <c r="D262" s="110"/>
      <c r="E262" s="110"/>
      <c r="F262" s="110"/>
      <c r="G262" s="110"/>
      <c r="H262" s="6"/>
      <c r="I262" s="6"/>
      <c r="J262" s="120"/>
      <c r="K262" s="120"/>
      <c r="L262" s="120"/>
      <c r="M262" s="122"/>
      <c r="N262" s="6"/>
    </row>
    <row r="263" ht="22.5" customHeight="1">
      <c r="A263" s="108"/>
      <c r="B263" s="110"/>
      <c r="C263" s="110"/>
      <c r="D263" s="110"/>
      <c r="E263" s="110"/>
      <c r="F263" s="110"/>
      <c r="G263" s="110"/>
      <c r="H263" s="6"/>
      <c r="I263" s="6"/>
      <c r="J263" s="120"/>
      <c r="K263" s="120"/>
      <c r="L263" s="120"/>
      <c r="M263" s="122"/>
      <c r="N263" s="6"/>
    </row>
    <row r="264" ht="22.5" customHeight="1">
      <c r="A264" s="108"/>
      <c r="B264" s="110"/>
      <c r="C264" s="110"/>
      <c r="D264" s="110"/>
      <c r="E264" s="110"/>
      <c r="F264" s="110"/>
      <c r="G264" s="110"/>
      <c r="H264" s="6"/>
      <c r="I264" s="6"/>
      <c r="J264" s="120"/>
      <c r="K264" s="120"/>
      <c r="L264" s="120"/>
      <c r="M264" s="122"/>
      <c r="N264" s="6"/>
    </row>
    <row r="265" ht="22.5" customHeight="1">
      <c r="A265" s="108"/>
      <c r="B265" s="110"/>
      <c r="C265" s="110"/>
      <c r="D265" s="110"/>
      <c r="E265" s="110"/>
      <c r="F265" s="110"/>
      <c r="G265" s="110"/>
      <c r="H265" s="6"/>
      <c r="I265" s="6"/>
      <c r="J265" s="120"/>
      <c r="K265" s="120"/>
      <c r="L265" s="120"/>
      <c r="M265" s="122"/>
      <c r="N265" s="6"/>
    </row>
    <row r="266" ht="22.5" customHeight="1">
      <c r="A266" s="108"/>
      <c r="B266" s="110"/>
      <c r="C266" s="110"/>
      <c r="D266" s="110"/>
      <c r="E266" s="110"/>
      <c r="F266" s="110"/>
      <c r="G266" s="110"/>
      <c r="H266" s="6"/>
      <c r="I266" s="6"/>
      <c r="J266" s="120"/>
      <c r="K266" s="120"/>
      <c r="L266" s="120"/>
      <c r="M266" s="122"/>
      <c r="N266" s="6"/>
    </row>
    <row r="267" ht="22.5" customHeight="1">
      <c r="A267" s="108"/>
      <c r="B267" s="110"/>
      <c r="C267" s="110"/>
      <c r="D267" s="110"/>
      <c r="E267" s="110"/>
      <c r="F267" s="110"/>
      <c r="G267" s="110"/>
      <c r="H267" s="6"/>
      <c r="I267" s="6"/>
      <c r="J267" s="120"/>
      <c r="K267" s="120"/>
      <c r="L267" s="120"/>
      <c r="M267" s="122"/>
      <c r="N267" s="6"/>
    </row>
    <row r="268" ht="22.5" customHeight="1">
      <c r="A268" s="108"/>
      <c r="B268" s="110"/>
      <c r="C268" s="110"/>
      <c r="D268" s="110"/>
      <c r="E268" s="110"/>
      <c r="F268" s="110"/>
      <c r="G268" s="110"/>
      <c r="H268" s="6"/>
      <c r="I268" s="6"/>
      <c r="J268" s="120"/>
      <c r="K268" s="120"/>
      <c r="L268" s="120"/>
      <c r="M268" s="122"/>
      <c r="N268" s="6"/>
    </row>
    <row r="269" ht="22.5" customHeight="1">
      <c r="A269" s="108"/>
      <c r="B269" s="110"/>
      <c r="C269" s="110"/>
      <c r="D269" s="110"/>
      <c r="E269" s="110"/>
      <c r="F269" s="110"/>
      <c r="G269" s="110"/>
      <c r="H269" s="6"/>
      <c r="I269" s="6"/>
      <c r="J269" s="120"/>
      <c r="K269" s="120"/>
      <c r="L269" s="120"/>
      <c r="M269" s="122"/>
      <c r="N269" s="6"/>
    </row>
    <row r="270" ht="22.5" customHeight="1">
      <c r="A270" s="108"/>
      <c r="B270" s="110"/>
      <c r="C270" s="110"/>
      <c r="D270" s="110"/>
      <c r="E270" s="110"/>
      <c r="F270" s="110"/>
      <c r="G270" s="110"/>
      <c r="H270" s="6"/>
      <c r="I270" s="6"/>
      <c r="J270" s="120"/>
      <c r="K270" s="120"/>
      <c r="L270" s="120"/>
      <c r="M270" s="122"/>
      <c r="N270" s="6"/>
    </row>
    <row r="271" ht="22.5" customHeight="1">
      <c r="A271" s="108"/>
      <c r="B271" s="110"/>
      <c r="C271" s="110"/>
      <c r="D271" s="110"/>
      <c r="E271" s="110"/>
      <c r="F271" s="110"/>
      <c r="G271" s="110"/>
      <c r="H271" s="6"/>
      <c r="I271" s="6"/>
      <c r="J271" s="120"/>
      <c r="K271" s="120"/>
      <c r="L271" s="120"/>
      <c r="M271" s="122"/>
      <c r="N271" s="6"/>
    </row>
    <row r="272" ht="22.5" customHeight="1">
      <c r="A272" s="108"/>
      <c r="B272" s="110"/>
      <c r="C272" s="110"/>
      <c r="D272" s="110"/>
      <c r="E272" s="110"/>
      <c r="F272" s="110"/>
      <c r="G272" s="110"/>
      <c r="H272" s="6"/>
      <c r="I272" s="6"/>
      <c r="J272" s="120"/>
      <c r="K272" s="120"/>
      <c r="L272" s="120"/>
      <c r="M272" s="122"/>
      <c r="N272" s="6"/>
    </row>
    <row r="273" ht="22.5" customHeight="1">
      <c r="A273" s="108"/>
      <c r="B273" s="110"/>
      <c r="C273" s="110"/>
      <c r="D273" s="110"/>
      <c r="E273" s="110"/>
      <c r="F273" s="110"/>
      <c r="G273" s="110"/>
      <c r="H273" s="6"/>
      <c r="I273" s="6"/>
      <c r="J273" s="120"/>
      <c r="K273" s="120"/>
      <c r="L273" s="120"/>
      <c r="M273" s="122"/>
      <c r="N273" s="6"/>
    </row>
    <row r="274" ht="22.5" customHeight="1">
      <c r="A274" s="108"/>
      <c r="B274" s="110"/>
      <c r="C274" s="110"/>
      <c r="D274" s="110"/>
      <c r="E274" s="110"/>
      <c r="F274" s="110"/>
      <c r="G274" s="110"/>
      <c r="H274" s="6"/>
      <c r="I274" s="6"/>
      <c r="J274" s="120"/>
      <c r="K274" s="120"/>
      <c r="L274" s="120"/>
      <c r="M274" s="122"/>
      <c r="N274" s="6"/>
    </row>
    <row r="275" ht="22.5" customHeight="1">
      <c r="A275" s="108"/>
      <c r="B275" s="110"/>
      <c r="C275" s="110"/>
      <c r="D275" s="110"/>
      <c r="E275" s="110"/>
      <c r="F275" s="110"/>
      <c r="G275" s="110"/>
      <c r="H275" s="6"/>
      <c r="I275" s="6"/>
      <c r="J275" s="120"/>
      <c r="K275" s="120"/>
      <c r="L275" s="120"/>
      <c r="M275" s="122"/>
      <c r="N275" s="6"/>
    </row>
    <row r="276" ht="22.5" customHeight="1">
      <c r="A276" s="108"/>
      <c r="B276" s="110"/>
      <c r="C276" s="110"/>
      <c r="D276" s="110"/>
      <c r="E276" s="110"/>
      <c r="F276" s="110"/>
      <c r="G276" s="110"/>
      <c r="H276" s="6"/>
      <c r="I276" s="6"/>
      <c r="J276" s="120"/>
      <c r="K276" s="120"/>
      <c r="L276" s="120"/>
      <c r="M276" s="122"/>
      <c r="N276" s="6"/>
    </row>
    <row r="277" ht="22.5" customHeight="1">
      <c r="A277" s="108"/>
      <c r="B277" s="110"/>
      <c r="C277" s="110"/>
      <c r="D277" s="110"/>
      <c r="E277" s="110"/>
      <c r="F277" s="110"/>
      <c r="G277" s="110"/>
      <c r="H277" s="6"/>
      <c r="I277" s="6"/>
      <c r="J277" s="120"/>
      <c r="K277" s="120"/>
      <c r="L277" s="120"/>
      <c r="M277" s="122"/>
      <c r="N277" s="6"/>
    </row>
    <row r="278" ht="22.5" customHeight="1">
      <c r="A278" s="108"/>
      <c r="B278" s="110"/>
      <c r="C278" s="110"/>
      <c r="D278" s="110"/>
      <c r="E278" s="110"/>
      <c r="F278" s="110"/>
      <c r="G278" s="110"/>
      <c r="H278" s="6"/>
      <c r="I278" s="6"/>
      <c r="J278" s="120"/>
      <c r="K278" s="120"/>
      <c r="L278" s="120"/>
      <c r="M278" s="122"/>
      <c r="N278" s="6"/>
    </row>
    <row r="279" ht="22.5" customHeight="1">
      <c r="A279" s="108"/>
      <c r="B279" s="110"/>
      <c r="C279" s="110"/>
      <c r="D279" s="110"/>
      <c r="E279" s="110"/>
      <c r="F279" s="110"/>
      <c r="G279" s="110"/>
      <c r="H279" s="6"/>
      <c r="I279" s="6"/>
      <c r="J279" s="120"/>
      <c r="K279" s="120"/>
      <c r="L279" s="120"/>
      <c r="M279" s="122"/>
      <c r="N279" s="6"/>
    </row>
    <row r="280" ht="22.5" customHeight="1">
      <c r="A280" s="108"/>
      <c r="B280" s="110"/>
      <c r="C280" s="110"/>
      <c r="D280" s="110"/>
      <c r="E280" s="110"/>
      <c r="F280" s="110"/>
      <c r="G280" s="110"/>
      <c r="H280" s="6"/>
      <c r="I280" s="6"/>
      <c r="J280" s="120"/>
      <c r="K280" s="120"/>
      <c r="L280" s="120"/>
      <c r="M280" s="122"/>
      <c r="N280" s="6"/>
    </row>
    <row r="281" ht="22.5" customHeight="1">
      <c r="A281" s="108"/>
      <c r="B281" s="110"/>
      <c r="C281" s="110"/>
      <c r="D281" s="110"/>
      <c r="E281" s="110"/>
      <c r="F281" s="110"/>
      <c r="G281" s="110"/>
      <c r="H281" s="6"/>
      <c r="I281" s="6"/>
      <c r="J281" s="120"/>
      <c r="K281" s="120"/>
      <c r="L281" s="120"/>
      <c r="M281" s="122"/>
      <c r="N281" s="6"/>
    </row>
    <row r="282" ht="22.5" customHeight="1">
      <c r="A282" s="108"/>
      <c r="B282" s="110"/>
      <c r="C282" s="110"/>
      <c r="D282" s="110"/>
      <c r="E282" s="110"/>
      <c r="F282" s="110"/>
      <c r="G282" s="110"/>
      <c r="H282" s="6"/>
      <c r="I282" s="6"/>
      <c r="J282" s="120"/>
      <c r="K282" s="120"/>
      <c r="L282" s="120"/>
      <c r="M282" s="122"/>
      <c r="N282" s="6"/>
    </row>
    <row r="283" ht="22.5" customHeight="1">
      <c r="A283" s="108"/>
      <c r="B283" s="110"/>
      <c r="C283" s="110"/>
      <c r="D283" s="110"/>
      <c r="E283" s="110"/>
      <c r="F283" s="110"/>
      <c r="G283" s="110"/>
      <c r="H283" s="6"/>
      <c r="I283" s="6"/>
      <c r="J283" s="120"/>
      <c r="K283" s="120"/>
      <c r="L283" s="120"/>
      <c r="M283" s="122"/>
      <c r="N283" s="6"/>
    </row>
    <row r="284" ht="22.5" customHeight="1">
      <c r="A284" s="108"/>
      <c r="B284" s="110"/>
      <c r="C284" s="110"/>
      <c r="D284" s="110"/>
      <c r="E284" s="110"/>
      <c r="F284" s="110"/>
      <c r="G284" s="110"/>
      <c r="H284" s="6"/>
      <c r="I284" s="6"/>
      <c r="J284" s="120"/>
      <c r="K284" s="120"/>
      <c r="L284" s="120"/>
      <c r="M284" s="122"/>
      <c r="N284" s="6"/>
    </row>
    <row r="285" ht="22.5" customHeight="1">
      <c r="A285" s="108"/>
      <c r="B285" s="110"/>
      <c r="C285" s="110"/>
      <c r="D285" s="110"/>
      <c r="E285" s="110"/>
      <c r="F285" s="110"/>
      <c r="G285" s="110"/>
      <c r="H285" s="6"/>
      <c r="I285" s="6"/>
      <c r="J285" s="120"/>
      <c r="K285" s="120"/>
      <c r="L285" s="120"/>
      <c r="M285" s="122"/>
      <c r="N285" s="6"/>
    </row>
    <row r="286" ht="22.5" customHeight="1">
      <c r="A286" s="108"/>
      <c r="B286" s="110"/>
      <c r="C286" s="110"/>
      <c r="D286" s="110"/>
      <c r="E286" s="110"/>
      <c r="F286" s="110"/>
      <c r="G286" s="110"/>
      <c r="H286" s="6"/>
      <c r="I286" s="6"/>
      <c r="J286" s="120"/>
      <c r="K286" s="120"/>
      <c r="L286" s="120"/>
      <c r="M286" s="122"/>
      <c r="N286" s="6"/>
    </row>
    <row r="287" ht="22.5" customHeight="1">
      <c r="A287" s="108"/>
      <c r="B287" s="110"/>
      <c r="C287" s="110"/>
      <c r="D287" s="110"/>
      <c r="E287" s="110"/>
      <c r="F287" s="110"/>
      <c r="G287" s="110"/>
      <c r="H287" s="6"/>
      <c r="I287" s="6"/>
      <c r="J287" s="120"/>
      <c r="K287" s="120"/>
      <c r="L287" s="120"/>
      <c r="M287" s="122"/>
      <c r="N287" s="6"/>
    </row>
    <row r="288" ht="22.5" customHeight="1">
      <c r="A288" s="108"/>
      <c r="B288" s="110"/>
      <c r="C288" s="110"/>
      <c r="D288" s="110"/>
      <c r="E288" s="110"/>
      <c r="F288" s="110"/>
      <c r="G288" s="110"/>
      <c r="H288" s="6"/>
      <c r="I288" s="6"/>
      <c r="J288" s="120"/>
      <c r="K288" s="120"/>
      <c r="L288" s="120"/>
      <c r="M288" s="122"/>
      <c r="N288" s="6"/>
    </row>
    <row r="289" ht="22.5" customHeight="1">
      <c r="A289" s="108"/>
      <c r="B289" s="110"/>
      <c r="C289" s="110"/>
      <c r="D289" s="110"/>
      <c r="E289" s="110"/>
      <c r="F289" s="110"/>
      <c r="G289" s="110"/>
      <c r="H289" s="6"/>
      <c r="I289" s="6"/>
      <c r="J289" s="120"/>
      <c r="K289" s="120"/>
      <c r="L289" s="120"/>
      <c r="M289" s="122"/>
      <c r="N289" s="6"/>
    </row>
    <row r="290" ht="22.5" customHeight="1">
      <c r="A290" s="108"/>
      <c r="B290" s="110"/>
      <c r="C290" s="110"/>
      <c r="D290" s="110"/>
      <c r="E290" s="110"/>
      <c r="F290" s="110"/>
      <c r="G290" s="110"/>
      <c r="H290" s="6"/>
      <c r="I290" s="6"/>
      <c r="J290" s="120"/>
      <c r="K290" s="120"/>
      <c r="L290" s="120"/>
      <c r="M290" s="122"/>
      <c r="N290" s="6"/>
    </row>
    <row r="291" ht="22.5" customHeight="1">
      <c r="A291" s="108"/>
      <c r="B291" s="110"/>
      <c r="C291" s="110"/>
      <c r="D291" s="110"/>
      <c r="E291" s="110"/>
      <c r="F291" s="110"/>
      <c r="G291" s="110"/>
      <c r="H291" s="6"/>
      <c r="I291" s="6"/>
      <c r="J291" s="120"/>
      <c r="K291" s="120"/>
      <c r="L291" s="120"/>
      <c r="M291" s="122"/>
      <c r="N291" s="6"/>
    </row>
    <row r="292" ht="22.5" customHeight="1">
      <c r="A292" s="108"/>
      <c r="B292" s="110"/>
      <c r="C292" s="110"/>
      <c r="D292" s="110"/>
      <c r="E292" s="110"/>
      <c r="F292" s="110"/>
      <c r="G292" s="110"/>
      <c r="H292" s="6"/>
      <c r="I292" s="6"/>
      <c r="J292" s="120"/>
      <c r="K292" s="120"/>
      <c r="L292" s="120"/>
      <c r="M292" s="122"/>
      <c r="N292" s="6"/>
    </row>
    <row r="293" ht="22.5" customHeight="1">
      <c r="A293" s="108"/>
      <c r="B293" s="110"/>
      <c r="C293" s="110"/>
      <c r="D293" s="110"/>
      <c r="E293" s="110"/>
      <c r="F293" s="110"/>
      <c r="G293" s="110"/>
      <c r="H293" s="6"/>
      <c r="I293" s="6"/>
      <c r="J293" s="120"/>
      <c r="K293" s="120"/>
      <c r="L293" s="120"/>
      <c r="M293" s="122"/>
      <c r="N293" s="6"/>
    </row>
    <row r="294" ht="22.5" customHeight="1">
      <c r="A294" s="108"/>
      <c r="B294" s="110"/>
      <c r="C294" s="110"/>
      <c r="D294" s="110"/>
      <c r="E294" s="110"/>
      <c r="F294" s="110"/>
      <c r="G294" s="110"/>
      <c r="H294" s="6"/>
      <c r="I294" s="6"/>
      <c r="J294" s="120"/>
      <c r="K294" s="120"/>
      <c r="L294" s="120"/>
      <c r="M294" s="122"/>
      <c r="N294" s="6"/>
    </row>
    <row r="295" ht="22.5" customHeight="1">
      <c r="A295" s="108"/>
      <c r="B295" s="110"/>
      <c r="C295" s="110"/>
      <c r="D295" s="110"/>
      <c r="E295" s="110"/>
      <c r="F295" s="110"/>
      <c r="G295" s="110"/>
      <c r="H295" s="6"/>
      <c r="I295" s="6"/>
      <c r="J295" s="120"/>
      <c r="K295" s="120"/>
      <c r="L295" s="120"/>
      <c r="M295" s="122"/>
      <c r="N295" s="6"/>
    </row>
    <row r="296" ht="22.5" customHeight="1">
      <c r="A296" s="108"/>
      <c r="B296" s="110"/>
      <c r="C296" s="110"/>
      <c r="D296" s="110"/>
      <c r="E296" s="110"/>
      <c r="F296" s="110"/>
      <c r="G296" s="110"/>
      <c r="H296" s="6"/>
      <c r="I296" s="6"/>
      <c r="J296" s="120"/>
      <c r="K296" s="120"/>
      <c r="L296" s="120"/>
      <c r="M296" s="122"/>
      <c r="N296" s="6"/>
    </row>
    <row r="297" ht="22.5" customHeight="1">
      <c r="A297" s="108"/>
      <c r="B297" s="110"/>
      <c r="C297" s="110"/>
      <c r="D297" s="110"/>
      <c r="E297" s="110"/>
      <c r="F297" s="110"/>
      <c r="G297" s="110"/>
      <c r="H297" s="6"/>
      <c r="I297" s="6"/>
      <c r="J297" s="120"/>
      <c r="K297" s="120"/>
      <c r="L297" s="120"/>
      <c r="M297" s="122"/>
      <c r="N297" s="6"/>
    </row>
    <row r="298" ht="22.5" customHeight="1">
      <c r="A298" s="108"/>
      <c r="B298" s="110"/>
      <c r="C298" s="110"/>
      <c r="D298" s="110"/>
      <c r="E298" s="110"/>
      <c r="F298" s="110"/>
      <c r="G298" s="110"/>
      <c r="H298" s="6"/>
      <c r="I298" s="6"/>
      <c r="J298" s="120"/>
      <c r="K298" s="120"/>
      <c r="L298" s="120"/>
      <c r="M298" s="122"/>
      <c r="N298" s="6"/>
    </row>
    <row r="299" ht="22.5" customHeight="1">
      <c r="A299" s="108"/>
      <c r="B299" s="110"/>
      <c r="C299" s="110"/>
      <c r="D299" s="110"/>
      <c r="E299" s="110"/>
      <c r="F299" s="110"/>
      <c r="G299" s="110"/>
      <c r="H299" s="6"/>
      <c r="I299" s="6"/>
      <c r="J299" s="120"/>
      <c r="K299" s="120"/>
      <c r="L299" s="120"/>
      <c r="M299" s="122"/>
      <c r="N299" s="6"/>
    </row>
    <row r="300" ht="22.5" customHeight="1">
      <c r="A300" s="108"/>
      <c r="B300" s="110"/>
      <c r="C300" s="110"/>
      <c r="D300" s="110"/>
      <c r="E300" s="110"/>
      <c r="F300" s="110"/>
      <c r="G300" s="110"/>
      <c r="H300" s="6"/>
      <c r="I300" s="6"/>
      <c r="J300" s="120"/>
      <c r="K300" s="120"/>
      <c r="L300" s="120"/>
      <c r="M300" s="122"/>
      <c r="N300" s="6"/>
    </row>
    <row r="301" ht="22.5" customHeight="1">
      <c r="A301" s="108"/>
      <c r="B301" s="110"/>
      <c r="C301" s="110"/>
      <c r="D301" s="110"/>
      <c r="E301" s="110"/>
      <c r="F301" s="110"/>
      <c r="G301" s="110"/>
      <c r="H301" s="6"/>
      <c r="I301" s="6"/>
      <c r="J301" s="120"/>
      <c r="K301" s="120"/>
      <c r="L301" s="120"/>
      <c r="M301" s="122"/>
      <c r="N301" s="6"/>
    </row>
    <row r="302" ht="22.5" customHeight="1">
      <c r="A302" s="108"/>
      <c r="B302" s="110"/>
      <c r="C302" s="110"/>
      <c r="D302" s="110"/>
      <c r="E302" s="110"/>
      <c r="F302" s="110"/>
      <c r="G302" s="110"/>
      <c r="H302" s="6"/>
      <c r="I302" s="6"/>
      <c r="J302" s="120"/>
      <c r="K302" s="120"/>
      <c r="L302" s="120"/>
      <c r="M302" s="122"/>
      <c r="N302" s="6"/>
    </row>
    <row r="303" ht="22.5" customHeight="1">
      <c r="A303" s="108"/>
      <c r="B303" s="110"/>
      <c r="C303" s="110"/>
      <c r="D303" s="110"/>
      <c r="E303" s="110"/>
      <c r="F303" s="110"/>
      <c r="G303" s="110"/>
      <c r="H303" s="6"/>
      <c r="I303" s="6"/>
      <c r="J303" s="120"/>
      <c r="K303" s="120"/>
      <c r="L303" s="120"/>
      <c r="M303" s="122"/>
      <c r="N303" s="6"/>
    </row>
    <row r="304" ht="22.5" customHeight="1">
      <c r="A304" s="108"/>
      <c r="B304" s="110"/>
      <c r="C304" s="110"/>
      <c r="D304" s="110"/>
      <c r="E304" s="110"/>
      <c r="F304" s="110"/>
      <c r="G304" s="110"/>
      <c r="H304" s="6"/>
      <c r="I304" s="6"/>
      <c r="J304" s="120"/>
      <c r="K304" s="120"/>
      <c r="L304" s="120"/>
      <c r="M304" s="122"/>
      <c r="N304" s="6"/>
    </row>
    <row r="305" ht="22.5" customHeight="1">
      <c r="A305" s="108"/>
      <c r="B305" s="110"/>
      <c r="C305" s="110"/>
      <c r="D305" s="110"/>
      <c r="E305" s="110"/>
      <c r="F305" s="110"/>
      <c r="G305" s="110"/>
      <c r="H305" s="6"/>
      <c r="I305" s="6"/>
      <c r="J305" s="120"/>
      <c r="K305" s="120"/>
      <c r="L305" s="120"/>
      <c r="M305" s="122"/>
      <c r="N305" s="6"/>
    </row>
    <row r="306" ht="22.5" customHeight="1">
      <c r="A306" s="108"/>
      <c r="B306" s="110"/>
      <c r="C306" s="110"/>
      <c r="D306" s="110"/>
      <c r="E306" s="110"/>
      <c r="F306" s="110"/>
      <c r="G306" s="110"/>
      <c r="H306" s="6"/>
      <c r="I306" s="6"/>
      <c r="J306" s="120"/>
      <c r="K306" s="120"/>
      <c r="L306" s="120"/>
      <c r="M306" s="122"/>
      <c r="N306" s="6"/>
    </row>
    <row r="307" ht="22.5" customHeight="1">
      <c r="A307" s="108"/>
      <c r="B307" s="110"/>
      <c r="C307" s="110"/>
      <c r="D307" s="110"/>
      <c r="E307" s="110"/>
      <c r="F307" s="110"/>
      <c r="G307" s="110"/>
      <c r="H307" s="6"/>
      <c r="I307" s="6"/>
      <c r="J307" s="120"/>
      <c r="K307" s="120"/>
      <c r="L307" s="120"/>
      <c r="M307" s="122"/>
      <c r="N307" s="6"/>
    </row>
    <row r="308" ht="22.5" customHeight="1">
      <c r="A308" s="108"/>
      <c r="B308" s="110"/>
      <c r="C308" s="110"/>
      <c r="D308" s="110"/>
      <c r="E308" s="110"/>
      <c r="F308" s="110"/>
      <c r="G308" s="110"/>
      <c r="H308" s="6"/>
      <c r="I308" s="6"/>
      <c r="J308" s="120"/>
      <c r="K308" s="120"/>
      <c r="L308" s="120"/>
      <c r="M308" s="122"/>
      <c r="N308" s="6"/>
    </row>
    <row r="309" ht="22.5" customHeight="1">
      <c r="A309" s="108"/>
      <c r="B309" s="110"/>
      <c r="C309" s="110"/>
      <c r="D309" s="110"/>
      <c r="E309" s="110"/>
      <c r="F309" s="110"/>
      <c r="G309" s="110"/>
      <c r="H309" s="6"/>
      <c r="I309" s="6"/>
      <c r="J309" s="120"/>
      <c r="K309" s="120"/>
      <c r="L309" s="120"/>
      <c r="M309" s="122"/>
      <c r="N309" s="6"/>
    </row>
    <row r="310" ht="22.5" customHeight="1">
      <c r="A310" s="108"/>
      <c r="B310" s="110"/>
      <c r="C310" s="110"/>
      <c r="D310" s="110"/>
      <c r="E310" s="110"/>
      <c r="F310" s="110"/>
      <c r="G310" s="110"/>
      <c r="H310" s="6"/>
      <c r="I310" s="6"/>
      <c r="J310" s="120"/>
      <c r="K310" s="120"/>
      <c r="L310" s="120"/>
      <c r="M310" s="122"/>
      <c r="N310" s="6"/>
    </row>
    <row r="311" ht="22.5" customHeight="1">
      <c r="A311" s="108"/>
      <c r="B311" s="110"/>
      <c r="C311" s="110"/>
      <c r="D311" s="110"/>
      <c r="E311" s="110"/>
      <c r="F311" s="110"/>
      <c r="G311" s="110"/>
      <c r="H311" s="6"/>
      <c r="I311" s="6"/>
      <c r="J311" s="120"/>
      <c r="K311" s="120"/>
      <c r="L311" s="120"/>
      <c r="M311" s="122"/>
      <c r="N311" s="6"/>
    </row>
    <row r="312" ht="22.5" customHeight="1">
      <c r="A312" s="108"/>
      <c r="B312" s="110"/>
      <c r="C312" s="110"/>
      <c r="D312" s="110"/>
      <c r="E312" s="110"/>
      <c r="F312" s="110"/>
      <c r="G312" s="110"/>
      <c r="H312" s="6"/>
      <c r="I312" s="6"/>
      <c r="J312" s="120"/>
      <c r="K312" s="120"/>
      <c r="L312" s="120"/>
      <c r="M312" s="122"/>
      <c r="N312" s="6"/>
    </row>
    <row r="313" ht="22.5" customHeight="1">
      <c r="A313" s="108"/>
      <c r="B313" s="110"/>
      <c r="C313" s="110"/>
      <c r="D313" s="110"/>
      <c r="E313" s="110"/>
      <c r="F313" s="110"/>
      <c r="G313" s="110"/>
      <c r="H313" s="6"/>
      <c r="I313" s="6"/>
      <c r="J313" s="120"/>
      <c r="K313" s="120"/>
      <c r="L313" s="120"/>
      <c r="M313" s="122"/>
      <c r="N313" s="6"/>
    </row>
    <row r="314" ht="22.5" customHeight="1">
      <c r="A314" s="108"/>
      <c r="B314" s="110"/>
      <c r="C314" s="110"/>
      <c r="D314" s="110"/>
      <c r="E314" s="110"/>
      <c r="F314" s="110"/>
      <c r="G314" s="110"/>
      <c r="H314" s="6"/>
      <c r="I314" s="6"/>
      <c r="J314" s="120"/>
      <c r="K314" s="120"/>
      <c r="L314" s="120"/>
      <c r="M314" s="122"/>
      <c r="N314" s="6"/>
    </row>
    <row r="315" ht="22.5" customHeight="1">
      <c r="A315" s="108"/>
      <c r="B315" s="110"/>
      <c r="C315" s="110"/>
      <c r="D315" s="110"/>
      <c r="E315" s="110"/>
      <c r="F315" s="110"/>
      <c r="G315" s="110"/>
      <c r="H315" s="6"/>
      <c r="I315" s="6"/>
      <c r="J315" s="120"/>
      <c r="K315" s="120"/>
      <c r="L315" s="120"/>
      <c r="M315" s="122"/>
      <c r="N315" s="6"/>
    </row>
    <row r="316" ht="22.5" customHeight="1">
      <c r="A316" s="108"/>
      <c r="B316" s="110"/>
      <c r="C316" s="110"/>
      <c r="D316" s="110"/>
      <c r="E316" s="110"/>
      <c r="F316" s="110"/>
      <c r="G316" s="110"/>
      <c r="H316" s="6"/>
      <c r="I316" s="6"/>
      <c r="J316" s="120"/>
      <c r="K316" s="120"/>
      <c r="L316" s="120"/>
      <c r="M316" s="122"/>
      <c r="N316" s="6"/>
    </row>
    <row r="317" ht="22.5" customHeight="1">
      <c r="A317" s="108"/>
      <c r="B317" s="110"/>
      <c r="C317" s="110"/>
      <c r="D317" s="110"/>
      <c r="E317" s="110"/>
      <c r="F317" s="110"/>
      <c r="G317" s="110"/>
      <c r="H317" s="6"/>
      <c r="I317" s="6"/>
      <c r="J317" s="120"/>
      <c r="K317" s="120"/>
      <c r="L317" s="120"/>
      <c r="M317" s="122"/>
      <c r="N317" s="6"/>
    </row>
    <row r="318" ht="22.5" customHeight="1">
      <c r="A318" s="108"/>
      <c r="B318" s="110"/>
      <c r="C318" s="110"/>
      <c r="D318" s="110"/>
      <c r="E318" s="110"/>
      <c r="F318" s="110"/>
      <c r="G318" s="110"/>
      <c r="H318" s="6"/>
      <c r="I318" s="6"/>
      <c r="J318" s="120"/>
      <c r="K318" s="120"/>
      <c r="L318" s="120"/>
      <c r="M318" s="122"/>
      <c r="N318" s="6"/>
    </row>
    <row r="319" ht="22.5" customHeight="1">
      <c r="A319" s="108"/>
      <c r="B319" s="110"/>
      <c r="C319" s="110"/>
      <c r="D319" s="110"/>
      <c r="E319" s="110"/>
      <c r="F319" s="110"/>
      <c r="G319" s="110"/>
      <c r="H319" s="6"/>
      <c r="I319" s="6"/>
      <c r="J319" s="120"/>
      <c r="K319" s="120"/>
      <c r="L319" s="120"/>
      <c r="M319" s="122"/>
      <c r="N319" s="6"/>
    </row>
    <row r="320" ht="22.5" customHeight="1">
      <c r="A320" s="108"/>
      <c r="B320" s="110"/>
      <c r="C320" s="110"/>
      <c r="D320" s="110"/>
      <c r="E320" s="110"/>
      <c r="F320" s="110"/>
      <c r="G320" s="110"/>
      <c r="H320" s="6"/>
      <c r="I320" s="6"/>
      <c r="J320" s="120"/>
      <c r="K320" s="120"/>
      <c r="L320" s="120"/>
      <c r="M320" s="122"/>
      <c r="N320" s="6"/>
    </row>
    <row r="321" ht="22.5" customHeight="1">
      <c r="A321" s="108"/>
      <c r="B321" s="110"/>
      <c r="C321" s="110"/>
      <c r="D321" s="110"/>
      <c r="E321" s="110"/>
      <c r="F321" s="110"/>
      <c r="G321" s="110"/>
      <c r="H321" s="6"/>
      <c r="I321" s="6"/>
      <c r="J321" s="120"/>
      <c r="K321" s="120"/>
      <c r="L321" s="120"/>
      <c r="M321" s="122"/>
      <c r="N321" s="6"/>
    </row>
    <row r="322" ht="22.5" customHeight="1">
      <c r="A322" s="108"/>
      <c r="B322" s="110"/>
      <c r="C322" s="110"/>
      <c r="D322" s="110"/>
      <c r="E322" s="110"/>
      <c r="F322" s="110"/>
      <c r="G322" s="110"/>
      <c r="H322" s="6"/>
      <c r="I322" s="6"/>
      <c r="J322" s="120"/>
      <c r="K322" s="120"/>
      <c r="L322" s="120"/>
      <c r="M322" s="122"/>
      <c r="N322" s="6"/>
    </row>
    <row r="323" ht="22.5" customHeight="1">
      <c r="A323" s="108"/>
      <c r="B323" s="110"/>
      <c r="C323" s="110"/>
      <c r="D323" s="110"/>
      <c r="E323" s="110"/>
      <c r="F323" s="110"/>
      <c r="G323" s="110"/>
      <c r="H323" s="6"/>
      <c r="I323" s="6"/>
      <c r="J323" s="120"/>
      <c r="K323" s="120"/>
      <c r="L323" s="120"/>
      <c r="M323" s="122"/>
      <c r="N323" s="6"/>
    </row>
    <row r="324" ht="22.5" customHeight="1">
      <c r="A324" s="108"/>
      <c r="B324" s="110"/>
      <c r="C324" s="110"/>
      <c r="D324" s="110"/>
      <c r="E324" s="110"/>
      <c r="F324" s="110"/>
      <c r="G324" s="110"/>
      <c r="H324" s="6"/>
      <c r="I324" s="6"/>
      <c r="J324" s="120"/>
      <c r="K324" s="120"/>
      <c r="L324" s="120"/>
      <c r="M324" s="122"/>
      <c r="N324" s="6"/>
    </row>
    <row r="325" ht="22.5" customHeight="1">
      <c r="A325" s="108"/>
      <c r="B325" s="110"/>
      <c r="C325" s="110"/>
      <c r="D325" s="110"/>
      <c r="E325" s="110"/>
      <c r="F325" s="110"/>
      <c r="G325" s="110"/>
      <c r="H325" s="6"/>
      <c r="I325" s="6"/>
      <c r="J325" s="120"/>
      <c r="K325" s="120"/>
      <c r="L325" s="120"/>
      <c r="M325" s="122"/>
      <c r="N325" s="6"/>
    </row>
    <row r="326" ht="22.5" customHeight="1">
      <c r="A326" s="108"/>
      <c r="B326" s="110"/>
      <c r="C326" s="110"/>
      <c r="D326" s="110"/>
      <c r="E326" s="110"/>
      <c r="F326" s="110"/>
      <c r="G326" s="110"/>
      <c r="H326" s="6"/>
      <c r="I326" s="6"/>
      <c r="J326" s="120"/>
      <c r="K326" s="120"/>
      <c r="L326" s="120"/>
      <c r="M326" s="122"/>
      <c r="N326" s="6"/>
    </row>
    <row r="327" ht="22.5" customHeight="1">
      <c r="A327" s="108"/>
      <c r="B327" s="110"/>
      <c r="C327" s="110"/>
      <c r="D327" s="110"/>
      <c r="E327" s="110"/>
      <c r="F327" s="110"/>
      <c r="G327" s="110"/>
      <c r="H327" s="6"/>
      <c r="I327" s="6"/>
      <c r="J327" s="120"/>
      <c r="K327" s="120"/>
      <c r="L327" s="120"/>
      <c r="M327" s="122"/>
      <c r="N327" s="6"/>
    </row>
    <row r="328" ht="22.5" customHeight="1">
      <c r="A328" s="108"/>
      <c r="B328" s="110"/>
      <c r="C328" s="110"/>
      <c r="D328" s="110"/>
      <c r="E328" s="110"/>
      <c r="F328" s="110"/>
      <c r="G328" s="110"/>
      <c r="H328" s="6"/>
      <c r="I328" s="6"/>
      <c r="J328" s="120"/>
      <c r="K328" s="120"/>
      <c r="L328" s="120"/>
      <c r="M328" s="122"/>
      <c r="N328" s="6"/>
    </row>
    <row r="329" ht="22.5" customHeight="1">
      <c r="A329" s="108"/>
      <c r="B329" s="110"/>
      <c r="C329" s="110"/>
      <c r="D329" s="110"/>
      <c r="E329" s="110"/>
      <c r="F329" s="110"/>
      <c r="G329" s="110"/>
      <c r="H329" s="6"/>
      <c r="I329" s="6"/>
      <c r="J329" s="120"/>
      <c r="K329" s="120"/>
      <c r="L329" s="120"/>
      <c r="M329" s="122"/>
      <c r="N329" s="6"/>
    </row>
    <row r="330" ht="22.5" customHeight="1">
      <c r="A330" s="108"/>
      <c r="B330" s="110"/>
      <c r="C330" s="110"/>
      <c r="D330" s="110"/>
      <c r="E330" s="110"/>
      <c r="F330" s="110"/>
      <c r="G330" s="110"/>
      <c r="H330" s="6"/>
      <c r="I330" s="6"/>
      <c r="J330" s="120"/>
      <c r="K330" s="120"/>
      <c r="L330" s="120"/>
      <c r="M330" s="122"/>
      <c r="N330" s="6"/>
    </row>
    <row r="331" ht="22.5" customHeight="1">
      <c r="A331" s="108"/>
      <c r="B331" s="110"/>
      <c r="C331" s="110"/>
      <c r="D331" s="110"/>
      <c r="E331" s="110"/>
      <c r="F331" s="110"/>
      <c r="G331" s="110"/>
      <c r="H331" s="6"/>
      <c r="I331" s="6"/>
      <c r="J331" s="120"/>
      <c r="K331" s="120"/>
      <c r="L331" s="120"/>
      <c r="M331" s="122"/>
      <c r="N331" s="6"/>
    </row>
    <row r="332" ht="22.5" customHeight="1">
      <c r="A332" s="108"/>
      <c r="B332" s="110"/>
      <c r="C332" s="110"/>
      <c r="D332" s="110"/>
      <c r="E332" s="110"/>
      <c r="F332" s="110"/>
      <c r="G332" s="110"/>
      <c r="H332" s="6"/>
      <c r="I332" s="6"/>
      <c r="J332" s="120"/>
      <c r="K332" s="120"/>
      <c r="L332" s="120"/>
      <c r="M332" s="122"/>
      <c r="N332" s="6"/>
    </row>
    <row r="333" ht="22.5" customHeight="1">
      <c r="A333" s="108"/>
      <c r="B333" s="110"/>
      <c r="C333" s="110"/>
      <c r="D333" s="110"/>
      <c r="E333" s="110"/>
      <c r="F333" s="110"/>
      <c r="G333" s="110"/>
      <c r="H333" s="6"/>
      <c r="I333" s="6"/>
      <c r="J333" s="120"/>
      <c r="K333" s="120"/>
      <c r="L333" s="120"/>
      <c r="M333" s="122"/>
      <c r="N333" s="6"/>
    </row>
    <row r="334" ht="22.5" customHeight="1">
      <c r="A334" s="108"/>
      <c r="B334" s="110"/>
      <c r="C334" s="110"/>
      <c r="D334" s="110"/>
      <c r="E334" s="110"/>
      <c r="F334" s="110"/>
      <c r="G334" s="110"/>
      <c r="H334" s="6"/>
      <c r="I334" s="6"/>
      <c r="J334" s="120"/>
      <c r="K334" s="120"/>
      <c r="L334" s="120"/>
      <c r="M334" s="122"/>
      <c r="N334" s="6"/>
    </row>
    <row r="335" ht="22.5" customHeight="1">
      <c r="A335" s="108"/>
      <c r="B335" s="110"/>
      <c r="C335" s="110"/>
      <c r="D335" s="110"/>
      <c r="E335" s="110"/>
      <c r="F335" s="110"/>
      <c r="G335" s="110"/>
      <c r="H335" s="6"/>
      <c r="I335" s="6"/>
      <c r="J335" s="120"/>
      <c r="K335" s="120"/>
      <c r="L335" s="120"/>
      <c r="M335" s="122"/>
      <c r="N335" s="6"/>
    </row>
    <row r="336" ht="22.5" customHeight="1">
      <c r="A336" s="108"/>
      <c r="B336" s="110"/>
      <c r="C336" s="110"/>
      <c r="D336" s="110"/>
      <c r="E336" s="110"/>
      <c r="F336" s="110"/>
      <c r="G336" s="110"/>
      <c r="H336" s="6"/>
      <c r="I336" s="6"/>
      <c r="J336" s="120"/>
      <c r="K336" s="120"/>
      <c r="L336" s="120"/>
      <c r="M336" s="122"/>
      <c r="N336" s="6"/>
    </row>
    <row r="337" ht="22.5" customHeight="1">
      <c r="A337" s="108"/>
      <c r="B337" s="110"/>
      <c r="C337" s="110"/>
      <c r="D337" s="110"/>
      <c r="E337" s="110"/>
      <c r="F337" s="110"/>
      <c r="G337" s="110"/>
      <c r="H337" s="6"/>
      <c r="I337" s="6"/>
      <c r="J337" s="120"/>
      <c r="K337" s="120"/>
      <c r="L337" s="120"/>
      <c r="M337" s="122"/>
      <c r="N337" s="6"/>
    </row>
    <row r="338" ht="22.5" customHeight="1">
      <c r="A338" s="108"/>
      <c r="B338" s="110"/>
      <c r="C338" s="110"/>
      <c r="D338" s="110"/>
      <c r="E338" s="110"/>
      <c r="F338" s="110"/>
      <c r="G338" s="110"/>
      <c r="H338" s="6"/>
      <c r="I338" s="6"/>
      <c r="J338" s="120"/>
      <c r="K338" s="120"/>
      <c r="L338" s="120"/>
      <c r="M338" s="122"/>
      <c r="N338" s="6"/>
    </row>
    <row r="339" ht="22.5" customHeight="1">
      <c r="A339" s="108"/>
      <c r="B339" s="110"/>
      <c r="C339" s="110"/>
      <c r="D339" s="110"/>
      <c r="E339" s="110"/>
      <c r="F339" s="110"/>
      <c r="G339" s="110"/>
      <c r="H339" s="6"/>
      <c r="I339" s="6"/>
      <c r="J339" s="120"/>
      <c r="K339" s="120"/>
      <c r="L339" s="120"/>
      <c r="M339" s="122"/>
      <c r="N339" s="6"/>
    </row>
    <row r="340" ht="22.5" customHeight="1">
      <c r="A340" s="108"/>
      <c r="B340" s="110"/>
      <c r="C340" s="110"/>
      <c r="D340" s="110"/>
      <c r="E340" s="110"/>
      <c r="F340" s="110"/>
      <c r="G340" s="110"/>
      <c r="H340" s="6"/>
      <c r="I340" s="6"/>
      <c r="J340" s="120"/>
      <c r="K340" s="120"/>
      <c r="L340" s="120"/>
      <c r="M340" s="122"/>
      <c r="N340" s="6"/>
    </row>
    <row r="341" ht="22.5" customHeight="1">
      <c r="A341" s="108"/>
      <c r="B341" s="110"/>
      <c r="C341" s="110"/>
      <c r="D341" s="110"/>
      <c r="E341" s="110"/>
      <c r="F341" s="110"/>
      <c r="G341" s="110"/>
      <c r="H341" s="6"/>
      <c r="I341" s="6"/>
      <c r="J341" s="120"/>
      <c r="K341" s="120"/>
      <c r="L341" s="120"/>
      <c r="M341" s="122"/>
      <c r="N341" s="6"/>
    </row>
    <row r="342" ht="22.5" customHeight="1">
      <c r="A342" s="108"/>
      <c r="B342" s="110"/>
      <c r="C342" s="110"/>
      <c r="D342" s="110"/>
      <c r="E342" s="110"/>
      <c r="F342" s="110"/>
      <c r="G342" s="110"/>
      <c r="H342" s="6"/>
      <c r="I342" s="6"/>
      <c r="J342" s="120"/>
      <c r="K342" s="120"/>
      <c r="L342" s="120"/>
      <c r="M342" s="122"/>
      <c r="N342" s="6"/>
    </row>
    <row r="343" ht="22.5" customHeight="1">
      <c r="A343" s="108"/>
      <c r="B343" s="110"/>
      <c r="C343" s="110"/>
      <c r="D343" s="110"/>
      <c r="E343" s="110"/>
      <c r="F343" s="110"/>
      <c r="G343" s="110"/>
      <c r="H343" s="6"/>
      <c r="I343" s="6"/>
      <c r="J343" s="120"/>
      <c r="K343" s="120"/>
      <c r="L343" s="120"/>
      <c r="M343" s="122"/>
      <c r="N343" s="6"/>
    </row>
    <row r="344" ht="22.5" customHeight="1">
      <c r="A344" s="108"/>
      <c r="B344" s="110"/>
      <c r="C344" s="110"/>
      <c r="D344" s="110"/>
      <c r="E344" s="110"/>
      <c r="F344" s="110"/>
      <c r="G344" s="110"/>
      <c r="H344" s="6"/>
      <c r="I344" s="6"/>
      <c r="J344" s="120"/>
      <c r="K344" s="120"/>
      <c r="L344" s="120"/>
      <c r="M344" s="122"/>
      <c r="N344" s="6"/>
    </row>
    <row r="345" ht="22.5" customHeight="1">
      <c r="A345" s="108"/>
      <c r="B345" s="110"/>
      <c r="C345" s="110"/>
      <c r="D345" s="110"/>
      <c r="E345" s="110"/>
      <c r="F345" s="110"/>
      <c r="G345" s="110"/>
      <c r="H345" s="6"/>
      <c r="I345" s="6"/>
      <c r="J345" s="120"/>
      <c r="K345" s="120"/>
      <c r="L345" s="120"/>
      <c r="M345" s="122"/>
      <c r="N345" s="6"/>
    </row>
    <row r="346" ht="22.5" customHeight="1">
      <c r="A346" s="108"/>
      <c r="B346" s="110"/>
      <c r="C346" s="110"/>
      <c r="D346" s="110"/>
      <c r="E346" s="110"/>
      <c r="F346" s="110"/>
      <c r="G346" s="110"/>
      <c r="H346" s="6"/>
      <c r="I346" s="6"/>
      <c r="J346" s="120"/>
      <c r="K346" s="120"/>
      <c r="L346" s="120"/>
      <c r="M346" s="122"/>
      <c r="N346" s="6"/>
    </row>
    <row r="347" ht="22.5" customHeight="1">
      <c r="A347" s="108"/>
      <c r="B347" s="110"/>
      <c r="C347" s="110"/>
      <c r="D347" s="110"/>
      <c r="E347" s="110"/>
      <c r="F347" s="110"/>
      <c r="G347" s="110"/>
      <c r="H347" s="6"/>
      <c r="I347" s="6"/>
      <c r="J347" s="120"/>
      <c r="K347" s="120"/>
      <c r="L347" s="120"/>
      <c r="M347" s="122"/>
      <c r="N347" s="6"/>
    </row>
    <row r="348" ht="22.5" customHeight="1">
      <c r="A348" s="108"/>
      <c r="B348" s="110"/>
      <c r="C348" s="110"/>
      <c r="D348" s="110"/>
      <c r="E348" s="110"/>
      <c r="F348" s="110"/>
      <c r="G348" s="110"/>
      <c r="H348" s="6"/>
      <c r="I348" s="6"/>
      <c r="J348" s="120"/>
      <c r="K348" s="120"/>
      <c r="L348" s="120"/>
      <c r="M348" s="122"/>
      <c r="N348" s="6"/>
    </row>
    <row r="349" ht="22.5" customHeight="1">
      <c r="A349" s="108"/>
      <c r="B349" s="110"/>
      <c r="C349" s="110"/>
      <c r="D349" s="110"/>
      <c r="E349" s="110"/>
      <c r="F349" s="110"/>
      <c r="G349" s="110"/>
      <c r="H349" s="6"/>
      <c r="I349" s="6"/>
      <c r="J349" s="120"/>
      <c r="K349" s="120"/>
      <c r="L349" s="120"/>
      <c r="M349" s="122"/>
      <c r="N349" s="6"/>
    </row>
    <row r="350" ht="22.5" customHeight="1">
      <c r="A350" s="108"/>
      <c r="B350" s="110"/>
      <c r="C350" s="110"/>
      <c r="D350" s="110"/>
      <c r="E350" s="110"/>
      <c r="F350" s="110"/>
      <c r="G350" s="110"/>
      <c r="H350" s="6"/>
      <c r="I350" s="6"/>
      <c r="J350" s="120"/>
      <c r="K350" s="120"/>
      <c r="L350" s="120"/>
      <c r="M350" s="122"/>
      <c r="N350" s="6"/>
    </row>
    <row r="351" ht="22.5" customHeight="1">
      <c r="A351" s="108"/>
      <c r="B351" s="110"/>
      <c r="C351" s="110"/>
      <c r="D351" s="110"/>
      <c r="E351" s="110"/>
      <c r="F351" s="110"/>
      <c r="G351" s="110"/>
      <c r="H351" s="6"/>
      <c r="I351" s="6"/>
      <c r="J351" s="120"/>
      <c r="K351" s="120"/>
      <c r="L351" s="120"/>
      <c r="M351" s="122"/>
      <c r="N351" s="6"/>
    </row>
    <row r="352" ht="22.5" customHeight="1">
      <c r="A352" s="108"/>
      <c r="B352" s="110"/>
      <c r="C352" s="110"/>
      <c r="D352" s="110"/>
      <c r="E352" s="110"/>
      <c r="F352" s="110"/>
      <c r="G352" s="110"/>
      <c r="H352" s="6"/>
      <c r="I352" s="6"/>
      <c r="J352" s="120"/>
      <c r="K352" s="120"/>
      <c r="L352" s="120"/>
      <c r="M352" s="122"/>
      <c r="N352" s="6"/>
    </row>
    <row r="353" ht="22.5" customHeight="1">
      <c r="A353" s="108"/>
      <c r="B353" s="110"/>
      <c r="C353" s="110"/>
      <c r="D353" s="110"/>
      <c r="E353" s="110"/>
      <c r="F353" s="110"/>
      <c r="G353" s="110"/>
      <c r="H353" s="6"/>
      <c r="I353" s="6"/>
      <c r="J353" s="120"/>
      <c r="K353" s="120"/>
      <c r="L353" s="120"/>
      <c r="M353" s="122"/>
      <c r="N353" s="6"/>
    </row>
    <row r="354" ht="22.5" customHeight="1">
      <c r="A354" s="108"/>
      <c r="B354" s="110"/>
      <c r="C354" s="110"/>
      <c r="D354" s="110"/>
      <c r="E354" s="110"/>
      <c r="F354" s="110"/>
      <c r="G354" s="110"/>
      <c r="H354" s="6"/>
      <c r="I354" s="6"/>
      <c r="J354" s="120"/>
      <c r="K354" s="120"/>
      <c r="L354" s="120"/>
      <c r="M354" s="122"/>
      <c r="N354" s="6"/>
    </row>
    <row r="355" ht="22.5" customHeight="1">
      <c r="A355" s="108"/>
      <c r="B355" s="110"/>
      <c r="C355" s="110"/>
      <c r="D355" s="110"/>
      <c r="E355" s="110"/>
      <c r="F355" s="110"/>
      <c r="G355" s="110"/>
      <c r="H355" s="6"/>
      <c r="I355" s="6"/>
      <c r="J355" s="120"/>
      <c r="K355" s="120"/>
      <c r="L355" s="120"/>
      <c r="M355" s="122"/>
      <c r="N355" s="6"/>
    </row>
    <row r="356" ht="22.5" customHeight="1">
      <c r="A356" s="108"/>
      <c r="B356" s="110"/>
      <c r="C356" s="110"/>
      <c r="D356" s="110"/>
      <c r="E356" s="110"/>
      <c r="F356" s="110"/>
      <c r="G356" s="110"/>
      <c r="H356" s="6"/>
      <c r="I356" s="6"/>
      <c r="J356" s="120"/>
      <c r="K356" s="120"/>
      <c r="L356" s="120"/>
      <c r="M356" s="122"/>
      <c r="N356" s="6"/>
    </row>
    <row r="357" ht="22.5" customHeight="1">
      <c r="A357" s="108"/>
      <c r="B357" s="110"/>
      <c r="C357" s="110"/>
      <c r="D357" s="110"/>
      <c r="E357" s="110"/>
      <c r="F357" s="110"/>
      <c r="G357" s="110"/>
      <c r="H357" s="6"/>
      <c r="I357" s="6"/>
      <c r="J357" s="120"/>
      <c r="K357" s="120"/>
      <c r="L357" s="120"/>
      <c r="M357" s="122"/>
      <c r="N357" s="6"/>
    </row>
    <row r="358" ht="22.5" customHeight="1">
      <c r="A358" s="108"/>
      <c r="B358" s="110"/>
      <c r="C358" s="110"/>
      <c r="D358" s="110"/>
      <c r="E358" s="110"/>
      <c r="F358" s="110"/>
      <c r="G358" s="110"/>
      <c r="H358" s="6"/>
      <c r="I358" s="6"/>
      <c r="J358" s="120"/>
      <c r="K358" s="120"/>
      <c r="L358" s="120"/>
      <c r="M358" s="122"/>
      <c r="N358" s="6"/>
    </row>
    <row r="359" ht="22.5" customHeight="1">
      <c r="A359" s="108"/>
      <c r="B359" s="110"/>
      <c r="C359" s="110"/>
      <c r="D359" s="110"/>
      <c r="E359" s="110"/>
      <c r="F359" s="110"/>
      <c r="G359" s="110"/>
      <c r="H359" s="6"/>
      <c r="I359" s="6"/>
      <c r="J359" s="120"/>
      <c r="K359" s="120"/>
      <c r="L359" s="120"/>
      <c r="M359" s="122"/>
      <c r="N359" s="6"/>
    </row>
    <row r="360" ht="22.5" customHeight="1">
      <c r="A360" s="108"/>
      <c r="B360" s="110"/>
      <c r="C360" s="110"/>
      <c r="D360" s="110"/>
      <c r="E360" s="110"/>
      <c r="F360" s="110"/>
      <c r="G360" s="110"/>
      <c r="H360" s="6"/>
      <c r="I360" s="6"/>
      <c r="J360" s="120"/>
      <c r="K360" s="120"/>
      <c r="L360" s="120"/>
      <c r="M360" s="122"/>
      <c r="N360" s="6"/>
    </row>
    <row r="361" ht="22.5" customHeight="1">
      <c r="A361" s="108"/>
      <c r="B361" s="110"/>
      <c r="C361" s="110"/>
      <c r="D361" s="110"/>
      <c r="E361" s="110"/>
      <c r="F361" s="110"/>
      <c r="G361" s="110"/>
      <c r="H361" s="6"/>
      <c r="I361" s="6"/>
      <c r="J361" s="120"/>
      <c r="K361" s="120"/>
      <c r="L361" s="120"/>
      <c r="M361" s="122"/>
      <c r="N361" s="6"/>
    </row>
    <row r="362" ht="22.5" customHeight="1">
      <c r="A362" s="108"/>
      <c r="B362" s="110"/>
      <c r="C362" s="110"/>
      <c r="D362" s="110"/>
      <c r="E362" s="110"/>
      <c r="F362" s="110"/>
      <c r="G362" s="110"/>
      <c r="H362" s="6"/>
      <c r="I362" s="6"/>
      <c r="J362" s="120"/>
      <c r="K362" s="120"/>
      <c r="L362" s="120"/>
      <c r="M362" s="122"/>
      <c r="N362" s="6"/>
    </row>
    <row r="363" ht="22.5" customHeight="1">
      <c r="A363" s="108"/>
      <c r="B363" s="110"/>
      <c r="C363" s="110"/>
      <c r="D363" s="110"/>
      <c r="E363" s="110"/>
      <c r="F363" s="110"/>
      <c r="G363" s="110"/>
      <c r="H363" s="6"/>
      <c r="I363" s="6"/>
      <c r="J363" s="120"/>
      <c r="K363" s="120"/>
      <c r="L363" s="120"/>
      <c r="M363" s="122"/>
      <c r="N363" s="6"/>
    </row>
    <row r="364" ht="22.5" customHeight="1">
      <c r="A364" s="108"/>
      <c r="B364" s="110"/>
      <c r="C364" s="110"/>
      <c r="D364" s="110"/>
      <c r="E364" s="110"/>
      <c r="F364" s="110"/>
      <c r="G364" s="110"/>
      <c r="H364" s="6"/>
      <c r="I364" s="6"/>
      <c r="J364" s="120"/>
      <c r="K364" s="120"/>
      <c r="L364" s="120"/>
      <c r="M364" s="122"/>
      <c r="N364" s="6"/>
    </row>
    <row r="365" ht="22.5" customHeight="1">
      <c r="A365" s="108"/>
      <c r="B365" s="110"/>
      <c r="C365" s="110"/>
      <c r="D365" s="110"/>
      <c r="E365" s="110"/>
      <c r="F365" s="110"/>
      <c r="G365" s="110"/>
      <c r="H365" s="6"/>
      <c r="I365" s="6"/>
      <c r="J365" s="120"/>
      <c r="K365" s="120"/>
      <c r="L365" s="120"/>
      <c r="M365" s="122"/>
      <c r="N365" s="6"/>
    </row>
    <row r="366" ht="22.5" customHeight="1">
      <c r="A366" s="108"/>
      <c r="B366" s="110"/>
      <c r="C366" s="110"/>
      <c r="D366" s="110"/>
      <c r="E366" s="110"/>
      <c r="F366" s="110"/>
      <c r="G366" s="110"/>
      <c r="H366" s="6"/>
      <c r="I366" s="6"/>
      <c r="J366" s="120"/>
      <c r="K366" s="120"/>
      <c r="L366" s="120"/>
      <c r="M366" s="122"/>
      <c r="N366" s="6"/>
    </row>
    <row r="367" ht="22.5" customHeight="1">
      <c r="A367" s="108"/>
      <c r="B367" s="110"/>
      <c r="C367" s="110"/>
      <c r="D367" s="110"/>
      <c r="E367" s="110"/>
      <c r="F367" s="110"/>
      <c r="G367" s="110"/>
      <c r="H367" s="6"/>
      <c r="I367" s="6"/>
      <c r="J367" s="120"/>
      <c r="K367" s="120"/>
      <c r="L367" s="120"/>
      <c r="M367" s="122"/>
      <c r="N367" s="6"/>
    </row>
    <row r="368" ht="22.5" customHeight="1">
      <c r="A368" s="108"/>
      <c r="B368" s="110"/>
      <c r="C368" s="110"/>
      <c r="D368" s="110"/>
      <c r="E368" s="110"/>
      <c r="F368" s="110"/>
      <c r="G368" s="110"/>
      <c r="H368" s="6"/>
      <c r="I368" s="6"/>
      <c r="J368" s="120"/>
      <c r="K368" s="120"/>
      <c r="L368" s="120"/>
      <c r="M368" s="122"/>
      <c r="N368" s="6"/>
    </row>
    <row r="369" ht="22.5" customHeight="1">
      <c r="A369" s="108"/>
      <c r="B369" s="110"/>
      <c r="C369" s="110"/>
      <c r="D369" s="110"/>
      <c r="E369" s="110"/>
      <c r="F369" s="110"/>
      <c r="G369" s="110"/>
      <c r="H369" s="6"/>
      <c r="I369" s="6"/>
      <c r="J369" s="120"/>
      <c r="K369" s="120"/>
      <c r="L369" s="120"/>
      <c r="M369" s="122"/>
      <c r="N369" s="6"/>
    </row>
    <row r="370" ht="22.5" customHeight="1">
      <c r="A370" s="108"/>
      <c r="B370" s="110"/>
      <c r="C370" s="110"/>
      <c r="D370" s="110"/>
      <c r="E370" s="110"/>
      <c r="F370" s="110"/>
      <c r="G370" s="110"/>
      <c r="H370" s="6"/>
      <c r="I370" s="6"/>
      <c r="J370" s="120"/>
      <c r="K370" s="120"/>
      <c r="L370" s="120"/>
      <c r="M370" s="122"/>
      <c r="N370" s="6"/>
    </row>
    <row r="371" ht="22.5" customHeight="1">
      <c r="A371" s="108"/>
      <c r="B371" s="110"/>
      <c r="C371" s="110"/>
      <c r="D371" s="110"/>
      <c r="E371" s="110"/>
      <c r="F371" s="110"/>
      <c r="G371" s="110"/>
      <c r="H371" s="6"/>
      <c r="I371" s="6"/>
      <c r="J371" s="120"/>
      <c r="K371" s="120"/>
      <c r="L371" s="120"/>
      <c r="M371" s="122"/>
      <c r="N371" s="6"/>
    </row>
    <row r="372" ht="22.5" customHeight="1">
      <c r="A372" s="108"/>
      <c r="B372" s="110"/>
      <c r="C372" s="110"/>
      <c r="D372" s="110"/>
      <c r="E372" s="110"/>
      <c r="F372" s="110"/>
      <c r="G372" s="110"/>
      <c r="H372" s="6"/>
      <c r="I372" s="6"/>
      <c r="J372" s="120"/>
      <c r="K372" s="120"/>
      <c r="L372" s="120"/>
      <c r="M372" s="122"/>
      <c r="N372" s="6"/>
    </row>
    <row r="373" ht="22.5" customHeight="1">
      <c r="A373" s="108"/>
      <c r="B373" s="110"/>
      <c r="C373" s="110"/>
      <c r="D373" s="110"/>
      <c r="E373" s="110"/>
      <c r="F373" s="110"/>
      <c r="G373" s="110"/>
      <c r="H373" s="6"/>
      <c r="I373" s="6"/>
      <c r="J373" s="120"/>
      <c r="K373" s="120"/>
      <c r="L373" s="120"/>
      <c r="M373" s="122"/>
      <c r="N373" s="6"/>
    </row>
    <row r="374" ht="22.5" customHeight="1">
      <c r="A374" s="108"/>
      <c r="B374" s="110"/>
      <c r="C374" s="110"/>
      <c r="D374" s="110"/>
      <c r="E374" s="110"/>
      <c r="F374" s="110"/>
      <c r="G374" s="110"/>
      <c r="H374" s="6"/>
      <c r="I374" s="6"/>
      <c r="J374" s="120"/>
      <c r="K374" s="120"/>
      <c r="L374" s="120"/>
      <c r="M374" s="122"/>
      <c r="N374" s="6"/>
    </row>
    <row r="375" ht="22.5" customHeight="1">
      <c r="A375" s="108"/>
      <c r="B375" s="110"/>
      <c r="C375" s="110"/>
      <c r="D375" s="110"/>
      <c r="E375" s="110"/>
      <c r="F375" s="110"/>
      <c r="G375" s="110"/>
      <c r="H375" s="6"/>
      <c r="I375" s="6"/>
      <c r="J375" s="120"/>
      <c r="K375" s="120"/>
      <c r="L375" s="120"/>
      <c r="M375" s="122"/>
      <c r="N375" s="6"/>
    </row>
    <row r="376" ht="22.5" customHeight="1">
      <c r="A376" s="108"/>
      <c r="B376" s="110"/>
      <c r="C376" s="110"/>
      <c r="D376" s="110"/>
      <c r="E376" s="110"/>
      <c r="F376" s="110"/>
      <c r="G376" s="110"/>
      <c r="H376" s="6"/>
      <c r="I376" s="6"/>
      <c r="J376" s="120"/>
      <c r="K376" s="120"/>
      <c r="L376" s="120"/>
      <c r="M376" s="122"/>
      <c r="N376" s="6"/>
    </row>
    <row r="377" ht="22.5" customHeight="1">
      <c r="A377" s="108"/>
      <c r="B377" s="110"/>
      <c r="C377" s="110"/>
      <c r="D377" s="110"/>
      <c r="E377" s="110"/>
      <c r="F377" s="110"/>
      <c r="G377" s="110"/>
      <c r="H377" s="6"/>
      <c r="I377" s="6"/>
      <c r="J377" s="120"/>
      <c r="K377" s="120"/>
      <c r="L377" s="120"/>
      <c r="M377" s="122"/>
      <c r="N377" s="6"/>
    </row>
    <row r="378" ht="22.5" customHeight="1">
      <c r="A378" s="108"/>
      <c r="B378" s="110"/>
      <c r="C378" s="110"/>
      <c r="D378" s="110"/>
      <c r="E378" s="110"/>
      <c r="F378" s="110"/>
      <c r="G378" s="110"/>
      <c r="H378" s="6"/>
      <c r="I378" s="6"/>
      <c r="J378" s="120"/>
      <c r="K378" s="120"/>
      <c r="L378" s="120"/>
      <c r="M378" s="122"/>
      <c r="N378" s="6"/>
    </row>
    <row r="379" ht="22.5" customHeight="1">
      <c r="A379" s="108"/>
      <c r="B379" s="110"/>
      <c r="C379" s="110"/>
      <c r="D379" s="110"/>
      <c r="E379" s="110"/>
      <c r="F379" s="110"/>
      <c r="G379" s="110"/>
      <c r="H379" s="6"/>
      <c r="I379" s="6"/>
      <c r="J379" s="120"/>
      <c r="K379" s="120"/>
      <c r="L379" s="120"/>
      <c r="M379" s="122"/>
      <c r="N379" s="6"/>
    </row>
    <row r="380" ht="22.5" customHeight="1">
      <c r="A380" s="108"/>
      <c r="B380" s="110"/>
      <c r="C380" s="110"/>
      <c r="D380" s="110"/>
      <c r="E380" s="110"/>
      <c r="F380" s="110"/>
      <c r="G380" s="110"/>
      <c r="H380" s="6"/>
      <c r="I380" s="6"/>
      <c r="J380" s="120"/>
      <c r="K380" s="120"/>
      <c r="L380" s="120"/>
      <c r="M380" s="122"/>
      <c r="N380" s="6"/>
    </row>
    <row r="381" ht="22.5" customHeight="1">
      <c r="A381" s="108"/>
      <c r="B381" s="110"/>
      <c r="C381" s="110"/>
      <c r="D381" s="110"/>
      <c r="E381" s="110"/>
      <c r="F381" s="110"/>
      <c r="G381" s="110"/>
      <c r="H381" s="6"/>
      <c r="I381" s="6"/>
      <c r="J381" s="120"/>
      <c r="K381" s="120"/>
      <c r="L381" s="120"/>
      <c r="M381" s="122"/>
      <c r="N381" s="6"/>
    </row>
    <row r="382" ht="22.5" customHeight="1">
      <c r="A382" s="108"/>
      <c r="B382" s="110"/>
      <c r="C382" s="110"/>
      <c r="D382" s="110"/>
      <c r="E382" s="110"/>
      <c r="F382" s="110"/>
      <c r="G382" s="110"/>
      <c r="H382" s="6"/>
      <c r="I382" s="6"/>
      <c r="J382" s="120"/>
      <c r="K382" s="120"/>
      <c r="L382" s="120"/>
      <c r="M382" s="122"/>
      <c r="N382" s="6"/>
    </row>
    <row r="383" ht="22.5" customHeight="1">
      <c r="A383" s="108"/>
      <c r="B383" s="110"/>
      <c r="C383" s="110"/>
      <c r="D383" s="110"/>
      <c r="E383" s="110"/>
      <c r="F383" s="110"/>
      <c r="G383" s="110"/>
      <c r="H383" s="6"/>
      <c r="I383" s="6"/>
      <c r="J383" s="120"/>
      <c r="K383" s="120"/>
      <c r="L383" s="120"/>
      <c r="M383" s="122"/>
      <c r="N383" s="6"/>
    </row>
    <row r="384" ht="22.5" customHeight="1">
      <c r="A384" s="108"/>
      <c r="B384" s="110"/>
      <c r="C384" s="110"/>
      <c r="D384" s="110"/>
      <c r="E384" s="110"/>
      <c r="F384" s="110"/>
      <c r="G384" s="110"/>
      <c r="H384" s="6"/>
      <c r="I384" s="6"/>
      <c r="J384" s="120"/>
      <c r="K384" s="120"/>
      <c r="L384" s="120"/>
      <c r="M384" s="122"/>
      <c r="N384" s="6"/>
    </row>
    <row r="385" ht="22.5" customHeight="1">
      <c r="A385" s="108"/>
      <c r="B385" s="110"/>
      <c r="C385" s="110"/>
      <c r="D385" s="110"/>
      <c r="E385" s="110"/>
      <c r="F385" s="110"/>
      <c r="G385" s="110"/>
      <c r="H385" s="6"/>
      <c r="I385" s="6"/>
      <c r="J385" s="120"/>
      <c r="K385" s="120"/>
      <c r="L385" s="120"/>
      <c r="M385" s="122"/>
      <c r="N385" s="6"/>
    </row>
    <row r="386" ht="22.5" customHeight="1">
      <c r="A386" s="108"/>
      <c r="B386" s="110"/>
      <c r="C386" s="110"/>
      <c r="D386" s="110"/>
      <c r="E386" s="110"/>
      <c r="F386" s="110"/>
      <c r="G386" s="110"/>
      <c r="H386" s="6"/>
      <c r="I386" s="6"/>
      <c r="J386" s="120"/>
      <c r="K386" s="120"/>
      <c r="L386" s="120"/>
      <c r="M386" s="122"/>
      <c r="N386" s="6"/>
    </row>
    <row r="387" ht="22.5" customHeight="1">
      <c r="A387" s="108"/>
      <c r="B387" s="110"/>
      <c r="C387" s="110"/>
      <c r="D387" s="110"/>
      <c r="E387" s="110"/>
      <c r="F387" s="110"/>
      <c r="G387" s="110"/>
      <c r="H387" s="6"/>
      <c r="I387" s="6"/>
      <c r="J387" s="120"/>
      <c r="K387" s="120"/>
      <c r="L387" s="120"/>
      <c r="M387" s="122"/>
      <c r="N387" s="6"/>
    </row>
    <row r="388" ht="22.5" customHeight="1">
      <c r="A388" s="108"/>
      <c r="B388" s="110"/>
      <c r="C388" s="110"/>
      <c r="D388" s="110"/>
      <c r="E388" s="110"/>
      <c r="F388" s="110"/>
      <c r="G388" s="110"/>
      <c r="H388" s="6"/>
      <c r="I388" s="6"/>
      <c r="J388" s="120"/>
      <c r="K388" s="120"/>
      <c r="L388" s="120"/>
      <c r="M388" s="122"/>
      <c r="N388" s="6"/>
    </row>
    <row r="389" ht="22.5" customHeight="1">
      <c r="A389" s="108"/>
      <c r="B389" s="110"/>
      <c r="C389" s="110"/>
      <c r="D389" s="110"/>
      <c r="E389" s="110"/>
      <c r="F389" s="110"/>
      <c r="G389" s="110"/>
      <c r="H389" s="6"/>
      <c r="I389" s="6"/>
      <c r="J389" s="120"/>
      <c r="K389" s="120"/>
      <c r="L389" s="120"/>
      <c r="M389" s="122"/>
      <c r="N389" s="6"/>
    </row>
    <row r="390" ht="22.5" customHeight="1">
      <c r="A390" s="108"/>
      <c r="B390" s="110"/>
      <c r="C390" s="110"/>
      <c r="D390" s="110"/>
      <c r="E390" s="110"/>
      <c r="F390" s="110"/>
      <c r="G390" s="110"/>
      <c r="H390" s="6"/>
      <c r="I390" s="6"/>
      <c r="J390" s="120"/>
      <c r="K390" s="120"/>
      <c r="L390" s="120"/>
      <c r="M390" s="122"/>
      <c r="N390" s="6"/>
    </row>
    <row r="391" ht="22.5" customHeight="1">
      <c r="A391" s="108"/>
      <c r="B391" s="110"/>
      <c r="C391" s="110"/>
      <c r="D391" s="110"/>
      <c r="E391" s="110"/>
      <c r="F391" s="110"/>
      <c r="G391" s="110"/>
      <c r="H391" s="6"/>
      <c r="I391" s="6"/>
      <c r="J391" s="120"/>
      <c r="K391" s="120"/>
      <c r="L391" s="120"/>
      <c r="M391" s="122"/>
      <c r="N391" s="6"/>
    </row>
    <row r="392" ht="22.5" customHeight="1">
      <c r="A392" s="108"/>
      <c r="B392" s="110"/>
      <c r="C392" s="110"/>
      <c r="D392" s="110"/>
      <c r="E392" s="110"/>
      <c r="F392" s="110"/>
      <c r="G392" s="110"/>
      <c r="H392" s="6"/>
      <c r="I392" s="6"/>
      <c r="J392" s="120"/>
      <c r="K392" s="120"/>
      <c r="L392" s="120"/>
      <c r="M392" s="122"/>
      <c r="N392" s="6"/>
    </row>
    <row r="393" ht="22.5" customHeight="1">
      <c r="A393" s="108"/>
      <c r="B393" s="110"/>
      <c r="C393" s="110"/>
      <c r="D393" s="110"/>
      <c r="E393" s="110"/>
      <c r="F393" s="110"/>
      <c r="G393" s="110"/>
      <c r="H393" s="6"/>
      <c r="I393" s="6"/>
      <c r="J393" s="120"/>
      <c r="K393" s="120"/>
      <c r="L393" s="120"/>
      <c r="M393" s="122"/>
      <c r="N393" s="6"/>
    </row>
    <row r="394" ht="22.5" customHeight="1">
      <c r="A394" s="108"/>
      <c r="B394" s="110"/>
      <c r="C394" s="110"/>
      <c r="D394" s="110"/>
      <c r="E394" s="110"/>
      <c r="F394" s="110"/>
      <c r="G394" s="110"/>
      <c r="H394" s="6"/>
      <c r="I394" s="6"/>
      <c r="J394" s="120"/>
      <c r="K394" s="120"/>
      <c r="L394" s="120"/>
      <c r="M394" s="122"/>
      <c r="N394" s="6"/>
    </row>
    <row r="395" ht="22.5" customHeight="1">
      <c r="A395" s="108"/>
      <c r="B395" s="110"/>
      <c r="C395" s="110"/>
      <c r="D395" s="110"/>
      <c r="E395" s="110"/>
      <c r="F395" s="110"/>
      <c r="G395" s="110"/>
      <c r="H395" s="6"/>
      <c r="I395" s="6"/>
      <c r="J395" s="120"/>
      <c r="K395" s="120"/>
      <c r="L395" s="120"/>
      <c r="M395" s="122"/>
      <c r="N395" s="6"/>
    </row>
    <row r="396" ht="22.5" customHeight="1">
      <c r="A396" s="108"/>
      <c r="B396" s="110"/>
      <c r="C396" s="110"/>
      <c r="D396" s="110"/>
      <c r="E396" s="110"/>
      <c r="F396" s="110"/>
      <c r="G396" s="110"/>
      <c r="H396" s="6"/>
      <c r="I396" s="6"/>
      <c r="J396" s="120"/>
      <c r="K396" s="120"/>
      <c r="L396" s="120"/>
      <c r="M396" s="122"/>
      <c r="N396" s="6"/>
    </row>
    <row r="397" ht="22.5" customHeight="1">
      <c r="A397" s="108"/>
      <c r="B397" s="110"/>
      <c r="C397" s="110"/>
      <c r="D397" s="110"/>
      <c r="E397" s="110"/>
      <c r="F397" s="110"/>
      <c r="G397" s="110"/>
      <c r="H397" s="6"/>
      <c r="I397" s="6"/>
      <c r="J397" s="120"/>
      <c r="K397" s="120"/>
      <c r="L397" s="120"/>
      <c r="M397" s="122"/>
      <c r="N397" s="6"/>
    </row>
    <row r="398" ht="22.5" customHeight="1">
      <c r="A398" s="108"/>
      <c r="B398" s="110"/>
      <c r="C398" s="110"/>
      <c r="D398" s="110"/>
      <c r="E398" s="110"/>
      <c r="F398" s="110"/>
      <c r="G398" s="110"/>
      <c r="H398" s="6"/>
      <c r="I398" s="6"/>
      <c r="J398" s="120"/>
      <c r="K398" s="120"/>
      <c r="L398" s="120"/>
      <c r="M398" s="122"/>
      <c r="N398" s="6"/>
    </row>
    <row r="399" ht="22.5" customHeight="1">
      <c r="A399" s="108"/>
      <c r="B399" s="110"/>
      <c r="C399" s="110"/>
      <c r="D399" s="110"/>
      <c r="E399" s="110"/>
      <c r="F399" s="110"/>
      <c r="G399" s="110"/>
      <c r="H399" s="6"/>
      <c r="I399" s="6"/>
      <c r="J399" s="120"/>
      <c r="K399" s="120"/>
      <c r="L399" s="120"/>
      <c r="M399" s="122"/>
      <c r="N399" s="6"/>
    </row>
    <row r="400" ht="22.5" customHeight="1">
      <c r="A400" s="108"/>
      <c r="B400" s="110"/>
      <c r="C400" s="110"/>
      <c r="D400" s="110"/>
      <c r="E400" s="110"/>
      <c r="F400" s="110"/>
      <c r="G400" s="110"/>
      <c r="H400" s="6"/>
      <c r="I400" s="6"/>
      <c r="J400" s="120"/>
      <c r="K400" s="120"/>
      <c r="L400" s="120"/>
      <c r="M400" s="122"/>
      <c r="N400" s="6"/>
    </row>
    <row r="401" ht="22.5" customHeight="1">
      <c r="A401" s="108"/>
      <c r="B401" s="110"/>
      <c r="C401" s="110"/>
      <c r="D401" s="110"/>
      <c r="E401" s="110"/>
      <c r="F401" s="110"/>
      <c r="G401" s="110"/>
      <c r="H401" s="6"/>
      <c r="I401" s="6"/>
      <c r="J401" s="120"/>
      <c r="K401" s="120"/>
      <c r="L401" s="120"/>
      <c r="M401" s="122"/>
      <c r="N401" s="6"/>
    </row>
    <row r="402" ht="22.5" customHeight="1">
      <c r="A402" s="108"/>
      <c r="B402" s="110"/>
      <c r="C402" s="110"/>
      <c r="D402" s="110"/>
      <c r="E402" s="110"/>
      <c r="F402" s="110"/>
      <c r="G402" s="110"/>
      <c r="H402" s="6"/>
      <c r="I402" s="6"/>
      <c r="J402" s="120"/>
      <c r="K402" s="120"/>
      <c r="L402" s="120"/>
      <c r="M402" s="122"/>
      <c r="N402" s="6"/>
    </row>
    <row r="403" ht="22.5" customHeight="1">
      <c r="A403" s="108"/>
      <c r="B403" s="110"/>
      <c r="C403" s="110"/>
      <c r="D403" s="110"/>
      <c r="E403" s="110"/>
      <c r="F403" s="110"/>
      <c r="G403" s="110"/>
      <c r="H403" s="6"/>
      <c r="I403" s="6"/>
      <c r="J403" s="120"/>
      <c r="K403" s="120"/>
      <c r="L403" s="120"/>
      <c r="M403" s="122"/>
      <c r="N403" s="6"/>
    </row>
    <row r="404" ht="22.5" customHeight="1">
      <c r="A404" s="108"/>
      <c r="B404" s="110"/>
      <c r="C404" s="110"/>
      <c r="D404" s="110"/>
      <c r="E404" s="110"/>
      <c r="F404" s="110"/>
      <c r="G404" s="110"/>
      <c r="H404" s="6"/>
      <c r="I404" s="6"/>
      <c r="J404" s="120"/>
      <c r="K404" s="120"/>
      <c r="L404" s="120"/>
      <c r="M404" s="122"/>
      <c r="N404" s="6"/>
    </row>
    <row r="405" ht="22.5" customHeight="1">
      <c r="A405" s="108"/>
      <c r="B405" s="110"/>
      <c r="C405" s="110"/>
      <c r="D405" s="110"/>
      <c r="E405" s="110"/>
      <c r="F405" s="110"/>
      <c r="G405" s="110"/>
      <c r="H405" s="6"/>
      <c r="I405" s="6"/>
      <c r="J405" s="120"/>
      <c r="K405" s="120"/>
      <c r="L405" s="120"/>
      <c r="M405" s="122"/>
      <c r="N405" s="6"/>
    </row>
    <row r="406" ht="22.5" customHeight="1">
      <c r="A406" s="108"/>
      <c r="B406" s="110"/>
      <c r="C406" s="110"/>
      <c r="D406" s="110"/>
      <c r="E406" s="110"/>
      <c r="F406" s="110"/>
      <c r="G406" s="110"/>
      <c r="H406" s="6"/>
      <c r="I406" s="6"/>
      <c r="J406" s="120"/>
      <c r="K406" s="120"/>
      <c r="L406" s="120"/>
      <c r="M406" s="122"/>
      <c r="N406" s="6"/>
    </row>
    <row r="407" ht="22.5" customHeight="1">
      <c r="A407" s="108"/>
      <c r="B407" s="110"/>
      <c r="C407" s="110"/>
      <c r="D407" s="110"/>
      <c r="E407" s="110"/>
      <c r="F407" s="110"/>
      <c r="G407" s="110"/>
      <c r="H407" s="6"/>
      <c r="I407" s="6"/>
      <c r="J407" s="120"/>
      <c r="K407" s="120"/>
      <c r="L407" s="120"/>
      <c r="M407" s="122"/>
      <c r="N407" s="6"/>
    </row>
    <row r="408" ht="22.5" customHeight="1">
      <c r="A408" s="108"/>
      <c r="B408" s="110"/>
      <c r="C408" s="110"/>
      <c r="D408" s="110"/>
      <c r="E408" s="110"/>
      <c r="F408" s="110"/>
      <c r="G408" s="110"/>
      <c r="H408" s="6"/>
      <c r="I408" s="6"/>
      <c r="J408" s="120"/>
      <c r="K408" s="120"/>
      <c r="L408" s="120"/>
      <c r="M408" s="122"/>
      <c r="N408" s="6"/>
    </row>
    <row r="409" ht="22.5" customHeight="1">
      <c r="A409" s="108"/>
      <c r="B409" s="110"/>
      <c r="C409" s="110"/>
      <c r="D409" s="110"/>
      <c r="E409" s="110"/>
      <c r="F409" s="110"/>
      <c r="G409" s="110"/>
      <c r="H409" s="6"/>
      <c r="I409" s="6"/>
      <c r="J409" s="120"/>
      <c r="K409" s="120"/>
      <c r="L409" s="120"/>
      <c r="M409" s="122"/>
      <c r="N409" s="6"/>
    </row>
    <row r="410" ht="22.5" customHeight="1">
      <c r="A410" s="108"/>
      <c r="B410" s="110"/>
      <c r="C410" s="110"/>
      <c r="D410" s="110"/>
      <c r="E410" s="110"/>
      <c r="F410" s="110"/>
      <c r="G410" s="110"/>
      <c r="H410" s="6"/>
      <c r="I410" s="6"/>
      <c r="J410" s="120"/>
      <c r="K410" s="120"/>
      <c r="L410" s="120"/>
      <c r="M410" s="122"/>
      <c r="N410" s="6"/>
    </row>
    <row r="411" ht="22.5" customHeight="1">
      <c r="A411" s="108"/>
      <c r="B411" s="110"/>
      <c r="C411" s="110"/>
      <c r="D411" s="110"/>
      <c r="E411" s="110"/>
      <c r="F411" s="110"/>
      <c r="G411" s="110"/>
      <c r="H411" s="6"/>
      <c r="I411" s="6"/>
      <c r="J411" s="120"/>
      <c r="K411" s="120"/>
      <c r="L411" s="120"/>
      <c r="M411" s="122"/>
      <c r="N411" s="6"/>
    </row>
    <row r="412" ht="22.5" customHeight="1">
      <c r="A412" s="108"/>
      <c r="B412" s="110"/>
      <c r="C412" s="110"/>
      <c r="D412" s="110"/>
      <c r="E412" s="110"/>
      <c r="F412" s="110"/>
      <c r="G412" s="110"/>
      <c r="H412" s="6"/>
      <c r="I412" s="6"/>
      <c r="J412" s="120"/>
      <c r="K412" s="120"/>
      <c r="L412" s="120"/>
      <c r="M412" s="122"/>
      <c r="N412" s="6"/>
    </row>
    <row r="413" ht="22.5" customHeight="1">
      <c r="A413" s="108"/>
      <c r="B413" s="110"/>
      <c r="C413" s="110"/>
      <c r="D413" s="110"/>
      <c r="E413" s="110"/>
      <c r="F413" s="110"/>
      <c r="G413" s="110"/>
      <c r="H413" s="6"/>
      <c r="I413" s="6"/>
      <c r="J413" s="120"/>
      <c r="K413" s="120"/>
      <c r="L413" s="120"/>
      <c r="M413" s="122"/>
      <c r="N413" s="6"/>
    </row>
    <row r="414" ht="22.5" customHeight="1">
      <c r="A414" s="108"/>
      <c r="B414" s="110"/>
      <c r="C414" s="110"/>
      <c r="D414" s="110"/>
      <c r="E414" s="110"/>
      <c r="F414" s="110"/>
      <c r="G414" s="110"/>
      <c r="H414" s="6"/>
      <c r="I414" s="6"/>
      <c r="J414" s="120"/>
      <c r="K414" s="120"/>
      <c r="L414" s="120"/>
      <c r="M414" s="122"/>
      <c r="N414" s="6"/>
    </row>
    <row r="415" ht="22.5" customHeight="1">
      <c r="A415" s="108"/>
      <c r="B415" s="110"/>
      <c r="C415" s="110"/>
      <c r="D415" s="110"/>
      <c r="E415" s="110"/>
      <c r="F415" s="110"/>
      <c r="G415" s="110"/>
      <c r="H415" s="6"/>
      <c r="I415" s="6"/>
      <c r="J415" s="120"/>
      <c r="K415" s="120"/>
      <c r="L415" s="120"/>
      <c r="M415" s="122"/>
      <c r="N415" s="6"/>
    </row>
    <row r="416" ht="22.5" customHeight="1">
      <c r="A416" s="108"/>
      <c r="B416" s="110"/>
      <c r="C416" s="110"/>
      <c r="D416" s="110"/>
      <c r="E416" s="110"/>
      <c r="F416" s="110"/>
      <c r="G416" s="110"/>
      <c r="H416" s="6"/>
      <c r="I416" s="6"/>
      <c r="J416" s="120"/>
      <c r="K416" s="120"/>
      <c r="L416" s="120"/>
      <c r="M416" s="122"/>
      <c r="N416" s="6"/>
    </row>
    <row r="417" ht="22.5" customHeight="1">
      <c r="A417" s="108"/>
      <c r="B417" s="110"/>
      <c r="C417" s="110"/>
      <c r="D417" s="110"/>
      <c r="E417" s="110"/>
      <c r="F417" s="110"/>
      <c r="G417" s="110"/>
      <c r="H417" s="6"/>
      <c r="I417" s="6"/>
      <c r="J417" s="120"/>
      <c r="K417" s="120"/>
      <c r="L417" s="120"/>
      <c r="M417" s="122"/>
      <c r="N417" s="6"/>
    </row>
    <row r="418" ht="22.5" customHeight="1">
      <c r="A418" s="108"/>
      <c r="B418" s="110"/>
      <c r="C418" s="110"/>
      <c r="D418" s="110"/>
      <c r="E418" s="110"/>
      <c r="F418" s="110"/>
      <c r="G418" s="110"/>
      <c r="H418" s="6"/>
      <c r="I418" s="6"/>
      <c r="J418" s="120"/>
      <c r="K418" s="120"/>
      <c r="L418" s="120"/>
      <c r="M418" s="122"/>
      <c r="N418" s="6"/>
    </row>
    <row r="419" ht="22.5" customHeight="1">
      <c r="A419" s="108"/>
      <c r="B419" s="110"/>
      <c r="C419" s="110"/>
      <c r="D419" s="110"/>
      <c r="E419" s="110"/>
      <c r="F419" s="110"/>
      <c r="G419" s="110"/>
      <c r="H419" s="6"/>
      <c r="I419" s="6"/>
      <c r="J419" s="120"/>
      <c r="K419" s="120"/>
      <c r="L419" s="120"/>
      <c r="M419" s="122"/>
      <c r="N419" s="6"/>
    </row>
    <row r="420" ht="22.5" customHeight="1">
      <c r="A420" s="108"/>
      <c r="B420" s="110"/>
      <c r="C420" s="110"/>
      <c r="D420" s="110"/>
      <c r="E420" s="110"/>
      <c r="F420" s="110"/>
      <c r="G420" s="110"/>
      <c r="H420" s="6"/>
      <c r="I420" s="6"/>
      <c r="J420" s="120"/>
      <c r="K420" s="120"/>
      <c r="L420" s="120"/>
      <c r="M420" s="122"/>
      <c r="N420" s="6"/>
    </row>
    <row r="421" ht="22.5" customHeight="1">
      <c r="A421" s="108"/>
      <c r="B421" s="110"/>
      <c r="C421" s="110"/>
      <c r="D421" s="110"/>
      <c r="E421" s="110"/>
      <c r="F421" s="110"/>
      <c r="G421" s="110"/>
      <c r="H421" s="6"/>
      <c r="I421" s="6"/>
      <c r="J421" s="120"/>
      <c r="K421" s="120"/>
      <c r="L421" s="120"/>
      <c r="M421" s="122"/>
      <c r="N421" s="6"/>
    </row>
    <row r="422" ht="22.5" customHeight="1">
      <c r="A422" s="108"/>
      <c r="B422" s="110"/>
      <c r="C422" s="110"/>
      <c r="D422" s="110"/>
      <c r="E422" s="110"/>
      <c r="F422" s="110"/>
      <c r="G422" s="110"/>
      <c r="H422" s="6"/>
      <c r="I422" s="6"/>
      <c r="J422" s="120"/>
      <c r="K422" s="120"/>
      <c r="L422" s="120"/>
      <c r="M422" s="122"/>
      <c r="N422" s="6"/>
    </row>
    <row r="423" ht="22.5" customHeight="1">
      <c r="A423" s="108"/>
      <c r="B423" s="110"/>
      <c r="C423" s="110"/>
      <c r="D423" s="110"/>
      <c r="E423" s="110"/>
      <c r="F423" s="110"/>
      <c r="G423" s="110"/>
      <c r="H423" s="6"/>
      <c r="I423" s="6"/>
      <c r="J423" s="120"/>
      <c r="K423" s="120"/>
      <c r="L423" s="120"/>
      <c r="M423" s="122"/>
      <c r="N423" s="6"/>
    </row>
    <row r="424" ht="22.5" customHeight="1">
      <c r="A424" s="108"/>
      <c r="B424" s="110"/>
      <c r="C424" s="110"/>
      <c r="D424" s="110"/>
      <c r="E424" s="110"/>
      <c r="F424" s="110"/>
      <c r="G424" s="110"/>
      <c r="H424" s="6"/>
      <c r="I424" s="6"/>
      <c r="J424" s="120"/>
      <c r="K424" s="120"/>
      <c r="L424" s="120"/>
      <c r="M424" s="122"/>
      <c r="N424" s="6"/>
    </row>
    <row r="425" ht="22.5" customHeight="1">
      <c r="A425" s="108"/>
      <c r="B425" s="110"/>
      <c r="C425" s="110"/>
      <c r="D425" s="110"/>
      <c r="E425" s="110"/>
      <c r="F425" s="110"/>
      <c r="G425" s="110"/>
      <c r="H425" s="6"/>
      <c r="I425" s="6"/>
      <c r="J425" s="120"/>
      <c r="K425" s="120"/>
      <c r="L425" s="120"/>
      <c r="M425" s="122"/>
      <c r="N425" s="6"/>
    </row>
    <row r="426" ht="22.5" customHeight="1">
      <c r="A426" s="108"/>
      <c r="B426" s="110"/>
      <c r="C426" s="110"/>
      <c r="D426" s="110"/>
      <c r="E426" s="110"/>
      <c r="F426" s="110"/>
      <c r="G426" s="110"/>
      <c r="H426" s="6"/>
      <c r="I426" s="6"/>
      <c r="J426" s="120"/>
      <c r="K426" s="120"/>
      <c r="L426" s="120"/>
      <c r="M426" s="122"/>
      <c r="N426" s="6"/>
    </row>
    <row r="427" ht="22.5" customHeight="1">
      <c r="A427" s="108"/>
      <c r="B427" s="110"/>
      <c r="C427" s="110"/>
      <c r="D427" s="110"/>
      <c r="E427" s="110"/>
      <c r="F427" s="110"/>
      <c r="G427" s="110"/>
      <c r="H427" s="6"/>
      <c r="I427" s="6"/>
      <c r="J427" s="120"/>
      <c r="K427" s="120"/>
      <c r="L427" s="120"/>
      <c r="M427" s="122"/>
      <c r="N427" s="6"/>
    </row>
    <row r="428" ht="22.5" customHeight="1">
      <c r="A428" s="108"/>
      <c r="B428" s="110"/>
      <c r="C428" s="110"/>
      <c r="D428" s="110"/>
      <c r="E428" s="110"/>
      <c r="F428" s="110"/>
      <c r="G428" s="110"/>
      <c r="H428" s="6"/>
      <c r="I428" s="6"/>
      <c r="J428" s="120"/>
      <c r="K428" s="120"/>
      <c r="L428" s="120"/>
      <c r="M428" s="122"/>
      <c r="N428" s="6"/>
    </row>
    <row r="429" ht="22.5" customHeight="1">
      <c r="A429" s="108"/>
      <c r="B429" s="110"/>
      <c r="C429" s="110"/>
      <c r="D429" s="110"/>
      <c r="E429" s="110"/>
      <c r="F429" s="110"/>
      <c r="G429" s="110"/>
      <c r="H429" s="6"/>
      <c r="I429" s="6"/>
      <c r="J429" s="120"/>
      <c r="K429" s="120"/>
      <c r="L429" s="120"/>
      <c r="M429" s="122"/>
      <c r="N429" s="6"/>
    </row>
    <row r="430" ht="22.5" customHeight="1">
      <c r="A430" s="108"/>
      <c r="B430" s="110"/>
      <c r="C430" s="110"/>
      <c r="D430" s="110"/>
      <c r="E430" s="110"/>
      <c r="F430" s="110"/>
      <c r="G430" s="110"/>
      <c r="H430" s="6"/>
      <c r="I430" s="6"/>
      <c r="J430" s="120"/>
      <c r="K430" s="120"/>
      <c r="L430" s="120"/>
      <c r="M430" s="122"/>
      <c r="N430" s="6"/>
    </row>
    <row r="431" ht="22.5" customHeight="1">
      <c r="A431" s="108"/>
      <c r="B431" s="110"/>
      <c r="C431" s="110"/>
      <c r="D431" s="110"/>
      <c r="E431" s="110"/>
      <c r="F431" s="110"/>
      <c r="G431" s="110"/>
      <c r="H431" s="6"/>
      <c r="I431" s="6"/>
      <c r="J431" s="120"/>
      <c r="K431" s="120"/>
      <c r="L431" s="120"/>
      <c r="M431" s="122"/>
      <c r="N431" s="6"/>
    </row>
    <row r="432" ht="22.5" customHeight="1">
      <c r="A432" s="108"/>
      <c r="B432" s="110"/>
      <c r="C432" s="110"/>
      <c r="D432" s="110"/>
      <c r="E432" s="110"/>
      <c r="F432" s="110"/>
      <c r="G432" s="110"/>
      <c r="H432" s="6"/>
      <c r="I432" s="6"/>
      <c r="J432" s="120"/>
      <c r="K432" s="120"/>
      <c r="L432" s="120"/>
      <c r="M432" s="122"/>
      <c r="N432" s="6"/>
    </row>
    <row r="433" ht="22.5" customHeight="1">
      <c r="A433" s="108"/>
      <c r="B433" s="110"/>
      <c r="C433" s="110"/>
      <c r="D433" s="110"/>
      <c r="E433" s="110"/>
      <c r="F433" s="110"/>
      <c r="G433" s="110"/>
      <c r="H433" s="6"/>
      <c r="I433" s="6"/>
      <c r="J433" s="120"/>
      <c r="K433" s="120"/>
      <c r="L433" s="120"/>
      <c r="M433" s="122"/>
      <c r="N433" s="6"/>
    </row>
    <row r="434" ht="22.5" customHeight="1">
      <c r="A434" s="108"/>
      <c r="B434" s="110"/>
      <c r="C434" s="110"/>
      <c r="D434" s="110"/>
      <c r="E434" s="110"/>
      <c r="F434" s="110"/>
      <c r="G434" s="110"/>
      <c r="H434" s="6"/>
      <c r="I434" s="6"/>
      <c r="J434" s="120"/>
      <c r="K434" s="120"/>
      <c r="L434" s="120"/>
      <c r="M434" s="122"/>
      <c r="N434" s="6"/>
    </row>
    <row r="435" ht="22.5" customHeight="1">
      <c r="A435" s="108"/>
      <c r="B435" s="110"/>
      <c r="C435" s="110"/>
      <c r="D435" s="110"/>
      <c r="E435" s="110"/>
      <c r="F435" s="110"/>
      <c r="G435" s="110"/>
      <c r="H435" s="6"/>
      <c r="I435" s="6"/>
      <c r="J435" s="120"/>
      <c r="K435" s="120"/>
      <c r="L435" s="120"/>
      <c r="M435" s="122"/>
      <c r="N435" s="6"/>
    </row>
    <row r="436" ht="22.5" customHeight="1">
      <c r="A436" s="108"/>
      <c r="B436" s="110"/>
      <c r="C436" s="110"/>
      <c r="D436" s="110"/>
      <c r="E436" s="110"/>
      <c r="F436" s="110"/>
      <c r="G436" s="110"/>
      <c r="H436" s="6"/>
      <c r="I436" s="6"/>
      <c r="J436" s="120"/>
      <c r="K436" s="120"/>
      <c r="L436" s="120"/>
      <c r="M436" s="122"/>
      <c r="N436" s="6"/>
    </row>
    <row r="437" ht="22.5" customHeight="1">
      <c r="A437" s="108"/>
      <c r="B437" s="110"/>
      <c r="C437" s="110"/>
      <c r="D437" s="110"/>
      <c r="E437" s="110"/>
      <c r="F437" s="110"/>
      <c r="G437" s="110"/>
      <c r="H437" s="6"/>
      <c r="I437" s="6"/>
      <c r="J437" s="120"/>
      <c r="K437" s="120"/>
      <c r="L437" s="120"/>
      <c r="M437" s="122"/>
      <c r="N437" s="6"/>
    </row>
    <row r="438" ht="22.5" customHeight="1">
      <c r="A438" s="108"/>
      <c r="B438" s="110"/>
      <c r="C438" s="110"/>
      <c r="D438" s="110"/>
      <c r="E438" s="110"/>
      <c r="F438" s="110"/>
      <c r="G438" s="110"/>
      <c r="H438" s="6"/>
      <c r="I438" s="6"/>
      <c r="J438" s="120"/>
      <c r="K438" s="120"/>
      <c r="L438" s="120"/>
      <c r="M438" s="122"/>
      <c r="N438" s="6"/>
    </row>
    <row r="439" ht="22.5" customHeight="1">
      <c r="A439" s="108"/>
      <c r="B439" s="110"/>
      <c r="C439" s="110"/>
      <c r="D439" s="110"/>
      <c r="E439" s="110"/>
      <c r="F439" s="110"/>
      <c r="G439" s="110"/>
      <c r="H439" s="6"/>
      <c r="I439" s="6"/>
      <c r="J439" s="120"/>
      <c r="K439" s="120"/>
      <c r="L439" s="120"/>
      <c r="M439" s="122"/>
      <c r="N439" s="6"/>
    </row>
    <row r="440" ht="22.5" customHeight="1">
      <c r="A440" s="108"/>
      <c r="B440" s="110"/>
      <c r="C440" s="110"/>
      <c r="D440" s="110"/>
      <c r="E440" s="110"/>
      <c r="F440" s="110"/>
      <c r="G440" s="110"/>
      <c r="H440" s="6"/>
      <c r="I440" s="6"/>
      <c r="J440" s="120"/>
      <c r="K440" s="120"/>
      <c r="L440" s="120"/>
      <c r="M440" s="122"/>
      <c r="N440" s="6"/>
    </row>
    <row r="441" ht="22.5" customHeight="1">
      <c r="A441" s="108"/>
      <c r="B441" s="110"/>
      <c r="C441" s="110"/>
      <c r="D441" s="110"/>
      <c r="E441" s="110"/>
      <c r="F441" s="110"/>
      <c r="G441" s="110"/>
      <c r="H441" s="6"/>
      <c r="I441" s="6"/>
      <c r="J441" s="120"/>
      <c r="K441" s="120"/>
      <c r="L441" s="120"/>
      <c r="M441" s="122"/>
      <c r="N441" s="6"/>
    </row>
    <row r="442" ht="22.5" customHeight="1">
      <c r="A442" s="108"/>
      <c r="B442" s="110"/>
      <c r="C442" s="110"/>
      <c r="D442" s="110"/>
      <c r="E442" s="110"/>
      <c r="F442" s="110"/>
      <c r="G442" s="110"/>
      <c r="H442" s="6"/>
      <c r="I442" s="6"/>
      <c r="J442" s="120"/>
      <c r="K442" s="120"/>
      <c r="L442" s="120"/>
      <c r="M442" s="122"/>
      <c r="N442" s="6"/>
    </row>
    <row r="443" ht="22.5" customHeight="1">
      <c r="A443" s="108"/>
      <c r="B443" s="110"/>
      <c r="C443" s="110"/>
      <c r="D443" s="110"/>
      <c r="E443" s="110"/>
      <c r="F443" s="110"/>
      <c r="G443" s="110"/>
      <c r="H443" s="6"/>
      <c r="I443" s="6"/>
      <c r="J443" s="120"/>
      <c r="K443" s="120"/>
      <c r="L443" s="120"/>
      <c r="M443" s="122"/>
      <c r="N443" s="6"/>
    </row>
    <row r="444" ht="22.5" customHeight="1">
      <c r="A444" s="108"/>
      <c r="B444" s="110"/>
      <c r="C444" s="110"/>
      <c r="D444" s="110"/>
      <c r="E444" s="110"/>
      <c r="F444" s="110"/>
      <c r="G444" s="110"/>
      <c r="H444" s="6"/>
      <c r="I444" s="6"/>
      <c r="J444" s="120"/>
      <c r="K444" s="120"/>
      <c r="L444" s="120"/>
      <c r="M444" s="122"/>
      <c r="N444" s="6"/>
    </row>
    <row r="445" ht="22.5" customHeight="1">
      <c r="A445" s="108"/>
      <c r="B445" s="110"/>
      <c r="C445" s="110"/>
      <c r="D445" s="110"/>
      <c r="E445" s="110"/>
      <c r="F445" s="110"/>
      <c r="G445" s="110"/>
      <c r="H445" s="6"/>
      <c r="I445" s="6"/>
      <c r="J445" s="120"/>
      <c r="K445" s="120"/>
      <c r="L445" s="120"/>
      <c r="M445" s="122"/>
      <c r="N445" s="6"/>
    </row>
    <row r="446" ht="22.5" customHeight="1">
      <c r="A446" s="108"/>
      <c r="B446" s="110"/>
      <c r="C446" s="110"/>
      <c r="D446" s="110"/>
      <c r="E446" s="110"/>
      <c r="F446" s="110"/>
      <c r="G446" s="110"/>
      <c r="H446" s="6"/>
      <c r="I446" s="6"/>
      <c r="J446" s="120"/>
      <c r="K446" s="120"/>
      <c r="L446" s="120"/>
      <c r="M446" s="122"/>
      <c r="N446" s="6"/>
    </row>
    <row r="447" ht="22.5" customHeight="1">
      <c r="A447" s="108"/>
      <c r="B447" s="110"/>
      <c r="C447" s="110"/>
      <c r="D447" s="110"/>
      <c r="E447" s="110"/>
      <c r="F447" s="110"/>
      <c r="G447" s="110"/>
      <c r="H447" s="6"/>
      <c r="I447" s="6"/>
      <c r="J447" s="120"/>
      <c r="K447" s="120"/>
      <c r="L447" s="120"/>
      <c r="M447" s="122"/>
      <c r="N447" s="6"/>
    </row>
    <row r="448" ht="22.5" customHeight="1">
      <c r="A448" s="108"/>
      <c r="B448" s="110"/>
      <c r="C448" s="110"/>
      <c r="D448" s="110"/>
      <c r="E448" s="110"/>
      <c r="F448" s="110"/>
      <c r="G448" s="110"/>
      <c r="H448" s="6"/>
      <c r="I448" s="6"/>
      <c r="J448" s="120"/>
      <c r="K448" s="120"/>
      <c r="L448" s="120"/>
      <c r="M448" s="122"/>
      <c r="N448" s="6"/>
    </row>
    <row r="449" ht="22.5" customHeight="1">
      <c r="A449" s="108"/>
      <c r="B449" s="110"/>
      <c r="C449" s="110"/>
      <c r="D449" s="110"/>
      <c r="E449" s="110"/>
      <c r="F449" s="110"/>
      <c r="G449" s="110"/>
      <c r="H449" s="6"/>
      <c r="I449" s="6"/>
      <c r="J449" s="120"/>
      <c r="K449" s="120"/>
      <c r="L449" s="120"/>
      <c r="M449" s="122"/>
      <c r="N449" s="6"/>
    </row>
    <row r="450" ht="22.5" customHeight="1">
      <c r="A450" s="108"/>
      <c r="B450" s="110"/>
      <c r="C450" s="110"/>
      <c r="D450" s="110"/>
      <c r="E450" s="110"/>
      <c r="F450" s="110"/>
      <c r="G450" s="110"/>
      <c r="H450" s="6"/>
      <c r="I450" s="6"/>
      <c r="J450" s="120"/>
      <c r="K450" s="120"/>
      <c r="L450" s="120"/>
      <c r="M450" s="122"/>
      <c r="N450" s="6"/>
    </row>
    <row r="451" ht="22.5" customHeight="1">
      <c r="A451" s="108"/>
      <c r="B451" s="110"/>
      <c r="C451" s="110"/>
      <c r="D451" s="110"/>
      <c r="E451" s="110"/>
      <c r="F451" s="110"/>
      <c r="G451" s="110"/>
      <c r="H451" s="6"/>
      <c r="I451" s="6"/>
      <c r="J451" s="120"/>
      <c r="K451" s="120"/>
      <c r="L451" s="120"/>
      <c r="M451" s="122"/>
      <c r="N451" s="6"/>
    </row>
    <row r="452" ht="22.5" customHeight="1">
      <c r="A452" s="108"/>
      <c r="B452" s="110"/>
      <c r="C452" s="110"/>
      <c r="D452" s="110"/>
      <c r="E452" s="110"/>
      <c r="F452" s="110"/>
      <c r="G452" s="110"/>
      <c r="H452" s="6"/>
      <c r="I452" s="6"/>
      <c r="J452" s="120"/>
      <c r="K452" s="120"/>
      <c r="L452" s="120"/>
      <c r="M452" s="122"/>
      <c r="N452" s="6"/>
    </row>
    <row r="453" ht="22.5" customHeight="1">
      <c r="A453" s="108"/>
      <c r="B453" s="110"/>
      <c r="C453" s="110"/>
      <c r="D453" s="110"/>
      <c r="E453" s="110"/>
      <c r="F453" s="110"/>
      <c r="G453" s="110"/>
      <c r="H453" s="6"/>
      <c r="I453" s="6"/>
      <c r="J453" s="120"/>
      <c r="K453" s="120"/>
      <c r="L453" s="120"/>
      <c r="M453" s="122"/>
      <c r="N453" s="6"/>
    </row>
    <row r="454" ht="22.5" customHeight="1">
      <c r="A454" s="108"/>
      <c r="B454" s="110"/>
      <c r="C454" s="110"/>
      <c r="D454" s="110"/>
      <c r="E454" s="110"/>
      <c r="F454" s="110"/>
      <c r="G454" s="110"/>
      <c r="H454" s="6"/>
      <c r="I454" s="6"/>
      <c r="J454" s="120"/>
      <c r="K454" s="120"/>
      <c r="L454" s="120"/>
      <c r="M454" s="122"/>
      <c r="N454" s="6"/>
    </row>
    <row r="455" ht="22.5" customHeight="1">
      <c r="A455" s="108"/>
      <c r="B455" s="110"/>
      <c r="C455" s="110"/>
      <c r="D455" s="110"/>
      <c r="E455" s="110"/>
      <c r="F455" s="110"/>
      <c r="G455" s="110"/>
      <c r="H455" s="6"/>
      <c r="I455" s="6"/>
      <c r="J455" s="120"/>
      <c r="K455" s="120"/>
      <c r="L455" s="120"/>
      <c r="M455" s="122"/>
      <c r="N455" s="6"/>
    </row>
    <row r="456" ht="22.5" customHeight="1">
      <c r="A456" s="108"/>
      <c r="B456" s="110"/>
      <c r="C456" s="110"/>
      <c r="D456" s="110"/>
      <c r="E456" s="110"/>
      <c r="F456" s="110"/>
      <c r="G456" s="110"/>
      <c r="H456" s="6"/>
      <c r="I456" s="6"/>
      <c r="J456" s="120"/>
      <c r="K456" s="120"/>
      <c r="L456" s="120"/>
      <c r="M456" s="122"/>
      <c r="N456" s="6"/>
    </row>
    <row r="457" ht="22.5" customHeight="1">
      <c r="A457" s="108"/>
      <c r="B457" s="110"/>
      <c r="C457" s="110"/>
      <c r="D457" s="110"/>
      <c r="E457" s="110"/>
      <c r="F457" s="110"/>
      <c r="G457" s="110"/>
      <c r="H457" s="6"/>
      <c r="I457" s="6"/>
      <c r="J457" s="120"/>
      <c r="K457" s="120"/>
      <c r="L457" s="120"/>
      <c r="M457" s="122"/>
      <c r="N457" s="6"/>
    </row>
    <row r="458" ht="22.5" customHeight="1">
      <c r="A458" s="108"/>
      <c r="B458" s="110"/>
      <c r="C458" s="110"/>
      <c r="D458" s="110"/>
      <c r="E458" s="110"/>
      <c r="F458" s="110"/>
      <c r="G458" s="110"/>
      <c r="H458" s="6"/>
      <c r="I458" s="6"/>
      <c r="J458" s="120"/>
      <c r="K458" s="120"/>
      <c r="L458" s="120"/>
      <c r="M458" s="122"/>
      <c r="N458" s="6"/>
    </row>
    <row r="459" ht="22.5" customHeight="1">
      <c r="A459" s="108"/>
      <c r="B459" s="110"/>
      <c r="C459" s="110"/>
      <c r="D459" s="110"/>
      <c r="E459" s="110"/>
      <c r="F459" s="110"/>
      <c r="G459" s="110"/>
      <c r="H459" s="6"/>
      <c r="I459" s="6"/>
      <c r="J459" s="120"/>
      <c r="K459" s="120"/>
      <c r="L459" s="120"/>
      <c r="M459" s="122"/>
      <c r="N459" s="6"/>
    </row>
    <row r="460" ht="22.5" customHeight="1">
      <c r="A460" s="108"/>
      <c r="B460" s="110"/>
      <c r="C460" s="110"/>
      <c r="D460" s="110"/>
      <c r="E460" s="110"/>
      <c r="F460" s="110"/>
      <c r="G460" s="110"/>
      <c r="H460" s="6"/>
      <c r="I460" s="6"/>
      <c r="J460" s="120"/>
      <c r="K460" s="120"/>
      <c r="L460" s="120"/>
      <c r="M460" s="122"/>
      <c r="N460" s="6"/>
    </row>
    <row r="461" ht="22.5" customHeight="1">
      <c r="A461" s="108"/>
      <c r="B461" s="110"/>
      <c r="C461" s="110"/>
      <c r="D461" s="110"/>
      <c r="E461" s="110"/>
      <c r="F461" s="110"/>
      <c r="G461" s="110"/>
      <c r="H461" s="6"/>
      <c r="I461" s="6"/>
      <c r="J461" s="120"/>
      <c r="K461" s="120"/>
      <c r="L461" s="120"/>
      <c r="M461" s="122"/>
      <c r="N461" s="6"/>
    </row>
    <row r="462" ht="22.5" customHeight="1">
      <c r="A462" s="108"/>
      <c r="B462" s="110"/>
      <c r="C462" s="110"/>
      <c r="D462" s="110"/>
      <c r="E462" s="110"/>
      <c r="F462" s="110"/>
      <c r="G462" s="110"/>
      <c r="H462" s="6"/>
      <c r="I462" s="6"/>
      <c r="J462" s="120"/>
      <c r="K462" s="120"/>
      <c r="L462" s="120"/>
      <c r="M462" s="122"/>
      <c r="N462" s="6"/>
    </row>
    <row r="463" ht="22.5" customHeight="1">
      <c r="A463" s="108"/>
      <c r="B463" s="110"/>
      <c r="C463" s="110"/>
      <c r="D463" s="110"/>
      <c r="E463" s="110"/>
      <c r="F463" s="110"/>
      <c r="G463" s="110"/>
      <c r="H463" s="6"/>
      <c r="I463" s="6"/>
      <c r="J463" s="120"/>
      <c r="K463" s="120"/>
      <c r="L463" s="120"/>
      <c r="M463" s="122"/>
      <c r="N463" s="6"/>
    </row>
    <row r="464" ht="22.5" customHeight="1">
      <c r="A464" s="108"/>
      <c r="B464" s="110"/>
      <c r="C464" s="110"/>
      <c r="D464" s="110"/>
      <c r="E464" s="110"/>
      <c r="F464" s="110"/>
      <c r="G464" s="110"/>
      <c r="H464" s="6"/>
      <c r="I464" s="6"/>
      <c r="J464" s="120"/>
      <c r="K464" s="120"/>
      <c r="L464" s="120"/>
      <c r="M464" s="122"/>
      <c r="N464" s="6"/>
    </row>
    <row r="465" ht="22.5" customHeight="1">
      <c r="A465" s="108"/>
      <c r="B465" s="110"/>
      <c r="C465" s="110"/>
      <c r="D465" s="110"/>
      <c r="E465" s="110"/>
      <c r="F465" s="110"/>
      <c r="G465" s="110"/>
      <c r="H465" s="6"/>
      <c r="I465" s="6"/>
      <c r="J465" s="120"/>
      <c r="K465" s="120"/>
      <c r="L465" s="120"/>
      <c r="M465" s="122"/>
      <c r="N465" s="6"/>
    </row>
    <row r="466" ht="22.5" customHeight="1">
      <c r="A466" s="108"/>
      <c r="B466" s="110"/>
      <c r="C466" s="110"/>
      <c r="D466" s="110"/>
      <c r="E466" s="110"/>
      <c r="F466" s="110"/>
      <c r="G466" s="110"/>
      <c r="H466" s="6"/>
      <c r="I466" s="6"/>
      <c r="J466" s="120"/>
      <c r="K466" s="120"/>
      <c r="L466" s="120"/>
      <c r="M466" s="122"/>
      <c r="N466" s="6"/>
    </row>
    <row r="467" ht="22.5" customHeight="1">
      <c r="A467" s="108"/>
      <c r="B467" s="110"/>
      <c r="C467" s="110"/>
      <c r="D467" s="110"/>
      <c r="E467" s="110"/>
      <c r="F467" s="110"/>
      <c r="G467" s="110"/>
      <c r="H467" s="6"/>
      <c r="I467" s="6"/>
      <c r="J467" s="120"/>
      <c r="K467" s="120"/>
      <c r="L467" s="120"/>
      <c r="M467" s="122"/>
      <c r="N467" s="6"/>
    </row>
    <row r="468" ht="22.5" customHeight="1">
      <c r="A468" s="108"/>
      <c r="B468" s="110"/>
      <c r="C468" s="110"/>
      <c r="D468" s="110"/>
      <c r="E468" s="110"/>
      <c r="F468" s="110"/>
      <c r="G468" s="110"/>
      <c r="H468" s="6"/>
      <c r="I468" s="6"/>
      <c r="J468" s="120"/>
      <c r="K468" s="120"/>
      <c r="L468" s="120"/>
      <c r="M468" s="122"/>
      <c r="N468" s="6"/>
    </row>
    <row r="469" ht="22.5" customHeight="1">
      <c r="A469" s="108"/>
      <c r="B469" s="110"/>
      <c r="C469" s="110"/>
      <c r="D469" s="110"/>
      <c r="E469" s="110"/>
      <c r="F469" s="110"/>
      <c r="G469" s="110"/>
      <c r="H469" s="6"/>
      <c r="I469" s="6"/>
      <c r="J469" s="120"/>
      <c r="K469" s="120"/>
      <c r="L469" s="120"/>
      <c r="M469" s="122"/>
      <c r="N469" s="6"/>
    </row>
    <row r="470" ht="22.5" customHeight="1">
      <c r="A470" s="108"/>
      <c r="B470" s="110"/>
      <c r="C470" s="110"/>
      <c r="D470" s="110"/>
      <c r="E470" s="110"/>
      <c r="F470" s="110"/>
      <c r="G470" s="110"/>
      <c r="H470" s="6"/>
      <c r="I470" s="6"/>
      <c r="J470" s="120"/>
      <c r="K470" s="120"/>
      <c r="L470" s="120"/>
      <c r="M470" s="122"/>
      <c r="N470" s="6"/>
    </row>
    <row r="471" ht="22.5" customHeight="1">
      <c r="A471" s="108"/>
      <c r="B471" s="110"/>
      <c r="C471" s="110"/>
      <c r="D471" s="110"/>
      <c r="E471" s="110"/>
      <c r="F471" s="110"/>
      <c r="G471" s="110"/>
      <c r="H471" s="6"/>
      <c r="I471" s="6"/>
      <c r="J471" s="120"/>
      <c r="K471" s="120"/>
      <c r="L471" s="120"/>
      <c r="M471" s="122"/>
      <c r="N471" s="6"/>
    </row>
    <row r="472" ht="22.5" customHeight="1">
      <c r="A472" s="108"/>
      <c r="B472" s="110"/>
      <c r="C472" s="110"/>
      <c r="D472" s="110"/>
      <c r="E472" s="110"/>
      <c r="F472" s="110"/>
      <c r="G472" s="110"/>
      <c r="H472" s="6"/>
      <c r="I472" s="6"/>
      <c r="J472" s="120"/>
      <c r="K472" s="120"/>
      <c r="L472" s="120"/>
      <c r="M472" s="122"/>
      <c r="N472" s="6"/>
    </row>
    <row r="473" ht="22.5" customHeight="1">
      <c r="A473" s="108"/>
      <c r="B473" s="110"/>
      <c r="C473" s="110"/>
      <c r="D473" s="110"/>
      <c r="E473" s="110"/>
      <c r="F473" s="110"/>
      <c r="G473" s="110"/>
      <c r="H473" s="6"/>
      <c r="I473" s="6"/>
      <c r="J473" s="120"/>
      <c r="K473" s="120"/>
      <c r="L473" s="120"/>
      <c r="M473" s="122"/>
      <c r="N473" s="6"/>
    </row>
    <row r="474" ht="22.5" customHeight="1">
      <c r="A474" s="108"/>
      <c r="B474" s="110"/>
      <c r="C474" s="110"/>
      <c r="D474" s="110"/>
      <c r="E474" s="110"/>
      <c r="F474" s="110"/>
      <c r="G474" s="110"/>
      <c r="H474" s="6"/>
      <c r="I474" s="6"/>
      <c r="J474" s="120"/>
      <c r="K474" s="120"/>
      <c r="L474" s="120"/>
      <c r="M474" s="122"/>
      <c r="N474" s="6"/>
    </row>
    <row r="475" ht="22.5" customHeight="1">
      <c r="A475" s="108"/>
      <c r="B475" s="110"/>
      <c r="C475" s="110"/>
      <c r="D475" s="110"/>
      <c r="E475" s="110"/>
      <c r="F475" s="110"/>
      <c r="G475" s="110"/>
      <c r="H475" s="6"/>
      <c r="I475" s="6"/>
      <c r="J475" s="120"/>
      <c r="K475" s="120"/>
      <c r="L475" s="120"/>
      <c r="M475" s="122"/>
      <c r="N475" s="6"/>
    </row>
    <row r="476" ht="22.5" customHeight="1">
      <c r="A476" s="108"/>
      <c r="B476" s="110"/>
      <c r="C476" s="110"/>
      <c r="D476" s="110"/>
      <c r="E476" s="110"/>
      <c r="F476" s="110"/>
      <c r="G476" s="110"/>
      <c r="H476" s="6"/>
      <c r="I476" s="6"/>
      <c r="J476" s="120"/>
      <c r="K476" s="120"/>
      <c r="L476" s="120"/>
      <c r="M476" s="122"/>
      <c r="N476" s="6"/>
    </row>
    <row r="477" ht="22.5" customHeight="1">
      <c r="A477" s="108"/>
      <c r="B477" s="110"/>
      <c r="C477" s="110"/>
      <c r="D477" s="110"/>
      <c r="E477" s="110"/>
      <c r="F477" s="110"/>
      <c r="G477" s="110"/>
      <c r="H477" s="6"/>
      <c r="I477" s="6"/>
      <c r="J477" s="120"/>
      <c r="K477" s="120"/>
      <c r="L477" s="120"/>
      <c r="M477" s="122"/>
      <c r="N477" s="6"/>
    </row>
    <row r="478" ht="22.5" customHeight="1">
      <c r="A478" s="108"/>
      <c r="B478" s="110"/>
      <c r="C478" s="110"/>
      <c r="D478" s="110"/>
      <c r="E478" s="110"/>
      <c r="F478" s="110"/>
      <c r="G478" s="110"/>
      <c r="H478" s="6"/>
      <c r="I478" s="6"/>
      <c r="J478" s="120"/>
      <c r="K478" s="120"/>
      <c r="L478" s="120"/>
      <c r="M478" s="122"/>
      <c r="N478" s="6"/>
    </row>
    <row r="479" ht="22.5" customHeight="1">
      <c r="A479" s="108"/>
      <c r="B479" s="110"/>
      <c r="C479" s="110"/>
      <c r="D479" s="110"/>
      <c r="E479" s="110"/>
      <c r="F479" s="110"/>
      <c r="G479" s="110"/>
      <c r="H479" s="6"/>
      <c r="I479" s="6"/>
      <c r="J479" s="120"/>
      <c r="K479" s="120"/>
      <c r="L479" s="120"/>
      <c r="M479" s="122"/>
      <c r="N479" s="6"/>
    </row>
    <row r="480" ht="22.5" customHeight="1">
      <c r="A480" s="108"/>
      <c r="B480" s="110"/>
      <c r="C480" s="110"/>
      <c r="D480" s="110"/>
      <c r="E480" s="110"/>
      <c r="F480" s="110"/>
      <c r="G480" s="110"/>
      <c r="H480" s="6"/>
      <c r="I480" s="6"/>
      <c r="J480" s="120"/>
      <c r="K480" s="120"/>
      <c r="L480" s="120"/>
      <c r="M480" s="122"/>
      <c r="N480" s="6"/>
    </row>
    <row r="481" ht="22.5" customHeight="1">
      <c r="A481" s="108"/>
      <c r="B481" s="110"/>
      <c r="C481" s="110"/>
      <c r="D481" s="110"/>
      <c r="E481" s="110"/>
      <c r="F481" s="110"/>
      <c r="G481" s="110"/>
      <c r="H481" s="6"/>
      <c r="I481" s="6"/>
      <c r="J481" s="120"/>
      <c r="K481" s="120"/>
      <c r="L481" s="120"/>
      <c r="M481" s="122"/>
      <c r="N481" s="6"/>
    </row>
    <row r="482" ht="22.5" customHeight="1">
      <c r="A482" s="108"/>
      <c r="B482" s="110"/>
      <c r="C482" s="110"/>
      <c r="D482" s="110"/>
      <c r="E482" s="110"/>
      <c r="F482" s="110"/>
      <c r="G482" s="110"/>
      <c r="H482" s="6"/>
      <c r="I482" s="6"/>
      <c r="J482" s="120"/>
      <c r="K482" s="120"/>
      <c r="L482" s="120"/>
      <c r="M482" s="122"/>
      <c r="N482" s="6"/>
    </row>
    <row r="483" ht="22.5" customHeight="1">
      <c r="A483" s="108"/>
      <c r="B483" s="110"/>
      <c r="C483" s="110"/>
      <c r="D483" s="110"/>
      <c r="E483" s="110"/>
      <c r="F483" s="110"/>
      <c r="G483" s="110"/>
      <c r="H483" s="6"/>
      <c r="I483" s="6"/>
      <c r="J483" s="120"/>
      <c r="K483" s="120"/>
      <c r="L483" s="120"/>
      <c r="M483" s="122"/>
      <c r="N483" s="6"/>
    </row>
    <row r="484" ht="22.5" customHeight="1">
      <c r="A484" s="108"/>
      <c r="B484" s="110"/>
      <c r="C484" s="110"/>
      <c r="D484" s="110"/>
      <c r="E484" s="110"/>
      <c r="F484" s="110"/>
      <c r="G484" s="110"/>
      <c r="H484" s="6"/>
      <c r="I484" s="6"/>
      <c r="J484" s="120"/>
      <c r="K484" s="120"/>
      <c r="L484" s="120"/>
      <c r="M484" s="122"/>
      <c r="N484" s="6"/>
    </row>
    <row r="485" ht="22.5" customHeight="1">
      <c r="A485" s="108"/>
      <c r="B485" s="110"/>
      <c r="C485" s="110"/>
      <c r="D485" s="110"/>
      <c r="E485" s="110"/>
      <c r="F485" s="110"/>
      <c r="G485" s="110"/>
      <c r="H485" s="6"/>
      <c r="I485" s="6"/>
      <c r="J485" s="120"/>
      <c r="K485" s="120"/>
      <c r="L485" s="120"/>
      <c r="M485" s="122"/>
      <c r="N485" s="6"/>
    </row>
    <row r="486" ht="22.5" customHeight="1">
      <c r="A486" s="108"/>
      <c r="B486" s="110"/>
      <c r="C486" s="110"/>
      <c r="D486" s="110"/>
      <c r="E486" s="110"/>
      <c r="F486" s="110"/>
      <c r="G486" s="110"/>
      <c r="H486" s="6"/>
      <c r="I486" s="6"/>
      <c r="J486" s="120"/>
      <c r="K486" s="120"/>
      <c r="L486" s="120"/>
      <c r="M486" s="122"/>
      <c r="N486" s="6"/>
    </row>
    <row r="487" ht="22.5" customHeight="1">
      <c r="A487" s="108"/>
      <c r="B487" s="110"/>
      <c r="C487" s="110"/>
      <c r="D487" s="110"/>
      <c r="E487" s="110"/>
      <c r="F487" s="110"/>
      <c r="G487" s="110"/>
      <c r="H487" s="6"/>
      <c r="I487" s="6"/>
      <c r="J487" s="120"/>
      <c r="K487" s="120"/>
      <c r="L487" s="120"/>
      <c r="M487" s="122"/>
      <c r="N487" s="6"/>
    </row>
    <row r="488" ht="22.5" customHeight="1">
      <c r="A488" s="108"/>
      <c r="B488" s="110"/>
      <c r="C488" s="110"/>
      <c r="D488" s="110"/>
      <c r="E488" s="110"/>
      <c r="F488" s="110"/>
      <c r="G488" s="110"/>
      <c r="H488" s="6"/>
      <c r="I488" s="6"/>
      <c r="J488" s="120"/>
      <c r="K488" s="120"/>
      <c r="L488" s="120"/>
      <c r="M488" s="122"/>
      <c r="N488" s="6"/>
    </row>
    <row r="489" ht="22.5" customHeight="1">
      <c r="A489" s="108"/>
      <c r="B489" s="110"/>
      <c r="C489" s="110"/>
      <c r="D489" s="110"/>
      <c r="E489" s="110"/>
      <c r="F489" s="110"/>
      <c r="G489" s="110"/>
      <c r="H489" s="6"/>
      <c r="I489" s="6"/>
      <c r="J489" s="120"/>
      <c r="K489" s="120"/>
      <c r="L489" s="120"/>
      <c r="M489" s="122"/>
      <c r="N489" s="6"/>
    </row>
    <row r="490" ht="22.5" customHeight="1">
      <c r="A490" s="108"/>
      <c r="B490" s="110"/>
      <c r="C490" s="110"/>
      <c r="D490" s="110"/>
      <c r="E490" s="110"/>
      <c r="F490" s="110"/>
      <c r="G490" s="110"/>
      <c r="H490" s="6"/>
      <c r="I490" s="6"/>
      <c r="J490" s="120"/>
      <c r="K490" s="120"/>
      <c r="L490" s="120"/>
      <c r="M490" s="122"/>
      <c r="N490" s="6"/>
    </row>
    <row r="491" ht="22.5" customHeight="1">
      <c r="A491" s="108"/>
      <c r="B491" s="110"/>
      <c r="C491" s="110"/>
      <c r="D491" s="110"/>
      <c r="E491" s="110"/>
      <c r="F491" s="110"/>
      <c r="G491" s="110"/>
      <c r="H491" s="6"/>
      <c r="I491" s="6"/>
      <c r="J491" s="120"/>
      <c r="K491" s="120"/>
      <c r="L491" s="120"/>
      <c r="M491" s="122"/>
      <c r="N491" s="6"/>
    </row>
    <row r="492" ht="22.5" customHeight="1">
      <c r="A492" s="108"/>
      <c r="B492" s="110"/>
      <c r="C492" s="110"/>
      <c r="D492" s="110"/>
      <c r="E492" s="110"/>
      <c r="F492" s="110"/>
      <c r="G492" s="110"/>
      <c r="H492" s="6"/>
      <c r="I492" s="6"/>
      <c r="J492" s="120"/>
      <c r="K492" s="120"/>
      <c r="L492" s="120"/>
      <c r="M492" s="122"/>
      <c r="N492" s="6"/>
    </row>
    <row r="493" ht="22.5" customHeight="1">
      <c r="A493" s="108"/>
      <c r="B493" s="110"/>
      <c r="C493" s="110"/>
      <c r="D493" s="110"/>
      <c r="E493" s="110"/>
      <c r="F493" s="110"/>
      <c r="G493" s="110"/>
      <c r="H493" s="6"/>
      <c r="I493" s="6"/>
      <c r="J493" s="120"/>
      <c r="K493" s="120"/>
      <c r="L493" s="120"/>
      <c r="M493" s="122"/>
      <c r="N493" s="6"/>
    </row>
    <row r="494" ht="22.5" customHeight="1">
      <c r="A494" s="108"/>
      <c r="B494" s="110"/>
      <c r="C494" s="110"/>
      <c r="D494" s="110"/>
      <c r="E494" s="110"/>
      <c r="F494" s="110"/>
      <c r="G494" s="110"/>
      <c r="H494" s="6"/>
      <c r="I494" s="6"/>
      <c r="J494" s="120"/>
      <c r="K494" s="120"/>
      <c r="L494" s="120"/>
      <c r="M494" s="122"/>
      <c r="N494" s="6"/>
    </row>
    <row r="495" ht="22.5" customHeight="1">
      <c r="A495" s="108"/>
      <c r="B495" s="110"/>
      <c r="C495" s="110"/>
      <c r="D495" s="110"/>
      <c r="E495" s="110"/>
      <c r="F495" s="110"/>
      <c r="G495" s="110"/>
      <c r="H495" s="6"/>
      <c r="I495" s="6"/>
      <c r="J495" s="120"/>
      <c r="K495" s="120"/>
      <c r="L495" s="120"/>
      <c r="M495" s="122"/>
      <c r="N495" s="6"/>
    </row>
    <row r="496" ht="22.5" customHeight="1">
      <c r="A496" s="108"/>
      <c r="B496" s="110"/>
      <c r="C496" s="110"/>
      <c r="D496" s="110"/>
      <c r="E496" s="110"/>
      <c r="F496" s="110"/>
      <c r="G496" s="110"/>
      <c r="H496" s="6"/>
      <c r="I496" s="6"/>
      <c r="J496" s="120"/>
      <c r="K496" s="120"/>
      <c r="L496" s="120"/>
      <c r="M496" s="122"/>
      <c r="N496" s="6"/>
    </row>
    <row r="497" ht="22.5" customHeight="1">
      <c r="A497" s="108"/>
      <c r="B497" s="110"/>
      <c r="C497" s="110"/>
      <c r="D497" s="110"/>
      <c r="E497" s="110"/>
      <c r="F497" s="110"/>
      <c r="G497" s="110"/>
      <c r="H497" s="6"/>
      <c r="I497" s="6"/>
      <c r="J497" s="120"/>
      <c r="K497" s="120"/>
      <c r="L497" s="120"/>
      <c r="M497" s="122"/>
      <c r="N497" s="6"/>
    </row>
    <row r="498" ht="22.5" customHeight="1">
      <c r="A498" s="108"/>
      <c r="B498" s="110"/>
      <c r="C498" s="110"/>
      <c r="D498" s="110"/>
      <c r="E498" s="110"/>
      <c r="F498" s="110"/>
      <c r="G498" s="110"/>
      <c r="H498" s="6"/>
      <c r="I498" s="6"/>
      <c r="J498" s="120"/>
      <c r="K498" s="120"/>
      <c r="L498" s="120"/>
      <c r="M498" s="122"/>
      <c r="N498" s="6"/>
    </row>
    <row r="499" ht="22.5" customHeight="1">
      <c r="A499" s="108"/>
      <c r="B499" s="110"/>
      <c r="C499" s="110"/>
      <c r="D499" s="110"/>
      <c r="E499" s="110"/>
      <c r="F499" s="110"/>
      <c r="G499" s="110"/>
      <c r="H499" s="6"/>
      <c r="I499" s="6"/>
      <c r="J499" s="120"/>
      <c r="K499" s="120"/>
      <c r="L499" s="120"/>
      <c r="M499" s="122"/>
      <c r="N499" s="6"/>
    </row>
    <row r="500" ht="22.5" customHeight="1">
      <c r="A500" s="108"/>
      <c r="B500" s="110"/>
      <c r="C500" s="110"/>
      <c r="D500" s="110"/>
      <c r="E500" s="110"/>
      <c r="F500" s="110"/>
      <c r="G500" s="110"/>
      <c r="H500" s="6"/>
      <c r="I500" s="6"/>
      <c r="J500" s="120"/>
      <c r="K500" s="120"/>
      <c r="L500" s="120"/>
      <c r="M500" s="122"/>
      <c r="N500" s="6"/>
    </row>
    <row r="501" ht="22.5" customHeight="1">
      <c r="A501" s="108"/>
      <c r="B501" s="110"/>
      <c r="C501" s="110"/>
      <c r="D501" s="110"/>
      <c r="E501" s="110"/>
      <c r="F501" s="110"/>
      <c r="G501" s="110"/>
      <c r="H501" s="6"/>
      <c r="I501" s="6"/>
      <c r="J501" s="120"/>
      <c r="K501" s="120"/>
      <c r="L501" s="120"/>
      <c r="M501" s="122"/>
      <c r="N501" s="6"/>
    </row>
    <row r="502" ht="22.5" customHeight="1">
      <c r="A502" s="108"/>
      <c r="B502" s="110"/>
      <c r="C502" s="110"/>
      <c r="D502" s="110"/>
      <c r="E502" s="110"/>
      <c r="F502" s="110"/>
      <c r="G502" s="110"/>
      <c r="H502" s="6"/>
      <c r="I502" s="6"/>
      <c r="J502" s="120"/>
      <c r="K502" s="120"/>
      <c r="L502" s="120"/>
      <c r="M502" s="122"/>
      <c r="N502" s="6"/>
    </row>
    <row r="503" ht="22.5" customHeight="1">
      <c r="A503" s="108"/>
      <c r="B503" s="110"/>
      <c r="C503" s="110"/>
      <c r="D503" s="110"/>
      <c r="E503" s="110"/>
      <c r="F503" s="110"/>
      <c r="G503" s="110"/>
      <c r="H503" s="6"/>
      <c r="I503" s="6"/>
      <c r="J503" s="120"/>
      <c r="K503" s="120"/>
      <c r="L503" s="120"/>
      <c r="M503" s="122"/>
      <c r="N503" s="6"/>
    </row>
    <row r="504" ht="22.5" customHeight="1">
      <c r="A504" s="108"/>
      <c r="B504" s="110"/>
      <c r="C504" s="110"/>
      <c r="D504" s="110"/>
      <c r="E504" s="110"/>
      <c r="F504" s="110"/>
      <c r="G504" s="110"/>
      <c r="H504" s="6"/>
      <c r="I504" s="6"/>
      <c r="J504" s="120"/>
      <c r="K504" s="120"/>
      <c r="L504" s="120"/>
      <c r="M504" s="122"/>
      <c r="N504" s="6"/>
    </row>
    <row r="505" ht="22.5" customHeight="1">
      <c r="A505" s="108"/>
      <c r="B505" s="110"/>
      <c r="C505" s="110"/>
      <c r="D505" s="110"/>
      <c r="E505" s="110"/>
      <c r="F505" s="110"/>
      <c r="G505" s="110"/>
      <c r="H505" s="6"/>
      <c r="I505" s="6"/>
      <c r="J505" s="120"/>
      <c r="K505" s="120"/>
      <c r="L505" s="120"/>
      <c r="M505" s="122"/>
      <c r="N505" s="6"/>
    </row>
    <row r="506" ht="22.5" customHeight="1">
      <c r="A506" s="108"/>
      <c r="B506" s="110"/>
      <c r="C506" s="110"/>
      <c r="D506" s="110"/>
      <c r="E506" s="110"/>
      <c r="F506" s="110"/>
      <c r="G506" s="110"/>
      <c r="H506" s="6"/>
      <c r="I506" s="6"/>
      <c r="J506" s="120"/>
      <c r="K506" s="120"/>
      <c r="L506" s="120"/>
      <c r="M506" s="122"/>
      <c r="N506" s="6"/>
    </row>
    <row r="507" ht="22.5" customHeight="1">
      <c r="A507" s="108"/>
      <c r="B507" s="110"/>
      <c r="C507" s="110"/>
      <c r="D507" s="110"/>
      <c r="E507" s="110"/>
      <c r="F507" s="110"/>
      <c r="G507" s="110"/>
      <c r="H507" s="6"/>
      <c r="I507" s="6"/>
      <c r="J507" s="120"/>
      <c r="K507" s="120"/>
      <c r="L507" s="120"/>
      <c r="M507" s="122"/>
      <c r="N507" s="6"/>
    </row>
    <row r="508" ht="22.5" customHeight="1">
      <c r="A508" s="108"/>
      <c r="B508" s="110"/>
      <c r="C508" s="110"/>
      <c r="D508" s="110"/>
      <c r="E508" s="110"/>
      <c r="F508" s="110"/>
      <c r="G508" s="110"/>
      <c r="H508" s="6"/>
      <c r="I508" s="6"/>
      <c r="J508" s="120"/>
      <c r="K508" s="120"/>
      <c r="L508" s="120"/>
      <c r="M508" s="122"/>
      <c r="N508" s="6"/>
    </row>
    <row r="509" ht="22.5" customHeight="1">
      <c r="A509" s="108"/>
      <c r="B509" s="110"/>
      <c r="C509" s="110"/>
      <c r="D509" s="110"/>
      <c r="E509" s="110"/>
      <c r="F509" s="110"/>
      <c r="G509" s="110"/>
      <c r="H509" s="6"/>
      <c r="I509" s="6"/>
      <c r="J509" s="120"/>
      <c r="K509" s="120"/>
      <c r="L509" s="120"/>
      <c r="M509" s="122"/>
      <c r="N509" s="6"/>
    </row>
    <row r="510" ht="22.5" customHeight="1">
      <c r="A510" s="108"/>
      <c r="B510" s="110"/>
      <c r="C510" s="110"/>
      <c r="D510" s="110"/>
      <c r="E510" s="110"/>
      <c r="F510" s="110"/>
      <c r="G510" s="110"/>
      <c r="H510" s="6"/>
      <c r="I510" s="6"/>
      <c r="J510" s="120"/>
      <c r="K510" s="120"/>
      <c r="L510" s="120"/>
      <c r="M510" s="122"/>
      <c r="N510" s="6"/>
    </row>
    <row r="511" ht="22.5" customHeight="1">
      <c r="A511" s="108"/>
      <c r="B511" s="110"/>
      <c r="C511" s="110"/>
      <c r="D511" s="110"/>
      <c r="E511" s="110"/>
      <c r="F511" s="110"/>
      <c r="G511" s="110"/>
      <c r="H511" s="6"/>
      <c r="I511" s="6"/>
      <c r="J511" s="120"/>
      <c r="K511" s="120"/>
      <c r="L511" s="120"/>
      <c r="M511" s="122"/>
      <c r="N511" s="6"/>
    </row>
    <row r="512" ht="22.5" customHeight="1">
      <c r="A512" s="108"/>
      <c r="B512" s="110"/>
      <c r="C512" s="110"/>
      <c r="D512" s="110"/>
      <c r="E512" s="110"/>
      <c r="F512" s="110"/>
      <c r="G512" s="110"/>
      <c r="H512" s="6"/>
      <c r="I512" s="6"/>
      <c r="J512" s="120"/>
      <c r="K512" s="120"/>
      <c r="L512" s="120"/>
      <c r="M512" s="122"/>
      <c r="N512" s="6"/>
    </row>
    <row r="513" ht="22.5" customHeight="1">
      <c r="A513" s="108"/>
      <c r="B513" s="110"/>
      <c r="C513" s="110"/>
      <c r="D513" s="110"/>
      <c r="E513" s="110"/>
      <c r="F513" s="110"/>
      <c r="G513" s="110"/>
      <c r="H513" s="6"/>
      <c r="I513" s="6"/>
      <c r="J513" s="120"/>
      <c r="K513" s="120"/>
      <c r="L513" s="120"/>
      <c r="M513" s="122"/>
      <c r="N513" s="6"/>
    </row>
    <row r="514" ht="22.5" customHeight="1">
      <c r="A514" s="108"/>
      <c r="B514" s="110"/>
      <c r="C514" s="110"/>
      <c r="D514" s="110"/>
      <c r="E514" s="110"/>
      <c r="F514" s="110"/>
      <c r="G514" s="110"/>
      <c r="H514" s="6"/>
      <c r="I514" s="6"/>
      <c r="J514" s="120"/>
      <c r="K514" s="120"/>
      <c r="L514" s="120"/>
      <c r="M514" s="122"/>
      <c r="N514" s="6"/>
    </row>
    <row r="515" ht="22.5" customHeight="1">
      <c r="A515" s="108"/>
      <c r="B515" s="110"/>
      <c r="C515" s="110"/>
      <c r="D515" s="110"/>
      <c r="E515" s="110"/>
      <c r="F515" s="110"/>
      <c r="G515" s="110"/>
      <c r="H515" s="6"/>
      <c r="I515" s="6"/>
      <c r="J515" s="120"/>
      <c r="K515" s="120"/>
      <c r="L515" s="120"/>
      <c r="M515" s="122"/>
      <c r="N515" s="6"/>
    </row>
    <row r="516" ht="22.5" customHeight="1">
      <c r="A516" s="108"/>
      <c r="B516" s="110"/>
      <c r="C516" s="110"/>
      <c r="D516" s="110"/>
      <c r="E516" s="110"/>
      <c r="F516" s="110"/>
      <c r="G516" s="110"/>
      <c r="H516" s="6"/>
      <c r="I516" s="6"/>
      <c r="J516" s="120"/>
      <c r="K516" s="120"/>
      <c r="L516" s="120"/>
      <c r="M516" s="122"/>
      <c r="N516" s="6"/>
    </row>
  </sheetData>
  <mergeCells count="2">
    <mergeCell ref="I1:M2"/>
    <mergeCell ref="I10:M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3.88"/>
    <col customWidth="1" min="3" max="3" width="15.13"/>
    <col customWidth="1" min="4" max="4" width="3.88"/>
    <col customWidth="1" min="5" max="5" width="15.13"/>
    <col customWidth="1" min="6" max="6" width="3.88"/>
    <col customWidth="1" min="7" max="7" width="15.13"/>
    <col customWidth="1" min="8" max="8" width="3.88"/>
    <col customWidth="1" min="9" max="9" width="15.13"/>
    <col customWidth="1" min="10" max="10" width="3.88"/>
    <col customWidth="1" min="11" max="11" width="15.13"/>
    <col customWidth="1" min="12" max="12" width="3.88"/>
    <col customWidth="1" min="13" max="13" width="15.13"/>
    <col customWidth="1" min="14" max="14" width="3.88"/>
    <col customWidth="1" min="15" max="15" width="15.13"/>
    <col customWidth="1" min="16" max="16" width="12.63"/>
  </cols>
  <sheetData>
    <row r="1" ht="22.5" customHeight="1">
      <c r="A1" s="11" t="str">
        <f>IFERROR(__xludf.DUMMYFUNCTION("importrange(""https://docs.google.com/spreadsheets/d/12IzKdE78PZ-ibDG550MiOi4Nyf49AANMRCUCOwqVMIY/edit?usp=sharing"",""West DE!A1:W"")"),"ROUND 1")</f>
        <v>ROUND 1</v>
      </c>
      <c r="B1" s="12"/>
      <c r="C1" s="16" t="str">
        <f>IFERROR(__xludf.DUMMYFUNCTION("""COMPUTED_VALUE"""),"ROUND 2")</f>
        <v>ROUND 2</v>
      </c>
      <c r="D1" s="12"/>
      <c r="E1" s="16" t="str">
        <f>IFERROR(__xludf.DUMMYFUNCTION("""COMPUTED_VALUE"""),"ROUND 3")</f>
        <v>ROUND 3</v>
      </c>
      <c r="F1" s="12"/>
      <c r="G1" s="16" t="str">
        <f>IFERROR(__xludf.DUMMYFUNCTION("""COMPUTED_VALUE"""),"ROUND 4")</f>
        <v>ROUND 4</v>
      </c>
      <c r="H1" s="12"/>
      <c r="I1" s="16" t="str">
        <f>IFERROR(__xludf.DUMMYFUNCTION("""COMPUTED_VALUE"""),"ROUND 5")</f>
        <v>ROUND 5</v>
      </c>
      <c r="J1" s="12"/>
      <c r="K1" s="16" t="str">
        <f>IFERROR(__xludf.DUMMYFUNCTION("""COMPUTED_VALUE"""),"ROUND 6")</f>
        <v>ROUND 6</v>
      </c>
      <c r="L1" s="12"/>
      <c r="M1" s="24" t="str">
        <f>IFERROR(__xludf.DUMMYFUNCTION("""COMPUTED_VALUE"""),"FINALS")</f>
        <v>FINALS</v>
      </c>
      <c r="N1" s="12"/>
      <c r="O1" s="28"/>
      <c r="P1" s="31"/>
      <c r="Q1" s="28"/>
      <c r="R1" s="28"/>
      <c r="S1" s="28"/>
      <c r="T1" s="28"/>
      <c r="U1" s="28"/>
    </row>
    <row r="2" ht="22.5" customHeight="1">
      <c r="A2" s="38" t="str">
        <f>IFERROR(__xludf.DUMMYFUNCTION("""COMPUTED_VALUE"""),"12:00-12:40 PM")</f>
        <v>12:00-12:40 PM</v>
      </c>
      <c r="B2" s="12"/>
      <c r="C2" s="38" t="str">
        <f>IFERROR(__xludf.DUMMYFUNCTION("""COMPUTED_VALUE"""),"12:40-1:20 PM")</f>
        <v>12:40-1:20 PM</v>
      </c>
      <c r="D2" s="12"/>
      <c r="E2" s="38" t="str">
        <f>IFERROR(__xludf.DUMMYFUNCTION("""COMPUTED_VALUE"""),"1:20-2:00 PM")</f>
        <v>1:20-2:00 PM</v>
      </c>
      <c r="F2" s="12"/>
      <c r="G2" s="38" t="str">
        <f>IFERROR(__xludf.DUMMYFUNCTION("""COMPUTED_VALUE"""),"2:00-2:40 PM")</f>
        <v>2:00-2:40 PM</v>
      </c>
      <c r="H2" s="12"/>
      <c r="I2" s="38" t="str">
        <f>IFERROR(__xludf.DUMMYFUNCTION("""COMPUTED_VALUE"""),"2:40-3:20 PM")</f>
        <v>2:40-3:20 PM</v>
      </c>
      <c r="J2" s="12"/>
      <c r="K2" s="38" t="str">
        <f>IFERROR(__xludf.DUMMYFUNCTION("""COMPUTED_VALUE"""),"3:20-4:00 PM")</f>
        <v>3:20-4:00 PM</v>
      </c>
      <c r="L2" s="12"/>
      <c r="M2" s="44" t="str">
        <f>IFERROR(__xludf.DUMMYFUNCTION("""COMPUTED_VALUE"""),"4:00-5:20 PM")</f>
        <v>4:00-5:20 PM</v>
      </c>
      <c r="N2" s="12"/>
      <c r="O2" s="46"/>
      <c r="P2" s="31"/>
      <c r="Q2" s="28"/>
      <c r="R2" s="28"/>
      <c r="S2" s="28"/>
      <c r="T2" s="28"/>
      <c r="U2" s="28"/>
    </row>
    <row r="3" ht="15.0" customHeight="1">
      <c r="A3" s="49" t="str">
        <f>IFERROR(__xludf.DUMMYFUNCTION("""COMPUTED_VALUE"""),"16 teams")</f>
        <v>16 teams</v>
      </c>
      <c r="B3" s="12"/>
      <c r="C3" s="49" t="str">
        <f>IFERROR(__xludf.DUMMYFUNCTION("""COMPUTED_VALUE"""),"12 teams (8 playing)")</f>
        <v>12 teams (8 playing)</v>
      </c>
      <c r="D3" s="12"/>
      <c r="E3" s="49" t="str">
        <f>IFERROR(__xludf.DUMMYFUNCTION("""COMPUTED_VALUE"""),"8 teams")</f>
        <v>8 teams</v>
      </c>
      <c r="F3" s="12"/>
      <c r="G3" s="49" t="str">
        <f>IFERROR(__xludf.DUMMYFUNCTION("""COMPUTED_VALUE"""),"6 teams (4 playing)")</f>
        <v>6 teams (4 playing)</v>
      </c>
      <c r="H3" s="12"/>
      <c r="I3" s="49" t="str">
        <f>IFERROR(__xludf.DUMMYFUNCTION("""COMPUTED_VALUE"""),"4 teams")</f>
        <v>4 teams</v>
      </c>
      <c r="J3" s="12"/>
      <c r="K3" s="49" t="str">
        <f>IFERROR(__xludf.DUMMYFUNCTION("""COMPUTED_VALUE"""),"3 teams (2 playing)")</f>
        <v>3 teams (2 playing)</v>
      </c>
      <c r="L3" s="12"/>
      <c r="M3" s="49" t="str">
        <f>IFERROR(__xludf.DUMMYFUNCTION("""COMPUTED_VALUE"""),"2 teams")</f>
        <v>2 teams</v>
      </c>
      <c r="N3" s="12"/>
      <c r="O3" s="28"/>
      <c r="P3" s="31"/>
      <c r="Q3" s="28"/>
      <c r="R3" s="28"/>
      <c r="S3" s="28"/>
      <c r="T3" s="28"/>
      <c r="U3" s="28"/>
    </row>
    <row r="4" ht="18.75" customHeight="1">
      <c r="A4" s="57"/>
      <c r="B4" s="59"/>
      <c r="C4" s="57"/>
      <c r="D4" s="59"/>
      <c r="E4" s="57"/>
      <c r="F4" s="59"/>
      <c r="G4" s="57"/>
      <c r="H4" s="59"/>
      <c r="I4" s="57"/>
      <c r="J4" s="59"/>
      <c r="K4" s="57"/>
      <c r="L4" s="59"/>
      <c r="M4" s="57"/>
      <c r="N4" s="59"/>
      <c r="O4" s="57"/>
      <c r="P4" s="63"/>
      <c r="Q4" s="57"/>
      <c r="R4" s="57"/>
      <c r="S4" s="57"/>
      <c r="T4" s="57"/>
      <c r="U4" s="57"/>
    </row>
    <row r="5" ht="18.75" customHeight="1">
      <c r="A5" s="65" t="str">
        <f>IFERROR(__xludf.DUMMYFUNCTION("""COMPUTED_VALUE"""),"Enloe A")</f>
        <v>Enloe A</v>
      </c>
      <c r="B5" s="66">
        <f>IFERROR(__xludf.DUMMYFUNCTION("""COMPUTED_VALUE"""),132.0)</f>
        <v>132</v>
      </c>
      <c r="C5" s="57"/>
      <c r="D5" s="59"/>
      <c r="E5" s="57"/>
      <c r="F5" s="59"/>
      <c r="G5" s="57"/>
      <c r="H5" s="59"/>
      <c r="I5" s="57"/>
      <c r="J5" s="59"/>
      <c r="K5" s="57"/>
      <c r="L5" s="59"/>
      <c r="M5" s="57"/>
      <c r="N5" s="59"/>
      <c r="O5" s="57"/>
      <c r="P5" s="63"/>
      <c r="Q5" s="57"/>
      <c r="R5" s="57"/>
      <c r="S5" s="57"/>
      <c r="T5" s="57"/>
      <c r="U5" s="57"/>
    </row>
    <row r="6" ht="18.75" customHeight="1">
      <c r="A6" s="69" t="str">
        <f>IFERROR(__xludf.DUMMYFUNCTION("""COMPUTED_VALUE"""),"Ampere")</f>
        <v>Ampere</v>
      </c>
      <c r="B6" s="66"/>
      <c r="C6" s="72" t="str">
        <f>IFERROR(__xludf.DUMMYFUNCTION("""COMPUTED_VALUE"""),"BYE")</f>
        <v>BYE</v>
      </c>
      <c r="E6" s="75" t="str">
        <f>IFERROR(__xludf.DUMMYFUNCTION("""COMPUTED_VALUE"""),"Enloe A")</f>
        <v>Enloe A</v>
      </c>
      <c r="F6" s="66">
        <f>IFERROR(__xludf.DUMMYFUNCTION("""COMPUTED_VALUE"""),138.0)</f>
        <v>138</v>
      </c>
      <c r="G6" s="76"/>
      <c r="H6" s="59"/>
      <c r="I6" s="76"/>
      <c r="J6" s="59"/>
      <c r="K6" s="76"/>
      <c r="L6" s="59"/>
      <c r="M6" s="76"/>
      <c r="N6" s="59"/>
      <c r="O6" s="57"/>
      <c r="P6" s="63"/>
      <c r="Q6" s="57"/>
      <c r="R6" s="57"/>
      <c r="S6" s="57"/>
      <c r="T6" s="57"/>
      <c r="U6" s="57"/>
    </row>
    <row r="7" ht="18.75" customHeight="1">
      <c r="A7" s="65" t="str">
        <f>IFERROR(__xludf.DUMMYFUNCTION("""COMPUTED_VALUE"""),"Interlake A")</f>
        <v>Interlake A</v>
      </c>
      <c r="B7" s="66">
        <f>IFERROR(__xludf.DUMMYFUNCTION("""COMPUTED_VALUE"""),122.0)</f>
        <v>122</v>
      </c>
      <c r="C7" s="57"/>
      <c r="D7" s="59"/>
      <c r="E7" s="69" t="str">
        <f>IFERROR(__xludf.DUMMYFUNCTION("""COMPUTED_VALUE"""),"Ampere")</f>
        <v>Ampere</v>
      </c>
      <c r="F7" s="81"/>
      <c r="G7" s="57"/>
      <c r="H7" s="59"/>
      <c r="I7" s="57"/>
      <c r="J7" s="59"/>
      <c r="K7" s="57"/>
      <c r="L7" s="59"/>
      <c r="M7" s="57"/>
      <c r="N7" s="59"/>
      <c r="O7" s="57"/>
      <c r="P7" s="63"/>
      <c r="Q7" s="57"/>
      <c r="R7" s="57"/>
      <c r="S7" s="57"/>
      <c r="T7" s="57"/>
      <c r="U7" s="57"/>
    </row>
    <row r="8" ht="18.75" customHeight="1">
      <c r="A8" s="57"/>
      <c r="B8" s="59"/>
      <c r="C8" s="57"/>
      <c r="D8" s="59"/>
      <c r="G8" s="72" t="str">
        <f>IFERROR(__xludf.DUMMYFUNCTION("""COMPUTED_VALUE"""),"BYE")</f>
        <v>BYE</v>
      </c>
      <c r="I8" s="75" t="str">
        <f>IFERROR(__xludf.DUMMYFUNCTION("""COMPUTED_VALUE"""),"Enloe A")</f>
        <v>Enloe A</v>
      </c>
      <c r="J8" s="66">
        <f>IFERROR(__xludf.DUMMYFUNCTION("""COMPUTED_VALUE"""),120.0)</f>
        <v>120</v>
      </c>
      <c r="K8" s="57"/>
      <c r="L8" s="59"/>
      <c r="M8" s="57"/>
      <c r="N8" s="59"/>
      <c r="O8" s="57"/>
      <c r="P8" s="63"/>
      <c r="Q8" s="57"/>
      <c r="R8" s="57"/>
      <c r="S8" s="57"/>
      <c r="T8" s="57"/>
      <c r="U8" s="57"/>
    </row>
    <row r="9" ht="18.75" customHeight="1">
      <c r="A9" s="65" t="str">
        <f>IFERROR(__xludf.DUMMYFUNCTION("""COMPUTED_VALUE"""),"Wayzata A")</f>
        <v>Wayzata A</v>
      </c>
      <c r="B9" s="66">
        <f>IFERROR(__xludf.DUMMYFUNCTION("""COMPUTED_VALUE"""),178.0)</f>
        <v>178</v>
      </c>
      <c r="C9" s="57"/>
      <c r="D9" s="59"/>
      <c r="G9" s="57"/>
      <c r="H9" s="59"/>
      <c r="I9" s="69" t="str">
        <f>IFERROR(__xludf.DUMMYFUNCTION("""COMPUTED_VALUE"""),"Ampere")</f>
        <v>Ampere</v>
      </c>
      <c r="J9" s="81"/>
      <c r="K9" s="57"/>
      <c r="L9" s="59"/>
      <c r="M9" s="57"/>
      <c r="N9" s="59"/>
      <c r="O9" s="57"/>
      <c r="P9" s="63"/>
      <c r="Q9" s="57"/>
      <c r="R9" s="57"/>
      <c r="S9" s="57"/>
      <c r="T9" s="57"/>
      <c r="U9" s="57"/>
    </row>
    <row r="10" ht="18.75" customHeight="1">
      <c r="A10" s="69" t="str">
        <f>IFERROR(__xludf.DUMMYFUNCTION("""COMPUTED_VALUE"""),"Bohr")</f>
        <v>Bohr</v>
      </c>
      <c r="B10" s="66"/>
      <c r="C10" s="72" t="str">
        <f>IFERROR(__xludf.DUMMYFUNCTION("""COMPUTED_VALUE"""),"BYE")</f>
        <v>BYE</v>
      </c>
      <c r="E10" s="75" t="str">
        <f>IFERROR(__xludf.DUMMYFUNCTION("""COMPUTED_VALUE"""),"Wayzata A")</f>
        <v>Wayzata A</v>
      </c>
      <c r="F10" s="66">
        <f>IFERROR(__xludf.DUMMYFUNCTION("""COMPUTED_VALUE"""),118.0)</f>
        <v>118</v>
      </c>
      <c r="G10" s="76"/>
      <c r="H10" s="59"/>
      <c r="K10" s="76"/>
      <c r="L10" s="59"/>
      <c r="M10" s="76"/>
      <c r="N10" s="59"/>
      <c r="O10" s="57"/>
      <c r="P10" s="63"/>
      <c r="Q10" s="57"/>
      <c r="R10" s="57"/>
      <c r="S10" s="57"/>
      <c r="T10" s="57"/>
      <c r="U10" s="57"/>
    </row>
    <row r="11" ht="18.75" customHeight="1">
      <c r="A11" s="65" t="str">
        <f>IFERROR(__xludf.DUMMYFUNCTION("""COMPUTED_VALUE"""),"Tesla STEM A")</f>
        <v>Tesla STEM A</v>
      </c>
      <c r="B11" s="66">
        <f>IFERROR(__xludf.DUMMYFUNCTION("""COMPUTED_VALUE"""),58.0)</f>
        <v>58</v>
      </c>
      <c r="C11" s="57"/>
      <c r="D11" s="59"/>
      <c r="E11" s="57"/>
      <c r="F11" s="59"/>
      <c r="G11" s="57"/>
      <c r="H11" s="59"/>
      <c r="K11" s="57"/>
      <c r="L11" s="59"/>
      <c r="M11" s="57"/>
      <c r="N11" s="59"/>
      <c r="O11" s="90"/>
      <c r="P11" s="92"/>
      <c r="Q11" s="90"/>
      <c r="R11" s="57"/>
      <c r="S11" s="57"/>
      <c r="T11" s="57"/>
      <c r="U11" s="57"/>
    </row>
    <row r="12" ht="18.75" customHeight="1">
      <c r="A12" s="57"/>
      <c r="B12" s="59"/>
      <c r="C12" s="57"/>
      <c r="D12" s="59"/>
      <c r="E12" s="76"/>
      <c r="F12" s="59"/>
      <c r="G12" s="57"/>
      <c r="H12" s="59"/>
      <c r="K12" s="72" t="str">
        <f>IFERROR(__xludf.DUMMYFUNCTION("""COMPUTED_VALUE"""),"BYE")</f>
        <v>BYE</v>
      </c>
      <c r="M12" s="75" t="str">
        <f>IFERROR(__xludf.DUMMYFUNCTION("""COMPUTED_VALUE"""),"NoHo A")</f>
        <v>NoHo A</v>
      </c>
      <c r="N12" s="66">
        <f>IFERROR(__xludf.DUMMYFUNCTION("""COMPUTED_VALUE"""),156.0)</f>
        <v>156</v>
      </c>
      <c r="O12" s="90"/>
      <c r="P12" s="92"/>
      <c r="Q12" s="90"/>
      <c r="R12" s="57"/>
      <c r="S12" s="57"/>
      <c r="T12" s="57"/>
      <c r="U12" s="57"/>
    </row>
    <row r="13" ht="18.75" customHeight="1">
      <c r="A13" s="65" t="str">
        <f>IFERROR(__xludf.DUMMYFUNCTION("""COMPUTED_VALUE"""),"NoHo A")</f>
        <v>NoHo A</v>
      </c>
      <c r="B13" s="66">
        <f>IFERROR(__xludf.DUMMYFUNCTION("""COMPUTED_VALUE"""),144.0)</f>
        <v>144</v>
      </c>
      <c r="C13" s="57"/>
      <c r="D13" s="59"/>
      <c r="E13" s="57"/>
      <c r="F13" s="59"/>
      <c r="G13" s="57"/>
      <c r="H13" s="59"/>
      <c r="K13" s="57"/>
      <c r="L13" s="59"/>
      <c r="M13" s="69" t="str">
        <f>IFERROR(__xludf.DUMMYFUNCTION("""COMPUTED_VALUE"""),"Ampere")</f>
        <v>Ampere</v>
      </c>
      <c r="N13" s="81"/>
      <c r="O13" s="90"/>
      <c r="P13" s="92"/>
      <c r="Q13" s="90"/>
      <c r="R13" s="57"/>
      <c r="S13" s="57"/>
      <c r="T13" s="57"/>
      <c r="U13" s="57"/>
    </row>
    <row r="14" ht="18.75" customHeight="1">
      <c r="A14" s="69" t="str">
        <f>IFERROR(__xludf.DUMMYFUNCTION("""COMPUTED_VALUE"""),"Curie")</f>
        <v>Curie</v>
      </c>
      <c r="B14" s="66"/>
      <c r="C14" s="72" t="str">
        <f>IFERROR(__xludf.DUMMYFUNCTION("""COMPUTED_VALUE"""),"BYE")</f>
        <v>BYE</v>
      </c>
      <c r="E14" s="75" t="str">
        <f>IFERROR(__xludf.DUMMYFUNCTION("""COMPUTED_VALUE"""),"NoHo A")</f>
        <v>NoHo A</v>
      </c>
      <c r="F14" s="66">
        <f>IFERROR(__xludf.DUMMYFUNCTION("""COMPUTED_VALUE"""),166.0)</f>
        <v>166</v>
      </c>
      <c r="G14" s="76"/>
      <c r="H14" s="59"/>
      <c r="K14" s="76"/>
      <c r="L14" s="59"/>
      <c r="O14" s="90"/>
      <c r="P14" s="92"/>
      <c r="Q14" s="90"/>
      <c r="R14" s="57"/>
      <c r="S14" s="57"/>
      <c r="T14" s="57"/>
      <c r="U14" s="57"/>
    </row>
    <row r="15" ht="18.75" customHeight="1">
      <c r="A15" s="65" t="str">
        <f>IFERROR(__xludf.DUMMYFUNCTION("""COMPUTED_VALUE"""),"Canyon Crest A")</f>
        <v>Canyon Crest A</v>
      </c>
      <c r="B15" s="66">
        <f>IFERROR(__xludf.DUMMYFUNCTION("""COMPUTED_VALUE"""),122.0)</f>
        <v>122</v>
      </c>
      <c r="C15" s="57"/>
      <c r="D15" s="59"/>
      <c r="E15" s="69" t="str">
        <f>IFERROR(__xludf.DUMMYFUNCTION("""COMPUTED_VALUE"""),"Bohr")</f>
        <v>Bohr</v>
      </c>
      <c r="F15" s="81"/>
      <c r="G15" s="57"/>
      <c r="H15" s="59"/>
      <c r="K15" s="57"/>
      <c r="L15" s="59"/>
      <c r="O15" s="90"/>
      <c r="P15" s="105"/>
      <c r="Q15" s="90"/>
      <c r="R15" s="57"/>
      <c r="S15" s="57"/>
      <c r="T15" s="57"/>
      <c r="U15" s="57"/>
    </row>
    <row r="16" ht="18.75" customHeight="1">
      <c r="A16" s="63"/>
      <c r="B16" s="59"/>
      <c r="C16" s="57"/>
      <c r="D16" s="59"/>
      <c r="G16" s="72" t="str">
        <f>IFERROR(__xludf.DUMMYFUNCTION("""COMPUTED_VALUE"""),"BYE")</f>
        <v>BYE</v>
      </c>
      <c r="I16" s="75" t="str">
        <f>IFERROR(__xludf.DUMMYFUNCTION("""COMPUTED_VALUE"""),"NoHo A")</f>
        <v>NoHo A</v>
      </c>
      <c r="J16" s="66">
        <f>IFERROR(__xludf.DUMMYFUNCTION("""COMPUTED_VALUE"""),124.0)</f>
        <v>124</v>
      </c>
      <c r="K16" s="57"/>
      <c r="L16" s="59"/>
      <c r="O16" s="90"/>
      <c r="P16" s="111"/>
      <c r="Q16" s="90"/>
      <c r="R16" s="57"/>
      <c r="S16" s="57"/>
      <c r="T16" s="57"/>
      <c r="U16" s="57"/>
    </row>
    <row r="17" ht="18.75" customHeight="1">
      <c r="A17" s="65" t="str">
        <f>IFERROR(__xludf.DUMMYFUNCTION("""COMPUTED_VALUE"""),"MSJ A")</f>
        <v>MSJ A</v>
      </c>
      <c r="B17" s="66">
        <f>IFERROR(__xludf.DUMMYFUNCTION("""COMPUTED_VALUE"""),198.0)</f>
        <v>198</v>
      </c>
      <c r="C17" s="57"/>
      <c r="D17" s="59"/>
      <c r="G17" s="57"/>
      <c r="H17" s="59"/>
      <c r="I17" s="57"/>
      <c r="J17" s="59"/>
      <c r="K17" s="57"/>
      <c r="L17" s="59"/>
      <c r="O17" s="90"/>
      <c r="P17" s="105"/>
      <c r="Q17" s="116"/>
      <c r="R17" s="57"/>
      <c r="S17" s="57"/>
      <c r="T17" s="57"/>
      <c r="U17" s="57"/>
    </row>
    <row r="18" ht="18.75" customHeight="1">
      <c r="A18" s="69" t="str">
        <f>IFERROR(__xludf.DUMMYFUNCTION("""COMPUTED_VALUE"""),"Darwin")</f>
        <v>Darwin</v>
      </c>
      <c r="B18" s="66"/>
      <c r="C18" s="72" t="str">
        <f>IFERROR(__xludf.DUMMYFUNCTION("""COMPUTED_VALUE"""),"BYE")</f>
        <v>BYE</v>
      </c>
      <c r="E18" s="75" t="str">
        <f>IFERROR(__xludf.DUMMYFUNCTION("""COMPUTED_VALUE"""),"MSJ A")</f>
        <v>MSJ A</v>
      </c>
      <c r="F18" s="66">
        <f>IFERROR(__xludf.DUMMYFUNCTION("""COMPUTED_VALUE"""),148.0)</f>
        <v>148</v>
      </c>
      <c r="G18" s="76"/>
      <c r="H18" s="59"/>
      <c r="I18" s="76"/>
      <c r="J18" s="59"/>
      <c r="K18" s="76"/>
      <c r="L18" s="59"/>
      <c r="O18" s="119" t="str">
        <f>IFERROR(__xludf.DUMMYFUNCTION("""COMPUTED_VALUE"""),"NoHo A")</f>
        <v>NoHo A</v>
      </c>
      <c r="P18" s="105"/>
      <c r="Q18" s="90"/>
      <c r="R18" s="57"/>
      <c r="S18" s="57"/>
      <c r="T18" s="57"/>
      <c r="U18" s="57"/>
    </row>
    <row r="19" ht="18.75" customHeight="1">
      <c r="A19" s="65" t="str">
        <f>IFERROR(__xludf.DUMMYFUNCTION("""COMPUTED_VALUE"""),"Interlake D")</f>
        <v>Interlake D</v>
      </c>
      <c r="B19" s="66">
        <f>IFERROR(__xludf.DUMMYFUNCTION("""COMPUTED_VALUE"""),72.0)</f>
        <v>72</v>
      </c>
      <c r="C19" s="57"/>
      <c r="D19" s="59"/>
      <c r="E19" s="57"/>
      <c r="F19" s="59"/>
      <c r="G19" s="57"/>
      <c r="H19" s="59"/>
      <c r="I19" s="57"/>
      <c r="J19" s="59"/>
      <c r="K19" s="57"/>
      <c r="L19" s="59"/>
      <c r="O19" s="124"/>
      <c r="P19" s="111"/>
      <c r="Q19" s="90"/>
      <c r="R19" s="57"/>
      <c r="S19" s="57"/>
      <c r="T19" s="57"/>
      <c r="U19" s="57"/>
    </row>
    <row r="20" ht="18.75" customHeight="1">
      <c r="A20" s="57"/>
      <c r="B20" s="59"/>
      <c r="C20" s="57"/>
      <c r="D20" s="59"/>
      <c r="E20" s="57"/>
      <c r="F20" s="59"/>
      <c r="G20" s="57"/>
      <c r="H20" s="59"/>
      <c r="I20" s="57"/>
      <c r="J20" s="59"/>
      <c r="K20" s="126"/>
      <c r="L20" s="76"/>
      <c r="O20" s="90"/>
      <c r="P20" s="105"/>
      <c r="Q20" s="90"/>
      <c r="R20" s="57"/>
      <c r="S20" s="57"/>
      <c r="T20" s="57"/>
      <c r="U20" s="57"/>
    </row>
    <row r="21" ht="18.75" customHeight="1">
      <c r="A21" s="57"/>
      <c r="B21" s="59"/>
      <c r="C21" s="57"/>
      <c r="D21" s="59"/>
      <c r="E21" s="57"/>
      <c r="F21" s="59"/>
      <c r="G21" s="57"/>
      <c r="H21" s="59"/>
      <c r="I21" s="57"/>
      <c r="J21" s="59"/>
      <c r="K21" s="75" t="str">
        <f>IFERROR(__xludf.DUMMYFUNCTION("""COMPUTED_VALUE"""),"Enloe A")</f>
        <v>Enloe A</v>
      </c>
      <c r="L21" s="66">
        <f>IFERROR(__xludf.DUMMYFUNCTION("""COMPUTED_VALUE"""),90.0)</f>
        <v>90</v>
      </c>
      <c r="O21" s="90"/>
      <c r="P21" s="105"/>
      <c r="Q21" s="90"/>
      <c r="R21" s="57"/>
      <c r="S21" s="57"/>
      <c r="T21" s="57"/>
      <c r="U21" s="57"/>
    </row>
    <row r="22" ht="18.75" customHeight="1">
      <c r="A22" s="57"/>
      <c r="B22" s="59"/>
      <c r="C22" s="75" t="str">
        <f>IFERROR(__xludf.DUMMYFUNCTION("""COMPUTED_VALUE"""),"Interlake A")</f>
        <v>Interlake A</v>
      </c>
      <c r="D22" s="66">
        <f>IFERROR(__xludf.DUMMYFUNCTION("""COMPUTED_VALUE"""),48.0)</f>
        <v>48</v>
      </c>
      <c r="E22" s="57"/>
      <c r="F22" s="59"/>
      <c r="G22" s="75" t="str">
        <f>IFERROR(__xludf.DUMMYFUNCTION("""COMPUTED_VALUE"""),"MSJ A")</f>
        <v>MSJ A</v>
      </c>
      <c r="H22" s="66">
        <f>IFERROR(__xludf.DUMMYFUNCTION("""COMPUTED_VALUE"""),122.0)</f>
        <v>122</v>
      </c>
      <c r="I22" s="57"/>
      <c r="J22" s="59"/>
      <c r="K22" s="69" t="str">
        <f>IFERROR(__xludf.DUMMYFUNCTION("""COMPUTED_VALUE"""),"Ampere")</f>
        <v>Ampere</v>
      </c>
      <c r="L22" s="81"/>
      <c r="O22" s="90"/>
      <c r="P22" s="92"/>
      <c r="Q22" s="90"/>
      <c r="R22" s="57"/>
      <c r="S22" s="57"/>
      <c r="T22" s="57"/>
      <c r="U22" s="57"/>
    </row>
    <row r="23" ht="18.75" customHeight="1">
      <c r="A23" s="57"/>
      <c r="B23" s="59"/>
      <c r="C23" s="69" t="str">
        <f>IFERROR(__xludf.DUMMYFUNCTION("""COMPUTED_VALUE"""),"Ampere")</f>
        <v>Ampere</v>
      </c>
      <c r="D23" s="66"/>
      <c r="E23" s="57"/>
      <c r="F23" s="59"/>
      <c r="G23" s="69" t="str">
        <f>IFERROR(__xludf.DUMMYFUNCTION("""COMPUTED_VALUE"""),"Ampere")</f>
        <v>Ampere</v>
      </c>
      <c r="H23" s="81"/>
      <c r="I23" s="57"/>
      <c r="J23" s="59"/>
      <c r="O23" s="90"/>
      <c r="P23" s="92"/>
      <c r="Q23" s="90"/>
      <c r="R23" s="57"/>
      <c r="S23" s="57"/>
      <c r="T23" s="57"/>
      <c r="U23" s="57"/>
    </row>
    <row r="24" ht="18.75" customHeight="1">
      <c r="A24" s="65" t="str">
        <f>IFERROR(__xludf.DUMMYFUNCTION("""COMPUTED_VALUE"""),"Enloe B")</f>
        <v>Enloe B</v>
      </c>
      <c r="B24" s="66">
        <f>IFERROR(__xludf.DUMMYFUNCTION("""COMPUTED_VALUE"""),96.0)</f>
        <v>96</v>
      </c>
      <c r="E24" s="135" t="str">
        <f>IFERROR(__xludf.DUMMYFUNCTION("""COMPUTED_VALUE"""),"Enloe B")</f>
        <v>Enloe B</v>
      </c>
      <c r="F24" s="66">
        <f>IFERROR(__xludf.DUMMYFUNCTION("""COMPUTED_VALUE"""),102.0)</f>
        <v>102</v>
      </c>
      <c r="I24" s="135" t="str">
        <f>IFERROR(__xludf.DUMMYFUNCTION("""COMPUTED_VALUE"""),"Tesla STEM A")</f>
        <v>Tesla STEM A</v>
      </c>
      <c r="J24" s="66">
        <f>IFERROR(__xludf.DUMMYFUNCTION("""COMPUTED_VALUE"""),108.0)</f>
        <v>108</v>
      </c>
      <c r="O24" s="90"/>
      <c r="P24" s="92"/>
      <c r="Q24" s="90"/>
      <c r="R24" s="57"/>
      <c r="S24" s="57"/>
      <c r="T24" s="57"/>
      <c r="U24" s="57"/>
    </row>
    <row r="25" ht="18.75" customHeight="1">
      <c r="A25" s="69" t="str">
        <f>IFERROR(__xludf.DUMMYFUNCTION("""COMPUTED_VALUE"""),"Einstein")</f>
        <v>Einstein</v>
      </c>
      <c r="B25" s="66"/>
      <c r="C25" s="135" t="str">
        <f>IFERROR(__xludf.DUMMYFUNCTION("""COMPUTED_VALUE"""),"Enloe B")</f>
        <v>Enloe B</v>
      </c>
      <c r="D25" s="66">
        <f>IFERROR(__xludf.DUMMYFUNCTION("""COMPUTED_VALUE"""),150.0)</f>
        <v>150</v>
      </c>
      <c r="E25" s="69" t="str">
        <f>IFERROR(__xludf.DUMMYFUNCTION("""COMPUTED_VALUE"""),"Curie")</f>
        <v>Curie</v>
      </c>
      <c r="F25" s="81"/>
      <c r="I25" s="69" t="str">
        <f>IFERROR(__xludf.DUMMYFUNCTION("""COMPUTED_VALUE"""),"Bohr")</f>
        <v>Bohr</v>
      </c>
      <c r="J25" s="66"/>
      <c r="M25" s="139" t="str">
        <f>IFERROR(__xludf.DUMMYFUNCTION("""COMPUTED_VALUE"""),"Tesla STEM A")</f>
        <v>Tesla STEM A</v>
      </c>
      <c r="N25" s="81">
        <f>IFERROR(__xludf.DUMMYFUNCTION("""COMPUTED_VALUE"""),48.0)</f>
        <v>48</v>
      </c>
      <c r="O25" s="90"/>
      <c r="P25" s="92"/>
      <c r="Q25" s="90"/>
      <c r="R25" s="57"/>
      <c r="S25" s="57"/>
      <c r="T25" s="57"/>
      <c r="U25" s="57"/>
    </row>
    <row r="26" ht="18.75" customHeight="1">
      <c r="A26" s="65" t="str">
        <f>IFERROR(__xludf.DUMMYFUNCTION("""COMPUTED_VALUE"""),"Canyon Crest B")</f>
        <v>Canyon Crest B</v>
      </c>
      <c r="B26" s="66">
        <f>IFERROR(__xludf.DUMMYFUNCTION("""COMPUTED_VALUE"""),74.0)</f>
        <v>74</v>
      </c>
      <c r="C26" s="57"/>
      <c r="D26" s="59"/>
      <c r="G26" s="135" t="str">
        <f>IFERROR(__xludf.DUMMYFUNCTION("""COMPUTED_VALUE"""),"Tesla STEM A")</f>
        <v>Tesla STEM A</v>
      </c>
      <c r="H26" s="66">
        <f>IFERROR(__xludf.DUMMYFUNCTION("""COMPUTED_VALUE"""),128.0)</f>
        <v>128</v>
      </c>
      <c r="M26" s="57"/>
      <c r="N26" s="59"/>
      <c r="O26" s="90"/>
      <c r="P26" s="92"/>
      <c r="Q26" s="90"/>
      <c r="R26" s="57"/>
      <c r="S26" s="57"/>
      <c r="T26" s="57"/>
      <c r="U26" s="57"/>
    </row>
    <row r="27" ht="18.75" customHeight="1">
      <c r="A27" s="57"/>
      <c r="B27" s="59"/>
      <c r="C27" s="126"/>
      <c r="D27" s="76"/>
      <c r="G27" s="57"/>
      <c r="H27" s="59"/>
      <c r="M27" s="57"/>
      <c r="N27" s="59"/>
      <c r="O27" s="90"/>
      <c r="P27" s="92"/>
      <c r="Q27" s="90"/>
      <c r="R27" s="57"/>
      <c r="S27" s="57"/>
      <c r="T27" s="57"/>
      <c r="U27" s="57"/>
    </row>
    <row r="28" ht="18.75" customHeight="1">
      <c r="A28" s="126"/>
      <c r="B28" s="76"/>
      <c r="C28" s="75" t="str">
        <f>IFERROR(__xludf.DUMMYFUNCTION("""COMPUTED_VALUE"""),"Tesla STEM A")</f>
        <v>Tesla STEM A</v>
      </c>
      <c r="D28" s="66">
        <f>IFERROR(__xludf.DUMMYFUNCTION("""COMPUTED_VALUE"""),186.0)</f>
        <v>186</v>
      </c>
      <c r="G28" s="57"/>
      <c r="H28" s="59"/>
      <c r="M28" s="57"/>
      <c r="N28" s="59"/>
      <c r="O28" s="90"/>
      <c r="P28" s="92"/>
      <c r="Q28" s="90"/>
      <c r="R28" s="57"/>
      <c r="S28" s="57"/>
      <c r="T28" s="57"/>
      <c r="U28" s="57"/>
    </row>
    <row r="29" ht="18.75" customHeight="1">
      <c r="A29" s="76"/>
      <c r="B29" s="76"/>
      <c r="C29" s="69" t="str">
        <f>IFERROR(__xludf.DUMMYFUNCTION("""COMPUTED_VALUE"""),"Bohr")</f>
        <v>Bohr</v>
      </c>
      <c r="D29" s="66"/>
      <c r="G29" s="57"/>
      <c r="H29" s="59"/>
      <c r="M29" s="57"/>
      <c r="N29" s="59"/>
      <c r="O29" s="90"/>
      <c r="P29" s="92"/>
      <c r="Q29" s="90"/>
      <c r="R29" s="57"/>
      <c r="S29" s="57"/>
      <c r="T29" s="57"/>
      <c r="U29" s="57"/>
    </row>
    <row r="30" ht="18.75" customHeight="1">
      <c r="A30" s="65" t="str">
        <f>IFERROR(__xludf.DUMMYFUNCTION("""COMPUTED_VALUE"""),"Venice")</f>
        <v>Venice</v>
      </c>
      <c r="B30" s="66">
        <f>IFERROR(__xludf.DUMMYFUNCTION("""COMPUTED_VALUE"""),60.0)</f>
        <v>60</v>
      </c>
      <c r="E30" s="135" t="str">
        <f>IFERROR(__xludf.DUMMYFUNCTION("""COMPUTED_VALUE"""),"Tesla STEM A")</f>
        <v>Tesla STEM A</v>
      </c>
      <c r="F30" s="66">
        <f>IFERROR(__xludf.DUMMYFUNCTION("""COMPUTED_VALUE"""),152.0)</f>
        <v>152</v>
      </c>
      <c r="G30" s="126"/>
      <c r="H30" s="76"/>
      <c r="K30" s="135" t="str">
        <f>IFERROR(__xludf.DUMMYFUNCTION("""COMPUTED_VALUE"""),"Tesla STEM A")</f>
        <v>Tesla STEM A</v>
      </c>
      <c r="L30" s="81">
        <f>IFERROR(__xludf.DUMMYFUNCTION("""COMPUTED_VALUE"""),98.0)</f>
        <v>98</v>
      </c>
      <c r="M30" s="57"/>
      <c r="N30" s="59"/>
      <c r="O30" s="57"/>
      <c r="P30" s="63"/>
      <c r="Q30" s="57"/>
      <c r="R30" s="57"/>
      <c r="S30" s="57"/>
      <c r="T30" s="57"/>
      <c r="U30" s="57"/>
    </row>
    <row r="31" ht="18.75" customHeight="1">
      <c r="A31" s="69" t="str">
        <f>IFERROR(__xludf.DUMMYFUNCTION("""COMPUTED_VALUE"""),"Franklin")</f>
        <v>Franklin</v>
      </c>
      <c r="B31" s="66"/>
      <c r="C31" s="135" t="str">
        <f>IFERROR(__xludf.DUMMYFUNCTION("""COMPUTED_VALUE"""),"Venice")</f>
        <v>Venice</v>
      </c>
      <c r="D31" s="66">
        <f>IFERROR(__xludf.DUMMYFUNCTION("""COMPUTED_VALUE"""),68.0)</f>
        <v>68</v>
      </c>
      <c r="E31" s="126"/>
      <c r="F31" s="76"/>
      <c r="G31" s="76"/>
      <c r="H31" s="59"/>
      <c r="K31" s="57"/>
      <c r="L31" s="59"/>
      <c r="M31" s="57"/>
      <c r="N31" s="59"/>
      <c r="O31" s="57"/>
      <c r="P31" s="63"/>
      <c r="Q31" s="57"/>
      <c r="R31" s="57"/>
      <c r="S31" s="57"/>
      <c r="T31" s="57"/>
      <c r="U31" s="57"/>
    </row>
    <row r="32" ht="18.75" customHeight="1">
      <c r="A32" s="65" t="str">
        <f>IFERROR(__xludf.DUMMYFUNCTION("""COMPUTED_VALUE"""),"Pullman A")</f>
        <v>Pullman A</v>
      </c>
      <c r="B32" s="66">
        <f>IFERROR(__xludf.DUMMYFUNCTION("""COMPUTED_VALUE"""),54.0)</f>
        <v>54</v>
      </c>
      <c r="C32" s="57"/>
      <c r="D32" s="59"/>
      <c r="E32" s="76"/>
      <c r="F32" s="59"/>
      <c r="G32" s="126"/>
      <c r="H32" s="76"/>
      <c r="K32" s="57"/>
      <c r="L32" s="59"/>
      <c r="M32" s="57"/>
      <c r="N32" s="59"/>
      <c r="O32" s="57"/>
      <c r="P32" s="63"/>
      <c r="Q32" s="57"/>
      <c r="R32" s="57"/>
      <c r="S32" s="57"/>
      <c r="T32" s="57"/>
      <c r="U32" s="57"/>
    </row>
    <row r="33" ht="18.75" customHeight="1">
      <c r="A33" s="57"/>
      <c r="B33" s="59"/>
      <c r="C33" s="126"/>
      <c r="D33" s="76"/>
      <c r="E33" s="57"/>
      <c r="F33" s="59"/>
      <c r="G33" s="57"/>
      <c r="H33" s="59"/>
      <c r="K33" s="57"/>
      <c r="L33" s="59"/>
      <c r="M33" s="57"/>
      <c r="N33" s="59"/>
      <c r="O33" s="57"/>
      <c r="P33" s="63"/>
      <c r="Q33" s="57"/>
      <c r="R33" s="57"/>
      <c r="S33" s="57"/>
      <c r="T33" s="57"/>
      <c r="U33" s="57"/>
    </row>
    <row r="34" ht="18.75" customHeight="1">
      <c r="A34" s="126"/>
      <c r="B34" s="76"/>
      <c r="C34" s="75" t="str">
        <f>IFERROR(__xludf.DUMMYFUNCTION("""COMPUTED_VALUE"""),"Canyon Crest A")</f>
        <v>Canyon Crest A</v>
      </c>
      <c r="D34" s="66">
        <f>IFERROR(__xludf.DUMMYFUNCTION("""COMPUTED_VALUE"""),64.0)</f>
        <v>64</v>
      </c>
      <c r="E34" s="126"/>
      <c r="F34" s="76"/>
      <c r="G34" s="75" t="str">
        <f>IFERROR(__xludf.DUMMYFUNCTION("""COMPUTED_VALUE"""),"Wayzata A")</f>
        <v>Wayzata A</v>
      </c>
      <c r="H34" s="66">
        <f>IFERROR(__xludf.DUMMYFUNCTION("""COMPUTED_VALUE"""),72.0)</f>
        <v>72</v>
      </c>
      <c r="K34" s="57"/>
      <c r="L34" s="59"/>
      <c r="M34" s="57"/>
      <c r="N34" s="59"/>
      <c r="O34" s="57"/>
      <c r="P34" s="63"/>
      <c r="Q34" s="57"/>
      <c r="R34" s="57"/>
      <c r="S34" s="57"/>
      <c r="T34" s="57"/>
      <c r="U34" s="57"/>
    </row>
    <row r="35" ht="18.75" customHeight="1">
      <c r="A35" s="76"/>
      <c r="B35" s="76"/>
      <c r="C35" s="69" t="str">
        <f>IFERROR(__xludf.DUMMYFUNCTION("""COMPUTED_VALUE"""),"Curie")</f>
        <v>Curie</v>
      </c>
      <c r="D35" s="66"/>
      <c r="E35" s="57"/>
      <c r="F35" s="59"/>
      <c r="G35" s="69" t="str">
        <f>IFERROR(__xludf.DUMMYFUNCTION("""COMPUTED_VALUE"""),"Bohr")</f>
        <v>Bohr</v>
      </c>
      <c r="H35" s="81"/>
      <c r="K35" s="57"/>
      <c r="L35" s="59"/>
      <c r="M35" s="57"/>
      <c r="N35" s="59"/>
      <c r="O35" s="57"/>
      <c r="P35" s="63"/>
      <c r="Q35" s="57"/>
      <c r="R35" s="57"/>
      <c r="S35" s="57"/>
      <c r="T35" s="57"/>
      <c r="U35" s="57"/>
    </row>
    <row r="36" ht="18.75" customHeight="1">
      <c r="A36" s="65" t="str">
        <f>IFERROR(__xludf.DUMMYFUNCTION("""COMPUTED_VALUE"""),"Lakeside A")</f>
        <v>Lakeside A</v>
      </c>
      <c r="B36" s="66">
        <f>IFERROR(__xludf.DUMMYFUNCTION("""COMPUTED_VALUE"""),128.0)</f>
        <v>128</v>
      </c>
      <c r="E36" s="135" t="str">
        <f>IFERROR(__xludf.DUMMYFUNCTION("""COMPUTED_VALUE"""),"Lakeside A")</f>
        <v>Lakeside A</v>
      </c>
      <c r="F36" s="66">
        <f>IFERROR(__xludf.DUMMYFUNCTION("""COMPUTED_VALUE"""),80.0)</f>
        <v>80</v>
      </c>
      <c r="I36" s="135" t="str">
        <f>IFERROR(__xludf.DUMMYFUNCTION("""COMPUTED_VALUE"""),"NCSSM A")</f>
        <v>NCSSM A</v>
      </c>
      <c r="J36" s="66">
        <f>IFERROR(__xludf.DUMMYFUNCTION("""COMPUTED_VALUE"""),70.0)</f>
        <v>70</v>
      </c>
      <c r="K36" s="57"/>
      <c r="L36" s="59"/>
      <c r="M36" s="57"/>
      <c r="N36" s="59"/>
      <c r="O36" s="57"/>
      <c r="P36" s="63"/>
      <c r="Q36" s="57"/>
      <c r="R36" s="57"/>
      <c r="S36" s="57"/>
      <c r="T36" s="57"/>
      <c r="U36" s="57"/>
    </row>
    <row r="37" ht="18.75" customHeight="1">
      <c r="A37" s="69" t="str">
        <f>IFERROR(__xludf.DUMMYFUNCTION("""COMPUTED_VALUE"""),"Goodall")</f>
        <v>Goodall</v>
      </c>
      <c r="B37" s="66"/>
      <c r="C37" s="135" t="str">
        <f>IFERROR(__xludf.DUMMYFUNCTION("""COMPUTED_VALUE"""),"Lakeside A")</f>
        <v>Lakeside A</v>
      </c>
      <c r="D37" s="66">
        <f>IFERROR(__xludf.DUMMYFUNCTION("""COMPUTED_VALUE"""),142.0)</f>
        <v>142</v>
      </c>
      <c r="E37" s="69" t="str">
        <f>IFERROR(__xludf.DUMMYFUNCTION("""COMPUTED_VALUE"""),"Darwin")</f>
        <v>Darwin</v>
      </c>
      <c r="F37" s="81"/>
      <c r="I37" s="57"/>
      <c r="J37" s="59"/>
      <c r="K37" s="57"/>
      <c r="L37" s="59"/>
      <c r="M37" s="57"/>
      <c r="N37" s="59"/>
      <c r="O37" s="57"/>
      <c r="P37" s="63"/>
      <c r="Q37" s="57"/>
      <c r="R37" s="57"/>
      <c r="S37" s="57"/>
      <c r="T37" s="57"/>
      <c r="U37" s="57"/>
    </row>
    <row r="38" ht="18.75" customHeight="1">
      <c r="A38" s="65" t="str">
        <f>IFERROR(__xludf.DUMMYFUNCTION("""COMPUTED_VALUE"""),"NCSSM B")</f>
        <v>NCSSM B</v>
      </c>
      <c r="B38" s="66">
        <f>IFERROR(__xludf.DUMMYFUNCTION("""COMPUTED_VALUE"""),66.0)</f>
        <v>66</v>
      </c>
      <c r="C38" s="57"/>
      <c r="D38" s="59"/>
      <c r="G38" s="135" t="str">
        <f>IFERROR(__xludf.DUMMYFUNCTION("""COMPUTED_VALUE"""),"NCSSM A")</f>
        <v>NCSSM A</v>
      </c>
      <c r="H38" s="66">
        <f>IFERROR(__xludf.DUMMYFUNCTION("""COMPUTED_VALUE"""),84.0)</f>
        <v>84</v>
      </c>
      <c r="I38" s="57"/>
      <c r="J38" s="59"/>
      <c r="K38" s="57"/>
      <c r="L38" s="59"/>
      <c r="M38" s="57"/>
      <c r="N38" s="59"/>
      <c r="O38" s="57"/>
      <c r="P38" s="63"/>
      <c r="Q38" s="57"/>
      <c r="R38" s="57"/>
      <c r="S38" s="57"/>
      <c r="T38" s="57"/>
      <c r="U38" s="57"/>
    </row>
    <row r="39" ht="18.75" customHeight="1">
      <c r="A39" s="57"/>
      <c r="B39" s="59"/>
      <c r="C39" s="57"/>
      <c r="D39" s="59"/>
      <c r="G39" s="57"/>
      <c r="H39" s="59"/>
      <c r="I39" s="57"/>
      <c r="J39" s="59"/>
      <c r="K39" s="57"/>
      <c r="L39" s="59"/>
      <c r="M39" s="57"/>
      <c r="N39" s="59"/>
      <c r="O39" s="57"/>
      <c r="P39" s="63"/>
      <c r="Q39" s="57"/>
      <c r="R39" s="57"/>
      <c r="S39" s="57"/>
      <c r="T39" s="57"/>
      <c r="U39" s="57"/>
    </row>
    <row r="40" ht="18.75" customHeight="1">
      <c r="A40" s="57"/>
      <c r="B40" s="59"/>
      <c r="C40" s="75" t="str">
        <f>IFERROR(__xludf.DUMMYFUNCTION("""COMPUTED_VALUE"""),"Interlake D")</f>
        <v>Interlake D</v>
      </c>
      <c r="D40" s="66">
        <f>IFERROR(__xludf.DUMMYFUNCTION("""COMPUTED_VALUE"""),114.0)</f>
        <v>114</v>
      </c>
      <c r="G40" s="57"/>
      <c r="H40" s="59"/>
      <c r="I40" s="57"/>
      <c r="J40" s="59"/>
      <c r="K40" s="57"/>
      <c r="L40" s="59"/>
      <c r="M40" s="57"/>
      <c r="N40" s="59"/>
      <c r="O40" s="57"/>
      <c r="P40" s="63"/>
      <c r="Q40" s="57"/>
      <c r="R40" s="57"/>
      <c r="S40" s="57"/>
      <c r="T40" s="57"/>
      <c r="U40" s="57"/>
    </row>
    <row r="41" ht="18.75" customHeight="1">
      <c r="A41" s="57"/>
      <c r="B41" s="59"/>
      <c r="C41" s="69" t="str">
        <f>IFERROR(__xludf.DUMMYFUNCTION("""COMPUTED_VALUE"""),"Darwin")</f>
        <v>Darwin</v>
      </c>
      <c r="D41" s="66"/>
      <c r="G41" s="57"/>
      <c r="H41" s="59"/>
      <c r="I41" s="57"/>
      <c r="J41" s="59"/>
      <c r="K41" s="57"/>
      <c r="L41" s="59"/>
      <c r="M41" s="57"/>
      <c r="N41" s="59"/>
      <c r="O41" s="57"/>
      <c r="P41" s="63"/>
      <c r="Q41" s="57"/>
      <c r="R41" s="57"/>
      <c r="S41" s="57"/>
      <c r="T41" s="57"/>
      <c r="U41" s="57"/>
    </row>
    <row r="42" ht="18.75" customHeight="1">
      <c r="A42" s="65" t="str">
        <f>IFERROR(__xludf.DUMMYFUNCTION("""COMPUTED_VALUE"""),"NCSSM A")</f>
        <v>NCSSM A</v>
      </c>
      <c r="B42" s="66">
        <f>IFERROR(__xludf.DUMMYFUNCTION("""COMPUTED_VALUE"""),112.0)</f>
        <v>112</v>
      </c>
      <c r="E42" s="135" t="str">
        <f>IFERROR(__xludf.DUMMYFUNCTION("""COMPUTED_VALUE"""),"NCSSM A")</f>
        <v>NCSSM A</v>
      </c>
      <c r="F42" s="66">
        <f>IFERROR(__xludf.DUMMYFUNCTION("""COMPUTED_VALUE"""),144.0)</f>
        <v>144</v>
      </c>
      <c r="G42" s="57"/>
      <c r="H42" s="59"/>
      <c r="I42" s="57"/>
      <c r="J42" s="59"/>
      <c r="K42" s="57"/>
      <c r="L42" s="59"/>
      <c r="M42" s="57"/>
      <c r="N42" s="59"/>
      <c r="O42" s="57"/>
      <c r="P42" s="63"/>
      <c r="Q42" s="57"/>
      <c r="R42" s="57"/>
      <c r="S42" s="57"/>
      <c r="T42" s="57"/>
      <c r="U42" s="57"/>
    </row>
    <row r="43" ht="18.75" customHeight="1">
      <c r="A43" s="69" t="str">
        <f>IFERROR(__xludf.DUMMYFUNCTION("""COMPUTED_VALUE"""),"Hawking")</f>
        <v>Hawking</v>
      </c>
      <c r="B43" s="66"/>
      <c r="C43" s="135" t="str">
        <f>IFERROR(__xludf.DUMMYFUNCTION("""COMPUTED_VALUE"""),"NCSSM A")</f>
        <v>NCSSM A</v>
      </c>
      <c r="D43" s="66">
        <f>IFERROR(__xludf.DUMMYFUNCTION("""COMPUTED_VALUE"""),114.0)</f>
        <v>114</v>
      </c>
      <c r="E43" s="57"/>
      <c r="F43" s="59"/>
      <c r="G43" s="57"/>
      <c r="H43" s="59"/>
      <c r="I43" s="57"/>
      <c r="J43" s="59"/>
      <c r="K43" s="57"/>
      <c r="L43" s="59"/>
      <c r="M43" s="57"/>
      <c r="N43" s="59"/>
      <c r="O43" s="57"/>
      <c r="P43" s="63"/>
      <c r="Q43" s="57"/>
      <c r="R43" s="57"/>
      <c r="S43" s="57"/>
      <c r="T43" s="57"/>
      <c r="U43" s="57"/>
    </row>
    <row r="44" ht="18.75" customHeight="1">
      <c r="A44" s="65" t="str">
        <f>IFERROR(__xludf.DUMMYFUNCTION("""COMPUTED_VALUE"""),"MSJ B")</f>
        <v>MSJ B</v>
      </c>
      <c r="B44" s="66">
        <f>IFERROR(__xludf.DUMMYFUNCTION("""COMPUTED_VALUE"""),64.0)</f>
        <v>64</v>
      </c>
      <c r="C44" s="57"/>
      <c r="D44" s="59"/>
      <c r="E44" s="57"/>
      <c r="F44" s="59"/>
      <c r="G44" s="57"/>
      <c r="H44" s="59"/>
      <c r="I44" s="57"/>
      <c r="J44" s="59"/>
      <c r="K44" s="57"/>
      <c r="L44" s="59"/>
      <c r="M44" s="57"/>
      <c r="N44" s="59"/>
      <c r="O44" s="57"/>
      <c r="P44" s="63"/>
      <c r="Q44" s="57"/>
      <c r="R44" s="57"/>
      <c r="S44" s="57"/>
      <c r="T44" s="57"/>
      <c r="U44" s="57"/>
    </row>
    <row r="45" ht="18.75" customHeight="1">
      <c r="A45" s="57"/>
      <c r="B45" s="59"/>
      <c r="C45" s="57"/>
      <c r="D45" s="59"/>
      <c r="E45" s="57"/>
      <c r="F45" s="59"/>
      <c r="G45" s="57"/>
      <c r="H45" s="59"/>
      <c r="I45" s="57"/>
      <c r="J45" s="59"/>
      <c r="K45" s="57"/>
      <c r="L45" s="59"/>
      <c r="M45" s="57"/>
      <c r="N45" s="59"/>
      <c r="O45" s="57"/>
      <c r="P45" s="63"/>
      <c r="Q45" s="57"/>
      <c r="R45" s="57"/>
      <c r="S45" s="57"/>
      <c r="T45" s="57"/>
      <c r="U45" s="57"/>
    </row>
    <row r="46" ht="18.75" customHeight="1">
      <c r="A46" s="57"/>
      <c r="B46" s="59"/>
      <c r="C46" s="57"/>
      <c r="D46" s="59"/>
      <c r="E46" s="57"/>
      <c r="F46" s="59"/>
      <c r="G46" s="57"/>
      <c r="H46" s="59"/>
      <c r="I46" s="57"/>
      <c r="J46" s="59"/>
      <c r="K46" s="57"/>
      <c r="L46" s="59"/>
      <c r="M46" s="57"/>
      <c r="N46" s="59"/>
      <c r="O46" s="57"/>
      <c r="P46" s="63"/>
      <c r="Q46" s="57"/>
      <c r="R46" s="57"/>
      <c r="S46" s="57"/>
      <c r="T46" s="57"/>
      <c r="U46" s="57"/>
    </row>
    <row r="47">
      <c r="A47" s="57"/>
      <c r="B47" s="59"/>
      <c r="C47" s="57"/>
      <c r="D47" s="59"/>
      <c r="E47" s="57"/>
      <c r="F47" s="59"/>
      <c r="G47" s="57"/>
      <c r="H47" s="59"/>
      <c r="I47" s="57"/>
      <c r="J47" s="59"/>
      <c r="K47" s="57"/>
      <c r="L47" s="59"/>
      <c r="M47" s="57"/>
      <c r="N47" s="59"/>
      <c r="O47" s="57"/>
      <c r="P47" s="63"/>
      <c r="Q47" s="57"/>
      <c r="R47" s="57"/>
      <c r="S47" s="57"/>
      <c r="T47" s="57"/>
      <c r="U47" s="57"/>
    </row>
    <row r="48">
      <c r="A48" s="57"/>
      <c r="B48" s="59"/>
      <c r="C48" s="57"/>
      <c r="D48" s="59"/>
      <c r="E48" s="57"/>
      <c r="F48" s="59"/>
      <c r="G48" s="57"/>
      <c r="H48" s="59"/>
      <c r="I48" s="57"/>
      <c r="J48" s="59"/>
      <c r="K48" s="57"/>
      <c r="L48" s="59"/>
      <c r="M48" s="57"/>
      <c r="N48" s="59"/>
      <c r="O48" s="57"/>
      <c r="P48" s="63"/>
      <c r="Q48" s="57"/>
      <c r="R48" s="57"/>
      <c r="S48" s="57"/>
      <c r="T48" s="57"/>
      <c r="U48" s="57"/>
    </row>
    <row r="49">
      <c r="A49" s="57"/>
      <c r="B49" s="59"/>
      <c r="C49" s="57"/>
      <c r="D49" s="59"/>
      <c r="E49" s="57"/>
      <c r="F49" s="59"/>
      <c r="G49" s="57"/>
      <c r="H49" s="59"/>
      <c r="I49" s="57"/>
      <c r="J49" s="59"/>
      <c r="K49" s="57"/>
      <c r="L49" s="59"/>
      <c r="M49" s="57"/>
      <c r="N49" s="59"/>
      <c r="O49" s="57"/>
      <c r="P49" s="63"/>
      <c r="Q49" s="57"/>
      <c r="R49" s="57"/>
      <c r="S49" s="57"/>
      <c r="T49" s="57"/>
      <c r="U49" s="57"/>
    </row>
    <row r="50">
      <c r="A50" s="57"/>
      <c r="B50" s="59"/>
      <c r="C50" s="57"/>
      <c r="D50" s="59"/>
      <c r="E50" s="57"/>
      <c r="F50" s="59"/>
      <c r="G50" s="57"/>
      <c r="H50" s="59"/>
      <c r="I50" s="57"/>
      <c r="J50" s="59"/>
      <c r="K50" s="57"/>
      <c r="L50" s="59"/>
      <c r="M50" s="57"/>
      <c r="N50" s="59"/>
      <c r="O50" s="57"/>
      <c r="P50" s="63"/>
      <c r="Q50" s="57"/>
      <c r="R50" s="57"/>
      <c r="S50" s="57"/>
      <c r="T50" s="57"/>
      <c r="U50" s="57"/>
    </row>
    <row r="51">
      <c r="A51" s="57"/>
      <c r="B51" s="59"/>
      <c r="C51" s="57"/>
      <c r="D51" s="59"/>
      <c r="E51" s="57"/>
      <c r="F51" s="59"/>
      <c r="G51" s="57"/>
      <c r="H51" s="59"/>
      <c r="I51" s="57"/>
      <c r="J51" s="59"/>
      <c r="K51" s="57"/>
      <c r="L51" s="59"/>
      <c r="M51" s="57"/>
      <c r="N51" s="59"/>
      <c r="O51" s="57"/>
      <c r="P51" s="63"/>
      <c r="Q51" s="57"/>
      <c r="R51" s="57"/>
      <c r="S51" s="57"/>
      <c r="T51" s="57"/>
      <c r="U51" s="57"/>
    </row>
    <row r="52">
      <c r="A52" s="57"/>
      <c r="B52" s="59"/>
      <c r="C52" s="57"/>
      <c r="D52" s="59"/>
      <c r="E52" s="57"/>
      <c r="F52" s="59"/>
      <c r="G52" s="57"/>
      <c r="H52" s="59"/>
      <c r="I52" s="57"/>
      <c r="J52" s="59"/>
      <c r="K52" s="57"/>
      <c r="L52" s="59"/>
      <c r="M52" s="57"/>
      <c r="N52" s="59"/>
      <c r="O52" s="57"/>
      <c r="P52" s="63"/>
      <c r="Q52" s="57"/>
      <c r="R52" s="57"/>
      <c r="S52" s="57"/>
      <c r="T52" s="57"/>
      <c r="U52" s="57"/>
    </row>
    <row r="53">
      <c r="A53" s="57"/>
      <c r="B53" s="59"/>
      <c r="C53" s="57"/>
      <c r="D53" s="59"/>
      <c r="E53" s="57"/>
      <c r="F53" s="59"/>
      <c r="G53" s="57"/>
      <c r="H53" s="59"/>
      <c r="I53" s="57"/>
      <c r="J53" s="59"/>
      <c r="K53" s="57"/>
      <c r="L53" s="59"/>
      <c r="M53" s="57"/>
      <c r="N53" s="59"/>
      <c r="O53" s="57"/>
      <c r="P53" s="63"/>
      <c r="Q53" s="57"/>
      <c r="R53" s="57"/>
      <c r="S53" s="57"/>
      <c r="T53" s="57"/>
      <c r="U53" s="57"/>
    </row>
    <row r="54">
      <c r="A54" s="57"/>
      <c r="B54" s="59"/>
      <c r="C54" s="57"/>
      <c r="D54" s="59"/>
      <c r="E54" s="57"/>
      <c r="F54" s="59"/>
      <c r="G54" s="57"/>
      <c r="H54" s="59"/>
      <c r="I54" s="57"/>
      <c r="J54" s="59"/>
      <c r="K54" s="57"/>
      <c r="L54" s="59"/>
      <c r="M54" s="57"/>
      <c r="N54" s="59"/>
      <c r="O54" s="57"/>
      <c r="P54" s="63"/>
      <c r="Q54" s="57"/>
      <c r="R54" s="57"/>
      <c r="S54" s="57"/>
      <c r="T54" s="57"/>
      <c r="U54" s="57"/>
    </row>
    <row r="55">
      <c r="A55" s="57"/>
      <c r="B55" s="59"/>
      <c r="C55" s="57"/>
      <c r="D55" s="59"/>
      <c r="E55" s="57"/>
      <c r="F55" s="59"/>
      <c r="G55" s="57"/>
      <c r="H55" s="59"/>
      <c r="I55" s="57"/>
      <c r="J55" s="59"/>
      <c r="K55" s="57"/>
      <c r="L55" s="59"/>
      <c r="M55" s="57"/>
      <c r="N55" s="59"/>
      <c r="O55" s="57"/>
      <c r="P55" s="63"/>
      <c r="Q55" s="57"/>
      <c r="R55" s="57"/>
      <c r="S55" s="57"/>
      <c r="T55" s="57"/>
      <c r="U55" s="57"/>
    </row>
    <row r="56">
      <c r="A56" s="57"/>
      <c r="B56" s="59"/>
      <c r="C56" s="57"/>
      <c r="D56" s="59"/>
      <c r="E56" s="57"/>
      <c r="F56" s="59"/>
      <c r="G56" s="57"/>
      <c r="H56" s="59"/>
      <c r="I56" s="57"/>
      <c r="J56" s="59"/>
      <c r="K56" s="57"/>
      <c r="L56" s="59"/>
      <c r="M56" s="57"/>
      <c r="N56" s="59"/>
      <c r="O56" s="57"/>
      <c r="P56" s="63"/>
      <c r="Q56" s="57"/>
      <c r="R56" s="57"/>
      <c r="S56" s="57"/>
      <c r="T56" s="57"/>
      <c r="U56" s="57"/>
    </row>
    <row r="57">
      <c r="A57" s="57"/>
      <c r="B57" s="59"/>
      <c r="C57" s="57"/>
      <c r="D57" s="59"/>
      <c r="E57" s="57"/>
      <c r="F57" s="59"/>
      <c r="G57" s="57"/>
      <c r="H57" s="59"/>
      <c r="I57" s="57"/>
      <c r="J57" s="59"/>
      <c r="K57" s="57"/>
      <c r="L57" s="59"/>
      <c r="M57" s="57"/>
      <c r="N57" s="59"/>
      <c r="O57" s="57"/>
      <c r="P57" s="63"/>
      <c r="Q57" s="57"/>
      <c r="R57" s="57"/>
      <c r="S57" s="57"/>
      <c r="T57" s="57"/>
      <c r="U57" s="57"/>
    </row>
    <row r="58">
      <c r="A58" s="57"/>
      <c r="B58" s="59"/>
      <c r="C58" s="57"/>
      <c r="D58" s="59"/>
      <c r="E58" s="57"/>
      <c r="F58" s="59"/>
      <c r="G58" s="57"/>
      <c r="H58" s="59"/>
      <c r="I58" s="57"/>
      <c r="J58" s="59"/>
      <c r="K58" s="57"/>
      <c r="L58" s="59"/>
      <c r="M58" s="57"/>
      <c r="N58" s="59"/>
      <c r="O58" s="57"/>
      <c r="P58" s="63"/>
      <c r="Q58" s="57"/>
      <c r="R58" s="57"/>
      <c r="S58" s="57"/>
      <c r="T58" s="57"/>
      <c r="U58" s="57"/>
    </row>
    <row r="59">
      <c r="A59" s="57"/>
      <c r="B59" s="59"/>
      <c r="C59" s="57"/>
      <c r="D59" s="59"/>
      <c r="E59" s="57"/>
      <c r="F59" s="59"/>
      <c r="G59" s="57"/>
      <c r="H59" s="59"/>
      <c r="I59" s="57"/>
      <c r="J59" s="59"/>
      <c r="K59" s="57"/>
      <c r="L59" s="59"/>
      <c r="M59" s="57"/>
      <c r="N59" s="59"/>
      <c r="O59" s="57"/>
      <c r="P59" s="63"/>
      <c r="Q59" s="57"/>
      <c r="R59" s="57"/>
      <c r="S59" s="57"/>
      <c r="T59" s="57"/>
      <c r="U59" s="57"/>
    </row>
    <row r="60">
      <c r="A60" s="57"/>
      <c r="B60" s="59"/>
      <c r="C60" s="57"/>
      <c r="D60" s="59"/>
      <c r="E60" s="57"/>
      <c r="F60" s="59"/>
      <c r="G60" s="57"/>
      <c r="H60" s="59"/>
      <c r="I60" s="57"/>
      <c r="J60" s="59"/>
      <c r="K60" s="57"/>
      <c r="L60" s="59"/>
      <c r="M60" s="57"/>
      <c r="N60" s="59"/>
      <c r="O60" s="57"/>
      <c r="P60" s="63"/>
      <c r="Q60" s="57"/>
      <c r="R60" s="57"/>
      <c r="S60" s="57"/>
      <c r="T60" s="57"/>
      <c r="U60" s="57"/>
    </row>
    <row r="61">
      <c r="A61" s="57"/>
      <c r="B61" s="59"/>
      <c r="C61" s="57"/>
      <c r="D61" s="59"/>
      <c r="E61" s="57"/>
      <c r="F61" s="59"/>
      <c r="G61" s="57"/>
      <c r="H61" s="59"/>
      <c r="I61" s="57"/>
      <c r="J61" s="59"/>
      <c r="K61" s="57"/>
      <c r="L61" s="59"/>
      <c r="M61" s="57"/>
      <c r="N61" s="59"/>
      <c r="O61" s="57"/>
      <c r="P61" s="63"/>
      <c r="Q61" s="57"/>
      <c r="R61" s="57"/>
      <c r="S61" s="57"/>
      <c r="T61" s="57"/>
      <c r="U61" s="57"/>
    </row>
    <row r="62">
      <c r="A62" s="57"/>
      <c r="B62" s="59"/>
      <c r="C62" s="57"/>
      <c r="D62" s="59"/>
      <c r="E62" s="57"/>
      <c r="F62" s="59"/>
      <c r="G62" s="57"/>
      <c r="H62" s="59"/>
      <c r="I62" s="57"/>
      <c r="J62" s="59"/>
      <c r="K62" s="57"/>
      <c r="L62" s="59"/>
      <c r="M62" s="57"/>
      <c r="N62" s="59"/>
      <c r="O62" s="57"/>
      <c r="P62" s="63"/>
      <c r="Q62" s="57"/>
      <c r="R62" s="57"/>
      <c r="S62" s="57"/>
      <c r="T62" s="57"/>
      <c r="U62" s="57"/>
    </row>
    <row r="63">
      <c r="A63" s="57"/>
      <c r="B63" s="59"/>
      <c r="C63" s="57"/>
      <c r="D63" s="59"/>
      <c r="E63" s="57"/>
      <c r="F63" s="59"/>
      <c r="G63" s="57"/>
      <c r="H63" s="59"/>
      <c r="I63" s="57"/>
      <c r="J63" s="59"/>
      <c r="K63" s="57"/>
      <c r="L63" s="59"/>
      <c r="M63" s="57"/>
      <c r="N63" s="59"/>
      <c r="O63" s="57"/>
      <c r="P63" s="63"/>
      <c r="Q63" s="57"/>
      <c r="R63" s="57"/>
      <c r="S63" s="57"/>
      <c r="T63" s="57"/>
      <c r="U63" s="57"/>
    </row>
    <row r="64">
      <c r="A64" s="57"/>
      <c r="B64" s="59"/>
      <c r="C64" s="57"/>
      <c r="D64" s="59"/>
      <c r="E64" s="57"/>
      <c r="F64" s="59"/>
      <c r="G64" s="57"/>
      <c r="H64" s="59"/>
      <c r="I64" s="57"/>
      <c r="J64" s="59"/>
      <c r="K64" s="57"/>
      <c r="L64" s="59"/>
      <c r="M64" s="57"/>
      <c r="N64" s="59"/>
      <c r="O64" s="57"/>
      <c r="P64" s="63"/>
      <c r="Q64" s="57"/>
      <c r="R64" s="57"/>
      <c r="S64" s="57"/>
      <c r="T64" s="57"/>
      <c r="U64" s="57"/>
    </row>
    <row r="65">
      <c r="A65" s="57"/>
      <c r="B65" s="59"/>
      <c r="C65" s="57"/>
      <c r="D65" s="59"/>
      <c r="E65" s="57"/>
      <c r="F65" s="59"/>
      <c r="G65" s="57"/>
      <c r="H65" s="59"/>
      <c r="I65" s="57"/>
      <c r="J65" s="59"/>
      <c r="K65" s="57"/>
      <c r="L65" s="59"/>
      <c r="M65" s="57"/>
      <c r="N65" s="59"/>
      <c r="O65" s="57"/>
      <c r="P65" s="63"/>
      <c r="Q65" s="57"/>
      <c r="R65" s="57"/>
      <c r="S65" s="57"/>
      <c r="T65" s="57"/>
      <c r="U65" s="57"/>
    </row>
    <row r="66">
      <c r="A66" s="57"/>
      <c r="B66" s="59"/>
      <c r="C66" s="57"/>
      <c r="D66" s="59"/>
      <c r="E66" s="57"/>
      <c r="F66" s="59"/>
      <c r="G66" s="57"/>
      <c r="H66" s="59"/>
      <c r="I66" s="57"/>
      <c r="J66" s="59"/>
      <c r="K66" s="57"/>
      <c r="L66" s="59"/>
      <c r="M66" s="57"/>
      <c r="N66" s="59"/>
      <c r="O66" s="57"/>
      <c r="P66" s="63"/>
      <c r="Q66" s="57"/>
      <c r="R66" s="57"/>
      <c r="S66" s="57"/>
      <c r="T66" s="57"/>
      <c r="U66" s="57"/>
    </row>
    <row r="67">
      <c r="A67" s="57"/>
      <c r="B67" s="59"/>
      <c r="C67" s="57"/>
      <c r="D67" s="59"/>
      <c r="E67" s="57"/>
      <c r="F67" s="59"/>
      <c r="G67" s="57"/>
      <c r="H67" s="59"/>
      <c r="I67" s="57"/>
      <c r="J67" s="59"/>
      <c r="K67" s="57"/>
      <c r="L67" s="59"/>
      <c r="M67" s="57"/>
      <c r="N67" s="59"/>
      <c r="O67" s="57"/>
      <c r="P67" s="63"/>
      <c r="Q67" s="57"/>
      <c r="R67" s="57"/>
      <c r="S67" s="57"/>
      <c r="T67" s="57"/>
      <c r="U67" s="57"/>
    </row>
    <row r="68">
      <c r="A68" s="57"/>
      <c r="B68" s="59"/>
      <c r="C68" s="57"/>
      <c r="D68" s="59"/>
      <c r="E68" s="57"/>
      <c r="F68" s="59"/>
      <c r="G68" s="57"/>
      <c r="H68" s="59"/>
      <c r="I68" s="57"/>
      <c r="J68" s="59"/>
      <c r="K68" s="57"/>
      <c r="L68" s="59"/>
      <c r="M68" s="57"/>
      <c r="N68" s="59"/>
      <c r="O68" s="57"/>
      <c r="P68" s="63"/>
      <c r="Q68" s="57"/>
      <c r="R68" s="57"/>
      <c r="S68" s="57"/>
      <c r="T68" s="57"/>
      <c r="U68" s="57"/>
    </row>
    <row r="69">
      <c r="A69" s="57"/>
      <c r="B69" s="59"/>
      <c r="C69" s="57"/>
      <c r="D69" s="59"/>
      <c r="E69" s="57"/>
      <c r="F69" s="59"/>
      <c r="G69" s="57"/>
      <c r="H69" s="59"/>
      <c r="I69" s="57"/>
      <c r="J69" s="59"/>
      <c r="K69" s="57"/>
      <c r="L69" s="59"/>
      <c r="M69" s="57"/>
      <c r="N69" s="59"/>
      <c r="O69" s="57"/>
      <c r="P69" s="63"/>
      <c r="Q69" s="57"/>
      <c r="R69" s="57"/>
      <c r="S69" s="57"/>
      <c r="T69" s="57"/>
      <c r="U69" s="57"/>
    </row>
    <row r="70">
      <c r="A70" s="57"/>
      <c r="B70" s="59"/>
      <c r="C70" s="57"/>
      <c r="D70" s="59"/>
      <c r="E70" s="57"/>
      <c r="F70" s="59"/>
      <c r="G70" s="57"/>
      <c r="H70" s="59"/>
      <c r="I70" s="57"/>
      <c r="J70" s="59"/>
      <c r="K70" s="57"/>
      <c r="L70" s="59"/>
      <c r="M70" s="57"/>
      <c r="N70" s="59"/>
      <c r="O70" s="57"/>
      <c r="P70" s="63"/>
      <c r="Q70" s="57"/>
      <c r="R70" s="57"/>
      <c r="S70" s="57"/>
      <c r="T70" s="57"/>
      <c r="U70" s="57"/>
    </row>
    <row r="71">
      <c r="A71" s="57"/>
      <c r="B71" s="59"/>
      <c r="C71" s="57"/>
      <c r="D71" s="59"/>
      <c r="E71" s="57"/>
      <c r="F71" s="59"/>
      <c r="G71" s="57"/>
      <c r="H71" s="59"/>
      <c r="I71" s="57"/>
      <c r="J71" s="59"/>
      <c r="K71" s="57"/>
      <c r="L71" s="59"/>
      <c r="M71" s="57"/>
      <c r="N71" s="59"/>
      <c r="O71" s="57"/>
      <c r="P71" s="63"/>
      <c r="Q71" s="57"/>
      <c r="R71" s="57"/>
      <c r="S71" s="57"/>
      <c r="T71" s="57"/>
      <c r="U71" s="57"/>
    </row>
    <row r="72">
      <c r="A72" s="57"/>
      <c r="B72" s="59"/>
      <c r="C72" s="57"/>
      <c r="D72" s="59"/>
      <c r="E72" s="57"/>
      <c r="F72" s="59"/>
      <c r="G72" s="57"/>
      <c r="H72" s="59"/>
      <c r="I72" s="57"/>
      <c r="J72" s="59"/>
      <c r="K72" s="57"/>
      <c r="L72" s="59"/>
      <c r="M72" s="57"/>
      <c r="N72" s="59"/>
      <c r="O72" s="57"/>
      <c r="P72" s="63"/>
      <c r="Q72" s="57"/>
      <c r="R72" s="57"/>
      <c r="S72" s="57"/>
      <c r="T72" s="57"/>
      <c r="U72" s="57"/>
    </row>
    <row r="73">
      <c r="A73" s="57"/>
      <c r="B73" s="59"/>
      <c r="C73" s="57"/>
      <c r="D73" s="59"/>
      <c r="E73" s="57"/>
      <c r="F73" s="59"/>
      <c r="G73" s="57"/>
      <c r="H73" s="59"/>
      <c r="I73" s="57"/>
      <c r="J73" s="59"/>
      <c r="K73" s="57"/>
      <c r="L73" s="59"/>
      <c r="M73" s="57"/>
      <c r="N73" s="59"/>
      <c r="O73" s="57"/>
      <c r="P73" s="63"/>
      <c r="Q73" s="57"/>
      <c r="R73" s="57"/>
      <c r="S73" s="57"/>
      <c r="T73" s="57"/>
      <c r="U73" s="57"/>
    </row>
    <row r="74">
      <c r="A74" s="57"/>
      <c r="B74" s="59"/>
      <c r="C74" s="57"/>
      <c r="D74" s="59"/>
      <c r="E74" s="57"/>
      <c r="F74" s="59"/>
      <c r="G74" s="57"/>
      <c r="H74" s="59"/>
      <c r="I74" s="57"/>
      <c r="J74" s="59"/>
      <c r="K74" s="57"/>
      <c r="L74" s="59"/>
      <c r="M74" s="57"/>
      <c r="N74" s="59"/>
      <c r="O74" s="57"/>
      <c r="P74" s="63"/>
      <c r="Q74" s="57"/>
      <c r="R74" s="57"/>
      <c r="S74" s="57"/>
      <c r="T74" s="57"/>
      <c r="U74" s="57"/>
    </row>
    <row r="75">
      <c r="A75" s="57"/>
      <c r="B75" s="59"/>
      <c r="C75" s="57"/>
      <c r="D75" s="59"/>
      <c r="E75" s="57"/>
      <c r="F75" s="59"/>
      <c r="G75" s="57"/>
      <c r="H75" s="59"/>
      <c r="I75" s="57"/>
      <c r="J75" s="59"/>
      <c r="K75" s="57"/>
      <c r="L75" s="59"/>
      <c r="M75" s="57"/>
      <c r="N75" s="59"/>
      <c r="O75" s="57"/>
      <c r="P75" s="63"/>
      <c r="Q75" s="57"/>
      <c r="R75" s="57"/>
      <c r="S75" s="57"/>
      <c r="T75" s="57"/>
      <c r="U75" s="57"/>
    </row>
    <row r="76">
      <c r="A76" s="57"/>
      <c r="B76" s="59"/>
      <c r="C76" s="57"/>
      <c r="D76" s="59"/>
      <c r="E76" s="57"/>
      <c r="F76" s="59"/>
      <c r="G76" s="57"/>
      <c r="H76" s="59"/>
      <c r="I76" s="57"/>
      <c r="J76" s="59"/>
      <c r="K76" s="57"/>
      <c r="L76" s="59"/>
      <c r="M76" s="57"/>
      <c r="N76" s="59"/>
      <c r="O76" s="57"/>
      <c r="P76" s="63"/>
      <c r="Q76" s="57"/>
      <c r="R76" s="57"/>
      <c r="S76" s="57"/>
      <c r="T76" s="57"/>
      <c r="U76" s="57"/>
    </row>
    <row r="77">
      <c r="A77" s="57"/>
      <c r="B77" s="59"/>
      <c r="C77" s="57"/>
      <c r="D77" s="59"/>
      <c r="E77" s="57"/>
      <c r="F77" s="59"/>
      <c r="G77" s="57"/>
      <c r="H77" s="59"/>
      <c r="I77" s="57"/>
      <c r="J77" s="59"/>
      <c r="K77" s="57"/>
      <c r="L77" s="59"/>
      <c r="M77" s="57"/>
      <c r="N77" s="59"/>
      <c r="O77" s="57"/>
      <c r="P77" s="63"/>
      <c r="Q77" s="57"/>
      <c r="R77" s="57"/>
      <c r="S77" s="57"/>
      <c r="T77" s="57"/>
      <c r="U77" s="57"/>
    </row>
    <row r="78">
      <c r="A78" s="57"/>
      <c r="B78" s="59"/>
      <c r="C78" s="57"/>
      <c r="D78" s="59"/>
      <c r="E78" s="57"/>
      <c r="F78" s="59"/>
      <c r="G78" s="57"/>
      <c r="H78" s="59"/>
      <c r="I78" s="57"/>
      <c r="J78" s="59"/>
      <c r="K78" s="57"/>
      <c r="L78" s="59"/>
      <c r="M78" s="57"/>
      <c r="N78" s="59"/>
      <c r="O78" s="57"/>
      <c r="P78" s="63"/>
      <c r="Q78" s="57"/>
      <c r="R78" s="57"/>
      <c r="S78" s="57"/>
      <c r="T78" s="57"/>
      <c r="U78" s="57"/>
    </row>
    <row r="79">
      <c r="A79" s="57"/>
      <c r="B79" s="59"/>
      <c r="C79" s="57"/>
      <c r="D79" s="59"/>
      <c r="E79" s="57"/>
      <c r="F79" s="59"/>
      <c r="G79" s="57"/>
      <c r="H79" s="59"/>
      <c r="I79" s="57"/>
      <c r="J79" s="59"/>
      <c r="K79" s="57"/>
      <c r="L79" s="59"/>
      <c r="M79" s="57"/>
      <c r="N79" s="59"/>
      <c r="O79" s="57"/>
      <c r="P79" s="63"/>
      <c r="Q79" s="57"/>
      <c r="R79" s="57"/>
      <c r="S79" s="57"/>
      <c r="T79" s="57"/>
      <c r="U79" s="57"/>
    </row>
    <row r="80">
      <c r="A80" s="57"/>
      <c r="B80" s="59"/>
      <c r="C80" s="57"/>
      <c r="D80" s="59"/>
      <c r="E80" s="57"/>
      <c r="F80" s="59"/>
      <c r="G80" s="57"/>
      <c r="H80" s="59"/>
      <c r="I80" s="57"/>
      <c r="J80" s="59"/>
      <c r="K80" s="57"/>
      <c r="L80" s="59"/>
      <c r="M80" s="57"/>
      <c r="N80" s="59"/>
      <c r="O80" s="57"/>
      <c r="P80" s="63"/>
      <c r="Q80" s="57"/>
      <c r="R80" s="57"/>
      <c r="S80" s="57"/>
      <c r="T80" s="57"/>
      <c r="U80" s="57"/>
    </row>
    <row r="81">
      <c r="A81" s="57"/>
      <c r="B81" s="59"/>
      <c r="C81" s="57"/>
      <c r="D81" s="59"/>
      <c r="E81" s="57"/>
      <c r="F81" s="59"/>
      <c r="G81" s="57"/>
      <c r="H81" s="59"/>
      <c r="I81" s="57"/>
      <c r="J81" s="59"/>
      <c r="K81" s="57"/>
      <c r="L81" s="59"/>
      <c r="M81" s="57"/>
      <c r="N81" s="59"/>
      <c r="O81" s="57"/>
      <c r="P81" s="63"/>
      <c r="Q81" s="57"/>
      <c r="R81" s="57"/>
      <c r="S81" s="57"/>
      <c r="T81" s="57"/>
      <c r="U81" s="57"/>
    </row>
    <row r="82">
      <c r="A82" s="57"/>
      <c r="B82" s="59"/>
      <c r="C82" s="57"/>
      <c r="D82" s="59"/>
      <c r="E82" s="57"/>
      <c r="F82" s="59"/>
      <c r="G82" s="57"/>
      <c r="H82" s="59"/>
      <c r="I82" s="57"/>
      <c r="J82" s="59"/>
      <c r="K82" s="57"/>
      <c r="L82" s="59"/>
      <c r="M82" s="57"/>
      <c r="N82" s="59"/>
      <c r="O82" s="57"/>
      <c r="P82" s="63"/>
      <c r="Q82" s="57"/>
      <c r="R82" s="57"/>
      <c r="S82" s="57"/>
      <c r="T82" s="57"/>
      <c r="U82" s="57"/>
    </row>
    <row r="83">
      <c r="A83" s="57"/>
      <c r="B83" s="59"/>
      <c r="C83" s="57"/>
      <c r="D83" s="59"/>
      <c r="E83" s="57"/>
      <c r="F83" s="59"/>
      <c r="G83" s="57"/>
      <c r="H83" s="59"/>
      <c r="I83" s="57"/>
      <c r="J83" s="59"/>
      <c r="K83" s="57"/>
      <c r="L83" s="59"/>
      <c r="M83" s="57"/>
      <c r="N83" s="59"/>
      <c r="O83" s="57"/>
      <c r="P83" s="63"/>
      <c r="Q83" s="57"/>
      <c r="R83" s="57"/>
      <c r="S83" s="57"/>
      <c r="T83" s="57"/>
      <c r="U83" s="57"/>
    </row>
    <row r="84">
      <c r="A84" s="57"/>
      <c r="B84" s="59"/>
      <c r="C84" s="57"/>
      <c r="D84" s="59"/>
      <c r="E84" s="57"/>
      <c r="F84" s="59"/>
      <c r="G84" s="57"/>
      <c r="H84" s="59"/>
      <c r="I84" s="57"/>
      <c r="J84" s="59"/>
      <c r="K84" s="57"/>
      <c r="L84" s="59"/>
      <c r="M84" s="57"/>
      <c r="N84" s="59"/>
      <c r="O84" s="57"/>
      <c r="P84" s="63"/>
      <c r="Q84" s="57"/>
      <c r="R84" s="57"/>
      <c r="S84" s="57"/>
      <c r="T84" s="57"/>
      <c r="U84" s="57"/>
    </row>
    <row r="85">
      <c r="A85" s="57"/>
      <c r="B85" s="59"/>
      <c r="C85" s="57"/>
      <c r="D85" s="59"/>
      <c r="E85" s="57"/>
      <c r="F85" s="59"/>
      <c r="G85" s="57"/>
      <c r="H85" s="59"/>
      <c r="I85" s="57"/>
      <c r="J85" s="59"/>
      <c r="K85" s="57"/>
      <c r="L85" s="59"/>
      <c r="M85" s="57"/>
      <c r="N85" s="59"/>
      <c r="O85" s="57"/>
      <c r="P85" s="63"/>
      <c r="Q85" s="57"/>
      <c r="R85" s="57"/>
      <c r="S85" s="57"/>
      <c r="T85" s="57"/>
      <c r="U85" s="57"/>
    </row>
    <row r="86">
      <c r="A86" s="57"/>
      <c r="B86" s="59"/>
      <c r="C86" s="57"/>
      <c r="D86" s="59"/>
      <c r="E86" s="57"/>
      <c r="F86" s="59"/>
      <c r="G86" s="57"/>
      <c r="H86" s="59"/>
      <c r="I86" s="57"/>
      <c r="J86" s="59"/>
      <c r="K86" s="57"/>
      <c r="L86" s="59"/>
      <c r="M86" s="57"/>
      <c r="N86" s="59"/>
      <c r="O86" s="57"/>
      <c r="P86" s="63"/>
      <c r="Q86" s="57"/>
      <c r="R86" s="57"/>
      <c r="S86" s="57"/>
      <c r="T86" s="57"/>
      <c r="U86" s="57"/>
    </row>
    <row r="87">
      <c r="A87" s="57"/>
      <c r="B87" s="59"/>
      <c r="C87" s="57"/>
      <c r="D87" s="59"/>
      <c r="E87" s="57"/>
      <c r="F87" s="59"/>
      <c r="G87" s="57"/>
      <c r="H87" s="59"/>
      <c r="I87" s="57"/>
      <c r="J87" s="59"/>
      <c r="K87" s="57"/>
      <c r="L87" s="59"/>
      <c r="M87" s="57"/>
      <c r="N87" s="59"/>
      <c r="O87" s="57"/>
      <c r="P87" s="63"/>
      <c r="Q87" s="57"/>
      <c r="R87" s="57"/>
      <c r="S87" s="57"/>
      <c r="T87" s="57"/>
      <c r="U87" s="57"/>
    </row>
    <row r="88">
      <c r="A88" s="57"/>
      <c r="B88" s="59"/>
      <c r="C88" s="57"/>
      <c r="D88" s="59"/>
      <c r="E88" s="57"/>
      <c r="F88" s="59"/>
      <c r="G88" s="57"/>
      <c r="H88" s="59"/>
      <c r="I88" s="57"/>
      <c r="J88" s="59"/>
      <c r="K88" s="57"/>
      <c r="L88" s="59"/>
      <c r="M88" s="57"/>
      <c r="N88" s="59"/>
      <c r="O88" s="57"/>
      <c r="P88" s="63"/>
      <c r="Q88" s="57"/>
      <c r="R88" s="57"/>
      <c r="S88" s="57"/>
      <c r="T88" s="57"/>
      <c r="U88" s="57"/>
    </row>
    <row r="89">
      <c r="A89" s="57"/>
      <c r="B89" s="59"/>
      <c r="C89" s="57"/>
      <c r="D89" s="59"/>
      <c r="E89" s="57"/>
      <c r="F89" s="59"/>
      <c r="G89" s="57"/>
      <c r="H89" s="59"/>
      <c r="I89" s="57"/>
      <c r="J89" s="59"/>
      <c r="K89" s="57"/>
      <c r="L89" s="59"/>
      <c r="M89" s="57"/>
      <c r="N89" s="59"/>
      <c r="O89" s="57"/>
      <c r="P89" s="63"/>
      <c r="Q89" s="57"/>
      <c r="R89" s="57"/>
      <c r="S89" s="57"/>
      <c r="T89" s="57"/>
      <c r="U89" s="57"/>
    </row>
    <row r="90">
      <c r="A90" s="57"/>
      <c r="B90" s="59"/>
      <c r="C90" s="57"/>
      <c r="D90" s="59"/>
      <c r="E90" s="57"/>
      <c r="F90" s="59"/>
      <c r="G90" s="57"/>
      <c r="H90" s="59"/>
      <c r="I90" s="57"/>
      <c r="J90" s="59"/>
      <c r="K90" s="57"/>
      <c r="L90" s="59"/>
      <c r="M90" s="57"/>
      <c r="N90" s="59"/>
      <c r="O90" s="57"/>
      <c r="P90" s="63"/>
      <c r="Q90" s="57"/>
      <c r="R90" s="57"/>
      <c r="S90" s="57"/>
      <c r="T90" s="57"/>
      <c r="U90" s="57"/>
    </row>
    <row r="91">
      <c r="A91" s="57"/>
      <c r="B91" s="59"/>
      <c r="C91" s="57"/>
      <c r="D91" s="59"/>
      <c r="E91" s="57"/>
      <c r="F91" s="59"/>
      <c r="G91" s="57"/>
      <c r="H91" s="59"/>
      <c r="I91" s="57"/>
      <c r="J91" s="59"/>
      <c r="K91" s="57"/>
      <c r="L91" s="59"/>
      <c r="M91" s="57"/>
      <c r="N91" s="59"/>
      <c r="O91" s="57"/>
      <c r="P91" s="63"/>
      <c r="Q91" s="57"/>
      <c r="R91" s="57"/>
      <c r="S91" s="57"/>
      <c r="T91" s="57"/>
      <c r="U91" s="57"/>
    </row>
    <row r="92">
      <c r="A92" s="57"/>
      <c r="B92" s="59"/>
      <c r="C92" s="57"/>
      <c r="D92" s="59"/>
      <c r="E92" s="57"/>
      <c r="F92" s="59"/>
      <c r="G92" s="57"/>
      <c r="H92" s="59"/>
      <c r="I92" s="57"/>
      <c r="J92" s="59"/>
      <c r="K92" s="57"/>
      <c r="L92" s="59"/>
      <c r="M92" s="57"/>
      <c r="N92" s="59"/>
      <c r="O92" s="57"/>
      <c r="P92" s="63"/>
      <c r="Q92" s="57"/>
      <c r="R92" s="57"/>
      <c r="S92" s="57"/>
      <c r="T92" s="57"/>
      <c r="U92" s="57"/>
    </row>
    <row r="93">
      <c r="A93" s="57"/>
      <c r="B93" s="59"/>
      <c r="C93" s="57"/>
      <c r="D93" s="59"/>
      <c r="E93" s="57"/>
      <c r="F93" s="59"/>
      <c r="G93" s="57"/>
      <c r="H93" s="59"/>
      <c r="I93" s="57"/>
      <c r="J93" s="59"/>
      <c r="K93" s="57"/>
      <c r="L93" s="59"/>
      <c r="M93" s="57"/>
      <c r="N93" s="59"/>
      <c r="O93" s="57"/>
      <c r="P93" s="63"/>
      <c r="Q93" s="57"/>
      <c r="R93" s="57"/>
      <c r="S93" s="57"/>
      <c r="T93" s="57"/>
      <c r="U93" s="57"/>
    </row>
    <row r="94">
      <c r="A94" s="57"/>
      <c r="B94" s="59"/>
      <c r="C94" s="57"/>
      <c r="D94" s="59"/>
      <c r="E94" s="57"/>
      <c r="F94" s="59"/>
      <c r="G94" s="57"/>
      <c r="H94" s="59"/>
      <c r="I94" s="57"/>
      <c r="J94" s="59"/>
      <c r="K94" s="57"/>
      <c r="L94" s="59"/>
      <c r="M94" s="57"/>
      <c r="N94" s="59"/>
      <c r="O94" s="57"/>
      <c r="P94" s="63"/>
      <c r="Q94" s="57"/>
      <c r="R94" s="57"/>
      <c r="S94" s="57"/>
      <c r="T94" s="57"/>
      <c r="U94" s="57"/>
    </row>
    <row r="95">
      <c r="A95" s="57"/>
      <c r="B95" s="59"/>
      <c r="C95" s="57"/>
      <c r="D95" s="59"/>
      <c r="E95" s="57"/>
      <c r="F95" s="59"/>
      <c r="G95" s="57"/>
      <c r="H95" s="59"/>
      <c r="I95" s="57"/>
      <c r="J95" s="59"/>
      <c r="K95" s="57"/>
      <c r="L95" s="59"/>
      <c r="M95" s="57"/>
      <c r="N95" s="59"/>
      <c r="O95" s="57"/>
      <c r="P95" s="63"/>
      <c r="Q95" s="57"/>
      <c r="R95" s="57"/>
      <c r="S95" s="57"/>
      <c r="T95" s="57"/>
      <c r="U95" s="57"/>
    </row>
    <row r="96">
      <c r="A96" s="57"/>
      <c r="B96" s="59"/>
      <c r="C96" s="57"/>
      <c r="D96" s="59"/>
      <c r="E96" s="57"/>
      <c r="F96" s="59"/>
      <c r="G96" s="57"/>
      <c r="H96" s="59"/>
      <c r="I96" s="57"/>
      <c r="J96" s="59"/>
      <c r="K96" s="57"/>
      <c r="L96" s="59"/>
      <c r="M96" s="57"/>
      <c r="N96" s="59"/>
      <c r="O96" s="57"/>
      <c r="P96" s="63"/>
      <c r="Q96" s="57"/>
      <c r="R96" s="57"/>
      <c r="S96" s="57"/>
      <c r="T96" s="57"/>
      <c r="U96" s="57"/>
    </row>
    <row r="97">
      <c r="A97" s="57"/>
      <c r="B97" s="59"/>
      <c r="C97" s="57"/>
      <c r="D97" s="59"/>
      <c r="E97" s="57"/>
      <c r="F97" s="59"/>
      <c r="G97" s="57"/>
      <c r="H97" s="59"/>
      <c r="I97" s="57"/>
      <c r="J97" s="59"/>
      <c r="K97" s="57"/>
      <c r="L97" s="59"/>
      <c r="M97" s="57"/>
      <c r="N97" s="59"/>
      <c r="O97" s="57"/>
      <c r="P97" s="63"/>
      <c r="Q97" s="57"/>
      <c r="R97" s="57"/>
      <c r="S97" s="57"/>
      <c r="T97" s="57"/>
      <c r="U97" s="57"/>
    </row>
    <row r="98">
      <c r="A98" s="57"/>
      <c r="B98" s="59"/>
      <c r="C98" s="57"/>
      <c r="D98" s="59"/>
      <c r="E98" s="57"/>
      <c r="F98" s="59"/>
      <c r="G98" s="57"/>
      <c r="H98" s="59"/>
      <c r="I98" s="57"/>
      <c r="J98" s="59"/>
      <c r="K98" s="57"/>
      <c r="L98" s="59"/>
      <c r="M98" s="57"/>
      <c r="N98" s="59"/>
      <c r="O98" s="57"/>
      <c r="P98" s="63"/>
      <c r="Q98" s="57"/>
      <c r="R98" s="57"/>
      <c r="S98" s="57"/>
      <c r="T98" s="57"/>
      <c r="U98" s="57"/>
    </row>
    <row r="99">
      <c r="A99" s="57"/>
      <c r="B99" s="59"/>
      <c r="C99" s="57"/>
      <c r="D99" s="59"/>
      <c r="E99" s="57"/>
      <c r="F99" s="59"/>
      <c r="G99" s="57"/>
      <c r="H99" s="59"/>
      <c r="I99" s="57"/>
      <c r="J99" s="59"/>
      <c r="K99" s="57"/>
      <c r="L99" s="59"/>
      <c r="M99" s="57"/>
      <c r="N99" s="59"/>
      <c r="O99" s="57"/>
      <c r="P99" s="63"/>
      <c r="Q99" s="57"/>
      <c r="R99" s="57"/>
      <c r="S99" s="57"/>
      <c r="T99" s="57"/>
      <c r="U99" s="57"/>
    </row>
    <row r="100">
      <c r="A100" s="57"/>
      <c r="B100" s="59"/>
      <c r="C100" s="57"/>
      <c r="D100" s="59"/>
      <c r="E100" s="57"/>
      <c r="F100" s="59"/>
      <c r="G100" s="57"/>
      <c r="H100" s="59"/>
      <c r="I100" s="57"/>
      <c r="J100" s="59"/>
      <c r="K100" s="57"/>
      <c r="L100" s="59"/>
      <c r="M100" s="57"/>
      <c r="N100" s="59"/>
      <c r="O100" s="57"/>
      <c r="P100" s="63"/>
      <c r="Q100" s="57"/>
      <c r="R100" s="57"/>
      <c r="S100" s="57"/>
      <c r="T100" s="57"/>
      <c r="U100" s="57"/>
    </row>
    <row r="101">
      <c r="A101" s="57"/>
      <c r="B101" s="59"/>
      <c r="C101" s="57"/>
      <c r="D101" s="59"/>
      <c r="E101" s="57"/>
      <c r="F101" s="59"/>
      <c r="G101" s="57"/>
      <c r="H101" s="59"/>
      <c r="I101" s="57"/>
      <c r="J101" s="59"/>
      <c r="K101" s="57"/>
      <c r="L101" s="59"/>
      <c r="M101" s="57"/>
      <c r="N101" s="59"/>
      <c r="O101" s="57"/>
      <c r="P101" s="63"/>
      <c r="Q101" s="57"/>
      <c r="R101" s="57"/>
      <c r="S101" s="57"/>
      <c r="T101" s="57"/>
      <c r="U101" s="57"/>
    </row>
    <row r="102">
      <c r="A102" s="57"/>
      <c r="B102" s="59"/>
      <c r="C102" s="57"/>
      <c r="D102" s="59"/>
      <c r="E102" s="57"/>
      <c r="F102" s="59"/>
      <c r="G102" s="57"/>
      <c r="H102" s="59"/>
      <c r="I102" s="57"/>
      <c r="J102" s="59"/>
      <c r="K102" s="57"/>
      <c r="L102" s="59"/>
      <c r="M102" s="57"/>
      <c r="N102" s="59"/>
      <c r="O102" s="57"/>
      <c r="P102" s="63"/>
      <c r="Q102" s="57"/>
      <c r="R102" s="57"/>
      <c r="S102" s="57"/>
      <c r="T102" s="57"/>
      <c r="U102" s="57"/>
    </row>
    <row r="103">
      <c r="A103" s="57"/>
      <c r="B103" s="59"/>
      <c r="C103" s="57"/>
      <c r="D103" s="59"/>
      <c r="E103" s="57"/>
      <c r="F103" s="59"/>
      <c r="G103" s="57"/>
      <c r="H103" s="59"/>
      <c r="I103" s="57"/>
      <c r="J103" s="59"/>
      <c r="K103" s="57"/>
      <c r="L103" s="59"/>
      <c r="M103" s="57"/>
      <c r="N103" s="59"/>
      <c r="O103" s="57"/>
      <c r="P103" s="63"/>
      <c r="Q103" s="57"/>
      <c r="R103" s="57"/>
      <c r="S103" s="57"/>
      <c r="T103" s="57"/>
      <c r="U103" s="57"/>
    </row>
    <row r="104">
      <c r="A104" s="57"/>
      <c r="B104" s="59"/>
      <c r="C104" s="57"/>
      <c r="D104" s="59"/>
      <c r="E104" s="57"/>
      <c r="F104" s="59"/>
      <c r="G104" s="57"/>
      <c r="H104" s="59"/>
      <c r="I104" s="57"/>
      <c r="J104" s="59"/>
      <c r="K104" s="57"/>
      <c r="L104" s="59"/>
      <c r="M104" s="57"/>
      <c r="N104" s="59"/>
      <c r="O104" s="57"/>
      <c r="P104" s="63"/>
      <c r="Q104" s="57"/>
      <c r="R104" s="57"/>
      <c r="S104" s="57"/>
      <c r="T104" s="57"/>
      <c r="U104" s="57"/>
    </row>
    <row r="105">
      <c r="A105" s="57"/>
      <c r="B105" s="59"/>
      <c r="C105" s="57"/>
      <c r="D105" s="59"/>
      <c r="E105" s="57"/>
      <c r="F105" s="59"/>
      <c r="G105" s="57"/>
      <c r="H105" s="59"/>
      <c r="I105" s="57"/>
      <c r="J105" s="59"/>
      <c r="K105" s="57"/>
      <c r="L105" s="59"/>
      <c r="M105" s="57"/>
      <c r="N105" s="59"/>
      <c r="O105" s="57"/>
      <c r="P105" s="63"/>
      <c r="Q105" s="57"/>
      <c r="R105" s="57"/>
      <c r="S105" s="57"/>
      <c r="T105" s="57"/>
      <c r="U105" s="57"/>
    </row>
    <row r="106">
      <c r="A106" s="57"/>
      <c r="B106" s="59"/>
      <c r="C106" s="57"/>
      <c r="D106" s="59"/>
      <c r="E106" s="57"/>
      <c r="F106" s="59"/>
      <c r="G106" s="57"/>
      <c r="H106" s="59"/>
      <c r="I106" s="57"/>
      <c r="J106" s="59"/>
      <c r="K106" s="57"/>
      <c r="L106" s="59"/>
      <c r="M106" s="57"/>
      <c r="N106" s="59"/>
      <c r="O106" s="57"/>
      <c r="P106" s="63"/>
      <c r="Q106" s="57"/>
      <c r="R106" s="57"/>
      <c r="S106" s="57"/>
      <c r="T106" s="57"/>
      <c r="U106" s="57"/>
    </row>
    <row r="107">
      <c r="A107" s="57"/>
      <c r="B107" s="59"/>
      <c r="C107" s="57"/>
      <c r="D107" s="59"/>
      <c r="E107" s="57"/>
      <c r="F107" s="59"/>
      <c r="G107" s="57"/>
      <c r="H107" s="59"/>
      <c r="I107" s="57"/>
      <c r="J107" s="59"/>
      <c r="K107" s="57"/>
      <c r="L107" s="59"/>
      <c r="M107" s="57"/>
      <c r="N107" s="59"/>
      <c r="O107" s="57"/>
      <c r="P107" s="63"/>
      <c r="Q107" s="57"/>
      <c r="R107" s="57"/>
      <c r="S107" s="57"/>
      <c r="T107" s="57"/>
      <c r="U107" s="57"/>
    </row>
    <row r="108">
      <c r="A108" s="57"/>
      <c r="B108" s="59"/>
      <c r="C108" s="57"/>
      <c r="D108" s="59"/>
      <c r="E108" s="57"/>
      <c r="F108" s="59"/>
      <c r="G108" s="57"/>
      <c r="H108" s="59"/>
      <c r="I108" s="57"/>
      <c r="J108" s="59"/>
      <c r="K108" s="57"/>
      <c r="L108" s="59"/>
      <c r="M108" s="57"/>
      <c r="N108" s="59"/>
      <c r="O108" s="57"/>
      <c r="P108" s="63"/>
      <c r="Q108" s="57"/>
      <c r="R108" s="57"/>
      <c r="S108" s="57"/>
      <c r="T108" s="57"/>
      <c r="U108" s="57"/>
    </row>
    <row r="109">
      <c r="A109" s="57"/>
      <c r="B109" s="59"/>
      <c r="C109" s="57"/>
      <c r="D109" s="59"/>
      <c r="E109" s="57"/>
      <c r="F109" s="59"/>
      <c r="G109" s="57"/>
      <c r="H109" s="59"/>
      <c r="I109" s="57"/>
      <c r="J109" s="59"/>
      <c r="K109" s="57"/>
      <c r="L109" s="59"/>
      <c r="M109" s="57"/>
      <c r="N109" s="59"/>
      <c r="O109" s="57"/>
      <c r="P109" s="63"/>
      <c r="Q109" s="57"/>
      <c r="R109" s="57"/>
      <c r="S109" s="57"/>
      <c r="T109" s="57"/>
      <c r="U109" s="57"/>
    </row>
    <row r="110">
      <c r="A110" s="57"/>
      <c r="B110" s="59"/>
      <c r="C110" s="57"/>
      <c r="D110" s="59"/>
      <c r="E110" s="57"/>
      <c r="F110" s="59"/>
      <c r="G110" s="57"/>
      <c r="H110" s="59"/>
      <c r="I110" s="57"/>
      <c r="J110" s="59"/>
      <c r="K110" s="57"/>
      <c r="L110" s="59"/>
      <c r="M110" s="57"/>
      <c r="N110" s="59"/>
      <c r="O110" s="57"/>
      <c r="P110" s="63"/>
      <c r="Q110" s="57"/>
      <c r="R110" s="57"/>
      <c r="S110" s="57"/>
      <c r="T110" s="57"/>
      <c r="U110" s="57"/>
    </row>
    <row r="111">
      <c r="A111" s="57"/>
      <c r="B111" s="59"/>
      <c r="C111" s="57"/>
      <c r="D111" s="59"/>
      <c r="E111" s="57"/>
      <c r="F111" s="59"/>
      <c r="G111" s="57"/>
      <c r="H111" s="59"/>
      <c r="I111" s="57"/>
      <c r="J111" s="59"/>
      <c r="K111" s="57"/>
      <c r="L111" s="59"/>
      <c r="M111" s="57"/>
      <c r="N111" s="59"/>
      <c r="O111" s="57"/>
      <c r="P111" s="63"/>
      <c r="Q111" s="57"/>
      <c r="R111" s="57"/>
      <c r="S111" s="57"/>
      <c r="T111" s="57"/>
      <c r="U111" s="57"/>
    </row>
    <row r="112">
      <c r="A112" s="57"/>
      <c r="B112" s="59"/>
      <c r="C112" s="57"/>
      <c r="D112" s="59"/>
      <c r="E112" s="57"/>
      <c r="F112" s="59"/>
      <c r="G112" s="57"/>
      <c r="H112" s="59"/>
      <c r="I112" s="57"/>
      <c r="J112" s="59"/>
      <c r="K112" s="57"/>
      <c r="L112" s="59"/>
      <c r="M112" s="57"/>
      <c r="N112" s="59"/>
      <c r="O112" s="57"/>
      <c r="P112" s="63"/>
      <c r="Q112" s="57"/>
      <c r="R112" s="57"/>
      <c r="S112" s="57"/>
      <c r="T112" s="57"/>
      <c r="U112" s="57"/>
    </row>
    <row r="113">
      <c r="A113" s="57"/>
      <c r="B113" s="59"/>
      <c r="C113" s="57"/>
      <c r="D113" s="59"/>
      <c r="E113" s="57"/>
      <c r="F113" s="59"/>
      <c r="G113" s="57"/>
      <c r="H113" s="59"/>
      <c r="I113" s="57"/>
      <c r="J113" s="59"/>
      <c r="K113" s="57"/>
      <c r="L113" s="59"/>
      <c r="M113" s="57"/>
      <c r="N113" s="59"/>
      <c r="O113" s="57"/>
      <c r="P113" s="63"/>
      <c r="Q113" s="57"/>
      <c r="R113" s="57"/>
      <c r="S113" s="57"/>
      <c r="T113" s="57"/>
      <c r="U113" s="57"/>
    </row>
    <row r="114">
      <c r="A114" s="57"/>
      <c r="B114" s="59"/>
      <c r="C114" s="57"/>
      <c r="D114" s="59"/>
      <c r="E114" s="57"/>
      <c r="F114" s="59"/>
      <c r="G114" s="57"/>
      <c r="H114" s="59"/>
      <c r="I114" s="57"/>
      <c r="J114" s="59"/>
      <c r="K114" s="57"/>
      <c r="L114" s="59"/>
      <c r="M114" s="57"/>
      <c r="N114" s="59"/>
      <c r="O114" s="57"/>
      <c r="P114" s="63"/>
      <c r="Q114" s="57"/>
      <c r="R114" s="57"/>
      <c r="S114" s="57"/>
      <c r="T114" s="57"/>
      <c r="U114" s="57"/>
    </row>
    <row r="115">
      <c r="A115" s="57"/>
      <c r="B115" s="59"/>
      <c r="C115" s="57"/>
      <c r="D115" s="59"/>
      <c r="E115" s="57"/>
      <c r="F115" s="59"/>
      <c r="G115" s="57"/>
      <c r="H115" s="59"/>
      <c r="I115" s="57"/>
      <c r="J115" s="59"/>
      <c r="K115" s="57"/>
      <c r="L115" s="59"/>
      <c r="M115" s="57"/>
      <c r="N115" s="59"/>
      <c r="O115" s="57"/>
      <c r="P115" s="63"/>
      <c r="Q115" s="57"/>
      <c r="R115" s="57"/>
      <c r="S115" s="57"/>
      <c r="T115" s="57"/>
      <c r="U115" s="57"/>
    </row>
    <row r="116">
      <c r="A116" s="57"/>
      <c r="B116" s="59"/>
      <c r="C116" s="57"/>
      <c r="D116" s="59"/>
      <c r="E116" s="57"/>
      <c r="F116" s="59"/>
      <c r="G116" s="57"/>
      <c r="H116" s="59"/>
      <c r="I116" s="57"/>
      <c r="J116" s="59"/>
      <c r="K116" s="57"/>
      <c r="L116" s="59"/>
      <c r="M116" s="57"/>
      <c r="N116" s="59"/>
      <c r="O116" s="57"/>
      <c r="P116" s="63"/>
      <c r="Q116" s="57"/>
      <c r="R116" s="57"/>
      <c r="S116" s="57"/>
      <c r="T116" s="57"/>
      <c r="U116" s="57"/>
    </row>
    <row r="117">
      <c r="A117" s="57"/>
      <c r="B117" s="59"/>
      <c r="C117" s="57"/>
      <c r="D117" s="59"/>
      <c r="E117" s="57"/>
      <c r="F117" s="59"/>
      <c r="G117" s="57"/>
      <c r="H117" s="59"/>
      <c r="I117" s="57"/>
      <c r="J117" s="59"/>
      <c r="K117" s="57"/>
      <c r="L117" s="59"/>
      <c r="M117" s="57"/>
      <c r="N117" s="59"/>
      <c r="O117" s="57"/>
      <c r="P117" s="63"/>
      <c r="Q117" s="57"/>
      <c r="R117" s="57"/>
      <c r="S117" s="57"/>
      <c r="T117" s="57"/>
      <c r="U117" s="57"/>
    </row>
    <row r="118">
      <c r="A118" s="57"/>
      <c r="B118" s="59"/>
      <c r="C118" s="57"/>
      <c r="D118" s="59"/>
      <c r="E118" s="57"/>
      <c r="F118" s="59"/>
      <c r="G118" s="57"/>
      <c r="H118" s="59"/>
      <c r="I118" s="57"/>
      <c r="J118" s="59"/>
      <c r="K118" s="57"/>
      <c r="L118" s="59"/>
      <c r="M118" s="57"/>
      <c r="N118" s="59"/>
      <c r="O118" s="57"/>
      <c r="P118" s="63"/>
      <c r="Q118" s="57"/>
      <c r="R118" s="57"/>
      <c r="S118" s="57"/>
      <c r="T118" s="57"/>
      <c r="U118" s="57"/>
    </row>
    <row r="119">
      <c r="A119" s="57"/>
      <c r="B119" s="59"/>
      <c r="C119" s="57"/>
      <c r="D119" s="59"/>
      <c r="E119" s="57"/>
      <c r="F119" s="59"/>
      <c r="G119" s="57"/>
      <c r="H119" s="59"/>
      <c r="I119" s="57"/>
      <c r="J119" s="59"/>
      <c r="K119" s="57"/>
      <c r="L119" s="59"/>
      <c r="M119" s="57"/>
      <c r="N119" s="59"/>
      <c r="O119" s="57"/>
      <c r="P119" s="63"/>
      <c r="Q119" s="57"/>
      <c r="R119" s="57"/>
      <c r="S119" s="57"/>
      <c r="T119" s="57"/>
      <c r="U119" s="57"/>
    </row>
    <row r="120">
      <c r="A120" s="57"/>
      <c r="B120" s="59"/>
      <c r="C120" s="57"/>
      <c r="D120" s="59"/>
      <c r="E120" s="57"/>
      <c r="F120" s="59"/>
      <c r="G120" s="57"/>
      <c r="H120" s="59"/>
      <c r="I120" s="57"/>
      <c r="J120" s="59"/>
      <c r="K120" s="57"/>
      <c r="L120" s="59"/>
      <c r="M120" s="57"/>
      <c r="N120" s="59"/>
      <c r="O120" s="57"/>
      <c r="P120" s="63"/>
      <c r="Q120" s="57"/>
      <c r="R120" s="57"/>
      <c r="S120" s="57"/>
      <c r="T120" s="57"/>
      <c r="U120" s="57"/>
    </row>
    <row r="121">
      <c r="A121" s="57"/>
      <c r="B121" s="59"/>
      <c r="C121" s="57"/>
      <c r="D121" s="59"/>
      <c r="E121" s="57"/>
      <c r="F121" s="59"/>
      <c r="G121" s="57"/>
      <c r="H121" s="59"/>
      <c r="I121" s="57"/>
      <c r="J121" s="59"/>
      <c r="K121" s="57"/>
      <c r="L121" s="59"/>
      <c r="M121" s="57"/>
      <c r="N121" s="59"/>
      <c r="O121" s="57"/>
      <c r="P121" s="63"/>
      <c r="Q121" s="57"/>
      <c r="R121" s="57"/>
      <c r="S121" s="57"/>
      <c r="T121" s="57"/>
      <c r="U121" s="57"/>
    </row>
    <row r="122">
      <c r="A122" s="57"/>
      <c r="B122" s="59"/>
      <c r="C122" s="57"/>
      <c r="D122" s="59"/>
      <c r="E122" s="57"/>
      <c r="F122" s="59"/>
      <c r="G122" s="57"/>
      <c r="H122" s="59"/>
      <c r="I122" s="57"/>
      <c r="J122" s="59"/>
      <c r="K122" s="57"/>
      <c r="L122" s="59"/>
      <c r="M122" s="57"/>
      <c r="N122" s="59"/>
      <c r="O122" s="57"/>
      <c r="P122" s="63"/>
      <c r="Q122" s="57"/>
      <c r="R122" s="57"/>
      <c r="S122" s="57"/>
      <c r="T122" s="57"/>
      <c r="U122" s="57"/>
    </row>
    <row r="123">
      <c r="A123" s="57"/>
      <c r="B123" s="59"/>
      <c r="C123" s="57"/>
      <c r="D123" s="59"/>
      <c r="E123" s="57"/>
      <c r="F123" s="59"/>
      <c r="G123" s="57"/>
      <c r="H123" s="59"/>
      <c r="I123" s="57"/>
      <c r="J123" s="59"/>
      <c r="K123" s="57"/>
      <c r="L123" s="59"/>
      <c r="M123" s="57"/>
      <c r="N123" s="59"/>
      <c r="O123" s="57"/>
      <c r="P123" s="63"/>
      <c r="Q123" s="57"/>
      <c r="R123" s="57"/>
      <c r="S123" s="57"/>
      <c r="T123" s="57"/>
      <c r="U123" s="57"/>
    </row>
    <row r="124">
      <c r="A124" s="57"/>
      <c r="B124" s="59"/>
      <c r="C124" s="57"/>
      <c r="D124" s="59"/>
      <c r="E124" s="57"/>
      <c r="F124" s="59"/>
      <c r="G124" s="57"/>
      <c r="H124" s="59"/>
      <c r="I124" s="57"/>
      <c r="J124" s="59"/>
      <c r="K124" s="57"/>
      <c r="L124" s="59"/>
      <c r="M124" s="57"/>
      <c r="N124" s="59"/>
      <c r="O124" s="57"/>
      <c r="P124" s="63"/>
      <c r="Q124" s="57"/>
      <c r="R124" s="57"/>
      <c r="S124" s="57"/>
      <c r="T124" s="57"/>
      <c r="U124" s="57"/>
    </row>
    <row r="125">
      <c r="A125" s="57"/>
      <c r="B125" s="59"/>
      <c r="C125" s="57"/>
      <c r="D125" s="59"/>
      <c r="E125" s="57"/>
      <c r="F125" s="59"/>
      <c r="G125" s="57"/>
      <c r="H125" s="59"/>
      <c r="I125" s="57"/>
      <c r="J125" s="59"/>
      <c r="K125" s="57"/>
      <c r="L125" s="59"/>
      <c r="M125" s="57"/>
      <c r="N125" s="59"/>
      <c r="O125" s="57"/>
      <c r="P125" s="63"/>
      <c r="Q125" s="57"/>
      <c r="R125" s="57"/>
      <c r="S125" s="57"/>
      <c r="T125" s="57"/>
      <c r="U125" s="57"/>
    </row>
    <row r="126">
      <c r="A126" s="57"/>
      <c r="B126" s="59"/>
      <c r="C126" s="57"/>
      <c r="D126" s="59"/>
      <c r="E126" s="57"/>
      <c r="F126" s="59"/>
      <c r="G126" s="57"/>
      <c r="H126" s="59"/>
      <c r="I126" s="57"/>
      <c r="J126" s="59"/>
      <c r="K126" s="57"/>
      <c r="L126" s="59"/>
      <c r="M126" s="57"/>
      <c r="N126" s="59"/>
      <c r="O126" s="57"/>
      <c r="P126" s="63"/>
      <c r="Q126" s="57"/>
      <c r="R126" s="57"/>
      <c r="S126" s="57"/>
      <c r="T126" s="57"/>
      <c r="U126" s="57"/>
    </row>
    <row r="127">
      <c r="A127" s="57"/>
      <c r="B127" s="59"/>
      <c r="C127" s="57"/>
      <c r="D127" s="59"/>
      <c r="E127" s="57"/>
      <c r="F127" s="59"/>
      <c r="G127" s="57"/>
      <c r="H127" s="59"/>
      <c r="I127" s="57"/>
      <c r="J127" s="59"/>
      <c r="K127" s="57"/>
      <c r="L127" s="59"/>
      <c r="M127" s="57"/>
      <c r="N127" s="59"/>
      <c r="O127" s="57"/>
      <c r="P127" s="63"/>
      <c r="Q127" s="57"/>
      <c r="R127" s="57"/>
      <c r="S127" s="57"/>
      <c r="T127" s="57"/>
      <c r="U127" s="57"/>
    </row>
    <row r="128">
      <c r="A128" s="57"/>
      <c r="B128" s="59"/>
      <c r="C128" s="57"/>
      <c r="D128" s="59"/>
      <c r="E128" s="57"/>
      <c r="F128" s="59"/>
      <c r="G128" s="57"/>
      <c r="H128" s="59"/>
      <c r="I128" s="57"/>
      <c r="J128" s="59"/>
      <c r="K128" s="57"/>
      <c r="L128" s="59"/>
      <c r="M128" s="57"/>
      <c r="N128" s="59"/>
      <c r="O128" s="57"/>
      <c r="P128" s="63"/>
      <c r="Q128" s="57"/>
      <c r="R128" s="57"/>
      <c r="S128" s="57"/>
      <c r="T128" s="57"/>
      <c r="U128" s="57"/>
    </row>
    <row r="129">
      <c r="A129" s="57"/>
      <c r="B129" s="59"/>
      <c r="C129" s="57"/>
      <c r="D129" s="59"/>
      <c r="E129" s="57"/>
      <c r="F129" s="59"/>
      <c r="G129" s="57"/>
      <c r="H129" s="59"/>
      <c r="I129" s="57"/>
      <c r="J129" s="59"/>
      <c r="K129" s="57"/>
      <c r="L129" s="59"/>
      <c r="M129" s="57"/>
      <c r="N129" s="59"/>
      <c r="O129" s="57"/>
      <c r="P129" s="63"/>
      <c r="Q129" s="57"/>
      <c r="R129" s="57"/>
      <c r="S129" s="57"/>
      <c r="T129" s="57"/>
      <c r="U129" s="57"/>
    </row>
    <row r="130">
      <c r="A130" s="57"/>
      <c r="B130" s="59"/>
      <c r="C130" s="57"/>
      <c r="D130" s="59"/>
      <c r="E130" s="57"/>
      <c r="F130" s="59"/>
      <c r="G130" s="57"/>
      <c r="H130" s="59"/>
      <c r="I130" s="57"/>
      <c r="J130" s="59"/>
      <c r="K130" s="57"/>
      <c r="L130" s="59"/>
      <c r="M130" s="57"/>
      <c r="N130" s="59"/>
      <c r="O130" s="57"/>
      <c r="P130" s="63"/>
      <c r="Q130" s="57"/>
      <c r="R130" s="57"/>
      <c r="S130" s="57"/>
      <c r="T130" s="57"/>
      <c r="U130" s="57"/>
    </row>
    <row r="131">
      <c r="A131" s="57"/>
      <c r="B131" s="59"/>
      <c r="C131" s="57"/>
      <c r="D131" s="59"/>
      <c r="E131" s="57"/>
      <c r="F131" s="59"/>
      <c r="G131" s="57"/>
      <c r="H131" s="59"/>
      <c r="I131" s="57"/>
      <c r="J131" s="59"/>
      <c r="K131" s="57"/>
      <c r="L131" s="59"/>
      <c r="M131" s="57"/>
      <c r="N131" s="59"/>
      <c r="O131" s="57"/>
      <c r="P131" s="63"/>
      <c r="Q131" s="57"/>
      <c r="R131" s="57"/>
      <c r="S131" s="57"/>
      <c r="T131" s="57"/>
      <c r="U131" s="57"/>
    </row>
    <row r="132">
      <c r="A132" s="57"/>
      <c r="B132" s="59"/>
      <c r="C132" s="57"/>
      <c r="D132" s="59"/>
      <c r="E132" s="57"/>
      <c r="F132" s="59"/>
      <c r="G132" s="57"/>
      <c r="H132" s="59"/>
      <c r="I132" s="57"/>
      <c r="J132" s="59"/>
      <c r="K132" s="57"/>
      <c r="L132" s="59"/>
      <c r="M132" s="57"/>
      <c r="N132" s="59"/>
      <c r="O132" s="57"/>
      <c r="P132" s="63"/>
      <c r="Q132" s="57"/>
      <c r="R132" s="57"/>
      <c r="S132" s="57"/>
      <c r="T132" s="57"/>
      <c r="U132" s="57"/>
    </row>
    <row r="133">
      <c r="A133" s="57"/>
      <c r="B133" s="59"/>
      <c r="C133" s="57"/>
      <c r="D133" s="59"/>
      <c r="E133" s="57"/>
      <c r="F133" s="59"/>
      <c r="G133" s="57"/>
      <c r="H133" s="59"/>
      <c r="I133" s="57"/>
      <c r="J133" s="59"/>
      <c r="K133" s="57"/>
      <c r="L133" s="59"/>
      <c r="M133" s="57"/>
      <c r="N133" s="59"/>
      <c r="O133" s="57"/>
      <c r="P133" s="63"/>
      <c r="Q133" s="57"/>
      <c r="R133" s="57"/>
      <c r="S133" s="57"/>
      <c r="T133" s="57"/>
      <c r="U133" s="57"/>
    </row>
    <row r="134">
      <c r="A134" s="57"/>
      <c r="B134" s="59"/>
      <c r="C134" s="57"/>
      <c r="D134" s="59"/>
      <c r="E134" s="57"/>
      <c r="F134" s="59"/>
      <c r="G134" s="57"/>
      <c r="H134" s="59"/>
      <c r="I134" s="57"/>
      <c r="J134" s="59"/>
      <c r="K134" s="57"/>
      <c r="L134" s="59"/>
      <c r="M134" s="57"/>
      <c r="N134" s="59"/>
      <c r="O134" s="57"/>
      <c r="P134" s="63"/>
      <c r="Q134" s="57"/>
      <c r="R134" s="57"/>
      <c r="S134" s="57"/>
      <c r="T134" s="57"/>
      <c r="U134" s="57"/>
    </row>
    <row r="135">
      <c r="A135" s="57"/>
      <c r="B135" s="59"/>
      <c r="C135" s="57"/>
      <c r="D135" s="59"/>
      <c r="E135" s="57"/>
      <c r="F135" s="59"/>
      <c r="G135" s="57"/>
      <c r="H135" s="59"/>
      <c r="I135" s="57"/>
      <c r="J135" s="59"/>
      <c r="K135" s="57"/>
      <c r="L135" s="59"/>
      <c r="M135" s="57"/>
      <c r="N135" s="59"/>
      <c r="O135" s="57"/>
      <c r="P135" s="63"/>
      <c r="Q135" s="57"/>
      <c r="R135" s="57"/>
      <c r="S135" s="57"/>
      <c r="T135" s="57"/>
      <c r="U135" s="57"/>
    </row>
    <row r="136">
      <c r="A136" s="57"/>
      <c r="B136" s="59"/>
      <c r="C136" s="57"/>
      <c r="D136" s="59"/>
      <c r="E136" s="57"/>
      <c r="F136" s="59"/>
      <c r="G136" s="57"/>
      <c r="H136" s="59"/>
      <c r="I136" s="57"/>
      <c r="J136" s="59"/>
      <c r="K136" s="57"/>
      <c r="L136" s="59"/>
      <c r="M136" s="57"/>
      <c r="N136" s="59"/>
      <c r="O136" s="57"/>
      <c r="P136" s="63"/>
      <c r="Q136" s="57"/>
      <c r="R136" s="57"/>
      <c r="S136" s="57"/>
      <c r="T136" s="57"/>
      <c r="U136" s="57"/>
    </row>
    <row r="137">
      <c r="A137" s="57"/>
      <c r="B137" s="59"/>
      <c r="C137" s="57"/>
      <c r="D137" s="59"/>
      <c r="E137" s="57"/>
      <c r="F137" s="59"/>
      <c r="G137" s="57"/>
      <c r="H137" s="59"/>
      <c r="I137" s="57"/>
      <c r="J137" s="59"/>
      <c r="K137" s="57"/>
      <c r="L137" s="59"/>
      <c r="M137" s="57"/>
      <c r="N137" s="59"/>
      <c r="O137" s="57"/>
      <c r="P137" s="63"/>
      <c r="Q137" s="57"/>
      <c r="R137" s="57"/>
      <c r="S137" s="57"/>
      <c r="T137" s="57"/>
      <c r="U137" s="57"/>
    </row>
    <row r="138">
      <c r="A138" s="57"/>
      <c r="B138" s="59"/>
      <c r="C138" s="57"/>
      <c r="D138" s="59"/>
      <c r="E138" s="57"/>
      <c r="F138" s="59"/>
      <c r="G138" s="57"/>
      <c r="H138" s="59"/>
      <c r="I138" s="57"/>
      <c r="J138" s="59"/>
      <c r="K138" s="57"/>
      <c r="L138" s="59"/>
      <c r="M138" s="57"/>
      <c r="N138" s="59"/>
      <c r="O138" s="57"/>
      <c r="P138" s="63"/>
      <c r="Q138" s="57"/>
      <c r="R138" s="57"/>
      <c r="S138" s="57"/>
      <c r="T138" s="57"/>
      <c r="U138" s="57"/>
    </row>
    <row r="139">
      <c r="A139" s="57"/>
      <c r="B139" s="59"/>
      <c r="C139" s="57"/>
      <c r="D139" s="59"/>
      <c r="E139" s="57"/>
      <c r="F139" s="59"/>
      <c r="G139" s="57"/>
      <c r="H139" s="59"/>
      <c r="I139" s="57"/>
      <c r="J139" s="59"/>
      <c r="K139" s="57"/>
      <c r="L139" s="59"/>
      <c r="M139" s="57"/>
      <c r="N139" s="59"/>
      <c r="O139" s="57"/>
      <c r="P139" s="63"/>
      <c r="Q139" s="57"/>
      <c r="R139" s="57"/>
      <c r="S139" s="57"/>
      <c r="T139" s="57"/>
      <c r="U139" s="57"/>
    </row>
    <row r="140">
      <c r="A140" s="57"/>
      <c r="B140" s="59"/>
      <c r="C140" s="57"/>
      <c r="D140" s="59"/>
      <c r="E140" s="57"/>
      <c r="F140" s="59"/>
      <c r="G140" s="57"/>
      <c r="H140" s="59"/>
      <c r="I140" s="57"/>
      <c r="J140" s="59"/>
      <c r="K140" s="57"/>
      <c r="L140" s="59"/>
      <c r="M140" s="57"/>
      <c r="N140" s="59"/>
      <c r="O140" s="57"/>
      <c r="P140" s="63"/>
      <c r="Q140" s="57"/>
      <c r="R140" s="57"/>
      <c r="S140" s="57"/>
      <c r="T140" s="57"/>
      <c r="U140" s="57"/>
    </row>
    <row r="141">
      <c r="A141" s="57"/>
      <c r="B141" s="59"/>
      <c r="C141" s="57"/>
      <c r="D141" s="59"/>
      <c r="E141" s="57"/>
      <c r="F141" s="59"/>
      <c r="G141" s="57"/>
      <c r="H141" s="59"/>
      <c r="I141" s="57"/>
      <c r="J141" s="59"/>
      <c r="K141" s="57"/>
      <c r="L141" s="59"/>
      <c r="M141" s="57"/>
      <c r="N141" s="59"/>
      <c r="O141" s="57"/>
      <c r="P141" s="63"/>
      <c r="Q141" s="57"/>
      <c r="R141" s="57"/>
      <c r="S141" s="57"/>
      <c r="T141" s="57"/>
      <c r="U141" s="57"/>
    </row>
    <row r="142">
      <c r="A142" s="57"/>
      <c r="B142" s="59"/>
      <c r="C142" s="57"/>
      <c r="D142" s="59"/>
      <c r="E142" s="57"/>
      <c r="F142" s="59"/>
      <c r="G142" s="57"/>
      <c r="H142" s="59"/>
      <c r="I142" s="57"/>
      <c r="J142" s="59"/>
      <c r="K142" s="57"/>
      <c r="L142" s="59"/>
      <c r="M142" s="57"/>
      <c r="N142" s="59"/>
      <c r="O142" s="57"/>
      <c r="P142" s="63"/>
      <c r="Q142" s="57"/>
      <c r="R142" s="57"/>
      <c r="S142" s="57"/>
      <c r="T142" s="57"/>
      <c r="U142" s="57"/>
    </row>
    <row r="143">
      <c r="A143" s="57"/>
      <c r="B143" s="59"/>
      <c r="C143" s="57"/>
      <c r="D143" s="59"/>
      <c r="E143" s="57"/>
      <c r="F143" s="59"/>
      <c r="G143" s="57"/>
      <c r="H143" s="59"/>
      <c r="I143" s="57"/>
      <c r="J143" s="59"/>
      <c r="K143" s="57"/>
      <c r="L143" s="59"/>
      <c r="M143" s="57"/>
      <c r="N143" s="59"/>
      <c r="O143" s="57"/>
      <c r="P143" s="63"/>
      <c r="Q143" s="57"/>
      <c r="R143" s="57"/>
      <c r="S143" s="57"/>
      <c r="T143" s="57"/>
      <c r="U143" s="57"/>
    </row>
    <row r="144">
      <c r="A144" s="57"/>
      <c r="B144" s="59"/>
      <c r="C144" s="57"/>
      <c r="D144" s="59"/>
      <c r="E144" s="57"/>
      <c r="F144" s="59"/>
      <c r="G144" s="57"/>
      <c r="H144" s="59"/>
      <c r="I144" s="57"/>
      <c r="J144" s="59"/>
      <c r="K144" s="57"/>
      <c r="L144" s="59"/>
      <c r="M144" s="57"/>
      <c r="N144" s="59"/>
      <c r="O144" s="57"/>
      <c r="P144" s="63"/>
      <c r="Q144" s="57"/>
      <c r="R144" s="57"/>
      <c r="S144" s="57"/>
      <c r="T144" s="57"/>
      <c r="U144" s="57"/>
    </row>
    <row r="145">
      <c r="A145" s="57"/>
      <c r="B145" s="59"/>
      <c r="C145" s="57"/>
      <c r="D145" s="59"/>
      <c r="E145" s="57"/>
      <c r="F145" s="59"/>
      <c r="G145" s="57"/>
      <c r="H145" s="59"/>
      <c r="I145" s="57"/>
      <c r="J145" s="59"/>
      <c r="K145" s="57"/>
      <c r="L145" s="59"/>
      <c r="M145" s="57"/>
      <c r="N145" s="59"/>
      <c r="O145" s="57"/>
      <c r="P145" s="63"/>
      <c r="Q145" s="57"/>
      <c r="R145" s="57"/>
      <c r="S145" s="57"/>
      <c r="T145" s="57"/>
      <c r="U145" s="57"/>
    </row>
    <row r="146">
      <c r="A146" s="57"/>
      <c r="B146" s="59"/>
      <c r="C146" s="57"/>
      <c r="D146" s="59"/>
      <c r="E146" s="57"/>
      <c r="F146" s="59"/>
      <c r="G146" s="57"/>
      <c r="H146" s="59"/>
      <c r="I146" s="57"/>
      <c r="J146" s="59"/>
      <c r="K146" s="57"/>
      <c r="L146" s="59"/>
      <c r="M146" s="57"/>
      <c r="N146" s="59"/>
      <c r="O146" s="57"/>
      <c r="P146" s="63"/>
      <c r="Q146" s="57"/>
      <c r="R146" s="57"/>
      <c r="S146" s="57"/>
      <c r="T146" s="57"/>
      <c r="U146" s="57"/>
    </row>
    <row r="147">
      <c r="A147" s="57"/>
      <c r="B147" s="59"/>
      <c r="C147" s="57"/>
      <c r="D147" s="59"/>
      <c r="E147" s="57"/>
      <c r="F147" s="59"/>
      <c r="G147" s="57"/>
      <c r="H147" s="59"/>
      <c r="I147" s="57"/>
      <c r="J147" s="59"/>
      <c r="K147" s="57"/>
      <c r="L147" s="59"/>
      <c r="M147" s="57"/>
      <c r="N147" s="59"/>
      <c r="O147" s="57"/>
      <c r="P147" s="63"/>
      <c r="Q147" s="57"/>
      <c r="R147" s="57"/>
      <c r="S147" s="57"/>
      <c r="T147" s="57"/>
      <c r="U147" s="57"/>
    </row>
    <row r="148">
      <c r="A148" s="57"/>
      <c r="B148" s="59"/>
      <c r="C148" s="57"/>
      <c r="D148" s="59"/>
      <c r="E148" s="57"/>
      <c r="F148" s="59"/>
      <c r="G148" s="57"/>
      <c r="H148" s="59"/>
      <c r="I148" s="57"/>
      <c r="J148" s="59"/>
      <c r="K148" s="57"/>
      <c r="L148" s="59"/>
      <c r="M148" s="57"/>
      <c r="N148" s="59"/>
      <c r="O148" s="57"/>
      <c r="P148" s="63"/>
      <c r="Q148" s="57"/>
      <c r="R148" s="57"/>
      <c r="S148" s="57"/>
      <c r="T148" s="57"/>
      <c r="U148" s="57"/>
    </row>
    <row r="149">
      <c r="A149" s="57"/>
      <c r="B149" s="59"/>
      <c r="C149" s="57"/>
      <c r="D149" s="59"/>
      <c r="E149" s="57"/>
      <c r="F149" s="59"/>
      <c r="G149" s="57"/>
      <c r="H149" s="59"/>
      <c r="I149" s="57"/>
      <c r="J149" s="59"/>
      <c r="K149" s="57"/>
      <c r="L149" s="59"/>
      <c r="M149" s="57"/>
      <c r="N149" s="59"/>
      <c r="O149" s="57"/>
      <c r="P149" s="63"/>
      <c r="Q149" s="57"/>
      <c r="R149" s="57"/>
      <c r="S149" s="57"/>
      <c r="T149" s="57"/>
      <c r="U149" s="57"/>
    </row>
    <row r="150">
      <c r="A150" s="57"/>
      <c r="B150" s="59"/>
      <c r="C150" s="57"/>
      <c r="D150" s="59"/>
      <c r="E150" s="57"/>
      <c r="F150" s="59"/>
      <c r="G150" s="57"/>
      <c r="H150" s="59"/>
      <c r="I150" s="57"/>
      <c r="J150" s="59"/>
      <c r="K150" s="57"/>
      <c r="L150" s="59"/>
      <c r="M150" s="57"/>
      <c r="N150" s="59"/>
      <c r="O150" s="57"/>
      <c r="P150" s="63"/>
      <c r="Q150" s="57"/>
      <c r="R150" s="57"/>
      <c r="S150" s="57"/>
      <c r="T150" s="57"/>
      <c r="U150" s="57"/>
    </row>
    <row r="151">
      <c r="A151" s="57"/>
      <c r="B151" s="59"/>
      <c r="C151" s="57"/>
      <c r="D151" s="59"/>
      <c r="E151" s="57"/>
      <c r="F151" s="59"/>
      <c r="G151" s="57"/>
      <c r="H151" s="59"/>
      <c r="I151" s="57"/>
      <c r="J151" s="59"/>
      <c r="K151" s="57"/>
      <c r="L151" s="59"/>
      <c r="M151" s="57"/>
      <c r="N151" s="59"/>
      <c r="O151" s="57"/>
      <c r="P151" s="63"/>
      <c r="Q151" s="57"/>
      <c r="R151" s="57"/>
      <c r="S151" s="57"/>
      <c r="T151" s="57"/>
      <c r="U151" s="57"/>
    </row>
    <row r="152">
      <c r="A152" s="57"/>
      <c r="B152" s="59"/>
      <c r="C152" s="57"/>
      <c r="D152" s="59"/>
      <c r="E152" s="57"/>
      <c r="F152" s="59"/>
      <c r="G152" s="57"/>
      <c r="H152" s="59"/>
      <c r="I152" s="57"/>
      <c r="J152" s="59"/>
      <c r="K152" s="57"/>
      <c r="L152" s="59"/>
      <c r="M152" s="57"/>
      <c r="N152" s="59"/>
      <c r="O152" s="57"/>
      <c r="P152" s="63"/>
      <c r="Q152" s="57"/>
      <c r="R152" s="57"/>
      <c r="S152" s="57"/>
      <c r="T152" s="57"/>
      <c r="U152" s="57"/>
    </row>
    <row r="153">
      <c r="A153" s="57"/>
      <c r="B153" s="59"/>
      <c r="C153" s="57"/>
      <c r="D153" s="59"/>
      <c r="E153" s="57"/>
      <c r="F153" s="59"/>
      <c r="G153" s="57"/>
      <c r="H153" s="59"/>
      <c r="I153" s="57"/>
      <c r="J153" s="59"/>
      <c r="K153" s="57"/>
      <c r="L153" s="59"/>
      <c r="M153" s="57"/>
      <c r="N153" s="59"/>
      <c r="O153" s="57"/>
      <c r="P153" s="63"/>
      <c r="Q153" s="57"/>
      <c r="R153" s="57"/>
      <c r="S153" s="57"/>
      <c r="T153" s="57"/>
      <c r="U153" s="57"/>
    </row>
    <row r="154">
      <c r="A154" s="57"/>
      <c r="B154" s="59"/>
      <c r="C154" s="57"/>
      <c r="D154" s="59"/>
      <c r="E154" s="57"/>
      <c r="F154" s="59"/>
      <c r="G154" s="57"/>
      <c r="H154" s="59"/>
      <c r="I154" s="57"/>
      <c r="J154" s="59"/>
      <c r="K154" s="57"/>
      <c r="L154" s="59"/>
      <c r="M154" s="57"/>
      <c r="N154" s="59"/>
      <c r="O154" s="57"/>
      <c r="P154" s="63"/>
      <c r="Q154" s="57"/>
      <c r="R154" s="57"/>
      <c r="S154" s="57"/>
      <c r="T154" s="57"/>
      <c r="U154" s="57"/>
    </row>
    <row r="155">
      <c r="A155" s="57"/>
      <c r="B155" s="59"/>
      <c r="C155" s="57"/>
      <c r="D155" s="59"/>
      <c r="E155" s="57"/>
      <c r="F155" s="59"/>
      <c r="G155" s="57"/>
      <c r="H155" s="59"/>
      <c r="I155" s="57"/>
      <c r="J155" s="59"/>
      <c r="K155" s="57"/>
      <c r="L155" s="59"/>
      <c r="M155" s="57"/>
      <c r="N155" s="59"/>
      <c r="O155" s="57"/>
      <c r="P155" s="63"/>
      <c r="Q155" s="57"/>
      <c r="R155" s="57"/>
      <c r="S155" s="57"/>
      <c r="T155" s="57"/>
      <c r="U155" s="57"/>
    </row>
    <row r="156">
      <c r="A156" s="57"/>
      <c r="B156" s="59"/>
      <c r="C156" s="57"/>
      <c r="D156" s="59"/>
      <c r="E156" s="57"/>
      <c r="F156" s="59"/>
      <c r="G156" s="57"/>
      <c r="H156" s="59"/>
      <c r="I156" s="57"/>
      <c r="J156" s="59"/>
      <c r="K156" s="57"/>
      <c r="L156" s="59"/>
      <c r="M156" s="57"/>
      <c r="N156" s="59"/>
      <c r="O156" s="57"/>
      <c r="P156" s="63"/>
      <c r="Q156" s="57"/>
      <c r="R156" s="57"/>
      <c r="S156" s="57"/>
      <c r="T156" s="57"/>
      <c r="U156" s="57"/>
    </row>
    <row r="157">
      <c r="A157" s="57"/>
      <c r="B157" s="59"/>
      <c r="C157" s="57"/>
      <c r="D157" s="59"/>
      <c r="E157" s="57"/>
      <c r="F157" s="59"/>
      <c r="G157" s="57"/>
      <c r="H157" s="59"/>
      <c r="I157" s="57"/>
      <c r="J157" s="59"/>
      <c r="K157" s="57"/>
      <c r="L157" s="59"/>
      <c r="M157" s="57"/>
      <c r="N157" s="59"/>
      <c r="O157" s="57"/>
      <c r="P157" s="63"/>
      <c r="Q157" s="57"/>
      <c r="R157" s="57"/>
      <c r="S157" s="57"/>
      <c r="T157" s="57"/>
      <c r="U157" s="57"/>
    </row>
    <row r="158">
      <c r="A158" s="57"/>
      <c r="B158" s="59"/>
      <c r="C158" s="57"/>
      <c r="D158" s="59"/>
      <c r="E158" s="57"/>
      <c r="F158" s="59"/>
      <c r="G158" s="57"/>
      <c r="H158" s="59"/>
      <c r="I158" s="57"/>
      <c r="J158" s="59"/>
      <c r="K158" s="57"/>
      <c r="L158" s="59"/>
      <c r="M158" s="57"/>
      <c r="N158" s="59"/>
      <c r="O158" s="57"/>
      <c r="P158" s="63"/>
      <c r="Q158" s="57"/>
      <c r="R158" s="57"/>
      <c r="S158" s="57"/>
      <c r="T158" s="57"/>
      <c r="U158" s="57"/>
    </row>
    <row r="159">
      <c r="A159" s="57"/>
      <c r="B159" s="59"/>
      <c r="C159" s="57"/>
      <c r="D159" s="59"/>
      <c r="E159" s="57"/>
      <c r="F159" s="59"/>
      <c r="G159" s="57"/>
      <c r="H159" s="59"/>
      <c r="I159" s="57"/>
      <c r="J159" s="59"/>
      <c r="K159" s="57"/>
      <c r="L159" s="59"/>
      <c r="M159" s="57"/>
      <c r="N159" s="59"/>
      <c r="O159" s="57"/>
      <c r="P159" s="63"/>
      <c r="Q159" s="57"/>
      <c r="R159" s="57"/>
      <c r="S159" s="57"/>
      <c r="T159" s="57"/>
      <c r="U159" s="57"/>
    </row>
    <row r="160">
      <c r="A160" s="57"/>
      <c r="B160" s="59"/>
      <c r="C160" s="57"/>
      <c r="D160" s="59"/>
      <c r="E160" s="57"/>
      <c r="F160" s="59"/>
      <c r="G160" s="57"/>
      <c r="H160" s="59"/>
      <c r="I160" s="57"/>
      <c r="J160" s="59"/>
      <c r="K160" s="57"/>
      <c r="L160" s="59"/>
      <c r="M160" s="57"/>
      <c r="N160" s="59"/>
      <c r="O160" s="57"/>
      <c r="P160" s="63"/>
      <c r="Q160" s="57"/>
      <c r="R160" s="57"/>
      <c r="S160" s="57"/>
      <c r="T160" s="57"/>
      <c r="U160" s="57"/>
    </row>
    <row r="161">
      <c r="A161" s="57"/>
      <c r="B161" s="59"/>
      <c r="C161" s="57"/>
      <c r="D161" s="59"/>
      <c r="E161" s="57"/>
      <c r="F161" s="59"/>
      <c r="G161" s="57"/>
      <c r="H161" s="59"/>
      <c r="I161" s="57"/>
      <c r="J161" s="59"/>
      <c r="K161" s="57"/>
      <c r="L161" s="59"/>
      <c r="M161" s="57"/>
      <c r="N161" s="59"/>
      <c r="O161" s="57"/>
      <c r="P161" s="63"/>
      <c r="Q161" s="57"/>
      <c r="R161" s="57"/>
      <c r="S161" s="57"/>
      <c r="T161" s="57"/>
      <c r="U161" s="57"/>
    </row>
    <row r="162">
      <c r="A162" s="57"/>
      <c r="B162" s="59"/>
      <c r="C162" s="57"/>
      <c r="D162" s="59"/>
      <c r="E162" s="57"/>
      <c r="F162" s="59"/>
      <c r="G162" s="57"/>
      <c r="H162" s="59"/>
      <c r="I162" s="57"/>
      <c r="J162" s="59"/>
      <c r="K162" s="57"/>
      <c r="L162" s="59"/>
      <c r="M162" s="57"/>
      <c r="N162" s="59"/>
      <c r="O162" s="57"/>
      <c r="P162" s="63"/>
      <c r="Q162" s="57"/>
      <c r="R162" s="57"/>
      <c r="S162" s="57"/>
      <c r="T162" s="57"/>
      <c r="U162" s="57"/>
    </row>
    <row r="163">
      <c r="A163" s="57"/>
      <c r="B163" s="59"/>
      <c r="C163" s="57"/>
      <c r="D163" s="59"/>
      <c r="E163" s="57"/>
      <c r="F163" s="59"/>
      <c r="G163" s="57"/>
      <c r="H163" s="59"/>
      <c r="I163" s="57"/>
      <c r="J163" s="59"/>
      <c r="K163" s="57"/>
      <c r="L163" s="59"/>
      <c r="M163" s="57"/>
      <c r="N163" s="59"/>
      <c r="O163" s="57"/>
      <c r="P163" s="63"/>
      <c r="Q163" s="57"/>
      <c r="R163" s="57"/>
      <c r="S163" s="57"/>
      <c r="T163" s="57"/>
      <c r="U163" s="57"/>
    </row>
    <row r="164">
      <c r="A164" s="57"/>
      <c r="B164" s="59"/>
      <c r="C164" s="57"/>
      <c r="D164" s="59"/>
      <c r="E164" s="57"/>
      <c r="F164" s="59"/>
      <c r="G164" s="57"/>
      <c r="H164" s="59"/>
      <c r="I164" s="57"/>
      <c r="J164" s="59"/>
      <c r="K164" s="57"/>
      <c r="L164" s="59"/>
      <c r="M164" s="57"/>
      <c r="N164" s="59"/>
      <c r="O164" s="57"/>
      <c r="P164" s="63"/>
      <c r="Q164" s="57"/>
      <c r="R164" s="57"/>
      <c r="S164" s="57"/>
      <c r="T164" s="57"/>
      <c r="U164" s="57"/>
    </row>
    <row r="165">
      <c r="A165" s="57"/>
      <c r="B165" s="59"/>
      <c r="C165" s="57"/>
      <c r="D165" s="59"/>
      <c r="E165" s="57"/>
      <c r="F165" s="59"/>
      <c r="G165" s="57"/>
      <c r="H165" s="59"/>
      <c r="I165" s="57"/>
      <c r="J165" s="59"/>
      <c r="K165" s="57"/>
      <c r="L165" s="59"/>
      <c r="M165" s="57"/>
      <c r="N165" s="59"/>
      <c r="O165" s="57"/>
      <c r="P165" s="63"/>
      <c r="Q165" s="57"/>
      <c r="R165" s="57"/>
      <c r="S165" s="57"/>
      <c r="T165" s="57"/>
      <c r="U165" s="57"/>
    </row>
    <row r="166">
      <c r="A166" s="57"/>
      <c r="B166" s="59"/>
      <c r="C166" s="57"/>
      <c r="D166" s="59"/>
      <c r="E166" s="57"/>
      <c r="F166" s="59"/>
      <c r="G166" s="57"/>
      <c r="H166" s="59"/>
      <c r="I166" s="57"/>
      <c r="J166" s="59"/>
      <c r="K166" s="57"/>
      <c r="L166" s="59"/>
      <c r="M166" s="57"/>
      <c r="N166" s="59"/>
      <c r="O166" s="57"/>
      <c r="P166" s="63"/>
      <c r="Q166" s="57"/>
      <c r="R166" s="57"/>
      <c r="S166" s="57"/>
      <c r="T166" s="57"/>
      <c r="U166" s="57"/>
    </row>
    <row r="167">
      <c r="A167" s="57"/>
      <c r="B167" s="59"/>
      <c r="C167" s="57"/>
      <c r="D167" s="59"/>
      <c r="E167" s="57"/>
      <c r="F167" s="59"/>
      <c r="G167" s="57"/>
      <c r="H167" s="59"/>
      <c r="I167" s="57"/>
      <c r="J167" s="59"/>
      <c r="K167" s="57"/>
      <c r="L167" s="59"/>
      <c r="M167" s="57"/>
      <c r="N167" s="59"/>
      <c r="O167" s="57"/>
      <c r="P167" s="63"/>
      <c r="Q167" s="57"/>
      <c r="R167" s="57"/>
      <c r="S167" s="57"/>
      <c r="T167" s="57"/>
      <c r="U167" s="57"/>
    </row>
    <row r="168">
      <c r="A168" s="57"/>
      <c r="B168" s="59"/>
      <c r="C168" s="57"/>
      <c r="D168" s="59"/>
      <c r="E168" s="57"/>
      <c r="F168" s="59"/>
      <c r="G168" s="57"/>
      <c r="H168" s="59"/>
      <c r="I168" s="57"/>
      <c r="J168" s="59"/>
      <c r="K168" s="57"/>
      <c r="L168" s="59"/>
      <c r="M168" s="57"/>
      <c r="N168" s="59"/>
      <c r="O168" s="57"/>
      <c r="P168" s="63"/>
      <c r="Q168" s="57"/>
      <c r="R168" s="57"/>
      <c r="S168" s="57"/>
      <c r="T168" s="57"/>
      <c r="U168" s="57"/>
    </row>
    <row r="169">
      <c r="A169" s="57"/>
      <c r="B169" s="59"/>
      <c r="C169" s="57"/>
      <c r="D169" s="59"/>
      <c r="E169" s="57"/>
      <c r="F169" s="59"/>
      <c r="G169" s="57"/>
      <c r="H169" s="59"/>
      <c r="I169" s="57"/>
      <c r="J169" s="59"/>
      <c r="K169" s="57"/>
      <c r="L169" s="59"/>
      <c r="M169" s="57"/>
      <c r="N169" s="59"/>
      <c r="O169" s="57"/>
      <c r="P169" s="63"/>
      <c r="Q169" s="57"/>
      <c r="R169" s="57"/>
      <c r="S169" s="57"/>
      <c r="T169" s="57"/>
      <c r="U169" s="57"/>
    </row>
    <row r="170">
      <c r="A170" s="57"/>
      <c r="B170" s="59"/>
      <c r="C170" s="57"/>
      <c r="D170" s="59"/>
      <c r="E170" s="57"/>
      <c r="F170" s="59"/>
      <c r="G170" s="57"/>
      <c r="H170" s="59"/>
      <c r="I170" s="57"/>
      <c r="J170" s="59"/>
      <c r="K170" s="57"/>
      <c r="L170" s="59"/>
      <c r="M170" s="57"/>
      <c r="N170" s="59"/>
      <c r="O170" s="57"/>
      <c r="P170" s="63"/>
      <c r="Q170" s="57"/>
      <c r="R170" s="57"/>
      <c r="S170" s="57"/>
      <c r="T170" s="57"/>
      <c r="U170" s="57"/>
    </row>
    <row r="171">
      <c r="A171" s="57"/>
      <c r="B171" s="59"/>
      <c r="C171" s="57"/>
      <c r="D171" s="59"/>
      <c r="E171" s="57"/>
      <c r="F171" s="59"/>
      <c r="G171" s="57"/>
      <c r="H171" s="59"/>
      <c r="I171" s="57"/>
      <c r="J171" s="59"/>
      <c r="K171" s="57"/>
      <c r="L171" s="59"/>
      <c r="M171" s="57"/>
      <c r="N171" s="59"/>
      <c r="O171" s="57"/>
      <c r="P171" s="63"/>
      <c r="Q171" s="57"/>
      <c r="R171" s="57"/>
      <c r="S171" s="57"/>
      <c r="T171" s="57"/>
      <c r="U171" s="57"/>
    </row>
    <row r="172">
      <c r="A172" s="57"/>
      <c r="B172" s="59"/>
      <c r="C172" s="57"/>
      <c r="D172" s="59"/>
      <c r="E172" s="57"/>
      <c r="F172" s="59"/>
      <c r="G172" s="57"/>
      <c r="H172" s="59"/>
      <c r="I172" s="57"/>
      <c r="J172" s="59"/>
      <c r="K172" s="57"/>
      <c r="L172" s="59"/>
      <c r="M172" s="57"/>
      <c r="N172" s="59"/>
      <c r="O172" s="57"/>
      <c r="P172" s="63"/>
      <c r="Q172" s="57"/>
      <c r="R172" s="57"/>
      <c r="S172" s="57"/>
      <c r="T172" s="57"/>
      <c r="U172" s="57"/>
    </row>
    <row r="173">
      <c r="A173" s="57"/>
      <c r="B173" s="59"/>
      <c r="C173" s="57"/>
      <c r="D173" s="59"/>
      <c r="E173" s="57"/>
      <c r="F173" s="59"/>
      <c r="G173" s="57"/>
      <c r="H173" s="59"/>
      <c r="I173" s="57"/>
      <c r="J173" s="59"/>
      <c r="K173" s="57"/>
      <c r="L173" s="59"/>
      <c r="M173" s="57"/>
      <c r="N173" s="59"/>
      <c r="O173" s="57"/>
      <c r="P173" s="63"/>
      <c r="Q173" s="57"/>
      <c r="R173" s="57"/>
      <c r="S173" s="57"/>
      <c r="T173" s="57"/>
      <c r="U173" s="57"/>
    </row>
    <row r="174">
      <c r="A174" s="57"/>
      <c r="B174" s="59"/>
      <c r="C174" s="57"/>
      <c r="D174" s="59"/>
      <c r="E174" s="57"/>
      <c r="F174" s="59"/>
      <c r="G174" s="57"/>
      <c r="H174" s="59"/>
      <c r="I174" s="57"/>
      <c r="J174" s="59"/>
      <c r="K174" s="57"/>
      <c r="L174" s="59"/>
      <c r="M174" s="57"/>
      <c r="N174" s="59"/>
      <c r="O174" s="57"/>
      <c r="P174" s="63"/>
      <c r="Q174" s="57"/>
      <c r="R174" s="57"/>
      <c r="S174" s="57"/>
      <c r="T174" s="57"/>
      <c r="U174" s="57"/>
    </row>
    <row r="175">
      <c r="A175" s="57"/>
      <c r="B175" s="59"/>
      <c r="C175" s="57"/>
      <c r="D175" s="59"/>
      <c r="E175" s="57"/>
      <c r="F175" s="59"/>
      <c r="G175" s="57"/>
      <c r="H175" s="59"/>
      <c r="I175" s="57"/>
      <c r="J175" s="59"/>
      <c r="K175" s="57"/>
      <c r="L175" s="59"/>
      <c r="M175" s="57"/>
      <c r="N175" s="59"/>
      <c r="O175" s="57"/>
      <c r="P175" s="63"/>
      <c r="Q175" s="57"/>
      <c r="R175" s="57"/>
      <c r="S175" s="57"/>
      <c r="T175" s="57"/>
      <c r="U175" s="57"/>
    </row>
    <row r="176">
      <c r="A176" s="57"/>
      <c r="B176" s="59"/>
      <c r="C176" s="57"/>
      <c r="D176" s="59"/>
      <c r="E176" s="57"/>
      <c r="F176" s="59"/>
      <c r="G176" s="57"/>
      <c r="H176" s="59"/>
      <c r="I176" s="57"/>
      <c r="J176" s="59"/>
      <c r="K176" s="57"/>
      <c r="L176" s="59"/>
      <c r="M176" s="57"/>
      <c r="N176" s="59"/>
      <c r="O176" s="57"/>
      <c r="P176" s="63"/>
      <c r="Q176" s="57"/>
      <c r="R176" s="57"/>
      <c r="S176" s="57"/>
      <c r="T176" s="57"/>
      <c r="U176" s="57"/>
    </row>
    <row r="177">
      <c r="A177" s="57"/>
      <c r="B177" s="59"/>
      <c r="C177" s="57"/>
      <c r="D177" s="59"/>
      <c r="E177" s="57"/>
      <c r="F177" s="59"/>
      <c r="G177" s="57"/>
      <c r="H177" s="59"/>
      <c r="I177" s="57"/>
      <c r="J177" s="59"/>
      <c r="K177" s="57"/>
      <c r="L177" s="59"/>
      <c r="M177" s="57"/>
      <c r="N177" s="59"/>
      <c r="O177" s="57"/>
      <c r="P177" s="63"/>
      <c r="Q177" s="57"/>
      <c r="R177" s="57"/>
      <c r="S177" s="57"/>
      <c r="T177" s="57"/>
      <c r="U177" s="57"/>
    </row>
    <row r="178">
      <c r="A178" s="57"/>
      <c r="B178" s="59"/>
      <c r="C178" s="57"/>
      <c r="D178" s="59"/>
      <c r="E178" s="57"/>
      <c r="F178" s="59"/>
      <c r="G178" s="57"/>
      <c r="H178" s="59"/>
      <c r="I178" s="57"/>
      <c r="J178" s="59"/>
      <c r="K178" s="57"/>
      <c r="L178" s="59"/>
      <c r="M178" s="57"/>
      <c r="N178" s="59"/>
      <c r="O178" s="57"/>
      <c r="P178" s="63"/>
      <c r="Q178" s="57"/>
      <c r="R178" s="57"/>
      <c r="S178" s="57"/>
      <c r="T178" s="57"/>
      <c r="U178" s="57"/>
    </row>
    <row r="179">
      <c r="A179" s="57"/>
      <c r="B179" s="59"/>
      <c r="C179" s="57"/>
      <c r="D179" s="59"/>
      <c r="E179" s="57"/>
      <c r="F179" s="59"/>
      <c r="G179" s="57"/>
      <c r="H179" s="59"/>
      <c r="I179" s="57"/>
      <c r="J179" s="59"/>
      <c r="K179" s="57"/>
      <c r="L179" s="59"/>
      <c r="M179" s="57"/>
      <c r="N179" s="59"/>
      <c r="O179" s="57"/>
      <c r="P179" s="63"/>
      <c r="Q179" s="57"/>
      <c r="R179" s="57"/>
      <c r="S179" s="57"/>
      <c r="T179" s="57"/>
      <c r="U179" s="57"/>
    </row>
    <row r="180">
      <c r="A180" s="57"/>
      <c r="B180" s="59"/>
      <c r="C180" s="57"/>
      <c r="D180" s="59"/>
      <c r="E180" s="57"/>
      <c r="F180" s="59"/>
      <c r="G180" s="57"/>
      <c r="H180" s="59"/>
      <c r="I180" s="57"/>
      <c r="J180" s="59"/>
      <c r="K180" s="57"/>
      <c r="L180" s="59"/>
      <c r="M180" s="57"/>
      <c r="N180" s="59"/>
      <c r="O180" s="57"/>
      <c r="P180" s="63"/>
      <c r="Q180" s="57"/>
      <c r="R180" s="57"/>
      <c r="S180" s="57"/>
      <c r="T180" s="57"/>
      <c r="U180" s="57"/>
    </row>
    <row r="181">
      <c r="A181" s="57"/>
      <c r="B181" s="59"/>
      <c r="C181" s="57"/>
      <c r="D181" s="59"/>
      <c r="E181" s="57"/>
      <c r="F181" s="59"/>
      <c r="G181" s="57"/>
      <c r="H181" s="59"/>
      <c r="I181" s="57"/>
      <c r="J181" s="59"/>
      <c r="K181" s="57"/>
      <c r="L181" s="59"/>
      <c r="M181" s="57"/>
      <c r="N181" s="59"/>
      <c r="O181" s="57"/>
      <c r="P181" s="63"/>
      <c r="Q181" s="57"/>
      <c r="R181" s="57"/>
      <c r="S181" s="57"/>
      <c r="T181" s="57"/>
      <c r="U181" s="57"/>
    </row>
    <row r="182">
      <c r="A182" s="57"/>
      <c r="B182" s="59"/>
      <c r="C182" s="57"/>
      <c r="D182" s="59"/>
      <c r="E182" s="57"/>
      <c r="F182" s="59"/>
      <c r="G182" s="57"/>
      <c r="H182" s="59"/>
      <c r="I182" s="57"/>
      <c r="J182" s="59"/>
      <c r="K182" s="57"/>
      <c r="L182" s="59"/>
      <c r="M182" s="57"/>
      <c r="N182" s="59"/>
      <c r="O182" s="57"/>
      <c r="P182" s="63"/>
      <c r="Q182" s="57"/>
      <c r="R182" s="57"/>
      <c r="S182" s="57"/>
      <c r="T182" s="57"/>
      <c r="U182" s="57"/>
    </row>
    <row r="183">
      <c r="A183" s="57"/>
      <c r="B183" s="59"/>
      <c r="C183" s="57"/>
      <c r="D183" s="59"/>
      <c r="E183" s="57"/>
      <c r="F183" s="59"/>
      <c r="G183" s="57"/>
      <c r="H183" s="59"/>
      <c r="I183" s="57"/>
      <c r="J183" s="59"/>
      <c r="K183" s="57"/>
      <c r="L183" s="59"/>
      <c r="M183" s="57"/>
      <c r="N183" s="59"/>
      <c r="O183" s="57"/>
      <c r="P183" s="63"/>
      <c r="Q183" s="57"/>
      <c r="R183" s="57"/>
      <c r="S183" s="57"/>
      <c r="T183" s="57"/>
      <c r="U183" s="57"/>
    </row>
    <row r="184">
      <c r="A184" s="57"/>
      <c r="B184" s="59"/>
      <c r="C184" s="57"/>
      <c r="D184" s="59"/>
      <c r="E184" s="57"/>
      <c r="F184" s="59"/>
      <c r="G184" s="57"/>
      <c r="H184" s="59"/>
      <c r="I184" s="57"/>
      <c r="J184" s="59"/>
      <c r="K184" s="57"/>
      <c r="L184" s="59"/>
      <c r="M184" s="57"/>
      <c r="N184" s="59"/>
      <c r="O184" s="57"/>
      <c r="P184" s="63"/>
      <c r="Q184" s="57"/>
      <c r="R184" s="57"/>
      <c r="S184" s="57"/>
      <c r="T184" s="57"/>
      <c r="U184" s="57"/>
    </row>
    <row r="185">
      <c r="A185" s="57"/>
      <c r="B185" s="59"/>
      <c r="C185" s="57"/>
      <c r="D185" s="59"/>
      <c r="E185" s="57"/>
      <c r="F185" s="59"/>
      <c r="G185" s="57"/>
      <c r="H185" s="59"/>
      <c r="I185" s="57"/>
      <c r="J185" s="59"/>
      <c r="K185" s="57"/>
      <c r="L185" s="59"/>
      <c r="M185" s="57"/>
      <c r="N185" s="59"/>
      <c r="O185" s="57"/>
      <c r="P185" s="63"/>
      <c r="Q185" s="57"/>
      <c r="R185" s="57"/>
      <c r="S185" s="57"/>
      <c r="T185" s="57"/>
      <c r="U185" s="57"/>
    </row>
    <row r="186">
      <c r="A186" s="57"/>
      <c r="B186" s="59"/>
      <c r="C186" s="57"/>
      <c r="D186" s="59"/>
      <c r="E186" s="57"/>
      <c r="F186" s="59"/>
      <c r="G186" s="57"/>
      <c r="H186" s="59"/>
      <c r="I186" s="57"/>
      <c r="J186" s="59"/>
      <c r="K186" s="57"/>
      <c r="L186" s="59"/>
      <c r="M186" s="57"/>
      <c r="N186" s="59"/>
      <c r="O186" s="57"/>
      <c r="P186" s="63"/>
      <c r="Q186" s="57"/>
      <c r="R186" s="57"/>
      <c r="S186" s="57"/>
      <c r="T186" s="57"/>
      <c r="U186" s="57"/>
    </row>
    <row r="187">
      <c r="A187" s="57"/>
      <c r="B187" s="59"/>
      <c r="C187" s="57"/>
      <c r="D187" s="59"/>
      <c r="E187" s="57"/>
      <c r="F187" s="59"/>
      <c r="G187" s="57"/>
      <c r="H187" s="59"/>
      <c r="I187" s="57"/>
      <c r="J187" s="59"/>
      <c r="K187" s="57"/>
      <c r="L187" s="59"/>
      <c r="M187" s="57"/>
      <c r="N187" s="59"/>
      <c r="O187" s="57"/>
      <c r="P187" s="63"/>
      <c r="Q187" s="57"/>
      <c r="R187" s="57"/>
      <c r="S187" s="57"/>
      <c r="T187" s="57"/>
      <c r="U187" s="57"/>
    </row>
    <row r="188">
      <c r="A188" s="57"/>
      <c r="B188" s="59"/>
      <c r="C188" s="57"/>
      <c r="D188" s="59"/>
      <c r="E188" s="57"/>
      <c r="F188" s="59"/>
      <c r="G188" s="57"/>
      <c r="H188" s="59"/>
      <c r="I188" s="57"/>
      <c r="J188" s="59"/>
      <c r="K188" s="57"/>
      <c r="L188" s="59"/>
      <c r="M188" s="57"/>
      <c r="N188" s="59"/>
      <c r="O188" s="57"/>
      <c r="P188" s="63"/>
      <c r="Q188" s="57"/>
      <c r="R188" s="57"/>
      <c r="S188" s="57"/>
      <c r="T188" s="57"/>
      <c r="U188" s="57"/>
    </row>
    <row r="189">
      <c r="A189" s="57"/>
      <c r="B189" s="59"/>
      <c r="C189" s="57"/>
      <c r="D189" s="59"/>
      <c r="E189" s="57"/>
      <c r="F189" s="59"/>
      <c r="G189" s="57"/>
      <c r="H189" s="59"/>
      <c r="I189" s="57"/>
      <c r="J189" s="59"/>
      <c r="K189" s="57"/>
      <c r="L189" s="59"/>
      <c r="M189" s="57"/>
      <c r="N189" s="59"/>
      <c r="O189" s="57"/>
      <c r="P189" s="63"/>
      <c r="Q189" s="57"/>
      <c r="R189" s="57"/>
      <c r="S189" s="57"/>
      <c r="T189" s="57"/>
      <c r="U189" s="57"/>
    </row>
    <row r="190">
      <c r="A190" s="57"/>
      <c r="B190" s="59"/>
      <c r="C190" s="57"/>
      <c r="D190" s="59"/>
      <c r="E190" s="57"/>
      <c r="F190" s="59"/>
      <c r="G190" s="57"/>
      <c r="H190" s="59"/>
      <c r="I190" s="57"/>
      <c r="J190" s="59"/>
      <c r="K190" s="57"/>
      <c r="L190" s="59"/>
      <c r="M190" s="57"/>
      <c r="N190" s="59"/>
      <c r="O190" s="57"/>
      <c r="P190" s="63"/>
      <c r="Q190" s="57"/>
      <c r="R190" s="57"/>
      <c r="S190" s="57"/>
      <c r="T190" s="57"/>
      <c r="U190" s="57"/>
    </row>
    <row r="191">
      <c r="A191" s="57"/>
      <c r="B191" s="59"/>
      <c r="C191" s="57"/>
      <c r="D191" s="59"/>
      <c r="E191" s="57"/>
      <c r="F191" s="59"/>
      <c r="G191" s="57"/>
      <c r="H191" s="59"/>
      <c r="I191" s="57"/>
      <c r="J191" s="59"/>
      <c r="K191" s="57"/>
      <c r="L191" s="59"/>
      <c r="M191" s="57"/>
      <c r="N191" s="59"/>
      <c r="O191" s="57"/>
      <c r="P191" s="63"/>
      <c r="Q191" s="57"/>
      <c r="R191" s="57"/>
      <c r="S191" s="57"/>
      <c r="T191" s="57"/>
      <c r="U191" s="57"/>
    </row>
    <row r="192">
      <c r="A192" s="57"/>
      <c r="B192" s="59"/>
      <c r="C192" s="57"/>
      <c r="D192" s="59"/>
      <c r="E192" s="57"/>
      <c r="F192" s="59"/>
      <c r="G192" s="57"/>
      <c r="H192" s="59"/>
      <c r="I192" s="57"/>
      <c r="J192" s="59"/>
      <c r="K192" s="57"/>
      <c r="L192" s="59"/>
      <c r="M192" s="57"/>
      <c r="N192" s="59"/>
      <c r="O192" s="57"/>
      <c r="P192" s="63"/>
      <c r="Q192" s="57"/>
      <c r="R192" s="57"/>
      <c r="S192" s="57"/>
      <c r="T192" s="57"/>
      <c r="U192" s="57"/>
    </row>
    <row r="193">
      <c r="A193" s="57"/>
      <c r="B193" s="59"/>
      <c r="C193" s="57"/>
      <c r="D193" s="59"/>
      <c r="E193" s="57"/>
      <c r="F193" s="59"/>
      <c r="G193" s="57"/>
      <c r="H193" s="59"/>
      <c r="I193" s="57"/>
      <c r="J193" s="59"/>
      <c r="K193" s="57"/>
      <c r="L193" s="59"/>
      <c r="M193" s="57"/>
      <c r="N193" s="59"/>
      <c r="O193" s="57"/>
      <c r="P193" s="63"/>
      <c r="Q193" s="57"/>
      <c r="R193" s="57"/>
      <c r="S193" s="57"/>
      <c r="T193" s="57"/>
      <c r="U193" s="57"/>
    </row>
    <row r="194">
      <c r="A194" s="57"/>
      <c r="B194" s="59"/>
      <c r="C194" s="57"/>
      <c r="D194" s="59"/>
      <c r="E194" s="57"/>
      <c r="F194" s="59"/>
      <c r="G194" s="57"/>
      <c r="H194" s="59"/>
      <c r="I194" s="57"/>
      <c r="J194" s="59"/>
      <c r="K194" s="57"/>
      <c r="L194" s="59"/>
      <c r="M194" s="57"/>
      <c r="N194" s="59"/>
      <c r="O194" s="57"/>
      <c r="P194" s="63"/>
      <c r="Q194" s="57"/>
      <c r="R194" s="57"/>
      <c r="S194" s="57"/>
      <c r="T194" s="57"/>
      <c r="U194" s="57"/>
    </row>
    <row r="195">
      <c r="A195" s="57"/>
      <c r="B195" s="59"/>
      <c r="C195" s="57"/>
      <c r="D195" s="59"/>
      <c r="E195" s="57"/>
      <c r="F195" s="59"/>
      <c r="G195" s="57"/>
      <c r="H195" s="59"/>
      <c r="I195" s="57"/>
      <c r="J195" s="59"/>
      <c r="K195" s="57"/>
      <c r="L195" s="59"/>
      <c r="M195" s="57"/>
      <c r="N195" s="59"/>
      <c r="O195" s="57"/>
      <c r="P195" s="63"/>
      <c r="Q195" s="57"/>
      <c r="R195" s="57"/>
      <c r="S195" s="57"/>
      <c r="T195" s="57"/>
      <c r="U195" s="57"/>
    </row>
    <row r="196">
      <c r="A196" s="57"/>
      <c r="B196" s="59"/>
      <c r="C196" s="57"/>
      <c r="D196" s="59"/>
      <c r="E196" s="57"/>
      <c r="F196" s="59"/>
      <c r="G196" s="57"/>
      <c r="H196" s="59"/>
      <c r="I196" s="57"/>
      <c r="J196" s="59"/>
      <c r="K196" s="57"/>
      <c r="L196" s="59"/>
      <c r="M196" s="57"/>
      <c r="N196" s="59"/>
      <c r="O196" s="57"/>
      <c r="P196" s="63"/>
      <c r="Q196" s="57"/>
      <c r="R196" s="57"/>
      <c r="S196" s="57"/>
      <c r="T196" s="57"/>
      <c r="U196" s="57"/>
    </row>
    <row r="197">
      <c r="A197" s="57"/>
      <c r="B197" s="59"/>
      <c r="C197" s="57"/>
      <c r="D197" s="59"/>
      <c r="E197" s="57"/>
      <c r="F197" s="59"/>
      <c r="G197" s="57"/>
      <c r="H197" s="59"/>
      <c r="I197" s="57"/>
      <c r="J197" s="59"/>
      <c r="K197" s="57"/>
      <c r="L197" s="59"/>
      <c r="M197" s="57"/>
      <c r="N197" s="59"/>
      <c r="O197" s="57"/>
      <c r="P197" s="63"/>
      <c r="Q197" s="57"/>
      <c r="R197" s="57"/>
      <c r="S197" s="57"/>
      <c r="T197" s="57"/>
      <c r="U197" s="57"/>
    </row>
    <row r="198">
      <c r="A198" s="57"/>
      <c r="B198" s="59"/>
      <c r="C198" s="57"/>
      <c r="D198" s="59"/>
      <c r="E198" s="57"/>
      <c r="F198" s="59"/>
      <c r="G198" s="57"/>
      <c r="H198" s="59"/>
      <c r="I198" s="57"/>
      <c r="J198" s="59"/>
      <c r="K198" s="57"/>
      <c r="L198" s="59"/>
      <c r="M198" s="57"/>
      <c r="N198" s="59"/>
      <c r="O198" s="57"/>
      <c r="P198" s="63"/>
      <c r="Q198" s="57"/>
      <c r="R198" s="57"/>
      <c r="S198" s="57"/>
      <c r="T198" s="57"/>
      <c r="U198" s="57"/>
    </row>
    <row r="199">
      <c r="A199" s="57"/>
      <c r="B199" s="59"/>
      <c r="C199" s="57"/>
      <c r="D199" s="59"/>
      <c r="E199" s="57"/>
      <c r="F199" s="59"/>
      <c r="G199" s="57"/>
      <c r="H199" s="59"/>
      <c r="I199" s="57"/>
      <c r="J199" s="59"/>
      <c r="K199" s="57"/>
      <c r="L199" s="59"/>
      <c r="M199" s="57"/>
      <c r="N199" s="59"/>
      <c r="O199" s="57"/>
      <c r="P199" s="63"/>
      <c r="Q199" s="57"/>
      <c r="R199" s="57"/>
      <c r="S199" s="57"/>
      <c r="T199" s="57"/>
      <c r="U199" s="57"/>
    </row>
    <row r="200">
      <c r="A200" s="57"/>
      <c r="B200" s="59"/>
      <c r="C200" s="57"/>
      <c r="D200" s="59"/>
      <c r="E200" s="57"/>
      <c r="F200" s="59"/>
      <c r="G200" s="57"/>
      <c r="H200" s="59"/>
      <c r="I200" s="57"/>
      <c r="J200" s="59"/>
      <c r="K200" s="57"/>
      <c r="L200" s="59"/>
      <c r="M200" s="57"/>
      <c r="N200" s="59"/>
      <c r="O200" s="57"/>
      <c r="P200" s="63"/>
      <c r="Q200" s="57"/>
      <c r="R200" s="57"/>
      <c r="S200" s="57"/>
      <c r="T200" s="57"/>
      <c r="U200" s="57"/>
    </row>
    <row r="201">
      <c r="A201" s="57"/>
      <c r="B201" s="59"/>
      <c r="C201" s="57"/>
      <c r="D201" s="59"/>
      <c r="E201" s="57"/>
      <c r="F201" s="59"/>
      <c r="G201" s="57"/>
      <c r="H201" s="59"/>
      <c r="I201" s="57"/>
      <c r="J201" s="59"/>
      <c r="K201" s="57"/>
      <c r="L201" s="59"/>
      <c r="M201" s="57"/>
      <c r="N201" s="59"/>
      <c r="O201" s="57"/>
      <c r="P201" s="63"/>
      <c r="Q201" s="57"/>
      <c r="R201" s="57"/>
      <c r="S201" s="57"/>
      <c r="T201" s="57"/>
      <c r="U201" s="57"/>
    </row>
    <row r="202">
      <c r="A202" s="57"/>
      <c r="B202" s="59"/>
      <c r="C202" s="57"/>
      <c r="D202" s="59"/>
      <c r="E202" s="57"/>
      <c r="F202" s="59"/>
      <c r="G202" s="57"/>
      <c r="H202" s="59"/>
      <c r="I202" s="57"/>
      <c r="J202" s="59"/>
      <c r="K202" s="57"/>
      <c r="L202" s="59"/>
      <c r="M202" s="57"/>
      <c r="N202" s="59"/>
      <c r="O202" s="57"/>
      <c r="P202" s="63"/>
      <c r="Q202" s="57"/>
      <c r="R202" s="57"/>
      <c r="S202" s="57"/>
      <c r="T202" s="57"/>
      <c r="U202" s="57"/>
    </row>
    <row r="203">
      <c r="A203" s="57"/>
      <c r="B203" s="59"/>
      <c r="C203" s="57"/>
      <c r="D203" s="59"/>
      <c r="E203" s="57"/>
      <c r="F203" s="59"/>
      <c r="G203" s="57"/>
      <c r="H203" s="59"/>
      <c r="I203" s="57"/>
      <c r="J203" s="59"/>
      <c r="K203" s="57"/>
      <c r="L203" s="59"/>
      <c r="M203" s="57"/>
      <c r="N203" s="59"/>
      <c r="O203" s="57"/>
      <c r="P203" s="63"/>
      <c r="Q203" s="57"/>
      <c r="R203" s="57"/>
      <c r="S203" s="57"/>
      <c r="T203" s="57"/>
      <c r="U203" s="57"/>
    </row>
    <row r="204">
      <c r="A204" s="57"/>
      <c r="B204" s="59"/>
      <c r="C204" s="57"/>
      <c r="D204" s="59"/>
      <c r="E204" s="57"/>
      <c r="F204" s="59"/>
      <c r="G204" s="57"/>
      <c r="H204" s="59"/>
      <c r="I204" s="57"/>
      <c r="J204" s="59"/>
      <c r="K204" s="57"/>
      <c r="L204" s="59"/>
      <c r="M204" s="57"/>
      <c r="N204" s="59"/>
      <c r="O204" s="57"/>
      <c r="P204" s="63"/>
      <c r="Q204" s="57"/>
      <c r="R204" s="57"/>
      <c r="S204" s="57"/>
      <c r="T204" s="57"/>
      <c r="U204" s="57"/>
    </row>
    <row r="205">
      <c r="A205" s="57"/>
      <c r="B205" s="59"/>
      <c r="C205" s="57"/>
      <c r="D205" s="59"/>
      <c r="E205" s="57"/>
      <c r="F205" s="59"/>
      <c r="G205" s="57"/>
      <c r="H205" s="59"/>
      <c r="I205" s="57"/>
      <c r="J205" s="59"/>
      <c r="K205" s="57"/>
      <c r="L205" s="59"/>
      <c r="M205" s="57"/>
      <c r="N205" s="59"/>
      <c r="O205" s="57"/>
      <c r="P205" s="63"/>
      <c r="Q205" s="57"/>
      <c r="R205" s="57"/>
      <c r="S205" s="57"/>
      <c r="T205" s="57"/>
      <c r="U205" s="57"/>
    </row>
    <row r="206">
      <c r="A206" s="57"/>
      <c r="B206" s="59"/>
      <c r="C206" s="57"/>
      <c r="D206" s="59"/>
      <c r="E206" s="57"/>
      <c r="F206" s="59"/>
      <c r="G206" s="57"/>
      <c r="H206" s="59"/>
      <c r="I206" s="57"/>
      <c r="J206" s="59"/>
      <c r="K206" s="57"/>
      <c r="L206" s="59"/>
      <c r="M206" s="57"/>
      <c r="N206" s="59"/>
      <c r="O206" s="57"/>
      <c r="P206" s="63"/>
      <c r="Q206" s="57"/>
      <c r="R206" s="57"/>
      <c r="S206" s="57"/>
      <c r="T206" s="57"/>
      <c r="U206" s="57"/>
    </row>
    <row r="207">
      <c r="A207" s="57"/>
      <c r="B207" s="59"/>
      <c r="C207" s="57"/>
      <c r="D207" s="59"/>
      <c r="E207" s="57"/>
      <c r="F207" s="59"/>
      <c r="G207" s="57"/>
      <c r="H207" s="59"/>
      <c r="I207" s="57"/>
      <c r="J207" s="59"/>
      <c r="K207" s="57"/>
      <c r="L207" s="59"/>
      <c r="M207" s="57"/>
      <c r="N207" s="59"/>
      <c r="O207" s="57"/>
      <c r="P207" s="63"/>
      <c r="Q207" s="57"/>
      <c r="R207" s="57"/>
      <c r="S207" s="57"/>
      <c r="T207" s="57"/>
      <c r="U207" s="57"/>
    </row>
    <row r="208">
      <c r="A208" s="57"/>
      <c r="B208" s="59"/>
      <c r="C208" s="57"/>
      <c r="D208" s="59"/>
      <c r="E208" s="57"/>
      <c r="F208" s="59"/>
      <c r="G208" s="57"/>
      <c r="H208" s="59"/>
      <c r="I208" s="57"/>
      <c r="J208" s="59"/>
      <c r="K208" s="57"/>
      <c r="L208" s="59"/>
      <c r="M208" s="57"/>
      <c r="N208" s="59"/>
      <c r="O208" s="57"/>
      <c r="P208" s="63"/>
      <c r="Q208" s="57"/>
      <c r="R208" s="57"/>
      <c r="S208" s="57"/>
      <c r="T208" s="57"/>
      <c r="U208" s="57"/>
    </row>
    <row r="209">
      <c r="A209" s="57"/>
      <c r="B209" s="59"/>
      <c r="C209" s="57"/>
      <c r="D209" s="59"/>
      <c r="E209" s="57"/>
      <c r="F209" s="59"/>
      <c r="G209" s="57"/>
      <c r="H209" s="59"/>
      <c r="I209" s="57"/>
      <c r="J209" s="59"/>
      <c r="K209" s="57"/>
      <c r="L209" s="59"/>
      <c r="M209" s="57"/>
      <c r="N209" s="59"/>
      <c r="O209" s="57"/>
      <c r="P209" s="63"/>
      <c r="Q209" s="57"/>
      <c r="R209" s="57"/>
      <c r="S209" s="57"/>
      <c r="T209" s="57"/>
      <c r="U209" s="57"/>
    </row>
    <row r="210">
      <c r="A210" s="57"/>
      <c r="B210" s="59"/>
      <c r="C210" s="57"/>
      <c r="D210" s="59"/>
      <c r="E210" s="57"/>
      <c r="F210" s="59"/>
      <c r="G210" s="57"/>
      <c r="H210" s="59"/>
      <c r="I210" s="57"/>
      <c r="J210" s="59"/>
      <c r="K210" s="57"/>
      <c r="L210" s="59"/>
      <c r="M210" s="57"/>
      <c r="N210" s="59"/>
      <c r="O210" s="57"/>
      <c r="P210" s="63"/>
      <c r="Q210" s="57"/>
      <c r="R210" s="57"/>
      <c r="S210" s="57"/>
      <c r="T210" s="57"/>
      <c r="U210" s="57"/>
    </row>
    <row r="211">
      <c r="A211" s="57"/>
      <c r="B211" s="59"/>
      <c r="C211" s="57"/>
      <c r="D211" s="59"/>
      <c r="E211" s="57"/>
      <c r="F211" s="59"/>
      <c r="G211" s="57"/>
      <c r="H211" s="59"/>
      <c r="I211" s="57"/>
      <c r="J211" s="59"/>
      <c r="K211" s="57"/>
      <c r="L211" s="59"/>
      <c r="M211" s="57"/>
      <c r="N211" s="59"/>
      <c r="O211" s="57"/>
      <c r="P211" s="63"/>
      <c r="Q211" s="57"/>
      <c r="R211" s="57"/>
      <c r="S211" s="57"/>
      <c r="T211" s="57"/>
      <c r="U211" s="57"/>
    </row>
    <row r="212">
      <c r="A212" s="57"/>
      <c r="B212" s="59"/>
      <c r="C212" s="57"/>
      <c r="D212" s="59"/>
      <c r="E212" s="57"/>
      <c r="F212" s="59"/>
      <c r="G212" s="57"/>
      <c r="H212" s="59"/>
      <c r="I212" s="57"/>
      <c r="J212" s="59"/>
      <c r="K212" s="57"/>
      <c r="L212" s="59"/>
      <c r="M212" s="57"/>
      <c r="N212" s="59"/>
      <c r="O212" s="57"/>
      <c r="P212" s="63"/>
      <c r="Q212" s="57"/>
      <c r="R212" s="57"/>
      <c r="S212" s="57"/>
      <c r="T212" s="57"/>
      <c r="U212" s="57"/>
    </row>
    <row r="213">
      <c r="A213" s="57"/>
      <c r="B213" s="59"/>
      <c r="C213" s="57"/>
      <c r="D213" s="59"/>
      <c r="E213" s="57"/>
      <c r="F213" s="59"/>
      <c r="G213" s="57"/>
      <c r="H213" s="59"/>
      <c r="I213" s="57"/>
      <c r="J213" s="59"/>
      <c r="K213" s="57"/>
      <c r="L213" s="59"/>
      <c r="M213" s="57"/>
      <c r="N213" s="59"/>
      <c r="O213" s="57"/>
      <c r="P213" s="63"/>
      <c r="Q213" s="57"/>
      <c r="R213" s="57"/>
      <c r="S213" s="57"/>
      <c r="T213" s="57"/>
      <c r="U213" s="57"/>
    </row>
    <row r="214">
      <c r="A214" s="57"/>
      <c r="B214" s="59"/>
      <c r="C214" s="57"/>
      <c r="D214" s="59"/>
      <c r="E214" s="57"/>
      <c r="F214" s="59"/>
      <c r="G214" s="57"/>
      <c r="H214" s="59"/>
      <c r="I214" s="57"/>
      <c r="J214" s="59"/>
      <c r="K214" s="57"/>
      <c r="L214" s="59"/>
      <c r="M214" s="57"/>
      <c r="N214" s="59"/>
      <c r="O214" s="57"/>
      <c r="P214" s="63"/>
      <c r="Q214" s="57"/>
      <c r="R214" s="57"/>
      <c r="S214" s="57"/>
      <c r="T214" s="57"/>
      <c r="U214" s="57"/>
    </row>
    <row r="215">
      <c r="A215" s="57"/>
      <c r="B215" s="59"/>
      <c r="C215" s="57"/>
      <c r="D215" s="59"/>
      <c r="E215" s="57"/>
      <c r="F215" s="59"/>
      <c r="G215" s="57"/>
      <c r="H215" s="59"/>
      <c r="I215" s="57"/>
      <c r="J215" s="59"/>
      <c r="K215" s="57"/>
      <c r="L215" s="59"/>
      <c r="M215" s="57"/>
      <c r="N215" s="59"/>
      <c r="O215" s="57"/>
      <c r="P215" s="63"/>
      <c r="Q215" s="57"/>
      <c r="R215" s="57"/>
      <c r="S215" s="57"/>
      <c r="T215" s="57"/>
      <c r="U215" s="57"/>
    </row>
    <row r="216">
      <c r="A216" s="57"/>
      <c r="B216" s="59"/>
      <c r="C216" s="57"/>
      <c r="D216" s="59"/>
      <c r="E216" s="57"/>
      <c r="F216" s="59"/>
      <c r="G216" s="57"/>
      <c r="H216" s="59"/>
      <c r="I216" s="57"/>
      <c r="J216" s="59"/>
      <c r="K216" s="57"/>
      <c r="L216" s="59"/>
      <c r="M216" s="57"/>
      <c r="N216" s="59"/>
      <c r="O216" s="57"/>
      <c r="P216" s="63"/>
      <c r="Q216" s="57"/>
      <c r="R216" s="57"/>
      <c r="S216" s="57"/>
      <c r="T216" s="57"/>
      <c r="U216" s="57"/>
    </row>
    <row r="217">
      <c r="A217" s="57"/>
      <c r="B217" s="59"/>
      <c r="C217" s="57"/>
      <c r="D217" s="59"/>
      <c r="E217" s="57"/>
      <c r="F217" s="59"/>
      <c r="G217" s="57"/>
      <c r="H217" s="59"/>
      <c r="I217" s="57"/>
      <c r="J217" s="59"/>
      <c r="K217" s="57"/>
      <c r="L217" s="59"/>
      <c r="M217" s="57"/>
      <c r="N217" s="59"/>
      <c r="O217" s="57"/>
      <c r="P217" s="63"/>
      <c r="Q217" s="57"/>
      <c r="R217" s="57"/>
      <c r="S217" s="57"/>
      <c r="T217" s="57"/>
      <c r="U217" s="57"/>
    </row>
    <row r="218">
      <c r="A218" s="57"/>
      <c r="B218" s="59"/>
      <c r="C218" s="57"/>
      <c r="D218" s="59"/>
      <c r="E218" s="57"/>
      <c r="F218" s="59"/>
      <c r="G218" s="57"/>
      <c r="H218" s="59"/>
      <c r="I218" s="57"/>
      <c r="J218" s="59"/>
      <c r="K218" s="57"/>
      <c r="L218" s="59"/>
      <c r="M218" s="57"/>
      <c r="N218" s="59"/>
      <c r="O218" s="57"/>
      <c r="P218" s="63"/>
      <c r="Q218" s="57"/>
      <c r="R218" s="57"/>
      <c r="S218" s="57"/>
      <c r="T218" s="57"/>
      <c r="U218" s="57"/>
    </row>
    <row r="219">
      <c r="A219" s="57"/>
      <c r="B219" s="59"/>
      <c r="C219" s="57"/>
      <c r="D219" s="59"/>
      <c r="E219" s="57"/>
      <c r="F219" s="59"/>
      <c r="G219" s="57"/>
      <c r="H219" s="59"/>
      <c r="I219" s="57"/>
      <c r="J219" s="59"/>
      <c r="K219" s="57"/>
      <c r="L219" s="59"/>
      <c r="M219" s="57"/>
      <c r="N219" s="59"/>
      <c r="O219" s="57"/>
      <c r="P219" s="63"/>
      <c r="Q219" s="57"/>
      <c r="R219" s="57"/>
      <c r="S219" s="57"/>
      <c r="T219" s="57"/>
      <c r="U219" s="57"/>
    </row>
    <row r="220">
      <c r="A220" s="57"/>
      <c r="B220" s="59"/>
      <c r="C220" s="57"/>
      <c r="D220" s="59"/>
      <c r="E220" s="57"/>
      <c r="F220" s="59"/>
      <c r="G220" s="57"/>
      <c r="H220" s="59"/>
      <c r="I220" s="57"/>
      <c r="J220" s="59"/>
      <c r="K220" s="57"/>
      <c r="L220" s="59"/>
      <c r="M220" s="57"/>
      <c r="N220" s="59"/>
      <c r="O220" s="57"/>
      <c r="P220" s="63"/>
      <c r="Q220" s="57"/>
      <c r="R220" s="57"/>
      <c r="S220" s="57"/>
      <c r="T220" s="57"/>
      <c r="U220" s="57"/>
    </row>
    <row r="221">
      <c r="A221" s="57"/>
      <c r="B221" s="59"/>
      <c r="C221" s="57"/>
      <c r="D221" s="59"/>
      <c r="E221" s="57"/>
      <c r="F221" s="59"/>
      <c r="G221" s="57"/>
      <c r="H221" s="59"/>
      <c r="I221" s="57"/>
      <c r="J221" s="59"/>
      <c r="K221" s="57"/>
      <c r="L221" s="59"/>
      <c r="M221" s="57"/>
      <c r="N221" s="59"/>
      <c r="O221" s="57"/>
      <c r="P221" s="63"/>
      <c r="Q221" s="57"/>
      <c r="R221" s="57"/>
      <c r="S221" s="57"/>
      <c r="T221" s="57"/>
      <c r="U221" s="57"/>
    </row>
    <row r="222">
      <c r="A222" s="57"/>
      <c r="B222" s="59"/>
      <c r="C222" s="57"/>
      <c r="D222" s="59"/>
      <c r="E222" s="57"/>
      <c r="F222" s="59"/>
      <c r="G222" s="57"/>
      <c r="H222" s="59"/>
      <c r="I222" s="57"/>
      <c r="J222" s="59"/>
      <c r="K222" s="57"/>
      <c r="L222" s="59"/>
      <c r="M222" s="57"/>
      <c r="N222" s="59"/>
      <c r="O222" s="57"/>
      <c r="P222" s="63"/>
      <c r="Q222" s="57"/>
      <c r="R222" s="57"/>
      <c r="S222" s="57"/>
      <c r="T222" s="57"/>
      <c r="U222" s="57"/>
    </row>
    <row r="223">
      <c r="A223" s="57"/>
      <c r="B223" s="59"/>
      <c r="C223" s="57"/>
      <c r="D223" s="59"/>
      <c r="E223" s="57"/>
      <c r="F223" s="59"/>
      <c r="G223" s="57"/>
      <c r="H223" s="59"/>
      <c r="I223" s="57"/>
      <c r="J223" s="59"/>
      <c r="K223" s="57"/>
      <c r="L223" s="59"/>
      <c r="M223" s="57"/>
      <c r="N223" s="59"/>
      <c r="O223" s="57"/>
      <c r="P223" s="63"/>
      <c r="Q223" s="57"/>
      <c r="R223" s="57"/>
      <c r="S223" s="57"/>
      <c r="T223" s="57"/>
      <c r="U223" s="57"/>
    </row>
    <row r="224">
      <c r="A224" s="57"/>
      <c r="B224" s="59"/>
      <c r="C224" s="57"/>
      <c r="D224" s="59"/>
      <c r="E224" s="57"/>
      <c r="F224" s="59"/>
      <c r="G224" s="57"/>
      <c r="H224" s="59"/>
      <c r="I224" s="57"/>
      <c r="J224" s="59"/>
      <c r="K224" s="57"/>
      <c r="L224" s="59"/>
      <c r="M224" s="57"/>
      <c r="N224" s="59"/>
      <c r="O224" s="57"/>
      <c r="P224" s="63"/>
      <c r="Q224" s="57"/>
      <c r="R224" s="57"/>
      <c r="S224" s="57"/>
      <c r="T224" s="57"/>
      <c r="U224" s="57"/>
    </row>
    <row r="225">
      <c r="A225" s="57"/>
      <c r="B225" s="59"/>
      <c r="C225" s="57"/>
      <c r="D225" s="59"/>
      <c r="E225" s="57"/>
      <c r="F225" s="59"/>
      <c r="G225" s="57"/>
      <c r="H225" s="59"/>
      <c r="I225" s="57"/>
      <c r="J225" s="59"/>
      <c r="K225" s="57"/>
      <c r="L225" s="59"/>
      <c r="M225" s="57"/>
      <c r="N225" s="59"/>
      <c r="O225" s="57"/>
      <c r="P225" s="63"/>
      <c r="Q225" s="57"/>
      <c r="R225" s="57"/>
      <c r="S225" s="57"/>
      <c r="T225" s="57"/>
      <c r="U225" s="57"/>
    </row>
    <row r="226">
      <c r="A226" s="57"/>
      <c r="B226" s="59"/>
      <c r="C226" s="57"/>
      <c r="D226" s="59"/>
      <c r="E226" s="57"/>
      <c r="F226" s="59"/>
      <c r="G226" s="57"/>
      <c r="H226" s="59"/>
      <c r="I226" s="57"/>
      <c r="J226" s="59"/>
      <c r="K226" s="57"/>
      <c r="L226" s="59"/>
      <c r="M226" s="57"/>
      <c r="N226" s="59"/>
      <c r="O226" s="57"/>
      <c r="P226" s="63"/>
      <c r="Q226" s="57"/>
      <c r="R226" s="57"/>
      <c r="S226" s="57"/>
      <c r="T226" s="57"/>
      <c r="U226" s="57"/>
    </row>
    <row r="227">
      <c r="A227" s="57"/>
      <c r="B227" s="59"/>
      <c r="C227" s="57"/>
      <c r="D227" s="59"/>
      <c r="E227" s="57"/>
      <c r="F227" s="59"/>
      <c r="G227" s="57"/>
      <c r="H227" s="59"/>
      <c r="I227" s="57"/>
      <c r="J227" s="59"/>
      <c r="K227" s="57"/>
      <c r="L227" s="59"/>
      <c r="M227" s="57"/>
      <c r="N227" s="59"/>
      <c r="O227" s="57"/>
      <c r="P227" s="63"/>
      <c r="Q227" s="57"/>
      <c r="R227" s="57"/>
      <c r="S227" s="57"/>
      <c r="T227" s="57"/>
      <c r="U227" s="57"/>
    </row>
    <row r="228">
      <c r="A228" s="57"/>
      <c r="B228" s="59"/>
      <c r="C228" s="57"/>
      <c r="D228" s="59"/>
      <c r="E228" s="57"/>
      <c r="F228" s="59"/>
      <c r="G228" s="57"/>
      <c r="H228" s="59"/>
      <c r="I228" s="57"/>
      <c r="J228" s="59"/>
      <c r="K228" s="57"/>
      <c r="L228" s="59"/>
      <c r="M228" s="57"/>
      <c r="N228" s="59"/>
      <c r="O228" s="57"/>
      <c r="P228" s="63"/>
      <c r="Q228" s="57"/>
      <c r="R228" s="57"/>
      <c r="S228" s="57"/>
      <c r="T228" s="57"/>
      <c r="U228" s="57"/>
    </row>
    <row r="229">
      <c r="A229" s="57"/>
      <c r="B229" s="59"/>
      <c r="C229" s="57"/>
      <c r="D229" s="59"/>
      <c r="E229" s="57"/>
      <c r="F229" s="59"/>
      <c r="G229" s="57"/>
      <c r="H229" s="59"/>
      <c r="I229" s="57"/>
      <c r="J229" s="59"/>
      <c r="K229" s="57"/>
      <c r="L229" s="59"/>
      <c r="M229" s="57"/>
      <c r="N229" s="59"/>
      <c r="O229" s="57"/>
      <c r="P229" s="63"/>
      <c r="Q229" s="57"/>
      <c r="R229" s="57"/>
      <c r="S229" s="57"/>
      <c r="T229" s="57"/>
      <c r="U229" s="57"/>
    </row>
    <row r="230">
      <c r="A230" s="57"/>
      <c r="B230" s="59"/>
      <c r="C230" s="57"/>
      <c r="D230" s="59"/>
      <c r="E230" s="57"/>
      <c r="F230" s="59"/>
      <c r="G230" s="57"/>
      <c r="H230" s="59"/>
      <c r="I230" s="57"/>
      <c r="J230" s="59"/>
      <c r="K230" s="57"/>
      <c r="L230" s="59"/>
      <c r="M230" s="57"/>
      <c r="N230" s="59"/>
      <c r="O230" s="57"/>
      <c r="P230" s="63"/>
      <c r="Q230" s="57"/>
      <c r="R230" s="57"/>
      <c r="S230" s="57"/>
      <c r="T230" s="57"/>
      <c r="U230" s="57"/>
    </row>
    <row r="231">
      <c r="A231" s="57"/>
      <c r="B231" s="59"/>
      <c r="C231" s="57"/>
      <c r="D231" s="59"/>
      <c r="E231" s="57"/>
      <c r="F231" s="59"/>
      <c r="G231" s="57"/>
      <c r="H231" s="59"/>
      <c r="I231" s="57"/>
      <c r="J231" s="59"/>
      <c r="K231" s="57"/>
      <c r="L231" s="59"/>
      <c r="M231" s="57"/>
      <c r="N231" s="59"/>
      <c r="O231" s="57"/>
      <c r="P231" s="63"/>
      <c r="Q231" s="57"/>
      <c r="R231" s="57"/>
      <c r="S231" s="57"/>
      <c r="T231" s="57"/>
      <c r="U231" s="57"/>
    </row>
    <row r="232">
      <c r="A232" s="57"/>
      <c r="B232" s="59"/>
      <c r="C232" s="57"/>
      <c r="D232" s="59"/>
      <c r="E232" s="57"/>
      <c r="F232" s="59"/>
      <c r="G232" s="57"/>
      <c r="H232" s="59"/>
      <c r="I232" s="57"/>
      <c r="J232" s="59"/>
      <c r="K232" s="57"/>
      <c r="L232" s="59"/>
      <c r="M232" s="57"/>
      <c r="N232" s="59"/>
      <c r="O232" s="57"/>
      <c r="P232" s="63"/>
      <c r="Q232" s="57"/>
      <c r="R232" s="57"/>
      <c r="S232" s="57"/>
      <c r="T232" s="57"/>
      <c r="U232" s="57"/>
    </row>
    <row r="233">
      <c r="A233" s="57"/>
      <c r="B233" s="59"/>
      <c r="C233" s="57"/>
      <c r="D233" s="59"/>
      <c r="E233" s="57"/>
      <c r="F233" s="59"/>
      <c r="G233" s="57"/>
      <c r="H233" s="59"/>
      <c r="I233" s="57"/>
      <c r="J233" s="59"/>
      <c r="K233" s="57"/>
      <c r="L233" s="59"/>
      <c r="M233" s="57"/>
      <c r="N233" s="59"/>
      <c r="O233" s="57"/>
      <c r="P233" s="63"/>
      <c r="Q233" s="57"/>
      <c r="R233" s="57"/>
      <c r="S233" s="57"/>
      <c r="T233" s="57"/>
      <c r="U233" s="57"/>
    </row>
    <row r="234">
      <c r="A234" s="57"/>
      <c r="B234" s="59"/>
      <c r="C234" s="57"/>
      <c r="D234" s="59"/>
      <c r="E234" s="57"/>
      <c r="F234" s="59"/>
      <c r="G234" s="57"/>
      <c r="H234" s="59"/>
      <c r="I234" s="57"/>
      <c r="J234" s="59"/>
      <c r="K234" s="57"/>
      <c r="L234" s="59"/>
      <c r="M234" s="57"/>
      <c r="N234" s="59"/>
      <c r="O234" s="57"/>
      <c r="P234" s="63"/>
      <c r="Q234" s="57"/>
      <c r="R234" s="57"/>
      <c r="S234" s="57"/>
      <c r="T234" s="57"/>
      <c r="U234" s="57"/>
    </row>
    <row r="235">
      <c r="A235" s="57"/>
      <c r="B235" s="59"/>
      <c r="C235" s="57"/>
      <c r="D235" s="59"/>
      <c r="E235" s="57"/>
      <c r="F235" s="59"/>
      <c r="G235" s="57"/>
      <c r="H235" s="59"/>
      <c r="I235" s="57"/>
      <c r="J235" s="59"/>
      <c r="K235" s="57"/>
      <c r="L235" s="59"/>
      <c r="M235" s="57"/>
      <c r="N235" s="59"/>
      <c r="O235" s="57"/>
      <c r="P235" s="63"/>
      <c r="Q235" s="57"/>
      <c r="R235" s="57"/>
      <c r="S235" s="57"/>
      <c r="T235" s="57"/>
      <c r="U235" s="57"/>
    </row>
    <row r="236">
      <c r="A236" s="57"/>
      <c r="B236" s="59"/>
      <c r="C236" s="57"/>
      <c r="D236" s="59"/>
      <c r="E236" s="57"/>
      <c r="F236" s="59"/>
      <c r="G236" s="57"/>
      <c r="H236" s="59"/>
      <c r="I236" s="57"/>
      <c r="J236" s="59"/>
      <c r="K236" s="57"/>
      <c r="L236" s="59"/>
      <c r="M236" s="57"/>
      <c r="N236" s="59"/>
      <c r="O236" s="57"/>
      <c r="P236" s="63"/>
      <c r="Q236" s="57"/>
      <c r="R236" s="57"/>
      <c r="S236" s="57"/>
      <c r="T236" s="57"/>
      <c r="U236" s="57"/>
    </row>
    <row r="237">
      <c r="A237" s="57"/>
      <c r="B237" s="59"/>
      <c r="C237" s="57"/>
      <c r="D237" s="59"/>
      <c r="E237" s="57"/>
      <c r="F237" s="59"/>
      <c r="G237" s="57"/>
      <c r="H237" s="59"/>
      <c r="I237" s="57"/>
      <c r="J237" s="59"/>
      <c r="K237" s="57"/>
      <c r="L237" s="59"/>
      <c r="M237" s="57"/>
      <c r="N237" s="59"/>
      <c r="O237" s="57"/>
      <c r="P237" s="63"/>
      <c r="Q237" s="57"/>
      <c r="R237" s="57"/>
      <c r="S237" s="57"/>
      <c r="T237" s="57"/>
      <c r="U237" s="57"/>
    </row>
    <row r="238">
      <c r="A238" s="57"/>
      <c r="B238" s="59"/>
      <c r="C238" s="57"/>
      <c r="D238" s="59"/>
      <c r="E238" s="57"/>
      <c r="F238" s="59"/>
      <c r="G238" s="57"/>
      <c r="H238" s="59"/>
      <c r="I238" s="57"/>
      <c r="J238" s="59"/>
      <c r="K238" s="57"/>
      <c r="L238" s="59"/>
      <c r="M238" s="57"/>
      <c r="N238" s="59"/>
      <c r="O238" s="57"/>
      <c r="P238" s="63"/>
      <c r="Q238" s="57"/>
      <c r="R238" s="57"/>
      <c r="S238" s="57"/>
      <c r="T238" s="57"/>
      <c r="U238" s="57"/>
    </row>
    <row r="239">
      <c r="A239" s="57"/>
      <c r="B239" s="59"/>
      <c r="C239" s="57"/>
      <c r="D239" s="59"/>
      <c r="E239" s="57"/>
      <c r="F239" s="59"/>
      <c r="G239" s="57"/>
      <c r="H239" s="59"/>
      <c r="I239" s="57"/>
      <c r="J239" s="59"/>
      <c r="K239" s="57"/>
      <c r="L239" s="59"/>
      <c r="M239" s="57"/>
      <c r="N239" s="59"/>
      <c r="O239" s="57"/>
      <c r="P239" s="63"/>
      <c r="Q239" s="57"/>
      <c r="R239" s="57"/>
      <c r="S239" s="57"/>
      <c r="T239" s="57"/>
      <c r="U239" s="57"/>
    </row>
    <row r="240">
      <c r="A240" s="57"/>
      <c r="B240" s="59"/>
      <c r="C240" s="57"/>
      <c r="D240" s="59"/>
      <c r="E240" s="57"/>
      <c r="F240" s="59"/>
      <c r="G240" s="57"/>
      <c r="H240" s="59"/>
      <c r="I240" s="57"/>
      <c r="J240" s="59"/>
      <c r="K240" s="57"/>
      <c r="L240" s="59"/>
      <c r="M240" s="57"/>
      <c r="N240" s="59"/>
      <c r="O240" s="57"/>
      <c r="P240" s="63"/>
      <c r="Q240" s="57"/>
      <c r="R240" s="57"/>
      <c r="S240" s="57"/>
      <c r="T240" s="57"/>
      <c r="U240" s="57"/>
    </row>
    <row r="241">
      <c r="A241" s="57"/>
      <c r="B241" s="59"/>
      <c r="C241" s="57"/>
      <c r="D241" s="59"/>
      <c r="E241" s="57"/>
      <c r="F241" s="59"/>
      <c r="G241" s="57"/>
      <c r="H241" s="59"/>
      <c r="I241" s="57"/>
      <c r="J241" s="59"/>
      <c r="K241" s="57"/>
      <c r="L241" s="59"/>
      <c r="M241" s="57"/>
      <c r="N241" s="59"/>
      <c r="O241" s="57"/>
      <c r="P241" s="63"/>
      <c r="Q241" s="57"/>
      <c r="R241" s="57"/>
      <c r="S241" s="57"/>
      <c r="T241" s="57"/>
      <c r="U241" s="57"/>
    </row>
    <row r="242">
      <c r="A242" s="57"/>
      <c r="B242" s="59"/>
      <c r="C242" s="57"/>
      <c r="D242" s="59"/>
      <c r="E242" s="57"/>
      <c r="F242" s="59"/>
      <c r="G242" s="57"/>
      <c r="H242" s="59"/>
      <c r="I242" s="57"/>
      <c r="J242" s="59"/>
      <c r="K242" s="57"/>
      <c r="L242" s="59"/>
      <c r="M242" s="57"/>
      <c r="N242" s="59"/>
      <c r="O242" s="57"/>
      <c r="P242" s="63"/>
      <c r="Q242" s="57"/>
      <c r="R242" s="57"/>
      <c r="S242" s="57"/>
      <c r="T242" s="57"/>
      <c r="U242" s="57"/>
    </row>
    <row r="243">
      <c r="A243" s="57"/>
      <c r="B243" s="59"/>
      <c r="C243" s="57"/>
      <c r="D243" s="59"/>
      <c r="E243" s="57"/>
      <c r="F243" s="59"/>
      <c r="G243" s="57"/>
      <c r="H243" s="59"/>
      <c r="I243" s="57"/>
      <c r="J243" s="59"/>
      <c r="K243" s="57"/>
      <c r="L243" s="59"/>
      <c r="M243" s="57"/>
      <c r="N243" s="59"/>
      <c r="O243" s="57"/>
      <c r="P243" s="63"/>
      <c r="Q243" s="57"/>
      <c r="R243" s="57"/>
      <c r="S243" s="57"/>
      <c r="T243" s="57"/>
      <c r="U243" s="57"/>
    </row>
    <row r="244">
      <c r="A244" s="57"/>
      <c r="B244" s="59"/>
      <c r="C244" s="57"/>
      <c r="D244" s="59"/>
      <c r="E244" s="57"/>
      <c r="F244" s="59"/>
      <c r="G244" s="57"/>
      <c r="H244" s="59"/>
      <c r="I244" s="57"/>
      <c r="J244" s="59"/>
      <c r="K244" s="57"/>
      <c r="L244" s="59"/>
      <c r="M244" s="57"/>
      <c r="N244" s="59"/>
      <c r="O244" s="57"/>
      <c r="P244" s="63"/>
      <c r="Q244" s="57"/>
      <c r="R244" s="57"/>
      <c r="S244" s="57"/>
      <c r="T244" s="57"/>
      <c r="U244" s="57"/>
    </row>
    <row r="245">
      <c r="A245" s="57"/>
      <c r="B245" s="59"/>
      <c r="C245" s="57"/>
      <c r="D245" s="59"/>
      <c r="E245" s="57"/>
      <c r="F245" s="59"/>
      <c r="G245" s="57"/>
      <c r="H245" s="59"/>
      <c r="I245" s="57"/>
      <c r="J245" s="59"/>
      <c r="K245" s="57"/>
      <c r="L245" s="59"/>
      <c r="M245" s="57"/>
      <c r="N245" s="59"/>
      <c r="O245" s="57"/>
      <c r="P245" s="63"/>
      <c r="Q245" s="57"/>
      <c r="R245" s="57"/>
      <c r="S245" s="57"/>
      <c r="T245" s="57"/>
      <c r="U245" s="57"/>
    </row>
    <row r="246">
      <c r="A246" s="57"/>
      <c r="B246" s="59"/>
      <c r="C246" s="57"/>
      <c r="D246" s="59"/>
      <c r="E246" s="57"/>
      <c r="F246" s="59"/>
      <c r="G246" s="57"/>
      <c r="H246" s="59"/>
      <c r="I246" s="57"/>
      <c r="J246" s="59"/>
      <c r="K246" s="57"/>
      <c r="L246" s="59"/>
      <c r="M246" s="57"/>
      <c r="N246" s="59"/>
      <c r="O246" s="57"/>
      <c r="P246" s="63"/>
      <c r="Q246" s="57"/>
      <c r="R246" s="57"/>
      <c r="S246" s="57"/>
      <c r="T246" s="57"/>
      <c r="U246" s="57"/>
    </row>
    <row r="247">
      <c r="A247" s="57"/>
      <c r="B247" s="59"/>
      <c r="C247" s="57"/>
      <c r="D247" s="59"/>
      <c r="E247" s="57"/>
      <c r="F247" s="59"/>
      <c r="G247" s="57"/>
      <c r="H247" s="59"/>
      <c r="I247" s="57"/>
      <c r="J247" s="59"/>
      <c r="K247" s="57"/>
      <c r="L247" s="59"/>
      <c r="M247" s="57"/>
      <c r="N247" s="59"/>
      <c r="O247" s="57"/>
      <c r="P247" s="63"/>
      <c r="Q247" s="57"/>
      <c r="R247" s="57"/>
      <c r="S247" s="57"/>
      <c r="T247" s="57"/>
      <c r="U247" s="57"/>
    </row>
    <row r="248">
      <c r="A248" s="57"/>
      <c r="B248" s="59"/>
      <c r="C248" s="57"/>
      <c r="D248" s="59"/>
      <c r="E248" s="57"/>
      <c r="F248" s="59"/>
      <c r="G248" s="57"/>
      <c r="H248" s="59"/>
      <c r="I248" s="57"/>
      <c r="J248" s="59"/>
      <c r="K248" s="57"/>
      <c r="L248" s="59"/>
      <c r="M248" s="57"/>
      <c r="N248" s="59"/>
      <c r="O248" s="57"/>
      <c r="P248" s="63"/>
      <c r="Q248" s="57"/>
      <c r="R248" s="57"/>
      <c r="S248" s="57"/>
      <c r="T248" s="57"/>
      <c r="U248" s="57"/>
    </row>
    <row r="249">
      <c r="A249" s="57"/>
      <c r="B249" s="59"/>
      <c r="C249" s="57"/>
      <c r="D249" s="59"/>
      <c r="E249" s="57"/>
      <c r="F249" s="59"/>
      <c r="G249" s="57"/>
      <c r="H249" s="59"/>
      <c r="I249" s="57"/>
      <c r="J249" s="59"/>
      <c r="K249" s="57"/>
      <c r="L249" s="59"/>
      <c r="M249" s="57"/>
      <c r="N249" s="59"/>
      <c r="O249" s="57"/>
      <c r="P249" s="63"/>
      <c r="Q249" s="57"/>
      <c r="R249" s="57"/>
      <c r="S249" s="57"/>
      <c r="T249" s="57"/>
      <c r="U249" s="57"/>
    </row>
    <row r="250">
      <c r="A250" s="57"/>
      <c r="B250" s="59"/>
      <c r="C250" s="57"/>
      <c r="D250" s="59"/>
      <c r="E250" s="57"/>
      <c r="F250" s="59"/>
      <c r="G250" s="57"/>
      <c r="H250" s="59"/>
      <c r="I250" s="57"/>
      <c r="J250" s="59"/>
      <c r="K250" s="57"/>
      <c r="L250" s="59"/>
      <c r="M250" s="57"/>
      <c r="N250" s="59"/>
      <c r="O250" s="57"/>
      <c r="P250" s="63"/>
      <c r="Q250" s="57"/>
      <c r="R250" s="57"/>
      <c r="S250" s="57"/>
      <c r="T250" s="57"/>
      <c r="U250" s="57"/>
    </row>
    <row r="251">
      <c r="A251" s="57"/>
      <c r="B251" s="59"/>
      <c r="C251" s="57"/>
      <c r="D251" s="59"/>
      <c r="E251" s="57"/>
      <c r="F251" s="59"/>
      <c r="G251" s="57"/>
      <c r="H251" s="59"/>
      <c r="I251" s="57"/>
      <c r="J251" s="59"/>
      <c r="K251" s="57"/>
      <c r="L251" s="59"/>
      <c r="M251" s="57"/>
      <c r="N251" s="59"/>
      <c r="O251" s="57"/>
      <c r="P251" s="63"/>
      <c r="Q251" s="57"/>
      <c r="R251" s="57"/>
      <c r="S251" s="57"/>
      <c r="T251" s="57"/>
      <c r="U251" s="57"/>
    </row>
    <row r="252">
      <c r="A252" s="57"/>
      <c r="B252" s="59"/>
      <c r="C252" s="57"/>
      <c r="D252" s="59"/>
      <c r="E252" s="57"/>
      <c r="F252" s="59"/>
      <c r="G252" s="57"/>
      <c r="H252" s="59"/>
      <c r="I252" s="57"/>
      <c r="J252" s="59"/>
      <c r="K252" s="57"/>
      <c r="L252" s="59"/>
      <c r="M252" s="57"/>
      <c r="N252" s="59"/>
      <c r="O252" s="57"/>
      <c r="P252" s="63"/>
      <c r="Q252" s="57"/>
      <c r="R252" s="57"/>
      <c r="S252" s="57"/>
      <c r="T252" s="57"/>
      <c r="U252" s="57"/>
    </row>
    <row r="253">
      <c r="A253" s="57"/>
      <c r="B253" s="59"/>
      <c r="C253" s="57"/>
      <c r="D253" s="59"/>
      <c r="E253" s="57"/>
      <c r="F253" s="59"/>
      <c r="G253" s="57"/>
      <c r="H253" s="59"/>
      <c r="I253" s="57"/>
      <c r="J253" s="59"/>
      <c r="K253" s="57"/>
      <c r="L253" s="59"/>
      <c r="M253" s="57"/>
      <c r="N253" s="59"/>
      <c r="O253" s="57"/>
      <c r="P253" s="63"/>
      <c r="Q253" s="57"/>
      <c r="R253" s="57"/>
      <c r="S253" s="57"/>
      <c r="T253" s="57"/>
      <c r="U253" s="57"/>
    </row>
    <row r="254">
      <c r="A254" s="57"/>
      <c r="B254" s="59"/>
      <c r="C254" s="57"/>
      <c r="D254" s="59"/>
      <c r="E254" s="57"/>
      <c r="F254" s="59"/>
      <c r="G254" s="57"/>
      <c r="H254" s="59"/>
      <c r="I254" s="57"/>
      <c r="J254" s="59"/>
      <c r="K254" s="57"/>
      <c r="L254" s="59"/>
      <c r="M254" s="57"/>
      <c r="N254" s="59"/>
      <c r="O254" s="57"/>
      <c r="P254" s="63"/>
      <c r="Q254" s="57"/>
      <c r="R254" s="57"/>
      <c r="S254" s="57"/>
      <c r="T254" s="57"/>
      <c r="U254" s="57"/>
    </row>
    <row r="255">
      <c r="A255" s="57"/>
      <c r="B255" s="59"/>
      <c r="C255" s="57"/>
      <c r="D255" s="59"/>
      <c r="E255" s="57"/>
      <c r="F255" s="59"/>
      <c r="G255" s="57"/>
      <c r="H255" s="59"/>
      <c r="I255" s="57"/>
      <c r="J255" s="59"/>
      <c r="K255" s="57"/>
      <c r="L255" s="59"/>
      <c r="M255" s="57"/>
      <c r="N255" s="59"/>
      <c r="O255" s="57"/>
      <c r="P255" s="63"/>
      <c r="Q255" s="57"/>
      <c r="R255" s="57"/>
      <c r="S255" s="57"/>
      <c r="T255" s="57"/>
      <c r="U255" s="57"/>
    </row>
    <row r="256">
      <c r="A256" s="57"/>
      <c r="B256" s="59"/>
      <c r="C256" s="57"/>
      <c r="D256" s="59"/>
      <c r="E256" s="57"/>
      <c r="F256" s="59"/>
      <c r="G256" s="57"/>
      <c r="H256" s="59"/>
      <c r="I256" s="57"/>
      <c r="J256" s="59"/>
      <c r="K256" s="57"/>
      <c r="L256" s="59"/>
      <c r="M256" s="57"/>
      <c r="N256" s="59"/>
      <c r="O256" s="57"/>
      <c r="P256" s="63"/>
      <c r="Q256" s="57"/>
      <c r="R256" s="57"/>
      <c r="S256" s="57"/>
      <c r="T256" s="57"/>
      <c r="U256" s="57"/>
    </row>
    <row r="257">
      <c r="A257" s="57"/>
      <c r="B257" s="59"/>
      <c r="C257" s="57"/>
      <c r="D257" s="59"/>
      <c r="E257" s="57"/>
      <c r="F257" s="59"/>
      <c r="G257" s="57"/>
      <c r="H257" s="59"/>
      <c r="I257" s="57"/>
      <c r="J257" s="59"/>
      <c r="K257" s="57"/>
      <c r="L257" s="59"/>
      <c r="M257" s="57"/>
      <c r="N257" s="59"/>
      <c r="O257" s="57"/>
      <c r="P257" s="63"/>
      <c r="Q257" s="57"/>
      <c r="R257" s="57"/>
      <c r="S257" s="57"/>
      <c r="T257" s="57"/>
      <c r="U257" s="57"/>
    </row>
    <row r="258">
      <c r="A258" s="57"/>
      <c r="B258" s="59"/>
      <c r="C258" s="57"/>
      <c r="D258" s="59"/>
      <c r="E258" s="57"/>
      <c r="F258" s="59"/>
      <c r="G258" s="57"/>
      <c r="H258" s="59"/>
      <c r="I258" s="57"/>
      <c r="J258" s="59"/>
      <c r="K258" s="57"/>
      <c r="L258" s="59"/>
      <c r="M258" s="57"/>
      <c r="N258" s="59"/>
      <c r="O258" s="57"/>
      <c r="P258" s="63"/>
      <c r="Q258" s="57"/>
      <c r="R258" s="57"/>
      <c r="S258" s="57"/>
      <c r="T258" s="57"/>
      <c r="U258" s="57"/>
    </row>
    <row r="259">
      <c r="A259" s="57"/>
      <c r="B259" s="59"/>
      <c r="C259" s="57"/>
      <c r="D259" s="59"/>
      <c r="E259" s="57"/>
      <c r="F259" s="59"/>
      <c r="G259" s="57"/>
      <c r="H259" s="59"/>
      <c r="I259" s="57"/>
      <c r="J259" s="59"/>
      <c r="K259" s="57"/>
      <c r="L259" s="59"/>
      <c r="M259" s="57"/>
      <c r="N259" s="59"/>
      <c r="O259" s="57"/>
      <c r="P259" s="63"/>
      <c r="Q259" s="57"/>
      <c r="R259" s="57"/>
      <c r="S259" s="57"/>
      <c r="T259" s="57"/>
      <c r="U259" s="57"/>
    </row>
    <row r="260">
      <c r="A260" s="57"/>
      <c r="B260" s="59"/>
      <c r="C260" s="57"/>
      <c r="D260" s="59"/>
      <c r="E260" s="57"/>
      <c r="F260" s="59"/>
      <c r="G260" s="57"/>
      <c r="H260" s="59"/>
      <c r="I260" s="57"/>
      <c r="J260" s="59"/>
      <c r="K260" s="57"/>
      <c r="L260" s="59"/>
      <c r="M260" s="57"/>
      <c r="N260" s="59"/>
      <c r="O260" s="57"/>
      <c r="P260" s="63"/>
      <c r="Q260" s="57"/>
      <c r="R260" s="57"/>
      <c r="S260" s="57"/>
      <c r="T260" s="57"/>
      <c r="U260" s="57"/>
    </row>
    <row r="261">
      <c r="A261" s="57"/>
      <c r="B261" s="59"/>
      <c r="C261" s="57"/>
      <c r="D261" s="59"/>
      <c r="E261" s="57"/>
      <c r="F261" s="59"/>
      <c r="G261" s="57"/>
      <c r="H261" s="59"/>
      <c r="I261" s="57"/>
      <c r="J261" s="59"/>
      <c r="K261" s="57"/>
      <c r="L261" s="59"/>
      <c r="M261" s="57"/>
      <c r="N261" s="59"/>
      <c r="O261" s="57"/>
      <c r="P261" s="63"/>
      <c r="Q261" s="57"/>
      <c r="R261" s="57"/>
      <c r="S261" s="57"/>
      <c r="T261" s="57"/>
      <c r="U261" s="57"/>
    </row>
    <row r="262">
      <c r="A262" s="57"/>
      <c r="B262" s="59"/>
      <c r="C262" s="57"/>
      <c r="D262" s="59"/>
      <c r="E262" s="57"/>
      <c r="F262" s="59"/>
      <c r="G262" s="57"/>
      <c r="H262" s="59"/>
      <c r="I262" s="57"/>
      <c r="J262" s="59"/>
      <c r="K262" s="57"/>
      <c r="L262" s="59"/>
      <c r="M262" s="57"/>
      <c r="N262" s="59"/>
      <c r="O262" s="57"/>
      <c r="P262" s="63"/>
      <c r="Q262" s="57"/>
      <c r="R262" s="57"/>
      <c r="S262" s="57"/>
      <c r="T262" s="57"/>
      <c r="U262" s="57"/>
    </row>
    <row r="263">
      <c r="A263" s="57"/>
      <c r="B263" s="59"/>
      <c r="C263" s="57"/>
      <c r="D263" s="59"/>
      <c r="E263" s="57"/>
      <c r="F263" s="59"/>
      <c r="G263" s="57"/>
      <c r="H263" s="59"/>
      <c r="I263" s="57"/>
      <c r="J263" s="59"/>
      <c r="K263" s="57"/>
      <c r="L263" s="59"/>
      <c r="M263" s="57"/>
      <c r="N263" s="59"/>
      <c r="O263" s="57"/>
      <c r="P263" s="63"/>
      <c r="Q263" s="57"/>
      <c r="R263" s="57"/>
      <c r="S263" s="57"/>
      <c r="T263" s="57"/>
      <c r="U263" s="57"/>
    </row>
    <row r="264">
      <c r="A264" s="57"/>
      <c r="B264" s="59"/>
      <c r="C264" s="57"/>
      <c r="D264" s="59"/>
      <c r="E264" s="57"/>
      <c r="F264" s="59"/>
      <c r="G264" s="57"/>
      <c r="H264" s="59"/>
      <c r="I264" s="57"/>
      <c r="J264" s="59"/>
      <c r="K264" s="57"/>
      <c r="L264" s="59"/>
      <c r="M264" s="57"/>
      <c r="N264" s="59"/>
      <c r="O264" s="57"/>
      <c r="P264" s="63"/>
      <c r="Q264" s="57"/>
      <c r="R264" s="57"/>
      <c r="S264" s="57"/>
      <c r="T264" s="57"/>
      <c r="U264" s="57"/>
    </row>
    <row r="265">
      <c r="A265" s="57"/>
      <c r="B265" s="59"/>
      <c r="C265" s="57"/>
      <c r="D265" s="59"/>
      <c r="E265" s="57"/>
      <c r="F265" s="59"/>
      <c r="G265" s="57"/>
      <c r="H265" s="59"/>
      <c r="I265" s="57"/>
      <c r="J265" s="59"/>
      <c r="K265" s="57"/>
      <c r="L265" s="59"/>
      <c r="M265" s="57"/>
      <c r="N265" s="59"/>
      <c r="O265" s="57"/>
      <c r="P265" s="63"/>
      <c r="Q265" s="57"/>
      <c r="R265" s="57"/>
      <c r="S265" s="57"/>
      <c r="T265" s="57"/>
      <c r="U265" s="57"/>
    </row>
    <row r="266">
      <c r="A266" s="57"/>
      <c r="B266" s="59"/>
      <c r="C266" s="57"/>
      <c r="D266" s="59"/>
      <c r="E266" s="57"/>
      <c r="F266" s="59"/>
      <c r="G266" s="57"/>
      <c r="H266" s="59"/>
      <c r="I266" s="57"/>
      <c r="J266" s="59"/>
      <c r="K266" s="57"/>
      <c r="L266" s="59"/>
      <c r="M266" s="57"/>
      <c r="N266" s="59"/>
      <c r="O266" s="57"/>
      <c r="P266" s="63"/>
      <c r="Q266" s="57"/>
      <c r="R266" s="57"/>
      <c r="S266" s="57"/>
      <c r="T266" s="57"/>
      <c r="U266" s="57"/>
    </row>
    <row r="267">
      <c r="A267" s="57"/>
      <c r="B267" s="59"/>
      <c r="C267" s="57"/>
      <c r="D267" s="59"/>
      <c r="E267" s="57"/>
      <c r="F267" s="59"/>
      <c r="G267" s="57"/>
      <c r="H267" s="59"/>
      <c r="I267" s="57"/>
      <c r="J267" s="59"/>
      <c r="K267" s="57"/>
      <c r="L267" s="59"/>
      <c r="M267" s="57"/>
      <c r="N267" s="59"/>
      <c r="O267" s="57"/>
      <c r="P267" s="63"/>
      <c r="Q267" s="57"/>
      <c r="R267" s="57"/>
      <c r="S267" s="57"/>
      <c r="T267" s="57"/>
      <c r="U267" s="57"/>
    </row>
    <row r="268">
      <c r="A268" s="57"/>
      <c r="B268" s="59"/>
      <c r="C268" s="57"/>
      <c r="D268" s="59"/>
      <c r="E268" s="57"/>
      <c r="F268" s="59"/>
      <c r="G268" s="57"/>
      <c r="H268" s="59"/>
      <c r="I268" s="57"/>
      <c r="J268" s="59"/>
      <c r="K268" s="57"/>
      <c r="L268" s="59"/>
      <c r="M268" s="57"/>
      <c r="N268" s="59"/>
      <c r="O268" s="57"/>
      <c r="P268" s="63"/>
      <c r="Q268" s="57"/>
      <c r="R268" s="57"/>
      <c r="S268" s="57"/>
      <c r="T268" s="57"/>
      <c r="U268" s="57"/>
    </row>
    <row r="269">
      <c r="A269" s="57"/>
      <c r="B269" s="59"/>
      <c r="C269" s="57"/>
      <c r="D269" s="59"/>
      <c r="E269" s="57"/>
      <c r="F269" s="59"/>
      <c r="G269" s="57"/>
      <c r="H269" s="59"/>
      <c r="I269" s="57"/>
      <c r="J269" s="59"/>
      <c r="K269" s="57"/>
      <c r="L269" s="59"/>
      <c r="M269" s="57"/>
      <c r="N269" s="59"/>
      <c r="O269" s="57"/>
      <c r="P269" s="63"/>
      <c r="Q269" s="57"/>
      <c r="R269" s="57"/>
      <c r="S269" s="57"/>
      <c r="T269" s="57"/>
      <c r="U269" s="57"/>
    </row>
    <row r="270">
      <c r="A270" s="57"/>
      <c r="B270" s="59"/>
      <c r="C270" s="57"/>
      <c r="D270" s="59"/>
      <c r="E270" s="57"/>
      <c r="F270" s="59"/>
      <c r="G270" s="57"/>
      <c r="H270" s="59"/>
      <c r="I270" s="57"/>
      <c r="J270" s="59"/>
      <c r="K270" s="57"/>
      <c r="L270" s="59"/>
      <c r="M270" s="57"/>
      <c r="N270" s="59"/>
      <c r="O270" s="57"/>
      <c r="P270" s="63"/>
      <c r="Q270" s="57"/>
      <c r="R270" s="57"/>
      <c r="S270" s="57"/>
      <c r="T270" s="57"/>
      <c r="U270" s="57"/>
    </row>
    <row r="271">
      <c r="A271" s="57"/>
      <c r="B271" s="59"/>
      <c r="C271" s="57"/>
      <c r="D271" s="59"/>
      <c r="E271" s="57"/>
      <c r="F271" s="59"/>
      <c r="G271" s="57"/>
      <c r="H271" s="59"/>
      <c r="I271" s="57"/>
      <c r="J271" s="59"/>
      <c r="K271" s="57"/>
      <c r="L271" s="59"/>
      <c r="M271" s="57"/>
      <c r="N271" s="59"/>
      <c r="O271" s="57"/>
      <c r="P271" s="63"/>
      <c r="Q271" s="57"/>
      <c r="R271" s="57"/>
      <c r="S271" s="57"/>
      <c r="T271" s="57"/>
      <c r="U271" s="57"/>
    </row>
    <row r="272">
      <c r="A272" s="57"/>
      <c r="B272" s="59"/>
      <c r="C272" s="57"/>
      <c r="D272" s="59"/>
      <c r="E272" s="57"/>
      <c r="F272" s="59"/>
      <c r="G272" s="57"/>
      <c r="H272" s="59"/>
      <c r="I272" s="57"/>
      <c r="J272" s="59"/>
      <c r="K272" s="57"/>
      <c r="L272" s="59"/>
      <c r="M272" s="57"/>
      <c r="N272" s="59"/>
      <c r="O272" s="57"/>
      <c r="P272" s="63"/>
      <c r="Q272" s="57"/>
      <c r="R272" s="57"/>
      <c r="S272" s="57"/>
      <c r="T272" s="57"/>
      <c r="U272" s="57"/>
    </row>
    <row r="273">
      <c r="A273" s="57"/>
      <c r="B273" s="59"/>
      <c r="C273" s="57"/>
      <c r="D273" s="59"/>
      <c r="E273" s="57"/>
      <c r="F273" s="59"/>
      <c r="G273" s="57"/>
      <c r="H273" s="59"/>
      <c r="I273" s="57"/>
      <c r="J273" s="59"/>
      <c r="K273" s="57"/>
      <c r="L273" s="59"/>
      <c r="M273" s="57"/>
      <c r="N273" s="59"/>
      <c r="O273" s="57"/>
      <c r="P273" s="63"/>
      <c r="Q273" s="57"/>
      <c r="R273" s="57"/>
      <c r="S273" s="57"/>
      <c r="T273" s="57"/>
      <c r="U273" s="57"/>
    </row>
    <row r="274">
      <c r="A274" s="57"/>
      <c r="B274" s="59"/>
      <c r="C274" s="57"/>
      <c r="D274" s="59"/>
      <c r="E274" s="57"/>
      <c r="F274" s="59"/>
      <c r="G274" s="57"/>
      <c r="H274" s="59"/>
      <c r="I274" s="57"/>
      <c r="J274" s="59"/>
      <c r="K274" s="57"/>
      <c r="L274" s="59"/>
      <c r="M274" s="57"/>
      <c r="N274" s="59"/>
      <c r="O274" s="57"/>
      <c r="P274" s="63"/>
      <c r="Q274" s="57"/>
      <c r="R274" s="57"/>
      <c r="S274" s="57"/>
      <c r="T274" s="57"/>
      <c r="U274" s="57"/>
    </row>
    <row r="275">
      <c r="A275" s="57"/>
      <c r="B275" s="59"/>
      <c r="C275" s="57"/>
      <c r="D275" s="59"/>
      <c r="E275" s="57"/>
      <c r="F275" s="59"/>
      <c r="G275" s="57"/>
      <c r="H275" s="59"/>
      <c r="I275" s="57"/>
      <c r="J275" s="59"/>
      <c r="K275" s="57"/>
      <c r="L275" s="59"/>
      <c r="M275" s="57"/>
      <c r="N275" s="59"/>
      <c r="O275" s="57"/>
      <c r="P275" s="63"/>
      <c r="Q275" s="57"/>
      <c r="R275" s="57"/>
      <c r="S275" s="57"/>
      <c r="T275" s="57"/>
      <c r="U275" s="57"/>
    </row>
    <row r="276">
      <c r="A276" s="57"/>
      <c r="B276" s="59"/>
      <c r="C276" s="57"/>
      <c r="D276" s="59"/>
      <c r="E276" s="57"/>
      <c r="F276" s="59"/>
      <c r="G276" s="57"/>
      <c r="H276" s="59"/>
      <c r="I276" s="57"/>
      <c r="J276" s="59"/>
      <c r="K276" s="57"/>
      <c r="L276" s="59"/>
      <c r="M276" s="57"/>
      <c r="N276" s="59"/>
      <c r="O276" s="57"/>
      <c r="P276" s="63"/>
      <c r="Q276" s="57"/>
      <c r="R276" s="57"/>
      <c r="S276" s="57"/>
      <c r="T276" s="57"/>
      <c r="U276" s="57"/>
    </row>
    <row r="277">
      <c r="A277" s="57"/>
      <c r="B277" s="59"/>
      <c r="C277" s="57"/>
      <c r="D277" s="59"/>
      <c r="E277" s="57"/>
      <c r="F277" s="59"/>
      <c r="G277" s="57"/>
      <c r="H277" s="59"/>
      <c r="I277" s="57"/>
      <c r="J277" s="59"/>
      <c r="K277" s="57"/>
      <c r="L277" s="59"/>
      <c r="M277" s="57"/>
      <c r="N277" s="59"/>
      <c r="O277" s="57"/>
      <c r="P277" s="63"/>
      <c r="Q277" s="57"/>
      <c r="R277" s="57"/>
      <c r="S277" s="57"/>
      <c r="T277" s="57"/>
      <c r="U277" s="57"/>
    </row>
    <row r="278">
      <c r="A278" s="57"/>
      <c r="B278" s="59"/>
      <c r="C278" s="57"/>
      <c r="D278" s="59"/>
      <c r="E278" s="57"/>
      <c r="F278" s="59"/>
      <c r="G278" s="57"/>
      <c r="H278" s="59"/>
      <c r="I278" s="57"/>
      <c r="J278" s="59"/>
      <c r="K278" s="57"/>
      <c r="L278" s="59"/>
      <c r="M278" s="57"/>
      <c r="N278" s="59"/>
      <c r="O278" s="57"/>
      <c r="P278" s="63"/>
      <c r="Q278" s="57"/>
      <c r="R278" s="57"/>
      <c r="S278" s="57"/>
      <c r="T278" s="57"/>
      <c r="U278" s="57"/>
    </row>
    <row r="279">
      <c r="A279" s="57"/>
      <c r="B279" s="59"/>
      <c r="C279" s="57"/>
      <c r="D279" s="59"/>
      <c r="E279" s="57"/>
      <c r="F279" s="59"/>
      <c r="G279" s="57"/>
      <c r="H279" s="59"/>
      <c r="I279" s="57"/>
      <c r="J279" s="59"/>
      <c r="K279" s="57"/>
      <c r="L279" s="59"/>
      <c r="M279" s="57"/>
      <c r="N279" s="59"/>
      <c r="O279" s="57"/>
      <c r="P279" s="63"/>
      <c r="Q279" s="57"/>
      <c r="R279" s="57"/>
      <c r="S279" s="57"/>
      <c r="T279" s="57"/>
      <c r="U279" s="57"/>
    </row>
    <row r="280">
      <c r="A280" s="57"/>
      <c r="B280" s="59"/>
      <c r="C280" s="57"/>
      <c r="D280" s="59"/>
      <c r="E280" s="57"/>
      <c r="F280" s="59"/>
      <c r="G280" s="57"/>
      <c r="H280" s="59"/>
      <c r="I280" s="57"/>
      <c r="J280" s="59"/>
      <c r="K280" s="57"/>
      <c r="L280" s="59"/>
      <c r="M280" s="57"/>
      <c r="N280" s="59"/>
      <c r="O280" s="57"/>
      <c r="P280" s="63"/>
      <c r="Q280" s="57"/>
      <c r="R280" s="57"/>
      <c r="S280" s="57"/>
      <c r="T280" s="57"/>
      <c r="U280" s="57"/>
    </row>
    <row r="281">
      <c r="A281" s="57"/>
      <c r="B281" s="59"/>
      <c r="C281" s="57"/>
      <c r="D281" s="59"/>
      <c r="E281" s="57"/>
      <c r="F281" s="59"/>
      <c r="G281" s="57"/>
      <c r="H281" s="59"/>
      <c r="I281" s="57"/>
      <c r="J281" s="59"/>
      <c r="K281" s="57"/>
      <c r="L281" s="59"/>
      <c r="M281" s="57"/>
      <c r="N281" s="59"/>
      <c r="O281" s="57"/>
      <c r="P281" s="63"/>
      <c r="Q281" s="57"/>
      <c r="R281" s="57"/>
      <c r="S281" s="57"/>
      <c r="T281" s="57"/>
      <c r="U281" s="57"/>
    </row>
    <row r="282">
      <c r="A282" s="57"/>
      <c r="B282" s="59"/>
      <c r="C282" s="57"/>
      <c r="D282" s="59"/>
      <c r="E282" s="57"/>
      <c r="F282" s="59"/>
      <c r="G282" s="57"/>
      <c r="H282" s="59"/>
      <c r="I282" s="57"/>
      <c r="J282" s="59"/>
      <c r="K282" s="57"/>
      <c r="L282" s="59"/>
      <c r="M282" s="57"/>
      <c r="N282" s="59"/>
      <c r="O282" s="57"/>
      <c r="P282" s="63"/>
      <c r="Q282" s="57"/>
      <c r="R282" s="57"/>
      <c r="S282" s="57"/>
      <c r="T282" s="57"/>
      <c r="U282" s="57"/>
    </row>
    <row r="283">
      <c r="A283" s="57"/>
      <c r="B283" s="59"/>
      <c r="C283" s="57"/>
      <c r="D283" s="59"/>
      <c r="E283" s="57"/>
      <c r="F283" s="59"/>
      <c r="G283" s="57"/>
      <c r="H283" s="59"/>
      <c r="I283" s="57"/>
      <c r="J283" s="59"/>
      <c r="K283" s="57"/>
      <c r="L283" s="59"/>
      <c r="M283" s="57"/>
      <c r="N283" s="59"/>
      <c r="O283" s="57"/>
      <c r="P283" s="63"/>
      <c r="Q283" s="57"/>
      <c r="R283" s="57"/>
      <c r="S283" s="57"/>
      <c r="T283" s="57"/>
      <c r="U283" s="57"/>
    </row>
    <row r="284">
      <c r="A284" s="57"/>
      <c r="B284" s="59"/>
      <c r="C284" s="57"/>
      <c r="D284" s="59"/>
      <c r="E284" s="57"/>
      <c r="F284" s="59"/>
      <c r="G284" s="57"/>
      <c r="H284" s="59"/>
      <c r="I284" s="57"/>
      <c r="J284" s="59"/>
      <c r="K284" s="57"/>
      <c r="L284" s="59"/>
      <c r="M284" s="57"/>
      <c r="N284" s="59"/>
      <c r="O284" s="57"/>
      <c r="P284" s="63"/>
      <c r="Q284" s="57"/>
      <c r="R284" s="57"/>
      <c r="S284" s="57"/>
      <c r="T284" s="57"/>
      <c r="U284" s="57"/>
    </row>
    <row r="285">
      <c r="A285" s="57"/>
      <c r="B285" s="59"/>
      <c r="C285" s="57"/>
      <c r="D285" s="59"/>
      <c r="E285" s="57"/>
      <c r="F285" s="59"/>
      <c r="G285" s="57"/>
      <c r="H285" s="59"/>
      <c r="I285" s="57"/>
      <c r="J285" s="59"/>
      <c r="K285" s="57"/>
      <c r="L285" s="59"/>
      <c r="M285" s="57"/>
      <c r="N285" s="59"/>
      <c r="O285" s="57"/>
      <c r="P285" s="63"/>
      <c r="Q285" s="57"/>
      <c r="R285" s="57"/>
      <c r="S285" s="57"/>
      <c r="T285" s="57"/>
      <c r="U285" s="57"/>
    </row>
    <row r="286">
      <c r="A286" s="57"/>
      <c r="B286" s="59"/>
      <c r="C286" s="57"/>
      <c r="D286" s="59"/>
      <c r="E286" s="57"/>
      <c r="F286" s="59"/>
      <c r="G286" s="57"/>
      <c r="H286" s="59"/>
      <c r="I286" s="57"/>
      <c r="J286" s="59"/>
      <c r="K286" s="57"/>
      <c r="L286" s="59"/>
      <c r="M286" s="57"/>
      <c r="N286" s="59"/>
      <c r="O286" s="57"/>
      <c r="P286" s="63"/>
      <c r="Q286" s="57"/>
      <c r="R286" s="57"/>
      <c r="S286" s="57"/>
      <c r="T286" s="57"/>
      <c r="U286" s="57"/>
    </row>
    <row r="287">
      <c r="A287" s="57"/>
      <c r="B287" s="59"/>
      <c r="C287" s="57"/>
      <c r="D287" s="59"/>
      <c r="E287" s="57"/>
      <c r="F287" s="59"/>
      <c r="G287" s="57"/>
      <c r="H287" s="59"/>
      <c r="I287" s="57"/>
      <c r="J287" s="59"/>
      <c r="K287" s="57"/>
      <c r="L287" s="59"/>
      <c r="M287" s="57"/>
      <c r="N287" s="59"/>
      <c r="O287" s="57"/>
      <c r="P287" s="63"/>
      <c r="Q287" s="57"/>
      <c r="R287" s="57"/>
      <c r="S287" s="57"/>
      <c r="T287" s="57"/>
      <c r="U287" s="57"/>
    </row>
    <row r="288">
      <c r="A288" s="57"/>
      <c r="B288" s="59"/>
      <c r="C288" s="57"/>
      <c r="D288" s="59"/>
      <c r="E288" s="57"/>
      <c r="F288" s="59"/>
      <c r="G288" s="57"/>
      <c r="H288" s="59"/>
      <c r="I288" s="57"/>
      <c r="J288" s="59"/>
      <c r="K288" s="57"/>
      <c r="L288" s="59"/>
      <c r="M288" s="57"/>
      <c r="N288" s="59"/>
      <c r="O288" s="57"/>
      <c r="P288" s="63"/>
      <c r="Q288" s="57"/>
      <c r="R288" s="57"/>
      <c r="S288" s="57"/>
      <c r="T288" s="57"/>
      <c r="U288" s="57"/>
    </row>
    <row r="289">
      <c r="A289" s="57"/>
      <c r="B289" s="59"/>
      <c r="C289" s="57"/>
      <c r="D289" s="59"/>
      <c r="E289" s="57"/>
      <c r="F289" s="59"/>
      <c r="G289" s="57"/>
      <c r="H289" s="59"/>
      <c r="I289" s="57"/>
      <c r="J289" s="59"/>
      <c r="K289" s="57"/>
      <c r="L289" s="59"/>
      <c r="M289" s="57"/>
      <c r="N289" s="59"/>
      <c r="O289" s="57"/>
      <c r="P289" s="63"/>
      <c r="Q289" s="57"/>
      <c r="R289" s="57"/>
      <c r="S289" s="57"/>
      <c r="T289" s="57"/>
      <c r="U289" s="57"/>
    </row>
    <row r="290">
      <c r="A290" s="57"/>
      <c r="B290" s="59"/>
      <c r="C290" s="57"/>
      <c r="D290" s="59"/>
      <c r="E290" s="57"/>
      <c r="F290" s="59"/>
      <c r="G290" s="57"/>
      <c r="H290" s="59"/>
      <c r="I290" s="57"/>
      <c r="J290" s="59"/>
      <c r="K290" s="57"/>
      <c r="L290" s="59"/>
      <c r="M290" s="57"/>
      <c r="N290" s="59"/>
      <c r="O290" s="57"/>
      <c r="P290" s="63"/>
      <c r="Q290" s="57"/>
      <c r="R290" s="57"/>
      <c r="S290" s="57"/>
      <c r="T290" s="57"/>
      <c r="U290" s="57"/>
    </row>
    <row r="291">
      <c r="A291" s="57"/>
      <c r="B291" s="59"/>
      <c r="C291" s="57"/>
      <c r="D291" s="59"/>
      <c r="E291" s="57"/>
      <c r="F291" s="59"/>
      <c r="G291" s="57"/>
      <c r="H291" s="59"/>
      <c r="I291" s="57"/>
      <c r="J291" s="59"/>
      <c r="K291" s="57"/>
      <c r="L291" s="59"/>
      <c r="M291" s="57"/>
      <c r="N291" s="59"/>
      <c r="O291" s="57"/>
      <c r="P291" s="63"/>
      <c r="Q291" s="57"/>
      <c r="R291" s="57"/>
      <c r="S291" s="57"/>
      <c r="T291" s="57"/>
      <c r="U291" s="57"/>
    </row>
    <row r="292">
      <c r="A292" s="57"/>
      <c r="B292" s="59"/>
      <c r="C292" s="57"/>
      <c r="D292" s="59"/>
      <c r="E292" s="57"/>
      <c r="F292" s="59"/>
      <c r="G292" s="57"/>
      <c r="H292" s="59"/>
      <c r="I292" s="57"/>
      <c r="J292" s="59"/>
      <c r="K292" s="57"/>
      <c r="L292" s="59"/>
      <c r="M292" s="57"/>
      <c r="N292" s="59"/>
      <c r="O292" s="57"/>
      <c r="P292" s="63"/>
      <c r="Q292" s="57"/>
      <c r="R292" s="57"/>
      <c r="S292" s="57"/>
      <c r="T292" s="57"/>
      <c r="U292" s="57"/>
    </row>
    <row r="293">
      <c r="A293" s="57"/>
      <c r="B293" s="59"/>
      <c r="C293" s="57"/>
      <c r="D293" s="59"/>
      <c r="E293" s="57"/>
      <c r="F293" s="59"/>
      <c r="G293" s="57"/>
      <c r="H293" s="59"/>
      <c r="I293" s="57"/>
      <c r="J293" s="59"/>
      <c r="K293" s="57"/>
      <c r="L293" s="59"/>
      <c r="M293" s="57"/>
      <c r="N293" s="59"/>
      <c r="O293" s="57"/>
      <c r="P293" s="63"/>
      <c r="Q293" s="57"/>
      <c r="R293" s="57"/>
      <c r="S293" s="57"/>
      <c r="T293" s="57"/>
      <c r="U293" s="57"/>
    </row>
    <row r="294">
      <c r="A294" s="57"/>
      <c r="B294" s="59"/>
      <c r="C294" s="57"/>
      <c r="D294" s="59"/>
      <c r="E294" s="57"/>
      <c r="F294" s="59"/>
      <c r="G294" s="57"/>
      <c r="H294" s="59"/>
      <c r="I294" s="57"/>
      <c r="J294" s="59"/>
      <c r="K294" s="57"/>
      <c r="L294" s="59"/>
      <c r="M294" s="57"/>
      <c r="N294" s="59"/>
      <c r="O294" s="57"/>
      <c r="P294" s="63"/>
      <c r="Q294" s="57"/>
      <c r="R294" s="57"/>
      <c r="S294" s="57"/>
      <c r="T294" s="57"/>
      <c r="U294" s="57"/>
    </row>
    <row r="295">
      <c r="A295" s="57"/>
      <c r="B295" s="59"/>
      <c r="C295" s="57"/>
      <c r="D295" s="59"/>
      <c r="E295" s="57"/>
      <c r="F295" s="59"/>
      <c r="G295" s="57"/>
      <c r="H295" s="59"/>
      <c r="I295" s="57"/>
      <c r="J295" s="59"/>
      <c r="K295" s="57"/>
      <c r="L295" s="59"/>
      <c r="M295" s="57"/>
      <c r="N295" s="59"/>
      <c r="O295" s="57"/>
      <c r="P295" s="63"/>
      <c r="Q295" s="57"/>
      <c r="R295" s="57"/>
      <c r="S295" s="57"/>
      <c r="T295" s="57"/>
      <c r="U295" s="57"/>
    </row>
    <row r="296">
      <c r="A296" s="57"/>
      <c r="B296" s="59"/>
      <c r="C296" s="57"/>
      <c r="D296" s="59"/>
      <c r="E296" s="57"/>
      <c r="F296" s="59"/>
      <c r="G296" s="57"/>
      <c r="H296" s="59"/>
      <c r="I296" s="57"/>
      <c r="J296" s="59"/>
      <c r="K296" s="57"/>
      <c r="L296" s="59"/>
      <c r="M296" s="57"/>
      <c r="N296" s="59"/>
      <c r="O296" s="57"/>
      <c r="P296" s="63"/>
      <c r="Q296" s="57"/>
      <c r="R296" s="57"/>
      <c r="S296" s="57"/>
      <c r="T296" s="57"/>
      <c r="U296" s="57"/>
    </row>
    <row r="297">
      <c r="A297" s="57"/>
      <c r="B297" s="59"/>
      <c r="C297" s="57"/>
      <c r="D297" s="59"/>
      <c r="E297" s="57"/>
      <c r="F297" s="59"/>
      <c r="G297" s="57"/>
      <c r="H297" s="59"/>
      <c r="I297" s="57"/>
      <c r="J297" s="59"/>
      <c r="K297" s="57"/>
      <c r="L297" s="59"/>
      <c r="M297" s="57"/>
      <c r="N297" s="59"/>
      <c r="O297" s="57"/>
      <c r="P297" s="63"/>
      <c r="Q297" s="57"/>
      <c r="R297" s="57"/>
      <c r="S297" s="57"/>
      <c r="T297" s="57"/>
      <c r="U297" s="57"/>
    </row>
    <row r="298">
      <c r="A298" s="57"/>
      <c r="B298" s="59"/>
      <c r="C298" s="57"/>
      <c r="D298" s="59"/>
      <c r="E298" s="57"/>
      <c r="F298" s="59"/>
      <c r="G298" s="57"/>
      <c r="H298" s="59"/>
      <c r="I298" s="57"/>
      <c r="J298" s="59"/>
      <c r="K298" s="57"/>
      <c r="L298" s="59"/>
      <c r="M298" s="57"/>
      <c r="N298" s="59"/>
      <c r="O298" s="57"/>
      <c r="P298" s="63"/>
      <c r="Q298" s="57"/>
      <c r="R298" s="57"/>
      <c r="S298" s="57"/>
      <c r="T298" s="57"/>
      <c r="U298" s="57"/>
    </row>
    <row r="299">
      <c r="A299" s="57"/>
      <c r="B299" s="59"/>
      <c r="C299" s="57"/>
      <c r="D299" s="59"/>
      <c r="E299" s="57"/>
      <c r="F299" s="59"/>
      <c r="G299" s="57"/>
      <c r="H299" s="59"/>
      <c r="I299" s="57"/>
      <c r="J299" s="59"/>
      <c r="K299" s="57"/>
      <c r="L299" s="59"/>
      <c r="M299" s="57"/>
      <c r="N299" s="59"/>
      <c r="O299" s="57"/>
      <c r="P299" s="63"/>
      <c r="Q299" s="57"/>
      <c r="R299" s="57"/>
      <c r="S299" s="57"/>
      <c r="T299" s="57"/>
      <c r="U299" s="57"/>
    </row>
    <row r="300">
      <c r="A300" s="57"/>
      <c r="B300" s="59"/>
      <c r="C300" s="57"/>
      <c r="D300" s="59"/>
      <c r="E300" s="57"/>
      <c r="F300" s="59"/>
      <c r="G300" s="57"/>
      <c r="H300" s="59"/>
      <c r="I300" s="57"/>
      <c r="J300" s="59"/>
      <c r="K300" s="57"/>
      <c r="L300" s="59"/>
      <c r="M300" s="57"/>
      <c r="N300" s="59"/>
      <c r="O300" s="57"/>
      <c r="P300" s="63"/>
      <c r="Q300" s="57"/>
      <c r="R300" s="57"/>
      <c r="S300" s="57"/>
      <c r="T300" s="57"/>
      <c r="U300" s="57"/>
    </row>
    <row r="301">
      <c r="A301" s="57"/>
      <c r="B301" s="59"/>
      <c r="C301" s="57"/>
      <c r="D301" s="59"/>
      <c r="E301" s="57"/>
      <c r="F301" s="59"/>
      <c r="G301" s="57"/>
      <c r="H301" s="59"/>
      <c r="I301" s="57"/>
      <c r="J301" s="59"/>
      <c r="K301" s="57"/>
      <c r="L301" s="59"/>
      <c r="M301" s="57"/>
      <c r="N301" s="59"/>
      <c r="O301" s="57"/>
      <c r="P301" s="63"/>
      <c r="Q301" s="57"/>
      <c r="R301" s="57"/>
      <c r="S301" s="57"/>
      <c r="T301" s="57"/>
      <c r="U301" s="57"/>
    </row>
    <row r="302">
      <c r="A302" s="57"/>
      <c r="B302" s="59"/>
      <c r="C302" s="57"/>
      <c r="D302" s="59"/>
      <c r="E302" s="57"/>
      <c r="F302" s="59"/>
      <c r="G302" s="57"/>
      <c r="H302" s="59"/>
      <c r="I302" s="57"/>
      <c r="J302" s="59"/>
      <c r="K302" s="57"/>
      <c r="L302" s="59"/>
      <c r="M302" s="57"/>
      <c r="N302" s="59"/>
      <c r="O302" s="57"/>
      <c r="P302" s="63"/>
      <c r="Q302" s="57"/>
      <c r="R302" s="57"/>
      <c r="S302" s="57"/>
      <c r="T302" s="57"/>
      <c r="U302" s="57"/>
    </row>
    <row r="303">
      <c r="A303" s="57"/>
      <c r="B303" s="59"/>
      <c r="C303" s="57"/>
      <c r="D303" s="59"/>
      <c r="E303" s="57"/>
      <c r="F303" s="59"/>
      <c r="G303" s="57"/>
      <c r="H303" s="59"/>
      <c r="I303" s="57"/>
      <c r="J303" s="59"/>
      <c r="K303" s="57"/>
      <c r="L303" s="59"/>
      <c r="M303" s="57"/>
      <c r="N303" s="59"/>
      <c r="O303" s="57"/>
      <c r="P303" s="63"/>
      <c r="Q303" s="57"/>
      <c r="R303" s="57"/>
      <c r="S303" s="57"/>
      <c r="T303" s="57"/>
      <c r="U303" s="57"/>
    </row>
    <row r="304">
      <c r="A304" s="57"/>
      <c r="B304" s="59"/>
      <c r="C304" s="57"/>
      <c r="D304" s="59"/>
      <c r="E304" s="57"/>
      <c r="F304" s="59"/>
      <c r="G304" s="57"/>
      <c r="H304" s="59"/>
      <c r="I304" s="57"/>
      <c r="J304" s="59"/>
      <c r="K304" s="57"/>
      <c r="L304" s="59"/>
      <c r="M304" s="57"/>
      <c r="N304" s="59"/>
      <c r="O304" s="57"/>
      <c r="P304" s="63"/>
      <c r="Q304" s="57"/>
      <c r="R304" s="57"/>
      <c r="S304" s="57"/>
      <c r="T304" s="57"/>
      <c r="U304" s="57"/>
    </row>
    <row r="305">
      <c r="A305" s="57"/>
      <c r="B305" s="59"/>
      <c r="C305" s="57"/>
      <c r="D305" s="59"/>
      <c r="E305" s="57"/>
      <c r="F305" s="59"/>
      <c r="G305" s="57"/>
      <c r="H305" s="59"/>
      <c r="I305" s="57"/>
      <c r="J305" s="59"/>
      <c r="K305" s="57"/>
      <c r="L305" s="59"/>
      <c r="M305" s="57"/>
      <c r="N305" s="59"/>
      <c r="O305" s="57"/>
      <c r="P305" s="63"/>
      <c r="Q305" s="57"/>
      <c r="R305" s="57"/>
      <c r="S305" s="57"/>
      <c r="T305" s="57"/>
      <c r="U305" s="57"/>
    </row>
    <row r="306">
      <c r="A306" s="57"/>
      <c r="B306" s="59"/>
      <c r="C306" s="57"/>
      <c r="D306" s="59"/>
      <c r="E306" s="57"/>
      <c r="F306" s="59"/>
      <c r="G306" s="57"/>
      <c r="H306" s="59"/>
      <c r="I306" s="57"/>
      <c r="J306" s="59"/>
      <c r="K306" s="57"/>
      <c r="L306" s="59"/>
      <c r="M306" s="57"/>
      <c r="N306" s="59"/>
      <c r="O306" s="57"/>
      <c r="P306" s="63"/>
      <c r="Q306" s="57"/>
      <c r="R306" s="57"/>
      <c r="S306" s="57"/>
      <c r="T306" s="57"/>
      <c r="U306" s="57"/>
    </row>
    <row r="307">
      <c r="A307" s="57"/>
      <c r="B307" s="59"/>
      <c r="C307" s="57"/>
      <c r="D307" s="59"/>
      <c r="E307" s="57"/>
      <c r="F307" s="59"/>
      <c r="G307" s="57"/>
      <c r="H307" s="59"/>
      <c r="I307" s="57"/>
      <c r="J307" s="59"/>
      <c r="K307" s="57"/>
      <c r="L307" s="59"/>
      <c r="M307" s="57"/>
      <c r="N307" s="59"/>
      <c r="O307" s="57"/>
      <c r="P307" s="63"/>
      <c r="Q307" s="57"/>
      <c r="R307" s="57"/>
      <c r="S307" s="57"/>
      <c r="T307" s="57"/>
      <c r="U307" s="57"/>
    </row>
    <row r="308">
      <c r="A308" s="57"/>
      <c r="B308" s="59"/>
      <c r="C308" s="57"/>
      <c r="D308" s="59"/>
      <c r="E308" s="57"/>
      <c r="F308" s="59"/>
      <c r="G308" s="57"/>
      <c r="H308" s="59"/>
      <c r="I308" s="57"/>
      <c r="J308" s="59"/>
      <c r="K308" s="57"/>
      <c r="L308" s="59"/>
      <c r="M308" s="57"/>
      <c r="N308" s="59"/>
      <c r="O308" s="57"/>
      <c r="P308" s="63"/>
      <c r="Q308" s="57"/>
      <c r="R308" s="57"/>
      <c r="S308" s="57"/>
      <c r="T308" s="57"/>
      <c r="U308" s="57"/>
    </row>
    <row r="309">
      <c r="A309" s="57"/>
      <c r="B309" s="59"/>
      <c r="C309" s="57"/>
      <c r="D309" s="59"/>
      <c r="E309" s="57"/>
      <c r="F309" s="59"/>
      <c r="G309" s="57"/>
      <c r="H309" s="59"/>
      <c r="I309" s="57"/>
      <c r="J309" s="59"/>
      <c r="K309" s="57"/>
      <c r="L309" s="59"/>
      <c r="M309" s="57"/>
      <c r="N309" s="59"/>
      <c r="O309" s="57"/>
      <c r="P309" s="63"/>
      <c r="Q309" s="57"/>
      <c r="R309" s="57"/>
      <c r="S309" s="57"/>
      <c r="T309" s="57"/>
      <c r="U309" s="57"/>
    </row>
    <row r="310">
      <c r="A310" s="57"/>
      <c r="B310" s="59"/>
      <c r="C310" s="57"/>
      <c r="D310" s="59"/>
      <c r="E310" s="57"/>
      <c r="F310" s="59"/>
      <c r="G310" s="57"/>
      <c r="H310" s="59"/>
      <c r="I310" s="57"/>
      <c r="J310" s="59"/>
      <c r="K310" s="57"/>
      <c r="L310" s="59"/>
      <c r="M310" s="57"/>
      <c r="N310" s="59"/>
      <c r="O310" s="57"/>
      <c r="P310" s="63"/>
      <c r="Q310" s="57"/>
      <c r="R310" s="57"/>
      <c r="S310" s="57"/>
      <c r="T310" s="57"/>
      <c r="U310" s="57"/>
    </row>
    <row r="311">
      <c r="A311" s="57"/>
      <c r="B311" s="59"/>
      <c r="C311" s="57"/>
      <c r="D311" s="59"/>
      <c r="E311" s="57"/>
      <c r="F311" s="59"/>
      <c r="G311" s="57"/>
      <c r="H311" s="59"/>
      <c r="I311" s="57"/>
      <c r="J311" s="59"/>
      <c r="K311" s="57"/>
      <c r="L311" s="59"/>
      <c r="M311" s="57"/>
      <c r="N311" s="59"/>
      <c r="O311" s="57"/>
      <c r="P311" s="63"/>
      <c r="Q311" s="57"/>
      <c r="R311" s="57"/>
      <c r="S311" s="57"/>
      <c r="T311" s="57"/>
      <c r="U311" s="57"/>
    </row>
    <row r="312">
      <c r="A312" s="57"/>
      <c r="B312" s="59"/>
      <c r="C312" s="57"/>
      <c r="D312" s="59"/>
      <c r="E312" s="57"/>
      <c r="F312" s="59"/>
      <c r="G312" s="57"/>
      <c r="H312" s="59"/>
      <c r="I312" s="57"/>
      <c r="J312" s="59"/>
      <c r="K312" s="57"/>
      <c r="L312" s="59"/>
      <c r="M312" s="57"/>
      <c r="N312" s="59"/>
      <c r="O312" s="57"/>
      <c r="P312" s="63"/>
      <c r="Q312" s="57"/>
      <c r="R312" s="57"/>
      <c r="S312" s="57"/>
      <c r="T312" s="57"/>
      <c r="U312" s="57"/>
    </row>
    <row r="313">
      <c r="A313" s="57"/>
      <c r="B313" s="59"/>
      <c r="C313" s="57"/>
      <c r="D313" s="59"/>
      <c r="E313" s="57"/>
      <c r="F313" s="59"/>
      <c r="G313" s="57"/>
      <c r="H313" s="59"/>
      <c r="I313" s="57"/>
      <c r="J313" s="59"/>
      <c r="K313" s="57"/>
      <c r="L313" s="59"/>
      <c r="M313" s="57"/>
      <c r="N313" s="59"/>
      <c r="O313" s="57"/>
      <c r="P313" s="63"/>
      <c r="Q313" s="57"/>
      <c r="R313" s="57"/>
      <c r="S313" s="57"/>
      <c r="T313" s="57"/>
      <c r="U313" s="57"/>
    </row>
    <row r="314">
      <c r="A314" s="57"/>
      <c r="B314" s="59"/>
      <c r="C314" s="57"/>
      <c r="D314" s="59"/>
      <c r="E314" s="57"/>
      <c r="F314" s="59"/>
      <c r="G314" s="57"/>
      <c r="H314" s="59"/>
      <c r="I314" s="57"/>
      <c r="J314" s="59"/>
      <c r="K314" s="57"/>
      <c r="L314" s="59"/>
      <c r="M314" s="57"/>
      <c r="N314" s="59"/>
      <c r="O314" s="57"/>
      <c r="P314" s="63"/>
      <c r="Q314" s="57"/>
      <c r="R314" s="57"/>
      <c r="S314" s="57"/>
      <c r="T314" s="57"/>
      <c r="U314" s="57"/>
    </row>
    <row r="315">
      <c r="A315" s="57"/>
      <c r="B315" s="59"/>
      <c r="C315" s="57"/>
      <c r="D315" s="59"/>
      <c r="E315" s="57"/>
      <c r="F315" s="59"/>
      <c r="G315" s="57"/>
      <c r="H315" s="59"/>
      <c r="I315" s="57"/>
      <c r="J315" s="59"/>
      <c r="K315" s="57"/>
      <c r="L315" s="59"/>
      <c r="M315" s="57"/>
      <c r="N315" s="59"/>
      <c r="O315" s="57"/>
      <c r="P315" s="63"/>
      <c r="Q315" s="57"/>
      <c r="R315" s="57"/>
      <c r="S315" s="57"/>
      <c r="T315" s="57"/>
      <c r="U315" s="57"/>
    </row>
    <row r="316">
      <c r="A316" s="57"/>
      <c r="B316" s="59"/>
      <c r="C316" s="57"/>
      <c r="D316" s="59"/>
      <c r="E316" s="57"/>
      <c r="F316" s="59"/>
      <c r="G316" s="57"/>
      <c r="H316" s="59"/>
      <c r="I316" s="57"/>
      <c r="J316" s="59"/>
      <c r="K316" s="57"/>
      <c r="L316" s="59"/>
      <c r="M316" s="57"/>
      <c r="N316" s="59"/>
      <c r="O316" s="57"/>
      <c r="P316" s="63"/>
      <c r="Q316" s="57"/>
      <c r="R316" s="57"/>
      <c r="S316" s="57"/>
      <c r="T316" s="57"/>
      <c r="U316" s="57"/>
    </row>
    <row r="317">
      <c r="A317" s="57"/>
      <c r="B317" s="59"/>
      <c r="C317" s="57"/>
      <c r="D317" s="59"/>
      <c r="E317" s="57"/>
      <c r="F317" s="59"/>
      <c r="G317" s="57"/>
      <c r="H317" s="59"/>
      <c r="I317" s="57"/>
      <c r="J317" s="59"/>
      <c r="K317" s="57"/>
      <c r="L317" s="59"/>
      <c r="M317" s="57"/>
      <c r="N317" s="59"/>
      <c r="O317" s="57"/>
      <c r="P317" s="63"/>
      <c r="Q317" s="57"/>
      <c r="R317" s="57"/>
      <c r="S317" s="57"/>
      <c r="T317" s="57"/>
      <c r="U317" s="57"/>
    </row>
    <row r="318">
      <c r="A318" s="57"/>
      <c r="B318" s="59"/>
      <c r="C318" s="57"/>
      <c r="D318" s="59"/>
      <c r="E318" s="57"/>
      <c r="F318" s="59"/>
      <c r="G318" s="57"/>
      <c r="H318" s="59"/>
      <c r="I318" s="57"/>
      <c r="J318" s="59"/>
      <c r="K318" s="57"/>
      <c r="L318" s="59"/>
      <c r="M318" s="57"/>
      <c r="N318" s="59"/>
      <c r="O318" s="57"/>
      <c r="P318" s="63"/>
      <c r="Q318" s="57"/>
      <c r="R318" s="57"/>
      <c r="S318" s="57"/>
      <c r="T318" s="57"/>
      <c r="U318" s="57"/>
    </row>
    <row r="319">
      <c r="A319" s="57"/>
      <c r="B319" s="59"/>
      <c r="C319" s="57"/>
      <c r="D319" s="59"/>
      <c r="E319" s="57"/>
      <c r="F319" s="59"/>
      <c r="G319" s="57"/>
      <c r="H319" s="59"/>
      <c r="I319" s="57"/>
      <c r="J319" s="59"/>
      <c r="K319" s="57"/>
      <c r="L319" s="59"/>
      <c r="M319" s="57"/>
      <c r="N319" s="59"/>
      <c r="O319" s="57"/>
      <c r="P319" s="63"/>
      <c r="Q319" s="57"/>
      <c r="R319" s="57"/>
      <c r="S319" s="57"/>
      <c r="T319" s="57"/>
      <c r="U319" s="57"/>
    </row>
    <row r="320">
      <c r="A320" s="57"/>
      <c r="B320" s="59"/>
      <c r="C320" s="57"/>
      <c r="D320" s="59"/>
      <c r="E320" s="57"/>
      <c r="F320" s="59"/>
      <c r="G320" s="57"/>
      <c r="H320" s="59"/>
      <c r="I320" s="57"/>
      <c r="J320" s="59"/>
      <c r="K320" s="57"/>
      <c r="L320" s="59"/>
      <c r="M320" s="57"/>
      <c r="N320" s="59"/>
      <c r="O320" s="57"/>
      <c r="P320" s="63"/>
      <c r="Q320" s="57"/>
      <c r="R320" s="57"/>
      <c r="S320" s="57"/>
      <c r="T320" s="57"/>
      <c r="U320" s="57"/>
    </row>
    <row r="321">
      <c r="A321" s="57"/>
      <c r="B321" s="59"/>
      <c r="C321" s="57"/>
      <c r="D321" s="59"/>
      <c r="E321" s="57"/>
      <c r="F321" s="59"/>
      <c r="G321" s="57"/>
      <c r="H321" s="59"/>
      <c r="I321" s="57"/>
      <c r="J321" s="59"/>
      <c r="K321" s="57"/>
      <c r="L321" s="59"/>
      <c r="M321" s="57"/>
      <c r="N321" s="59"/>
      <c r="O321" s="57"/>
      <c r="P321" s="63"/>
      <c r="Q321" s="57"/>
      <c r="R321" s="57"/>
      <c r="S321" s="57"/>
      <c r="T321" s="57"/>
      <c r="U321" s="57"/>
    </row>
    <row r="322">
      <c r="A322" s="57"/>
      <c r="B322" s="59"/>
      <c r="C322" s="57"/>
      <c r="D322" s="59"/>
      <c r="E322" s="57"/>
      <c r="F322" s="59"/>
      <c r="G322" s="57"/>
      <c r="H322" s="59"/>
      <c r="I322" s="57"/>
      <c r="J322" s="59"/>
      <c r="K322" s="57"/>
      <c r="L322" s="59"/>
      <c r="M322" s="57"/>
      <c r="N322" s="59"/>
      <c r="O322" s="57"/>
      <c r="P322" s="63"/>
      <c r="Q322" s="57"/>
      <c r="R322" s="57"/>
      <c r="S322" s="57"/>
      <c r="T322" s="57"/>
      <c r="U322" s="57"/>
    </row>
    <row r="323">
      <c r="A323" s="57"/>
      <c r="B323" s="59"/>
      <c r="C323" s="57"/>
      <c r="D323" s="59"/>
      <c r="E323" s="57"/>
      <c r="F323" s="59"/>
      <c r="G323" s="57"/>
      <c r="H323" s="59"/>
      <c r="I323" s="57"/>
      <c r="J323" s="59"/>
      <c r="K323" s="57"/>
      <c r="L323" s="59"/>
      <c r="M323" s="57"/>
      <c r="N323" s="59"/>
      <c r="O323" s="57"/>
      <c r="P323" s="63"/>
      <c r="Q323" s="57"/>
      <c r="R323" s="57"/>
      <c r="S323" s="57"/>
      <c r="T323" s="57"/>
      <c r="U323" s="57"/>
    </row>
    <row r="324">
      <c r="A324" s="57"/>
      <c r="B324" s="59"/>
      <c r="C324" s="57"/>
      <c r="D324" s="59"/>
      <c r="E324" s="57"/>
      <c r="F324" s="59"/>
      <c r="G324" s="57"/>
      <c r="H324" s="59"/>
      <c r="I324" s="57"/>
      <c r="J324" s="59"/>
      <c r="K324" s="57"/>
      <c r="L324" s="59"/>
      <c r="M324" s="57"/>
      <c r="N324" s="59"/>
      <c r="O324" s="57"/>
      <c r="P324" s="63"/>
      <c r="Q324" s="57"/>
      <c r="R324" s="57"/>
      <c r="S324" s="57"/>
      <c r="T324" s="57"/>
      <c r="U324" s="57"/>
    </row>
    <row r="325">
      <c r="A325" s="57"/>
      <c r="B325" s="59"/>
      <c r="C325" s="57"/>
      <c r="D325" s="59"/>
      <c r="E325" s="57"/>
      <c r="F325" s="59"/>
      <c r="G325" s="57"/>
      <c r="H325" s="59"/>
      <c r="I325" s="57"/>
      <c r="J325" s="59"/>
      <c r="K325" s="57"/>
      <c r="L325" s="59"/>
      <c r="M325" s="57"/>
      <c r="N325" s="59"/>
      <c r="O325" s="57"/>
      <c r="P325" s="63"/>
      <c r="Q325" s="57"/>
      <c r="R325" s="57"/>
      <c r="S325" s="57"/>
      <c r="T325" s="57"/>
      <c r="U325" s="57"/>
    </row>
    <row r="326">
      <c r="A326" s="57"/>
      <c r="B326" s="59"/>
      <c r="C326" s="57"/>
      <c r="D326" s="59"/>
      <c r="E326" s="57"/>
      <c r="F326" s="59"/>
      <c r="G326" s="57"/>
      <c r="H326" s="59"/>
      <c r="I326" s="57"/>
      <c r="J326" s="59"/>
      <c r="K326" s="57"/>
      <c r="L326" s="59"/>
      <c r="M326" s="57"/>
      <c r="N326" s="59"/>
      <c r="O326" s="57"/>
      <c r="P326" s="63"/>
      <c r="Q326" s="57"/>
      <c r="R326" s="57"/>
      <c r="S326" s="57"/>
      <c r="T326" s="57"/>
      <c r="U326" s="57"/>
    </row>
    <row r="327">
      <c r="A327" s="57"/>
      <c r="B327" s="59"/>
      <c r="C327" s="57"/>
      <c r="D327" s="59"/>
      <c r="E327" s="57"/>
      <c r="F327" s="59"/>
      <c r="G327" s="57"/>
      <c r="H327" s="59"/>
      <c r="I327" s="57"/>
      <c r="J327" s="59"/>
      <c r="K327" s="57"/>
      <c r="L327" s="59"/>
      <c r="M327" s="57"/>
      <c r="N327" s="59"/>
      <c r="O327" s="57"/>
      <c r="P327" s="63"/>
      <c r="Q327" s="57"/>
      <c r="R327" s="57"/>
      <c r="S327" s="57"/>
      <c r="T327" s="57"/>
      <c r="U327" s="57"/>
    </row>
    <row r="328">
      <c r="A328" s="57"/>
      <c r="B328" s="59"/>
      <c r="C328" s="57"/>
      <c r="D328" s="59"/>
      <c r="E328" s="57"/>
      <c r="F328" s="59"/>
      <c r="G328" s="57"/>
      <c r="H328" s="59"/>
      <c r="I328" s="57"/>
      <c r="J328" s="59"/>
      <c r="K328" s="57"/>
      <c r="L328" s="59"/>
      <c r="M328" s="57"/>
      <c r="N328" s="59"/>
      <c r="O328" s="57"/>
      <c r="P328" s="63"/>
      <c r="Q328" s="57"/>
      <c r="R328" s="57"/>
      <c r="S328" s="57"/>
      <c r="T328" s="57"/>
      <c r="U328" s="57"/>
    </row>
    <row r="329">
      <c r="A329" s="57"/>
      <c r="B329" s="59"/>
      <c r="C329" s="57"/>
      <c r="D329" s="59"/>
      <c r="E329" s="57"/>
      <c r="F329" s="59"/>
      <c r="G329" s="57"/>
      <c r="H329" s="59"/>
      <c r="I329" s="57"/>
      <c r="J329" s="59"/>
      <c r="K329" s="57"/>
      <c r="L329" s="59"/>
      <c r="M329" s="57"/>
      <c r="N329" s="59"/>
      <c r="O329" s="57"/>
      <c r="P329" s="63"/>
      <c r="Q329" s="57"/>
      <c r="R329" s="57"/>
      <c r="S329" s="57"/>
      <c r="T329" s="57"/>
      <c r="U329" s="57"/>
    </row>
    <row r="330">
      <c r="A330" s="57"/>
      <c r="B330" s="59"/>
      <c r="C330" s="57"/>
      <c r="D330" s="59"/>
      <c r="E330" s="57"/>
      <c r="F330" s="59"/>
      <c r="G330" s="57"/>
      <c r="H330" s="59"/>
      <c r="I330" s="57"/>
      <c r="J330" s="59"/>
      <c r="K330" s="57"/>
      <c r="L330" s="59"/>
      <c r="M330" s="57"/>
      <c r="N330" s="59"/>
      <c r="O330" s="57"/>
      <c r="P330" s="63"/>
      <c r="Q330" s="57"/>
      <c r="R330" s="57"/>
      <c r="S330" s="57"/>
      <c r="T330" s="57"/>
      <c r="U330" s="57"/>
    </row>
    <row r="331">
      <c r="A331" s="57"/>
      <c r="B331" s="59"/>
      <c r="C331" s="57"/>
      <c r="D331" s="59"/>
      <c r="E331" s="57"/>
      <c r="F331" s="59"/>
      <c r="G331" s="57"/>
      <c r="H331" s="59"/>
      <c r="I331" s="57"/>
      <c r="J331" s="59"/>
      <c r="K331" s="57"/>
      <c r="L331" s="59"/>
      <c r="M331" s="57"/>
      <c r="N331" s="59"/>
      <c r="O331" s="57"/>
      <c r="P331" s="63"/>
      <c r="Q331" s="57"/>
      <c r="R331" s="57"/>
      <c r="S331" s="57"/>
      <c r="T331" s="57"/>
      <c r="U331" s="57"/>
    </row>
    <row r="332">
      <c r="A332" s="57"/>
      <c r="B332" s="59"/>
      <c r="C332" s="57"/>
      <c r="D332" s="59"/>
      <c r="E332" s="57"/>
      <c r="F332" s="59"/>
      <c r="G332" s="57"/>
      <c r="H332" s="59"/>
      <c r="I332" s="57"/>
      <c r="J332" s="59"/>
      <c r="K332" s="57"/>
      <c r="L332" s="59"/>
      <c r="M332" s="57"/>
      <c r="N332" s="59"/>
      <c r="O332" s="57"/>
      <c r="P332" s="63"/>
      <c r="Q332" s="57"/>
      <c r="R332" s="57"/>
      <c r="S332" s="57"/>
      <c r="T332" s="57"/>
      <c r="U332" s="57"/>
    </row>
    <row r="333">
      <c r="A333" s="57"/>
      <c r="B333" s="59"/>
      <c r="C333" s="57"/>
      <c r="D333" s="59"/>
      <c r="E333" s="57"/>
      <c r="F333" s="59"/>
      <c r="G333" s="57"/>
      <c r="H333" s="59"/>
      <c r="I333" s="57"/>
      <c r="J333" s="59"/>
      <c r="K333" s="57"/>
      <c r="L333" s="59"/>
      <c r="M333" s="57"/>
      <c r="N333" s="59"/>
      <c r="O333" s="57"/>
      <c r="P333" s="63"/>
      <c r="Q333" s="57"/>
      <c r="R333" s="57"/>
      <c r="S333" s="57"/>
      <c r="T333" s="57"/>
      <c r="U333" s="57"/>
    </row>
    <row r="334">
      <c r="A334" s="57"/>
      <c r="B334" s="59"/>
      <c r="C334" s="57"/>
      <c r="D334" s="59"/>
      <c r="E334" s="57"/>
      <c r="F334" s="59"/>
      <c r="G334" s="57"/>
      <c r="H334" s="59"/>
      <c r="I334" s="57"/>
      <c r="J334" s="59"/>
      <c r="K334" s="57"/>
      <c r="L334" s="59"/>
      <c r="M334" s="57"/>
      <c r="N334" s="59"/>
      <c r="O334" s="57"/>
      <c r="P334" s="63"/>
      <c r="Q334" s="57"/>
      <c r="R334" s="57"/>
      <c r="S334" s="57"/>
      <c r="T334" s="57"/>
      <c r="U334" s="57"/>
    </row>
    <row r="335">
      <c r="A335" s="57"/>
      <c r="B335" s="59"/>
      <c r="C335" s="57"/>
      <c r="D335" s="59"/>
      <c r="E335" s="57"/>
      <c r="F335" s="59"/>
      <c r="G335" s="57"/>
      <c r="H335" s="59"/>
      <c r="I335" s="57"/>
      <c r="J335" s="59"/>
      <c r="K335" s="57"/>
      <c r="L335" s="59"/>
      <c r="M335" s="57"/>
      <c r="N335" s="59"/>
      <c r="O335" s="57"/>
      <c r="P335" s="63"/>
      <c r="Q335" s="57"/>
      <c r="R335" s="57"/>
      <c r="S335" s="57"/>
      <c r="T335" s="57"/>
      <c r="U335" s="57"/>
    </row>
    <row r="336">
      <c r="A336" s="57"/>
      <c r="B336" s="59"/>
      <c r="C336" s="57"/>
      <c r="D336" s="59"/>
      <c r="E336" s="57"/>
      <c r="F336" s="59"/>
      <c r="G336" s="57"/>
      <c r="H336" s="59"/>
      <c r="I336" s="57"/>
      <c r="J336" s="59"/>
      <c r="K336" s="57"/>
      <c r="L336" s="59"/>
      <c r="M336" s="57"/>
      <c r="N336" s="59"/>
      <c r="O336" s="57"/>
      <c r="P336" s="63"/>
      <c r="Q336" s="57"/>
      <c r="R336" s="57"/>
      <c r="S336" s="57"/>
      <c r="T336" s="57"/>
      <c r="U336" s="57"/>
    </row>
    <row r="337">
      <c r="A337" s="57"/>
      <c r="B337" s="59"/>
      <c r="C337" s="57"/>
      <c r="D337" s="59"/>
      <c r="E337" s="57"/>
      <c r="F337" s="59"/>
      <c r="G337" s="57"/>
      <c r="H337" s="59"/>
      <c r="I337" s="57"/>
      <c r="J337" s="59"/>
      <c r="K337" s="57"/>
      <c r="L337" s="59"/>
      <c r="M337" s="57"/>
      <c r="N337" s="59"/>
      <c r="O337" s="57"/>
      <c r="P337" s="63"/>
      <c r="Q337" s="57"/>
      <c r="R337" s="57"/>
      <c r="S337" s="57"/>
      <c r="T337" s="57"/>
      <c r="U337" s="57"/>
    </row>
    <row r="338">
      <c r="A338" s="57"/>
      <c r="B338" s="59"/>
      <c r="C338" s="57"/>
      <c r="D338" s="59"/>
      <c r="E338" s="57"/>
      <c r="F338" s="59"/>
      <c r="G338" s="57"/>
      <c r="H338" s="59"/>
      <c r="I338" s="57"/>
      <c r="J338" s="59"/>
      <c r="K338" s="57"/>
      <c r="L338" s="59"/>
      <c r="M338" s="57"/>
      <c r="N338" s="59"/>
      <c r="O338" s="57"/>
      <c r="P338" s="63"/>
      <c r="Q338" s="57"/>
      <c r="R338" s="57"/>
      <c r="S338" s="57"/>
      <c r="T338" s="57"/>
      <c r="U338" s="57"/>
    </row>
    <row r="339">
      <c r="A339" s="57"/>
      <c r="B339" s="59"/>
      <c r="C339" s="57"/>
      <c r="D339" s="59"/>
      <c r="E339" s="57"/>
      <c r="F339" s="59"/>
      <c r="G339" s="57"/>
      <c r="H339" s="59"/>
      <c r="I339" s="57"/>
      <c r="J339" s="59"/>
      <c r="K339" s="57"/>
      <c r="L339" s="59"/>
      <c r="M339" s="57"/>
      <c r="N339" s="59"/>
      <c r="O339" s="57"/>
      <c r="P339" s="63"/>
      <c r="Q339" s="57"/>
      <c r="R339" s="57"/>
      <c r="S339" s="57"/>
      <c r="T339" s="57"/>
      <c r="U339" s="57"/>
    </row>
    <row r="340">
      <c r="A340" s="57"/>
      <c r="B340" s="59"/>
      <c r="C340" s="57"/>
      <c r="D340" s="59"/>
      <c r="E340" s="57"/>
      <c r="F340" s="59"/>
      <c r="G340" s="57"/>
      <c r="H340" s="59"/>
      <c r="I340" s="57"/>
      <c r="J340" s="59"/>
      <c r="K340" s="57"/>
      <c r="L340" s="59"/>
      <c r="M340" s="57"/>
      <c r="N340" s="59"/>
      <c r="O340" s="57"/>
      <c r="P340" s="63"/>
      <c r="Q340" s="57"/>
      <c r="R340" s="57"/>
      <c r="S340" s="57"/>
      <c r="T340" s="57"/>
      <c r="U340" s="57"/>
    </row>
    <row r="341">
      <c r="A341" s="57"/>
      <c r="B341" s="59"/>
      <c r="C341" s="57"/>
      <c r="D341" s="59"/>
      <c r="E341" s="57"/>
      <c r="F341" s="59"/>
      <c r="G341" s="57"/>
      <c r="H341" s="59"/>
      <c r="I341" s="57"/>
      <c r="J341" s="59"/>
      <c r="K341" s="57"/>
      <c r="L341" s="59"/>
      <c r="M341" s="57"/>
      <c r="N341" s="59"/>
      <c r="O341" s="57"/>
      <c r="P341" s="63"/>
      <c r="Q341" s="57"/>
      <c r="R341" s="57"/>
      <c r="S341" s="57"/>
      <c r="T341" s="57"/>
      <c r="U341" s="57"/>
    </row>
    <row r="342">
      <c r="A342" s="57"/>
      <c r="B342" s="59"/>
      <c r="C342" s="57"/>
      <c r="D342" s="59"/>
      <c r="E342" s="57"/>
      <c r="F342" s="59"/>
      <c r="G342" s="57"/>
      <c r="H342" s="59"/>
      <c r="I342" s="57"/>
      <c r="J342" s="59"/>
      <c r="K342" s="57"/>
      <c r="L342" s="59"/>
      <c r="M342" s="57"/>
      <c r="N342" s="59"/>
      <c r="O342" s="57"/>
      <c r="P342" s="63"/>
      <c r="Q342" s="57"/>
      <c r="R342" s="57"/>
      <c r="S342" s="57"/>
      <c r="T342" s="57"/>
      <c r="U342" s="57"/>
    </row>
    <row r="343">
      <c r="A343" s="57"/>
      <c r="B343" s="59"/>
      <c r="C343" s="57"/>
      <c r="D343" s="59"/>
      <c r="E343" s="57"/>
      <c r="F343" s="59"/>
      <c r="G343" s="57"/>
      <c r="H343" s="59"/>
      <c r="I343" s="57"/>
      <c r="J343" s="59"/>
      <c r="K343" s="57"/>
      <c r="L343" s="59"/>
      <c r="M343" s="57"/>
      <c r="N343" s="59"/>
      <c r="O343" s="57"/>
      <c r="P343" s="63"/>
      <c r="Q343" s="57"/>
      <c r="R343" s="57"/>
      <c r="S343" s="57"/>
      <c r="T343" s="57"/>
      <c r="U343" s="57"/>
    </row>
    <row r="344">
      <c r="A344" s="57"/>
      <c r="B344" s="59"/>
      <c r="C344" s="57"/>
      <c r="D344" s="59"/>
      <c r="E344" s="57"/>
      <c r="F344" s="59"/>
      <c r="G344" s="57"/>
      <c r="H344" s="59"/>
      <c r="I344" s="57"/>
      <c r="J344" s="59"/>
      <c r="K344" s="57"/>
      <c r="L344" s="59"/>
      <c r="M344" s="57"/>
      <c r="N344" s="59"/>
      <c r="O344" s="57"/>
      <c r="P344" s="63"/>
      <c r="Q344" s="57"/>
      <c r="R344" s="57"/>
      <c r="S344" s="57"/>
      <c r="T344" s="57"/>
      <c r="U344" s="57"/>
    </row>
    <row r="345">
      <c r="A345" s="57"/>
      <c r="B345" s="59"/>
      <c r="C345" s="57"/>
      <c r="D345" s="59"/>
      <c r="E345" s="57"/>
      <c r="F345" s="59"/>
      <c r="G345" s="57"/>
      <c r="H345" s="59"/>
      <c r="I345" s="57"/>
      <c r="J345" s="59"/>
      <c r="K345" s="57"/>
      <c r="L345" s="59"/>
      <c r="M345" s="57"/>
      <c r="N345" s="59"/>
      <c r="O345" s="57"/>
      <c r="P345" s="63"/>
      <c r="Q345" s="57"/>
      <c r="R345" s="57"/>
      <c r="S345" s="57"/>
      <c r="T345" s="57"/>
      <c r="U345" s="57"/>
    </row>
    <row r="346">
      <c r="A346" s="57"/>
      <c r="B346" s="59"/>
      <c r="C346" s="57"/>
      <c r="D346" s="59"/>
      <c r="E346" s="57"/>
      <c r="F346" s="59"/>
      <c r="G346" s="57"/>
      <c r="H346" s="59"/>
      <c r="I346" s="57"/>
      <c r="J346" s="59"/>
      <c r="K346" s="57"/>
      <c r="L346" s="59"/>
      <c r="M346" s="57"/>
      <c r="N346" s="59"/>
      <c r="O346" s="57"/>
      <c r="P346" s="63"/>
      <c r="Q346" s="57"/>
      <c r="R346" s="57"/>
      <c r="S346" s="57"/>
      <c r="T346" s="57"/>
      <c r="U346" s="57"/>
    </row>
    <row r="347">
      <c r="A347" s="57"/>
      <c r="B347" s="59"/>
      <c r="C347" s="57"/>
      <c r="D347" s="59"/>
      <c r="E347" s="57"/>
      <c r="F347" s="59"/>
      <c r="G347" s="57"/>
      <c r="H347" s="59"/>
      <c r="I347" s="57"/>
      <c r="J347" s="59"/>
      <c r="K347" s="57"/>
      <c r="L347" s="59"/>
      <c r="M347" s="57"/>
      <c r="N347" s="59"/>
      <c r="O347" s="57"/>
      <c r="P347" s="63"/>
      <c r="Q347" s="57"/>
      <c r="R347" s="57"/>
      <c r="S347" s="57"/>
      <c r="T347" s="57"/>
      <c r="U347" s="57"/>
    </row>
    <row r="348">
      <c r="A348" s="57"/>
      <c r="B348" s="59"/>
      <c r="C348" s="57"/>
      <c r="D348" s="59"/>
      <c r="E348" s="57"/>
      <c r="F348" s="59"/>
      <c r="G348" s="57"/>
      <c r="H348" s="59"/>
      <c r="I348" s="57"/>
      <c r="J348" s="59"/>
      <c r="K348" s="57"/>
      <c r="L348" s="59"/>
      <c r="M348" s="57"/>
      <c r="N348" s="59"/>
      <c r="O348" s="57"/>
      <c r="P348" s="63"/>
      <c r="Q348" s="57"/>
      <c r="R348" s="57"/>
      <c r="S348" s="57"/>
      <c r="T348" s="57"/>
      <c r="U348" s="57"/>
    </row>
    <row r="349">
      <c r="A349" s="57"/>
      <c r="B349" s="59"/>
      <c r="C349" s="57"/>
      <c r="D349" s="59"/>
      <c r="E349" s="57"/>
      <c r="F349" s="59"/>
      <c r="G349" s="57"/>
      <c r="H349" s="59"/>
      <c r="I349" s="57"/>
      <c r="J349" s="59"/>
      <c r="K349" s="57"/>
      <c r="L349" s="59"/>
      <c r="M349" s="57"/>
      <c r="N349" s="59"/>
      <c r="O349" s="57"/>
      <c r="P349" s="63"/>
      <c r="Q349" s="57"/>
      <c r="R349" s="57"/>
      <c r="S349" s="57"/>
      <c r="T349" s="57"/>
      <c r="U349" s="57"/>
    </row>
    <row r="350">
      <c r="A350" s="57"/>
      <c r="B350" s="59"/>
      <c r="C350" s="57"/>
      <c r="D350" s="59"/>
      <c r="E350" s="57"/>
      <c r="F350" s="59"/>
      <c r="G350" s="57"/>
      <c r="H350" s="59"/>
      <c r="I350" s="57"/>
      <c r="J350" s="59"/>
      <c r="K350" s="57"/>
      <c r="L350" s="59"/>
      <c r="M350" s="57"/>
      <c r="N350" s="59"/>
      <c r="O350" s="57"/>
      <c r="P350" s="63"/>
      <c r="Q350" s="57"/>
      <c r="R350" s="57"/>
      <c r="S350" s="57"/>
      <c r="T350" s="57"/>
      <c r="U350" s="57"/>
    </row>
    <row r="351">
      <c r="A351" s="57"/>
      <c r="B351" s="59"/>
      <c r="C351" s="57"/>
      <c r="D351" s="59"/>
      <c r="E351" s="57"/>
      <c r="F351" s="59"/>
      <c r="G351" s="57"/>
      <c r="H351" s="59"/>
      <c r="I351" s="57"/>
      <c r="J351" s="59"/>
      <c r="K351" s="57"/>
      <c r="L351" s="59"/>
      <c r="M351" s="57"/>
      <c r="N351" s="59"/>
      <c r="O351" s="57"/>
      <c r="P351" s="63"/>
      <c r="Q351" s="57"/>
      <c r="R351" s="57"/>
      <c r="S351" s="57"/>
      <c r="T351" s="57"/>
      <c r="U351" s="57"/>
    </row>
    <row r="352">
      <c r="A352" s="57"/>
      <c r="B352" s="59"/>
      <c r="C352" s="57"/>
      <c r="D352" s="59"/>
      <c r="E352" s="57"/>
      <c r="F352" s="59"/>
      <c r="G352" s="57"/>
      <c r="H352" s="59"/>
      <c r="I352" s="57"/>
      <c r="J352" s="59"/>
      <c r="K352" s="57"/>
      <c r="L352" s="59"/>
      <c r="M352" s="57"/>
      <c r="N352" s="59"/>
      <c r="O352" s="57"/>
      <c r="P352" s="63"/>
      <c r="Q352" s="57"/>
      <c r="R352" s="57"/>
      <c r="S352" s="57"/>
      <c r="T352" s="57"/>
      <c r="U352" s="57"/>
    </row>
    <row r="353">
      <c r="A353" s="57"/>
      <c r="B353" s="59"/>
      <c r="C353" s="57"/>
      <c r="D353" s="59"/>
      <c r="E353" s="57"/>
      <c r="F353" s="59"/>
      <c r="G353" s="57"/>
      <c r="H353" s="59"/>
      <c r="I353" s="57"/>
      <c r="J353" s="59"/>
      <c r="K353" s="57"/>
      <c r="L353" s="59"/>
      <c r="M353" s="57"/>
      <c r="N353" s="59"/>
      <c r="O353" s="57"/>
      <c r="P353" s="63"/>
      <c r="Q353" s="57"/>
      <c r="R353" s="57"/>
      <c r="S353" s="57"/>
      <c r="T353" s="57"/>
      <c r="U353" s="57"/>
    </row>
    <row r="354">
      <c r="A354" s="57"/>
      <c r="B354" s="59"/>
      <c r="C354" s="57"/>
      <c r="D354" s="59"/>
      <c r="E354" s="57"/>
      <c r="F354" s="59"/>
      <c r="G354" s="57"/>
      <c r="H354" s="59"/>
      <c r="I354" s="57"/>
      <c r="J354" s="59"/>
      <c r="K354" s="57"/>
      <c r="L354" s="59"/>
      <c r="M354" s="57"/>
      <c r="N354" s="59"/>
      <c r="O354" s="57"/>
      <c r="P354" s="63"/>
      <c r="Q354" s="57"/>
      <c r="R354" s="57"/>
      <c r="S354" s="57"/>
      <c r="T354" s="57"/>
      <c r="U354" s="57"/>
    </row>
    <row r="355">
      <c r="A355" s="57"/>
      <c r="B355" s="59"/>
      <c r="C355" s="57"/>
      <c r="D355" s="59"/>
      <c r="E355" s="57"/>
      <c r="F355" s="59"/>
      <c r="G355" s="57"/>
      <c r="H355" s="59"/>
      <c r="I355" s="57"/>
      <c r="J355" s="59"/>
      <c r="K355" s="57"/>
      <c r="L355" s="59"/>
      <c r="M355" s="57"/>
      <c r="N355" s="59"/>
      <c r="O355" s="57"/>
      <c r="P355" s="63"/>
      <c r="Q355" s="57"/>
      <c r="R355" s="57"/>
      <c r="S355" s="57"/>
      <c r="T355" s="57"/>
      <c r="U355" s="57"/>
    </row>
    <row r="356">
      <c r="A356" s="57"/>
      <c r="B356" s="59"/>
      <c r="C356" s="57"/>
      <c r="D356" s="59"/>
      <c r="E356" s="57"/>
      <c r="F356" s="59"/>
      <c r="G356" s="57"/>
      <c r="H356" s="59"/>
      <c r="I356" s="57"/>
      <c r="J356" s="59"/>
      <c r="K356" s="57"/>
      <c r="L356" s="59"/>
      <c r="M356" s="57"/>
      <c r="N356" s="59"/>
      <c r="O356" s="57"/>
      <c r="P356" s="63"/>
      <c r="Q356" s="57"/>
      <c r="R356" s="57"/>
      <c r="S356" s="57"/>
      <c r="T356" s="57"/>
      <c r="U356" s="57"/>
    </row>
    <row r="357">
      <c r="A357" s="57"/>
      <c r="B357" s="59"/>
      <c r="C357" s="57"/>
      <c r="D357" s="59"/>
      <c r="E357" s="57"/>
      <c r="F357" s="59"/>
      <c r="G357" s="57"/>
      <c r="H357" s="59"/>
      <c r="I357" s="57"/>
      <c r="J357" s="59"/>
      <c r="K357" s="57"/>
      <c r="L357" s="59"/>
      <c r="M357" s="57"/>
      <c r="N357" s="59"/>
      <c r="O357" s="57"/>
      <c r="P357" s="63"/>
      <c r="Q357" s="57"/>
      <c r="R357" s="57"/>
      <c r="S357" s="57"/>
      <c r="T357" s="57"/>
      <c r="U357" s="57"/>
    </row>
    <row r="358">
      <c r="A358" s="57"/>
      <c r="B358" s="59"/>
      <c r="C358" s="57"/>
      <c r="D358" s="59"/>
      <c r="E358" s="57"/>
      <c r="F358" s="59"/>
      <c r="G358" s="57"/>
      <c r="H358" s="59"/>
      <c r="I358" s="57"/>
      <c r="J358" s="59"/>
      <c r="K358" s="57"/>
      <c r="L358" s="59"/>
      <c r="M358" s="57"/>
      <c r="N358" s="59"/>
      <c r="O358" s="57"/>
      <c r="P358" s="63"/>
      <c r="Q358" s="57"/>
      <c r="R358" s="57"/>
      <c r="S358" s="57"/>
      <c r="T358" s="57"/>
      <c r="U358" s="57"/>
    </row>
    <row r="359">
      <c r="A359" s="57"/>
      <c r="B359" s="59"/>
      <c r="C359" s="57"/>
      <c r="D359" s="59"/>
      <c r="E359" s="57"/>
      <c r="F359" s="59"/>
      <c r="G359" s="57"/>
      <c r="H359" s="59"/>
      <c r="I359" s="57"/>
      <c r="J359" s="59"/>
      <c r="K359" s="57"/>
      <c r="L359" s="59"/>
      <c r="M359" s="57"/>
      <c r="N359" s="59"/>
      <c r="O359" s="57"/>
      <c r="P359" s="63"/>
      <c r="Q359" s="57"/>
      <c r="R359" s="57"/>
      <c r="S359" s="57"/>
      <c r="T359" s="57"/>
      <c r="U359" s="57"/>
    </row>
    <row r="360">
      <c r="A360" s="57"/>
      <c r="B360" s="59"/>
      <c r="C360" s="57"/>
      <c r="D360" s="59"/>
      <c r="E360" s="57"/>
      <c r="F360" s="59"/>
      <c r="G360" s="57"/>
      <c r="H360" s="59"/>
      <c r="I360" s="57"/>
      <c r="J360" s="59"/>
      <c r="K360" s="57"/>
      <c r="L360" s="59"/>
      <c r="M360" s="57"/>
      <c r="N360" s="59"/>
      <c r="O360" s="57"/>
      <c r="P360" s="63"/>
      <c r="Q360" s="57"/>
      <c r="R360" s="57"/>
      <c r="S360" s="57"/>
      <c r="T360" s="57"/>
      <c r="U360" s="57"/>
    </row>
    <row r="361">
      <c r="A361" s="57"/>
      <c r="B361" s="59"/>
      <c r="C361" s="57"/>
      <c r="D361" s="59"/>
      <c r="E361" s="57"/>
      <c r="F361" s="59"/>
      <c r="G361" s="57"/>
      <c r="H361" s="59"/>
      <c r="I361" s="57"/>
      <c r="J361" s="59"/>
      <c r="K361" s="57"/>
      <c r="L361" s="59"/>
      <c r="M361" s="57"/>
      <c r="N361" s="59"/>
      <c r="O361" s="57"/>
      <c r="P361" s="63"/>
      <c r="Q361" s="57"/>
      <c r="R361" s="57"/>
      <c r="S361" s="57"/>
      <c r="T361" s="57"/>
      <c r="U361" s="57"/>
    </row>
    <row r="362">
      <c r="A362" s="57"/>
      <c r="B362" s="59"/>
      <c r="C362" s="57"/>
      <c r="D362" s="59"/>
      <c r="E362" s="57"/>
      <c r="F362" s="59"/>
      <c r="G362" s="57"/>
      <c r="H362" s="59"/>
      <c r="I362" s="57"/>
      <c r="J362" s="59"/>
      <c r="K362" s="57"/>
      <c r="L362" s="59"/>
      <c r="M362" s="57"/>
      <c r="N362" s="59"/>
      <c r="O362" s="57"/>
      <c r="P362" s="63"/>
      <c r="Q362" s="57"/>
      <c r="R362" s="57"/>
      <c r="S362" s="57"/>
      <c r="T362" s="57"/>
      <c r="U362" s="57"/>
    </row>
    <row r="363">
      <c r="A363" s="57"/>
      <c r="B363" s="59"/>
      <c r="C363" s="57"/>
      <c r="D363" s="59"/>
      <c r="E363" s="57"/>
      <c r="F363" s="59"/>
      <c r="G363" s="57"/>
      <c r="H363" s="59"/>
      <c r="I363" s="57"/>
      <c r="J363" s="59"/>
      <c r="K363" s="57"/>
      <c r="L363" s="59"/>
      <c r="M363" s="57"/>
      <c r="N363" s="59"/>
      <c r="O363" s="57"/>
      <c r="P363" s="63"/>
      <c r="Q363" s="57"/>
      <c r="R363" s="57"/>
      <c r="S363" s="57"/>
      <c r="T363" s="57"/>
      <c r="U363" s="57"/>
    </row>
    <row r="364">
      <c r="A364" s="57"/>
      <c r="B364" s="59"/>
      <c r="C364" s="57"/>
      <c r="D364" s="59"/>
      <c r="E364" s="57"/>
      <c r="F364" s="59"/>
      <c r="G364" s="57"/>
      <c r="H364" s="59"/>
      <c r="I364" s="57"/>
      <c r="J364" s="59"/>
      <c r="K364" s="57"/>
      <c r="L364" s="59"/>
      <c r="M364" s="57"/>
      <c r="N364" s="59"/>
      <c r="O364" s="57"/>
      <c r="P364" s="63"/>
      <c r="Q364" s="57"/>
      <c r="R364" s="57"/>
      <c r="S364" s="57"/>
      <c r="T364" s="57"/>
      <c r="U364" s="57"/>
    </row>
    <row r="365">
      <c r="A365" s="57"/>
      <c r="B365" s="59"/>
      <c r="C365" s="57"/>
      <c r="D365" s="59"/>
      <c r="E365" s="57"/>
      <c r="F365" s="59"/>
      <c r="G365" s="57"/>
      <c r="H365" s="59"/>
      <c r="I365" s="57"/>
      <c r="J365" s="59"/>
      <c r="K365" s="57"/>
      <c r="L365" s="59"/>
      <c r="M365" s="57"/>
      <c r="N365" s="59"/>
      <c r="O365" s="57"/>
      <c r="P365" s="63"/>
      <c r="Q365" s="57"/>
      <c r="R365" s="57"/>
      <c r="S365" s="57"/>
      <c r="T365" s="57"/>
      <c r="U365" s="57"/>
    </row>
    <row r="366">
      <c r="A366" s="57"/>
      <c r="B366" s="59"/>
      <c r="C366" s="57"/>
      <c r="D366" s="59"/>
      <c r="E366" s="57"/>
      <c r="F366" s="59"/>
      <c r="G366" s="57"/>
      <c r="H366" s="59"/>
      <c r="I366" s="57"/>
      <c r="J366" s="59"/>
      <c r="K366" s="57"/>
      <c r="L366" s="59"/>
      <c r="M366" s="57"/>
      <c r="N366" s="59"/>
      <c r="O366" s="57"/>
      <c r="P366" s="63"/>
      <c r="Q366" s="57"/>
      <c r="R366" s="57"/>
      <c r="S366" s="57"/>
      <c r="T366" s="57"/>
      <c r="U366" s="57"/>
    </row>
    <row r="367">
      <c r="A367" s="57"/>
      <c r="B367" s="59"/>
      <c r="C367" s="57"/>
      <c r="D367" s="59"/>
      <c r="E367" s="57"/>
      <c r="F367" s="59"/>
      <c r="G367" s="57"/>
      <c r="H367" s="59"/>
      <c r="I367" s="57"/>
      <c r="J367" s="59"/>
      <c r="K367" s="57"/>
      <c r="L367" s="59"/>
      <c r="M367" s="57"/>
      <c r="N367" s="59"/>
      <c r="O367" s="57"/>
      <c r="P367" s="63"/>
      <c r="Q367" s="57"/>
      <c r="R367" s="57"/>
      <c r="S367" s="57"/>
      <c r="T367" s="57"/>
      <c r="U367" s="57"/>
    </row>
    <row r="368">
      <c r="A368" s="57"/>
      <c r="B368" s="59"/>
      <c r="C368" s="57"/>
      <c r="D368" s="59"/>
      <c r="E368" s="57"/>
      <c r="F368" s="59"/>
      <c r="G368" s="57"/>
      <c r="H368" s="59"/>
      <c r="I368" s="57"/>
      <c r="J368" s="59"/>
      <c r="K368" s="57"/>
      <c r="L368" s="59"/>
      <c r="M368" s="57"/>
      <c r="N368" s="59"/>
      <c r="O368" s="57"/>
      <c r="P368" s="63"/>
      <c r="Q368" s="57"/>
      <c r="R368" s="57"/>
      <c r="S368" s="57"/>
      <c r="T368" s="57"/>
      <c r="U368" s="57"/>
    </row>
    <row r="369">
      <c r="A369" s="57"/>
      <c r="B369" s="59"/>
      <c r="C369" s="57"/>
      <c r="D369" s="59"/>
      <c r="E369" s="57"/>
      <c r="F369" s="59"/>
      <c r="G369" s="57"/>
      <c r="H369" s="59"/>
      <c r="I369" s="57"/>
      <c r="J369" s="59"/>
      <c r="K369" s="57"/>
      <c r="L369" s="59"/>
      <c r="M369" s="57"/>
      <c r="N369" s="59"/>
      <c r="O369" s="57"/>
      <c r="P369" s="63"/>
      <c r="Q369" s="57"/>
      <c r="R369" s="57"/>
      <c r="S369" s="57"/>
      <c r="T369" s="57"/>
      <c r="U369" s="57"/>
    </row>
    <row r="370">
      <c r="A370" s="57"/>
      <c r="B370" s="59"/>
      <c r="C370" s="57"/>
      <c r="D370" s="59"/>
      <c r="E370" s="57"/>
      <c r="F370" s="59"/>
      <c r="G370" s="57"/>
      <c r="H370" s="59"/>
      <c r="I370" s="57"/>
      <c r="J370" s="59"/>
      <c r="K370" s="57"/>
      <c r="L370" s="59"/>
      <c r="M370" s="57"/>
      <c r="N370" s="59"/>
      <c r="O370" s="57"/>
      <c r="P370" s="63"/>
      <c r="Q370" s="57"/>
      <c r="R370" s="57"/>
      <c r="S370" s="57"/>
      <c r="T370" s="57"/>
      <c r="U370" s="57"/>
    </row>
    <row r="371">
      <c r="A371" s="57"/>
      <c r="B371" s="59"/>
      <c r="C371" s="57"/>
      <c r="D371" s="59"/>
      <c r="E371" s="57"/>
      <c r="F371" s="59"/>
      <c r="G371" s="57"/>
      <c r="H371" s="59"/>
      <c r="I371" s="57"/>
      <c r="J371" s="59"/>
      <c r="K371" s="57"/>
      <c r="L371" s="59"/>
      <c r="M371" s="57"/>
      <c r="N371" s="59"/>
      <c r="O371" s="57"/>
      <c r="P371" s="63"/>
      <c r="Q371" s="57"/>
      <c r="R371" s="57"/>
      <c r="S371" s="57"/>
      <c r="T371" s="57"/>
      <c r="U371" s="57"/>
    </row>
    <row r="372">
      <c r="A372" s="57"/>
      <c r="B372" s="59"/>
      <c r="C372" s="57"/>
      <c r="D372" s="59"/>
      <c r="E372" s="57"/>
      <c r="F372" s="59"/>
      <c r="G372" s="57"/>
      <c r="H372" s="59"/>
      <c r="I372" s="57"/>
      <c r="J372" s="59"/>
      <c r="K372" s="57"/>
      <c r="L372" s="59"/>
      <c r="M372" s="57"/>
      <c r="N372" s="59"/>
      <c r="O372" s="57"/>
      <c r="P372" s="63"/>
      <c r="Q372" s="57"/>
      <c r="R372" s="57"/>
      <c r="S372" s="57"/>
      <c r="T372" s="57"/>
      <c r="U372" s="57"/>
    </row>
    <row r="373">
      <c r="A373" s="57"/>
      <c r="B373" s="59"/>
      <c r="C373" s="57"/>
      <c r="D373" s="59"/>
      <c r="E373" s="57"/>
      <c r="F373" s="59"/>
      <c r="G373" s="57"/>
      <c r="H373" s="59"/>
      <c r="I373" s="57"/>
      <c r="J373" s="59"/>
      <c r="K373" s="57"/>
      <c r="L373" s="59"/>
      <c r="M373" s="57"/>
      <c r="N373" s="59"/>
      <c r="O373" s="57"/>
      <c r="P373" s="63"/>
      <c r="Q373" s="57"/>
      <c r="R373" s="57"/>
      <c r="S373" s="57"/>
      <c r="T373" s="57"/>
      <c r="U373" s="57"/>
    </row>
    <row r="374">
      <c r="A374" s="57"/>
      <c r="B374" s="59"/>
      <c r="C374" s="57"/>
      <c r="D374" s="59"/>
      <c r="E374" s="57"/>
      <c r="F374" s="59"/>
      <c r="G374" s="57"/>
      <c r="H374" s="59"/>
      <c r="I374" s="57"/>
      <c r="J374" s="59"/>
      <c r="K374" s="57"/>
      <c r="L374" s="59"/>
      <c r="M374" s="57"/>
      <c r="N374" s="59"/>
      <c r="O374" s="57"/>
      <c r="P374" s="63"/>
      <c r="Q374" s="57"/>
      <c r="R374" s="57"/>
      <c r="S374" s="57"/>
      <c r="T374" s="57"/>
      <c r="U374" s="57"/>
    </row>
    <row r="375">
      <c r="A375" s="57"/>
      <c r="B375" s="59"/>
      <c r="C375" s="57"/>
      <c r="D375" s="59"/>
      <c r="E375" s="57"/>
      <c r="F375" s="59"/>
      <c r="G375" s="57"/>
      <c r="H375" s="59"/>
      <c r="I375" s="57"/>
      <c r="J375" s="59"/>
      <c r="K375" s="57"/>
      <c r="L375" s="59"/>
      <c r="M375" s="57"/>
      <c r="N375" s="59"/>
      <c r="O375" s="57"/>
      <c r="P375" s="63"/>
      <c r="Q375" s="57"/>
      <c r="R375" s="57"/>
      <c r="S375" s="57"/>
      <c r="T375" s="57"/>
      <c r="U375" s="57"/>
    </row>
    <row r="376">
      <c r="A376" s="57"/>
      <c r="B376" s="59"/>
      <c r="C376" s="57"/>
      <c r="D376" s="59"/>
      <c r="E376" s="57"/>
      <c r="F376" s="59"/>
      <c r="G376" s="57"/>
      <c r="H376" s="59"/>
      <c r="I376" s="57"/>
      <c r="J376" s="59"/>
      <c r="K376" s="57"/>
      <c r="L376" s="59"/>
      <c r="M376" s="57"/>
      <c r="N376" s="59"/>
      <c r="O376" s="57"/>
      <c r="P376" s="63"/>
      <c r="Q376" s="57"/>
      <c r="R376" s="57"/>
      <c r="S376" s="57"/>
      <c r="T376" s="57"/>
      <c r="U376" s="57"/>
    </row>
    <row r="377">
      <c r="A377" s="57"/>
      <c r="B377" s="59"/>
      <c r="C377" s="57"/>
      <c r="D377" s="59"/>
      <c r="E377" s="57"/>
      <c r="F377" s="59"/>
      <c r="G377" s="57"/>
      <c r="H377" s="59"/>
      <c r="I377" s="57"/>
      <c r="J377" s="59"/>
      <c r="K377" s="57"/>
      <c r="L377" s="59"/>
      <c r="M377" s="57"/>
      <c r="N377" s="59"/>
      <c r="O377" s="57"/>
      <c r="P377" s="63"/>
      <c r="Q377" s="57"/>
      <c r="R377" s="57"/>
      <c r="S377" s="57"/>
      <c r="T377" s="57"/>
      <c r="U377" s="57"/>
    </row>
    <row r="378">
      <c r="A378" s="57"/>
      <c r="B378" s="59"/>
      <c r="C378" s="57"/>
      <c r="D378" s="59"/>
      <c r="E378" s="57"/>
      <c r="F378" s="59"/>
      <c r="G378" s="57"/>
      <c r="H378" s="59"/>
      <c r="I378" s="57"/>
      <c r="J378" s="59"/>
      <c r="K378" s="57"/>
      <c r="L378" s="59"/>
      <c r="M378" s="57"/>
      <c r="N378" s="59"/>
      <c r="O378" s="57"/>
      <c r="P378" s="63"/>
      <c r="Q378" s="57"/>
      <c r="R378" s="57"/>
      <c r="S378" s="57"/>
      <c r="T378" s="57"/>
      <c r="U378" s="57"/>
    </row>
    <row r="379">
      <c r="A379" s="57"/>
      <c r="B379" s="59"/>
      <c r="C379" s="57"/>
      <c r="D379" s="59"/>
      <c r="E379" s="57"/>
      <c r="F379" s="59"/>
      <c r="G379" s="57"/>
      <c r="H379" s="59"/>
      <c r="I379" s="57"/>
      <c r="J379" s="59"/>
      <c r="K379" s="57"/>
      <c r="L379" s="59"/>
      <c r="M379" s="57"/>
      <c r="N379" s="59"/>
      <c r="O379" s="57"/>
      <c r="P379" s="63"/>
      <c r="Q379" s="57"/>
      <c r="R379" s="57"/>
      <c r="S379" s="57"/>
      <c r="T379" s="57"/>
      <c r="U379" s="57"/>
    </row>
    <row r="380">
      <c r="A380" s="57"/>
      <c r="B380" s="59"/>
      <c r="C380" s="57"/>
      <c r="D380" s="59"/>
      <c r="E380" s="57"/>
      <c r="F380" s="59"/>
      <c r="G380" s="57"/>
      <c r="H380" s="59"/>
      <c r="I380" s="57"/>
      <c r="J380" s="59"/>
      <c r="K380" s="57"/>
      <c r="L380" s="59"/>
      <c r="M380" s="57"/>
      <c r="N380" s="59"/>
      <c r="O380" s="57"/>
      <c r="P380" s="63"/>
      <c r="Q380" s="57"/>
      <c r="R380" s="57"/>
      <c r="S380" s="57"/>
      <c r="T380" s="57"/>
      <c r="U380" s="57"/>
    </row>
    <row r="381">
      <c r="A381" s="57"/>
      <c r="B381" s="59"/>
      <c r="C381" s="57"/>
      <c r="D381" s="59"/>
      <c r="E381" s="57"/>
      <c r="F381" s="59"/>
      <c r="G381" s="57"/>
      <c r="H381" s="59"/>
      <c r="I381" s="57"/>
      <c r="J381" s="59"/>
      <c r="K381" s="57"/>
      <c r="L381" s="59"/>
      <c r="M381" s="57"/>
      <c r="N381" s="59"/>
      <c r="O381" s="57"/>
      <c r="P381" s="63"/>
      <c r="Q381" s="57"/>
      <c r="R381" s="57"/>
      <c r="S381" s="57"/>
      <c r="T381" s="57"/>
      <c r="U381" s="57"/>
    </row>
    <row r="382">
      <c r="A382" s="57"/>
      <c r="B382" s="59"/>
      <c r="C382" s="57"/>
      <c r="D382" s="59"/>
      <c r="E382" s="57"/>
      <c r="F382" s="59"/>
      <c r="G382" s="57"/>
      <c r="H382" s="59"/>
      <c r="I382" s="57"/>
      <c r="J382" s="59"/>
      <c r="K382" s="57"/>
      <c r="L382" s="59"/>
      <c r="M382" s="57"/>
      <c r="N382" s="59"/>
      <c r="O382" s="57"/>
      <c r="P382" s="63"/>
      <c r="Q382" s="57"/>
      <c r="R382" s="57"/>
      <c r="S382" s="57"/>
      <c r="T382" s="57"/>
      <c r="U382" s="57"/>
    </row>
    <row r="383">
      <c r="A383" s="57"/>
      <c r="B383" s="59"/>
      <c r="C383" s="57"/>
      <c r="D383" s="59"/>
      <c r="E383" s="57"/>
      <c r="F383" s="59"/>
      <c r="G383" s="57"/>
      <c r="H383" s="59"/>
      <c r="I383" s="57"/>
      <c r="J383" s="59"/>
      <c r="K383" s="57"/>
      <c r="L383" s="59"/>
      <c r="M383" s="57"/>
      <c r="N383" s="59"/>
      <c r="O383" s="57"/>
      <c r="P383" s="63"/>
      <c r="Q383" s="57"/>
      <c r="R383" s="57"/>
      <c r="S383" s="57"/>
      <c r="T383" s="57"/>
      <c r="U383" s="57"/>
    </row>
    <row r="384">
      <c r="A384" s="57"/>
      <c r="B384" s="59"/>
      <c r="C384" s="57"/>
      <c r="D384" s="59"/>
      <c r="E384" s="57"/>
      <c r="F384" s="59"/>
      <c r="G384" s="57"/>
      <c r="H384" s="59"/>
      <c r="I384" s="57"/>
      <c r="J384" s="59"/>
      <c r="K384" s="57"/>
      <c r="L384" s="59"/>
      <c r="M384" s="57"/>
      <c r="N384" s="59"/>
      <c r="O384" s="57"/>
      <c r="P384" s="63"/>
      <c r="Q384" s="57"/>
      <c r="R384" s="57"/>
      <c r="S384" s="57"/>
      <c r="T384" s="57"/>
      <c r="U384" s="57"/>
    </row>
    <row r="385">
      <c r="A385" s="57"/>
      <c r="B385" s="59"/>
      <c r="C385" s="57"/>
      <c r="D385" s="59"/>
      <c r="E385" s="57"/>
      <c r="F385" s="59"/>
      <c r="G385" s="57"/>
      <c r="H385" s="59"/>
      <c r="I385" s="57"/>
      <c r="J385" s="59"/>
      <c r="K385" s="57"/>
      <c r="L385" s="59"/>
      <c r="M385" s="57"/>
      <c r="N385" s="59"/>
      <c r="O385" s="57"/>
      <c r="P385" s="63"/>
      <c r="Q385" s="57"/>
      <c r="R385" s="57"/>
      <c r="S385" s="57"/>
      <c r="T385" s="57"/>
      <c r="U385" s="57"/>
    </row>
    <row r="386">
      <c r="A386" s="57"/>
      <c r="B386" s="59"/>
      <c r="C386" s="57"/>
      <c r="D386" s="59"/>
      <c r="E386" s="57"/>
      <c r="F386" s="59"/>
      <c r="G386" s="57"/>
      <c r="H386" s="59"/>
      <c r="I386" s="57"/>
      <c r="J386" s="59"/>
      <c r="K386" s="57"/>
      <c r="L386" s="59"/>
      <c r="M386" s="57"/>
      <c r="N386" s="59"/>
      <c r="O386" s="57"/>
      <c r="P386" s="63"/>
      <c r="Q386" s="57"/>
      <c r="R386" s="57"/>
      <c r="S386" s="57"/>
      <c r="T386" s="57"/>
      <c r="U386" s="57"/>
    </row>
    <row r="387">
      <c r="A387" s="57"/>
      <c r="B387" s="59"/>
      <c r="C387" s="57"/>
      <c r="D387" s="59"/>
      <c r="E387" s="57"/>
      <c r="F387" s="59"/>
      <c r="G387" s="57"/>
      <c r="H387" s="59"/>
      <c r="I387" s="57"/>
      <c r="J387" s="59"/>
      <c r="K387" s="57"/>
      <c r="L387" s="59"/>
      <c r="M387" s="57"/>
      <c r="N387" s="59"/>
      <c r="O387" s="57"/>
      <c r="P387" s="63"/>
      <c r="Q387" s="57"/>
      <c r="R387" s="57"/>
      <c r="S387" s="57"/>
      <c r="T387" s="57"/>
      <c r="U387" s="57"/>
    </row>
    <row r="388">
      <c r="A388" s="57"/>
      <c r="B388" s="59"/>
      <c r="C388" s="57"/>
      <c r="D388" s="59"/>
      <c r="E388" s="57"/>
      <c r="F388" s="59"/>
      <c r="G388" s="57"/>
      <c r="H388" s="59"/>
      <c r="I388" s="57"/>
      <c r="J388" s="59"/>
      <c r="K388" s="57"/>
      <c r="L388" s="59"/>
      <c r="M388" s="57"/>
      <c r="N388" s="59"/>
      <c r="O388" s="57"/>
      <c r="P388" s="63"/>
      <c r="Q388" s="57"/>
      <c r="R388" s="57"/>
      <c r="S388" s="57"/>
      <c r="T388" s="57"/>
      <c r="U388" s="57"/>
    </row>
    <row r="389">
      <c r="A389" s="57"/>
      <c r="B389" s="59"/>
      <c r="C389" s="57"/>
      <c r="D389" s="59"/>
      <c r="E389" s="57"/>
      <c r="F389" s="59"/>
      <c r="G389" s="57"/>
      <c r="H389" s="59"/>
      <c r="I389" s="57"/>
      <c r="J389" s="59"/>
      <c r="K389" s="57"/>
      <c r="L389" s="59"/>
      <c r="M389" s="57"/>
      <c r="N389" s="59"/>
      <c r="O389" s="57"/>
      <c r="P389" s="63"/>
      <c r="Q389" s="57"/>
      <c r="R389" s="57"/>
      <c r="S389" s="57"/>
      <c r="T389" s="57"/>
      <c r="U389" s="57"/>
    </row>
    <row r="390">
      <c r="A390" s="57"/>
      <c r="B390" s="59"/>
      <c r="C390" s="57"/>
      <c r="D390" s="59"/>
      <c r="E390" s="57"/>
      <c r="F390" s="59"/>
      <c r="G390" s="57"/>
      <c r="H390" s="59"/>
      <c r="I390" s="57"/>
      <c r="J390" s="59"/>
      <c r="K390" s="57"/>
      <c r="L390" s="59"/>
      <c r="M390" s="57"/>
      <c r="N390" s="59"/>
      <c r="O390" s="57"/>
      <c r="P390" s="63"/>
      <c r="Q390" s="57"/>
      <c r="R390" s="57"/>
      <c r="S390" s="57"/>
      <c r="T390" s="57"/>
      <c r="U390" s="57"/>
    </row>
    <row r="391">
      <c r="A391" s="57"/>
      <c r="B391" s="59"/>
      <c r="C391" s="57"/>
      <c r="D391" s="59"/>
      <c r="E391" s="57"/>
      <c r="F391" s="59"/>
      <c r="G391" s="57"/>
      <c r="H391" s="59"/>
      <c r="I391" s="57"/>
      <c r="J391" s="59"/>
      <c r="K391" s="57"/>
      <c r="L391" s="59"/>
      <c r="M391" s="57"/>
      <c r="N391" s="59"/>
      <c r="O391" s="57"/>
      <c r="P391" s="63"/>
      <c r="Q391" s="57"/>
      <c r="R391" s="57"/>
      <c r="S391" s="57"/>
      <c r="T391" s="57"/>
      <c r="U391" s="57"/>
    </row>
    <row r="392">
      <c r="A392" s="57"/>
      <c r="B392" s="59"/>
      <c r="C392" s="57"/>
      <c r="D392" s="59"/>
      <c r="E392" s="57"/>
      <c r="F392" s="59"/>
      <c r="G392" s="57"/>
      <c r="H392" s="59"/>
      <c r="I392" s="57"/>
      <c r="J392" s="59"/>
      <c r="K392" s="57"/>
      <c r="L392" s="59"/>
      <c r="M392" s="57"/>
      <c r="N392" s="59"/>
      <c r="O392" s="57"/>
      <c r="P392" s="63"/>
      <c r="Q392" s="57"/>
      <c r="R392" s="57"/>
      <c r="S392" s="57"/>
      <c r="T392" s="57"/>
      <c r="U392" s="57"/>
    </row>
    <row r="393">
      <c r="A393" s="57"/>
      <c r="B393" s="59"/>
      <c r="C393" s="57"/>
      <c r="D393" s="59"/>
      <c r="E393" s="57"/>
      <c r="F393" s="59"/>
      <c r="G393" s="57"/>
      <c r="H393" s="59"/>
      <c r="I393" s="57"/>
      <c r="J393" s="59"/>
      <c r="K393" s="57"/>
      <c r="L393" s="59"/>
      <c r="M393" s="57"/>
      <c r="N393" s="59"/>
      <c r="O393" s="57"/>
      <c r="P393" s="63"/>
      <c r="Q393" s="57"/>
      <c r="R393" s="57"/>
      <c r="S393" s="57"/>
      <c r="T393" s="57"/>
      <c r="U393" s="57"/>
    </row>
    <row r="394">
      <c r="A394" s="57"/>
      <c r="B394" s="59"/>
      <c r="C394" s="57"/>
      <c r="D394" s="59"/>
      <c r="E394" s="57"/>
      <c r="F394" s="59"/>
      <c r="G394" s="57"/>
      <c r="H394" s="59"/>
      <c r="I394" s="57"/>
      <c r="J394" s="59"/>
      <c r="K394" s="57"/>
      <c r="L394" s="59"/>
      <c r="M394" s="57"/>
      <c r="N394" s="59"/>
      <c r="O394" s="57"/>
      <c r="P394" s="63"/>
      <c r="Q394" s="57"/>
      <c r="R394" s="57"/>
      <c r="S394" s="57"/>
      <c r="T394" s="57"/>
      <c r="U394" s="57"/>
    </row>
    <row r="395">
      <c r="A395" s="57"/>
      <c r="B395" s="59"/>
      <c r="C395" s="57"/>
      <c r="D395" s="59"/>
      <c r="E395" s="57"/>
      <c r="F395" s="59"/>
      <c r="G395" s="57"/>
      <c r="H395" s="59"/>
      <c r="I395" s="57"/>
      <c r="J395" s="59"/>
      <c r="K395" s="57"/>
      <c r="L395" s="59"/>
      <c r="M395" s="57"/>
      <c r="N395" s="59"/>
      <c r="O395" s="57"/>
      <c r="P395" s="63"/>
      <c r="Q395" s="57"/>
      <c r="R395" s="57"/>
      <c r="S395" s="57"/>
      <c r="T395" s="57"/>
      <c r="U395" s="57"/>
    </row>
    <row r="396">
      <c r="A396" s="57"/>
      <c r="B396" s="59"/>
      <c r="C396" s="57"/>
      <c r="D396" s="59"/>
      <c r="E396" s="57"/>
      <c r="F396" s="59"/>
      <c r="G396" s="57"/>
      <c r="H396" s="59"/>
      <c r="I396" s="57"/>
      <c r="J396" s="59"/>
      <c r="K396" s="57"/>
      <c r="L396" s="59"/>
      <c r="M396" s="57"/>
      <c r="N396" s="59"/>
      <c r="O396" s="57"/>
      <c r="P396" s="63"/>
      <c r="Q396" s="57"/>
      <c r="R396" s="57"/>
      <c r="S396" s="57"/>
      <c r="T396" s="57"/>
      <c r="U396" s="57"/>
    </row>
    <row r="397">
      <c r="A397" s="57"/>
      <c r="B397" s="59"/>
      <c r="C397" s="57"/>
      <c r="D397" s="59"/>
      <c r="E397" s="57"/>
      <c r="F397" s="59"/>
      <c r="G397" s="57"/>
      <c r="H397" s="59"/>
      <c r="I397" s="57"/>
      <c r="J397" s="59"/>
      <c r="K397" s="57"/>
      <c r="L397" s="59"/>
      <c r="M397" s="57"/>
      <c r="N397" s="59"/>
      <c r="O397" s="57"/>
      <c r="P397" s="63"/>
      <c r="Q397" s="57"/>
      <c r="R397" s="57"/>
      <c r="S397" s="57"/>
      <c r="T397" s="57"/>
      <c r="U397" s="57"/>
    </row>
    <row r="398">
      <c r="A398" s="57"/>
      <c r="B398" s="59"/>
      <c r="C398" s="57"/>
      <c r="D398" s="59"/>
      <c r="E398" s="57"/>
      <c r="F398" s="59"/>
      <c r="G398" s="57"/>
      <c r="H398" s="59"/>
      <c r="I398" s="57"/>
      <c r="J398" s="59"/>
      <c r="K398" s="57"/>
      <c r="L398" s="59"/>
      <c r="M398" s="57"/>
      <c r="N398" s="59"/>
      <c r="O398" s="57"/>
      <c r="P398" s="63"/>
      <c r="Q398" s="57"/>
      <c r="R398" s="57"/>
      <c r="S398" s="57"/>
      <c r="T398" s="57"/>
      <c r="U398" s="57"/>
    </row>
    <row r="399">
      <c r="A399" s="57"/>
      <c r="B399" s="59"/>
      <c r="C399" s="57"/>
      <c r="D399" s="59"/>
      <c r="E399" s="57"/>
      <c r="F399" s="59"/>
      <c r="G399" s="57"/>
      <c r="H399" s="59"/>
      <c r="I399" s="57"/>
      <c r="J399" s="59"/>
      <c r="K399" s="57"/>
      <c r="L399" s="59"/>
      <c r="M399" s="57"/>
      <c r="N399" s="59"/>
      <c r="O399" s="57"/>
      <c r="P399" s="63"/>
      <c r="Q399" s="57"/>
      <c r="R399" s="57"/>
      <c r="S399" s="57"/>
      <c r="T399" s="57"/>
      <c r="U399" s="57"/>
    </row>
    <row r="400">
      <c r="A400" s="57"/>
      <c r="B400" s="59"/>
      <c r="C400" s="57"/>
      <c r="D400" s="59"/>
      <c r="E400" s="57"/>
      <c r="F400" s="59"/>
      <c r="G400" s="57"/>
      <c r="H400" s="59"/>
      <c r="I400" s="57"/>
      <c r="J400" s="59"/>
      <c r="K400" s="57"/>
      <c r="L400" s="59"/>
      <c r="M400" s="57"/>
      <c r="N400" s="59"/>
      <c r="O400" s="57"/>
      <c r="P400" s="63"/>
      <c r="Q400" s="57"/>
      <c r="R400" s="57"/>
      <c r="S400" s="57"/>
      <c r="T400" s="57"/>
      <c r="U400" s="57"/>
    </row>
    <row r="401">
      <c r="A401" s="57"/>
      <c r="B401" s="59"/>
      <c r="C401" s="57"/>
      <c r="D401" s="59"/>
      <c r="E401" s="57"/>
      <c r="F401" s="59"/>
      <c r="G401" s="57"/>
      <c r="H401" s="59"/>
      <c r="I401" s="57"/>
      <c r="J401" s="59"/>
      <c r="K401" s="57"/>
      <c r="L401" s="59"/>
      <c r="M401" s="57"/>
      <c r="N401" s="59"/>
      <c r="O401" s="57"/>
      <c r="P401" s="63"/>
      <c r="Q401" s="57"/>
      <c r="R401" s="57"/>
      <c r="S401" s="57"/>
      <c r="T401" s="57"/>
      <c r="U401" s="57"/>
    </row>
    <row r="402">
      <c r="A402" s="57"/>
      <c r="B402" s="59"/>
      <c r="C402" s="57"/>
      <c r="D402" s="59"/>
      <c r="E402" s="57"/>
      <c r="F402" s="59"/>
      <c r="G402" s="57"/>
      <c r="H402" s="59"/>
      <c r="I402" s="57"/>
      <c r="J402" s="59"/>
      <c r="K402" s="57"/>
      <c r="L402" s="59"/>
      <c r="M402" s="57"/>
      <c r="N402" s="59"/>
      <c r="O402" s="57"/>
      <c r="P402" s="63"/>
      <c r="Q402" s="57"/>
      <c r="R402" s="57"/>
      <c r="S402" s="57"/>
      <c r="T402" s="57"/>
      <c r="U402" s="57"/>
    </row>
    <row r="403">
      <c r="A403" s="57"/>
      <c r="B403" s="59"/>
      <c r="C403" s="57"/>
      <c r="D403" s="59"/>
      <c r="E403" s="57"/>
      <c r="F403" s="59"/>
      <c r="G403" s="57"/>
      <c r="H403" s="59"/>
      <c r="I403" s="57"/>
      <c r="J403" s="59"/>
      <c r="K403" s="57"/>
      <c r="L403" s="59"/>
      <c r="M403" s="57"/>
      <c r="N403" s="59"/>
      <c r="O403" s="57"/>
      <c r="P403" s="63"/>
      <c r="Q403" s="57"/>
      <c r="R403" s="57"/>
      <c r="S403" s="57"/>
      <c r="T403" s="57"/>
      <c r="U403" s="57"/>
    </row>
    <row r="404">
      <c r="A404" s="57"/>
      <c r="B404" s="59"/>
      <c r="C404" s="57"/>
      <c r="D404" s="59"/>
      <c r="E404" s="57"/>
      <c r="F404" s="59"/>
      <c r="G404" s="57"/>
      <c r="H404" s="59"/>
      <c r="I404" s="57"/>
      <c r="J404" s="59"/>
      <c r="K404" s="57"/>
      <c r="L404" s="59"/>
      <c r="M404" s="57"/>
      <c r="N404" s="59"/>
      <c r="O404" s="57"/>
      <c r="P404" s="63"/>
      <c r="Q404" s="57"/>
      <c r="R404" s="57"/>
      <c r="S404" s="57"/>
      <c r="T404" s="57"/>
      <c r="U404" s="57"/>
    </row>
    <row r="405">
      <c r="A405" s="57"/>
      <c r="B405" s="59"/>
      <c r="C405" s="57"/>
      <c r="D405" s="59"/>
      <c r="E405" s="57"/>
      <c r="F405" s="59"/>
      <c r="G405" s="57"/>
      <c r="H405" s="59"/>
      <c r="I405" s="57"/>
      <c r="J405" s="59"/>
      <c r="K405" s="57"/>
      <c r="L405" s="59"/>
      <c r="M405" s="57"/>
      <c r="N405" s="59"/>
      <c r="O405" s="57"/>
      <c r="P405" s="63"/>
      <c r="Q405" s="57"/>
      <c r="R405" s="57"/>
      <c r="S405" s="57"/>
      <c r="T405" s="57"/>
      <c r="U405" s="57"/>
    </row>
    <row r="406">
      <c r="A406" s="57"/>
      <c r="B406" s="59"/>
      <c r="C406" s="57"/>
      <c r="D406" s="59"/>
      <c r="E406" s="57"/>
      <c r="F406" s="59"/>
      <c r="G406" s="57"/>
      <c r="H406" s="59"/>
      <c r="I406" s="57"/>
      <c r="J406" s="59"/>
      <c r="K406" s="57"/>
      <c r="L406" s="59"/>
      <c r="M406" s="57"/>
      <c r="N406" s="59"/>
      <c r="O406" s="57"/>
      <c r="P406" s="63"/>
      <c r="Q406" s="57"/>
      <c r="R406" s="57"/>
      <c r="S406" s="57"/>
      <c r="T406" s="57"/>
      <c r="U406" s="57"/>
    </row>
    <row r="407">
      <c r="A407" s="57"/>
      <c r="B407" s="59"/>
      <c r="C407" s="57"/>
      <c r="D407" s="59"/>
      <c r="E407" s="57"/>
      <c r="F407" s="59"/>
      <c r="G407" s="57"/>
      <c r="H407" s="59"/>
      <c r="I407" s="57"/>
      <c r="J407" s="59"/>
      <c r="K407" s="57"/>
      <c r="L407" s="59"/>
      <c r="M407" s="57"/>
      <c r="N407" s="59"/>
      <c r="O407" s="57"/>
      <c r="P407" s="63"/>
      <c r="Q407" s="57"/>
      <c r="R407" s="57"/>
      <c r="S407" s="57"/>
      <c r="T407" s="57"/>
      <c r="U407" s="57"/>
    </row>
    <row r="408">
      <c r="A408" s="57"/>
      <c r="B408" s="59"/>
      <c r="C408" s="57"/>
      <c r="D408" s="59"/>
      <c r="E408" s="57"/>
      <c r="F408" s="59"/>
      <c r="G408" s="57"/>
      <c r="H408" s="59"/>
      <c r="I408" s="57"/>
      <c r="J408" s="59"/>
      <c r="K408" s="57"/>
      <c r="L408" s="59"/>
      <c r="M408" s="57"/>
      <c r="N408" s="59"/>
      <c r="O408" s="57"/>
      <c r="P408" s="63"/>
      <c r="Q408" s="57"/>
      <c r="R408" s="57"/>
      <c r="S408" s="57"/>
      <c r="T408" s="57"/>
      <c r="U408" s="57"/>
    </row>
    <row r="409">
      <c r="A409" s="57"/>
      <c r="B409" s="59"/>
      <c r="C409" s="57"/>
      <c r="D409" s="59"/>
      <c r="E409" s="57"/>
      <c r="F409" s="59"/>
      <c r="G409" s="57"/>
      <c r="H409" s="59"/>
      <c r="I409" s="57"/>
      <c r="J409" s="59"/>
      <c r="K409" s="57"/>
      <c r="L409" s="59"/>
      <c r="M409" s="57"/>
      <c r="N409" s="59"/>
      <c r="O409" s="57"/>
      <c r="P409" s="63"/>
      <c r="Q409" s="57"/>
      <c r="R409" s="57"/>
      <c r="S409" s="57"/>
      <c r="T409" s="57"/>
      <c r="U409" s="57"/>
    </row>
    <row r="410">
      <c r="A410" s="57"/>
      <c r="B410" s="59"/>
      <c r="C410" s="57"/>
      <c r="D410" s="59"/>
      <c r="E410" s="57"/>
      <c r="F410" s="59"/>
      <c r="G410" s="57"/>
      <c r="H410" s="59"/>
      <c r="I410" s="57"/>
      <c r="J410" s="59"/>
      <c r="K410" s="57"/>
      <c r="L410" s="59"/>
      <c r="M410" s="57"/>
      <c r="N410" s="59"/>
      <c r="O410" s="57"/>
      <c r="P410" s="63"/>
      <c r="Q410" s="57"/>
      <c r="R410" s="57"/>
      <c r="S410" s="57"/>
      <c r="T410" s="57"/>
      <c r="U410" s="57"/>
    </row>
    <row r="411">
      <c r="A411" s="57"/>
      <c r="B411" s="59"/>
      <c r="C411" s="57"/>
      <c r="D411" s="59"/>
      <c r="E411" s="57"/>
      <c r="F411" s="59"/>
      <c r="G411" s="57"/>
      <c r="H411" s="59"/>
      <c r="I411" s="57"/>
      <c r="J411" s="59"/>
      <c r="K411" s="57"/>
      <c r="L411" s="59"/>
      <c r="M411" s="57"/>
      <c r="N411" s="59"/>
      <c r="O411" s="57"/>
      <c r="P411" s="63"/>
      <c r="Q411" s="57"/>
      <c r="R411" s="57"/>
      <c r="S411" s="57"/>
      <c r="T411" s="57"/>
      <c r="U411" s="57"/>
    </row>
    <row r="412">
      <c r="A412" s="57"/>
      <c r="B412" s="59"/>
      <c r="C412" s="57"/>
      <c r="D412" s="59"/>
      <c r="E412" s="57"/>
      <c r="F412" s="59"/>
      <c r="G412" s="57"/>
      <c r="H412" s="59"/>
      <c r="I412" s="57"/>
      <c r="J412" s="59"/>
      <c r="K412" s="57"/>
      <c r="L412" s="59"/>
      <c r="M412" s="57"/>
      <c r="N412" s="59"/>
      <c r="O412" s="57"/>
      <c r="P412" s="63"/>
      <c r="Q412" s="57"/>
      <c r="R412" s="57"/>
      <c r="S412" s="57"/>
      <c r="T412" s="57"/>
      <c r="U412" s="57"/>
    </row>
    <row r="413">
      <c r="A413" s="57"/>
      <c r="B413" s="59"/>
      <c r="C413" s="57"/>
      <c r="D413" s="59"/>
      <c r="E413" s="57"/>
      <c r="F413" s="59"/>
      <c r="G413" s="57"/>
      <c r="H413" s="59"/>
      <c r="I413" s="57"/>
      <c r="J413" s="59"/>
      <c r="K413" s="57"/>
      <c r="L413" s="59"/>
      <c r="M413" s="57"/>
      <c r="N413" s="59"/>
      <c r="O413" s="57"/>
      <c r="P413" s="63"/>
      <c r="Q413" s="57"/>
      <c r="R413" s="57"/>
      <c r="S413" s="57"/>
      <c r="T413" s="57"/>
      <c r="U413" s="57"/>
    </row>
    <row r="414">
      <c r="A414" s="57"/>
      <c r="B414" s="59"/>
      <c r="C414" s="57"/>
      <c r="D414" s="59"/>
      <c r="E414" s="57"/>
      <c r="F414" s="59"/>
      <c r="G414" s="57"/>
      <c r="H414" s="59"/>
      <c r="I414" s="57"/>
      <c r="J414" s="59"/>
      <c r="K414" s="57"/>
      <c r="L414" s="59"/>
      <c r="M414" s="57"/>
      <c r="N414" s="59"/>
      <c r="O414" s="57"/>
      <c r="P414" s="63"/>
      <c r="Q414" s="57"/>
      <c r="R414" s="57"/>
      <c r="S414" s="57"/>
      <c r="T414" s="57"/>
      <c r="U414" s="57"/>
    </row>
    <row r="415">
      <c r="A415" s="57"/>
      <c r="B415" s="59"/>
      <c r="C415" s="57"/>
      <c r="D415" s="59"/>
      <c r="E415" s="57"/>
      <c r="F415" s="59"/>
      <c r="G415" s="57"/>
      <c r="H415" s="59"/>
      <c r="I415" s="57"/>
      <c r="J415" s="59"/>
      <c r="K415" s="57"/>
      <c r="L415" s="59"/>
      <c r="M415" s="57"/>
      <c r="N415" s="59"/>
      <c r="O415" s="57"/>
      <c r="P415" s="63"/>
      <c r="Q415" s="57"/>
      <c r="R415" s="57"/>
      <c r="S415" s="57"/>
      <c r="T415" s="57"/>
      <c r="U415" s="57"/>
    </row>
    <row r="416">
      <c r="A416" s="57"/>
      <c r="B416" s="59"/>
      <c r="C416" s="57"/>
      <c r="D416" s="59"/>
      <c r="E416" s="57"/>
      <c r="F416" s="59"/>
      <c r="G416" s="57"/>
      <c r="H416" s="59"/>
      <c r="I416" s="57"/>
      <c r="J416" s="59"/>
      <c r="K416" s="57"/>
      <c r="L416" s="59"/>
      <c r="M416" s="57"/>
      <c r="N416" s="59"/>
      <c r="O416" s="57"/>
      <c r="P416" s="63"/>
      <c r="Q416" s="57"/>
      <c r="R416" s="57"/>
      <c r="S416" s="57"/>
      <c r="T416" s="57"/>
      <c r="U416" s="57"/>
    </row>
    <row r="417">
      <c r="A417" s="57"/>
      <c r="B417" s="59"/>
      <c r="C417" s="57"/>
      <c r="D417" s="59"/>
      <c r="E417" s="57"/>
      <c r="F417" s="59"/>
      <c r="G417" s="57"/>
      <c r="H417" s="59"/>
      <c r="I417" s="57"/>
      <c r="J417" s="59"/>
      <c r="K417" s="57"/>
      <c r="L417" s="59"/>
      <c r="M417" s="57"/>
      <c r="N417" s="59"/>
      <c r="O417" s="57"/>
      <c r="P417" s="63"/>
      <c r="Q417" s="57"/>
      <c r="R417" s="57"/>
      <c r="S417" s="57"/>
      <c r="T417" s="57"/>
      <c r="U417" s="57"/>
    </row>
    <row r="418">
      <c r="A418" s="57"/>
      <c r="B418" s="59"/>
      <c r="C418" s="57"/>
      <c r="D418" s="59"/>
      <c r="E418" s="57"/>
      <c r="F418" s="59"/>
      <c r="G418" s="57"/>
      <c r="H418" s="59"/>
      <c r="I418" s="57"/>
      <c r="J418" s="59"/>
      <c r="K418" s="57"/>
      <c r="L418" s="59"/>
      <c r="M418" s="57"/>
      <c r="N418" s="59"/>
      <c r="O418" s="57"/>
      <c r="P418" s="63"/>
      <c r="Q418" s="57"/>
      <c r="R418" s="57"/>
      <c r="S418" s="57"/>
      <c r="T418" s="57"/>
      <c r="U418" s="57"/>
    </row>
    <row r="419">
      <c r="A419" s="57"/>
      <c r="B419" s="59"/>
      <c r="C419" s="57"/>
      <c r="D419" s="59"/>
      <c r="E419" s="57"/>
      <c r="F419" s="59"/>
      <c r="G419" s="57"/>
      <c r="H419" s="59"/>
      <c r="I419" s="57"/>
      <c r="J419" s="59"/>
      <c r="K419" s="57"/>
      <c r="L419" s="59"/>
      <c r="M419" s="57"/>
      <c r="N419" s="59"/>
      <c r="O419" s="57"/>
      <c r="P419" s="63"/>
      <c r="Q419" s="57"/>
      <c r="R419" s="57"/>
      <c r="S419" s="57"/>
      <c r="T419" s="57"/>
      <c r="U419" s="57"/>
    </row>
    <row r="420">
      <c r="A420" s="57"/>
      <c r="B420" s="59"/>
      <c r="C420" s="57"/>
      <c r="D420" s="59"/>
      <c r="E420" s="57"/>
      <c r="F420" s="59"/>
      <c r="G420" s="57"/>
      <c r="H420" s="59"/>
      <c r="I420" s="57"/>
      <c r="J420" s="59"/>
      <c r="K420" s="57"/>
      <c r="L420" s="59"/>
      <c r="M420" s="57"/>
      <c r="N420" s="59"/>
      <c r="O420" s="57"/>
      <c r="P420" s="63"/>
      <c r="Q420" s="57"/>
      <c r="R420" s="57"/>
      <c r="S420" s="57"/>
      <c r="T420" s="57"/>
      <c r="U420" s="57"/>
    </row>
    <row r="421">
      <c r="A421" s="57"/>
      <c r="B421" s="59"/>
      <c r="C421" s="57"/>
      <c r="D421" s="59"/>
      <c r="E421" s="57"/>
      <c r="F421" s="59"/>
      <c r="G421" s="57"/>
      <c r="H421" s="59"/>
      <c r="I421" s="57"/>
      <c r="J421" s="59"/>
      <c r="K421" s="57"/>
      <c r="L421" s="59"/>
      <c r="M421" s="57"/>
      <c r="N421" s="59"/>
      <c r="O421" s="57"/>
      <c r="P421" s="63"/>
      <c r="Q421" s="57"/>
      <c r="R421" s="57"/>
      <c r="S421" s="57"/>
      <c r="T421" s="57"/>
      <c r="U421" s="57"/>
    </row>
    <row r="422">
      <c r="A422" s="57"/>
      <c r="B422" s="59"/>
      <c r="C422" s="57"/>
      <c r="D422" s="59"/>
      <c r="E422" s="57"/>
      <c r="F422" s="59"/>
      <c r="G422" s="57"/>
      <c r="H422" s="59"/>
      <c r="I422" s="57"/>
      <c r="J422" s="59"/>
      <c r="K422" s="57"/>
      <c r="L422" s="59"/>
      <c r="M422" s="57"/>
      <c r="N422" s="59"/>
      <c r="O422" s="57"/>
      <c r="P422" s="63"/>
      <c r="Q422" s="57"/>
      <c r="R422" s="57"/>
      <c r="S422" s="57"/>
      <c r="T422" s="57"/>
      <c r="U422" s="57"/>
    </row>
    <row r="423">
      <c r="A423" s="57"/>
      <c r="B423" s="59"/>
      <c r="C423" s="57"/>
      <c r="D423" s="59"/>
      <c r="E423" s="57"/>
      <c r="F423" s="59"/>
      <c r="G423" s="57"/>
      <c r="H423" s="59"/>
      <c r="I423" s="57"/>
      <c r="J423" s="59"/>
      <c r="K423" s="57"/>
      <c r="L423" s="59"/>
      <c r="M423" s="57"/>
      <c r="N423" s="59"/>
      <c r="O423" s="57"/>
      <c r="P423" s="63"/>
      <c r="Q423" s="57"/>
      <c r="R423" s="57"/>
      <c r="S423" s="57"/>
      <c r="T423" s="57"/>
      <c r="U423" s="57"/>
    </row>
    <row r="424">
      <c r="A424" s="57"/>
      <c r="B424" s="59"/>
      <c r="C424" s="57"/>
      <c r="D424" s="59"/>
      <c r="E424" s="57"/>
      <c r="F424" s="59"/>
      <c r="G424" s="57"/>
      <c r="H424" s="59"/>
      <c r="I424" s="57"/>
      <c r="J424" s="59"/>
      <c r="K424" s="57"/>
      <c r="L424" s="59"/>
      <c r="M424" s="57"/>
      <c r="N424" s="59"/>
      <c r="O424" s="57"/>
      <c r="P424" s="63"/>
      <c r="Q424" s="57"/>
      <c r="R424" s="57"/>
      <c r="S424" s="57"/>
      <c r="T424" s="57"/>
      <c r="U424" s="57"/>
    </row>
    <row r="425">
      <c r="A425" s="57"/>
      <c r="B425" s="59"/>
      <c r="C425" s="57"/>
      <c r="D425" s="59"/>
      <c r="E425" s="57"/>
      <c r="F425" s="59"/>
      <c r="G425" s="57"/>
      <c r="H425" s="59"/>
      <c r="I425" s="57"/>
      <c r="J425" s="59"/>
      <c r="K425" s="57"/>
      <c r="L425" s="59"/>
      <c r="M425" s="57"/>
      <c r="N425" s="59"/>
      <c r="O425" s="57"/>
      <c r="P425" s="63"/>
      <c r="Q425" s="57"/>
      <c r="R425" s="57"/>
      <c r="S425" s="57"/>
      <c r="T425" s="57"/>
      <c r="U425" s="57"/>
    </row>
    <row r="426">
      <c r="A426" s="57"/>
      <c r="B426" s="59"/>
      <c r="C426" s="57"/>
      <c r="D426" s="59"/>
      <c r="E426" s="57"/>
      <c r="F426" s="59"/>
      <c r="G426" s="57"/>
      <c r="H426" s="59"/>
      <c r="I426" s="57"/>
      <c r="J426" s="59"/>
      <c r="K426" s="57"/>
      <c r="L426" s="59"/>
      <c r="M426" s="57"/>
      <c r="N426" s="59"/>
      <c r="O426" s="57"/>
      <c r="P426" s="63"/>
      <c r="Q426" s="57"/>
      <c r="R426" s="57"/>
      <c r="S426" s="57"/>
      <c r="T426" s="57"/>
      <c r="U426" s="57"/>
    </row>
    <row r="427">
      <c r="A427" s="57"/>
      <c r="B427" s="59"/>
      <c r="C427" s="57"/>
      <c r="D427" s="59"/>
      <c r="E427" s="57"/>
      <c r="F427" s="59"/>
      <c r="G427" s="57"/>
      <c r="H427" s="59"/>
      <c r="I427" s="57"/>
      <c r="J427" s="59"/>
      <c r="K427" s="57"/>
      <c r="L427" s="59"/>
      <c r="M427" s="57"/>
      <c r="N427" s="59"/>
      <c r="O427" s="57"/>
      <c r="P427" s="63"/>
      <c r="Q427" s="57"/>
      <c r="R427" s="57"/>
      <c r="S427" s="57"/>
      <c r="T427" s="57"/>
      <c r="U427" s="57"/>
    </row>
    <row r="428">
      <c r="A428" s="57"/>
      <c r="B428" s="59"/>
      <c r="C428" s="57"/>
      <c r="D428" s="59"/>
      <c r="E428" s="57"/>
      <c r="F428" s="59"/>
      <c r="G428" s="57"/>
      <c r="H428" s="59"/>
      <c r="I428" s="57"/>
      <c r="J428" s="59"/>
      <c r="K428" s="57"/>
      <c r="L428" s="59"/>
      <c r="M428" s="57"/>
      <c r="N428" s="59"/>
      <c r="O428" s="57"/>
      <c r="P428" s="63"/>
      <c r="Q428" s="57"/>
      <c r="R428" s="57"/>
      <c r="S428" s="57"/>
      <c r="T428" s="57"/>
      <c r="U428" s="57"/>
    </row>
    <row r="429">
      <c r="A429" s="57"/>
      <c r="B429" s="59"/>
      <c r="C429" s="57"/>
      <c r="D429" s="59"/>
      <c r="E429" s="57"/>
      <c r="F429" s="59"/>
      <c r="G429" s="57"/>
      <c r="H429" s="59"/>
      <c r="I429" s="57"/>
      <c r="J429" s="59"/>
      <c r="K429" s="57"/>
      <c r="L429" s="59"/>
      <c r="M429" s="57"/>
      <c r="N429" s="59"/>
      <c r="O429" s="57"/>
      <c r="P429" s="63"/>
      <c r="Q429" s="57"/>
      <c r="R429" s="57"/>
      <c r="S429" s="57"/>
      <c r="T429" s="57"/>
      <c r="U429" s="57"/>
    </row>
    <row r="430">
      <c r="A430" s="57"/>
      <c r="B430" s="59"/>
      <c r="C430" s="57"/>
      <c r="D430" s="59"/>
      <c r="E430" s="57"/>
      <c r="F430" s="59"/>
      <c r="G430" s="57"/>
      <c r="H430" s="59"/>
      <c r="I430" s="57"/>
      <c r="J430" s="59"/>
      <c r="K430" s="57"/>
      <c r="L430" s="59"/>
      <c r="M430" s="57"/>
      <c r="N430" s="59"/>
      <c r="O430" s="57"/>
      <c r="P430" s="63"/>
      <c r="Q430" s="57"/>
      <c r="R430" s="57"/>
      <c r="S430" s="57"/>
      <c r="T430" s="57"/>
      <c r="U430" s="57"/>
    </row>
    <row r="431">
      <c r="A431" s="57"/>
      <c r="B431" s="59"/>
      <c r="C431" s="57"/>
      <c r="D431" s="59"/>
      <c r="E431" s="57"/>
      <c r="F431" s="59"/>
      <c r="G431" s="57"/>
      <c r="H431" s="59"/>
      <c r="I431" s="57"/>
      <c r="J431" s="59"/>
      <c r="K431" s="57"/>
      <c r="L431" s="59"/>
      <c r="M431" s="57"/>
      <c r="N431" s="59"/>
      <c r="O431" s="57"/>
      <c r="P431" s="63"/>
      <c r="Q431" s="57"/>
      <c r="R431" s="57"/>
      <c r="S431" s="57"/>
      <c r="T431" s="57"/>
      <c r="U431" s="57"/>
    </row>
    <row r="432">
      <c r="A432" s="57"/>
      <c r="B432" s="59"/>
      <c r="C432" s="57"/>
      <c r="D432" s="59"/>
      <c r="E432" s="57"/>
      <c r="F432" s="59"/>
      <c r="G432" s="57"/>
      <c r="H432" s="59"/>
      <c r="I432" s="57"/>
      <c r="J432" s="59"/>
      <c r="K432" s="57"/>
      <c r="L432" s="59"/>
      <c r="M432" s="57"/>
      <c r="N432" s="59"/>
      <c r="O432" s="57"/>
      <c r="P432" s="63"/>
      <c r="Q432" s="57"/>
      <c r="R432" s="57"/>
      <c r="S432" s="57"/>
      <c r="T432" s="57"/>
      <c r="U432" s="57"/>
    </row>
    <row r="433">
      <c r="A433" s="57"/>
      <c r="B433" s="59"/>
      <c r="C433" s="57"/>
      <c r="D433" s="59"/>
      <c r="E433" s="57"/>
      <c r="F433" s="59"/>
      <c r="G433" s="57"/>
      <c r="H433" s="59"/>
      <c r="I433" s="57"/>
      <c r="J433" s="59"/>
      <c r="K433" s="57"/>
      <c r="L433" s="59"/>
      <c r="M433" s="57"/>
      <c r="N433" s="59"/>
      <c r="O433" s="57"/>
      <c r="P433" s="63"/>
      <c r="Q433" s="57"/>
      <c r="R433" s="57"/>
      <c r="S433" s="57"/>
      <c r="T433" s="57"/>
      <c r="U433" s="57"/>
    </row>
    <row r="434">
      <c r="A434" s="57"/>
      <c r="B434" s="59"/>
      <c r="C434" s="57"/>
      <c r="D434" s="59"/>
      <c r="E434" s="57"/>
      <c r="F434" s="59"/>
      <c r="G434" s="57"/>
      <c r="H434" s="59"/>
      <c r="I434" s="57"/>
      <c r="J434" s="59"/>
      <c r="K434" s="57"/>
      <c r="L434" s="59"/>
      <c r="M434" s="57"/>
      <c r="N434" s="59"/>
      <c r="O434" s="57"/>
      <c r="P434" s="63"/>
      <c r="Q434" s="57"/>
      <c r="R434" s="57"/>
      <c r="S434" s="57"/>
      <c r="T434" s="57"/>
      <c r="U434" s="57"/>
    </row>
    <row r="435">
      <c r="A435" s="57"/>
      <c r="B435" s="59"/>
      <c r="C435" s="57"/>
      <c r="D435" s="59"/>
      <c r="E435" s="57"/>
      <c r="F435" s="59"/>
      <c r="G435" s="57"/>
      <c r="H435" s="59"/>
      <c r="I435" s="57"/>
      <c r="J435" s="59"/>
      <c r="K435" s="57"/>
      <c r="L435" s="59"/>
      <c r="M435" s="57"/>
      <c r="N435" s="59"/>
      <c r="O435" s="57"/>
      <c r="P435" s="63"/>
      <c r="Q435" s="57"/>
      <c r="R435" s="57"/>
      <c r="S435" s="57"/>
      <c r="T435" s="57"/>
      <c r="U435" s="57"/>
    </row>
    <row r="436">
      <c r="A436" s="57"/>
      <c r="B436" s="59"/>
      <c r="C436" s="57"/>
      <c r="D436" s="59"/>
      <c r="E436" s="57"/>
      <c r="F436" s="59"/>
      <c r="G436" s="57"/>
      <c r="H436" s="59"/>
      <c r="I436" s="57"/>
      <c r="J436" s="59"/>
      <c r="K436" s="57"/>
      <c r="L436" s="59"/>
      <c r="M436" s="57"/>
      <c r="N436" s="59"/>
      <c r="O436" s="57"/>
      <c r="P436" s="63"/>
      <c r="Q436" s="57"/>
      <c r="R436" s="57"/>
      <c r="S436" s="57"/>
      <c r="T436" s="57"/>
      <c r="U436" s="57"/>
    </row>
    <row r="437">
      <c r="A437" s="57"/>
      <c r="B437" s="59"/>
      <c r="C437" s="57"/>
      <c r="D437" s="59"/>
      <c r="E437" s="57"/>
      <c r="F437" s="59"/>
      <c r="G437" s="57"/>
      <c r="H437" s="59"/>
      <c r="I437" s="57"/>
      <c r="J437" s="59"/>
      <c r="K437" s="57"/>
      <c r="L437" s="59"/>
      <c r="M437" s="57"/>
      <c r="N437" s="59"/>
      <c r="O437" s="57"/>
      <c r="P437" s="63"/>
      <c r="Q437" s="57"/>
      <c r="R437" s="57"/>
      <c r="S437" s="57"/>
      <c r="T437" s="57"/>
      <c r="U437" s="57"/>
    </row>
    <row r="438">
      <c r="A438" s="57"/>
      <c r="B438" s="59"/>
      <c r="C438" s="57"/>
      <c r="D438" s="59"/>
      <c r="E438" s="57"/>
      <c r="F438" s="59"/>
      <c r="G438" s="57"/>
      <c r="H438" s="59"/>
      <c r="I438" s="57"/>
      <c r="J438" s="59"/>
      <c r="K438" s="57"/>
      <c r="L438" s="59"/>
      <c r="M438" s="57"/>
      <c r="N438" s="59"/>
      <c r="O438" s="57"/>
      <c r="P438" s="63"/>
      <c r="Q438" s="57"/>
      <c r="R438" s="57"/>
      <c r="S438" s="57"/>
      <c r="T438" s="57"/>
      <c r="U438" s="57"/>
    </row>
    <row r="439">
      <c r="A439" s="57"/>
      <c r="B439" s="59"/>
      <c r="C439" s="57"/>
      <c r="D439" s="59"/>
      <c r="E439" s="57"/>
      <c r="F439" s="59"/>
      <c r="G439" s="57"/>
      <c r="H439" s="59"/>
      <c r="I439" s="57"/>
      <c r="J439" s="59"/>
      <c r="K439" s="57"/>
      <c r="L439" s="59"/>
      <c r="M439" s="57"/>
      <c r="N439" s="59"/>
      <c r="O439" s="57"/>
      <c r="P439" s="63"/>
      <c r="Q439" s="57"/>
      <c r="R439" s="57"/>
      <c r="S439" s="57"/>
      <c r="T439" s="57"/>
      <c r="U439" s="57"/>
    </row>
    <row r="440">
      <c r="A440" s="57"/>
      <c r="B440" s="59"/>
      <c r="C440" s="57"/>
      <c r="D440" s="59"/>
      <c r="E440" s="57"/>
      <c r="F440" s="59"/>
      <c r="G440" s="57"/>
      <c r="H440" s="59"/>
      <c r="I440" s="57"/>
      <c r="J440" s="59"/>
      <c r="K440" s="57"/>
      <c r="L440" s="59"/>
      <c r="M440" s="57"/>
      <c r="N440" s="59"/>
      <c r="O440" s="57"/>
      <c r="P440" s="63"/>
      <c r="Q440" s="57"/>
      <c r="R440" s="57"/>
      <c r="S440" s="57"/>
      <c r="T440" s="57"/>
      <c r="U440" s="57"/>
    </row>
    <row r="441">
      <c r="A441" s="57"/>
      <c r="B441" s="59"/>
      <c r="C441" s="57"/>
      <c r="D441" s="59"/>
      <c r="E441" s="57"/>
      <c r="F441" s="59"/>
      <c r="G441" s="57"/>
      <c r="H441" s="59"/>
      <c r="I441" s="57"/>
      <c r="J441" s="59"/>
      <c r="K441" s="57"/>
      <c r="L441" s="59"/>
      <c r="M441" s="57"/>
      <c r="N441" s="59"/>
      <c r="O441" s="57"/>
      <c r="P441" s="63"/>
      <c r="Q441" s="57"/>
      <c r="R441" s="57"/>
      <c r="S441" s="57"/>
      <c r="T441" s="57"/>
      <c r="U441" s="57"/>
    </row>
    <row r="442">
      <c r="A442" s="57"/>
      <c r="B442" s="59"/>
      <c r="C442" s="57"/>
      <c r="D442" s="59"/>
      <c r="E442" s="57"/>
      <c r="F442" s="59"/>
      <c r="G442" s="57"/>
      <c r="H442" s="59"/>
      <c r="I442" s="57"/>
      <c r="J442" s="59"/>
      <c r="K442" s="57"/>
      <c r="L442" s="59"/>
      <c r="M442" s="57"/>
      <c r="N442" s="59"/>
      <c r="O442" s="57"/>
      <c r="P442" s="63"/>
      <c r="Q442" s="57"/>
      <c r="R442" s="57"/>
      <c r="S442" s="57"/>
      <c r="T442" s="57"/>
      <c r="U442" s="57"/>
    </row>
    <row r="443">
      <c r="A443" s="57"/>
      <c r="B443" s="59"/>
      <c r="C443" s="57"/>
      <c r="D443" s="59"/>
      <c r="E443" s="57"/>
      <c r="F443" s="59"/>
      <c r="G443" s="57"/>
      <c r="H443" s="59"/>
      <c r="I443" s="57"/>
      <c r="J443" s="59"/>
      <c r="K443" s="57"/>
      <c r="L443" s="59"/>
      <c r="M443" s="57"/>
      <c r="N443" s="59"/>
      <c r="O443" s="57"/>
      <c r="P443" s="63"/>
      <c r="Q443" s="57"/>
      <c r="R443" s="57"/>
      <c r="S443" s="57"/>
      <c r="T443" s="57"/>
      <c r="U443" s="57"/>
    </row>
    <row r="444">
      <c r="A444" s="57"/>
      <c r="B444" s="59"/>
      <c r="C444" s="57"/>
      <c r="D444" s="59"/>
      <c r="E444" s="57"/>
      <c r="F444" s="59"/>
      <c r="G444" s="57"/>
      <c r="H444" s="59"/>
      <c r="I444" s="57"/>
      <c r="J444" s="59"/>
      <c r="K444" s="57"/>
      <c r="L444" s="59"/>
      <c r="M444" s="57"/>
      <c r="N444" s="59"/>
      <c r="O444" s="57"/>
      <c r="P444" s="63"/>
      <c r="Q444" s="57"/>
      <c r="R444" s="57"/>
      <c r="S444" s="57"/>
      <c r="T444" s="57"/>
      <c r="U444" s="57"/>
    </row>
    <row r="445">
      <c r="A445" s="57"/>
      <c r="B445" s="59"/>
      <c r="C445" s="57"/>
      <c r="D445" s="59"/>
      <c r="E445" s="57"/>
      <c r="F445" s="59"/>
      <c r="G445" s="57"/>
      <c r="H445" s="59"/>
      <c r="I445" s="57"/>
      <c r="J445" s="59"/>
      <c r="K445" s="57"/>
      <c r="L445" s="59"/>
      <c r="M445" s="57"/>
      <c r="N445" s="59"/>
      <c r="O445" s="57"/>
      <c r="P445" s="63"/>
      <c r="Q445" s="57"/>
      <c r="R445" s="57"/>
      <c r="S445" s="57"/>
      <c r="T445" s="57"/>
      <c r="U445" s="57"/>
    </row>
    <row r="446">
      <c r="A446" s="57"/>
      <c r="B446" s="59"/>
      <c r="C446" s="57"/>
      <c r="D446" s="59"/>
      <c r="E446" s="57"/>
      <c r="F446" s="59"/>
      <c r="G446" s="57"/>
      <c r="H446" s="59"/>
      <c r="I446" s="57"/>
      <c r="J446" s="59"/>
      <c r="K446" s="57"/>
      <c r="L446" s="59"/>
      <c r="M446" s="57"/>
      <c r="N446" s="59"/>
      <c r="O446" s="57"/>
      <c r="P446" s="63"/>
      <c r="Q446" s="57"/>
      <c r="R446" s="57"/>
      <c r="S446" s="57"/>
      <c r="T446" s="57"/>
      <c r="U446" s="57"/>
    </row>
    <row r="447">
      <c r="A447" s="57"/>
      <c r="B447" s="59"/>
      <c r="C447" s="57"/>
      <c r="D447" s="59"/>
      <c r="E447" s="57"/>
      <c r="F447" s="59"/>
      <c r="G447" s="57"/>
      <c r="H447" s="59"/>
      <c r="I447" s="57"/>
      <c r="J447" s="59"/>
      <c r="K447" s="57"/>
      <c r="L447" s="59"/>
      <c r="M447" s="57"/>
      <c r="N447" s="59"/>
      <c r="O447" s="57"/>
      <c r="P447" s="63"/>
      <c r="Q447" s="57"/>
      <c r="R447" s="57"/>
      <c r="S447" s="57"/>
      <c r="T447" s="57"/>
      <c r="U447" s="57"/>
    </row>
    <row r="448">
      <c r="A448" s="57"/>
      <c r="B448" s="59"/>
      <c r="C448" s="57"/>
      <c r="D448" s="59"/>
      <c r="E448" s="57"/>
      <c r="F448" s="59"/>
      <c r="G448" s="57"/>
      <c r="H448" s="59"/>
      <c r="I448" s="57"/>
      <c r="J448" s="59"/>
      <c r="K448" s="57"/>
      <c r="L448" s="59"/>
      <c r="M448" s="57"/>
      <c r="N448" s="59"/>
      <c r="O448" s="57"/>
      <c r="P448" s="63"/>
      <c r="Q448" s="57"/>
      <c r="R448" s="57"/>
      <c r="S448" s="57"/>
      <c r="T448" s="57"/>
      <c r="U448" s="57"/>
    </row>
    <row r="449">
      <c r="A449" s="57"/>
      <c r="B449" s="59"/>
      <c r="C449" s="57"/>
      <c r="D449" s="59"/>
      <c r="E449" s="57"/>
      <c r="F449" s="59"/>
      <c r="G449" s="57"/>
      <c r="H449" s="59"/>
      <c r="I449" s="57"/>
      <c r="J449" s="59"/>
      <c r="K449" s="57"/>
      <c r="L449" s="59"/>
      <c r="M449" s="57"/>
      <c r="N449" s="59"/>
      <c r="O449" s="57"/>
      <c r="P449" s="63"/>
      <c r="Q449" s="57"/>
      <c r="R449" s="57"/>
      <c r="S449" s="57"/>
      <c r="T449" s="57"/>
      <c r="U449" s="57"/>
    </row>
    <row r="450">
      <c r="A450" s="57"/>
      <c r="B450" s="59"/>
      <c r="C450" s="57"/>
      <c r="D450" s="59"/>
      <c r="E450" s="57"/>
      <c r="F450" s="59"/>
      <c r="G450" s="57"/>
      <c r="H450" s="59"/>
      <c r="I450" s="57"/>
      <c r="J450" s="59"/>
      <c r="K450" s="57"/>
      <c r="L450" s="59"/>
      <c r="M450" s="57"/>
      <c r="N450" s="59"/>
      <c r="O450" s="57"/>
      <c r="P450" s="63"/>
      <c r="Q450" s="57"/>
      <c r="R450" s="57"/>
      <c r="S450" s="57"/>
      <c r="T450" s="57"/>
      <c r="U450" s="57"/>
    </row>
    <row r="451">
      <c r="A451" s="57"/>
      <c r="B451" s="59"/>
      <c r="C451" s="57"/>
      <c r="D451" s="59"/>
      <c r="E451" s="57"/>
      <c r="F451" s="59"/>
      <c r="G451" s="57"/>
      <c r="H451" s="59"/>
      <c r="I451" s="57"/>
      <c r="J451" s="59"/>
      <c r="K451" s="57"/>
      <c r="L451" s="59"/>
      <c r="M451" s="57"/>
      <c r="N451" s="59"/>
      <c r="O451" s="57"/>
      <c r="P451" s="63"/>
      <c r="Q451" s="57"/>
      <c r="R451" s="57"/>
      <c r="S451" s="57"/>
      <c r="T451" s="57"/>
      <c r="U451" s="57"/>
    </row>
    <row r="452">
      <c r="A452" s="57"/>
      <c r="B452" s="59"/>
      <c r="C452" s="57"/>
      <c r="D452" s="59"/>
      <c r="E452" s="57"/>
      <c r="F452" s="59"/>
      <c r="G452" s="57"/>
      <c r="H452" s="59"/>
      <c r="I452" s="57"/>
      <c r="J452" s="59"/>
      <c r="K452" s="57"/>
      <c r="L452" s="59"/>
      <c r="M452" s="57"/>
      <c r="N452" s="59"/>
      <c r="O452" s="57"/>
      <c r="P452" s="63"/>
      <c r="Q452" s="57"/>
      <c r="R452" s="57"/>
      <c r="S452" s="57"/>
      <c r="T452" s="57"/>
      <c r="U452" s="57"/>
    </row>
    <row r="453">
      <c r="A453" s="57"/>
      <c r="B453" s="59"/>
      <c r="C453" s="57"/>
      <c r="D453" s="59"/>
      <c r="E453" s="57"/>
      <c r="F453" s="59"/>
      <c r="G453" s="57"/>
      <c r="H453" s="59"/>
      <c r="I453" s="57"/>
      <c r="J453" s="59"/>
      <c r="K453" s="57"/>
      <c r="L453" s="59"/>
      <c r="M453" s="57"/>
      <c r="N453" s="59"/>
      <c r="O453" s="57"/>
      <c r="P453" s="63"/>
      <c r="Q453" s="57"/>
      <c r="R453" s="57"/>
      <c r="S453" s="57"/>
      <c r="T453" s="57"/>
      <c r="U453" s="57"/>
    </row>
    <row r="454">
      <c r="A454" s="57"/>
      <c r="B454" s="59"/>
      <c r="C454" s="57"/>
      <c r="D454" s="59"/>
      <c r="E454" s="57"/>
      <c r="F454" s="59"/>
      <c r="G454" s="57"/>
      <c r="H454" s="59"/>
      <c r="I454" s="57"/>
      <c r="J454" s="59"/>
      <c r="K454" s="57"/>
      <c r="L454" s="59"/>
      <c r="M454" s="57"/>
      <c r="N454" s="59"/>
      <c r="O454" s="57"/>
      <c r="P454" s="63"/>
      <c r="Q454" s="57"/>
      <c r="R454" s="57"/>
      <c r="S454" s="57"/>
      <c r="T454" s="57"/>
      <c r="U454" s="57"/>
    </row>
    <row r="455">
      <c r="A455" s="57"/>
      <c r="B455" s="59"/>
      <c r="C455" s="57"/>
      <c r="D455" s="59"/>
      <c r="E455" s="57"/>
      <c r="F455" s="59"/>
      <c r="G455" s="57"/>
      <c r="H455" s="59"/>
      <c r="I455" s="57"/>
      <c r="J455" s="59"/>
      <c r="K455" s="57"/>
      <c r="L455" s="59"/>
      <c r="M455" s="57"/>
      <c r="N455" s="59"/>
      <c r="O455" s="57"/>
      <c r="P455" s="63"/>
      <c r="Q455" s="57"/>
      <c r="R455" s="57"/>
      <c r="S455" s="57"/>
      <c r="T455" s="57"/>
      <c r="U455" s="57"/>
    </row>
    <row r="456">
      <c r="A456" s="57"/>
      <c r="B456" s="59"/>
      <c r="C456" s="57"/>
      <c r="D456" s="59"/>
      <c r="E456" s="57"/>
      <c r="F456" s="59"/>
      <c r="G456" s="57"/>
      <c r="H456" s="59"/>
      <c r="I456" s="57"/>
      <c r="J456" s="59"/>
      <c r="K456" s="57"/>
      <c r="L456" s="59"/>
      <c r="M456" s="57"/>
      <c r="N456" s="59"/>
      <c r="O456" s="57"/>
      <c r="P456" s="63"/>
      <c r="Q456" s="57"/>
      <c r="R456" s="57"/>
      <c r="S456" s="57"/>
      <c r="T456" s="57"/>
      <c r="U456" s="57"/>
    </row>
    <row r="457">
      <c r="A457" s="57"/>
      <c r="B457" s="59"/>
      <c r="C457" s="57"/>
      <c r="D457" s="59"/>
      <c r="E457" s="57"/>
      <c r="F457" s="59"/>
      <c r="G457" s="57"/>
      <c r="H457" s="59"/>
      <c r="I457" s="57"/>
      <c r="J457" s="59"/>
      <c r="K457" s="57"/>
      <c r="L457" s="59"/>
      <c r="M457" s="57"/>
      <c r="N457" s="59"/>
      <c r="O457" s="57"/>
      <c r="P457" s="63"/>
      <c r="Q457" s="57"/>
      <c r="R457" s="57"/>
      <c r="S457" s="57"/>
      <c r="T457" s="57"/>
      <c r="U457" s="57"/>
    </row>
    <row r="458">
      <c r="A458" s="57"/>
      <c r="B458" s="59"/>
      <c r="C458" s="57"/>
      <c r="D458" s="59"/>
      <c r="E458" s="57"/>
      <c r="F458" s="59"/>
      <c r="G458" s="57"/>
      <c r="H458" s="59"/>
      <c r="I458" s="57"/>
      <c r="J458" s="59"/>
      <c r="K458" s="57"/>
      <c r="L458" s="59"/>
      <c r="M458" s="57"/>
      <c r="N458" s="59"/>
      <c r="O458" s="57"/>
      <c r="P458" s="63"/>
      <c r="Q458" s="57"/>
      <c r="R458" s="57"/>
      <c r="S458" s="57"/>
      <c r="T458" s="57"/>
      <c r="U458" s="57"/>
    </row>
    <row r="459">
      <c r="A459" s="57"/>
      <c r="B459" s="59"/>
      <c r="C459" s="57"/>
      <c r="D459" s="59"/>
      <c r="E459" s="57"/>
      <c r="F459" s="59"/>
      <c r="G459" s="57"/>
      <c r="H459" s="59"/>
      <c r="I459" s="57"/>
      <c r="J459" s="59"/>
      <c r="K459" s="57"/>
      <c r="L459" s="59"/>
      <c r="M459" s="57"/>
      <c r="N459" s="59"/>
      <c r="O459" s="57"/>
      <c r="P459" s="63"/>
      <c r="Q459" s="57"/>
      <c r="R459" s="57"/>
      <c r="S459" s="57"/>
      <c r="T459" s="57"/>
      <c r="U459" s="57"/>
    </row>
    <row r="460">
      <c r="A460" s="57"/>
      <c r="B460" s="59"/>
      <c r="C460" s="57"/>
      <c r="D460" s="59"/>
      <c r="E460" s="57"/>
      <c r="F460" s="59"/>
      <c r="G460" s="57"/>
      <c r="H460" s="59"/>
      <c r="I460" s="57"/>
      <c r="J460" s="59"/>
      <c r="K460" s="57"/>
      <c r="L460" s="59"/>
      <c r="M460" s="57"/>
      <c r="N460" s="59"/>
      <c r="O460" s="57"/>
      <c r="P460" s="63"/>
      <c r="Q460" s="57"/>
      <c r="R460" s="57"/>
      <c r="S460" s="57"/>
      <c r="T460" s="57"/>
      <c r="U460" s="57"/>
    </row>
    <row r="461">
      <c r="A461" s="57"/>
      <c r="B461" s="59"/>
      <c r="C461" s="57"/>
      <c r="D461" s="59"/>
      <c r="E461" s="57"/>
      <c r="F461" s="59"/>
      <c r="G461" s="57"/>
      <c r="H461" s="59"/>
      <c r="I461" s="57"/>
      <c r="J461" s="59"/>
      <c r="K461" s="57"/>
      <c r="L461" s="59"/>
      <c r="M461" s="57"/>
      <c r="N461" s="59"/>
      <c r="O461" s="57"/>
      <c r="P461" s="63"/>
      <c r="Q461" s="57"/>
      <c r="R461" s="57"/>
      <c r="S461" s="57"/>
      <c r="T461" s="57"/>
      <c r="U461" s="57"/>
    </row>
    <row r="462">
      <c r="A462" s="57"/>
      <c r="B462" s="59"/>
      <c r="C462" s="57"/>
      <c r="D462" s="59"/>
      <c r="E462" s="57"/>
      <c r="F462" s="59"/>
      <c r="G462" s="57"/>
      <c r="H462" s="59"/>
      <c r="I462" s="57"/>
      <c r="J462" s="59"/>
      <c r="K462" s="57"/>
      <c r="L462" s="59"/>
      <c r="M462" s="57"/>
      <c r="N462" s="59"/>
      <c r="O462" s="57"/>
      <c r="P462" s="63"/>
      <c r="Q462" s="57"/>
      <c r="R462" s="57"/>
      <c r="S462" s="57"/>
      <c r="T462" s="57"/>
      <c r="U462" s="57"/>
    </row>
    <row r="463">
      <c r="A463" s="57"/>
      <c r="B463" s="59"/>
      <c r="C463" s="57"/>
      <c r="D463" s="59"/>
      <c r="E463" s="57"/>
      <c r="F463" s="59"/>
      <c r="G463" s="57"/>
      <c r="H463" s="59"/>
      <c r="I463" s="57"/>
      <c r="J463" s="59"/>
      <c r="K463" s="57"/>
      <c r="L463" s="59"/>
      <c r="M463" s="57"/>
      <c r="N463" s="59"/>
      <c r="O463" s="57"/>
      <c r="P463" s="63"/>
      <c r="Q463" s="57"/>
      <c r="R463" s="57"/>
      <c r="S463" s="57"/>
      <c r="T463" s="57"/>
      <c r="U463" s="57"/>
    </row>
    <row r="464">
      <c r="A464" s="57"/>
      <c r="B464" s="59"/>
      <c r="C464" s="57"/>
      <c r="D464" s="59"/>
      <c r="E464" s="57"/>
      <c r="F464" s="59"/>
      <c r="G464" s="57"/>
      <c r="H464" s="59"/>
      <c r="I464" s="57"/>
      <c r="J464" s="59"/>
      <c r="K464" s="57"/>
      <c r="L464" s="59"/>
      <c r="M464" s="57"/>
      <c r="N464" s="59"/>
      <c r="O464" s="57"/>
      <c r="P464" s="63"/>
      <c r="Q464" s="57"/>
      <c r="R464" s="57"/>
      <c r="S464" s="57"/>
      <c r="T464" s="57"/>
      <c r="U464" s="57"/>
    </row>
    <row r="465">
      <c r="A465" s="57"/>
      <c r="B465" s="59"/>
      <c r="C465" s="57"/>
      <c r="D465" s="59"/>
      <c r="E465" s="57"/>
      <c r="F465" s="59"/>
      <c r="G465" s="57"/>
      <c r="H465" s="59"/>
      <c r="I465" s="57"/>
      <c r="J465" s="59"/>
      <c r="K465" s="57"/>
      <c r="L465" s="59"/>
      <c r="M465" s="57"/>
      <c r="N465" s="59"/>
      <c r="O465" s="57"/>
      <c r="P465" s="63"/>
      <c r="Q465" s="57"/>
      <c r="R465" s="57"/>
      <c r="S465" s="57"/>
      <c r="T465" s="57"/>
      <c r="U465" s="57"/>
    </row>
    <row r="466">
      <c r="A466" s="57"/>
      <c r="B466" s="59"/>
      <c r="C466" s="57"/>
      <c r="D466" s="59"/>
      <c r="E466" s="57"/>
      <c r="F466" s="59"/>
      <c r="G466" s="57"/>
      <c r="H466" s="59"/>
      <c r="I466" s="57"/>
      <c r="J466" s="59"/>
      <c r="K466" s="57"/>
      <c r="L466" s="59"/>
      <c r="M466" s="57"/>
      <c r="N466" s="59"/>
      <c r="O466" s="57"/>
      <c r="P466" s="63"/>
      <c r="Q466" s="57"/>
      <c r="R466" s="57"/>
      <c r="S466" s="57"/>
      <c r="T466" s="57"/>
      <c r="U466" s="57"/>
    </row>
    <row r="467">
      <c r="A467" s="57"/>
      <c r="B467" s="59"/>
      <c r="C467" s="57"/>
      <c r="D467" s="59"/>
      <c r="E467" s="57"/>
      <c r="F467" s="59"/>
      <c r="G467" s="57"/>
      <c r="H467" s="59"/>
      <c r="I467" s="57"/>
      <c r="J467" s="59"/>
      <c r="K467" s="57"/>
      <c r="L467" s="59"/>
      <c r="M467" s="57"/>
      <c r="N467" s="59"/>
      <c r="O467" s="57"/>
      <c r="P467" s="63"/>
      <c r="Q467" s="57"/>
      <c r="R467" s="57"/>
      <c r="S467" s="57"/>
      <c r="T467" s="57"/>
      <c r="U467" s="57"/>
    </row>
    <row r="468">
      <c r="A468" s="57"/>
      <c r="B468" s="59"/>
      <c r="C468" s="57"/>
      <c r="D468" s="59"/>
      <c r="E468" s="57"/>
      <c r="F468" s="59"/>
      <c r="G468" s="57"/>
      <c r="H468" s="59"/>
      <c r="I468" s="57"/>
      <c r="J468" s="59"/>
      <c r="K468" s="57"/>
      <c r="L468" s="59"/>
      <c r="M468" s="57"/>
      <c r="N468" s="59"/>
      <c r="O468" s="57"/>
      <c r="P468" s="63"/>
      <c r="Q468" s="57"/>
      <c r="R468" s="57"/>
      <c r="S468" s="57"/>
      <c r="T468" s="57"/>
      <c r="U468" s="57"/>
    </row>
    <row r="469">
      <c r="A469" s="57"/>
      <c r="B469" s="59"/>
      <c r="C469" s="57"/>
      <c r="D469" s="59"/>
      <c r="E469" s="57"/>
      <c r="F469" s="59"/>
      <c r="G469" s="57"/>
      <c r="H469" s="59"/>
      <c r="I469" s="57"/>
      <c r="J469" s="59"/>
      <c r="K469" s="57"/>
      <c r="L469" s="59"/>
      <c r="M469" s="57"/>
      <c r="N469" s="59"/>
      <c r="O469" s="57"/>
      <c r="P469" s="63"/>
      <c r="Q469" s="57"/>
      <c r="R469" s="57"/>
      <c r="S469" s="57"/>
      <c r="T469" s="57"/>
      <c r="U469" s="57"/>
    </row>
    <row r="470">
      <c r="A470" s="57"/>
      <c r="B470" s="59"/>
      <c r="C470" s="57"/>
      <c r="D470" s="59"/>
      <c r="E470" s="57"/>
      <c r="F470" s="59"/>
      <c r="G470" s="57"/>
      <c r="H470" s="59"/>
      <c r="I470" s="57"/>
      <c r="J470" s="59"/>
      <c r="K470" s="57"/>
      <c r="L470" s="59"/>
      <c r="M470" s="57"/>
      <c r="N470" s="59"/>
      <c r="O470" s="57"/>
      <c r="P470" s="63"/>
      <c r="Q470" s="57"/>
      <c r="R470" s="57"/>
      <c r="S470" s="57"/>
      <c r="T470" s="57"/>
      <c r="U470" s="57"/>
    </row>
    <row r="471">
      <c r="A471" s="57"/>
      <c r="B471" s="59"/>
      <c r="C471" s="57"/>
      <c r="D471" s="59"/>
      <c r="E471" s="57"/>
      <c r="F471" s="59"/>
      <c r="G471" s="57"/>
      <c r="H471" s="59"/>
      <c r="I471" s="57"/>
      <c r="J471" s="59"/>
      <c r="K471" s="57"/>
      <c r="L471" s="59"/>
      <c r="M471" s="57"/>
      <c r="N471" s="59"/>
      <c r="O471" s="57"/>
      <c r="P471" s="63"/>
      <c r="Q471" s="57"/>
      <c r="R471" s="57"/>
      <c r="S471" s="57"/>
      <c r="T471" s="57"/>
      <c r="U471" s="57"/>
    </row>
    <row r="472">
      <c r="A472" s="57"/>
      <c r="B472" s="59"/>
      <c r="C472" s="57"/>
      <c r="D472" s="59"/>
      <c r="E472" s="57"/>
      <c r="F472" s="59"/>
      <c r="G472" s="57"/>
      <c r="H472" s="59"/>
      <c r="I472" s="57"/>
      <c r="J472" s="59"/>
      <c r="K472" s="57"/>
      <c r="L472" s="59"/>
      <c r="M472" s="57"/>
      <c r="N472" s="59"/>
      <c r="O472" s="57"/>
      <c r="P472" s="63"/>
      <c r="Q472" s="57"/>
      <c r="R472" s="57"/>
      <c r="S472" s="57"/>
      <c r="T472" s="57"/>
      <c r="U472" s="57"/>
    </row>
    <row r="473">
      <c r="A473" s="57"/>
      <c r="B473" s="59"/>
      <c r="C473" s="57"/>
      <c r="D473" s="59"/>
      <c r="E473" s="57"/>
      <c r="F473" s="59"/>
      <c r="G473" s="57"/>
      <c r="H473" s="59"/>
      <c r="I473" s="57"/>
      <c r="J473" s="59"/>
      <c r="K473" s="57"/>
      <c r="L473" s="59"/>
      <c r="M473" s="57"/>
      <c r="N473" s="59"/>
      <c r="O473" s="57"/>
      <c r="P473" s="63"/>
      <c r="Q473" s="57"/>
      <c r="R473" s="57"/>
      <c r="S473" s="57"/>
      <c r="T473" s="57"/>
      <c r="U473" s="57"/>
    </row>
    <row r="474">
      <c r="A474" s="57"/>
      <c r="B474" s="59"/>
      <c r="C474" s="57"/>
      <c r="D474" s="59"/>
      <c r="E474" s="57"/>
      <c r="F474" s="59"/>
      <c r="G474" s="57"/>
      <c r="H474" s="59"/>
      <c r="I474" s="57"/>
      <c r="J474" s="59"/>
      <c r="K474" s="57"/>
      <c r="L474" s="59"/>
      <c r="M474" s="57"/>
      <c r="N474" s="59"/>
      <c r="O474" s="57"/>
      <c r="P474" s="63"/>
      <c r="Q474" s="57"/>
      <c r="R474" s="57"/>
      <c r="S474" s="57"/>
      <c r="T474" s="57"/>
      <c r="U474" s="57"/>
    </row>
    <row r="475">
      <c r="A475" s="57"/>
      <c r="B475" s="59"/>
      <c r="C475" s="57"/>
      <c r="D475" s="59"/>
      <c r="E475" s="57"/>
      <c r="F475" s="59"/>
      <c r="G475" s="57"/>
      <c r="H475" s="59"/>
      <c r="I475" s="57"/>
      <c r="J475" s="59"/>
      <c r="K475" s="57"/>
      <c r="L475" s="59"/>
      <c r="M475" s="57"/>
      <c r="N475" s="59"/>
      <c r="O475" s="57"/>
      <c r="P475" s="63"/>
      <c r="Q475" s="57"/>
      <c r="R475" s="57"/>
      <c r="S475" s="57"/>
      <c r="T475" s="57"/>
      <c r="U475" s="57"/>
    </row>
    <row r="476">
      <c r="A476" s="57"/>
      <c r="B476" s="59"/>
      <c r="C476" s="57"/>
      <c r="D476" s="59"/>
      <c r="E476" s="57"/>
      <c r="F476" s="59"/>
      <c r="G476" s="57"/>
      <c r="H476" s="59"/>
      <c r="I476" s="57"/>
      <c r="J476" s="59"/>
      <c r="K476" s="57"/>
      <c r="L476" s="59"/>
      <c r="M476" s="57"/>
      <c r="N476" s="59"/>
      <c r="O476" s="57"/>
      <c r="P476" s="63"/>
      <c r="Q476" s="57"/>
      <c r="R476" s="57"/>
      <c r="S476" s="57"/>
      <c r="T476" s="57"/>
      <c r="U476" s="57"/>
    </row>
    <row r="477">
      <c r="A477" s="57"/>
      <c r="B477" s="59"/>
      <c r="C477" s="57"/>
      <c r="D477" s="59"/>
      <c r="E477" s="57"/>
      <c r="F477" s="59"/>
      <c r="G477" s="57"/>
      <c r="H477" s="59"/>
      <c r="I477" s="57"/>
      <c r="J477" s="59"/>
      <c r="K477" s="57"/>
      <c r="L477" s="59"/>
      <c r="M477" s="57"/>
      <c r="N477" s="59"/>
      <c r="O477" s="57"/>
      <c r="P477" s="63"/>
      <c r="Q477" s="57"/>
      <c r="R477" s="57"/>
      <c r="S477" s="57"/>
      <c r="T477" s="57"/>
      <c r="U477" s="57"/>
    </row>
    <row r="478">
      <c r="A478" s="57"/>
      <c r="B478" s="59"/>
      <c r="C478" s="57"/>
      <c r="D478" s="59"/>
      <c r="E478" s="57"/>
      <c r="F478" s="59"/>
      <c r="G478" s="57"/>
      <c r="H478" s="59"/>
      <c r="I478" s="57"/>
      <c r="J478" s="59"/>
      <c r="K478" s="57"/>
      <c r="L478" s="59"/>
      <c r="M478" s="57"/>
      <c r="N478" s="59"/>
      <c r="O478" s="57"/>
      <c r="P478" s="63"/>
      <c r="Q478" s="57"/>
      <c r="R478" s="57"/>
      <c r="S478" s="57"/>
      <c r="T478" s="57"/>
      <c r="U478" s="57"/>
    </row>
    <row r="479">
      <c r="A479" s="57"/>
      <c r="B479" s="59"/>
      <c r="C479" s="57"/>
      <c r="D479" s="59"/>
      <c r="E479" s="57"/>
      <c r="F479" s="59"/>
      <c r="G479" s="57"/>
      <c r="H479" s="59"/>
      <c r="I479" s="57"/>
      <c r="J479" s="59"/>
      <c r="K479" s="57"/>
      <c r="L479" s="59"/>
      <c r="M479" s="57"/>
      <c r="N479" s="59"/>
      <c r="O479" s="57"/>
      <c r="P479" s="63"/>
      <c r="Q479" s="57"/>
      <c r="R479" s="57"/>
      <c r="S479" s="57"/>
      <c r="T479" s="57"/>
      <c r="U479" s="57"/>
    </row>
    <row r="480">
      <c r="A480" s="57"/>
      <c r="B480" s="59"/>
      <c r="C480" s="57"/>
      <c r="D480" s="59"/>
      <c r="E480" s="57"/>
      <c r="F480" s="59"/>
      <c r="G480" s="57"/>
      <c r="H480" s="59"/>
      <c r="I480" s="57"/>
      <c r="J480" s="59"/>
      <c r="K480" s="57"/>
      <c r="L480" s="59"/>
      <c r="M480" s="57"/>
      <c r="N480" s="59"/>
      <c r="O480" s="57"/>
      <c r="P480" s="63"/>
      <c r="Q480" s="57"/>
      <c r="R480" s="57"/>
      <c r="S480" s="57"/>
      <c r="T480" s="57"/>
      <c r="U480" s="57"/>
    </row>
    <row r="481">
      <c r="A481" s="57"/>
      <c r="B481" s="59"/>
      <c r="C481" s="57"/>
      <c r="D481" s="59"/>
      <c r="E481" s="57"/>
      <c r="F481" s="59"/>
      <c r="G481" s="57"/>
      <c r="H481" s="59"/>
      <c r="I481" s="57"/>
      <c r="J481" s="59"/>
      <c r="K481" s="57"/>
      <c r="L481" s="59"/>
      <c r="M481" s="57"/>
      <c r="N481" s="59"/>
      <c r="O481" s="57"/>
      <c r="P481" s="63"/>
      <c r="Q481" s="57"/>
      <c r="R481" s="57"/>
      <c r="S481" s="57"/>
      <c r="T481" s="57"/>
      <c r="U481" s="57"/>
    </row>
    <row r="482">
      <c r="A482" s="57"/>
      <c r="B482" s="59"/>
      <c r="C482" s="57"/>
      <c r="D482" s="59"/>
      <c r="E482" s="57"/>
      <c r="F482" s="59"/>
      <c r="G482" s="57"/>
      <c r="H482" s="59"/>
      <c r="I482" s="57"/>
      <c r="J482" s="59"/>
      <c r="K482" s="57"/>
      <c r="L482" s="59"/>
      <c r="M482" s="57"/>
      <c r="N482" s="59"/>
      <c r="O482" s="57"/>
      <c r="P482" s="63"/>
      <c r="Q482" s="57"/>
      <c r="R482" s="57"/>
      <c r="S482" s="57"/>
      <c r="T482" s="57"/>
      <c r="U482" s="57"/>
    </row>
    <row r="483">
      <c r="A483" s="57"/>
      <c r="B483" s="59"/>
      <c r="C483" s="57"/>
      <c r="D483" s="59"/>
      <c r="E483" s="57"/>
      <c r="F483" s="59"/>
      <c r="G483" s="57"/>
      <c r="H483" s="59"/>
      <c r="I483" s="57"/>
      <c r="J483" s="59"/>
      <c r="K483" s="57"/>
      <c r="L483" s="59"/>
      <c r="M483" s="57"/>
      <c r="N483" s="59"/>
      <c r="O483" s="57"/>
      <c r="P483" s="63"/>
      <c r="Q483" s="57"/>
      <c r="R483" s="57"/>
      <c r="S483" s="57"/>
      <c r="T483" s="57"/>
      <c r="U483" s="57"/>
    </row>
    <row r="484">
      <c r="A484" s="57"/>
      <c r="B484" s="59"/>
      <c r="C484" s="57"/>
      <c r="D484" s="59"/>
      <c r="E484" s="57"/>
      <c r="F484" s="59"/>
      <c r="G484" s="57"/>
      <c r="H484" s="59"/>
      <c r="I484" s="57"/>
      <c r="J484" s="59"/>
      <c r="K484" s="57"/>
      <c r="L484" s="59"/>
      <c r="M484" s="57"/>
      <c r="N484" s="59"/>
      <c r="O484" s="57"/>
      <c r="P484" s="63"/>
      <c r="Q484" s="57"/>
      <c r="R484" s="57"/>
      <c r="S484" s="57"/>
      <c r="T484" s="57"/>
      <c r="U484" s="57"/>
    </row>
    <row r="485">
      <c r="A485" s="57"/>
      <c r="B485" s="59"/>
      <c r="C485" s="57"/>
      <c r="D485" s="59"/>
      <c r="E485" s="57"/>
      <c r="F485" s="59"/>
      <c r="G485" s="57"/>
      <c r="H485" s="59"/>
      <c r="I485" s="57"/>
      <c r="J485" s="59"/>
      <c r="K485" s="57"/>
      <c r="L485" s="59"/>
      <c r="M485" s="57"/>
      <c r="N485" s="59"/>
      <c r="O485" s="57"/>
      <c r="P485" s="63"/>
      <c r="Q485" s="57"/>
      <c r="R485" s="57"/>
      <c r="S485" s="57"/>
      <c r="T485" s="57"/>
      <c r="U485" s="57"/>
    </row>
    <row r="486">
      <c r="A486" s="57"/>
      <c r="B486" s="59"/>
      <c r="C486" s="57"/>
      <c r="D486" s="59"/>
      <c r="E486" s="57"/>
      <c r="F486" s="59"/>
      <c r="G486" s="57"/>
      <c r="H486" s="59"/>
      <c r="I486" s="57"/>
      <c r="J486" s="59"/>
      <c r="K486" s="57"/>
      <c r="L486" s="59"/>
      <c r="M486" s="57"/>
      <c r="N486" s="59"/>
      <c r="O486" s="57"/>
      <c r="P486" s="63"/>
      <c r="Q486" s="57"/>
      <c r="R486" s="57"/>
      <c r="S486" s="57"/>
      <c r="T486" s="57"/>
      <c r="U486" s="57"/>
    </row>
    <row r="487">
      <c r="A487" s="57"/>
      <c r="B487" s="59"/>
      <c r="C487" s="57"/>
      <c r="D487" s="59"/>
      <c r="E487" s="57"/>
      <c r="F487" s="59"/>
      <c r="G487" s="57"/>
      <c r="H487" s="59"/>
      <c r="I487" s="57"/>
      <c r="J487" s="59"/>
      <c r="K487" s="57"/>
      <c r="L487" s="59"/>
      <c r="M487" s="57"/>
      <c r="N487" s="59"/>
      <c r="O487" s="57"/>
      <c r="P487" s="63"/>
      <c r="Q487" s="57"/>
      <c r="R487" s="57"/>
      <c r="S487" s="57"/>
      <c r="T487" s="57"/>
      <c r="U487" s="57"/>
    </row>
    <row r="488">
      <c r="A488" s="57"/>
      <c r="B488" s="59"/>
      <c r="C488" s="57"/>
      <c r="D488" s="59"/>
      <c r="E488" s="57"/>
      <c r="F488" s="59"/>
      <c r="G488" s="57"/>
      <c r="H488" s="59"/>
      <c r="I488" s="57"/>
      <c r="J488" s="59"/>
      <c r="K488" s="57"/>
      <c r="L488" s="59"/>
      <c r="M488" s="57"/>
      <c r="N488" s="59"/>
      <c r="O488" s="57"/>
      <c r="P488" s="63"/>
      <c r="Q488" s="57"/>
      <c r="R488" s="57"/>
      <c r="S488" s="57"/>
      <c r="T488" s="57"/>
      <c r="U488" s="57"/>
    </row>
    <row r="489">
      <c r="A489" s="57"/>
      <c r="B489" s="59"/>
      <c r="C489" s="57"/>
      <c r="D489" s="59"/>
      <c r="E489" s="57"/>
      <c r="F489" s="59"/>
      <c r="G489" s="57"/>
      <c r="H489" s="59"/>
      <c r="I489" s="57"/>
      <c r="J489" s="59"/>
      <c r="K489" s="57"/>
      <c r="L489" s="59"/>
      <c r="M489" s="57"/>
      <c r="N489" s="59"/>
      <c r="O489" s="57"/>
      <c r="P489" s="63"/>
      <c r="Q489" s="57"/>
      <c r="R489" s="57"/>
      <c r="S489" s="57"/>
      <c r="T489" s="57"/>
      <c r="U489" s="57"/>
    </row>
    <row r="490">
      <c r="A490" s="57"/>
      <c r="B490" s="59"/>
      <c r="C490" s="57"/>
      <c r="D490" s="59"/>
      <c r="E490" s="57"/>
      <c r="F490" s="59"/>
      <c r="G490" s="57"/>
      <c r="H490" s="59"/>
      <c r="I490" s="57"/>
      <c r="J490" s="59"/>
      <c r="K490" s="57"/>
      <c r="L490" s="59"/>
      <c r="M490" s="57"/>
      <c r="N490" s="59"/>
      <c r="O490" s="57"/>
      <c r="P490" s="63"/>
      <c r="Q490" s="57"/>
      <c r="R490" s="57"/>
      <c r="S490" s="57"/>
      <c r="T490" s="57"/>
      <c r="U490" s="57"/>
    </row>
    <row r="491">
      <c r="A491" s="57"/>
      <c r="B491" s="59"/>
      <c r="C491" s="57"/>
      <c r="D491" s="59"/>
      <c r="E491" s="57"/>
      <c r="F491" s="59"/>
      <c r="G491" s="57"/>
      <c r="H491" s="59"/>
      <c r="I491" s="57"/>
      <c r="J491" s="59"/>
      <c r="K491" s="57"/>
      <c r="L491" s="59"/>
      <c r="M491" s="57"/>
      <c r="N491" s="59"/>
      <c r="O491" s="57"/>
      <c r="P491" s="63"/>
      <c r="Q491" s="57"/>
      <c r="R491" s="57"/>
      <c r="S491" s="57"/>
      <c r="T491" s="57"/>
      <c r="U491" s="57"/>
    </row>
    <row r="492">
      <c r="A492" s="57"/>
      <c r="B492" s="59"/>
      <c r="C492" s="57"/>
      <c r="D492" s="59"/>
      <c r="E492" s="57"/>
      <c r="F492" s="59"/>
      <c r="G492" s="57"/>
      <c r="H492" s="59"/>
      <c r="I492" s="57"/>
      <c r="J492" s="59"/>
      <c r="K492" s="57"/>
      <c r="L492" s="59"/>
      <c r="M492" s="57"/>
      <c r="N492" s="59"/>
      <c r="O492" s="57"/>
      <c r="P492" s="63"/>
      <c r="Q492" s="57"/>
      <c r="R492" s="57"/>
      <c r="S492" s="57"/>
      <c r="T492" s="57"/>
      <c r="U492" s="57"/>
    </row>
    <row r="493">
      <c r="A493" s="57"/>
      <c r="B493" s="59"/>
      <c r="C493" s="57"/>
      <c r="D493" s="59"/>
      <c r="E493" s="57"/>
      <c r="F493" s="59"/>
      <c r="G493" s="57"/>
      <c r="H493" s="59"/>
      <c r="I493" s="57"/>
      <c r="J493" s="59"/>
      <c r="K493" s="57"/>
      <c r="L493" s="59"/>
      <c r="M493" s="57"/>
      <c r="N493" s="59"/>
      <c r="O493" s="57"/>
      <c r="P493" s="63"/>
      <c r="Q493" s="57"/>
      <c r="R493" s="57"/>
      <c r="S493" s="57"/>
      <c r="T493" s="57"/>
      <c r="U493" s="57"/>
    </row>
    <row r="494">
      <c r="A494" s="57"/>
      <c r="B494" s="59"/>
      <c r="C494" s="57"/>
      <c r="D494" s="59"/>
      <c r="E494" s="57"/>
      <c r="F494" s="59"/>
      <c r="G494" s="57"/>
      <c r="H494" s="59"/>
      <c r="I494" s="57"/>
      <c r="J494" s="59"/>
      <c r="K494" s="57"/>
      <c r="L494" s="59"/>
      <c r="M494" s="57"/>
      <c r="N494" s="59"/>
      <c r="O494" s="57"/>
      <c r="P494" s="63"/>
      <c r="Q494" s="57"/>
      <c r="R494" s="57"/>
      <c r="S494" s="57"/>
      <c r="T494" s="57"/>
      <c r="U494" s="57"/>
    </row>
    <row r="495">
      <c r="A495" s="57"/>
      <c r="B495" s="59"/>
      <c r="C495" s="57"/>
      <c r="D495" s="59"/>
      <c r="E495" s="57"/>
      <c r="F495" s="59"/>
      <c r="G495" s="57"/>
      <c r="H495" s="59"/>
      <c r="I495" s="57"/>
      <c r="J495" s="59"/>
      <c r="K495" s="57"/>
      <c r="L495" s="59"/>
      <c r="M495" s="57"/>
      <c r="N495" s="59"/>
      <c r="O495" s="57"/>
      <c r="P495" s="63"/>
      <c r="Q495" s="57"/>
      <c r="R495" s="57"/>
      <c r="S495" s="57"/>
      <c r="T495" s="57"/>
      <c r="U495" s="57"/>
    </row>
    <row r="496">
      <c r="A496" s="57"/>
      <c r="B496" s="59"/>
      <c r="C496" s="57"/>
      <c r="D496" s="59"/>
      <c r="E496" s="57"/>
      <c r="F496" s="59"/>
      <c r="G496" s="57"/>
      <c r="H496" s="59"/>
      <c r="I496" s="57"/>
      <c r="J496" s="59"/>
      <c r="K496" s="57"/>
      <c r="L496" s="59"/>
      <c r="M496" s="57"/>
      <c r="N496" s="59"/>
      <c r="O496" s="57"/>
      <c r="P496" s="63"/>
      <c r="Q496" s="57"/>
      <c r="R496" s="57"/>
      <c r="S496" s="57"/>
      <c r="T496" s="57"/>
      <c r="U496" s="57"/>
    </row>
    <row r="497">
      <c r="A497" s="57"/>
      <c r="B497" s="59"/>
      <c r="C497" s="57"/>
      <c r="D497" s="59"/>
      <c r="E497" s="57"/>
      <c r="F497" s="59"/>
      <c r="G497" s="57"/>
      <c r="H497" s="59"/>
      <c r="I497" s="57"/>
      <c r="J497" s="59"/>
      <c r="K497" s="57"/>
      <c r="L497" s="59"/>
      <c r="M497" s="57"/>
      <c r="N497" s="59"/>
      <c r="O497" s="57"/>
      <c r="P497" s="63"/>
      <c r="Q497" s="57"/>
      <c r="R497" s="57"/>
      <c r="S497" s="57"/>
      <c r="T497" s="57"/>
      <c r="U497" s="57"/>
    </row>
    <row r="498">
      <c r="A498" s="57"/>
      <c r="B498" s="59"/>
      <c r="C498" s="57"/>
      <c r="D498" s="59"/>
      <c r="E498" s="57"/>
      <c r="F498" s="59"/>
      <c r="G498" s="57"/>
      <c r="H498" s="59"/>
      <c r="I498" s="57"/>
      <c r="J498" s="59"/>
      <c r="K498" s="57"/>
      <c r="L498" s="59"/>
      <c r="M498" s="57"/>
      <c r="N498" s="59"/>
      <c r="O498" s="57"/>
      <c r="P498" s="63"/>
      <c r="Q498" s="57"/>
      <c r="R498" s="57"/>
      <c r="S498" s="57"/>
      <c r="T498" s="57"/>
      <c r="U498" s="57"/>
    </row>
    <row r="499">
      <c r="A499" s="57"/>
      <c r="B499" s="59"/>
      <c r="C499" s="57"/>
      <c r="D499" s="59"/>
      <c r="E499" s="57"/>
      <c r="F499" s="59"/>
      <c r="G499" s="57"/>
      <c r="H499" s="59"/>
      <c r="I499" s="57"/>
      <c r="J499" s="59"/>
      <c r="K499" s="57"/>
      <c r="L499" s="59"/>
      <c r="M499" s="57"/>
      <c r="N499" s="59"/>
      <c r="O499" s="57"/>
      <c r="P499" s="63"/>
      <c r="Q499" s="57"/>
      <c r="R499" s="57"/>
      <c r="S499" s="57"/>
      <c r="T499" s="57"/>
      <c r="U499" s="57"/>
    </row>
    <row r="500">
      <c r="A500" s="57"/>
      <c r="B500" s="59"/>
      <c r="C500" s="57"/>
      <c r="D500" s="59"/>
      <c r="E500" s="57"/>
      <c r="F500" s="59"/>
      <c r="G500" s="57"/>
      <c r="H500" s="59"/>
      <c r="I500" s="57"/>
      <c r="J500" s="59"/>
      <c r="K500" s="57"/>
      <c r="L500" s="59"/>
      <c r="M500" s="57"/>
      <c r="N500" s="59"/>
      <c r="O500" s="57"/>
      <c r="P500" s="63"/>
      <c r="Q500" s="57"/>
      <c r="R500" s="57"/>
      <c r="S500" s="57"/>
      <c r="T500" s="57"/>
      <c r="U500" s="57"/>
    </row>
    <row r="501">
      <c r="A501" s="57"/>
      <c r="B501" s="59"/>
      <c r="C501" s="57"/>
      <c r="D501" s="59"/>
      <c r="E501" s="57"/>
      <c r="F501" s="59"/>
      <c r="G501" s="57"/>
      <c r="H501" s="59"/>
      <c r="I501" s="57"/>
      <c r="J501" s="59"/>
      <c r="K501" s="57"/>
      <c r="L501" s="59"/>
      <c r="M501" s="57"/>
      <c r="N501" s="59"/>
      <c r="O501" s="57"/>
      <c r="P501" s="63"/>
      <c r="Q501" s="57"/>
      <c r="R501" s="57"/>
      <c r="S501" s="57"/>
      <c r="T501" s="57"/>
      <c r="U501" s="57"/>
    </row>
    <row r="502">
      <c r="A502" s="57"/>
      <c r="B502" s="59"/>
      <c r="C502" s="57"/>
      <c r="D502" s="59"/>
      <c r="E502" s="57"/>
      <c r="F502" s="59"/>
      <c r="G502" s="57"/>
      <c r="H502" s="59"/>
      <c r="I502" s="57"/>
      <c r="J502" s="59"/>
      <c r="K502" s="57"/>
      <c r="L502" s="59"/>
      <c r="M502" s="57"/>
      <c r="N502" s="59"/>
      <c r="O502" s="57"/>
      <c r="P502" s="63"/>
      <c r="Q502" s="57"/>
      <c r="R502" s="57"/>
      <c r="S502" s="57"/>
      <c r="T502" s="57"/>
      <c r="U502" s="57"/>
    </row>
    <row r="503">
      <c r="A503" s="57"/>
      <c r="B503" s="59"/>
      <c r="C503" s="57"/>
      <c r="D503" s="59"/>
      <c r="E503" s="57"/>
      <c r="F503" s="59"/>
      <c r="G503" s="57"/>
      <c r="H503" s="59"/>
      <c r="I503" s="57"/>
      <c r="J503" s="59"/>
      <c r="K503" s="57"/>
      <c r="L503" s="59"/>
      <c r="M503" s="57"/>
      <c r="N503" s="59"/>
      <c r="O503" s="57"/>
      <c r="P503" s="63"/>
      <c r="Q503" s="57"/>
      <c r="R503" s="57"/>
      <c r="S503" s="57"/>
      <c r="T503" s="57"/>
      <c r="U503" s="57"/>
    </row>
    <row r="504">
      <c r="A504" s="57"/>
      <c r="B504" s="59"/>
      <c r="C504" s="57"/>
      <c r="D504" s="59"/>
      <c r="E504" s="57"/>
      <c r="F504" s="59"/>
      <c r="G504" s="57"/>
      <c r="H504" s="59"/>
      <c r="I504" s="57"/>
      <c r="J504" s="59"/>
      <c r="K504" s="57"/>
      <c r="L504" s="59"/>
      <c r="M504" s="57"/>
      <c r="N504" s="59"/>
      <c r="O504" s="57"/>
      <c r="P504" s="63"/>
      <c r="Q504" s="57"/>
      <c r="R504" s="57"/>
      <c r="S504" s="57"/>
      <c r="T504" s="57"/>
      <c r="U504" s="57"/>
    </row>
    <row r="505">
      <c r="A505" s="57"/>
      <c r="B505" s="59"/>
      <c r="C505" s="57"/>
      <c r="D505" s="59"/>
      <c r="E505" s="57"/>
      <c r="F505" s="59"/>
      <c r="G505" s="57"/>
      <c r="H505" s="59"/>
      <c r="I505" s="57"/>
      <c r="J505" s="59"/>
      <c r="K505" s="57"/>
      <c r="L505" s="59"/>
      <c r="M505" s="57"/>
      <c r="N505" s="59"/>
      <c r="O505" s="57"/>
      <c r="P505" s="63"/>
      <c r="Q505" s="57"/>
      <c r="R505" s="57"/>
      <c r="S505" s="57"/>
      <c r="T505" s="57"/>
      <c r="U505" s="57"/>
    </row>
    <row r="506">
      <c r="A506" s="57"/>
      <c r="B506" s="59"/>
      <c r="C506" s="57"/>
      <c r="D506" s="59"/>
      <c r="E506" s="57"/>
      <c r="F506" s="59"/>
      <c r="G506" s="57"/>
      <c r="H506" s="59"/>
      <c r="I506" s="57"/>
      <c r="J506" s="59"/>
      <c r="K506" s="57"/>
      <c r="L506" s="59"/>
      <c r="M506" s="57"/>
      <c r="N506" s="59"/>
      <c r="O506" s="57"/>
      <c r="P506" s="63"/>
      <c r="Q506" s="57"/>
      <c r="R506" s="57"/>
      <c r="S506" s="57"/>
      <c r="T506" s="57"/>
      <c r="U506" s="57"/>
    </row>
    <row r="507">
      <c r="A507" s="57"/>
      <c r="B507" s="59"/>
      <c r="C507" s="57"/>
      <c r="D507" s="59"/>
      <c r="E507" s="57"/>
      <c r="F507" s="59"/>
      <c r="G507" s="57"/>
      <c r="H507" s="59"/>
      <c r="I507" s="57"/>
      <c r="J507" s="59"/>
      <c r="K507" s="57"/>
      <c r="L507" s="59"/>
      <c r="M507" s="57"/>
      <c r="N507" s="59"/>
      <c r="O507" s="57"/>
      <c r="P507" s="63"/>
      <c r="Q507" s="57"/>
      <c r="R507" s="57"/>
      <c r="S507" s="57"/>
      <c r="T507" s="57"/>
      <c r="U507" s="57"/>
    </row>
    <row r="508">
      <c r="A508" s="57"/>
      <c r="B508" s="59"/>
      <c r="C508" s="57"/>
      <c r="D508" s="59"/>
      <c r="E508" s="57"/>
      <c r="F508" s="59"/>
      <c r="G508" s="57"/>
      <c r="H508" s="59"/>
      <c r="I508" s="57"/>
      <c r="J508" s="59"/>
      <c r="K508" s="57"/>
      <c r="L508" s="59"/>
      <c r="M508" s="57"/>
      <c r="N508" s="59"/>
      <c r="O508" s="57"/>
      <c r="P508" s="63"/>
      <c r="Q508" s="57"/>
      <c r="R508" s="57"/>
      <c r="S508" s="57"/>
      <c r="T508" s="57"/>
      <c r="U508" s="57"/>
    </row>
    <row r="509">
      <c r="A509" s="57"/>
      <c r="B509" s="59"/>
      <c r="C509" s="57"/>
      <c r="D509" s="59"/>
      <c r="E509" s="57"/>
      <c r="F509" s="59"/>
      <c r="G509" s="57"/>
      <c r="H509" s="59"/>
      <c r="I509" s="57"/>
      <c r="J509" s="59"/>
      <c r="K509" s="57"/>
      <c r="L509" s="59"/>
      <c r="M509" s="57"/>
      <c r="N509" s="59"/>
      <c r="O509" s="57"/>
      <c r="P509" s="63"/>
      <c r="Q509" s="57"/>
      <c r="R509" s="57"/>
      <c r="S509" s="57"/>
      <c r="T509" s="57"/>
      <c r="U509" s="57"/>
    </row>
    <row r="510">
      <c r="A510" s="57"/>
      <c r="B510" s="59"/>
      <c r="C510" s="57"/>
      <c r="D510" s="59"/>
      <c r="E510" s="57"/>
      <c r="F510" s="59"/>
      <c r="G510" s="57"/>
      <c r="H510" s="59"/>
      <c r="I510" s="57"/>
      <c r="J510" s="59"/>
      <c r="K510" s="57"/>
      <c r="L510" s="59"/>
      <c r="M510" s="57"/>
      <c r="N510" s="59"/>
      <c r="O510" s="57"/>
      <c r="P510" s="63"/>
      <c r="Q510" s="57"/>
      <c r="R510" s="57"/>
      <c r="S510" s="57"/>
      <c r="T510" s="57"/>
      <c r="U510" s="57"/>
    </row>
    <row r="511">
      <c r="A511" s="57"/>
      <c r="B511" s="59"/>
      <c r="C511" s="57"/>
      <c r="D511" s="59"/>
      <c r="E511" s="57"/>
      <c r="F511" s="59"/>
      <c r="G511" s="57"/>
      <c r="H511" s="59"/>
      <c r="I511" s="57"/>
      <c r="J511" s="59"/>
      <c r="K511" s="57"/>
      <c r="L511" s="59"/>
      <c r="M511" s="57"/>
      <c r="N511" s="59"/>
      <c r="O511" s="57"/>
      <c r="P511" s="63"/>
      <c r="Q511" s="57"/>
      <c r="R511" s="57"/>
      <c r="S511" s="57"/>
      <c r="T511" s="57"/>
      <c r="U511" s="57"/>
    </row>
    <row r="512">
      <c r="A512" s="57"/>
      <c r="B512" s="59"/>
      <c r="C512" s="57"/>
      <c r="D512" s="59"/>
      <c r="E512" s="57"/>
      <c r="F512" s="59"/>
      <c r="G512" s="57"/>
      <c r="H512" s="59"/>
      <c r="I512" s="57"/>
      <c r="J512" s="59"/>
      <c r="K512" s="57"/>
      <c r="L512" s="59"/>
      <c r="M512" s="57"/>
      <c r="N512" s="59"/>
      <c r="O512" s="57"/>
      <c r="P512" s="63"/>
      <c r="Q512" s="57"/>
      <c r="R512" s="57"/>
      <c r="S512" s="57"/>
      <c r="T512" s="57"/>
      <c r="U512" s="57"/>
    </row>
    <row r="513">
      <c r="A513" s="57"/>
      <c r="B513" s="59"/>
      <c r="C513" s="57"/>
      <c r="D513" s="59"/>
      <c r="E513" s="57"/>
      <c r="F513" s="59"/>
      <c r="G513" s="57"/>
      <c r="H513" s="59"/>
      <c r="I513" s="57"/>
      <c r="J513" s="59"/>
      <c r="K513" s="57"/>
      <c r="L513" s="59"/>
      <c r="M513" s="57"/>
      <c r="N513" s="59"/>
      <c r="O513" s="57"/>
      <c r="P513" s="63"/>
      <c r="Q513" s="57"/>
      <c r="R513" s="57"/>
      <c r="S513" s="57"/>
      <c r="T513" s="57"/>
      <c r="U513" s="57"/>
    </row>
    <row r="514">
      <c r="A514" s="57"/>
      <c r="B514" s="59"/>
      <c r="C514" s="57"/>
      <c r="D514" s="59"/>
      <c r="E514" s="57"/>
      <c r="F514" s="59"/>
      <c r="G514" s="57"/>
      <c r="H514" s="59"/>
      <c r="I514" s="57"/>
      <c r="J514" s="59"/>
      <c r="K514" s="57"/>
      <c r="L514" s="59"/>
      <c r="M514" s="57"/>
      <c r="N514" s="59"/>
      <c r="O514" s="57"/>
      <c r="P514" s="63"/>
      <c r="Q514" s="57"/>
      <c r="R514" s="57"/>
      <c r="S514" s="57"/>
      <c r="T514" s="57"/>
      <c r="U514" s="57"/>
    </row>
    <row r="515">
      <c r="A515" s="57"/>
      <c r="B515" s="59"/>
      <c r="C515" s="57"/>
      <c r="D515" s="59"/>
      <c r="E515" s="57"/>
      <c r="F515" s="59"/>
      <c r="G515" s="57"/>
      <c r="H515" s="59"/>
      <c r="I515" s="57"/>
      <c r="J515" s="59"/>
      <c r="K515" s="57"/>
      <c r="L515" s="59"/>
      <c r="M515" s="57"/>
      <c r="N515" s="59"/>
      <c r="O515" s="57"/>
      <c r="P515" s="63"/>
      <c r="Q515" s="57"/>
      <c r="R515" s="57"/>
      <c r="S515" s="57"/>
      <c r="T515" s="57"/>
      <c r="U515" s="57"/>
    </row>
    <row r="516">
      <c r="A516" s="57"/>
      <c r="B516" s="59"/>
      <c r="C516" s="57"/>
      <c r="D516" s="59"/>
      <c r="E516" s="57"/>
      <c r="F516" s="59"/>
      <c r="G516" s="57"/>
      <c r="H516" s="59"/>
      <c r="I516" s="57"/>
      <c r="J516" s="59"/>
      <c r="K516" s="57"/>
      <c r="L516" s="59"/>
      <c r="M516" s="57"/>
      <c r="N516" s="59"/>
      <c r="O516" s="57"/>
      <c r="P516" s="63"/>
      <c r="Q516" s="57"/>
      <c r="R516" s="57"/>
      <c r="S516" s="57"/>
      <c r="T516" s="57"/>
      <c r="U516" s="57"/>
    </row>
    <row r="517">
      <c r="A517" s="57"/>
      <c r="B517" s="59"/>
      <c r="C517" s="57"/>
      <c r="D517" s="59"/>
      <c r="E517" s="57"/>
      <c r="F517" s="59"/>
      <c r="G517" s="57"/>
      <c r="H517" s="59"/>
      <c r="I517" s="57"/>
      <c r="J517" s="59"/>
      <c r="K517" s="57"/>
      <c r="L517" s="59"/>
      <c r="M517" s="57"/>
      <c r="N517" s="59"/>
      <c r="O517" s="57"/>
      <c r="P517" s="63"/>
      <c r="Q517" s="57"/>
      <c r="R517" s="57"/>
      <c r="S517" s="57"/>
      <c r="T517" s="57"/>
      <c r="U517" s="57"/>
    </row>
    <row r="518">
      <c r="A518" s="57"/>
      <c r="B518" s="59"/>
      <c r="C518" s="57"/>
      <c r="D518" s="59"/>
      <c r="E518" s="57"/>
      <c r="F518" s="59"/>
      <c r="G518" s="57"/>
      <c r="H518" s="59"/>
      <c r="I518" s="57"/>
      <c r="J518" s="59"/>
      <c r="K518" s="57"/>
      <c r="L518" s="59"/>
      <c r="M518" s="57"/>
      <c r="N518" s="59"/>
      <c r="O518" s="57"/>
      <c r="P518" s="63"/>
      <c r="Q518" s="57"/>
      <c r="R518" s="57"/>
      <c r="S518" s="57"/>
      <c r="T518" s="57"/>
      <c r="U518" s="57"/>
    </row>
    <row r="519">
      <c r="A519" s="57"/>
      <c r="B519" s="59"/>
      <c r="C519" s="57"/>
      <c r="D519" s="59"/>
      <c r="E519" s="57"/>
      <c r="F519" s="59"/>
      <c r="G519" s="57"/>
      <c r="H519" s="59"/>
      <c r="I519" s="57"/>
      <c r="J519" s="59"/>
      <c r="K519" s="57"/>
      <c r="L519" s="59"/>
      <c r="M519" s="57"/>
      <c r="N519" s="59"/>
      <c r="O519" s="57"/>
      <c r="P519" s="63"/>
      <c r="Q519" s="57"/>
      <c r="R519" s="57"/>
      <c r="S519" s="57"/>
      <c r="T519" s="57"/>
      <c r="U519" s="57"/>
    </row>
    <row r="520">
      <c r="A520" s="57"/>
      <c r="B520" s="59"/>
      <c r="C520" s="57"/>
      <c r="D520" s="59"/>
      <c r="E520" s="57"/>
      <c r="F520" s="59"/>
      <c r="G520" s="57"/>
      <c r="H520" s="59"/>
      <c r="I520" s="57"/>
      <c r="J520" s="59"/>
      <c r="K520" s="57"/>
      <c r="L520" s="59"/>
      <c r="M520" s="57"/>
      <c r="N520" s="59"/>
      <c r="O520" s="57"/>
      <c r="P520" s="63"/>
      <c r="Q520" s="57"/>
      <c r="R520" s="57"/>
      <c r="S520" s="57"/>
      <c r="T520" s="57"/>
      <c r="U520" s="57"/>
    </row>
    <row r="521">
      <c r="A521" s="57"/>
      <c r="B521" s="59"/>
      <c r="C521" s="57"/>
      <c r="D521" s="59"/>
      <c r="E521" s="57"/>
      <c r="F521" s="59"/>
      <c r="G521" s="57"/>
      <c r="H521" s="59"/>
      <c r="I521" s="57"/>
      <c r="J521" s="59"/>
      <c r="K521" s="57"/>
      <c r="L521" s="59"/>
      <c r="M521" s="57"/>
      <c r="N521" s="59"/>
      <c r="O521" s="57"/>
      <c r="P521" s="63"/>
      <c r="Q521" s="57"/>
      <c r="R521" s="57"/>
      <c r="S521" s="57"/>
      <c r="T521" s="57"/>
      <c r="U521" s="57"/>
    </row>
    <row r="522">
      <c r="A522" s="57"/>
      <c r="B522" s="59"/>
      <c r="C522" s="57"/>
      <c r="D522" s="59"/>
      <c r="E522" s="57"/>
      <c r="F522" s="59"/>
      <c r="G522" s="57"/>
      <c r="H522" s="59"/>
      <c r="I522" s="57"/>
      <c r="J522" s="59"/>
      <c r="K522" s="57"/>
      <c r="L522" s="59"/>
      <c r="M522" s="57"/>
      <c r="N522" s="59"/>
      <c r="O522" s="57"/>
      <c r="P522" s="63"/>
      <c r="Q522" s="57"/>
      <c r="R522" s="57"/>
      <c r="S522" s="57"/>
      <c r="T522" s="57"/>
      <c r="U522" s="57"/>
    </row>
    <row r="523">
      <c r="A523" s="57"/>
      <c r="B523" s="59"/>
      <c r="C523" s="57"/>
      <c r="D523" s="59"/>
      <c r="E523" s="57"/>
      <c r="F523" s="59"/>
      <c r="G523" s="57"/>
      <c r="H523" s="59"/>
      <c r="I523" s="57"/>
      <c r="J523" s="59"/>
      <c r="K523" s="57"/>
      <c r="L523" s="59"/>
      <c r="M523" s="57"/>
      <c r="N523" s="59"/>
      <c r="O523" s="57"/>
      <c r="P523" s="63"/>
      <c r="Q523" s="57"/>
      <c r="R523" s="57"/>
      <c r="S523" s="57"/>
      <c r="T523" s="57"/>
      <c r="U523" s="57"/>
    </row>
    <row r="524">
      <c r="A524" s="57"/>
      <c r="B524" s="59"/>
      <c r="C524" s="57"/>
      <c r="D524" s="59"/>
      <c r="E524" s="57"/>
      <c r="F524" s="59"/>
      <c r="G524" s="57"/>
      <c r="H524" s="59"/>
      <c r="I524" s="57"/>
      <c r="J524" s="59"/>
      <c r="K524" s="57"/>
      <c r="L524" s="59"/>
      <c r="M524" s="57"/>
      <c r="N524" s="59"/>
      <c r="O524" s="57"/>
      <c r="P524" s="63"/>
      <c r="Q524" s="57"/>
      <c r="R524" s="57"/>
      <c r="S524" s="57"/>
      <c r="T524" s="57"/>
      <c r="U524" s="57"/>
    </row>
    <row r="525">
      <c r="A525" s="57"/>
      <c r="B525" s="59"/>
      <c r="C525" s="57"/>
      <c r="D525" s="59"/>
      <c r="E525" s="57"/>
      <c r="F525" s="59"/>
      <c r="G525" s="57"/>
      <c r="H525" s="59"/>
      <c r="I525" s="57"/>
      <c r="J525" s="59"/>
      <c r="K525" s="57"/>
      <c r="L525" s="59"/>
      <c r="M525" s="57"/>
      <c r="N525" s="59"/>
      <c r="O525" s="57"/>
      <c r="P525" s="63"/>
      <c r="Q525" s="57"/>
      <c r="R525" s="57"/>
      <c r="S525" s="57"/>
      <c r="T525" s="57"/>
      <c r="U525" s="57"/>
    </row>
    <row r="526">
      <c r="A526" s="57"/>
      <c r="B526" s="59"/>
      <c r="C526" s="57"/>
      <c r="D526" s="59"/>
      <c r="E526" s="57"/>
      <c r="F526" s="59"/>
      <c r="G526" s="57"/>
      <c r="H526" s="59"/>
      <c r="I526" s="57"/>
      <c r="J526" s="59"/>
      <c r="K526" s="57"/>
      <c r="L526" s="59"/>
      <c r="M526" s="57"/>
      <c r="N526" s="59"/>
      <c r="O526" s="57"/>
      <c r="P526" s="63"/>
      <c r="Q526" s="57"/>
      <c r="R526" s="57"/>
      <c r="S526" s="57"/>
      <c r="T526" s="57"/>
      <c r="U526" s="57"/>
    </row>
    <row r="527">
      <c r="A527" s="57"/>
      <c r="B527" s="59"/>
      <c r="C527" s="57"/>
      <c r="D527" s="59"/>
      <c r="E527" s="57"/>
      <c r="F527" s="59"/>
      <c r="G527" s="57"/>
      <c r="H527" s="59"/>
      <c r="I527" s="57"/>
      <c r="J527" s="59"/>
      <c r="K527" s="57"/>
      <c r="L527" s="59"/>
      <c r="M527" s="57"/>
      <c r="N527" s="59"/>
      <c r="O527" s="57"/>
      <c r="P527" s="63"/>
      <c r="Q527" s="57"/>
      <c r="R527" s="57"/>
      <c r="S527" s="57"/>
      <c r="T527" s="57"/>
      <c r="U527" s="57"/>
    </row>
    <row r="528">
      <c r="A528" s="57"/>
      <c r="B528" s="59"/>
      <c r="C528" s="57"/>
      <c r="D528" s="59"/>
      <c r="E528" s="57"/>
      <c r="F528" s="59"/>
      <c r="G528" s="57"/>
      <c r="H528" s="59"/>
      <c r="I528" s="57"/>
      <c r="J528" s="59"/>
      <c r="K528" s="57"/>
      <c r="L528" s="59"/>
      <c r="M528" s="57"/>
      <c r="N528" s="59"/>
      <c r="O528" s="57"/>
      <c r="P528" s="63"/>
      <c r="Q528" s="57"/>
      <c r="R528" s="57"/>
      <c r="S528" s="57"/>
      <c r="T528" s="57"/>
      <c r="U528" s="57"/>
    </row>
    <row r="529">
      <c r="A529" s="57"/>
      <c r="B529" s="59"/>
      <c r="C529" s="57"/>
      <c r="D529" s="59"/>
      <c r="E529" s="57"/>
      <c r="F529" s="59"/>
      <c r="G529" s="57"/>
      <c r="H529" s="59"/>
      <c r="I529" s="57"/>
      <c r="J529" s="59"/>
      <c r="K529" s="57"/>
      <c r="L529" s="59"/>
      <c r="M529" s="57"/>
      <c r="N529" s="59"/>
      <c r="O529" s="57"/>
      <c r="P529" s="63"/>
      <c r="Q529" s="57"/>
      <c r="R529" s="57"/>
      <c r="S529" s="57"/>
      <c r="T529" s="57"/>
      <c r="U529" s="57"/>
    </row>
    <row r="530">
      <c r="A530" s="57"/>
      <c r="B530" s="59"/>
      <c r="C530" s="57"/>
      <c r="D530" s="59"/>
      <c r="E530" s="57"/>
      <c r="F530" s="59"/>
      <c r="G530" s="57"/>
      <c r="H530" s="59"/>
      <c r="I530" s="57"/>
      <c r="J530" s="59"/>
      <c r="K530" s="57"/>
      <c r="L530" s="59"/>
      <c r="M530" s="57"/>
      <c r="N530" s="59"/>
      <c r="O530" s="57"/>
      <c r="P530" s="63"/>
      <c r="Q530" s="57"/>
      <c r="R530" s="57"/>
      <c r="S530" s="57"/>
      <c r="T530" s="57"/>
      <c r="U530" s="57"/>
    </row>
    <row r="531">
      <c r="A531" s="57"/>
      <c r="B531" s="59"/>
      <c r="C531" s="57"/>
      <c r="D531" s="59"/>
      <c r="E531" s="57"/>
      <c r="F531" s="59"/>
      <c r="G531" s="57"/>
      <c r="H531" s="59"/>
      <c r="I531" s="57"/>
      <c r="J531" s="59"/>
      <c r="K531" s="57"/>
      <c r="L531" s="59"/>
      <c r="M531" s="57"/>
      <c r="N531" s="59"/>
      <c r="O531" s="57"/>
      <c r="P531" s="63"/>
      <c r="Q531" s="57"/>
      <c r="R531" s="57"/>
      <c r="S531" s="57"/>
      <c r="T531" s="57"/>
      <c r="U531" s="57"/>
    </row>
    <row r="532">
      <c r="A532" s="57"/>
      <c r="B532" s="59"/>
      <c r="C532" s="57"/>
      <c r="D532" s="59"/>
      <c r="E532" s="57"/>
      <c r="F532" s="59"/>
      <c r="G532" s="57"/>
      <c r="H532" s="59"/>
      <c r="I532" s="57"/>
      <c r="J532" s="59"/>
      <c r="K532" s="57"/>
      <c r="L532" s="59"/>
      <c r="M532" s="57"/>
      <c r="N532" s="59"/>
      <c r="O532" s="57"/>
      <c r="P532" s="63"/>
      <c r="Q532" s="57"/>
      <c r="R532" s="57"/>
      <c r="S532" s="57"/>
      <c r="T532" s="57"/>
      <c r="U532" s="57"/>
    </row>
    <row r="533">
      <c r="A533" s="57"/>
      <c r="B533" s="59"/>
      <c r="C533" s="57"/>
      <c r="D533" s="59"/>
      <c r="E533" s="57"/>
      <c r="F533" s="59"/>
      <c r="G533" s="57"/>
      <c r="H533" s="59"/>
      <c r="I533" s="57"/>
      <c r="J533" s="59"/>
      <c r="K533" s="57"/>
      <c r="L533" s="59"/>
      <c r="M533" s="57"/>
      <c r="N533" s="59"/>
      <c r="O533" s="57"/>
      <c r="P533" s="63"/>
      <c r="Q533" s="57"/>
      <c r="R533" s="57"/>
      <c r="S533" s="57"/>
      <c r="T533" s="57"/>
      <c r="U533" s="57"/>
    </row>
    <row r="534">
      <c r="A534" s="57"/>
      <c r="B534" s="59"/>
      <c r="C534" s="57"/>
      <c r="D534" s="59"/>
      <c r="E534" s="57"/>
      <c r="F534" s="59"/>
      <c r="G534" s="57"/>
      <c r="H534" s="59"/>
      <c r="I534" s="57"/>
      <c r="J534" s="59"/>
      <c r="K534" s="57"/>
      <c r="L534" s="59"/>
      <c r="M534" s="57"/>
      <c r="N534" s="59"/>
      <c r="O534" s="57"/>
      <c r="P534" s="63"/>
      <c r="Q534" s="57"/>
      <c r="R534" s="57"/>
      <c r="S534" s="57"/>
      <c r="T534" s="57"/>
      <c r="U534" s="57"/>
    </row>
    <row r="535">
      <c r="A535" s="57"/>
      <c r="B535" s="59"/>
      <c r="C535" s="57"/>
      <c r="D535" s="59"/>
      <c r="E535" s="57"/>
      <c r="F535" s="59"/>
      <c r="G535" s="57"/>
      <c r="H535" s="59"/>
      <c r="I535" s="57"/>
      <c r="J535" s="59"/>
      <c r="K535" s="57"/>
      <c r="L535" s="59"/>
      <c r="M535" s="57"/>
      <c r="N535" s="59"/>
      <c r="O535" s="57"/>
      <c r="P535" s="63"/>
      <c r="Q535" s="57"/>
      <c r="R535" s="57"/>
      <c r="S535" s="57"/>
      <c r="T535" s="57"/>
      <c r="U535" s="57"/>
    </row>
    <row r="536">
      <c r="A536" s="57"/>
      <c r="B536" s="59"/>
      <c r="C536" s="57"/>
      <c r="D536" s="59"/>
      <c r="E536" s="57"/>
      <c r="F536" s="59"/>
      <c r="G536" s="57"/>
      <c r="H536" s="59"/>
      <c r="I536" s="57"/>
      <c r="J536" s="59"/>
      <c r="K536" s="57"/>
      <c r="L536" s="59"/>
      <c r="M536" s="57"/>
      <c r="N536" s="59"/>
      <c r="O536" s="57"/>
      <c r="P536" s="63"/>
      <c r="Q536" s="57"/>
      <c r="R536" s="57"/>
      <c r="S536" s="57"/>
      <c r="T536" s="57"/>
      <c r="U536" s="57"/>
    </row>
    <row r="537">
      <c r="A537" s="57"/>
      <c r="B537" s="59"/>
      <c r="C537" s="57"/>
      <c r="D537" s="59"/>
      <c r="E537" s="57"/>
      <c r="F537" s="59"/>
      <c r="G537" s="57"/>
      <c r="H537" s="59"/>
      <c r="I537" s="57"/>
      <c r="J537" s="59"/>
      <c r="K537" s="57"/>
      <c r="L537" s="59"/>
      <c r="M537" s="57"/>
      <c r="N537" s="59"/>
      <c r="O537" s="57"/>
      <c r="P537" s="63"/>
      <c r="Q537" s="57"/>
      <c r="R537" s="57"/>
      <c r="S537" s="57"/>
      <c r="T537" s="57"/>
      <c r="U537" s="57"/>
    </row>
    <row r="538">
      <c r="A538" s="57"/>
      <c r="B538" s="59"/>
      <c r="C538" s="57"/>
      <c r="D538" s="59"/>
      <c r="E538" s="57"/>
      <c r="F538" s="59"/>
      <c r="G538" s="57"/>
      <c r="H538" s="59"/>
      <c r="I538" s="57"/>
      <c r="J538" s="59"/>
      <c r="K538" s="57"/>
      <c r="L538" s="59"/>
      <c r="M538" s="57"/>
      <c r="N538" s="59"/>
      <c r="O538" s="57"/>
      <c r="P538" s="63"/>
      <c r="Q538" s="57"/>
      <c r="R538" s="57"/>
      <c r="S538" s="57"/>
      <c r="T538" s="57"/>
      <c r="U538" s="57"/>
    </row>
    <row r="539">
      <c r="A539" s="57"/>
      <c r="B539" s="59"/>
      <c r="C539" s="57"/>
      <c r="D539" s="59"/>
      <c r="E539" s="57"/>
      <c r="F539" s="59"/>
      <c r="G539" s="57"/>
      <c r="H539" s="59"/>
      <c r="I539" s="57"/>
      <c r="J539" s="59"/>
      <c r="K539" s="57"/>
      <c r="L539" s="59"/>
      <c r="M539" s="57"/>
      <c r="N539" s="59"/>
      <c r="O539" s="57"/>
      <c r="P539" s="63"/>
      <c r="Q539" s="57"/>
      <c r="R539" s="57"/>
      <c r="S539" s="57"/>
      <c r="T539" s="57"/>
      <c r="U539" s="57"/>
    </row>
    <row r="540">
      <c r="A540" s="57"/>
      <c r="B540" s="59"/>
      <c r="C540" s="57"/>
      <c r="D540" s="59"/>
      <c r="E540" s="57"/>
      <c r="F540" s="59"/>
      <c r="G540" s="57"/>
      <c r="H540" s="59"/>
      <c r="I540" s="57"/>
      <c r="J540" s="59"/>
      <c r="K540" s="57"/>
      <c r="L540" s="59"/>
      <c r="M540" s="57"/>
      <c r="N540" s="59"/>
      <c r="O540" s="57"/>
      <c r="P540" s="63"/>
      <c r="Q540" s="57"/>
      <c r="R540" s="57"/>
      <c r="S540" s="57"/>
      <c r="T540" s="57"/>
      <c r="U540" s="57"/>
    </row>
    <row r="541">
      <c r="A541" s="57"/>
      <c r="B541" s="59"/>
      <c r="C541" s="57"/>
      <c r="D541" s="59"/>
      <c r="E541" s="57"/>
      <c r="F541" s="59"/>
      <c r="G541" s="57"/>
      <c r="H541" s="59"/>
      <c r="I541" s="57"/>
      <c r="J541" s="59"/>
      <c r="K541" s="57"/>
      <c r="L541" s="59"/>
      <c r="M541" s="57"/>
      <c r="N541" s="59"/>
      <c r="O541" s="57"/>
      <c r="P541" s="63"/>
      <c r="Q541" s="57"/>
      <c r="R541" s="57"/>
      <c r="S541" s="57"/>
      <c r="T541" s="57"/>
      <c r="U541" s="57"/>
    </row>
    <row r="542">
      <c r="A542" s="57"/>
      <c r="B542" s="59"/>
      <c r="C542" s="57"/>
      <c r="D542" s="59"/>
      <c r="E542" s="57"/>
      <c r="F542" s="59"/>
      <c r="G542" s="57"/>
      <c r="H542" s="59"/>
      <c r="I542" s="57"/>
      <c r="J542" s="59"/>
      <c r="K542" s="57"/>
      <c r="L542" s="59"/>
      <c r="M542" s="57"/>
      <c r="N542" s="59"/>
      <c r="O542" s="57"/>
      <c r="P542" s="63"/>
      <c r="Q542" s="57"/>
      <c r="R542" s="57"/>
      <c r="S542" s="57"/>
      <c r="T542" s="57"/>
      <c r="U542" s="57"/>
    </row>
    <row r="543">
      <c r="A543" s="57"/>
      <c r="B543" s="59"/>
      <c r="C543" s="57"/>
      <c r="D543" s="59"/>
      <c r="E543" s="57"/>
      <c r="F543" s="59"/>
      <c r="G543" s="57"/>
      <c r="H543" s="59"/>
      <c r="I543" s="57"/>
      <c r="J543" s="59"/>
      <c r="K543" s="57"/>
      <c r="L543" s="59"/>
      <c r="M543" s="57"/>
      <c r="N543" s="59"/>
      <c r="O543" s="57"/>
      <c r="P543" s="63"/>
      <c r="Q543" s="57"/>
      <c r="R543" s="57"/>
      <c r="S543" s="57"/>
      <c r="T543" s="57"/>
      <c r="U543" s="57"/>
    </row>
    <row r="544">
      <c r="A544" s="57"/>
      <c r="B544" s="59"/>
      <c r="C544" s="57"/>
      <c r="D544" s="59"/>
      <c r="E544" s="57"/>
      <c r="F544" s="59"/>
      <c r="G544" s="57"/>
      <c r="H544" s="59"/>
      <c r="I544" s="57"/>
      <c r="J544" s="59"/>
      <c r="K544" s="57"/>
      <c r="L544" s="59"/>
      <c r="M544" s="57"/>
      <c r="N544" s="59"/>
      <c r="O544" s="57"/>
      <c r="P544" s="63"/>
      <c r="Q544" s="57"/>
      <c r="R544" s="57"/>
      <c r="S544" s="57"/>
      <c r="T544" s="57"/>
      <c r="U544" s="57"/>
    </row>
    <row r="545">
      <c r="A545" s="57"/>
      <c r="B545" s="59"/>
      <c r="C545" s="57"/>
      <c r="D545" s="59"/>
      <c r="E545" s="57"/>
      <c r="F545" s="59"/>
      <c r="G545" s="57"/>
      <c r="H545" s="59"/>
      <c r="I545" s="57"/>
      <c r="J545" s="59"/>
      <c r="K545" s="57"/>
      <c r="L545" s="59"/>
      <c r="M545" s="57"/>
      <c r="N545" s="59"/>
      <c r="O545" s="57"/>
      <c r="P545" s="63"/>
      <c r="Q545" s="57"/>
      <c r="R545" s="57"/>
      <c r="S545" s="57"/>
      <c r="T545" s="57"/>
      <c r="U545" s="57"/>
    </row>
    <row r="546">
      <c r="A546" s="57"/>
      <c r="B546" s="59"/>
      <c r="C546" s="57"/>
      <c r="D546" s="59"/>
      <c r="E546" s="57"/>
      <c r="F546" s="59"/>
      <c r="G546" s="57"/>
      <c r="H546" s="59"/>
      <c r="I546" s="57"/>
      <c r="J546" s="59"/>
      <c r="K546" s="57"/>
      <c r="L546" s="59"/>
      <c r="M546" s="57"/>
      <c r="N546" s="59"/>
      <c r="O546" s="57"/>
      <c r="P546" s="63"/>
      <c r="Q546" s="57"/>
      <c r="R546" s="57"/>
      <c r="S546" s="57"/>
      <c r="T546" s="57"/>
      <c r="U546" s="57"/>
    </row>
    <row r="547">
      <c r="A547" s="57"/>
      <c r="B547" s="59"/>
      <c r="C547" s="57"/>
      <c r="D547" s="59"/>
      <c r="E547" s="57"/>
      <c r="F547" s="59"/>
      <c r="G547" s="57"/>
      <c r="H547" s="59"/>
      <c r="I547" s="57"/>
      <c r="J547" s="59"/>
      <c r="K547" s="57"/>
      <c r="L547" s="59"/>
      <c r="M547" s="57"/>
      <c r="N547" s="59"/>
      <c r="O547" s="57"/>
      <c r="P547" s="63"/>
      <c r="Q547" s="57"/>
      <c r="R547" s="57"/>
      <c r="S547" s="57"/>
      <c r="T547" s="57"/>
      <c r="U547" s="57"/>
    </row>
    <row r="548">
      <c r="A548" s="57"/>
      <c r="B548" s="59"/>
      <c r="C548" s="57"/>
      <c r="D548" s="59"/>
      <c r="E548" s="57"/>
      <c r="F548" s="59"/>
      <c r="G548" s="57"/>
      <c r="H548" s="59"/>
      <c r="I548" s="57"/>
      <c r="J548" s="59"/>
      <c r="K548" s="57"/>
      <c r="L548" s="59"/>
      <c r="M548" s="57"/>
      <c r="N548" s="59"/>
      <c r="O548" s="57"/>
      <c r="P548" s="63"/>
      <c r="Q548" s="57"/>
      <c r="R548" s="57"/>
      <c r="S548" s="57"/>
      <c r="T548" s="57"/>
      <c r="U548" s="57"/>
    </row>
    <row r="549">
      <c r="A549" s="57"/>
      <c r="B549" s="59"/>
      <c r="C549" s="57"/>
      <c r="D549" s="59"/>
      <c r="E549" s="57"/>
      <c r="F549" s="59"/>
      <c r="G549" s="57"/>
      <c r="H549" s="59"/>
      <c r="I549" s="57"/>
      <c r="J549" s="59"/>
      <c r="K549" s="57"/>
      <c r="L549" s="59"/>
      <c r="M549" s="57"/>
      <c r="N549" s="59"/>
      <c r="O549" s="57"/>
      <c r="P549" s="63"/>
      <c r="Q549" s="57"/>
      <c r="R549" s="57"/>
      <c r="S549" s="57"/>
      <c r="T549" s="57"/>
      <c r="U549" s="57"/>
    </row>
    <row r="550">
      <c r="A550" s="57"/>
      <c r="B550" s="59"/>
      <c r="C550" s="57"/>
      <c r="D550" s="59"/>
      <c r="E550" s="57"/>
      <c r="F550" s="59"/>
      <c r="G550" s="57"/>
      <c r="H550" s="59"/>
      <c r="I550" s="57"/>
      <c r="J550" s="59"/>
      <c r="K550" s="57"/>
      <c r="L550" s="59"/>
      <c r="M550" s="57"/>
      <c r="N550" s="59"/>
      <c r="O550" s="57"/>
      <c r="P550" s="63"/>
      <c r="Q550" s="57"/>
      <c r="R550" s="57"/>
      <c r="S550" s="57"/>
      <c r="T550" s="57"/>
      <c r="U550" s="57"/>
    </row>
    <row r="551">
      <c r="A551" s="57"/>
      <c r="B551" s="59"/>
      <c r="C551" s="57"/>
      <c r="D551" s="59"/>
      <c r="E551" s="57"/>
      <c r="F551" s="59"/>
      <c r="G551" s="57"/>
      <c r="H551" s="59"/>
      <c r="I551" s="57"/>
      <c r="J551" s="59"/>
      <c r="K551" s="57"/>
      <c r="L551" s="59"/>
      <c r="M551" s="57"/>
      <c r="N551" s="59"/>
      <c r="O551" s="57"/>
      <c r="P551" s="63"/>
      <c r="Q551" s="57"/>
      <c r="R551" s="57"/>
      <c r="S551" s="57"/>
      <c r="T551" s="57"/>
      <c r="U551" s="57"/>
    </row>
    <row r="552">
      <c r="A552" s="57"/>
      <c r="B552" s="59"/>
      <c r="C552" s="57"/>
      <c r="D552" s="59"/>
      <c r="E552" s="57"/>
      <c r="F552" s="59"/>
      <c r="G552" s="57"/>
      <c r="H552" s="59"/>
      <c r="I552" s="57"/>
      <c r="J552" s="59"/>
      <c r="K552" s="57"/>
      <c r="L552" s="59"/>
      <c r="M552" s="57"/>
      <c r="N552" s="59"/>
      <c r="O552" s="57"/>
      <c r="P552" s="63"/>
      <c r="Q552" s="57"/>
      <c r="R552" s="57"/>
      <c r="S552" s="57"/>
      <c r="T552" s="57"/>
      <c r="U552" s="57"/>
    </row>
    <row r="553">
      <c r="A553" s="57"/>
      <c r="B553" s="59"/>
      <c r="C553" s="57"/>
      <c r="D553" s="59"/>
      <c r="E553" s="57"/>
      <c r="F553" s="59"/>
      <c r="G553" s="57"/>
      <c r="H553" s="59"/>
      <c r="I553" s="57"/>
      <c r="J553" s="59"/>
      <c r="K553" s="57"/>
      <c r="L553" s="59"/>
      <c r="M553" s="57"/>
      <c r="N553" s="59"/>
      <c r="O553" s="57"/>
      <c r="P553" s="63"/>
      <c r="Q553" s="57"/>
      <c r="R553" s="57"/>
      <c r="S553" s="57"/>
      <c r="T553" s="57"/>
      <c r="U553" s="57"/>
    </row>
    <row r="554">
      <c r="A554" s="57"/>
      <c r="B554" s="59"/>
      <c r="C554" s="57"/>
      <c r="D554" s="59"/>
      <c r="E554" s="57"/>
      <c r="F554" s="59"/>
      <c r="G554" s="57"/>
      <c r="H554" s="59"/>
      <c r="I554" s="57"/>
      <c r="J554" s="59"/>
      <c r="K554" s="57"/>
      <c r="L554" s="59"/>
      <c r="M554" s="57"/>
      <c r="N554" s="59"/>
      <c r="O554" s="57"/>
      <c r="P554" s="63"/>
      <c r="Q554" s="57"/>
      <c r="R554" s="57"/>
      <c r="S554" s="57"/>
      <c r="T554" s="57"/>
      <c r="U554" s="57"/>
    </row>
    <row r="555">
      <c r="A555" s="57"/>
      <c r="B555" s="59"/>
      <c r="C555" s="57"/>
      <c r="D555" s="59"/>
      <c r="E555" s="57"/>
      <c r="F555" s="59"/>
      <c r="G555" s="57"/>
      <c r="H555" s="59"/>
      <c r="I555" s="57"/>
      <c r="J555" s="59"/>
      <c r="K555" s="57"/>
      <c r="L555" s="59"/>
      <c r="M555" s="57"/>
      <c r="N555" s="59"/>
      <c r="O555" s="57"/>
      <c r="P555" s="63"/>
      <c r="Q555" s="57"/>
      <c r="R555" s="57"/>
      <c r="S555" s="57"/>
      <c r="T555" s="57"/>
      <c r="U555" s="57"/>
    </row>
    <row r="556">
      <c r="A556" s="57"/>
      <c r="B556" s="59"/>
      <c r="C556" s="57"/>
      <c r="D556" s="59"/>
      <c r="E556" s="57"/>
      <c r="F556" s="59"/>
      <c r="G556" s="57"/>
      <c r="H556" s="59"/>
      <c r="I556" s="57"/>
      <c r="J556" s="59"/>
      <c r="K556" s="57"/>
      <c r="L556" s="59"/>
      <c r="M556" s="57"/>
      <c r="N556" s="59"/>
      <c r="O556" s="57"/>
      <c r="P556" s="63"/>
      <c r="Q556" s="57"/>
      <c r="R556" s="57"/>
      <c r="S556" s="57"/>
      <c r="T556" s="57"/>
      <c r="U556" s="57"/>
    </row>
    <row r="557">
      <c r="A557" s="57"/>
      <c r="B557" s="59"/>
      <c r="C557" s="57"/>
      <c r="D557" s="59"/>
      <c r="E557" s="57"/>
      <c r="F557" s="59"/>
      <c r="G557" s="57"/>
      <c r="H557" s="59"/>
      <c r="I557" s="57"/>
      <c r="J557" s="59"/>
      <c r="K557" s="57"/>
      <c r="L557" s="59"/>
      <c r="M557" s="57"/>
      <c r="N557" s="59"/>
      <c r="O557" s="57"/>
      <c r="P557" s="63"/>
      <c r="Q557" s="57"/>
      <c r="R557" s="57"/>
      <c r="S557" s="57"/>
      <c r="T557" s="57"/>
      <c r="U557" s="57"/>
    </row>
    <row r="558">
      <c r="A558" s="57"/>
      <c r="B558" s="59"/>
      <c r="C558" s="57"/>
      <c r="D558" s="59"/>
      <c r="E558" s="57"/>
      <c r="F558" s="59"/>
      <c r="G558" s="57"/>
      <c r="H558" s="59"/>
      <c r="I558" s="57"/>
      <c r="J558" s="59"/>
      <c r="K558" s="57"/>
      <c r="L558" s="59"/>
      <c r="M558" s="57"/>
      <c r="N558" s="59"/>
      <c r="O558" s="57"/>
      <c r="P558" s="63"/>
      <c r="Q558" s="57"/>
      <c r="R558" s="57"/>
      <c r="S558" s="57"/>
      <c r="T558" s="57"/>
      <c r="U558" s="57"/>
    </row>
    <row r="559">
      <c r="A559" s="57"/>
      <c r="B559" s="59"/>
      <c r="C559" s="57"/>
      <c r="D559" s="59"/>
      <c r="E559" s="57"/>
      <c r="F559" s="59"/>
      <c r="G559" s="57"/>
      <c r="H559" s="59"/>
      <c r="I559" s="57"/>
      <c r="J559" s="59"/>
      <c r="K559" s="57"/>
      <c r="L559" s="59"/>
      <c r="M559" s="57"/>
      <c r="N559" s="59"/>
      <c r="O559" s="57"/>
      <c r="P559" s="63"/>
      <c r="Q559" s="57"/>
      <c r="R559" s="57"/>
      <c r="S559" s="57"/>
      <c r="T559" s="57"/>
      <c r="U559" s="57"/>
    </row>
    <row r="560">
      <c r="A560" s="57"/>
      <c r="B560" s="59"/>
      <c r="C560" s="57"/>
      <c r="D560" s="59"/>
      <c r="E560" s="57"/>
      <c r="F560" s="59"/>
      <c r="G560" s="57"/>
      <c r="H560" s="59"/>
      <c r="I560" s="57"/>
      <c r="J560" s="59"/>
      <c r="K560" s="57"/>
      <c r="L560" s="59"/>
      <c r="M560" s="57"/>
      <c r="N560" s="59"/>
      <c r="O560" s="57"/>
      <c r="P560" s="63"/>
      <c r="Q560" s="57"/>
      <c r="R560" s="57"/>
      <c r="S560" s="57"/>
      <c r="T560" s="57"/>
      <c r="U560" s="57"/>
    </row>
    <row r="561">
      <c r="A561" s="57"/>
      <c r="B561" s="59"/>
      <c r="C561" s="57"/>
      <c r="D561" s="59"/>
      <c r="E561" s="57"/>
      <c r="F561" s="59"/>
      <c r="G561" s="57"/>
      <c r="H561" s="59"/>
      <c r="I561" s="57"/>
      <c r="J561" s="59"/>
      <c r="K561" s="57"/>
      <c r="L561" s="59"/>
      <c r="M561" s="57"/>
      <c r="N561" s="59"/>
      <c r="O561" s="57"/>
      <c r="P561" s="63"/>
      <c r="Q561" s="57"/>
      <c r="R561" s="57"/>
      <c r="S561" s="57"/>
      <c r="T561" s="57"/>
      <c r="U561" s="57"/>
    </row>
    <row r="562">
      <c r="A562" s="57"/>
      <c r="B562" s="59"/>
      <c r="C562" s="57"/>
      <c r="D562" s="59"/>
      <c r="E562" s="57"/>
      <c r="F562" s="59"/>
      <c r="G562" s="57"/>
      <c r="H562" s="59"/>
      <c r="I562" s="57"/>
      <c r="J562" s="59"/>
      <c r="K562" s="57"/>
      <c r="L562" s="59"/>
      <c r="M562" s="57"/>
      <c r="N562" s="59"/>
      <c r="O562" s="57"/>
      <c r="P562" s="63"/>
      <c r="Q562" s="57"/>
      <c r="R562" s="57"/>
      <c r="S562" s="57"/>
      <c r="T562" s="57"/>
      <c r="U562" s="57"/>
    </row>
    <row r="563">
      <c r="A563" s="57"/>
      <c r="B563" s="59"/>
      <c r="C563" s="57"/>
      <c r="D563" s="59"/>
      <c r="E563" s="57"/>
      <c r="F563" s="59"/>
      <c r="G563" s="57"/>
      <c r="H563" s="59"/>
      <c r="I563" s="57"/>
      <c r="J563" s="59"/>
      <c r="K563" s="57"/>
      <c r="L563" s="59"/>
      <c r="M563" s="57"/>
      <c r="N563" s="59"/>
      <c r="O563" s="57"/>
      <c r="P563" s="63"/>
      <c r="Q563" s="57"/>
      <c r="R563" s="57"/>
      <c r="S563" s="57"/>
      <c r="T563" s="57"/>
      <c r="U563" s="57"/>
    </row>
    <row r="564">
      <c r="A564" s="57"/>
      <c r="B564" s="59"/>
      <c r="C564" s="57"/>
      <c r="D564" s="59"/>
      <c r="E564" s="57"/>
      <c r="F564" s="59"/>
      <c r="G564" s="57"/>
      <c r="H564" s="59"/>
      <c r="I564" s="57"/>
      <c r="J564" s="59"/>
      <c r="K564" s="57"/>
      <c r="L564" s="59"/>
      <c r="M564" s="57"/>
      <c r="N564" s="59"/>
      <c r="O564" s="57"/>
      <c r="P564" s="63"/>
      <c r="Q564" s="57"/>
      <c r="R564" s="57"/>
      <c r="S564" s="57"/>
      <c r="T564" s="57"/>
      <c r="U564" s="57"/>
    </row>
    <row r="565">
      <c r="A565" s="57"/>
      <c r="B565" s="59"/>
      <c r="C565" s="57"/>
      <c r="D565" s="59"/>
      <c r="E565" s="57"/>
      <c r="F565" s="59"/>
      <c r="G565" s="57"/>
      <c r="H565" s="59"/>
      <c r="I565" s="57"/>
      <c r="J565" s="59"/>
      <c r="K565" s="57"/>
      <c r="L565" s="59"/>
      <c r="M565" s="57"/>
      <c r="N565" s="59"/>
      <c r="O565" s="57"/>
      <c r="P565" s="63"/>
      <c r="Q565" s="57"/>
      <c r="R565" s="57"/>
      <c r="S565" s="57"/>
      <c r="T565" s="57"/>
      <c r="U565" s="57"/>
    </row>
    <row r="566">
      <c r="A566" s="57"/>
      <c r="B566" s="59"/>
      <c r="C566" s="57"/>
      <c r="D566" s="59"/>
      <c r="E566" s="57"/>
      <c r="F566" s="59"/>
      <c r="G566" s="57"/>
      <c r="H566" s="59"/>
      <c r="I566" s="57"/>
      <c r="J566" s="59"/>
      <c r="K566" s="57"/>
      <c r="L566" s="59"/>
      <c r="M566" s="57"/>
      <c r="N566" s="59"/>
      <c r="O566" s="57"/>
      <c r="P566" s="63"/>
      <c r="Q566" s="57"/>
      <c r="R566" s="57"/>
      <c r="S566" s="57"/>
      <c r="T566" s="57"/>
      <c r="U566" s="57"/>
    </row>
    <row r="567">
      <c r="A567" s="57"/>
      <c r="B567" s="59"/>
      <c r="C567" s="57"/>
      <c r="D567" s="59"/>
      <c r="E567" s="57"/>
      <c r="F567" s="59"/>
      <c r="G567" s="57"/>
      <c r="H567" s="59"/>
      <c r="I567" s="57"/>
      <c r="J567" s="59"/>
      <c r="K567" s="57"/>
      <c r="L567" s="59"/>
      <c r="M567" s="57"/>
      <c r="N567" s="59"/>
      <c r="O567" s="57"/>
      <c r="P567" s="63"/>
      <c r="Q567" s="57"/>
      <c r="R567" s="57"/>
      <c r="S567" s="57"/>
      <c r="T567" s="57"/>
      <c r="U567" s="57"/>
    </row>
    <row r="568">
      <c r="A568" s="57"/>
      <c r="B568" s="59"/>
      <c r="C568" s="57"/>
      <c r="D568" s="59"/>
      <c r="E568" s="57"/>
      <c r="F568" s="59"/>
      <c r="G568" s="57"/>
      <c r="H568" s="59"/>
      <c r="I568" s="57"/>
      <c r="J568" s="59"/>
      <c r="K568" s="57"/>
      <c r="L568" s="59"/>
      <c r="M568" s="57"/>
      <c r="N568" s="59"/>
      <c r="O568" s="57"/>
      <c r="P568" s="63"/>
      <c r="Q568" s="57"/>
      <c r="R568" s="57"/>
      <c r="S568" s="57"/>
      <c r="T568" s="57"/>
      <c r="U568" s="57"/>
    </row>
    <row r="569">
      <c r="A569" s="57"/>
      <c r="B569" s="59"/>
      <c r="C569" s="57"/>
      <c r="D569" s="59"/>
      <c r="E569" s="57"/>
      <c r="F569" s="59"/>
      <c r="G569" s="57"/>
      <c r="H569" s="59"/>
      <c r="I569" s="57"/>
      <c r="J569" s="59"/>
      <c r="K569" s="57"/>
      <c r="L569" s="59"/>
      <c r="M569" s="57"/>
      <c r="N569" s="59"/>
      <c r="O569" s="57"/>
      <c r="P569" s="63"/>
      <c r="Q569" s="57"/>
      <c r="R569" s="57"/>
      <c r="S569" s="57"/>
      <c r="T569" s="57"/>
      <c r="U569" s="57"/>
    </row>
    <row r="570">
      <c r="A570" s="57"/>
      <c r="B570" s="59"/>
      <c r="C570" s="57"/>
      <c r="D570" s="59"/>
      <c r="E570" s="57"/>
      <c r="F570" s="59"/>
      <c r="G570" s="57"/>
      <c r="H570" s="59"/>
      <c r="I570" s="57"/>
      <c r="J570" s="59"/>
      <c r="K570" s="57"/>
      <c r="L570" s="59"/>
      <c r="M570" s="57"/>
      <c r="N570" s="59"/>
      <c r="O570" s="57"/>
      <c r="P570" s="63"/>
      <c r="Q570" s="57"/>
      <c r="R570" s="57"/>
      <c r="S570" s="57"/>
      <c r="T570" s="57"/>
      <c r="U570" s="57"/>
    </row>
    <row r="571">
      <c r="A571" s="57"/>
      <c r="B571" s="59"/>
      <c r="C571" s="57"/>
      <c r="D571" s="59"/>
      <c r="E571" s="57"/>
      <c r="F571" s="59"/>
      <c r="G571" s="57"/>
      <c r="H571" s="59"/>
      <c r="I571" s="57"/>
      <c r="J571" s="59"/>
      <c r="K571" s="57"/>
      <c r="L571" s="59"/>
      <c r="M571" s="57"/>
      <c r="N571" s="59"/>
      <c r="O571" s="57"/>
      <c r="P571" s="63"/>
      <c r="Q571" s="57"/>
      <c r="R571" s="57"/>
      <c r="S571" s="57"/>
      <c r="T571" s="57"/>
      <c r="U571" s="57"/>
    </row>
    <row r="572">
      <c r="A572" s="57"/>
      <c r="B572" s="59"/>
      <c r="C572" s="57"/>
      <c r="D572" s="59"/>
      <c r="E572" s="57"/>
      <c r="F572" s="59"/>
      <c r="G572" s="57"/>
      <c r="H572" s="59"/>
      <c r="I572" s="57"/>
      <c r="J572" s="59"/>
      <c r="K572" s="57"/>
      <c r="L572" s="59"/>
      <c r="M572" s="57"/>
      <c r="N572" s="59"/>
      <c r="O572" s="57"/>
      <c r="P572" s="63"/>
      <c r="Q572" s="57"/>
      <c r="R572" s="57"/>
      <c r="S572" s="57"/>
      <c r="T572" s="57"/>
      <c r="U572" s="57"/>
    </row>
    <row r="573">
      <c r="A573" s="57"/>
      <c r="B573" s="59"/>
      <c r="C573" s="57"/>
      <c r="D573" s="59"/>
      <c r="E573" s="57"/>
      <c r="F573" s="59"/>
      <c r="G573" s="57"/>
      <c r="H573" s="59"/>
      <c r="I573" s="57"/>
      <c r="J573" s="59"/>
      <c r="K573" s="57"/>
      <c r="L573" s="59"/>
      <c r="M573" s="57"/>
      <c r="N573" s="59"/>
      <c r="O573" s="57"/>
      <c r="P573" s="63"/>
      <c r="Q573" s="57"/>
      <c r="R573" s="57"/>
      <c r="S573" s="57"/>
      <c r="T573" s="57"/>
      <c r="U573" s="57"/>
    </row>
    <row r="574">
      <c r="A574" s="57"/>
      <c r="B574" s="59"/>
      <c r="C574" s="57"/>
      <c r="D574" s="59"/>
      <c r="E574" s="57"/>
      <c r="F574" s="59"/>
      <c r="G574" s="57"/>
      <c r="H574" s="59"/>
      <c r="I574" s="57"/>
      <c r="J574" s="59"/>
      <c r="K574" s="57"/>
      <c r="L574" s="59"/>
      <c r="M574" s="57"/>
      <c r="N574" s="59"/>
      <c r="O574" s="57"/>
      <c r="P574" s="63"/>
      <c r="Q574" s="57"/>
      <c r="R574" s="57"/>
      <c r="S574" s="57"/>
      <c r="T574" s="57"/>
      <c r="U574" s="57"/>
    </row>
    <row r="575">
      <c r="A575" s="57"/>
      <c r="B575" s="59"/>
      <c r="C575" s="57"/>
      <c r="D575" s="59"/>
      <c r="E575" s="57"/>
      <c r="F575" s="59"/>
      <c r="G575" s="57"/>
      <c r="H575" s="59"/>
      <c r="I575" s="57"/>
      <c r="J575" s="59"/>
      <c r="K575" s="57"/>
      <c r="L575" s="59"/>
      <c r="M575" s="57"/>
      <c r="N575" s="59"/>
      <c r="O575" s="57"/>
      <c r="P575" s="63"/>
      <c r="Q575" s="57"/>
      <c r="R575" s="57"/>
      <c r="S575" s="57"/>
      <c r="T575" s="57"/>
      <c r="U575" s="57"/>
    </row>
    <row r="576">
      <c r="A576" s="57"/>
      <c r="B576" s="59"/>
      <c r="C576" s="57"/>
      <c r="D576" s="59"/>
      <c r="E576" s="57"/>
      <c r="F576" s="59"/>
      <c r="G576" s="57"/>
      <c r="H576" s="59"/>
      <c r="I576" s="57"/>
      <c r="J576" s="59"/>
      <c r="K576" s="57"/>
      <c r="L576" s="59"/>
      <c r="M576" s="57"/>
      <c r="N576" s="59"/>
      <c r="O576" s="57"/>
      <c r="P576" s="63"/>
      <c r="Q576" s="57"/>
      <c r="R576" s="57"/>
      <c r="S576" s="57"/>
      <c r="T576" s="57"/>
      <c r="U576" s="57"/>
    </row>
    <row r="577">
      <c r="A577" s="57"/>
      <c r="B577" s="59"/>
      <c r="C577" s="57"/>
      <c r="D577" s="59"/>
      <c r="E577" s="57"/>
      <c r="F577" s="59"/>
      <c r="G577" s="57"/>
      <c r="H577" s="59"/>
      <c r="I577" s="57"/>
      <c r="J577" s="59"/>
      <c r="K577" s="57"/>
      <c r="L577" s="59"/>
      <c r="M577" s="57"/>
      <c r="N577" s="59"/>
      <c r="O577" s="57"/>
      <c r="P577" s="63"/>
      <c r="Q577" s="57"/>
      <c r="R577" s="57"/>
      <c r="S577" s="57"/>
      <c r="T577" s="57"/>
      <c r="U577" s="57"/>
    </row>
    <row r="578">
      <c r="A578" s="57"/>
      <c r="B578" s="59"/>
      <c r="C578" s="57"/>
      <c r="D578" s="59"/>
      <c r="E578" s="57"/>
      <c r="F578" s="59"/>
      <c r="G578" s="57"/>
      <c r="H578" s="59"/>
      <c r="I578" s="57"/>
      <c r="J578" s="59"/>
      <c r="K578" s="57"/>
      <c r="L578" s="59"/>
      <c r="M578" s="57"/>
      <c r="N578" s="59"/>
      <c r="O578" s="57"/>
      <c r="P578" s="63"/>
      <c r="Q578" s="57"/>
      <c r="R578" s="57"/>
      <c r="S578" s="57"/>
      <c r="T578" s="57"/>
      <c r="U578" s="57"/>
    </row>
    <row r="579">
      <c r="A579" s="57"/>
      <c r="B579" s="59"/>
      <c r="C579" s="57"/>
      <c r="D579" s="59"/>
      <c r="E579" s="57"/>
      <c r="F579" s="59"/>
      <c r="G579" s="57"/>
      <c r="H579" s="59"/>
      <c r="I579" s="57"/>
      <c r="J579" s="59"/>
      <c r="K579" s="57"/>
      <c r="L579" s="59"/>
      <c r="M579" s="57"/>
      <c r="N579" s="59"/>
      <c r="O579" s="57"/>
      <c r="P579" s="63"/>
      <c r="Q579" s="57"/>
      <c r="R579" s="57"/>
      <c r="S579" s="57"/>
      <c r="T579" s="57"/>
      <c r="U579" s="57"/>
    </row>
    <row r="580">
      <c r="A580" s="57"/>
      <c r="B580" s="59"/>
      <c r="C580" s="57"/>
      <c r="D580" s="59"/>
      <c r="E580" s="57"/>
      <c r="F580" s="59"/>
      <c r="G580" s="57"/>
      <c r="H580" s="59"/>
      <c r="I580" s="57"/>
      <c r="J580" s="59"/>
      <c r="K580" s="57"/>
      <c r="L580" s="59"/>
      <c r="M580" s="57"/>
      <c r="N580" s="59"/>
      <c r="O580" s="57"/>
      <c r="P580" s="63"/>
      <c r="Q580" s="57"/>
      <c r="R580" s="57"/>
      <c r="S580" s="57"/>
      <c r="T580" s="57"/>
      <c r="U580" s="57"/>
    </row>
    <row r="581">
      <c r="A581" s="57"/>
      <c r="B581" s="59"/>
      <c r="C581" s="57"/>
      <c r="D581" s="59"/>
      <c r="E581" s="57"/>
      <c r="F581" s="59"/>
      <c r="G581" s="57"/>
      <c r="H581" s="59"/>
      <c r="I581" s="57"/>
      <c r="J581" s="59"/>
      <c r="K581" s="57"/>
      <c r="L581" s="59"/>
      <c r="M581" s="57"/>
      <c r="N581" s="59"/>
      <c r="O581" s="57"/>
      <c r="P581" s="63"/>
      <c r="Q581" s="57"/>
      <c r="R581" s="57"/>
      <c r="S581" s="57"/>
      <c r="T581" s="57"/>
      <c r="U581" s="57"/>
    </row>
    <row r="582">
      <c r="A582" s="57"/>
      <c r="B582" s="59"/>
      <c r="C582" s="57"/>
      <c r="D582" s="59"/>
      <c r="E582" s="57"/>
      <c r="F582" s="59"/>
      <c r="G582" s="57"/>
      <c r="H582" s="59"/>
      <c r="I582" s="57"/>
      <c r="J582" s="59"/>
      <c r="K582" s="57"/>
      <c r="L582" s="59"/>
      <c r="M582" s="57"/>
      <c r="N582" s="59"/>
      <c r="O582" s="57"/>
      <c r="P582" s="63"/>
      <c r="Q582" s="57"/>
      <c r="R582" s="57"/>
      <c r="S582" s="57"/>
      <c r="T582" s="57"/>
      <c r="U582" s="57"/>
    </row>
    <row r="583">
      <c r="A583" s="57"/>
      <c r="B583" s="59"/>
      <c r="C583" s="57"/>
      <c r="D583" s="59"/>
      <c r="E583" s="57"/>
      <c r="F583" s="59"/>
      <c r="G583" s="57"/>
      <c r="H583" s="59"/>
      <c r="I583" s="57"/>
      <c r="J583" s="59"/>
      <c r="K583" s="57"/>
      <c r="L583" s="59"/>
      <c r="M583" s="57"/>
      <c r="N583" s="59"/>
      <c r="O583" s="57"/>
      <c r="P583" s="63"/>
      <c r="Q583" s="57"/>
      <c r="R583" s="57"/>
      <c r="S583" s="57"/>
      <c r="T583" s="57"/>
      <c r="U583" s="57"/>
    </row>
    <row r="584">
      <c r="A584" s="57"/>
      <c r="B584" s="59"/>
      <c r="C584" s="57"/>
      <c r="D584" s="59"/>
      <c r="E584" s="57"/>
      <c r="F584" s="59"/>
      <c r="G584" s="57"/>
      <c r="H584" s="59"/>
      <c r="I584" s="57"/>
      <c r="J584" s="59"/>
      <c r="K584" s="57"/>
      <c r="L584" s="59"/>
      <c r="M584" s="57"/>
      <c r="N584" s="59"/>
      <c r="O584" s="57"/>
      <c r="P584" s="63"/>
      <c r="Q584" s="57"/>
      <c r="R584" s="57"/>
      <c r="S584" s="57"/>
      <c r="T584" s="57"/>
      <c r="U584" s="57"/>
    </row>
    <row r="585">
      <c r="A585" s="57"/>
      <c r="B585" s="59"/>
      <c r="C585" s="57"/>
      <c r="D585" s="59"/>
      <c r="E585" s="57"/>
      <c r="F585" s="59"/>
      <c r="G585" s="57"/>
      <c r="H585" s="59"/>
      <c r="I585" s="57"/>
      <c r="J585" s="59"/>
      <c r="K585" s="57"/>
      <c r="L585" s="59"/>
      <c r="M585" s="57"/>
      <c r="N585" s="59"/>
      <c r="O585" s="57"/>
      <c r="P585" s="63"/>
      <c r="Q585" s="57"/>
      <c r="R585" s="57"/>
      <c r="S585" s="57"/>
      <c r="T585" s="57"/>
      <c r="U585" s="57"/>
    </row>
    <row r="586">
      <c r="A586" s="57"/>
      <c r="B586" s="59"/>
      <c r="C586" s="57"/>
      <c r="D586" s="59"/>
      <c r="E586" s="57"/>
      <c r="F586" s="59"/>
      <c r="G586" s="57"/>
      <c r="H586" s="59"/>
      <c r="I586" s="57"/>
      <c r="J586" s="59"/>
      <c r="K586" s="57"/>
      <c r="L586" s="59"/>
      <c r="M586" s="57"/>
      <c r="N586" s="59"/>
      <c r="O586" s="57"/>
      <c r="P586" s="63"/>
      <c r="Q586" s="57"/>
      <c r="R586" s="57"/>
      <c r="S586" s="57"/>
      <c r="T586" s="57"/>
      <c r="U586" s="57"/>
    </row>
    <row r="587">
      <c r="A587" s="57"/>
      <c r="B587" s="59"/>
      <c r="C587" s="57"/>
      <c r="D587" s="59"/>
      <c r="E587" s="57"/>
      <c r="F587" s="59"/>
      <c r="G587" s="57"/>
      <c r="H587" s="59"/>
      <c r="I587" s="57"/>
      <c r="J587" s="59"/>
      <c r="K587" s="57"/>
      <c r="L587" s="59"/>
      <c r="M587" s="57"/>
      <c r="N587" s="59"/>
      <c r="O587" s="57"/>
      <c r="P587" s="63"/>
      <c r="Q587" s="57"/>
      <c r="R587" s="57"/>
      <c r="S587" s="57"/>
      <c r="T587" s="57"/>
      <c r="U587" s="57"/>
    </row>
    <row r="588">
      <c r="A588" s="57"/>
      <c r="B588" s="59"/>
      <c r="C588" s="57"/>
      <c r="D588" s="59"/>
      <c r="E588" s="57"/>
      <c r="F588" s="59"/>
      <c r="G588" s="57"/>
      <c r="H588" s="59"/>
      <c r="I588" s="57"/>
      <c r="J588" s="59"/>
      <c r="K588" s="57"/>
      <c r="L588" s="59"/>
      <c r="M588" s="57"/>
      <c r="N588" s="59"/>
      <c r="O588" s="57"/>
      <c r="P588" s="63"/>
      <c r="Q588" s="57"/>
      <c r="R588" s="57"/>
      <c r="S588" s="57"/>
      <c r="T588" s="57"/>
      <c r="U588" s="57"/>
    </row>
    <row r="589">
      <c r="A589" s="57"/>
      <c r="B589" s="59"/>
      <c r="C589" s="57"/>
      <c r="D589" s="59"/>
      <c r="E589" s="57"/>
      <c r="F589" s="59"/>
      <c r="G589" s="57"/>
      <c r="H589" s="59"/>
      <c r="I589" s="57"/>
      <c r="J589" s="59"/>
      <c r="K589" s="57"/>
      <c r="L589" s="59"/>
      <c r="M589" s="57"/>
      <c r="N589" s="59"/>
      <c r="O589" s="57"/>
      <c r="P589" s="63"/>
      <c r="Q589" s="57"/>
      <c r="R589" s="57"/>
      <c r="S589" s="57"/>
      <c r="T589" s="57"/>
      <c r="U589" s="57"/>
    </row>
    <row r="590">
      <c r="A590" s="57"/>
      <c r="B590" s="59"/>
      <c r="C590" s="57"/>
      <c r="D590" s="59"/>
      <c r="E590" s="57"/>
      <c r="F590" s="59"/>
      <c r="G590" s="57"/>
      <c r="H590" s="59"/>
      <c r="I590" s="57"/>
      <c r="J590" s="59"/>
      <c r="K590" s="57"/>
      <c r="L590" s="59"/>
      <c r="M590" s="57"/>
      <c r="N590" s="59"/>
      <c r="O590" s="57"/>
      <c r="P590" s="63"/>
      <c r="Q590" s="57"/>
      <c r="R590" s="57"/>
      <c r="S590" s="57"/>
      <c r="T590" s="57"/>
      <c r="U590" s="57"/>
    </row>
    <row r="591">
      <c r="A591" s="57"/>
      <c r="B591" s="59"/>
      <c r="C591" s="57"/>
      <c r="D591" s="59"/>
      <c r="E591" s="57"/>
      <c r="F591" s="59"/>
      <c r="G591" s="57"/>
      <c r="H591" s="59"/>
      <c r="I591" s="57"/>
      <c r="J591" s="59"/>
      <c r="K591" s="57"/>
      <c r="L591" s="59"/>
      <c r="M591" s="57"/>
      <c r="N591" s="59"/>
      <c r="O591" s="57"/>
      <c r="P591" s="63"/>
      <c r="Q591" s="57"/>
      <c r="R591" s="57"/>
      <c r="S591" s="57"/>
      <c r="T591" s="57"/>
      <c r="U591" s="57"/>
    </row>
    <row r="592">
      <c r="A592" s="57"/>
      <c r="B592" s="59"/>
      <c r="C592" s="57"/>
      <c r="D592" s="59"/>
      <c r="E592" s="57"/>
      <c r="F592" s="59"/>
      <c r="G592" s="57"/>
      <c r="H592" s="59"/>
      <c r="I592" s="57"/>
      <c r="J592" s="59"/>
      <c r="K592" s="57"/>
      <c r="L592" s="59"/>
      <c r="M592" s="57"/>
      <c r="N592" s="59"/>
      <c r="O592" s="57"/>
      <c r="P592" s="63"/>
      <c r="Q592" s="57"/>
      <c r="R592" s="57"/>
      <c r="S592" s="57"/>
      <c r="T592" s="57"/>
      <c r="U592" s="57"/>
    </row>
    <row r="593">
      <c r="A593" s="57"/>
      <c r="B593" s="59"/>
      <c r="C593" s="57"/>
      <c r="D593" s="59"/>
      <c r="E593" s="57"/>
      <c r="F593" s="59"/>
      <c r="G593" s="57"/>
      <c r="H593" s="59"/>
      <c r="I593" s="57"/>
      <c r="J593" s="59"/>
      <c r="K593" s="57"/>
      <c r="L593" s="59"/>
      <c r="M593" s="57"/>
      <c r="N593" s="59"/>
      <c r="O593" s="57"/>
      <c r="P593" s="63"/>
      <c r="Q593" s="57"/>
      <c r="R593" s="57"/>
      <c r="S593" s="57"/>
      <c r="T593" s="57"/>
      <c r="U593" s="57"/>
    </row>
    <row r="594">
      <c r="A594" s="57"/>
      <c r="B594" s="59"/>
      <c r="C594" s="57"/>
      <c r="D594" s="59"/>
      <c r="E594" s="57"/>
      <c r="F594" s="59"/>
      <c r="G594" s="57"/>
      <c r="H594" s="59"/>
      <c r="I594" s="57"/>
      <c r="J594" s="59"/>
      <c r="K594" s="57"/>
      <c r="L594" s="59"/>
      <c r="M594" s="57"/>
      <c r="N594" s="59"/>
      <c r="O594" s="57"/>
      <c r="P594" s="63"/>
      <c r="Q594" s="57"/>
      <c r="R594" s="57"/>
      <c r="S594" s="57"/>
      <c r="T594" s="57"/>
      <c r="U594" s="57"/>
    </row>
    <row r="595">
      <c r="A595" s="57"/>
      <c r="B595" s="59"/>
      <c r="C595" s="57"/>
      <c r="D595" s="59"/>
      <c r="E595" s="57"/>
      <c r="F595" s="59"/>
      <c r="G595" s="57"/>
      <c r="H595" s="59"/>
      <c r="I595" s="57"/>
      <c r="J595" s="59"/>
      <c r="K595" s="57"/>
      <c r="L595" s="59"/>
      <c r="M595" s="57"/>
      <c r="N595" s="59"/>
      <c r="O595" s="57"/>
      <c r="P595" s="63"/>
      <c r="Q595" s="57"/>
      <c r="R595" s="57"/>
      <c r="S595" s="57"/>
      <c r="T595" s="57"/>
      <c r="U595" s="57"/>
    </row>
  </sheetData>
  <mergeCells count="56">
    <mergeCell ref="D35:D36"/>
    <mergeCell ref="E37:E41"/>
    <mergeCell ref="F37:F41"/>
    <mergeCell ref="C41:C42"/>
    <mergeCell ref="D41:D42"/>
    <mergeCell ref="C14:D14"/>
    <mergeCell ref="C18:D18"/>
    <mergeCell ref="C23:C24"/>
    <mergeCell ref="D23:D24"/>
    <mergeCell ref="C29:C30"/>
    <mergeCell ref="D29:D30"/>
    <mergeCell ref="C35:C36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A3:B3"/>
    <mergeCell ref="C3:D3"/>
    <mergeCell ref="E3:F3"/>
    <mergeCell ref="G3:H3"/>
    <mergeCell ref="I3:J3"/>
    <mergeCell ref="K3:L3"/>
    <mergeCell ref="M3:N3"/>
    <mergeCell ref="K12:L12"/>
    <mergeCell ref="M13:M24"/>
    <mergeCell ref="N13:N24"/>
    <mergeCell ref="K22:K29"/>
    <mergeCell ref="L22:L29"/>
    <mergeCell ref="C6:D6"/>
    <mergeCell ref="F7:F9"/>
    <mergeCell ref="G8:H8"/>
    <mergeCell ref="I9:I15"/>
    <mergeCell ref="J9:J15"/>
    <mergeCell ref="C10:D10"/>
    <mergeCell ref="G16:H16"/>
    <mergeCell ref="I25:I35"/>
    <mergeCell ref="J25:J35"/>
    <mergeCell ref="G35:G37"/>
    <mergeCell ref="H35:H37"/>
    <mergeCell ref="E7:E9"/>
    <mergeCell ref="E15:E17"/>
    <mergeCell ref="F15:F17"/>
    <mergeCell ref="G23:G25"/>
    <mergeCell ref="H23:H25"/>
    <mergeCell ref="E25:E29"/>
    <mergeCell ref="F25:F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3" width="21.75"/>
    <col customWidth="1" min="5" max="6" width="6.38"/>
    <col customWidth="1" min="7" max="8" width="18.88"/>
    <col customWidth="1" min="10" max="11" width="6.38"/>
  </cols>
  <sheetData>
    <row r="1" ht="30.0" customHeight="1">
      <c r="A1" s="14" t="str">
        <f>IFERROR(__xludf.DUMMYFUNCTION("importrange(""https://docs.google.com/spreadsheets/d/12IzKdE78PZ-ibDG550MiOi4Nyf49AANMRCUCOwqVMIY/edit?usp=sharing"",""West Seeding!A1:K"")"),"")</f>
        <v/>
      </c>
      <c r="B1" s="18" t="str">
        <f>IFERROR(__xludf.DUMMYFUNCTION("""COMPUTED_VALUE"""),"Winners Bracket")</f>
        <v>Winners Bracket</v>
      </c>
      <c r="F1" s="18"/>
      <c r="G1" s="18" t="str">
        <f>IFERROR(__xludf.DUMMYFUNCTION("""COMPUTED_VALUE"""),"Losers Bracket")</f>
        <v>Losers Bracket</v>
      </c>
      <c r="K1" s="21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>
      <c r="B2" s="18" t="str">
        <f>IFERROR(__xludf.DUMMYFUNCTION("""COMPUTED_VALUE"""),"Division")</f>
        <v>Division</v>
      </c>
      <c r="C2" s="18" t="str">
        <f>IFERROR(__xludf.DUMMYFUNCTION("""COMPUTED_VALUE"""),"Name")</f>
        <v>Name</v>
      </c>
      <c r="D2" s="18" t="str">
        <f>IFERROR(__xludf.DUMMYFUNCTION("""COMPUTED_VALUE"""),"Avg. Score")</f>
        <v>Avg. Score</v>
      </c>
      <c r="E2" s="18" t="str">
        <f>IFERROR(__xludf.DUMMYFUNCTION("""COMPUTED_VALUE"""),"Seed")</f>
        <v>Seed</v>
      </c>
      <c r="G2" s="18" t="str">
        <f>IFERROR(__xludf.DUMMYFUNCTION("""COMPUTED_VALUE"""),"Division")</f>
        <v>Division</v>
      </c>
      <c r="H2" s="18" t="str">
        <f>IFERROR(__xludf.DUMMYFUNCTION("""COMPUTED_VALUE"""),"Name")</f>
        <v>Name</v>
      </c>
      <c r="I2" s="18" t="str">
        <f>IFERROR(__xludf.DUMMYFUNCTION("""COMPUTED_VALUE"""),"Avg. Score")</f>
        <v>Avg. Score</v>
      </c>
      <c r="J2" s="18" t="str">
        <f>IFERROR(__xludf.DUMMYFUNCTION("""COMPUTED_VALUE"""),"Seed")</f>
        <v>Seed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>
      <c r="A3" s="39"/>
      <c r="B3" s="41" t="str">
        <f>IFERROR(__xludf.DUMMYFUNCTION("""COMPUTED_VALUE"""),"Ampere")</f>
        <v>Ampere</v>
      </c>
      <c r="C3" s="39" t="str">
        <f>IFERROR(__xludf.DUMMYFUNCTION("""COMPUTED_VALUE"""),"Enloe A")</f>
        <v>Enloe A</v>
      </c>
      <c r="D3" s="42">
        <f>IFERROR(__xludf.DUMMYFUNCTION("""COMPUTED_VALUE"""),246.0)</f>
        <v>246</v>
      </c>
      <c r="E3" s="41">
        <f>IFERROR(__xludf.DUMMYFUNCTION("""COMPUTED_VALUE"""),1.0)</f>
        <v>1</v>
      </c>
      <c r="F3" s="41"/>
      <c r="G3" s="41" t="str">
        <f>IFERROR(__xludf.DUMMYFUNCTION("""COMPUTED_VALUE"""),"Franklin")</f>
        <v>Franklin</v>
      </c>
      <c r="H3" s="39" t="str">
        <f>IFERROR(__xludf.DUMMYFUNCTION("""COMPUTED_VALUE"""),"Enloe B")</f>
        <v>Enloe B</v>
      </c>
      <c r="I3" s="42">
        <f>IFERROR(__xludf.DUMMYFUNCTION("""COMPUTED_VALUE"""),180.0)</f>
        <v>180</v>
      </c>
      <c r="J3" s="39">
        <f>IFERROR(__xludf.DUMMYFUNCTION("""COMPUTED_VALUE"""),9.0)</f>
        <v>9</v>
      </c>
      <c r="K3" s="41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>
      <c r="B4" s="41" t="str">
        <f>IFERROR(__xludf.DUMMYFUNCTION("""COMPUTED_VALUE"""),"Curie")</f>
        <v>Curie</v>
      </c>
      <c r="C4" s="39" t="str">
        <f>IFERROR(__xludf.DUMMYFUNCTION("""COMPUTED_VALUE"""),"NoHo A")</f>
        <v>NoHo A</v>
      </c>
      <c r="D4" s="42">
        <f>IFERROR(__xludf.DUMMYFUNCTION("""COMPUTED_VALUE"""),207.0)</f>
        <v>207</v>
      </c>
      <c r="E4" s="41">
        <f>IFERROR(__xludf.DUMMYFUNCTION("""COMPUTED_VALUE"""),2.0)</f>
        <v>2</v>
      </c>
      <c r="G4" s="41" t="str">
        <f>IFERROR(__xludf.DUMMYFUNCTION("""COMPUTED_VALUE"""),"Curie")</f>
        <v>Curie</v>
      </c>
      <c r="H4" s="39" t="str">
        <f>IFERROR(__xludf.DUMMYFUNCTION("""COMPUTED_VALUE"""),"Lakeside A")</f>
        <v>Lakeside A</v>
      </c>
      <c r="I4" s="42">
        <f>IFERROR(__xludf.DUMMYFUNCTION("""COMPUTED_VALUE"""),166.5)</f>
        <v>166.5</v>
      </c>
      <c r="J4" s="39">
        <f>IFERROR(__xludf.DUMMYFUNCTION("""COMPUTED_VALUE"""),10.0)</f>
        <v>10</v>
      </c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>
      <c r="B5" s="41" t="str">
        <f>IFERROR(__xludf.DUMMYFUNCTION("""COMPUTED_VALUE"""),"Bohr")</f>
        <v>Bohr</v>
      </c>
      <c r="C5" s="39" t="str">
        <f>IFERROR(__xludf.DUMMYFUNCTION("""COMPUTED_VALUE"""),"MSJ A")</f>
        <v>MSJ A</v>
      </c>
      <c r="D5" s="42">
        <f>IFERROR(__xludf.DUMMYFUNCTION("""COMPUTED_VALUE"""),205.0)</f>
        <v>205</v>
      </c>
      <c r="E5" s="41">
        <f>IFERROR(__xludf.DUMMYFUNCTION("""COMPUTED_VALUE"""),3.0)</f>
        <v>3</v>
      </c>
      <c r="G5" s="41" t="str">
        <f>IFERROR(__xludf.DUMMYFUNCTION("""COMPUTED_VALUE"""),"Darwin")</f>
        <v>Darwin</v>
      </c>
      <c r="H5" s="39" t="str">
        <f>IFERROR(__xludf.DUMMYFUNCTION("""COMPUTED_VALUE"""),"NCSSM A")</f>
        <v>NCSSM A</v>
      </c>
      <c r="I5" s="42">
        <f>IFERROR(__xludf.DUMMYFUNCTION("""COMPUTED_VALUE"""),159.5)</f>
        <v>159.5</v>
      </c>
      <c r="J5" s="39">
        <f>IFERROR(__xludf.DUMMYFUNCTION("""COMPUTED_VALUE"""),11.0)</f>
        <v>11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>
      <c r="B6" s="41" t="str">
        <f>IFERROR(__xludf.DUMMYFUNCTION("""COMPUTED_VALUE"""),"Franklin")</f>
        <v>Franklin</v>
      </c>
      <c r="C6" s="39" t="str">
        <f>IFERROR(__xludf.DUMMYFUNCTION("""COMPUTED_VALUE"""),"Wayzata A")</f>
        <v>Wayzata A</v>
      </c>
      <c r="D6" s="42">
        <f>IFERROR(__xludf.DUMMYFUNCTION("""COMPUTED_VALUE"""),193.5)</f>
        <v>193.5</v>
      </c>
      <c r="E6" s="41">
        <f>IFERROR(__xludf.DUMMYFUNCTION("""COMPUTED_VALUE"""),4.0)</f>
        <v>4</v>
      </c>
      <c r="G6" s="41" t="str">
        <f>IFERROR(__xludf.DUMMYFUNCTION("""COMPUTED_VALUE"""),"Goodall")</f>
        <v>Goodall</v>
      </c>
      <c r="H6" s="39" t="str">
        <f>IFERROR(__xludf.DUMMYFUNCTION("""COMPUTED_VALUE"""),"Venice")</f>
        <v>Venice</v>
      </c>
      <c r="I6" s="42">
        <f>IFERROR(__xludf.DUMMYFUNCTION("""COMPUTED_VALUE"""),152.0)</f>
        <v>152</v>
      </c>
      <c r="J6" s="39">
        <f>IFERROR(__xludf.DUMMYFUNCTION("""COMPUTED_VALUE"""),12.0)</f>
        <v>12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>
      <c r="B7" s="41" t="str">
        <f>IFERROR(__xludf.DUMMYFUNCTION("""COMPUTED_VALUE"""),"Einstein")</f>
        <v>Einstein</v>
      </c>
      <c r="C7" s="39" t="str">
        <f>IFERROR(__xludf.DUMMYFUNCTION("""COMPUTED_VALUE"""),"Tesla STEM A")</f>
        <v>Tesla STEM A</v>
      </c>
      <c r="D7" s="42">
        <f>IFERROR(__xludf.DUMMYFUNCTION("""COMPUTED_VALUE"""),193.0)</f>
        <v>193</v>
      </c>
      <c r="E7" s="41">
        <f>IFERROR(__xludf.DUMMYFUNCTION("""COMPUTED_VALUE"""),5.0)</f>
        <v>5</v>
      </c>
      <c r="G7" s="41" t="str">
        <f>IFERROR(__xludf.DUMMYFUNCTION("""COMPUTED_VALUE"""),"Ampere")</f>
        <v>Ampere</v>
      </c>
      <c r="H7" s="39" t="str">
        <f>IFERROR(__xludf.DUMMYFUNCTION("""COMPUTED_VALUE"""),"Pullman A")</f>
        <v>Pullman A</v>
      </c>
      <c r="I7" s="42">
        <f>IFERROR(__xludf.DUMMYFUNCTION("""COMPUTED_VALUE"""),149.5)</f>
        <v>149.5</v>
      </c>
      <c r="J7" s="39">
        <f>IFERROR(__xludf.DUMMYFUNCTION("""COMPUTED_VALUE"""),13.0)</f>
        <v>13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>
      <c r="B8" s="41" t="str">
        <f>IFERROR(__xludf.DUMMYFUNCTION("""COMPUTED_VALUE"""),"Hawking")</f>
        <v>Hawking</v>
      </c>
      <c r="C8" s="39" t="str">
        <f>IFERROR(__xludf.DUMMYFUNCTION("""COMPUTED_VALUE"""),"Interlake D")</f>
        <v>Interlake D</v>
      </c>
      <c r="D8" s="42">
        <f>IFERROR(__xludf.DUMMYFUNCTION("""COMPUTED_VALUE"""),168.66666666666666)</f>
        <v>168.6666667</v>
      </c>
      <c r="E8" s="41">
        <f>IFERROR(__xludf.DUMMYFUNCTION("""COMPUTED_VALUE"""),6.0)</f>
        <v>6</v>
      </c>
      <c r="G8" s="41" t="str">
        <f>IFERROR(__xludf.DUMMYFUNCTION("""COMPUTED_VALUE"""),"Einstein")</f>
        <v>Einstein</v>
      </c>
      <c r="H8" s="39" t="str">
        <f>IFERROR(__xludf.DUMMYFUNCTION("""COMPUTED_VALUE"""),"MSJ B")</f>
        <v>MSJ B</v>
      </c>
      <c r="I8" s="42">
        <f>IFERROR(__xludf.DUMMYFUNCTION("""COMPUTED_VALUE"""),132.5)</f>
        <v>132.5</v>
      </c>
      <c r="J8" s="39">
        <f>IFERROR(__xludf.DUMMYFUNCTION("""COMPUTED_VALUE"""),14.0)</f>
        <v>14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>
      <c r="B9" s="41" t="str">
        <f>IFERROR(__xludf.DUMMYFUNCTION("""COMPUTED_VALUE"""),"Darwin")</f>
        <v>Darwin</v>
      </c>
      <c r="C9" s="39" t="str">
        <f>IFERROR(__xludf.DUMMYFUNCTION("""COMPUTED_VALUE"""),"Canyon Crest A")</f>
        <v>Canyon Crest A</v>
      </c>
      <c r="D9" s="42">
        <f>IFERROR(__xludf.DUMMYFUNCTION("""COMPUTED_VALUE"""),159.0)</f>
        <v>159</v>
      </c>
      <c r="E9" s="41">
        <f>IFERROR(__xludf.DUMMYFUNCTION("""COMPUTED_VALUE"""),7.0)</f>
        <v>7</v>
      </c>
      <c r="G9" s="41" t="str">
        <f>IFERROR(__xludf.DUMMYFUNCTION("""COMPUTED_VALUE"""),"Hawking")</f>
        <v>Hawking</v>
      </c>
      <c r="H9" s="39" t="str">
        <f>IFERROR(__xludf.DUMMYFUNCTION("""COMPUTED_VALUE"""),"NCSSM B")</f>
        <v>NCSSM B</v>
      </c>
      <c r="I9" s="42">
        <f>IFERROR(__xludf.DUMMYFUNCTION("""COMPUTED_VALUE"""),130.66666666666666)</f>
        <v>130.6666667</v>
      </c>
      <c r="J9" s="39">
        <f>IFERROR(__xludf.DUMMYFUNCTION("""COMPUTED_VALUE"""),15.0)</f>
        <v>15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>
      <c r="B10" s="41" t="str">
        <f>IFERROR(__xludf.DUMMYFUNCTION("""COMPUTED_VALUE"""),"Goodall")</f>
        <v>Goodall</v>
      </c>
      <c r="C10" s="39" t="str">
        <f>IFERROR(__xludf.DUMMYFUNCTION("""COMPUTED_VALUE"""),"Interlake A")</f>
        <v>Interlake A</v>
      </c>
      <c r="D10" s="42">
        <f>IFERROR(__xludf.DUMMYFUNCTION("""COMPUTED_VALUE"""),155.5)</f>
        <v>155.5</v>
      </c>
      <c r="E10" s="41">
        <f>IFERROR(__xludf.DUMMYFUNCTION("""COMPUTED_VALUE"""),8.0)</f>
        <v>8</v>
      </c>
      <c r="G10" s="41" t="str">
        <f>IFERROR(__xludf.DUMMYFUNCTION("""COMPUTED_VALUE"""),"Bohr")</f>
        <v>Bohr</v>
      </c>
      <c r="H10" s="39" t="str">
        <f>IFERROR(__xludf.DUMMYFUNCTION("""COMPUTED_VALUE"""),"Canyon Crest B")</f>
        <v>Canyon Crest B</v>
      </c>
      <c r="I10" s="42">
        <f>IFERROR(__xludf.DUMMYFUNCTION("""COMPUTED_VALUE"""),114.0)</f>
        <v>114</v>
      </c>
      <c r="J10" s="39">
        <f>IFERROR(__xludf.DUMMYFUNCTION("""COMPUTED_VALUE"""),16.0)</f>
        <v>16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ht="37.5" customHeight="1">
      <c r="B11" s="41"/>
      <c r="C11" s="41"/>
      <c r="G11" s="41"/>
      <c r="H11" s="41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>
      <c r="A13" s="39"/>
      <c r="B13" s="18" t="str">
        <f>IFERROR(__xludf.DUMMYFUNCTION("""COMPUTED_VALUE"""),"Winners Bracket")</f>
        <v>Winners Bracket</v>
      </c>
      <c r="F13" s="18"/>
      <c r="G13" s="18" t="str">
        <f>IFERROR(__xludf.DUMMYFUNCTION("""COMPUTED_VALUE"""),"Losers Bracket")</f>
        <v>Losers Bracket</v>
      </c>
      <c r="K13" s="41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>
      <c r="A14" s="41"/>
      <c r="B14" s="18" t="str">
        <f>IFERROR(__xludf.DUMMYFUNCTION("""COMPUTED_VALUE"""),"Division")</f>
        <v>Division</v>
      </c>
      <c r="C14" s="18" t="str">
        <f>IFERROR(__xludf.DUMMYFUNCTION("""COMPUTED_VALUE"""),"Name")</f>
        <v>Name</v>
      </c>
      <c r="D14" s="18" t="str">
        <f>IFERROR(__xludf.DUMMYFUNCTION("""COMPUTED_VALUE"""),"Avg. Score")</f>
        <v>Avg. Score</v>
      </c>
      <c r="E14" s="18"/>
      <c r="G14" s="18" t="str">
        <f>IFERROR(__xludf.DUMMYFUNCTION("""COMPUTED_VALUE"""),"Division")</f>
        <v>Division</v>
      </c>
      <c r="H14" s="18" t="str">
        <f>IFERROR(__xludf.DUMMYFUNCTION("""COMPUTED_VALUE"""),"Name")</f>
        <v>Name</v>
      </c>
      <c r="I14" s="18" t="str">
        <f>IFERROR(__xludf.DUMMYFUNCTION("""COMPUTED_VALUE"""),"Avg. Score")</f>
        <v>Avg. Score</v>
      </c>
      <c r="J14" s="18"/>
      <c r="K14" s="41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>
      <c r="A15" s="41"/>
      <c r="B15" s="39" t="str">
        <f>IFERROR(__xludf.DUMMYFUNCTION("""COMPUTED_VALUE"""),"Ampere")</f>
        <v>Ampere</v>
      </c>
      <c r="C15" s="41" t="str">
        <f>IFERROR(__xludf.DUMMYFUNCTION("""COMPUTED_VALUE"""),"Enloe A")</f>
        <v>Enloe A</v>
      </c>
      <c r="D15" s="100">
        <f>IFERROR(__xludf.DUMMYFUNCTION("""COMPUTED_VALUE"""),246.0)</f>
        <v>246</v>
      </c>
      <c r="E15" s="39"/>
      <c r="F15" s="41"/>
      <c r="G15" s="39" t="str">
        <f>IFERROR(__xludf.DUMMYFUNCTION("""COMPUTED_VALUE"""),"Ampere")</f>
        <v>Ampere</v>
      </c>
      <c r="H15" s="41" t="str">
        <f>IFERROR(__xludf.DUMMYFUNCTION("""COMPUTED_VALUE"""),"Pullman A")</f>
        <v>Pullman A</v>
      </c>
      <c r="I15" s="42">
        <f>IFERROR(__xludf.DUMMYFUNCTION("""COMPUTED_VALUE"""),149.5)</f>
        <v>149.5</v>
      </c>
      <c r="J15" s="41"/>
      <c r="K15" s="41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>
      <c r="A16" s="41"/>
      <c r="B16" s="39" t="str">
        <f>IFERROR(__xludf.DUMMYFUNCTION("""COMPUTED_VALUE"""),"Bohr")</f>
        <v>Bohr</v>
      </c>
      <c r="C16" s="41" t="str">
        <f>IFERROR(__xludf.DUMMYFUNCTION("""COMPUTED_VALUE"""),"MSJ A")</f>
        <v>MSJ A</v>
      </c>
      <c r="D16" s="100">
        <f>IFERROR(__xludf.DUMMYFUNCTION("""COMPUTED_VALUE"""),205.0)</f>
        <v>205</v>
      </c>
      <c r="E16" s="41"/>
      <c r="G16" s="39" t="str">
        <f>IFERROR(__xludf.DUMMYFUNCTION("""COMPUTED_VALUE"""),"Bohr")</f>
        <v>Bohr</v>
      </c>
      <c r="H16" s="41" t="str">
        <f>IFERROR(__xludf.DUMMYFUNCTION("""COMPUTED_VALUE"""),"Canyon Crest B")</f>
        <v>Canyon Crest B</v>
      </c>
      <c r="I16" s="42">
        <f>IFERROR(__xludf.DUMMYFUNCTION("""COMPUTED_VALUE"""),114.0)</f>
        <v>114</v>
      </c>
      <c r="J16" s="41"/>
      <c r="K16" s="41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>
      <c r="A17" s="41"/>
      <c r="B17" s="39" t="str">
        <f>IFERROR(__xludf.DUMMYFUNCTION("""COMPUTED_VALUE"""),"Curie")</f>
        <v>Curie</v>
      </c>
      <c r="C17" s="41" t="str">
        <f>IFERROR(__xludf.DUMMYFUNCTION("""COMPUTED_VALUE"""),"NoHo A")</f>
        <v>NoHo A</v>
      </c>
      <c r="D17" s="100">
        <f>IFERROR(__xludf.DUMMYFUNCTION("""COMPUTED_VALUE"""),207.0)</f>
        <v>207</v>
      </c>
      <c r="E17" s="41"/>
      <c r="G17" s="39" t="str">
        <f>IFERROR(__xludf.DUMMYFUNCTION("""COMPUTED_VALUE"""),"Curie")</f>
        <v>Curie</v>
      </c>
      <c r="H17" s="41" t="str">
        <f>IFERROR(__xludf.DUMMYFUNCTION("""COMPUTED_VALUE"""),"Lakeside A")</f>
        <v>Lakeside A</v>
      </c>
      <c r="I17" s="42">
        <f>IFERROR(__xludf.DUMMYFUNCTION("""COMPUTED_VALUE"""),166.5)</f>
        <v>166.5</v>
      </c>
      <c r="J17" s="41"/>
      <c r="K17" s="41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>
      <c r="A18" s="41"/>
      <c r="B18" s="39" t="str">
        <f>IFERROR(__xludf.DUMMYFUNCTION("""COMPUTED_VALUE"""),"Darwin")</f>
        <v>Darwin</v>
      </c>
      <c r="C18" s="41" t="str">
        <f>IFERROR(__xludf.DUMMYFUNCTION("""COMPUTED_VALUE"""),"Canyon Crest A")</f>
        <v>Canyon Crest A</v>
      </c>
      <c r="D18" s="100">
        <f>IFERROR(__xludf.DUMMYFUNCTION("""COMPUTED_VALUE"""),159.0)</f>
        <v>159</v>
      </c>
      <c r="E18" s="41"/>
      <c r="G18" s="39" t="str">
        <f>IFERROR(__xludf.DUMMYFUNCTION("""COMPUTED_VALUE"""),"Darwin")</f>
        <v>Darwin</v>
      </c>
      <c r="H18" s="41" t="str">
        <f>IFERROR(__xludf.DUMMYFUNCTION("""COMPUTED_VALUE"""),"NCSSM A")</f>
        <v>NCSSM A</v>
      </c>
      <c r="I18" s="42">
        <f>IFERROR(__xludf.DUMMYFUNCTION("""COMPUTED_VALUE"""),159.5)</f>
        <v>159.5</v>
      </c>
      <c r="J18" s="41"/>
      <c r="K18" s="41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>
      <c r="A19" s="41"/>
      <c r="B19" s="127" t="str">
        <f>IFERROR(__xludf.DUMMYFUNCTION("""COMPUTED_VALUE"""),"Einstein")</f>
        <v>Einstein</v>
      </c>
      <c r="C19" s="41" t="str">
        <f>IFERROR(__xludf.DUMMYFUNCTION("""COMPUTED_VALUE"""),"Tesla STEM A")</f>
        <v>Tesla STEM A</v>
      </c>
      <c r="D19" s="100">
        <f>IFERROR(__xludf.DUMMYFUNCTION("""COMPUTED_VALUE"""),193.0)</f>
        <v>193</v>
      </c>
      <c r="E19" s="41"/>
      <c r="G19" s="127" t="str">
        <f>IFERROR(__xludf.DUMMYFUNCTION("""COMPUTED_VALUE"""),"Einstein")</f>
        <v>Einstein</v>
      </c>
      <c r="H19" s="41" t="str">
        <f>IFERROR(__xludf.DUMMYFUNCTION("""COMPUTED_VALUE"""),"MSJ B")</f>
        <v>MSJ B</v>
      </c>
      <c r="I19" s="42">
        <f>IFERROR(__xludf.DUMMYFUNCTION("""COMPUTED_VALUE"""),132.5)</f>
        <v>132.5</v>
      </c>
      <c r="J19" s="41"/>
      <c r="K19" s="41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>
      <c r="A20" s="41"/>
      <c r="B20" s="127" t="str">
        <f>IFERROR(__xludf.DUMMYFUNCTION("""COMPUTED_VALUE"""),"Franklin")</f>
        <v>Franklin</v>
      </c>
      <c r="C20" s="41" t="str">
        <f>IFERROR(__xludf.DUMMYFUNCTION("""COMPUTED_VALUE"""),"Wayzata A")</f>
        <v>Wayzata A</v>
      </c>
      <c r="D20" s="100">
        <f>IFERROR(__xludf.DUMMYFUNCTION("""COMPUTED_VALUE"""),193.5)</f>
        <v>193.5</v>
      </c>
      <c r="E20" s="41"/>
      <c r="G20" s="127" t="str">
        <f>IFERROR(__xludf.DUMMYFUNCTION("""COMPUTED_VALUE"""),"Franklin")</f>
        <v>Franklin</v>
      </c>
      <c r="H20" s="41" t="str">
        <f>IFERROR(__xludf.DUMMYFUNCTION("""COMPUTED_VALUE"""),"Enloe B")</f>
        <v>Enloe B</v>
      </c>
      <c r="I20" s="42">
        <f>IFERROR(__xludf.DUMMYFUNCTION("""COMPUTED_VALUE"""),180.0)</f>
        <v>180</v>
      </c>
      <c r="J20" s="41"/>
      <c r="K20" s="41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>
      <c r="A21" s="41"/>
      <c r="B21" s="127" t="str">
        <f>IFERROR(__xludf.DUMMYFUNCTION("""COMPUTED_VALUE"""),"Goodall")</f>
        <v>Goodall</v>
      </c>
      <c r="C21" s="41" t="str">
        <f>IFERROR(__xludf.DUMMYFUNCTION("""COMPUTED_VALUE"""),"Interlake A")</f>
        <v>Interlake A</v>
      </c>
      <c r="D21" s="100">
        <f>IFERROR(__xludf.DUMMYFUNCTION("""COMPUTED_VALUE"""),155.5)</f>
        <v>155.5</v>
      </c>
      <c r="E21" s="41"/>
      <c r="G21" s="127" t="str">
        <f>IFERROR(__xludf.DUMMYFUNCTION("""COMPUTED_VALUE"""),"Goodall")</f>
        <v>Goodall</v>
      </c>
      <c r="H21" s="41" t="str">
        <f>IFERROR(__xludf.DUMMYFUNCTION("""COMPUTED_VALUE"""),"Venice")</f>
        <v>Venice</v>
      </c>
      <c r="I21" s="42">
        <f>IFERROR(__xludf.DUMMYFUNCTION("""COMPUTED_VALUE"""),152.0)</f>
        <v>152</v>
      </c>
      <c r="J21" s="41"/>
      <c r="K21" s="41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>
      <c r="A22" s="41"/>
      <c r="B22" s="127" t="str">
        <f>IFERROR(__xludf.DUMMYFUNCTION("""COMPUTED_VALUE"""),"Hawking")</f>
        <v>Hawking</v>
      </c>
      <c r="C22" s="41" t="str">
        <f>IFERROR(__xludf.DUMMYFUNCTION("""COMPUTED_VALUE"""),"Interlake D")</f>
        <v>Interlake D</v>
      </c>
      <c r="D22" s="100">
        <f>IFERROR(__xludf.DUMMYFUNCTION("""COMPUTED_VALUE"""),168.66666666666666)</f>
        <v>168.6666667</v>
      </c>
      <c r="E22" s="41"/>
      <c r="G22" s="127" t="str">
        <f>IFERROR(__xludf.DUMMYFUNCTION("""COMPUTED_VALUE"""),"Hawking")</f>
        <v>Hawking</v>
      </c>
      <c r="H22" s="41" t="str">
        <f>IFERROR(__xludf.DUMMYFUNCTION("""COMPUTED_VALUE"""),"NCSSM B")</f>
        <v>NCSSM B</v>
      </c>
      <c r="I22" s="42">
        <f>IFERROR(__xludf.DUMMYFUNCTION("""COMPUTED_VALUE"""),130.66666666666666)</f>
        <v>130.6666667</v>
      </c>
      <c r="J22" s="41"/>
      <c r="K22" s="41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>
      <c r="A23" s="41"/>
      <c r="B23" s="41"/>
      <c r="C23" s="41"/>
      <c r="D23" s="41"/>
      <c r="E23" s="41"/>
      <c r="G23" s="41"/>
      <c r="H23" s="41"/>
      <c r="K23" s="41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</row>
  </sheetData>
  <mergeCells count="15">
    <mergeCell ref="F3:F11"/>
    <mergeCell ref="C11:E11"/>
    <mergeCell ref="B13:E13"/>
    <mergeCell ref="F13:F14"/>
    <mergeCell ref="F15:F23"/>
    <mergeCell ref="H11:J11"/>
    <mergeCell ref="G13:J13"/>
    <mergeCell ref="H23:J23"/>
    <mergeCell ref="A1:A2"/>
    <mergeCell ref="B1:E1"/>
    <mergeCell ref="F1:F2"/>
    <mergeCell ref="G1:J1"/>
    <mergeCell ref="K1:K2"/>
    <mergeCell ref="A3:A11"/>
    <mergeCell ref="K3:K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25"/>
    <col customWidth="1" min="3" max="3" width="16.0"/>
    <col customWidth="1" min="4" max="4" width="6.38"/>
    <col customWidth="1" min="5" max="5" width="3.25"/>
    <col customWidth="1" min="6" max="6" width="6.38"/>
    <col customWidth="1" min="7" max="7" width="3.25"/>
    <col customWidth="1" min="8" max="8" width="6.38"/>
    <col customWidth="1" min="9" max="9" width="3.25"/>
    <col customWidth="1" min="10" max="10" width="6.38"/>
    <col customWidth="1" min="11" max="11" width="3.25"/>
    <col customWidth="1" min="12" max="12" width="6.38"/>
    <col customWidth="1" min="13" max="13" width="3.25"/>
    <col customWidth="1" hidden="1" min="14" max="14" width="6.38"/>
    <col customWidth="1" hidden="1" min="15" max="15" width="3.25"/>
    <col customWidth="1" min="16" max="16" width="3.25"/>
    <col customWidth="1" min="17" max="19" width="5.13"/>
    <col customWidth="1" min="20" max="20" width="9.63"/>
    <col customWidth="1" min="21" max="21" width="6.38"/>
    <col customWidth="1" min="22" max="22" width="10.25"/>
    <col customWidth="1" min="23" max="23" width="6.38"/>
    <col customWidth="1" min="24" max="24" width="3.25"/>
    <col customWidth="1" min="35" max="35" width="16.75"/>
  </cols>
  <sheetData>
    <row r="1" ht="27.75" customHeight="1">
      <c r="A1" s="14"/>
      <c r="B1" s="14"/>
      <c r="C1" s="14" t="str">
        <f>IFERROR(__xludf.DUMMYFUNCTION("importrange(""https://docs.google.com/spreadsheets/d/12IzKdE78PZ-ibDG550MiOi4Nyf49AANMRCUCOwqVMIY/edit?usp=sharing"",""West RR!A1:W"")"),"Each row shows a team's scores and results. The column name is the team they played against.")</f>
        <v>Each row shows a team's scores and results. The column name is the team they played against.</v>
      </c>
      <c r="Y1" s="26"/>
      <c r="Z1" s="29"/>
      <c r="AA1" s="29"/>
      <c r="AB1" s="29"/>
      <c r="AC1" s="32"/>
      <c r="AD1" s="34"/>
      <c r="AE1" s="34"/>
      <c r="AF1" s="34"/>
      <c r="AG1" s="36"/>
      <c r="AH1" s="32"/>
      <c r="AI1" s="34"/>
      <c r="AJ1" s="34"/>
      <c r="AK1" s="36"/>
      <c r="AL1" s="36"/>
      <c r="AM1" s="36"/>
      <c r="AN1" s="36"/>
      <c r="AO1" s="36"/>
      <c r="AP1" s="36"/>
      <c r="AQ1" s="36"/>
      <c r="AR1" s="36"/>
      <c r="AS1" s="36"/>
      <c r="AT1" s="36"/>
    </row>
    <row r="2" ht="18.75" customHeight="1">
      <c r="A2" s="34"/>
      <c r="B2" s="34"/>
      <c r="C2" s="34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47"/>
      <c r="U2" s="36"/>
      <c r="V2" s="36"/>
      <c r="W2" s="48"/>
      <c r="X2" s="50"/>
      <c r="Y2" s="51"/>
      <c r="Z2" s="32"/>
      <c r="AA2" s="32"/>
      <c r="AB2" s="32"/>
      <c r="AC2" s="52"/>
      <c r="AD2" s="53"/>
      <c r="AE2" s="53"/>
      <c r="AF2" s="53"/>
      <c r="AG2" s="54"/>
      <c r="AH2" s="52"/>
      <c r="AI2" s="53"/>
      <c r="AJ2" s="53"/>
      <c r="AK2" s="36"/>
      <c r="AL2" s="34"/>
      <c r="AM2" s="36"/>
      <c r="AN2" s="34"/>
      <c r="AO2" s="36"/>
      <c r="AP2" s="36"/>
      <c r="AQ2" s="36"/>
      <c r="AR2" s="36"/>
      <c r="AS2" s="36"/>
      <c r="AT2" s="36"/>
    </row>
    <row r="3" ht="18.75" customHeight="1">
      <c r="A3" s="55"/>
      <c r="B3" s="55"/>
      <c r="C3" s="55" t="str">
        <f>IFERROR(__xludf.DUMMYFUNCTION("""COMPUTED_VALUE"""),"Ampere")</f>
        <v>Ampere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58"/>
      <c r="U3" s="6"/>
      <c r="V3" s="6"/>
      <c r="W3" s="53"/>
      <c r="X3" s="60"/>
      <c r="Y3" s="61"/>
      <c r="Z3" s="6"/>
      <c r="AA3" s="6"/>
      <c r="AB3" s="6"/>
      <c r="AC3" s="6"/>
      <c r="AD3" s="6"/>
      <c r="AE3" s="62"/>
      <c r="AF3" s="62"/>
      <c r="AG3" s="6"/>
      <c r="AH3" s="62"/>
      <c r="AI3" s="6"/>
      <c r="AJ3" s="64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ht="18.75" customHeight="1">
      <c r="A4" s="36"/>
      <c r="B4" s="67"/>
      <c r="C4" s="71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7"/>
      <c r="Y4" s="78"/>
      <c r="Z4" s="36"/>
      <c r="AA4" s="36"/>
      <c r="AB4" s="36"/>
      <c r="AC4" s="36"/>
      <c r="AD4" s="6"/>
      <c r="AE4" s="34"/>
      <c r="AF4" s="34"/>
      <c r="AG4" s="36"/>
      <c r="AH4" s="34"/>
      <c r="AI4" s="36"/>
      <c r="AJ4" s="80"/>
      <c r="AK4" s="36"/>
      <c r="AL4" s="36"/>
      <c r="AM4" s="36"/>
      <c r="AN4" s="36"/>
      <c r="AO4" s="36"/>
      <c r="AP4" s="36"/>
      <c r="AQ4" s="36"/>
      <c r="AR4" s="36"/>
      <c r="AS4" s="36"/>
      <c r="AT4" s="36"/>
    </row>
    <row r="5" ht="18.75" customHeight="1">
      <c r="A5" s="82"/>
      <c r="B5" s="83"/>
      <c r="C5" s="84" t="str">
        <f>IFERROR(__xludf.DUMMYFUNCTION("""COMPUTED_VALUE"""),"Team")</f>
        <v>Team</v>
      </c>
      <c r="D5" s="34" t="str">
        <f>IFERROR(__xludf.DUMMYFUNCTION("""COMPUTED_VALUE"""),"Enloe A")</f>
        <v>Enloe A</v>
      </c>
      <c r="F5" s="85" t="str">
        <f>IFERROR(__xludf.DUMMYFUNCTION("""COMPUTED_VALUE"""),"Lakeside B")</f>
        <v>Lakeside B</v>
      </c>
      <c r="G5" s="86"/>
      <c r="H5" s="85" t="str">
        <f>IFERROR(__xludf.DUMMYFUNCTION("""COMPUTED_VALUE"""),"Pullman A")</f>
        <v>Pullman A</v>
      </c>
      <c r="I5" s="86"/>
      <c r="J5" s="85" t="str">
        <f>IFERROR(__xludf.DUMMYFUNCTION("""COMPUTED_VALUE"""),"Rock Bridge A")</f>
        <v>Rock Bridge A</v>
      </c>
      <c r="K5" s="86"/>
      <c r="L5" s="85" t="str">
        <f>IFERROR(__xludf.DUMMYFUNCTION("""COMPUTED_VALUE"""),"Roosevelt B")</f>
        <v>Roosevelt B</v>
      </c>
      <c r="M5" s="86"/>
      <c r="N5" s="85" t="str">
        <f>IFERROR(__xludf.DUMMYFUNCTION("""COMPUTED_VALUE"""),"BYE")</f>
        <v>BYE</v>
      </c>
      <c r="O5" s="86"/>
      <c r="P5" s="89"/>
      <c r="Q5" s="93" t="str">
        <f>IFERROR(__xludf.DUMMYFUNCTION("""COMPUTED_VALUE"""),"W")</f>
        <v>W</v>
      </c>
      <c r="R5" s="93" t="str">
        <f>IFERROR(__xludf.DUMMYFUNCTION("""COMPUTED_VALUE"""),"T")</f>
        <v>T</v>
      </c>
      <c r="S5" s="93" t="str">
        <f>IFERROR(__xludf.DUMMYFUNCTION("""COMPUTED_VALUE"""),"L")</f>
        <v>L</v>
      </c>
      <c r="T5" s="95" t="str">
        <f>IFERROR(__xludf.DUMMYFUNCTION("""COMPUTED_VALUE"""),"W/L Score")</f>
        <v>W/L Score</v>
      </c>
      <c r="U5" s="93" t="str">
        <f>IFERROR(__xludf.DUMMYFUNCTION("""COMPUTED_VALUE"""),"Points")</f>
        <v>Points</v>
      </c>
      <c r="V5" s="93" t="str">
        <f>IFERROR(__xludf.DUMMYFUNCTION("""COMPUTED_VALUE"""),"Average")</f>
        <v>Average</v>
      </c>
      <c r="W5" s="97" t="str">
        <f>IFERROR(__xludf.DUMMYFUNCTION("""COMPUTED_VALUE"""),"Rank")</f>
        <v>Rank</v>
      </c>
      <c r="X5" s="98"/>
      <c r="Y5" s="78"/>
      <c r="Z5" s="36"/>
      <c r="AA5" s="36"/>
      <c r="AB5" s="36"/>
      <c r="AC5" s="36"/>
      <c r="AD5" s="6"/>
      <c r="AE5" s="34"/>
      <c r="AF5" s="34"/>
      <c r="AG5" s="36"/>
      <c r="AH5" s="34"/>
      <c r="AI5" s="36"/>
      <c r="AJ5" s="80"/>
      <c r="AK5" s="36"/>
      <c r="AL5" s="36"/>
      <c r="AM5" s="36"/>
      <c r="AN5" s="36"/>
      <c r="AO5" s="36"/>
      <c r="AP5" s="36"/>
      <c r="AQ5" s="36"/>
      <c r="AR5" s="36"/>
      <c r="AS5" s="36"/>
      <c r="AT5" s="36"/>
    </row>
    <row r="6" ht="18.75" customHeight="1">
      <c r="A6" s="101"/>
      <c r="B6" s="83"/>
      <c r="C6" s="103" t="str">
        <f>IFERROR(__xludf.DUMMYFUNCTION("""COMPUTED_VALUE"""),"Enloe A")</f>
        <v>Enloe A</v>
      </c>
      <c r="D6" s="107"/>
      <c r="E6" s="109"/>
      <c r="F6" s="113">
        <f>IFERROR(__xludf.DUMMYFUNCTION("""COMPUTED_VALUE"""),274.0)</f>
        <v>274</v>
      </c>
      <c r="G6" s="115" t="str">
        <f>IFERROR(__xludf.DUMMYFUNCTION("""COMPUTED_VALUE"""),"W")</f>
        <v>W</v>
      </c>
      <c r="H6" s="113">
        <f>IFERROR(__xludf.DUMMYFUNCTION("""COMPUTED_VALUE"""),202.0)</f>
        <v>202</v>
      </c>
      <c r="I6" s="115" t="str">
        <f>IFERROR(__xludf.DUMMYFUNCTION("""COMPUTED_VALUE"""),"W")</f>
        <v>W</v>
      </c>
      <c r="J6" s="113">
        <f>IFERROR(__xludf.DUMMYFUNCTION("""COMPUTED_VALUE"""),256.0)</f>
        <v>256</v>
      </c>
      <c r="K6" s="115" t="str">
        <f>IFERROR(__xludf.DUMMYFUNCTION("""COMPUTED_VALUE"""),"W")</f>
        <v>W</v>
      </c>
      <c r="L6" s="113">
        <f>IFERROR(__xludf.DUMMYFUNCTION("""COMPUTED_VALUE"""),252.0)</f>
        <v>252</v>
      </c>
      <c r="M6" s="118" t="str">
        <f>IFERROR(__xludf.DUMMYFUNCTION("""COMPUTED_VALUE"""),"W")</f>
        <v>W</v>
      </c>
      <c r="N6" s="113" t="str">
        <f>IFERROR(__xludf.DUMMYFUNCTION("""COMPUTED_VALUE"""),"")</f>
        <v/>
      </c>
      <c r="O6" s="118" t="str">
        <f>IFERROR(__xludf.DUMMYFUNCTION("""COMPUTED_VALUE"""),"")</f>
        <v/>
      </c>
      <c r="Q6" s="121">
        <f>IFERROR(__xludf.DUMMYFUNCTION("""COMPUTED_VALUE"""),4.0)</f>
        <v>4</v>
      </c>
      <c r="R6" s="123">
        <f>IFERROR(__xludf.DUMMYFUNCTION("""COMPUTED_VALUE"""),0.0)</f>
        <v>0</v>
      </c>
      <c r="S6" s="123">
        <f>IFERROR(__xludf.DUMMYFUNCTION("""COMPUTED_VALUE"""),0.0)</f>
        <v>0</v>
      </c>
      <c r="T6" s="125">
        <f>IFERROR(__xludf.DUMMYFUNCTION("""COMPUTED_VALUE"""),4.0)</f>
        <v>4</v>
      </c>
      <c r="U6" s="128">
        <f>IFERROR(__xludf.DUMMYFUNCTION("""COMPUTED_VALUE"""),984.0)</f>
        <v>984</v>
      </c>
      <c r="V6" s="129">
        <f>IFERROR(__xludf.DUMMYFUNCTION("""COMPUTED_VALUE"""),246.0)</f>
        <v>246</v>
      </c>
      <c r="W6" s="130" t="str">
        <f>IFERROR(__xludf.DUMMYFUNCTION("""COMPUTED_VALUE"""),"1")</f>
        <v>1</v>
      </c>
      <c r="X6" s="131" t="str">
        <f>IFERROR(__xludf.DUMMYFUNCTION("""COMPUTED_VALUE"""),"Enloe A")</f>
        <v>Enloe A</v>
      </c>
      <c r="Y6" s="132">
        <f>IFERROR(__xludf.DUMMYFUNCTION("""COMPUTED_VALUE"""),246.0)</f>
        <v>246</v>
      </c>
      <c r="Z6" s="36"/>
      <c r="AA6" s="36"/>
      <c r="AB6" s="36"/>
      <c r="AC6" s="36"/>
      <c r="AD6" s="6"/>
      <c r="AE6" s="34"/>
      <c r="AF6" s="34"/>
      <c r="AG6" s="36"/>
      <c r="AH6" s="34"/>
      <c r="AI6" s="36"/>
      <c r="AJ6" s="80"/>
      <c r="AK6" s="133"/>
      <c r="AL6" s="36"/>
      <c r="AM6" s="36"/>
      <c r="AN6" s="36"/>
      <c r="AO6" s="36"/>
      <c r="AP6" s="36"/>
      <c r="AQ6" s="36"/>
      <c r="AR6" s="36"/>
      <c r="AS6" s="36"/>
      <c r="AT6" s="36"/>
    </row>
    <row r="7" ht="18.75" customHeight="1">
      <c r="A7" s="34"/>
      <c r="B7" s="83"/>
      <c r="C7" s="134" t="str">
        <f>IFERROR(__xludf.DUMMYFUNCTION("""COMPUTED_VALUE"""),"Lakeside B")</f>
        <v>Lakeside B</v>
      </c>
      <c r="D7" s="136">
        <f>IFERROR(__xludf.DUMMYFUNCTION("""COMPUTED_VALUE"""),8.0)</f>
        <v>8</v>
      </c>
      <c r="E7" s="137" t="str">
        <f>IFERROR(__xludf.DUMMYFUNCTION("""COMPUTED_VALUE"""),"L")</f>
        <v>L</v>
      </c>
      <c r="F7" s="138"/>
      <c r="G7" s="140"/>
      <c r="H7" s="113">
        <f>IFERROR(__xludf.DUMMYFUNCTION("""COMPUTED_VALUE"""),8.0)</f>
        <v>8</v>
      </c>
      <c r="I7" s="137" t="str">
        <f>IFERROR(__xludf.DUMMYFUNCTION("""COMPUTED_VALUE"""),"L")</f>
        <v>L</v>
      </c>
      <c r="J7" s="113">
        <f>IFERROR(__xludf.DUMMYFUNCTION("""COMPUTED_VALUE"""),28.0)</f>
        <v>28</v>
      </c>
      <c r="K7" s="137" t="str">
        <f>IFERROR(__xludf.DUMMYFUNCTION("""COMPUTED_VALUE"""),"W")</f>
        <v>W</v>
      </c>
      <c r="L7" s="113">
        <f>IFERROR(__xludf.DUMMYFUNCTION("""COMPUTED_VALUE"""),48.0)</f>
        <v>48</v>
      </c>
      <c r="M7" s="141" t="str">
        <f>IFERROR(__xludf.DUMMYFUNCTION("""COMPUTED_VALUE"""),"L")</f>
        <v>L</v>
      </c>
      <c r="N7" s="113" t="str">
        <f>IFERROR(__xludf.DUMMYFUNCTION("""COMPUTED_VALUE"""),"")</f>
        <v/>
      </c>
      <c r="O7" s="118" t="str">
        <f>IFERROR(__xludf.DUMMYFUNCTION("""COMPUTED_VALUE"""),"")</f>
        <v/>
      </c>
      <c r="Q7" s="121">
        <f>IFERROR(__xludf.DUMMYFUNCTION("""COMPUTED_VALUE"""),1.0)</f>
        <v>1</v>
      </c>
      <c r="R7" s="123">
        <f>IFERROR(__xludf.DUMMYFUNCTION("""COMPUTED_VALUE"""),0.0)</f>
        <v>0</v>
      </c>
      <c r="S7" s="123">
        <f>IFERROR(__xludf.DUMMYFUNCTION("""COMPUTED_VALUE"""),3.0)</f>
        <v>3</v>
      </c>
      <c r="T7" s="125">
        <f>IFERROR(__xludf.DUMMYFUNCTION("""COMPUTED_VALUE"""),1.0)</f>
        <v>1</v>
      </c>
      <c r="U7" s="128">
        <f>IFERROR(__xludf.DUMMYFUNCTION("""COMPUTED_VALUE"""),92.0)</f>
        <v>92</v>
      </c>
      <c r="V7" s="129">
        <f>IFERROR(__xludf.DUMMYFUNCTION("""COMPUTED_VALUE"""),23.0)</f>
        <v>23</v>
      </c>
      <c r="W7" s="130" t="str">
        <f>IFERROR(__xludf.DUMMYFUNCTION("""COMPUTED_VALUE"""),"4")</f>
        <v>4</v>
      </c>
      <c r="X7" s="131" t="str">
        <f>IFERROR(__xludf.DUMMYFUNCTION("""COMPUTED_VALUE"""),"Lakeside B")</f>
        <v>Lakeside B</v>
      </c>
      <c r="Y7" s="132">
        <f>IFERROR(__xludf.DUMMYFUNCTION("""COMPUTED_VALUE"""),23.0)</f>
        <v>23</v>
      </c>
      <c r="Z7" s="36"/>
      <c r="AA7" s="36"/>
      <c r="AB7" s="36"/>
      <c r="AC7" s="36"/>
      <c r="AD7" s="6"/>
      <c r="AE7" s="34"/>
      <c r="AF7" s="34"/>
      <c r="AG7" s="36"/>
      <c r="AH7" s="34"/>
      <c r="AI7" s="36"/>
      <c r="AJ7" s="80"/>
      <c r="AK7" s="36"/>
      <c r="AL7" s="36"/>
      <c r="AM7" s="36"/>
      <c r="AN7" s="36"/>
      <c r="AO7" s="36"/>
      <c r="AP7" s="36"/>
      <c r="AQ7" s="36"/>
      <c r="AR7" s="36"/>
      <c r="AS7" s="36"/>
      <c r="AT7" s="36"/>
    </row>
    <row r="8" ht="18.75" customHeight="1">
      <c r="A8" s="34"/>
      <c r="B8" s="83"/>
      <c r="C8" s="134" t="str">
        <f>IFERROR(__xludf.DUMMYFUNCTION("""COMPUTED_VALUE"""),"Pullman A")</f>
        <v>Pullman A</v>
      </c>
      <c r="D8" s="136">
        <f>IFERROR(__xludf.DUMMYFUNCTION("""COMPUTED_VALUE"""),62.0)</f>
        <v>62</v>
      </c>
      <c r="E8" s="137" t="str">
        <f>IFERROR(__xludf.DUMMYFUNCTION("""COMPUTED_VALUE"""),"L")</f>
        <v>L</v>
      </c>
      <c r="F8" s="142">
        <f>IFERROR(__xludf.DUMMYFUNCTION("""COMPUTED_VALUE"""),180.0)</f>
        <v>180</v>
      </c>
      <c r="G8" s="137" t="str">
        <f>IFERROR(__xludf.DUMMYFUNCTION("""COMPUTED_VALUE"""),"W")</f>
        <v>W</v>
      </c>
      <c r="H8" s="138"/>
      <c r="I8" s="140"/>
      <c r="J8" s="113">
        <f>IFERROR(__xludf.DUMMYFUNCTION("""COMPUTED_VALUE"""),212.0)</f>
        <v>212</v>
      </c>
      <c r="K8" s="137" t="str">
        <f>IFERROR(__xludf.DUMMYFUNCTION("""COMPUTED_VALUE"""),"W")</f>
        <v>W</v>
      </c>
      <c r="L8" s="113">
        <f>IFERROR(__xludf.DUMMYFUNCTION("""COMPUTED_VALUE"""),144.0)</f>
        <v>144</v>
      </c>
      <c r="M8" s="141" t="str">
        <f>IFERROR(__xludf.DUMMYFUNCTION("""COMPUTED_VALUE"""),"W")</f>
        <v>W</v>
      </c>
      <c r="N8" s="113" t="str">
        <f>IFERROR(__xludf.DUMMYFUNCTION("""COMPUTED_VALUE"""),"")</f>
        <v/>
      </c>
      <c r="O8" s="118" t="str">
        <f>IFERROR(__xludf.DUMMYFUNCTION("""COMPUTED_VALUE"""),"")</f>
        <v/>
      </c>
      <c r="Q8" s="121">
        <f>IFERROR(__xludf.DUMMYFUNCTION("""COMPUTED_VALUE"""),3.0)</f>
        <v>3</v>
      </c>
      <c r="R8" s="123">
        <f>IFERROR(__xludf.DUMMYFUNCTION("""COMPUTED_VALUE"""),0.0)</f>
        <v>0</v>
      </c>
      <c r="S8" s="123">
        <f>IFERROR(__xludf.DUMMYFUNCTION("""COMPUTED_VALUE"""),1.0)</f>
        <v>1</v>
      </c>
      <c r="T8" s="125">
        <f>IFERROR(__xludf.DUMMYFUNCTION("""COMPUTED_VALUE"""),3.0)</f>
        <v>3</v>
      </c>
      <c r="U8" s="128">
        <f>IFERROR(__xludf.DUMMYFUNCTION("""COMPUTED_VALUE"""),598.0)</f>
        <v>598</v>
      </c>
      <c r="V8" s="129">
        <f>IFERROR(__xludf.DUMMYFUNCTION("""COMPUTED_VALUE"""),149.5)</f>
        <v>149.5</v>
      </c>
      <c r="W8" s="130" t="str">
        <f>IFERROR(__xludf.DUMMYFUNCTION("""COMPUTED_VALUE"""),"2")</f>
        <v>2</v>
      </c>
      <c r="X8" s="131" t="str">
        <f>IFERROR(__xludf.DUMMYFUNCTION("""COMPUTED_VALUE"""),"Pullman A")</f>
        <v>Pullman A</v>
      </c>
      <c r="Y8" s="132">
        <f>IFERROR(__xludf.DUMMYFUNCTION("""COMPUTED_VALUE"""),149.5)</f>
        <v>149.5</v>
      </c>
      <c r="Z8" s="36"/>
      <c r="AA8" s="36"/>
      <c r="AB8" s="36"/>
      <c r="AC8" s="36"/>
      <c r="AD8" s="6"/>
      <c r="AE8" s="34"/>
      <c r="AF8" s="34"/>
      <c r="AG8" s="36"/>
      <c r="AH8" s="34"/>
      <c r="AI8" s="36"/>
      <c r="AJ8" s="80"/>
      <c r="AK8" s="36"/>
      <c r="AL8" s="36"/>
      <c r="AM8" s="36"/>
      <c r="AN8" s="36"/>
      <c r="AO8" s="36"/>
      <c r="AP8" s="36"/>
      <c r="AQ8" s="36"/>
      <c r="AR8" s="36"/>
      <c r="AS8" s="36"/>
      <c r="AT8" s="36"/>
    </row>
    <row r="9" ht="18.75" customHeight="1">
      <c r="A9" s="34"/>
      <c r="B9" s="83"/>
      <c r="C9" s="134" t="str">
        <f>IFERROR(__xludf.DUMMYFUNCTION("""COMPUTED_VALUE"""),"Rock Bridge A")</f>
        <v>Rock Bridge A</v>
      </c>
      <c r="D9" s="136">
        <f>IFERROR(__xludf.DUMMYFUNCTION("""COMPUTED_VALUE"""),34.0)</f>
        <v>34</v>
      </c>
      <c r="E9" s="137" t="str">
        <f>IFERROR(__xludf.DUMMYFUNCTION("""COMPUTED_VALUE"""),"L")</f>
        <v>L</v>
      </c>
      <c r="F9" s="142">
        <f>IFERROR(__xludf.DUMMYFUNCTION("""COMPUTED_VALUE"""),26.0)</f>
        <v>26</v>
      </c>
      <c r="G9" s="137" t="str">
        <f>IFERROR(__xludf.DUMMYFUNCTION("""COMPUTED_VALUE"""),"L")</f>
        <v>L</v>
      </c>
      <c r="H9" s="142">
        <f>IFERROR(__xludf.DUMMYFUNCTION("""COMPUTED_VALUE"""),18.0)</f>
        <v>18</v>
      </c>
      <c r="I9" s="137" t="str">
        <f>IFERROR(__xludf.DUMMYFUNCTION("""COMPUTED_VALUE"""),"L")</f>
        <v>L</v>
      </c>
      <c r="J9" s="138"/>
      <c r="K9" s="140"/>
      <c r="L9" s="113">
        <f>IFERROR(__xludf.DUMMYFUNCTION("""COMPUTED_VALUE"""),20.0)</f>
        <v>20</v>
      </c>
      <c r="M9" s="141" t="str">
        <f>IFERROR(__xludf.DUMMYFUNCTION("""COMPUTED_VALUE"""),"L")</f>
        <v>L</v>
      </c>
      <c r="N9" s="113" t="str">
        <f>IFERROR(__xludf.DUMMYFUNCTION("""COMPUTED_VALUE"""),"")</f>
        <v/>
      </c>
      <c r="O9" s="118" t="str">
        <f>IFERROR(__xludf.DUMMYFUNCTION("""COMPUTED_VALUE"""),"")</f>
        <v/>
      </c>
      <c r="Q9" s="121">
        <f>IFERROR(__xludf.DUMMYFUNCTION("""COMPUTED_VALUE"""),0.0)</f>
        <v>0</v>
      </c>
      <c r="R9" s="123">
        <f>IFERROR(__xludf.DUMMYFUNCTION("""COMPUTED_VALUE"""),0.0)</f>
        <v>0</v>
      </c>
      <c r="S9" s="123">
        <f>IFERROR(__xludf.DUMMYFUNCTION("""COMPUTED_VALUE"""),4.0)</f>
        <v>4</v>
      </c>
      <c r="T9" s="125">
        <f>IFERROR(__xludf.DUMMYFUNCTION("""COMPUTED_VALUE"""),0.0)</f>
        <v>0</v>
      </c>
      <c r="U9" s="128">
        <f>IFERROR(__xludf.DUMMYFUNCTION("""COMPUTED_VALUE"""),98.0)</f>
        <v>98</v>
      </c>
      <c r="V9" s="129">
        <f>IFERROR(__xludf.DUMMYFUNCTION("""COMPUTED_VALUE"""),24.5)</f>
        <v>24.5</v>
      </c>
      <c r="W9" s="130" t="str">
        <f>IFERROR(__xludf.DUMMYFUNCTION("""COMPUTED_VALUE"""),"5")</f>
        <v>5</v>
      </c>
      <c r="X9" s="131" t="str">
        <f>IFERROR(__xludf.DUMMYFUNCTION("""COMPUTED_VALUE"""),"Rock Bridge A")</f>
        <v>Rock Bridge A</v>
      </c>
      <c r="Y9" s="132">
        <f>IFERROR(__xludf.DUMMYFUNCTION("""COMPUTED_VALUE"""),24.5)</f>
        <v>24.5</v>
      </c>
      <c r="Z9" s="36"/>
      <c r="AA9" s="36"/>
      <c r="AB9" s="36"/>
      <c r="AC9" s="36"/>
      <c r="AD9" s="6"/>
      <c r="AE9" s="34"/>
      <c r="AF9" s="34"/>
      <c r="AG9" s="36"/>
      <c r="AH9" s="34"/>
      <c r="AI9" s="36"/>
      <c r="AJ9" s="80"/>
      <c r="AK9" s="36"/>
      <c r="AL9" s="36"/>
      <c r="AM9" s="36"/>
      <c r="AN9" s="36"/>
      <c r="AO9" s="36"/>
      <c r="AP9" s="36"/>
      <c r="AQ9" s="36"/>
      <c r="AR9" s="36"/>
      <c r="AS9" s="36"/>
      <c r="AT9" s="36"/>
    </row>
    <row r="10" ht="18.75" customHeight="1">
      <c r="A10" s="34"/>
      <c r="B10" s="83"/>
      <c r="C10" s="134" t="str">
        <f>IFERROR(__xludf.DUMMYFUNCTION("""COMPUTED_VALUE"""),"Roosevelt B")</f>
        <v>Roosevelt B</v>
      </c>
      <c r="D10" s="136">
        <f>IFERROR(__xludf.DUMMYFUNCTION("""COMPUTED_VALUE"""),12.0)</f>
        <v>12</v>
      </c>
      <c r="E10" s="143" t="str">
        <f>IFERROR(__xludf.DUMMYFUNCTION("""COMPUTED_VALUE"""),"L")</f>
        <v>L</v>
      </c>
      <c r="F10" s="142">
        <f>IFERROR(__xludf.DUMMYFUNCTION("""COMPUTED_VALUE"""),52.0)</f>
        <v>52</v>
      </c>
      <c r="G10" s="143" t="str">
        <f>IFERROR(__xludf.DUMMYFUNCTION("""COMPUTED_VALUE"""),"W")</f>
        <v>W</v>
      </c>
      <c r="H10" s="142">
        <f>IFERROR(__xludf.DUMMYFUNCTION("""COMPUTED_VALUE"""),22.0)</f>
        <v>22</v>
      </c>
      <c r="I10" s="143" t="str">
        <f>IFERROR(__xludf.DUMMYFUNCTION("""COMPUTED_VALUE"""),"L")</f>
        <v>L</v>
      </c>
      <c r="J10" s="142">
        <f>IFERROR(__xludf.DUMMYFUNCTION("""COMPUTED_VALUE"""),52.0)</f>
        <v>52</v>
      </c>
      <c r="K10" s="143" t="str">
        <f>IFERROR(__xludf.DUMMYFUNCTION("""COMPUTED_VALUE"""),"W")</f>
        <v>W</v>
      </c>
      <c r="L10" s="144"/>
      <c r="M10" s="145"/>
      <c r="N10" s="113" t="str">
        <f>IFERROR(__xludf.DUMMYFUNCTION("""COMPUTED_VALUE"""),"")</f>
        <v/>
      </c>
      <c r="O10" s="118" t="str">
        <f>IFERROR(__xludf.DUMMYFUNCTION("""COMPUTED_VALUE"""),"")</f>
        <v/>
      </c>
      <c r="Q10" s="121">
        <f>IFERROR(__xludf.DUMMYFUNCTION("""COMPUTED_VALUE"""),2.0)</f>
        <v>2</v>
      </c>
      <c r="R10" s="123">
        <f>IFERROR(__xludf.DUMMYFUNCTION("""COMPUTED_VALUE"""),0.0)</f>
        <v>0</v>
      </c>
      <c r="S10" s="123">
        <f>IFERROR(__xludf.DUMMYFUNCTION("""COMPUTED_VALUE"""),2.0)</f>
        <v>2</v>
      </c>
      <c r="T10" s="125">
        <f>IFERROR(__xludf.DUMMYFUNCTION("""COMPUTED_VALUE"""),2.0)</f>
        <v>2</v>
      </c>
      <c r="U10" s="128">
        <f>IFERROR(__xludf.DUMMYFUNCTION("""COMPUTED_VALUE"""),138.0)</f>
        <v>138</v>
      </c>
      <c r="V10" s="129">
        <f>IFERROR(__xludf.DUMMYFUNCTION("""COMPUTED_VALUE"""),34.5)</f>
        <v>34.5</v>
      </c>
      <c r="W10" s="146" t="str">
        <f>IFERROR(__xludf.DUMMYFUNCTION("""COMPUTED_VALUE"""),"3")</f>
        <v>3</v>
      </c>
      <c r="X10" s="131" t="str">
        <f>IFERROR(__xludf.DUMMYFUNCTION("""COMPUTED_VALUE"""),"Roosevelt B")</f>
        <v>Roosevelt B</v>
      </c>
      <c r="Y10" s="132">
        <f>IFERROR(__xludf.DUMMYFUNCTION("""COMPUTED_VALUE"""),34.5)</f>
        <v>34.5</v>
      </c>
      <c r="Z10" s="36"/>
      <c r="AA10" s="36"/>
      <c r="AB10" s="36"/>
      <c r="AC10" s="36"/>
      <c r="AD10" s="6"/>
      <c r="AE10" s="34"/>
      <c r="AF10" s="34"/>
      <c r="AG10" s="36"/>
      <c r="AH10" s="34"/>
      <c r="AI10" s="36"/>
      <c r="AJ10" s="80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 ht="18.75" hidden="1" customHeight="1">
      <c r="A11" s="34"/>
      <c r="B11" s="83"/>
      <c r="C11" s="134" t="str">
        <f>IFERROR(__xludf.DUMMYFUNCTION("""COMPUTED_VALUE"""),"BYE")</f>
        <v>BYE</v>
      </c>
      <c r="D11" s="136" t="str">
        <f>IFERROR(__xludf.DUMMYFUNCTION("""COMPUTED_VALUE"""),"")</f>
        <v/>
      </c>
      <c r="E11" s="143" t="str">
        <f>IFERROR(__xludf.DUMMYFUNCTION("""COMPUTED_VALUE"""),"")</f>
        <v/>
      </c>
      <c r="F11" s="142" t="str">
        <f>IFERROR(__xludf.DUMMYFUNCTION("""COMPUTED_VALUE"""),"")</f>
        <v/>
      </c>
      <c r="G11" s="143" t="str">
        <f>IFERROR(__xludf.DUMMYFUNCTION("""COMPUTED_VALUE"""),"")</f>
        <v/>
      </c>
      <c r="H11" s="142" t="str">
        <f>IFERROR(__xludf.DUMMYFUNCTION("""COMPUTED_VALUE"""),"")</f>
        <v/>
      </c>
      <c r="I11" s="137" t="str">
        <f>IFERROR(__xludf.DUMMYFUNCTION("""COMPUTED_VALUE"""),"")</f>
        <v/>
      </c>
      <c r="J11" s="142" t="str">
        <f>IFERROR(__xludf.DUMMYFUNCTION("""COMPUTED_VALUE"""),"")</f>
        <v/>
      </c>
      <c r="K11" s="143" t="str">
        <f>IFERROR(__xludf.DUMMYFUNCTION("""COMPUTED_VALUE"""),"")</f>
        <v/>
      </c>
      <c r="L11" s="142" t="str">
        <f>IFERROR(__xludf.DUMMYFUNCTION("""COMPUTED_VALUE"""),"")</f>
        <v/>
      </c>
      <c r="M11" s="143" t="str">
        <f>IFERROR(__xludf.DUMMYFUNCTION("""COMPUTED_VALUE"""),"")</f>
        <v/>
      </c>
      <c r="N11" s="147"/>
      <c r="O11" s="148"/>
      <c r="P11" s="89"/>
      <c r="Q11" s="121">
        <f>IFERROR(__xludf.DUMMYFUNCTION("""COMPUTED_VALUE"""),0.0)</f>
        <v>0</v>
      </c>
      <c r="R11" s="123">
        <f>IFERROR(__xludf.DUMMYFUNCTION("""COMPUTED_VALUE"""),0.0)</f>
        <v>0</v>
      </c>
      <c r="S11" s="123">
        <f>IFERROR(__xludf.DUMMYFUNCTION("""COMPUTED_VALUE"""),0.0)</f>
        <v>0</v>
      </c>
      <c r="T11" s="125">
        <f>IFERROR(__xludf.DUMMYFUNCTION("""COMPUTED_VALUE"""),0.0)</f>
        <v>0</v>
      </c>
      <c r="U11" s="128">
        <f>IFERROR(__xludf.DUMMYFUNCTION("""COMPUTED_VALUE"""),0.0)</f>
        <v>0</v>
      </c>
      <c r="V11" s="129" t="str">
        <f>IFERROR(__xludf.DUMMYFUNCTION("""COMPUTED_VALUE"""),"")</f>
        <v/>
      </c>
      <c r="W11" s="149"/>
      <c r="X11" s="131" t="str">
        <f>IFERROR(__xludf.DUMMYFUNCTION("""COMPUTED_VALUE"""),"BYE")</f>
        <v>BYE</v>
      </c>
      <c r="Y11" s="132" t="str">
        <f>IFERROR(__xludf.DUMMYFUNCTION("""COMPUTED_VALUE"""),"")</f>
        <v/>
      </c>
      <c r="Z11" s="36"/>
      <c r="AA11" s="36"/>
      <c r="AB11" s="36"/>
      <c r="AC11" s="36"/>
      <c r="AD11" s="53"/>
      <c r="AE11" s="34"/>
      <c r="AF11" s="34"/>
      <c r="AG11" s="36"/>
      <c r="AH11" s="34"/>
      <c r="AI11" s="36"/>
      <c r="AJ11" s="80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ht="18.75" customHeight="1">
      <c r="A12" s="36"/>
      <c r="B12" s="150"/>
      <c r="C12" s="151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52"/>
      <c r="Y12" s="78"/>
      <c r="Z12" s="36"/>
      <c r="AA12" s="36"/>
      <c r="AB12" s="36"/>
      <c r="AC12" s="36"/>
      <c r="AD12" s="6"/>
      <c r="AE12" s="34"/>
      <c r="AF12" s="34"/>
      <c r="AG12" s="36"/>
      <c r="AH12" s="34"/>
      <c r="AI12" s="36"/>
      <c r="AJ12" s="80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ht="18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47"/>
      <c r="U13" s="36"/>
      <c r="V13" s="36"/>
      <c r="W13" s="48"/>
      <c r="X13" s="50"/>
      <c r="Y13" s="78"/>
      <c r="Z13" s="36"/>
      <c r="AA13" s="36"/>
      <c r="AB13" s="36"/>
      <c r="AC13" s="36"/>
      <c r="AD13" s="6"/>
      <c r="AE13" s="34"/>
      <c r="AF13" s="34"/>
      <c r="AG13" s="36"/>
      <c r="AH13" s="34"/>
      <c r="AI13" s="36"/>
      <c r="AJ13" s="80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ht="18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153"/>
      <c r="U14" s="36"/>
      <c r="V14" s="36"/>
      <c r="W14" s="48"/>
      <c r="X14" s="50"/>
      <c r="Y14" s="78"/>
      <c r="Z14" s="36"/>
      <c r="AA14" s="36"/>
      <c r="AB14" s="36"/>
      <c r="AC14" s="36"/>
      <c r="AD14" s="53"/>
      <c r="AE14" s="34"/>
      <c r="AF14" s="34"/>
      <c r="AG14" s="36"/>
      <c r="AH14" s="34"/>
      <c r="AI14" s="36"/>
      <c r="AJ14" s="80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ht="18.75" customHeight="1">
      <c r="A15" s="55"/>
      <c r="B15" s="55"/>
      <c r="C15" s="55" t="str">
        <f>IFERROR(__xludf.DUMMYFUNCTION("""COMPUTED_VALUE"""),"Bohr")</f>
        <v>Bohr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58"/>
      <c r="U15" s="6"/>
      <c r="V15" s="6"/>
      <c r="W15" s="53"/>
      <c r="X15" s="60"/>
      <c r="Y15" s="78"/>
      <c r="Z15" s="36"/>
      <c r="AA15" s="36"/>
      <c r="AB15" s="36"/>
      <c r="AC15" s="36"/>
      <c r="AD15" s="53"/>
      <c r="AE15" s="34"/>
      <c r="AF15" s="34"/>
      <c r="AG15" s="36"/>
      <c r="AH15" s="34"/>
      <c r="AI15" s="36"/>
      <c r="AJ15" s="80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 ht="18.75" customHeight="1">
      <c r="A16" s="36"/>
      <c r="B16" s="67"/>
      <c r="C16" s="71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7"/>
      <c r="Y16" s="78"/>
      <c r="Z16" s="36"/>
      <c r="AA16" s="36"/>
      <c r="AB16" s="36"/>
      <c r="AC16" s="36"/>
      <c r="AD16" s="53"/>
      <c r="AE16" s="34"/>
      <c r="AF16" s="34"/>
      <c r="AG16" s="36"/>
      <c r="AH16" s="34"/>
      <c r="AI16" s="36"/>
      <c r="AJ16" s="80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ht="18.75" customHeight="1">
      <c r="A17" s="82"/>
      <c r="B17" s="83"/>
      <c r="C17" s="84" t="str">
        <f>IFERROR(__xludf.DUMMYFUNCTION("""COMPUTED_VALUE"""),"Team")</f>
        <v>Team</v>
      </c>
      <c r="D17" s="34" t="str">
        <f>IFERROR(__xludf.DUMMYFUNCTION("""COMPUTED_VALUE"""),"Canyon Crest B")</f>
        <v>Canyon Crest B</v>
      </c>
      <c r="F17" s="85" t="str">
        <f>IFERROR(__xludf.DUMMYFUNCTION("""COMPUTED_VALUE"""),"MSJ A")</f>
        <v>MSJ A</v>
      </c>
      <c r="G17" s="86"/>
      <c r="H17" s="85" t="str">
        <f>IFERROR(__xludf.DUMMYFUNCTION("""COMPUTED_VALUE"""),"North ID STEM")</f>
        <v>North ID STEM</v>
      </c>
      <c r="I17" s="86"/>
      <c r="J17" s="85" t="str">
        <f>IFERROR(__xludf.DUMMYFUNCTION("""COMPUTED_VALUE"""),"Pali")</f>
        <v>Pali</v>
      </c>
      <c r="K17" s="86"/>
      <c r="L17" s="85" t="str">
        <f>IFERROR(__xludf.DUMMYFUNCTION("""COMPUTED_VALUE"""),"Rock Bridge B")</f>
        <v>Rock Bridge B</v>
      </c>
      <c r="M17" s="86"/>
      <c r="N17" s="85" t="str">
        <f>IFERROR(__xludf.DUMMYFUNCTION("""COMPUTED_VALUE"""),"BYE")</f>
        <v>BYE</v>
      </c>
      <c r="O17" s="86"/>
      <c r="P17" s="89"/>
      <c r="Q17" s="93" t="str">
        <f>IFERROR(__xludf.DUMMYFUNCTION("""COMPUTED_VALUE"""),"W")</f>
        <v>W</v>
      </c>
      <c r="R17" s="93" t="str">
        <f>IFERROR(__xludf.DUMMYFUNCTION("""COMPUTED_VALUE"""),"T")</f>
        <v>T</v>
      </c>
      <c r="S17" s="93" t="str">
        <f>IFERROR(__xludf.DUMMYFUNCTION("""COMPUTED_VALUE"""),"L")</f>
        <v>L</v>
      </c>
      <c r="T17" s="95" t="str">
        <f>IFERROR(__xludf.DUMMYFUNCTION("""COMPUTED_VALUE"""),"W/L Score")</f>
        <v>W/L Score</v>
      </c>
      <c r="U17" s="93" t="str">
        <f>IFERROR(__xludf.DUMMYFUNCTION("""COMPUTED_VALUE"""),"Points")</f>
        <v>Points</v>
      </c>
      <c r="V17" s="93" t="str">
        <f>IFERROR(__xludf.DUMMYFUNCTION("""COMPUTED_VALUE"""),"Average")</f>
        <v>Average</v>
      </c>
      <c r="W17" s="97" t="str">
        <f>IFERROR(__xludf.DUMMYFUNCTION("""COMPUTED_VALUE"""),"Rank")</f>
        <v>Rank</v>
      </c>
      <c r="X17" s="98"/>
      <c r="Y17" s="78"/>
      <c r="Z17" s="36"/>
      <c r="AA17" s="36"/>
      <c r="AB17" s="36"/>
      <c r="AC17" s="36"/>
      <c r="AD17" s="53"/>
      <c r="AE17" s="34"/>
      <c r="AF17" s="34"/>
      <c r="AG17" s="36"/>
      <c r="AH17" s="34"/>
      <c r="AI17" s="36"/>
      <c r="AJ17" s="80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 ht="18.75" customHeight="1">
      <c r="A18" s="101"/>
      <c r="B18" s="83"/>
      <c r="C18" s="103" t="str">
        <f>IFERROR(__xludf.DUMMYFUNCTION("""COMPUTED_VALUE"""),"Canyon Crest B")</f>
        <v>Canyon Crest B</v>
      </c>
      <c r="D18" s="107"/>
      <c r="E18" s="109"/>
      <c r="F18" s="113">
        <f>IFERROR(__xludf.DUMMYFUNCTION("""COMPUTED_VALUE"""),74.0)</f>
        <v>74</v>
      </c>
      <c r="G18" s="115" t="str">
        <f>IFERROR(__xludf.DUMMYFUNCTION("""COMPUTED_VALUE"""),"L")</f>
        <v>L</v>
      </c>
      <c r="H18" s="113">
        <f>IFERROR(__xludf.DUMMYFUNCTION("""COMPUTED_VALUE"""),112.0)</f>
        <v>112</v>
      </c>
      <c r="I18" s="115" t="str">
        <f>IFERROR(__xludf.DUMMYFUNCTION("""COMPUTED_VALUE"""),"W")</f>
        <v>W</v>
      </c>
      <c r="J18" s="113">
        <f>IFERROR(__xludf.DUMMYFUNCTION("""COMPUTED_VALUE"""),116.0)</f>
        <v>116</v>
      </c>
      <c r="K18" s="115" t="str">
        <f>IFERROR(__xludf.DUMMYFUNCTION("""COMPUTED_VALUE"""),"W")</f>
        <v>W</v>
      </c>
      <c r="L18" s="113">
        <f>IFERROR(__xludf.DUMMYFUNCTION("""COMPUTED_VALUE"""),154.0)</f>
        <v>154</v>
      </c>
      <c r="M18" s="118" t="str">
        <f>IFERROR(__xludf.DUMMYFUNCTION("""COMPUTED_VALUE"""),"W")</f>
        <v>W</v>
      </c>
      <c r="N18" s="113" t="str">
        <f>IFERROR(__xludf.DUMMYFUNCTION("""COMPUTED_VALUE"""),"")</f>
        <v/>
      </c>
      <c r="O18" s="118" t="str">
        <f>IFERROR(__xludf.DUMMYFUNCTION("""COMPUTED_VALUE"""),"")</f>
        <v/>
      </c>
      <c r="Q18" s="121">
        <f>IFERROR(__xludf.DUMMYFUNCTION("""COMPUTED_VALUE"""),3.0)</f>
        <v>3</v>
      </c>
      <c r="R18" s="123">
        <f>IFERROR(__xludf.DUMMYFUNCTION("""COMPUTED_VALUE"""),0.0)</f>
        <v>0</v>
      </c>
      <c r="S18" s="123">
        <f>IFERROR(__xludf.DUMMYFUNCTION("""COMPUTED_VALUE"""),1.0)</f>
        <v>1</v>
      </c>
      <c r="T18" s="125">
        <f>IFERROR(__xludf.DUMMYFUNCTION("""COMPUTED_VALUE"""),3.0)</f>
        <v>3</v>
      </c>
      <c r="U18" s="128">
        <f>IFERROR(__xludf.DUMMYFUNCTION("""COMPUTED_VALUE"""),456.0)</f>
        <v>456</v>
      </c>
      <c r="V18" s="129">
        <f>IFERROR(__xludf.DUMMYFUNCTION("""COMPUTED_VALUE"""),114.0)</f>
        <v>114</v>
      </c>
      <c r="W18" s="146" t="str">
        <f>IFERROR(__xludf.DUMMYFUNCTION("""COMPUTED_VALUE"""),"2")</f>
        <v>2</v>
      </c>
      <c r="X18" s="131" t="str">
        <f>IFERROR(__xludf.DUMMYFUNCTION("""COMPUTED_VALUE"""),"Canyon Crest B")</f>
        <v>Canyon Crest B</v>
      </c>
      <c r="Y18" s="132">
        <f>IFERROR(__xludf.DUMMYFUNCTION("""COMPUTED_VALUE"""),114.0)</f>
        <v>114</v>
      </c>
      <c r="Z18" s="36"/>
      <c r="AA18" s="36"/>
      <c r="AB18" s="36"/>
      <c r="AC18" s="36"/>
      <c r="AD18" s="6"/>
      <c r="AE18" s="34"/>
      <c r="AF18" s="34"/>
      <c r="AG18" s="36"/>
      <c r="AH18" s="34"/>
      <c r="AI18" s="36"/>
      <c r="AJ18" s="80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ht="18.75" customHeight="1">
      <c r="A19" s="34"/>
      <c r="B19" s="83"/>
      <c r="C19" s="134" t="str">
        <f>IFERROR(__xludf.DUMMYFUNCTION("""COMPUTED_VALUE"""),"MSJ A")</f>
        <v>MSJ A</v>
      </c>
      <c r="D19" s="136">
        <f>IFERROR(__xludf.DUMMYFUNCTION("""COMPUTED_VALUE"""),170.0)</f>
        <v>170</v>
      </c>
      <c r="E19" s="137" t="str">
        <f>IFERROR(__xludf.DUMMYFUNCTION("""COMPUTED_VALUE"""),"W")</f>
        <v>W</v>
      </c>
      <c r="F19" s="138"/>
      <c r="G19" s="140"/>
      <c r="H19" s="113">
        <f>IFERROR(__xludf.DUMMYFUNCTION("""COMPUTED_VALUE"""),186.0)</f>
        <v>186</v>
      </c>
      <c r="I19" s="137" t="str">
        <f>IFERROR(__xludf.DUMMYFUNCTION("""COMPUTED_VALUE"""),"W")</f>
        <v>W</v>
      </c>
      <c r="J19" s="113">
        <f>IFERROR(__xludf.DUMMYFUNCTION("""COMPUTED_VALUE"""),204.0)</f>
        <v>204</v>
      </c>
      <c r="K19" s="137" t="str">
        <f>IFERROR(__xludf.DUMMYFUNCTION("""COMPUTED_VALUE"""),"W")</f>
        <v>W</v>
      </c>
      <c r="L19" s="113">
        <f>IFERROR(__xludf.DUMMYFUNCTION("""COMPUTED_VALUE"""),260.0)</f>
        <v>260</v>
      </c>
      <c r="M19" s="141" t="str">
        <f>IFERROR(__xludf.DUMMYFUNCTION("""COMPUTED_VALUE"""),"W")</f>
        <v>W</v>
      </c>
      <c r="N19" s="113" t="str">
        <f>IFERROR(__xludf.DUMMYFUNCTION("""COMPUTED_VALUE"""),"")</f>
        <v/>
      </c>
      <c r="O19" s="118" t="str">
        <f>IFERROR(__xludf.DUMMYFUNCTION("""COMPUTED_VALUE"""),"")</f>
        <v/>
      </c>
      <c r="Q19" s="121">
        <f>IFERROR(__xludf.DUMMYFUNCTION("""COMPUTED_VALUE"""),4.0)</f>
        <v>4</v>
      </c>
      <c r="R19" s="123">
        <f>IFERROR(__xludf.DUMMYFUNCTION("""COMPUTED_VALUE"""),0.0)</f>
        <v>0</v>
      </c>
      <c r="S19" s="123">
        <f>IFERROR(__xludf.DUMMYFUNCTION("""COMPUTED_VALUE"""),0.0)</f>
        <v>0</v>
      </c>
      <c r="T19" s="125">
        <f>IFERROR(__xludf.DUMMYFUNCTION("""COMPUTED_VALUE"""),4.0)</f>
        <v>4</v>
      </c>
      <c r="U19" s="128">
        <f>IFERROR(__xludf.DUMMYFUNCTION("""COMPUTED_VALUE"""),820.0)</f>
        <v>820</v>
      </c>
      <c r="V19" s="129">
        <f>IFERROR(__xludf.DUMMYFUNCTION("""COMPUTED_VALUE"""),205.0)</f>
        <v>205</v>
      </c>
      <c r="W19" s="130" t="str">
        <f>IFERROR(__xludf.DUMMYFUNCTION("""COMPUTED_VALUE"""),"1")</f>
        <v>1</v>
      </c>
      <c r="X19" s="131" t="str">
        <f>IFERROR(__xludf.DUMMYFUNCTION("""COMPUTED_VALUE"""),"MSJ A")</f>
        <v>MSJ A</v>
      </c>
      <c r="Y19" s="132">
        <f>IFERROR(__xludf.DUMMYFUNCTION("""COMPUTED_VALUE"""),205.0)</f>
        <v>205</v>
      </c>
      <c r="Z19" s="36"/>
      <c r="AA19" s="36"/>
      <c r="AB19" s="36"/>
      <c r="AC19" s="36"/>
      <c r="AD19" s="36"/>
      <c r="AE19" s="34"/>
      <c r="AF19" s="34"/>
      <c r="AG19" s="36"/>
      <c r="AH19" s="34"/>
      <c r="AI19" s="36"/>
      <c r="AJ19" s="80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ht="18.75" customHeight="1">
      <c r="A20" s="34"/>
      <c r="B20" s="83"/>
      <c r="C20" s="134" t="str">
        <f>IFERROR(__xludf.DUMMYFUNCTION("""COMPUTED_VALUE"""),"North ID STEM")</f>
        <v>North ID STEM</v>
      </c>
      <c r="D20" s="136">
        <f>IFERROR(__xludf.DUMMYFUNCTION("""COMPUTED_VALUE"""),30.0)</f>
        <v>30</v>
      </c>
      <c r="E20" s="137" t="str">
        <f>IFERROR(__xludf.DUMMYFUNCTION("""COMPUTED_VALUE"""),"L")</f>
        <v>L</v>
      </c>
      <c r="F20" s="142">
        <f>IFERROR(__xludf.DUMMYFUNCTION("""COMPUTED_VALUE"""),56.0)</f>
        <v>56</v>
      </c>
      <c r="G20" s="137" t="str">
        <f>IFERROR(__xludf.DUMMYFUNCTION("""COMPUTED_VALUE"""),"L")</f>
        <v>L</v>
      </c>
      <c r="H20" s="138"/>
      <c r="I20" s="140"/>
      <c r="J20" s="113">
        <f>IFERROR(__xludf.DUMMYFUNCTION("""COMPUTED_VALUE"""),12.0)</f>
        <v>12</v>
      </c>
      <c r="K20" s="137" t="str">
        <f>IFERROR(__xludf.DUMMYFUNCTION("""COMPUTED_VALUE"""),"L")</f>
        <v>L</v>
      </c>
      <c r="L20" s="113">
        <f>IFERROR(__xludf.DUMMYFUNCTION("""COMPUTED_VALUE"""),32.0)</f>
        <v>32</v>
      </c>
      <c r="M20" s="141" t="str">
        <f>IFERROR(__xludf.DUMMYFUNCTION("""COMPUTED_VALUE"""),"W")</f>
        <v>W</v>
      </c>
      <c r="N20" s="113" t="str">
        <f>IFERROR(__xludf.DUMMYFUNCTION("""COMPUTED_VALUE"""),"")</f>
        <v/>
      </c>
      <c r="O20" s="118" t="str">
        <f>IFERROR(__xludf.DUMMYFUNCTION("""COMPUTED_VALUE"""),"")</f>
        <v/>
      </c>
      <c r="Q20" s="121">
        <f>IFERROR(__xludf.DUMMYFUNCTION("""COMPUTED_VALUE"""),1.0)</f>
        <v>1</v>
      </c>
      <c r="R20" s="123">
        <f>IFERROR(__xludf.DUMMYFUNCTION("""COMPUTED_VALUE"""),0.0)</f>
        <v>0</v>
      </c>
      <c r="S20" s="123">
        <f>IFERROR(__xludf.DUMMYFUNCTION("""COMPUTED_VALUE"""),3.0)</f>
        <v>3</v>
      </c>
      <c r="T20" s="125">
        <f>IFERROR(__xludf.DUMMYFUNCTION("""COMPUTED_VALUE"""),1.0)</f>
        <v>1</v>
      </c>
      <c r="U20" s="128">
        <f>IFERROR(__xludf.DUMMYFUNCTION("""COMPUTED_VALUE"""),130.0)</f>
        <v>130</v>
      </c>
      <c r="V20" s="129">
        <f>IFERROR(__xludf.DUMMYFUNCTION("""COMPUTED_VALUE"""),32.5)</f>
        <v>32.5</v>
      </c>
      <c r="W20" s="146" t="str">
        <f>IFERROR(__xludf.DUMMYFUNCTION("""COMPUTED_VALUE"""),"4")</f>
        <v>4</v>
      </c>
      <c r="X20" s="131" t="str">
        <f>IFERROR(__xludf.DUMMYFUNCTION("""COMPUTED_VALUE"""),"North ID STEM")</f>
        <v>North ID STEM</v>
      </c>
      <c r="Y20" s="132">
        <f>IFERROR(__xludf.DUMMYFUNCTION("""COMPUTED_VALUE"""),32.5)</f>
        <v>32.5</v>
      </c>
      <c r="Z20" s="36"/>
      <c r="AA20" s="36"/>
      <c r="AB20" s="36"/>
      <c r="AC20" s="36"/>
      <c r="AD20" s="36"/>
      <c r="AE20" s="34"/>
      <c r="AF20" s="34"/>
      <c r="AG20" s="36"/>
      <c r="AH20" s="34"/>
      <c r="AI20" s="36"/>
      <c r="AJ20" s="80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ht="18.75" customHeight="1">
      <c r="A21" s="34"/>
      <c r="B21" s="83"/>
      <c r="C21" s="134" t="str">
        <f>IFERROR(__xludf.DUMMYFUNCTION("""COMPUTED_VALUE"""),"Pali")</f>
        <v>Pali</v>
      </c>
      <c r="D21" s="136">
        <f>IFERROR(__xludf.DUMMYFUNCTION("""COMPUTED_VALUE"""),16.0)</f>
        <v>16</v>
      </c>
      <c r="E21" s="137" t="str">
        <f>IFERROR(__xludf.DUMMYFUNCTION("""COMPUTED_VALUE"""),"L")</f>
        <v>L</v>
      </c>
      <c r="F21" s="142">
        <f>IFERROR(__xludf.DUMMYFUNCTION("""COMPUTED_VALUE"""),50.0)</f>
        <v>50</v>
      </c>
      <c r="G21" s="137" t="str">
        <f>IFERROR(__xludf.DUMMYFUNCTION("""COMPUTED_VALUE"""),"L")</f>
        <v>L</v>
      </c>
      <c r="H21" s="142">
        <f>IFERROR(__xludf.DUMMYFUNCTION("""COMPUTED_VALUE"""),48.0)</f>
        <v>48</v>
      </c>
      <c r="I21" s="137" t="str">
        <f>IFERROR(__xludf.DUMMYFUNCTION("""COMPUTED_VALUE"""),"W")</f>
        <v>W</v>
      </c>
      <c r="J21" s="138"/>
      <c r="K21" s="140"/>
      <c r="L21" s="113">
        <f>IFERROR(__xludf.DUMMYFUNCTION("""COMPUTED_VALUE"""),122.0)</f>
        <v>122</v>
      </c>
      <c r="M21" s="141" t="str">
        <f>IFERROR(__xludf.DUMMYFUNCTION("""COMPUTED_VALUE"""),"W")</f>
        <v>W</v>
      </c>
      <c r="N21" s="113" t="str">
        <f>IFERROR(__xludf.DUMMYFUNCTION("""COMPUTED_VALUE"""),"")</f>
        <v/>
      </c>
      <c r="O21" s="118" t="str">
        <f>IFERROR(__xludf.DUMMYFUNCTION("""COMPUTED_VALUE"""),"")</f>
        <v/>
      </c>
      <c r="Q21" s="121">
        <f>IFERROR(__xludf.DUMMYFUNCTION("""COMPUTED_VALUE"""),2.0)</f>
        <v>2</v>
      </c>
      <c r="R21" s="123">
        <f>IFERROR(__xludf.DUMMYFUNCTION("""COMPUTED_VALUE"""),0.0)</f>
        <v>0</v>
      </c>
      <c r="S21" s="123">
        <f>IFERROR(__xludf.DUMMYFUNCTION("""COMPUTED_VALUE"""),2.0)</f>
        <v>2</v>
      </c>
      <c r="T21" s="125">
        <f>IFERROR(__xludf.DUMMYFUNCTION("""COMPUTED_VALUE"""),2.0)</f>
        <v>2</v>
      </c>
      <c r="U21" s="128">
        <f>IFERROR(__xludf.DUMMYFUNCTION("""COMPUTED_VALUE"""),236.0)</f>
        <v>236</v>
      </c>
      <c r="V21" s="129">
        <f>IFERROR(__xludf.DUMMYFUNCTION("""COMPUTED_VALUE"""),59.0)</f>
        <v>59</v>
      </c>
      <c r="W21" s="130" t="str">
        <f>IFERROR(__xludf.DUMMYFUNCTION("""COMPUTED_VALUE"""),"3")</f>
        <v>3</v>
      </c>
      <c r="X21" s="131" t="str">
        <f>IFERROR(__xludf.DUMMYFUNCTION("""COMPUTED_VALUE"""),"Pali")</f>
        <v>Pali</v>
      </c>
      <c r="Y21" s="132">
        <f>IFERROR(__xludf.DUMMYFUNCTION("""COMPUTED_VALUE"""),59.0)</f>
        <v>59</v>
      </c>
      <c r="Z21" s="36"/>
      <c r="AA21" s="36"/>
      <c r="AB21" s="36"/>
      <c r="AC21" s="36"/>
      <c r="AD21" s="36"/>
      <c r="AE21" s="34"/>
      <c r="AF21" s="34"/>
      <c r="AG21" s="36"/>
      <c r="AH21" s="34"/>
      <c r="AI21" s="36"/>
      <c r="AJ21" s="80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ht="18.75" customHeight="1">
      <c r="A22" s="34"/>
      <c r="B22" s="83"/>
      <c r="C22" s="134" t="str">
        <f>IFERROR(__xludf.DUMMYFUNCTION("""COMPUTED_VALUE"""),"Rock Bridge B")</f>
        <v>Rock Bridge B</v>
      </c>
      <c r="D22" s="136">
        <f>IFERROR(__xludf.DUMMYFUNCTION("""COMPUTED_VALUE"""),0.0)</f>
        <v>0</v>
      </c>
      <c r="E22" s="143" t="str">
        <f>IFERROR(__xludf.DUMMYFUNCTION("""COMPUTED_VALUE"""),"L")</f>
        <v>L</v>
      </c>
      <c r="F22" s="142">
        <f>IFERROR(__xludf.DUMMYFUNCTION("""COMPUTED_VALUE"""),8.0)</f>
        <v>8</v>
      </c>
      <c r="G22" s="143" t="str">
        <f>IFERROR(__xludf.DUMMYFUNCTION("""COMPUTED_VALUE"""),"L")</f>
        <v>L</v>
      </c>
      <c r="H22" s="142">
        <f>IFERROR(__xludf.DUMMYFUNCTION("""COMPUTED_VALUE"""),30.0)</f>
        <v>30</v>
      </c>
      <c r="I22" s="143" t="str">
        <f>IFERROR(__xludf.DUMMYFUNCTION("""COMPUTED_VALUE"""),"L")</f>
        <v>L</v>
      </c>
      <c r="J22" s="142">
        <f>IFERROR(__xludf.DUMMYFUNCTION("""COMPUTED_VALUE"""),0.0)</f>
        <v>0</v>
      </c>
      <c r="K22" s="143" t="str">
        <f>IFERROR(__xludf.DUMMYFUNCTION("""COMPUTED_VALUE"""),"L")</f>
        <v>L</v>
      </c>
      <c r="L22" s="144"/>
      <c r="M22" s="145"/>
      <c r="N22" s="113" t="str">
        <f>IFERROR(__xludf.DUMMYFUNCTION("""COMPUTED_VALUE"""),"")</f>
        <v/>
      </c>
      <c r="O22" s="118" t="str">
        <f>IFERROR(__xludf.DUMMYFUNCTION("""COMPUTED_VALUE"""),"")</f>
        <v/>
      </c>
      <c r="Q22" s="121">
        <f>IFERROR(__xludf.DUMMYFUNCTION("""COMPUTED_VALUE"""),0.0)</f>
        <v>0</v>
      </c>
      <c r="R22" s="123">
        <f>IFERROR(__xludf.DUMMYFUNCTION("""COMPUTED_VALUE"""),0.0)</f>
        <v>0</v>
      </c>
      <c r="S22" s="123">
        <f>IFERROR(__xludf.DUMMYFUNCTION("""COMPUTED_VALUE"""),4.0)</f>
        <v>4</v>
      </c>
      <c r="T22" s="125">
        <f>IFERROR(__xludf.DUMMYFUNCTION("""COMPUTED_VALUE"""),0.0)</f>
        <v>0</v>
      </c>
      <c r="U22" s="128">
        <f>IFERROR(__xludf.DUMMYFUNCTION("""COMPUTED_VALUE"""),38.0)</f>
        <v>38</v>
      </c>
      <c r="V22" s="129">
        <f>IFERROR(__xludf.DUMMYFUNCTION("""COMPUTED_VALUE"""),9.5)</f>
        <v>9.5</v>
      </c>
      <c r="W22" s="146" t="str">
        <f>IFERROR(__xludf.DUMMYFUNCTION("""COMPUTED_VALUE"""),"5")</f>
        <v>5</v>
      </c>
      <c r="X22" s="131" t="str">
        <f>IFERROR(__xludf.DUMMYFUNCTION("""COMPUTED_VALUE"""),"Rock Bridge B")</f>
        <v>Rock Bridge B</v>
      </c>
      <c r="Y22" s="132">
        <f>IFERROR(__xludf.DUMMYFUNCTION("""COMPUTED_VALUE"""),9.5)</f>
        <v>9.5</v>
      </c>
      <c r="Z22" s="36"/>
      <c r="AA22" s="36"/>
      <c r="AB22" s="36"/>
      <c r="AC22" s="36"/>
      <c r="AD22" s="36"/>
      <c r="AE22" s="34"/>
      <c r="AF22" s="34"/>
      <c r="AG22" s="36"/>
      <c r="AH22" s="34"/>
      <c r="AI22" s="36"/>
      <c r="AJ22" s="80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ht="18.75" hidden="1" customHeight="1">
      <c r="A23" s="34"/>
      <c r="B23" s="83"/>
      <c r="C23" s="134" t="str">
        <f>IFERROR(__xludf.DUMMYFUNCTION("""COMPUTED_VALUE"""),"BYE")</f>
        <v>BYE</v>
      </c>
      <c r="D23" s="136" t="str">
        <f>IFERROR(__xludf.DUMMYFUNCTION("""COMPUTED_VALUE"""),"")</f>
        <v/>
      </c>
      <c r="E23" s="143" t="str">
        <f>IFERROR(__xludf.DUMMYFUNCTION("""COMPUTED_VALUE"""),"")</f>
        <v/>
      </c>
      <c r="F23" s="142" t="str">
        <f>IFERROR(__xludf.DUMMYFUNCTION("""COMPUTED_VALUE"""),"")</f>
        <v/>
      </c>
      <c r="G23" s="143" t="str">
        <f>IFERROR(__xludf.DUMMYFUNCTION("""COMPUTED_VALUE"""),"")</f>
        <v/>
      </c>
      <c r="H23" s="142" t="str">
        <f>IFERROR(__xludf.DUMMYFUNCTION("""COMPUTED_VALUE"""),"")</f>
        <v/>
      </c>
      <c r="I23" s="137" t="str">
        <f>IFERROR(__xludf.DUMMYFUNCTION("""COMPUTED_VALUE"""),"")</f>
        <v/>
      </c>
      <c r="J23" s="142" t="str">
        <f>IFERROR(__xludf.DUMMYFUNCTION("""COMPUTED_VALUE"""),"")</f>
        <v/>
      </c>
      <c r="K23" s="143" t="str">
        <f>IFERROR(__xludf.DUMMYFUNCTION("""COMPUTED_VALUE"""),"")</f>
        <v/>
      </c>
      <c r="L23" s="142" t="str">
        <f>IFERROR(__xludf.DUMMYFUNCTION("""COMPUTED_VALUE"""),"")</f>
        <v/>
      </c>
      <c r="M23" s="143" t="str">
        <f>IFERROR(__xludf.DUMMYFUNCTION("""COMPUTED_VALUE"""),"")</f>
        <v/>
      </c>
      <c r="N23" s="147"/>
      <c r="O23" s="148"/>
      <c r="P23" s="89"/>
      <c r="Q23" s="121">
        <f>IFERROR(__xludf.DUMMYFUNCTION("""COMPUTED_VALUE"""),0.0)</f>
        <v>0</v>
      </c>
      <c r="R23" s="123">
        <f>IFERROR(__xludf.DUMMYFUNCTION("""COMPUTED_VALUE"""),0.0)</f>
        <v>0</v>
      </c>
      <c r="S23" s="123">
        <f>IFERROR(__xludf.DUMMYFUNCTION("""COMPUTED_VALUE"""),0.0)</f>
        <v>0</v>
      </c>
      <c r="T23" s="125">
        <f>IFERROR(__xludf.DUMMYFUNCTION("""COMPUTED_VALUE"""),0.0)</f>
        <v>0</v>
      </c>
      <c r="U23" s="128">
        <f>IFERROR(__xludf.DUMMYFUNCTION("""COMPUTED_VALUE"""),0.0)</f>
        <v>0</v>
      </c>
      <c r="V23" s="129" t="str">
        <f>IFERROR(__xludf.DUMMYFUNCTION("""COMPUTED_VALUE"""),"")</f>
        <v/>
      </c>
      <c r="W23" s="149"/>
      <c r="X23" s="131" t="str">
        <f>IFERROR(__xludf.DUMMYFUNCTION("""COMPUTED_VALUE"""),"BYE")</f>
        <v>BYE</v>
      </c>
      <c r="Y23" s="132" t="str">
        <f>IFERROR(__xludf.DUMMYFUNCTION("""COMPUTED_VALUE"""),"")</f>
        <v/>
      </c>
      <c r="Z23" s="36"/>
      <c r="AA23" s="34"/>
      <c r="AB23" s="34"/>
      <c r="AC23" s="36"/>
      <c r="AD23" s="36"/>
      <c r="AE23" s="34"/>
      <c r="AF23" s="34"/>
      <c r="AG23" s="36"/>
      <c r="AH23" s="34"/>
      <c r="AI23" s="36"/>
      <c r="AJ23" s="80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ht="18.75" customHeight="1">
      <c r="A24" s="36"/>
      <c r="B24" s="150"/>
      <c r="C24" s="15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52"/>
      <c r="Y24" s="78"/>
      <c r="Z24" s="36"/>
      <c r="AA24" s="36"/>
      <c r="AB24" s="36"/>
      <c r="AC24" s="36"/>
      <c r="AD24" s="36"/>
      <c r="AE24" s="34"/>
      <c r="AF24" s="34"/>
      <c r="AG24" s="36"/>
      <c r="AH24" s="34"/>
      <c r="AI24" s="36"/>
      <c r="AJ24" s="80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ht="18.75" customHeight="1">
      <c r="A25" s="34"/>
      <c r="B25" s="34"/>
      <c r="C25" s="34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153"/>
      <c r="U25" s="36"/>
      <c r="V25" s="36"/>
      <c r="W25" s="48"/>
      <c r="X25" s="50"/>
      <c r="Y25" s="78"/>
      <c r="Z25" s="36"/>
      <c r="AA25" s="36"/>
      <c r="AB25" s="36"/>
      <c r="AC25" s="36"/>
      <c r="AD25" s="36"/>
      <c r="AE25" s="34"/>
      <c r="AF25" s="34"/>
      <c r="AG25" s="36"/>
      <c r="AH25" s="34"/>
      <c r="AI25" s="36"/>
      <c r="AJ25" s="80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ht="18.75" customHeight="1">
      <c r="A26" s="34"/>
      <c r="B26" s="34"/>
      <c r="C26" s="34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153"/>
      <c r="U26" s="36"/>
      <c r="V26" s="36"/>
      <c r="W26" s="48"/>
      <c r="X26" s="50"/>
      <c r="Y26" s="78"/>
      <c r="Z26" s="36"/>
      <c r="AA26" s="36"/>
      <c r="AB26" s="36"/>
      <c r="AC26" s="36"/>
      <c r="AD26" s="36"/>
      <c r="AE26" s="34"/>
      <c r="AF26" s="34"/>
      <c r="AG26" s="36"/>
      <c r="AH26" s="34"/>
      <c r="AI26" s="36"/>
      <c r="AJ26" s="80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ht="18.75" customHeight="1">
      <c r="A27" s="55"/>
      <c r="B27" s="55"/>
      <c r="C27" s="55" t="str">
        <f>IFERROR(__xludf.DUMMYFUNCTION("""COMPUTED_VALUE"""),"Curie")</f>
        <v>Curie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58"/>
      <c r="U27" s="6"/>
      <c r="V27" s="6"/>
      <c r="W27" s="53"/>
      <c r="X27" s="60"/>
      <c r="Y27" s="78"/>
      <c r="Z27" s="36"/>
      <c r="AA27" s="36"/>
      <c r="AB27" s="36"/>
      <c r="AC27" s="36"/>
      <c r="AD27" s="36"/>
      <c r="AE27" s="34"/>
      <c r="AF27" s="34"/>
      <c r="AG27" s="36"/>
      <c r="AH27" s="34"/>
      <c r="AI27" s="36"/>
      <c r="AJ27" s="80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ht="18.75" customHeight="1">
      <c r="A28" s="36"/>
      <c r="B28" s="67"/>
      <c r="C28" s="71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7"/>
      <c r="Y28" s="78"/>
      <c r="Z28" s="36"/>
      <c r="AA28" s="36"/>
      <c r="AB28" s="36"/>
      <c r="AC28" s="36"/>
      <c r="AD28" s="36"/>
      <c r="AE28" s="34"/>
      <c r="AF28" s="34"/>
      <c r="AG28" s="36"/>
      <c r="AH28" s="34"/>
      <c r="AI28" s="36"/>
      <c r="AJ28" s="80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ht="18.75" customHeight="1">
      <c r="A29" s="82"/>
      <c r="B29" s="83"/>
      <c r="C29" s="84" t="str">
        <f>IFERROR(__xludf.DUMMYFUNCTION("""COMPUTED_VALUE"""),"Team")</f>
        <v>Team</v>
      </c>
      <c r="D29" s="34" t="str">
        <f>IFERROR(__xludf.DUMMYFUNCTION("""COMPUTED_VALUE"""),"Amador Valley B")</f>
        <v>Amador Valley B</v>
      </c>
      <c r="F29" s="85" t="str">
        <f>IFERROR(__xludf.DUMMYFUNCTION("""COMPUTED_VALUE"""),"Lakeside A")</f>
        <v>Lakeside A</v>
      </c>
      <c r="G29" s="86"/>
      <c r="H29" s="85" t="str">
        <f>IFERROR(__xludf.DUMMYFUNCTION("""COMPUTED_VALUE"""),"NoHo A")</f>
        <v>NoHo A</v>
      </c>
      <c r="I29" s="86"/>
      <c r="J29" s="85" t="str">
        <f>IFERROR(__xludf.DUMMYFUNCTION("""COMPUTED_VALUE"""),"Pullman B")</f>
        <v>Pullman B</v>
      </c>
      <c r="K29" s="86"/>
      <c r="L29" s="85" t="str">
        <f>IFERROR(__xludf.DUMMYFUNCTION("""COMPUTED_VALUE"""),"Roosevelt A")</f>
        <v>Roosevelt A</v>
      </c>
      <c r="M29" s="86"/>
      <c r="N29" s="85" t="str">
        <f>IFERROR(__xludf.DUMMYFUNCTION("""COMPUTED_VALUE"""),"BYE")</f>
        <v>BYE</v>
      </c>
      <c r="O29" s="86"/>
      <c r="P29" s="89"/>
      <c r="Q29" s="93" t="str">
        <f>IFERROR(__xludf.DUMMYFUNCTION("""COMPUTED_VALUE"""),"W")</f>
        <v>W</v>
      </c>
      <c r="R29" s="93" t="str">
        <f>IFERROR(__xludf.DUMMYFUNCTION("""COMPUTED_VALUE"""),"T")</f>
        <v>T</v>
      </c>
      <c r="S29" s="93" t="str">
        <f>IFERROR(__xludf.DUMMYFUNCTION("""COMPUTED_VALUE"""),"L")</f>
        <v>L</v>
      </c>
      <c r="T29" s="95" t="str">
        <f>IFERROR(__xludf.DUMMYFUNCTION("""COMPUTED_VALUE"""),"W/L Score")</f>
        <v>W/L Score</v>
      </c>
      <c r="U29" s="93" t="str">
        <f>IFERROR(__xludf.DUMMYFUNCTION("""COMPUTED_VALUE"""),"Points")</f>
        <v>Points</v>
      </c>
      <c r="V29" s="93" t="str">
        <f>IFERROR(__xludf.DUMMYFUNCTION("""COMPUTED_VALUE"""),"Average")</f>
        <v>Average</v>
      </c>
      <c r="W29" s="97" t="str">
        <f>IFERROR(__xludf.DUMMYFUNCTION("""COMPUTED_VALUE"""),"Rank")</f>
        <v>Rank</v>
      </c>
      <c r="X29" s="98"/>
      <c r="Y29" s="78"/>
      <c r="Z29" s="36"/>
      <c r="AA29" s="36"/>
      <c r="AB29" s="36"/>
      <c r="AC29" s="36"/>
      <c r="AD29" s="36"/>
      <c r="AE29" s="34"/>
      <c r="AF29" s="34"/>
      <c r="AG29" s="36"/>
      <c r="AH29" s="34"/>
      <c r="AI29" s="36"/>
      <c r="AJ29" s="80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ht="18.75" customHeight="1">
      <c r="A30" s="101"/>
      <c r="B30" s="83"/>
      <c r="C30" s="103" t="str">
        <f>IFERROR(__xludf.DUMMYFUNCTION("""COMPUTED_VALUE"""),"Amador Valley B")</f>
        <v>Amador Valley B</v>
      </c>
      <c r="D30" s="107"/>
      <c r="E30" s="109"/>
      <c r="F30" s="113">
        <f>IFERROR(__xludf.DUMMYFUNCTION("""COMPUTED_VALUE"""),56.0)</f>
        <v>56</v>
      </c>
      <c r="G30" s="115" t="str">
        <f>IFERROR(__xludf.DUMMYFUNCTION("""COMPUTED_VALUE"""),"L")</f>
        <v>L</v>
      </c>
      <c r="H30" s="113">
        <f>IFERROR(__xludf.DUMMYFUNCTION("""COMPUTED_VALUE"""),36.0)</f>
        <v>36</v>
      </c>
      <c r="I30" s="115" t="str">
        <f>IFERROR(__xludf.DUMMYFUNCTION("""COMPUTED_VALUE"""),"L")</f>
        <v>L</v>
      </c>
      <c r="J30" s="113">
        <f>IFERROR(__xludf.DUMMYFUNCTION("""COMPUTED_VALUE"""),100.0)</f>
        <v>100</v>
      </c>
      <c r="K30" s="115" t="str">
        <f>IFERROR(__xludf.DUMMYFUNCTION("""COMPUTED_VALUE"""),"W")</f>
        <v>W</v>
      </c>
      <c r="L30" s="113">
        <f>IFERROR(__xludf.DUMMYFUNCTION("""COMPUTED_VALUE"""),96.0)</f>
        <v>96</v>
      </c>
      <c r="M30" s="118" t="str">
        <f>IFERROR(__xludf.DUMMYFUNCTION("""COMPUTED_VALUE"""),"W")</f>
        <v>W</v>
      </c>
      <c r="N30" s="113" t="str">
        <f>IFERROR(__xludf.DUMMYFUNCTION("""COMPUTED_VALUE"""),"")</f>
        <v/>
      </c>
      <c r="O30" s="118" t="str">
        <f>IFERROR(__xludf.DUMMYFUNCTION("""COMPUTED_VALUE"""),"")</f>
        <v/>
      </c>
      <c r="Q30" s="121">
        <f>IFERROR(__xludf.DUMMYFUNCTION("""COMPUTED_VALUE"""),2.0)</f>
        <v>2</v>
      </c>
      <c r="R30" s="123">
        <f>IFERROR(__xludf.DUMMYFUNCTION("""COMPUTED_VALUE"""),0.0)</f>
        <v>0</v>
      </c>
      <c r="S30" s="123">
        <f>IFERROR(__xludf.DUMMYFUNCTION("""COMPUTED_VALUE"""),2.0)</f>
        <v>2</v>
      </c>
      <c r="T30" s="125">
        <f>IFERROR(__xludf.DUMMYFUNCTION("""COMPUTED_VALUE"""),2.0)</f>
        <v>2</v>
      </c>
      <c r="U30" s="128">
        <f>IFERROR(__xludf.DUMMYFUNCTION("""COMPUTED_VALUE"""),288.0)</f>
        <v>288</v>
      </c>
      <c r="V30" s="129">
        <f>IFERROR(__xludf.DUMMYFUNCTION("""COMPUTED_VALUE"""),72.0)</f>
        <v>72</v>
      </c>
      <c r="W30" s="146" t="str">
        <f>IFERROR(__xludf.DUMMYFUNCTION("""COMPUTED_VALUE"""),"3")</f>
        <v>3</v>
      </c>
      <c r="X30" s="131" t="str">
        <f>IFERROR(__xludf.DUMMYFUNCTION("""COMPUTED_VALUE"""),"Amador Valley B")</f>
        <v>Amador Valley B</v>
      </c>
      <c r="Y30" s="132">
        <f>IFERROR(__xludf.DUMMYFUNCTION("""COMPUTED_VALUE"""),72.0)</f>
        <v>72</v>
      </c>
      <c r="Z30" s="36"/>
      <c r="AA30" s="36"/>
      <c r="AB30" s="36"/>
      <c r="AC30" s="36"/>
      <c r="AD30" s="36"/>
      <c r="AE30" s="34"/>
      <c r="AF30" s="34"/>
      <c r="AG30" s="36"/>
      <c r="AH30" s="34"/>
      <c r="AI30" s="36"/>
      <c r="AJ30" s="80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ht="18.75" customHeight="1">
      <c r="A31" s="34"/>
      <c r="B31" s="83"/>
      <c r="C31" s="134" t="str">
        <f>IFERROR(__xludf.DUMMYFUNCTION("""COMPUTED_VALUE"""),"Lakeside A")</f>
        <v>Lakeside A</v>
      </c>
      <c r="D31" s="136">
        <f>IFERROR(__xludf.DUMMYFUNCTION("""COMPUTED_VALUE"""),178.0)</f>
        <v>178</v>
      </c>
      <c r="E31" s="137" t="str">
        <f>IFERROR(__xludf.DUMMYFUNCTION("""COMPUTED_VALUE"""),"W")</f>
        <v>W</v>
      </c>
      <c r="F31" s="138"/>
      <c r="G31" s="140"/>
      <c r="H31" s="113">
        <f>IFERROR(__xludf.DUMMYFUNCTION("""COMPUTED_VALUE"""),124.0)</f>
        <v>124</v>
      </c>
      <c r="I31" s="137" t="str">
        <f>IFERROR(__xludf.DUMMYFUNCTION("""COMPUTED_VALUE"""),"L")</f>
        <v>L</v>
      </c>
      <c r="J31" s="113">
        <f>IFERROR(__xludf.DUMMYFUNCTION("""COMPUTED_VALUE"""),158.0)</f>
        <v>158</v>
      </c>
      <c r="K31" s="137" t="str">
        <f>IFERROR(__xludf.DUMMYFUNCTION("""COMPUTED_VALUE"""),"W")</f>
        <v>W</v>
      </c>
      <c r="L31" s="113">
        <f>IFERROR(__xludf.DUMMYFUNCTION("""COMPUTED_VALUE"""),206.0)</f>
        <v>206</v>
      </c>
      <c r="M31" s="141" t="str">
        <f>IFERROR(__xludf.DUMMYFUNCTION("""COMPUTED_VALUE"""),"W")</f>
        <v>W</v>
      </c>
      <c r="N31" s="113" t="str">
        <f>IFERROR(__xludf.DUMMYFUNCTION("""COMPUTED_VALUE"""),"")</f>
        <v/>
      </c>
      <c r="O31" s="118" t="str">
        <f>IFERROR(__xludf.DUMMYFUNCTION("""COMPUTED_VALUE"""),"")</f>
        <v/>
      </c>
      <c r="Q31" s="121">
        <f>IFERROR(__xludf.DUMMYFUNCTION("""COMPUTED_VALUE"""),3.0)</f>
        <v>3</v>
      </c>
      <c r="R31" s="123">
        <f>IFERROR(__xludf.DUMMYFUNCTION("""COMPUTED_VALUE"""),0.0)</f>
        <v>0</v>
      </c>
      <c r="S31" s="123">
        <f>IFERROR(__xludf.DUMMYFUNCTION("""COMPUTED_VALUE"""),1.0)</f>
        <v>1</v>
      </c>
      <c r="T31" s="125">
        <f>IFERROR(__xludf.DUMMYFUNCTION("""COMPUTED_VALUE"""),3.0)</f>
        <v>3</v>
      </c>
      <c r="U31" s="128">
        <f>IFERROR(__xludf.DUMMYFUNCTION("""COMPUTED_VALUE"""),666.0)</f>
        <v>666</v>
      </c>
      <c r="V31" s="129">
        <f>IFERROR(__xludf.DUMMYFUNCTION("""COMPUTED_VALUE"""),166.5)</f>
        <v>166.5</v>
      </c>
      <c r="W31" s="130" t="str">
        <f>IFERROR(__xludf.DUMMYFUNCTION("""COMPUTED_VALUE"""),"2")</f>
        <v>2</v>
      </c>
      <c r="X31" s="131" t="str">
        <f>IFERROR(__xludf.DUMMYFUNCTION("""COMPUTED_VALUE"""),"Lakeside A")</f>
        <v>Lakeside A</v>
      </c>
      <c r="Y31" s="132">
        <f>IFERROR(__xludf.DUMMYFUNCTION("""COMPUTED_VALUE"""),166.5)</f>
        <v>166.5</v>
      </c>
      <c r="Z31" s="36"/>
      <c r="AA31" s="36"/>
      <c r="AB31" s="36"/>
      <c r="AC31" s="36"/>
      <c r="AD31" s="36"/>
      <c r="AE31" s="34"/>
      <c r="AF31" s="34"/>
      <c r="AG31" s="36"/>
      <c r="AH31" s="34"/>
      <c r="AI31" s="36"/>
      <c r="AJ31" s="80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ht="18.75" customHeight="1">
      <c r="A32" s="34"/>
      <c r="B32" s="83"/>
      <c r="C32" s="134" t="str">
        <f>IFERROR(__xludf.DUMMYFUNCTION("""COMPUTED_VALUE"""),"NoHo A")</f>
        <v>NoHo A</v>
      </c>
      <c r="D32" s="136">
        <f>IFERROR(__xludf.DUMMYFUNCTION("""COMPUTED_VALUE"""),210.0)</f>
        <v>210</v>
      </c>
      <c r="E32" s="137" t="str">
        <f>IFERROR(__xludf.DUMMYFUNCTION("""COMPUTED_VALUE"""),"W")</f>
        <v>W</v>
      </c>
      <c r="F32" s="142">
        <f>IFERROR(__xludf.DUMMYFUNCTION("""COMPUTED_VALUE"""),144.0)</f>
        <v>144</v>
      </c>
      <c r="G32" s="137" t="str">
        <f>IFERROR(__xludf.DUMMYFUNCTION("""COMPUTED_VALUE"""),"W")</f>
        <v>W</v>
      </c>
      <c r="H32" s="138"/>
      <c r="I32" s="140"/>
      <c r="J32" s="113">
        <f>IFERROR(__xludf.DUMMYFUNCTION("""COMPUTED_VALUE"""),248.0)</f>
        <v>248</v>
      </c>
      <c r="K32" s="137" t="str">
        <f>IFERROR(__xludf.DUMMYFUNCTION("""COMPUTED_VALUE"""),"W")</f>
        <v>W</v>
      </c>
      <c r="L32" s="113">
        <f>IFERROR(__xludf.DUMMYFUNCTION("""COMPUTED_VALUE"""),226.0)</f>
        <v>226</v>
      </c>
      <c r="M32" s="141" t="str">
        <f>IFERROR(__xludf.DUMMYFUNCTION("""COMPUTED_VALUE"""),"W")</f>
        <v>W</v>
      </c>
      <c r="N32" s="113" t="str">
        <f>IFERROR(__xludf.DUMMYFUNCTION("""COMPUTED_VALUE"""),"")</f>
        <v/>
      </c>
      <c r="O32" s="118" t="str">
        <f>IFERROR(__xludf.DUMMYFUNCTION("""COMPUTED_VALUE"""),"")</f>
        <v/>
      </c>
      <c r="Q32" s="121">
        <f>IFERROR(__xludf.DUMMYFUNCTION("""COMPUTED_VALUE"""),4.0)</f>
        <v>4</v>
      </c>
      <c r="R32" s="123">
        <f>IFERROR(__xludf.DUMMYFUNCTION("""COMPUTED_VALUE"""),0.0)</f>
        <v>0</v>
      </c>
      <c r="S32" s="123">
        <f>IFERROR(__xludf.DUMMYFUNCTION("""COMPUTED_VALUE"""),0.0)</f>
        <v>0</v>
      </c>
      <c r="T32" s="125">
        <f>IFERROR(__xludf.DUMMYFUNCTION("""COMPUTED_VALUE"""),4.0)</f>
        <v>4</v>
      </c>
      <c r="U32" s="128">
        <f>IFERROR(__xludf.DUMMYFUNCTION("""COMPUTED_VALUE"""),828.0)</f>
        <v>828</v>
      </c>
      <c r="V32" s="129">
        <f>IFERROR(__xludf.DUMMYFUNCTION("""COMPUTED_VALUE"""),207.0)</f>
        <v>207</v>
      </c>
      <c r="W32" s="146" t="str">
        <f>IFERROR(__xludf.DUMMYFUNCTION("""COMPUTED_VALUE"""),"1")</f>
        <v>1</v>
      </c>
      <c r="X32" s="131" t="str">
        <f>IFERROR(__xludf.DUMMYFUNCTION("""COMPUTED_VALUE"""),"NoHo A")</f>
        <v>NoHo A</v>
      </c>
      <c r="Y32" s="132">
        <f>IFERROR(__xludf.DUMMYFUNCTION("""COMPUTED_VALUE"""),207.0)</f>
        <v>207</v>
      </c>
      <c r="Z32" s="36"/>
      <c r="AA32" s="36"/>
      <c r="AB32" s="36"/>
      <c r="AC32" s="36"/>
      <c r="AD32" s="36"/>
      <c r="AE32" s="34"/>
      <c r="AF32" s="34"/>
      <c r="AG32" s="36"/>
      <c r="AH32" s="34"/>
      <c r="AI32" s="36"/>
      <c r="AJ32" s="80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ht="18.75" customHeight="1">
      <c r="A33" s="34"/>
      <c r="B33" s="83"/>
      <c r="C33" s="134" t="str">
        <f>IFERROR(__xludf.DUMMYFUNCTION("""COMPUTED_VALUE"""),"Pullman B")</f>
        <v>Pullman B</v>
      </c>
      <c r="D33" s="136">
        <f>IFERROR(__xludf.DUMMYFUNCTION("""COMPUTED_VALUE"""),36.0)</f>
        <v>36</v>
      </c>
      <c r="E33" s="137" t="str">
        <f>IFERROR(__xludf.DUMMYFUNCTION("""COMPUTED_VALUE"""),"L")</f>
        <v>L</v>
      </c>
      <c r="F33" s="142">
        <f>IFERROR(__xludf.DUMMYFUNCTION("""COMPUTED_VALUE"""),30.0)</f>
        <v>30</v>
      </c>
      <c r="G33" s="137" t="str">
        <f>IFERROR(__xludf.DUMMYFUNCTION("""COMPUTED_VALUE"""),"L")</f>
        <v>L</v>
      </c>
      <c r="H33" s="142">
        <f>IFERROR(__xludf.DUMMYFUNCTION("""COMPUTED_VALUE"""),14.0)</f>
        <v>14</v>
      </c>
      <c r="I33" s="137" t="str">
        <f>IFERROR(__xludf.DUMMYFUNCTION("""COMPUTED_VALUE"""),"L")</f>
        <v>L</v>
      </c>
      <c r="J33" s="138"/>
      <c r="K33" s="140"/>
      <c r="L33" s="113">
        <f>IFERROR(__xludf.DUMMYFUNCTION("""COMPUTED_VALUE"""),62.0)</f>
        <v>62</v>
      </c>
      <c r="M33" s="141" t="str">
        <f>IFERROR(__xludf.DUMMYFUNCTION("""COMPUTED_VALUE"""),"L")</f>
        <v>L</v>
      </c>
      <c r="N33" s="113" t="str">
        <f>IFERROR(__xludf.DUMMYFUNCTION("""COMPUTED_VALUE"""),"")</f>
        <v/>
      </c>
      <c r="O33" s="118" t="str">
        <f>IFERROR(__xludf.DUMMYFUNCTION("""COMPUTED_VALUE"""),"")</f>
        <v/>
      </c>
      <c r="Q33" s="121">
        <f>IFERROR(__xludf.DUMMYFUNCTION("""COMPUTED_VALUE"""),0.0)</f>
        <v>0</v>
      </c>
      <c r="R33" s="123">
        <f>IFERROR(__xludf.DUMMYFUNCTION("""COMPUTED_VALUE"""),0.0)</f>
        <v>0</v>
      </c>
      <c r="S33" s="123">
        <f>IFERROR(__xludf.DUMMYFUNCTION("""COMPUTED_VALUE"""),4.0)</f>
        <v>4</v>
      </c>
      <c r="T33" s="125">
        <f>IFERROR(__xludf.DUMMYFUNCTION("""COMPUTED_VALUE"""),0.0)</f>
        <v>0</v>
      </c>
      <c r="U33" s="128">
        <f>IFERROR(__xludf.DUMMYFUNCTION("""COMPUTED_VALUE"""),142.0)</f>
        <v>142</v>
      </c>
      <c r="V33" s="129">
        <f>IFERROR(__xludf.DUMMYFUNCTION("""COMPUTED_VALUE"""),35.5)</f>
        <v>35.5</v>
      </c>
      <c r="W33" s="130" t="str">
        <f>IFERROR(__xludf.DUMMYFUNCTION("""COMPUTED_VALUE"""),"5")</f>
        <v>5</v>
      </c>
      <c r="X33" s="131" t="str">
        <f>IFERROR(__xludf.DUMMYFUNCTION("""COMPUTED_VALUE"""),"Pullman B")</f>
        <v>Pullman B</v>
      </c>
      <c r="Y33" s="132">
        <f>IFERROR(__xludf.DUMMYFUNCTION("""COMPUTED_VALUE"""),35.5)</f>
        <v>35.5</v>
      </c>
      <c r="Z33" s="36"/>
      <c r="AA33" s="36"/>
      <c r="AB33" s="36"/>
      <c r="AC33" s="36"/>
      <c r="AD33" s="36"/>
      <c r="AE33" s="34"/>
      <c r="AF33" s="34"/>
      <c r="AG33" s="36"/>
      <c r="AH33" s="34"/>
      <c r="AI33" s="36"/>
      <c r="AJ33" s="80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ht="18.75" customHeight="1">
      <c r="A34" s="34"/>
      <c r="B34" s="83"/>
      <c r="C34" s="134" t="str">
        <f>IFERROR(__xludf.DUMMYFUNCTION("""COMPUTED_VALUE"""),"Roosevelt A")</f>
        <v>Roosevelt A</v>
      </c>
      <c r="D34" s="136">
        <f>IFERROR(__xludf.DUMMYFUNCTION("""COMPUTED_VALUE"""),58.0)</f>
        <v>58</v>
      </c>
      <c r="E34" s="143" t="str">
        <f>IFERROR(__xludf.DUMMYFUNCTION("""COMPUTED_VALUE"""),"L")</f>
        <v>L</v>
      </c>
      <c r="F34" s="142">
        <f>IFERROR(__xludf.DUMMYFUNCTION("""COMPUTED_VALUE"""),8.0)</f>
        <v>8</v>
      </c>
      <c r="G34" s="143" t="str">
        <f>IFERROR(__xludf.DUMMYFUNCTION("""COMPUTED_VALUE"""),"L")</f>
        <v>L</v>
      </c>
      <c r="H34" s="142">
        <f>IFERROR(__xludf.DUMMYFUNCTION("""COMPUTED_VALUE"""),22.0)</f>
        <v>22</v>
      </c>
      <c r="I34" s="143" t="str">
        <f>IFERROR(__xludf.DUMMYFUNCTION("""COMPUTED_VALUE"""),"L")</f>
        <v>L</v>
      </c>
      <c r="J34" s="142">
        <f>IFERROR(__xludf.DUMMYFUNCTION("""COMPUTED_VALUE"""),108.0)</f>
        <v>108</v>
      </c>
      <c r="K34" s="143" t="str">
        <f>IFERROR(__xludf.DUMMYFUNCTION("""COMPUTED_VALUE"""),"W")</f>
        <v>W</v>
      </c>
      <c r="L34" s="144"/>
      <c r="M34" s="145"/>
      <c r="N34" s="113" t="str">
        <f>IFERROR(__xludf.DUMMYFUNCTION("""COMPUTED_VALUE"""),"")</f>
        <v/>
      </c>
      <c r="O34" s="118" t="str">
        <f>IFERROR(__xludf.DUMMYFUNCTION("""COMPUTED_VALUE"""),"")</f>
        <v/>
      </c>
      <c r="Q34" s="121">
        <f>IFERROR(__xludf.DUMMYFUNCTION("""COMPUTED_VALUE"""),1.0)</f>
        <v>1</v>
      </c>
      <c r="R34" s="123">
        <f>IFERROR(__xludf.DUMMYFUNCTION("""COMPUTED_VALUE"""),0.0)</f>
        <v>0</v>
      </c>
      <c r="S34" s="123">
        <f>IFERROR(__xludf.DUMMYFUNCTION("""COMPUTED_VALUE"""),3.0)</f>
        <v>3</v>
      </c>
      <c r="T34" s="125">
        <f>IFERROR(__xludf.DUMMYFUNCTION("""COMPUTED_VALUE"""),1.0)</f>
        <v>1</v>
      </c>
      <c r="U34" s="128">
        <f>IFERROR(__xludf.DUMMYFUNCTION("""COMPUTED_VALUE"""),196.0)</f>
        <v>196</v>
      </c>
      <c r="V34" s="129">
        <f>IFERROR(__xludf.DUMMYFUNCTION("""COMPUTED_VALUE"""),49.0)</f>
        <v>49</v>
      </c>
      <c r="W34" s="146" t="str">
        <f>IFERROR(__xludf.DUMMYFUNCTION("""COMPUTED_VALUE"""),"4")</f>
        <v>4</v>
      </c>
      <c r="X34" s="131" t="str">
        <f>IFERROR(__xludf.DUMMYFUNCTION("""COMPUTED_VALUE"""),"Roosevelt A")</f>
        <v>Roosevelt A</v>
      </c>
      <c r="Y34" s="132">
        <f>IFERROR(__xludf.DUMMYFUNCTION("""COMPUTED_VALUE"""),49.0)</f>
        <v>49</v>
      </c>
      <c r="Z34" s="36"/>
      <c r="AA34" s="36"/>
      <c r="AB34" s="36"/>
      <c r="AC34" s="36"/>
      <c r="AD34" s="36"/>
      <c r="AE34" s="34"/>
      <c r="AF34" s="34"/>
      <c r="AG34" s="36"/>
      <c r="AH34" s="34"/>
      <c r="AI34" s="36"/>
      <c r="AJ34" s="80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ht="18.75" hidden="1" customHeight="1">
      <c r="A35" s="34"/>
      <c r="B35" s="83"/>
      <c r="C35" s="134" t="str">
        <f>IFERROR(__xludf.DUMMYFUNCTION("""COMPUTED_VALUE"""),"BYE")</f>
        <v>BYE</v>
      </c>
      <c r="D35" s="136" t="str">
        <f>IFERROR(__xludf.DUMMYFUNCTION("""COMPUTED_VALUE"""),"")</f>
        <v/>
      </c>
      <c r="E35" s="143" t="str">
        <f>IFERROR(__xludf.DUMMYFUNCTION("""COMPUTED_VALUE"""),"")</f>
        <v/>
      </c>
      <c r="F35" s="142" t="str">
        <f>IFERROR(__xludf.DUMMYFUNCTION("""COMPUTED_VALUE"""),"")</f>
        <v/>
      </c>
      <c r="G35" s="143" t="str">
        <f>IFERROR(__xludf.DUMMYFUNCTION("""COMPUTED_VALUE"""),"")</f>
        <v/>
      </c>
      <c r="H35" s="142" t="str">
        <f>IFERROR(__xludf.DUMMYFUNCTION("""COMPUTED_VALUE"""),"")</f>
        <v/>
      </c>
      <c r="I35" s="137" t="str">
        <f>IFERROR(__xludf.DUMMYFUNCTION("""COMPUTED_VALUE"""),"")</f>
        <v/>
      </c>
      <c r="J35" s="142" t="str">
        <f>IFERROR(__xludf.DUMMYFUNCTION("""COMPUTED_VALUE"""),"")</f>
        <v/>
      </c>
      <c r="K35" s="143" t="str">
        <f>IFERROR(__xludf.DUMMYFUNCTION("""COMPUTED_VALUE"""),"")</f>
        <v/>
      </c>
      <c r="L35" s="142" t="str">
        <f>IFERROR(__xludf.DUMMYFUNCTION("""COMPUTED_VALUE"""),"")</f>
        <v/>
      </c>
      <c r="M35" s="143" t="str">
        <f>IFERROR(__xludf.DUMMYFUNCTION("""COMPUTED_VALUE"""),"")</f>
        <v/>
      </c>
      <c r="N35" s="147"/>
      <c r="O35" s="148"/>
      <c r="P35" s="89"/>
      <c r="Q35" s="121">
        <f>IFERROR(__xludf.DUMMYFUNCTION("""COMPUTED_VALUE"""),0.0)</f>
        <v>0</v>
      </c>
      <c r="R35" s="123">
        <f>IFERROR(__xludf.DUMMYFUNCTION("""COMPUTED_VALUE"""),0.0)</f>
        <v>0</v>
      </c>
      <c r="S35" s="123">
        <f>IFERROR(__xludf.DUMMYFUNCTION("""COMPUTED_VALUE"""),0.0)</f>
        <v>0</v>
      </c>
      <c r="T35" s="125">
        <f>IFERROR(__xludf.DUMMYFUNCTION("""COMPUTED_VALUE"""),0.0)</f>
        <v>0</v>
      </c>
      <c r="U35" s="128">
        <f>IFERROR(__xludf.DUMMYFUNCTION("""COMPUTED_VALUE"""),0.0)</f>
        <v>0</v>
      </c>
      <c r="V35" s="129" t="str">
        <f>IFERROR(__xludf.DUMMYFUNCTION("""COMPUTED_VALUE"""),"")</f>
        <v/>
      </c>
      <c r="W35" s="149"/>
      <c r="X35" s="131" t="str">
        <f>IFERROR(__xludf.DUMMYFUNCTION("""COMPUTED_VALUE"""),"BYE")</f>
        <v>BYE</v>
      </c>
      <c r="Y35" s="132" t="str">
        <f>IFERROR(__xludf.DUMMYFUNCTION("""COMPUTED_VALUE"""),"")</f>
        <v/>
      </c>
      <c r="Z35" s="36"/>
      <c r="AA35" s="36"/>
      <c r="AB35" s="36"/>
      <c r="AC35" s="36"/>
      <c r="AD35" s="36"/>
      <c r="AE35" s="34"/>
      <c r="AF35" s="34"/>
      <c r="AG35" s="36"/>
      <c r="AH35" s="34"/>
      <c r="AI35" s="36"/>
      <c r="AJ35" s="80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ht="18.75" customHeight="1">
      <c r="A36" s="36"/>
      <c r="B36" s="150"/>
      <c r="C36" s="151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52"/>
      <c r="Y36" s="78"/>
      <c r="Z36" s="36"/>
      <c r="AA36" s="36"/>
      <c r="AB36" s="36"/>
      <c r="AC36" s="36"/>
      <c r="AD36" s="36"/>
      <c r="AE36" s="34"/>
      <c r="AF36" s="34"/>
      <c r="AG36" s="36"/>
      <c r="AH36" s="34"/>
      <c r="AI36" s="36"/>
      <c r="AJ36" s="80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ht="18.75" customHeight="1">
      <c r="A37" s="34"/>
      <c r="B37" s="34"/>
      <c r="C37" s="34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3"/>
      <c r="U37" s="36"/>
      <c r="V37" s="36"/>
      <c r="W37" s="48"/>
      <c r="X37" s="50"/>
      <c r="Y37" s="78"/>
      <c r="Z37" s="36"/>
      <c r="AA37" s="36"/>
      <c r="AB37" s="36"/>
      <c r="AC37" s="36"/>
      <c r="AD37" s="36"/>
      <c r="AE37" s="34"/>
      <c r="AF37" s="34"/>
      <c r="AG37" s="36"/>
      <c r="AH37" s="34"/>
      <c r="AI37" s="36"/>
      <c r="AJ37" s="80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ht="18.75" customHeight="1">
      <c r="A38" s="34"/>
      <c r="B38" s="34"/>
      <c r="C38" s="34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3"/>
      <c r="U38" s="36"/>
      <c r="V38" s="36"/>
      <c r="W38" s="48"/>
      <c r="X38" s="50"/>
      <c r="Y38" s="78"/>
      <c r="Z38" s="36"/>
      <c r="AA38" s="36"/>
      <c r="AB38" s="36"/>
      <c r="AC38" s="36"/>
      <c r="AD38" s="36"/>
      <c r="AE38" s="34"/>
      <c r="AF38" s="34"/>
      <c r="AG38" s="36"/>
      <c r="AH38" s="34"/>
      <c r="AI38" s="36"/>
      <c r="AJ38" s="80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ht="18.75" customHeight="1">
      <c r="A39" s="55"/>
      <c r="B39" s="55"/>
      <c r="C39" s="55" t="str">
        <f>IFERROR(__xludf.DUMMYFUNCTION("""COMPUTED_VALUE"""),"Darwin")</f>
        <v>Darwin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58"/>
      <c r="U39" s="6"/>
      <c r="V39" s="6"/>
      <c r="W39" s="53"/>
      <c r="X39" s="60"/>
      <c r="Y39" s="78"/>
      <c r="Z39" s="36"/>
      <c r="AA39" s="36"/>
      <c r="AB39" s="36"/>
      <c r="AC39" s="36"/>
      <c r="AD39" s="36"/>
      <c r="AE39" s="34"/>
      <c r="AF39" s="34"/>
      <c r="AG39" s="36"/>
      <c r="AH39" s="34"/>
      <c r="AI39" s="36"/>
      <c r="AJ39" s="80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ht="18.75" customHeight="1">
      <c r="A40" s="36"/>
      <c r="B40" s="67"/>
      <c r="C40" s="71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7"/>
      <c r="Y40" s="78"/>
      <c r="Z40" s="36"/>
      <c r="AA40" s="36"/>
      <c r="AB40" s="36"/>
      <c r="AC40" s="36"/>
      <c r="AD40" s="36"/>
      <c r="AE40" s="34"/>
      <c r="AF40" s="34"/>
      <c r="AG40" s="36"/>
      <c r="AH40" s="34"/>
      <c r="AI40" s="36"/>
      <c r="AJ40" s="80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ht="18.75" customHeight="1">
      <c r="A41" s="82"/>
      <c r="B41" s="83"/>
      <c r="C41" s="84" t="str">
        <f>IFERROR(__xludf.DUMMYFUNCTION("""COMPUTED_VALUE"""),"Team")</f>
        <v>Team</v>
      </c>
      <c r="D41" s="34" t="str">
        <f>IFERROR(__xludf.DUMMYFUNCTION("""COMPUTED_VALUE"""),"American B")</f>
        <v>American B</v>
      </c>
      <c r="F41" s="85" t="str">
        <f>IFERROR(__xludf.DUMMYFUNCTION("""COMPUTED_VALUE"""),"Bentonville")</f>
        <v>Bentonville</v>
      </c>
      <c r="G41" s="86"/>
      <c r="H41" s="85" t="str">
        <f>IFERROR(__xludf.DUMMYFUNCTION("""COMPUTED_VALUE"""),"Canyon Crest A")</f>
        <v>Canyon Crest A</v>
      </c>
      <c r="I41" s="86"/>
      <c r="J41" s="85" t="str">
        <f>IFERROR(__xludf.DUMMYFUNCTION("""COMPUTED_VALUE"""),"NCSSM A")</f>
        <v>NCSSM A</v>
      </c>
      <c r="K41" s="86"/>
      <c r="L41" s="85" t="str">
        <f>IFERROR(__xludf.DUMMYFUNCTION("""COMPUTED_VALUE"""),"Wayzata C")</f>
        <v>Wayzata C</v>
      </c>
      <c r="M41" s="86"/>
      <c r="N41" s="85" t="str">
        <f>IFERROR(__xludf.DUMMYFUNCTION("""COMPUTED_VALUE"""),"BYE")</f>
        <v>BYE</v>
      </c>
      <c r="O41" s="86"/>
      <c r="P41" s="89"/>
      <c r="Q41" s="93" t="str">
        <f>IFERROR(__xludf.DUMMYFUNCTION("""COMPUTED_VALUE"""),"W")</f>
        <v>W</v>
      </c>
      <c r="R41" s="93" t="str">
        <f>IFERROR(__xludf.DUMMYFUNCTION("""COMPUTED_VALUE"""),"T")</f>
        <v>T</v>
      </c>
      <c r="S41" s="93" t="str">
        <f>IFERROR(__xludf.DUMMYFUNCTION("""COMPUTED_VALUE"""),"L")</f>
        <v>L</v>
      </c>
      <c r="T41" s="95" t="str">
        <f>IFERROR(__xludf.DUMMYFUNCTION("""COMPUTED_VALUE"""),"W/L Score")</f>
        <v>W/L Score</v>
      </c>
      <c r="U41" s="93" t="str">
        <f>IFERROR(__xludf.DUMMYFUNCTION("""COMPUTED_VALUE"""),"Points")</f>
        <v>Points</v>
      </c>
      <c r="V41" s="93" t="str">
        <f>IFERROR(__xludf.DUMMYFUNCTION("""COMPUTED_VALUE"""),"Average")</f>
        <v>Average</v>
      </c>
      <c r="W41" s="97" t="str">
        <f>IFERROR(__xludf.DUMMYFUNCTION("""COMPUTED_VALUE"""),"Rank")</f>
        <v>Rank</v>
      </c>
      <c r="X41" s="98"/>
      <c r="Y41" s="78"/>
      <c r="Z41" s="36"/>
      <c r="AA41" s="36"/>
      <c r="AB41" s="36"/>
      <c r="AC41" s="36"/>
      <c r="AD41" s="36"/>
      <c r="AE41" s="34"/>
      <c r="AF41" s="34"/>
      <c r="AG41" s="36"/>
      <c r="AH41" s="34"/>
      <c r="AI41" s="36"/>
      <c r="AJ41" s="80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ht="18.75" customHeight="1">
      <c r="A42" s="101"/>
      <c r="B42" s="83"/>
      <c r="C42" s="103" t="str">
        <f>IFERROR(__xludf.DUMMYFUNCTION("""COMPUTED_VALUE"""),"American B")</f>
        <v>American B</v>
      </c>
      <c r="D42" s="107"/>
      <c r="E42" s="109"/>
      <c r="F42" s="113">
        <f>IFERROR(__xludf.DUMMYFUNCTION("""COMPUTED_VALUE"""),82.0)</f>
        <v>82</v>
      </c>
      <c r="G42" s="115" t="str">
        <f>IFERROR(__xludf.DUMMYFUNCTION("""COMPUTED_VALUE"""),"L")</f>
        <v>L</v>
      </c>
      <c r="H42" s="113">
        <f>IFERROR(__xludf.DUMMYFUNCTION("""COMPUTED_VALUE"""),30.0)</f>
        <v>30</v>
      </c>
      <c r="I42" s="115" t="str">
        <f>IFERROR(__xludf.DUMMYFUNCTION("""COMPUTED_VALUE"""),"L")</f>
        <v>L</v>
      </c>
      <c r="J42" s="113">
        <f>IFERROR(__xludf.DUMMYFUNCTION("""COMPUTED_VALUE"""),38.0)</f>
        <v>38</v>
      </c>
      <c r="K42" s="115" t="str">
        <f>IFERROR(__xludf.DUMMYFUNCTION("""COMPUTED_VALUE"""),"L")</f>
        <v>L</v>
      </c>
      <c r="L42" s="113">
        <f>IFERROR(__xludf.DUMMYFUNCTION("""COMPUTED_VALUE"""),50.0)</f>
        <v>50</v>
      </c>
      <c r="M42" s="118" t="str">
        <f>IFERROR(__xludf.DUMMYFUNCTION("""COMPUTED_VALUE"""),"L")</f>
        <v>L</v>
      </c>
      <c r="N42" s="113" t="str">
        <f>IFERROR(__xludf.DUMMYFUNCTION("""COMPUTED_VALUE"""),"")</f>
        <v/>
      </c>
      <c r="O42" s="118" t="str">
        <f>IFERROR(__xludf.DUMMYFUNCTION("""COMPUTED_VALUE"""),"")</f>
        <v/>
      </c>
      <c r="Q42" s="121">
        <f>IFERROR(__xludf.DUMMYFUNCTION("""COMPUTED_VALUE"""),0.0)</f>
        <v>0</v>
      </c>
      <c r="R42" s="123">
        <f>IFERROR(__xludf.DUMMYFUNCTION("""COMPUTED_VALUE"""),0.0)</f>
        <v>0</v>
      </c>
      <c r="S42" s="123">
        <f>IFERROR(__xludf.DUMMYFUNCTION("""COMPUTED_VALUE"""),4.0)</f>
        <v>4</v>
      </c>
      <c r="T42" s="125">
        <f>IFERROR(__xludf.DUMMYFUNCTION("""COMPUTED_VALUE"""),0.0)</f>
        <v>0</v>
      </c>
      <c r="U42" s="128">
        <f>IFERROR(__xludf.DUMMYFUNCTION("""COMPUTED_VALUE"""),200.0)</f>
        <v>200</v>
      </c>
      <c r="V42" s="129">
        <f>IFERROR(__xludf.DUMMYFUNCTION("""COMPUTED_VALUE"""),50.0)</f>
        <v>50</v>
      </c>
      <c r="W42" s="146" t="str">
        <f>IFERROR(__xludf.DUMMYFUNCTION("""COMPUTED_VALUE"""),"5")</f>
        <v>5</v>
      </c>
      <c r="X42" s="131" t="str">
        <f>IFERROR(__xludf.DUMMYFUNCTION("""COMPUTED_VALUE"""),"American B")</f>
        <v>American B</v>
      </c>
      <c r="Y42" s="132">
        <f>IFERROR(__xludf.DUMMYFUNCTION("""COMPUTED_VALUE"""),50.0)</f>
        <v>50</v>
      </c>
      <c r="Z42" s="36"/>
      <c r="AA42" s="36"/>
      <c r="AB42" s="36"/>
      <c r="AC42" s="36"/>
      <c r="AD42" s="36"/>
      <c r="AE42" s="34"/>
      <c r="AF42" s="34"/>
      <c r="AG42" s="36"/>
      <c r="AH42" s="34"/>
      <c r="AI42" s="36"/>
      <c r="AJ42" s="80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ht="18.75" customHeight="1">
      <c r="A43" s="34"/>
      <c r="B43" s="83"/>
      <c r="C43" s="134" t="str">
        <f>IFERROR(__xludf.DUMMYFUNCTION("""COMPUTED_VALUE"""),"Bentonville")</f>
        <v>Bentonville</v>
      </c>
      <c r="D43" s="136">
        <f>IFERROR(__xludf.DUMMYFUNCTION("""COMPUTED_VALUE"""),118.0)</f>
        <v>118</v>
      </c>
      <c r="E43" s="137" t="str">
        <f>IFERROR(__xludf.DUMMYFUNCTION("""COMPUTED_VALUE"""),"W")</f>
        <v>W</v>
      </c>
      <c r="F43" s="138"/>
      <c r="G43" s="140"/>
      <c r="H43" s="113">
        <f>IFERROR(__xludf.DUMMYFUNCTION("""COMPUTED_VALUE"""),34.0)</f>
        <v>34</v>
      </c>
      <c r="I43" s="137" t="str">
        <f>IFERROR(__xludf.DUMMYFUNCTION("""COMPUTED_VALUE"""),"L")</f>
        <v>L</v>
      </c>
      <c r="J43" s="113">
        <f>IFERROR(__xludf.DUMMYFUNCTION("""COMPUTED_VALUE"""),18.0)</f>
        <v>18</v>
      </c>
      <c r="K43" s="137" t="str">
        <f>IFERROR(__xludf.DUMMYFUNCTION("""COMPUTED_VALUE"""),"L")</f>
        <v>L</v>
      </c>
      <c r="L43" s="113">
        <f>IFERROR(__xludf.DUMMYFUNCTION("""COMPUTED_VALUE"""),80.0)</f>
        <v>80</v>
      </c>
      <c r="M43" s="141" t="str">
        <f>IFERROR(__xludf.DUMMYFUNCTION("""COMPUTED_VALUE"""),"W")</f>
        <v>W</v>
      </c>
      <c r="N43" s="113" t="str">
        <f>IFERROR(__xludf.DUMMYFUNCTION("""COMPUTED_VALUE"""),"")</f>
        <v/>
      </c>
      <c r="O43" s="118" t="str">
        <f>IFERROR(__xludf.DUMMYFUNCTION("""COMPUTED_VALUE"""),"")</f>
        <v/>
      </c>
      <c r="Q43" s="121">
        <f>IFERROR(__xludf.DUMMYFUNCTION("""COMPUTED_VALUE"""),2.0)</f>
        <v>2</v>
      </c>
      <c r="R43" s="123">
        <f>IFERROR(__xludf.DUMMYFUNCTION("""COMPUTED_VALUE"""),0.0)</f>
        <v>0</v>
      </c>
      <c r="S43" s="123">
        <f>IFERROR(__xludf.DUMMYFUNCTION("""COMPUTED_VALUE"""),2.0)</f>
        <v>2</v>
      </c>
      <c r="T43" s="125">
        <f>IFERROR(__xludf.DUMMYFUNCTION("""COMPUTED_VALUE"""),2.0)</f>
        <v>2</v>
      </c>
      <c r="U43" s="128">
        <f>IFERROR(__xludf.DUMMYFUNCTION("""COMPUTED_VALUE"""),250.0)</f>
        <v>250</v>
      </c>
      <c r="V43" s="129">
        <f>IFERROR(__xludf.DUMMYFUNCTION("""COMPUTED_VALUE"""),62.5)</f>
        <v>62.5</v>
      </c>
      <c r="W43" s="130" t="str">
        <f>IFERROR(__xludf.DUMMYFUNCTION("""COMPUTED_VALUE"""),"3")</f>
        <v>3</v>
      </c>
      <c r="X43" s="131" t="str">
        <f>IFERROR(__xludf.DUMMYFUNCTION("""COMPUTED_VALUE"""),"Bentonville")</f>
        <v>Bentonville</v>
      </c>
      <c r="Y43" s="132">
        <f>IFERROR(__xludf.DUMMYFUNCTION("""COMPUTED_VALUE"""),62.5)</f>
        <v>62.5</v>
      </c>
      <c r="Z43" s="36"/>
      <c r="AA43" s="36"/>
      <c r="AB43" s="36"/>
      <c r="AC43" s="36"/>
      <c r="AD43" s="36"/>
      <c r="AE43" s="34"/>
      <c r="AF43" s="34"/>
      <c r="AG43" s="36"/>
      <c r="AH43" s="34"/>
      <c r="AI43" s="36"/>
      <c r="AJ43" s="80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ht="18.75" customHeight="1">
      <c r="A44" s="34"/>
      <c r="B44" s="83"/>
      <c r="C44" s="134" t="str">
        <f>IFERROR(__xludf.DUMMYFUNCTION("""COMPUTED_VALUE"""),"Canyon Crest A")</f>
        <v>Canyon Crest A</v>
      </c>
      <c r="D44" s="136">
        <f>IFERROR(__xludf.DUMMYFUNCTION("""COMPUTED_VALUE"""),104.0)</f>
        <v>104</v>
      </c>
      <c r="E44" s="137" t="str">
        <f>IFERROR(__xludf.DUMMYFUNCTION("""COMPUTED_VALUE"""),"W")</f>
        <v>W</v>
      </c>
      <c r="F44" s="142">
        <f>IFERROR(__xludf.DUMMYFUNCTION("""COMPUTED_VALUE"""),172.0)</f>
        <v>172</v>
      </c>
      <c r="G44" s="137" t="str">
        <f>IFERROR(__xludf.DUMMYFUNCTION("""COMPUTED_VALUE"""),"W")</f>
        <v>W</v>
      </c>
      <c r="H44" s="138"/>
      <c r="I44" s="140"/>
      <c r="J44" s="113">
        <f>IFERROR(__xludf.DUMMYFUNCTION("""COMPUTED_VALUE"""),168.0)</f>
        <v>168</v>
      </c>
      <c r="K44" s="137" t="str">
        <f>IFERROR(__xludf.DUMMYFUNCTION("""COMPUTED_VALUE"""),"W")</f>
        <v>W</v>
      </c>
      <c r="L44" s="113">
        <f>IFERROR(__xludf.DUMMYFUNCTION("""COMPUTED_VALUE"""),192.0)</f>
        <v>192</v>
      </c>
      <c r="M44" s="141" t="str">
        <f>IFERROR(__xludf.DUMMYFUNCTION("""COMPUTED_VALUE"""),"W")</f>
        <v>W</v>
      </c>
      <c r="N44" s="113" t="str">
        <f>IFERROR(__xludf.DUMMYFUNCTION("""COMPUTED_VALUE"""),"")</f>
        <v/>
      </c>
      <c r="O44" s="118" t="str">
        <f>IFERROR(__xludf.DUMMYFUNCTION("""COMPUTED_VALUE"""),"")</f>
        <v/>
      </c>
      <c r="Q44" s="121">
        <f>IFERROR(__xludf.DUMMYFUNCTION("""COMPUTED_VALUE"""),4.0)</f>
        <v>4</v>
      </c>
      <c r="R44" s="123">
        <f>IFERROR(__xludf.DUMMYFUNCTION("""COMPUTED_VALUE"""),0.0)</f>
        <v>0</v>
      </c>
      <c r="S44" s="123">
        <f>IFERROR(__xludf.DUMMYFUNCTION("""COMPUTED_VALUE"""),0.0)</f>
        <v>0</v>
      </c>
      <c r="T44" s="125">
        <f>IFERROR(__xludf.DUMMYFUNCTION("""COMPUTED_VALUE"""),4.0)</f>
        <v>4</v>
      </c>
      <c r="U44" s="128">
        <f>IFERROR(__xludf.DUMMYFUNCTION("""COMPUTED_VALUE"""),636.0)</f>
        <v>636</v>
      </c>
      <c r="V44" s="129">
        <f>IFERROR(__xludf.DUMMYFUNCTION("""COMPUTED_VALUE"""),159.0)</f>
        <v>159</v>
      </c>
      <c r="W44" s="146" t="str">
        <f>IFERROR(__xludf.DUMMYFUNCTION("""COMPUTED_VALUE"""),"1")</f>
        <v>1</v>
      </c>
      <c r="X44" s="131" t="str">
        <f>IFERROR(__xludf.DUMMYFUNCTION("""COMPUTED_VALUE"""),"Canyon Crest A")</f>
        <v>Canyon Crest A</v>
      </c>
      <c r="Y44" s="132">
        <f>IFERROR(__xludf.DUMMYFUNCTION("""COMPUTED_VALUE"""),159.0)</f>
        <v>159</v>
      </c>
      <c r="Z44" s="36"/>
      <c r="AA44" s="36"/>
      <c r="AB44" s="36"/>
      <c r="AC44" s="36"/>
      <c r="AD44" s="36"/>
      <c r="AE44" s="34"/>
      <c r="AF44" s="34"/>
      <c r="AG44" s="36"/>
      <c r="AH44" s="34"/>
      <c r="AI44" s="36"/>
      <c r="AJ44" s="80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ht="18.75" customHeight="1">
      <c r="A45" s="34"/>
      <c r="B45" s="83"/>
      <c r="C45" s="134" t="str">
        <f>IFERROR(__xludf.DUMMYFUNCTION("""COMPUTED_VALUE"""),"NCSSM A")</f>
        <v>NCSSM A</v>
      </c>
      <c r="D45" s="136">
        <f>IFERROR(__xludf.DUMMYFUNCTION("""COMPUTED_VALUE"""),152.0)</f>
        <v>152</v>
      </c>
      <c r="E45" s="137" t="str">
        <f>IFERROR(__xludf.DUMMYFUNCTION("""COMPUTED_VALUE"""),"W")</f>
        <v>W</v>
      </c>
      <c r="F45" s="142">
        <f>IFERROR(__xludf.DUMMYFUNCTION("""COMPUTED_VALUE"""),192.0)</f>
        <v>192</v>
      </c>
      <c r="G45" s="137" t="str">
        <f>IFERROR(__xludf.DUMMYFUNCTION("""COMPUTED_VALUE"""),"W")</f>
        <v>W</v>
      </c>
      <c r="H45" s="142">
        <f>IFERROR(__xludf.DUMMYFUNCTION("""COMPUTED_VALUE"""),120.0)</f>
        <v>120</v>
      </c>
      <c r="I45" s="137" t="str">
        <f>IFERROR(__xludf.DUMMYFUNCTION("""COMPUTED_VALUE"""),"L")</f>
        <v>L</v>
      </c>
      <c r="J45" s="138"/>
      <c r="K45" s="140"/>
      <c r="L45" s="113">
        <f>IFERROR(__xludf.DUMMYFUNCTION("""COMPUTED_VALUE"""),174.0)</f>
        <v>174</v>
      </c>
      <c r="M45" s="141" t="str">
        <f>IFERROR(__xludf.DUMMYFUNCTION("""COMPUTED_VALUE"""),"W")</f>
        <v>W</v>
      </c>
      <c r="N45" s="113" t="str">
        <f>IFERROR(__xludf.DUMMYFUNCTION("""COMPUTED_VALUE"""),"")</f>
        <v/>
      </c>
      <c r="O45" s="118" t="str">
        <f>IFERROR(__xludf.DUMMYFUNCTION("""COMPUTED_VALUE"""),"")</f>
        <v/>
      </c>
      <c r="Q45" s="121">
        <f>IFERROR(__xludf.DUMMYFUNCTION("""COMPUTED_VALUE"""),3.0)</f>
        <v>3</v>
      </c>
      <c r="R45" s="123">
        <f>IFERROR(__xludf.DUMMYFUNCTION("""COMPUTED_VALUE"""),0.0)</f>
        <v>0</v>
      </c>
      <c r="S45" s="123">
        <f>IFERROR(__xludf.DUMMYFUNCTION("""COMPUTED_VALUE"""),1.0)</f>
        <v>1</v>
      </c>
      <c r="T45" s="125">
        <f>IFERROR(__xludf.DUMMYFUNCTION("""COMPUTED_VALUE"""),3.0)</f>
        <v>3</v>
      </c>
      <c r="U45" s="128">
        <f>IFERROR(__xludf.DUMMYFUNCTION("""COMPUTED_VALUE"""),638.0)</f>
        <v>638</v>
      </c>
      <c r="V45" s="129">
        <f>IFERROR(__xludf.DUMMYFUNCTION("""COMPUTED_VALUE"""),159.5)</f>
        <v>159.5</v>
      </c>
      <c r="W45" s="130" t="str">
        <f>IFERROR(__xludf.DUMMYFUNCTION("""COMPUTED_VALUE"""),"2")</f>
        <v>2</v>
      </c>
      <c r="X45" s="131" t="str">
        <f>IFERROR(__xludf.DUMMYFUNCTION("""COMPUTED_VALUE"""),"NCSSM A")</f>
        <v>NCSSM A</v>
      </c>
      <c r="Y45" s="132">
        <f>IFERROR(__xludf.DUMMYFUNCTION("""COMPUTED_VALUE"""),159.5)</f>
        <v>159.5</v>
      </c>
      <c r="Z45" s="36"/>
      <c r="AA45" s="36"/>
      <c r="AB45" s="36"/>
      <c r="AC45" s="36"/>
      <c r="AD45" s="36"/>
      <c r="AE45" s="34"/>
      <c r="AF45" s="34"/>
      <c r="AG45" s="36"/>
      <c r="AH45" s="34"/>
      <c r="AI45" s="36"/>
      <c r="AJ45" s="80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ht="18.75" customHeight="1">
      <c r="A46" s="34"/>
      <c r="B46" s="83"/>
      <c r="C46" s="134" t="str">
        <f>IFERROR(__xludf.DUMMYFUNCTION("""COMPUTED_VALUE"""),"Wayzata C")</f>
        <v>Wayzata C</v>
      </c>
      <c r="D46" s="136">
        <f>IFERROR(__xludf.DUMMYFUNCTION("""COMPUTED_VALUE"""),80.0)</f>
        <v>80</v>
      </c>
      <c r="E46" s="143" t="str">
        <f>IFERROR(__xludf.DUMMYFUNCTION("""COMPUTED_VALUE"""),"W")</f>
        <v>W</v>
      </c>
      <c r="F46" s="142">
        <f>IFERROR(__xludf.DUMMYFUNCTION("""COMPUTED_VALUE"""),76.0)</f>
        <v>76</v>
      </c>
      <c r="G46" s="143" t="str">
        <f>IFERROR(__xludf.DUMMYFUNCTION("""COMPUTED_VALUE"""),"L")</f>
        <v>L</v>
      </c>
      <c r="H46" s="142">
        <f>IFERROR(__xludf.DUMMYFUNCTION("""COMPUTED_VALUE"""),30.0)</f>
        <v>30</v>
      </c>
      <c r="I46" s="143" t="str">
        <f>IFERROR(__xludf.DUMMYFUNCTION("""COMPUTED_VALUE"""),"L")</f>
        <v>L</v>
      </c>
      <c r="J46" s="142">
        <f>IFERROR(__xludf.DUMMYFUNCTION("""COMPUTED_VALUE"""),34.0)</f>
        <v>34</v>
      </c>
      <c r="K46" s="143" t="str">
        <f>IFERROR(__xludf.DUMMYFUNCTION("""COMPUTED_VALUE"""),"L")</f>
        <v>L</v>
      </c>
      <c r="L46" s="144"/>
      <c r="M46" s="145"/>
      <c r="N46" s="113" t="str">
        <f>IFERROR(__xludf.DUMMYFUNCTION("""COMPUTED_VALUE"""),"")</f>
        <v/>
      </c>
      <c r="O46" s="118" t="str">
        <f>IFERROR(__xludf.DUMMYFUNCTION("""COMPUTED_VALUE"""),"")</f>
        <v/>
      </c>
      <c r="Q46" s="121">
        <f>IFERROR(__xludf.DUMMYFUNCTION("""COMPUTED_VALUE"""),1.0)</f>
        <v>1</v>
      </c>
      <c r="R46" s="123">
        <f>IFERROR(__xludf.DUMMYFUNCTION("""COMPUTED_VALUE"""),0.0)</f>
        <v>0</v>
      </c>
      <c r="S46" s="123">
        <f>IFERROR(__xludf.DUMMYFUNCTION("""COMPUTED_VALUE"""),3.0)</f>
        <v>3</v>
      </c>
      <c r="T46" s="125">
        <f>IFERROR(__xludf.DUMMYFUNCTION("""COMPUTED_VALUE"""),1.0)</f>
        <v>1</v>
      </c>
      <c r="U46" s="128">
        <f>IFERROR(__xludf.DUMMYFUNCTION("""COMPUTED_VALUE"""),220.0)</f>
        <v>220</v>
      </c>
      <c r="V46" s="129">
        <f>IFERROR(__xludf.DUMMYFUNCTION("""COMPUTED_VALUE"""),55.0)</f>
        <v>55</v>
      </c>
      <c r="W46" s="146" t="str">
        <f>IFERROR(__xludf.DUMMYFUNCTION("""COMPUTED_VALUE"""),"4")</f>
        <v>4</v>
      </c>
      <c r="X46" s="131" t="str">
        <f>IFERROR(__xludf.DUMMYFUNCTION("""COMPUTED_VALUE"""),"Wayzata C")</f>
        <v>Wayzata C</v>
      </c>
      <c r="Y46" s="132">
        <f>IFERROR(__xludf.DUMMYFUNCTION("""COMPUTED_VALUE"""),55.0)</f>
        <v>55</v>
      </c>
      <c r="Z46" s="36"/>
      <c r="AA46" s="36"/>
      <c r="AB46" s="36"/>
      <c r="AC46" s="36"/>
      <c r="AD46" s="36"/>
      <c r="AE46" s="34"/>
      <c r="AF46" s="34"/>
      <c r="AG46" s="36"/>
      <c r="AH46" s="34"/>
      <c r="AI46" s="36"/>
      <c r="AJ46" s="80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ht="18.75" hidden="1" customHeight="1">
      <c r="A47" s="34"/>
      <c r="B47" s="83"/>
      <c r="C47" s="134" t="str">
        <f>IFERROR(__xludf.DUMMYFUNCTION("""COMPUTED_VALUE"""),"BYE")</f>
        <v>BYE</v>
      </c>
      <c r="D47" s="136" t="str">
        <f>IFERROR(__xludf.DUMMYFUNCTION("""COMPUTED_VALUE"""),"")</f>
        <v/>
      </c>
      <c r="E47" s="143" t="str">
        <f>IFERROR(__xludf.DUMMYFUNCTION("""COMPUTED_VALUE"""),"")</f>
        <v/>
      </c>
      <c r="F47" s="142" t="str">
        <f>IFERROR(__xludf.DUMMYFUNCTION("""COMPUTED_VALUE"""),"")</f>
        <v/>
      </c>
      <c r="G47" s="143" t="str">
        <f>IFERROR(__xludf.DUMMYFUNCTION("""COMPUTED_VALUE"""),"")</f>
        <v/>
      </c>
      <c r="H47" s="142" t="str">
        <f>IFERROR(__xludf.DUMMYFUNCTION("""COMPUTED_VALUE"""),"")</f>
        <v/>
      </c>
      <c r="I47" s="137" t="str">
        <f>IFERROR(__xludf.DUMMYFUNCTION("""COMPUTED_VALUE"""),"")</f>
        <v/>
      </c>
      <c r="J47" s="142" t="str">
        <f>IFERROR(__xludf.DUMMYFUNCTION("""COMPUTED_VALUE"""),"")</f>
        <v/>
      </c>
      <c r="K47" s="143" t="str">
        <f>IFERROR(__xludf.DUMMYFUNCTION("""COMPUTED_VALUE"""),"")</f>
        <v/>
      </c>
      <c r="L47" s="142" t="str">
        <f>IFERROR(__xludf.DUMMYFUNCTION("""COMPUTED_VALUE"""),"")</f>
        <v/>
      </c>
      <c r="M47" s="143" t="str">
        <f>IFERROR(__xludf.DUMMYFUNCTION("""COMPUTED_VALUE"""),"")</f>
        <v/>
      </c>
      <c r="N47" s="147"/>
      <c r="O47" s="148"/>
      <c r="P47" s="89"/>
      <c r="Q47" s="121">
        <f>IFERROR(__xludf.DUMMYFUNCTION("""COMPUTED_VALUE"""),0.0)</f>
        <v>0</v>
      </c>
      <c r="R47" s="123">
        <f>IFERROR(__xludf.DUMMYFUNCTION("""COMPUTED_VALUE"""),0.0)</f>
        <v>0</v>
      </c>
      <c r="S47" s="123">
        <f>IFERROR(__xludf.DUMMYFUNCTION("""COMPUTED_VALUE"""),0.0)</f>
        <v>0</v>
      </c>
      <c r="T47" s="125">
        <f>IFERROR(__xludf.DUMMYFUNCTION("""COMPUTED_VALUE"""),0.0)</f>
        <v>0</v>
      </c>
      <c r="U47" s="128">
        <f>IFERROR(__xludf.DUMMYFUNCTION("""COMPUTED_VALUE"""),0.0)</f>
        <v>0</v>
      </c>
      <c r="V47" s="129" t="str">
        <f>IFERROR(__xludf.DUMMYFUNCTION("""COMPUTED_VALUE"""),"")</f>
        <v/>
      </c>
      <c r="W47" s="149"/>
      <c r="X47" s="131" t="str">
        <f>IFERROR(__xludf.DUMMYFUNCTION("""COMPUTED_VALUE"""),"BYE")</f>
        <v>BYE</v>
      </c>
      <c r="Y47" s="132" t="str">
        <f>IFERROR(__xludf.DUMMYFUNCTION("""COMPUTED_VALUE"""),"")</f>
        <v/>
      </c>
      <c r="Z47" s="36"/>
      <c r="AA47" s="36"/>
      <c r="AB47" s="36"/>
      <c r="AC47" s="36"/>
      <c r="AD47" s="36"/>
      <c r="AE47" s="34"/>
      <c r="AF47" s="34"/>
      <c r="AG47" s="36"/>
      <c r="AH47" s="34"/>
      <c r="AI47" s="36"/>
      <c r="AJ47" s="80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ht="18.75" customHeight="1">
      <c r="A48" s="36"/>
      <c r="B48" s="150"/>
      <c r="C48" s="151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52"/>
      <c r="Y48" s="78"/>
      <c r="Z48" s="36"/>
      <c r="AA48" s="36"/>
      <c r="AB48" s="36"/>
      <c r="AC48" s="36"/>
      <c r="AD48" s="36"/>
      <c r="AE48" s="34"/>
      <c r="AF48" s="34"/>
      <c r="AG48" s="36"/>
      <c r="AH48" s="34"/>
      <c r="AI48" s="36"/>
      <c r="AJ48" s="80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ht="18.75" customHeight="1">
      <c r="A49" s="34"/>
      <c r="B49" s="34"/>
      <c r="C49" s="34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3"/>
      <c r="U49" s="36"/>
      <c r="V49" s="36"/>
      <c r="W49" s="48"/>
      <c r="X49" s="50"/>
      <c r="Y49" s="78"/>
      <c r="Z49" s="36"/>
      <c r="AA49" s="36"/>
      <c r="AB49" s="36"/>
      <c r="AC49" s="36"/>
      <c r="AD49" s="36"/>
      <c r="AE49" s="34"/>
      <c r="AF49" s="34"/>
      <c r="AG49" s="36"/>
      <c r="AH49" s="34"/>
      <c r="AI49" s="36"/>
      <c r="AJ49" s="80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ht="18.75" customHeight="1">
      <c r="A50" s="34"/>
      <c r="B50" s="34"/>
      <c r="C50" s="34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3"/>
      <c r="U50" s="36"/>
      <c r="V50" s="36"/>
      <c r="W50" s="48"/>
      <c r="X50" s="50"/>
      <c r="Y50" s="78"/>
      <c r="Z50" s="36"/>
      <c r="AA50" s="36"/>
      <c r="AB50" s="36"/>
      <c r="AC50" s="36"/>
      <c r="AD50" s="36"/>
      <c r="AE50" s="34"/>
      <c r="AF50" s="34"/>
      <c r="AG50" s="36"/>
      <c r="AH50" s="34"/>
      <c r="AI50" s="36"/>
      <c r="AJ50" s="80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ht="18.75" customHeight="1">
      <c r="A51" s="55"/>
      <c r="B51" s="55"/>
      <c r="C51" s="55" t="str">
        <f>IFERROR(__xludf.DUMMYFUNCTION("""COMPUTED_VALUE"""),"Einstein")</f>
        <v>Einstein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58"/>
      <c r="U51" s="6"/>
      <c r="V51" s="6"/>
      <c r="W51" s="53"/>
      <c r="X51" s="60"/>
      <c r="Y51" s="78"/>
      <c r="Z51" s="36"/>
      <c r="AA51" s="36"/>
      <c r="AB51" s="36"/>
      <c r="AC51" s="36"/>
      <c r="AD51" s="36"/>
      <c r="AE51" s="34"/>
      <c r="AF51" s="34"/>
      <c r="AG51" s="36"/>
      <c r="AH51" s="34"/>
      <c r="AI51" s="36"/>
      <c r="AJ51" s="80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ht="18.75" customHeight="1">
      <c r="A52" s="36"/>
      <c r="B52" s="67"/>
      <c r="C52" s="71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7"/>
      <c r="Y52" s="78"/>
      <c r="Z52" s="36"/>
      <c r="AA52" s="36"/>
      <c r="AB52" s="36"/>
      <c r="AC52" s="36"/>
      <c r="AD52" s="36"/>
      <c r="AE52" s="34"/>
      <c r="AF52" s="34"/>
      <c r="AG52" s="36"/>
      <c r="AH52" s="34"/>
      <c r="AI52" s="36"/>
      <c r="AJ52" s="80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ht="18.75" customHeight="1">
      <c r="A53" s="82"/>
      <c r="B53" s="83"/>
      <c r="C53" s="84" t="str">
        <f>IFERROR(__xludf.DUMMYFUNCTION("""COMPUTED_VALUE"""),"Team")</f>
        <v>Team</v>
      </c>
      <c r="D53" s="34" t="str">
        <f>IFERROR(__xludf.DUMMYFUNCTION("""COMPUTED_VALUE"""),"Amador Valley A")</f>
        <v>Amador Valley A</v>
      </c>
      <c r="F53" s="85" t="str">
        <f>IFERROR(__xludf.DUMMYFUNCTION("""COMPUTED_VALUE"""),"Interlake C")</f>
        <v>Interlake C</v>
      </c>
      <c r="G53" s="86"/>
      <c r="H53" s="85" t="str">
        <f>IFERROR(__xludf.DUMMYFUNCTION("""COMPUTED_VALUE"""),"James Ruse B")</f>
        <v>James Ruse B</v>
      </c>
      <c r="I53" s="86"/>
      <c r="J53" s="85" t="str">
        <f>IFERROR(__xludf.DUMMYFUNCTION("""COMPUTED_VALUE"""),"MSJ B")</f>
        <v>MSJ B</v>
      </c>
      <c r="K53" s="86"/>
      <c r="L53" s="85" t="str">
        <f>IFERROR(__xludf.DUMMYFUNCTION("""COMPUTED_VALUE"""),"Tesla STEM A")</f>
        <v>Tesla STEM A</v>
      </c>
      <c r="M53" s="86"/>
      <c r="N53" s="85" t="str">
        <f>IFERROR(__xludf.DUMMYFUNCTION("""COMPUTED_VALUE"""),"BYE")</f>
        <v>BYE</v>
      </c>
      <c r="O53" s="86"/>
      <c r="P53" s="89"/>
      <c r="Q53" s="93" t="str">
        <f>IFERROR(__xludf.DUMMYFUNCTION("""COMPUTED_VALUE"""),"W")</f>
        <v>W</v>
      </c>
      <c r="R53" s="93" t="str">
        <f>IFERROR(__xludf.DUMMYFUNCTION("""COMPUTED_VALUE"""),"T")</f>
        <v>T</v>
      </c>
      <c r="S53" s="93" t="str">
        <f>IFERROR(__xludf.DUMMYFUNCTION("""COMPUTED_VALUE"""),"L")</f>
        <v>L</v>
      </c>
      <c r="T53" s="95" t="str">
        <f>IFERROR(__xludf.DUMMYFUNCTION("""COMPUTED_VALUE"""),"W/L Score")</f>
        <v>W/L Score</v>
      </c>
      <c r="U53" s="93" t="str">
        <f>IFERROR(__xludf.DUMMYFUNCTION("""COMPUTED_VALUE"""),"Points")</f>
        <v>Points</v>
      </c>
      <c r="V53" s="93" t="str">
        <f>IFERROR(__xludf.DUMMYFUNCTION("""COMPUTED_VALUE"""),"Average")</f>
        <v>Average</v>
      </c>
      <c r="W53" s="97" t="str">
        <f>IFERROR(__xludf.DUMMYFUNCTION("""COMPUTED_VALUE"""),"Rank")</f>
        <v>Rank</v>
      </c>
      <c r="X53" s="98"/>
      <c r="Y53" s="78"/>
      <c r="Z53" s="36"/>
      <c r="AA53" s="36"/>
      <c r="AB53" s="36"/>
      <c r="AC53" s="36"/>
      <c r="AD53" s="36"/>
      <c r="AE53" s="34"/>
      <c r="AF53" s="34"/>
      <c r="AG53" s="36"/>
      <c r="AH53" s="34"/>
      <c r="AI53" s="36"/>
      <c r="AJ53" s="80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ht="18.75" customHeight="1">
      <c r="A54" s="101"/>
      <c r="B54" s="83"/>
      <c r="C54" s="103" t="str">
        <f>IFERROR(__xludf.DUMMYFUNCTION("""COMPUTED_VALUE"""),"Amador Valley A")</f>
        <v>Amador Valley A</v>
      </c>
      <c r="D54" s="107"/>
      <c r="E54" s="109"/>
      <c r="F54" s="113">
        <f>IFERROR(__xludf.DUMMYFUNCTION("""COMPUTED_VALUE"""),170.0)</f>
        <v>170</v>
      </c>
      <c r="G54" s="115" t="str">
        <f>IFERROR(__xludf.DUMMYFUNCTION("""COMPUTED_VALUE"""),"W")</f>
        <v>W</v>
      </c>
      <c r="H54" s="113">
        <f>IFERROR(__xludf.DUMMYFUNCTION("""COMPUTED_VALUE"""),96.0)</f>
        <v>96</v>
      </c>
      <c r="I54" s="115" t="str">
        <f>IFERROR(__xludf.DUMMYFUNCTION("""COMPUTED_VALUE"""),"W")</f>
        <v>W</v>
      </c>
      <c r="J54" s="113">
        <f>IFERROR(__xludf.DUMMYFUNCTION("""COMPUTED_VALUE"""),80.0)</f>
        <v>80</v>
      </c>
      <c r="K54" s="115" t="str">
        <f>IFERROR(__xludf.DUMMYFUNCTION("""COMPUTED_VALUE"""),"L")</f>
        <v>L</v>
      </c>
      <c r="L54" s="113">
        <f>IFERROR(__xludf.DUMMYFUNCTION("""COMPUTED_VALUE"""),102.0)</f>
        <v>102</v>
      </c>
      <c r="M54" s="118" t="str">
        <f>IFERROR(__xludf.DUMMYFUNCTION("""COMPUTED_VALUE"""),"L")</f>
        <v>L</v>
      </c>
      <c r="N54" s="113" t="str">
        <f>IFERROR(__xludf.DUMMYFUNCTION("""COMPUTED_VALUE"""),"")</f>
        <v/>
      </c>
      <c r="O54" s="118" t="str">
        <f>IFERROR(__xludf.DUMMYFUNCTION("""COMPUTED_VALUE"""),"")</f>
        <v/>
      </c>
      <c r="Q54" s="121">
        <f>IFERROR(__xludf.DUMMYFUNCTION("""COMPUTED_VALUE"""),2.0)</f>
        <v>2</v>
      </c>
      <c r="R54" s="123">
        <f>IFERROR(__xludf.DUMMYFUNCTION("""COMPUTED_VALUE"""),0.0)</f>
        <v>0</v>
      </c>
      <c r="S54" s="123">
        <f>IFERROR(__xludf.DUMMYFUNCTION("""COMPUTED_VALUE"""),2.0)</f>
        <v>2</v>
      </c>
      <c r="T54" s="125">
        <f>IFERROR(__xludf.DUMMYFUNCTION("""COMPUTED_VALUE"""),2.0)</f>
        <v>2</v>
      </c>
      <c r="U54" s="128">
        <f>IFERROR(__xludf.DUMMYFUNCTION("""COMPUTED_VALUE"""),448.0)</f>
        <v>448</v>
      </c>
      <c r="V54" s="129">
        <f>IFERROR(__xludf.DUMMYFUNCTION("""COMPUTED_VALUE"""),112.0)</f>
        <v>112</v>
      </c>
      <c r="W54" s="146" t="str">
        <f>IFERROR(__xludf.DUMMYFUNCTION("""COMPUTED_VALUE"""),"3")</f>
        <v>3</v>
      </c>
      <c r="X54" s="131" t="str">
        <f>IFERROR(__xludf.DUMMYFUNCTION("""COMPUTED_VALUE"""),"Amador Valley A")</f>
        <v>Amador Valley A</v>
      </c>
      <c r="Y54" s="132">
        <f>IFERROR(__xludf.DUMMYFUNCTION("""COMPUTED_VALUE"""),112.0)</f>
        <v>112</v>
      </c>
      <c r="Z54" s="36"/>
      <c r="AA54" s="36"/>
      <c r="AB54" s="36"/>
      <c r="AC54" s="36"/>
      <c r="AD54" s="36"/>
      <c r="AE54" s="34"/>
      <c r="AF54" s="34"/>
      <c r="AG54" s="36"/>
      <c r="AH54" s="34"/>
      <c r="AI54" s="36"/>
      <c r="AJ54" s="80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ht="18.75" customHeight="1">
      <c r="A55" s="34"/>
      <c r="B55" s="83"/>
      <c r="C55" s="134" t="str">
        <f>IFERROR(__xludf.DUMMYFUNCTION("""COMPUTED_VALUE"""),"Interlake C")</f>
        <v>Interlake C</v>
      </c>
      <c r="D55" s="136">
        <f>IFERROR(__xludf.DUMMYFUNCTION("""COMPUTED_VALUE"""),76.0)</f>
        <v>76</v>
      </c>
      <c r="E55" s="137" t="str">
        <f>IFERROR(__xludf.DUMMYFUNCTION("""COMPUTED_VALUE"""),"L")</f>
        <v>L</v>
      </c>
      <c r="F55" s="138"/>
      <c r="G55" s="140"/>
      <c r="H55" s="113">
        <f>IFERROR(__xludf.DUMMYFUNCTION("""COMPUTED_VALUE"""),128.0)</f>
        <v>128</v>
      </c>
      <c r="I55" s="137" t="str">
        <f>IFERROR(__xludf.DUMMYFUNCTION("""COMPUTED_VALUE"""),"W")</f>
        <v>W</v>
      </c>
      <c r="J55" s="113">
        <f>IFERROR(__xludf.DUMMYFUNCTION("""COMPUTED_VALUE"""),132.0)</f>
        <v>132</v>
      </c>
      <c r="K55" s="137" t="str">
        <f>IFERROR(__xludf.DUMMYFUNCTION("""COMPUTED_VALUE"""),"W")</f>
        <v>W</v>
      </c>
      <c r="L55" s="113">
        <f>IFERROR(__xludf.DUMMYFUNCTION("""COMPUTED_VALUE"""),18.0)</f>
        <v>18</v>
      </c>
      <c r="M55" s="141" t="str">
        <f>IFERROR(__xludf.DUMMYFUNCTION("""COMPUTED_VALUE"""),"L")</f>
        <v>L</v>
      </c>
      <c r="N55" s="113" t="str">
        <f>IFERROR(__xludf.DUMMYFUNCTION("""COMPUTED_VALUE"""),"")</f>
        <v/>
      </c>
      <c r="O55" s="118" t="str">
        <f>IFERROR(__xludf.DUMMYFUNCTION("""COMPUTED_VALUE"""),"")</f>
        <v/>
      </c>
      <c r="Q55" s="121">
        <f>IFERROR(__xludf.DUMMYFUNCTION("""COMPUTED_VALUE"""),2.0)</f>
        <v>2</v>
      </c>
      <c r="R55" s="123">
        <f>IFERROR(__xludf.DUMMYFUNCTION("""COMPUTED_VALUE"""),0.0)</f>
        <v>0</v>
      </c>
      <c r="S55" s="123">
        <f>IFERROR(__xludf.DUMMYFUNCTION("""COMPUTED_VALUE"""),2.0)</f>
        <v>2</v>
      </c>
      <c r="T55" s="125">
        <f>IFERROR(__xludf.DUMMYFUNCTION("""COMPUTED_VALUE"""),2.0)</f>
        <v>2</v>
      </c>
      <c r="U55" s="128">
        <f>IFERROR(__xludf.DUMMYFUNCTION("""COMPUTED_VALUE"""),354.0)</f>
        <v>354</v>
      </c>
      <c r="V55" s="129">
        <f>IFERROR(__xludf.DUMMYFUNCTION("""COMPUTED_VALUE"""),88.5)</f>
        <v>88.5</v>
      </c>
      <c r="W55" s="130" t="str">
        <f>IFERROR(__xludf.DUMMYFUNCTION("""COMPUTED_VALUE"""),"4")</f>
        <v>4</v>
      </c>
      <c r="X55" s="131" t="str">
        <f>IFERROR(__xludf.DUMMYFUNCTION("""COMPUTED_VALUE"""),"Interlake C")</f>
        <v>Interlake C</v>
      </c>
      <c r="Y55" s="132">
        <f>IFERROR(__xludf.DUMMYFUNCTION("""COMPUTED_VALUE"""),88.5)</f>
        <v>88.5</v>
      </c>
      <c r="Z55" s="36"/>
      <c r="AA55" s="36"/>
      <c r="AB55" s="36"/>
      <c r="AC55" s="36"/>
      <c r="AD55" s="36"/>
      <c r="AE55" s="34"/>
      <c r="AF55" s="34"/>
      <c r="AG55" s="36"/>
      <c r="AH55" s="34"/>
      <c r="AI55" s="36"/>
      <c r="AJ55" s="80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ht="18.75" customHeight="1">
      <c r="A56" s="34"/>
      <c r="B56" s="83"/>
      <c r="C56" s="134" t="str">
        <f>IFERROR(__xludf.DUMMYFUNCTION("""COMPUTED_VALUE"""),"James Ruse B")</f>
        <v>James Ruse B</v>
      </c>
      <c r="D56" s="136">
        <f>IFERROR(__xludf.DUMMYFUNCTION("""COMPUTED_VALUE"""),16.0)</f>
        <v>16</v>
      </c>
      <c r="E56" s="137" t="str">
        <f>IFERROR(__xludf.DUMMYFUNCTION("""COMPUTED_VALUE"""),"L")</f>
        <v>L</v>
      </c>
      <c r="F56" s="142">
        <f>IFERROR(__xludf.DUMMYFUNCTION("""COMPUTED_VALUE"""),90.0)</f>
        <v>90</v>
      </c>
      <c r="G56" s="137" t="str">
        <f>IFERROR(__xludf.DUMMYFUNCTION("""COMPUTED_VALUE"""),"L")</f>
        <v>L</v>
      </c>
      <c r="H56" s="138"/>
      <c r="I56" s="140"/>
      <c r="J56" s="113">
        <f>IFERROR(__xludf.DUMMYFUNCTION("""COMPUTED_VALUE"""),22.0)</f>
        <v>22</v>
      </c>
      <c r="K56" s="137" t="str">
        <f>IFERROR(__xludf.DUMMYFUNCTION("""COMPUTED_VALUE"""),"L")</f>
        <v>L</v>
      </c>
      <c r="L56" s="113">
        <f>IFERROR(__xludf.DUMMYFUNCTION("""COMPUTED_VALUE"""),28.0)</f>
        <v>28</v>
      </c>
      <c r="M56" s="141" t="str">
        <f>IFERROR(__xludf.DUMMYFUNCTION("""COMPUTED_VALUE"""),"L")</f>
        <v>L</v>
      </c>
      <c r="N56" s="113" t="str">
        <f>IFERROR(__xludf.DUMMYFUNCTION("""COMPUTED_VALUE"""),"")</f>
        <v/>
      </c>
      <c r="O56" s="118" t="str">
        <f>IFERROR(__xludf.DUMMYFUNCTION("""COMPUTED_VALUE"""),"")</f>
        <v/>
      </c>
      <c r="Q56" s="121">
        <f>IFERROR(__xludf.DUMMYFUNCTION("""COMPUTED_VALUE"""),0.0)</f>
        <v>0</v>
      </c>
      <c r="R56" s="123">
        <f>IFERROR(__xludf.DUMMYFUNCTION("""COMPUTED_VALUE"""),0.0)</f>
        <v>0</v>
      </c>
      <c r="S56" s="123">
        <f>IFERROR(__xludf.DUMMYFUNCTION("""COMPUTED_VALUE"""),4.0)</f>
        <v>4</v>
      </c>
      <c r="T56" s="125">
        <f>IFERROR(__xludf.DUMMYFUNCTION("""COMPUTED_VALUE"""),0.0)</f>
        <v>0</v>
      </c>
      <c r="U56" s="128">
        <f>IFERROR(__xludf.DUMMYFUNCTION("""COMPUTED_VALUE"""),156.0)</f>
        <v>156</v>
      </c>
      <c r="V56" s="129">
        <f>IFERROR(__xludf.DUMMYFUNCTION("""COMPUTED_VALUE"""),39.0)</f>
        <v>39</v>
      </c>
      <c r="W56" s="146" t="str">
        <f>IFERROR(__xludf.DUMMYFUNCTION("""COMPUTED_VALUE"""),"5")</f>
        <v>5</v>
      </c>
      <c r="X56" s="131" t="str">
        <f>IFERROR(__xludf.DUMMYFUNCTION("""COMPUTED_VALUE"""),"James Ruse B")</f>
        <v>James Ruse B</v>
      </c>
      <c r="Y56" s="132">
        <f>IFERROR(__xludf.DUMMYFUNCTION("""COMPUTED_VALUE"""),39.0)</f>
        <v>39</v>
      </c>
      <c r="Z56" s="36"/>
      <c r="AA56" s="36"/>
      <c r="AB56" s="36"/>
      <c r="AC56" s="36"/>
      <c r="AD56" s="36"/>
      <c r="AE56" s="34"/>
      <c r="AF56" s="34"/>
      <c r="AG56" s="36"/>
      <c r="AH56" s="34"/>
      <c r="AI56" s="36"/>
      <c r="AJ56" s="80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ht="18.75" customHeight="1">
      <c r="A57" s="34"/>
      <c r="B57" s="83"/>
      <c r="C57" s="134" t="str">
        <f>IFERROR(__xludf.DUMMYFUNCTION("""COMPUTED_VALUE"""),"MSJ B")</f>
        <v>MSJ B</v>
      </c>
      <c r="D57" s="136">
        <f>IFERROR(__xludf.DUMMYFUNCTION("""COMPUTED_VALUE"""),120.0)</f>
        <v>120</v>
      </c>
      <c r="E57" s="137" t="str">
        <f>IFERROR(__xludf.DUMMYFUNCTION("""COMPUTED_VALUE"""),"W")</f>
        <v>W</v>
      </c>
      <c r="F57" s="142">
        <f>IFERROR(__xludf.DUMMYFUNCTION("""COMPUTED_VALUE"""),104.0)</f>
        <v>104</v>
      </c>
      <c r="G57" s="137" t="str">
        <f>IFERROR(__xludf.DUMMYFUNCTION("""COMPUTED_VALUE"""),"L")</f>
        <v>L</v>
      </c>
      <c r="H57" s="142">
        <f>IFERROR(__xludf.DUMMYFUNCTION("""COMPUTED_VALUE"""),184.0)</f>
        <v>184</v>
      </c>
      <c r="I57" s="137" t="str">
        <f>IFERROR(__xludf.DUMMYFUNCTION("""COMPUTED_VALUE"""),"W")</f>
        <v>W</v>
      </c>
      <c r="J57" s="138"/>
      <c r="K57" s="140"/>
      <c r="L57" s="113">
        <f>IFERROR(__xludf.DUMMYFUNCTION("""COMPUTED_VALUE"""),122.0)</f>
        <v>122</v>
      </c>
      <c r="M57" s="141" t="str">
        <f>IFERROR(__xludf.DUMMYFUNCTION("""COMPUTED_VALUE"""),"L")</f>
        <v>L</v>
      </c>
      <c r="N57" s="113" t="str">
        <f>IFERROR(__xludf.DUMMYFUNCTION("""COMPUTED_VALUE"""),"")</f>
        <v/>
      </c>
      <c r="O57" s="118" t="str">
        <f>IFERROR(__xludf.DUMMYFUNCTION("""COMPUTED_VALUE"""),"")</f>
        <v/>
      </c>
      <c r="Q57" s="121">
        <f>IFERROR(__xludf.DUMMYFUNCTION("""COMPUTED_VALUE"""),2.0)</f>
        <v>2</v>
      </c>
      <c r="R57" s="123">
        <f>IFERROR(__xludf.DUMMYFUNCTION("""COMPUTED_VALUE"""),0.0)</f>
        <v>0</v>
      </c>
      <c r="S57" s="123">
        <f>IFERROR(__xludf.DUMMYFUNCTION("""COMPUTED_VALUE"""),2.0)</f>
        <v>2</v>
      </c>
      <c r="T57" s="125">
        <f>IFERROR(__xludf.DUMMYFUNCTION("""COMPUTED_VALUE"""),2.0)</f>
        <v>2</v>
      </c>
      <c r="U57" s="128">
        <f>IFERROR(__xludf.DUMMYFUNCTION("""COMPUTED_VALUE"""),530.0)</f>
        <v>530</v>
      </c>
      <c r="V57" s="129">
        <f>IFERROR(__xludf.DUMMYFUNCTION("""COMPUTED_VALUE"""),132.5)</f>
        <v>132.5</v>
      </c>
      <c r="W57" s="130" t="str">
        <f>IFERROR(__xludf.DUMMYFUNCTION("""COMPUTED_VALUE"""),"2")</f>
        <v>2</v>
      </c>
      <c r="X57" s="131" t="str">
        <f>IFERROR(__xludf.DUMMYFUNCTION("""COMPUTED_VALUE"""),"MSJ B")</f>
        <v>MSJ B</v>
      </c>
      <c r="Y57" s="132">
        <f>IFERROR(__xludf.DUMMYFUNCTION("""COMPUTED_VALUE"""),132.5)</f>
        <v>132.5</v>
      </c>
      <c r="Z57" s="36"/>
      <c r="AA57" s="36"/>
      <c r="AB57" s="36"/>
      <c r="AC57" s="36"/>
      <c r="AD57" s="36"/>
      <c r="AE57" s="34"/>
      <c r="AF57" s="34"/>
      <c r="AG57" s="36"/>
      <c r="AH57" s="34"/>
      <c r="AI57" s="36"/>
      <c r="AJ57" s="80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ht="18.75" customHeight="1">
      <c r="A58" s="34"/>
      <c r="B58" s="83"/>
      <c r="C58" s="134" t="str">
        <f>IFERROR(__xludf.DUMMYFUNCTION("""COMPUTED_VALUE"""),"Tesla STEM A")</f>
        <v>Tesla STEM A</v>
      </c>
      <c r="D58" s="136">
        <f>IFERROR(__xludf.DUMMYFUNCTION("""COMPUTED_VALUE"""),146.0)</f>
        <v>146</v>
      </c>
      <c r="E58" s="143" t="str">
        <f>IFERROR(__xludf.DUMMYFUNCTION("""COMPUTED_VALUE"""),"W")</f>
        <v>W</v>
      </c>
      <c r="F58" s="142">
        <f>IFERROR(__xludf.DUMMYFUNCTION("""COMPUTED_VALUE"""),278.0)</f>
        <v>278</v>
      </c>
      <c r="G58" s="143" t="str">
        <f>IFERROR(__xludf.DUMMYFUNCTION("""COMPUTED_VALUE"""),"W")</f>
        <v>W</v>
      </c>
      <c r="H58" s="142">
        <f>IFERROR(__xludf.DUMMYFUNCTION("""COMPUTED_VALUE"""),204.0)</f>
        <v>204</v>
      </c>
      <c r="I58" s="143" t="str">
        <f>IFERROR(__xludf.DUMMYFUNCTION("""COMPUTED_VALUE"""),"W")</f>
        <v>W</v>
      </c>
      <c r="J58" s="142">
        <f>IFERROR(__xludf.DUMMYFUNCTION("""COMPUTED_VALUE"""),144.0)</f>
        <v>144</v>
      </c>
      <c r="K58" s="143" t="str">
        <f>IFERROR(__xludf.DUMMYFUNCTION("""COMPUTED_VALUE"""),"W")</f>
        <v>W</v>
      </c>
      <c r="L58" s="144"/>
      <c r="M58" s="145"/>
      <c r="N58" s="113" t="str">
        <f>IFERROR(__xludf.DUMMYFUNCTION("""COMPUTED_VALUE"""),"")</f>
        <v/>
      </c>
      <c r="O58" s="118" t="str">
        <f>IFERROR(__xludf.DUMMYFUNCTION("""COMPUTED_VALUE"""),"")</f>
        <v/>
      </c>
      <c r="Q58" s="121">
        <f>IFERROR(__xludf.DUMMYFUNCTION("""COMPUTED_VALUE"""),4.0)</f>
        <v>4</v>
      </c>
      <c r="R58" s="123">
        <f>IFERROR(__xludf.DUMMYFUNCTION("""COMPUTED_VALUE"""),0.0)</f>
        <v>0</v>
      </c>
      <c r="S58" s="123">
        <f>IFERROR(__xludf.DUMMYFUNCTION("""COMPUTED_VALUE"""),0.0)</f>
        <v>0</v>
      </c>
      <c r="T58" s="125">
        <f>IFERROR(__xludf.DUMMYFUNCTION("""COMPUTED_VALUE"""),4.0)</f>
        <v>4</v>
      </c>
      <c r="U58" s="128">
        <f>IFERROR(__xludf.DUMMYFUNCTION("""COMPUTED_VALUE"""),772.0)</f>
        <v>772</v>
      </c>
      <c r="V58" s="129">
        <f>IFERROR(__xludf.DUMMYFUNCTION("""COMPUTED_VALUE"""),193.0)</f>
        <v>193</v>
      </c>
      <c r="W58" s="146" t="str">
        <f>IFERROR(__xludf.DUMMYFUNCTION("""COMPUTED_VALUE"""),"1")</f>
        <v>1</v>
      </c>
      <c r="X58" s="131" t="str">
        <f>IFERROR(__xludf.DUMMYFUNCTION("""COMPUTED_VALUE"""),"Tesla STEM A")</f>
        <v>Tesla STEM A</v>
      </c>
      <c r="Y58" s="132">
        <f>IFERROR(__xludf.DUMMYFUNCTION("""COMPUTED_VALUE"""),193.0)</f>
        <v>193</v>
      </c>
      <c r="Z58" s="36"/>
      <c r="AA58" s="36"/>
      <c r="AB58" s="36"/>
      <c r="AC58" s="36"/>
      <c r="AD58" s="36"/>
      <c r="AE58" s="34"/>
      <c r="AF58" s="34"/>
      <c r="AG58" s="36"/>
      <c r="AH58" s="34"/>
      <c r="AI58" s="36"/>
      <c r="AJ58" s="80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ht="18.75" hidden="1" customHeight="1">
      <c r="A59" s="34"/>
      <c r="B59" s="83"/>
      <c r="C59" s="134" t="str">
        <f>IFERROR(__xludf.DUMMYFUNCTION("""COMPUTED_VALUE"""),"BYE")</f>
        <v>BYE</v>
      </c>
      <c r="D59" s="136" t="str">
        <f>IFERROR(__xludf.DUMMYFUNCTION("""COMPUTED_VALUE"""),"")</f>
        <v/>
      </c>
      <c r="E59" s="143" t="str">
        <f>IFERROR(__xludf.DUMMYFUNCTION("""COMPUTED_VALUE"""),"")</f>
        <v/>
      </c>
      <c r="F59" s="142" t="str">
        <f>IFERROR(__xludf.DUMMYFUNCTION("""COMPUTED_VALUE"""),"")</f>
        <v/>
      </c>
      <c r="G59" s="143" t="str">
        <f>IFERROR(__xludf.DUMMYFUNCTION("""COMPUTED_VALUE"""),"")</f>
        <v/>
      </c>
      <c r="H59" s="142" t="str">
        <f>IFERROR(__xludf.DUMMYFUNCTION("""COMPUTED_VALUE"""),"")</f>
        <v/>
      </c>
      <c r="I59" s="137" t="str">
        <f>IFERROR(__xludf.DUMMYFUNCTION("""COMPUTED_VALUE"""),"")</f>
        <v/>
      </c>
      <c r="J59" s="142" t="str">
        <f>IFERROR(__xludf.DUMMYFUNCTION("""COMPUTED_VALUE"""),"")</f>
        <v/>
      </c>
      <c r="K59" s="143" t="str">
        <f>IFERROR(__xludf.DUMMYFUNCTION("""COMPUTED_VALUE"""),"")</f>
        <v/>
      </c>
      <c r="L59" s="142" t="str">
        <f>IFERROR(__xludf.DUMMYFUNCTION("""COMPUTED_VALUE"""),"")</f>
        <v/>
      </c>
      <c r="M59" s="143" t="str">
        <f>IFERROR(__xludf.DUMMYFUNCTION("""COMPUTED_VALUE"""),"")</f>
        <v/>
      </c>
      <c r="N59" s="147"/>
      <c r="O59" s="148"/>
      <c r="P59" s="89"/>
      <c r="Q59" s="121">
        <f>IFERROR(__xludf.DUMMYFUNCTION("""COMPUTED_VALUE"""),0.0)</f>
        <v>0</v>
      </c>
      <c r="R59" s="123">
        <f>IFERROR(__xludf.DUMMYFUNCTION("""COMPUTED_VALUE"""),0.0)</f>
        <v>0</v>
      </c>
      <c r="S59" s="123">
        <f>IFERROR(__xludf.DUMMYFUNCTION("""COMPUTED_VALUE"""),0.0)</f>
        <v>0</v>
      </c>
      <c r="T59" s="125">
        <f>IFERROR(__xludf.DUMMYFUNCTION("""COMPUTED_VALUE"""),0.0)</f>
        <v>0</v>
      </c>
      <c r="U59" s="128">
        <f>IFERROR(__xludf.DUMMYFUNCTION("""COMPUTED_VALUE"""),0.0)</f>
        <v>0</v>
      </c>
      <c r="V59" s="129" t="str">
        <f>IFERROR(__xludf.DUMMYFUNCTION("""COMPUTED_VALUE"""),"")</f>
        <v/>
      </c>
      <c r="W59" s="149"/>
      <c r="X59" s="131" t="str">
        <f>IFERROR(__xludf.DUMMYFUNCTION("""COMPUTED_VALUE"""),"BYE")</f>
        <v>BYE</v>
      </c>
      <c r="Y59" s="132" t="str">
        <f>IFERROR(__xludf.DUMMYFUNCTION("""COMPUTED_VALUE"""),"")</f>
        <v/>
      </c>
      <c r="Z59" s="36"/>
      <c r="AA59" s="36"/>
      <c r="AB59" s="36"/>
      <c r="AC59" s="36"/>
      <c r="AD59" s="36"/>
      <c r="AE59" s="34"/>
      <c r="AF59" s="34"/>
      <c r="AG59" s="36"/>
      <c r="AH59" s="34"/>
      <c r="AI59" s="36"/>
      <c r="AJ59" s="80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ht="18.75" customHeight="1">
      <c r="A60" s="36"/>
      <c r="B60" s="150"/>
      <c r="C60" s="151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52"/>
      <c r="Y60" s="78"/>
      <c r="Z60" s="36"/>
      <c r="AA60" s="36"/>
      <c r="AB60" s="36"/>
      <c r="AC60" s="36"/>
      <c r="AD60" s="36"/>
      <c r="AE60" s="34"/>
      <c r="AF60" s="34"/>
      <c r="AG60" s="36"/>
      <c r="AH60" s="34"/>
      <c r="AI60" s="36"/>
      <c r="AJ60" s="80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ht="18.75" customHeight="1">
      <c r="A61" s="34"/>
      <c r="B61" s="34"/>
      <c r="C61" s="34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3"/>
      <c r="U61" s="36"/>
      <c r="V61" s="36"/>
      <c r="W61" s="48"/>
      <c r="X61" s="50"/>
      <c r="Y61" s="78"/>
      <c r="Z61" s="36"/>
      <c r="AA61" s="36"/>
      <c r="AB61" s="36"/>
      <c r="AC61" s="36"/>
      <c r="AD61" s="36"/>
      <c r="AE61" s="34"/>
      <c r="AF61" s="34"/>
      <c r="AG61" s="36"/>
      <c r="AH61" s="34"/>
      <c r="AI61" s="36"/>
      <c r="AJ61" s="80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ht="18.75" customHeight="1">
      <c r="A62" s="34"/>
      <c r="B62" s="34"/>
      <c r="C62" s="34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3"/>
      <c r="U62" s="36"/>
      <c r="V62" s="36"/>
      <c r="W62" s="48"/>
      <c r="X62" s="50"/>
      <c r="Y62" s="78"/>
      <c r="Z62" s="36"/>
      <c r="AA62" s="36"/>
      <c r="AB62" s="36"/>
      <c r="AC62" s="36"/>
      <c r="AD62" s="36"/>
      <c r="AE62" s="34"/>
      <c r="AF62" s="34"/>
      <c r="AG62" s="36"/>
      <c r="AH62" s="34"/>
      <c r="AI62" s="36"/>
      <c r="AJ62" s="80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ht="18.75" customHeight="1">
      <c r="A63" s="55"/>
      <c r="B63" s="55"/>
      <c r="C63" s="55" t="str">
        <f>IFERROR(__xludf.DUMMYFUNCTION("""COMPUTED_VALUE"""),"Franklin")</f>
        <v>Franklin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58"/>
      <c r="U63" s="6"/>
      <c r="V63" s="6"/>
      <c r="W63" s="53"/>
      <c r="X63" s="60"/>
      <c r="Y63" s="78"/>
      <c r="Z63" s="36"/>
      <c r="AA63" s="36"/>
      <c r="AB63" s="36"/>
      <c r="AC63" s="36"/>
      <c r="AD63" s="36"/>
      <c r="AE63" s="34"/>
      <c r="AF63" s="34"/>
      <c r="AG63" s="36"/>
      <c r="AH63" s="34"/>
      <c r="AI63" s="36"/>
      <c r="AJ63" s="80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ht="18.75" customHeight="1">
      <c r="A64" s="36"/>
      <c r="B64" s="67"/>
      <c r="C64" s="71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7"/>
      <c r="Y64" s="78"/>
      <c r="Z64" s="36"/>
      <c r="AA64" s="36"/>
      <c r="AB64" s="36"/>
      <c r="AC64" s="36"/>
      <c r="AD64" s="36"/>
      <c r="AE64" s="34"/>
      <c r="AF64" s="34"/>
      <c r="AG64" s="36"/>
      <c r="AH64" s="34"/>
      <c r="AI64" s="36"/>
      <c r="AJ64" s="80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ht="18.75" customHeight="1">
      <c r="A65" s="82"/>
      <c r="B65" s="83"/>
      <c r="C65" s="84" t="str">
        <f>IFERROR(__xludf.DUMMYFUNCTION("""COMPUTED_VALUE"""),"Team")</f>
        <v>Team</v>
      </c>
      <c r="D65" s="34" t="str">
        <f>IFERROR(__xludf.DUMMYFUNCTION("""COMPUTED_VALUE"""),"American A")</f>
        <v>American A</v>
      </c>
      <c r="F65" s="85" t="str">
        <f>IFERROR(__xludf.DUMMYFUNCTION("""COMPUTED_VALUE"""),"Baulkham Hills")</f>
        <v>Baulkham Hills</v>
      </c>
      <c r="G65" s="86"/>
      <c r="H65" s="85" t="str">
        <f>IFERROR(__xludf.DUMMYFUNCTION("""COMPUTED_VALUE"""),"Enloe B")</f>
        <v>Enloe B</v>
      </c>
      <c r="I65" s="86"/>
      <c r="J65" s="85" t="str">
        <f>IFERROR(__xludf.DUMMYFUNCTION("""COMPUTED_VALUE"""),"James Ruse C")</f>
        <v>James Ruse C</v>
      </c>
      <c r="K65" s="86"/>
      <c r="L65" s="85" t="str">
        <f>IFERROR(__xludf.DUMMYFUNCTION("""COMPUTED_VALUE"""),"Wayzata A")</f>
        <v>Wayzata A</v>
      </c>
      <c r="M65" s="86"/>
      <c r="N65" s="85" t="str">
        <f>IFERROR(__xludf.DUMMYFUNCTION("""COMPUTED_VALUE"""),"BYE")</f>
        <v>BYE</v>
      </c>
      <c r="O65" s="86"/>
      <c r="P65" s="89"/>
      <c r="Q65" s="93" t="str">
        <f>IFERROR(__xludf.DUMMYFUNCTION("""COMPUTED_VALUE"""),"W")</f>
        <v>W</v>
      </c>
      <c r="R65" s="93" t="str">
        <f>IFERROR(__xludf.DUMMYFUNCTION("""COMPUTED_VALUE"""),"T")</f>
        <v>T</v>
      </c>
      <c r="S65" s="93" t="str">
        <f>IFERROR(__xludf.DUMMYFUNCTION("""COMPUTED_VALUE"""),"L")</f>
        <v>L</v>
      </c>
      <c r="T65" s="95" t="str">
        <f>IFERROR(__xludf.DUMMYFUNCTION("""COMPUTED_VALUE"""),"W/L Score")</f>
        <v>W/L Score</v>
      </c>
      <c r="U65" s="93" t="str">
        <f>IFERROR(__xludf.DUMMYFUNCTION("""COMPUTED_VALUE"""),"Points")</f>
        <v>Points</v>
      </c>
      <c r="V65" s="93" t="str">
        <f>IFERROR(__xludf.DUMMYFUNCTION("""COMPUTED_VALUE"""),"Average")</f>
        <v>Average</v>
      </c>
      <c r="W65" s="97" t="str">
        <f>IFERROR(__xludf.DUMMYFUNCTION("""COMPUTED_VALUE"""),"Rank")</f>
        <v>Rank</v>
      </c>
      <c r="X65" s="98"/>
      <c r="Y65" s="78"/>
      <c r="Z65" s="36"/>
      <c r="AA65" s="36"/>
      <c r="AB65" s="36"/>
      <c r="AC65" s="36"/>
      <c r="AD65" s="36"/>
      <c r="AE65" s="34"/>
      <c r="AF65" s="34"/>
      <c r="AG65" s="36"/>
      <c r="AH65" s="34"/>
      <c r="AI65" s="36"/>
      <c r="AJ65" s="80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ht="18.75" customHeight="1">
      <c r="A66" s="101"/>
      <c r="B66" s="83"/>
      <c r="C66" s="103" t="str">
        <f>IFERROR(__xludf.DUMMYFUNCTION("""COMPUTED_VALUE"""),"American A")</f>
        <v>American A</v>
      </c>
      <c r="D66" s="107"/>
      <c r="E66" s="109"/>
      <c r="F66" s="113">
        <f>IFERROR(__xludf.DUMMYFUNCTION("""COMPUTED_VALUE"""),174.0)</f>
        <v>174</v>
      </c>
      <c r="G66" s="115" t="str">
        <f>IFERROR(__xludf.DUMMYFUNCTION("""COMPUTED_VALUE"""),"W")</f>
        <v>W</v>
      </c>
      <c r="H66" s="113">
        <f>IFERROR(__xludf.DUMMYFUNCTION("""COMPUTED_VALUE"""),54.0)</f>
        <v>54</v>
      </c>
      <c r="I66" s="115" t="str">
        <f>IFERROR(__xludf.DUMMYFUNCTION("""COMPUTED_VALUE"""),"L")</f>
        <v>L</v>
      </c>
      <c r="J66" s="113">
        <f>IFERROR(__xludf.DUMMYFUNCTION("""COMPUTED_VALUE"""),118.0)</f>
        <v>118</v>
      </c>
      <c r="K66" s="115" t="str">
        <f>IFERROR(__xludf.DUMMYFUNCTION("""COMPUTED_VALUE"""),"W")</f>
        <v>W</v>
      </c>
      <c r="L66" s="113">
        <f>IFERROR(__xludf.DUMMYFUNCTION("""COMPUTED_VALUE"""),68.0)</f>
        <v>68</v>
      </c>
      <c r="M66" s="118" t="str">
        <f>IFERROR(__xludf.DUMMYFUNCTION("""COMPUTED_VALUE"""),"L")</f>
        <v>L</v>
      </c>
      <c r="N66" s="113" t="str">
        <f>IFERROR(__xludf.DUMMYFUNCTION("""COMPUTED_VALUE"""),"")</f>
        <v/>
      </c>
      <c r="O66" s="118" t="str">
        <f>IFERROR(__xludf.DUMMYFUNCTION("""COMPUTED_VALUE"""),"")</f>
        <v/>
      </c>
      <c r="Q66" s="121">
        <f>IFERROR(__xludf.DUMMYFUNCTION("""COMPUTED_VALUE"""),2.0)</f>
        <v>2</v>
      </c>
      <c r="R66" s="123">
        <f>IFERROR(__xludf.DUMMYFUNCTION("""COMPUTED_VALUE"""),0.0)</f>
        <v>0</v>
      </c>
      <c r="S66" s="123">
        <f>IFERROR(__xludf.DUMMYFUNCTION("""COMPUTED_VALUE"""),2.0)</f>
        <v>2</v>
      </c>
      <c r="T66" s="125">
        <f>IFERROR(__xludf.DUMMYFUNCTION("""COMPUTED_VALUE"""),2.0)</f>
        <v>2</v>
      </c>
      <c r="U66" s="128">
        <f>IFERROR(__xludf.DUMMYFUNCTION("""COMPUTED_VALUE"""),414.0)</f>
        <v>414</v>
      </c>
      <c r="V66" s="129">
        <f>IFERROR(__xludf.DUMMYFUNCTION("""COMPUTED_VALUE"""),103.5)</f>
        <v>103.5</v>
      </c>
      <c r="W66" s="146" t="str">
        <f>IFERROR(__xludf.DUMMYFUNCTION("""COMPUTED_VALUE"""),"3")</f>
        <v>3</v>
      </c>
      <c r="X66" s="131" t="str">
        <f>IFERROR(__xludf.DUMMYFUNCTION("""COMPUTED_VALUE"""),"American A")</f>
        <v>American A</v>
      </c>
      <c r="Y66" s="132">
        <f>IFERROR(__xludf.DUMMYFUNCTION("""COMPUTED_VALUE"""),103.5)</f>
        <v>103.5</v>
      </c>
      <c r="Z66" s="36"/>
      <c r="AA66" s="36"/>
      <c r="AB66" s="36"/>
      <c r="AC66" s="36"/>
      <c r="AD66" s="36"/>
      <c r="AE66" s="34"/>
      <c r="AF66" s="34"/>
      <c r="AG66" s="36"/>
      <c r="AH66" s="34"/>
      <c r="AI66" s="36"/>
      <c r="AJ66" s="80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ht="18.75" customHeight="1">
      <c r="A67" s="34"/>
      <c r="B67" s="83"/>
      <c r="C67" s="134" t="str">
        <f>IFERROR(__xludf.DUMMYFUNCTION("""COMPUTED_VALUE"""),"Baulkham Hills")</f>
        <v>Baulkham Hills</v>
      </c>
      <c r="D67" s="136">
        <f>IFERROR(__xludf.DUMMYFUNCTION("""COMPUTED_VALUE"""),52.0)</f>
        <v>52</v>
      </c>
      <c r="E67" s="137" t="str">
        <f>IFERROR(__xludf.DUMMYFUNCTION("""COMPUTED_VALUE"""),"L")</f>
        <v>L</v>
      </c>
      <c r="F67" s="138"/>
      <c r="G67" s="140"/>
      <c r="H67" s="113">
        <f>IFERROR(__xludf.DUMMYFUNCTION("""COMPUTED_VALUE"""),58.0)</f>
        <v>58</v>
      </c>
      <c r="I67" s="137" t="str">
        <f>IFERROR(__xludf.DUMMYFUNCTION("""COMPUTED_VALUE"""),"L")</f>
        <v>L</v>
      </c>
      <c r="J67" s="113">
        <f>IFERROR(__xludf.DUMMYFUNCTION("""COMPUTED_VALUE"""),62.0)</f>
        <v>62</v>
      </c>
      <c r="K67" s="137" t="str">
        <f>IFERROR(__xludf.DUMMYFUNCTION("""COMPUTED_VALUE"""),"W")</f>
        <v>W</v>
      </c>
      <c r="L67" s="113">
        <f>IFERROR(__xludf.DUMMYFUNCTION("""COMPUTED_VALUE"""),32.0)</f>
        <v>32</v>
      </c>
      <c r="M67" s="141" t="str">
        <f>IFERROR(__xludf.DUMMYFUNCTION("""COMPUTED_VALUE"""),"L")</f>
        <v>L</v>
      </c>
      <c r="N67" s="113" t="str">
        <f>IFERROR(__xludf.DUMMYFUNCTION("""COMPUTED_VALUE"""),"")</f>
        <v/>
      </c>
      <c r="O67" s="118" t="str">
        <f>IFERROR(__xludf.DUMMYFUNCTION("""COMPUTED_VALUE"""),"")</f>
        <v/>
      </c>
      <c r="Q67" s="121">
        <f>IFERROR(__xludf.DUMMYFUNCTION("""COMPUTED_VALUE"""),1.0)</f>
        <v>1</v>
      </c>
      <c r="R67" s="123">
        <f>IFERROR(__xludf.DUMMYFUNCTION("""COMPUTED_VALUE"""),0.0)</f>
        <v>0</v>
      </c>
      <c r="S67" s="123">
        <f>IFERROR(__xludf.DUMMYFUNCTION("""COMPUTED_VALUE"""),3.0)</f>
        <v>3</v>
      </c>
      <c r="T67" s="125">
        <f>IFERROR(__xludf.DUMMYFUNCTION("""COMPUTED_VALUE"""),1.0)</f>
        <v>1</v>
      </c>
      <c r="U67" s="128">
        <f>IFERROR(__xludf.DUMMYFUNCTION("""COMPUTED_VALUE"""),204.0)</f>
        <v>204</v>
      </c>
      <c r="V67" s="129">
        <f>IFERROR(__xludf.DUMMYFUNCTION("""COMPUTED_VALUE"""),51.0)</f>
        <v>51</v>
      </c>
      <c r="W67" s="130" t="str">
        <f>IFERROR(__xludf.DUMMYFUNCTION("""COMPUTED_VALUE"""),"4")</f>
        <v>4</v>
      </c>
      <c r="X67" s="131" t="str">
        <f>IFERROR(__xludf.DUMMYFUNCTION("""COMPUTED_VALUE"""),"Baulkham Hills")</f>
        <v>Baulkham Hills</v>
      </c>
      <c r="Y67" s="132">
        <f>IFERROR(__xludf.DUMMYFUNCTION("""COMPUTED_VALUE"""),51.0)</f>
        <v>51</v>
      </c>
      <c r="Z67" s="36"/>
      <c r="AA67" s="36"/>
      <c r="AB67" s="36"/>
      <c r="AC67" s="36"/>
      <c r="AD67" s="36"/>
      <c r="AE67" s="34"/>
      <c r="AF67" s="34"/>
      <c r="AG67" s="36"/>
      <c r="AH67" s="34"/>
      <c r="AI67" s="36"/>
      <c r="AJ67" s="80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ht="18.75" customHeight="1">
      <c r="A68" s="34"/>
      <c r="B68" s="83"/>
      <c r="C68" s="134" t="str">
        <f>IFERROR(__xludf.DUMMYFUNCTION("""COMPUTED_VALUE"""),"Enloe B")</f>
        <v>Enloe B</v>
      </c>
      <c r="D68" s="136">
        <f>IFERROR(__xludf.DUMMYFUNCTION("""COMPUTED_VALUE"""),202.0)</f>
        <v>202</v>
      </c>
      <c r="E68" s="137" t="str">
        <f>IFERROR(__xludf.DUMMYFUNCTION("""COMPUTED_VALUE"""),"W")</f>
        <v>W</v>
      </c>
      <c r="F68" s="142">
        <f>IFERROR(__xludf.DUMMYFUNCTION("""COMPUTED_VALUE"""),176.0)</f>
        <v>176</v>
      </c>
      <c r="G68" s="137" t="str">
        <f>IFERROR(__xludf.DUMMYFUNCTION("""COMPUTED_VALUE"""),"W")</f>
        <v>W</v>
      </c>
      <c r="H68" s="138"/>
      <c r="I68" s="140"/>
      <c r="J68" s="113">
        <f>IFERROR(__xludf.DUMMYFUNCTION("""COMPUTED_VALUE"""),228.0)</f>
        <v>228</v>
      </c>
      <c r="K68" s="137" t="str">
        <f>IFERROR(__xludf.DUMMYFUNCTION("""COMPUTED_VALUE"""),"W")</f>
        <v>W</v>
      </c>
      <c r="L68" s="113">
        <f>IFERROR(__xludf.DUMMYFUNCTION("""COMPUTED_VALUE"""),114.0)</f>
        <v>114</v>
      </c>
      <c r="M68" s="141" t="str">
        <f>IFERROR(__xludf.DUMMYFUNCTION("""COMPUTED_VALUE"""),"L")</f>
        <v>L</v>
      </c>
      <c r="N68" s="113" t="str">
        <f>IFERROR(__xludf.DUMMYFUNCTION("""COMPUTED_VALUE"""),"")</f>
        <v/>
      </c>
      <c r="O68" s="118" t="str">
        <f>IFERROR(__xludf.DUMMYFUNCTION("""COMPUTED_VALUE"""),"")</f>
        <v/>
      </c>
      <c r="Q68" s="121">
        <f>IFERROR(__xludf.DUMMYFUNCTION("""COMPUTED_VALUE"""),3.0)</f>
        <v>3</v>
      </c>
      <c r="R68" s="123">
        <f>IFERROR(__xludf.DUMMYFUNCTION("""COMPUTED_VALUE"""),0.0)</f>
        <v>0</v>
      </c>
      <c r="S68" s="123">
        <f>IFERROR(__xludf.DUMMYFUNCTION("""COMPUTED_VALUE"""),1.0)</f>
        <v>1</v>
      </c>
      <c r="T68" s="125">
        <f>IFERROR(__xludf.DUMMYFUNCTION("""COMPUTED_VALUE"""),3.0)</f>
        <v>3</v>
      </c>
      <c r="U68" s="128">
        <f>IFERROR(__xludf.DUMMYFUNCTION("""COMPUTED_VALUE"""),720.0)</f>
        <v>720</v>
      </c>
      <c r="V68" s="129">
        <f>IFERROR(__xludf.DUMMYFUNCTION("""COMPUTED_VALUE"""),180.0)</f>
        <v>180</v>
      </c>
      <c r="W68" s="146" t="str">
        <f>IFERROR(__xludf.DUMMYFUNCTION("""COMPUTED_VALUE"""),"2")</f>
        <v>2</v>
      </c>
      <c r="X68" s="131" t="str">
        <f>IFERROR(__xludf.DUMMYFUNCTION("""COMPUTED_VALUE"""),"Enloe B")</f>
        <v>Enloe B</v>
      </c>
      <c r="Y68" s="132">
        <f>IFERROR(__xludf.DUMMYFUNCTION("""COMPUTED_VALUE"""),180.0)</f>
        <v>180</v>
      </c>
      <c r="Z68" s="36"/>
      <c r="AA68" s="36"/>
      <c r="AB68" s="36"/>
      <c r="AC68" s="36"/>
      <c r="AD68" s="36"/>
      <c r="AE68" s="34"/>
      <c r="AF68" s="34"/>
      <c r="AG68" s="36"/>
      <c r="AH68" s="34"/>
      <c r="AI68" s="36"/>
      <c r="AJ68" s="80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ht="18.75" customHeight="1">
      <c r="A69" s="34"/>
      <c r="B69" s="83"/>
      <c r="C69" s="134" t="str">
        <f>IFERROR(__xludf.DUMMYFUNCTION("""COMPUTED_VALUE"""),"James Ruse C")</f>
        <v>James Ruse C</v>
      </c>
      <c r="D69" s="136">
        <f>IFERROR(__xludf.DUMMYFUNCTION("""COMPUTED_VALUE"""),44.0)</f>
        <v>44</v>
      </c>
      <c r="E69" s="137" t="str">
        <f>IFERROR(__xludf.DUMMYFUNCTION("""COMPUTED_VALUE"""),"L")</f>
        <v>L</v>
      </c>
      <c r="F69" s="142">
        <f>IFERROR(__xludf.DUMMYFUNCTION("""COMPUTED_VALUE"""),44.0)</f>
        <v>44</v>
      </c>
      <c r="G69" s="137" t="str">
        <f>IFERROR(__xludf.DUMMYFUNCTION("""COMPUTED_VALUE"""),"L")</f>
        <v>L</v>
      </c>
      <c r="H69" s="142">
        <f>IFERROR(__xludf.DUMMYFUNCTION("""COMPUTED_VALUE"""),18.0)</f>
        <v>18</v>
      </c>
      <c r="I69" s="137" t="str">
        <f>IFERROR(__xludf.DUMMYFUNCTION("""COMPUTED_VALUE"""),"L")</f>
        <v>L</v>
      </c>
      <c r="J69" s="138"/>
      <c r="K69" s="140"/>
      <c r="L69" s="113">
        <f>IFERROR(__xludf.DUMMYFUNCTION("""COMPUTED_VALUE"""),18.0)</f>
        <v>18</v>
      </c>
      <c r="M69" s="141" t="str">
        <f>IFERROR(__xludf.DUMMYFUNCTION("""COMPUTED_VALUE"""),"L")</f>
        <v>L</v>
      </c>
      <c r="N69" s="113" t="str">
        <f>IFERROR(__xludf.DUMMYFUNCTION("""COMPUTED_VALUE"""),"")</f>
        <v/>
      </c>
      <c r="O69" s="118" t="str">
        <f>IFERROR(__xludf.DUMMYFUNCTION("""COMPUTED_VALUE"""),"")</f>
        <v/>
      </c>
      <c r="Q69" s="121">
        <f>IFERROR(__xludf.DUMMYFUNCTION("""COMPUTED_VALUE"""),0.0)</f>
        <v>0</v>
      </c>
      <c r="R69" s="123">
        <f>IFERROR(__xludf.DUMMYFUNCTION("""COMPUTED_VALUE"""),0.0)</f>
        <v>0</v>
      </c>
      <c r="S69" s="123">
        <f>IFERROR(__xludf.DUMMYFUNCTION("""COMPUTED_VALUE"""),4.0)</f>
        <v>4</v>
      </c>
      <c r="T69" s="125">
        <f>IFERROR(__xludf.DUMMYFUNCTION("""COMPUTED_VALUE"""),0.0)</f>
        <v>0</v>
      </c>
      <c r="U69" s="128">
        <f>IFERROR(__xludf.DUMMYFUNCTION("""COMPUTED_VALUE"""),124.0)</f>
        <v>124</v>
      </c>
      <c r="V69" s="129">
        <f>IFERROR(__xludf.DUMMYFUNCTION("""COMPUTED_VALUE"""),31.0)</f>
        <v>31</v>
      </c>
      <c r="W69" s="130" t="str">
        <f>IFERROR(__xludf.DUMMYFUNCTION("""COMPUTED_VALUE"""),"5")</f>
        <v>5</v>
      </c>
      <c r="X69" s="131" t="str">
        <f>IFERROR(__xludf.DUMMYFUNCTION("""COMPUTED_VALUE"""),"James Ruse C")</f>
        <v>James Ruse C</v>
      </c>
      <c r="Y69" s="132">
        <f>IFERROR(__xludf.DUMMYFUNCTION("""COMPUTED_VALUE"""),31.0)</f>
        <v>31</v>
      </c>
      <c r="Z69" s="36"/>
      <c r="AA69" s="36"/>
      <c r="AB69" s="36"/>
      <c r="AC69" s="36"/>
      <c r="AD69" s="36"/>
      <c r="AE69" s="34"/>
      <c r="AF69" s="34"/>
      <c r="AG69" s="36"/>
      <c r="AH69" s="34"/>
      <c r="AI69" s="36"/>
      <c r="AJ69" s="80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ht="18.75" customHeight="1">
      <c r="A70" s="34"/>
      <c r="B70" s="83"/>
      <c r="C70" s="134" t="str">
        <f>IFERROR(__xludf.DUMMYFUNCTION("""COMPUTED_VALUE"""),"Wayzata A")</f>
        <v>Wayzata A</v>
      </c>
      <c r="D70" s="136">
        <f>IFERROR(__xludf.DUMMYFUNCTION("""COMPUTED_VALUE"""),212.0)</f>
        <v>212</v>
      </c>
      <c r="E70" s="143" t="str">
        <f>IFERROR(__xludf.DUMMYFUNCTION("""COMPUTED_VALUE"""),"W")</f>
        <v>W</v>
      </c>
      <c r="F70" s="142">
        <f>IFERROR(__xludf.DUMMYFUNCTION("""COMPUTED_VALUE"""),228.0)</f>
        <v>228</v>
      </c>
      <c r="G70" s="143" t="str">
        <f>IFERROR(__xludf.DUMMYFUNCTION("""COMPUTED_VALUE"""),"W")</f>
        <v>W</v>
      </c>
      <c r="H70" s="142">
        <f>IFERROR(__xludf.DUMMYFUNCTION("""COMPUTED_VALUE"""),136.0)</f>
        <v>136</v>
      </c>
      <c r="I70" s="143" t="str">
        <f>IFERROR(__xludf.DUMMYFUNCTION("""COMPUTED_VALUE"""),"W")</f>
        <v>W</v>
      </c>
      <c r="J70" s="142">
        <f>IFERROR(__xludf.DUMMYFUNCTION("""COMPUTED_VALUE"""),198.0)</f>
        <v>198</v>
      </c>
      <c r="K70" s="143" t="str">
        <f>IFERROR(__xludf.DUMMYFUNCTION("""COMPUTED_VALUE"""),"W")</f>
        <v>W</v>
      </c>
      <c r="L70" s="144"/>
      <c r="M70" s="145"/>
      <c r="N70" s="113" t="str">
        <f>IFERROR(__xludf.DUMMYFUNCTION("""COMPUTED_VALUE"""),"")</f>
        <v/>
      </c>
      <c r="O70" s="118" t="str">
        <f>IFERROR(__xludf.DUMMYFUNCTION("""COMPUTED_VALUE"""),"")</f>
        <v/>
      </c>
      <c r="Q70" s="121">
        <f>IFERROR(__xludf.DUMMYFUNCTION("""COMPUTED_VALUE"""),4.0)</f>
        <v>4</v>
      </c>
      <c r="R70" s="123">
        <f>IFERROR(__xludf.DUMMYFUNCTION("""COMPUTED_VALUE"""),0.0)</f>
        <v>0</v>
      </c>
      <c r="S70" s="123">
        <f>IFERROR(__xludf.DUMMYFUNCTION("""COMPUTED_VALUE"""),0.0)</f>
        <v>0</v>
      </c>
      <c r="T70" s="125">
        <f>IFERROR(__xludf.DUMMYFUNCTION("""COMPUTED_VALUE"""),4.0)</f>
        <v>4</v>
      </c>
      <c r="U70" s="128">
        <f>IFERROR(__xludf.DUMMYFUNCTION("""COMPUTED_VALUE"""),774.0)</f>
        <v>774</v>
      </c>
      <c r="V70" s="129">
        <f>IFERROR(__xludf.DUMMYFUNCTION("""COMPUTED_VALUE"""),193.5)</f>
        <v>193.5</v>
      </c>
      <c r="W70" s="146" t="str">
        <f>IFERROR(__xludf.DUMMYFUNCTION("""COMPUTED_VALUE"""),"1")</f>
        <v>1</v>
      </c>
      <c r="X70" s="131" t="str">
        <f>IFERROR(__xludf.DUMMYFUNCTION("""COMPUTED_VALUE"""),"Wayzata A")</f>
        <v>Wayzata A</v>
      </c>
      <c r="Y70" s="132">
        <f>IFERROR(__xludf.DUMMYFUNCTION("""COMPUTED_VALUE"""),193.5)</f>
        <v>193.5</v>
      </c>
      <c r="Z70" s="36"/>
      <c r="AA70" s="36"/>
      <c r="AB70" s="36"/>
      <c r="AC70" s="36"/>
      <c r="AD70" s="36"/>
      <c r="AE70" s="34"/>
      <c r="AF70" s="34"/>
      <c r="AG70" s="36"/>
      <c r="AH70" s="34"/>
      <c r="AI70" s="36"/>
      <c r="AJ70" s="80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ht="18.75" hidden="1" customHeight="1">
      <c r="A71" s="34"/>
      <c r="B71" s="83"/>
      <c r="C71" s="134" t="str">
        <f>IFERROR(__xludf.DUMMYFUNCTION("""COMPUTED_VALUE"""),"BYE")</f>
        <v>BYE</v>
      </c>
      <c r="D71" s="136" t="str">
        <f>IFERROR(__xludf.DUMMYFUNCTION("""COMPUTED_VALUE"""),"")</f>
        <v/>
      </c>
      <c r="E71" s="143" t="str">
        <f>IFERROR(__xludf.DUMMYFUNCTION("""COMPUTED_VALUE"""),"")</f>
        <v/>
      </c>
      <c r="F71" s="142" t="str">
        <f>IFERROR(__xludf.DUMMYFUNCTION("""COMPUTED_VALUE"""),"")</f>
        <v/>
      </c>
      <c r="G71" s="143" t="str">
        <f>IFERROR(__xludf.DUMMYFUNCTION("""COMPUTED_VALUE"""),"")</f>
        <v/>
      </c>
      <c r="H71" s="142" t="str">
        <f>IFERROR(__xludf.DUMMYFUNCTION("""COMPUTED_VALUE"""),"")</f>
        <v/>
      </c>
      <c r="I71" s="137" t="str">
        <f>IFERROR(__xludf.DUMMYFUNCTION("""COMPUTED_VALUE"""),"")</f>
        <v/>
      </c>
      <c r="J71" s="142" t="str">
        <f>IFERROR(__xludf.DUMMYFUNCTION("""COMPUTED_VALUE"""),"")</f>
        <v/>
      </c>
      <c r="K71" s="143" t="str">
        <f>IFERROR(__xludf.DUMMYFUNCTION("""COMPUTED_VALUE"""),"")</f>
        <v/>
      </c>
      <c r="L71" s="142" t="str">
        <f>IFERROR(__xludf.DUMMYFUNCTION("""COMPUTED_VALUE"""),"")</f>
        <v/>
      </c>
      <c r="M71" s="143" t="str">
        <f>IFERROR(__xludf.DUMMYFUNCTION("""COMPUTED_VALUE"""),"")</f>
        <v/>
      </c>
      <c r="N71" s="147"/>
      <c r="O71" s="148"/>
      <c r="P71" s="89"/>
      <c r="Q71" s="121">
        <f>IFERROR(__xludf.DUMMYFUNCTION("""COMPUTED_VALUE"""),0.0)</f>
        <v>0</v>
      </c>
      <c r="R71" s="123">
        <f>IFERROR(__xludf.DUMMYFUNCTION("""COMPUTED_VALUE"""),0.0)</f>
        <v>0</v>
      </c>
      <c r="S71" s="123">
        <f>IFERROR(__xludf.DUMMYFUNCTION("""COMPUTED_VALUE"""),0.0)</f>
        <v>0</v>
      </c>
      <c r="T71" s="125">
        <f>IFERROR(__xludf.DUMMYFUNCTION("""COMPUTED_VALUE"""),0.0)</f>
        <v>0</v>
      </c>
      <c r="U71" s="128">
        <f>IFERROR(__xludf.DUMMYFUNCTION("""COMPUTED_VALUE"""),0.0)</f>
        <v>0</v>
      </c>
      <c r="V71" s="129" t="str">
        <f>IFERROR(__xludf.DUMMYFUNCTION("""COMPUTED_VALUE"""),"")</f>
        <v/>
      </c>
      <c r="W71" s="149"/>
      <c r="X71" s="131" t="str">
        <f>IFERROR(__xludf.DUMMYFUNCTION("""COMPUTED_VALUE"""),"BYE")</f>
        <v>BYE</v>
      </c>
      <c r="Y71" s="132" t="str">
        <f>IFERROR(__xludf.DUMMYFUNCTION("""COMPUTED_VALUE"""),"")</f>
        <v/>
      </c>
      <c r="Z71" s="36"/>
      <c r="AA71" s="36"/>
      <c r="AB71" s="36"/>
      <c r="AC71" s="36"/>
      <c r="AD71" s="36"/>
      <c r="AE71" s="34"/>
      <c r="AF71" s="34"/>
      <c r="AG71" s="36"/>
      <c r="AH71" s="34"/>
      <c r="AI71" s="36"/>
      <c r="AJ71" s="80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ht="18.75" customHeight="1">
      <c r="A72" s="36"/>
      <c r="B72" s="150"/>
      <c r="C72" s="15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52"/>
      <c r="Y72" s="78"/>
      <c r="Z72" s="36"/>
      <c r="AA72" s="36"/>
      <c r="AB72" s="36"/>
      <c r="AC72" s="36"/>
      <c r="AD72" s="36"/>
      <c r="AE72" s="34"/>
      <c r="AF72" s="34"/>
      <c r="AG72" s="36"/>
      <c r="AH72" s="34"/>
      <c r="AI72" s="36"/>
      <c r="AJ72" s="80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ht="18.75" customHeight="1">
      <c r="A73" s="34"/>
      <c r="B73" s="34"/>
      <c r="C73" s="34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153"/>
      <c r="U73" s="36"/>
      <c r="V73" s="36"/>
      <c r="W73" s="48"/>
      <c r="X73" s="50"/>
      <c r="Y73" s="78"/>
      <c r="Z73" s="36"/>
      <c r="AA73" s="36"/>
      <c r="AB73" s="36"/>
      <c r="AC73" s="36"/>
      <c r="AD73" s="36"/>
      <c r="AE73" s="34"/>
      <c r="AF73" s="34"/>
      <c r="AG73" s="36"/>
      <c r="AH73" s="34"/>
      <c r="AI73" s="36"/>
      <c r="AJ73" s="80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ht="18.75" customHeight="1">
      <c r="A74" s="34"/>
      <c r="B74" s="34"/>
      <c r="C74" s="34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153"/>
      <c r="U74" s="36"/>
      <c r="V74" s="36"/>
      <c r="W74" s="48"/>
      <c r="X74" s="50"/>
      <c r="Y74" s="78"/>
      <c r="Z74" s="36"/>
      <c r="AA74" s="36"/>
      <c r="AB74" s="36"/>
      <c r="AC74" s="36"/>
      <c r="AD74" s="36"/>
      <c r="AE74" s="34"/>
      <c r="AF74" s="34"/>
      <c r="AG74" s="36"/>
      <c r="AH74" s="34"/>
      <c r="AI74" s="36"/>
      <c r="AJ74" s="80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ht="18.75" customHeight="1">
      <c r="A75" s="55"/>
      <c r="B75" s="55"/>
      <c r="C75" s="55" t="str">
        <f>IFERROR(__xludf.DUMMYFUNCTION("""COMPUTED_VALUE"""),"Goodall")</f>
        <v>Goodall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58"/>
      <c r="U75" s="6"/>
      <c r="V75" s="6"/>
      <c r="W75" s="53"/>
      <c r="X75" s="60"/>
      <c r="Y75" s="78"/>
      <c r="Z75" s="36"/>
      <c r="AA75" s="36"/>
      <c r="AB75" s="36"/>
      <c r="AC75" s="36"/>
      <c r="AD75" s="36"/>
      <c r="AE75" s="34"/>
      <c r="AF75" s="34"/>
      <c r="AG75" s="36"/>
      <c r="AH75" s="34"/>
      <c r="AI75" s="36"/>
      <c r="AJ75" s="80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ht="18.75" customHeight="1">
      <c r="A76" s="36"/>
      <c r="B76" s="67"/>
      <c r="C76" s="71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7"/>
      <c r="Y76" s="78"/>
      <c r="Z76" s="36"/>
      <c r="AA76" s="36"/>
      <c r="AB76" s="36"/>
      <c r="AC76" s="36"/>
      <c r="AD76" s="36"/>
      <c r="AE76" s="34"/>
      <c r="AF76" s="34"/>
      <c r="AG76" s="36"/>
      <c r="AH76" s="34"/>
      <c r="AI76" s="36"/>
      <c r="AJ76" s="80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ht="18.75" customHeight="1">
      <c r="A77" s="82"/>
      <c r="B77" s="83"/>
      <c r="C77" s="84" t="str">
        <f>IFERROR(__xludf.DUMMYFUNCTION("""COMPUTED_VALUE"""),"Team")</f>
        <v>Team</v>
      </c>
      <c r="D77" s="34" t="str">
        <f>IFERROR(__xludf.DUMMYFUNCTION("""COMPUTED_VALUE"""),"Interlake A")</f>
        <v>Interlake A</v>
      </c>
      <c r="F77" s="85" t="str">
        <f>IFERROR(__xludf.DUMMYFUNCTION("""COMPUTED_VALUE"""),"James Ruse D")</f>
        <v>James Ruse D</v>
      </c>
      <c r="G77" s="86"/>
      <c r="H77" s="85" t="str">
        <f>IFERROR(__xludf.DUMMYFUNCTION("""COMPUTED_VALUE"""),"NoHo B")</f>
        <v>NoHo B</v>
      </c>
      <c r="I77" s="86"/>
      <c r="J77" s="85" t="str">
        <f>IFERROR(__xludf.DUMMYFUNCTION("""COMPUTED_VALUE"""),"Venice")</f>
        <v>Venice</v>
      </c>
      <c r="K77" s="86"/>
      <c r="L77" s="85" t="str">
        <f>IFERROR(__xludf.DUMMYFUNCTION("""COMPUTED_VALUE"""),"Wayzata B")</f>
        <v>Wayzata B</v>
      </c>
      <c r="M77" s="86"/>
      <c r="N77" s="85" t="str">
        <f>IFERROR(__xludf.DUMMYFUNCTION("""COMPUTED_VALUE"""),"BYE")</f>
        <v>BYE</v>
      </c>
      <c r="O77" s="86"/>
      <c r="P77" s="89"/>
      <c r="Q77" s="93" t="str">
        <f>IFERROR(__xludf.DUMMYFUNCTION("""COMPUTED_VALUE"""),"W")</f>
        <v>W</v>
      </c>
      <c r="R77" s="93" t="str">
        <f>IFERROR(__xludf.DUMMYFUNCTION("""COMPUTED_VALUE"""),"T")</f>
        <v>T</v>
      </c>
      <c r="S77" s="93" t="str">
        <f>IFERROR(__xludf.DUMMYFUNCTION("""COMPUTED_VALUE"""),"L")</f>
        <v>L</v>
      </c>
      <c r="T77" s="95" t="str">
        <f>IFERROR(__xludf.DUMMYFUNCTION("""COMPUTED_VALUE"""),"W/L Score")</f>
        <v>W/L Score</v>
      </c>
      <c r="U77" s="93" t="str">
        <f>IFERROR(__xludf.DUMMYFUNCTION("""COMPUTED_VALUE"""),"Points")</f>
        <v>Points</v>
      </c>
      <c r="V77" s="93" t="str">
        <f>IFERROR(__xludf.DUMMYFUNCTION("""COMPUTED_VALUE"""),"Average")</f>
        <v>Average</v>
      </c>
      <c r="W77" s="97" t="str">
        <f>IFERROR(__xludf.DUMMYFUNCTION("""COMPUTED_VALUE"""),"Rank")</f>
        <v>Rank</v>
      </c>
      <c r="X77" s="98"/>
      <c r="Y77" s="78"/>
      <c r="Z77" s="36"/>
      <c r="AA77" s="36"/>
      <c r="AB77" s="36"/>
      <c r="AC77" s="36"/>
      <c r="AD77" s="36"/>
      <c r="AE77" s="34"/>
      <c r="AF77" s="34"/>
      <c r="AG77" s="36"/>
      <c r="AH77" s="34"/>
      <c r="AI77" s="36"/>
      <c r="AJ77" s="80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ht="18.75" customHeight="1">
      <c r="A78" s="101"/>
      <c r="B78" s="83"/>
      <c r="C78" s="103" t="str">
        <f>IFERROR(__xludf.DUMMYFUNCTION("""COMPUTED_VALUE"""),"Interlake A")</f>
        <v>Interlake A</v>
      </c>
      <c r="D78" s="107"/>
      <c r="E78" s="109"/>
      <c r="F78" s="113">
        <f>IFERROR(__xludf.DUMMYFUNCTION("""COMPUTED_VALUE"""),178.0)</f>
        <v>178</v>
      </c>
      <c r="G78" s="115" t="str">
        <f>IFERROR(__xludf.DUMMYFUNCTION("""COMPUTED_VALUE"""),"W")</f>
        <v>W</v>
      </c>
      <c r="H78" s="113">
        <f>IFERROR(__xludf.DUMMYFUNCTION("""COMPUTED_VALUE"""),142.0)</f>
        <v>142</v>
      </c>
      <c r="I78" s="115" t="str">
        <f>IFERROR(__xludf.DUMMYFUNCTION("""COMPUTED_VALUE"""),"W")</f>
        <v>W</v>
      </c>
      <c r="J78" s="113">
        <f>IFERROR(__xludf.DUMMYFUNCTION("""COMPUTED_VALUE"""),134.0)</f>
        <v>134</v>
      </c>
      <c r="K78" s="115" t="str">
        <f>IFERROR(__xludf.DUMMYFUNCTION("""COMPUTED_VALUE"""),"W")</f>
        <v>W</v>
      </c>
      <c r="L78" s="113">
        <f>IFERROR(__xludf.DUMMYFUNCTION("""COMPUTED_VALUE"""),168.0)</f>
        <v>168</v>
      </c>
      <c r="M78" s="118" t="str">
        <f>IFERROR(__xludf.DUMMYFUNCTION("""COMPUTED_VALUE"""),"W")</f>
        <v>W</v>
      </c>
      <c r="N78" s="113" t="str">
        <f>IFERROR(__xludf.DUMMYFUNCTION("""COMPUTED_VALUE"""),"")</f>
        <v/>
      </c>
      <c r="O78" s="118" t="str">
        <f>IFERROR(__xludf.DUMMYFUNCTION("""COMPUTED_VALUE"""),"")</f>
        <v/>
      </c>
      <c r="Q78" s="121">
        <f>IFERROR(__xludf.DUMMYFUNCTION("""COMPUTED_VALUE"""),4.0)</f>
        <v>4</v>
      </c>
      <c r="R78" s="123">
        <f>IFERROR(__xludf.DUMMYFUNCTION("""COMPUTED_VALUE"""),0.0)</f>
        <v>0</v>
      </c>
      <c r="S78" s="123">
        <f>IFERROR(__xludf.DUMMYFUNCTION("""COMPUTED_VALUE"""),0.0)</f>
        <v>0</v>
      </c>
      <c r="T78" s="125">
        <f>IFERROR(__xludf.DUMMYFUNCTION("""COMPUTED_VALUE"""),4.0)</f>
        <v>4</v>
      </c>
      <c r="U78" s="128">
        <f>IFERROR(__xludf.DUMMYFUNCTION("""COMPUTED_VALUE"""),622.0)</f>
        <v>622</v>
      </c>
      <c r="V78" s="129">
        <f>IFERROR(__xludf.DUMMYFUNCTION("""COMPUTED_VALUE"""),155.5)</f>
        <v>155.5</v>
      </c>
      <c r="W78" s="146" t="str">
        <f>IFERROR(__xludf.DUMMYFUNCTION("""COMPUTED_VALUE"""),"1")</f>
        <v>1</v>
      </c>
      <c r="X78" s="131" t="str">
        <f>IFERROR(__xludf.DUMMYFUNCTION("""COMPUTED_VALUE"""),"Interlake A")</f>
        <v>Interlake A</v>
      </c>
      <c r="Y78" s="132">
        <f>IFERROR(__xludf.DUMMYFUNCTION("""COMPUTED_VALUE"""),155.5)</f>
        <v>155.5</v>
      </c>
      <c r="Z78" s="36"/>
      <c r="AA78" s="36"/>
      <c r="AB78" s="36"/>
      <c r="AC78" s="36"/>
      <c r="AD78" s="36"/>
      <c r="AE78" s="34"/>
      <c r="AF78" s="34"/>
      <c r="AG78" s="36"/>
      <c r="AH78" s="34"/>
      <c r="AI78" s="36"/>
      <c r="AJ78" s="80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ht="18.75" customHeight="1">
      <c r="A79" s="34"/>
      <c r="B79" s="83"/>
      <c r="C79" s="134" t="str">
        <f>IFERROR(__xludf.DUMMYFUNCTION("""COMPUTED_VALUE"""),"James Ruse D")</f>
        <v>James Ruse D</v>
      </c>
      <c r="D79" s="136">
        <f>IFERROR(__xludf.DUMMYFUNCTION("""COMPUTED_VALUE"""),8.0)</f>
        <v>8</v>
      </c>
      <c r="E79" s="137" t="str">
        <f>IFERROR(__xludf.DUMMYFUNCTION("""COMPUTED_VALUE"""),"L")</f>
        <v>L</v>
      </c>
      <c r="F79" s="138"/>
      <c r="G79" s="140"/>
      <c r="H79" s="113">
        <f>IFERROR(__xludf.DUMMYFUNCTION("""COMPUTED_VALUE"""),12.0)</f>
        <v>12</v>
      </c>
      <c r="I79" s="137" t="str">
        <f>IFERROR(__xludf.DUMMYFUNCTION("""COMPUTED_VALUE"""),"L")</f>
        <v>L</v>
      </c>
      <c r="J79" s="113">
        <f>IFERROR(__xludf.DUMMYFUNCTION("""COMPUTED_VALUE"""),26.0)</f>
        <v>26</v>
      </c>
      <c r="K79" s="137" t="str">
        <f>IFERROR(__xludf.DUMMYFUNCTION("""COMPUTED_VALUE"""),"L")</f>
        <v>L</v>
      </c>
      <c r="L79" s="113">
        <f>IFERROR(__xludf.DUMMYFUNCTION("""COMPUTED_VALUE"""),30.0)</f>
        <v>30</v>
      </c>
      <c r="M79" s="141" t="str">
        <f>IFERROR(__xludf.DUMMYFUNCTION("""COMPUTED_VALUE"""),"L")</f>
        <v>L</v>
      </c>
      <c r="N79" s="113" t="str">
        <f>IFERROR(__xludf.DUMMYFUNCTION("""COMPUTED_VALUE"""),"")</f>
        <v/>
      </c>
      <c r="O79" s="118" t="str">
        <f>IFERROR(__xludf.DUMMYFUNCTION("""COMPUTED_VALUE"""),"")</f>
        <v/>
      </c>
      <c r="Q79" s="121">
        <f>IFERROR(__xludf.DUMMYFUNCTION("""COMPUTED_VALUE"""),0.0)</f>
        <v>0</v>
      </c>
      <c r="R79" s="123">
        <f>IFERROR(__xludf.DUMMYFUNCTION("""COMPUTED_VALUE"""),0.0)</f>
        <v>0</v>
      </c>
      <c r="S79" s="123">
        <f>IFERROR(__xludf.DUMMYFUNCTION("""COMPUTED_VALUE"""),4.0)</f>
        <v>4</v>
      </c>
      <c r="T79" s="125">
        <f>IFERROR(__xludf.DUMMYFUNCTION("""COMPUTED_VALUE"""),0.0)</f>
        <v>0</v>
      </c>
      <c r="U79" s="128">
        <f>IFERROR(__xludf.DUMMYFUNCTION("""COMPUTED_VALUE"""),76.0)</f>
        <v>76</v>
      </c>
      <c r="V79" s="129">
        <f>IFERROR(__xludf.DUMMYFUNCTION("""COMPUTED_VALUE"""),19.0)</f>
        <v>19</v>
      </c>
      <c r="W79" s="130" t="str">
        <f>IFERROR(__xludf.DUMMYFUNCTION("""COMPUTED_VALUE"""),"5")</f>
        <v>5</v>
      </c>
      <c r="X79" s="131" t="str">
        <f>IFERROR(__xludf.DUMMYFUNCTION("""COMPUTED_VALUE"""),"James Ruse D")</f>
        <v>James Ruse D</v>
      </c>
      <c r="Y79" s="132">
        <f>IFERROR(__xludf.DUMMYFUNCTION("""COMPUTED_VALUE"""),19.0)</f>
        <v>19</v>
      </c>
      <c r="Z79" s="36"/>
      <c r="AA79" s="36"/>
      <c r="AB79" s="36"/>
      <c r="AC79" s="36"/>
      <c r="AD79" s="36"/>
      <c r="AE79" s="34"/>
      <c r="AF79" s="34"/>
      <c r="AG79" s="36"/>
      <c r="AH79" s="34"/>
      <c r="AI79" s="36"/>
      <c r="AJ79" s="80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ht="18.75" customHeight="1">
      <c r="A80" s="34"/>
      <c r="B80" s="83"/>
      <c r="C80" s="134" t="str">
        <f>IFERROR(__xludf.DUMMYFUNCTION("""COMPUTED_VALUE"""),"NoHo B")</f>
        <v>NoHo B</v>
      </c>
      <c r="D80" s="136">
        <f>IFERROR(__xludf.DUMMYFUNCTION("""COMPUTED_VALUE"""),72.0)</f>
        <v>72</v>
      </c>
      <c r="E80" s="137" t="str">
        <f>IFERROR(__xludf.DUMMYFUNCTION("""COMPUTED_VALUE"""),"L")</f>
        <v>L</v>
      </c>
      <c r="F80" s="142">
        <f>IFERROR(__xludf.DUMMYFUNCTION("""COMPUTED_VALUE"""),184.0)</f>
        <v>184</v>
      </c>
      <c r="G80" s="137" t="str">
        <f>IFERROR(__xludf.DUMMYFUNCTION("""COMPUTED_VALUE"""),"W")</f>
        <v>W</v>
      </c>
      <c r="H80" s="138"/>
      <c r="I80" s="140"/>
      <c r="J80" s="113">
        <f>IFERROR(__xludf.DUMMYFUNCTION("""COMPUTED_VALUE"""),130.0)</f>
        <v>130</v>
      </c>
      <c r="K80" s="137" t="str">
        <f>IFERROR(__xludf.DUMMYFUNCTION("""COMPUTED_VALUE"""),"L")</f>
        <v>L</v>
      </c>
      <c r="L80" s="113">
        <f>IFERROR(__xludf.DUMMYFUNCTION("""COMPUTED_VALUE"""),120.0)</f>
        <v>120</v>
      </c>
      <c r="M80" s="141" t="str">
        <f>IFERROR(__xludf.DUMMYFUNCTION("""COMPUTED_VALUE"""),"W")</f>
        <v>W</v>
      </c>
      <c r="N80" s="113" t="str">
        <f>IFERROR(__xludf.DUMMYFUNCTION("""COMPUTED_VALUE"""),"")</f>
        <v/>
      </c>
      <c r="O80" s="118" t="str">
        <f>IFERROR(__xludf.DUMMYFUNCTION("""COMPUTED_VALUE"""),"")</f>
        <v/>
      </c>
      <c r="Q80" s="121">
        <f>IFERROR(__xludf.DUMMYFUNCTION("""COMPUTED_VALUE"""),2.0)</f>
        <v>2</v>
      </c>
      <c r="R80" s="123">
        <f>IFERROR(__xludf.DUMMYFUNCTION("""COMPUTED_VALUE"""),0.0)</f>
        <v>0</v>
      </c>
      <c r="S80" s="123">
        <f>IFERROR(__xludf.DUMMYFUNCTION("""COMPUTED_VALUE"""),2.0)</f>
        <v>2</v>
      </c>
      <c r="T80" s="125">
        <f>IFERROR(__xludf.DUMMYFUNCTION("""COMPUTED_VALUE"""),2.0)</f>
        <v>2</v>
      </c>
      <c r="U80" s="128">
        <f>IFERROR(__xludf.DUMMYFUNCTION("""COMPUTED_VALUE"""),506.0)</f>
        <v>506</v>
      </c>
      <c r="V80" s="129">
        <f>IFERROR(__xludf.DUMMYFUNCTION("""COMPUTED_VALUE"""),126.5)</f>
        <v>126.5</v>
      </c>
      <c r="W80" s="146" t="str">
        <f>IFERROR(__xludf.DUMMYFUNCTION("""COMPUTED_VALUE"""),"3")</f>
        <v>3</v>
      </c>
      <c r="X80" s="131" t="str">
        <f>IFERROR(__xludf.DUMMYFUNCTION("""COMPUTED_VALUE"""),"NoHo B")</f>
        <v>NoHo B</v>
      </c>
      <c r="Y80" s="132">
        <f>IFERROR(__xludf.DUMMYFUNCTION("""COMPUTED_VALUE"""),126.5)</f>
        <v>126.5</v>
      </c>
      <c r="Z80" s="36"/>
      <c r="AA80" s="36"/>
      <c r="AB80" s="36"/>
      <c r="AC80" s="36"/>
      <c r="AD80" s="36"/>
      <c r="AE80" s="34"/>
      <c r="AF80" s="34"/>
      <c r="AG80" s="36"/>
      <c r="AH80" s="34"/>
      <c r="AI80" s="36"/>
      <c r="AJ80" s="80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ht="18.75" customHeight="1">
      <c r="A81" s="34"/>
      <c r="B81" s="83"/>
      <c r="C81" s="134" t="str">
        <f>IFERROR(__xludf.DUMMYFUNCTION("""COMPUTED_VALUE"""),"Venice")</f>
        <v>Venice</v>
      </c>
      <c r="D81" s="136">
        <f>IFERROR(__xludf.DUMMYFUNCTION("""COMPUTED_VALUE"""),96.0)</f>
        <v>96</v>
      </c>
      <c r="E81" s="137" t="str">
        <f>IFERROR(__xludf.DUMMYFUNCTION("""COMPUTED_VALUE"""),"L")</f>
        <v>L</v>
      </c>
      <c r="F81" s="142">
        <f>IFERROR(__xludf.DUMMYFUNCTION("""COMPUTED_VALUE"""),202.0)</f>
        <v>202</v>
      </c>
      <c r="G81" s="137" t="str">
        <f>IFERROR(__xludf.DUMMYFUNCTION("""COMPUTED_VALUE"""),"W")</f>
        <v>W</v>
      </c>
      <c r="H81" s="142">
        <f>IFERROR(__xludf.DUMMYFUNCTION("""COMPUTED_VALUE"""),132.0)</f>
        <v>132</v>
      </c>
      <c r="I81" s="137" t="str">
        <f>IFERROR(__xludf.DUMMYFUNCTION("""COMPUTED_VALUE"""),"W")</f>
        <v>W</v>
      </c>
      <c r="J81" s="138"/>
      <c r="K81" s="140"/>
      <c r="L81" s="113">
        <f>IFERROR(__xludf.DUMMYFUNCTION("""COMPUTED_VALUE"""),178.0)</f>
        <v>178</v>
      </c>
      <c r="M81" s="141" t="str">
        <f>IFERROR(__xludf.DUMMYFUNCTION("""COMPUTED_VALUE"""),"W")</f>
        <v>W</v>
      </c>
      <c r="N81" s="113" t="str">
        <f>IFERROR(__xludf.DUMMYFUNCTION("""COMPUTED_VALUE"""),"")</f>
        <v/>
      </c>
      <c r="O81" s="118" t="str">
        <f>IFERROR(__xludf.DUMMYFUNCTION("""COMPUTED_VALUE"""),"")</f>
        <v/>
      </c>
      <c r="Q81" s="121">
        <f>IFERROR(__xludf.DUMMYFUNCTION("""COMPUTED_VALUE"""),3.0)</f>
        <v>3</v>
      </c>
      <c r="R81" s="123">
        <f>IFERROR(__xludf.DUMMYFUNCTION("""COMPUTED_VALUE"""),0.0)</f>
        <v>0</v>
      </c>
      <c r="S81" s="123">
        <f>IFERROR(__xludf.DUMMYFUNCTION("""COMPUTED_VALUE"""),1.0)</f>
        <v>1</v>
      </c>
      <c r="T81" s="125">
        <f>IFERROR(__xludf.DUMMYFUNCTION("""COMPUTED_VALUE"""),3.0)</f>
        <v>3</v>
      </c>
      <c r="U81" s="128">
        <f>IFERROR(__xludf.DUMMYFUNCTION("""COMPUTED_VALUE"""),608.0)</f>
        <v>608</v>
      </c>
      <c r="V81" s="129">
        <f>IFERROR(__xludf.DUMMYFUNCTION("""COMPUTED_VALUE"""),152.0)</f>
        <v>152</v>
      </c>
      <c r="W81" s="130" t="str">
        <f>IFERROR(__xludf.DUMMYFUNCTION("""COMPUTED_VALUE"""),"2")</f>
        <v>2</v>
      </c>
      <c r="X81" s="131" t="str">
        <f>IFERROR(__xludf.DUMMYFUNCTION("""COMPUTED_VALUE"""),"Venice")</f>
        <v>Venice</v>
      </c>
      <c r="Y81" s="132">
        <f>IFERROR(__xludf.DUMMYFUNCTION("""COMPUTED_VALUE"""),152.0)</f>
        <v>152</v>
      </c>
      <c r="Z81" s="36"/>
      <c r="AA81" s="36"/>
      <c r="AB81" s="36"/>
      <c r="AC81" s="36"/>
      <c r="AD81" s="36"/>
      <c r="AE81" s="34"/>
      <c r="AF81" s="34"/>
      <c r="AG81" s="36"/>
      <c r="AH81" s="34"/>
      <c r="AI81" s="36"/>
      <c r="AJ81" s="80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ht="18.75" customHeight="1">
      <c r="A82" s="34"/>
      <c r="B82" s="83"/>
      <c r="C82" s="134" t="str">
        <f>IFERROR(__xludf.DUMMYFUNCTION("""COMPUTED_VALUE"""),"Wayzata B")</f>
        <v>Wayzata B</v>
      </c>
      <c r="D82" s="136">
        <f>IFERROR(__xludf.DUMMYFUNCTION("""COMPUTED_VALUE"""),46.0)</f>
        <v>46</v>
      </c>
      <c r="E82" s="143" t="str">
        <f>IFERROR(__xludf.DUMMYFUNCTION("""COMPUTED_VALUE"""),"L")</f>
        <v>L</v>
      </c>
      <c r="F82" s="142">
        <f>IFERROR(__xludf.DUMMYFUNCTION("""COMPUTED_VALUE"""),140.0)</f>
        <v>140</v>
      </c>
      <c r="G82" s="143" t="str">
        <f>IFERROR(__xludf.DUMMYFUNCTION("""COMPUTED_VALUE"""),"W")</f>
        <v>W</v>
      </c>
      <c r="H82" s="142">
        <f>IFERROR(__xludf.DUMMYFUNCTION("""COMPUTED_VALUE"""),80.0)</f>
        <v>80</v>
      </c>
      <c r="I82" s="143" t="str">
        <f>IFERROR(__xludf.DUMMYFUNCTION("""COMPUTED_VALUE"""),"L")</f>
        <v>L</v>
      </c>
      <c r="J82" s="142">
        <f>IFERROR(__xludf.DUMMYFUNCTION("""COMPUTED_VALUE"""),44.0)</f>
        <v>44</v>
      </c>
      <c r="K82" s="143" t="str">
        <f>IFERROR(__xludf.DUMMYFUNCTION("""COMPUTED_VALUE"""),"L")</f>
        <v>L</v>
      </c>
      <c r="L82" s="144"/>
      <c r="M82" s="145"/>
      <c r="N82" s="113" t="str">
        <f>IFERROR(__xludf.DUMMYFUNCTION("""COMPUTED_VALUE"""),"")</f>
        <v/>
      </c>
      <c r="O82" s="118" t="str">
        <f>IFERROR(__xludf.DUMMYFUNCTION("""COMPUTED_VALUE"""),"")</f>
        <v/>
      </c>
      <c r="Q82" s="121">
        <f>IFERROR(__xludf.DUMMYFUNCTION("""COMPUTED_VALUE"""),1.0)</f>
        <v>1</v>
      </c>
      <c r="R82" s="123">
        <f>IFERROR(__xludf.DUMMYFUNCTION("""COMPUTED_VALUE"""),0.0)</f>
        <v>0</v>
      </c>
      <c r="S82" s="123">
        <f>IFERROR(__xludf.DUMMYFUNCTION("""COMPUTED_VALUE"""),3.0)</f>
        <v>3</v>
      </c>
      <c r="T82" s="125">
        <f>IFERROR(__xludf.DUMMYFUNCTION("""COMPUTED_VALUE"""),1.0)</f>
        <v>1</v>
      </c>
      <c r="U82" s="128">
        <f>IFERROR(__xludf.DUMMYFUNCTION("""COMPUTED_VALUE"""),310.0)</f>
        <v>310</v>
      </c>
      <c r="V82" s="129">
        <f>IFERROR(__xludf.DUMMYFUNCTION("""COMPUTED_VALUE"""),77.5)</f>
        <v>77.5</v>
      </c>
      <c r="W82" s="146" t="str">
        <f>IFERROR(__xludf.DUMMYFUNCTION("""COMPUTED_VALUE"""),"4")</f>
        <v>4</v>
      </c>
      <c r="X82" s="131" t="str">
        <f>IFERROR(__xludf.DUMMYFUNCTION("""COMPUTED_VALUE"""),"Wayzata B")</f>
        <v>Wayzata B</v>
      </c>
      <c r="Y82" s="132">
        <f>IFERROR(__xludf.DUMMYFUNCTION("""COMPUTED_VALUE"""),77.5)</f>
        <v>77.5</v>
      </c>
      <c r="Z82" s="36"/>
      <c r="AA82" s="36"/>
      <c r="AB82" s="36"/>
      <c r="AC82" s="36"/>
      <c r="AD82" s="36"/>
      <c r="AE82" s="34"/>
      <c r="AF82" s="34"/>
      <c r="AG82" s="36"/>
      <c r="AH82" s="34"/>
      <c r="AI82" s="36"/>
      <c r="AJ82" s="80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ht="18.75" hidden="1" customHeight="1">
      <c r="A83" s="34"/>
      <c r="B83" s="83"/>
      <c r="C83" s="134" t="str">
        <f>IFERROR(__xludf.DUMMYFUNCTION("""COMPUTED_VALUE"""),"BYE")</f>
        <v>BYE</v>
      </c>
      <c r="D83" s="136" t="str">
        <f>IFERROR(__xludf.DUMMYFUNCTION("""COMPUTED_VALUE"""),"")</f>
        <v/>
      </c>
      <c r="E83" s="143" t="str">
        <f>IFERROR(__xludf.DUMMYFUNCTION("""COMPUTED_VALUE"""),"")</f>
        <v/>
      </c>
      <c r="F83" s="142" t="str">
        <f>IFERROR(__xludf.DUMMYFUNCTION("""COMPUTED_VALUE"""),"")</f>
        <v/>
      </c>
      <c r="G83" s="143" t="str">
        <f>IFERROR(__xludf.DUMMYFUNCTION("""COMPUTED_VALUE"""),"")</f>
        <v/>
      </c>
      <c r="H83" s="142" t="str">
        <f>IFERROR(__xludf.DUMMYFUNCTION("""COMPUTED_VALUE"""),"")</f>
        <v/>
      </c>
      <c r="I83" s="137" t="str">
        <f>IFERROR(__xludf.DUMMYFUNCTION("""COMPUTED_VALUE"""),"")</f>
        <v/>
      </c>
      <c r="J83" s="142" t="str">
        <f>IFERROR(__xludf.DUMMYFUNCTION("""COMPUTED_VALUE"""),"")</f>
        <v/>
      </c>
      <c r="K83" s="143" t="str">
        <f>IFERROR(__xludf.DUMMYFUNCTION("""COMPUTED_VALUE"""),"")</f>
        <v/>
      </c>
      <c r="L83" s="142" t="str">
        <f>IFERROR(__xludf.DUMMYFUNCTION("""COMPUTED_VALUE"""),"")</f>
        <v/>
      </c>
      <c r="M83" s="143" t="str">
        <f>IFERROR(__xludf.DUMMYFUNCTION("""COMPUTED_VALUE"""),"")</f>
        <v/>
      </c>
      <c r="N83" s="147"/>
      <c r="O83" s="148"/>
      <c r="P83" s="89"/>
      <c r="Q83" s="121">
        <f>IFERROR(__xludf.DUMMYFUNCTION("""COMPUTED_VALUE"""),0.0)</f>
        <v>0</v>
      </c>
      <c r="R83" s="123">
        <f>IFERROR(__xludf.DUMMYFUNCTION("""COMPUTED_VALUE"""),0.0)</f>
        <v>0</v>
      </c>
      <c r="S83" s="123">
        <f>IFERROR(__xludf.DUMMYFUNCTION("""COMPUTED_VALUE"""),0.0)</f>
        <v>0</v>
      </c>
      <c r="T83" s="125">
        <f>IFERROR(__xludf.DUMMYFUNCTION("""COMPUTED_VALUE"""),0.0)</f>
        <v>0</v>
      </c>
      <c r="U83" s="128">
        <f>IFERROR(__xludf.DUMMYFUNCTION("""COMPUTED_VALUE"""),0.0)</f>
        <v>0</v>
      </c>
      <c r="V83" s="129" t="str">
        <f>IFERROR(__xludf.DUMMYFUNCTION("""COMPUTED_VALUE"""),"")</f>
        <v/>
      </c>
      <c r="W83" s="149"/>
      <c r="X83" s="131" t="str">
        <f>IFERROR(__xludf.DUMMYFUNCTION("""COMPUTED_VALUE"""),"BYE")</f>
        <v>BYE</v>
      </c>
      <c r="Y83" s="132" t="str">
        <f>IFERROR(__xludf.DUMMYFUNCTION("""COMPUTED_VALUE"""),"")</f>
        <v/>
      </c>
      <c r="Z83" s="36"/>
      <c r="AA83" s="36"/>
      <c r="AB83" s="36"/>
      <c r="AC83" s="36"/>
      <c r="AD83" s="36"/>
      <c r="AE83" s="34"/>
      <c r="AF83" s="34"/>
      <c r="AG83" s="36"/>
      <c r="AH83" s="34"/>
      <c r="AI83" s="36"/>
      <c r="AJ83" s="80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ht="18.75" customHeight="1">
      <c r="A84" s="36"/>
      <c r="B84" s="150"/>
      <c r="C84" s="151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52"/>
      <c r="Y84" s="78"/>
      <c r="Z84" s="36"/>
      <c r="AA84" s="36"/>
      <c r="AB84" s="36"/>
      <c r="AC84" s="36"/>
      <c r="AD84" s="36"/>
      <c r="AE84" s="34"/>
      <c r="AF84" s="34"/>
      <c r="AG84" s="36"/>
      <c r="AH84" s="34"/>
      <c r="AI84" s="36"/>
      <c r="AJ84" s="80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ht="18.75" customHeight="1">
      <c r="A85" s="34"/>
      <c r="B85" s="34"/>
      <c r="C85" s="34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153"/>
      <c r="U85" s="36"/>
      <c r="V85" s="36"/>
      <c r="W85" s="48"/>
      <c r="X85" s="50"/>
      <c r="Y85" s="78"/>
      <c r="Z85" s="36"/>
      <c r="AA85" s="36"/>
      <c r="AB85" s="36"/>
      <c r="AC85" s="36"/>
      <c r="AD85" s="36"/>
      <c r="AE85" s="34"/>
      <c r="AF85" s="34"/>
      <c r="AG85" s="36"/>
      <c r="AH85" s="34"/>
      <c r="AI85" s="36"/>
      <c r="AJ85" s="80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ht="18.75" customHeight="1">
      <c r="A86" s="34"/>
      <c r="B86" s="34"/>
      <c r="C86" s="34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153"/>
      <c r="U86" s="36"/>
      <c r="V86" s="36"/>
      <c r="W86" s="48"/>
      <c r="X86" s="50"/>
      <c r="Y86" s="78"/>
      <c r="Z86" s="36"/>
      <c r="AA86" s="36"/>
      <c r="AB86" s="36"/>
      <c r="AC86" s="36"/>
      <c r="AD86" s="36"/>
      <c r="AE86" s="34"/>
      <c r="AF86" s="34"/>
      <c r="AG86" s="36"/>
      <c r="AH86" s="34"/>
      <c r="AI86" s="36"/>
      <c r="AJ86" s="80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ht="18.75" customHeight="1">
      <c r="A87" s="55"/>
      <c r="B87" s="55"/>
      <c r="C87" s="55" t="str">
        <f>IFERROR(__xludf.DUMMYFUNCTION("""COMPUTED_VALUE"""),"Hawking")</f>
        <v>Hawking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58"/>
      <c r="U87" s="6"/>
      <c r="V87" s="6"/>
      <c r="W87" s="53"/>
      <c r="X87" s="60"/>
      <c r="Y87" s="78"/>
      <c r="Z87" s="36"/>
      <c r="AA87" s="36"/>
      <c r="AB87" s="36"/>
      <c r="AC87" s="36"/>
      <c r="AD87" s="36"/>
      <c r="AE87" s="34"/>
      <c r="AF87" s="34"/>
      <c r="AG87" s="36"/>
      <c r="AH87" s="34"/>
      <c r="AI87" s="36"/>
      <c r="AJ87" s="80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ht="18.75" customHeight="1">
      <c r="A88" s="36"/>
      <c r="B88" s="67"/>
      <c r="C88" s="71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7"/>
      <c r="Y88" s="78"/>
      <c r="Z88" s="36"/>
      <c r="AA88" s="36"/>
      <c r="AB88" s="36"/>
      <c r="AC88" s="36"/>
      <c r="AD88" s="36"/>
      <c r="AE88" s="34"/>
      <c r="AF88" s="34"/>
      <c r="AG88" s="36"/>
      <c r="AH88" s="34"/>
      <c r="AI88" s="36"/>
      <c r="AJ88" s="80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ht="18.75" customHeight="1">
      <c r="A89" s="82"/>
      <c r="B89" s="83"/>
      <c r="C89" s="84" t="str">
        <f>IFERROR(__xludf.DUMMYFUNCTION("""COMPUTED_VALUE"""),"Team")</f>
        <v>Team</v>
      </c>
      <c r="D89" s="34" t="str">
        <f>IFERROR(__xludf.DUMMYFUNCTION("""COMPUTED_VALUE"""),"Fossil Ridge")</f>
        <v>Fossil Ridge</v>
      </c>
      <c r="F89" s="85" t="str">
        <f>IFERROR(__xludf.DUMMYFUNCTION("""COMPUTED_VALUE"""),"Interlake D")</f>
        <v>Interlake D</v>
      </c>
      <c r="G89" s="86"/>
      <c r="H89" s="85" t="str">
        <f>IFERROR(__xludf.DUMMYFUNCTION("""COMPUTED_VALUE"""),"James Ruse A")</f>
        <v>James Ruse A</v>
      </c>
      <c r="I89" s="86"/>
      <c r="J89" s="85" t="str">
        <f>IFERROR(__xludf.DUMMYFUNCTION("""COMPUTED_VALUE"""),"NCSSM B")</f>
        <v>NCSSM B</v>
      </c>
      <c r="K89" s="86"/>
      <c r="L89" s="85" t="str">
        <f>IFERROR(__xludf.DUMMYFUNCTION("""COMPUTED_VALUE"""),"Tesla STEM B")</f>
        <v>Tesla STEM B</v>
      </c>
      <c r="M89" s="86"/>
      <c r="N89" s="85" t="str">
        <f>IFERROR(__xludf.DUMMYFUNCTION("""COMPUTED_VALUE"""),"BYE")</f>
        <v>BYE</v>
      </c>
      <c r="O89" s="86"/>
      <c r="P89" s="89"/>
      <c r="Q89" s="93" t="str">
        <f>IFERROR(__xludf.DUMMYFUNCTION("""COMPUTED_VALUE"""),"W")</f>
        <v>W</v>
      </c>
      <c r="R89" s="93" t="str">
        <f>IFERROR(__xludf.DUMMYFUNCTION("""COMPUTED_VALUE"""),"T")</f>
        <v>T</v>
      </c>
      <c r="S89" s="93" t="str">
        <f>IFERROR(__xludf.DUMMYFUNCTION("""COMPUTED_VALUE"""),"L")</f>
        <v>L</v>
      </c>
      <c r="T89" s="95" t="str">
        <f>IFERROR(__xludf.DUMMYFUNCTION("""COMPUTED_VALUE"""),"W/L Score")</f>
        <v>W/L Score</v>
      </c>
      <c r="U89" s="93" t="str">
        <f>IFERROR(__xludf.DUMMYFUNCTION("""COMPUTED_VALUE"""),"Points")</f>
        <v>Points</v>
      </c>
      <c r="V89" s="93" t="str">
        <f>IFERROR(__xludf.DUMMYFUNCTION("""COMPUTED_VALUE"""),"Average")</f>
        <v>Average</v>
      </c>
      <c r="W89" s="97" t="str">
        <f>IFERROR(__xludf.DUMMYFUNCTION("""COMPUTED_VALUE"""),"Rank")</f>
        <v>Rank</v>
      </c>
      <c r="X89" s="98"/>
      <c r="Y89" s="78"/>
      <c r="Z89" s="36"/>
      <c r="AA89" s="36"/>
      <c r="AB89" s="36"/>
      <c r="AC89" s="36"/>
      <c r="AD89" s="36"/>
      <c r="AE89" s="34"/>
      <c r="AF89" s="34"/>
      <c r="AG89" s="36"/>
      <c r="AH89" s="34"/>
      <c r="AI89" s="36"/>
      <c r="AJ89" s="80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ht="18.75" customHeight="1">
      <c r="A90" s="101"/>
      <c r="B90" s="83"/>
      <c r="C90" s="103" t="str">
        <f>IFERROR(__xludf.DUMMYFUNCTION("""COMPUTED_VALUE"""),"Fossil Ridge")</f>
        <v>Fossil Ridge</v>
      </c>
      <c r="D90" s="107"/>
      <c r="E90" s="109"/>
      <c r="F90" s="113">
        <f>IFERROR(__xludf.DUMMYFUNCTION("""COMPUTED_VALUE"""),136.0)</f>
        <v>136</v>
      </c>
      <c r="G90" s="115" t="str">
        <f>IFERROR(__xludf.DUMMYFUNCTION("""COMPUTED_VALUE"""),"L")</f>
        <v>L</v>
      </c>
      <c r="H90" s="113">
        <f>IFERROR(__xludf.DUMMYFUNCTION("""COMPUTED_VALUE"""),164.0)</f>
        <v>164</v>
      </c>
      <c r="I90" s="115" t="str">
        <f>IFERROR(__xludf.DUMMYFUNCTION("""COMPUTED_VALUE"""),"W")</f>
        <v>W</v>
      </c>
      <c r="J90" s="113">
        <f>IFERROR(__xludf.DUMMYFUNCTION("""COMPUTED_VALUE"""),80.0)</f>
        <v>80</v>
      </c>
      <c r="K90" s="115" t="str">
        <f>IFERROR(__xludf.DUMMYFUNCTION("""COMPUTED_VALUE"""),"L")</f>
        <v>L</v>
      </c>
      <c r="L90" s="113"/>
      <c r="M90" s="118" t="str">
        <f>IFERROR(__xludf.DUMMYFUNCTION("""COMPUTED_VALUE"""),"W")</f>
        <v>W</v>
      </c>
      <c r="N90" s="113" t="str">
        <f>IFERROR(__xludf.DUMMYFUNCTION("""COMPUTED_VALUE"""),"")</f>
        <v/>
      </c>
      <c r="O90" s="118" t="str">
        <f>IFERROR(__xludf.DUMMYFUNCTION("""COMPUTED_VALUE"""),"")</f>
        <v/>
      </c>
      <c r="Q90" s="121">
        <f>IFERROR(__xludf.DUMMYFUNCTION("""COMPUTED_VALUE"""),2.0)</f>
        <v>2</v>
      </c>
      <c r="R90" s="123">
        <f>IFERROR(__xludf.DUMMYFUNCTION("""COMPUTED_VALUE"""),0.0)</f>
        <v>0</v>
      </c>
      <c r="S90" s="123">
        <f>IFERROR(__xludf.DUMMYFUNCTION("""COMPUTED_VALUE"""),2.0)</f>
        <v>2</v>
      </c>
      <c r="T90" s="125">
        <f>IFERROR(__xludf.DUMMYFUNCTION("""COMPUTED_VALUE"""),2.0)</f>
        <v>2</v>
      </c>
      <c r="U90" s="128">
        <f>IFERROR(__xludf.DUMMYFUNCTION("""COMPUTED_VALUE"""),380.0)</f>
        <v>380</v>
      </c>
      <c r="V90" s="129">
        <f>IFERROR(__xludf.DUMMYFUNCTION("""COMPUTED_VALUE"""),126.66666666666667)</f>
        <v>126.6666667</v>
      </c>
      <c r="W90" s="146" t="str">
        <f>IFERROR(__xludf.DUMMYFUNCTION("""COMPUTED_VALUE"""),"3")</f>
        <v>3</v>
      </c>
      <c r="X90" s="131" t="str">
        <f>IFERROR(__xludf.DUMMYFUNCTION("""COMPUTED_VALUE"""),"Fossil Ridge")</f>
        <v>Fossil Ridge</v>
      </c>
      <c r="Y90" s="132">
        <f>IFERROR(__xludf.DUMMYFUNCTION("""COMPUTED_VALUE"""),126.66666666666667)</f>
        <v>126.6666667</v>
      </c>
      <c r="Z90" s="36"/>
      <c r="AA90" s="36"/>
      <c r="AB90" s="36"/>
      <c r="AC90" s="36"/>
      <c r="AD90" s="36"/>
      <c r="AE90" s="34"/>
      <c r="AF90" s="34"/>
      <c r="AG90" s="36"/>
      <c r="AH90" s="34"/>
      <c r="AI90" s="36"/>
      <c r="AJ90" s="80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ht="18.75" customHeight="1">
      <c r="A91" s="34"/>
      <c r="B91" s="83"/>
      <c r="C91" s="134" t="str">
        <f>IFERROR(__xludf.DUMMYFUNCTION("""COMPUTED_VALUE"""),"Interlake D")</f>
        <v>Interlake D</v>
      </c>
      <c r="D91" s="136">
        <f>IFERROR(__xludf.DUMMYFUNCTION("""COMPUTED_VALUE"""),138.0)</f>
        <v>138</v>
      </c>
      <c r="E91" s="137" t="str">
        <f>IFERROR(__xludf.DUMMYFUNCTION("""COMPUTED_VALUE"""),"W")</f>
        <v>W</v>
      </c>
      <c r="F91" s="138"/>
      <c r="G91" s="140"/>
      <c r="H91" s="113">
        <f>IFERROR(__xludf.DUMMYFUNCTION("""COMPUTED_VALUE"""),200.0)</f>
        <v>200</v>
      </c>
      <c r="I91" s="137" t="str">
        <f>IFERROR(__xludf.DUMMYFUNCTION("""COMPUTED_VALUE"""),"W")</f>
        <v>W</v>
      </c>
      <c r="J91" s="113">
        <f>IFERROR(__xludf.DUMMYFUNCTION("""COMPUTED_VALUE"""),168.0)</f>
        <v>168</v>
      </c>
      <c r="K91" s="137" t="str">
        <f>IFERROR(__xludf.DUMMYFUNCTION("""COMPUTED_VALUE"""),"W")</f>
        <v>W</v>
      </c>
      <c r="L91" s="113">
        <f>IFERROR(__xludf.DUMMYFUNCTION("""COMPUTED_VALUE"""),258.0)</f>
        <v>258</v>
      </c>
      <c r="M91" s="141" t="str">
        <f>IFERROR(__xludf.DUMMYFUNCTION("""COMPUTED_VALUE"""),"W")</f>
        <v>W</v>
      </c>
      <c r="N91" s="113" t="str">
        <f>IFERROR(__xludf.DUMMYFUNCTION("""COMPUTED_VALUE"""),"")</f>
        <v/>
      </c>
      <c r="O91" s="118" t="str">
        <f>IFERROR(__xludf.DUMMYFUNCTION("""COMPUTED_VALUE"""),"")</f>
        <v/>
      </c>
      <c r="Q91" s="121">
        <f>IFERROR(__xludf.DUMMYFUNCTION("""COMPUTED_VALUE"""),4.0)</f>
        <v>4</v>
      </c>
      <c r="R91" s="123">
        <f>IFERROR(__xludf.DUMMYFUNCTION("""COMPUTED_VALUE"""),0.0)</f>
        <v>0</v>
      </c>
      <c r="S91" s="123">
        <f>IFERROR(__xludf.DUMMYFUNCTION("""COMPUTED_VALUE"""),0.0)</f>
        <v>0</v>
      </c>
      <c r="T91" s="125">
        <f>IFERROR(__xludf.DUMMYFUNCTION("""COMPUTED_VALUE"""),4.0)</f>
        <v>4</v>
      </c>
      <c r="U91" s="128">
        <f>IFERROR(__xludf.DUMMYFUNCTION("""COMPUTED_VALUE"""),506.0)</f>
        <v>506</v>
      </c>
      <c r="V91" s="129">
        <f>IFERROR(__xludf.DUMMYFUNCTION("""COMPUTED_VALUE"""),168.66666666666666)</f>
        <v>168.6666667</v>
      </c>
      <c r="W91" s="130" t="str">
        <f>IFERROR(__xludf.DUMMYFUNCTION("""COMPUTED_VALUE"""),"1")</f>
        <v>1</v>
      </c>
      <c r="X91" s="131" t="str">
        <f>IFERROR(__xludf.DUMMYFUNCTION("""COMPUTED_VALUE"""),"Interlake D")</f>
        <v>Interlake D</v>
      </c>
      <c r="Y91" s="132">
        <f>IFERROR(__xludf.DUMMYFUNCTION("""COMPUTED_VALUE"""),168.66666666666666)</f>
        <v>168.6666667</v>
      </c>
      <c r="Z91" s="36"/>
      <c r="AA91" s="36"/>
      <c r="AB91" s="36"/>
      <c r="AC91" s="36"/>
      <c r="AD91" s="36"/>
      <c r="AE91" s="34"/>
      <c r="AF91" s="34"/>
      <c r="AG91" s="36"/>
      <c r="AH91" s="34"/>
      <c r="AI91" s="36"/>
      <c r="AJ91" s="80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ht="18.75" customHeight="1">
      <c r="A92" s="34"/>
      <c r="B92" s="83"/>
      <c r="C92" s="134" t="str">
        <f>IFERROR(__xludf.DUMMYFUNCTION("""COMPUTED_VALUE"""),"James Ruse A")</f>
        <v>James Ruse A</v>
      </c>
      <c r="D92" s="136">
        <f>IFERROR(__xludf.DUMMYFUNCTION("""COMPUTED_VALUE"""),32.0)</f>
        <v>32</v>
      </c>
      <c r="E92" s="137" t="str">
        <f>IFERROR(__xludf.DUMMYFUNCTION("""COMPUTED_VALUE"""),"L")</f>
        <v>L</v>
      </c>
      <c r="F92" s="142">
        <f>IFERROR(__xludf.DUMMYFUNCTION("""COMPUTED_VALUE"""),58.0)</f>
        <v>58</v>
      </c>
      <c r="G92" s="137" t="str">
        <f>IFERROR(__xludf.DUMMYFUNCTION("""COMPUTED_VALUE"""),"L")</f>
        <v>L</v>
      </c>
      <c r="H92" s="138"/>
      <c r="I92" s="140"/>
      <c r="J92" s="113">
        <f>IFERROR(__xludf.DUMMYFUNCTION("""COMPUTED_VALUE"""),26.0)</f>
        <v>26</v>
      </c>
      <c r="K92" s="137" t="str">
        <f>IFERROR(__xludf.DUMMYFUNCTION("""COMPUTED_VALUE"""),"L")</f>
        <v>L</v>
      </c>
      <c r="L92" s="113"/>
      <c r="M92" s="141" t="str">
        <f>IFERROR(__xludf.DUMMYFUNCTION("""COMPUTED_VALUE"""),"W")</f>
        <v>W</v>
      </c>
      <c r="N92" s="113" t="str">
        <f>IFERROR(__xludf.DUMMYFUNCTION("""COMPUTED_VALUE"""),"")</f>
        <v/>
      </c>
      <c r="O92" s="118" t="str">
        <f>IFERROR(__xludf.DUMMYFUNCTION("""COMPUTED_VALUE"""),"")</f>
        <v/>
      </c>
      <c r="Q92" s="121">
        <f>IFERROR(__xludf.DUMMYFUNCTION("""COMPUTED_VALUE"""),1.0)</f>
        <v>1</v>
      </c>
      <c r="R92" s="123">
        <f>IFERROR(__xludf.DUMMYFUNCTION("""COMPUTED_VALUE"""),0.0)</f>
        <v>0</v>
      </c>
      <c r="S92" s="123">
        <f>IFERROR(__xludf.DUMMYFUNCTION("""COMPUTED_VALUE"""),3.0)</f>
        <v>3</v>
      </c>
      <c r="T92" s="125">
        <f>IFERROR(__xludf.DUMMYFUNCTION("""COMPUTED_VALUE"""),1.0)</f>
        <v>1</v>
      </c>
      <c r="U92" s="128">
        <f>IFERROR(__xludf.DUMMYFUNCTION("""COMPUTED_VALUE"""),116.0)</f>
        <v>116</v>
      </c>
      <c r="V92" s="129">
        <f>IFERROR(__xludf.DUMMYFUNCTION("""COMPUTED_VALUE"""),38.666666666666664)</f>
        <v>38.66666667</v>
      </c>
      <c r="W92" s="146" t="str">
        <f>IFERROR(__xludf.DUMMYFUNCTION("""COMPUTED_VALUE"""),"4")</f>
        <v>4</v>
      </c>
      <c r="X92" s="131" t="str">
        <f>IFERROR(__xludf.DUMMYFUNCTION("""COMPUTED_VALUE"""),"James Ruse A")</f>
        <v>James Ruse A</v>
      </c>
      <c r="Y92" s="132">
        <f>IFERROR(__xludf.DUMMYFUNCTION("""COMPUTED_VALUE"""),38.666666666666664)</f>
        <v>38.66666667</v>
      </c>
      <c r="Z92" s="36"/>
      <c r="AA92" s="36"/>
      <c r="AB92" s="36"/>
      <c r="AC92" s="36"/>
      <c r="AD92" s="36"/>
      <c r="AE92" s="34"/>
      <c r="AF92" s="34"/>
      <c r="AG92" s="36"/>
      <c r="AH92" s="34"/>
      <c r="AI92" s="36"/>
      <c r="AJ92" s="80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ht="18.75" customHeight="1">
      <c r="A93" s="34"/>
      <c r="B93" s="83"/>
      <c r="C93" s="134" t="str">
        <f>IFERROR(__xludf.DUMMYFUNCTION("""COMPUTED_VALUE"""),"NCSSM B")</f>
        <v>NCSSM B</v>
      </c>
      <c r="D93" s="136">
        <f>IFERROR(__xludf.DUMMYFUNCTION("""COMPUTED_VALUE"""),110.0)</f>
        <v>110</v>
      </c>
      <c r="E93" s="137" t="str">
        <f>IFERROR(__xludf.DUMMYFUNCTION("""COMPUTED_VALUE"""),"W")</f>
        <v>W</v>
      </c>
      <c r="F93" s="142">
        <f>IFERROR(__xludf.DUMMYFUNCTION("""COMPUTED_VALUE"""),60.0)</f>
        <v>60</v>
      </c>
      <c r="G93" s="137" t="str">
        <f>IFERROR(__xludf.DUMMYFUNCTION("""COMPUTED_VALUE"""),"L")</f>
        <v>L</v>
      </c>
      <c r="H93" s="142">
        <f>IFERROR(__xludf.DUMMYFUNCTION("""COMPUTED_VALUE"""),222.0)</f>
        <v>222</v>
      </c>
      <c r="I93" s="137" t="str">
        <f>IFERROR(__xludf.DUMMYFUNCTION("""COMPUTED_VALUE"""),"W")</f>
        <v>W</v>
      </c>
      <c r="J93" s="138"/>
      <c r="K93" s="140"/>
      <c r="L93" s="113">
        <f>IFERROR(__xludf.DUMMYFUNCTION("""COMPUTED_VALUE"""),212.0)</f>
        <v>212</v>
      </c>
      <c r="M93" s="141" t="str">
        <f>IFERROR(__xludf.DUMMYFUNCTION("""COMPUTED_VALUE"""),"W")</f>
        <v>W</v>
      </c>
      <c r="N93" s="113" t="str">
        <f>IFERROR(__xludf.DUMMYFUNCTION("""COMPUTED_VALUE"""),"")</f>
        <v/>
      </c>
      <c r="O93" s="118" t="str">
        <f>IFERROR(__xludf.DUMMYFUNCTION("""COMPUTED_VALUE"""),"")</f>
        <v/>
      </c>
      <c r="Q93" s="121">
        <f>IFERROR(__xludf.DUMMYFUNCTION("""COMPUTED_VALUE"""),3.0)</f>
        <v>3</v>
      </c>
      <c r="R93" s="123">
        <f>IFERROR(__xludf.DUMMYFUNCTION("""COMPUTED_VALUE"""),0.0)</f>
        <v>0</v>
      </c>
      <c r="S93" s="123">
        <f>IFERROR(__xludf.DUMMYFUNCTION("""COMPUTED_VALUE"""),1.0)</f>
        <v>1</v>
      </c>
      <c r="T93" s="125">
        <f>IFERROR(__xludf.DUMMYFUNCTION("""COMPUTED_VALUE"""),3.0)</f>
        <v>3</v>
      </c>
      <c r="U93" s="128">
        <f>IFERROR(__xludf.DUMMYFUNCTION("""COMPUTED_VALUE"""),392.0)</f>
        <v>392</v>
      </c>
      <c r="V93" s="129">
        <f>IFERROR(__xludf.DUMMYFUNCTION("""COMPUTED_VALUE"""),130.66666666666666)</f>
        <v>130.6666667</v>
      </c>
      <c r="W93" s="130" t="str">
        <f>IFERROR(__xludf.DUMMYFUNCTION("""COMPUTED_VALUE"""),"2")</f>
        <v>2</v>
      </c>
      <c r="X93" s="131" t="str">
        <f>IFERROR(__xludf.DUMMYFUNCTION("""COMPUTED_VALUE"""),"NCSSM B")</f>
        <v>NCSSM B</v>
      </c>
      <c r="Y93" s="132">
        <f>IFERROR(__xludf.DUMMYFUNCTION("""COMPUTED_VALUE"""),130.66666666666666)</f>
        <v>130.6666667</v>
      </c>
      <c r="Z93" s="36"/>
      <c r="AA93" s="36"/>
      <c r="AB93" s="36"/>
      <c r="AC93" s="36"/>
      <c r="AD93" s="36"/>
      <c r="AE93" s="34"/>
      <c r="AF93" s="34"/>
      <c r="AG93" s="36"/>
      <c r="AH93" s="34"/>
      <c r="AI93" s="36"/>
      <c r="AJ93" s="80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ht="18.75" customHeight="1">
      <c r="A94" s="34"/>
      <c r="B94" s="83"/>
      <c r="C94" s="134" t="str">
        <f>IFERROR(__xludf.DUMMYFUNCTION("""COMPUTED_VALUE"""),"Tesla STEM B")</f>
        <v>Tesla STEM B</v>
      </c>
      <c r="D94" s="136"/>
      <c r="E94" s="143" t="str">
        <f>IFERROR(__xludf.DUMMYFUNCTION("""COMPUTED_VALUE"""),"L")</f>
        <v>L</v>
      </c>
      <c r="F94" s="142">
        <f>IFERROR(__xludf.DUMMYFUNCTION("""COMPUTED_VALUE"""),0.0)</f>
        <v>0</v>
      </c>
      <c r="G94" s="143" t="str">
        <f>IFERROR(__xludf.DUMMYFUNCTION("""COMPUTED_VALUE"""),"L")</f>
        <v>L</v>
      </c>
      <c r="H94" s="142"/>
      <c r="I94" s="143" t="str">
        <f>IFERROR(__xludf.DUMMYFUNCTION("""COMPUTED_VALUE"""),"L")</f>
        <v>L</v>
      </c>
      <c r="J94" s="142">
        <f>IFERROR(__xludf.DUMMYFUNCTION("""COMPUTED_VALUE"""),26.0)</f>
        <v>26</v>
      </c>
      <c r="K94" s="143" t="str">
        <f>IFERROR(__xludf.DUMMYFUNCTION("""COMPUTED_VALUE"""),"L")</f>
        <v>L</v>
      </c>
      <c r="L94" s="144"/>
      <c r="M94" s="145"/>
      <c r="N94" s="113" t="str">
        <f>IFERROR(__xludf.DUMMYFUNCTION("""COMPUTED_VALUE"""),"")</f>
        <v/>
      </c>
      <c r="O94" s="118" t="str">
        <f>IFERROR(__xludf.DUMMYFUNCTION("""COMPUTED_VALUE"""),"")</f>
        <v/>
      </c>
      <c r="Q94" s="121">
        <f>IFERROR(__xludf.DUMMYFUNCTION("""COMPUTED_VALUE"""),0.0)</f>
        <v>0</v>
      </c>
      <c r="R94" s="123">
        <f>IFERROR(__xludf.DUMMYFUNCTION("""COMPUTED_VALUE"""),0.0)</f>
        <v>0</v>
      </c>
      <c r="S94" s="123">
        <f>IFERROR(__xludf.DUMMYFUNCTION("""COMPUTED_VALUE"""),4.0)</f>
        <v>4</v>
      </c>
      <c r="T94" s="125">
        <f>IFERROR(__xludf.DUMMYFUNCTION("""COMPUTED_VALUE"""),0.0)</f>
        <v>0</v>
      </c>
      <c r="U94" s="128">
        <f>IFERROR(__xludf.DUMMYFUNCTION("""COMPUTED_VALUE"""),26.0)</f>
        <v>26</v>
      </c>
      <c r="V94" s="129">
        <f>IFERROR(__xludf.DUMMYFUNCTION("""COMPUTED_VALUE"""),13.0)</f>
        <v>13</v>
      </c>
      <c r="W94" s="146" t="str">
        <f>IFERROR(__xludf.DUMMYFUNCTION("""COMPUTED_VALUE"""),"5")</f>
        <v>5</v>
      </c>
      <c r="X94" s="131" t="str">
        <f>IFERROR(__xludf.DUMMYFUNCTION("""COMPUTED_VALUE"""),"Tesla STEM B")</f>
        <v>Tesla STEM B</v>
      </c>
      <c r="Y94" s="132">
        <f>IFERROR(__xludf.DUMMYFUNCTION("""COMPUTED_VALUE"""),13.0)</f>
        <v>13</v>
      </c>
      <c r="Z94" s="36"/>
      <c r="AA94" s="36"/>
      <c r="AB94" s="36"/>
      <c r="AC94" s="36"/>
      <c r="AD94" s="36"/>
      <c r="AE94" s="34"/>
      <c r="AF94" s="34"/>
      <c r="AG94" s="36"/>
      <c r="AH94" s="34"/>
      <c r="AI94" s="36"/>
      <c r="AJ94" s="80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ht="18.75" hidden="1" customHeight="1">
      <c r="A95" s="34"/>
      <c r="B95" s="83"/>
      <c r="C95" s="134" t="str">
        <f>IFERROR(__xludf.DUMMYFUNCTION("""COMPUTED_VALUE"""),"BYE")</f>
        <v>BYE</v>
      </c>
      <c r="D95" s="136" t="str">
        <f>IFERROR(__xludf.DUMMYFUNCTION("""COMPUTED_VALUE"""),"")</f>
        <v/>
      </c>
      <c r="E95" s="143" t="str">
        <f>IFERROR(__xludf.DUMMYFUNCTION("""COMPUTED_VALUE"""),"")</f>
        <v/>
      </c>
      <c r="F95" s="142" t="str">
        <f>IFERROR(__xludf.DUMMYFUNCTION("""COMPUTED_VALUE"""),"")</f>
        <v/>
      </c>
      <c r="G95" s="143" t="str">
        <f>IFERROR(__xludf.DUMMYFUNCTION("""COMPUTED_VALUE"""),"")</f>
        <v/>
      </c>
      <c r="H95" s="142" t="str">
        <f>IFERROR(__xludf.DUMMYFUNCTION("""COMPUTED_VALUE"""),"")</f>
        <v/>
      </c>
      <c r="I95" s="137" t="str">
        <f>IFERROR(__xludf.DUMMYFUNCTION("""COMPUTED_VALUE"""),"")</f>
        <v/>
      </c>
      <c r="J95" s="142" t="str">
        <f>IFERROR(__xludf.DUMMYFUNCTION("""COMPUTED_VALUE"""),"")</f>
        <v/>
      </c>
      <c r="K95" s="143" t="str">
        <f>IFERROR(__xludf.DUMMYFUNCTION("""COMPUTED_VALUE"""),"")</f>
        <v/>
      </c>
      <c r="L95" s="142" t="str">
        <f>IFERROR(__xludf.DUMMYFUNCTION("""COMPUTED_VALUE"""),"")</f>
        <v/>
      </c>
      <c r="M95" s="143" t="str">
        <f>IFERROR(__xludf.DUMMYFUNCTION("""COMPUTED_VALUE"""),"")</f>
        <v/>
      </c>
      <c r="N95" s="147"/>
      <c r="O95" s="148"/>
      <c r="P95" s="89"/>
      <c r="Q95" s="121">
        <f>IFERROR(__xludf.DUMMYFUNCTION("""COMPUTED_VALUE"""),0.0)</f>
        <v>0</v>
      </c>
      <c r="R95" s="123">
        <f>IFERROR(__xludf.DUMMYFUNCTION("""COMPUTED_VALUE"""),0.0)</f>
        <v>0</v>
      </c>
      <c r="S95" s="123">
        <f>IFERROR(__xludf.DUMMYFUNCTION("""COMPUTED_VALUE"""),0.0)</f>
        <v>0</v>
      </c>
      <c r="T95" s="125">
        <f>IFERROR(__xludf.DUMMYFUNCTION("""COMPUTED_VALUE"""),0.0)</f>
        <v>0</v>
      </c>
      <c r="U95" s="128">
        <f>IFERROR(__xludf.DUMMYFUNCTION("""COMPUTED_VALUE"""),0.0)</f>
        <v>0</v>
      </c>
      <c r="V95" s="129" t="str">
        <f>IFERROR(__xludf.DUMMYFUNCTION("""COMPUTED_VALUE"""),"")</f>
        <v/>
      </c>
      <c r="W95" s="149"/>
      <c r="X95" s="131" t="str">
        <f>IFERROR(__xludf.DUMMYFUNCTION("""COMPUTED_VALUE"""),"BYE")</f>
        <v>BYE</v>
      </c>
      <c r="Y95" s="132" t="str">
        <f>IFERROR(__xludf.DUMMYFUNCTION("""COMPUTED_VALUE"""),"")</f>
        <v/>
      </c>
      <c r="Z95" s="36"/>
      <c r="AA95" s="36"/>
      <c r="AB95" s="36"/>
      <c r="AC95" s="36"/>
      <c r="AD95" s="36"/>
      <c r="AE95" s="34"/>
      <c r="AF95" s="34"/>
      <c r="AG95" s="36"/>
      <c r="AH95" s="34"/>
      <c r="AI95" s="36"/>
      <c r="AJ95" s="80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ht="18.75" customHeight="1">
      <c r="A96" s="36"/>
      <c r="B96" s="150"/>
      <c r="C96" s="151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52"/>
      <c r="Y96" s="78"/>
      <c r="Z96" s="36"/>
      <c r="AA96" s="36"/>
      <c r="AB96" s="36"/>
      <c r="AC96" s="36"/>
      <c r="AD96" s="36"/>
      <c r="AE96" s="34"/>
      <c r="AF96" s="34"/>
      <c r="AG96" s="36"/>
      <c r="AH96" s="34"/>
      <c r="AI96" s="36"/>
      <c r="AJ96" s="80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ht="18.75" customHeight="1">
      <c r="A97" s="34"/>
      <c r="B97" s="34"/>
      <c r="C97" s="34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153"/>
      <c r="U97" s="36"/>
      <c r="V97" s="36"/>
      <c r="W97" s="48"/>
      <c r="X97" s="50"/>
      <c r="Y97" s="78"/>
      <c r="Z97" s="36"/>
      <c r="AA97" s="36"/>
      <c r="AB97" s="36"/>
      <c r="AC97" s="36"/>
      <c r="AD97" s="36"/>
      <c r="AE97" s="34"/>
      <c r="AF97" s="34"/>
      <c r="AG97" s="36"/>
      <c r="AH97" s="34"/>
      <c r="AI97" s="36"/>
      <c r="AJ97" s="80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ht="18.75" customHeight="1">
      <c r="A98" s="34"/>
      <c r="B98" s="34"/>
      <c r="C98" s="34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153"/>
      <c r="U98" s="36"/>
      <c r="V98" s="36"/>
      <c r="W98" s="48"/>
      <c r="X98" s="50"/>
      <c r="Y98" s="78"/>
      <c r="Z98" s="36"/>
      <c r="AA98" s="36"/>
      <c r="AB98" s="36"/>
      <c r="AC98" s="36"/>
      <c r="AD98" s="36"/>
      <c r="AE98" s="34"/>
      <c r="AF98" s="34"/>
      <c r="AG98" s="36"/>
      <c r="AH98" s="34"/>
      <c r="AI98" s="36"/>
      <c r="AJ98" s="80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ht="18.75" customHeight="1">
      <c r="A99" s="34"/>
      <c r="B99" s="34"/>
      <c r="C99" s="34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153"/>
      <c r="U99" s="36"/>
      <c r="V99" s="36"/>
      <c r="W99" s="48"/>
      <c r="X99" s="50"/>
      <c r="Y99" s="78"/>
      <c r="Z99" s="36"/>
      <c r="AA99" s="36"/>
      <c r="AB99" s="36"/>
      <c r="AC99" s="36"/>
      <c r="AD99" s="36"/>
      <c r="AE99" s="34"/>
      <c r="AF99" s="34"/>
      <c r="AG99" s="36"/>
      <c r="AH99" s="34"/>
      <c r="AI99" s="36"/>
      <c r="AJ99" s="80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ht="18.75" customHeight="1">
      <c r="A100" s="34"/>
      <c r="B100" s="34"/>
      <c r="C100" s="34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153"/>
      <c r="U100" s="36"/>
      <c r="V100" s="36"/>
      <c r="W100" s="48"/>
      <c r="X100" s="50"/>
      <c r="Y100" s="78"/>
      <c r="Z100" s="36"/>
      <c r="AA100" s="36"/>
      <c r="AB100" s="36"/>
      <c r="AC100" s="36"/>
      <c r="AD100" s="36"/>
      <c r="AE100" s="34"/>
      <c r="AF100" s="34"/>
      <c r="AG100" s="36"/>
      <c r="AH100" s="34"/>
      <c r="AI100" s="36"/>
      <c r="AJ100" s="80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ht="18.75" customHeight="1">
      <c r="A101" s="34"/>
      <c r="B101" s="34"/>
      <c r="C101" s="34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153"/>
      <c r="U101" s="36"/>
      <c r="V101" s="36"/>
      <c r="W101" s="48"/>
      <c r="X101" s="50"/>
      <c r="Y101" s="78"/>
      <c r="Z101" s="36"/>
      <c r="AA101" s="36"/>
      <c r="AB101" s="36"/>
      <c r="AC101" s="36"/>
      <c r="AD101" s="36"/>
      <c r="AE101" s="34"/>
      <c r="AF101" s="34"/>
      <c r="AG101" s="36"/>
      <c r="AH101" s="34"/>
      <c r="AI101" s="36"/>
      <c r="AJ101" s="80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ht="18.75" customHeight="1">
      <c r="A102" s="34"/>
      <c r="B102" s="34"/>
      <c r="C102" s="34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153"/>
      <c r="U102" s="36"/>
      <c r="V102" s="36"/>
      <c r="W102" s="48"/>
      <c r="X102" s="50"/>
      <c r="Y102" s="78"/>
      <c r="Z102" s="36"/>
      <c r="AA102" s="36"/>
      <c r="AB102" s="36"/>
      <c r="AC102" s="36"/>
      <c r="AD102" s="36"/>
      <c r="AE102" s="34"/>
      <c r="AF102" s="34"/>
      <c r="AG102" s="36"/>
      <c r="AH102" s="34"/>
      <c r="AI102" s="36"/>
      <c r="AJ102" s="80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ht="18.75" customHeight="1">
      <c r="A103" s="34"/>
      <c r="B103" s="34"/>
      <c r="C103" s="34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153"/>
      <c r="U103" s="36"/>
      <c r="V103" s="36"/>
      <c r="W103" s="48"/>
      <c r="X103" s="50"/>
      <c r="Y103" s="78"/>
      <c r="Z103" s="36"/>
      <c r="AA103" s="36"/>
      <c r="AB103" s="36"/>
      <c r="AC103" s="36"/>
      <c r="AD103" s="36"/>
      <c r="AE103" s="34"/>
      <c r="AF103" s="34"/>
      <c r="AG103" s="36"/>
      <c r="AH103" s="34"/>
      <c r="AI103" s="36"/>
      <c r="AJ103" s="80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ht="18.75" customHeight="1">
      <c r="A104" s="34"/>
      <c r="B104" s="34"/>
      <c r="C104" s="34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153"/>
      <c r="U104" s="36"/>
      <c r="V104" s="36"/>
      <c r="W104" s="48"/>
      <c r="X104" s="50"/>
      <c r="Y104" s="78"/>
      <c r="Z104" s="36"/>
      <c r="AA104" s="36"/>
      <c r="AB104" s="36"/>
      <c r="AC104" s="36"/>
      <c r="AD104" s="36"/>
      <c r="AE104" s="34"/>
      <c r="AF104" s="34"/>
      <c r="AG104" s="36"/>
      <c r="AH104" s="34"/>
      <c r="AI104" s="36"/>
      <c r="AJ104" s="80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ht="18.75" customHeight="1">
      <c r="A105" s="34"/>
      <c r="B105" s="34"/>
      <c r="C105" s="34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153"/>
      <c r="U105" s="36"/>
      <c r="V105" s="36"/>
      <c r="W105" s="48"/>
      <c r="X105" s="50"/>
      <c r="Y105" s="78"/>
      <c r="Z105" s="36"/>
      <c r="AA105" s="36"/>
      <c r="AB105" s="36"/>
      <c r="AC105" s="36"/>
      <c r="AD105" s="36"/>
      <c r="AE105" s="34"/>
      <c r="AF105" s="34"/>
      <c r="AG105" s="36"/>
      <c r="AH105" s="34"/>
      <c r="AI105" s="36"/>
      <c r="AJ105" s="80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ht="18.75" customHeight="1">
      <c r="A106" s="34"/>
      <c r="B106" s="34"/>
      <c r="C106" s="34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153"/>
      <c r="U106" s="36"/>
      <c r="V106" s="36"/>
      <c r="W106" s="48"/>
      <c r="X106" s="50"/>
      <c r="Y106" s="78"/>
      <c r="Z106" s="36"/>
      <c r="AA106" s="36"/>
      <c r="AB106" s="36"/>
      <c r="AC106" s="36"/>
      <c r="AD106" s="36"/>
      <c r="AE106" s="34"/>
      <c r="AF106" s="34"/>
      <c r="AG106" s="36"/>
      <c r="AH106" s="34"/>
      <c r="AI106" s="36"/>
      <c r="AJ106" s="80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ht="18.75" customHeight="1">
      <c r="A107" s="34"/>
      <c r="B107" s="34"/>
      <c r="C107" s="34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153"/>
      <c r="U107" s="36"/>
      <c r="V107" s="36"/>
      <c r="W107" s="48"/>
      <c r="X107" s="50"/>
      <c r="Y107" s="78"/>
      <c r="Z107" s="36"/>
      <c r="AA107" s="36"/>
      <c r="AB107" s="36"/>
      <c r="AC107" s="36"/>
      <c r="AD107" s="36"/>
      <c r="AE107" s="34"/>
      <c r="AF107" s="34"/>
      <c r="AG107" s="36"/>
      <c r="AH107" s="34"/>
      <c r="AI107" s="36"/>
      <c r="AJ107" s="80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ht="18.75" customHeight="1">
      <c r="A108" s="34"/>
      <c r="B108" s="34"/>
      <c r="C108" s="34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153"/>
      <c r="U108" s="36"/>
      <c r="V108" s="36"/>
      <c r="W108" s="48"/>
      <c r="X108" s="50"/>
      <c r="Y108" s="78"/>
      <c r="Z108" s="36"/>
      <c r="AA108" s="36"/>
      <c r="AB108" s="36"/>
      <c r="AC108" s="36"/>
      <c r="AD108" s="36"/>
      <c r="AE108" s="34"/>
      <c r="AF108" s="34"/>
      <c r="AG108" s="36"/>
      <c r="AH108" s="34"/>
      <c r="AI108" s="36"/>
      <c r="AJ108" s="80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ht="18.75" customHeight="1">
      <c r="A109" s="34"/>
      <c r="B109" s="34"/>
      <c r="C109" s="34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153"/>
      <c r="U109" s="36"/>
      <c r="V109" s="36"/>
      <c r="W109" s="48"/>
      <c r="X109" s="50"/>
      <c r="Y109" s="78"/>
      <c r="Z109" s="36"/>
      <c r="AA109" s="36"/>
      <c r="AB109" s="36"/>
      <c r="AC109" s="36"/>
      <c r="AD109" s="36"/>
      <c r="AE109" s="34"/>
      <c r="AF109" s="34"/>
      <c r="AG109" s="36"/>
      <c r="AH109" s="34"/>
      <c r="AI109" s="36"/>
      <c r="AJ109" s="80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ht="18.75" customHeight="1">
      <c r="A110" s="34"/>
      <c r="B110" s="34"/>
      <c r="C110" s="34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153"/>
      <c r="U110" s="36"/>
      <c r="V110" s="36"/>
      <c r="W110" s="48"/>
      <c r="X110" s="50"/>
      <c r="Y110" s="78"/>
      <c r="Z110" s="36"/>
      <c r="AA110" s="36"/>
      <c r="AB110" s="36"/>
      <c r="AC110" s="36"/>
      <c r="AD110" s="36"/>
      <c r="AE110" s="34"/>
      <c r="AF110" s="34"/>
      <c r="AG110" s="36"/>
      <c r="AH110" s="34"/>
      <c r="AI110" s="36"/>
      <c r="AJ110" s="80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ht="18.75" customHeight="1">
      <c r="A111" s="34"/>
      <c r="B111" s="34"/>
      <c r="C111" s="34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153"/>
      <c r="U111" s="36"/>
      <c r="V111" s="36"/>
      <c r="W111" s="48"/>
      <c r="X111" s="50"/>
      <c r="Y111" s="78"/>
      <c r="Z111" s="36"/>
      <c r="AA111" s="36"/>
      <c r="AB111" s="36"/>
      <c r="AC111" s="36"/>
      <c r="AD111" s="36"/>
      <c r="AE111" s="34"/>
      <c r="AF111" s="34"/>
      <c r="AG111" s="36"/>
      <c r="AH111" s="34"/>
      <c r="AI111" s="36"/>
      <c r="AJ111" s="80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ht="18.75" customHeight="1">
      <c r="A112" s="34"/>
      <c r="B112" s="34"/>
      <c r="C112" s="34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153"/>
      <c r="U112" s="36"/>
      <c r="V112" s="36"/>
      <c r="W112" s="48"/>
      <c r="X112" s="50"/>
      <c r="Y112" s="78"/>
      <c r="Z112" s="36"/>
      <c r="AA112" s="36"/>
      <c r="AB112" s="36"/>
      <c r="AC112" s="36"/>
      <c r="AD112" s="36"/>
      <c r="AE112" s="34"/>
      <c r="AF112" s="34"/>
      <c r="AG112" s="36"/>
      <c r="AH112" s="34"/>
      <c r="AI112" s="36"/>
      <c r="AJ112" s="80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ht="18.75" customHeight="1">
      <c r="A113" s="34"/>
      <c r="B113" s="34"/>
      <c r="C113" s="34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153"/>
      <c r="U113" s="36"/>
      <c r="V113" s="36"/>
      <c r="W113" s="48"/>
      <c r="X113" s="50"/>
      <c r="Y113" s="78"/>
      <c r="Z113" s="36"/>
      <c r="AA113" s="36"/>
      <c r="AB113" s="36"/>
      <c r="AC113" s="36"/>
      <c r="AD113" s="36"/>
      <c r="AE113" s="34"/>
      <c r="AF113" s="34"/>
      <c r="AG113" s="36"/>
      <c r="AH113" s="34"/>
      <c r="AI113" s="36"/>
      <c r="AJ113" s="80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ht="18.75" customHeight="1">
      <c r="A114" s="34"/>
      <c r="B114" s="34"/>
      <c r="C114" s="34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153"/>
      <c r="U114" s="36"/>
      <c r="V114" s="36"/>
      <c r="W114" s="48"/>
      <c r="X114" s="50"/>
      <c r="Y114" s="78"/>
      <c r="Z114" s="36"/>
      <c r="AA114" s="36"/>
      <c r="AB114" s="36"/>
      <c r="AC114" s="36"/>
      <c r="AD114" s="36"/>
      <c r="AE114" s="34"/>
      <c r="AF114" s="34"/>
      <c r="AG114" s="36"/>
      <c r="AH114" s="34"/>
      <c r="AI114" s="36"/>
      <c r="AJ114" s="80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ht="18.75" customHeight="1">
      <c r="A115" s="34"/>
      <c r="B115" s="34"/>
      <c r="C115" s="34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53"/>
      <c r="U115" s="36"/>
      <c r="V115" s="36"/>
      <c r="W115" s="48"/>
      <c r="X115" s="50"/>
      <c r="Y115" s="78"/>
      <c r="Z115" s="36"/>
      <c r="AA115" s="36"/>
      <c r="AB115" s="36"/>
      <c r="AC115" s="36"/>
      <c r="AD115" s="36"/>
      <c r="AE115" s="34"/>
      <c r="AF115" s="34"/>
      <c r="AG115" s="36"/>
      <c r="AH115" s="34"/>
      <c r="AI115" s="36"/>
      <c r="AJ115" s="80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ht="18.75" customHeight="1">
      <c r="A116" s="34"/>
      <c r="B116" s="34"/>
      <c r="C116" s="34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53"/>
      <c r="U116" s="36"/>
      <c r="V116" s="36"/>
      <c r="W116" s="48"/>
      <c r="X116" s="50"/>
      <c r="Y116" s="78"/>
      <c r="Z116" s="36"/>
      <c r="AA116" s="36"/>
      <c r="AB116" s="36"/>
      <c r="AC116" s="36"/>
      <c r="AD116" s="36"/>
      <c r="AE116" s="34"/>
      <c r="AF116" s="34"/>
      <c r="AG116" s="36"/>
      <c r="AH116" s="34"/>
      <c r="AI116" s="36"/>
      <c r="AJ116" s="80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ht="18.75" customHeight="1">
      <c r="A117" s="34"/>
      <c r="B117" s="34"/>
      <c r="C117" s="34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153"/>
      <c r="U117" s="36"/>
      <c r="V117" s="36"/>
      <c r="W117" s="48"/>
      <c r="X117" s="50"/>
      <c r="Y117" s="78"/>
      <c r="Z117" s="36"/>
      <c r="AA117" s="36"/>
      <c r="AB117" s="36"/>
      <c r="AC117" s="36"/>
      <c r="AD117" s="36"/>
      <c r="AE117" s="34"/>
      <c r="AF117" s="34"/>
      <c r="AG117" s="36"/>
      <c r="AH117" s="34"/>
      <c r="AI117" s="36"/>
      <c r="AJ117" s="80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ht="18.75" customHeight="1">
      <c r="A118" s="34"/>
      <c r="B118" s="34"/>
      <c r="C118" s="34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153"/>
      <c r="U118" s="36"/>
      <c r="V118" s="36"/>
      <c r="W118" s="48"/>
      <c r="X118" s="50"/>
      <c r="Y118" s="78"/>
      <c r="Z118" s="36"/>
      <c r="AA118" s="36"/>
      <c r="AB118" s="36"/>
      <c r="AC118" s="36"/>
      <c r="AD118" s="36"/>
      <c r="AE118" s="34"/>
      <c r="AF118" s="34"/>
      <c r="AG118" s="36"/>
      <c r="AH118" s="34"/>
      <c r="AI118" s="36"/>
      <c r="AJ118" s="80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ht="18.75" customHeight="1">
      <c r="A119" s="34"/>
      <c r="B119" s="34"/>
      <c r="C119" s="34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153"/>
      <c r="U119" s="36"/>
      <c r="V119" s="36"/>
      <c r="W119" s="48"/>
      <c r="X119" s="50"/>
      <c r="Y119" s="78"/>
      <c r="Z119" s="36"/>
      <c r="AA119" s="36"/>
      <c r="AB119" s="36"/>
      <c r="AC119" s="36"/>
      <c r="AD119" s="36"/>
      <c r="AE119" s="34"/>
      <c r="AF119" s="34"/>
      <c r="AG119" s="36"/>
      <c r="AH119" s="34"/>
      <c r="AI119" s="36"/>
      <c r="AJ119" s="80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ht="18.75" customHeight="1">
      <c r="A120" s="34"/>
      <c r="B120" s="34"/>
      <c r="C120" s="34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153"/>
      <c r="U120" s="36"/>
      <c r="V120" s="36"/>
      <c r="W120" s="48"/>
      <c r="X120" s="50"/>
      <c r="Y120" s="78"/>
      <c r="Z120" s="36"/>
      <c r="AA120" s="36"/>
      <c r="AB120" s="36"/>
      <c r="AC120" s="36"/>
      <c r="AD120" s="36"/>
      <c r="AE120" s="34"/>
      <c r="AF120" s="34"/>
      <c r="AG120" s="36"/>
      <c r="AH120" s="34"/>
      <c r="AI120" s="36"/>
      <c r="AJ120" s="80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ht="18.75" customHeight="1">
      <c r="A121" s="34"/>
      <c r="B121" s="34"/>
      <c r="C121" s="34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153"/>
      <c r="U121" s="36"/>
      <c r="V121" s="36"/>
      <c r="W121" s="48"/>
      <c r="X121" s="50"/>
      <c r="Y121" s="78"/>
      <c r="Z121" s="36"/>
      <c r="AA121" s="36"/>
      <c r="AB121" s="36"/>
      <c r="AC121" s="36"/>
      <c r="AD121" s="36"/>
      <c r="AE121" s="34"/>
      <c r="AF121" s="34"/>
      <c r="AG121" s="36"/>
      <c r="AH121" s="34"/>
      <c r="AI121" s="36"/>
      <c r="AJ121" s="80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ht="18.75" customHeight="1">
      <c r="A122" s="34"/>
      <c r="B122" s="34"/>
      <c r="C122" s="34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153"/>
      <c r="U122" s="36"/>
      <c r="V122" s="36"/>
      <c r="W122" s="48"/>
      <c r="X122" s="50"/>
      <c r="Y122" s="78"/>
      <c r="Z122" s="36"/>
      <c r="AA122" s="36"/>
      <c r="AB122" s="36"/>
      <c r="AC122" s="36"/>
      <c r="AD122" s="36"/>
      <c r="AE122" s="34"/>
      <c r="AF122" s="34"/>
      <c r="AG122" s="36"/>
      <c r="AH122" s="34"/>
      <c r="AI122" s="36"/>
      <c r="AJ122" s="80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ht="18.75" customHeight="1">
      <c r="A123" s="34"/>
      <c r="B123" s="34"/>
      <c r="C123" s="34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153"/>
      <c r="U123" s="36"/>
      <c r="V123" s="36"/>
      <c r="W123" s="48"/>
      <c r="X123" s="50"/>
      <c r="Y123" s="78"/>
      <c r="Z123" s="36"/>
      <c r="AA123" s="36"/>
      <c r="AB123" s="36"/>
      <c r="AC123" s="36"/>
      <c r="AD123" s="36"/>
      <c r="AE123" s="34"/>
      <c r="AF123" s="34"/>
      <c r="AG123" s="36"/>
      <c r="AH123" s="34"/>
      <c r="AI123" s="36"/>
      <c r="AJ123" s="80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ht="18.75" customHeight="1">
      <c r="A124" s="34"/>
      <c r="B124" s="34"/>
      <c r="C124" s="34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153"/>
      <c r="U124" s="36"/>
      <c r="V124" s="36"/>
      <c r="W124" s="48"/>
      <c r="X124" s="50"/>
      <c r="Y124" s="78"/>
      <c r="Z124" s="36"/>
      <c r="AA124" s="36"/>
      <c r="AB124" s="36"/>
      <c r="AC124" s="36"/>
      <c r="AD124" s="36"/>
      <c r="AE124" s="34"/>
      <c r="AF124" s="34"/>
      <c r="AG124" s="36"/>
      <c r="AH124" s="34"/>
      <c r="AI124" s="36"/>
      <c r="AJ124" s="80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ht="18.75" customHeight="1">
      <c r="A125" s="34"/>
      <c r="B125" s="34"/>
      <c r="C125" s="34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153"/>
      <c r="U125" s="36"/>
      <c r="V125" s="36"/>
      <c r="W125" s="48"/>
      <c r="X125" s="50"/>
      <c r="Y125" s="78"/>
      <c r="Z125" s="36"/>
      <c r="AA125" s="36"/>
      <c r="AB125" s="36"/>
      <c r="AC125" s="36"/>
      <c r="AD125" s="36"/>
      <c r="AE125" s="34"/>
      <c r="AF125" s="34"/>
      <c r="AG125" s="36"/>
      <c r="AH125" s="34"/>
      <c r="AI125" s="36"/>
      <c r="AJ125" s="80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ht="18.75" customHeight="1">
      <c r="A126" s="34"/>
      <c r="B126" s="34"/>
      <c r="C126" s="34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53"/>
      <c r="U126" s="36"/>
      <c r="V126" s="36"/>
      <c r="W126" s="48"/>
      <c r="X126" s="50"/>
      <c r="Y126" s="78"/>
      <c r="Z126" s="36"/>
      <c r="AA126" s="36"/>
      <c r="AB126" s="36"/>
      <c r="AC126" s="36"/>
      <c r="AD126" s="36"/>
      <c r="AE126" s="34"/>
      <c r="AF126" s="34"/>
      <c r="AG126" s="36"/>
      <c r="AH126" s="34"/>
      <c r="AI126" s="36"/>
      <c r="AJ126" s="80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ht="18.75" customHeight="1">
      <c r="A127" s="34"/>
      <c r="B127" s="34"/>
      <c r="C127" s="34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53"/>
      <c r="U127" s="36"/>
      <c r="V127" s="36"/>
      <c r="W127" s="48"/>
      <c r="X127" s="50"/>
      <c r="Y127" s="78"/>
      <c r="Z127" s="36"/>
      <c r="AA127" s="36"/>
      <c r="AB127" s="36"/>
      <c r="AC127" s="36"/>
      <c r="AD127" s="36"/>
      <c r="AE127" s="34"/>
      <c r="AF127" s="34"/>
      <c r="AG127" s="36"/>
      <c r="AH127" s="34"/>
      <c r="AI127" s="36"/>
      <c r="AJ127" s="80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ht="18.75" customHeight="1">
      <c r="A128" s="34"/>
      <c r="B128" s="34"/>
      <c r="C128" s="34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153"/>
      <c r="U128" s="36"/>
      <c r="V128" s="36"/>
      <c r="W128" s="48"/>
      <c r="X128" s="50"/>
      <c r="Y128" s="78"/>
      <c r="Z128" s="36"/>
      <c r="AA128" s="36"/>
      <c r="AB128" s="36"/>
      <c r="AC128" s="36"/>
      <c r="AD128" s="36"/>
      <c r="AE128" s="34"/>
      <c r="AF128" s="34"/>
      <c r="AG128" s="36"/>
      <c r="AH128" s="34"/>
      <c r="AI128" s="36"/>
      <c r="AJ128" s="80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ht="18.75" customHeight="1">
      <c r="A129" s="34"/>
      <c r="B129" s="34"/>
      <c r="C129" s="34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153"/>
      <c r="U129" s="36"/>
      <c r="V129" s="36"/>
      <c r="W129" s="48"/>
      <c r="X129" s="50"/>
      <c r="Y129" s="78"/>
      <c r="Z129" s="36"/>
      <c r="AA129" s="36"/>
      <c r="AB129" s="36"/>
      <c r="AC129" s="36"/>
      <c r="AD129" s="36"/>
      <c r="AE129" s="34"/>
      <c r="AF129" s="34"/>
      <c r="AG129" s="36"/>
      <c r="AH129" s="34"/>
      <c r="AI129" s="36"/>
      <c r="AJ129" s="80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ht="18.75" customHeight="1">
      <c r="A130" s="34"/>
      <c r="B130" s="34"/>
      <c r="C130" s="34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153"/>
      <c r="U130" s="36"/>
      <c r="V130" s="36"/>
      <c r="W130" s="48"/>
      <c r="X130" s="50"/>
      <c r="Y130" s="78"/>
      <c r="Z130" s="36"/>
      <c r="AA130" s="36"/>
      <c r="AB130" s="36"/>
      <c r="AC130" s="36"/>
      <c r="AD130" s="36"/>
      <c r="AE130" s="34"/>
      <c r="AF130" s="34"/>
      <c r="AG130" s="36"/>
      <c r="AH130" s="34"/>
      <c r="AI130" s="36"/>
      <c r="AJ130" s="80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ht="18.75" customHeight="1">
      <c r="A131" s="34"/>
      <c r="B131" s="34"/>
      <c r="C131" s="34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153"/>
      <c r="U131" s="36"/>
      <c r="V131" s="36"/>
      <c r="W131" s="48"/>
      <c r="X131" s="50"/>
      <c r="Y131" s="78"/>
      <c r="Z131" s="36"/>
      <c r="AA131" s="36"/>
      <c r="AB131" s="36"/>
      <c r="AC131" s="36"/>
      <c r="AD131" s="36"/>
      <c r="AE131" s="34"/>
      <c r="AF131" s="34"/>
      <c r="AG131" s="36"/>
      <c r="AH131" s="34"/>
      <c r="AI131" s="36"/>
      <c r="AJ131" s="80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ht="18.75" customHeight="1">
      <c r="A132" s="34"/>
      <c r="B132" s="34"/>
      <c r="C132" s="34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153"/>
      <c r="U132" s="36"/>
      <c r="V132" s="36"/>
      <c r="W132" s="48"/>
      <c r="X132" s="50"/>
      <c r="Y132" s="78"/>
      <c r="Z132" s="36"/>
      <c r="AA132" s="36"/>
      <c r="AB132" s="36"/>
      <c r="AC132" s="36"/>
      <c r="AD132" s="36"/>
      <c r="AE132" s="34"/>
      <c r="AF132" s="34"/>
      <c r="AG132" s="36"/>
      <c r="AH132" s="34"/>
      <c r="AI132" s="36"/>
      <c r="AJ132" s="80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ht="18.75" customHeight="1">
      <c r="A133" s="34"/>
      <c r="B133" s="34"/>
      <c r="C133" s="34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153"/>
      <c r="U133" s="36"/>
      <c r="V133" s="36"/>
      <c r="W133" s="48"/>
      <c r="X133" s="50"/>
      <c r="Y133" s="78"/>
      <c r="Z133" s="36"/>
      <c r="AA133" s="36"/>
      <c r="AB133" s="36"/>
      <c r="AC133" s="36"/>
      <c r="AD133" s="36"/>
      <c r="AE133" s="34"/>
      <c r="AF133" s="34"/>
      <c r="AG133" s="36"/>
      <c r="AH133" s="34"/>
      <c r="AI133" s="36"/>
      <c r="AJ133" s="80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ht="18.75" customHeight="1">
      <c r="A134" s="34"/>
      <c r="B134" s="34"/>
      <c r="C134" s="34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153"/>
      <c r="U134" s="36"/>
      <c r="V134" s="36"/>
      <c r="W134" s="48"/>
      <c r="X134" s="50"/>
      <c r="Y134" s="78"/>
      <c r="Z134" s="36"/>
      <c r="AA134" s="36"/>
      <c r="AB134" s="36"/>
      <c r="AC134" s="36"/>
      <c r="AD134" s="36"/>
      <c r="AE134" s="34"/>
      <c r="AF134" s="34"/>
      <c r="AG134" s="36"/>
      <c r="AH134" s="34"/>
      <c r="AI134" s="36"/>
      <c r="AJ134" s="80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ht="18.75" customHeight="1">
      <c r="A135" s="34"/>
      <c r="B135" s="34"/>
      <c r="C135" s="34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153"/>
      <c r="U135" s="36"/>
      <c r="V135" s="36"/>
      <c r="W135" s="48"/>
      <c r="X135" s="50"/>
      <c r="Y135" s="78"/>
      <c r="Z135" s="36"/>
      <c r="AA135" s="36"/>
      <c r="AB135" s="36"/>
      <c r="AC135" s="36"/>
      <c r="AD135" s="36"/>
      <c r="AE135" s="34"/>
      <c r="AF135" s="34"/>
      <c r="AG135" s="36"/>
      <c r="AH135" s="34"/>
      <c r="AI135" s="36"/>
      <c r="AJ135" s="80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ht="18.75" customHeight="1">
      <c r="A136" s="34"/>
      <c r="B136" s="34"/>
      <c r="C136" s="34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153"/>
      <c r="U136" s="36"/>
      <c r="V136" s="36"/>
      <c r="W136" s="48"/>
      <c r="X136" s="50"/>
      <c r="Y136" s="78"/>
      <c r="Z136" s="36"/>
      <c r="AA136" s="36"/>
      <c r="AB136" s="36"/>
      <c r="AC136" s="36"/>
      <c r="AD136" s="36"/>
      <c r="AE136" s="34"/>
      <c r="AF136" s="34"/>
      <c r="AG136" s="36"/>
      <c r="AH136" s="34"/>
      <c r="AI136" s="36"/>
      <c r="AJ136" s="80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ht="18.75" customHeight="1">
      <c r="A137" s="34"/>
      <c r="B137" s="34"/>
      <c r="C137" s="34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153"/>
      <c r="U137" s="36"/>
      <c r="V137" s="36"/>
      <c r="W137" s="48"/>
      <c r="X137" s="50"/>
      <c r="Y137" s="78"/>
      <c r="Z137" s="36"/>
      <c r="AA137" s="36"/>
      <c r="AB137" s="36"/>
      <c r="AC137" s="36"/>
      <c r="AD137" s="36"/>
      <c r="AE137" s="34"/>
      <c r="AF137" s="34"/>
      <c r="AG137" s="36"/>
      <c r="AH137" s="34"/>
      <c r="AI137" s="36"/>
      <c r="AJ137" s="80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ht="18.75" customHeight="1">
      <c r="A138" s="34"/>
      <c r="B138" s="34"/>
      <c r="C138" s="34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153"/>
      <c r="U138" s="36"/>
      <c r="V138" s="36"/>
      <c r="W138" s="48"/>
      <c r="X138" s="50"/>
      <c r="Y138" s="78"/>
      <c r="Z138" s="36"/>
      <c r="AA138" s="36"/>
      <c r="AB138" s="36"/>
      <c r="AC138" s="36"/>
      <c r="AD138" s="36"/>
      <c r="AE138" s="34"/>
      <c r="AF138" s="34"/>
      <c r="AG138" s="36"/>
      <c r="AH138" s="34"/>
      <c r="AI138" s="36"/>
      <c r="AJ138" s="80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ht="18.75" customHeight="1">
      <c r="A139" s="34"/>
      <c r="B139" s="34"/>
      <c r="C139" s="34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153"/>
      <c r="U139" s="36"/>
      <c r="V139" s="36"/>
      <c r="W139" s="48"/>
      <c r="X139" s="50"/>
      <c r="Y139" s="78"/>
      <c r="Z139" s="36"/>
      <c r="AA139" s="36"/>
      <c r="AB139" s="36"/>
      <c r="AC139" s="36"/>
      <c r="AD139" s="36"/>
      <c r="AE139" s="34"/>
      <c r="AF139" s="34"/>
      <c r="AG139" s="36"/>
      <c r="AH139" s="34"/>
      <c r="AI139" s="36"/>
      <c r="AJ139" s="80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ht="18.75" customHeight="1">
      <c r="A140" s="34"/>
      <c r="B140" s="34"/>
      <c r="C140" s="34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153"/>
      <c r="U140" s="36"/>
      <c r="V140" s="36"/>
      <c r="W140" s="48"/>
      <c r="X140" s="50"/>
      <c r="Y140" s="78"/>
      <c r="Z140" s="36"/>
      <c r="AA140" s="36"/>
      <c r="AB140" s="36"/>
      <c r="AC140" s="36"/>
      <c r="AD140" s="36"/>
      <c r="AE140" s="34"/>
      <c r="AF140" s="34"/>
      <c r="AG140" s="36"/>
      <c r="AH140" s="34"/>
      <c r="AI140" s="36"/>
      <c r="AJ140" s="80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ht="18.75" customHeight="1">
      <c r="A141" s="34"/>
      <c r="B141" s="34"/>
      <c r="C141" s="34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153"/>
      <c r="U141" s="36"/>
      <c r="V141" s="36"/>
      <c r="W141" s="48"/>
      <c r="X141" s="50"/>
      <c r="Y141" s="78"/>
      <c r="Z141" s="36"/>
      <c r="AA141" s="36"/>
      <c r="AB141" s="36"/>
      <c r="AC141" s="36"/>
      <c r="AD141" s="36"/>
      <c r="AE141" s="34"/>
      <c r="AF141" s="34"/>
      <c r="AG141" s="36"/>
      <c r="AH141" s="34"/>
      <c r="AI141" s="36"/>
      <c r="AJ141" s="80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ht="18.75" customHeight="1">
      <c r="A142" s="34"/>
      <c r="B142" s="34"/>
      <c r="C142" s="34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153"/>
      <c r="U142" s="36"/>
      <c r="V142" s="36"/>
      <c r="W142" s="48"/>
      <c r="X142" s="50"/>
      <c r="Y142" s="78"/>
      <c r="Z142" s="36"/>
      <c r="AA142" s="36"/>
      <c r="AB142" s="36"/>
      <c r="AC142" s="36"/>
      <c r="AD142" s="36"/>
      <c r="AE142" s="34"/>
      <c r="AF142" s="34"/>
      <c r="AG142" s="36"/>
      <c r="AH142" s="34"/>
      <c r="AI142" s="36"/>
      <c r="AJ142" s="80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ht="18.75" customHeight="1">
      <c r="A143" s="34"/>
      <c r="B143" s="34"/>
      <c r="C143" s="34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153"/>
      <c r="U143" s="36"/>
      <c r="V143" s="36"/>
      <c r="W143" s="48"/>
      <c r="X143" s="50"/>
      <c r="Y143" s="78"/>
      <c r="Z143" s="36"/>
      <c r="AA143" s="36"/>
      <c r="AB143" s="36"/>
      <c r="AC143" s="36"/>
      <c r="AD143" s="36"/>
      <c r="AE143" s="34"/>
      <c r="AF143" s="34"/>
      <c r="AG143" s="36"/>
      <c r="AH143" s="34"/>
      <c r="AI143" s="36"/>
      <c r="AJ143" s="80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ht="18.75" customHeight="1">
      <c r="A144" s="34"/>
      <c r="B144" s="34"/>
      <c r="C144" s="34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153"/>
      <c r="U144" s="36"/>
      <c r="V144" s="36"/>
      <c r="W144" s="48"/>
      <c r="X144" s="50"/>
      <c r="Y144" s="78"/>
      <c r="Z144" s="36"/>
      <c r="AA144" s="36"/>
      <c r="AB144" s="36"/>
      <c r="AC144" s="36"/>
      <c r="AD144" s="36"/>
      <c r="AE144" s="34"/>
      <c r="AF144" s="34"/>
      <c r="AG144" s="36"/>
      <c r="AH144" s="34"/>
      <c r="AI144" s="36"/>
      <c r="AJ144" s="80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ht="18.75" customHeight="1">
      <c r="A145" s="34"/>
      <c r="B145" s="34"/>
      <c r="C145" s="34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153"/>
      <c r="U145" s="36"/>
      <c r="V145" s="36"/>
      <c r="W145" s="48"/>
      <c r="X145" s="50"/>
      <c r="Y145" s="78"/>
      <c r="Z145" s="36"/>
      <c r="AA145" s="36"/>
      <c r="AB145" s="36"/>
      <c r="AC145" s="36"/>
      <c r="AD145" s="36"/>
      <c r="AE145" s="34"/>
      <c r="AF145" s="34"/>
      <c r="AG145" s="36"/>
      <c r="AH145" s="34"/>
      <c r="AI145" s="36"/>
      <c r="AJ145" s="80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ht="18.75" customHeight="1">
      <c r="A146" s="34"/>
      <c r="B146" s="34"/>
      <c r="C146" s="34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153"/>
      <c r="U146" s="36"/>
      <c r="V146" s="36"/>
      <c r="W146" s="48"/>
      <c r="X146" s="50"/>
      <c r="Y146" s="78"/>
      <c r="Z146" s="36"/>
      <c r="AA146" s="36"/>
      <c r="AB146" s="36"/>
      <c r="AC146" s="36"/>
      <c r="AD146" s="36"/>
      <c r="AE146" s="34"/>
      <c r="AF146" s="34"/>
      <c r="AG146" s="36"/>
      <c r="AH146" s="34"/>
      <c r="AI146" s="36"/>
      <c r="AJ146" s="80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ht="18.75" customHeight="1">
      <c r="A147" s="34"/>
      <c r="B147" s="34"/>
      <c r="C147" s="34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153"/>
      <c r="U147" s="36"/>
      <c r="V147" s="36"/>
      <c r="W147" s="48"/>
      <c r="X147" s="50"/>
      <c r="Y147" s="78"/>
      <c r="Z147" s="36"/>
      <c r="AA147" s="36"/>
      <c r="AB147" s="36"/>
      <c r="AC147" s="36"/>
      <c r="AD147" s="36"/>
      <c r="AE147" s="34"/>
      <c r="AF147" s="34"/>
      <c r="AG147" s="36"/>
      <c r="AH147" s="34"/>
      <c r="AI147" s="36"/>
      <c r="AJ147" s="80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ht="18.75" customHeight="1">
      <c r="A148" s="34"/>
      <c r="B148" s="34"/>
      <c r="C148" s="34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153"/>
      <c r="U148" s="36"/>
      <c r="V148" s="36"/>
      <c r="W148" s="48"/>
      <c r="X148" s="50"/>
      <c r="Y148" s="78"/>
      <c r="Z148" s="36"/>
      <c r="AA148" s="36"/>
      <c r="AB148" s="36"/>
      <c r="AC148" s="36"/>
      <c r="AD148" s="36"/>
      <c r="AE148" s="34"/>
      <c r="AF148" s="34"/>
      <c r="AG148" s="36"/>
      <c r="AH148" s="34"/>
      <c r="AI148" s="36"/>
      <c r="AJ148" s="80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ht="18.75" customHeight="1">
      <c r="A149" s="34"/>
      <c r="B149" s="34"/>
      <c r="C149" s="34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153"/>
      <c r="U149" s="36"/>
      <c r="V149" s="36"/>
      <c r="W149" s="48"/>
      <c r="X149" s="50"/>
      <c r="Y149" s="78"/>
      <c r="Z149" s="36"/>
      <c r="AA149" s="36"/>
      <c r="AB149" s="36"/>
      <c r="AC149" s="36"/>
      <c r="AD149" s="36"/>
      <c r="AE149" s="34"/>
      <c r="AF149" s="34"/>
      <c r="AG149" s="36"/>
      <c r="AH149" s="34"/>
      <c r="AI149" s="36"/>
      <c r="AJ149" s="80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ht="18.75" customHeight="1">
      <c r="A150" s="34"/>
      <c r="B150" s="34"/>
      <c r="C150" s="34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153"/>
      <c r="U150" s="36"/>
      <c r="V150" s="36"/>
      <c r="W150" s="48"/>
      <c r="X150" s="50"/>
      <c r="Y150" s="78"/>
      <c r="Z150" s="36"/>
      <c r="AA150" s="36"/>
      <c r="AB150" s="36"/>
      <c r="AC150" s="36"/>
      <c r="AD150" s="36"/>
      <c r="AE150" s="34"/>
      <c r="AF150" s="34"/>
      <c r="AG150" s="36"/>
      <c r="AH150" s="34"/>
      <c r="AI150" s="36"/>
      <c r="AJ150" s="80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ht="18.75" customHeight="1">
      <c r="A151" s="34"/>
      <c r="B151" s="34"/>
      <c r="C151" s="34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153"/>
      <c r="U151" s="36"/>
      <c r="V151" s="36"/>
      <c r="W151" s="48"/>
      <c r="X151" s="50"/>
      <c r="Y151" s="78"/>
      <c r="Z151" s="36"/>
      <c r="AA151" s="36"/>
      <c r="AB151" s="36"/>
      <c r="AC151" s="36"/>
      <c r="AD151" s="36"/>
      <c r="AE151" s="34"/>
      <c r="AF151" s="34"/>
      <c r="AG151" s="36"/>
      <c r="AH151" s="34"/>
      <c r="AI151" s="36"/>
      <c r="AJ151" s="80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ht="18.75" customHeight="1">
      <c r="A152" s="34"/>
      <c r="B152" s="34"/>
      <c r="C152" s="34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153"/>
      <c r="U152" s="36"/>
      <c r="V152" s="36"/>
      <c r="W152" s="48"/>
      <c r="X152" s="50"/>
      <c r="Y152" s="78"/>
      <c r="Z152" s="36"/>
      <c r="AA152" s="36"/>
      <c r="AB152" s="36"/>
      <c r="AC152" s="36"/>
      <c r="AD152" s="36"/>
      <c r="AE152" s="34"/>
      <c r="AF152" s="34"/>
      <c r="AG152" s="36"/>
      <c r="AH152" s="34"/>
      <c r="AI152" s="36"/>
      <c r="AJ152" s="80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ht="18.75" customHeight="1">
      <c r="A153" s="34"/>
      <c r="B153" s="34"/>
      <c r="C153" s="34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153"/>
      <c r="U153" s="36"/>
      <c r="V153" s="36"/>
      <c r="W153" s="48"/>
      <c r="X153" s="50"/>
      <c r="Y153" s="78"/>
      <c r="Z153" s="36"/>
      <c r="AA153" s="36"/>
      <c r="AB153" s="36"/>
      <c r="AC153" s="36"/>
      <c r="AD153" s="36"/>
      <c r="AE153" s="34"/>
      <c r="AF153" s="34"/>
      <c r="AG153" s="36"/>
      <c r="AH153" s="34"/>
      <c r="AI153" s="36"/>
      <c r="AJ153" s="80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ht="18.75" customHeight="1">
      <c r="A154" s="34"/>
      <c r="B154" s="34"/>
      <c r="C154" s="34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153"/>
      <c r="U154" s="36"/>
      <c r="V154" s="36"/>
      <c r="W154" s="48"/>
      <c r="X154" s="50"/>
      <c r="Y154" s="78"/>
      <c r="Z154" s="36"/>
      <c r="AA154" s="36"/>
      <c r="AB154" s="36"/>
      <c r="AC154" s="36"/>
      <c r="AD154" s="36"/>
      <c r="AE154" s="34"/>
      <c r="AF154" s="34"/>
      <c r="AG154" s="36"/>
      <c r="AH154" s="34"/>
      <c r="AI154" s="36"/>
      <c r="AJ154" s="80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ht="18.75" customHeight="1">
      <c r="A155" s="34"/>
      <c r="B155" s="34"/>
      <c r="C155" s="34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153"/>
      <c r="U155" s="36"/>
      <c r="V155" s="36"/>
      <c r="W155" s="48"/>
      <c r="X155" s="50"/>
      <c r="Y155" s="78"/>
      <c r="Z155" s="36"/>
      <c r="AA155" s="36"/>
      <c r="AB155" s="36"/>
      <c r="AC155" s="36"/>
      <c r="AD155" s="36"/>
      <c r="AE155" s="34"/>
      <c r="AF155" s="34"/>
      <c r="AG155" s="36"/>
      <c r="AH155" s="34"/>
      <c r="AI155" s="36"/>
      <c r="AJ155" s="80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ht="18.75" customHeight="1">
      <c r="A156" s="34"/>
      <c r="B156" s="34"/>
      <c r="C156" s="34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153"/>
      <c r="U156" s="36"/>
      <c r="V156" s="36"/>
      <c r="W156" s="48"/>
      <c r="X156" s="50"/>
      <c r="Y156" s="78"/>
      <c r="Z156" s="36"/>
      <c r="AA156" s="36"/>
      <c r="AB156" s="36"/>
      <c r="AC156" s="36"/>
      <c r="AD156" s="36"/>
      <c r="AE156" s="34"/>
      <c r="AF156" s="34"/>
      <c r="AG156" s="36"/>
      <c r="AH156" s="34"/>
      <c r="AI156" s="36"/>
      <c r="AJ156" s="80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ht="18.75" customHeight="1">
      <c r="A157" s="34"/>
      <c r="B157" s="34"/>
      <c r="C157" s="34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53"/>
      <c r="U157" s="36"/>
      <c r="V157" s="36"/>
      <c r="W157" s="48"/>
      <c r="X157" s="50"/>
      <c r="Y157" s="78"/>
      <c r="Z157" s="36"/>
      <c r="AA157" s="36"/>
      <c r="AB157" s="36"/>
      <c r="AC157" s="36"/>
      <c r="AD157" s="36"/>
      <c r="AE157" s="34"/>
      <c r="AF157" s="34"/>
      <c r="AG157" s="36"/>
      <c r="AH157" s="34"/>
      <c r="AI157" s="36"/>
      <c r="AJ157" s="80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ht="18.75" customHeight="1">
      <c r="A158" s="34"/>
      <c r="B158" s="34"/>
      <c r="C158" s="34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53"/>
      <c r="U158" s="36"/>
      <c r="V158" s="36"/>
      <c r="W158" s="48"/>
      <c r="X158" s="50"/>
      <c r="Y158" s="78"/>
      <c r="Z158" s="36"/>
      <c r="AA158" s="36"/>
      <c r="AB158" s="36"/>
      <c r="AC158" s="36"/>
      <c r="AD158" s="36"/>
      <c r="AE158" s="34"/>
      <c r="AF158" s="34"/>
      <c r="AG158" s="36"/>
      <c r="AH158" s="34"/>
      <c r="AI158" s="36"/>
      <c r="AJ158" s="80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ht="18.75" customHeight="1">
      <c r="A159" s="34"/>
      <c r="B159" s="34"/>
      <c r="C159" s="34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153"/>
      <c r="U159" s="36"/>
      <c r="V159" s="36"/>
      <c r="W159" s="48"/>
      <c r="X159" s="50"/>
      <c r="Y159" s="78"/>
      <c r="Z159" s="36"/>
      <c r="AA159" s="36"/>
      <c r="AB159" s="36"/>
      <c r="AC159" s="36"/>
      <c r="AD159" s="36"/>
      <c r="AE159" s="34"/>
      <c r="AF159" s="34"/>
      <c r="AG159" s="36"/>
      <c r="AH159" s="34"/>
      <c r="AI159" s="36"/>
      <c r="AJ159" s="80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ht="18.75" customHeight="1">
      <c r="A160" s="34"/>
      <c r="B160" s="34"/>
      <c r="C160" s="34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153"/>
      <c r="U160" s="36"/>
      <c r="V160" s="36"/>
      <c r="W160" s="48"/>
      <c r="X160" s="50"/>
      <c r="Y160" s="78"/>
      <c r="Z160" s="36"/>
      <c r="AA160" s="36"/>
      <c r="AB160" s="36"/>
      <c r="AC160" s="36"/>
      <c r="AD160" s="36"/>
      <c r="AE160" s="34"/>
      <c r="AF160" s="34"/>
      <c r="AG160" s="36"/>
      <c r="AH160" s="34"/>
      <c r="AI160" s="36"/>
      <c r="AJ160" s="80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ht="18.75" customHeight="1">
      <c r="A161" s="34"/>
      <c r="B161" s="34"/>
      <c r="C161" s="34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153"/>
      <c r="U161" s="36"/>
      <c r="V161" s="36"/>
      <c r="W161" s="48"/>
      <c r="X161" s="50"/>
      <c r="Y161" s="78"/>
      <c r="Z161" s="36"/>
      <c r="AA161" s="36"/>
      <c r="AB161" s="36"/>
      <c r="AC161" s="36"/>
      <c r="AD161" s="36"/>
      <c r="AE161" s="34"/>
      <c r="AF161" s="34"/>
      <c r="AG161" s="36"/>
      <c r="AH161" s="34"/>
      <c r="AI161" s="36"/>
      <c r="AJ161" s="80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ht="18.75" customHeight="1">
      <c r="A162" s="34"/>
      <c r="B162" s="34"/>
      <c r="C162" s="34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153"/>
      <c r="U162" s="36"/>
      <c r="V162" s="36"/>
      <c r="W162" s="48"/>
      <c r="X162" s="50"/>
      <c r="Y162" s="78"/>
      <c r="Z162" s="36"/>
      <c r="AA162" s="36"/>
      <c r="AB162" s="36"/>
      <c r="AC162" s="36"/>
      <c r="AD162" s="36"/>
      <c r="AE162" s="34"/>
      <c r="AF162" s="34"/>
      <c r="AG162" s="36"/>
      <c r="AH162" s="34"/>
      <c r="AI162" s="36"/>
      <c r="AJ162" s="80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ht="18.75" customHeight="1">
      <c r="A163" s="34"/>
      <c r="B163" s="34"/>
      <c r="C163" s="34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153"/>
      <c r="U163" s="36"/>
      <c r="V163" s="36"/>
      <c r="W163" s="48"/>
      <c r="X163" s="50"/>
      <c r="Y163" s="78"/>
      <c r="Z163" s="36"/>
      <c r="AA163" s="36"/>
      <c r="AB163" s="36"/>
      <c r="AC163" s="36"/>
      <c r="AD163" s="36"/>
      <c r="AE163" s="34"/>
      <c r="AF163" s="34"/>
      <c r="AG163" s="36"/>
      <c r="AH163" s="34"/>
      <c r="AI163" s="36"/>
      <c r="AJ163" s="80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ht="18.75" customHeight="1">
      <c r="A164" s="34"/>
      <c r="B164" s="34"/>
      <c r="C164" s="34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153"/>
      <c r="U164" s="36"/>
      <c r="V164" s="36"/>
      <c r="W164" s="48"/>
      <c r="X164" s="50"/>
      <c r="Y164" s="78"/>
      <c r="Z164" s="36"/>
      <c r="AA164" s="36"/>
      <c r="AB164" s="36"/>
      <c r="AC164" s="36"/>
      <c r="AD164" s="36"/>
      <c r="AE164" s="34"/>
      <c r="AF164" s="34"/>
      <c r="AG164" s="36"/>
      <c r="AH164" s="34"/>
      <c r="AI164" s="36"/>
      <c r="AJ164" s="80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ht="18.75" customHeight="1">
      <c r="A165" s="34"/>
      <c r="B165" s="34"/>
      <c r="C165" s="34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153"/>
      <c r="U165" s="36"/>
      <c r="V165" s="36"/>
      <c r="W165" s="48"/>
      <c r="X165" s="50"/>
      <c r="Y165" s="78"/>
      <c r="Z165" s="36"/>
      <c r="AA165" s="36"/>
      <c r="AB165" s="36"/>
      <c r="AC165" s="36"/>
      <c r="AD165" s="36"/>
      <c r="AE165" s="34"/>
      <c r="AF165" s="34"/>
      <c r="AG165" s="36"/>
      <c r="AH165" s="34"/>
      <c r="AI165" s="36"/>
      <c r="AJ165" s="80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ht="18.75" customHeight="1">
      <c r="A166" s="34"/>
      <c r="B166" s="34"/>
      <c r="C166" s="34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153"/>
      <c r="U166" s="36"/>
      <c r="V166" s="36"/>
      <c r="W166" s="48"/>
      <c r="X166" s="50"/>
      <c r="Y166" s="78"/>
      <c r="Z166" s="36"/>
      <c r="AA166" s="36"/>
      <c r="AB166" s="36"/>
      <c r="AC166" s="36"/>
      <c r="AD166" s="36"/>
      <c r="AE166" s="34"/>
      <c r="AF166" s="34"/>
      <c r="AG166" s="36"/>
      <c r="AH166" s="34"/>
      <c r="AI166" s="36"/>
      <c r="AJ166" s="80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ht="18.75" customHeight="1">
      <c r="A167" s="34"/>
      <c r="B167" s="34"/>
      <c r="C167" s="34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153"/>
      <c r="U167" s="36"/>
      <c r="V167" s="36"/>
      <c r="W167" s="48"/>
      <c r="X167" s="50"/>
      <c r="Y167" s="78"/>
      <c r="Z167" s="36"/>
      <c r="AA167" s="36"/>
      <c r="AB167" s="36"/>
      <c r="AC167" s="36"/>
      <c r="AD167" s="36"/>
      <c r="AE167" s="34"/>
      <c r="AF167" s="34"/>
      <c r="AG167" s="36"/>
      <c r="AH167" s="34"/>
      <c r="AI167" s="36"/>
      <c r="AJ167" s="80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ht="18.75" customHeight="1">
      <c r="A168" s="34"/>
      <c r="B168" s="34"/>
      <c r="C168" s="34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153"/>
      <c r="U168" s="36"/>
      <c r="V168" s="36"/>
      <c r="W168" s="48"/>
      <c r="X168" s="50"/>
      <c r="Y168" s="78"/>
      <c r="Z168" s="36"/>
      <c r="AA168" s="36"/>
      <c r="AB168" s="36"/>
      <c r="AC168" s="36"/>
      <c r="AD168" s="36"/>
      <c r="AE168" s="34"/>
      <c r="AF168" s="34"/>
      <c r="AG168" s="36"/>
      <c r="AH168" s="34"/>
      <c r="AI168" s="36"/>
      <c r="AJ168" s="80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ht="18.75" customHeight="1">
      <c r="A169" s="34"/>
      <c r="B169" s="34"/>
      <c r="C169" s="34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153"/>
      <c r="U169" s="36"/>
      <c r="V169" s="36"/>
      <c r="W169" s="48"/>
      <c r="X169" s="50"/>
      <c r="Y169" s="78"/>
      <c r="Z169" s="36"/>
      <c r="AA169" s="36"/>
      <c r="AB169" s="36"/>
      <c r="AC169" s="36"/>
      <c r="AD169" s="36"/>
      <c r="AE169" s="34"/>
      <c r="AF169" s="34"/>
      <c r="AG169" s="36"/>
      <c r="AH169" s="34"/>
      <c r="AI169" s="36"/>
      <c r="AJ169" s="80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ht="18.75" customHeight="1">
      <c r="A170" s="34"/>
      <c r="B170" s="34"/>
      <c r="C170" s="34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153"/>
      <c r="U170" s="36"/>
      <c r="V170" s="36"/>
      <c r="W170" s="48"/>
      <c r="X170" s="50"/>
      <c r="Y170" s="78"/>
      <c r="Z170" s="36"/>
      <c r="AA170" s="36"/>
      <c r="AB170" s="36"/>
      <c r="AC170" s="36"/>
      <c r="AD170" s="36"/>
      <c r="AE170" s="34"/>
      <c r="AF170" s="34"/>
      <c r="AG170" s="36"/>
      <c r="AH170" s="34"/>
      <c r="AI170" s="36"/>
      <c r="AJ170" s="80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ht="18.75" customHeight="1">
      <c r="A171" s="34"/>
      <c r="B171" s="34"/>
      <c r="C171" s="34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153"/>
      <c r="U171" s="36"/>
      <c r="V171" s="36"/>
      <c r="W171" s="48"/>
      <c r="X171" s="50"/>
      <c r="Y171" s="78"/>
      <c r="Z171" s="36"/>
      <c r="AA171" s="36"/>
      <c r="AB171" s="36"/>
      <c r="AC171" s="36"/>
      <c r="AD171" s="36"/>
      <c r="AE171" s="34"/>
      <c r="AF171" s="34"/>
      <c r="AG171" s="36"/>
      <c r="AH171" s="34"/>
      <c r="AI171" s="36"/>
      <c r="AJ171" s="80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ht="18.75" customHeight="1">
      <c r="A172" s="34"/>
      <c r="B172" s="34"/>
      <c r="C172" s="34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153"/>
      <c r="U172" s="36"/>
      <c r="V172" s="36"/>
      <c r="W172" s="48"/>
      <c r="X172" s="50"/>
      <c r="Y172" s="78"/>
      <c r="Z172" s="36"/>
      <c r="AA172" s="36"/>
      <c r="AB172" s="36"/>
      <c r="AC172" s="36"/>
      <c r="AD172" s="36"/>
      <c r="AE172" s="34"/>
      <c r="AF172" s="34"/>
      <c r="AG172" s="36"/>
      <c r="AH172" s="34"/>
      <c r="AI172" s="36"/>
      <c r="AJ172" s="80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ht="18.75" customHeight="1">
      <c r="A173" s="34"/>
      <c r="B173" s="34"/>
      <c r="C173" s="34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153"/>
      <c r="U173" s="36"/>
      <c r="V173" s="36"/>
      <c r="W173" s="48"/>
      <c r="X173" s="50"/>
      <c r="Y173" s="78"/>
      <c r="Z173" s="36"/>
      <c r="AA173" s="36"/>
      <c r="AB173" s="36"/>
      <c r="AC173" s="36"/>
      <c r="AD173" s="36"/>
      <c r="AE173" s="34"/>
      <c r="AF173" s="34"/>
      <c r="AG173" s="36"/>
      <c r="AH173" s="34"/>
      <c r="AI173" s="36"/>
      <c r="AJ173" s="80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ht="18.75" customHeight="1">
      <c r="A174" s="34"/>
      <c r="B174" s="34"/>
      <c r="C174" s="34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153"/>
      <c r="U174" s="36"/>
      <c r="V174" s="36"/>
      <c r="W174" s="48"/>
      <c r="X174" s="50"/>
      <c r="Y174" s="78"/>
      <c r="Z174" s="36"/>
      <c r="AA174" s="36"/>
      <c r="AB174" s="36"/>
      <c r="AC174" s="36"/>
      <c r="AD174" s="36"/>
      <c r="AE174" s="34"/>
      <c r="AF174" s="34"/>
      <c r="AG174" s="36"/>
      <c r="AH174" s="34"/>
      <c r="AI174" s="36"/>
      <c r="AJ174" s="80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ht="18.75" customHeight="1">
      <c r="A175" s="34"/>
      <c r="B175" s="34"/>
      <c r="C175" s="34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153"/>
      <c r="U175" s="36"/>
      <c r="V175" s="36"/>
      <c r="W175" s="48"/>
      <c r="X175" s="50"/>
      <c r="Y175" s="78"/>
      <c r="Z175" s="36"/>
      <c r="AA175" s="36"/>
      <c r="AB175" s="36"/>
      <c r="AC175" s="36"/>
      <c r="AD175" s="36"/>
      <c r="AE175" s="34"/>
      <c r="AF175" s="34"/>
      <c r="AG175" s="36"/>
      <c r="AH175" s="34"/>
      <c r="AI175" s="36"/>
      <c r="AJ175" s="80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ht="18.75" customHeight="1">
      <c r="A176" s="34"/>
      <c r="B176" s="34"/>
      <c r="C176" s="34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153"/>
      <c r="U176" s="36"/>
      <c r="V176" s="36"/>
      <c r="W176" s="48"/>
      <c r="X176" s="50"/>
      <c r="Y176" s="78"/>
      <c r="Z176" s="36"/>
      <c r="AA176" s="36"/>
      <c r="AB176" s="36"/>
      <c r="AC176" s="36"/>
      <c r="AD176" s="36"/>
      <c r="AE176" s="34"/>
      <c r="AF176" s="34"/>
      <c r="AG176" s="36"/>
      <c r="AH176" s="34"/>
      <c r="AI176" s="36"/>
      <c r="AJ176" s="80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ht="18.75" customHeight="1">
      <c r="A177" s="34"/>
      <c r="B177" s="34"/>
      <c r="C177" s="34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153"/>
      <c r="U177" s="36"/>
      <c r="V177" s="36"/>
      <c r="W177" s="48"/>
      <c r="X177" s="50"/>
      <c r="Y177" s="78"/>
      <c r="Z177" s="36"/>
      <c r="AA177" s="36"/>
      <c r="AB177" s="36"/>
      <c r="AC177" s="36"/>
      <c r="AD177" s="36"/>
      <c r="AE177" s="34"/>
      <c r="AF177" s="34"/>
      <c r="AG177" s="36"/>
      <c r="AH177" s="34"/>
      <c r="AI177" s="36"/>
      <c r="AJ177" s="80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ht="18.75" customHeight="1">
      <c r="A178" s="34"/>
      <c r="B178" s="34"/>
      <c r="C178" s="34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153"/>
      <c r="U178" s="36"/>
      <c r="V178" s="36"/>
      <c r="W178" s="48"/>
      <c r="X178" s="50"/>
      <c r="Y178" s="78"/>
      <c r="Z178" s="36"/>
      <c r="AA178" s="36"/>
      <c r="AB178" s="36"/>
      <c r="AC178" s="36"/>
      <c r="AD178" s="36"/>
      <c r="AE178" s="34"/>
      <c r="AF178" s="34"/>
      <c r="AG178" s="36"/>
      <c r="AH178" s="34"/>
      <c r="AI178" s="36"/>
      <c r="AJ178" s="80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ht="18.75" customHeight="1">
      <c r="A179" s="34"/>
      <c r="B179" s="34"/>
      <c r="C179" s="34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153"/>
      <c r="U179" s="36"/>
      <c r="V179" s="36"/>
      <c r="W179" s="48"/>
      <c r="X179" s="50"/>
      <c r="Y179" s="78"/>
      <c r="Z179" s="36"/>
      <c r="AA179" s="36"/>
      <c r="AB179" s="36"/>
      <c r="AC179" s="36"/>
      <c r="AD179" s="36"/>
      <c r="AE179" s="34"/>
      <c r="AF179" s="34"/>
      <c r="AG179" s="36"/>
      <c r="AH179" s="34"/>
      <c r="AI179" s="36"/>
      <c r="AJ179" s="80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ht="18.75" customHeight="1">
      <c r="A180" s="34"/>
      <c r="B180" s="34"/>
      <c r="C180" s="34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153"/>
      <c r="U180" s="36"/>
      <c r="V180" s="36"/>
      <c r="W180" s="48"/>
      <c r="X180" s="50"/>
      <c r="Y180" s="78"/>
      <c r="Z180" s="36"/>
      <c r="AA180" s="36"/>
      <c r="AB180" s="36"/>
      <c r="AC180" s="36"/>
      <c r="AD180" s="36"/>
      <c r="AE180" s="34"/>
      <c r="AF180" s="34"/>
      <c r="AG180" s="36"/>
      <c r="AH180" s="34"/>
      <c r="AI180" s="36"/>
      <c r="AJ180" s="80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ht="18.75" customHeight="1">
      <c r="A181" s="34"/>
      <c r="B181" s="34"/>
      <c r="C181" s="34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153"/>
      <c r="U181" s="36"/>
      <c r="V181" s="36"/>
      <c r="W181" s="48"/>
      <c r="X181" s="50"/>
      <c r="Y181" s="78"/>
      <c r="Z181" s="36"/>
      <c r="AA181" s="36"/>
      <c r="AB181" s="36"/>
      <c r="AC181" s="36"/>
      <c r="AD181" s="36"/>
      <c r="AE181" s="34"/>
      <c r="AF181" s="34"/>
      <c r="AG181" s="36"/>
      <c r="AH181" s="34"/>
      <c r="AI181" s="36"/>
      <c r="AJ181" s="80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ht="18.75" customHeight="1">
      <c r="A182" s="34"/>
      <c r="B182" s="34"/>
      <c r="C182" s="34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153"/>
      <c r="U182" s="36"/>
      <c r="V182" s="36"/>
      <c r="W182" s="48"/>
      <c r="X182" s="50"/>
      <c r="Y182" s="78"/>
      <c r="Z182" s="36"/>
      <c r="AA182" s="36"/>
      <c r="AB182" s="36"/>
      <c r="AC182" s="36"/>
      <c r="AD182" s="36"/>
      <c r="AE182" s="34"/>
      <c r="AF182" s="34"/>
      <c r="AG182" s="36"/>
      <c r="AH182" s="34"/>
      <c r="AI182" s="36"/>
      <c r="AJ182" s="80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ht="18.75" customHeight="1">
      <c r="A183" s="34"/>
      <c r="B183" s="34"/>
      <c r="C183" s="34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153"/>
      <c r="U183" s="36"/>
      <c r="V183" s="36"/>
      <c r="W183" s="48"/>
      <c r="X183" s="50"/>
      <c r="Y183" s="78"/>
      <c r="Z183" s="36"/>
      <c r="AA183" s="36"/>
      <c r="AB183" s="36"/>
      <c r="AC183" s="36"/>
      <c r="AD183" s="36"/>
      <c r="AE183" s="34"/>
      <c r="AF183" s="34"/>
      <c r="AG183" s="36"/>
      <c r="AH183" s="34"/>
      <c r="AI183" s="36"/>
      <c r="AJ183" s="80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ht="18.75" customHeight="1">
      <c r="A184" s="34"/>
      <c r="B184" s="34"/>
      <c r="C184" s="34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153"/>
      <c r="U184" s="36"/>
      <c r="V184" s="36"/>
      <c r="W184" s="48"/>
      <c r="X184" s="50"/>
      <c r="Y184" s="78"/>
      <c r="Z184" s="36"/>
      <c r="AA184" s="36"/>
      <c r="AB184" s="36"/>
      <c r="AC184" s="36"/>
      <c r="AD184" s="36"/>
      <c r="AE184" s="34"/>
      <c r="AF184" s="34"/>
      <c r="AG184" s="36"/>
      <c r="AH184" s="34"/>
      <c r="AI184" s="36"/>
      <c r="AJ184" s="80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ht="18.75" customHeight="1">
      <c r="A185" s="34"/>
      <c r="B185" s="34"/>
      <c r="C185" s="34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153"/>
      <c r="U185" s="36"/>
      <c r="V185" s="36"/>
      <c r="W185" s="48"/>
      <c r="X185" s="50"/>
      <c r="Y185" s="78"/>
      <c r="Z185" s="36"/>
      <c r="AA185" s="36"/>
      <c r="AB185" s="36"/>
      <c r="AC185" s="36"/>
      <c r="AD185" s="36"/>
      <c r="AE185" s="34"/>
      <c r="AF185" s="34"/>
      <c r="AG185" s="36"/>
      <c r="AH185" s="34"/>
      <c r="AI185" s="36"/>
      <c r="AJ185" s="80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ht="18.75" customHeight="1">
      <c r="A186" s="34"/>
      <c r="B186" s="34"/>
      <c r="C186" s="34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153"/>
      <c r="U186" s="36"/>
      <c r="V186" s="36"/>
      <c r="W186" s="48"/>
      <c r="X186" s="50"/>
      <c r="Y186" s="78"/>
      <c r="Z186" s="36"/>
      <c r="AA186" s="36"/>
      <c r="AB186" s="36"/>
      <c r="AC186" s="36"/>
      <c r="AD186" s="36"/>
      <c r="AE186" s="34"/>
      <c r="AF186" s="34"/>
      <c r="AG186" s="36"/>
      <c r="AH186" s="34"/>
      <c r="AI186" s="36"/>
      <c r="AJ186" s="80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ht="18.75" customHeight="1">
      <c r="A187" s="34"/>
      <c r="B187" s="34"/>
      <c r="C187" s="34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153"/>
      <c r="U187" s="36"/>
      <c r="V187" s="36"/>
      <c r="W187" s="48"/>
      <c r="X187" s="50"/>
      <c r="Y187" s="78"/>
      <c r="Z187" s="36"/>
      <c r="AA187" s="36"/>
      <c r="AB187" s="36"/>
      <c r="AC187" s="36"/>
      <c r="AD187" s="36"/>
      <c r="AE187" s="34"/>
      <c r="AF187" s="34"/>
      <c r="AG187" s="36"/>
      <c r="AH187" s="34"/>
      <c r="AI187" s="36"/>
      <c r="AJ187" s="80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ht="18.75" customHeight="1">
      <c r="A188" s="34"/>
      <c r="B188" s="34"/>
      <c r="C188" s="34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153"/>
      <c r="U188" s="36"/>
      <c r="V188" s="36"/>
      <c r="W188" s="48"/>
      <c r="X188" s="50"/>
      <c r="Y188" s="78"/>
      <c r="Z188" s="36"/>
      <c r="AA188" s="36"/>
      <c r="AB188" s="36"/>
      <c r="AC188" s="36"/>
      <c r="AD188" s="36"/>
      <c r="AE188" s="34"/>
      <c r="AF188" s="34"/>
      <c r="AG188" s="36"/>
      <c r="AH188" s="34"/>
      <c r="AI188" s="36"/>
      <c r="AJ188" s="80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ht="18.75" customHeight="1">
      <c r="A189" s="34"/>
      <c r="B189" s="34"/>
      <c r="C189" s="34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153"/>
      <c r="U189" s="36"/>
      <c r="V189" s="36"/>
      <c r="W189" s="48"/>
      <c r="X189" s="50"/>
      <c r="Y189" s="78"/>
      <c r="Z189" s="36"/>
      <c r="AA189" s="36"/>
      <c r="AB189" s="36"/>
      <c r="AC189" s="36"/>
      <c r="AD189" s="36"/>
      <c r="AE189" s="34"/>
      <c r="AF189" s="34"/>
      <c r="AG189" s="36"/>
      <c r="AH189" s="34"/>
      <c r="AI189" s="36"/>
      <c r="AJ189" s="80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ht="18.75" customHeight="1">
      <c r="A190" s="34"/>
      <c r="B190" s="34"/>
      <c r="C190" s="34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153"/>
      <c r="U190" s="36"/>
      <c r="V190" s="36"/>
      <c r="W190" s="48"/>
      <c r="X190" s="50"/>
      <c r="Y190" s="78"/>
      <c r="Z190" s="36"/>
      <c r="AA190" s="36"/>
      <c r="AB190" s="36"/>
      <c r="AC190" s="36"/>
      <c r="AD190" s="36"/>
      <c r="AE190" s="34"/>
      <c r="AF190" s="34"/>
      <c r="AG190" s="36"/>
      <c r="AH190" s="34"/>
      <c r="AI190" s="36"/>
      <c r="AJ190" s="80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ht="18.75" customHeight="1">
      <c r="A191" s="34"/>
      <c r="B191" s="34"/>
      <c r="C191" s="34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153"/>
      <c r="U191" s="36"/>
      <c r="V191" s="36"/>
      <c r="W191" s="48"/>
      <c r="X191" s="50"/>
      <c r="Y191" s="78"/>
      <c r="Z191" s="36"/>
      <c r="AA191" s="36"/>
      <c r="AB191" s="36"/>
      <c r="AC191" s="36"/>
      <c r="AD191" s="36"/>
      <c r="AE191" s="34"/>
      <c r="AF191" s="34"/>
      <c r="AG191" s="36"/>
      <c r="AH191" s="34"/>
      <c r="AI191" s="36"/>
      <c r="AJ191" s="80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ht="18.75" customHeight="1">
      <c r="A192" s="34"/>
      <c r="B192" s="34"/>
      <c r="C192" s="34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153"/>
      <c r="U192" s="36"/>
      <c r="V192" s="36"/>
      <c r="W192" s="48"/>
      <c r="X192" s="50"/>
      <c r="Y192" s="78"/>
      <c r="Z192" s="36"/>
      <c r="AA192" s="36"/>
      <c r="AB192" s="36"/>
      <c r="AC192" s="36"/>
      <c r="AD192" s="36"/>
      <c r="AE192" s="34"/>
      <c r="AF192" s="34"/>
      <c r="AG192" s="36"/>
      <c r="AH192" s="34"/>
      <c r="AI192" s="36"/>
      <c r="AJ192" s="80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ht="18.75" customHeight="1">
      <c r="A193" s="34"/>
      <c r="B193" s="34"/>
      <c r="C193" s="34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153"/>
      <c r="U193" s="36"/>
      <c r="V193" s="36"/>
      <c r="W193" s="48"/>
      <c r="X193" s="50"/>
      <c r="Y193" s="78"/>
      <c r="Z193" s="36"/>
      <c r="AA193" s="36"/>
      <c r="AB193" s="36"/>
      <c r="AC193" s="36"/>
      <c r="AD193" s="36"/>
      <c r="AE193" s="34"/>
      <c r="AF193" s="34"/>
      <c r="AG193" s="36"/>
      <c r="AH193" s="34"/>
      <c r="AI193" s="36"/>
      <c r="AJ193" s="80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ht="18.75" customHeight="1">
      <c r="A194" s="34"/>
      <c r="B194" s="34"/>
      <c r="C194" s="34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153"/>
      <c r="U194" s="36"/>
      <c r="V194" s="36"/>
      <c r="W194" s="48"/>
      <c r="X194" s="50"/>
      <c r="Y194" s="78"/>
      <c r="Z194" s="36"/>
      <c r="AA194" s="36"/>
      <c r="AB194" s="36"/>
      <c r="AC194" s="36"/>
      <c r="AD194" s="36"/>
      <c r="AE194" s="34"/>
      <c r="AF194" s="34"/>
      <c r="AG194" s="36"/>
      <c r="AH194" s="34"/>
      <c r="AI194" s="36"/>
      <c r="AJ194" s="80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ht="18.75" customHeight="1">
      <c r="A195" s="34"/>
      <c r="B195" s="34"/>
      <c r="C195" s="34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153"/>
      <c r="U195" s="36"/>
      <c r="V195" s="36"/>
      <c r="W195" s="48"/>
      <c r="X195" s="50"/>
      <c r="Y195" s="78"/>
      <c r="Z195" s="36"/>
      <c r="AA195" s="36"/>
      <c r="AB195" s="36"/>
      <c r="AC195" s="36"/>
      <c r="AD195" s="36"/>
      <c r="AE195" s="34"/>
      <c r="AF195" s="34"/>
      <c r="AG195" s="36"/>
      <c r="AH195" s="34"/>
      <c r="AI195" s="36"/>
      <c r="AJ195" s="80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ht="18.75" customHeight="1">
      <c r="A196" s="34"/>
      <c r="B196" s="34"/>
      <c r="C196" s="34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153"/>
      <c r="U196" s="36"/>
      <c r="V196" s="36"/>
      <c r="W196" s="48"/>
      <c r="X196" s="50"/>
      <c r="Y196" s="78"/>
      <c r="Z196" s="36"/>
      <c r="AA196" s="36"/>
      <c r="AB196" s="36"/>
      <c r="AC196" s="36"/>
      <c r="AD196" s="36"/>
      <c r="AE196" s="34"/>
      <c r="AF196" s="34"/>
      <c r="AG196" s="36"/>
      <c r="AH196" s="34"/>
      <c r="AI196" s="36"/>
      <c r="AJ196" s="80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ht="18.75" customHeight="1">
      <c r="A197" s="34"/>
      <c r="B197" s="34"/>
      <c r="C197" s="34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153"/>
      <c r="U197" s="36"/>
      <c r="V197" s="36"/>
      <c r="W197" s="48"/>
      <c r="X197" s="50"/>
      <c r="Y197" s="78"/>
      <c r="Z197" s="36"/>
      <c r="AA197" s="36"/>
      <c r="AB197" s="36"/>
      <c r="AC197" s="36"/>
      <c r="AD197" s="36"/>
      <c r="AE197" s="34"/>
      <c r="AF197" s="34"/>
      <c r="AG197" s="36"/>
      <c r="AH197" s="34"/>
      <c r="AI197" s="36"/>
      <c r="AJ197" s="80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ht="18.75" customHeight="1">
      <c r="A198" s="34"/>
      <c r="B198" s="34"/>
      <c r="C198" s="34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153"/>
      <c r="U198" s="36"/>
      <c r="V198" s="36"/>
      <c r="W198" s="48"/>
      <c r="X198" s="50"/>
      <c r="Y198" s="78"/>
      <c r="Z198" s="36"/>
      <c r="AA198" s="36"/>
      <c r="AB198" s="36"/>
      <c r="AC198" s="36"/>
      <c r="AD198" s="36"/>
      <c r="AE198" s="34"/>
      <c r="AF198" s="34"/>
      <c r="AG198" s="36"/>
      <c r="AH198" s="34"/>
      <c r="AI198" s="36"/>
      <c r="AJ198" s="80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ht="18.75" customHeight="1">
      <c r="A199" s="34"/>
      <c r="B199" s="34"/>
      <c r="C199" s="34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153"/>
      <c r="U199" s="36"/>
      <c r="V199" s="36"/>
      <c r="W199" s="48"/>
      <c r="X199" s="50"/>
      <c r="Y199" s="78"/>
      <c r="Z199" s="36"/>
      <c r="AA199" s="36"/>
      <c r="AB199" s="36"/>
      <c r="AC199" s="36"/>
      <c r="AD199" s="36"/>
      <c r="AE199" s="34"/>
      <c r="AF199" s="34"/>
      <c r="AG199" s="36"/>
      <c r="AH199" s="34"/>
      <c r="AI199" s="36"/>
      <c r="AJ199" s="80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ht="18.75" customHeight="1">
      <c r="A200" s="34"/>
      <c r="B200" s="34"/>
      <c r="C200" s="34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153"/>
      <c r="U200" s="36"/>
      <c r="V200" s="36"/>
      <c r="W200" s="48"/>
      <c r="X200" s="50"/>
      <c r="Y200" s="78"/>
      <c r="Z200" s="36"/>
      <c r="AA200" s="36"/>
      <c r="AB200" s="36"/>
      <c r="AC200" s="36"/>
      <c r="AD200" s="36"/>
      <c r="AE200" s="34"/>
      <c r="AF200" s="34"/>
      <c r="AG200" s="36"/>
      <c r="AH200" s="34"/>
      <c r="AI200" s="36"/>
      <c r="AJ200" s="80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ht="18.75" customHeight="1">
      <c r="A201" s="34"/>
      <c r="B201" s="34"/>
      <c r="C201" s="34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153"/>
      <c r="U201" s="36"/>
      <c r="V201" s="36"/>
      <c r="W201" s="48"/>
      <c r="X201" s="50"/>
      <c r="Y201" s="78"/>
      <c r="Z201" s="36"/>
      <c r="AA201" s="36"/>
      <c r="AB201" s="36"/>
      <c r="AC201" s="36"/>
      <c r="AD201" s="36"/>
      <c r="AE201" s="34"/>
      <c r="AF201" s="34"/>
      <c r="AG201" s="36"/>
      <c r="AH201" s="34"/>
      <c r="AI201" s="36"/>
      <c r="AJ201" s="80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ht="18.75" customHeight="1">
      <c r="A202" s="34"/>
      <c r="B202" s="34"/>
      <c r="C202" s="34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153"/>
      <c r="U202" s="36"/>
      <c r="V202" s="36"/>
      <c r="W202" s="48"/>
      <c r="X202" s="50"/>
      <c r="Y202" s="78"/>
      <c r="Z202" s="36"/>
      <c r="AA202" s="36"/>
      <c r="AB202" s="36"/>
      <c r="AC202" s="36"/>
      <c r="AD202" s="36"/>
      <c r="AE202" s="34"/>
      <c r="AF202" s="34"/>
      <c r="AG202" s="36"/>
      <c r="AH202" s="34"/>
      <c r="AI202" s="36"/>
      <c r="AJ202" s="80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ht="18.75" customHeight="1">
      <c r="A203" s="34"/>
      <c r="B203" s="34"/>
      <c r="C203" s="34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153"/>
      <c r="U203" s="36"/>
      <c r="V203" s="36"/>
      <c r="W203" s="48"/>
      <c r="X203" s="50"/>
      <c r="Y203" s="78"/>
      <c r="Z203" s="36"/>
      <c r="AA203" s="36"/>
      <c r="AB203" s="36"/>
      <c r="AC203" s="36"/>
      <c r="AD203" s="36"/>
      <c r="AE203" s="34"/>
      <c r="AF203" s="34"/>
      <c r="AG203" s="36"/>
      <c r="AH203" s="34"/>
      <c r="AI203" s="36"/>
      <c r="AJ203" s="80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ht="18.75" customHeight="1">
      <c r="A204" s="34"/>
      <c r="B204" s="34"/>
      <c r="C204" s="34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153"/>
      <c r="U204" s="36"/>
      <c r="V204" s="36"/>
      <c r="W204" s="48"/>
      <c r="X204" s="50"/>
      <c r="Y204" s="78"/>
      <c r="Z204" s="36"/>
      <c r="AA204" s="36"/>
      <c r="AB204" s="36"/>
      <c r="AC204" s="36"/>
      <c r="AD204" s="36"/>
      <c r="AE204" s="34"/>
      <c r="AF204" s="34"/>
      <c r="AG204" s="36"/>
      <c r="AH204" s="34"/>
      <c r="AI204" s="36"/>
      <c r="AJ204" s="80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</sheetData>
  <mergeCells count="137">
    <mergeCell ref="B16:B24"/>
    <mergeCell ref="B28:B36"/>
    <mergeCell ref="B40:B48"/>
    <mergeCell ref="B52:B60"/>
    <mergeCell ref="B64:B72"/>
    <mergeCell ref="B76:B84"/>
    <mergeCell ref="B88:B96"/>
    <mergeCell ref="F5:G5"/>
    <mergeCell ref="F7:G7"/>
    <mergeCell ref="C15:E15"/>
    <mergeCell ref="D17:E17"/>
    <mergeCell ref="F17:G17"/>
    <mergeCell ref="D18:E18"/>
    <mergeCell ref="C27:E27"/>
    <mergeCell ref="F41:G41"/>
    <mergeCell ref="F43:G43"/>
    <mergeCell ref="D29:E29"/>
    <mergeCell ref="F29:G29"/>
    <mergeCell ref="D30:E30"/>
    <mergeCell ref="F31:G31"/>
    <mergeCell ref="C39:E39"/>
    <mergeCell ref="D41:E41"/>
    <mergeCell ref="D42:E42"/>
    <mergeCell ref="C51:E51"/>
    <mergeCell ref="D53:E53"/>
    <mergeCell ref="F53:G53"/>
    <mergeCell ref="D54:E54"/>
    <mergeCell ref="F55:G55"/>
    <mergeCell ref="C63:E63"/>
    <mergeCell ref="F65:G65"/>
    <mergeCell ref="D78:E78"/>
    <mergeCell ref="C87:E87"/>
    <mergeCell ref="D89:E89"/>
    <mergeCell ref="F89:G89"/>
    <mergeCell ref="D90:E90"/>
    <mergeCell ref="F91:G91"/>
    <mergeCell ref="D65:E65"/>
    <mergeCell ref="D66:E66"/>
    <mergeCell ref="F67:G67"/>
    <mergeCell ref="C75:E75"/>
    <mergeCell ref="D77:E77"/>
    <mergeCell ref="F77:G77"/>
    <mergeCell ref="F79:G79"/>
    <mergeCell ref="F19:G19"/>
    <mergeCell ref="H20:I20"/>
    <mergeCell ref="J21:K21"/>
    <mergeCell ref="L22:M22"/>
    <mergeCell ref="C24:X24"/>
    <mergeCell ref="C28:X28"/>
    <mergeCell ref="H29:I29"/>
    <mergeCell ref="N29:O29"/>
    <mergeCell ref="J29:K29"/>
    <mergeCell ref="L29:M29"/>
    <mergeCell ref="H32:I32"/>
    <mergeCell ref="J33:K33"/>
    <mergeCell ref="L34:M34"/>
    <mergeCell ref="C36:X36"/>
    <mergeCell ref="C40:X40"/>
    <mergeCell ref="P41:P46"/>
    <mergeCell ref="P53:P58"/>
    <mergeCell ref="P65:P70"/>
    <mergeCell ref="P77:P82"/>
    <mergeCell ref="P89:P94"/>
    <mergeCell ref="N59:O59"/>
    <mergeCell ref="N71:O71"/>
    <mergeCell ref="N83:O83"/>
    <mergeCell ref="N95:O95"/>
    <mergeCell ref="N5:O5"/>
    <mergeCell ref="P5:P10"/>
    <mergeCell ref="P17:P22"/>
    <mergeCell ref="N23:O23"/>
    <mergeCell ref="P29:P34"/>
    <mergeCell ref="N35:O35"/>
    <mergeCell ref="N47:O47"/>
    <mergeCell ref="C48:X48"/>
    <mergeCell ref="C52:X52"/>
    <mergeCell ref="H53:I53"/>
    <mergeCell ref="J53:K53"/>
    <mergeCell ref="L53:M53"/>
    <mergeCell ref="N53:O53"/>
    <mergeCell ref="H56:I56"/>
    <mergeCell ref="J57:K57"/>
    <mergeCell ref="L58:M58"/>
    <mergeCell ref="C60:X60"/>
    <mergeCell ref="C64:X64"/>
    <mergeCell ref="J65:K65"/>
    <mergeCell ref="L65:M65"/>
    <mergeCell ref="N65:O65"/>
    <mergeCell ref="H65:I65"/>
    <mergeCell ref="H68:I68"/>
    <mergeCell ref="J69:K69"/>
    <mergeCell ref="L70:M70"/>
    <mergeCell ref="C72:X72"/>
    <mergeCell ref="C76:X76"/>
    <mergeCell ref="H77:I77"/>
    <mergeCell ref="N77:O77"/>
    <mergeCell ref="J77:K77"/>
    <mergeCell ref="L77:M77"/>
    <mergeCell ref="H80:I80"/>
    <mergeCell ref="J81:K81"/>
    <mergeCell ref="L82:M82"/>
    <mergeCell ref="C84:X84"/>
    <mergeCell ref="C88:X88"/>
    <mergeCell ref="J5:K5"/>
    <mergeCell ref="L5:M5"/>
    <mergeCell ref="H8:I8"/>
    <mergeCell ref="J9:K9"/>
    <mergeCell ref="L10:M10"/>
    <mergeCell ref="N11:O11"/>
    <mergeCell ref="C12:X12"/>
    <mergeCell ref="C16:X16"/>
    <mergeCell ref="H17:I17"/>
    <mergeCell ref="J17:K17"/>
    <mergeCell ref="L17:M17"/>
    <mergeCell ref="N17:O17"/>
    <mergeCell ref="C1:X1"/>
    <mergeCell ref="C3:E3"/>
    <mergeCell ref="B4:B12"/>
    <mergeCell ref="C4:X4"/>
    <mergeCell ref="D5:E5"/>
    <mergeCell ref="H5:I5"/>
    <mergeCell ref="D6:E6"/>
    <mergeCell ref="H41:I41"/>
    <mergeCell ref="J41:K41"/>
    <mergeCell ref="L41:M41"/>
    <mergeCell ref="N41:O41"/>
    <mergeCell ref="H44:I44"/>
    <mergeCell ref="J45:K45"/>
    <mergeCell ref="L46:M46"/>
    <mergeCell ref="H89:I89"/>
    <mergeCell ref="J89:K89"/>
    <mergeCell ref="L89:M89"/>
    <mergeCell ref="N89:O89"/>
    <mergeCell ref="H92:I92"/>
    <mergeCell ref="J93:K93"/>
    <mergeCell ref="L94:M94"/>
    <mergeCell ref="C96:X96"/>
  </mergeCells>
  <conditionalFormatting sqref="F6:G6 H6:I7 J6:K8 L6:M9 N6:O11 E7:E11 G8:G11 I9:I11 K10:K11 M11 F18:G18 H18:I19 J18:K20 L18:M21 N18:O23 E19:E23 G20:G23 I21:I23 K22:K23 M23 F30:G30 H30:I31 J30:K32 L30:M33 N30:O35 E31:E35 G32:G35 I33:I35 K34:K35 M35 F42:G42 H42:I43 J42:K44 L42:M45 N42:O47 E43:E47 G44:G47 I45:I47 K46:K47 M47 F54:G54 H54:I55 J54:K56 L54:M57 N54:O59 E55:E59 G56:G59 I57:I59 K58:K59 M59 F66:G66 H66:I67 J66:K68 L66:M69 N66:O71 E67:E71 G68:G71 I69:I71 K70:K71 M71 F78:G78 H78:I79 J78:K80 L78:M81 N78:O83 E79:E83 G80:G83 I81:I83 K82:K83 M83 F90:G90 H90:I91 J90:K92 L90:M93 N90:O95 E91:E95 G92:G95 I93:I95 K94:K95 M95">
    <cfRule type="cellIs" dxfId="0" priority="1" operator="equal">
      <formula>"W"</formula>
    </cfRule>
  </conditionalFormatting>
  <conditionalFormatting sqref="F6:G6 H6:I7 J6:K8 L6:M9 N6:O11 E7:E11 G8:G11 I9:I11 K10:K11 M11 F18:G18 H18:I19 J18:K20 L18:M21 N18:O23 E19:E23 G20:G23 I21:I23 K22:K23 M23 F30:G30 H30:I31 J30:K32 L30:M33 N30:O35 E31:E35 G32:G35 I33:I35 K34:K35 M35 F42:G42 H42:I43 J42:K44 L42:M45 N42:O47 E43:E47 G44:G47 I45:I47 K46:K47 M47 F54:G54 H54:I55 J54:K56 L54:M57 N54:O59 E55:E59 G56:G59 I57:I59 K58:K59 M59 F66:G66 H66:I67 J66:K68 L66:M69 N66:O71 E67:E71 G68:G71 I69:I71 K70:K71 M71 F78:G78 H78:I79 J78:K80 L78:M81 N78:O83 E79:E83 G80:G83 I81:I83 K82:K83 M83 F90:G90 H90:I91 J90:K92 L90:M93 N90:O95 E91:E95 G92:G95 I93:I95 K94:K95 M95">
    <cfRule type="cellIs" dxfId="1" priority="2" operator="equal">
      <formula>"T"</formula>
    </cfRule>
  </conditionalFormatting>
  <conditionalFormatting sqref="F6:G6 H6:I7 J6:K8 L6:M9 N6:O11 E7:E11 G8:G11 I9:I11 K10:K11 M11 F18:G18 H18:I19 J18:K20 L18:M21 N18:O23 E19:E23 G20:G23 I21:I23 K22:K23 M23 F30:G30 H30:I31 J30:K32 L30:M33 N30:O35 E31:E35 G32:G35 I33:I35 K34:K35 M35 F42:G42 H42:I43 J42:K44 L42:M45 N42:O47 E43:E47 G44:G47 I45:I47 K46:K47 M47 F54:G54 H54:I55 J54:K56 L54:M57 N54:O59 E55:E59 G56:G59 I57:I59 K58:K59 M59 F66:G66 H66:I67 J66:K68 L66:M69 N66:O71 E67:E71 G68:G71 I69:I71 K70:K71 M71 F78:G78 H78:I79 J78:K80 L78:M81 N78:O83 E79:E83 G80:G83 I81:I83 K82:K83 M83 F90:G90 H90:I91 J90:K92 L90:M93 N90:O95 E91:E95 G92:G95 I93:I95 K94:K95 M95">
    <cfRule type="cellIs" dxfId="2" priority="3" operator="equal">
      <formula>"L"</formula>
    </cfRule>
  </conditionalFormatting>
  <conditionalFormatting sqref="W1:W204">
    <cfRule type="cellIs" dxfId="3" priority="4" operator="equal">
      <formula>1</formula>
    </cfRule>
  </conditionalFormatting>
  <conditionalFormatting sqref="W1:W204">
    <cfRule type="cellIs" dxfId="4" priority="5" operator="equal">
      <formula>2</formula>
    </cfRule>
  </conditionalFormatting>
  <drawing r:id="rId1"/>
</worksheet>
</file>