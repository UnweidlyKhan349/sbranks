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chedule (Tentative)" sheetId="1" r:id="rId5"/>
    <sheet state="visible" name="Group Assignments" sheetId="2" r:id="rId6"/>
    <sheet state="visible" name="Round Robin Pairings" sheetId="3" r:id="rId7"/>
    <sheet state="visible" name="Double Elimination Bracket " sheetId="4" r:id="rId8"/>
  </sheets>
  <definedNames/>
  <calcPr/>
</workbook>
</file>

<file path=xl/sharedStrings.xml><?xml version="1.0" encoding="utf-8"?>
<sst xmlns="http://schemas.openxmlformats.org/spreadsheetml/2006/main" count="341" uniqueCount="75">
  <si>
    <t>Almandine Division</t>
  </si>
  <si>
    <t>Eastern</t>
  </si>
  <si>
    <t>Central</t>
  </si>
  <si>
    <t>Mountain</t>
  </si>
  <si>
    <t>Pacific</t>
  </si>
  <si>
    <t>Opening</t>
  </si>
  <si>
    <t>Team</t>
  </si>
  <si>
    <t>RR1</t>
  </si>
  <si>
    <t>RR2</t>
  </si>
  <si>
    <t>RR3</t>
  </si>
  <si>
    <t>Return to Main Room after RR3 concludes, wait for more DE information</t>
  </si>
  <si>
    <t>DE1</t>
  </si>
  <si>
    <t>DE2</t>
  </si>
  <si>
    <t>Lunch</t>
  </si>
  <si>
    <t>DE3</t>
  </si>
  <si>
    <t>Wins</t>
  </si>
  <si>
    <t>Losses</t>
  </si>
  <si>
    <t>DE4</t>
  </si>
  <si>
    <t>Total Pts</t>
  </si>
  <si>
    <t>Rank</t>
  </si>
  <si>
    <t>DE5</t>
  </si>
  <si>
    <t>DE6</t>
  </si>
  <si>
    <t>Pullman</t>
  </si>
  <si>
    <t>DE7</t>
  </si>
  <si>
    <t>Finals</t>
  </si>
  <si>
    <t>L</t>
  </si>
  <si>
    <t>Second Finals</t>
  </si>
  <si>
    <t>Closing</t>
  </si>
  <si>
    <t>After Finals</t>
  </si>
  <si>
    <t>Beryl Division</t>
  </si>
  <si>
    <t>Citrine Division</t>
  </si>
  <si>
    <t>Diamond Division</t>
  </si>
  <si>
    <t>RR1 (11:00 EST)</t>
  </si>
  <si>
    <t>Wayzata</t>
  </si>
  <si>
    <t>W</t>
  </si>
  <si>
    <t>Alabama School of Fine Arts</t>
  </si>
  <si>
    <t>Naperville North A</t>
  </si>
  <si>
    <t>Team #1</t>
  </si>
  <si>
    <t>Team #2</t>
  </si>
  <si>
    <t>Almandine-1</t>
  </si>
  <si>
    <t xml:space="preserve">Finals </t>
  </si>
  <si>
    <t>Beryl-3</t>
  </si>
  <si>
    <t>Naperville B</t>
  </si>
  <si>
    <t>Westview</t>
  </si>
  <si>
    <t>Citrine-5</t>
  </si>
  <si>
    <t>Clovis North</t>
  </si>
  <si>
    <t>North Allegheny</t>
  </si>
  <si>
    <t>Diamond-7</t>
  </si>
  <si>
    <t>Huron</t>
  </si>
  <si>
    <t>Collierville B</t>
  </si>
  <si>
    <t>Almandine-2</t>
  </si>
  <si>
    <t>ASFA</t>
  </si>
  <si>
    <t>Naperville A</t>
  </si>
  <si>
    <t>Beryl-4</t>
  </si>
  <si>
    <t>Collierville A</t>
  </si>
  <si>
    <t>Hunter College</t>
  </si>
  <si>
    <t>Citrine-6</t>
  </si>
  <si>
    <t>Langley</t>
  </si>
  <si>
    <t>--</t>
  </si>
  <si>
    <t>Diamond-8</t>
  </si>
  <si>
    <t>Shen</t>
  </si>
  <si>
    <t>Mountain View A</t>
  </si>
  <si>
    <t>Naperville North B</t>
  </si>
  <si>
    <t>RR2 (11:30 EST)</t>
  </si>
  <si>
    <t>Alm-1</t>
  </si>
  <si>
    <t>BYE</t>
  </si>
  <si>
    <t>RR3 (12:00 EST)</t>
  </si>
  <si>
    <t>Alm-2</t>
  </si>
  <si>
    <t>?</t>
  </si>
  <si>
    <t>Ber-3</t>
  </si>
  <si>
    <t>Ber-4</t>
  </si>
  <si>
    <t>Cit-5</t>
  </si>
  <si>
    <t>Cit-6</t>
  </si>
  <si>
    <t>Dia-7</t>
  </si>
  <si>
    <t>Dia-8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</si>
</sst>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2">
    <font>
      <sz val="10.0"/>
      <color rgb="FF000000"/>
      <name val="Arial"/>
      <scheme val="minor"/>
    </font>
    <font>
      <b/>
      <color theme="1"/>
      <name val="Economica"/>
    </font>
    <font>
      <b/>
      <sz val="28.0"/>
      <color rgb="FFA61C00"/>
      <name val="Economica"/>
    </font>
    <font>
      <b/>
      <sz val="16.0"/>
      <color theme="1"/>
      <name val="Economica"/>
    </font>
    <font>
      <color theme="1"/>
      <name val="Arial"/>
    </font>
    <font>
      <color theme="1"/>
      <name val="Economica"/>
    </font>
    <font>
      <sz val="12.0"/>
      <color theme="1"/>
      <name val="Open Sans"/>
    </font>
    <font>
      <b/>
      <sz val="28.0"/>
      <color rgb="FF3C78D8"/>
      <name val="Economica"/>
    </font>
    <font>
      <b/>
      <sz val="14.0"/>
      <color theme="1"/>
      <name val="Open Sans"/>
    </font>
    <font>
      <b/>
      <sz val="28.0"/>
      <color rgb="FFBF9000"/>
      <name val="Economica"/>
    </font>
    <font/>
    <font>
      <color theme="1"/>
      <name val="Arial"/>
      <scheme val="minor"/>
    </font>
    <font>
      <b/>
      <sz val="28.0"/>
      <color rgb="FFB7B7B7"/>
      <name val="Economica"/>
    </font>
    <font>
      <b/>
      <sz val="20.0"/>
      <color theme="1"/>
      <name val="Economica"/>
    </font>
    <font>
      <b/>
      <color theme="1"/>
      <name val="Arial"/>
      <scheme val="minor"/>
    </font>
    <font>
      <color theme="1"/>
      <name val="Open Sans"/>
    </font>
    <font>
      <b/>
      <color theme="1"/>
      <name val="Arial"/>
    </font>
    <font>
      <sz val="11.0"/>
      <color theme="1"/>
      <name val="Open Sans"/>
    </font>
    <font>
      <b/>
      <sz val="13.0"/>
      <color rgb="FFA61C00"/>
      <name val="Economica"/>
    </font>
    <font>
      <b/>
      <sz val="12.0"/>
      <color rgb="FF3C78D8"/>
      <name val="Economica"/>
    </font>
    <font>
      <b/>
      <sz val="12.0"/>
      <color rgb="FFBF9000"/>
      <name val="Economica"/>
    </font>
    <font>
      <b/>
      <sz val="12.0"/>
      <color rgb="FFB7B7B7"/>
      <name val="Economic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vertical="bottom"/>
    </xf>
    <xf borderId="0" fillId="2" fontId="2" numFmtId="0" xfId="0" applyAlignment="1" applyFill="1" applyFont="1">
      <alignment horizontal="center" readingOrder="0" shrinkToFit="0" vertical="bottom" wrapText="0"/>
    </xf>
    <xf borderId="0" fillId="0" fontId="5" numFmtId="0" xfId="0" applyFont="1"/>
    <xf borderId="0" fillId="0" fontId="4" numFmtId="0" xfId="0" applyAlignment="1" applyFont="1">
      <alignment vertical="bottom"/>
    </xf>
    <xf borderId="0" fillId="2" fontId="5" numFmtId="0" xfId="0" applyAlignment="1" applyFill="1" applyFont="1">
      <alignment horizontal="center" vertical="bottom"/>
    </xf>
    <xf borderId="0" fillId="0" fontId="6" numFmtId="164" xfId="0" applyAlignment="1" applyFont="1" applyNumberFormat="1">
      <alignment horizontal="center" readingOrder="0" vertical="center"/>
    </xf>
    <xf borderId="0" fillId="2" fontId="7" numFmtId="0" xfId="0" applyAlignment="1" applyFill="1" applyFont="1">
      <alignment horizontal="center" readingOrder="0" shrinkToFit="0" vertical="bottom" wrapText="0"/>
    </xf>
    <xf borderId="2" fillId="0" fontId="8" numFmtId="0" xfId="0" applyAlignment="1" applyBorder="1" applyFont="1">
      <alignment horizontal="center" vertical="bottom"/>
    </xf>
    <xf borderId="0" fillId="2" fontId="9" numFmtId="0" xfId="0" applyAlignment="1" applyFill="1" applyFont="1">
      <alignment horizontal="center" readingOrder="0" shrinkToFit="0" vertical="bottom" wrapText="0"/>
    </xf>
    <xf borderId="1" fillId="0" fontId="10" numFmtId="0" xfId="0" applyBorder="1" applyFont="1"/>
    <xf borderId="3" fillId="0" fontId="10" numFmtId="0" xfId="0" applyBorder="1" applyFont="1"/>
    <xf borderId="0" fillId="0" fontId="11" numFmtId="0" xfId="0" applyAlignment="1" applyFont="1">
      <alignment readingOrder="0"/>
    </xf>
    <xf borderId="0" fillId="2" fontId="5" numFmtId="0" xfId="0" applyAlignment="1" applyFill="1" applyFont="1">
      <alignment horizontal="center"/>
    </xf>
    <xf borderId="1" fillId="0" fontId="8" numFmtId="0" xfId="0" applyAlignment="1" applyBorder="1" applyFont="1">
      <alignment horizontal="center" vertical="bottom"/>
    </xf>
    <xf borderId="0" fillId="2" fontId="12" numFmtId="0" xfId="0" applyAlignment="1" applyFill="1" applyFont="1">
      <alignment horizontal="center" readingOrder="0" shrinkToFit="0" vertical="bottom" wrapText="0"/>
    </xf>
    <xf borderId="3" fillId="0" fontId="8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5" fillId="0" fontId="10" numFmtId="0" xfId="0" applyBorder="1" applyFont="1"/>
    <xf borderId="0" fillId="0" fontId="6" numFmtId="0" xfId="0" applyAlignment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vertical="center"/>
    </xf>
    <xf borderId="6" fillId="0" fontId="13" numFmtId="0" xfId="0" applyAlignment="1" applyBorder="1" applyFont="1">
      <alignment horizontal="center" readingOrder="0"/>
    </xf>
    <xf borderId="0" fillId="0" fontId="14" numFmtId="0" xfId="0" applyFont="1"/>
    <xf borderId="1" fillId="2" fontId="7" numFmtId="0" xfId="0" applyAlignment="1" applyBorder="1" applyFill="1" applyFont="1">
      <alignment horizontal="center" readingOrder="0" shrinkToFit="0" vertical="bottom" wrapText="0"/>
    </xf>
    <xf borderId="7" fillId="0" fontId="10" numFmtId="0" xfId="0" applyBorder="1" applyFont="1"/>
    <xf borderId="1" fillId="2" fontId="9" numFmtId="0" xfId="0" applyAlignment="1" applyBorder="1" applyFill="1" applyFont="1">
      <alignment horizontal="center" readingOrder="0" shrinkToFit="0" vertical="bottom" wrapText="0"/>
    </xf>
    <xf borderId="1" fillId="2" fontId="12" numFmtId="0" xfId="0" applyAlignment="1" applyBorder="1" applyFill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vertical="bottom"/>
    </xf>
    <xf borderId="8" fillId="0" fontId="13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9" fillId="0" fontId="13" numFmtId="0" xfId="0" applyAlignment="1" applyBorder="1" applyFont="1">
      <alignment horizontal="center" readingOrder="0"/>
    </xf>
    <xf borderId="2" fillId="2" fontId="8" numFmtId="0" xfId="0" applyAlignment="1" applyBorder="1" applyFill="1" applyFont="1">
      <alignment horizontal="center" readingOrder="0" vertical="bottom"/>
    </xf>
    <xf borderId="5" fillId="2" fontId="15" numFmtId="0" xfId="0" applyAlignment="1" applyBorder="1" applyFill="1" applyFont="1">
      <alignment horizontal="center" vertical="bottom"/>
    </xf>
    <xf borderId="1" fillId="2" fontId="8" numFmtId="0" xfId="0" applyAlignment="1" applyBorder="1" applyFill="1" applyFont="1">
      <alignment horizontal="center" readingOrder="0" vertical="bottom"/>
    </xf>
    <xf borderId="0" fillId="2" fontId="15" numFmtId="0" xfId="0" applyAlignment="1" applyFill="1" applyFont="1">
      <alignment horizontal="center"/>
    </xf>
    <xf borderId="0" fillId="2" fontId="4" numFmtId="0" xfId="0" applyAlignment="1" applyFill="1" applyFont="1">
      <alignment horizontal="center" vertical="bottom"/>
    </xf>
    <xf borderId="0" fillId="2" fontId="16" numFmtId="0" xfId="0" applyAlignment="1" applyFill="1" applyFont="1">
      <alignment horizontal="center" vertical="bottom"/>
    </xf>
    <xf borderId="2" fillId="0" fontId="6" numFmtId="0" xfId="0" applyAlignment="1" applyBorder="1" applyFont="1">
      <alignment horizontal="center" readingOrder="0" vertical="bottom"/>
    </xf>
    <xf borderId="0" fillId="2" fontId="11" numFmtId="0" xfId="0" applyAlignment="1" applyFill="1" applyFont="1">
      <alignment horizontal="center"/>
    </xf>
    <xf borderId="1" fillId="0" fontId="6" numFmtId="0" xfId="0" applyAlignment="1" applyBorder="1" applyFont="1">
      <alignment horizontal="center" readingOrder="0" vertical="bottom"/>
    </xf>
    <xf borderId="0" fillId="2" fontId="16" numFmtId="0" xfId="0" applyAlignment="1" applyFill="1" applyFont="1">
      <alignment horizontal="center" readingOrder="0" vertical="bottom"/>
    </xf>
    <xf borderId="3" fillId="0" fontId="6" numFmtId="0" xfId="0" applyAlignment="1" applyBorder="1" applyFont="1">
      <alignment horizontal="center" vertical="bottom"/>
    </xf>
    <xf borderId="0" fillId="2" fontId="4" numFmtId="0" xfId="0" applyAlignment="1" applyFill="1" applyFont="1">
      <alignment horizontal="center" readingOrder="0" vertical="bottom"/>
    </xf>
    <xf borderId="7" fillId="0" fontId="13" numFmtId="0" xfId="0" applyAlignment="1" applyBorder="1" applyFont="1">
      <alignment horizontal="center" readingOrder="0"/>
    </xf>
    <xf borderId="0" fillId="2" fontId="4" numFmtId="0" xfId="0" applyAlignment="1" applyFill="1" applyFont="1">
      <alignment horizontal="center" readingOrder="0" shrinkToFit="0" vertical="bottom" wrapText="0"/>
    </xf>
    <xf borderId="0" fillId="0" fontId="17" numFmtId="0" xfId="0" applyAlignment="1" applyFont="1">
      <alignment horizontal="center"/>
    </xf>
    <xf borderId="1" fillId="0" fontId="7" numFmtId="0" xfId="0" applyAlignment="1" applyBorder="1" applyFont="1">
      <alignment readingOrder="0" shrinkToFit="0" vertical="bottom" wrapText="0"/>
    </xf>
    <xf borderId="1" fillId="2" fontId="4" numFmtId="0" xfId="0" applyAlignment="1" applyBorder="1" applyFill="1" applyFont="1">
      <alignment horizontal="center" vertical="bottom"/>
    </xf>
    <xf borderId="2" fillId="0" fontId="10" numFmtId="0" xfId="0" applyBorder="1" applyFont="1"/>
    <xf borderId="1" fillId="2" fontId="16" numFmtId="0" xfId="0" applyAlignment="1" applyBorder="1" applyFill="1" applyFont="1">
      <alignment horizontal="center" readingOrder="0" vertical="bottom"/>
    </xf>
    <xf borderId="1" fillId="2" fontId="4" numFmtId="0" xfId="0" applyAlignment="1" applyBorder="1" applyFill="1" applyFont="1">
      <alignment horizontal="center" readingOrder="0" vertical="bottom"/>
    </xf>
    <xf borderId="10" fillId="0" fontId="10" numFmtId="0" xfId="0" applyBorder="1" applyFont="1"/>
    <xf borderId="1" fillId="2" fontId="4" numFmtId="0" xfId="0" applyAlignment="1" applyBorder="1" applyFill="1" applyFont="1">
      <alignment horizontal="center" readingOrder="0" shrinkToFit="0" vertical="bottom" wrapText="0"/>
    </xf>
    <xf borderId="0" fillId="3" fontId="17" numFmtId="0" xfId="0" applyAlignment="1" applyFill="1" applyFont="1">
      <alignment horizontal="center" readingOrder="0"/>
    </xf>
    <xf borderId="0" fillId="4" fontId="17" numFmtId="0" xfId="0" applyAlignment="1" applyFill="1" applyFont="1">
      <alignment horizontal="center"/>
    </xf>
    <xf borderId="0" fillId="0" fontId="18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1" fillId="0" fontId="9" numFmtId="0" xfId="0" applyAlignment="1" applyBorder="1" applyFont="1">
      <alignment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/>
    </xf>
    <xf borderId="0" fillId="3" fontId="17" numFmtId="0" xfId="0" applyAlignment="1" applyFill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0" fontId="20" numFmtId="0" xfId="0" applyAlignment="1" applyFont="1">
      <alignment horizontal="center"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</cols>
  <sheetData>
    <row r="1">
      <c r="A1" s="1"/>
      <c r="B1" s="3" t="s">
        <v>1</v>
      </c>
      <c r="C1" s="3" t="s">
        <v>2</v>
      </c>
      <c r="D1" s="3" t="s">
        <v>3</v>
      </c>
      <c r="E1" s="3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5</v>
      </c>
      <c r="B2" s="9">
        <v>0.4479166666666667</v>
      </c>
      <c r="C2" s="9">
        <v>0.40625</v>
      </c>
      <c r="D2" s="9">
        <v>0.3645833333333333</v>
      </c>
      <c r="E2" s="9">
        <v>0.3229166666666667</v>
      </c>
    </row>
    <row r="3">
      <c r="A3" s="3" t="s">
        <v>7</v>
      </c>
      <c r="B3" s="9">
        <v>0.4583333333333333</v>
      </c>
      <c r="C3" s="9">
        <v>0.4166666666666667</v>
      </c>
      <c r="D3" s="9">
        <v>0.375</v>
      </c>
      <c r="E3" s="9">
        <v>0.3333333333333333</v>
      </c>
    </row>
    <row r="4">
      <c r="A4" s="3" t="s">
        <v>8</v>
      </c>
      <c r="B4" s="9">
        <v>0.4791666666666667</v>
      </c>
      <c r="C4" s="9">
        <v>0.4375</v>
      </c>
      <c r="D4" s="9">
        <v>0.3958333333333333</v>
      </c>
      <c r="E4" s="9">
        <v>0.3541666666666667</v>
      </c>
    </row>
    <row r="5">
      <c r="A5" s="3" t="s">
        <v>9</v>
      </c>
      <c r="B5" s="9">
        <v>0.5</v>
      </c>
      <c r="C5" s="9">
        <v>0.4583333333333333</v>
      </c>
      <c r="D5" s="9">
        <v>0.4166666666666667</v>
      </c>
      <c r="E5" s="9">
        <v>0.375</v>
      </c>
      <c r="F5" s="15" t="s">
        <v>10</v>
      </c>
    </row>
    <row r="6">
      <c r="A6" s="3" t="s">
        <v>11</v>
      </c>
      <c r="B6" s="9">
        <v>0.53125</v>
      </c>
      <c r="C6" s="9">
        <v>0.4895833333333333</v>
      </c>
      <c r="D6" s="9">
        <v>0.4479166666666667</v>
      </c>
      <c r="E6" s="9">
        <v>0.40625</v>
      </c>
    </row>
    <row r="7">
      <c r="A7" s="3" t="s">
        <v>12</v>
      </c>
      <c r="B7" s="9">
        <v>0.5520833333333334</v>
      </c>
      <c r="C7" s="9">
        <v>0.5104166666666666</v>
      </c>
      <c r="D7" s="9">
        <v>0.46875</v>
      </c>
      <c r="E7" s="9">
        <v>0.4270833333333333</v>
      </c>
    </row>
    <row r="8">
      <c r="A8" s="3" t="s">
        <v>13</v>
      </c>
      <c r="B8" s="9">
        <v>0.5729166666666666</v>
      </c>
      <c r="C8" s="9">
        <v>0.53125</v>
      </c>
      <c r="D8" s="9">
        <v>0.4895833333333333</v>
      </c>
      <c r="E8" s="9">
        <v>0.4479166666666667</v>
      </c>
    </row>
    <row r="9">
      <c r="A9" s="3" t="s">
        <v>14</v>
      </c>
      <c r="B9" s="9">
        <v>0.6041666666666666</v>
      </c>
      <c r="C9" s="9">
        <v>0.5625</v>
      </c>
      <c r="D9" s="9">
        <v>0.5208333333333334</v>
      </c>
      <c r="E9" s="9">
        <v>0.4791666666666667</v>
      </c>
    </row>
    <row r="10">
      <c r="A10" s="3" t="s">
        <v>17</v>
      </c>
      <c r="B10" s="9">
        <v>0.625</v>
      </c>
      <c r="C10" s="9">
        <v>0.5833333333333334</v>
      </c>
      <c r="D10" s="9">
        <v>0.5416666666666666</v>
      </c>
      <c r="E10" s="9">
        <v>0.5</v>
      </c>
    </row>
    <row r="11">
      <c r="A11" s="3" t="s">
        <v>20</v>
      </c>
      <c r="B11" s="9">
        <v>0.6458333333333334</v>
      </c>
      <c r="C11" s="9">
        <v>0.6041666666666666</v>
      </c>
      <c r="D11" s="9">
        <v>0.5625</v>
      </c>
      <c r="E11" s="9">
        <v>0.5208333333333334</v>
      </c>
    </row>
    <row r="12">
      <c r="A12" s="3" t="s">
        <v>21</v>
      </c>
      <c r="B12" s="9">
        <v>0.6666666666666666</v>
      </c>
      <c r="C12" s="9">
        <v>0.625</v>
      </c>
      <c r="D12" s="9">
        <v>0.5833333333333334</v>
      </c>
      <c r="E12" s="9">
        <v>0.5416666666666666</v>
      </c>
    </row>
    <row r="13">
      <c r="A13" s="3" t="s">
        <v>23</v>
      </c>
      <c r="B13" s="9">
        <v>0.6875</v>
      </c>
      <c r="C13" s="9">
        <v>0.6458333333333334</v>
      </c>
      <c r="D13" s="9">
        <v>0.6041666666666666</v>
      </c>
      <c r="E13" s="9">
        <v>0.5625</v>
      </c>
    </row>
    <row r="14">
      <c r="A14" s="3" t="s">
        <v>24</v>
      </c>
      <c r="B14" s="9">
        <v>0.7083333333333334</v>
      </c>
      <c r="C14" s="9">
        <v>0.6666666666666666</v>
      </c>
      <c r="D14" s="9">
        <v>0.625</v>
      </c>
      <c r="E14" s="9">
        <v>0.5833333333333334</v>
      </c>
    </row>
    <row r="15">
      <c r="A15" s="3" t="s">
        <v>26</v>
      </c>
      <c r="B15" s="9">
        <v>0.7291666666666666</v>
      </c>
      <c r="C15" s="9">
        <v>0.6875</v>
      </c>
      <c r="D15" s="9">
        <v>0.6458333333333334</v>
      </c>
      <c r="E15" s="9">
        <v>0.6041666666666666</v>
      </c>
    </row>
    <row r="16">
      <c r="A16" s="3" t="s">
        <v>27</v>
      </c>
      <c r="B16" s="25" t="s">
        <v>28</v>
      </c>
    </row>
    <row r="17">
      <c r="A17" s="27"/>
    </row>
    <row r="18">
      <c r="A18" s="27"/>
    </row>
    <row r="19">
      <c r="A19" s="27"/>
    </row>
    <row r="20">
      <c r="A20" s="27"/>
    </row>
    <row r="21">
      <c r="A21" s="27"/>
    </row>
    <row r="22">
      <c r="A22" s="27"/>
    </row>
    <row r="23">
      <c r="A23" s="27"/>
    </row>
    <row r="24">
      <c r="A24" s="27"/>
    </row>
    <row r="25">
      <c r="A25" s="27"/>
    </row>
    <row r="26">
      <c r="A26" s="27"/>
    </row>
    <row r="27">
      <c r="A27" s="27"/>
    </row>
    <row r="28">
      <c r="A28" s="27"/>
    </row>
    <row r="29">
      <c r="A29" s="27"/>
    </row>
    <row r="30">
      <c r="A30" s="27"/>
    </row>
    <row r="31">
      <c r="A31" s="27"/>
    </row>
    <row r="32">
      <c r="A32" s="27"/>
    </row>
    <row r="33">
      <c r="A33" s="27"/>
    </row>
    <row r="34">
      <c r="A34" s="27"/>
    </row>
    <row r="35">
      <c r="A35" s="27"/>
    </row>
    <row r="36">
      <c r="A36" s="27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  <row r="46">
      <c r="A46" s="27"/>
    </row>
    <row r="47">
      <c r="A47" s="27"/>
    </row>
    <row r="48">
      <c r="A48" s="27"/>
    </row>
    <row r="49">
      <c r="A49" s="27"/>
    </row>
    <row r="50">
      <c r="A50" s="27"/>
    </row>
    <row r="51">
      <c r="A51" s="27"/>
    </row>
    <row r="52">
      <c r="A52" s="27"/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  <row r="1001">
      <c r="A1001" s="27"/>
    </row>
    <row r="1002">
      <c r="A1002" s="27"/>
    </row>
  </sheetData>
  <mergeCells count="1">
    <mergeCell ref="B16:E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1" t="s">
        <v>6</v>
      </c>
      <c r="B2" s="13"/>
      <c r="C2" s="14"/>
      <c r="D2" s="17" t="s">
        <v>7</v>
      </c>
      <c r="E2" s="14"/>
      <c r="F2" s="17" t="s">
        <v>8</v>
      </c>
      <c r="G2" s="14"/>
      <c r="H2" s="17" t="s">
        <v>9</v>
      </c>
      <c r="I2" s="14"/>
      <c r="J2" s="17" t="s">
        <v>15</v>
      </c>
      <c r="K2" s="19" t="s">
        <v>16</v>
      </c>
      <c r="L2" s="19" t="s">
        <v>18</v>
      </c>
      <c r="M2" s="19" t="s">
        <v>19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0" t="s">
        <v>22</v>
      </c>
      <c r="C3" s="21"/>
      <c r="D3" s="22" t="s">
        <v>25</v>
      </c>
      <c r="E3" s="23">
        <v>76.0</v>
      </c>
      <c r="F3" s="22" t="s">
        <v>25</v>
      </c>
      <c r="G3" s="23">
        <v>102.0</v>
      </c>
      <c r="H3" s="22" t="s">
        <v>25</v>
      </c>
      <c r="I3" s="23">
        <v>90.0</v>
      </c>
      <c r="J3" s="22">
        <v>0.0</v>
      </c>
      <c r="K3" s="23">
        <v>3.0</v>
      </c>
      <c r="L3" s="32">
        <f t="shared" ref="L3:L6" si="1">SUM(E3,G3,I3)</f>
        <v>268</v>
      </c>
      <c r="M3" s="34">
        <v>4.0</v>
      </c>
      <c r="N3" s="35">
        <v>14.0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33</v>
      </c>
      <c r="C4" s="21"/>
      <c r="D4" s="22" t="s">
        <v>34</v>
      </c>
      <c r="E4" s="23">
        <v>118.0</v>
      </c>
      <c r="F4" s="22" t="s">
        <v>25</v>
      </c>
      <c r="G4" s="23">
        <v>72.0</v>
      </c>
      <c r="H4" s="22" t="s">
        <v>25</v>
      </c>
      <c r="I4" s="23">
        <v>40.0</v>
      </c>
      <c r="J4" s="22">
        <v>1.0</v>
      </c>
      <c r="K4" s="23">
        <v>2.0</v>
      </c>
      <c r="L4" s="32">
        <f t="shared" si="1"/>
        <v>230</v>
      </c>
      <c r="M4" s="34">
        <v>3.0</v>
      </c>
      <c r="N4" s="35">
        <v>12.0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0" t="s">
        <v>35</v>
      </c>
      <c r="C5" s="21"/>
      <c r="D5" s="22" t="s">
        <v>34</v>
      </c>
      <c r="E5" s="23">
        <v>194.0</v>
      </c>
      <c r="F5" s="22" t="s">
        <v>34</v>
      </c>
      <c r="G5" s="23">
        <v>152.0</v>
      </c>
      <c r="H5" s="22" t="s">
        <v>34</v>
      </c>
      <c r="I5" s="23">
        <v>132.0</v>
      </c>
      <c r="J5" s="22">
        <v>3.0</v>
      </c>
      <c r="K5" s="23">
        <v>0.0</v>
      </c>
      <c r="L5" s="32">
        <f t="shared" si="1"/>
        <v>478</v>
      </c>
      <c r="M5" s="34">
        <v>1.0</v>
      </c>
      <c r="N5" s="35">
        <v>1.0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3" t="s">
        <v>36</v>
      </c>
      <c r="B6" s="13"/>
      <c r="C6" s="14"/>
      <c r="D6" s="45" t="s">
        <v>25</v>
      </c>
      <c r="E6" s="34">
        <v>40.0</v>
      </c>
      <c r="F6" s="45" t="s">
        <v>34</v>
      </c>
      <c r="G6" s="34">
        <v>170.0</v>
      </c>
      <c r="H6" s="45" t="s">
        <v>34</v>
      </c>
      <c r="I6" s="34">
        <v>138.0</v>
      </c>
      <c r="J6" s="45">
        <v>2.0</v>
      </c>
      <c r="K6" s="34">
        <v>1.0</v>
      </c>
      <c r="L6" s="47">
        <f t="shared" si="1"/>
        <v>348</v>
      </c>
      <c r="M6" s="34">
        <v>2.0</v>
      </c>
      <c r="N6" s="35">
        <v>7.0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2" t="s">
        <v>29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" t="s">
        <v>6</v>
      </c>
      <c r="B10" s="13"/>
      <c r="C10" s="14"/>
      <c r="D10" s="17" t="s">
        <v>7</v>
      </c>
      <c r="E10" s="14"/>
      <c r="F10" s="17" t="s">
        <v>8</v>
      </c>
      <c r="G10" s="14"/>
      <c r="H10" s="17" t="s">
        <v>9</v>
      </c>
      <c r="I10" s="14"/>
      <c r="J10" s="17" t="s">
        <v>15</v>
      </c>
      <c r="K10" s="19" t="s">
        <v>16</v>
      </c>
      <c r="L10" s="19" t="s">
        <v>18</v>
      </c>
      <c r="M10" s="19" t="s">
        <v>19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0" t="s">
        <v>62</v>
      </c>
      <c r="C11" s="21"/>
      <c r="D11" s="22" t="s">
        <v>34</v>
      </c>
      <c r="E11" s="23">
        <v>102.0</v>
      </c>
      <c r="F11" s="22" t="s">
        <v>25</v>
      </c>
      <c r="G11" s="23">
        <v>44.0</v>
      </c>
      <c r="H11" s="22" t="s">
        <v>25</v>
      </c>
      <c r="I11" s="23">
        <v>48.0</v>
      </c>
      <c r="J11" s="22">
        <v>1.0</v>
      </c>
      <c r="K11" s="23">
        <v>2.0</v>
      </c>
      <c r="L11" s="32">
        <f t="shared" ref="L11:L14" si="2">SUM(E11,G11,I11)</f>
        <v>194</v>
      </c>
      <c r="M11" s="34">
        <v>4.0</v>
      </c>
      <c r="N11" s="35">
        <v>13.0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0" t="s">
        <v>43</v>
      </c>
      <c r="C12" s="21"/>
      <c r="D12" s="22" t="s">
        <v>25</v>
      </c>
      <c r="E12" s="23">
        <v>92.0</v>
      </c>
      <c r="F12" s="22" t="s">
        <v>25</v>
      </c>
      <c r="G12" s="23">
        <v>90.0</v>
      </c>
      <c r="H12" s="22" t="s">
        <v>34</v>
      </c>
      <c r="I12" s="23">
        <v>92.0</v>
      </c>
      <c r="J12" s="22">
        <v>1.0</v>
      </c>
      <c r="K12" s="23">
        <v>2.0</v>
      </c>
      <c r="L12" s="32">
        <f t="shared" si="2"/>
        <v>274</v>
      </c>
      <c r="M12" s="34">
        <v>3.0</v>
      </c>
      <c r="N12" s="35">
        <v>11.0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0" t="s">
        <v>54</v>
      </c>
      <c r="C13" s="21"/>
      <c r="D13" s="22" t="s">
        <v>25</v>
      </c>
      <c r="E13" s="23">
        <v>72.0</v>
      </c>
      <c r="F13" s="22" t="s">
        <v>34</v>
      </c>
      <c r="G13" s="23">
        <v>198.0</v>
      </c>
      <c r="H13" s="22" t="s">
        <v>25</v>
      </c>
      <c r="I13" s="23">
        <v>70.0</v>
      </c>
      <c r="J13" s="22">
        <v>1.0</v>
      </c>
      <c r="K13" s="23">
        <v>2.0</v>
      </c>
      <c r="L13" s="32">
        <f t="shared" si="2"/>
        <v>340</v>
      </c>
      <c r="M13" s="34">
        <v>2.0</v>
      </c>
      <c r="N13" s="35">
        <v>10.0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3" t="s">
        <v>55</v>
      </c>
      <c r="B14" s="13"/>
      <c r="C14" s="14"/>
      <c r="D14" s="45" t="s">
        <v>34</v>
      </c>
      <c r="E14" s="34">
        <v>144.0</v>
      </c>
      <c r="F14" s="45" t="s">
        <v>34</v>
      </c>
      <c r="G14" s="34">
        <v>136.0</v>
      </c>
      <c r="H14" s="45" t="s">
        <v>34</v>
      </c>
      <c r="I14" s="34">
        <v>130.0</v>
      </c>
      <c r="J14" s="45">
        <v>3.0</v>
      </c>
      <c r="K14" s="34">
        <v>0.0</v>
      </c>
      <c r="L14" s="47">
        <f t="shared" si="2"/>
        <v>410</v>
      </c>
      <c r="M14" s="34">
        <v>1.0</v>
      </c>
      <c r="N14" s="35">
        <v>2.0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3" t="s">
        <v>30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 t="s">
        <v>6</v>
      </c>
      <c r="B18" s="13"/>
      <c r="C18" s="14"/>
      <c r="D18" s="17" t="s">
        <v>7</v>
      </c>
      <c r="E18" s="14"/>
      <c r="F18" s="17" t="s">
        <v>8</v>
      </c>
      <c r="G18" s="14"/>
      <c r="H18" s="17" t="s">
        <v>9</v>
      </c>
      <c r="I18" s="14"/>
      <c r="J18" s="17" t="s">
        <v>15</v>
      </c>
      <c r="K18" s="19" t="s">
        <v>16</v>
      </c>
      <c r="L18" s="19" t="s">
        <v>18</v>
      </c>
      <c r="M18" s="19" t="s">
        <v>19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0" t="s">
        <v>45</v>
      </c>
      <c r="C19" s="21"/>
      <c r="D19" s="22" t="s">
        <v>25</v>
      </c>
      <c r="E19" s="23">
        <v>82.0</v>
      </c>
      <c r="F19" s="22" t="s">
        <v>34</v>
      </c>
      <c r="G19" s="23">
        <v>156.0</v>
      </c>
      <c r="H19" s="22" t="s">
        <v>34</v>
      </c>
      <c r="I19" s="23" t="s">
        <v>68</v>
      </c>
      <c r="J19" s="22">
        <v>2.0</v>
      </c>
      <c r="K19" s="23">
        <v>1.0</v>
      </c>
      <c r="L19" s="32">
        <f>156+82+(156+82)/2</f>
        <v>357</v>
      </c>
      <c r="M19" s="34">
        <v>2.0</v>
      </c>
      <c r="N19" s="35">
        <v>6.0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0" t="s">
        <v>57</v>
      </c>
      <c r="C20" s="21"/>
      <c r="D20" s="22" t="s">
        <v>34</v>
      </c>
      <c r="E20" s="23" t="s">
        <v>68</v>
      </c>
      <c r="F20" s="22" t="s">
        <v>25</v>
      </c>
      <c r="G20" s="23">
        <v>100.0</v>
      </c>
      <c r="H20" s="22" t="s">
        <v>25</v>
      </c>
      <c r="I20" s="23">
        <v>94.0</v>
      </c>
      <c r="J20" s="22">
        <v>1.0</v>
      </c>
      <c r="K20" s="23">
        <v>2.0</v>
      </c>
      <c r="L20" s="32">
        <f>SUM(G20,I20)+(100+94)/2</f>
        <v>291</v>
      </c>
      <c r="M20" s="34">
        <v>3.0</v>
      </c>
      <c r="N20" s="35">
        <v>8.0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0" t="s">
        <v>46</v>
      </c>
      <c r="C21" s="21"/>
      <c r="D21" s="22" t="s">
        <v>34</v>
      </c>
      <c r="E21" s="23">
        <v>136.0</v>
      </c>
      <c r="F21" s="22" t="s">
        <v>34</v>
      </c>
      <c r="G21" s="23" t="s">
        <v>68</v>
      </c>
      <c r="H21" s="22" t="s">
        <v>34</v>
      </c>
      <c r="I21" s="23">
        <v>96.0</v>
      </c>
      <c r="J21" s="22">
        <v>3.0</v>
      </c>
      <c r="K21" s="23">
        <v>0.0</v>
      </c>
      <c r="L21" s="32">
        <f>SUM(E21,I21)+(136+92)/2</f>
        <v>346</v>
      </c>
      <c r="M21" s="34">
        <v>1.0</v>
      </c>
      <c r="N21" s="35">
        <v>5.0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7" t="s">
        <v>58</v>
      </c>
      <c r="B22" s="13"/>
      <c r="C22" s="14"/>
      <c r="D22" s="68"/>
      <c r="E22" s="47"/>
      <c r="F22" s="68"/>
      <c r="G22" s="47"/>
      <c r="H22" s="68"/>
      <c r="I22" s="47"/>
      <c r="J22" s="68"/>
      <c r="K22" s="47"/>
      <c r="L22" s="47">
        <f>SUM(E22,G22,I22)</f>
        <v>0</v>
      </c>
      <c r="M22" s="4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0" t="s">
        <v>31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1" t="s">
        <v>6</v>
      </c>
      <c r="B26" s="13"/>
      <c r="C26" s="14"/>
      <c r="D26" s="17" t="s">
        <v>7</v>
      </c>
      <c r="E26" s="14"/>
      <c r="F26" s="17" t="s">
        <v>8</v>
      </c>
      <c r="G26" s="14"/>
      <c r="H26" s="17" t="s">
        <v>9</v>
      </c>
      <c r="I26" s="14"/>
      <c r="J26" s="17" t="s">
        <v>15</v>
      </c>
      <c r="K26" s="19" t="s">
        <v>16</v>
      </c>
      <c r="L26" s="19" t="s">
        <v>18</v>
      </c>
      <c r="M26" s="19" t="s">
        <v>19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0" t="s">
        <v>48</v>
      </c>
      <c r="C27" s="21"/>
      <c r="D27" s="22" t="s">
        <v>34</v>
      </c>
      <c r="E27" s="23">
        <v>242.0</v>
      </c>
      <c r="F27" s="22" t="s">
        <v>25</v>
      </c>
      <c r="G27" s="23">
        <v>88.0</v>
      </c>
      <c r="H27" s="22" t="s">
        <v>25</v>
      </c>
      <c r="I27" s="23">
        <v>120.0</v>
      </c>
      <c r="J27" s="22">
        <v>1.0</v>
      </c>
      <c r="K27" s="23">
        <v>2.0</v>
      </c>
      <c r="L27" s="32">
        <f t="shared" ref="L27:L30" si="3">SUM(E27,G27,I27)</f>
        <v>450</v>
      </c>
      <c r="M27" s="34">
        <v>3.0</v>
      </c>
      <c r="N27" s="35">
        <v>9.0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0" t="s">
        <v>49</v>
      </c>
      <c r="C28" s="21"/>
      <c r="D28" s="22" t="s">
        <v>25</v>
      </c>
      <c r="E28" s="23">
        <v>46.0</v>
      </c>
      <c r="F28" s="22" t="s">
        <v>25</v>
      </c>
      <c r="G28" s="23">
        <v>80.0</v>
      </c>
      <c r="H28" s="22" t="s">
        <v>25</v>
      </c>
      <c r="I28" s="23">
        <v>74.0</v>
      </c>
      <c r="J28" s="22">
        <v>0.0</v>
      </c>
      <c r="K28" s="23">
        <v>3.0</v>
      </c>
      <c r="L28" s="32">
        <f t="shared" si="3"/>
        <v>200</v>
      </c>
      <c r="M28" s="34">
        <v>4.0</v>
      </c>
      <c r="N28" s="35">
        <v>15.0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2" t="s">
        <v>60</v>
      </c>
      <c r="C29" s="21"/>
      <c r="D29" s="22" t="s">
        <v>25</v>
      </c>
      <c r="E29" s="23">
        <v>124.0</v>
      </c>
      <c r="F29" s="22" t="s">
        <v>34</v>
      </c>
      <c r="G29" s="23">
        <v>154.0</v>
      </c>
      <c r="H29" s="22" t="s">
        <v>34</v>
      </c>
      <c r="I29" s="23">
        <v>132.0</v>
      </c>
      <c r="J29" s="22">
        <v>2.0</v>
      </c>
      <c r="K29" s="23">
        <v>1.0</v>
      </c>
      <c r="L29" s="32">
        <f t="shared" si="3"/>
        <v>410</v>
      </c>
      <c r="M29" s="34">
        <v>2.0</v>
      </c>
      <c r="N29" s="35">
        <v>4.0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3" t="s">
        <v>61</v>
      </c>
      <c r="B30" s="13"/>
      <c r="C30" s="14"/>
      <c r="D30" s="45" t="s">
        <v>34</v>
      </c>
      <c r="E30" s="34">
        <v>142.0</v>
      </c>
      <c r="F30" s="45" t="s">
        <v>34</v>
      </c>
      <c r="G30" s="34">
        <v>116.0</v>
      </c>
      <c r="H30" s="45" t="s">
        <v>34</v>
      </c>
      <c r="I30" s="34">
        <v>142.0</v>
      </c>
      <c r="J30" s="45">
        <v>3.0</v>
      </c>
      <c r="K30" s="34">
        <v>0.0</v>
      </c>
      <c r="L30" s="47">
        <f t="shared" si="3"/>
        <v>400</v>
      </c>
      <c r="M30" s="34">
        <v>1.0</v>
      </c>
      <c r="N30" s="35">
        <v>3.0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</sheetData>
  <mergeCells count="32">
    <mergeCell ref="A2:C2"/>
    <mergeCell ref="D2:E2"/>
    <mergeCell ref="F2:G2"/>
    <mergeCell ref="H2:I2"/>
    <mergeCell ref="A3:C3"/>
    <mergeCell ref="A4:C4"/>
    <mergeCell ref="A5:C5"/>
    <mergeCell ref="A6:C6"/>
    <mergeCell ref="A10:C10"/>
    <mergeCell ref="D10:E10"/>
    <mergeCell ref="F10:G10"/>
    <mergeCell ref="H10:I10"/>
    <mergeCell ref="A11:C11"/>
    <mergeCell ref="A12:C12"/>
    <mergeCell ref="A13:C13"/>
    <mergeCell ref="A14:C14"/>
    <mergeCell ref="A18:C18"/>
    <mergeCell ref="D18:E18"/>
    <mergeCell ref="F18:G18"/>
    <mergeCell ref="H18:I18"/>
    <mergeCell ref="A19:C19"/>
    <mergeCell ref="A27:C27"/>
    <mergeCell ref="A28:C28"/>
    <mergeCell ref="A29:C29"/>
    <mergeCell ref="A30:C30"/>
    <mergeCell ref="A20:C20"/>
    <mergeCell ref="A21:C21"/>
    <mergeCell ref="A22:C22"/>
    <mergeCell ref="A26:C26"/>
    <mergeCell ref="D26:E26"/>
    <mergeCell ref="F26:G26"/>
    <mergeCell ref="H26:I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5"/>
      <c r="D1" s="8"/>
      <c r="E1" s="10"/>
      <c r="F1" s="10"/>
      <c r="G1" s="10"/>
      <c r="H1" s="8"/>
      <c r="I1" s="12"/>
      <c r="J1" s="12"/>
      <c r="K1" s="12"/>
      <c r="L1" s="16"/>
      <c r="M1" s="18"/>
      <c r="N1" s="18"/>
      <c r="O1" s="18"/>
      <c r="P1" s="16"/>
      <c r="Q1" s="16"/>
      <c r="R1" s="16"/>
      <c r="S1" s="16"/>
      <c r="T1" s="16"/>
      <c r="U1" s="16"/>
      <c r="V1" s="16"/>
      <c r="W1" s="16"/>
    </row>
    <row r="2">
      <c r="A2" s="5"/>
      <c r="B2" s="5"/>
      <c r="C2" s="5"/>
      <c r="D2" s="8"/>
      <c r="E2" s="10"/>
      <c r="F2" s="10"/>
      <c r="G2" s="10"/>
      <c r="H2" s="8"/>
      <c r="I2" s="12"/>
      <c r="J2" s="12"/>
      <c r="K2" s="12"/>
      <c r="L2" s="16"/>
      <c r="M2" s="18"/>
      <c r="N2" s="18"/>
      <c r="O2" s="18"/>
      <c r="P2" s="16"/>
      <c r="Q2" s="16"/>
      <c r="R2" s="16"/>
      <c r="S2" s="16"/>
      <c r="T2" s="16"/>
      <c r="U2" s="16"/>
      <c r="V2" s="16"/>
      <c r="W2" s="16"/>
    </row>
    <row r="3">
      <c r="A3" s="24" t="s">
        <v>0</v>
      </c>
      <c r="B3" s="13"/>
      <c r="C3" s="13"/>
      <c r="D3" s="8"/>
      <c r="E3" s="28" t="s">
        <v>29</v>
      </c>
      <c r="F3" s="13"/>
      <c r="G3" s="13"/>
      <c r="H3" s="8"/>
      <c r="I3" s="30" t="s">
        <v>30</v>
      </c>
      <c r="J3" s="13"/>
      <c r="K3" s="13"/>
      <c r="L3" s="16"/>
      <c r="M3" s="31" t="s">
        <v>31</v>
      </c>
      <c r="N3" s="13"/>
      <c r="O3" s="13"/>
      <c r="P3" s="16"/>
      <c r="Q3" s="16"/>
      <c r="R3" s="16"/>
      <c r="S3" s="16"/>
      <c r="T3" s="16"/>
      <c r="U3" s="16"/>
      <c r="V3" s="16"/>
      <c r="W3" s="16"/>
    </row>
    <row r="4">
      <c r="A4" s="37" t="s">
        <v>32</v>
      </c>
      <c r="B4" s="13"/>
      <c r="C4" s="14"/>
      <c r="D4" s="38"/>
      <c r="E4" s="39" t="s">
        <v>32</v>
      </c>
      <c r="F4" s="13"/>
      <c r="G4" s="14"/>
      <c r="H4" s="38"/>
      <c r="I4" s="39" t="s">
        <v>32</v>
      </c>
      <c r="J4" s="13"/>
      <c r="K4" s="14"/>
      <c r="L4" s="40"/>
      <c r="M4" s="37" t="s">
        <v>32</v>
      </c>
      <c r="N4" s="13"/>
      <c r="O4" s="14"/>
      <c r="P4" s="40"/>
      <c r="Q4" s="40"/>
      <c r="R4" s="40"/>
      <c r="S4" s="40"/>
      <c r="T4" s="40"/>
      <c r="U4" s="40"/>
      <c r="V4" s="40"/>
      <c r="W4" s="40"/>
    </row>
    <row r="5">
      <c r="A5" s="41"/>
      <c r="B5" s="42" t="s">
        <v>37</v>
      </c>
      <c r="C5" s="42" t="s">
        <v>38</v>
      </c>
      <c r="D5" s="41"/>
      <c r="E5" s="41"/>
      <c r="F5" s="42" t="s">
        <v>37</v>
      </c>
      <c r="G5" s="42" t="s">
        <v>38</v>
      </c>
      <c r="H5" s="41"/>
      <c r="I5" s="41"/>
      <c r="J5" s="42" t="s">
        <v>37</v>
      </c>
      <c r="K5" s="42" t="s">
        <v>38</v>
      </c>
      <c r="L5" s="44"/>
      <c r="M5" s="41"/>
      <c r="N5" s="42" t="s">
        <v>37</v>
      </c>
      <c r="O5" s="42" t="s">
        <v>38</v>
      </c>
      <c r="P5" s="44"/>
      <c r="Q5" s="44"/>
      <c r="R5" s="44"/>
      <c r="S5" s="44"/>
      <c r="T5" s="44"/>
      <c r="U5" s="44"/>
      <c r="V5" s="44"/>
      <c r="W5" s="44"/>
    </row>
    <row r="6">
      <c r="A6" s="46" t="s">
        <v>39</v>
      </c>
      <c r="B6" s="48" t="s">
        <v>22</v>
      </c>
      <c r="C6" s="48" t="s">
        <v>33</v>
      </c>
      <c r="D6" s="42"/>
      <c r="E6" s="46" t="s">
        <v>41</v>
      </c>
      <c r="F6" s="48" t="s">
        <v>42</v>
      </c>
      <c r="G6" s="48" t="s">
        <v>43</v>
      </c>
      <c r="H6" s="46"/>
      <c r="I6" s="46" t="s">
        <v>44</v>
      </c>
      <c r="J6" s="48" t="s">
        <v>45</v>
      </c>
      <c r="K6" s="48" t="s">
        <v>46</v>
      </c>
      <c r="L6" s="44"/>
      <c r="M6" s="46" t="s">
        <v>47</v>
      </c>
      <c r="N6" s="48" t="s">
        <v>48</v>
      </c>
      <c r="O6" s="48" t="s">
        <v>49</v>
      </c>
      <c r="P6" s="44"/>
      <c r="Q6" s="44"/>
      <c r="R6" s="44"/>
      <c r="S6" s="44"/>
      <c r="T6" s="44"/>
      <c r="U6" s="44"/>
      <c r="V6" s="44"/>
      <c r="W6" s="44"/>
    </row>
    <row r="7">
      <c r="A7" s="46" t="s">
        <v>50</v>
      </c>
      <c r="B7" s="48" t="s">
        <v>51</v>
      </c>
      <c r="C7" s="50" t="s">
        <v>52</v>
      </c>
      <c r="D7" s="42"/>
      <c r="E7" s="46" t="s">
        <v>53</v>
      </c>
      <c r="F7" s="48" t="s">
        <v>54</v>
      </c>
      <c r="G7" s="48" t="s">
        <v>55</v>
      </c>
      <c r="H7" s="46"/>
      <c r="I7" s="46" t="s">
        <v>56</v>
      </c>
      <c r="J7" s="48" t="s">
        <v>57</v>
      </c>
      <c r="K7" s="48" t="s">
        <v>58</v>
      </c>
      <c r="L7" s="44"/>
      <c r="M7" s="46" t="s">
        <v>59</v>
      </c>
      <c r="N7" s="48" t="s">
        <v>60</v>
      </c>
      <c r="O7" s="48" t="s">
        <v>61</v>
      </c>
      <c r="P7" s="44"/>
      <c r="Q7" s="44"/>
      <c r="R7" s="44"/>
      <c r="S7" s="44"/>
      <c r="T7" s="44"/>
      <c r="U7" s="44"/>
      <c r="V7" s="44"/>
      <c r="W7" s="44"/>
    </row>
    <row r="8">
      <c r="A8" s="53"/>
      <c r="B8" s="53"/>
      <c r="C8" s="53"/>
      <c r="D8" s="41"/>
      <c r="E8" s="53"/>
      <c r="F8" s="53"/>
      <c r="G8" s="53"/>
      <c r="H8" s="41"/>
      <c r="I8" s="55"/>
      <c r="J8" s="56"/>
      <c r="K8" s="58"/>
      <c r="L8" s="44"/>
      <c r="M8" s="53"/>
      <c r="N8" s="53"/>
      <c r="O8" s="53"/>
      <c r="P8" s="44"/>
      <c r="Q8" s="44"/>
      <c r="R8" s="44"/>
      <c r="S8" s="44"/>
      <c r="T8" s="44"/>
      <c r="U8" s="44"/>
      <c r="V8" s="44"/>
      <c r="W8" s="44"/>
    </row>
    <row r="9">
      <c r="A9" s="37" t="s">
        <v>63</v>
      </c>
      <c r="B9" s="13"/>
      <c r="C9" s="14"/>
      <c r="D9" s="38"/>
      <c r="E9" s="39" t="s">
        <v>63</v>
      </c>
      <c r="F9" s="13"/>
      <c r="G9" s="14"/>
      <c r="H9" s="38"/>
      <c r="I9" s="39" t="s">
        <v>63</v>
      </c>
      <c r="J9" s="13"/>
      <c r="K9" s="14"/>
      <c r="L9" s="40"/>
      <c r="M9" s="37" t="s">
        <v>63</v>
      </c>
      <c r="N9" s="13"/>
      <c r="O9" s="14"/>
      <c r="P9" s="40"/>
      <c r="Q9" s="40"/>
      <c r="R9" s="40"/>
      <c r="S9" s="40"/>
      <c r="T9" s="40"/>
      <c r="U9" s="40"/>
      <c r="V9" s="40"/>
      <c r="W9" s="40"/>
    </row>
    <row r="10">
      <c r="A10" s="41"/>
      <c r="B10" s="42" t="s">
        <v>37</v>
      </c>
      <c r="C10" s="42" t="s">
        <v>38</v>
      </c>
      <c r="D10" s="41"/>
      <c r="E10" s="41"/>
      <c r="F10" s="42" t="s">
        <v>37</v>
      </c>
      <c r="G10" s="42" t="s">
        <v>38</v>
      </c>
      <c r="H10" s="41"/>
      <c r="I10" s="41"/>
      <c r="J10" s="42" t="s">
        <v>37</v>
      </c>
      <c r="K10" s="42" t="s">
        <v>38</v>
      </c>
      <c r="L10" s="44"/>
      <c r="M10" s="41"/>
      <c r="N10" s="42" t="s">
        <v>37</v>
      </c>
      <c r="O10" s="42" t="s">
        <v>38</v>
      </c>
      <c r="P10" s="44"/>
      <c r="Q10" s="44"/>
      <c r="R10" s="44"/>
      <c r="S10" s="44"/>
      <c r="T10" s="44"/>
      <c r="U10" s="44"/>
      <c r="V10" s="44"/>
      <c r="W10" s="44"/>
    </row>
    <row r="11">
      <c r="A11" s="46" t="s">
        <v>39</v>
      </c>
      <c r="B11" s="48" t="s">
        <v>22</v>
      </c>
      <c r="C11" s="48" t="s">
        <v>51</v>
      </c>
      <c r="D11" s="42"/>
      <c r="E11" s="46" t="s">
        <v>41</v>
      </c>
      <c r="F11" s="48" t="s">
        <v>42</v>
      </c>
      <c r="G11" s="48" t="s">
        <v>54</v>
      </c>
      <c r="H11" s="46"/>
      <c r="I11" s="46" t="s">
        <v>44</v>
      </c>
      <c r="J11" s="48" t="s">
        <v>45</v>
      </c>
      <c r="K11" s="50" t="s">
        <v>57</v>
      </c>
      <c r="L11" s="44"/>
      <c r="M11" s="46" t="s">
        <v>47</v>
      </c>
      <c r="N11" s="48" t="s">
        <v>48</v>
      </c>
      <c r="O11" s="48" t="s">
        <v>60</v>
      </c>
      <c r="P11" s="44"/>
      <c r="Q11" s="44"/>
      <c r="R11" s="44"/>
      <c r="S11" s="44"/>
      <c r="T11" s="44"/>
      <c r="U11" s="44"/>
      <c r="V11" s="44"/>
      <c r="W11" s="44"/>
    </row>
    <row r="12">
      <c r="A12" s="46" t="s">
        <v>50</v>
      </c>
      <c r="B12" s="48" t="s">
        <v>33</v>
      </c>
      <c r="C12" s="50" t="s">
        <v>52</v>
      </c>
      <c r="D12" s="42"/>
      <c r="E12" s="46" t="s">
        <v>53</v>
      </c>
      <c r="F12" s="48" t="s">
        <v>43</v>
      </c>
      <c r="G12" s="48" t="s">
        <v>55</v>
      </c>
      <c r="H12" s="46"/>
      <c r="I12" s="46" t="s">
        <v>56</v>
      </c>
      <c r="J12" s="48" t="s">
        <v>46</v>
      </c>
      <c r="K12" s="48" t="s">
        <v>58</v>
      </c>
      <c r="L12" s="44"/>
      <c r="M12" s="46" t="s">
        <v>59</v>
      </c>
      <c r="N12" s="48" t="s">
        <v>49</v>
      </c>
      <c r="O12" s="48" t="s">
        <v>61</v>
      </c>
      <c r="P12" s="44"/>
      <c r="Q12" s="44"/>
      <c r="R12" s="44"/>
      <c r="S12" s="44"/>
      <c r="T12" s="44"/>
      <c r="U12" s="44"/>
      <c r="V12" s="44"/>
      <c r="W12" s="44"/>
    </row>
    <row r="13">
      <c r="A13" s="53"/>
      <c r="B13" s="53"/>
      <c r="C13" s="53"/>
      <c r="D13" s="41"/>
      <c r="E13" s="53"/>
      <c r="F13" s="53"/>
      <c r="G13" s="53"/>
      <c r="H13" s="41"/>
      <c r="I13" s="55"/>
      <c r="J13" s="56"/>
      <c r="K13" s="56"/>
      <c r="L13" s="44"/>
      <c r="M13" s="53"/>
      <c r="N13" s="53"/>
      <c r="O13" s="53"/>
      <c r="P13" s="44"/>
      <c r="Q13" s="44"/>
      <c r="R13" s="44"/>
      <c r="S13" s="44"/>
      <c r="T13" s="44"/>
      <c r="U13" s="44"/>
      <c r="V13" s="44"/>
      <c r="W13" s="44"/>
    </row>
    <row r="14">
      <c r="A14" s="37" t="s">
        <v>66</v>
      </c>
      <c r="B14" s="13"/>
      <c r="C14" s="14"/>
      <c r="D14" s="38"/>
      <c r="E14" s="39" t="s">
        <v>66</v>
      </c>
      <c r="F14" s="13"/>
      <c r="G14" s="14"/>
      <c r="H14" s="38"/>
      <c r="I14" s="39" t="s">
        <v>66</v>
      </c>
      <c r="J14" s="13"/>
      <c r="K14" s="14"/>
      <c r="L14" s="40"/>
      <c r="M14" s="37" t="s">
        <v>66</v>
      </c>
      <c r="N14" s="13"/>
      <c r="O14" s="14"/>
      <c r="P14" s="40"/>
      <c r="Q14" s="40"/>
      <c r="R14" s="40"/>
      <c r="S14" s="40"/>
      <c r="T14" s="40"/>
      <c r="U14" s="40"/>
      <c r="V14" s="40"/>
      <c r="W14" s="40"/>
    </row>
    <row r="15">
      <c r="A15" s="41"/>
      <c r="B15" s="42" t="s">
        <v>37</v>
      </c>
      <c r="C15" s="42" t="s">
        <v>38</v>
      </c>
      <c r="D15" s="41"/>
      <c r="E15" s="41"/>
      <c r="F15" s="42" t="s">
        <v>37</v>
      </c>
      <c r="G15" s="42" t="s">
        <v>38</v>
      </c>
      <c r="H15" s="41"/>
      <c r="I15" s="41"/>
      <c r="J15" s="42" t="s">
        <v>37</v>
      </c>
      <c r="K15" s="42" t="s">
        <v>38</v>
      </c>
      <c r="L15" s="44"/>
      <c r="M15" s="41"/>
      <c r="N15" s="42" t="s">
        <v>37</v>
      </c>
      <c r="O15" s="42" t="s">
        <v>38</v>
      </c>
      <c r="P15" s="44"/>
      <c r="Q15" s="44"/>
      <c r="R15" s="44"/>
      <c r="S15" s="44"/>
      <c r="T15" s="44"/>
      <c r="U15" s="44"/>
      <c r="V15" s="44"/>
      <c r="W15" s="44"/>
    </row>
    <row r="16">
      <c r="A16" s="46" t="s">
        <v>39</v>
      </c>
      <c r="B16" s="48" t="s">
        <v>22</v>
      </c>
      <c r="C16" s="50" t="s">
        <v>52</v>
      </c>
      <c r="D16" s="42"/>
      <c r="E16" s="46" t="s">
        <v>41</v>
      </c>
      <c r="F16" s="48" t="s">
        <v>42</v>
      </c>
      <c r="G16" s="48" t="s">
        <v>55</v>
      </c>
      <c r="H16" s="46"/>
      <c r="I16" s="46" t="s">
        <v>44</v>
      </c>
      <c r="J16" s="48" t="s">
        <v>46</v>
      </c>
      <c r="K16" s="48" t="s">
        <v>57</v>
      </c>
      <c r="L16" s="44"/>
      <c r="M16" s="46" t="s">
        <v>47</v>
      </c>
      <c r="N16" s="48" t="s">
        <v>48</v>
      </c>
      <c r="O16" s="48" t="s">
        <v>61</v>
      </c>
      <c r="P16" s="44"/>
      <c r="Q16" s="44"/>
      <c r="R16" s="44"/>
      <c r="S16" s="44"/>
      <c r="T16" s="44"/>
      <c r="U16" s="44"/>
      <c r="V16" s="44"/>
      <c r="W16" s="44"/>
    </row>
    <row r="17">
      <c r="A17" s="46" t="s">
        <v>50</v>
      </c>
      <c r="B17" s="48" t="s">
        <v>33</v>
      </c>
      <c r="C17" s="48" t="s">
        <v>51</v>
      </c>
      <c r="D17" s="42"/>
      <c r="E17" s="46" t="s">
        <v>53</v>
      </c>
      <c r="F17" s="48" t="s">
        <v>43</v>
      </c>
      <c r="G17" s="48" t="s">
        <v>54</v>
      </c>
      <c r="H17" s="46"/>
      <c r="I17" s="46" t="s">
        <v>56</v>
      </c>
      <c r="J17" s="65" t="s">
        <v>45</v>
      </c>
      <c r="K17" s="65" t="s">
        <v>58</v>
      </c>
      <c r="L17" s="44"/>
      <c r="M17" s="46" t="s">
        <v>59</v>
      </c>
      <c r="N17" s="48" t="s">
        <v>49</v>
      </c>
      <c r="O17" s="48" t="s">
        <v>60</v>
      </c>
      <c r="P17" s="44"/>
      <c r="Q17" s="44"/>
      <c r="R17" s="44"/>
      <c r="S17" s="44"/>
      <c r="T17" s="44"/>
      <c r="U17" s="44"/>
      <c r="V17" s="44"/>
      <c r="W17" s="44"/>
    </row>
    <row r="18">
      <c r="A18" s="41"/>
      <c r="B18" s="41"/>
      <c r="C18" s="41"/>
      <c r="D18" s="41"/>
      <c r="E18" s="41"/>
      <c r="F18" s="41"/>
      <c r="G18" s="41"/>
      <c r="H18" s="41"/>
      <c r="I18" s="46"/>
      <c r="J18" s="48"/>
      <c r="K18" s="50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</row>
    <row r="21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</row>
    <row r="22"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</row>
    <row r="23"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</row>
    <row r="24"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</row>
    <row r="25"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</row>
    <row r="26"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</row>
    <row r="27"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</row>
    <row r="28"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</row>
    <row r="29"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</row>
    <row r="31"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</row>
    <row r="32"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</row>
    <row r="33"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</row>
    <row r="34"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</row>
    <row r="35"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</row>
    <row r="36"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</row>
    <row r="37"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</row>
  </sheetData>
  <mergeCells count="16">
    <mergeCell ref="A3:C3"/>
    <mergeCell ref="E3:G3"/>
    <mergeCell ref="I3:K3"/>
    <mergeCell ref="M3:O3"/>
    <mergeCell ref="E4:G4"/>
    <mergeCell ref="I4:K4"/>
    <mergeCell ref="M4:O4"/>
    <mergeCell ref="I14:K14"/>
    <mergeCell ref="M14:O14"/>
    <mergeCell ref="A4:C4"/>
    <mergeCell ref="A9:C9"/>
    <mergeCell ref="E9:G9"/>
    <mergeCell ref="I9:K9"/>
    <mergeCell ref="M9:O9"/>
    <mergeCell ref="A14:C14"/>
    <mergeCell ref="E14:G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5"/>
    <col customWidth="1" min="2" max="2" width="3.25"/>
    <col customWidth="1" min="3" max="3" width="18.75"/>
    <col customWidth="1" min="4" max="4" width="3.25"/>
    <col customWidth="1" min="5" max="5" width="8.25"/>
    <col customWidth="1" min="6" max="6" width="18.75"/>
    <col customWidth="1" min="7" max="7" width="3.25"/>
    <col customWidth="1" min="8" max="8" width="18.75"/>
    <col customWidth="1" min="9" max="9" width="3.25"/>
    <col customWidth="1" min="10" max="10" width="18.63"/>
    <col customWidth="1" min="11" max="11" width="3.25"/>
    <col customWidth="1" min="12" max="12" width="18.75"/>
    <col customWidth="1" min="13" max="13" width="3.25"/>
    <col customWidth="1" min="14" max="14" width="18.75"/>
    <col customWidth="1" min="15" max="15" width="3.25"/>
    <col customWidth="1" min="16" max="16" width="18.63"/>
    <col customWidth="1" min="17" max="19" width="4.38"/>
    <col customWidth="1" min="20" max="20" width="19.5"/>
  </cols>
  <sheetData>
    <row r="1">
      <c r="A1" s="26" t="s">
        <v>11</v>
      </c>
      <c r="B1" s="29"/>
      <c r="C1" s="26" t="s">
        <v>12</v>
      </c>
      <c r="D1" s="29"/>
      <c r="E1" s="33" t="s">
        <v>13</v>
      </c>
      <c r="F1" s="36" t="s">
        <v>14</v>
      </c>
      <c r="G1" s="29"/>
      <c r="H1" s="26" t="s">
        <v>17</v>
      </c>
      <c r="I1" s="29"/>
      <c r="J1" s="26" t="s">
        <v>20</v>
      </c>
      <c r="K1" s="29"/>
      <c r="L1" s="26" t="s">
        <v>21</v>
      </c>
      <c r="M1" s="29"/>
      <c r="N1" s="26" t="s">
        <v>23</v>
      </c>
      <c r="O1" s="29"/>
      <c r="P1" s="33" t="s">
        <v>40</v>
      </c>
      <c r="Q1" s="49">
        <v>1.0</v>
      </c>
      <c r="R1" s="33"/>
      <c r="S1" s="49">
        <v>2.0</v>
      </c>
      <c r="T1" s="51"/>
      <c r="U1" s="51"/>
      <c r="V1" s="51"/>
      <c r="W1" s="51"/>
      <c r="X1" s="51"/>
    </row>
    <row r="2">
      <c r="A2" s="54"/>
      <c r="B2" s="14"/>
      <c r="C2" s="54"/>
      <c r="D2" s="14"/>
      <c r="E2" s="57"/>
      <c r="F2" s="13"/>
      <c r="G2" s="14"/>
      <c r="H2" s="54"/>
      <c r="I2" s="14"/>
      <c r="J2" s="54"/>
      <c r="K2" s="14"/>
      <c r="L2" s="54"/>
      <c r="M2" s="14"/>
      <c r="N2" s="54"/>
      <c r="O2" s="14"/>
      <c r="P2" s="57"/>
      <c r="Q2" s="14"/>
      <c r="R2" s="57"/>
      <c r="S2" s="14"/>
      <c r="T2" s="51"/>
      <c r="U2" s="51"/>
      <c r="V2" s="51"/>
      <c r="W2" s="51"/>
      <c r="X2" s="51"/>
    </row>
    <row r="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>
      <c r="A4" s="59" t="s">
        <v>51</v>
      </c>
      <c r="B4" s="60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>
      <c r="A5" s="61" t="s">
        <v>64</v>
      </c>
      <c r="C5" s="59" t="s">
        <v>51</v>
      </c>
      <c r="D5" s="60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>
      <c r="A6" s="59" t="s">
        <v>65</v>
      </c>
      <c r="C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>
      <c r="A7" s="51"/>
      <c r="B7" s="51"/>
      <c r="C7" s="61" t="s">
        <v>64</v>
      </c>
      <c r="E7" s="51"/>
      <c r="F7" s="59" t="s">
        <v>65</v>
      </c>
      <c r="H7" s="59" t="s">
        <v>51</v>
      </c>
      <c r="I7" s="60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>
      <c r="A8" s="59" t="s">
        <v>57</v>
      </c>
      <c r="B8" s="60"/>
      <c r="C8" s="51"/>
      <c r="E8" s="51"/>
      <c r="F8" s="51"/>
      <c r="G8" s="62"/>
      <c r="H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>
      <c r="A9" s="61" t="s">
        <v>67</v>
      </c>
      <c r="C9" s="59" t="s">
        <v>48</v>
      </c>
      <c r="E9" s="51"/>
      <c r="F9" s="51"/>
      <c r="G9" s="62"/>
      <c r="H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>
      <c r="A10" s="59" t="s">
        <v>48</v>
      </c>
      <c r="C10" s="51"/>
      <c r="D10" s="51"/>
      <c r="E10" s="51"/>
      <c r="F10" s="51"/>
      <c r="G10" s="62"/>
      <c r="H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>
      <c r="A11" s="51"/>
      <c r="B11" s="51"/>
      <c r="C11" s="51"/>
      <c r="D11" s="51"/>
      <c r="E11" s="51"/>
      <c r="F11" s="51"/>
      <c r="G11" s="62"/>
      <c r="H11" s="61" t="s">
        <v>64</v>
      </c>
      <c r="J11" s="59" t="s">
        <v>65</v>
      </c>
      <c r="L11" s="59" t="s">
        <v>60</v>
      </c>
      <c r="M11" s="60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>
      <c r="A12" s="59" t="s">
        <v>42</v>
      </c>
      <c r="B12" s="60"/>
      <c r="C12" s="51"/>
      <c r="D12" s="51"/>
      <c r="E12" s="51"/>
      <c r="F12" s="51"/>
      <c r="G12" s="62"/>
      <c r="H12" s="51"/>
      <c r="J12" s="51"/>
      <c r="K12" s="51"/>
      <c r="L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>
      <c r="A13" s="64" t="s">
        <v>69</v>
      </c>
      <c r="C13" s="59" t="s">
        <v>60</v>
      </c>
      <c r="D13" s="60"/>
      <c r="E13" s="51"/>
      <c r="F13" s="51"/>
      <c r="G13" s="62"/>
      <c r="H13" s="51"/>
      <c r="J13" s="51"/>
      <c r="K13" s="51"/>
      <c r="L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>
      <c r="A14" s="59" t="s">
        <v>60</v>
      </c>
      <c r="C14" s="51"/>
      <c r="E14" s="51"/>
      <c r="F14" s="51"/>
      <c r="G14" s="62"/>
      <c r="H14" s="51"/>
      <c r="J14" s="51"/>
      <c r="K14" s="51"/>
      <c r="L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>
      <c r="A15" s="51"/>
      <c r="B15" s="51"/>
      <c r="C15" s="61" t="s">
        <v>67</v>
      </c>
      <c r="E15" s="51"/>
      <c r="F15" s="59" t="s">
        <v>65</v>
      </c>
      <c r="H15" s="59" t="s">
        <v>60</v>
      </c>
      <c r="J15" s="51"/>
      <c r="K15" s="51"/>
      <c r="L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>
      <c r="A16" s="59" t="s">
        <v>46</v>
      </c>
      <c r="B16" s="60"/>
      <c r="C16" s="51"/>
      <c r="E16" s="51"/>
      <c r="F16" s="51"/>
      <c r="G16" s="51"/>
      <c r="H16" s="51"/>
      <c r="I16" s="51"/>
      <c r="J16" s="51"/>
      <c r="K16" s="51"/>
      <c r="L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>
      <c r="A17" s="64" t="s">
        <v>70</v>
      </c>
      <c r="C17" s="59" t="s">
        <v>33</v>
      </c>
      <c r="E17" s="51"/>
      <c r="F17" s="51"/>
      <c r="G17" s="51"/>
      <c r="H17" s="51"/>
      <c r="I17" s="51"/>
      <c r="J17" s="51"/>
      <c r="K17" s="51"/>
      <c r="L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>
      <c r="A18" s="59" t="s">
        <v>33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61" t="s">
        <v>64</v>
      </c>
      <c r="N19" s="59" t="s">
        <v>65</v>
      </c>
      <c r="P19" s="59" t="s">
        <v>60</v>
      </c>
      <c r="Q19" s="60"/>
      <c r="R19" s="66"/>
      <c r="S19" s="60"/>
      <c r="T19" s="51"/>
      <c r="U19" s="51"/>
      <c r="V19" s="51"/>
      <c r="W19" s="51"/>
      <c r="X19" s="51"/>
    </row>
    <row r="20">
      <c r="A20" s="59" t="s">
        <v>61</v>
      </c>
      <c r="B20" s="60"/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/>
      <c r="O20" s="51"/>
      <c r="P20" s="51"/>
      <c r="Q20" s="60"/>
      <c r="R20" s="51"/>
      <c r="S20" s="60"/>
      <c r="T20" s="51"/>
      <c r="U20" s="51"/>
      <c r="V20" s="51"/>
      <c r="W20" s="51"/>
      <c r="X20" s="51"/>
    </row>
    <row r="21">
      <c r="A21" s="69" t="s">
        <v>71</v>
      </c>
      <c r="C21" s="59" t="s">
        <v>61</v>
      </c>
      <c r="D21" s="60"/>
      <c r="E21" s="51"/>
      <c r="F21" s="51"/>
      <c r="G21" s="51"/>
      <c r="H21" s="51"/>
      <c r="I21" s="51"/>
      <c r="J21" s="51"/>
      <c r="K21" s="51"/>
      <c r="L21" s="51"/>
      <c r="N21" s="51"/>
      <c r="O21" s="51"/>
      <c r="P21" s="61" t="s">
        <v>64</v>
      </c>
      <c r="R21" s="51"/>
      <c r="T21" s="59" t="s">
        <v>60</v>
      </c>
      <c r="U21" s="51"/>
      <c r="V21" s="51"/>
      <c r="W21" s="51"/>
      <c r="X21" s="51"/>
    </row>
    <row r="22">
      <c r="A22" s="59" t="s">
        <v>22</v>
      </c>
      <c r="C22" s="51"/>
      <c r="E22" s="51"/>
      <c r="F22" s="51"/>
      <c r="G22" s="51"/>
      <c r="H22" s="51"/>
      <c r="I22" s="51"/>
      <c r="J22" s="51"/>
      <c r="K22" s="51"/>
      <c r="L22" s="51"/>
      <c r="N22" s="51"/>
      <c r="O22" s="51"/>
      <c r="P22" s="51"/>
      <c r="R22" s="51"/>
      <c r="T22" s="51"/>
      <c r="U22" s="51"/>
      <c r="V22" s="51"/>
      <c r="W22" s="51"/>
      <c r="X22" s="51"/>
    </row>
    <row r="23">
      <c r="A23" s="51"/>
      <c r="B23" s="51"/>
      <c r="C23" s="64" t="s">
        <v>69</v>
      </c>
      <c r="E23" s="51"/>
      <c r="F23" s="59" t="s">
        <v>65</v>
      </c>
      <c r="H23" s="59" t="s">
        <v>61</v>
      </c>
      <c r="I23" s="60"/>
      <c r="J23" s="51"/>
      <c r="K23" s="51"/>
      <c r="L23" s="51"/>
      <c r="N23" s="51"/>
      <c r="O23" s="51"/>
      <c r="P23" s="59" t="s">
        <v>48</v>
      </c>
      <c r="Q23" s="60"/>
      <c r="R23" s="66"/>
      <c r="S23" s="60"/>
      <c r="T23" s="51"/>
      <c r="U23" s="51"/>
      <c r="V23" s="51"/>
      <c r="W23" s="51"/>
      <c r="X23" s="51"/>
    </row>
    <row r="24">
      <c r="A24" s="59" t="s">
        <v>45</v>
      </c>
      <c r="B24" s="60"/>
      <c r="C24" s="51"/>
      <c r="E24" s="51"/>
      <c r="F24" s="51"/>
      <c r="G24" s="62"/>
      <c r="H24" s="51"/>
      <c r="J24" s="51"/>
      <c r="K24" s="51"/>
      <c r="L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>
      <c r="A25" s="69" t="s">
        <v>72</v>
      </c>
      <c r="C25" s="59" t="s">
        <v>45</v>
      </c>
      <c r="E25" s="51"/>
      <c r="F25" s="51"/>
      <c r="G25" s="62"/>
      <c r="H25" s="51"/>
      <c r="J25" s="51"/>
      <c r="K25" s="51"/>
      <c r="L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>
      <c r="A26" s="59" t="s">
        <v>43</v>
      </c>
      <c r="C26" s="51"/>
      <c r="D26" s="51"/>
      <c r="E26" s="51"/>
      <c r="F26" s="51"/>
      <c r="G26" s="62"/>
      <c r="H26" s="51"/>
      <c r="J26" s="51"/>
      <c r="K26" s="51"/>
      <c r="L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>
      <c r="A27" s="51"/>
      <c r="B27" s="51"/>
      <c r="C27" s="51"/>
      <c r="D27" s="51"/>
      <c r="E27" s="51"/>
      <c r="F27" s="51"/>
      <c r="G27" s="62"/>
      <c r="H27" s="61" t="s">
        <v>67</v>
      </c>
      <c r="J27" s="59" t="s">
        <v>65</v>
      </c>
      <c r="L27" s="59" t="s">
        <v>61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>
      <c r="A28" s="59" t="s">
        <v>55</v>
      </c>
      <c r="B28" s="60"/>
      <c r="C28" s="51"/>
      <c r="D28" s="51"/>
      <c r="E28" s="51"/>
      <c r="F28" s="51"/>
      <c r="G28" s="62"/>
      <c r="H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>
      <c r="A29" s="71" t="s">
        <v>73</v>
      </c>
      <c r="C29" s="59" t="s">
        <v>55</v>
      </c>
      <c r="D29" s="60"/>
      <c r="E29" s="51"/>
      <c r="F29" s="51"/>
      <c r="G29" s="62"/>
      <c r="H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>
      <c r="A30" s="59" t="s">
        <v>49</v>
      </c>
      <c r="C30" s="51"/>
      <c r="E30" s="51"/>
      <c r="F30" s="51"/>
      <c r="G30" s="62"/>
      <c r="H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>
      <c r="A31" s="51"/>
      <c r="B31" s="51"/>
      <c r="C31" s="64" t="s">
        <v>70</v>
      </c>
      <c r="E31" s="51"/>
      <c r="F31" s="59" t="s">
        <v>65</v>
      </c>
      <c r="H31" s="59" t="s">
        <v>52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>
      <c r="A32" s="59" t="s">
        <v>52</v>
      </c>
      <c r="B32" s="60"/>
      <c r="C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>
      <c r="A33" s="71" t="s">
        <v>74</v>
      </c>
      <c r="C33" s="59" t="s">
        <v>52</v>
      </c>
      <c r="E33" s="51"/>
      <c r="F33" s="51"/>
      <c r="G33" s="51"/>
      <c r="H33" s="51"/>
      <c r="I33" s="51"/>
      <c r="J33" s="51"/>
      <c r="K33" s="51"/>
      <c r="L33" s="51"/>
      <c r="M33" s="51"/>
      <c r="N33" s="59" t="s">
        <v>61</v>
      </c>
      <c r="O33" s="60"/>
      <c r="P33" s="51"/>
      <c r="Q33" s="51"/>
      <c r="R33" s="51"/>
      <c r="S33" s="51"/>
      <c r="T33" s="51"/>
      <c r="U33" s="51"/>
      <c r="V33" s="51"/>
      <c r="W33" s="51"/>
      <c r="X33" s="51"/>
    </row>
    <row r="34">
      <c r="A34" s="59" t="s">
        <v>54</v>
      </c>
      <c r="C34" s="62"/>
      <c r="D34" s="62"/>
      <c r="E34" s="51"/>
      <c r="F34" s="62"/>
      <c r="G34" s="62"/>
      <c r="H34" s="62"/>
      <c r="I34" s="62"/>
      <c r="J34" s="62"/>
      <c r="K34" s="51"/>
      <c r="L34" s="51"/>
      <c r="M34" s="51"/>
      <c r="N34" s="51"/>
      <c r="P34" s="51"/>
      <c r="Q34" s="51"/>
      <c r="R34" s="51"/>
      <c r="S34" s="51"/>
      <c r="T34" s="51"/>
      <c r="U34" s="51"/>
      <c r="V34" s="51"/>
      <c r="W34" s="51"/>
      <c r="X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62"/>
      <c r="K35" s="51"/>
      <c r="L35" s="51"/>
      <c r="M35" s="51"/>
      <c r="N35" s="51"/>
      <c r="P35" s="51"/>
      <c r="Q35" s="51"/>
      <c r="R35" s="51"/>
      <c r="S35" s="51"/>
      <c r="T35" s="51"/>
      <c r="U35" s="51"/>
      <c r="V35" s="51"/>
      <c r="W35" s="51"/>
      <c r="X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9" t="s">
        <v>51</v>
      </c>
      <c r="K36" s="60"/>
      <c r="L36" s="51"/>
      <c r="M36" s="51"/>
      <c r="N36" s="51"/>
      <c r="P36" s="51"/>
      <c r="Q36" s="51"/>
      <c r="R36" s="51"/>
      <c r="S36" s="51"/>
      <c r="T36" s="51"/>
      <c r="U36" s="51"/>
      <c r="V36" s="51"/>
      <c r="W36" s="51"/>
      <c r="X36" s="51"/>
    </row>
    <row r="37">
      <c r="A37" s="51"/>
      <c r="B37" s="51"/>
      <c r="C37" s="51"/>
      <c r="D37" s="51"/>
      <c r="E37" s="51"/>
      <c r="F37" s="59" t="s">
        <v>45</v>
      </c>
      <c r="G37" s="60"/>
      <c r="H37" s="51"/>
      <c r="I37" s="51"/>
      <c r="J37" s="51"/>
      <c r="L37" s="51"/>
      <c r="M37" s="51"/>
      <c r="N37" s="51"/>
      <c r="P37" s="51"/>
      <c r="Q37" s="51"/>
      <c r="R37" s="51"/>
      <c r="S37" s="51"/>
      <c r="T37" s="51"/>
      <c r="U37" s="51"/>
      <c r="V37" s="51"/>
      <c r="W37" s="51"/>
      <c r="X37" s="51"/>
    </row>
    <row r="38">
      <c r="A38" s="51"/>
      <c r="B38" s="51"/>
      <c r="C38" s="62"/>
      <c r="D38" s="62"/>
      <c r="E38" s="51"/>
      <c r="F38" s="61" t="s">
        <v>64</v>
      </c>
      <c r="H38" s="51"/>
      <c r="I38" s="51"/>
      <c r="J38" s="51"/>
      <c r="L38" s="51"/>
      <c r="M38" s="51"/>
      <c r="N38" s="51"/>
      <c r="P38" s="51"/>
      <c r="Q38" s="51"/>
      <c r="R38" s="51"/>
      <c r="S38" s="51"/>
      <c r="T38" s="51"/>
      <c r="U38" s="51"/>
      <c r="V38" s="51"/>
      <c r="W38" s="51"/>
      <c r="X38" s="51"/>
    </row>
    <row r="39">
      <c r="A39" s="51"/>
      <c r="B39" s="51"/>
      <c r="C39" s="59" t="s">
        <v>65</v>
      </c>
      <c r="D39" s="60"/>
      <c r="E39" s="51"/>
      <c r="H39" s="59" t="s">
        <v>45</v>
      </c>
      <c r="I39" s="60"/>
      <c r="J39" s="64" t="s">
        <v>69</v>
      </c>
      <c r="L39" s="59" t="s">
        <v>45</v>
      </c>
      <c r="M39" s="60"/>
      <c r="N39" s="64" t="s">
        <v>69</v>
      </c>
      <c r="P39" s="59" t="s">
        <v>48</v>
      </c>
      <c r="Q39" s="51"/>
      <c r="R39" s="51"/>
      <c r="S39" s="51"/>
      <c r="T39" s="51"/>
      <c r="U39" s="51"/>
      <c r="V39" s="51"/>
      <c r="W39" s="51"/>
      <c r="X39" s="51"/>
    </row>
    <row r="40">
      <c r="A40" s="51"/>
      <c r="B40" s="51"/>
      <c r="C40" s="69" t="s">
        <v>71</v>
      </c>
      <c r="E40" s="51"/>
      <c r="F40" s="59" t="s">
        <v>57</v>
      </c>
      <c r="H40" s="51"/>
      <c r="J40" s="51"/>
      <c r="L40" s="51"/>
      <c r="N40" s="51"/>
      <c r="P40" s="51"/>
      <c r="Q40" s="51"/>
      <c r="R40" s="51"/>
      <c r="S40" s="51"/>
      <c r="T40" s="51"/>
      <c r="U40" s="51"/>
      <c r="V40" s="51"/>
      <c r="W40" s="51"/>
      <c r="X40" s="51"/>
    </row>
    <row r="41">
      <c r="A41" s="51"/>
      <c r="B41" s="51"/>
      <c r="C41" s="59" t="s">
        <v>57</v>
      </c>
      <c r="E41" s="51"/>
      <c r="F41" s="51"/>
      <c r="G41" s="51"/>
      <c r="H41" s="51"/>
      <c r="J41" s="51"/>
      <c r="L41" s="51"/>
      <c r="N41" s="51"/>
      <c r="P41" s="51"/>
      <c r="Q41" s="51"/>
      <c r="R41" s="51"/>
      <c r="S41" s="51"/>
      <c r="T41" s="51"/>
      <c r="U41" s="51"/>
      <c r="V41" s="51"/>
      <c r="W41" s="51"/>
      <c r="X41" s="51"/>
    </row>
    <row r="42">
      <c r="A42" s="51"/>
      <c r="B42" s="51"/>
      <c r="C42" s="51"/>
      <c r="D42" s="51"/>
      <c r="E42" s="51"/>
      <c r="F42" s="51"/>
      <c r="G42" s="51"/>
      <c r="H42" s="64" t="s">
        <v>69</v>
      </c>
      <c r="J42" s="59" t="s">
        <v>45</v>
      </c>
      <c r="L42" s="51"/>
      <c r="N42" s="51"/>
      <c r="P42" s="51"/>
      <c r="Q42" s="51"/>
      <c r="R42" s="51"/>
      <c r="S42" s="51"/>
      <c r="T42" s="51"/>
      <c r="U42" s="51"/>
      <c r="V42" s="51"/>
      <c r="W42" s="51"/>
      <c r="X42" s="51"/>
    </row>
    <row r="43">
      <c r="A43" s="51"/>
      <c r="B43" s="51"/>
      <c r="C43" s="62"/>
      <c r="D43" s="62"/>
      <c r="E43" s="51"/>
      <c r="F43" s="59" t="s">
        <v>55</v>
      </c>
      <c r="G43" s="60"/>
      <c r="H43" s="51"/>
      <c r="J43" s="51"/>
      <c r="K43" s="51"/>
      <c r="L43" s="51"/>
      <c r="N43" s="51"/>
      <c r="P43" s="51"/>
      <c r="Q43" s="51"/>
      <c r="R43" s="51"/>
      <c r="S43" s="51"/>
      <c r="T43" s="51"/>
      <c r="U43" s="51"/>
      <c r="V43" s="51"/>
      <c r="W43" s="51"/>
      <c r="X43" s="51"/>
    </row>
    <row r="44">
      <c r="A44" s="51"/>
      <c r="B44" s="51"/>
      <c r="C44" s="62"/>
      <c r="D44" s="62"/>
      <c r="E44" s="51"/>
      <c r="F44" s="61" t="s">
        <v>67</v>
      </c>
      <c r="H44" s="51"/>
      <c r="J44" s="51"/>
      <c r="K44" s="51"/>
      <c r="L44" s="51"/>
      <c r="N44" s="51"/>
      <c r="P44" s="51"/>
      <c r="Q44" s="51"/>
      <c r="R44" s="51"/>
      <c r="S44" s="51"/>
      <c r="T44" s="51"/>
      <c r="U44" s="51"/>
      <c r="V44" s="51"/>
      <c r="W44" s="51"/>
      <c r="X44" s="51"/>
    </row>
    <row r="45">
      <c r="A45" s="51"/>
      <c r="B45" s="51"/>
      <c r="C45" s="59" t="s">
        <v>42</v>
      </c>
      <c r="D45" s="60"/>
      <c r="E45" s="51"/>
      <c r="H45" s="59" t="s">
        <v>42</v>
      </c>
      <c r="J45" s="51"/>
      <c r="K45" s="51"/>
      <c r="L45" s="61" t="s">
        <v>67</v>
      </c>
      <c r="N45" s="59" t="s">
        <v>48</v>
      </c>
      <c r="P45" s="51"/>
      <c r="Q45" s="51"/>
      <c r="R45" s="51"/>
      <c r="S45" s="51"/>
      <c r="T45" s="51"/>
      <c r="U45" s="51"/>
      <c r="V45" s="51"/>
      <c r="W45" s="51"/>
      <c r="X45" s="51"/>
    </row>
    <row r="46">
      <c r="A46" s="51"/>
      <c r="B46" s="51"/>
      <c r="C46" s="69" t="s">
        <v>72</v>
      </c>
      <c r="E46" s="51"/>
      <c r="F46" s="59" t="s">
        <v>42</v>
      </c>
      <c r="H46" s="51"/>
      <c r="I46" s="51"/>
      <c r="J46" s="51"/>
      <c r="K46" s="51"/>
      <c r="L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>
      <c r="A47" s="51"/>
      <c r="B47" s="51"/>
      <c r="C47" s="59" t="s">
        <v>46</v>
      </c>
      <c r="E47" s="51"/>
      <c r="F47" s="51"/>
      <c r="G47" s="51"/>
      <c r="H47" s="51"/>
      <c r="I47" s="51"/>
      <c r="J47" s="51"/>
      <c r="K47" s="51"/>
      <c r="L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9" t="s">
        <v>52</v>
      </c>
      <c r="K48" s="60"/>
      <c r="L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>
      <c r="A49" s="51"/>
      <c r="B49" s="51"/>
      <c r="C49" s="62"/>
      <c r="D49" s="62"/>
      <c r="E49" s="51"/>
      <c r="F49" s="59" t="s">
        <v>48</v>
      </c>
      <c r="G49" s="60"/>
      <c r="H49" s="51"/>
      <c r="I49" s="51"/>
      <c r="J49" s="51"/>
      <c r="L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>
      <c r="A50" s="51"/>
      <c r="B50" s="51"/>
      <c r="C50" s="62"/>
      <c r="D50" s="62"/>
      <c r="E50" s="51"/>
      <c r="F50" s="64" t="s">
        <v>69</v>
      </c>
      <c r="H50" s="51"/>
      <c r="I50" s="51"/>
      <c r="J50" s="51"/>
      <c r="L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>
      <c r="A51" s="51"/>
      <c r="B51" s="51"/>
      <c r="C51" s="59" t="s">
        <v>22</v>
      </c>
      <c r="D51" s="60"/>
      <c r="E51" s="51"/>
      <c r="H51" s="59" t="s">
        <v>48</v>
      </c>
      <c r="I51" s="60"/>
      <c r="J51" s="64" t="s">
        <v>70</v>
      </c>
      <c r="L51" s="59" t="s">
        <v>48</v>
      </c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</row>
    <row r="52">
      <c r="A52" s="51"/>
      <c r="B52" s="51"/>
      <c r="C52" s="71" t="s">
        <v>73</v>
      </c>
      <c r="E52" s="51"/>
      <c r="F52" s="59" t="s">
        <v>43</v>
      </c>
      <c r="H52" s="51"/>
      <c r="J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>
      <c r="A53" s="51"/>
      <c r="B53" s="51"/>
      <c r="C53" s="59" t="s">
        <v>43</v>
      </c>
      <c r="E53" s="51"/>
      <c r="F53" s="51"/>
      <c r="G53" s="51"/>
      <c r="H53" s="51"/>
      <c r="J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>
      <c r="A54" s="51"/>
      <c r="B54" s="51"/>
      <c r="C54" s="51"/>
      <c r="D54" s="51"/>
      <c r="E54" s="51"/>
      <c r="F54" s="51"/>
      <c r="G54" s="51"/>
      <c r="H54" s="64" t="s">
        <v>70</v>
      </c>
      <c r="J54" s="59" t="s">
        <v>48</v>
      </c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>
      <c r="A55" s="51"/>
      <c r="B55" s="51"/>
      <c r="C55" s="62"/>
      <c r="D55" s="62"/>
      <c r="E55" s="51"/>
      <c r="F55" s="59" t="s">
        <v>33</v>
      </c>
      <c r="G55" s="60"/>
      <c r="H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>
      <c r="A56" s="51"/>
      <c r="B56" s="51"/>
      <c r="C56" s="62"/>
      <c r="D56" s="62"/>
      <c r="E56" s="51"/>
      <c r="F56" s="64" t="s">
        <v>70</v>
      </c>
      <c r="H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>
      <c r="A57" s="51"/>
      <c r="B57" s="51"/>
      <c r="C57" s="59" t="s">
        <v>49</v>
      </c>
      <c r="D57" s="60"/>
      <c r="E57" s="51"/>
      <c r="H57" s="59" t="s">
        <v>54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>
      <c r="A58" s="51"/>
      <c r="B58" s="51"/>
      <c r="C58" s="71" t="s">
        <v>74</v>
      </c>
      <c r="E58" s="51"/>
      <c r="F58" s="59" t="s">
        <v>54</v>
      </c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>
      <c r="A59" s="51"/>
      <c r="B59" s="51"/>
      <c r="C59" s="59" t="s">
        <v>54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</row>
  </sheetData>
  <mergeCells count="54">
    <mergeCell ref="G55:G58"/>
    <mergeCell ref="F56:F57"/>
    <mergeCell ref="G43:G46"/>
    <mergeCell ref="F44:F45"/>
    <mergeCell ref="D45:D47"/>
    <mergeCell ref="G49:G52"/>
    <mergeCell ref="F50:F51"/>
    <mergeCell ref="D51:D53"/>
    <mergeCell ref="I51:I57"/>
    <mergeCell ref="D57:D59"/>
    <mergeCell ref="N1:O2"/>
    <mergeCell ref="P1:P2"/>
    <mergeCell ref="Q1:Q2"/>
    <mergeCell ref="R1:R2"/>
    <mergeCell ref="S1:S2"/>
    <mergeCell ref="A1:B2"/>
    <mergeCell ref="E1:E2"/>
    <mergeCell ref="F1:G2"/>
    <mergeCell ref="H1:I2"/>
    <mergeCell ref="J1:K2"/>
    <mergeCell ref="L1:M2"/>
    <mergeCell ref="B4:B6"/>
    <mergeCell ref="F7:G7"/>
    <mergeCell ref="D13:D17"/>
    <mergeCell ref="F15:G15"/>
    <mergeCell ref="M11:M27"/>
    <mergeCell ref="N19:O19"/>
    <mergeCell ref="Q20:Q22"/>
    <mergeCell ref="S20:S22"/>
    <mergeCell ref="O33:O45"/>
    <mergeCell ref="K36:K42"/>
    <mergeCell ref="M39:M51"/>
    <mergeCell ref="K48:K54"/>
    <mergeCell ref="C1:D2"/>
    <mergeCell ref="D5:D9"/>
    <mergeCell ref="I7:I15"/>
    <mergeCell ref="B8:B10"/>
    <mergeCell ref="J11:K11"/>
    <mergeCell ref="B12:B14"/>
    <mergeCell ref="B16:B18"/>
    <mergeCell ref="B20:B22"/>
    <mergeCell ref="D21:D25"/>
    <mergeCell ref="F23:G23"/>
    <mergeCell ref="I23:I31"/>
    <mergeCell ref="B24:B26"/>
    <mergeCell ref="J27:K27"/>
    <mergeCell ref="B28:B30"/>
    <mergeCell ref="D29:D33"/>
    <mergeCell ref="F31:G31"/>
    <mergeCell ref="B32:B34"/>
    <mergeCell ref="G37:G40"/>
    <mergeCell ref="F38:F39"/>
    <mergeCell ref="D39:D41"/>
    <mergeCell ref="I39:I45"/>
  </mergeCells>
  <drawing r:id="rId1"/>
</worksheet>
</file>