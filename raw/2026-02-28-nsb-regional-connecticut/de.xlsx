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 Championship Scores (Public)" sheetId="1" r:id="rId5"/>
    <sheet state="visible" name="CT Bracket" sheetId="2" r:id="rId6"/>
  </sheets>
  <definedNames/>
  <calcPr/>
</workbook>
</file>

<file path=xl/sharedStrings.xml><?xml version="1.0" encoding="utf-8"?>
<sst xmlns="http://schemas.openxmlformats.org/spreadsheetml/2006/main" count="102" uniqueCount="55">
  <si>
    <t>*use the tabs at the bottom to navigate between scores and bracket. Refresh constantly to remain up to date :)</t>
  </si>
  <si>
    <t>filename</t>
  </si>
  <si>
    <t>CT Double Elimination Round 1</t>
  </si>
  <si>
    <t xml:space="preserve"> CT Double Elimination Round 2</t>
  </si>
  <si>
    <t>CT Double Elimination Round 3</t>
  </si>
  <si>
    <t>CT Double Elimination Round 4</t>
  </si>
  <si>
    <t xml:space="preserve"> CT Double Elimination Round 5</t>
  </si>
  <si>
    <t>CT Double Elimination Round 6</t>
  </si>
  <si>
    <t>CT Championship Semi Final Round 7</t>
  </si>
  <si>
    <t xml:space="preserve"> CT Championship Round 8 (FINAL MATCH)</t>
  </si>
  <si>
    <t xml:space="preserve"> CT Championship Round 9 (needed)</t>
  </si>
  <si>
    <t>https://docs.google.com/spreadsheets/d/1riy79QbgAMQ7be_qPmaYXSmTEkKw3sqeqtB8mEkpKVE/edit?gid=618646761#gid=618646761</t>
  </si>
  <si>
    <t>Championship Round 1</t>
  </si>
  <si>
    <t>Championship Round 2</t>
  </si>
  <si>
    <t>Championship Round 3</t>
  </si>
  <si>
    <t>Championship Round 4</t>
  </si>
  <si>
    <t>Championship Round 5</t>
  </si>
  <si>
    <t>Championship Round 6</t>
  </si>
  <si>
    <t>Championship Round 7 (Semi-Final)</t>
  </si>
  <si>
    <t>Championship Round 8 (Final)</t>
  </si>
  <si>
    <t>Championship Round 9 (if needed)</t>
  </si>
  <si>
    <t>Seed</t>
  </si>
  <si>
    <t>Teams</t>
  </si>
  <si>
    <t>Score</t>
  </si>
  <si>
    <t>CC Verification</t>
  </si>
  <si>
    <t>Points</t>
  </si>
  <si>
    <t>1 →</t>
  </si>
  <si>
    <t>SHH 101</t>
  </si>
  <si>
    <t>BYE</t>
  </si>
  <si>
    <t>2→</t>
  </si>
  <si>
    <t>SHH 109</t>
  </si>
  <si>
    <t>3 →</t>
  </si>
  <si>
    <t>SHH 108</t>
  </si>
  <si>
    <t>4→</t>
  </si>
  <si>
    <t>SHH 107</t>
  </si>
  <si>
    <t>6 →</t>
  </si>
  <si>
    <t>SHH 106</t>
  </si>
  <si>
    <t>5→</t>
  </si>
  <si>
    <t>SHH 105</t>
  </si>
  <si>
    <t>7 →</t>
  </si>
  <si>
    <t>SHH 104</t>
  </si>
  <si>
    <t>Champion</t>
  </si>
  <si>
    <t>8→</t>
  </si>
  <si>
    <t>SHH 110</t>
  </si>
  <si>
    <t>Rematch if both teams have 1 loss</t>
  </si>
  <si>
    <t>L1</t>
  </si>
  <si>
    <t>SHH 111</t>
  </si>
  <si>
    <t>L2</t>
  </si>
  <si>
    <t>L3</t>
  </si>
  <si>
    <t>L4</t>
  </si>
  <si>
    <t>L5</t>
  </si>
  <si>
    <t>SHH 112</t>
  </si>
  <si>
    <t>L6</t>
  </si>
  <si>
    <t>L7</t>
  </si>
  <si>
    <t>L8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</si>
</sst>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 &quot;am/pm"/>
    <numFmt numFmtId="165" formatCode="h:mm am/pm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Inconsolata"/>
    </font>
    <font>
      <sz val="14.0"/>
      <color rgb="FFFFFFFF"/>
      <name val="Aldrich"/>
    </font>
    <font/>
    <font>
      <color theme="1"/>
      <name val="Aldrich"/>
    </font>
    <font>
      <u/>
      <color rgb="FF0000FF"/>
      <name val="Arial"/>
    </font>
    <font>
      <b/>
      <color theme="1"/>
      <name val="Aldrich"/>
    </font>
    <font>
      <b/>
      <sz val="11.0"/>
      <color rgb="FFFFFFFF"/>
      <name val="Aldrich"/>
    </font>
    <font>
      <sz val="11.0"/>
      <color theme="1"/>
      <name val="Cambria"/>
    </font>
    <font>
      <color theme="1"/>
      <name val="Cambria"/>
    </font>
    <font>
      <sz val="11.0"/>
      <color rgb="FF000000"/>
      <name val="Cambria"/>
    </font>
    <font>
      <i/>
      <color theme="1"/>
      <name val="Aldrich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A64D79"/>
        <bgColor rgb="FFA64D7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5D9F1"/>
        <bgColor rgb="FFC5D9F1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left style="thick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right style="dotted">
        <color rgb="FF000000"/>
      </right>
      <top style="thick">
        <color rgb="FF000000"/>
      </top>
    </border>
    <border>
      <top style="thick">
        <color rgb="FF000000"/>
      </top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vertical="bottom"/>
    </xf>
    <xf borderId="0" fillId="2" fontId="5" numFmtId="164" xfId="0" applyAlignment="1" applyFill="1" applyFont="1" applyNumberFormat="1">
      <alignment horizontal="center" readingOrder="0" shrinkToFit="0" wrapText="0"/>
    </xf>
    <xf borderId="0" fillId="0" fontId="5" numFmtId="164" xfId="0" applyAlignment="1" applyFont="1" applyNumberFormat="1">
      <alignment horizontal="center" readingOrder="0" vertical="bottom"/>
    </xf>
    <xf borderId="0" fillId="0" fontId="5" numFmtId="20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bottom"/>
    </xf>
    <xf borderId="0" fillId="4" fontId="8" numFmtId="0" xfId="0" applyAlignment="1" applyFill="1" applyFont="1">
      <alignment horizontal="center" vertical="bottom"/>
    </xf>
    <xf borderId="4" fillId="5" fontId="8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vertical="bottom"/>
    </xf>
    <xf borderId="6" fillId="5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vertical="bottom"/>
    </xf>
    <xf borderId="7" fillId="5" fontId="8" numFmtId="0" xfId="0" applyAlignment="1" applyBorder="1" applyFill="1" applyFont="1">
      <alignment horizontal="center" vertical="bottom"/>
    </xf>
    <xf borderId="8" fillId="4" fontId="8" numFmtId="0" xfId="0" applyAlignment="1" applyBorder="1" applyFill="1" applyFont="1">
      <alignment horizontal="center" vertical="bottom"/>
    </xf>
    <xf borderId="8" fillId="4" fontId="8" numFmtId="0" xfId="0" applyAlignment="1" applyBorder="1" applyFill="1" applyFont="1">
      <alignment vertical="bottom"/>
    </xf>
    <xf borderId="9" fillId="4" fontId="8" numFmtId="0" xfId="0" applyAlignment="1" applyBorder="1" applyFill="1" applyFont="1">
      <alignment horizontal="center" vertical="bottom"/>
    </xf>
    <xf borderId="0" fillId="6" fontId="9" numFmtId="0" xfId="0" applyAlignment="1" applyFill="1" applyFont="1">
      <alignment horizontal="center" vertical="bottom"/>
    </xf>
    <xf borderId="10" fillId="7" fontId="9" numFmtId="0" xfId="0" applyAlignment="1" applyBorder="1" applyFill="1" applyFont="1">
      <alignment horizontal="center" vertical="bottom"/>
    </xf>
    <xf borderId="0" fillId="0" fontId="9" numFmtId="0" xfId="0" applyFont="1"/>
    <xf borderId="10" fillId="7" fontId="9" numFmtId="0" xfId="0" applyAlignment="1" applyBorder="1" applyFill="1" applyFont="1">
      <alignment vertical="bottom"/>
    </xf>
    <xf borderId="0" fillId="0" fontId="9" numFmtId="0" xfId="0" applyAlignment="1" applyFont="1">
      <alignment shrinkToFit="0" wrapText="0"/>
    </xf>
    <xf borderId="11" fillId="8" fontId="1" numFmtId="0" xfId="0" applyAlignment="1" applyBorder="1" applyFill="1" applyFont="1">
      <alignment readingOrder="0" vertical="bottom"/>
    </xf>
    <xf borderId="11" fillId="7" fontId="1" numFmtId="0" xfId="0" applyAlignment="1" applyBorder="1" applyFill="1" applyFont="1">
      <alignment readingOrder="0"/>
    </xf>
    <xf borderId="0" fillId="0" fontId="10" numFmtId="0" xfId="0" applyAlignment="1" applyFont="1">
      <alignment shrinkToFit="0" wrapText="0"/>
    </xf>
    <xf borderId="12" fillId="7" fontId="9" numFmtId="0" xfId="0" applyAlignment="1" applyBorder="1" applyFill="1" applyFont="1">
      <alignment horizontal="center" vertical="bottom"/>
    </xf>
    <xf borderId="13" fillId="9" fontId="9" numFmtId="0" xfId="0" applyAlignment="1" applyBorder="1" applyFill="1" applyFont="1">
      <alignment shrinkToFit="0" wrapText="0"/>
    </xf>
    <xf borderId="13" fillId="0" fontId="9" numFmtId="0" xfId="0" applyAlignment="1" applyBorder="1" applyFont="1">
      <alignment horizontal="right" shrinkToFit="0" wrapText="0"/>
    </xf>
    <xf borderId="0" fillId="0" fontId="9" numFmtId="0" xfId="0" applyAlignment="1" applyFont="1">
      <alignment horizontal="right" shrinkToFit="0" wrapText="0"/>
    </xf>
    <xf borderId="0" fillId="0" fontId="9" numFmtId="0" xfId="0" applyAlignment="1" applyFont="1">
      <alignment readingOrder="0" shrinkToFit="0" wrapText="0"/>
    </xf>
    <xf borderId="14" fillId="0" fontId="9" numFmtId="0" xfId="0" applyAlignment="1" applyBorder="1" applyFont="1">
      <alignment shrinkToFit="0" wrapText="0"/>
    </xf>
    <xf borderId="13" fillId="10" fontId="9" numFmtId="0" xfId="0" applyAlignment="1" applyBorder="1" applyFill="1" applyFont="1">
      <alignment horizontal="left" shrinkToFit="0" wrapText="0"/>
    </xf>
    <xf borderId="13" fillId="0" fontId="9" numFmtId="0" xfId="0" applyBorder="1" applyFont="1"/>
    <xf borderId="11" fillId="8" fontId="1" numFmtId="0" xfId="0" applyAlignment="1" applyBorder="1" applyFill="1" applyFont="1">
      <alignment vertical="bottom"/>
    </xf>
    <xf borderId="0" fillId="10" fontId="11" numFmtId="0" xfId="0" applyFill="1" applyFont="1"/>
    <xf borderId="0" fillId="0" fontId="9" numFmtId="0" xfId="0" applyAlignment="1" applyFont="1">
      <alignment readingOrder="0"/>
    </xf>
    <xf borderId="10" fillId="7" fontId="9" numFmtId="0" xfId="0" applyAlignment="1" applyBorder="1" applyFill="1" applyFont="1">
      <alignment readingOrder="0" vertical="bottom"/>
    </xf>
    <xf borderId="15" fillId="0" fontId="9" numFmtId="0" xfId="0" applyAlignment="1" applyBorder="1" applyFont="1">
      <alignment shrinkToFit="0" wrapText="0"/>
    </xf>
    <xf borderId="11" fillId="6" fontId="1" numFmtId="0" xfId="0" applyBorder="1" applyFill="1" applyFont="1"/>
    <xf borderId="16" fillId="0" fontId="9" numFmtId="0" xfId="0" applyAlignment="1" applyBorder="1" applyFont="1">
      <alignment horizontal="center" shrinkToFit="0" wrapText="0"/>
    </xf>
    <xf borderId="16" fillId="0" fontId="9" numFmtId="0" xfId="0" applyAlignment="1" applyBorder="1" applyFont="1">
      <alignment shrinkToFit="0" wrapText="0"/>
    </xf>
    <xf borderId="13" fillId="10" fontId="11" numFmtId="0" xfId="0" applyBorder="1" applyFill="1" applyFont="1"/>
    <xf borderId="12" fillId="6" fontId="9" numFmtId="0" xfId="0" applyAlignment="1" applyBorder="1" applyFill="1" applyFont="1">
      <alignment horizontal="center" vertical="bottom"/>
    </xf>
    <xf borderId="5" fillId="7" fontId="9" numFmtId="0" xfId="0" applyAlignment="1" applyBorder="1" applyFill="1" applyFont="1">
      <alignment horizontal="center" vertical="bottom"/>
    </xf>
    <xf borderId="13" fillId="11" fontId="9" numFmtId="0" xfId="0" applyAlignment="1" applyBorder="1" applyFill="1" applyFont="1">
      <alignment shrinkToFit="0" wrapText="0"/>
    </xf>
    <xf borderId="5" fillId="7" fontId="9" numFmtId="0" xfId="0" applyAlignment="1" applyBorder="1" applyFill="1" applyFont="1">
      <alignment readingOrder="0" vertical="bottom"/>
    </xf>
    <xf borderId="6" fillId="8" fontId="1" numFmtId="0" xfId="0" applyAlignment="1" applyBorder="1" applyFill="1" applyFont="1">
      <alignment readingOrder="0" vertical="bottom"/>
    </xf>
    <xf borderId="6" fillId="7" fontId="1" numFmtId="0" xfId="0" applyAlignment="1" applyBorder="1" applyFill="1" applyFont="1">
      <alignment readingOrder="0"/>
    </xf>
    <xf borderId="7" fillId="7" fontId="9" numFmtId="0" xfId="0" applyAlignment="1" applyBorder="1" applyFill="1" applyFont="1">
      <alignment horizontal="center" vertical="bottom"/>
    </xf>
    <xf borderId="5" fillId="7" fontId="9" numFmtId="0" xfId="0" applyAlignment="1" applyBorder="1" applyFill="1" applyFont="1">
      <alignment vertical="bottom"/>
    </xf>
    <xf borderId="6" fillId="8" fontId="1" numFmtId="0" xfId="0" applyAlignment="1" applyBorder="1" applyFill="1" applyFont="1">
      <alignment vertical="bottom"/>
    </xf>
    <xf borderId="6" fillId="6" fontId="1" numFmtId="0" xfId="0" applyBorder="1" applyFill="1" applyFont="1"/>
    <xf borderId="7" fillId="6" fontId="9" numFmtId="0" xfId="0" applyAlignment="1" applyBorder="1" applyFill="1" applyFont="1">
      <alignment horizontal="center" vertical="bottom"/>
    </xf>
    <xf borderId="10" fillId="3" fontId="9" numFmtId="0" xfId="0" applyAlignment="1" applyBorder="1" applyFill="1" applyFont="1">
      <alignment vertical="bottom"/>
    </xf>
    <xf borderId="11" fillId="3" fontId="1" numFmtId="0" xfId="0" applyAlignment="1" applyBorder="1" applyFill="1" applyFont="1">
      <alignment vertical="bottom"/>
    </xf>
    <xf borderId="12" fillId="3" fontId="9" numFmtId="0" xfId="0" applyAlignment="1" applyBorder="1" applyFill="1" applyFont="1">
      <alignment horizontal="center" vertical="bottom"/>
    </xf>
    <xf borderId="15" fillId="0" fontId="9" numFmtId="0" xfId="0" applyAlignment="1" applyBorder="1" applyFont="1">
      <alignment horizontal="right" shrinkToFit="0" wrapText="0"/>
    </xf>
    <xf borderId="17" fillId="9" fontId="9" numFmtId="0" xfId="0" applyAlignment="1" applyBorder="1" applyFill="1" applyFont="1">
      <alignment shrinkToFit="0" wrapText="0"/>
    </xf>
    <xf borderId="5" fillId="3" fontId="9" numFmtId="0" xfId="0" applyAlignment="1" applyBorder="1" applyFill="1" applyFont="1">
      <alignment vertical="bottom"/>
    </xf>
    <xf borderId="6" fillId="3" fontId="1" numFmtId="0" xfId="0" applyAlignment="1" applyBorder="1" applyFill="1" applyFont="1">
      <alignment vertical="bottom"/>
    </xf>
    <xf borderId="7" fillId="3" fontId="9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8" fillId="0" fontId="1" numFmtId="0" xfId="0" applyAlignment="1" applyBorder="1" applyFont="1">
      <alignment vertical="bottom"/>
    </xf>
    <xf borderId="19" fillId="0" fontId="12" numFmtId="0" xfId="0" applyAlignment="1" applyBorder="1" applyFont="1">
      <alignment horizontal="center" shrinkToFit="0" vertical="bottom" wrapText="1"/>
    </xf>
    <xf borderId="20" fillId="0" fontId="1" numFmtId="0" xfId="0" applyAlignment="1" applyBorder="1" applyFont="1">
      <alignment vertical="bottom"/>
    </xf>
    <xf borderId="0" fillId="0" fontId="9" numFmtId="0" xfId="0" applyAlignment="1" applyFont="1">
      <alignment horizontal="center" shrinkToFit="0" wrapText="0"/>
    </xf>
    <xf borderId="20" fillId="0" fontId="5" numFmtId="0" xfId="0" applyAlignment="1" applyBorder="1" applyFont="1">
      <alignment horizontal="center" vertical="bottom"/>
    </xf>
    <xf borderId="13" fillId="12" fontId="11" numFmtId="0" xfId="0" applyBorder="1" applyFill="1" applyFont="1"/>
    <xf borderId="21" fillId="0" fontId="12" numFmtId="0" xfId="0" applyAlignment="1" applyBorder="1" applyFont="1">
      <alignment horizontal="left" vertical="bottom"/>
    </xf>
    <xf borderId="13" fillId="13" fontId="9" numFmtId="0" xfId="0" applyAlignment="1" applyBorder="1" applyFill="1" applyFont="1">
      <alignment horizontal="left" shrinkToFit="0" wrapText="0"/>
    </xf>
    <xf borderId="13" fillId="0" fontId="9" numFmtId="0" xfId="0" applyAlignment="1" applyBorder="1" applyFont="1">
      <alignment shrinkToFit="0" wrapText="0"/>
    </xf>
    <xf borderId="13" fillId="6" fontId="9" numFmtId="0" xfId="0" applyAlignment="1" applyBorder="1" applyFill="1" applyFont="1">
      <alignment shrinkToFit="0" wrapText="0"/>
    </xf>
    <xf borderId="13" fillId="14" fontId="9" numFmtId="0" xfId="0" applyAlignment="1" applyBorder="1" applyFill="1" applyFont="1">
      <alignment shrinkToFit="0" wrapText="0"/>
    </xf>
    <xf borderId="13" fillId="13" fontId="9" numFmtId="0" xfId="0" applyAlignment="1" applyBorder="1" applyFill="1" applyFont="1">
      <alignment shrinkToFit="0" wrapText="0"/>
    </xf>
    <xf borderId="13" fillId="15" fontId="11" numFmtId="0" xfId="0" applyBorder="1" applyFill="1" applyFont="1"/>
    <xf borderId="13" fillId="16" fontId="9" numFmtId="0" xfId="0" applyAlignment="1" applyBorder="1" applyFill="1" applyFont="1">
      <alignment shrinkToFit="0" wrapText="0"/>
    </xf>
    <xf borderId="13" fillId="12" fontId="9" numFmtId="0" xfId="0" applyAlignment="1" applyBorder="1" applyFill="1" applyFont="1">
      <alignment horizontal="left" shrinkToFit="0" wrapText="0"/>
    </xf>
    <xf borderId="0" fillId="0" fontId="13" numFmtId="0" xfId="0" applyFont="1"/>
    <xf borderId="0" fillId="0" fontId="1" numFmtId="0" xfId="0" applyAlignment="1" applyFont="1">
      <alignment shrinkToFit="0" wrapText="0"/>
    </xf>
    <xf borderId="10" fillId="3" fontId="1" numFmtId="0" xfId="0" applyAlignment="1" applyBorder="1" applyFill="1" applyFont="1">
      <alignment vertical="bottom"/>
    </xf>
    <xf borderId="5" fillId="3" fontId="1" numFmtId="0" xfId="0" applyAlignment="1" applyBorder="1" applyFill="1" applyFont="1">
      <alignment vertical="bottom"/>
    </xf>
    <xf borderId="22" fillId="3" fontId="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14" fillId="3" fontId="9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iy79QbgAMQ7be_qPmaYXSmTEkKw3sqeqtB8mEkpKVE/edit?gid=61864676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hidden="1" min="1" max="2" width="7.0"/>
    <col customWidth="1" min="3" max="3" width="25.38"/>
    <col customWidth="1" min="4" max="4" width="7.13"/>
    <col customWidth="1" min="5" max="5" width="15.25"/>
    <col customWidth="1" min="6" max="6" width="7.13"/>
    <col customWidth="1" min="7" max="7" width="25.38"/>
    <col customWidth="1" min="8" max="8" width="7.13"/>
    <col customWidth="1" min="9" max="9" width="15.25"/>
    <col customWidth="1" min="10" max="10" width="7.13"/>
    <col customWidth="1" min="11" max="11" width="25.38"/>
    <col customWidth="1" min="12" max="12" width="7.13"/>
    <col customWidth="1" min="13" max="13" width="15.25"/>
    <col customWidth="1" min="14" max="14" width="7.13"/>
    <col customWidth="1" min="15" max="15" width="25.38"/>
    <col customWidth="1" min="16" max="16" width="7.13"/>
    <col customWidth="1" min="17" max="17" width="15.25"/>
    <col customWidth="1" min="18" max="18" width="7.13"/>
    <col customWidth="1" min="19" max="19" width="25.38"/>
    <col customWidth="1" min="20" max="20" width="7.13"/>
    <col customWidth="1" min="21" max="21" width="15.25"/>
    <col customWidth="1" min="22" max="22" width="7.13"/>
    <col customWidth="1" min="23" max="23" width="25.38"/>
    <col customWidth="1" min="24" max="24" width="7.13"/>
    <col customWidth="1" min="25" max="25" width="15.25"/>
    <col customWidth="1" min="26" max="26" width="7.13"/>
    <col customWidth="1" min="27" max="27" width="25.38"/>
    <col customWidth="1" min="28" max="28" width="7.13"/>
    <col customWidth="1" min="29" max="29" width="15.25"/>
    <col customWidth="1" min="30" max="30" width="7.13"/>
    <col customWidth="1" min="31" max="31" width="25.38"/>
    <col customWidth="1" min="32" max="32" width="7.13"/>
    <col customWidth="1" min="33" max="33" width="15.25"/>
    <col customWidth="1" min="34" max="34" width="7.13"/>
    <col customWidth="1" min="35" max="35" width="25.38"/>
    <col customWidth="1" min="36" max="36" width="7.13"/>
    <col customWidth="1" min="37" max="37" width="15.25"/>
    <col customWidth="1" min="38" max="38" width="7.13"/>
    <col customWidth="1" hidden="1" min="39" max="41" width="12.63"/>
  </cols>
  <sheetData>
    <row r="1" ht="15.75" customHeight="1">
      <c r="A1" s="1"/>
      <c r="B1" s="2" t="s">
        <v>0</v>
      </c>
    </row>
    <row r="2" ht="15.75" customHeight="1">
      <c r="A2" s="3" t="s">
        <v>1</v>
      </c>
      <c r="B2" s="1"/>
      <c r="C2" s="4" t="s">
        <v>2</v>
      </c>
      <c r="D2" s="5"/>
      <c r="E2" s="5"/>
      <c r="F2" s="6"/>
      <c r="G2" s="4" t="s">
        <v>3</v>
      </c>
      <c r="H2" s="5"/>
      <c r="I2" s="5"/>
      <c r="J2" s="6"/>
      <c r="K2" s="4" t="s">
        <v>4</v>
      </c>
      <c r="L2" s="5"/>
      <c r="M2" s="5"/>
      <c r="N2" s="6"/>
      <c r="O2" s="4" t="s">
        <v>5</v>
      </c>
      <c r="P2" s="5"/>
      <c r="Q2" s="5"/>
      <c r="R2" s="6"/>
      <c r="S2" s="4" t="s">
        <v>6</v>
      </c>
      <c r="T2" s="5"/>
      <c r="U2" s="5"/>
      <c r="V2" s="6"/>
      <c r="W2" s="4" t="s">
        <v>7</v>
      </c>
      <c r="X2" s="5"/>
      <c r="Y2" s="5"/>
      <c r="Z2" s="6"/>
      <c r="AA2" s="4" t="s">
        <v>8</v>
      </c>
      <c r="AB2" s="5"/>
      <c r="AC2" s="5"/>
      <c r="AD2" s="6"/>
      <c r="AE2" s="7" t="s">
        <v>9</v>
      </c>
      <c r="AF2" s="5"/>
      <c r="AG2" s="5"/>
      <c r="AH2" s="6"/>
      <c r="AI2" s="4" t="s">
        <v>10</v>
      </c>
      <c r="AJ2" s="5"/>
      <c r="AK2" s="5"/>
      <c r="AL2" s="6"/>
      <c r="AM2" s="8"/>
      <c r="AN2" s="8"/>
      <c r="AO2" s="8"/>
    </row>
    <row r="3" ht="15.75" customHeight="1">
      <c r="A3" s="10" t="s">
        <v>11</v>
      </c>
      <c r="B3" s="1"/>
      <c r="C3" s="12">
        <f>'CT Bracket'!C3</f>
        <v>0.59375</v>
      </c>
      <c r="G3" s="12">
        <f>'CT Bracket'!E3</f>
        <v>0.625</v>
      </c>
      <c r="K3" s="12">
        <v>0.65625</v>
      </c>
      <c r="O3" s="12">
        <v>0.6770833333333334</v>
      </c>
      <c r="S3" s="12">
        <v>0.6979166666666666</v>
      </c>
      <c r="W3" s="14">
        <v>0.71875</v>
      </c>
      <c r="AA3" s="12">
        <v>0.75</v>
      </c>
      <c r="AE3" s="12">
        <v>0.7777777777777778</v>
      </c>
      <c r="AI3" s="12">
        <v>0.8090277777777778</v>
      </c>
      <c r="AM3" s="16"/>
      <c r="AN3" s="16"/>
      <c r="AO3" s="16"/>
    </row>
    <row r="4" ht="15.75" customHeight="1">
      <c r="A4" s="18"/>
      <c r="B4" s="19" t="s">
        <v>21</v>
      </c>
      <c r="C4" s="20" t="s">
        <v>22</v>
      </c>
      <c r="D4" s="21" t="s">
        <v>23</v>
      </c>
      <c r="E4" s="22" t="s">
        <v>24</v>
      </c>
      <c r="F4" s="23" t="s">
        <v>25</v>
      </c>
      <c r="G4" s="20" t="s">
        <v>22</v>
      </c>
      <c r="H4" s="21" t="s">
        <v>23</v>
      </c>
      <c r="I4" s="22" t="s">
        <v>24</v>
      </c>
      <c r="J4" s="23" t="s">
        <v>25</v>
      </c>
      <c r="K4" s="20" t="s">
        <v>22</v>
      </c>
      <c r="L4" s="21" t="s">
        <v>23</v>
      </c>
      <c r="M4" s="22" t="s">
        <v>24</v>
      </c>
      <c r="N4" s="23" t="s">
        <v>25</v>
      </c>
      <c r="O4" s="20" t="s">
        <v>22</v>
      </c>
      <c r="P4" s="21" t="s">
        <v>23</v>
      </c>
      <c r="Q4" s="22" t="s">
        <v>24</v>
      </c>
      <c r="R4" s="23" t="s">
        <v>25</v>
      </c>
      <c r="S4" s="20" t="s">
        <v>22</v>
      </c>
      <c r="T4" s="21" t="s">
        <v>23</v>
      </c>
      <c r="U4" s="22" t="s">
        <v>24</v>
      </c>
      <c r="V4" s="23" t="s">
        <v>25</v>
      </c>
      <c r="W4" s="20" t="s">
        <v>22</v>
      </c>
      <c r="X4" s="21" t="s">
        <v>23</v>
      </c>
      <c r="Y4" s="22" t="s">
        <v>24</v>
      </c>
      <c r="Z4" s="23" t="s">
        <v>25</v>
      </c>
      <c r="AA4" s="20" t="s">
        <v>22</v>
      </c>
      <c r="AB4" s="21" t="s">
        <v>23</v>
      </c>
      <c r="AC4" s="22" t="s">
        <v>24</v>
      </c>
      <c r="AD4" s="23" t="s">
        <v>25</v>
      </c>
      <c r="AE4" s="20" t="s">
        <v>22</v>
      </c>
      <c r="AF4" s="21" t="s">
        <v>23</v>
      </c>
      <c r="AG4" s="22" t="s">
        <v>24</v>
      </c>
      <c r="AH4" s="23" t="s">
        <v>25</v>
      </c>
      <c r="AI4" s="20" t="s">
        <v>22</v>
      </c>
      <c r="AJ4" s="21" t="s">
        <v>23</v>
      </c>
      <c r="AK4" s="22" t="s">
        <v>24</v>
      </c>
      <c r="AL4" s="23" t="s">
        <v>25</v>
      </c>
      <c r="AM4" s="24" t="s">
        <v>23</v>
      </c>
      <c r="AN4" s="25" t="s">
        <v>24</v>
      </c>
      <c r="AO4" s="26" t="s">
        <v>25</v>
      </c>
    </row>
    <row r="5" ht="15.75" customHeight="1">
      <c r="A5" s="27">
        <v>3.0</v>
      </c>
      <c r="B5" s="28">
        <v>1.0</v>
      </c>
      <c r="C5" s="30" t="str">
        <f>IFERROR(__xludf.DUMMYFUNCTION("if(importrange($A$3,""CT RR Calculations (Private)!$AB$10"")=""Not Ready"",concatenate(B5,"" Seed Team""),concatenate(B5,"" "", importrange($A$3,CONCATENATE(""CT RR Calculations (Private)!"",""W"",A5))))"),"1 Farmington HS - Team 1")</f>
        <v>1 Farmington HS - Team 1</v>
      </c>
      <c r="D5" s="32">
        <v>174.0</v>
      </c>
      <c r="E5" s="33" t="b">
        <v>1</v>
      </c>
      <c r="F5" s="35">
        <f>IF(E5=True, IF(D5&gt;D6,2,IF(D5=D6,1,0)),0)</f>
        <v>2</v>
      </c>
      <c r="G5" s="30" t="str">
        <f>'CT Bracket'!E6</f>
        <v>1 Farmington HS - Team 1</v>
      </c>
      <c r="H5" s="32">
        <v>108.0</v>
      </c>
      <c r="I5" s="33" t="b">
        <v>1</v>
      </c>
      <c r="J5" s="35">
        <f>IF(I5=True, IF(H5&gt;H6,2,IF(H5=H6,1,0)),0)</f>
        <v>2</v>
      </c>
      <c r="K5" s="30" t="str">
        <f>'CT Bracket'!G6</f>
        <v>1 Farmington HS - Team 1</v>
      </c>
      <c r="L5" s="32"/>
      <c r="M5" s="33" t="b">
        <v>1</v>
      </c>
      <c r="N5" s="35">
        <f>IF(M5=True, IF(L5&gt;L6,2,IF(L5=L6,1,0)),0)</f>
        <v>1</v>
      </c>
      <c r="O5" s="30" t="str">
        <f>'CT Bracket'!I8</f>
        <v>1 Farmington HS - Team 1</v>
      </c>
      <c r="P5" s="32">
        <v>90.0</v>
      </c>
      <c r="Q5" s="33" t="b">
        <v>1</v>
      </c>
      <c r="R5" s="35">
        <f>IF(Q5=True, IF(P5&gt;P6,2,IF(P5=P6,1,0)),0)</f>
        <v>0</v>
      </c>
      <c r="S5" s="30" t="str">
        <f>'CT Bracket'!M12</f>
        <v>4 Greenwich HS - Team 1</v>
      </c>
      <c r="T5" s="32"/>
      <c r="U5" s="33" t="b">
        <v>1</v>
      </c>
      <c r="V5" s="35">
        <f>IF(U5=True, IF(T5&gt;T6,2,IF(T5=T6,1,0)),0)</f>
        <v>1</v>
      </c>
      <c r="W5" s="30" t="str">
        <f>'CT Bracket'!M12</f>
        <v>4 Greenwich HS - Team 1</v>
      </c>
      <c r="X5" s="32">
        <v>70.0</v>
      </c>
      <c r="Y5" s="33" t="b">
        <v>1</v>
      </c>
      <c r="Z5" s="35">
        <f>IFS(X5="",0,(X5-X6)&gt;0,X5+100,(X5-X6)=0,X5+50,(X5-X6)&lt;0,X5)</f>
        <v>170</v>
      </c>
      <c r="AA5" s="30" t="s">
        <v>28</v>
      </c>
      <c r="AB5" s="43"/>
      <c r="AC5" s="33" t="b">
        <v>0</v>
      </c>
      <c r="AD5" s="35">
        <f>IF(AC5=True, IF(AB5&gt;AB6,2,IF(AB5=AB6,1,0)),0)</f>
        <v>0</v>
      </c>
      <c r="AE5" s="30" t="str">
        <f>'CT Bracket'!Q20</f>
        <v>4 Greenwich HS - Team 1</v>
      </c>
      <c r="AF5" s="32">
        <v>72.0</v>
      </c>
      <c r="AG5" s="33" t="b">
        <v>1</v>
      </c>
      <c r="AH5" s="35">
        <f>IF(AG5=True, IF(AF5&gt;AF6,2,IF(AF5=AF6,1,0)),0)</f>
        <v>0</v>
      </c>
      <c r="AI5" s="46" t="str">
        <f>'CT Bracket'!Q20</f>
        <v>4 Greenwich HS - Team 1</v>
      </c>
      <c r="AJ5" s="32">
        <v>118.0</v>
      </c>
      <c r="AK5" s="33" t="b">
        <v>1</v>
      </c>
      <c r="AL5" s="35">
        <f>IF(AK5=True, IF(AJ5&gt;AJ6,2,IF(AJ5=AJ6,1,0)),0)</f>
        <v>2</v>
      </c>
      <c r="AM5" s="43"/>
      <c r="AN5" s="48" t="b">
        <v>0</v>
      </c>
      <c r="AO5" s="52">
        <f>IFS(AM5="",0,(AM5-AM6)&gt;0,AM5+100,(AM5-AM6)=0,AM5+50,(AM5-AM6)&lt;0,AM5)</f>
        <v>0</v>
      </c>
    </row>
    <row r="6" ht="15.75" customHeight="1">
      <c r="A6" s="27">
        <f t="shared" ref="A6:A20" si="1">B6+2</f>
        <v>18</v>
      </c>
      <c r="B6" s="53">
        <v>16.0</v>
      </c>
      <c r="C6" s="55" t="str">
        <f>IFERROR(__xludf.DUMMYFUNCTION("if(importrange($A$3,""CT RR Calculations (Private)!$AB$10"")=""Not Ready"",concatenate(B6,"" Seed Team""),concatenate(B6,"" "", importrange($A$3,CONCATENATE(""CT RR Calculations (Private)!"",""W"",A6))))"),"16 New Canaan HS - Team 3")</f>
        <v>16 New Canaan HS - Team 3</v>
      </c>
      <c r="D6" s="56">
        <v>28.0</v>
      </c>
      <c r="E6" s="57" t="b">
        <v>1</v>
      </c>
      <c r="F6" s="58">
        <f>IF(E6=True, IF(D6&gt;D5,2,IF(D6=D5,1,0)),0)</f>
        <v>0</v>
      </c>
      <c r="G6" s="59" t="str">
        <f>'CT Bracket'!E10</f>
        <v>9 Amity Regional HS</v>
      </c>
      <c r="H6" s="56">
        <v>42.0</v>
      </c>
      <c r="I6" s="57" t="b">
        <v>1</v>
      </c>
      <c r="J6" s="58">
        <f>IF(I6=True, IF(H6&gt;H5,2,IF(H6=H5,1,0)),0)</f>
        <v>0</v>
      </c>
      <c r="K6" s="59" t="str">
        <f>'CT Bracket'!G8</f>
        <v>BYE</v>
      </c>
      <c r="L6" s="56"/>
      <c r="M6" s="57" t="b">
        <v>0</v>
      </c>
      <c r="N6" s="58">
        <f>IF(M6=True, IF(L6&gt;L5,2,IF(L6=L5,1,0)),0)</f>
        <v>0</v>
      </c>
      <c r="O6" s="59" t="str">
        <f>'CT Bracket'!I16</f>
        <v>4 Greenwich HS - Team 1</v>
      </c>
      <c r="P6" s="56">
        <v>94.0</v>
      </c>
      <c r="Q6" s="57" t="b">
        <v>1</v>
      </c>
      <c r="R6" s="58">
        <f>IF(Q6=True, IF(P6&gt;P5,2,IF(P6=P5,1,0)),0)</f>
        <v>2</v>
      </c>
      <c r="S6" s="59" t="str">
        <f>'CT Bracket'!K12</f>
        <v>BYE</v>
      </c>
      <c r="T6" s="56"/>
      <c r="U6" s="57" t="b">
        <v>0</v>
      </c>
      <c r="V6" s="58">
        <f>IF(U6=True, IF(T6&gt;T5,2,IF(T6=T5,1,0)),0)</f>
        <v>0</v>
      </c>
      <c r="W6" s="59" t="str">
        <f>'CT Bracket'!M28</f>
        <v>2 Waterford HS - Team 1</v>
      </c>
      <c r="X6" s="56">
        <v>58.0</v>
      </c>
      <c r="Y6" s="57" t="b">
        <v>1</v>
      </c>
      <c r="Z6" s="58">
        <f>IFS(X6="",0,(X6-X5)&gt;0,X6+100,(X6-X5)=0,X6+50,(X6-X5)&lt;0,X6)</f>
        <v>58</v>
      </c>
      <c r="AA6" s="59" t="s">
        <v>28</v>
      </c>
      <c r="AB6" s="60"/>
      <c r="AC6" s="57" t="b">
        <v>0</v>
      </c>
      <c r="AD6" s="58">
        <f>IF(AC6=True, IF(AB6&gt;AB5,2,IF(AB6=AB5,1,0)),0)</f>
        <v>0</v>
      </c>
      <c r="AE6" s="59" t="str">
        <f>'CT Bracket'!Q39</f>
        <v>1 Farmington HS - Team 1</v>
      </c>
      <c r="AF6" s="56">
        <v>88.0</v>
      </c>
      <c r="AG6" s="57" t="b">
        <v>1</v>
      </c>
      <c r="AH6" s="58">
        <f>IF(AG6=True, IF(AF6&gt;AF5,2,IF(AF6=AF5,1,0)),0)</f>
        <v>2</v>
      </c>
      <c r="AI6" s="55" t="str">
        <f>AE6</f>
        <v>1 Farmington HS - Team 1</v>
      </c>
      <c r="AJ6" s="56">
        <v>90.0</v>
      </c>
      <c r="AK6" s="57" t="b">
        <v>1</v>
      </c>
      <c r="AL6" s="58">
        <f>IF(AK6=True, IF(AJ6&gt;AJ5,2,IF(AJ6=AJ5,1,0)),0)</f>
        <v>0</v>
      </c>
      <c r="AM6" s="60"/>
      <c r="AN6" s="61" t="b">
        <v>0</v>
      </c>
      <c r="AO6" s="62">
        <f>IFS(AM6="",0,(AM6-AM5)&gt;0,AM6+100,(AM6-AM5)=0,AM6+50,(AM6-AM5)&lt;0,AM6)</f>
        <v>0</v>
      </c>
    </row>
    <row r="7" ht="15.75" customHeight="1">
      <c r="A7" s="27">
        <f t="shared" si="1"/>
        <v>10</v>
      </c>
      <c r="B7" s="28">
        <v>8.0</v>
      </c>
      <c r="C7" s="30" t="str">
        <f>IFERROR(__xludf.DUMMYFUNCTION("if(importrange($A$3,""CT RR Calculations (Private)!$AB$10"")=""Not Ready"",concatenate(B7,"" Seed Team""),concatenate(B7,"" "", importrange($A$3,CONCATENATE(""CT RR Calculations (Private)!"",""W"",A7))))"),"8 Rocky Hill HS - Team 1")</f>
        <v>8 Rocky Hill HS - Team 1</v>
      </c>
      <c r="D7" s="32">
        <v>66.0</v>
      </c>
      <c r="E7" s="33" t="b">
        <v>1</v>
      </c>
      <c r="F7" s="35">
        <f>IF(E7=True, IF(D7&gt;D8,2,IF(D7=D8,1,0)),0)</f>
        <v>0</v>
      </c>
      <c r="G7" s="30" t="str">
        <f>'CT Bracket'!E14</f>
        <v>5 Southington HS - Team 1</v>
      </c>
      <c r="H7" s="32">
        <v>26.0</v>
      </c>
      <c r="I7" s="33" t="b">
        <v>1</v>
      </c>
      <c r="J7" s="35">
        <f>IF(I7=True, IF(H7&gt;H8,2,IF(H7=H8,1,0)),0)</f>
        <v>0</v>
      </c>
      <c r="K7" s="30" t="str">
        <f>'CT Bracket'!G14</f>
        <v>4 Greenwich HS - Team 1</v>
      </c>
      <c r="L7" s="32"/>
      <c r="M7" s="33" t="b">
        <v>1</v>
      </c>
      <c r="N7" s="35">
        <f>IF(M7=True, IF(L7&gt;L8,2,IF(L7=L8,1,0)),0)</f>
        <v>1</v>
      </c>
      <c r="O7" s="30" t="str">
        <f>'CT Bracket'!I24</f>
        <v>3 EO Smith HS - Team 1</v>
      </c>
      <c r="P7" s="32">
        <v>80.0</v>
      </c>
      <c r="Q7" s="33" t="b">
        <v>1</v>
      </c>
      <c r="R7" s="35">
        <f>IF(Q7=True, IF(P7&gt;P8,2,IF(P7=P8,1,0)),0)</f>
        <v>0</v>
      </c>
      <c r="S7" s="30" t="str">
        <f>'CT Bracket'!M28</f>
        <v>2 Waterford HS - Team 1</v>
      </c>
      <c r="T7" s="32"/>
      <c r="U7" s="33" t="b">
        <v>1</v>
      </c>
      <c r="V7" s="35">
        <f>IF(U7=True, IF(T7&gt;T8,2,IF(T7=T8,1,0)),0)</f>
        <v>1</v>
      </c>
      <c r="W7" s="63"/>
      <c r="X7" s="64"/>
      <c r="Y7" s="65">
        <f t="shared" ref="Y7:Z7" si="2">IFS(W7="",0,(W7-W8)&gt;0,W7+100,(W7-W8)=0,W7+50,(W7-W8)&lt;0,W7)</f>
        <v>0</v>
      </c>
      <c r="Z7" s="65">
        <f t="shared" si="2"/>
        <v>0</v>
      </c>
      <c r="AA7" s="63"/>
      <c r="AB7" s="64"/>
      <c r="AC7" s="65">
        <f t="shared" ref="AC7:AD7" si="3">IFS(AA7="",0,(AA7-AA8)&gt;0,AA7+100,(AA7-AA8)=0,AA7+50,(AA7-AA8)&lt;0,AA7)</f>
        <v>0</v>
      </c>
      <c r="AD7" s="65">
        <f t="shared" si="3"/>
        <v>0</v>
      </c>
      <c r="AE7" s="63"/>
      <c r="AF7" s="64"/>
      <c r="AG7" s="65">
        <f t="shared" ref="AG7:AH7" si="4">IFS(AE7="",0,(AE7-AE8)&gt;0,AE7+100,(AE7-AE8)=0,AE7+50,(AE7-AE8)&lt;0,AE7)</f>
        <v>0</v>
      </c>
      <c r="AH7" s="65">
        <f t="shared" si="4"/>
        <v>0</v>
      </c>
      <c r="AI7" s="63"/>
      <c r="AJ7" s="64"/>
      <c r="AK7" s="65">
        <f t="shared" ref="AK7:AL7" si="5">IFS(AI7="",0,(AI7-AI8)&gt;0,AI7+100,(AI7-AI8)=0,AI7+50,(AI7-AI8)&lt;0,AI7)</f>
        <v>0</v>
      </c>
      <c r="AL7" s="65">
        <f t="shared" si="5"/>
        <v>0</v>
      </c>
      <c r="AM7" s="64"/>
      <c r="AN7" s="65">
        <f t="shared" ref="AN7:AO7" si="6">IFS(AL7="",0,(AL7-AL8)&gt;0,AL7+100,(AL7-AL8)=0,AL7+50,(AL7-AL8)&lt;0,AL7)</f>
        <v>50</v>
      </c>
      <c r="AO7" s="65">
        <f t="shared" si="6"/>
        <v>0</v>
      </c>
    </row>
    <row r="8" ht="15.75" customHeight="1">
      <c r="A8" s="27">
        <f t="shared" si="1"/>
        <v>11</v>
      </c>
      <c r="B8" s="53">
        <v>9.0</v>
      </c>
      <c r="C8" s="55" t="str">
        <f>IFERROR(__xludf.DUMMYFUNCTION("if(importrange($A$3,""CT RR Calculations (Private)!$AB$10"")=""Not Ready"",concatenate(B8,"" Seed Team""),concatenate(B8,"" "", importrange($A$3,CONCATENATE(""CT RR Calculations (Private)!"",""W"",A8))))"),"9 Amity Regional HS")</f>
        <v>9 Amity Regional HS</v>
      </c>
      <c r="D8" s="56">
        <v>78.0</v>
      </c>
      <c r="E8" s="57" t="b">
        <v>1</v>
      </c>
      <c r="F8" s="58">
        <f>IF(E8=True, IF(D8&gt;D7,2,IF(D8=D7,1,0)),0)</f>
        <v>2</v>
      </c>
      <c r="G8" s="59" t="str">
        <f>'CT Bracket'!E18</f>
        <v>4 Greenwich HS - Team 1</v>
      </c>
      <c r="H8" s="56">
        <v>140.0</v>
      </c>
      <c r="I8" s="57" t="b">
        <v>1</v>
      </c>
      <c r="J8" s="58">
        <f>IF(I8=True, IF(H8&gt;H7,2,IF(H8=H7,1,0)),0)</f>
        <v>2</v>
      </c>
      <c r="K8" s="59" t="str">
        <f>'CT Bracket'!G16</f>
        <v>BYE</v>
      </c>
      <c r="L8" s="56"/>
      <c r="M8" s="57" t="b">
        <v>0</v>
      </c>
      <c r="N8" s="58">
        <f>IF(M8=True, IF(L8&gt;L7,2,IF(L8=L7,1,0)),0)</f>
        <v>0</v>
      </c>
      <c r="O8" s="59" t="str">
        <f>'CT Bracket'!I32</f>
        <v>2 Waterford HS - Team 1</v>
      </c>
      <c r="P8" s="56">
        <v>84.0</v>
      </c>
      <c r="Q8" s="57" t="b">
        <v>1</v>
      </c>
      <c r="R8" s="58">
        <f>IF(Q8=True, IF(P8&gt;P7,2,IF(P8=P7,1,0)),0)</f>
        <v>2</v>
      </c>
      <c r="S8" s="59" t="str">
        <f>'CT Bracket'!K28</f>
        <v>BYE</v>
      </c>
      <c r="T8" s="56"/>
      <c r="U8" s="57" t="b">
        <v>0</v>
      </c>
      <c r="V8" s="58">
        <f>IF(U8=True, IF(T8&gt;T7,2,IF(T8=T7,1,0)),0)</f>
        <v>0</v>
      </c>
      <c r="W8" s="68"/>
      <c r="X8" s="69"/>
      <c r="Y8" s="70">
        <f t="shared" ref="Y8:Z8" si="7">IFS(W8="",0,(W8-W7)&gt;0,W8+100,(W8-W7)=0,W8+50,(W8-W7)&lt;0,W8)</f>
        <v>0</v>
      </c>
      <c r="Z8" s="70">
        <f t="shared" si="7"/>
        <v>0</v>
      </c>
      <c r="AA8" s="68"/>
      <c r="AB8" s="69"/>
      <c r="AC8" s="70">
        <f t="shared" ref="AC8:AD8" si="8">IFS(AA8="",0,(AA8-AA7)&gt;0,AA8+100,(AA8-AA7)=0,AA8+50,(AA8-AA7)&lt;0,AA8)</f>
        <v>0</v>
      </c>
      <c r="AD8" s="70">
        <f t="shared" si="8"/>
        <v>0</v>
      </c>
      <c r="AE8" s="68"/>
      <c r="AF8" s="69"/>
      <c r="AG8" s="70">
        <f t="shared" ref="AG8:AH8" si="9">IFS(AE8="",0,(AE8-AE7)&gt;0,AE8+100,(AE8-AE7)=0,AE8+50,(AE8-AE7)&lt;0,AE8)</f>
        <v>0</v>
      </c>
      <c r="AH8" s="70">
        <f t="shared" si="9"/>
        <v>0</v>
      </c>
      <c r="AI8" s="68"/>
      <c r="AJ8" s="69"/>
      <c r="AK8" s="70">
        <f t="shared" ref="AK8:AL8" si="10">IFS(AI8="",0,(AI8-AI7)&gt;0,AI8+100,(AI8-AI7)=0,AI8+50,(AI8-AI7)&lt;0,AI8)</f>
        <v>0</v>
      </c>
      <c r="AL8" s="70">
        <f t="shared" si="10"/>
        <v>0</v>
      </c>
      <c r="AM8" s="69"/>
      <c r="AN8" s="70">
        <f t="shared" ref="AN8:AO8" si="11">IFS(AL8="",0,(AL8-AL7)&gt;0,AL8+100,(AL8-AL7)=0,AL8+50,(AL8-AL7)&lt;0,AL8)</f>
        <v>50</v>
      </c>
      <c r="AO8" s="70">
        <f t="shared" si="11"/>
        <v>0</v>
      </c>
    </row>
    <row r="9" ht="15.75" customHeight="1">
      <c r="A9" s="27">
        <f t="shared" si="1"/>
        <v>7</v>
      </c>
      <c r="B9" s="28">
        <v>5.0</v>
      </c>
      <c r="C9" s="30" t="str">
        <f>IFERROR(__xludf.DUMMYFUNCTION("if(importrange($A$3,""CT RR Calculations (Private)!$AB$10"")=""Not Ready"",concatenate(B9,"" Seed Team""),concatenate(B9,"" "", importrange($A$3,CONCATENATE(""CT RR Calculations (Private)!"",""W"",A9))))"),"5 Southington HS - Team 1")</f>
        <v>5 Southington HS - Team 1</v>
      </c>
      <c r="D9" s="32">
        <v>56.0</v>
      </c>
      <c r="E9" s="33" t="b">
        <v>1</v>
      </c>
      <c r="F9" s="35">
        <f>IF(E9=True, IF(D9&gt;D10,2,IF(D9=D10,1,0)),0)</f>
        <v>2</v>
      </c>
      <c r="G9" s="30" t="str">
        <f>'CT Bracket'!E22</f>
        <v>3 EO Smith HS - Team 1</v>
      </c>
      <c r="H9" s="32">
        <v>80.0</v>
      </c>
      <c r="I9" s="33" t="b">
        <v>1</v>
      </c>
      <c r="J9" s="35">
        <f>IF(I9=True, IF(H9&gt;H10,2,IF(H9=H10,1,0)),0)</f>
        <v>2</v>
      </c>
      <c r="K9" s="30" t="str">
        <f>'CT Bracket'!G22</f>
        <v>3 EO Smith HS - Team 1</v>
      </c>
      <c r="L9" s="32"/>
      <c r="M9" s="33" t="b">
        <v>1</v>
      </c>
      <c r="N9" s="35">
        <f>IF(M9=True, IF(L9&gt;L10,2,IF(L9=L10,1,0)),0)</f>
        <v>1</v>
      </c>
      <c r="O9" s="63"/>
      <c r="P9" s="64"/>
      <c r="Q9" s="65">
        <f t="shared" ref="Q9:R9" si="12">IFS(O9="",0,(O9-O10)&gt;0,O9+100,(O9-O10)=0,O9+50,(O9-O10)&lt;0,O9)</f>
        <v>0</v>
      </c>
      <c r="R9" s="65">
        <f t="shared" si="12"/>
        <v>0</v>
      </c>
      <c r="S9" s="63"/>
      <c r="T9" s="64"/>
      <c r="U9" s="65">
        <f t="shared" ref="U9:V9" si="13">IFS(S9="",0,(S9-S10)&gt;0,S9+100,(S9-S10)=0,S9+50,(S9-S10)&lt;0,S9)</f>
        <v>0</v>
      </c>
      <c r="V9" s="65">
        <f t="shared" si="13"/>
        <v>0</v>
      </c>
      <c r="W9" s="63"/>
      <c r="X9" s="64"/>
      <c r="Y9" s="65">
        <f t="shared" ref="Y9:Z9" si="14">IFS(W9="",0,(W9-W10)&gt;0,W9+100,(W9-W10)=0,W9+50,(W9-W10)&lt;0,W9)</f>
        <v>0</v>
      </c>
      <c r="Z9" s="65">
        <f t="shared" si="14"/>
        <v>0</v>
      </c>
      <c r="AA9" s="63"/>
      <c r="AB9" s="64"/>
      <c r="AC9" s="65">
        <f t="shared" ref="AC9:AD9" si="15">IFS(AA9="",0,(AA9-AA10)&gt;0,AA9+100,(AA9-AA10)=0,AA9+50,(AA9-AA10)&lt;0,AA9)</f>
        <v>0</v>
      </c>
      <c r="AD9" s="65">
        <f t="shared" si="15"/>
        <v>0</v>
      </c>
      <c r="AE9" s="63"/>
      <c r="AF9" s="64"/>
      <c r="AG9" s="65">
        <f t="shared" ref="AG9:AH9" si="16">IFS(AE9="",0,(AE9-AE10)&gt;0,AE9+100,(AE9-AE10)=0,AE9+50,(AE9-AE10)&lt;0,AE9)</f>
        <v>0</v>
      </c>
      <c r="AH9" s="65">
        <f t="shared" si="16"/>
        <v>0</v>
      </c>
      <c r="AI9" s="63"/>
      <c r="AJ9" s="64"/>
      <c r="AK9" s="65">
        <f t="shared" ref="AK9:AL9" si="17">IFS(AI9="",0,(AI9-AI10)&gt;0,AI9+100,(AI9-AI10)=0,AI9+50,(AI9-AI10)&lt;0,AI9)</f>
        <v>0</v>
      </c>
      <c r="AL9" s="65">
        <f t="shared" si="17"/>
        <v>0</v>
      </c>
      <c r="AM9" s="64"/>
      <c r="AN9" s="65">
        <f t="shared" ref="AN9:AO9" si="18">IFS(AL9="",0,(AL9-AL10)&gt;0,AL9+100,(AL9-AL10)=0,AL9+50,(AL9-AL10)&lt;0,AL9)</f>
        <v>50</v>
      </c>
      <c r="AO9" s="65">
        <f t="shared" si="18"/>
        <v>0</v>
      </c>
    </row>
    <row r="10" ht="15.75" customHeight="1">
      <c r="A10" s="27">
        <f t="shared" si="1"/>
        <v>14</v>
      </c>
      <c r="B10" s="53">
        <v>12.0</v>
      </c>
      <c r="C10" s="55" t="str">
        <f>IFERROR(__xludf.DUMMYFUNCTION("if(importrange($A$3,""CT RR Calculations (Private)!$AB$10"")=""Not Ready"",concatenate(B10,"" Seed Team""),concatenate(B10,"" "", importrange($A$3,CONCATENATE(""CT RR Calculations (Private)!"",""W"",A10))))"),"12 Univ HS Sci &amp; Eng")</f>
        <v>12 Univ HS Sci &amp; Eng</v>
      </c>
      <c r="D10" s="56">
        <v>32.0</v>
      </c>
      <c r="E10" s="57" t="b">
        <v>1</v>
      </c>
      <c r="F10" s="58">
        <f>IF(E10=True, IF(D10&gt;D9,2,IF(D10=D9,1,0)),0)</f>
        <v>0</v>
      </c>
      <c r="G10" s="59" t="str">
        <f>'CT Bracket'!E26</f>
        <v>6 Farmington HS - Team 2</v>
      </c>
      <c r="H10" s="56">
        <v>42.0</v>
      </c>
      <c r="I10" s="57" t="b">
        <v>1</v>
      </c>
      <c r="J10" s="58">
        <f>IF(I10=True, IF(H10&gt;H9,2,IF(H10=H9,1,0)),0)</f>
        <v>0</v>
      </c>
      <c r="K10" s="59" t="str">
        <f>'CT Bracket'!G24</f>
        <v>BYE</v>
      </c>
      <c r="L10" s="56"/>
      <c r="M10" s="57" t="b">
        <v>0</v>
      </c>
      <c r="N10" s="58">
        <f>IF(M10=True, IF(L10&gt;L9,2,IF(L10=L9,1,0)),0)</f>
        <v>0</v>
      </c>
      <c r="O10" s="68"/>
      <c r="P10" s="69"/>
      <c r="Q10" s="70">
        <f t="shared" ref="Q10:R10" si="19">IFS(O10="",0,(O10-O9)&gt;0,O10+100,(O10-O9)=0,O10+50,(O10-O9)&lt;0,O10)</f>
        <v>0</v>
      </c>
      <c r="R10" s="70">
        <f t="shared" si="19"/>
        <v>0</v>
      </c>
      <c r="S10" s="68"/>
      <c r="T10" s="69"/>
      <c r="U10" s="70">
        <f t="shared" ref="U10:V10" si="20">IFS(S10="",0,(S10-S9)&gt;0,S10+100,(S10-S9)=0,S10+50,(S10-S9)&lt;0,S10)</f>
        <v>0</v>
      </c>
      <c r="V10" s="70">
        <f t="shared" si="20"/>
        <v>0</v>
      </c>
      <c r="W10" s="68"/>
      <c r="X10" s="69"/>
      <c r="Y10" s="70">
        <f t="shared" ref="Y10:Z10" si="21">IFS(W10="",0,(W10-W9)&gt;0,W10+100,(W10-W9)=0,W10+50,(W10-W9)&lt;0,W10)</f>
        <v>0</v>
      </c>
      <c r="Z10" s="70">
        <f t="shared" si="21"/>
        <v>0</v>
      </c>
      <c r="AA10" s="68"/>
      <c r="AB10" s="69"/>
      <c r="AC10" s="70">
        <f t="shared" ref="AC10:AD10" si="22">IFS(AA10="",0,(AA10-AA9)&gt;0,AA10+100,(AA10-AA9)=0,AA10+50,(AA10-AA9)&lt;0,AA10)</f>
        <v>0</v>
      </c>
      <c r="AD10" s="70">
        <f t="shared" si="22"/>
        <v>0</v>
      </c>
      <c r="AE10" s="68"/>
      <c r="AF10" s="69"/>
      <c r="AG10" s="70">
        <f t="shared" ref="AG10:AH10" si="23">IFS(AE10="",0,(AE10-AE9)&gt;0,AE10+100,(AE10-AE9)=0,AE10+50,(AE10-AE9)&lt;0,AE10)</f>
        <v>0</v>
      </c>
      <c r="AH10" s="70">
        <f t="shared" si="23"/>
        <v>0</v>
      </c>
      <c r="AI10" s="68"/>
      <c r="AJ10" s="69"/>
      <c r="AK10" s="70">
        <f t="shared" ref="AK10:AL10" si="24">IFS(AI10="",0,(AI10-AI9)&gt;0,AI10+100,(AI10-AI9)=0,AI10+50,(AI10-AI9)&lt;0,AI10)</f>
        <v>0</v>
      </c>
      <c r="AL10" s="70">
        <f t="shared" si="24"/>
        <v>0</v>
      </c>
      <c r="AM10" s="69"/>
      <c r="AN10" s="70">
        <f t="shared" ref="AN10:AO10" si="25">IFS(AL10="",0,(AL10-AL9)&gt;0,AL10+100,(AL10-AL9)=0,AL10+50,(AL10-AL9)&lt;0,AL10)</f>
        <v>50</v>
      </c>
      <c r="AO10" s="70">
        <f t="shared" si="25"/>
        <v>0</v>
      </c>
    </row>
    <row r="11" ht="15.75" customHeight="1">
      <c r="A11" s="27">
        <f t="shared" si="1"/>
        <v>15</v>
      </c>
      <c r="B11" s="28">
        <v>13.0</v>
      </c>
      <c r="C11" s="30" t="str">
        <f>IFERROR(__xludf.DUMMYFUNCTION("if(importrange($A$3,""CT RR Calculations (Private)!$AB$10"")=""Not Ready"",concatenate(B11,"" Seed Team""),concatenate(B11,"" "", importrange($A$3,CONCATENATE(""CT RR Calculations (Private)!"",""W"",A11))))"),"13 Fairfield Warde HS - Team 1")</f>
        <v>13 Fairfield Warde HS - Team 1</v>
      </c>
      <c r="D11" s="32">
        <v>48.0</v>
      </c>
      <c r="E11" s="33" t="b">
        <v>1</v>
      </c>
      <c r="F11" s="35">
        <f>IF(E11=True, IF(D11&gt;D12,2,IF(D11=D12,1,0)),0)</f>
        <v>0</v>
      </c>
      <c r="G11" s="30" t="str">
        <f>'CT Bracket'!E30</f>
        <v>7 Loomis Chaffee - Team 1</v>
      </c>
      <c r="H11" s="32">
        <v>68.0</v>
      </c>
      <c r="I11" s="33" t="b">
        <v>1</v>
      </c>
      <c r="J11" s="35">
        <f>IF(I11=True, IF(H11&gt;H12,2,IF(H11=H12,1,0)),0)</f>
        <v>0</v>
      </c>
      <c r="K11" s="30" t="str">
        <f>'CT Bracket'!G30</f>
        <v>2 Waterford HS - Team 1</v>
      </c>
      <c r="L11" s="32"/>
      <c r="M11" s="33" t="b">
        <v>1</v>
      </c>
      <c r="N11" s="35">
        <f>IF(M11=True, IF(L11&gt;L12,2,IF(L11=L12,1,0)),0)</f>
        <v>1</v>
      </c>
      <c r="O11" s="63"/>
      <c r="P11" s="64"/>
      <c r="Q11" s="65">
        <f t="shared" ref="Q11:R11" si="26">IFS(O11="",0,(O11-O12)&gt;0,O11+100,(O11-O12)=0,O11+50,(O11-O12)&lt;0,O11)</f>
        <v>0</v>
      </c>
      <c r="R11" s="65">
        <f t="shared" si="26"/>
        <v>0</v>
      </c>
      <c r="S11" s="63"/>
      <c r="T11" s="64"/>
      <c r="U11" s="65">
        <f t="shared" ref="U11:V11" si="27">IFS(S11="",0,(S11-S12)&gt;0,S11+100,(S11-S12)=0,S11+50,(S11-S12)&lt;0,S11)</f>
        <v>0</v>
      </c>
      <c r="V11" s="65">
        <f t="shared" si="27"/>
        <v>0</v>
      </c>
      <c r="W11" s="63"/>
      <c r="X11" s="64"/>
      <c r="Y11" s="65">
        <f t="shared" ref="Y11:Z11" si="28">IFS(W11="",0,(W11-W12)&gt;0,W11+100,(W11-W12)=0,W11+50,(W11-W12)&lt;0,W11)</f>
        <v>0</v>
      </c>
      <c r="Z11" s="65">
        <f t="shared" si="28"/>
        <v>0</v>
      </c>
      <c r="AA11" s="63"/>
      <c r="AB11" s="64"/>
      <c r="AC11" s="65">
        <f t="shared" ref="AC11:AD11" si="29">IFS(AA11="",0,(AA11-AA12)&gt;0,AA11+100,(AA11-AA12)=0,AA11+50,(AA11-AA12)&lt;0,AA11)</f>
        <v>0</v>
      </c>
      <c r="AD11" s="65">
        <f t="shared" si="29"/>
        <v>0</v>
      </c>
      <c r="AE11" s="63"/>
      <c r="AF11" s="64"/>
      <c r="AG11" s="65">
        <f t="shared" ref="AG11:AH11" si="30">IFS(AE11="",0,(AE11-AE12)&gt;0,AE11+100,(AE11-AE12)=0,AE11+50,(AE11-AE12)&lt;0,AE11)</f>
        <v>0</v>
      </c>
      <c r="AH11" s="65">
        <f t="shared" si="30"/>
        <v>0</v>
      </c>
      <c r="AI11" s="63"/>
      <c r="AJ11" s="64"/>
      <c r="AK11" s="65">
        <f t="shared" ref="AK11:AL11" si="31">IFS(AI11="",0,(AI11-AI12)&gt;0,AI11+100,(AI11-AI12)=0,AI11+50,(AI11-AI12)&lt;0,AI11)</f>
        <v>0</v>
      </c>
      <c r="AL11" s="65">
        <f t="shared" si="31"/>
        <v>0</v>
      </c>
      <c r="AM11" s="64"/>
      <c r="AN11" s="65">
        <f t="shared" ref="AN11:AO11" si="32">IFS(AL11="",0,(AL11-AL12)&gt;0,AL11+100,(AL11-AL12)=0,AL11+50,(AL11-AL12)&lt;0,AL11)</f>
        <v>50</v>
      </c>
      <c r="AO11" s="65">
        <f t="shared" si="32"/>
        <v>0</v>
      </c>
    </row>
    <row r="12" ht="15.75" customHeight="1">
      <c r="A12" s="27">
        <f t="shared" si="1"/>
        <v>6</v>
      </c>
      <c r="B12" s="53">
        <v>4.0</v>
      </c>
      <c r="C12" s="55" t="str">
        <f>IFERROR(__xludf.DUMMYFUNCTION("if(importrange($A$3,""CT RR Calculations (Private)!$AB$10"")=""Not Ready"",concatenate(B12,"" Seed Team""),concatenate(B12,"" "", importrange($A$3,CONCATENATE(""CT RR Calculations (Private)!"",""W"",A12))))"),"4 Greenwich HS - Team 1")</f>
        <v>4 Greenwich HS - Team 1</v>
      </c>
      <c r="D12" s="56">
        <v>104.0</v>
      </c>
      <c r="E12" s="57" t="b">
        <v>1</v>
      </c>
      <c r="F12" s="58">
        <f>IF(E12=True, IF(D12&gt;D11,2,IF(D12=D11,1,0)),0)</f>
        <v>2</v>
      </c>
      <c r="G12" s="59" t="str">
        <f>'CT Bracket'!E34</f>
        <v>2 Waterford HS - Team 1</v>
      </c>
      <c r="H12" s="56">
        <v>94.0</v>
      </c>
      <c r="I12" s="57" t="b">
        <v>1</v>
      </c>
      <c r="J12" s="58">
        <f>IF(I12=True, IF(H12&gt;H11,2,IF(H12=H11,1,0)),0)</f>
        <v>2</v>
      </c>
      <c r="K12" s="59" t="str">
        <f>'CT Bracket'!G32</f>
        <v>BYE</v>
      </c>
      <c r="L12" s="56"/>
      <c r="M12" s="57" t="b">
        <v>0</v>
      </c>
      <c r="N12" s="58">
        <f>IF(M12=True, IF(L12&gt;L11,2,IF(L12=L11,1,0)),0)</f>
        <v>0</v>
      </c>
      <c r="O12" s="68"/>
      <c r="P12" s="69"/>
      <c r="Q12" s="70">
        <f t="shared" ref="Q12:R12" si="33">IFS(O12="",0,(O12-O11)&gt;0,O12+100,(O12-O11)=0,O12+50,(O12-O11)&lt;0,O12)</f>
        <v>0</v>
      </c>
      <c r="R12" s="70">
        <f t="shared" si="33"/>
        <v>0</v>
      </c>
      <c r="S12" s="68"/>
      <c r="T12" s="69"/>
      <c r="U12" s="70">
        <f t="shared" ref="U12:V12" si="34">IFS(S12="",0,(S12-S11)&gt;0,S12+100,(S12-S11)=0,S12+50,(S12-S11)&lt;0,S12)</f>
        <v>0</v>
      </c>
      <c r="V12" s="70">
        <f t="shared" si="34"/>
        <v>0</v>
      </c>
      <c r="W12" s="68"/>
      <c r="X12" s="69"/>
      <c r="Y12" s="70">
        <f t="shared" ref="Y12:Z12" si="35">IFS(W12="",0,(W12-W11)&gt;0,W12+100,(W12-W11)=0,W12+50,(W12-W11)&lt;0,W12)</f>
        <v>0</v>
      </c>
      <c r="Z12" s="70">
        <f t="shared" si="35"/>
        <v>0</v>
      </c>
      <c r="AA12" s="68"/>
      <c r="AB12" s="69"/>
      <c r="AC12" s="70">
        <f t="shared" ref="AC12:AD12" si="36">IFS(AA12="",0,(AA12-AA11)&gt;0,AA12+100,(AA12-AA11)=0,AA12+50,(AA12-AA11)&lt;0,AA12)</f>
        <v>0</v>
      </c>
      <c r="AD12" s="70">
        <f t="shared" si="36"/>
        <v>0</v>
      </c>
      <c r="AE12" s="68"/>
      <c r="AF12" s="69"/>
      <c r="AG12" s="70">
        <f t="shared" ref="AG12:AH12" si="37">IFS(AE12="",0,(AE12-AE11)&gt;0,AE12+100,(AE12-AE11)=0,AE12+50,(AE12-AE11)&lt;0,AE12)</f>
        <v>0</v>
      </c>
      <c r="AH12" s="70">
        <f t="shared" si="37"/>
        <v>0</v>
      </c>
      <c r="AI12" s="68"/>
      <c r="AJ12" s="69"/>
      <c r="AK12" s="70">
        <f t="shared" ref="AK12:AL12" si="38">IFS(AI12="",0,(AI12-AI11)&gt;0,AI12+100,(AI12-AI11)=0,AI12+50,(AI12-AI11)&lt;0,AI12)</f>
        <v>0</v>
      </c>
      <c r="AL12" s="70">
        <f t="shared" si="38"/>
        <v>0</v>
      </c>
      <c r="AM12" s="69"/>
      <c r="AN12" s="70">
        <f t="shared" ref="AN12:AO12" si="39">IFS(AL12="",0,(AL12-AL11)&gt;0,AL12+100,(AL12-AL11)=0,AL12+50,(AL12-AL11)&lt;0,AL12)</f>
        <v>50</v>
      </c>
      <c r="AO12" s="70">
        <f t="shared" si="39"/>
        <v>0</v>
      </c>
    </row>
    <row r="13" ht="15.75" customHeight="1">
      <c r="A13" s="27">
        <f t="shared" si="1"/>
        <v>5</v>
      </c>
      <c r="B13" s="28">
        <v>3.0</v>
      </c>
      <c r="C13" s="30" t="str">
        <f>IFERROR(__xludf.DUMMYFUNCTION("if(importrange($A$3,""CT RR Calculations (Private)!$AB$10"")=""Not Ready"",concatenate(B13,"" Seed Team""),concatenate(B13,"" "", importrange($A$3,CONCATENATE(""CT RR Calculations (Private)!"",""W"",A13))))"),"3 EO Smith HS - Team 1")</f>
        <v>3 EO Smith HS - Team 1</v>
      </c>
      <c r="D13" s="32">
        <v>146.0</v>
      </c>
      <c r="E13" s="33" t="b">
        <v>1</v>
      </c>
      <c r="F13" s="35">
        <f>IF(E13=True, IF(D13&gt;D14,2,IF(D13=D14,1,0)),0)</f>
        <v>2</v>
      </c>
      <c r="G13" s="30" t="str">
        <f>'CT Bracket'!E38</f>
        <v>16 New Canaan HS - Team 3</v>
      </c>
      <c r="H13" s="32">
        <v>26.0</v>
      </c>
      <c r="I13" s="33" t="b">
        <v>1</v>
      </c>
      <c r="J13" s="35">
        <f>IF(I13=True, IF(H13&gt;H14,2,IF(H13=H14,1,0)),0)</f>
        <v>0</v>
      </c>
      <c r="K13" s="30" t="str">
        <f>'CT Bracket'!G37</f>
        <v>9 Amity Regional HS</v>
      </c>
      <c r="L13" s="32">
        <v>62.0</v>
      </c>
      <c r="M13" s="33" t="b">
        <v>1</v>
      </c>
      <c r="N13" s="35">
        <f>IF(M13=True, IF(L13&gt;L14,2,IF(L13=L14,1,0)),0)</f>
        <v>2</v>
      </c>
      <c r="O13" s="30" t="str">
        <f>'CT Bracket'!I38</f>
        <v>9 Amity Regional HS</v>
      </c>
      <c r="P13" s="32">
        <v>18.0</v>
      </c>
      <c r="Q13" s="33" t="b">
        <v>1</v>
      </c>
      <c r="R13" s="35">
        <f>IF(Q13=True, IF(P13&gt;P14,2,IF(P13=P14,1,0)),0)</f>
        <v>0</v>
      </c>
      <c r="S13" s="30" t="str">
        <f>'CT Bracket'!K36</f>
        <v>1 Farmington HS - Team 1</v>
      </c>
      <c r="T13" s="32">
        <v>138.0</v>
      </c>
      <c r="U13" s="33" t="b">
        <v>1</v>
      </c>
      <c r="V13" s="35">
        <f>IF(U13=True, IF(T13&gt;T14,2,IF(T13=T14,1,0)),0)</f>
        <v>2</v>
      </c>
      <c r="W13" s="30" t="str">
        <f>'CT Bracket'!M38</f>
        <v>1 Farmington HS - Team 1</v>
      </c>
      <c r="X13" s="32">
        <v>90.0</v>
      </c>
      <c r="Y13" s="33" t="b">
        <v>1</v>
      </c>
      <c r="Z13" s="35">
        <f>IFS(X13="",0,(X13-X14)&gt;0,X13+100,(X13-X14)=0,X13+50,(X13-X14)&lt;0,X13)</f>
        <v>190</v>
      </c>
      <c r="AA13" s="30" t="str">
        <f>'CT Bracket'!O36</f>
        <v>2 Waterford HS - Team 1</v>
      </c>
      <c r="AB13" s="32">
        <v>58.0</v>
      </c>
      <c r="AC13" s="33" t="b">
        <v>1</v>
      </c>
      <c r="AD13" s="35">
        <f>IF(AC13=True, IF(AB13&gt;AB14,2,IF(AB13=AB14,1,0)),0)</f>
        <v>0</v>
      </c>
      <c r="AE13" s="63"/>
      <c r="AF13" s="64"/>
      <c r="AG13" s="65">
        <f t="shared" ref="AG13:AH13" si="40">IFS(AE13="",0,(AE13-AE14)&gt;0,AE13+100,(AE13-AE14)=0,AE13+50,(AE13-AE14)&lt;0,AE13)</f>
        <v>0</v>
      </c>
      <c r="AH13" s="65">
        <f t="shared" si="40"/>
        <v>0</v>
      </c>
      <c r="AI13" s="63"/>
      <c r="AJ13" s="64"/>
      <c r="AK13" s="65">
        <f t="shared" ref="AK13:AL13" si="41">IFS(AI13="",0,(AI13-AI14)&gt;0,AI13+100,(AI13-AI14)=0,AI13+50,(AI13-AI14)&lt;0,AI13)</f>
        <v>0</v>
      </c>
      <c r="AL13" s="65">
        <f t="shared" si="41"/>
        <v>0</v>
      </c>
      <c r="AM13" s="43"/>
      <c r="AN13" s="48" t="b">
        <v>0</v>
      </c>
      <c r="AO13" s="52">
        <f>IFS(AM13="",0,(AM13-AM14)&gt;0,AM13+100,(AM13-AM14)=0,AM13+50,(AM13-AM14)&lt;0,AM13)</f>
        <v>0</v>
      </c>
    </row>
    <row r="14" ht="15.75" customHeight="1">
      <c r="A14" s="27">
        <f t="shared" si="1"/>
        <v>16</v>
      </c>
      <c r="B14" s="53">
        <v>14.0</v>
      </c>
      <c r="C14" s="55" t="str">
        <f>IFERROR(__xludf.DUMMYFUNCTION("if(importrange($A$3,""CT RR Calculations (Private)!$AB$10"")=""Not Ready"",concatenate(B14,"" Seed Team""),concatenate(B14,"" "", importrange($A$3,CONCATENATE(""CT RR Calculations (Private)!"",""W"",A14))))"),"14 South Windsor HS - Team 2")</f>
        <v>14 South Windsor HS - Team 2</v>
      </c>
      <c r="D14" s="56">
        <v>28.0</v>
      </c>
      <c r="E14" s="57" t="b">
        <v>1</v>
      </c>
      <c r="F14" s="58">
        <f>IF(E14=True, IF(D14&gt;D13,2,IF(D14=D13,1,0)),0)</f>
        <v>0</v>
      </c>
      <c r="G14" s="59" t="str">
        <f>'CT Bracket'!E40</f>
        <v>8 Rocky Hill HS - Team 1</v>
      </c>
      <c r="H14" s="56">
        <v>80.0</v>
      </c>
      <c r="I14" s="57" t="b">
        <v>1</v>
      </c>
      <c r="J14" s="58">
        <f>IF(I14=True, IF(H14&gt;H13,2,IF(H14=H13,1,0)),0)</f>
        <v>2</v>
      </c>
      <c r="K14" s="59" t="str">
        <f>'CT Bracket'!G39</f>
        <v>8 Rocky Hill HS - Team 1</v>
      </c>
      <c r="L14" s="56">
        <v>52.0</v>
      </c>
      <c r="M14" s="57" t="b">
        <v>1</v>
      </c>
      <c r="N14" s="58">
        <f>IF(M14=True, IF(L14&gt;L13,2,IF(L14=L13,1,0)),0)</f>
        <v>0</v>
      </c>
      <c r="O14" s="59" t="str">
        <f>'CT Bracket'!I42</f>
        <v>5 Southington HS - Team 1</v>
      </c>
      <c r="P14" s="56">
        <v>104.0</v>
      </c>
      <c r="Q14" s="57" t="b">
        <v>1</v>
      </c>
      <c r="R14" s="58">
        <f>IF(Q14=True, IF(P14&gt;P13,2,IF(P14=P13,1,0)),0)</f>
        <v>2</v>
      </c>
      <c r="S14" s="59" t="str">
        <f>'CT Bracket'!K40</f>
        <v>5 Southington HS - Team 1</v>
      </c>
      <c r="T14" s="56">
        <v>18.0</v>
      </c>
      <c r="U14" s="57" t="b">
        <v>1</v>
      </c>
      <c r="V14" s="58">
        <f>IF(U14=True, IF(T14&gt;T13,2,IF(T14=T13,1,0)),0)</f>
        <v>0</v>
      </c>
      <c r="W14" s="59" t="str">
        <f>'CT Bracket'!M46</f>
        <v>3 EO Smith HS - Team 1</v>
      </c>
      <c r="X14" s="56">
        <v>48.0</v>
      </c>
      <c r="Y14" s="57" t="b">
        <v>1</v>
      </c>
      <c r="Z14" s="58">
        <f>IFS(X14="",0,(X14-X13)&gt;0,X14+100,(X14-X13)=0,X14+50,(X14-X13)&lt;0,X14)</f>
        <v>48</v>
      </c>
      <c r="AA14" s="59" t="str">
        <f>'CT Bracket'!O42</f>
        <v>1 Farmington HS - Team 1</v>
      </c>
      <c r="AB14" s="56">
        <v>114.0</v>
      </c>
      <c r="AC14" s="57" t="b">
        <v>1</v>
      </c>
      <c r="AD14" s="58">
        <f>IF(AC14=True, IF(AB14&gt;AB13,2,IF(AB14=AB13,1,0)),0)</f>
        <v>2</v>
      </c>
      <c r="AE14" s="68"/>
      <c r="AF14" s="69"/>
      <c r="AG14" s="70">
        <f t="shared" ref="AG14:AH14" si="42">IFS(AE14="",0,(AE14-AE13)&gt;0,AE14+100,(AE14-AE13)=0,AE14+50,(AE14-AE13)&lt;0,AE14)</f>
        <v>0</v>
      </c>
      <c r="AH14" s="70">
        <f t="shared" si="42"/>
        <v>0</v>
      </c>
      <c r="AI14" s="68"/>
      <c r="AJ14" s="69"/>
      <c r="AK14" s="70">
        <f t="shared" ref="AK14:AL14" si="43">IFS(AI14="",0,(AI14-AI13)&gt;0,AI14+100,(AI14-AI13)=0,AI14+50,(AI14-AI13)&lt;0,AI14)</f>
        <v>0</v>
      </c>
      <c r="AL14" s="70">
        <f t="shared" si="43"/>
        <v>0</v>
      </c>
      <c r="AM14" s="60"/>
      <c r="AN14" s="61" t="b">
        <v>0</v>
      </c>
      <c r="AO14" s="62">
        <f>IFS(AM14="",0,(AM14-AM13)&gt;0,AM14+100,(AM14-AM13)=0,AM14+50,(AM14-AM13)&lt;0,AM14)</f>
        <v>0</v>
      </c>
    </row>
    <row r="15" ht="15.75" customHeight="1">
      <c r="A15" s="27">
        <f t="shared" si="1"/>
        <v>8</v>
      </c>
      <c r="B15" s="28">
        <v>6.0</v>
      </c>
      <c r="C15" s="30" t="str">
        <f>IFERROR(__xludf.DUMMYFUNCTION("if(importrange($A$3,""CT RR Calculations (Private)!$AB$10"")=""Not Ready"",concatenate(B15,"" Seed Team""),concatenate(B15,"" "", importrange($A$3,CONCATENATE(""CT RR Calculations (Private)!"",""W"",A15))))"),"6 Farmington HS - Team 2")</f>
        <v>6 Farmington HS - Team 2</v>
      </c>
      <c r="D15" s="32">
        <v>64.0</v>
      </c>
      <c r="E15" s="33" t="b">
        <v>1</v>
      </c>
      <c r="F15" s="35">
        <f>IF(E15=True, IF(D15&gt;D16,2,IF(D15=D16,1,0)),0)</f>
        <v>2</v>
      </c>
      <c r="G15" s="30" t="str">
        <f>'CT Bracket'!E42</f>
        <v>12 Univ HS Sci &amp; Eng</v>
      </c>
      <c r="H15" s="32">
        <v>72.0</v>
      </c>
      <c r="I15" s="33" t="b">
        <v>1</v>
      </c>
      <c r="J15" s="35">
        <f>IF(I15=True, IF(H15&gt;H16,2,IF(H15=H16,1,0)),0)</f>
        <v>2</v>
      </c>
      <c r="K15" s="30" t="str">
        <f>'CT Bracket'!G41</f>
        <v>5 Southington HS - Team 1</v>
      </c>
      <c r="L15" s="32">
        <v>76.0</v>
      </c>
      <c r="M15" s="33" t="b">
        <v>1</v>
      </c>
      <c r="N15" s="35">
        <f>IF(M15=True, IF(L15&gt;L16,2,IF(L15=L16,1,0)),0)</f>
        <v>2</v>
      </c>
      <c r="O15" s="30" t="str">
        <f>'CT Bracket'!I46</f>
        <v>6 Farmington HS - Team 2</v>
      </c>
      <c r="P15" s="32">
        <v>52.0</v>
      </c>
      <c r="Q15" s="33" t="b">
        <v>1</v>
      </c>
      <c r="R15" s="35">
        <f>IF(Q15=True, IF(P15&gt;P16,2,IF(P15=P16,1,0)),0)</f>
        <v>0</v>
      </c>
      <c r="S15" s="30" t="str">
        <f>'CT Bracket'!K44</f>
        <v>3 EO Smith HS - Team 1</v>
      </c>
      <c r="T15" s="32">
        <v>80.0</v>
      </c>
      <c r="U15" s="33" t="b">
        <v>1</v>
      </c>
      <c r="V15" s="35">
        <f>IF(U15=True, IF(T15&gt;T16,2,IF(T15=T16,1,0)),0)</f>
        <v>2</v>
      </c>
      <c r="W15" s="89"/>
      <c r="X15" s="64"/>
      <c r="Y15" s="65">
        <f t="shared" ref="Y15:Z15" si="44">IFS(W15="",0,(W15-W16)&gt;0,W15+100,(W15-W16)=0,W15+50,(W15-W16)&lt;0,W15)</f>
        <v>0</v>
      </c>
      <c r="Z15" s="65">
        <f t="shared" si="44"/>
        <v>0</v>
      </c>
      <c r="AA15" s="89"/>
      <c r="AB15" s="64"/>
      <c r="AC15" s="65">
        <f t="shared" ref="AC15:AD15" si="45">IFS(AA15="",0,(AA15-AA16)&gt;0,AA15+100,(AA15-AA16)=0,AA15+50,(AA15-AA16)&lt;0,AA15)</f>
        <v>0</v>
      </c>
      <c r="AD15" s="65">
        <f t="shared" si="45"/>
        <v>0</v>
      </c>
      <c r="AE15" s="89"/>
      <c r="AF15" s="64"/>
      <c r="AG15" s="65">
        <f t="shared" ref="AG15:AH15" si="46">IFS(AE15="",0,(AE15-AE16)&gt;0,AE15+100,(AE15-AE16)=0,AE15+50,(AE15-AE16)&lt;0,AE15)</f>
        <v>0</v>
      </c>
      <c r="AH15" s="65">
        <f t="shared" si="46"/>
        <v>0</v>
      </c>
      <c r="AI15" s="89"/>
      <c r="AJ15" s="64"/>
      <c r="AK15" s="65">
        <f t="shared" ref="AK15:AL15" si="47">IFS(AI15="",0,(AI15-AI16)&gt;0,AI15+100,(AI15-AI16)=0,AI15+50,(AI15-AI16)&lt;0,AI15)</f>
        <v>0</v>
      </c>
      <c r="AL15" s="65">
        <f t="shared" si="47"/>
        <v>0</v>
      </c>
      <c r="AM15" s="64"/>
      <c r="AN15" s="65">
        <f t="shared" ref="AN15:AO15" si="48">IFS(AL15="",0,(AL15-AL16)&gt;0,AL15+100,(AL15-AL16)=0,AL15+50,(AL15-AL16)&lt;0,AL15)</f>
        <v>50</v>
      </c>
      <c r="AO15" s="65">
        <f t="shared" si="48"/>
        <v>0</v>
      </c>
    </row>
    <row r="16" ht="15.75" customHeight="1">
      <c r="A16" s="27">
        <f t="shared" si="1"/>
        <v>13</v>
      </c>
      <c r="B16" s="53">
        <v>11.0</v>
      </c>
      <c r="C16" s="55" t="str">
        <f>IFERROR(__xludf.DUMMYFUNCTION("if(importrange($A$3,""CT RR Calculations (Private)!$AB$10"")=""Not Ready"",concatenate(B16,"" Seed Team""),concatenate(B16,"" "", importrange($A$3,CONCATENATE(""CT RR Calculations (Private)!"",""W"",A16))))"),"11 New Canaan HS - Team 1")</f>
        <v>11 New Canaan HS - Team 1</v>
      </c>
      <c r="D16" s="56">
        <v>56.0</v>
      </c>
      <c r="E16" s="57" t="b">
        <v>1</v>
      </c>
      <c r="F16" s="58">
        <f>IF(E16=True, IF(D16&gt;D15,2,IF(D16=D15,1,0)),0)</f>
        <v>0</v>
      </c>
      <c r="G16" s="59" t="str">
        <f>'CT Bracket'!E44</f>
        <v>13 Fairfield Warde HS - Team 1</v>
      </c>
      <c r="H16" s="56">
        <v>30.0</v>
      </c>
      <c r="I16" s="57" t="b">
        <v>1</v>
      </c>
      <c r="J16" s="58">
        <f>IF(I16=True, IF(H16&gt;H15,2,IF(H16=H15,1,0)),0)</f>
        <v>0</v>
      </c>
      <c r="K16" s="59" t="str">
        <f>'CT Bracket'!G43</f>
        <v>12 Univ HS Sci &amp; Eng</v>
      </c>
      <c r="L16" s="56">
        <v>52.0</v>
      </c>
      <c r="M16" s="57" t="b">
        <v>1</v>
      </c>
      <c r="N16" s="58">
        <f>IF(M16=True, IF(L16&gt;L15,2,IF(L16=L15,1,0)),0)</f>
        <v>0</v>
      </c>
      <c r="O16" s="59" t="str">
        <f>'CT Bracket'!I50</f>
        <v>7 Loomis Chaffee - Team 1</v>
      </c>
      <c r="P16" s="56">
        <v>64.0</v>
      </c>
      <c r="Q16" s="57" t="b">
        <v>1</v>
      </c>
      <c r="R16" s="58">
        <f>IF(Q16=True, IF(P16&gt;P15,2,IF(P16=P15,1,0)),0)</f>
        <v>2</v>
      </c>
      <c r="S16" s="59" t="str">
        <f>'CT Bracket'!K48</f>
        <v>7 Loomis Chaffee - Team 1</v>
      </c>
      <c r="T16" s="56">
        <v>42.0</v>
      </c>
      <c r="U16" s="57" t="b">
        <v>1</v>
      </c>
      <c r="V16" s="58">
        <f>IF(U16=True, IF(T16&gt;T15,2,IF(T16=T15,1,0)),0)</f>
        <v>0</v>
      </c>
      <c r="W16" s="90"/>
      <c r="X16" s="69"/>
      <c r="Y16" s="70">
        <f t="shared" ref="Y16:Z16" si="49">IFS(W16="",0,(W16-W15)&gt;0,W16+100,(W16-W15)=0,W16+50,(W16-W15)&lt;0,W16)</f>
        <v>0</v>
      </c>
      <c r="Z16" s="70">
        <f t="shared" si="49"/>
        <v>0</v>
      </c>
      <c r="AA16" s="90"/>
      <c r="AB16" s="69"/>
      <c r="AC16" s="70">
        <f t="shared" ref="AC16:AD16" si="50">IFS(AA16="",0,(AA16-AA15)&gt;0,AA16+100,(AA16-AA15)=0,AA16+50,(AA16-AA15)&lt;0,AA16)</f>
        <v>0</v>
      </c>
      <c r="AD16" s="70">
        <f t="shared" si="50"/>
        <v>0</v>
      </c>
      <c r="AE16" s="90"/>
      <c r="AF16" s="69"/>
      <c r="AG16" s="70">
        <f t="shared" ref="AG16:AH16" si="51">IFS(AE16="",0,(AE16-AE15)&gt;0,AE16+100,(AE16-AE15)=0,AE16+50,(AE16-AE15)&lt;0,AE16)</f>
        <v>0</v>
      </c>
      <c r="AH16" s="70">
        <f t="shared" si="51"/>
        <v>0</v>
      </c>
      <c r="AI16" s="90"/>
      <c r="AJ16" s="69"/>
      <c r="AK16" s="70">
        <f t="shared" ref="AK16:AL16" si="52">IFS(AI16="",0,(AI16-AI15)&gt;0,AI16+100,(AI16-AI15)=0,AI16+50,(AI16-AI15)&lt;0,AI16)</f>
        <v>0</v>
      </c>
      <c r="AL16" s="70">
        <f t="shared" si="52"/>
        <v>0</v>
      </c>
      <c r="AM16" s="69"/>
      <c r="AN16" s="70">
        <f t="shared" ref="AN16:AO16" si="53">IFS(AL16="",0,(AL16-AL15)&gt;0,AL16+100,(AL16-AL15)=0,AL16+50,(AL16-AL15)&lt;0,AL16)</f>
        <v>50</v>
      </c>
      <c r="AO16" s="70">
        <f t="shared" si="53"/>
        <v>0</v>
      </c>
    </row>
    <row r="17" ht="15.75" customHeight="1">
      <c r="A17" s="27">
        <f t="shared" si="1"/>
        <v>9</v>
      </c>
      <c r="B17" s="28">
        <v>7.0</v>
      </c>
      <c r="C17" s="30" t="str">
        <f>IFERROR(__xludf.DUMMYFUNCTION("if(importrange($A$3,""CT RR Calculations (Private)!$AB$10"")=""Not Ready"",concatenate(B17,"" Seed Team""),concatenate(B17,"" "", importrange($A$3,CONCATENATE(""CT RR Calculations (Private)!"",""W"",A17))))"),"7 Loomis Chaffee - Team 1")</f>
        <v>7 Loomis Chaffee - Team 1</v>
      </c>
      <c r="D17" s="32">
        <v>116.0</v>
      </c>
      <c r="E17" s="33" t="b">
        <v>1</v>
      </c>
      <c r="F17" s="35">
        <f>IF(E17=True, IF(D17&gt;D18,2,IF(D17=D18,1,0)),0)</f>
        <v>2</v>
      </c>
      <c r="G17" s="30" t="str">
        <f>'CT Bracket'!E46</f>
        <v>14 South Windsor HS - Team 2</v>
      </c>
      <c r="H17" s="32">
        <v>68.0</v>
      </c>
      <c r="I17" s="33" t="b">
        <v>1</v>
      </c>
      <c r="J17" s="35">
        <f>IF(I17=True, IF(H17&gt;H18,2,IF(H17=H18,1,0)),0)</f>
        <v>2</v>
      </c>
      <c r="K17" s="30" t="str">
        <f>'CT Bracket'!G45</f>
        <v>6 Farmington HS - Team 2</v>
      </c>
      <c r="L17" s="32">
        <v>96.0</v>
      </c>
      <c r="M17" s="33" t="b">
        <v>1</v>
      </c>
      <c r="N17" s="35">
        <f>IF(M17=True, IF(L17&gt;L18,2,IF(L17=L18,1,0)),0)</f>
        <v>2</v>
      </c>
      <c r="O17" s="63"/>
      <c r="P17" s="64"/>
      <c r="Q17" s="65">
        <f t="shared" ref="Q17:R17" si="54">IFS(O17="",0,(O17-O18)&gt;0,O17+100,(O17-O18)=0,O17+50,(O17-O18)&lt;0,O17)</f>
        <v>0</v>
      </c>
      <c r="R17" s="65">
        <f t="shared" si="54"/>
        <v>0</v>
      </c>
      <c r="S17" s="63"/>
      <c r="T17" s="64"/>
      <c r="U17" s="65">
        <f t="shared" ref="U17:V17" si="55">IFS(S17="",0,(S17-S18)&gt;0,S17+100,(S17-S18)=0,S17+50,(S17-S18)&lt;0,S17)</f>
        <v>0</v>
      </c>
      <c r="V17" s="65">
        <f t="shared" si="55"/>
        <v>0</v>
      </c>
      <c r="W17" s="91"/>
      <c r="X17" s="92"/>
      <c r="Y17" s="93">
        <f t="shared" ref="Y17:Z17" si="56">IFS(W17="",0,(W17-W18)&gt;0,W17+100,(W17-W18)=0,W17+50,(W17-W18)&lt;0,W17)</f>
        <v>0</v>
      </c>
      <c r="Z17" s="93">
        <f t="shared" si="56"/>
        <v>0</v>
      </c>
      <c r="AA17" s="91"/>
      <c r="AB17" s="92"/>
      <c r="AC17" s="93">
        <f t="shared" ref="AC17:AD17" si="57">IFS(AA17="",0,(AA17-AA18)&gt;0,AA17+100,(AA17-AA18)=0,AA17+50,(AA17-AA18)&lt;0,AA17)</f>
        <v>0</v>
      </c>
      <c r="AD17" s="93">
        <f t="shared" si="57"/>
        <v>0</v>
      </c>
      <c r="AE17" s="91"/>
      <c r="AF17" s="92"/>
      <c r="AG17" s="93">
        <f t="shared" ref="AG17:AH17" si="58">IFS(AE17="",0,(AE17-AE18)&gt;0,AE17+100,(AE17-AE18)=0,AE17+50,(AE17-AE18)&lt;0,AE17)</f>
        <v>0</v>
      </c>
      <c r="AH17" s="93">
        <f t="shared" si="58"/>
        <v>0</v>
      </c>
      <c r="AI17" s="91"/>
      <c r="AJ17" s="92"/>
      <c r="AK17" s="93">
        <f t="shared" ref="AK17:AL17" si="59">IFS(AI17="",0,(AI17-AI18)&gt;0,AI17+100,(AI17-AI18)=0,AI17+50,(AI17-AI18)&lt;0,AI17)</f>
        <v>0</v>
      </c>
      <c r="AL17" s="93">
        <f t="shared" si="59"/>
        <v>0</v>
      </c>
      <c r="AM17" s="92"/>
      <c r="AN17" s="93">
        <f t="shared" ref="AN17:AO17" si="60">IFS(AL17="",0,(AL17-AL18)&gt;0,AL17+100,(AL17-AL18)=0,AL17+50,(AL17-AL18)&lt;0,AL17)</f>
        <v>50</v>
      </c>
      <c r="AO17" s="93">
        <f t="shared" si="60"/>
        <v>0</v>
      </c>
    </row>
    <row r="18" ht="15.75" customHeight="1">
      <c r="A18" s="27">
        <f t="shared" si="1"/>
        <v>12</v>
      </c>
      <c r="B18" s="53">
        <v>10.0</v>
      </c>
      <c r="C18" s="55" t="str">
        <f>IFERROR(__xludf.DUMMYFUNCTION("if(importrange($A$3,""CT RR Calculations (Private)!$AB$10"")=""Not Ready"",concatenate(B18,"" Seed Team""),concatenate(B18,"" "", importrange($A$3,CONCATENATE(""CT RR Calculations (Private)!"",""W"",A18))))"),"10 Greenwich HS - Team 2")</f>
        <v>10 Greenwich HS - Team 2</v>
      </c>
      <c r="D18" s="56">
        <v>26.0</v>
      </c>
      <c r="E18" s="57" t="b">
        <v>1</v>
      </c>
      <c r="F18" s="58">
        <f>IF(E18=True, IF(D18&gt;D17,2,IF(D18=D17,1,0)),0)</f>
        <v>0</v>
      </c>
      <c r="G18" s="59" t="str">
        <f>'CT Bracket'!E48</f>
        <v>11 New Canaan HS - Team 1</v>
      </c>
      <c r="H18" s="56">
        <v>16.0</v>
      </c>
      <c r="I18" s="57" t="b">
        <v>1</v>
      </c>
      <c r="J18" s="58">
        <f>IF(I18=True, IF(H18&gt;H17,2,IF(H18=H17,1,0)),0)</f>
        <v>0</v>
      </c>
      <c r="K18" s="59" t="str">
        <f>'CT Bracket'!G47</f>
        <v>14 South Windsor HS - Team 2</v>
      </c>
      <c r="L18" s="56">
        <v>20.0</v>
      </c>
      <c r="M18" s="57" t="b">
        <v>1</v>
      </c>
      <c r="N18" s="58">
        <f>IF(M18=True, IF(L18&gt;L17,2,IF(L18=L17,1,0)),0)</f>
        <v>0</v>
      </c>
      <c r="O18" s="68"/>
      <c r="P18" s="69"/>
      <c r="Q18" s="70">
        <f t="shared" ref="Q18:R18" si="61">IFS(O18="",0,(O18-O17)&gt;0,O18+100,(O18-O17)=0,O18+50,(O18-O17)&lt;0,O18)</f>
        <v>0</v>
      </c>
      <c r="R18" s="70">
        <f t="shared" si="61"/>
        <v>0</v>
      </c>
      <c r="S18" s="68"/>
      <c r="T18" s="69"/>
      <c r="U18" s="70">
        <f t="shared" ref="U18:V18" si="62">IFS(S18="",0,(S18-S17)&gt;0,S18+100,(S18-S17)=0,S18+50,(S18-S17)&lt;0,S18)</f>
        <v>0</v>
      </c>
      <c r="V18" s="70">
        <f t="shared" si="62"/>
        <v>0</v>
      </c>
      <c r="W18" s="90"/>
      <c r="X18" s="69"/>
      <c r="Y18" s="70">
        <f t="shared" ref="Y18:Z18" si="63">IFS(W18="",0,(W18-W17)&gt;0,W18+100,(W18-W17)=0,W18+50,(W18-W17)&lt;0,W18)</f>
        <v>0</v>
      </c>
      <c r="Z18" s="70">
        <f t="shared" si="63"/>
        <v>0</v>
      </c>
      <c r="AA18" s="90"/>
      <c r="AB18" s="69"/>
      <c r="AC18" s="70">
        <f t="shared" ref="AC18:AD18" si="64">IFS(AA18="",0,(AA18-AA17)&gt;0,AA18+100,(AA18-AA17)=0,AA18+50,(AA18-AA17)&lt;0,AA18)</f>
        <v>0</v>
      </c>
      <c r="AD18" s="70">
        <f t="shared" si="64"/>
        <v>0</v>
      </c>
      <c r="AE18" s="90"/>
      <c r="AF18" s="69"/>
      <c r="AG18" s="70">
        <f t="shared" ref="AG18:AH18" si="65">IFS(AE18="",0,(AE18-AE17)&gt;0,AE18+100,(AE18-AE17)=0,AE18+50,(AE18-AE17)&lt;0,AE18)</f>
        <v>0</v>
      </c>
      <c r="AH18" s="70">
        <f t="shared" si="65"/>
        <v>0</v>
      </c>
      <c r="AI18" s="90"/>
      <c r="AJ18" s="69"/>
      <c r="AK18" s="70">
        <f t="shared" ref="AK18:AL18" si="66">IFS(AI18="",0,(AI18-AI17)&gt;0,AI18+100,(AI18-AI17)=0,AI18+50,(AI18-AI17)&lt;0,AI18)</f>
        <v>0</v>
      </c>
      <c r="AL18" s="70">
        <f t="shared" si="66"/>
        <v>0</v>
      </c>
      <c r="AM18" s="69"/>
      <c r="AN18" s="70">
        <f t="shared" ref="AN18:AO18" si="67">IFS(AL18="",0,(AL18-AL17)&gt;0,AL18+100,(AL18-AL17)=0,AL18+50,(AL18-AL17)&lt;0,AL18)</f>
        <v>50</v>
      </c>
      <c r="AO18" s="70">
        <f t="shared" si="67"/>
        <v>0</v>
      </c>
    </row>
    <row r="19" ht="15.75" customHeight="1">
      <c r="A19" s="27">
        <f t="shared" si="1"/>
        <v>17</v>
      </c>
      <c r="B19" s="28">
        <v>15.0</v>
      </c>
      <c r="C19" s="30" t="str">
        <f>IFERROR(__xludf.DUMMYFUNCTION("if(importrange($A$3,""CT RR Calculations (Private)!$AB$10"")=""Not Ready"",concatenate(B19,"" Seed Team""),concatenate(B19,"" "", importrange($A$3,CONCATENATE(""CT RR Calculations (Private)!"",""W"",A19))))"),"15 EO Smith HS - Team 2")</f>
        <v>15 EO Smith HS - Team 2</v>
      </c>
      <c r="D19" s="32">
        <v>8.0</v>
      </c>
      <c r="E19" s="33" t="b">
        <v>1</v>
      </c>
      <c r="F19" s="35">
        <f>IF(E19=True, IF(D19&gt;D20,2,IF(D19=D20,1,0)),0)</f>
        <v>0</v>
      </c>
      <c r="G19" s="30" t="str">
        <f>'CT Bracket'!E50</f>
        <v>10 Greenwich HS - Team 2</v>
      </c>
      <c r="H19" s="32">
        <v>30.0</v>
      </c>
      <c r="I19" s="33" t="b">
        <v>1</v>
      </c>
      <c r="J19" s="35">
        <f>IF(I19=True, IF(H19&gt;H20,2,IF(H19=H20,1,0)),0)</f>
        <v>0</v>
      </c>
      <c r="K19" s="30" t="str">
        <f>'CT Bracket'!G49</f>
        <v>7 Loomis Chaffee - Team 1</v>
      </c>
      <c r="L19" s="32">
        <v>120.0</v>
      </c>
      <c r="M19" s="33" t="b">
        <v>1</v>
      </c>
      <c r="N19" s="35">
        <f>IF(M19=True, IF(L19&gt;L20,2,IF(L19=L20,1,0)),0)</f>
        <v>2</v>
      </c>
      <c r="O19" s="63"/>
      <c r="P19" s="64"/>
      <c r="Q19" s="65">
        <f t="shared" ref="Q19:R19" si="68">IFS(O19="",0,(O19-O20)&gt;0,O19+100,(O19-O20)=0,O19+50,(O19-O20)&lt;0,O19)</f>
        <v>0</v>
      </c>
      <c r="R19" s="65">
        <f t="shared" si="68"/>
        <v>0</v>
      </c>
      <c r="S19" s="63"/>
      <c r="T19" s="64"/>
      <c r="U19" s="65">
        <f t="shared" ref="U19:V19" si="69">IFS(S19="",0,(S19-S20)&gt;0,S19+100,(S19-S20)=0,S19+50,(S19-S20)&lt;0,S19)</f>
        <v>0</v>
      </c>
      <c r="V19" s="65">
        <f t="shared" si="69"/>
        <v>0</v>
      </c>
      <c r="W19" s="63"/>
      <c r="X19" s="64"/>
      <c r="Y19" s="65">
        <f t="shared" ref="Y19:Z19" si="70">IFS(W19="",0,(W19-W20)&gt;0,W19+100,(W19-W20)=0,W19+50,(W19-W20)&lt;0,W19)</f>
        <v>0</v>
      </c>
      <c r="Z19" s="65">
        <f t="shared" si="70"/>
        <v>0</v>
      </c>
      <c r="AA19" s="63"/>
      <c r="AB19" s="64"/>
      <c r="AC19" s="65">
        <f t="shared" ref="AC19:AD19" si="71">IFS(AA19="",0,(AA19-AA20)&gt;0,AA19+100,(AA19-AA20)=0,AA19+50,(AA19-AA20)&lt;0,AA19)</f>
        <v>0</v>
      </c>
      <c r="AD19" s="65">
        <f t="shared" si="71"/>
        <v>0</v>
      </c>
      <c r="AE19" s="63"/>
      <c r="AF19" s="64"/>
      <c r="AG19" s="65">
        <f t="shared" ref="AG19:AH19" si="72">IFS(AE19="",0,(AE19-AE20)&gt;0,AE19+100,(AE19-AE20)=0,AE19+50,(AE19-AE20)&lt;0,AE19)</f>
        <v>0</v>
      </c>
      <c r="AH19" s="65">
        <f t="shared" si="72"/>
        <v>0</v>
      </c>
      <c r="AI19" s="63"/>
      <c r="AJ19" s="64"/>
      <c r="AK19" s="65">
        <f t="shared" ref="AK19:AL19" si="73">IFS(AI19="",0,(AI19-AI20)&gt;0,AI19+100,(AI19-AI20)=0,AI19+50,(AI19-AI20)&lt;0,AI19)</f>
        <v>0</v>
      </c>
      <c r="AL19" s="65">
        <f t="shared" si="73"/>
        <v>0</v>
      </c>
      <c r="AM19" s="64"/>
      <c r="AN19" s="65">
        <f t="shared" ref="AN19:AO19" si="74">IFS(AL19="",0,(AL19-AL20)&gt;0,AL19+100,(AL19-AL20)=0,AL19+50,(AL19-AL20)&lt;0,AL19)</f>
        <v>50</v>
      </c>
      <c r="AO19" s="65">
        <f t="shared" si="74"/>
        <v>0</v>
      </c>
    </row>
    <row r="20" ht="15.75" customHeight="1">
      <c r="A20" s="27">
        <f t="shared" si="1"/>
        <v>4</v>
      </c>
      <c r="B20" s="53">
        <v>2.0</v>
      </c>
      <c r="C20" s="55" t="str">
        <f>IFERROR(__xludf.DUMMYFUNCTION("if(importrange($A$3,""CT RR Calculations (Private)!$AB$10"")=""Not Ready"",concatenate(B20,"" Seed Team""),concatenate(B20,"" "", importrange($A$3,CONCATENATE(""CT RR Calculations (Private)!"",""W"",A20))))"),"2 Waterford HS - Team 1")</f>
        <v>2 Waterford HS - Team 1</v>
      </c>
      <c r="D20" s="56">
        <v>164.0</v>
      </c>
      <c r="E20" s="57" t="b">
        <v>1</v>
      </c>
      <c r="F20" s="58">
        <f>IF(E20=True, IF(D20&gt;D19,2,IF(D20=D19,1,0)),0)</f>
        <v>2</v>
      </c>
      <c r="G20" s="59" t="str">
        <f>'CT Bracket'!E52</f>
        <v>15 EO Smith HS - Team 2</v>
      </c>
      <c r="H20" s="56">
        <v>88.0</v>
      </c>
      <c r="I20" s="57" t="b">
        <v>1</v>
      </c>
      <c r="J20" s="58">
        <f>IF(I20=True, IF(H20&gt;H19,2,IF(H20=H19,1,0)),0)</f>
        <v>2</v>
      </c>
      <c r="K20" s="59" t="str">
        <f>'CT Bracket'!G51</f>
        <v>15 EO Smith HS - Team 2</v>
      </c>
      <c r="L20" s="56">
        <v>18.0</v>
      </c>
      <c r="M20" s="57" t="b">
        <v>1</v>
      </c>
      <c r="N20" s="58">
        <f>IF(M20=True, IF(L20&gt;L19,2,IF(L20=L19,1,0)),0)</f>
        <v>0</v>
      </c>
      <c r="O20" s="68"/>
      <c r="P20" s="69"/>
      <c r="Q20" s="70">
        <f t="shared" ref="Q20:R20" si="75">IFS(O20="",0,(O20-O19)&gt;0,O20+100,(O20-O19)=0,O20+50,(O20-O19)&lt;0,O20)</f>
        <v>0</v>
      </c>
      <c r="R20" s="70">
        <f t="shared" si="75"/>
        <v>0</v>
      </c>
      <c r="S20" s="68"/>
      <c r="T20" s="69"/>
      <c r="U20" s="70">
        <f t="shared" ref="U20:V20" si="76">IFS(S20="",0,(S20-S19)&gt;0,S20+100,(S20-S19)=0,S20+50,(S20-S19)&lt;0,S20)</f>
        <v>0</v>
      </c>
      <c r="V20" s="70">
        <f t="shared" si="76"/>
        <v>0</v>
      </c>
      <c r="W20" s="68"/>
      <c r="X20" s="69"/>
      <c r="Y20" s="70">
        <f t="shared" ref="Y20:Z20" si="77">IFS(W20="",0,(W20-W19)&gt;0,W20+100,(W20-W19)=0,W20+50,(W20-W19)&lt;0,W20)</f>
        <v>0</v>
      </c>
      <c r="Z20" s="70">
        <f t="shared" si="77"/>
        <v>0</v>
      </c>
      <c r="AA20" s="68"/>
      <c r="AB20" s="69"/>
      <c r="AC20" s="70">
        <f t="shared" ref="AC20:AD20" si="78">IFS(AA20="",0,(AA20-AA19)&gt;0,AA20+100,(AA20-AA19)=0,AA20+50,(AA20-AA19)&lt;0,AA20)</f>
        <v>0</v>
      </c>
      <c r="AD20" s="70">
        <f t="shared" si="78"/>
        <v>0</v>
      </c>
      <c r="AE20" s="68"/>
      <c r="AF20" s="69"/>
      <c r="AG20" s="70">
        <f t="shared" ref="AG20:AH20" si="79">IFS(AE20="",0,(AE20-AE19)&gt;0,AE20+100,(AE20-AE19)=0,AE20+50,(AE20-AE19)&lt;0,AE20)</f>
        <v>0</v>
      </c>
      <c r="AH20" s="70">
        <f t="shared" si="79"/>
        <v>0</v>
      </c>
      <c r="AI20" s="68"/>
      <c r="AJ20" s="69"/>
      <c r="AK20" s="70">
        <f t="shared" ref="AK20:AL20" si="80">IFS(AI20="",0,(AI20-AI19)&gt;0,AI20+100,(AI20-AI19)=0,AI20+50,(AI20-AI19)&lt;0,AI20)</f>
        <v>0</v>
      </c>
      <c r="AL20" s="70">
        <f t="shared" si="80"/>
        <v>0</v>
      </c>
      <c r="AM20" s="69"/>
      <c r="AN20" s="70">
        <f t="shared" ref="AN20:AO20" si="81">IFS(AL20="",0,(AL20-AL19)&gt;0,AL20+100,(AL20-AL19)=0,AL20+50,(AL20-AL19)&lt;0,AL20)</f>
        <v>50</v>
      </c>
      <c r="AO20" s="70">
        <f t="shared" si="81"/>
        <v>0</v>
      </c>
    </row>
    <row r="21" ht="15.75" customHeight="1">
      <c r="A21" s="27"/>
      <c r="B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A2:AD2"/>
    <mergeCell ref="AE2:AH2"/>
    <mergeCell ref="AI2:AL2"/>
    <mergeCell ref="B1:J1"/>
    <mergeCell ref="C2:F2"/>
    <mergeCell ref="G2:J2"/>
    <mergeCell ref="K2:N2"/>
    <mergeCell ref="O2:R2"/>
    <mergeCell ref="S2:V2"/>
    <mergeCell ref="W2:Z2"/>
    <mergeCell ref="AE3:AH3"/>
    <mergeCell ref="AI3:AL3"/>
    <mergeCell ref="C3:F3"/>
    <mergeCell ref="G3:J3"/>
    <mergeCell ref="K3:N3"/>
    <mergeCell ref="O3:R3"/>
    <mergeCell ref="S3:V3"/>
    <mergeCell ref="W3:Z3"/>
    <mergeCell ref="AA3:AD3"/>
  </mergeCells>
  <hyperlinks>
    <hyperlink r:id="rId1" location="gid=61864676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2.63"/>
    <col customWidth="1" min="3" max="3" width="25.63"/>
    <col customWidth="1" min="4" max="4" width="12.63"/>
    <col customWidth="1" min="5" max="5" width="25.63"/>
    <col customWidth="1" min="6" max="6" width="12.63"/>
    <col customWidth="1" min="7" max="7" width="23.0"/>
    <col customWidth="1" min="9" max="9" width="21.75"/>
    <col customWidth="1" min="11" max="11" width="21.5"/>
    <col customWidth="1" min="13" max="13" width="22.13"/>
    <col customWidth="1" min="15" max="15" width="22.13"/>
    <col customWidth="1" min="17" max="17" width="22.13"/>
    <col customWidth="1" min="19" max="19" width="22.25"/>
    <col customWidth="1" min="20" max="20" width="22.13"/>
  </cols>
  <sheetData>
    <row r="1" ht="15.75" customHeight="1">
      <c r="C1" s="9">
        <v>6.0</v>
      </c>
      <c r="E1" s="9">
        <v>7.0</v>
      </c>
      <c r="G1" s="9">
        <v>8.0</v>
      </c>
      <c r="I1" s="9">
        <v>9.0</v>
      </c>
      <c r="K1" s="9">
        <v>10.0</v>
      </c>
      <c r="M1" s="9">
        <v>11.0</v>
      </c>
      <c r="O1" s="9">
        <v>12.0</v>
      </c>
      <c r="Q1" s="9">
        <v>13.0</v>
      </c>
      <c r="S1" s="9">
        <v>14.0</v>
      </c>
    </row>
    <row r="2" ht="15.75" customHeight="1">
      <c r="C2" s="11" t="s">
        <v>12</v>
      </c>
      <c r="E2" s="9" t="s">
        <v>13</v>
      </c>
      <c r="G2" s="9" t="s">
        <v>14</v>
      </c>
      <c r="I2" s="9" t="s">
        <v>15</v>
      </c>
      <c r="K2" s="9" t="s">
        <v>16</v>
      </c>
      <c r="M2" s="9" t="s">
        <v>17</v>
      </c>
      <c r="O2" s="9" t="s">
        <v>18</v>
      </c>
      <c r="Q2" s="9" t="s">
        <v>19</v>
      </c>
      <c r="S2" s="9" t="s">
        <v>20</v>
      </c>
    </row>
    <row r="3" ht="15.75" customHeight="1">
      <c r="A3" s="13"/>
      <c r="C3" s="15">
        <v>0.59375</v>
      </c>
      <c r="E3" s="15">
        <v>0.625</v>
      </c>
      <c r="G3" s="17">
        <v>0.6458333333333334</v>
      </c>
      <c r="I3" s="15">
        <f>'CT Championship Scores (Public)'!O3</f>
        <v>0.6770833333</v>
      </c>
      <c r="K3" s="15">
        <f>'CT Championship Scores (Public)'!S3</f>
        <v>0.6979166667</v>
      </c>
      <c r="M3" s="15">
        <f>'CT Championship Scores (Public)'!W3</f>
        <v>0.71875</v>
      </c>
      <c r="O3" s="15">
        <f>'CT Championship Scores (Public)'!AA3</f>
        <v>0.75</v>
      </c>
      <c r="Q3" s="15">
        <f>'CT Championship Scores (Public)'!AE3</f>
        <v>0.7777777778</v>
      </c>
      <c r="S3" s="15">
        <v>0.8090277777777778</v>
      </c>
      <c r="U3" s="13"/>
      <c r="V3" s="13"/>
      <c r="W3" s="13"/>
      <c r="X3" s="13"/>
      <c r="Y3" s="13"/>
      <c r="Z3" s="13"/>
    </row>
    <row r="4" ht="15.75" customHeight="1">
      <c r="A4" s="29"/>
      <c r="C4" s="31"/>
      <c r="D4" s="29"/>
      <c r="F4" s="29"/>
      <c r="H4" s="29"/>
      <c r="J4" s="29"/>
      <c r="L4" s="29"/>
      <c r="N4" s="29"/>
      <c r="P4" s="29"/>
      <c r="R4" s="29"/>
      <c r="T4" s="34"/>
    </row>
    <row r="5" ht="15.75" customHeight="1">
      <c r="A5" s="29"/>
      <c r="C5" s="36" t="str">
        <f>'CT Championship Scores (Public)'!C5</f>
        <v>1 Farmington HS - Team 1</v>
      </c>
      <c r="D5" s="37"/>
      <c r="E5" s="38"/>
      <c r="F5" s="29"/>
      <c r="H5" s="29"/>
      <c r="J5" s="29"/>
      <c r="L5" s="29"/>
      <c r="N5" s="29"/>
      <c r="P5" s="29"/>
      <c r="R5" s="29"/>
      <c r="T5" s="34"/>
    </row>
    <row r="6" ht="15.75" customHeight="1">
      <c r="A6" s="31" t="s">
        <v>26</v>
      </c>
      <c r="B6" s="39" t="s">
        <v>27</v>
      </c>
      <c r="C6" s="31"/>
      <c r="D6" s="40"/>
      <c r="E6" s="41" t="str">
        <f>if(and('CT Championship Scores (Public)'!$E$5=true,'CT Championship Scores (Public)'!$E$6=true),if('CT Championship Scores (Public)'!$F$5&gt;'CT Championship Scores (Public)'!$F$6,'CT Championship Scores (Public)'!$C$5,'CT Championship Scores (Public)'!$C$6),"Winner Seed 1 v 16")</f>
        <v>1 Farmington HS - Team 1</v>
      </c>
      <c r="F6" s="42"/>
      <c r="G6" s="44" t="str">
        <f>if(and('CT Championship Scores (Public)'!$I$5=true,'CT Championship Scores (Public)'!$I$6=true),if('CT Championship Scores (Public)'!$J$5&gt;'CT Championship Scores (Public)'!$J$6,'CT Championship Scores (Public)'!$G$5,'CT Championship Scores (Public)'!$G$6),concatenate("Winner ",E8," Round 2"))</f>
        <v>1 Farmington HS - Team 1</v>
      </c>
      <c r="H6" s="29"/>
      <c r="I6" s="29"/>
      <c r="J6" s="29"/>
      <c r="N6" s="29"/>
      <c r="P6" s="29"/>
      <c r="R6" s="29"/>
      <c r="T6" s="34"/>
    </row>
    <row r="7" ht="15.75" customHeight="1">
      <c r="A7" s="45"/>
      <c r="C7" s="36" t="str">
        <f>'CT Championship Scores (Public)'!C6</f>
        <v>16 New Canaan HS - Team 3</v>
      </c>
      <c r="D7" s="47"/>
      <c r="E7" s="31"/>
      <c r="F7" s="40"/>
      <c r="G7" s="31"/>
      <c r="H7" s="29"/>
      <c r="J7" s="29"/>
      <c r="L7" s="29"/>
      <c r="N7" s="29"/>
      <c r="P7" s="29"/>
      <c r="R7" s="29"/>
      <c r="T7" s="34"/>
    </row>
    <row r="8" ht="15.75" customHeight="1">
      <c r="A8" s="29"/>
      <c r="C8" s="31"/>
      <c r="D8" s="31"/>
      <c r="E8" s="31" t="str">
        <f>B6</f>
        <v>SHH 101</v>
      </c>
      <c r="F8" s="40"/>
      <c r="G8" s="49" t="s">
        <v>28</v>
      </c>
      <c r="H8" s="50"/>
      <c r="I8" s="51" t="str">
        <f>G6</f>
        <v>1 Farmington HS - Team 1</v>
      </c>
      <c r="J8" s="42"/>
      <c r="K8" s="29"/>
      <c r="L8" s="29"/>
      <c r="N8" s="29"/>
      <c r="P8" s="29"/>
      <c r="R8" s="29"/>
      <c r="T8" s="34"/>
    </row>
    <row r="9" ht="15.75" customHeight="1">
      <c r="A9" s="29"/>
      <c r="C9" s="54" t="str">
        <f>'CT Championship Scores (Public)'!C7</f>
        <v>8 Rocky Hill HS - Team 1</v>
      </c>
      <c r="D9" s="37"/>
      <c r="E9" s="38"/>
      <c r="F9" s="40"/>
      <c r="G9" s="31"/>
      <c r="H9" s="29"/>
      <c r="J9" s="40"/>
      <c r="K9" s="31"/>
      <c r="L9" s="29"/>
      <c r="N9" s="29"/>
      <c r="P9" s="29"/>
      <c r="R9" s="29"/>
      <c r="T9" s="34"/>
    </row>
    <row r="10" ht="15.75" customHeight="1">
      <c r="A10" s="31" t="s">
        <v>29</v>
      </c>
      <c r="B10" s="39" t="s">
        <v>30</v>
      </c>
      <c r="C10" s="31"/>
      <c r="D10" s="40"/>
      <c r="E10" s="41" t="str">
        <f>if(and('CT Championship Scores (Public)'!$E$7=true,'CT Championship Scores (Public)'!$E$8=true),if('CT Championship Scores (Public)'!$F$7&gt;'CT Championship Scores (Public)'!$F$8,'CT Championship Scores (Public)'!$C$7,'CT Championship Scores (Public)'!$C$8),"Winner Seed 8 v 9")</f>
        <v>9 Amity Regional HS</v>
      </c>
      <c r="F10" s="47"/>
      <c r="G10" s="31"/>
      <c r="H10" s="29"/>
      <c r="J10" s="40"/>
      <c r="K10" s="31"/>
      <c r="L10" s="29"/>
      <c r="N10" s="29"/>
      <c r="P10" s="29"/>
      <c r="R10" s="29"/>
      <c r="T10" s="34"/>
    </row>
    <row r="11" ht="15.75" customHeight="1">
      <c r="A11" s="45"/>
      <c r="C11" s="54" t="str">
        <f>'CT Championship Scores (Public)'!C8</f>
        <v>9 Amity Regional HS</v>
      </c>
      <c r="D11" s="47"/>
      <c r="E11" s="31"/>
      <c r="F11" s="29"/>
      <c r="H11" s="29"/>
      <c r="J11" s="40"/>
      <c r="K11" s="31"/>
      <c r="L11" s="29"/>
      <c r="N11" s="29"/>
      <c r="P11" s="29"/>
      <c r="R11" s="29"/>
      <c r="T11" s="34"/>
    </row>
    <row r="12" ht="15.75" customHeight="1">
      <c r="A12" s="29"/>
      <c r="C12" s="31"/>
      <c r="D12" s="29"/>
      <c r="F12" s="29"/>
      <c r="H12" s="31"/>
      <c r="I12" s="31" t="str">
        <f>E8</f>
        <v>SHH 101</v>
      </c>
      <c r="J12" s="40"/>
      <c r="K12" s="49" t="s">
        <v>28</v>
      </c>
      <c r="L12" s="50"/>
      <c r="M12" s="51" t="str">
        <f>if(and('CT Championship Scores (Public)'!$Q$5=true,'CT Championship Scores (Public)'!$Q$6=true),if('CT Championship Scores (Public)'!$R$5&gt;'CT Championship Scores (Public)'!$R$6,'CT Championship Scores (Public)'!$O$5,'CT Championship Scores (Public)'!$O$6),concatenate("Winner ",I12," Round 4"))</f>
        <v>4 Greenwich HS - Team 1</v>
      </c>
      <c r="N12" s="42"/>
      <c r="O12" s="29"/>
      <c r="P12" s="29"/>
      <c r="R12" s="29"/>
      <c r="T12" s="34"/>
    </row>
    <row r="13" ht="15.75" customHeight="1">
      <c r="A13" s="29"/>
      <c r="C13" s="36" t="str">
        <f>'CT Championship Scores (Public)'!C9</f>
        <v>5 Southington HS - Team 1</v>
      </c>
      <c r="D13" s="37"/>
      <c r="E13" s="38"/>
      <c r="F13" s="29"/>
      <c r="H13" s="29"/>
      <c r="J13" s="40"/>
      <c r="K13" s="31"/>
      <c r="L13" s="29"/>
      <c r="N13" s="40"/>
      <c r="O13" s="31"/>
      <c r="P13" s="29"/>
      <c r="R13" s="29"/>
      <c r="T13" s="34"/>
    </row>
    <row r="14" ht="15.75" customHeight="1">
      <c r="A14" s="31" t="s">
        <v>31</v>
      </c>
      <c r="B14" s="39" t="s">
        <v>32</v>
      </c>
      <c r="C14" s="31"/>
      <c r="D14" s="40"/>
      <c r="E14" s="41" t="str">
        <f>if(and('CT Championship Scores (Public)'!$E$9=true,'CT Championship Scores (Public)'!$E$10=true),if('CT Championship Scores (Public)'!$F$9&gt;'CT Championship Scores (Public)'!$F$10,'CT Championship Scores (Public)'!$C$9,'CT Championship Scores (Public)'!$C$10),"Winner Seed 5 v 12")</f>
        <v>5 Southington HS - Team 1</v>
      </c>
      <c r="F14" s="42"/>
      <c r="G14" s="44" t="str">
        <f>if(and('CT Championship Scores (Public)'!$I$7=true,'CT Championship Scores (Public)'!$I$8=true),if('CT Championship Scores (Public)'!$J$7&gt;'CT Championship Scores (Public)'!$J$8,'CT Championship Scores (Public)'!$G$7,'CT Championship Scores (Public)'!$G$8),concatenate("Winner ",E16," Round 2"))</f>
        <v>4 Greenwich HS - Team 1</v>
      </c>
      <c r="H14" s="29"/>
      <c r="J14" s="40"/>
      <c r="K14" s="31"/>
      <c r="L14" s="29"/>
      <c r="N14" s="40"/>
      <c r="O14" s="31"/>
      <c r="P14" s="29"/>
      <c r="R14" s="29"/>
      <c r="T14" s="34"/>
    </row>
    <row r="15" ht="15.75" customHeight="1">
      <c r="A15" s="45"/>
      <c r="C15" s="36" t="str">
        <f>'CT Championship Scores (Public)'!C10</f>
        <v>12 Univ HS Sci &amp; Eng</v>
      </c>
      <c r="D15" s="47"/>
      <c r="E15" s="31"/>
      <c r="F15" s="40"/>
      <c r="G15" s="31"/>
      <c r="H15" s="29"/>
      <c r="J15" s="40"/>
      <c r="K15" s="31"/>
      <c r="L15" s="29"/>
      <c r="N15" s="40"/>
      <c r="O15" s="31"/>
      <c r="P15" s="29"/>
      <c r="R15" s="29"/>
      <c r="T15" s="34"/>
    </row>
    <row r="16" ht="15.75" customHeight="1">
      <c r="A16" s="29"/>
      <c r="C16" s="31"/>
      <c r="D16" s="31"/>
      <c r="E16" s="31" t="str">
        <f>B14</f>
        <v>SHH 108</v>
      </c>
      <c r="F16" s="40"/>
      <c r="G16" s="49" t="s">
        <v>28</v>
      </c>
      <c r="H16" s="50"/>
      <c r="I16" s="51" t="str">
        <f>G14</f>
        <v>4 Greenwich HS - Team 1</v>
      </c>
      <c r="J16" s="47"/>
      <c r="K16" s="31"/>
      <c r="L16" s="29"/>
      <c r="N16" s="40"/>
      <c r="O16" s="31"/>
      <c r="P16" s="29"/>
      <c r="R16" s="29"/>
      <c r="T16" s="34"/>
    </row>
    <row r="17" ht="15.75" customHeight="1">
      <c r="A17" s="29"/>
      <c r="C17" s="54" t="str">
        <f>'CT Championship Scores (Public)'!C11</f>
        <v>13 Fairfield Warde HS - Team 1</v>
      </c>
      <c r="D17" s="42"/>
      <c r="E17" s="29"/>
      <c r="F17" s="40"/>
      <c r="G17" s="31"/>
      <c r="H17" s="29"/>
      <c r="J17" s="29"/>
      <c r="L17" s="29"/>
      <c r="N17" s="40"/>
      <c r="O17" s="31"/>
      <c r="P17" s="29"/>
      <c r="R17" s="29"/>
      <c r="T17" s="34"/>
    </row>
    <row r="18" ht="15.75" customHeight="1">
      <c r="A18" s="31" t="s">
        <v>33</v>
      </c>
      <c r="B18" s="39" t="s">
        <v>34</v>
      </c>
      <c r="C18" s="31"/>
      <c r="D18" s="40"/>
      <c r="E18" s="41" t="str">
        <f>if(and('CT Championship Scores (Public)'!$E$11=true,'CT Championship Scores (Public)'!$E$12=true),if('CT Championship Scores (Public)'!$F$11&gt;'CT Championship Scores (Public)'!$F$12,'CT Championship Scores (Public)'!$C$11,'CT Championship Scores (Public)'!$C$12),"Winner Seed 13 v 4")</f>
        <v>4 Greenwich HS - Team 1</v>
      </c>
      <c r="F18" s="47"/>
      <c r="G18" s="31"/>
      <c r="H18" s="29"/>
      <c r="J18" s="29"/>
      <c r="L18" s="29"/>
      <c r="N18" s="40"/>
      <c r="O18" s="31"/>
      <c r="P18" s="29"/>
      <c r="R18" s="29"/>
      <c r="T18" s="34"/>
    </row>
    <row r="19" ht="15.75" customHeight="1">
      <c r="A19" s="45"/>
      <c r="C19" s="54" t="str">
        <f>'CT Championship Scores (Public)'!C12</f>
        <v>4 Greenwich HS - Team 1</v>
      </c>
      <c r="D19" s="66"/>
      <c r="E19" s="31"/>
      <c r="F19" s="29"/>
      <c r="H19" s="29"/>
      <c r="J19" s="29"/>
      <c r="L19" s="29"/>
      <c r="N19" s="40"/>
      <c r="O19" s="31"/>
      <c r="P19" s="29"/>
      <c r="R19" s="29"/>
      <c r="T19" s="34"/>
    </row>
    <row r="20" ht="15.75" customHeight="1">
      <c r="A20" s="29"/>
      <c r="C20" s="31"/>
      <c r="D20" s="29"/>
      <c r="F20" s="29"/>
      <c r="H20" s="29"/>
      <c r="J20" s="29"/>
      <c r="L20" s="31"/>
      <c r="M20" s="31" t="str">
        <f>I12</f>
        <v>SHH 101</v>
      </c>
      <c r="N20" s="40"/>
      <c r="O20" s="49" t="s">
        <v>28</v>
      </c>
      <c r="P20" s="50"/>
      <c r="Q20" s="51" t="str">
        <f>if(and('CT Championship Scores (Public)'!$Y$5=true,'CT Championship Scores (Public)'!$Y$6=true),if('CT Championship Scores (Public)'!$Z$5&gt;'CT Championship Scores (Public)'!$Z$6,'CT Championship Scores (Public)'!$W$5,'CT Championship Scores (Public)'!$W$6),concatenate("Winner ",M20," Round 6"))</f>
        <v>4 Greenwich HS - Team 1</v>
      </c>
      <c r="R20" s="42"/>
      <c r="S20" s="29"/>
      <c r="T20" s="34"/>
    </row>
    <row r="21" ht="15.75" customHeight="1">
      <c r="A21" s="29"/>
      <c r="C21" s="67" t="str">
        <f>'CT Championship Scores (Public)'!C13</f>
        <v>3 EO Smith HS - Team 1</v>
      </c>
      <c r="D21" s="37"/>
      <c r="E21" s="38"/>
      <c r="F21" s="29"/>
      <c r="H21" s="29"/>
      <c r="J21" s="29"/>
      <c r="L21" s="29"/>
      <c r="N21" s="40"/>
      <c r="O21" s="31"/>
      <c r="P21" s="29"/>
      <c r="R21" s="40"/>
      <c r="S21" s="31"/>
      <c r="T21" s="34"/>
    </row>
    <row r="22" ht="15.75" customHeight="1">
      <c r="A22" s="31" t="s">
        <v>35</v>
      </c>
      <c r="B22" s="39" t="s">
        <v>36</v>
      </c>
      <c r="C22" s="31"/>
      <c r="D22" s="40"/>
      <c r="E22" s="41" t="str">
        <f>if(and('CT Championship Scores (Public)'!$E$13=true,'CT Championship Scores (Public)'!$E$14=true),if('CT Championship Scores (Public)'!$F$13&gt;'CT Championship Scores (Public)'!$F$14,'CT Championship Scores (Public)'!$C$13,'CT Championship Scores (Public)'!$C$14),"Winner Seed 3 v 14")</f>
        <v>3 EO Smith HS - Team 1</v>
      </c>
      <c r="F22" s="42"/>
      <c r="G22" s="44" t="str">
        <f>if(and('CT Championship Scores (Public)'!$I$9=true,'CT Championship Scores (Public)'!$I$10=true),if('CT Championship Scores (Public)'!$J$9&gt;'CT Championship Scores (Public)'!$J$10,'CT Championship Scores (Public)'!$G$9,'CT Championship Scores (Public)'!$G$10),concatenate("Winner ",E24," Round 2"))</f>
        <v>3 EO Smith HS - Team 1</v>
      </c>
      <c r="H22" s="29"/>
      <c r="J22" s="29"/>
      <c r="L22" s="29"/>
      <c r="N22" s="40"/>
      <c r="O22" s="31"/>
      <c r="P22" s="29"/>
      <c r="R22" s="40"/>
      <c r="S22" s="31"/>
      <c r="T22" s="34"/>
    </row>
    <row r="23" ht="15.75" customHeight="1">
      <c r="A23" s="45"/>
      <c r="C23" s="36" t="str">
        <f>'CT Championship Scores (Public)'!C14</f>
        <v>14 South Windsor HS - Team 2</v>
      </c>
      <c r="D23" s="47"/>
      <c r="E23" s="31"/>
      <c r="F23" s="40"/>
      <c r="G23" s="31"/>
      <c r="H23" s="29"/>
      <c r="J23" s="29"/>
      <c r="L23" s="29"/>
      <c r="N23" s="40"/>
      <c r="O23" s="31"/>
      <c r="P23" s="29"/>
      <c r="R23" s="40"/>
      <c r="S23" s="31"/>
      <c r="T23" s="34"/>
    </row>
    <row r="24" ht="15.75" customHeight="1">
      <c r="A24" s="29"/>
      <c r="C24" s="31"/>
      <c r="D24" s="31"/>
      <c r="E24" s="31" t="str">
        <f>B22</f>
        <v>SHH 106</v>
      </c>
      <c r="F24" s="40"/>
      <c r="G24" s="49" t="s">
        <v>28</v>
      </c>
      <c r="H24" s="50"/>
      <c r="I24" s="51" t="str">
        <f>G22</f>
        <v>3 EO Smith HS - Team 1</v>
      </c>
      <c r="J24" s="42"/>
      <c r="K24" s="29"/>
      <c r="L24" s="29"/>
      <c r="N24" s="40"/>
      <c r="O24" s="31"/>
      <c r="P24" s="29"/>
      <c r="R24" s="40"/>
      <c r="S24" s="31"/>
      <c r="T24" s="34"/>
    </row>
    <row r="25" ht="15.75" customHeight="1">
      <c r="A25" s="29"/>
      <c r="C25" s="54" t="str">
        <f>'CT Championship Scores (Public)'!C15</f>
        <v>6 Farmington HS - Team 2</v>
      </c>
      <c r="D25" s="37"/>
      <c r="E25" s="38"/>
      <c r="F25" s="40"/>
      <c r="G25" s="31"/>
      <c r="H25" s="29"/>
      <c r="J25" s="40"/>
      <c r="K25" s="31"/>
      <c r="L25" s="29"/>
      <c r="N25" s="40"/>
      <c r="O25" s="31"/>
      <c r="P25" s="29"/>
      <c r="R25" s="40"/>
      <c r="S25" s="31"/>
      <c r="T25" s="34"/>
    </row>
    <row r="26" ht="15.75" customHeight="1">
      <c r="A26" s="31" t="s">
        <v>37</v>
      </c>
      <c r="B26" s="39" t="s">
        <v>38</v>
      </c>
      <c r="C26" s="31"/>
      <c r="D26" s="40"/>
      <c r="E26" s="41" t="str">
        <f>if(and('CT Championship Scores (Public)'!$E$15=true,'CT Championship Scores (Public)'!$E$16=true),if('CT Championship Scores (Public)'!$F$15&gt;'CT Championship Scores (Public)'!$F$16,'CT Championship Scores (Public)'!$C$15,'CT Championship Scores (Public)'!$C$16),"Winner Seed 6 v 11")</f>
        <v>6 Farmington HS - Team 2</v>
      </c>
      <c r="F26" s="47"/>
      <c r="G26" s="31"/>
      <c r="H26" s="29"/>
      <c r="J26" s="40"/>
      <c r="K26" s="31"/>
      <c r="L26" s="29"/>
      <c r="N26" s="40"/>
      <c r="O26" s="31"/>
      <c r="P26" s="29"/>
      <c r="R26" s="40"/>
      <c r="S26" s="31"/>
      <c r="T26" s="34"/>
    </row>
    <row r="27" ht="15.75" customHeight="1">
      <c r="A27" s="45"/>
      <c r="C27" s="54" t="str">
        <f>'CT Championship Scores (Public)'!C16</f>
        <v>11 New Canaan HS - Team 1</v>
      </c>
      <c r="D27" s="47"/>
      <c r="E27" s="31"/>
      <c r="F27" s="29"/>
      <c r="H27" s="29"/>
      <c r="J27" s="40"/>
      <c r="K27" s="31"/>
      <c r="L27" s="29"/>
      <c r="N27" s="40"/>
      <c r="O27" s="31"/>
      <c r="P27" s="29"/>
      <c r="R27" s="40"/>
      <c r="S27" s="31"/>
      <c r="T27" s="34"/>
    </row>
    <row r="28" ht="15.75" customHeight="1">
      <c r="A28" s="29"/>
      <c r="C28" s="31"/>
      <c r="D28" s="29"/>
      <c r="F28" s="29"/>
      <c r="H28" s="31"/>
      <c r="I28" s="31" t="str">
        <f>E32</f>
        <v>SHH 104</v>
      </c>
      <c r="J28" s="40"/>
      <c r="K28" s="49" t="s">
        <v>28</v>
      </c>
      <c r="L28" s="50"/>
      <c r="M28" s="51" t="str">
        <f>if(and('CT Championship Scores (Public)'!$Q$7=true,'CT Championship Scores (Public)'!$Q$8=true),if('CT Championship Scores (Public)'!$R$7&gt;'CT Championship Scores (Public)'!$R$8,'CT Championship Scores (Public)'!$O$7,'CT Championship Scores (Public)'!$O$8),concatenate("Winner ",I28," Round 4"))</f>
        <v>2 Waterford HS - Team 1</v>
      </c>
      <c r="N28" s="47"/>
      <c r="O28" s="31"/>
      <c r="P28" s="29"/>
      <c r="R28" s="40"/>
      <c r="S28" s="31"/>
      <c r="T28" s="34"/>
    </row>
    <row r="29" ht="15.75" customHeight="1">
      <c r="A29" s="29"/>
      <c r="C29" s="36" t="str">
        <f>'CT Championship Scores (Public)'!C17</f>
        <v>7 Loomis Chaffee - Team 1</v>
      </c>
      <c r="D29" s="42"/>
      <c r="E29" s="29"/>
      <c r="F29" s="29"/>
      <c r="H29" s="29"/>
      <c r="J29" s="40"/>
      <c r="K29" s="31"/>
      <c r="L29" s="29"/>
      <c r="N29" s="29"/>
      <c r="P29" s="29"/>
      <c r="R29" s="40"/>
      <c r="S29" s="31"/>
      <c r="T29" s="34"/>
    </row>
    <row r="30" ht="15.75" customHeight="1">
      <c r="A30" s="31" t="s">
        <v>39</v>
      </c>
      <c r="B30" s="39" t="s">
        <v>40</v>
      </c>
      <c r="C30" s="31"/>
      <c r="D30" s="40"/>
      <c r="E30" s="41" t="str">
        <f>if(and('CT Championship Scores (Public)'!$E$17=true,'CT Championship Scores (Public)'!$E$18=true),if('CT Championship Scores (Public)'!$F$17&gt;'CT Championship Scores (Public)'!$F$18,'CT Championship Scores (Public)'!$C$17,'CT Championship Scores (Public)'!$C$18),"Winner Seed 7 v 10")</f>
        <v>7 Loomis Chaffee - Team 1</v>
      </c>
      <c r="F30" s="42"/>
      <c r="G30" s="44" t="str">
        <f>if(and('CT Championship Scores (Public)'!$I$11=true,'CT Championship Scores (Public)'!$I$12=true),if('CT Championship Scores (Public)'!$J$11&gt;'CT Championship Scores (Public)'!$J$12,'CT Championship Scores (Public)'!$G$11,'CT Championship Scores (Public)'!$G$12),concatenate("Winner ",E32," Round 2"))</f>
        <v>2 Waterford HS - Team 1</v>
      </c>
      <c r="H30" s="29"/>
      <c r="J30" s="40"/>
      <c r="K30" s="31"/>
      <c r="L30" s="29"/>
      <c r="N30" s="29"/>
      <c r="P30" s="31"/>
      <c r="Q30" s="31" t="str">
        <f>M20</f>
        <v>SHH 101</v>
      </c>
      <c r="R30" s="40"/>
      <c r="S30" s="51" t="str">
        <f>if(and('CT Championship Scores (Public)'!$AG$5=true,'CT Championship Scores (Public)'!$AG$6=true),if('CT Championship Scores (Public)'!$AH$5&gt;'CT Championship Scores (Public)'!$AH$6,'CT Championship Scores (Public)'!$AE$5,'CT Championship Scores (Public)'!$AE$6),concatenate("Winner ",Q30," Round 8"))</f>
        <v>1 Farmington HS - Team 1</v>
      </c>
      <c r="T30" s="71"/>
    </row>
    <row r="31" ht="15.75" customHeight="1">
      <c r="A31" s="45"/>
      <c r="C31" s="36" t="str">
        <f>'CT Championship Scores (Public)'!C18</f>
        <v>10 Greenwich HS - Team 2</v>
      </c>
      <c r="D31" s="66"/>
      <c r="E31" s="31"/>
      <c r="F31" s="40"/>
      <c r="G31" s="31"/>
      <c r="H31" s="29"/>
      <c r="J31" s="40"/>
      <c r="K31" s="31"/>
      <c r="L31" s="29"/>
      <c r="N31" s="29"/>
      <c r="P31" s="29"/>
      <c r="R31" s="40"/>
      <c r="S31" s="72"/>
      <c r="T31" s="73" t="s">
        <v>41</v>
      </c>
    </row>
    <row r="32" ht="15.75" customHeight="1">
      <c r="A32" s="29"/>
      <c r="C32" s="31"/>
      <c r="D32" s="31"/>
      <c r="E32" s="31" t="str">
        <f>B30</f>
        <v>SHH 104</v>
      </c>
      <c r="F32" s="40"/>
      <c r="G32" s="49" t="s">
        <v>28</v>
      </c>
      <c r="H32" s="50"/>
      <c r="I32" s="51" t="str">
        <f>G30</f>
        <v>2 Waterford HS - Team 1</v>
      </c>
      <c r="J32" s="47"/>
      <c r="K32" s="31"/>
      <c r="L32" s="29"/>
      <c r="N32" s="29"/>
      <c r="P32" s="29"/>
      <c r="R32" s="40"/>
      <c r="S32" s="74"/>
      <c r="T32" s="71"/>
    </row>
    <row r="33" ht="15.75" customHeight="1">
      <c r="A33" s="29"/>
      <c r="C33" s="54" t="str">
        <f>'CT Championship Scores (Public)'!C19</f>
        <v>15 EO Smith HS - Team 2</v>
      </c>
      <c r="D33" s="42"/>
      <c r="E33" s="29"/>
      <c r="F33" s="40"/>
      <c r="G33" s="75"/>
      <c r="H33" s="29"/>
      <c r="J33" s="29"/>
      <c r="L33" s="29"/>
      <c r="N33" s="29"/>
      <c r="P33" s="29"/>
      <c r="R33" s="40"/>
      <c r="S33" s="76" t="str">
        <f>R30</f>
        <v/>
      </c>
      <c r="T33" s="71"/>
    </row>
    <row r="34" ht="15.75" customHeight="1">
      <c r="A34" s="31" t="s">
        <v>42</v>
      </c>
      <c r="B34" s="39" t="s">
        <v>43</v>
      </c>
      <c r="C34" s="31"/>
      <c r="D34" s="40"/>
      <c r="E34" s="41" t="str">
        <f>if(and('CT Championship Scores (Public)'!$E$19=true,'CT Championship Scores (Public)'!$E$20=true),if('CT Championship Scores (Public)'!$F$19&gt;'CT Championship Scores (Public)'!$F$20,'CT Championship Scores (Public)'!$C$19,'CT Championship Scores (Public)'!$C$20),"Winner Seed 15 v 2")</f>
        <v>2 Waterford HS - Team 1</v>
      </c>
      <c r="F34" s="47"/>
      <c r="G34" s="31"/>
      <c r="H34" s="29"/>
      <c r="J34" s="29"/>
      <c r="L34" s="29"/>
      <c r="N34" s="29"/>
      <c r="P34" s="29"/>
      <c r="R34" s="40"/>
      <c r="S34" s="74"/>
      <c r="T34" s="71"/>
    </row>
    <row r="35" ht="15.75" customHeight="1">
      <c r="A35" s="45"/>
      <c r="C35" s="54" t="str">
        <f>'CT Championship Scores (Public)'!C20</f>
        <v>2 Waterford HS - Team 1</v>
      </c>
      <c r="D35" s="66"/>
      <c r="E35" s="31"/>
      <c r="F35" s="29"/>
      <c r="H35" s="29"/>
      <c r="J35" s="29"/>
      <c r="L35" s="29"/>
      <c r="N35" s="29"/>
      <c r="P35" s="29"/>
      <c r="R35" s="40"/>
      <c r="S35" s="74"/>
      <c r="T35" s="71"/>
    </row>
    <row r="36" ht="15.75" customHeight="1">
      <c r="A36" s="29"/>
      <c r="C36" s="31"/>
      <c r="D36" s="29"/>
      <c r="F36" s="29"/>
      <c r="H36" s="29"/>
      <c r="J36" s="31"/>
      <c r="K36" s="77" t="str">
        <f>if(and('CT Championship Scores (Public)'!$Q$5=true,'CT Championship Scores (Public)'!$Q$6=true),if('CT Championship Scores (Public)'!$R$5&gt;'CT Championship Scores (Public)'!$R$6,'CT Championship Scores (Public)'!$O$6,'CT Championship Scores (Public)'!$O$5),concatenate("Loser ",I12," Round 4"))</f>
        <v>1 Farmington HS - Team 1</v>
      </c>
      <c r="L36" s="42"/>
      <c r="M36" s="29"/>
      <c r="N36" s="31"/>
      <c r="O36" s="77" t="str">
        <f>if(and('CT Championship Scores (Public)'!$Y$5=true,'CT Championship Scores (Public)'!$Y$6=true),if('CT Championship Scores (Public)'!$Z$5&gt;'CT Championship Scores (Public)'!$Z$6,'CT Championship Scores (Public)'!$W$6,'CT Championship Scores (Public)'!$W$5),concatenate("Loser ",M20," Round 6"))</f>
        <v>2 Waterford HS - Team 1</v>
      </c>
      <c r="P36" s="42"/>
      <c r="Q36" s="29"/>
      <c r="R36" s="40"/>
      <c r="S36" s="78" t="s">
        <v>44</v>
      </c>
      <c r="T36" s="71"/>
    </row>
    <row r="37" ht="15.75" customHeight="1">
      <c r="A37" s="29"/>
      <c r="C37" s="31"/>
      <c r="D37" s="29"/>
      <c r="F37" s="31"/>
      <c r="G37" s="77" t="str">
        <f>if(and('CT Championship Scores (Public)'!$I$5=true,'CT Championship Scores (Public)'!$I$6=true),if('CT Championship Scores (Public)'!$J$5&gt;'CT Championship Scores (Public)'!$J$6,'CT Championship Scores (Public)'!$G$6,'CT Championship Scores (Public)'!$G$5),concatenate("Loser ",E8," Round 2"))</f>
        <v>9 Amity Regional HS</v>
      </c>
      <c r="H37" s="42"/>
      <c r="I37" s="29"/>
      <c r="J37" s="29"/>
      <c r="L37" s="40"/>
      <c r="M37" s="31"/>
      <c r="N37" s="29"/>
      <c r="P37" s="40"/>
      <c r="Q37" s="31"/>
      <c r="R37" s="40"/>
      <c r="S37" s="31"/>
      <c r="T37" s="34"/>
    </row>
    <row r="38" ht="15.75" customHeight="1">
      <c r="A38" s="29"/>
      <c r="C38" s="31"/>
      <c r="D38" s="31" t="s">
        <v>45</v>
      </c>
      <c r="E38" s="79" t="str">
        <f>if(and('CT Championship Scores (Public)'!$E$5=true,'CT Championship Scores (Public)'!$E$6=true),if('CT Championship Scores (Public)'!$F$5&gt;'CT Championship Scores (Public)'!$F$6,'CT Championship Scores (Public)'!$C$6,'CT Championship Scores (Public)'!$C$5),"Loser Seed 1 v 16")</f>
        <v>16 New Canaan HS - Team 3</v>
      </c>
      <c r="F38" s="80"/>
      <c r="G38" s="31" t="str">
        <f>E39</f>
        <v>SHH 111</v>
      </c>
      <c r="H38" s="40"/>
      <c r="I38" s="81" t="str">
        <f>if(and('CT Championship Scores (Public)'!$M$13=true,'CT Championship Scores (Public)'!$M$14=true),if('CT Championship Scores (Public)'!$N$13&gt;'CT Championship Scores (Public)'!$N$14,'CT Championship Scores (Public)'!$K$13,'CT Championship Scores (Public)'!$K$14),concatenate("Winner ",G38," Round 3"))</f>
        <v>9 Amity Regional HS</v>
      </c>
      <c r="J38" s="80"/>
      <c r="K38" s="39" t="s">
        <v>30</v>
      </c>
      <c r="L38" s="40"/>
      <c r="M38" s="82" t="str">
        <f>if(and('CT Championship Scores (Public)'!$U$13=true,'CT Championship Scores (Public)'!$U$14=true),if('CT Championship Scores (Public)'!$V$13&gt;'CT Championship Scores (Public)'!$V$14,'CT Championship Scores (Public)'!$S$13,'CT Championship Scores (Public)'!$S$14),concatenate("Winner ",K38," Round 5"))</f>
        <v>1 Farmington HS - Team 1</v>
      </c>
      <c r="N38" s="42"/>
      <c r="O38" s="29"/>
      <c r="P38" s="40"/>
      <c r="Q38" s="31"/>
      <c r="R38" s="40"/>
      <c r="S38" s="31"/>
      <c r="T38" s="34"/>
    </row>
    <row r="39" ht="15.75" customHeight="1">
      <c r="A39" s="29"/>
      <c r="C39" s="31"/>
      <c r="D39" s="31"/>
      <c r="E39" s="39" t="s">
        <v>46</v>
      </c>
      <c r="F39" s="40"/>
      <c r="G39" s="83" t="str">
        <f>if(and('CT Championship Scores (Public)'!$I$13=true,'CT Championship Scores (Public)'!$I$14=true),if('CT Championship Scores (Public)'!$J$13&gt;'CT Championship Scores (Public)'!$J$14,'CT Championship Scores (Public)'!$G$13,'CT Championship Scores (Public)'!$G$14),concatenate("Winner ",E39," Round 2"))</f>
        <v>8 Rocky Hill HS - Team 1</v>
      </c>
      <c r="H39" s="47"/>
      <c r="I39" s="31"/>
      <c r="J39" s="40"/>
      <c r="K39" s="31"/>
      <c r="L39" s="40"/>
      <c r="M39" s="31"/>
      <c r="N39" s="40"/>
      <c r="O39" s="31" t="str">
        <f>M42</f>
        <v>SHH 109</v>
      </c>
      <c r="P39" s="40"/>
      <c r="Q39" s="84" t="str">
        <f>if(and('CT Championship Scores (Public)'!$AC$13=true,'CT Championship Scores (Public)'!$AC$14=true),if('CT Championship Scores (Public)'!$AD$13&gt;'CT Championship Scores (Public)'!$AD$14,'CT Championship Scores (Public)'!$AA$13,'CT Championship Scores (Public)'!$AA$14),concatenate("Winner ",O39," Round 7"))</f>
        <v>1 Farmington HS - Team 1</v>
      </c>
      <c r="R39" s="47"/>
      <c r="S39" s="31"/>
      <c r="T39" s="34"/>
    </row>
    <row r="40" ht="15.75" customHeight="1">
      <c r="A40" s="29"/>
      <c r="C40" s="31"/>
      <c r="D40" s="31" t="s">
        <v>47</v>
      </c>
      <c r="E40" s="79" t="str">
        <f>if(and('CT Championship Scores (Public)'!$E$7=true,'CT Championship Scores (Public)'!$E$8=true),if('CT Championship Scores (Public)'!$F$7&gt;'CT Championship Scores (Public)'!$F$8,'CT Championship Scores (Public)'!$C$8,'CT Championship Scores (Public)'!$C$7),"Loser Seed 8 v 9")</f>
        <v>8 Rocky Hill HS - Team 1</v>
      </c>
      <c r="F40" s="47"/>
      <c r="G40" s="31"/>
      <c r="H40" s="31"/>
      <c r="I40" s="31" t="str">
        <f>G42</f>
        <v>SHH 109</v>
      </c>
      <c r="J40" s="40"/>
      <c r="K40" s="85" t="str">
        <f>if(and('CT Championship Scores (Public)'!$Q$13=true,'CT Championship Scores (Public)'!$Q$14=true),if('CT Championship Scores (Public)'!$R$13&gt;'CT Championship Scores (Public)'!$R$14,'CT Championship Scores (Public)'!$O$13,'CT Championship Scores (Public)'!$O$14),concatenate("Winner ",I40," Round 4"))</f>
        <v>5 Southington HS - Team 1</v>
      </c>
      <c r="L40" s="47"/>
      <c r="M40" s="31"/>
      <c r="N40" s="40"/>
      <c r="O40" s="31"/>
      <c r="P40" s="40"/>
      <c r="Q40" s="31"/>
      <c r="R40" s="29"/>
      <c r="T40" s="34"/>
    </row>
    <row r="41" ht="15.75" customHeight="1">
      <c r="A41" s="29"/>
      <c r="C41" s="31"/>
      <c r="D41" s="29"/>
      <c r="F41" s="31"/>
      <c r="G41" s="86" t="str">
        <f>if(and('CT Championship Scores (Public)'!$I$7=true,'CT Championship Scores (Public)'!$I$8=true),if('CT Championship Scores (Public)'!$J$7&gt;'CT Championship Scores (Public)'!$J$8,'CT Championship Scores (Public)'!$G$8,'CT Championship Scores (Public)'!$G$7),concatenate("Loser ",E16," Round 2"))</f>
        <v>5 Southington HS - Team 1</v>
      </c>
      <c r="H41" s="42"/>
      <c r="I41" s="29"/>
      <c r="J41" s="40"/>
      <c r="K41" s="31"/>
      <c r="L41" s="29"/>
      <c r="N41" s="40"/>
      <c r="O41" s="31"/>
      <c r="P41" s="40"/>
      <c r="Q41" s="31"/>
      <c r="R41" s="29"/>
      <c r="T41" s="34"/>
    </row>
    <row r="42" ht="15.75" customHeight="1">
      <c r="A42" s="29"/>
      <c r="C42" s="31"/>
      <c r="D42" s="31" t="s">
        <v>48</v>
      </c>
      <c r="E42" s="79" t="str">
        <f>if(and('CT Championship Scores (Public)'!$E$9=true,'CT Championship Scores (Public)'!$E$10=true),if('CT Championship Scores (Public)'!$F$9&gt;'CT Championship Scores (Public)'!$F$10,'CT Championship Scores (Public)'!$C$10,'CT Championship Scores (Public)'!$C$9),"Loser Seed 5 v 12")</f>
        <v>12 Univ HS Sci &amp; Eng</v>
      </c>
      <c r="F42" s="80"/>
      <c r="G42" s="31" t="str">
        <f>E43</f>
        <v>SHH 109</v>
      </c>
      <c r="H42" s="40"/>
      <c r="I42" s="81" t="str">
        <f>if(and('CT Championship Scores (Public)'!$M$15=true,'CT Championship Scores (Public)'!$M$16=true),if('CT Championship Scores (Public)'!$N$15&gt;'CT Championship Scores (Public)'!$N$16,'CT Championship Scores (Public)'!$K$15,'CT Championship Scores (Public)'!$J$16),concatenate("Winner ",G42," Round 3"))</f>
        <v>5 Southington HS - Team 1</v>
      </c>
      <c r="J42" s="47"/>
      <c r="K42" s="31"/>
      <c r="L42" s="31"/>
      <c r="M42" s="31" t="str">
        <f>K38</f>
        <v>SHH 109</v>
      </c>
      <c r="N42" s="40"/>
      <c r="O42" s="82" t="str">
        <f>if(and('CT Championship Scores (Public)'!$Y$13=true,'CT Championship Scores (Public)'!$Y$14=true),if('CT Championship Scores (Public)'!$Z$13&gt;'CT Championship Scores (Public)'!$Z$14,'CT Championship Scores (Public)'!$W$13,'CT Championship Scores (Public)'!$W$14),concatenate("Winner ",M42," Round 6"))</f>
        <v>1 Farmington HS - Team 1</v>
      </c>
      <c r="P42" s="47"/>
      <c r="Q42" s="31"/>
      <c r="R42" s="29"/>
      <c r="T42" s="34"/>
    </row>
    <row r="43" ht="15.75" customHeight="1">
      <c r="A43" s="29"/>
      <c r="C43" s="31"/>
      <c r="D43" s="31"/>
      <c r="E43" s="39" t="s">
        <v>30</v>
      </c>
      <c r="F43" s="40"/>
      <c r="G43" s="83" t="str">
        <f>if(and('CT Championship Scores (Public)'!$I$15=true,'CT Championship Scores (Public)'!$I$16=true),if('CT Championship Scores (Public)'!$J$15&gt;'CT Championship Scores (Public)'!$J$16,'CT Championship Scores (Public)'!$G$15,'CT Championship Scores (Public)'!$G$16),concatenate("Winner ",E43," Round 2"))</f>
        <v>12 Univ HS Sci &amp; Eng</v>
      </c>
      <c r="H43" s="47"/>
      <c r="I43" s="31"/>
      <c r="J43" s="29"/>
      <c r="L43" s="29"/>
      <c r="N43" s="40"/>
      <c r="O43" s="31"/>
      <c r="P43" s="29"/>
      <c r="R43" s="29"/>
      <c r="T43" s="34"/>
    </row>
    <row r="44" ht="15.75" customHeight="1">
      <c r="A44" s="29"/>
      <c r="C44" s="31"/>
      <c r="D44" s="31" t="s">
        <v>49</v>
      </c>
      <c r="E44" s="79" t="str">
        <f>if(and('CT Championship Scores (Public)'!$E$11=true,'CT Championship Scores (Public)'!$E$12=true),if('CT Championship Scores (Public)'!$F$11&gt;'CT Championship Scores (Public)'!$F$12,'CT Championship Scores (Public)'!$C$12,'CT Championship Scores (Public)'!$C$11),"Loser Seed 13 v 4")</f>
        <v>13 Fairfield Warde HS - Team 1</v>
      </c>
      <c r="F44" s="47"/>
      <c r="G44" s="31"/>
      <c r="H44" s="29"/>
      <c r="J44" s="31"/>
      <c r="K44" s="77" t="str">
        <f>if(and('CT Championship Scores (Public)'!$Q$7=true,'CT Championship Scores (Public)'!$Q$8=true),if('CT Championship Scores (Public)'!$R$7&gt;'CT Championship Scores (Public)'!$R$8,'CT Championship Scores (Public)'!$O$8,'CT Championship Scores (Public)'!$O$7),concatenate("Loser ",I28," Round 4"))</f>
        <v>3 EO Smith HS - Team 1</v>
      </c>
      <c r="L44" s="42"/>
      <c r="M44" s="29"/>
      <c r="N44" s="40"/>
      <c r="O44" s="31"/>
      <c r="P44" s="29"/>
      <c r="R44" s="29"/>
      <c r="T44" s="34"/>
    </row>
    <row r="45" ht="15.75" customHeight="1">
      <c r="A45" s="87"/>
      <c r="C45" s="31"/>
      <c r="D45" s="29"/>
      <c r="F45" s="31"/>
      <c r="G45" s="86" t="str">
        <f>if(and('CT Championship Scores (Public)'!$I$9=true,'CT Championship Scores (Public)'!$I$10=true),if('CT Championship Scores (Public)'!$J$9&gt;'CT Championship Scores (Public)'!$J$10,'CT Championship Scores (Public)'!$G$10,'CT Championship Scores (Public)'!$G$9),concatenate("Loser ",E24," Round 2"))</f>
        <v>6 Farmington HS - Team 2</v>
      </c>
      <c r="H45" s="42"/>
      <c r="I45" s="29"/>
      <c r="J45" s="29"/>
      <c r="L45" s="40"/>
      <c r="M45" s="31"/>
      <c r="N45" s="40"/>
      <c r="O45" s="31"/>
      <c r="P45" s="29"/>
      <c r="R45" s="29"/>
      <c r="T45" s="88"/>
    </row>
    <row r="46" ht="15.75" customHeight="1">
      <c r="A46" s="87"/>
      <c r="C46" s="31"/>
      <c r="D46" s="31" t="s">
        <v>50</v>
      </c>
      <c r="E46" s="79" t="str">
        <f>if(and('CT Championship Scores (Public)'!$E$13=true,'CT Championship Scores (Public)'!$E$14=true),if('CT Championship Scores (Public)'!$F$13&gt;'CT Championship Scores (Public)'!$F$14,'CT Championship Scores (Public)'!$C$14,'CT Championship Scores (Public)'!$C$13),"Loser Seed 3 v 14")</f>
        <v>14 South Windsor HS - Team 2</v>
      </c>
      <c r="F46" s="80"/>
      <c r="G46" s="31" t="str">
        <f>E47</f>
        <v>SHH 112</v>
      </c>
      <c r="H46" s="40"/>
      <c r="I46" s="81" t="str">
        <f>if(and('CT Championship Scores (Public)'!$M$17=true,'CT Championship Scores (Public)'!$M$18=true),if('CT Championship Scores (Public)'!$N$17&gt;'CT Championship Scores (Public)'!$N$18,'CT Championship Scores (Public)'!$K$17,'CT Championship Scores (Public)'!$K$18),concatenate("Winner ",G46," Round 3"))</f>
        <v>6 Farmington HS - Team 2</v>
      </c>
      <c r="J46" s="80"/>
      <c r="K46" s="39" t="s">
        <v>27</v>
      </c>
      <c r="L46" s="40"/>
      <c r="M46" s="82" t="str">
        <f>if(and('CT Championship Scores (Public)'!$U$15=true,'CT Championship Scores (Public)'!$U$16=true),if('CT Championship Scores (Public)'!$V$15&gt;'CT Championship Scores (Public)'!$V$16,'CT Championship Scores (Public)'!$S$15,'CT Championship Scores (Public)'!$S$16),concatenate("Winner ",K46," Round 5"))</f>
        <v>3 EO Smith HS - Team 1</v>
      </c>
      <c r="N46" s="47"/>
      <c r="O46" s="31"/>
      <c r="P46" s="29"/>
      <c r="R46" s="29"/>
      <c r="T46" s="88"/>
    </row>
    <row r="47" ht="15.75" customHeight="1">
      <c r="A47" s="87"/>
      <c r="C47" s="31"/>
      <c r="D47" s="31"/>
      <c r="E47" s="39" t="s">
        <v>51</v>
      </c>
      <c r="F47" s="40"/>
      <c r="G47" s="83" t="str">
        <f>if(and('CT Championship Scores (Public)'!$I$17=true,'CT Championship Scores (Public)'!$I$18=true),if('CT Championship Scores (Public)'!$J$17&gt;'CT Championship Scores (Public)'!$J$18,'CT Championship Scores (Public)'!$G$17,'CT Championship Scores (Public)'!$G$18),concatenate("Winner ",E47," Round 2"))</f>
        <v>14 South Windsor HS - Team 2</v>
      </c>
      <c r="H47" s="47"/>
      <c r="I47" s="31"/>
      <c r="J47" s="40"/>
      <c r="K47" s="31"/>
      <c r="L47" s="40"/>
      <c r="M47" s="31"/>
      <c r="N47" s="29"/>
      <c r="P47" s="29"/>
      <c r="R47" s="29"/>
      <c r="T47" s="88"/>
    </row>
    <row r="48" ht="15.75" customHeight="1">
      <c r="A48" s="87"/>
      <c r="C48" s="31"/>
      <c r="D48" s="31" t="s">
        <v>52</v>
      </c>
      <c r="E48" s="79" t="str">
        <f>if(and('CT Championship Scores (Public)'!$E$15=true,'CT Championship Scores (Public)'!$E$16=true),if('CT Championship Scores (Public)'!$F$15&gt;'CT Championship Scores (Public)'!$F$16,'CT Championship Scores (Public)'!$C$16,'CT Championship Scores (Public)'!$C$15),"Loser Seed 6 v 11")</f>
        <v>11 New Canaan HS - Team 1</v>
      </c>
      <c r="F48" s="47"/>
      <c r="G48" s="31"/>
      <c r="H48" s="31"/>
      <c r="I48" s="31" t="str">
        <f>G46</f>
        <v>SHH 112</v>
      </c>
      <c r="J48" s="40"/>
      <c r="K48" s="85" t="str">
        <f>if(and('CT Championship Scores (Public)'!$Q$15=true,'CT Championship Scores (Public)'!$Q$16=true),if('CT Championship Scores (Public)'!$R$15&gt;'CT Championship Scores (Public)'!$R$16,'CT Championship Scores (Public)'!$O$15,'CT Championship Scores (Public)'!$O$16),concatenate("Winner ",I48," Round 4"))</f>
        <v>7 Loomis Chaffee - Team 1</v>
      </c>
      <c r="L48" s="47"/>
      <c r="M48" s="31"/>
      <c r="N48" s="29"/>
      <c r="P48" s="29"/>
      <c r="R48" s="29"/>
      <c r="T48" s="88"/>
    </row>
    <row r="49" ht="15.75" customHeight="1">
      <c r="A49" s="87"/>
      <c r="C49" s="31"/>
      <c r="D49" s="29"/>
      <c r="F49" s="31"/>
      <c r="G49" s="86" t="str">
        <f>if(and('CT Championship Scores (Public)'!$I$11=true,'CT Championship Scores (Public)'!$I$12=true),if('CT Championship Scores (Public)'!$J$11&gt;'CT Championship Scores (Public)'!$J$12,'CT Championship Scores (Public)'!$G$12,'CT Championship Scores (Public)'!$G$11),concatenate("Loser ",E32," Round 2"))</f>
        <v>7 Loomis Chaffee - Team 1</v>
      </c>
      <c r="H49" s="42"/>
      <c r="I49" s="29"/>
      <c r="J49" s="40"/>
      <c r="K49" s="31"/>
      <c r="L49" s="29"/>
      <c r="N49" s="29"/>
      <c r="P49" s="29"/>
      <c r="R49" s="29"/>
      <c r="T49" s="88"/>
    </row>
    <row r="50" ht="15.75" customHeight="1">
      <c r="A50" s="87"/>
      <c r="C50" s="31"/>
      <c r="D50" s="31" t="s">
        <v>53</v>
      </c>
      <c r="E50" s="79" t="str">
        <f>if(and('CT Championship Scores (Public)'!$E$17=true,'CT Championship Scores (Public)'!$E$18=true),if('CT Championship Scores (Public)'!$F$17&gt;'CT Championship Scores (Public)'!$F$18,'CT Championship Scores (Public)'!$C$18,'CT Championship Scores (Public)'!$C$17),"Loser Seed 7 v 10")</f>
        <v>10 Greenwich HS - Team 2</v>
      </c>
      <c r="F50" s="80"/>
      <c r="G50" s="31" t="str">
        <f>E51</f>
        <v>SHH 110</v>
      </c>
      <c r="H50" s="40"/>
      <c r="I50" s="81" t="str">
        <f>if(and('CT Championship Scores (Public)'!$M$19=true,'CT Championship Scores (Public)'!$M$20=true),if('CT Championship Scores (Public)'!$N$19&gt;'CT Championship Scores (Public)'!$N$20,'CT Championship Scores (Public)'!$K$19,'CT Championship Scores (Public)'!$K$20),concatenate("Winner ",G50," Round 3"))</f>
        <v>7 Loomis Chaffee - Team 1</v>
      </c>
      <c r="J50" s="47"/>
      <c r="K50" s="31"/>
      <c r="L50" s="29"/>
      <c r="N50" s="29"/>
      <c r="P50" s="29"/>
      <c r="R50" s="29"/>
      <c r="T50" s="88"/>
    </row>
    <row r="51" ht="15.75" customHeight="1">
      <c r="A51" s="87"/>
      <c r="C51" s="31"/>
      <c r="D51" s="31"/>
      <c r="E51" s="39" t="s">
        <v>43</v>
      </c>
      <c r="F51" s="40"/>
      <c r="G51" s="83" t="str">
        <f>if(and('CT Championship Scores (Public)'!$I$19=true,'CT Championship Scores (Public)'!$I$20=true),if('CT Championship Scores (Public)'!$J$19&gt;'CT Championship Scores (Public)'!$J$20,'CT Championship Scores (Public)'!$G$19,'CT Championship Scores (Public)'!$G$20),concatenate("Winner ",E51," Round 2"))</f>
        <v>15 EO Smith HS - Team 2</v>
      </c>
      <c r="H51" s="47"/>
      <c r="I51" s="31"/>
      <c r="J51" s="29"/>
      <c r="L51" s="29"/>
      <c r="N51" s="29"/>
      <c r="P51" s="29"/>
      <c r="R51" s="29"/>
      <c r="T51" s="88"/>
    </row>
    <row r="52" ht="15.75" customHeight="1">
      <c r="A52" s="87"/>
      <c r="C52" s="31"/>
      <c r="D52" s="31" t="s">
        <v>54</v>
      </c>
      <c r="E52" s="79" t="str">
        <f>if(and('CT Championship Scores (Public)'!$E$19=true,'CT Championship Scores (Public)'!$E$20=true),if('CT Championship Scores (Public)'!$F$19&gt;'CT Championship Scores (Public)'!$F$20,'CT Championship Scores (Public)'!$C$20,'CT Championship Scores (Public)'!$C$19),"Loser Seed 15 v 2")</f>
        <v>15 EO Smith HS - Team 2</v>
      </c>
      <c r="F52" s="47"/>
      <c r="G52" s="31"/>
      <c r="H52" s="29"/>
      <c r="J52" s="29"/>
      <c r="L52" s="29"/>
      <c r="N52" s="29"/>
      <c r="P52" s="29"/>
      <c r="R52" s="29"/>
      <c r="T52" s="88"/>
    </row>
    <row r="53" ht="15.75" customHeight="1">
      <c r="A53" s="87"/>
      <c r="C53" s="31"/>
      <c r="D53" s="29"/>
      <c r="F53" s="29"/>
      <c r="H53" s="29"/>
      <c r="J53" s="29"/>
      <c r="L53" s="29"/>
      <c r="N53" s="29"/>
      <c r="P53" s="29"/>
      <c r="R53" s="29"/>
      <c r="T53" s="88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2">
    <mergeCell ref="N31:O31"/>
    <mergeCell ref="P31:Q31"/>
    <mergeCell ref="L27:M27"/>
    <mergeCell ref="P27:Q27"/>
    <mergeCell ref="L29:M29"/>
    <mergeCell ref="N29:O29"/>
    <mergeCell ref="P29:Q29"/>
    <mergeCell ref="N30:O30"/>
    <mergeCell ref="H31:I31"/>
    <mergeCell ref="A19:B19"/>
    <mergeCell ref="F19:G19"/>
    <mergeCell ref="H19:I19"/>
    <mergeCell ref="J19:K19"/>
    <mergeCell ref="L19:M19"/>
    <mergeCell ref="P19:Q19"/>
    <mergeCell ref="R19:S19"/>
    <mergeCell ref="H21:I21"/>
    <mergeCell ref="J21:K21"/>
    <mergeCell ref="L21:M21"/>
    <mergeCell ref="P21:Q21"/>
    <mergeCell ref="H22:I22"/>
    <mergeCell ref="J22:K22"/>
    <mergeCell ref="L22:M22"/>
    <mergeCell ref="P22:Q22"/>
    <mergeCell ref="A20:B20"/>
    <mergeCell ref="D20:E20"/>
    <mergeCell ref="F20:G20"/>
    <mergeCell ref="J20:K20"/>
    <mergeCell ref="A21:B21"/>
    <mergeCell ref="F21:G21"/>
    <mergeCell ref="A23:B23"/>
    <mergeCell ref="P25:Q25"/>
    <mergeCell ref="P26:Q26"/>
    <mergeCell ref="P28:Q28"/>
    <mergeCell ref="J23:K23"/>
    <mergeCell ref="L23:M23"/>
    <mergeCell ref="P23:Q23"/>
    <mergeCell ref="L24:M24"/>
    <mergeCell ref="P24:Q24"/>
    <mergeCell ref="L25:M25"/>
    <mergeCell ref="L26:M26"/>
    <mergeCell ref="L30:M30"/>
    <mergeCell ref="L31:M31"/>
    <mergeCell ref="L32:M32"/>
    <mergeCell ref="N32:O32"/>
    <mergeCell ref="P32:Q32"/>
    <mergeCell ref="A24:B24"/>
    <mergeCell ref="A25:B25"/>
    <mergeCell ref="A27:B27"/>
    <mergeCell ref="A28:B28"/>
    <mergeCell ref="D28:E28"/>
    <mergeCell ref="A29:B29"/>
    <mergeCell ref="A31:B31"/>
    <mergeCell ref="A43:B43"/>
    <mergeCell ref="A44:B44"/>
    <mergeCell ref="H44:I44"/>
    <mergeCell ref="A45:B45"/>
    <mergeCell ref="D45:E45"/>
    <mergeCell ref="J45:K45"/>
    <mergeCell ref="A46:B46"/>
    <mergeCell ref="J43:K43"/>
    <mergeCell ref="L43:M43"/>
    <mergeCell ref="P43:Q43"/>
    <mergeCell ref="R43:S43"/>
    <mergeCell ref="P44:Q44"/>
    <mergeCell ref="R44:S44"/>
    <mergeCell ref="R45:S45"/>
    <mergeCell ref="R46:S46"/>
    <mergeCell ref="N48:O48"/>
    <mergeCell ref="L49:M49"/>
    <mergeCell ref="N49:O49"/>
    <mergeCell ref="P49:Q49"/>
    <mergeCell ref="R49:S49"/>
    <mergeCell ref="P45:Q45"/>
    <mergeCell ref="P46:Q46"/>
    <mergeCell ref="N47:O47"/>
    <mergeCell ref="P47:Q47"/>
    <mergeCell ref="R47:S47"/>
    <mergeCell ref="P48:Q48"/>
    <mergeCell ref="R48:S48"/>
    <mergeCell ref="L50:M50"/>
    <mergeCell ref="J51:K51"/>
    <mergeCell ref="L51:M51"/>
    <mergeCell ref="P51:Q51"/>
    <mergeCell ref="R51:S51"/>
    <mergeCell ref="A47:B47"/>
    <mergeCell ref="A48:B48"/>
    <mergeCell ref="A49:B49"/>
    <mergeCell ref="D49:E49"/>
    <mergeCell ref="A50:B50"/>
    <mergeCell ref="N50:O50"/>
    <mergeCell ref="N51:O51"/>
    <mergeCell ref="A51:B51"/>
    <mergeCell ref="H52:I52"/>
    <mergeCell ref="J52:K52"/>
    <mergeCell ref="L52:M52"/>
    <mergeCell ref="N52:O52"/>
    <mergeCell ref="P52:Q52"/>
    <mergeCell ref="R52:S52"/>
    <mergeCell ref="N53:O53"/>
    <mergeCell ref="P53:Q53"/>
    <mergeCell ref="R53:S53"/>
    <mergeCell ref="A52:B52"/>
    <mergeCell ref="A53:B53"/>
    <mergeCell ref="D53:E53"/>
    <mergeCell ref="F53:G53"/>
    <mergeCell ref="H53:I53"/>
    <mergeCell ref="J53:K53"/>
    <mergeCell ref="L53:M53"/>
    <mergeCell ref="A32:B32"/>
    <mergeCell ref="A33:B33"/>
    <mergeCell ref="H33:I33"/>
    <mergeCell ref="J33:K33"/>
    <mergeCell ref="L33:M33"/>
    <mergeCell ref="N33:O33"/>
    <mergeCell ref="P33:Q33"/>
    <mergeCell ref="H35:I35"/>
    <mergeCell ref="J35:K35"/>
    <mergeCell ref="H34:I34"/>
    <mergeCell ref="J34:K34"/>
    <mergeCell ref="L34:M34"/>
    <mergeCell ref="N34:O34"/>
    <mergeCell ref="P34:Q34"/>
    <mergeCell ref="F35:G35"/>
    <mergeCell ref="P35:Q35"/>
    <mergeCell ref="A35:B35"/>
    <mergeCell ref="A36:B36"/>
    <mergeCell ref="D36:E36"/>
    <mergeCell ref="F36:G36"/>
    <mergeCell ref="H36:I36"/>
    <mergeCell ref="D37:E37"/>
    <mergeCell ref="J37:K37"/>
    <mergeCell ref="L35:M35"/>
    <mergeCell ref="N35:O35"/>
    <mergeCell ref="N37:O37"/>
    <mergeCell ref="R40:S40"/>
    <mergeCell ref="L41:M41"/>
    <mergeCell ref="R41:S41"/>
    <mergeCell ref="R42:S42"/>
    <mergeCell ref="A37:B37"/>
    <mergeCell ref="A38:B38"/>
    <mergeCell ref="A39:B39"/>
    <mergeCell ref="A40:B40"/>
    <mergeCell ref="A41:B41"/>
    <mergeCell ref="D41:E41"/>
    <mergeCell ref="A42:B42"/>
    <mergeCell ref="P50:Q50"/>
    <mergeCell ref="R50:S50"/>
    <mergeCell ref="Q1:R1"/>
    <mergeCell ref="S1:T1"/>
    <mergeCell ref="C1:D1"/>
    <mergeCell ref="E1:F1"/>
    <mergeCell ref="G1:H1"/>
    <mergeCell ref="I1:J1"/>
    <mergeCell ref="K1:L1"/>
    <mergeCell ref="M1:N1"/>
    <mergeCell ref="O1:P1"/>
    <mergeCell ref="Q2:R2"/>
    <mergeCell ref="S2:T2"/>
    <mergeCell ref="C2:D2"/>
    <mergeCell ref="E2:F2"/>
    <mergeCell ref="G2:H2"/>
    <mergeCell ref="I2:J2"/>
    <mergeCell ref="K2:L2"/>
    <mergeCell ref="M2:N2"/>
    <mergeCell ref="O2:P2"/>
    <mergeCell ref="O3:P3"/>
    <mergeCell ref="Q3:R3"/>
    <mergeCell ref="S3:T3"/>
    <mergeCell ref="A3:B3"/>
    <mergeCell ref="C3:D3"/>
    <mergeCell ref="E3:F3"/>
    <mergeCell ref="G3:H3"/>
    <mergeCell ref="I3:J3"/>
    <mergeCell ref="K3:L3"/>
    <mergeCell ref="M3:N3"/>
    <mergeCell ref="P4:Q4"/>
    <mergeCell ref="R4:S4"/>
    <mergeCell ref="A4:B4"/>
    <mergeCell ref="D4:E4"/>
    <mergeCell ref="H4:I4"/>
    <mergeCell ref="J4:K4"/>
    <mergeCell ref="L4:M4"/>
    <mergeCell ref="N4:O4"/>
    <mergeCell ref="A5:B5"/>
    <mergeCell ref="F4:G4"/>
    <mergeCell ref="F5:G5"/>
    <mergeCell ref="A7:B7"/>
    <mergeCell ref="A8:B8"/>
    <mergeCell ref="A9:B9"/>
    <mergeCell ref="H9:I9"/>
    <mergeCell ref="H10:I10"/>
    <mergeCell ref="H13:I13"/>
    <mergeCell ref="L13:M13"/>
    <mergeCell ref="A12:B12"/>
    <mergeCell ref="D12:E12"/>
    <mergeCell ref="F12:G12"/>
    <mergeCell ref="P12:Q12"/>
    <mergeCell ref="R12:S12"/>
    <mergeCell ref="A13:B13"/>
    <mergeCell ref="F13:G13"/>
    <mergeCell ref="P15:Q15"/>
    <mergeCell ref="R15:S15"/>
    <mergeCell ref="P13:Q13"/>
    <mergeCell ref="R13:S13"/>
    <mergeCell ref="H14:I14"/>
    <mergeCell ref="P14:Q14"/>
    <mergeCell ref="R14:S14"/>
    <mergeCell ref="A15:B15"/>
    <mergeCell ref="H15:I15"/>
    <mergeCell ref="P16:Q16"/>
    <mergeCell ref="P17:Q17"/>
    <mergeCell ref="L14:M14"/>
    <mergeCell ref="L15:M15"/>
    <mergeCell ref="A16:B16"/>
    <mergeCell ref="L16:M16"/>
    <mergeCell ref="R16:S16"/>
    <mergeCell ref="A17:B17"/>
    <mergeCell ref="L17:M17"/>
    <mergeCell ref="R17:S17"/>
    <mergeCell ref="L5:M5"/>
    <mergeCell ref="N5:O5"/>
    <mergeCell ref="P5:Q5"/>
    <mergeCell ref="R5:S5"/>
    <mergeCell ref="N6:O6"/>
    <mergeCell ref="P6:Q6"/>
    <mergeCell ref="R6:S6"/>
    <mergeCell ref="P7:Q7"/>
    <mergeCell ref="R7:S7"/>
    <mergeCell ref="H5:I5"/>
    <mergeCell ref="J5:K5"/>
    <mergeCell ref="J6:K6"/>
    <mergeCell ref="H7:I7"/>
    <mergeCell ref="J7:K7"/>
    <mergeCell ref="L7:M7"/>
    <mergeCell ref="N7:O7"/>
    <mergeCell ref="L9:M9"/>
    <mergeCell ref="L10:M10"/>
    <mergeCell ref="N10:O10"/>
    <mergeCell ref="P10:Q10"/>
    <mergeCell ref="R10:S10"/>
    <mergeCell ref="L8:M8"/>
    <mergeCell ref="N8:O8"/>
    <mergeCell ref="P8:Q8"/>
    <mergeCell ref="R8:S8"/>
    <mergeCell ref="N9:O9"/>
    <mergeCell ref="P9:Q9"/>
    <mergeCell ref="R9:S9"/>
    <mergeCell ref="A11:B11"/>
    <mergeCell ref="F11:G11"/>
    <mergeCell ref="H11:I11"/>
    <mergeCell ref="L11:M11"/>
    <mergeCell ref="N11:O11"/>
    <mergeCell ref="P11:Q11"/>
    <mergeCell ref="R11:S11"/>
    <mergeCell ref="H17:I17"/>
    <mergeCell ref="J17:K17"/>
    <mergeCell ref="H18:I18"/>
    <mergeCell ref="J18:K18"/>
    <mergeCell ref="L18:M18"/>
    <mergeCell ref="P18:Q18"/>
    <mergeCell ref="R18:S18"/>
    <mergeCell ref="F29:G29"/>
    <mergeCell ref="H29:I29"/>
    <mergeCell ref="H30:I30"/>
    <mergeCell ref="H20:I20"/>
    <mergeCell ref="H23:I23"/>
    <mergeCell ref="H25:I25"/>
    <mergeCell ref="H26:I26"/>
    <mergeCell ref="F27:G27"/>
    <mergeCell ref="H27:I27"/>
    <mergeCell ref="F28:G28"/>
  </mergeCells>
  <drawing r:id="rId1"/>
</worksheet>
</file>